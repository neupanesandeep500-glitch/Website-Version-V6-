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Hydro_Less 1" sheetId="1" r:id="rId5"/>
    <sheet state="visible" name="Survey_Hydro_More 1 " sheetId="2" r:id="rId6"/>
    <sheet state="visible" name="Survey_Thermal" sheetId="3" r:id="rId7"/>
    <sheet state="visible" name="Survey_Solar" sheetId="4" r:id="rId8"/>
    <sheet state="visible" name="Survey_Wind" sheetId="5" r:id="rId9"/>
    <sheet state="visible" name="Survey_Biomass" sheetId="6" r:id="rId10"/>
    <sheet state="visible" name="Survey_Cogeneration" sheetId="7" r:id="rId11"/>
    <sheet state="visible" name="Survey_Transmission Line" sheetId="8" r:id="rId12"/>
    <sheet state="visible" name="Construction Lice_Hydro_Less 1" sheetId="9" r:id="rId13"/>
    <sheet state="visible" name="Construction Lice_Hydro_More 1" sheetId="10" r:id="rId14"/>
    <sheet state="visible" name="Construction Lice_Thermal" sheetId="11" r:id="rId15"/>
    <sheet state="visible" name="Construction_Lice_Solar" sheetId="12" r:id="rId16"/>
    <sheet state="visible" name="Construction_Lice_Wind" sheetId="13" r:id="rId17"/>
    <sheet state="visible" name="Construction_Lice_Biomass" sheetId="14" r:id="rId18"/>
    <sheet state="visible" name="Construction_Lice_Cogeneration" sheetId="15" r:id="rId19"/>
    <sheet state="visible" name="Construction_Lice_Transmission" sheetId="16" r:id="rId20"/>
    <sheet state="visible" name="Appl_Survey_Hydro_Less 1" sheetId="17" r:id="rId21"/>
    <sheet state="visible" name="Appl_Survey_Hydro_More 1" sheetId="18" r:id="rId22"/>
    <sheet state="visible" name="Appl_Survey_Thermal" sheetId="19" r:id="rId23"/>
    <sheet state="visible" name="Appl_Survey_Solar " sheetId="20" r:id="rId24"/>
    <sheet state="visible" name="Appl_Survey_Wind" sheetId="21" r:id="rId25"/>
    <sheet state="visible" name="Appl_Survey_Biomass" sheetId="22" r:id="rId26"/>
    <sheet state="visible" name="Appl_Survey_Cogeneration" sheetId="23" r:id="rId27"/>
    <sheet state="visible" name="Appl_Survey_Transmission Line " sheetId="24" r:id="rId28"/>
    <sheet state="visible" name="Appl_Survey_Cancelled_Hydro" sheetId="25" r:id="rId29"/>
    <sheet state="visible" name="Appl_Construction Lic_Hydro" sheetId="26" r:id="rId30"/>
    <sheet state="visible" name="Appl_Construction Lic_Thermal" sheetId="27" r:id="rId31"/>
    <sheet state="visible" name="Appl_Construction Lic_Solar" sheetId="28" r:id="rId32"/>
    <sheet state="visible" name="Appl_Construction Lic_Wind" sheetId="29" r:id="rId33"/>
    <sheet state="visible" name="Appl_Construction Lic_Biomass" sheetId="30" r:id="rId34"/>
    <sheet state="visible" name="Appl_Construction_Cogeneration" sheetId="31" r:id="rId35"/>
    <sheet state="visible" name="Appl_Construction_Transmission " sheetId="32" r:id="rId36"/>
    <sheet state="visible" name="Power Plants_Hydro Less 1" sheetId="33" r:id="rId37"/>
    <sheet state="visible" name="Power Plants_Hydro More 1" sheetId="34" r:id="rId38"/>
    <sheet state="visible" name="Power Plants_Thermal" sheetId="35" r:id="rId39"/>
    <sheet state="visible" name="Power Plants_Solar" sheetId="36" r:id="rId40"/>
    <sheet state="visible" name="Power Plants_Wind " sheetId="37" r:id="rId41"/>
    <sheet state="visible" name="Power Plants_Biomass" sheetId="38" r:id="rId42"/>
    <sheet state="visible" name="Power Plants_Cogeneration" sheetId="39" r:id="rId43"/>
    <sheet state="visible" name="Generation Lic_Cancelled " sheetId="40" r:id="rId44"/>
    <sheet state="visible" name="Survey License_Cancelled" sheetId="41" r:id="rId45"/>
    <sheet state="visible" name="Generation Application_Cancelle" sheetId="42" r:id="rId46"/>
    <sheet state="visible" name="40 M Criteria License_Cancelled" sheetId="43" r:id="rId47"/>
    <sheet state="visible" name="GoN_Studied Projects" sheetId="44" r:id="rId48"/>
    <sheet state="visible" name="GoN_Under Study Projects" sheetId="45" r:id="rId49"/>
    <sheet state="visible" name="Technical Clearance Hydro" sheetId="46" r:id="rId50"/>
    <sheet state="visible" name="Technical Clearance Solar " sheetId="47" r:id="rId51"/>
    <sheet state="visible" name="Technical Clearance Solar" sheetId="48" r:id="rId52"/>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d"/>
    <numFmt numFmtId="166" formatCode="m/d/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164" xfId="0" applyFont="1" applyNumberFormat="1"/>
    <xf borderId="0" fillId="0" fontId="1" numFmtId="0" xfId="0" applyAlignment="1" applyFont="1">
      <alignment readingOrder="0"/>
    </xf>
    <xf borderId="0" fillId="0" fontId="2" numFmtId="165" xfId="0" applyFont="1" applyNumberFormat="1"/>
    <xf borderId="0" fillId="0" fontId="2" numFmtId="3" xfId="0" applyFont="1" applyNumberFormat="1"/>
    <xf borderId="0" fillId="0" fontId="2"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ht="15.0" customHeight="1">
      <c r="A1" s="1" t="str">
        <f>IFERROR(__xludf.DUMMYFUNCTION("IMPORTHTML(""https://www.doed.gov.np/pages/hydrolessthan1/"",""table"",1)"),"S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IFERROR(__xludf.DUMMYFUNCTION("""COMPUTED_VALUE"""),"Lic No")</f>
        <v>Lic No</v>
      </c>
      <c r="F1" s="1" t="str">
        <f>IFERROR(__xludf.DUMMYFUNCTION("""COMPUTED_VALUE"""),"Isuue Date")</f>
        <v>Isuue Date</v>
      </c>
      <c r="G1" s="1" t="str">
        <f>IFERROR(__xludf.DUMMYFUNCTION("""COMPUTED_VALUE"""),"Validity")</f>
        <v>Validity</v>
      </c>
      <c r="H1" s="1" t="str">
        <f>IFERROR(__xludf.DUMMYFUNCTION("""COMPUTED_VALUE"""),"Promoter")</f>
        <v>Promoter</v>
      </c>
      <c r="I1" s="1" t="str">
        <f>IFERROR(__xludf.DUMMYFUNCTION("""COMPUTED_VALUE"""),"Address")</f>
        <v>Address</v>
      </c>
      <c r="J1" s="1" t="str">
        <f>IFERROR(__xludf.DUMMYFUNCTION("""COMPUTED_VALUE"""),"Latitiude N")</f>
        <v>Latitiude N</v>
      </c>
      <c r="K1" s="1"/>
      <c r="L1" s="1" t="str">
        <f>IFERROR(__xludf.DUMMYFUNCTION("""COMPUTED_VALUE"""),"Longitude E")</f>
        <v>Longitude E</v>
      </c>
      <c r="M1" s="1"/>
      <c r="N1" s="1" t="str">
        <f>IFERROR(__xludf.DUMMYFUNCTION("""COMPUTED_VALUE"""),"VDC/District")</f>
        <v>VDC/District</v>
      </c>
      <c r="O1" s="1"/>
      <c r="P1" s="1"/>
      <c r="Q1" s="1"/>
      <c r="R1" s="1"/>
      <c r="S1" s="1"/>
      <c r="T1" s="1"/>
      <c r="U1" s="1"/>
      <c r="V1" s="1"/>
      <c r="W1" s="1"/>
      <c r="X1" s="1"/>
      <c r="Y1" s="1"/>
      <c r="Z1" s="1"/>
    </row>
    <row r="2">
      <c r="A2" s="2">
        <f>IFERROR(__xludf.DUMMYFUNCTION("""COMPUTED_VALUE"""),1.0)</f>
        <v>1</v>
      </c>
      <c r="B2" s="2" t="str">
        <f>IFERROR(__xludf.DUMMYFUNCTION("""COMPUTED_VALUE"""),"Parbatikunda Mini HEP")</f>
        <v>Parbatikunda Mini HEP</v>
      </c>
      <c r="C2" s="2">
        <f>IFERROR(__xludf.DUMMYFUNCTION("""COMPUTED_VALUE"""),0.834)</f>
        <v>0.834</v>
      </c>
      <c r="D2" s="2" t="str">
        <f>IFERROR(__xludf.DUMMYFUNCTION("""COMPUTED_VALUE"""),"Chhodingmo")</f>
        <v>Chhodingmo</v>
      </c>
      <c r="E2" s="2"/>
      <c r="F2" s="2" t="str">
        <f>IFERROR(__xludf.DUMMYFUNCTION("""COMPUTED_VALUE"""),"0000-00-00")</f>
        <v>0000-00-00</v>
      </c>
      <c r="G2" s="2" t="str">
        <f>IFERROR(__xludf.DUMMYFUNCTION("""COMPUTED_VALUE"""),"0000-00-00")</f>
        <v>0000-00-00</v>
      </c>
      <c r="H2" s="2" t="str">
        <f>IFERROR(__xludf.DUMMYFUNCTION("""COMPUTED_VALUE"""),"Chhodingmo NBU Hydropower Pvt. Ltd.")</f>
        <v>Chhodingmo NBU Hydropower Pvt. Ltd.</v>
      </c>
      <c r="I2" s="2" t="str">
        <f>IFERROR(__xludf.DUMMYFUNCTION("""COMPUTED_VALUE"""),"Tarakeshmwor Municipality-7, Kathmandu, 9841010217")</f>
        <v>Tarakeshmwor Municipality-7, Kathmandu, 9841010217</v>
      </c>
      <c r="J2" s="2" t="str">
        <f>IFERROR(__xludf.DUMMYFUNCTION("""COMPUTED_VALUE"""),"28o 09' 18""")</f>
        <v>28o 09' 18"</v>
      </c>
      <c r="K2" s="2" t="str">
        <f>IFERROR(__xludf.DUMMYFUNCTION("""COMPUTED_VALUE"""),"28o 10' 07""")</f>
        <v>28o 10' 07"</v>
      </c>
      <c r="L2" s="2" t="str">
        <f>IFERROR(__xludf.DUMMYFUNCTION("""COMPUTED_VALUE"""),"85o 15' 46""")</f>
        <v>85o 15' 46"</v>
      </c>
      <c r="M2" s="2" t="str">
        <f>IFERROR(__xludf.DUMMYFUNCTION("""COMPUTED_VALUE"""),"85o 16' 36""")</f>
        <v>85o 16' 36"</v>
      </c>
      <c r="N2" s="2"/>
    </row>
    <row r="3">
      <c r="A3" s="2">
        <f>IFERROR(__xludf.DUMMYFUNCTION("""COMPUTED_VALUE"""),2.0)</f>
        <v>2</v>
      </c>
      <c r="B3" s="2" t="str">
        <f>IFERROR(__xludf.DUMMYFUNCTION("""COMPUTED_VALUE"""),"Chukeni Mini Hydropower Project")</f>
        <v>Chukeni Mini Hydropower Project</v>
      </c>
      <c r="C3" s="2">
        <f>IFERROR(__xludf.DUMMYFUNCTION("""COMPUTED_VALUE"""),0.998)</f>
        <v>0.998</v>
      </c>
      <c r="D3" s="2" t="str">
        <f>IFERROR(__xludf.DUMMYFUNCTION("""COMPUTED_VALUE"""),"Chukeni (Patalkot)")</f>
        <v>Chukeni (Patalkot)</v>
      </c>
      <c r="E3" s="2"/>
      <c r="F3" s="2" t="str">
        <f>IFERROR(__xludf.DUMMYFUNCTION("""COMPUTED_VALUE"""),"0000-00-00")</f>
        <v>0000-00-00</v>
      </c>
      <c r="G3" s="2" t="str">
        <f>IFERROR(__xludf.DUMMYFUNCTION("""COMPUTED_VALUE"""),"0000-00-00")</f>
        <v>0000-00-00</v>
      </c>
      <c r="H3" s="2" t="str">
        <f>IFERROR(__xludf.DUMMYFUNCTION("""COMPUTED_VALUE"""),"Chukeni Khola Electricity CooperativeLtd.")</f>
        <v>Chukeni Khola Electricity CooperativeLtd.</v>
      </c>
      <c r="I3" s="2" t="str">
        <f>IFERROR(__xludf.DUMMYFUNCTION("""COMPUTED_VALUE"""),"Patasari RM, Gadigaun 1 Jumla")</f>
        <v>Patasari RM, Gadigaun 1 Jumla</v>
      </c>
      <c r="J3" s="2" t="str">
        <f>IFERROR(__xludf.DUMMYFUNCTION("""COMPUTED_VALUE"""),"29o 15' 13""")</f>
        <v>29o 15' 13"</v>
      </c>
      <c r="K3" s="2" t="str">
        <f>IFERROR(__xludf.DUMMYFUNCTION("""COMPUTED_VALUE"""),"29o 16' 12""")</f>
        <v>29o 16' 12"</v>
      </c>
      <c r="L3" s="2" t="str">
        <f>IFERROR(__xludf.DUMMYFUNCTION("""COMPUTED_VALUE"""),"82o 21' 55""")</f>
        <v>82o 21' 55"</v>
      </c>
      <c r="M3" s="2" t="str">
        <f>IFERROR(__xludf.DUMMYFUNCTION("""COMPUTED_VALUE"""),"82o 23' 50""")</f>
        <v>82o 23' 50"</v>
      </c>
      <c r="N3" s="2"/>
    </row>
    <row r="4">
      <c r="A4" s="2">
        <f>IFERROR(__xludf.DUMMYFUNCTION("""COMPUTED_VALUE"""),3.0)</f>
        <v>3</v>
      </c>
      <c r="B4" s="2" t="str">
        <f>IFERROR(__xludf.DUMMYFUNCTION("""COMPUTED_VALUE"""),"Upper Sit Khola SHP")</f>
        <v>Upper Sit Khola SHP</v>
      </c>
      <c r="C4" s="2">
        <f>IFERROR(__xludf.DUMMYFUNCTION("""COMPUTED_VALUE"""),0.905)</f>
        <v>0.905</v>
      </c>
      <c r="D4" s="2" t="str">
        <f>IFERROR(__xludf.DUMMYFUNCTION("""COMPUTED_VALUE"""),"Sit")</f>
        <v>Sit</v>
      </c>
      <c r="E4" s="2"/>
      <c r="F4" s="3">
        <f>IFERROR(__xludf.DUMMYFUNCTION("""COMPUTED_VALUE"""),62493.0)</f>
        <v>62493</v>
      </c>
      <c r="G4" s="2" t="str">
        <f>IFERROR(__xludf.DUMMYFUNCTION("""COMPUTED_VALUE"""),"0000-00-00")</f>
        <v>0000-00-00</v>
      </c>
      <c r="H4" s="2" t="str">
        <f>IFERROR(__xludf.DUMMYFUNCTION("""COMPUTED_VALUE"""),"Alliance Energy Solutions Pvt Ltd")</f>
        <v>Alliance Energy Solutions Pvt Ltd</v>
      </c>
      <c r="I4" s="2" t="str">
        <f>IFERROR(__xludf.DUMMYFUNCTION("""COMPUTED_VALUE"""),"GPO Box: 8957, Kathmandu, Tel: 9841476737")</f>
        <v>GPO Box: 8957, Kathmandu, Tel: 9841476737</v>
      </c>
      <c r="J4" s="2" t="str">
        <f>IFERROR(__xludf.DUMMYFUNCTION("""COMPUTED_VALUE"""),"27o 51' 00""")</f>
        <v>27o 51' 00"</v>
      </c>
      <c r="K4" s="2" t="str">
        <f>IFERROR(__xludf.DUMMYFUNCTION("""COMPUTED_VALUE"""),"27o 52' 00""")</f>
        <v>27o 52' 00"</v>
      </c>
      <c r="L4" s="2" t="str">
        <f>IFERROR(__xludf.DUMMYFUNCTION("""COMPUTED_VALUE"""),"83o 02' 45""")</f>
        <v>83o 02' 45"</v>
      </c>
      <c r="M4" s="2" t="str">
        <f>IFERROR(__xludf.DUMMYFUNCTION("""COMPUTED_VALUE"""),"83o 03' 23""")</f>
        <v>83o 03' 23"</v>
      </c>
      <c r="N4" s="2" t="str">
        <f>IFERROR(__xludf.DUMMYFUNCTION("""COMPUTED_VALUE"""),"Jukena,Juluke (Arghakhanchi)")</f>
        <v>Jukena,Juluke (Arghakhanchi)</v>
      </c>
    </row>
    <row r="5">
      <c r="A5" s="2">
        <f>IFERROR(__xludf.DUMMYFUNCTION("""COMPUTED_VALUE"""),4.0)</f>
        <v>4</v>
      </c>
      <c r="B5" s="2" t="str">
        <f>IFERROR(__xludf.DUMMYFUNCTION("""COMPUTED_VALUE"""),"Khadigad Khola")</f>
        <v>Khadigad Khola</v>
      </c>
      <c r="C5" s="2">
        <f>IFERROR(__xludf.DUMMYFUNCTION("""COMPUTED_VALUE"""),0.5)</f>
        <v>0.5</v>
      </c>
      <c r="D5" s="2" t="str">
        <f>IFERROR(__xludf.DUMMYFUNCTION("""COMPUTED_VALUE"""),"khadigad")</f>
        <v>khadigad</v>
      </c>
      <c r="E5" s="2"/>
      <c r="F5" s="3">
        <f>IFERROR(__xludf.DUMMYFUNCTION("""COMPUTED_VALUE"""),62611.0)</f>
        <v>62611</v>
      </c>
      <c r="G5" s="2" t="str">
        <f>IFERROR(__xludf.DUMMYFUNCTION("""COMPUTED_VALUE"""),"0000-00-00")</f>
        <v>0000-00-00</v>
      </c>
      <c r="H5" s="2" t="str">
        <f>IFERROR(__xludf.DUMMYFUNCTION("""COMPUTED_VALUE"""),"Khadigad Khola Mini HP")</f>
        <v>Khadigad Khola Mini HP</v>
      </c>
      <c r="I5" s="2" t="str">
        <f>IFERROR(__xludf.DUMMYFUNCTION("""COMPUTED_VALUE"""),"Rukum")</f>
        <v>Rukum</v>
      </c>
      <c r="J5" s="2" t="str">
        <f>IFERROR(__xludf.DUMMYFUNCTION("""COMPUTED_VALUE"""),"28o 46' 10""")</f>
        <v>28o 46' 10"</v>
      </c>
      <c r="K5" s="2" t="str">
        <f>IFERROR(__xludf.DUMMYFUNCTION("""COMPUTED_VALUE"""),"28o 48' 45""")</f>
        <v>28o 48' 45"</v>
      </c>
      <c r="L5" s="2" t="str">
        <f>IFERROR(__xludf.DUMMYFUNCTION("""COMPUTED_VALUE"""),"82o 28' 45""")</f>
        <v>82o 28' 45"</v>
      </c>
      <c r="M5" s="2" t="str">
        <f>IFERROR(__xludf.DUMMYFUNCTION("""COMPUTED_VALUE"""),"82o 30' 00""")</f>
        <v>82o 30' 00"</v>
      </c>
      <c r="N5" s="2" t="str">
        <f>IFERROR(__xludf.DUMMYFUNCTION("""COMPUTED_VALUE"""),"Syalakhadi (Rukum)")</f>
        <v>Syalakhadi (Rukum)</v>
      </c>
    </row>
    <row r="6">
      <c r="A6" s="2">
        <f>IFERROR(__xludf.DUMMYFUNCTION("""COMPUTED_VALUE"""),5.0)</f>
        <v>5</v>
      </c>
      <c r="B6" s="2" t="str">
        <f>IFERROR(__xludf.DUMMYFUNCTION("""COMPUTED_VALUE"""),"Gumu Khola HEP")</f>
        <v>Gumu Khola HEP</v>
      </c>
      <c r="C6" s="2">
        <f>IFERROR(__xludf.DUMMYFUNCTION("""COMPUTED_VALUE"""),0.95)</f>
        <v>0.95</v>
      </c>
      <c r="D6" s="2" t="str">
        <f>IFERROR(__xludf.DUMMYFUNCTION("""COMPUTED_VALUE"""),"Gumu Khola")</f>
        <v>Gumu Khola</v>
      </c>
      <c r="E6" s="2"/>
      <c r="F6" s="3">
        <f>IFERROR(__xludf.DUMMYFUNCTION("""COMPUTED_VALUE"""),63329.0)</f>
        <v>63329</v>
      </c>
      <c r="G6" s="3">
        <f>IFERROR(__xludf.DUMMYFUNCTION("""COMPUTED_VALUE"""),64424.0)</f>
        <v>64424</v>
      </c>
      <c r="H6" s="2" t="str">
        <f>IFERROR(__xludf.DUMMYFUNCTION("""COMPUTED_VALUE"""),"Gumu Khola Bhyakure Hydropower P.Ltd. (Mitra Bahadur Shrestha)")</f>
        <v>Gumu Khola Bhyakure Hydropower P.Ltd. (Mitra Bahadur Shrestha)</v>
      </c>
      <c r="I6" s="2" t="str">
        <f>IFERROR(__xludf.DUMMYFUNCTION("""COMPUTED_VALUE"""),"Ward No.7 Khare VDC, Dolakha")</f>
        <v>Ward No.7 Khare VDC, Dolakha</v>
      </c>
      <c r="J6" s="2" t="str">
        <f>IFERROR(__xludf.DUMMYFUNCTION("""COMPUTED_VALUE"""),"27o 42' 55""")</f>
        <v>27o 42' 55"</v>
      </c>
      <c r="K6" s="2" t="str">
        <f>IFERROR(__xludf.DUMMYFUNCTION("""COMPUTED_VALUE"""),"27o 43' 35""")</f>
        <v>27o 43' 35"</v>
      </c>
      <c r="L6" s="2" t="str">
        <f>IFERROR(__xludf.DUMMYFUNCTION("""COMPUTED_VALUE"""),"86o 07' 00""")</f>
        <v>86o 07' 00"</v>
      </c>
      <c r="M6" s="2" t="str">
        <f>IFERROR(__xludf.DUMMYFUNCTION("""COMPUTED_VALUE"""),"86o 08' 15""")</f>
        <v>86o 08' 15"</v>
      </c>
      <c r="N6" s="2" t="str">
        <f>IFERROR(__xludf.DUMMYFUNCTION("""COMPUTED_VALUE"""),"Lamidada,Sunakhani (Dolakha)")</f>
        <v>Lamidada,Sunakhani (Dolakha)</v>
      </c>
    </row>
    <row r="7">
      <c r="A7" s="2">
        <f>IFERROR(__xludf.DUMMYFUNCTION("""COMPUTED_VALUE"""),6.0)</f>
        <v>6</v>
      </c>
      <c r="B7" s="2" t="str">
        <f>IFERROR(__xludf.DUMMYFUNCTION("""COMPUTED_VALUE"""),"Masina HPP")</f>
        <v>Masina HPP</v>
      </c>
      <c r="C7" s="2">
        <f>IFERROR(__xludf.DUMMYFUNCTION("""COMPUTED_VALUE"""),0.8)</f>
        <v>0.8</v>
      </c>
      <c r="D7" s="2" t="str">
        <f>IFERROR(__xludf.DUMMYFUNCTION("""COMPUTED_VALUE"""),"Kotre Khola")</f>
        <v>Kotre Khola</v>
      </c>
      <c r="E7" s="2"/>
      <c r="F7" s="3">
        <f>IFERROR(__xludf.DUMMYFUNCTION("""COMPUTED_VALUE"""),63483.0)</f>
        <v>63483</v>
      </c>
      <c r="G7" s="3">
        <f>IFERROR(__xludf.DUMMYFUNCTION("""COMPUTED_VALUE"""),64212.0)</f>
        <v>64212</v>
      </c>
      <c r="H7" s="2" t="str">
        <f>IFERROR(__xludf.DUMMYFUNCTION("""COMPUTED_VALUE"""),"Masina Tourism Cooperative Ltd.")</f>
        <v>Masina Tourism Cooperative Ltd.</v>
      </c>
      <c r="I7" s="2" t="str">
        <f>IFERROR(__xludf.DUMMYFUNCTION("""COMPUTED_VALUE"""),"Lekhnath-13, Tallo Gagangauda.Kaski. 61531599,")</f>
        <v>Lekhnath-13, Tallo Gagangauda.Kaski. 61531599,</v>
      </c>
      <c r="J7" s="2" t="str">
        <f>IFERROR(__xludf.DUMMYFUNCTION("""COMPUTED_VALUE"""),"28o 05' 33""")</f>
        <v>28o 05' 33"</v>
      </c>
      <c r="K7" s="2" t="str">
        <f>IFERROR(__xludf.DUMMYFUNCTION("""COMPUTED_VALUE"""),"28o 05' 58""")</f>
        <v>28o 05' 58"</v>
      </c>
      <c r="L7" s="2" t="str">
        <f>IFERROR(__xludf.DUMMYFUNCTION("""COMPUTED_VALUE"""),"84o 05' 10""")</f>
        <v>84o 05' 10"</v>
      </c>
      <c r="M7" s="2" t="str">
        <f>IFERROR(__xludf.DUMMYFUNCTION("""COMPUTED_VALUE"""),"84o 05' 37""")</f>
        <v>84o 05' 37"</v>
      </c>
      <c r="N7" s="2" t="str">
        <f>IFERROR(__xludf.DUMMYFUNCTION("""COMPUTED_VALUE"""),"Lekhnath (Kaski) Dulegauda (Tanahu)")</f>
        <v>Lekhnath (Kaski) Dulegauda (Tanahu)</v>
      </c>
    </row>
    <row r="8">
      <c r="A8" s="2">
        <f>IFERROR(__xludf.DUMMYFUNCTION("""COMPUTED_VALUE"""),7.0)</f>
        <v>7</v>
      </c>
      <c r="B8" s="2" t="str">
        <f>IFERROR(__xludf.DUMMYFUNCTION("""COMPUTED_VALUE"""),"Namche Khola Mini HPP")</f>
        <v>Namche Khola Mini HPP</v>
      </c>
      <c r="C8" s="2">
        <f>IFERROR(__xludf.DUMMYFUNCTION("""COMPUTED_VALUE"""),0.183)</f>
        <v>0.183</v>
      </c>
      <c r="D8" s="2" t="str">
        <f>IFERROR(__xludf.DUMMYFUNCTION("""COMPUTED_VALUE"""),"Namche Khola")</f>
        <v>Namche Khola</v>
      </c>
      <c r="E8" s="2"/>
      <c r="F8" s="3">
        <f>IFERROR(__xludf.DUMMYFUNCTION("""COMPUTED_VALUE"""),63587.0)</f>
        <v>63587</v>
      </c>
      <c r="G8" s="3">
        <f>IFERROR(__xludf.DUMMYFUNCTION("""COMPUTED_VALUE"""),64316.0)</f>
        <v>64316</v>
      </c>
      <c r="H8" s="2" t="str">
        <f>IFERROR(__xludf.DUMMYFUNCTION("""COMPUTED_VALUE"""),"Khumbu Bijuli Company Pvt. Ltd.")</f>
        <v>Khumbu Bijuli Company Pvt. Ltd.</v>
      </c>
      <c r="I8" s="2" t="str">
        <f>IFERROR(__xludf.DUMMYFUNCTION("""COMPUTED_VALUE"""),"Thamo, Solukhumu. Sonam Dorgee Sherpa Ph No. 01-6923781")</f>
        <v>Thamo, Solukhumu. Sonam Dorgee Sherpa Ph No. 01-6923781</v>
      </c>
      <c r="J8" s="2" t="str">
        <f>IFERROR(__xludf.DUMMYFUNCTION("""COMPUTED_VALUE"""),"27o 47' 47""")</f>
        <v>27o 47' 47"</v>
      </c>
      <c r="K8" s="2" t="str">
        <f>IFERROR(__xludf.DUMMYFUNCTION("""COMPUTED_VALUE"""),"27o 48' 15""")</f>
        <v>27o 48' 15"</v>
      </c>
      <c r="L8" s="2" t="str">
        <f>IFERROR(__xludf.DUMMYFUNCTION("""COMPUTED_VALUE"""),"86o 42' 24""")</f>
        <v>86o 42' 24"</v>
      </c>
      <c r="M8" s="2" t="str">
        <f>IFERROR(__xludf.DUMMYFUNCTION("""COMPUTED_VALUE"""),"86o 42' 57""")</f>
        <v>86o 42' 57"</v>
      </c>
      <c r="N8" s="2" t="str">
        <f>IFERROR(__xludf.DUMMYFUNCTION("""COMPUTED_VALUE"""),"Namche (Solukhumbu)")</f>
        <v>Namche (Solukhumbu)</v>
      </c>
    </row>
    <row r="9">
      <c r="A9" s="2">
        <f>IFERROR(__xludf.DUMMYFUNCTION("""COMPUTED_VALUE"""),8.0)</f>
        <v>8</v>
      </c>
      <c r="B9" s="2" t="str">
        <f>IFERROR(__xludf.DUMMYFUNCTION("""COMPUTED_VALUE"""),"Lower Bom Khola HPP")</f>
        <v>Lower Bom Khola HPP</v>
      </c>
      <c r="C9" s="2">
        <f>IFERROR(__xludf.DUMMYFUNCTION("""COMPUTED_VALUE"""),0.184)</f>
        <v>0.184</v>
      </c>
      <c r="D9" s="2" t="str">
        <f>IFERROR(__xludf.DUMMYFUNCTION("""COMPUTED_VALUE"""),"Bom Khola")</f>
        <v>Bom Khola</v>
      </c>
      <c r="E9" s="2"/>
      <c r="F9" s="3">
        <f>IFERROR(__xludf.DUMMYFUNCTION("""COMPUTED_VALUE"""),63656.0)</f>
        <v>63656</v>
      </c>
      <c r="G9" s="3">
        <f>IFERROR(__xludf.DUMMYFUNCTION("""COMPUTED_VALUE"""),64386.0)</f>
        <v>64386</v>
      </c>
      <c r="H9" s="2" t="str">
        <f>IFERROR(__xludf.DUMMYFUNCTION("""COMPUTED_VALUE"""),"Lukla Surke Laghu Jalabidhut Upobhokta Samiti")</f>
        <v>Lukla Surke Laghu Jalabidhut Upobhokta Samiti</v>
      </c>
      <c r="I9" s="2" t="str">
        <f>IFERROR(__xludf.DUMMYFUNCTION("""COMPUTED_VALUE"""),"Chaurikharka, Solukhumbu")</f>
        <v>Chaurikharka, Solukhumbu</v>
      </c>
      <c r="J9" s="2" t="str">
        <f>IFERROR(__xludf.DUMMYFUNCTION("""COMPUTED_VALUE"""),"27o 40' 20""")</f>
        <v>27o 40' 20"</v>
      </c>
      <c r="K9" s="2" t="str">
        <f>IFERROR(__xludf.DUMMYFUNCTION("""COMPUTED_VALUE"""),"27o 41' 05""")</f>
        <v>27o 41' 05"</v>
      </c>
      <c r="L9" s="2" t="str">
        <f>IFERROR(__xludf.DUMMYFUNCTION("""COMPUTED_VALUE"""),"86o 43' 00""")</f>
        <v>86o 43' 00"</v>
      </c>
      <c r="M9" s="2" t="str">
        <f>IFERROR(__xludf.DUMMYFUNCTION("""COMPUTED_VALUE"""),"86o 43' 50""")</f>
        <v>86o 43' 50"</v>
      </c>
      <c r="N9" s="2" t="str">
        <f>IFERROR(__xludf.DUMMYFUNCTION("""COMPUTED_VALUE"""),"Chaurikharka (Solukhumbu)")</f>
        <v>Chaurikharka (Solukhumbu)</v>
      </c>
    </row>
    <row r="10">
      <c r="A10" s="2">
        <f>IFERROR(__xludf.DUMMYFUNCTION("""COMPUTED_VALUE"""),9.0)</f>
        <v>9</v>
      </c>
      <c r="B10" s="2" t="str">
        <f>IFERROR(__xludf.DUMMYFUNCTION("""COMPUTED_VALUE"""),"Gochyang Khola Small HEP")</f>
        <v>Gochyang Khola Small HEP</v>
      </c>
      <c r="C10" s="2">
        <f>IFERROR(__xludf.DUMMYFUNCTION("""COMPUTED_VALUE"""),0.8)</f>
        <v>0.8</v>
      </c>
      <c r="D10" s="2" t="str">
        <f>IFERROR(__xludf.DUMMYFUNCTION("""COMPUTED_VALUE"""),"Gochyang (Pung) Khola")</f>
        <v>Gochyang (Pung) Khola</v>
      </c>
      <c r="E10" s="2"/>
      <c r="F10" s="3">
        <f>IFERROR(__xludf.DUMMYFUNCTION("""COMPUTED_VALUE"""),63675.0)</f>
        <v>63675</v>
      </c>
      <c r="G10" s="3">
        <f>IFERROR(__xludf.DUMMYFUNCTION("""COMPUTED_VALUE"""),64405.0)</f>
        <v>64405</v>
      </c>
      <c r="H10" s="2" t="str">
        <f>IFERROR(__xludf.DUMMYFUNCTION("""COMPUTED_VALUE"""),"Ram kaji Pandit")</f>
        <v>Ram kaji Pandit</v>
      </c>
      <c r="I10" s="2" t="str">
        <f>IFERROR(__xludf.DUMMYFUNCTION("""COMPUTED_VALUE"""),"Tadi Rural Municipality, Nuwakot, 9841893002")</f>
        <v>Tadi Rural Municipality, Nuwakot, 9841893002</v>
      </c>
      <c r="J10" s="2" t="str">
        <f>IFERROR(__xludf.DUMMYFUNCTION("""COMPUTED_VALUE"""),"28o 00' 00""")</f>
        <v>28o 00' 00"</v>
      </c>
      <c r="K10" s="2" t="str">
        <f>IFERROR(__xludf.DUMMYFUNCTION("""COMPUTED_VALUE"""),"28o 00' 13""")</f>
        <v>28o 00' 13"</v>
      </c>
      <c r="L10" s="2" t="str">
        <f>IFERROR(__xludf.DUMMYFUNCTION("""COMPUTED_VALUE"""),"85o 16' 14""")</f>
        <v>85o 16' 14"</v>
      </c>
      <c r="M10" s="2" t="str">
        <f>IFERROR(__xludf.DUMMYFUNCTION("""COMPUTED_VALUE"""),"85o 19' 00""")</f>
        <v>85o 19' 00"</v>
      </c>
      <c r="N10" s="2" t="str">
        <f>IFERROR(__xludf.DUMMYFUNCTION("""COMPUTED_VALUE"""),"Saramthali (Rasuwa)")</f>
        <v>Saramthali (Rasuwa)</v>
      </c>
    </row>
    <row r="11">
      <c r="A11" s="2">
        <f>IFERROR(__xludf.DUMMYFUNCTION("""COMPUTED_VALUE"""),10.0)</f>
        <v>10</v>
      </c>
      <c r="B11" s="2" t="str">
        <f>IFERROR(__xludf.DUMMYFUNCTION("""COMPUTED_VALUE"""),"Syankhu Khola")</f>
        <v>Syankhu Khola</v>
      </c>
      <c r="C11" s="2">
        <f>IFERROR(__xludf.DUMMYFUNCTION("""COMPUTED_VALUE"""),0.996)</f>
        <v>0.996</v>
      </c>
      <c r="D11" s="2" t="str">
        <f>IFERROR(__xludf.DUMMYFUNCTION("""COMPUTED_VALUE"""),"Syankhu")</f>
        <v>Syankhu</v>
      </c>
      <c r="E11" s="2"/>
      <c r="F11" s="3">
        <f>IFERROR(__xludf.DUMMYFUNCTION("""COMPUTED_VALUE"""),63680.0)</f>
        <v>63680</v>
      </c>
      <c r="G11" s="3">
        <f>IFERROR(__xludf.DUMMYFUNCTION("""COMPUTED_VALUE"""),64410.0)</f>
        <v>64410</v>
      </c>
      <c r="H11" s="2" t="str">
        <f>IFERROR(__xludf.DUMMYFUNCTION("""COMPUTED_VALUE"""),"Gaurab Malla")</f>
        <v>Gaurab Malla</v>
      </c>
      <c r="I11" s="2"/>
      <c r="J11" s="2" t="str">
        <f>IFERROR(__xludf.DUMMYFUNCTION("""COMPUTED_VALUE"""),"27o 50' 55""")</f>
        <v>27o 50' 55"</v>
      </c>
      <c r="K11" s="2" t="str">
        <f>IFERROR(__xludf.DUMMYFUNCTION("""COMPUTED_VALUE"""),"27o 51' 21""")</f>
        <v>27o 51' 21"</v>
      </c>
      <c r="L11" s="2" t="str">
        <f>IFERROR(__xludf.DUMMYFUNCTION("""COMPUTED_VALUE"""),"86o 07' 24""")</f>
        <v>86o 07' 24"</v>
      </c>
      <c r="M11" s="2" t="str">
        <f>IFERROR(__xludf.DUMMYFUNCTION("""COMPUTED_VALUE"""),"86o 07' 48""")</f>
        <v>86o 07' 48"</v>
      </c>
      <c r="N11" s="2" t="str">
        <f>IFERROR(__xludf.DUMMYFUNCTION("""COMPUTED_VALUE"""),"(Dolakha)")</f>
        <v>(Dolakha)</v>
      </c>
    </row>
    <row r="12">
      <c r="A12" s="2">
        <f>IFERROR(__xludf.DUMMYFUNCTION("""COMPUTED_VALUE"""),11.0)</f>
        <v>11</v>
      </c>
      <c r="B12" s="2" t="str">
        <f>IFERROR(__xludf.DUMMYFUNCTION("""COMPUTED_VALUE"""),"Jhakre-2 Mini HPP")</f>
        <v>Jhakre-2 Mini HPP</v>
      </c>
      <c r="C12" s="2">
        <f>IFERROR(__xludf.DUMMYFUNCTION("""COMPUTED_VALUE"""),0.4)</f>
        <v>0.4</v>
      </c>
      <c r="D12" s="2" t="str">
        <f>IFERROR(__xludf.DUMMYFUNCTION("""COMPUTED_VALUE"""),"Jhakre Khola")</f>
        <v>Jhakre Khola</v>
      </c>
      <c r="E12" s="2"/>
      <c r="F12" s="3">
        <f>IFERROR(__xludf.DUMMYFUNCTION("""COMPUTED_VALUE"""),63736.0)</f>
        <v>63736</v>
      </c>
      <c r="G12" s="3">
        <f>IFERROR(__xludf.DUMMYFUNCTION("""COMPUTED_VALUE"""),64466.0)</f>
        <v>64466</v>
      </c>
      <c r="H12" s="2" t="str">
        <f>IFERROR(__xludf.DUMMYFUNCTION("""COMPUTED_VALUE"""),"Khimti Gramin Bidhyut Sahakari Sanstha Limited")</f>
        <v>Khimti Gramin Bidhyut Sahakari Sanstha Limited</v>
      </c>
      <c r="I12" s="2" t="str">
        <f>IFERROR(__xludf.DUMMYFUNCTION("""COMPUTED_VALUE"""),"Shahare -4, Kirne ,Dolakha")</f>
        <v>Shahare -4, Kirne ,Dolakha</v>
      </c>
      <c r="J12" s="2" t="str">
        <f>IFERROR(__xludf.DUMMYFUNCTION("""COMPUTED_VALUE"""),"27o 33' 57""")</f>
        <v>27o 33' 57"</v>
      </c>
      <c r="K12" s="2" t="str">
        <f>IFERROR(__xludf.DUMMYFUNCTION("""COMPUTED_VALUE"""),"27o 34' 34""")</f>
        <v>27o 34' 34"</v>
      </c>
      <c r="L12" s="2" t="str">
        <f>IFERROR(__xludf.DUMMYFUNCTION("""COMPUTED_VALUE"""),"86o 09' 47""")</f>
        <v>86o 09' 47"</v>
      </c>
      <c r="M12" s="2" t="str">
        <f>IFERROR(__xludf.DUMMYFUNCTION("""COMPUTED_VALUE"""),"86o 10' 57""")</f>
        <v>86o 10' 57"</v>
      </c>
      <c r="N12" s="2" t="str">
        <f>IFERROR(__xludf.DUMMYFUNCTION("""COMPUTED_VALUE"""),"Thulopatal,Hawa (Dolakha)")</f>
        <v>Thulopatal,Hawa (Dolakha)</v>
      </c>
    </row>
    <row r="13">
      <c r="A13" s="2">
        <f>IFERROR(__xludf.DUMMYFUNCTION("""COMPUTED_VALUE"""),12.0)</f>
        <v>12</v>
      </c>
      <c r="B13" s="2" t="str">
        <f>IFERROR(__xludf.DUMMYFUNCTION("""COMPUTED_VALUE"""),"Sipa Khola HEP")</f>
        <v>Sipa Khola HEP</v>
      </c>
      <c r="C13" s="2">
        <f>IFERROR(__xludf.DUMMYFUNCTION("""COMPUTED_VALUE"""),0.8)</f>
        <v>0.8</v>
      </c>
      <c r="D13" s="2" t="str">
        <f>IFERROR(__xludf.DUMMYFUNCTION("""COMPUTED_VALUE"""),"Sipa")</f>
        <v>Sipa</v>
      </c>
      <c r="E13" s="2">
        <f>IFERROR(__xludf.DUMMYFUNCTION("""COMPUTED_VALUE"""),944.0)</f>
        <v>944</v>
      </c>
      <c r="F13" s="3">
        <f>IFERROR(__xludf.DUMMYFUNCTION("""COMPUTED_VALUE"""),63764.0)</f>
        <v>63764</v>
      </c>
      <c r="G13" s="3">
        <f>IFERROR(__xludf.DUMMYFUNCTION("""COMPUTED_VALUE"""),64859.0)</f>
        <v>64859</v>
      </c>
      <c r="H13" s="2" t="str">
        <f>IFERROR(__xludf.DUMMYFUNCTION("""COMPUTED_VALUE"""),"Simbuwa Khola A Hydropower Pvt. Ltd.")</f>
        <v>Simbuwa Khola A Hydropower Pvt. Ltd.</v>
      </c>
      <c r="I13" s="2">
        <f>IFERROR(__xludf.DUMMYFUNCTION("""COMPUTED_VALUE"""),9.85105608E9)</f>
        <v>9851056080</v>
      </c>
      <c r="J13" s="2" t="str">
        <f>IFERROR(__xludf.DUMMYFUNCTION("""COMPUTED_VALUE"""),"27o 45' 10""")</f>
        <v>27o 45' 10"</v>
      </c>
      <c r="K13" s="2" t="str">
        <f>IFERROR(__xludf.DUMMYFUNCTION("""COMPUTED_VALUE"""),"27o 46' 45""")</f>
        <v>27o 46' 45"</v>
      </c>
      <c r="L13" s="2" t="str">
        <f>IFERROR(__xludf.DUMMYFUNCTION("""COMPUTED_VALUE"""),"85o 39' 15""")</f>
        <v>85o 39' 15"</v>
      </c>
      <c r="M13" s="2" t="str">
        <f>IFERROR(__xludf.DUMMYFUNCTION("""COMPUTED_VALUE"""),"85o 40' 10""")</f>
        <v>85o 40' 10"</v>
      </c>
      <c r="N13" s="2" t="str">
        <f>IFERROR(__xludf.DUMMYFUNCTION("""COMPUTED_VALUE"""),"Kunchok,Bhotsipa,Sipa Pokhare (Sindhupalchok)")</f>
        <v>Kunchok,Bhotsipa,Sipa Pokhare (Sindhupalchok)</v>
      </c>
    </row>
    <row r="14">
      <c r="A14" s="2">
        <f>IFERROR(__xludf.DUMMYFUNCTION("""COMPUTED_VALUE"""),13.0)</f>
        <v>13</v>
      </c>
      <c r="B14" s="2" t="str">
        <f>IFERROR(__xludf.DUMMYFUNCTION("""COMPUTED_VALUE"""),"Lung Khola Small HEP")</f>
        <v>Lung Khola Small HEP</v>
      </c>
      <c r="C14" s="2">
        <f>IFERROR(__xludf.DUMMYFUNCTION("""COMPUTED_VALUE"""),0.5)</f>
        <v>0.5</v>
      </c>
      <c r="D14" s="2" t="str">
        <f>IFERROR(__xludf.DUMMYFUNCTION("""COMPUTED_VALUE"""),"Lung")</f>
        <v>Lung</v>
      </c>
      <c r="E14" s="2"/>
      <c r="F14" s="3">
        <f>IFERROR(__xludf.DUMMYFUNCTION("""COMPUTED_VALUE"""),63949.0)</f>
        <v>63949</v>
      </c>
      <c r="G14" s="2" t="str">
        <f>IFERROR(__xludf.DUMMYFUNCTION("""COMPUTED_VALUE"""),"0000-00-00")</f>
        <v>0000-00-00</v>
      </c>
      <c r="H14" s="2" t="str">
        <f>IFERROR(__xludf.DUMMYFUNCTION("""COMPUTED_VALUE"""),"Gaumukhi Nubaini Hydro Pvt. Ltd.")</f>
        <v>Gaumukhi Nubaini Hydro Pvt. Ltd.</v>
      </c>
      <c r="I14" s="2">
        <f>IFERROR(__xludf.DUMMYFUNCTION("""COMPUTED_VALUE"""),9.857833638E9)</f>
        <v>9857833638</v>
      </c>
      <c r="J14" s="2" t="str">
        <f>IFERROR(__xludf.DUMMYFUNCTION("""COMPUTED_VALUE"""),"28o 13' 08""")</f>
        <v>28o 13' 08"</v>
      </c>
      <c r="K14" s="2" t="str">
        <f>IFERROR(__xludf.DUMMYFUNCTION("""COMPUTED_VALUE"""),"28o 15' 00""")</f>
        <v>28o 15' 00"</v>
      </c>
      <c r="L14" s="2" t="str">
        <f>IFERROR(__xludf.DUMMYFUNCTION("""COMPUTED_VALUE"""),"82o 55' 11""")</f>
        <v>82o 55' 11"</v>
      </c>
      <c r="M14" s="2" t="str">
        <f>IFERROR(__xludf.DUMMYFUNCTION("""COMPUTED_VALUE"""),"82o 56' 08""")</f>
        <v>82o 56' 08"</v>
      </c>
      <c r="N1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 t="str">
        <f>IFERROR(__xludf.DUMMYFUNCTION("IMPORTHTML(""https://www.doed.gov.np/pages/hydromorethan1/"",""table"",1)"),"S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IFERROR(__xludf.DUMMYFUNCTION("""COMPUTED_VALUE"""),"Lic No")</f>
        <v>Lic No</v>
      </c>
      <c r="F1" s="1" t="str">
        <f>IFERROR(__xludf.DUMMYFUNCTION("""COMPUTED_VALUE"""),"Isuue Date")</f>
        <v>Isuue Date</v>
      </c>
      <c r="G1" s="1" t="str">
        <f>IFERROR(__xludf.DUMMYFUNCTION("""COMPUTED_VALUE"""),"Validity")</f>
        <v>Validity</v>
      </c>
      <c r="H1" s="1" t="str">
        <f>IFERROR(__xludf.DUMMYFUNCTION("""COMPUTED_VALUE"""),"Promoter")</f>
        <v>Promoter</v>
      </c>
      <c r="I1" s="1" t="str">
        <f>IFERROR(__xludf.DUMMYFUNCTION("""COMPUTED_VALUE"""),"Address")</f>
        <v>Address</v>
      </c>
      <c r="J1" s="1" t="str">
        <f>IFERROR(__xludf.DUMMYFUNCTION("""COMPUTED_VALUE"""),"Latitiude N")</f>
        <v>Latitiude N</v>
      </c>
      <c r="K1" s="1"/>
      <c r="L1" s="1" t="str">
        <f>IFERROR(__xludf.DUMMYFUNCTION("""COMPUTED_VALUE"""),"Longitude E")</f>
        <v>Longitude E</v>
      </c>
      <c r="M1" s="1"/>
      <c r="N1" s="1" t="str">
        <f>IFERROR(__xludf.DUMMYFUNCTION("""COMPUTED_VALUE"""),"VDC/District")</f>
        <v>VDC/District</v>
      </c>
      <c r="O1" s="1"/>
      <c r="P1" s="1"/>
      <c r="Q1" s="1"/>
      <c r="R1" s="1"/>
      <c r="S1" s="1"/>
      <c r="T1" s="1"/>
      <c r="U1" s="1"/>
      <c r="V1" s="1"/>
      <c r="W1" s="1"/>
      <c r="X1" s="1"/>
      <c r="Y1" s="1"/>
      <c r="Z1" s="1"/>
    </row>
    <row r="2">
      <c r="A2" s="2">
        <f>IFERROR(__xludf.DUMMYFUNCTION("""COMPUTED_VALUE"""),1.0)</f>
        <v>1</v>
      </c>
      <c r="B2" s="2" t="str">
        <f>IFERROR(__xludf.DUMMYFUNCTION("""COMPUTED_VALUE"""),"Upper Karnali HEP")</f>
        <v>Upper Karnali HEP</v>
      </c>
      <c r="C2" s="2">
        <f>IFERROR(__xludf.DUMMYFUNCTION("""COMPUTED_VALUE"""),900.0)</f>
        <v>900</v>
      </c>
      <c r="D2" s="2" t="str">
        <f>IFERROR(__xludf.DUMMYFUNCTION("""COMPUTED_VALUE"""),"Karnali")</f>
        <v>Karnali</v>
      </c>
      <c r="E2" s="2">
        <f>IFERROR(__xludf.DUMMYFUNCTION("""COMPUTED_VALUE"""),328.0)</f>
        <v>328</v>
      </c>
      <c r="F2" s="3">
        <f>IFERROR(__xludf.DUMMYFUNCTION("""COMPUTED_VALUE"""),60303.0)</f>
        <v>60303</v>
      </c>
      <c r="G2" s="3">
        <f>IFERROR(__xludf.DUMMYFUNCTION("""COMPUTED_VALUE"""),61944.0)</f>
        <v>61944</v>
      </c>
      <c r="H2" s="2" t="str">
        <f>IFERROR(__xludf.DUMMYFUNCTION("""COMPUTED_VALUE"""),"GMR, Upper Karnali Hydropower Limited")</f>
        <v>GMR, Upper Karnali Hydropower Limited</v>
      </c>
      <c r="I2" s="2" t="str">
        <f>IFERROR(__xludf.DUMMYFUNCTION("""COMPUTED_VALUE"""),"Chakupat Lalitpur - 10 Contact No. 01-5526464")</f>
        <v>Chakupat Lalitpur - 10 Contact No. 01-5526464</v>
      </c>
      <c r="J2" s="2" t="str">
        <f>IFERROR(__xludf.DUMMYFUNCTION("""COMPUTED_VALUE"""),"28o 42' 00""")</f>
        <v>28o 42' 00"</v>
      </c>
      <c r="K2" s="2" t="str">
        <f>IFERROR(__xludf.DUMMYFUNCTION("""COMPUTED_VALUE"""),"28o 58' 20""")</f>
        <v>28o 58' 20"</v>
      </c>
      <c r="L2" s="2" t="str">
        <f>IFERROR(__xludf.DUMMYFUNCTION("""COMPUTED_VALUE"""),"81o 25' 00""")</f>
        <v>81o 25' 00"</v>
      </c>
      <c r="M2" s="2" t="str">
        <f>IFERROR(__xludf.DUMMYFUNCTION("""COMPUTED_VALUE"""),"81o 35' 30""")</f>
        <v>81o 35' 30"</v>
      </c>
      <c r="N2" s="2" t="str">
        <f>IFERROR(__xludf.DUMMYFUNCTION("""COMPUTED_VALUE"""),"Rahaph, ,Bhairabsthan (Achham) Santalla,Khadkawada,Naule Katuwal,Nepa,Lyati 
Bindraseni (Dailekh) Chapre,Pokharikanda,Salkot (Surkhet)")</f>
        <v>Rahaph, ,Bhairabsthan (Achham) Santalla,Khadkawada,Naule Katuwal,Nepa,Lyati 
Bindraseni (Dailekh) Chapre,Pokharikanda,Salkot (Surkhet)</v>
      </c>
    </row>
    <row r="3">
      <c r="A3" s="2">
        <f>IFERROR(__xludf.DUMMYFUNCTION("""COMPUTED_VALUE"""),2.0)</f>
        <v>2</v>
      </c>
      <c r="B3" s="2" t="str">
        <f>IFERROR(__xludf.DUMMYFUNCTION("""COMPUTED_VALUE"""),"Bheri-3 Storage_BR-3")</f>
        <v>Bheri-3 Storage_BR-3</v>
      </c>
      <c r="C3" s="2">
        <f>IFERROR(__xludf.DUMMYFUNCTION("""COMPUTED_VALUE"""),480.0)</f>
        <v>480</v>
      </c>
      <c r="D3" s="2" t="str">
        <f>IFERROR(__xludf.DUMMYFUNCTION("""COMPUTED_VALUE"""),"Bheri")</f>
        <v>Bheri</v>
      </c>
      <c r="E3" s="2">
        <f>IFERROR(__xludf.DUMMYFUNCTION("""COMPUTED_VALUE"""),635.0)</f>
        <v>635</v>
      </c>
      <c r="F3" s="3">
        <f>IFERROR(__xludf.DUMMYFUNCTION("""COMPUTED_VALUE"""),61855.0)</f>
        <v>61855</v>
      </c>
      <c r="G3" s="3">
        <f>IFERROR(__xludf.DUMMYFUNCTION("""COMPUTED_VALUE"""),67125.0)</f>
        <v>67125</v>
      </c>
      <c r="H3" s="2" t="str">
        <f>IFERROR(__xludf.DUMMYFUNCTION("""COMPUTED_VALUE"""),"Sunrise Hydropower P. Ltd")</f>
        <v>Sunrise Hydropower P. Ltd</v>
      </c>
      <c r="I3" s="2"/>
      <c r="J3" s="2" t="str">
        <f>IFERROR(__xludf.DUMMYFUNCTION("""COMPUTED_VALUE"""),"28o 23' 00""")</f>
        <v>28o 23' 00"</v>
      </c>
      <c r="K3" s="2" t="str">
        <f>IFERROR(__xludf.DUMMYFUNCTION("""COMPUTED_VALUE"""),"28o 38' 45""")</f>
        <v>28o 38' 45"</v>
      </c>
      <c r="L3" s="2" t="str">
        <f>IFERROR(__xludf.DUMMYFUNCTION("""COMPUTED_VALUE"""),"81o 50' 00""")</f>
        <v>81o 50' 00"</v>
      </c>
      <c r="M3" s="2" t="str">
        <f>IFERROR(__xludf.DUMMYFUNCTION("""COMPUTED_VALUE"""),"82o 05' 00""")</f>
        <v>82o 05' 00"</v>
      </c>
      <c r="N3" s="2" t="str">
        <f>IFERROR(__xludf.DUMMYFUNCTION("""COMPUTED_VALUE"""),"(Jajarkot)")</f>
        <v>(Jajarkot)</v>
      </c>
    </row>
    <row r="4" ht="40.5" customHeight="1">
      <c r="A4" s="2">
        <f>IFERROR(__xludf.DUMMYFUNCTION("""COMPUTED_VALUE"""),3.0)</f>
        <v>3</v>
      </c>
      <c r="B4" s="2" t="str">
        <f>IFERROR(__xludf.DUMMYFUNCTION("""COMPUTED_VALUE"""),"Tamor Storage")</f>
        <v>Tamor Storage</v>
      </c>
      <c r="C4" s="2">
        <f>IFERROR(__xludf.DUMMYFUNCTION("""COMPUTED_VALUE"""),200.0)</f>
        <v>200</v>
      </c>
      <c r="D4" s="2" t="str">
        <f>IFERROR(__xludf.DUMMYFUNCTION("""COMPUTED_VALUE"""),"Tamor")</f>
        <v>Tamor</v>
      </c>
      <c r="E4" s="2">
        <f>IFERROR(__xludf.DUMMYFUNCTION("""COMPUTED_VALUE"""),666.0)</f>
        <v>666</v>
      </c>
      <c r="F4" s="3">
        <f>IFERROR(__xludf.DUMMYFUNCTION("""COMPUTED_VALUE"""),62199.0)</f>
        <v>62199</v>
      </c>
      <c r="G4" s="3">
        <f>IFERROR(__xludf.DUMMYFUNCTION("""COMPUTED_VALUE"""),63659.0)</f>
        <v>63659</v>
      </c>
      <c r="H4" s="2" t="str">
        <f>IFERROR(__xludf.DUMMYFUNCTION("""COMPUTED_VALUE"""),"Nepal Electricity Authority")</f>
        <v>Nepal Electricity Authority</v>
      </c>
      <c r="I4" s="2" t="str">
        <f>IFERROR(__xludf.DUMMYFUNCTION("""COMPUTED_VALUE"""),"Ratnapark, kathmandu")</f>
        <v>Ratnapark, kathmandu</v>
      </c>
      <c r="J4" s="2" t="str">
        <f>IFERROR(__xludf.DUMMYFUNCTION("""COMPUTED_VALUE"""),"27o 02' 04""")</f>
        <v>27o 02' 04"</v>
      </c>
      <c r="K4" s="2" t="str">
        <f>IFERROR(__xludf.DUMMYFUNCTION("""COMPUTED_VALUE"""),"27o 13' 30""")</f>
        <v>27o 13' 30"</v>
      </c>
      <c r="L4" s="2" t="str">
        <f>IFERROR(__xludf.DUMMYFUNCTION("""COMPUTED_VALUE"""),"87o 31' 27""")</f>
        <v>87o 31' 27"</v>
      </c>
      <c r="M4" s="2" t="str">
        <f>IFERROR(__xludf.DUMMYFUNCTION("""COMPUTED_VALUE"""),"87o 45' 27""")</f>
        <v>87o 45' 27"</v>
      </c>
      <c r="N4" s="2" t="str">
        <f>IFERROR(__xludf.DUMMYFUNCTION("""COMPUTED_VALUE"""),"Panchami,Phidim,Sumang,Yasok,Syangrumba,Rani Gaun,Ambarpur,Bharapa 
(Panchthar) 
Nidhuradin,Phulbari,Hangpang,Phungling,Dokhu,Thechambu,Nankholyang,Chaksibote 
(Taplejung) Chhate 
Dhunga,Hawaku,Ewa,Myaglung,Okhare,Tamfula,Simle,Chuhandanda,Thoklung 
(Terh"&amp;"athum)")</f>
        <v>Panchami,Phidim,Sumang,Yasok,Syangrumba,Rani Gaun,Ambarpur,Bharapa 
(Panchthar) 
Nidhuradin,Phulbari,Hangpang,Phungling,Dokhu,Thechambu,Nankholyang,Chaksibote 
(Taplejung) Chhate 
Dhunga,Hawaku,Ewa,Myaglung,Okhare,Tamfula,Simle,Chuhandanda,Thoklung 
(Terhathum)</v>
      </c>
    </row>
    <row r="5">
      <c r="A5" s="2">
        <f>IFERROR(__xludf.DUMMYFUNCTION("""COMPUTED_VALUE"""),4.0)</f>
        <v>4</v>
      </c>
      <c r="B5" s="2" t="str">
        <f>IFERROR(__xludf.DUMMYFUNCTION("""COMPUTED_VALUE"""),"Mathillo Langtang HEP")</f>
        <v>Mathillo Langtang HEP</v>
      </c>
      <c r="C5" s="2">
        <f>IFERROR(__xludf.DUMMYFUNCTION("""COMPUTED_VALUE"""),24.35)</f>
        <v>24.35</v>
      </c>
      <c r="D5" s="2" t="str">
        <f>IFERROR(__xludf.DUMMYFUNCTION("""COMPUTED_VALUE"""),"Langtang")</f>
        <v>Langtang</v>
      </c>
      <c r="E5" s="2">
        <f>IFERROR(__xludf.DUMMYFUNCTION("""COMPUTED_VALUE"""),973.0)</f>
        <v>973</v>
      </c>
      <c r="F5" s="3">
        <f>IFERROR(__xludf.DUMMYFUNCTION("""COMPUTED_VALUE"""),63818.0)</f>
        <v>63818</v>
      </c>
      <c r="G5" s="3">
        <f>IFERROR(__xludf.DUMMYFUNCTION("""COMPUTED_VALUE"""),65643.0)</f>
        <v>65643</v>
      </c>
      <c r="H5" s="2" t="str">
        <f>IFERROR(__xludf.DUMMYFUNCTION("""COMPUTED_VALUE"""),"Yeti Langtang Energy Pvt. Ltd")</f>
        <v>Yeti Langtang Energy Pvt. Ltd</v>
      </c>
      <c r="I5" s="2" t="str">
        <f>IFERROR(__xludf.DUMMYFUNCTION("""COMPUTED_VALUE"""),"Yeti Building, Tilganga Ringroad, Kathmandu")</f>
        <v>Yeti Building, Tilganga Ringroad, Kathmandu</v>
      </c>
      <c r="J5" s="2" t="str">
        <f>IFERROR(__xludf.DUMMYFUNCTION("""COMPUTED_VALUE"""),"28o 12' 03""")</f>
        <v>28o 12' 03"</v>
      </c>
      <c r="K5" s="2" t="str">
        <f>IFERROR(__xludf.DUMMYFUNCTION("""COMPUTED_VALUE"""),"28o 12' 56""")</f>
        <v>28o 12' 56"</v>
      </c>
      <c r="L5" s="2" t="str">
        <f>IFERROR(__xludf.DUMMYFUNCTION("""COMPUTED_VALUE"""),"85o 30' 01""")</f>
        <v>85o 30' 01"</v>
      </c>
      <c r="M5" s="2" t="str">
        <f>IFERROR(__xludf.DUMMYFUNCTION("""COMPUTED_VALUE"""),"85o 34' 21""")</f>
        <v>85o 34' 21"</v>
      </c>
      <c r="N5" s="2" t="str">
        <f>IFERROR(__xludf.DUMMYFUNCTION("""COMPUTED_VALUE"""),"Langtang (Rasuwa)")</f>
        <v>Langtang (Rasuwa)</v>
      </c>
    </row>
    <row r="6">
      <c r="A6" s="2">
        <f>IFERROR(__xludf.DUMMYFUNCTION("""COMPUTED_VALUE"""),5.0)</f>
        <v>5</v>
      </c>
      <c r="B6" s="2" t="str">
        <f>IFERROR(__xludf.DUMMYFUNCTION("""COMPUTED_VALUE"""),"Ghunsa Khola HEP")</f>
        <v>Ghunsa Khola HEP</v>
      </c>
      <c r="C6" s="2">
        <f>IFERROR(__xludf.DUMMYFUNCTION("""COMPUTED_VALUE"""),155.82)</f>
        <v>155.82</v>
      </c>
      <c r="D6" s="2" t="str">
        <f>IFERROR(__xludf.DUMMYFUNCTION("""COMPUTED_VALUE"""),"Ghunsa khola")</f>
        <v>Ghunsa khola</v>
      </c>
      <c r="E6" s="2">
        <f>IFERROR(__xludf.DUMMYFUNCTION("""COMPUTED_VALUE"""),991.0)</f>
        <v>991</v>
      </c>
      <c r="F6" s="3">
        <f>IFERROR(__xludf.DUMMYFUNCTION("""COMPUTED_VALUE"""),63901.0)</f>
        <v>63901</v>
      </c>
      <c r="G6" s="3">
        <f>IFERROR(__xludf.DUMMYFUNCTION("""COMPUTED_VALUE"""),65726.0)</f>
        <v>65726</v>
      </c>
      <c r="H6" s="2" t="str">
        <f>IFERROR(__xludf.DUMMYFUNCTION("""COMPUTED_VALUE"""),"RM Investment Company Pvt. Ltd.")</f>
        <v>RM Investment Company Pvt. Ltd.</v>
      </c>
      <c r="I6" s="2" t="str">
        <f>IFERROR(__xludf.DUMMYFUNCTION("""COMPUTED_VALUE"""),"New Baneshor, Ktm, Nepal, Ph. No. 4781891")</f>
        <v>New Baneshor, Ktm, Nepal, Ph. No. 4781891</v>
      </c>
      <c r="J6" s="2" t="str">
        <f>IFERROR(__xludf.DUMMYFUNCTION("""COMPUTED_VALUE"""),"27o 34' 00""")</f>
        <v>27o 34' 00"</v>
      </c>
      <c r="K6" s="2" t="str">
        <f>IFERROR(__xludf.DUMMYFUNCTION("""COMPUTED_VALUE"""),"27o 39' 30""")</f>
        <v>27o 39' 30"</v>
      </c>
      <c r="L6" s="2" t="str">
        <f>IFERROR(__xludf.DUMMYFUNCTION("""COMPUTED_VALUE"""),"87o 50' 35""")</f>
        <v>87o 50' 35"</v>
      </c>
      <c r="M6" s="2" t="str">
        <f>IFERROR(__xludf.DUMMYFUNCTION("""COMPUTED_VALUE"""),"87o 56' 30""")</f>
        <v>87o 56' 30"</v>
      </c>
      <c r="N6" s="2" t="str">
        <f>IFERROR(__xludf.DUMMYFUNCTION("""COMPUTED_VALUE"""),"Lelep,Tapethok (Taplejung)")</f>
        <v>Lelep,Tapethok (Taplejung)</v>
      </c>
    </row>
    <row r="7">
      <c r="A7" s="2">
        <f>IFERROR(__xludf.DUMMYFUNCTION("""COMPUTED_VALUE"""),6.0)</f>
        <v>6</v>
      </c>
      <c r="B7" s="2" t="str">
        <f>IFERROR(__xludf.DUMMYFUNCTION("""COMPUTED_VALUE"""),"Upper Barunkhola HEP")</f>
        <v>Upper Barunkhola HEP</v>
      </c>
      <c r="C7" s="2">
        <f>IFERROR(__xludf.DUMMYFUNCTION("""COMPUTED_VALUE"""),109.5)</f>
        <v>109.5</v>
      </c>
      <c r="D7" s="2" t="str">
        <f>IFERROR(__xludf.DUMMYFUNCTION("""COMPUTED_VALUE"""),"Barun")</f>
        <v>Barun</v>
      </c>
      <c r="E7" s="2">
        <f>IFERROR(__xludf.DUMMYFUNCTION("""COMPUTED_VALUE"""),994.0)</f>
        <v>994</v>
      </c>
      <c r="F7" s="3">
        <f>IFERROR(__xludf.DUMMYFUNCTION("""COMPUTED_VALUE"""),63913.0)</f>
        <v>63913</v>
      </c>
      <c r="G7" s="3">
        <f>IFERROR(__xludf.DUMMYFUNCTION("""COMPUTED_VALUE"""),65738.0)</f>
        <v>65738</v>
      </c>
      <c r="H7" s="2" t="str">
        <f>IFERROR(__xludf.DUMMYFUNCTION("""COMPUTED_VALUE"""),"Great Hydropower Pvt. Ltd")</f>
        <v>Great Hydropower Pvt. Ltd</v>
      </c>
      <c r="I7" s="2" t="str">
        <f>IFERROR(__xludf.DUMMYFUNCTION("""COMPUTED_VALUE"""),"Kathmanu")</f>
        <v>Kathmanu</v>
      </c>
      <c r="J7" s="2" t="str">
        <f>IFERROR(__xludf.DUMMYFUNCTION("""COMPUTED_VALUE"""),"27o 42' 50""")</f>
        <v>27o 42' 50"</v>
      </c>
      <c r="K7" s="2" t="str">
        <f>IFERROR(__xludf.DUMMYFUNCTION("""COMPUTED_VALUE"""),"27o 44' 10""")</f>
        <v>27o 44' 10"</v>
      </c>
      <c r="L7" s="2" t="str">
        <f>IFERROR(__xludf.DUMMYFUNCTION("""COMPUTED_VALUE"""),"87o 12' 35""")</f>
        <v>87o 12' 35"</v>
      </c>
      <c r="M7" s="2" t="str">
        <f>IFERROR(__xludf.DUMMYFUNCTION("""COMPUTED_VALUE"""),"87o 18' 06""")</f>
        <v>87o 18' 06"</v>
      </c>
      <c r="N7" s="2" t="str">
        <f>IFERROR(__xludf.DUMMYFUNCTION("""COMPUTED_VALUE"""),"Makalu (Sankhuwasabha)")</f>
        <v>Makalu (Sankhuwasabha)</v>
      </c>
    </row>
    <row r="8">
      <c r="A8" s="2">
        <f>IFERROR(__xludf.DUMMYFUNCTION("""COMPUTED_VALUE"""),7.0)</f>
        <v>7</v>
      </c>
      <c r="B8" s="2" t="str">
        <f>IFERROR(__xludf.DUMMYFUNCTION("""COMPUTED_VALUE"""),"Saldim Khola HEP")</f>
        <v>Saldim Khola HEP</v>
      </c>
      <c r="C8" s="2">
        <f>IFERROR(__xludf.DUMMYFUNCTION("""COMPUTED_VALUE"""),45.0)</f>
        <v>45</v>
      </c>
      <c r="D8" s="2" t="str">
        <f>IFERROR(__xludf.DUMMYFUNCTION("""COMPUTED_VALUE"""),"Saldim")</f>
        <v>Saldim</v>
      </c>
      <c r="E8" s="2">
        <f>IFERROR(__xludf.DUMMYFUNCTION("""COMPUTED_VALUE"""),1073.0)</f>
        <v>1073</v>
      </c>
      <c r="F8" s="3">
        <f>IFERROR(__xludf.DUMMYFUNCTION("""COMPUTED_VALUE"""),64303.0)</f>
        <v>64303</v>
      </c>
      <c r="G8" s="3">
        <f>IFERROR(__xludf.DUMMYFUNCTION("""COMPUTED_VALUE"""),65398.0)</f>
        <v>65398</v>
      </c>
      <c r="H8" s="2" t="str">
        <f>IFERROR(__xludf.DUMMYFUNCTION("""COMPUTED_VALUE"""),"Ludhiana Holding Energy Nepal, Pvy. Ltd")</f>
        <v>Ludhiana Holding Energy Nepal, Pvy. Ltd</v>
      </c>
      <c r="I8" s="2" t="str">
        <f>IFERROR(__xludf.DUMMYFUNCTION("""COMPUTED_VALUE"""),"Tokha- 7, Kathmandu")</f>
        <v>Tokha- 7, Kathmandu</v>
      </c>
      <c r="J8" s="2" t="str">
        <f>IFERROR(__xludf.DUMMYFUNCTION("""COMPUTED_VALUE"""),"27o 43' 00""")</f>
        <v>27o 43' 00"</v>
      </c>
      <c r="K8" s="2" t="str">
        <f>IFERROR(__xludf.DUMMYFUNCTION("""COMPUTED_VALUE"""),"27o 47' 00""")</f>
        <v>27o 47' 00"</v>
      </c>
      <c r="L8" s="2" t="str">
        <f>IFERROR(__xludf.DUMMYFUNCTION("""COMPUTED_VALUE"""),"87o 15' 00""")</f>
        <v>87o 15' 00"</v>
      </c>
      <c r="M8" s="2" t="str">
        <f>IFERROR(__xludf.DUMMYFUNCTION("""COMPUTED_VALUE"""),"87o 18' 27""")</f>
        <v>87o 18' 27"</v>
      </c>
      <c r="N8" s="2" t="str">
        <f>IFERROR(__xludf.DUMMYFUNCTION("""COMPUTED_VALUE"""),"Makalu (Sankhuwasabha)")</f>
        <v>Makalu (Sankhuwasabha)</v>
      </c>
    </row>
    <row r="9">
      <c r="A9" s="2">
        <f>IFERROR(__xludf.DUMMYFUNCTION("""COMPUTED_VALUE"""),8.0)</f>
        <v>8</v>
      </c>
      <c r="B9" s="2" t="str">
        <f>IFERROR(__xludf.DUMMYFUNCTION("""COMPUTED_VALUE"""),"Lower Arun Hydropower Project")</f>
        <v>Lower Arun Hydropower Project</v>
      </c>
      <c r="C9" s="2">
        <f>IFERROR(__xludf.DUMMYFUNCTION("""COMPUTED_VALUE"""),679.0)</f>
        <v>679</v>
      </c>
      <c r="D9" s="2" t="str">
        <f>IFERROR(__xludf.DUMMYFUNCTION("""COMPUTED_VALUE"""),"Arun")</f>
        <v>Arun</v>
      </c>
      <c r="E9" s="2" t="str">
        <f>IFERROR(__xludf.DUMMYFUNCTION("""COMPUTED_VALUE"""),"Sa.A. 003/2077/78")</f>
        <v>Sa.A. 003/2077/78</v>
      </c>
      <c r="F9" s="3">
        <f>IFERROR(__xludf.DUMMYFUNCTION("""COMPUTED_VALUE"""),65101.0)</f>
        <v>65101</v>
      </c>
      <c r="G9" s="3">
        <f>IFERROR(__xludf.DUMMYFUNCTION("""COMPUTED_VALUE"""),65831.0)</f>
        <v>65831</v>
      </c>
      <c r="H9" s="2" t="str">
        <f>IFERROR(__xludf.DUMMYFUNCTION("""COMPUTED_VALUE"""),"SJVN Limited India")</f>
        <v>SJVN Limited India</v>
      </c>
      <c r="I9" s="2" t="str">
        <f>IFERROR(__xludf.DUMMYFUNCTION("""COMPUTED_VALUE"""),"Shakti Sadan, Corporate Office Complex, Shanan, Shimla- 171006, Himachal 
Pradesh India. Phone: +91-11-61901801")</f>
        <v>Shakti Sadan, Corporate Office Complex, Shanan, Shimla- 171006, Himachal 
Pradesh India. Phone: +91-11-61901801</v>
      </c>
      <c r="J9" s="2" t="str">
        <f>IFERROR(__xludf.DUMMYFUNCTION("""COMPUTED_VALUE"""),"27o 21' 51""")</f>
        <v>27o 21' 51"</v>
      </c>
      <c r="K9" s="2" t="str">
        <f>IFERROR(__xludf.DUMMYFUNCTION("""COMPUTED_VALUE"""),"27o 30' 00""")</f>
        <v>27o 30' 00"</v>
      </c>
      <c r="L9" s="2" t="str">
        <f>IFERROR(__xludf.DUMMYFUNCTION("""COMPUTED_VALUE"""),"87o 07' 30""")</f>
        <v>87o 07' 30"</v>
      </c>
      <c r="M9" s="2" t="str">
        <f>IFERROR(__xludf.DUMMYFUNCTION("""COMPUTED_VALUE"""),"87o 12' 30""")</f>
        <v>87o 12' 30"</v>
      </c>
      <c r="N9" s="2"/>
    </row>
    <row r="10">
      <c r="A10" s="2">
        <f>IFERROR(__xludf.DUMMYFUNCTION("""COMPUTED_VALUE"""),9.0)</f>
        <v>9</v>
      </c>
      <c r="B10" s="2" t="str">
        <f>IFERROR(__xludf.DUMMYFUNCTION("""COMPUTED_VALUE"""),"Arun 4 PRoR HEP")</f>
        <v>Arun 4 PRoR HEP</v>
      </c>
      <c r="C10" s="2">
        <f>IFERROR(__xludf.DUMMYFUNCTION("""COMPUTED_VALUE"""),490.2)</f>
        <v>490.2</v>
      </c>
      <c r="D10" s="2" t="str">
        <f>IFERROR(__xludf.DUMMYFUNCTION("""COMPUTED_VALUE"""),"Arun")</f>
        <v>Arun</v>
      </c>
      <c r="E10" s="2">
        <f>IFERROR(__xludf.DUMMYFUNCTION("""COMPUTED_VALUE"""),1153.0)</f>
        <v>1153</v>
      </c>
      <c r="F10" s="3">
        <f>IFERROR(__xludf.DUMMYFUNCTION("""COMPUTED_VALUE"""),65203.0)</f>
        <v>65203</v>
      </c>
      <c r="G10" s="3">
        <f>IFERROR(__xludf.DUMMYFUNCTION("""COMPUTED_VALUE"""),67028.0)</f>
        <v>67028</v>
      </c>
      <c r="H10" s="2" t="str">
        <f>IFERROR(__xludf.DUMMYFUNCTION("""COMPUTED_VALUE"""),"Nepal Electricity Authority")</f>
        <v>Nepal Electricity Authority</v>
      </c>
      <c r="I10" s="2" t="str">
        <f>IFERROR(__xludf.DUMMYFUNCTION("""COMPUTED_VALUE"""),"Durbar Marg , Kathmandu")</f>
        <v>Durbar Marg , Kathmandu</v>
      </c>
      <c r="J10" s="2" t="str">
        <f>IFERROR(__xludf.DUMMYFUNCTION("""COMPUTED_VALUE"""),"27o 35' 00""")</f>
        <v>27o 35' 00"</v>
      </c>
      <c r="K10" s="2" t="str">
        <f>IFERROR(__xludf.DUMMYFUNCTION("""COMPUTED_VALUE"""),"27o 40' 18""")</f>
        <v>27o 40' 18"</v>
      </c>
      <c r="L10" s="2" t="str">
        <f>IFERROR(__xludf.DUMMYFUNCTION("""COMPUTED_VALUE"""),"87o 18' 15""")</f>
        <v>87o 18' 15"</v>
      </c>
      <c r="M10" s="2" t="str">
        <f>IFERROR(__xludf.DUMMYFUNCTION("""COMPUTED_VALUE"""),"87o 22' 45""")</f>
        <v>87o 22' 45"</v>
      </c>
      <c r="N10" s="2" t="str">
        <f>IFERROR(__xludf.DUMMYFUNCTION("""COMPUTED_VALUE"""),"Makalu (Sankhuwasabha)")</f>
        <v>Makalu (Sankhuwasabha)</v>
      </c>
    </row>
    <row r="11">
      <c r="A11" s="2">
        <f>IFERROR(__xludf.DUMMYFUNCTION("""COMPUTED_VALUE"""),10.0)</f>
        <v>10</v>
      </c>
      <c r="B11" s="2" t="str">
        <f>IFERROR(__xludf.DUMMYFUNCTION("""COMPUTED_VALUE"""),"Super Palung HEP")</f>
        <v>Super Palung HEP</v>
      </c>
      <c r="C11" s="2">
        <f>IFERROR(__xludf.DUMMYFUNCTION("""COMPUTED_VALUE"""),5.0)</f>
        <v>5</v>
      </c>
      <c r="D11" s="2" t="str">
        <f>IFERROR(__xludf.DUMMYFUNCTION("""COMPUTED_VALUE"""),"Palun Khola")</f>
        <v>Palun Khola</v>
      </c>
      <c r="E11" s="2">
        <f>IFERROR(__xludf.DUMMYFUNCTION("""COMPUTED_VALUE"""),1163.0)</f>
        <v>1163</v>
      </c>
      <c r="F11" s="3">
        <f>IFERROR(__xludf.DUMMYFUNCTION("""COMPUTED_VALUE"""),65229.0)</f>
        <v>65229</v>
      </c>
      <c r="G11" s="3">
        <f>IFERROR(__xludf.DUMMYFUNCTION("""COMPUTED_VALUE"""),66689.0)</f>
        <v>66689</v>
      </c>
      <c r="H11" s="2" t="str">
        <f>IFERROR(__xludf.DUMMYFUNCTION("""COMPUTED_VALUE"""),"Prakash Solution Company")</f>
        <v>Prakash Solution Company</v>
      </c>
      <c r="I11" s="2" t="str">
        <f>IFERROR(__xludf.DUMMYFUNCTION("""COMPUTED_VALUE"""),"Budhanilkantha-2, Kathmandu, Contact No.: 9851029813")</f>
        <v>Budhanilkantha-2, Kathmandu, Contact No.: 9851029813</v>
      </c>
      <c r="J11" s="2" t="str">
        <f>IFERROR(__xludf.DUMMYFUNCTION("""COMPUTED_VALUE"""),"27o 35' 53""")</f>
        <v>27o 35' 53"</v>
      </c>
      <c r="K11" s="2" t="str">
        <f>IFERROR(__xludf.DUMMYFUNCTION("""COMPUTED_VALUE"""),"27o 37' 54""")</f>
        <v>27o 37' 54"</v>
      </c>
      <c r="L11" s="2" t="str">
        <f>IFERROR(__xludf.DUMMYFUNCTION("""COMPUTED_VALUE"""),"87o 38' 38""")</f>
        <v>87o 38' 38"</v>
      </c>
      <c r="M11" s="2" t="str">
        <f>IFERROR(__xludf.DUMMYFUNCTION("""COMPUTED_VALUE"""),"87o 40' 45""")</f>
        <v>87o 40' 45"</v>
      </c>
      <c r="N11" s="2" t="str">
        <f>IFERROR(__xludf.DUMMYFUNCTION("""COMPUTED_VALUE"""),"Papung (Taplejung)")</f>
        <v>Papung (Taplejung)</v>
      </c>
    </row>
    <row r="12">
      <c r="A12" s="2">
        <f>IFERROR(__xludf.DUMMYFUNCTION("""COMPUTED_VALUE"""),11.0)</f>
        <v>11</v>
      </c>
      <c r="B12" s="2" t="str">
        <f>IFERROR(__xludf.DUMMYFUNCTION("""COMPUTED_VALUE"""),"Ranma Khola HPP")</f>
        <v>Ranma Khola HPP</v>
      </c>
      <c r="C12" s="2">
        <f>IFERROR(__xludf.DUMMYFUNCTION("""COMPUTED_VALUE"""),36.6)</f>
        <v>36.6</v>
      </c>
      <c r="D12" s="2" t="str">
        <f>IFERROR(__xludf.DUMMYFUNCTION("""COMPUTED_VALUE"""),"Ranma")</f>
        <v>Ranma</v>
      </c>
      <c r="E12" s="2">
        <f>IFERROR(__xludf.DUMMYFUNCTION("""COMPUTED_VALUE"""),1167.0)</f>
        <v>1167</v>
      </c>
      <c r="F12" s="3">
        <f>IFERROR(__xludf.DUMMYFUNCTION("""COMPUTED_VALUE"""),65250.0)</f>
        <v>65250</v>
      </c>
      <c r="G12" s="3">
        <f>IFERROR(__xludf.DUMMYFUNCTION("""COMPUTED_VALUE"""),67075.0)</f>
        <v>67075</v>
      </c>
      <c r="H12" s="2" t="str">
        <f>IFERROR(__xludf.DUMMYFUNCTION("""COMPUTED_VALUE"""),"Dhorpatan Ranma Hydropower Private Limited")</f>
        <v>Dhorpatan Ranma Hydropower Private Limited</v>
      </c>
      <c r="I12" s="2" t="str">
        <f>IFERROR(__xludf.DUMMYFUNCTION("""COMPUTED_VALUE"""),"Kathmandu, KMC-22")</f>
        <v>Kathmandu, KMC-22</v>
      </c>
      <c r="J12" s="2" t="str">
        <f>IFERROR(__xludf.DUMMYFUNCTION("""COMPUTED_VALUE"""),"28o 41' 00""")</f>
        <v>28o 41' 00"</v>
      </c>
      <c r="K12" s="2" t="str">
        <f>IFERROR(__xludf.DUMMYFUNCTION("""COMPUTED_VALUE"""),"28o 43' 07""")</f>
        <v>28o 43' 07"</v>
      </c>
      <c r="L12" s="2" t="str">
        <f>IFERROR(__xludf.DUMMYFUNCTION("""COMPUTED_VALUE"""),"82o 50' 00""")</f>
        <v>82o 50' 00"</v>
      </c>
      <c r="M12" s="2" t="str">
        <f>IFERROR(__xludf.DUMMYFUNCTION("""COMPUTED_VALUE"""),"82o 52' 25""")</f>
        <v>82o 52' 25"</v>
      </c>
      <c r="N12" s="2" t="str">
        <f>IFERROR(__xludf.DUMMYFUNCTION("""COMPUTED_VALUE"""),"Ranmamekot (Rukum)")</f>
        <v>Ranmamekot (Rukum)</v>
      </c>
    </row>
    <row r="13">
      <c r="A13" s="2">
        <f>IFERROR(__xludf.DUMMYFUNCTION("""COMPUTED_VALUE"""),12.0)</f>
        <v>12</v>
      </c>
      <c r="B13" s="2" t="str">
        <f>IFERROR(__xludf.DUMMYFUNCTION("""COMPUTED_VALUE"""),"Isuwa PROR Cascade-3 Hydropower Project")</f>
        <v>Isuwa PROR Cascade-3 Hydropower Project</v>
      </c>
      <c r="C13" s="2">
        <f>IFERROR(__xludf.DUMMYFUNCTION("""COMPUTED_VALUE"""),9.95)</f>
        <v>9.95</v>
      </c>
      <c r="D13" s="2" t="str">
        <f>IFERROR(__xludf.DUMMYFUNCTION("""COMPUTED_VALUE"""),"Isuwa Khola")</f>
        <v>Isuwa Khola</v>
      </c>
      <c r="E13" s="2">
        <f>IFERROR(__xludf.DUMMYFUNCTION("""COMPUTED_VALUE"""),1169.0)</f>
        <v>1169</v>
      </c>
      <c r="F13" s="3">
        <f>IFERROR(__xludf.DUMMYFUNCTION("""COMPUTED_VALUE"""),65272.0)</f>
        <v>65272</v>
      </c>
      <c r="G13" s="3">
        <f>IFERROR(__xludf.DUMMYFUNCTION("""COMPUTED_VALUE"""),67097.0)</f>
        <v>67097</v>
      </c>
      <c r="H13" s="2" t="str">
        <f>IFERROR(__xludf.DUMMYFUNCTION("""COMPUTED_VALUE"""),"Magic Arun Hydropower p.Ltd.")</f>
        <v>Magic Arun Hydropower p.Ltd.</v>
      </c>
      <c r="I13" s="2" t="str">
        <f>IFERROR(__xludf.DUMMYFUNCTION("""COMPUTED_VALUE"""),"Kathamandu-05,9852099550")</f>
        <v>Kathamandu-05,9852099550</v>
      </c>
      <c r="J13" s="2" t="str">
        <f>IFERROR(__xludf.DUMMYFUNCTION("""COMPUTED_VALUE"""),"27o 28' 30""")</f>
        <v>27o 28' 30"</v>
      </c>
      <c r="K13" s="2" t="str">
        <f>IFERROR(__xludf.DUMMYFUNCTION("""COMPUTED_VALUE"""),"27o 31' 07""")</f>
        <v>27o 31' 07"</v>
      </c>
      <c r="L13" s="2" t="str">
        <f>IFERROR(__xludf.DUMMYFUNCTION("""COMPUTED_VALUE"""),"87o 08' 00""")</f>
        <v>87o 08' 00"</v>
      </c>
      <c r="M13" s="2" t="str">
        <f>IFERROR(__xludf.DUMMYFUNCTION("""COMPUTED_VALUE"""),"87o 12' 27""")</f>
        <v>87o 12' 27"</v>
      </c>
      <c r="N13" s="2"/>
    </row>
    <row r="14">
      <c r="A14" s="2">
        <f>IFERROR(__xludf.DUMMYFUNCTION("""COMPUTED_VALUE"""),13.0)</f>
        <v>13</v>
      </c>
      <c r="B14" s="2" t="str">
        <f>IFERROR(__xludf.DUMMYFUNCTION("""COMPUTED_VALUE"""),"Pikhuwa Khola (Khawa) HPP")</f>
        <v>Pikhuwa Khola (Khawa) HPP</v>
      </c>
      <c r="C14" s="2">
        <f>IFERROR(__xludf.DUMMYFUNCTION("""COMPUTED_VALUE"""),6.74)</f>
        <v>6.74</v>
      </c>
      <c r="D14" s="2" t="str">
        <f>IFERROR(__xludf.DUMMYFUNCTION("""COMPUTED_VALUE"""),"Pikhuwa")</f>
        <v>Pikhuwa</v>
      </c>
      <c r="E14" s="2">
        <f>IFERROR(__xludf.DUMMYFUNCTION("""COMPUTED_VALUE"""),1171.0)</f>
        <v>1171</v>
      </c>
      <c r="F14" s="3">
        <f>IFERROR(__xludf.DUMMYFUNCTION("""COMPUTED_VALUE"""),65285.0)</f>
        <v>65285</v>
      </c>
      <c r="G14" s="3">
        <f>IFERROR(__xludf.DUMMYFUNCTION("""COMPUTED_VALUE"""),67110.0)</f>
        <v>67110</v>
      </c>
      <c r="H14" s="2" t="str">
        <f>IFERROR(__xludf.DUMMYFUNCTION("""COMPUTED_VALUE"""),"Aspire Power Company Pvt. Ltd.")</f>
        <v>Aspire Power Company Pvt. Ltd.</v>
      </c>
      <c r="I14" s="2" t="str">
        <f>IFERROR(__xludf.DUMMYFUNCTION("""COMPUTED_VALUE"""),"Ka.Ma.Pa-10, 9851140280, email: aspirepower.company@gmail.com")</f>
        <v>Ka.Ma.Pa-10, 9851140280, email: aspirepower.company@gmail.com</v>
      </c>
      <c r="J14" s="2" t="str">
        <f>IFERROR(__xludf.DUMMYFUNCTION("""COMPUTED_VALUE"""),"27o 10' 34""")</f>
        <v>27o 10' 34"</v>
      </c>
      <c r="K14" s="2" t="str">
        <f>IFERROR(__xludf.DUMMYFUNCTION("""COMPUTED_VALUE"""),"27o 12' 08""")</f>
        <v>27o 12' 08"</v>
      </c>
      <c r="L14" s="2" t="str">
        <f>IFERROR(__xludf.DUMMYFUNCTION("""COMPUTED_VALUE"""),"86o 59' 25""")</f>
        <v>86o 59' 25"</v>
      </c>
      <c r="M14" s="2" t="str">
        <f>IFERROR(__xludf.DUMMYFUNCTION("""COMPUTED_VALUE"""),"87o 01' 00""")</f>
        <v>87o 01' 00"</v>
      </c>
      <c r="N14" s="2"/>
    </row>
    <row r="15">
      <c r="A15" s="2">
        <f>IFERROR(__xludf.DUMMYFUNCTION("""COMPUTED_VALUE"""),14.0)</f>
        <v>14</v>
      </c>
      <c r="B15" s="2" t="str">
        <f>IFERROR(__xludf.DUMMYFUNCTION("""COMPUTED_VALUE"""),"Upper Taksu Small HEP")</f>
        <v>Upper Taksu Small HEP</v>
      </c>
      <c r="C15" s="2">
        <f>IFERROR(__xludf.DUMMYFUNCTION("""COMPUTED_VALUE"""),6.3)</f>
        <v>6.3</v>
      </c>
      <c r="D15" s="2" t="str">
        <f>IFERROR(__xludf.DUMMYFUNCTION("""COMPUTED_VALUE"""),"Taksu")</f>
        <v>Taksu</v>
      </c>
      <c r="E15" s="2">
        <f>IFERROR(__xludf.DUMMYFUNCTION("""COMPUTED_VALUE"""),1176.0)</f>
        <v>1176</v>
      </c>
      <c r="F15" s="3">
        <f>IFERROR(__xludf.DUMMYFUNCTION("""COMPUTED_VALUE"""),65300.0)</f>
        <v>65300</v>
      </c>
      <c r="G15" s="3">
        <f>IFERROR(__xludf.DUMMYFUNCTION("""COMPUTED_VALUE"""),67125.0)</f>
        <v>67125</v>
      </c>
      <c r="H15" s="2" t="str">
        <f>IFERROR(__xludf.DUMMYFUNCTION("""COMPUTED_VALUE"""),"Veritas Energy Pvt. Ltd")</f>
        <v>Veritas Energy Pvt. Ltd</v>
      </c>
      <c r="I15" s="2" t="str">
        <f>IFERROR(__xludf.DUMMYFUNCTION("""COMPUTED_VALUE"""),"Kathmandu, Contact no.: 014221202, email: veritasnpl@gmail.com")</f>
        <v>Kathmandu, Contact no.: 014221202, email: veritasnpl@gmail.com</v>
      </c>
      <c r="J15" s="2" t="str">
        <f>IFERROR(__xludf.DUMMYFUNCTION("""COMPUTED_VALUE"""),"28o 53' 53""")</f>
        <v>28o 53' 53"</v>
      </c>
      <c r="K15" s="2" t="str">
        <f>IFERROR(__xludf.DUMMYFUNCTION("""COMPUTED_VALUE"""),"28o 55' 23""")</f>
        <v>28o 55' 23"</v>
      </c>
      <c r="L15" s="2" t="str">
        <f>IFERROR(__xludf.DUMMYFUNCTION("""COMPUTED_VALUE"""),"82o 26' 18""")</f>
        <v>82o 26' 18"</v>
      </c>
      <c r="M15" s="2" t="str">
        <f>IFERROR(__xludf.DUMMYFUNCTION("""COMPUTED_VALUE"""),"82o 26' 50""")</f>
        <v>82o 26' 50"</v>
      </c>
      <c r="N15" s="2" t="str">
        <f>IFERROR(__xludf.DUMMYFUNCTION("""COMPUTED_VALUE"""),"Ragda (Jajarkot)")</f>
        <v>Ragda (Jajarkot)</v>
      </c>
    </row>
    <row r="16">
      <c r="A16" s="2">
        <f>IFERROR(__xludf.DUMMYFUNCTION("""COMPUTED_VALUE"""),15.0)</f>
        <v>15</v>
      </c>
      <c r="B16" s="2" t="str">
        <f>IFERROR(__xludf.DUMMYFUNCTION("""COMPUTED_VALUE"""),"Super Seti Hydropower Project")</f>
        <v>Super Seti Hydropower Project</v>
      </c>
      <c r="C16" s="2">
        <f>IFERROR(__xludf.DUMMYFUNCTION("""COMPUTED_VALUE"""),46.0)</f>
        <v>46</v>
      </c>
      <c r="D16" s="2" t="str">
        <f>IFERROR(__xludf.DUMMYFUNCTION("""COMPUTED_VALUE"""),"Seti (Far West)")</f>
        <v>Seti (Far West)</v>
      </c>
      <c r="E16" s="2">
        <f>IFERROR(__xludf.DUMMYFUNCTION("""COMPUTED_VALUE"""),1182.0)</f>
        <v>1182</v>
      </c>
      <c r="F16" s="3">
        <f>IFERROR(__xludf.DUMMYFUNCTION("""COMPUTED_VALUE"""),65325.0)</f>
        <v>65325</v>
      </c>
      <c r="G16" s="3">
        <f>IFERROR(__xludf.DUMMYFUNCTION("""COMPUTED_VALUE"""),66785.0)</f>
        <v>66785</v>
      </c>
      <c r="H16" s="2" t="str">
        <f>IFERROR(__xludf.DUMMYFUNCTION("""COMPUTED_VALUE"""),"Sun Star Energy Pvt. Ltd.")</f>
        <v>Sun Star Energy Pvt. Ltd.</v>
      </c>
      <c r="I16" s="2" t="str">
        <f>IFERROR(__xludf.DUMMYFUNCTION("""COMPUTED_VALUE"""),"Tinkune, Kathmandu, Phone No. 9851243683")</f>
        <v>Tinkune, Kathmandu, Phone No. 9851243683</v>
      </c>
      <c r="J16" s="2" t="str">
        <f>IFERROR(__xludf.DUMMYFUNCTION("""COMPUTED_VALUE"""),"29o 50' 25""")</f>
        <v>29o 50' 25"</v>
      </c>
      <c r="K16" s="2" t="str">
        <f>IFERROR(__xludf.DUMMYFUNCTION("""COMPUTED_VALUE"""),"29o 52' 00""")</f>
        <v>29o 52' 00"</v>
      </c>
      <c r="L16" s="2" t="str">
        <f>IFERROR(__xludf.DUMMYFUNCTION("""COMPUTED_VALUE"""),"81o 11' 50""")</f>
        <v>81o 11' 50"</v>
      </c>
      <c r="M16" s="2" t="str">
        <f>IFERROR(__xludf.DUMMYFUNCTION("""COMPUTED_VALUE"""),"81o 15' 00""")</f>
        <v>81o 15' 00"</v>
      </c>
      <c r="N16" s="2"/>
    </row>
    <row r="17">
      <c r="A17" s="2">
        <f>IFERROR(__xludf.DUMMYFUNCTION("""COMPUTED_VALUE"""),16.0)</f>
        <v>16</v>
      </c>
      <c r="B17" s="2" t="str">
        <f>IFERROR(__xludf.DUMMYFUNCTION("""COMPUTED_VALUE"""),"Super Humla Karnali Nadi HEP")</f>
        <v>Super Humla Karnali Nadi HEP</v>
      </c>
      <c r="C17" s="2">
        <f>IFERROR(__xludf.DUMMYFUNCTION("""COMPUTED_VALUE"""),152.725)</f>
        <v>152.725</v>
      </c>
      <c r="D17" s="2" t="str">
        <f>IFERROR(__xludf.DUMMYFUNCTION("""COMPUTED_VALUE"""),"Humla Karnali")</f>
        <v>Humla Karnali</v>
      </c>
      <c r="E17" s="2">
        <f>IFERROR(__xludf.DUMMYFUNCTION("""COMPUTED_VALUE"""),1189.0)</f>
        <v>1189</v>
      </c>
      <c r="F17" s="3">
        <f>IFERROR(__xludf.DUMMYFUNCTION("""COMPUTED_VALUE"""),65337.0)</f>
        <v>65337</v>
      </c>
      <c r="G17" s="3">
        <f>IFERROR(__xludf.DUMMYFUNCTION("""COMPUTED_VALUE"""),66797.0)</f>
        <v>66797</v>
      </c>
      <c r="H17" s="2" t="str">
        <f>IFERROR(__xludf.DUMMYFUNCTION("""COMPUTED_VALUE"""),"Inspire Clean Energy Limited")</f>
        <v>Inspire Clean Energy Limited</v>
      </c>
      <c r="I17" s="2" t="str">
        <f>IFERROR(__xludf.DUMMYFUNCTION("""COMPUTED_VALUE"""),"Bluestar Complex,Tripureshwor, Contact No.: 01-4101140, 4251080")</f>
        <v>Bluestar Complex,Tripureshwor, Contact No.: 01-4101140, 4251080</v>
      </c>
      <c r="J17" s="2" t="str">
        <f>IFERROR(__xludf.DUMMYFUNCTION("""COMPUTED_VALUE"""),"30o 07' 17""")</f>
        <v>30o 07' 17"</v>
      </c>
      <c r="K17" s="2" t="str">
        <f>IFERROR(__xludf.DUMMYFUNCTION("""COMPUTED_VALUE"""),"30o 11' 30""")</f>
        <v>30o 11' 30"</v>
      </c>
      <c r="L17" s="2" t="str">
        <f>IFERROR(__xludf.DUMMYFUNCTION("""COMPUTED_VALUE"""),"81o 25' 30""")</f>
        <v>81o 25' 30"</v>
      </c>
      <c r="M17" s="2" t="str">
        <f>IFERROR(__xludf.DUMMYFUNCTION("""COMPUTED_VALUE"""),"81o 32' 16""")</f>
        <v>81o 32' 16"</v>
      </c>
      <c r="N17" s="2" t="str">
        <f>IFERROR(__xludf.DUMMYFUNCTION("""COMPUTED_VALUE"""),"Muchu,Limi (Humla)")</f>
        <v>Muchu,Limi (Humla)</v>
      </c>
    </row>
    <row r="18">
      <c r="A18" s="2">
        <f>IFERROR(__xludf.DUMMYFUNCTION("""COMPUTED_VALUE"""),17.0)</f>
        <v>17</v>
      </c>
      <c r="B18" s="2" t="str">
        <f>IFERROR(__xludf.DUMMYFUNCTION("""COMPUTED_VALUE"""),"Rudrawati Badigaad Hydropower Project")</f>
        <v>Rudrawati Badigaad Hydropower Project</v>
      </c>
      <c r="C18" s="2">
        <f>IFERROR(__xludf.DUMMYFUNCTION("""COMPUTED_VALUE"""),9.6)</f>
        <v>9.6</v>
      </c>
      <c r="D18" s="2" t="str">
        <f>IFERROR(__xludf.DUMMYFUNCTION("""COMPUTED_VALUE"""),"Badigad")</f>
        <v>Badigad</v>
      </c>
      <c r="E18" s="2">
        <f>IFERROR(__xludf.DUMMYFUNCTION("""COMPUTED_VALUE"""),1193.0)</f>
        <v>1193</v>
      </c>
      <c r="F18" s="3">
        <f>IFERROR(__xludf.DUMMYFUNCTION("""COMPUTED_VALUE"""),65387.0)</f>
        <v>65387</v>
      </c>
      <c r="G18" s="3">
        <f>IFERROR(__xludf.DUMMYFUNCTION("""COMPUTED_VALUE"""),67212.0)</f>
        <v>67212</v>
      </c>
      <c r="H18" s="2" t="str">
        <f>IFERROR(__xludf.DUMMYFUNCTION("""COMPUTED_VALUE"""),"Hanumante Power and Energy Pvt.Ltd.")</f>
        <v>Hanumante Power and Energy Pvt.Ltd.</v>
      </c>
      <c r="I18" s="2" t="str">
        <f>IFERROR(__xludf.DUMMYFUNCTION("""COMPUTED_VALUE"""),"Kathamandu-32,Pepsikola, Ph no.5906214")</f>
        <v>Kathamandu-32,Pepsikola, Ph no.5906214</v>
      </c>
      <c r="J18" s="2" t="str">
        <f>IFERROR(__xludf.DUMMYFUNCTION("""COMPUTED_VALUE"""),"28o 12' 33""")</f>
        <v>28o 12' 33"</v>
      </c>
      <c r="K18" s="2" t="str">
        <f>IFERROR(__xludf.DUMMYFUNCTION("""COMPUTED_VALUE"""),"28o 13' 25""")</f>
        <v>28o 13' 25"</v>
      </c>
      <c r="L18" s="2" t="str">
        <f>IFERROR(__xludf.DUMMYFUNCTION("""COMPUTED_VALUE"""),"83o 14' 05""")</f>
        <v>83o 14' 05"</v>
      </c>
      <c r="M18" s="2" t="str">
        <f>IFERROR(__xludf.DUMMYFUNCTION("""COMPUTED_VALUE"""),"83o 15' 40""")</f>
        <v>83o 15' 40"</v>
      </c>
      <c r="N18" s="2"/>
    </row>
    <row r="19">
      <c r="A19" s="2">
        <f>IFERROR(__xludf.DUMMYFUNCTION("""COMPUTED_VALUE"""),18.0)</f>
        <v>18</v>
      </c>
      <c r="B19" s="2" t="str">
        <f>IFERROR(__xludf.DUMMYFUNCTION("""COMPUTED_VALUE"""),"Tejo Thogam Khola HPP")</f>
        <v>Tejo Thogam Khola HPP</v>
      </c>
      <c r="C19" s="2">
        <f>IFERROR(__xludf.DUMMYFUNCTION("""COMPUTED_VALUE"""),29.0)</f>
        <v>29</v>
      </c>
      <c r="D19" s="2" t="str">
        <f>IFERROR(__xludf.DUMMYFUNCTION("""COMPUTED_VALUE"""),"Tejo, Thogam")</f>
        <v>Tejo, Thogam</v>
      </c>
      <c r="E19" s="2">
        <f>IFERROR(__xludf.DUMMYFUNCTION("""COMPUTED_VALUE"""),1196.0)</f>
        <v>1196</v>
      </c>
      <c r="F19" s="3">
        <f>IFERROR(__xludf.DUMMYFUNCTION("""COMPUTED_VALUE"""),65392.0)</f>
        <v>65392</v>
      </c>
      <c r="G19" s="3">
        <f>IFERROR(__xludf.DUMMYFUNCTION("""COMPUTED_VALUE"""),66852.0)</f>
        <v>66852</v>
      </c>
      <c r="H19" s="2" t="str">
        <f>IFERROR(__xludf.DUMMYFUNCTION("""COMPUTED_VALUE"""),"Snowfall Hydropower Pvt. Ltd.")</f>
        <v>Snowfall Hydropower Pvt. Ltd.</v>
      </c>
      <c r="I19" s="2" t="str">
        <f>IFERROR(__xludf.DUMMYFUNCTION("""COMPUTED_VALUE"""),"Ka. Ma.Pa. -5, 9803590343")</f>
        <v>Ka. Ma.Pa. -5, 9803590343</v>
      </c>
      <c r="J19" s="2" t="str">
        <f>IFERROR(__xludf.DUMMYFUNCTION("""COMPUTED_VALUE"""),"27o 44' 00""")</f>
        <v>27o 44' 00"</v>
      </c>
      <c r="K19" s="2" t="str">
        <f>IFERROR(__xludf.DUMMYFUNCTION("""COMPUTED_VALUE"""),"27o 47' 00""")</f>
        <v>27o 47' 00"</v>
      </c>
      <c r="L19" s="2" t="str">
        <f>IFERROR(__xludf.DUMMYFUNCTION("""COMPUTED_VALUE"""),"87o 19' 00""")</f>
        <v>87o 19' 00"</v>
      </c>
      <c r="M19" s="2" t="str">
        <f>IFERROR(__xludf.DUMMYFUNCTION("""COMPUTED_VALUE"""),"87o 21' 21""")</f>
        <v>87o 21' 21"</v>
      </c>
      <c r="N19" s="2" t="str">
        <f>IFERROR(__xludf.DUMMYFUNCTION("""COMPUTED_VALUE"""),"Hatiya (Sankhuwasabha)")</f>
        <v>Hatiya (Sankhuwasabha)</v>
      </c>
    </row>
    <row r="20">
      <c r="A20" s="2">
        <f>IFERROR(__xludf.DUMMYFUNCTION("""COMPUTED_VALUE"""),19.0)</f>
        <v>19</v>
      </c>
      <c r="B20" s="2" t="str">
        <f>IFERROR(__xludf.DUMMYFUNCTION("""COMPUTED_VALUE"""),"Likhu Khola HEP")</f>
        <v>Likhu Khola HEP</v>
      </c>
      <c r="C20" s="2">
        <f>IFERROR(__xludf.DUMMYFUNCTION("""COMPUTED_VALUE"""),36.0)</f>
        <v>36</v>
      </c>
      <c r="D20" s="2" t="str">
        <f>IFERROR(__xludf.DUMMYFUNCTION("""COMPUTED_VALUE"""),"Likhu Khola")</f>
        <v>Likhu Khola</v>
      </c>
      <c r="E20" s="2">
        <f>IFERROR(__xludf.DUMMYFUNCTION("""COMPUTED_VALUE"""),1200.0)</f>
        <v>1200</v>
      </c>
      <c r="F20" s="3">
        <f>IFERROR(__xludf.DUMMYFUNCTION("""COMPUTED_VALUE"""),65406.0)</f>
        <v>65406</v>
      </c>
      <c r="G20" s="3">
        <f>IFERROR(__xludf.DUMMYFUNCTION("""COMPUTED_VALUE"""),66866.0)</f>
        <v>66866</v>
      </c>
      <c r="H20" s="2" t="str">
        <f>IFERROR(__xludf.DUMMYFUNCTION("""COMPUTED_VALUE"""),"Ujyalo Energy Solution Pvt. Ltd")</f>
        <v>Ujyalo Energy Solution Pvt. Ltd</v>
      </c>
      <c r="I20" s="2" t="str">
        <f>IFERROR(__xludf.DUMMYFUNCTION("""COMPUTED_VALUE"""),"Ka.Ma.Pa-2, Gairidhara, kathmandu Contact No.: 9851029813")</f>
        <v>Ka.Ma.Pa-2, Gairidhara, kathmandu Contact No.: 9851029813</v>
      </c>
      <c r="J20" s="2" t="str">
        <f>IFERROR(__xludf.DUMMYFUNCTION("""COMPUTED_VALUE"""),"27o 15' 34""")</f>
        <v>27o 15' 34"</v>
      </c>
      <c r="K20" s="2" t="str">
        <f>IFERROR(__xludf.DUMMYFUNCTION("""COMPUTED_VALUE"""),"27o 20' 57""")</f>
        <v>27o 20' 57"</v>
      </c>
      <c r="L20" s="2" t="str">
        <f>IFERROR(__xludf.DUMMYFUNCTION("""COMPUTED_VALUE"""),"86o 12' 14""")</f>
        <v>86o 12' 14"</v>
      </c>
      <c r="M20" s="2" t="str">
        <f>IFERROR(__xludf.DUMMYFUNCTION("""COMPUTED_VALUE"""),"86o 15' 50""")</f>
        <v>86o 15' 50"</v>
      </c>
      <c r="N20" s="2" t="str">
        <f>IFERROR(__xludf.DUMMYFUNCTION("""COMPUTED_VALUE"""),"Palapu (Okhaldhunga)")</f>
        <v>Palapu (Okhaldhunga)</v>
      </c>
    </row>
    <row r="21">
      <c r="A21" s="2">
        <f>IFERROR(__xludf.DUMMYFUNCTION("""COMPUTED_VALUE"""),20.0)</f>
        <v>20</v>
      </c>
      <c r="B21" s="2" t="str">
        <f>IFERROR(__xludf.DUMMYFUNCTION("""COMPUTED_VALUE"""),"Kabeli-3 Hydropower Project")</f>
        <v>Kabeli-3 Hydropower Project</v>
      </c>
      <c r="C21" s="2">
        <f>IFERROR(__xludf.DUMMYFUNCTION("""COMPUTED_VALUE"""),9.85)</f>
        <v>9.85</v>
      </c>
      <c r="D21" s="2" t="str">
        <f>IFERROR(__xludf.DUMMYFUNCTION("""COMPUTED_VALUE"""),"Kabeli Khola")</f>
        <v>Kabeli Khola</v>
      </c>
      <c r="E21" s="2">
        <f>IFERROR(__xludf.DUMMYFUNCTION("""COMPUTED_VALUE"""),1201.0)</f>
        <v>1201</v>
      </c>
      <c r="F21" s="3">
        <f>IFERROR(__xludf.DUMMYFUNCTION("""COMPUTED_VALUE"""),65407.0)</f>
        <v>65407</v>
      </c>
      <c r="G21" s="3">
        <f>IFERROR(__xludf.DUMMYFUNCTION("""COMPUTED_VALUE"""),66867.0)</f>
        <v>66867</v>
      </c>
      <c r="H21" s="2" t="str">
        <f>IFERROR(__xludf.DUMMYFUNCTION("""COMPUTED_VALUE"""),"Kabeli Hydropower Company Limited")</f>
        <v>Kabeli Hydropower Company Limited</v>
      </c>
      <c r="I21" s="2" t="str">
        <f>IFERROR(__xludf.DUMMYFUNCTION("""COMPUTED_VALUE"""),"Ka.Ma.Pa- 28, Kathmandu, email: kabeli.hydro5@gmail.com")</f>
        <v>Ka.Ma.Pa- 28, Kathmandu, email: kabeli.hydro5@gmail.com</v>
      </c>
      <c r="J21" s="2" t="str">
        <f>IFERROR(__xludf.DUMMYFUNCTION("""COMPUTED_VALUE"""),"27o 21' 41""")</f>
        <v>27o 21' 41"</v>
      </c>
      <c r="K21" s="2" t="str">
        <f>IFERROR(__xludf.DUMMYFUNCTION("""COMPUTED_VALUE"""),"27o 23' 00""")</f>
        <v>27o 23' 00"</v>
      </c>
      <c r="L21" s="2" t="str">
        <f>IFERROR(__xludf.DUMMYFUNCTION("""COMPUTED_VALUE"""),"87o 50' 58""")</f>
        <v>87o 50' 58"</v>
      </c>
      <c r="M21" s="2" t="str">
        <f>IFERROR(__xludf.DUMMYFUNCTION("""COMPUTED_VALUE"""),"87o 52' 10""")</f>
        <v>87o 52' 10"</v>
      </c>
      <c r="N21" s="2" t="str">
        <f>IFERROR(__xludf.DUMMYFUNCTION("""COMPUTED_VALUE"""),"Tellok,Paidang (Taplejung)")</f>
        <v>Tellok,Paidang (Taplejung)</v>
      </c>
    </row>
    <row r="22">
      <c r="A22" s="2">
        <f>IFERROR(__xludf.DUMMYFUNCTION("""COMPUTED_VALUE"""),21.0)</f>
        <v>21</v>
      </c>
      <c r="B22" s="2" t="str">
        <f>IFERROR(__xludf.DUMMYFUNCTION("""COMPUTED_VALUE"""),"Super Dona Khola HEP")</f>
        <v>Super Dona Khola HEP</v>
      </c>
      <c r="C22" s="2">
        <f>IFERROR(__xludf.DUMMYFUNCTION("""COMPUTED_VALUE"""),60.0)</f>
        <v>60</v>
      </c>
      <c r="D22" s="2" t="str">
        <f>IFERROR(__xludf.DUMMYFUNCTION("""COMPUTED_VALUE"""),"Dana Khola")</f>
        <v>Dana Khola</v>
      </c>
      <c r="E22" s="2">
        <f>IFERROR(__xludf.DUMMYFUNCTION("""COMPUTED_VALUE"""),1202.0)</f>
        <v>1202</v>
      </c>
      <c r="F22" s="3">
        <f>IFERROR(__xludf.DUMMYFUNCTION("""COMPUTED_VALUE"""),65428.0)</f>
        <v>65428</v>
      </c>
      <c r="G22" s="3">
        <f>IFERROR(__xludf.DUMMYFUNCTION("""COMPUTED_VALUE"""),66888.0)</f>
        <v>66888</v>
      </c>
      <c r="H22" s="2" t="str">
        <f>IFERROR(__xludf.DUMMYFUNCTION("""COMPUTED_VALUE"""),"Dona Lake Hydropower Private Limited")</f>
        <v>Dona Lake Hydropower Private Limited</v>
      </c>
      <c r="I22" s="2" t="str">
        <f>IFERROR(__xludf.DUMMYFUNCTION("""COMPUTED_VALUE"""),"Ram Mandir Marg, KMC - 9, Old Baneshwor (01-5351037,4589051)")</f>
        <v>Ram Mandir Marg, KMC - 9, Old Baneshwor (01-5351037,4589051)</v>
      </c>
      <c r="J22" s="2" t="str">
        <f>IFERROR(__xludf.DUMMYFUNCTION("""COMPUTED_VALUE"""),"28o 28' 38""")</f>
        <v>28o 28' 38"</v>
      </c>
      <c r="K22" s="2" t="str">
        <f>IFERROR(__xludf.DUMMYFUNCTION("""COMPUTED_VALUE"""),"28o 32' 15""")</f>
        <v>28o 32' 15"</v>
      </c>
      <c r="L22" s="2" t="str">
        <f>IFERROR(__xludf.DUMMYFUNCTION("""COMPUTED_VALUE"""),"84o 24' 20""")</f>
        <v>84o 24' 20"</v>
      </c>
      <c r="M22" s="2" t="str">
        <f>IFERROR(__xludf.DUMMYFUNCTION("""COMPUTED_VALUE"""),"84o 30' 00""")</f>
        <v>84o 30' 00"</v>
      </c>
      <c r="N22" s="2" t="str">
        <f>IFERROR(__xludf.DUMMYFUNCTION("""COMPUTED_VALUE"""),"Dharapani,Thoche (Manang)")</f>
        <v>Dharapani,Thoche (Manang)</v>
      </c>
    </row>
    <row r="23">
      <c r="A23" s="2">
        <f>IFERROR(__xludf.DUMMYFUNCTION("""COMPUTED_VALUE"""),22.0)</f>
        <v>22</v>
      </c>
      <c r="B23" s="2" t="str">
        <f>IFERROR(__xludf.DUMMYFUNCTION("""COMPUTED_VALUE"""),"Budhigandaki Prok-1 HEP")</f>
        <v>Budhigandaki Prok-1 HEP</v>
      </c>
      <c r="C23" s="2">
        <f>IFERROR(__xludf.DUMMYFUNCTION("""COMPUTED_VALUE"""),93.0)</f>
        <v>93</v>
      </c>
      <c r="D23" s="2" t="str">
        <f>IFERROR(__xludf.DUMMYFUNCTION("""COMPUTED_VALUE"""),"Budhi Gandaki")</f>
        <v>Budhi Gandaki</v>
      </c>
      <c r="E23" s="2">
        <f>IFERROR(__xludf.DUMMYFUNCTION("""COMPUTED_VALUE"""),1203.0)</f>
        <v>1203</v>
      </c>
      <c r="F23" s="3">
        <f>IFERROR(__xludf.DUMMYFUNCTION("""COMPUTED_VALUE"""),65454.0)</f>
        <v>65454</v>
      </c>
      <c r="G23" s="3">
        <f>IFERROR(__xludf.DUMMYFUNCTION("""COMPUTED_VALUE"""),66914.0)</f>
        <v>66914</v>
      </c>
      <c r="H23" s="2" t="str">
        <f>IFERROR(__xludf.DUMMYFUNCTION("""COMPUTED_VALUE"""),"Chilime Hydropower Company Limited")</f>
        <v>Chilime Hydropower Company Limited</v>
      </c>
      <c r="I23" s="2" t="str">
        <f>IFERROR(__xludf.DUMMYFUNCTION("""COMPUTED_VALUE"""),"Dhumbarahi, Kathmandu")</f>
        <v>Dhumbarahi, Kathmandu</v>
      </c>
      <c r="J23" s="2" t="str">
        <f>IFERROR(__xludf.DUMMYFUNCTION("""COMPUTED_VALUE"""),"28o 31' 10""")</f>
        <v>28o 31' 10"</v>
      </c>
      <c r="K23" s="2" t="str">
        <f>IFERROR(__xludf.DUMMYFUNCTION("""COMPUTED_VALUE"""),"28o 33' 47""")</f>
        <v>28o 33' 47"</v>
      </c>
      <c r="L23" s="2" t="str">
        <f>IFERROR(__xludf.DUMMYFUNCTION("""COMPUTED_VALUE"""),"84o 45' 00""")</f>
        <v>84o 45' 00"</v>
      </c>
      <c r="M23" s="2" t="str">
        <f>IFERROR(__xludf.DUMMYFUNCTION("""COMPUTED_VALUE"""),"84o 48' 35""")</f>
        <v>84o 48' 35"</v>
      </c>
      <c r="N23" s="2" t="str">
        <f>IFERROR(__xludf.DUMMYFUNCTION("""COMPUTED_VALUE"""),"Prok (Gorkha)")</f>
        <v>Prok (Gorkha)</v>
      </c>
    </row>
    <row r="24">
      <c r="A24" s="2">
        <f>IFERROR(__xludf.DUMMYFUNCTION("""COMPUTED_VALUE"""),23.0)</f>
        <v>23</v>
      </c>
      <c r="B24" s="2" t="str">
        <f>IFERROR(__xludf.DUMMYFUNCTION("""COMPUTED_VALUE"""),"Malumela - Seti Nadi PRoR Hydropower Project")</f>
        <v>Malumela - Seti Nadi PRoR Hydropower Project</v>
      </c>
      <c r="C24" s="2">
        <f>IFERROR(__xludf.DUMMYFUNCTION("""COMPUTED_VALUE"""),72.0)</f>
        <v>72</v>
      </c>
      <c r="D24" s="2" t="str">
        <f>IFERROR(__xludf.DUMMYFUNCTION("""COMPUTED_VALUE"""),"Seti (Far West)")</f>
        <v>Seti (Far West)</v>
      </c>
      <c r="E24" s="2">
        <f>IFERROR(__xludf.DUMMYFUNCTION("""COMPUTED_VALUE"""),1204.0)</f>
        <v>1204</v>
      </c>
      <c r="F24" s="3">
        <f>IFERROR(__xludf.DUMMYFUNCTION("""COMPUTED_VALUE"""),65461.0)</f>
        <v>65461</v>
      </c>
      <c r="G24" s="3">
        <f>IFERROR(__xludf.DUMMYFUNCTION("""COMPUTED_VALUE"""),66921.0)</f>
        <v>66921</v>
      </c>
      <c r="H24" s="2" t="str">
        <f>IFERROR(__xludf.DUMMYFUNCTION("""COMPUTED_VALUE"""),"Mata Malika Energy Multiple Pvt. Ltd")</f>
        <v>Mata Malika Energy Multiple Pvt. Ltd</v>
      </c>
      <c r="I24" s="2" t="str">
        <f>IFERROR(__xludf.DUMMYFUNCTION("""COMPUTED_VALUE"""),"Dasharatha Chand Municipality, Ward No-4, Baitadi")</f>
        <v>Dasharatha Chand Municipality, Ward No-4, Baitadi</v>
      </c>
      <c r="J24" s="2" t="str">
        <f>IFERROR(__xludf.DUMMYFUNCTION("""COMPUTED_VALUE"""),"29o 28' 19""")</f>
        <v>29o 28' 19"</v>
      </c>
      <c r="K24" s="2" t="str">
        <f>IFERROR(__xludf.DUMMYFUNCTION("""COMPUTED_VALUE"""),"29o 30' 29""")</f>
        <v>29o 30' 29"</v>
      </c>
      <c r="L24" s="2" t="str">
        <f>IFERROR(__xludf.DUMMYFUNCTION("""COMPUTED_VALUE"""),"81o 01' 31""")</f>
        <v>81o 01' 31"</v>
      </c>
      <c r="M24" s="2" t="str">
        <f>IFERROR(__xludf.DUMMYFUNCTION("""COMPUTED_VALUE"""),"81o 07' 50""")</f>
        <v>81o 07' 50"</v>
      </c>
      <c r="N24" s="2" t="str">
        <f>IFERROR(__xludf.DUMMYFUNCTION("""COMPUTED_VALUE"""),"Chainpur (Bajhang)")</f>
        <v>Chainpur (Bajhang)</v>
      </c>
    </row>
    <row r="25">
      <c r="A25" s="2">
        <f>IFERROR(__xludf.DUMMYFUNCTION("""COMPUTED_VALUE"""),24.0)</f>
        <v>24</v>
      </c>
      <c r="B25" s="2" t="str">
        <f>IFERROR(__xludf.DUMMYFUNCTION("""COMPUTED_VALUE"""),"Mathillo Maya Khola Hydropower Project")</f>
        <v>Mathillo Maya Khola Hydropower Project</v>
      </c>
      <c r="C25" s="2">
        <f>IFERROR(__xludf.DUMMYFUNCTION("""COMPUTED_VALUE"""),5.0)</f>
        <v>5</v>
      </c>
      <c r="D25" s="2" t="str">
        <f>IFERROR(__xludf.DUMMYFUNCTION("""COMPUTED_VALUE"""),"Maya Khola")</f>
        <v>Maya Khola</v>
      </c>
      <c r="E25" s="2">
        <f>IFERROR(__xludf.DUMMYFUNCTION("""COMPUTED_VALUE"""),1209.0)</f>
        <v>1209</v>
      </c>
      <c r="F25" s="3">
        <f>IFERROR(__xludf.DUMMYFUNCTION("""COMPUTED_VALUE"""),65478.0)</f>
        <v>65478</v>
      </c>
      <c r="G25" s="3">
        <f>IFERROR(__xludf.DUMMYFUNCTION("""COMPUTED_VALUE"""),66938.0)</f>
        <v>66938</v>
      </c>
      <c r="H25" s="2" t="str">
        <f>IFERROR(__xludf.DUMMYFUNCTION("""COMPUTED_VALUE"""),"Waleng Tumhok Hydro Power Pvt. Ltd.")</f>
        <v>Waleng Tumhok Hydro Power Pvt. Ltd.</v>
      </c>
      <c r="I25" s="2" t="str">
        <f>IFERROR(__xludf.DUMMYFUNCTION("""COMPUTED_VALUE"""),"Anamnagar-32, Kathmandu")</f>
        <v>Anamnagar-32, Kathmandu</v>
      </c>
      <c r="J25" s="2" t="str">
        <f>IFERROR(__xludf.DUMMYFUNCTION("""COMPUTED_VALUE"""),"27o 13' 21""")</f>
        <v>27o 13' 21"</v>
      </c>
      <c r="K25" s="2" t="str">
        <f>IFERROR(__xludf.DUMMYFUNCTION("""COMPUTED_VALUE"""),"27o 14' 03""")</f>
        <v>27o 14' 03"</v>
      </c>
      <c r="L25" s="2" t="str">
        <f>IFERROR(__xludf.DUMMYFUNCTION("""COMPUTED_VALUE"""),"87o 22' 26""")</f>
        <v>87o 22' 26"</v>
      </c>
      <c r="M25" s="2" t="str">
        <f>IFERROR(__xludf.DUMMYFUNCTION("""COMPUTED_VALUE"""),"87o 24' 01""")</f>
        <v>87o 24' 01"</v>
      </c>
      <c r="N25" s="2" t="str">
        <f>IFERROR(__xludf.DUMMYFUNCTION("""COMPUTED_VALUE"""),"Madi Mulkharka,Tamfok (Sankhuwasabha)")</f>
        <v>Madi Mulkharka,Tamfok (Sankhuwasabha)</v>
      </c>
    </row>
    <row r="26">
      <c r="A26" s="2">
        <f>IFERROR(__xludf.DUMMYFUNCTION("""COMPUTED_VALUE"""),25.0)</f>
        <v>25</v>
      </c>
      <c r="B26" s="2" t="str">
        <f>IFERROR(__xludf.DUMMYFUNCTION("""COMPUTED_VALUE"""),"Lungri Khola Hydropower Project")</f>
        <v>Lungri Khola Hydropower Project</v>
      </c>
      <c r="C26" s="2">
        <f>IFERROR(__xludf.DUMMYFUNCTION("""COMPUTED_VALUE"""),9.6)</f>
        <v>9.6</v>
      </c>
      <c r="D26" s="2" t="str">
        <f>IFERROR(__xludf.DUMMYFUNCTION("""COMPUTED_VALUE"""),"Lungri Khola")</f>
        <v>Lungri Khola</v>
      </c>
      <c r="E26" s="2">
        <f>IFERROR(__xludf.DUMMYFUNCTION("""COMPUTED_VALUE"""),1213.0)</f>
        <v>1213</v>
      </c>
      <c r="F26" s="3">
        <f>IFERROR(__xludf.DUMMYFUNCTION("""COMPUTED_VALUE"""),65480.0)</f>
        <v>65480</v>
      </c>
      <c r="G26" s="3">
        <f>IFERROR(__xludf.DUMMYFUNCTION("""COMPUTED_VALUE"""),66940.0)</f>
        <v>66940</v>
      </c>
      <c r="H26" s="2" t="str">
        <f>IFERROR(__xludf.DUMMYFUNCTION("""COMPUTED_VALUE"""),"Tripura Sundari hydro energy pvt. ltd.")</f>
        <v>Tripura Sundari hydro energy pvt. ltd.</v>
      </c>
      <c r="I26" s="2" t="str">
        <f>IFERROR(__xludf.DUMMYFUNCTION("""COMPUTED_VALUE"""),"Budhanilkantha Municipality 9, Kathmandu")</f>
        <v>Budhanilkantha Municipality 9, Kathmandu</v>
      </c>
      <c r="J26" s="2" t="str">
        <f>IFERROR(__xludf.DUMMYFUNCTION("""COMPUTED_VALUE"""),"28o 11' 33""")</f>
        <v>28o 11' 33"</v>
      </c>
      <c r="K26" s="2" t="str">
        <f>IFERROR(__xludf.DUMMYFUNCTION("""COMPUTED_VALUE"""),"28o 14' 52""")</f>
        <v>28o 14' 52"</v>
      </c>
      <c r="L26" s="2" t="str">
        <f>IFERROR(__xludf.DUMMYFUNCTION("""COMPUTED_VALUE"""),"82o 41' 08""")</f>
        <v>82o 41' 08"</v>
      </c>
      <c r="M26" s="2" t="str">
        <f>IFERROR(__xludf.DUMMYFUNCTION("""COMPUTED_VALUE"""),"82o 44' 13""")</f>
        <v>82o 44' 13"</v>
      </c>
      <c r="N26" s="2" t="str">
        <f>IFERROR(__xludf.DUMMYFUNCTION("""COMPUTED_VALUE"""),"Swargadwarikhal (Pyuthan)")</f>
        <v>Swargadwarikhal (Pyuthan)</v>
      </c>
    </row>
    <row r="27">
      <c r="A27" s="2">
        <f>IFERROR(__xludf.DUMMYFUNCTION("""COMPUTED_VALUE"""),26.0)</f>
        <v>26</v>
      </c>
      <c r="B27" s="2" t="str">
        <f>IFERROR(__xludf.DUMMYFUNCTION("""COMPUTED_VALUE"""),"Pelma Khola PRoR HPP")</f>
        <v>Pelma Khola PRoR HPP</v>
      </c>
      <c r="C27" s="2">
        <f>IFERROR(__xludf.DUMMYFUNCTION("""COMPUTED_VALUE"""),75.0)</f>
        <v>75</v>
      </c>
      <c r="D27" s="2" t="str">
        <f>IFERROR(__xludf.DUMMYFUNCTION("""COMPUTED_VALUE"""),"Pelma")</f>
        <v>Pelma</v>
      </c>
      <c r="E27" s="2">
        <f>IFERROR(__xludf.DUMMYFUNCTION("""COMPUTED_VALUE"""),1221.0)</f>
        <v>1221</v>
      </c>
      <c r="F27" s="3">
        <f>IFERROR(__xludf.DUMMYFUNCTION("""COMPUTED_VALUE"""),65545.0)</f>
        <v>65545</v>
      </c>
      <c r="G27" s="3">
        <f>IFERROR(__xludf.DUMMYFUNCTION("""COMPUTED_VALUE"""),67005.0)</f>
        <v>67005</v>
      </c>
      <c r="H27" s="2" t="str">
        <f>IFERROR(__xludf.DUMMYFUNCTION("""COMPUTED_VALUE"""),"Pelma Hydropower Project Pvt. Ltd.")</f>
        <v>Pelma Hydropower Project Pvt. Ltd.</v>
      </c>
      <c r="I27" s="2" t="str">
        <f>IFERROR(__xludf.DUMMYFUNCTION("""COMPUTED_VALUE"""),"Ghattekulo-29, Kathmandu, Contact No.; 9851030667")</f>
        <v>Ghattekulo-29, Kathmandu, Contact No.; 9851030667</v>
      </c>
      <c r="J27" s="2" t="str">
        <f>IFERROR(__xludf.DUMMYFUNCTION("""COMPUTED_VALUE"""),"28o 37' 41""")</f>
        <v>28o 37' 41"</v>
      </c>
      <c r="K27" s="2" t="str">
        <f>IFERROR(__xludf.DUMMYFUNCTION("""COMPUTED_VALUE"""),"28o 41' 37""")</f>
        <v>28o 41' 37"</v>
      </c>
      <c r="L27" s="2" t="str">
        <f>IFERROR(__xludf.DUMMYFUNCTION("""COMPUTED_VALUE"""),"82o 52' 13""")</f>
        <v>82o 52' 13"</v>
      </c>
      <c r="M27" s="2" t="str">
        <f>IFERROR(__xludf.DUMMYFUNCTION("""COMPUTED_VALUE"""),"82o 56' 49""")</f>
        <v>82o 56' 49"</v>
      </c>
      <c r="N27" s="2" t="str">
        <f>IFERROR(__xludf.DUMMYFUNCTION("""COMPUTED_VALUE"""),"Hukam,Ranmamekot (Rukum)")</f>
        <v>Hukam,Ranmamekot (Rukum)</v>
      </c>
    </row>
    <row r="28">
      <c r="A28" s="2">
        <f>IFERROR(__xludf.DUMMYFUNCTION("""COMPUTED_VALUE"""),27.0)</f>
        <v>27</v>
      </c>
      <c r="B28" s="2" t="str">
        <f>IFERROR(__xludf.DUMMYFUNCTION("""COMPUTED_VALUE"""),"Mathillo Sani Bheri PRoR HEP")</f>
        <v>Mathillo Sani Bheri PRoR HEP</v>
      </c>
      <c r="C28" s="2">
        <f>IFERROR(__xludf.DUMMYFUNCTION("""COMPUTED_VALUE"""),90.0)</f>
        <v>90</v>
      </c>
      <c r="D28" s="2" t="str">
        <f>IFERROR(__xludf.DUMMYFUNCTION("""COMPUTED_VALUE"""),"Pelma")</f>
        <v>Pelma</v>
      </c>
      <c r="E28" s="2">
        <f>IFERROR(__xludf.DUMMYFUNCTION("""COMPUTED_VALUE"""),1222.0)</f>
        <v>1222</v>
      </c>
      <c r="F28" s="3">
        <f>IFERROR(__xludf.DUMMYFUNCTION("""COMPUTED_VALUE"""),65545.0)</f>
        <v>65545</v>
      </c>
      <c r="G28" s="3">
        <f>IFERROR(__xludf.DUMMYFUNCTION("""COMPUTED_VALUE"""),67005.0)</f>
        <v>67005</v>
      </c>
      <c r="H28" s="2" t="str">
        <f>IFERROR(__xludf.DUMMYFUNCTION("""COMPUTED_VALUE"""),"Pelma Hydropower Project Pvt. Ltd.")</f>
        <v>Pelma Hydropower Project Pvt. Ltd.</v>
      </c>
      <c r="I28" s="2" t="str">
        <f>IFERROR(__xludf.DUMMYFUNCTION("""COMPUTED_VALUE"""),"Ghattekulo-29, Kathmandu, Contact No.; 9851030667")</f>
        <v>Ghattekulo-29, Kathmandu, Contact No.; 9851030667</v>
      </c>
      <c r="J28" s="2" t="str">
        <f>IFERROR(__xludf.DUMMYFUNCTION("""COMPUTED_VALUE"""),"28o 37' 41""")</f>
        <v>28o 37' 41"</v>
      </c>
      <c r="K28" s="2" t="str">
        <f>IFERROR(__xludf.DUMMYFUNCTION("""COMPUTED_VALUE"""),"28o 41' 37""")</f>
        <v>28o 41' 37"</v>
      </c>
      <c r="L28" s="2" t="str">
        <f>IFERROR(__xludf.DUMMYFUNCTION("""COMPUTED_VALUE"""),"82o 45' 00""")</f>
        <v>82o 45' 00"</v>
      </c>
      <c r="M28" s="2" t="str">
        <f>IFERROR(__xludf.DUMMYFUNCTION("""COMPUTED_VALUE"""),"82o 50' 14""")</f>
        <v>82o 50' 14"</v>
      </c>
      <c r="N28" s="2" t="str">
        <f>IFERROR(__xludf.DUMMYFUNCTION("""COMPUTED_VALUE"""),"Ranmamekot,Hukam (Rukum)")</f>
        <v>Ranmamekot,Hukam (Rukum)</v>
      </c>
    </row>
    <row r="29">
      <c r="A29" s="2">
        <f>IFERROR(__xludf.DUMMYFUNCTION("""COMPUTED_VALUE"""),28.0)</f>
        <v>28</v>
      </c>
      <c r="B29" s="2" t="str">
        <f>IFERROR(__xludf.DUMMYFUNCTION("""COMPUTED_VALUE"""),"West Seti Hydropower Project")</f>
        <v>West Seti Hydropower Project</v>
      </c>
      <c r="C29" s="2">
        <f>IFERROR(__xludf.DUMMYFUNCTION("""COMPUTED_VALUE"""),800.0)</f>
        <v>800</v>
      </c>
      <c r="D29" s="2" t="str">
        <f>IFERROR(__xludf.DUMMYFUNCTION("""COMPUTED_VALUE"""),"Seti (Far West)")</f>
        <v>Seti (Far West)</v>
      </c>
      <c r="E29" s="2" t="str">
        <f>IFERROR(__xludf.DUMMYFUNCTION("""COMPUTED_VALUE"""),"Sa. Aa. 005/2079/80")</f>
        <v>Sa. Aa. 005/2079/80</v>
      </c>
      <c r="F29" s="3">
        <f>IFERROR(__xludf.DUMMYFUNCTION("""COMPUTED_VALUE"""),65564.0)</f>
        <v>65564</v>
      </c>
      <c r="G29" s="3">
        <f>IFERROR(__xludf.DUMMYFUNCTION("""COMPUTED_VALUE"""),67024.0)</f>
        <v>67024</v>
      </c>
      <c r="H29" s="2" t="str">
        <f>IFERROR(__xludf.DUMMYFUNCTION("""COMPUTED_VALUE"""),"NHPC Limited")</f>
        <v>NHPC Limited</v>
      </c>
      <c r="I29" s="2" t="str">
        <f>IFERROR(__xludf.DUMMYFUNCTION("""COMPUTED_VALUE"""),"NHPC Office Complex, Sector - 33, Faridabad, Haryana - 121003, India")</f>
        <v>NHPC Office Complex, Sector - 33, Faridabad, Haryana - 121003, India</v>
      </c>
      <c r="J29" s="2" t="str">
        <f>IFERROR(__xludf.DUMMYFUNCTION("""COMPUTED_VALUE"""),"29o 16' 00""")</f>
        <v>29o 16' 00"</v>
      </c>
      <c r="K29" s="2" t="str">
        <f>IFERROR(__xludf.DUMMYFUNCTION("""COMPUTED_VALUE"""),"29o 28' 50""")</f>
        <v>29o 28' 50"</v>
      </c>
      <c r="L29" s="2" t="str">
        <f>IFERROR(__xludf.DUMMYFUNCTION("""COMPUTED_VALUE"""),"80o 45' 00""")</f>
        <v>80o 45' 00"</v>
      </c>
      <c r="M29" s="2" t="str">
        <f>IFERROR(__xludf.DUMMYFUNCTION("""COMPUTED_VALUE"""),"80o 57' 30""")</f>
        <v>80o 57' 30"</v>
      </c>
      <c r="N29" s="2"/>
    </row>
    <row r="30">
      <c r="A30" s="2">
        <f>IFERROR(__xludf.DUMMYFUNCTION("""COMPUTED_VALUE"""),29.0)</f>
        <v>29</v>
      </c>
      <c r="B30" s="2" t="str">
        <f>IFERROR(__xludf.DUMMYFUNCTION("""COMPUTED_VALUE"""),"Lower Badigad HEP")</f>
        <v>Lower Badigad HEP</v>
      </c>
      <c r="C30" s="2">
        <f>IFERROR(__xludf.DUMMYFUNCTION("""COMPUTED_VALUE"""),16.69)</f>
        <v>16.69</v>
      </c>
      <c r="D30" s="2" t="str">
        <f>IFERROR(__xludf.DUMMYFUNCTION("""COMPUTED_VALUE"""),"Badigad")</f>
        <v>Badigad</v>
      </c>
      <c r="E30" s="2">
        <f>IFERROR(__xludf.DUMMYFUNCTION("""COMPUTED_VALUE"""),1223.0)</f>
        <v>1223</v>
      </c>
      <c r="F30" s="3">
        <f>IFERROR(__xludf.DUMMYFUNCTION("""COMPUTED_VALUE"""),65567.0)</f>
        <v>65567</v>
      </c>
      <c r="G30" s="3">
        <f>IFERROR(__xludf.DUMMYFUNCTION("""COMPUTED_VALUE"""),67027.0)</f>
        <v>67027</v>
      </c>
      <c r="H30" s="2" t="str">
        <f>IFERROR(__xludf.DUMMYFUNCTION("""COMPUTED_VALUE"""),"Aviyan Hydropower Pvt. Ltd")</f>
        <v>Aviyan Hydropower Pvt. Ltd</v>
      </c>
      <c r="I30" s="2" t="str">
        <f>IFERROR(__xludf.DUMMYFUNCTION("""COMPUTED_VALUE"""),"Ka.Ma.Pa-29 Newplaza, Putalisadak, Contact No.: 9852048118")</f>
        <v>Ka.Ma.Pa-29 Newplaza, Putalisadak, Contact No.: 9852048118</v>
      </c>
      <c r="J30" s="2" t="str">
        <f>IFERROR(__xludf.DUMMYFUNCTION("""COMPUTED_VALUE"""),"28o 13' 25""")</f>
        <v>28o 13' 25"</v>
      </c>
      <c r="K30" s="2" t="str">
        <f>IFERROR(__xludf.DUMMYFUNCTION("""COMPUTED_VALUE"""),"28o 15' 43""")</f>
        <v>28o 15' 43"</v>
      </c>
      <c r="L30" s="2" t="str">
        <f>IFERROR(__xludf.DUMMYFUNCTION("""COMPUTED_VALUE"""),"83o 11' 47""")</f>
        <v>83o 11' 47"</v>
      </c>
      <c r="M30" s="2" t="str">
        <f>IFERROR(__xludf.DUMMYFUNCTION("""COMPUTED_VALUE"""),"83o 14' 19""")</f>
        <v>83o 14' 19"</v>
      </c>
      <c r="N30" s="2" t="str">
        <f>IFERROR(__xludf.DUMMYFUNCTION("""COMPUTED_VALUE"""),"Gwalichaur (Baglung) Neta,Paudi Amarahi (Gulmi)")</f>
        <v>Gwalichaur (Baglung) Neta,Paudi Amarahi (Gulmi)</v>
      </c>
    </row>
    <row r="31">
      <c r="A31" s="2">
        <f>IFERROR(__xludf.DUMMYFUNCTION("""COMPUTED_VALUE"""),30.0)</f>
        <v>30</v>
      </c>
      <c r="B31" s="2" t="str">
        <f>IFERROR(__xludf.DUMMYFUNCTION("""COMPUTED_VALUE"""),"Mathillo Marsyangdi -2 Hydropower Project")</f>
        <v>Mathillo Marsyangdi -2 Hydropower Project</v>
      </c>
      <c r="C31" s="2">
        <f>IFERROR(__xludf.DUMMYFUNCTION("""COMPUTED_VALUE"""),327.0)</f>
        <v>327</v>
      </c>
      <c r="D31" s="2" t="str">
        <f>IFERROR(__xludf.DUMMYFUNCTION("""COMPUTED_VALUE"""),"Marsyangdi")</f>
        <v>Marsyangdi</v>
      </c>
      <c r="E31" s="2" t="str">
        <f>IFERROR(__xludf.DUMMYFUNCTION("""COMPUTED_VALUE"""),"Sa. Aa. 006/2079/80")</f>
        <v>Sa. Aa. 006/2079/80</v>
      </c>
      <c r="F31" s="3">
        <f>IFERROR(__xludf.DUMMYFUNCTION("""COMPUTED_VALUE"""),65567.0)</f>
        <v>65567</v>
      </c>
      <c r="G31" s="3">
        <f>IFERROR(__xludf.DUMMYFUNCTION("""COMPUTED_VALUE"""),66297.0)</f>
        <v>66297</v>
      </c>
      <c r="H31" s="2" t="str">
        <f>IFERROR(__xludf.DUMMYFUNCTION("""COMPUTED_VALUE"""),"Himtal Hydropower Company Pvt. Ltd")</f>
        <v>Himtal Hydropower Company Pvt. Ltd</v>
      </c>
      <c r="I31" s="2" t="str">
        <f>IFERROR(__xludf.DUMMYFUNCTION("""COMPUTED_VALUE"""),"Chakupat - 10, Lalitpur")</f>
        <v>Chakupat - 10, Lalitpur</v>
      </c>
      <c r="J31" s="2" t="str">
        <f>IFERROR(__xludf.DUMMYFUNCTION("""COMPUTED_VALUE"""),"28o 22' 04""")</f>
        <v>28o 22' 04"</v>
      </c>
      <c r="K31" s="2" t="str">
        <f>IFERROR(__xludf.DUMMYFUNCTION("""COMPUTED_VALUE"""),"28o 29' 35""")</f>
        <v>28o 29' 35"</v>
      </c>
      <c r="L31" s="2" t="str">
        <f>IFERROR(__xludf.DUMMYFUNCTION("""COMPUTED_VALUE"""),"84o 21' 30""")</f>
        <v>84o 21' 30"</v>
      </c>
      <c r="M31" s="2" t="str">
        <f>IFERROR(__xludf.DUMMYFUNCTION("""COMPUTED_VALUE"""),"84o 25' 03""")</f>
        <v>84o 25' 03"</v>
      </c>
      <c r="N31" s="2"/>
    </row>
    <row r="32">
      <c r="A32" s="2">
        <f>IFERROR(__xludf.DUMMYFUNCTION("""COMPUTED_VALUE"""),31.0)</f>
        <v>31</v>
      </c>
      <c r="B32" s="2" t="str">
        <f>IFERROR(__xludf.DUMMYFUNCTION("""COMPUTED_VALUE"""),"Marsyangdi - 7 Hydropower Project")</f>
        <v>Marsyangdi - 7 Hydropower Project</v>
      </c>
      <c r="C32" s="2">
        <f>IFERROR(__xludf.DUMMYFUNCTION("""COMPUTED_VALUE"""),50.0)</f>
        <v>50</v>
      </c>
      <c r="D32" s="2" t="str">
        <f>IFERROR(__xludf.DUMMYFUNCTION("""COMPUTED_VALUE"""),"Marsyangdi")</f>
        <v>Marsyangdi</v>
      </c>
      <c r="E32" s="2">
        <f>IFERROR(__xludf.DUMMYFUNCTION("""COMPUTED_VALUE"""),1225.0)</f>
        <v>1225</v>
      </c>
      <c r="F32" s="3">
        <f>IFERROR(__xludf.DUMMYFUNCTION("""COMPUTED_VALUE"""),65607.0)</f>
        <v>65607</v>
      </c>
      <c r="G32" s="3">
        <f>IFERROR(__xludf.DUMMYFUNCTION("""COMPUTED_VALUE"""),67067.0)</f>
        <v>67067</v>
      </c>
      <c r="H32" s="2" t="str">
        <f>IFERROR(__xludf.DUMMYFUNCTION("""COMPUTED_VALUE"""),"Beyul Energy Nepal Public Limited")</f>
        <v>Beyul Energy Nepal Public Limited</v>
      </c>
      <c r="I32" s="2" t="str">
        <f>IFERROR(__xludf.DUMMYFUNCTION("""COMPUTED_VALUE"""),"Kathmandu Metropolitan City- 2, Kathmandu")</f>
        <v>Kathmandu Metropolitan City- 2, Kathmandu</v>
      </c>
      <c r="J32" s="2" t="str">
        <f>IFERROR(__xludf.DUMMYFUNCTION("""COMPUTED_VALUE"""),"28o 32' 33""")</f>
        <v>28o 32' 33"</v>
      </c>
      <c r="K32" s="2" t="str">
        <f>IFERROR(__xludf.DUMMYFUNCTION("""COMPUTED_VALUE"""),"28o 36' 21""")</f>
        <v>28o 36' 21"</v>
      </c>
      <c r="L32" s="2" t="str">
        <f>IFERROR(__xludf.DUMMYFUNCTION("""COMPUTED_VALUE"""),"84o 10' 26""")</f>
        <v>84o 10' 26"</v>
      </c>
      <c r="M32" s="2" t="str">
        <f>IFERROR(__xludf.DUMMYFUNCTION("""COMPUTED_VALUE"""),"84o 15' 38""")</f>
        <v>84o 15' 38"</v>
      </c>
      <c r="N32" s="2" t="str">
        <f>IFERROR(__xludf.DUMMYFUNCTION("""COMPUTED_VALUE"""),"Chame,Pisng,Tachi Bagarchhap (Manang)")</f>
        <v>Chame,Pisng,Tachi Bagarchhap (Manang)</v>
      </c>
    </row>
    <row r="33">
      <c r="A33" s="2">
        <f>IFERROR(__xludf.DUMMYFUNCTION("""COMPUTED_VALUE"""),32.0)</f>
        <v>32</v>
      </c>
      <c r="B33" s="2" t="str">
        <f>IFERROR(__xludf.DUMMYFUNCTION("""COMPUTED_VALUE"""),"Madhya Iwa Khola Hydropower Project")</f>
        <v>Madhya Iwa Khola Hydropower Project</v>
      </c>
      <c r="C33" s="2">
        <f>IFERROR(__xludf.DUMMYFUNCTION("""COMPUTED_VALUE"""),15.0)</f>
        <v>15</v>
      </c>
      <c r="D33" s="2" t="str">
        <f>IFERROR(__xludf.DUMMYFUNCTION("""COMPUTED_VALUE"""),"Iwa Khola")</f>
        <v>Iwa Khola</v>
      </c>
      <c r="E33" s="2">
        <f>IFERROR(__xludf.DUMMYFUNCTION("""COMPUTED_VALUE"""),1228.0)</f>
        <v>1228</v>
      </c>
      <c r="F33" s="3">
        <f>IFERROR(__xludf.DUMMYFUNCTION("""COMPUTED_VALUE"""),65665.0)</f>
        <v>65665</v>
      </c>
      <c r="G33" s="3">
        <f>IFERROR(__xludf.DUMMYFUNCTION("""COMPUTED_VALUE"""),67125.0)</f>
        <v>67125</v>
      </c>
      <c r="H33" s="2" t="str">
        <f>IFERROR(__xludf.DUMMYFUNCTION("""COMPUTED_VALUE"""),"Unitech Hydropower Company Limited")</f>
        <v>Unitech Hydropower Company Limited</v>
      </c>
      <c r="I33" s="2" t="str">
        <f>IFERROR(__xludf.DUMMYFUNCTION("""COMPUTED_VALUE"""),"Minbhawan - 31, Kathmandu (Phone no: 01-4106123)")</f>
        <v>Minbhawan - 31, Kathmandu (Phone no: 01-4106123)</v>
      </c>
      <c r="J33" s="2" t="str">
        <f>IFERROR(__xludf.DUMMYFUNCTION("""COMPUTED_VALUE"""),"27o 16' 43""")</f>
        <v>27o 16' 43"</v>
      </c>
      <c r="K33" s="2" t="str">
        <f>IFERROR(__xludf.DUMMYFUNCTION("""COMPUTED_VALUE"""),"27o 18' 20""")</f>
        <v>27o 18' 20"</v>
      </c>
      <c r="L33" s="2" t="str">
        <f>IFERROR(__xludf.DUMMYFUNCTION("""COMPUTED_VALUE"""),"87o 55' 21""")</f>
        <v>87o 55' 21"</v>
      </c>
      <c r="M33" s="2" t="str">
        <f>IFERROR(__xludf.DUMMYFUNCTION("""COMPUTED_VALUE"""),"87o 58' 36""")</f>
        <v>87o 58' 36"</v>
      </c>
      <c r="N33" s="2" t="str">
        <f>IFERROR(__xludf.DUMMYFUNCTION("""COMPUTED_VALUE"""),"Falaicha,Chyangthapu (Panchthar) Ankhop,Sadewa (Taplejung)")</f>
        <v>Falaicha,Chyangthapu (Panchthar) Ankhop,Sadewa (Taplejung)</v>
      </c>
    </row>
    <row r="34">
      <c r="A34" s="2">
        <f>IFERROR(__xludf.DUMMYFUNCTION("""COMPUTED_VALUE"""),33.0)</f>
        <v>33</v>
      </c>
      <c r="B34" s="2" t="str">
        <f>IFERROR(__xludf.DUMMYFUNCTION("""COMPUTED_VALUE"""),"Lower Ingwa Khola Hydropower Project")</f>
        <v>Lower Ingwa Khola Hydropower Project</v>
      </c>
      <c r="C34" s="2">
        <f>IFERROR(__xludf.DUMMYFUNCTION("""COMPUTED_VALUE"""),8.0)</f>
        <v>8</v>
      </c>
      <c r="D34" s="2" t="str">
        <f>IFERROR(__xludf.DUMMYFUNCTION("""COMPUTED_VALUE"""),"Ingwa Khola")</f>
        <v>Ingwa Khola</v>
      </c>
      <c r="E34" s="2">
        <f>IFERROR(__xludf.DUMMYFUNCTION("""COMPUTED_VALUE"""),1231.0)</f>
        <v>1231</v>
      </c>
      <c r="F34" s="3">
        <f>IFERROR(__xludf.DUMMYFUNCTION("""COMPUTED_VALUE"""),65702.0)</f>
        <v>65702</v>
      </c>
      <c r="G34" s="3">
        <f>IFERROR(__xludf.DUMMYFUNCTION("""COMPUTED_VALUE"""),67162.0)</f>
        <v>67162</v>
      </c>
      <c r="H34" s="2" t="str">
        <f>IFERROR(__xludf.DUMMYFUNCTION("""COMPUTED_VALUE"""),"Tallo Ingwa Power Company Limited")</f>
        <v>Tallo Ingwa Power Company Limited</v>
      </c>
      <c r="I34" s="2" t="str">
        <f>IFERROR(__xludf.DUMMYFUNCTION("""COMPUTED_VALUE"""),"KMC-11, Kathmandu")</f>
        <v>KMC-11, Kathmandu</v>
      </c>
      <c r="J34" s="2" t="str">
        <f>IFERROR(__xludf.DUMMYFUNCTION("""COMPUTED_VALUE"""),"27o 16' 35""")</f>
        <v>27o 16' 35"</v>
      </c>
      <c r="K34" s="2" t="str">
        <f>IFERROR(__xludf.DUMMYFUNCTION("""COMPUTED_VALUE"""),"27o 17' 04""")</f>
        <v>27o 17' 04"</v>
      </c>
      <c r="L34" s="2" t="str">
        <f>IFERROR(__xludf.DUMMYFUNCTION("""COMPUTED_VALUE"""),"87o 51' 52""")</f>
        <v>87o 51' 52"</v>
      </c>
      <c r="M34" s="2" t="str">
        <f>IFERROR(__xludf.DUMMYFUNCTION("""COMPUTED_VALUE"""),"87o 53' 03""")</f>
        <v>87o 53' 03"</v>
      </c>
      <c r="N34" s="2" t="str">
        <f>IFERROR(__xludf.DUMMYFUNCTION("""COMPUTED_VALUE"""),"Oyam,Tharpu (Panchthar)")</f>
        <v>Oyam,Tharpu (Panchthar)</v>
      </c>
    </row>
    <row r="35">
      <c r="A35" s="2">
        <f>IFERROR(__xludf.DUMMYFUNCTION("""COMPUTED_VALUE"""),34.0)</f>
        <v>34</v>
      </c>
      <c r="B35" s="2" t="str">
        <f>IFERROR(__xludf.DUMMYFUNCTION("""COMPUTED_VALUE"""),"Maakali Seti PRoR Cascade Hydroelectric Project")</f>
        <v>Maakali Seti PRoR Cascade Hydroelectric Project</v>
      </c>
      <c r="C35" s="2">
        <f>IFERROR(__xludf.DUMMYFUNCTION("""COMPUTED_VALUE"""),54.0)</f>
        <v>54</v>
      </c>
      <c r="D35" s="2" t="str">
        <f>IFERROR(__xludf.DUMMYFUNCTION("""COMPUTED_VALUE"""),"Seti (Far West)")</f>
        <v>Seti (Far West)</v>
      </c>
      <c r="E35" s="2">
        <f>IFERROR(__xludf.DUMMYFUNCTION("""COMPUTED_VALUE"""),1234.0)</f>
        <v>1234</v>
      </c>
      <c r="F35" s="3">
        <f>IFERROR(__xludf.DUMMYFUNCTION("""COMPUTED_VALUE"""),65743.0)</f>
        <v>65743</v>
      </c>
      <c r="G35" s="3">
        <f>IFERROR(__xludf.DUMMYFUNCTION("""COMPUTED_VALUE"""),67203.0)</f>
        <v>67203</v>
      </c>
      <c r="H35" s="2" t="str">
        <f>IFERROR(__xludf.DUMMYFUNCTION("""COMPUTED_VALUE"""),"Surma Sarowar Hydropower Pvt. Ltd.")</f>
        <v>Surma Sarowar Hydropower Pvt. Ltd.</v>
      </c>
      <c r="I35" s="2" t="str">
        <f>IFERROR(__xludf.DUMMYFUNCTION("""COMPUTED_VALUE"""),"KMC-26, Thapa Gaun")</f>
        <v>KMC-26, Thapa Gaun</v>
      </c>
      <c r="J35" s="2" t="str">
        <f>IFERROR(__xludf.DUMMYFUNCTION("""COMPUTED_VALUE"""),"29o 26' 42""")</f>
        <v>29o 26' 42"</v>
      </c>
      <c r="K35" s="2" t="str">
        <f>IFERROR(__xludf.DUMMYFUNCTION("""COMPUTED_VALUE"""),"29o 28' 55""")</f>
        <v>29o 28' 55"</v>
      </c>
      <c r="L35" s="2" t="str">
        <f>IFERROR(__xludf.DUMMYFUNCTION("""COMPUTED_VALUE"""),"80o 57' 31""")</f>
        <v>80o 57' 31"</v>
      </c>
      <c r="M35" s="2" t="str">
        <f>IFERROR(__xludf.DUMMYFUNCTION("""COMPUTED_VALUE"""),"81o 01' 31""")</f>
        <v>81o 01' 31"</v>
      </c>
      <c r="N35" s="2" t="str">
        <f>IFERROR(__xludf.DUMMYFUNCTION("""COMPUTED_VALUE"""),"Bhairabnath,Chaudhari,Dangaji,Kot Bhairab,Parakatne,Rayal (Bajhang)")</f>
        <v>Bhairabnath,Chaudhari,Dangaji,Kot Bhairab,Parakatne,Rayal (Bajhang)</v>
      </c>
    </row>
    <row r="36">
      <c r="A36" s="2">
        <f>IFERROR(__xludf.DUMMYFUNCTION("""COMPUTED_VALUE"""),35.0)</f>
        <v>35</v>
      </c>
      <c r="B36" s="2" t="str">
        <f>IFERROR(__xludf.DUMMYFUNCTION("""COMPUTED_VALUE"""),"Tapowan Seti PRoR Hydroelectric Project")</f>
        <v>Tapowan Seti PRoR Hydroelectric Project</v>
      </c>
      <c r="C36" s="2">
        <f>IFERROR(__xludf.DUMMYFUNCTION("""COMPUTED_VALUE"""),72.0)</f>
        <v>72</v>
      </c>
      <c r="D36" s="2" t="str">
        <f>IFERROR(__xludf.DUMMYFUNCTION("""COMPUTED_VALUE"""),"Seti (Far West)")</f>
        <v>Seti (Far West)</v>
      </c>
      <c r="E36" s="2">
        <f>IFERROR(__xludf.DUMMYFUNCTION("""COMPUTED_VALUE"""),1235.0)</f>
        <v>1235</v>
      </c>
      <c r="F36" s="3">
        <f>IFERROR(__xludf.DUMMYFUNCTION("""COMPUTED_VALUE"""),65755.0)</f>
        <v>65755</v>
      </c>
      <c r="G36" s="3">
        <f>IFERROR(__xludf.DUMMYFUNCTION("""COMPUTED_VALUE"""),66850.0)</f>
        <v>66850</v>
      </c>
      <c r="H36" s="2" t="str">
        <f>IFERROR(__xludf.DUMMYFUNCTION("""COMPUTED_VALUE"""),"Tapowan Hydropower Pvt. Ltd.")</f>
        <v>Tapowan Hydropower Pvt. Ltd.</v>
      </c>
      <c r="I36" s="2" t="str">
        <f>IFERROR(__xludf.DUMMYFUNCTION("""COMPUTED_VALUE"""),"KTM Ward No 26, Thapa Gaun (Contact No: 9851060583)")</f>
        <v>KTM Ward No 26, Thapa Gaun (Contact No: 9851060583)</v>
      </c>
      <c r="J36" s="2" t="str">
        <f>IFERROR(__xludf.DUMMYFUNCTION("""COMPUTED_VALUE"""),"29o 33' 16""")</f>
        <v>29o 33' 16"</v>
      </c>
      <c r="K36" s="2" t="str">
        <f>IFERROR(__xludf.DUMMYFUNCTION("""COMPUTED_VALUE"""),"29o 36' 19""")</f>
        <v>29o 36' 19"</v>
      </c>
      <c r="L36" s="2" t="str">
        <f>IFERROR(__xludf.DUMMYFUNCTION("""COMPUTED_VALUE"""),"81o 11' 45""")</f>
        <v>81o 11' 45"</v>
      </c>
      <c r="M36" s="2" t="str">
        <f>IFERROR(__xludf.DUMMYFUNCTION("""COMPUTED_VALUE"""),"81o 16' 22""")</f>
        <v>81o 16' 22"</v>
      </c>
      <c r="N36" s="2" t="str">
        <f>IFERROR(__xludf.DUMMYFUNCTION("""COMPUTED_VALUE"""),"Bhatekhola,Sunikot,Kotdewal,Hemantabada,Chainpur,Rilu (Bajhang)")</f>
        <v>Bhatekhola,Sunikot,Kotdewal,Hemantabada,Chainpur,Rilu (Bajhang)</v>
      </c>
    </row>
    <row r="37">
      <c r="A37" s="2">
        <f>IFERROR(__xludf.DUMMYFUNCTION("""COMPUTED_VALUE"""),36.0)</f>
        <v>36</v>
      </c>
      <c r="B37" s="2" t="str">
        <f>IFERROR(__xludf.DUMMYFUNCTION("""COMPUTED_VALUE"""),"Jilli Chumli Khola Hydropower Project")</f>
        <v>Jilli Chumli Khola Hydropower Project</v>
      </c>
      <c r="C37" s="2">
        <f>IFERROR(__xludf.DUMMYFUNCTION("""COMPUTED_VALUE"""),100.0)</f>
        <v>100</v>
      </c>
      <c r="D37" s="2" t="str">
        <f>IFERROR(__xludf.DUMMYFUNCTION("""COMPUTED_VALUE"""),"Jilli Chumli Khola")</f>
        <v>Jilli Chumli Khola</v>
      </c>
      <c r="E37" s="2">
        <f>IFERROR(__xludf.DUMMYFUNCTION("""COMPUTED_VALUE"""),1237.0)</f>
        <v>1237</v>
      </c>
      <c r="F37" s="3">
        <f>IFERROR(__xludf.DUMMYFUNCTION("""COMPUTED_VALUE"""),65780.0)</f>
        <v>65780</v>
      </c>
      <c r="G37" s="3">
        <f>IFERROR(__xludf.DUMMYFUNCTION("""COMPUTED_VALUE"""),66875.0)</f>
        <v>66875</v>
      </c>
      <c r="H37" s="2" t="str">
        <f>IFERROR(__xludf.DUMMYFUNCTION("""COMPUTED_VALUE"""),"sakshyam Hydropower Pvt. Ltd.")</f>
        <v>sakshyam Hydropower Pvt. Ltd.</v>
      </c>
      <c r="I37" s="2" t="str">
        <f>IFERROR(__xludf.DUMMYFUNCTION("""COMPUTED_VALUE"""),"Budhanilkantha, Kathmandu")</f>
        <v>Budhanilkantha, Kathmandu</v>
      </c>
      <c r="J37" s="2" t="str">
        <f>IFERROR(__xludf.DUMMYFUNCTION("""COMPUTED_VALUE"""),"28o 59' 17""")</f>
        <v>28o 59' 17"</v>
      </c>
      <c r="K37" s="2" t="str">
        <f>IFERROR(__xludf.DUMMYFUNCTION("""COMPUTED_VALUE"""),"29o 05' 50""")</f>
        <v>29o 05' 50"</v>
      </c>
      <c r="L37" s="2" t="str">
        <f>IFERROR(__xludf.DUMMYFUNCTION("""COMPUTED_VALUE"""),"81o 45' 10""")</f>
        <v>81o 45' 10"</v>
      </c>
      <c r="M37" s="2" t="str">
        <f>IFERROR(__xludf.DUMMYFUNCTION("""COMPUTED_VALUE"""),"81o 50' 45""")</f>
        <v>81o 50' 45"</v>
      </c>
      <c r="N37" s="2" t="str">
        <f>IFERROR(__xludf.DUMMYFUNCTION("""COMPUTED_VALUE"""),"Odanku (Kalikot)")</f>
        <v>Odanku (Kalikot)</v>
      </c>
    </row>
    <row r="38">
      <c r="A38" s="2">
        <f>IFERROR(__xludf.DUMMYFUNCTION("""COMPUTED_VALUE"""),37.0)</f>
        <v>37</v>
      </c>
      <c r="B38" s="2" t="str">
        <f>IFERROR(__xludf.DUMMYFUNCTION("""COMPUTED_VALUE"""),"Phedi Khola HEP")</f>
        <v>Phedi Khola HEP</v>
      </c>
      <c r="C38" s="2">
        <f>IFERROR(__xludf.DUMMYFUNCTION("""COMPUTED_VALUE"""),3.5)</f>
        <v>3.5</v>
      </c>
      <c r="D38" s="2" t="str">
        <f>IFERROR(__xludf.DUMMYFUNCTION("""COMPUTED_VALUE"""),"Phedi Khola")</f>
        <v>Phedi Khola</v>
      </c>
      <c r="E38" s="2">
        <f>IFERROR(__xludf.DUMMYFUNCTION("""COMPUTED_VALUE"""),1238.0)</f>
        <v>1238</v>
      </c>
      <c r="F38" s="3">
        <f>IFERROR(__xludf.DUMMYFUNCTION("""COMPUTED_VALUE"""),65792.0)</f>
        <v>65792</v>
      </c>
      <c r="G38" s="3">
        <f>IFERROR(__xludf.DUMMYFUNCTION("""COMPUTED_VALUE"""),66887.0)</f>
        <v>66887</v>
      </c>
      <c r="H38" s="2" t="str">
        <f>IFERROR(__xludf.DUMMYFUNCTION("""COMPUTED_VALUE"""),"Dolpa Phedi Hydro Company Pvt. Ltd")</f>
        <v>Dolpa Phedi Hydro Company Pvt. Ltd</v>
      </c>
      <c r="I38" s="2" t="str">
        <f>IFERROR(__xludf.DUMMYFUNCTION("""COMPUTED_VALUE"""),"Lalitpur- 10, Jwagal. Contact No. 9851124391")</f>
        <v>Lalitpur- 10, Jwagal. Contact No. 9851124391</v>
      </c>
      <c r="J38" s="2" t="str">
        <f>IFERROR(__xludf.DUMMYFUNCTION("""COMPUTED_VALUE"""),"29o 03' 23""")</f>
        <v>29o 03' 23"</v>
      </c>
      <c r="K38" s="2" t="str">
        <f>IFERROR(__xludf.DUMMYFUNCTION("""COMPUTED_VALUE"""),"29o 04' 17""")</f>
        <v>29o 04' 17"</v>
      </c>
      <c r="L38" s="2" t="str">
        <f>IFERROR(__xludf.DUMMYFUNCTION("""COMPUTED_VALUE"""),"82o 34' 14""")</f>
        <v>82o 34' 14"</v>
      </c>
      <c r="M38" s="2" t="str">
        <f>IFERROR(__xludf.DUMMYFUNCTION("""COMPUTED_VALUE"""),"82o 36' 16""")</f>
        <v>82o 36' 16"</v>
      </c>
      <c r="N38" s="2" t="str">
        <f>IFERROR(__xludf.DUMMYFUNCTION("""COMPUTED_VALUE"""),"Narku (Dolpa)")</f>
        <v>Narku (Dolpa)</v>
      </c>
    </row>
    <row r="39">
      <c r="A39" s="2">
        <f>IFERROR(__xludf.DUMMYFUNCTION("""COMPUTED_VALUE"""),38.0)</f>
        <v>38</v>
      </c>
      <c r="B39" s="2" t="str">
        <f>IFERROR(__xludf.DUMMYFUNCTION("""COMPUTED_VALUE"""),"Super Chuwa Khola Hydropower Project (PRoR)")</f>
        <v>Super Chuwa Khola Hydropower Project (PRoR)</v>
      </c>
      <c r="C39" s="2">
        <f>IFERROR(__xludf.DUMMYFUNCTION("""COMPUTED_VALUE"""),80.0)</f>
        <v>80</v>
      </c>
      <c r="D39" s="2" t="str">
        <f>IFERROR(__xludf.DUMMYFUNCTION("""COMPUTED_VALUE"""),"Chuwa Khola")</f>
        <v>Chuwa Khola</v>
      </c>
      <c r="E39" s="2">
        <f>IFERROR(__xludf.DUMMYFUNCTION("""COMPUTED_VALUE"""),1239.0)</f>
        <v>1239</v>
      </c>
      <c r="F39" s="3">
        <f>IFERROR(__xludf.DUMMYFUNCTION("""COMPUTED_VALUE"""),65799.0)</f>
        <v>65799</v>
      </c>
      <c r="G39" s="3">
        <f>IFERROR(__xludf.DUMMYFUNCTION("""COMPUTED_VALUE"""),66894.0)</f>
        <v>66894</v>
      </c>
      <c r="H39" s="2" t="str">
        <f>IFERROR(__xludf.DUMMYFUNCTION("""COMPUTED_VALUE"""),"Aviyan Power Company Pvt. Ltd.")</f>
        <v>Aviyan Power Company Pvt. Ltd.</v>
      </c>
      <c r="I39" s="2" t="str">
        <f>IFERROR(__xludf.DUMMYFUNCTION("""COMPUTED_VALUE"""),"New Plaza Putlisadak, Kathmandu - 29 Tel: 9852048118")</f>
        <v>New Plaza Putlisadak, Kathmandu - 29 Tel: 9852048118</v>
      </c>
      <c r="J39" s="2" t="str">
        <f>IFERROR(__xludf.DUMMYFUNCTION("""COMPUTED_VALUE"""),"29o 59' 00""")</f>
        <v>29o 59' 00"</v>
      </c>
      <c r="K39" s="2" t="str">
        <f>IFERROR(__xludf.DUMMYFUNCTION("""COMPUTED_VALUE"""),"30o 02' 15""")</f>
        <v>30o 02' 15"</v>
      </c>
      <c r="L39" s="2" t="str">
        <f>IFERROR(__xludf.DUMMYFUNCTION("""COMPUTED_VALUE"""),"81o 57' 44""")</f>
        <v>81o 57' 44"</v>
      </c>
      <c r="M39" s="2" t="str">
        <f>IFERROR(__xludf.DUMMYFUNCTION("""COMPUTED_VALUE"""),"82o 01' 12""")</f>
        <v>82o 01' 12"</v>
      </c>
      <c r="N39" s="2" t="str">
        <f>IFERROR(__xludf.DUMMYFUNCTION("""COMPUTED_VALUE"""),"Kharpunath,Simikot (Humla)")</f>
        <v>Kharpunath,Simikot (Humla)</v>
      </c>
    </row>
    <row r="40">
      <c r="A40" s="2">
        <f>IFERROR(__xludf.DUMMYFUNCTION("""COMPUTED_VALUE"""),39.0)</f>
        <v>39</v>
      </c>
      <c r="B40" s="2" t="str">
        <f>IFERROR(__xludf.DUMMYFUNCTION("""COMPUTED_VALUE"""),"Upper Ikhuwa Khola Hydropower Project")</f>
        <v>Upper Ikhuwa Khola Hydropower Project</v>
      </c>
      <c r="C40" s="2">
        <f>IFERROR(__xludf.DUMMYFUNCTION("""COMPUTED_VALUE"""),9.6)</f>
        <v>9.6</v>
      </c>
      <c r="D40" s="2" t="str">
        <f>IFERROR(__xludf.DUMMYFUNCTION("""COMPUTED_VALUE"""),"Ikhuwa Khola")</f>
        <v>Ikhuwa Khola</v>
      </c>
      <c r="E40" s="2">
        <f>IFERROR(__xludf.DUMMYFUNCTION("""COMPUTED_VALUE"""),1241.0)</f>
        <v>1241</v>
      </c>
      <c r="F40" s="3">
        <f>IFERROR(__xludf.DUMMYFUNCTION("""COMPUTED_VALUE"""),65817.0)</f>
        <v>65817</v>
      </c>
      <c r="G40" s="3">
        <f>IFERROR(__xludf.DUMMYFUNCTION("""COMPUTED_VALUE"""),66911.0)</f>
        <v>66911</v>
      </c>
      <c r="H40" s="2" t="str">
        <f>IFERROR(__xludf.DUMMYFUNCTION("""COMPUTED_VALUE"""),"Sashi Power Investment Pvt. Ltd.")</f>
        <v>Sashi Power Investment Pvt. Ltd.</v>
      </c>
      <c r="I40" s="2" t="str">
        <f>IFERROR(__xludf.DUMMYFUNCTION("""COMPUTED_VALUE"""),"Sunakothi - 27, Kathmandu")</f>
        <v>Sunakothi - 27, Kathmandu</v>
      </c>
      <c r="J40" s="2" t="str">
        <f>IFERROR(__xludf.DUMMYFUNCTION("""COMPUTED_VALUE"""),"27o 35' 50""")</f>
        <v>27o 35' 50"</v>
      </c>
      <c r="K40" s="2" t="str">
        <f>IFERROR(__xludf.DUMMYFUNCTION("""COMPUTED_VALUE"""),"27o 37' 20""")</f>
        <v>27o 37' 20"</v>
      </c>
      <c r="L40" s="2" t="str">
        <f>IFERROR(__xludf.DUMMYFUNCTION("""COMPUTED_VALUE"""),"87o 25' 08""")</f>
        <v>87o 25' 08"</v>
      </c>
      <c r="M40" s="2" t="str">
        <f>IFERROR(__xludf.DUMMYFUNCTION("""COMPUTED_VALUE"""),"87o 27' 07""")</f>
        <v>87o 27' 07"</v>
      </c>
      <c r="N40" s="2" t="str">
        <f>IFERROR(__xludf.DUMMYFUNCTION("""COMPUTED_VALUE"""),"Pawakhola (Sankhuwasabha)")</f>
        <v>Pawakhola (Sankhuwasabha)</v>
      </c>
    </row>
    <row r="41">
      <c r="A41" s="2">
        <f>IFERROR(__xludf.DUMMYFUNCTION("""COMPUTED_VALUE"""),40.0)</f>
        <v>40</v>
      </c>
      <c r="B41" s="2" t="str">
        <f>IFERROR(__xludf.DUMMYFUNCTION("""COMPUTED_VALUE"""),"Ghatganga PRoR Hydroelectric Project")</f>
        <v>Ghatganga PRoR Hydroelectric Project</v>
      </c>
      <c r="C41" s="2">
        <f>IFERROR(__xludf.DUMMYFUNCTION("""COMPUTED_VALUE"""),51.5)</f>
        <v>51.5</v>
      </c>
      <c r="D41" s="2" t="str">
        <f>IFERROR(__xludf.DUMMYFUNCTION("""COMPUTED_VALUE"""),"Ghat Ganga, Mudungra Khola")</f>
        <v>Ghat Ganga, Mudungra Khola</v>
      </c>
      <c r="E41" s="2">
        <f>IFERROR(__xludf.DUMMYFUNCTION("""COMPUTED_VALUE"""),1244.0)</f>
        <v>1244</v>
      </c>
      <c r="F41" s="3">
        <f>IFERROR(__xludf.DUMMYFUNCTION("""COMPUTED_VALUE"""),65861.0)</f>
        <v>65861</v>
      </c>
      <c r="G41" s="3">
        <f>IFERROR(__xludf.DUMMYFUNCTION("""COMPUTED_VALUE"""),66955.0)</f>
        <v>66955</v>
      </c>
      <c r="H41" s="2" t="str">
        <f>IFERROR(__xludf.DUMMYFUNCTION("""COMPUTED_VALUE"""),"Milestone Energy Private Limited")</f>
        <v>Milestone Energy Private Limited</v>
      </c>
      <c r="I41" s="2" t="str">
        <f>IFERROR(__xludf.DUMMYFUNCTION("""COMPUTED_VALUE"""),"Lalitpur Metropolitan City - 15")</f>
        <v>Lalitpur Metropolitan City - 15</v>
      </c>
      <c r="J41" s="2" t="str">
        <f>IFERROR(__xludf.DUMMYFUNCTION("""COMPUTED_VALUE"""),"29o 42' 54""")</f>
        <v>29o 42' 54"</v>
      </c>
      <c r="K41" s="2" t="str">
        <f>IFERROR(__xludf.DUMMYFUNCTION("""COMPUTED_VALUE"""),"29o 45' 36""")</f>
        <v>29o 45' 36"</v>
      </c>
      <c r="L41" s="2" t="str">
        <f>IFERROR(__xludf.DUMMYFUNCTION("""COMPUTED_VALUE"""),"81o 20' 28""")</f>
        <v>81o 20' 28"</v>
      </c>
      <c r="M41" s="2" t="str">
        <f>IFERROR(__xludf.DUMMYFUNCTION("""COMPUTED_VALUE"""),"81o 24' 11""")</f>
        <v>81o 24' 11"</v>
      </c>
      <c r="N41" s="2" t="str">
        <f>IFERROR(__xludf.DUMMYFUNCTION("""COMPUTED_VALUE"""),"Kanda (Bajhang)")</f>
        <v>Kanda (Bajhang)</v>
      </c>
    </row>
    <row r="42">
      <c r="A42" s="2">
        <f>IFERROR(__xludf.DUMMYFUNCTION("""COMPUTED_VALUE"""),41.0)</f>
        <v>41</v>
      </c>
      <c r="B42" s="2" t="str">
        <f>IFERROR(__xludf.DUMMYFUNCTION("""COMPUTED_VALUE"""),"Bhimdang Hydropower Project")</f>
        <v>Bhimdang Hydropower Project</v>
      </c>
      <c r="C42" s="2">
        <f>IFERROR(__xludf.DUMMYFUNCTION("""COMPUTED_VALUE"""),25.11)</f>
        <v>25.11</v>
      </c>
      <c r="D42" s="2" t="str">
        <f>IFERROR(__xludf.DUMMYFUNCTION("""COMPUTED_VALUE"""),"Bhimdang Himnadi")</f>
        <v>Bhimdang Himnadi</v>
      </c>
      <c r="E42" s="2">
        <f>IFERROR(__xludf.DUMMYFUNCTION("""COMPUTED_VALUE"""),1246.0)</f>
        <v>1246</v>
      </c>
      <c r="F42" s="3">
        <f>IFERROR(__xludf.DUMMYFUNCTION("""COMPUTED_VALUE"""),65870.0)</f>
        <v>65870</v>
      </c>
      <c r="G42" s="3">
        <f>IFERROR(__xludf.DUMMYFUNCTION("""COMPUTED_VALUE"""),66964.0)</f>
        <v>66964</v>
      </c>
      <c r="H42" s="2" t="str">
        <f>IFERROR(__xludf.DUMMYFUNCTION("""COMPUTED_VALUE"""),"Road Nepal Private Limited")</f>
        <v>Road Nepal Private Limited</v>
      </c>
      <c r="I42" s="2" t="str">
        <f>IFERROR(__xludf.DUMMYFUNCTION("""COMPUTED_VALUE"""),"KMC - 16, Sabitri Adhikari, 9810089900")</f>
        <v>KMC - 16, Sabitri Adhikari, 9810089900</v>
      </c>
      <c r="J42" s="2" t="str">
        <f>IFERROR(__xludf.DUMMYFUNCTION("""COMPUTED_VALUE"""),"28o 35' 30""")</f>
        <v>28o 35' 30"</v>
      </c>
      <c r="K42" s="2" t="str">
        <f>IFERROR(__xludf.DUMMYFUNCTION("""COMPUTED_VALUE"""),"28o 36' 36""")</f>
        <v>28o 36' 36"</v>
      </c>
      <c r="L42" s="2" t="str">
        <f>IFERROR(__xludf.DUMMYFUNCTION("""COMPUTED_VALUE"""),"84o 25' 40""")</f>
        <v>84o 25' 40"</v>
      </c>
      <c r="M42" s="2" t="str">
        <f>IFERROR(__xludf.DUMMYFUNCTION("""COMPUTED_VALUE"""),"84o 28' 00""")</f>
        <v>84o 28' 00"</v>
      </c>
      <c r="N42" s="2" t="str">
        <f>IFERROR(__xludf.DUMMYFUNCTION("""COMPUTED_VALUE"""),"Thoche (Manang)")</f>
        <v>Thoche (Manang)</v>
      </c>
    </row>
    <row r="43">
      <c r="A43" s="2">
        <f>IFERROR(__xludf.DUMMYFUNCTION("""COMPUTED_VALUE"""),42.0)</f>
        <v>42</v>
      </c>
      <c r="B43" s="2" t="str">
        <f>IFERROR(__xludf.DUMMYFUNCTION("""COMPUTED_VALUE"""),"Syarpu Lake Pump Storage Hydroelectric Project")</f>
        <v>Syarpu Lake Pump Storage Hydroelectric Project</v>
      </c>
      <c r="C43" s="2">
        <f>IFERROR(__xludf.DUMMYFUNCTION("""COMPUTED_VALUE"""),334.0)</f>
        <v>334</v>
      </c>
      <c r="D43" s="2" t="str">
        <f>IFERROR(__xludf.DUMMYFUNCTION("""COMPUTED_VALUE"""),"Syarpudaha")</f>
        <v>Syarpudaha</v>
      </c>
      <c r="E43" s="2">
        <f>IFERROR(__xludf.DUMMYFUNCTION("""COMPUTED_VALUE"""),1250.0)</f>
        <v>1250</v>
      </c>
      <c r="F43" s="3">
        <f>IFERROR(__xludf.DUMMYFUNCTION("""COMPUTED_VALUE"""),65898.0)</f>
        <v>65898</v>
      </c>
      <c r="G43" s="3">
        <f>IFERROR(__xludf.DUMMYFUNCTION("""COMPUTED_VALUE"""),66992.0)</f>
        <v>66992</v>
      </c>
      <c r="H43" s="2" t="str">
        <f>IFERROR(__xludf.DUMMYFUNCTION("""COMPUTED_VALUE"""),"Nepal Electricity Authority")</f>
        <v>Nepal Electricity Authority</v>
      </c>
      <c r="I43" s="2" t="str">
        <f>IFERROR(__xludf.DUMMYFUNCTION("""COMPUTED_VALUE"""),"Darbarmarg, Kathmandu, Contact No: 01-4153007, 4153012")</f>
        <v>Darbarmarg, Kathmandu, Contact No: 01-4153007, 4153012</v>
      </c>
      <c r="J43" s="2" t="str">
        <f>IFERROR(__xludf.DUMMYFUNCTION("""COMPUTED_VALUE"""),"28o 40' 00""")</f>
        <v>28o 40' 00"</v>
      </c>
      <c r="K43" s="2" t="str">
        <f>IFERROR(__xludf.DUMMYFUNCTION("""COMPUTED_VALUE"""),"28o 42' 30""")</f>
        <v>28o 42' 30"</v>
      </c>
      <c r="L43" s="2" t="str">
        <f>IFERROR(__xludf.DUMMYFUNCTION("""COMPUTED_VALUE"""),"82o 28' 24""")</f>
        <v>82o 28' 24"</v>
      </c>
      <c r="M43" s="2" t="str">
        <f>IFERROR(__xludf.DUMMYFUNCTION("""COMPUTED_VALUE"""),"82o 30' 00""")</f>
        <v>82o 30' 00"</v>
      </c>
      <c r="N43" s="2"/>
    </row>
    <row r="44">
      <c r="A44" s="2">
        <f>IFERROR(__xludf.DUMMYFUNCTION("""COMPUTED_VALUE"""),43.0)</f>
        <v>43</v>
      </c>
      <c r="B44" s="2" t="str">
        <f>IFERROR(__xludf.DUMMYFUNCTION("""COMPUTED_VALUE"""),"Mathillo Budigandaki Hydropower Project")</f>
        <v>Mathillo Budigandaki Hydropower Project</v>
      </c>
      <c r="C44" s="2">
        <f>IFERROR(__xludf.DUMMYFUNCTION("""COMPUTED_VALUE"""),201.1)</f>
        <v>201.1</v>
      </c>
      <c r="D44" s="2" t="str">
        <f>IFERROR(__xludf.DUMMYFUNCTION("""COMPUTED_VALUE"""),"Budhi Gandaki")</f>
        <v>Budhi Gandaki</v>
      </c>
      <c r="E44" s="2">
        <f>IFERROR(__xludf.DUMMYFUNCTION("""COMPUTED_VALUE"""),1252.0)</f>
        <v>1252</v>
      </c>
      <c r="F44" s="3">
        <f>IFERROR(__xludf.DUMMYFUNCTION("""COMPUTED_VALUE"""),65902.0)</f>
        <v>65902</v>
      </c>
      <c r="G44" s="3">
        <f>IFERROR(__xludf.DUMMYFUNCTION("""COMPUTED_VALUE"""),66996.0)</f>
        <v>66996</v>
      </c>
      <c r="H44" s="2" t="str">
        <f>IFERROR(__xludf.DUMMYFUNCTION("""COMPUTED_VALUE"""),"Kailash Energy Private Limited")</f>
        <v>Kailash Energy Private Limited</v>
      </c>
      <c r="I44" s="2" t="str">
        <f>IFERROR(__xludf.DUMMYFUNCTION("""COMPUTED_VALUE"""),"Lalitpur Metropolitan City, Ward No-10, Nepal")</f>
        <v>Lalitpur Metropolitan City, Ward No-10, Nepal</v>
      </c>
      <c r="J44" s="2" t="str">
        <f>IFERROR(__xludf.DUMMYFUNCTION("""COMPUTED_VALUE"""),"28o 22' 31""")</f>
        <v>28o 22' 31"</v>
      </c>
      <c r="K44" s="2" t="str">
        <f>IFERROR(__xludf.DUMMYFUNCTION("""COMPUTED_VALUE"""),"28o 26' 24""")</f>
        <v>28o 26' 24"</v>
      </c>
      <c r="L44" s="2" t="str">
        <f>IFERROR(__xludf.DUMMYFUNCTION("""COMPUTED_VALUE"""),"84o 52' 40""")</f>
        <v>84o 52' 40"</v>
      </c>
      <c r="M44" s="2" t="str">
        <f>IFERROR(__xludf.DUMMYFUNCTION("""COMPUTED_VALUE"""),"84o 54' 30""")</f>
        <v>84o 54' 30"</v>
      </c>
      <c r="N44" s="2" t="str">
        <f>IFERROR(__xludf.DUMMYFUNCTION("""COMPUTED_VALUE"""),"Chunchet,Sirdibas (Gorkha)")</f>
        <v>Chunchet,Sirdibas (Gorkha)</v>
      </c>
    </row>
    <row r="45">
      <c r="A45" s="2">
        <f>IFERROR(__xludf.DUMMYFUNCTION("""COMPUTED_VALUE"""),44.0)</f>
        <v>44</v>
      </c>
      <c r="B45" s="2" t="str">
        <f>IFERROR(__xludf.DUMMYFUNCTION("""COMPUTED_VALUE"""),"Jawa Tila PRoR Hydroelectric Project")</f>
        <v>Jawa Tila PRoR Hydroelectric Project</v>
      </c>
      <c r="C45" s="2">
        <f>IFERROR(__xludf.DUMMYFUNCTION("""COMPUTED_VALUE"""),70.37)</f>
        <v>70.37</v>
      </c>
      <c r="D45" s="2" t="str">
        <f>IFERROR(__xludf.DUMMYFUNCTION("""COMPUTED_VALUE"""),"Tila")</f>
        <v>Tila</v>
      </c>
      <c r="E45" s="2">
        <f>IFERROR(__xludf.DUMMYFUNCTION("""COMPUTED_VALUE"""),1253.0)</f>
        <v>1253</v>
      </c>
      <c r="F45" s="3">
        <f>IFERROR(__xludf.DUMMYFUNCTION("""COMPUTED_VALUE"""),65915.0)</f>
        <v>65915</v>
      </c>
      <c r="G45" s="3">
        <f>IFERROR(__xludf.DUMMYFUNCTION("""COMPUTED_VALUE"""),67009.0)</f>
        <v>67009</v>
      </c>
      <c r="H45" s="2" t="str">
        <f>IFERROR(__xludf.DUMMYFUNCTION("""COMPUTED_VALUE"""),"Nepal Electricity Authority")</f>
        <v>Nepal Electricity Authority</v>
      </c>
      <c r="I45" s="2" t="str">
        <f>IFERROR(__xludf.DUMMYFUNCTION("""COMPUTED_VALUE"""),"Darbarmarg, Kathmandu")</f>
        <v>Darbarmarg, Kathmandu</v>
      </c>
      <c r="J45" s="2" t="str">
        <f>IFERROR(__xludf.DUMMYFUNCTION("""COMPUTED_VALUE"""),"29o 11' 50""")</f>
        <v>29o 11' 50"</v>
      </c>
      <c r="K45" s="2" t="str">
        <f>IFERROR(__xludf.DUMMYFUNCTION("""COMPUTED_VALUE"""),"29o 14' 00""")</f>
        <v>29o 14' 00"</v>
      </c>
      <c r="L45" s="2" t="str">
        <f>IFERROR(__xludf.DUMMYFUNCTION("""COMPUTED_VALUE"""),"81o 54' 27""")</f>
        <v>81o 54' 27"</v>
      </c>
      <c r="M45" s="2" t="str">
        <f>IFERROR(__xludf.DUMMYFUNCTION("""COMPUTED_VALUE"""),"82o 01' 42""")</f>
        <v>82o 01' 42"</v>
      </c>
      <c r="N45" s="2" t="str">
        <f>IFERROR(__xludf.DUMMYFUNCTION("""COMPUTED_VALUE"""),"Mahabe PattharKhola,Kudari,Kalikakhetu ?,Ghode Mahadev (Jumla) Phoi 
Mahadev,Ranchuli (Kalikot)")</f>
        <v>Mahabe PattharKhola,Kudari,Kalikakhetu ?,Ghode Mahadev (Jumla) Phoi 
Mahadev,Ranchuli (Kalikot)</v>
      </c>
    </row>
    <row r="46">
      <c r="A46" s="2">
        <f>IFERROR(__xludf.DUMMYFUNCTION("""COMPUTED_VALUE"""),45.0)</f>
        <v>45</v>
      </c>
      <c r="B46" s="2" t="str">
        <f>IFERROR(__xludf.DUMMYFUNCTION("""COMPUTED_VALUE"""),"Sunkoshi - 3 Storage Hydropower Project")</f>
        <v>Sunkoshi - 3 Storage Hydropower Project</v>
      </c>
      <c r="C46" s="2">
        <f>IFERROR(__xludf.DUMMYFUNCTION("""COMPUTED_VALUE"""),683.0)</f>
        <v>683</v>
      </c>
      <c r="D46" s="2" t="str">
        <f>IFERROR(__xludf.DUMMYFUNCTION("""COMPUTED_VALUE"""),"Sunkoshi")</f>
        <v>Sunkoshi</v>
      </c>
      <c r="E46" s="2">
        <f>IFERROR(__xludf.DUMMYFUNCTION("""COMPUTED_VALUE"""),1255.0)</f>
        <v>1255</v>
      </c>
      <c r="F46" s="3">
        <f>IFERROR(__xludf.DUMMYFUNCTION("""COMPUTED_VALUE"""),65983.0)</f>
        <v>65983</v>
      </c>
      <c r="G46" s="3">
        <f>IFERROR(__xludf.DUMMYFUNCTION("""COMPUTED_VALUE"""),67077.0)</f>
        <v>67077</v>
      </c>
      <c r="H46" s="2" t="str">
        <f>IFERROR(__xludf.DUMMYFUNCTION("""COMPUTED_VALUE"""),"Nepal Electricity Authority")</f>
        <v>Nepal Electricity Authority</v>
      </c>
      <c r="I46" s="2" t="str">
        <f>IFERROR(__xludf.DUMMYFUNCTION("""COMPUTED_VALUE"""),"Darbarmarg, Kathmandu")</f>
        <v>Darbarmarg, Kathmandu</v>
      </c>
      <c r="J46" s="2" t="str">
        <f>IFERROR(__xludf.DUMMYFUNCTION("""COMPUTED_VALUE"""),"27o 26' 53""")</f>
        <v>27o 26' 53"</v>
      </c>
      <c r="K46" s="2" t="str">
        <f>IFERROR(__xludf.DUMMYFUNCTION("""COMPUTED_VALUE"""),"27o 45' 30""")</f>
        <v>27o 45' 30"</v>
      </c>
      <c r="L46" s="2" t="str">
        <f>IFERROR(__xludf.DUMMYFUNCTION("""COMPUTED_VALUE"""),"85o 35' 55""")</f>
        <v>85o 35' 55"</v>
      </c>
      <c r="M46" s="2" t="str">
        <f>IFERROR(__xludf.DUMMYFUNCTION("""COMPUTED_VALUE"""),"85o 50' 00""")</f>
        <v>85o 50' 00"</v>
      </c>
      <c r="N46" s="2" t="str">
        <f>IFERROR(__xludf.DUMMYFUNCTION("""COMPUTED_VALUE"""),"Dhulikhel N.P. (Kavrepalanchok) Doramba (Ramechhap) Choutara (Sindhupalchok)")</f>
        <v>Dhulikhel N.P. (Kavrepalanchok) Doramba (Ramechhap) Choutara (Sindhupalchok)</v>
      </c>
    </row>
    <row r="47">
      <c r="A47" s="2">
        <f>IFERROR(__xludf.DUMMYFUNCTION("""COMPUTED_VALUE"""),46.0)</f>
        <v>46</v>
      </c>
      <c r="B47" s="2" t="str">
        <f>IFERROR(__xludf.DUMMYFUNCTION("""COMPUTED_VALUE"""),"Panchpokhari Khola Hydropower Project")</f>
        <v>Panchpokhari Khola Hydropower Project</v>
      </c>
      <c r="C47" s="2">
        <f>IFERROR(__xludf.DUMMYFUNCTION("""COMPUTED_VALUE"""),8.58)</f>
        <v>8.58</v>
      </c>
      <c r="D47" s="2" t="str">
        <f>IFERROR(__xludf.DUMMYFUNCTION("""COMPUTED_VALUE"""),"Panch Pokhari Khola")</f>
        <v>Panch Pokhari Khola</v>
      </c>
      <c r="E47" s="2">
        <f>IFERROR(__xludf.DUMMYFUNCTION("""COMPUTED_VALUE"""),1256.0)</f>
        <v>1256</v>
      </c>
      <c r="F47" s="3">
        <f>IFERROR(__xludf.DUMMYFUNCTION("""COMPUTED_VALUE"""),65990.0)</f>
        <v>65990</v>
      </c>
      <c r="G47" s="3">
        <f>IFERROR(__xludf.DUMMYFUNCTION("""COMPUTED_VALUE"""),67083.0)</f>
        <v>67083</v>
      </c>
      <c r="H47" s="2" t="str">
        <f>IFERROR(__xludf.DUMMYFUNCTION("""COMPUTED_VALUE"""),"Saphal Hydropower Private Limited")</f>
        <v>Saphal Hydropower Private Limited</v>
      </c>
      <c r="I47" s="2" t="str">
        <f>IFERROR(__xludf.DUMMYFUNCTION("""COMPUTED_VALUE"""),"Naxal, Kathmandu, 01-4426248")</f>
        <v>Naxal, Kathmandu, 01-4426248</v>
      </c>
      <c r="J47" s="2" t="str">
        <f>IFERROR(__xludf.DUMMYFUNCTION("""COMPUTED_VALUE"""),"27o 34' 32""")</f>
        <v>27o 34' 32"</v>
      </c>
      <c r="K47" s="2" t="str">
        <f>IFERROR(__xludf.DUMMYFUNCTION("""COMPUTED_VALUE"""),"27o 36' 09""")</f>
        <v>27o 36' 09"</v>
      </c>
      <c r="L47" s="2" t="str">
        <f>IFERROR(__xludf.DUMMYFUNCTION("""COMPUTED_VALUE"""),"87o 25' 08""")</f>
        <v>87o 25' 08"</v>
      </c>
      <c r="M47" s="2" t="str">
        <f>IFERROR(__xludf.DUMMYFUNCTION("""COMPUTED_VALUE"""),"87o 26' 29""")</f>
        <v>87o 26' 29"</v>
      </c>
      <c r="N47" s="2" t="str">
        <f>IFERROR(__xludf.DUMMYFUNCTION("""COMPUTED_VALUE"""),"Pawakhola (Sankhuwasabha)")</f>
        <v>Pawakhola (Sankhuwasabha)</v>
      </c>
    </row>
    <row r="48">
      <c r="A48" s="2">
        <f>IFERROR(__xludf.DUMMYFUNCTION("""COMPUTED_VALUE"""),47.0)</f>
        <v>47</v>
      </c>
      <c r="B48" s="2" t="str">
        <f>IFERROR(__xludf.DUMMYFUNCTION("""COMPUTED_VALUE"""),"Lower Loti Karnali PRoR Hydropower Project")</f>
        <v>Lower Loti Karnali PRoR Hydropower Project</v>
      </c>
      <c r="C48" s="2">
        <f>IFERROR(__xludf.DUMMYFUNCTION("""COMPUTED_VALUE"""),47.7)</f>
        <v>47.7</v>
      </c>
      <c r="D48" s="2" t="str">
        <f>IFERROR(__xludf.DUMMYFUNCTION("""COMPUTED_VALUE"""),"Loti Karnali")</f>
        <v>Loti Karnali</v>
      </c>
      <c r="E48" s="2">
        <f>IFERROR(__xludf.DUMMYFUNCTION("""COMPUTED_VALUE"""),1257.0)</f>
        <v>1257</v>
      </c>
      <c r="F48" s="3">
        <f>IFERROR(__xludf.DUMMYFUNCTION("""COMPUTED_VALUE"""),66024.0)</f>
        <v>66024</v>
      </c>
      <c r="G48" s="3">
        <f>IFERROR(__xludf.DUMMYFUNCTION("""COMPUTED_VALUE"""),67118.0)</f>
        <v>67118</v>
      </c>
      <c r="H48" s="2" t="str">
        <f>IFERROR(__xludf.DUMMYFUNCTION("""COMPUTED_VALUE"""),"White Water Energy Private Limited")</f>
        <v>White Water Energy Private Limited</v>
      </c>
      <c r="I48" s="2" t="str">
        <f>IFERROR(__xludf.DUMMYFUNCTION("""COMPUTED_VALUE"""),"Nagarjun Municipality, Kathmandu")</f>
        <v>Nagarjun Municipality, Kathmandu</v>
      </c>
      <c r="J48" s="2" t="str">
        <f>IFERROR(__xludf.DUMMYFUNCTION("""COMPUTED_VALUE"""),"29o 42' 35""")</f>
        <v>29o 42' 35"</v>
      </c>
      <c r="K48" s="2" t="str">
        <f>IFERROR(__xludf.DUMMYFUNCTION("""COMPUTED_VALUE"""),"29o 45' 27""")</f>
        <v>29o 45' 27"</v>
      </c>
      <c r="L48" s="2" t="str">
        <f>IFERROR(__xludf.DUMMYFUNCTION("""COMPUTED_VALUE"""),"81o 59' 43""")</f>
        <v>81o 59' 43"</v>
      </c>
      <c r="M48" s="2" t="str">
        <f>IFERROR(__xludf.DUMMYFUNCTION("""COMPUTED_VALUE"""),"82o 03' 18""")</f>
        <v>82o 03' 18"</v>
      </c>
      <c r="N48" s="2" t="str">
        <f>IFERROR(__xludf.DUMMYFUNCTION("""COMPUTED_VALUE"""),"Photu (Mugu)")</f>
        <v>Photu (Mugu)</v>
      </c>
    </row>
    <row r="49">
      <c r="A49" s="2">
        <f>IFERROR(__xludf.DUMMYFUNCTION("""COMPUTED_VALUE"""),48.0)</f>
        <v>48</v>
      </c>
      <c r="B49" s="2" t="str">
        <f>IFERROR(__xludf.DUMMYFUNCTION("""COMPUTED_VALUE"""),"Mimiban Khola PRoR Hydropower Project")</f>
        <v>Mimiban Khola PRoR Hydropower Project</v>
      </c>
      <c r="C49" s="2">
        <f>IFERROR(__xludf.DUMMYFUNCTION("""COMPUTED_VALUE"""),70.0)</f>
        <v>70</v>
      </c>
      <c r="D49" s="2" t="str">
        <f>IFERROR(__xludf.DUMMYFUNCTION("""COMPUTED_VALUE"""),"Mimiban Khola")</f>
        <v>Mimiban Khola</v>
      </c>
      <c r="E49" s="2">
        <f>IFERROR(__xludf.DUMMYFUNCTION("""COMPUTED_VALUE"""),1258.0)</f>
        <v>1258</v>
      </c>
      <c r="F49" s="3">
        <f>IFERROR(__xludf.DUMMYFUNCTION("""COMPUTED_VALUE"""),66030.0)</f>
        <v>66030</v>
      </c>
      <c r="G49" s="3">
        <f>IFERROR(__xludf.DUMMYFUNCTION("""COMPUTED_VALUE"""),67124.0)</f>
        <v>67124</v>
      </c>
      <c r="H49" s="2" t="str">
        <f>IFERROR(__xludf.DUMMYFUNCTION("""COMPUTED_VALUE"""),"Stibha Hydropower Private Limited")</f>
        <v>Stibha Hydropower Private Limited</v>
      </c>
      <c r="I49" s="2" t="str">
        <f>IFERROR(__xludf.DUMMYFUNCTION("""COMPUTED_VALUE"""),"Budhanilkantha - 2 , Kathmandu")</f>
        <v>Budhanilkantha - 2 , Kathmandu</v>
      </c>
      <c r="J49" s="2" t="str">
        <f>IFERROR(__xludf.DUMMYFUNCTION("""COMPUTED_VALUE"""),"29o 42' 42""")</f>
        <v>29o 42' 42"</v>
      </c>
      <c r="K49" s="2" t="str">
        <f>IFERROR(__xludf.DUMMYFUNCTION("""COMPUTED_VALUE"""),"29o 46' 37""")</f>
        <v>29o 46' 37"</v>
      </c>
      <c r="L49" s="2" t="str">
        <f>IFERROR(__xludf.DUMMYFUNCTION("""COMPUTED_VALUE"""),"82o 05' 00""")</f>
        <v>82o 05' 00"</v>
      </c>
      <c r="M49" s="2" t="str">
        <f>IFERROR(__xludf.DUMMYFUNCTION("""COMPUTED_VALUE"""),"82o 10' 30""")</f>
        <v>82o 10' 30"</v>
      </c>
      <c r="N49" s="2" t="str">
        <f>IFERROR(__xludf.DUMMYFUNCTION("""COMPUTED_VALUE"""),"Mimi (Humla)")</f>
        <v>Mimi (Humla)</v>
      </c>
    </row>
    <row r="50">
      <c r="A50" s="2">
        <f>IFERROR(__xludf.DUMMYFUNCTION("""COMPUTED_VALUE"""),49.0)</f>
        <v>49</v>
      </c>
      <c r="B50" s="2" t="str">
        <f>IFERROR(__xludf.DUMMYFUNCTION("""COMPUTED_VALUE"""),"Super Taksar Pikhuwa Hydropower Project")</f>
        <v>Super Taksar Pikhuwa Hydropower Project</v>
      </c>
      <c r="C50" s="2">
        <f>IFERROR(__xludf.DUMMYFUNCTION("""COMPUTED_VALUE"""),9.5)</f>
        <v>9.5</v>
      </c>
      <c r="D50" s="2" t="str">
        <f>IFERROR(__xludf.DUMMYFUNCTION("""COMPUTED_VALUE"""),"Pikhuwa")</f>
        <v>Pikhuwa</v>
      </c>
      <c r="E50" s="2">
        <f>IFERROR(__xludf.DUMMYFUNCTION("""COMPUTED_VALUE"""),1259.0)</f>
        <v>1259</v>
      </c>
      <c r="F50" s="3">
        <f>IFERROR(__xludf.DUMMYFUNCTION("""COMPUTED_VALUE"""),66048.0)</f>
        <v>66048</v>
      </c>
      <c r="G50" s="3">
        <f>IFERROR(__xludf.DUMMYFUNCTION("""COMPUTED_VALUE"""),67142.0)</f>
        <v>67142</v>
      </c>
      <c r="H50" s="2" t="str">
        <f>IFERROR(__xludf.DUMMYFUNCTION("""COMPUTED_VALUE"""),"Taksar Cascade Power Private Limited")</f>
        <v>Taksar Cascade Power Private Limited</v>
      </c>
      <c r="I50" s="2" t="str">
        <f>IFERROR(__xludf.DUMMYFUNCTION("""COMPUTED_VALUE"""),"KMC - 22, Khichapokhari")</f>
        <v>KMC - 22, Khichapokhari</v>
      </c>
      <c r="J50" s="2" t="str">
        <f>IFERROR(__xludf.DUMMYFUNCTION("""COMPUTED_VALUE"""),"27o 05' 30""")</f>
        <v>27o 05' 30"</v>
      </c>
      <c r="K50" s="2" t="str">
        <f>IFERROR(__xludf.DUMMYFUNCTION("""COMPUTED_VALUE"""),"27o 07' 30""")</f>
        <v>27o 07' 30"</v>
      </c>
      <c r="L50" s="2" t="str">
        <f>IFERROR(__xludf.DUMMYFUNCTION("""COMPUTED_VALUE"""),"87o 03' 45""")</f>
        <v>87o 03' 45"</v>
      </c>
      <c r="M50" s="2" t="str">
        <f>IFERROR(__xludf.DUMMYFUNCTION("""COMPUTED_VALUE"""),"87o 06' 30""")</f>
        <v>87o 06' 30"</v>
      </c>
      <c r="N50" s="2" t="str">
        <f>IFERROR(__xludf.DUMMYFUNCTION("""COMPUTED_VALUE"""),"Taksar,Basteem,Mane Bhanjyang,Dalgaun (Bhojpur)")</f>
        <v>Taksar,Basteem,Mane Bhanjyang,Dalgaun (Bhojpur)</v>
      </c>
    </row>
    <row r="51">
      <c r="A51" s="2">
        <f>IFERROR(__xludf.DUMMYFUNCTION("""COMPUTED_VALUE"""),50.0)</f>
        <v>50</v>
      </c>
      <c r="B51" s="2" t="str">
        <f>IFERROR(__xludf.DUMMYFUNCTION("""COMPUTED_VALUE"""),"Tribeni Bheri Nadi PRoR Hydropower Project")</f>
        <v>Tribeni Bheri Nadi PRoR Hydropower Project</v>
      </c>
      <c r="C51" s="2">
        <f>IFERROR(__xludf.DUMMYFUNCTION("""COMPUTED_VALUE"""),78.0)</f>
        <v>78</v>
      </c>
      <c r="D51" s="2" t="str">
        <f>IFERROR(__xludf.DUMMYFUNCTION("""COMPUTED_VALUE"""),"Bheri")</f>
        <v>Bheri</v>
      </c>
      <c r="E51" s="2">
        <f>IFERROR(__xludf.DUMMYFUNCTION("""COMPUTED_VALUE"""),1260.0)</f>
        <v>1260</v>
      </c>
      <c r="F51" s="3">
        <f>IFERROR(__xludf.DUMMYFUNCTION("""COMPUTED_VALUE"""),66054.0)</f>
        <v>66054</v>
      </c>
      <c r="G51" s="3">
        <f>IFERROR(__xludf.DUMMYFUNCTION("""COMPUTED_VALUE"""),67148.0)</f>
        <v>67148</v>
      </c>
      <c r="H51" s="2" t="str">
        <f>IFERROR(__xludf.DUMMYFUNCTION("""COMPUTED_VALUE"""),"Rara Karnali Hydropower Pvt. Ltd.")</f>
        <v>Rara Karnali Hydropower Pvt. Ltd.</v>
      </c>
      <c r="I51" s="2" t="str">
        <f>IFERROR(__xludf.DUMMYFUNCTION("""COMPUTED_VALUE"""),"Kathmandu Munucipality, W.N.-2, Lazimpat, Kathmandu")</f>
        <v>Kathmandu Munucipality, W.N.-2, Lazimpat, Kathmandu</v>
      </c>
      <c r="J51" s="2" t="str">
        <f>IFERROR(__xludf.DUMMYFUNCTION("""COMPUTED_VALUE"""),"28o 57' 32""")</f>
        <v>28o 57' 32"</v>
      </c>
      <c r="K51" s="2" t="str">
        <f>IFERROR(__xludf.DUMMYFUNCTION("""COMPUTED_VALUE"""),"28o 59' 36""")</f>
        <v>28o 59' 36"</v>
      </c>
      <c r="L51" s="2" t="str">
        <f>IFERROR(__xludf.DUMMYFUNCTION("""COMPUTED_VALUE"""),"82o 31' 12""")</f>
        <v>82o 31' 12"</v>
      </c>
      <c r="M51" s="2" t="str">
        <f>IFERROR(__xludf.DUMMYFUNCTION("""COMPUTED_VALUE"""),"82o 35' 00""")</f>
        <v>82o 35' 00"</v>
      </c>
      <c r="N51" s="2" t="str">
        <f>IFERROR(__xludf.DUMMYFUNCTION("""COMPUTED_VALUE"""),"Bhagawati Tol (Jajarkot) Aathbis Kot,Gautamkot (Rukum)")</f>
        <v>Bhagawati Tol (Jajarkot) Aathbis Kot,Gautamkot (Rukum)</v>
      </c>
    </row>
    <row r="52">
      <c r="A52" s="2">
        <f>IFERROR(__xludf.DUMMYFUNCTION("""COMPUTED_VALUE"""),51.0)</f>
        <v>51</v>
      </c>
      <c r="B52" s="2" t="str">
        <f>IFERROR(__xludf.DUMMYFUNCTION("""COMPUTED_VALUE"""),"Mathillo Siwa Khola Hydropower Project")</f>
        <v>Mathillo Siwa Khola Hydropower Project</v>
      </c>
      <c r="C52" s="2">
        <f>IFERROR(__xludf.DUMMYFUNCTION("""COMPUTED_VALUE"""),8.74)</f>
        <v>8.74</v>
      </c>
      <c r="D52" s="2" t="str">
        <f>IFERROR(__xludf.DUMMYFUNCTION("""COMPUTED_VALUE"""),"Siwa Khola")</f>
        <v>Siwa Khola</v>
      </c>
      <c r="E52" s="2">
        <f>IFERROR(__xludf.DUMMYFUNCTION("""COMPUTED_VALUE"""),1261.0)</f>
        <v>1261</v>
      </c>
      <c r="F52" s="3">
        <f>IFERROR(__xludf.DUMMYFUNCTION("""COMPUTED_VALUE"""),66086.0)</f>
        <v>66086</v>
      </c>
      <c r="G52" s="3">
        <f>IFERROR(__xludf.DUMMYFUNCTION("""COMPUTED_VALUE"""),67180.0)</f>
        <v>67180</v>
      </c>
      <c r="H52" s="2" t="str">
        <f>IFERROR(__xludf.DUMMYFUNCTION("""COMPUTED_VALUE"""),"Siwa Energy Private Limited")</f>
        <v>Siwa Energy Private Limited</v>
      </c>
      <c r="I52" s="2" t="str">
        <f>IFERROR(__xludf.DUMMYFUNCTION("""COMPUTED_VALUE"""),"Nagarjun Municipality - 10, Kathmandu")</f>
        <v>Nagarjun Municipality - 10, Kathmandu</v>
      </c>
      <c r="J52" s="2" t="str">
        <f>IFERROR(__xludf.DUMMYFUNCTION("""COMPUTED_VALUE"""),"27o 30' 31""")</f>
        <v>27o 30' 31"</v>
      </c>
      <c r="K52" s="2" t="str">
        <f>IFERROR(__xludf.DUMMYFUNCTION("""COMPUTED_VALUE"""),"27o 31' 21""")</f>
        <v>27o 31' 21"</v>
      </c>
      <c r="L52" s="2" t="str">
        <f>IFERROR(__xludf.DUMMYFUNCTION("""COMPUTED_VALUE"""),"87o 33' 57""")</f>
        <v>87o 33' 57"</v>
      </c>
      <c r="M52" s="2" t="str">
        <f>IFERROR(__xludf.DUMMYFUNCTION("""COMPUTED_VALUE"""),"87o 35' 10""")</f>
        <v>87o 35' 10"</v>
      </c>
      <c r="N52" s="2" t="str">
        <f>IFERROR(__xludf.DUMMYFUNCTION("""COMPUTED_VALUE"""),"Nalbu,Papung (Taplejung)")</f>
        <v>Nalbu,Papung (Taplejung)</v>
      </c>
    </row>
    <row r="53">
      <c r="A53" s="2">
        <f>IFERROR(__xludf.DUMMYFUNCTION("""COMPUTED_VALUE"""),52.0)</f>
        <v>52</v>
      </c>
      <c r="B53" s="2" t="str">
        <f>IFERROR(__xludf.DUMMYFUNCTION("""COMPUTED_VALUE"""),"Bichhya Kuwadi Khola HEP")</f>
        <v>Bichhya Kuwadi Khola HEP</v>
      </c>
      <c r="C53" s="2">
        <f>IFERROR(__xludf.DUMMYFUNCTION("""COMPUTED_VALUE"""),70.0)</f>
        <v>70</v>
      </c>
      <c r="D53" s="2" t="str">
        <f>IFERROR(__xludf.DUMMYFUNCTION("""COMPUTED_VALUE"""),"Kawadi Khola")</f>
        <v>Kawadi Khola</v>
      </c>
      <c r="E53" s="2">
        <f>IFERROR(__xludf.DUMMYFUNCTION("""COMPUTED_VALUE"""),1262.0)</f>
        <v>1262</v>
      </c>
      <c r="F53" s="3">
        <f>IFERROR(__xludf.DUMMYFUNCTION("""COMPUTED_VALUE"""),66087.0)</f>
        <v>66087</v>
      </c>
      <c r="G53" s="3">
        <f>IFERROR(__xludf.DUMMYFUNCTION("""COMPUTED_VALUE"""),67181.0)</f>
        <v>67181</v>
      </c>
      <c r="H53" s="2" t="str">
        <f>IFERROR(__xludf.DUMMYFUNCTION("""COMPUTED_VALUE"""),"Mount Himlung Power Development Private Limited")</f>
        <v>Mount Himlung Power Development Private Limited</v>
      </c>
      <c r="I53" s="2" t="str">
        <f>IFERROR(__xludf.DUMMYFUNCTION("""COMPUTED_VALUE"""),"Lalitpur Metropolitan City - 15, Mahalaxmisthan, 01-5527469")</f>
        <v>Lalitpur Metropolitan City - 15, Mahalaxmisthan, 01-5527469</v>
      </c>
      <c r="J53" s="2" t="str">
        <f>IFERROR(__xludf.DUMMYFUNCTION("""COMPUTED_VALUE"""),"29o 37' 35""")</f>
        <v>29o 37' 35"</v>
      </c>
      <c r="K53" s="2" t="str">
        <f>IFERROR(__xludf.DUMMYFUNCTION("""COMPUTED_VALUE"""),"29o 41' 34""")</f>
        <v>29o 41' 34"</v>
      </c>
      <c r="L53" s="2" t="str">
        <f>IFERROR(__xludf.DUMMYFUNCTION("""COMPUTED_VALUE"""),"81o 40' 00""")</f>
        <v>81o 40' 00"</v>
      </c>
      <c r="M53" s="2" t="str">
        <f>IFERROR(__xludf.DUMMYFUNCTION("""COMPUTED_VALUE"""),"81o 43' 42""")</f>
        <v>81o 43' 42"</v>
      </c>
      <c r="N53" s="2" t="str">
        <f>IFERROR(__xludf.DUMMYFUNCTION("""COMPUTED_VALUE"""),"Rugin (Bajura) Maila (Humla)")</f>
        <v>Rugin (Bajura) Maila (Humla)</v>
      </c>
    </row>
    <row r="54">
      <c r="A54" s="2">
        <f>IFERROR(__xludf.DUMMYFUNCTION("""COMPUTED_VALUE"""),53.0)</f>
        <v>53</v>
      </c>
      <c r="B54" s="2" t="str">
        <f>IFERROR(__xludf.DUMMYFUNCTION("""COMPUTED_VALUE"""),"Ghatte Khola Hydroelectric Project")</f>
        <v>Ghatte Khola Hydroelectric Project</v>
      </c>
      <c r="C54" s="2">
        <f>IFERROR(__xludf.DUMMYFUNCTION("""COMPUTED_VALUE"""),9.54)</f>
        <v>9.54</v>
      </c>
      <c r="D54" s="2" t="str">
        <f>IFERROR(__xludf.DUMMYFUNCTION("""COMPUTED_VALUE"""),"Ghatte Khola, Deaute Khola")</f>
        <v>Ghatte Khola, Deaute Khola</v>
      </c>
      <c r="E54" s="2">
        <f>IFERROR(__xludf.DUMMYFUNCTION("""COMPUTED_VALUE"""),1263.0)</f>
        <v>1263</v>
      </c>
      <c r="F54" s="3">
        <f>IFERROR(__xludf.DUMMYFUNCTION("""COMPUTED_VALUE"""),66092.0)</f>
        <v>66092</v>
      </c>
      <c r="G54" s="3">
        <f>IFERROR(__xludf.DUMMYFUNCTION("""COMPUTED_VALUE"""),67186.0)</f>
        <v>67186</v>
      </c>
      <c r="H54" s="2" t="str">
        <f>IFERROR(__xludf.DUMMYFUNCTION("""COMPUTED_VALUE"""),"Sai Kumari Hydropower Private Limited")</f>
        <v>Sai Kumari Hydropower Private Limited</v>
      </c>
      <c r="I54" s="2" t="str">
        <f>IFERROR(__xludf.DUMMYFUNCTION("""COMPUTED_VALUE"""),"Satdobato, Lalitpur, 01-5520295")</f>
        <v>Satdobato, Lalitpur, 01-5520295</v>
      </c>
      <c r="J54" s="2" t="str">
        <f>IFERROR(__xludf.DUMMYFUNCTION("""COMPUTED_VALUE"""),"28o 46' 37""")</f>
        <v>28o 46' 37"</v>
      </c>
      <c r="K54" s="2" t="str">
        <f>IFERROR(__xludf.DUMMYFUNCTION("""COMPUTED_VALUE"""),"28o 48' 40""")</f>
        <v>28o 48' 40"</v>
      </c>
      <c r="L54" s="2" t="str">
        <f>IFERROR(__xludf.DUMMYFUNCTION("""COMPUTED_VALUE"""),"82o 29' 30""")</f>
        <v>82o 29' 30"</v>
      </c>
      <c r="M54" s="2" t="str">
        <f>IFERROR(__xludf.DUMMYFUNCTION("""COMPUTED_VALUE"""),"82o 31' 50""")</f>
        <v>82o 31' 50"</v>
      </c>
      <c r="N54" s="2" t="str">
        <f>IFERROR(__xludf.DUMMYFUNCTION("""COMPUTED_VALUE"""),"Syalakhadi (Rukum)")</f>
        <v>Syalakhadi (Rukum)</v>
      </c>
    </row>
    <row r="55">
      <c r="A55" s="2">
        <f>IFERROR(__xludf.DUMMYFUNCTION("""COMPUTED_VALUE"""),54.0)</f>
        <v>54</v>
      </c>
      <c r="B55" s="2" t="str">
        <f>IFERROR(__xludf.DUMMYFUNCTION("""COMPUTED_VALUE"""),"Isuwa PROR Cascade - 2 Hydropower Project")</f>
        <v>Isuwa PROR Cascade - 2 Hydropower Project</v>
      </c>
      <c r="C55" s="2">
        <f>IFERROR(__xludf.DUMMYFUNCTION("""COMPUTED_VALUE"""),9.95)</f>
        <v>9.95</v>
      </c>
      <c r="D55" s="2" t="str">
        <f>IFERROR(__xludf.DUMMYFUNCTION("""COMPUTED_VALUE"""),"Isuwa Khola")</f>
        <v>Isuwa Khola</v>
      </c>
      <c r="E55" s="2">
        <f>IFERROR(__xludf.DUMMYFUNCTION("""COMPUTED_VALUE"""),1268.0)</f>
        <v>1268</v>
      </c>
      <c r="F55" s="3">
        <f>IFERROR(__xludf.DUMMYFUNCTION("""COMPUTED_VALUE"""),66155.0)</f>
        <v>66155</v>
      </c>
      <c r="G55" s="3">
        <f>IFERROR(__xludf.DUMMYFUNCTION("""COMPUTED_VALUE"""),66884.0)</f>
        <v>66884</v>
      </c>
      <c r="H55" s="2" t="str">
        <f>IFERROR(__xludf.DUMMYFUNCTION("""COMPUTED_VALUE"""),"Bista Energy House Private Limited")</f>
        <v>Bista Energy House Private Limited</v>
      </c>
      <c r="I55" s="2" t="str">
        <f>IFERROR(__xludf.DUMMYFUNCTION("""COMPUTED_VALUE"""),"KMC-05, Kathmandu")</f>
        <v>KMC-05, Kathmandu</v>
      </c>
      <c r="J55" s="2" t="str">
        <f>IFERROR(__xludf.DUMMYFUNCTION("""COMPUTED_VALUE"""),"27o 30' 56""")</f>
        <v>27o 30' 56"</v>
      </c>
      <c r="K55" s="2" t="str">
        <f>IFERROR(__xludf.DUMMYFUNCTION("""COMPUTED_VALUE"""),"27o 32' 29""")</f>
        <v>27o 32' 29"</v>
      </c>
      <c r="L55" s="2" t="str">
        <f>IFERROR(__xludf.DUMMYFUNCTION("""COMPUTED_VALUE"""),"87o 11' 47""")</f>
        <v>87o 11' 47"</v>
      </c>
      <c r="M55" s="2" t="str">
        <f>IFERROR(__xludf.DUMMYFUNCTION("""COMPUTED_VALUE"""),"87o 14' 09""")</f>
        <v>87o 14' 09"</v>
      </c>
      <c r="N55" s="2" t="str">
        <f>IFERROR(__xludf.DUMMYFUNCTION("""COMPUTED_VALUE"""),"Diding,Num,Makalu (Sankhuwasabha)")</f>
        <v>Diding,Num,Makalu (Sankhuwasabha)</v>
      </c>
    </row>
    <row r="56">
      <c r="A56" s="2">
        <f>IFERROR(__xludf.DUMMYFUNCTION("""COMPUTED_VALUE"""),55.0)</f>
        <v>55</v>
      </c>
      <c r="B56" s="2" t="str">
        <f>IFERROR(__xludf.DUMMYFUNCTION("""COMPUTED_VALUE"""),"Tamakoshi 3 PRoR Hydropower Project")</f>
        <v>Tamakoshi 3 PRoR Hydropower Project</v>
      </c>
      <c r="C56" s="2">
        <f>IFERROR(__xludf.DUMMYFUNCTION("""COMPUTED_VALUE"""),650.0)</f>
        <v>650</v>
      </c>
      <c r="D56" s="2" t="str">
        <f>IFERROR(__xludf.DUMMYFUNCTION("""COMPUTED_VALUE"""),"Tamakoshi")</f>
        <v>Tamakoshi</v>
      </c>
      <c r="E56" s="2">
        <f>IFERROR(__xludf.DUMMYFUNCTION("""COMPUTED_VALUE"""),1271.0)</f>
        <v>1271</v>
      </c>
      <c r="F56" s="3">
        <f>IFERROR(__xludf.DUMMYFUNCTION("""COMPUTED_VALUE"""),66160.0)</f>
        <v>66160</v>
      </c>
      <c r="G56" s="3">
        <f>IFERROR(__xludf.DUMMYFUNCTION("""COMPUTED_VALUE"""),66889.0)</f>
        <v>66889</v>
      </c>
      <c r="H56" s="2" t="str">
        <f>IFERROR(__xludf.DUMMYFUNCTION("""COMPUTED_VALUE"""),"T. Three Hydro Company Private Limited")</f>
        <v>T. Three Hydro Company Private Limited</v>
      </c>
      <c r="I56" s="2" t="str">
        <f>IFERROR(__xludf.DUMMYFUNCTION("""COMPUTED_VALUE"""),"Sinamangal Tower, Sinamangal - 9, Kathmandu Nepal")</f>
        <v>Sinamangal Tower, Sinamangal - 9, Kathmandu Nepal</v>
      </c>
      <c r="J56" s="2" t="str">
        <f>IFERROR(__xludf.DUMMYFUNCTION("""COMPUTED_VALUE"""),"27o 29' 34""")</f>
        <v>27o 29' 34"</v>
      </c>
      <c r="K56" s="2" t="str">
        <f>IFERROR(__xludf.DUMMYFUNCTION("""COMPUTED_VALUE"""),"27o 44' 05""")</f>
        <v>27o 44' 05"</v>
      </c>
      <c r="L56" s="2" t="str">
        <f>IFERROR(__xludf.DUMMYFUNCTION("""COMPUTED_VALUE"""),"86o 04' 00""")</f>
        <v>86o 04' 00"</v>
      </c>
      <c r="M56" s="2" t="str">
        <f>IFERROR(__xludf.DUMMYFUNCTION("""COMPUTED_VALUE"""),"86o 10' 00""")</f>
        <v>86o 10' 00"</v>
      </c>
      <c r="N56" s="2" t="str">
        <f>IFERROR(__xludf.DUMMYFUNCTION("""COMPUTED_VALUE"""),"Chyama,Dolakha,Mirge,Hawa,Kabhre,Gairimudi,Malu,Lamidada,Sunakhani,Sundrawati,Sahure,Jugu 
(Dolakha)")</f>
        <v>Chyama,Dolakha,Mirge,Hawa,Kabhre,Gairimudi,Malu,Lamidada,Sunakhani,Sundrawati,Sahure,Jugu 
(Dolakha)</v>
      </c>
    </row>
    <row r="57">
      <c r="A57" s="2">
        <f>IFERROR(__xludf.DUMMYFUNCTION("""COMPUTED_VALUE"""),56.0)</f>
        <v>56</v>
      </c>
      <c r="B57" s="2" t="str">
        <f>IFERROR(__xludf.DUMMYFUNCTION("""COMPUTED_VALUE"""),"Mathillo DudhKunda Hydropower Project")</f>
        <v>Mathillo DudhKunda Hydropower Project</v>
      </c>
      <c r="C57" s="2">
        <f>IFERROR(__xludf.DUMMYFUNCTION("""COMPUTED_VALUE"""),9.4)</f>
        <v>9.4</v>
      </c>
      <c r="D57" s="2" t="str">
        <f>IFERROR(__xludf.DUMMYFUNCTION("""COMPUTED_VALUE"""),"Dudhkunda (Solu)")</f>
        <v>Dudhkunda (Solu)</v>
      </c>
      <c r="E57" s="2">
        <f>IFERROR(__xludf.DUMMYFUNCTION("""COMPUTED_VALUE"""),1269.0)</f>
        <v>1269</v>
      </c>
      <c r="F57" s="3">
        <f>IFERROR(__xludf.DUMMYFUNCTION("""COMPUTED_VALUE"""),66163.0)</f>
        <v>66163</v>
      </c>
      <c r="G57" s="3">
        <f>IFERROR(__xludf.DUMMYFUNCTION("""COMPUTED_VALUE"""),67257.0)</f>
        <v>67257</v>
      </c>
      <c r="H57" s="2" t="str">
        <f>IFERROR(__xludf.DUMMYFUNCTION("""COMPUTED_VALUE"""),"Lumina Energy Private Limited")</f>
        <v>Lumina Energy Private Limited</v>
      </c>
      <c r="I57" s="2" t="str">
        <f>IFERROR(__xludf.DUMMYFUNCTION("""COMPUTED_VALUE"""),"KMC-16, Aerahity, Kathmandu")</f>
        <v>KMC-16, Aerahity, Kathmandu</v>
      </c>
      <c r="J57" s="2" t="str">
        <f>IFERROR(__xludf.DUMMYFUNCTION("""COMPUTED_VALUE"""),"27o 37' 06""")</f>
        <v>27o 37' 06"</v>
      </c>
      <c r="K57" s="2" t="str">
        <f>IFERROR(__xludf.DUMMYFUNCTION("""COMPUTED_VALUE"""),"27o 38' 09""")</f>
        <v>27o 38' 09"</v>
      </c>
      <c r="L57" s="2" t="str">
        <f>IFERROR(__xludf.DUMMYFUNCTION("""COMPUTED_VALUE"""),"86o 35' 40""")</f>
        <v>86o 35' 40"</v>
      </c>
      <c r="M57" s="2" t="str">
        <f>IFERROR(__xludf.DUMMYFUNCTION("""COMPUTED_VALUE"""),"86o 36' 43""")</f>
        <v>86o 36' 43"</v>
      </c>
      <c r="N57" s="2" t="str">
        <f>IFERROR(__xludf.DUMMYFUNCTION("""COMPUTED_VALUE"""),"Beni,Takasindu (Solukhumbu)")</f>
        <v>Beni,Takasindu (Solukhumbu)</v>
      </c>
    </row>
    <row r="58">
      <c r="A58" s="2">
        <f>IFERROR(__xludf.DUMMYFUNCTION("""COMPUTED_VALUE"""),57.0)</f>
        <v>57</v>
      </c>
      <c r="B58" s="2" t="str">
        <f>IFERROR(__xludf.DUMMYFUNCTION("""COMPUTED_VALUE"""),"Syanban Khola Hydropower Project")</f>
        <v>Syanban Khola Hydropower Project</v>
      </c>
      <c r="C58" s="2">
        <f>IFERROR(__xludf.DUMMYFUNCTION("""COMPUTED_VALUE"""),31.5)</f>
        <v>31.5</v>
      </c>
      <c r="D58" s="2" t="str">
        <f>IFERROR(__xludf.DUMMYFUNCTION("""COMPUTED_VALUE"""),"Syanban Khola")</f>
        <v>Syanban Khola</v>
      </c>
      <c r="E58" s="2">
        <f>IFERROR(__xludf.DUMMYFUNCTION("""COMPUTED_VALUE"""),1277.0)</f>
        <v>1277</v>
      </c>
      <c r="F58" s="3">
        <f>IFERROR(__xludf.DUMMYFUNCTION("""COMPUTED_VALUE"""),66184.0)</f>
        <v>66184</v>
      </c>
      <c r="G58" s="3">
        <f>IFERROR(__xludf.DUMMYFUNCTION("""COMPUTED_VALUE"""),66913.0)</f>
        <v>66913</v>
      </c>
      <c r="H58" s="2" t="str">
        <f>IFERROR(__xludf.DUMMYFUNCTION("""COMPUTED_VALUE"""),"Seti Saipal Hydropower Private Limited")</f>
        <v>Seti Saipal Hydropower Private Limited</v>
      </c>
      <c r="I58" s="2" t="str">
        <f>IFERROR(__xludf.DUMMYFUNCTION("""COMPUTED_VALUE"""),"Ward No,10, KMC")</f>
        <v>Ward No,10, KMC</v>
      </c>
      <c r="J58" s="2" t="str">
        <f>IFERROR(__xludf.DUMMYFUNCTION("""COMPUTED_VALUE"""),"29o 50' 30""")</f>
        <v>29o 50' 30"</v>
      </c>
      <c r="K58" s="2" t="str">
        <f>IFERROR(__xludf.DUMMYFUNCTION("""COMPUTED_VALUE"""),"29o 54' 13""")</f>
        <v>29o 54' 13"</v>
      </c>
      <c r="L58" s="2" t="str">
        <f>IFERROR(__xludf.DUMMYFUNCTION("""COMPUTED_VALUE"""),"81o 15' 00""")</f>
        <v>81o 15' 00"</v>
      </c>
      <c r="M58" s="2" t="str">
        <f>IFERROR(__xludf.DUMMYFUNCTION("""COMPUTED_VALUE"""),"81o 20' 00""")</f>
        <v>81o 20' 00"</v>
      </c>
      <c r="N58" s="2" t="str">
        <f>IFERROR(__xludf.DUMMYFUNCTION("""COMPUTED_VALUE"""),"Kanda (Bajhang)")</f>
        <v>Kanda (Bajhang)</v>
      </c>
    </row>
    <row r="59">
      <c r="A59" s="2">
        <f>IFERROR(__xludf.DUMMYFUNCTION("""COMPUTED_VALUE"""),58.0)</f>
        <v>58</v>
      </c>
      <c r="B59" s="2" t="str">
        <f>IFERROR(__xludf.DUMMYFUNCTION("""COMPUTED_VALUE"""),"Sabha A Hydropower Project")</f>
        <v>Sabha A Hydropower Project</v>
      </c>
      <c r="C59" s="2">
        <f>IFERROR(__xludf.DUMMYFUNCTION("""COMPUTED_VALUE"""),9.0)</f>
        <v>9</v>
      </c>
      <c r="D59" s="2" t="str">
        <f>IFERROR(__xludf.DUMMYFUNCTION("""COMPUTED_VALUE"""),"Sabha Khola")</f>
        <v>Sabha Khola</v>
      </c>
      <c r="E59" s="2">
        <f>IFERROR(__xludf.DUMMYFUNCTION("""COMPUTED_VALUE"""),1282.0)</f>
        <v>1282</v>
      </c>
      <c r="F59" s="3">
        <f>IFERROR(__xludf.DUMMYFUNCTION("""COMPUTED_VALUE"""),66208.0)</f>
        <v>66208</v>
      </c>
      <c r="G59" s="3">
        <f>IFERROR(__xludf.DUMMYFUNCTION("""COMPUTED_VALUE"""),66937.0)</f>
        <v>66937</v>
      </c>
      <c r="H59" s="2" t="str">
        <f>IFERROR(__xludf.DUMMYFUNCTION("""COMPUTED_VALUE"""),"Standard H. Energy Private Limited")</f>
        <v>Standard H. Energy Private Limited</v>
      </c>
      <c r="I59" s="2" t="str">
        <f>IFERROR(__xludf.DUMMYFUNCTION("""COMPUTED_VALUE"""),"KMC-31, Lhotse Mall, New Buspark")</f>
        <v>KMC-31, Lhotse Mall, New Buspark</v>
      </c>
      <c r="J59" s="2" t="str">
        <f>IFERROR(__xludf.DUMMYFUNCTION("""COMPUTED_VALUE"""),"27o 24' 13""")</f>
        <v>27o 24' 13"</v>
      </c>
      <c r="K59" s="2" t="str">
        <f>IFERROR(__xludf.DUMMYFUNCTION("""COMPUTED_VALUE"""),"27o 25' 34""")</f>
        <v>27o 25' 34"</v>
      </c>
      <c r="L59" s="2" t="str">
        <f>IFERROR(__xludf.DUMMYFUNCTION("""COMPUTED_VALUE"""),"87o 17' 17""")</f>
        <v>87o 17' 17"</v>
      </c>
      <c r="M59" s="2" t="str">
        <f>IFERROR(__xludf.DUMMYFUNCTION("""COMPUTED_VALUE"""),"87o 18' 32""")</f>
        <v>87o 18' 32"</v>
      </c>
      <c r="N59" s="2" t="str">
        <f>IFERROR(__xludf.DUMMYFUNCTION("""COMPUTED_VALUE"""),"Dhupu,Sabha Pokhari (Sankhuwasabha)")</f>
        <v>Dhupu,Sabha Pokhari (Sankhuwasabha)</v>
      </c>
    </row>
    <row r="60">
      <c r="A60" s="2">
        <f>IFERROR(__xludf.DUMMYFUNCTION("""COMPUTED_VALUE"""),59.0)</f>
        <v>59</v>
      </c>
      <c r="B60" s="2" t="str">
        <f>IFERROR(__xludf.DUMMYFUNCTION("""COMPUTED_VALUE"""),"Super Daraudi Hydropower Project")</f>
        <v>Super Daraudi Hydropower Project</v>
      </c>
      <c r="C60" s="2">
        <f>IFERROR(__xludf.DUMMYFUNCTION("""COMPUTED_VALUE"""),9.413)</f>
        <v>9.413</v>
      </c>
      <c r="D60" s="2" t="str">
        <f>IFERROR(__xludf.DUMMYFUNCTION("""COMPUTED_VALUE"""),"Daraudi")</f>
        <v>Daraudi</v>
      </c>
      <c r="E60" s="2">
        <f>IFERROR(__xludf.DUMMYFUNCTION("""COMPUTED_VALUE"""),1283.0)</f>
        <v>1283</v>
      </c>
      <c r="F60" s="2" t="str">
        <f>IFERROR(__xludf.DUMMYFUNCTION("""COMPUTED_VALUE"""),"2081-04-31")</f>
        <v>2081-04-31</v>
      </c>
      <c r="G60" s="3">
        <f>IFERROR(__xludf.DUMMYFUNCTION("""COMPUTED_VALUE"""),66961.0)</f>
        <v>66961</v>
      </c>
      <c r="H60" s="2" t="str">
        <f>IFERROR(__xludf.DUMMYFUNCTION("""COMPUTED_VALUE"""),"Himjal Hydropower Private Limited")</f>
        <v>Himjal Hydropower Private Limited</v>
      </c>
      <c r="I60" s="2" t="str">
        <f>IFERROR(__xludf.DUMMYFUNCTION("""COMPUTED_VALUE"""),"Budhanilkanta Nagarpalika, Ward No - 3")</f>
        <v>Budhanilkanta Nagarpalika, Ward No - 3</v>
      </c>
      <c r="J60" s="2" t="str">
        <f>IFERROR(__xludf.DUMMYFUNCTION("""COMPUTED_VALUE"""),"28o 16' 31""")</f>
        <v>28o 16' 31"</v>
      </c>
      <c r="K60" s="2" t="str">
        <f>IFERROR(__xludf.DUMMYFUNCTION("""COMPUTED_VALUE"""),"28o 17' 40""")</f>
        <v>28o 17' 40"</v>
      </c>
      <c r="L60" s="2" t="str">
        <f>IFERROR(__xludf.DUMMYFUNCTION("""COMPUTED_VALUE"""),"84o 42' 50""")</f>
        <v>84o 42' 50"</v>
      </c>
      <c r="M60" s="2" t="str">
        <f>IFERROR(__xludf.DUMMYFUNCTION("""COMPUTED_VALUE"""),"84o 44' 03""")</f>
        <v>84o 44' 03"</v>
      </c>
      <c r="N60" s="2" t="str">
        <f>IFERROR(__xludf.DUMMYFUNCTION("""COMPUTED_VALUE"""),"Ghyalchok,Warpak (Gorkha)")</f>
        <v>Ghyalchok,Warpak (Gorkha)</v>
      </c>
    </row>
    <row r="61">
      <c r="A61" s="2">
        <f>IFERROR(__xludf.DUMMYFUNCTION("""COMPUTED_VALUE"""),60.0)</f>
        <v>60</v>
      </c>
      <c r="B61" s="2" t="str">
        <f>IFERROR(__xludf.DUMMYFUNCTION("""COMPUTED_VALUE"""),"Upper Sisne Khola Hydropower Project")</f>
        <v>Upper Sisne Khola Hydropower Project</v>
      </c>
      <c r="C61" s="2">
        <f>IFERROR(__xludf.DUMMYFUNCTION("""COMPUTED_VALUE"""),8.5)</f>
        <v>8.5</v>
      </c>
      <c r="D61" s="2" t="str">
        <f>IFERROR(__xludf.DUMMYFUNCTION("""COMPUTED_VALUE"""),"Sisne Khola")</f>
        <v>Sisne Khola</v>
      </c>
      <c r="E61" s="2">
        <f>IFERROR(__xludf.DUMMYFUNCTION("""COMPUTED_VALUE"""),1285.0)</f>
        <v>1285</v>
      </c>
      <c r="F61" s="3">
        <f>IFERROR(__xludf.DUMMYFUNCTION("""COMPUTED_VALUE"""),66238.0)</f>
        <v>66238</v>
      </c>
      <c r="G61" s="3">
        <f>IFERROR(__xludf.DUMMYFUNCTION("""COMPUTED_VALUE"""),66967.0)</f>
        <v>66967</v>
      </c>
      <c r="H61" s="2" t="str">
        <f>IFERROR(__xludf.DUMMYFUNCTION("""COMPUTED_VALUE"""),"Shakti Punja Urja Private Limited")</f>
        <v>Shakti Punja Urja Private Limited</v>
      </c>
      <c r="I61" s="2" t="str">
        <f>IFERROR(__xludf.DUMMYFUNCTION("""COMPUTED_VALUE"""),"Mhepi - 16, Kathmandu")</f>
        <v>Mhepi - 16, Kathmandu</v>
      </c>
      <c r="J61" s="2" t="str">
        <f>IFERROR(__xludf.DUMMYFUNCTION("""COMPUTED_VALUE"""),"28o 42' 08""")</f>
        <v>28o 42' 08"</v>
      </c>
      <c r="K61" s="2" t="str">
        <f>IFERROR(__xludf.DUMMYFUNCTION("""COMPUTED_VALUE"""),"28o 43' 56""")</f>
        <v>28o 43' 56"</v>
      </c>
      <c r="L61" s="2" t="str">
        <f>IFERROR(__xludf.DUMMYFUNCTION("""COMPUTED_VALUE"""),"82o 40' 52""")</f>
        <v>82o 40' 52"</v>
      </c>
      <c r="M61" s="2" t="str">
        <f>IFERROR(__xludf.DUMMYFUNCTION("""COMPUTED_VALUE"""),"82o 41' 56""")</f>
        <v>82o 41' 56"</v>
      </c>
      <c r="N61" s="2" t="str">
        <f>IFERROR(__xludf.DUMMYFUNCTION("""COMPUTED_VALUE"""),"Jang,Pwang,Sisne (Rukum)")</f>
        <v>Jang,Pwang,Sisne (Rukum)</v>
      </c>
    </row>
    <row r="62">
      <c r="A62" s="2">
        <f>IFERROR(__xludf.DUMMYFUNCTION("""COMPUTED_VALUE"""),61.0)</f>
        <v>61</v>
      </c>
      <c r="B62" s="2" t="str">
        <f>IFERROR(__xludf.DUMMYFUNCTION("""COMPUTED_VALUE"""),"Seti Khola Cascade Hydropower Project")</f>
        <v>Seti Khola Cascade Hydropower Project</v>
      </c>
      <c r="C62" s="2">
        <f>IFERROR(__xludf.DUMMYFUNCTION("""COMPUTED_VALUE"""),9.8)</f>
        <v>9.8</v>
      </c>
      <c r="D62" s="2" t="str">
        <f>IFERROR(__xludf.DUMMYFUNCTION("""COMPUTED_VALUE"""),"Seti Khola (Gandaki)")</f>
        <v>Seti Khola (Gandaki)</v>
      </c>
      <c r="E62" s="2">
        <f>IFERROR(__xludf.DUMMYFUNCTION("""COMPUTED_VALUE"""),1287.0)</f>
        <v>1287</v>
      </c>
      <c r="F62" s="3">
        <f>IFERROR(__xludf.DUMMYFUNCTION("""COMPUTED_VALUE"""),66243.0)</f>
        <v>66243</v>
      </c>
      <c r="G62" s="3">
        <f>IFERROR(__xludf.DUMMYFUNCTION("""COMPUTED_VALUE"""),66972.0)</f>
        <v>66972</v>
      </c>
      <c r="H62" s="2" t="str">
        <f>IFERROR(__xludf.DUMMYFUNCTION("""COMPUTED_VALUE"""),"Setikhola Hydropower Ltd.")</f>
        <v>Setikhola Hydropower Ltd.</v>
      </c>
      <c r="I62" s="2" t="str">
        <f>IFERROR(__xludf.DUMMYFUNCTION("""COMPUTED_VALUE"""),"Kathmandu, Nepal")</f>
        <v>Kathmandu, Nepal</v>
      </c>
      <c r="J62" s="2" t="str">
        <f>IFERROR(__xludf.DUMMYFUNCTION("""COMPUTED_VALUE"""),"28o 03' 47""")</f>
        <v>28o 03' 47"</v>
      </c>
      <c r="K62" s="2" t="str">
        <f>IFERROR(__xludf.DUMMYFUNCTION("""COMPUTED_VALUE"""),"28o 05' 20""")</f>
        <v>28o 05' 20"</v>
      </c>
      <c r="L62" s="2" t="str">
        <f>IFERROR(__xludf.DUMMYFUNCTION("""COMPUTED_VALUE"""),"84o 03' 35""")</f>
        <v>84o 03' 35"</v>
      </c>
      <c r="M62" s="2" t="str">
        <f>IFERROR(__xludf.DUMMYFUNCTION("""COMPUTED_VALUE"""),"84o 05' 00""")</f>
        <v>84o 05' 00"</v>
      </c>
      <c r="N62" s="2" t="str">
        <f>IFERROR(__xludf.DUMMYFUNCTION("""COMPUTED_VALUE"""),"Bharatpokhari (Kaski) Dulegauda,Dhorfirdi (Tanahu)")</f>
        <v>Bharatpokhari (Kaski) Dulegauda,Dhorfirdi (Tanahu)</v>
      </c>
    </row>
    <row r="63">
      <c r="A63" s="2">
        <f>IFERROR(__xludf.DUMMYFUNCTION("""COMPUTED_VALUE"""),62.0)</f>
        <v>62</v>
      </c>
      <c r="B63" s="2" t="str">
        <f>IFERROR(__xludf.DUMMYFUNCTION("""COMPUTED_VALUE"""),"Mathillo Baddigad Khola Hydropower Project")</f>
        <v>Mathillo Baddigad Khola Hydropower Project</v>
      </c>
      <c r="C63" s="2">
        <f>IFERROR(__xludf.DUMMYFUNCTION("""COMPUTED_VALUE"""),9.92)</f>
        <v>9.92</v>
      </c>
      <c r="D63" s="2" t="str">
        <f>IFERROR(__xludf.DUMMYFUNCTION("""COMPUTED_VALUE"""),"Baddigad")</f>
        <v>Baddigad</v>
      </c>
      <c r="E63" s="2">
        <f>IFERROR(__xludf.DUMMYFUNCTION("""COMPUTED_VALUE"""),1288.0)</f>
        <v>1288</v>
      </c>
      <c r="F63" s="3">
        <f>IFERROR(__xludf.DUMMYFUNCTION("""COMPUTED_VALUE"""),66264.0)</f>
        <v>66264</v>
      </c>
      <c r="G63" s="3">
        <f>IFERROR(__xludf.DUMMYFUNCTION("""COMPUTED_VALUE"""),66993.0)</f>
        <v>66993</v>
      </c>
      <c r="H63" s="2" t="str">
        <f>IFERROR(__xludf.DUMMYFUNCTION("""COMPUTED_VALUE"""),"Himkunda Eco Power Private Limited")</f>
        <v>Himkunda Eco Power Private Limited</v>
      </c>
      <c r="I63" s="2" t="str">
        <f>IFERROR(__xludf.DUMMYFUNCTION("""COMPUTED_VALUE"""),"Sukedhara, Kathmandu")</f>
        <v>Sukedhara, Kathmandu</v>
      </c>
      <c r="J63" s="2" t="str">
        <f>IFERROR(__xludf.DUMMYFUNCTION("""COMPUTED_VALUE"""),"29o 31' 33""")</f>
        <v>29o 31' 33"</v>
      </c>
      <c r="K63" s="2" t="str">
        <f>IFERROR(__xludf.DUMMYFUNCTION("""COMPUTED_VALUE"""),"29o 33' 34""")</f>
        <v>29o 33' 34"</v>
      </c>
      <c r="L63" s="2" t="str">
        <f>IFERROR(__xludf.DUMMYFUNCTION("""COMPUTED_VALUE"""),"81o 36' 30""")</f>
        <v>81o 36' 30"</v>
      </c>
      <c r="M63" s="2" t="str">
        <f>IFERROR(__xludf.DUMMYFUNCTION("""COMPUTED_VALUE"""),"81o 37' 45""")</f>
        <v>81o 37' 45"</v>
      </c>
      <c r="N63" s="2" t="str">
        <f>IFERROR(__xludf.DUMMYFUNCTION("""COMPUTED_VALUE"""),"Kolti (Bajura)")</f>
        <v>Kolti (Bajura)</v>
      </c>
    </row>
    <row r="64">
      <c r="A64" s="2">
        <f>IFERROR(__xludf.DUMMYFUNCTION("""COMPUTED_VALUE"""),63.0)</f>
        <v>63</v>
      </c>
      <c r="B64" s="2" t="str">
        <f>IFERROR(__xludf.DUMMYFUNCTION("""COMPUTED_VALUE"""),"Super Daraudi - Pau Khola Hydropower Project")</f>
        <v>Super Daraudi - Pau Khola Hydropower Project</v>
      </c>
      <c r="C64" s="2">
        <f>IFERROR(__xludf.DUMMYFUNCTION("""COMPUTED_VALUE"""),7.0)</f>
        <v>7</v>
      </c>
      <c r="D64" s="2" t="str">
        <f>IFERROR(__xludf.DUMMYFUNCTION("""COMPUTED_VALUE"""),"Daraudi Khola, Pau Khola")</f>
        <v>Daraudi Khola, Pau Khola</v>
      </c>
      <c r="E64" s="2">
        <f>IFERROR(__xludf.DUMMYFUNCTION("""COMPUTED_VALUE"""),1289.0)</f>
        <v>1289</v>
      </c>
      <c r="F64" s="3">
        <f>IFERROR(__xludf.DUMMYFUNCTION("""COMPUTED_VALUE"""),66264.0)</f>
        <v>66264</v>
      </c>
      <c r="G64" s="3">
        <f>IFERROR(__xludf.DUMMYFUNCTION("""COMPUTED_VALUE"""),66993.0)</f>
        <v>66993</v>
      </c>
      <c r="H64" s="2" t="str">
        <f>IFERROR(__xludf.DUMMYFUNCTION("""COMPUTED_VALUE"""),"Gorkha Daraundi Hydropower Private Limited")</f>
        <v>Gorkha Daraundi Hydropower Private Limited</v>
      </c>
      <c r="I64" s="2" t="str">
        <f>IFERROR(__xludf.DUMMYFUNCTION("""COMPUTED_VALUE"""),"KMC-15, kathmandu")</f>
        <v>KMC-15, kathmandu</v>
      </c>
      <c r="J64" s="2" t="str">
        <f>IFERROR(__xludf.DUMMYFUNCTION("""COMPUTED_VALUE"""),"28o 17' 40""")</f>
        <v>28o 17' 40"</v>
      </c>
      <c r="K64" s="2" t="str">
        <f>IFERROR(__xludf.DUMMYFUNCTION("""COMPUTED_VALUE"""),"28o 18' 30""")</f>
        <v>28o 18' 30"</v>
      </c>
      <c r="L64" s="2" t="str">
        <f>IFERROR(__xludf.DUMMYFUNCTION("""COMPUTED_VALUE"""),"84o 42' 50""")</f>
        <v>84o 42' 50"</v>
      </c>
      <c r="M64" s="2" t="str">
        <f>IFERROR(__xludf.DUMMYFUNCTION("""COMPUTED_VALUE"""),"84o 44' 40""")</f>
        <v>84o 44' 40"</v>
      </c>
      <c r="N64" s="2" t="str">
        <f>IFERROR(__xludf.DUMMYFUNCTION("""COMPUTED_VALUE"""),"Ghyalchok,Warpak (Gorkha)")</f>
        <v>Ghyalchok,Warpak (Gorkha)</v>
      </c>
    </row>
    <row r="65">
      <c r="A65" s="2">
        <f>IFERROR(__xludf.DUMMYFUNCTION("""COMPUTED_VALUE"""),64.0)</f>
        <v>64</v>
      </c>
      <c r="B65" s="2" t="str">
        <f>IFERROR(__xludf.DUMMYFUNCTION("""COMPUTED_VALUE"""),"Super Kalanga Khola Hydropower Project")</f>
        <v>Super Kalanga Khola Hydropower Project</v>
      </c>
      <c r="C65" s="2">
        <f>IFERROR(__xludf.DUMMYFUNCTION("""COMPUTED_VALUE"""),16.0)</f>
        <v>16</v>
      </c>
      <c r="D65" s="2" t="str">
        <f>IFERROR(__xludf.DUMMYFUNCTION("""COMPUTED_VALUE"""),"Khalanga Khola")</f>
        <v>Khalanga Khola</v>
      </c>
      <c r="E65" s="2">
        <f>IFERROR(__xludf.DUMMYFUNCTION("""COMPUTED_VALUE"""),1290.0)</f>
        <v>1290</v>
      </c>
      <c r="F65" s="3">
        <f>IFERROR(__xludf.DUMMYFUNCTION("""COMPUTED_VALUE"""),66294.0)</f>
        <v>66294</v>
      </c>
      <c r="G65" s="3">
        <f>IFERROR(__xludf.DUMMYFUNCTION("""COMPUTED_VALUE"""),67023.0)</f>
        <v>67023</v>
      </c>
      <c r="H65" s="2" t="str">
        <f>IFERROR(__xludf.DUMMYFUNCTION("""COMPUTED_VALUE"""),"Vision Power Partners Private Limited")</f>
        <v>Vision Power Partners Private Limited</v>
      </c>
      <c r="I65" s="2" t="str">
        <f>IFERROR(__xludf.DUMMYFUNCTION("""COMPUTED_VALUE"""),"Budhanilkantha -10, Kathmandu")</f>
        <v>Budhanilkantha -10, Kathmandu</v>
      </c>
      <c r="J65" s="2" t="str">
        <f>IFERROR(__xludf.DUMMYFUNCTION("""COMPUTED_VALUE"""),"29o 38' 00""")</f>
        <v>29o 38' 00"</v>
      </c>
      <c r="K65" s="2" t="str">
        <f>IFERROR(__xludf.DUMMYFUNCTION("""COMPUTED_VALUE"""),"29o 41' 02""")</f>
        <v>29o 41' 02"</v>
      </c>
      <c r="L65" s="2" t="str">
        <f>IFERROR(__xludf.DUMMYFUNCTION("""COMPUTED_VALUE"""),"80o 57' 37""")</f>
        <v>80o 57' 37"</v>
      </c>
      <c r="M65" s="2" t="str">
        <f>IFERROR(__xludf.DUMMYFUNCTION("""COMPUTED_VALUE"""),"81o 00' 30""")</f>
        <v>81o 00' 30"</v>
      </c>
      <c r="N65" s="2" t="str">
        <f>IFERROR(__xludf.DUMMYFUNCTION("""COMPUTED_VALUE"""),"Dahabagar (Bajhang)")</f>
        <v>Dahabagar (Bajhang)</v>
      </c>
    </row>
    <row r="66">
      <c r="A66" s="2">
        <f>IFERROR(__xludf.DUMMYFUNCTION("""COMPUTED_VALUE"""),65.0)</f>
        <v>65</v>
      </c>
      <c r="B66" s="2" t="str">
        <f>IFERROR(__xludf.DUMMYFUNCTION("""COMPUTED_VALUE"""),"Lurupya Khola PRoR HEP")</f>
        <v>Lurupya Khola PRoR HEP</v>
      </c>
      <c r="C66" s="2">
        <f>IFERROR(__xludf.DUMMYFUNCTION("""COMPUTED_VALUE"""),21.1)</f>
        <v>21.1</v>
      </c>
      <c r="D66" s="2" t="str">
        <f>IFERROR(__xludf.DUMMYFUNCTION("""COMPUTED_VALUE"""),"Lurupya Khola")</f>
        <v>Lurupya Khola</v>
      </c>
      <c r="E66" s="2">
        <f>IFERROR(__xludf.DUMMYFUNCTION("""COMPUTED_VALUE"""),1292.0)</f>
        <v>1292</v>
      </c>
      <c r="F66" s="3">
        <f>IFERROR(__xludf.DUMMYFUNCTION("""COMPUTED_VALUE"""),66299.0)</f>
        <v>66299</v>
      </c>
      <c r="G66" s="3">
        <f>IFERROR(__xludf.DUMMYFUNCTION("""COMPUTED_VALUE"""),67028.0)</f>
        <v>67028</v>
      </c>
      <c r="H66" s="2" t="str">
        <f>IFERROR(__xludf.DUMMYFUNCTION("""COMPUTED_VALUE"""),"Karmanya Company Private Limited")</f>
        <v>Karmanya Company Private Limited</v>
      </c>
      <c r="I66" s="2" t="str">
        <f>IFERROR(__xludf.DUMMYFUNCTION("""COMPUTED_VALUE"""),"Kupandole, Lalitpur")</f>
        <v>Kupandole, Lalitpur</v>
      </c>
      <c r="J66" s="2" t="str">
        <f>IFERROR(__xludf.DUMMYFUNCTION("""COMPUTED_VALUE"""),"29o 55' 20""")</f>
        <v>29o 55' 20"</v>
      </c>
      <c r="K66" s="2" t="str">
        <f>IFERROR(__xludf.DUMMYFUNCTION("""COMPUTED_VALUE"""),"29o 56' 20""")</f>
        <v>29o 56' 20"</v>
      </c>
      <c r="L66" s="2" t="str">
        <f>IFERROR(__xludf.DUMMYFUNCTION("""COMPUTED_VALUE"""),"81o 58' 50""")</f>
        <v>81o 58' 50"</v>
      </c>
      <c r="M66" s="2" t="str">
        <f>IFERROR(__xludf.DUMMYFUNCTION("""COMPUTED_VALUE"""),"82o 02' 10""")</f>
        <v>82o 02' 10"</v>
      </c>
      <c r="N66" s="2" t="str">
        <f>IFERROR(__xludf.DUMMYFUNCTION("""COMPUTED_VALUE"""),"Kharpunath (Humla)")</f>
        <v>Kharpunath (Humla)</v>
      </c>
    </row>
    <row r="67">
      <c r="A67" s="2">
        <f>IFERROR(__xludf.DUMMYFUNCTION("""COMPUTED_VALUE"""),66.0)</f>
        <v>66</v>
      </c>
      <c r="B67" s="2" t="str">
        <f>IFERROR(__xludf.DUMMYFUNCTION("""COMPUTED_VALUE"""),"Lower Chepe Khola HPP")</f>
        <v>Lower Chepe Khola HPP</v>
      </c>
      <c r="C67" s="2">
        <f>IFERROR(__xludf.DUMMYFUNCTION("""COMPUTED_VALUE"""),9.7)</f>
        <v>9.7</v>
      </c>
      <c r="D67" s="2" t="str">
        <f>IFERROR(__xludf.DUMMYFUNCTION("""COMPUTED_VALUE"""),"Chepe Khola")</f>
        <v>Chepe Khola</v>
      </c>
      <c r="E67" s="2">
        <f>IFERROR(__xludf.DUMMYFUNCTION("""COMPUTED_VALUE"""),1293.0)</f>
        <v>1293</v>
      </c>
      <c r="F67" s="3">
        <f>IFERROR(__xludf.DUMMYFUNCTION("""COMPUTED_VALUE"""),66300.0)</f>
        <v>66300</v>
      </c>
      <c r="G67" s="3">
        <f>IFERROR(__xludf.DUMMYFUNCTION("""COMPUTED_VALUE"""),67029.0)</f>
        <v>67029</v>
      </c>
      <c r="H67" s="2" t="str">
        <f>IFERROR(__xludf.DUMMYFUNCTION("""COMPUTED_VALUE"""),"Achaleshwor Hydro Power Company Private Limited")</f>
        <v>Achaleshwor Hydro Power Company Private Limited</v>
      </c>
      <c r="I67" s="2" t="str">
        <f>IFERROR(__xludf.DUMMYFUNCTION("""COMPUTED_VALUE"""),"Madhyapur Thimi, Bhaktapur")</f>
        <v>Madhyapur Thimi, Bhaktapur</v>
      </c>
      <c r="J67" s="2" t="str">
        <f>IFERROR(__xludf.DUMMYFUNCTION("""COMPUTED_VALUE"""),"28o 08' 11""")</f>
        <v>28o 08' 11"</v>
      </c>
      <c r="K67" s="2" t="str">
        <f>IFERROR(__xludf.DUMMYFUNCTION("""COMPUTED_VALUE"""),"28o 10' 30""")</f>
        <v>28o 10' 30"</v>
      </c>
      <c r="L67" s="2" t="str">
        <f>IFERROR(__xludf.DUMMYFUNCTION("""COMPUTED_VALUE"""),"84o 34' 30""")</f>
        <v>84o 34' 30"</v>
      </c>
      <c r="M67" s="2" t="str">
        <f>IFERROR(__xludf.DUMMYFUNCTION("""COMPUTED_VALUE"""),"84o 37' 19""")</f>
        <v>84o 37' 19"</v>
      </c>
      <c r="N67" s="2" t="str">
        <f>IFERROR(__xludf.DUMMYFUNCTION("""COMPUTED_VALUE"""),"Ilampokhari,Kolki (Lamjung)")</f>
        <v>Ilampokhari,Kolki (Lamjung)</v>
      </c>
    </row>
    <row r="68">
      <c r="A68" s="2">
        <f>IFERROR(__xludf.DUMMYFUNCTION("""COMPUTED_VALUE"""),67.0)</f>
        <v>67</v>
      </c>
      <c r="B68" s="2" t="str">
        <f>IFERROR(__xludf.DUMMYFUNCTION("""COMPUTED_VALUE"""),"Bhabil -1 PRoR Hydropower Project")</f>
        <v>Bhabil -1 PRoR Hydropower Project</v>
      </c>
      <c r="C68" s="2">
        <f>IFERROR(__xludf.DUMMYFUNCTION("""COMPUTED_VALUE"""),15.5)</f>
        <v>15.5</v>
      </c>
      <c r="D68" s="2" t="str">
        <f>IFERROR(__xludf.DUMMYFUNCTION("""COMPUTED_VALUE"""),"Bhabil Khola")</f>
        <v>Bhabil Khola</v>
      </c>
      <c r="E68" s="2">
        <f>IFERROR(__xludf.DUMMYFUNCTION("""COMPUTED_VALUE"""),1294.0)</f>
        <v>1294</v>
      </c>
      <c r="F68" s="3">
        <f>IFERROR(__xludf.DUMMYFUNCTION("""COMPUTED_VALUE"""),66303.0)</f>
        <v>66303</v>
      </c>
      <c r="G68" s="3">
        <f>IFERROR(__xludf.DUMMYFUNCTION("""COMPUTED_VALUE"""),67032.0)</f>
        <v>67032</v>
      </c>
      <c r="H68" s="2" t="str">
        <f>IFERROR(__xludf.DUMMYFUNCTION("""COMPUTED_VALUE"""),"Yugjal Hydropower Company Private Limited")</f>
        <v>Yugjal Hydropower Company Private Limited</v>
      </c>
      <c r="I68" s="2" t="str">
        <f>IFERROR(__xludf.DUMMYFUNCTION("""COMPUTED_VALUE"""),"Panipokhari, Kathmandu")</f>
        <v>Panipokhari, Kathmandu</v>
      </c>
      <c r="J68" s="2" t="str">
        <f>IFERROR(__xludf.DUMMYFUNCTION("""COMPUTED_VALUE"""),"28o 11' 34""")</f>
        <v>28o 11' 34"</v>
      </c>
      <c r="K68" s="2" t="str">
        <f>IFERROR(__xludf.DUMMYFUNCTION("""COMPUTED_VALUE"""),"28o 13' 36""")</f>
        <v>28o 13' 36"</v>
      </c>
      <c r="L68" s="2" t="str">
        <f>IFERROR(__xludf.DUMMYFUNCTION("""COMPUTED_VALUE"""),"85o 06' 20""")</f>
        <v>85o 06' 20"</v>
      </c>
      <c r="M68" s="2" t="str">
        <f>IFERROR(__xludf.DUMMYFUNCTION("""COMPUTED_VALUE"""),"85o 08' 10""")</f>
        <v>85o 08' 10"</v>
      </c>
      <c r="N68" s="2" t="str">
        <f>IFERROR(__xludf.DUMMYFUNCTION("""COMPUTED_VALUE"""),"Tipling (Dhading)")</f>
        <v>Tipling (Dhading)</v>
      </c>
    </row>
    <row r="69">
      <c r="A69" s="2">
        <f>IFERROR(__xludf.DUMMYFUNCTION("""COMPUTED_VALUE"""),68.0)</f>
        <v>68</v>
      </c>
      <c r="B69" s="2" t="str">
        <f>IFERROR(__xludf.DUMMYFUNCTION("""COMPUTED_VALUE"""),"Chaudhabis Hydropower Project")</f>
        <v>Chaudhabis Hydropower Project</v>
      </c>
      <c r="C69" s="2">
        <f>IFERROR(__xludf.DUMMYFUNCTION("""COMPUTED_VALUE"""),13.0)</f>
        <v>13</v>
      </c>
      <c r="D69" s="2" t="str">
        <f>IFERROR(__xludf.DUMMYFUNCTION("""COMPUTED_VALUE"""),"Chaudhabis Khola")</f>
        <v>Chaudhabis Khola</v>
      </c>
      <c r="E69" s="2">
        <f>IFERROR(__xludf.DUMMYFUNCTION("""COMPUTED_VALUE"""),1295.0)</f>
        <v>1295</v>
      </c>
      <c r="F69" s="3">
        <f>IFERROR(__xludf.DUMMYFUNCTION("""COMPUTED_VALUE"""),66317.0)</f>
        <v>66317</v>
      </c>
      <c r="G69" s="3">
        <f>IFERROR(__xludf.DUMMYFUNCTION("""COMPUTED_VALUE"""),67046.0)</f>
        <v>67046</v>
      </c>
      <c r="H69" s="2" t="str">
        <f>IFERROR(__xludf.DUMMYFUNCTION("""COMPUTED_VALUE"""),"Bajrayogini Hydropower Private Limited")</f>
        <v>Bajrayogini Hydropower Private Limited</v>
      </c>
      <c r="I69" s="2" t="str">
        <f>IFERROR(__xludf.DUMMYFUNCTION("""COMPUTED_VALUE"""),"Kathmandu - 5")</f>
        <v>Kathmandu - 5</v>
      </c>
      <c r="J69" s="2" t="str">
        <f>IFERROR(__xludf.DUMMYFUNCTION("""COMPUTED_VALUE"""),"29o 17' 45""")</f>
        <v>29o 17' 45"</v>
      </c>
      <c r="K69" s="2" t="str">
        <f>IFERROR(__xludf.DUMMYFUNCTION("""COMPUTED_VALUE"""),"29o 19' 25""")</f>
        <v>29o 19' 25"</v>
      </c>
      <c r="L69" s="2" t="str">
        <f>IFERROR(__xludf.DUMMYFUNCTION("""COMPUTED_VALUE"""),"82o 21' 40""")</f>
        <v>82o 21' 40"</v>
      </c>
      <c r="M69" s="2" t="str">
        <f>IFERROR(__xludf.DUMMYFUNCTION("""COMPUTED_VALUE"""),"82o 26' 15""")</f>
        <v>82o 26' 15"</v>
      </c>
      <c r="N69" s="2" t="str">
        <f>IFERROR(__xludf.DUMMYFUNCTION("""COMPUTED_VALUE"""),"Patarasi (Jumla)")</f>
        <v>Patarasi (Jumla)</v>
      </c>
    </row>
    <row r="70">
      <c r="A70" s="2">
        <f>IFERROR(__xludf.DUMMYFUNCTION("""COMPUTED_VALUE"""),69.0)</f>
        <v>69</v>
      </c>
      <c r="B70" s="2" t="str">
        <f>IFERROR(__xludf.DUMMYFUNCTION("""COMPUTED_VALUE"""),"Sisne Khola Small Hydropower Project")</f>
        <v>Sisne Khola Small Hydropower Project</v>
      </c>
      <c r="C70" s="2">
        <f>IFERROR(__xludf.DUMMYFUNCTION("""COMPUTED_VALUE"""),9.9)</f>
        <v>9.9</v>
      </c>
      <c r="D70" s="2" t="str">
        <f>IFERROR(__xludf.DUMMYFUNCTION("""COMPUTED_VALUE"""),"Sisne Khola")</f>
        <v>Sisne Khola</v>
      </c>
      <c r="E70" s="2">
        <f>IFERROR(__xludf.DUMMYFUNCTION("""COMPUTED_VALUE"""),1296.0)</f>
        <v>1296</v>
      </c>
      <c r="F70" s="3">
        <f>IFERROR(__xludf.DUMMYFUNCTION("""COMPUTED_VALUE"""),66321.0)</f>
        <v>66321</v>
      </c>
      <c r="G70" s="3">
        <f>IFERROR(__xludf.DUMMYFUNCTION("""COMPUTED_VALUE"""),67050.0)</f>
        <v>67050</v>
      </c>
      <c r="H70" s="2" t="str">
        <f>IFERROR(__xludf.DUMMYFUNCTION("""COMPUTED_VALUE"""),"Nilkamal Urja Private Limited")</f>
        <v>Nilkamal Urja Private Limited</v>
      </c>
      <c r="I70" s="2" t="str">
        <f>IFERROR(__xludf.DUMMYFUNCTION("""COMPUTED_VALUE"""),"Budhhanagar - 10, Kathmandu")</f>
        <v>Budhhanagar - 10, Kathmandu</v>
      </c>
      <c r="J70" s="2" t="str">
        <f>IFERROR(__xludf.DUMMYFUNCTION("""COMPUTED_VALUE"""),"28o 40' 25""")</f>
        <v>28o 40' 25"</v>
      </c>
      <c r="K70" s="2" t="str">
        <f>IFERROR(__xludf.DUMMYFUNCTION("""COMPUTED_VALUE"""),"28o 42' 08""")</f>
        <v>28o 42' 08"</v>
      </c>
      <c r="L70" s="2" t="str">
        <f>IFERROR(__xludf.DUMMYFUNCTION("""COMPUTED_VALUE"""),"82o 41' 15""")</f>
        <v>82o 41' 15"</v>
      </c>
      <c r="M70" s="2" t="str">
        <f>IFERROR(__xludf.DUMMYFUNCTION("""COMPUTED_VALUE"""),"82o 42' 30""")</f>
        <v>82o 42' 30"</v>
      </c>
      <c r="N70" s="2" t="str">
        <f>IFERROR(__xludf.DUMMYFUNCTION("""COMPUTED_VALUE"""),"Jang,Pwang (Rukum)")</f>
        <v>Jang,Pwang (Rukum)</v>
      </c>
    </row>
    <row r="71">
      <c r="A71" s="2">
        <f>IFERROR(__xludf.DUMMYFUNCTION("""COMPUTED_VALUE"""),70.0)</f>
        <v>70</v>
      </c>
      <c r="B71" s="2" t="str">
        <f>IFERROR(__xludf.DUMMYFUNCTION("""COMPUTED_VALUE"""),"Salleri Chialsa Hydropower Project")</f>
        <v>Salleri Chialsa Hydropower Project</v>
      </c>
      <c r="C71" s="2">
        <f>IFERROR(__xludf.DUMMYFUNCTION("""COMPUTED_VALUE"""),4.0)</f>
        <v>4</v>
      </c>
      <c r="D71" s="2" t="str">
        <f>IFERROR(__xludf.DUMMYFUNCTION("""COMPUTED_VALUE"""),"Solu Khola")</f>
        <v>Solu Khola</v>
      </c>
      <c r="E71" s="2">
        <f>IFERROR(__xludf.DUMMYFUNCTION("""COMPUTED_VALUE"""),1297.0)</f>
        <v>1297</v>
      </c>
      <c r="F71" s="3">
        <f>IFERROR(__xludf.DUMMYFUNCTION("""COMPUTED_VALUE"""),66351.0)</f>
        <v>66351</v>
      </c>
      <c r="G71" s="3">
        <f>IFERROR(__xludf.DUMMYFUNCTION("""COMPUTED_VALUE"""),67080.0)</f>
        <v>67080</v>
      </c>
      <c r="H71" s="2" t="str">
        <f>IFERROR(__xludf.DUMMYFUNCTION("""COMPUTED_VALUE"""),"Salleri Chialsa Vidyut Company Limited")</f>
        <v>Salleri Chialsa Vidyut Company Limited</v>
      </c>
      <c r="I71" s="2" t="str">
        <f>IFERROR(__xludf.DUMMYFUNCTION("""COMPUTED_VALUE"""),"Solududhkunda Municipality-5, Salleri, Solukhumbu")</f>
        <v>Solududhkunda Municipality-5, Salleri, Solukhumbu</v>
      </c>
      <c r="J71" s="2" t="str">
        <f>IFERROR(__xludf.DUMMYFUNCTION("""COMPUTED_VALUE"""),"27o 28' 49""")</f>
        <v>27o 28' 49"</v>
      </c>
      <c r="K71" s="2" t="str">
        <f>IFERROR(__xludf.DUMMYFUNCTION("""COMPUTED_VALUE"""),"27o 29' 15""")</f>
        <v>27o 29' 15"</v>
      </c>
      <c r="L71" s="2" t="str">
        <f>IFERROR(__xludf.DUMMYFUNCTION("""COMPUTED_VALUE"""),"86o 34' 10""")</f>
        <v>86o 34' 10"</v>
      </c>
      <c r="M71" s="2" t="str">
        <f>IFERROR(__xludf.DUMMYFUNCTION("""COMPUTED_VALUE"""),"86o 35' 00""")</f>
        <v>86o 35' 00"</v>
      </c>
      <c r="N71" s="2" t="str">
        <f>IFERROR(__xludf.DUMMYFUNCTION("""COMPUTED_VALUE"""),"Salleri (Solukhumbu)")</f>
        <v>Salleri (Solukhumbu)</v>
      </c>
    </row>
    <row r="72">
      <c r="A72" s="2">
        <f>IFERROR(__xludf.DUMMYFUNCTION("""COMPUTED_VALUE"""),71.0)</f>
        <v>71</v>
      </c>
      <c r="B72" s="2" t="str">
        <f>IFERROR(__xludf.DUMMYFUNCTION("""COMPUTED_VALUE"""),"Upper Dovan Khola Hydropower Project")</f>
        <v>Upper Dovan Khola Hydropower Project</v>
      </c>
      <c r="C72" s="2">
        <f>IFERROR(__xludf.DUMMYFUNCTION("""COMPUTED_VALUE"""),5.2)</f>
        <v>5.2</v>
      </c>
      <c r="D72" s="2" t="str">
        <f>IFERROR(__xludf.DUMMYFUNCTION("""COMPUTED_VALUE"""),"Dobhan Khola")</f>
        <v>Dobhan Khola</v>
      </c>
      <c r="E72" s="2">
        <f>IFERROR(__xludf.DUMMYFUNCTION("""COMPUTED_VALUE"""),1298.0)</f>
        <v>1298</v>
      </c>
      <c r="F72" s="3">
        <f>IFERROR(__xludf.DUMMYFUNCTION("""COMPUTED_VALUE"""),66357.0)</f>
        <v>66357</v>
      </c>
      <c r="G72" s="3">
        <f>IFERROR(__xludf.DUMMYFUNCTION("""COMPUTED_VALUE"""),67086.0)</f>
        <v>67086</v>
      </c>
      <c r="H72" s="2" t="str">
        <f>IFERROR(__xludf.DUMMYFUNCTION("""COMPUTED_VALUE"""),"Meta Urja Private Limited")</f>
        <v>Meta Urja Private Limited</v>
      </c>
      <c r="I72" s="2" t="str">
        <f>IFERROR(__xludf.DUMMYFUNCTION("""COMPUTED_VALUE"""),"Kathmandu - 10, 9840050741")</f>
        <v>Kathmandu - 10, 9840050741</v>
      </c>
      <c r="J72" s="2" t="str">
        <f>IFERROR(__xludf.DUMMYFUNCTION("""COMPUTED_VALUE"""),"28o 16' 30""")</f>
        <v>28o 16' 30"</v>
      </c>
      <c r="K72" s="2" t="str">
        <f>IFERROR(__xludf.DUMMYFUNCTION("""COMPUTED_VALUE"""),"28o 17' 40""")</f>
        <v>28o 17' 40"</v>
      </c>
      <c r="L72" s="2" t="str">
        <f>IFERROR(__xludf.DUMMYFUNCTION("""COMPUTED_VALUE"""),"84o 57' 33""")</f>
        <v>84o 57' 33"</v>
      </c>
      <c r="M72" s="2" t="str">
        <f>IFERROR(__xludf.DUMMYFUNCTION("""COMPUTED_VALUE"""),"84o 59' 33""")</f>
        <v>84o 59' 33"</v>
      </c>
      <c r="N72" s="2" t="str">
        <f>IFERROR(__xludf.DUMMYFUNCTION("""COMPUTED_VALUE"""),"Kerauja (Gorkha)")</f>
        <v>Kerauja (Gorkha)</v>
      </c>
    </row>
    <row r="73">
      <c r="A73" s="2">
        <f>IFERROR(__xludf.DUMMYFUNCTION("""COMPUTED_VALUE"""),72.0)</f>
        <v>72</v>
      </c>
      <c r="B73" s="2" t="str">
        <f>IFERROR(__xludf.DUMMYFUNCTION("""COMPUTED_VALUE"""),"Super Ikhuwa Khola Hydropower Project")</f>
        <v>Super Ikhuwa Khola Hydropower Project</v>
      </c>
      <c r="C73" s="2">
        <f>IFERROR(__xludf.DUMMYFUNCTION("""COMPUTED_VALUE"""),9.732)</f>
        <v>9.732</v>
      </c>
      <c r="D73" s="2" t="str">
        <f>IFERROR(__xludf.DUMMYFUNCTION("""COMPUTED_VALUE"""),"Ikhuwa Khola")</f>
        <v>Ikhuwa Khola</v>
      </c>
      <c r="E73" s="2">
        <f>IFERROR(__xludf.DUMMYFUNCTION("""COMPUTED_VALUE"""),1299.0)</f>
        <v>1299</v>
      </c>
      <c r="F73" s="3">
        <f>IFERROR(__xludf.DUMMYFUNCTION("""COMPUTED_VALUE"""),66357.0)</f>
        <v>66357</v>
      </c>
      <c r="G73" s="3">
        <f>IFERROR(__xludf.DUMMYFUNCTION("""COMPUTED_VALUE"""),67086.0)</f>
        <v>67086</v>
      </c>
      <c r="H73" s="2" t="str">
        <f>IFERROR(__xludf.DUMMYFUNCTION("""COMPUTED_VALUE"""),"Mridul Hydropower Private Limited")</f>
        <v>Mridul Hydropower Private Limited</v>
      </c>
      <c r="I73" s="2" t="str">
        <f>IFERROR(__xludf.DUMMYFUNCTION("""COMPUTED_VALUE"""),"Mahalaxmi Municipality, Ward No. 4, Imadole, Lalitpur")</f>
        <v>Mahalaxmi Municipality, Ward No. 4, Imadole, Lalitpur</v>
      </c>
      <c r="J73" s="2" t="str">
        <f>IFERROR(__xludf.DUMMYFUNCTION("""COMPUTED_VALUE"""),"27o 36' 40""")</f>
        <v>27o 36' 40"</v>
      </c>
      <c r="K73" s="2" t="str">
        <f>IFERROR(__xludf.DUMMYFUNCTION("""COMPUTED_VALUE"""),"27o 37' 45""")</f>
        <v>27o 37' 45"</v>
      </c>
      <c r="L73" s="2" t="str">
        <f>IFERROR(__xludf.DUMMYFUNCTION("""COMPUTED_VALUE"""),"87o 27' 07""")</f>
        <v>87o 27' 07"</v>
      </c>
      <c r="M73" s="2" t="str">
        <f>IFERROR(__xludf.DUMMYFUNCTION("""COMPUTED_VALUE"""),"87o 28' 45""")</f>
        <v>87o 28' 45"</v>
      </c>
      <c r="N73" s="2" t="str">
        <f>IFERROR(__xludf.DUMMYFUNCTION("""COMPUTED_VALUE"""),"Pawakhola (Sankhuwasabha)")</f>
        <v>Pawakhola (Sankhuwasabha)</v>
      </c>
    </row>
    <row r="74">
      <c r="A74" s="2">
        <f>IFERROR(__xludf.DUMMYFUNCTION("""COMPUTED_VALUE"""),73.0)</f>
        <v>73</v>
      </c>
      <c r="B74" s="2" t="str">
        <f>IFERROR(__xludf.DUMMYFUNCTION("""COMPUTED_VALUE"""),"Super Siwa Khola Hydropower Project")</f>
        <v>Super Siwa Khola Hydropower Project</v>
      </c>
      <c r="C74" s="2">
        <f>IFERROR(__xludf.DUMMYFUNCTION("""COMPUTED_VALUE"""),9.6)</f>
        <v>9.6</v>
      </c>
      <c r="D74" s="2" t="str">
        <f>IFERROR(__xludf.DUMMYFUNCTION("""COMPUTED_VALUE"""),"Siwa Khola")</f>
        <v>Siwa Khola</v>
      </c>
      <c r="E74" s="2">
        <f>IFERROR(__xludf.DUMMYFUNCTION("""COMPUTED_VALUE"""),1300.0)</f>
        <v>1300</v>
      </c>
      <c r="F74" s="3">
        <f>IFERROR(__xludf.DUMMYFUNCTION("""COMPUTED_VALUE"""),66357.0)</f>
        <v>66357</v>
      </c>
      <c r="G74" s="3">
        <f>IFERROR(__xludf.DUMMYFUNCTION("""COMPUTED_VALUE"""),67086.0)</f>
        <v>67086</v>
      </c>
      <c r="H74" s="2" t="str">
        <f>IFERROR(__xludf.DUMMYFUNCTION("""COMPUTED_VALUE"""),"Aabiskar Holdings and Investment Private Limited")</f>
        <v>Aabiskar Holdings and Investment Private Limited</v>
      </c>
      <c r="I74" s="2" t="str">
        <f>IFERROR(__xludf.DUMMYFUNCTION("""COMPUTED_VALUE"""),"Nagarjun Municipality - 02, Kathmandu")</f>
        <v>Nagarjun Municipality - 02, Kathmandu</v>
      </c>
      <c r="J74" s="2" t="str">
        <f>IFERROR(__xludf.DUMMYFUNCTION("""COMPUTED_VALUE"""),"27o 30' 44""")</f>
        <v>27o 30' 44"</v>
      </c>
      <c r="K74" s="2" t="str">
        <f>IFERROR(__xludf.DUMMYFUNCTION("""COMPUTED_VALUE"""),"27o 32' 18""")</f>
        <v>27o 32' 18"</v>
      </c>
      <c r="L74" s="2" t="str">
        <f>IFERROR(__xludf.DUMMYFUNCTION("""COMPUTED_VALUE"""),"87o 32' 01""")</f>
        <v>87o 32' 01"</v>
      </c>
      <c r="M74" s="2" t="str">
        <f>IFERROR(__xludf.DUMMYFUNCTION("""COMPUTED_VALUE"""),"87o 33' 57""")</f>
        <v>87o 33' 57"</v>
      </c>
      <c r="N74" s="2" t="str">
        <f>IFERROR(__xludf.DUMMYFUNCTION("""COMPUTED_VALUE"""),"Nalbu,Papung (Taplejung)")</f>
        <v>Nalbu,Papung (Taplejung)</v>
      </c>
    </row>
    <row r="75">
      <c r="A75" s="2">
        <f>IFERROR(__xludf.DUMMYFUNCTION("""COMPUTED_VALUE"""),74.0)</f>
        <v>74</v>
      </c>
      <c r="B75" s="2" t="str">
        <f>IFERROR(__xludf.DUMMYFUNCTION("""COMPUTED_VALUE"""),"Mathillo Yaru Khola PRoR Hydropower Project")</f>
        <v>Mathillo Yaru Khola PRoR Hydropower Project</v>
      </c>
      <c r="C75" s="2">
        <f>IFERROR(__xludf.DUMMYFUNCTION("""COMPUTED_VALUE"""),13.0)</f>
        <v>13</v>
      </c>
      <c r="D75" s="2" t="str">
        <f>IFERROR(__xludf.DUMMYFUNCTION("""COMPUTED_VALUE"""),"Yaru khola")</f>
        <v>Yaru khola</v>
      </c>
      <c r="E75" s="2">
        <f>IFERROR(__xludf.DUMMYFUNCTION("""COMPUTED_VALUE"""),1301.0)</f>
        <v>1301</v>
      </c>
      <c r="F75" s="3">
        <f>IFERROR(__xludf.DUMMYFUNCTION("""COMPUTED_VALUE"""),66361.0)</f>
        <v>66361</v>
      </c>
      <c r="G75" s="3">
        <f>IFERROR(__xludf.DUMMYFUNCTION("""COMPUTED_VALUE"""),67090.0)</f>
        <v>67090</v>
      </c>
      <c r="H75" s="2" t="str">
        <f>IFERROR(__xludf.DUMMYFUNCTION("""COMPUTED_VALUE"""),"Pelton Hydro Energy Private Limited")</f>
        <v>Pelton Hydro Energy Private Limited</v>
      </c>
      <c r="I75" s="2" t="str">
        <f>IFERROR(__xludf.DUMMYFUNCTION("""COMPUTED_VALUE"""),"Lazimpat-2, KMC-2")</f>
        <v>Lazimpat-2, KMC-2</v>
      </c>
      <c r="J75" s="2" t="str">
        <f>IFERROR(__xludf.DUMMYFUNCTION("""COMPUTED_VALUE"""),"28o 20' 00""")</f>
        <v>28o 20' 00"</v>
      </c>
      <c r="K75" s="2" t="str">
        <f>IFERROR(__xludf.DUMMYFUNCTION("""COMPUTED_VALUE"""),"28o 20' 52""")</f>
        <v>28o 20' 52"</v>
      </c>
      <c r="L75" s="2" t="str">
        <f>IFERROR(__xludf.DUMMYFUNCTION("""COMPUTED_VALUE"""),"84o 57' 00""")</f>
        <v>84o 57' 00"</v>
      </c>
      <c r="M75" s="2" t="str">
        <f>IFERROR(__xludf.DUMMYFUNCTION("""COMPUTED_VALUE"""),"84o 58' 52""")</f>
        <v>84o 58' 52"</v>
      </c>
      <c r="N75" s="2" t="str">
        <f>IFERROR(__xludf.DUMMYFUNCTION("""COMPUTED_VALUE"""),"Kerauja (Gorkha)")</f>
        <v>Kerauja (Gorkha)</v>
      </c>
    </row>
    <row r="76">
      <c r="A76" s="2">
        <f>IFERROR(__xludf.DUMMYFUNCTION("""COMPUTED_VALUE"""),75.0)</f>
        <v>75</v>
      </c>
      <c r="B76" s="2" t="str">
        <f>IFERROR(__xludf.DUMMYFUNCTION("""COMPUTED_VALUE"""),"Super Thulo Khola Hydropower Project")</f>
        <v>Super Thulo Khola Hydropower Project</v>
      </c>
      <c r="C76" s="2">
        <f>IFERROR(__xludf.DUMMYFUNCTION("""COMPUTED_VALUE"""),9.83)</f>
        <v>9.83</v>
      </c>
      <c r="D76" s="2" t="str">
        <f>IFERROR(__xludf.DUMMYFUNCTION("""COMPUTED_VALUE"""),"Thulo Khola")</f>
        <v>Thulo Khola</v>
      </c>
      <c r="E76" s="2">
        <f>IFERROR(__xludf.DUMMYFUNCTION("""COMPUTED_VALUE"""),1302.0)</f>
        <v>1302</v>
      </c>
      <c r="F76" s="3">
        <f>IFERROR(__xludf.DUMMYFUNCTION("""COMPUTED_VALUE"""),66397.0)</f>
        <v>66397</v>
      </c>
      <c r="G76" s="3">
        <f>IFERROR(__xludf.DUMMYFUNCTION("""COMPUTED_VALUE"""),67126.0)</f>
        <v>67126</v>
      </c>
      <c r="H76" s="2" t="str">
        <f>IFERROR(__xludf.DUMMYFUNCTION("""COMPUTED_VALUE"""),"Panchakot Hydro Private Limited")</f>
        <v>Panchakot Hydro Private Limited</v>
      </c>
      <c r="I76" s="2" t="str">
        <f>IFERROR(__xludf.DUMMYFUNCTION("""COMPUTED_VALUE"""),"Lalitpur Metropolitan City - 23, Lalitpur")</f>
        <v>Lalitpur Metropolitan City - 23, Lalitpur</v>
      </c>
      <c r="J76" s="2" t="str">
        <f>IFERROR(__xludf.DUMMYFUNCTION("""COMPUTED_VALUE"""),"28o 36' 02""")</f>
        <v>28o 36' 02"</v>
      </c>
      <c r="K76" s="2" t="str">
        <f>IFERROR(__xludf.DUMMYFUNCTION("""COMPUTED_VALUE"""),"28o 37' 24""")</f>
        <v>28o 37' 24"</v>
      </c>
      <c r="L76" s="2" t="str">
        <f>IFERROR(__xludf.DUMMYFUNCTION("""COMPUTED_VALUE"""),"83o 31' 00""")</f>
        <v>83o 31' 00"</v>
      </c>
      <c r="M76" s="2" t="str">
        <f>IFERROR(__xludf.DUMMYFUNCTION("""COMPUTED_VALUE"""),"83o 32' 15""")</f>
        <v>83o 32' 15"</v>
      </c>
      <c r="N76" s="2" t="str">
        <f>IFERROR(__xludf.DUMMYFUNCTION("""COMPUTED_VALUE"""),"Kuinemangale (Myagdi)")</f>
        <v>Kuinemangale (Myagdi)</v>
      </c>
    </row>
    <row r="77">
      <c r="A77" s="2">
        <f>IFERROR(__xludf.DUMMYFUNCTION("""COMPUTED_VALUE"""),76.0)</f>
        <v>76</v>
      </c>
      <c r="B77" s="2" t="str">
        <f>IFERROR(__xludf.DUMMYFUNCTION("""COMPUTED_VALUE"""),"Lungri Khola A Hydropower Project")</f>
        <v>Lungri Khola A Hydropower Project</v>
      </c>
      <c r="C77" s="2">
        <f>IFERROR(__xludf.DUMMYFUNCTION("""COMPUTED_VALUE"""),9.5)</f>
        <v>9.5</v>
      </c>
      <c r="D77" s="2" t="str">
        <f>IFERROR(__xludf.DUMMYFUNCTION("""COMPUTED_VALUE"""),"Lungri Khola")</f>
        <v>Lungri Khola</v>
      </c>
      <c r="E77" s="2">
        <f>IFERROR(__xludf.DUMMYFUNCTION("""COMPUTED_VALUE"""),1307.0)</f>
        <v>1307</v>
      </c>
      <c r="F77" s="3">
        <f>IFERROR(__xludf.DUMMYFUNCTION("""COMPUTED_VALUE"""),66417.0)</f>
        <v>66417</v>
      </c>
      <c r="G77" s="3">
        <f>IFERROR(__xludf.DUMMYFUNCTION("""COMPUTED_VALUE"""),67146.0)</f>
        <v>67146</v>
      </c>
      <c r="H77" s="2" t="str">
        <f>IFERROR(__xludf.DUMMYFUNCTION("""COMPUTED_VALUE"""),"Naari Urja Limited")</f>
        <v>Naari Urja Limited</v>
      </c>
      <c r="I77" s="2" t="str">
        <f>IFERROR(__xludf.DUMMYFUNCTION("""COMPUTED_VALUE"""),"Naxal, Kathmandu - 01")</f>
        <v>Naxal, Kathmandu - 01</v>
      </c>
      <c r="J77" s="2" t="str">
        <f>IFERROR(__xludf.DUMMYFUNCTION("""COMPUTED_VALUE"""),"28o 18' 41""")</f>
        <v>28o 18' 41"</v>
      </c>
      <c r="K77" s="2" t="str">
        <f>IFERROR(__xludf.DUMMYFUNCTION("""COMPUTED_VALUE"""),"28o 20' 44""")</f>
        <v>28o 20' 44"</v>
      </c>
      <c r="L77" s="2" t="str">
        <f>IFERROR(__xludf.DUMMYFUNCTION("""COMPUTED_VALUE"""),"82o 46' 10""")</f>
        <v>82o 46' 10"</v>
      </c>
      <c r="M77" s="2" t="str">
        <f>IFERROR(__xludf.DUMMYFUNCTION("""COMPUTED_VALUE"""),"82o 47' 44""")</f>
        <v>82o 47' 44"</v>
      </c>
      <c r="N77" s="2" t="str">
        <f>IFERROR(__xludf.DUMMYFUNCTION("""COMPUTED_VALUE"""),"Jaimakasala,Harjang (Rolpa)")</f>
        <v>Jaimakasala,Harjang (Rolpa)</v>
      </c>
    </row>
    <row r="78">
      <c r="A78" s="2">
        <f>IFERROR(__xludf.DUMMYFUNCTION("""COMPUTED_VALUE"""),77.0)</f>
        <v>77</v>
      </c>
      <c r="B78" s="2" t="str">
        <f>IFERROR(__xludf.DUMMYFUNCTION("""COMPUTED_VALUE"""),"Bamdan Khola Hydropower Project")</f>
        <v>Bamdan Khola Hydropower Project</v>
      </c>
      <c r="C78" s="2">
        <f>IFERROR(__xludf.DUMMYFUNCTION("""COMPUTED_VALUE"""),4.23)</f>
        <v>4.23</v>
      </c>
      <c r="D78" s="2" t="str">
        <f>IFERROR(__xludf.DUMMYFUNCTION("""COMPUTED_VALUE"""),"Bamdan Khola")</f>
        <v>Bamdan Khola</v>
      </c>
      <c r="E78" s="2">
        <f>IFERROR(__xludf.DUMMYFUNCTION("""COMPUTED_VALUE"""),1308.0)</f>
        <v>1308</v>
      </c>
      <c r="F78" s="3">
        <f>IFERROR(__xludf.DUMMYFUNCTION("""COMPUTED_VALUE"""),66417.0)</f>
        <v>66417</v>
      </c>
      <c r="G78" s="3">
        <f>IFERROR(__xludf.DUMMYFUNCTION("""COMPUTED_VALUE"""),67146.0)</f>
        <v>67146</v>
      </c>
      <c r="H78" s="2" t="str">
        <f>IFERROR(__xludf.DUMMYFUNCTION("""COMPUTED_VALUE"""),"Mechi Kali Hydropower Private Limited")</f>
        <v>Mechi Kali Hydropower Private Limited</v>
      </c>
      <c r="I78" s="2" t="str">
        <f>IFERROR(__xludf.DUMMYFUNCTION("""COMPUTED_VALUE"""),"KMC - 9, Battisputali, Kathmandu")</f>
        <v>KMC - 9, Battisputali, Kathmandu</v>
      </c>
      <c r="J78" s="2" t="str">
        <f>IFERROR(__xludf.DUMMYFUNCTION("""COMPUTED_VALUE"""),"28o 10' 00""")</f>
        <v>28o 10' 00"</v>
      </c>
      <c r="K78" s="2" t="str">
        <f>IFERROR(__xludf.DUMMYFUNCTION("""COMPUTED_VALUE"""),"28o 10' 55""")</f>
        <v>28o 10' 55"</v>
      </c>
      <c r="L78" s="2" t="str">
        <f>IFERROR(__xludf.DUMMYFUNCTION("""COMPUTED_VALUE"""),"85o 15' 45""")</f>
        <v>85o 15' 45"</v>
      </c>
      <c r="M78" s="2" t="str">
        <f>IFERROR(__xludf.DUMMYFUNCTION("""COMPUTED_VALUE"""),"85o 17' 52""")</f>
        <v>85o 17' 52"</v>
      </c>
      <c r="N78" s="2" t="str">
        <f>IFERROR(__xludf.DUMMYFUNCTION("""COMPUTED_VALUE"""),"Chilime,Gatlang,Goljung (Rasuwa)")</f>
        <v>Chilime,Gatlang,Goljung (Rasuwa)</v>
      </c>
    </row>
    <row r="79">
      <c r="A79" s="2">
        <f>IFERROR(__xludf.DUMMYFUNCTION("""COMPUTED_VALUE"""),78.0)</f>
        <v>78</v>
      </c>
      <c r="B79" s="2" t="str">
        <f>IFERROR(__xludf.DUMMYFUNCTION("""COMPUTED_VALUE"""),"Lowa Khola Hydropower Project")</f>
        <v>Lowa Khola Hydropower Project</v>
      </c>
      <c r="C79" s="2">
        <f>IFERROR(__xludf.DUMMYFUNCTION("""COMPUTED_VALUE"""),7.39)</f>
        <v>7.39</v>
      </c>
      <c r="D79" s="2" t="str">
        <f>IFERROR(__xludf.DUMMYFUNCTION("""COMPUTED_VALUE"""),"Lowa")</f>
        <v>Lowa</v>
      </c>
      <c r="E79" s="2">
        <f>IFERROR(__xludf.DUMMYFUNCTION("""COMPUTED_VALUE"""),1309.0)</f>
        <v>1309</v>
      </c>
      <c r="F79" s="3">
        <f>IFERROR(__xludf.DUMMYFUNCTION("""COMPUTED_VALUE"""),66417.0)</f>
        <v>66417</v>
      </c>
      <c r="G79" s="3">
        <f>IFERROR(__xludf.DUMMYFUNCTION("""COMPUTED_VALUE"""),67146.0)</f>
        <v>67146</v>
      </c>
      <c r="H79" s="2" t="str">
        <f>IFERROR(__xludf.DUMMYFUNCTION("""COMPUTED_VALUE"""),"Hang Hydropower Company Pvt. Ltd")</f>
        <v>Hang Hydropower Company Pvt. Ltd</v>
      </c>
      <c r="I79" s="2" t="str">
        <f>IFERROR(__xludf.DUMMYFUNCTION("""COMPUTED_VALUE"""),"Kathmandu, Nepal")</f>
        <v>Kathmandu, Nepal</v>
      </c>
      <c r="J79" s="2" t="str">
        <f>IFERROR(__xludf.DUMMYFUNCTION("""COMPUTED_VALUE"""),"27o 26' 53""")</f>
        <v>27o 26' 53"</v>
      </c>
      <c r="K79" s="2" t="str">
        <f>IFERROR(__xludf.DUMMYFUNCTION("""COMPUTED_VALUE"""),"27o 28' 00""")</f>
        <v>27o 28' 00"</v>
      </c>
      <c r="L79" s="2" t="str">
        <f>IFERROR(__xludf.DUMMYFUNCTION("""COMPUTED_VALUE"""),"87o 34' 38""")</f>
        <v>87o 34' 38"</v>
      </c>
      <c r="M79" s="2" t="str">
        <f>IFERROR(__xludf.DUMMYFUNCTION("""COMPUTED_VALUE"""),"87o 36' 29""")</f>
        <v>87o 36' 29"</v>
      </c>
      <c r="N79" s="2" t="str">
        <f>IFERROR(__xludf.DUMMYFUNCTION("""COMPUTED_VALUE"""),"Phakumba (Taplejung)")</f>
        <v>Phakumba (Taplejung)</v>
      </c>
    </row>
    <row r="80">
      <c r="A80" s="2">
        <f>IFERROR(__xludf.DUMMYFUNCTION("""COMPUTED_VALUE"""),79.0)</f>
        <v>79</v>
      </c>
      <c r="B80" s="2" t="str">
        <f>IFERROR(__xludf.DUMMYFUNCTION("""COMPUTED_VALUE"""),"Rangagad Hydropower Project")</f>
        <v>Rangagad Hydropower Project</v>
      </c>
      <c r="C80" s="2">
        <f>IFERROR(__xludf.DUMMYFUNCTION("""COMPUTED_VALUE"""),18.0)</f>
        <v>18</v>
      </c>
      <c r="D80" s="2" t="str">
        <f>IFERROR(__xludf.DUMMYFUNCTION("""COMPUTED_VALUE"""),"Ranga Gad Khola")</f>
        <v>Ranga Gad Khola</v>
      </c>
      <c r="E80" s="2">
        <f>IFERROR(__xludf.DUMMYFUNCTION("""COMPUTED_VALUE"""),1310.0)</f>
        <v>1310</v>
      </c>
      <c r="F80" s="3">
        <f>IFERROR(__xludf.DUMMYFUNCTION("""COMPUTED_VALUE"""),66417.0)</f>
        <v>66417</v>
      </c>
      <c r="G80" s="3">
        <f>IFERROR(__xludf.DUMMYFUNCTION("""COMPUTED_VALUE"""),67146.0)</f>
        <v>67146</v>
      </c>
      <c r="H80" s="2" t="str">
        <f>IFERROR(__xludf.DUMMYFUNCTION("""COMPUTED_VALUE"""),"Shoreline Energy Private Limited")</f>
        <v>Shoreline Energy Private Limited</v>
      </c>
      <c r="I80" s="2" t="str">
        <f>IFERROR(__xludf.DUMMYFUNCTION("""COMPUTED_VALUE"""),"Kathmandu - 3, Panipokhari")</f>
        <v>Kathmandu - 3, Panipokhari</v>
      </c>
      <c r="J80" s="2" t="str">
        <f>IFERROR(__xludf.DUMMYFUNCTION("""COMPUTED_VALUE"""),"28o 58' 00""")</f>
        <v>28o 58' 00"</v>
      </c>
      <c r="K80" s="2" t="str">
        <f>IFERROR(__xludf.DUMMYFUNCTION("""COMPUTED_VALUE"""),"29o 01' 00""")</f>
        <v>29o 01' 00"</v>
      </c>
      <c r="L80" s="2" t="str">
        <f>IFERROR(__xludf.DUMMYFUNCTION("""COMPUTED_VALUE"""),"82o 18' 00""")</f>
        <v>82o 18' 00"</v>
      </c>
      <c r="M80" s="2" t="str">
        <f>IFERROR(__xludf.DUMMYFUNCTION("""COMPUTED_VALUE"""),"82o 21' 00""")</f>
        <v>82o 21' 00"</v>
      </c>
      <c r="N80" s="2" t="str">
        <f>IFERROR(__xludf.DUMMYFUNCTION("""COMPUTED_VALUE"""),"Nayakwada,Sakala (Jajarkot)")</f>
        <v>Nayakwada,Sakala (Jajarkot)</v>
      </c>
    </row>
    <row r="81">
      <c r="A81" s="2">
        <f>IFERROR(__xludf.DUMMYFUNCTION("""COMPUTED_VALUE"""),80.0)</f>
        <v>80</v>
      </c>
      <c r="B81" s="2" t="str">
        <f>IFERROR(__xludf.DUMMYFUNCTION("""COMPUTED_VALUE"""),"Upper Lungri Khola Hydropower Project")</f>
        <v>Upper Lungri Khola Hydropower Project</v>
      </c>
      <c r="C81" s="2">
        <f>IFERROR(__xludf.DUMMYFUNCTION("""COMPUTED_VALUE"""),9.3)</f>
        <v>9.3</v>
      </c>
      <c r="D81" s="2" t="str">
        <f>IFERROR(__xludf.DUMMYFUNCTION("""COMPUTED_VALUE"""),"Lungri Khola")</f>
        <v>Lungri Khola</v>
      </c>
      <c r="E81" s="2">
        <f>IFERROR(__xludf.DUMMYFUNCTION("""COMPUTED_VALUE"""),1311.0)</f>
        <v>1311</v>
      </c>
      <c r="F81" s="3">
        <f>IFERROR(__xludf.DUMMYFUNCTION("""COMPUTED_VALUE"""),66424.0)</f>
        <v>66424</v>
      </c>
      <c r="G81" s="3">
        <f>IFERROR(__xludf.DUMMYFUNCTION("""COMPUTED_VALUE"""),67153.0)</f>
        <v>67153</v>
      </c>
      <c r="H81" s="2" t="str">
        <f>IFERROR(__xludf.DUMMYFUNCTION("""COMPUTED_VALUE"""),"Sunchhahari Hydropower Private Limited")</f>
        <v>Sunchhahari Hydropower Private Limited</v>
      </c>
      <c r="I81" s="2" t="str">
        <f>IFERROR(__xludf.DUMMYFUNCTION("""COMPUTED_VALUE"""),"Kirtipur Municipality - 4, Bhatkeko Pati, Kathmandu")</f>
        <v>Kirtipur Municipality - 4, Bhatkeko Pati, Kathmandu</v>
      </c>
      <c r="J81" s="2" t="str">
        <f>IFERROR(__xludf.DUMMYFUNCTION("""COMPUTED_VALUE"""),"28o 20' 44""")</f>
        <v>28o 20' 44"</v>
      </c>
      <c r="K81" s="2" t="str">
        <f>IFERROR(__xludf.DUMMYFUNCTION("""COMPUTED_VALUE"""),"28o 22' 09""")</f>
        <v>28o 22' 09"</v>
      </c>
      <c r="L81" s="2" t="str">
        <f>IFERROR(__xludf.DUMMYFUNCTION("""COMPUTED_VALUE"""),"82o 47' 27""")</f>
        <v>82o 47' 27"</v>
      </c>
      <c r="M81" s="2" t="str">
        <f>IFERROR(__xludf.DUMMYFUNCTION("""COMPUTED_VALUE"""),"82o 48' 47""")</f>
        <v>82o 48' 47"</v>
      </c>
      <c r="N81" s="2" t="str">
        <f>IFERROR(__xludf.DUMMYFUNCTION("""COMPUTED_VALUE"""),"Siuri,Harjang,Jaimakasala (Rolpa)")</f>
        <v>Siuri,Harjang,Jaimakasala (Rolpa)</v>
      </c>
    </row>
    <row r="82">
      <c r="A82" s="2">
        <f>IFERROR(__xludf.DUMMYFUNCTION("""COMPUTED_VALUE"""),81.0)</f>
        <v>81</v>
      </c>
      <c r="B82" s="2" t="str">
        <f>IFERROR(__xludf.DUMMYFUNCTION("""COMPUTED_VALUE"""),"Lower Trishuli PRoR Hydropower Project")</f>
        <v>Lower Trishuli PRoR Hydropower Project</v>
      </c>
      <c r="C82" s="2">
        <f>IFERROR(__xludf.DUMMYFUNCTION("""COMPUTED_VALUE"""),117.72)</f>
        <v>117.72</v>
      </c>
      <c r="D82" s="2" t="str">
        <f>IFERROR(__xludf.DUMMYFUNCTION("""COMPUTED_VALUE"""),"Trishuli")</f>
        <v>Trishuli</v>
      </c>
      <c r="E82" s="2">
        <f>IFERROR(__xludf.DUMMYFUNCTION("""COMPUTED_VALUE"""),1344.0)</f>
        <v>1344</v>
      </c>
      <c r="F82" s="3">
        <f>IFERROR(__xludf.DUMMYFUNCTION("""COMPUTED_VALUE"""),66424.0)</f>
        <v>66424</v>
      </c>
      <c r="G82" s="3">
        <f>IFERROR(__xludf.DUMMYFUNCTION("""COMPUTED_VALUE"""),67153.0)</f>
        <v>67153</v>
      </c>
      <c r="H82" s="2" t="str">
        <f>IFERROR(__xludf.DUMMYFUNCTION("""COMPUTED_VALUE"""),"Gidro Energiya Company Limited")</f>
        <v>Gidro Energiya Company Limited</v>
      </c>
      <c r="I82" s="2" t="str">
        <f>IFERROR(__xludf.DUMMYFUNCTION("""COMPUTED_VALUE"""),"Kathmandu, Nepal (01-5705608)")</f>
        <v>Kathmandu, Nepal (01-5705608)</v>
      </c>
      <c r="J82" s="2" t="str">
        <f>IFERROR(__xludf.DUMMYFUNCTION("""COMPUTED_VALUE"""),"27o 48' 47""")</f>
        <v>27o 48' 47"</v>
      </c>
      <c r="K82" s="2" t="str">
        <f>IFERROR(__xludf.DUMMYFUNCTION("""COMPUTED_VALUE"""),"27o 51' 16""")</f>
        <v>27o 51' 16"</v>
      </c>
      <c r="L82" s="2" t="str">
        <f>IFERROR(__xludf.DUMMYFUNCTION("""COMPUTED_VALUE"""),"84o 28' 57""")</f>
        <v>84o 28' 57"</v>
      </c>
      <c r="M82" s="2" t="str">
        <f>IFERROR(__xludf.DUMMYFUNCTION("""COMPUTED_VALUE"""),"84o 33' 46""")</f>
        <v>84o 33' 46"</v>
      </c>
      <c r="N82" s="2" t="str">
        <f>IFERROR(__xludf.DUMMYFUNCTION("""COMPUTED_VALUE"""),"Chandi Bhanjyang (Chitawan) Ambukhaireni,Chhimkeswori (Tanahu)")</f>
        <v>Chandi Bhanjyang (Chitawan) Ambukhaireni,Chhimkeswori (Tanahu)</v>
      </c>
    </row>
    <row r="83">
      <c r="A83" s="2">
        <f>IFERROR(__xludf.DUMMYFUNCTION("""COMPUTED_VALUE"""),82.0)</f>
        <v>82</v>
      </c>
      <c r="B83" s="2" t="str">
        <f>IFERROR(__xludf.DUMMYFUNCTION("""COMPUTED_VALUE"""),"Super Molung Khola Hydropower Project")</f>
        <v>Super Molung Khola Hydropower Project</v>
      </c>
      <c r="C83" s="2">
        <f>IFERROR(__xludf.DUMMYFUNCTION("""COMPUTED_VALUE"""),8.6)</f>
        <v>8.6</v>
      </c>
      <c r="D83" s="2" t="str">
        <f>IFERROR(__xludf.DUMMYFUNCTION("""COMPUTED_VALUE"""),"Malung Khola")</f>
        <v>Malung Khola</v>
      </c>
      <c r="E83" s="2">
        <f>IFERROR(__xludf.DUMMYFUNCTION("""COMPUTED_VALUE"""),1312.0)</f>
        <v>1312</v>
      </c>
      <c r="F83" s="3">
        <f>IFERROR(__xludf.DUMMYFUNCTION("""COMPUTED_VALUE"""),66426.0)</f>
        <v>66426</v>
      </c>
      <c r="G83" s="3">
        <f>IFERROR(__xludf.DUMMYFUNCTION("""COMPUTED_VALUE"""),67155.0)</f>
        <v>67155</v>
      </c>
      <c r="H83" s="2" t="str">
        <f>IFERROR(__xludf.DUMMYFUNCTION("""COMPUTED_VALUE"""),"Noble Energy Private Limited")</f>
        <v>Noble Energy Private Limited</v>
      </c>
      <c r="I83" s="2" t="str">
        <f>IFERROR(__xludf.DUMMYFUNCTION("""COMPUTED_VALUE"""),"Budhanilkantha - 8, Golfutar, Kathmandu")</f>
        <v>Budhanilkantha - 8, Golfutar, Kathmandu</v>
      </c>
      <c r="J83" s="2" t="str">
        <f>IFERROR(__xludf.DUMMYFUNCTION("""COMPUTED_VALUE"""),"27o 23' 31""")</f>
        <v>27o 23' 31"</v>
      </c>
      <c r="K83" s="2" t="str">
        <f>IFERROR(__xludf.DUMMYFUNCTION("""COMPUTED_VALUE"""),"27o 25' 45""")</f>
        <v>27o 25' 45"</v>
      </c>
      <c r="L83" s="2" t="str">
        <f>IFERROR(__xludf.DUMMYFUNCTION("""COMPUTED_VALUE"""),"86o 23' 10""")</f>
        <v>86o 23' 10"</v>
      </c>
      <c r="M83" s="2" t="str">
        <f>IFERROR(__xludf.DUMMYFUNCTION("""COMPUTED_VALUE"""),"86o 24' 34""")</f>
        <v>86o 24' 34"</v>
      </c>
      <c r="N83" s="2" t="str">
        <f>IFERROR(__xludf.DUMMYFUNCTION("""COMPUTED_VALUE"""),"Shreechaur,Khijifalate,Patle (Okhaldhunga)")</f>
        <v>Shreechaur,Khijifalate,Patle (Okhaldhunga)</v>
      </c>
    </row>
    <row r="84">
      <c r="A84" s="2">
        <f>IFERROR(__xludf.DUMMYFUNCTION("""COMPUTED_VALUE"""),83.0)</f>
        <v>83</v>
      </c>
      <c r="B84" s="2" t="str">
        <f>IFERROR(__xludf.DUMMYFUNCTION("""COMPUTED_VALUE"""),"Ramailo Likhu Jalavidyut Aayojana")</f>
        <v>Ramailo Likhu Jalavidyut Aayojana</v>
      </c>
      <c r="C84" s="2">
        <f>IFERROR(__xludf.DUMMYFUNCTION("""COMPUTED_VALUE"""),7.7)</f>
        <v>7.7</v>
      </c>
      <c r="D84" s="2" t="str">
        <f>IFERROR(__xludf.DUMMYFUNCTION("""COMPUTED_VALUE"""),"Likhu Khola")</f>
        <v>Likhu Khola</v>
      </c>
      <c r="E84" s="2">
        <f>IFERROR(__xludf.DUMMYFUNCTION("""COMPUTED_VALUE"""),1313.0)</f>
        <v>1313</v>
      </c>
      <c r="F84" s="3">
        <f>IFERROR(__xludf.DUMMYFUNCTION("""COMPUTED_VALUE"""),66427.0)</f>
        <v>66427</v>
      </c>
      <c r="G84" s="3">
        <f>IFERROR(__xludf.DUMMYFUNCTION("""COMPUTED_VALUE"""),67156.0)</f>
        <v>67156</v>
      </c>
      <c r="H84" s="2" t="str">
        <f>IFERROR(__xludf.DUMMYFUNCTION("""COMPUTED_VALUE"""),"Golden Key Investment Company Private Limited")</f>
        <v>Golden Key Investment Company Private Limited</v>
      </c>
      <c r="I84" s="2" t="str">
        <f>IFERROR(__xludf.DUMMYFUNCTION("""COMPUTED_VALUE"""),"Gaurighat - 7, Kathmandu, Nepal, 9851207929")</f>
        <v>Gaurighat - 7, Kathmandu, Nepal, 9851207929</v>
      </c>
      <c r="J84" s="2" t="str">
        <f>IFERROR(__xludf.DUMMYFUNCTION("""COMPUTED_VALUE"""),"27o 28' 32""")</f>
        <v>27o 28' 32"</v>
      </c>
      <c r="K84" s="2" t="str">
        <f>IFERROR(__xludf.DUMMYFUNCTION("""COMPUTED_VALUE"""),"27o 29' 09""")</f>
        <v>27o 29' 09"</v>
      </c>
      <c r="L84" s="2" t="str">
        <f>IFERROR(__xludf.DUMMYFUNCTION("""COMPUTED_VALUE"""),"86o 17' 30""")</f>
        <v>86o 17' 30"</v>
      </c>
      <c r="M84" s="2" t="str">
        <f>IFERROR(__xludf.DUMMYFUNCTION("""COMPUTED_VALUE"""),"86o 20' 30""")</f>
        <v>86o 20' 30"</v>
      </c>
      <c r="N84" s="2"/>
    </row>
    <row r="85">
      <c r="A85" s="2">
        <f>IFERROR(__xludf.DUMMYFUNCTION("""COMPUTED_VALUE"""),84.0)</f>
        <v>84</v>
      </c>
      <c r="B85" s="2" t="str">
        <f>IFERROR(__xludf.DUMMYFUNCTION("""COMPUTED_VALUE"""),"Chhimdi - Kawadi Khola Storage Hydropower Project")</f>
        <v>Chhimdi - Kawadi Khola Storage Hydropower Project</v>
      </c>
      <c r="C85" s="2">
        <f>IFERROR(__xludf.DUMMYFUNCTION("""COMPUTED_VALUE"""),171.0)</f>
        <v>171</v>
      </c>
      <c r="D85" s="2" t="str">
        <f>IFERROR(__xludf.DUMMYFUNCTION("""COMPUTED_VALUE"""),"Chhimdi Khola &amp; Kawadi Khola")</f>
        <v>Chhimdi Khola &amp; Kawadi Khola</v>
      </c>
      <c r="E85" s="2">
        <f>IFERROR(__xludf.DUMMYFUNCTION("""COMPUTED_VALUE"""),1322.0)</f>
        <v>1322</v>
      </c>
      <c r="F85" s="3">
        <f>IFERROR(__xludf.DUMMYFUNCTION("""COMPUTED_VALUE"""),66428.0)</f>
        <v>66428</v>
      </c>
      <c r="G85" s="3">
        <f>IFERROR(__xludf.DUMMYFUNCTION("""COMPUTED_VALUE"""),67157.0)</f>
        <v>67157</v>
      </c>
      <c r="H85" s="2" t="str">
        <f>IFERROR(__xludf.DUMMYFUNCTION("""COMPUTED_VALUE"""),"Sangrila Urja Limited")</f>
        <v>Sangrila Urja Limited</v>
      </c>
      <c r="I85" s="2" t="str">
        <f>IFERROR(__xludf.DUMMYFUNCTION("""COMPUTED_VALUE"""),"KMC-29, KATHMANDU")</f>
        <v>KMC-29, KATHMANDU</v>
      </c>
      <c r="J85" s="2" t="str">
        <f>IFERROR(__xludf.DUMMYFUNCTION("""COMPUTED_VALUE"""),"29o 48' 10""")</f>
        <v>29o 48' 10"</v>
      </c>
      <c r="K85" s="2" t="str">
        <f>IFERROR(__xludf.DUMMYFUNCTION("""COMPUTED_VALUE"""),"29o 52' 03""")</f>
        <v>29o 52' 03"</v>
      </c>
      <c r="L85" s="2" t="str">
        <f>IFERROR(__xludf.DUMMYFUNCTION("""COMPUTED_VALUE"""),"81o 37' 49""")</f>
        <v>81o 37' 49"</v>
      </c>
      <c r="M85" s="2" t="str">
        <f>IFERROR(__xludf.DUMMYFUNCTION("""COMPUTED_VALUE"""),"81o 45' 52""")</f>
        <v>81o 45' 52"</v>
      </c>
      <c r="N85" s="2" t="str">
        <f>IFERROR(__xludf.DUMMYFUNCTION("""COMPUTED_VALUE"""),"Bichhiya (Bajura)")</f>
        <v>Bichhiya (Bajura)</v>
      </c>
    </row>
    <row r="86">
      <c r="A86" s="2">
        <f>IFERROR(__xludf.DUMMYFUNCTION("""COMPUTED_VALUE"""),85.0)</f>
        <v>85</v>
      </c>
      <c r="B86" s="2" t="str">
        <f>IFERROR(__xludf.DUMMYFUNCTION("""COMPUTED_VALUE"""),"Middle Tatopani Khola Hydroelectric Project")</f>
        <v>Middle Tatopani Khola Hydroelectric Project</v>
      </c>
      <c r="C86" s="2">
        <f>IFERROR(__xludf.DUMMYFUNCTION("""COMPUTED_VALUE"""),4.97)</f>
        <v>4.97</v>
      </c>
      <c r="D86" s="2" t="str">
        <f>IFERROR(__xludf.DUMMYFUNCTION("""COMPUTED_VALUE"""),"Tatopani(Ilep) Khola")</f>
        <v>Tatopani(Ilep) Khola</v>
      </c>
      <c r="E86" s="2">
        <f>IFERROR(__xludf.DUMMYFUNCTION("""COMPUTED_VALUE"""),1338.0)</f>
        <v>1338</v>
      </c>
      <c r="F86" s="3">
        <f>IFERROR(__xludf.DUMMYFUNCTION("""COMPUTED_VALUE"""),66430.0)</f>
        <v>66430</v>
      </c>
      <c r="G86" s="3">
        <f>IFERROR(__xludf.DUMMYFUNCTION("""COMPUTED_VALUE"""),67159.0)</f>
        <v>67159</v>
      </c>
      <c r="H86" s="2" t="str">
        <f>IFERROR(__xludf.DUMMYFUNCTION("""COMPUTED_VALUE"""),"Zorba Energy Private Limited")</f>
        <v>Zorba Energy Private Limited</v>
      </c>
      <c r="I86" s="2" t="str">
        <f>IFERROR(__xludf.DUMMYFUNCTION("""COMPUTED_VALUE"""),"Lalitpur Municipality-23, Lalitpur")</f>
        <v>Lalitpur Municipality-23, Lalitpur</v>
      </c>
      <c r="J86" s="2" t="str">
        <f>IFERROR(__xludf.DUMMYFUNCTION("""COMPUTED_VALUE"""),"28o 13' 35""")</f>
        <v>28o 13' 35"</v>
      </c>
      <c r="K86" s="2" t="str">
        <f>IFERROR(__xludf.DUMMYFUNCTION("""COMPUTED_VALUE"""),"28o 14' 05""")</f>
        <v>28o 14' 05"</v>
      </c>
      <c r="L86" s="2" t="str">
        <f>IFERROR(__xludf.DUMMYFUNCTION("""COMPUTED_VALUE"""),"85o 04' 25""")</f>
        <v>85o 04' 25"</v>
      </c>
      <c r="M86" s="2" t="str">
        <f>IFERROR(__xludf.DUMMYFUNCTION("""COMPUTED_VALUE"""),"85o 04' 50""")</f>
        <v>85o 04' 50"</v>
      </c>
      <c r="N86" s="2" t="str">
        <f>IFERROR(__xludf.DUMMYFUNCTION("""COMPUTED_VALUE"""),"Lapa,Sirtung (Dhading)")</f>
        <v>Lapa,Sirtung (Dhading)</v>
      </c>
    </row>
    <row r="87">
      <c r="A87" s="2">
        <f>IFERROR(__xludf.DUMMYFUNCTION("""COMPUTED_VALUE"""),86.0)</f>
        <v>86</v>
      </c>
      <c r="B87" s="2" t="str">
        <f>IFERROR(__xludf.DUMMYFUNCTION("""COMPUTED_VALUE"""),"Dogaria Gad Hydroelectric Project")</f>
        <v>Dogaria Gad Hydroelectric Project</v>
      </c>
      <c r="C87" s="2">
        <f>IFERROR(__xludf.DUMMYFUNCTION("""COMPUTED_VALUE"""),9.561)</f>
        <v>9.561</v>
      </c>
      <c r="D87" s="2" t="str">
        <f>IFERROR(__xludf.DUMMYFUNCTION("""COMPUTED_VALUE"""),"Dogaria Gad")</f>
        <v>Dogaria Gad</v>
      </c>
      <c r="E87" s="2">
        <f>IFERROR(__xludf.DUMMYFUNCTION("""COMPUTED_VALUE"""),1345.0)</f>
        <v>1345</v>
      </c>
      <c r="F87" s="3">
        <f>IFERROR(__xludf.DUMMYFUNCTION("""COMPUTED_VALUE"""),66436.0)</f>
        <v>66436</v>
      </c>
      <c r="G87" s="3">
        <f>IFERROR(__xludf.DUMMYFUNCTION("""COMPUTED_VALUE"""),67165.0)</f>
        <v>67165</v>
      </c>
      <c r="H87" s="2" t="str">
        <f>IFERROR(__xludf.DUMMYFUNCTION("""COMPUTED_VALUE"""),"God Gift Energy Private Limited")</f>
        <v>God Gift Energy Private Limited</v>
      </c>
      <c r="I87" s="2" t="str">
        <f>IFERROR(__xludf.DUMMYFUNCTION("""COMPUTED_VALUE"""),"Kathmandu - 5, Hadigaun")</f>
        <v>Kathmandu - 5, Hadigaun</v>
      </c>
      <c r="J87" s="2" t="str">
        <f>IFERROR(__xludf.DUMMYFUNCTION("""COMPUTED_VALUE"""),"29o 40' 00""")</f>
        <v>29o 40' 00"</v>
      </c>
      <c r="K87" s="2" t="str">
        <f>IFERROR(__xludf.DUMMYFUNCTION("""COMPUTED_VALUE"""),"29o 42' 28""")</f>
        <v>29o 42' 28"</v>
      </c>
      <c r="L87" s="2" t="str">
        <f>IFERROR(__xludf.DUMMYFUNCTION("""COMPUTED_VALUE"""),"81o 19' 48""")</f>
        <v>81o 19' 48"</v>
      </c>
      <c r="M87" s="2" t="str">
        <f>IFERROR(__xludf.DUMMYFUNCTION("""COMPUTED_VALUE"""),"81o 23' 27""")</f>
        <v>81o 23' 27"</v>
      </c>
      <c r="N87" s="2"/>
    </row>
    <row r="88">
      <c r="A88" s="2">
        <f>IFERROR(__xludf.DUMMYFUNCTION("""COMPUTED_VALUE"""),87.0)</f>
        <v>87</v>
      </c>
      <c r="B88" s="2" t="str">
        <f>IFERROR(__xludf.DUMMYFUNCTION("""COMPUTED_VALUE"""),"Khorunga-Tangmaya Khola Hydropower Project")</f>
        <v>Khorunga-Tangmaya Khola Hydropower Project</v>
      </c>
      <c r="C88" s="2">
        <f>IFERROR(__xludf.DUMMYFUNCTION("""COMPUTED_VALUE"""),2.0)</f>
        <v>2</v>
      </c>
      <c r="D88" s="2" t="str">
        <f>IFERROR(__xludf.DUMMYFUNCTION("""COMPUTED_VALUE"""),"Khoranga, Tangmaya")</f>
        <v>Khoranga, Tangmaya</v>
      </c>
      <c r="E88" s="2">
        <f>IFERROR(__xludf.DUMMYFUNCTION("""COMPUTED_VALUE"""),1346.0)</f>
        <v>1346</v>
      </c>
      <c r="F88" s="3">
        <f>IFERROR(__xludf.DUMMYFUNCTION("""COMPUTED_VALUE"""),66437.0)</f>
        <v>66437</v>
      </c>
      <c r="G88" s="3">
        <f>IFERROR(__xludf.DUMMYFUNCTION("""COMPUTED_VALUE"""),67166.0)</f>
        <v>67166</v>
      </c>
      <c r="H88" s="2" t="str">
        <f>IFERROR(__xludf.DUMMYFUNCTION("""COMPUTED_VALUE"""),"K. T. K. Hydropower Private Limited")</f>
        <v>K. T. K. Hydropower Private Limited</v>
      </c>
      <c r="I88" s="2" t="str">
        <f>IFERROR(__xludf.DUMMYFUNCTION("""COMPUTED_VALUE"""),"KMC-9, Kathmandu")</f>
        <v>KMC-9, Kathmandu</v>
      </c>
      <c r="J88" s="2" t="str">
        <f>IFERROR(__xludf.DUMMYFUNCTION("""COMPUTED_VALUE"""),"27o 11' 09""")</f>
        <v>27o 11' 09"</v>
      </c>
      <c r="K88" s="2" t="str">
        <f>IFERROR(__xludf.DUMMYFUNCTION("""COMPUTED_VALUE"""),"27o 11' 42""")</f>
        <v>27o 11' 42"</v>
      </c>
      <c r="L88" s="2" t="str">
        <f>IFERROR(__xludf.DUMMYFUNCTION("""COMPUTED_VALUE"""),"87o 31' 50""")</f>
        <v>87o 31' 50"</v>
      </c>
      <c r="M88" s="2" t="str">
        <f>IFERROR(__xludf.DUMMYFUNCTION("""COMPUTED_VALUE"""),"87o 32' 22""")</f>
        <v>87o 32' 22"</v>
      </c>
      <c r="N88" s="2" t="str">
        <f>IFERROR(__xludf.DUMMYFUNCTION("""COMPUTED_VALUE"""),"Morahang (Terhathum)")</f>
        <v>Morahang (Terhathum)</v>
      </c>
    </row>
    <row r="89">
      <c r="A89" s="2">
        <f>IFERROR(__xludf.DUMMYFUNCTION("""COMPUTED_VALUE"""),88.0)</f>
        <v>88</v>
      </c>
      <c r="B89" s="2" t="str">
        <f>IFERROR(__xludf.DUMMYFUNCTION("""COMPUTED_VALUE"""),"Tallo Chameliya Hydropower Project")</f>
        <v>Tallo Chameliya Hydropower Project</v>
      </c>
      <c r="C89" s="2">
        <f>IFERROR(__xludf.DUMMYFUNCTION("""COMPUTED_VALUE"""),20.0)</f>
        <v>20</v>
      </c>
      <c r="D89" s="2" t="str">
        <f>IFERROR(__xludf.DUMMYFUNCTION("""COMPUTED_VALUE"""),"Chameliya Khola")</f>
        <v>Chameliya Khola</v>
      </c>
      <c r="E89" s="2">
        <f>IFERROR(__xludf.DUMMYFUNCTION("""COMPUTED_VALUE"""),1347.0)</f>
        <v>1347</v>
      </c>
      <c r="F89" s="3">
        <f>IFERROR(__xludf.DUMMYFUNCTION("""COMPUTED_VALUE"""),66437.0)</f>
        <v>66437</v>
      </c>
      <c r="G89" s="3">
        <f>IFERROR(__xludf.DUMMYFUNCTION("""COMPUTED_VALUE"""),67166.0)</f>
        <v>67166</v>
      </c>
      <c r="H89" s="2" t="str">
        <f>IFERROR(__xludf.DUMMYFUNCTION("""COMPUTED_VALUE"""),"Khaptad Power Company Private Limited")</f>
        <v>Khaptad Power Company Private Limited</v>
      </c>
      <c r="I89" s="2" t="str">
        <f>IFERROR(__xludf.DUMMYFUNCTION("""COMPUTED_VALUE"""),"Buddhanagar, Kathmandu")</f>
        <v>Buddhanagar, Kathmandu</v>
      </c>
      <c r="J89" s="2" t="str">
        <f>IFERROR(__xludf.DUMMYFUNCTION("""COMPUTED_VALUE"""),"29o 40' 00""")</f>
        <v>29o 40' 00"</v>
      </c>
      <c r="K89" s="2" t="str">
        <f>IFERROR(__xludf.DUMMYFUNCTION("""COMPUTED_VALUE"""),"29o 41' 40""")</f>
        <v>29o 41' 40"</v>
      </c>
      <c r="L89" s="2" t="str">
        <f>IFERROR(__xludf.DUMMYFUNCTION("""COMPUTED_VALUE"""),"80o 34' 41""")</f>
        <v>80o 34' 41"</v>
      </c>
      <c r="M89" s="2" t="str">
        <f>IFERROR(__xludf.DUMMYFUNCTION("""COMPUTED_VALUE"""),"80o 37' 59""")</f>
        <v>80o 37' 59"</v>
      </c>
      <c r="N89" s="2" t="str">
        <f>IFERROR(__xludf.DUMMYFUNCTION("""COMPUTED_VALUE"""),"Dilasaini (Baitadi) Sikhar (Darchula)")</f>
        <v>Dilasaini (Baitadi) Sikhar (Darchula)</v>
      </c>
    </row>
    <row r="90">
      <c r="A90" s="2">
        <f>IFERROR(__xludf.DUMMYFUNCTION("""COMPUTED_VALUE"""),89.0)</f>
        <v>89</v>
      </c>
      <c r="B90" s="2" t="str">
        <f>IFERROR(__xludf.DUMMYFUNCTION("""COMPUTED_VALUE"""),"Likhu - 4 ""A"" Cascade Hydropower Project")</f>
        <v>Likhu - 4 "A" Cascade Hydropower Project</v>
      </c>
      <c r="C90" s="2">
        <f>IFERROR(__xludf.DUMMYFUNCTION("""COMPUTED_VALUE"""),12.5)</f>
        <v>12.5</v>
      </c>
      <c r="D90" s="2" t="str">
        <f>IFERROR(__xludf.DUMMYFUNCTION("""COMPUTED_VALUE"""),"Likhu Khola")</f>
        <v>Likhu Khola</v>
      </c>
      <c r="E90" s="2">
        <f>IFERROR(__xludf.DUMMYFUNCTION("""COMPUTED_VALUE"""),1348.0)</f>
        <v>1348</v>
      </c>
      <c r="F90" s="3">
        <f>IFERROR(__xludf.DUMMYFUNCTION("""COMPUTED_VALUE"""),66442.0)</f>
        <v>66442</v>
      </c>
      <c r="G90" s="3">
        <f>IFERROR(__xludf.DUMMYFUNCTION("""COMPUTED_VALUE"""),67171.0)</f>
        <v>67171</v>
      </c>
      <c r="H90" s="2" t="str">
        <f>IFERROR(__xludf.DUMMYFUNCTION("""COMPUTED_VALUE"""),"Triveni Energy Private Limited")</f>
        <v>Triveni Energy Private Limited</v>
      </c>
      <c r="I90" s="2" t="str">
        <f>IFERROR(__xludf.DUMMYFUNCTION("""COMPUTED_VALUE"""),"Triveni Complex, 1951 - Ramchah Path, Putalisadak, Kathmandu")</f>
        <v>Triveni Complex, 1951 - Ramchah Path, Putalisadak, Kathmandu</v>
      </c>
      <c r="J90" s="2" t="str">
        <f>IFERROR(__xludf.DUMMYFUNCTION("""COMPUTED_VALUE"""),"27o 25' 50""")</f>
        <v>27o 25' 50"</v>
      </c>
      <c r="K90" s="2" t="str">
        <f>IFERROR(__xludf.DUMMYFUNCTION("""COMPUTED_VALUE"""),"27o 26' 39""")</f>
        <v>27o 26' 39"</v>
      </c>
      <c r="L90" s="2" t="str">
        <f>IFERROR(__xludf.DUMMYFUNCTION("""COMPUTED_VALUE"""),"86o 15' 00""")</f>
        <v>86o 15' 00"</v>
      </c>
      <c r="M90" s="2" t="str">
        <f>IFERROR(__xludf.DUMMYFUNCTION("""COMPUTED_VALUE"""),"86o 16' 00""")</f>
        <v>86o 16' 00"</v>
      </c>
      <c r="N90" s="2"/>
    </row>
    <row r="91">
      <c r="A91" s="2">
        <f>IFERROR(__xludf.DUMMYFUNCTION("""COMPUTED_VALUE"""),90.0)</f>
        <v>90</v>
      </c>
      <c r="B91" s="2" t="str">
        <f>IFERROR(__xludf.DUMMYFUNCTION("""COMPUTED_VALUE"""),"Manggala Myagdi Cascade Hydropower Project")</f>
        <v>Manggala Myagdi Cascade Hydropower Project</v>
      </c>
      <c r="C91" s="2">
        <f>IFERROR(__xludf.DUMMYFUNCTION("""COMPUTED_VALUE"""),5.13)</f>
        <v>5.13</v>
      </c>
      <c r="D91" s="2" t="str">
        <f>IFERROR(__xludf.DUMMYFUNCTION("""COMPUTED_VALUE"""),"Myagdi Khola")</f>
        <v>Myagdi Khola</v>
      </c>
      <c r="E91" s="2">
        <f>IFERROR(__xludf.DUMMYFUNCTION("""COMPUTED_VALUE"""),1349.0)</f>
        <v>1349</v>
      </c>
      <c r="F91" s="3">
        <f>IFERROR(__xludf.DUMMYFUNCTION("""COMPUTED_VALUE"""),66443.0)</f>
        <v>66443</v>
      </c>
      <c r="G91" s="3">
        <f>IFERROR(__xludf.DUMMYFUNCTION("""COMPUTED_VALUE"""),67172.0)</f>
        <v>67172</v>
      </c>
      <c r="H91" s="2" t="str">
        <f>IFERROR(__xludf.DUMMYFUNCTION("""COMPUTED_VALUE"""),"Photon Energy Development Company Private Limited")</f>
        <v>Photon Energy Development Company Private Limited</v>
      </c>
      <c r="I91" s="2" t="str">
        <f>IFERROR(__xludf.DUMMYFUNCTION("""COMPUTED_VALUE"""),"KMC-32, Kathmandu")</f>
        <v>KMC-32, Kathmandu</v>
      </c>
      <c r="J91" s="2" t="str">
        <f>IFERROR(__xludf.DUMMYFUNCTION("""COMPUTED_VALUE"""),"28o 23' 15""")</f>
        <v>28o 23' 15"</v>
      </c>
      <c r="K91" s="2" t="str">
        <f>IFERROR(__xludf.DUMMYFUNCTION("""COMPUTED_VALUE"""),"28o 24' 08""")</f>
        <v>28o 24' 08"</v>
      </c>
      <c r="L91" s="2" t="str">
        <f>IFERROR(__xludf.DUMMYFUNCTION("""COMPUTED_VALUE"""),"83o 24' 30""")</f>
        <v>83o 24' 30"</v>
      </c>
      <c r="M91" s="2" t="str">
        <f>IFERROR(__xludf.DUMMYFUNCTION("""COMPUTED_VALUE"""),"83o 25' 45""")</f>
        <v>83o 25' 45"</v>
      </c>
      <c r="N91" s="2" t="str">
        <f>IFERROR(__xludf.DUMMYFUNCTION("""COMPUTED_VALUE"""),"Arman,Babiyachaur,Darwang (Myagdi)")</f>
        <v>Arman,Babiyachaur,Darwang (Myagdi)</v>
      </c>
    </row>
    <row r="92">
      <c r="A92" s="2">
        <f>IFERROR(__xludf.DUMMYFUNCTION("""COMPUTED_VALUE"""),91.0)</f>
        <v>91</v>
      </c>
      <c r="B92" s="2" t="str">
        <f>IFERROR(__xludf.DUMMYFUNCTION("""COMPUTED_VALUE"""),"Tallo Pelma Khola PRoR HEP")</f>
        <v>Tallo Pelma Khola PRoR HEP</v>
      </c>
      <c r="C92" s="2">
        <f>IFERROR(__xludf.DUMMYFUNCTION("""COMPUTED_VALUE"""),23.75)</f>
        <v>23.75</v>
      </c>
      <c r="D92" s="2" t="str">
        <f>IFERROR(__xludf.DUMMYFUNCTION("""COMPUTED_VALUE"""),"Pelma Khola")</f>
        <v>Pelma Khola</v>
      </c>
      <c r="E92" s="2">
        <f>IFERROR(__xludf.DUMMYFUNCTION("""COMPUTED_VALUE"""),1356.0)</f>
        <v>1356</v>
      </c>
      <c r="F92" s="3">
        <f>IFERROR(__xludf.DUMMYFUNCTION("""COMPUTED_VALUE"""),66452.0)</f>
        <v>66452</v>
      </c>
      <c r="G92" s="3">
        <f>IFERROR(__xludf.DUMMYFUNCTION("""COMPUTED_VALUE"""),67181.0)</f>
        <v>67181</v>
      </c>
      <c r="H92" s="2" t="str">
        <f>IFERROR(__xludf.DUMMYFUNCTION("""COMPUTED_VALUE"""),"Pelma Hydropower Project Pvt. Ltd.")</f>
        <v>Pelma Hydropower Project Pvt. Ltd.</v>
      </c>
      <c r="I92" s="2" t="str">
        <f>IFERROR(__xludf.DUMMYFUNCTION("""COMPUTED_VALUE"""),"Ghattekulo-29, Kathmandu, Contact No.; 9851030667")</f>
        <v>Ghattekulo-29, Kathmandu, Contact No.; 9851030667</v>
      </c>
      <c r="J92" s="2" t="str">
        <f>IFERROR(__xludf.DUMMYFUNCTION("""COMPUTED_VALUE"""),"28o 40' 20""")</f>
        <v>28o 40' 20"</v>
      </c>
      <c r="K92" s="2" t="str">
        <f>IFERROR(__xludf.DUMMYFUNCTION("""COMPUTED_VALUE"""),"28o 41' 37""")</f>
        <v>28o 41' 37"</v>
      </c>
      <c r="L92" s="2" t="str">
        <f>IFERROR(__xludf.DUMMYFUNCTION("""COMPUTED_VALUE"""),"82o 50' 15""")</f>
        <v>82o 50' 15"</v>
      </c>
      <c r="M92" s="2" t="str">
        <f>IFERROR(__xludf.DUMMYFUNCTION("""COMPUTED_VALUE"""),"82o 52' 09""")</f>
        <v>82o 52' 09"</v>
      </c>
      <c r="N92" s="2" t="str">
        <f>IFERROR(__xludf.DUMMYFUNCTION("""COMPUTED_VALUE"""),"Ranmamekot (Rukum)")</f>
        <v>Ranmamekot (Rukum)</v>
      </c>
    </row>
    <row r="93">
      <c r="A93" s="2">
        <f>IFERROR(__xludf.DUMMYFUNCTION("""COMPUTED_VALUE"""),92.0)</f>
        <v>92</v>
      </c>
      <c r="B93" s="2" t="str">
        <f>IFERROR(__xludf.DUMMYFUNCTION("""COMPUTED_VALUE"""),"Yangdeli Khola Hydropower Project")</f>
        <v>Yangdeli Khola Hydropower Project</v>
      </c>
      <c r="C93" s="2">
        <f>IFERROR(__xludf.DUMMYFUNCTION("""COMPUTED_VALUE"""),4.95)</f>
        <v>4.95</v>
      </c>
      <c r="D93" s="2" t="str">
        <f>IFERROR(__xludf.DUMMYFUNCTION("""COMPUTED_VALUE"""),"Yangdeli")</f>
        <v>Yangdeli</v>
      </c>
      <c r="E93" s="2">
        <f>IFERROR(__xludf.DUMMYFUNCTION("""COMPUTED_VALUE"""),1357.0)</f>
        <v>1357</v>
      </c>
      <c r="F93" s="3">
        <f>IFERROR(__xludf.DUMMYFUNCTION("""COMPUTED_VALUE"""),66452.0)</f>
        <v>66452</v>
      </c>
      <c r="G93" s="3">
        <f>IFERROR(__xludf.DUMMYFUNCTION("""COMPUTED_VALUE"""),67181.0)</f>
        <v>67181</v>
      </c>
      <c r="H93" s="2" t="str">
        <f>IFERROR(__xludf.DUMMYFUNCTION("""COMPUTED_VALUE"""),"Wonders Hydro Private Limited")</f>
        <v>Wonders Hydro Private Limited</v>
      </c>
      <c r="I93" s="2" t="str">
        <f>IFERROR(__xludf.DUMMYFUNCTION("""COMPUTED_VALUE"""),"Hadigaun, Kathmandu")</f>
        <v>Hadigaun, Kathmandu</v>
      </c>
      <c r="J93" s="2" t="str">
        <f>IFERROR(__xludf.DUMMYFUNCTION("""COMPUTED_VALUE"""),"27o 21' 26""")</f>
        <v>27o 21' 26"</v>
      </c>
      <c r="K93" s="2" t="str">
        <f>IFERROR(__xludf.DUMMYFUNCTION("""COMPUTED_VALUE"""),"27o 22' 23""")</f>
        <v>27o 22' 23"</v>
      </c>
      <c r="L93" s="2" t="str">
        <f>IFERROR(__xludf.DUMMYFUNCTION("""COMPUTED_VALUE"""),"87o 31' 54""")</f>
        <v>87o 31' 54"</v>
      </c>
      <c r="M93" s="2" t="str">
        <f>IFERROR(__xludf.DUMMYFUNCTION("""COMPUTED_VALUE"""),"87o 33' 38""")</f>
        <v>87o 33' 38"</v>
      </c>
      <c r="N93" s="2"/>
    </row>
    <row r="94">
      <c r="A94" s="2">
        <f>IFERROR(__xludf.DUMMYFUNCTION("""COMPUTED_VALUE"""),93.0)</f>
        <v>93</v>
      </c>
      <c r="B94" s="2" t="str">
        <f>IFERROR(__xludf.DUMMYFUNCTION("""COMPUTED_VALUE"""),"Tap Khola Hydropower Project")</f>
        <v>Tap Khola Hydropower Project</v>
      </c>
      <c r="C94" s="2">
        <f>IFERROR(__xludf.DUMMYFUNCTION("""COMPUTED_VALUE"""),8.724)</f>
        <v>8.724</v>
      </c>
      <c r="D94" s="2" t="str">
        <f>IFERROR(__xludf.DUMMYFUNCTION("""COMPUTED_VALUE"""),"Tap")</f>
        <v>Tap</v>
      </c>
      <c r="E94" s="2">
        <f>IFERROR(__xludf.DUMMYFUNCTION("""COMPUTED_VALUE"""),1358.0)</f>
        <v>1358</v>
      </c>
      <c r="F94" s="3">
        <f>IFERROR(__xludf.DUMMYFUNCTION("""COMPUTED_VALUE"""),66452.0)</f>
        <v>66452</v>
      </c>
      <c r="G94" s="3">
        <f>IFERROR(__xludf.DUMMYFUNCTION("""COMPUTED_VALUE"""),67181.0)</f>
        <v>67181</v>
      </c>
      <c r="H94" s="2" t="str">
        <f>IFERROR(__xludf.DUMMYFUNCTION("""COMPUTED_VALUE"""),"Mandakini Hydropower Ltd")</f>
        <v>Mandakini Hydropower Ltd</v>
      </c>
      <c r="I94" s="2" t="str">
        <f>IFERROR(__xludf.DUMMYFUNCTION("""COMPUTED_VALUE"""),"Sinamangal-9, Kathmandu, Phone no 9808776400")</f>
        <v>Sinamangal-9, Kathmandu, Phone no 9808776400</v>
      </c>
      <c r="J94" s="2" t="str">
        <f>IFERROR(__xludf.DUMMYFUNCTION("""COMPUTED_VALUE"""),"27o 18' 39""")</f>
        <v>27o 18' 39"</v>
      </c>
      <c r="K94" s="2" t="str">
        <f>IFERROR(__xludf.DUMMYFUNCTION("""COMPUTED_VALUE"""),"27o 19' 15""")</f>
        <v>27o 19' 15"</v>
      </c>
      <c r="L94" s="2" t="str">
        <f>IFERROR(__xludf.DUMMYFUNCTION("""COMPUTED_VALUE"""),"86o 45' 32""")</f>
        <v>86o 45' 32"</v>
      </c>
      <c r="M94" s="2" t="str">
        <f>IFERROR(__xludf.DUMMYFUNCTION("""COMPUTED_VALUE"""),"86o 48' 02""")</f>
        <v>86o 48' 02"</v>
      </c>
      <c r="N94" s="2" t="str">
        <f>IFERROR(__xludf.DUMMYFUNCTION("""COMPUTED_VALUE"""),"Ainselu Kharka (Khotang)")</f>
        <v>Ainselu Kharka (Khotang)</v>
      </c>
    </row>
    <row r="95">
      <c r="A95" s="2">
        <f>IFERROR(__xludf.DUMMYFUNCTION("""COMPUTED_VALUE"""),94.0)</f>
        <v>94</v>
      </c>
      <c r="B95" s="2" t="str">
        <f>IFERROR(__xludf.DUMMYFUNCTION("""COMPUTED_VALUE"""),"Gupche Khola Hydropower Project")</f>
        <v>Gupche Khola Hydropower Project</v>
      </c>
      <c r="C95" s="2">
        <f>IFERROR(__xludf.DUMMYFUNCTION("""COMPUTED_VALUE"""),7.5)</f>
        <v>7.5</v>
      </c>
      <c r="D95" s="2" t="str">
        <f>IFERROR(__xludf.DUMMYFUNCTION("""COMPUTED_VALUE"""),"Gupche")</f>
        <v>Gupche</v>
      </c>
      <c r="E95" s="2">
        <f>IFERROR(__xludf.DUMMYFUNCTION("""COMPUTED_VALUE"""),1362.0)</f>
        <v>1362</v>
      </c>
      <c r="F95" s="3">
        <f>IFERROR(__xludf.DUMMYFUNCTION("""COMPUTED_VALUE"""),66455.0)</f>
        <v>66455</v>
      </c>
      <c r="G95" s="3">
        <f>IFERROR(__xludf.DUMMYFUNCTION("""COMPUTED_VALUE"""),67184.0)</f>
        <v>67184</v>
      </c>
      <c r="H95" s="2" t="str">
        <f>IFERROR(__xludf.DUMMYFUNCTION("""COMPUTED_VALUE"""),"Multi Energy Development Pvt. Ltd.")</f>
        <v>Multi Energy Development Pvt. Ltd.</v>
      </c>
      <c r="I95" s="2" t="str">
        <f>IFERROR(__xludf.DUMMYFUNCTION("""COMPUTED_VALUE"""),"New Baneshwor - 10, Kathmandu (01-4781891)")</f>
        <v>New Baneshwor - 10, Kathmandu (01-4781891)</v>
      </c>
      <c r="J95" s="2" t="str">
        <f>IFERROR(__xludf.DUMMYFUNCTION("""COMPUTED_VALUE"""),"28o 08' 08""")</f>
        <v>28o 08' 08"</v>
      </c>
      <c r="K95" s="2" t="str">
        <f>IFERROR(__xludf.DUMMYFUNCTION("""COMPUTED_VALUE"""),"28o 09' 06""")</f>
        <v>28o 09' 06"</v>
      </c>
      <c r="L95" s="2" t="str">
        <f>IFERROR(__xludf.DUMMYFUNCTION("""COMPUTED_VALUE"""),"85o 21' 58""")</f>
        <v>85o 21' 58"</v>
      </c>
      <c r="M95" s="2" t="str">
        <f>IFERROR(__xludf.DUMMYFUNCTION("""COMPUTED_VALUE"""),"85o 22' 42""")</f>
        <v>85o 22' 42"</v>
      </c>
      <c r="N95" s="2" t="str">
        <f>IFERROR(__xludf.DUMMYFUNCTION("""COMPUTED_VALUE"""),"Briddhim,Syafru (Rasuwa)")</f>
        <v>Briddhim,Syafru (Rasuwa)</v>
      </c>
    </row>
    <row r="96">
      <c r="A96" s="2">
        <f>IFERROR(__xludf.DUMMYFUNCTION("""COMPUTED_VALUE"""),95.0)</f>
        <v>95</v>
      </c>
      <c r="B96" s="2" t="str">
        <f>IFERROR(__xludf.DUMMYFUNCTION("""COMPUTED_VALUE"""),"Upper Lankhuwa Khola Hydropower Project")</f>
        <v>Upper Lankhuwa Khola Hydropower Project</v>
      </c>
      <c r="C96" s="2">
        <f>IFERROR(__xludf.DUMMYFUNCTION("""COMPUTED_VALUE"""),6.4)</f>
        <v>6.4</v>
      </c>
      <c r="D96" s="2" t="str">
        <f>IFERROR(__xludf.DUMMYFUNCTION("""COMPUTED_VALUE"""),"Lankhuwa")</f>
        <v>Lankhuwa</v>
      </c>
      <c r="E96" s="2">
        <f>IFERROR(__xludf.DUMMYFUNCTION("""COMPUTED_VALUE"""),1363.0)</f>
        <v>1363</v>
      </c>
      <c r="F96" s="3">
        <f>IFERROR(__xludf.DUMMYFUNCTION("""COMPUTED_VALUE"""),66455.0)</f>
        <v>66455</v>
      </c>
      <c r="G96" s="3">
        <f>IFERROR(__xludf.DUMMYFUNCTION("""COMPUTED_VALUE"""),67184.0)</f>
        <v>67184</v>
      </c>
      <c r="H96" s="2" t="str">
        <f>IFERROR(__xludf.DUMMYFUNCTION("""COMPUTED_VALUE"""),"Dolphin Power Private Limited")</f>
        <v>Dolphin Power Private Limited</v>
      </c>
      <c r="I96" s="2" t="str">
        <f>IFERROR(__xludf.DUMMYFUNCTION("""COMPUTED_VALUE"""),"Kathmandu - 4, Padma Marg, House No.:157, Bhatbhateni Chowk")</f>
        <v>Kathmandu - 4, Padma Marg, House No.:157, Bhatbhateni Chowk</v>
      </c>
      <c r="J96" s="2" t="str">
        <f>IFERROR(__xludf.DUMMYFUNCTION("""COMPUTED_VALUE"""),"27o 26' 50""")</f>
        <v>27o 26' 50"</v>
      </c>
      <c r="K96" s="2" t="str">
        <f>IFERROR(__xludf.DUMMYFUNCTION("""COMPUTED_VALUE"""),"27o 29' 10""")</f>
        <v>27o 29' 10"</v>
      </c>
      <c r="L96" s="2" t="str">
        <f>IFERROR(__xludf.DUMMYFUNCTION("""COMPUTED_VALUE"""),"87o 15' 30""")</f>
        <v>87o 15' 30"</v>
      </c>
      <c r="M96" s="2" t="str">
        <f>IFERROR(__xludf.DUMMYFUNCTION("""COMPUTED_VALUE"""),"87o 19' 00""")</f>
        <v>87o 19' 00"</v>
      </c>
      <c r="N96" s="2"/>
    </row>
    <row r="97">
      <c r="A97" s="2">
        <f>IFERROR(__xludf.DUMMYFUNCTION("""COMPUTED_VALUE"""),96.0)</f>
        <v>96</v>
      </c>
      <c r="B97" s="2" t="str">
        <f>IFERROR(__xludf.DUMMYFUNCTION("""COMPUTED_VALUE"""),"Paara Molung PRoR Hydropower Project")</f>
        <v>Paara Molung PRoR Hydropower Project</v>
      </c>
      <c r="C97" s="2">
        <f>IFERROR(__xludf.DUMMYFUNCTION("""COMPUTED_VALUE"""),8.53)</f>
        <v>8.53</v>
      </c>
      <c r="D97" s="2" t="str">
        <f>IFERROR(__xludf.DUMMYFUNCTION("""COMPUTED_VALUE"""),"Malun")</f>
        <v>Malun</v>
      </c>
      <c r="E97" s="2">
        <f>IFERROR(__xludf.DUMMYFUNCTION("""COMPUTED_VALUE"""),1377.0)</f>
        <v>1377</v>
      </c>
      <c r="F97" s="3">
        <f>IFERROR(__xludf.DUMMYFUNCTION("""COMPUTED_VALUE"""),66465.0)</f>
        <v>66465</v>
      </c>
      <c r="G97" s="3">
        <f>IFERROR(__xludf.DUMMYFUNCTION("""COMPUTED_VALUE"""),67194.0)</f>
        <v>67194</v>
      </c>
      <c r="H97" s="2" t="str">
        <f>IFERROR(__xludf.DUMMYFUNCTION("""COMPUTED_VALUE"""),"Yangring Energy Private Limited")</f>
        <v>Yangring Energy Private Limited</v>
      </c>
      <c r="I97" s="2" t="str">
        <f>IFERROR(__xludf.DUMMYFUNCTION("""COMPUTED_VALUE"""),"Gokarneshwor - 6, Kathmandu")</f>
        <v>Gokarneshwor - 6, Kathmandu</v>
      </c>
      <c r="J97" s="2" t="str">
        <f>IFERROR(__xludf.DUMMYFUNCTION("""COMPUTED_VALUE"""),"27o 13' 45""")</f>
        <v>27o 13' 45"</v>
      </c>
      <c r="K97" s="2" t="str">
        <f>IFERROR(__xludf.DUMMYFUNCTION("""COMPUTED_VALUE"""),"27o 16' 39""")</f>
        <v>27o 16' 39"</v>
      </c>
      <c r="L97" s="2" t="str">
        <f>IFERROR(__xludf.DUMMYFUNCTION("""COMPUTED_VALUE"""),"86o 24' 00""")</f>
        <v>86o 24' 00"</v>
      </c>
      <c r="M97" s="2" t="str">
        <f>IFERROR(__xludf.DUMMYFUNCTION("""COMPUTED_VALUE"""),"86o 27' 06""")</f>
        <v>86o 27' 06"</v>
      </c>
      <c r="N97" s="2" t="str">
        <f>IFERROR(__xludf.DUMMYFUNCTION("""COMPUTED_VALUE"""),"Chyanam,Madhavpur,Mulkharka,Sisneri (Okhaldhunga)")</f>
        <v>Chyanam,Madhavpur,Mulkharka,Sisneri (Okhaldhunga)</v>
      </c>
    </row>
    <row r="98">
      <c r="A98" s="2">
        <f>IFERROR(__xludf.DUMMYFUNCTION("""COMPUTED_VALUE"""),97.0)</f>
        <v>97</v>
      </c>
      <c r="B98" s="2" t="str">
        <f>IFERROR(__xludf.DUMMYFUNCTION("""COMPUTED_VALUE"""),"Bakan Piling Khola Hydropower Project")</f>
        <v>Bakan Piling Khola Hydropower Project</v>
      </c>
      <c r="C98" s="2">
        <f>IFERROR(__xludf.DUMMYFUNCTION("""COMPUTED_VALUE"""),9.4)</f>
        <v>9.4</v>
      </c>
      <c r="D98" s="2" t="str">
        <f>IFERROR(__xludf.DUMMYFUNCTION("""COMPUTED_VALUE"""),"Bakan River &amp; Piling River")</f>
        <v>Bakan River &amp; Piling River</v>
      </c>
      <c r="E98" s="2">
        <f>IFERROR(__xludf.DUMMYFUNCTION("""COMPUTED_VALUE"""),1378.0)</f>
        <v>1378</v>
      </c>
      <c r="F98" s="3">
        <f>IFERROR(__xludf.DUMMYFUNCTION("""COMPUTED_VALUE"""),66465.0)</f>
        <v>66465</v>
      </c>
      <c r="G98" s="3">
        <f>IFERROR(__xludf.DUMMYFUNCTION("""COMPUTED_VALUE"""),67194.0)</f>
        <v>67194</v>
      </c>
      <c r="H98" s="2" t="str">
        <f>IFERROR(__xludf.DUMMYFUNCTION("""COMPUTED_VALUE"""),"Summit Energy Solution Pvt. Ltd")</f>
        <v>Summit Energy Solution Pvt. Ltd</v>
      </c>
      <c r="I98" s="2" t="str">
        <f>IFERROR(__xludf.DUMMYFUNCTION("""COMPUTED_VALUE"""),"Anamnagar, Kathmandu")</f>
        <v>Anamnagar, Kathmandu</v>
      </c>
      <c r="J98" s="2" t="str">
        <f>IFERROR(__xludf.DUMMYFUNCTION("""COMPUTED_VALUE"""),"27o 47' 50""")</f>
        <v>27o 47' 50"</v>
      </c>
      <c r="K98" s="2" t="str">
        <f>IFERROR(__xludf.DUMMYFUNCTION("""COMPUTED_VALUE"""),"27o 49' 29""")</f>
        <v>27o 49' 29"</v>
      </c>
      <c r="L98" s="2" t="str">
        <f>IFERROR(__xludf.DUMMYFUNCTION("""COMPUTED_VALUE"""),"87o 29' 50""")</f>
        <v>87o 29' 50"</v>
      </c>
      <c r="M98" s="2" t="str">
        <f>IFERROR(__xludf.DUMMYFUNCTION("""COMPUTED_VALUE"""),"87o 31' 00""")</f>
        <v>87o 31' 00"</v>
      </c>
      <c r="N98" s="2" t="str">
        <f>IFERROR(__xludf.DUMMYFUNCTION("""COMPUTED_VALUE"""),"Chepuwa (Sankhuwasabha)")</f>
        <v>Chepuwa (Sankhuwasabha)</v>
      </c>
    </row>
    <row r="99">
      <c r="A99" s="2">
        <f>IFERROR(__xludf.DUMMYFUNCTION("""COMPUTED_VALUE"""),98.0)</f>
        <v>98</v>
      </c>
      <c r="B99" s="2" t="str">
        <f>IFERROR(__xludf.DUMMYFUNCTION("""COMPUTED_VALUE"""),"Super Sisne Khola C hydropower Project")</f>
        <v>Super Sisne Khola C hydropower Project</v>
      </c>
      <c r="C99" s="2">
        <f>IFERROR(__xludf.DUMMYFUNCTION("""COMPUTED_VALUE"""),9.9)</f>
        <v>9.9</v>
      </c>
      <c r="D99" s="2" t="str">
        <f>IFERROR(__xludf.DUMMYFUNCTION("""COMPUTED_VALUE"""),"Sisne Khola")</f>
        <v>Sisne Khola</v>
      </c>
      <c r="E99" s="2">
        <f>IFERROR(__xludf.DUMMYFUNCTION("""COMPUTED_VALUE"""),1381.0)</f>
        <v>1381</v>
      </c>
      <c r="F99" s="3">
        <f>IFERROR(__xludf.DUMMYFUNCTION("""COMPUTED_VALUE"""),66471.0)</f>
        <v>66471</v>
      </c>
      <c r="G99" s="3">
        <f>IFERROR(__xludf.DUMMYFUNCTION("""COMPUTED_VALUE"""),67200.0)</f>
        <v>67200</v>
      </c>
      <c r="H99" s="2" t="str">
        <f>IFERROR(__xludf.DUMMYFUNCTION("""COMPUTED_VALUE"""),"Samriddhi Khanadaha Urja Private Limited")</f>
        <v>Samriddhi Khanadaha Urja Private Limited</v>
      </c>
      <c r="I99" s="2" t="str">
        <f>IFERROR(__xludf.DUMMYFUNCTION("""COMPUTED_VALUE"""),"Budhanilkantha Municipality - 3, Kathmandu")</f>
        <v>Budhanilkantha Municipality - 3, Kathmandu</v>
      </c>
      <c r="J99" s="2" t="str">
        <f>IFERROR(__xludf.DUMMYFUNCTION("""COMPUTED_VALUE"""),"28o 46' 29""")</f>
        <v>28o 46' 29"</v>
      </c>
      <c r="K99" s="2" t="str">
        <f>IFERROR(__xludf.DUMMYFUNCTION("""COMPUTED_VALUE"""),"28o 47' 42""")</f>
        <v>28o 47' 42"</v>
      </c>
      <c r="L99" s="2" t="str">
        <f>IFERROR(__xludf.DUMMYFUNCTION("""COMPUTED_VALUE"""),"82o 40' 00""")</f>
        <v>82o 40' 00"</v>
      </c>
      <c r="M99" s="2" t="str">
        <f>IFERROR(__xludf.DUMMYFUNCTION("""COMPUTED_VALUE"""),"82o 42' 08""")</f>
        <v>82o 42' 08"</v>
      </c>
      <c r="N99" s="2" t="str">
        <f>IFERROR(__xludf.DUMMYFUNCTION("""COMPUTED_VALUE"""),"Sisne (Rukum)")</f>
        <v>Sisne (Rukum)</v>
      </c>
    </row>
    <row r="100">
      <c r="A100" s="2">
        <f>IFERROR(__xludf.DUMMYFUNCTION("""COMPUTED_VALUE"""),99.0)</f>
        <v>99</v>
      </c>
      <c r="B100" s="2" t="str">
        <f>IFERROR(__xludf.DUMMYFUNCTION("""COMPUTED_VALUE"""),"Majaine Khola Hydropower Project")</f>
        <v>Majaine Khola Hydropower Project</v>
      </c>
      <c r="C100" s="2">
        <f>IFERROR(__xludf.DUMMYFUNCTION("""COMPUTED_VALUE"""),9.85)</f>
        <v>9.85</v>
      </c>
      <c r="D100" s="2" t="str">
        <f>IFERROR(__xludf.DUMMYFUNCTION("""COMPUTED_VALUE"""),"Majaine Khola")</f>
        <v>Majaine Khola</v>
      </c>
      <c r="E100" s="2">
        <f>IFERROR(__xludf.DUMMYFUNCTION("""COMPUTED_VALUE"""),1383.0)</f>
        <v>1383</v>
      </c>
      <c r="F100" s="3">
        <f>IFERROR(__xludf.DUMMYFUNCTION("""COMPUTED_VALUE"""),66471.0)</f>
        <v>66471</v>
      </c>
      <c r="G100" s="3">
        <f>IFERROR(__xludf.DUMMYFUNCTION("""COMPUTED_VALUE"""),67200.0)</f>
        <v>67200</v>
      </c>
      <c r="H100" s="2" t="str">
        <f>IFERROR(__xludf.DUMMYFUNCTION("""COMPUTED_VALUE"""),"Siddi Ganesh Bijuli Udhyog Private Limited")</f>
        <v>Siddi Ganesh Bijuli Udhyog Private Limited</v>
      </c>
      <c r="I100" s="2" t="str">
        <f>IFERROR(__xludf.DUMMYFUNCTION("""COMPUTED_VALUE"""),"Budhanilkantha Municipality - 3, Kathmandu")</f>
        <v>Budhanilkantha Municipality - 3, Kathmandu</v>
      </c>
      <c r="J100" s="2" t="str">
        <f>IFERROR(__xludf.DUMMYFUNCTION("""COMPUTED_VALUE"""),"28o 44' 07""")</f>
        <v>28o 44' 07"</v>
      </c>
      <c r="K100" s="2" t="str">
        <f>IFERROR(__xludf.DUMMYFUNCTION("""COMPUTED_VALUE"""),"28o 45' 00""")</f>
        <v>28o 45' 00"</v>
      </c>
      <c r="L100" s="2" t="str">
        <f>IFERROR(__xludf.DUMMYFUNCTION("""COMPUTED_VALUE"""),"82o 41' 40""")</f>
        <v>82o 41' 40"</v>
      </c>
      <c r="M100" s="2" t="str">
        <f>IFERROR(__xludf.DUMMYFUNCTION("""COMPUTED_VALUE"""),"82o 42' 57""")</f>
        <v>82o 42' 57"</v>
      </c>
      <c r="N100" s="2" t="str">
        <f>IFERROR(__xludf.DUMMYFUNCTION("""COMPUTED_VALUE"""),"Sisne (Rukum)")</f>
        <v>Sisne (Rukum)</v>
      </c>
    </row>
    <row r="101">
      <c r="A101" s="2">
        <f>IFERROR(__xludf.DUMMYFUNCTION("""COMPUTED_VALUE"""),100.0)</f>
        <v>100</v>
      </c>
      <c r="B101" s="2" t="str">
        <f>IFERROR(__xludf.DUMMYFUNCTION("""COMPUTED_VALUE"""),"Super Sisne Majaine Khola A Hydropower Project")</f>
        <v>Super Sisne Majaine Khola A Hydropower Project</v>
      </c>
      <c r="C101" s="2">
        <f>IFERROR(__xludf.DUMMYFUNCTION("""COMPUTED_VALUE"""),9.8)</f>
        <v>9.8</v>
      </c>
      <c r="D101" s="2" t="str">
        <f>IFERROR(__xludf.DUMMYFUNCTION("""COMPUTED_VALUE"""),"Sisne &amp; Majaune Khola")</f>
        <v>Sisne &amp; Majaune Khola</v>
      </c>
      <c r="E101" s="2">
        <f>IFERROR(__xludf.DUMMYFUNCTION("""COMPUTED_VALUE"""),1384.0)</f>
        <v>1384</v>
      </c>
      <c r="F101" s="3">
        <f>IFERROR(__xludf.DUMMYFUNCTION("""COMPUTED_VALUE"""),66471.0)</f>
        <v>66471</v>
      </c>
      <c r="G101" s="3">
        <f>IFERROR(__xludf.DUMMYFUNCTION("""COMPUTED_VALUE"""),67200.0)</f>
        <v>67200</v>
      </c>
      <c r="H101" s="2" t="str">
        <f>IFERROR(__xludf.DUMMYFUNCTION("""COMPUTED_VALUE"""),"Mathadave Ventures Private Limited")</f>
        <v>Mathadave Ventures Private Limited</v>
      </c>
      <c r="I101" s="2" t="str">
        <f>IFERROR(__xludf.DUMMYFUNCTION("""COMPUTED_VALUE"""),"Budhanilkantha Municipality 2 , Kathmandu")</f>
        <v>Budhanilkantha Municipality 2 , Kathmandu</v>
      </c>
      <c r="J101" s="2" t="str">
        <f>IFERROR(__xludf.DUMMYFUNCTION("""COMPUTED_VALUE"""),"28o 43' 56""")</f>
        <v>28o 43' 56"</v>
      </c>
      <c r="K101" s="2" t="str">
        <f>IFERROR(__xludf.DUMMYFUNCTION("""COMPUTED_VALUE"""),"28o 45' 00""")</f>
        <v>28o 45' 00"</v>
      </c>
      <c r="L101" s="2" t="str">
        <f>IFERROR(__xludf.DUMMYFUNCTION("""COMPUTED_VALUE"""),"82o 40' 36""")</f>
        <v>82o 40' 36"</v>
      </c>
      <c r="M101" s="2" t="str">
        <f>IFERROR(__xludf.DUMMYFUNCTION("""COMPUTED_VALUE"""),"82o 41' 40""")</f>
        <v>82o 41' 40"</v>
      </c>
      <c r="N101" s="2" t="str">
        <f>IFERROR(__xludf.DUMMYFUNCTION("""COMPUTED_VALUE"""),"Sisne (Rukum)")</f>
        <v>Sisne (Rukum)</v>
      </c>
    </row>
    <row r="102">
      <c r="A102" s="2">
        <f>IFERROR(__xludf.DUMMYFUNCTION("""COMPUTED_VALUE"""),101.0)</f>
        <v>101</v>
      </c>
      <c r="B102" s="2" t="str">
        <f>IFERROR(__xludf.DUMMYFUNCTION("""COMPUTED_VALUE"""),"Hilsa Karnali Hydropower Project")</f>
        <v>Hilsa Karnali Hydropower Project</v>
      </c>
      <c r="C102" s="2">
        <f>IFERROR(__xludf.DUMMYFUNCTION("""COMPUTED_VALUE"""),80.3)</f>
        <v>80.3</v>
      </c>
      <c r="D102" s="2" t="str">
        <f>IFERROR(__xludf.DUMMYFUNCTION("""COMPUTED_VALUE"""),"Humla Karnali")</f>
        <v>Humla Karnali</v>
      </c>
      <c r="E102" s="2">
        <f>IFERROR(__xludf.DUMMYFUNCTION("""COMPUTED_VALUE"""),1385.0)</f>
        <v>1385</v>
      </c>
      <c r="F102" s="3">
        <f>IFERROR(__xludf.DUMMYFUNCTION("""COMPUTED_VALUE"""),66471.0)</f>
        <v>66471</v>
      </c>
      <c r="G102" s="3">
        <f>IFERROR(__xludf.DUMMYFUNCTION("""COMPUTED_VALUE"""),67200.0)</f>
        <v>67200</v>
      </c>
      <c r="H102" s="2" t="str">
        <f>IFERROR(__xludf.DUMMYFUNCTION("""COMPUTED_VALUE"""),"Manasarovar Energy Private Limited")</f>
        <v>Manasarovar Energy Private Limited</v>
      </c>
      <c r="I102" s="2" t="str">
        <f>IFERROR(__xludf.DUMMYFUNCTION("""COMPUTED_VALUE"""),"KMC-14, Rabibhawan, Kathmandu")</f>
        <v>KMC-14, Rabibhawan, Kathmandu</v>
      </c>
      <c r="J102" s="2" t="str">
        <f>IFERROR(__xludf.DUMMYFUNCTION("""COMPUTED_VALUE"""),"30o 08' 19""")</f>
        <v>30o 08' 19"</v>
      </c>
      <c r="K102" s="2" t="str">
        <f>IFERROR(__xludf.DUMMYFUNCTION("""COMPUTED_VALUE"""),"30o 10' 11""")</f>
        <v>30o 10' 11"</v>
      </c>
      <c r="L102" s="2" t="str">
        <f>IFERROR(__xludf.DUMMYFUNCTION("""COMPUTED_VALUE"""),"81o 21' 22""")</f>
        <v>81o 21' 22"</v>
      </c>
      <c r="M102" s="2" t="str">
        <f>IFERROR(__xludf.DUMMYFUNCTION("""COMPUTED_VALUE"""),"81o 25' 30""")</f>
        <v>81o 25' 30"</v>
      </c>
      <c r="N102" s="2"/>
    </row>
    <row r="103">
      <c r="A103" s="2">
        <f>IFERROR(__xludf.DUMMYFUNCTION("""COMPUTED_VALUE"""),102.0)</f>
        <v>102</v>
      </c>
      <c r="B103" s="2" t="str">
        <f>IFERROR(__xludf.DUMMYFUNCTION("""COMPUTED_VALUE"""),"Mathillo Rukumgad Hydropower Project")</f>
        <v>Mathillo Rukumgad Hydropower Project</v>
      </c>
      <c r="C103" s="2">
        <f>IFERROR(__xludf.DUMMYFUNCTION("""COMPUTED_VALUE"""),5.6)</f>
        <v>5.6</v>
      </c>
      <c r="D103" s="2" t="str">
        <f>IFERROR(__xludf.DUMMYFUNCTION("""COMPUTED_VALUE"""),"Rukum Gad")</f>
        <v>Rukum Gad</v>
      </c>
      <c r="E103" s="2">
        <f>IFERROR(__xludf.DUMMYFUNCTION("""COMPUTED_VALUE"""),1386.0)</f>
        <v>1386</v>
      </c>
      <c r="F103" s="3">
        <f>IFERROR(__xludf.DUMMYFUNCTION("""COMPUTED_VALUE"""),66471.0)</f>
        <v>66471</v>
      </c>
      <c r="G103" s="3">
        <f>IFERROR(__xludf.DUMMYFUNCTION("""COMPUTED_VALUE"""),67200.0)</f>
        <v>67200</v>
      </c>
      <c r="H103" s="2" t="str">
        <f>IFERROR(__xludf.DUMMYFUNCTION("""COMPUTED_VALUE"""),"Ruby Energy Private Limited")</f>
        <v>Ruby Energy Private Limited</v>
      </c>
      <c r="I103" s="2" t="str">
        <f>IFERROR(__xludf.DUMMYFUNCTION("""COMPUTED_VALUE"""),"KMC-15, Kathmandu")</f>
        <v>KMC-15, Kathmandu</v>
      </c>
      <c r="J103" s="2" t="str">
        <f>IFERROR(__xludf.DUMMYFUNCTION("""COMPUTED_VALUE"""),"28o 34' 19""")</f>
        <v>28o 34' 19"</v>
      </c>
      <c r="K103" s="2" t="str">
        <f>IFERROR(__xludf.DUMMYFUNCTION("""COMPUTED_VALUE"""),"28o 35' 24""")</f>
        <v>28o 35' 24"</v>
      </c>
      <c r="L103" s="2" t="str">
        <f>IFERROR(__xludf.DUMMYFUNCTION("""COMPUTED_VALUE"""),"82o 37' 50""")</f>
        <v>82o 37' 50"</v>
      </c>
      <c r="M103" s="2" t="str">
        <f>IFERROR(__xludf.DUMMYFUNCTION("""COMPUTED_VALUE"""),"82o 38' 49""")</f>
        <v>82o 38' 49"</v>
      </c>
      <c r="N103" s="2" t="str">
        <f>IFERROR(__xludf.DUMMYFUNCTION("""COMPUTED_VALUE"""),"Sobha,Kanda (Rukum)")</f>
        <v>Sobha,Kanda (Rukum)</v>
      </c>
    </row>
    <row r="104">
      <c r="A104" s="2">
        <f>IFERROR(__xludf.DUMMYFUNCTION("""COMPUTED_VALUE"""),103.0)</f>
        <v>103</v>
      </c>
      <c r="B104" s="2" t="str">
        <f>IFERROR(__xludf.DUMMYFUNCTION("""COMPUTED_VALUE"""),"Mathillo Tirija Khola Hydropower Project")</f>
        <v>Mathillo Tirija Khola Hydropower Project</v>
      </c>
      <c r="C104" s="2">
        <f>IFERROR(__xludf.DUMMYFUNCTION("""COMPUTED_VALUE"""),8.0)</f>
        <v>8</v>
      </c>
      <c r="D104" s="2" t="str">
        <f>IFERROR(__xludf.DUMMYFUNCTION("""COMPUTED_VALUE"""),"Tirija Khola")</f>
        <v>Tirija Khola</v>
      </c>
      <c r="E104" s="2">
        <f>IFERROR(__xludf.DUMMYFUNCTION("""COMPUTED_VALUE"""),1390.0)</f>
        <v>1390</v>
      </c>
      <c r="F104" s="3">
        <f>IFERROR(__xludf.DUMMYFUNCTION("""COMPUTED_VALUE"""),66472.0)</f>
        <v>66472</v>
      </c>
      <c r="G104" s="3">
        <f>IFERROR(__xludf.DUMMYFUNCTION("""COMPUTED_VALUE"""),67201.0)</f>
        <v>67201</v>
      </c>
      <c r="H104" s="2" t="str">
        <f>IFERROR(__xludf.DUMMYFUNCTION("""COMPUTED_VALUE"""),"Tirjakhola Hydropower Private Limited")</f>
        <v>Tirjakhola Hydropower Private Limited</v>
      </c>
      <c r="I104" s="2" t="str">
        <f>IFERROR(__xludf.DUMMYFUNCTION("""COMPUTED_VALUE"""),"Budhanilkantha - 3, Kathmandu")</f>
        <v>Budhanilkantha - 3, Kathmandu</v>
      </c>
      <c r="J104" s="2" t="str">
        <f>IFERROR(__xludf.DUMMYFUNCTION("""COMPUTED_VALUE"""),"28o 35' 22""")</f>
        <v>28o 35' 22"</v>
      </c>
      <c r="K104" s="2" t="str">
        <f>IFERROR(__xludf.DUMMYFUNCTION("""COMPUTED_VALUE"""),"28o 37' 00""")</f>
        <v>28o 37' 00"</v>
      </c>
      <c r="L104" s="2" t="str">
        <f>IFERROR(__xludf.DUMMYFUNCTION("""COMPUTED_VALUE"""),"83o 19' 00""")</f>
        <v>83o 19' 00"</v>
      </c>
      <c r="M104" s="2" t="str">
        <f>IFERROR(__xludf.DUMMYFUNCTION("""COMPUTED_VALUE"""),"83o 21' 00""")</f>
        <v>83o 21' 00"</v>
      </c>
      <c r="N104" s="2" t="str">
        <f>IFERROR(__xludf.DUMMYFUNCTION("""COMPUTED_VALUE"""),"Mudi (Myagdi)")</f>
        <v>Mudi (Myagdi)</v>
      </c>
    </row>
    <row r="105">
      <c r="A105" s="2">
        <f>IFERROR(__xludf.DUMMYFUNCTION("""COMPUTED_VALUE"""),104.0)</f>
        <v>104</v>
      </c>
      <c r="B105" s="2" t="str">
        <f>IFERROR(__xludf.DUMMYFUNCTION("""COMPUTED_VALUE"""),"Super Sisne Khola B Hydropower Project")</f>
        <v>Super Sisne Khola B Hydropower Project</v>
      </c>
      <c r="C105" s="2">
        <f>IFERROR(__xludf.DUMMYFUNCTION("""COMPUTED_VALUE"""),9.8)</f>
        <v>9.8</v>
      </c>
      <c r="D105" s="2" t="str">
        <f>IFERROR(__xludf.DUMMYFUNCTION("""COMPUTED_VALUE"""),"Sisne Khola")</f>
        <v>Sisne Khola</v>
      </c>
      <c r="E105" s="2">
        <f>IFERROR(__xludf.DUMMYFUNCTION("""COMPUTED_VALUE"""),1391.0)</f>
        <v>1391</v>
      </c>
      <c r="F105" s="3">
        <f>IFERROR(__xludf.DUMMYFUNCTION("""COMPUTED_VALUE"""),66472.0)</f>
        <v>66472</v>
      </c>
      <c r="G105" s="3">
        <f>IFERROR(__xludf.DUMMYFUNCTION("""COMPUTED_VALUE"""),67201.0)</f>
        <v>67201</v>
      </c>
      <c r="H105" s="2" t="str">
        <f>IFERROR(__xludf.DUMMYFUNCTION("""COMPUTED_VALUE"""),"Macha Khola Bijuli Udhyog Private Limited")</f>
        <v>Macha Khola Bijuli Udhyog Private Limited</v>
      </c>
      <c r="I105" s="2" t="str">
        <f>IFERROR(__xludf.DUMMYFUNCTION("""COMPUTED_VALUE"""),"Budhanilkantha Municipality - 3, Kathmandu")</f>
        <v>Budhanilkantha Municipality - 3, Kathmandu</v>
      </c>
      <c r="J105" s="2" t="str">
        <f>IFERROR(__xludf.DUMMYFUNCTION("""COMPUTED_VALUE"""),"28o 45' 00""")</f>
        <v>28o 45' 00"</v>
      </c>
      <c r="K105" s="2" t="str">
        <f>IFERROR(__xludf.DUMMYFUNCTION("""COMPUTED_VALUE"""),"28o 46' 29""")</f>
        <v>28o 46' 29"</v>
      </c>
      <c r="L105" s="2" t="str">
        <f>IFERROR(__xludf.DUMMYFUNCTION("""COMPUTED_VALUE"""),"82o 40' 00""")</f>
        <v>82o 40' 00"</v>
      </c>
      <c r="M105" s="2" t="str">
        <f>IFERROR(__xludf.DUMMYFUNCTION("""COMPUTED_VALUE"""),"82o 40' 54""")</f>
        <v>82o 40' 54"</v>
      </c>
      <c r="N105" s="2" t="str">
        <f>IFERROR(__xludf.DUMMYFUNCTION("""COMPUTED_VALUE"""),"Sisne (Rukum)")</f>
        <v>Sisne (Rukum)</v>
      </c>
    </row>
    <row r="106">
      <c r="A106" s="2">
        <f>IFERROR(__xludf.DUMMYFUNCTION("""COMPUTED_VALUE"""),105.0)</f>
        <v>105</v>
      </c>
      <c r="B106" s="2" t="str">
        <f>IFERROR(__xludf.DUMMYFUNCTION("""COMPUTED_VALUE"""),"Machha Khola A Hydropower Project")</f>
        <v>Machha Khola A Hydropower Project</v>
      </c>
      <c r="C106" s="2">
        <f>IFERROR(__xludf.DUMMYFUNCTION("""COMPUTED_VALUE"""),9.3)</f>
        <v>9.3</v>
      </c>
      <c r="D106" s="2" t="str">
        <f>IFERROR(__xludf.DUMMYFUNCTION("""COMPUTED_VALUE"""),"Machha Khola")</f>
        <v>Machha Khola</v>
      </c>
      <c r="E106" s="2">
        <f>IFERROR(__xludf.DUMMYFUNCTION("""COMPUTED_VALUE"""),1392.0)</f>
        <v>1392</v>
      </c>
      <c r="F106" s="3">
        <f>IFERROR(__xludf.DUMMYFUNCTION("""COMPUTED_VALUE"""),66478.0)</f>
        <v>66478</v>
      </c>
      <c r="G106" s="3">
        <f>IFERROR(__xludf.DUMMYFUNCTION("""COMPUTED_VALUE"""),67207.0)</f>
        <v>67207</v>
      </c>
      <c r="H106" s="2" t="str">
        <f>IFERROR(__xludf.DUMMYFUNCTION("""COMPUTED_VALUE"""),"Pani Bijuli Private Limited")</f>
        <v>Pani Bijuli Private Limited</v>
      </c>
      <c r="I106" s="2" t="str">
        <f>IFERROR(__xludf.DUMMYFUNCTION("""COMPUTED_VALUE"""),"Gajuri-7, Dhading")</f>
        <v>Gajuri-7, Dhading</v>
      </c>
      <c r="J106" s="2" t="str">
        <f>IFERROR(__xludf.DUMMYFUNCTION("""COMPUTED_VALUE"""),"28o 14' 20""")</f>
        <v>28o 14' 20"</v>
      </c>
      <c r="K106" s="2" t="str">
        <f>IFERROR(__xludf.DUMMYFUNCTION("""COMPUTED_VALUE"""),"28o 16' 31""")</f>
        <v>28o 16' 31"</v>
      </c>
      <c r="L106" s="2" t="str">
        <f>IFERROR(__xludf.DUMMYFUNCTION("""COMPUTED_VALUE"""),"84o 46' 22""")</f>
        <v>84o 46' 22"</v>
      </c>
      <c r="M106" s="2" t="str">
        <f>IFERROR(__xludf.DUMMYFUNCTION("""COMPUTED_VALUE"""),"84o 48' 31""")</f>
        <v>84o 48' 31"</v>
      </c>
      <c r="N106" s="2" t="str">
        <f>IFERROR(__xludf.DUMMYFUNCTION("""COMPUTED_VALUE"""),"Laprak (Gorkha)")</f>
        <v>Laprak (Gorkha)</v>
      </c>
    </row>
    <row r="107">
      <c r="A107" s="2">
        <f>IFERROR(__xludf.DUMMYFUNCTION("""COMPUTED_VALUE"""),106.0)</f>
        <v>106</v>
      </c>
      <c r="B107" s="2" t="str">
        <f>IFERROR(__xludf.DUMMYFUNCTION("""COMPUTED_VALUE"""),"Maiwa - Bhute Khola Hydropower Project")</f>
        <v>Maiwa - Bhute Khola Hydropower Project</v>
      </c>
      <c r="C107" s="2">
        <f>IFERROR(__xludf.DUMMYFUNCTION("""COMPUTED_VALUE"""),6.13)</f>
        <v>6.13</v>
      </c>
      <c r="D107" s="2" t="str">
        <f>IFERROR(__xludf.DUMMYFUNCTION("""COMPUTED_VALUE"""),"Maiwa")</f>
        <v>Maiwa</v>
      </c>
      <c r="E107" s="2">
        <f>IFERROR(__xludf.DUMMYFUNCTION("""COMPUTED_VALUE"""),1393.0)</f>
        <v>1393</v>
      </c>
      <c r="F107" s="3">
        <f>IFERROR(__xludf.DUMMYFUNCTION("""COMPUTED_VALUE"""),66478.0)</f>
        <v>66478</v>
      </c>
      <c r="G107" s="3">
        <f>IFERROR(__xludf.DUMMYFUNCTION("""COMPUTED_VALUE"""),67207.0)</f>
        <v>67207</v>
      </c>
      <c r="H107" s="2" t="str">
        <f>IFERROR(__xludf.DUMMYFUNCTION("""COMPUTED_VALUE"""),"Jalpa Devi Energy Private Limited")</f>
        <v>Jalpa Devi Energy Private Limited</v>
      </c>
      <c r="I107" s="2" t="str">
        <f>IFERROR(__xludf.DUMMYFUNCTION("""COMPUTED_VALUE"""),"House No 30, Bhandari Niwas, Kathmandu")</f>
        <v>House No 30, Bhandari Niwas, Kathmandu</v>
      </c>
      <c r="J107" s="2" t="str">
        <f>IFERROR(__xludf.DUMMYFUNCTION("""COMPUTED_VALUE"""),"27o 24' 51""")</f>
        <v>27o 24' 51"</v>
      </c>
      <c r="K107" s="2" t="str">
        <f>IFERROR(__xludf.DUMMYFUNCTION("""COMPUTED_VALUE"""),"27o 26' 27""")</f>
        <v>27o 26' 27"</v>
      </c>
      <c r="L107" s="2" t="str">
        <f>IFERROR(__xludf.DUMMYFUNCTION("""COMPUTED_VALUE"""),"87o 29' 12""")</f>
        <v>87o 29' 12"</v>
      </c>
      <c r="M107" s="2" t="str">
        <f>IFERROR(__xludf.DUMMYFUNCTION("""COMPUTED_VALUE"""),"87o 31' 25""")</f>
        <v>87o 31' 25"</v>
      </c>
      <c r="N107" s="2" t="str">
        <f>IFERROR(__xludf.DUMMYFUNCTION("""COMPUTED_VALUE"""),"Phakumba,Thinglabu (Taplejung)")</f>
        <v>Phakumba,Thinglabu (Taplejung)</v>
      </c>
    </row>
    <row r="108">
      <c r="A108" s="2">
        <f>IFERROR(__xludf.DUMMYFUNCTION("""COMPUTED_VALUE"""),107.0)</f>
        <v>107</v>
      </c>
      <c r="B108" s="2" t="str">
        <f>IFERROR(__xludf.DUMMYFUNCTION("""COMPUTED_VALUE"""),"Tallo Rukumgad Hydropower Project")</f>
        <v>Tallo Rukumgad Hydropower Project</v>
      </c>
      <c r="C108" s="2">
        <f>IFERROR(__xludf.DUMMYFUNCTION("""COMPUTED_VALUE"""),7.5)</f>
        <v>7.5</v>
      </c>
      <c r="D108" s="2" t="str">
        <f>IFERROR(__xludf.DUMMYFUNCTION("""COMPUTED_VALUE"""),"Rukum Gad, Risal Khola")</f>
        <v>Rukum Gad, Risal Khola</v>
      </c>
      <c r="E108" s="2">
        <f>IFERROR(__xludf.DUMMYFUNCTION("""COMPUTED_VALUE"""),1394.0)</f>
        <v>1394</v>
      </c>
      <c r="F108" s="3">
        <f>IFERROR(__xludf.DUMMYFUNCTION("""COMPUTED_VALUE"""),66484.0)</f>
        <v>66484</v>
      </c>
      <c r="G108" s="3">
        <f>IFERROR(__xludf.DUMMYFUNCTION("""COMPUTED_VALUE"""),67213.0)</f>
        <v>67213</v>
      </c>
      <c r="H108" s="2" t="str">
        <f>IFERROR(__xludf.DUMMYFUNCTION("""COMPUTED_VALUE"""),"Ajambari Hydropower Private Limited")</f>
        <v>Ajambari Hydropower Private Limited</v>
      </c>
      <c r="I108" s="2" t="str">
        <f>IFERROR(__xludf.DUMMYFUNCTION("""COMPUTED_VALUE"""),"Presidential Graduate School Complex, Thapagaun, New Baneshwor, Kathmandu")</f>
        <v>Presidential Graduate School Complex, Thapagaun, New Baneshwor, Kathmandu</v>
      </c>
      <c r="J108" s="2" t="str">
        <f>IFERROR(__xludf.DUMMYFUNCTION("""COMPUTED_VALUE"""),"28o 36' 58""")</f>
        <v>28o 36' 58"</v>
      </c>
      <c r="K108" s="2" t="str">
        <f>IFERROR(__xludf.DUMMYFUNCTION("""COMPUTED_VALUE"""),"28o 37' 52""")</f>
        <v>28o 37' 52"</v>
      </c>
      <c r="L108" s="2" t="str">
        <f>IFERROR(__xludf.DUMMYFUNCTION("""COMPUTED_VALUE"""),"82o 37' 30""")</f>
        <v>82o 37' 30"</v>
      </c>
      <c r="M108" s="2" t="str">
        <f>IFERROR(__xludf.DUMMYFUNCTION("""COMPUTED_VALUE"""),"82o 38' 25""")</f>
        <v>82o 38' 25"</v>
      </c>
      <c r="N108" s="2" t="str">
        <f>IFERROR(__xludf.DUMMYFUNCTION("""COMPUTED_VALUE"""),"Kanda,Sobha (Rukum)")</f>
        <v>Kanda,Sobha (Rukum)</v>
      </c>
    </row>
    <row r="109">
      <c r="A109" s="2">
        <f>IFERROR(__xludf.DUMMYFUNCTION("""COMPUTED_VALUE"""),108.0)</f>
        <v>108</v>
      </c>
      <c r="B109" s="2" t="str">
        <f>IFERROR(__xludf.DUMMYFUNCTION("""COMPUTED_VALUE"""),"Sai Kumari Khola Hydropower Project")</f>
        <v>Sai Kumari Khola Hydropower Project</v>
      </c>
      <c r="C109" s="2">
        <f>IFERROR(__xludf.DUMMYFUNCTION("""COMPUTED_VALUE"""),8.0)</f>
        <v>8</v>
      </c>
      <c r="D109" s="2" t="str">
        <f>IFERROR(__xludf.DUMMYFUNCTION("""COMPUTED_VALUE"""),"Sai Kuwari Khola")</f>
        <v>Sai Kuwari Khola</v>
      </c>
      <c r="E109" s="2">
        <f>IFERROR(__xludf.DUMMYFUNCTION("""COMPUTED_VALUE"""),1395.0)</f>
        <v>1395</v>
      </c>
      <c r="F109" s="3">
        <f>IFERROR(__xludf.DUMMYFUNCTION("""COMPUTED_VALUE"""),66486.0)</f>
        <v>66486</v>
      </c>
      <c r="G109" s="3">
        <f>IFERROR(__xludf.DUMMYFUNCTION("""COMPUTED_VALUE"""),67215.0)</f>
        <v>67215</v>
      </c>
      <c r="H109" s="2" t="str">
        <f>IFERROR(__xludf.DUMMYFUNCTION("""COMPUTED_VALUE"""),"Alpha Energy Private Limited")</f>
        <v>Alpha Energy Private Limited</v>
      </c>
      <c r="I109" s="2" t="str">
        <f>IFERROR(__xludf.DUMMYFUNCTION("""COMPUTED_VALUE"""),"Budhanilkantha - 8, Kathmandu")</f>
        <v>Budhanilkantha - 8, Kathmandu</v>
      </c>
      <c r="J109" s="2" t="str">
        <f>IFERROR(__xludf.DUMMYFUNCTION("""COMPUTED_VALUE"""),"28o 58' 15""")</f>
        <v>28o 58' 15"</v>
      </c>
      <c r="K109" s="2" t="str">
        <f>IFERROR(__xludf.DUMMYFUNCTION("""COMPUTED_VALUE"""),"29o 00' 45""")</f>
        <v>29o 00' 45"</v>
      </c>
      <c r="L109" s="2" t="str">
        <f>IFERROR(__xludf.DUMMYFUNCTION("""COMPUTED_VALUE"""),"82o 13' 50""")</f>
        <v>82o 13' 50"</v>
      </c>
      <c r="M109" s="2" t="str">
        <f>IFERROR(__xludf.DUMMYFUNCTION("""COMPUTED_VALUE"""),"82o 14' 32""")</f>
        <v>82o 14' 32"</v>
      </c>
      <c r="N109" s="2" t="str">
        <f>IFERROR(__xludf.DUMMYFUNCTION("""COMPUTED_VALUE"""),"Rokayagaun,Nayakwada (Jajarkot)")</f>
        <v>Rokayagaun,Nayakwada (Jajarkot)</v>
      </c>
    </row>
    <row r="110">
      <c r="A110" s="2">
        <f>IFERROR(__xludf.DUMMYFUNCTION("""COMPUTED_VALUE"""),109.0)</f>
        <v>109</v>
      </c>
      <c r="B110" s="2" t="str">
        <f>IFERROR(__xludf.DUMMYFUNCTION("""COMPUTED_VALUE"""),"Nenwa Khola Hydropower Project")</f>
        <v>Nenwa Khola Hydropower Project</v>
      </c>
      <c r="C110" s="2">
        <f>IFERROR(__xludf.DUMMYFUNCTION("""COMPUTED_VALUE"""),2.48)</f>
        <v>2.48</v>
      </c>
      <c r="D110" s="2" t="str">
        <f>IFERROR(__xludf.DUMMYFUNCTION("""COMPUTED_VALUE"""),"Nenwa")</f>
        <v>Nenwa</v>
      </c>
      <c r="E110" s="2">
        <f>IFERROR(__xludf.DUMMYFUNCTION("""COMPUTED_VALUE"""),1397.0)</f>
        <v>1397</v>
      </c>
      <c r="F110" s="3">
        <f>IFERROR(__xludf.DUMMYFUNCTION("""COMPUTED_VALUE"""),66490.0)</f>
        <v>66490</v>
      </c>
      <c r="G110" s="3">
        <f>IFERROR(__xludf.DUMMYFUNCTION("""COMPUTED_VALUE"""),67219.0)</f>
        <v>67219</v>
      </c>
      <c r="H110" s="2" t="str">
        <f>IFERROR(__xludf.DUMMYFUNCTION("""COMPUTED_VALUE"""),"Jalpa Devi Energy Private Limited")</f>
        <v>Jalpa Devi Energy Private Limited</v>
      </c>
      <c r="I110" s="2" t="str">
        <f>IFERROR(__xludf.DUMMYFUNCTION("""COMPUTED_VALUE"""),"Tokha-7, Kathmandu")</f>
        <v>Tokha-7, Kathmandu</v>
      </c>
      <c r="J110" s="2" t="str">
        <f>IFERROR(__xludf.DUMMYFUNCTION("""COMPUTED_VALUE"""),"27o 23' 59""")</f>
        <v>27o 23' 59"</v>
      </c>
      <c r="K110" s="2" t="str">
        <f>IFERROR(__xludf.DUMMYFUNCTION("""COMPUTED_VALUE"""),"27o 24' 50""")</f>
        <v>27o 24' 50"</v>
      </c>
      <c r="L110" s="2" t="str">
        <f>IFERROR(__xludf.DUMMYFUNCTION("""COMPUTED_VALUE"""),"87o 29' 00""")</f>
        <v>87o 29' 00"</v>
      </c>
      <c r="M110" s="2" t="str">
        <f>IFERROR(__xludf.DUMMYFUNCTION("""COMPUTED_VALUE"""),"87o 30' 34""")</f>
        <v>87o 30' 34"</v>
      </c>
      <c r="N110" s="2" t="str">
        <f>IFERROR(__xludf.DUMMYFUNCTION("""COMPUTED_VALUE"""),"Phakumba (Taplejung)")</f>
        <v>Phakumba (Taplejung)</v>
      </c>
    </row>
    <row r="111">
      <c r="A111" s="2">
        <f>IFERROR(__xludf.DUMMYFUNCTION("""COMPUTED_VALUE"""),110.0)</f>
        <v>110</v>
      </c>
      <c r="B111" s="2" t="str">
        <f>IFERROR(__xludf.DUMMYFUNCTION("""COMPUTED_VALUE"""),"Yangwa Khola Hydropower Project")</f>
        <v>Yangwa Khola Hydropower Project</v>
      </c>
      <c r="C111" s="2">
        <f>IFERROR(__xludf.DUMMYFUNCTION("""COMPUTED_VALUE"""),2.66)</f>
        <v>2.66</v>
      </c>
      <c r="D111" s="2" t="str">
        <f>IFERROR(__xludf.DUMMYFUNCTION("""COMPUTED_VALUE"""),"Yanwa Khola")</f>
        <v>Yanwa Khola</v>
      </c>
      <c r="E111" s="2">
        <f>IFERROR(__xludf.DUMMYFUNCTION("""COMPUTED_VALUE"""),1398.0)</f>
        <v>1398</v>
      </c>
      <c r="F111" s="3">
        <f>IFERROR(__xludf.DUMMYFUNCTION("""COMPUTED_VALUE"""),66497.0)</f>
        <v>66497</v>
      </c>
      <c r="G111" s="3">
        <f>IFERROR(__xludf.DUMMYFUNCTION("""COMPUTED_VALUE"""),67226.0)</f>
        <v>67226</v>
      </c>
      <c r="H111" s="2" t="str">
        <f>IFERROR(__xludf.DUMMYFUNCTION("""COMPUTED_VALUE"""),"Yangwa Energy Private Limited")</f>
        <v>Yangwa Energy Private Limited</v>
      </c>
      <c r="I111" s="2" t="str">
        <f>IFERROR(__xludf.DUMMYFUNCTION("""COMPUTED_VALUE"""),"KMC-10, Kathmandu")</f>
        <v>KMC-10, Kathmandu</v>
      </c>
      <c r="J111" s="2" t="str">
        <f>IFERROR(__xludf.DUMMYFUNCTION("""COMPUTED_VALUE"""),"27o 29' 20""")</f>
        <v>27o 29' 20"</v>
      </c>
      <c r="K111" s="2" t="str">
        <f>IFERROR(__xludf.DUMMYFUNCTION("""COMPUTED_VALUE"""),"27o 29' 55""")</f>
        <v>27o 29' 55"</v>
      </c>
      <c r="L111" s="2" t="str">
        <f>IFERROR(__xludf.DUMMYFUNCTION("""COMPUTED_VALUE"""),"87o 32' 42""")</f>
        <v>87o 32' 42"</v>
      </c>
      <c r="M111" s="2" t="str">
        <f>IFERROR(__xludf.DUMMYFUNCTION("""COMPUTED_VALUE"""),"87o 33' 59""")</f>
        <v>87o 33' 59"</v>
      </c>
      <c r="N111" s="2" t="str">
        <f>IFERROR(__xludf.DUMMYFUNCTION("""COMPUTED_VALUE"""),"Nalbu (Taplejung)")</f>
        <v>Nalbu (Taplejung)</v>
      </c>
    </row>
    <row r="112">
      <c r="A112" s="2">
        <f>IFERROR(__xludf.DUMMYFUNCTION("""COMPUTED_VALUE"""),111.0)</f>
        <v>111</v>
      </c>
      <c r="B112" s="2" t="str">
        <f>IFERROR(__xludf.DUMMYFUNCTION("""COMPUTED_VALUE"""),"Lower Hima Nadi Hydropower Project")</f>
        <v>Lower Hima Nadi Hydropower Project</v>
      </c>
      <c r="C112" s="2">
        <f>IFERROR(__xludf.DUMMYFUNCTION("""COMPUTED_VALUE"""),20.97)</f>
        <v>20.97</v>
      </c>
      <c r="D112" s="2" t="str">
        <f>IFERROR(__xludf.DUMMYFUNCTION("""COMPUTED_VALUE"""),"Hima Nadi")</f>
        <v>Hima Nadi</v>
      </c>
      <c r="E112" s="2">
        <f>IFERROR(__xludf.DUMMYFUNCTION("""COMPUTED_VALUE"""),1399.0)</f>
        <v>1399</v>
      </c>
      <c r="F112" s="3">
        <f>IFERROR(__xludf.DUMMYFUNCTION("""COMPUTED_VALUE"""),66498.0)</f>
        <v>66498</v>
      </c>
      <c r="G112" s="3">
        <f>IFERROR(__xludf.DUMMYFUNCTION("""COMPUTED_VALUE"""),67227.0)</f>
        <v>67227</v>
      </c>
      <c r="H112" s="2" t="str">
        <f>IFERROR(__xludf.DUMMYFUNCTION("""COMPUTED_VALUE"""),"Good Energy Private Limited")</f>
        <v>Good Energy Private Limited</v>
      </c>
      <c r="I112" s="2" t="str">
        <f>IFERROR(__xludf.DUMMYFUNCTION("""COMPUTED_VALUE"""),"KMC-10, Kathmandu")</f>
        <v>KMC-10, Kathmandu</v>
      </c>
      <c r="J112" s="2" t="str">
        <f>IFERROR(__xludf.DUMMYFUNCTION("""COMPUTED_VALUE"""),"29o 12' 09""")</f>
        <v>29o 12' 09"</v>
      </c>
      <c r="K112" s="2" t="str">
        <f>IFERROR(__xludf.DUMMYFUNCTION("""COMPUTED_VALUE"""),"29o 16' 12""")</f>
        <v>29o 16' 12"</v>
      </c>
      <c r="L112" s="2" t="str">
        <f>IFERROR(__xludf.DUMMYFUNCTION("""COMPUTED_VALUE"""),"81o 54' 30""")</f>
        <v>81o 54' 30"</v>
      </c>
      <c r="M112" s="2" t="str">
        <f>IFERROR(__xludf.DUMMYFUNCTION("""COMPUTED_VALUE"""),"81o 57' 30""")</f>
        <v>81o 57' 30"</v>
      </c>
      <c r="N112" s="2" t="str">
        <f>IFERROR(__xludf.DUMMYFUNCTION("""COMPUTED_VALUE"""),"Badki,Kalikakhetu ?,Mahabe PattharKhola,Ghode Mahadev,Lihi (Jumla)")</f>
        <v>Badki,Kalikakhetu ?,Mahabe PattharKhola,Ghode Mahadev,Lihi (Jumla)</v>
      </c>
    </row>
    <row r="113">
      <c r="A113" s="2">
        <f>IFERROR(__xludf.DUMMYFUNCTION("""COMPUTED_VALUE"""),112.0)</f>
        <v>112</v>
      </c>
      <c r="B113" s="2" t="str">
        <f>IFERROR(__xludf.DUMMYFUNCTION("""COMPUTED_VALUE"""),"Bichchhya Khola Hydropower Project")</f>
        <v>Bichchhya Khola Hydropower Project</v>
      </c>
      <c r="C113" s="2">
        <f>IFERROR(__xludf.DUMMYFUNCTION("""COMPUTED_VALUE"""),9.8)</f>
        <v>9.8</v>
      </c>
      <c r="D113" s="2" t="str">
        <f>IFERROR(__xludf.DUMMYFUNCTION("""COMPUTED_VALUE"""),"Bichchhya Khola")</f>
        <v>Bichchhya Khola</v>
      </c>
      <c r="E113" s="2">
        <f>IFERROR(__xludf.DUMMYFUNCTION("""COMPUTED_VALUE"""),1400.0)</f>
        <v>1400</v>
      </c>
      <c r="F113" s="3">
        <f>IFERROR(__xludf.DUMMYFUNCTION("""COMPUTED_VALUE"""),66504.0)</f>
        <v>66504</v>
      </c>
      <c r="G113" s="3">
        <f>IFERROR(__xludf.DUMMYFUNCTION("""COMPUTED_VALUE"""),67233.0)</f>
        <v>67233</v>
      </c>
      <c r="H113" s="2" t="str">
        <f>IFERROR(__xludf.DUMMYFUNCTION("""COMPUTED_VALUE"""),"Mount Himlung Power Development Private Limited")</f>
        <v>Mount Himlung Power Development Private Limited</v>
      </c>
      <c r="I113" s="2" t="str">
        <f>IFERROR(__xludf.DUMMYFUNCTION("""COMPUTED_VALUE"""),"Lalitpur - 15, Mahalaxmisthan")</f>
        <v>Lalitpur - 15, Mahalaxmisthan</v>
      </c>
      <c r="J113" s="2" t="str">
        <f>IFERROR(__xludf.DUMMYFUNCTION("""COMPUTED_VALUE"""),"29o 40' 40""")</f>
        <v>29o 40' 40"</v>
      </c>
      <c r="K113" s="2" t="str">
        <f>IFERROR(__xludf.DUMMYFUNCTION("""COMPUTED_VALUE"""),"29o 41' 45""")</f>
        <v>29o 41' 45"</v>
      </c>
      <c r="L113" s="2" t="str">
        <f>IFERROR(__xludf.DUMMYFUNCTION("""COMPUTED_VALUE"""),"81o 37' 52""")</f>
        <v>81o 37' 52"</v>
      </c>
      <c r="M113" s="2" t="str">
        <f>IFERROR(__xludf.DUMMYFUNCTION("""COMPUTED_VALUE"""),"81o 39' 59""")</f>
        <v>81o 39' 59"</v>
      </c>
      <c r="N113" s="2" t="str">
        <f>IFERROR(__xludf.DUMMYFUNCTION("""COMPUTED_VALUE"""),"Bichhiya (Bajura)")</f>
        <v>Bichhiya (Bajura)</v>
      </c>
    </row>
    <row r="114">
      <c r="A114" s="2">
        <f>IFERROR(__xludf.DUMMYFUNCTION("""COMPUTED_VALUE"""),113.0)</f>
        <v>113</v>
      </c>
      <c r="B114" s="2" t="str">
        <f>IFERROR(__xludf.DUMMYFUNCTION("""COMPUTED_VALUE"""),"Chhimkeswori Marsyangdi Hydropower Project")</f>
        <v>Chhimkeswori Marsyangdi Hydropower Project</v>
      </c>
      <c r="C114" s="2">
        <f>IFERROR(__xludf.DUMMYFUNCTION("""COMPUTED_VALUE"""),30.7)</f>
        <v>30.7</v>
      </c>
      <c r="D114" s="2" t="str">
        <f>IFERROR(__xludf.DUMMYFUNCTION("""COMPUTED_VALUE"""),"Marsyangdi")</f>
        <v>Marsyangdi</v>
      </c>
      <c r="E114" s="2">
        <f>IFERROR(__xludf.DUMMYFUNCTION("""COMPUTED_VALUE"""),1401.0)</f>
        <v>1401</v>
      </c>
      <c r="F114" s="3">
        <f>IFERROR(__xludf.DUMMYFUNCTION("""COMPUTED_VALUE"""),66504.0)</f>
        <v>66504</v>
      </c>
      <c r="G114" s="3">
        <f>IFERROR(__xludf.DUMMYFUNCTION("""COMPUTED_VALUE"""),67233.0)</f>
        <v>67233</v>
      </c>
      <c r="H114" s="2" t="str">
        <f>IFERROR(__xludf.DUMMYFUNCTION("""COMPUTED_VALUE"""),"Kshamadevi Hydropower Private Limited")</f>
        <v>Kshamadevi Hydropower Private Limited</v>
      </c>
      <c r="I114" s="2" t="str">
        <f>IFERROR(__xludf.DUMMYFUNCTION("""COMPUTED_VALUE"""),"Madhyapur Thimi - 2, Bhaktapur")</f>
        <v>Madhyapur Thimi - 2, Bhaktapur</v>
      </c>
      <c r="J114" s="2" t="str">
        <f>IFERROR(__xludf.DUMMYFUNCTION("""COMPUTED_VALUE"""),"27o 49' 50""")</f>
        <v>27o 49' 50"</v>
      </c>
      <c r="K114" s="2" t="str">
        <f>IFERROR(__xludf.DUMMYFUNCTION("""COMPUTED_VALUE"""),"27o 52' 15""")</f>
        <v>27o 52' 15"</v>
      </c>
      <c r="L114" s="2" t="str">
        <f>IFERROR(__xludf.DUMMYFUNCTION("""COMPUTED_VALUE"""),"84o 31' 35""")</f>
        <v>84o 31' 35"</v>
      </c>
      <c r="M114" s="2" t="str">
        <f>IFERROR(__xludf.DUMMYFUNCTION("""COMPUTED_VALUE"""),"84o 33' 37""")</f>
        <v>84o 33' 37"</v>
      </c>
      <c r="N114" s="2" t="str">
        <f>IFERROR(__xludf.DUMMYFUNCTION("""COMPUTED_VALUE"""),"Ambukhaireni,Chhimkeswori (Tanahu)")</f>
        <v>Ambukhaireni,Chhimkeswori (Tanahu)</v>
      </c>
    </row>
    <row r="115">
      <c r="A115" s="2">
        <f>IFERROR(__xludf.DUMMYFUNCTION("""COMPUTED_VALUE"""),114.0)</f>
        <v>114</v>
      </c>
      <c r="B115" s="2" t="str">
        <f>IFERROR(__xludf.DUMMYFUNCTION("""COMPUTED_VALUE"""),"Lower Bagmati Nadi Hydropower Project")</f>
        <v>Lower Bagmati Nadi Hydropower Project</v>
      </c>
      <c r="C115" s="2">
        <f>IFERROR(__xludf.DUMMYFUNCTION("""COMPUTED_VALUE"""),20.5)</f>
        <v>20.5</v>
      </c>
      <c r="D115" s="2" t="str">
        <f>IFERROR(__xludf.DUMMYFUNCTION("""COMPUTED_VALUE"""),"Bagmati")</f>
        <v>Bagmati</v>
      </c>
      <c r="E115" s="2">
        <f>IFERROR(__xludf.DUMMYFUNCTION("""COMPUTED_VALUE"""),1402.0)</f>
        <v>1402</v>
      </c>
      <c r="F115" s="3">
        <f>IFERROR(__xludf.DUMMYFUNCTION("""COMPUTED_VALUE"""),66504.0)</f>
        <v>66504</v>
      </c>
      <c r="G115" s="3">
        <f>IFERROR(__xludf.DUMMYFUNCTION("""COMPUTED_VALUE"""),67233.0)</f>
        <v>67233</v>
      </c>
      <c r="H115" s="2" t="str">
        <f>IFERROR(__xludf.DUMMYFUNCTION("""COMPUTED_VALUE"""),"Pinnacle Urja Invest Private Limited")</f>
        <v>Pinnacle Urja Invest Private Limited</v>
      </c>
      <c r="I115" s="2" t="str">
        <f>IFERROR(__xludf.DUMMYFUNCTION("""COMPUTED_VALUE"""),"Tokha - 7, Dhapasi")</f>
        <v>Tokha - 7, Dhapasi</v>
      </c>
      <c r="J115" s="2" t="str">
        <f>IFERROR(__xludf.DUMMYFUNCTION("""COMPUTED_VALUE"""),"27o 25' 00""")</f>
        <v>27o 25' 00"</v>
      </c>
      <c r="K115" s="2" t="str">
        <f>IFERROR(__xludf.DUMMYFUNCTION("""COMPUTED_VALUE"""),"27o 26' 35""")</f>
        <v>27o 26' 35"</v>
      </c>
      <c r="L115" s="2" t="str">
        <f>IFERROR(__xludf.DUMMYFUNCTION("""COMPUTED_VALUE"""),"85o 18' 45""")</f>
        <v>85o 18' 45"</v>
      </c>
      <c r="M115" s="2" t="str">
        <f>IFERROR(__xludf.DUMMYFUNCTION("""COMPUTED_VALUE"""),"85o 22' 55""")</f>
        <v>85o 22' 55"</v>
      </c>
      <c r="N115" s="2" t="str">
        <f>IFERROR(__xludf.DUMMYFUNCTION("""COMPUTED_VALUE"""),"Ashrang,Gimdi (Lalitpur) Faparbari (Makawanpur)")</f>
        <v>Ashrang,Gimdi (Lalitpur) Faparbari (Makawanpur)</v>
      </c>
    </row>
    <row r="116">
      <c r="A116" s="2">
        <f>IFERROR(__xludf.DUMMYFUNCTION("""COMPUTED_VALUE"""),115.0)</f>
        <v>115</v>
      </c>
      <c r="B116" s="2" t="str">
        <f>IFERROR(__xludf.DUMMYFUNCTION("""COMPUTED_VALUE"""),"Ghusban Khola Hydropower Project")</f>
        <v>Ghusban Khola Hydropower Project</v>
      </c>
      <c r="C116" s="2">
        <f>IFERROR(__xludf.DUMMYFUNCTION("""COMPUTED_VALUE"""),7.3)</f>
        <v>7.3</v>
      </c>
      <c r="D116" s="2" t="str">
        <f>IFERROR(__xludf.DUMMYFUNCTION("""COMPUTED_VALUE"""),"Ghusbang Khola")</f>
        <v>Ghusbang Khola</v>
      </c>
      <c r="E116" s="2">
        <f>IFERROR(__xludf.DUMMYFUNCTION("""COMPUTED_VALUE"""),1403.0)</f>
        <v>1403</v>
      </c>
      <c r="F116" s="3">
        <f>IFERROR(__xludf.DUMMYFUNCTION("""COMPUTED_VALUE"""),66506.0)</f>
        <v>66506</v>
      </c>
      <c r="G116" s="3">
        <f>IFERROR(__xludf.DUMMYFUNCTION("""COMPUTED_VALUE"""),67235.0)</f>
        <v>67235</v>
      </c>
      <c r="H116" s="2" t="str">
        <f>IFERROR(__xludf.DUMMYFUNCTION("""COMPUTED_VALUE"""),"Mundhara Hydropower Private Limited")</f>
        <v>Mundhara Hydropower Private Limited</v>
      </c>
      <c r="I116" s="2" t="str">
        <f>IFERROR(__xludf.DUMMYFUNCTION("""COMPUTED_VALUE"""),"Kirtipur - 4, Kathmandu")</f>
        <v>Kirtipur - 4, Kathmandu</v>
      </c>
      <c r="J116" s="2" t="str">
        <f>IFERROR(__xludf.DUMMYFUNCTION("""COMPUTED_VALUE"""),"28o 22' 09""")</f>
        <v>28o 22' 09"</v>
      </c>
      <c r="K116" s="2" t="str">
        <f>IFERROR(__xludf.DUMMYFUNCTION("""COMPUTED_VALUE"""),"28o 24' 02""")</f>
        <v>28o 24' 02"</v>
      </c>
      <c r="L116" s="2" t="str">
        <f>IFERROR(__xludf.DUMMYFUNCTION("""COMPUTED_VALUE"""),"82o 48' 23""")</f>
        <v>82o 48' 23"</v>
      </c>
      <c r="M116" s="2" t="str">
        <f>IFERROR(__xludf.DUMMYFUNCTION("""COMPUTED_VALUE"""),"82o 48' 54""")</f>
        <v>82o 48' 54"</v>
      </c>
      <c r="N116" s="2" t="str">
        <f>IFERROR(__xludf.DUMMYFUNCTION("""COMPUTED_VALUE"""),"Seram,Jaimakasala,Siuri,Uwa (Rolpa)")</f>
        <v>Seram,Jaimakasala,Siuri,Uwa (Rolpa)</v>
      </c>
    </row>
    <row r="117">
      <c r="A117" s="2">
        <f>IFERROR(__xludf.DUMMYFUNCTION("""COMPUTED_VALUE"""),116.0)</f>
        <v>116</v>
      </c>
      <c r="B117" s="2" t="str">
        <f>IFERROR(__xludf.DUMMYFUNCTION("""COMPUTED_VALUE"""),"Middle Kalangagad Hydropower Project")</f>
        <v>Middle Kalangagad Hydropower Project</v>
      </c>
      <c r="C117" s="2">
        <f>IFERROR(__xludf.DUMMYFUNCTION("""COMPUTED_VALUE"""),7.039)</f>
        <v>7.039</v>
      </c>
      <c r="D117" s="2" t="str">
        <f>IFERROR(__xludf.DUMMYFUNCTION("""COMPUTED_VALUE"""),"Kalanga Gad")</f>
        <v>Kalanga Gad</v>
      </c>
      <c r="E117" s="2">
        <f>IFERROR(__xludf.DUMMYFUNCTION("""COMPUTED_VALUE"""),1404.0)</f>
        <v>1404</v>
      </c>
      <c r="F117" s="3">
        <f>IFERROR(__xludf.DUMMYFUNCTION("""COMPUTED_VALUE"""),66506.0)</f>
        <v>66506</v>
      </c>
      <c r="G117" s="3">
        <f>IFERROR(__xludf.DUMMYFUNCTION("""COMPUTED_VALUE"""),67235.0)</f>
        <v>67235</v>
      </c>
      <c r="H117" s="2" t="str">
        <f>IFERROR(__xludf.DUMMYFUNCTION("""COMPUTED_VALUE"""),"Subharambha Energy Pvt. Ltd")</f>
        <v>Subharambha Energy Pvt. Ltd</v>
      </c>
      <c r="I117" s="2" t="str">
        <f>IFERROR(__xludf.DUMMYFUNCTION("""COMPUTED_VALUE"""),"Lalitpur -11, Manidol")</f>
        <v>Lalitpur -11, Manidol</v>
      </c>
      <c r="J117" s="2" t="str">
        <f>IFERROR(__xludf.DUMMYFUNCTION("""COMPUTED_VALUE"""),"29o 34' 13""")</f>
        <v>29o 34' 13"</v>
      </c>
      <c r="K117" s="2" t="str">
        <f>IFERROR(__xludf.DUMMYFUNCTION("""COMPUTED_VALUE"""),"29o 36' 00""")</f>
        <v>29o 36' 00"</v>
      </c>
      <c r="L117" s="2" t="str">
        <f>IFERROR(__xludf.DUMMYFUNCTION("""COMPUTED_VALUE"""),"80o 51' 30""")</f>
        <v>80o 51' 30"</v>
      </c>
      <c r="M117" s="2" t="str">
        <f>IFERROR(__xludf.DUMMYFUNCTION("""COMPUTED_VALUE"""),"80o 52' 30""")</f>
        <v>80o 52' 30"</v>
      </c>
      <c r="N117" s="2"/>
    </row>
    <row r="118">
      <c r="A118" s="2">
        <f>IFERROR(__xludf.DUMMYFUNCTION("""COMPUTED_VALUE"""),117.0)</f>
        <v>117</v>
      </c>
      <c r="B118" s="2" t="str">
        <f>IFERROR(__xludf.DUMMYFUNCTION("""COMPUTED_VALUE"""),"Sani Bheri 3 PRoR Cascade Hydropower Project")</f>
        <v>Sani Bheri 3 PRoR Cascade Hydropower Project</v>
      </c>
      <c r="C118" s="2">
        <f>IFERROR(__xludf.DUMMYFUNCTION("""COMPUTED_VALUE"""),30.0)</f>
        <v>30</v>
      </c>
      <c r="D118" s="2" t="str">
        <f>IFERROR(__xludf.DUMMYFUNCTION("""COMPUTED_VALUE"""),"Sani Bheri")</f>
        <v>Sani Bheri</v>
      </c>
      <c r="E118" s="2">
        <f>IFERROR(__xludf.DUMMYFUNCTION("""COMPUTED_VALUE"""),1405.0)</f>
        <v>1405</v>
      </c>
      <c r="F118" s="3">
        <f>IFERROR(__xludf.DUMMYFUNCTION("""COMPUTED_VALUE"""),66506.0)</f>
        <v>66506</v>
      </c>
      <c r="G118" s="3">
        <f>IFERROR(__xludf.DUMMYFUNCTION("""COMPUTED_VALUE"""),67235.0)</f>
        <v>67235</v>
      </c>
      <c r="H118" s="2" t="str">
        <f>IFERROR(__xludf.DUMMYFUNCTION("""COMPUTED_VALUE"""),"Sani Bheri Hydropower Company Private Limited")</f>
        <v>Sani Bheri Hydropower Company Private Limited</v>
      </c>
      <c r="I118" s="2" t="str">
        <f>IFERROR(__xludf.DUMMYFUNCTION("""COMPUTED_VALUE"""),"Bakhundole, Lalitpur")</f>
        <v>Bakhundole, Lalitpur</v>
      </c>
      <c r="J118" s="2" t="str">
        <f>IFERROR(__xludf.DUMMYFUNCTION("""COMPUTED_VALUE"""),"28o 39' 09""")</f>
        <v>28o 39' 09"</v>
      </c>
      <c r="K118" s="2" t="str">
        <f>IFERROR(__xludf.DUMMYFUNCTION("""COMPUTED_VALUE"""),"28o 40' 38""")</f>
        <v>28o 40' 38"</v>
      </c>
      <c r="L118" s="2" t="str">
        <f>IFERROR(__xludf.DUMMYFUNCTION("""COMPUTED_VALUE"""),"82o 26' 31""")</f>
        <v>82o 26' 31"</v>
      </c>
      <c r="M118" s="2" t="str">
        <f>IFERROR(__xludf.DUMMYFUNCTION("""COMPUTED_VALUE"""),"82o 29' 48""")</f>
        <v>82o 29' 48"</v>
      </c>
      <c r="N118" s="2" t="str">
        <f>IFERROR(__xludf.DUMMYFUNCTION("""COMPUTED_VALUE"""),"Syalaphakha,Jhula,Bapsekot,Musikot Khalanga (Rukum)")</f>
        <v>Syalaphakha,Jhula,Bapsekot,Musikot Khalanga (Rukum)</v>
      </c>
    </row>
    <row r="119">
      <c r="A119" s="2">
        <f>IFERROR(__xludf.DUMMYFUNCTION("""COMPUTED_VALUE"""),118.0)</f>
        <v>118</v>
      </c>
      <c r="B119" s="2" t="str">
        <f>IFERROR(__xludf.DUMMYFUNCTION("""COMPUTED_VALUE"""),"Uwa Khola Hydropower Project")</f>
        <v>Uwa Khola Hydropower Project</v>
      </c>
      <c r="C119" s="2">
        <f>IFERROR(__xludf.DUMMYFUNCTION("""COMPUTED_VALUE"""),6.65)</f>
        <v>6.65</v>
      </c>
      <c r="D119" s="2" t="str">
        <f>IFERROR(__xludf.DUMMYFUNCTION("""COMPUTED_VALUE"""),"Uwa Khola")</f>
        <v>Uwa Khola</v>
      </c>
      <c r="E119" s="2">
        <f>IFERROR(__xludf.DUMMYFUNCTION("""COMPUTED_VALUE"""),1406.0)</f>
        <v>1406</v>
      </c>
      <c r="F119" s="3">
        <f>IFERROR(__xludf.DUMMYFUNCTION("""COMPUTED_VALUE"""),66506.0)</f>
        <v>66506</v>
      </c>
      <c r="G119" s="3">
        <f>IFERROR(__xludf.DUMMYFUNCTION("""COMPUTED_VALUE"""),67235.0)</f>
        <v>67235</v>
      </c>
      <c r="H119" s="2" t="str">
        <f>IFERROR(__xludf.DUMMYFUNCTION("""COMPUTED_VALUE"""),"Uwa Khola Hydropower Private Limited")</f>
        <v>Uwa Khola Hydropower Private Limited</v>
      </c>
      <c r="I119" s="2" t="str">
        <f>IFERROR(__xludf.DUMMYFUNCTION("""COMPUTED_VALUE"""),"Kathmandu - 32, Kathmandu")</f>
        <v>Kathmandu - 32, Kathmandu</v>
      </c>
      <c r="J119" s="2" t="str">
        <f>IFERROR(__xludf.DUMMYFUNCTION("""COMPUTED_VALUE"""),"28o 24' 16""")</f>
        <v>28o 24' 16"</v>
      </c>
      <c r="K119" s="2" t="str">
        <f>IFERROR(__xludf.DUMMYFUNCTION("""COMPUTED_VALUE"""),"28o 25' 49""")</f>
        <v>28o 25' 49"</v>
      </c>
      <c r="L119" s="2" t="str">
        <f>IFERROR(__xludf.DUMMYFUNCTION("""COMPUTED_VALUE"""),"82o 47' 55""")</f>
        <v>82o 47' 55"</v>
      </c>
      <c r="M119" s="2" t="str">
        <f>IFERROR(__xludf.DUMMYFUNCTION("""COMPUTED_VALUE"""),"82o 48' 50""")</f>
        <v>82o 48' 50"</v>
      </c>
      <c r="N119" s="2" t="str">
        <f>IFERROR(__xludf.DUMMYFUNCTION("""COMPUTED_VALUE"""),"Uwa (Rolpa)")</f>
        <v>Uwa (Rolpa)</v>
      </c>
    </row>
    <row r="120">
      <c r="A120" s="2">
        <f>IFERROR(__xludf.DUMMYFUNCTION("""COMPUTED_VALUE"""),119.0)</f>
        <v>119</v>
      </c>
      <c r="B120" s="2" t="str">
        <f>IFERROR(__xludf.DUMMYFUNCTION("""COMPUTED_VALUE"""),"Middle Tap Hydropower Project")</f>
        <v>Middle Tap Hydropower Project</v>
      </c>
      <c r="C120" s="2">
        <f>IFERROR(__xludf.DUMMYFUNCTION("""COMPUTED_VALUE"""),9.54)</f>
        <v>9.54</v>
      </c>
      <c r="D120" s="2" t="str">
        <f>IFERROR(__xludf.DUMMYFUNCTION("""COMPUTED_VALUE"""),"Tap Khola &amp; Bhagu Khola")</f>
        <v>Tap Khola &amp; Bhagu Khola</v>
      </c>
      <c r="E120" s="2">
        <f>IFERROR(__xludf.DUMMYFUNCTION("""COMPUTED_VALUE"""),1409.0)</f>
        <v>1409</v>
      </c>
      <c r="F120" s="3">
        <f>IFERROR(__xludf.DUMMYFUNCTION("""COMPUTED_VALUE"""),66509.0)</f>
        <v>66509</v>
      </c>
      <c r="G120" s="3">
        <f>IFERROR(__xludf.DUMMYFUNCTION("""COMPUTED_VALUE"""),67238.0)</f>
        <v>67238</v>
      </c>
      <c r="H120" s="2" t="str">
        <f>IFERROR(__xludf.DUMMYFUNCTION("""COMPUTED_VALUE"""),"Terai Village Energy Private Limited")</f>
        <v>Terai Village Energy Private Limited</v>
      </c>
      <c r="I120" s="2" t="str">
        <f>IFERROR(__xludf.DUMMYFUNCTION("""COMPUTED_VALUE"""),"KMC-9, Kathmandu")</f>
        <v>KMC-9, Kathmandu</v>
      </c>
      <c r="J120" s="2" t="str">
        <f>IFERROR(__xludf.DUMMYFUNCTION("""COMPUTED_VALUE"""),"27o 17' 47""")</f>
        <v>27o 17' 47"</v>
      </c>
      <c r="K120" s="2" t="str">
        <f>IFERROR(__xludf.DUMMYFUNCTION("""COMPUTED_VALUE"""),"27o 19' 00""")</f>
        <v>27o 19' 00"</v>
      </c>
      <c r="L120" s="2" t="str">
        <f>IFERROR(__xludf.DUMMYFUNCTION("""COMPUTED_VALUE"""),"86o 48' 03""")</f>
        <v>86o 48' 03"</v>
      </c>
      <c r="M120" s="2" t="str">
        <f>IFERROR(__xludf.DUMMYFUNCTION("""COMPUTED_VALUE"""),"86o 52' 07""")</f>
        <v>86o 52' 07"</v>
      </c>
      <c r="N120" s="2" t="str">
        <f>IFERROR(__xludf.DUMMYFUNCTION("""COMPUTED_VALUE"""),"Baksila,Khartamchha,Baspani,Sapteswor,Patheka,Kharmi (Khotang)")</f>
        <v>Baksila,Khartamchha,Baspani,Sapteswor,Patheka,Kharmi (Khotang)</v>
      </c>
    </row>
    <row r="121">
      <c r="A121" s="2">
        <f>IFERROR(__xludf.DUMMYFUNCTION("""COMPUTED_VALUE"""),120.0)</f>
        <v>120</v>
      </c>
      <c r="B121" s="2" t="str">
        <f>IFERROR(__xludf.DUMMYFUNCTION("""COMPUTED_VALUE"""),"Super Rawa Khola Hydropower Project")</f>
        <v>Super Rawa Khola Hydropower Project</v>
      </c>
      <c r="C121" s="2">
        <f>IFERROR(__xludf.DUMMYFUNCTION("""COMPUTED_VALUE"""),3.45)</f>
        <v>3.45</v>
      </c>
      <c r="D121" s="2" t="str">
        <f>IFERROR(__xludf.DUMMYFUNCTION("""COMPUTED_VALUE"""),"Rawa Khola")</f>
        <v>Rawa Khola</v>
      </c>
      <c r="E121" s="2">
        <f>IFERROR(__xludf.DUMMYFUNCTION("""COMPUTED_VALUE"""),1410.0)</f>
        <v>1410</v>
      </c>
      <c r="F121" s="3">
        <f>IFERROR(__xludf.DUMMYFUNCTION("""COMPUTED_VALUE"""),66509.0)</f>
        <v>66509</v>
      </c>
      <c r="G121" s="3">
        <f>IFERROR(__xludf.DUMMYFUNCTION("""COMPUTED_VALUE"""),67238.0)</f>
        <v>67238</v>
      </c>
      <c r="H121" s="2" t="str">
        <f>IFERROR(__xludf.DUMMYFUNCTION("""COMPUTED_VALUE"""),"Ecostream Power Company Private Limited")</f>
        <v>Ecostream Power Company Private Limited</v>
      </c>
      <c r="I121" s="2" t="str">
        <f>IFERROR(__xludf.DUMMYFUNCTION("""COMPUTED_VALUE"""),"KMC-3, Kathmandu")</f>
        <v>KMC-3, Kathmandu</v>
      </c>
      <c r="J121" s="2" t="str">
        <f>IFERROR(__xludf.DUMMYFUNCTION("""COMPUTED_VALUE"""),"27o 21' 35""")</f>
        <v>27o 21' 35"</v>
      </c>
      <c r="K121" s="2" t="str">
        <f>IFERROR(__xludf.DUMMYFUNCTION("""COMPUTED_VALUE"""),"27o 22' 50""")</f>
        <v>27o 22' 50"</v>
      </c>
      <c r="L121" s="2" t="str">
        <f>IFERROR(__xludf.DUMMYFUNCTION("""COMPUTED_VALUE"""),"86o 51' 25""")</f>
        <v>86o 51' 25"</v>
      </c>
      <c r="M121" s="2" t="str">
        <f>IFERROR(__xludf.DUMMYFUNCTION("""COMPUTED_VALUE"""),"86o 52' 35""")</f>
        <v>86o 52' 35"</v>
      </c>
      <c r="N121" s="2" t="str">
        <f>IFERROR(__xludf.DUMMYFUNCTION("""COMPUTED_VALUE"""),"Sungdel,Rakha(rara) Dipsung (Khotang)")</f>
        <v>Sungdel,Rakha(rara) Dipsung (Khotang)</v>
      </c>
    </row>
    <row r="122">
      <c r="A122" s="2">
        <f>IFERROR(__xludf.DUMMYFUNCTION("""COMPUTED_VALUE"""),121.0)</f>
        <v>121</v>
      </c>
      <c r="B122" s="2" t="str">
        <f>IFERROR(__xludf.DUMMYFUNCTION("""COMPUTED_VALUE"""),"Sanidogad Khola Hydropower Project")</f>
        <v>Sanidogad Khola Hydropower Project</v>
      </c>
      <c r="C122" s="2">
        <f>IFERROR(__xludf.DUMMYFUNCTION("""COMPUTED_VALUE"""),9.4)</f>
        <v>9.4</v>
      </c>
      <c r="D122" s="2" t="str">
        <f>IFERROR(__xludf.DUMMYFUNCTION("""COMPUTED_VALUE"""),"Sanidogad Khola")</f>
        <v>Sanidogad Khola</v>
      </c>
      <c r="E122" s="2">
        <f>IFERROR(__xludf.DUMMYFUNCTION("""COMPUTED_VALUE"""),1411.0)</f>
        <v>1411</v>
      </c>
      <c r="F122" s="3">
        <f>IFERROR(__xludf.DUMMYFUNCTION("""COMPUTED_VALUE"""),66509.0)</f>
        <v>66509</v>
      </c>
      <c r="G122" s="3">
        <f>IFERROR(__xludf.DUMMYFUNCTION("""COMPUTED_VALUE"""),67238.0)</f>
        <v>67238</v>
      </c>
      <c r="H122" s="2" t="str">
        <f>IFERROR(__xludf.DUMMYFUNCTION("""COMPUTED_VALUE"""),"Uja Energy Private Limited")</f>
        <v>Uja Energy Private Limited</v>
      </c>
      <c r="I122" s="2" t="str">
        <f>IFERROR(__xludf.DUMMYFUNCTION("""COMPUTED_VALUE"""),"KMC-29, Anamnagar")</f>
        <v>KMC-29, Anamnagar</v>
      </c>
      <c r="J122" s="2" t="str">
        <f>IFERROR(__xludf.DUMMYFUNCTION("""COMPUTED_VALUE"""),"29o 14' 27""")</f>
        <v>29o 14' 27"</v>
      </c>
      <c r="K122" s="2" t="str">
        <f>IFERROR(__xludf.DUMMYFUNCTION("""COMPUTED_VALUE"""),"29o 15' 27""")</f>
        <v>29o 15' 27"</v>
      </c>
      <c r="L122" s="2" t="str">
        <f>IFERROR(__xludf.DUMMYFUNCTION("""COMPUTED_VALUE"""),"81o 36' 05""")</f>
        <v>81o 36' 05"</v>
      </c>
      <c r="M122" s="2" t="str">
        <f>IFERROR(__xludf.DUMMYFUNCTION("""COMPUTED_VALUE"""),"81o 37' 25""")</f>
        <v>81o 37' 25"</v>
      </c>
      <c r="N122" s="2" t="str">
        <f>IFERROR(__xludf.DUMMYFUNCTION("""COMPUTED_VALUE"""),"Siuna,Sipkhana,Mehal Mudi (Kalikot)")</f>
        <v>Siuna,Sipkhana,Mehal Mudi (Kalikot)</v>
      </c>
    </row>
    <row r="123">
      <c r="A123" s="2">
        <f>IFERROR(__xludf.DUMMYFUNCTION("""COMPUTED_VALUE"""),122.0)</f>
        <v>122</v>
      </c>
      <c r="B123" s="2" t="str">
        <f>IFERROR(__xludf.DUMMYFUNCTION("""COMPUTED_VALUE"""),"Kinja Khola Hydropower Project")</f>
        <v>Kinja Khola Hydropower Project</v>
      </c>
      <c r="C123" s="2">
        <f>IFERROR(__xludf.DUMMYFUNCTION("""COMPUTED_VALUE"""),4.6)</f>
        <v>4.6</v>
      </c>
      <c r="D123" s="2" t="str">
        <f>IFERROR(__xludf.DUMMYFUNCTION("""COMPUTED_VALUE"""),"Kinja Khola")</f>
        <v>Kinja Khola</v>
      </c>
      <c r="E123" s="2">
        <f>IFERROR(__xludf.DUMMYFUNCTION("""COMPUTED_VALUE"""),1412.0)</f>
        <v>1412</v>
      </c>
      <c r="F123" s="3">
        <f>IFERROR(__xludf.DUMMYFUNCTION("""COMPUTED_VALUE"""),66514.0)</f>
        <v>66514</v>
      </c>
      <c r="G123" s="3">
        <f>IFERROR(__xludf.DUMMYFUNCTION("""COMPUTED_VALUE"""),67243.0)</f>
        <v>67243</v>
      </c>
      <c r="H123" s="2" t="str">
        <f>IFERROR(__xludf.DUMMYFUNCTION("""COMPUTED_VALUE"""),"Glaciers Energy Private Limited")</f>
        <v>Glaciers Energy Private Limited</v>
      </c>
      <c r="I123" s="2" t="str">
        <f>IFERROR(__xludf.DUMMYFUNCTION("""COMPUTED_VALUE"""),"Tarkeshwor - 8, Balaju, Kathmandu, Nepal")</f>
        <v>Tarkeshwor - 8, Balaju, Kathmandu, Nepal</v>
      </c>
      <c r="J123" s="2" t="str">
        <f>IFERROR(__xludf.DUMMYFUNCTION("""COMPUTED_VALUE"""),"27o 33' 39""")</f>
        <v>27o 33' 39"</v>
      </c>
      <c r="K123" s="2" t="str">
        <f>IFERROR(__xludf.DUMMYFUNCTION("""COMPUTED_VALUE"""),"27o 34' 44""")</f>
        <v>27o 34' 44"</v>
      </c>
      <c r="L123" s="2" t="str">
        <f>IFERROR(__xludf.DUMMYFUNCTION("""COMPUTED_VALUE"""),"86o 25' 43""")</f>
        <v>86o 25' 43"</v>
      </c>
      <c r="M123" s="2" t="str">
        <f>IFERROR(__xludf.DUMMYFUNCTION("""COMPUTED_VALUE"""),"86o 27' 51""")</f>
        <v>86o 27' 51"</v>
      </c>
      <c r="N123" s="2" t="str">
        <f>IFERROR(__xludf.DUMMYFUNCTION("""COMPUTED_VALUE"""),"Bhakanje,Goli (Solukhumbu)")</f>
        <v>Bhakanje,Goli (Solukhumbu)</v>
      </c>
    </row>
    <row r="124">
      <c r="A124" s="2">
        <f>IFERROR(__xludf.DUMMYFUNCTION("""COMPUTED_VALUE"""),123.0)</f>
        <v>123</v>
      </c>
      <c r="B124" s="2" t="str">
        <f>IFERROR(__xludf.DUMMYFUNCTION("""COMPUTED_VALUE"""),"Gurja Khola Hydropower Project")</f>
        <v>Gurja Khola Hydropower Project</v>
      </c>
      <c r="C124" s="2">
        <f>IFERROR(__xludf.DUMMYFUNCTION("""COMPUTED_VALUE"""),8.46)</f>
        <v>8.46</v>
      </c>
      <c r="D124" s="2" t="str">
        <f>IFERROR(__xludf.DUMMYFUNCTION("""COMPUTED_VALUE"""),"Katarghe Khola, Dalsin Khola")</f>
        <v>Katarghe Khola, Dalsin Khola</v>
      </c>
      <c r="E124" s="2">
        <f>IFERROR(__xludf.DUMMYFUNCTION("""COMPUTED_VALUE"""),1413.0)</f>
        <v>1413</v>
      </c>
      <c r="F124" s="3">
        <f>IFERROR(__xludf.DUMMYFUNCTION("""COMPUTED_VALUE"""),66519.0)</f>
        <v>66519</v>
      </c>
      <c r="G124" s="3">
        <f>IFERROR(__xludf.DUMMYFUNCTION("""COMPUTED_VALUE"""),67248.0)</f>
        <v>67248</v>
      </c>
      <c r="H124" s="2" t="str">
        <f>IFERROR(__xludf.DUMMYFUNCTION("""COMPUTED_VALUE"""),"Abdhi Urja Private Limited")</f>
        <v>Abdhi Urja Private Limited</v>
      </c>
      <c r="I124" s="2" t="str">
        <f>IFERROR(__xludf.DUMMYFUNCTION("""COMPUTED_VALUE"""),"KMC-5, Kathmandu")</f>
        <v>KMC-5, Kathmandu</v>
      </c>
      <c r="J124" s="2" t="str">
        <f>IFERROR(__xludf.DUMMYFUNCTION("""COMPUTED_VALUE"""),"28o 34' 45""")</f>
        <v>28o 34' 45"</v>
      </c>
      <c r="K124" s="2" t="str">
        <f>IFERROR(__xludf.DUMMYFUNCTION("""COMPUTED_VALUE"""),"28o 36' 37""")</f>
        <v>28o 36' 37"</v>
      </c>
      <c r="L124" s="2" t="str">
        <f>IFERROR(__xludf.DUMMYFUNCTION("""COMPUTED_VALUE"""),"83o 12' 15""")</f>
        <v>83o 12' 15"</v>
      </c>
      <c r="M124" s="2" t="str">
        <f>IFERROR(__xludf.DUMMYFUNCTION("""COMPUTED_VALUE"""),"83o 14' 13""")</f>
        <v>83o 14' 13"</v>
      </c>
      <c r="N124" s="2" t="str">
        <f>IFERROR(__xludf.DUMMYFUNCTION("""COMPUTED_VALUE"""),"Gurja (Myagdi)")</f>
        <v>Gurja (Myagdi)</v>
      </c>
    </row>
    <row r="125">
      <c r="A125" s="2">
        <f>IFERROR(__xludf.DUMMYFUNCTION("""COMPUTED_VALUE"""),124.0)</f>
        <v>124</v>
      </c>
      <c r="B125" s="2" t="str">
        <f>IFERROR(__xludf.DUMMYFUNCTION("""COMPUTED_VALUE"""),"Super Sunigad Hydropower Project")</f>
        <v>Super Sunigad Hydropower Project</v>
      </c>
      <c r="C125" s="2">
        <f>IFERROR(__xludf.DUMMYFUNCTION("""COMPUTED_VALUE"""),24.8)</f>
        <v>24.8</v>
      </c>
      <c r="D125" s="2" t="str">
        <f>IFERROR(__xludf.DUMMYFUNCTION("""COMPUTED_VALUE"""),"Sunigad")</f>
        <v>Sunigad</v>
      </c>
      <c r="E125" s="2">
        <f>IFERROR(__xludf.DUMMYFUNCTION("""COMPUTED_VALUE"""),1414.0)</f>
        <v>1414</v>
      </c>
      <c r="F125" s="3">
        <f>IFERROR(__xludf.DUMMYFUNCTION("""COMPUTED_VALUE"""),66521.0)</f>
        <v>66521</v>
      </c>
      <c r="G125" s="3">
        <f>IFERROR(__xludf.DUMMYFUNCTION("""COMPUTED_VALUE"""),67250.0)</f>
        <v>67250</v>
      </c>
      <c r="H125" s="2" t="str">
        <f>IFERROR(__xludf.DUMMYFUNCTION("""COMPUTED_VALUE"""),"Best Hydropower Company Private Limited")</f>
        <v>Best Hydropower Company Private Limited</v>
      </c>
      <c r="I125" s="2" t="str">
        <f>IFERROR(__xludf.DUMMYFUNCTION("""COMPUTED_VALUE"""),"Ward No. 32, Koteshwor, Kathmandu")</f>
        <v>Ward No. 32, Koteshwor, Kathmandu</v>
      </c>
      <c r="J125" s="2" t="str">
        <f>IFERROR(__xludf.DUMMYFUNCTION("""COMPUTED_VALUE"""),"29o 41' 17""")</f>
        <v>29o 41' 17"</v>
      </c>
      <c r="K125" s="2" t="str">
        <f>IFERROR(__xludf.DUMMYFUNCTION("""COMPUTED_VALUE"""),"29o 43' 44""")</f>
        <v>29o 43' 44"</v>
      </c>
      <c r="L125" s="2" t="str">
        <f>IFERROR(__xludf.DUMMYFUNCTION("""COMPUTED_VALUE"""),"81o 10' 51""")</f>
        <v>81o 10' 51"</v>
      </c>
      <c r="M125" s="2" t="str">
        <f>IFERROR(__xludf.DUMMYFUNCTION("""COMPUTED_VALUE"""),"81o 13' 03""")</f>
        <v>81o 13' 03"</v>
      </c>
      <c r="N125" s="2" t="str">
        <f>IFERROR(__xludf.DUMMYFUNCTION("""COMPUTED_VALUE"""),"Dhamena,Dilichaur (Bajhang)")</f>
        <v>Dhamena,Dilichaur (Bajhang)</v>
      </c>
    </row>
    <row r="126">
      <c r="A126" s="2">
        <f>IFERROR(__xludf.DUMMYFUNCTION("""COMPUTED_VALUE"""),125.0)</f>
        <v>125</v>
      </c>
      <c r="B126" s="2" t="str">
        <f>IFERROR(__xludf.DUMMYFUNCTION("""COMPUTED_VALUE"""),"Super Lungri Khola Hydropower Project")</f>
        <v>Super Lungri Khola Hydropower Project</v>
      </c>
      <c r="C126" s="2">
        <f>IFERROR(__xludf.DUMMYFUNCTION("""COMPUTED_VALUE"""),7.1)</f>
        <v>7.1</v>
      </c>
      <c r="D126" s="2" t="str">
        <f>IFERROR(__xludf.DUMMYFUNCTION("""COMPUTED_VALUE"""),"Lungri Khola")</f>
        <v>Lungri Khola</v>
      </c>
      <c r="E126" s="2">
        <f>IFERROR(__xludf.DUMMYFUNCTION("""COMPUTED_VALUE"""),1415.0)</f>
        <v>1415</v>
      </c>
      <c r="F126" s="3">
        <f>IFERROR(__xludf.DUMMYFUNCTION("""COMPUTED_VALUE"""),66523.0)</f>
        <v>66523</v>
      </c>
      <c r="G126" s="3">
        <f>IFERROR(__xludf.DUMMYFUNCTION("""COMPUTED_VALUE"""),67252.0)</f>
        <v>67252</v>
      </c>
      <c r="H126" s="2" t="str">
        <f>IFERROR(__xludf.DUMMYFUNCTION("""COMPUTED_VALUE"""),"Infinity Energy Private Limited")</f>
        <v>Infinity Energy Private Limited</v>
      </c>
      <c r="I126" s="2" t="str">
        <f>IFERROR(__xludf.DUMMYFUNCTION("""COMPUTED_VALUE"""),"Gahanapokhari, Ward No 5, Kathmandu")</f>
        <v>Gahanapokhari, Ward No 5, Kathmandu</v>
      </c>
      <c r="J126" s="2" t="str">
        <f>IFERROR(__xludf.DUMMYFUNCTION("""COMPUTED_VALUE"""),"28o 21' 17""")</f>
        <v>28o 21' 17"</v>
      </c>
      <c r="K126" s="2" t="str">
        <f>IFERROR(__xludf.DUMMYFUNCTION("""COMPUTED_VALUE"""),"28o 22' 11""")</f>
        <v>28o 22' 11"</v>
      </c>
      <c r="L126" s="2" t="str">
        <f>IFERROR(__xludf.DUMMYFUNCTION("""COMPUTED_VALUE"""),"82o 48' 50""")</f>
        <v>82o 48' 50"</v>
      </c>
      <c r="M126" s="2" t="str">
        <f>IFERROR(__xludf.DUMMYFUNCTION("""COMPUTED_VALUE"""),"82o 50' 53""")</f>
        <v>82o 50' 53"</v>
      </c>
      <c r="N126" s="2" t="str">
        <f>IFERROR(__xludf.DUMMYFUNCTION("""COMPUTED_VALUE"""),"Gaam,Seram,Siuri (Rolpa)")</f>
        <v>Gaam,Seram,Siuri (Rolpa)</v>
      </c>
    </row>
    <row r="127">
      <c r="A127" s="2">
        <f>IFERROR(__xludf.DUMMYFUNCTION("""COMPUTED_VALUE"""),126.0)</f>
        <v>126</v>
      </c>
      <c r="B127" s="2" t="str">
        <f>IFERROR(__xludf.DUMMYFUNCTION("""COMPUTED_VALUE"""),"Gidi Khola Storage Hydropower Project")</f>
        <v>Gidi Khola Storage Hydropower Project</v>
      </c>
      <c r="C127" s="2">
        <f>IFERROR(__xludf.DUMMYFUNCTION("""COMPUTED_VALUE"""),72.89)</f>
        <v>72.89</v>
      </c>
      <c r="D127" s="2" t="str">
        <f>IFERROR(__xludf.DUMMYFUNCTION("""COMPUTED_VALUE"""),"Gidi")</f>
        <v>Gidi</v>
      </c>
      <c r="E127" s="2">
        <f>IFERROR(__xludf.DUMMYFUNCTION("""COMPUTED_VALUE"""),1419.0)</f>
        <v>1419</v>
      </c>
      <c r="F127" s="3">
        <f>IFERROR(__xludf.DUMMYFUNCTION("""COMPUTED_VALUE"""),66523.0)</f>
        <v>66523</v>
      </c>
      <c r="G127" s="3">
        <f>IFERROR(__xludf.DUMMYFUNCTION("""COMPUTED_VALUE"""),67252.0)</f>
        <v>67252</v>
      </c>
      <c r="H127" s="2" t="str">
        <f>IFERROR(__xludf.DUMMYFUNCTION("""COMPUTED_VALUE"""),"Aadyanta Investment Private Limited")</f>
        <v>Aadyanta Investment Private Limited</v>
      </c>
      <c r="I127" s="2" t="str">
        <f>IFERROR(__xludf.DUMMYFUNCTION("""COMPUTED_VALUE"""),"KMC-04")</f>
        <v>KMC-04</v>
      </c>
      <c r="J127" s="2" t="str">
        <f>IFERROR(__xludf.DUMMYFUNCTION("""COMPUTED_VALUE"""),"29o 08' 40""")</f>
        <v>29o 08' 40"</v>
      </c>
      <c r="K127" s="2" t="str">
        <f>IFERROR(__xludf.DUMMYFUNCTION("""COMPUTED_VALUE"""),"29o 13' 50""")</f>
        <v>29o 13' 50"</v>
      </c>
      <c r="L127" s="2" t="str">
        <f>IFERROR(__xludf.DUMMYFUNCTION("""COMPUTED_VALUE"""),"82o 09' 10""")</f>
        <v>82o 09' 10"</v>
      </c>
      <c r="M127" s="2" t="str">
        <f>IFERROR(__xludf.DUMMYFUNCTION("""COMPUTED_VALUE"""),"82o 12' 25""")</f>
        <v>82o 12' 25"</v>
      </c>
      <c r="N127" s="2" t="str">
        <f>IFERROR(__xludf.DUMMYFUNCTION("""COMPUTED_VALUE"""),"Depalgaun,Haku,Tamti (Jumla)")</f>
        <v>Depalgaun,Haku,Tamti (Jumla)</v>
      </c>
    </row>
    <row r="128">
      <c r="A128" s="2">
        <f>IFERROR(__xludf.DUMMYFUNCTION("""COMPUTED_VALUE"""),127.0)</f>
        <v>127</v>
      </c>
      <c r="B128" s="2" t="str">
        <f>IFERROR(__xludf.DUMMYFUNCTION("""COMPUTED_VALUE"""),"Kintang Khola Hydropower Project")</f>
        <v>Kintang Khola Hydropower Project</v>
      </c>
      <c r="C128" s="2">
        <f>IFERROR(__xludf.DUMMYFUNCTION("""COMPUTED_VALUE"""),6.15)</f>
        <v>6.15</v>
      </c>
      <c r="D128" s="2" t="str">
        <f>IFERROR(__xludf.DUMMYFUNCTION("""COMPUTED_VALUE"""),"Kintang Khola")</f>
        <v>Kintang Khola</v>
      </c>
      <c r="E128" s="2">
        <f>IFERROR(__xludf.DUMMYFUNCTION("""COMPUTED_VALUE"""),1416.0)</f>
        <v>1416</v>
      </c>
      <c r="F128" s="3">
        <f>IFERROR(__xludf.DUMMYFUNCTION("""COMPUTED_VALUE"""),66528.0)</f>
        <v>66528</v>
      </c>
      <c r="G128" s="3">
        <f>IFERROR(__xludf.DUMMYFUNCTION("""COMPUTED_VALUE"""),67257.0)</f>
        <v>67257</v>
      </c>
      <c r="H128" s="2" t="str">
        <f>IFERROR(__xludf.DUMMYFUNCTION("""COMPUTED_VALUE"""),"Eco Energy Power Private Limited")</f>
        <v>Eco Energy Power Private Limited</v>
      </c>
      <c r="I128" s="2" t="str">
        <f>IFERROR(__xludf.DUMMYFUNCTION("""COMPUTED_VALUE"""),"KMC-11, Tripureshwor, Kathmandu")</f>
        <v>KMC-11, Tripureshwor, Kathmandu</v>
      </c>
      <c r="J128" s="2" t="str">
        <f>IFERROR(__xludf.DUMMYFUNCTION("""COMPUTED_VALUE"""),"28o 01' 14""")</f>
        <v>28o 01' 14"</v>
      </c>
      <c r="K128" s="2" t="str">
        <f>IFERROR(__xludf.DUMMYFUNCTION("""COMPUTED_VALUE"""),"28o 01' 50""")</f>
        <v>28o 01' 50"</v>
      </c>
      <c r="L128" s="2" t="str">
        <f>IFERROR(__xludf.DUMMYFUNCTION("""COMPUTED_VALUE"""),"84o 58' 23""")</f>
        <v>84o 58' 23"</v>
      </c>
      <c r="M128" s="2" t="str">
        <f>IFERROR(__xludf.DUMMYFUNCTION("""COMPUTED_VALUE"""),"85o 01' 40""")</f>
        <v>85o 01' 40"</v>
      </c>
      <c r="N128" s="2" t="str">
        <f>IFERROR(__xludf.DUMMYFUNCTION("""COMPUTED_VALUE"""),"Satyadevi,Marpak (Dhading)")</f>
        <v>Satyadevi,Marpak (Dhading)</v>
      </c>
    </row>
    <row r="129">
      <c r="A129" s="2">
        <f>IFERROR(__xludf.DUMMYFUNCTION("""COMPUTED_VALUE"""),128.0)</f>
        <v>128</v>
      </c>
      <c r="B129" s="2" t="str">
        <f>IFERROR(__xludf.DUMMYFUNCTION("""COMPUTED_VALUE"""),"Phungling Phawa Hydropower Project")</f>
        <v>Phungling Phawa Hydropower Project</v>
      </c>
      <c r="C129" s="2">
        <f>IFERROR(__xludf.DUMMYFUNCTION("""COMPUTED_VALUE"""),4.5)</f>
        <v>4.5</v>
      </c>
      <c r="D129" s="2" t="str">
        <f>IFERROR(__xludf.DUMMYFUNCTION("""COMPUTED_VALUE"""),"Phawa Khola")</f>
        <v>Phawa Khola</v>
      </c>
      <c r="E129" s="2">
        <f>IFERROR(__xludf.DUMMYFUNCTION("""COMPUTED_VALUE"""),1417.0)</f>
        <v>1417</v>
      </c>
      <c r="F129" s="3">
        <f>IFERROR(__xludf.DUMMYFUNCTION("""COMPUTED_VALUE"""),66528.0)</f>
        <v>66528</v>
      </c>
      <c r="G129" s="3">
        <f>IFERROR(__xludf.DUMMYFUNCTION("""COMPUTED_VALUE"""),67257.0)</f>
        <v>67257</v>
      </c>
      <c r="H129" s="2" t="str">
        <f>IFERROR(__xludf.DUMMYFUNCTION("""COMPUTED_VALUE"""),"Amulya Urja Bikas Company Private Limited")</f>
        <v>Amulya Urja Bikas Company Private Limited</v>
      </c>
      <c r="I129" s="2" t="str">
        <f>IFERROR(__xludf.DUMMYFUNCTION("""COMPUTED_VALUE"""),"Kupandole - 1, Lalitpur")</f>
        <v>Kupandole - 1, Lalitpur</v>
      </c>
      <c r="J129" s="2" t="str">
        <f>IFERROR(__xludf.DUMMYFUNCTION("""COMPUTED_VALUE"""),"27o 22' 03""")</f>
        <v>27o 22' 03"</v>
      </c>
      <c r="K129" s="2" t="str">
        <f>IFERROR(__xludf.DUMMYFUNCTION("""COMPUTED_VALUE"""),"27o 23' 51""")</f>
        <v>27o 23' 51"</v>
      </c>
      <c r="L129" s="2" t="str">
        <f>IFERROR(__xludf.DUMMYFUNCTION("""COMPUTED_VALUE"""),"87o 46' 42""")</f>
        <v>87o 46' 42"</v>
      </c>
      <c r="M129" s="2" t="str">
        <f>IFERROR(__xludf.DUMMYFUNCTION("""COMPUTED_VALUE"""),"87o 47' 54""")</f>
        <v>87o 47' 54"</v>
      </c>
      <c r="N129" s="2" t="str">
        <f>IFERROR(__xludf.DUMMYFUNCTION("""COMPUTED_VALUE"""),"Sikaicha (Taplejung)")</f>
        <v>Sikaicha (Taplejung)</v>
      </c>
    </row>
    <row r="130">
      <c r="A130" s="2">
        <f>IFERROR(__xludf.DUMMYFUNCTION("""COMPUTED_VALUE"""),129.0)</f>
        <v>129</v>
      </c>
      <c r="B130" s="2" t="str">
        <f>IFERROR(__xludf.DUMMYFUNCTION("""COMPUTED_VALUE"""),"Chalban Khola Hydropower Project")</f>
        <v>Chalban Khola Hydropower Project</v>
      </c>
      <c r="C130" s="2">
        <f>IFERROR(__xludf.DUMMYFUNCTION("""COMPUTED_VALUE"""),2.83)</f>
        <v>2.83</v>
      </c>
      <c r="D130" s="2" t="str">
        <f>IFERROR(__xludf.DUMMYFUNCTION("""COMPUTED_VALUE"""),"Chalban")</f>
        <v>Chalban</v>
      </c>
      <c r="E130" s="2">
        <f>IFERROR(__xludf.DUMMYFUNCTION("""COMPUTED_VALUE"""),1418.0)</f>
        <v>1418</v>
      </c>
      <c r="F130" s="3">
        <f>IFERROR(__xludf.DUMMYFUNCTION("""COMPUTED_VALUE"""),66528.0)</f>
        <v>66528</v>
      </c>
      <c r="G130" s="3">
        <f>IFERROR(__xludf.DUMMYFUNCTION("""COMPUTED_VALUE"""),67257.0)</f>
        <v>67257</v>
      </c>
      <c r="H130" s="2" t="str">
        <f>IFERROR(__xludf.DUMMYFUNCTION("""COMPUTED_VALUE"""),"Jaljala Energy Private Limited")</f>
        <v>Jaljala Energy Private Limited</v>
      </c>
      <c r="I130" s="2" t="str">
        <f>IFERROR(__xludf.DUMMYFUNCTION("""COMPUTED_VALUE"""),"Gahanapokhari, Ward No 5, Kathmandu")</f>
        <v>Gahanapokhari, Ward No 5, Kathmandu</v>
      </c>
      <c r="J130" s="2" t="str">
        <f>IFERROR(__xludf.DUMMYFUNCTION("""COMPUTED_VALUE"""),"28o 22' 21""")</f>
        <v>28o 22' 21"</v>
      </c>
      <c r="K130" s="2" t="str">
        <f>IFERROR(__xludf.DUMMYFUNCTION("""COMPUTED_VALUE"""),"28o 23' 20""")</f>
        <v>28o 23' 20"</v>
      </c>
      <c r="L130" s="2" t="str">
        <f>IFERROR(__xludf.DUMMYFUNCTION("""COMPUTED_VALUE"""),"82o 52' 44""")</f>
        <v>82o 52' 44"</v>
      </c>
      <c r="M130" s="2" t="str">
        <f>IFERROR(__xludf.DUMMYFUNCTION("""COMPUTED_VALUE"""),"82o 53' 27""")</f>
        <v>82o 53' 27"</v>
      </c>
      <c r="N130" s="2" t="str">
        <f>IFERROR(__xludf.DUMMYFUNCTION("""COMPUTED_VALUE"""),"Gaam (Rolpa)")</f>
        <v>Gaam (Rolpa)</v>
      </c>
    </row>
    <row r="131">
      <c r="A131" s="2">
        <f>IFERROR(__xludf.DUMMYFUNCTION("""COMPUTED_VALUE"""),130.0)</f>
        <v>130</v>
      </c>
      <c r="B131" s="2" t="str">
        <f>IFERROR(__xludf.DUMMYFUNCTION("""COMPUTED_VALUE"""),"Upper Chaudhabis Khola Hydropower Project")</f>
        <v>Upper Chaudhabis Khola Hydropower Project</v>
      </c>
      <c r="C131" s="2">
        <f>IFERROR(__xludf.DUMMYFUNCTION("""COMPUTED_VALUE"""),9.85)</f>
        <v>9.85</v>
      </c>
      <c r="D131" s="2" t="str">
        <f>IFERROR(__xludf.DUMMYFUNCTION("""COMPUTED_VALUE"""),"Chaudhabis Khola")</f>
        <v>Chaudhabis Khola</v>
      </c>
      <c r="E131" s="2">
        <f>IFERROR(__xludf.DUMMYFUNCTION("""COMPUTED_VALUE"""),1420.0)</f>
        <v>1420</v>
      </c>
      <c r="F131" s="3">
        <f>IFERROR(__xludf.DUMMYFUNCTION("""COMPUTED_VALUE"""),66534.0)</f>
        <v>66534</v>
      </c>
      <c r="G131" s="3">
        <f>IFERROR(__xludf.DUMMYFUNCTION("""COMPUTED_VALUE"""),67263.0)</f>
        <v>67263</v>
      </c>
      <c r="H131" s="2" t="str">
        <f>IFERROR(__xludf.DUMMYFUNCTION("""COMPUTED_VALUE"""),"Bakaiya Thakur Hydropower Private Limited")</f>
        <v>Bakaiya Thakur Hydropower Private Limited</v>
      </c>
      <c r="I131" s="2" t="str">
        <f>IFERROR(__xludf.DUMMYFUNCTION("""COMPUTED_VALUE"""),"Dhumbarahi - 4, Kathmandu, Nepal")</f>
        <v>Dhumbarahi - 4, Kathmandu, Nepal</v>
      </c>
      <c r="J131" s="2" t="str">
        <f>IFERROR(__xludf.DUMMYFUNCTION("""COMPUTED_VALUE"""),"29o 19' 26""")</f>
        <v>29o 19' 26"</v>
      </c>
      <c r="K131" s="2" t="str">
        <f>IFERROR(__xludf.DUMMYFUNCTION("""COMPUTED_VALUE"""),"29o 20' 25""")</f>
        <v>29o 20' 25"</v>
      </c>
      <c r="L131" s="2" t="str">
        <f>IFERROR(__xludf.DUMMYFUNCTION("""COMPUTED_VALUE"""),"82o 26' 16""")</f>
        <v>82o 26' 16"</v>
      </c>
      <c r="M131" s="2" t="str">
        <f>IFERROR(__xludf.DUMMYFUNCTION("""COMPUTED_VALUE"""),"82o 27' 41""")</f>
        <v>82o 27' 41"</v>
      </c>
      <c r="N131" s="2" t="str">
        <f>IFERROR(__xludf.DUMMYFUNCTION("""COMPUTED_VALUE"""),"Patarasi (Jumla)")</f>
        <v>Patarasi (Jumla)</v>
      </c>
    </row>
    <row r="132">
      <c r="A132" s="2">
        <f>IFERROR(__xludf.DUMMYFUNCTION("""COMPUTED_VALUE"""),131.0)</f>
        <v>131</v>
      </c>
      <c r="B132" s="2" t="str">
        <f>IFERROR(__xludf.DUMMYFUNCTION("""COMPUTED_VALUE"""),"Lower Sunigad Hydropower Project")</f>
        <v>Lower Sunigad Hydropower Project</v>
      </c>
      <c r="C132" s="2">
        <f>IFERROR(__xludf.DUMMYFUNCTION("""COMPUTED_VALUE"""),4.8)</f>
        <v>4.8</v>
      </c>
      <c r="D132" s="2" t="str">
        <f>IFERROR(__xludf.DUMMYFUNCTION("""COMPUTED_VALUE"""),"Sunigad")</f>
        <v>Sunigad</v>
      </c>
      <c r="E132" s="2">
        <f>IFERROR(__xludf.DUMMYFUNCTION("""COMPUTED_VALUE"""),1423.0)</f>
        <v>1423</v>
      </c>
      <c r="F132" s="3">
        <f>IFERROR(__xludf.DUMMYFUNCTION("""COMPUTED_VALUE"""),66534.0)</f>
        <v>66534</v>
      </c>
      <c r="G132" s="3">
        <f>IFERROR(__xludf.DUMMYFUNCTION("""COMPUTED_VALUE"""),67263.0)</f>
        <v>67263</v>
      </c>
      <c r="H132" s="2" t="str">
        <f>IFERROR(__xludf.DUMMYFUNCTION("""COMPUTED_VALUE"""),"Danfe Energy Development Group")</f>
        <v>Danfe Energy Development Group</v>
      </c>
      <c r="I132" s="2" t="str">
        <f>IFERROR(__xludf.DUMMYFUNCTION("""COMPUTED_VALUE"""),"KMC - 32, Koteshwor, Kathmandu")</f>
        <v>KMC - 32, Koteshwor, Kathmandu</v>
      </c>
      <c r="J132" s="2" t="str">
        <f>IFERROR(__xludf.DUMMYFUNCTION("""COMPUTED_VALUE"""),"29o 34' 40""")</f>
        <v>29o 34' 40"</v>
      </c>
      <c r="K132" s="2" t="str">
        <f>IFERROR(__xludf.DUMMYFUNCTION("""COMPUTED_VALUE"""),"29o 36' 10""")</f>
        <v>29o 36' 10"</v>
      </c>
      <c r="L132" s="2" t="str">
        <f>IFERROR(__xludf.DUMMYFUNCTION("""COMPUTED_VALUE"""),"81o 12' 30""")</f>
        <v>81o 12' 30"</v>
      </c>
      <c r="M132" s="2" t="str">
        <f>IFERROR(__xludf.DUMMYFUNCTION("""COMPUTED_VALUE"""),"81o 14' 00""")</f>
        <v>81o 14' 00"</v>
      </c>
      <c r="N132" s="2"/>
    </row>
    <row r="133">
      <c r="A133" s="2">
        <f>IFERROR(__xludf.DUMMYFUNCTION("""COMPUTED_VALUE"""),132.0)</f>
        <v>132</v>
      </c>
      <c r="B133" s="2" t="str">
        <f>IFERROR(__xludf.DUMMYFUNCTION("""COMPUTED_VALUE"""),"Trishuli Galchi Hydropower Project")</f>
        <v>Trishuli Galchi Hydropower Project</v>
      </c>
      <c r="C133" s="2">
        <f>IFERROR(__xludf.DUMMYFUNCTION("""COMPUTED_VALUE"""),30.0)</f>
        <v>30</v>
      </c>
      <c r="D133" s="2" t="str">
        <f>IFERROR(__xludf.DUMMYFUNCTION("""COMPUTED_VALUE"""),"Trishuli Nadi")</f>
        <v>Trishuli Nadi</v>
      </c>
      <c r="E133" s="2">
        <f>IFERROR(__xludf.DUMMYFUNCTION("""COMPUTED_VALUE"""),1421.0)</f>
        <v>1421</v>
      </c>
      <c r="F133" s="3">
        <f>IFERROR(__xludf.DUMMYFUNCTION("""COMPUTED_VALUE"""),66536.0)</f>
        <v>66536</v>
      </c>
      <c r="G133" s="2" t="str">
        <f>IFERROR(__xludf.DUMMYFUNCTION("""COMPUTED_VALUE"""),"2084-02-31")</f>
        <v>2084-02-31</v>
      </c>
      <c r="H133" s="2" t="str">
        <f>IFERROR(__xludf.DUMMYFUNCTION("""COMPUTED_VALUE"""),"Api Power Company Limited")</f>
        <v>Api Power Company Limited</v>
      </c>
      <c r="I133" s="2" t="str">
        <f>IFERROR(__xludf.DUMMYFUNCTION("""COMPUTED_VALUE"""),"Trade Tower ,Thapathali,Kathmandu-11")</f>
        <v>Trade Tower ,Thapathali,Kathmandu-11</v>
      </c>
      <c r="J133" s="2" t="str">
        <f>IFERROR(__xludf.DUMMYFUNCTION("""COMPUTED_VALUE"""),"27o 50' 41""")</f>
        <v>27o 50' 41"</v>
      </c>
      <c r="K133" s="2" t="str">
        <f>IFERROR(__xludf.DUMMYFUNCTION("""COMPUTED_VALUE"""),"27o 51' 28""")</f>
        <v>27o 51' 28"</v>
      </c>
      <c r="L133" s="2" t="str">
        <f>IFERROR(__xludf.DUMMYFUNCTION("""COMPUTED_VALUE"""),"85o 01' 48""")</f>
        <v>85o 01' 48"</v>
      </c>
      <c r="M133" s="2" t="str">
        <f>IFERROR(__xludf.DUMMYFUNCTION("""COMPUTED_VALUE"""),"85o 03' 32""")</f>
        <v>85o 03' 32"</v>
      </c>
      <c r="N133" s="2" t="str">
        <f>IFERROR(__xludf.DUMMYFUNCTION("""COMPUTED_VALUE"""),"Budhasing,Ratmate (Nuwakot)")</f>
        <v>Budhasing,Ratmate (Nuwakot)</v>
      </c>
    </row>
    <row r="134">
      <c r="A134" s="2">
        <f>IFERROR(__xludf.DUMMYFUNCTION("""COMPUTED_VALUE"""),133.0)</f>
        <v>133</v>
      </c>
      <c r="B134" s="2" t="str">
        <f>IFERROR(__xludf.DUMMYFUNCTION("""COMPUTED_VALUE"""),"Gaja Khola Hydropower Project")</f>
        <v>Gaja Khola Hydropower Project</v>
      </c>
      <c r="C134" s="2">
        <f>IFERROR(__xludf.DUMMYFUNCTION("""COMPUTED_VALUE"""),4.7)</f>
        <v>4.7</v>
      </c>
      <c r="D134" s="2" t="str">
        <f>IFERROR(__xludf.DUMMYFUNCTION("""COMPUTED_VALUE"""),"Gaja Khola")</f>
        <v>Gaja Khola</v>
      </c>
      <c r="E134" s="2">
        <f>IFERROR(__xludf.DUMMYFUNCTION("""COMPUTED_VALUE"""),1422.0)</f>
        <v>1422</v>
      </c>
      <c r="F134" s="3">
        <f>IFERROR(__xludf.DUMMYFUNCTION("""COMPUTED_VALUE"""),66537.0)</f>
        <v>66537</v>
      </c>
      <c r="G134" s="3">
        <f>IFERROR(__xludf.DUMMYFUNCTION("""COMPUTED_VALUE"""),67267.0)</f>
        <v>67267</v>
      </c>
      <c r="H134" s="2" t="str">
        <f>IFERROR(__xludf.DUMMYFUNCTION("""COMPUTED_VALUE"""),"Dream Energy Private Limited")</f>
        <v>Dream Energy Private Limited</v>
      </c>
      <c r="I134" s="2" t="str">
        <f>IFERROR(__xludf.DUMMYFUNCTION("""COMPUTED_VALUE"""),"Gahanapokhari, Ward No 5, Kathmandu")</f>
        <v>Gahanapokhari, Ward No 5, Kathmandu</v>
      </c>
      <c r="J134" s="2" t="str">
        <f>IFERROR(__xludf.DUMMYFUNCTION("""COMPUTED_VALUE"""),"28o 22' 14""")</f>
        <v>28o 22' 14"</v>
      </c>
      <c r="K134" s="2" t="str">
        <f>IFERROR(__xludf.DUMMYFUNCTION("""COMPUTED_VALUE"""),"28o 22' 46""")</f>
        <v>28o 22' 46"</v>
      </c>
      <c r="L134" s="2" t="str">
        <f>IFERROR(__xludf.DUMMYFUNCTION("""COMPUTED_VALUE"""),"82o 51' 05""")</f>
        <v>82o 51' 05"</v>
      </c>
      <c r="M134" s="2" t="str">
        <f>IFERROR(__xludf.DUMMYFUNCTION("""COMPUTED_VALUE"""),"82o 52' 09""")</f>
        <v>82o 52' 09"</v>
      </c>
      <c r="N134" s="2" t="str">
        <f>IFERROR(__xludf.DUMMYFUNCTION("""COMPUTED_VALUE"""),"Gaam (Rolpa)")</f>
        <v>Gaam (Rolpa)</v>
      </c>
    </row>
    <row r="135">
      <c r="A135" s="2">
        <f>IFERROR(__xludf.DUMMYFUNCTION("""COMPUTED_VALUE"""),134.0)</f>
        <v>134</v>
      </c>
      <c r="B135" s="2" t="str">
        <f>IFERROR(__xludf.DUMMYFUNCTION("""COMPUTED_VALUE"""),"Khani Khola - 1 Hydropower Project")</f>
        <v>Khani Khola - 1 Hydropower Project</v>
      </c>
      <c r="C135" s="2">
        <f>IFERROR(__xludf.DUMMYFUNCTION("""COMPUTED_VALUE"""),3.6)</f>
        <v>3.6</v>
      </c>
      <c r="D135" s="2" t="str">
        <f>IFERROR(__xludf.DUMMYFUNCTION("""COMPUTED_VALUE"""),"Khani Khola (Lalitpur)")</f>
        <v>Khani Khola (Lalitpur)</v>
      </c>
      <c r="E135" s="2">
        <f>IFERROR(__xludf.DUMMYFUNCTION("""COMPUTED_VALUE"""),1424.0)</f>
        <v>1424</v>
      </c>
      <c r="F135" s="3">
        <f>IFERROR(__xludf.DUMMYFUNCTION("""COMPUTED_VALUE"""),66547.0)</f>
        <v>66547</v>
      </c>
      <c r="G135" s="3">
        <f>IFERROR(__xludf.DUMMYFUNCTION("""COMPUTED_VALUE"""),67277.0)</f>
        <v>67277</v>
      </c>
      <c r="H135" s="2" t="str">
        <f>IFERROR(__xludf.DUMMYFUNCTION("""COMPUTED_VALUE"""),"Sthyaniya Hydro Energy Private Limited")</f>
        <v>Sthyaniya Hydro Energy Private Limited</v>
      </c>
      <c r="I135" s="2" t="str">
        <f>IFERROR(__xludf.DUMMYFUNCTION("""COMPUTED_VALUE"""),"Godavari, Lalitpur")</f>
        <v>Godavari, Lalitpur</v>
      </c>
      <c r="J135" s="2" t="str">
        <f>IFERROR(__xludf.DUMMYFUNCTION("""COMPUTED_VALUE"""),"27o 28' 15""")</f>
        <v>27o 28' 15"</v>
      </c>
      <c r="K135" s="2" t="str">
        <f>IFERROR(__xludf.DUMMYFUNCTION("""COMPUTED_VALUE"""),"27o 29' 15""")</f>
        <v>27o 29' 15"</v>
      </c>
      <c r="L135" s="2" t="str">
        <f>IFERROR(__xludf.DUMMYFUNCTION("""COMPUTED_VALUE"""),"85o 15' 22""")</f>
        <v>85o 15' 22"</v>
      </c>
      <c r="M135" s="2" t="str">
        <f>IFERROR(__xludf.DUMMYFUNCTION("""COMPUTED_VALUE"""),"85o 17' 05""")</f>
        <v>85o 17' 05"</v>
      </c>
      <c r="N135" s="2" t="str">
        <f>IFERROR(__xludf.DUMMYFUNCTION("""COMPUTED_VALUE"""),"Bhattedanda,Malta,Pyutar (Lalitpur)")</f>
        <v>Bhattedanda,Malta,Pyutar (Lalitpur)</v>
      </c>
    </row>
    <row r="136">
      <c r="A136" s="2">
        <f>IFERROR(__xludf.DUMMYFUNCTION("""COMPUTED_VALUE"""),135.0)</f>
        <v>135</v>
      </c>
      <c r="B136" s="2" t="str">
        <f>IFERROR(__xludf.DUMMYFUNCTION("""COMPUTED_VALUE"""),"Rauje Khola Hydropower Project")</f>
        <v>Rauje Khola Hydropower Project</v>
      </c>
      <c r="C136" s="2">
        <f>IFERROR(__xludf.DUMMYFUNCTION("""COMPUTED_VALUE"""),4.23)</f>
        <v>4.23</v>
      </c>
      <c r="D136" s="2" t="str">
        <f>IFERROR(__xludf.DUMMYFUNCTION("""COMPUTED_VALUE"""),"Rauje Khola")</f>
        <v>Rauje Khola</v>
      </c>
      <c r="E136" s="2">
        <f>IFERROR(__xludf.DUMMYFUNCTION("""COMPUTED_VALUE"""),1427.0)</f>
        <v>1427</v>
      </c>
      <c r="F136" s="3">
        <f>IFERROR(__xludf.DUMMYFUNCTION("""COMPUTED_VALUE"""),66551.0)</f>
        <v>66551</v>
      </c>
      <c r="G136" s="3">
        <f>IFERROR(__xludf.DUMMYFUNCTION("""COMPUTED_VALUE"""),67281.0)</f>
        <v>67281</v>
      </c>
      <c r="H136" s="2" t="str">
        <f>IFERROR(__xludf.DUMMYFUNCTION("""COMPUTED_VALUE"""),"Everbright Energy Private Limited")</f>
        <v>Everbright Energy Private Limited</v>
      </c>
      <c r="I136" s="2" t="str">
        <f>IFERROR(__xludf.DUMMYFUNCTION("""COMPUTED_VALUE"""),"Lampokhari marg - 7, Kathmandu")</f>
        <v>Lampokhari marg - 7, Kathmandu</v>
      </c>
      <c r="J136" s="2" t="str">
        <f>IFERROR(__xludf.DUMMYFUNCTION("""COMPUTED_VALUE"""),"27o 38' 08""")</f>
        <v>27o 38' 08"</v>
      </c>
      <c r="K136" s="2" t="str">
        <f>IFERROR(__xludf.DUMMYFUNCTION("""COMPUTED_VALUE"""),"27o 39' 39""")</f>
        <v>27o 39' 39"</v>
      </c>
      <c r="L136" s="2" t="str">
        <f>IFERROR(__xludf.DUMMYFUNCTION("""COMPUTED_VALUE"""),"86o 39' 19""")</f>
        <v>86o 39' 19"</v>
      </c>
      <c r="M136" s="2" t="str">
        <f>IFERROR(__xludf.DUMMYFUNCTION("""COMPUTED_VALUE"""),"86o 40' 32""")</f>
        <v>86o 40' 32"</v>
      </c>
      <c r="N136" s="2" t="str">
        <f>IFERROR(__xludf.DUMMYFUNCTION("""COMPUTED_VALUE"""),"Takasindu (Solukhumbu)")</f>
        <v>Takasindu (Solukhumbu)</v>
      </c>
    </row>
    <row r="137">
      <c r="A137" s="2">
        <f>IFERROR(__xludf.DUMMYFUNCTION("""COMPUTED_VALUE"""),136.0)</f>
        <v>136</v>
      </c>
      <c r="B137" s="2" t="str">
        <f>IFERROR(__xludf.DUMMYFUNCTION("""COMPUTED_VALUE"""),"Deumai Khola Storage Hydropower Project")</f>
        <v>Deumai Khola Storage Hydropower Project</v>
      </c>
      <c r="C137" s="2">
        <f>IFERROR(__xludf.DUMMYFUNCTION("""COMPUTED_VALUE"""),57.56)</f>
        <v>57.56</v>
      </c>
      <c r="D137" s="2" t="str">
        <f>IFERROR(__xludf.DUMMYFUNCTION("""COMPUTED_VALUE"""),"deumai")</f>
        <v>deumai</v>
      </c>
      <c r="E137" s="2">
        <f>IFERROR(__xludf.DUMMYFUNCTION("""COMPUTED_VALUE"""),1428.0)</f>
        <v>1428</v>
      </c>
      <c r="F137" s="3">
        <f>IFERROR(__xludf.DUMMYFUNCTION("""COMPUTED_VALUE"""),66551.0)</f>
        <v>66551</v>
      </c>
      <c r="G137" s="3">
        <f>IFERROR(__xludf.DUMMYFUNCTION("""COMPUTED_VALUE"""),67281.0)</f>
        <v>67281</v>
      </c>
      <c r="H137" s="2" t="str">
        <f>IFERROR(__xludf.DUMMYFUNCTION("""COMPUTED_VALUE"""),"Big Storage Energy Private Limited")</f>
        <v>Big Storage Energy Private Limited</v>
      </c>
      <c r="I137" s="2" t="str">
        <f>IFERROR(__xludf.DUMMYFUNCTION("""COMPUTED_VALUE"""),"Kalopul-07, Kathmandu Nepal, 01-4562844")</f>
        <v>Kalopul-07, Kathmandu Nepal, 01-4562844</v>
      </c>
      <c r="J137" s="2" t="str">
        <f>IFERROR(__xludf.DUMMYFUNCTION("""COMPUTED_VALUE"""),"26o 49' 23""")</f>
        <v>26o 49' 23"</v>
      </c>
      <c r="K137" s="2" t="str">
        <f>IFERROR(__xludf.DUMMYFUNCTION("""COMPUTED_VALUE"""),"26o 54' 39""")</f>
        <v>26o 54' 39"</v>
      </c>
      <c r="L137" s="2" t="str">
        <f>IFERROR(__xludf.DUMMYFUNCTION("""COMPUTED_VALUE"""),"87o 45' 00""")</f>
        <v>87o 45' 00"</v>
      </c>
      <c r="M137" s="2" t="str">
        <f>IFERROR(__xludf.DUMMYFUNCTION("""COMPUTED_VALUE"""),"87o 47' 30""")</f>
        <v>87o 47' 30"</v>
      </c>
      <c r="N137" s="2" t="str">
        <f>IFERROR(__xludf.DUMMYFUNCTION("""COMPUTED_VALUE"""),"Mahamai (Ilam)")</f>
        <v>Mahamai (Ilam)</v>
      </c>
    </row>
    <row r="138">
      <c r="A138" s="2">
        <f>IFERROR(__xludf.DUMMYFUNCTION("""COMPUTED_VALUE"""),137.0)</f>
        <v>137</v>
      </c>
      <c r="B138" s="2" t="str">
        <f>IFERROR(__xludf.DUMMYFUNCTION("""COMPUTED_VALUE"""),"Super Mimiban Khola Hydropower Project")</f>
        <v>Super Mimiban Khola Hydropower Project</v>
      </c>
      <c r="C138" s="2">
        <f>IFERROR(__xludf.DUMMYFUNCTION("""COMPUTED_VALUE"""),35.1)</f>
        <v>35.1</v>
      </c>
      <c r="D138" s="2" t="str">
        <f>IFERROR(__xludf.DUMMYFUNCTION("""COMPUTED_VALUE"""),"Mimiban Khola")</f>
        <v>Mimiban Khola</v>
      </c>
      <c r="E138" s="2">
        <f>IFERROR(__xludf.DUMMYFUNCTION("""COMPUTED_VALUE"""),1430.0)</f>
        <v>1430</v>
      </c>
      <c r="F138" s="3">
        <f>IFERROR(__xludf.DUMMYFUNCTION("""COMPUTED_VALUE"""),66553.0)</f>
        <v>66553</v>
      </c>
      <c r="G138" s="3">
        <f>IFERROR(__xludf.DUMMYFUNCTION("""COMPUTED_VALUE"""),67283.0)</f>
        <v>67283</v>
      </c>
      <c r="H138" s="2" t="str">
        <f>IFERROR(__xludf.DUMMYFUNCTION("""COMPUTED_VALUE"""),"KPC Energy Company Private Limited")</f>
        <v>KPC Energy Company Private Limited</v>
      </c>
      <c r="I138" s="2" t="str">
        <f>IFERROR(__xludf.DUMMYFUNCTION("""COMPUTED_VALUE"""),"Kathmandu - 17, Khusibhu")</f>
        <v>Kathmandu - 17, Khusibhu</v>
      </c>
      <c r="J138" s="2" t="str">
        <f>IFERROR(__xludf.DUMMYFUNCTION("""COMPUTED_VALUE"""),"29o 44' 14""")</f>
        <v>29o 44' 14"</v>
      </c>
      <c r="K138" s="2" t="str">
        <f>IFERROR(__xludf.DUMMYFUNCTION("""COMPUTED_VALUE"""),"29o 46' 24""")</f>
        <v>29o 46' 24"</v>
      </c>
      <c r="L138" s="2" t="str">
        <f>IFERROR(__xludf.DUMMYFUNCTION("""COMPUTED_VALUE"""),"82o 10' 30""")</f>
        <v>82o 10' 30"</v>
      </c>
      <c r="M138" s="2" t="str">
        <f>IFERROR(__xludf.DUMMYFUNCTION("""COMPUTED_VALUE"""),"82o 15' 00""")</f>
        <v>82o 15' 00"</v>
      </c>
      <c r="N138" s="2" t="str">
        <f>IFERROR(__xludf.DUMMYFUNCTION("""COMPUTED_VALUE"""),"Mimi (Humla)")</f>
        <v>Mimi (Humla)</v>
      </c>
    </row>
    <row r="139">
      <c r="A139" s="2">
        <f>IFERROR(__xludf.DUMMYFUNCTION("""COMPUTED_VALUE"""),138.0)</f>
        <v>138</v>
      </c>
      <c r="B139" s="2" t="str">
        <f>IFERROR(__xludf.DUMMYFUNCTION("""COMPUTED_VALUE"""),"Super Pikhuwa Hydropower Project")</f>
        <v>Super Pikhuwa Hydropower Project</v>
      </c>
      <c r="C139" s="2">
        <f>IFERROR(__xludf.DUMMYFUNCTION("""COMPUTED_VALUE"""),9.3)</f>
        <v>9.3</v>
      </c>
      <c r="D139" s="2" t="str">
        <f>IFERROR(__xludf.DUMMYFUNCTION("""COMPUTED_VALUE"""),"Pikhuwa")</f>
        <v>Pikhuwa</v>
      </c>
      <c r="E139" s="2">
        <f>IFERROR(__xludf.DUMMYFUNCTION("""COMPUTED_VALUE"""),1431.0)</f>
        <v>1431</v>
      </c>
      <c r="F139" s="3">
        <f>IFERROR(__xludf.DUMMYFUNCTION("""COMPUTED_VALUE"""),66553.0)</f>
        <v>66553</v>
      </c>
      <c r="G139" s="3">
        <f>IFERROR(__xludf.DUMMYFUNCTION("""COMPUTED_VALUE"""),67283.0)</f>
        <v>67283</v>
      </c>
      <c r="H139" s="2" t="str">
        <f>IFERROR(__xludf.DUMMYFUNCTION("""COMPUTED_VALUE"""),"Taksar Cascade Power Private Limited")</f>
        <v>Taksar Cascade Power Private Limited</v>
      </c>
      <c r="I139" s="2" t="str">
        <f>IFERROR(__xludf.DUMMYFUNCTION("""COMPUTED_VALUE"""),"Om Dev Plaza (6th Floor), Khichapokhari, Newroad - 32, Kathmandu 
(01-5321777)")</f>
        <v>Om Dev Plaza (6th Floor), Khichapokhari, Newroad - 32, Kathmandu 
(01-5321777)</v>
      </c>
      <c r="J139" s="2" t="str">
        <f>IFERROR(__xludf.DUMMYFUNCTION("""COMPUTED_VALUE"""),"27o 04' 16""")</f>
        <v>27o 04' 16"</v>
      </c>
      <c r="K139" s="2" t="str">
        <f>IFERROR(__xludf.DUMMYFUNCTION("""COMPUTED_VALUE"""),"27o 05' 30""")</f>
        <v>27o 05' 30"</v>
      </c>
      <c r="L139" s="2" t="str">
        <f>IFERROR(__xludf.DUMMYFUNCTION("""COMPUTED_VALUE"""),"87o 06' 16""")</f>
        <v>87o 06' 16"</v>
      </c>
      <c r="M139" s="2" t="str">
        <f>IFERROR(__xludf.DUMMYFUNCTION("""COMPUTED_VALUE"""),"87o 08' 29""")</f>
        <v>87o 08' 29"</v>
      </c>
      <c r="N139" s="2" t="str">
        <f>IFERROR(__xludf.DUMMYFUNCTION("""COMPUTED_VALUE"""),"Basteem,Mane Bhanjyang,Thulo Dumba,Ranibas (Bhojpur)")</f>
        <v>Basteem,Mane Bhanjyang,Thulo Dumba,Ranibas (Bhojpur)</v>
      </c>
    </row>
    <row r="140">
      <c r="A140" s="2">
        <f>IFERROR(__xludf.DUMMYFUNCTION("""COMPUTED_VALUE"""),139.0)</f>
        <v>139</v>
      </c>
      <c r="B140" s="2" t="str">
        <f>IFERROR(__xludf.DUMMYFUNCTION("""COMPUTED_VALUE"""),"Maran Khola Hydropower Project")</f>
        <v>Maran Khola Hydropower Project</v>
      </c>
      <c r="C140" s="2">
        <f>IFERROR(__xludf.DUMMYFUNCTION("""COMPUTED_VALUE"""),4.018)</f>
        <v>4.018</v>
      </c>
      <c r="D140" s="2" t="str">
        <f>IFERROR(__xludf.DUMMYFUNCTION("""COMPUTED_VALUE"""),"Maran")</f>
        <v>Maran</v>
      </c>
      <c r="E140" s="2">
        <f>IFERROR(__xludf.DUMMYFUNCTION("""COMPUTED_VALUE"""),1432.0)</f>
        <v>1432</v>
      </c>
      <c r="F140" s="3">
        <f>IFERROR(__xludf.DUMMYFUNCTION("""COMPUTED_VALUE"""),66554.0)</f>
        <v>66554</v>
      </c>
      <c r="G140" s="3">
        <f>IFERROR(__xludf.DUMMYFUNCTION("""COMPUTED_VALUE"""),67284.0)</f>
        <v>67284</v>
      </c>
      <c r="H140" s="2" t="str">
        <f>IFERROR(__xludf.DUMMYFUNCTION("""COMPUTED_VALUE"""),"Alpha Hydro Private Limited")</f>
        <v>Alpha Hydro Private Limited</v>
      </c>
      <c r="I140" s="2" t="str">
        <f>IFERROR(__xludf.DUMMYFUNCTION("""COMPUTED_VALUE"""),"Buddanagar-10, Kathmandu")</f>
        <v>Buddanagar-10, Kathmandu</v>
      </c>
      <c r="J140" s="2" t="str">
        <f>IFERROR(__xludf.DUMMYFUNCTION("""COMPUTED_VALUE"""),"28o 27' 35""")</f>
        <v>28o 27' 35"</v>
      </c>
      <c r="K140" s="2" t="str">
        <f>IFERROR(__xludf.DUMMYFUNCTION("""COMPUTED_VALUE"""),"28o 28' 24""")</f>
        <v>28o 28' 24"</v>
      </c>
      <c r="L140" s="2" t="str">
        <f>IFERROR(__xludf.DUMMYFUNCTION("""COMPUTED_VALUE"""),"83o 23' 06""")</f>
        <v>83o 23' 06"</v>
      </c>
      <c r="M140" s="2" t="str">
        <f>IFERROR(__xludf.DUMMYFUNCTION("""COMPUTED_VALUE"""),"83o 23' 55""")</f>
        <v>83o 23' 55"</v>
      </c>
      <c r="N140" s="2" t="str">
        <f>IFERROR(__xludf.DUMMYFUNCTION("""COMPUTED_VALUE"""),"Darwang,Marang,Devisthan (Myagdi)")</f>
        <v>Darwang,Marang,Devisthan (Myagdi)</v>
      </c>
    </row>
    <row r="141">
      <c r="A141" s="2">
        <f>IFERROR(__xludf.DUMMYFUNCTION("""COMPUTED_VALUE"""),140.0)</f>
        <v>140</v>
      </c>
      <c r="B141" s="2" t="str">
        <f>IFERROR(__xludf.DUMMYFUNCTION("""COMPUTED_VALUE"""),"Talkoti Gad Hydropower Project")</f>
        <v>Talkoti Gad Hydropower Project</v>
      </c>
      <c r="C141" s="2">
        <f>IFERROR(__xludf.DUMMYFUNCTION("""COMPUTED_VALUE"""),7.1)</f>
        <v>7.1</v>
      </c>
      <c r="D141" s="2" t="str">
        <f>IFERROR(__xludf.DUMMYFUNCTION("""COMPUTED_VALUE"""),"Talkoti Gad")</f>
        <v>Talkoti Gad</v>
      </c>
      <c r="E141" s="2">
        <f>IFERROR(__xludf.DUMMYFUNCTION("""COMPUTED_VALUE"""),1433.0)</f>
        <v>1433</v>
      </c>
      <c r="F141" s="3">
        <f>IFERROR(__xludf.DUMMYFUNCTION("""COMPUTED_VALUE"""),66555.0)</f>
        <v>66555</v>
      </c>
      <c r="G141" s="3">
        <f>IFERROR(__xludf.DUMMYFUNCTION("""COMPUTED_VALUE"""),67285.0)</f>
        <v>67285</v>
      </c>
      <c r="H141" s="2" t="str">
        <f>IFERROR(__xludf.DUMMYFUNCTION("""COMPUTED_VALUE"""),"Saipal Venture Private Limited")</f>
        <v>Saipal Venture Private Limited</v>
      </c>
      <c r="I141" s="2" t="str">
        <f>IFERROR(__xludf.DUMMYFUNCTION("""COMPUTED_VALUE"""),"Kathmandu - 11, Babarmahal, 9805444577")</f>
        <v>Kathmandu - 11, Babarmahal, 9805444577</v>
      </c>
      <c r="J141" s="2" t="str">
        <f>IFERROR(__xludf.DUMMYFUNCTION("""COMPUTED_VALUE"""),"29o 36' 00""")</f>
        <v>29o 36' 00"</v>
      </c>
      <c r="K141" s="2" t="str">
        <f>IFERROR(__xludf.DUMMYFUNCTION("""COMPUTED_VALUE"""),"29o 36' 30""")</f>
        <v>29o 36' 30"</v>
      </c>
      <c r="L141" s="2" t="str">
        <f>IFERROR(__xludf.DUMMYFUNCTION("""COMPUTED_VALUE"""),"81o 17' 30""")</f>
        <v>81o 17' 30"</v>
      </c>
      <c r="M141" s="2" t="str">
        <f>IFERROR(__xludf.DUMMYFUNCTION("""COMPUTED_VALUE"""),"81o 20' 10""")</f>
        <v>81o 20' 10"</v>
      </c>
      <c r="N141" s="2" t="str">
        <f>IFERROR(__xludf.DUMMYFUNCTION("""COMPUTED_VALUE"""),"Dantola,Dhamena,Melbisauni (Bajhang)")</f>
        <v>Dantola,Dhamena,Melbisauni (Bajhang)</v>
      </c>
    </row>
    <row r="142">
      <c r="A142" s="2">
        <f>IFERROR(__xludf.DUMMYFUNCTION("""COMPUTED_VALUE"""),141.0)</f>
        <v>141</v>
      </c>
      <c r="B142" s="2" t="str">
        <f>IFERROR(__xludf.DUMMYFUNCTION("""COMPUTED_VALUE"""),"Sisa Khola Hydropower Project")</f>
        <v>Sisa Khola Hydropower Project</v>
      </c>
      <c r="C142" s="2">
        <f>IFERROR(__xludf.DUMMYFUNCTION("""COMPUTED_VALUE"""),5.0)</f>
        <v>5</v>
      </c>
      <c r="D142" s="2" t="str">
        <f>IFERROR(__xludf.DUMMYFUNCTION("""COMPUTED_VALUE"""),"Sisa Khola")</f>
        <v>Sisa Khola</v>
      </c>
      <c r="E142" s="2">
        <f>IFERROR(__xludf.DUMMYFUNCTION("""COMPUTED_VALUE"""),1434.0)</f>
        <v>1434</v>
      </c>
      <c r="F142" s="3">
        <f>IFERROR(__xludf.DUMMYFUNCTION("""COMPUTED_VALUE"""),66559.0)</f>
        <v>66559</v>
      </c>
      <c r="G142" s="3">
        <f>IFERROR(__xludf.DUMMYFUNCTION("""COMPUTED_VALUE"""),67289.0)</f>
        <v>67289</v>
      </c>
      <c r="H142" s="2" t="str">
        <f>IFERROR(__xludf.DUMMYFUNCTION("""COMPUTED_VALUE"""),"Gham Kheti Guru Company Limited")</f>
        <v>Gham Kheti Guru Company Limited</v>
      </c>
      <c r="I142" s="2" t="str">
        <f>IFERROR(__xludf.DUMMYFUNCTION("""COMPUTED_VALUE"""),"2nd Floor, Trade Tower, Thapathali, Kathmandu")</f>
        <v>2nd Floor, Trade Tower, Thapathali, Kathmandu</v>
      </c>
      <c r="J142" s="2" t="str">
        <f>IFERROR(__xludf.DUMMYFUNCTION("""COMPUTED_VALUE"""),"27o 26' 15""")</f>
        <v>27o 26' 15"</v>
      </c>
      <c r="K142" s="2" t="str">
        <f>IFERROR(__xludf.DUMMYFUNCTION("""COMPUTED_VALUE"""),"27o 27' 15""")</f>
        <v>27o 27' 15"</v>
      </c>
      <c r="L142" s="2" t="str">
        <f>IFERROR(__xludf.DUMMYFUNCTION("""COMPUTED_VALUE"""),"86o 30' 15""")</f>
        <v>86o 30' 15"</v>
      </c>
      <c r="M142" s="2" t="str">
        <f>IFERROR(__xludf.DUMMYFUNCTION("""COMPUTED_VALUE"""),"86o 33' 10""")</f>
        <v>86o 33' 10"</v>
      </c>
      <c r="N142" s="2" t="str">
        <f>IFERROR(__xludf.DUMMYFUNCTION("""COMPUTED_VALUE"""),"Gora Khami,Tapting,Salleri,Kerung (Solukhumbu)")</f>
        <v>Gora Khami,Tapting,Salleri,Kerung (Solukhumbu)</v>
      </c>
    </row>
    <row r="143">
      <c r="A143" s="2">
        <f>IFERROR(__xludf.DUMMYFUNCTION("""COMPUTED_VALUE"""),142.0)</f>
        <v>142</v>
      </c>
      <c r="B143" s="2" t="str">
        <f>IFERROR(__xludf.DUMMYFUNCTION("""COMPUTED_VALUE"""),"Mathillo Sanidogad Khola Hydropower Project")</f>
        <v>Mathillo Sanidogad Khola Hydropower Project</v>
      </c>
      <c r="C143" s="2">
        <f>IFERROR(__xludf.DUMMYFUNCTION("""COMPUTED_VALUE"""),8.0)</f>
        <v>8</v>
      </c>
      <c r="D143" s="2" t="str">
        <f>IFERROR(__xludf.DUMMYFUNCTION("""COMPUTED_VALUE"""),"Sanidogad Khola")</f>
        <v>Sanidogad Khola</v>
      </c>
      <c r="E143" s="2">
        <f>IFERROR(__xludf.DUMMYFUNCTION("""COMPUTED_VALUE"""),1435.0)</f>
        <v>1435</v>
      </c>
      <c r="F143" s="3">
        <f>IFERROR(__xludf.DUMMYFUNCTION("""COMPUTED_VALUE"""),66559.0)</f>
        <v>66559</v>
      </c>
      <c r="G143" s="3">
        <f>IFERROR(__xludf.DUMMYFUNCTION("""COMPUTED_VALUE"""),67289.0)</f>
        <v>67289</v>
      </c>
      <c r="H143" s="2" t="str">
        <f>IFERROR(__xludf.DUMMYFUNCTION("""COMPUTED_VALUE"""),"Saipal Venture Private Limited")</f>
        <v>Saipal Venture Private Limited</v>
      </c>
      <c r="I143" s="2" t="str">
        <f>IFERROR(__xludf.DUMMYFUNCTION("""COMPUTED_VALUE"""),"KMC-11, Kathmandu")</f>
        <v>KMC-11, Kathmandu</v>
      </c>
      <c r="J143" s="2" t="str">
        <f>IFERROR(__xludf.DUMMYFUNCTION("""COMPUTED_VALUE"""),"29o 15' 28""")</f>
        <v>29o 15' 28"</v>
      </c>
      <c r="K143" s="2" t="str">
        <f>IFERROR(__xludf.DUMMYFUNCTION("""COMPUTED_VALUE"""),"29o 17' 39""")</f>
        <v>29o 17' 39"</v>
      </c>
      <c r="L143" s="2" t="str">
        <f>IFERROR(__xludf.DUMMYFUNCTION("""COMPUTED_VALUE"""),"81o 34' 36""")</f>
        <v>81o 34' 36"</v>
      </c>
      <c r="M143" s="2" t="str">
        <f>IFERROR(__xludf.DUMMYFUNCTION("""COMPUTED_VALUE"""),"81o 36' 38""")</f>
        <v>81o 36' 38"</v>
      </c>
      <c r="N143" s="2" t="str">
        <f>IFERROR(__xludf.DUMMYFUNCTION("""COMPUTED_VALUE"""),"Sipkhana,Mehal Mudi,Mumrakot (Kalikot)")</f>
        <v>Sipkhana,Mehal Mudi,Mumrakot (Kalikot)</v>
      </c>
    </row>
    <row r="144">
      <c r="A144" s="2">
        <f>IFERROR(__xludf.DUMMYFUNCTION("""COMPUTED_VALUE"""),143.0)</f>
        <v>143</v>
      </c>
      <c r="B144" s="2" t="str">
        <f>IFERROR(__xludf.DUMMYFUNCTION("""COMPUTED_VALUE"""),"Mathillo Tap Khola Hydroelectric Project")</f>
        <v>Mathillo Tap Khola Hydroelectric Project</v>
      </c>
      <c r="C144" s="2">
        <f>IFERROR(__xludf.DUMMYFUNCTION("""COMPUTED_VALUE"""),5.8)</f>
        <v>5.8</v>
      </c>
      <c r="D144" s="2" t="str">
        <f>IFERROR(__xludf.DUMMYFUNCTION("""COMPUTED_VALUE"""),"Tap Khola")</f>
        <v>Tap Khola</v>
      </c>
      <c r="E144" s="2">
        <f>IFERROR(__xludf.DUMMYFUNCTION("""COMPUTED_VALUE"""),1436.0)</f>
        <v>1436</v>
      </c>
      <c r="F144" s="3">
        <f>IFERROR(__xludf.DUMMYFUNCTION("""COMPUTED_VALUE"""),66559.0)</f>
        <v>66559</v>
      </c>
      <c r="G144" s="3">
        <f>IFERROR(__xludf.DUMMYFUNCTION("""COMPUTED_VALUE"""),67289.0)</f>
        <v>67289</v>
      </c>
      <c r="H144" s="2" t="str">
        <f>IFERROR(__xludf.DUMMYFUNCTION("""COMPUTED_VALUE"""),"Mercury Energy Private Limited")</f>
        <v>Mercury Energy Private Limited</v>
      </c>
      <c r="I144" s="2" t="str">
        <f>IFERROR(__xludf.DUMMYFUNCTION("""COMPUTED_VALUE"""),"KMC-4, Kathmandu")</f>
        <v>KMC-4, Kathmandu</v>
      </c>
      <c r="J144" s="2" t="str">
        <f>IFERROR(__xludf.DUMMYFUNCTION("""COMPUTED_VALUE"""),"27o 18' 01""")</f>
        <v>27o 18' 01"</v>
      </c>
      <c r="K144" s="2" t="str">
        <f>IFERROR(__xludf.DUMMYFUNCTION("""COMPUTED_VALUE"""),"27o 18' 36""")</f>
        <v>27o 18' 36"</v>
      </c>
      <c r="L144" s="2" t="str">
        <f>IFERROR(__xludf.DUMMYFUNCTION("""COMPUTED_VALUE"""),"86o 52' 07""")</f>
        <v>86o 52' 07"</v>
      </c>
      <c r="M144" s="2" t="str">
        <f>IFERROR(__xludf.DUMMYFUNCTION("""COMPUTED_VALUE"""),"86o 54' 14""")</f>
        <v>86o 54' 14"</v>
      </c>
      <c r="N144" s="2" t="str">
        <f>IFERROR(__xludf.DUMMYFUNCTION("""COMPUTED_VALUE"""),"Phedi,Patheka,Khartamchha (Khotang)")</f>
        <v>Phedi,Patheka,Khartamchha (Khotang)</v>
      </c>
    </row>
    <row r="145">
      <c r="A145" s="2">
        <f>IFERROR(__xludf.DUMMYFUNCTION("""COMPUTED_VALUE"""),144.0)</f>
        <v>144</v>
      </c>
      <c r="B145" s="2" t="str">
        <f>IFERROR(__xludf.DUMMYFUNCTION("""COMPUTED_VALUE"""),"Yankhuwa - Nakhuwa Khola Hydropower Project")</f>
        <v>Yankhuwa - Nakhuwa Khola Hydropower Project</v>
      </c>
      <c r="C145" s="2">
        <f>IFERROR(__xludf.DUMMYFUNCTION("""COMPUTED_VALUE"""),4.92)</f>
        <v>4.92</v>
      </c>
      <c r="D145" s="2" t="str">
        <f>IFERROR(__xludf.DUMMYFUNCTION("""COMPUTED_VALUE"""),"Yankhuwa Khola, Nakhuwa Khola")</f>
        <v>Yankhuwa Khola, Nakhuwa Khola</v>
      </c>
      <c r="E145" s="2">
        <f>IFERROR(__xludf.DUMMYFUNCTION("""COMPUTED_VALUE"""),1437.0)</f>
        <v>1437</v>
      </c>
      <c r="F145" s="3">
        <f>IFERROR(__xludf.DUMMYFUNCTION("""COMPUTED_VALUE"""),66560.0)</f>
        <v>66560</v>
      </c>
      <c r="G145" s="3">
        <f>IFERROR(__xludf.DUMMYFUNCTION("""COMPUTED_VALUE"""),67290.0)</f>
        <v>67290</v>
      </c>
      <c r="H145" s="2" t="str">
        <f>IFERROR(__xludf.DUMMYFUNCTION("""COMPUTED_VALUE"""),"Gorkha Hills Energy Private Limited")</f>
        <v>Gorkha Hills Energy Private Limited</v>
      </c>
      <c r="I145" s="2" t="str">
        <f>IFERROR(__xludf.DUMMYFUNCTION("""COMPUTED_VALUE"""),"Buddanagar-10, Kathmandu")</f>
        <v>Buddanagar-10, Kathmandu</v>
      </c>
      <c r="J145" s="2" t="str">
        <f>IFERROR(__xludf.DUMMYFUNCTION("""COMPUTED_VALUE"""),"27o 15' 41""")</f>
        <v>27o 15' 41"</v>
      </c>
      <c r="K145" s="2" t="str">
        <f>IFERROR(__xludf.DUMMYFUNCTION("""COMPUTED_VALUE"""),"27o 16' 26""")</f>
        <v>27o 16' 26"</v>
      </c>
      <c r="L145" s="2" t="str">
        <f>IFERROR(__xludf.DUMMYFUNCTION("""COMPUTED_VALUE"""),"87o 09' 00""")</f>
        <v>87o 09' 00"</v>
      </c>
      <c r="M145" s="2" t="str">
        <f>IFERROR(__xludf.DUMMYFUNCTION("""COMPUTED_VALUE"""),"87o 10' 51""")</f>
        <v>87o 10' 51"</v>
      </c>
      <c r="N145" s="2" t="str">
        <f>IFERROR(__xludf.DUMMYFUNCTION("""COMPUTED_VALUE"""),"Boya,Deurali,Yangpang (Bhojpur)")</f>
        <v>Boya,Deurali,Yangpang (Bhojpur)</v>
      </c>
    </row>
    <row r="146">
      <c r="A146" s="2">
        <f>IFERROR(__xludf.DUMMYFUNCTION("""COMPUTED_VALUE"""),145.0)</f>
        <v>145</v>
      </c>
      <c r="B146" s="2" t="str">
        <f>IFERROR(__xludf.DUMMYFUNCTION("""COMPUTED_VALUE"""),"Middle Gaddi Gad Hydropower Project")</f>
        <v>Middle Gaddi Gad Hydropower Project</v>
      </c>
      <c r="C146" s="2">
        <f>IFERROR(__xludf.DUMMYFUNCTION("""COMPUTED_VALUE"""),3.5)</f>
        <v>3.5</v>
      </c>
      <c r="D146" s="2" t="str">
        <f>IFERROR(__xludf.DUMMYFUNCTION("""COMPUTED_VALUE"""),"Gaddi Gad")</f>
        <v>Gaddi Gad</v>
      </c>
      <c r="E146" s="2">
        <f>IFERROR(__xludf.DUMMYFUNCTION("""COMPUTED_VALUE"""),1439.0)</f>
        <v>1439</v>
      </c>
      <c r="F146" s="3">
        <f>IFERROR(__xludf.DUMMYFUNCTION("""COMPUTED_VALUE"""),66564.0)</f>
        <v>66564</v>
      </c>
      <c r="G146" s="3">
        <f>IFERROR(__xludf.DUMMYFUNCTION("""COMPUTED_VALUE"""),67294.0)</f>
        <v>67294</v>
      </c>
      <c r="H146" s="2" t="str">
        <f>IFERROR(__xludf.DUMMYFUNCTION("""COMPUTED_VALUE"""),"Echo Tech Power Company Pvt. Ltd")</f>
        <v>Echo Tech Power Company Pvt. Ltd</v>
      </c>
      <c r="I146" s="2" t="str">
        <f>IFERROR(__xludf.DUMMYFUNCTION("""COMPUTED_VALUE"""),"Kathmandu-31")</f>
        <v>Kathmandu-31</v>
      </c>
      <c r="J146" s="2" t="str">
        <f>IFERROR(__xludf.DUMMYFUNCTION("""COMPUTED_VALUE"""),"29o 15' 20""")</f>
        <v>29o 15' 20"</v>
      </c>
      <c r="K146" s="2" t="str">
        <f>IFERROR(__xludf.DUMMYFUNCTION("""COMPUTED_VALUE"""),"29o 16' 53""")</f>
        <v>29o 16' 53"</v>
      </c>
      <c r="L146" s="2" t="str">
        <f>IFERROR(__xludf.DUMMYFUNCTION("""COMPUTED_VALUE"""),"81o 03' 00""")</f>
        <v>81o 03' 00"</v>
      </c>
      <c r="M146" s="2" t="str">
        <f>IFERROR(__xludf.DUMMYFUNCTION("""COMPUTED_VALUE"""),"81o 03' 25""")</f>
        <v>81o 03' 25"</v>
      </c>
      <c r="N146" s="2"/>
    </row>
    <row r="147">
      <c r="A147" s="2">
        <f>IFERROR(__xludf.DUMMYFUNCTION("""COMPUTED_VALUE"""),146.0)</f>
        <v>146</v>
      </c>
      <c r="B147" s="2" t="str">
        <f>IFERROR(__xludf.DUMMYFUNCTION("""COMPUTED_VALUE"""),"Lapa - Gandhak Khani Khola Hydropower Project")</f>
        <v>Lapa - Gandhak Khani Khola Hydropower Project</v>
      </c>
      <c r="C147" s="2">
        <f>IFERROR(__xludf.DUMMYFUNCTION("""COMPUTED_VALUE"""),8.7)</f>
        <v>8.7</v>
      </c>
      <c r="D147" s="2" t="str">
        <f>IFERROR(__xludf.DUMMYFUNCTION("""COMPUTED_VALUE"""),"Lapa Khola &amp; Gandhak Khani Kho")</f>
        <v>Lapa Khola &amp; Gandhak Khani Kho</v>
      </c>
      <c r="E147" s="2">
        <f>IFERROR(__xludf.DUMMYFUNCTION("""COMPUTED_VALUE"""),1440.0)</f>
        <v>1440</v>
      </c>
      <c r="F147" s="3">
        <f>IFERROR(__xludf.DUMMYFUNCTION("""COMPUTED_VALUE"""),66570.0)</f>
        <v>66570</v>
      </c>
      <c r="G147" s="3">
        <f>IFERROR(__xludf.DUMMYFUNCTION("""COMPUTED_VALUE"""),67300.0)</f>
        <v>67300</v>
      </c>
      <c r="H147" s="2" t="str">
        <f>IFERROR(__xludf.DUMMYFUNCTION("""COMPUTED_VALUE"""),"Mundhum Hydropower Private Limited")</f>
        <v>Mundhum Hydropower Private Limited</v>
      </c>
      <c r="I147" s="2" t="str">
        <f>IFERROR(__xludf.DUMMYFUNCTION("""COMPUTED_VALUE"""),"Ward No. 1, Chapali, Budhanikantha Municipality, Kathmandu")</f>
        <v>Ward No. 1, Chapali, Budhanikantha Municipality, Kathmandu</v>
      </c>
      <c r="J147" s="2" t="str">
        <f>IFERROR(__xludf.DUMMYFUNCTION("""COMPUTED_VALUE"""),"28o 10' 05""")</f>
        <v>28o 10' 05"</v>
      </c>
      <c r="K147" s="2" t="str">
        <f>IFERROR(__xludf.DUMMYFUNCTION("""COMPUTED_VALUE"""),"28o 12' 10""")</f>
        <v>28o 12' 10"</v>
      </c>
      <c r="L147" s="2" t="str">
        <f>IFERROR(__xludf.DUMMYFUNCTION("""COMPUTED_VALUE"""),"85o 00' 15""")</f>
        <v>85o 00' 15"</v>
      </c>
      <c r="M147" s="2" t="str">
        <f>IFERROR(__xludf.DUMMYFUNCTION("""COMPUTED_VALUE"""),"85o 02' 33""")</f>
        <v>85o 02' 33"</v>
      </c>
      <c r="N147" s="2"/>
    </row>
    <row r="148">
      <c r="A148" s="2">
        <f>IFERROR(__xludf.DUMMYFUNCTION("""COMPUTED_VALUE"""),147.0)</f>
        <v>147</v>
      </c>
      <c r="B148" s="2" t="str">
        <f>IFERROR(__xludf.DUMMYFUNCTION("""COMPUTED_VALUE"""),"Hulingtar Dumkin Pumped Storage Hydropower Project")</f>
        <v>Hulingtar Dumkin Pumped Storage Hydropower Project</v>
      </c>
      <c r="C148" s="2">
        <f>IFERROR(__xludf.DUMMYFUNCTION("""COMPUTED_VALUE"""),494.5)</f>
        <v>494.5</v>
      </c>
      <c r="D148" s="2" t="str">
        <f>IFERROR(__xludf.DUMMYFUNCTION("""COMPUTED_VALUE"""),"Mauwa, Rigdi")</f>
        <v>Mauwa, Rigdi</v>
      </c>
      <c r="E148" s="2">
        <f>IFERROR(__xludf.DUMMYFUNCTION("""COMPUTED_VALUE"""),1443.0)</f>
        <v>1443</v>
      </c>
      <c r="F148" s="3">
        <f>IFERROR(__xludf.DUMMYFUNCTION("""COMPUTED_VALUE"""),66571.0)</f>
        <v>66571</v>
      </c>
      <c r="G148" s="3">
        <f>IFERROR(__xludf.DUMMYFUNCTION("""COMPUTED_VALUE"""),67301.0)</f>
        <v>67301</v>
      </c>
      <c r="H148" s="2" t="str">
        <f>IFERROR(__xludf.DUMMYFUNCTION("""COMPUTED_VALUE"""),"Nepal Electricity Authority")</f>
        <v>Nepal Electricity Authority</v>
      </c>
      <c r="I148" s="2" t="str">
        <f>IFERROR(__xludf.DUMMYFUNCTION("""COMPUTED_VALUE"""),"Durbar Marg , Kathmandu")</f>
        <v>Durbar Marg , Kathmandu</v>
      </c>
      <c r="J148" s="2" t="str">
        <f>IFERROR(__xludf.DUMMYFUNCTION("""COMPUTED_VALUE"""),"27o 47' 00""")</f>
        <v>27o 47' 00"</v>
      </c>
      <c r="K148" s="2" t="str">
        <f>IFERROR(__xludf.DUMMYFUNCTION("""COMPUTED_VALUE"""),"27o 49' 30""")</f>
        <v>27o 49' 30"</v>
      </c>
      <c r="L148" s="2" t="str">
        <f>IFERROR(__xludf.DUMMYFUNCTION("""COMPUTED_VALUE"""),"84o 37' 30""")</f>
        <v>84o 37' 30"</v>
      </c>
      <c r="M148" s="2" t="str">
        <f>IFERROR(__xludf.DUMMYFUNCTION("""COMPUTED_VALUE"""),"84o 40' 00""")</f>
        <v>84o 40' 00"</v>
      </c>
      <c r="N148" s="2" t="str">
        <f>IFERROR(__xludf.DUMMYFUNCTION("""COMPUTED_VALUE"""),"Darechauk,Kaule (Chitawan) Jogimara (Dhading)")</f>
        <v>Darechauk,Kaule (Chitawan) Jogimara (Dhading)</v>
      </c>
    </row>
    <row r="149">
      <c r="A149" s="2">
        <f>IFERROR(__xludf.DUMMYFUNCTION("""COMPUTED_VALUE"""),148.0)</f>
        <v>148</v>
      </c>
      <c r="B149" s="2" t="str">
        <f>IFERROR(__xludf.DUMMYFUNCTION("""COMPUTED_VALUE"""),"Nisi Khola Hydropower Project")</f>
        <v>Nisi Khola Hydropower Project</v>
      </c>
      <c r="C149" s="2">
        <f>IFERROR(__xludf.DUMMYFUNCTION("""COMPUTED_VALUE"""),7.81)</f>
        <v>7.81</v>
      </c>
      <c r="D149" s="2" t="str">
        <f>IFERROR(__xludf.DUMMYFUNCTION("""COMPUTED_VALUE"""),"Nisi Khola")</f>
        <v>Nisi Khola</v>
      </c>
      <c r="E149" s="2">
        <f>IFERROR(__xludf.DUMMYFUNCTION("""COMPUTED_VALUE"""),1441.0)</f>
        <v>1441</v>
      </c>
      <c r="F149" s="3">
        <f>IFERROR(__xludf.DUMMYFUNCTION("""COMPUTED_VALUE"""),66573.0)</f>
        <v>66573</v>
      </c>
      <c r="G149" s="3">
        <f>IFERROR(__xludf.DUMMYFUNCTION("""COMPUTED_VALUE"""),67303.0)</f>
        <v>67303</v>
      </c>
      <c r="H149" s="2" t="str">
        <f>IFERROR(__xludf.DUMMYFUNCTION("""COMPUTED_VALUE"""),"Baglung Power Private Limited")</f>
        <v>Baglung Power Private Limited</v>
      </c>
      <c r="I149" s="2" t="str">
        <f>IFERROR(__xludf.DUMMYFUNCTION("""COMPUTED_VALUE"""),"Tokha - 06, Kathmandu")</f>
        <v>Tokha - 06, Kathmandu</v>
      </c>
      <c r="J149" s="2" t="str">
        <f>IFERROR(__xludf.DUMMYFUNCTION("""COMPUTED_VALUE"""),"28o 19' 20""")</f>
        <v>28o 19' 20"</v>
      </c>
      <c r="K149" s="2" t="str">
        <f>IFERROR(__xludf.DUMMYFUNCTION("""COMPUTED_VALUE"""),"28o 20' 01""")</f>
        <v>28o 20' 01"</v>
      </c>
      <c r="L149" s="2" t="str">
        <f>IFERROR(__xludf.DUMMYFUNCTION("""COMPUTED_VALUE"""),"83o 07' 15""")</f>
        <v>83o 07' 15"</v>
      </c>
      <c r="M149" s="2" t="str">
        <f>IFERROR(__xludf.DUMMYFUNCTION("""COMPUTED_VALUE"""),"83o 09' 28""")</f>
        <v>83o 09' 28"</v>
      </c>
      <c r="N149" s="2" t="str">
        <f>IFERROR(__xludf.DUMMYFUNCTION("""COMPUTED_VALUE"""),"Burtiwang,Devisthan,Rajkut (Baglung)")</f>
        <v>Burtiwang,Devisthan,Rajkut (Baglung)</v>
      </c>
    </row>
    <row r="150">
      <c r="A150" s="2">
        <f>IFERROR(__xludf.DUMMYFUNCTION("""COMPUTED_VALUE"""),149.0)</f>
        <v>149</v>
      </c>
      <c r="B150" s="2" t="str">
        <f>IFERROR(__xludf.DUMMYFUNCTION("""COMPUTED_VALUE"""),"Alle Khola Hydropower Project")</f>
        <v>Alle Khola Hydropower Project</v>
      </c>
      <c r="C150" s="2">
        <f>IFERROR(__xludf.DUMMYFUNCTION("""COMPUTED_VALUE"""),4.69)</f>
        <v>4.69</v>
      </c>
      <c r="D150" s="2" t="str">
        <f>IFERROR(__xludf.DUMMYFUNCTION("""COMPUTED_VALUE"""),"Alle khola")</f>
        <v>Alle khola</v>
      </c>
      <c r="E150" s="2">
        <f>IFERROR(__xludf.DUMMYFUNCTION("""COMPUTED_VALUE"""),1442.0)</f>
        <v>1442</v>
      </c>
      <c r="F150" s="3">
        <f>IFERROR(__xludf.DUMMYFUNCTION("""COMPUTED_VALUE"""),66573.0)</f>
        <v>66573</v>
      </c>
      <c r="G150" s="3">
        <f>IFERROR(__xludf.DUMMYFUNCTION("""COMPUTED_VALUE"""),67303.0)</f>
        <v>67303</v>
      </c>
      <c r="H150" s="2" t="str">
        <f>IFERROR(__xludf.DUMMYFUNCTION("""COMPUTED_VALUE"""),"Rudra Energy Private Limited")</f>
        <v>Rudra Energy Private Limited</v>
      </c>
      <c r="I150" s="2" t="str">
        <f>IFERROR(__xludf.DUMMYFUNCTION("""COMPUTED_VALUE"""),"KMC-4, Kathmandu")</f>
        <v>KMC-4, Kathmandu</v>
      </c>
      <c r="J150" s="2" t="str">
        <f>IFERROR(__xludf.DUMMYFUNCTION("""COMPUTED_VALUE"""),"28o 57' 00""")</f>
        <v>28o 57' 00"</v>
      </c>
      <c r="K150" s="2" t="str">
        <f>IFERROR(__xludf.DUMMYFUNCTION("""COMPUTED_VALUE"""),"28o 58' 12""")</f>
        <v>28o 58' 12"</v>
      </c>
      <c r="L150" s="2" t="str">
        <f>IFERROR(__xludf.DUMMYFUNCTION("""COMPUTED_VALUE"""),"82o 37' 28""")</f>
        <v>82o 37' 28"</v>
      </c>
      <c r="M150" s="2" t="str">
        <f>IFERROR(__xludf.DUMMYFUNCTION("""COMPUTED_VALUE"""),"82o 38' 28""")</f>
        <v>82o 38' 28"</v>
      </c>
      <c r="N150" s="2"/>
    </row>
    <row r="151">
      <c r="A151" s="2">
        <f>IFERROR(__xludf.DUMMYFUNCTION("""COMPUTED_VALUE"""),150.0)</f>
        <v>150</v>
      </c>
      <c r="B151" s="2" t="str">
        <f>IFERROR(__xludf.DUMMYFUNCTION("""COMPUTED_VALUE"""),"Super Daram Khola Hydropower Project")</f>
        <v>Super Daram Khola Hydropower Project</v>
      </c>
      <c r="C151" s="2">
        <f>IFERROR(__xludf.DUMMYFUNCTION("""COMPUTED_VALUE"""),6.1)</f>
        <v>6.1</v>
      </c>
      <c r="D151" s="2" t="str">
        <f>IFERROR(__xludf.DUMMYFUNCTION("""COMPUTED_VALUE"""),"Daram")</f>
        <v>Daram</v>
      </c>
      <c r="E151" s="2">
        <f>IFERROR(__xludf.DUMMYFUNCTION("""COMPUTED_VALUE"""),1444.0)</f>
        <v>1444</v>
      </c>
      <c r="F151" s="3">
        <f>IFERROR(__xludf.DUMMYFUNCTION("""COMPUTED_VALUE"""),66575.0)</f>
        <v>66575</v>
      </c>
      <c r="G151" s="3">
        <f>IFERROR(__xludf.DUMMYFUNCTION("""COMPUTED_VALUE"""),67305.0)</f>
        <v>67305</v>
      </c>
      <c r="H151" s="2" t="str">
        <f>IFERROR(__xludf.DUMMYFUNCTION("""COMPUTED_VALUE"""),"Shivaghat Power Company Private Limited")</f>
        <v>Shivaghat Power Company Private Limited</v>
      </c>
      <c r="I151" s="2" t="str">
        <f>IFERROR(__xludf.DUMMYFUNCTION("""COMPUTED_VALUE"""),"Galkot Municipality, Baglung")</f>
        <v>Galkot Municipality, Baglung</v>
      </c>
      <c r="J151" s="2" t="str">
        <f>IFERROR(__xludf.DUMMYFUNCTION("""COMPUTED_VALUE"""),"28o 11' 34""")</f>
        <v>28o 11' 34"</v>
      </c>
      <c r="K151" s="2" t="str">
        <f>IFERROR(__xludf.DUMMYFUNCTION("""COMPUTED_VALUE"""),"28o 12' 30""")</f>
        <v>28o 12' 30"</v>
      </c>
      <c r="L151" s="2" t="str">
        <f>IFERROR(__xludf.DUMMYFUNCTION("""COMPUTED_VALUE"""),"83o 21' 44""")</f>
        <v>83o 21' 44"</v>
      </c>
      <c r="M151" s="2" t="str">
        <f>IFERROR(__xludf.DUMMYFUNCTION("""COMPUTED_VALUE"""),"83o 23' 20""")</f>
        <v>83o 23' 20"</v>
      </c>
      <c r="N151" s="2" t="str">
        <f>IFERROR(__xludf.DUMMYFUNCTION("""COMPUTED_VALUE"""),"Malm,Kandebas (Baglung)")</f>
        <v>Malm,Kandebas (Baglung)</v>
      </c>
    </row>
    <row r="152">
      <c r="A152" s="2">
        <f>IFERROR(__xludf.DUMMYFUNCTION("""COMPUTED_VALUE"""),151.0)</f>
        <v>151</v>
      </c>
      <c r="B152" s="2" t="str">
        <f>IFERROR(__xludf.DUMMYFUNCTION("""COMPUTED_VALUE"""),"Upper Tawa Khola Hydroelectric Project")</f>
        <v>Upper Tawa Khola Hydroelectric Project</v>
      </c>
      <c r="C152" s="2">
        <f>IFERROR(__xludf.DUMMYFUNCTION("""COMPUTED_VALUE"""),6.5)</f>
        <v>6.5</v>
      </c>
      <c r="D152" s="2" t="str">
        <f>IFERROR(__xludf.DUMMYFUNCTION("""COMPUTED_VALUE"""),"Tawa Khola, siwa khola &amp; Yamph")</f>
        <v>Tawa Khola, siwa khola &amp; Yamph</v>
      </c>
      <c r="E152" s="2">
        <f>IFERROR(__xludf.DUMMYFUNCTION("""COMPUTED_VALUE"""),1445.0)</f>
        <v>1445</v>
      </c>
      <c r="F152" s="3">
        <f>IFERROR(__xludf.DUMMYFUNCTION("""COMPUTED_VALUE"""),66577.0)</f>
        <v>66577</v>
      </c>
      <c r="G152" s="3">
        <f>IFERROR(__xludf.DUMMYFUNCTION("""COMPUTED_VALUE"""),67307.0)</f>
        <v>67307</v>
      </c>
      <c r="H152" s="2" t="str">
        <f>IFERROR(__xludf.DUMMYFUNCTION("""COMPUTED_VALUE"""),"Radiant Hydropower Private Limited")</f>
        <v>Radiant Hydropower Private Limited</v>
      </c>
      <c r="I152" s="2" t="str">
        <f>IFERROR(__xludf.DUMMYFUNCTION("""COMPUTED_VALUE"""),"KMC-5, Kathmandu")</f>
        <v>KMC-5, Kathmandu</v>
      </c>
      <c r="J152" s="2" t="str">
        <f>IFERROR(__xludf.DUMMYFUNCTION("""COMPUTED_VALUE"""),"27o 21' 50""")</f>
        <v>27o 21' 50"</v>
      </c>
      <c r="K152" s="2" t="str">
        <f>IFERROR(__xludf.DUMMYFUNCTION("""COMPUTED_VALUE"""),"27o 23' 00""")</f>
        <v>27o 23' 00"</v>
      </c>
      <c r="L152" s="2" t="str">
        <f>IFERROR(__xludf.DUMMYFUNCTION("""COMPUTED_VALUE"""),"87o 53' 24""")</f>
        <v>87o 53' 24"</v>
      </c>
      <c r="M152" s="2" t="str">
        <f>IFERROR(__xludf.DUMMYFUNCTION("""COMPUTED_VALUE"""),"87o 54' 55""")</f>
        <v>87o 54' 55"</v>
      </c>
      <c r="N152" s="2" t="str">
        <f>IFERROR(__xludf.DUMMYFUNCTION("""COMPUTED_VALUE"""),"Khewang,Mehele,Surunkhim (Taplejung)")</f>
        <v>Khewang,Mehele,Surunkhim (Taplejung)</v>
      </c>
    </row>
    <row r="153">
      <c r="A153" s="2">
        <f>IFERROR(__xludf.DUMMYFUNCTION("""COMPUTED_VALUE"""),152.0)</f>
        <v>152</v>
      </c>
      <c r="B153" s="2" t="str">
        <f>IFERROR(__xludf.DUMMYFUNCTION("""COMPUTED_VALUE"""),"Chyamni Khola Hydropower Project")</f>
        <v>Chyamni Khola Hydropower Project</v>
      </c>
      <c r="C153" s="2">
        <f>IFERROR(__xludf.DUMMYFUNCTION("""COMPUTED_VALUE"""),19.5)</f>
        <v>19.5</v>
      </c>
      <c r="D153" s="2" t="str">
        <f>IFERROR(__xludf.DUMMYFUNCTION("""COMPUTED_VALUE"""),"Chyamni Khola")</f>
        <v>Chyamni Khola</v>
      </c>
      <c r="E153" s="2">
        <f>IFERROR(__xludf.DUMMYFUNCTION("""COMPUTED_VALUE"""),1446.0)</f>
        <v>1446</v>
      </c>
      <c r="F153" s="3">
        <f>IFERROR(__xludf.DUMMYFUNCTION("""COMPUTED_VALUE"""),66579.0)</f>
        <v>66579</v>
      </c>
      <c r="G153" s="3">
        <f>IFERROR(__xludf.DUMMYFUNCTION("""COMPUTED_VALUE"""),67309.0)</f>
        <v>67309</v>
      </c>
      <c r="H153" s="2" t="str">
        <f>IFERROR(__xludf.DUMMYFUNCTION("""COMPUTED_VALUE"""),"Narayan Power Private Limited")</f>
        <v>Narayan Power Private Limited</v>
      </c>
      <c r="I153" s="2" t="str">
        <f>IFERROR(__xludf.DUMMYFUNCTION("""COMPUTED_VALUE"""),"Kathmandu, Nepal")</f>
        <v>Kathmandu, Nepal</v>
      </c>
      <c r="J153" s="2" t="str">
        <f>IFERROR(__xludf.DUMMYFUNCTION("""COMPUTED_VALUE"""),"29o 35' 50""")</f>
        <v>29o 35' 50"</v>
      </c>
      <c r="K153" s="2" t="str">
        <f>IFERROR(__xludf.DUMMYFUNCTION("""COMPUTED_VALUE"""),"29o 37' 53""")</f>
        <v>29o 37' 53"</v>
      </c>
      <c r="L153" s="2" t="str">
        <f>IFERROR(__xludf.DUMMYFUNCTION("""COMPUTED_VALUE"""),"82o 17' 24""")</f>
        <v>82o 17' 24"</v>
      </c>
      <c r="M153" s="2" t="str">
        <f>IFERROR(__xludf.DUMMYFUNCTION("""COMPUTED_VALUE"""),"82o 19' 48""")</f>
        <v>82o 19' 48"</v>
      </c>
      <c r="N153" s="2"/>
    </row>
    <row r="154">
      <c r="A154" s="2">
        <f>IFERROR(__xludf.DUMMYFUNCTION("""COMPUTED_VALUE"""),153.0)</f>
        <v>153</v>
      </c>
      <c r="B154" s="2" t="str">
        <f>IFERROR(__xludf.DUMMYFUNCTION("""COMPUTED_VALUE"""),"Super Mewa Khola Hydropower Project")</f>
        <v>Super Mewa Khola Hydropower Project</v>
      </c>
      <c r="C154" s="2">
        <f>IFERROR(__xludf.DUMMYFUNCTION("""COMPUTED_VALUE"""),8.0)</f>
        <v>8</v>
      </c>
      <c r="D154" s="2" t="str">
        <f>IFERROR(__xludf.DUMMYFUNCTION("""COMPUTED_VALUE"""),"Mewa Khola &amp; Phedi Khola")</f>
        <v>Mewa Khola &amp; Phedi Khola</v>
      </c>
      <c r="E154" s="2">
        <f>IFERROR(__xludf.DUMMYFUNCTION("""COMPUTED_VALUE"""),1449.0)</f>
        <v>1449</v>
      </c>
      <c r="F154" s="3">
        <f>IFERROR(__xludf.DUMMYFUNCTION("""COMPUTED_VALUE"""),66580.0)</f>
        <v>66580</v>
      </c>
      <c r="G154" s="3">
        <f>IFERROR(__xludf.DUMMYFUNCTION("""COMPUTED_VALUE"""),67310.0)</f>
        <v>67310</v>
      </c>
      <c r="H154" s="2" t="str">
        <f>IFERROR(__xludf.DUMMYFUNCTION("""COMPUTED_VALUE"""),"Eco Flow Hydropower Private Limited")</f>
        <v>Eco Flow Hydropower Private Limited</v>
      </c>
      <c r="I154" s="2" t="str">
        <f>IFERROR(__xludf.DUMMYFUNCTION("""COMPUTED_VALUE"""),"Kupandole - 10, Lalitpur")</f>
        <v>Kupandole - 10, Lalitpur</v>
      </c>
      <c r="J154" s="2" t="str">
        <f>IFERROR(__xludf.DUMMYFUNCTION("""COMPUTED_VALUE"""),"27o 35' 33""")</f>
        <v>27o 35' 33"</v>
      </c>
      <c r="K154" s="2" t="str">
        <f>IFERROR(__xludf.DUMMYFUNCTION("""COMPUTED_VALUE"""),"27o 37' 08""")</f>
        <v>27o 37' 08"</v>
      </c>
      <c r="L154" s="2" t="str">
        <f>IFERROR(__xludf.DUMMYFUNCTION("""COMPUTED_VALUE"""),"87o 35' 14""")</f>
        <v>87o 35' 14"</v>
      </c>
      <c r="M154" s="2" t="str">
        <f>IFERROR(__xludf.DUMMYFUNCTION("""COMPUTED_VALUE"""),"87o 37' 00""")</f>
        <v>87o 37' 00"</v>
      </c>
      <c r="N154" s="2" t="str">
        <f>IFERROR(__xludf.DUMMYFUNCTION("""COMPUTED_VALUE"""),"Papung (Taplejung)")</f>
        <v>Papung (Taplejung)</v>
      </c>
    </row>
    <row r="155">
      <c r="A155" s="2">
        <f>IFERROR(__xludf.DUMMYFUNCTION("""COMPUTED_VALUE"""),154.0)</f>
        <v>154</v>
      </c>
      <c r="B155" s="2" t="str">
        <f>IFERROR(__xludf.DUMMYFUNCTION("""COMPUTED_VALUE"""),"Super Bagmati PRoR Hydropower Project")</f>
        <v>Super Bagmati PRoR Hydropower Project</v>
      </c>
      <c r="C155" s="2">
        <f>IFERROR(__xludf.DUMMYFUNCTION("""COMPUTED_VALUE"""),19.25)</f>
        <v>19.25</v>
      </c>
      <c r="D155" s="2" t="str">
        <f>IFERROR(__xludf.DUMMYFUNCTION("""COMPUTED_VALUE"""),"Bagmati")</f>
        <v>Bagmati</v>
      </c>
      <c r="E155" s="2">
        <f>IFERROR(__xludf.DUMMYFUNCTION("""COMPUTED_VALUE"""),1450.0)</f>
        <v>1450</v>
      </c>
      <c r="F155" s="3">
        <f>IFERROR(__xludf.DUMMYFUNCTION("""COMPUTED_VALUE"""),66580.0)</f>
        <v>66580</v>
      </c>
      <c r="G155" s="3">
        <f>IFERROR(__xludf.DUMMYFUNCTION("""COMPUTED_VALUE"""),67310.0)</f>
        <v>67310</v>
      </c>
      <c r="H155" s="2" t="str">
        <f>IFERROR(__xludf.DUMMYFUNCTION("""COMPUTED_VALUE"""),"Elite Power Private Limited")</f>
        <v>Elite Power Private Limited</v>
      </c>
      <c r="I155" s="2" t="str">
        <f>IFERROR(__xludf.DUMMYFUNCTION("""COMPUTED_VALUE"""),"KMC-4, Kathmandu")</f>
        <v>KMC-4, Kathmandu</v>
      </c>
      <c r="J155" s="2" t="str">
        <f>IFERROR(__xludf.DUMMYFUNCTION("""COMPUTED_VALUE"""),"27o 33' 00""")</f>
        <v>27o 33' 00"</v>
      </c>
      <c r="K155" s="2" t="str">
        <f>IFERROR(__xludf.DUMMYFUNCTION("""COMPUTED_VALUE"""),"27o 35' 08""")</f>
        <v>27o 35' 08"</v>
      </c>
      <c r="L155" s="2" t="str">
        <f>IFERROR(__xludf.DUMMYFUNCTION("""COMPUTED_VALUE"""),"85o 14' 28""")</f>
        <v>85o 14' 28"</v>
      </c>
      <c r="M155" s="2" t="str">
        <f>IFERROR(__xludf.DUMMYFUNCTION("""COMPUTED_VALUE"""),"85o 17' 24""")</f>
        <v>85o 17' 24"</v>
      </c>
      <c r="N155" s="2" t="str">
        <f>IFERROR(__xludf.DUMMYFUNCTION("""COMPUTED_VALUE"""),"Chhaimale (Kathmandu) Sisneri Mahadevsthan (Makawanpur)")</f>
        <v>Chhaimale (Kathmandu) Sisneri Mahadevsthan (Makawanpur)</v>
      </c>
    </row>
    <row r="156">
      <c r="A156" s="2">
        <f>IFERROR(__xludf.DUMMYFUNCTION("""COMPUTED_VALUE"""),155.0)</f>
        <v>155</v>
      </c>
      <c r="B156" s="2" t="str">
        <f>IFERROR(__xludf.DUMMYFUNCTION("""COMPUTED_VALUE"""),"Lagan Khola (Bramhayani - A) Hydroelectric Project")</f>
        <v>Lagan Khola (Bramhayani - A) Hydroelectric Project</v>
      </c>
      <c r="C156" s="2">
        <f>IFERROR(__xludf.DUMMYFUNCTION("""COMPUTED_VALUE"""),10.73)</f>
        <v>10.73</v>
      </c>
      <c r="D156" s="2" t="str">
        <f>IFERROR(__xludf.DUMMYFUNCTION("""COMPUTED_VALUE"""),"Lagan")</f>
        <v>Lagan</v>
      </c>
      <c r="E156" s="2">
        <f>IFERROR(__xludf.DUMMYFUNCTION("""COMPUTED_VALUE"""),1451.0)</f>
        <v>1451</v>
      </c>
      <c r="F156" s="3">
        <f>IFERROR(__xludf.DUMMYFUNCTION("""COMPUTED_VALUE"""),66584.0)</f>
        <v>66584</v>
      </c>
      <c r="G156" s="3">
        <f>IFERROR(__xludf.DUMMYFUNCTION("""COMPUTED_VALUE"""),67314.0)</f>
        <v>67314</v>
      </c>
      <c r="H156" s="2" t="str">
        <f>IFERROR(__xludf.DUMMYFUNCTION("""COMPUTED_VALUE"""),"Integrated Hydro Fund Nepal Pvt. Ltd")</f>
        <v>Integrated Hydro Fund Nepal Pvt. Ltd</v>
      </c>
      <c r="I156" s="2" t="str">
        <f>IFERROR(__xludf.DUMMYFUNCTION("""COMPUTED_VALUE"""),"KMC-10, Kathmandu")</f>
        <v>KMC-10, Kathmandu</v>
      </c>
      <c r="J156" s="2" t="str">
        <f>IFERROR(__xludf.DUMMYFUNCTION("""COMPUTED_VALUE"""),"28o 04' 17""")</f>
        <v>28o 04' 17"</v>
      </c>
      <c r="K156" s="2" t="str">
        <f>IFERROR(__xludf.DUMMYFUNCTION("""COMPUTED_VALUE"""),"28o 06' 13""")</f>
        <v>28o 06' 13"</v>
      </c>
      <c r="L156" s="2" t="str">
        <f>IFERROR(__xludf.DUMMYFUNCTION("""COMPUTED_VALUE"""),"85o 44' 22""")</f>
        <v>85o 44' 22"</v>
      </c>
      <c r="M156" s="2" t="str">
        <f>IFERROR(__xludf.DUMMYFUNCTION("""COMPUTED_VALUE"""),"85o 45' 17""")</f>
        <v>85o 45' 17"</v>
      </c>
      <c r="N156" s="2" t="str">
        <f>IFERROR(__xludf.DUMMYFUNCTION("""COMPUTED_VALUE"""),"Golche,Gumba (Sindhupalchok)")</f>
        <v>Golche,Gumba (Sindhupalchok)</v>
      </c>
    </row>
    <row r="157">
      <c r="A157" s="2">
        <f>IFERROR(__xludf.DUMMYFUNCTION("""COMPUTED_VALUE"""),156.0)</f>
        <v>156</v>
      </c>
      <c r="B157" s="2" t="str">
        <f>IFERROR(__xludf.DUMMYFUNCTION("""COMPUTED_VALUE"""),"Kulekhani Sisneri Pump Storage Hydroelectric Project")</f>
        <v>Kulekhani Sisneri Pump Storage Hydroelectric Project</v>
      </c>
      <c r="C157" s="2">
        <f>IFERROR(__xludf.DUMMYFUNCTION("""COMPUTED_VALUE"""),100.0)</f>
        <v>100</v>
      </c>
      <c r="D157" s="2" t="str">
        <f>IFERROR(__xludf.DUMMYFUNCTION("""COMPUTED_VALUE"""),"Kulekhani")</f>
        <v>Kulekhani</v>
      </c>
      <c r="E157" s="2">
        <f>IFERROR(__xludf.DUMMYFUNCTION("""COMPUTED_VALUE"""),1452.0)</f>
        <v>1452</v>
      </c>
      <c r="F157" s="3">
        <f>IFERROR(__xludf.DUMMYFUNCTION("""COMPUTED_VALUE"""),66593.0)</f>
        <v>66593</v>
      </c>
      <c r="G157" s="3">
        <f>IFERROR(__xludf.DUMMYFUNCTION("""COMPUTED_VALUE"""),67323.0)</f>
        <v>67323</v>
      </c>
      <c r="H157" s="2" t="str">
        <f>IFERROR(__xludf.DUMMYFUNCTION("""COMPUTED_VALUE"""),"Nepal Electricity Authority")</f>
        <v>Nepal Electricity Authority</v>
      </c>
      <c r="I157" s="2" t="str">
        <f>IFERROR(__xludf.DUMMYFUNCTION("""COMPUTED_VALUE"""),"Darbarmarg, Kathmandu")</f>
        <v>Darbarmarg, Kathmandu</v>
      </c>
      <c r="J157" s="2" t="str">
        <f>IFERROR(__xludf.DUMMYFUNCTION("""COMPUTED_VALUE"""),"27o 34' 15""")</f>
        <v>27o 34' 15"</v>
      </c>
      <c r="K157" s="2" t="str">
        <f>IFERROR(__xludf.DUMMYFUNCTION("""COMPUTED_VALUE"""),"27o 35' 58""")</f>
        <v>27o 35' 58"</v>
      </c>
      <c r="L157" s="2" t="str">
        <f>IFERROR(__xludf.DUMMYFUNCTION("""COMPUTED_VALUE"""),"85o 09' 39""")</f>
        <v>85o 09' 39"</v>
      </c>
      <c r="M157" s="2" t="str">
        <f>IFERROR(__xludf.DUMMYFUNCTION("""COMPUTED_VALUE"""),"85o 11' 53""")</f>
        <v>85o 11' 53"</v>
      </c>
      <c r="N157" s="2" t="str">
        <f>IFERROR(__xludf.DUMMYFUNCTION("""COMPUTED_VALUE"""),"Kulekhani,Markhu,Sisneri Mahadevsthan (Makawanpur)")</f>
        <v>Kulekhani,Markhu,Sisneri Mahadevsthan (Makawanpur)</v>
      </c>
    </row>
    <row r="158">
      <c r="A158" s="2">
        <f>IFERROR(__xludf.DUMMYFUNCTION("""COMPUTED_VALUE"""),157.0)</f>
        <v>157</v>
      </c>
      <c r="B158" s="2" t="str">
        <f>IFERROR(__xludf.DUMMYFUNCTION("""COMPUTED_VALUE"""),"Down Hewa Hydropower Project")</f>
        <v>Down Hewa Hydropower Project</v>
      </c>
      <c r="C158" s="2">
        <f>IFERROR(__xludf.DUMMYFUNCTION("""COMPUTED_VALUE"""),4.858)</f>
        <v>4.858</v>
      </c>
      <c r="D158" s="2" t="str">
        <f>IFERROR(__xludf.DUMMYFUNCTION("""COMPUTED_VALUE"""),"Hewa (Sankhuwasabha)")</f>
        <v>Hewa (Sankhuwasabha)</v>
      </c>
      <c r="E158" s="2">
        <f>IFERROR(__xludf.DUMMYFUNCTION("""COMPUTED_VALUE"""),1453.0)</f>
        <v>1453</v>
      </c>
      <c r="F158" s="3">
        <f>IFERROR(__xludf.DUMMYFUNCTION("""COMPUTED_VALUE"""),66596.0)</f>
        <v>66596</v>
      </c>
      <c r="G158" s="3">
        <f>IFERROR(__xludf.DUMMYFUNCTION("""COMPUTED_VALUE"""),67326.0)</f>
        <v>67326</v>
      </c>
      <c r="H158" s="2" t="str">
        <f>IFERROR(__xludf.DUMMYFUNCTION("""COMPUTED_VALUE"""),"Smart Abhiyan Group Private Limited")</f>
        <v>Smart Abhiyan Group Private Limited</v>
      </c>
      <c r="I158" s="2" t="str">
        <f>IFERROR(__xludf.DUMMYFUNCTION("""COMPUTED_VALUE"""),"Banasthali -16, Kathmandu")</f>
        <v>Banasthali -16, Kathmandu</v>
      </c>
      <c r="J158" s="2" t="str">
        <f>IFERROR(__xludf.DUMMYFUNCTION("""COMPUTED_VALUE"""),"27o 17' 50""")</f>
        <v>27o 17' 50"</v>
      </c>
      <c r="K158" s="2" t="str">
        <f>IFERROR(__xludf.DUMMYFUNCTION("""COMPUTED_VALUE"""),"27o 18' 26""")</f>
        <v>27o 18' 26"</v>
      </c>
      <c r="L158" s="2" t="str">
        <f>IFERROR(__xludf.DUMMYFUNCTION("""COMPUTED_VALUE"""),"87o 13' 55""")</f>
        <v>87o 13' 55"</v>
      </c>
      <c r="M158" s="2" t="str">
        <f>IFERROR(__xludf.DUMMYFUNCTION("""COMPUTED_VALUE"""),"87o 16' 20""")</f>
        <v>87o 16' 20"</v>
      </c>
      <c r="N158" s="2" t="str">
        <f>IFERROR(__xludf.DUMMYFUNCTION("""COMPUTED_VALUE"""),"Kharang,Bana (Sankhuwasabha)")</f>
        <v>Kharang,Bana (Sankhuwasabha)</v>
      </c>
    </row>
    <row r="159">
      <c r="A159" s="2">
        <f>IFERROR(__xludf.DUMMYFUNCTION("""COMPUTED_VALUE"""),158.0)</f>
        <v>158</v>
      </c>
      <c r="B159" s="2" t="str">
        <f>IFERROR(__xludf.DUMMYFUNCTION("""COMPUTED_VALUE"""),"Super Sona Hydropower Project")</f>
        <v>Super Sona Hydropower Project</v>
      </c>
      <c r="C159" s="2">
        <f>IFERROR(__xludf.DUMMYFUNCTION("""COMPUTED_VALUE"""),4.5)</f>
        <v>4.5</v>
      </c>
      <c r="D159" s="2" t="str">
        <f>IFERROR(__xludf.DUMMYFUNCTION("""COMPUTED_VALUE"""),"Sona Khola &amp; tributary")</f>
        <v>Sona Khola &amp; tributary</v>
      </c>
      <c r="E159" s="2">
        <f>IFERROR(__xludf.DUMMYFUNCTION("""COMPUTED_VALUE"""),1454.0)</f>
        <v>1454</v>
      </c>
      <c r="F159" s="3">
        <f>IFERROR(__xludf.DUMMYFUNCTION("""COMPUTED_VALUE"""),66601.0)</f>
        <v>66601</v>
      </c>
      <c r="G159" s="3">
        <f>IFERROR(__xludf.DUMMYFUNCTION("""COMPUTED_VALUE"""),67331.0)</f>
        <v>67331</v>
      </c>
      <c r="H159" s="2" t="str">
        <f>IFERROR(__xludf.DUMMYFUNCTION("""COMPUTED_VALUE"""),"Sampada Energy Private Limited")</f>
        <v>Sampada Energy Private Limited</v>
      </c>
      <c r="I159" s="2" t="str">
        <f>IFERROR(__xludf.DUMMYFUNCTION("""COMPUTED_VALUE"""),"KMC-10, Kathmandu")</f>
        <v>KMC-10, Kathmandu</v>
      </c>
      <c r="J159" s="2" t="str">
        <f>IFERROR(__xludf.DUMMYFUNCTION("""COMPUTED_VALUE"""),"27o 33' 53""")</f>
        <v>27o 33' 53"</v>
      </c>
      <c r="K159" s="2" t="str">
        <f>IFERROR(__xludf.DUMMYFUNCTION("""COMPUTED_VALUE"""),"27o 34' 38""")</f>
        <v>27o 34' 38"</v>
      </c>
      <c r="L159" s="2" t="str">
        <f>IFERROR(__xludf.DUMMYFUNCTION("""COMPUTED_VALUE"""),"87o 40' 09""")</f>
        <v>87o 40' 09"</v>
      </c>
      <c r="M159" s="2" t="str">
        <f>IFERROR(__xludf.DUMMYFUNCTION("""COMPUTED_VALUE"""),"87o 41' 11""")</f>
        <v>87o 41' 11"</v>
      </c>
      <c r="N159" s="2" t="str">
        <f>IFERROR(__xludf.DUMMYFUNCTION("""COMPUTED_VALUE"""),"Papung (Taplejung)")</f>
        <v>Papung (Taplejung)</v>
      </c>
    </row>
    <row r="160">
      <c r="A160" s="2">
        <f>IFERROR(__xludf.DUMMYFUNCTION("""COMPUTED_VALUE"""),159.0)</f>
        <v>159</v>
      </c>
      <c r="B160" s="2" t="str">
        <f>IFERROR(__xludf.DUMMYFUNCTION("""COMPUTED_VALUE"""),"Khankhu Khola Hydropower Project")</f>
        <v>Khankhu Khola Hydropower Project</v>
      </c>
      <c r="C160" s="2">
        <f>IFERROR(__xludf.DUMMYFUNCTION("""COMPUTED_VALUE"""),10.35)</f>
        <v>10.35</v>
      </c>
      <c r="D160" s="2" t="str">
        <f>IFERROR(__xludf.DUMMYFUNCTION("""COMPUTED_VALUE"""),"Kankhu Khola")</f>
        <v>Kankhu Khola</v>
      </c>
      <c r="E160" s="2">
        <f>IFERROR(__xludf.DUMMYFUNCTION("""COMPUTED_VALUE"""),1455.0)</f>
        <v>1455</v>
      </c>
      <c r="F160" s="3">
        <f>IFERROR(__xludf.DUMMYFUNCTION("""COMPUTED_VALUE"""),66601.0)</f>
        <v>66601</v>
      </c>
      <c r="G160" s="3">
        <f>IFERROR(__xludf.DUMMYFUNCTION("""COMPUTED_VALUE"""),67331.0)</f>
        <v>67331</v>
      </c>
      <c r="H160" s="2" t="str">
        <f>IFERROR(__xludf.DUMMYFUNCTION("""COMPUTED_VALUE"""),"Ecostream Power Company Private Limited")</f>
        <v>Ecostream Power Company Private Limited</v>
      </c>
      <c r="I160" s="2" t="str">
        <f>IFERROR(__xludf.DUMMYFUNCTION("""COMPUTED_VALUE"""),"KMC-3, kathmandu")</f>
        <v>KMC-3, kathmandu</v>
      </c>
      <c r="J160" s="2" t="str">
        <f>IFERROR(__xludf.DUMMYFUNCTION("""COMPUTED_VALUE"""),"27o 30' 04""")</f>
        <v>27o 30' 04"</v>
      </c>
      <c r="K160" s="2" t="str">
        <f>IFERROR(__xludf.DUMMYFUNCTION("""COMPUTED_VALUE"""),"27o 30' 50""")</f>
        <v>27o 30' 50"</v>
      </c>
      <c r="L160" s="2" t="str">
        <f>IFERROR(__xludf.DUMMYFUNCTION("""COMPUTED_VALUE"""),"86o 52' 26""")</f>
        <v>86o 52' 26"</v>
      </c>
      <c r="M160" s="2" t="str">
        <f>IFERROR(__xludf.DUMMYFUNCTION("""COMPUTED_VALUE"""),"86o 54' 14""")</f>
        <v>86o 54' 14"</v>
      </c>
      <c r="N160" s="2" t="str">
        <f>IFERROR(__xludf.DUMMYFUNCTION("""COMPUTED_VALUE"""),"Chheskam,Gudel (Solukhumbu)")</f>
        <v>Chheskam,Gudel (Solukhumbu)</v>
      </c>
    </row>
    <row r="161">
      <c r="A161" s="2">
        <f>IFERROR(__xludf.DUMMYFUNCTION("""COMPUTED_VALUE"""),160.0)</f>
        <v>160</v>
      </c>
      <c r="B161" s="2" t="str">
        <f>IFERROR(__xludf.DUMMYFUNCTION("""COMPUTED_VALUE"""),"Ragyaya Khola Hydropower Project")</f>
        <v>Ragyaya Khola Hydropower Project</v>
      </c>
      <c r="C161" s="2">
        <f>IFERROR(__xludf.DUMMYFUNCTION("""COMPUTED_VALUE"""),4.4)</f>
        <v>4.4</v>
      </c>
      <c r="D161" s="2" t="str">
        <f>IFERROR(__xludf.DUMMYFUNCTION("""COMPUTED_VALUE"""),"Ragyaya Khola")</f>
        <v>Ragyaya Khola</v>
      </c>
      <c r="E161" s="2">
        <f>IFERROR(__xludf.DUMMYFUNCTION("""COMPUTED_VALUE"""),1456.0)</f>
        <v>1456</v>
      </c>
      <c r="F161" s="3">
        <f>IFERROR(__xludf.DUMMYFUNCTION("""COMPUTED_VALUE"""),66601.0)</f>
        <v>66601</v>
      </c>
      <c r="G161" s="3">
        <f>IFERROR(__xludf.DUMMYFUNCTION("""COMPUTED_VALUE"""),67331.0)</f>
        <v>67331</v>
      </c>
      <c r="H161" s="2" t="str">
        <f>IFERROR(__xludf.DUMMYFUNCTION("""COMPUTED_VALUE"""),"Ember Energy Private Limited")</f>
        <v>Ember Energy Private Limited</v>
      </c>
      <c r="I161" s="2" t="str">
        <f>IFERROR(__xludf.DUMMYFUNCTION("""COMPUTED_VALUE"""),"Ka. Ma.Na.Pa-3, Kathmandu")</f>
        <v>Ka. Ma.Na.Pa-3, Kathmandu</v>
      </c>
      <c r="J161" s="2" t="str">
        <f>IFERROR(__xludf.DUMMYFUNCTION("""COMPUTED_VALUE"""),"28o 55' 23""")</f>
        <v>28o 55' 23"</v>
      </c>
      <c r="K161" s="2" t="str">
        <f>IFERROR(__xludf.DUMMYFUNCTION("""COMPUTED_VALUE"""),"28o 56' 54""")</f>
        <v>28o 56' 54"</v>
      </c>
      <c r="L161" s="2" t="str">
        <f>IFERROR(__xludf.DUMMYFUNCTION("""COMPUTED_VALUE"""),"82o 26' 30""")</f>
        <v>82o 26' 30"</v>
      </c>
      <c r="M161" s="2" t="str">
        <f>IFERROR(__xludf.DUMMYFUNCTION("""COMPUTED_VALUE"""),"82o 28' 20""")</f>
        <v>82o 28' 20"</v>
      </c>
      <c r="N161" s="2"/>
    </row>
    <row r="162">
      <c r="A162" s="2">
        <f>IFERROR(__xludf.DUMMYFUNCTION("""COMPUTED_VALUE"""),161.0)</f>
        <v>161</v>
      </c>
      <c r="B162" s="2" t="str">
        <f>IFERROR(__xludf.DUMMYFUNCTION("""COMPUTED_VALUE"""),"Rukum Sani Bheri Hydropower Project")</f>
        <v>Rukum Sani Bheri Hydropower Project</v>
      </c>
      <c r="C162" s="2">
        <f>IFERROR(__xludf.DUMMYFUNCTION("""COMPUTED_VALUE"""),45.0)</f>
        <v>45</v>
      </c>
      <c r="D162" s="2" t="str">
        <f>IFERROR(__xludf.DUMMYFUNCTION("""COMPUTED_VALUE"""),"Sani Bheri")</f>
        <v>Sani Bheri</v>
      </c>
      <c r="E162" s="2">
        <f>IFERROR(__xludf.DUMMYFUNCTION("""COMPUTED_VALUE"""),1457.0)</f>
        <v>1457</v>
      </c>
      <c r="F162" s="3">
        <f>IFERROR(__xludf.DUMMYFUNCTION("""COMPUTED_VALUE"""),66602.0)</f>
        <v>66602</v>
      </c>
      <c r="G162" s="3">
        <f>IFERROR(__xludf.DUMMYFUNCTION("""COMPUTED_VALUE"""),67332.0)</f>
        <v>67332</v>
      </c>
      <c r="H162" s="2" t="str">
        <f>IFERROR(__xludf.DUMMYFUNCTION("""COMPUTED_VALUE"""),"O.S.R. Hydro Private Limited")</f>
        <v>O.S.R. Hydro Private Limited</v>
      </c>
      <c r="I162" s="2" t="str">
        <f>IFERROR(__xludf.DUMMYFUNCTION("""COMPUTED_VALUE"""),"Lalitpur - 15, Lalitpur")</f>
        <v>Lalitpur - 15, Lalitpur</v>
      </c>
      <c r="J162" s="2" t="str">
        <f>IFERROR(__xludf.DUMMYFUNCTION("""COMPUTED_VALUE"""),"28o 37' 15""")</f>
        <v>28o 37' 15"</v>
      </c>
      <c r="K162" s="2" t="str">
        <f>IFERROR(__xludf.DUMMYFUNCTION("""COMPUTED_VALUE"""),"28o 39' 25""")</f>
        <v>28o 39' 25"</v>
      </c>
      <c r="L162" s="2" t="str">
        <f>IFERROR(__xludf.DUMMYFUNCTION("""COMPUTED_VALUE"""),"82o 35' 15""")</f>
        <v>82o 35' 15"</v>
      </c>
      <c r="M162" s="2" t="str">
        <f>IFERROR(__xludf.DUMMYFUNCTION("""COMPUTED_VALUE"""),"82o 39' 23""")</f>
        <v>82o 39' 23"</v>
      </c>
      <c r="N162" s="2" t="str">
        <f>IFERROR(__xludf.DUMMYFUNCTION("""COMPUTED_VALUE"""),"Kanda,Pokhara,Rangsi,Sobha,Pwang (Rukum)")</f>
        <v>Kanda,Pokhara,Rangsi,Sobha,Pwang (Rukum)</v>
      </c>
    </row>
    <row r="163">
      <c r="A163" s="2">
        <f>IFERROR(__xludf.DUMMYFUNCTION("""COMPUTED_VALUE"""),162.0)</f>
        <v>162</v>
      </c>
      <c r="B163" s="2" t="str">
        <f>IFERROR(__xludf.DUMMYFUNCTION("""COMPUTED_VALUE"""),"Middle Myagdi Hydropower Project")</f>
        <v>Middle Myagdi Hydropower Project</v>
      </c>
      <c r="C163" s="2">
        <f>IFERROR(__xludf.DUMMYFUNCTION("""COMPUTED_VALUE"""),9.55)</f>
        <v>9.55</v>
      </c>
      <c r="D163" s="2" t="str">
        <f>IFERROR(__xludf.DUMMYFUNCTION("""COMPUTED_VALUE"""),"Myagdi Khola")</f>
        <v>Myagdi Khola</v>
      </c>
      <c r="E163" s="2">
        <f>IFERROR(__xludf.DUMMYFUNCTION("""COMPUTED_VALUE"""),1458.0)</f>
        <v>1458</v>
      </c>
      <c r="F163" s="3">
        <f>IFERROR(__xludf.DUMMYFUNCTION("""COMPUTED_VALUE"""),66604.0)</f>
        <v>66604</v>
      </c>
      <c r="G163" s="3">
        <f>IFERROR(__xludf.DUMMYFUNCTION("""COMPUTED_VALUE"""),67334.0)</f>
        <v>67334</v>
      </c>
      <c r="H163" s="2" t="str">
        <f>IFERROR(__xludf.DUMMYFUNCTION("""COMPUTED_VALUE"""),"Pinnacle Urja Invest Private Limited")</f>
        <v>Pinnacle Urja Invest Private Limited</v>
      </c>
      <c r="I163" s="2" t="str">
        <f>IFERROR(__xludf.DUMMYFUNCTION("""COMPUTED_VALUE"""),"Tokha -7, Dhapasi, Kathmandu")</f>
        <v>Tokha -7, Dhapasi, Kathmandu</v>
      </c>
      <c r="J163" s="2" t="str">
        <f>IFERROR(__xludf.DUMMYFUNCTION("""COMPUTED_VALUE"""),"28o 26' 37""")</f>
        <v>28o 26' 37"</v>
      </c>
      <c r="K163" s="2" t="str">
        <f>IFERROR(__xludf.DUMMYFUNCTION("""COMPUTED_VALUE"""),"28o 27' 30""")</f>
        <v>28o 27' 30"</v>
      </c>
      <c r="L163" s="2" t="str">
        <f>IFERROR(__xludf.DUMMYFUNCTION("""COMPUTED_VALUE"""),"83o 22' 45""")</f>
        <v>83o 22' 45"</v>
      </c>
      <c r="M163" s="2" t="str">
        <f>IFERROR(__xludf.DUMMYFUNCTION("""COMPUTED_VALUE"""),"83o 23' 30""")</f>
        <v>83o 23' 30"</v>
      </c>
      <c r="N163" s="2" t="str">
        <f>IFERROR(__xludf.DUMMYFUNCTION("""COMPUTED_VALUE"""),"Darwang,Devisthan (Myagdi)")</f>
        <v>Darwang,Devisthan (Myagdi)</v>
      </c>
    </row>
    <row r="164">
      <c r="A164" s="2">
        <f>IFERROR(__xludf.DUMMYFUNCTION("""COMPUTED_VALUE"""),163.0)</f>
        <v>163</v>
      </c>
      <c r="B164" s="2" t="str">
        <f>IFERROR(__xludf.DUMMYFUNCTION("""COMPUTED_VALUE"""),"Nunegad - Nagbeni Hydropower Project")</f>
        <v>Nunegad - Nagbeni Hydropower Project</v>
      </c>
      <c r="C164" s="2">
        <f>IFERROR(__xludf.DUMMYFUNCTION("""COMPUTED_VALUE"""),4.35)</f>
        <v>4.35</v>
      </c>
      <c r="D164" s="2" t="str">
        <f>IFERROR(__xludf.DUMMYFUNCTION("""COMPUTED_VALUE"""),"Nunegad khola, Nagbeni khola")</f>
        <v>Nunegad khola, Nagbeni khola</v>
      </c>
      <c r="E164" s="2">
        <f>IFERROR(__xludf.DUMMYFUNCTION("""COMPUTED_VALUE"""),1459.0)</f>
        <v>1459</v>
      </c>
      <c r="F164" s="3">
        <f>IFERROR(__xludf.DUMMYFUNCTION("""COMPUTED_VALUE"""),66604.0)</f>
        <v>66604</v>
      </c>
      <c r="G164" s="3">
        <f>IFERROR(__xludf.DUMMYFUNCTION("""COMPUTED_VALUE"""),67334.0)</f>
        <v>67334</v>
      </c>
      <c r="H164" s="2" t="str">
        <f>IFERROR(__xludf.DUMMYFUNCTION("""COMPUTED_VALUE"""),"Maharaja Power Company Private Limited")</f>
        <v>Maharaja Power Company Private Limited</v>
      </c>
      <c r="I164" s="2" t="str">
        <f>IFERROR(__xludf.DUMMYFUNCTION("""COMPUTED_VALUE"""),"Panipokhari, Kathmandu")</f>
        <v>Panipokhari, Kathmandu</v>
      </c>
      <c r="J164" s="2" t="str">
        <f>IFERROR(__xludf.DUMMYFUNCTION("""COMPUTED_VALUE"""),"29o 03' 43""")</f>
        <v>29o 03' 43"</v>
      </c>
      <c r="K164" s="2" t="str">
        <f>IFERROR(__xludf.DUMMYFUNCTION("""COMPUTED_VALUE"""),"29o 05' 19""")</f>
        <v>29o 05' 19"</v>
      </c>
      <c r="L164" s="2" t="str">
        <f>IFERROR(__xludf.DUMMYFUNCTION("""COMPUTED_VALUE"""),"82o 27' 16""")</f>
        <v>82o 27' 16"</v>
      </c>
      <c r="M164" s="2" t="str">
        <f>IFERROR(__xludf.DUMMYFUNCTION("""COMPUTED_VALUE"""),"82o 29' 00""")</f>
        <v>82o 29' 00"</v>
      </c>
      <c r="N164" s="2" t="str">
        <f>IFERROR(__xludf.DUMMYFUNCTION("""COMPUTED_VALUE"""),"Sarmi (Dolpa)")</f>
        <v>Sarmi (Dolpa)</v>
      </c>
    </row>
    <row r="165">
      <c r="A165" s="2">
        <f>IFERROR(__xludf.DUMMYFUNCTION("""COMPUTED_VALUE"""),164.0)</f>
        <v>164</v>
      </c>
      <c r="B165" s="2" t="str">
        <f>IFERROR(__xludf.DUMMYFUNCTION("""COMPUTED_VALUE"""),"Dolti Khola Hydropower Project")</f>
        <v>Dolti Khola Hydropower Project</v>
      </c>
      <c r="C165" s="2">
        <f>IFERROR(__xludf.DUMMYFUNCTION("""COMPUTED_VALUE"""),3.61)</f>
        <v>3.61</v>
      </c>
      <c r="D165" s="2" t="str">
        <f>IFERROR(__xludf.DUMMYFUNCTION("""COMPUTED_VALUE"""),"Dolti")</f>
        <v>Dolti</v>
      </c>
      <c r="E165" s="2">
        <f>IFERROR(__xludf.DUMMYFUNCTION("""COMPUTED_VALUE"""),1460.0)</f>
        <v>1460</v>
      </c>
      <c r="F165" s="3">
        <f>IFERROR(__xludf.DUMMYFUNCTION("""COMPUTED_VALUE"""),66616.0)</f>
        <v>66616</v>
      </c>
      <c r="G165" s="3">
        <f>IFERROR(__xludf.DUMMYFUNCTION("""COMPUTED_VALUE"""),67346.0)</f>
        <v>67346</v>
      </c>
      <c r="H165" s="2" t="str">
        <f>IFERROR(__xludf.DUMMYFUNCTION("""COMPUTED_VALUE"""),"Prakriti Hydro Solution Pvt. Ltd")</f>
        <v>Prakriti Hydro Solution Pvt. Ltd</v>
      </c>
      <c r="I165" s="2" t="str">
        <f>IFERROR(__xludf.DUMMYFUNCTION("""COMPUTED_VALUE"""),"Lalitpur-10, Kupandole")</f>
        <v>Lalitpur-10, Kupandole</v>
      </c>
      <c r="J165" s="2" t="str">
        <f>IFERROR(__xludf.DUMMYFUNCTION("""COMPUTED_VALUE"""),"27o 40' 58""")</f>
        <v>27o 40' 58"</v>
      </c>
      <c r="K165" s="2" t="str">
        <f>IFERROR(__xludf.DUMMYFUNCTION("""COMPUTED_VALUE"""),"27o 41' 50""")</f>
        <v>27o 41' 50"</v>
      </c>
      <c r="L165" s="2" t="str">
        <f>IFERROR(__xludf.DUMMYFUNCTION("""COMPUTED_VALUE"""),"86o 04' 16""")</f>
        <v>86o 04' 16"</v>
      </c>
      <c r="M165" s="2" t="str">
        <f>IFERROR(__xludf.DUMMYFUNCTION("""COMPUTED_VALUE"""),"86o 06' 00""")</f>
        <v>86o 06' 00"</v>
      </c>
      <c r="N165" s="2" t="str">
        <f>IFERROR(__xludf.DUMMYFUNCTION("""COMPUTED_VALUE"""),"Sunakhani,Susma Chhemawati,Sundrawati,Dolakha (Dolakha)")</f>
        <v>Sunakhani,Susma Chhemawati,Sundrawati,Dolakha (Dolakha)</v>
      </c>
    </row>
    <row r="166">
      <c r="A166" s="2">
        <f>IFERROR(__xludf.DUMMYFUNCTION("""COMPUTED_VALUE"""),165.0)</f>
        <v>165</v>
      </c>
      <c r="B166" s="2" t="str">
        <f>IFERROR(__xludf.DUMMYFUNCTION("""COMPUTED_VALUE"""),"Super Tipgad Khola Hydropower Project")</f>
        <v>Super Tipgad Khola Hydropower Project</v>
      </c>
      <c r="C166" s="2">
        <f>IFERROR(__xludf.DUMMYFUNCTION("""COMPUTED_VALUE"""),9.04)</f>
        <v>9.04</v>
      </c>
      <c r="D166" s="2" t="str">
        <f>IFERROR(__xludf.DUMMYFUNCTION("""COMPUTED_VALUE"""),"Tipgad Khola")</f>
        <v>Tipgad Khola</v>
      </c>
      <c r="E166" s="2">
        <f>IFERROR(__xludf.DUMMYFUNCTION("""COMPUTED_VALUE"""),1461.0)</f>
        <v>1461</v>
      </c>
      <c r="F166" s="3">
        <f>IFERROR(__xludf.DUMMYFUNCTION("""COMPUTED_VALUE"""),66632.0)</f>
        <v>66632</v>
      </c>
      <c r="G166" s="3">
        <f>IFERROR(__xludf.DUMMYFUNCTION("""COMPUTED_VALUE"""),67362.0)</f>
        <v>67362</v>
      </c>
      <c r="H166" s="2" t="str">
        <f>IFERROR(__xludf.DUMMYFUNCTION("""COMPUTED_VALUE"""),"White Peak Ventures Pvt. Ltd")</f>
        <v>White Peak Ventures Pvt. Ltd</v>
      </c>
      <c r="I166" s="2" t="str">
        <f>IFERROR(__xludf.DUMMYFUNCTION("""COMPUTED_VALUE"""),"Kathmandu-10, Buddhanagar, Nepal")</f>
        <v>Kathmandu-10, Buddhanagar, Nepal</v>
      </c>
      <c r="J166" s="2" t="str">
        <f>IFERROR(__xludf.DUMMYFUNCTION("""COMPUTED_VALUE"""),"29o 21' 21""")</f>
        <v>29o 21' 21"</v>
      </c>
      <c r="K166" s="2" t="str">
        <f>IFERROR(__xludf.DUMMYFUNCTION("""COMPUTED_VALUE"""),"29o 22' 45""")</f>
        <v>29o 22' 45"</v>
      </c>
      <c r="L166" s="2" t="str">
        <f>IFERROR(__xludf.DUMMYFUNCTION("""COMPUTED_VALUE"""),"81o 49' 36""")</f>
        <v>81o 49' 36"</v>
      </c>
      <c r="M166" s="2" t="str">
        <f>IFERROR(__xludf.DUMMYFUNCTION("""COMPUTED_VALUE"""),"81o 52' 39""")</f>
        <v>81o 52' 39"</v>
      </c>
      <c r="N166" s="2"/>
    </row>
    <row r="167">
      <c r="A167" s="2">
        <f>IFERROR(__xludf.DUMMYFUNCTION("""COMPUTED_VALUE"""),166.0)</f>
        <v>166</v>
      </c>
      <c r="B167" s="2" t="str">
        <f>IFERROR(__xludf.DUMMYFUNCTION("""COMPUTED_VALUE"""),"Mujkot Khola Hydropower Project")</f>
        <v>Mujkot Khola Hydropower Project</v>
      </c>
      <c r="C167" s="2">
        <f>IFERROR(__xludf.DUMMYFUNCTION("""COMPUTED_VALUE"""),9.5)</f>
        <v>9.5</v>
      </c>
      <c r="D167" s="2" t="str">
        <f>IFERROR(__xludf.DUMMYFUNCTION("""COMPUTED_VALUE"""),"mujkot khola")</f>
        <v>mujkot khola</v>
      </c>
      <c r="E167" s="2">
        <f>IFERROR(__xludf.DUMMYFUNCTION("""COMPUTED_VALUE"""),1462.0)</f>
        <v>1462</v>
      </c>
      <c r="F167" s="3">
        <f>IFERROR(__xludf.DUMMYFUNCTION("""COMPUTED_VALUE"""),66637.0)</f>
        <v>66637</v>
      </c>
      <c r="G167" s="3">
        <f>IFERROR(__xludf.DUMMYFUNCTION("""COMPUTED_VALUE"""),67367.0)</f>
        <v>67367</v>
      </c>
      <c r="H167" s="2" t="str">
        <f>IFERROR(__xludf.DUMMYFUNCTION("""COMPUTED_VALUE"""),"Beta Energy Pvt. Ltd")</f>
        <v>Beta Energy Pvt. Ltd</v>
      </c>
      <c r="I167" s="2" t="str">
        <f>IFERROR(__xludf.DUMMYFUNCTION("""COMPUTED_VALUE"""),"KMC-10, Budhhanagar, Kathmandu")</f>
        <v>KMC-10, Budhhanagar, Kathmandu</v>
      </c>
      <c r="J167" s="2" t="str">
        <f>IFERROR(__xludf.DUMMYFUNCTION("""COMPUTED_VALUE"""),"28o 48' 17""")</f>
        <v>28o 48' 17"</v>
      </c>
      <c r="K167" s="2" t="str">
        <f>IFERROR(__xludf.DUMMYFUNCTION("""COMPUTED_VALUE"""),"28o 50' 35""")</f>
        <v>28o 50' 35"</v>
      </c>
      <c r="L167" s="2" t="str">
        <f>IFERROR(__xludf.DUMMYFUNCTION("""COMPUTED_VALUE"""),"81o 56' 34""")</f>
        <v>81o 56' 34"</v>
      </c>
      <c r="M167" s="2" t="str">
        <f>IFERROR(__xludf.DUMMYFUNCTION("""COMPUTED_VALUE"""),"81o 57' 50""")</f>
        <v>81o 57' 50"</v>
      </c>
      <c r="N167" s="2" t="str">
        <f>IFERROR(__xludf.DUMMYFUNCTION("""COMPUTED_VALUE"""),"Garkhakot,Daha,Majhakot (Jajarkot)")</f>
        <v>Garkhakot,Daha,Majhakot (Jajarkot)</v>
      </c>
    </row>
    <row r="168">
      <c r="A168" s="2">
        <f>IFERROR(__xludf.DUMMYFUNCTION("""COMPUTED_VALUE"""),167.0)</f>
        <v>167</v>
      </c>
      <c r="B168" s="2" t="str">
        <f>IFERROR(__xludf.DUMMYFUNCTION("""COMPUTED_VALUE"""),"TIpgad Khola Hydropower Project")</f>
        <v>TIpgad Khola Hydropower Project</v>
      </c>
      <c r="C168" s="2">
        <f>IFERROR(__xludf.DUMMYFUNCTION("""COMPUTED_VALUE"""),9.34)</f>
        <v>9.34</v>
      </c>
      <c r="D168" s="2" t="str">
        <f>IFERROR(__xludf.DUMMYFUNCTION("""COMPUTED_VALUE"""),"Tipgad Khola")</f>
        <v>Tipgad Khola</v>
      </c>
      <c r="E168" s="2">
        <f>IFERROR(__xludf.DUMMYFUNCTION("""COMPUTED_VALUE"""),1463.0)</f>
        <v>1463</v>
      </c>
      <c r="F168" s="3">
        <f>IFERROR(__xludf.DUMMYFUNCTION("""COMPUTED_VALUE"""),66637.0)</f>
        <v>66637</v>
      </c>
      <c r="G168" s="3">
        <f>IFERROR(__xludf.DUMMYFUNCTION("""COMPUTED_VALUE"""),67367.0)</f>
        <v>67367</v>
      </c>
      <c r="H168" s="2" t="str">
        <f>IFERROR(__xludf.DUMMYFUNCTION("""COMPUTED_VALUE"""),"White Peak Ventures Private Limited")</f>
        <v>White Peak Ventures Private Limited</v>
      </c>
      <c r="I168" s="2" t="str">
        <f>IFERROR(__xludf.DUMMYFUNCTION("""COMPUTED_VALUE"""),"Kathmandu-10, Buddhanagar")</f>
        <v>Kathmandu-10, Buddhanagar</v>
      </c>
      <c r="J168" s="2" t="str">
        <f>IFERROR(__xludf.DUMMYFUNCTION("""COMPUTED_VALUE"""),"29o 19' 14""")</f>
        <v>29o 19' 14"</v>
      </c>
      <c r="K168" s="2" t="str">
        <f>IFERROR(__xludf.DUMMYFUNCTION("""COMPUTED_VALUE"""),"29o 20' 06""")</f>
        <v>29o 20' 06"</v>
      </c>
      <c r="L168" s="2" t="str">
        <f>IFERROR(__xludf.DUMMYFUNCTION("""COMPUTED_VALUE"""),"81o 46' 56""")</f>
        <v>81o 46' 56"</v>
      </c>
      <c r="M168" s="2" t="str">
        <f>IFERROR(__xludf.DUMMYFUNCTION("""COMPUTED_VALUE"""),"81o 48' 48""")</f>
        <v>81o 48' 48"</v>
      </c>
      <c r="N168" s="2"/>
    </row>
    <row r="169">
      <c r="A169" s="2">
        <f>IFERROR(__xludf.DUMMYFUNCTION("""COMPUTED_VALUE"""),168.0)</f>
        <v>168</v>
      </c>
      <c r="B169" s="2" t="str">
        <f>IFERROR(__xludf.DUMMYFUNCTION("""COMPUTED_VALUE"""),"Mathillo Mugu Nadi Hydropower Project")</f>
        <v>Mathillo Mugu Nadi Hydropower Project</v>
      </c>
      <c r="C169" s="2">
        <f>IFERROR(__xludf.DUMMYFUNCTION("""COMPUTED_VALUE"""),70.08)</f>
        <v>70.08</v>
      </c>
      <c r="D169" s="2" t="str">
        <f>IFERROR(__xludf.DUMMYFUNCTION("""COMPUTED_VALUE"""),"Mugu Nadi")</f>
        <v>Mugu Nadi</v>
      </c>
      <c r="E169" s="2">
        <f>IFERROR(__xludf.DUMMYFUNCTION("""COMPUTED_VALUE"""),1464.0)</f>
        <v>1464</v>
      </c>
      <c r="F169" s="3">
        <f>IFERROR(__xludf.DUMMYFUNCTION("""COMPUTED_VALUE"""),66637.0)</f>
        <v>66637</v>
      </c>
      <c r="G169" s="3">
        <f>IFERROR(__xludf.DUMMYFUNCTION("""COMPUTED_VALUE"""),67367.0)</f>
        <v>67367</v>
      </c>
      <c r="H169" s="2" t="str">
        <f>IFERROR(__xludf.DUMMYFUNCTION("""COMPUTED_VALUE"""),"Samriddhi Dhaulakhola Hydropower Private Limited")</f>
        <v>Samriddhi Dhaulakhola Hydropower Private Limited</v>
      </c>
      <c r="I169" s="2" t="str">
        <f>IFERROR(__xludf.DUMMYFUNCTION("""COMPUTED_VALUE"""),"Budhanilkantha - 3, Kathmandu")</f>
        <v>Budhanilkantha - 3, Kathmandu</v>
      </c>
      <c r="J169" s="2" t="str">
        <f>IFERROR(__xludf.DUMMYFUNCTION("""COMPUTED_VALUE"""),"29o 39' 13""")</f>
        <v>29o 39' 13"</v>
      </c>
      <c r="K169" s="2" t="str">
        <f>IFERROR(__xludf.DUMMYFUNCTION("""COMPUTED_VALUE"""),"29o 47' 00""")</f>
        <v>29o 47' 00"</v>
      </c>
      <c r="L169" s="2" t="str">
        <f>IFERROR(__xludf.DUMMYFUNCTION("""COMPUTED_VALUE"""),"82o 30' 20""")</f>
        <v>82o 30' 20"</v>
      </c>
      <c r="M169" s="2" t="str">
        <f>IFERROR(__xludf.DUMMYFUNCTION("""COMPUTED_VALUE"""),"82o 31' 40""")</f>
        <v>82o 31' 40"</v>
      </c>
      <c r="N169" s="2" t="str">
        <f>IFERROR(__xludf.DUMMYFUNCTION("""COMPUTED_VALUE"""),"Dolphu,Mugu (Mugu)")</f>
        <v>Dolphu,Mugu (Mugu)</v>
      </c>
    </row>
    <row r="170">
      <c r="A170" s="2">
        <f>IFERROR(__xludf.DUMMYFUNCTION("""COMPUTED_VALUE"""),169.0)</f>
        <v>169</v>
      </c>
      <c r="B170" s="2" t="str">
        <f>IFERROR(__xludf.DUMMYFUNCTION("""COMPUTED_VALUE"""),"Upper Induwa Khola Hydropower Project")</f>
        <v>Upper Induwa Khola Hydropower Project</v>
      </c>
      <c r="C170" s="2">
        <f>IFERROR(__xludf.DUMMYFUNCTION("""COMPUTED_VALUE"""),4.92)</f>
        <v>4.92</v>
      </c>
      <c r="D170" s="2" t="str">
        <f>IFERROR(__xludf.DUMMYFUNCTION("""COMPUTED_VALUE"""),"Induwa")</f>
        <v>Induwa</v>
      </c>
      <c r="E170" s="2">
        <f>IFERROR(__xludf.DUMMYFUNCTION("""COMPUTED_VALUE"""),1466.0)</f>
        <v>1466</v>
      </c>
      <c r="F170" s="3">
        <f>IFERROR(__xludf.DUMMYFUNCTION("""COMPUTED_VALUE"""),66637.0)</f>
        <v>66637</v>
      </c>
      <c r="G170" s="3">
        <f>IFERROR(__xludf.DUMMYFUNCTION("""COMPUTED_VALUE"""),67367.0)</f>
        <v>67367</v>
      </c>
      <c r="H170" s="2" t="str">
        <f>IFERROR(__xludf.DUMMYFUNCTION("""COMPUTED_VALUE"""),"Mandal Urja Private Limited")</f>
        <v>Mandal Urja Private Limited</v>
      </c>
      <c r="I170" s="2" t="str">
        <f>IFERROR(__xludf.DUMMYFUNCTION("""COMPUTED_VALUE"""),"KMC-32, Subidhanagar, Kathmandu")</f>
        <v>KMC-32, Subidhanagar, Kathmandu</v>
      </c>
      <c r="J170" s="2" t="str">
        <f>IFERROR(__xludf.DUMMYFUNCTION("""COMPUTED_VALUE"""),"27o 31' 30""")</f>
        <v>27o 31' 30"</v>
      </c>
      <c r="K170" s="2" t="str">
        <f>IFERROR(__xludf.DUMMYFUNCTION("""COMPUTED_VALUE"""),"27o 32' 25""")</f>
        <v>27o 32' 25"</v>
      </c>
      <c r="L170" s="2" t="str">
        <f>IFERROR(__xludf.DUMMYFUNCTION("""COMPUTED_VALUE"""),"87o 22' 16""")</f>
        <v>87o 22' 16"</v>
      </c>
      <c r="M170" s="2" t="str">
        <f>IFERROR(__xludf.DUMMYFUNCTION("""COMPUTED_VALUE"""),"87o 24' 49""")</f>
        <v>87o 24' 49"</v>
      </c>
      <c r="N170" s="2" t="str">
        <f>IFERROR(__xludf.DUMMYFUNCTION("""COMPUTED_VALUE"""),"Num (Sankhuwasabha)")</f>
        <v>Num (Sankhuwasabha)</v>
      </c>
    </row>
    <row r="171">
      <c r="A171" s="2">
        <f>IFERROR(__xludf.DUMMYFUNCTION("""COMPUTED_VALUE"""),170.0)</f>
        <v>170</v>
      </c>
      <c r="B171" s="2" t="str">
        <f>IFERROR(__xludf.DUMMYFUNCTION("""COMPUTED_VALUE"""),"Bheri - 8 Hydropower Project")</f>
        <v>Bheri - 8 Hydropower Project</v>
      </c>
      <c r="C171" s="2">
        <f>IFERROR(__xludf.DUMMYFUNCTION("""COMPUTED_VALUE"""),140.0)</f>
        <v>140</v>
      </c>
      <c r="D171" s="2" t="str">
        <f>IFERROR(__xludf.DUMMYFUNCTION("""COMPUTED_VALUE"""),"Thuli Bheri Nadi")</f>
        <v>Thuli Bheri Nadi</v>
      </c>
      <c r="E171" s="2">
        <f>IFERROR(__xludf.DUMMYFUNCTION("""COMPUTED_VALUE"""),1471.0)</f>
        <v>1471</v>
      </c>
      <c r="F171" s="3">
        <f>IFERROR(__xludf.DUMMYFUNCTION("""COMPUTED_VALUE"""),66637.0)</f>
        <v>66637</v>
      </c>
      <c r="G171" s="3">
        <f>IFERROR(__xludf.DUMMYFUNCTION("""COMPUTED_VALUE"""),67367.0)</f>
        <v>67367</v>
      </c>
      <c r="H171" s="2" t="str">
        <f>IFERROR(__xludf.DUMMYFUNCTION("""COMPUTED_VALUE"""),"Green Hydel Private Limited")</f>
        <v>Green Hydel Private Limited</v>
      </c>
      <c r="I171" s="2" t="str">
        <f>IFERROR(__xludf.DUMMYFUNCTION("""COMPUTED_VALUE"""),"New Baneshwor, Kathmandu")</f>
        <v>New Baneshwor, Kathmandu</v>
      </c>
      <c r="J171" s="2" t="str">
        <f>IFERROR(__xludf.DUMMYFUNCTION("""COMPUTED_VALUE"""),"28o 52' 25""")</f>
        <v>28o 52' 25"</v>
      </c>
      <c r="K171" s="2" t="str">
        <f>IFERROR(__xludf.DUMMYFUNCTION("""COMPUTED_VALUE"""),"28o 56' 18""")</f>
        <v>28o 56' 18"</v>
      </c>
      <c r="L171" s="2" t="str">
        <f>IFERROR(__xludf.DUMMYFUNCTION("""COMPUTED_VALUE"""),"82o 57' 15""")</f>
        <v>82o 57' 15"</v>
      </c>
      <c r="M171" s="2" t="str">
        <f>IFERROR(__xludf.DUMMYFUNCTION("""COMPUTED_VALUE"""),"83o 02' 08""")</f>
        <v>83o 02' 08"</v>
      </c>
      <c r="N171" s="2" t="str">
        <f>IFERROR(__xludf.DUMMYFUNCTION("""COMPUTED_VALUE"""),"Lawan,Sahartara (Dolpa)")</f>
        <v>Lawan,Sahartara (Dolpa)</v>
      </c>
    </row>
    <row r="172">
      <c r="A172" s="2">
        <f>IFERROR(__xludf.DUMMYFUNCTION("""COMPUTED_VALUE"""),171.0)</f>
        <v>171</v>
      </c>
      <c r="B172" s="2" t="str">
        <f>IFERROR(__xludf.DUMMYFUNCTION("""COMPUTED_VALUE"""),"Super Tawa Khola Hydropower Project")</f>
        <v>Super Tawa Khola Hydropower Project</v>
      </c>
      <c r="C172" s="2">
        <f>IFERROR(__xludf.DUMMYFUNCTION("""COMPUTED_VALUE"""),4.9)</f>
        <v>4.9</v>
      </c>
      <c r="D172" s="2" t="str">
        <f>IFERROR(__xludf.DUMMYFUNCTION("""COMPUTED_VALUE"""),"Tawa Khola")</f>
        <v>Tawa Khola</v>
      </c>
      <c r="E172" s="2">
        <f>IFERROR(__xludf.DUMMYFUNCTION("""COMPUTED_VALUE"""),1467.0)</f>
        <v>1467</v>
      </c>
      <c r="F172" s="3">
        <f>IFERROR(__xludf.DUMMYFUNCTION("""COMPUTED_VALUE"""),66639.0)</f>
        <v>66639</v>
      </c>
      <c r="G172" s="3">
        <f>IFERROR(__xludf.DUMMYFUNCTION("""COMPUTED_VALUE"""),67369.0)</f>
        <v>67369</v>
      </c>
      <c r="H172" s="2" t="str">
        <f>IFERROR(__xludf.DUMMYFUNCTION("""COMPUTED_VALUE"""),"Radiant Hydropower Private Limited")</f>
        <v>Radiant Hydropower Private Limited</v>
      </c>
      <c r="I172" s="2" t="str">
        <f>IFERROR(__xludf.DUMMYFUNCTION("""COMPUTED_VALUE"""),"KMC-5, Kathmandu")</f>
        <v>KMC-5, Kathmandu</v>
      </c>
      <c r="J172" s="2" t="str">
        <f>IFERROR(__xludf.DUMMYFUNCTION("""COMPUTED_VALUE"""),"27o 22' 26""")</f>
        <v>27o 22' 26"</v>
      </c>
      <c r="K172" s="2" t="str">
        <f>IFERROR(__xludf.DUMMYFUNCTION("""COMPUTED_VALUE"""),"27o 23' 15""")</f>
        <v>27o 23' 15"</v>
      </c>
      <c r="L172" s="2" t="str">
        <f>IFERROR(__xludf.DUMMYFUNCTION("""COMPUTED_VALUE"""),"87o 54' 48""")</f>
        <v>87o 54' 48"</v>
      </c>
      <c r="M172" s="2" t="str">
        <f>IFERROR(__xludf.DUMMYFUNCTION("""COMPUTED_VALUE"""),"87o 56' 26""")</f>
        <v>87o 56' 26"</v>
      </c>
      <c r="N172" s="2" t="str">
        <f>IFERROR(__xludf.DUMMYFUNCTION("""COMPUTED_VALUE"""),"Khewang,Surunkhim (Taplejung)")</f>
        <v>Khewang,Surunkhim (Taplejung)</v>
      </c>
    </row>
    <row r="173">
      <c r="A173" s="2">
        <f>IFERROR(__xludf.DUMMYFUNCTION("""COMPUTED_VALUE"""),172.0)</f>
        <v>172</v>
      </c>
      <c r="B173" s="2" t="str">
        <f>IFERROR(__xludf.DUMMYFUNCTION("""COMPUTED_VALUE"""),"Nawa Khola Hydropower Project")</f>
        <v>Nawa Khola Hydropower Project</v>
      </c>
      <c r="C173" s="2">
        <f>IFERROR(__xludf.DUMMYFUNCTION("""COMPUTED_VALUE"""),4.064)</f>
        <v>4.064</v>
      </c>
      <c r="D173" s="2" t="str">
        <f>IFERROR(__xludf.DUMMYFUNCTION("""COMPUTED_VALUE"""),"Nawa Khola")</f>
        <v>Nawa Khola</v>
      </c>
      <c r="E173" s="2">
        <f>IFERROR(__xludf.DUMMYFUNCTION("""COMPUTED_VALUE"""),1468.0)</f>
        <v>1468</v>
      </c>
      <c r="F173" s="3">
        <f>IFERROR(__xludf.DUMMYFUNCTION("""COMPUTED_VALUE"""),66647.0)</f>
        <v>66647</v>
      </c>
      <c r="G173" s="3">
        <f>IFERROR(__xludf.DUMMYFUNCTION("""COMPUTED_VALUE"""),67377.0)</f>
        <v>67377</v>
      </c>
      <c r="H173" s="2" t="str">
        <f>IFERROR(__xludf.DUMMYFUNCTION("""COMPUTED_VALUE"""),"Nextgen Green Energy Private Limited")</f>
        <v>Nextgen Green Energy Private Limited</v>
      </c>
      <c r="I173" s="2" t="str">
        <f>IFERROR(__xludf.DUMMYFUNCTION("""COMPUTED_VALUE"""),"Dhulikhlel - 4, Kavre, Nepal")</f>
        <v>Dhulikhlel - 4, Kavre, Nepal</v>
      </c>
      <c r="J173" s="2" t="str">
        <f>IFERROR(__xludf.DUMMYFUNCTION("""COMPUTED_VALUE"""),"26o 55' 05""")</f>
        <v>26o 55' 05"</v>
      </c>
      <c r="K173" s="2" t="str">
        <f>IFERROR(__xludf.DUMMYFUNCTION("""COMPUTED_VALUE"""),"26o 57' 06""")</f>
        <v>26o 57' 06"</v>
      </c>
      <c r="L173" s="2" t="str">
        <f>IFERROR(__xludf.DUMMYFUNCTION("""COMPUTED_VALUE"""),"87o 33' 00""")</f>
        <v>87o 33' 00"</v>
      </c>
      <c r="M173" s="2" t="str">
        <f>IFERROR(__xludf.DUMMYFUNCTION("""COMPUTED_VALUE"""),"87o 35' 24""")</f>
        <v>87o 35' 24"</v>
      </c>
      <c r="N173" s="2" t="str">
        <f>IFERROR(__xludf.DUMMYFUNCTION("""COMPUTED_VALUE"""),"Hangum,Mauwa,Durdimba (Panchthar)")</f>
        <v>Hangum,Mauwa,Durdimba (Panchthar)</v>
      </c>
    </row>
    <row r="174">
      <c r="A174" s="2">
        <f>IFERROR(__xludf.DUMMYFUNCTION("""COMPUTED_VALUE"""),173.0)</f>
        <v>173</v>
      </c>
      <c r="B174" s="2" t="str">
        <f>IFERROR(__xludf.DUMMYFUNCTION("""COMPUTED_VALUE"""),"Lukum Khola Hydropower Project")</f>
        <v>Lukum Khola Hydropower Project</v>
      </c>
      <c r="C174" s="2">
        <f>IFERROR(__xludf.DUMMYFUNCTION("""COMPUTED_VALUE"""),3.57)</f>
        <v>3.57</v>
      </c>
      <c r="D174" s="2" t="str">
        <f>IFERROR(__xludf.DUMMYFUNCTION("""COMPUTED_VALUE"""),"Lukum")</f>
        <v>Lukum</v>
      </c>
      <c r="E174" s="2">
        <f>IFERROR(__xludf.DUMMYFUNCTION("""COMPUTED_VALUE"""),1469.0)</f>
        <v>1469</v>
      </c>
      <c r="F174" s="3">
        <f>IFERROR(__xludf.DUMMYFUNCTION("""COMPUTED_VALUE"""),66648.0)</f>
        <v>66648</v>
      </c>
      <c r="G174" s="3">
        <f>IFERROR(__xludf.DUMMYFUNCTION("""COMPUTED_VALUE"""),67378.0)</f>
        <v>67378</v>
      </c>
      <c r="H174" s="2" t="str">
        <f>IFERROR(__xludf.DUMMYFUNCTION("""COMPUTED_VALUE"""),"Artec Energy Private Limited")</f>
        <v>Artec Energy Private Limited</v>
      </c>
      <c r="I174" s="2" t="str">
        <f>IFERROR(__xludf.DUMMYFUNCTION("""COMPUTED_VALUE"""),"Lamachaur-16, Pokhara")</f>
        <v>Lamachaur-16, Pokhara</v>
      </c>
      <c r="J174" s="2" t="str">
        <f>IFERROR(__xludf.DUMMYFUNCTION("""COMPUTED_VALUE"""),"28o 32' 10""")</f>
        <v>28o 32' 10"</v>
      </c>
      <c r="K174" s="2" t="str">
        <f>IFERROR(__xludf.DUMMYFUNCTION("""COMPUTED_VALUE"""),"28o 33' 43""")</f>
        <v>28o 33' 43"</v>
      </c>
      <c r="L174" s="2" t="str">
        <f>IFERROR(__xludf.DUMMYFUNCTION("""COMPUTED_VALUE"""),"82o 44' 07""")</f>
        <v>82o 44' 07"</v>
      </c>
      <c r="M174" s="2" t="str">
        <f>IFERROR(__xludf.DUMMYFUNCTION("""COMPUTED_VALUE"""),"82o 46' 30""")</f>
        <v>82o 46' 30"</v>
      </c>
      <c r="N174" s="2" t="str">
        <f>IFERROR(__xludf.DUMMYFUNCTION("""COMPUTED_VALUE"""),"Kankri (Rukum)")</f>
        <v>Kankri (Rukum)</v>
      </c>
    </row>
    <row r="175">
      <c r="A175" s="2">
        <f>IFERROR(__xludf.DUMMYFUNCTION("""COMPUTED_VALUE"""),174.0)</f>
        <v>174</v>
      </c>
      <c r="B175" s="2" t="str">
        <f>IFERROR(__xludf.DUMMYFUNCTION("""COMPUTED_VALUE"""),"Gothi Khola Hydropower Project")</f>
        <v>Gothi Khola Hydropower Project</v>
      </c>
      <c r="C175" s="2">
        <f>IFERROR(__xludf.DUMMYFUNCTION("""COMPUTED_VALUE"""),9.53)</f>
        <v>9.53</v>
      </c>
      <c r="D175" s="2" t="str">
        <f>IFERROR(__xludf.DUMMYFUNCTION("""COMPUTED_VALUE"""),"Gothi Khola")</f>
        <v>Gothi Khola</v>
      </c>
      <c r="E175" s="2">
        <f>IFERROR(__xludf.DUMMYFUNCTION("""COMPUTED_VALUE"""),1470.0)</f>
        <v>1470</v>
      </c>
      <c r="F175" s="3">
        <f>IFERROR(__xludf.DUMMYFUNCTION("""COMPUTED_VALUE"""),66648.0)</f>
        <v>66648</v>
      </c>
      <c r="G175" s="3">
        <f>IFERROR(__xludf.DUMMYFUNCTION("""COMPUTED_VALUE"""),67378.0)</f>
        <v>67378</v>
      </c>
      <c r="H175" s="2" t="str">
        <f>IFERROR(__xludf.DUMMYFUNCTION("""COMPUTED_VALUE"""),"Standard H. Energy Private Limited")</f>
        <v>Standard H. Energy Private Limited</v>
      </c>
      <c r="I175" s="2" t="str">
        <f>IFERROR(__xludf.DUMMYFUNCTION("""COMPUTED_VALUE"""),"KMC-26, Gongabu, Kathmandu")</f>
        <v>KMC-26, Gongabu, Kathmandu</v>
      </c>
      <c r="J175" s="2" t="str">
        <f>IFERROR(__xludf.DUMMYFUNCTION("""COMPUTED_VALUE"""),"29o 46' 42""")</f>
        <v>29o 46' 42"</v>
      </c>
      <c r="K175" s="2" t="str">
        <f>IFERROR(__xludf.DUMMYFUNCTION("""COMPUTED_VALUE"""),"29o 48' 45""")</f>
        <v>29o 48' 45"</v>
      </c>
      <c r="L175" s="2" t="str">
        <f>IFERROR(__xludf.DUMMYFUNCTION("""COMPUTED_VALUE"""),"81o 57' 15""")</f>
        <v>81o 57' 15"</v>
      </c>
      <c r="M175" s="2" t="str">
        <f>IFERROR(__xludf.DUMMYFUNCTION("""COMPUTED_VALUE"""),"81o 58' 00""")</f>
        <v>81o 58' 00"</v>
      </c>
      <c r="N175" s="2" t="str">
        <f>IFERROR(__xludf.DUMMYFUNCTION("""COMPUTED_VALUE"""),"Gothi,Rodikot,Saya(Sama) (Humla)")</f>
        <v>Gothi,Rodikot,Saya(Sama) (Humla)</v>
      </c>
    </row>
    <row r="176">
      <c r="A176" s="2">
        <f>IFERROR(__xludf.DUMMYFUNCTION("""COMPUTED_VALUE"""),175.0)</f>
        <v>175</v>
      </c>
      <c r="B176" s="2" t="str">
        <f>IFERROR(__xludf.DUMMYFUNCTION("""COMPUTED_VALUE"""),"Hewa Khola RoR Hydropower Project")</f>
        <v>Hewa Khola RoR Hydropower Project</v>
      </c>
      <c r="C176" s="2">
        <f>IFERROR(__xludf.DUMMYFUNCTION("""COMPUTED_VALUE"""),7.3)</f>
        <v>7.3</v>
      </c>
      <c r="D176" s="2" t="str">
        <f>IFERROR(__xludf.DUMMYFUNCTION("""COMPUTED_VALUE"""),"Hewa (Panchthar)")</f>
        <v>Hewa (Panchthar)</v>
      </c>
      <c r="E176" s="2">
        <f>IFERROR(__xludf.DUMMYFUNCTION("""COMPUTED_VALUE"""),1472.0)</f>
        <v>1472</v>
      </c>
      <c r="F176" s="3">
        <f>IFERROR(__xludf.DUMMYFUNCTION("""COMPUTED_VALUE"""),66655.0)</f>
        <v>66655</v>
      </c>
      <c r="G176" s="3">
        <f>IFERROR(__xludf.DUMMYFUNCTION("""COMPUTED_VALUE"""),67385.0)</f>
        <v>67385</v>
      </c>
      <c r="H176" s="2" t="str">
        <f>IFERROR(__xludf.DUMMYFUNCTION("""COMPUTED_VALUE"""),"Phalelung Hydropower Private Limited")</f>
        <v>Phalelung Hydropower Private Limited</v>
      </c>
      <c r="I176" s="2" t="str">
        <f>IFERROR(__xludf.DUMMYFUNCTION("""COMPUTED_VALUE"""),"Suryabinayak, Bhaktapur")</f>
        <v>Suryabinayak, Bhaktapur</v>
      </c>
      <c r="J176" s="2" t="str">
        <f>IFERROR(__xludf.DUMMYFUNCTION("""COMPUTED_VALUE"""),"27o 10' 50""")</f>
        <v>27o 10' 50"</v>
      </c>
      <c r="K176" s="2" t="str">
        <f>IFERROR(__xludf.DUMMYFUNCTION("""COMPUTED_VALUE"""),"27o 11' 30""")</f>
        <v>27o 11' 30"</v>
      </c>
      <c r="L176" s="2" t="str">
        <f>IFERROR(__xludf.DUMMYFUNCTION("""COMPUTED_VALUE"""),"87o 53' 15""")</f>
        <v>87o 53' 15"</v>
      </c>
      <c r="M176" s="2" t="str">
        <f>IFERROR(__xludf.DUMMYFUNCTION("""COMPUTED_VALUE"""),"87o 55' 22""")</f>
        <v>87o 55' 22"</v>
      </c>
      <c r="N176" s="2" t="str">
        <f>IFERROR(__xludf.DUMMYFUNCTION("""COMPUTED_VALUE"""),"Ekteen,Prangbung,Sidin,Memeng (Panchthar)")</f>
        <v>Ekteen,Prangbung,Sidin,Memeng (Panchthar)</v>
      </c>
    </row>
    <row r="177">
      <c r="A177" s="2">
        <f>IFERROR(__xludf.DUMMYFUNCTION("""COMPUTED_VALUE"""),176.0)</f>
        <v>176</v>
      </c>
      <c r="B177" s="2" t="str">
        <f>IFERROR(__xludf.DUMMYFUNCTION("""COMPUTED_VALUE"""),"Upper Mewa Hydropower Project")</f>
        <v>Upper Mewa Hydropower Project</v>
      </c>
      <c r="C177" s="2">
        <f>IFERROR(__xludf.DUMMYFUNCTION("""COMPUTED_VALUE"""),8.175)</f>
        <v>8.175</v>
      </c>
      <c r="D177" s="2" t="str">
        <f>IFERROR(__xludf.DUMMYFUNCTION("""COMPUTED_VALUE"""),"Mewa Khola")</f>
        <v>Mewa Khola</v>
      </c>
      <c r="E177" s="2">
        <f>IFERROR(__xludf.DUMMYFUNCTION("""COMPUTED_VALUE"""),1473.0)</f>
        <v>1473</v>
      </c>
      <c r="F177" s="3">
        <f>IFERROR(__xludf.DUMMYFUNCTION("""COMPUTED_VALUE"""),66655.0)</f>
        <v>66655</v>
      </c>
      <c r="G177" s="3">
        <f>IFERROR(__xludf.DUMMYFUNCTION("""COMPUTED_VALUE"""),67385.0)</f>
        <v>67385</v>
      </c>
      <c r="H177" s="2" t="str">
        <f>IFERROR(__xludf.DUMMYFUNCTION("""COMPUTED_VALUE"""),"Galaxy Hydropower Private Limited")</f>
        <v>Galaxy Hydropower Private Limited</v>
      </c>
      <c r="I177" s="2" t="str">
        <f>IFERROR(__xludf.DUMMYFUNCTION("""COMPUTED_VALUE"""),"Lubhu Lamatar, Ward No. 9, Mahalaxmi Municipality, Lalitpur")</f>
        <v>Lubhu Lamatar, Ward No. 9, Mahalaxmi Municipality, Lalitpur</v>
      </c>
      <c r="J177" s="2" t="str">
        <f>IFERROR(__xludf.DUMMYFUNCTION("""COMPUTED_VALUE"""),"27o 15' 15""")</f>
        <v>27o 15' 15"</v>
      </c>
      <c r="K177" s="2" t="str">
        <f>IFERROR(__xludf.DUMMYFUNCTION("""COMPUTED_VALUE"""),"27o 16' 43""")</f>
        <v>27o 16' 43"</v>
      </c>
      <c r="L177" s="2" t="str">
        <f>IFERROR(__xludf.DUMMYFUNCTION("""COMPUTED_VALUE"""),"87o 56' 00""")</f>
        <v>87o 56' 00"</v>
      </c>
      <c r="M177" s="2" t="str">
        <f>IFERROR(__xludf.DUMMYFUNCTION("""COMPUTED_VALUE"""),"87o 58' 15""")</f>
        <v>87o 58' 15"</v>
      </c>
      <c r="N177" s="2" t="str">
        <f>IFERROR(__xludf.DUMMYFUNCTION("""COMPUTED_VALUE"""),"Chyangthapu,Falaicha (Panchthar)")</f>
        <v>Chyangthapu,Falaicha (Panchthar)</v>
      </c>
    </row>
    <row r="178">
      <c r="A178" s="2">
        <f>IFERROR(__xludf.DUMMYFUNCTION("""COMPUTED_VALUE"""),177.0)</f>
        <v>177</v>
      </c>
      <c r="B178" s="2" t="str">
        <f>IFERROR(__xludf.DUMMYFUNCTION("""COMPUTED_VALUE"""),"Super Chuwa Khola-I Hydropower Project")</f>
        <v>Super Chuwa Khola-I Hydropower Project</v>
      </c>
      <c r="C178" s="2">
        <f>IFERROR(__xludf.DUMMYFUNCTION("""COMPUTED_VALUE"""),20.18)</f>
        <v>20.18</v>
      </c>
      <c r="D178" s="2" t="str">
        <f>IFERROR(__xludf.DUMMYFUNCTION("""COMPUTED_VALUE"""),"Chuwa Khola")</f>
        <v>Chuwa Khola</v>
      </c>
      <c r="E178" s="2">
        <f>IFERROR(__xludf.DUMMYFUNCTION("""COMPUTED_VALUE"""),1474.0)</f>
        <v>1474</v>
      </c>
      <c r="F178" s="3">
        <f>IFERROR(__xludf.DUMMYFUNCTION("""COMPUTED_VALUE"""),66655.0)</f>
        <v>66655</v>
      </c>
      <c r="G178" s="3">
        <f>IFERROR(__xludf.DUMMYFUNCTION("""COMPUTED_VALUE"""),67385.0)</f>
        <v>67385</v>
      </c>
      <c r="H178" s="2" t="str">
        <f>IFERROR(__xludf.DUMMYFUNCTION("""COMPUTED_VALUE"""),"Aviyan Power Company Pvt. Ltd.")</f>
        <v>Aviyan Power Company Pvt. Ltd.</v>
      </c>
      <c r="I178" s="2" t="str">
        <f>IFERROR(__xludf.DUMMYFUNCTION("""COMPUTED_VALUE"""),"Ka.Ma.Na.Pa.-9, Battisputali, Kathmamdu")</f>
        <v>Ka.Ma.Na.Pa.-9, Battisputali, Kathmamdu</v>
      </c>
      <c r="J178" s="2" t="str">
        <f>IFERROR(__xludf.DUMMYFUNCTION("""COMPUTED_VALUE"""),"30o 02' 15""")</f>
        <v>30o 02' 15"</v>
      </c>
      <c r="K178" s="2" t="str">
        <f>IFERROR(__xludf.DUMMYFUNCTION("""COMPUTED_VALUE"""),"30o 05' 53""")</f>
        <v>30o 05' 53"</v>
      </c>
      <c r="L178" s="2" t="str">
        <f>IFERROR(__xludf.DUMMYFUNCTION("""COMPUTED_VALUE"""),"82o 00' 00""")</f>
        <v>82o 00' 00"</v>
      </c>
      <c r="M178" s="2" t="str">
        <f>IFERROR(__xludf.DUMMYFUNCTION("""COMPUTED_VALUE"""),"82o 03' 19""")</f>
        <v>82o 03' 19"</v>
      </c>
      <c r="N178" s="2" t="str">
        <f>IFERROR(__xludf.DUMMYFUNCTION("""COMPUTED_VALUE"""),"Kharpunath,Simikot (Humla)")</f>
        <v>Kharpunath,Simikot (Humla)</v>
      </c>
    </row>
    <row r="179">
      <c r="A179" s="2">
        <f>IFERROR(__xludf.DUMMYFUNCTION("""COMPUTED_VALUE"""),178.0)</f>
        <v>178</v>
      </c>
      <c r="B179" s="2" t="str">
        <f>IFERROR(__xludf.DUMMYFUNCTION("""COMPUTED_VALUE"""),"Upper Tipgad Khola Hydropower Project")</f>
        <v>Upper Tipgad Khola Hydropower Project</v>
      </c>
      <c r="C179" s="2">
        <f>IFERROR(__xludf.DUMMYFUNCTION("""COMPUTED_VALUE"""),19.0)</f>
        <v>19</v>
      </c>
      <c r="D179" s="2" t="str">
        <f>IFERROR(__xludf.DUMMYFUNCTION("""COMPUTED_VALUE"""),"Tipgad Khola, Phagoti khola")</f>
        <v>Tipgad Khola, Phagoti khola</v>
      </c>
      <c r="E179" s="2">
        <f>IFERROR(__xludf.DUMMYFUNCTION("""COMPUTED_VALUE"""),1475.0)</f>
        <v>1475</v>
      </c>
      <c r="F179" s="3">
        <f>IFERROR(__xludf.DUMMYFUNCTION("""COMPUTED_VALUE"""),66656.0)</f>
        <v>66656</v>
      </c>
      <c r="G179" s="3">
        <f>IFERROR(__xludf.DUMMYFUNCTION("""COMPUTED_VALUE"""),67386.0)</f>
        <v>67386</v>
      </c>
      <c r="H179" s="2" t="str">
        <f>IFERROR(__xludf.DUMMYFUNCTION("""COMPUTED_VALUE"""),"Tinjure Hydropower Private Limited")</f>
        <v>Tinjure Hydropower Private Limited</v>
      </c>
      <c r="I179" s="2" t="str">
        <f>IFERROR(__xludf.DUMMYFUNCTION("""COMPUTED_VALUE"""),"KMC-31, Kathmandu")</f>
        <v>KMC-31, Kathmandu</v>
      </c>
      <c r="J179" s="2" t="str">
        <f>IFERROR(__xludf.DUMMYFUNCTION("""COMPUTED_VALUE"""),"29o 19' 10""")</f>
        <v>29o 19' 10"</v>
      </c>
      <c r="K179" s="2" t="str">
        <f>IFERROR(__xludf.DUMMYFUNCTION("""COMPUTED_VALUE"""),"29o 21' 17""")</f>
        <v>29o 21' 17"</v>
      </c>
      <c r="L179" s="2" t="str">
        <f>IFERROR(__xludf.DUMMYFUNCTION("""COMPUTED_VALUE"""),"81o 48' 48""")</f>
        <v>81o 48' 48"</v>
      </c>
      <c r="M179" s="2" t="str">
        <f>IFERROR(__xludf.DUMMYFUNCTION("""COMPUTED_VALUE"""),"81o 50' 47""")</f>
        <v>81o 50' 47"</v>
      </c>
      <c r="N179" s="2" t="str">
        <f>IFERROR(__xludf.DUMMYFUNCTION("""COMPUTED_VALUE"""),"Kheen,Thirpu (Kalikot)")</f>
        <v>Kheen,Thirpu (Kalikot)</v>
      </c>
    </row>
    <row r="180">
      <c r="A180" s="2">
        <f>IFERROR(__xludf.DUMMYFUNCTION("""COMPUTED_VALUE"""),179.0)</f>
        <v>179</v>
      </c>
      <c r="B180" s="2" t="str">
        <f>IFERROR(__xludf.DUMMYFUNCTION("""COMPUTED_VALUE"""),"Upper Ghusban Khola Hydropower Project")</f>
        <v>Upper Ghusban Khola Hydropower Project</v>
      </c>
      <c r="C180" s="2">
        <f>IFERROR(__xludf.DUMMYFUNCTION("""COMPUTED_VALUE"""),3.13)</f>
        <v>3.13</v>
      </c>
      <c r="D180" s="2" t="str">
        <f>IFERROR(__xludf.DUMMYFUNCTION("""COMPUTED_VALUE"""),"Ghusbang Khola")</f>
        <v>Ghusbang Khola</v>
      </c>
      <c r="E180" s="2">
        <f>IFERROR(__xludf.DUMMYFUNCTION("""COMPUTED_VALUE"""),1476.0)</f>
        <v>1476</v>
      </c>
      <c r="F180" s="3">
        <f>IFERROR(__xludf.DUMMYFUNCTION("""COMPUTED_VALUE"""),66657.0)</f>
        <v>66657</v>
      </c>
      <c r="G180" s="3">
        <f>IFERROR(__xludf.DUMMYFUNCTION("""COMPUTED_VALUE"""),67387.0)</f>
        <v>67387</v>
      </c>
      <c r="H180" s="2" t="str">
        <f>IFERROR(__xludf.DUMMYFUNCTION("""COMPUTED_VALUE"""),"Sunchhahari Energy Private Limited")</f>
        <v>Sunchhahari Energy Private Limited</v>
      </c>
      <c r="I180" s="2" t="str">
        <f>IFERROR(__xludf.DUMMYFUNCTION("""COMPUTED_VALUE"""),"Annapurna Tole, Tarkeshwor, Kathmandu")</f>
        <v>Annapurna Tole, Tarkeshwor, Kathmandu</v>
      </c>
      <c r="J180" s="2" t="str">
        <f>IFERROR(__xludf.DUMMYFUNCTION("""COMPUTED_VALUE"""),"28o 23' 48""")</f>
        <v>28o 23' 48"</v>
      </c>
      <c r="K180" s="2" t="str">
        <f>IFERROR(__xludf.DUMMYFUNCTION("""COMPUTED_VALUE"""),"28o 25' 09""")</f>
        <v>28o 25' 09"</v>
      </c>
      <c r="L180" s="2" t="str">
        <f>IFERROR(__xludf.DUMMYFUNCTION("""COMPUTED_VALUE"""),"82o 49' 10""")</f>
        <v>82o 49' 10"</v>
      </c>
      <c r="M180" s="2" t="str">
        <f>IFERROR(__xludf.DUMMYFUNCTION("""COMPUTED_VALUE"""),"82o 50' 17""")</f>
        <v>82o 50' 17"</v>
      </c>
      <c r="N180" s="2" t="str">
        <f>IFERROR(__xludf.DUMMYFUNCTION("""COMPUTED_VALUE"""),"Seram,Uwa (Rolpa)")</f>
        <v>Seram,Uwa (Rolpa)</v>
      </c>
    </row>
    <row r="181">
      <c r="A181" s="2">
        <f>IFERROR(__xludf.DUMMYFUNCTION("""COMPUTED_VALUE"""),180.0)</f>
        <v>180</v>
      </c>
      <c r="B181" s="2" t="str">
        <f>IFERROR(__xludf.DUMMYFUNCTION("""COMPUTED_VALUE"""),"Adha Khola Hydropower Project")</f>
        <v>Adha Khola Hydropower Project</v>
      </c>
      <c r="C181" s="2">
        <f>IFERROR(__xludf.DUMMYFUNCTION("""COMPUTED_VALUE"""),4.1)</f>
        <v>4.1</v>
      </c>
      <c r="D181" s="2" t="str">
        <f>IFERROR(__xludf.DUMMYFUNCTION("""COMPUTED_VALUE"""),"Adha")</f>
        <v>Adha</v>
      </c>
      <c r="E181" s="2">
        <f>IFERROR(__xludf.DUMMYFUNCTION("""COMPUTED_VALUE"""),1477.0)</f>
        <v>1477</v>
      </c>
      <c r="F181" s="3">
        <f>IFERROR(__xludf.DUMMYFUNCTION("""COMPUTED_VALUE"""),66659.0)</f>
        <v>66659</v>
      </c>
      <c r="G181" s="3">
        <f>IFERROR(__xludf.DUMMYFUNCTION("""COMPUTED_VALUE"""),67389.0)</f>
        <v>67389</v>
      </c>
      <c r="H181" s="2" t="str">
        <f>IFERROR(__xludf.DUMMYFUNCTION("""COMPUTED_VALUE"""),"Pangsang Energy Private Limited")</f>
        <v>Pangsang Energy Private Limited</v>
      </c>
      <c r="I181" s="2" t="str">
        <f>IFERROR(__xludf.DUMMYFUNCTION("""COMPUTED_VALUE"""),"Ruby Valley - 3, Dhading")</f>
        <v>Ruby Valley - 3, Dhading</v>
      </c>
      <c r="J181" s="2" t="str">
        <f>IFERROR(__xludf.DUMMYFUNCTION("""COMPUTED_VALUE"""),"28o 09' 40""")</f>
        <v>28o 09' 40"</v>
      </c>
      <c r="K181" s="2" t="str">
        <f>IFERROR(__xludf.DUMMYFUNCTION("""COMPUTED_VALUE"""),"28o 10' 59""")</f>
        <v>28o 10' 59"</v>
      </c>
      <c r="L181" s="2" t="str">
        <f>IFERROR(__xludf.DUMMYFUNCTION("""COMPUTED_VALUE"""),"85o 05' 00""")</f>
        <v>85o 05' 00"</v>
      </c>
      <c r="M181" s="2" t="str">
        <f>IFERROR(__xludf.DUMMYFUNCTION("""COMPUTED_VALUE"""),"85o 06' 30""")</f>
        <v>85o 06' 30"</v>
      </c>
      <c r="N181" s="2" t="str">
        <f>IFERROR(__xludf.DUMMYFUNCTION("""COMPUTED_VALUE"""),"Tipling,Sirtung (Dhading)")</f>
        <v>Tipling,Sirtung (Dhading)</v>
      </c>
    </row>
    <row r="182">
      <c r="A182" s="2">
        <f>IFERROR(__xludf.DUMMYFUNCTION("""COMPUTED_VALUE"""),181.0)</f>
        <v>181</v>
      </c>
      <c r="B182" s="2" t="str">
        <f>IFERROR(__xludf.DUMMYFUNCTION("""COMPUTED_VALUE"""),"Mathillo Dar Khola Hydropower Project")</f>
        <v>Mathillo Dar Khola Hydropower Project</v>
      </c>
      <c r="C182" s="2">
        <f>IFERROR(__xludf.DUMMYFUNCTION("""COMPUTED_VALUE"""),2.8)</f>
        <v>2.8</v>
      </c>
      <c r="D182" s="2" t="str">
        <f>IFERROR(__xludf.DUMMYFUNCTION("""COMPUTED_VALUE"""),"Dar Khola, moha khola")</f>
        <v>Dar Khola, moha khola</v>
      </c>
      <c r="E182" s="2">
        <f>IFERROR(__xludf.DUMMYFUNCTION("""COMPUTED_VALUE"""),1479.0)</f>
        <v>1479</v>
      </c>
      <c r="F182" s="3">
        <f>IFERROR(__xludf.DUMMYFUNCTION("""COMPUTED_VALUE"""),66677.0)</f>
        <v>66677</v>
      </c>
      <c r="G182" s="3">
        <f>IFERROR(__xludf.DUMMYFUNCTION("""COMPUTED_VALUE"""),67407.0)</f>
        <v>67407</v>
      </c>
      <c r="H182" s="2" t="str">
        <f>IFERROR(__xludf.DUMMYFUNCTION("""COMPUTED_VALUE"""),"Sandarbha Invest Private Limited")</f>
        <v>Sandarbha Invest Private Limited</v>
      </c>
      <c r="I182" s="2" t="str">
        <f>IFERROR(__xludf.DUMMYFUNCTION("""COMPUTED_VALUE"""),"Lalitpur - 5, Thasikhel")</f>
        <v>Lalitpur - 5, Thasikhel</v>
      </c>
      <c r="J182" s="2" t="str">
        <f>IFERROR(__xludf.DUMMYFUNCTION("""COMPUTED_VALUE"""),"28o 30' 20""")</f>
        <v>28o 30' 20"</v>
      </c>
      <c r="K182" s="2" t="str">
        <f>IFERROR(__xludf.DUMMYFUNCTION("""COMPUTED_VALUE"""),"28o 31' 06""")</f>
        <v>28o 31' 06"</v>
      </c>
      <c r="L182" s="2" t="str">
        <f>IFERROR(__xludf.DUMMYFUNCTION("""COMPUTED_VALUE"""),"83o 17' 20""")</f>
        <v>83o 17' 20"</v>
      </c>
      <c r="M182" s="2" t="str">
        <f>IFERROR(__xludf.DUMMYFUNCTION("""COMPUTED_VALUE"""),"83o 18' 47""")</f>
        <v>83o 18' 47"</v>
      </c>
      <c r="N182" s="2" t="str">
        <f>IFERROR(__xludf.DUMMYFUNCTION("""COMPUTED_VALUE"""),"Muna,Lulang (Myagdi)")</f>
        <v>Muna,Lulang (Myagdi)</v>
      </c>
    </row>
    <row r="183">
      <c r="A183" s="2">
        <f>IFERROR(__xludf.DUMMYFUNCTION("""COMPUTED_VALUE"""),182.0)</f>
        <v>182</v>
      </c>
      <c r="B183" s="2" t="str">
        <f>IFERROR(__xludf.DUMMYFUNCTION("""COMPUTED_VALUE"""),"Sankhuwa Khola - 1 Hydropower Project")</f>
        <v>Sankhuwa Khola - 1 Hydropower Project</v>
      </c>
      <c r="C183" s="2">
        <f>IFERROR(__xludf.DUMMYFUNCTION("""COMPUTED_VALUE"""),40.8)</f>
        <v>40.8</v>
      </c>
      <c r="D183" s="2" t="str">
        <f>IFERROR(__xludf.DUMMYFUNCTION("""COMPUTED_VALUE"""),"Sankhuwa Khola and Koluwa Khol")</f>
        <v>Sankhuwa Khola and Koluwa Khol</v>
      </c>
      <c r="E183" s="2">
        <f>IFERROR(__xludf.DUMMYFUNCTION("""COMPUTED_VALUE"""),1480.0)</f>
        <v>1480</v>
      </c>
      <c r="F183" s="3">
        <f>IFERROR(__xludf.DUMMYFUNCTION("""COMPUTED_VALUE"""),66677.0)</f>
        <v>66677</v>
      </c>
      <c r="G183" s="3">
        <f>IFERROR(__xludf.DUMMYFUNCTION("""COMPUTED_VALUE"""),67407.0)</f>
        <v>67407</v>
      </c>
      <c r="H183" s="2" t="str">
        <f>IFERROR(__xludf.DUMMYFUNCTION("""COMPUTED_VALUE"""),"Sankhuwa Khola Hydro Private Limited")</f>
        <v>Sankhuwa Khola Hydro Private Limited</v>
      </c>
      <c r="I183" s="2" t="str">
        <f>IFERROR(__xludf.DUMMYFUNCTION("""COMPUTED_VALUE"""),"KMC-9, Kathmandu")</f>
        <v>KMC-9, Kathmandu</v>
      </c>
      <c r="J183" s="2" t="str">
        <f>IFERROR(__xludf.DUMMYFUNCTION("""COMPUTED_VALUE"""),"27o 28' 44""")</f>
        <v>27o 28' 44"</v>
      </c>
      <c r="K183" s="2" t="str">
        <f>IFERROR(__xludf.DUMMYFUNCTION("""COMPUTED_VALUE"""),"27o 32' 45""")</f>
        <v>27o 32' 45"</v>
      </c>
      <c r="L183" s="2" t="str">
        <f>IFERROR(__xludf.DUMMYFUNCTION("""COMPUTED_VALUE"""),"87o 04' 00""")</f>
        <v>87o 04' 00"</v>
      </c>
      <c r="M183" s="2" t="str">
        <f>IFERROR(__xludf.DUMMYFUNCTION("""COMPUTED_VALUE"""),"87o 06' 04""")</f>
        <v>87o 06' 04"</v>
      </c>
      <c r="N183" s="2" t="str">
        <f>IFERROR(__xludf.DUMMYFUNCTION("""COMPUTED_VALUE"""),"Bala,Tamku (Sankhuwasabha)")</f>
        <v>Bala,Tamku (Sankhuwasabha)</v>
      </c>
    </row>
    <row r="184">
      <c r="A184" s="2">
        <f>IFERROR(__xludf.DUMMYFUNCTION("""COMPUTED_VALUE"""),183.0)</f>
        <v>183</v>
      </c>
      <c r="B184" s="2" t="str">
        <f>IFERROR(__xludf.DUMMYFUNCTION("""COMPUTED_VALUE"""),"Vision Madi Hydropower Project")</f>
        <v>Vision Madi Hydropower Project</v>
      </c>
      <c r="C184" s="2">
        <f>IFERROR(__xludf.DUMMYFUNCTION("""COMPUTED_VALUE"""),3.78)</f>
        <v>3.78</v>
      </c>
      <c r="D184" s="2" t="str">
        <f>IFERROR(__xludf.DUMMYFUNCTION("""COMPUTED_VALUE"""),"Madi Khola")</f>
        <v>Madi Khola</v>
      </c>
      <c r="E184" s="2">
        <f>IFERROR(__xludf.DUMMYFUNCTION("""COMPUTED_VALUE"""),1481.0)</f>
        <v>1481</v>
      </c>
      <c r="F184" s="3">
        <f>IFERROR(__xludf.DUMMYFUNCTION("""COMPUTED_VALUE"""),66681.0)</f>
        <v>66681</v>
      </c>
      <c r="G184" s="3">
        <f>IFERROR(__xludf.DUMMYFUNCTION("""COMPUTED_VALUE"""),67411.0)</f>
        <v>67411</v>
      </c>
      <c r="H184" s="2" t="str">
        <f>IFERROR(__xludf.DUMMYFUNCTION("""COMPUTED_VALUE"""),"J.V. Power Private Limited")</f>
        <v>J.V. Power Private Limited</v>
      </c>
      <c r="I184" s="2" t="str">
        <f>IFERROR(__xludf.DUMMYFUNCTION("""COMPUTED_VALUE"""),"KMC-10, Dillibajar, Kathmandu")</f>
        <v>KMC-10, Dillibajar, Kathmandu</v>
      </c>
      <c r="J184" s="2" t="str">
        <f>IFERROR(__xludf.DUMMYFUNCTION("""COMPUTED_VALUE"""),"28o 12' 30""")</f>
        <v>28o 12' 30"</v>
      </c>
      <c r="K184" s="2" t="str">
        <f>IFERROR(__xludf.DUMMYFUNCTION("""COMPUTED_VALUE"""),"28o 13' 19""")</f>
        <v>28o 13' 19"</v>
      </c>
      <c r="L184" s="2" t="str">
        <f>IFERROR(__xludf.DUMMYFUNCTION("""COMPUTED_VALUE"""),"84o 07' 45""")</f>
        <v>84o 07' 45"</v>
      </c>
      <c r="M184" s="2" t="str">
        <f>IFERROR(__xludf.DUMMYFUNCTION("""COMPUTED_VALUE"""),"84o 08' 35""")</f>
        <v>84o 08' 35"</v>
      </c>
      <c r="N184" s="2" t="str">
        <f>IFERROR(__xludf.DUMMYFUNCTION("""COMPUTED_VALUE"""),"Majhthana,Saimrang (Kaski)")</f>
        <v>Majhthana,Saimrang (Kaski)</v>
      </c>
    </row>
    <row r="185">
      <c r="A185" s="2">
        <f>IFERROR(__xludf.DUMMYFUNCTION("""COMPUTED_VALUE"""),184.0)</f>
        <v>184</v>
      </c>
      <c r="B185" s="2" t="str">
        <f>IFERROR(__xludf.DUMMYFUNCTION("""COMPUTED_VALUE"""),"Mulsam Khola Hydropower Project")</f>
        <v>Mulsam Khola Hydropower Project</v>
      </c>
      <c r="C185" s="2">
        <f>IFERROR(__xludf.DUMMYFUNCTION("""COMPUTED_VALUE"""),7.5)</f>
        <v>7.5</v>
      </c>
      <c r="D185" s="2" t="str">
        <f>IFERROR(__xludf.DUMMYFUNCTION("""COMPUTED_VALUE"""),"mulsam khola")</f>
        <v>mulsam khola</v>
      </c>
      <c r="E185" s="2">
        <f>IFERROR(__xludf.DUMMYFUNCTION("""COMPUTED_VALUE"""),1483.0)</f>
        <v>1483</v>
      </c>
      <c r="F185" s="3">
        <f>IFERROR(__xludf.DUMMYFUNCTION("""COMPUTED_VALUE"""),66683.0)</f>
        <v>66683</v>
      </c>
      <c r="G185" s="3">
        <f>IFERROR(__xludf.DUMMYFUNCTION("""COMPUTED_VALUE"""),67413.0)</f>
        <v>67413</v>
      </c>
      <c r="H185" s="2" t="str">
        <f>IFERROR(__xludf.DUMMYFUNCTION("""COMPUTED_VALUE"""),"Arpan Jalvidhyut Private Limited")</f>
        <v>Arpan Jalvidhyut Private Limited</v>
      </c>
      <c r="I185" s="2" t="str">
        <f>IFERROR(__xludf.DUMMYFUNCTION("""COMPUTED_VALUE"""),"Maharajgung-3, Kathmandu")</f>
        <v>Maharajgung-3, Kathmandu</v>
      </c>
      <c r="J185" s="2" t="str">
        <f>IFERROR(__xludf.DUMMYFUNCTION("""COMPUTED_VALUE"""),"28o 58' 13""")</f>
        <v>28o 58' 13"</v>
      </c>
      <c r="K185" s="2" t="str">
        <f>IFERROR(__xludf.DUMMYFUNCTION("""COMPUTED_VALUE"""),"29o 00' 30""")</f>
        <v>29o 00' 30"</v>
      </c>
      <c r="L185" s="2" t="str">
        <f>IFERROR(__xludf.DUMMYFUNCTION("""COMPUTED_VALUE"""),"82o 11' 10""")</f>
        <v>82o 11' 10"</v>
      </c>
      <c r="M185" s="2" t="str">
        <f>IFERROR(__xludf.DUMMYFUNCTION("""COMPUTED_VALUE"""),"82o 13' 50""")</f>
        <v>82o 13' 50"</v>
      </c>
      <c r="N185" s="2" t="str">
        <f>IFERROR(__xludf.DUMMYFUNCTION("""COMPUTED_VALUE"""),"Ramidanda,Rokayagaun,Sakala,Nayakwada (Jajarkot)")</f>
        <v>Ramidanda,Rokayagaun,Sakala,Nayakwada (Jajarkot)</v>
      </c>
    </row>
    <row r="186">
      <c r="A186" s="2">
        <f>IFERROR(__xludf.DUMMYFUNCTION("""COMPUTED_VALUE"""),185.0)</f>
        <v>185</v>
      </c>
      <c r="B186" s="2" t="str">
        <f>IFERROR(__xludf.DUMMYFUNCTION("""COMPUTED_VALUE"""),"Bhuji Khola Hydroelectric Project")</f>
        <v>Bhuji Khola Hydroelectric Project</v>
      </c>
      <c r="C186" s="2">
        <f>IFERROR(__xludf.DUMMYFUNCTION("""COMPUTED_VALUE"""),7.96)</f>
        <v>7.96</v>
      </c>
      <c r="D186" s="2" t="str">
        <f>IFERROR(__xludf.DUMMYFUNCTION("""COMPUTED_VALUE"""),"Bhuji Khola")</f>
        <v>Bhuji Khola</v>
      </c>
      <c r="E186" s="2">
        <f>IFERROR(__xludf.DUMMYFUNCTION("""COMPUTED_VALUE"""),1484.0)</f>
        <v>1484</v>
      </c>
      <c r="F186" s="3">
        <f>IFERROR(__xludf.DUMMYFUNCTION("""COMPUTED_VALUE"""),66690.0)</f>
        <v>66690</v>
      </c>
      <c r="G186" s="3">
        <f>IFERROR(__xludf.DUMMYFUNCTION("""COMPUTED_VALUE"""),67420.0)</f>
        <v>67420</v>
      </c>
      <c r="H186" s="2" t="str">
        <f>IFERROR(__xludf.DUMMYFUNCTION("""COMPUTED_VALUE"""),"Topkegola Hydropower Private Limited")</f>
        <v>Topkegola Hydropower Private Limited</v>
      </c>
      <c r="I186" s="2" t="str">
        <f>IFERROR(__xludf.DUMMYFUNCTION("""COMPUTED_VALUE"""),"Madhyapur Thimi - 9, Radhe Radhe, Bhaktapur")</f>
        <v>Madhyapur Thimi - 9, Radhe Radhe, Bhaktapur</v>
      </c>
      <c r="J186" s="2" t="str">
        <f>IFERROR(__xludf.DUMMYFUNCTION("""COMPUTED_VALUE"""),"28o 21' 34""")</f>
        <v>28o 21' 34"</v>
      </c>
      <c r="K186" s="2" t="str">
        <f>IFERROR(__xludf.DUMMYFUNCTION("""COMPUTED_VALUE"""),"28o 23' 01""")</f>
        <v>28o 23' 01"</v>
      </c>
      <c r="L186" s="2" t="str">
        <f>IFERROR(__xludf.DUMMYFUNCTION("""COMPUTED_VALUE"""),"83o 06' 39""")</f>
        <v>83o 06' 39"</v>
      </c>
      <c r="M186" s="2" t="str">
        <f>IFERROR(__xludf.DUMMYFUNCTION("""COMPUTED_VALUE"""),"83o 08' 22""")</f>
        <v>83o 08' 22"</v>
      </c>
      <c r="N186" s="2" t="str">
        <f>IFERROR(__xludf.DUMMYFUNCTION("""COMPUTED_VALUE"""),"Adhikarichaur,Bowang,Devisthan (Baglung)")</f>
        <v>Adhikarichaur,Bowang,Devisthan (Baglung)</v>
      </c>
    </row>
    <row r="187">
      <c r="A187" s="2">
        <f>IFERROR(__xludf.DUMMYFUNCTION("""COMPUTED_VALUE"""),186.0)</f>
        <v>186</v>
      </c>
      <c r="B187" s="2" t="str">
        <f>IFERROR(__xludf.DUMMYFUNCTION("""COMPUTED_VALUE"""),"Baddi gad-1 Hydroelectric Project")</f>
        <v>Baddi gad-1 Hydroelectric Project</v>
      </c>
      <c r="C187" s="2">
        <f>IFERROR(__xludf.DUMMYFUNCTION("""COMPUTED_VALUE"""),9.82)</f>
        <v>9.82</v>
      </c>
      <c r="D187" s="2" t="str">
        <f>IFERROR(__xludf.DUMMYFUNCTION("""COMPUTED_VALUE"""),"Baddigad")</f>
        <v>Baddigad</v>
      </c>
      <c r="E187" s="2">
        <f>IFERROR(__xludf.DUMMYFUNCTION("""COMPUTED_VALUE"""),1486.0)</f>
        <v>1486</v>
      </c>
      <c r="F187" s="3">
        <f>IFERROR(__xludf.DUMMYFUNCTION("""COMPUTED_VALUE"""),66693.0)</f>
        <v>66693</v>
      </c>
      <c r="G187" s="3">
        <f>IFERROR(__xludf.DUMMYFUNCTION("""COMPUTED_VALUE"""),67423.0)</f>
        <v>67423</v>
      </c>
      <c r="H187" s="2" t="str">
        <f>IFERROR(__xludf.DUMMYFUNCTION("""COMPUTED_VALUE"""),"Best Hydropower Company Private Limited")</f>
        <v>Best Hydropower Company Private Limited</v>
      </c>
      <c r="I187" s="2" t="str">
        <f>IFERROR(__xludf.DUMMYFUNCTION("""COMPUTED_VALUE"""),"Kathmandu-32,, Koteshwor, Bishnu Prasad Gautam 9841715578")</f>
        <v>Kathmandu-32,, Koteshwor, Bishnu Prasad Gautam 9841715578</v>
      </c>
      <c r="J187" s="2" t="str">
        <f>IFERROR(__xludf.DUMMYFUNCTION("""COMPUTED_VALUE"""),"29o 30' 06""")</f>
        <v>29o 30' 06"</v>
      </c>
      <c r="K187" s="2" t="str">
        <f>IFERROR(__xludf.DUMMYFUNCTION("""COMPUTED_VALUE"""),"29o 31' 31""")</f>
        <v>29o 31' 31"</v>
      </c>
      <c r="L187" s="2" t="str">
        <f>IFERROR(__xludf.DUMMYFUNCTION("""COMPUTED_VALUE"""),"81o 36' 45""")</f>
        <v>81o 36' 45"</v>
      </c>
      <c r="M187" s="2" t="str">
        <f>IFERROR(__xludf.DUMMYFUNCTION("""COMPUTED_VALUE"""),"81o 39' 14""")</f>
        <v>81o 39' 14"</v>
      </c>
      <c r="N187" s="2" t="str">
        <f>IFERROR(__xludf.DUMMYFUNCTION("""COMPUTED_VALUE"""),"Kolti,Kotila,Pandusain,Baddhu,Jagannath (Bajura)")</f>
        <v>Kolti,Kotila,Pandusain,Baddhu,Jagannath (Bajura)</v>
      </c>
    </row>
    <row r="188">
      <c r="A188" s="2">
        <f>IFERROR(__xludf.DUMMYFUNCTION("""COMPUTED_VALUE"""),187.0)</f>
        <v>187</v>
      </c>
      <c r="B188" s="2" t="str">
        <f>IFERROR(__xludf.DUMMYFUNCTION("""COMPUTED_VALUE"""),"Super Marbu Khola Hydropower Project")</f>
        <v>Super Marbu Khola Hydropower Project</v>
      </c>
      <c r="C188" s="2">
        <f>IFERROR(__xludf.DUMMYFUNCTION("""COMPUTED_VALUE"""),2.5)</f>
        <v>2.5</v>
      </c>
      <c r="D188" s="2" t="str">
        <f>IFERROR(__xludf.DUMMYFUNCTION("""COMPUTED_VALUE"""),"Marbu Khola")</f>
        <v>Marbu Khola</v>
      </c>
      <c r="E188" s="2">
        <f>IFERROR(__xludf.DUMMYFUNCTION("""COMPUTED_VALUE"""),1487.0)</f>
        <v>1487</v>
      </c>
      <c r="F188" s="3">
        <f>IFERROR(__xludf.DUMMYFUNCTION("""COMPUTED_VALUE"""),66696.0)</f>
        <v>66696</v>
      </c>
      <c r="G188" s="3">
        <f>IFERROR(__xludf.DUMMYFUNCTION("""COMPUTED_VALUE"""),67426.0)</f>
        <v>67426</v>
      </c>
      <c r="H188" s="2" t="str">
        <f>IFERROR(__xludf.DUMMYFUNCTION("""COMPUTED_VALUE"""),"Alpine Power Private Limited")</f>
        <v>Alpine Power Private Limited</v>
      </c>
      <c r="I188" s="2" t="str">
        <f>IFERROR(__xludf.DUMMYFUNCTION("""COMPUTED_VALUE"""),"Madhyapur Thimi - 3, Bhaktapur")</f>
        <v>Madhyapur Thimi - 3, Bhaktapur</v>
      </c>
      <c r="J188" s="2" t="str">
        <f>IFERROR(__xludf.DUMMYFUNCTION("""COMPUTED_VALUE"""),"27o 35' 38""")</f>
        <v>27o 35' 38"</v>
      </c>
      <c r="K188" s="2" t="str">
        <f>IFERROR(__xludf.DUMMYFUNCTION("""COMPUTED_VALUE"""),"27o 36' 32""")</f>
        <v>27o 36' 32"</v>
      </c>
      <c r="L188" s="2" t="str">
        <f>IFERROR(__xludf.DUMMYFUNCTION("""COMPUTED_VALUE"""),"86o 26' 22""")</f>
        <v>86o 26' 22"</v>
      </c>
      <c r="M188" s="2" t="str">
        <f>IFERROR(__xludf.DUMMYFUNCTION("""COMPUTED_VALUE"""),"86o 27' 38""")</f>
        <v>86o 27' 38"</v>
      </c>
      <c r="N188" s="2" t="str">
        <f>IFERROR(__xludf.DUMMYFUNCTION("""COMPUTED_VALUE"""),"Bhakanje,Gudel (Solukhumbu)")</f>
        <v>Bhakanje,Gudel (Solukhumbu)</v>
      </c>
    </row>
    <row r="189">
      <c r="A189" s="2">
        <f>IFERROR(__xludf.DUMMYFUNCTION("""COMPUTED_VALUE"""),188.0)</f>
        <v>188</v>
      </c>
      <c r="B189" s="2" t="str">
        <f>IFERROR(__xludf.DUMMYFUNCTION("""COMPUTED_VALUE"""),"Lower Sannigad Khola Hydropower Project")</f>
        <v>Lower Sannigad Khola Hydropower Project</v>
      </c>
      <c r="C189" s="2">
        <f>IFERROR(__xludf.DUMMYFUNCTION("""COMPUTED_VALUE"""),2.0)</f>
        <v>2</v>
      </c>
      <c r="D189" s="2" t="str">
        <f>IFERROR(__xludf.DUMMYFUNCTION("""COMPUTED_VALUE"""),"Sannidogad Khola")</f>
        <v>Sannidogad Khola</v>
      </c>
      <c r="E189" s="2">
        <f>IFERROR(__xludf.DUMMYFUNCTION("""COMPUTED_VALUE"""),1488.0)</f>
        <v>1488</v>
      </c>
      <c r="F189" s="3">
        <f>IFERROR(__xludf.DUMMYFUNCTION("""COMPUTED_VALUE"""),66697.0)</f>
        <v>66697</v>
      </c>
      <c r="G189" s="3">
        <f>IFERROR(__xludf.DUMMYFUNCTION("""COMPUTED_VALUE"""),67427.0)</f>
        <v>67427</v>
      </c>
      <c r="H189" s="2" t="str">
        <f>IFERROR(__xludf.DUMMYFUNCTION("""COMPUTED_VALUE"""),"Uja Energy Private Limited")</f>
        <v>Uja Energy Private Limited</v>
      </c>
      <c r="I189" s="2" t="str">
        <f>IFERROR(__xludf.DUMMYFUNCTION("""COMPUTED_VALUE"""),"Kathmandu-29, Anamnagar")</f>
        <v>Kathmandu-29, Anamnagar</v>
      </c>
      <c r="J189" s="2" t="str">
        <f>IFERROR(__xludf.DUMMYFUNCTION("""COMPUTED_VALUE"""),"29o 13' 40""")</f>
        <v>29o 13' 40"</v>
      </c>
      <c r="K189" s="2" t="str">
        <f>IFERROR(__xludf.DUMMYFUNCTION("""COMPUTED_VALUE"""),"29o 14' 27""")</f>
        <v>29o 14' 27"</v>
      </c>
      <c r="L189" s="2" t="str">
        <f>IFERROR(__xludf.DUMMYFUNCTION("""COMPUTED_VALUE"""),"81o 37' 09""")</f>
        <v>81o 37' 09"</v>
      </c>
      <c r="M189" s="2" t="str">
        <f>IFERROR(__xludf.DUMMYFUNCTION("""COMPUTED_VALUE"""),"81o 37' 39""")</f>
        <v>81o 37' 39"</v>
      </c>
      <c r="N189" s="2"/>
    </row>
    <row r="190">
      <c r="A190" s="2">
        <f>IFERROR(__xludf.DUMMYFUNCTION("""COMPUTED_VALUE"""),189.0)</f>
        <v>189</v>
      </c>
      <c r="B190" s="2" t="str">
        <f>IFERROR(__xludf.DUMMYFUNCTION("""COMPUTED_VALUE"""),"Jugdi Khola Hydropower Project")</f>
        <v>Jugdi Khola Hydropower Project</v>
      </c>
      <c r="C190" s="2">
        <f>IFERROR(__xludf.DUMMYFUNCTION("""COMPUTED_VALUE"""),19.1)</f>
        <v>19.1</v>
      </c>
      <c r="D190" s="2" t="str">
        <f>IFERROR(__xludf.DUMMYFUNCTION("""COMPUTED_VALUE"""),"Jugdi Khola")</f>
        <v>Jugdi Khola</v>
      </c>
      <c r="E190" s="2">
        <f>IFERROR(__xludf.DUMMYFUNCTION("""COMPUTED_VALUE"""),1489.0)</f>
        <v>1489</v>
      </c>
      <c r="F190" s="3">
        <f>IFERROR(__xludf.DUMMYFUNCTION("""COMPUTED_VALUE"""),66699.0)</f>
        <v>66699</v>
      </c>
      <c r="G190" s="3">
        <f>IFERROR(__xludf.DUMMYFUNCTION("""COMPUTED_VALUE"""),67429.0)</f>
        <v>67429</v>
      </c>
      <c r="H190" s="2" t="str">
        <f>IFERROR(__xludf.DUMMYFUNCTION("""COMPUTED_VALUE"""),"Supadeurali Energy Pvt. Ltd")</f>
        <v>Supadeurali Energy Pvt. Ltd</v>
      </c>
      <c r="I190" s="2" t="str">
        <f>IFERROR(__xludf.DUMMYFUNCTION("""COMPUTED_VALUE"""),"Dhapakhel-24, Lalitpur, Nepal")</f>
        <v>Dhapakhel-24, Lalitpur, Nepal</v>
      </c>
      <c r="J190" s="2" t="str">
        <f>IFERROR(__xludf.DUMMYFUNCTION("""COMPUTED_VALUE"""),"29o 23' 00""")</f>
        <v>29o 23' 00"</v>
      </c>
      <c r="K190" s="2" t="str">
        <f>IFERROR(__xludf.DUMMYFUNCTION("""COMPUTED_VALUE"""),"29o 25' 30""")</f>
        <v>29o 25' 30"</v>
      </c>
      <c r="L190" s="2" t="str">
        <f>IFERROR(__xludf.DUMMYFUNCTION("""COMPUTED_VALUE"""),"81o 38' 50""")</f>
        <v>81o 38' 50"</v>
      </c>
      <c r="M190" s="2" t="str">
        <f>IFERROR(__xludf.DUMMYFUNCTION("""COMPUTED_VALUE"""),"81o 42' 15""")</f>
        <v>81o 42' 15"</v>
      </c>
      <c r="N190" s="2" t="str">
        <f>IFERROR(__xludf.DUMMYFUNCTION("""COMPUTED_VALUE"""),"Gotree,Jagannath (Bajura)")</f>
        <v>Gotree,Jagannath (Bajura)</v>
      </c>
    </row>
    <row r="191">
      <c r="A191" s="2">
        <f>IFERROR(__xludf.DUMMYFUNCTION("""COMPUTED_VALUE"""),190.0)</f>
        <v>190</v>
      </c>
      <c r="B191" s="2" t="str">
        <f>IFERROR(__xludf.DUMMYFUNCTION("""COMPUTED_VALUE"""),"Sapsu - 1 Hydropower Project")</f>
        <v>Sapsu - 1 Hydropower Project</v>
      </c>
      <c r="C191" s="2">
        <f>IFERROR(__xludf.DUMMYFUNCTION("""COMPUTED_VALUE"""),2.0)</f>
        <v>2</v>
      </c>
      <c r="D191" s="2" t="str">
        <f>IFERROR(__xludf.DUMMYFUNCTION("""COMPUTED_VALUE"""),"Sapsu Khola")</f>
        <v>Sapsu Khola</v>
      </c>
      <c r="E191" s="2">
        <f>IFERROR(__xludf.DUMMYFUNCTION("""COMPUTED_VALUE"""),1491.0)</f>
        <v>1491</v>
      </c>
      <c r="F191" s="3">
        <f>IFERROR(__xludf.DUMMYFUNCTION("""COMPUTED_VALUE"""),66712.0)</f>
        <v>66712</v>
      </c>
      <c r="G191" s="3">
        <f>IFERROR(__xludf.DUMMYFUNCTION("""COMPUTED_VALUE"""),67442.0)</f>
        <v>67442</v>
      </c>
      <c r="H191" s="2" t="str">
        <f>IFERROR(__xludf.DUMMYFUNCTION("""COMPUTED_VALUE"""),"Skyline Energy Private Limited")</f>
        <v>Skyline Energy Private Limited</v>
      </c>
      <c r="I191" s="2" t="str">
        <f>IFERROR(__xludf.DUMMYFUNCTION("""COMPUTED_VALUE"""),"Madhyapur Thimi - 3, Bhaktapur")</f>
        <v>Madhyapur Thimi - 3, Bhaktapur</v>
      </c>
      <c r="J191" s="2" t="str">
        <f>IFERROR(__xludf.DUMMYFUNCTION("""COMPUTED_VALUE"""),"27o 30' 36""")</f>
        <v>27o 30' 36"</v>
      </c>
      <c r="K191" s="2" t="str">
        <f>IFERROR(__xludf.DUMMYFUNCTION("""COMPUTED_VALUE"""),"27o 31' 27""")</f>
        <v>27o 31' 27"</v>
      </c>
      <c r="L191" s="2" t="str">
        <f>IFERROR(__xludf.DUMMYFUNCTION("""COMPUTED_VALUE"""),"86o 19' 00""")</f>
        <v>86o 19' 00"</v>
      </c>
      <c r="M191" s="2" t="str">
        <f>IFERROR(__xludf.DUMMYFUNCTION("""COMPUTED_VALUE"""),"86o 20' 10""")</f>
        <v>86o 20' 10"</v>
      </c>
      <c r="N191" s="2" t="str">
        <f>IFERROR(__xludf.DUMMYFUNCTION("""COMPUTED_VALUE"""),"Pritee,Kubukasthali (Ramechhap)")</f>
        <v>Pritee,Kubukasthali (Ramechhap)</v>
      </c>
    </row>
    <row r="192">
      <c r="A192" s="2">
        <f>IFERROR(__xludf.DUMMYFUNCTION("""COMPUTED_VALUE"""),191.0)</f>
        <v>191</v>
      </c>
      <c r="B192" s="2" t="str">
        <f>IFERROR(__xludf.DUMMYFUNCTION("""COMPUTED_VALUE"""),"Mathillo Malta Bagmati Hydroelectric Project")</f>
        <v>Mathillo Malta Bagmati Hydroelectric Project</v>
      </c>
      <c r="C192" s="2">
        <f>IFERROR(__xludf.DUMMYFUNCTION("""COMPUTED_VALUE"""),9.0)</f>
        <v>9</v>
      </c>
      <c r="D192" s="2" t="str">
        <f>IFERROR(__xludf.DUMMYFUNCTION("""COMPUTED_VALUE"""),"Bagmati")</f>
        <v>Bagmati</v>
      </c>
      <c r="E192" s="2">
        <f>IFERROR(__xludf.DUMMYFUNCTION("""COMPUTED_VALUE"""),1492.0)</f>
        <v>1492</v>
      </c>
      <c r="F192" s="3">
        <f>IFERROR(__xludf.DUMMYFUNCTION("""COMPUTED_VALUE"""),66714.0)</f>
        <v>66714</v>
      </c>
      <c r="G192" s="3">
        <f>IFERROR(__xludf.DUMMYFUNCTION("""COMPUTED_VALUE"""),67444.0)</f>
        <v>67444</v>
      </c>
      <c r="H192" s="2" t="str">
        <f>IFERROR(__xludf.DUMMYFUNCTION("""COMPUTED_VALUE"""),"S.B.U. Holding Private Limited")</f>
        <v>S.B.U. Holding Private Limited</v>
      </c>
      <c r="I192" s="2" t="str">
        <f>IFERROR(__xludf.DUMMYFUNCTION("""COMPUTED_VALUE"""),"Saraswotinagar - 06, KMC, Kathmandu")</f>
        <v>Saraswotinagar - 06, KMC, Kathmandu</v>
      </c>
      <c r="J192" s="2" t="str">
        <f>IFERROR(__xludf.DUMMYFUNCTION("""COMPUTED_VALUE"""),"27o 29' 36""")</f>
        <v>27o 29' 36"</v>
      </c>
      <c r="K192" s="2" t="str">
        <f>IFERROR(__xludf.DUMMYFUNCTION("""COMPUTED_VALUE"""),"27o 30' 20""")</f>
        <v>27o 30' 20"</v>
      </c>
      <c r="L192" s="2" t="str">
        <f>IFERROR(__xludf.DUMMYFUNCTION("""COMPUTED_VALUE"""),"85o 13' 40""")</f>
        <v>85o 13' 40"</v>
      </c>
      <c r="M192" s="2" t="str">
        <f>IFERROR(__xludf.DUMMYFUNCTION("""COMPUTED_VALUE"""),"85o 15' 40""")</f>
        <v>85o 15' 40"</v>
      </c>
      <c r="N192" s="2" t="str">
        <f>IFERROR(__xludf.DUMMYFUNCTION("""COMPUTED_VALUE"""),"Malta (Lalitpur) Ipa Panchakanya (Makawanpur)")</f>
        <v>Malta (Lalitpur) Ipa Panchakanya (Makawanpur)</v>
      </c>
    </row>
    <row r="193">
      <c r="A193" s="2">
        <f>IFERROR(__xludf.DUMMYFUNCTION("""COMPUTED_VALUE"""),192.0)</f>
        <v>192</v>
      </c>
      <c r="B193" s="2" t="str">
        <f>IFERROR(__xludf.DUMMYFUNCTION("""COMPUTED_VALUE"""),"Tallo Piluwa A Hydropower Project")</f>
        <v>Tallo Piluwa A Hydropower Project</v>
      </c>
      <c r="C193" s="2">
        <f>IFERROR(__xludf.DUMMYFUNCTION("""COMPUTED_VALUE"""),4.65)</f>
        <v>4.65</v>
      </c>
      <c r="D193" s="2" t="str">
        <f>IFERROR(__xludf.DUMMYFUNCTION("""COMPUTED_VALUE"""),"Piluwa Khola")</f>
        <v>Piluwa Khola</v>
      </c>
      <c r="E193" s="2">
        <f>IFERROR(__xludf.DUMMYFUNCTION("""COMPUTED_VALUE"""),1493.0)</f>
        <v>1493</v>
      </c>
      <c r="F193" s="3">
        <f>IFERROR(__xludf.DUMMYFUNCTION("""COMPUTED_VALUE"""),66714.0)</f>
        <v>66714</v>
      </c>
      <c r="G193" s="3">
        <f>IFERROR(__xludf.DUMMYFUNCTION("""COMPUTED_VALUE"""),67444.0)</f>
        <v>67444</v>
      </c>
      <c r="H193" s="2" t="str">
        <f>IFERROR(__xludf.DUMMYFUNCTION("""COMPUTED_VALUE"""),"Wonders Power Private Limited")</f>
        <v>Wonders Power Private Limited</v>
      </c>
      <c r="I193" s="2" t="str">
        <f>IFERROR(__xludf.DUMMYFUNCTION("""COMPUTED_VALUE"""),"KMC-5, Kathmandu")</f>
        <v>KMC-5, Kathmandu</v>
      </c>
      <c r="J193" s="2" t="str">
        <f>IFERROR(__xludf.DUMMYFUNCTION("""COMPUTED_VALUE"""),"27o 14' 06""")</f>
        <v>27o 14' 06"</v>
      </c>
      <c r="K193" s="2" t="str">
        <f>IFERROR(__xludf.DUMMYFUNCTION("""COMPUTED_VALUE"""),"27o 14' 43""")</f>
        <v>27o 14' 43"</v>
      </c>
      <c r="L193" s="2" t="str">
        <f>IFERROR(__xludf.DUMMYFUNCTION("""COMPUTED_VALUE"""),"87o 15' 48""")</f>
        <v>87o 15' 48"</v>
      </c>
      <c r="M193" s="2" t="str">
        <f>IFERROR(__xludf.DUMMYFUNCTION("""COMPUTED_VALUE"""),"87o 17' 00""")</f>
        <v>87o 17' 00"</v>
      </c>
      <c r="N193" s="2" t="str">
        <f>IFERROR(__xludf.DUMMYFUNCTION("""COMPUTED_VALUE"""),"Kharang,Ankhibhui (Sankhuwasabha)")</f>
        <v>Kharang,Ankhibhui (Sankhuwasabha)</v>
      </c>
    </row>
    <row r="194">
      <c r="A194" s="2">
        <f>IFERROR(__xludf.DUMMYFUNCTION("""COMPUTED_VALUE"""),193.0)</f>
        <v>193</v>
      </c>
      <c r="B194" s="2" t="str">
        <f>IFERROR(__xludf.DUMMYFUNCTION("""COMPUTED_VALUE"""),"Talak Khola Hydropower Project")</f>
        <v>Talak Khola Hydropower Project</v>
      </c>
      <c r="C194" s="2">
        <f>IFERROR(__xludf.DUMMYFUNCTION("""COMPUTED_VALUE"""),7.49)</f>
        <v>7.49</v>
      </c>
      <c r="D194" s="2" t="str">
        <f>IFERROR(__xludf.DUMMYFUNCTION("""COMPUTED_VALUE"""),"Talak Khola")</f>
        <v>Talak Khola</v>
      </c>
      <c r="E194" s="2">
        <f>IFERROR(__xludf.DUMMYFUNCTION("""COMPUTED_VALUE"""),1494.0)</f>
        <v>1494</v>
      </c>
      <c r="F194" s="3">
        <f>IFERROR(__xludf.DUMMYFUNCTION("""COMPUTED_VALUE"""),66736.0)</f>
        <v>66736</v>
      </c>
      <c r="G194" s="3">
        <f>IFERROR(__xludf.DUMMYFUNCTION("""COMPUTED_VALUE"""),67466.0)</f>
        <v>67466</v>
      </c>
      <c r="H194" s="2" t="str">
        <f>IFERROR(__xludf.DUMMYFUNCTION("""COMPUTED_VALUE"""),"Hydro Hills Private Limited")</f>
        <v>Hydro Hills Private Limited</v>
      </c>
      <c r="I194" s="2" t="str">
        <f>IFERROR(__xludf.DUMMYFUNCTION("""COMPUTED_VALUE"""),"Mahalaxmi- 4, lalitpur, Sushila Pokhrel 9851715578")</f>
        <v>Mahalaxmi- 4, lalitpur, Sushila Pokhrel 9851715578</v>
      </c>
      <c r="J194" s="2" t="str">
        <f>IFERROR(__xludf.DUMMYFUNCTION("""COMPUTED_VALUE"""),"29o 38' 45""")</f>
        <v>29o 38' 45"</v>
      </c>
      <c r="K194" s="2" t="str">
        <f>IFERROR(__xludf.DUMMYFUNCTION("""COMPUTED_VALUE"""),"29o 40' 00""")</f>
        <v>29o 40' 00"</v>
      </c>
      <c r="L194" s="2" t="str">
        <f>IFERROR(__xludf.DUMMYFUNCTION("""COMPUTED_VALUE"""),"82o 27' 52""")</f>
        <v>82o 27' 52"</v>
      </c>
      <c r="M194" s="2" t="str">
        <f>IFERROR(__xludf.DUMMYFUNCTION("""COMPUTED_VALUE"""),"82o 29' 49""")</f>
        <v>82o 29' 49"</v>
      </c>
      <c r="N194" s="2" t="str">
        <f>IFERROR(__xludf.DUMMYFUNCTION("""COMPUTED_VALUE"""),"Dolphu,Mugu,Kimari,Mangri,Pulu (Mugu)")</f>
        <v>Dolphu,Mugu,Kimari,Mangri,Pulu (Mugu)</v>
      </c>
    </row>
    <row r="195">
      <c r="A195" s="2">
        <f>IFERROR(__xludf.DUMMYFUNCTION("""COMPUTED_VALUE"""),194.0)</f>
        <v>194</v>
      </c>
      <c r="B195" s="2" t="str">
        <f>IFERROR(__xludf.DUMMYFUNCTION("""COMPUTED_VALUE"""),"Super Dar Khola Hydropower Project")</f>
        <v>Super Dar Khola Hydropower Project</v>
      </c>
      <c r="C195" s="2">
        <f>IFERROR(__xludf.DUMMYFUNCTION("""COMPUTED_VALUE"""),3.0)</f>
        <v>3</v>
      </c>
      <c r="D195" s="2" t="str">
        <f>IFERROR(__xludf.DUMMYFUNCTION("""COMPUTED_VALUE"""),"Dar Khola")</f>
        <v>Dar Khola</v>
      </c>
      <c r="E195" s="2">
        <f>IFERROR(__xludf.DUMMYFUNCTION("""COMPUTED_VALUE"""),1490.0)</f>
        <v>1490</v>
      </c>
      <c r="F195" s="3">
        <f>IFERROR(__xludf.DUMMYFUNCTION("""COMPUTED_VALUE"""),66737.0)</f>
        <v>66737</v>
      </c>
      <c r="G195" s="3">
        <f>IFERROR(__xludf.DUMMYFUNCTION("""COMPUTED_VALUE"""),67467.0)</f>
        <v>67467</v>
      </c>
      <c r="H195" s="2" t="str">
        <f>IFERROR(__xludf.DUMMYFUNCTION("""COMPUTED_VALUE"""),"Khusi Hydro Development Private Limited")</f>
        <v>Khusi Hydro Development Private Limited</v>
      </c>
      <c r="I195" s="2" t="str">
        <f>IFERROR(__xludf.DUMMYFUNCTION("""COMPUTED_VALUE"""),"Budhanilkantha - 5, Kathmandu")</f>
        <v>Budhanilkantha - 5, Kathmandu</v>
      </c>
      <c r="J195" s="2" t="str">
        <f>IFERROR(__xludf.DUMMYFUNCTION("""COMPUTED_VALUE"""),"28o 30' 32""")</f>
        <v>28o 30' 32"</v>
      </c>
      <c r="K195" s="2" t="str">
        <f>IFERROR(__xludf.DUMMYFUNCTION("""COMPUTED_VALUE"""),"28o 31' 54""")</f>
        <v>28o 31' 54"</v>
      </c>
      <c r="L195" s="2" t="str">
        <f>IFERROR(__xludf.DUMMYFUNCTION("""COMPUTED_VALUE"""),"83o 15' 25""")</f>
        <v>83o 15' 25"</v>
      </c>
      <c r="M195" s="2" t="str">
        <f>IFERROR(__xludf.DUMMYFUNCTION("""COMPUTED_VALUE"""),"83o 17' 17""")</f>
        <v>83o 17' 17"</v>
      </c>
      <c r="N195" s="2" t="str">
        <f>IFERROR(__xludf.DUMMYFUNCTION("""COMPUTED_VALUE"""),"Lulang (Myagdi)")</f>
        <v>Lulang (Myagdi)</v>
      </c>
    </row>
    <row r="196">
      <c r="A196" s="2">
        <f>IFERROR(__xludf.DUMMYFUNCTION("""COMPUTED_VALUE"""),195.0)</f>
        <v>195</v>
      </c>
      <c r="B196" s="2" t="str">
        <f>IFERROR(__xludf.DUMMYFUNCTION("""COMPUTED_VALUE"""),"Bheri 8 Cascade Hydropower Project")</f>
        <v>Bheri 8 Cascade Hydropower Project</v>
      </c>
      <c r="C196" s="2">
        <f>IFERROR(__xludf.DUMMYFUNCTION("""COMPUTED_VALUE"""),40.0)</f>
        <v>40</v>
      </c>
      <c r="D196" s="2" t="str">
        <f>IFERROR(__xludf.DUMMYFUNCTION("""COMPUTED_VALUE"""),"Thuli Bheri")</f>
        <v>Thuli Bheri</v>
      </c>
      <c r="E196" s="2">
        <f>IFERROR(__xludf.DUMMYFUNCTION("""COMPUTED_VALUE"""),1495.0)</f>
        <v>1495</v>
      </c>
      <c r="F196" s="3">
        <f>IFERROR(__xludf.DUMMYFUNCTION("""COMPUTED_VALUE"""),66740.0)</f>
        <v>66740</v>
      </c>
      <c r="G196" s="3">
        <f>IFERROR(__xludf.DUMMYFUNCTION("""COMPUTED_VALUE"""),67470.0)</f>
        <v>67470</v>
      </c>
      <c r="H196" s="2" t="str">
        <f>IFERROR(__xludf.DUMMYFUNCTION("""COMPUTED_VALUE"""),"Green Hydel Private Limited")</f>
        <v>Green Hydel Private Limited</v>
      </c>
      <c r="I196" s="2" t="str">
        <f>IFERROR(__xludf.DUMMYFUNCTION("""COMPUTED_VALUE"""),"New Baneshwor, KMC - 10")</f>
        <v>New Baneshwor, KMC - 10</v>
      </c>
      <c r="J196" s="2" t="str">
        <f>IFERROR(__xludf.DUMMYFUNCTION("""COMPUTED_VALUE"""),"28o 55' 00""")</f>
        <v>28o 55' 00"</v>
      </c>
      <c r="K196" s="2" t="str">
        <f>IFERROR(__xludf.DUMMYFUNCTION("""COMPUTED_VALUE"""),"28o 57' 07""")</f>
        <v>28o 57' 07"</v>
      </c>
      <c r="L196" s="2" t="str">
        <f>IFERROR(__xludf.DUMMYFUNCTION("""COMPUTED_VALUE"""),"82o 53' 30""")</f>
        <v>82o 53' 30"</v>
      </c>
      <c r="M196" s="2" t="str">
        <f>IFERROR(__xludf.DUMMYFUNCTION("""COMPUTED_VALUE"""),"82o 57' 15""")</f>
        <v>82o 57' 15"</v>
      </c>
      <c r="N196" s="2"/>
    </row>
    <row r="197">
      <c r="A197" s="2">
        <f>IFERROR(__xludf.DUMMYFUNCTION("""COMPUTED_VALUE"""),196.0)</f>
        <v>196</v>
      </c>
      <c r="B197" s="2" t="str">
        <f>IFERROR(__xludf.DUMMYFUNCTION("""COMPUTED_VALUE"""),"Mala Gad Khola A Hydropower Project")</f>
        <v>Mala Gad Khola A Hydropower Project</v>
      </c>
      <c r="C197" s="2">
        <f>IFERROR(__xludf.DUMMYFUNCTION("""COMPUTED_VALUE"""),6.4)</f>
        <v>6.4</v>
      </c>
      <c r="D197" s="2" t="str">
        <f>IFERROR(__xludf.DUMMYFUNCTION("""COMPUTED_VALUE"""),"Malagad")</f>
        <v>Malagad</v>
      </c>
      <c r="E197" s="2">
        <f>IFERROR(__xludf.DUMMYFUNCTION("""COMPUTED_VALUE"""),1496.0)</f>
        <v>1496</v>
      </c>
      <c r="F197" s="3">
        <f>IFERROR(__xludf.DUMMYFUNCTION("""COMPUTED_VALUE"""),66741.0)</f>
        <v>66741</v>
      </c>
      <c r="G197" s="3">
        <f>IFERROR(__xludf.DUMMYFUNCTION("""COMPUTED_VALUE"""),67471.0)</f>
        <v>67471</v>
      </c>
      <c r="H197" s="2" t="str">
        <f>IFERROR(__xludf.DUMMYFUNCTION("""COMPUTED_VALUE"""),"Distinct Power Private limited")</f>
        <v>Distinct Power Private limited</v>
      </c>
      <c r="I197" s="2" t="str">
        <f>IFERROR(__xludf.DUMMYFUNCTION("""COMPUTED_VALUE"""),"Nagarjun-4, Kathmandu")</f>
        <v>Nagarjun-4, Kathmandu</v>
      </c>
      <c r="J197" s="2" t="str">
        <f>IFERROR(__xludf.DUMMYFUNCTION("""COMPUTED_VALUE"""),"29o 19' 14""")</f>
        <v>29o 19' 14"</v>
      </c>
      <c r="K197" s="2" t="str">
        <f>IFERROR(__xludf.DUMMYFUNCTION("""COMPUTED_VALUE"""),"29o 20' 30""")</f>
        <v>29o 20' 30"</v>
      </c>
      <c r="L197" s="2" t="str">
        <f>IFERROR(__xludf.DUMMYFUNCTION("""COMPUTED_VALUE"""),"81o 23' 00""")</f>
        <v>81o 23' 00"</v>
      </c>
      <c r="M197" s="2" t="str">
        <f>IFERROR(__xludf.DUMMYFUNCTION("""COMPUTED_VALUE"""),"81o 25' 28""")</f>
        <v>81o 25' 28"</v>
      </c>
      <c r="N197" s="2" t="str">
        <f>IFERROR(__xludf.DUMMYFUNCTION("""COMPUTED_VALUE"""),"Bichhiya (Bajura)")</f>
        <v>Bichhiya (Bajura)</v>
      </c>
    </row>
    <row r="198">
      <c r="A198" s="2">
        <f>IFERROR(__xludf.DUMMYFUNCTION("""COMPUTED_VALUE"""),197.0)</f>
        <v>197</v>
      </c>
      <c r="B198" s="2" t="str">
        <f>IFERROR(__xludf.DUMMYFUNCTION("""COMPUTED_VALUE"""),"Bagmati A Hydropower Project")</f>
        <v>Bagmati A Hydropower Project</v>
      </c>
      <c r="C198" s="2">
        <f>IFERROR(__xludf.DUMMYFUNCTION("""COMPUTED_VALUE"""),8.8)</f>
        <v>8.8</v>
      </c>
      <c r="D198" s="2" t="str">
        <f>IFERROR(__xludf.DUMMYFUNCTION("""COMPUTED_VALUE"""),"Bagmati")</f>
        <v>Bagmati</v>
      </c>
      <c r="E198" s="2">
        <f>IFERROR(__xludf.DUMMYFUNCTION("""COMPUTED_VALUE"""),1497.0)</f>
        <v>1497</v>
      </c>
      <c r="F198" s="3">
        <f>IFERROR(__xludf.DUMMYFUNCTION("""COMPUTED_VALUE"""),66748.0)</f>
        <v>66748</v>
      </c>
      <c r="G198" s="3">
        <f>IFERROR(__xludf.DUMMYFUNCTION("""COMPUTED_VALUE"""),67478.0)</f>
        <v>67478</v>
      </c>
      <c r="H198" s="2" t="str">
        <f>IFERROR(__xludf.DUMMYFUNCTION("""COMPUTED_VALUE"""),"Nirakar Urja Company Private Limited")</f>
        <v>Nirakar Urja Company Private Limited</v>
      </c>
      <c r="I198" s="2" t="str">
        <f>IFERROR(__xludf.DUMMYFUNCTION("""COMPUTED_VALUE"""),"Kathmandu")</f>
        <v>Kathmandu</v>
      </c>
      <c r="J198" s="2" t="str">
        <f>IFERROR(__xludf.DUMMYFUNCTION("""COMPUTED_VALUE"""),"27o 27' 10""")</f>
        <v>27o 27' 10"</v>
      </c>
      <c r="K198" s="2" t="str">
        <f>IFERROR(__xludf.DUMMYFUNCTION("""COMPUTED_VALUE"""),"27o 28' 01""")</f>
        <v>27o 28' 01"</v>
      </c>
      <c r="L198" s="2" t="str">
        <f>IFERROR(__xludf.DUMMYFUNCTION("""COMPUTED_VALUE"""),"85o 15' 15""")</f>
        <v>85o 15' 15"</v>
      </c>
      <c r="M198" s="2" t="str">
        <f>IFERROR(__xludf.DUMMYFUNCTION("""COMPUTED_VALUE"""),"85o 16' 25""")</f>
        <v>85o 16' 25"</v>
      </c>
      <c r="N198" s="2" t="str">
        <f>IFERROR(__xludf.DUMMYFUNCTION("""COMPUTED_VALUE"""),"Pyutar,Malta (Lalitpur) Ipa Panchakanya,Manthali (Makawanpur)")</f>
        <v>Pyutar,Malta (Lalitpur) Ipa Panchakanya,Manthali (Makawanpur)</v>
      </c>
    </row>
    <row r="199">
      <c r="A199" s="2">
        <f>IFERROR(__xludf.DUMMYFUNCTION("""COMPUTED_VALUE"""),198.0)</f>
        <v>198</v>
      </c>
      <c r="B199" s="2" t="str">
        <f>IFERROR(__xludf.DUMMYFUNCTION("""COMPUTED_VALUE"""),"Nunthala Deku Hydropower Project")</f>
        <v>Nunthala Deku Hydropower Project</v>
      </c>
      <c r="C199" s="2">
        <f>IFERROR(__xludf.DUMMYFUNCTION("""COMPUTED_VALUE"""),4.1)</f>
        <v>4.1</v>
      </c>
      <c r="D199" s="2" t="str">
        <f>IFERROR(__xludf.DUMMYFUNCTION("""COMPUTED_VALUE"""),"Diku khola")</f>
        <v>Diku khola</v>
      </c>
      <c r="E199" s="2">
        <f>IFERROR(__xludf.DUMMYFUNCTION("""COMPUTED_VALUE"""),1498.0)</f>
        <v>1498</v>
      </c>
      <c r="F199" s="3">
        <f>IFERROR(__xludf.DUMMYFUNCTION("""COMPUTED_VALUE"""),66753.0)</f>
        <v>66753</v>
      </c>
      <c r="G199" s="3">
        <f>IFERROR(__xludf.DUMMYFUNCTION("""COMPUTED_VALUE"""),67483.0)</f>
        <v>67483</v>
      </c>
      <c r="H199" s="2" t="str">
        <f>IFERROR(__xludf.DUMMYFUNCTION("""COMPUTED_VALUE"""),"Golden Power Private Limited")</f>
        <v>Golden Power Private Limited</v>
      </c>
      <c r="I199" s="2" t="str">
        <f>IFERROR(__xludf.DUMMYFUNCTION("""COMPUTED_VALUE"""),"Madhyapur Thimi - 3, Bhaktapur")</f>
        <v>Madhyapur Thimi - 3, Bhaktapur</v>
      </c>
      <c r="J199" s="2" t="str">
        <f>IFERROR(__xludf.DUMMYFUNCTION("""COMPUTED_VALUE"""),"27o 35' 17""")</f>
        <v>27o 35' 17"</v>
      </c>
      <c r="K199" s="2" t="str">
        <f>IFERROR(__xludf.DUMMYFUNCTION("""COMPUTED_VALUE"""),"27o 36' 03""")</f>
        <v>27o 36' 03"</v>
      </c>
      <c r="L199" s="2" t="str">
        <f>IFERROR(__xludf.DUMMYFUNCTION("""COMPUTED_VALUE"""),"86o 38' 50""")</f>
        <v>86o 38' 50"</v>
      </c>
      <c r="M199" s="2" t="str">
        <f>IFERROR(__xludf.DUMMYFUNCTION("""COMPUTED_VALUE"""),"86o 40' 51""")</f>
        <v>86o 40' 51"</v>
      </c>
      <c r="N199" s="2" t="str">
        <f>IFERROR(__xludf.DUMMYFUNCTION("""COMPUTED_VALUE"""),"Panchan,Kagel,Deusa,Basa,Kaku (Solukhumbu)")</f>
        <v>Panchan,Kagel,Deusa,Basa,Kaku (Solukhumbu)</v>
      </c>
    </row>
    <row r="200">
      <c r="A200" s="2">
        <f>IFERROR(__xludf.DUMMYFUNCTION("""COMPUTED_VALUE"""),199.0)</f>
        <v>199</v>
      </c>
      <c r="B200" s="2" t="str">
        <f>IFERROR(__xludf.DUMMYFUNCTION("""COMPUTED_VALUE"""),"Limi Khola Hydropower Project")</f>
        <v>Limi Khola Hydropower Project</v>
      </c>
      <c r="C200" s="2">
        <f>IFERROR(__xludf.DUMMYFUNCTION("""COMPUTED_VALUE"""),71.92)</f>
        <v>71.92</v>
      </c>
      <c r="D200" s="2" t="str">
        <f>IFERROR(__xludf.DUMMYFUNCTION("""COMPUTED_VALUE"""),"Limi Khola")</f>
        <v>Limi Khola</v>
      </c>
      <c r="E200" s="2">
        <f>IFERROR(__xludf.DUMMYFUNCTION("""COMPUTED_VALUE"""),1499.0)</f>
        <v>1499</v>
      </c>
      <c r="F200" s="3">
        <f>IFERROR(__xludf.DUMMYFUNCTION("""COMPUTED_VALUE"""),66769.0)</f>
        <v>66769</v>
      </c>
      <c r="G200" s="3">
        <f>IFERROR(__xludf.DUMMYFUNCTION("""COMPUTED_VALUE"""),67499.0)</f>
        <v>67499</v>
      </c>
      <c r="H200" s="2" t="str">
        <f>IFERROR(__xludf.DUMMYFUNCTION("""COMPUTED_VALUE"""),"Aarambha Urja Pvt. Ltd")</f>
        <v>Aarambha Urja Pvt. Ltd</v>
      </c>
      <c r="I200" s="2" t="str">
        <f>IFERROR(__xludf.DUMMYFUNCTION("""COMPUTED_VALUE"""),"Kathmandu-29, Anamnagar")</f>
        <v>Kathmandu-29, Anamnagar</v>
      </c>
      <c r="J200" s="2" t="str">
        <f>IFERROR(__xludf.DUMMYFUNCTION("""COMPUTED_VALUE"""),"30o 11' 31""")</f>
        <v>30o 11' 31"</v>
      </c>
      <c r="K200" s="2" t="str">
        <f>IFERROR(__xludf.DUMMYFUNCTION("""COMPUTED_VALUE"""),"30o 14' 30""")</f>
        <v>30o 14' 30"</v>
      </c>
      <c r="L200" s="2" t="str">
        <f>IFERROR(__xludf.DUMMYFUNCTION("""COMPUTED_VALUE"""),"81o 26' 10""")</f>
        <v>81o 26' 10"</v>
      </c>
      <c r="M200" s="2" t="str">
        <f>IFERROR(__xludf.DUMMYFUNCTION("""COMPUTED_VALUE"""),"81o 32' 45""")</f>
        <v>81o 32' 45"</v>
      </c>
      <c r="N200" s="2" t="str">
        <f>IFERROR(__xludf.DUMMYFUNCTION("""COMPUTED_VALUE"""),"Limi (Humla)")</f>
        <v>Limi (Humla)</v>
      </c>
    </row>
    <row r="201">
      <c r="A201" s="2">
        <f>IFERROR(__xludf.DUMMYFUNCTION("""COMPUTED_VALUE"""),200.0)</f>
        <v>200</v>
      </c>
      <c r="B201" s="2" t="str">
        <f>IFERROR(__xludf.DUMMYFUNCTION("""COMPUTED_VALUE"""),"Chake Khola Hydropower Project")</f>
        <v>Chake Khola Hydropower Project</v>
      </c>
      <c r="C201" s="2">
        <f>IFERROR(__xludf.DUMMYFUNCTION("""COMPUTED_VALUE"""),4.0)</f>
        <v>4</v>
      </c>
      <c r="D201" s="2" t="str">
        <f>IFERROR(__xludf.DUMMYFUNCTION("""COMPUTED_VALUE"""),"Chake Khola")</f>
        <v>Chake Khola</v>
      </c>
      <c r="E201" s="2">
        <f>IFERROR(__xludf.DUMMYFUNCTION("""COMPUTED_VALUE"""),1500.0)</f>
        <v>1500</v>
      </c>
      <c r="F201" s="3">
        <f>IFERROR(__xludf.DUMMYFUNCTION("""COMPUTED_VALUE"""),66770.0)</f>
        <v>66770</v>
      </c>
      <c r="G201" s="3">
        <f>IFERROR(__xludf.DUMMYFUNCTION("""COMPUTED_VALUE"""),67500.0)</f>
        <v>67500</v>
      </c>
      <c r="H201" s="2" t="str">
        <f>IFERROR(__xludf.DUMMYFUNCTION("""COMPUTED_VALUE"""),"Zambala Energy Private Limited")</f>
        <v>Zambala Energy Private Limited</v>
      </c>
      <c r="I201" s="2" t="str">
        <f>IFERROR(__xludf.DUMMYFUNCTION("""COMPUTED_VALUE"""),"KMC-6, Kathmandu")</f>
        <v>KMC-6, Kathmandu</v>
      </c>
      <c r="J201" s="2" t="str">
        <f>IFERROR(__xludf.DUMMYFUNCTION("""COMPUTED_VALUE"""),"27o 54' 40""")</f>
        <v>27o 54' 40"</v>
      </c>
      <c r="K201" s="2" t="str">
        <f>IFERROR(__xludf.DUMMYFUNCTION("""COMPUTED_VALUE"""),"27o 55' 20""")</f>
        <v>27o 55' 20"</v>
      </c>
      <c r="L201" s="2" t="str">
        <f>IFERROR(__xludf.DUMMYFUNCTION("""COMPUTED_VALUE"""),"85o 22' 50""")</f>
        <v>85o 22' 50"</v>
      </c>
      <c r="M201" s="2" t="str">
        <f>IFERROR(__xludf.DUMMYFUNCTION("""COMPUTED_VALUE"""),"85o 24' 45""")</f>
        <v>85o 24' 45"</v>
      </c>
      <c r="N201" s="2" t="str">
        <f>IFERROR(__xludf.DUMMYFUNCTION("""COMPUTED_VALUE"""),"Balkumari,Beteni,Samundratar,Rautbesi (Nuwakot)")</f>
        <v>Balkumari,Beteni,Samundratar,Rautbesi (Nuwakot)</v>
      </c>
    </row>
    <row r="202">
      <c r="A202" s="2">
        <f>IFERROR(__xludf.DUMMYFUNCTION("""COMPUTED_VALUE"""),201.0)</f>
        <v>201</v>
      </c>
      <c r="B202" s="2" t="str">
        <f>IFERROR(__xludf.DUMMYFUNCTION("""COMPUTED_VALUE"""),"Sayali Gad Khola B Hydropower Project")</f>
        <v>Sayali Gad Khola B Hydropower Project</v>
      </c>
      <c r="C202" s="2">
        <f>IFERROR(__xludf.DUMMYFUNCTION("""COMPUTED_VALUE"""),7.0)</f>
        <v>7</v>
      </c>
      <c r="D202" s="2" t="str">
        <f>IFERROR(__xludf.DUMMYFUNCTION("""COMPUTED_VALUE"""),"Saeli Gaad")</f>
        <v>Saeli Gaad</v>
      </c>
      <c r="E202" s="2">
        <f>IFERROR(__xludf.DUMMYFUNCTION("""COMPUTED_VALUE"""),1501.0)</f>
        <v>1501</v>
      </c>
      <c r="F202" s="3">
        <f>IFERROR(__xludf.DUMMYFUNCTION("""COMPUTED_VALUE"""),66775.0)</f>
        <v>66775</v>
      </c>
      <c r="G202" s="3">
        <f>IFERROR(__xludf.DUMMYFUNCTION("""COMPUTED_VALUE"""),67505.0)</f>
        <v>67505</v>
      </c>
      <c r="H202" s="2" t="str">
        <f>IFERROR(__xludf.DUMMYFUNCTION("""COMPUTED_VALUE"""),"Distinct Power Pvt. Ltd.")</f>
        <v>Distinct Power Pvt. Ltd.</v>
      </c>
      <c r="I202" s="2" t="str">
        <f>IFERROR(__xludf.DUMMYFUNCTION("""COMPUTED_VALUE"""),"Nargarjun-04, Kathmandu")</f>
        <v>Nargarjun-04, Kathmandu</v>
      </c>
      <c r="J202" s="2" t="str">
        <f>IFERROR(__xludf.DUMMYFUNCTION("""COMPUTED_VALUE"""),"29o 21' 27""")</f>
        <v>29o 21' 27"</v>
      </c>
      <c r="K202" s="2" t="str">
        <f>IFERROR(__xludf.DUMMYFUNCTION("""COMPUTED_VALUE"""),"29o 22' 35""")</f>
        <v>29o 22' 35"</v>
      </c>
      <c r="L202" s="2" t="str">
        <f>IFERROR(__xludf.DUMMYFUNCTION("""COMPUTED_VALUE"""),"80o 53' 25""")</f>
        <v>80o 53' 25"</v>
      </c>
      <c r="M202" s="2" t="str">
        <f>IFERROR(__xludf.DUMMYFUNCTION("""COMPUTED_VALUE"""),"80o 57' 55""")</f>
        <v>80o 57' 55"</v>
      </c>
      <c r="N202" s="2" t="str">
        <f>IFERROR(__xludf.DUMMYFUNCTION("""COMPUTED_VALUE"""),"Bhawardanda (Doti)")</f>
        <v>Bhawardanda (Doti)</v>
      </c>
    </row>
    <row r="203">
      <c r="A203" s="2">
        <f>IFERROR(__xludf.DUMMYFUNCTION("""COMPUTED_VALUE"""),202.0)</f>
        <v>202</v>
      </c>
      <c r="B203" s="2" t="str">
        <f>IFERROR(__xludf.DUMMYFUNCTION("""COMPUTED_VALUE"""),"Rodikot Hydropower Project")</f>
        <v>Rodikot Hydropower Project</v>
      </c>
      <c r="C203" s="2">
        <f>IFERROR(__xludf.DUMMYFUNCTION("""COMPUTED_VALUE"""),9.53)</f>
        <v>9.53</v>
      </c>
      <c r="D203" s="2" t="str">
        <f>IFERROR(__xludf.DUMMYFUNCTION("""COMPUTED_VALUE"""),"Rodikot")</f>
        <v>Rodikot</v>
      </c>
      <c r="E203" s="2">
        <f>IFERROR(__xludf.DUMMYFUNCTION("""COMPUTED_VALUE"""),1502.0)</f>
        <v>1502</v>
      </c>
      <c r="F203" s="3">
        <f>IFERROR(__xludf.DUMMYFUNCTION("""COMPUTED_VALUE"""),66776.0)</f>
        <v>66776</v>
      </c>
      <c r="G203" s="3">
        <f>IFERROR(__xludf.DUMMYFUNCTION("""COMPUTED_VALUE"""),67506.0)</f>
        <v>67506</v>
      </c>
      <c r="H203" s="2" t="str">
        <f>IFERROR(__xludf.DUMMYFUNCTION("""COMPUTED_VALUE"""),"Snow Hills Pvt.Ltd.")</f>
        <v>Snow Hills Pvt.Ltd.</v>
      </c>
      <c r="I203" s="2" t="str">
        <f>IFERROR(__xludf.DUMMYFUNCTION("""COMPUTED_VALUE"""),"Kathmandu-29, Phone 9851077579")</f>
        <v>Kathmandu-29, Phone 9851077579</v>
      </c>
      <c r="J203" s="2" t="str">
        <f>IFERROR(__xludf.DUMMYFUNCTION("""COMPUTED_VALUE"""),"29o 48' 55""")</f>
        <v>29o 48' 55"</v>
      </c>
      <c r="K203" s="2" t="str">
        <f>IFERROR(__xludf.DUMMYFUNCTION("""COMPUTED_VALUE"""),"29o 51' 11""")</f>
        <v>29o 51' 11"</v>
      </c>
      <c r="L203" s="2" t="str">
        <f>IFERROR(__xludf.DUMMYFUNCTION("""COMPUTED_VALUE"""),"81o 56' 50""")</f>
        <v>81o 56' 50"</v>
      </c>
      <c r="M203" s="2" t="str">
        <f>IFERROR(__xludf.DUMMYFUNCTION("""COMPUTED_VALUE"""),"81o 58' 46""")</f>
        <v>81o 58' 46"</v>
      </c>
      <c r="N203" s="2" t="str">
        <f>IFERROR(__xludf.DUMMYFUNCTION("""COMPUTED_VALUE"""),"Rodikot (Humla)")</f>
        <v>Rodikot (Humla)</v>
      </c>
    </row>
    <row r="204">
      <c r="A204" s="2">
        <f>IFERROR(__xludf.DUMMYFUNCTION("""COMPUTED_VALUE"""),203.0)</f>
        <v>203</v>
      </c>
      <c r="B204" s="2" t="str">
        <f>IFERROR(__xludf.DUMMYFUNCTION("""COMPUTED_VALUE"""),"Bagmati Nadi - B Hydropower Project")</f>
        <v>Bagmati Nadi - B Hydropower Project</v>
      </c>
      <c r="C204" s="2">
        <f>IFERROR(__xludf.DUMMYFUNCTION("""COMPUTED_VALUE"""),13.71)</f>
        <v>13.71</v>
      </c>
      <c r="D204" s="2" t="str">
        <f>IFERROR(__xludf.DUMMYFUNCTION("""COMPUTED_VALUE"""),"Bagmati")</f>
        <v>Bagmati</v>
      </c>
      <c r="E204" s="2">
        <f>IFERROR(__xludf.DUMMYFUNCTION("""COMPUTED_VALUE"""),1503.0)</f>
        <v>1503</v>
      </c>
      <c r="F204" s="3">
        <f>IFERROR(__xludf.DUMMYFUNCTION("""COMPUTED_VALUE"""),66777.0)</f>
        <v>66777</v>
      </c>
      <c r="G204" s="3">
        <f>IFERROR(__xludf.DUMMYFUNCTION("""COMPUTED_VALUE"""),67507.0)</f>
        <v>67507</v>
      </c>
      <c r="H204" s="2" t="str">
        <f>IFERROR(__xludf.DUMMYFUNCTION("""COMPUTED_VALUE"""),"Bhimeshwor Urja Private Limited")</f>
        <v>Bhimeshwor Urja Private Limited</v>
      </c>
      <c r="I204" s="2" t="str">
        <f>IFERROR(__xludf.DUMMYFUNCTION("""COMPUTED_VALUE"""),"KMC-32, Kathmandu")</f>
        <v>KMC-32, Kathmandu</v>
      </c>
      <c r="J204" s="2" t="str">
        <f>IFERROR(__xludf.DUMMYFUNCTION("""COMPUTED_VALUE"""),"27o 26' 35""")</f>
        <v>27o 26' 35"</v>
      </c>
      <c r="K204" s="2" t="str">
        <f>IFERROR(__xludf.DUMMYFUNCTION("""COMPUTED_VALUE"""),"27o 27' 20""")</f>
        <v>27o 27' 20"</v>
      </c>
      <c r="L204" s="2" t="str">
        <f>IFERROR(__xludf.DUMMYFUNCTION("""COMPUTED_VALUE"""),"85o 16' 25""")</f>
        <v>85o 16' 25"</v>
      </c>
      <c r="M204" s="2" t="str">
        <f>IFERROR(__xludf.DUMMYFUNCTION("""COMPUTED_VALUE"""),"85o 19' 00""")</f>
        <v>85o 19' 00"</v>
      </c>
      <c r="N204" s="2" t="str">
        <f>IFERROR(__xludf.DUMMYFUNCTION("""COMPUTED_VALUE"""),"Ashrang,Pyutar (Lalitpur) Manthali (Makawanpur)")</f>
        <v>Ashrang,Pyutar (Lalitpur) Manthali (Makawanpur)</v>
      </c>
    </row>
    <row r="205">
      <c r="A205" s="2">
        <f>IFERROR(__xludf.DUMMYFUNCTION("""COMPUTED_VALUE"""),204.0)</f>
        <v>204</v>
      </c>
      <c r="B205" s="2" t="str">
        <f>IFERROR(__xludf.DUMMYFUNCTION("""COMPUTED_VALUE"""),"Upper Tila Karnali Hydropower Project")</f>
        <v>Upper Tila Karnali Hydropower Project</v>
      </c>
      <c r="C205" s="2">
        <f>IFERROR(__xludf.DUMMYFUNCTION("""COMPUTED_VALUE"""),9.5)</f>
        <v>9.5</v>
      </c>
      <c r="D205" s="2" t="str">
        <f>IFERROR(__xludf.DUMMYFUNCTION("""COMPUTED_VALUE"""),"Tila Karnali")</f>
        <v>Tila Karnali</v>
      </c>
      <c r="E205" s="2">
        <f>IFERROR(__xludf.DUMMYFUNCTION("""COMPUTED_VALUE"""),1504.0)</f>
        <v>1504</v>
      </c>
      <c r="F205" s="3">
        <f>IFERROR(__xludf.DUMMYFUNCTION("""COMPUTED_VALUE"""),66778.0)</f>
        <v>66778</v>
      </c>
      <c r="G205" s="3">
        <f>IFERROR(__xludf.DUMMYFUNCTION("""COMPUTED_VALUE"""),67508.0)</f>
        <v>67508</v>
      </c>
      <c r="H205" s="2" t="str">
        <f>IFERROR(__xludf.DUMMYFUNCTION("""COMPUTED_VALUE"""),"Icon Energy Nepal Pvt. Ltd")</f>
        <v>Icon Energy Nepal Pvt. Ltd</v>
      </c>
      <c r="I205" s="2" t="str">
        <f>IFERROR(__xludf.DUMMYFUNCTION("""COMPUTED_VALUE"""),"KMC-11, Kathmandu")</f>
        <v>KMC-11, Kathmandu</v>
      </c>
      <c r="J205" s="2" t="str">
        <f>IFERROR(__xludf.DUMMYFUNCTION("""COMPUTED_VALUE"""),"29o 11' 50""")</f>
        <v>29o 11' 50"</v>
      </c>
      <c r="K205" s="2" t="str">
        <f>IFERROR(__xludf.DUMMYFUNCTION("""COMPUTED_VALUE"""),"29o 16' 00""")</f>
        <v>29o 16' 00"</v>
      </c>
      <c r="L205" s="2" t="str">
        <f>IFERROR(__xludf.DUMMYFUNCTION("""COMPUTED_VALUE"""),"82o 16' 00""")</f>
        <v>82o 16' 00"</v>
      </c>
      <c r="M205" s="2" t="str">
        <f>IFERROR(__xludf.DUMMYFUNCTION("""COMPUTED_VALUE"""),"82o 22' 00""")</f>
        <v>82o 22' 00"</v>
      </c>
      <c r="N205" s="2"/>
    </row>
    <row r="206">
      <c r="A206" s="2">
        <f>IFERROR(__xludf.DUMMYFUNCTION("""COMPUTED_VALUE"""),205.0)</f>
        <v>205</v>
      </c>
      <c r="B206" s="2" t="str">
        <f>IFERROR(__xludf.DUMMYFUNCTION("""COMPUTED_VALUE"""),"Raga gad Khola Hydropower Project")</f>
        <v>Raga gad Khola Hydropower Project</v>
      </c>
      <c r="C206" s="2">
        <f>IFERROR(__xludf.DUMMYFUNCTION("""COMPUTED_VALUE"""),3.0)</f>
        <v>3</v>
      </c>
      <c r="D206" s="2" t="str">
        <f>IFERROR(__xludf.DUMMYFUNCTION("""COMPUTED_VALUE"""),"Raga Gad")</f>
        <v>Raga Gad</v>
      </c>
      <c r="E206" s="2">
        <f>IFERROR(__xludf.DUMMYFUNCTION("""COMPUTED_VALUE"""),1505.0)</f>
        <v>1505</v>
      </c>
      <c r="F206" s="3">
        <f>IFERROR(__xludf.DUMMYFUNCTION("""COMPUTED_VALUE"""),66784.0)</f>
        <v>66784</v>
      </c>
      <c r="G206" s="3">
        <f>IFERROR(__xludf.DUMMYFUNCTION("""COMPUTED_VALUE"""),67514.0)</f>
        <v>67514</v>
      </c>
      <c r="H206" s="2" t="str">
        <f>IFERROR(__xludf.DUMMYFUNCTION("""COMPUTED_VALUE"""),"Ishan Hydropower Private Limited")</f>
        <v>Ishan Hydropower Private Limited</v>
      </c>
      <c r="I206" s="2" t="str">
        <f>IFERROR(__xludf.DUMMYFUNCTION("""COMPUTED_VALUE"""),"KMC-15, Chamati, Kathmandu")</f>
        <v>KMC-15, Chamati, Kathmandu</v>
      </c>
      <c r="J206" s="2" t="str">
        <f>IFERROR(__xludf.DUMMYFUNCTION("""COMPUTED_VALUE"""),"29o 01' 10""")</f>
        <v>29o 01' 10"</v>
      </c>
      <c r="K206" s="2" t="str">
        <f>IFERROR(__xludf.DUMMYFUNCTION("""COMPUTED_VALUE"""),"29o 03' 00""")</f>
        <v>29o 03' 00"</v>
      </c>
      <c r="L206" s="2" t="str">
        <f>IFERROR(__xludf.DUMMYFUNCTION("""COMPUTED_VALUE"""),"82o 17' 37""")</f>
        <v>82o 17' 37"</v>
      </c>
      <c r="M206" s="2" t="str">
        <f>IFERROR(__xludf.DUMMYFUNCTION("""COMPUTED_VALUE"""),"82o 19' 15""")</f>
        <v>82o 19' 15"</v>
      </c>
      <c r="N206" s="2" t="str">
        <f>IFERROR(__xludf.DUMMYFUNCTION("""COMPUTED_VALUE"""),"Nayakwada (Jajarkot)")</f>
        <v>Nayakwada (Jajarkot)</v>
      </c>
    </row>
    <row r="207">
      <c r="A207" s="2">
        <f>IFERROR(__xludf.DUMMYFUNCTION("""COMPUTED_VALUE"""),206.0)</f>
        <v>206</v>
      </c>
      <c r="B207" s="2" t="str">
        <f>IFERROR(__xludf.DUMMYFUNCTION("""COMPUTED_VALUE"""),"Super Seti A Hydropower Project")</f>
        <v>Super Seti A Hydropower Project</v>
      </c>
      <c r="C207" s="2">
        <f>IFERROR(__xludf.DUMMYFUNCTION("""COMPUTED_VALUE"""),38.82)</f>
        <v>38.82</v>
      </c>
      <c r="D207" s="2" t="str">
        <f>IFERROR(__xludf.DUMMYFUNCTION("""COMPUTED_VALUE"""),"Seti (Far West)")</f>
        <v>Seti (Far West)</v>
      </c>
      <c r="E207" s="2">
        <f>IFERROR(__xludf.DUMMYFUNCTION("""COMPUTED_VALUE"""),1506.0)</f>
        <v>1506</v>
      </c>
      <c r="F207" s="3">
        <f>IFERROR(__xludf.DUMMYFUNCTION("""COMPUTED_VALUE"""),66784.0)</f>
        <v>66784</v>
      </c>
      <c r="G207" s="3">
        <f>IFERROR(__xludf.DUMMYFUNCTION("""COMPUTED_VALUE"""),67514.0)</f>
        <v>67514</v>
      </c>
      <c r="H207" s="2" t="str">
        <f>IFERROR(__xludf.DUMMYFUNCTION("""COMPUTED_VALUE"""),"Sangam Power Pvt. Ltd")</f>
        <v>Sangam Power Pvt. Ltd</v>
      </c>
      <c r="I207" s="2" t="str">
        <f>IFERROR(__xludf.DUMMYFUNCTION("""COMPUTED_VALUE"""),"Lalitpur-23, Nepal")</f>
        <v>Lalitpur-23, Nepal</v>
      </c>
      <c r="J207" s="2" t="str">
        <f>IFERROR(__xludf.DUMMYFUNCTION("""COMPUTED_VALUE"""),"29o 51' 18""")</f>
        <v>29o 51' 18"</v>
      </c>
      <c r="K207" s="2" t="str">
        <f>IFERROR(__xludf.DUMMYFUNCTION("""COMPUTED_VALUE"""),"29o 53' 00""")</f>
        <v>29o 53' 00"</v>
      </c>
      <c r="L207" s="2" t="str">
        <f>IFERROR(__xludf.DUMMYFUNCTION("""COMPUTED_VALUE"""),"81o 09' 20""")</f>
        <v>81o 09' 20"</v>
      </c>
      <c r="M207" s="2" t="str">
        <f>IFERROR(__xludf.DUMMYFUNCTION("""COMPUTED_VALUE"""),"81o 11' 49""")</f>
        <v>81o 11' 49"</v>
      </c>
      <c r="N207" s="2" t="str">
        <f>IFERROR(__xludf.DUMMYFUNCTION("""COMPUTED_VALUE"""),"Kanda (Bajhang)")</f>
        <v>Kanda (Bajhang)</v>
      </c>
    </row>
    <row r="208">
      <c r="A208" s="2">
        <f>IFERROR(__xludf.DUMMYFUNCTION("""COMPUTED_VALUE"""),207.0)</f>
        <v>207</v>
      </c>
      <c r="B208" s="2" t="str">
        <f>IFERROR(__xludf.DUMMYFUNCTION("""COMPUTED_VALUE"""),"Tawa Khola - 1 Hydropower Project")</f>
        <v>Tawa Khola - 1 Hydropower Project</v>
      </c>
      <c r="C208" s="2">
        <f>IFERROR(__xludf.DUMMYFUNCTION("""COMPUTED_VALUE"""),4.65)</f>
        <v>4.65</v>
      </c>
      <c r="D208" s="2" t="str">
        <f>IFERROR(__xludf.DUMMYFUNCTION("""COMPUTED_VALUE"""),"Tawa Khola, Kunlin Khola")</f>
        <v>Tawa Khola, Kunlin Khola</v>
      </c>
      <c r="E208" s="2">
        <f>IFERROR(__xludf.DUMMYFUNCTION("""COMPUTED_VALUE"""),1507.0)</f>
        <v>1507</v>
      </c>
      <c r="F208" s="3">
        <f>IFERROR(__xludf.DUMMYFUNCTION("""COMPUTED_VALUE"""),66784.0)</f>
        <v>66784</v>
      </c>
      <c r="G208" s="3">
        <f>IFERROR(__xludf.DUMMYFUNCTION("""COMPUTED_VALUE"""),67514.0)</f>
        <v>67514</v>
      </c>
      <c r="H208" s="2" t="str">
        <f>IFERROR(__xludf.DUMMYFUNCTION("""COMPUTED_VALUE"""),"Best Hydropower Company Private Limited")</f>
        <v>Best Hydropower Company Private Limited</v>
      </c>
      <c r="I208" s="2" t="str">
        <f>IFERROR(__xludf.DUMMYFUNCTION("""COMPUTED_VALUE"""),"Ward No. 32, Koteshwor, Kathmandu")</f>
        <v>Ward No. 32, Koteshwor, Kathmandu</v>
      </c>
      <c r="J208" s="2" t="str">
        <f>IFERROR(__xludf.DUMMYFUNCTION("""COMPUTED_VALUE"""),"27o 22' 12""")</f>
        <v>27o 22' 12"</v>
      </c>
      <c r="K208" s="2" t="str">
        <f>IFERROR(__xludf.DUMMYFUNCTION("""COMPUTED_VALUE"""),"27o 23' 17""")</f>
        <v>27o 23' 17"</v>
      </c>
      <c r="L208" s="2" t="str">
        <f>IFERROR(__xludf.DUMMYFUNCTION("""COMPUTED_VALUE"""),"87o 56' 26""")</f>
        <v>87o 56' 26"</v>
      </c>
      <c r="M208" s="2" t="str">
        <f>IFERROR(__xludf.DUMMYFUNCTION("""COMPUTED_VALUE"""),"87o 58' 07""")</f>
        <v>87o 58' 07"</v>
      </c>
      <c r="N208" s="2" t="str">
        <f>IFERROR(__xludf.DUMMYFUNCTION("""COMPUTED_VALUE"""),"Surunkhim (Taplejung)")</f>
        <v>Surunkhim (Taplejung)</v>
      </c>
    </row>
    <row r="209">
      <c r="A209" s="2">
        <f>IFERROR(__xludf.DUMMYFUNCTION("""COMPUTED_VALUE"""),208.0)</f>
        <v>208</v>
      </c>
      <c r="B209" s="2" t="str">
        <f>IFERROR(__xludf.DUMMYFUNCTION("""COMPUTED_VALUE"""),"Bhabil - 0 Hydropower Project")</f>
        <v>Bhabil - 0 Hydropower Project</v>
      </c>
      <c r="C209" s="2">
        <f>IFERROR(__xludf.DUMMYFUNCTION("""COMPUTED_VALUE"""),4.95)</f>
        <v>4.95</v>
      </c>
      <c r="D209" s="2" t="str">
        <f>IFERROR(__xludf.DUMMYFUNCTION("""COMPUTED_VALUE"""),"Bhabil Khola")</f>
        <v>Bhabil Khola</v>
      </c>
      <c r="E209" s="2">
        <f>IFERROR(__xludf.DUMMYFUNCTION("""COMPUTED_VALUE"""),1508.0)</f>
        <v>1508</v>
      </c>
      <c r="F209" s="3">
        <f>IFERROR(__xludf.DUMMYFUNCTION("""COMPUTED_VALUE"""),66784.0)</f>
        <v>66784</v>
      </c>
      <c r="G209" s="3">
        <f>IFERROR(__xludf.DUMMYFUNCTION("""COMPUTED_VALUE"""),67514.0)</f>
        <v>67514</v>
      </c>
      <c r="H209" s="2" t="str">
        <f>IFERROR(__xludf.DUMMYFUNCTION("""COMPUTED_VALUE"""),"Best Hydropower Company Private Limited")</f>
        <v>Best Hydropower Company Private Limited</v>
      </c>
      <c r="I209" s="2" t="str">
        <f>IFERROR(__xludf.DUMMYFUNCTION("""COMPUTED_VALUE"""),"Ward No. 32, Koteshwor, Kathmandu")</f>
        <v>Ward No. 32, Koteshwor, Kathmandu</v>
      </c>
      <c r="J209" s="2" t="str">
        <f>IFERROR(__xludf.DUMMYFUNCTION("""COMPUTED_VALUE"""),"28o 13' 36""")</f>
        <v>28o 13' 36"</v>
      </c>
      <c r="K209" s="2" t="str">
        <f>IFERROR(__xludf.DUMMYFUNCTION("""COMPUTED_VALUE"""),"28o 14' 36""")</f>
        <v>28o 14' 36"</v>
      </c>
      <c r="L209" s="2" t="str">
        <f>IFERROR(__xludf.DUMMYFUNCTION("""COMPUTED_VALUE"""),"85o 07' 53""")</f>
        <v>85o 07' 53"</v>
      </c>
      <c r="M209" s="2" t="str">
        <f>IFERROR(__xludf.DUMMYFUNCTION("""COMPUTED_VALUE"""),"85o 09' 10""")</f>
        <v>85o 09' 10"</v>
      </c>
      <c r="N209" s="2" t="str">
        <f>IFERROR(__xludf.DUMMYFUNCTION("""COMPUTED_VALUE"""),"Sirtung,Tipling (Dhading)")</f>
        <v>Sirtung,Tipling (Dhading)</v>
      </c>
    </row>
    <row r="210">
      <c r="A210" s="2">
        <f>IFERROR(__xludf.DUMMYFUNCTION("""COMPUTED_VALUE"""),209.0)</f>
        <v>209</v>
      </c>
      <c r="B210" s="2" t="str">
        <f>IFERROR(__xludf.DUMMYFUNCTION("""COMPUTED_VALUE"""),"Shaileshowori Seti Hydropower Project")</f>
        <v>Shaileshowori Seti Hydropower Project</v>
      </c>
      <c r="C210" s="2">
        <f>IFERROR(__xludf.DUMMYFUNCTION("""COMPUTED_VALUE"""),75.0)</f>
        <v>75</v>
      </c>
      <c r="D210" s="2" t="str">
        <f>IFERROR(__xludf.DUMMYFUNCTION("""COMPUTED_VALUE"""),"Seti (Far West)")</f>
        <v>Seti (Far West)</v>
      </c>
      <c r="E210" s="2">
        <f>IFERROR(__xludf.DUMMYFUNCTION("""COMPUTED_VALUE"""),1509.0)</f>
        <v>1509</v>
      </c>
      <c r="F210" s="3">
        <f>IFERROR(__xludf.DUMMYFUNCTION("""COMPUTED_VALUE"""),66790.0)</f>
        <v>66790</v>
      </c>
      <c r="G210" s="3">
        <f>IFERROR(__xludf.DUMMYFUNCTION("""COMPUTED_VALUE"""),67520.0)</f>
        <v>67520</v>
      </c>
      <c r="H210" s="2" t="str">
        <f>IFERROR(__xludf.DUMMYFUNCTION("""COMPUTED_VALUE"""),"Balaji Hydropower Project")</f>
        <v>Balaji Hydropower Project</v>
      </c>
      <c r="I210" s="2" t="str">
        <f>IFERROR(__xludf.DUMMYFUNCTION("""COMPUTED_VALUE"""),"Kathmandu-09")</f>
        <v>Kathmandu-09</v>
      </c>
      <c r="J210" s="2" t="str">
        <f>IFERROR(__xludf.DUMMYFUNCTION("""COMPUTED_VALUE"""),"29o 14' 05""")</f>
        <v>29o 14' 05"</v>
      </c>
      <c r="K210" s="2" t="str">
        <f>IFERROR(__xludf.DUMMYFUNCTION("""COMPUTED_VALUE"""),"29o 15' 59""")</f>
        <v>29o 15' 59"</v>
      </c>
      <c r="L210" s="2" t="str">
        <f>IFERROR(__xludf.DUMMYFUNCTION("""COMPUTED_VALUE"""),"80o 53' 20""")</f>
        <v>80o 53' 20"</v>
      </c>
      <c r="M210" s="2" t="str">
        <f>IFERROR(__xludf.DUMMYFUNCTION("""COMPUTED_VALUE"""),"80o 55' 29""")</f>
        <v>80o 55' 29"</v>
      </c>
      <c r="N210" s="2" t="str">
        <f>IFERROR(__xludf.DUMMYFUNCTION("""COMPUTED_VALUE"""),"Chhatiwan (Doti)")</f>
        <v>Chhatiwan (Doti)</v>
      </c>
    </row>
    <row r="211">
      <c r="A211" s="2">
        <f>IFERROR(__xludf.DUMMYFUNCTION("""COMPUTED_VALUE"""),210.0)</f>
        <v>210</v>
      </c>
      <c r="B211" s="2" t="str">
        <f>IFERROR(__xludf.DUMMYFUNCTION("""COMPUTED_VALUE"""),"Kalanga Gad A Hydropower Project")</f>
        <v>Kalanga Gad A Hydropower Project</v>
      </c>
      <c r="C211" s="2">
        <f>IFERROR(__xludf.DUMMYFUNCTION("""COMPUTED_VALUE"""),18.75)</f>
        <v>18.75</v>
      </c>
      <c r="D211" s="2" t="str">
        <f>IFERROR(__xludf.DUMMYFUNCTION("""COMPUTED_VALUE"""),"Kalanga Gad")</f>
        <v>Kalanga Gad</v>
      </c>
      <c r="E211" s="2">
        <f>IFERROR(__xludf.DUMMYFUNCTION("""COMPUTED_VALUE"""),1510.0)</f>
        <v>1510</v>
      </c>
      <c r="F211" s="3">
        <f>IFERROR(__xludf.DUMMYFUNCTION("""COMPUTED_VALUE"""),66790.0)</f>
        <v>66790</v>
      </c>
      <c r="G211" s="3">
        <f>IFERROR(__xludf.DUMMYFUNCTION("""COMPUTED_VALUE"""),67520.0)</f>
        <v>67520</v>
      </c>
      <c r="H211" s="2" t="str">
        <f>IFERROR(__xludf.DUMMYFUNCTION("""COMPUTED_VALUE"""),"Shivanya Energy Private Limited")</f>
        <v>Shivanya Energy Private Limited</v>
      </c>
      <c r="I211" s="2" t="str">
        <f>IFERROR(__xludf.DUMMYFUNCTION("""COMPUTED_VALUE"""),"Lalitpur Sub-metropolitan Municipality-11, Lalitpur")</f>
        <v>Lalitpur Sub-metropolitan Municipality-11, Lalitpur</v>
      </c>
      <c r="J211" s="2" t="str">
        <f>IFERROR(__xludf.DUMMYFUNCTION("""COMPUTED_VALUE"""),"29o 41' 02""")</f>
        <v>29o 41' 02"</v>
      </c>
      <c r="K211" s="2" t="str">
        <f>IFERROR(__xludf.DUMMYFUNCTION("""COMPUTED_VALUE"""),"29o 43' 10""")</f>
        <v>29o 43' 10"</v>
      </c>
      <c r="L211" s="2" t="str">
        <f>IFERROR(__xludf.DUMMYFUNCTION("""COMPUTED_VALUE"""),"81o 00' 00""")</f>
        <v>81o 00' 00"</v>
      </c>
      <c r="M211" s="2" t="str">
        <f>IFERROR(__xludf.DUMMYFUNCTION("""COMPUTED_VALUE"""),"81o 02' 00""")</f>
        <v>81o 02' 00"</v>
      </c>
      <c r="N211" s="2" t="str">
        <f>IFERROR(__xludf.DUMMYFUNCTION("""COMPUTED_VALUE"""),"Dahabagar (Bajhang)")</f>
        <v>Dahabagar (Bajhang)</v>
      </c>
    </row>
    <row r="212">
      <c r="A212" s="2">
        <f>IFERROR(__xludf.DUMMYFUNCTION("""COMPUTED_VALUE"""),211.0)</f>
        <v>211</v>
      </c>
      <c r="B212" s="2" t="str">
        <f>IFERROR(__xludf.DUMMYFUNCTION("""COMPUTED_VALUE"""),"Hepka Khola Hydropower Project")</f>
        <v>Hepka Khola Hydropower Project</v>
      </c>
      <c r="C212" s="2">
        <f>IFERROR(__xludf.DUMMYFUNCTION("""COMPUTED_VALUE"""),11.0)</f>
        <v>11</v>
      </c>
      <c r="D212" s="2" t="str">
        <f>IFERROR(__xludf.DUMMYFUNCTION("""COMPUTED_VALUE"""),"Hepka khola")</f>
        <v>Hepka khola</v>
      </c>
      <c r="E212" s="2">
        <f>IFERROR(__xludf.DUMMYFUNCTION("""COMPUTED_VALUE"""),1511.0)</f>
        <v>1511</v>
      </c>
      <c r="F212" s="3">
        <f>IFERROR(__xludf.DUMMYFUNCTION("""COMPUTED_VALUE"""),66795.0)</f>
        <v>66795</v>
      </c>
      <c r="G212" s="3">
        <f>IFERROR(__xludf.DUMMYFUNCTION("""COMPUTED_VALUE"""),67525.0)</f>
        <v>67525</v>
      </c>
      <c r="H212" s="2" t="str">
        <f>IFERROR(__xludf.DUMMYFUNCTION("""COMPUTED_VALUE"""),"Jalpower Hydro Pvt. Ltd.")</f>
        <v>Jalpower Hydro Pvt. Ltd.</v>
      </c>
      <c r="I212" s="2" t="str">
        <f>IFERROR(__xludf.DUMMYFUNCTION("""COMPUTED_VALUE"""),"Lalitpur-13, Kusunti")</f>
        <v>Lalitpur-13, Kusunti</v>
      </c>
      <c r="J212" s="2" t="str">
        <f>IFERROR(__xludf.DUMMYFUNCTION("""COMPUTED_VALUE"""),"30o 01' 15""")</f>
        <v>30o 01' 15"</v>
      </c>
      <c r="K212" s="2" t="str">
        <f>IFERROR(__xludf.DUMMYFUNCTION("""COMPUTED_VALUE"""),"30o 03' 42""")</f>
        <v>30o 03' 42"</v>
      </c>
      <c r="L212" s="2" t="str">
        <f>IFERROR(__xludf.DUMMYFUNCTION("""COMPUTED_VALUE"""),"81o 47' 28""")</f>
        <v>81o 47' 28"</v>
      </c>
      <c r="M212" s="2" t="str">
        <f>IFERROR(__xludf.DUMMYFUNCTION("""COMPUTED_VALUE"""),"81o 51' 00""")</f>
        <v>81o 51' 00"</v>
      </c>
      <c r="N212" s="2" t="str">
        <f>IFERROR(__xludf.DUMMYFUNCTION("""COMPUTED_VALUE"""),"Simikot (Humla)")</f>
        <v>Simikot (Humla)</v>
      </c>
    </row>
    <row r="213">
      <c r="A213" s="2">
        <f>IFERROR(__xludf.DUMMYFUNCTION("""COMPUTED_VALUE"""),212.0)</f>
        <v>212</v>
      </c>
      <c r="B213" s="2" t="str">
        <f>IFERROR(__xludf.DUMMYFUNCTION("""COMPUTED_VALUE"""),"Marsyu Khola Hydropower Project")</f>
        <v>Marsyu Khola Hydropower Project</v>
      </c>
      <c r="C213" s="2">
        <f>IFERROR(__xludf.DUMMYFUNCTION("""COMPUTED_VALUE"""),4.0)</f>
        <v>4</v>
      </c>
      <c r="D213" s="2" t="str">
        <f>IFERROR(__xludf.DUMMYFUNCTION("""COMPUTED_VALUE"""),"Marsyu Khola")</f>
        <v>Marsyu Khola</v>
      </c>
      <c r="E213" s="2">
        <f>IFERROR(__xludf.DUMMYFUNCTION("""COMPUTED_VALUE"""),1512.0)</f>
        <v>1512</v>
      </c>
      <c r="F213" s="3">
        <f>IFERROR(__xludf.DUMMYFUNCTION("""COMPUTED_VALUE"""),66805.0)</f>
        <v>66805</v>
      </c>
      <c r="G213" s="3">
        <f>IFERROR(__xludf.DUMMYFUNCTION("""COMPUTED_VALUE"""),67535.0)</f>
        <v>67535</v>
      </c>
      <c r="H213" s="2" t="str">
        <f>IFERROR(__xludf.DUMMYFUNCTION("""COMPUTED_VALUE"""),"Himjal Hydropower Private Limited")</f>
        <v>Himjal Hydropower Private Limited</v>
      </c>
      <c r="I213" s="2" t="str">
        <f>IFERROR(__xludf.DUMMYFUNCTION("""COMPUTED_VALUE"""),"Budhanilkantha, Kathmandu")</f>
        <v>Budhanilkantha, Kathmandu</v>
      </c>
      <c r="J213" s="2" t="str">
        <f>IFERROR(__xludf.DUMMYFUNCTION("""COMPUTED_VALUE"""),"28o 16' 14""")</f>
        <v>28o 16' 14"</v>
      </c>
      <c r="K213" s="2" t="str">
        <f>IFERROR(__xludf.DUMMYFUNCTION("""COMPUTED_VALUE"""),"28o 16' 52""")</f>
        <v>28o 16' 52"</v>
      </c>
      <c r="L213" s="2" t="str">
        <f>IFERROR(__xludf.DUMMYFUNCTION("""COMPUTED_VALUE"""),"84o 42' 01""")</f>
        <v>84o 42' 01"</v>
      </c>
      <c r="M213" s="2" t="str">
        <f>IFERROR(__xludf.DUMMYFUNCTION("""COMPUTED_VALUE"""),"84o 43' 33""")</f>
        <v>84o 43' 33"</v>
      </c>
      <c r="N213" s="2" t="str">
        <f>IFERROR(__xludf.DUMMYFUNCTION("""COMPUTED_VALUE"""),"Warpak,Ghyalchok (Gorkha)")</f>
        <v>Warpak,Ghyalchok (Gorkha)</v>
      </c>
    </row>
    <row r="214">
      <c r="A214" s="2">
        <f>IFERROR(__xludf.DUMMYFUNCTION("""COMPUTED_VALUE"""),213.0)</f>
        <v>213</v>
      </c>
      <c r="B214" s="2" t="str">
        <f>IFERROR(__xludf.DUMMYFUNCTION("""COMPUTED_VALUE"""),"Kinja 1 Hydroelectric Project")</f>
        <v>Kinja 1 Hydroelectric Project</v>
      </c>
      <c r="C214" s="2">
        <f>IFERROR(__xludf.DUMMYFUNCTION("""COMPUTED_VALUE"""),3.5)</f>
        <v>3.5</v>
      </c>
      <c r="D214" s="2" t="str">
        <f>IFERROR(__xludf.DUMMYFUNCTION("""COMPUTED_VALUE"""),"Kinja Khola")</f>
        <v>Kinja Khola</v>
      </c>
      <c r="E214" s="2">
        <f>IFERROR(__xludf.DUMMYFUNCTION("""COMPUTED_VALUE"""),1513.0)</f>
        <v>1513</v>
      </c>
      <c r="F214" s="3">
        <f>IFERROR(__xludf.DUMMYFUNCTION("""COMPUTED_VALUE"""),66805.0)</f>
        <v>66805</v>
      </c>
      <c r="G214" s="3">
        <f>IFERROR(__xludf.DUMMYFUNCTION("""COMPUTED_VALUE"""),67535.0)</f>
        <v>67535</v>
      </c>
      <c r="H214" s="2" t="str">
        <f>IFERROR(__xludf.DUMMYFUNCTION("""COMPUTED_VALUE"""),"Likhu P.K. Energy Power Private Limited")</f>
        <v>Likhu P.K. Energy Power Private Limited</v>
      </c>
      <c r="I214" s="2" t="str">
        <f>IFERROR(__xludf.DUMMYFUNCTION("""COMPUTED_VALUE"""),"KMC-7, Kathmandu")</f>
        <v>KMC-7, Kathmandu</v>
      </c>
      <c r="J214" s="2" t="str">
        <f>IFERROR(__xludf.DUMMYFUNCTION("""COMPUTED_VALUE"""),"27o 34' 00""")</f>
        <v>27o 34' 00"</v>
      </c>
      <c r="K214" s="2" t="str">
        <f>IFERROR(__xludf.DUMMYFUNCTION("""COMPUTED_VALUE"""),"27o 35' 09""")</f>
        <v>27o 35' 09"</v>
      </c>
      <c r="L214" s="2" t="str">
        <f>IFERROR(__xludf.DUMMYFUNCTION("""COMPUTED_VALUE"""),"86o 24' 44""")</f>
        <v>86o 24' 44"</v>
      </c>
      <c r="M214" s="2" t="str">
        <f>IFERROR(__xludf.DUMMYFUNCTION("""COMPUTED_VALUE"""),"86o 25' 42""")</f>
        <v>86o 25' 42"</v>
      </c>
      <c r="N214" s="2" t="str">
        <f>IFERROR(__xludf.DUMMYFUNCTION("""COMPUTED_VALUE"""),"Bhakanje,Chaulakharka(Waula),Gudel (Solukhumbu)")</f>
        <v>Bhakanje,Chaulakharka(Waula),Gudel (Solukhumbu)</v>
      </c>
    </row>
    <row r="215">
      <c r="A215" s="2">
        <f>IFERROR(__xludf.DUMMYFUNCTION("""COMPUTED_VALUE"""),214.0)</f>
        <v>214</v>
      </c>
      <c r="B215" s="2" t="str">
        <f>IFERROR(__xludf.DUMMYFUNCTION("""COMPUTED_VALUE"""),"Madhya Budhiganga PRoR Hydropower Project")</f>
        <v>Madhya Budhiganga PRoR Hydropower Project</v>
      </c>
      <c r="C215" s="2">
        <f>IFERROR(__xludf.DUMMYFUNCTION("""COMPUTED_VALUE"""),14.44)</f>
        <v>14.44</v>
      </c>
      <c r="D215" s="2" t="str">
        <f>IFERROR(__xludf.DUMMYFUNCTION("""COMPUTED_VALUE"""),"Budhi Ganga")</f>
        <v>Budhi Ganga</v>
      </c>
      <c r="E215" s="2">
        <f>IFERROR(__xludf.DUMMYFUNCTION("""COMPUTED_VALUE"""),1515.0)</f>
        <v>1515</v>
      </c>
      <c r="F215" s="3">
        <f>IFERROR(__xludf.DUMMYFUNCTION("""COMPUTED_VALUE"""),66807.0)</f>
        <v>66807</v>
      </c>
      <c r="G215" s="3">
        <f>IFERROR(__xludf.DUMMYFUNCTION("""COMPUTED_VALUE"""),67537.0)</f>
        <v>67537</v>
      </c>
      <c r="H215" s="2" t="str">
        <f>IFERROR(__xludf.DUMMYFUNCTION("""COMPUTED_VALUE"""),"Independent Power Company (Nepal) P. Ltd.")</f>
        <v>Independent Power Company (Nepal) P. Ltd.</v>
      </c>
      <c r="I215" s="2" t="str">
        <f>IFERROR(__xludf.DUMMYFUNCTION("""COMPUTED_VALUE"""),"Dhobighat, Lalitpur")</f>
        <v>Dhobighat, Lalitpur</v>
      </c>
      <c r="J215" s="2" t="str">
        <f>IFERROR(__xludf.DUMMYFUNCTION("""COMPUTED_VALUE"""),"29o 18' 35""")</f>
        <v>29o 18' 35"</v>
      </c>
      <c r="K215" s="2" t="str">
        <f>IFERROR(__xludf.DUMMYFUNCTION("""COMPUTED_VALUE"""),"29o 20' 32""")</f>
        <v>29o 20' 32"</v>
      </c>
      <c r="L215" s="2" t="str">
        <f>IFERROR(__xludf.DUMMYFUNCTION("""COMPUTED_VALUE"""),"81o 17' 20""")</f>
        <v>81o 17' 20"</v>
      </c>
      <c r="M215" s="2" t="str">
        <f>IFERROR(__xludf.DUMMYFUNCTION("""COMPUTED_VALUE"""),"81o 19' 17""")</f>
        <v>81o 19' 17"</v>
      </c>
      <c r="N215" s="2" t="str">
        <f>IFERROR(__xludf.DUMMYFUNCTION("""COMPUTED_VALUE"""),"Bindhyawasini (Achham) 
Kailashmandau,Chhatara,Tolodewal,Barhabise,Bramhatola,Kuldeumadau (Bajura)")</f>
        <v>Bindhyawasini (Achham) 
Kailashmandau,Chhatara,Tolodewal,Barhabise,Bramhatola,Kuldeumadau (Bajura)</v>
      </c>
    </row>
    <row r="216">
      <c r="A216" s="2">
        <f>IFERROR(__xludf.DUMMYFUNCTION("""COMPUTED_VALUE"""),215.0)</f>
        <v>215</v>
      </c>
      <c r="B216" s="2" t="str">
        <f>IFERROR(__xludf.DUMMYFUNCTION("""COMPUTED_VALUE"""),"Toj Khola Hydropower Project")</f>
        <v>Toj Khola Hydropower Project</v>
      </c>
      <c r="C216" s="2">
        <f>IFERROR(__xludf.DUMMYFUNCTION("""COMPUTED_VALUE"""),6.0)</f>
        <v>6</v>
      </c>
      <c r="D216" s="2" t="str">
        <f>IFERROR(__xludf.DUMMYFUNCTION("""COMPUTED_VALUE"""),"Toj Khola, Chin Khola")</f>
        <v>Toj Khola, Chin Khola</v>
      </c>
      <c r="E216" s="2">
        <f>IFERROR(__xludf.DUMMYFUNCTION("""COMPUTED_VALUE"""),1514.0)</f>
        <v>1514</v>
      </c>
      <c r="F216" s="3">
        <f>IFERROR(__xludf.DUMMYFUNCTION("""COMPUTED_VALUE"""),66808.0)</f>
        <v>66808</v>
      </c>
      <c r="G216" s="3">
        <f>IFERROR(__xludf.DUMMYFUNCTION("""COMPUTED_VALUE"""),67538.0)</f>
        <v>67538</v>
      </c>
      <c r="H216" s="2" t="str">
        <f>IFERROR(__xludf.DUMMYFUNCTION("""COMPUTED_VALUE"""),"Toj Khola Power Private Limited")</f>
        <v>Toj Khola Power Private Limited</v>
      </c>
      <c r="I216" s="2" t="str">
        <f>IFERROR(__xludf.DUMMYFUNCTION("""COMPUTED_VALUE"""),"Nagarjun Municipality - 1, Kathmandu")</f>
        <v>Nagarjun Municipality - 1, Kathmandu</v>
      </c>
      <c r="J216" s="2" t="str">
        <f>IFERROR(__xludf.DUMMYFUNCTION("""COMPUTED_VALUE"""),"28o 18' 17""")</f>
        <v>28o 18' 17"</v>
      </c>
      <c r="K216" s="2" t="str">
        <f>IFERROR(__xludf.DUMMYFUNCTION("""COMPUTED_VALUE"""),"28o 20' 12""")</f>
        <v>28o 20' 12"</v>
      </c>
      <c r="L216" s="2" t="str">
        <f>IFERROR(__xludf.DUMMYFUNCTION("""COMPUTED_VALUE"""),"84o 25' 25""")</f>
        <v>84o 25' 25"</v>
      </c>
      <c r="M216" s="2" t="str">
        <f>IFERROR(__xludf.DUMMYFUNCTION("""COMPUTED_VALUE"""),"84o 27' 40""")</f>
        <v>84o 27' 40"</v>
      </c>
      <c r="N216" s="2" t="str">
        <f>IFERROR(__xludf.DUMMYFUNCTION("""COMPUTED_VALUE"""),"Bhulbhule,Bahundada (Lamjung)")</f>
        <v>Bhulbhule,Bahundada (Lamjung)</v>
      </c>
    </row>
    <row r="217">
      <c r="A217" s="2">
        <f>IFERROR(__xludf.DUMMYFUNCTION("""COMPUTED_VALUE"""),216.0)</f>
        <v>216</v>
      </c>
      <c r="B217" s="2" t="str">
        <f>IFERROR(__xludf.DUMMYFUNCTION("""COMPUTED_VALUE"""),"Obregad hydropower Project")</f>
        <v>Obregad hydropower Project</v>
      </c>
      <c r="C217" s="2">
        <f>IFERROR(__xludf.DUMMYFUNCTION("""COMPUTED_VALUE"""),9.0)</f>
        <v>9</v>
      </c>
      <c r="D217" s="2" t="str">
        <f>IFERROR(__xludf.DUMMYFUNCTION("""COMPUTED_VALUE"""),"Obregad Khola")</f>
        <v>Obregad Khola</v>
      </c>
      <c r="E217" s="2">
        <f>IFERROR(__xludf.DUMMYFUNCTION("""COMPUTED_VALUE"""),1516.0)</f>
        <v>1516</v>
      </c>
      <c r="F217" s="3">
        <f>IFERROR(__xludf.DUMMYFUNCTION("""COMPUTED_VALUE"""),66813.0)</f>
        <v>66813</v>
      </c>
      <c r="G217" s="3">
        <f>IFERROR(__xludf.DUMMYFUNCTION("""COMPUTED_VALUE"""),67543.0)</f>
        <v>67543</v>
      </c>
      <c r="H217" s="2" t="str">
        <f>IFERROR(__xludf.DUMMYFUNCTION("""COMPUTED_VALUE"""),"Western Energy Ventures Pvt. Ltd")</f>
        <v>Western Energy Ventures Pvt. Ltd</v>
      </c>
      <c r="I217" s="2" t="str">
        <f>IFERROR(__xludf.DUMMYFUNCTION("""COMPUTED_VALUE"""),"Kageshoweri-8, kKathmandu")</f>
        <v>Kageshoweri-8, kKathmandu</v>
      </c>
      <c r="J217" s="2" t="str">
        <f>IFERROR(__xludf.DUMMYFUNCTION("""COMPUTED_VALUE"""),"29o 17' 43""")</f>
        <v>29o 17' 43"</v>
      </c>
      <c r="K217" s="2" t="str">
        <f>IFERROR(__xludf.DUMMYFUNCTION("""COMPUTED_VALUE"""),"29o 18' 36""")</f>
        <v>29o 18' 36"</v>
      </c>
      <c r="L217" s="2" t="str">
        <f>IFERROR(__xludf.DUMMYFUNCTION("""COMPUTED_VALUE"""),"82o 17' 13""")</f>
        <v>82o 17' 13"</v>
      </c>
      <c r="M217" s="2" t="str">
        <f>IFERROR(__xludf.DUMMYFUNCTION("""COMPUTED_VALUE"""),"82o 20' 15""")</f>
        <v>82o 20' 15"</v>
      </c>
      <c r="N217" s="2" t="str">
        <f>IFERROR(__xludf.DUMMYFUNCTION("""COMPUTED_VALUE"""),"Chandan Nath (Jumla)")</f>
        <v>Chandan Nath (Jumla)</v>
      </c>
    </row>
    <row r="218">
      <c r="A218" s="2">
        <f>IFERROR(__xludf.DUMMYFUNCTION("""COMPUTED_VALUE"""),217.0)</f>
        <v>217</v>
      </c>
      <c r="B218" s="2" t="str">
        <f>IFERROR(__xludf.DUMMYFUNCTION("""COMPUTED_VALUE"""),"Upper Gad Khola Hydropower Project")</f>
        <v>Upper Gad Khola Hydropower Project</v>
      </c>
      <c r="C218" s="2">
        <f>IFERROR(__xludf.DUMMYFUNCTION("""COMPUTED_VALUE"""),9.5)</f>
        <v>9.5</v>
      </c>
      <c r="D218" s="2" t="str">
        <f>IFERROR(__xludf.DUMMYFUNCTION("""COMPUTED_VALUE"""),"Gad Khola")</f>
        <v>Gad Khola</v>
      </c>
      <c r="E218" s="2">
        <f>IFERROR(__xludf.DUMMYFUNCTION("""COMPUTED_VALUE"""),1517.0)</f>
        <v>1517</v>
      </c>
      <c r="F218" s="3">
        <f>IFERROR(__xludf.DUMMYFUNCTION("""COMPUTED_VALUE"""),66816.0)</f>
        <v>66816</v>
      </c>
      <c r="G218" s="3">
        <f>IFERROR(__xludf.DUMMYFUNCTION("""COMPUTED_VALUE"""),67546.0)</f>
        <v>67546</v>
      </c>
      <c r="H218" s="2" t="str">
        <f>IFERROR(__xludf.DUMMYFUNCTION("""COMPUTED_VALUE"""),"Alkapuri Hydropower Private Limited")</f>
        <v>Alkapuri Hydropower Private Limited</v>
      </c>
      <c r="I218" s="2" t="str">
        <f>IFERROR(__xludf.DUMMYFUNCTION("""COMPUTED_VALUE"""),"KMC-4, Naxal, Kathmandu")</f>
        <v>KMC-4, Naxal, Kathmandu</v>
      </c>
      <c r="J218" s="2" t="str">
        <f>IFERROR(__xludf.DUMMYFUNCTION("""COMPUTED_VALUE"""),"28o 53' 30""")</f>
        <v>28o 53' 30"</v>
      </c>
      <c r="K218" s="2" t="str">
        <f>IFERROR(__xludf.DUMMYFUNCTION("""COMPUTED_VALUE"""),"28o 55' 08""")</f>
        <v>28o 55' 08"</v>
      </c>
      <c r="L218" s="2" t="str">
        <f>IFERROR(__xludf.DUMMYFUNCTION("""COMPUTED_VALUE"""),"81o 56' 35""")</f>
        <v>81o 56' 35"</v>
      </c>
      <c r="M218" s="2" t="str">
        <f>IFERROR(__xludf.DUMMYFUNCTION("""COMPUTED_VALUE"""),"81o 58' 39""")</f>
        <v>81o 58' 39"</v>
      </c>
      <c r="N218" s="2" t="str">
        <f>IFERROR(__xludf.DUMMYFUNCTION("""COMPUTED_VALUE"""),"Kotrang,Daha (Jajarkot)")</f>
        <v>Kotrang,Daha (Jajarkot)</v>
      </c>
    </row>
    <row r="219">
      <c r="A219" s="2">
        <f>IFERROR(__xludf.DUMMYFUNCTION("""COMPUTED_VALUE"""),218.0)</f>
        <v>218</v>
      </c>
      <c r="B219" s="2" t="str">
        <f>IFERROR(__xludf.DUMMYFUNCTION("""COMPUTED_VALUE"""),"Super Gad Khola Hydropower Project")</f>
        <v>Super Gad Khola Hydropower Project</v>
      </c>
      <c r="C219" s="2">
        <f>IFERROR(__xludf.DUMMYFUNCTION("""COMPUTED_VALUE"""),9.5)</f>
        <v>9.5</v>
      </c>
      <c r="D219" s="2" t="str">
        <f>IFERROR(__xludf.DUMMYFUNCTION("""COMPUTED_VALUE"""),"Gad Khola")</f>
        <v>Gad Khola</v>
      </c>
      <c r="E219" s="2">
        <f>IFERROR(__xludf.DUMMYFUNCTION("""COMPUTED_VALUE"""),1518.0)</f>
        <v>1518</v>
      </c>
      <c r="F219" s="3">
        <f>IFERROR(__xludf.DUMMYFUNCTION("""COMPUTED_VALUE"""),66816.0)</f>
        <v>66816</v>
      </c>
      <c r="G219" s="3">
        <f>IFERROR(__xludf.DUMMYFUNCTION("""COMPUTED_VALUE"""),67546.0)</f>
        <v>67546</v>
      </c>
      <c r="H219" s="2" t="str">
        <f>IFERROR(__xludf.DUMMYFUNCTION("""COMPUTED_VALUE"""),"Alkapuri Hydropower Private Limited")</f>
        <v>Alkapuri Hydropower Private Limited</v>
      </c>
      <c r="I219" s="2" t="str">
        <f>IFERROR(__xludf.DUMMYFUNCTION("""COMPUTED_VALUE"""),"KMC-4, Naxal, Kathmandu")</f>
        <v>KMC-4, Naxal, Kathmandu</v>
      </c>
      <c r="J219" s="2" t="str">
        <f>IFERROR(__xludf.DUMMYFUNCTION("""COMPUTED_VALUE"""),"28o 55' 15""")</f>
        <v>28o 55' 15"</v>
      </c>
      <c r="K219" s="2" t="str">
        <f>IFERROR(__xludf.DUMMYFUNCTION("""COMPUTED_VALUE"""),"28o 57' 15""")</f>
        <v>28o 57' 15"</v>
      </c>
      <c r="L219" s="2" t="str">
        <f>IFERROR(__xludf.DUMMYFUNCTION("""COMPUTED_VALUE"""),"81o 58' 05""")</f>
        <v>81o 58' 05"</v>
      </c>
      <c r="M219" s="2" t="str">
        <f>IFERROR(__xludf.DUMMYFUNCTION("""COMPUTED_VALUE"""),"81o 59' 58""")</f>
        <v>81o 59' 58"</v>
      </c>
      <c r="N219" s="2" t="str">
        <f>IFERROR(__xludf.DUMMYFUNCTION("""COMPUTED_VALUE"""),"Daha (Jajarkot)")</f>
        <v>Daha (Jajarkot)</v>
      </c>
    </row>
    <row r="220">
      <c r="A220" s="2">
        <f>IFERROR(__xludf.DUMMYFUNCTION("""COMPUTED_VALUE"""),219.0)</f>
        <v>219</v>
      </c>
      <c r="B220" s="2" t="str">
        <f>IFERROR(__xludf.DUMMYFUNCTION("""COMPUTED_VALUE"""),"Seula Khola Hydropower Project")</f>
        <v>Seula Khola Hydropower Project</v>
      </c>
      <c r="C220" s="2">
        <f>IFERROR(__xludf.DUMMYFUNCTION("""COMPUTED_VALUE"""),6.1)</f>
        <v>6.1</v>
      </c>
      <c r="D220" s="2" t="str">
        <f>IFERROR(__xludf.DUMMYFUNCTION("""COMPUTED_VALUE"""),"Seula Khola")</f>
        <v>Seula Khola</v>
      </c>
      <c r="E220" s="2">
        <f>IFERROR(__xludf.DUMMYFUNCTION("""COMPUTED_VALUE"""),1519.0)</f>
        <v>1519</v>
      </c>
      <c r="F220" s="3">
        <f>IFERROR(__xludf.DUMMYFUNCTION("""COMPUTED_VALUE"""),66816.0)</f>
        <v>66816</v>
      </c>
      <c r="G220" s="3">
        <f>IFERROR(__xludf.DUMMYFUNCTION("""COMPUTED_VALUE"""),67546.0)</f>
        <v>67546</v>
      </c>
      <c r="H220" s="2" t="str">
        <f>IFERROR(__xludf.DUMMYFUNCTION("""COMPUTED_VALUE"""),"Group Three Sixty Private Limited")</f>
        <v>Group Three Sixty Private Limited</v>
      </c>
      <c r="I220" s="2" t="str">
        <f>IFERROR(__xludf.DUMMYFUNCTION("""COMPUTED_VALUE"""),"KMC-10, Kathmandu")</f>
        <v>KMC-10, Kathmandu</v>
      </c>
      <c r="J220" s="2" t="str">
        <f>IFERROR(__xludf.DUMMYFUNCTION("""COMPUTED_VALUE"""),"28o 23' 59""")</f>
        <v>28o 23' 59"</v>
      </c>
      <c r="K220" s="2" t="str">
        <f>IFERROR(__xludf.DUMMYFUNCTION("""COMPUTED_VALUE"""),"28o 26' 00""")</f>
        <v>28o 26' 00"</v>
      </c>
      <c r="L220" s="2" t="str">
        <f>IFERROR(__xludf.DUMMYFUNCTION("""COMPUTED_VALUE"""),"83o 12' 35""")</f>
        <v>83o 12' 35"</v>
      </c>
      <c r="M220" s="2" t="str">
        <f>IFERROR(__xludf.DUMMYFUNCTION("""COMPUTED_VALUE"""),"83o 14' 35""")</f>
        <v>83o 14' 35"</v>
      </c>
      <c r="N220" s="2" t="str">
        <f>IFERROR(__xludf.DUMMYFUNCTION("""COMPUTED_VALUE"""),"Taman,Khukhani,Bungadovan (Baglung)")</f>
        <v>Taman,Khukhani,Bungadovan (Baglung)</v>
      </c>
    </row>
    <row r="221">
      <c r="A221" s="2">
        <f>IFERROR(__xludf.DUMMYFUNCTION("""COMPUTED_VALUE"""),220.0)</f>
        <v>220</v>
      </c>
      <c r="B221" s="2" t="str">
        <f>IFERROR(__xludf.DUMMYFUNCTION("""COMPUTED_VALUE"""),"Super Sanibheri Hydropower Project")</f>
        <v>Super Sanibheri Hydropower Project</v>
      </c>
      <c r="C221" s="2">
        <f>IFERROR(__xludf.DUMMYFUNCTION("""COMPUTED_VALUE"""),12.5)</f>
        <v>12.5</v>
      </c>
      <c r="D221" s="2" t="str">
        <f>IFERROR(__xludf.DUMMYFUNCTION("""COMPUTED_VALUE"""),"Sani Bheri")</f>
        <v>Sani Bheri</v>
      </c>
      <c r="E221" s="2">
        <f>IFERROR(__xludf.DUMMYFUNCTION("""COMPUTED_VALUE"""),1520.0)</f>
        <v>1520</v>
      </c>
      <c r="F221" s="3">
        <f>IFERROR(__xludf.DUMMYFUNCTION("""COMPUTED_VALUE"""),66820.0)</f>
        <v>66820</v>
      </c>
      <c r="G221" s="3">
        <f>IFERROR(__xludf.DUMMYFUNCTION("""COMPUTED_VALUE"""),67550.0)</f>
        <v>67550</v>
      </c>
      <c r="H221" s="2" t="str">
        <f>IFERROR(__xludf.DUMMYFUNCTION("""COMPUTED_VALUE"""),"Ajambari Hydropower Private Limited")</f>
        <v>Ajambari Hydropower Private Limited</v>
      </c>
      <c r="I221" s="2" t="str">
        <f>IFERROR(__xludf.DUMMYFUNCTION("""COMPUTED_VALUE"""),"KMC-10, Kathmandu")</f>
        <v>KMC-10, Kathmandu</v>
      </c>
      <c r="J221" s="2" t="str">
        <f>IFERROR(__xludf.DUMMYFUNCTION("""COMPUTED_VALUE"""),"28o 37' 40""")</f>
        <v>28o 37' 40"</v>
      </c>
      <c r="K221" s="2" t="str">
        <f>IFERROR(__xludf.DUMMYFUNCTION("""COMPUTED_VALUE"""),"28o 39' 30""")</f>
        <v>28o 39' 30"</v>
      </c>
      <c r="L221" s="2" t="str">
        <f>IFERROR(__xludf.DUMMYFUNCTION("""COMPUTED_VALUE"""),"82o 42' 30""")</f>
        <v>82o 42' 30"</v>
      </c>
      <c r="M221" s="2" t="str">
        <f>IFERROR(__xludf.DUMMYFUNCTION("""COMPUTED_VALUE"""),"82o 45' 00""")</f>
        <v>82o 45' 00"</v>
      </c>
      <c r="N221" s="2" t="str">
        <f>IFERROR(__xludf.DUMMYFUNCTION("""COMPUTED_VALUE"""),"Jang,Rangsi (Rukum)")</f>
        <v>Jang,Rangsi (Rukum)</v>
      </c>
    </row>
    <row r="222">
      <c r="A222" s="2">
        <f>IFERROR(__xludf.DUMMYFUNCTION("""COMPUTED_VALUE"""),221.0)</f>
        <v>221</v>
      </c>
      <c r="B222" s="2" t="str">
        <f>IFERROR(__xludf.DUMMYFUNCTION("""COMPUTED_VALUE"""),"Shobha Khola Hydropower Project")</f>
        <v>Shobha Khola Hydropower Project</v>
      </c>
      <c r="C222" s="2">
        <f>IFERROR(__xludf.DUMMYFUNCTION("""COMPUTED_VALUE"""),7.0)</f>
        <v>7</v>
      </c>
      <c r="D222" s="2" t="str">
        <f>IFERROR(__xludf.DUMMYFUNCTION("""COMPUTED_VALUE"""),"Shova Khola")</f>
        <v>Shova Khola</v>
      </c>
      <c r="E222" s="2">
        <f>IFERROR(__xludf.DUMMYFUNCTION("""COMPUTED_VALUE"""),1521.0)</f>
        <v>1521</v>
      </c>
      <c r="F222" s="3">
        <f>IFERROR(__xludf.DUMMYFUNCTION("""COMPUTED_VALUE"""),66820.0)</f>
        <v>66820</v>
      </c>
      <c r="G222" s="3">
        <f>IFERROR(__xludf.DUMMYFUNCTION("""COMPUTED_VALUE"""),67550.0)</f>
        <v>67550</v>
      </c>
      <c r="H222" s="2" t="str">
        <f>IFERROR(__xludf.DUMMYFUNCTION("""COMPUTED_VALUE"""),"Energy hub pvt. ltd")</f>
        <v>Energy hub pvt. ltd</v>
      </c>
      <c r="I222" s="2" t="str">
        <f>IFERROR(__xludf.DUMMYFUNCTION("""COMPUTED_VALUE"""),"Banasthali-16, Kathmandu.")</f>
        <v>Banasthali-16, Kathmandu.</v>
      </c>
      <c r="J222" s="2" t="str">
        <f>IFERROR(__xludf.DUMMYFUNCTION("""COMPUTED_VALUE"""),"29o 31' 30""")</f>
        <v>29o 31' 30"</v>
      </c>
      <c r="K222" s="2" t="str">
        <f>IFERROR(__xludf.DUMMYFUNCTION("""COMPUTED_VALUE"""),"29o 33' 10""")</f>
        <v>29o 33' 10"</v>
      </c>
      <c r="L222" s="2" t="str">
        <f>IFERROR(__xludf.DUMMYFUNCTION("""COMPUTED_VALUE"""),"82o 13' 15""")</f>
        <v>82o 13' 15"</v>
      </c>
      <c r="M222" s="2" t="str">
        <f>IFERROR(__xludf.DUMMYFUNCTION("""COMPUTED_VALUE"""),"82o 14' 45""")</f>
        <v>82o 14' 45"</v>
      </c>
      <c r="N222" s="2" t="str">
        <f>IFERROR(__xludf.DUMMYFUNCTION("""COMPUTED_VALUE"""),"Karkibada (Mugu)")</f>
        <v>Karkibada (Mugu)</v>
      </c>
    </row>
    <row r="223">
      <c r="A223" s="2">
        <f>IFERROR(__xludf.DUMMYFUNCTION("""COMPUTED_VALUE"""),222.0)</f>
        <v>222</v>
      </c>
      <c r="B223" s="2" t="str">
        <f>IFERROR(__xludf.DUMMYFUNCTION("""COMPUTED_VALUE"""),"Salli Khola Hydropower Project")</f>
        <v>Salli Khola Hydropower Project</v>
      </c>
      <c r="C223" s="2">
        <f>IFERROR(__xludf.DUMMYFUNCTION("""COMPUTED_VALUE"""),23.1)</f>
        <v>23.1</v>
      </c>
      <c r="D223" s="2" t="str">
        <f>IFERROR(__xludf.DUMMYFUNCTION("""COMPUTED_VALUE"""),"Salli Khola")</f>
        <v>Salli Khola</v>
      </c>
      <c r="E223" s="2">
        <f>IFERROR(__xludf.DUMMYFUNCTION("""COMPUTED_VALUE"""),1522.0)</f>
        <v>1522</v>
      </c>
      <c r="F223" s="3">
        <f>IFERROR(__xludf.DUMMYFUNCTION("""COMPUTED_VALUE"""),66821.0)</f>
        <v>66821</v>
      </c>
      <c r="G223" s="3">
        <f>IFERROR(__xludf.DUMMYFUNCTION("""COMPUTED_VALUE"""),67551.0)</f>
        <v>67551</v>
      </c>
      <c r="H223" s="2" t="str">
        <f>IFERROR(__xludf.DUMMYFUNCTION("""COMPUTED_VALUE"""),"Solar Ventures Pvt. Ltd")</f>
        <v>Solar Ventures Pvt. Ltd</v>
      </c>
      <c r="I223" s="2" t="str">
        <f>IFERROR(__xludf.DUMMYFUNCTION("""COMPUTED_VALUE"""),"Kathmandu-10, Kathmandu")</f>
        <v>Kathmandu-10, Kathmandu</v>
      </c>
      <c r="J223" s="2" t="str">
        <f>IFERROR(__xludf.DUMMYFUNCTION("""COMPUTED_VALUE"""),"30o 03' 19""")</f>
        <v>30o 03' 19"</v>
      </c>
      <c r="K223" s="2" t="str">
        <f>IFERROR(__xludf.DUMMYFUNCTION("""COMPUTED_VALUE"""),"30o 05' 26""")</f>
        <v>30o 05' 26"</v>
      </c>
      <c r="L223" s="2" t="str">
        <f>IFERROR(__xludf.DUMMYFUNCTION("""COMPUTED_VALUE"""),"81o 38' 49""")</f>
        <v>81o 38' 49"</v>
      </c>
      <c r="M223" s="2" t="str">
        <f>IFERROR(__xludf.DUMMYFUNCTION("""COMPUTED_VALUE"""),"81o 41' 54""")</f>
        <v>81o 41' 54"</v>
      </c>
      <c r="N223" s="2" t="str">
        <f>IFERROR(__xludf.DUMMYFUNCTION("""COMPUTED_VALUE"""),"Khagalgaun (Humla)")</f>
        <v>Khagalgaun (Humla)</v>
      </c>
    </row>
    <row r="224">
      <c r="A224" s="2">
        <f>IFERROR(__xludf.DUMMYFUNCTION("""COMPUTED_VALUE"""),223.0)</f>
        <v>223</v>
      </c>
      <c r="B224" s="2" t="str">
        <f>IFERROR(__xludf.DUMMYFUNCTION("""COMPUTED_VALUE"""),"Lidin Khola Hydropower Project")</f>
        <v>Lidin Khola Hydropower Project</v>
      </c>
      <c r="C224" s="2">
        <f>IFERROR(__xludf.DUMMYFUNCTION("""COMPUTED_VALUE"""),8.28)</f>
        <v>8.28</v>
      </c>
      <c r="D224" s="2" t="str">
        <f>IFERROR(__xludf.DUMMYFUNCTION("""COMPUTED_VALUE"""),"Lidin Khola")</f>
        <v>Lidin Khola</v>
      </c>
      <c r="E224" s="2">
        <f>IFERROR(__xludf.DUMMYFUNCTION("""COMPUTED_VALUE"""),1523.0)</f>
        <v>1523</v>
      </c>
      <c r="F224" s="3">
        <f>IFERROR(__xludf.DUMMYFUNCTION("""COMPUTED_VALUE"""),66822.0)</f>
        <v>66822</v>
      </c>
      <c r="G224" s="3">
        <f>IFERROR(__xludf.DUMMYFUNCTION("""COMPUTED_VALUE"""),67552.0)</f>
        <v>67552</v>
      </c>
      <c r="H224" s="2" t="str">
        <f>IFERROR(__xludf.DUMMYFUNCTION("""COMPUTED_VALUE"""),"Prabhu Jalabiddhut Bikash (P) Ltd.")</f>
        <v>Prabhu Jalabiddhut Bikash (P) Ltd.</v>
      </c>
      <c r="I224" s="2" t="str">
        <f>IFERROR(__xludf.DUMMYFUNCTION("""COMPUTED_VALUE"""),"Tinkune, Kathmandu")</f>
        <v>Tinkune, Kathmandu</v>
      </c>
      <c r="J224" s="2" t="str">
        <f>IFERROR(__xludf.DUMMYFUNCTION("""COMPUTED_VALUE"""),"27o 20' 05""")</f>
        <v>27o 20' 05"</v>
      </c>
      <c r="K224" s="2" t="str">
        <f>IFERROR(__xludf.DUMMYFUNCTION("""COMPUTED_VALUE"""),"27o 22' 23""")</f>
        <v>27o 22' 23"</v>
      </c>
      <c r="L224" s="2" t="str">
        <f>IFERROR(__xludf.DUMMYFUNCTION("""COMPUTED_VALUE"""),"86o 45' 50""")</f>
        <v>86o 45' 50"</v>
      </c>
      <c r="M224" s="2" t="str">
        <f>IFERROR(__xludf.DUMMYFUNCTION("""COMPUTED_VALUE"""),"86o 48' 00""")</f>
        <v>86o 48' 00"</v>
      </c>
      <c r="N224" s="2" t="str">
        <f>IFERROR(__xludf.DUMMYFUNCTION("""COMPUTED_VALUE"""),"Rakha Bangdel,Sapteswor,Ainselu Kharka (Khotang)")</f>
        <v>Rakha Bangdel,Sapteswor,Ainselu Kharka (Khotang)</v>
      </c>
    </row>
    <row r="225">
      <c r="A225" s="2">
        <f>IFERROR(__xludf.DUMMYFUNCTION("""COMPUTED_VALUE"""),224.0)</f>
        <v>224</v>
      </c>
      <c r="B225" s="2" t="str">
        <f>IFERROR(__xludf.DUMMYFUNCTION("""COMPUTED_VALUE"""),"Jantada Khola Hydropower Project")</f>
        <v>Jantada Khola Hydropower Project</v>
      </c>
      <c r="C225" s="2">
        <f>IFERROR(__xludf.DUMMYFUNCTION("""COMPUTED_VALUE"""),6.8)</f>
        <v>6.8</v>
      </c>
      <c r="D225" s="2" t="str">
        <f>IFERROR(__xludf.DUMMYFUNCTION("""COMPUTED_VALUE"""),"Jantada")</f>
        <v>Jantada</v>
      </c>
      <c r="E225" s="2">
        <f>IFERROR(__xludf.DUMMYFUNCTION("""COMPUTED_VALUE"""),1524.0)</f>
        <v>1524</v>
      </c>
      <c r="F225" s="3">
        <f>IFERROR(__xludf.DUMMYFUNCTION("""COMPUTED_VALUE"""),66825.0)</f>
        <v>66825</v>
      </c>
      <c r="G225" s="3">
        <f>IFERROR(__xludf.DUMMYFUNCTION("""COMPUTED_VALUE"""),67555.0)</f>
        <v>67555</v>
      </c>
      <c r="H225" s="2" t="str">
        <f>IFERROR(__xludf.DUMMYFUNCTION("""COMPUTED_VALUE"""),"Hydro Holdings Limited")</f>
        <v>Hydro Holdings Limited</v>
      </c>
      <c r="I225" s="2" t="str">
        <f>IFERROR(__xludf.DUMMYFUNCTION("""COMPUTED_VALUE"""),"Kathmandu-32, Tinkune, Nepal, Tel +977-1-5912871")</f>
        <v>Kathmandu-32, Tinkune, Nepal, Tel +977-1-5912871</v>
      </c>
      <c r="J225" s="2" t="str">
        <f>IFERROR(__xludf.DUMMYFUNCTION("""COMPUTED_VALUE"""),"29o 12' 02""")</f>
        <v>29o 12' 02"</v>
      </c>
      <c r="K225" s="2" t="str">
        <f>IFERROR(__xludf.DUMMYFUNCTION("""COMPUTED_VALUE"""),"29o 13' 47""")</f>
        <v>29o 13' 47"</v>
      </c>
      <c r="L225" s="2" t="str">
        <f>IFERROR(__xludf.DUMMYFUNCTION("""COMPUTED_VALUE"""),"81o 31' 45""")</f>
        <v>81o 31' 45"</v>
      </c>
      <c r="M225" s="2" t="str">
        <f>IFERROR(__xludf.DUMMYFUNCTION("""COMPUTED_VALUE"""),"81o 33' 20""")</f>
        <v>81o 33' 20"</v>
      </c>
      <c r="N225" s="2" t="str">
        <f>IFERROR(__xludf.DUMMYFUNCTION("""COMPUTED_VALUE"""),"Kumalgaun,Kotbada,Rupsa,Lalutantikot (Kalikot)")</f>
        <v>Kumalgaun,Kotbada,Rupsa,Lalutantikot (Kalikot)</v>
      </c>
    </row>
    <row r="226">
      <c r="A226" s="2">
        <f>IFERROR(__xludf.DUMMYFUNCTION("""COMPUTED_VALUE"""),225.0)</f>
        <v>225</v>
      </c>
      <c r="B226" s="2" t="str">
        <f>IFERROR(__xludf.DUMMYFUNCTION("""COMPUTED_VALUE"""),"Bumuchhiya Hydropower Project")</f>
        <v>Bumuchhiya Hydropower Project</v>
      </c>
      <c r="C226" s="2">
        <f>IFERROR(__xludf.DUMMYFUNCTION("""COMPUTED_VALUE"""),9.8)</f>
        <v>9.8</v>
      </c>
      <c r="D226" s="2" t="str">
        <f>IFERROR(__xludf.DUMMYFUNCTION("""COMPUTED_VALUE"""),"Bumuchiya Khola")</f>
        <v>Bumuchiya Khola</v>
      </c>
      <c r="E226" s="2">
        <f>IFERROR(__xludf.DUMMYFUNCTION("""COMPUTED_VALUE"""),1525.0)</f>
        <v>1525</v>
      </c>
      <c r="F226" s="3">
        <f>IFERROR(__xludf.DUMMYFUNCTION("""COMPUTED_VALUE"""),66827.0)</f>
        <v>66827</v>
      </c>
      <c r="G226" s="3">
        <f>IFERROR(__xludf.DUMMYFUNCTION("""COMPUTED_VALUE"""),67557.0)</f>
        <v>67557</v>
      </c>
      <c r="H226" s="2" t="str">
        <f>IFERROR(__xludf.DUMMYFUNCTION("""COMPUTED_VALUE"""),"Deshim Mineralium Energy Pvt. Ltd")</f>
        <v>Deshim Mineralium Energy Pvt. Ltd</v>
      </c>
      <c r="I226" s="2" t="str">
        <f>IFERROR(__xludf.DUMMYFUNCTION("""COMPUTED_VALUE"""),"Lalitpur-8, Gwarlo")</f>
        <v>Lalitpur-8, Gwarlo</v>
      </c>
      <c r="J226" s="2" t="str">
        <f>IFERROR(__xludf.DUMMYFUNCTION("""COMPUTED_VALUE"""),"30o 05' 30""")</f>
        <v>30o 05' 30"</v>
      </c>
      <c r="K226" s="2" t="str">
        <f>IFERROR(__xludf.DUMMYFUNCTION("""COMPUTED_VALUE"""),"30o 06' 18""")</f>
        <v>30o 06' 18"</v>
      </c>
      <c r="L226" s="2" t="str">
        <f>IFERROR(__xludf.DUMMYFUNCTION("""COMPUTED_VALUE"""),"81o 25' 40""")</f>
        <v>81o 25' 40"</v>
      </c>
      <c r="M226" s="2" t="str">
        <f>IFERROR(__xludf.DUMMYFUNCTION("""COMPUTED_VALUE"""),"81o 28' 25""")</f>
        <v>81o 28' 25"</v>
      </c>
      <c r="N226" s="2" t="str">
        <f>IFERROR(__xludf.DUMMYFUNCTION("""COMPUTED_VALUE"""),"Hepka (Humla)")</f>
        <v>Hepka (Humla)</v>
      </c>
    </row>
    <row r="227">
      <c r="A227" s="2">
        <f>IFERROR(__xludf.DUMMYFUNCTION("""COMPUTED_VALUE"""),226.0)</f>
        <v>226</v>
      </c>
      <c r="B227" s="2" t="str">
        <f>IFERROR(__xludf.DUMMYFUNCTION("""COMPUTED_VALUE"""),"Upper Nimrung Hydropower Project")</f>
        <v>Upper Nimrung Hydropower Project</v>
      </c>
      <c r="C227" s="2">
        <f>IFERROR(__xludf.DUMMYFUNCTION("""COMPUTED_VALUE"""),4.7)</f>
        <v>4.7</v>
      </c>
      <c r="D227" s="2" t="str">
        <f>IFERROR(__xludf.DUMMYFUNCTION("""COMPUTED_VALUE"""),"Nimrung Khola")</f>
        <v>Nimrung Khola</v>
      </c>
      <c r="E227" s="2">
        <f>IFERROR(__xludf.DUMMYFUNCTION("""COMPUTED_VALUE"""),1526.0)</f>
        <v>1526</v>
      </c>
      <c r="F227" s="3">
        <f>IFERROR(__xludf.DUMMYFUNCTION("""COMPUTED_VALUE"""),66828.0)</f>
        <v>66828</v>
      </c>
      <c r="G227" s="3">
        <f>IFERROR(__xludf.DUMMYFUNCTION("""COMPUTED_VALUE"""),67558.0)</f>
        <v>67558</v>
      </c>
      <c r="H227" s="2" t="str">
        <f>IFERROR(__xludf.DUMMYFUNCTION("""COMPUTED_VALUE"""),"Himalayan Hydro Power Private Limited")</f>
        <v>Himalayan Hydro Power Private Limited</v>
      </c>
      <c r="I227" s="2" t="str">
        <f>IFERROR(__xludf.DUMMYFUNCTION("""COMPUTED_VALUE"""),"KMC-1, Naxal, Kathmandu")</f>
        <v>KMC-1, Naxal, Kathmandu</v>
      </c>
      <c r="J227" s="2" t="str">
        <f>IFERROR(__xludf.DUMMYFUNCTION("""COMPUTED_VALUE"""),"28o 16' 22""")</f>
        <v>28o 16' 22"</v>
      </c>
      <c r="K227" s="2" t="str">
        <f>IFERROR(__xludf.DUMMYFUNCTION("""COMPUTED_VALUE"""),"28o 17' 53""")</f>
        <v>28o 17' 53"</v>
      </c>
      <c r="L227" s="2" t="str">
        <f>IFERROR(__xludf.DUMMYFUNCTION("""COMPUTED_VALUE"""),"84o 50' 01""")</f>
        <v>84o 50' 01"</v>
      </c>
      <c r="M227" s="2" t="str">
        <f>IFERROR(__xludf.DUMMYFUNCTION("""COMPUTED_VALUE"""),"84o 51' 30""")</f>
        <v>84o 51' 30"</v>
      </c>
      <c r="N227" s="2" t="str">
        <f>IFERROR(__xludf.DUMMYFUNCTION("""COMPUTED_VALUE"""),"Gumda,Uiya (Gorkha)")</f>
        <v>Gumda,Uiya (Gorkha)</v>
      </c>
    </row>
    <row r="228">
      <c r="A228" s="2">
        <f>IFERROR(__xludf.DUMMYFUNCTION("""COMPUTED_VALUE"""),227.0)</f>
        <v>227</v>
      </c>
      <c r="B228" s="2" t="str">
        <f>IFERROR(__xludf.DUMMYFUNCTION("""COMPUTED_VALUE"""),"Mathillo Budhiganga- 1 Hydropower Project")</f>
        <v>Mathillo Budhiganga- 1 Hydropower Project</v>
      </c>
      <c r="C228" s="2">
        <f>IFERROR(__xludf.DUMMYFUNCTION("""COMPUTED_VALUE"""),9.6)</f>
        <v>9.6</v>
      </c>
      <c r="D228" s="2" t="str">
        <f>IFERROR(__xludf.DUMMYFUNCTION("""COMPUTED_VALUE"""),"Budhi Ganga")</f>
        <v>Budhi Ganga</v>
      </c>
      <c r="E228" s="2">
        <f>IFERROR(__xludf.DUMMYFUNCTION("""COMPUTED_VALUE"""),1527.0)</f>
        <v>1527</v>
      </c>
      <c r="F228" s="3">
        <f>IFERROR(__xludf.DUMMYFUNCTION("""COMPUTED_VALUE"""),66829.0)</f>
        <v>66829</v>
      </c>
      <c r="G228" s="3">
        <f>IFERROR(__xludf.DUMMYFUNCTION("""COMPUTED_VALUE"""),67559.0)</f>
        <v>67559</v>
      </c>
      <c r="H228" s="2" t="str">
        <f>IFERROR(__xludf.DUMMYFUNCTION("""COMPUTED_VALUE"""),"Prabhu Holdings and Hydro Development Company Ltd")</f>
        <v>Prabhu Holdings and Hydro Development Company Ltd</v>
      </c>
      <c r="I228" s="2" t="str">
        <f>IFERROR(__xludf.DUMMYFUNCTION("""COMPUTED_VALUE"""),"Kathmandu-31, Tinkune, Nepal")</f>
        <v>Kathmandu-31, Tinkune, Nepal</v>
      </c>
      <c r="J228" s="2" t="str">
        <f>IFERROR(__xludf.DUMMYFUNCTION("""COMPUTED_VALUE"""),"29o 32' 37""")</f>
        <v>29o 32' 37"</v>
      </c>
      <c r="K228" s="2" t="str">
        <f>IFERROR(__xludf.DUMMYFUNCTION("""COMPUTED_VALUE"""),"29o 34' 16""")</f>
        <v>29o 34' 16"</v>
      </c>
      <c r="L228" s="2" t="str">
        <f>IFERROR(__xludf.DUMMYFUNCTION("""COMPUTED_VALUE"""),"81o 26' 35""")</f>
        <v>81o 26' 35"</v>
      </c>
      <c r="M228" s="2" t="str">
        <f>IFERROR(__xludf.DUMMYFUNCTION("""COMPUTED_VALUE"""),"81o 28' 30""")</f>
        <v>81o 28' 30"</v>
      </c>
      <c r="N228" s="2" t="str">
        <f>IFERROR(__xludf.DUMMYFUNCTION("""COMPUTED_VALUE"""),"Jugada,Manakot,Dahakot (Bajura)")</f>
        <v>Jugada,Manakot,Dahakot (Bajura)</v>
      </c>
    </row>
    <row r="229">
      <c r="A229" s="2">
        <f>IFERROR(__xludf.DUMMYFUNCTION("""COMPUTED_VALUE"""),228.0)</f>
        <v>228</v>
      </c>
      <c r="B229" s="2" t="str">
        <f>IFERROR(__xludf.DUMMYFUNCTION("""COMPUTED_VALUE"""),"Mathillo Budhiganga- 2 Hydropower Project")</f>
        <v>Mathillo Budhiganga- 2 Hydropower Project</v>
      </c>
      <c r="C229" s="2">
        <f>IFERROR(__xludf.DUMMYFUNCTION("""COMPUTED_VALUE"""),23.0)</f>
        <v>23</v>
      </c>
      <c r="D229" s="2" t="str">
        <f>IFERROR(__xludf.DUMMYFUNCTION("""COMPUTED_VALUE"""),"Budhi Ganga")</f>
        <v>Budhi Ganga</v>
      </c>
      <c r="E229" s="2">
        <f>IFERROR(__xludf.DUMMYFUNCTION("""COMPUTED_VALUE"""),1528.0)</f>
        <v>1528</v>
      </c>
      <c r="F229" s="3">
        <f>IFERROR(__xludf.DUMMYFUNCTION("""COMPUTED_VALUE"""),66829.0)</f>
        <v>66829</v>
      </c>
      <c r="G229" s="3">
        <f>IFERROR(__xludf.DUMMYFUNCTION("""COMPUTED_VALUE"""),67559.0)</f>
        <v>67559</v>
      </c>
      <c r="H229" s="2" t="str">
        <f>IFERROR(__xludf.DUMMYFUNCTION("""COMPUTED_VALUE"""),"Hydro Holdings Limited")</f>
        <v>Hydro Holdings Limited</v>
      </c>
      <c r="I229" s="2" t="str">
        <f>IFERROR(__xludf.DUMMYFUNCTION("""COMPUTED_VALUE"""),"Kathmandu-32, Kathmandu")</f>
        <v>Kathmandu-32, Kathmandu</v>
      </c>
      <c r="J229" s="2" t="str">
        <f>IFERROR(__xludf.DUMMYFUNCTION("""COMPUTED_VALUE"""),"29o 28' 31""")</f>
        <v>29o 28' 31"</v>
      </c>
      <c r="K229" s="2" t="str">
        <f>IFERROR(__xludf.DUMMYFUNCTION("""COMPUTED_VALUE"""),"29o 32' 37""")</f>
        <v>29o 32' 37"</v>
      </c>
      <c r="L229" s="2" t="str">
        <f>IFERROR(__xludf.DUMMYFUNCTION("""COMPUTED_VALUE"""),"81o 26' 00""")</f>
        <v>81o 26' 00"</v>
      </c>
      <c r="M229" s="2" t="str">
        <f>IFERROR(__xludf.DUMMYFUNCTION("""COMPUTED_VALUE"""),"81o 28' 28""")</f>
        <v>81o 28' 28"</v>
      </c>
      <c r="N229" s="2" t="str">
        <f>IFERROR(__xludf.DUMMYFUNCTION("""COMPUTED_VALUE"""),"Manakot,Dahakot,Budhiganga,Jugada,Martadi (Bajura)")</f>
        <v>Manakot,Dahakot,Budhiganga,Jugada,Martadi (Bajura)</v>
      </c>
    </row>
    <row r="230">
      <c r="A230" s="2">
        <f>IFERROR(__xludf.DUMMYFUNCTION("""COMPUTED_VALUE"""),229.0)</f>
        <v>229</v>
      </c>
      <c r="B230" s="2" t="str">
        <f>IFERROR(__xludf.DUMMYFUNCTION("""COMPUTED_VALUE"""),"Super Taman Khola Hydropower Project")</f>
        <v>Super Taman Khola Hydropower Project</v>
      </c>
      <c r="C230" s="2">
        <f>IFERROR(__xludf.DUMMYFUNCTION("""COMPUTED_VALUE"""),5.5)</f>
        <v>5.5</v>
      </c>
      <c r="D230" s="2" t="str">
        <f>IFERROR(__xludf.DUMMYFUNCTION("""COMPUTED_VALUE"""),"Taman")</f>
        <v>Taman</v>
      </c>
      <c r="E230" s="2">
        <f>IFERROR(__xludf.DUMMYFUNCTION("""COMPUTED_VALUE"""),1529.0)</f>
        <v>1529</v>
      </c>
      <c r="F230" s="3">
        <f>IFERROR(__xludf.DUMMYFUNCTION("""COMPUTED_VALUE"""),66829.0)</f>
        <v>66829</v>
      </c>
      <c r="G230" s="3">
        <f>IFERROR(__xludf.DUMMYFUNCTION("""COMPUTED_VALUE"""),67559.0)</f>
        <v>67559</v>
      </c>
      <c r="H230" s="2" t="str">
        <f>IFERROR(__xludf.DUMMYFUNCTION("""COMPUTED_VALUE"""),"Dhorbaraha Energy Private Limited")</f>
        <v>Dhorbaraha Energy Private Limited</v>
      </c>
      <c r="I230" s="2" t="str">
        <f>IFERROR(__xludf.DUMMYFUNCTION("""COMPUTED_VALUE"""),"Banasthali, Kathmandu.")</f>
        <v>Banasthali, Kathmandu.</v>
      </c>
      <c r="J230" s="2" t="str">
        <f>IFERROR(__xludf.DUMMYFUNCTION("""COMPUTED_VALUE"""),"28o 23' 12""")</f>
        <v>28o 23' 12"</v>
      </c>
      <c r="K230" s="2" t="str">
        <f>IFERROR(__xludf.DUMMYFUNCTION("""COMPUTED_VALUE"""),"28o 23' 59""")</f>
        <v>28o 23' 59"</v>
      </c>
      <c r="L230" s="2" t="str">
        <f>IFERROR(__xludf.DUMMYFUNCTION("""COMPUTED_VALUE"""),"83o 12' 31""")</f>
        <v>83o 12' 31"</v>
      </c>
      <c r="M230" s="2" t="str">
        <f>IFERROR(__xludf.DUMMYFUNCTION("""COMPUTED_VALUE"""),"83o 14' 45""")</f>
        <v>83o 14' 45"</v>
      </c>
      <c r="N230" s="2" t="str">
        <f>IFERROR(__xludf.DUMMYFUNCTION("""COMPUTED_VALUE"""),"Bungadovan,Khunga,Taman (Baglung)")</f>
        <v>Bungadovan,Khunga,Taman (Baglung)</v>
      </c>
    </row>
    <row r="231">
      <c r="A231" s="2">
        <f>IFERROR(__xludf.DUMMYFUNCTION("""COMPUTED_VALUE"""),230.0)</f>
        <v>230</v>
      </c>
      <c r="B231" s="2" t="str">
        <f>IFERROR(__xludf.DUMMYFUNCTION("""COMPUTED_VALUE"""),"Yalakot Khola Hydropower Project")</f>
        <v>Yalakot Khola Hydropower Project</v>
      </c>
      <c r="C231" s="2">
        <f>IFERROR(__xludf.DUMMYFUNCTION("""COMPUTED_VALUE"""),10.0)</f>
        <v>10</v>
      </c>
      <c r="D231" s="2" t="str">
        <f>IFERROR(__xludf.DUMMYFUNCTION("""COMPUTED_VALUE"""),"Yalakot Khola")</f>
        <v>Yalakot Khola</v>
      </c>
      <c r="E231" s="2">
        <f>IFERROR(__xludf.DUMMYFUNCTION("""COMPUTED_VALUE"""),1530.0)</f>
        <v>1530</v>
      </c>
      <c r="F231" s="3">
        <f>IFERROR(__xludf.DUMMYFUNCTION("""COMPUTED_VALUE"""),66830.0)</f>
        <v>66830</v>
      </c>
      <c r="G231" s="3">
        <f>IFERROR(__xludf.DUMMYFUNCTION("""COMPUTED_VALUE"""),67560.0)</f>
        <v>67560</v>
      </c>
      <c r="H231" s="2" t="str">
        <f>IFERROR(__xludf.DUMMYFUNCTION("""COMPUTED_VALUE"""),"Hydro Hills Private Limited")</f>
        <v>Hydro Hills Private Limited</v>
      </c>
      <c r="I231" s="2" t="str">
        <f>IFERROR(__xludf.DUMMYFUNCTION("""COMPUTED_VALUE"""),"Mahalaxmi- 4, lalitpur, 9851215578")</f>
        <v>Mahalaxmi- 4, lalitpur, 9851215578</v>
      </c>
      <c r="J231" s="2" t="str">
        <f>IFERROR(__xludf.DUMMYFUNCTION("""COMPUTED_VALUE"""),"28o 51' 00""")</f>
        <v>28o 51' 00"</v>
      </c>
      <c r="K231" s="2" t="str">
        <f>IFERROR(__xludf.DUMMYFUNCTION("""COMPUTED_VALUE"""),"28o 52' 24""")</f>
        <v>28o 52' 24"</v>
      </c>
      <c r="L231" s="2" t="str">
        <f>IFERROR(__xludf.DUMMYFUNCTION("""COMPUTED_VALUE"""),"82o 59' 46""")</f>
        <v>82o 59' 46"</v>
      </c>
      <c r="M231" s="2" t="str">
        <f>IFERROR(__xludf.DUMMYFUNCTION("""COMPUTED_VALUE"""),"83o 00' 45""")</f>
        <v>83o 00' 45"</v>
      </c>
      <c r="N231" s="2" t="str">
        <f>IFERROR(__xludf.DUMMYFUNCTION("""COMPUTED_VALUE"""),"Lawan,Sahartara (Dolpa)")</f>
        <v>Lawan,Sahartara (Dolpa)</v>
      </c>
    </row>
    <row r="232">
      <c r="A232" s="2">
        <f>IFERROR(__xludf.DUMMYFUNCTION("""COMPUTED_VALUE"""),231.0)</f>
        <v>231</v>
      </c>
      <c r="B232" s="2" t="str">
        <f>IFERROR(__xludf.DUMMYFUNCTION("""COMPUTED_VALUE"""),"Satiya Khola Hydropower Project")</f>
        <v>Satiya Khola Hydropower Project</v>
      </c>
      <c r="C232" s="2">
        <f>IFERROR(__xludf.DUMMYFUNCTION("""COMPUTED_VALUE"""),7.0)</f>
        <v>7</v>
      </c>
      <c r="D232" s="2" t="str">
        <f>IFERROR(__xludf.DUMMYFUNCTION("""COMPUTED_VALUE"""),"Satiya Khola")</f>
        <v>Satiya Khola</v>
      </c>
      <c r="E232" s="2">
        <f>IFERROR(__xludf.DUMMYFUNCTION("""COMPUTED_VALUE"""),1531.0)</f>
        <v>1531</v>
      </c>
      <c r="F232" s="3">
        <f>IFERROR(__xludf.DUMMYFUNCTION("""COMPUTED_VALUE"""),66830.0)</f>
        <v>66830</v>
      </c>
      <c r="G232" s="3">
        <f>IFERROR(__xludf.DUMMYFUNCTION("""COMPUTED_VALUE"""),67560.0)</f>
        <v>67560</v>
      </c>
      <c r="H232" s="2" t="str">
        <f>IFERROR(__xludf.DUMMYFUNCTION("""COMPUTED_VALUE"""),"Apex Hydro and Investment Pvt. Ltd.")</f>
        <v>Apex Hydro and Investment Pvt. Ltd.</v>
      </c>
      <c r="I232" s="2" t="str">
        <f>IFERROR(__xludf.DUMMYFUNCTION("""COMPUTED_VALUE"""),"Kathmandu")</f>
        <v>Kathmandu</v>
      </c>
      <c r="J232" s="2" t="str">
        <f>IFERROR(__xludf.DUMMYFUNCTION("""COMPUTED_VALUE"""),"28o 48' 17""")</f>
        <v>28o 48' 17"</v>
      </c>
      <c r="K232" s="2" t="str">
        <f>IFERROR(__xludf.DUMMYFUNCTION("""COMPUTED_VALUE"""),"28o 50' 35""")</f>
        <v>28o 50' 35"</v>
      </c>
      <c r="L232" s="2" t="str">
        <f>IFERROR(__xludf.DUMMYFUNCTION("""COMPUTED_VALUE"""),"82o 00' 55""")</f>
        <v>82o 00' 55"</v>
      </c>
      <c r="M232" s="2" t="str">
        <f>IFERROR(__xludf.DUMMYFUNCTION("""COMPUTED_VALUE"""),"82o 02' 00""")</f>
        <v>82o 02' 00"</v>
      </c>
      <c r="N232" s="2" t="str">
        <f>IFERROR(__xludf.DUMMYFUNCTION("""COMPUTED_VALUE"""),"Dajaru (Jajarkot)")</f>
        <v>Dajaru (Jajarkot)</v>
      </c>
    </row>
    <row r="233">
      <c r="A233" s="2">
        <f>IFERROR(__xludf.DUMMYFUNCTION("""COMPUTED_VALUE"""),232.0)</f>
        <v>232</v>
      </c>
      <c r="B233" s="2" t="str">
        <f>IFERROR(__xludf.DUMMYFUNCTION("""COMPUTED_VALUE"""),"Indrawati Khola Hydropower Project")</f>
        <v>Indrawati Khola Hydropower Project</v>
      </c>
      <c r="C233" s="2">
        <f>IFERROR(__xludf.DUMMYFUNCTION("""COMPUTED_VALUE"""),13.3)</f>
        <v>13.3</v>
      </c>
      <c r="D233" s="2" t="str">
        <f>IFERROR(__xludf.DUMMYFUNCTION("""COMPUTED_VALUE"""),"Indrawati")</f>
        <v>Indrawati</v>
      </c>
      <c r="E233" s="2">
        <f>IFERROR(__xludf.DUMMYFUNCTION("""COMPUTED_VALUE"""),1532.0)</f>
        <v>1532</v>
      </c>
      <c r="F233" s="3">
        <f>IFERROR(__xludf.DUMMYFUNCTION("""COMPUTED_VALUE"""),66832.0)</f>
        <v>66832</v>
      </c>
      <c r="G233" s="3">
        <f>IFERROR(__xludf.DUMMYFUNCTION("""COMPUTED_VALUE"""),67562.0)</f>
        <v>67562</v>
      </c>
      <c r="H233" s="2" t="str">
        <f>IFERROR(__xludf.DUMMYFUNCTION("""COMPUTED_VALUE"""),"Prabhu Jalabiddhut Bikash (P) Ltd.")</f>
        <v>Prabhu Jalabiddhut Bikash (P) Ltd.</v>
      </c>
      <c r="I233" s="2" t="str">
        <f>IFERROR(__xludf.DUMMYFUNCTION("""COMPUTED_VALUE"""),"Baneshwor Kathmandu")</f>
        <v>Baneshwor Kathmandu</v>
      </c>
      <c r="J233" s="2" t="str">
        <f>IFERROR(__xludf.DUMMYFUNCTION("""COMPUTED_VALUE"""),"27o 55' 30""")</f>
        <v>27o 55' 30"</v>
      </c>
      <c r="K233" s="2" t="str">
        <f>IFERROR(__xludf.DUMMYFUNCTION("""COMPUTED_VALUE"""),"27o 57' 12""")</f>
        <v>27o 57' 12"</v>
      </c>
      <c r="L233" s="2" t="str">
        <f>IFERROR(__xludf.DUMMYFUNCTION("""COMPUTED_VALUE"""),"85o 37' 32""")</f>
        <v>85o 37' 32"</v>
      </c>
      <c r="M233" s="2" t="str">
        <f>IFERROR(__xludf.DUMMYFUNCTION("""COMPUTED_VALUE"""),"85o 39' 05""")</f>
        <v>85o 39' 05"</v>
      </c>
      <c r="N233" s="2" t="str">
        <f>IFERROR(__xludf.DUMMYFUNCTION("""COMPUTED_VALUE"""),"Baruwa,Thampal Dhap,Thanpalkot,Bhotang (Sindhupalchok)")</f>
        <v>Baruwa,Thampal Dhap,Thanpalkot,Bhotang (Sindhupalchok)</v>
      </c>
    </row>
    <row r="234">
      <c r="A234" s="2">
        <f>IFERROR(__xludf.DUMMYFUNCTION("""COMPUTED_VALUE"""),233.0)</f>
        <v>233</v>
      </c>
      <c r="B234" s="2" t="str">
        <f>IFERROR(__xludf.DUMMYFUNCTION("""COMPUTED_VALUE"""),"Tallo Myagdi Khola Hydropower Project")</f>
        <v>Tallo Myagdi Khola Hydropower Project</v>
      </c>
      <c r="C234" s="2">
        <f>IFERROR(__xludf.DUMMYFUNCTION("""COMPUTED_VALUE"""),26.75)</f>
        <v>26.75</v>
      </c>
      <c r="D234" s="2" t="str">
        <f>IFERROR(__xludf.DUMMYFUNCTION("""COMPUTED_VALUE"""),"Myagdi Khola")</f>
        <v>Myagdi Khola</v>
      </c>
      <c r="E234" s="2">
        <f>IFERROR(__xludf.DUMMYFUNCTION("""COMPUTED_VALUE"""),1533.0)</f>
        <v>1533</v>
      </c>
      <c r="F234" s="3">
        <f>IFERROR(__xludf.DUMMYFUNCTION("""COMPUTED_VALUE"""),66834.0)</f>
        <v>66834</v>
      </c>
      <c r="G234" s="3">
        <f>IFERROR(__xludf.DUMMYFUNCTION("""COMPUTED_VALUE"""),67564.0)</f>
        <v>67564</v>
      </c>
      <c r="H234" s="2" t="str">
        <f>IFERROR(__xludf.DUMMYFUNCTION("""COMPUTED_VALUE"""),"Durga Laxmi Energy Private Limited")</f>
        <v>Durga Laxmi Energy Private Limited</v>
      </c>
      <c r="I234" s="2" t="str">
        <f>IFERROR(__xludf.DUMMYFUNCTION("""COMPUTED_VALUE"""),"Tokha - 7, Dhapasi, Kathmandu")</f>
        <v>Tokha - 7, Dhapasi, Kathmandu</v>
      </c>
      <c r="J234" s="2" t="str">
        <f>IFERROR(__xludf.DUMMYFUNCTION("""COMPUTED_VALUE"""),"28o 22' 00""")</f>
        <v>28o 22' 00"</v>
      </c>
      <c r="K234" s="2" t="str">
        <f>IFERROR(__xludf.DUMMYFUNCTION("""COMPUTED_VALUE"""),"28o 24' 00""")</f>
        <v>28o 24' 00"</v>
      </c>
      <c r="L234" s="2" t="str">
        <f>IFERROR(__xludf.DUMMYFUNCTION("""COMPUTED_VALUE"""),"83o 26' 20""")</f>
        <v>83o 26' 20"</v>
      </c>
      <c r="M234" s="2" t="str">
        <f>IFERROR(__xludf.DUMMYFUNCTION("""COMPUTED_VALUE"""),"83o 30' 38""")</f>
        <v>83o 30' 38"</v>
      </c>
      <c r="N234" s="2" t="str">
        <f>IFERROR(__xludf.DUMMYFUNCTION("""COMPUTED_VALUE"""),"Arman,Baranja,Pulachaur,Babiyachaur (Myagdi)")</f>
        <v>Arman,Baranja,Pulachaur,Babiyachaur (Myagdi)</v>
      </c>
    </row>
    <row r="235">
      <c r="A235" s="2">
        <f>IFERROR(__xludf.DUMMYFUNCTION("""COMPUTED_VALUE"""),234.0)</f>
        <v>234</v>
      </c>
      <c r="B235" s="2" t="str">
        <f>IFERROR(__xludf.DUMMYFUNCTION("""COMPUTED_VALUE"""),"Rumchet Khola Hydropower Project")</f>
        <v>Rumchet Khola Hydropower Project</v>
      </c>
      <c r="C235" s="2">
        <f>IFERROR(__xludf.DUMMYFUNCTION("""COMPUTED_VALUE"""),8.6)</f>
        <v>8.6</v>
      </c>
      <c r="D235" s="2" t="str">
        <f>IFERROR(__xludf.DUMMYFUNCTION("""COMPUTED_VALUE"""),"Rumchet Khola")</f>
        <v>Rumchet Khola</v>
      </c>
      <c r="E235" s="2">
        <f>IFERROR(__xludf.DUMMYFUNCTION("""COMPUTED_VALUE"""),1534.0)</f>
        <v>1534</v>
      </c>
      <c r="F235" s="3">
        <f>IFERROR(__xludf.DUMMYFUNCTION("""COMPUTED_VALUE"""),66836.0)</f>
        <v>66836</v>
      </c>
      <c r="G235" s="3">
        <f>IFERROR(__xludf.DUMMYFUNCTION("""COMPUTED_VALUE"""),67566.0)</f>
        <v>67566</v>
      </c>
      <c r="H235" s="2" t="str">
        <f>IFERROR(__xludf.DUMMYFUNCTION("""COMPUTED_VALUE"""),"Devesh Power Company Private Limited")</f>
        <v>Devesh Power Company Private Limited</v>
      </c>
      <c r="I235" s="2" t="str">
        <f>IFERROR(__xludf.DUMMYFUNCTION("""COMPUTED_VALUE"""),"Chandol - 4, Kathmandu, Nepal")</f>
        <v>Chandol - 4, Kathmandu, Nepal</v>
      </c>
      <c r="J235" s="2" t="str">
        <f>IFERROR(__xludf.DUMMYFUNCTION("""COMPUTED_VALUE"""),"28o 14' 29""")</f>
        <v>28o 14' 29"</v>
      </c>
      <c r="K235" s="2" t="str">
        <f>IFERROR(__xludf.DUMMYFUNCTION("""COMPUTED_VALUE"""),"28o 15' 50""")</f>
        <v>28o 15' 50"</v>
      </c>
      <c r="L235" s="2" t="str">
        <f>IFERROR(__xludf.DUMMYFUNCTION("""COMPUTED_VALUE"""),"84o 53' 50""")</f>
        <v>84o 53' 50"</v>
      </c>
      <c r="M235" s="2" t="str">
        <f>IFERROR(__xludf.DUMMYFUNCTION("""COMPUTED_VALUE"""),"84o 55' 15""")</f>
        <v>84o 55' 15"</v>
      </c>
      <c r="N235" s="2" t="str">
        <f>IFERROR(__xludf.DUMMYFUNCTION("""COMPUTED_VALUE"""),"Kerauja (Gorkha)")</f>
        <v>Kerauja (Gorkha)</v>
      </c>
    </row>
    <row r="236">
      <c r="A236" s="2">
        <f>IFERROR(__xludf.DUMMYFUNCTION("""COMPUTED_VALUE"""),235.0)</f>
        <v>235</v>
      </c>
      <c r="B236" s="2" t="str">
        <f>IFERROR(__xludf.DUMMYFUNCTION("""COMPUTED_VALUE"""),"Middle Gad Khola Hydropower Project")</f>
        <v>Middle Gad Khola Hydropower Project</v>
      </c>
      <c r="C236" s="2">
        <f>IFERROR(__xludf.DUMMYFUNCTION("""COMPUTED_VALUE"""),4.0)</f>
        <v>4</v>
      </c>
      <c r="D236" s="2" t="str">
        <f>IFERROR(__xludf.DUMMYFUNCTION("""COMPUTED_VALUE"""),"Gad Khola")</f>
        <v>Gad Khola</v>
      </c>
      <c r="E236" s="2">
        <f>IFERROR(__xludf.DUMMYFUNCTION("""COMPUTED_VALUE"""),1535.0)</f>
        <v>1535</v>
      </c>
      <c r="F236" s="3">
        <f>IFERROR(__xludf.DUMMYFUNCTION("""COMPUTED_VALUE"""),66836.0)</f>
        <v>66836</v>
      </c>
      <c r="G236" s="3">
        <f>IFERROR(__xludf.DUMMYFUNCTION("""COMPUTED_VALUE"""),67566.0)</f>
        <v>67566</v>
      </c>
      <c r="H236" s="2" t="str">
        <f>IFERROR(__xludf.DUMMYFUNCTION("""COMPUTED_VALUE"""),"Nova Power Company Pvt. Ltd")</f>
        <v>Nova Power Company Pvt. Ltd</v>
      </c>
      <c r="I236" s="2" t="str">
        <f>IFERROR(__xludf.DUMMYFUNCTION("""COMPUTED_VALUE"""),"Kaldhara 16, Kathmandu")</f>
        <v>Kaldhara 16, Kathmandu</v>
      </c>
      <c r="J236" s="2" t="str">
        <f>IFERROR(__xludf.DUMMYFUNCTION("""COMPUTED_VALUE"""),"28o 52' 08""")</f>
        <v>28o 52' 08"</v>
      </c>
      <c r="K236" s="2" t="str">
        <f>IFERROR(__xludf.DUMMYFUNCTION("""COMPUTED_VALUE"""),"28o 53' 30""")</f>
        <v>28o 53' 30"</v>
      </c>
      <c r="L236" s="2" t="str">
        <f>IFERROR(__xludf.DUMMYFUNCTION("""COMPUTED_VALUE"""),"81o 56' 25""")</f>
        <v>81o 56' 25"</v>
      </c>
      <c r="M236" s="2" t="str">
        <f>IFERROR(__xludf.DUMMYFUNCTION("""COMPUTED_VALUE"""),"81o 57' 30""")</f>
        <v>81o 57' 30"</v>
      </c>
      <c r="N236" s="2" t="str">
        <f>IFERROR(__xludf.DUMMYFUNCTION("""COMPUTED_VALUE"""),"Dhime (Jajarkot)")</f>
        <v>Dhime (Jajarkot)</v>
      </c>
    </row>
    <row r="237">
      <c r="A237" s="2">
        <f>IFERROR(__xludf.DUMMYFUNCTION("""COMPUTED_VALUE"""),236.0)</f>
        <v>236</v>
      </c>
      <c r="B237" s="2" t="str">
        <f>IFERROR(__xludf.DUMMYFUNCTION("""COMPUTED_VALUE"""),"Maipa Khola Hydropower Project")</f>
        <v>Maipa Khola Hydropower Project</v>
      </c>
      <c r="C237" s="2">
        <f>IFERROR(__xludf.DUMMYFUNCTION("""COMPUTED_VALUE"""),4.65)</f>
        <v>4.65</v>
      </c>
      <c r="D237" s="2" t="str">
        <f>IFERROR(__xludf.DUMMYFUNCTION("""COMPUTED_VALUE"""),"Maipa Khola")</f>
        <v>Maipa Khola</v>
      </c>
      <c r="E237" s="2">
        <f>IFERROR(__xludf.DUMMYFUNCTION("""COMPUTED_VALUE"""),1536.0)</f>
        <v>1536</v>
      </c>
      <c r="F237" s="3">
        <f>IFERROR(__xludf.DUMMYFUNCTION("""COMPUTED_VALUE"""),66836.0)</f>
        <v>66836</v>
      </c>
      <c r="G237" s="3">
        <f>IFERROR(__xludf.DUMMYFUNCTION("""COMPUTED_VALUE"""),67566.0)</f>
        <v>67566</v>
      </c>
      <c r="H237" s="2" t="str">
        <f>IFERROR(__xludf.DUMMYFUNCTION("""COMPUTED_VALUE"""),"Crest prower Company pvt. Ltd")</f>
        <v>Crest prower Company pvt. Ltd</v>
      </c>
      <c r="I237" s="2" t="str">
        <f>IFERROR(__xludf.DUMMYFUNCTION("""COMPUTED_VALUE"""),"Kaldhara-16, Kathmandu")</f>
        <v>Kaldhara-16, Kathmandu</v>
      </c>
      <c r="J237" s="2" t="str">
        <f>IFERROR(__xludf.DUMMYFUNCTION("""COMPUTED_VALUE"""),"28o 51' 06""")</f>
        <v>28o 51' 06"</v>
      </c>
      <c r="K237" s="2" t="str">
        <f>IFERROR(__xludf.DUMMYFUNCTION("""COMPUTED_VALUE"""),"28o 52' 34""")</f>
        <v>28o 52' 34"</v>
      </c>
      <c r="L237" s="2" t="str">
        <f>IFERROR(__xludf.DUMMYFUNCTION("""COMPUTED_VALUE"""),"82o 00' 53""")</f>
        <v>82o 00' 53"</v>
      </c>
      <c r="M237" s="2" t="str">
        <f>IFERROR(__xludf.DUMMYFUNCTION("""COMPUTED_VALUE"""),"82o 02' 07""")</f>
        <v>82o 02' 07"</v>
      </c>
      <c r="N237" s="2" t="str">
        <f>IFERROR(__xludf.DUMMYFUNCTION("""COMPUTED_VALUE"""),"Dandagaun (Jajarkot)")</f>
        <v>Dandagaun (Jajarkot)</v>
      </c>
    </row>
    <row r="238">
      <c r="A238" s="2">
        <f>IFERROR(__xludf.DUMMYFUNCTION("""COMPUTED_VALUE"""),237.0)</f>
        <v>237</v>
      </c>
      <c r="B238" s="2" t="str">
        <f>IFERROR(__xludf.DUMMYFUNCTION("""COMPUTED_VALUE"""),"Rauli Khola huydropower Project")</f>
        <v>Rauli Khola huydropower Project</v>
      </c>
      <c r="C238" s="2">
        <f>IFERROR(__xludf.DUMMYFUNCTION("""COMPUTED_VALUE"""),7.4)</f>
        <v>7.4</v>
      </c>
      <c r="D238" s="2" t="str">
        <f>IFERROR(__xludf.DUMMYFUNCTION("""COMPUTED_VALUE"""),"Rauli River")</f>
        <v>Rauli River</v>
      </c>
      <c r="E238" s="2">
        <f>IFERROR(__xludf.DUMMYFUNCTION("""COMPUTED_VALUE"""),1537.0)</f>
        <v>1537</v>
      </c>
      <c r="F238" s="3">
        <f>IFERROR(__xludf.DUMMYFUNCTION("""COMPUTED_VALUE"""),66836.0)</f>
        <v>66836</v>
      </c>
      <c r="G238" s="3">
        <f>IFERROR(__xludf.DUMMYFUNCTION("""COMPUTED_VALUE"""),67566.0)</f>
        <v>67566</v>
      </c>
      <c r="H238" s="2" t="str">
        <f>IFERROR(__xludf.DUMMYFUNCTION("""COMPUTED_VALUE"""),"Binaya Sharma")</f>
        <v>Binaya Sharma</v>
      </c>
      <c r="I238" s="2" t="str">
        <f>IFERROR(__xludf.DUMMYFUNCTION("""COMPUTED_VALUE"""),"Bansgadhi-5, Bardiya")</f>
        <v>Bansgadhi-5, Bardiya</v>
      </c>
      <c r="J238" s="2" t="str">
        <f>IFERROR(__xludf.DUMMYFUNCTION("""COMPUTED_VALUE"""),"29o 43' 18""")</f>
        <v>29o 43' 18"</v>
      </c>
      <c r="K238" s="2" t="str">
        <f>IFERROR(__xludf.DUMMYFUNCTION("""COMPUTED_VALUE"""),"29o 44' 46""")</f>
        <v>29o 44' 46"</v>
      </c>
      <c r="L238" s="2" t="str">
        <f>IFERROR(__xludf.DUMMYFUNCTION("""COMPUTED_VALUE"""),"82o 03' 20""")</f>
        <v>82o 03' 20"</v>
      </c>
      <c r="M238" s="2" t="str">
        <f>IFERROR(__xludf.DUMMYFUNCTION("""COMPUTED_VALUE"""),"82o 04' 20""")</f>
        <v>82o 04' 20"</v>
      </c>
      <c r="N238" s="2" t="str">
        <f>IFERROR(__xludf.DUMMYFUNCTION("""COMPUTED_VALUE"""),"Shree Nagar (Humla) Gumtha (Mugu)")</f>
        <v>Shree Nagar (Humla) Gumtha (Mugu)</v>
      </c>
    </row>
    <row r="239">
      <c r="A239" s="2">
        <f>IFERROR(__xludf.DUMMYFUNCTION("""COMPUTED_VALUE"""),238.0)</f>
        <v>238</v>
      </c>
      <c r="B239" s="2" t="str">
        <f>IFERROR(__xludf.DUMMYFUNCTION("""COMPUTED_VALUE"""),"Upper Kailash Khola Hydropower Project")</f>
        <v>Upper Kailash Khola Hydropower Project</v>
      </c>
      <c r="C239" s="2">
        <f>IFERROR(__xludf.DUMMYFUNCTION("""COMPUTED_VALUE"""),4.81)</f>
        <v>4.81</v>
      </c>
      <c r="D239" s="2" t="str">
        <f>IFERROR(__xludf.DUMMYFUNCTION("""COMPUTED_VALUE"""),"Kailash Khola")</f>
        <v>Kailash Khola</v>
      </c>
      <c r="E239" s="2">
        <f>IFERROR(__xludf.DUMMYFUNCTION("""COMPUTED_VALUE"""),1538.0)</f>
        <v>1538</v>
      </c>
      <c r="F239" s="3">
        <f>IFERROR(__xludf.DUMMYFUNCTION("""COMPUTED_VALUE"""),66840.0)</f>
        <v>66840</v>
      </c>
      <c r="G239" s="3">
        <f>IFERROR(__xludf.DUMMYFUNCTION("""COMPUTED_VALUE"""),67570.0)</f>
        <v>67570</v>
      </c>
      <c r="H239" s="2" t="str">
        <f>IFERROR(__xludf.DUMMYFUNCTION("""COMPUTED_VALUE"""),"N. R. N. Globel Energy (pvt.) Ltd.")</f>
        <v>N. R. N. Globel Energy (pvt.) Ltd.</v>
      </c>
      <c r="I239" s="2" t="str">
        <f>IFERROR(__xludf.DUMMYFUNCTION("""COMPUTED_VALUE"""),"Kathmandu-3, Lazimpat")</f>
        <v>Kathmandu-3, Lazimpat</v>
      </c>
      <c r="J239" s="2" t="str">
        <f>IFERROR(__xludf.DUMMYFUNCTION("""COMPUTED_VALUE"""),"29o 09' 38""")</f>
        <v>29o 09' 38"</v>
      </c>
      <c r="K239" s="2" t="str">
        <f>IFERROR(__xludf.DUMMYFUNCTION("""COMPUTED_VALUE"""),"29o 10' 15""")</f>
        <v>29o 10' 15"</v>
      </c>
      <c r="L239" s="2" t="str">
        <f>IFERROR(__xludf.DUMMYFUNCTION("""COMPUTED_VALUE"""),"81o 20' 40""")</f>
        <v>81o 20' 40"</v>
      </c>
      <c r="M239" s="2" t="str">
        <f>IFERROR(__xludf.DUMMYFUNCTION("""COMPUTED_VALUE"""),"81o 22' 30""")</f>
        <v>81o 22' 30"</v>
      </c>
      <c r="N239" s="2" t="str">
        <f>IFERROR(__xludf.DUMMYFUNCTION("""COMPUTED_VALUE"""),"Babala (Achham)")</f>
        <v>Babala (Achham)</v>
      </c>
    </row>
    <row r="240">
      <c r="A240" s="2">
        <f>IFERROR(__xludf.DUMMYFUNCTION("""COMPUTED_VALUE"""),239.0)</f>
        <v>239</v>
      </c>
      <c r="B240" s="2" t="str">
        <f>IFERROR(__xludf.DUMMYFUNCTION("""COMPUTED_VALUE"""),"Dudhkoshi - 4 Hydropower Project")</f>
        <v>Dudhkoshi - 4 Hydropower Project</v>
      </c>
      <c r="C240" s="2">
        <f>IFERROR(__xludf.DUMMYFUNCTION("""COMPUTED_VALUE"""),47.0)</f>
        <v>47</v>
      </c>
      <c r="D240" s="2" t="str">
        <f>IFERROR(__xludf.DUMMYFUNCTION("""COMPUTED_VALUE"""),"Dudhkoshi")</f>
        <v>Dudhkoshi</v>
      </c>
      <c r="E240" s="2">
        <f>IFERROR(__xludf.DUMMYFUNCTION("""COMPUTED_VALUE"""),1540.0)</f>
        <v>1540</v>
      </c>
      <c r="F240" s="3">
        <f>IFERROR(__xludf.DUMMYFUNCTION("""COMPUTED_VALUE"""),66850.0)</f>
        <v>66850</v>
      </c>
      <c r="G240" s="3">
        <f>IFERROR(__xludf.DUMMYFUNCTION("""COMPUTED_VALUE"""),67580.0)</f>
        <v>67580</v>
      </c>
      <c r="H240" s="2" t="str">
        <f>IFERROR(__xludf.DUMMYFUNCTION("""COMPUTED_VALUE"""),"Tamor Vyoma Hydro Private Limited")</f>
        <v>Tamor Vyoma Hydro Private Limited</v>
      </c>
      <c r="I240" s="2" t="str">
        <f>IFERROR(__xludf.DUMMYFUNCTION("""COMPUTED_VALUE"""),"Maharajgunj, Kathmandu, Nepal")</f>
        <v>Maharajgunj, Kathmandu, Nepal</v>
      </c>
      <c r="J240" s="2" t="str">
        <f>IFERROR(__xludf.DUMMYFUNCTION("""COMPUTED_VALUE"""),"27o 27' 00""")</f>
        <v>27o 27' 00"</v>
      </c>
      <c r="K240" s="2" t="str">
        <f>IFERROR(__xludf.DUMMYFUNCTION("""COMPUTED_VALUE"""),"27o 29' 46""")</f>
        <v>27o 29' 46"</v>
      </c>
      <c r="L240" s="2" t="str">
        <f>IFERROR(__xludf.DUMMYFUNCTION("""COMPUTED_VALUE"""),"86o 41' 00""")</f>
        <v>86o 41' 00"</v>
      </c>
      <c r="M240" s="2" t="str">
        <f>IFERROR(__xludf.DUMMYFUNCTION("""COMPUTED_VALUE"""),"86o 44' 20""")</f>
        <v>86o 44' 20"</v>
      </c>
      <c r="N240" s="2" t="str">
        <f>IFERROR(__xludf.DUMMYFUNCTION("""COMPUTED_VALUE"""),"Deusa,Baku,Mabe(Pawai),Lokhim,Kaku (Solukhumbu)")</f>
        <v>Deusa,Baku,Mabe(Pawai),Lokhim,Kaku (Solukhumbu)</v>
      </c>
    </row>
    <row r="241">
      <c r="A241" s="2">
        <f>IFERROR(__xludf.DUMMYFUNCTION("""COMPUTED_VALUE"""),240.0)</f>
        <v>240</v>
      </c>
      <c r="B241" s="2" t="str">
        <f>IFERROR(__xludf.DUMMYFUNCTION("""COMPUTED_VALUE"""),"Kaligandaki Upper Hydropower Project")</f>
        <v>Kaligandaki Upper Hydropower Project</v>
      </c>
      <c r="C241" s="2">
        <f>IFERROR(__xludf.DUMMYFUNCTION("""COMPUTED_VALUE"""),65.0)</f>
        <v>65</v>
      </c>
      <c r="D241" s="2" t="str">
        <f>IFERROR(__xludf.DUMMYFUNCTION("""COMPUTED_VALUE"""),"Kali Gandaki")</f>
        <v>Kali Gandaki</v>
      </c>
      <c r="E241" s="2">
        <f>IFERROR(__xludf.DUMMYFUNCTION("""COMPUTED_VALUE"""),1541.0)</f>
        <v>1541</v>
      </c>
      <c r="F241" s="3">
        <f>IFERROR(__xludf.DUMMYFUNCTION("""COMPUTED_VALUE"""),66865.0)</f>
        <v>66865</v>
      </c>
      <c r="G241" s="3">
        <f>IFERROR(__xludf.DUMMYFUNCTION("""COMPUTED_VALUE"""),67595.0)</f>
        <v>67595</v>
      </c>
      <c r="H241" s="2" t="str">
        <f>IFERROR(__xludf.DUMMYFUNCTION("""COMPUTED_VALUE"""),"Kaligandaki Upper Hydropower Company Private Limited")</f>
        <v>Kaligandaki Upper Hydropower Company Private Limited</v>
      </c>
      <c r="I241" s="2" t="str">
        <f>IFERROR(__xludf.DUMMYFUNCTION("""COMPUTED_VALUE"""),"Kamaladi - 1, Kathmandu, Nepal")</f>
        <v>Kamaladi - 1, Kathmandu, Nepal</v>
      </c>
      <c r="J241" s="2" t="str">
        <f>IFERROR(__xludf.DUMMYFUNCTION("""COMPUTED_VALUE"""),"28o 22' 31""")</f>
        <v>28o 22' 31"</v>
      </c>
      <c r="K241" s="2" t="str">
        <f>IFERROR(__xludf.DUMMYFUNCTION("""COMPUTED_VALUE"""),"28o 26' 03""")</f>
        <v>28o 26' 03"</v>
      </c>
      <c r="L241" s="2" t="str">
        <f>IFERROR(__xludf.DUMMYFUNCTION("""COMPUTED_VALUE"""),"83o 34' 49""")</f>
        <v>83o 34' 49"</v>
      </c>
      <c r="M241" s="2" t="str">
        <f>IFERROR(__xludf.DUMMYFUNCTION("""COMPUTED_VALUE"""),"83o 36' 23""")</f>
        <v>83o 36' 23"</v>
      </c>
      <c r="N241" s="2" t="str">
        <f>IFERROR(__xludf.DUMMYFUNCTION("""COMPUTED_VALUE"""),"Ranche,Rakhu Bhagawati,Histan Mandali,Begkhola (Myagdi)")</f>
        <v>Ranche,Rakhu Bhagawati,Histan Mandali,Begkhola (Myagdi)</v>
      </c>
    </row>
    <row r="242">
      <c r="A242" s="2">
        <f>IFERROR(__xludf.DUMMYFUNCTION("""COMPUTED_VALUE"""),241.0)</f>
        <v>241</v>
      </c>
      <c r="B242" s="2" t="str">
        <f>IFERROR(__xludf.DUMMYFUNCTION("""COMPUTED_VALUE"""),"Loti Karnali Hydropower Project")</f>
        <v>Loti Karnali Hydropower Project</v>
      </c>
      <c r="C242" s="2">
        <f>IFERROR(__xludf.DUMMYFUNCTION("""COMPUTED_VALUE"""),49.5)</f>
        <v>49.5</v>
      </c>
      <c r="D242" s="2" t="str">
        <f>IFERROR(__xludf.DUMMYFUNCTION("""COMPUTED_VALUE"""),"Loti Karnali")</f>
        <v>Loti Karnali</v>
      </c>
      <c r="E242" s="2">
        <f>IFERROR(__xludf.DUMMYFUNCTION("""COMPUTED_VALUE"""),1542.0)</f>
        <v>1542</v>
      </c>
      <c r="F242" s="3">
        <f>IFERROR(__xludf.DUMMYFUNCTION("""COMPUTED_VALUE"""),66880.0)</f>
        <v>66880</v>
      </c>
      <c r="G242" s="3">
        <f>IFERROR(__xludf.DUMMYFUNCTION("""COMPUTED_VALUE"""),67610.0)</f>
        <v>67610</v>
      </c>
      <c r="H242" s="2" t="str">
        <f>IFERROR(__xludf.DUMMYFUNCTION("""COMPUTED_VALUE"""),"Loti Karnali Hydropower Pvt. ltd")</f>
        <v>Loti Karnali Hydropower Pvt. ltd</v>
      </c>
      <c r="I242" s="2" t="str">
        <f>IFERROR(__xludf.DUMMYFUNCTION("""COMPUTED_VALUE"""),"Tahachal-13, Kathmandu")</f>
        <v>Tahachal-13, Kathmandu</v>
      </c>
      <c r="J242" s="2" t="str">
        <f>IFERROR(__xludf.DUMMYFUNCTION("""COMPUTED_VALUE"""),"29o 44' 30""")</f>
        <v>29o 44' 30"</v>
      </c>
      <c r="K242" s="2" t="str">
        <f>IFERROR(__xludf.DUMMYFUNCTION("""COMPUTED_VALUE"""),"29o 49' 13""")</f>
        <v>29o 49' 13"</v>
      </c>
      <c r="L242" s="2" t="str">
        <f>IFERROR(__xludf.DUMMYFUNCTION("""COMPUTED_VALUE"""),"82o 03' 18""")</f>
        <v>82o 03' 18"</v>
      </c>
      <c r="M242" s="2" t="str">
        <f>IFERROR(__xludf.DUMMYFUNCTION("""COMPUTED_VALUE"""),"82o 05' 36""")</f>
        <v>82o 05' 36"</v>
      </c>
      <c r="N242" s="2" t="str">
        <f>IFERROR(__xludf.DUMMYFUNCTION("""COMPUTED_VALUE"""),"Jaur (Humla)")</f>
        <v>Jaur (Humla)</v>
      </c>
    </row>
    <row r="243">
      <c r="A243" s="2">
        <f>IFERROR(__xludf.DUMMYFUNCTION("""COMPUTED_VALUE"""),242.0)</f>
        <v>242</v>
      </c>
      <c r="B243" s="2" t="str">
        <f>IFERROR(__xludf.DUMMYFUNCTION("""COMPUTED_VALUE"""),"Budhi Gandaki Storage Hydropower Project")</f>
        <v>Budhi Gandaki Storage Hydropower Project</v>
      </c>
      <c r="C243" s="2">
        <f>IFERROR(__xludf.DUMMYFUNCTION("""COMPUTED_VALUE"""),1200.0)</f>
        <v>1200</v>
      </c>
      <c r="D243" s="2" t="str">
        <f>IFERROR(__xludf.DUMMYFUNCTION("""COMPUTED_VALUE"""),"Budhi Gandaki")</f>
        <v>Budhi Gandaki</v>
      </c>
      <c r="E243" s="2">
        <f>IFERROR(__xludf.DUMMYFUNCTION("""COMPUTED_VALUE"""),1545.0)</f>
        <v>1545</v>
      </c>
      <c r="F243" s="3">
        <f>IFERROR(__xludf.DUMMYFUNCTION("""COMPUTED_VALUE"""),66884.0)</f>
        <v>66884</v>
      </c>
      <c r="G243" s="3">
        <f>IFERROR(__xludf.DUMMYFUNCTION("""COMPUTED_VALUE"""),67614.0)</f>
        <v>67614</v>
      </c>
      <c r="H243" s="2" t="str">
        <f>IFERROR(__xludf.DUMMYFUNCTION("""COMPUTED_VALUE"""),"Budhigandaki Jalbidhyut Company Limited")</f>
        <v>Budhigandaki Jalbidhyut Company Limited</v>
      </c>
      <c r="I243" s="2" t="str">
        <f>IFERROR(__xludf.DUMMYFUNCTION("""COMPUTED_VALUE"""),"Kathmandu, Nepal")</f>
        <v>Kathmandu, Nepal</v>
      </c>
      <c r="J243" s="2" t="str">
        <f>IFERROR(__xludf.DUMMYFUNCTION("""COMPUTED_VALUE"""),"27o 48' 30""")</f>
        <v>27o 48' 30"</v>
      </c>
      <c r="K243" s="2" t="str">
        <f>IFERROR(__xludf.DUMMYFUNCTION("""COMPUTED_VALUE"""),"28o 07' 30""")</f>
        <v>28o 07' 30"</v>
      </c>
      <c r="L243" s="2" t="str">
        <f>IFERROR(__xludf.DUMMYFUNCTION("""COMPUTED_VALUE"""),"84o 41' 30""")</f>
        <v>84o 41' 30"</v>
      </c>
      <c r="M243" s="2" t="str">
        <f>IFERROR(__xludf.DUMMYFUNCTION("""COMPUTED_VALUE"""),"84o 56' 00""")</f>
        <v>84o 56' 00"</v>
      </c>
      <c r="N243" s="2" t="str">
        <f>IFERROR(__xludf.DUMMYFUNCTION("""COMPUTED_VALUE"""),"Khari,Nalang,Sunaula Bazar,Kumpur,Sangkosh,Murali 
Bhanjyang,Salyantar,Salyankot,Aginchok (Dhading) 
Tandrang,Namjung,Darbhung,Borlang,Tanglichok,Aarupokhari (Gorkha)")</f>
        <v>Khari,Nalang,Sunaula Bazar,Kumpur,Sangkosh,Murali 
Bhanjyang,Salyantar,Salyankot,Aginchok (Dhading) 
Tandrang,Namjung,Darbhung,Borlang,Tanglichok,Aarupokhari (Gorkha)</v>
      </c>
    </row>
    <row r="244">
      <c r="A244" s="2">
        <f>IFERROR(__xludf.DUMMYFUNCTION("""COMPUTED_VALUE"""),243.0)</f>
        <v>243</v>
      </c>
      <c r="B244" s="2" t="str">
        <f>IFERROR(__xludf.DUMMYFUNCTION("""COMPUTED_VALUE"""),"Lower Hongu Hydropower Project")</f>
        <v>Lower Hongu Hydropower Project</v>
      </c>
      <c r="C244" s="2">
        <f>IFERROR(__xludf.DUMMYFUNCTION("""COMPUTED_VALUE"""),30.2)</f>
        <v>30.2</v>
      </c>
      <c r="D244" s="2" t="str">
        <f>IFERROR(__xludf.DUMMYFUNCTION("""COMPUTED_VALUE"""),"Hongu Khola")</f>
        <v>Hongu Khola</v>
      </c>
      <c r="E244" s="2">
        <f>IFERROR(__xludf.DUMMYFUNCTION("""COMPUTED_VALUE"""),1543.0)</f>
        <v>1543</v>
      </c>
      <c r="F244" s="3">
        <f>IFERROR(__xludf.DUMMYFUNCTION("""COMPUTED_VALUE"""),66885.0)</f>
        <v>66885</v>
      </c>
      <c r="G244" s="3">
        <f>IFERROR(__xludf.DUMMYFUNCTION("""COMPUTED_VALUE"""),67615.0)</f>
        <v>67615</v>
      </c>
      <c r="H244" s="2" t="str">
        <f>IFERROR(__xludf.DUMMYFUNCTION("""COMPUTED_VALUE"""),"Mountain Rivanta Hydropower Private Limited")</f>
        <v>Mountain Rivanta Hydropower Private Limited</v>
      </c>
      <c r="I244" s="2" t="str">
        <f>IFERROR(__xludf.DUMMYFUNCTION("""COMPUTED_VALUE"""),"Maharajgunj, Ward No. :3, Kathmandu")</f>
        <v>Maharajgunj, Ward No. :3, Kathmandu</v>
      </c>
      <c r="J244" s="2" t="str">
        <f>IFERROR(__xludf.DUMMYFUNCTION("""COMPUTED_VALUE"""),"27o 27' 00""")</f>
        <v>27o 27' 00"</v>
      </c>
      <c r="K244" s="2" t="str">
        <f>IFERROR(__xludf.DUMMYFUNCTION("""COMPUTED_VALUE"""),"27o 28' 30""")</f>
        <v>27o 28' 30"</v>
      </c>
      <c r="L244" s="2" t="str">
        <f>IFERROR(__xludf.DUMMYFUNCTION("""COMPUTED_VALUE"""),"86o 43' 45""")</f>
        <v>86o 43' 45"</v>
      </c>
      <c r="M244" s="2" t="str">
        <f>IFERROR(__xludf.DUMMYFUNCTION("""COMPUTED_VALUE"""),"86o 46' 00""")</f>
        <v>86o 46' 00"</v>
      </c>
      <c r="N244" s="2" t="str">
        <f>IFERROR(__xludf.DUMMYFUNCTION("""COMPUTED_VALUE"""),"Mabe(Pawai),Lokhim,Sautang (Solukhumbu)")</f>
        <v>Mabe(Pawai),Lokhim,Sautang (Solukhumbu)</v>
      </c>
    </row>
    <row r="245">
      <c r="A245" s="2">
        <f>IFERROR(__xludf.DUMMYFUNCTION("""COMPUTED_VALUE"""),244.0)</f>
        <v>244</v>
      </c>
      <c r="B245" s="2" t="str">
        <f>IFERROR(__xludf.DUMMYFUNCTION("""COMPUTED_VALUE"""),"Maiwa Khola Hydropower Project")</f>
        <v>Maiwa Khola Hydropower Project</v>
      </c>
      <c r="C245" s="2">
        <f>IFERROR(__xludf.DUMMYFUNCTION("""COMPUTED_VALUE"""),12.504)</f>
        <v>12.504</v>
      </c>
      <c r="D245" s="2" t="str">
        <f>IFERROR(__xludf.DUMMYFUNCTION("""COMPUTED_VALUE"""),"Maiwa khola")</f>
        <v>Maiwa khola</v>
      </c>
      <c r="E245" s="2">
        <f>IFERROR(__xludf.DUMMYFUNCTION("""COMPUTED_VALUE"""),1544.0)</f>
        <v>1544</v>
      </c>
      <c r="F245" s="3">
        <f>IFERROR(__xludf.DUMMYFUNCTION("""COMPUTED_VALUE"""),66891.0)</f>
        <v>66891</v>
      </c>
      <c r="G245" s="3">
        <f>IFERROR(__xludf.DUMMYFUNCTION("""COMPUTED_VALUE"""),67621.0)</f>
        <v>67621</v>
      </c>
      <c r="H245" s="2" t="str">
        <f>IFERROR(__xludf.DUMMYFUNCTION("""COMPUTED_VALUE"""),"Ridge Line Energy Limited")</f>
        <v>Ridge Line Energy Limited</v>
      </c>
      <c r="I245" s="2" t="str">
        <f>IFERROR(__xludf.DUMMYFUNCTION("""COMPUTED_VALUE"""),"Kupandol, Lalitpur, C.N. 01-5900114")</f>
        <v>Kupandol, Lalitpur, C.N. 01-5900114</v>
      </c>
      <c r="J245" s="2" t="str">
        <f>IFERROR(__xludf.DUMMYFUNCTION("""COMPUTED_VALUE"""),"27o 21' 00""")</f>
        <v>27o 21' 00"</v>
      </c>
      <c r="K245" s="2" t="str">
        <f>IFERROR(__xludf.DUMMYFUNCTION("""COMPUTED_VALUE"""),"27o 22' 37""")</f>
        <v>27o 22' 37"</v>
      </c>
      <c r="L245" s="2" t="str">
        <f>IFERROR(__xludf.DUMMYFUNCTION("""COMPUTED_VALUE"""),"87o 33' 58""")</f>
        <v>87o 33' 58"</v>
      </c>
      <c r="M245" s="2" t="str">
        <f>IFERROR(__xludf.DUMMYFUNCTION("""COMPUTED_VALUE"""),"87o 37' 37""")</f>
        <v>87o 37' 37"</v>
      </c>
      <c r="N245" s="2" t="str">
        <f>IFERROR(__xludf.DUMMYFUNCTION("""COMPUTED_VALUE"""),"Khamlung,Santhakra,Thinglabu,Phungling,Dhungesaghu (Taplejung)")</f>
        <v>Khamlung,Santhakra,Thinglabu,Phungling,Dhungesaghu (Taplejung)</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 t="str">
        <f>IFERROR(__xludf.DUMMYFUNCTION("IMPORTHTML(""https://www.doed.gov.np/pages/slthermal/"",""table"",1)"),"#N/A")</f>
        <v>#N/A</v>
      </c>
      <c r="B1" s="1"/>
      <c r="C1" s="1"/>
      <c r="D1" s="1"/>
      <c r="E1" s="1"/>
      <c r="F1" s="1"/>
      <c r="G1" s="1"/>
      <c r="H1" s="1"/>
      <c r="I1" s="1"/>
      <c r="J1" s="1"/>
      <c r="K1" s="1"/>
      <c r="L1" s="1"/>
      <c r="M1" s="1"/>
      <c r="N1" s="1"/>
      <c r="O1" s="1"/>
      <c r="P1" s="1"/>
      <c r="Q1" s="1"/>
      <c r="R1" s="1"/>
      <c r="S1" s="1"/>
      <c r="T1" s="1"/>
      <c r="U1" s="1"/>
      <c r="V1" s="1"/>
      <c r="W1" s="1"/>
      <c r="X1" s="1"/>
      <c r="Y1" s="1"/>
      <c r="Z1"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 t="str">
        <f>IFERROR(__xludf.DUMMYFUNCTION("IMPORTHTML(""https://www.doed.gov.np/pages/slsolar/"",""table"",1)"),"S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row r="2">
      <c r="A2" s="2">
        <f>IFERROR(__xludf.DUMMYFUNCTION("""COMPUTED_VALUE"""),1.0)</f>
        <v>1</v>
      </c>
      <c r="B2" s="2" t="str">
        <f>IFERROR(__xludf.DUMMYFUNCTION("""COMPUTED_VALUE"""),"Dhap Solar Project")</f>
        <v>Dhap Solar Project</v>
      </c>
      <c r="C2" s="2">
        <f>IFERROR(__xludf.DUMMYFUNCTION("""COMPUTED_VALUE"""),0.999)</f>
        <v>0.999</v>
      </c>
      <c r="D2" s="2"/>
      <c r="E2" s="2" t="str">
        <f>IFERROR(__xludf.DUMMYFUNCTION("""COMPUTED_VALUE"""),"0000-00-00")</f>
        <v>0000-00-00</v>
      </c>
      <c r="F2" s="2" t="str">
        <f>IFERROR(__xludf.DUMMYFUNCTION("""COMPUTED_VALUE"""),"0000-00-00")</f>
        <v>0000-00-00</v>
      </c>
      <c r="G2" s="2" t="str">
        <f>IFERROR(__xludf.DUMMYFUNCTION("""COMPUTED_VALUE"""),"Asian Infra and Energy company Pvt. Ltd")</f>
        <v>Asian Infra and Energy company Pvt. Ltd</v>
      </c>
      <c r="H2" s="2" t="str">
        <f>IFERROR(__xludf.DUMMYFUNCTION("""COMPUTED_VALUE"""),"Nagarjun-04, Kathmandu")</f>
        <v>Nagarjun-04, Kathmandu</v>
      </c>
      <c r="I2" s="2" t="str">
        <f>IFERROR(__xludf.DUMMYFUNCTION("""COMPUTED_VALUE"""),"29o 47' 25""")</f>
        <v>29o 47' 25"</v>
      </c>
      <c r="J2" s="2" t="str">
        <f>IFERROR(__xludf.DUMMYFUNCTION("""COMPUTED_VALUE"""),"29o 47' 30""")</f>
        <v>29o 47' 30"</v>
      </c>
      <c r="K2" s="2" t="str">
        <f>IFERROR(__xludf.DUMMYFUNCTION("""COMPUTED_VALUE"""),"80o 29' 46""")</f>
        <v>80o 29' 46"</v>
      </c>
      <c r="L2" s="2" t="str">
        <f>IFERROR(__xludf.DUMMYFUNCTION("""COMPUTED_VALUE"""),"80o 29' 52""")</f>
        <v>80o 29' 52"</v>
      </c>
      <c r="M2" s="2"/>
    </row>
    <row r="3">
      <c r="A3" s="2">
        <f>IFERROR(__xludf.DUMMYFUNCTION("""COMPUTED_VALUE"""),2.0)</f>
        <v>2</v>
      </c>
      <c r="B3" s="2" t="str">
        <f>IFERROR(__xludf.DUMMYFUNCTION("""COMPUTED_VALUE"""),"Juropani Saurya Urja Pariyojana")</f>
        <v>Juropani Saurya Urja Pariyojana</v>
      </c>
      <c r="C3" s="2">
        <f>IFERROR(__xludf.DUMMYFUNCTION("""COMPUTED_VALUE"""),1.0)</f>
        <v>1</v>
      </c>
      <c r="D3" s="2" t="str">
        <f>IFERROR(__xludf.DUMMYFUNCTION("""COMPUTED_VALUE"""),"NA")</f>
        <v>NA</v>
      </c>
      <c r="E3" s="2" t="str">
        <f>IFERROR(__xludf.DUMMYFUNCTION("""COMPUTED_VALUE"""),"0000-00-00")</f>
        <v>0000-00-00</v>
      </c>
      <c r="F3" s="2" t="str">
        <f>IFERROR(__xludf.DUMMYFUNCTION("""COMPUTED_VALUE"""),"0000-00-00")</f>
        <v>0000-00-00</v>
      </c>
      <c r="G3" s="2" t="str">
        <f>IFERROR(__xludf.DUMMYFUNCTION("""COMPUTED_VALUE"""),"Gauradaha Nagarpalika, Nagar Karyapalikako Karyalaya (Promoter: Kankai 
Energy Pvt. Ltd.)")</f>
        <v>Gauradaha Nagarpalika, Nagar Karyapalikako Karyalaya (Promoter: Kankai 
Energy Pvt. Ltd.)</v>
      </c>
      <c r="H3" s="2" t="str">
        <f>IFERROR(__xludf.DUMMYFUNCTION("""COMPUTED_VALUE"""),"Gauradaha, Jhapa")</f>
        <v>Gauradaha, Jhapa</v>
      </c>
      <c r="I3" s="2" t="str">
        <f>IFERROR(__xludf.DUMMYFUNCTION("""COMPUTED_VALUE"""),"26o 31' 01""")</f>
        <v>26o 31' 01"</v>
      </c>
      <c r="J3" s="2" t="str">
        <f>IFERROR(__xludf.DUMMYFUNCTION("""COMPUTED_VALUE"""),"26o 31' 05""")</f>
        <v>26o 31' 05"</v>
      </c>
      <c r="K3" s="2" t="str">
        <f>IFERROR(__xludf.DUMMYFUNCTION("""COMPUTED_VALUE"""),"87o 43' 33""")</f>
        <v>87o 43' 33"</v>
      </c>
      <c r="L3" s="2" t="str">
        <f>IFERROR(__xludf.DUMMYFUNCTION("""COMPUTED_VALUE"""),"87o 43' 39""")</f>
        <v>87o 43' 39"</v>
      </c>
      <c r="M3" s="2"/>
    </row>
    <row r="4">
      <c r="A4" s="2">
        <f>IFERROR(__xludf.DUMMYFUNCTION("""COMPUTED_VALUE"""),3.0)</f>
        <v>3</v>
      </c>
      <c r="B4" s="2" t="str">
        <f>IFERROR(__xludf.DUMMYFUNCTION("""COMPUTED_VALUE"""),"Ridi Solar PV Project")</f>
        <v>Ridi Solar PV Project</v>
      </c>
      <c r="C4" s="2">
        <f>IFERROR(__xludf.DUMMYFUNCTION("""COMPUTED_VALUE"""),0.99)</f>
        <v>0.99</v>
      </c>
      <c r="D4" s="2"/>
      <c r="E4" s="3">
        <f>IFERROR(__xludf.DUMMYFUNCTION("""COMPUTED_VALUE"""),63731.0)</f>
        <v>63731</v>
      </c>
      <c r="F4" s="3">
        <f>IFERROR(__xludf.DUMMYFUNCTION("""COMPUTED_VALUE"""),64461.0)</f>
        <v>64461</v>
      </c>
      <c r="G4" s="2" t="str">
        <f>IFERROR(__xludf.DUMMYFUNCTION("""COMPUTED_VALUE"""),"Ridi Hydropower Development Company Limited")</f>
        <v>Ridi Hydropower Development Company Limited</v>
      </c>
      <c r="H4" s="2" t="str">
        <f>IFERROR(__xludf.DUMMYFUNCTION("""COMPUTED_VALUE"""),"Thapathali-11, Kathmandu 01-5111015/16,")</f>
        <v>Thapathali-11, Kathmandu 01-5111015/16,</v>
      </c>
      <c r="I4" s="2" t="str">
        <f>IFERROR(__xludf.DUMMYFUNCTION("""COMPUTED_VALUE"""),"27o 56' 20""")</f>
        <v>27o 56' 20"</v>
      </c>
      <c r="J4" s="2" t="str">
        <f>IFERROR(__xludf.DUMMYFUNCTION("""COMPUTED_VALUE"""),"27o 56' 21""")</f>
        <v>27o 56' 21"</v>
      </c>
      <c r="K4" s="2" t="str">
        <f>IFERROR(__xludf.DUMMYFUNCTION("""COMPUTED_VALUE"""),"83o 24' 49""")</f>
        <v>83o 24' 49"</v>
      </c>
      <c r="L4" s="2" t="str">
        <f>IFERROR(__xludf.DUMMYFUNCTION("""COMPUTED_VALUE"""),"83o 24' 53""")</f>
        <v>83o 24' 53"</v>
      </c>
      <c r="M4" s="2" t="str">
        <f>IFERROR(__xludf.DUMMYFUNCTION("""COMPUTED_VALUE"""),"Ruru (Gulmi)")</f>
        <v>Ruru (Gulmi)</v>
      </c>
    </row>
    <row r="5">
      <c r="A5" s="2">
        <f>IFERROR(__xludf.DUMMYFUNCTION("""COMPUTED_VALUE"""),4.0)</f>
        <v>4</v>
      </c>
      <c r="B5" s="2" t="str">
        <f>IFERROR(__xludf.DUMMYFUNCTION("""COMPUTED_VALUE"""),"250MW Grid connected Solar Project in Kohalpur and Banganga")</f>
        <v>250MW Grid connected Solar Project in Kohalpur and Banganga</v>
      </c>
      <c r="C5" s="2">
        <f>IFERROR(__xludf.DUMMYFUNCTION("""COMPUTED_VALUE"""),250.0)</f>
        <v>250</v>
      </c>
      <c r="D5" s="2" t="str">
        <f>IFERROR(__xludf.DUMMYFUNCTION("""COMPUTED_VALUE"""),"004/2078-79")</f>
        <v>004/2078-79</v>
      </c>
      <c r="E5" s="3">
        <f>IFERROR(__xludf.DUMMYFUNCTION("""COMPUTED_VALUE"""),65173.0)</f>
        <v>65173</v>
      </c>
      <c r="F5" s="3">
        <f>IFERROR(__xludf.DUMMYFUNCTION("""COMPUTED_VALUE"""),65537.0)</f>
        <v>65537</v>
      </c>
      <c r="G5" s="2" t="str">
        <f>IFERROR(__xludf.DUMMYFUNCTION("""COMPUTED_VALUE"""),"Risen Clean Energy Nepal Pvt. Ltd.")</f>
        <v>Risen Clean Energy Nepal Pvt. Ltd.</v>
      </c>
      <c r="H5" s="2" t="str">
        <f>IFERROR(__xludf.DUMMYFUNCTION("""COMPUTED_VALUE"""),"Kathmandu-4, Bisalnagar")</f>
        <v>Kathmandu-4, Bisalnagar</v>
      </c>
      <c r="I5" s="2" t="str">
        <f>IFERROR(__xludf.DUMMYFUNCTION("""COMPUTED_VALUE"""),"27o 39' 47""")</f>
        <v>27o 39' 47"</v>
      </c>
      <c r="J5" s="2" t="str">
        <f>IFERROR(__xludf.DUMMYFUNCTION("""COMPUTED_VALUE"""),"27o 41' 50""")</f>
        <v>27o 41' 50"</v>
      </c>
      <c r="K5" s="2" t="str">
        <f>IFERROR(__xludf.DUMMYFUNCTION("""COMPUTED_VALUE"""),"83o 05' 42""")</f>
        <v>83o 05' 42"</v>
      </c>
      <c r="L5" s="2" t="str">
        <f>IFERROR(__xludf.DUMMYFUNCTION("""COMPUTED_VALUE"""),"83o 07' 01""")</f>
        <v>83o 07' 01"</v>
      </c>
      <c r="M5" s="2"/>
    </row>
    <row r="6">
      <c r="A6" s="2">
        <f>IFERROR(__xludf.DUMMYFUNCTION("""COMPUTED_VALUE"""),5.0)</f>
        <v>5</v>
      </c>
      <c r="B6" s="2" t="str">
        <f>IFERROR(__xludf.DUMMYFUNCTION("""COMPUTED_VALUE"""),"Jhimruk On Grid Solar Project")</f>
        <v>Jhimruk On Grid Solar Project</v>
      </c>
      <c r="C6" s="2">
        <f>IFERROR(__xludf.DUMMYFUNCTION("""COMPUTED_VALUE"""),10.0)</f>
        <v>10</v>
      </c>
      <c r="D6" s="2">
        <f>IFERROR(__xludf.DUMMYFUNCTION("""COMPUTED_VALUE"""),1155.0)</f>
        <v>1155</v>
      </c>
      <c r="E6" s="3">
        <f>IFERROR(__xludf.DUMMYFUNCTION("""COMPUTED_VALUE"""),65211.0)</f>
        <v>65211</v>
      </c>
      <c r="F6" s="3">
        <f>IFERROR(__xludf.DUMMYFUNCTION("""COMPUTED_VALUE"""),66671.0)</f>
        <v>66671</v>
      </c>
      <c r="G6" s="2" t="str">
        <f>IFERROR(__xludf.DUMMYFUNCTION("""COMPUTED_VALUE"""),"Butwal Power Company Limited")</f>
        <v>Butwal Power Company Limited</v>
      </c>
      <c r="H6" s="2" t="str">
        <f>IFERROR(__xludf.DUMMYFUNCTION("""COMPUTED_VALUE"""),"Ganga Devi Marg 313, Buddha Nagar, New Baneshwar, Post Box. 11728 Ktm, 
Nepal, Ph. No. 4781776,4784026, Fax. 4780994")</f>
        <v>Ganga Devi Marg 313, Buddha Nagar, New Baneshwar, Post Box. 11728 Ktm, 
Nepal, Ph. No. 4781776,4784026, Fax. 4780994</v>
      </c>
      <c r="I6" s="2" t="str">
        <f>IFERROR(__xludf.DUMMYFUNCTION("""COMPUTED_VALUE"""),"28o 04' 17""")</f>
        <v>28o 04' 17"</v>
      </c>
      <c r="J6" s="2" t="str">
        <f>IFERROR(__xludf.DUMMYFUNCTION("""COMPUTED_VALUE"""),"28o 04' 48""")</f>
        <v>28o 04' 48"</v>
      </c>
      <c r="K6" s="2" t="str">
        <f>IFERROR(__xludf.DUMMYFUNCTION("""COMPUTED_VALUE"""),"82o 48' 57""")</f>
        <v>82o 48' 57"</v>
      </c>
      <c r="L6" s="2" t="str">
        <f>IFERROR(__xludf.DUMMYFUNCTION("""COMPUTED_VALUE"""),"82o 49' 20""")</f>
        <v>82o 49' 20"</v>
      </c>
      <c r="M6" s="2" t="str">
        <f>IFERROR(__xludf.DUMMYFUNCTION("""COMPUTED_VALUE"""),"Khaira (Pyuthan)")</f>
        <v>Khaira (Pyuthan)</v>
      </c>
    </row>
    <row r="7">
      <c r="A7" s="2">
        <f>IFERROR(__xludf.DUMMYFUNCTION("""COMPUTED_VALUE"""),6.0)</f>
        <v>6</v>
      </c>
      <c r="B7" s="2" t="str">
        <f>IFERROR(__xludf.DUMMYFUNCTION("""COMPUTED_VALUE"""),"Lalbandhi Solar PV Project")</f>
        <v>Lalbandhi Solar PV Project</v>
      </c>
      <c r="C7" s="2">
        <f>IFERROR(__xludf.DUMMYFUNCTION("""COMPUTED_VALUE"""),10.0)</f>
        <v>10</v>
      </c>
      <c r="D7" s="2">
        <f>IFERROR(__xludf.DUMMYFUNCTION("""COMPUTED_VALUE"""),1168.0)</f>
        <v>1168</v>
      </c>
      <c r="E7" s="3">
        <f>IFERROR(__xludf.DUMMYFUNCTION("""COMPUTED_VALUE"""),65267.0)</f>
        <v>65267</v>
      </c>
      <c r="F7" s="3">
        <f>IFERROR(__xludf.DUMMYFUNCTION("""COMPUTED_VALUE"""),67092.0)</f>
        <v>67092</v>
      </c>
      <c r="G7" s="2" t="str">
        <f>IFERROR(__xludf.DUMMYFUNCTION("""COMPUTED_VALUE"""),"Eco Gham Power Company Pvt. Ltd.")</f>
        <v>Eco Gham Power Company Pvt. Ltd.</v>
      </c>
      <c r="H7" s="2" t="str">
        <f>IFERROR(__xludf.DUMMYFUNCTION("""COMPUTED_VALUE"""),"Thapathali, Kathmandu, Contact No.: 9851116849")</f>
        <v>Thapathali, Kathmandu, Contact No.: 9851116849</v>
      </c>
      <c r="I7" s="2" t="str">
        <f>IFERROR(__xludf.DUMMYFUNCTION("""COMPUTED_VALUE"""),"27o 04' 29""")</f>
        <v>27o 04' 29"</v>
      </c>
      <c r="J7" s="2" t="str">
        <f>IFERROR(__xludf.DUMMYFUNCTION("""COMPUTED_VALUE"""),"27o 04' 42""")</f>
        <v>27o 04' 42"</v>
      </c>
      <c r="K7" s="2" t="str">
        <f>IFERROR(__xludf.DUMMYFUNCTION("""COMPUTED_VALUE"""),"85o 35' 50""")</f>
        <v>85o 35' 50"</v>
      </c>
      <c r="L7" s="2" t="str">
        <f>IFERROR(__xludf.DUMMYFUNCTION("""COMPUTED_VALUE"""),"85o 36' 15""")</f>
        <v>85o 36' 15"</v>
      </c>
      <c r="M7" s="2" t="str">
        <f>IFERROR(__xludf.DUMMYFUNCTION("""COMPUTED_VALUE"""),"Lalbandi (Sarlahi)")</f>
        <v>Lalbandi (Sarlahi)</v>
      </c>
    </row>
    <row r="8">
      <c r="A8" s="2">
        <f>IFERROR(__xludf.DUMMYFUNCTION("""COMPUTED_VALUE"""),7.0)</f>
        <v>7</v>
      </c>
      <c r="B8" s="2" t="str">
        <f>IFERROR(__xludf.DUMMYFUNCTION("""COMPUTED_VALUE"""),"Attariya Solar PV Plant Part 1")</f>
        <v>Attariya Solar PV Plant Part 1</v>
      </c>
      <c r="C8" s="2">
        <f>IFERROR(__xludf.DUMMYFUNCTION("""COMPUTED_VALUE"""),10.0)</f>
        <v>10</v>
      </c>
      <c r="D8" s="2">
        <f>IFERROR(__xludf.DUMMYFUNCTION("""COMPUTED_VALUE"""),1187.0)</f>
        <v>1187</v>
      </c>
      <c r="E8" s="3">
        <f>IFERROR(__xludf.DUMMYFUNCTION("""COMPUTED_VALUE"""),65335.0)</f>
        <v>65335</v>
      </c>
      <c r="F8" s="3">
        <f>IFERROR(__xludf.DUMMYFUNCTION("""COMPUTED_VALUE"""),66795.0)</f>
        <v>66795</v>
      </c>
      <c r="G8" s="2" t="str">
        <f>IFERROR(__xludf.DUMMYFUNCTION("""COMPUTED_VALUE"""),"Amarawati Solar Energy Pvt. Ltd")</f>
        <v>Amarawati Solar Energy Pvt. Ltd</v>
      </c>
      <c r="H8" s="2" t="str">
        <f>IFERROR(__xludf.DUMMYFUNCTION("""COMPUTED_VALUE"""),"316 Baburam Acharya Sadak, Sinamangal-9, Kathmandu Fax: 4462856, email: 
amarawatisolar@gmail.com")</f>
        <v>316 Baburam Acharya Sadak, Sinamangal-9, Kathmandu Fax: 4462856, email: 
amarawatisolar@gmail.com</v>
      </c>
      <c r="I8" s="2" t="str">
        <f>IFERROR(__xludf.DUMMYFUNCTION("""COMPUTED_VALUE"""),"28o 49' 06""")</f>
        <v>28o 49' 06"</v>
      </c>
      <c r="J8" s="2" t="str">
        <f>IFERROR(__xludf.DUMMYFUNCTION("""COMPUTED_VALUE"""),"28o 49' 24""")</f>
        <v>28o 49' 24"</v>
      </c>
      <c r="K8" s="2" t="str">
        <f>IFERROR(__xludf.DUMMYFUNCTION("""COMPUTED_VALUE"""),"80o 37' 40""")</f>
        <v>80o 37' 40"</v>
      </c>
      <c r="L8" s="2" t="str">
        <f>IFERROR(__xludf.DUMMYFUNCTION("""COMPUTED_VALUE"""),"80o 37' 58""")</f>
        <v>80o 37' 58"</v>
      </c>
      <c r="M8" s="2" t="str">
        <f>IFERROR(__xludf.DUMMYFUNCTION("""COMPUTED_VALUE"""),"Godawari (Kailali)")</f>
        <v>Godawari (Kailali)</v>
      </c>
    </row>
    <row r="9">
      <c r="A9" s="2">
        <f>IFERROR(__xludf.DUMMYFUNCTION("""COMPUTED_VALUE"""),8.0)</f>
        <v>8</v>
      </c>
      <c r="B9" s="2" t="str">
        <f>IFERROR(__xludf.DUMMYFUNCTION("""COMPUTED_VALUE"""),"Attariya Solar PV Plant Part 2")</f>
        <v>Attariya Solar PV Plant Part 2</v>
      </c>
      <c r="C9" s="2">
        <f>IFERROR(__xludf.DUMMYFUNCTION("""COMPUTED_VALUE"""),10.0)</f>
        <v>10</v>
      </c>
      <c r="D9" s="2">
        <f>IFERROR(__xludf.DUMMYFUNCTION("""COMPUTED_VALUE"""),1188.0)</f>
        <v>1188</v>
      </c>
      <c r="E9" s="3">
        <f>IFERROR(__xludf.DUMMYFUNCTION("""COMPUTED_VALUE"""),65335.0)</f>
        <v>65335</v>
      </c>
      <c r="F9" s="3">
        <f>IFERROR(__xludf.DUMMYFUNCTION("""COMPUTED_VALUE"""),66795.0)</f>
        <v>66795</v>
      </c>
      <c r="G9" s="2" t="str">
        <f>IFERROR(__xludf.DUMMYFUNCTION("""COMPUTED_VALUE"""),"Amarawati Solar Energy Pvt. Ltd")</f>
        <v>Amarawati Solar Energy Pvt. Ltd</v>
      </c>
      <c r="H9" s="2" t="str">
        <f>IFERROR(__xludf.DUMMYFUNCTION("""COMPUTED_VALUE"""),"316 Baburam Acharya Sadak, Sinamangal-9, Kathmandu Fax: 4462856, email: 
amarawatisolar@gmail.com")</f>
        <v>316 Baburam Acharya Sadak, Sinamangal-9, Kathmandu Fax: 4462856, email: 
amarawatisolar@gmail.com</v>
      </c>
      <c r="I9" s="2" t="str">
        <f>IFERROR(__xludf.DUMMYFUNCTION("""COMPUTED_VALUE"""),"28o 48' 40""")</f>
        <v>28o 48' 40"</v>
      </c>
      <c r="J9" s="2" t="str">
        <f>IFERROR(__xludf.DUMMYFUNCTION("""COMPUTED_VALUE"""),"28o 49' 05""")</f>
        <v>28o 49' 05"</v>
      </c>
      <c r="K9" s="2" t="str">
        <f>IFERROR(__xludf.DUMMYFUNCTION("""COMPUTED_VALUE"""),"80o 37' 29""")</f>
        <v>80o 37' 29"</v>
      </c>
      <c r="L9" s="2" t="str">
        <f>IFERROR(__xludf.DUMMYFUNCTION("""COMPUTED_VALUE"""),"80o 37' 46""")</f>
        <v>80o 37' 46"</v>
      </c>
      <c r="M9" s="2" t="str">
        <f>IFERROR(__xludf.DUMMYFUNCTION("""COMPUTED_VALUE"""),"Godawari (Kailali)")</f>
        <v>Godawari (Kailali)</v>
      </c>
    </row>
    <row r="10">
      <c r="A10" s="2">
        <f>IFERROR(__xludf.DUMMYFUNCTION("""COMPUTED_VALUE"""),9.0)</f>
        <v>9</v>
      </c>
      <c r="B10" s="2" t="str">
        <f>IFERROR(__xludf.DUMMYFUNCTION("""COMPUTED_VALUE"""),"Godawari - Attariya Solar Electricity Project")</f>
        <v>Godawari - Attariya Solar Electricity Project</v>
      </c>
      <c r="C10" s="2">
        <f>IFERROR(__xludf.DUMMYFUNCTION("""COMPUTED_VALUE"""),40.0)</f>
        <v>40</v>
      </c>
      <c r="D10" s="2">
        <f>IFERROR(__xludf.DUMMYFUNCTION("""COMPUTED_VALUE"""),1210.0)</f>
        <v>1210</v>
      </c>
      <c r="E10" s="3">
        <f>IFERROR(__xludf.DUMMYFUNCTION("""COMPUTED_VALUE"""),65479.0)</f>
        <v>65479</v>
      </c>
      <c r="F10" s="3">
        <f>IFERROR(__xludf.DUMMYFUNCTION("""COMPUTED_VALUE"""),66939.0)</f>
        <v>66939</v>
      </c>
      <c r="G10" s="2" t="str">
        <f>IFERROR(__xludf.DUMMYFUNCTION("""COMPUTED_VALUE"""),"Hive Nepal Pvt. Ltd.")</f>
        <v>Hive Nepal Pvt. Ltd.</v>
      </c>
      <c r="H10" s="2" t="str">
        <f>IFERROR(__xludf.DUMMYFUNCTION("""COMPUTED_VALUE"""),"Laldurbar, Kathmandu, Contact No.:9863022415, 9810327032")</f>
        <v>Laldurbar, Kathmandu, Contact No.:9863022415, 9810327032</v>
      </c>
      <c r="I10" s="2" t="str">
        <f>IFERROR(__xludf.DUMMYFUNCTION("""COMPUTED_VALUE"""),"28o 46' 49""")</f>
        <v>28o 46' 49"</v>
      </c>
      <c r="J10" s="2" t="str">
        <f>IFERROR(__xludf.DUMMYFUNCTION("""COMPUTED_VALUE"""),"28o 48' 02""")</f>
        <v>28o 48' 02"</v>
      </c>
      <c r="K10" s="2" t="str">
        <f>IFERROR(__xludf.DUMMYFUNCTION("""COMPUTED_VALUE"""),"80o 36' 30""")</f>
        <v>80o 36' 30"</v>
      </c>
      <c r="L10" s="2" t="str">
        <f>IFERROR(__xludf.DUMMYFUNCTION("""COMPUTED_VALUE"""),"80o 37' 21""")</f>
        <v>80o 37' 21"</v>
      </c>
      <c r="M10" s="2" t="str">
        <f>IFERROR(__xludf.DUMMYFUNCTION("""COMPUTED_VALUE"""),"Godawari (Kailali)")</f>
        <v>Godawari (Kailali)</v>
      </c>
    </row>
    <row r="11">
      <c r="A11" s="2">
        <f>IFERROR(__xludf.DUMMYFUNCTION("""COMPUTED_VALUE"""),10.0)</f>
        <v>10</v>
      </c>
      <c r="B11" s="2" t="str">
        <f>IFERROR(__xludf.DUMMYFUNCTION("""COMPUTED_VALUE"""),"Pahalmanpur Solar Electricity Project")</f>
        <v>Pahalmanpur Solar Electricity Project</v>
      </c>
      <c r="C11" s="2">
        <f>IFERROR(__xludf.DUMMYFUNCTION("""COMPUTED_VALUE"""),30.0)</f>
        <v>30</v>
      </c>
      <c r="D11" s="2">
        <f>IFERROR(__xludf.DUMMYFUNCTION("""COMPUTED_VALUE"""),1211.0)</f>
        <v>1211</v>
      </c>
      <c r="E11" s="3">
        <f>IFERROR(__xludf.DUMMYFUNCTION("""COMPUTED_VALUE"""),65479.0)</f>
        <v>65479</v>
      </c>
      <c r="F11" s="3">
        <f>IFERROR(__xludf.DUMMYFUNCTION("""COMPUTED_VALUE"""),66939.0)</f>
        <v>66939</v>
      </c>
      <c r="G11" s="2" t="str">
        <f>IFERROR(__xludf.DUMMYFUNCTION("""COMPUTED_VALUE"""),"Hive Nepal Pvt. Ltd.")</f>
        <v>Hive Nepal Pvt. Ltd.</v>
      </c>
      <c r="H11" s="2" t="str">
        <f>IFERROR(__xludf.DUMMYFUNCTION("""COMPUTED_VALUE"""),"Laldurbar, Kathmandu, Contact No.:9863022415, 9810327032")</f>
        <v>Laldurbar, Kathmandu, Contact No.:9863022415, 9810327032</v>
      </c>
      <c r="I11" s="2" t="str">
        <f>IFERROR(__xludf.DUMMYFUNCTION("""COMPUTED_VALUE"""),"28o 39' 54""")</f>
        <v>28o 39' 54"</v>
      </c>
      <c r="J11" s="2" t="str">
        <f>IFERROR(__xludf.DUMMYFUNCTION("""COMPUTED_VALUE"""),"28o 40' 49""")</f>
        <v>28o 40' 49"</v>
      </c>
      <c r="K11" s="2" t="str">
        <f>IFERROR(__xludf.DUMMYFUNCTION("""COMPUTED_VALUE"""),"80o 52' 54""")</f>
        <v>80o 52' 54"</v>
      </c>
      <c r="L11" s="2" t="str">
        <f>IFERROR(__xludf.DUMMYFUNCTION("""COMPUTED_VALUE"""),"80o 53' 30""")</f>
        <v>80o 53' 30"</v>
      </c>
      <c r="M11" s="2" t="str">
        <f>IFERROR(__xludf.DUMMYFUNCTION("""COMPUTED_VALUE"""),"Pahalmanpur (Kailali)")</f>
        <v>Pahalmanpur (Kailali)</v>
      </c>
    </row>
    <row r="12">
      <c r="A12" s="2">
        <f>IFERROR(__xludf.DUMMYFUNCTION("""COMPUTED_VALUE"""),11.0)</f>
        <v>11</v>
      </c>
      <c r="B12" s="2" t="str">
        <f>IFERROR(__xludf.DUMMYFUNCTION("""COMPUTED_VALUE"""),"Bhurigau Solar PV, Project")</f>
        <v>Bhurigau Solar PV, Project</v>
      </c>
      <c r="C12" s="2">
        <f>IFERROR(__xludf.DUMMYFUNCTION("""COMPUTED_VALUE"""),40.0)</f>
        <v>40</v>
      </c>
      <c r="D12" s="2">
        <f>IFERROR(__xludf.DUMMYFUNCTION("""COMPUTED_VALUE"""),1212.0)</f>
        <v>1212</v>
      </c>
      <c r="E12" s="3">
        <f>IFERROR(__xludf.DUMMYFUNCTION("""COMPUTED_VALUE"""),65479.0)</f>
        <v>65479</v>
      </c>
      <c r="F12" s="3">
        <f>IFERROR(__xludf.DUMMYFUNCTION("""COMPUTED_VALUE"""),66939.0)</f>
        <v>66939</v>
      </c>
      <c r="G12" s="2" t="str">
        <f>IFERROR(__xludf.DUMMYFUNCTION("""COMPUTED_VALUE"""),"Hive Nepal Pvt. Ltd.")</f>
        <v>Hive Nepal Pvt. Ltd.</v>
      </c>
      <c r="H12" s="2" t="str">
        <f>IFERROR(__xludf.DUMMYFUNCTION("""COMPUTED_VALUE"""),"Kathmandu, Contact No. 9863022415, 9810327032")</f>
        <v>Kathmandu, Contact No. 9863022415, 9810327032</v>
      </c>
      <c r="I12" s="2" t="str">
        <f>IFERROR(__xludf.DUMMYFUNCTION("""COMPUTED_VALUE"""),"28o 28' 07""")</f>
        <v>28o 28' 07"</v>
      </c>
      <c r="J12" s="2" t="str">
        <f>IFERROR(__xludf.DUMMYFUNCTION("""COMPUTED_VALUE"""),"28o 28' 46""")</f>
        <v>28o 28' 46"</v>
      </c>
      <c r="K12" s="2" t="str">
        <f>IFERROR(__xludf.DUMMYFUNCTION("""COMPUTED_VALUE"""),"81o 17' 28""")</f>
        <v>81o 17' 28"</v>
      </c>
      <c r="L12" s="2" t="str">
        <f>IFERROR(__xludf.DUMMYFUNCTION("""COMPUTED_VALUE"""),"81o 18' 26""")</f>
        <v>81o 18' 26"</v>
      </c>
      <c r="M12" s="2" t="str">
        <f>IFERROR(__xludf.DUMMYFUNCTION("""COMPUTED_VALUE"""),"Sivapur (Bardiya)")</f>
        <v>Sivapur (Bardiya)</v>
      </c>
    </row>
    <row r="13">
      <c r="A13" s="2">
        <f>IFERROR(__xludf.DUMMYFUNCTION("""COMPUTED_VALUE"""),12.0)</f>
        <v>12</v>
      </c>
      <c r="B13" s="2" t="str">
        <f>IFERROR(__xludf.DUMMYFUNCTION("""COMPUTED_VALUE"""),"Nepalgunj Solar PV Project")</f>
        <v>Nepalgunj Solar PV Project</v>
      </c>
      <c r="C13" s="2">
        <f>IFERROR(__xludf.DUMMYFUNCTION("""COMPUTED_VALUE"""),25.0)</f>
        <v>25</v>
      </c>
      <c r="D13" s="2">
        <f>IFERROR(__xludf.DUMMYFUNCTION("""COMPUTED_VALUE"""),1214.0)</f>
        <v>1214</v>
      </c>
      <c r="E13" s="3">
        <f>IFERROR(__xludf.DUMMYFUNCTION("""COMPUTED_VALUE"""),65488.0)</f>
        <v>65488</v>
      </c>
      <c r="F13" s="3">
        <f>IFERROR(__xludf.DUMMYFUNCTION("""COMPUTED_VALUE"""),66948.0)</f>
        <v>66948</v>
      </c>
      <c r="G13" s="2" t="str">
        <f>IFERROR(__xludf.DUMMYFUNCTION("""COMPUTED_VALUE"""),"Hive Nepal Pvt. Ltd.")</f>
        <v>Hive Nepal Pvt. Ltd.</v>
      </c>
      <c r="H13" s="2" t="str">
        <f>IFERROR(__xludf.DUMMYFUNCTION("""COMPUTED_VALUE"""),"Laldurbar, Kathmandu, Contact No.:9863022415, 9810327032")</f>
        <v>Laldurbar, Kathmandu, Contact No.:9863022415, 9810327032</v>
      </c>
      <c r="I13" s="2" t="str">
        <f>IFERROR(__xludf.DUMMYFUNCTION("""COMPUTED_VALUE"""),"28o 04' 43""")</f>
        <v>28o 04' 43"</v>
      </c>
      <c r="J13" s="2" t="str">
        <f>IFERROR(__xludf.DUMMYFUNCTION("""COMPUTED_VALUE"""),"28o 05' 39""")</f>
        <v>28o 05' 39"</v>
      </c>
      <c r="K13" s="2" t="str">
        <f>IFERROR(__xludf.DUMMYFUNCTION("""COMPUTED_VALUE"""),"81o 37' 51""")</f>
        <v>81o 37' 51"</v>
      </c>
      <c r="L13" s="2" t="str">
        <f>IFERROR(__xludf.DUMMYFUNCTION("""COMPUTED_VALUE"""),"81o 38' 56""")</f>
        <v>81o 38' 56"</v>
      </c>
      <c r="M13" s="2" t="str">
        <f>IFERROR(__xludf.DUMMYFUNCTION("""COMPUTED_VALUE"""),"Nepalgunj N.P. (Banke)")</f>
        <v>Nepalgunj N.P. (Banke)</v>
      </c>
    </row>
    <row r="14">
      <c r="A14" s="2">
        <f>IFERROR(__xludf.DUMMYFUNCTION("""COMPUTED_VALUE"""),13.0)</f>
        <v>13</v>
      </c>
      <c r="B14" s="2" t="str">
        <f>IFERROR(__xludf.DUMMYFUNCTION("""COMPUTED_VALUE"""),"Kohalpur Solar PV Project")</f>
        <v>Kohalpur Solar PV Project</v>
      </c>
      <c r="C14" s="2">
        <f>IFERROR(__xludf.DUMMYFUNCTION("""COMPUTED_VALUE"""),40.0)</f>
        <v>40</v>
      </c>
      <c r="D14" s="2">
        <f>IFERROR(__xludf.DUMMYFUNCTION("""COMPUTED_VALUE"""),1215.0)</f>
        <v>1215</v>
      </c>
      <c r="E14" s="3">
        <f>IFERROR(__xludf.DUMMYFUNCTION("""COMPUTED_VALUE"""),65489.0)</f>
        <v>65489</v>
      </c>
      <c r="F14" s="3">
        <f>IFERROR(__xludf.DUMMYFUNCTION("""COMPUTED_VALUE"""),66949.0)</f>
        <v>66949</v>
      </c>
      <c r="G14" s="2" t="str">
        <f>IFERROR(__xludf.DUMMYFUNCTION("""COMPUTED_VALUE"""),"Hive Nepal Pvt. Ltd.")</f>
        <v>Hive Nepal Pvt. Ltd.</v>
      </c>
      <c r="H14" s="2" t="str">
        <f>IFERROR(__xludf.DUMMYFUNCTION("""COMPUTED_VALUE"""),"Laldurbar, Kathmandu, Contact No.:9863022415, 9810327032")</f>
        <v>Laldurbar, Kathmandu, Contact No.:9863022415, 9810327032</v>
      </c>
      <c r="I14" s="2" t="str">
        <f>IFERROR(__xludf.DUMMYFUNCTION("""COMPUTED_VALUE"""),"28o 12' 32""")</f>
        <v>28o 12' 32"</v>
      </c>
      <c r="J14" s="2" t="str">
        <f>IFERROR(__xludf.DUMMYFUNCTION("""COMPUTED_VALUE"""),"28o 13' 39""")</f>
        <v>28o 13' 39"</v>
      </c>
      <c r="K14" s="2" t="str">
        <f>IFERROR(__xludf.DUMMYFUNCTION("""COMPUTED_VALUE"""),"81o 37' 24""")</f>
        <v>81o 37' 24"</v>
      </c>
      <c r="L14" s="2" t="str">
        <f>IFERROR(__xludf.DUMMYFUNCTION("""COMPUTED_VALUE"""),"81o 38' 40""")</f>
        <v>81o 38' 40"</v>
      </c>
      <c r="M14" s="2" t="str">
        <f>IFERROR(__xludf.DUMMYFUNCTION("""COMPUTED_VALUE"""),"Banaktwa,Naubasta (Banke)")</f>
        <v>Banaktwa,Naubasta (Banke)</v>
      </c>
    </row>
    <row r="15">
      <c r="A15" s="2">
        <f>IFERROR(__xludf.DUMMYFUNCTION("""COMPUTED_VALUE"""),14.0)</f>
        <v>14</v>
      </c>
      <c r="B15" s="2" t="str">
        <f>IFERROR(__xludf.DUMMYFUNCTION("""COMPUTED_VALUE"""),"Gulariya Solar PV Project")</f>
        <v>Gulariya Solar PV Project</v>
      </c>
      <c r="C15" s="2">
        <f>IFERROR(__xludf.DUMMYFUNCTION("""COMPUTED_VALUE"""),25.0)</f>
        <v>25</v>
      </c>
      <c r="D15" s="2">
        <f>IFERROR(__xludf.DUMMYFUNCTION("""COMPUTED_VALUE"""),1216.0)</f>
        <v>1216</v>
      </c>
      <c r="E15" s="3">
        <f>IFERROR(__xludf.DUMMYFUNCTION("""COMPUTED_VALUE"""),65493.0)</f>
        <v>65493</v>
      </c>
      <c r="F15" s="3">
        <f>IFERROR(__xludf.DUMMYFUNCTION("""COMPUTED_VALUE"""),66953.0)</f>
        <v>66953</v>
      </c>
      <c r="G15" s="2" t="str">
        <f>IFERROR(__xludf.DUMMYFUNCTION("""COMPUTED_VALUE"""),"Hive Nepal Pvt. Ltd.")</f>
        <v>Hive Nepal Pvt. Ltd.</v>
      </c>
      <c r="H15" s="2" t="str">
        <f>IFERROR(__xludf.DUMMYFUNCTION("""COMPUTED_VALUE"""),"Laldurbar, Kathmandu, Contact No.:9863022415, 9810327032")</f>
        <v>Laldurbar, Kathmandu, Contact No.:9863022415, 9810327032</v>
      </c>
      <c r="I15" s="2" t="str">
        <f>IFERROR(__xludf.DUMMYFUNCTION("""COMPUTED_VALUE"""),"28o 13' 46""")</f>
        <v>28o 13' 46"</v>
      </c>
      <c r="J15" s="2" t="str">
        <f>IFERROR(__xludf.DUMMYFUNCTION("""COMPUTED_VALUE"""),"28o 14' 20""")</f>
        <v>28o 14' 20"</v>
      </c>
      <c r="K15" s="2" t="str">
        <f>IFERROR(__xludf.DUMMYFUNCTION("""COMPUTED_VALUE"""),"81o 18' 31""")</f>
        <v>81o 18' 31"</v>
      </c>
      <c r="L15" s="2" t="str">
        <f>IFERROR(__xludf.DUMMYFUNCTION("""COMPUTED_VALUE"""),"81o 19' 01""")</f>
        <v>81o 19' 01"</v>
      </c>
      <c r="M15" s="2" t="str">
        <f>IFERROR(__xludf.DUMMYFUNCTION("""COMPUTED_VALUE"""),"Gulariya (Bardiya)")</f>
        <v>Gulariya (Bardiya)</v>
      </c>
    </row>
    <row r="16">
      <c r="A16" s="2">
        <f>IFERROR(__xludf.DUMMYFUNCTION("""COMPUTED_VALUE"""),15.0)</f>
        <v>15</v>
      </c>
      <c r="B16" s="2" t="str">
        <f>IFERROR(__xludf.DUMMYFUNCTION("""COMPUTED_VALUE"""),"Dullu Malika Saurya Vidyut Aayojana, Dailekh")</f>
        <v>Dullu Malika Saurya Vidyut Aayojana, Dailekh</v>
      </c>
      <c r="C16" s="2">
        <f>IFERROR(__xludf.DUMMYFUNCTION("""COMPUTED_VALUE"""),30.0)</f>
        <v>30</v>
      </c>
      <c r="D16" s="2">
        <f>IFERROR(__xludf.DUMMYFUNCTION("""COMPUTED_VALUE"""),1272.0)</f>
        <v>1272</v>
      </c>
      <c r="E16" s="2" t="str">
        <f>IFERROR(__xludf.DUMMYFUNCTION("""COMPUTED_VALUE"""),"2081-02-29")</f>
        <v>2081-02-29</v>
      </c>
      <c r="F16" s="3">
        <f>IFERROR(__xludf.DUMMYFUNCTION("""COMPUTED_VALUE"""),66900.0)</f>
        <v>66900</v>
      </c>
      <c r="G16" s="2" t="str">
        <f>IFERROR(__xludf.DUMMYFUNCTION("""COMPUTED_VALUE"""),"Vidhyut Utapadan Company Limited")</f>
        <v>Vidhyut Utapadan Company Limited</v>
      </c>
      <c r="H16" s="2" t="str">
        <f>IFERROR(__xludf.DUMMYFUNCTION("""COMPUTED_VALUE"""),"BPC Building, Rudramati Marga BUddhanagar, Kathmandu 01-4798680")</f>
        <v>BPC Building, Rudramati Marga BUddhanagar, Kathmandu 01-4798680</v>
      </c>
      <c r="I16" s="2" t="str">
        <f>IFERROR(__xludf.DUMMYFUNCTION("""COMPUTED_VALUE"""),"28o 47' 43""")</f>
        <v>28o 47' 43"</v>
      </c>
      <c r="J16" s="2" t="str">
        <f>IFERROR(__xludf.DUMMYFUNCTION("""COMPUTED_VALUE"""),"28o 48' 08""")</f>
        <v>28o 48' 08"</v>
      </c>
      <c r="K16" s="2" t="str">
        <f>IFERROR(__xludf.DUMMYFUNCTION("""COMPUTED_VALUE"""),"81o 38' 15""")</f>
        <v>81o 38' 15"</v>
      </c>
      <c r="L16" s="2" t="str">
        <f>IFERROR(__xludf.DUMMYFUNCTION("""COMPUTED_VALUE"""),"81o 38' 45""")</f>
        <v>81o 38' 45"</v>
      </c>
      <c r="M16" s="2" t="str">
        <f>IFERROR(__xludf.DUMMYFUNCTION("""COMPUTED_VALUE"""),"Kal Bhairab,Malika (Dailekh)")</f>
        <v>Kal Bhairab,Malika (Dailekh)</v>
      </c>
    </row>
    <row r="17">
      <c r="A17" s="2">
        <f>IFERROR(__xludf.DUMMYFUNCTION("""COMPUTED_VALUE"""),16.0)</f>
        <v>16</v>
      </c>
      <c r="B17" s="2" t="str">
        <f>IFERROR(__xludf.DUMMYFUNCTION("""COMPUTED_VALUE"""),"Parwat Saurya Vidyut Aayojana")</f>
        <v>Parwat Saurya Vidyut Aayojana</v>
      </c>
      <c r="C17" s="2">
        <f>IFERROR(__xludf.DUMMYFUNCTION("""COMPUTED_VALUE"""),10.0)</f>
        <v>10</v>
      </c>
      <c r="D17" s="2">
        <f>IFERROR(__xludf.DUMMYFUNCTION("""COMPUTED_VALUE"""),1273.0)</f>
        <v>1273</v>
      </c>
      <c r="E17" s="3">
        <f>IFERROR(__xludf.DUMMYFUNCTION("""COMPUTED_VALUE"""),66181.0)</f>
        <v>66181</v>
      </c>
      <c r="F17" s="3">
        <f>IFERROR(__xludf.DUMMYFUNCTION("""COMPUTED_VALUE"""),66910.0)</f>
        <v>66910</v>
      </c>
      <c r="G17" s="2" t="str">
        <f>IFERROR(__xludf.DUMMYFUNCTION("""COMPUTED_VALUE"""),"Green Quality Project Private Limited")</f>
        <v>Green Quality Project Private Limited</v>
      </c>
      <c r="H17" s="2" t="str">
        <f>IFERROR(__xludf.DUMMYFUNCTION("""COMPUTED_VALUE"""),"Nagarjun - 4, Kathmandu")</f>
        <v>Nagarjun - 4, Kathmandu</v>
      </c>
      <c r="I17" s="2" t="str">
        <f>IFERROR(__xludf.DUMMYFUNCTION("""COMPUTED_VALUE"""),"28o 15' 23""")</f>
        <v>28o 15' 23"</v>
      </c>
      <c r="J17" s="2" t="str">
        <f>IFERROR(__xludf.DUMMYFUNCTION("""COMPUTED_VALUE"""),"28o 15' 45""")</f>
        <v>28o 15' 45"</v>
      </c>
      <c r="K17" s="2" t="str">
        <f>IFERROR(__xludf.DUMMYFUNCTION("""COMPUTED_VALUE"""),"83o 38' 00""")</f>
        <v>83o 38' 00"</v>
      </c>
      <c r="L17" s="2" t="str">
        <f>IFERROR(__xludf.DUMMYFUNCTION("""COMPUTED_VALUE"""),"83o 38' 30""")</f>
        <v>83o 38' 30"</v>
      </c>
      <c r="M17" s="2" t="str">
        <f>IFERROR(__xludf.DUMMYFUNCTION("""COMPUTED_VALUE"""),"Khurkot,Pang (Parbat)")</f>
        <v>Khurkot,Pang (Parbat)</v>
      </c>
    </row>
    <row r="18">
      <c r="A18" s="2">
        <f>IFERROR(__xludf.DUMMYFUNCTION("""COMPUTED_VALUE"""),17.0)</f>
        <v>17</v>
      </c>
      <c r="B18" s="2" t="str">
        <f>IFERROR(__xludf.DUMMYFUNCTION("""COMPUTED_VALUE"""),"Parwat Saurya Vidyut Aayojana - 2")</f>
        <v>Parwat Saurya Vidyut Aayojana - 2</v>
      </c>
      <c r="C18" s="2">
        <f>IFERROR(__xludf.DUMMYFUNCTION("""COMPUTED_VALUE"""),10.0)</f>
        <v>10</v>
      </c>
      <c r="D18" s="2">
        <f>IFERROR(__xludf.DUMMYFUNCTION("""COMPUTED_VALUE"""),1274.0)</f>
        <v>1274</v>
      </c>
      <c r="E18" s="3">
        <f>IFERROR(__xludf.DUMMYFUNCTION("""COMPUTED_VALUE"""),66182.0)</f>
        <v>66182</v>
      </c>
      <c r="F18" s="3">
        <f>IFERROR(__xludf.DUMMYFUNCTION("""COMPUTED_VALUE"""),66911.0)</f>
        <v>66911</v>
      </c>
      <c r="G18" s="2" t="str">
        <f>IFERROR(__xludf.DUMMYFUNCTION("""COMPUTED_VALUE"""),"Quality Renewable Energy Private Limited")</f>
        <v>Quality Renewable Energy Private Limited</v>
      </c>
      <c r="H18" s="2" t="str">
        <f>IFERROR(__xludf.DUMMYFUNCTION("""COMPUTED_VALUE"""),"Balaju, Kathmandu")</f>
        <v>Balaju, Kathmandu</v>
      </c>
      <c r="I18" s="2" t="str">
        <f>IFERROR(__xludf.DUMMYFUNCTION("""COMPUTED_VALUE"""),"28o 16' 00""")</f>
        <v>28o 16' 00"</v>
      </c>
      <c r="J18" s="2" t="str">
        <f>IFERROR(__xludf.DUMMYFUNCTION("""COMPUTED_VALUE"""),"28o 16' 25""")</f>
        <v>28o 16' 25"</v>
      </c>
      <c r="K18" s="2" t="str">
        <f>IFERROR(__xludf.DUMMYFUNCTION("""COMPUTED_VALUE"""),"83o 38' 09""")</f>
        <v>83o 38' 09"</v>
      </c>
      <c r="L18" s="2" t="str">
        <f>IFERROR(__xludf.DUMMYFUNCTION("""COMPUTED_VALUE"""),"83o 38' 33""")</f>
        <v>83o 38' 33"</v>
      </c>
      <c r="M18" s="2" t="str">
        <f>IFERROR(__xludf.DUMMYFUNCTION("""COMPUTED_VALUE"""),"Pang,Nagliwang (Parbat)")</f>
        <v>Pang,Nagliwang (Parbat)</v>
      </c>
    </row>
    <row r="19">
      <c r="A19" s="2">
        <f>IFERROR(__xludf.DUMMYFUNCTION("""COMPUTED_VALUE"""),18.0)</f>
        <v>18</v>
      </c>
      <c r="B19" s="2" t="str">
        <f>IFERROR(__xludf.DUMMYFUNCTION("""COMPUTED_VALUE"""),"Kharbang Saurya Vidyut Aayojana")</f>
        <v>Kharbang Saurya Vidyut Aayojana</v>
      </c>
      <c r="C19" s="2">
        <f>IFERROR(__xludf.DUMMYFUNCTION("""COMPUTED_VALUE"""),10.0)</f>
        <v>10</v>
      </c>
      <c r="D19" s="2">
        <f>IFERROR(__xludf.DUMMYFUNCTION("""COMPUTED_VALUE"""),1278.0)</f>
        <v>1278</v>
      </c>
      <c r="E19" s="3">
        <f>IFERROR(__xludf.DUMMYFUNCTION("""COMPUTED_VALUE"""),66190.0)</f>
        <v>66190</v>
      </c>
      <c r="F19" s="3">
        <f>IFERROR(__xludf.DUMMYFUNCTION("""COMPUTED_VALUE"""),66919.0)</f>
        <v>66919</v>
      </c>
      <c r="G19" s="2" t="str">
        <f>IFERROR(__xludf.DUMMYFUNCTION("""COMPUTED_VALUE"""),"Urja Kendra Nepal Private Limited")</f>
        <v>Urja Kendra Nepal Private Limited</v>
      </c>
      <c r="H19" s="2" t="str">
        <f>IFERROR(__xludf.DUMMYFUNCTION("""COMPUTED_VALUE"""),"Balaju - 16, Kathmandu, 01-4361364")</f>
        <v>Balaju - 16, Kathmandu, 01-4361364</v>
      </c>
      <c r="I19" s="2" t="str">
        <f>IFERROR(__xludf.DUMMYFUNCTION("""COMPUTED_VALUE"""),"28o 12' 55""")</f>
        <v>28o 12' 55"</v>
      </c>
      <c r="J19" s="2" t="str">
        <f>IFERROR(__xludf.DUMMYFUNCTION("""COMPUTED_VALUE"""),"28o 13' 14""")</f>
        <v>28o 13' 14"</v>
      </c>
      <c r="K19" s="2" t="str">
        <f>IFERROR(__xludf.DUMMYFUNCTION("""COMPUTED_VALUE"""),"83o 15' 00""")</f>
        <v>83o 15' 00"</v>
      </c>
      <c r="L19" s="2" t="str">
        <f>IFERROR(__xludf.DUMMYFUNCTION("""COMPUTED_VALUE"""),"83o 15' 18""")</f>
        <v>83o 15' 18"</v>
      </c>
      <c r="M19" s="2" t="str">
        <f>IFERROR(__xludf.DUMMYFUNCTION("""COMPUTED_VALUE"""),"Dagatundada (Baglung)")</f>
        <v>Dagatundada (Baglung)</v>
      </c>
    </row>
    <row r="20">
      <c r="A20" s="2">
        <f>IFERROR(__xludf.DUMMYFUNCTION("""COMPUTED_VALUE"""),19.0)</f>
        <v>19</v>
      </c>
      <c r="B20" s="2" t="str">
        <f>IFERROR(__xludf.DUMMYFUNCTION("""COMPUTED_VALUE"""),"Kharbang Saurya Vidyut Aayojana - 2")</f>
        <v>Kharbang Saurya Vidyut Aayojana - 2</v>
      </c>
      <c r="C20" s="2">
        <f>IFERROR(__xludf.DUMMYFUNCTION("""COMPUTED_VALUE"""),10.0)</f>
        <v>10</v>
      </c>
      <c r="D20" s="2">
        <f>IFERROR(__xludf.DUMMYFUNCTION("""COMPUTED_VALUE"""),1279.0)</f>
        <v>1279</v>
      </c>
      <c r="E20" s="3">
        <f>IFERROR(__xludf.DUMMYFUNCTION("""COMPUTED_VALUE"""),66190.0)</f>
        <v>66190</v>
      </c>
      <c r="F20" s="3">
        <f>IFERROR(__xludf.DUMMYFUNCTION("""COMPUTED_VALUE"""),66919.0)</f>
        <v>66919</v>
      </c>
      <c r="G20" s="2" t="str">
        <f>IFERROR(__xludf.DUMMYFUNCTION("""COMPUTED_VALUE"""),"Dhaulagiri Machinary And Tools Suppliars Private Limited")</f>
        <v>Dhaulagiri Machinary And Tools Suppliars Private Limited</v>
      </c>
      <c r="H20" s="2" t="str">
        <f>IFERROR(__xludf.DUMMYFUNCTION("""COMPUTED_VALUE"""),"Jippark - 2, Baglung (068-522101)")</f>
        <v>Jippark - 2, Baglung (068-522101)</v>
      </c>
      <c r="I20" s="2" t="str">
        <f>IFERROR(__xludf.DUMMYFUNCTION("""COMPUTED_VALUE"""),"28o 12' 55""")</f>
        <v>28o 12' 55"</v>
      </c>
      <c r="J20" s="2" t="str">
        <f>IFERROR(__xludf.DUMMYFUNCTION("""COMPUTED_VALUE"""),"28o 13' 14""")</f>
        <v>28o 13' 14"</v>
      </c>
      <c r="K20" s="2" t="str">
        <f>IFERROR(__xludf.DUMMYFUNCTION("""COMPUTED_VALUE"""),"83o 15' 19""")</f>
        <v>83o 15' 19"</v>
      </c>
      <c r="L20" s="2" t="str">
        <f>IFERROR(__xludf.DUMMYFUNCTION("""COMPUTED_VALUE"""),"83o 15' 50""")</f>
        <v>83o 15' 50"</v>
      </c>
      <c r="M20" s="2" t="str">
        <f>IFERROR(__xludf.DUMMYFUNCTION("""COMPUTED_VALUE"""),"Dagatundada (Baglung)")</f>
        <v>Dagatundada (Baglung)</v>
      </c>
    </row>
    <row r="21">
      <c r="A21" s="2">
        <f>IFERROR(__xludf.DUMMYFUNCTION("""COMPUTED_VALUE"""),20.0)</f>
        <v>20</v>
      </c>
      <c r="B21" s="2" t="str">
        <f>IFERROR(__xludf.DUMMYFUNCTION("""COMPUTED_VALUE"""),"Udayapur On Grid Saurya Vidyut Aayojana")</f>
        <v>Udayapur On Grid Saurya Vidyut Aayojana</v>
      </c>
      <c r="C21" s="2">
        <f>IFERROR(__xludf.DUMMYFUNCTION("""COMPUTED_VALUE"""),10.0)</f>
        <v>10</v>
      </c>
      <c r="D21" s="2">
        <f>IFERROR(__xludf.DUMMYFUNCTION("""COMPUTED_VALUE"""),1281.0)</f>
        <v>1281</v>
      </c>
      <c r="E21" s="3">
        <f>IFERROR(__xludf.DUMMYFUNCTION("""COMPUTED_VALUE"""),66205.0)</f>
        <v>66205</v>
      </c>
      <c r="F21" s="3">
        <f>IFERROR(__xludf.DUMMYFUNCTION("""COMPUTED_VALUE"""),66934.0)</f>
        <v>66934</v>
      </c>
      <c r="G21" s="2" t="str">
        <f>IFERROR(__xludf.DUMMYFUNCTION("""COMPUTED_VALUE"""),"Sunlight Energy Private Limited")</f>
        <v>Sunlight Energy Private Limited</v>
      </c>
      <c r="H21" s="2" t="str">
        <f>IFERROR(__xludf.DUMMYFUNCTION("""COMPUTED_VALUE"""),"Kupondole, Lalitpur (01-6922762)")</f>
        <v>Kupondole, Lalitpur (01-6922762)</v>
      </c>
      <c r="I21" s="2" t="str">
        <f>IFERROR(__xludf.DUMMYFUNCTION("""COMPUTED_VALUE"""),"26o 48' 45""")</f>
        <v>26o 48' 45"</v>
      </c>
      <c r="J21" s="2" t="str">
        <f>IFERROR(__xludf.DUMMYFUNCTION("""COMPUTED_VALUE"""),"26o 49' 23""")</f>
        <v>26o 49' 23"</v>
      </c>
      <c r="K21" s="2" t="str">
        <f>IFERROR(__xludf.DUMMYFUNCTION("""COMPUTED_VALUE"""),"86o 36' 37""")</f>
        <v>86o 36' 37"</v>
      </c>
      <c r="L21" s="2" t="str">
        <f>IFERROR(__xludf.DUMMYFUNCTION("""COMPUTED_VALUE"""),"86o 36' 56""")</f>
        <v>86o 36' 56"</v>
      </c>
      <c r="M21" s="2" t="str">
        <f>IFERROR(__xludf.DUMMYFUNCTION("""COMPUTED_VALUE"""),"Deuri,Bhumarashuwa (Udayapur)")</f>
        <v>Deuri,Bhumarashuwa (Udayapur)</v>
      </c>
    </row>
    <row r="22">
      <c r="A22" s="2">
        <f>IFERROR(__xludf.DUMMYFUNCTION("""COMPUTED_VALUE"""),21.0)</f>
        <v>21</v>
      </c>
      <c r="B22" s="2" t="str">
        <f>IFERROR(__xludf.DUMMYFUNCTION("""COMPUTED_VALUE"""),"Kapilvastu 30 MW Solar Project")</f>
        <v>Kapilvastu 30 MW Solar Project</v>
      </c>
      <c r="C22" s="2">
        <f>IFERROR(__xludf.DUMMYFUNCTION("""COMPUTED_VALUE"""),30.0)</f>
        <v>30</v>
      </c>
      <c r="D22" s="2">
        <f>IFERROR(__xludf.DUMMYFUNCTION("""COMPUTED_VALUE"""),1286.0)</f>
        <v>1286</v>
      </c>
      <c r="E22" s="3">
        <f>IFERROR(__xludf.DUMMYFUNCTION("""COMPUTED_VALUE"""),66238.0)</f>
        <v>66238</v>
      </c>
      <c r="F22" s="3">
        <f>IFERROR(__xludf.DUMMYFUNCTION("""COMPUTED_VALUE"""),66967.0)</f>
        <v>66967</v>
      </c>
      <c r="G22" s="2" t="str">
        <f>IFERROR(__xludf.DUMMYFUNCTION("""COMPUTED_VALUE"""),"Prime Power Limited")</f>
        <v>Prime Power Limited</v>
      </c>
      <c r="H22" s="2" t="str">
        <f>IFERROR(__xludf.DUMMYFUNCTION("""COMPUTED_VALUE"""),"Level 4, Saket Complex, Tripureshwor, Ward No. 11, Kathmandu")</f>
        <v>Level 4, Saket Complex, Tripureshwor, Ward No. 11, Kathmandu</v>
      </c>
      <c r="I22" s="2" t="str">
        <f>IFERROR(__xludf.DUMMYFUNCTION("""COMPUTED_VALUE"""),"27o 34' 44""")</f>
        <v>27o 34' 44"</v>
      </c>
      <c r="J22" s="2" t="str">
        <f>IFERROR(__xludf.DUMMYFUNCTION("""COMPUTED_VALUE"""),"27o 35' 33""")</f>
        <v>27o 35' 33"</v>
      </c>
      <c r="K22" s="2" t="str">
        <f>IFERROR(__xludf.DUMMYFUNCTION("""COMPUTED_VALUE"""),"82o 49' 55""")</f>
        <v>82o 49' 55"</v>
      </c>
      <c r="L22" s="2" t="str">
        <f>IFERROR(__xludf.DUMMYFUNCTION("""COMPUTED_VALUE"""),"82o 50' 15""")</f>
        <v>82o 50' 15"</v>
      </c>
      <c r="M22" s="2" t="str">
        <f>IFERROR(__xludf.DUMMYFUNCTION("""COMPUTED_VALUE"""),"Jawabhari (Kapilbastu)")</f>
        <v>Jawabhari (Kapilbastu)</v>
      </c>
    </row>
    <row r="23">
      <c r="A23" s="2">
        <f>IFERROR(__xludf.DUMMYFUNCTION("""COMPUTED_VALUE"""),22.0)</f>
        <v>22</v>
      </c>
      <c r="B23" s="2" t="str">
        <f>IFERROR(__xludf.DUMMYFUNCTION("""COMPUTED_VALUE"""),"Grid Connected Saurya Vidyut Aayojana, Rolpa")</f>
        <v>Grid Connected Saurya Vidyut Aayojana, Rolpa</v>
      </c>
      <c r="C23" s="2">
        <f>IFERROR(__xludf.DUMMYFUNCTION("""COMPUTED_VALUE"""),50.0)</f>
        <v>50</v>
      </c>
      <c r="D23" s="2">
        <f>IFERROR(__xludf.DUMMYFUNCTION("""COMPUTED_VALUE"""),1306.0)</f>
        <v>1306</v>
      </c>
      <c r="E23" s="3">
        <f>IFERROR(__xludf.DUMMYFUNCTION("""COMPUTED_VALUE"""),66416.0)</f>
        <v>66416</v>
      </c>
      <c r="F23" s="3">
        <f>IFERROR(__xludf.DUMMYFUNCTION("""COMPUTED_VALUE"""),67143.0)</f>
        <v>67143</v>
      </c>
      <c r="G23" s="2" t="str">
        <f>IFERROR(__xludf.DUMMYFUNCTION("""COMPUTED_VALUE"""),"Rapti Urja Private Limited")</f>
        <v>Rapti Urja Private Limited</v>
      </c>
      <c r="H23" s="2" t="str">
        <f>IFERROR(__xludf.DUMMYFUNCTION("""COMPUTED_VALUE"""),"Baneshwor - 10, Kathmandu")</f>
        <v>Baneshwor - 10, Kathmandu</v>
      </c>
      <c r="I23" s="2" t="str">
        <f>IFERROR(__xludf.DUMMYFUNCTION("""COMPUTED_VALUE"""),"28o 11' 36""")</f>
        <v>28o 11' 36"</v>
      </c>
      <c r="J23" s="2" t="str">
        <f>IFERROR(__xludf.DUMMYFUNCTION("""COMPUTED_VALUE"""),"28o 12' 50""")</f>
        <v>28o 12' 50"</v>
      </c>
      <c r="K23" s="2" t="str">
        <f>IFERROR(__xludf.DUMMYFUNCTION("""COMPUTED_VALUE"""),"82o 39' 33""")</f>
        <v>82o 39' 33"</v>
      </c>
      <c r="L23" s="2" t="str">
        <f>IFERROR(__xludf.DUMMYFUNCTION("""COMPUTED_VALUE"""),"82o 40' 57""")</f>
        <v>82o 40' 57"</v>
      </c>
      <c r="M23" s="2"/>
    </row>
    <row r="24">
      <c r="A24" s="2">
        <f>IFERROR(__xludf.DUMMYFUNCTION("""COMPUTED_VALUE"""),23.0)</f>
        <v>23</v>
      </c>
      <c r="B24" s="2" t="str">
        <f>IFERROR(__xludf.DUMMYFUNCTION("""COMPUTED_VALUE"""),"Rapti Dobhan Saurya Vidyut Aayojana")</f>
        <v>Rapti Dobhan Saurya Vidyut Aayojana</v>
      </c>
      <c r="C24" s="2">
        <f>IFERROR(__xludf.DUMMYFUNCTION("""COMPUTED_VALUE"""),30.0)</f>
        <v>30</v>
      </c>
      <c r="D24" s="2">
        <f>IFERROR(__xludf.DUMMYFUNCTION("""COMPUTED_VALUE"""),1314.0)</f>
        <v>1314</v>
      </c>
      <c r="E24" s="3">
        <f>IFERROR(__xludf.DUMMYFUNCTION("""COMPUTED_VALUE"""),66428.0)</f>
        <v>66428</v>
      </c>
      <c r="F24" s="3">
        <f>IFERROR(__xludf.DUMMYFUNCTION("""COMPUTED_VALUE"""),67157.0)</f>
        <v>67157</v>
      </c>
      <c r="G24" s="2" t="str">
        <f>IFERROR(__xludf.DUMMYFUNCTION("""COMPUTED_VALUE"""),"Lamahi Energy Limited")</f>
        <v>Lamahi Energy Limited</v>
      </c>
      <c r="H24" s="2" t="str">
        <f>IFERROR(__xludf.DUMMYFUNCTION("""COMPUTED_VALUE"""),"Ward No.11, Tripureshwor, Kathmandu")</f>
        <v>Ward No.11, Tripureshwor, Kathmandu</v>
      </c>
      <c r="I24" s="2" t="str">
        <f>IFERROR(__xludf.DUMMYFUNCTION("""COMPUTED_VALUE"""),"27o 50' 27""")</f>
        <v>27o 50' 27"</v>
      </c>
      <c r="J24" s="2" t="str">
        <f>IFERROR(__xludf.DUMMYFUNCTION("""COMPUTED_VALUE"""),"27o 50' 42""")</f>
        <v>27o 50' 42"</v>
      </c>
      <c r="K24" s="2" t="str">
        <f>IFERROR(__xludf.DUMMYFUNCTION("""COMPUTED_VALUE"""),"82o 31' 32""")</f>
        <v>82o 31' 32"</v>
      </c>
      <c r="L24" s="2" t="str">
        <f>IFERROR(__xludf.DUMMYFUNCTION("""COMPUTED_VALUE"""),"82o 31' 56""")</f>
        <v>82o 31' 56"</v>
      </c>
      <c r="M24" s="2" t="str">
        <f>IFERROR(__xludf.DUMMYFUNCTION("""COMPUTED_VALUE"""),"Satbariya (Dang)")</f>
        <v>Satbariya (Dang)</v>
      </c>
    </row>
    <row r="25">
      <c r="A25" s="2">
        <f>IFERROR(__xludf.DUMMYFUNCTION("""COMPUTED_VALUE"""),24.0)</f>
        <v>24</v>
      </c>
      <c r="B25" s="2" t="str">
        <f>IFERROR(__xludf.DUMMYFUNCTION("""COMPUTED_VALUE"""),"Palpa Saurya Vidyut Aayojana")</f>
        <v>Palpa Saurya Vidyut Aayojana</v>
      </c>
      <c r="C25" s="2">
        <f>IFERROR(__xludf.DUMMYFUNCTION("""COMPUTED_VALUE"""),50.0)</f>
        <v>50</v>
      </c>
      <c r="D25" s="2">
        <f>IFERROR(__xludf.DUMMYFUNCTION("""COMPUTED_VALUE"""),1315.0)</f>
        <v>1315</v>
      </c>
      <c r="E25" s="3">
        <f>IFERROR(__xludf.DUMMYFUNCTION("""COMPUTED_VALUE"""),66428.0)</f>
        <v>66428</v>
      </c>
      <c r="F25" s="3">
        <f>IFERROR(__xludf.DUMMYFUNCTION("""COMPUTED_VALUE"""),67157.0)</f>
        <v>67157</v>
      </c>
      <c r="G25" s="2" t="str">
        <f>IFERROR(__xludf.DUMMYFUNCTION("""COMPUTED_VALUE"""),"Gogreen Energy Limited")</f>
        <v>Gogreen Energy Limited</v>
      </c>
      <c r="H25" s="2" t="str">
        <f>IFERROR(__xludf.DUMMYFUNCTION("""COMPUTED_VALUE"""),"Sunwal-4, Nawalparasi")</f>
        <v>Sunwal-4, Nawalparasi</v>
      </c>
      <c r="I25" s="2" t="str">
        <f>IFERROR(__xludf.DUMMYFUNCTION("""COMPUTED_VALUE"""),"27o 41' 15""")</f>
        <v>27o 41' 15"</v>
      </c>
      <c r="J25" s="2" t="str">
        <f>IFERROR(__xludf.DUMMYFUNCTION("""COMPUTED_VALUE"""),"27o 42' 24""")</f>
        <v>27o 42' 24"</v>
      </c>
      <c r="K25" s="2" t="str">
        <f>IFERROR(__xludf.DUMMYFUNCTION("""COMPUTED_VALUE"""),"83o 39' 17""")</f>
        <v>83o 39' 17"</v>
      </c>
      <c r="L25" s="2" t="str">
        <f>IFERROR(__xludf.DUMMYFUNCTION("""COMPUTED_VALUE"""),"83o 41' 54""")</f>
        <v>83o 41' 54"</v>
      </c>
      <c r="M25" s="2" t="str">
        <f>IFERROR(__xludf.DUMMYFUNCTION("""COMPUTED_VALUE"""),"Gothadi (Palpa)")</f>
        <v>Gothadi (Palpa)</v>
      </c>
    </row>
    <row r="26">
      <c r="A26" s="2">
        <f>IFERROR(__xludf.DUMMYFUNCTION("""COMPUTED_VALUE"""),25.0)</f>
        <v>25</v>
      </c>
      <c r="B26" s="2" t="str">
        <f>IFERROR(__xludf.DUMMYFUNCTION("""COMPUTED_VALUE"""),"Baidehi Saurya Vidyut Aayojana")</f>
        <v>Baidehi Saurya Vidyut Aayojana</v>
      </c>
      <c r="C26" s="2">
        <f>IFERROR(__xludf.DUMMYFUNCTION("""COMPUTED_VALUE"""),10.0)</f>
        <v>10</v>
      </c>
      <c r="D26" s="2">
        <f>IFERROR(__xludf.DUMMYFUNCTION("""COMPUTED_VALUE"""),1316.0)</f>
        <v>1316</v>
      </c>
      <c r="E26" s="3">
        <f>IFERROR(__xludf.DUMMYFUNCTION("""COMPUTED_VALUE"""),66428.0)</f>
        <v>66428</v>
      </c>
      <c r="F26" s="3">
        <f>IFERROR(__xludf.DUMMYFUNCTION("""COMPUTED_VALUE"""),67157.0)</f>
        <v>67157</v>
      </c>
      <c r="G26" s="2" t="str">
        <f>IFERROR(__xludf.DUMMYFUNCTION("""COMPUTED_VALUE"""),"Baidehi Energy Private Limited")</f>
        <v>Baidehi Energy Private Limited</v>
      </c>
      <c r="H26" s="2" t="str">
        <f>IFERROR(__xludf.DUMMYFUNCTION("""COMPUTED_VALUE"""),"KMC - 9, Kathmandu")</f>
        <v>KMC - 9, Kathmandu</v>
      </c>
      <c r="I26" s="2" t="str">
        <f>IFERROR(__xludf.DUMMYFUNCTION("""COMPUTED_VALUE"""),"27o 06' 47""")</f>
        <v>27o 06' 47"</v>
      </c>
      <c r="J26" s="2" t="str">
        <f>IFERROR(__xludf.DUMMYFUNCTION("""COMPUTED_VALUE"""),"27o 07' 19""")</f>
        <v>27o 07' 19"</v>
      </c>
      <c r="K26" s="2" t="str">
        <f>IFERROR(__xludf.DUMMYFUNCTION("""COMPUTED_VALUE"""),"85o 22' 28""")</f>
        <v>85o 22' 28"</v>
      </c>
      <c r="L26" s="2" t="str">
        <f>IFERROR(__xludf.DUMMYFUNCTION("""COMPUTED_VALUE"""),"85o 22' 41""")</f>
        <v>85o 22' 41"</v>
      </c>
      <c r="M26" s="2" t="str">
        <f>IFERROR(__xludf.DUMMYFUNCTION("""COMPUTED_VALUE"""),"Judibela (Rautahat)")</f>
        <v>Judibela (Rautahat)</v>
      </c>
    </row>
    <row r="27">
      <c r="A27" s="2">
        <f>IFERROR(__xludf.DUMMYFUNCTION("""COMPUTED_VALUE"""),26.0)</f>
        <v>26</v>
      </c>
      <c r="B27" s="2" t="str">
        <f>IFERROR(__xludf.DUMMYFUNCTION("""COMPUTED_VALUE"""),"Bodhimai Saurya Vidyut Aayojana")</f>
        <v>Bodhimai Saurya Vidyut Aayojana</v>
      </c>
      <c r="C27" s="2">
        <f>IFERROR(__xludf.DUMMYFUNCTION("""COMPUTED_VALUE"""),5.0)</f>
        <v>5</v>
      </c>
      <c r="D27" s="2">
        <f>IFERROR(__xludf.DUMMYFUNCTION("""COMPUTED_VALUE"""),1319.0)</f>
        <v>1319</v>
      </c>
      <c r="E27" s="3">
        <f>IFERROR(__xludf.DUMMYFUNCTION("""COMPUTED_VALUE"""),66428.0)</f>
        <v>66428</v>
      </c>
      <c r="F27" s="3">
        <f>IFERROR(__xludf.DUMMYFUNCTION("""COMPUTED_VALUE"""),67157.0)</f>
        <v>67157</v>
      </c>
      <c r="G27" s="2" t="str">
        <f>IFERROR(__xludf.DUMMYFUNCTION("""COMPUTED_VALUE"""),"Sunlight Renewable Energy Private Limited")</f>
        <v>Sunlight Renewable Energy Private Limited</v>
      </c>
      <c r="H27" s="2" t="str">
        <f>IFERROR(__xludf.DUMMYFUNCTION("""COMPUTED_VALUE"""),"Dhapakhel-23, Lalitpur, 9843632772")</f>
        <v>Dhapakhel-23, Lalitpur, 9843632772</v>
      </c>
      <c r="I27" s="2" t="str">
        <f>IFERROR(__xludf.DUMMYFUNCTION("""COMPUTED_VALUE"""),"26o 53' 32""")</f>
        <v>26o 53' 32"</v>
      </c>
      <c r="J27" s="2" t="str">
        <f>IFERROR(__xludf.DUMMYFUNCTION("""COMPUTED_VALUE"""),"26o 53' 42""")</f>
        <v>26o 53' 42"</v>
      </c>
      <c r="K27" s="2" t="str">
        <f>IFERROR(__xludf.DUMMYFUNCTION("""COMPUTED_VALUE"""),"85o 14' 10""")</f>
        <v>85o 14' 10"</v>
      </c>
      <c r="L27" s="2" t="str">
        <f>IFERROR(__xludf.DUMMYFUNCTION("""COMPUTED_VALUE"""),"85o 14' 27""")</f>
        <v>85o 14' 27"</v>
      </c>
      <c r="M27" s="2" t="str">
        <f>IFERROR(__xludf.DUMMYFUNCTION("""COMPUTED_VALUE"""),"Debahi (Rautahat)")</f>
        <v>Debahi (Rautahat)</v>
      </c>
    </row>
    <row r="28">
      <c r="A28" s="2">
        <f>IFERROR(__xludf.DUMMYFUNCTION("""COMPUTED_VALUE"""),27.0)</f>
        <v>27</v>
      </c>
      <c r="B28" s="2" t="str">
        <f>IFERROR(__xludf.DUMMYFUNCTION("""COMPUTED_VALUE"""),"Sitalpati Saurya Vidyut Aayojana")</f>
        <v>Sitalpati Saurya Vidyut Aayojana</v>
      </c>
      <c r="C28" s="2">
        <f>IFERROR(__xludf.DUMMYFUNCTION("""COMPUTED_VALUE"""),10.0)</f>
        <v>10</v>
      </c>
      <c r="D28" s="2">
        <f>IFERROR(__xludf.DUMMYFUNCTION("""COMPUTED_VALUE"""),1320.0)</f>
        <v>1320</v>
      </c>
      <c r="E28" s="3">
        <f>IFERROR(__xludf.DUMMYFUNCTION("""COMPUTED_VALUE"""),66428.0)</f>
        <v>66428</v>
      </c>
      <c r="F28" s="3">
        <f>IFERROR(__xludf.DUMMYFUNCTION("""COMPUTED_VALUE"""),67157.0)</f>
        <v>67157</v>
      </c>
      <c r="G28" s="2" t="str">
        <f>IFERROR(__xludf.DUMMYFUNCTION("""COMPUTED_VALUE"""),"Himalayan Solar Power Pvt. Ltd.")</f>
        <v>Himalayan Solar Power Pvt. Ltd.</v>
      </c>
      <c r="H28" s="2" t="str">
        <f>IFERROR(__xludf.DUMMYFUNCTION("""COMPUTED_VALUE"""),"Gusingal, Sanepa, Lalitpur")</f>
        <v>Gusingal, Sanepa, Lalitpur</v>
      </c>
      <c r="I28" s="2" t="str">
        <f>IFERROR(__xludf.DUMMYFUNCTION("""COMPUTED_VALUE"""),"27o 24' 00""")</f>
        <v>27o 24' 00"</v>
      </c>
      <c r="J28" s="2" t="str">
        <f>IFERROR(__xludf.DUMMYFUNCTION("""COMPUTED_VALUE"""),"27o 24' 18""")</f>
        <v>27o 24' 18"</v>
      </c>
      <c r="K28" s="2" t="str">
        <f>IFERROR(__xludf.DUMMYFUNCTION("""COMPUTED_VALUE"""),"87o 08' 30""")</f>
        <v>87o 08' 30"</v>
      </c>
      <c r="L28" s="2" t="str">
        <f>IFERROR(__xludf.DUMMYFUNCTION("""COMPUTED_VALUE"""),"87o 08' 47""")</f>
        <v>87o 08' 47"</v>
      </c>
      <c r="M28" s="2" t="str">
        <f>IFERROR(__xludf.DUMMYFUNCTION("""COMPUTED_VALUE"""),"Baneswor (Sankhuwasabha)")</f>
        <v>Baneswor (Sankhuwasabha)</v>
      </c>
    </row>
    <row r="29">
      <c r="A29" s="2">
        <f>IFERROR(__xludf.DUMMYFUNCTION("""COMPUTED_VALUE"""),28.0)</f>
        <v>28</v>
      </c>
      <c r="B29" s="2" t="str">
        <f>IFERROR(__xludf.DUMMYFUNCTION("""COMPUTED_VALUE"""),"Daunnedevi Saurya Vidyut Aayojana")</f>
        <v>Daunnedevi Saurya Vidyut Aayojana</v>
      </c>
      <c r="C29" s="2">
        <f>IFERROR(__xludf.DUMMYFUNCTION("""COMPUTED_VALUE"""),25.0)</f>
        <v>25</v>
      </c>
      <c r="D29" s="2">
        <f>IFERROR(__xludf.DUMMYFUNCTION("""COMPUTED_VALUE"""),1321.0)</f>
        <v>1321</v>
      </c>
      <c r="E29" s="3">
        <f>IFERROR(__xludf.DUMMYFUNCTION("""COMPUTED_VALUE"""),66428.0)</f>
        <v>66428</v>
      </c>
      <c r="F29" s="3">
        <f>IFERROR(__xludf.DUMMYFUNCTION("""COMPUTED_VALUE"""),67157.0)</f>
        <v>67157</v>
      </c>
      <c r="G29" s="2" t="str">
        <f>IFERROR(__xludf.DUMMYFUNCTION("""COMPUTED_VALUE"""),"Daunnedevi Solar Limited")</f>
        <v>Daunnedevi Solar Limited</v>
      </c>
      <c r="H29" s="2" t="str">
        <f>IFERROR(__xludf.DUMMYFUNCTION("""COMPUTED_VALUE"""),"Panipokhari - 03, Kathmandu")</f>
        <v>Panipokhari - 03, Kathmandu</v>
      </c>
      <c r="I29" s="2" t="str">
        <f>IFERROR(__xludf.DUMMYFUNCTION("""COMPUTED_VALUE"""),"27o 24' 17""")</f>
        <v>27o 24' 17"</v>
      </c>
      <c r="J29" s="2" t="str">
        <f>IFERROR(__xludf.DUMMYFUNCTION("""COMPUTED_VALUE"""),"27o 24' 45""")</f>
        <v>27o 24' 45"</v>
      </c>
      <c r="K29" s="2" t="str">
        <f>IFERROR(__xludf.DUMMYFUNCTION("""COMPUTED_VALUE"""),"83o 48' 34""")</f>
        <v>83o 48' 34"</v>
      </c>
      <c r="L29" s="2" t="str">
        <f>IFERROR(__xludf.DUMMYFUNCTION("""COMPUTED_VALUE"""),"83o 49' 07""")</f>
        <v>83o 49' 07"</v>
      </c>
      <c r="M29" s="2"/>
    </row>
    <row r="30">
      <c r="A30" s="2">
        <f>IFERROR(__xludf.DUMMYFUNCTION("""COMPUTED_VALUE"""),29.0)</f>
        <v>29</v>
      </c>
      <c r="B30" s="2" t="str">
        <f>IFERROR(__xludf.DUMMYFUNCTION("""COMPUTED_VALUE"""),"Nawalpur Helio Saurya Vidyut Aayojana")</f>
        <v>Nawalpur Helio Saurya Vidyut Aayojana</v>
      </c>
      <c r="C30" s="2">
        <f>IFERROR(__xludf.DUMMYFUNCTION("""COMPUTED_VALUE"""),10.0)</f>
        <v>10</v>
      </c>
      <c r="D30" s="2">
        <f>IFERROR(__xludf.DUMMYFUNCTION("""COMPUTED_VALUE"""),1323.0)</f>
        <v>1323</v>
      </c>
      <c r="E30" s="3">
        <f>IFERROR(__xludf.DUMMYFUNCTION("""COMPUTED_VALUE"""),66430.0)</f>
        <v>66430</v>
      </c>
      <c r="F30" s="3">
        <f>IFERROR(__xludf.DUMMYFUNCTION("""COMPUTED_VALUE"""),67159.0)</f>
        <v>67159</v>
      </c>
      <c r="G30" s="2" t="str">
        <f>IFERROR(__xludf.DUMMYFUNCTION("""COMPUTED_VALUE"""),"Helio Spark Energy Private Limited")</f>
        <v>Helio Spark Energy Private Limited</v>
      </c>
      <c r="H30" s="2" t="str">
        <f>IFERROR(__xludf.DUMMYFUNCTION("""COMPUTED_VALUE"""),"Madhyapur Thimi - 3, Bhaktapur")</f>
        <v>Madhyapur Thimi - 3, Bhaktapur</v>
      </c>
      <c r="I30" s="2" t="str">
        <f>IFERROR(__xludf.DUMMYFUNCTION("""COMPUTED_VALUE"""),"27o 04' 29""")</f>
        <v>27o 04' 29"</v>
      </c>
      <c r="J30" s="2" t="str">
        <f>IFERROR(__xludf.DUMMYFUNCTION("""COMPUTED_VALUE"""),"27o 04' 47""")</f>
        <v>27o 04' 47"</v>
      </c>
      <c r="K30" s="2" t="str">
        <f>IFERROR(__xludf.DUMMYFUNCTION("""COMPUTED_VALUE"""),"85o 36' 15""")</f>
        <v>85o 36' 15"</v>
      </c>
      <c r="L30" s="2" t="str">
        <f>IFERROR(__xludf.DUMMYFUNCTION("""COMPUTED_VALUE"""),"85o 36' 34""")</f>
        <v>85o 36' 34"</v>
      </c>
      <c r="M30" s="2" t="str">
        <f>IFERROR(__xludf.DUMMYFUNCTION("""COMPUTED_VALUE"""),"Lalbandi (Sarlahi)")</f>
        <v>Lalbandi (Sarlahi)</v>
      </c>
    </row>
    <row r="31">
      <c r="A31" s="2">
        <f>IFERROR(__xludf.DUMMYFUNCTION("""COMPUTED_VALUE"""),30.0)</f>
        <v>30</v>
      </c>
      <c r="B31" s="2" t="str">
        <f>IFERROR(__xludf.DUMMYFUNCTION("""COMPUTED_VALUE"""),"Lahan Helio Saurya Vidyut Aayojana")</f>
        <v>Lahan Helio Saurya Vidyut Aayojana</v>
      </c>
      <c r="C31" s="2">
        <f>IFERROR(__xludf.DUMMYFUNCTION("""COMPUTED_VALUE"""),10.0)</f>
        <v>10</v>
      </c>
      <c r="D31" s="2">
        <f>IFERROR(__xludf.DUMMYFUNCTION("""COMPUTED_VALUE"""),1324.0)</f>
        <v>1324</v>
      </c>
      <c r="E31" s="3">
        <f>IFERROR(__xludf.DUMMYFUNCTION("""COMPUTED_VALUE"""),66430.0)</f>
        <v>66430</v>
      </c>
      <c r="F31" s="3">
        <f>IFERROR(__xludf.DUMMYFUNCTION("""COMPUTED_VALUE"""),67159.0)</f>
        <v>67159</v>
      </c>
      <c r="G31" s="2" t="str">
        <f>IFERROR(__xludf.DUMMYFUNCTION("""COMPUTED_VALUE"""),"Helio Spark Energy Private Limited")</f>
        <v>Helio Spark Energy Private Limited</v>
      </c>
      <c r="H31" s="2" t="str">
        <f>IFERROR(__xludf.DUMMYFUNCTION("""COMPUTED_VALUE"""),"Madhyapur Thimi - 3, Bhaktapur")</f>
        <v>Madhyapur Thimi - 3, Bhaktapur</v>
      </c>
      <c r="I31" s="2" t="str">
        <f>IFERROR(__xludf.DUMMYFUNCTION("""COMPUTED_VALUE"""),"26o 41' 50""")</f>
        <v>26o 41' 50"</v>
      </c>
      <c r="J31" s="2" t="str">
        <f>IFERROR(__xludf.DUMMYFUNCTION("""COMPUTED_VALUE"""),"26o 42' 02""")</f>
        <v>26o 42' 02"</v>
      </c>
      <c r="K31" s="2" t="str">
        <f>IFERROR(__xludf.DUMMYFUNCTION("""COMPUTED_VALUE"""),"86o 27' 19""")</f>
        <v>86o 27' 19"</v>
      </c>
      <c r="L31" s="2" t="str">
        <f>IFERROR(__xludf.DUMMYFUNCTION("""COMPUTED_VALUE"""),"86o 27' 42""")</f>
        <v>86o 27' 42"</v>
      </c>
      <c r="M31" s="2" t="str">
        <f>IFERROR(__xludf.DUMMYFUNCTION("""COMPUTED_VALUE"""),"Bhawanipur Kalabanjar (Siraha)")</f>
        <v>Bhawanipur Kalabanjar (Siraha)</v>
      </c>
    </row>
    <row r="32">
      <c r="A32" s="2">
        <f>IFERROR(__xludf.DUMMYFUNCTION("""COMPUTED_VALUE"""),31.0)</f>
        <v>31</v>
      </c>
      <c r="B32" s="2" t="str">
        <f>IFERROR(__xludf.DUMMYFUNCTION("""COMPUTED_VALUE"""),"Bhairavnath Saurya Vidyut Aayojana")</f>
        <v>Bhairavnath Saurya Vidyut Aayojana</v>
      </c>
      <c r="C32" s="2">
        <f>IFERROR(__xludf.DUMMYFUNCTION("""COMPUTED_VALUE"""),10.0)</f>
        <v>10</v>
      </c>
      <c r="D32" s="2">
        <f>IFERROR(__xludf.DUMMYFUNCTION("""COMPUTED_VALUE"""),1325.0)</f>
        <v>1325</v>
      </c>
      <c r="E32" s="3">
        <f>IFERROR(__xludf.DUMMYFUNCTION("""COMPUTED_VALUE"""),66430.0)</f>
        <v>66430</v>
      </c>
      <c r="F32" s="3">
        <f>IFERROR(__xludf.DUMMYFUNCTION("""COMPUTED_VALUE"""),67159.0)</f>
        <v>67159</v>
      </c>
      <c r="G32" s="2" t="str">
        <f>IFERROR(__xludf.DUMMYFUNCTION("""COMPUTED_VALUE"""),"Bhairavnath Green Energy Pvt. Ltd.")</f>
        <v>Bhairavnath Green Energy Pvt. Ltd.</v>
      </c>
      <c r="H32" s="2" t="str">
        <f>IFERROR(__xludf.DUMMYFUNCTION("""COMPUTED_VALUE"""),"Manigram, Rupandehi")</f>
        <v>Manigram, Rupandehi</v>
      </c>
      <c r="I32" s="2" t="str">
        <f>IFERROR(__xludf.DUMMYFUNCTION("""COMPUTED_VALUE"""),"27o 51' 13""")</f>
        <v>27o 51' 13"</v>
      </c>
      <c r="J32" s="2" t="str">
        <f>IFERROR(__xludf.DUMMYFUNCTION("""COMPUTED_VALUE"""),"27o 51' 32""")</f>
        <v>27o 51' 32"</v>
      </c>
      <c r="K32" s="2" t="str">
        <f>IFERROR(__xludf.DUMMYFUNCTION("""COMPUTED_VALUE"""),"83o 28' 40""")</f>
        <v>83o 28' 40"</v>
      </c>
      <c r="L32" s="2" t="str">
        <f>IFERROR(__xludf.DUMMYFUNCTION("""COMPUTED_VALUE"""),"83o 29' 00""")</f>
        <v>83o 29' 00"</v>
      </c>
      <c r="M32" s="2" t="str">
        <f>IFERROR(__xludf.DUMMYFUNCTION("""COMPUTED_VALUE"""),"Tansen N.P. (Palpa)")</f>
        <v>Tansen N.P. (Palpa)</v>
      </c>
    </row>
    <row r="33">
      <c r="A33" s="2">
        <f>IFERROR(__xludf.DUMMYFUNCTION("""COMPUTED_VALUE"""),32.0)</f>
        <v>32</v>
      </c>
      <c r="B33" s="2" t="str">
        <f>IFERROR(__xludf.DUMMYFUNCTION("""COMPUTED_VALUE"""),"Tilaurakot Saurya Vidyut Aayojana")</f>
        <v>Tilaurakot Saurya Vidyut Aayojana</v>
      </c>
      <c r="C33" s="2">
        <f>IFERROR(__xludf.DUMMYFUNCTION("""COMPUTED_VALUE"""),10.0)</f>
        <v>10</v>
      </c>
      <c r="D33" s="2">
        <f>IFERROR(__xludf.DUMMYFUNCTION("""COMPUTED_VALUE"""),1326.0)</f>
        <v>1326</v>
      </c>
      <c r="E33" s="3">
        <f>IFERROR(__xludf.DUMMYFUNCTION("""COMPUTED_VALUE"""),66430.0)</f>
        <v>66430</v>
      </c>
      <c r="F33" s="3">
        <f>IFERROR(__xludf.DUMMYFUNCTION("""COMPUTED_VALUE"""),67159.0)</f>
        <v>67159</v>
      </c>
      <c r="G33" s="2" t="str">
        <f>IFERROR(__xludf.DUMMYFUNCTION("""COMPUTED_VALUE"""),"Tilaurakot Solar Limited")</f>
        <v>Tilaurakot Solar Limited</v>
      </c>
      <c r="H33" s="2" t="str">
        <f>IFERROR(__xludf.DUMMYFUNCTION("""COMPUTED_VALUE"""),"Panipokhari - 03, Kathmandu")</f>
        <v>Panipokhari - 03, Kathmandu</v>
      </c>
      <c r="I33" s="2" t="str">
        <f>IFERROR(__xludf.DUMMYFUNCTION("""COMPUTED_VALUE"""),"27o 32' 28""")</f>
        <v>27o 32' 28"</v>
      </c>
      <c r="J33" s="2" t="str">
        <f>IFERROR(__xludf.DUMMYFUNCTION("""COMPUTED_VALUE"""),"27o 32' 47""")</f>
        <v>27o 32' 47"</v>
      </c>
      <c r="K33" s="2" t="str">
        <f>IFERROR(__xludf.DUMMYFUNCTION("""COMPUTED_VALUE"""),"83o 04' 22""")</f>
        <v>83o 04' 22"</v>
      </c>
      <c r="L33" s="2" t="str">
        <f>IFERROR(__xludf.DUMMYFUNCTION("""COMPUTED_VALUE"""),"83o 04' 41""")</f>
        <v>83o 04' 41"</v>
      </c>
      <c r="M33" s="2"/>
    </row>
    <row r="34">
      <c r="A34" s="2">
        <f>IFERROR(__xludf.DUMMYFUNCTION("""COMPUTED_VALUE"""),33.0)</f>
        <v>33</v>
      </c>
      <c r="B34" s="2" t="str">
        <f>IFERROR(__xludf.DUMMYFUNCTION("""COMPUTED_VALUE"""),"Badaiyataal Saurya Vidyut Aayojana")</f>
        <v>Badaiyataal Saurya Vidyut Aayojana</v>
      </c>
      <c r="C34" s="2">
        <f>IFERROR(__xludf.DUMMYFUNCTION("""COMPUTED_VALUE"""),10.0)</f>
        <v>10</v>
      </c>
      <c r="D34" s="2">
        <f>IFERROR(__xludf.DUMMYFUNCTION("""COMPUTED_VALUE"""),1327.0)</f>
        <v>1327</v>
      </c>
      <c r="E34" s="3">
        <f>IFERROR(__xludf.DUMMYFUNCTION("""COMPUTED_VALUE"""),66430.0)</f>
        <v>66430</v>
      </c>
      <c r="F34" s="3">
        <f>IFERROR(__xludf.DUMMYFUNCTION("""COMPUTED_VALUE"""),66794.0)</f>
        <v>66794</v>
      </c>
      <c r="G34" s="2" t="str">
        <f>IFERROR(__xludf.DUMMYFUNCTION("""COMPUTED_VALUE"""),"Badaiyataal Solar Limited")</f>
        <v>Badaiyataal Solar Limited</v>
      </c>
      <c r="H34" s="2" t="str">
        <f>IFERROR(__xludf.DUMMYFUNCTION("""COMPUTED_VALUE"""),"Panipokhari - 03, Kathmandu")</f>
        <v>Panipokhari - 03, Kathmandu</v>
      </c>
      <c r="I34" s="2" t="str">
        <f>IFERROR(__xludf.DUMMYFUNCTION("""COMPUTED_VALUE"""),"28o 08' 58""")</f>
        <v>28o 08' 58"</v>
      </c>
      <c r="J34" s="2" t="str">
        <f>IFERROR(__xludf.DUMMYFUNCTION("""COMPUTED_VALUE"""),"28o 09' 12""")</f>
        <v>28o 09' 12"</v>
      </c>
      <c r="K34" s="2" t="str">
        <f>IFERROR(__xludf.DUMMYFUNCTION("""COMPUTED_VALUE"""),"81o 28' 51""")</f>
        <v>81o 28' 51"</v>
      </c>
      <c r="L34" s="2" t="str">
        <f>IFERROR(__xludf.DUMMYFUNCTION("""COMPUTED_VALUE"""),"81o 29' 10""")</f>
        <v>81o 29' 10"</v>
      </c>
      <c r="M34" s="2"/>
    </row>
    <row r="35">
      <c r="A35" s="2">
        <f>IFERROR(__xludf.DUMMYFUNCTION("""COMPUTED_VALUE"""),34.0)</f>
        <v>34</v>
      </c>
      <c r="B35" s="2" t="str">
        <f>IFERROR(__xludf.DUMMYFUNCTION("""COMPUTED_VALUE"""),"Lord Buddha Saurya Vidyut Aayojana")</f>
        <v>Lord Buddha Saurya Vidyut Aayojana</v>
      </c>
      <c r="C35" s="2">
        <f>IFERROR(__xludf.DUMMYFUNCTION("""COMPUTED_VALUE"""),10.0)</f>
        <v>10</v>
      </c>
      <c r="D35" s="2">
        <f>IFERROR(__xludf.DUMMYFUNCTION("""COMPUTED_VALUE"""),1328.0)</f>
        <v>1328</v>
      </c>
      <c r="E35" s="3">
        <f>IFERROR(__xludf.DUMMYFUNCTION("""COMPUTED_VALUE"""),66430.0)</f>
        <v>66430</v>
      </c>
      <c r="F35" s="3">
        <f>IFERROR(__xludf.DUMMYFUNCTION("""COMPUTED_VALUE"""),67159.0)</f>
        <v>67159</v>
      </c>
      <c r="G35" s="2" t="str">
        <f>IFERROR(__xludf.DUMMYFUNCTION("""COMPUTED_VALUE"""),"Lord Buddha Solar Limited")</f>
        <v>Lord Buddha Solar Limited</v>
      </c>
      <c r="H35" s="2" t="str">
        <f>IFERROR(__xludf.DUMMYFUNCTION("""COMPUTED_VALUE"""),"Panipokhari - 03, Kathmandu")</f>
        <v>Panipokhari - 03, Kathmandu</v>
      </c>
      <c r="I35" s="2" t="str">
        <f>IFERROR(__xludf.DUMMYFUNCTION("""COMPUTED_VALUE"""),"27o 38' 16""")</f>
        <v>27o 38' 16"</v>
      </c>
      <c r="J35" s="2" t="str">
        <f>IFERROR(__xludf.DUMMYFUNCTION("""COMPUTED_VALUE"""),"27o 38' 33""")</f>
        <v>27o 38' 33"</v>
      </c>
      <c r="K35" s="2" t="str">
        <f>IFERROR(__xludf.DUMMYFUNCTION("""COMPUTED_VALUE"""),"83o 00' 01""")</f>
        <v>83o 00' 01"</v>
      </c>
      <c r="L35" s="2" t="str">
        <f>IFERROR(__xludf.DUMMYFUNCTION("""COMPUTED_VALUE"""),"83o 00' 16""")</f>
        <v>83o 00' 16"</v>
      </c>
      <c r="M35" s="2" t="str">
        <f>IFERROR(__xludf.DUMMYFUNCTION("""COMPUTED_VALUE"""),"Budhi,Hariharpur (Kapilbastu)")</f>
        <v>Budhi,Hariharpur (Kapilbastu)</v>
      </c>
    </row>
    <row r="36">
      <c r="A36" s="2">
        <f>IFERROR(__xludf.DUMMYFUNCTION("""COMPUTED_VALUE"""),35.0)</f>
        <v>35</v>
      </c>
      <c r="B36" s="2" t="str">
        <f>IFERROR(__xludf.DUMMYFUNCTION("""COMPUTED_VALUE"""),"Dhanushadham Saurya Vidyut Aayojana")</f>
        <v>Dhanushadham Saurya Vidyut Aayojana</v>
      </c>
      <c r="C36" s="2">
        <f>IFERROR(__xludf.DUMMYFUNCTION("""COMPUTED_VALUE"""),9.5)</f>
        <v>9.5</v>
      </c>
      <c r="D36" s="2">
        <f>IFERROR(__xludf.DUMMYFUNCTION("""COMPUTED_VALUE"""),1329.0)</f>
        <v>1329</v>
      </c>
      <c r="E36" s="3">
        <f>IFERROR(__xludf.DUMMYFUNCTION("""COMPUTED_VALUE"""),66430.0)</f>
        <v>66430</v>
      </c>
      <c r="F36" s="3">
        <f>IFERROR(__xludf.DUMMYFUNCTION("""COMPUTED_VALUE"""),67159.0)</f>
        <v>67159</v>
      </c>
      <c r="G36" s="2" t="str">
        <f>IFERROR(__xludf.DUMMYFUNCTION("""COMPUTED_VALUE"""),"Eco Global Power Development Limited")</f>
        <v>Eco Global Power Development Limited</v>
      </c>
      <c r="H36" s="2" t="str">
        <f>IFERROR(__xludf.DUMMYFUNCTION("""COMPUTED_VALUE"""),"Thapathali, Kathmandu (9843756055)")</f>
        <v>Thapathali, Kathmandu (9843756055)</v>
      </c>
      <c r="I36" s="2" t="str">
        <f>IFERROR(__xludf.DUMMYFUNCTION("""COMPUTED_VALUE"""),"26o 50' 17""")</f>
        <v>26o 50' 17"</v>
      </c>
      <c r="J36" s="2" t="str">
        <f>IFERROR(__xludf.DUMMYFUNCTION("""COMPUTED_VALUE"""),"26o 50' 35""")</f>
        <v>26o 50' 35"</v>
      </c>
      <c r="K36" s="2" t="str">
        <f>IFERROR(__xludf.DUMMYFUNCTION("""COMPUTED_VALUE"""),"86o 01' 48""")</f>
        <v>86o 01' 48"</v>
      </c>
      <c r="L36" s="2" t="str">
        <f>IFERROR(__xludf.DUMMYFUNCTION("""COMPUTED_VALUE"""),"86o 02' 02""")</f>
        <v>86o 02' 02"</v>
      </c>
      <c r="M36" s="2" t="str">
        <f>IFERROR(__xludf.DUMMYFUNCTION("""COMPUTED_VALUE"""),"Umaprempur (Dhanusha)")</f>
        <v>Umaprempur (Dhanusha)</v>
      </c>
    </row>
    <row r="37">
      <c r="A37" s="2">
        <f>IFERROR(__xludf.DUMMYFUNCTION("""COMPUTED_VALUE"""),36.0)</f>
        <v>36</v>
      </c>
      <c r="B37" s="2" t="str">
        <f>IFERROR(__xludf.DUMMYFUNCTION("""COMPUTED_VALUE"""),"Kushaha Saurya Vidyut Aayojana")</f>
        <v>Kushaha Saurya Vidyut Aayojana</v>
      </c>
      <c r="C37" s="2">
        <f>IFERROR(__xludf.DUMMYFUNCTION("""COMPUTED_VALUE"""),50.0)</f>
        <v>50</v>
      </c>
      <c r="D37" s="2">
        <f>IFERROR(__xludf.DUMMYFUNCTION("""COMPUTED_VALUE"""),1331.0)</f>
        <v>1331</v>
      </c>
      <c r="E37" s="3">
        <f>IFERROR(__xludf.DUMMYFUNCTION("""COMPUTED_VALUE"""),66430.0)</f>
        <v>66430</v>
      </c>
      <c r="F37" s="3">
        <f>IFERROR(__xludf.DUMMYFUNCTION("""COMPUTED_VALUE"""),67159.0)</f>
        <v>67159</v>
      </c>
      <c r="G37" s="2" t="str">
        <f>IFERROR(__xludf.DUMMYFUNCTION("""COMPUTED_VALUE"""),"Solaeris Energy Private Limited")</f>
        <v>Solaeris Energy Private Limited</v>
      </c>
      <c r="H37" s="2" t="str">
        <f>IFERROR(__xludf.DUMMYFUNCTION("""COMPUTED_VALUE"""),"Sinamangal - 9, Kathmandu")</f>
        <v>Sinamangal - 9, Kathmandu</v>
      </c>
      <c r="I37" s="2" t="str">
        <f>IFERROR(__xludf.DUMMYFUNCTION("""COMPUTED_VALUE"""),"26o 35' 23""")</f>
        <v>26o 35' 23"</v>
      </c>
      <c r="J37" s="2" t="str">
        <f>IFERROR(__xludf.DUMMYFUNCTION("""COMPUTED_VALUE"""),"26o 36' 02""")</f>
        <v>26o 36' 02"</v>
      </c>
      <c r="K37" s="2" t="str">
        <f>IFERROR(__xludf.DUMMYFUNCTION("""COMPUTED_VALUE"""),"87o 00' 54""")</f>
        <v>87o 00' 54"</v>
      </c>
      <c r="L37" s="2" t="str">
        <f>IFERROR(__xludf.DUMMYFUNCTION("""COMPUTED_VALUE"""),"87o 01' 19""")</f>
        <v>87o 01' 19"</v>
      </c>
      <c r="M37" s="2"/>
    </row>
    <row r="38">
      <c r="A38" s="2">
        <f>IFERROR(__xludf.DUMMYFUNCTION("""COMPUTED_VALUE"""),37.0)</f>
        <v>37</v>
      </c>
      <c r="B38" s="2" t="str">
        <f>IFERROR(__xludf.DUMMYFUNCTION("""COMPUTED_VALUE"""),"Barju Saurya Vidyut Aayojana")</f>
        <v>Barju Saurya Vidyut Aayojana</v>
      </c>
      <c r="C38" s="2">
        <f>IFERROR(__xludf.DUMMYFUNCTION("""COMPUTED_VALUE"""),20.0)</f>
        <v>20</v>
      </c>
      <c r="D38" s="2">
        <f>IFERROR(__xludf.DUMMYFUNCTION("""COMPUTED_VALUE"""),1332.0)</f>
        <v>1332</v>
      </c>
      <c r="E38" s="3">
        <f>IFERROR(__xludf.DUMMYFUNCTION("""COMPUTED_VALUE"""),66430.0)</f>
        <v>66430</v>
      </c>
      <c r="F38" s="3">
        <f>IFERROR(__xludf.DUMMYFUNCTION("""COMPUTED_VALUE"""),67159.0)</f>
        <v>67159</v>
      </c>
      <c r="G38" s="2" t="str">
        <f>IFERROR(__xludf.DUMMYFUNCTION("""COMPUTED_VALUE"""),"Pashupati Energy Private Limited")</f>
        <v>Pashupati Energy Private Limited</v>
      </c>
      <c r="H38" s="2" t="str">
        <f>IFERROR(__xludf.DUMMYFUNCTION("""COMPUTED_VALUE"""),"Biratnagar - 6, Morang, Koshi Province")</f>
        <v>Biratnagar - 6, Morang, Koshi Province</v>
      </c>
      <c r="I38" s="2" t="str">
        <f>IFERROR(__xludf.DUMMYFUNCTION("""COMPUTED_VALUE"""),"26o 26' 33""")</f>
        <v>26o 26' 33"</v>
      </c>
      <c r="J38" s="2" t="str">
        <f>IFERROR(__xludf.DUMMYFUNCTION("""COMPUTED_VALUE"""),"26o 26' 58""")</f>
        <v>26o 26' 58"</v>
      </c>
      <c r="K38" s="2" t="str">
        <f>IFERROR(__xludf.DUMMYFUNCTION("""COMPUTED_VALUE"""),"87o 12' 09""")</f>
        <v>87o 12' 09"</v>
      </c>
      <c r="L38" s="2" t="str">
        <f>IFERROR(__xludf.DUMMYFUNCTION("""COMPUTED_VALUE"""),"87o 12' 44""")</f>
        <v>87o 12' 44"</v>
      </c>
      <c r="M38" s="2" t="str">
        <f>IFERROR(__xludf.DUMMYFUNCTION("""COMPUTED_VALUE"""),"Amaduwa,Amahibelaha (Sunsari)")</f>
        <v>Amaduwa,Amahibelaha (Sunsari)</v>
      </c>
    </row>
    <row r="39">
      <c r="A39" s="2">
        <f>IFERROR(__xludf.DUMMYFUNCTION("""COMPUTED_VALUE"""),38.0)</f>
        <v>38</v>
      </c>
      <c r="B39" s="2" t="str">
        <f>IFERROR(__xludf.DUMMYFUNCTION("""COMPUTED_VALUE"""),"Supadeurali Saurya Vidyut Aayojana")</f>
        <v>Supadeurali Saurya Vidyut Aayojana</v>
      </c>
      <c r="C39" s="2">
        <f>IFERROR(__xludf.DUMMYFUNCTION("""COMPUTED_VALUE"""),20.0)</f>
        <v>20</v>
      </c>
      <c r="D39" s="2">
        <f>IFERROR(__xludf.DUMMYFUNCTION("""COMPUTED_VALUE"""),1333.0)</f>
        <v>1333</v>
      </c>
      <c r="E39" s="3">
        <f>IFERROR(__xludf.DUMMYFUNCTION("""COMPUTED_VALUE"""),66430.0)</f>
        <v>66430</v>
      </c>
      <c r="F39" s="3">
        <f>IFERROR(__xludf.DUMMYFUNCTION("""COMPUTED_VALUE"""),67159.0)</f>
        <v>67159</v>
      </c>
      <c r="G39" s="2" t="str">
        <f>IFERROR(__xludf.DUMMYFUNCTION("""COMPUTED_VALUE"""),"Supadeurali Solar Limited")</f>
        <v>Supadeurali Solar Limited</v>
      </c>
      <c r="H39" s="2" t="str">
        <f>IFERROR(__xludf.DUMMYFUNCTION("""COMPUTED_VALUE"""),"Panipokhari - 03, Kathmandu")</f>
        <v>Panipokhari - 03, Kathmandu</v>
      </c>
      <c r="I39" s="2" t="str">
        <f>IFERROR(__xludf.DUMMYFUNCTION("""COMPUTED_VALUE"""),"27o 58' 42""")</f>
        <v>27o 58' 42"</v>
      </c>
      <c r="J39" s="2" t="str">
        <f>IFERROR(__xludf.DUMMYFUNCTION("""COMPUTED_VALUE"""),"27o 59' 08""")</f>
        <v>27o 59' 08"</v>
      </c>
      <c r="K39" s="2" t="str">
        <f>IFERROR(__xludf.DUMMYFUNCTION("""COMPUTED_VALUE"""),"83o 06' 12""")</f>
        <v>83o 06' 12"</v>
      </c>
      <c r="L39" s="2" t="str">
        <f>IFERROR(__xludf.DUMMYFUNCTION("""COMPUTED_VALUE"""),"83o 06' 47""")</f>
        <v>83o 06' 47"</v>
      </c>
      <c r="M39" s="2" t="str">
        <f>IFERROR(__xludf.DUMMYFUNCTION("""COMPUTED_VALUE"""),"Argha,Keemadada (Arghakhanchi)")</f>
        <v>Argha,Keemadada (Arghakhanchi)</v>
      </c>
    </row>
    <row r="40">
      <c r="A40" s="2">
        <f>IFERROR(__xludf.DUMMYFUNCTION("""COMPUTED_VALUE"""),39.0)</f>
        <v>39</v>
      </c>
      <c r="B40" s="2" t="str">
        <f>IFERROR(__xludf.DUMMYFUNCTION("""COMPUTED_VALUE"""),"Bardibas Saurya Vidyut Aayojana")</f>
        <v>Bardibas Saurya Vidyut Aayojana</v>
      </c>
      <c r="C40" s="2">
        <f>IFERROR(__xludf.DUMMYFUNCTION("""COMPUTED_VALUE"""),9.5)</f>
        <v>9.5</v>
      </c>
      <c r="D40" s="2">
        <f>IFERROR(__xludf.DUMMYFUNCTION("""COMPUTED_VALUE"""),1334.0)</f>
        <v>1334</v>
      </c>
      <c r="E40" s="3">
        <f>IFERROR(__xludf.DUMMYFUNCTION("""COMPUTED_VALUE"""),66430.0)</f>
        <v>66430</v>
      </c>
      <c r="F40" s="3">
        <f>IFERROR(__xludf.DUMMYFUNCTION("""COMPUTED_VALUE"""),67159.0)</f>
        <v>67159</v>
      </c>
      <c r="G40" s="2" t="str">
        <f>IFERROR(__xludf.DUMMYFUNCTION("""COMPUTED_VALUE"""),"Kushal Projects Nepal Private Limited")</f>
        <v>Kushal Projects Nepal Private Limited</v>
      </c>
      <c r="H40" s="2" t="str">
        <f>IFERROR(__xludf.DUMMYFUNCTION("""COMPUTED_VALUE"""),"Biratnagar - 3, Morang")</f>
        <v>Biratnagar - 3, Morang</v>
      </c>
      <c r="I40" s="2" t="str">
        <f>IFERROR(__xludf.DUMMYFUNCTION("""COMPUTED_VALUE"""),"26o 56' 58""")</f>
        <v>26o 56' 58"</v>
      </c>
      <c r="J40" s="2" t="str">
        <f>IFERROR(__xludf.DUMMYFUNCTION("""COMPUTED_VALUE"""),"26o 57' 16""")</f>
        <v>26o 57' 16"</v>
      </c>
      <c r="K40" s="2" t="str">
        <f>IFERROR(__xludf.DUMMYFUNCTION("""COMPUTED_VALUE"""),"85o 50' 52""")</f>
        <v>85o 50' 52"</v>
      </c>
      <c r="L40" s="2" t="str">
        <f>IFERROR(__xludf.DUMMYFUNCTION("""COMPUTED_VALUE"""),"85o 51' 05""")</f>
        <v>85o 51' 05"</v>
      </c>
      <c r="M40" s="2" t="str">
        <f>IFERROR(__xludf.DUMMYFUNCTION("""COMPUTED_VALUE"""),"Bardibas (Mahottari)")</f>
        <v>Bardibas (Mahottari)</v>
      </c>
    </row>
    <row r="41">
      <c r="A41" s="2">
        <f>IFERROR(__xludf.DUMMYFUNCTION("""COMPUTED_VALUE"""),40.0)</f>
        <v>40</v>
      </c>
      <c r="B41" s="2" t="str">
        <f>IFERROR(__xludf.DUMMYFUNCTION("""COMPUTED_VALUE"""),"Baniyani Saurya Vidyut Aayojana")</f>
        <v>Baniyani Saurya Vidyut Aayojana</v>
      </c>
      <c r="C41" s="2">
        <f>IFERROR(__xludf.DUMMYFUNCTION("""COMPUTED_VALUE"""),9.5)</f>
        <v>9.5</v>
      </c>
      <c r="D41" s="2">
        <f>IFERROR(__xludf.DUMMYFUNCTION("""COMPUTED_VALUE"""),1335.0)</f>
        <v>1335</v>
      </c>
      <c r="E41" s="3">
        <f>IFERROR(__xludf.DUMMYFUNCTION("""COMPUTED_VALUE"""),66430.0)</f>
        <v>66430</v>
      </c>
      <c r="F41" s="3">
        <f>IFERROR(__xludf.DUMMYFUNCTION("""COMPUTED_VALUE"""),66794.0)</f>
        <v>66794</v>
      </c>
      <c r="G41" s="2" t="str">
        <f>IFERROR(__xludf.DUMMYFUNCTION("""COMPUTED_VALUE"""),"Eco Sun Power Development Private Limited")</f>
        <v>Eco Sun Power Development Private Limited</v>
      </c>
      <c r="H41" s="2" t="str">
        <f>IFERROR(__xludf.DUMMYFUNCTION("""COMPUTED_VALUE"""),"Thapathali, Kathmandu (9843756055)")</f>
        <v>Thapathali, Kathmandu (9843756055)</v>
      </c>
      <c r="I41" s="2" t="str">
        <f>IFERROR(__xludf.DUMMYFUNCTION("""COMPUTED_VALUE"""),"26o 24' 50""")</f>
        <v>26o 24' 50"</v>
      </c>
      <c r="J41" s="2" t="str">
        <f>IFERROR(__xludf.DUMMYFUNCTION("""COMPUTED_VALUE"""),"26o 25' 08""")</f>
        <v>26o 25' 08"</v>
      </c>
      <c r="K41" s="2" t="str">
        <f>IFERROR(__xludf.DUMMYFUNCTION("""COMPUTED_VALUE"""),"88o 02' 57""")</f>
        <v>88o 02' 57"</v>
      </c>
      <c r="L41" s="2" t="str">
        <f>IFERROR(__xludf.DUMMYFUNCTION("""COMPUTED_VALUE"""),"88o 03' 11""")</f>
        <v>88o 03' 11"</v>
      </c>
      <c r="M41" s="2" t="str">
        <f>IFERROR(__xludf.DUMMYFUNCTION("""COMPUTED_VALUE"""),"Baniyani,Pathabhari (Jhapa)")</f>
        <v>Baniyani,Pathabhari (Jhapa)</v>
      </c>
    </row>
    <row r="42">
      <c r="A42" s="2">
        <f>IFERROR(__xludf.DUMMYFUNCTION("""COMPUTED_VALUE"""),41.0)</f>
        <v>41</v>
      </c>
      <c r="B42" s="2" t="str">
        <f>IFERROR(__xludf.DUMMYFUNCTION("""COMPUTED_VALUE"""),"Parasi Saurya Vidyut Aayojana")</f>
        <v>Parasi Saurya Vidyut Aayojana</v>
      </c>
      <c r="C42" s="2">
        <f>IFERROR(__xludf.DUMMYFUNCTION("""COMPUTED_VALUE"""),15.0)</f>
        <v>15</v>
      </c>
      <c r="D42" s="2">
        <f>IFERROR(__xludf.DUMMYFUNCTION("""COMPUTED_VALUE"""),1336.0)</f>
        <v>1336</v>
      </c>
      <c r="E42" s="3">
        <f>IFERROR(__xludf.DUMMYFUNCTION("""COMPUTED_VALUE"""),66430.0)</f>
        <v>66430</v>
      </c>
      <c r="F42" s="3">
        <f>IFERROR(__xludf.DUMMYFUNCTION("""COMPUTED_VALUE"""),66794.0)</f>
        <v>66794</v>
      </c>
      <c r="G42" s="2" t="str">
        <f>IFERROR(__xludf.DUMMYFUNCTION("""COMPUTED_VALUE"""),"Sol Power Limited")</f>
        <v>Sol Power Limited</v>
      </c>
      <c r="H42" s="2" t="str">
        <f>IFERROR(__xludf.DUMMYFUNCTION("""COMPUTED_VALUE"""),"Baneshwor, Kathmandu - 10")</f>
        <v>Baneshwor, Kathmandu - 10</v>
      </c>
      <c r="I42" s="2" t="str">
        <f>IFERROR(__xludf.DUMMYFUNCTION("""COMPUTED_VALUE"""),"27o 32' 33""")</f>
        <v>27o 32' 33"</v>
      </c>
      <c r="J42" s="2" t="str">
        <f>IFERROR(__xludf.DUMMYFUNCTION("""COMPUTED_VALUE"""),"27o 32' 55""")</f>
        <v>27o 32' 55"</v>
      </c>
      <c r="K42" s="2" t="str">
        <f>IFERROR(__xludf.DUMMYFUNCTION("""COMPUTED_VALUE"""),"83o 37' 15""")</f>
        <v>83o 37' 15"</v>
      </c>
      <c r="L42" s="2" t="str">
        <f>IFERROR(__xludf.DUMMYFUNCTION("""COMPUTED_VALUE"""),"83o 37' 38""")</f>
        <v>83o 37' 38"</v>
      </c>
      <c r="M42" s="2" t="str">
        <f>IFERROR(__xludf.DUMMYFUNCTION("""COMPUTED_VALUE"""),"Parasi (Nawalparasi)")</f>
        <v>Parasi (Nawalparasi)</v>
      </c>
    </row>
    <row r="43">
      <c r="A43" s="2">
        <f>IFERROR(__xludf.DUMMYFUNCTION("""COMPUTED_VALUE"""),42.0)</f>
        <v>42</v>
      </c>
      <c r="B43" s="2" t="str">
        <f>IFERROR(__xludf.DUMMYFUNCTION("""COMPUTED_VALUE"""),"Sunwal Saurya Vidyut Aayojana")</f>
        <v>Sunwal Saurya Vidyut Aayojana</v>
      </c>
      <c r="C43" s="2">
        <f>IFERROR(__xludf.DUMMYFUNCTION("""COMPUTED_VALUE"""),15.0)</f>
        <v>15</v>
      </c>
      <c r="D43" s="2">
        <f>IFERROR(__xludf.DUMMYFUNCTION("""COMPUTED_VALUE"""),1337.0)</f>
        <v>1337</v>
      </c>
      <c r="E43" s="3">
        <f>IFERROR(__xludf.DUMMYFUNCTION("""COMPUTED_VALUE"""),66430.0)</f>
        <v>66430</v>
      </c>
      <c r="F43" s="3">
        <f>IFERROR(__xludf.DUMMYFUNCTION("""COMPUTED_VALUE"""),66794.0)</f>
        <v>66794</v>
      </c>
      <c r="G43" s="2" t="str">
        <f>IFERROR(__xludf.DUMMYFUNCTION("""COMPUTED_VALUE"""),"Sol Power Limited")</f>
        <v>Sol Power Limited</v>
      </c>
      <c r="H43" s="2" t="str">
        <f>IFERROR(__xludf.DUMMYFUNCTION("""COMPUTED_VALUE"""),"Baneshwor, Kathmandu - 10")</f>
        <v>Baneshwor, Kathmandu - 10</v>
      </c>
      <c r="I43" s="2" t="str">
        <f>IFERROR(__xludf.DUMMYFUNCTION("""COMPUTED_VALUE"""),"27o 34' 39""")</f>
        <v>27o 34' 39"</v>
      </c>
      <c r="J43" s="2" t="str">
        <f>IFERROR(__xludf.DUMMYFUNCTION("""COMPUTED_VALUE"""),"27o 35' 04""")</f>
        <v>27o 35' 04"</v>
      </c>
      <c r="K43" s="2" t="str">
        <f>IFERROR(__xludf.DUMMYFUNCTION("""COMPUTED_VALUE"""),"83o 39' 15""")</f>
        <v>83o 39' 15"</v>
      </c>
      <c r="L43" s="2" t="str">
        <f>IFERROR(__xludf.DUMMYFUNCTION("""COMPUTED_VALUE"""),"83o 39' 45""")</f>
        <v>83o 39' 45"</v>
      </c>
      <c r="M43" s="2" t="str">
        <f>IFERROR(__xludf.DUMMYFUNCTION("""COMPUTED_VALUE"""),"Sunwal (Nawalparasi)")</f>
        <v>Sunwal (Nawalparasi)</v>
      </c>
    </row>
    <row r="44">
      <c r="A44" s="2">
        <f>IFERROR(__xludf.DUMMYFUNCTION("""COMPUTED_VALUE"""),43.0)</f>
        <v>43</v>
      </c>
      <c r="B44" s="2" t="str">
        <f>IFERROR(__xludf.DUMMYFUNCTION("""COMPUTED_VALUE"""),"Mayadevi Saurya Vidyut Aayojana")</f>
        <v>Mayadevi Saurya Vidyut Aayojana</v>
      </c>
      <c r="C44" s="2">
        <f>IFERROR(__xludf.DUMMYFUNCTION("""COMPUTED_VALUE"""),5.0)</f>
        <v>5</v>
      </c>
      <c r="D44" s="2">
        <f>IFERROR(__xludf.DUMMYFUNCTION("""COMPUTED_VALUE"""),1339.0)</f>
        <v>1339</v>
      </c>
      <c r="E44" s="3">
        <f>IFERROR(__xludf.DUMMYFUNCTION("""COMPUTED_VALUE"""),66433.0)</f>
        <v>66433</v>
      </c>
      <c r="F44" s="3">
        <f>IFERROR(__xludf.DUMMYFUNCTION("""COMPUTED_VALUE"""),66797.0)</f>
        <v>66797</v>
      </c>
      <c r="G44" s="2" t="str">
        <f>IFERROR(__xludf.DUMMYFUNCTION("""COMPUTED_VALUE"""),"Mayadevi Solar Limited")</f>
        <v>Mayadevi Solar Limited</v>
      </c>
      <c r="H44" s="2" t="str">
        <f>IFERROR(__xludf.DUMMYFUNCTION("""COMPUTED_VALUE"""),"Panipokhari - 03, Kathmandu")</f>
        <v>Panipokhari - 03, Kathmandu</v>
      </c>
      <c r="I44" s="2" t="str">
        <f>IFERROR(__xludf.DUMMYFUNCTION("""COMPUTED_VALUE"""),"27o 30' 36""")</f>
        <v>27o 30' 36"</v>
      </c>
      <c r="J44" s="2" t="str">
        <f>IFERROR(__xludf.DUMMYFUNCTION("""COMPUTED_VALUE"""),"27o 30' 46""")</f>
        <v>27o 30' 46"</v>
      </c>
      <c r="K44" s="2" t="str">
        <f>IFERROR(__xludf.DUMMYFUNCTION("""COMPUTED_VALUE"""),"82o 58' 27""")</f>
        <v>82o 58' 27"</v>
      </c>
      <c r="L44" s="2" t="str">
        <f>IFERROR(__xludf.DUMMYFUNCTION("""COMPUTED_VALUE"""),"82o 58' 41""")</f>
        <v>82o 58' 41"</v>
      </c>
      <c r="M44" s="2"/>
    </row>
    <row r="45">
      <c r="A45" s="2">
        <f>IFERROR(__xludf.DUMMYFUNCTION("""COMPUTED_VALUE"""),44.0)</f>
        <v>44</v>
      </c>
      <c r="B45" s="2" t="str">
        <f>IFERROR(__xludf.DUMMYFUNCTION("""COMPUTED_VALUE"""),"Babai Saurya Vidyut Aayojana")</f>
        <v>Babai Saurya Vidyut Aayojana</v>
      </c>
      <c r="C45" s="2">
        <f>IFERROR(__xludf.DUMMYFUNCTION("""COMPUTED_VALUE"""),10.0)</f>
        <v>10</v>
      </c>
      <c r="D45" s="2">
        <f>IFERROR(__xludf.DUMMYFUNCTION("""COMPUTED_VALUE"""),1340.0)</f>
        <v>1340</v>
      </c>
      <c r="E45" s="3">
        <f>IFERROR(__xludf.DUMMYFUNCTION("""COMPUTED_VALUE"""),66433.0)</f>
        <v>66433</v>
      </c>
      <c r="F45" s="3">
        <f>IFERROR(__xludf.DUMMYFUNCTION("""COMPUTED_VALUE"""),66797.0)</f>
        <v>66797</v>
      </c>
      <c r="G45" s="2" t="str">
        <f>IFERROR(__xludf.DUMMYFUNCTION("""COMPUTED_VALUE"""),"Babai Solar Limited")</f>
        <v>Babai Solar Limited</v>
      </c>
      <c r="H45" s="2" t="str">
        <f>IFERROR(__xludf.DUMMYFUNCTION("""COMPUTED_VALUE"""),"Panipokhari - 03, Kathmandu")</f>
        <v>Panipokhari - 03, Kathmandu</v>
      </c>
      <c r="I45" s="2" t="str">
        <f>IFERROR(__xludf.DUMMYFUNCTION("""COMPUTED_VALUE"""),"27o 59' 44""")</f>
        <v>27o 59' 44"</v>
      </c>
      <c r="J45" s="2" t="str">
        <f>IFERROR(__xludf.DUMMYFUNCTION("""COMPUTED_VALUE"""),"28o 00' 13""")</f>
        <v>28o 00' 13"</v>
      </c>
      <c r="K45" s="2" t="str">
        <f>IFERROR(__xludf.DUMMYFUNCTION("""COMPUTED_VALUE"""),"82o 07' 25""")</f>
        <v>82o 07' 25"</v>
      </c>
      <c r="L45" s="2" t="str">
        <f>IFERROR(__xludf.DUMMYFUNCTION("""COMPUTED_VALUE"""),"82o 07' 36""")</f>
        <v>82o 07' 36"</v>
      </c>
      <c r="M45" s="2" t="str">
        <f>IFERROR(__xludf.DUMMYFUNCTION("""COMPUTED_VALUE"""),"Khaskusma (Banke)")</f>
        <v>Khaskusma (Banke)</v>
      </c>
    </row>
    <row r="46">
      <c r="A46" s="2">
        <f>IFERROR(__xludf.DUMMYFUNCTION("""COMPUTED_VALUE"""),45.0)</f>
        <v>45</v>
      </c>
      <c r="B46" s="2" t="str">
        <f>IFERROR(__xludf.DUMMYFUNCTION("""COMPUTED_VALUE"""),"Krishnasar Saurya Vidyut Aayojana")</f>
        <v>Krishnasar Saurya Vidyut Aayojana</v>
      </c>
      <c r="C46" s="2">
        <f>IFERROR(__xludf.DUMMYFUNCTION("""COMPUTED_VALUE"""),10.0)</f>
        <v>10</v>
      </c>
      <c r="D46" s="2">
        <f>IFERROR(__xludf.DUMMYFUNCTION("""COMPUTED_VALUE"""),1341.0)</f>
        <v>1341</v>
      </c>
      <c r="E46" s="3">
        <f>IFERROR(__xludf.DUMMYFUNCTION("""COMPUTED_VALUE"""),66433.0)</f>
        <v>66433</v>
      </c>
      <c r="F46" s="3">
        <f>IFERROR(__xludf.DUMMYFUNCTION("""COMPUTED_VALUE"""),66797.0)</f>
        <v>66797</v>
      </c>
      <c r="G46" s="2" t="str">
        <f>IFERROR(__xludf.DUMMYFUNCTION("""COMPUTED_VALUE"""),"Krishnasar Solar Limited")</f>
        <v>Krishnasar Solar Limited</v>
      </c>
      <c r="H46" s="2" t="str">
        <f>IFERROR(__xludf.DUMMYFUNCTION("""COMPUTED_VALUE"""),"Panipokhari - 03, Kathmandu")</f>
        <v>Panipokhari - 03, Kathmandu</v>
      </c>
      <c r="I46" s="2" t="str">
        <f>IFERROR(__xludf.DUMMYFUNCTION("""COMPUTED_VALUE"""),"28o 08' 46""")</f>
        <v>28o 08' 46"</v>
      </c>
      <c r="J46" s="2" t="str">
        <f>IFERROR(__xludf.DUMMYFUNCTION("""COMPUTED_VALUE"""),"28o 09' 10""")</f>
        <v>28o 09' 10"</v>
      </c>
      <c r="K46" s="2" t="str">
        <f>IFERROR(__xludf.DUMMYFUNCTION("""COMPUTED_VALUE"""),"81o 19' 42""")</f>
        <v>81o 19' 42"</v>
      </c>
      <c r="L46" s="2" t="str">
        <f>IFERROR(__xludf.DUMMYFUNCTION("""COMPUTED_VALUE"""),"81o 20' 08""")</f>
        <v>81o 20' 08"</v>
      </c>
      <c r="M46" s="2" t="str">
        <f>IFERROR(__xludf.DUMMYFUNCTION("""COMPUTED_VALUE"""),"Gulariya (Bardiya)")</f>
        <v>Gulariya (Bardiya)</v>
      </c>
    </row>
    <row r="47">
      <c r="A47" s="2">
        <f>IFERROR(__xludf.DUMMYFUNCTION("""COMPUTED_VALUE"""),46.0)</f>
        <v>46</v>
      </c>
      <c r="B47" s="2" t="str">
        <f>IFERROR(__xludf.DUMMYFUNCTION("""COMPUTED_VALUE"""),"Bardiya Saurya Vidyut Aayojana")</f>
        <v>Bardiya Saurya Vidyut Aayojana</v>
      </c>
      <c r="C47" s="2">
        <f>IFERROR(__xludf.DUMMYFUNCTION("""COMPUTED_VALUE"""),10.0)</f>
        <v>10</v>
      </c>
      <c r="D47" s="2">
        <f>IFERROR(__xludf.DUMMYFUNCTION("""COMPUTED_VALUE"""),1342.0)</f>
        <v>1342</v>
      </c>
      <c r="E47" s="3">
        <f>IFERROR(__xludf.DUMMYFUNCTION("""COMPUTED_VALUE"""),66433.0)</f>
        <v>66433</v>
      </c>
      <c r="F47" s="3">
        <f>IFERROR(__xludf.DUMMYFUNCTION("""COMPUTED_VALUE"""),66797.0)</f>
        <v>66797</v>
      </c>
      <c r="G47" s="2" t="str">
        <f>IFERROR(__xludf.DUMMYFUNCTION("""COMPUTED_VALUE"""),"Bardiya Solar Limited")</f>
        <v>Bardiya Solar Limited</v>
      </c>
      <c r="H47" s="2" t="str">
        <f>IFERROR(__xludf.DUMMYFUNCTION("""COMPUTED_VALUE"""),"Panipokhari - 03, Kathmandu")</f>
        <v>Panipokhari - 03, Kathmandu</v>
      </c>
      <c r="I47" s="2" t="str">
        <f>IFERROR(__xludf.DUMMYFUNCTION("""COMPUTED_VALUE"""),"28o 15' 45""")</f>
        <v>28o 15' 45"</v>
      </c>
      <c r="J47" s="2" t="str">
        <f>IFERROR(__xludf.DUMMYFUNCTION("""COMPUTED_VALUE"""),"28o 16' 10""")</f>
        <v>28o 16' 10"</v>
      </c>
      <c r="K47" s="2" t="str">
        <f>IFERROR(__xludf.DUMMYFUNCTION("""COMPUTED_VALUE"""),"81o 26' 40""")</f>
        <v>81o 26' 40"</v>
      </c>
      <c r="L47" s="2" t="str">
        <f>IFERROR(__xludf.DUMMYFUNCTION("""COMPUTED_VALUE"""),"81o 27' 11""")</f>
        <v>81o 27' 11"</v>
      </c>
      <c r="M47" s="2" t="str">
        <f>IFERROR(__xludf.DUMMYFUNCTION("""COMPUTED_VALUE"""),"Dayaudhakala,Dhadhawar (Bardiya)")</f>
        <v>Dayaudhakala,Dhadhawar (Bardiya)</v>
      </c>
    </row>
    <row r="48">
      <c r="A48" s="2">
        <f>IFERROR(__xludf.DUMMYFUNCTION("""COMPUTED_VALUE"""),47.0)</f>
        <v>47</v>
      </c>
      <c r="B48" s="2" t="str">
        <f>IFERROR(__xludf.DUMMYFUNCTION("""COMPUTED_VALUE"""),"Banganga Saurya Vidyut Aayojana")</f>
        <v>Banganga Saurya Vidyut Aayojana</v>
      </c>
      <c r="C48" s="2">
        <f>IFERROR(__xludf.DUMMYFUNCTION("""COMPUTED_VALUE"""),10.0)</f>
        <v>10</v>
      </c>
      <c r="D48" s="2">
        <f>IFERROR(__xludf.DUMMYFUNCTION("""COMPUTED_VALUE"""),1350.0)</f>
        <v>1350</v>
      </c>
      <c r="E48" s="3">
        <f>IFERROR(__xludf.DUMMYFUNCTION("""COMPUTED_VALUE"""),66451.0)</f>
        <v>66451</v>
      </c>
      <c r="F48" s="3">
        <f>IFERROR(__xludf.DUMMYFUNCTION("""COMPUTED_VALUE"""),67180.0)</f>
        <v>67180</v>
      </c>
      <c r="G48" s="2" t="str">
        <f>IFERROR(__xludf.DUMMYFUNCTION("""COMPUTED_VALUE"""),"Banganga Solar Limited")</f>
        <v>Banganga Solar Limited</v>
      </c>
      <c r="H48" s="2" t="str">
        <f>IFERROR(__xludf.DUMMYFUNCTION("""COMPUTED_VALUE"""),"Panipokhari - 03, Kathmandu")</f>
        <v>Panipokhari - 03, Kathmandu</v>
      </c>
      <c r="I48" s="2" t="str">
        <f>IFERROR(__xludf.DUMMYFUNCTION("""COMPUTED_VALUE"""),"27o 34' 38""")</f>
        <v>27o 34' 38"</v>
      </c>
      <c r="J48" s="2" t="str">
        <f>IFERROR(__xludf.DUMMYFUNCTION("""COMPUTED_VALUE"""),"27o 34' 56""")</f>
        <v>27o 34' 56"</v>
      </c>
      <c r="K48" s="2" t="str">
        <f>IFERROR(__xludf.DUMMYFUNCTION("""COMPUTED_VALUE"""),"82o 49' 17""")</f>
        <v>82o 49' 17"</v>
      </c>
      <c r="L48" s="2" t="str">
        <f>IFERROR(__xludf.DUMMYFUNCTION("""COMPUTED_VALUE"""),"82o 49' 33""")</f>
        <v>82o 49' 33"</v>
      </c>
      <c r="M48" s="2"/>
    </row>
    <row r="49">
      <c r="A49" s="2">
        <f>IFERROR(__xludf.DUMMYFUNCTION("""COMPUTED_VALUE"""),48.0)</f>
        <v>48</v>
      </c>
      <c r="B49" s="2" t="str">
        <f>IFERROR(__xludf.DUMMYFUNCTION("""COMPUTED_VALUE"""),"Lumbini Saurya Vidyut Aayojana")</f>
        <v>Lumbini Saurya Vidyut Aayojana</v>
      </c>
      <c r="C49" s="2">
        <f>IFERROR(__xludf.DUMMYFUNCTION("""COMPUTED_VALUE"""),10.0)</f>
        <v>10</v>
      </c>
      <c r="D49" s="2">
        <f>IFERROR(__xludf.DUMMYFUNCTION("""COMPUTED_VALUE"""),1351.0)</f>
        <v>1351</v>
      </c>
      <c r="E49" s="3">
        <f>IFERROR(__xludf.DUMMYFUNCTION("""COMPUTED_VALUE"""),66452.0)</f>
        <v>66452</v>
      </c>
      <c r="F49" s="3">
        <f>IFERROR(__xludf.DUMMYFUNCTION("""COMPUTED_VALUE"""),66816.0)</f>
        <v>66816</v>
      </c>
      <c r="G49" s="2" t="str">
        <f>IFERROR(__xludf.DUMMYFUNCTION("""COMPUTED_VALUE"""),"Lumbini Solar Limited")</f>
        <v>Lumbini Solar Limited</v>
      </c>
      <c r="H49" s="2" t="str">
        <f>IFERROR(__xludf.DUMMYFUNCTION("""COMPUTED_VALUE"""),"Panipokhari - 03, Kathmandu")</f>
        <v>Panipokhari - 03, Kathmandu</v>
      </c>
      <c r="I49" s="2" t="str">
        <f>IFERROR(__xludf.DUMMYFUNCTION("""COMPUTED_VALUE"""),"27o 30' 20""")</f>
        <v>27o 30' 20"</v>
      </c>
      <c r="J49" s="2" t="str">
        <f>IFERROR(__xludf.DUMMYFUNCTION("""COMPUTED_VALUE"""),"27o 30' 39""")</f>
        <v>27o 30' 39"</v>
      </c>
      <c r="K49" s="2" t="str">
        <f>IFERROR(__xludf.DUMMYFUNCTION("""COMPUTED_VALUE"""),"82o 48' 52""")</f>
        <v>82o 48' 52"</v>
      </c>
      <c r="L49" s="2" t="str">
        <f>IFERROR(__xludf.DUMMYFUNCTION("""COMPUTED_VALUE"""),"82o 49' 10""")</f>
        <v>82o 49' 10"</v>
      </c>
      <c r="M49" s="2"/>
    </row>
    <row r="50">
      <c r="A50" s="2">
        <f>IFERROR(__xludf.DUMMYFUNCTION("""COMPUTED_VALUE"""),49.0)</f>
        <v>49</v>
      </c>
      <c r="B50" s="2" t="str">
        <f>IFERROR(__xludf.DUMMYFUNCTION("""COMPUTED_VALUE"""),"Lahan Saurya Vidyut Aayojana")</f>
        <v>Lahan Saurya Vidyut Aayojana</v>
      </c>
      <c r="C50" s="2">
        <f>IFERROR(__xludf.DUMMYFUNCTION("""COMPUTED_VALUE"""),10.0)</f>
        <v>10</v>
      </c>
      <c r="D50" s="2">
        <f>IFERROR(__xludf.DUMMYFUNCTION("""COMPUTED_VALUE"""),1352.0)</f>
        <v>1352</v>
      </c>
      <c r="E50" s="3">
        <f>IFERROR(__xludf.DUMMYFUNCTION("""COMPUTED_VALUE"""),66452.0)</f>
        <v>66452</v>
      </c>
      <c r="F50" s="3">
        <f>IFERROR(__xludf.DUMMYFUNCTION("""COMPUTED_VALUE"""),67181.0)</f>
        <v>67181</v>
      </c>
      <c r="G50" s="2" t="str">
        <f>IFERROR(__xludf.DUMMYFUNCTION("""COMPUTED_VALUE"""),"Eco Sun Power Development Limited")</f>
        <v>Eco Sun Power Development Limited</v>
      </c>
      <c r="H50" s="2" t="str">
        <f>IFERROR(__xludf.DUMMYFUNCTION("""COMPUTED_VALUE"""),"Thapathali, Kathmandu")</f>
        <v>Thapathali, Kathmandu</v>
      </c>
      <c r="I50" s="2" t="str">
        <f>IFERROR(__xludf.DUMMYFUNCTION("""COMPUTED_VALUE"""),"26o 42' 03""")</f>
        <v>26o 42' 03"</v>
      </c>
      <c r="J50" s="2" t="str">
        <f>IFERROR(__xludf.DUMMYFUNCTION("""COMPUTED_VALUE"""),"26o 42' 13""")</f>
        <v>26o 42' 13"</v>
      </c>
      <c r="K50" s="2" t="str">
        <f>IFERROR(__xludf.DUMMYFUNCTION("""COMPUTED_VALUE"""),"86o 27' 23""")</f>
        <v>86o 27' 23"</v>
      </c>
      <c r="L50" s="2" t="str">
        <f>IFERROR(__xludf.DUMMYFUNCTION("""COMPUTED_VALUE"""),"86o 27' 42""")</f>
        <v>86o 27' 42"</v>
      </c>
      <c r="M50" s="2"/>
    </row>
    <row r="51">
      <c r="A51" s="2">
        <f>IFERROR(__xludf.DUMMYFUNCTION("""COMPUTED_VALUE"""),50.0)</f>
        <v>50</v>
      </c>
      <c r="B51" s="2" t="str">
        <f>IFERROR(__xludf.DUMMYFUNCTION("""COMPUTED_VALUE"""),"Bhurigaon - 1 Saurya Vidyut Aayojana")</f>
        <v>Bhurigaon - 1 Saurya Vidyut Aayojana</v>
      </c>
      <c r="C51" s="2">
        <f>IFERROR(__xludf.DUMMYFUNCTION("""COMPUTED_VALUE"""),25.0)</f>
        <v>25</v>
      </c>
      <c r="D51" s="2">
        <f>IFERROR(__xludf.DUMMYFUNCTION("""COMPUTED_VALUE"""),1353.0)</f>
        <v>1353</v>
      </c>
      <c r="E51" s="3">
        <f>IFERROR(__xludf.DUMMYFUNCTION("""COMPUTED_VALUE"""),66452.0)</f>
        <v>66452</v>
      </c>
      <c r="F51" s="3">
        <f>IFERROR(__xludf.DUMMYFUNCTION("""COMPUTED_VALUE"""),67181.0)</f>
        <v>67181</v>
      </c>
      <c r="G51" s="2" t="str">
        <f>IFERROR(__xludf.DUMMYFUNCTION("""COMPUTED_VALUE"""),"Sol Power Limited")</f>
        <v>Sol Power Limited</v>
      </c>
      <c r="H51" s="2" t="str">
        <f>IFERROR(__xludf.DUMMYFUNCTION("""COMPUTED_VALUE"""),"Baneshwor, Kathmandu - 10")</f>
        <v>Baneshwor, Kathmandu - 10</v>
      </c>
      <c r="I51" s="2" t="str">
        <f>IFERROR(__xludf.DUMMYFUNCTION("""COMPUTED_VALUE"""),"28o 27' 59""")</f>
        <v>28o 27' 59"</v>
      </c>
      <c r="J51" s="2" t="str">
        <f>IFERROR(__xludf.DUMMYFUNCTION("""COMPUTED_VALUE"""),"28o 28' 25""")</f>
        <v>28o 28' 25"</v>
      </c>
      <c r="K51" s="2" t="str">
        <f>IFERROR(__xludf.DUMMYFUNCTION("""COMPUTED_VALUE"""),"81o 16' 46""")</f>
        <v>81o 16' 46"</v>
      </c>
      <c r="L51" s="2" t="str">
        <f>IFERROR(__xludf.DUMMYFUNCTION("""COMPUTED_VALUE"""),"81o 17' 20""")</f>
        <v>81o 17' 20"</v>
      </c>
      <c r="M51" s="2" t="str">
        <f>IFERROR(__xludf.DUMMYFUNCTION("""COMPUTED_VALUE"""),"Thakudwara (Bardiya)")</f>
        <v>Thakudwara (Bardiya)</v>
      </c>
    </row>
    <row r="52">
      <c r="A52" s="2">
        <f>IFERROR(__xludf.DUMMYFUNCTION("""COMPUTED_VALUE"""),51.0)</f>
        <v>51</v>
      </c>
      <c r="B52" s="2" t="str">
        <f>IFERROR(__xludf.DUMMYFUNCTION("""COMPUTED_VALUE"""),"Bageshwori Saurya Vidyut Aayojana")</f>
        <v>Bageshwori Saurya Vidyut Aayojana</v>
      </c>
      <c r="C52" s="2">
        <f>IFERROR(__xludf.DUMMYFUNCTION("""COMPUTED_VALUE"""),10.0)</f>
        <v>10</v>
      </c>
      <c r="D52" s="2">
        <f>IFERROR(__xludf.DUMMYFUNCTION("""COMPUTED_VALUE"""),1354.0)</f>
        <v>1354</v>
      </c>
      <c r="E52" s="3">
        <f>IFERROR(__xludf.DUMMYFUNCTION("""COMPUTED_VALUE"""),66452.0)</f>
        <v>66452</v>
      </c>
      <c r="F52" s="3">
        <f>IFERROR(__xludf.DUMMYFUNCTION("""COMPUTED_VALUE"""),66816.0)</f>
        <v>66816</v>
      </c>
      <c r="G52" s="2" t="str">
        <f>IFERROR(__xludf.DUMMYFUNCTION("""COMPUTED_VALUE"""),"Bageshwori Solar Limited")</f>
        <v>Bageshwori Solar Limited</v>
      </c>
      <c r="H52" s="2" t="str">
        <f>IFERROR(__xludf.DUMMYFUNCTION("""COMPUTED_VALUE"""),"Panipokhari - 03, Kathmandu")</f>
        <v>Panipokhari - 03, Kathmandu</v>
      </c>
      <c r="I52" s="2" t="str">
        <f>IFERROR(__xludf.DUMMYFUNCTION("""COMPUTED_VALUE"""),"27o 59' 43""")</f>
        <v>27o 59' 43"</v>
      </c>
      <c r="J52" s="2" t="str">
        <f>IFERROR(__xludf.DUMMYFUNCTION("""COMPUTED_VALUE"""),"28o 00' 02""")</f>
        <v>28o 00' 02"</v>
      </c>
      <c r="K52" s="2" t="str">
        <f>IFERROR(__xludf.DUMMYFUNCTION("""COMPUTED_VALUE"""),"81o 43' 19""")</f>
        <v>81o 43' 19"</v>
      </c>
      <c r="L52" s="2" t="str">
        <f>IFERROR(__xludf.DUMMYFUNCTION("""COMPUTED_VALUE"""),"81o 43' 37""")</f>
        <v>81o 43' 37"</v>
      </c>
      <c r="M52" s="2"/>
    </row>
    <row r="53">
      <c r="A53" s="2">
        <f>IFERROR(__xludf.DUMMYFUNCTION("""COMPUTED_VALUE"""),52.0)</f>
        <v>52</v>
      </c>
      <c r="B53" s="2" t="str">
        <f>IFERROR(__xludf.DUMMYFUNCTION("""COMPUTED_VALUE"""),"Kamadhenu Saurya Vidyut Aayojana")</f>
        <v>Kamadhenu Saurya Vidyut Aayojana</v>
      </c>
      <c r="C53" s="2">
        <f>IFERROR(__xludf.DUMMYFUNCTION("""COMPUTED_VALUE"""),20.0)</f>
        <v>20</v>
      </c>
      <c r="D53" s="2">
        <f>IFERROR(__xludf.DUMMYFUNCTION("""COMPUTED_VALUE"""),1355.0)</f>
        <v>1355</v>
      </c>
      <c r="E53" s="3">
        <f>IFERROR(__xludf.DUMMYFUNCTION("""COMPUTED_VALUE"""),66452.0)</f>
        <v>66452</v>
      </c>
      <c r="F53" s="3">
        <f>IFERROR(__xludf.DUMMYFUNCTION("""COMPUTED_VALUE"""),67181.0)</f>
        <v>67181</v>
      </c>
      <c r="G53" s="2" t="str">
        <f>IFERROR(__xludf.DUMMYFUNCTION("""COMPUTED_VALUE"""),"Kamadhenu Solar Limited")</f>
        <v>Kamadhenu Solar Limited</v>
      </c>
      <c r="H53" s="2" t="str">
        <f>IFERROR(__xludf.DUMMYFUNCTION("""COMPUTED_VALUE"""),"Panipokhari - 03, Kathmandu")</f>
        <v>Panipokhari - 03, Kathmandu</v>
      </c>
      <c r="I53" s="2" t="str">
        <f>IFERROR(__xludf.DUMMYFUNCTION("""COMPUTED_VALUE"""),"28o 16' 00""")</f>
        <v>28o 16' 00"</v>
      </c>
      <c r="J53" s="2" t="str">
        <f>IFERROR(__xludf.DUMMYFUNCTION("""COMPUTED_VALUE"""),"28o 16' 29""")</f>
        <v>28o 16' 29"</v>
      </c>
      <c r="K53" s="2" t="str">
        <f>IFERROR(__xludf.DUMMYFUNCTION("""COMPUTED_VALUE"""),"83o 38' 00""")</f>
        <v>83o 38' 00"</v>
      </c>
      <c r="L53" s="2" t="str">
        <f>IFERROR(__xludf.DUMMYFUNCTION("""COMPUTED_VALUE"""),"83o 38' 08""")</f>
        <v>83o 38' 08"</v>
      </c>
      <c r="M53" s="2" t="str">
        <f>IFERROR(__xludf.DUMMYFUNCTION("""COMPUTED_VALUE"""),"Pang,Nagliwang (Parbat)")</f>
        <v>Pang,Nagliwang (Parbat)</v>
      </c>
    </row>
    <row r="54">
      <c r="A54" s="2">
        <f>IFERROR(__xludf.DUMMYFUNCTION("""COMPUTED_VALUE"""),53.0)</f>
        <v>53</v>
      </c>
      <c r="B54" s="2" t="str">
        <f>IFERROR(__xludf.DUMMYFUNCTION("""COMPUTED_VALUE"""),"Dhorbarahi Saurya Vidyut Aayojana")</f>
        <v>Dhorbarahi Saurya Vidyut Aayojana</v>
      </c>
      <c r="C54" s="2">
        <f>IFERROR(__xludf.DUMMYFUNCTION("""COMPUTED_VALUE"""),20.0)</f>
        <v>20</v>
      </c>
      <c r="D54" s="2">
        <f>IFERROR(__xludf.DUMMYFUNCTION("""COMPUTED_VALUE"""),1359.0)</f>
        <v>1359</v>
      </c>
      <c r="E54" s="3">
        <f>IFERROR(__xludf.DUMMYFUNCTION("""COMPUTED_VALUE"""),66455.0)</f>
        <v>66455</v>
      </c>
      <c r="F54" s="3">
        <f>IFERROR(__xludf.DUMMYFUNCTION("""COMPUTED_VALUE"""),67184.0)</f>
        <v>67184</v>
      </c>
      <c r="G54" s="2" t="str">
        <f>IFERROR(__xludf.DUMMYFUNCTION("""COMPUTED_VALUE"""),"Dhorbarahi Solar Limited")</f>
        <v>Dhorbarahi Solar Limited</v>
      </c>
      <c r="H54" s="2" t="str">
        <f>IFERROR(__xludf.DUMMYFUNCTION("""COMPUTED_VALUE"""),"Panipokhari - 03, Kathmandu")</f>
        <v>Panipokhari - 03, Kathmandu</v>
      </c>
      <c r="I54" s="2" t="str">
        <f>IFERROR(__xludf.DUMMYFUNCTION("""COMPUTED_VALUE"""),"28o 17' 29""")</f>
        <v>28o 17' 29"</v>
      </c>
      <c r="J54" s="2" t="str">
        <f>IFERROR(__xludf.DUMMYFUNCTION("""COMPUTED_VALUE"""),"28o 17' 52""")</f>
        <v>28o 17' 52"</v>
      </c>
      <c r="K54" s="2" t="str">
        <f>IFERROR(__xludf.DUMMYFUNCTION("""COMPUTED_VALUE"""),"83o 10' 27""")</f>
        <v>83o 10' 27"</v>
      </c>
      <c r="L54" s="2" t="str">
        <f>IFERROR(__xludf.DUMMYFUNCTION("""COMPUTED_VALUE"""),"83o 10' 56""")</f>
        <v>83o 10' 56"</v>
      </c>
      <c r="M54" s="2" t="str">
        <f>IFERROR(__xludf.DUMMYFUNCTION("""COMPUTED_VALUE"""),"Bhinggithe,Burtiwang,Rajkut (Baglung)")</f>
        <v>Bhinggithe,Burtiwang,Rajkut (Baglung)</v>
      </c>
    </row>
    <row r="55">
      <c r="A55" s="2">
        <f>IFERROR(__xludf.DUMMYFUNCTION("""COMPUTED_VALUE"""),54.0)</f>
        <v>54</v>
      </c>
      <c r="B55" s="2" t="str">
        <f>IFERROR(__xludf.DUMMYFUNCTION("""COMPUTED_VALUE"""),"Resunga Saurya Vidyut Aayojana")</f>
        <v>Resunga Saurya Vidyut Aayojana</v>
      </c>
      <c r="C55" s="2">
        <f>IFERROR(__xludf.DUMMYFUNCTION("""COMPUTED_VALUE"""),20.0)</f>
        <v>20</v>
      </c>
      <c r="D55" s="2">
        <f>IFERROR(__xludf.DUMMYFUNCTION("""COMPUTED_VALUE"""),1360.0)</f>
        <v>1360</v>
      </c>
      <c r="E55" s="3">
        <f>IFERROR(__xludf.DUMMYFUNCTION("""COMPUTED_VALUE"""),66455.0)</f>
        <v>66455</v>
      </c>
      <c r="F55" s="3">
        <f>IFERROR(__xludf.DUMMYFUNCTION("""COMPUTED_VALUE"""),67184.0)</f>
        <v>67184</v>
      </c>
      <c r="G55" s="2" t="str">
        <f>IFERROR(__xludf.DUMMYFUNCTION("""COMPUTED_VALUE"""),"Resunga Solar Limited")</f>
        <v>Resunga Solar Limited</v>
      </c>
      <c r="H55" s="2" t="str">
        <f>IFERROR(__xludf.DUMMYFUNCTION("""COMPUTED_VALUE"""),"Panipokhari - 03, Kathmandu")</f>
        <v>Panipokhari - 03, Kathmandu</v>
      </c>
      <c r="I55" s="2" t="str">
        <f>IFERROR(__xludf.DUMMYFUNCTION("""COMPUTED_VALUE"""),"28o 12' 27""")</f>
        <v>28o 12' 27"</v>
      </c>
      <c r="J55" s="2" t="str">
        <f>IFERROR(__xludf.DUMMYFUNCTION("""COMPUTED_VALUE"""),"28o 13' 20""")</f>
        <v>28o 13' 20"</v>
      </c>
      <c r="K55" s="2" t="str">
        <f>IFERROR(__xludf.DUMMYFUNCTION("""COMPUTED_VALUE"""),"83o 13' 27""")</f>
        <v>83o 13' 27"</v>
      </c>
      <c r="L55" s="2" t="str">
        <f>IFERROR(__xludf.DUMMYFUNCTION("""COMPUTED_VALUE"""),"83o 14' 01""")</f>
        <v>83o 14' 01"</v>
      </c>
      <c r="M55" s="2"/>
    </row>
    <row r="56">
      <c r="A56" s="2">
        <f>IFERROR(__xludf.DUMMYFUNCTION("""COMPUTED_VALUE"""),55.0)</f>
        <v>55</v>
      </c>
      <c r="B56" s="2" t="str">
        <f>IFERROR(__xludf.DUMMYFUNCTION("""COMPUTED_VALUE"""),"Krishnapur Saurya Vidyut Aayojana")</f>
        <v>Krishnapur Saurya Vidyut Aayojana</v>
      </c>
      <c r="C56" s="2">
        <f>IFERROR(__xludf.DUMMYFUNCTION("""COMPUTED_VALUE"""),15.0)</f>
        <v>15</v>
      </c>
      <c r="D56" s="2">
        <f>IFERROR(__xludf.DUMMYFUNCTION("""COMPUTED_VALUE"""),1361.0)</f>
        <v>1361</v>
      </c>
      <c r="E56" s="3">
        <f>IFERROR(__xludf.DUMMYFUNCTION("""COMPUTED_VALUE"""),66455.0)</f>
        <v>66455</v>
      </c>
      <c r="F56" s="3">
        <f>IFERROR(__xludf.DUMMYFUNCTION("""COMPUTED_VALUE"""),67184.0)</f>
        <v>67184</v>
      </c>
      <c r="G56" s="2" t="str">
        <f>IFERROR(__xludf.DUMMYFUNCTION("""COMPUTED_VALUE"""),"Sol Power Limited")</f>
        <v>Sol Power Limited</v>
      </c>
      <c r="H56" s="2" t="str">
        <f>IFERROR(__xludf.DUMMYFUNCTION("""COMPUTED_VALUE"""),"Baneshwor - 10, Kathmandu")</f>
        <v>Baneshwor - 10, Kathmandu</v>
      </c>
      <c r="I56" s="2" t="str">
        <f>IFERROR(__xludf.DUMMYFUNCTION("""COMPUTED_VALUE"""),"28o 45' 31""")</f>
        <v>28o 45' 31"</v>
      </c>
      <c r="J56" s="2" t="str">
        <f>IFERROR(__xludf.DUMMYFUNCTION("""COMPUTED_VALUE"""),"28o 45' 52""")</f>
        <v>28o 45' 52"</v>
      </c>
      <c r="K56" s="2" t="str">
        <f>IFERROR(__xludf.DUMMYFUNCTION("""COMPUTED_VALUE"""),"80o 30' 43""")</f>
        <v>80o 30' 43"</v>
      </c>
      <c r="L56" s="2" t="str">
        <f>IFERROR(__xludf.DUMMYFUNCTION("""COMPUTED_VALUE"""),"80o 30' 59""")</f>
        <v>80o 30' 59"</v>
      </c>
      <c r="M56" s="2" t="str">
        <f>IFERROR(__xludf.DUMMYFUNCTION("""COMPUTED_VALUE"""),"Krishnapur (Kanchanpur)")</f>
        <v>Krishnapur (Kanchanpur)</v>
      </c>
    </row>
    <row r="57">
      <c r="A57" s="2">
        <f>IFERROR(__xludf.DUMMYFUNCTION("""COMPUTED_VALUE"""),56.0)</f>
        <v>56</v>
      </c>
      <c r="B57" s="2" t="str">
        <f>IFERROR(__xludf.DUMMYFUNCTION("""COMPUTED_VALUE"""),"Anand Barju Saurya Vidyut Aayojana")</f>
        <v>Anand Barju Saurya Vidyut Aayojana</v>
      </c>
      <c r="C57" s="2">
        <f>IFERROR(__xludf.DUMMYFUNCTION("""COMPUTED_VALUE"""),25.0)</f>
        <v>25</v>
      </c>
      <c r="D57" s="2">
        <f>IFERROR(__xludf.DUMMYFUNCTION("""COMPUTED_VALUE"""),1364.0)</f>
        <v>1364</v>
      </c>
      <c r="E57" s="3">
        <f>IFERROR(__xludf.DUMMYFUNCTION("""COMPUTED_VALUE"""),66459.0)</f>
        <v>66459</v>
      </c>
      <c r="F57" s="3">
        <f>IFERROR(__xludf.DUMMYFUNCTION("""COMPUTED_VALUE"""),67188.0)</f>
        <v>67188</v>
      </c>
      <c r="G57" s="2" t="str">
        <f>IFERROR(__xludf.DUMMYFUNCTION("""COMPUTED_VALUE"""),"Anand Solar Private Limited")</f>
        <v>Anand Solar Private Limited</v>
      </c>
      <c r="H57" s="2" t="str">
        <f>IFERROR(__xludf.DUMMYFUNCTION("""COMPUTED_VALUE"""),"Biratnagar Municipality - 6, Morang")</f>
        <v>Biratnagar Municipality - 6, Morang</v>
      </c>
      <c r="I57" s="2" t="str">
        <f>IFERROR(__xludf.DUMMYFUNCTION("""COMPUTED_VALUE"""),"26o 27' 45""")</f>
        <v>26o 27' 45"</v>
      </c>
      <c r="J57" s="2" t="str">
        <f>IFERROR(__xludf.DUMMYFUNCTION("""COMPUTED_VALUE"""),"26o 28' 23""")</f>
        <v>26o 28' 23"</v>
      </c>
      <c r="K57" s="2" t="str">
        <f>IFERROR(__xludf.DUMMYFUNCTION("""COMPUTED_VALUE"""),"87o 12' 50""")</f>
        <v>87o 12' 50"</v>
      </c>
      <c r="L57" s="2" t="str">
        <f>IFERROR(__xludf.DUMMYFUNCTION("""COMPUTED_VALUE"""),"87o 13' 14""")</f>
        <v>87o 13' 14"</v>
      </c>
      <c r="M57" s="2" t="str">
        <f>IFERROR(__xludf.DUMMYFUNCTION("""COMPUTED_VALUE"""),"Amahibelaha,Ramganj Belgachhi (Sunsari)")</f>
        <v>Amahibelaha,Ramganj Belgachhi (Sunsari)</v>
      </c>
    </row>
    <row r="58">
      <c r="A58" s="2">
        <f>IFERROR(__xludf.DUMMYFUNCTION("""COMPUTED_VALUE"""),57.0)</f>
        <v>57</v>
      </c>
      <c r="B58" s="2" t="str">
        <f>IFERROR(__xludf.DUMMYFUNCTION("""COMPUTED_VALUE"""),"Mahabharat Saurya Vidyut Aayojana")</f>
        <v>Mahabharat Saurya Vidyut Aayojana</v>
      </c>
      <c r="C58" s="2">
        <f>IFERROR(__xludf.DUMMYFUNCTION("""COMPUTED_VALUE"""),10.0)</f>
        <v>10</v>
      </c>
      <c r="D58" s="2">
        <f>IFERROR(__xludf.DUMMYFUNCTION("""COMPUTED_VALUE"""),1365.0)</f>
        <v>1365</v>
      </c>
      <c r="E58" s="3">
        <f>IFERROR(__xludf.DUMMYFUNCTION("""COMPUTED_VALUE"""),66462.0)</f>
        <v>66462</v>
      </c>
      <c r="F58" s="3">
        <f>IFERROR(__xludf.DUMMYFUNCTION("""COMPUTED_VALUE"""),67191.0)</f>
        <v>67191</v>
      </c>
      <c r="G58" s="2" t="str">
        <f>IFERROR(__xludf.DUMMYFUNCTION("""COMPUTED_VALUE"""),"Mahabharat Solar Limited")</f>
        <v>Mahabharat Solar Limited</v>
      </c>
      <c r="H58" s="2" t="str">
        <f>IFERROR(__xludf.DUMMYFUNCTION("""COMPUTED_VALUE"""),"Panipokhari - 03, Kathmandu")</f>
        <v>Panipokhari - 03, Kathmandu</v>
      </c>
      <c r="I58" s="2" t="str">
        <f>IFERROR(__xludf.DUMMYFUNCTION("""COMPUTED_VALUE"""),"28o 06' 53""")</f>
        <v>28o 06' 53"</v>
      </c>
      <c r="J58" s="2" t="str">
        <f>IFERROR(__xludf.DUMMYFUNCTION("""COMPUTED_VALUE"""),"28o 07' 10""")</f>
        <v>28o 07' 10"</v>
      </c>
      <c r="K58" s="2" t="str">
        <f>IFERROR(__xludf.DUMMYFUNCTION("""COMPUTED_VALUE"""),"82o 07' 36""")</f>
        <v>82o 07' 36"</v>
      </c>
      <c r="L58" s="2" t="str">
        <f>IFERROR(__xludf.DUMMYFUNCTION("""COMPUTED_VALUE"""),"82o 07' 57""")</f>
        <v>82o 07' 57"</v>
      </c>
      <c r="M58" s="2" t="str">
        <f>IFERROR(__xludf.DUMMYFUNCTION("""COMPUTED_VALUE"""),"Dhanori,Goltakuri (Dang)")</f>
        <v>Dhanori,Goltakuri (Dang)</v>
      </c>
    </row>
    <row r="59">
      <c r="A59" s="2">
        <f>IFERROR(__xludf.DUMMYFUNCTION("""COMPUTED_VALUE"""),58.0)</f>
        <v>58</v>
      </c>
      <c r="B59" s="2" t="str">
        <f>IFERROR(__xludf.DUMMYFUNCTION("""COMPUTED_VALUE"""),"Simraungadh Sunsolar Saurya Vidyut Aayojana")</f>
        <v>Simraungadh Sunsolar Saurya Vidyut Aayojana</v>
      </c>
      <c r="C59" s="2">
        <f>IFERROR(__xludf.DUMMYFUNCTION("""COMPUTED_VALUE"""),10.0)</f>
        <v>10</v>
      </c>
      <c r="D59" s="2">
        <f>IFERROR(__xludf.DUMMYFUNCTION("""COMPUTED_VALUE"""),1366.0)</f>
        <v>1366</v>
      </c>
      <c r="E59" s="3">
        <f>IFERROR(__xludf.DUMMYFUNCTION("""COMPUTED_VALUE"""),66464.0)</f>
        <v>66464</v>
      </c>
      <c r="F59" s="3">
        <f>IFERROR(__xludf.DUMMYFUNCTION("""COMPUTED_VALUE"""),67193.0)</f>
        <v>67193</v>
      </c>
      <c r="G59" s="2" t="str">
        <f>IFERROR(__xludf.DUMMYFUNCTION("""COMPUTED_VALUE"""),"Sunsolar Green Power Private Limited")</f>
        <v>Sunsolar Green Power Private Limited</v>
      </c>
      <c r="H59" s="2" t="str">
        <f>IFERROR(__xludf.DUMMYFUNCTION("""COMPUTED_VALUE"""),"Adarshnagar, Birgunj, Parsa Ward No. 10")</f>
        <v>Adarshnagar, Birgunj, Parsa Ward No. 10</v>
      </c>
      <c r="I59" s="2" t="str">
        <f>IFERROR(__xludf.DUMMYFUNCTION("""COMPUTED_VALUE"""),"26o 54' 45""")</f>
        <v>26o 54' 45"</v>
      </c>
      <c r="J59" s="2" t="str">
        <f>IFERROR(__xludf.DUMMYFUNCTION("""COMPUTED_VALUE"""),"26o 55' 01""")</f>
        <v>26o 55' 01"</v>
      </c>
      <c r="K59" s="2" t="str">
        <f>IFERROR(__xludf.DUMMYFUNCTION("""COMPUTED_VALUE"""),"85o 08' 22""")</f>
        <v>85o 08' 22"</v>
      </c>
      <c r="L59" s="2" t="str">
        <f>IFERROR(__xludf.DUMMYFUNCTION("""COMPUTED_VALUE"""),"85o 08' 43""")</f>
        <v>85o 08' 43"</v>
      </c>
      <c r="M59" s="2"/>
    </row>
    <row r="60">
      <c r="A60" s="2">
        <f>IFERROR(__xludf.DUMMYFUNCTION("""COMPUTED_VALUE"""),59.0)</f>
        <v>59</v>
      </c>
      <c r="B60" s="2" t="str">
        <f>IFERROR(__xludf.DUMMYFUNCTION("""COMPUTED_VALUE"""),"Kolhawi Sunsolar Saurya Vidyut Aayojana")</f>
        <v>Kolhawi Sunsolar Saurya Vidyut Aayojana</v>
      </c>
      <c r="C60" s="2">
        <f>IFERROR(__xludf.DUMMYFUNCTION("""COMPUTED_VALUE"""),10.0)</f>
        <v>10</v>
      </c>
      <c r="D60" s="2">
        <f>IFERROR(__xludf.DUMMYFUNCTION("""COMPUTED_VALUE"""),1367.0)</f>
        <v>1367</v>
      </c>
      <c r="E60" s="3">
        <f>IFERROR(__xludf.DUMMYFUNCTION("""COMPUTED_VALUE"""),66464.0)</f>
        <v>66464</v>
      </c>
      <c r="F60" s="3">
        <f>IFERROR(__xludf.DUMMYFUNCTION("""COMPUTED_VALUE"""),67193.0)</f>
        <v>67193</v>
      </c>
      <c r="G60" s="2" t="str">
        <f>IFERROR(__xludf.DUMMYFUNCTION("""COMPUTED_VALUE"""),"Sunsolar Renewables Private Limited")</f>
        <v>Sunsolar Renewables Private Limited</v>
      </c>
      <c r="H60" s="2" t="str">
        <f>IFERROR(__xludf.DUMMYFUNCTION("""COMPUTED_VALUE"""),"Adarshnagar, Birgunj, Parsa Ward No. 10")</f>
        <v>Adarshnagar, Birgunj, Parsa Ward No. 10</v>
      </c>
      <c r="I60" s="2" t="str">
        <f>IFERROR(__xludf.DUMMYFUNCTION("""COMPUTED_VALUE"""),"27o 02' 40""")</f>
        <v>27o 02' 40"</v>
      </c>
      <c r="J60" s="2" t="str">
        <f>IFERROR(__xludf.DUMMYFUNCTION("""COMPUTED_VALUE"""),"27o 02' 56""")</f>
        <v>27o 02' 56"</v>
      </c>
      <c r="K60" s="2" t="str">
        <f>IFERROR(__xludf.DUMMYFUNCTION("""COMPUTED_VALUE"""),"85o 10' 49""")</f>
        <v>85o 10' 49"</v>
      </c>
      <c r="L60" s="2" t="str">
        <f>IFERROR(__xludf.DUMMYFUNCTION("""COMPUTED_VALUE"""),"85o 11' 11""")</f>
        <v>85o 11' 11"</v>
      </c>
      <c r="M60" s="2"/>
    </row>
    <row r="61">
      <c r="A61" s="2">
        <f>IFERROR(__xludf.DUMMYFUNCTION("""COMPUTED_VALUE"""),60.0)</f>
        <v>60</v>
      </c>
      <c r="B61" s="2" t="str">
        <f>IFERROR(__xludf.DUMMYFUNCTION("""COMPUTED_VALUE"""),"Pokhariya Sunsolar Saurya Vidyut Aayojana")</f>
        <v>Pokhariya Sunsolar Saurya Vidyut Aayojana</v>
      </c>
      <c r="C61" s="2">
        <f>IFERROR(__xludf.DUMMYFUNCTION("""COMPUTED_VALUE"""),10.0)</f>
        <v>10</v>
      </c>
      <c r="D61" s="2">
        <f>IFERROR(__xludf.DUMMYFUNCTION("""COMPUTED_VALUE"""),1368.0)</f>
        <v>1368</v>
      </c>
      <c r="E61" s="3">
        <f>IFERROR(__xludf.DUMMYFUNCTION("""COMPUTED_VALUE"""),66464.0)</f>
        <v>66464</v>
      </c>
      <c r="F61" s="3">
        <f>IFERROR(__xludf.DUMMYFUNCTION("""COMPUTED_VALUE"""),67193.0)</f>
        <v>67193</v>
      </c>
      <c r="G61" s="2" t="str">
        <f>IFERROR(__xludf.DUMMYFUNCTION("""COMPUTED_VALUE"""),"Sunsolar Energy Private Limited")</f>
        <v>Sunsolar Energy Private Limited</v>
      </c>
      <c r="H61" s="2" t="str">
        <f>IFERROR(__xludf.DUMMYFUNCTION("""COMPUTED_VALUE"""),"Adarshanagar, Birgunj, Parsa Ward No. 10")</f>
        <v>Adarshanagar, Birgunj, Parsa Ward No. 10</v>
      </c>
      <c r="I61" s="2" t="str">
        <f>IFERROR(__xludf.DUMMYFUNCTION("""COMPUTED_VALUE"""),"27o 04' 45""")</f>
        <v>27o 04' 45"</v>
      </c>
      <c r="J61" s="2" t="str">
        <f>IFERROR(__xludf.DUMMYFUNCTION("""COMPUTED_VALUE"""),"27o 05' 01""")</f>
        <v>27o 05' 01"</v>
      </c>
      <c r="K61" s="2" t="str">
        <f>IFERROR(__xludf.DUMMYFUNCTION("""COMPUTED_VALUE"""),"84o 43' 42""")</f>
        <v>84o 43' 42"</v>
      </c>
      <c r="L61" s="2" t="str">
        <f>IFERROR(__xludf.DUMMYFUNCTION("""COMPUTED_VALUE"""),"84o 44' 05""")</f>
        <v>84o 44' 05"</v>
      </c>
      <c r="M61" s="2" t="str">
        <f>IFERROR(__xludf.DUMMYFUNCTION("""COMPUTED_VALUE"""),"Auraha,Basantapur (Parsa)")</f>
        <v>Auraha,Basantapur (Parsa)</v>
      </c>
    </row>
    <row r="62">
      <c r="A62" s="2">
        <f>IFERROR(__xludf.DUMMYFUNCTION("""COMPUTED_VALUE"""),61.0)</f>
        <v>61</v>
      </c>
      <c r="B62" s="2" t="str">
        <f>IFERROR(__xludf.DUMMYFUNCTION("""COMPUTED_VALUE"""),"Devghat Saurya Vidyut Aayojana")</f>
        <v>Devghat Saurya Vidyut Aayojana</v>
      </c>
      <c r="C62" s="2">
        <f>IFERROR(__xludf.DUMMYFUNCTION("""COMPUTED_VALUE"""),20.0)</f>
        <v>20</v>
      </c>
      <c r="D62" s="2">
        <f>IFERROR(__xludf.DUMMYFUNCTION("""COMPUTED_VALUE"""),1369.0)</f>
        <v>1369</v>
      </c>
      <c r="E62" s="3">
        <f>IFERROR(__xludf.DUMMYFUNCTION("""COMPUTED_VALUE"""),66464.0)</f>
        <v>66464</v>
      </c>
      <c r="F62" s="3">
        <f>IFERROR(__xludf.DUMMYFUNCTION("""COMPUTED_VALUE"""),66828.0)</f>
        <v>66828</v>
      </c>
      <c r="G62" s="2" t="str">
        <f>IFERROR(__xludf.DUMMYFUNCTION("""COMPUTED_VALUE"""),"Devghat Solar Limited")</f>
        <v>Devghat Solar Limited</v>
      </c>
      <c r="H62" s="2" t="str">
        <f>IFERROR(__xludf.DUMMYFUNCTION("""COMPUTED_VALUE"""),"Panipokhari - 03, Kathmandu")</f>
        <v>Panipokhari - 03, Kathmandu</v>
      </c>
      <c r="I62" s="2" t="str">
        <f>IFERROR(__xludf.DUMMYFUNCTION("""COMPUTED_VALUE"""),"27o 56' 24""")</f>
        <v>27o 56' 24"</v>
      </c>
      <c r="J62" s="2" t="str">
        <f>IFERROR(__xludf.DUMMYFUNCTION("""COMPUTED_VALUE"""),"27o 56' 49""")</f>
        <v>27o 56' 49"</v>
      </c>
      <c r="K62" s="2" t="str">
        <f>IFERROR(__xludf.DUMMYFUNCTION("""COMPUTED_VALUE"""),"84o 30' 03""")</f>
        <v>84o 30' 03"</v>
      </c>
      <c r="L62" s="2" t="str">
        <f>IFERROR(__xludf.DUMMYFUNCTION("""COMPUTED_VALUE"""),"84o 30' 31""")</f>
        <v>84o 30' 31"</v>
      </c>
      <c r="M62" s="2" t="str">
        <f>IFERROR(__xludf.DUMMYFUNCTION("""COMPUTED_VALUE"""),"Deurali (Gorkha)")</f>
        <v>Deurali (Gorkha)</v>
      </c>
    </row>
    <row r="63">
      <c r="A63" s="2">
        <f>IFERROR(__xludf.DUMMYFUNCTION("""COMPUTED_VALUE"""),62.0)</f>
        <v>62</v>
      </c>
      <c r="B63" s="2" t="str">
        <f>IFERROR(__xludf.DUMMYFUNCTION("""COMPUTED_VALUE"""),"Dhalkebar - 2 Saurya Vidyut Aayojana")</f>
        <v>Dhalkebar - 2 Saurya Vidyut Aayojana</v>
      </c>
      <c r="C63" s="2">
        <f>IFERROR(__xludf.DUMMYFUNCTION("""COMPUTED_VALUE"""),30.0)</f>
        <v>30</v>
      </c>
      <c r="D63" s="2">
        <f>IFERROR(__xludf.DUMMYFUNCTION("""COMPUTED_VALUE"""),1370.0)</f>
        <v>1370</v>
      </c>
      <c r="E63" s="3">
        <f>IFERROR(__xludf.DUMMYFUNCTION("""COMPUTED_VALUE"""),66464.0)</f>
        <v>66464</v>
      </c>
      <c r="F63" s="3">
        <f>IFERROR(__xludf.DUMMYFUNCTION("""COMPUTED_VALUE"""),67193.0)</f>
        <v>67193</v>
      </c>
      <c r="G63" s="2" t="str">
        <f>IFERROR(__xludf.DUMMYFUNCTION("""COMPUTED_VALUE"""),"Integrated Energy &amp; Industrial Enterprises Private Limited")</f>
        <v>Integrated Energy &amp; Industrial Enterprises Private Limited</v>
      </c>
      <c r="H63" s="2" t="str">
        <f>IFERROR(__xludf.DUMMYFUNCTION("""COMPUTED_VALUE"""),"Lalitpur Municipality - 3, Lalitpur")</f>
        <v>Lalitpur Municipality - 3, Lalitpur</v>
      </c>
      <c r="I63" s="2" t="str">
        <f>IFERROR(__xludf.DUMMYFUNCTION("""COMPUTED_VALUE"""),"26o 55' 51""")</f>
        <v>26o 55' 51"</v>
      </c>
      <c r="J63" s="2" t="str">
        <f>IFERROR(__xludf.DUMMYFUNCTION("""COMPUTED_VALUE"""),"26o 56' 29""")</f>
        <v>26o 56' 29"</v>
      </c>
      <c r="K63" s="2" t="str">
        <f>IFERROR(__xludf.DUMMYFUNCTION("""COMPUTED_VALUE"""),"85o 56' 09""")</f>
        <v>85o 56' 09"</v>
      </c>
      <c r="L63" s="2" t="str">
        <f>IFERROR(__xludf.DUMMYFUNCTION("""COMPUTED_VALUE"""),"85o 56' 45""")</f>
        <v>85o 56' 45"</v>
      </c>
      <c r="M63" s="2" t="str">
        <f>IFERROR(__xludf.DUMMYFUNCTION("""COMPUTED_VALUE"""),"Laxminiwas (Dhanusha)")</f>
        <v>Laxminiwas (Dhanusha)</v>
      </c>
    </row>
    <row r="64">
      <c r="A64" s="2">
        <f>IFERROR(__xludf.DUMMYFUNCTION("""COMPUTED_VALUE"""),63.0)</f>
        <v>63</v>
      </c>
      <c r="B64" s="2" t="str">
        <f>IFERROR(__xludf.DUMMYFUNCTION("""COMPUTED_VALUE"""),"Haripur Saurya Vidyut Aayojana")</f>
        <v>Haripur Saurya Vidyut Aayojana</v>
      </c>
      <c r="C64" s="2">
        <f>IFERROR(__xludf.DUMMYFUNCTION("""COMPUTED_VALUE"""),10.0)</f>
        <v>10</v>
      </c>
      <c r="D64" s="2">
        <f>IFERROR(__xludf.DUMMYFUNCTION("""COMPUTED_VALUE"""),1371.0)</f>
        <v>1371</v>
      </c>
      <c r="E64" s="3">
        <f>IFERROR(__xludf.DUMMYFUNCTION("""COMPUTED_VALUE"""),66464.0)</f>
        <v>66464</v>
      </c>
      <c r="F64" s="3">
        <f>IFERROR(__xludf.DUMMYFUNCTION("""COMPUTED_VALUE"""),67193.0)</f>
        <v>67193</v>
      </c>
      <c r="G64" s="2" t="str">
        <f>IFERROR(__xludf.DUMMYFUNCTION("""COMPUTED_VALUE"""),"Mithila Solar Energy Private Limited")</f>
        <v>Mithila Solar Energy Private Limited</v>
      </c>
      <c r="H64" s="2" t="str">
        <f>IFERROR(__xludf.DUMMYFUNCTION("""COMPUTED_VALUE"""),"Krishnagalli - 3, Lalitpur")</f>
        <v>Krishnagalli - 3, Lalitpur</v>
      </c>
      <c r="I64" s="2" t="str">
        <f>IFERROR(__xludf.DUMMYFUNCTION("""COMPUTED_VALUE"""),"27o 02' 07""")</f>
        <v>27o 02' 07"</v>
      </c>
      <c r="J64" s="2" t="str">
        <f>IFERROR(__xludf.DUMMYFUNCTION("""COMPUTED_VALUE"""),"27o 02' 21""")</f>
        <v>27o 02' 21"</v>
      </c>
      <c r="K64" s="2" t="str">
        <f>IFERROR(__xludf.DUMMYFUNCTION("""COMPUTED_VALUE"""),"85o 35' 36""")</f>
        <v>85o 35' 36"</v>
      </c>
      <c r="L64" s="2" t="str">
        <f>IFERROR(__xludf.DUMMYFUNCTION("""COMPUTED_VALUE"""),"85o 35' 48""")</f>
        <v>85o 35' 48"</v>
      </c>
      <c r="M64" s="2" t="str">
        <f>IFERROR(__xludf.DUMMYFUNCTION("""COMPUTED_VALUE"""),"Lalbandi (Sarlahi)")</f>
        <v>Lalbandi (Sarlahi)</v>
      </c>
    </row>
    <row r="65">
      <c r="A65" s="2">
        <f>IFERROR(__xludf.DUMMYFUNCTION("""COMPUTED_VALUE"""),64.0)</f>
        <v>64</v>
      </c>
      <c r="B65" s="2" t="str">
        <f>IFERROR(__xludf.DUMMYFUNCTION("""COMPUTED_VALUE"""),"Dhulabari Saurya Vidyut Aayojana")</f>
        <v>Dhulabari Saurya Vidyut Aayojana</v>
      </c>
      <c r="C65" s="2">
        <f>IFERROR(__xludf.DUMMYFUNCTION("""COMPUTED_VALUE"""),9.5)</f>
        <v>9.5</v>
      </c>
      <c r="D65" s="2">
        <f>IFERROR(__xludf.DUMMYFUNCTION("""COMPUTED_VALUE"""),1373.0)</f>
        <v>1373</v>
      </c>
      <c r="E65" s="3">
        <f>IFERROR(__xludf.DUMMYFUNCTION("""COMPUTED_VALUE"""),66464.0)</f>
        <v>66464</v>
      </c>
      <c r="F65" s="3">
        <f>IFERROR(__xludf.DUMMYFUNCTION("""COMPUTED_VALUE"""),67193.0)</f>
        <v>67193</v>
      </c>
      <c r="G65" s="2" t="str">
        <f>IFERROR(__xludf.DUMMYFUNCTION("""COMPUTED_VALUE"""),"Eco Sun Power Development Limited")</f>
        <v>Eco Sun Power Development Limited</v>
      </c>
      <c r="H65" s="2" t="str">
        <f>IFERROR(__xludf.DUMMYFUNCTION("""COMPUTED_VALUE"""),"Thapathali, Kathmandu (9843756055)")</f>
        <v>Thapathali, Kathmandu (9843756055)</v>
      </c>
      <c r="I65" s="2" t="str">
        <f>IFERROR(__xludf.DUMMYFUNCTION("""COMPUTED_VALUE"""),"26o 37' 53""")</f>
        <v>26o 37' 53"</v>
      </c>
      <c r="J65" s="2" t="str">
        <f>IFERROR(__xludf.DUMMYFUNCTION("""COMPUTED_VALUE"""),"26o 38' 20""")</f>
        <v>26o 38' 20"</v>
      </c>
      <c r="K65" s="2" t="str">
        <f>IFERROR(__xludf.DUMMYFUNCTION("""COMPUTED_VALUE"""),"88o 06' 52""")</f>
        <v>88o 06' 52"</v>
      </c>
      <c r="L65" s="2" t="str">
        <f>IFERROR(__xludf.DUMMYFUNCTION("""COMPUTED_VALUE"""),"88o 07' 01""")</f>
        <v>88o 07' 01"</v>
      </c>
      <c r="M65" s="2" t="str">
        <f>IFERROR(__xludf.DUMMYFUNCTION("""COMPUTED_VALUE"""),"Jyamirgadhi (Jhapa)")</f>
        <v>Jyamirgadhi (Jhapa)</v>
      </c>
    </row>
    <row r="66">
      <c r="A66" s="2">
        <f>IFERROR(__xludf.DUMMYFUNCTION("""COMPUTED_VALUE"""),65.0)</f>
        <v>65</v>
      </c>
      <c r="B66" s="2" t="str">
        <f>IFERROR(__xludf.DUMMYFUNCTION("""COMPUTED_VALUE"""),"Belauri Saurya Vidyut Aayojana")</f>
        <v>Belauri Saurya Vidyut Aayojana</v>
      </c>
      <c r="C66" s="2">
        <f>IFERROR(__xludf.DUMMYFUNCTION("""COMPUTED_VALUE"""),9.0)</f>
        <v>9</v>
      </c>
      <c r="D66" s="2">
        <f>IFERROR(__xludf.DUMMYFUNCTION("""COMPUTED_VALUE"""),1374.0)</f>
        <v>1374</v>
      </c>
      <c r="E66" s="3">
        <f>IFERROR(__xludf.DUMMYFUNCTION("""COMPUTED_VALUE"""),66464.0)</f>
        <v>66464</v>
      </c>
      <c r="F66" s="3">
        <f>IFERROR(__xludf.DUMMYFUNCTION("""COMPUTED_VALUE"""),67193.0)</f>
        <v>67193</v>
      </c>
      <c r="G66" s="2" t="str">
        <f>IFERROR(__xludf.DUMMYFUNCTION("""COMPUTED_VALUE"""),"Eco Sun Power Development Limited")</f>
        <v>Eco Sun Power Development Limited</v>
      </c>
      <c r="H66" s="2" t="str">
        <f>IFERROR(__xludf.DUMMYFUNCTION("""COMPUTED_VALUE"""),"Thapathali, Kathmandu")</f>
        <v>Thapathali, Kathmandu</v>
      </c>
      <c r="I66" s="2" t="str">
        <f>IFERROR(__xludf.DUMMYFUNCTION("""COMPUTED_VALUE"""),"28o 43' 46""")</f>
        <v>28o 43' 46"</v>
      </c>
      <c r="J66" s="2" t="str">
        <f>IFERROR(__xludf.DUMMYFUNCTION("""COMPUTED_VALUE"""),"28o 43' 59""")</f>
        <v>28o 43' 59"</v>
      </c>
      <c r="K66" s="2" t="str">
        <f>IFERROR(__xludf.DUMMYFUNCTION("""COMPUTED_VALUE"""),"80o 24' 07""")</f>
        <v>80o 24' 07"</v>
      </c>
      <c r="L66" s="2" t="str">
        <f>IFERROR(__xludf.DUMMYFUNCTION("""COMPUTED_VALUE"""),"80o 24' 22""")</f>
        <v>80o 24' 22"</v>
      </c>
      <c r="M66" s="2" t="str">
        <f>IFERROR(__xludf.DUMMYFUNCTION("""COMPUTED_VALUE"""),"Sankarpur (Kanchanpur)")</f>
        <v>Sankarpur (Kanchanpur)</v>
      </c>
    </row>
    <row r="67">
      <c r="A67" s="2">
        <f>IFERROR(__xludf.DUMMYFUNCTION("""COMPUTED_VALUE"""),66.0)</f>
        <v>66</v>
      </c>
      <c r="B67" s="2" t="str">
        <f>IFERROR(__xludf.DUMMYFUNCTION("""COMPUTED_VALUE"""),"Ganeshman Saurya Vidyut Aayojana")</f>
        <v>Ganeshman Saurya Vidyut Aayojana</v>
      </c>
      <c r="C67" s="2">
        <f>IFERROR(__xludf.DUMMYFUNCTION("""COMPUTED_VALUE"""),9.5)</f>
        <v>9.5</v>
      </c>
      <c r="D67" s="2">
        <f>IFERROR(__xludf.DUMMYFUNCTION("""COMPUTED_VALUE"""),1375.0)</f>
        <v>1375</v>
      </c>
      <c r="E67" s="3">
        <f>IFERROR(__xludf.DUMMYFUNCTION("""COMPUTED_VALUE"""),66465.0)</f>
        <v>66465</v>
      </c>
      <c r="F67" s="3">
        <f>IFERROR(__xludf.DUMMYFUNCTION("""COMPUTED_VALUE"""),67194.0)</f>
        <v>67194</v>
      </c>
      <c r="G67" s="2" t="str">
        <f>IFERROR(__xludf.DUMMYFUNCTION("""COMPUTED_VALUE"""),"Eco Global Power Development Limited")</f>
        <v>Eco Global Power Development Limited</v>
      </c>
      <c r="H67" s="2" t="str">
        <f>IFERROR(__xludf.DUMMYFUNCTION("""COMPUTED_VALUE"""),"Thapathali, Kathmandu")</f>
        <v>Thapathali, Kathmandu</v>
      </c>
      <c r="I67" s="2" t="str">
        <f>IFERROR(__xludf.DUMMYFUNCTION("""COMPUTED_VALUE"""),"26o 52' 29""")</f>
        <v>26o 52' 29"</v>
      </c>
      <c r="J67" s="2" t="str">
        <f>IFERROR(__xludf.DUMMYFUNCTION("""COMPUTED_VALUE"""),"26o 52' 44""")</f>
        <v>26o 52' 44"</v>
      </c>
      <c r="K67" s="2" t="str">
        <f>IFERROR(__xludf.DUMMYFUNCTION("""COMPUTED_VALUE"""),"86o 06' 08""")</f>
        <v>86o 06' 08"</v>
      </c>
      <c r="L67" s="2" t="str">
        <f>IFERROR(__xludf.DUMMYFUNCTION("""COMPUTED_VALUE"""),"86o 06' 22""")</f>
        <v>86o 06' 22"</v>
      </c>
      <c r="M67" s="2"/>
    </row>
    <row r="68">
      <c r="A68" s="2">
        <f>IFERROR(__xludf.DUMMYFUNCTION("""COMPUTED_VALUE"""),67.0)</f>
        <v>67</v>
      </c>
      <c r="B68" s="2" t="str">
        <f>IFERROR(__xludf.DUMMYFUNCTION("""COMPUTED_VALUE"""),"Aurahi - 2 Saurya Vidyut Aayojana")</f>
        <v>Aurahi - 2 Saurya Vidyut Aayojana</v>
      </c>
      <c r="C68" s="2">
        <f>IFERROR(__xludf.DUMMYFUNCTION("""COMPUTED_VALUE"""),5.0)</f>
        <v>5</v>
      </c>
      <c r="D68" s="2">
        <f>IFERROR(__xludf.DUMMYFUNCTION("""COMPUTED_VALUE"""),1376.0)</f>
        <v>1376</v>
      </c>
      <c r="E68" s="3">
        <f>IFERROR(__xludf.DUMMYFUNCTION("""COMPUTED_VALUE"""),66465.0)</f>
        <v>66465</v>
      </c>
      <c r="F68" s="3">
        <f>IFERROR(__xludf.DUMMYFUNCTION("""COMPUTED_VALUE"""),66829.0)</f>
        <v>66829</v>
      </c>
      <c r="G68" s="2" t="str">
        <f>IFERROR(__xludf.DUMMYFUNCTION("""COMPUTED_VALUE"""),"Eco Global Power Development Limited")</f>
        <v>Eco Global Power Development Limited</v>
      </c>
      <c r="H68" s="2" t="str">
        <f>IFERROR(__xludf.DUMMYFUNCTION("""COMPUTED_VALUE"""),"Thapathali, Kathmandu")</f>
        <v>Thapathali, Kathmandu</v>
      </c>
      <c r="I68" s="2" t="str">
        <f>IFERROR(__xludf.DUMMYFUNCTION("""COMPUTED_VALUE"""),"26o 53' 28""")</f>
        <v>26o 53' 28"</v>
      </c>
      <c r="J68" s="2" t="str">
        <f>IFERROR(__xludf.DUMMYFUNCTION("""COMPUTED_VALUE"""),"26o 53' 43""")</f>
        <v>26o 53' 43"</v>
      </c>
      <c r="K68" s="2" t="str">
        <f>IFERROR(__xludf.DUMMYFUNCTION("""COMPUTED_VALUE"""),"85o 50' 10""")</f>
        <v>85o 50' 10"</v>
      </c>
      <c r="L68" s="2" t="str">
        <f>IFERROR(__xludf.DUMMYFUNCTION("""COMPUTED_VALUE"""),"85o 50' 30""")</f>
        <v>85o 50' 30"</v>
      </c>
      <c r="M68" s="2" t="str">
        <f>IFERROR(__xludf.DUMMYFUNCTION("""COMPUTED_VALUE"""),"Aurahi (Mahottari)")</f>
        <v>Aurahi (Mahottari)</v>
      </c>
    </row>
    <row r="69">
      <c r="A69" s="2">
        <f>IFERROR(__xludf.DUMMYFUNCTION("""COMPUTED_VALUE"""),68.0)</f>
        <v>68</v>
      </c>
      <c r="B69" s="2" t="str">
        <f>IFERROR(__xludf.DUMMYFUNCTION("""COMPUTED_VALUE"""),"Motipur - 1 Saurya Vidyut Aayojana")</f>
        <v>Motipur - 1 Saurya Vidyut Aayojana</v>
      </c>
      <c r="C69" s="2">
        <f>IFERROR(__xludf.DUMMYFUNCTION("""COMPUTED_VALUE"""),20.0)</f>
        <v>20</v>
      </c>
      <c r="D69" s="2">
        <f>IFERROR(__xludf.DUMMYFUNCTION("""COMPUTED_VALUE"""),1387.0)</f>
        <v>1387</v>
      </c>
      <c r="E69" s="3">
        <f>IFERROR(__xludf.DUMMYFUNCTION("""COMPUTED_VALUE"""),66472.0)</f>
        <v>66472</v>
      </c>
      <c r="F69" s="3">
        <f>IFERROR(__xludf.DUMMYFUNCTION("""COMPUTED_VALUE"""),67201.0)</f>
        <v>67201</v>
      </c>
      <c r="G69" s="2" t="str">
        <f>IFERROR(__xludf.DUMMYFUNCTION("""COMPUTED_VALUE"""),"Solar Farm Limited")</f>
        <v>Solar Farm Limited</v>
      </c>
      <c r="H69" s="2" t="str">
        <f>IFERROR(__xludf.DUMMYFUNCTION("""COMPUTED_VALUE"""),"Suklagandaki Municipality, Ward No. 5, Tanahun, Nepal")</f>
        <v>Suklagandaki Municipality, Ward No. 5, Tanahun, Nepal</v>
      </c>
      <c r="I69" s="2" t="str">
        <f>IFERROR(__xludf.DUMMYFUNCTION("""COMPUTED_VALUE"""),"27o 37' 53""")</f>
        <v>27o 37' 53"</v>
      </c>
      <c r="J69" s="2" t="str">
        <f>IFERROR(__xludf.DUMMYFUNCTION("""COMPUTED_VALUE"""),"27o 38' 14""")</f>
        <v>27o 38' 14"</v>
      </c>
      <c r="K69" s="2" t="str">
        <f>IFERROR(__xludf.DUMMYFUNCTION("""COMPUTED_VALUE"""),"83o 06' 35""")</f>
        <v>83o 06' 35"</v>
      </c>
      <c r="L69" s="2" t="str">
        <f>IFERROR(__xludf.DUMMYFUNCTION("""COMPUTED_VALUE"""),"83o 07' 09""")</f>
        <v>83o 07' 09"</v>
      </c>
      <c r="M69" s="2"/>
    </row>
    <row r="70">
      <c r="A70" s="2">
        <f>IFERROR(__xludf.DUMMYFUNCTION("""COMPUTED_VALUE"""),69.0)</f>
        <v>69</v>
      </c>
      <c r="B70" s="2" t="str">
        <f>IFERROR(__xludf.DUMMYFUNCTION("""COMPUTED_VALUE"""),"Motipur - 2 Saurya Vidyut Aayojana")</f>
        <v>Motipur - 2 Saurya Vidyut Aayojana</v>
      </c>
      <c r="C70" s="2">
        <f>IFERROR(__xludf.DUMMYFUNCTION("""COMPUTED_VALUE"""),30.0)</f>
        <v>30</v>
      </c>
      <c r="D70" s="2">
        <f>IFERROR(__xludf.DUMMYFUNCTION("""COMPUTED_VALUE"""),1388.0)</f>
        <v>1388</v>
      </c>
      <c r="E70" s="3">
        <f>IFERROR(__xludf.DUMMYFUNCTION("""COMPUTED_VALUE"""),66472.0)</f>
        <v>66472</v>
      </c>
      <c r="F70" s="3">
        <f>IFERROR(__xludf.DUMMYFUNCTION("""COMPUTED_VALUE"""),67201.0)</f>
        <v>67201</v>
      </c>
      <c r="G70" s="2" t="str">
        <f>IFERROR(__xludf.DUMMYFUNCTION("""COMPUTED_VALUE"""),"Solar Farm Limited")</f>
        <v>Solar Farm Limited</v>
      </c>
      <c r="H70" s="2" t="str">
        <f>IFERROR(__xludf.DUMMYFUNCTION("""COMPUTED_VALUE"""),"Suklagandaki Municipality, Ward No. 5, Tanahun, Nepal")</f>
        <v>Suklagandaki Municipality, Ward No. 5, Tanahun, Nepal</v>
      </c>
      <c r="I70" s="2" t="str">
        <f>IFERROR(__xludf.DUMMYFUNCTION("""COMPUTED_VALUE"""),"27o 38' 14""")</f>
        <v>27o 38' 14"</v>
      </c>
      <c r="J70" s="2" t="str">
        <f>IFERROR(__xludf.DUMMYFUNCTION("""COMPUTED_VALUE"""),"27o 38' 37""")</f>
        <v>27o 38' 37"</v>
      </c>
      <c r="K70" s="2" t="str">
        <f>IFERROR(__xludf.DUMMYFUNCTION("""COMPUTED_VALUE"""),"83o 06' 28""")</f>
        <v>83o 06' 28"</v>
      </c>
      <c r="L70" s="2" t="str">
        <f>IFERROR(__xludf.DUMMYFUNCTION("""COMPUTED_VALUE"""),"83o 07' 18""")</f>
        <v>83o 07' 18"</v>
      </c>
      <c r="M70" s="2"/>
    </row>
    <row r="71">
      <c r="A71" s="2">
        <f>IFERROR(__xludf.DUMMYFUNCTION("""COMPUTED_VALUE"""),70.0)</f>
        <v>70</v>
      </c>
      <c r="B71" s="2" t="str">
        <f>IFERROR(__xludf.DUMMYFUNCTION("""COMPUTED_VALUE"""),"Mainahiya Saurya Vidyut Aayojana")</f>
        <v>Mainahiya Saurya Vidyut Aayojana</v>
      </c>
      <c r="C71" s="2">
        <f>IFERROR(__xludf.DUMMYFUNCTION("""COMPUTED_VALUE"""),40.0)</f>
        <v>40</v>
      </c>
      <c r="D71" s="2">
        <f>IFERROR(__xludf.DUMMYFUNCTION("""COMPUTED_VALUE"""),1389.0)</f>
        <v>1389</v>
      </c>
      <c r="E71" s="3">
        <f>IFERROR(__xludf.DUMMYFUNCTION("""COMPUTED_VALUE"""),66472.0)</f>
        <v>66472</v>
      </c>
      <c r="F71" s="3">
        <f>IFERROR(__xludf.DUMMYFUNCTION("""COMPUTED_VALUE"""),67201.0)</f>
        <v>67201</v>
      </c>
      <c r="G71" s="2" t="str">
        <f>IFERROR(__xludf.DUMMYFUNCTION("""COMPUTED_VALUE"""),"Solar Farm Limited")</f>
        <v>Solar Farm Limited</v>
      </c>
      <c r="H71" s="2" t="str">
        <f>IFERROR(__xludf.DUMMYFUNCTION("""COMPUTED_VALUE"""),"Suklagandaki Municipality, Ward No. 5, Tanahun, Nepal")</f>
        <v>Suklagandaki Municipality, Ward No. 5, Tanahun, Nepal</v>
      </c>
      <c r="I71" s="2" t="str">
        <f>IFERROR(__xludf.DUMMYFUNCTION("""COMPUTED_VALUE"""),"27o 31' 06""")</f>
        <v>27o 31' 06"</v>
      </c>
      <c r="J71" s="2" t="str">
        <f>IFERROR(__xludf.DUMMYFUNCTION("""COMPUTED_VALUE"""),"27o 31' 40""")</f>
        <v>27o 31' 40"</v>
      </c>
      <c r="K71" s="2" t="str">
        <f>IFERROR(__xludf.DUMMYFUNCTION("""COMPUTED_VALUE"""),"83o 23' 45""")</f>
        <v>83o 23' 45"</v>
      </c>
      <c r="L71" s="2" t="str">
        <f>IFERROR(__xludf.DUMMYFUNCTION("""COMPUTED_VALUE"""),"83o 24' 24""")</f>
        <v>83o 24' 24"</v>
      </c>
      <c r="M71" s="2"/>
    </row>
    <row r="72">
      <c r="A72" s="2">
        <f>IFERROR(__xludf.DUMMYFUNCTION("""COMPUTED_VALUE"""),71.0)</f>
        <v>71</v>
      </c>
      <c r="B72" s="2" t="str">
        <f>IFERROR(__xludf.DUMMYFUNCTION("""COMPUTED_VALUE"""),"Amargadi Saurya Vidyut Aayojana")</f>
        <v>Amargadi Saurya Vidyut Aayojana</v>
      </c>
      <c r="C72" s="2">
        <f>IFERROR(__xludf.DUMMYFUNCTION("""COMPUTED_VALUE"""),10.0)</f>
        <v>10</v>
      </c>
      <c r="D72" s="2">
        <f>IFERROR(__xludf.DUMMYFUNCTION("""COMPUTED_VALUE"""),1396.0)</f>
        <v>1396</v>
      </c>
      <c r="E72" s="3">
        <f>IFERROR(__xludf.DUMMYFUNCTION("""COMPUTED_VALUE"""),66488.0)</f>
        <v>66488</v>
      </c>
      <c r="F72" s="3">
        <f>IFERROR(__xludf.DUMMYFUNCTION("""COMPUTED_VALUE"""),66852.0)</f>
        <v>66852</v>
      </c>
      <c r="G72" s="2" t="str">
        <f>IFERROR(__xludf.DUMMYFUNCTION("""COMPUTED_VALUE"""),"Nature Energy Private Limited")</f>
        <v>Nature Energy Private Limited</v>
      </c>
      <c r="H72" s="2" t="str">
        <f>IFERROR(__xludf.DUMMYFUNCTION("""COMPUTED_VALUE"""),"Lalitpur Metropolitan City Ward No. 10")</f>
        <v>Lalitpur Metropolitan City Ward No. 10</v>
      </c>
      <c r="I72" s="2" t="str">
        <f>IFERROR(__xludf.DUMMYFUNCTION("""COMPUTED_VALUE"""),"29o 17' 07""")</f>
        <v>29o 17' 07"</v>
      </c>
      <c r="J72" s="2" t="str">
        <f>IFERROR(__xludf.DUMMYFUNCTION("""COMPUTED_VALUE"""),"29o 17' 25""")</f>
        <v>29o 17' 25"</v>
      </c>
      <c r="K72" s="2" t="str">
        <f>IFERROR(__xludf.DUMMYFUNCTION("""COMPUTED_VALUE"""),"80o 33' 55""")</f>
        <v>80o 33' 55"</v>
      </c>
      <c r="L72" s="2" t="str">
        <f>IFERROR(__xludf.DUMMYFUNCTION("""COMPUTED_VALUE"""),"80o 34' 14""")</f>
        <v>80o 34' 14"</v>
      </c>
      <c r="M72" s="2"/>
    </row>
    <row r="73">
      <c r="A73" s="2">
        <f>IFERROR(__xludf.DUMMYFUNCTION("""COMPUTED_VALUE"""),72.0)</f>
        <v>72</v>
      </c>
      <c r="B73" s="2" t="str">
        <f>IFERROR(__xludf.DUMMYFUNCTION("""COMPUTED_VALUE"""),"Jhapa Saurya Vidyut Aayojana")</f>
        <v>Jhapa Saurya Vidyut Aayojana</v>
      </c>
      <c r="C73" s="2">
        <f>IFERROR(__xludf.DUMMYFUNCTION("""COMPUTED_VALUE"""),100.0)</f>
        <v>100</v>
      </c>
      <c r="D73" s="2">
        <f>IFERROR(__xludf.DUMMYFUNCTION("""COMPUTED_VALUE"""),1407.0)</f>
        <v>1407</v>
      </c>
      <c r="E73" s="3">
        <f>IFERROR(__xludf.DUMMYFUNCTION("""COMPUTED_VALUE"""),66506.0)</f>
        <v>66506</v>
      </c>
      <c r="F73" s="3">
        <f>IFERROR(__xludf.DUMMYFUNCTION("""COMPUTED_VALUE"""),66870.0)</f>
        <v>66870</v>
      </c>
      <c r="G73" s="2" t="str">
        <f>IFERROR(__xludf.DUMMYFUNCTION("""COMPUTED_VALUE"""),"G.T. Energy Private Limited")</f>
        <v>G.T. Energy Private Limited</v>
      </c>
      <c r="H73" s="2" t="str">
        <f>IFERROR(__xludf.DUMMYFUNCTION("""COMPUTED_VALUE"""),"sanepa, lalitpur")</f>
        <v>sanepa, lalitpur</v>
      </c>
      <c r="I73" s="2" t="str">
        <f>IFERROR(__xludf.DUMMYFUNCTION("""COMPUTED_VALUE"""),"26o 35' 30""")</f>
        <v>26o 35' 30"</v>
      </c>
      <c r="J73" s="2" t="str">
        <f>IFERROR(__xludf.DUMMYFUNCTION("""COMPUTED_VALUE"""),"26o 36' 22""")</f>
        <v>26o 36' 22"</v>
      </c>
      <c r="K73" s="2" t="str">
        <f>IFERROR(__xludf.DUMMYFUNCTION("""COMPUTED_VALUE"""),"87o 53' 60""")</f>
        <v>87o 53' 60"</v>
      </c>
      <c r="L73" s="2" t="str">
        <f>IFERROR(__xludf.DUMMYFUNCTION("""COMPUTED_VALUE"""),"87o 54' 24""")</f>
        <v>87o 54' 24"</v>
      </c>
      <c r="M73" s="2"/>
    </row>
    <row r="74">
      <c r="A74" s="2">
        <f>IFERROR(__xludf.DUMMYFUNCTION("""COMPUTED_VALUE"""),73.0)</f>
        <v>73</v>
      </c>
      <c r="B74" s="2" t="str">
        <f>IFERROR(__xludf.DUMMYFUNCTION("""COMPUTED_VALUE"""),"Nepalgunj-2 Saurya Vidyut Aayojana")</f>
        <v>Nepalgunj-2 Saurya Vidyut Aayojana</v>
      </c>
      <c r="C74" s="2">
        <f>IFERROR(__xludf.DUMMYFUNCTION("""COMPUTED_VALUE"""),100.0)</f>
        <v>100</v>
      </c>
      <c r="D74" s="2">
        <f>IFERROR(__xludf.DUMMYFUNCTION("""COMPUTED_VALUE"""),1408.0)</f>
        <v>1408</v>
      </c>
      <c r="E74" s="3">
        <f>IFERROR(__xludf.DUMMYFUNCTION("""COMPUTED_VALUE"""),66506.0)</f>
        <v>66506</v>
      </c>
      <c r="F74" s="3">
        <f>IFERROR(__xludf.DUMMYFUNCTION("""COMPUTED_VALUE"""),66870.0)</f>
        <v>66870</v>
      </c>
      <c r="G74" s="2" t="str">
        <f>IFERROR(__xludf.DUMMYFUNCTION("""COMPUTED_VALUE"""),"G.T. Energy Private Limited")</f>
        <v>G.T. Energy Private Limited</v>
      </c>
      <c r="H74" s="2" t="str">
        <f>IFERROR(__xludf.DUMMYFUNCTION("""COMPUTED_VALUE"""),"House No. 105, Sanepa, Lalitpur")</f>
        <v>House No. 105, Sanepa, Lalitpur</v>
      </c>
      <c r="I74" s="2" t="str">
        <f>IFERROR(__xludf.DUMMYFUNCTION("""COMPUTED_VALUE"""),"28o 00' 14""")</f>
        <v>28o 00' 14"</v>
      </c>
      <c r="J74" s="2" t="str">
        <f>IFERROR(__xludf.DUMMYFUNCTION("""COMPUTED_VALUE"""),"28o 01' 19""")</f>
        <v>28o 01' 19"</v>
      </c>
      <c r="K74" s="2" t="str">
        <f>IFERROR(__xludf.DUMMYFUNCTION("""COMPUTED_VALUE"""),"81o 44' 27""")</f>
        <v>81o 44' 27"</v>
      </c>
      <c r="L74" s="2" t="str">
        <f>IFERROR(__xludf.DUMMYFUNCTION("""COMPUTED_VALUE"""),"81o 44' 36""")</f>
        <v>81o 44' 36"</v>
      </c>
      <c r="M74" s="2"/>
    </row>
    <row r="75">
      <c r="A75" s="2">
        <f>IFERROR(__xludf.DUMMYFUNCTION("""COMPUTED_VALUE"""),74.0)</f>
        <v>74</v>
      </c>
      <c r="B75" s="2" t="str">
        <f>IFERROR(__xludf.DUMMYFUNCTION("""COMPUTED_VALUE"""),"Sainik Kalyankari Sainamaina Saurya Vidyut Aayojana - Block")</f>
        <v>Sainik Kalyankari Sainamaina Saurya Vidyut Aayojana - Block</v>
      </c>
      <c r="C75" s="2">
        <f>IFERROR(__xludf.DUMMYFUNCTION("""COMPUTED_VALUE"""),5.0)</f>
        <v>5</v>
      </c>
      <c r="D75" s="2">
        <f>IFERROR(__xludf.DUMMYFUNCTION("""COMPUTED_VALUE"""),1425.0)</f>
        <v>1425</v>
      </c>
      <c r="E75" s="3">
        <f>IFERROR(__xludf.DUMMYFUNCTION("""COMPUTED_VALUE"""),66550.0)</f>
        <v>66550</v>
      </c>
      <c r="F75" s="3">
        <f>IFERROR(__xludf.DUMMYFUNCTION("""COMPUTED_VALUE"""),66914.0)</f>
        <v>66914</v>
      </c>
      <c r="G75" s="2" t="str">
        <f>IFERROR(__xludf.DUMMYFUNCTION("""COMPUTED_VALUE"""),"Nepal Army(Sainik Kalyankari Kosh)")</f>
        <v>Nepal Army(Sainik Kalyankari Kosh)</v>
      </c>
      <c r="H75" s="2" t="str">
        <f>IFERROR(__xludf.DUMMYFUNCTION("""COMPUTED_VALUE"""),"Jangi Adda, Bhadrakali, Kathmandu")</f>
        <v>Jangi Adda, Bhadrakali, Kathmandu</v>
      </c>
      <c r="I75" s="2" t="str">
        <f>IFERROR(__xludf.DUMMYFUNCTION("""COMPUTED_VALUE"""),"27o 42' 47""")</f>
        <v>27o 42' 47"</v>
      </c>
      <c r="J75" s="2" t="str">
        <f>IFERROR(__xludf.DUMMYFUNCTION("""COMPUTED_VALUE"""),"27o 43' 05""")</f>
        <v>27o 43' 05"</v>
      </c>
      <c r="K75" s="2" t="str">
        <f>IFERROR(__xludf.DUMMYFUNCTION("""COMPUTED_VALUE"""),"83o 17' 36""")</f>
        <v>83o 17' 36"</v>
      </c>
      <c r="L75" s="2" t="str">
        <f>IFERROR(__xludf.DUMMYFUNCTION("""COMPUTED_VALUE"""),"83o 17' 57""")</f>
        <v>83o 17' 57"</v>
      </c>
      <c r="M75" s="2"/>
    </row>
    <row r="76">
      <c r="A76" s="2">
        <f>IFERROR(__xludf.DUMMYFUNCTION("""COMPUTED_VALUE"""),75.0)</f>
        <v>75</v>
      </c>
      <c r="B76" s="2" t="str">
        <f>IFERROR(__xludf.DUMMYFUNCTION("""COMPUTED_VALUE"""),"Sainik Kalyankari Sainamaina Saurya Vidyut Aayojana - Block")</f>
        <v>Sainik Kalyankari Sainamaina Saurya Vidyut Aayojana - Block</v>
      </c>
      <c r="C76" s="2">
        <f>IFERROR(__xludf.DUMMYFUNCTION("""COMPUTED_VALUE"""),10.0)</f>
        <v>10</v>
      </c>
      <c r="D76" s="2">
        <f>IFERROR(__xludf.DUMMYFUNCTION("""COMPUTED_VALUE"""),1426.0)</f>
        <v>1426</v>
      </c>
      <c r="E76" s="3">
        <f>IFERROR(__xludf.DUMMYFUNCTION("""COMPUTED_VALUE"""),66550.0)</f>
        <v>66550</v>
      </c>
      <c r="F76" s="3">
        <f>IFERROR(__xludf.DUMMYFUNCTION("""COMPUTED_VALUE"""),66914.0)</f>
        <v>66914</v>
      </c>
      <c r="G76" s="2" t="str">
        <f>IFERROR(__xludf.DUMMYFUNCTION("""COMPUTED_VALUE"""),"Nepal Army (Sainik Kalyankari Kosh)")</f>
        <v>Nepal Army (Sainik Kalyankari Kosh)</v>
      </c>
      <c r="H76" s="2" t="str">
        <f>IFERROR(__xludf.DUMMYFUNCTION("""COMPUTED_VALUE"""),"Jangi Adda, Bhadrakali, Kathmandu")</f>
        <v>Jangi Adda, Bhadrakali, Kathmandu</v>
      </c>
      <c r="I76" s="2" t="str">
        <f>IFERROR(__xludf.DUMMYFUNCTION("""COMPUTED_VALUE"""),"27o 41' 28""")</f>
        <v>27o 41' 28"</v>
      </c>
      <c r="J76" s="2" t="str">
        <f>IFERROR(__xludf.DUMMYFUNCTION("""COMPUTED_VALUE"""),"27o 41' 48""")</f>
        <v>27o 41' 48"</v>
      </c>
      <c r="K76" s="2" t="str">
        <f>IFERROR(__xludf.DUMMYFUNCTION("""COMPUTED_VALUE"""),"83o 21' 53""")</f>
        <v>83o 21' 53"</v>
      </c>
      <c r="L76" s="2" t="str">
        <f>IFERROR(__xludf.DUMMYFUNCTION("""COMPUTED_VALUE"""),"83o 22' 28""")</f>
        <v>83o 22' 28"</v>
      </c>
      <c r="M76" s="2"/>
    </row>
    <row r="77">
      <c r="A77" s="2">
        <f>IFERROR(__xludf.DUMMYFUNCTION("""COMPUTED_VALUE"""),76.0)</f>
        <v>76</v>
      </c>
      <c r="B77" s="2" t="str">
        <f>IFERROR(__xludf.DUMMYFUNCTION("""COMPUTED_VALUE"""),"Sainik Kalyankari Sainamaina Saurya Vidyut Aayojana - Block")</f>
        <v>Sainik Kalyankari Sainamaina Saurya Vidyut Aayojana - Block</v>
      </c>
      <c r="C77" s="2">
        <f>IFERROR(__xludf.DUMMYFUNCTION("""COMPUTED_VALUE"""),10.0)</f>
        <v>10</v>
      </c>
      <c r="D77" s="2">
        <f>IFERROR(__xludf.DUMMYFUNCTION("""COMPUTED_VALUE"""),1429.0)</f>
        <v>1429</v>
      </c>
      <c r="E77" s="3">
        <f>IFERROR(__xludf.DUMMYFUNCTION("""COMPUTED_VALUE"""),66552.0)</f>
        <v>66552</v>
      </c>
      <c r="F77" s="3">
        <f>IFERROR(__xludf.DUMMYFUNCTION("""COMPUTED_VALUE"""),66916.0)</f>
        <v>66916</v>
      </c>
      <c r="G77" s="2" t="str">
        <f>IFERROR(__xludf.DUMMYFUNCTION("""COMPUTED_VALUE"""),"Nepal Army(Sainik Kalyankari Kosh)")</f>
        <v>Nepal Army(Sainik Kalyankari Kosh)</v>
      </c>
      <c r="H77" s="2" t="str">
        <f>IFERROR(__xludf.DUMMYFUNCTION("""COMPUTED_VALUE"""),"Jangi Adda, Bhadrakali, Kathmandu")</f>
        <v>Jangi Adda, Bhadrakali, Kathmandu</v>
      </c>
      <c r="I77" s="2" t="str">
        <f>IFERROR(__xludf.DUMMYFUNCTION("""COMPUTED_VALUE"""),"27o 42' 29""")</f>
        <v>27o 42' 29"</v>
      </c>
      <c r="J77" s="2" t="str">
        <f>IFERROR(__xludf.DUMMYFUNCTION("""COMPUTED_VALUE"""),"27o 42' 45""")</f>
        <v>27o 42' 45"</v>
      </c>
      <c r="K77" s="2" t="str">
        <f>IFERROR(__xludf.DUMMYFUNCTION("""COMPUTED_VALUE"""),"83o 16' 48""")</f>
        <v>83o 16' 48"</v>
      </c>
      <c r="L77" s="2" t="str">
        <f>IFERROR(__xludf.DUMMYFUNCTION("""COMPUTED_VALUE"""),"83o 17' 11""")</f>
        <v>83o 17' 11"</v>
      </c>
      <c r="M77" s="2"/>
    </row>
    <row r="78">
      <c r="A78" s="2">
        <f>IFERROR(__xludf.DUMMYFUNCTION("""COMPUTED_VALUE"""),77.0)</f>
        <v>77</v>
      </c>
      <c r="B78" s="2" t="str">
        <f>IFERROR(__xludf.DUMMYFUNCTION("""COMPUTED_VALUE"""),"Rolpa Saurya Vidyut Aayojna")</f>
        <v>Rolpa Saurya Vidyut Aayojna</v>
      </c>
      <c r="C78" s="2">
        <f>IFERROR(__xludf.DUMMYFUNCTION("""COMPUTED_VALUE"""),100.0)</f>
        <v>100</v>
      </c>
      <c r="D78" s="2">
        <f>IFERROR(__xludf.DUMMYFUNCTION("""COMPUTED_VALUE"""),1447.0)</f>
        <v>1447</v>
      </c>
      <c r="E78" s="3">
        <f>IFERROR(__xludf.DUMMYFUNCTION("""COMPUTED_VALUE"""),66580.0)</f>
        <v>66580</v>
      </c>
      <c r="F78" s="3">
        <f>IFERROR(__xludf.DUMMYFUNCTION("""COMPUTED_VALUE"""),66944.0)</f>
        <v>66944</v>
      </c>
      <c r="G78" s="2" t="str">
        <f>IFERROR(__xludf.DUMMYFUNCTION("""COMPUTED_VALUE"""),"NRN Infrastructure And Development Limited")</f>
        <v>NRN Infrastructure And Development Limited</v>
      </c>
      <c r="H78" s="2" t="str">
        <f>IFERROR(__xludf.DUMMYFUNCTION("""COMPUTED_VALUE"""),"KMC-28, Putalisadak, Kathmandu")</f>
        <v>KMC-28, Putalisadak, Kathmandu</v>
      </c>
      <c r="I78" s="2" t="str">
        <f>IFERROR(__xludf.DUMMYFUNCTION("""COMPUTED_VALUE"""),"28o 15' 15""")</f>
        <v>28o 15' 15"</v>
      </c>
      <c r="J78" s="2" t="str">
        <f>IFERROR(__xludf.DUMMYFUNCTION("""COMPUTED_VALUE"""),"28o 16' 45""")</f>
        <v>28o 16' 45"</v>
      </c>
      <c r="K78" s="2" t="str">
        <f>IFERROR(__xludf.DUMMYFUNCTION("""COMPUTED_VALUE"""),"82o 40' 40""")</f>
        <v>82o 40' 40"</v>
      </c>
      <c r="L78" s="2" t="str">
        <f>IFERROR(__xludf.DUMMYFUNCTION("""COMPUTED_VALUE"""),"82o 42' 45""")</f>
        <v>82o 42' 45"</v>
      </c>
      <c r="M78" s="2"/>
    </row>
    <row r="79">
      <c r="A79" s="2">
        <f>IFERROR(__xludf.DUMMYFUNCTION("""COMPUTED_VALUE"""),78.0)</f>
        <v>78</v>
      </c>
      <c r="B79" s="2" t="str">
        <f>IFERROR(__xludf.DUMMYFUNCTION("""COMPUTED_VALUE"""),"Arghakhachi Saurya Vidyut Aayojana")</f>
        <v>Arghakhachi Saurya Vidyut Aayojana</v>
      </c>
      <c r="C79" s="2">
        <f>IFERROR(__xludf.DUMMYFUNCTION("""COMPUTED_VALUE"""),150.0)</f>
        <v>150</v>
      </c>
      <c r="D79" s="2">
        <f>IFERROR(__xludf.DUMMYFUNCTION("""COMPUTED_VALUE"""),1448.0)</f>
        <v>1448</v>
      </c>
      <c r="E79" s="3">
        <f>IFERROR(__xludf.DUMMYFUNCTION("""COMPUTED_VALUE"""),66580.0)</f>
        <v>66580</v>
      </c>
      <c r="F79" s="3">
        <f>IFERROR(__xludf.DUMMYFUNCTION("""COMPUTED_VALUE"""),66944.0)</f>
        <v>66944</v>
      </c>
      <c r="G79" s="2" t="str">
        <f>IFERROR(__xludf.DUMMYFUNCTION("""COMPUTED_VALUE"""),"NRN Infrastructure And Development Limited")</f>
        <v>NRN Infrastructure And Development Limited</v>
      </c>
      <c r="H79" s="2" t="str">
        <f>IFERROR(__xludf.DUMMYFUNCTION("""COMPUTED_VALUE"""),"KMC-28, Putalisadak, Kathmandu")</f>
        <v>KMC-28, Putalisadak, Kathmandu</v>
      </c>
      <c r="I79" s="2" t="str">
        <f>IFERROR(__xludf.DUMMYFUNCTION("""COMPUTED_VALUE"""),"27o 47' 35""")</f>
        <v>27o 47' 35"</v>
      </c>
      <c r="J79" s="2" t="str">
        <f>IFERROR(__xludf.DUMMYFUNCTION("""COMPUTED_VALUE"""),"27o 49' 14""")</f>
        <v>27o 49' 14"</v>
      </c>
      <c r="K79" s="2" t="str">
        <f>IFERROR(__xludf.DUMMYFUNCTION("""COMPUTED_VALUE"""),"83o 06' 55""")</f>
        <v>83o 06' 55"</v>
      </c>
      <c r="L79" s="2" t="str">
        <f>IFERROR(__xludf.DUMMYFUNCTION("""COMPUTED_VALUE"""),"83o 10' 25""")</f>
        <v>83o 10' 25"</v>
      </c>
      <c r="M79" s="2"/>
    </row>
    <row r="80">
      <c r="A80" s="2">
        <f>IFERROR(__xludf.DUMMYFUNCTION("""COMPUTED_VALUE"""),79.0)</f>
        <v>79</v>
      </c>
      <c r="B80" s="2" t="str">
        <f>IFERROR(__xludf.DUMMYFUNCTION("""COMPUTED_VALUE"""),"Palpa Dambak Saurya Vidyut Aayojana")</f>
        <v>Palpa Dambak Saurya Vidyut Aayojana</v>
      </c>
      <c r="C80" s="2">
        <f>IFERROR(__xludf.DUMMYFUNCTION("""COMPUTED_VALUE"""),25.0)</f>
        <v>25</v>
      </c>
      <c r="D80" s="2">
        <f>IFERROR(__xludf.DUMMYFUNCTION("""COMPUTED_VALUE"""),1478.0)</f>
        <v>1478</v>
      </c>
      <c r="E80" s="3">
        <f>IFERROR(__xludf.DUMMYFUNCTION("""COMPUTED_VALUE"""),66585.0)</f>
        <v>66585</v>
      </c>
      <c r="F80" s="3">
        <f>IFERROR(__xludf.DUMMYFUNCTION("""COMPUTED_VALUE"""),66949.0)</f>
        <v>66949</v>
      </c>
      <c r="G80" s="2" t="str">
        <f>IFERROR(__xludf.DUMMYFUNCTION("""COMPUTED_VALUE"""),"C.G. Energo Private Limited")</f>
        <v>C.G. Energo Private Limited</v>
      </c>
      <c r="H80" s="2" t="str">
        <f>IFERROR(__xludf.DUMMYFUNCTION("""COMPUTED_VALUE"""),"Lalitpur Municipality - 2, Sanepa, Lalitpur")</f>
        <v>Lalitpur Municipality - 2, Sanepa, Lalitpur</v>
      </c>
      <c r="I80" s="2" t="str">
        <f>IFERROR(__xludf.DUMMYFUNCTION("""COMPUTED_VALUE"""),"27o 53' 34""")</f>
        <v>27o 53' 34"</v>
      </c>
      <c r="J80" s="2" t="str">
        <f>IFERROR(__xludf.DUMMYFUNCTION("""COMPUTED_VALUE"""),"27o 53' 59""")</f>
        <v>27o 53' 59"</v>
      </c>
      <c r="K80" s="2" t="str">
        <f>IFERROR(__xludf.DUMMYFUNCTION("""COMPUTED_VALUE"""),"83o 25' 30""")</f>
        <v>83o 25' 30"</v>
      </c>
      <c r="L80" s="2" t="str">
        <f>IFERROR(__xludf.DUMMYFUNCTION("""COMPUTED_VALUE"""),"83o 25' 58""")</f>
        <v>83o 25' 58"</v>
      </c>
      <c r="M80" s="2" t="str">
        <f>IFERROR(__xludf.DUMMYFUNCTION("""COMPUTED_VALUE"""),"Deurali,Khyaha (Palpa)")</f>
        <v>Deurali,Khyaha (Palpa)</v>
      </c>
    </row>
    <row r="81">
      <c r="A81" s="2">
        <f>IFERROR(__xludf.DUMMYFUNCTION("""COMPUTED_VALUE"""),80.0)</f>
        <v>80</v>
      </c>
      <c r="B81" s="2" t="str">
        <f>IFERROR(__xludf.DUMMYFUNCTION("""COMPUTED_VALUE"""),"Birat Barju Saurya Vidyut Aayojana")</f>
        <v>Birat Barju Saurya Vidyut Aayojana</v>
      </c>
      <c r="C81" s="2">
        <f>IFERROR(__xludf.DUMMYFUNCTION("""COMPUTED_VALUE"""),10.0)</f>
        <v>10</v>
      </c>
      <c r="D81" s="2">
        <f>IFERROR(__xludf.DUMMYFUNCTION("""COMPUTED_VALUE"""),1465.0)</f>
        <v>1465</v>
      </c>
      <c r="E81" s="3">
        <f>IFERROR(__xludf.DUMMYFUNCTION("""COMPUTED_VALUE"""),66637.0)</f>
        <v>66637</v>
      </c>
      <c r="F81" s="3">
        <f>IFERROR(__xludf.DUMMYFUNCTION("""COMPUTED_VALUE"""),67001.0)</f>
        <v>67001</v>
      </c>
      <c r="G81" s="2" t="str">
        <f>IFERROR(__xludf.DUMMYFUNCTION("""COMPUTED_VALUE"""),"Eastern Green Energy Private Limited")</f>
        <v>Eastern Green Energy Private Limited</v>
      </c>
      <c r="H81" s="2" t="str">
        <f>IFERROR(__xludf.DUMMYFUNCTION("""COMPUTED_VALUE"""),"Kathmandu")</f>
        <v>Kathmandu</v>
      </c>
      <c r="I81" s="2" t="str">
        <f>IFERROR(__xludf.DUMMYFUNCTION("""COMPUTED_VALUE"""),"26o 26' 07""")</f>
        <v>26o 26' 07"</v>
      </c>
      <c r="J81" s="2" t="str">
        <f>IFERROR(__xludf.DUMMYFUNCTION("""COMPUTED_VALUE"""),"26o 26' 22""")</f>
        <v>26o 26' 22"</v>
      </c>
      <c r="K81" s="2" t="str">
        <f>IFERROR(__xludf.DUMMYFUNCTION("""COMPUTED_VALUE"""),"87o 11' 54""")</f>
        <v>87o 11' 54"</v>
      </c>
      <c r="L81" s="2" t="str">
        <f>IFERROR(__xludf.DUMMYFUNCTION("""COMPUTED_VALUE"""),"87o 12' 06""")</f>
        <v>87o 12' 06"</v>
      </c>
      <c r="M81" s="2" t="str">
        <f>IFERROR(__xludf.DUMMYFUNCTION("""COMPUTED_VALUE"""),"Amaduwa (Sunsari)")</f>
        <v>Amaduwa (Sunsari)</v>
      </c>
    </row>
    <row r="82">
      <c r="A82" s="2">
        <f>IFERROR(__xludf.DUMMYFUNCTION("""COMPUTED_VALUE"""),81.0)</f>
        <v>81</v>
      </c>
      <c r="B82" s="2" t="str">
        <f>IFERROR(__xludf.DUMMYFUNCTION("""COMPUTED_VALUE"""),"Dangihat Battery Sahitko Saurya Vidyut Aayojana")</f>
        <v>Dangihat Battery Sahitko Saurya Vidyut Aayojana</v>
      </c>
      <c r="C82" s="2">
        <f>IFERROR(__xludf.DUMMYFUNCTION("""COMPUTED_VALUE"""),10.0)</f>
        <v>10</v>
      </c>
      <c r="D82" s="2">
        <f>IFERROR(__xludf.DUMMYFUNCTION("""COMPUTED_VALUE"""),1482.0)</f>
        <v>1482</v>
      </c>
      <c r="E82" s="3">
        <f>IFERROR(__xludf.DUMMYFUNCTION("""COMPUTED_VALUE"""),66681.0)</f>
        <v>66681</v>
      </c>
      <c r="F82" s="3">
        <f>IFERROR(__xludf.DUMMYFUNCTION("""COMPUTED_VALUE"""),67045.0)</f>
        <v>67045</v>
      </c>
      <c r="G82" s="2" t="str">
        <f>IFERROR(__xludf.DUMMYFUNCTION("""COMPUTED_VALUE"""),"Bahumukhi Krishi Farm Private Limited")</f>
        <v>Bahumukhi Krishi Farm Private Limited</v>
      </c>
      <c r="H82" s="2" t="str">
        <f>IFERROR(__xludf.DUMMYFUNCTION("""COMPUTED_VALUE"""),"Belbari-9 Morang")</f>
        <v>Belbari-9 Morang</v>
      </c>
      <c r="I82" s="2" t="str">
        <f>IFERROR(__xludf.DUMMYFUNCTION("""COMPUTED_VALUE"""),"26o 36' 58""")</f>
        <v>26o 36' 58"</v>
      </c>
      <c r="J82" s="2" t="str">
        <f>IFERROR(__xludf.DUMMYFUNCTION("""COMPUTED_VALUE"""),"26o 37' 09""")</f>
        <v>26o 37' 09"</v>
      </c>
      <c r="K82" s="2" t="str">
        <f>IFERROR(__xludf.DUMMYFUNCTION("""COMPUTED_VALUE"""),"87o 25' 24""")</f>
        <v>87o 25' 24"</v>
      </c>
      <c r="L82" s="2" t="str">
        <f>IFERROR(__xludf.DUMMYFUNCTION("""COMPUTED_VALUE"""),"87o 25' 49""")</f>
        <v>87o 25' 49"</v>
      </c>
      <c r="M82" s="2" t="str">
        <f>IFERROR(__xludf.DUMMYFUNCTION("""COMPUTED_VALUE"""),"Belbari,Dangihat (Morang)")</f>
        <v>Belbari,Dangihat (Morang)</v>
      </c>
    </row>
    <row r="83">
      <c r="A83" s="2">
        <f>IFERROR(__xludf.DUMMYFUNCTION("""COMPUTED_VALUE"""),82.0)</f>
        <v>82</v>
      </c>
      <c r="B83" s="2" t="str">
        <f>IFERROR(__xludf.DUMMYFUNCTION("""COMPUTED_VALUE"""),"Banganga - 2 Saurya Vidyut Aayojana")</f>
        <v>Banganga - 2 Saurya Vidyut Aayojana</v>
      </c>
      <c r="C83" s="2">
        <f>IFERROR(__xludf.DUMMYFUNCTION("""COMPUTED_VALUE"""),10.0)</f>
        <v>10</v>
      </c>
      <c r="D83" s="2">
        <f>IFERROR(__xludf.DUMMYFUNCTION("""COMPUTED_VALUE"""),1485.0)</f>
        <v>1485</v>
      </c>
      <c r="E83" s="3">
        <f>IFERROR(__xludf.DUMMYFUNCTION("""COMPUTED_VALUE"""),66691.0)</f>
        <v>66691</v>
      </c>
      <c r="F83" s="3">
        <f>IFERROR(__xludf.DUMMYFUNCTION("""COMPUTED_VALUE"""),67055.0)</f>
        <v>67055</v>
      </c>
      <c r="G83" s="2" t="str">
        <f>IFERROR(__xludf.DUMMYFUNCTION("""COMPUTED_VALUE"""),"Banganga Solar Limited")</f>
        <v>Banganga Solar Limited</v>
      </c>
      <c r="H83" s="2" t="str">
        <f>IFERROR(__xludf.DUMMYFUNCTION("""COMPUTED_VALUE"""),"Panipokhari, Kathmandu")</f>
        <v>Panipokhari, Kathmandu</v>
      </c>
      <c r="I83" s="2" t="str">
        <f>IFERROR(__xludf.DUMMYFUNCTION("""COMPUTED_VALUE"""),"27o 36' 40""")</f>
        <v>27o 36' 40"</v>
      </c>
      <c r="J83" s="2" t="str">
        <f>IFERROR(__xludf.DUMMYFUNCTION("""COMPUTED_VALUE"""),"27o 37' 09""")</f>
        <v>27o 37' 09"</v>
      </c>
      <c r="K83" s="2" t="str">
        <f>IFERROR(__xludf.DUMMYFUNCTION("""COMPUTED_VALUE"""),"82o 53' 00""")</f>
        <v>82o 53' 00"</v>
      </c>
      <c r="L83" s="2" t="str">
        <f>IFERROR(__xludf.DUMMYFUNCTION("""COMPUTED_VALUE"""),"82o 53' 21""")</f>
        <v>82o 53' 21"</v>
      </c>
      <c r="M83" s="2"/>
    </row>
    <row r="84">
      <c r="A84" s="2">
        <f>IFERROR(__xludf.DUMMYFUNCTION("""COMPUTED_VALUE"""),83.0)</f>
        <v>83</v>
      </c>
      <c r="B84" s="2" t="str">
        <f>IFERROR(__xludf.DUMMYFUNCTION("""COMPUTED_VALUE"""),"Janaki Battery Stoarge Sahitko Saurya Vidyut Aayojana")</f>
        <v>Janaki Battery Stoarge Sahitko Saurya Vidyut Aayojana</v>
      </c>
      <c r="C84" s="2">
        <f>IFERROR(__xludf.DUMMYFUNCTION("""COMPUTED_VALUE"""),6.0)</f>
        <v>6</v>
      </c>
      <c r="D84" s="2">
        <f>IFERROR(__xludf.DUMMYFUNCTION("""COMPUTED_VALUE"""),1539.0)</f>
        <v>1539</v>
      </c>
      <c r="E84" s="3">
        <f>IFERROR(__xludf.DUMMYFUNCTION("""COMPUTED_VALUE"""),66844.0)</f>
        <v>66844</v>
      </c>
      <c r="F84" s="3">
        <f>IFERROR(__xludf.DUMMYFUNCTION("""COMPUTED_VALUE"""),67208.0)</f>
        <v>67208</v>
      </c>
      <c r="G84" s="2" t="str">
        <f>IFERROR(__xludf.DUMMYFUNCTION("""COMPUTED_VALUE"""),"Janaki Energy Private Limited")</f>
        <v>Janaki Energy Private Limited</v>
      </c>
      <c r="H84" s="2" t="str">
        <f>IFERROR(__xludf.DUMMYFUNCTION("""COMPUTED_VALUE"""),"Lainchaur, Kathmandu")</f>
        <v>Lainchaur, Kathmandu</v>
      </c>
      <c r="I84" s="2" t="str">
        <f>IFERROR(__xludf.DUMMYFUNCTION("""COMPUTED_VALUE"""),"26o 50' 21""")</f>
        <v>26o 50' 21"</v>
      </c>
      <c r="J84" s="2" t="str">
        <f>IFERROR(__xludf.DUMMYFUNCTION("""COMPUTED_VALUE"""),"26o 50' 32""")</f>
        <v>26o 50' 32"</v>
      </c>
      <c r="K84" s="2" t="str">
        <f>IFERROR(__xludf.DUMMYFUNCTION("""COMPUTED_VALUE"""),"86o 05' 02""")</f>
        <v>86o 05' 02"</v>
      </c>
      <c r="L84" s="2" t="str">
        <f>IFERROR(__xludf.DUMMYFUNCTION("""COMPUTED_VALUE"""),"86o 05' 18""")</f>
        <v>86o 05' 18"</v>
      </c>
      <c r="M84" s="2" t="str">
        <f>IFERROR(__xludf.DUMMYFUNCTION("""COMPUTED_VALUE"""),"Dhanusadham,Raghunathpur (Dhanusha)")</f>
        <v>Dhanusadham,Raghunathpur (Dhanusha)</v>
      </c>
    </row>
    <row r="85">
      <c r="A85" s="2">
        <f>IFERROR(__xludf.DUMMYFUNCTION("""COMPUTED_VALUE"""),84.0)</f>
        <v>84</v>
      </c>
      <c r="B85" s="2" t="str">
        <f>IFERROR(__xludf.DUMMYFUNCTION("""COMPUTED_VALUE"""),"Janaki Saurya Vidyut Project")</f>
        <v>Janaki Saurya Vidyut Project</v>
      </c>
      <c r="C85" s="2">
        <f>IFERROR(__xludf.DUMMYFUNCTION("""COMPUTED_VALUE"""),5.0)</f>
        <v>5</v>
      </c>
      <c r="D85" s="2">
        <f>IFERROR(__xludf.DUMMYFUNCTION("""COMPUTED_VALUE"""),1546.0)</f>
        <v>1546</v>
      </c>
      <c r="E85" s="3">
        <f>IFERROR(__xludf.DUMMYFUNCTION("""COMPUTED_VALUE"""),66912.0)</f>
        <v>66912</v>
      </c>
      <c r="F85" s="3">
        <f>IFERROR(__xludf.DUMMYFUNCTION("""COMPUTED_VALUE"""),67277.0)</f>
        <v>67277</v>
      </c>
      <c r="G85" s="2" t="str">
        <f>IFERROR(__xludf.DUMMYFUNCTION("""COMPUTED_VALUE"""),"Kalika Sun Power Private Limited")</f>
        <v>Kalika Sun Power Private Limited</v>
      </c>
      <c r="H85" s="2" t="str">
        <f>IFERROR(__xludf.DUMMYFUNCTION("""COMPUTED_VALUE"""),"Baluwatar-4, Kathmandu, Nepal")</f>
        <v>Baluwatar-4, Kathmandu, Nepal</v>
      </c>
      <c r="I85" s="2" t="str">
        <f>IFERROR(__xludf.DUMMYFUNCTION("""COMPUTED_VALUE"""),"28o 08' 39""")</f>
        <v>28o 08' 39"</v>
      </c>
      <c r="J85" s="2" t="str">
        <f>IFERROR(__xludf.DUMMYFUNCTION("""COMPUTED_VALUE"""),"28o 08' 55""")</f>
        <v>28o 08' 55"</v>
      </c>
      <c r="K85" s="2" t="str">
        <f>IFERROR(__xludf.DUMMYFUNCTION("""COMPUTED_VALUE"""),"81o 39' 27""")</f>
        <v>81o 39' 27"</v>
      </c>
      <c r="L85" s="2" t="str">
        <f>IFERROR(__xludf.DUMMYFUNCTION("""COMPUTED_VALUE"""),"81o 39' 47""")</f>
        <v>81o 39' 47"</v>
      </c>
      <c r="M85" s="2" t="str">
        <f>IFERROR(__xludf.DUMMYFUNCTION("""COMPUTED_VALUE"""),"Samserganj,Ganapur (Banke)")</f>
        <v>Samserganj,Ganapur (Banke)</v>
      </c>
    </row>
    <row r="86">
      <c r="A86" s="2">
        <f>IFERROR(__xludf.DUMMYFUNCTION("""COMPUTED_VALUE"""),85.0)</f>
        <v>85</v>
      </c>
      <c r="B86" s="2" t="str">
        <f>IFERROR(__xludf.DUMMYFUNCTION("""COMPUTED_VALUE"""),"Beldiya Sarya Vidhhyut Aayojana")</f>
        <v>Beldiya Sarya Vidhhyut Aayojana</v>
      </c>
      <c r="C86" s="2">
        <f>IFERROR(__xludf.DUMMYFUNCTION("""COMPUTED_VALUE"""),10.0)</f>
        <v>10</v>
      </c>
      <c r="D86" s="2">
        <f>IFERROR(__xludf.DUMMYFUNCTION("""COMPUTED_VALUE"""),1547.0)</f>
        <v>1547</v>
      </c>
      <c r="E86" s="3">
        <f>IFERROR(__xludf.DUMMYFUNCTION("""COMPUTED_VALUE"""),66912.0)</f>
        <v>66912</v>
      </c>
      <c r="F86" s="3">
        <f>IFERROR(__xludf.DUMMYFUNCTION("""COMPUTED_VALUE"""),67277.0)</f>
        <v>67277</v>
      </c>
      <c r="G86" s="2" t="str">
        <f>IFERROR(__xludf.DUMMYFUNCTION("""COMPUTED_VALUE"""),"Kalika Sun Light Power Private Limited")</f>
        <v>Kalika Sun Light Power Private Limited</v>
      </c>
      <c r="H86" s="2" t="str">
        <f>IFERROR(__xludf.DUMMYFUNCTION("""COMPUTED_VALUE"""),"Baluwatar-4, Kathmandu, Nepal")</f>
        <v>Baluwatar-4, Kathmandu, Nepal</v>
      </c>
      <c r="I86" s="2" t="str">
        <f>IFERROR(__xludf.DUMMYFUNCTION("""COMPUTED_VALUE"""),"27o 40' 21""")</f>
        <v>27o 40' 21"</v>
      </c>
      <c r="J86" s="2" t="str">
        <f>IFERROR(__xludf.DUMMYFUNCTION("""COMPUTED_VALUE"""),"27o 40' 35""")</f>
        <v>27o 40' 35"</v>
      </c>
      <c r="K86" s="2" t="str">
        <f>IFERROR(__xludf.DUMMYFUNCTION("""COMPUTED_VALUE"""),"84o 16' 20""")</f>
        <v>84o 16' 20"</v>
      </c>
      <c r="L86" s="2" t="str">
        <f>IFERROR(__xludf.DUMMYFUNCTION("""COMPUTED_VALUE"""),"84o 16' 40""")</f>
        <v>84o 16' 40"</v>
      </c>
      <c r="M86" s="2" t="str">
        <f>IFERROR(__xludf.DUMMYFUNCTION("""COMPUTED_VALUE"""),"Amarapuri (Nawalparasi)")</f>
        <v>Amarapuri (Nawalparasi)</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 t="str">
        <f>IFERROR(__xludf.DUMMYFUNCTION("IMPORTHTML(""https://www.doed.gov.np/pages/slwind/"",""table"",1)"),"S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row r="2">
      <c r="A2" s="2">
        <f>IFERROR(__xludf.DUMMYFUNCTION("""COMPUTED_VALUE"""),1.0)</f>
        <v>1</v>
      </c>
      <c r="B2" s="2" t="str">
        <f>IFERROR(__xludf.DUMMYFUNCTION("""COMPUTED_VALUE"""),"Kagbeni Wind Energy Project")</f>
        <v>Kagbeni Wind Energy Project</v>
      </c>
      <c r="C2" s="2">
        <f>IFERROR(__xludf.DUMMYFUNCTION("""COMPUTED_VALUE"""),1.0)</f>
        <v>1</v>
      </c>
      <c r="D2" s="2"/>
      <c r="E2" s="3">
        <f>IFERROR(__xludf.DUMMYFUNCTION("""COMPUTED_VALUE"""),63702.0)</f>
        <v>63702</v>
      </c>
      <c r="F2" s="3">
        <f>IFERROR(__xludf.DUMMYFUNCTION("""COMPUTED_VALUE"""),64432.0)</f>
        <v>64432</v>
      </c>
      <c r="G2" s="2" t="str">
        <f>IFERROR(__xludf.DUMMYFUNCTION("""COMPUTED_VALUE"""),"Everest Wind Energy Pvt. Ltd.")</f>
        <v>Everest Wind Energy Pvt. Ltd.</v>
      </c>
      <c r="H2" s="2" t="str">
        <f>IFERROR(__xludf.DUMMYFUNCTION("""COMPUTED_VALUE"""),"Darbarmarg kathmandu. Dilli Raj Pokhrel, Mob. no. 9849154224")</f>
        <v>Darbarmarg kathmandu. Dilli Raj Pokhrel, Mob. no. 9849154224</v>
      </c>
      <c r="I2" s="2" t="str">
        <f>IFERROR(__xludf.DUMMYFUNCTION("""COMPUTED_VALUE"""),"28o 50' 00""")</f>
        <v>28o 50' 00"</v>
      </c>
      <c r="J2" s="2" t="str">
        <f>IFERROR(__xludf.DUMMYFUNCTION("""COMPUTED_VALUE"""),"28o 50' 08""")</f>
        <v>28o 50' 08"</v>
      </c>
      <c r="K2" s="2" t="str">
        <f>IFERROR(__xludf.DUMMYFUNCTION("""COMPUTED_VALUE"""),"83o 47' 14""")</f>
        <v>83o 47' 14"</v>
      </c>
      <c r="L2" s="2" t="str">
        <f>IFERROR(__xludf.DUMMYFUNCTION("""COMPUTED_VALUE"""),"83o 47' 22""")</f>
        <v>83o 47' 22"</v>
      </c>
      <c r="M2" s="2" t="str">
        <f>IFERROR(__xludf.DUMMYFUNCTION("""COMPUTED_VALUE"""),"Kagbeni (Mustang)")</f>
        <v>Kagbeni (Mustang)</v>
      </c>
    </row>
    <row r="3">
      <c r="A3" s="2">
        <f>IFERROR(__xludf.DUMMYFUNCTION("""COMPUTED_VALUE"""),2.0)</f>
        <v>2</v>
      </c>
      <c r="B3" s="2" t="str">
        <f>IFERROR(__xludf.DUMMYFUNCTION("""COMPUTED_VALUE"""),"Wind Electric Power Tangbe")</f>
        <v>Wind Electric Power Tangbe</v>
      </c>
      <c r="C3" s="2">
        <f>IFERROR(__xludf.DUMMYFUNCTION("""COMPUTED_VALUE"""),1.0)</f>
        <v>1</v>
      </c>
      <c r="D3" s="2"/>
      <c r="E3" s="3">
        <f>IFERROR(__xludf.DUMMYFUNCTION("""COMPUTED_VALUE"""),63756.0)</f>
        <v>63756</v>
      </c>
      <c r="F3" s="3">
        <f>IFERROR(__xludf.DUMMYFUNCTION("""COMPUTED_VALUE"""),64486.0)</f>
        <v>64486</v>
      </c>
      <c r="G3" s="2" t="str">
        <f>IFERROR(__xludf.DUMMYFUNCTION("""COMPUTED_VALUE"""),"Everest Wind Energy Pvt. Ltd.")</f>
        <v>Everest Wind Energy Pvt. Ltd.</v>
      </c>
      <c r="H3" s="2" t="str">
        <f>IFERROR(__xludf.DUMMYFUNCTION("""COMPUTED_VALUE"""),"Durbar marg, Kathmandu Nepal, 9849154224( Dilliraj Pokhrel), 4226987")</f>
        <v>Durbar marg, Kathmandu Nepal, 9849154224( Dilliraj Pokhrel), 4226987</v>
      </c>
      <c r="I3" s="2" t="str">
        <f>IFERROR(__xludf.DUMMYFUNCTION("""COMPUTED_VALUE"""),"28o 51' 37""")</f>
        <v>28o 51' 37"</v>
      </c>
      <c r="J3" s="2" t="str">
        <f>IFERROR(__xludf.DUMMYFUNCTION("""COMPUTED_VALUE"""),"28o 52' 15""")</f>
        <v>28o 52' 15"</v>
      </c>
      <c r="K3" s="2" t="str">
        <f>IFERROR(__xludf.DUMMYFUNCTION("""COMPUTED_VALUE"""),"83o 48' 26""")</f>
        <v>83o 48' 26"</v>
      </c>
      <c r="L3" s="2" t="str">
        <f>IFERROR(__xludf.DUMMYFUNCTION("""COMPUTED_VALUE"""),"83o 49' 31""")</f>
        <v>83o 49' 31"</v>
      </c>
      <c r="M3" s="2"/>
    </row>
    <row r="4">
      <c r="A4" s="2">
        <f>IFERROR(__xludf.DUMMYFUNCTION("""COMPUTED_VALUE"""),3.0)</f>
        <v>3</v>
      </c>
      <c r="B4" s="2" t="str">
        <f>IFERROR(__xludf.DUMMYFUNCTION("""COMPUTED_VALUE"""),"Mustang Wind Project")</f>
        <v>Mustang Wind Project</v>
      </c>
      <c r="C4" s="2">
        <f>IFERROR(__xludf.DUMMYFUNCTION("""COMPUTED_VALUE"""),3.0)</f>
        <v>3</v>
      </c>
      <c r="D4" s="2">
        <f>IFERROR(__xludf.DUMMYFUNCTION("""COMPUTED_VALUE"""),1100.0)</f>
        <v>1100</v>
      </c>
      <c r="E4" s="3">
        <f>IFERROR(__xludf.DUMMYFUNCTION("""COMPUTED_VALUE"""),64421.0)</f>
        <v>64421</v>
      </c>
      <c r="F4" s="3">
        <f>IFERROR(__xludf.DUMMYFUNCTION("""COMPUTED_VALUE"""),65150.0)</f>
        <v>65150</v>
      </c>
      <c r="G4" s="2" t="str">
        <f>IFERROR(__xludf.DUMMYFUNCTION("""COMPUTED_VALUE"""),"Future Wind Power Pvt. Ltd")</f>
        <v>Future Wind Power Pvt. Ltd</v>
      </c>
      <c r="H4" s="2" t="str">
        <f>IFERROR(__xludf.DUMMYFUNCTION("""COMPUTED_VALUE"""),"Naxal, Kathmandu")</f>
        <v>Naxal, Kathmandu</v>
      </c>
      <c r="I4" s="2" t="str">
        <f>IFERROR(__xludf.DUMMYFUNCTION("""COMPUTED_VALUE"""),"28o 42' 07""")</f>
        <v>28o 42' 07"</v>
      </c>
      <c r="J4" s="2" t="str">
        <f>IFERROR(__xludf.DUMMYFUNCTION("""COMPUTED_VALUE"""),"28o 47' 10""")</f>
        <v>28o 47' 10"</v>
      </c>
      <c r="K4" s="2" t="str">
        <f>IFERROR(__xludf.DUMMYFUNCTION("""COMPUTED_VALUE"""),"83o 40' 24""")</f>
        <v>83o 40' 24"</v>
      </c>
      <c r="L4" s="2" t="str">
        <f>IFERROR(__xludf.DUMMYFUNCTION("""COMPUTED_VALUE"""),"83o 45' 00""")</f>
        <v>83o 45' 00"</v>
      </c>
      <c r="M4" s="2" t="str">
        <f>IFERROR(__xludf.DUMMYFUNCTION("""COMPUTED_VALUE"""),"Jomosom (Mustang)")</f>
        <v>Jomosom (Mustang)</v>
      </c>
    </row>
    <row r="5">
      <c r="A5" s="2">
        <f>IFERROR(__xludf.DUMMYFUNCTION("""COMPUTED_VALUE"""),4.0)</f>
        <v>4</v>
      </c>
      <c r="B5" s="2" t="str">
        <f>IFERROR(__xludf.DUMMYFUNCTION("""COMPUTED_VALUE"""),"Banke Wind Power Project, Raptisonari")</f>
        <v>Banke Wind Power Project, Raptisonari</v>
      </c>
      <c r="C5" s="2">
        <f>IFERROR(__xludf.DUMMYFUNCTION("""COMPUTED_VALUE"""),10.0)</f>
        <v>10</v>
      </c>
      <c r="D5" s="2">
        <f>IFERROR(__xludf.DUMMYFUNCTION("""COMPUTED_VALUE"""),1284.0)</f>
        <v>1284</v>
      </c>
      <c r="E5" s="2" t="str">
        <f>IFERROR(__xludf.DUMMYFUNCTION("""COMPUTED_VALUE"""),"2081-04-32")</f>
        <v>2081-04-32</v>
      </c>
      <c r="F5" s="2" t="str">
        <f>IFERROR(__xludf.DUMMYFUNCTION("""COMPUTED_VALUE"""),"2083-04-31")</f>
        <v>2083-04-31</v>
      </c>
      <c r="G5" s="2" t="str">
        <f>IFERROR(__xludf.DUMMYFUNCTION("""COMPUTED_VALUE"""),"Banke Wind Energy Private Limited")</f>
        <v>Banke Wind Energy Private Limited</v>
      </c>
      <c r="H5" s="2" t="str">
        <f>IFERROR(__xludf.DUMMYFUNCTION("""COMPUTED_VALUE"""),"Raptisonari - 04, Lumbini Province")</f>
        <v>Raptisonari - 04, Lumbini Province</v>
      </c>
      <c r="I5" s="2" t="str">
        <f>IFERROR(__xludf.DUMMYFUNCTION("""COMPUTED_VALUE"""),"28o 01' 28""")</f>
        <v>28o 01' 28"</v>
      </c>
      <c r="J5" s="2" t="str">
        <f>IFERROR(__xludf.DUMMYFUNCTION("""COMPUTED_VALUE"""),"28o 02' 07""")</f>
        <v>28o 02' 07"</v>
      </c>
      <c r="K5" s="2" t="str">
        <f>IFERROR(__xludf.DUMMYFUNCTION("""COMPUTED_VALUE"""),"81o 53' 09""")</f>
        <v>81o 53' 09"</v>
      </c>
      <c r="L5" s="2" t="str">
        <f>IFERROR(__xludf.DUMMYFUNCTION("""COMPUTED_VALUE"""),"81o 53' 42""")</f>
        <v>81o 53' 42"</v>
      </c>
      <c r="M5" s="2" t="str">
        <f>IFERROR(__xludf.DUMMYFUNCTION("""COMPUTED_VALUE"""),"Bejapur (Banke)")</f>
        <v>Bejapur (Banke)</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 t="str">
        <f>IFERROR(__xludf.DUMMYFUNCTION("IMPORTHTML(""https://www.doed.gov.np/pages/slbiomass/"",""table"",1)"),"S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 t="str">
        <f>IFERROR(__xludf.DUMMYFUNCTION("IMPORTHTML(""https://www.doed.gov.np/pages/slcogeneration/"",""Table"",1)"),"S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row r="2">
      <c r="A2" s="2">
        <f>IFERROR(__xludf.DUMMYFUNCTION("""COMPUTED_VALUE"""),1.0)</f>
        <v>1</v>
      </c>
      <c r="B2" s="2" t="str">
        <f>IFERROR(__xludf.DUMMYFUNCTION("""COMPUTED_VALUE"""),"Relaince Sugar Cogeneration")</f>
        <v>Relaince Sugar Cogeneration</v>
      </c>
      <c r="C2" s="2">
        <f>IFERROR(__xludf.DUMMYFUNCTION("""COMPUTED_VALUE"""),15.0)</f>
        <v>15</v>
      </c>
      <c r="D2" s="2">
        <f>IFERROR(__xludf.DUMMYFUNCTION("""COMPUTED_VALUE"""),940.0)</f>
        <v>940</v>
      </c>
      <c r="E2" s="3">
        <f>IFERROR(__xludf.DUMMYFUNCTION("""COMPUTED_VALUE"""),63759.0)</f>
        <v>63759</v>
      </c>
      <c r="F2" s="3">
        <f>IFERROR(__xludf.DUMMYFUNCTION("""COMPUTED_VALUE"""),64854.0)</f>
        <v>64854</v>
      </c>
      <c r="G2" s="2" t="str">
        <f>IFERROR(__xludf.DUMMYFUNCTION("""COMPUTED_VALUE"""),"Relaince Sugar and Chemicals Industries Pvt. Ltd")</f>
        <v>Relaince Sugar and Chemicals Industries Pvt. Ltd</v>
      </c>
      <c r="H2" s="2" t="str">
        <f>IFERROR(__xludf.DUMMYFUNCTION("""COMPUTED_VALUE"""),"Manahara Bara")</f>
        <v>Manahara Bara</v>
      </c>
      <c r="I2" s="2" t="str">
        <f>IFERROR(__xludf.DUMMYFUNCTION("""COMPUTED_VALUE"""),"27o 05' 06""")</f>
        <v>27o 05' 06"</v>
      </c>
      <c r="J2" s="2" t="str">
        <f>IFERROR(__xludf.DUMMYFUNCTION("""COMPUTED_VALUE"""),"27o 05' 18""")</f>
        <v>27o 05' 18"</v>
      </c>
      <c r="K2" s="2" t="str">
        <f>IFERROR(__xludf.DUMMYFUNCTION("""COMPUTED_VALUE"""),"85o 01' 17""")</f>
        <v>85o 01' 17"</v>
      </c>
      <c r="L2" s="2" t="str">
        <f>IFERROR(__xludf.DUMMYFUNCTION("""COMPUTED_VALUE"""),"85o 01' 32""")</f>
        <v>85o 01' 32"</v>
      </c>
      <c r="M2" s="2" t="str">
        <f>IFERROR(__xludf.DUMMYFUNCTION("""COMPUTED_VALUE"""),"Manaharwa (Bara)")</f>
        <v>Manaharwa (Bara)</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ht="16.5" customHeight="1">
      <c r="A1" s="1" t="str">
        <f>IFERROR(__xludf.DUMMYFUNCTION("IMPORTHTML(""https://www.doed.gov.np/pages/sltransmissionline/"",""table"",1)"),"S No")</f>
        <v>S No</v>
      </c>
      <c r="B1" s="1" t="str">
        <f>IFERROR(__xludf.DUMMYFUNCTION("""COMPUTED_VALUE"""),"Project")</f>
        <v>Project</v>
      </c>
      <c r="C1" s="1" t="str">
        <f>IFERROR(__xludf.DUMMYFUNCTION("""COMPUTED_VALUE"""),"Voltage (kV)
Filter: All13222033400")</f>
        <v>Voltage (kV)
Filter: All13222033400</v>
      </c>
      <c r="D1" s="1" t="str">
        <f>IFERROR(__xludf.DUMMYFUNCTION("""COMPUTED_VALUE"""),"Line Length (km)")</f>
        <v>Line Length (km)</v>
      </c>
      <c r="E1" s="1" t="str">
        <f>IFERROR(__xludf.DUMMYFUNCTION("""COMPUTED_VALUE"""),"Capacity (MW)")</f>
        <v>Capacity (MW)</v>
      </c>
      <c r="F1" s="1" t="str">
        <f>IFERROR(__xludf.DUMMYFUNCTION("""COMPUTED_VALUE"""),"Lic No")</f>
        <v>Lic No</v>
      </c>
      <c r="G1" s="1" t="str">
        <f>IFERROR(__xludf.DUMMYFUNCTION("""COMPUTED_VALUE"""),"Isuue Date")</f>
        <v>Isuue Date</v>
      </c>
      <c r="H1" s="1" t="str">
        <f>IFERROR(__xludf.DUMMYFUNCTION("""COMPUTED_VALUE"""),"Validity")</f>
        <v>Validity</v>
      </c>
      <c r="I1" s="1" t="str">
        <f>IFERROR(__xludf.DUMMYFUNCTION("""COMPUTED_VALUE"""),"Promoter
Filter: All NEA NEA Vidhyut Utpadan Company LimitedABP Energy P.LtdAmbe 
Hydropower Pvt.LtdApex Makalu Hydropower LimitedApi Power Company LimitedArga 
Bhagbati Ventures Private LimitedArris Energy P.LtdAspire Power Company 
Pvt.LtdBagmati Water "&amp;"Energy Pvt. Ltd.Balephi Energy Pvt. LimitedBetrawati 
Hydroelectric Company LimitedBhojpur Siwalaya Power Pvt.LtdCarbonless 
Energy Fund Pvt.LtdChainpur Seti Hydropower Company LimitedChino Hydropower 
LimitedCrystal Power Development Pvt.LtdDar Khola Hyd"&amp;"ropower Pvt. Ltd.Darchula 
Power LimitedDupcheswor Mahadev Hydro Co. Pvt. Ltd.Dynamic Hydro Energy 
Pvt.Ltd.East Solar Pvt.LtdEco Global Power Development LimitedEco Sun Power 
Development LimitedEco gham Power Company P.LtdExpert Hydro Investment 
Pvt.Lt"&amp;"dGhandruk Hydro P.LtdGogreen Energy Pvt.LtdGorakshya Hydropower 
LimitedGurans Hydro Ltd.Haleshi Hydropower Pvt.ltdHappy Energy Pvt. Ltd.Harmony 
Initiative P. LtdHimalayan Solar Power Pvt.LtdHimsila Power Company LtdHiraratna 
Hydropower Ltd.Hydro Suppor"&amp;"t Pvt.LtdHydro Village Ltd.Hydro Village Pvt. 
Ltd.Independent Power Company (Nepal) Pvt.LtdIntegrated Energy And 
Industrial Interprises P.ltdIntergreted Hydro Fund Nepal Pvt. Ltd.Jagdulla 
Hydropower Company LimitedJhyamolongma Hydropower Development co"&amp;"mpany Ltd.Jurimba 
Hydropower Company Pvt. Ltd.K.B.N.R Isuwa Power LimitedKaligandaki Gorge 
Hydropower Pvt.LtdKalika Energy LimitedKalika Sun Light Power Private 
LimitedKanchanjangha Hydro Energy Pvt. LimitedKang Hydropower Company Ltd.Kasuwa 
khola Hyd"&amp;"ro Power Ltd.Kusal Projects Nepal P.LtdLalupate Hydropower Company 
Pvt. Ltd.M.A Power Pvt. Ltd.MIlarepa Energy Pvt.LtdMadhya Tarakhola 
Hydropower Pvt. Ltd.Manang Marshyangdi Hydropower Co. Pvt. Ltd.Mankamana 
Daraundi Hydropower Company LimitedMaula Kal"&amp;"ika Hydropower Company Ltd.Mithila 
Solar Energy P.LtdMoonlight Hydropower Company LimitedNHPC LimitedNama 
Buddha Hydropower P.LtdNar Khola Hydro Energy P.LtdNaulo Nepal 
Hydroelectric P.LtdNepal Army (Sainik Kalyankari Kosh)Nepal Electricity 
AuthorityN"&amp;"iko Energy Ltd.Nilganga Hydropower Company Pvt.LtdPalun Khola 
Hydropower LimitedPashupati Energy P.LtdPuwa Khola-1 Hydropower Ltd RPGCLRadhi 
Bidhyut Company LimitedRamjanaki Hydropower Private LimitedRastriya 
Prasaran Grid Company LimitedRastriya Prasa"&amp;"ran Grid Company Limited Rastriye 
Prasaran Grid Company LimitedRawa Energy Development Pvt.Ltd.Ridi Hydro 
Power Development Co.Ltd.River Side Hydro Energy Ltd.SJVN Lower Arun Power 
Development Company Pvt. Ltd.Sagarmatha Hydropower Pvt. Ltd.Sajha Power"&amp;" 
Company LimitedSamriddhi Energy Ltd.Sangrila Urja Pvt. Ltd.Sani Bheri 
Hydropower Company Pvt.LtdSanima Jum Hydropower Ltd.Shree Modi Energy 
Pvt.Ltd.Simbuwa Remit Hydro Ltd.Singati Hydro Energy Ltd.Sol Power LtdSolaeris 
energy P.LtdSpark Hydroelectric"&amp;" Company Ltd.Sumnima Hydropower Company 
Private LimitedSunlight Renewable Energy P.LtdSuper Ghalemdi Hydropower 
Pvt. Ltd.Surya Energy Pvt.LtdSurya Holding Pvt.LtdTerra Solar energy LimitedTrikal 
Power Company Pvt.LtdTrishuli Cascade Power Pvt.LtdUnion "&amp;"Mewa Hydro LimitedUnited 
Idi Mardi and RB Hydropower Ltd.Upper BAlephi Hydropower Ltd.Upper 
Tamakoshi Hydropower LimitedVidhyut Utpadan Company LimitedVision Tesla 
Power Pvt.Ltd.Water Energy Development Pvt.LtdYaru Hydropower Pvt.Ltd.")</f>
        <v>Promoter
Filter: All NEA NEA Vidhyut Utpadan Company LimitedABP Energy P.LtdAmbe 
Hydropower Pvt.LtdApex Makalu Hydropower LimitedApi Power Company LimitedArga 
Bhagbati Ventures Private LimitedArris Energy P.LtdAspire Power Company 
Pvt.LtdBagmati Water Energy Pvt. Ltd.Balephi Energy Pvt. LimitedBetrawati 
Hydroelectric Company LimitedBhojpur Siwalaya Power Pvt.LtdCarbonless 
Energy Fund Pvt.LtdChainpur Seti Hydropower Company LimitedChino Hydropower 
LimitedCrystal Power Development Pvt.LtdDar Khola Hydropower Pvt. Ltd.Darchula 
Power LimitedDupcheswor Mahadev Hydro Co. Pvt. Ltd.Dynamic Hydro Energy 
Pvt.Ltd.East Solar Pvt.LtdEco Global Power Development LimitedEco Sun Power 
Development LimitedEco gham Power Company P.LtdExpert Hydro Investment 
Pvt.LtdGhandruk Hydro P.LtdGogreen Energy Pvt.LtdGorakshya Hydropower 
LimitedGurans Hydro Ltd.Haleshi Hydropower Pvt.ltdHappy Energy Pvt. Ltd.Harmony 
Initiative P. LtdHimalayan Solar Power Pvt.LtdHimsila Power Company LtdHiraratna 
Hydropower Ltd.Hydro Support Pvt.LtdHydro Village Ltd.Hydro Village Pvt. 
Ltd.Independent Power Company (Nepal) Pvt.LtdIntegrated Energy And 
Industrial Interprises P.ltdIntergreted Hydro Fund Nepal Pvt. Ltd.Jagdulla 
Hydropower Company LimitedJhyamolongma Hydropower Development company Ltd.Jurimba 
Hydropower Company Pvt. Ltd.K.B.N.R Isuwa Power LimitedKaligandaki Gorge 
Hydropower Pvt.LtdKalika Energy LimitedKalika Sun Light Power Private 
LimitedKanchanjangha Hydro Energy Pvt. LimitedKang Hydropower Company Ltd.Kasuwa 
khola Hydro Power Ltd.Kusal Projects Nepal P.LtdLalupate Hydropower Company 
Pvt. Ltd.M.A Power Pvt. Ltd.MIlarepa Energy Pvt.LtdMadhya Tarakhola 
Hydropower Pvt. Ltd.Manang Marshyangdi Hydropower Co. Pvt. Ltd.Mankamana 
Daraundi Hydropower Company LimitedMaula Kalika Hydropower Company Ltd.Mithila 
Solar Energy P.LtdMoonlight Hydropower Company LimitedNHPC LimitedNama 
Buddha Hydropower P.LtdNar Khola Hydro Energy P.LtdNaulo Nepal 
Hydroelectric P.LtdNepal Army (Sainik Kalyankari Kosh)Nepal Electricity 
AuthorityNiko Energy Ltd.Nilganga Hydropower Company Pvt.LtdPalun Khola 
Hydropower LimitedPashupati Energy P.LtdPuwa Khola-1 Hydropower Ltd RPGCLRadhi 
Bidhyut Company LimitedRamjanaki Hydropower Private LimitedRastriya 
Prasaran Grid Company LimitedRastriya Prasaran Grid Company Limited Rastriye 
Prasaran Grid Company LimitedRawa Energy Development Pvt.Ltd.Ridi Hydro 
Power Development Co.Ltd.River Side Hydro Energy Ltd.SJVN Lower Arun Power 
Development Company Pvt. Ltd.Sagarmatha Hydropower Pvt. Ltd.Sajha Power 
Company LimitedSamriddhi Energy Ltd.Sangrila Urja Pvt. Ltd.Sani Bheri 
Hydropower Company Pvt.LtdSanima Jum Hydropower Ltd.Shree Modi Energy 
Pvt.Ltd.Simbuwa Remit Hydro Ltd.Singati Hydro Energy Ltd.Sol Power LtdSolaeris 
energy P.LtdSpark Hydroelectric Company Ltd.Sumnima Hydropower Company 
Private LimitedSunlight Renewable Energy P.LtdSuper Ghalemdi Hydropower 
Pvt. Ltd.Surya Energy Pvt.LtdSurya Holding Pvt.LtdTerra Solar energy LimitedTrikal 
Power Company Pvt.LtdTrishuli Cascade Power Pvt.LtdUnion Mewa Hydro LimitedUnited 
Idi Mardi and RB Hydropower Ltd.Upper BAlephi Hydropower Ltd.Upper 
Tamakoshi Hydropower LimitedVidhyut Utpadan Company LimitedVision Tesla 
Power Pvt.Ltd.Water Energy Development Pvt.LtdYaru Hydropower Pvt.Ltd.</v>
      </c>
      <c r="J1" s="1" t="str">
        <f>IFERROR(__xludf.DUMMYFUNCTION("""COMPUTED_VALUE"""),"Address")</f>
        <v>Address</v>
      </c>
      <c r="K1" s="1" t="str">
        <f>IFERROR(__xludf.DUMMYFUNCTION("""COMPUTED_VALUE"""),"Start Point
Filter: All E-Flow Dam Toe PowerhouseBalaju S/SChabahil S/SChameliya s/sDandakhet 
s/sGandak s/sGodak s/sHeadwork of Upper Myagdi-1 HEPHumala S/SLapang s/sLaphsiphedi 
S/SLapsiphedi s/sMadhya Tara Khola SwitchyardMatatirtha S/SMiddle 
Kaligand"&amp;"aki HPP SwitchyardNEA Sitalpati S/SNEA Syaule S/SNalagumba s/sNalgad 
S/SNew Butwal s/sNew Lamahi s/sNijgadh NEA SubstationOkharpauwaPadjungi s/sProposed 
Chhinchu S/SProposed Dukuchap S/SProposed Lamabagar S/SProposed West Seti 
S/SRatnapark s/sRespectiv"&amp;"e Switchyard of the Project Respective Switchyard 
of the project Respective Switchyard of the projects Respective Switchyard 
of thePproject Ridi s/sSY of ProjectSamundratar s/sSamundratar ss/sShivapur 
LILOSingati HPPSinghadurbar K3 S/SSirutar s/sSwitch"&amp;" yard of Tallo Modi 
Khola Hydro PoSwitchyardSwitchyard of Aurahi 2 Solar PV ProjectSwitchyard 
of BudhigangaSwitchyard of Chhujung Khola ProjectSwitchyard of Dam Toe 
ProjectSwitchyard of Darkhola HPPSwitchyard of Dhanushadham Solar PV ProjSwitchyard 
of"&amp;" Kasuwa Khola Hydro Power PSwitchyard of Lahan Solar PV ProjectSwitchyard 
of Myagdi Khola HPPSwitchyard of ProjectSwitchyard of Project Switchyard of 
Project (Khotang)Switchyard of Upper Naugad Gad Small HPPTika Bhairab LILOTinpiple 
s/sswitchyard of Up"&amp;"per Bramhayaniswitchyard of the project")</f>
        <v>Start Point
Filter: All E-Flow Dam Toe PowerhouseBalaju S/SChabahil S/SChameliya s/sDandakhet 
s/sGandak s/sGodak s/sHeadwork of Upper Myagdi-1 HEPHumala S/SLapang s/sLaphsiphedi 
S/SLapsiphedi s/sMadhya Tara Khola SwitchyardMatatirtha S/SMiddle 
Kaligandaki HPP SwitchyardNEA Sitalpati S/SNEA Syaule S/SNalagumba s/sNalgad 
S/SNew Butwal s/sNew Lamahi s/sNijgadh NEA SubstationOkharpauwaPadjungi s/sProposed 
Chhinchu S/SProposed Dukuchap S/SProposed Lamabagar S/SProposed West Seti 
S/SRatnapark s/sRespective Switchyard of the Project Respective Switchyard 
of the project Respective Switchyard of the projects Respective Switchyard 
of thePproject Ridi s/sSY of ProjectSamundratar s/sSamundratar ss/sShivapur 
LILOSingati HPPSinghadurbar K3 S/SSirutar s/sSwitch yard of Tallo Modi 
Khola Hydro PoSwitchyardSwitchyard of Aurahi 2 Solar PV ProjectSwitchyard 
of BudhigangaSwitchyard of Chhujung Khola ProjectSwitchyard of Dam Toe 
ProjectSwitchyard of Darkhola HPPSwitchyard of Dhanushadham Solar PV ProjSwitchyard 
of Kasuwa Khola Hydro Power PSwitchyard of Lahan Solar PV ProjectSwitchyard 
of Myagdi Khola HPPSwitchyard of ProjectSwitchyard of Project Switchyard of 
Project (Khotang)Switchyard of Upper Naugad Gad Small HPPTika Bhairab LILOTinpiple 
s/sswitchyard of Upper Bramhayaniswitchyard of the project</v>
      </c>
      <c r="L1" s="1" t="str">
        <f>IFERROR(__xludf.DUMMYFUNCTION("""COMPUTED_VALUE"""),"End Point
Filter: All400kV Betan s/sAP1 tower of Bhotekoshi-1 Anarmani s/sArga s/sArun-3 
LILOAurahi Substation of NEAAurahi s/sBafikot S/SBafikot s/sBaksila NEA 
Substation(Khotang)Balaju s/sBarabise s/sBarabishe s/sBardibas s/sBarju s/sBetan 
pooling St"&amp;"ationBhawaniyapur s/sBifurcation Point (Dukuchhap-New Teku 22Biratnagar 
s/sBorang s/sBudhigandaki s/sBuipa s/sBuluchowk s/sBurtibang s/sChabahill 
S/SChameliya HPP, Balaanch S/SChangunarayan s/s(LILO)Dana s/sDandakhet s/sDaram 
Khola A SwitchyardDhalkeba"&amp;"r NEA Substation Dhanushadham Substation of NEADhap 
s/sDharapani s/sDharapani s/s Dhungesanghu s/sHaripur s/sHarnaiya NEA 
SubstationHeadworks of Myagdi Khola HEPIsuwa Khola Cascade PROR HPPJhumsa 
s/s Jogikuti Substation Kapan Gumba S/SKhudi(Tarikuna) N"&amp;"EA 
Substation(Lamjung) Kushaha s/sLILO at Sitalpati-Tingla -Dudhkoshi 400LILO 
switchyard of ILEP(Tatopani) Lahan Grid Substation of NEALamosanghu s/sLapan 
s/sLapang s/sLapsiphedi s/sLuja khola HPP switchyardMain Powerhouse Malta 
S/SManpur s/sMarkichow"&amp;"k s/sMewa hub(Papung) Mewa khola s/sMid Hongu Khola B 
Switchyard of the ProjModi s/sMukundapur s/sNEA Amarpur S/SNEA Barhabise S/SNEA 
Dadakhet S/SNEA Dana S/SNEA Dharapani S/SNEA Dhungesanghu S/S NEA Garjyang 
S/SNEA Lahacowk S/SNEA Markichowk S/SNEA Ne"&amp;"w Khimti S/SNEA Pangtang S/SNEA 
Pantang S/SNEA Sitalpati S/SNEA Tingla S/SNEA lamki S/SNEA,BafikotNEA,Baphikot 
s/sNEA,Dhalkebar s/sNEA,Modi s/sNEA,Sunwal s/sNalagumba s/sNawalpur s/sNepal-India 
border (Jauljibi s/s (India)New Bharatpur S/SNew Butwal s/"&amp;"sNew Khimti s/sNew 
Lamahi s/sPangtan s/sParasi s/sPhukot S/SProposed Dododhara S/SProposed 
Sanphebagar S/SProposed Teku S/SRPGCL Phukot S/SRPGCL,Mewa S/S RPGCL_Tamor 
s/sSaaljhandi s/sSamundratar S/SSamundratar s/sShivapur s/sSitalpati NEA 
SubstationSi"&amp;"talpati s/sSunakothi s/sSwitchyard of Dudhkhola HPPSwitchyard 
of Ghunsa Khola HEP Switchyard of Isuwa Cascade PROR HPPSwitchyard of Seti 
Nadi HEPSwitchyard of Tallo Modi 1 HPPSwitchyard of Upper Tadi Khola HPPSyuchatar 
S/STamghas s/sThapathali s/sTinpi"&amp;"ple S/STokha s/sTower no 27 of Upper 
Chameliya 132kV TL Trishuli 3B Hub StationTumlingtar s/sUpper Tamakoshi HPP 
switchyardchainpur hub singati substation")</f>
        <v>End Point
Filter: All400kV Betan s/sAP1 tower of Bhotekoshi-1 Anarmani s/sArga s/sArun-3 
LILOAurahi Substation of NEAAurahi s/sBafikot S/SBafikot s/sBaksila NEA 
Substation(Khotang)Balaju s/sBarabise s/sBarabishe s/sBardibas s/sBarju s/sBetan 
pooling StationBhawaniyapur s/sBifurcation Point (Dukuchhap-New Teku 22Biratnagar 
s/sBorang s/sBudhigandaki s/sBuipa s/sBuluchowk s/sBurtibang s/sChabahill 
S/SChameliya HPP, Balaanch S/SChangunarayan s/s(LILO)Dana s/sDandakhet s/sDaram 
Khola A SwitchyardDhalkebar NEA Substation Dhanushadham Substation of NEADhap 
s/sDharapani s/sDharapani s/s Dhungesanghu s/sHaripur s/sHarnaiya NEA 
SubstationHeadworks of Myagdi Khola HEPIsuwa Khola Cascade PROR HPPJhumsa 
s/s Jogikuti Substation Kapan Gumba S/SKhudi(Tarikuna) NEA 
Substation(Lamjung) Kushaha s/sLILO at Sitalpati-Tingla -Dudhkoshi 400LILO 
switchyard of ILEP(Tatopani) Lahan Grid Substation of NEALamosanghu s/sLapan 
s/sLapang s/sLapsiphedi s/sLuja khola HPP switchyardMain Powerhouse Malta 
S/SManpur s/sMarkichowk s/sMewa hub(Papung) Mewa khola s/sMid Hongu Khola B 
Switchyard of the ProjModi s/sMukundapur s/sNEA Amarpur S/SNEA Barhabise S/SNEA 
Dadakhet S/SNEA Dana S/SNEA Dharapani S/SNEA Dhungesanghu S/S NEA Garjyang 
S/SNEA Lahacowk S/SNEA Markichowk S/SNEA New Khimti S/SNEA Pangtang S/SNEA 
Pantang S/SNEA Sitalpati S/SNEA Tingla S/SNEA lamki S/SNEA,BafikotNEA,Baphikot 
s/sNEA,Dhalkebar s/sNEA,Modi s/sNEA,Sunwal s/sNalagumba s/sNawalpur s/sNepal-India 
border (Jauljibi s/s (India)New Bharatpur S/SNew Butwal s/sNew Khimti s/sNew 
Lamahi s/sPangtan s/sParasi s/sPhukot S/SProposed Dododhara S/SProposed 
Sanphebagar S/SProposed Teku S/SRPGCL Phukot S/SRPGCL,Mewa S/S RPGCL_Tamor 
s/sSaaljhandi s/sSamundratar S/SSamundratar s/sShivapur s/sSitalpati NEA 
SubstationSitalpati s/sSunakothi s/sSwitchyard of Dudhkhola HPPSwitchyard 
of Ghunsa Khola HEP Switchyard of Isuwa Cascade PROR HPPSwitchyard of Seti 
Nadi HEPSwitchyard of Tallo Modi 1 HPPSwitchyard of Upper Tadi Khola HPPSyuchatar 
S/STamghas s/sThapathali s/sTinpiple S/STokha s/sTower no 27 of Upper 
Chameliya 132kV TL Trishuli 3B Hub StationTumlingtar s/sUpper Tamakoshi HPP 
switchyardchainpur hub singati substation</v>
      </c>
      <c r="M1" s="1"/>
      <c r="N1" s="1"/>
      <c r="O1" s="1"/>
      <c r="P1" s="1"/>
      <c r="Q1" s="1"/>
      <c r="R1" s="1"/>
      <c r="S1" s="1"/>
      <c r="T1" s="1"/>
      <c r="U1" s="1"/>
      <c r="V1" s="1"/>
      <c r="W1" s="1"/>
      <c r="X1" s="1"/>
      <c r="Y1" s="1"/>
      <c r="Z1" s="1"/>
    </row>
    <row r="2">
      <c r="A2" s="2">
        <f>IFERROR(__xludf.DUMMYFUNCTION("""COMPUTED_VALUE"""),1.0)</f>
        <v>1</v>
      </c>
      <c r="B2" s="2" t="str">
        <f>IFERROR(__xludf.DUMMYFUNCTION("""COMPUTED_VALUE"""),"Radhi small Hydropower 33kV Transmission line")</f>
        <v>Radhi small Hydropower 33kV Transmission line</v>
      </c>
      <c r="C2" s="2">
        <f>IFERROR(__xludf.DUMMYFUNCTION("""COMPUTED_VALUE"""),33.0)</f>
        <v>33</v>
      </c>
      <c r="D2" s="2">
        <f>IFERROR(__xludf.DUMMYFUNCTION("""COMPUTED_VALUE"""),14.0)</f>
        <v>14</v>
      </c>
      <c r="E2" s="2">
        <f>IFERROR(__xludf.DUMMYFUNCTION("""COMPUTED_VALUE"""),4.4)</f>
        <v>4.4</v>
      </c>
      <c r="F2" s="2">
        <f>IFERROR(__xludf.DUMMYFUNCTION("""COMPUTED_VALUE"""),270.0)</f>
        <v>270</v>
      </c>
      <c r="G2" s="3">
        <f>IFERROR(__xludf.DUMMYFUNCTION("""COMPUTED_VALUE"""),63428.0)</f>
        <v>63428</v>
      </c>
      <c r="H2" s="3">
        <f>IFERROR(__xludf.DUMMYFUNCTION("""COMPUTED_VALUE"""),65253.0)</f>
        <v>65253</v>
      </c>
      <c r="I2" s="2" t="str">
        <f>IFERROR(__xludf.DUMMYFUNCTION("""COMPUTED_VALUE"""),"Radhi Bidhyut Company Limited")</f>
        <v>Radhi Bidhyut Company Limited</v>
      </c>
      <c r="J2" s="2" t="str">
        <f>IFERROR(__xludf.DUMMYFUNCTION("""COMPUTED_VALUE"""),"Bluestar Complex, Tripureswor")</f>
        <v>Bluestar Complex, Tripureswor</v>
      </c>
      <c r="K2" s="2" t="str">
        <f>IFERROR(__xludf.DUMMYFUNCTION("""COMPUTED_VALUE"""),"Switchyard of Project")</f>
        <v>Switchyard of Project</v>
      </c>
      <c r="L2" s="2" t="str">
        <f>IFERROR(__xludf.DUMMYFUNCTION("""COMPUTED_VALUE"""),"Khudi(Tarikuna) NEA Substation(Lamjung)")</f>
        <v>Khudi(Tarikuna) NEA Substation(Lamjung)</v>
      </c>
    </row>
    <row r="3">
      <c r="A3" s="2">
        <f>IFERROR(__xludf.DUMMYFUNCTION("""COMPUTED_VALUE"""),2.0)</f>
        <v>2</v>
      </c>
      <c r="B3" s="2" t="str">
        <f>IFERROR(__xludf.DUMMYFUNCTION("""COMPUTED_VALUE"""),"Upper Naugad Gad Small HPP 33kV Transmission Line Project")</f>
        <v>Upper Naugad Gad Small HPP 33kV Transmission Line Project</v>
      </c>
      <c r="C3" s="2">
        <f>IFERROR(__xludf.DUMMYFUNCTION("""COMPUTED_VALUE"""),33.0)</f>
        <v>33</v>
      </c>
      <c r="D3" s="2">
        <f>IFERROR(__xludf.DUMMYFUNCTION("""COMPUTED_VALUE"""),8.0)</f>
        <v>8</v>
      </c>
      <c r="E3" s="2">
        <f>IFERROR(__xludf.DUMMYFUNCTION("""COMPUTED_VALUE"""),8.0)</f>
        <v>8</v>
      </c>
      <c r="F3" s="2">
        <f>IFERROR(__xludf.DUMMYFUNCTION("""COMPUTED_VALUE"""),288.0)</f>
        <v>288</v>
      </c>
      <c r="G3" s="3">
        <f>IFERROR(__xludf.DUMMYFUNCTION("""COMPUTED_VALUE"""),63586.0)</f>
        <v>63586</v>
      </c>
      <c r="H3" s="3">
        <f>IFERROR(__xludf.DUMMYFUNCTION("""COMPUTED_VALUE"""),64681.0)</f>
        <v>64681</v>
      </c>
      <c r="I3" s="2" t="str">
        <f>IFERROR(__xludf.DUMMYFUNCTION("""COMPUTED_VALUE"""),"Api Power Company Limited")</f>
        <v>Api Power Company Limited</v>
      </c>
      <c r="J3" s="2"/>
      <c r="K3" s="2" t="str">
        <f>IFERROR(__xludf.DUMMYFUNCTION("""COMPUTED_VALUE"""),"Switchyard of Upper Naugad Gad Small HPP")</f>
        <v>Switchyard of Upper Naugad Gad Small HPP</v>
      </c>
      <c r="L3" s="2" t="str">
        <f>IFERROR(__xludf.DUMMYFUNCTION("""COMPUTED_VALUE"""),"Chameliya HPP, Balaanch S/S")</f>
        <v>Chameliya HPP, Balaanch S/S</v>
      </c>
    </row>
    <row r="4">
      <c r="A4" s="2">
        <f>IFERROR(__xludf.DUMMYFUNCTION("""COMPUTED_VALUE"""),3.0)</f>
        <v>3</v>
      </c>
      <c r="B4" s="2" t="str">
        <f>IFERROR(__xludf.DUMMYFUNCTION("""COMPUTED_VALUE"""),"Singati HPP, Dolkha District")</f>
        <v>Singati HPP, Dolkha District</v>
      </c>
      <c r="C4" s="2">
        <f>IFERROR(__xludf.DUMMYFUNCTION("""COMPUTED_VALUE"""),132.0)</f>
        <v>132</v>
      </c>
      <c r="D4" s="2">
        <f>IFERROR(__xludf.DUMMYFUNCTION("""COMPUTED_VALUE"""),0.5)</f>
        <v>0.5</v>
      </c>
      <c r="E4" s="2">
        <f>IFERROR(__xludf.DUMMYFUNCTION("""COMPUTED_VALUE"""),25.0)</f>
        <v>25</v>
      </c>
      <c r="F4" s="2">
        <f>IFERROR(__xludf.DUMMYFUNCTION("""COMPUTED_VALUE"""),364.0)</f>
        <v>364</v>
      </c>
      <c r="G4" s="3">
        <f>IFERROR(__xludf.DUMMYFUNCTION("""COMPUTED_VALUE"""),64063.0)</f>
        <v>64063</v>
      </c>
      <c r="H4" s="3">
        <f>IFERROR(__xludf.DUMMYFUNCTION("""COMPUTED_VALUE"""),64793.0)</f>
        <v>64793</v>
      </c>
      <c r="I4" s="2" t="str">
        <f>IFERROR(__xludf.DUMMYFUNCTION("""COMPUTED_VALUE"""),"Singati Hydro Energy Ltd.")</f>
        <v>Singati Hydro Energy Ltd.</v>
      </c>
      <c r="J4" s="2" t="str">
        <f>IFERROR(__xludf.DUMMYFUNCTION("""COMPUTED_VALUE"""),"Naxal,Kathmandu ,Nepal")</f>
        <v>Naxal,Kathmandu ,Nepal</v>
      </c>
      <c r="K4" s="2" t="str">
        <f>IFERROR(__xludf.DUMMYFUNCTION("""COMPUTED_VALUE"""),"Singati HPP")</f>
        <v>Singati HPP</v>
      </c>
      <c r="L4" s="2" t="str">
        <f>IFERROR(__xludf.DUMMYFUNCTION("""COMPUTED_VALUE"""),"singati substation")</f>
        <v>singati substation</v>
      </c>
    </row>
    <row r="5">
      <c r="A5" s="2">
        <f>IFERROR(__xludf.DUMMYFUNCTION("""COMPUTED_VALUE"""),4.0)</f>
        <v>4</v>
      </c>
      <c r="B5" s="2" t="str">
        <f>IFERROR(__xludf.DUMMYFUNCTION("""COMPUTED_VALUE"""),"Tallo Modi Khola Hydro Power Project,Parvat District")</f>
        <v>Tallo Modi Khola Hydro Power Project,Parvat District</v>
      </c>
      <c r="C5" s="2">
        <f>IFERROR(__xludf.DUMMYFUNCTION("""COMPUTED_VALUE"""),132.0)</f>
        <v>132</v>
      </c>
      <c r="D5" s="2">
        <f>IFERROR(__xludf.DUMMYFUNCTION("""COMPUTED_VALUE"""),5.0)</f>
        <v>5</v>
      </c>
      <c r="E5" s="2">
        <f>IFERROR(__xludf.DUMMYFUNCTION("""COMPUTED_VALUE"""),20.0)</f>
        <v>20</v>
      </c>
      <c r="F5" s="2">
        <f>IFERROR(__xludf.DUMMYFUNCTION("""COMPUTED_VALUE"""),373.0)</f>
        <v>373</v>
      </c>
      <c r="G5" s="3">
        <f>IFERROR(__xludf.DUMMYFUNCTION("""COMPUTED_VALUE"""),64140.0)</f>
        <v>64140</v>
      </c>
      <c r="H5" s="3">
        <f>IFERROR(__xludf.DUMMYFUNCTION("""COMPUTED_VALUE"""),64870.0)</f>
        <v>64870</v>
      </c>
      <c r="I5" s="2" t="str">
        <f>IFERROR(__xludf.DUMMYFUNCTION("""COMPUTED_VALUE"""),"Shree Modi Energy Pvt.Ltd.")</f>
        <v>Shree Modi Energy Pvt.Ltd.</v>
      </c>
      <c r="J5" s="2" t="str">
        <f>IFERROR(__xludf.DUMMYFUNCTION("""COMPUTED_VALUE"""),"Dillibazzar,Kathmandu 4441131,4441444,01-2003887")</f>
        <v>Dillibazzar,Kathmandu 4441131,4441444,01-2003887</v>
      </c>
      <c r="K5" s="2" t="str">
        <f>IFERROR(__xludf.DUMMYFUNCTION("""COMPUTED_VALUE"""),"Switch yard of Tallo Modi Khola Hydro Po")</f>
        <v>Switch yard of Tallo Modi Khola Hydro Po</v>
      </c>
      <c r="L5" s="2" t="str">
        <f>IFERROR(__xludf.DUMMYFUNCTION("""COMPUTED_VALUE"""),"Switchyard of Tallo Modi 1 HPP")</f>
        <v>Switchyard of Tallo Modi 1 HPP</v>
      </c>
    </row>
    <row r="6">
      <c r="A6" s="2">
        <f>IFERROR(__xludf.DUMMYFUNCTION("""COMPUTED_VALUE"""),5.0)</f>
        <v>5</v>
      </c>
      <c r="B6" s="2" t="str">
        <f>IFERROR(__xludf.DUMMYFUNCTION("""COMPUTED_VALUE"""),"Kasuwa Khola Hydro Power's Transmission Line Project")</f>
        <v>Kasuwa Khola Hydro Power's Transmission Line Project</v>
      </c>
      <c r="C6" s="2">
        <f>IFERROR(__xludf.DUMMYFUNCTION("""COMPUTED_VALUE"""),132.0)</f>
        <v>132</v>
      </c>
      <c r="D6" s="2">
        <f>IFERROR(__xludf.DUMMYFUNCTION("""COMPUTED_VALUE"""),28.6)</f>
        <v>28.6</v>
      </c>
      <c r="E6" s="2">
        <f>IFERROR(__xludf.DUMMYFUNCTION("""COMPUTED_VALUE"""),45.0)</f>
        <v>45</v>
      </c>
      <c r="F6" s="2">
        <f>IFERROR(__xludf.DUMMYFUNCTION("""COMPUTED_VALUE"""),380.0)</f>
        <v>380</v>
      </c>
      <c r="G6" s="3">
        <f>IFERROR(__xludf.DUMMYFUNCTION("""COMPUTED_VALUE"""),64191.0)</f>
        <v>64191</v>
      </c>
      <c r="H6" s="3">
        <f>IFERROR(__xludf.DUMMYFUNCTION("""COMPUTED_VALUE"""),66017.0)</f>
        <v>66017</v>
      </c>
      <c r="I6" s="2" t="str">
        <f>IFERROR(__xludf.DUMMYFUNCTION("""COMPUTED_VALUE"""),"Kasuwa khola Hydro Power Ltd.")</f>
        <v>Kasuwa khola Hydro Power Ltd.</v>
      </c>
      <c r="J6" s="2" t="str">
        <f>IFERROR(__xludf.DUMMYFUNCTION("""COMPUTED_VALUE"""),"Tripureshwor,Nepal Tel: 4222609")</f>
        <v>Tripureshwor,Nepal Tel: 4222609</v>
      </c>
      <c r="K6" s="2" t="str">
        <f>IFERROR(__xludf.DUMMYFUNCTION("""COMPUTED_VALUE"""),"Switchyard of Kasuwa Khola Hydro Power P")</f>
        <v>Switchyard of Kasuwa Khola Hydro Power P</v>
      </c>
      <c r="L6" s="2" t="str">
        <f>IFERROR(__xludf.DUMMYFUNCTION("""COMPUTED_VALUE"""),"Sitalpati NEA Substation")</f>
        <v>Sitalpati NEA Substation</v>
      </c>
    </row>
    <row r="7">
      <c r="A7" s="2">
        <f>IFERROR(__xludf.DUMMYFUNCTION("""COMPUTED_VALUE"""),6.0)</f>
        <v>6</v>
      </c>
      <c r="B7" s="2" t="str">
        <f>IFERROR(__xludf.DUMMYFUNCTION("""COMPUTED_VALUE"""),"Grid connected Butwl Solar Project")</f>
        <v>Grid connected Butwl Solar Project</v>
      </c>
      <c r="C7" s="2">
        <f>IFERROR(__xludf.DUMMYFUNCTION("""COMPUTED_VALUE"""),33.0)</f>
        <v>33</v>
      </c>
      <c r="D7" s="2">
        <f>IFERROR(__xludf.DUMMYFUNCTION("""COMPUTED_VALUE"""),5.5)</f>
        <v>5.5</v>
      </c>
      <c r="E7" s="2">
        <f>IFERROR(__xludf.DUMMYFUNCTION("""COMPUTED_VALUE"""),8.5)</f>
        <v>8.5</v>
      </c>
      <c r="F7" s="2">
        <f>IFERROR(__xludf.DUMMYFUNCTION("""COMPUTED_VALUE"""),393.0)</f>
        <v>393</v>
      </c>
      <c r="G7" s="3">
        <f>IFERROR(__xludf.DUMMYFUNCTION("""COMPUTED_VALUE"""),64318.0)</f>
        <v>64318</v>
      </c>
      <c r="H7" s="3">
        <f>IFERROR(__xludf.DUMMYFUNCTION("""COMPUTED_VALUE"""),65048.0)</f>
        <v>65048</v>
      </c>
      <c r="I7" s="2" t="str">
        <f>IFERROR(__xludf.DUMMYFUNCTION("""COMPUTED_VALUE"""),"Ridi Hydro Power Development Co.Ltd.")</f>
        <v>Ridi Hydro Power Development Co.Ltd.</v>
      </c>
      <c r="J7" s="2" t="str">
        <f>IFERROR(__xludf.DUMMYFUNCTION("""COMPUTED_VALUE"""),"Fifth Floor,Trade Tower,Thapahali ,KTM")</f>
        <v>Fifth Floor,Trade Tower,Thapahali ,KTM</v>
      </c>
      <c r="K7" s="2" t="str">
        <f>IFERROR(__xludf.DUMMYFUNCTION("""COMPUTED_VALUE"""),"Switchyard of Project")</f>
        <v>Switchyard of Project</v>
      </c>
      <c r="L7" s="2" t="str">
        <f>IFERROR(__xludf.DUMMYFUNCTION("""COMPUTED_VALUE"""),"Jogikuti Substation")</f>
        <v>Jogikuti Substation</v>
      </c>
    </row>
    <row r="8">
      <c r="A8" s="2">
        <f>IFERROR(__xludf.DUMMYFUNCTION("""COMPUTED_VALUE"""),7.0)</f>
        <v>7</v>
      </c>
      <c r="B8" s="2" t="str">
        <f>IFERROR(__xludf.DUMMYFUNCTION("""COMPUTED_VALUE"""),"Upper Rawa Khola Hydropower Project")</f>
        <v>Upper Rawa Khola Hydropower Project</v>
      </c>
      <c r="C8" s="2">
        <f>IFERROR(__xludf.DUMMYFUNCTION("""COMPUTED_VALUE"""),33.0)</f>
        <v>33</v>
      </c>
      <c r="D8" s="2">
        <f>IFERROR(__xludf.DUMMYFUNCTION("""COMPUTED_VALUE"""),3.8)</f>
        <v>3.8</v>
      </c>
      <c r="E8" s="2">
        <f>IFERROR(__xludf.DUMMYFUNCTION("""COMPUTED_VALUE"""),3.0)</f>
        <v>3</v>
      </c>
      <c r="F8" s="2">
        <f>IFERROR(__xludf.DUMMYFUNCTION("""COMPUTED_VALUE"""),449.0)</f>
        <v>449</v>
      </c>
      <c r="G8" s="3">
        <f>IFERROR(__xludf.DUMMYFUNCTION("""COMPUTED_VALUE"""),64570.0)</f>
        <v>64570</v>
      </c>
      <c r="H8" s="3">
        <f>IFERROR(__xludf.DUMMYFUNCTION("""COMPUTED_VALUE"""),65299.0)</f>
        <v>65299</v>
      </c>
      <c r="I8" s="2" t="str">
        <f>IFERROR(__xludf.DUMMYFUNCTION("""COMPUTED_VALUE"""),"Rawa Energy Development Pvt.Ltd.")</f>
        <v>Rawa Energy Development Pvt.Ltd.</v>
      </c>
      <c r="J8" s="2" t="str">
        <f>IFERROR(__xludf.DUMMYFUNCTION("""COMPUTED_VALUE"""),"Ghattekulo Kathmandu 9851096066")</f>
        <v>Ghattekulo Kathmandu 9851096066</v>
      </c>
      <c r="K8" s="2" t="str">
        <f>IFERROR(__xludf.DUMMYFUNCTION("""COMPUTED_VALUE"""),"Switchyard of Project (Khotang)")</f>
        <v>Switchyard of Project (Khotang)</v>
      </c>
      <c r="L8" s="2" t="str">
        <f>IFERROR(__xludf.DUMMYFUNCTION("""COMPUTED_VALUE"""),"Baksila NEA Substation(Khotang)")</f>
        <v>Baksila NEA Substation(Khotang)</v>
      </c>
    </row>
    <row r="9">
      <c r="A9" s="2">
        <f>IFERROR(__xludf.DUMMYFUNCTION("""COMPUTED_VALUE"""),8.0)</f>
        <v>8</v>
      </c>
      <c r="B9" s="2" t="str">
        <f>IFERROR(__xludf.DUMMYFUNCTION("""COMPUTED_VALUE"""),"Chhinchu Dododhara 400 kV Transmission Line Project")</f>
        <v>Chhinchu Dododhara 400 kV Transmission Line Project</v>
      </c>
      <c r="C9" s="2">
        <f>IFERROR(__xludf.DUMMYFUNCTION("""COMPUTED_VALUE"""),400.0)</f>
        <v>400</v>
      </c>
      <c r="D9" s="2">
        <f>IFERROR(__xludf.DUMMYFUNCTION("""COMPUTED_VALUE"""),90.0)</f>
        <v>90</v>
      </c>
      <c r="E9" s="2">
        <f>IFERROR(__xludf.DUMMYFUNCTION("""COMPUTED_VALUE"""),2000.0)</f>
        <v>2000</v>
      </c>
      <c r="F9" s="2">
        <f>IFERROR(__xludf.DUMMYFUNCTION("""COMPUTED_VALUE"""),500.0)</f>
        <v>500</v>
      </c>
      <c r="G9" s="3">
        <f>IFERROR(__xludf.DUMMYFUNCTION("""COMPUTED_VALUE"""),65134.0)</f>
        <v>65134</v>
      </c>
      <c r="H9" s="3">
        <f>IFERROR(__xludf.DUMMYFUNCTION("""COMPUTED_VALUE"""),66959.0)</f>
        <v>66959</v>
      </c>
      <c r="I9" s="2" t="str">
        <f>IFERROR(__xludf.DUMMYFUNCTION("""COMPUTED_VALUE"""),"Nepal Electricity Authority")</f>
        <v>Nepal Electricity Authority</v>
      </c>
      <c r="J9" s="2" t="str">
        <f>IFERROR(__xludf.DUMMYFUNCTION("""COMPUTED_VALUE"""),"Durbar Marg Kathmandu")</f>
        <v>Durbar Marg Kathmandu</v>
      </c>
      <c r="K9" s="2" t="str">
        <f>IFERROR(__xludf.DUMMYFUNCTION("""COMPUTED_VALUE"""),"Proposed Chhinchu S/S")</f>
        <v>Proposed Chhinchu S/S</v>
      </c>
      <c r="L9" s="2" t="str">
        <f>IFERROR(__xludf.DUMMYFUNCTION("""COMPUTED_VALUE"""),"Proposed Dododhara S/S")</f>
        <v>Proposed Dododhara S/S</v>
      </c>
    </row>
    <row r="10">
      <c r="A10" s="2">
        <f>IFERROR(__xludf.DUMMYFUNCTION("""COMPUTED_VALUE"""),9.0)</f>
        <v>9</v>
      </c>
      <c r="B10" s="2" t="str">
        <f>IFERROR(__xludf.DUMMYFUNCTION("""COMPUTED_VALUE"""),"Jum Khola Transmission Line Project")</f>
        <v>Jum Khola Transmission Line Project</v>
      </c>
      <c r="C10" s="2">
        <f>IFERROR(__xludf.DUMMYFUNCTION("""COMPUTED_VALUE"""),132.0)</f>
        <v>132</v>
      </c>
      <c r="D10" s="2">
        <f>IFERROR(__xludf.DUMMYFUNCTION("""COMPUTED_VALUE"""),37.0)</f>
        <v>37</v>
      </c>
      <c r="E10" s="2">
        <f>IFERROR(__xludf.DUMMYFUNCTION("""COMPUTED_VALUE"""),56.0)</f>
        <v>56</v>
      </c>
      <c r="F10" s="2">
        <f>IFERROR(__xludf.DUMMYFUNCTION("""COMPUTED_VALUE"""),508.0)</f>
        <v>508</v>
      </c>
      <c r="G10" s="3">
        <f>IFERROR(__xludf.DUMMYFUNCTION("""COMPUTED_VALUE"""),65190.0)</f>
        <v>65190</v>
      </c>
      <c r="H10" s="3">
        <f>IFERROR(__xludf.DUMMYFUNCTION("""COMPUTED_VALUE"""),67015.0)</f>
        <v>67015</v>
      </c>
      <c r="I10" s="2" t="str">
        <f>IFERROR(__xludf.DUMMYFUNCTION("""COMPUTED_VALUE"""),"Sanima Jum Hydropower Ltd.")</f>
        <v>Sanima Jum Hydropower Ltd.</v>
      </c>
      <c r="J10" s="2" t="str">
        <f>IFERROR(__xludf.DUMMYFUNCTION("""COMPUTED_VALUE"""),"P.O.Box: 19737 Dhumbarahai, KTM 01-4373030; sanima@sanimahydro.com")</f>
        <v>P.O.Box: 19737 Dhumbarahai, KTM 01-4373030; sanima@sanimahydro.com</v>
      </c>
      <c r="K10" s="2" t="str">
        <f>IFERROR(__xludf.DUMMYFUNCTION("""COMPUTED_VALUE"""),"Switchyard of Project")</f>
        <v>Switchyard of Project</v>
      </c>
      <c r="L10" s="2" t="str">
        <f>IFERROR(__xludf.DUMMYFUNCTION("""COMPUTED_VALUE"""),"NEA Garjyang S/S")</f>
        <v>NEA Garjyang S/S</v>
      </c>
    </row>
    <row r="11">
      <c r="A11" s="2">
        <f>IFERROR(__xludf.DUMMYFUNCTION("""COMPUTED_VALUE"""),10.0)</f>
        <v>10</v>
      </c>
      <c r="B11" s="2" t="str">
        <f>IFERROR(__xludf.DUMMYFUNCTION("""COMPUTED_VALUE"""),"Simbuwa 220 kV Transmission Line Project")</f>
        <v>Simbuwa 220 kV Transmission Line Project</v>
      </c>
      <c r="C11" s="2">
        <f>IFERROR(__xludf.DUMMYFUNCTION("""COMPUTED_VALUE"""),220.0)</f>
        <v>220</v>
      </c>
      <c r="D11" s="2">
        <f>IFERROR(__xludf.DUMMYFUNCTION("""COMPUTED_VALUE"""),3.2)</f>
        <v>3.2</v>
      </c>
      <c r="E11" s="2">
        <f>IFERROR(__xludf.DUMMYFUNCTION("""COMPUTED_VALUE"""),70.3)</f>
        <v>70.3</v>
      </c>
      <c r="F11" s="2">
        <f>IFERROR(__xludf.DUMMYFUNCTION("""COMPUTED_VALUE"""),509.0)</f>
        <v>509</v>
      </c>
      <c r="G11" s="3">
        <f>IFERROR(__xludf.DUMMYFUNCTION("""COMPUTED_VALUE"""),65218.0)</f>
        <v>65218</v>
      </c>
      <c r="H11" s="3">
        <f>IFERROR(__xludf.DUMMYFUNCTION("""COMPUTED_VALUE"""),67043.0)</f>
        <v>67043</v>
      </c>
      <c r="I11" s="2" t="str">
        <f>IFERROR(__xludf.DUMMYFUNCTION("""COMPUTED_VALUE"""),"Simbuwa Remit Hydro Ltd.")</f>
        <v>Simbuwa Remit Hydro Ltd.</v>
      </c>
      <c r="J11" s="2" t="str">
        <f>IFERROR(__xludf.DUMMYFUNCTION("""COMPUTED_VALUE"""),"Maharajgunj ,Kathmandu-03; 01-4445857, info@srhl.org.np")</f>
        <v>Maharajgunj ,Kathmandu-03; 01-4445857, info@srhl.org.np</v>
      </c>
      <c r="K11" s="2" t="str">
        <f>IFERROR(__xludf.DUMMYFUNCTION("""COMPUTED_VALUE"""),"Switchyard of Project")</f>
        <v>Switchyard of Project</v>
      </c>
      <c r="L11" s="2" t="str">
        <f>IFERROR(__xludf.DUMMYFUNCTION("""COMPUTED_VALUE"""),"Switchyard of Ghunsa Khola HEP")</f>
        <v>Switchyard of Ghunsa Khola HEP</v>
      </c>
    </row>
    <row r="12">
      <c r="A12" s="2">
        <f>IFERROR(__xludf.DUMMYFUNCTION("""COMPUTED_VALUE"""),11.0)</f>
        <v>11</v>
      </c>
      <c r="B12" s="2" t="str">
        <f>IFERROR(__xludf.DUMMYFUNCTION("""COMPUTED_VALUE"""),"Lamabagar Barhabise 220kV Transmission Line Project")</f>
        <v>Lamabagar Barhabise 220kV Transmission Line Project</v>
      </c>
      <c r="C12" s="2">
        <f>IFERROR(__xludf.DUMMYFUNCTION("""COMPUTED_VALUE"""),220.0)</f>
        <v>220</v>
      </c>
      <c r="D12" s="2">
        <f>IFERROR(__xludf.DUMMYFUNCTION("""COMPUTED_VALUE"""),43.0)</f>
        <v>43</v>
      </c>
      <c r="E12" s="2">
        <f>IFERROR(__xludf.DUMMYFUNCTION("""COMPUTED_VALUE"""),1240.0)</f>
        <v>1240</v>
      </c>
      <c r="F12" s="2">
        <f>IFERROR(__xludf.DUMMYFUNCTION("""COMPUTED_VALUE"""),511.0)</f>
        <v>511</v>
      </c>
      <c r="G12" s="3">
        <f>IFERROR(__xludf.DUMMYFUNCTION("""COMPUTED_VALUE"""),65221.0)</f>
        <v>65221</v>
      </c>
      <c r="H12" s="3">
        <f>IFERROR(__xludf.DUMMYFUNCTION("""COMPUTED_VALUE"""),67046.0)</f>
        <v>67046</v>
      </c>
      <c r="I12" s="2" t="str">
        <f>IFERROR(__xludf.DUMMYFUNCTION("""COMPUTED_VALUE"""),"Rastriya Prasaran Grid Company Limited")</f>
        <v>Rastriya Prasaran Grid Company Limited</v>
      </c>
      <c r="J12" s="2" t="str">
        <f>IFERROR(__xludf.DUMMYFUNCTION("""COMPUTED_VALUE"""),"DCC Bhawan Babarmahal, Kathmandu; 01-4266693; rpgcl.np@gmail.com")</f>
        <v>DCC Bhawan Babarmahal, Kathmandu; 01-4266693; rpgcl.np@gmail.com</v>
      </c>
      <c r="K12" s="2" t="str">
        <f>IFERROR(__xludf.DUMMYFUNCTION("""COMPUTED_VALUE"""),"Proposed Lamabagar S/S")</f>
        <v>Proposed Lamabagar S/S</v>
      </c>
      <c r="L12" s="2" t="str">
        <f>IFERROR(__xludf.DUMMYFUNCTION("""COMPUTED_VALUE"""),"NEA Barhabise S/S")</f>
        <v>NEA Barhabise S/S</v>
      </c>
    </row>
    <row r="13">
      <c r="A13" s="2">
        <f>IFERROR(__xludf.DUMMYFUNCTION("""COMPUTED_VALUE"""),12.0)</f>
        <v>12</v>
      </c>
      <c r="B13" s="2" t="str">
        <f>IFERROR(__xludf.DUMMYFUNCTION("""COMPUTED_VALUE"""),"Upper Mardi Khola Hydro Power Transmission Line Project")</f>
        <v>Upper Mardi Khola Hydro Power Transmission Line Project</v>
      </c>
      <c r="C13" s="2">
        <f>IFERROR(__xludf.DUMMYFUNCTION("""COMPUTED_VALUE"""),33.0)</f>
        <v>33</v>
      </c>
      <c r="D13" s="2">
        <f>IFERROR(__xludf.DUMMYFUNCTION("""COMPUTED_VALUE"""),12.0)</f>
        <v>12</v>
      </c>
      <c r="E13" s="2">
        <f>IFERROR(__xludf.DUMMYFUNCTION("""COMPUTED_VALUE"""),7.0)</f>
        <v>7</v>
      </c>
      <c r="F13" s="2">
        <f>IFERROR(__xludf.DUMMYFUNCTION("""COMPUTED_VALUE"""),558.0)</f>
        <v>558</v>
      </c>
      <c r="G13" s="3">
        <f>IFERROR(__xludf.DUMMYFUNCTION("""COMPUTED_VALUE"""),65488.0)</f>
        <v>65488</v>
      </c>
      <c r="H13" s="3">
        <f>IFERROR(__xludf.DUMMYFUNCTION("""COMPUTED_VALUE"""),66948.0)</f>
        <v>66948</v>
      </c>
      <c r="I13" s="2" t="str">
        <f>IFERROR(__xludf.DUMMYFUNCTION("""COMPUTED_VALUE"""),"United Idi Mardi and RB Hydropower Ltd.")</f>
        <v>United Idi Mardi and RB Hydropower Ltd.</v>
      </c>
      <c r="J13" s="2" t="str">
        <f>IFERROR(__xludf.DUMMYFUNCTION("""COMPUTED_VALUE"""),"Lekhnath-7, Pokhara; unitedidimardi7mw@gmail.com, 061-465806,01-5012027")</f>
        <v>Lekhnath-7, Pokhara; unitedidimardi7mw@gmail.com, 061-465806,01-5012027</v>
      </c>
      <c r="K13" s="2" t="str">
        <f>IFERROR(__xludf.DUMMYFUNCTION("""COMPUTED_VALUE"""),"Switchyard of Project")</f>
        <v>Switchyard of Project</v>
      </c>
      <c r="L13" s="2" t="str">
        <f>IFERROR(__xludf.DUMMYFUNCTION("""COMPUTED_VALUE"""),"NEA Lahacowk S/S")</f>
        <v>NEA Lahacowk S/S</v>
      </c>
    </row>
    <row r="14">
      <c r="A14" s="2">
        <f>IFERROR(__xludf.DUMMYFUNCTION("""COMPUTED_VALUE"""),13.0)</f>
        <v>13</v>
      </c>
      <c r="B14" s="2" t="str">
        <f>IFERROR(__xludf.DUMMYFUNCTION("""COMPUTED_VALUE"""),"Chhujung Khola &amp; Bakan Khola Joint 220 kV Transmission Line Project")</f>
        <v>Chhujung Khola &amp; Bakan Khola Joint 220 kV Transmission Line Project</v>
      </c>
      <c r="C14" s="2">
        <f>IFERROR(__xludf.DUMMYFUNCTION("""COMPUTED_VALUE"""),220.0)</f>
        <v>220</v>
      </c>
      <c r="D14" s="2">
        <f>IFERROR(__xludf.DUMMYFUNCTION("""COMPUTED_VALUE"""),55.0)</f>
        <v>55</v>
      </c>
      <c r="E14" s="2">
        <f>IFERROR(__xludf.DUMMYFUNCTION("""COMPUTED_VALUE"""),107.0)</f>
        <v>107</v>
      </c>
      <c r="F14" s="2">
        <f>IFERROR(__xludf.DUMMYFUNCTION("""COMPUTED_VALUE"""),560.0)</f>
        <v>560</v>
      </c>
      <c r="G14" s="3">
        <f>IFERROR(__xludf.DUMMYFUNCTION("""COMPUTED_VALUE"""),65502.0)</f>
        <v>65502</v>
      </c>
      <c r="H14" s="3">
        <f>IFERROR(__xludf.DUMMYFUNCTION("""COMPUTED_VALUE"""),66962.0)</f>
        <v>66962</v>
      </c>
      <c r="I14" s="2" t="str">
        <f>IFERROR(__xludf.DUMMYFUNCTION("""COMPUTED_VALUE"""),"Sangrila Urja Pvt. Ltd.")</f>
        <v>Sangrila Urja Pvt. Ltd.</v>
      </c>
      <c r="J14" s="2" t="str">
        <f>IFERROR(__xludf.DUMMYFUNCTION("""COMPUTED_VALUE"""),"Anamnagar 29 Kathmandu, 9851175012")</f>
        <v>Anamnagar 29 Kathmandu, 9851175012</v>
      </c>
      <c r="K14" s="2" t="str">
        <f>IFERROR(__xludf.DUMMYFUNCTION("""COMPUTED_VALUE"""),"Switchyard of Chhujung Khola Project")</f>
        <v>Switchyard of Chhujung Khola Project</v>
      </c>
      <c r="L14" s="2" t="str">
        <f>IFERROR(__xludf.DUMMYFUNCTION("""COMPUTED_VALUE"""),"NEA Sitalpati S/S")</f>
        <v>NEA Sitalpati S/S</v>
      </c>
    </row>
    <row r="15">
      <c r="A15" s="2">
        <f>IFERROR(__xludf.DUMMYFUNCTION("""COMPUTED_VALUE"""),14.0)</f>
        <v>14</v>
      </c>
      <c r="B15" s="2" t="str">
        <f>IFERROR(__xludf.DUMMYFUNCTION("""COMPUTED_VALUE"""),"West Seti (Banlek) Dododhara Transmission Line Project")</f>
        <v>West Seti (Banlek) Dododhara Transmission Line Project</v>
      </c>
      <c r="C15" s="2">
        <f>IFERROR(__xludf.DUMMYFUNCTION("""COMPUTED_VALUE"""),400.0)</f>
        <v>400</v>
      </c>
      <c r="D15" s="2">
        <f>IFERROR(__xludf.DUMMYFUNCTION("""COMPUTED_VALUE"""),85.0)</f>
        <v>85</v>
      </c>
      <c r="E15" s="2">
        <f>IFERROR(__xludf.DUMMYFUNCTION("""COMPUTED_VALUE"""),2250.0)</f>
        <v>2250</v>
      </c>
      <c r="F15" s="2">
        <f>IFERROR(__xludf.DUMMYFUNCTION("""COMPUTED_VALUE"""),568.0)</f>
        <v>568</v>
      </c>
      <c r="G15" s="3">
        <f>IFERROR(__xludf.DUMMYFUNCTION("""COMPUTED_VALUE"""),65581.0)</f>
        <v>65581</v>
      </c>
      <c r="H15" s="3">
        <f>IFERROR(__xludf.DUMMYFUNCTION("""COMPUTED_VALUE"""),67041.0)</f>
        <v>67041</v>
      </c>
      <c r="I15" s="2" t="str">
        <f>IFERROR(__xludf.DUMMYFUNCTION("""COMPUTED_VALUE"""),"Rastriya Prasaran Grid Company Limited")</f>
        <v>Rastriya Prasaran Grid Company Limited</v>
      </c>
      <c r="J15" s="2" t="str">
        <f>IFERROR(__xludf.DUMMYFUNCTION("""COMPUTED_VALUE"""),"Bbarmahal-11 Kathmandu; 01-4266693")</f>
        <v>Bbarmahal-11 Kathmandu; 01-4266693</v>
      </c>
      <c r="K15" s="2" t="str">
        <f>IFERROR(__xludf.DUMMYFUNCTION("""COMPUTED_VALUE"""),"Proposed West Seti S/S")</f>
        <v>Proposed West Seti S/S</v>
      </c>
      <c r="L15" s="2" t="str">
        <f>IFERROR(__xludf.DUMMYFUNCTION("""COMPUTED_VALUE"""),"Proposed Dododhara S/S")</f>
        <v>Proposed Dododhara S/S</v>
      </c>
    </row>
    <row r="16">
      <c r="A16" s="2">
        <f>IFERROR(__xludf.DUMMYFUNCTION("""COMPUTED_VALUE"""),15.0)</f>
        <v>15</v>
      </c>
      <c r="B16" s="2" t="str">
        <f>IFERROR(__xludf.DUMMYFUNCTION("""COMPUTED_VALUE"""),"Sitalpati Dhungesanghu Transmission Line Project")</f>
        <v>Sitalpati Dhungesanghu Transmission Line Project</v>
      </c>
      <c r="C16" s="2">
        <f>IFERROR(__xludf.DUMMYFUNCTION("""COMPUTED_VALUE"""),220.0)</f>
        <v>220</v>
      </c>
      <c r="D16" s="2">
        <f>IFERROR(__xludf.DUMMYFUNCTION("""COMPUTED_VALUE"""),48.0)</f>
        <v>48</v>
      </c>
      <c r="E16" s="2">
        <f>IFERROR(__xludf.DUMMYFUNCTION("""COMPUTED_VALUE"""),600.0)</f>
        <v>600</v>
      </c>
      <c r="F16" s="2">
        <f>IFERROR(__xludf.DUMMYFUNCTION("""COMPUTED_VALUE"""),570.0)</f>
        <v>570</v>
      </c>
      <c r="G16" s="3">
        <f>IFERROR(__xludf.DUMMYFUNCTION("""COMPUTED_VALUE"""),65589.0)</f>
        <v>65589</v>
      </c>
      <c r="H16" s="3">
        <f>IFERROR(__xludf.DUMMYFUNCTION("""COMPUTED_VALUE"""),67049.0)</f>
        <v>67049</v>
      </c>
      <c r="I16" s="2" t="str">
        <f>IFERROR(__xludf.DUMMYFUNCTION("""COMPUTED_VALUE"""),"Rastriye Prasaran Grid Company Limited")</f>
        <v>Rastriye Prasaran Grid Company Limited</v>
      </c>
      <c r="J16" s="2" t="str">
        <f>IFERROR(__xludf.DUMMYFUNCTION("""COMPUTED_VALUE"""),"Babarmahal-11 Kathmandu; 01-4266693")</f>
        <v>Babarmahal-11 Kathmandu; 01-4266693</v>
      </c>
      <c r="K16" s="2" t="str">
        <f>IFERROR(__xludf.DUMMYFUNCTION("""COMPUTED_VALUE"""),"NEA Sitalpati S/S")</f>
        <v>NEA Sitalpati S/S</v>
      </c>
      <c r="L16" s="2" t="str">
        <f>IFERROR(__xludf.DUMMYFUNCTION("""COMPUTED_VALUE"""),"NEA Dhungesanghu S/S")</f>
        <v>NEA Dhungesanghu S/S</v>
      </c>
    </row>
    <row r="17">
      <c r="A17" s="2">
        <f>IFERROR(__xludf.DUMMYFUNCTION("""COMPUTED_VALUE"""),16.0)</f>
        <v>16</v>
      </c>
      <c r="B17" s="2" t="str">
        <f>IFERROR(__xludf.DUMMYFUNCTION("""COMPUTED_VALUE"""),"Mugu Karnali 400kV Transmission Line Project")</f>
        <v>Mugu Karnali 400kV Transmission Line Project</v>
      </c>
      <c r="C17" s="2">
        <f>IFERROR(__xludf.DUMMYFUNCTION("""COMPUTED_VALUE"""),400.0)</f>
        <v>400</v>
      </c>
      <c r="D17" s="2">
        <f>IFERROR(__xludf.DUMMYFUNCTION("""COMPUTED_VALUE"""),40.0)</f>
        <v>40</v>
      </c>
      <c r="E17" s="2">
        <f>IFERROR(__xludf.DUMMYFUNCTION("""COMPUTED_VALUE"""),1902.0)</f>
        <v>1902</v>
      </c>
      <c r="F17" s="2">
        <f>IFERROR(__xludf.DUMMYFUNCTION("""COMPUTED_VALUE"""),571.0)</f>
        <v>571</v>
      </c>
      <c r="G17" s="3">
        <f>IFERROR(__xludf.DUMMYFUNCTION("""COMPUTED_VALUE"""),65598.0)</f>
        <v>65598</v>
      </c>
      <c r="H17" s="3">
        <f>IFERROR(__xludf.DUMMYFUNCTION("""COMPUTED_VALUE"""),67058.0)</f>
        <v>67058</v>
      </c>
      <c r="I17" s="2" t="str">
        <f>IFERROR(__xludf.DUMMYFUNCTION("""COMPUTED_VALUE"""),"Vidhyut Utpadan Company Limited")</f>
        <v>Vidhyut Utpadan Company Limited</v>
      </c>
      <c r="J17" s="2" t="str">
        <f>IFERROR(__xludf.DUMMYFUNCTION("""COMPUTED_VALUE"""),"BPC Building Rudramati Marg, Buddhanagar KTM-10")</f>
        <v>BPC Building Rudramati Marg, Buddhanagar KTM-10</v>
      </c>
      <c r="K17" s="2" t="str">
        <f>IFERROR(__xludf.DUMMYFUNCTION("""COMPUTED_VALUE"""),"Switchyard of Project")</f>
        <v>Switchyard of Project</v>
      </c>
      <c r="L17" s="2" t="str">
        <f>IFERROR(__xludf.DUMMYFUNCTION("""COMPUTED_VALUE"""),"RPGCL Phukot S/S")</f>
        <v>RPGCL Phukot S/S</v>
      </c>
    </row>
    <row r="18">
      <c r="A18" s="2">
        <f>IFERROR(__xludf.DUMMYFUNCTION("""COMPUTED_VALUE"""),17.0)</f>
        <v>17</v>
      </c>
      <c r="B18" s="2" t="str">
        <f>IFERROR(__xludf.DUMMYFUNCTION("""COMPUTED_VALUE"""),"Dukuchhap New Teku 220 kV transmission Line Project")</f>
        <v>Dukuchhap New Teku 220 kV transmission Line Project</v>
      </c>
      <c r="C18" s="2">
        <f>IFERROR(__xludf.DUMMYFUNCTION("""COMPUTED_VALUE"""),220.0)</f>
        <v>220</v>
      </c>
      <c r="D18" s="2">
        <f>IFERROR(__xludf.DUMMYFUNCTION("""COMPUTED_VALUE"""),12.0)</f>
        <v>12</v>
      </c>
      <c r="E18" s="2">
        <f>IFERROR(__xludf.DUMMYFUNCTION("""COMPUTED_VALUE"""),1200.0)</f>
        <v>1200</v>
      </c>
      <c r="F18" s="2">
        <f>IFERROR(__xludf.DUMMYFUNCTION("""COMPUTED_VALUE"""),590.0)</f>
        <v>590</v>
      </c>
      <c r="G18" s="3">
        <f>IFERROR(__xludf.DUMMYFUNCTION("""COMPUTED_VALUE"""),65723.0)</f>
        <v>65723</v>
      </c>
      <c r="H18" s="3">
        <f>IFERROR(__xludf.DUMMYFUNCTION("""COMPUTED_VALUE"""),67183.0)</f>
        <v>67183</v>
      </c>
      <c r="I18" s="2" t="str">
        <f>IFERROR(__xludf.DUMMYFUNCTION("""COMPUTED_VALUE"""),"Nepal Electricity Authority")</f>
        <v>Nepal Electricity Authority</v>
      </c>
      <c r="J18" s="2" t="str">
        <f>IFERROR(__xludf.DUMMYFUNCTION("""COMPUTED_VALUE"""),"Durbar Marg, Kathmandu 01-4153007")</f>
        <v>Durbar Marg, Kathmandu 01-4153007</v>
      </c>
      <c r="K18" s="2" t="str">
        <f>IFERROR(__xludf.DUMMYFUNCTION("""COMPUTED_VALUE"""),"Proposed Dukuchap S/S")</f>
        <v>Proposed Dukuchap S/S</v>
      </c>
      <c r="L18" s="2" t="str">
        <f>IFERROR(__xludf.DUMMYFUNCTION("""COMPUTED_VALUE"""),"Proposed Teku S/S")</f>
        <v>Proposed Teku S/S</v>
      </c>
    </row>
    <row r="19">
      <c r="A19" s="2">
        <f>IFERROR(__xludf.DUMMYFUNCTION("""COMPUTED_VALUE"""),18.0)</f>
        <v>18</v>
      </c>
      <c r="B19" s="2" t="str">
        <f>IFERROR(__xludf.DUMMYFUNCTION("""COMPUTED_VALUE"""),"Matatirtha-Dukuchhap 220 kV Transmission Line")</f>
        <v>Matatirtha-Dukuchhap 220 kV Transmission Line</v>
      </c>
      <c r="C19" s="2">
        <f>IFERROR(__xludf.DUMMYFUNCTION("""COMPUTED_VALUE"""),220.0)</f>
        <v>220</v>
      </c>
      <c r="D19" s="2">
        <f>IFERROR(__xludf.DUMMYFUNCTION("""COMPUTED_VALUE"""),12.0)</f>
        <v>12</v>
      </c>
      <c r="E19" s="2">
        <f>IFERROR(__xludf.DUMMYFUNCTION("""COMPUTED_VALUE"""),1200.0)</f>
        <v>1200</v>
      </c>
      <c r="F19" s="2">
        <f>IFERROR(__xludf.DUMMYFUNCTION("""COMPUTED_VALUE"""),591.0)</f>
        <v>591</v>
      </c>
      <c r="G19" s="3">
        <f>IFERROR(__xludf.DUMMYFUNCTION("""COMPUTED_VALUE"""),65726.0)</f>
        <v>65726</v>
      </c>
      <c r="H19" s="3">
        <f>IFERROR(__xludf.DUMMYFUNCTION("""COMPUTED_VALUE"""),67186.0)</f>
        <v>67186</v>
      </c>
      <c r="I19" s="2" t="str">
        <f>IFERROR(__xludf.DUMMYFUNCTION("""COMPUTED_VALUE"""),"Nepal Electricity Authority")</f>
        <v>Nepal Electricity Authority</v>
      </c>
      <c r="J19" s="2" t="str">
        <f>IFERROR(__xludf.DUMMYFUNCTION("""COMPUTED_VALUE"""),"Durbarmarg, kathmandu")</f>
        <v>Durbarmarg, kathmandu</v>
      </c>
      <c r="K19" s="2" t="str">
        <f>IFERROR(__xludf.DUMMYFUNCTION("""COMPUTED_VALUE"""),"Matatirtha S/S")</f>
        <v>Matatirtha S/S</v>
      </c>
      <c r="L19" s="2" t="str">
        <f>IFERROR(__xludf.DUMMYFUNCTION("""COMPUTED_VALUE"""),"Bifurcation Point (Dukuchhap-New Teku 22")</f>
        <v>Bifurcation Point (Dukuchhap-New Teku 22</v>
      </c>
    </row>
    <row r="20">
      <c r="A20" s="2">
        <f>IFERROR(__xludf.DUMMYFUNCTION("""COMPUTED_VALUE"""),19.0)</f>
        <v>19</v>
      </c>
      <c r="B20" s="2" t="str">
        <f>IFERROR(__xludf.DUMMYFUNCTION("""COMPUTED_VALUE"""),"Madhya Tara Khola 33 kV Transmission Line")</f>
        <v>Madhya Tara Khola 33 kV Transmission Line</v>
      </c>
      <c r="C20" s="2">
        <f>IFERROR(__xludf.DUMMYFUNCTION("""COMPUTED_VALUE"""),33.0)</f>
        <v>33</v>
      </c>
      <c r="D20" s="2">
        <f>IFERROR(__xludf.DUMMYFUNCTION("""COMPUTED_VALUE"""),5.2)</f>
        <v>5.2</v>
      </c>
      <c r="E20" s="2">
        <f>IFERROR(__xludf.DUMMYFUNCTION("""COMPUTED_VALUE"""),2.2)</f>
        <v>2.2</v>
      </c>
      <c r="F20" s="2">
        <f>IFERROR(__xludf.DUMMYFUNCTION("""COMPUTED_VALUE"""),595.0)</f>
        <v>595</v>
      </c>
      <c r="G20" s="3">
        <f>IFERROR(__xludf.DUMMYFUNCTION("""COMPUTED_VALUE"""),65755.0)</f>
        <v>65755</v>
      </c>
      <c r="H20" s="3">
        <f>IFERROR(__xludf.DUMMYFUNCTION("""COMPUTED_VALUE"""),67215.0)</f>
        <v>67215</v>
      </c>
      <c r="I20" s="2" t="str">
        <f>IFERROR(__xludf.DUMMYFUNCTION("""COMPUTED_VALUE"""),"Madhya Tarakhola Hydropower Pvt. Ltd.")</f>
        <v>Madhya Tarakhola Hydropower Pvt. Ltd.</v>
      </c>
      <c r="J20" s="2" t="str">
        <f>IFERROR(__xludf.DUMMYFUNCTION("""COMPUTED_VALUE"""),"New Baneshwor-10, Kathmandu, Phone No. 01-4785232, 
email-madhya.tarakhola@gmail.")</f>
        <v>New Baneshwor-10, Kathmandu, Phone No. 01-4785232, 
email-madhya.tarakhola@gmail.</v>
      </c>
      <c r="K20" s="2" t="str">
        <f>IFERROR(__xludf.DUMMYFUNCTION("""COMPUTED_VALUE"""),"Madhya Tara Khola Switchyard")</f>
        <v>Madhya Tara Khola Switchyard</v>
      </c>
      <c r="L20" s="2" t="str">
        <f>IFERROR(__xludf.DUMMYFUNCTION("""COMPUTED_VALUE"""),"Daram Khola A Switchyard")</f>
        <v>Daram Khola A Switchyard</v>
      </c>
    </row>
    <row r="21">
      <c r="A21" s="2">
        <f>IFERROR(__xludf.DUMMYFUNCTION("""COMPUTED_VALUE"""),20.0)</f>
        <v>20</v>
      </c>
      <c r="B21" s="2" t="str">
        <f>IFERROR(__xludf.DUMMYFUNCTION("""COMPUTED_VALUE"""),"Okharpauwa Tinpiple 220 kV Transmission Line Project")</f>
        <v>Okharpauwa Tinpiple 220 kV Transmission Line Project</v>
      </c>
      <c r="C21" s="2">
        <f>IFERROR(__xludf.DUMMYFUNCTION("""COMPUTED_VALUE"""),220.0)</f>
        <v>220</v>
      </c>
      <c r="D21" s="2">
        <f>IFERROR(__xludf.DUMMYFUNCTION("""COMPUTED_VALUE"""),4.0)</f>
        <v>4</v>
      </c>
      <c r="E21" s="2">
        <f>IFERROR(__xludf.DUMMYFUNCTION("""COMPUTED_VALUE"""),1100.0)</f>
        <v>1100</v>
      </c>
      <c r="F21" s="2">
        <f>IFERROR(__xludf.DUMMYFUNCTION("""COMPUTED_VALUE"""),596.0)</f>
        <v>596</v>
      </c>
      <c r="G21" s="3">
        <f>IFERROR(__xludf.DUMMYFUNCTION("""COMPUTED_VALUE"""),65771.0)</f>
        <v>65771</v>
      </c>
      <c r="H21" s="3">
        <f>IFERROR(__xludf.DUMMYFUNCTION("""COMPUTED_VALUE"""),67231.0)</f>
        <v>67231</v>
      </c>
      <c r="I21" s="2" t="str">
        <f>IFERROR(__xludf.DUMMYFUNCTION("""COMPUTED_VALUE"""),"Nepal Electricity Authority")</f>
        <v>Nepal Electricity Authority</v>
      </c>
      <c r="J21" s="2" t="str">
        <f>IFERROR(__xludf.DUMMYFUNCTION("""COMPUTED_VALUE"""),"Durbar Marg, Kathmandu 01-4153007")</f>
        <v>Durbar Marg, Kathmandu 01-4153007</v>
      </c>
      <c r="K21" s="2" t="str">
        <f>IFERROR(__xludf.DUMMYFUNCTION("""COMPUTED_VALUE"""),"Okharpauwa")</f>
        <v>Okharpauwa</v>
      </c>
      <c r="L21" s="2" t="str">
        <f>IFERROR(__xludf.DUMMYFUNCTION("""COMPUTED_VALUE"""),"Tinpiple S/S")</f>
        <v>Tinpiple S/S</v>
      </c>
    </row>
    <row r="22">
      <c r="A22" s="2">
        <f>IFERROR(__xludf.DUMMYFUNCTION("""COMPUTED_VALUE"""),21.0)</f>
        <v>21</v>
      </c>
      <c r="B22" s="2" t="str">
        <f>IFERROR(__xludf.DUMMYFUNCTION("""COMPUTED_VALUE"""),"Mewa Kola 132 k V Transmission Line Project")</f>
        <v>Mewa Kola 132 k V Transmission Line Project</v>
      </c>
      <c r="C22" s="2">
        <f>IFERROR(__xludf.DUMMYFUNCTION("""COMPUTED_VALUE"""),132.0)</f>
        <v>132</v>
      </c>
      <c r="D22" s="2">
        <f>IFERROR(__xludf.DUMMYFUNCTION("""COMPUTED_VALUE"""),5.0)</f>
        <v>5</v>
      </c>
      <c r="E22" s="2">
        <f>IFERROR(__xludf.DUMMYFUNCTION("""COMPUTED_VALUE"""),23.0)</f>
        <v>23</v>
      </c>
      <c r="F22" s="2">
        <f>IFERROR(__xludf.DUMMYFUNCTION("""COMPUTED_VALUE"""),597.0)</f>
        <v>597</v>
      </c>
      <c r="G22" s="3">
        <f>IFERROR(__xludf.DUMMYFUNCTION("""COMPUTED_VALUE"""),65781.0)</f>
        <v>65781</v>
      </c>
      <c r="H22" s="3">
        <f>IFERROR(__xludf.DUMMYFUNCTION("""COMPUTED_VALUE"""),66876.0)</f>
        <v>66876</v>
      </c>
      <c r="I22" s="2" t="str">
        <f>IFERROR(__xludf.DUMMYFUNCTION("""COMPUTED_VALUE"""),"Union Mewa Hydro Limited")</f>
        <v>Union Mewa Hydro Limited</v>
      </c>
      <c r="J22" s="2" t="str">
        <f>IFERROR(__xludf.DUMMYFUNCTION("""COMPUTED_VALUE"""),"Lalitpur-2, Kupandole 01-5911208")</f>
        <v>Lalitpur-2, Kupandole 01-5911208</v>
      </c>
      <c r="K22" s="2" t="str">
        <f>IFERROR(__xludf.DUMMYFUNCTION("""COMPUTED_VALUE"""),"Switchyard of Project")</f>
        <v>Switchyard of Project</v>
      </c>
      <c r="L22" s="2" t="str">
        <f>IFERROR(__xludf.DUMMYFUNCTION("""COMPUTED_VALUE"""),"Mewa khola s/s")</f>
        <v>Mewa khola s/s</v>
      </c>
    </row>
    <row r="23">
      <c r="A23" s="2">
        <f>IFERROR(__xludf.DUMMYFUNCTION("""COMPUTED_VALUE"""),22.0)</f>
        <v>22</v>
      </c>
      <c r="B23" s="2" t="str">
        <f>IFERROR(__xludf.DUMMYFUNCTION("""COMPUTED_VALUE"""),"Laphsiphedi-Kapan Gumba- Tinpiple 220 kV TL")</f>
        <v>Laphsiphedi-Kapan Gumba- Tinpiple 220 kV TL</v>
      </c>
      <c r="C23" s="2">
        <f>IFERROR(__xludf.DUMMYFUNCTION("""COMPUTED_VALUE"""),220.0)</f>
        <v>220</v>
      </c>
      <c r="D23" s="2">
        <f>IFERROR(__xludf.DUMMYFUNCTION("""COMPUTED_VALUE"""),36.5)</f>
        <v>36.5</v>
      </c>
      <c r="E23" s="2">
        <f>IFERROR(__xludf.DUMMYFUNCTION("""COMPUTED_VALUE"""),1083.0)</f>
        <v>1083</v>
      </c>
      <c r="F23" s="2">
        <f>IFERROR(__xludf.DUMMYFUNCTION("""COMPUTED_VALUE"""),599.0)</f>
        <v>599</v>
      </c>
      <c r="G23" s="3">
        <f>IFERROR(__xludf.DUMMYFUNCTION("""COMPUTED_VALUE"""),65797.0)</f>
        <v>65797</v>
      </c>
      <c r="H23" s="3">
        <f>IFERROR(__xludf.DUMMYFUNCTION("""COMPUTED_VALUE"""),66892.0)</f>
        <v>66892</v>
      </c>
      <c r="I23" s="2" t="str">
        <f>IFERROR(__xludf.DUMMYFUNCTION("""COMPUTED_VALUE"""),"Nepal Electricity Authority")</f>
        <v>Nepal Electricity Authority</v>
      </c>
      <c r="J23" s="2" t="str">
        <f>IFERROR(__xludf.DUMMYFUNCTION("""COMPUTED_VALUE"""),"Durbarmarg. kathmandu")</f>
        <v>Durbarmarg. kathmandu</v>
      </c>
      <c r="K23" s="2" t="str">
        <f>IFERROR(__xludf.DUMMYFUNCTION("""COMPUTED_VALUE"""),"Laphsiphedi S/S")</f>
        <v>Laphsiphedi S/S</v>
      </c>
      <c r="L23" s="2" t="str">
        <f>IFERROR(__xludf.DUMMYFUNCTION("""COMPUTED_VALUE"""),"Tinpiple S/S")</f>
        <v>Tinpiple S/S</v>
      </c>
    </row>
    <row r="24">
      <c r="A24" s="2">
        <f>IFERROR(__xludf.DUMMYFUNCTION("""COMPUTED_VALUE"""),23.0)</f>
        <v>23</v>
      </c>
      <c r="B24" s="2" t="str">
        <f>IFERROR(__xludf.DUMMYFUNCTION("""COMPUTED_VALUE"""),"Syaule Sanphebagar 132 kV Transmission Line Project")</f>
        <v>Syaule Sanphebagar 132 kV Transmission Line Project</v>
      </c>
      <c r="C24" s="2">
        <f>IFERROR(__xludf.DUMMYFUNCTION("""COMPUTED_VALUE"""),132.0)</f>
        <v>132</v>
      </c>
      <c r="D24" s="2">
        <f>IFERROR(__xludf.DUMMYFUNCTION("""COMPUTED_VALUE"""),70.0)</f>
        <v>70</v>
      </c>
      <c r="E24" s="2">
        <f>IFERROR(__xludf.DUMMYFUNCTION("""COMPUTED_VALUE"""),200.0)</f>
        <v>200</v>
      </c>
      <c r="F24" s="2">
        <f>IFERROR(__xludf.DUMMYFUNCTION("""COMPUTED_VALUE"""),601.0)</f>
        <v>601</v>
      </c>
      <c r="G24" s="3">
        <f>IFERROR(__xludf.DUMMYFUNCTION("""COMPUTED_VALUE"""),65812.0)</f>
        <v>65812</v>
      </c>
      <c r="H24" s="3">
        <f>IFERROR(__xludf.DUMMYFUNCTION("""COMPUTED_VALUE"""),66906.0)</f>
        <v>66906</v>
      </c>
      <c r="I24" s="2" t="str">
        <f>IFERROR(__xludf.DUMMYFUNCTION("""COMPUTED_VALUE"""),"Nepal Electricity Authority")</f>
        <v>Nepal Electricity Authority</v>
      </c>
      <c r="J24" s="2" t="str">
        <f>IFERROR(__xludf.DUMMYFUNCTION("""COMPUTED_VALUE"""),"Durbar Marg, Kathmandu 01-4153007")</f>
        <v>Durbar Marg, Kathmandu 01-4153007</v>
      </c>
      <c r="K24" s="2" t="str">
        <f>IFERROR(__xludf.DUMMYFUNCTION("""COMPUTED_VALUE"""),"NEA Syaule S/S")</f>
        <v>NEA Syaule S/S</v>
      </c>
      <c r="L24" s="2" t="str">
        <f>IFERROR(__xludf.DUMMYFUNCTION("""COMPUTED_VALUE"""),"Proposed Sanphebagar S/S")</f>
        <v>Proposed Sanphebagar S/S</v>
      </c>
    </row>
    <row r="25">
      <c r="A25" s="2">
        <f>IFERROR(__xludf.DUMMYFUNCTION("""COMPUTED_VALUE"""),24.0)</f>
        <v>24</v>
      </c>
      <c r="B25" s="2" t="str">
        <f>IFERROR(__xludf.DUMMYFUNCTION("""COMPUTED_VALUE"""),"Karuwa Seti HEP Transmission Line Project")</f>
        <v>Karuwa Seti HEP Transmission Line Project</v>
      </c>
      <c r="C25" s="2">
        <f>IFERROR(__xludf.DUMMYFUNCTION("""COMPUTED_VALUE"""),132.0)</f>
        <v>132</v>
      </c>
      <c r="D25" s="2">
        <f>IFERROR(__xludf.DUMMYFUNCTION("""COMPUTED_VALUE"""),11.0)</f>
        <v>11</v>
      </c>
      <c r="E25" s="2">
        <f>IFERROR(__xludf.DUMMYFUNCTION("""COMPUTED_VALUE"""),32.0)</f>
        <v>32</v>
      </c>
      <c r="F25" s="2">
        <f>IFERROR(__xludf.DUMMYFUNCTION("""COMPUTED_VALUE"""),602.0)</f>
        <v>602</v>
      </c>
      <c r="G25" s="3">
        <f>IFERROR(__xludf.DUMMYFUNCTION("""COMPUTED_VALUE"""),65812.0)</f>
        <v>65812</v>
      </c>
      <c r="H25" s="3">
        <f>IFERROR(__xludf.DUMMYFUNCTION("""COMPUTED_VALUE"""),66906.0)</f>
        <v>66906</v>
      </c>
      <c r="I25" s="2" t="str">
        <f>IFERROR(__xludf.DUMMYFUNCTION("""COMPUTED_VALUE"""),"Jhyamolongma Hydropower Development company Ltd.")</f>
        <v>Jhyamolongma Hydropower Development company Ltd.</v>
      </c>
      <c r="J25" s="2" t="str">
        <f>IFERROR(__xludf.DUMMYFUNCTION("""COMPUTED_VALUE"""),"Pokhara Lekhnath -11 Kaski, 061-465806")</f>
        <v>Pokhara Lekhnath -11 Kaski, 061-465806</v>
      </c>
      <c r="K25" s="2" t="str">
        <f>IFERROR(__xludf.DUMMYFUNCTION("""COMPUTED_VALUE"""),"Switchyard of Project")</f>
        <v>Switchyard of Project</v>
      </c>
      <c r="L25" s="2" t="str">
        <f>IFERROR(__xludf.DUMMYFUNCTION("""COMPUTED_VALUE"""),"Switchyard of Seti Nadi HEP")</f>
        <v>Switchyard of Seti Nadi HEP</v>
      </c>
    </row>
    <row r="26">
      <c r="A26" s="2">
        <f>IFERROR(__xludf.DUMMYFUNCTION("""COMPUTED_VALUE"""),25.0)</f>
        <v>25</v>
      </c>
      <c r="B26" s="2" t="str">
        <f>IFERROR(__xludf.DUMMYFUNCTION("""COMPUTED_VALUE"""),"Myagdi Corridor combined 33 kV Construction Power Transmission Line")</f>
        <v>Myagdi Corridor combined 33 kV Construction Power Transmission Line</v>
      </c>
      <c r="C26" s="2">
        <f>IFERROR(__xludf.DUMMYFUNCTION("""COMPUTED_VALUE"""),33.0)</f>
        <v>33</v>
      </c>
      <c r="D26" s="2">
        <f>IFERROR(__xludf.DUMMYFUNCTION("""COMPUTED_VALUE"""),15.1)</f>
        <v>15.1</v>
      </c>
      <c r="E26" s="2">
        <f>IFERROR(__xludf.DUMMYFUNCTION("""COMPUTED_VALUE"""),4.0)</f>
        <v>4</v>
      </c>
      <c r="F26" s="2">
        <f>IFERROR(__xludf.DUMMYFUNCTION("""COMPUTED_VALUE"""),615.0)</f>
        <v>615</v>
      </c>
      <c r="G26" s="3">
        <f>IFERROR(__xludf.DUMMYFUNCTION("""COMPUTED_VALUE"""),65926.0)</f>
        <v>65926</v>
      </c>
      <c r="H26" s="3">
        <f>IFERROR(__xludf.DUMMYFUNCTION("""COMPUTED_VALUE"""),67020.0)</f>
        <v>67020</v>
      </c>
      <c r="I26" s="2" t="str">
        <f>IFERROR(__xludf.DUMMYFUNCTION("""COMPUTED_VALUE"""),"Hydro Village Pvt. Ltd.")</f>
        <v>Hydro Village Pvt. Ltd.</v>
      </c>
      <c r="J26" s="2" t="str">
        <f>IFERROR(__xludf.DUMMYFUNCTION("""COMPUTED_VALUE"""),"Krishna Galli Lalitpur; 01-5423960")</f>
        <v>Krishna Galli Lalitpur; 01-5423960</v>
      </c>
      <c r="K26" s="2" t="str">
        <f>IFERROR(__xludf.DUMMYFUNCTION("""COMPUTED_VALUE"""),"Headwork of Upper Myagdi-1 HEP")</f>
        <v>Headwork of Upper Myagdi-1 HEP</v>
      </c>
      <c r="L26" s="2" t="str">
        <f>IFERROR(__xludf.DUMMYFUNCTION("""COMPUTED_VALUE"""),"Headworks of Myagdi Khola HEP")</f>
        <v>Headworks of Myagdi Khola HEP</v>
      </c>
    </row>
    <row r="27">
      <c r="A27" s="2">
        <f>IFERROR(__xludf.DUMMYFUNCTION("""COMPUTED_VALUE"""),26.0)</f>
        <v>26</v>
      </c>
      <c r="B27" s="2" t="str">
        <f>IFERROR(__xludf.DUMMYFUNCTION("""COMPUTED_VALUE"""),"Balaju Syuchatar 132 kV Under Ground Transmission Line Project")</f>
        <v>Balaju Syuchatar 132 kV Under Ground Transmission Line Project</v>
      </c>
      <c r="C27" s="2">
        <f>IFERROR(__xludf.DUMMYFUNCTION("""COMPUTED_VALUE"""),132.0)</f>
        <v>132</v>
      </c>
      <c r="D27" s="2">
        <f>IFERROR(__xludf.DUMMYFUNCTION("""COMPUTED_VALUE"""),4.82)</f>
        <v>4.82</v>
      </c>
      <c r="E27" s="2">
        <f>IFERROR(__xludf.DUMMYFUNCTION("""COMPUTED_VALUE"""),300.0)</f>
        <v>300</v>
      </c>
      <c r="F27" s="2">
        <f>IFERROR(__xludf.DUMMYFUNCTION("""COMPUTED_VALUE"""),617.0)</f>
        <v>617</v>
      </c>
      <c r="G27" s="3">
        <f>IFERROR(__xludf.DUMMYFUNCTION("""COMPUTED_VALUE"""),65948.0)</f>
        <v>65948</v>
      </c>
      <c r="H27" s="3">
        <f>IFERROR(__xludf.DUMMYFUNCTION("""COMPUTED_VALUE"""),67042.0)</f>
        <v>67042</v>
      </c>
      <c r="I27" s="2" t="str">
        <f>IFERROR(__xludf.DUMMYFUNCTION("""COMPUTED_VALUE"""),"Nepal Electricity Authority")</f>
        <v>Nepal Electricity Authority</v>
      </c>
      <c r="J27" s="2" t="str">
        <f>IFERROR(__xludf.DUMMYFUNCTION("""COMPUTED_VALUE"""),"Durbar Marg, Kathmandu 01-4153007")</f>
        <v>Durbar Marg, Kathmandu 01-4153007</v>
      </c>
      <c r="K27" s="2" t="str">
        <f>IFERROR(__xludf.DUMMYFUNCTION("""COMPUTED_VALUE"""),"Balaju S/S")</f>
        <v>Balaju S/S</v>
      </c>
      <c r="L27" s="2" t="str">
        <f>IFERROR(__xludf.DUMMYFUNCTION("""COMPUTED_VALUE"""),"Syuchatar S/S")</f>
        <v>Syuchatar S/S</v>
      </c>
    </row>
    <row r="28">
      <c r="A28" s="2">
        <f>IFERROR(__xludf.DUMMYFUNCTION("""COMPUTED_VALUE"""),27.0)</f>
        <v>27</v>
      </c>
      <c r="B28" s="2" t="str">
        <f>IFERROR(__xludf.DUMMYFUNCTION("""COMPUTED_VALUE"""),"Humla Phukot Transmission Line Project")</f>
        <v>Humla Phukot Transmission Line Project</v>
      </c>
      <c r="C28" s="2">
        <f>IFERROR(__xludf.DUMMYFUNCTION("""COMPUTED_VALUE"""),400.0)</f>
        <v>400</v>
      </c>
      <c r="D28" s="2">
        <f>IFERROR(__xludf.DUMMYFUNCTION("""COMPUTED_VALUE"""),85.0)</f>
        <v>85</v>
      </c>
      <c r="E28" s="2">
        <f>IFERROR(__xludf.DUMMYFUNCTION("""COMPUTED_VALUE"""),2250.0)</f>
        <v>2250</v>
      </c>
      <c r="F28" s="2">
        <f>IFERROR(__xludf.DUMMYFUNCTION("""COMPUTED_VALUE"""),618.0)</f>
        <v>618</v>
      </c>
      <c r="G28" s="3">
        <f>IFERROR(__xludf.DUMMYFUNCTION("""COMPUTED_VALUE"""),65968.0)</f>
        <v>65968</v>
      </c>
      <c r="H28" s="3">
        <f>IFERROR(__xludf.DUMMYFUNCTION("""COMPUTED_VALUE"""),67062.0)</f>
        <v>67062</v>
      </c>
      <c r="I28" s="2" t="str">
        <f>IFERROR(__xludf.DUMMYFUNCTION("""COMPUTED_VALUE"""),"Rastriya Prasaran Grid Company Limited")</f>
        <v>Rastriya Prasaran Grid Company Limited</v>
      </c>
      <c r="J28" s="2" t="str">
        <f>IFERROR(__xludf.DUMMYFUNCTION("""COMPUTED_VALUE"""),"Buddhanagar Kathmandu-10;01-4610103, info@rpgcl.com")</f>
        <v>Buddhanagar Kathmandu-10;01-4610103, info@rpgcl.com</v>
      </c>
      <c r="K28" s="2" t="str">
        <f>IFERROR(__xludf.DUMMYFUNCTION("""COMPUTED_VALUE"""),"Humala S/S")</f>
        <v>Humala S/S</v>
      </c>
      <c r="L28" s="2" t="str">
        <f>IFERROR(__xludf.DUMMYFUNCTION("""COMPUTED_VALUE"""),"Phukot S/S")</f>
        <v>Phukot S/S</v>
      </c>
    </row>
    <row r="29">
      <c r="A29" s="2">
        <f>IFERROR(__xludf.DUMMYFUNCTION("""COMPUTED_VALUE"""),28.0)</f>
        <v>28</v>
      </c>
      <c r="B29" s="2" t="str">
        <f>IFERROR(__xludf.DUMMYFUNCTION("""COMPUTED_VALUE"""),"Singhadurbar - Chabahil 132 kV Under Ground Transmission Line Project")</f>
        <v>Singhadurbar - Chabahil 132 kV Under Ground Transmission Line Project</v>
      </c>
      <c r="C29" s="2">
        <f>IFERROR(__xludf.DUMMYFUNCTION("""COMPUTED_VALUE"""),132.0)</f>
        <v>132</v>
      </c>
      <c r="D29" s="2">
        <f>IFERROR(__xludf.DUMMYFUNCTION("""COMPUTED_VALUE"""),4.73)</f>
        <v>4.73</v>
      </c>
      <c r="E29" s="2">
        <f>IFERROR(__xludf.DUMMYFUNCTION("""COMPUTED_VALUE"""),300.0)</f>
        <v>300</v>
      </c>
      <c r="F29" s="2">
        <f>IFERROR(__xludf.DUMMYFUNCTION("""COMPUTED_VALUE"""),619.0)</f>
        <v>619</v>
      </c>
      <c r="G29" s="3">
        <f>IFERROR(__xludf.DUMMYFUNCTION("""COMPUTED_VALUE"""),65968.0)</f>
        <v>65968</v>
      </c>
      <c r="H29" s="3">
        <f>IFERROR(__xludf.DUMMYFUNCTION("""COMPUTED_VALUE"""),67062.0)</f>
        <v>67062</v>
      </c>
      <c r="I29" s="2" t="str">
        <f>IFERROR(__xludf.DUMMYFUNCTION("""COMPUTED_VALUE"""),"Nepal Electricity Authority")</f>
        <v>Nepal Electricity Authority</v>
      </c>
      <c r="J29" s="2" t="str">
        <f>IFERROR(__xludf.DUMMYFUNCTION("""COMPUTED_VALUE"""),"Durbar Marg, Kathmandu 01-4153007")</f>
        <v>Durbar Marg, Kathmandu 01-4153007</v>
      </c>
      <c r="K29" s="2" t="str">
        <f>IFERROR(__xludf.DUMMYFUNCTION("""COMPUTED_VALUE"""),"Singhadurbar K3 S/S")</f>
        <v>Singhadurbar K3 S/S</v>
      </c>
      <c r="L29" s="2" t="str">
        <f>IFERROR(__xludf.DUMMYFUNCTION("""COMPUTED_VALUE"""),"Chabahill S/S")</f>
        <v>Chabahill S/S</v>
      </c>
    </row>
    <row r="30">
      <c r="A30" s="2">
        <f>IFERROR(__xludf.DUMMYFUNCTION("""COMPUTED_VALUE"""),29.0)</f>
        <v>29</v>
      </c>
      <c r="B30" s="2" t="str">
        <f>IFERROR(__xludf.DUMMYFUNCTION("""COMPUTED_VALUE"""),"Chabahil Kapan Gumba 132 kV Transmission Line Project")</f>
        <v>Chabahil Kapan Gumba 132 kV Transmission Line Project</v>
      </c>
      <c r="C30" s="2">
        <f>IFERROR(__xludf.DUMMYFUNCTION("""COMPUTED_VALUE"""),132.0)</f>
        <v>132</v>
      </c>
      <c r="D30" s="2">
        <f>IFERROR(__xludf.DUMMYFUNCTION("""COMPUTED_VALUE"""),6.75)</f>
        <v>6.75</v>
      </c>
      <c r="E30" s="2">
        <f>IFERROR(__xludf.DUMMYFUNCTION("""COMPUTED_VALUE"""),300.0)</f>
        <v>300</v>
      </c>
      <c r="F30" s="2">
        <f>IFERROR(__xludf.DUMMYFUNCTION("""COMPUTED_VALUE"""),620.0)</f>
        <v>620</v>
      </c>
      <c r="G30" s="3">
        <f>IFERROR(__xludf.DUMMYFUNCTION("""COMPUTED_VALUE"""),65970.0)</f>
        <v>65970</v>
      </c>
      <c r="H30" s="3">
        <f>IFERROR(__xludf.DUMMYFUNCTION("""COMPUTED_VALUE"""),67064.0)</f>
        <v>67064</v>
      </c>
      <c r="I30" s="2" t="str">
        <f>IFERROR(__xludf.DUMMYFUNCTION("""COMPUTED_VALUE"""),"Nepal Electricity Authority")</f>
        <v>Nepal Electricity Authority</v>
      </c>
      <c r="J30" s="2" t="str">
        <f>IFERROR(__xludf.DUMMYFUNCTION("""COMPUTED_VALUE"""),"Durbar Marg, Kathmandu 01-4153007")</f>
        <v>Durbar Marg, Kathmandu 01-4153007</v>
      </c>
      <c r="K30" s="2" t="str">
        <f>IFERROR(__xludf.DUMMYFUNCTION("""COMPUTED_VALUE"""),"Chabahil S/S")</f>
        <v>Chabahil S/S</v>
      </c>
      <c r="L30" s="2" t="str">
        <f>IFERROR(__xludf.DUMMYFUNCTION("""COMPUTED_VALUE"""),"Kapan Gumba S/S")</f>
        <v>Kapan Gumba S/S</v>
      </c>
    </row>
    <row r="31">
      <c r="A31" s="2">
        <f>IFERROR(__xludf.DUMMYFUNCTION("""COMPUTED_VALUE"""),30.0)</f>
        <v>30</v>
      </c>
      <c r="B31" s="2" t="str">
        <f>IFERROR(__xludf.DUMMYFUNCTION("""COMPUTED_VALUE"""),"Manang Marshyangdi Hydro Transmission Line Project")</f>
        <v>Manang Marshyangdi Hydro Transmission Line Project</v>
      </c>
      <c r="C31" s="2">
        <f>IFERROR(__xludf.DUMMYFUNCTION("""COMPUTED_VALUE"""),220.0)</f>
        <v>220</v>
      </c>
      <c r="D31" s="2">
        <f>IFERROR(__xludf.DUMMYFUNCTION("""COMPUTED_VALUE"""),2.5)</f>
        <v>2.5</v>
      </c>
      <c r="E31" s="2">
        <f>IFERROR(__xludf.DUMMYFUNCTION("""COMPUTED_VALUE"""),135.0)</f>
        <v>135</v>
      </c>
      <c r="F31" s="2">
        <f>IFERROR(__xludf.DUMMYFUNCTION("""COMPUTED_VALUE"""),622.0)</f>
        <v>622</v>
      </c>
      <c r="G31" s="3">
        <f>IFERROR(__xludf.DUMMYFUNCTION("""COMPUTED_VALUE"""),66013.0)</f>
        <v>66013</v>
      </c>
      <c r="H31" s="3">
        <f>IFERROR(__xludf.DUMMYFUNCTION("""COMPUTED_VALUE"""),67107.0)</f>
        <v>67107</v>
      </c>
      <c r="I31" s="2" t="str">
        <f>IFERROR(__xludf.DUMMYFUNCTION("""COMPUTED_VALUE"""),"Manang Marshyangdi Hydropower Co. Pvt. Ltd.")</f>
        <v>Manang Marshyangdi Hydropower Co. Pvt. Ltd.</v>
      </c>
      <c r="J31" s="2" t="str">
        <f>IFERROR(__xludf.DUMMYFUNCTION("""COMPUTED_VALUE"""),"253 Kantuhiti Marga, Sanepa-02 Lalitpur Neapal")</f>
        <v>253 Kantuhiti Marga, Sanepa-02 Lalitpur Neapal</v>
      </c>
      <c r="K31" s="2" t="str">
        <f>IFERROR(__xludf.DUMMYFUNCTION("""COMPUTED_VALUE"""),"Switchyard of Project")</f>
        <v>Switchyard of Project</v>
      </c>
      <c r="L31" s="2" t="str">
        <f>IFERROR(__xludf.DUMMYFUNCTION("""COMPUTED_VALUE"""),"NEA Dharapani S/S")</f>
        <v>NEA Dharapani S/S</v>
      </c>
    </row>
    <row r="32">
      <c r="A32" s="2">
        <f>IFERROR(__xludf.DUMMYFUNCTION("""COMPUTED_VALUE"""),31.0)</f>
        <v>31</v>
      </c>
      <c r="B32" s="2" t="str">
        <f>IFERROR(__xludf.DUMMYFUNCTION("""COMPUTED_VALUE"""),"Upper Sankhuwa Khola Transmission Line Project")</f>
        <v>Upper Sankhuwa Khola Transmission Line Project</v>
      </c>
      <c r="C32" s="2">
        <f>IFERROR(__xludf.DUMMYFUNCTION("""COMPUTED_VALUE"""),132.0)</f>
        <v>132</v>
      </c>
      <c r="D32" s="2">
        <f>IFERROR(__xludf.DUMMYFUNCTION("""COMPUTED_VALUE"""),19.0)</f>
        <v>19</v>
      </c>
      <c r="E32" s="2">
        <f>IFERROR(__xludf.DUMMYFUNCTION("""COMPUTED_VALUE"""),40.0)</f>
        <v>40</v>
      </c>
      <c r="F32" s="2">
        <f>IFERROR(__xludf.DUMMYFUNCTION("""COMPUTED_VALUE"""),623.0)</f>
        <v>623</v>
      </c>
      <c r="G32" s="3">
        <f>IFERROR(__xludf.DUMMYFUNCTION("""COMPUTED_VALUE"""),66028.0)</f>
        <v>66028</v>
      </c>
      <c r="H32" s="3">
        <f>IFERROR(__xludf.DUMMYFUNCTION("""COMPUTED_VALUE"""),67122.0)</f>
        <v>67122</v>
      </c>
      <c r="I32" s="2" t="str">
        <f>IFERROR(__xludf.DUMMYFUNCTION("""COMPUTED_VALUE"""),"Happy Energy Pvt. Ltd.")</f>
        <v>Happy Energy Pvt. Ltd.</v>
      </c>
      <c r="J32" s="2" t="str">
        <f>IFERROR(__xludf.DUMMYFUNCTION("""COMPUTED_VALUE"""),"Hadigaoun Kathmandu 01-4426248")</f>
        <v>Hadigaoun Kathmandu 01-4426248</v>
      </c>
      <c r="K32" s="2" t="str">
        <f>IFERROR(__xludf.DUMMYFUNCTION("""COMPUTED_VALUE"""),"Switchyard of Project")</f>
        <v>Switchyard of Project</v>
      </c>
      <c r="L32" s="2" t="str">
        <f>IFERROR(__xludf.DUMMYFUNCTION("""COMPUTED_VALUE"""),"NEA Sitalpati S/S")</f>
        <v>NEA Sitalpati S/S</v>
      </c>
    </row>
    <row r="33">
      <c r="A33" s="2">
        <f>IFERROR(__xludf.DUMMYFUNCTION("""COMPUTED_VALUE"""),32.0)</f>
        <v>32</v>
      </c>
      <c r="B33" s="2" t="str">
        <f>IFERROR(__xludf.DUMMYFUNCTION("""COMPUTED_VALUE"""),"Dar Khola HPP 33 kV Transmission Line Project")</f>
        <v>Dar Khola HPP 33 kV Transmission Line Project</v>
      </c>
      <c r="C33" s="2">
        <f>IFERROR(__xludf.DUMMYFUNCTION("""COMPUTED_VALUE"""),33.0)</f>
        <v>33</v>
      </c>
      <c r="D33" s="2">
        <f>IFERROR(__xludf.DUMMYFUNCTION("""COMPUTED_VALUE"""),7.0)</f>
        <v>7</v>
      </c>
      <c r="E33" s="2">
        <f>IFERROR(__xludf.DUMMYFUNCTION("""COMPUTED_VALUE"""),6.5)</f>
        <v>6.5</v>
      </c>
      <c r="F33" s="2">
        <f>IFERROR(__xludf.DUMMYFUNCTION("""COMPUTED_VALUE"""),624.0)</f>
        <v>624</v>
      </c>
      <c r="G33" s="3">
        <f>IFERROR(__xludf.DUMMYFUNCTION("""COMPUTED_VALUE"""),66053.0)</f>
        <v>66053</v>
      </c>
      <c r="H33" s="3">
        <f>IFERROR(__xludf.DUMMYFUNCTION("""COMPUTED_VALUE"""),67147.0)</f>
        <v>67147</v>
      </c>
      <c r="I33" s="2" t="str">
        <f>IFERROR(__xludf.DUMMYFUNCTION("""COMPUTED_VALUE"""),"Dar Khola Hydropower Pvt. Ltd.")</f>
        <v>Dar Khola Hydropower Pvt. Ltd.</v>
      </c>
      <c r="J33" s="2" t="str">
        <f>IFERROR(__xludf.DUMMYFUNCTION("""COMPUTED_VALUE"""),"Samakhusi Kathmandu")</f>
        <v>Samakhusi Kathmandu</v>
      </c>
      <c r="K33" s="2" t="str">
        <f>IFERROR(__xludf.DUMMYFUNCTION("""COMPUTED_VALUE"""),"Switchyard of Darkhola HPP")</f>
        <v>Switchyard of Darkhola HPP</v>
      </c>
      <c r="L33" s="2" t="str">
        <f>IFERROR(__xludf.DUMMYFUNCTION("""COMPUTED_VALUE"""),"NEA Dadakhet S/S")</f>
        <v>NEA Dadakhet S/S</v>
      </c>
    </row>
    <row r="34">
      <c r="A34" s="2">
        <f>IFERROR(__xludf.DUMMYFUNCTION("""COMPUTED_VALUE"""),33.0)</f>
        <v>33</v>
      </c>
      <c r="B34" s="2" t="str">
        <f>IFERROR(__xludf.DUMMYFUNCTION("""COMPUTED_VALUE"""),"Tamor Khola-5 to Dhungesanghu Transmission Line Project")</f>
        <v>Tamor Khola-5 to Dhungesanghu Transmission Line Project</v>
      </c>
      <c r="C34" s="2">
        <f>IFERROR(__xludf.DUMMYFUNCTION("""COMPUTED_VALUE"""),132.0)</f>
        <v>132</v>
      </c>
      <c r="D34" s="2">
        <f>IFERROR(__xludf.DUMMYFUNCTION("""COMPUTED_VALUE"""),29.0)</f>
        <v>29</v>
      </c>
      <c r="E34" s="2">
        <f>IFERROR(__xludf.DUMMYFUNCTION("""COMPUTED_VALUE"""),37.52)</f>
        <v>37.52</v>
      </c>
      <c r="F34" s="2">
        <f>IFERROR(__xludf.DUMMYFUNCTION("""COMPUTED_VALUE"""),626.0)</f>
        <v>626</v>
      </c>
      <c r="G34" s="3">
        <f>IFERROR(__xludf.DUMMYFUNCTION("""COMPUTED_VALUE"""),66084.0)</f>
        <v>66084</v>
      </c>
      <c r="H34" s="3">
        <f>IFERROR(__xludf.DUMMYFUNCTION("""COMPUTED_VALUE"""),67178.0)</f>
        <v>67178</v>
      </c>
      <c r="I34" s="2" t="str">
        <f>IFERROR(__xludf.DUMMYFUNCTION("""COMPUTED_VALUE"""),"River Side Hydro Energy Ltd.")</f>
        <v>River Side Hydro Energy Ltd.</v>
      </c>
      <c r="J34" s="2" t="str">
        <f>IFERROR(__xludf.DUMMYFUNCTION("""COMPUTED_VALUE"""),"Kathmandu-30, Dillibazar; 01-4527090")</f>
        <v>Kathmandu-30, Dillibazar; 01-4527090</v>
      </c>
      <c r="K34" s="2" t="str">
        <f>IFERROR(__xludf.DUMMYFUNCTION("""COMPUTED_VALUE"""),"Switchyard of Project")</f>
        <v>Switchyard of Project</v>
      </c>
      <c r="L34" s="2" t="str">
        <f>IFERROR(__xludf.DUMMYFUNCTION("""COMPUTED_VALUE"""),"NEA Dhungesanghu S/S")</f>
        <v>NEA Dhungesanghu S/S</v>
      </c>
    </row>
    <row r="35">
      <c r="A35" s="2">
        <f>IFERROR(__xludf.DUMMYFUNCTION("""COMPUTED_VALUE"""),34.0)</f>
        <v>34</v>
      </c>
      <c r="B35" s="2" t="str">
        <f>IFERROR(__xludf.DUMMYFUNCTION("""COMPUTED_VALUE"""),"Dudhkoshi storage Dam Toe 400kV Transmission Line Project")</f>
        <v>Dudhkoshi storage Dam Toe 400kV Transmission Line Project</v>
      </c>
      <c r="C35" s="2">
        <f>IFERROR(__xludf.DUMMYFUNCTION("""COMPUTED_VALUE"""),400.0)</f>
        <v>400</v>
      </c>
      <c r="D35" s="2">
        <f>IFERROR(__xludf.DUMMYFUNCTION("""COMPUTED_VALUE"""),1.5)</f>
        <v>1.5</v>
      </c>
      <c r="E35" s="2">
        <f>IFERROR(__xludf.DUMMYFUNCTION("""COMPUTED_VALUE"""),500.0)</f>
        <v>500</v>
      </c>
      <c r="F35" s="2">
        <f>IFERROR(__xludf.DUMMYFUNCTION("""COMPUTED_VALUE"""),629.0)</f>
        <v>629</v>
      </c>
      <c r="G35" s="3">
        <f>IFERROR(__xludf.DUMMYFUNCTION("""COMPUTED_VALUE"""),66088.0)</f>
        <v>66088</v>
      </c>
      <c r="H35" s="3">
        <f>IFERROR(__xludf.DUMMYFUNCTION("""COMPUTED_VALUE"""),67182.0)</f>
        <v>67182</v>
      </c>
      <c r="I35" s="2" t="str">
        <f>IFERROR(__xludf.DUMMYFUNCTION("""COMPUTED_VALUE"""),"Nepal Electricity Authority")</f>
        <v>Nepal Electricity Authority</v>
      </c>
      <c r="J35" s="2" t="str">
        <f>IFERROR(__xludf.DUMMYFUNCTION("""COMPUTED_VALUE"""),"Durbar Marg, Kathmandu 01-4153007")</f>
        <v>Durbar Marg, Kathmandu 01-4153007</v>
      </c>
      <c r="K35" s="2" t="str">
        <f>IFERROR(__xludf.DUMMYFUNCTION("""COMPUTED_VALUE"""),"Switchyard of Dam Toe Project")</f>
        <v>Switchyard of Dam Toe Project</v>
      </c>
      <c r="L35" s="2" t="str">
        <f>IFERROR(__xludf.DUMMYFUNCTION("""COMPUTED_VALUE"""),"LILO at Sitalpati-Tingla -Dudhkoshi 400")</f>
        <v>LILO at Sitalpati-Tingla -Dudhkoshi 400</v>
      </c>
    </row>
    <row r="36">
      <c r="A36" s="2">
        <f>IFERROR(__xludf.DUMMYFUNCTION("""COMPUTED_VALUE"""),35.0)</f>
        <v>35</v>
      </c>
      <c r="B36" s="2" t="str">
        <f>IFERROR(__xludf.DUMMYFUNCTION("""COMPUTED_VALUE"""),"Dana khola - Dharapani Transmission Line Project")</f>
        <v>Dana khola - Dharapani Transmission Line Project</v>
      </c>
      <c r="C36" s="2">
        <f>IFERROR(__xludf.DUMMYFUNCTION("""COMPUTED_VALUE"""),220.0)</f>
        <v>220</v>
      </c>
      <c r="D36" s="2">
        <f>IFERROR(__xludf.DUMMYFUNCTION("""COMPUTED_VALUE"""),5.5)</f>
        <v>5.5</v>
      </c>
      <c r="E36" s="2">
        <f>IFERROR(__xludf.DUMMYFUNCTION("""COMPUTED_VALUE"""),49.95)</f>
        <v>49.95</v>
      </c>
      <c r="F36" s="2">
        <f>IFERROR(__xludf.DUMMYFUNCTION("""COMPUTED_VALUE"""),634.0)</f>
        <v>634</v>
      </c>
      <c r="G36" s="3">
        <f>IFERROR(__xludf.DUMMYFUNCTION("""COMPUTED_VALUE"""),66107.0)</f>
        <v>66107</v>
      </c>
      <c r="H36" s="3">
        <f>IFERROR(__xludf.DUMMYFUNCTION("""COMPUTED_VALUE"""),67201.0)</f>
        <v>67201</v>
      </c>
      <c r="I36" s="2" t="str">
        <f>IFERROR(__xludf.DUMMYFUNCTION("""COMPUTED_VALUE"""),"Lalupate Hydropower Company Pvt. Ltd.")</f>
        <v>Lalupate Hydropower Company Pvt. Ltd.</v>
      </c>
      <c r="J36" s="2" t="str">
        <f>IFERROR(__xludf.DUMMYFUNCTION("""COMPUTED_VALUE"""),"Bagbazar Kathmandu 01-4251037")</f>
        <v>Bagbazar Kathmandu 01-4251037</v>
      </c>
      <c r="K36" s="2" t="str">
        <f>IFERROR(__xludf.DUMMYFUNCTION("""COMPUTED_VALUE"""),"Switchyard of Project")</f>
        <v>Switchyard of Project</v>
      </c>
      <c r="L36" s="2" t="str">
        <f>IFERROR(__xludf.DUMMYFUNCTION("""COMPUTED_VALUE"""),"NEA Dharapani S/S")</f>
        <v>NEA Dharapani S/S</v>
      </c>
    </row>
    <row r="37">
      <c r="A37" s="2">
        <f>IFERROR(__xludf.DUMMYFUNCTION("""COMPUTED_VALUE"""),36.0)</f>
        <v>36</v>
      </c>
      <c r="B37" s="2" t="str">
        <f>IFERROR(__xludf.DUMMYFUNCTION("""COMPUTED_VALUE"""),"Super Iwa Khola- Amarpur Transmission Line Project")</f>
        <v>Super Iwa Khola- Amarpur Transmission Line Project</v>
      </c>
      <c r="C37" s="2">
        <f>IFERROR(__xludf.DUMMYFUNCTION("""COMPUTED_VALUE"""),33.0)</f>
        <v>33</v>
      </c>
      <c r="D37" s="2">
        <f>IFERROR(__xludf.DUMMYFUNCTION("""COMPUTED_VALUE"""),24.0)</f>
        <v>24</v>
      </c>
      <c r="E37" s="2">
        <f>IFERROR(__xludf.DUMMYFUNCTION("""COMPUTED_VALUE"""),4.795)</f>
        <v>4.795</v>
      </c>
      <c r="F37" s="2">
        <f>IFERROR(__xludf.DUMMYFUNCTION("""COMPUTED_VALUE"""),635.0)</f>
        <v>635</v>
      </c>
      <c r="G37" s="3">
        <f>IFERROR(__xludf.DUMMYFUNCTION("""COMPUTED_VALUE"""),66107.0)</f>
        <v>66107</v>
      </c>
      <c r="H37" s="3">
        <f>IFERROR(__xludf.DUMMYFUNCTION("""COMPUTED_VALUE"""),67201.0)</f>
        <v>67201</v>
      </c>
      <c r="I37" s="2" t="str">
        <f>IFERROR(__xludf.DUMMYFUNCTION("""COMPUTED_VALUE"""),"Kanchanjangha Hydro Energy Pvt. Limited")</f>
        <v>Kanchanjangha Hydro Energy Pvt. Limited</v>
      </c>
      <c r="J37" s="2" t="str">
        <f>IFERROR(__xludf.DUMMYFUNCTION("""COMPUTED_VALUE"""),"Koteswor Kathmandu")</f>
        <v>Koteswor Kathmandu</v>
      </c>
      <c r="K37" s="2" t="str">
        <f>IFERROR(__xludf.DUMMYFUNCTION("""COMPUTED_VALUE"""),"Switchyard of Project")</f>
        <v>Switchyard of Project</v>
      </c>
      <c r="L37" s="2" t="str">
        <f>IFERROR(__xludf.DUMMYFUNCTION("""COMPUTED_VALUE"""),"NEA Amarpur S/S")</f>
        <v>NEA Amarpur S/S</v>
      </c>
    </row>
    <row r="38">
      <c r="A38" s="2">
        <f>IFERROR(__xludf.DUMMYFUNCTION("""COMPUTED_VALUE"""),37.0)</f>
        <v>37</v>
      </c>
      <c r="B38" s="2" t="str">
        <f>IFERROR(__xludf.DUMMYFUNCTION("""COMPUTED_VALUE"""),"Nalgad Bafikot 400 kV Transmission Line Project")</f>
        <v>Nalgad Bafikot 400 kV Transmission Line Project</v>
      </c>
      <c r="C38" s="2">
        <f>IFERROR(__xludf.DUMMYFUNCTION("""COMPUTED_VALUE"""),400.0)</f>
        <v>400</v>
      </c>
      <c r="D38" s="2">
        <f>IFERROR(__xludf.DUMMYFUNCTION("""COMPUTED_VALUE"""),20.0)</f>
        <v>20</v>
      </c>
      <c r="E38" s="2">
        <f>IFERROR(__xludf.DUMMYFUNCTION("""COMPUTED_VALUE"""),2250.0)</f>
        <v>2250</v>
      </c>
      <c r="F38" s="2">
        <f>IFERROR(__xludf.DUMMYFUNCTION("""COMPUTED_VALUE"""),638.0)</f>
        <v>638</v>
      </c>
      <c r="G38" s="3">
        <f>IFERROR(__xludf.DUMMYFUNCTION("""COMPUTED_VALUE"""),66138.0)</f>
        <v>66138</v>
      </c>
      <c r="H38" s="3">
        <f>IFERROR(__xludf.DUMMYFUNCTION("""COMPUTED_VALUE"""),66867.0)</f>
        <v>66867</v>
      </c>
      <c r="I38" s="2" t="str">
        <f>IFERROR(__xludf.DUMMYFUNCTION("""COMPUTED_VALUE"""),"Rastriya Prasaran Grid Company Limited")</f>
        <v>Rastriya Prasaran Grid Company Limited</v>
      </c>
      <c r="J38" s="2" t="str">
        <f>IFERROR(__xludf.DUMMYFUNCTION("""COMPUTED_VALUE"""),"Buddhanagar Kathmandu-10; 01-4610103, info@rpgcl.com")</f>
        <v>Buddhanagar Kathmandu-10; 01-4610103, info@rpgcl.com</v>
      </c>
      <c r="K38" s="2" t="str">
        <f>IFERROR(__xludf.DUMMYFUNCTION("""COMPUTED_VALUE"""),"Nalgad S/S")</f>
        <v>Nalgad S/S</v>
      </c>
      <c r="L38" s="2" t="str">
        <f>IFERROR(__xludf.DUMMYFUNCTION("""COMPUTED_VALUE"""),"Bafikot S/S")</f>
        <v>Bafikot S/S</v>
      </c>
    </row>
    <row r="39">
      <c r="A39" s="2">
        <f>IFERROR(__xludf.DUMMYFUNCTION("""COMPUTED_VALUE"""),38.0)</f>
        <v>38</v>
      </c>
      <c r="B39" s="2" t="str">
        <f>IFERROR(__xludf.DUMMYFUNCTION("""COMPUTED_VALUE"""),"Upper Balephi HPP- Pantang 132kV Transmission Line Project")</f>
        <v>Upper Balephi HPP- Pantang 132kV Transmission Line Project</v>
      </c>
      <c r="C39" s="2">
        <f>IFERROR(__xludf.DUMMYFUNCTION("""COMPUTED_VALUE"""),132.0)</f>
        <v>132</v>
      </c>
      <c r="D39" s="2">
        <f>IFERROR(__xludf.DUMMYFUNCTION("""COMPUTED_VALUE"""),11.0)</f>
        <v>11</v>
      </c>
      <c r="E39" s="2">
        <f>IFERROR(__xludf.DUMMYFUNCTION("""COMPUTED_VALUE"""),46.0)</f>
        <v>46</v>
      </c>
      <c r="F39" s="2">
        <f>IFERROR(__xludf.DUMMYFUNCTION("""COMPUTED_VALUE"""),639.0)</f>
        <v>639</v>
      </c>
      <c r="G39" s="3">
        <f>IFERROR(__xludf.DUMMYFUNCTION("""COMPUTED_VALUE"""),66138.0)</f>
        <v>66138</v>
      </c>
      <c r="H39" s="3">
        <f>IFERROR(__xludf.DUMMYFUNCTION("""COMPUTED_VALUE"""),67232.0)</f>
        <v>67232</v>
      </c>
      <c r="I39" s="2" t="str">
        <f>IFERROR(__xludf.DUMMYFUNCTION("""COMPUTED_VALUE"""),"Upper BAlephi Hydropower Ltd.")</f>
        <v>Upper BAlephi Hydropower Ltd.</v>
      </c>
      <c r="J39" s="2" t="str">
        <f>IFERROR(__xludf.DUMMYFUNCTION("""COMPUTED_VALUE"""),"Ratopul Kathmandu")</f>
        <v>Ratopul Kathmandu</v>
      </c>
      <c r="K39" s="2" t="str">
        <f>IFERROR(__xludf.DUMMYFUNCTION("""COMPUTED_VALUE"""),"Switchyard of Project")</f>
        <v>Switchyard of Project</v>
      </c>
      <c r="L39" s="2" t="str">
        <f>IFERROR(__xludf.DUMMYFUNCTION("""COMPUTED_VALUE"""),"NEA Pantang S/S")</f>
        <v>NEA Pantang S/S</v>
      </c>
    </row>
    <row r="40">
      <c r="A40" s="2">
        <f>IFERROR(__xludf.DUMMYFUNCTION("""COMPUTED_VALUE"""),39.0)</f>
        <v>39</v>
      </c>
      <c r="B40" s="2" t="str">
        <f>IFERROR(__xludf.DUMMYFUNCTION("""COMPUTED_VALUE"""),"Sankhuwa Khola- Sitalpati Transmission Line Project")</f>
        <v>Sankhuwa Khola- Sitalpati Transmission Line Project</v>
      </c>
      <c r="C40" s="2">
        <f>IFERROR(__xludf.DUMMYFUNCTION("""COMPUTED_VALUE"""),132.0)</f>
        <v>132</v>
      </c>
      <c r="D40" s="2">
        <f>IFERROR(__xludf.DUMMYFUNCTION("""COMPUTED_VALUE"""),4.0)</f>
        <v>4</v>
      </c>
      <c r="E40" s="2">
        <f>IFERROR(__xludf.DUMMYFUNCTION("""COMPUTED_VALUE"""),41.06)</f>
        <v>41.06</v>
      </c>
      <c r="F40" s="2">
        <f>IFERROR(__xludf.DUMMYFUNCTION("""COMPUTED_VALUE"""),636.0)</f>
        <v>636</v>
      </c>
      <c r="G40" s="3">
        <f>IFERROR(__xludf.DUMMYFUNCTION("""COMPUTED_VALUE"""),66139.0)</f>
        <v>66139</v>
      </c>
      <c r="H40" s="3">
        <f>IFERROR(__xludf.DUMMYFUNCTION("""COMPUTED_VALUE"""),67233.0)</f>
        <v>67233</v>
      </c>
      <c r="I40" s="2" t="str">
        <f>IFERROR(__xludf.DUMMYFUNCTION("""COMPUTED_VALUE"""),"Gurans Hydro Ltd.")</f>
        <v>Gurans Hydro Ltd.</v>
      </c>
      <c r="J40" s="2" t="str">
        <f>IFERROR(__xludf.DUMMYFUNCTION("""COMPUTED_VALUE"""),"Bhanimandal, Lalitpur-4; 01-5535015")</f>
        <v>Bhanimandal, Lalitpur-4; 01-5535015</v>
      </c>
      <c r="K40" s="2" t="str">
        <f>IFERROR(__xludf.DUMMYFUNCTION("""COMPUTED_VALUE"""),"Switchyard of Project")</f>
        <v>Switchyard of Project</v>
      </c>
      <c r="L40" s="2" t="str">
        <f>IFERROR(__xludf.DUMMYFUNCTION("""COMPUTED_VALUE"""),"NEA Sitalpati S/S")</f>
        <v>NEA Sitalpati S/S</v>
      </c>
    </row>
    <row r="41">
      <c r="A41" s="2">
        <f>IFERROR(__xludf.DUMMYFUNCTION("""COMPUTED_VALUE"""),40.0)</f>
        <v>40</v>
      </c>
      <c r="B41" s="2" t="str">
        <f>IFERROR(__xludf.DUMMYFUNCTION("""COMPUTED_VALUE"""),"Palun Kola small HPP 132 kV Transmission Line Project")</f>
        <v>Palun Kola small HPP 132 kV Transmission Line Project</v>
      </c>
      <c r="C41" s="2">
        <f>IFERROR(__xludf.DUMMYFUNCTION("""COMPUTED_VALUE"""),132.0)</f>
        <v>132</v>
      </c>
      <c r="D41" s="2">
        <f>IFERROR(__xludf.DUMMYFUNCTION("""COMPUTED_VALUE"""),3.0)</f>
        <v>3</v>
      </c>
      <c r="E41" s="2">
        <f>IFERROR(__xludf.DUMMYFUNCTION("""COMPUTED_VALUE"""),21.0)</f>
        <v>21</v>
      </c>
      <c r="F41" s="2">
        <f>IFERROR(__xludf.DUMMYFUNCTION("""COMPUTED_VALUE"""),642.0)</f>
        <v>642</v>
      </c>
      <c r="G41" s="2" t="str">
        <f>IFERROR(__xludf.DUMMYFUNCTION("""COMPUTED_VALUE"""),"2081-02-30")</f>
        <v>2081-02-30</v>
      </c>
      <c r="H41" s="3">
        <f>IFERROR(__xludf.DUMMYFUNCTION("""COMPUTED_VALUE"""),67266.0)</f>
        <v>67266</v>
      </c>
      <c r="I41" s="2" t="str">
        <f>IFERROR(__xludf.DUMMYFUNCTION("""COMPUTED_VALUE"""),"Palun Khola Hydropower Limited")</f>
        <v>Palun Khola Hydropower Limited</v>
      </c>
      <c r="J41" s="2" t="str">
        <f>IFERROR(__xludf.DUMMYFUNCTION("""COMPUTED_VALUE"""),"Lalitpur-10, Kupandole; 01-4527090")</f>
        <v>Lalitpur-10, Kupandole; 01-4527090</v>
      </c>
      <c r="K41" s="2" t="str">
        <f>IFERROR(__xludf.DUMMYFUNCTION("""COMPUTED_VALUE"""),"Switchyard of Project")</f>
        <v>Switchyard of Project</v>
      </c>
      <c r="L41" s="2" t="str">
        <f>IFERROR(__xludf.DUMMYFUNCTION("""COMPUTED_VALUE"""),"RPGCL,Mewa S/S")</f>
        <v>RPGCL,Mewa S/S</v>
      </c>
    </row>
    <row r="42">
      <c r="A42" s="2">
        <f>IFERROR(__xludf.DUMMYFUNCTION("""COMPUTED_VALUE"""),41.0)</f>
        <v>41</v>
      </c>
      <c r="B42" s="2" t="str">
        <f>IFERROR(__xludf.DUMMYFUNCTION("""COMPUTED_VALUE"""),"Kalika Kaligandaki - New Bharatpur Transmission Line Project")</f>
        <v>Kalika Kaligandaki - New Bharatpur Transmission Line Project</v>
      </c>
      <c r="C42" s="2">
        <f>IFERROR(__xludf.DUMMYFUNCTION("""COMPUTED_VALUE"""),132.0)</f>
        <v>132</v>
      </c>
      <c r="D42" s="2">
        <f>IFERROR(__xludf.DUMMYFUNCTION("""COMPUTED_VALUE"""),12.0)</f>
        <v>12</v>
      </c>
      <c r="E42" s="2">
        <f>IFERROR(__xludf.DUMMYFUNCTION("""COMPUTED_VALUE"""),38.16)</f>
        <v>38.16</v>
      </c>
      <c r="F42" s="2">
        <f>IFERROR(__xludf.DUMMYFUNCTION("""COMPUTED_VALUE"""),644.0)</f>
        <v>644</v>
      </c>
      <c r="G42" s="2" t="str">
        <f>IFERROR(__xludf.DUMMYFUNCTION("""COMPUTED_VALUE"""),"2081-02-31")</f>
        <v>2081-02-31</v>
      </c>
      <c r="H42" s="2" t="str">
        <f>IFERROR(__xludf.DUMMYFUNCTION("""COMPUTED_VALUE"""),"2083-02-30")</f>
        <v>2083-02-30</v>
      </c>
      <c r="I42" s="2" t="str">
        <f>IFERROR(__xludf.DUMMYFUNCTION("""COMPUTED_VALUE"""),"Maula Kalika Hydropower Company Ltd.")</f>
        <v>Maula Kalika Hydropower Company Ltd.</v>
      </c>
      <c r="J42" s="2" t="str">
        <f>IFERROR(__xludf.DUMMYFUNCTION("""COMPUTED_VALUE"""),"New Baneswor Kathmandu 01-5913897")</f>
        <v>New Baneswor Kathmandu 01-5913897</v>
      </c>
      <c r="K42" s="2" t="str">
        <f>IFERROR(__xludf.DUMMYFUNCTION("""COMPUTED_VALUE"""),"Switchyard of Project")</f>
        <v>Switchyard of Project</v>
      </c>
      <c r="L42" s="2" t="str">
        <f>IFERROR(__xludf.DUMMYFUNCTION("""COMPUTED_VALUE"""),"New Bharatpur S/S")</f>
        <v>New Bharatpur S/S</v>
      </c>
    </row>
    <row r="43">
      <c r="A43" s="2">
        <f>IFERROR(__xludf.DUMMYFUNCTION("""COMPUTED_VALUE"""),42.0)</f>
        <v>42</v>
      </c>
      <c r="B43" s="2" t="str">
        <f>IFERROR(__xludf.DUMMYFUNCTION("""COMPUTED_VALUE"""),"Upper Bramhayani - Pangtang 132 kV Transmission Line Project")</f>
        <v>Upper Bramhayani - Pangtang 132 kV Transmission Line Project</v>
      </c>
      <c r="C43" s="2">
        <f>IFERROR(__xludf.DUMMYFUNCTION("""COMPUTED_VALUE"""),132.0)</f>
        <v>132</v>
      </c>
      <c r="D43" s="2">
        <f>IFERROR(__xludf.DUMMYFUNCTION("""COMPUTED_VALUE"""),16.0)</f>
        <v>16</v>
      </c>
      <c r="E43" s="2">
        <f>IFERROR(__xludf.DUMMYFUNCTION("""COMPUTED_VALUE"""),51.67)</f>
        <v>51.67</v>
      </c>
      <c r="F43" s="2">
        <f>IFERROR(__xludf.DUMMYFUNCTION("""COMPUTED_VALUE"""),645.0)</f>
        <v>645</v>
      </c>
      <c r="G43" s="3">
        <f>IFERROR(__xludf.DUMMYFUNCTION("""COMPUTED_VALUE"""),66181.0)</f>
        <v>66181</v>
      </c>
      <c r="H43" s="3">
        <f>IFERROR(__xludf.DUMMYFUNCTION("""COMPUTED_VALUE"""),66910.0)</f>
        <v>66910</v>
      </c>
      <c r="I43" s="2" t="str">
        <f>IFERROR(__xludf.DUMMYFUNCTION("""COMPUTED_VALUE"""),"Intergreted Hydro Fund Nepal Pvt. Ltd.")</f>
        <v>Intergreted Hydro Fund Nepal Pvt. Ltd.</v>
      </c>
      <c r="J43" s="2" t="str">
        <f>IFERROR(__xludf.DUMMYFUNCTION("""COMPUTED_VALUE"""),"Kathmandu")</f>
        <v>Kathmandu</v>
      </c>
      <c r="K43" s="2" t="str">
        <f>IFERROR(__xludf.DUMMYFUNCTION("""COMPUTED_VALUE"""),"switchyard of Upper Bramhayani")</f>
        <v>switchyard of Upper Bramhayani</v>
      </c>
      <c r="L43" s="2" t="str">
        <f>IFERROR(__xludf.DUMMYFUNCTION("""COMPUTED_VALUE"""),"NEA Pangtang S/S")</f>
        <v>NEA Pangtang S/S</v>
      </c>
    </row>
    <row r="44">
      <c r="A44" s="2">
        <f>IFERROR(__xludf.DUMMYFUNCTION("""COMPUTED_VALUE"""),43.0)</f>
        <v>43</v>
      </c>
      <c r="B44" s="2" t="str">
        <f>IFERROR(__xludf.DUMMYFUNCTION("""COMPUTED_VALUE"""),"Bajhang Mathillo Seti HPP-Lamki Substation 132 kV Transmission Line Project")</f>
        <v>Bajhang Mathillo Seti HPP-Lamki Substation 132 kV Transmission Line Project</v>
      </c>
      <c r="C44" s="2">
        <f>IFERROR(__xludf.DUMMYFUNCTION("""COMPUTED_VALUE"""),132.0)</f>
        <v>132</v>
      </c>
      <c r="D44" s="2">
        <f>IFERROR(__xludf.DUMMYFUNCTION("""COMPUTED_VALUE"""),140.0)</f>
        <v>140</v>
      </c>
      <c r="E44" s="2">
        <f>IFERROR(__xludf.DUMMYFUNCTION("""COMPUTED_VALUE"""),216.0)</f>
        <v>216</v>
      </c>
      <c r="F44" s="2">
        <f>IFERROR(__xludf.DUMMYFUNCTION("""COMPUTED_VALUE"""),646.0)</f>
        <v>646</v>
      </c>
      <c r="G44" s="3">
        <f>IFERROR(__xludf.DUMMYFUNCTION("""COMPUTED_VALUE"""),66191.0)</f>
        <v>66191</v>
      </c>
      <c r="H44" s="3">
        <f>IFERROR(__xludf.DUMMYFUNCTION("""COMPUTED_VALUE"""),66920.0)</f>
        <v>66920</v>
      </c>
      <c r="I44" s="2" t="str">
        <f>IFERROR(__xludf.DUMMYFUNCTION("""COMPUTED_VALUE"""),"Samriddhi Energy Ltd.")</f>
        <v>Samriddhi Energy Ltd.</v>
      </c>
      <c r="J44" s="2" t="str">
        <f>IFERROR(__xludf.DUMMYFUNCTION("""COMPUTED_VALUE"""),"Anamnagar, Kathmandu")</f>
        <v>Anamnagar, Kathmandu</v>
      </c>
      <c r="K44" s="2" t="str">
        <f>IFERROR(__xludf.DUMMYFUNCTION("""COMPUTED_VALUE"""),"switchyard of the project")</f>
        <v>switchyard of the project</v>
      </c>
      <c r="L44" s="2" t="str">
        <f>IFERROR(__xludf.DUMMYFUNCTION("""COMPUTED_VALUE"""),"NEA lamki S/S")</f>
        <v>NEA lamki S/S</v>
      </c>
    </row>
    <row r="45">
      <c r="A45" s="2">
        <f>IFERROR(__xludf.DUMMYFUNCTION("""COMPUTED_VALUE"""),44.0)</f>
        <v>44</v>
      </c>
      <c r="B45" s="2" t="str">
        <f>IFERROR(__xludf.DUMMYFUNCTION("""COMPUTED_VALUE"""),"Nijgadh-Harnaiya 400kV Transmission Line Project")</f>
        <v>Nijgadh-Harnaiya 400kV Transmission Line Project</v>
      </c>
      <c r="C45" s="2">
        <f>IFERROR(__xludf.DUMMYFUNCTION("""COMPUTED_VALUE"""),400.0)</f>
        <v>400</v>
      </c>
      <c r="D45" s="2">
        <f>IFERROR(__xludf.DUMMYFUNCTION("""COMPUTED_VALUE"""),35.0)</f>
        <v>35</v>
      </c>
      <c r="E45" s="2">
        <f>IFERROR(__xludf.DUMMYFUNCTION("""COMPUTED_VALUE"""),1000.0)</f>
        <v>1000</v>
      </c>
      <c r="F45" s="2">
        <f>IFERROR(__xludf.DUMMYFUNCTION("""COMPUTED_VALUE"""),647.0)</f>
        <v>647</v>
      </c>
      <c r="G45" s="3">
        <f>IFERROR(__xludf.DUMMYFUNCTION("""COMPUTED_VALUE"""),66197.0)</f>
        <v>66197</v>
      </c>
      <c r="H45" s="3">
        <f>IFERROR(__xludf.DUMMYFUNCTION("""COMPUTED_VALUE"""),66926.0)</f>
        <v>66926</v>
      </c>
      <c r="I45" s="2" t="str">
        <f>IFERROR(__xludf.DUMMYFUNCTION("""COMPUTED_VALUE"""),"Nepal Electricity Authority")</f>
        <v>Nepal Electricity Authority</v>
      </c>
      <c r="J45" s="2" t="str">
        <f>IFERROR(__xludf.DUMMYFUNCTION("""COMPUTED_VALUE"""),"Durbar Marg, Kathmandu 01-4153007")</f>
        <v>Durbar Marg, Kathmandu 01-4153007</v>
      </c>
      <c r="K45" s="2" t="str">
        <f>IFERROR(__xludf.DUMMYFUNCTION("""COMPUTED_VALUE"""),"Nijgadh NEA Substation")</f>
        <v>Nijgadh NEA Substation</v>
      </c>
      <c r="L45" s="2" t="str">
        <f>IFERROR(__xludf.DUMMYFUNCTION("""COMPUTED_VALUE"""),"Harnaiya NEA Substation")</f>
        <v>Harnaiya NEA Substation</v>
      </c>
    </row>
    <row r="46">
      <c r="A46" s="2">
        <f>IFERROR(__xludf.DUMMYFUNCTION("""COMPUTED_VALUE"""),45.0)</f>
        <v>45</v>
      </c>
      <c r="B46" s="2" t="str">
        <f>IFERROR(__xludf.DUMMYFUNCTION("""COMPUTED_VALUE"""),"Aayu Malun to Tingla Transmission Line Project")</f>
        <v>Aayu Malun to Tingla Transmission Line Project</v>
      </c>
      <c r="C46" s="2">
        <f>IFERROR(__xludf.DUMMYFUNCTION("""COMPUTED_VALUE"""),132.0)</f>
        <v>132</v>
      </c>
      <c r="D46" s="2">
        <f>IFERROR(__xludf.DUMMYFUNCTION("""COMPUTED_VALUE"""),18.5)</f>
        <v>18.5</v>
      </c>
      <c r="E46" s="2">
        <f>IFERROR(__xludf.DUMMYFUNCTION("""COMPUTED_VALUE"""),21.0)</f>
        <v>21</v>
      </c>
      <c r="F46" s="2">
        <f>IFERROR(__xludf.DUMMYFUNCTION("""COMPUTED_VALUE"""),649.0)</f>
        <v>649</v>
      </c>
      <c r="G46" s="3">
        <f>IFERROR(__xludf.DUMMYFUNCTION("""COMPUTED_VALUE"""),66214.0)</f>
        <v>66214</v>
      </c>
      <c r="H46" s="3">
        <f>IFERROR(__xludf.DUMMYFUNCTION("""COMPUTED_VALUE"""),66943.0)</f>
        <v>66943</v>
      </c>
      <c r="I46" s="2" t="str">
        <f>IFERROR(__xludf.DUMMYFUNCTION("""COMPUTED_VALUE"""),"Puwa Khola-1 Hydropower Ltd")</f>
        <v>Puwa Khola-1 Hydropower Ltd</v>
      </c>
      <c r="J46" s="2" t="str">
        <f>IFERROR(__xludf.DUMMYFUNCTION("""COMPUTED_VALUE"""),"Anamnagar Kathmandu-29; 01-4102710")</f>
        <v>Anamnagar Kathmandu-29; 01-4102710</v>
      </c>
      <c r="K46" s="2" t="str">
        <f>IFERROR(__xludf.DUMMYFUNCTION("""COMPUTED_VALUE"""),"Switchyard of Project")</f>
        <v>Switchyard of Project</v>
      </c>
      <c r="L46" s="2" t="str">
        <f>IFERROR(__xludf.DUMMYFUNCTION("""COMPUTED_VALUE"""),"NEA Tingla S/S")</f>
        <v>NEA Tingla S/S</v>
      </c>
    </row>
    <row r="47">
      <c r="A47" s="2">
        <f>IFERROR(__xludf.DUMMYFUNCTION("""COMPUTED_VALUE"""),46.0)</f>
        <v>46</v>
      </c>
      <c r="B47" s="2" t="str">
        <f>IFERROR(__xludf.DUMMYFUNCTION("""COMPUTED_VALUE"""),"Mathilo Maiwa HPP- Dhungesanghu 132 kV Transmission Line Project")</f>
        <v>Mathilo Maiwa HPP- Dhungesanghu 132 kV Transmission Line Project</v>
      </c>
      <c r="C47" s="2">
        <f>IFERROR(__xludf.DUMMYFUNCTION("""COMPUTED_VALUE"""),132.0)</f>
        <v>132</v>
      </c>
      <c r="D47" s="2">
        <f>IFERROR(__xludf.DUMMYFUNCTION("""COMPUTED_VALUE"""),5.0)</f>
        <v>5</v>
      </c>
      <c r="E47" s="2">
        <f>IFERROR(__xludf.DUMMYFUNCTION("""COMPUTED_VALUE"""),17.85)</f>
        <v>17.85</v>
      </c>
      <c r="F47" s="2">
        <f>IFERROR(__xludf.DUMMYFUNCTION("""COMPUTED_VALUE"""),650.0)</f>
        <v>650</v>
      </c>
      <c r="G47" s="3">
        <f>IFERROR(__xludf.DUMMYFUNCTION("""COMPUTED_VALUE"""),66216.0)</f>
        <v>66216</v>
      </c>
      <c r="H47" s="3">
        <f>IFERROR(__xludf.DUMMYFUNCTION("""COMPUTED_VALUE"""),66945.0)</f>
        <v>66945</v>
      </c>
      <c r="I47" s="2" t="str">
        <f>IFERROR(__xludf.DUMMYFUNCTION("""COMPUTED_VALUE"""),"Kang Hydropower Company Ltd.")</f>
        <v>Kang Hydropower Company Ltd.</v>
      </c>
      <c r="J47" s="2" t="str">
        <f>IFERROR(__xludf.DUMMYFUNCTION("""COMPUTED_VALUE"""),"Koteshwor,Kathmandu")</f>
        <v>Koteshwor,Kathmandu</v>
      </c>
      <c r="K47" s="2" t="str">
        <f>IFERROR(__xludf.DUMMYFUNCTION("""COMPUTED_VALUE"""),"Respective Switchyard of the project")</f>
        <v>Respective Switchyard of the project</v>
      </c>
      <c r="L47" s="2" t="str">
        <f>IFERROR(__xludf.DUMMYFUNCTION("""COMPUTED_VALUE"""),"Dhungesanghu s/s")</f>
        <v>Dhungesanghu s/s</v>
      </c>
    </row>
    <row r="48">
      <c r="A48" s="2">
        <f>IFERROR(__xludf.DUMMYFUNCTION("""COMPUTED_VALUE"""),47.0)</f>
        <v>47</v>
      </c>
      <c r="B48" s="2" t="str">
        <f>IFERROR(__xludf.DUMMYFUNCTION("""COMPUTED_VALUE"""),"Ratnapark -Thapathali Underground 132 kV Transmission Line Project")</f>
        <v>Ratnapark -Thapathali Underground 132 kV Transmission Line Project</v>
      </c>
      <c r="C48" s="2">
        <f>IFERROR(__xludf.DUMMYFUNCTION("""COMPUTED_VALUE"""),132.0)</f>
        <v>132</v>
      </c>
      <c r="D48" s="2">
        <f>IFERROR(__xludf.DUMMYFUNCTION("""COMPUTED_VALUE"""),2.4)</f>
        <v>2.4</v>
      </c>
      <c r="E48" s="2">
        <f>IFERROR(__xludf.DUMMYFUNCTION("""COMPUTED_VALUE"""),340.0)</f>
        <v>340</v>
      </c>
      <c r="F48" s="2">
        <f>IFERROR(__xludf.DUMMYFUNCTION("""COMPUTED_VALUE"""),653.0)</f>
        <v>653</v>
      </c>
      <c r="G48" s="3">
        <f>IFERROR(__xludf.DUMMYFUNCTION("""COMPUTED_VALUE"""),66229.0)</f>
        <v>66229</v>
      </c>
      <c r="H48" s="3">
        <f>IFERROR(__xludf.DUMMYFUNCTION("""COMPUTED_VALUE"""),66958.0)</f>
        <v>66958</v>
      </c>
      <c r="I48" s="2" t="str">
        <f>IFERROR(__xludf.DUMMYFUNCTION("""COMPUTED_VALUE"""),"Nepal Electricity Authority")</f>
        <v>Nepal Electricity Authority</v>
      </c>
      <c r="J48" s="2" t="str">
        <f>IFERROR(__xludf.DUMMYFUNCTION("""COMPUTED_VALUE"""),"Darbarmarg,Kathmandu")</f>
        <v>Darbarmarg,Kathmandu</v>
      </c>
      <c r="K48" s="2" t="str">
        <f>IFERROR(__xludf.DUMMYFUNCTION("""COMPUTED_VALUE"""),"Ratnapark s/s")</f>
        <v>Ratnapark s/s</v>
      </c>
      <c r="L48" s="2" t="str">
        <f>IFERROR(__xludf.DUMMYFUNCTION("""COMPUTED_VALUE"""),"Thapathali s/s")</f>
        <v>Thapathali s/s</v>
      </c>
    </row>
    <row r="49">
      <c r="A49" s="2">
        <f>IFERROR(__xludf.DUMMYFUNCTION("""COMPUTED_VALUE"""),48.0)</f>
        <v>48</v>
      </c>
      <c r="B49" s="2" t="str">
        <f>IFERROR(__xludf.DUMMYFUNCTION("""COMPUTED_VALUE"""),"Super Ghalemdi -Dana 33 kV Transmission Line Project")</f>
        <v>Super Ghalemdi -Dana 33 kV Transmission Line Project</v>
      </c>
      <c r="C49" s="2">
        <f>IFERROR(__xludf.DUMMYFUNCTION("""COMPUTED_VALUE"""),33.0)</f>
        <v>33</v>
      </c>
      <c r="D49" s="2">
        <f>IFERROR(__xludf.DUMMYFUNCTION("""COMPUTED_VALUE"""),5.8)</f>
        <v>5.8</v>
      </c>
      <c r="E49" s="2">
        <f>IFERROR(__xludf.DUMMYFUNCTION("""COMPUTED_VALUE"""),9.14)</f>
        <v>9.14</v>
      </c>
      <c r="F49" s="2">
        <f>IFERROR(__xludf.DUMMYFUNCTION("""COMPUTED_VALUE"""),654.0)</f>
        <v>654</v>
      </c>
      <c r="G49" s="2" t="str">
        <f>IFERROR(__xludf.DUMMYFUNCTION("""COMPUTED_VALUE"""),"2081-04-32")</f>
        <v>2081-04-32</v>
      </c>
      <c r="H49" s="2" t="str">
        <f>IFERROR(__xludf.DUMMYFUNCTION("""COMPUTED_VALUE"""),"2083-04-31")</f>
        <v>2083-04-31</v>
      </c>
      <c r="I49" s="2" t="str">
        <f>IFERROR(__xludf.DUMMYFUNCTION("""COMPUTED_VALUE"""),"Super Ghalemdi Hydropower Pvt. Ltd.")</f>
        <v>Super Ghalemdi Hydropower Pvt. Ltd.</v>
      </c>
      <c r="J49" s="2" t="str">
        <f>IFERROR(__xludf.DUMMYFUNCTION("""COMPUTED_VALUE"""),"Tangal , Kathmandu")</f>
        <v>Tangal , Kathmandu</v>
      </c>
      <c r="K49" s="2" t="str">
        <f>IFERROR(__xludf.DUMMYFUNCTION("""COMPUTED_VALUE"""),"switchyard of the project")</f>
        <v>switchyard of the project</v>
      </c>
      <c r="L49" s="2" t="str">
        <f>IFERROR(__xludf.DUMMYFUNCTION("""COMPUTED_VALUE"""),"NEA Dana S/S")</f>
        <v>NEA Dana S/S</v>
      </c>
    </row>
    <row r="50">
      <c r="A50" s="2">
        <f>IFERROR(__xludf.DUMMYFUNCTION("""COMPUTED_VALUE"""),49.0)</f>
        <v>49</v>
      </c>
      <c r="B50" s="2" t="str">
        <f>IFERROR(__xludf.DUMMYFUNCTION("""COMPUTED_VALUE"""),"Tamor-Mewa HPP -Dhungesanghu 220kV Transmission Line Project")</f>
        <v>Tamor-Mewa HPP -Dhungesanghu 220kV Transmission Line Project</v>
      </c>
      <c r="C50" s="2">
        <f>IFERROR(__xludf.DUMMYFUNCTION("""COMPUTED_VALUE"""),220.0)</f>
        <v>220</v>
      </c>
      <c r="D50" s="2">
        <f>IFERROR(__xludf.DUMMYFUNCTION("""COMPUTED_VALUE"""),7.0)</f>
        <v>7</v>
      </c>
      <c r="E50" s="2">
        <f>IFERROR(__xludf.DUMMYFUNCTION("""COMPUTED_VALUE"""),128.0)</f>
        <v>128</v>
      </c>
      <c r="F50" s="2">
        <f>IFERROR(__xludf.DUMMYFUNCTION("""COMPUTED_VALUE"""),655.0)</f>
        <v>655</v>
      </c>
      <c r="G50" s="3">
        <f>IFERROR(__xludf.DUMMYFUNCTION("""COMPUTED_VALUE"""),66237.0)</f>
        <v>66237</v>
      </c>
      <c r="H50" s="3">
        <f>IFERROR(__xludf.DUMMYFUNCTION("""COMPUTED_VALUE"""),66966.0)</f>
        <v>66966</v>
      </c>
      <c r="I50" s="2" t="str">
        <f>IFERROR(__xludf.DUMMYFUNCTION("""COMPUTED_VALUE"""),"Spark Hydroelectric Company Ltd.")</f>
        <v>Spark Hydroelectric Company Ltd.</v>
      </c>
      <c r="J50" s="2" t="str">
        <f>IFERROR(__xludf.DUMMYFUNCTION("""COMPUTED_VALUE"""),"Gyaneswor,Kathmandu")</f>
        <v>Gyaneswor,Kathmandu</v>
      </c>
      <c r="K50" s="2" t="str">
        <f>IFERROR(__xludf.DUMMYFUNCTION("""COMPUTED_VALUE"""),"Respective Switchyard of the project")</f>
        <v>Respective Switchyard of the project</v>
      </c>
      <c r="L50" s="2" t="str">
        <f>IFERROR(__xludf.DUMMYFUNCTION("""COMPUTED_VALUE"""),"Dhungesanghu s/s")</f>
        <v>Dhungesanghu s/s</v>
      </c>
    </row>
    <row r="51">
      <c r="A51" s="2">
        <f>IFERROR(__xludf.DUMMYFUNCTION("""COMPUTED_VALUE"""),50.0)</f>
        <v>50</v>
      </c>
      <c r="B51" s="2" t="str">
        <f>IFERROR(__xludf.DUMMYFUNCTION("""COMPUTED_VALUE"""),"Myagdi corridor combined 132 kV Transmission Line Project")</f>
        <v>Myagdi corridor combined 132 kV Transmission Line Project</v>
      </c>
      <c r="C51" s="2">
        <f>IFERROR(__xludf.DUMMYFUNCTION("""COMPUTED_VALUE"""),132.0)</f>
        <v>132</v>
      </c>
      <c r="D51" s="2">
        <f>IFERROR(__xludf.DUMMYFUNCTION("""COMPUTED_VALUE"""),16.48)</f>
        <v>16.48</v>
      </c>
      <c r="E51" s="2">
        <f>IFERROR(__xludf.DUMMYFUNCTION("""COMPUTED_VALUE"""),164.75)</f>
        <v>164.75</v>
      </c>
      <c r="F51" s="2">
        <f>IFERROR(__xludf.DUMMYFUNCTION("""COMPUTED_VALUE"""),660.0)</f>
        <v>660</v>
      </c>
      <c r="G51" s="3">
        <f>IFERROR(__xludf.DUMMYFUNCTION("""COMPUTED_VALUE"""),66268.0)</f>
        <v>66268</v>
      </c>
      <c r="H51" s="3">
        <f>IFERROR(__xludf.DUMMYFUNCTION("""COMPUTED_VALUE"""),66997.0)</f>
        <v>66997</v>
      </c>
      <c r="I51" s="2" t="str">
        <f>IFERROR(__xludf.DUMMYFUNCTION("""COMPUTED_VALUE"""),"Hydro Village Ltd.")</f>
        <v>Hydro Village Ltd.</v>
      </c>
      <c r="J51" s="2" t="str">
        <f>IFERROR(__xludf.DUMMYFUNCTION("""COMPUTED_VALUE"""),"Krishna galli,lalitpur")</f>
        <v>Krishna galli,lalitpur</v>
      </c>
      <c r="K51" s="2" t="str">
        <f>IFERROR(__xludf.DUMMYFUNCTION("""COMPUTED_VALUE"""),"Switchyard of Myagdi Khola HPP")</f>
        <v>Switchyard of Myagdi Khola HPP</v>
      </c>
      <c r="L51" s="2" t="str">
        <f>IFERROR(__xludf.DUMMYFUNCTION("""COMPUTED_VALUE"""),"Dandakhet s/s")</f>
        <v>Dandakhet s/s</v>
      </c>
    </row>
    <row r="52">
      <c r="A52" s="2">
        <f>IFERROR(__xludf.DUMMYFUNCTION("""COMPUTED_VALUE"""),51.0)</f>
        <v>51</v>
      </c>
      <c r="B52" s="2" t="str">
        <f>IFERROR(__xludf.DUMMYFUNCTION("""COMPUTED_VALUE"""),"Induwa Khola PROR HPP 132 kV Transmission Line Project")</f>
        <v>Induwa Khola PROR HPP 132 kV Transmission Line Project</v>
      </c>
      <c r="C52" s="2">
        <f>IFERROR(__xludf.DUMMYFUNCTION("""COMPUTED_VALUE"""),132.0)</f>
        <v>132</v>
      </c>
      <c r="D52" s="2">
        <f>IFERROR(__xludf.DUMMYFUNCTION("""COMPUTED_VALUE"""),9.0)</f>
        <v>9</v>
      </c>
      <c r="E52" s="2">
        <f>IFERROR(__xludf.DUMMYFUNCTION("""COMPUTED_VALUE"""),24.921)</f>
        <v>24.921</v>
      </c>
      <c r="F52" s="2">
        <f>IFERROR(__xludf.DUMMYFUNCTION("""COMPUTED_VALUE"""),662.0)</f>
        <v>662</v>
      </c>
      <c r="G52" s="3">
        <f>IFERROR(__xludf.DUMMYFUNCTION("""COMPUTED_VALUE"""),66268.0)</f>
        <v>66268</v>
      </c>
      <c r="H52" s="3">
        <f>IFERROR(__xludf.DUMMYFUNCTION("""COMPUTED_VALUE"""),66997.0)</f>
        <v>66997</v>
      </c>
      <c r="I52" s="2" t="str">
        <f>IFERROR(__xludf.DUMMYFUNCTION("""COMPUTED_VALUE"""),"Vision Tesla Power Pvt.Ltd.")</f>
        <v>Vision Tesla Power Pvt.Ltd.</v>
      </c>
      <c r="J52" s="2" t="str">
        <f>IFERROR(__xludf.DUMMYFUNCTION("""COMPUTED_VALUE"""),"Chabahil ,Kathamndu")</f>
        <v>Chabahil ,Kathamndu</v>
      </c>
      <c r="K52" s="2" t="str">
        <f>IFERROR(__xludf.DUMMYFUNCTION("""COMPUTED_VALUE"""),"Respective Switchyard of the project")</f>
        <v>Respective Switchyard of the project</v>
      </c>
      <c r="L52" s="2" t="str">
        <f>IFERROR(__xludf.DUMMYFUNCTION("""COMPUTED_VALUE"""),"Isuwa Khola Cascade PROR HPP")</f>
        <v>Isuwa Khola Cascade PROR HPP</v>
      </c>
    </row>
    <row r="53">
      <c r="A53" s="2">
        <f>IFERROR(__xludf.DUMMYFUNCTION("""COMPUTED_VALUE"""),52.0)</f>
        <v>52</v>
      </c>
      <c r="B53" s="2" t="str">
        <f>IFERROR(__xludf.DUMMYFUNCTION("""COMPUTED_VALUE"""),"Lamahi-Napalgunj 220kV Transmission Line Project")</f>
        <v>Lamahi-Napalgunj 220kV Transmission Line Project</v>
      </c>
      <c r="C53" s="2">
        <f>IFERROR(__xludf.DUMMYFUNCTION("""COMPUTED_VALUE"""),220.0)</f>
        <v>220</v>
      </c>
      <c r="D53" s="2">
        <f>IFERROR(__xludf.DUMMYFUNCTION("""COMPUTED_VALUE"""),83.0)</f>
        <v>83</v>
      </c>
      <c r="E53" s="2">
        <f>IFERROR(__xludf.DUMMYFUNCTION("""COMPUTED_VALUE"""),2000.0)</f>
        <v>2000</v>
      </c>
      <c r="F53" s="2">
        <f>IFERROR(__xludf.DUMMYFUNCTION("""COMPUTED_VALUE"""),663.0)</f>
        <v>663</v>
      </c>
      <c r="G53" s="3">
        <f>IFERROR(__xludf.DUMMYFUNCTION("""COMPUTED_VALUE"""),66268.0)</f>
        <v>66268</v>
      </c>
      <c r="H53" s="3">
        <f>IFERROR(__xludf.DUMMYFUNCTION("""COMPUTED_VALUE"""),66997.0)</f>
        <v>66997</v>
      </c>
      <c r="I53" s="2" t="str">
        <f>IFERROR(__xludf.DUMMYFUNCTION("""COMPUTED_VALUE"""),"NEA")</f>
        <v>NEA</v>
      </c>
      <c r="J53" s="2" t="str">
        <f>IFERROR(__xludf.DUMMYFUNCTION("""COMPUTED_VALUE"""),"Durbarmarg,Kathmandu")</f>
        <v>Durbarmarg,Kathmandu</v>
      </c>
      <c r="K53" s="2" t="str">
        <f>IFERROR(__xludf.DUMMYFUNCTION("""COMPUTED_VALUE"""),"New Lamahi s/s")</f>
        <v>New Lamahi s/s</v>
      </c>
      <c r="L53" s="2" t="str">
        <f>IFERROR(__xludf.DUMMYFUNCTION("""COMPUTED_VALUE"""),"Bhawaniyapur s/s")</f>
        <v>Bhawaniyapur s/s</v>
      </c>
    </row>
    <row r="54">
      <c r="A54" s="2">
        <f>IFERROR(__xludf.DUMMYFUNCTION("""COMPUTED_VALUE"""),53.0)</f>
        <v>53</v>
      </c>
      <c r="B54" s="2" t="str">
        <f>IFERROR(__xludf.DUMMYFUNCTION("""COMPUTED_VALUE"""),"Thaligaad Sana Khola HPP 33kV Transmission Line Project")</f>
        <v>Thaligaad Sana Khola HPP 33kV Transmission Line Project</v>
      </c>
      <c r="C54" s="2">
        <f>IFERROR(__xludf.DUMMYFUNCTION("""COMPUTED_VALUE"""),33.0)</f>
        <v>33</v>
      </c>
      <c r="D54" s="2">
        <f>IFERROR(__xludf.DUMMYFUNCTION("""COMPUTED_VALUE"""),0.5)</f>
        <v>0.5</v>
      </c>
      <c r="E54" s="2">
        <f>IFERROR(__xludf.DUMMYFUNCTION("""COMPUTED_VALUE"""),2.0)</f>
        <v>2</v>
      </c>
      <c r="F54" s="2">
        <f>IFERROR(__xludf.DUMMYFUNCTION("""COMPUTED_VALUE"""),664.0)</f>
        <v>664</v>
      </c>
      <c r="G54" s="3">
        <f>IFERROR(__xludf.DUMMYFUNCTION("""COMPUTED_VALUE"""),66269.0)</f>
        <v>66269</v>
      </c>
      <c r="H54" s="3">
        <f>IFERROR(__xludf.DUMMYFUNCTION("""COMPUTED_VALUE"""),66998.0)</f>
        <v>66998</v>
      </c>
      <c r="I54" s="2" t="str">
        <f>IFERROR(__xludf.DUMMYFUNCTION("""COMPUTED_VALUE"""),"Trikal Power Company Pvt.Ltd")</f>
        <v>Trikal Power Company Pvt.Ltd</v>
      </c>
      <c r="J54" s="2" t="str">
        <f>IFERROR(__xludf.DUMMYFUNCTION("""COMPUTED_VALUE"""),"Shankhamul,Kathmandu")</f>
        <v>Shankhamul,Kathmandu</v>
      </c>
      <c r="K54" s="2" t="str">
        <f>IFERROR(__xludf.DUMMYFUNCTION("""COMPUTED_VALUE"""),"Respective Switchyard of the project")</f>
        <v>Respective Switchyard of the project</v>
      </c>
      <c r="L54" s="2" t="str">
        <f>IFERROR(__xludf.DUMMYFUNCTION("""COMPUTED_VALUE"""),"Dhap s/s")</f>
        <v>Dhap s/s</v>
      </c>
    </row>
    <row r="55">
      <c r="A55" s="2">
        <f>IFERROR(__xludf.DUMMYFUNCTION("""COMPUTED_VALUE"""),54.0)</f>
        <v>54</v>
      </c>
      <c r="B55" s="2" t="str">
        <f>IFERROR(__xludf.DUMMYFUNCTION("""COMPUTED_VALUE"""),"Seti River-6 HPP 400kV Transmission Line Project")</f>
        <v>Seti River-6 HPP 400kV Transmission Line Project</v>
      </c>
      <c r="C55" s="2">
        <f>IFERROR(__xludf.DUMMYFUNCTION("""COMPUTED_VALUE"""),400.0)</f>
        <v>400</v>
      </c>
      <c r="D55" s="2">
        <f>IFERROR(__xludf.DUMMYFUNCTION("""COMPUTED_VALUE"""),29.37)</f>
        <v>29.37</v>
      </c>
      <c r="E55" s="2">
        <f>IFERROR(__xludf.DUMMYFUNCTION("""COMPUTED_VALUE"""),420.0)</f>
        <v>420</v>
      </c>
      <c r="F55" s="2">
        <f>IFERROR(__xludf.DUMMYFUNCTION("""COMPUTED_VALUE"""),665.0)</f>
        <v>665</v>
      </c>
      <c r="G55" s="3">
        <f>IFERROR(__xludf.DUMMYFUNCTION("""COMPUTED_VALUE"""),66269.0)</f>
        <v>66269</v>
      </c>
      <c r="H55" s="3">
        <f>IFERROR(__xludf.DUMMYFUNCTION("""COMPUTED_VALUE"""),66998.0)</f>
        <v>66998</v>
      </c>
      <c r="I55" s="2" t="str">
        <f>IFERROR(__xludf.DUMMYFUNCTION("""COMPUTED_VALUE"""),"NHPC Limited")</f>
        <v>NHPC Limited</v>
      </c>
      <c r="J55" s="2" t="str">
        <f>IFERROR(__xludf.DUMMYFUNCTION("""COMPUTED_VALUE"""),"Faridaabad,India")</f>
        <v>Faridaabad,India</v>
      </c>
      <c r="K55" s="2" t="str">
        <f>IFERROR(__xludf.DUMMYFUNCTION("""COMPUTED_VALUE"""),"Respective Switchyard of the project")</f>
        <v>Respective Switchyard of the project</v>
      </c>
      <c r="L55" s="2" t="str">
        <f>IFERROR(__xludf.DUMMYFUNCTION("""COMPUTED_VALUE"""),"Betan pooling Station")</f>
        <v>Betan pooling Station</v>
      </c>
    </row>
    <row r="56">
      <c r="A56" s="2">
        <f>IFERROR(__xludf.DUMMYFUNCTION("""COMPUTED_VALUE"""),55.0)</f>
        <v>55</v>
      </c>
      <c r="B56" s="2" t="str">
        <f>IFERROR(__xludf.DUMMYFUNCTION("""COMPUTED_VALUE"""),"Damak-Keroun- Biratnagar 132 kV Transmission line Project")</f>
        <v>Damak-Keroun- Biratnagar 132 kV Transmission line Project</v>
      </c>
      <c r="C56" s="2">
        <f>IFERROR(__xludf.DUMMYFUNCTION("""COMPUTED_VALUE"""),132.0)</f>
        <v>132</v>
      </c>
      <c r="D56" s="2">
        <f>IFERROR(__xludf.DUMMYFUNCTION("""COMPUTED_VALUE"""),72.0)</f>
        <v>72</v>
      </c>
      <c r="E56" s="2">
        <f>IFERROR(__xludf.DUMMYFUNCTION("""COMPUTED_VALUE"""),200.0)</f>
        <v>200</v>
      </c>
      <c r="F56" s="2">
        <f>IFERROR(__xludf.DUMMYFUNCTION("""COMPUTED_VALUE"""),667.0)</f>
        <v>667</v>
      </c>
      <c r="G56" s="3">
        <f>IFERROR(__xludf.DUMMYFUNCTION("""COMPUTED_VALUE"""),66280.0)</f>
        <v>66280</v>
      </c>
      <c r="H56" s="3">
        <f>IFERROR(__xludf.DUMMYFUNCTION("""COMPUTED_VALUE"""),67009.0)</f>
        <v>67009</v>
      </c>
      <c r="I56" s="2" t="str">
        <f>IFERROR(__xludf.DUMMYFUNCTION("""COMPUTED_VALUE"""),"Nepal Electricity Authority")</f>
        <v>Nepal Electricity Authority</v>
      </c>
      <c r="J56" s="2" t="str">
        <f>IFERROR(__xludf.DUMMYFUNCTION("""COMPUTED_VALUE"""),"Darbarmarg ,Kathmandu")</f>
        <v>Darbarmarg ,Kathmandu</v>
      </c>
      <c r="K56" s="2" t="str">
        <f>IFERROR(__xludf.DUMMYFUNCTION("""COMPUTED_VALUE"""),"Padjungi s/s")</f>
        <v>Padjungi s/s</v>
      </c>
      <c r="L56" s="2" t="str">
        <f>IFERROR(__xludf.DUMMYFUNCTION("""COMPUTED_VALUE"""),"Biratnagar s/s")</f>
        <v>Biratnagar s/s</v>
      </c>
    </row>
    <row r="57">
      <c r="A57" s="2">
        <f>IFERROR(__xludf.DUMMYFUNCTION("""COMPUTED_VALUE"""),56.0)</f>
        <v>56</v>
      </c>
      <c r="B57" s="2" t="str">
        <f>IFERROR(__xludf.DUMMYFUNCTION("""COMPUTED_VALUE"""),"Marsyangdi Nadi PROR - Markichowk 220 kV Transmission Line Project")</f>
        <v>Marsyangdi Nadi PROR - Markichowk 220 kV Transmission Line Project</v>
      </c>
      <c r="C57" s="2">
        <f>IFERROR(__xludf.DUMMYFUNCTION("""COMPUTED_VALUE"""),220.0)</f>
        <v>220</v>
      </c>
      <c r="D57" s="2">
        <f>IFERROR(__xludf.DUMMYFUNCTION("""COMPUTED_VALUE"""),11.6)</f>
        <v>11.6</v>
      </c>
      <c r="E57" s="2">
        <f>IFERROR(__xludf.DUMMYFUNCTION("""COMPUTED_VALUE"""),90.0)</f>
        <v>90</v>
      </c>
      <c r="F57" s="2">
        <f>IFERROR(__xludf.DUMMYFUNCTION("""COMPUTED_VALUE"""),668.0)</f>
        <v>668</v>
      </c>
      <c r="G57" s="3">
        <f>IFERROR(__xludf.DUMMYFUNCTION("""COMPUTED_VALUE"""),66294.0)</f>
        <v>66294</v>
      </c>
      <c r="H57" s="3">
        <f>IFERROR(__xludf.DUMMYFUNCTION("""COMPUTED_VALUE"""),67023.0)</f>
        <v>67023</v>
      </c>
      <c r="I57" s="2" t="str">
        <f>IFERROR(__xludf.DUMMYFUNCTION("""COMPUTED_VALUE"""),"M.A Power Pvt. Ltd.")</f>
        <v>M.A Power Pvt. Ltd.</v>
      </c>
      <c r="J57" s="2" t="str">
        <f>IFERROR(__xludf.DUMMYFUNCTION("""COMPUTED_VALUE"""),"Baluwatar , Kathmandu")</f>
        <v>Baluwatar , Kathmandu</v>
      </c>
      <c r="K57" s="2" t="str">
        <f>IFERROR(__xludf.DUMMYFUNCTION("""COMPUTED_VALUE"""),"switchyard of the project")</f>
        <v>switchyard of the project</v>
      </c>
      <c r="L57" s="2" t="str">
        <f>IFERROR(__xludf.DUMMYFUNCTION("""COMPUTED_VALUE"""),"NEA Markichowk S/S")</f>
        <v>NEA Markichowk S/S</v>
      </c>
    </row>
    <row r="58">
      <c r="A58" s="2">
        <f>IFERROR(__xludf.DUMMYFUNCTION("""COMPUTED_VALUE"""),57.0)</f>
        <v>57</v>
      </c>
      <c r="B58" s="2" t="str">
        <f>IFERROR(__xludf.DUMMYFUNCTION("""COMPUTED_VALUE"""),"LapcheTamakoshi HPP 132 kV Transmission Line Project")</f>
        <v>LapcheTamakoshi HPP 132 kV Transmission Line Project</v>
      </c>
      <c r="C58" s="2">
        <f>IFERROR(__xludf.DUMMYFUNCTION("""COMPUTED_VALUE"""),132.0)</f>
        <v>132</v>
      </c>
      <c r="D58" s="2">
        <f>IFERROR(__xludf.DUMMYFUNCTION("""COMPUTED_VALUE"""),50.75)</f>
        <v>50.75</v>
      </c>
      <c r="E58" s="2">
        <f>IFERROR(__xludf.DUMMYFUNCTION("""COMPUTED_VALUE"""),42.0)</f>
        <v>42</v>
      </c>
      <c r="F58" s="2">
        <f>IFERROR(__xludf.DUMMYFUNCTION("""COMPUTED_VALUE"""),669.0)</f>
        <v>669</v>
      </c>
      <c r="G58" s="3">
        <f>IFERROR(__xludf.DUMMYFUNCTION("""COMPUTED_VALUE"""),66294.0)</f>
        <v>66294</v>
      </c>
      <c r="H58" s="3">
        <f>IFERROR(__xludf.DUMMYFUNCTION("""COMPUTED_VALUE"""),67023.0)</f>
        <v>67023</v>
      </c>
      <c r="I58" s="2" t="str">
        <f>IFERROR(__xludf.DUMMYFUNCTION("""COMPUTED_VALUE"""),"Dynamic Hydro Energy Pvt.Ltd.")</f>
        <v>Dynamic Hydro Energy Pvt.Ltd.</v>
      </c>
      <c r="J58" s="2" t="str">
        <f>IFERROR(__xludf.DUMMYFUNCTION("""COMPUTED_VALUE"""),"Gyaneshwor,Kathmandu")</f>
        <v>Gyaneshwor,Kathmandu</v>
      </c>
      <c r="K58" s="2" t="str">
        <f>IFERROR(__xludf.DUMMYFUNCTION("""COMPUTED_VALUE"""),"Respective Switchyard of the project")</f>
        <v>Respective Switchyard of the project</v>
      </c>
      <c r="L58" s="2" t="str">
        <f>IFERROR(__xludf.DUMMYFUNCTION("""COMPUTED_VALUE"""),"Barabise s/s")</f>
        <v>Barabise s/s</v>
      </c>
    </row>
    <row r="59">
      <c r="A59" s="2">
        <f>IFERROR(__xludf.DUMMYFUNCTION("""COMPUTED_VALUE"""),58.0)</f>
        <v>58</v>
      </c>
      <c r="B59" s="2" t="str">
        <f>IFERROR(__xludf.DUMMYFUNCTION("""COMPUTED_VALUE"""),"Dudhkoshi 6 HEP Transmission Line Project")</f>
        <v>Dudhkoshi 6 HEP Transmission Line Project</v>
      </c>
      <c r="C59" s="2">
        <f>IFERROR(__xludf.DUMMYFUNCTION("""COMPUTED_VALUE"""),220.0)</f>
        <v>220</v>
      </c>
      <c r="D59" s="2">
        <f>IFERROR(__xludf.DUMMYFUNCTION("""COMPUTED_VALUE"""),67.0)</f>
        <v>67</v>
      </c>
      <c r="E59" s="2">
        <f>IFERROR(__xludf.DUMMYFUNCTION("""COMPUTED_VALUE"""),171.0)</f>
        <v>171</v>
      </c>
      <c r="F59" s="2">
        <f>IFERROR(__xludf.DUMMYFUNCTION("""COMPUTED_VALUE"""),671.0)</f>
        <v>671</v>
      </c>
      <c r="G59" s="3">
        <f>IFERROR(__xludf.DUMMYFUNCTION("""COMPUTED_VALUE"""),66297.0)</f>
        <v>66297</v>
      </c>
      <c r="H59" s="3">
        <f>IFERROR(__xludf.DUMMYFUNCTION("""COMPUTED_VALUE"""),67026.0)</f>
        <v>67026</v>
      </c>
      <c r="I59" s="2" t="str">
        <f>IFERROR(__xludf.DUMMYFUNCTION("""COMPUTED_VALUE"""),"Sagarmatha Hydropower Pvt. Ltd.")</f>
        <v>Sagarmatha Hydropower Pvt. Ltd.</v>
      </c>
      <c r="J59" s="2" t="str">
        <f>IFERROR(__xludf.DUMMYFUNCTION("""COMPUTED_VALUE"""),"Heritage Plaza, Kamaladi-28 KTM, 01-442672")</f>
        <v>Heritage Plaza, Kamaladi-28 KTM, 01-442672</v>
      </c>
      <c r="K59" s="2" t="str">
        <f>IFERROR(__xludf.DUMMYFUNCTION("""COMPUTED_VALUE"""),"Switchyard of Project")</f>
        <v>Switchyard of Project</v>
      </c>
      <c r="L59" s="2" t="str">
        <f>IFERROR(__xludf.DUMMYFUNCTION("""COMPUTED_VALUE"""),"NEA New Khimti S/S")</f>
        <v>NEA New Khimti S/S</v>
      </c>
    </row>
    <row r="60">
      <c r="A60" s="2">
        <f>IFERROR(__xludf.DUMMYFUNCTION("""COMPUTED_VALUE"""),59.0)</f>
        <v>59</v>
      </c>
      <c r="B60" s="2" t="str">
        <f>IFERROR(__xludf.DUMMYFUNCTION("""COMPUTED_VALUE"""),"Super Ankhukhola HPP 132kv Transmission Line Project")</f>
        <v>Super Ankhukhola HPP 132kv Transmission Line Project</v>
      </c>
      <c r="C60" s="2">
        <f>IFERROR(__xludf.DUMMYFUNCTION("""COMPUTED_VALUE"""),132.0)</f>
        <v>132</v>
      </c>
      <c r="D60" s="2">
        <f>IFERROR(__xludf.DUMMYFUNCTION("""COMPUTED_VALUE"""),4.09)</f>
        <v>4.09</v>
      </c>
      <c r="E60" s="2">
        <f>IFERROR(__xludf.DUMMYFUNCTION("""COMPUTED_VALUE"""),25.4)</f>
        <v>25.4</v>
      </c>
      <c r="F60" s="2">
        <f>IFERROR(__xludf.DUMMYFUNCTION("""COMPUTED_VALUE"""),673.0)</f>
        <v>673</v>
      </c>
      <c r="G60" s="3">
        <f>IFERROR(__xludf.DUMMYFUNCTION("""COMPUTED_VALUE"""),66325.0)</f>
        <v>66325</v>
      </c>
      <c r="H60" s="3">
        <f>IFERROR(__xludf.DUMMYFUNCTION("""COMPUTED_VALUE"""),67054.0)</f>
        <v>67054</v>
      </c>
      <c r="I60" s="2" t="str">
        <f>IFERROR(__xludf.DUMMYFUNCTION("""COMPUTED_VALUE"""),"Gorakshya Hydropower Limited")</f>
        <v>Gorakshya Hydropower Limited</v>
      </c>
      <c r="J60" s="2" t="str">
        <f>IFERROR(__xludf.DUMMYFUNCTION("""COMPUTED_VALUE"""),"Pinglasthan,Kathmandu")</f>
        <v>Pinglasthan,Kathmandu</v>
      </c>
      <c r="K60" s="2" t="str">
        <f>IFERROR(__xludf.DUMMYFUNCTION("""COMPUTED_VALUE"""),"Respective Switchyard of the project")</f>
        <v>Respective Switchyard of the project</v>
      </c>
      <c r="L60" s="2" t="str">
        <f>IFERROR(__xludf.DUMMYFUNCTION("""COMPUTED_VALUE"""),"LILO switchyard of ILEP(Tatopani)")</f>
        <v>LILO switchyard of ILEP(Tatopani)</v>
      </c>
    </row>
    <row r="61">
      <c r="A61" s="2">
        <f>IFERROR(__xludf.DUMMYFUNCTION("""COMPUTED_VALUE"""),60.0)</f>
        <v>60</v>
      </c>
      <c r="B61" s="2" t="str">
        <f>IFERROR(__xludf.DUMMYFUNCTION("""COMPUTED_VALUE"""),"Upper Trishuli-1 Cascade HPP Transmission Line Project")</f>
        <v>Upper Trishuli-1 Cascade HPP Transmission Line Project</v>
      </c>
      <c r="C61" s="2">
        <f>IFERROR(__xludf.DUMMYFUNCTION("""COMPUTED_VALUE"""),132.0)</f>
        <v>132</v>
      </c>
      <c r="D61" s="2">
        <f>IFERROR(__xludf.DUMMYFUNCTION("""COMPUTED_VALUE"""),8.0)</f>
        <v>8</v>
      </c>
      <c r="E61" s="2">
        <f>IFERROR(__xludf.DUMMYFUNCTION("""COMPUTED_VALUE"""),24.6)</f>
        <v>24.6</v>
      </c>
      <c r="F61" s="2">
        <f>IFERROR(__xludf.DUMMYFUNCTION("""COMPUTED_VALUE"""),674.0)</f>
        <v>674</v>
      </c>
      <c r="G61" s="3">
        <f>IFERROR(__xludf.DUMMYFUNCTION("""COMPUTED_VALUE"""),66336.0)</f>
        <v>66336</v>
      </c>
      <c r="H61" s="3">
        <f>IFERROR(__xludf.DUMMYFUNCTION("""COMPUTED_VALUE"""),67065.0)</f>
        <v>67065</v>
      </c>
      <c r="I61" s="2" t="str">
        <f>IFERROR(__xludf.DUMMYFUNCTION("""COMPUTED_VALUE"""),"Trishuli Cascade Power Pvt.Ltd")</f>
        <v>Trishuli Cascade Power Pvt.Ltd</v>
      </c>
      <c r="J61" s="2" t="str">
        <f>IFERROR(__xludf.DUMMYFUNCTION("""COMPUTED_VALUE"""),"Naxal Colony Marg,Kathmandu")</f>
        <v>Naxal Colony Marg,Kathmandu</v>
      </c>
      <c r="K61" s="2" t="str">
        <f>IFERROR(__xludf.DUMMYFUNCTION("""COMPUTED_VALUE"""),"Respective Switchyard of the project")</f>
        <v>Respective Switchyard of the project</v>
      </c>
      <c r="L61" s="2" t="str">
        <f>IFERROR(__xludf.DUMMYFUNCTION("""COMPUTED_VALUE"""),"Trishuli 3B Hub Station")</f>
        <v>Trishuli 3B Hub Station</v>
      </c>
    </row>
    <row r="62">
      <c r="A62" s="2">
        <f>IFERROR(__xludf.DUMMYFUNCTION("""COMPUTED_VALUE"""),61.0)</f>
        <v>61</v>
      </c>
      <c r="B62" s="2" t="str">
        <f>IFERROR(__xludf.DUMMYFUNCTION("""COMPUTED_VALUE"""),"Malta Bagmati HPP 33 KV Transmission Line Project")</f>
        <v>Malta Bagmati HPP 33 KV Transmission Line Project</v>
      </c>
      <c r="C62" s="2">
        <f>IFERROR(__xludf.DUMMYFUNCTION("""COMPUTED_VALUE"""),33.0)</f>
        <v>33</v>
      </c>
      <c r="D62" s="2">
        <f>IFERROR(__xludf.DUMMYFUNCTION("""COMPUTED_VALUE"""),5.0)</f>
        <v>5</v>
      </c>
      <c r="E62" s="2">
        <f>IFERROR(__xludf.DUMMYFUNCTION("""COMPUTED_VALUE"""),6.5)</f>
        <v>6.5</v>
      </c>
      <c r="F62" s="2">
        <f>IFERROR(__xludf.DUMMYFUNCTION("""COMPUTED_VALUE"""),675.0)</f>
        <v>675</v>
      </c>
      <c r="G62" s="3">
        <f>IFERROR(__xludf.DUMMYFUNCTION("""COMPUTED_VALUE"""),66336.0)</f>
        <v>66336</v>
      </c>
      <c r="H62" s="3">
        <f>IFERROR(__xludf.DUMMYFUNCTION("""COMPUTED_VALUE"""),67065.0)</f>
        <v>67065</v>
      </c>
      <c r="I62" s="2" t="str">
        <f>IFERROR(__xludf.DUMMYFUNCTION("""COMPUTED_VALUE"""),"Bagmati Water Energy Pvt. Ltd.")</f>
        <v>Bagmati Water Energy Pvt. Ltd.</v>
      </c>
      <c r="J62" s="2" t="str">
        <f>IFERROR(__xludf.DUMMYFUNCTION("""COMPUTED_VALUE"""),"KMC-16, Banasthali, Kathmandu")</f>
        <v>KMC-16, Banasthali, Kathmandu</v>
      </c>
      <c r="K62" s="2" t="str">
        <f>IFERROR(__xludf.DUMMYFUNCTION("""COMPUTED_VALUE"""),"SY of Project")</f>
        <v>SY of Project</v>
      </c>
      <c r="L62" s="2" t="str">
        <f>IFERROR(__xludf.DUMMYFUNCTION("""COMPUTED_VALUE"""),"Malta S/S")</f>
        <v>Malta S/S</v>
      </c>
    </row>
    <row r="63">
      <c r="A63" s="2">
        <f>IFERROR(__xludf.DUMMYFUNCTION("""COMPUTED_VALUE"""),62.0)</f>
        <v>62</v>
      </c>
      <c r="B63" s="2" t="str">
        <f>IFERROR(__xludf.DUMMYFUNCTION("""COMPUTED_VALUE"""),"Lower Arun HPP 400 kV Transmission Line Project")</f>
        <v>Lower Arun HPP 400 kV Transmission Line Project</v>
      </c>
      <c r="C63" s="2">
        <f>IFERROR(__xludf.DUMMYFUNCTION("""COMPUTED_VALUE"""),400.0)</f>
        <v>400</v>
      </c>
      <c r="D63" s="2">
        <f>IFERROR(__xludf.DUMMYFUNCTION("""COMPUTED_VALUE"""),1.002)</f>
        <v>1.002</v>
      </c>
      <c r="E63" s="2">
        <f>IFERROR(__xludf.DUMMYFUNCTION("""COMPUTED_VALUE"""),669.0)</f>
        <v>669</v>
      </c>
      <c r="F63" s="2">
        <f>IFERROR(__xludf.DUMMYFUNCTION("""COMPUTED_VALUE"""),676.0)</f>
        <v>676</v>
      </c>
      <c r="G63" s="3">
        <f>IFERROR(__xludf.DUMMYFUNCTION("""COMPUTED_VALUE"""),66342.0)</f>
        <v>66342</v>
      </c>
      <c r="H63" s="3">
        <f>IFERROR(__xludf.DUMMYFUNCTION("""COMPUTED_VALUE"""),67071.0)</f>
        <v>67071</v>
      </c>
      <c r="I63" s="2" t="str">
        <f>IFERROR(__xludf.DUMMYFUNCTION("""COMPUTED_VALUE"""),"SJVN Lower Arun Power Development Company Pvt. Ltd.")</f>
        <v>SJVN Lower Arun Power Development Company Pvt. Ltd.</v>
      </c>
      <c r="J63" s="2" t="str">
        <f>IFERROR(__xludf.DUMMYFUNCTION("""COMPUTED_VALUE"""),"Khadbari, Sankhuwasabha")</f>
        <v>Khadbari, Sankhuwasabha</v>
      </c>
      <c r="K63" s="2" t="str">
        <f>IFERROR(__xludf.DUMMYFUNCTION("""COMPUTED_VALUE"""),"switchyard of the project")</f>
        <v>switchyard of the project</v>
      </c>
      <c r="L63" s="2" t="str">
        <f>IFERROR(__xludf.DUMMYFUNCTION("""COMPUTED_VALUE"""),"Arun-3 LILO")</f>
        <v>Arun-3 LILO</v>
      </c>
    </row>
    <row r="64">
      <c r="A64" s="2">
        <f>IFERROR(__xludf.DUMMYFUNCTION("""COMPUTED_VALUE"""),63.0)</f>
        <v>63</v>
      </c>
      <c r="B64" s="2" t="str">
        <f>IFERROR(__xludf.DUMMYFUNCTION("""COMPUTED_VALUE"""),"Pikhuwa Pashupati Hydropower Project")</f>
        <v>Pikhuwa Pashupati Hydropower Project</v>
      </c>
      <c r="C64" s="2">
        <f>IFERROR(__xludf.DUMMYFUNCTION("""COMPUTED_VALUE"""),33.0)</f>
        <v>33</v>
      </c>
      <c r="D64" s="2">
        <f>IFERROR(__xludf.DUMMYFUNCTION("""COMPUTED_VALUE"""),30.0)</f>
        <v>30</v>
      </c>
      <c r="E64" s="2">
        <f>IFERROR(__xludf.DUMMYFUNCTION("""COMPUTED_VALUE"""),4.1)</f>
        <v>4.1</v>
      </c>
      <c r="F64" s="2">
        <f>IFERROR(__xludf.DUMMYFUNCTION("""COMPUTED_VALUE"""),677.0)</f>
        <v>677</v>
      </c>
      <c r="G64" s="3">
        <f>IFERROR(__xludf.DUMMYFUNCTION("""COMPUTED_VALUE"""),66356.0)</f>
        <v>66356</v>
      </c>
      <c r="H64" s="3">
        <f>IFERROR(__xludf.DUMMYFUNCTION("""COMPUTED_VALUE"""),67085.0)</f>
        <v>67085</v>
      </c>
      <c r="I64" s="2" t="str">
        <f>IFERROR(__xludf.DUMMYFUNCTION("""COMPUTED_VALUE"""),"Sumnima Hydropower Company Private Limited")</f>
        <v>Sumnima Hydropower Company Private Limited</v>
      </c>
      <c r="J64" s="2" t="str">
        <f>IFERROR(__xludf.DUMMYFUNCTION("""COMPUTED_VALUE"""),"Hulak Yol Marga,kathmandu")</f>
        <v>Hulak Yol Marga,kathmandu</v>
      </c>
      <c r="K64" s="2" t="str">
        <f>IFERROR(__xludf.DUMMYFUNCTION("""COMPUTED_VALUE"""),"Respective Switchyard of the project")</f>
        <v>Respective Switchyard of the project</v>
      </c>
      <c r="L64" s="2" t="str">
        <f>IFERROR(__xludf.DUMMYFUNCTION("""COMPUTED_VALUE"""),"Tumlingtar s/s")</f>
        <v>Tumlingtar s/s</v>
      </c>
    </row>
    <row r="65">
      <c r="A65" s="2">
        <f>IFERROR(__xludf.DUMMYFUNCTION("""COMPUTED_VALUE"""),64.0)</f>
        <v>64</v>
      </c>
      <c r="B65" s="2" t="str">
        <f>IFERROR(__xludf.DUMMYFUNCTION("""COMPUTED_VALUE"""),"Upper Dudhkhola HPP 132 kV Transmission Line Project")</f>
        <v>Upper Dudhkhola HPP 132 kV Transmission Line Project</v>
      </c>
      <c r="C65" s="2">
        <f>IFERROR(__xludf.DUMMYFUNCTION("""COMPUTED_VALUE"""),132.0)</f>
        <v>132</v>
      </c>
      <c r="D65" s="2">
        <f>IFERROR(__xludf.DUMMYFUNCTION("""COMPUTED_VALUE"""),4.0)</f>
        <v>4</v>
      </c>
      <c r="E65" s="2">
        <f>IFERROR(__xludf.DUMMYFUNCTION("""COMPUTED_VALUE"""),30.4)</f>
        <v>30.4</v>
      </c>
      <c r="F65" s="2">
        <f>IFERROR(__xludf.DUMMYFUNCTION("""COMPUTED_VALUE"""),679.0)</f>
        <v>679</v>
      </c>
      <c r="G65" s="3">
        <f>IFERROR(__xludf.DUMMYFUNCTION("""COMPUTED_VALUE"""),66356.0)</f>
        <v>66356</v>
      </c>
      <c r="H65" s="3">
        <f>IFERROR(__xludf.DUMMYFUNCTION("""COMPUTED_VALUE"""),67085.0)</f>
        <v>67085</v>
      </c>
      <c r="I65" s="2" t="str">
        <f>IFERROR(__xludf.DUMMYFUNCTION("""COMPUTED_VALUE"""),"Carbonless Energy Fund Pvt.Ltd")</f>
        <v>Carbonless Energy Fund Pvt.Ltd</v>
      </c>
      <c r="J65" s="2" t="str">
        <f>IFERROR(__xludf.DUMMYFUNCTION("""COMPUTED_VALUE"""),"Kalimati,Kathmandu")</f>
        <v>Kalimati,Kathmandu</v>
      </c>
      <c r="K65" s="2" t="str">
        <f>IFERROR(__xludf.DUMMYFUNCTION("""COMPUTED_VALUE"""),"Respective Switchyard of the project")</f>
        <v>Respective Switchyard of the project</v>
      </c>
      <c r="L65" s="2" t="str">
        <f>IFERROR(__xludf.DUMMYFUNCTION("""COMPUTED_VALUE"""),"Switchyard of Dudhkhola HPP")</f>
        <v>Switchyard of Dudhkhola HPP</v>
      </c>
    </row>
    <row r="66">
      <c r="A66" s="2">
        <f>IFERROR(__xludf.DUMMYFUNCTION("""COMPUTED_VALUE"""),65.0)</f>
        <v>65</v>
      </c>
      <c r="B66" s="2" t="str">
        <f>IFERROR(__xludf.DUMMYFUNCTION("""COMPUTED_VALUE"""),"Madhya Tadi Khola 33 KV TL Project")</f>
        <v>Madhya Tadi Khola 33 KV TL Project</v>
      </c>
      <c r="C66" s="2">
        <f>IFERROR(__xludf.DUMMYFUNCTION("""COMPUTED_VALUE"""),33.0)</f>
        <v>33</v>
      </c>
      <c r="D66" s="2">
        <f>IFERROR(__xludf.DUMMYFUNCTION("""COMPUTED_VALUE"""),7.0)</f>
        <v>7</v>
      </c>
      <c r="E66" s="2">
        <f>IFERROR(__xludf.DUMMYFUNCTION("""COMPUTED_VALUE"""),5.5)</f>
        <v>5.5</v>
      </c>
      <c r="F66" s="2">
        <f>IFERROR(__xludf.DUMMYFUNCTION("""COMPUTED_VALUE"""),678.0)</f>
        <v>678</v>
      </c>
      <c r="G66" s="3">
        <f>IFERROR(__xludf.DUMMYFUNCTION("""COMPUTED_VALUE"""),66357.0)</f>
        <v>66357</v>
      </c>
      <c r="H66" s="3">
        <f>IFERROR(__xludf.DUMMYFUNCTION("""COMPUTED_VALUE"""),67086.0)</f>
        <v>67086</v>
      </c>
      <c r="I66" s="2" t="str">
        <f>IFERROR(__xludf.DUMMYFUNCTION("""COMPUTED_VALUE"""),"Dupcheswor Mahadev Hydro Co. Pvt. Ltd.")</f>
        <v>Dupcheswor Mahadev Hydro Co. Pvt. Ltd.</v>
      </c>
      <c r="J66" s="2" t="str">
        <f>IFERROR(__xludf.DUMMYFUNCTION("""COMPUTED_VALUE"""),"K.M.C-3, Maharajgunj, Kathmandu")</f>
        <v>K.M.C-3, Maharajgunj, Kathmandu</v>
      </c>
      <c r="K66" s="2" t="str">
        <f>IFERROR(__xludf.DUMMYFUNCTION("""COMPUTED_VALUE"""),"Switchyard")</f>
        <v>Switchyard</v>
      </c>
      <c r="L66" s="2" t="str">
        <f>IFERROR(__xludf.DUMMYFUNCTION("""COMPUTED_VALUE"""),"Samundratar S/S")</f>
        <v>Samundratar S/S</v>
      </c>
    </row>
    <row r="67">
      <c r="A67" s="2">
        <f>IFERROR(__xludf.DUMMYFUNCTION("""COMPUTED_VALUE"""),66.0)</f>
        <v>66</v>
      </c>
      <c r="B67" s="2" t="str">
        <f>IFERROR(__xludf.DUMMYFUNCTION("""COMPUTED_VALUE"""),"Gandak-Nepalgunj 220kV Transmission Line Project (Gandak_Parasi section)")</f>
        <v>Gandak-Nepalgunj 220kV Transmission Line Project (Gandak_Parasi section)</v>
      </c>
      <c r="C67" s="2">
        <f>IFERROR(__xludf.DUMMYFUNCTION("""COMPUTED_VALUE"""),220.0)</f>
        <v>220</v>
      </c>
      <c r="D67" s="2">
        <f>IFERROR(__xludf.DUMMYFUNCTION("""COMPUTED_VALUE"""),12.0)</f>
        <v>12</v>
      </c>
      <c r="E67" s="2">
        <f>IFERROR(__xludf.DUMMYFUNCTION("""COMPUTED_VALUE"""),1000.0)</f>
        <v>1000</v>
      </c>
      <c r="F67" s="2">
        <f>IFERROR(__xludf.DUMMYFUNCTION("""COMPUTED_VALUE"""),680.0)</f>
        <v>680</v>
      </c>
      <c r="G67" s="3">
        <f>IFERROR(__xludf.DUMMYFUNCTION("""COMPUTED_VALUE"""),66362.0)</f>
        <v>66362</v>
      </c>
      <c r="H67" s="3">
        <f>IFERROR(__xludf.DUMMYFUNCTION("""COMPUTED_VALUE"""),67091.0)</f>
        <v>67091</v>
      </c>
      <c r="I67" s="2" t="str">
        <f>IFERROR(__xludf.DUMMYFUNCTION("""COMPUTED_VALUE"""),"NEA")</f>
        <v>NEA</v>
      </c>
      <c r="J67" s="2" t="str">
        <f>IFERROR(__xludf.DUMMYFUNCTION("""COMPUTED_VALUE"""),"Darbarmarg,Kathmandu")</f>
        <v>Darbarmarg,Kathmandu</v>
      </c>
      <c r="K67" s="2" t="str">
        <f>IFERROR(__xludf.DUMMYFUNCTION("""COMPUTED_VALUE"""),"Gandak s/s")</f>
        <v>Gandak s/s</v>
      </c>
      <c r="L67" s="2" t="str">
        <f>IFERROR(__xludf.DUMMYFUNCTION("""COMPUTED_VALUE"""),"Parasi s/s")</f>
        <v>Parasi s/s</v>
      </c>
    </row>
    <row r="68">
      <c r="A68" s="2">
        <f>IFERROR(__xludf.DUMMYFUNCTION("""COMPUTED_VALUE"""),67.0)</f>
        <v>67</v>
      </c>
      <c r="B68" s="2" t="str">
        <f>IFERROR(__xludf.DUMMYFUNCTION("""COMPUTED_VALUE"""),"Dukuchhap Sunakothi 132kV Transmission Line Project")</f>
        <v>Dukuchhap Sunakothi 132kV Transmission Line Project</v>
      </c>
      <c r="C68" s="2">
        <f>IFERROR(__xludf.DUMMYFUNCTION("""COMPUTED_VALUE"""),132.0)</f>
        <v>132</v>
      </c>
      <c r="D68" s="2">
        <f>IFERROR(__xludf.DUMMYFUNCTION("""COMPUTED_VALUE"""),7.2)</f>
        <v>7.2</v>
      </c>
      <c r="E68" s="2">
        <f>IFERROR(__xludf.DUMMYFUNCTION("""COMPUTED_VALUE"""),242.0)</f>
        <v>242</v>
      </c>
      <c r="F68" s="2">
        <f>IFERROR(__xludf.DUMMYFUNCTION("""COMPUTED_VALUE"""),681.0)</f>
        <v>681</v>
      </c>
      <c r="G68" s="3">
        <f>IFERROR(__xludf.DUMMYFUNCTION("""COMPUTED_VALUE"""),66362.0)</f>
        <v>66362</v>
      </c>
      <c r="H68" s="3">
        <f>IFERROR(__xludf.DUMMYFUNCTION("""COMPUTED_VALUE"""),67091.0)</f>
        <v>67091</v>
      </c>
      <c r="I68" s="2" t="str">
        <f>IFERROR(__xludf.DUMMYFUNCTION("""COMPUTED_VALUE"""),"NEA")</f>
        <v>NEA</v>
      </c>
      <c r="J68" s="2" t="str">
        <f>IFERROR(__xludf.DUMMYFUNCTION("""COMPUTED_VALUE"""),"Darbarmarg, Kathmandu")</f>
        <v>Darbarmarg, Kathmandu</v>
      </c>
      <c r="K68" s="2" t="str">
        <f>IFERROR(__xludf.DUMMYFUNCTION("""COMPUTED_VALUE"""),"Tika Bhairab LILO")</f>
        <v>Tika Bhairab LILO</v>
      </c>
      <c r="L68" s="2" t="str">
        <f>IFERROR(__xludf.DUMMYFUNCTION("""COMPUTED_VALUE"""),"Sunakothi s/s")</f>
        <v>Sunakothi s/s</v>
      </c>
    </row>
    <row r="69">
      <c r="A69" s="2">
        <f>IFERROR(__xludf.DUMMYFUNCTION("""COMPUTED_VALUE"""),68.0)</f>
        <v>68</v>
      </c>
      <c r="B69" s="2" t="str">
        <f>IFERROR(__xludf.DUMMYFUNCTION("""COMPUTED_VALUE"""),"Gandak-Nepalgunj 220kV Transmission Line Project (Shivapur-Kalakate-Lamahi 
secti")</f>
        <v>Gandak-Nepalgunj 220kV Transmission Line Project (Shivapur-Kalakate-Lamahi 
secti</v>
      </c>
      <c r="C69" s="2">
        <f>IFERROR(__xludf.DUMMYFUNCTION("""COMPUTED_VALUE"""),220.0)</f>
        <v>220</v>
      </c>
      <c r="D69" s="2">
        <f>IFERROR(__xludf.DUMMYFUNCTION("""COMPUTED_VALUE"""),70.0)</f>
        <v>70</v>
      </c>
      <c r="E69" s="2">
        <f>IFERROR(__xludf.DUMMYFUNCTION("""COMPUTED_VALUE"""),1000.0)</f>
        <v>1000</v>
      </c>
      <c r="F69" s="2">
        <f>IFERROR(__xludf.DUMMYFUNCTION("""COMPUTED_VALUE"""),682.0)</f>
        <v>682</v>
      </c>
      <c r="G69" s="3">
        <f>IFERROR(__xludf.DUMMYFUNCTION("""COMPUTED_VALUE"""),66363.0)</f>
        <v>66363</v>
      </c>
      <c r="H69" s="3">
        <f>IFERROR(__xludf.DUMMYFUNCTION("""COMPUTED_VALUE"""),67092.0)</f>
        <v>67092</v>
      </c>
      <c r="I69" s="2" t="str">
        <f>IFERROR(__xludf.DUMMYFUNCTION("""COMPUTED_VALUE"""),"NEA")</f>
        <v>NEA</v>
      </c>
      <c r="J69" s="2" t="str">
        <f>IFERROR(__xludf.DUMMYFUNCTION("""COMPUTED_VALUE"""),"Durbarmarg, Kathmandu")</f>
        <v>Durbarmarg, Kathmandu</v>
      </c>
      <c r="K69" s="2" t="str">
        <f>IFERROR(__xludf.DUMMYFUNCTION("""COMPUTED_VALUE"""),"Shivapur LILO")</f>
        <v>Shivapur LILO</v>
      </c>
      <c r="L69" s="2" t="str">
        <f>IFERROR(__xludf.DUMMYFUNCTION("""COMPUTED_VALUE"""),"New Lamahi s/s")</f>
        <v>New Lamahi s/s</v>
      </c>
    </row>
    <row r="70">
      <c r="A70" s="2">
        <f>IFERROR(__xludf.DUMMYFUNCTION("""COMPUTED_VALUE"""),69.0)</f>
        <v>69</v>
      </c>
      <c r="B70" s="2" t="str">
        <f>IFERROR(__xludf.DUMMYFUNCTION("""COMPUTED_VALUE"""),"Sanfebagar-Basti-Betan 132kV Transmission Line Project")</f>
        <v>Sanfebagar-Basti-Betan 132kV Transmission Line Project</v>
      </c>
      <c r="C70" s="2">
        <f>IFERROR(__xludf.DUMMYFUNCTION("""COMPUTED_VALUE"""),132.0)</f>
        <v>132</v>
      </c>
      <c r="D70" s="2">
        <f>IFERROR(__xludf.DUMMYFUNCTION("""COMPUTED_VALUE"""),48.0)</f>
        <v>48</v>
      </c>
      <c r="E70" s="2">
        <f>IFERROR(__xludf.DUMMYFUNCTION("""COMPUTED_VALUE"""),85.0)</f>
        <v>85</v>
      </c>
      <c r="F70" s="2">
        <f>IFERROR(__xludf.DUMMYFUNCTION("""COMPUTED_VALUE"""),683.0)</f>
        <v>683</v>
      </c>
      <c r="G70" s="3">
        <f>IFERROR(__xludf.DUMMYFUNCTION("""COMPUTED_VALUE"""),66365.0)</f>
        <v>66365</v>
      </c>
      <c r="H70" s="3">
        <f>IFERROR(__xludf.DUMMYFUNCTION("""COMPUTED_VALUE"""),67094.0)</f>
        <v>67094</v>
      </c>
      <c r="I70" s="2" t="str">
        <f>IFERROR(__xludf.DUMMYFUNCTION("""COMPUTED_VALUE"""),"RPGCL")</f>
        <v>RPGCL</v>
      </c>
      <c r="J70" s="2" t="str">
        <f>IFERROR(__xludf.DUMMYFUNCTION("""COMPUTED_VALUE"""),"Budhanagar,Kathmandu")</f>
        <v>Budhanagar,Kathmandu</v>
      </c>
      <c r="K70" s="2" t="str">
        <f>IFERROR(__xludf.DUMMYFUNCTION("""COMPUTED_VALUE"""),"Switchyard of Budhiganga")</f>
        <v>Switchyard of Budhiganga</v>
      </c>
      <c r="L70" s="2" t="str">
        <f>IFERROR(__xludf.DUMMYFUNCTION("""COMPUTED_VALUE"""),"400kV Betan s/s")</f>
        <v>400kV Betan s/s</v>
      </c>
    </row>
    <row r="71">
      <c r="A71" s="2">
        <f>IFERROR(__xludf.DUMMYFUNCTION("""COMPUTED_VALUE"""),70.0)</f>
        <v>70</v>
      </c>
      <c r="B71" s="2" t="str">
        <f>IFERROR(__xludf.DUMMYFUNCTION("""COMPUTED_VALUE"""),"Suti Khola HPP 132 kV Transmission Line Project")</f>
        <v>Suti Khola HPP 132 kV Transmission Line Project</v>
      </c>
      <c r="C71" s="2">
        <f>IFERROR(__xludf.DUMMYFUNCTION("""COMPUTED_VALUE"""),132.0)</f>
        <v>132</v>
      </c>
      <c r="D71" s="2">
        <f>IFERROR(__xludf.DUMMYFUNCTION("""COMPUTED_VALUE"""),10.6)</f>
        <v>10.6</v>
      </c>
      <c r="E71" s="2">
        <f>IFERROR(__xludf.DUMMYFUNCTION("""COMPUTED_VALUE"""),21.0)</f>
        <v>21</v>
      </c>
      <c r="F71" s="2">
        <f>IFERROR(__xludf.DUMMYFUNCTION("""COMPUTED_VALUE"""),684.0)</f>
        <v>684</v>
      </c>
      <c r="G71" s="3">
        <f>IFERROR(__xludf.DUMMYFUNCTION("""COMPUTED_VALUE"""),66386.0)</f>
        <v>66386</v>
      </c>
      <c r="H71" s="3">
        <f>IFERROR(__xludf.DUMMYFUNCTION("""COMPUTED_VALUE"""),67115.0)</f>
        <v>67115</v>
      </c>
      <c r="I71" s="2" t="str">
        <f>IFERROR(__xludf.DUMMYFUNCTION("""COMPUTED_VALUE"""),"Nilganga Hydropower Company Pvt.Ltd")</f>
        <v>Nilganga Hydropower Company Pvt.Ltd</v>
      </c>
      <c r="J71" s="2" t="str">
        <f>IFERROR(__xludf.DUMMYFUNCTION("""COMPUTED_VALUE"""),"Tinkune,Kathmandu")</f>
        <v>Tinkune,Kathmandu</v>
      </c>
      <c r="K71" s="2" t="str">
        <f>IFERROR(__xludf.DUMMYFUNCTION("""COMPUTED_VALUE"""),"Respective Switchyard of the project")</f>
        <v>Respective Switchyard of the project</v>
      </c>
      <c r="L71" s="2" t="str">
        <f>IFERROR(__xludf.DUMMYFUNCTION("""COMPUTED_VALUE"""),"Dharapani s/s")</f>
        <v>Dharapani s/s</v>
      </c>
    </row>
    <row r="72">
      <c r="A72" s="2">
        <f>IFERROR(__xludf.DUMMYFUNCTION("""COMPUTED_VALUE"""),71.0)</f>
        <v>71</v>
      </c>
      <c r="B72" s="2" t="str">
        <f>IFERROR(__xludf.DUMMYFUNCTION("""COMPUTED_VALUE"""),"Bhotekoshi-5 HPP Transmission Line Project")</f>
        <v>Bhotekoshi-5 HPP Transmission Line Project</v>
      </c>
      <c r="C72" s="2">
        <f>IFERROR(__xludf.DUMMYFUNCTION("""COMPUTED_VALUE"""),220.0)</f>
        <v>220</v>
      </c>
      <c r="D72" s="2">
        <f>IFERROR(__xludf.DUMMYFUNCTION("""COMPUTED_VALUE"""),5.5)</f>
        <v>5.5</v>
      </c>
      <c r="E72" s="2">
        <f>IFERROR(__xludf.DUMMYFUNCTION("""COMPUTED_VALUE"""),46.0)</f>
        <v>46</v>
      </c>
      <c r="F72" s="2">
        <f>IFERROR(__xludf.DUMMYFUNCTION("""COMPUTED_VALUE"""),685.0)</f>
        <v>685</v>
      </c>
      <c r="G72" s="3">
        <f>IFERROR(__xludf.DUMMYFUNCTION("""COMPUTED_VALUE"""),66392.0)</f>
        <v>66392</v>
      </c>
      <c r="H72" s="3">
        <f>IFERROR(__xludf.DUMMYFUNCTION("""COMPUTED_VALUE"""),67121.0)</f>
        <v>67121</v>
      </c>
      <c r="I72" s="2" t="str">
        <f>IFERROR(__xludf.DUMMYFUNCTION("""COMPUTED_VALUE"""),"Kalika Energy Limited")</f>
        <v>Kalika Energy Limited</v>
      </c>
      <c r="J72" s="2" t="str">
        <f>IFERROR(__xludf.DUMMYFUNCTION("""COMPUTED_VALUE"""),"Baluwatar,Kathmandu")</f>
        <v>Baluwatar,Kathmandu</v>
      </c>
      <c r="K72" s="2" t="str">
        <f>IFERROR(__xludf.DUMMYFUNCTION("""COMPUTED_VALUE"""),"Respective Switchyard of the project")</f>
        <v>Respective Switchyard of the project</v>
      </c>
      <c r="L72" s="2" t="str">
        <f>IFERROR(__xludf.DUMMYFUNCTION("""COMPUTED_VALUE"""),"Barabishe s/s")</f>
        <v>Barabishe s/s</v>
      </c>
    </row>
    <row r="73">
      <c r="A73" s="2">
        <f>IFERROR(__xludf.DUMMYFUNCTION("""COMPUTED_VALUE"""),72.0)</f>
        <v>72</v>
      </c>
      <c r="B73" s="2" t="str">
        <f>IFERROR(__xludf.DUMMYFUNCTION("""COMPUTED_VALUE"""),"Machha Khola 132 KV Transmision line Project")</f>
        <v>Machha Khola 132 KV Transmision line Project</v>
      </c>
      <c r="C73" s="2">
        <f>IFERROR(__xludf.DUMMYFUNCTION("""COMPUTED_VALUE"""),132.0)</f>
        <v>132</v>
      </c>
      <c r="D73" s="2">
        <f>IFERROR(__xludf.DUMMYFUNCTION("""COMPUTED_VALUE"""),23.9)</f>
        <v>23.9</v>
      </c>
      <c r="E73" s="2">
        <f>IFERROR(__xludf.DUMMYFUNCTION("""COMPUTED_VALUE"""),16.0)</f>
        <v>16</v>
      </c>
      <c r="F73" s="2">
        <f>IFERROR(__xludf.DUMMYFUNCTION("""COMPUTED_VALUE"""),687.0)</f>
        <v>687</v>
      </c>
      <c r="G73" s="3">
        <f>IFERROR(__xludf.DUMMYFUNCTION("""COMPUTED_VALUE"""),66399.0)</f>
        <v>66399</v>
      </c>
      <c r="H73" s="3">
        <f>IFERROR(__xludf.DUMMYFUNCTION("""COMPUTED_VALUE"""),67128.0)</f>
        <v>67128</v>
      </c>
      <c r="I73" s="2" t="str">
        <f>IFERROR(__xludf.DUMMYFUNCTION("""COMPUTED_VALUE"""),"Water Energy Development Pvt.Ltd")</f>
        <v>Water Energy Development Pvt.Ltd</v>
      </c>
      <c r="J73" s="2" t="str">
        <f>IFERROR(__xludf.DUMMYFUNCTION("""COMPUTED_VALUE"""),"Baluwatar,Kathmandu")</f>
        <v>Baluwatar,Kathmandu</v>
      </c>
      <c r="K73" s="2" t="str">
        <f>IFERROR(__xludf.DUMMYFUNCTION("""COMPUTED_VALUE"""),"Respective Switchyard of the project")</f>
        <v>Respective Switchyard of the project</v>
      </c>
      <c r="L73" s="2" t="str">
        <f>IFERROR(__xludf.DUMMYFUNCTION("""COMPUTED_VALUE"""),"Borang s/s")</f>
        <v>Borang s/s</v>
      </c>
    </row>
    <row r="74">
      <c r="A74" s="2">
        <f>IFERROR(__xludf.DUMMYFUNCTION("""COMPUTED_VALUE"""),73.0)</f>
        <v>73</v>
      </c>
      <c r="B74" s="2" t="str">
        <f>IFERROR(__xludf.DUMMYFUNCTION("""COMPUTED_VALUE"""),"Jagdulla PROR HPP 132 kV Transmission Line Project")</f>
        <v>Jagdulla PROR HPP 132 kV Transmission Line Project</v>
      </c>
      <c r="C74" s="2">
        <f>IFERROR(__xludf.DUMMYFUNCTION("""COMPUTED_VALUE"""),132.0)</f>
        <v>132</v>
      </c>
      <c r="D74" s="2">
        <f>IFERROR(__xludf.DUMMYFUNCTION("""COMPUTED_VALUE"""),50.0)</f>
        <v>50</v>
      </c>
      <c r="E74" s="2">
        <f>IFERROR(__xludf.DUMMYFUNCTION("""COMPUTED_VALUE"""),106.0)</f>
        <v>106</v>
      </c>
      <c r="F74" s="2">
        <f>IFERROR(__xludf.DUMMYFUNCTION("""COMPUTED_VALUE"""),688.0)</f>
        <v>688</v>
      </c>
      <c r="G74" s="3">
        <f>IFERROR(__xludf.DUMMYFUNCTION("""COMPUTED_VALUE"""),66406.0)</f>
        <v>66406</v>
      </c>
      <c r="H74" s="3">
        <f>IFERROR(__xludf.DUMMYFUNCTION("""COMPUTED_VALUE"""),67135.0)</f>
        <v>67135</v>
      </c>
      <c r="I74" s="2" t="str">
        <f>IFERROR(__xludf.DUMMYFUNCTION("""COMPUTED_VALUE"""),"Jagdulla Hydropower Company Limited")</f>
        <v>Jagdulla Hydropower Company Limited</v>
      </c>
      <c r="J74" s="2" t="str">
        <f>IFERROR(__xludf.DUMMYFUNCTION("""COMPUTED_VALUE"""),"New Baneswor")</f>
        <v>New Baneswor</v>
      </c>
      <c r="K74" s="2" t="str">
        <f>IFERROR(__xludf.DUMMYFUNCTION("""COMPUTED_VALUE"""),"Respective Switchyard of the project")</f>
        <v>Respective Switchyard of the project</v>
      </c>
      <c r="L74" s="2" t="str">
        <f>IFERROR(__xludf.DUMMYFUNCTION("""COMPUTED_VALUE"""),"NEA,Bafikot")</f>
        <v>NEA,Bafikot</v>
      </c>
    </row>
    <row r="75">
      <c r="A75" s="2">
        <f>IFERROR(__xludf.DUMMYFUNCTION("""COMPUTED_VALUE"""),74.0)</f>
        <v>74</v>
      </c>
      <c r="B75" s="2" t="str">
        <f>IFERROR(__xludf.DUMMYFUNCTION("""COMPUTED_VALUE"""),"Mathilo Bhurundi- A HPP 33 kV Transmission Line Project")</f>
        <v>Mathilo Bhurundi- A HPP 33 kV Transmission Line Project</v>
      </c>
      <c r="C75" s="2">
        <f>IFERROR(__xludf.DUMMYFUNCTION("""COMPUTED_VALUE"""),33.0)</f>
        <v>33</v>
      </c>
      <c r="D75" s="2">
        <f>IFERROR(__xludf.DUMMYFUNCTION("""COMPUTED_VALUE"""),9.1)</f>
        <v>9.1</v>
      </c>
      <c r="E75" s="2">
        <f>IFERROR(__xludf.DUMMYFUNCTION("""COMPUTED_VALUE"""),9.0)</f>
        <v>9</v>
      </c>
      <c r="F75" s="2">
        <f>IFERROR(__xludf.DUMMYFUNCTION("""COMPUTED_VALUE"""),690.0)</f>
        <v>690</v>
      </c>
      <c r="G75" s="3">
        <f>IFERROR(__xludf.DUMMYFUNCTION("""COMPUTED_VALUE"""),66407.0)</f>
        <v>66407</v>
      </c>
      <c r="H75" s="3">
        <f>IFERROR(__xludf.DUMMYFUNCTION("""COMPUTED_VALUE"""),67136.0)</f>
        <v>67136</v>
      </c>
      <c r="I75" s="2" t="str">
        <f>IFERROR(__xludf.DUMMYFUNCTION("""COMPUTED_VALUE"""),"Niko Energy Ltd.")</f>
        <v>Niko Energy Ltd.</v>
      </c>
      <c r="J75" s="2" t="str">
        <f>IFERROR(__xludf.DUMMYFUNCTION("""COMPUTED_VALUE"""),"Baneshwor,Kathmandu")</f>
        <v>Baneshwor,Kathmandu</v>
      </c>
      <c r="K75" s="2" t="str">
        <f>IFERROR(__xludf.DUMMYFUNCTION("""COMPUTED_VALUE"""),"Respective Switchyard of the project")</f>
        <v>Respective Switchyard of the project</v>
      </c>
      <c r="L75" s="2" t="str">
        <f>IFERROR(__xludf.DUMMYFUNCTION("""COMPUTED_VALUE"""),"Modi s/s")</f>
        <v>Modi s/s</v>
      </c>
    </row>
    <row r="76">
      <c r="A76" s="2">
        <f>IFERROR(__xludf.DUMMYFUNCTION("""COMPUTED_VALUE"""),75.0)</f>
        <v>75</v>
      </c>
      <c r="B76" s="2" t="str">
        <f>IFERROR(__xludf.DUMMYFUNCTION("""COMPUTED_VALUE"""),"Jurimba Khola small HPP 132 kV Transmission Line Project")</f>
        <v>Jurimba Khola small HPP 132 kV Transmission Line Project</v>
      </c>
      <c r="C76" s="2">
        <f>IFERROR(__xludf.DUMMYFUNCTION("""COMPUTED_VALUE"""),132.0)</f>
        <v>132</v>
      </c>
      <c r="D76" s="2">
        <f>IFERROR(__xludf.DUMMYFUNCTION("""COMPUTED_VALUE"""),5.0)</f>
        <v>5</v>
      </c>
      <c r="E76" s="2">
        <f>IFERROR(__xludf.DUMMYFUNCTION("""COMPUTED_VALUE"""),7.63)</f>
        <v>7.63</v>
      </c>
      <c r="F76" s="2">
        <f>IFERROR(__xludf.DUMMYFUNCTION("""COMPUTED_VALUE"""),691.0)</f>
        <v>691</v>
      </c>
      <c r="G76" s="3">
        <f>IFERROR(__xludf.DUMMYFUNCTION("""COMPUTED_VALUE"""),66409.0)</f>
        <v>66409</v>
      </c>
      <c r="H76" s="3">
        <f>IFERROR(__xludf.DUMMYFUNCTION("""COMPUTED_VALUE"""),67138.0)</f>
        <v>67138</v>
      </c>
      <c r="I76" s="2" t="str">
        <f>IFERROR(__xludf.DUMMYFUNCTION("""COMPUTED_VALUE"""),"Jurimba Hydropower Company Pvt. Ltd.")</f>
        <v>Jurimba Hydropower Company Pvt. Ltd.</v>
      </c>
      <c r="J76" s="2" t="str">
        <f>IFERROR(__xludf.DUMMYFUNCTION("""COMPUTED_VALUE"""),"Tikune,Kathmandu")</f>
        <v>Tikune,Kathmandu</v>
      </c>
      <c r="K76" s="2" t="str">
        <f>IFERROR(__xludf.DUMMYFUNCTION("""COMPUTED_VALUE"""),"Respective Switchyard of the project")</f>
        <v>Respective Switchyard of the project</v>
      </c>
      <c r="L76" s="2" t="str">
        <f>IFERROR(__xludf.DUMMYFUNCTION("""COMPUTED_VALUE"""),"AP1 tower of Bhotekoshi-1")</f>
        <v>AP1 tower of Bhotekoshi-1</v>
      </c>
    </row>
    <row r="77">
      <c r="A77" s="2">
        <f>IFERROR(__xludf.DUMMYFUNCTION("""COMPUTED_VALUE"""),76.0)</f>
        <v>76</v>
      </c>
      <c r="B77" s="2" t="str">
        <f>IFERROR(__xludf.DUMMYFUNCTION("""COMPUTED_VALUE"""),"Tadi Khola small HPP 33 kV Transmission Line Project")</f>
        <v>Tadi Khola small HPP 33 kV Transmission Line Project</v>
      </c>
      <c r="C77" s="2">
        <f>IFERROR(__xludf.DUMMYFUNCTION("""COMPUTED_VALUE"""),33.0)</f>
        <v>33</v>
      </c>
      <c r="D77" s="2">
        <f>IFERROR(__xludf.DUMMYFUNCTION("""COMPUTED_VALUE"""),2.5)</f>
        <v>2.5</v>
      </c>
      <c r="E77" s="2">
        <f>IFERROR(__xludf.DUMMYFUNCTION("""COMPUTED_VALUE"""),6.6)</f>
        <v>6.6</v>
      </c>
      <c r="F77" s="2">
        <f>IFERROR(__xludf.DUMMYFUNCTION("""COMPUTED_VALUE"""),694.0)</f>
        <v>694</v>
      </c>
      <c r="G77" s="3">
        <f>IFERROR(__xludf.DUMMYFUNCTION("""COMPUTED_VALUE"""),66419.0)</f>
        <v>66419</v>
      </c>
      <c r="H77" s="3">
        <f>IFERROR(__xludf.DUMMYFUNCTION("""COMPUTED_VALUE"""),67148.0)</f>
        <v>67148</v>
      </c>
      <c r="I77" s="2" t="str">
        <f>IFERROR(__xludf.DUMMYFUNCTION("""COMPUTED_VALUE"""),"Hiraratna Hydropower Ltd.")</f>
        <v>Hiraratna Hydropower Ltd.</v>
      </c>
      <c r="J77" s="2" t="str">
        <f>IFERROR(__xludf.DUMMYFUNCTION("""COMPUTED_VALUE"""),"Kathmandu")</f>
        <v>Kathmandu</v>
      </c>
      <c r="K77" s="2" t="str">
        <f>IFERROR(__xludf.DUMMYFUNCTION("""COMPUTED_VALUE"""),"Respective Switchyard of the project")</f>
        <v>Respective Switchyard of the project</v>
      </c>
      <c r="L77" s="2" t="str">
        <f>IFERROR(__xludf.DUMMYFUNCTION("""COMPUTED_VALUE"""),"Samundratar s/s")</f>
        <v>Samundratar s/s</v>
      </c>
    </row>
    <row r="78">
      <c r="A78" s="2">
        <f>IFERROR(__xludf.DUMMYFUNCTION("""COMPUTED_VALUE"""),77.0)</f>
        <v>77</v>
      </c>
      <c r="B78" s="2" t="str">
        <f>IFERROR(__xludf.DUMMYFUNCTION("""COMPUTED_VALUE"""),"Arga Solar PV 33kV Transmission Line Project")</f>
        <v>Arga Solar PV 33kV Transmission Line Project</v>
      </c>
      <c r="C78" s="2">
        <f>IFERROR(__xludf.DUMMYFUNCTION("""COMPUTED_VALUE"""),33.0)</f>
        <v>33</v>
      </c>
      <c r="D78" s="2">
        <f>IFERROR(__xludf.DUMMYFUNCTION("""COMPUTED_VALUE"""),4.0)</f>
        <v>4</v>
      </c>
      <c r="E78" s="2">
        <f>IFERROR(__xludf.DUMMYFUNCTION("""COMPUTED_VALUE"""),10.0)</f>
        <v>10</v>
      </c>
      <c r="F78" s="2">
        <f>IFERROR(__xludf.DUMMYFUNCTION("""COMPUTED_VALUE"""),695.0)</f>
        <v>695</v>
      </c>
      <c r="G78" s="3">
        <f>IFERROR(__xludf.DUMMYFUNCTION("""COMPUTED_VALUE"""),66419.0)</f>
        <v>66419</v>
      </c>
      <c r="H78" s="3">
        <f>IFERROR(__xludf.DUMMYFUNCTION("""COMPUTED_VALUE"""),67148.0)</f>
        <v>67148</v>
      </c>
      <c r="I78" s="2" t="str">
        <f>IFERROR(__xludf.DUMMYFUNCTION("""COMPUTED_VALUE"""),"Arga Bhagbati Ventures Private Limited")</f>
        <v>Arga Bhagbati Ventures Private Limited</v>
      </c>
      <c r="J78" s="2" t="str">
        <f>IFERROR(__xludf.DUMMYFUNCTION("""COMPUTED_VALUE"""),"Bohoratar,kathmandu")</f>
        <v>Bohoratar,kathmandu</v>
      </c>
      <c r="K78" s="2" t="str">
        <f>IFERROR(__xludf.DUMMYFUNCTION("""COMPUTED_VALUE"""),"Respective Switchyard of the project")</f>
        <v>Respective Switchyard of the project</v>
      </c>
      <c r="L78" s="2" t="str">
        <f>IFERROR(__xludf.DUMMYFUNCTION("""COMPUTED_VALUE"""),"Arga s/s")</f>
        <v>Arga s/s</v>
      </c>
    </row>
    <row r="79">
      <c r="A79" s="2">
        <f>IFERROR(__xludf.DUMMYFUNCTION("""COMPUTED_VALUE"""),78.0)</f>
        <v>78</v>
      </c>
      <c r="B79" s="2" t="str">
        <f>IFERROR(__xludf.DUMMYFUNCTION("""COMPUTED_VALUE"""),"Gandak-Nepalgunj(New Butwal-Parasi-hakui-lumbini-kapilbastu-shivpur ) 220kV 
Tra")</f>
        <v>Gandak-Nepalgunj(New Butwal-Parasi-hakui-lumbini-kapilbastu-shivpur ) 220kV 
Tra</v>
      </c>
      <c r="C79" s="2">
        <f>IFERROR(__xludf.DUMMYFUNCTION("""COMPUTED_VALUE"""),220.0)</f>
        <v>220</v>
      </c>
      <c r="D79" s="2">
        <f>IFERROR(__xludf.DUMMYFUNCTION("""COMPUTED_VALUE"""),109.92)</f>
        <v>109.92</v>
      </c>
      <c r="E79" s="2">
        <f>IFERROR(__xludf.DUMMYFUNCTION("""COMPUTED_VALUE"""),2000.0)</f>
        <v>2000</v>
      </c>
      <c r="F79" s="2">
        <f>IFERROR(__xludf.DUMMYFUNCTION("""COMPUTED_VALUE"""),697.0)</f>
        <v>697</v>
      </c>
      <c r="G79" s="3">
        <f>IFERROR(__xludf.DUMMYFUNCTION("""COMPUTED_VALUE"""),66434.0)</f>
        <v>66434</v>
      </c>
      <c r="H79" s="3">
        <f>IFERROR(__xludf.DUMMYFUNCTION("""COMPUTED_VALUE"""),67163.0)</f>
        <v>67163</v>
      </c>
      <c r="I79" s="2" t="str">
        <f>IFERROR(__xludf.DUMMYFUNCTION("""COMPUTED_VALUE"""),"NEA")</f>
        <v>NEA</v>
      </c>
      <c r="J79" s="2" t="str">
        <f>IFERROR(__xludf.DUMMYFUNCTION("""COMPUTED_VALUE"""),"Darbarmarg, Kathmandu")</f>
        <v>Darbarmarg, Kathmandu</v>
      </c>
      <c r="K79" s="2" t="str">
        <f>IFERROR(__xludf.DUMMYFUNCTION("""COMPUTED_VALUE"""),"New Butwal s/s")</f>
        <v>New Butwal s/s</v>
      </c>
      <c r="L79" s="2" t="str">
        <f>IFERROR(__xludf.DUMMYFUNCTION("""COMPUTED_VALUE"""),"Shivapur s/s")</f>
        <v>Shivapur s/s</v>
      </c>
    </row>
    <row r="80">
      <c r="A80" s="2">
        <f>IFERROR(__xludf.DUMMYFUNCTION("""COMPUTED_VALUE"""),79.0)</f>
        <v>79</v>
      </c>
      <c r="B80" s="2" t="str">
        <f>IFERROR(__xludf.DUMMYFUNCTION("""COMPUTED_VALUE"""),"Isuwa Khola HPP 132 kV Transmission Line Project")</f>
        <v>Isuwa Khola HPP 132 kV Transmission Line Project</v>
      </c>
      <c r="C80" s="2">
        <f>IFERROR(__xludf.DUMMYFUNCTION("""COMPUTED_VALUE"""),132.0)</f>
        <v>132</v>
      </c>
      <c r="D80" s="2">
        <f>IFERROR(__xludf.DUMMYFUNCTION("""COMPUTED_VALUE"""),1.0)</f>
        <v>1</v>
      </c>
      <c r="E80" s="2">
        <f>IFERROR(__xludf.DUMMYFUNCTION("""COMPUTED_VALUE"""),97.2)</f>
        <v>97.2</v>
      </c>
      <c r="F80" s="2">
        <f>IFERROR(__xludf.DUMMYFUNCTION("""COMPUTED_VALUE"""),698.0)</f>
        <v>698</v>
      </c>
      <c r="G80" s="3">
        <f>IFERROR(__xludf.DUMMYFUNCTION("""COMPUTED_VALUE"""),66442.0)</f>
        <v>66442</v>
      </c>
      <c r="H80" s="3">
        <f>IFERROR(__xludf.DUMMYFUNCTION("""COMPUTED_VALUE"""),67171.0)</f>
        <v>67171</v>
      </c>
      <c r="I80" s="2" t="str">
        <f>IFERROR(__xludf.DUMMYFUNCTION("""COMPUTED_VALUE"""),"K.B.N.R Isuwa Power Limited")</f>
        <v>K.B.N.R Isuwa Power Limited</v>
      </c>
      <c r="J80" s="2" t="str">
        <f>IFERROR(__xludf.DUMMYFUNCTION("""COMPUTED_VALUE"""),"Kalopul,kathmandu")</f>
        <v>Kalopul,kathmandu</v>
      </c>
      <c r="K80" s="2" t="str">
        <f>IFERROR(__xludf.DUMMYFUNCTION("""COMPUTED_VALUE"""),"Respective Switchyard of the project")</f>
        <v>Respective Switchyard of the project</v>
      </c>
      <c r="L80" s="2" t="str">
        <f>IFERROR(__xludf.DUMMYFUNCTION("""COMPUTED_VALUE"""),"Switchyard of Isuwa Cascade PROR HPP")</f>
        <v>Switchyard of Isuwa Cascade PROR HPP</v>
      </c>
    </row>
    <row r="81">
      <c r="A81" s="2">
        <f>IFERROR(__xludf.DUMMYFUNCTION("""COMPUTED_VALUE"""),80.0)</f>
        <v>80</v>
      </c>
      <c r="B81" s="2" t="str">
        <f>IFERROR(__xludf.DUMMYFUNCTION("""COMPUTED_VALUE"""),"Chino Khola HPP 33 kV transmission Line project")</f>
        <v>Chino Khola HPP 33 kV transmission Line project</v>
      </c>
      <c r="C81" s="2">
        <f>IFERROR(__xludf.DUMMYFUNCTION("""COMPUTED_VALUE"""),33.0)</f>
        <v>33</v>
      </c>
      <c r="D81" s="2">
        <f>IFERROR(__xludf.DUMMYFUNCTION("""COMPUTED_VALUE"""),1.14)</f>
        <v>1.14</v>
      </c>
      <c r="E81" s="2">
        <f>IFERROR(__xludf.DUMMYFUNCTION("""COMPUTED_VALUE"""),7.9)</f>
        <v>7.9</v>
      </c>
      <c r="F81" s="2">
        <f>IFERROR(__xludf.DUMMYFUNCTION("""COMPUTED_VALUE"""),699.0)</f>
        <v>699</v>
      </c>
      <c r="G81" s="3">
        <f>IFERROR(__xludf.DUMMYFUNCTION("""COMPUTED_VALUE"""),66443.0)</f>
        <v>66443</v>
      </c>
      <c r="H81" s="3">
        <f>IFERROR(__xludf.DUMMYFUNCTION("""COMPUTED_VALUE"""),67172.0)</f>
        <v>67172</v>
      </c>
      <c r="I81" s="2" t="str">
        <f>IFERROR(__xludf.DUMMYFUNCTION("""COMPUTED_VALUE"""),"Chino Hydropower Limited")</f>
        <v>Chino Hydropower Limited</v>
      </c>
      <c r="J81" s="2" t="str">
        <f>IFERROR(__xludf.DUMMYFUNCTION("""COMPUTED_VALUE"""),"Gangadevi Marga,Buddhanagar")</f>
        <v>Gangadevi Marga,Buddhanagar</v>
      </c>
      <c r="K81" s="2" t="str">
        <f>IFERROR(__xludf.DUMMYFUNCTION("""COMPUTED_VALUE"""),"Respective Switchyard of the project")</f>
        <v>Respective Switchyard of the project</v>
      </c>
      <c r="L81" s="2" t="str">
        <f>IFERROR(__xludf.DUMMYFUNCTION("""COMPUTED_VALUE"""),"Dharapani s/s")</f>
        <v>Dharapani s/s</v>
      </c>
    </row>
    <row r="82">
      <c r="A82" s="2">
        <f>IFERROR(__xludf.DUMMYFUNCTION("""COMPUTED_VALUE"""),81.0)</f>
        <v>81</v>
      </c>
      <c r="B82" s="2" t="str">
        <f>IFERROR(__xludf.DUMMYFUNCTION("""COMPUTED_VALUE"""),"Tinpiple-Balaju 132kV Transmission line Project")</f>
        <v>Tinpiple-Balaju 132kV Transmission line Project</v>
      </c>
      <c r="C82" s="2">
        <f>IFERROR(__xludf.DUMMYFUNCTION("""COMPUTED_VALUE"""),132.0)</f>
        <v>132</v>
      </c>
      <c r="D82" s="2">
        <f>IFERROR(__xludf.DUMMYFUNCTION("""COMPUTED_VALUE"""),6.0)</f>
        <v>6</v>
      </c>
      <c r="E82" s="2">
        <f>IFERROR(__xludf.DUMMYFUNCTION("""COMPUTED_VALUE"""),1000.0)</f>
        <v>1000</v>
      </c>
      <c r="F82" s="2">
        <f>IFERROR(__xludf.DUMMYFUNCTION("""COMPUTED_VALUE"""),700.0)</f>
        <v>700</v>
      </c>
      <c r="G82" s="3">
        <f>IFERROR(__xludf.DUMMYFUNCTION("""COMPUTED_VALUE"""),66452.0)</f>
        <v>66452</v>
      </c>
      <c r="H82" s="3">
        <f>IFERROR(__xludf.DUMMYFUNCTION("""COMPUTED_VALUE"""),67181.0)</f>
        <v>67181</v>
      </c>
      <c r="I82" s="2" t="str">
        <f>IFERROR(__xludf.DUMMYFUNCTION("""COMPUTED_VALUE"""),"Nepal Electricity Authority")</f>
        <v>Nepal Electricity Authority</v>
      </c>
      <c r="J82" s="2" t="str">
        <f>IFERROR(__xludf.DUMMYFUNCTION("""COMPUTED_VALUE"""),"Darbarmarg,Kathmandu")</f>
        <v>Darbarmarg,Kathmandu</v>
      </c>
      <c r="K82" s="2" t="str">
        <f>IFERROR(__xludf.DUMMYFUNCTION("""COMPUTED_VALUE"""),"Tinpiple s/s")</f>
        <v>Tinpiple s/s</v>
      </c>
      <c r="L82" s="2" t="str">
        <f>IFERROR(__xludf.DUMMYFUNCTION("""COMPUTED_VALUE"""),"Balaju s/s")</f>
        <v>Balaju s/s</v>
      </c>
    </row>
    <row r="83">
      <c r="A83" s="2">
        <f>IFERROR(__xludf.DUMMYFUNCTION("""COMPUTED_VALUE"""),82.0)</f>
        <v>82</v>
      </c>
      <c r="B83" s="2" t="str">
        <f>IFERROR(__xludf.DUMMYFUNCTION("""COMPUTED_VALUE"""),"Budhigandaki Nadi HPP 220kV Transmisssion Line Project")</f>
        <v>Budhigandaki Nadi HPP 220kV Transmisssion Line Project</v>
      </c>
      <c r="C83" s="2">
        <f>IFERROR(__xludf.DUMMYFUNCTION("""COMPUTED_VALUE"""),220.0)</f>
        <v>220</v>
      </c>
      <c r="D83" s="2">
        <f>IFERROR(__xludf.DUMMYFUNCTION("""COMPUTED_VALUE"""),56.0)</f>
        <v>56</v>
      </c>
      <c r="E83" s="2">
        <f>IFERROR(__xludf.DUMMYFUNCTION("""COMPUTED_VALUE"""),91.15)</f>
        <v>91.15</v>
      </c>
      <c r="F83" s="2">
        <f>IFERROR(__xludf.DUMMYFUNCTION("""COMPUTED_VALUE"""),701.0)</f>
        <v>701</v>
      </c>
      <c r="G83" s="3">
        <f>IFERROR(__xludf.DUMMYFUNCTION("""COMPUTED_VALUE"""),66455.0)</f>
        <v>66455</v>
      </c>
      <c r="H83" s="3">
        <f>IFERROR(__xludf.DUMMYFUNCTION("""COMPUTED_VALUE"""),67184.0)</f>
        <v>67184</v>
      </c>
      <c r="I83" s="2" t="str">
        <f>IFERROR(__xludf.DUMMYFUNCTION("""COMPUTED_VALUE"""),"Surya Energy Pvt.Ltd")</f>
        <v>Surya Energy Pvt.Ltd</v>
      </c>
      <c r="J83" s="2" t="str">
        <f>IFERROR(__xludf.DUMMYFUNCTION("""COMPUTED_VALUE"""),"Madhyapur Thimi,Bhaktapur")</f>
        <v>Madhyapur Thimi,Bhaktapur</v>
      </c>
      <c r="K83" s="2" t="str">
        <f>IFERROR(__xludf.DUMMYFUNCTION("""COMPUTED_VALUE"""),"Respective Switchyard of the project")</f>
        <v>Respective Switchyard of the project</v>
      </c>
      <c r="L83" s="2" t="str">
        <f>IFERROR(__xludf.DUMMYFUNCTION("""COMPUTED_VALUE"""),"Lapan s/s")</f>
        <v>Lapan s/s</v>
      </c>
    </row>
    <row r="84">
      <c r="A84" s="2">
        <f>IFERROR(__xludf.DUMMYFUNCTION("""COMPUTED_VALUE"""),83.0)</f>
        <v>83</v>
      </c>
      <c r="B84" s="2" t="str">
        <f>IFERROR(__xludf.DUMMYFUNCTION("""COMPUTED_VALUE"""),"Rolwaling Khola HPP 33kV Transmission Line Project")</f>
        <v>Rolwaling Khola HPP 33kV Transmission Line Project</v>
      </c>
      <c r="C84" s="2">
        <f>IFERROR(__xludf.DUMMYFUNCTION("""COMPUTED_VALUE"""),33.0)</f>
        <v>33</v>
      </c>
      <c r="D84" s="2">
        <f>IFERROR(__xludf.DUMMYFUNCTION("""COMPUTED_VALUE"""),8.4)</f>
        <v>8.4</v>
      </c>
      <c r="E84" s="2">
        <f>IFERROR(__xludf.DUMMYFUNCTION("""COMPUTED_VALUE"""),22.0)</f>
        <v>22</v>
      </c>
      <c r="F84" s="2">
        <f>IFERROR(__xludf.DUMMYFUNCTION("""COMPUTED_VALUE"""),703.0)</f>
        <v>703</v>
      </c>
      <c r="G84" s="3">
        <f>IFERROR(__xludf.DUMMYFUNCTION("""COMPUTED_VALUE"""),66462.0)</f>
        <v>66462</v>
      </c>
      <c r="H84" s="3">
        <f>IFERROR(__xludf.DUMMYFUNCTION("""COMPUTED_VALUE"""),67191.0)</f>
        <v>67191</v>
      </c>
      <c r="I84" s="2" t="str">
        <f>IFERROR(__xludf.DUMMYFUNCTION("""COMPUTED_VALUE"""),"Upper Tamakoshi Hydropower Limited")</f>
        <v>Upper Tamakoshi Hydropower Limited</v>
      </c>
      <c r="J84" s="2" t="str">
        <f>IFERROR(__xludf.DUMMYFUNCTION("""COMPUTED_VALUE"""),"Gyaneswor")</f>
        <v>Gyaneswor</v>
      </c>
      <c r="K84" s="2" t="str">
        <f>IFERROR(__xludf.DUMMYFUNCTION("""COMPUTED_VALUE"""),"Respective Switchyard of the project")</f>
        <v>Respective Switchyard of the project</v>
      </c>
      <c r="L84" s="2" t="str">
        <f>IFERROR(__xludf.DUMMYFUNCTION("""COMPUTED_VALUE"""),"Upper Tamakoshi HPP switchyard")</f>
        <v>Upper Tamakoshi HPP switchyard</v>
      </c>
    </row>
    <row r="85">
      <c r="A85" s="2">
        <f>IFERROR(__xludf.DUMMYFUNCTION("""COMPUTED_VALUE"""),84.0)</f>
        <v>84</v>
      </c>
      <c r="B85" s="2" t="str">
        <f>IFERROR(__xludf.DUMMYFUNCTION("""COMPUTED_VALUE"""),"Balephi Khola HPP 132kV Transmission Line Project")</f>
        <v>Balephi Khola HPP 132kV Transmission Line Project</v>
      </c>
      <c r="C85" s="2">
        <f>IFERROR(__xludf.DUMMYFUNCTION("""COMPUTED_VALUE"""),132.0)</f>
        <v>132</v>
      </c>
      <c r="D85" s="2">
        <f>IFERROR(__xludf.DUMMYFUNCTION("""COMPUTED_VALUE"""),5.0)</f>
        <v>5</v>
      </c>
      <c r="E85" s="2">
        <f>IFERROR(__xludf.DUMMYFUNCTION("""COMPUTED_VALUE"""),40.0)</f>
        <v>40</v>
      </c>
      <c r="F85" s="2">
        <f>IFERROR(__xludf.DUMMYFUNCTION("""COMPUTED_VALUE"""),705.0)</f>
        <v>705</v>
      </c>
      <c r="G85" s="3">
        <f>IFERROR(__xludf.DUMMYFUNCTION("""COMPUTED_VALUE"""),66484.0)</f>
        <v>66484</v>
      </c>
      <c r="H85" s="3">
        <f>IFERROR(__xludf.DUMMYFUNCTION("""COMPUTED_VALUE"""),67213.0)</f>
        <v>67213</v>
      </c>
      <c r="I85" s="2" t="str">
        <f>IFERROR(__xludf.DUMMYFUNCTION("""COMPUTED_VALUE"""),"Balephi Energy Pvt. Limited")</f>
        <v>Balephi Energy Pvt. Limited</v>
      </c>
      <c r="J85" s="2" t="str">
        <f>IFERROR(__xludf.DUMMYFUNCTION("""COMPUTED_VALUE"""),"New Baneshwor")</f>
        <v>New Baneshwor</v>
      </c>
      <c r="K85" s="2" t="str">
        <f>IFERROR(__xludf.DUMMYFUNCTION("""COMPUTED_VALUE"""),"Respective Switchyard of the project")</f>
        <v>Respective Switchyard of the project</v>
      </c>
      <c r="L85" s="2" t="str">
        <f>IFERROR(__xludf.DUMMYFUNCTION("""COMPUTED_VALUE"""),"Pangtan s/s")</f>
        <v>Pangtan s/s</v>
      </c>
    </row>
    <row r="86">
      <c r="A86" s="2">
        <f>IFERROR(__xludf.DUMMYFUNCTION("""COMPUTED_VALUE"""),85.0)</f>
        <v>85</v>
      </c>
      <c r="B86" s="2" t="str">
        <f>IFERROR(__xludf.DUMMYFUNCTION("""COMPUTED_VALUE"""),"Phukot karnali PROR HPP E-Flow 33kV Transmission Line Project")</f>
        <v>Phukot karnali PROR HPP E-Flow 33kV Transmission Line Project</v>
      </c>
      <c r="C86" s="2">
        <f>IFERROR(__xludf.DUMMYFUNCTION("""COMPUTED_VALUE"""),33.0)</f>
        <v>33</v>
      </c>
      <c r="D86" s="2">
        <f>IFERROR(__xludf.DUMMYFUNCTION("""COMPUTED_VALUE"""),6.0)</f>
        <v>6</v>
      </c>
      <c r="E86" s="2">
        <f>IFERROR(__xludf.DUMMYFUNCTION("""COMPUTED_VALUE"""),6.0)</f>
        <v>6</v>
      </c>
      <c r="F86" s="2">
        <f>IFERROR(__xludf.DUMMYFUNCTION("""COMPUTED_VALUE"""),706.0)</f>
        <v>706</v>
      </c>
      <c r="G86" s="3">
        <f>IFERROR(__xludf.DUMMYFUNCTION("""COMPUTED_VALUE"""),66484.0)</f>
        <v>66484</v>
      </c>
      <c r="H86" s="3">
        <f>IFERROR(__xludf.DUMMYFUNCTION("""COMPUTED_VALUE"""),67213.0)</f>
        <v>67213</v>
      </c>
      <c r="I86" s="2" t="str">
        <f>IFERROR(__xludf.DUMMYFUNCTION("""COMPUTED_VALUE"""),"Vidhyut Utpadan Company Limited")</f>
        <v>Vidhyut Utpadan Company Limited</v>
      </c>
      <c r="J86" s="2" t="str">
        <f>IFERROR(__xludf.DUMMYFUNCTION("""COMPUTED_VALUE"""),"Buddhanagar")</f>
        <v>Buddhanagar</v>
      </c>
      <c r="K86" s="2" t="str">
        <f>IFERROR(__xludf.DUMMYFUNCTION("""COMPUTED_VALUE"""),"E-Flow Dam Toe Powerhouse")</f>
        <v>E-Flow Dam Toe Powerhouse</v>
      </c>
      <c r="L86" s="2" t="str">
        <f>IFERROR(__xludf.DUMMYFUNCTION("""COMPUTED_VALUE"""),"Main Powerhouse")</f>
        <v>Main Powerhouse</v>
      </c>
    </row>
    <row r="87">
      <c r="A87" s="2">
        <f>IFERROR(__xludf.DUMMYFUNCTION("""COMPUTED_VALUE"""),86.0)</f>
        <v>86</v>
      </c>
      <c r="B87" s="2" t="str">
        <f>IFERROR(__xludf.DUMMYFUNCTION("""COMPUTED_VALUE"""),"Kaligandaki Gorge HPP 220kV Transmission Line Project")</f>
        <v>Kaligandaki Gorge HPP 220kV Transmission Line Project</v>
      </c>
      <c r="C87" s="2">
        <f>IFERROR(__xludf.DUMMYFUNCTION("""COMPUTED_VALUE"""),220.0)</f>
        <v>220</v>
      </c>
      <c r="D87" s="2">
        <f>IFERROR(__xludf.DUMMYFUNCTION("""COMPUTED_VALUE"""),1.1)</f>
        <v>1.1</v>
      </c>
      <c r="E87" s="2">
        <f>IFERROR(__xludf.DUMMYFUNCTION("""COMPUTED_VALUE"""),180.0)</f>
        <v>180</v>
      </c>
      <c r="F87" s="2">
        <f>IFERROR(__xludf.DUMMYFUNCTION("""COMPUTED_VALUE"""),709.0)</f>
        <v>709</v>
      </c>
      <c r="G87" s="3">
        <f>IFERROR(__xludf.DUMMYFUNCTION("""COMPUTED_VALUE"""),66523.0)</f>
        <v>66523</v>
      </c>
      <c r="H87" s="3">
        <f>IFERROR(__xludf.DUMMYFUNCTION("""COMPUTED_VALUE"""),67252.0)</f>
        <v>67252</v>
      </c>
      <c r="I87" s="2" t="str">
        <f>IFERROR(__xludf.DUMMYFUNCTION("""COMPUTED_VALUE"""),"Kaligandaki Gorge Hydropower Pvt.Ltd")</f>
        <v>Kaligandaki Gorge Hydropower Pvt.Ltd</v>
      </c>
      <c r="J87" s="2" t="str">
        <f>IFERROR(__xludf.DUMMYFUNCTION("""COMPUTED_VALUE"""),"Charkhaal,Dillibazar")</f>
        <v>Charkhaal,Dillibazar</v>
      </c>
      <c r="K87" s="2" t="str">
        <f>IFERROR(__xludf.DUMMYFUNCTION("""COMPUTED_VALUE"""),"Respective Switchyard of the project")</f>
        <v>Respective Switchyard of the project</v>
      </c>
      <c r="L87" s="2" t="str">
        <f>IFERROR(__xludf.DUMMYFUNCTION("""COMPUTED_VALUE"""),"Dana s/s")</f>
        <v>Dana s/s</v>
      </c>
    </row>
    <row r="88">
      <c r="A88" s="2">
        <f>IFERROR(__xludf.DUMMYFUNCTION("""COMPUTED_VALUE"""),87.0)</f>
        <v>87</v>
      </c>
      <c r="B88" s="2" t="str">
        <f>IFERROR(__xludf.DUMMYFUNCTION("""COMPUTED_VALUE"""),"Super Tamor HPP 220kV Transmission Line Project")</f>
        <v>Super Tamor HPP 220kV Transmission Line Project</v>
      </c>
      <c r="C88" s="2">
        <f>IFERROR(__xludf.DUMMYFUNCTION("""COMPUTED_VALUE"""),220.0)</f>
        <v>220</v>
      </c>
      <c r="D88" s="2">
        <f>IFERROR(__xludf.DUMMYFUNCTION("""COMPUTED_VALUE"""),6.4)</f>
        <v>6.4</v>
      </c>
      <c r="E88" s="2">
        <f>IFERROR(__xludf.DUMMYFUNCTION("""COMPUTED_VALUE"""),166.0)</f>
        <v>166</v>
      </c>
      <c r="F88" s="2">
        <f>IFERROR(__xludf.DUMMYFUNCTION("""COMPUTED_VALUE"""),711.0)</f>
        <v>711</v>
      </c>
      <c r="G88" s="3">
        <f>IFERROR(__xludf.DUMMYFUNCTION("""COMPUTED_VALUE"""),66545.0)</f>
        <v>66545</v>
      </c>
      <c r="H88" s="3">
        <f>IFERROR(__xludf.DUMMYFUNCTION("""COMPUTED_VALUE"""),67275.0)</f>
        <v>67275</v>
      </c>
      <c r="I88" s="2" t="str">
        <f>IFERROR(__xludf.DUMMYFUNCTION("""COMPUTED_VALUE"""),"Crystal Power Development Pvt.Ltd")</f>
        <v>Crystal Power Development Pvt.Ltd</v>
      </c>
      <c r="J88" s="2" t="str">
        <f>IFERROR(__xludf.DUMMYFUNCTION("""COMPUTED_VALUE"""),"Baluwatar,Kathmandu")</f>
        <v>Baluwatar,Kathmandu</v>
      </c>
      <c r="K88" s="2" t="str">
        <f>IFERROR(__xludf.DUMMYFUNCTION("""COMPUTED_VALUE"""),"Respective Switchyard of the project")</f>
        <v>Respective Switchyard of the project</v>
      </c>
      <c r="L88" s="2" t="str">
        <f>IFERROR(__xludf.DUMMYFUNCTION("""COMPUTED_VALUE"""),"RPGCL_Tamor s/s")</f>
        <v>RPGCL_Tamor s/s</v>
      </c>
    </row>
    <row r="89">
      <c r="A89" s="2">
        <f>IFERROR(__xludf.DUMMYFUNCTION("""COMPUTED_VALUE"""),88.0)</f>
        <v>88</v>
      </c>
      <c r="B89" s="2" t="str">
        <f>IFERROR(__xludf.DUMMYFUNCTION("""COMPUTED_VALUE"""),"Palpa Solar 132kV Transmission Line Project")</f>
        <v>Palpa Solar 132kV Transmission Line Project</v>
      </c>
      <c r="C89" s="2">
        <f>IFERROR(__xludf.DUMMYFUNCTION("""COMPUTED_VALUE"""),132.0)</f>
        <v>132</v>
      </c>
      <c r="D89" s="2">
        <f>IFERROR(__xludf.DUMMYFUNCTION("""COMPUTED_VALUE"""),12.0)</f>
        <v>12</v>
      </c>
      <c r="E89" s="2">
        <f>IFERROR(__xludf.DUMMYFUNCTION("""COMPUTED_VALUE"""),50.0)</f>
        <v>50</v>
      </c>
      <c r="F89" s="2">
        <f>IFERROR(__xludf.DUMMYFUNCTION("""COMPUTED_VALUE"""),712.0)</f>
        <v>712</v>
      </c>
      <c r="G89" s="3">
        <f>IFERROR(__xludf.DUMMYFUNCTION("""COMPUTED_VALUE"""),66547.0)</f>
        <v>66547</v>
      </c>
      <c r="H89" s="3">
        <f>IFERROR(__xludf.DUMMYFUNCTION("""COMPUTED_VALUE"""),67277.0)</f>
        <v>67277</v>
      </c>
      <c r="I89" s="2" t="str">
        <f>IFERROR(__xludf.DUMMYFUNCTION("""COMPUTED_VALUE"""),"Gogreen Energy Pvt.Ltd")</f>
        <v>Gogreen Energy Pvt.Ltd</v>
      </c>
      <c r="J89" s="2" t="str">
        <f>IFERROR(__xludf.DUMMYFUNCTION("""COMPUTED_VALUE"""),"Tripureshwor")</f>
        <v>Tripureshwor</v>
      </c>
      <c r="K89" s="2" t="str">
        <f>IFERROR(__xludf.DUMMYFUNCTION("""COMPUTED_VALUE"""),"Respective Switchyard of the project")</f>
        <v>Respective Switchyard of the project</v>
      </c>
      <c r="L89" s="2" t="str">
        <f>IFERROR(__xludf.DUMMYFUNCTION("""COMPUTED_VALUE"""),"NEA,Sunwal s/s")</f>
        <v>NEA,Sunwal s/s</v>
      </c>
    </row>
    <row r="90">
      <c r="A90" s="2">
        <f>IFERROR(__xludf.DUMMYFUNCTION("""COMPUTED_VALUE"""),89.0)</f>
        <v>89</v>
      </c>
      <c r="B90" s="2" t="str">
        <f>IFERROR(__xludf.DUMMYFUNCTION("""COMPUTED_VALUE"""),"Daraundi Nadi HPP 33 kV Transmission Line Project")</f>
        <v>Daraundi Nadi HPP 33 kV Transmission Line Project</v>
      </c>
      <c r="C90" s="2">
        <f>IFERROR(__xludf.DUMMYFUNCTION("""COMPUTED_VALUE"""),33.0)</f>
        <v>33</v>
      </c>
      <c r="D90" s="2">
        <f>IFERROR(__xludf.DUMMYFUNCTION("""COMPUTED_VALUE"""),5.24)</f>
        <v>5.24</v>
      </c>
      <c r="E90" s="2">
        <f>IFERROR(__xludf.DUMMYFUNCTION("""COMPUTED_VALUE"""),9.84)</f>
        <v>9.84</v>
      </c>
      <c r="F90" s="2">
        <f>IFERROR(__xludf.DUMMYFUNCTION("""COMPUTED_VALUE"""),713.0)</f>
        <v>713</v>
      </c>
      <c r="G90" s="3">
        <f>IFERROR(__xludf.DUMMYFUNCTION("""COMPUTED_VALUE"""),66547.0)</f>
        <v>66547</v>
      </c>
      <c r="H90" s="3">
        <f>IFERROR(__xludf.DUMMYFUNCTION("""COMPUTED_VALUE"""),67277.0)</f>
        <v>67277</v>
      </c>
      <c r="I90" s="2" t="str">
        <f>IFERROR(__xludf.DUMMYFUNCTION("""COMPUTED_VALUE"""),"Mankamana Daraundi Hydropower Company Limited")</f>
        <v>Mankamana Daraundi Hydropower Company Limited</v>
      </c>
      <c r="J90" s="2" t="str">
        <f>IFERROR(__xludf.DUMMYFUNCTION("""COMPUTED_VALUE"""),"Naxal,Kathmandu")</f>
        <v>Naxal,Kathmandu</v>
      </c>
      <c r="K90" s="2" t="str">
        <f>IFERROR(__xludf.DUMMYFUNCTION("""COMPUTED_VALUE"""),"Respective Switchyard of the project")</f>
        <v>Respective Switchyard of the project</v>
      </c>
      <c r="L90" s="2" t="str">
        <f>IFERROR(__xludf.DUMMYFUNCTION("""COMPUTED_VALUE"""),"Markichowk s/s")</f>
        <v>Markichowk s/s</v>
      </c>
    </row>
    <row r="91">
      <c r="A91" s="2">
        <f>IFERROR(__xludf.DUMMYFUNCTION("""COMPUTED_VALUE"""),90.0)</f>
        <v>90</v>
      </c>
      <c r="B91" s="2" t="str">
        <f>IFERROR(__xludf.DUMMYFUNCTION("""COMPUTED_VALUE"""),"Sitalpati Solar Power 33kV Transmission Line Project")</f>
        <v>Sitalpati Solar Power 33kV Transmission Line Project</v>
      </c>
      <c r="C91" s="2">
        <f>IFERROR(__xludf.DUMMYFUNCTION("""COMPUTED_VALUE"""),33.0)</f>
        <v>33</v>
      </c>
      <c r="D91" s="2">
        <f>IFERROR(__xludf.DUMMYFUNCTION("""COMPUTED_VALUE"""),1.0)</f>
        <v>1</v>
      </c>
      <c r="E91" s="2">
        <f>IFERROR(__xludf.DUMMYFUNCTION("""COMPUTED_VALUE"""),10.0)</f>
        <v>10</v>
      </c>
      <c r="F91" s="2">
        <f>IFERROR(__xludf.DUMMYFUNCTION("""COMPUTED_VALUE"""),714.0)</f>
        <v>714</v>
      </c>
      <c r="G91" s="3">
        <f>IFERROR(__xludf.DUMMYFUNCTION("""COMPUTED_VALUE"""),66548.0)</f>
        <v>66548</v>
      </c>
      <c r="H91" s="3">
        <f>IFERROR(__xludf.DUMMYFUNCTION("""COMPUTED_VALUE"""),67278.0)</f>
        <v>67278</v>
      </c>
      <c r="I91" s="2" t="str">
        <f>IFERROR(__xludf.DUMMYFUNCTION("""COMPUTED_VALUE"""),"Himalayan Solar Power Pvt.Ltd")</f>
        <v>Himalayan Solar Power Pvt.Ltd</v>
      </c>
      <c r="J91" s="2" t="str">
        <f>IFERROR(__xludf.DUMMYFUNCTION("""COMPUTED_VALUE"""),"Mid Baneshwor,kathmandu")</f>
        <v>Mid Baneshwor,kathmandu</v>
      </c>
      <c r="K91" s="2" t="str">
        <f>IFERROR(__xludf.DUMMYFUNCTION("""COMPUTED_VALUE"""),"Respective Switchyard of the project")</f>
        <v>Respective Switchyard of the project</v>
      </c>
      <c r="L91" s="2" t="str">
        <f>IFERROR(__xludf.DUMMYFUNCTION("""COMPUTED_VALUE"""),"Sitalpati s/s")</f>
        <v>Sitalpati s/s</v>
      </c>
    </row>
    <row r="92">
      <c r="A92" s="2">
        <f>IFERROR(__xludf.DUMMYFUNCTION("""COMPUTED_VALUE"""),91.0)</f>
        <v>91</v>
      </c>
      <c r="B92" s="2" t="str">
        <f>IFERROR(__xludf.DUMMYFUNCTION("""COMPUTED_VALUE"""),"Yaru Khola PRoR HPP 132 kV Transmission Line Project")</f>
        <v>Yaru Khola PRoR HPP 132 kV Transmission Line Project</v>
      </c>
      <c r="C92" s="2">
        <f>IFERROR(__xludf.DUMMYFUNCTION("""COMPUTED_VALUE"""),132.0)</f>
        <v>132</v>
      </c>
      <c r="D92" s="2">
        <f>IFERROR(__xludf.DUMMYFUNCTION("""COMPUTED_VALUE"""),28.41)</f>
        <v>28.41</v>
      </c>
      <c r="E92" s="2">
        <f>IFERROR(__xludf.DUMMYFUNCTION("""COMPUTED_VALUE"""),30.59)</f>
        <v>30.59</v>
      </c>
      <c r="F92" s="2">
        <f>IFERROR(__xludf.DUMMYFUNCTION("""COMPUTED_VALUE"""),715.0)</f>
        <v>715</v>
      </c>
      <c r="G92" s="3">
        <f>IFERROR(__xludf.DUMMYFUNCTION("""COMPUTED_VALUE"""),66550.0)</f>
        <v>66550</v>
      </c>
      <c r="H92" s="3">
        <f>IFERROR(__xludf.DUMMYFUNCTION("""COMPUTED_VALUE"""),67280.0)</f>
        <v>67280</v>
      </c>
      <c r="I92" s="2" t="str">
        <f>IFERROR(__xludf.DUMMYFUNCTION("""COMPUTED_VALUE"""),"Yaru Hydropower Pvt.Ltd.")</f>
        <v>Yaru Hydropower Pvt.Ltd.</v>
      </c>
      <c r="J92" s="2" t="str">
        <f>IFERROR(__xludf.DUMMYFUNCTION("""COMPUTED_VALUE"""),"Lazimpat,Kathmandu")</f>
        <v>Lazimpat,Kathmandu</v>
      </c>
      <c r="K92" s="2" t="str">
        <f>IFERROR(__xludf.DUMMYFUNCTION("""COMPUTED_VALUE"""),"Respective Switchyard of the project")</f>
        <v>Respective Switchyard of the project</v>
      </c>
      <c r="L92" s="2" t="str">
        <f>IFERROR(__xludf.DUMMYFUNCTION("""COMPUTED_VALUE"""),"Borang s/s")</f>
        <v>Borang s/s</v>
      </c>
    </row>
    <row r="93">
      <c r="A93" s="2">
        <f>IFERROR(__xludf.DUMMYFUNCTION("""COMPUTED_VALUE"""),92.0)</f>
        <v>92</v>
      </c>
      <c r="B93" s="2" t="str">
        <f>IFERROR(__xludf.DUMMYFUNCTION("""COMPUTED_VALUE"""),"Chainpur Seti HPP 220kV Transmission Line Project")</f>
        <v>Chainpur Seti HPP 220kV Transmission Line Project</v>
      </c>
      <c r="C93" s="2">
        <f>IFERROR(__xludf.DUMMYFUNCTION("""COMPUTED_VALUE"""),220.0)</f>
        <v>220</v>
      </c>
      <c r="D93" s="2">
        <f>IFERROR(__xludf.DUMMYFUNCTION("""COMPUTED_VALUE"""),14.5)</f>
        <v>14.5</v>
      </c>
      <c r="E93" s="2">
        <f>IFERROR(__xludf.DUMMYFUNCTION("""COMPUTED_VALUE"""),210.0)</f>
        <v>210</v>
      </c>
      <c r="F93" s="2">
        <f>IFERROR(__xludf.DUMMYFUNCTION("""COMPUTED_VALUE"""),716.0)</f>
        <v>716</v>
      </c>
      <c r="G93" s="3">
        <f>IFERROR(__xludf.DUMMYFUNCTION("""COMPUTED_VALUE"""),66552.0)</f>
        <v>66552</v>
      </c>
      <c r="H93" s="3">
        <f>IFERROR(__xludf.DUMMYFUNCTION("""COMPUTED_VALUE"""),67282.0)</f>
        <v>67282</v>
      </c>
      <c r="I93" s="2" t="str">
        <f>IFERROR(__xludf.DUMMYFUNCTION("""COMPUTED_VALUE"""),"Chainpur Seti Hydropower Company Limited")</f>
        <v>Chainpur Seti Hydropower Company Limited</v>
      </c>
      <c r="J93" s="2" t="str">
        <f>IFERROR(__xludf.DUMMYFUNCTION("""COMPUTED_VALUE"""),"Darbarmarg,Kathmandu")</f>
        <v>Darbarmarg,Kathmandu</v>
      </c>
      <c r="K93" s="2" t="str">
        <f>IFERROR(__xludf.DUMMYFUNCTION("""COMPUTED_VALUE"""),"Respective Switchyard of the project")</f>
        <v>Respective Switchyard of the project</v>
      </c>
      <c r="L93" s="2" t="str">
        <f>IFERROR(__xludf.DUMMYFUNCTION("""COMPUTED_VALUE"""),"chainpur hub")</f>
        <v>chainpur hub</v>
      </c>
    </row>
    <row r="94">
      <c r="A94" s="2">
        <f>IFERROR(__xludf.DUMMYFUNCTION("""COMPUTED_VALUE"""),93.0)</f>
        <v>93</v>
      </c>
      <c r="B94" s="2" t="str">
        <f>IFERROR(__xludf.DUMMYFUNCTION("""COMPUTED_VALUE"""),"Madhya Chameliya HPP 132 kV Transmission Line Project")</f>
        <v>Madhya Chameliya HPP 132 kV Transmission Line Project</v>
      </c>
      <c r="C94" s="2">
        <f>IFERROR(__xludf.DUMMYFUNCTION("""COMPUTED_VALUE"""),132.0)</f>
        <v>132</v>
      </c>
      <c r="D94" s="2">
        <f>IFERROR(__xludf.DUMMYFUNCTION("""COMPUTED_VALUE"""),0.05)</f>
        <v>0.05</v>
      </c>
      <c r="E94" s="2">
        <f>IFERROR(__xludf.DUMMYFUNCTION("""COMPUTED_VALUE"""),28.304)</f>
        <v>28.304</v>
      </c>
      <c r="F94" s="2">
        <f>IFERROR(__xludf.DUMMYFUNCTION("""COMPUTED_VALUE"""),718.0)</f>
        <v>718</v>
      </c>
      <c r="G94" s="3">
        <f>IFERROR(__xludf.DUMMYFUNCTION("""COMPUTED_VALUE"""),66572.0)</f>
        <v>66572</v>
      </c>
      <c r="H94" s="3">
        <f>IFERROR(__xludf.DUMMYFUNCTION("""COMPUTED_VALUE"""),67302.0)</f>
        <v>67302</v>
      </c>
      <c r="I94" s="2" t="str">
        <f>IFERROR(__xludf.DUMMYFUNCTION("""COMPUTED_VALUE"""),"Darchula Power Limited")</f>
        <v>Darchula Power Limited</v>
      </c>
      <c r="J94" s="2" t="str">
        <f>IFERROR(__xludf.DUMMYFUNCTION("""COMPUTED_VALUE"""),"Thapathali,Kathmandu")</f>
        <v>Thapathali,Kathmandu</v>
      </c>
      <c r="K94" s="2" t="str">
        <f>IFERROR(__xludf.DUMMYFUNCTION("""COMPUTED_VALUE"""),"Respective Switchyard of the project")</f>
        <v>Respective Switchyard of the project</v>
      </c>
      <c r="L94" s="2" t="str">
        <f>IFERROR(__xludf.DUMMYFUNCTION("""COMPUTED_VALUE"""),"Tower no 27 of Upper Chameliya 132kV TL")</f>
        <v>Tower no 27 of Upper Chameliya 132kV TL</v>
      </c>
    </row>
    <row r="95">
      <c r="A95" s="2">
        <f>IFERROR(__xludf.DUMMYFUNCTION("""COMPUTED_VALUE"""),94.0)</f>
        <v>94</v>
      </c>
      <c r="B95" s="2" t="str">
        <f>IFERROR(__xludf.DUMMYFUNCTION("""COMPUTED_VALUE"""),"Beldiya Solar Power 33kV Transmission Line Project")</f>
        <v>Beldiya Solar Power 33kV Transmission Line Project</v>
      </c>
      <c r="C95" s="2">
        <f>IFERROR(__xludf.DUMMYFUNCTION("""COMPUTED_VALUE"""),33.0)</f>
        <v>33</v>
      </c>
      <c r="D95" s="2">
        <f>IFERROR(__xludf.DUMMYFUNCTION("""COMPUTED_VALUE"""),6.0)</f>
        <v>6</v>
      </c>
      <c r="E95" s="2">
        <f>IFERROR(__xludf.DUMMYFUNCTION("""COMPUTED_VALUE"""),10.0)</f>
        <v>10</v>
      </c>
      <c r="F95" s="2">
        <f>IFERROR(__xludf.DUMMYFUNCTION("""COMPUTED_VALUE"""),719.0)</f>
        <v>719</v>
      </c>
      <c r="G95" s="3">
        <f>IFERROR(__xludf.DUMMYFUNCTION("""COMPUTED_VALUE"""),66580.0)</f>
        <v>66580</v>
      </c>
      <c r="H95" s="3">
        <f>IFERROR(__xludf.DUMMYFUNCTION("""COMPUTED_VALUE"""),67310.0)</f>
        <v>67310</v>
      </c>
      <c r="I95" s="2" t="str">
        <f>IFERROR(__xludf.DUMMYFUNCTION("""COMPUTED_VALUE"""),"Kalika Sun Light Power Private Limited")</f>
        <v>Kalika Sun Light Power Private Limited</v>
      </c>
      <c r="J95" s="2" t="str">
        <f>IFERROR(__xludf.DUMMYFUNCTION("""COMPUTED_VALUE"""),"Baluwatar,Kathmandu")</f>
        <v>Baluwatar,Kathmandu</v>
      </c>
      <c r="K95" s="2" t="str">
        <f>IFERROR(__xludf.DUMMYFUNCTION("""COMPUTED_VALUE"""),"Respective Switchyard of the project")</f>
        <v>Respective Switchyard of the project</v>
      </c>
      <c r="L95" s="2" t="str">
        <f>IFERROR(__xludf.DUMMYFUNCTION("""COMPUTED_VALUE"""),"Mukundapur s/s")</f>
        <v>Mukundapur s/s</v>
      </c>
    </row>
    <row r="96">
      <c r="A96" s="2">
        <f>IFERROR(__xludf.DUMMYFUNCTION("""COMPUTED_VALUE"""),95.0)</f>
        <v>95</v>
      </c>
      <c r="B96" s="2" t="str">
        <f>IFERROR(__xludf.DUMMYFUNCTION("""COMPUTED_VALUE"""),"Phalakhu khola HPP132kV Transmission Line Project")</f>
        <v>Phalakhu khola HPP132kV Transmission Line Project</v>
      </c>
      <c r="C96" s="2">
        <f>IFERROR(__xludf.DUMMYFUNCTION("""COMPUTED_VALUE"""),132.0)</f>
        <v>132</v>
      </c>
      <c r="D96" s="2">
        <f>IFERROR(__xludf.DUMMYFUNCTION("""COMPUTED_VALUE"""),11.0)</f>
        <v>11</v>
      </c>
      <c r="E96" s="2">
        <f>IFERROR(__xludf.DUMMYFUNCTION("""COMPUTED_VALUE"""),14.7)</f>
        <v>14.7</v>
      </c>
      <c r="F96" s="2">
        <f>IFERROR(__xludf.DUMMYFUNCTION("""COMPUTED_VALUE"""),720.0)</f>
        <v>720</v>
      </c>
      <c r="G96" s="3">
        <f>IFERROR(__xludf.DUMMYFUNCTION("""COMPUTED_VALUE"""),66581.0)</f>
        <v>66581</v>
      </c>
      <c r="H96" s="3">
        <f>IFERROR(__xludf.DUMMYFUNCTION("""COMPUTED_VALUE"""),67311.0)</f>
        <v>67311</v>
      </c>
      <c r="I96" s="2" t="str">
        <f>IFERROR(__xludf.DUMMYFUNCTION("""COMPUTED_VALUE"""),"Betrawati Hydroelectric Company Limited")</f>
        <v>Betrawati Hydroelectric Company Limited</v>
      </c>
      <c r="J96" s="2" t="str">
        <f>IFERROR(__xludf.DUMMYFUNCTION("""COMPUTED_VALUE"""),"Panipokhari,kathmandu")</f>
        <v>Panipokhari,kathmandu</v>
      </c>
      <c r="K96" s="2" t="str">
        <f>IFERROR(__xludf.DUMMYFUNCTION("""COMPUTED_VALUE"""),"Switchyard of Project")</f>
        <v>Switchyard of Project</v>
      </c>
      <c r="L96" s="2" t="str">
        <f>IFERROR(__xludf.DUMMYFUNCTION("""COMPUTED_VALUE"""),"Trishuli 3B Hub Station")</f>
        <v>Trishuli 3B Hub Station</v>
      </c>
    </row>
    <row r="97">
      <c r="A97" s="2">
        <f>IFERROR(__xludf.DUMMYFUNCTION("""COMPUTED_VALUE"""),96.0)</f>
        <v>96</v>
      </c>
      <c r="B97" s="2" t="str">
        <f>IFERROR(__xludf.DUMMYFUNCTION("""COMPUTED_VALUE"""),"Dudhkoshi-5 HPP 220kV Transmission Line Project")</f>
        <v>Dudhkoshi-5 HPP 220kV Transmission Line Project</v>
      </c>
      <c r="C97" s="2">
        <f>IFERROR(__xludf.DUMMYFUNCTION("""COMPUTED_VALUE"""),220.0)</f>
        <v>220</v>
      </c>
      <c r="D97" s="2">
        <f>IFERROR(__xludf.DUMMYFUNCTION("""COMPUTED_VALUE"""),62.0)</f>
        <v>62</v>
      </c>
      <c r="E97" s="2">
        <f>IFERROR(__xludf.DUMMYFUNCTION("""COMPUTED_VALUE"""),110.0)</f>
        <v>110</v>
      </c>
      <c r="F97" s="2">
        <f>IFERROR(__xludf.DUMMYFUNCTION("""COMPUTED_VALUE"""),722.0)</f>
        <v>722</v>
      </c>
      <c r="G97" s="3">
        <f>IFERROR(__xludf.DUMMYFUNCTION("""COMPUTED_VALUE"""),66601.0)</f>
        <v>66601</v>
      </c>
      <c r="H97" s="3">
        <f>IFERROR(__xludf.DUMMYFUNCTION("""COMPUTED_VALUE"""),67331.0)</f>
        <v>67331</v>
      </c>
      <c r="I97" s="2" t="str">
        <f>IFERROR(__xludf.DUMMYFUNCTION("""COMPUTED_VALUE"""),"Independent Power Company (Nepal) Pvt.Ltd")</f>
        <v>Independent Power Company (Nepal) Pvt.Ltd</v>
      </c>
      <c r="J97" s="2" t="str">
        <f>IFERROR(__xludf.DUMMYFUNCTION("""COMPUTED_VALUE"""),"Dhobighat, Lalitpur")</f>
        <v>Dhobighat, Lalitpur</v>
      </c>
      <c r="K97" s="2" t="str">
        <f>IFERROR(__xludf.DUMMYFUNCTION("""COMPUTED_VALUE"""),"Respective Switchyard of the project")</f>
        <v>Respective Switchyard of the project</v>
      </c>
      <c r="L97" s="2" t="str">
        <f>IFERROR(__xludf.DUMMYFUNCTION("""COMPUTED_VALUE"""),"New Khimti s/s")</f>
        <v>New Khimti s/s</v>
      </c>
    </row>
    <row r="98">
      <c r="A98" s="2">
        <f>IFERROR(__xludf.DUMMYFUNCTION("""COMPUTED_VALUE"""),97.0)</f>
        <v>97</v>
      </c>
      <c r="B98" s="2" t="str">
        <f>IFERROR(__xludf.DUMMYFUNCTION("""COMPUTED_VALUE"""),"Samundratar-Lapsiphedi 132 kV Transmission Line Project")</f>
        <v>Samundratar-Lapsiphedi 132 kV Transmission Line Project</v>
      </c>
      <c r="C98" s="2">
        <f>IFERROR(__xludf.DUMMYFUNCTION("""COMPUTED_VALUE"""),132.0)</f>
        <v>132</v>
      </c>
      <c r="D98" s="2">
        <f>IFERROR(__xludf.DUMMYFUNCTION("""COMPUTED_VALUE"""),31.0)</f>
        <v>31</v>
      </c>
      <c r="E98" s="2">
        <f>IFERROR(__xludf.DUMMYFUNCTION("""COMPUTED_VALUE"""),400.0)</f>
        <v>400</v>
      </c>
      <c r="F98" s="2">
        <f>IFERROR(__xludf.DUMMYFUNCTION("""COMPUTED_VALUE"""),723.0)</f>
        <v>723</v>
      </c>
      <c r="G98" s="3">
        <f>IFERROR(__xludf.DUMMYFUNCTION("""COMPUTED_VALUE"""),66602.0)</f>
        <v>66602</v>
      </c>
      <c r="H98" s="3">
        <f>IFERROR(__xludf.DUMMYFUNCTION("""COMPUTED_VALUE"""),67332.0)</f>
        <v>67332</v>
      </c>
      <c r="I98" s="2" t="str">
        <f>IFERROR(__xludf.DUMMYFUNCTION("""COMPUTED_VALUE"""),"Nepal Electricity Authority")</f>
        <v>Nepal Electricity Authority</v>
      </c>
      <c r="J98" s="2" t="str">
        <f>IFERROR(__xludf.DUMMYFUNCTION("""COMPUTED_VALUE"""),"Durbar Marg, Kathmandu 01-4153007")</f>
        <v>Durbar Marg, Kathmandu 01-4153007</v>
      </c>
      <c r="K98" s="2" t="str">
        <f>IFERROR(__xludf.DUMMYFUNCTION("""COMPUTED_VALUE"""),"Samundratar ss/s")</f>
        <v>Samundratar ss/s</v>
      </c>
      <c r="L98" s="2" t="str">
        <f>IFERROR(__xludf.DUMMYFUNCTION("""COMPUTED_VALUE"""),"Lapsiphedi s/s")</f>
        <v>Lapsiphedi s/s</v>
      </c>
    </row>
    <row r="99">
      <c r="A99" s="2">
        <f>IFERROR(__xludf.DUMMYFUNCTION("""COMPUTED_VALUE"""),98.0)</f>
        <v>98</v>
      </c>
      <c r="B99" s="2" t="str">
        <f>IFERROR(__xludf.DUMMYFUNCTION("""COMPUTED_VALUE"""),"Dandakhet-Burtibang 132kV Transmission Line Project")</f>
        <v>Dandakhet-Burtibang 132kV Transmission Line Project</v>
      </c>
      <c r="C99" s="2">
        <f>IFERROR(__xludf.DUMMYFUNCTION("""COMPUTED_VALUE"""),132.0)</f>
        <v>132</v>
      </c>
      <c r="D99" s="2">
        <f>IFERROR(__xludf.DUMMYFUNCTION("""COMPUTED_VALUE"""),35.0)</f>
        <v>35</v>
      </c>
      <c r="E99" s="2">
        <f>IFERROR(__xludf.DUMMYFUNCTION("""COMPUTED_VALUE"""),250.0)</f>
        <v>250</v>
      </c>
      <c r="F99" s="2">
        <f>IFERROR(__xludf.DUMMYFUNCTION("""COMPUTED_VALUE"""),724.0)</f>
        <v>724</v>
      </c>
      <c r="G99" s="3">
        <f>IFERROR(__xludf.DUMMYFUNCTION("""COMPUTED_VALUE"""),66604.0)</f>
        <v>66604</v>
      </c>
      <c r="H99" s="3">
        <f>IFERROR(__xludf.DUMMYFUNCTION("""COMPUTED_VALUE"""),67334.0)</f>
        <v>67334</v>
      </c>
      <c r="I99" s="2" t="str">
        <f>IFERROR(__xludf.DUMMYFUNCTION("""COMPUTED_VALUE"""),"Nepal Electricity Authority")</f>
        <v>Nepal Electricity Authority</v>
      </c>
      <c r="J99" s="2" t="str">
        <f>IFERROR(__xludf.DUMMYFUNCTION("""COMPUTED_VALUE"""),"Durbar Marg, Kathmandu 01-4153007")</f>
        <v>Durbar Marg, Kathmandu 01-4153007</v>
      </c>
      <c r="K99" s="2" t="str">
        <f>IFERROR(__xludf.DUMMYFUNCTION("""COMPUTED_VALUE"""),"Dandakhet s/s")</f>
        <v>Dandakhet s/s</v>
      </c>
      <c r="L99" s="2" t="str">
        <f>IFERROR(__xludf.DUMMYFUNCTION("""COMPUTED_VALUE"""),"Burtibang s/s")</f>
        <v>Burtibang s/s</v>
      </c>
    </row>
    <row r="100">
      <c r="A100" s="2">
        <f>IFERROR(__xludf.DUMMYFUNCTION("""COMPUTED_VALUE"""),99.0)</f>
        <v>99</v>
      </c>
      <c r="B100" s="2" t="str">
        <f>IFERROR(__xludf.DUMMYFUNCTION("""COMPUTED_VALUE"""),"Sani Bheri HPP 132 kV Transmission Line Project")</f>
        <v>Sani Bheri HPP 132 kV Transmission Line Project</v>
      </c>
      <c r="C100" s="2">
        <f>IFERROR(__xludf.DUMMYFUNCTION("""COMPUTED_VALUE"""),132.0)</f>
        <v>132</v>
      </c>
      <c r="D100" s="2">
        <f>IFERROR(__xludf.DUMMYFUNCTION("""COMPUTED_VALUE"""),23.0)</f>
        <v>23</v>
      </c>
      <c r="E100" s="2">
        <f>IFERROR(__xludf.DUMMYFUNCTION("""COMPUTED_VALUE"""),44.52)</f>
        <v>44.52</v>
      </c>
      <c r="F100" s="2">
        <f>IFERROR(__xludf.DUMMYFUNCTION("""COMPUTED_VALUE"""),725.0)</f>
        <v>725</v>
      </c>
      <c r="G100" s="3">
        <f>IFERROR(__xludf.DUMMYFUNCTION("""COMPUTED_VALUE"""),66604.0)</f>
        <v>66604</v>
      </c>
      <c r="H100" s="3">
        <f>IFERROR(__xludf.DUMMYFUNCTION("""COMPUTED_VALUE"""),67334.0)</f>
        <v>67334</v>
      </c>
      <c r="I100" s="2" t="str">
        <f>IFERROR(__xludf.DUMMYFUNCTION("""COMPUTED_VALUE"""),"Expert Hydro Investment Pvt.Ltd")</f>
        <v>Expert Hydro Investment Pvt.Ltd</v>
      </c>
      <c r="J100" s="2" t="str">
        <f>IFERROR(__xludf.DUMMYFUNCTION("""COMPUTED_VALUE"""),"Naxal-01,Kathmandu")</f>
        <v>Naxal-01,Kathmandu</v>
      </c>
      <c r="K100" s="2" t="str">
        <f>IFERROR(__xludf.DUMMYFUNCTION("""COMPUTED_VALUE"""),"Respective Switchyard of the project")</f>
        <v>Respective Switchyard of the project</v>
      </c>
      <c r="L100" s="2" t="str">
        <f>IFERROR(__xludf.DUMMYFUNCTION("""COMPUTED_VALUE"""),"NEA,Baphikot s/s")</f>
        <v>NEA,Baphikot s/s</v>
      </c>
    </row>
    <row r="101">
      <c r="A101" s="2">
        <f>IFERROR(__xludf.DUMMYFUNCTION("""COMPUTED_VALUE"""),100.0)</f>
        <v>100</v>
      </c>
      <c r="B101" s="2" t="str">
        <f>IFERROR(__xludf.DUMMYFUNCTION("""COMPUTED_VALUE"""),"Upper Bhurundi HPP 33kV Transmission Line Project")</f>
        <v>Upper Bhurundi HPP 33kV Transmission Line Project</v>
      </c>
      <c r="C101" s="2">
        <f>IFERROR(__xludf.DUMMYFUNCTION("""COMPUTED_VALUE"""),33.0)</f>
        <v>33</v>
      </c>
      <c r="D101" s="2">
        <f>IFERROR(__xludf.DUMMYFUNCTION("""COMPUTED_VALUE"""),7.0)</f>
        <v>7</v>
      </c>
      <c r="E101" s="2">
        <f>IFERROR(__xludf.DUMMYFUNCTION("""COMPUTED_VALUE"""),3.75)</f>
        <v>3.75</v>
      </c>
      <c r="F101" s="2">
        <f>IFERROR(__xludf.DUMMYFUNCTION("""COMPUTED_VALUE"""),726.0)</f>
        <v>726</v>
      </c>
      <c r="G101" s="3">
        <f>IFERROR(__xludf.DUMMYFUNCTION("""COMPUTED_VALUE"""),66632.0)</f>
        <v>66632</v>
      </c>
      <c r="H101" s="3">
        <f>IFERROR(__xludf.DUMMYFUNCTION("""COMPUTED_VALUE"""),67362.0)</f>
        <v>67362</v>
      </c>
      <c r="I101" s="2" t="str">
        <f>IFERROR(__xludf.DUMMYFUNCTION("""COMPUTED_VALUE"""),"Ambe Hydropower Pvt.Ltd")</f>
        <v>Ambe Hydropower Pvt.Ltd</v>
      </c>
      <c r="J101" s="2" t="str">
        <f>IFERROR(__xludf.DUMMYFUNCTION("""COMPUTED_VALUE"""),"Tinkune,Kathmandu")</f>
        <v>Tinkune,Kathmandu</v>
      </c>
      <c r="K101" s="2" t="str">
        <f>IFERROR(__xludf.DUMMYFUNCTION("""COMPUTED_VALUE"""),"Respective Switchyard of the project")</f>
        <v>Respective Switchyard of the project</v>
      </c>
      <c r="L101" s="2" t="str">
        <f>IFERROR(__xludf.DUMMYFUNCTION("""COMPUTED_VALUE"""),"NEA,Modi s/s")</f>
        <v>NEA,Modi s/s</v>
      </c>
    </row>
    <row r="102">
      <c r="A102" s="2">
        <f>IFERROR(__xludf.DUMMYFUNCTION("""COMPUTED_VALUE"""),101.0)</f>
        <v>101</v>
      </c>
      <c r="B102" s="2" t="str">
        <f>IFERROR(__xludf.DUMMYFUNCTION("""COMPUTED_VALUE"""),"Budhigandaki ka &amp; Budhigandaki Kha 220kV Transmission Line Project")</f>
        <v>Budhigandaki ka &amp; Budhigandaki Kha 220kV Transmission Line Project</v>
      </c>
      <c r="C102" s="2">
        <f>IFERROR(__xludf.DUMMYFUNCTION("""COMPUTED_VALUE"""),220.0)</f>
        <v>220</v>
      </c>
      <c r="D102" s="2">
        <f>IFERROR(__xludf.DUMMYFUNCTION("""COMPUTED_VALUE"""),31.0)</f>
        <v>31</v>
      </c>
      <c r="E102" s="2">
        <f>IFERROR(__xludf.DUMMYFUNCTION("""COMPUTED_VALUE"""),329.4)</f>
        <v>329.4</v>
      </c>
      <c r="F102" s="2">
        <f>IFERROR(__xludf.DUMMYFUNCTION("""COMPUTED_VALUE"""),727.0)</f>
        <v>727</v>
      </c>
      <c r="G102" s="3">
        <f>IFERROR(__xludf.DUMMYFUNCTION("""COMPUTED_VALUE"""),66648.0)</f>
        <v>66648</v>
      </c>
      <c r="H102" s="3">
        <f>IFERROR(__xludf.DUMMYFUNCTION("""COMPUTED_VALUE"""),67378.0)</f>
        <v>67378</v>
      </c>
      <c r="I102" s="2" t="str">
        <f>IFERROR(__xludf.DUMMYFUNCTION("""COMPUTED_VALUE"""),"Naulo Nepal Hydroelectric P.Ltd")</f>
        <v>Naulo Nepal Hydroelectric P.Ltd</v>
      </c>
      <c r="J102" s="2" t="str">
        <f>IFERROR(__xludf.DUMMYFUNCTION("""COMPUTED_VALUE"""),"Sanepa,Kathmandu")</f>
        <v>Sanepa,Kathmandu</v>
      </c>
      <c r="K102" s="2" t="str">
        <f>IFERROR(__xludf.DUMMYFUNCTION("""COMPUTED_VALUE"""),"Respective Switchyard of the projects")</f>
        <v>Respective Switchyard of the projects</v>
      </c>
      <c r="L102" s="2" t="str">
        <f>IFERROR(__xludf.DUMMYFUNCTION("""COMPUTED_VALUE"""),"Lapang s/s")</f>
        <v>Lapang s/s</v>
      </c>
    </row>
    <row r="103">
      <c r="A103" s="2">
        <f>IFERROR(__xludf.DUMMYFUNCTION("""COMPUTED_VALUE"""),102.0)</f>
        <v>102</v>
      </c>
      <c r="B103" s="2" t="str">
        <f>IFERROR(__xludf.DUMMYFUNCTION("""COMPUTED_VALUE"""),"Chameliya-Jauljibi 220kV Cross borderTransmission Line Project -Nepal Part")</f>
        <v>Chameliya-Jauljibi 220kV Cross borderTransmission Line Project -Nepal Part</v>
      </c>
      <c r="C103" s="2">
        <f>IFERROR(__xludf.DUMMYFUNCTION("""COMPUTED_VALUE"""),220.0)</f>
        <v>220</v>
      </c>
      <c r="D103" s="2">
        <f>IFERROR(__xludf.DUMMYFUNCTION("""COMPUTED_VALUE"""),30.0)</f>
        <v>30</v>
      </c>
      <c r="E103" s="2">
        <f>IFERROR(__xludf.DUMMYFUNCTION("""COMPUTED_VALUE"""),587.0)</f>
        <v>587</v>
      </c>
      <c r="F103" s="2">
        <f>IFERROR(__xludf.DUMMYFUNCTION("""COMPUTED_VALUE"""),728.0)</f>
        <v>728</v>
      </c>
      <c r="G103" s="3">
        <f>IFERROR(__xludf.DUMMYFUNCTION("""COMPUTED_VALUE"""),66654.0)</f>
        <v>66654</v>
      </c>
      <c r="H103" s="3">
        <f>IFERROR(__xludf.DUMMYFUNCTION("""COMPUTED_VALUE"""),67384.0)</f>
        <v>67384</v>
      </c>
      <c r="I103" s="2" t="str">
        <f>IFERROR(__xludf.DUMMYFUNCTION("""COMPUTED_VALUE"""),"Nepal Electricity Authority")</f>
        <v>Nepal Electricity Authority</v>
      </c>
      <c r="J103" s="2" t="str">
        <f>IFERROR(__xludf.DUMMYFUNCTION("""COMPUTED_VALUE"""),"Durbar Marg, Kathmandu 01-4153007")</f>
        <v>Durbar Marg, Kathmandu 01-4153007</v>
      </c>
      <c r="K103" s="2" t="str">
        <f>IFERROR(__xludf.DUMMYFUNCTION("""COMPUTED_VALUE"""),"Chameliya s/s")</f>
        <v>Chameliya s/s</v>
      </c>
      <c r="L103" s="2" t="str">
        <f>IFERROR(__xludf.DUMMYFUNCTION("""COMPUTED_VALUE"""),"Nepal-India border (Jauljibi s/s (India)")</f>
        <v>Nepal-India border (Jauljibi s/s (India)</v>
      </c>
    </row>
    <row r="104">
      <c r="A104" s="2">
        <f>IFERROR(__xludf.DUMMYFUNCTION("""COMPUTED_VALUE"""),103.0)</f>
        <v>103</v>
      </c>
      <c r="B104" s="2" t="str">
        <f>IFERROR(__xludf.DUMMYFUNCTION("""COMPUTED_VALUE"""),"Ridi-Tamghas 132kV Transmission Line Project")</f>
        <v>Ridi-Tamghas 132kV Transmission Line Project</v>
      </c>
      <c r="C104" s="2">
        <f>IFERROR(__xludf.DUMMYFUNCTION("""COMPUTED_VALUE"""),132.0)</f>
        <v>132</v>
      </c>
      <c r="D104" s="2">
        <f>IFERROR(__xludf.DUMMYFUNCTION("""COMPUTED_VALUE"""),28.0)</f>
        <v>28</v>
      </c>
      <c r="E104" s="2">
        <f>IFERROR(__xludf.DUMMYFUNCTION("""COMPUTED_VALUE"""),225.0)</f>
        <v>225</v>
      </c>
      <c r="F104" s="2">
        <f>IFERROR(__xludf.DUMMYFUNCTION("""COMPUTED_VALUE"""),730.0)</f>
        <v>730</v>
      </c>
      <c r="G104" s="3">
        <f>IFERROR(__xludf.DUMMYFUNCTION("""COMPUTED_VALUE"""),66666.0)</f>
        <v>66666</v>
      </c>
      <c r="H104" s="3">
        <f>IFERROR(__xludf.DUMMYFUNCTION("""COMPUTED_VALUE"""),67396.0)</f>
        <v>67396</v>
      </c>
      <c r="I104" s="2" t="str">
        <f>IFERROR(__xludf.DUMMYFUNCTION("""COMPUTED_VALUE"""),"Nepal Electricity Authority")</f>
        <v>Nepal Electricity Authority</v>
      </c>
      <c r="J104" s="2" t="str">
        <f>IFERROR(__xludf.DUMMYFUNCTION("""COMPUTED_VALUE"""),"Durbar Marg, Kathmandu 01-4153007")</f>
        <v>Durbar Marg, Kathmandu 01-4153007</v>
      </c>
      <c r="K104" s="2" t="str">
        <f>IFERROR(__xludf.DUMMYFUNCTION("""COMPUTED_VALUE"""),"Ridi s/s")</f>
        <v>Ridi s/s</v>
      </c>
      <c r="L104" s="2" t="str">
        <f>IFERROR(__xludf.DUMMYFUNCTION("""COMPUTED_VALUE"""),"Tamghas s/s")</f>
        <v>Tamghas s/s</v>
      </c>
    </row>
    <row r="105">
      <c r="A105" s="2">
        <f>IFERROR(__xludf.DUMMYFUNCTION("""COMPUTED_VALUE"""),104.0)</f>
        <v>104</v>
      </c>
      <c r="B105" s="2" t="str">
        <f>IFERROR(__xludf.DUMMYFUNCTION("""COMPUTED_VALUE"""),"Middle Kaligandaki HPP Switchyard- Dana s/s Transmission Line Project")</f>
        <v>Middle Kaligandaki HPP Switchyard- Dana s/s Transmission Line Project</v>
      </c>
      <c r="C105" s="2">
        <f>IFERROR(__xludf.DUMMYFUNCTION("""COMPUTED_VALUE"""),220.0)</f>
        <v>220</v>
      </c>
      <c r="D105" s="2">
        <f>IFERROR(__xludf.DUMMYFUNCTION("""COMPUTED_VALUE"""),7.0)</f>
        <v>7</v>
      </c>
      <c r="E105" s="2">
        <f>IFERROR(__xludf.DUMMYFUNCTION("""COMPUTED_VALUE"""),66.3)</f>
        <v>66.3</v>
      </c>
      <c r="F105" s="2">
        <f>IFERROR(__xludf.DUMMYFUNCTION("""COMPUTED_VALUE"""),731.0)</f>
        <v>731</v>
      </c>
      <c r="G105" s="3">
        <f>IFERROR(__xludf.DUMMYFUNCTION("""COMPUTED_VALUE"""),66668.0)</f>
        <v>66668</v>
      </c>
      <c r="H105" s="3">
        <f>IFERROR(__xludf.DUMMYFUNCTION("""COMPUTED_VALUE"""),67398.0)</f>
        <v>67398</v>
      </c>
      <c r="I105" s="2" t="str">
        <f>IFERROR(__xludf.DUMMYFUNCTION("""COMPUTED_VALUE"""),"Hydro Support Pvt.Ltd")</f>
        <v>Hydro Support Pvt.Ltd</v>
      </c>
      <c r="J105" s="2" t="str">
        <f>IFERROR(__xludf.DUMMYFUNCTION("""COMPUTED_VALUE"""),"Maharajgunj, Kathmandu")</f>
        <v>Maharajgunj, Kathmandu</v>
      </c>
      <c r="K105" s="2" t="str">
        <f>IFERROR(__xludf.DUMMYFUNCTION("""COMPUTED_VALUE"""),"Middle Kaligandaki HPP Switchyard")</f>
        <v>Middle Kaligandaki HPP Switchyard</v>
      </c>
      <c r="L105" s="2" t="str">
        <f>IFERROR(__xludf.DUMMYFUNCTION("""COMPUTED_VALUE"""),"Dana s/s")</f>
        <v>Dana s/s</v>
      </c>
    </row>
    <row r="106">
      <c r="A106" s="2">
        <f>IFERROR(__xludf.DUMMYFUNCTION("""COMPUTED_VALUE"""),105.0)</f>
        <v>105</v>
      </c>
      <c r="B106" s="2" t="str">
        <f>IFERROR(__xludf.DUMMYFUNCTION("""COMPUTED_VALUE"""),"Upper Mewa Khola A HPP-Mewa hub(Papung) 132 kV transmission Line Project")</f>
        <v>Upper Mewa Khola A HPP-Mewa hub(Papung) 132 kV transmission Line Project</v>
      </c>
      <c r="C106" s="2">
        <f>IFERROR(__xludf.DUMMYFUNCTION("""COMPUTED_VALUE"""),132.0)</f>
        <v>132</v>
      </c>
      <c r="D106" s="2">
        <f>IFERROR(__xludf.DUMMYFUNCTION("""COMPUTED_VALUE"""),1.808)</f>
        <v>1.808</v>
      </c>
      <c r="E106" s="2">
        <f>IFERROR(__xludf.DUMMYFUNCTION("""COMPUTED_VALUE"""),31.92)</f>
        <v>31.92</v>
      </c>
      <c r="F106" s="2">
        <f>IFERROR(__xludf.DUMMYFUNCTION("""COMPUTED_VALUE"""),732.0)</f>
        <v>732</v>
      </c>
      <c r="G106" s="3">
        <f>IFERROR(__xludf.DUMMYFUNCTION("""COMPUTED_VALUE"""),66674.0)</f>
        <v>66674</v>
      </c>
      <c r="H106" s="3">
        <f>IFERROR(__xludf.DUMMYFUNCTION("""COMPUTED_VALUE"""),67404.0)</f>
        <v>67404</v>
      </c>
      <c r="I106" s="2" t="str">
        <f>IFERROR(__xludf.DUMMYFUNCTION("""COMPUTED_VALUE"""),"Surya Holding Pvt.Ltd")</f>
        <v>Surya Holding Pvt.Ltd</v>
      </c>
      <c r="J106" s="2" t="str">
        <f>IFERROR(__xludf.DUMMYFUNCTION("""COMPUTED_VALUE"""),"Gyaneswor,Kathmandu")</f>
        <v>Gyaneswor,Kathmandu</v>
      </c>
      <c r="K106" s="2" t="str">
        <f>IFERROR(__xludf.DUMMYFUNCTION("""COMPUTED_VALUE"""),"Respective Switchyard of the project")</f>
        <v>Respective Switchyard of the project</v>
      </c>
      <c r="L106" s="2" t="str">
        <f>IFERROR(__xludf.DUMMYFUNCTION("""COMPUTED_VALUE"""),"Mewa hub(Papung)")</f>
        <v>Mewa hub(Papung)</v>
      </c>
    </row>
    <row r="107">
      <c r="A107" s="2">
        <f>IFERROR(__xludf.DUMMYFUNCTION("""COMPUTED_VALUE"""),106.0)</f>
        <v>106</v>
      </c>
      <c r="B107" s="2" t="str">
        <f>IFERROR(__xludf.DUMMYFUNCTION("""COMPUTED_VALUE"""),"Lapang -Budhigandaki 220kV transmission line Project")</f>
        <v>Lapang -Budhigandaki 220kV transmission line Project</v>
      </c>
      <c r="C107" s="2">
        <f>IFERROR(__xludf.DUMMYFUNCTION("""COMPUTED_VALUE"""),220.0)</f>
        <v>220</v>
      </c>
      <c r="D107" s="2">
        <f>IFERROR(__xludf.DUMMYFUNCTION("""COMPUTED_VALUE"""),26.0)</f>
        <v>26</v>
      </c>
      <c r="E107" s="2">
        <f>IFERROR(__xludf.DUMMYFUNCTION("""COMPUTED_VALUE"""),1200.0)</f>
        <v>1200</v>
      </c>
      <c r="F107" s="2">
        <f>IFERROR(__xludf.DUMMYFUNCTION("""COMPUTED_VALUE"""),733.0)</f>
        <v>733</v>
      </c>
      <c r="G107" s="3">
        <f>IFERROR(__xludf.DUMMYFUNCTION("""COMPUTED_VALUE"""),66683.0)</f>
        <v>66683</v>
      </c>
      <c r="H107" s="3">
        <f>IFERROR(__xludf.DUMMYFUNCTION("""COMPUTED_VALUE"""),67413.0)</f>
        <v>67413</v>
      </c>
      <c r="I107" s="2" t="str">
        <f>IFERROR(__xludf.DUMMYFUNCTION("""COMPUTED_VALUE"""),"Nepal Electricity Authority")</f>
        <v>Nepal Electricity Authority</v>
      </c>
      <c r="J107" s="2" t="str">
        <f>IFERROR(__xludf.DUMMYFUNCTION("""COMPUTED_VALUE"""),"Durbar Marg, Kathmandu 01-4153007")</f>
        <v>Durbar Marg, Kathmandu 01-4153007</v>
      </c>
      <c r="K107" s="2" t="str">
        <f>IFERROR(__xludf.DUMMYFUNCTION("""COMPUTED_VALUE"""),"Lapang s/s")</f>
        <v>Lapang s/s</v>
      </c>
      <c r="L107" s="2" t="str">
        <f>IFERROR(__xludf.DUMMYFUNCTION("""COMPUTED_VALUE"""),"Budhigandaki s/s")</f>
        <v>Budhigandaki s/s</v>
      </c>
    </row>
    <row r="108">
      <c r="A108" s="2">
        <f>IFERROR(__xludf.DUMMYFUNCTION("""COMPUTED_VALUE"""),107.0)</f>
        <v>107</v>
      </c>
      <c r="B108" s="2" t="str">
        <f>IFERROR(__xludf.DUMMYFUNCTION("""COMPUTED_VALUE"""),"Upper Apsuwa HPP-Sitalpati s/s 132kV Transmission Line Project")</f>
        <v>Upper Apsuwa HPP-Sitalpati s/s 132kV Transmission Line Project</v>
      </c>
      <c r="C108" s="2">
        <f>IFERROR(__xludf.DUMMYFUNCTION("""COMPUTED_VALUE"""),132.0)</f>
        <v>132</v>
      </c>
      <c r="D108" s="2">
        <f>IFERROR(__xludf.DUMMYFUNCTION("""COMPUTED_VALUE"""),22.0)</f>
        <v>22</v>
      </c>
      <c r="E108" s="2">
        <f>IFERROR(__xludf.DUMMYFUNCTION("""COMPUTED_VALUE"""),35.15)</f>
        <v>35.15</v>
      </c>
      <c r="F108" s="2">
        <f>IFERROR(__xludf.DUMMYFUNCTION("""COMPUTED_VALUE"""),734.0)</f>
        <v>734</v>
      </c>
      <c r="G108" s="3">
        <f>IFERROR(__xludf.DUMMYFUNCTION("""COMPUTED_VALUE"""),66684.0)</f>
        <v>66684</v>
      </c>
      <c r="H108" s="3">
        <f>IFERROR(__xludf.DUMMYFUNCTION("""COMPUTED_VALUE"""),67414.0)</f>
        <v>67414</v>
      </c>
      <c r="I108" s="2" t="str">
        <f>IFERROR(__xludf.DUMMYFUNCTION("""COMPUTED_VALUE"""),"Ramjanaki Hydropower Private Limited")</f>
        <v>Ramjanaki Hydropower Private Limited</v>
      </c>
      <c r="J108" s="2" t="str">
        <f>IFERROR(__xludf.DUMMYFUNCTION("""COMPUTED_VALUE"""),"Kathmandu")</f>
        <v>Kathmandu</v>
      </c>
      <c r="K108" s="2" t="str">
        <f>IFERROR(__xludf.DUMMYFUNCTION("""COMPUTED_VALUE"""),"Respective Switchyard of the project")</f>
        <v>Respective Switchyard of the project</v>
      </c>
      <c r="L108" s="2" t="str">
        <f>IFERROR(__xludf.DUMMYFUNCTION("""COMPUTED_VALUE"""),"Sitalpati s/s")</f>
        <v>Sitalpati s/s</v>
      </c>
    </row>
    <row r="109">
      <c r="A109" s="2">
        <f>IFERROR(__xludf.DUMMYFUNCTION("""COMPUTED_VALUE"""),108.0)</f>
        <v>108</v>
      </c>
      <c r="B109" s="2" t="str">
        <f>IFERROR(__xludf.DUMMYFUNCTION("""COMPUTED_VALUE"""),"Super Irkhuwa HPP switchyard -Sitalpati 33 kV Transmission Line Project")</f>
        <v>Super Irkhuwa HPP switchyard -Sitalpati 33 kV Transmission Line Project</v>
      </c>
      <c r="C109" s="2">
        <f>IFERROR(__xludf.DUMMYFUNCTION("""COMPUTED_VALUE"""),33.0)</f>
        <v>33</v>
      </c>
      <c r="D109" s="2">
        <f>IFERROR(__xludf.DUMMYFUNCTION("""COMPUTED_VALUE"""),20.0)</f>
        <v>20</v>
      </c>
      <c r="E109" s="2">
        <f>IFERROR(__xludf.DUMMYFUNCTION("""COMPUTED_VALUE"""),4.925)</f>
        <v>4.925</v>
      </c>
      <c r="F109" s="2">
        <f>IFERROR(__xludf.DUMMYFUNCTION("""COMPUTED_VALUE"""),735.0)</f>
        <v>735</v>
      </c>
      <c r="G109" s="3">
        <f>IFERROR(__xludf.DUMMYFUNCTION("""COMPUTED_VALUE"""),66690.0)</f>
        <v>66690</v>
      </c>
      <c r="H109" s="3">
        <f>IFERROR(__xludf.DUMMYFUNCTION("""COMPUTED_VALUE"""),67420.0)</f>
        <v>67420</v>
      </c>
      <c r="I109" s="2" t="str">
        <f>IFERROR(__xludf.DUMMYFUNCTION("""COMPUTED_VALUE"""),"Bhojpur Siwalaya Power Pvt.Ltd")</f>
        <v>Bhojpur Siwalaya Power Pvt.Ltd</v>
      </c>
      <c r="J109" s="2" t="str">
        <f>IFERROR(__xludf.DUMMYFUNCTION("""COMPUTED_VALUE"""),"Jadibuti,Kathmandu")</f>
        <v>Jadibuti,Kathmandu</v>
      </c>
      <c r="K109" s="2" t="str">
        <f>IFERROR(__xludf.DUMMYFUNCTION("""COMPUTED_VALUE"""),"Respective Switchyard of the project")</f>
        <v>Respective Switchyard of the project</v>
      </c>
      <c r="L109" s="2" t="str">
        <f>IFERROR(__xludf.DUMMYFUNCTION("""COMPUTED_VALUE"""),"Sitalpati s/s")</f>
        <v>Sitalpati s/s</v>
      </c>
    </row>
    <row r="110">
      <c r="A110" s="2">
        <f>IFERROR(__xludf.DUMMYFUNCTION("""COMPUTED_VALUE"""),109.0)</f>
        <v>109</v>
      </c>
      <c r="B110" s="2" t="str">
        <f>IFERROR(__xludf.DUMMYFUNCTION("""COMPUTED_VALUE"""),"Dhalkebar Solar PV 33kV Transmission Line Project")</f>
        <v>Dhalkebar Solar PV 33kV Transmission Line Project</v>
      </c>
      <c r="C110" s="2">
        <f>IFERROR(__xludf.DUMMYFUNCTION("""COMPUTED_VALUE"""),33.0)</f>
        <v>33</v>
      </c>
      <c r="D110" s="2">
        <f>IFERROR(__xludf.DUMMYFUNCTION("""COMPUTED_VALUE"""),5.8)</f>
        <v>5.8</v>
      </c>
      <c r="E110" s="2">
        <f>IFERROR(__xludf.DUMMYFUNCTION("""COMPUTED_VALUE"""),20.0)</f>
        <v>20</v>
      </c>
      <c r="F110" s="2">
        <f>IFERROR(__xludf.DUMMYFUNCTION("""COMPUTED_VALUE"""),736.0)</f>
        <v>736</v>
      </c>
      <c r="G110" s="3">
        <f>IFERROR(__xludf.DUMMYFUNCTION("""COMPUTED_VALUE"""),66697.0)</f>
        <v>66697</v>
      </c>
      <c r="H110" s="3">
        <f>IFERROR(__xludf.DUMMYFUNCTION("""COMPUTED_VALUE"""),67427.0)</f>
        <v>67427</v>
      </c>
      <c r="I110" s="2" t="str">
        <f>IFERROR(__xludf.DUMMYFUNCTION("""COMPUTED_VALUE"""),"Terra Solar energy Limited")</f>
        <v>Terra Solar energy Limited</v>
      </c>
      <c r="J110" s="2" t="str">
        <f>IFERROR(__xludf.DUMMYFUNCTION("""COMPUTED_VALUE"""),"Baluwatar,Kathmandu")</f>
        <v>Baluwatar,Kathmandu</v>
      </c>
      <c r="K110" s="2" t="str">
        <f>IFERROR(__xludf.DUMMYFUNCTION("""COMPUTED_VALUE"""),"Respective Switchyard of the project")</f>
        <v>Respective Switchyard of the project</v>
      </c>
      <c r="L110" s="2" t="str">
        <f>IFERROR(__xludf.DUMMYFUNCTION("""COMPUTED_VALUE"""),"NEA,Dhalkebar s/s")</f>
        <v>NEA,Dhalkebar s/s</v>
      </c>
    </row>
    <row r="111">
      <c r="A111" s="2">
        <f>IFERROR(__xludf.DUMMYFUNCTION("""COMPUTED_VALUE"""),110.0)</f>
        <v>110</v>
      </c>
      <c r="B111" s="2" t="str">
        <f>IFERROR(__xludf.DUMMYFUNCTION("""COMPUTED_VALUE"""),"Kushaha Solar 132kV Transmission Line Project")</f>
        <v>Kushaha Solar 132kV Transmission Line Project</v>
      </c>
      <c r="C111" s="2">
        <f>IFERROR(__xludf.DUMMYFUNCTION("""COMPUTED_VALUE"""),132.0)</f>
        <v>132</v>
      </c>
      <c r="D111" s="2">
        <f>IFERROR(__xludf.DUMMYFUNCTION("""COMPUTED_VALUE"""),3.0)</f>
        <v>3</v>
      </c>
      <c r="E111" s="2">
        <f>IFERROR(__xludf.DUMMYFUNCTION("""COMPUTED_VALUE"""),50.0)</f>
        <v>50</v>
      </c>
      <c r="F111" s="2">
        <f>IFERROR(__xludf.DUMMYFUNCTION("""COMPUTED_VALUE"""),737.0)</f>
        <v>737</v>
      </c>
      <c r="G111" s="3">
        <f>IFERROR(__xludf.DUMMYFUNCTION("""COMPUTED_VALUE"""),66703.0)</f>
        <v>66703</v>
      </c>
      <c r="H111" s="3">
        <f>IFERROR(__xludf.DUMMYFUNCTION("""COMPUTED_VALUE"""),67433.0)</f>
        <v>67433</v>
      </c>
      <c r="I111" s="2" t="str">
        <f>IFERROR(__xludf.DUMMYFUNCTION("""COMPUTED_VALUE"""),"Solaeris energy P.Ltd")</f>
        <v>Solaeris energy P.Ltd</v>
      </c>
      <c r="J111" s="2" t="str">
        <f>IFERROR(__xludf.DUMMYFUNCTION("""COMPUTED_VALUE"""),"Battisputali,Kathmandu")</f>
        <v>Battisputali,Kathmandu</v>
      </c>
      <c r="K111" s="2" t="str">
        <f>IFERROR(__xludf.DUMMYFUNCTION("""COMPUTED_VALUE"""),"Respective Switchyard of the project")</f>
        <v>Respective Switchyard of the project</v>
      </c>
      <c r="L111" s="2" t="str">
        <f>IFERROR(__xludf.DUMMYFUNCTION("""COMPUTED_VALUE"""),"Kushaha s/s")</f>
        <v>Kushaha s/s</v>
      </c>
    </row>
    <row r="112">
      <c r="A112" s="2">
        <f>IFERROR(__xludf.DUMMYFUNCTION("""COMPUTED_VALUE"""),111.0)</f>
        <v>111</v>
      </c>
      <c r="B112" s="2" t="str">
        <f>IFERROR(__xludf.DUMMYFUNCTION("""COMPUTED_VALUE"""),"Lower Balephi -Lamosanghu s/s Transmission Line Project")</f>
        <v>Lower Balephi -Lamosanghu s/s Transmission Line Project</v>
      </c>
      <c r="C112" s="2">
        <f>IFERROR(__xludf.DUMMYFUNCTION("""COMPUTED_VALUE"""),33.0)</f>
        <v>33</v>
      </c>
      <c r="D112" s="2">
        <f>IFERROR(__xludf.DUMMYFUNCTION("""COMPUTED_VALUE"""),11.0)</f>
        <v>11</v>
      </c>
      <c r="E112" s="2">
        <f>IFERROR(__xludf.DUMMYFUNCTION("""COMPUTED_VALUE"""),22.5)</f>
        <v>22.5</v>
      </c>
      <c r="F112" s="2">
        <f>IFERROR(__xludf.DUMMYFUNCTION("""COMPUTED_VALUE"""),738.0)</f>
        <v>738</v>
      </c>
      <c r="G112" s="3">
        <f>IFERROR(__xludf.DUMMYFUNCTION("""COMPUTED_VALUE"""),66723.0)</f>
        <v>66723</v>
      </c>
      <c r="H112" s="3">
        <f>IFERROR(__xludf.DUMMYFUNCTION("""COMPUTED_VALUE"""),67453.0)</f>
        <v>67453</v>
      </c>
      <c r="I112" s="2" t="str">
        <f>IFERROR(__xludf.DUMMYFUNCTION("""COMPUTED_VALUE"""),"Sajha Power Company Limited")</f>
        <v>Sajha Power Company Limited</v>
      </c>
      <c r="J112" s="2" t="str">
        <f>IFERROR(__xludf.DUMMYFUNCTION("""COMPUTED_VALUE"""),"Thapathali,kathmandu")</f>
        <v>Thapathali,kathmandu</v>
      </c>
      <c r="K112" s="2" t="str">
        <f>IFERROR(__xludf.DUMMYFUNCTION("""COMPUTED_VALUE"""),"Respective Switchyard of the project")</f>
        <v>Respective Switchyard of the project</v>
      </c>
      <c r="L112" s="2" t="str">
        <f>IFERROR(__xludf.DUMMYFUNCTION("""COMPUTED_VALUE"""),"Lamosanghu s/s")</f>
        <v>Lamosanghu s/s</v>
      </c>
    </row>
    <row r="113">
      <c r="A113" s="2">
        <f>IFERROR(__xludf.DUMMYFUNCTION("""COMPUTED_VALUE"""),112.0)</f>
        <v>112</v>
      </c>
      <c r="B113" s="2" t="str">
        <f>IFERROR(__xludf.DUMMYFUNCTION("""COMPUTED_VALUE"""),"Nalagumba-Lapsiphedi 220 kV Transmission Line Project")</f>
        <v>Nalagumba-Lapsiphedi 220 kV Transmission Line Project</v>
      </c>
      <c r="C113" s="2">
        <f>IFERROR(__xludf.DUMMYFUNCTION("""COMPUTED_VALUE"""),220.0)</f>
        <v>220</v>
      </c>
      <c r="D113" s="2">
        <f>IFERROR(__xludf.DUMMYFUNCTION("""COMPUTED_VALUE"""),11.0)</f>
        <v>11</v>
      </c>
      <c r="E113" s="2">
        <f>IFERROR(__xludf.DUMMYFUNCTION("""COMPUTED_VALUE"""),1083.0)</f>
        <v>1083</v>
      </c>
      <c r="F113" s="2">
        <f>IFERROR(__xludf.DUMMYFUNCTION("""COMPUTED_VALUE"""),740.0)</f>
        <v>740</v>
      </c>
      <c r="G113" s="3">
        <f>IFERROR(__xludf.DUMMYFUNCTION("""COMPUTED_VALUE"""),66776.0)</f>
        <v>66776</v>
      </c>
      <c r="H113" s="3">
        <f>IFERROR(__xludf.DUMMYFUNCTION("""COMPUTED_VALUE"""),67506.0)</f>
        <v>67506</v>
      </c>
      <c r="I113" s="2" t="str">
        <f>IFERROR(__xludf.DUMMYFUNCTION("""COMPUTED_VALUE"""),"Nepal Electricity Authority")</f>
        <v>Nepal Electricity Authority</v>
      </c>
      <c r="J113" s="2" t="str">
        <f>IFERROR(__xludf.DUMMYFUNCTION("""COMPUTED_VALUE"""),"Durbar Marg, Kathmandu 01-4153007")</f>
        <v>Durbar Marg, Kathmandu 01-4153007</v>
      </c>
      <c r="K113" s="2" t="str">
        <f>IFERROR(__xludf.DUMMYFUNCTION("""COMPUTED_VALUE"""),"Nalagumba s/s")</f>
        <v>Nalagumba s/s</v>
      </c>
      <c r="L113" s="2" t="str">
        <f>IFERROR(__xludf.DUMMYFUNCTION("""COMPUTED_VALUE"""),"Lapsiphedi s/s")</f>
        <v>Lapsiphedi s/s</v>
      </c>
    </row>
    <row r="114">
      <c r="A114" s="2">
        <f>IFERROR(__xludf.DUMMYFUNCTION("""COMPUTED_VALUE"""),113.0)</f>
        <v>113</v>
      </c>
      <c r="B114" s="2" t="str">
        <f>IFERROR(__xludf.DUMMYFUNCTION("""COMPUTED_VALUE"""),"Balephi A HPP - Pangtan Substation 33 kV Transmission Line Project")</f>
        <v>Balephi A HPP - Pangtan Substation 33 kV Transmission Line Project</v>
      </c>
      <c r="C114" s="2">
        <f>IFERROR(__xludf.DUMMYFUNCTION("""COMPUTED_VALUE"""),33.0)</f>
        <v>33</v>
      </c>
      <c r="D114" s="2">
        <f>IFERROR(__xludf.DUMMYFUNCTION("""COMPUTED_VALUE"""),9.0)</f>
        <v>9</v>
      </c>
      <c r="E114" s="2">
        <f>IFERROR(__xludf.DUMMYFUNCTION("""COMPUTED_VALUE"""),22.14)</f>
        <v>22.14</v>
      </c>
      <c r="F114" s="2">
        <f>IFERROR(__xludf.DUMMYFUNCTION("""COMPUTED_VALUE"""),741.0)</f>
        <v>741</v>
      </c>
      <c r="G114" s="3">
        <f>IFERROR(__xludf.DUMMYFUNCTION("""COMPUTED_VALUE"""),66790.0)</f>
        <v>66790</v>
      </c>
      <c r="H114" s="3">
        <f>IFERROR(__xludf.DUMMYFUNCTION("""COMPUTED_VALUE"""),67520.0)</f>
        <v>67520</v>
      </c>
      <c r="I114" s="2" t="str">
        <f>IFERROR(__xludf.DUMMYFUNCTION("""COMPUTED_VALUE"""),"Moonlight Hydropower Company Limited")</f>
        <v>Moonlight Hydropower Company Limited</v>
      </c>
      <c r="J114" s="2" t="str">
        <f>IFERROR(__xludf.DUMMYFUNCTION("""COMPUTED_VALUE"""),"kalopul,Kathmandu")</f>
        <v>kalopul,Kathmandu</v>
      </c>
      <c r="K114" s="2" t="str">
        <f>IFERROR(__xludf.DUMMYFUNCTION("""COMPUTED_VALUE"""),"Respective Switchyard of the project")</f>
        <v>Respective Switchyard of the project</v>
      </c>
      <c r="L114" s="2" t="str">
        <f>IFERROR(__xludf.DUMMYFUNCTION("""COMPUTED_VALUE"""),"Pangtan s/s")</f>
        <v>Pangtan s/s</v>
      </c>
    </row>
    <row r="115">
      <c r="A115" s="2">
        <f>IFERROR(__xludf.DUMMYFUNCTION("""COMPUTED_VALUE"""),114.0)</f>
        <v>114</v>
      </c>
      <c r="B115" s="2" t="str">
        <f>IFERROR(__xludf.DUMMYFUNCTION("""COMPUTED_VALUE"""),"Pikhuwa Khola(khawa) HPP 33kV Transmission Line Project")</f>
        <v>Pikhuwa Khola(khawa) HPP 33kV Transmission Line Project</v>
      </c>
      <c r="C115" s="2">
        <f>IFERROR(__xludf.DUMMYFUNCTION("""COMPUTED_VALUE"""),33.0)</f>
        <v>33</v>
      </c>
      <c r="D115" s="2">
        <f>IFERROR(__xludf.DUMMYFUNCTION("""COMPUTED_VALUE"""),36.0)</f>
        <v>36</v>
      </c>
      <c r="E115" s="2">
        <f>IFERROR(__xludf.DUMMYFUNCTION("""COMPUTED_VALUE"""),6.74)</f>
        <v>6.74</v>
      </c>
      <c r="F115" s="2">
        <f>IFERROR(__xludf.DUMMYFUNCTION("""COMPUTED_VALUE"""),742.0)</f>
        <v>742</v>
      </c>
      <c r="G115" s="3">
        <f>IFERROR(__xludf.DUMMYFUNCTION("""COMPUTED_VALUE"""),66794.0)</f>
        <v>66794</v>
      </c>
      <c r="H115" s="3">
        <f>IFERROR(__xludf.DUMMYFUNCTION("""COMPUTED_VALUE"""),67524.0)</f>
        <v>67524</v>
      </c>
      <c r="I115" s="2" t="str">
        <f>IFERROR(__xludf.DUMMYFUNCTION("""COMPUTED_VALUE"""),"Aspire Power Company Pvt.Ltd")</f>
        <v>Aspire Power Company Pvt.Ltd</v>
      </c>
      <c r="J115" s="2" t="str">
        <f>IFERROR(__xludf.DUMMYFUNCTION("""COMPUTED_VALUE"""),"Kathmandu")</f>
        <v>Kathmandu</v>
      </c>
      <c r="K115" s="2" t="str">
        <f>IFERROR(__xludf.DUMMYFUNCTION("""COMPUTED_VALUE"""),"Respective Switchyard of the project")</f>
        <v>Respective Switchyard of the project</v>
      </c>
      <c r="L115" s="2" t="str">
        <f>IFERROR(__xludf.DUMMYFUNCTION("""COMPUTED_VALUE"""),"Tumlingtar s/s")</f>
        <v>Tumlingtar s/s</v>
      </c>
    </row>
    <row r="116">
      <c r="A116" s="2">
        <f>IFERROR(__xludf.DUMMYFUNCTION("""COMPUTED_VALUE"""),115.0)</f>
        <v>115</v>
      </c>
      <c r="B116" s="2" t="str">
        <f>IFERROR(__xludf.DUMMYFUNCTION("""COMPUTED_VALUE"""),"Rawa Khola HPP 33kV transmission Line Project")</f>
        <v>Rawa Khola HPP 33kV transmission Line Project</v>
      </c>
      <c r="C116" s="2">
        <f>IFERROR(__xludf.DUMMYFUNCTION("""COMPUTED_VALUE"""),33.0)</f>
        <v>33</v>
      </c>
      <c r="D116" s="2">
        <f>IFERROR(__xludf.DUMMYFUNCTION("""COMPUTED_VALUE"""),14.0)</f>
        <v>14</v>
      </c>
      <c r="E116" s="2">
        <f>IFERROR(__xludf.DUMMYFUNCTION("""COMPUTED_VALUE"""),6.7)</f>
        <v>6.7</v>
      </c>
      <c r="F116" s="2">
        <f>IFERROR(__xludf.DUMMYFUNCTION("""COMPUTED_VALUE"""),743.0)</f>
        <v>743</v>
      </c>
      <c r="G116" s="3">
        <f>IFERROR(__xludf.DUMMYFUNCTION("""COMPUTED_VALUE"""),66812.0)</f>
        <v>66812</v>
      </c>
      <c r="H116" s="3">
        <f>IFERROR(__xludf.DUMMYFUNCTION("""COMPUTED_VALUE"""),67542.0)</f>
        <v>67542</v>
      </c>
      <c r="I116" s="2" t="str">
        <f>IFERROR(__xludf.DUMMYFUNCTION("""COMPUTED_VALUE"""),"Haleshi Hydropower Pvt.ltd")</f>
        <v>Haleshi Hydropower Pvt.ltd</v>
      </c>
      <c r="J116" s="2" t="str">
        <f>IFERROR(__xludf.DUMMYFUNCTION("""COMPUTED_VALUE"""),"Kathmandu")</f>
        <v>Kathmandu</v>
      </c>
      <c r="K116" s="2" t="str">
        <f>IFERROR(__xludf.DUMMYFUNCTION("""COMPUTED_VALUE"""),"Respective Switchyard of thePproject")</f>
        <v>Respective Switchyard of thePproject</v>
      </c>
      <c r="L116" s="2" t="str">
        <f>IFERROR(__xludf.DUMMYFUNCTION("""COMPUTED_VALUE"""),"Buipa s/s")</f>
        <v>Buipa s/s</v>
      </c>
    </row>
    <row r="117">
      <c r="A117" s="2">
        <f>IFERROR(__xludf.DUMMYFUNCTION("""COMPUTED_VALUE"""),116.0)</f>
        <v>116</v>
      </c>
      <c r="B117" s="2" t="str">
        <f>IFERROR(__xludf.DUMMYFUNCTION("""COMPUTED_VALUE"""),"Tadi Ghyangphedi HPP 33 kV Transmission lIne Project")</f>
        <v>Tadi Ghyangphedi HPP 33 kV Transmission lIne Project</v>
      </c>
      <c r="C117" s="2">
        <f>IFERROR(__xludf.DUMMYFUNCTION("""COMPUTED_VALUE"""),33.0)</f>
        <v>33</v>
      </c>
      <c r="D117" s="2">
        <f>IFERROR(__xludf.DUMMYFUNCTION("""COMPUTED_VALUE"""),4.0)</f>
        <v>4</v>
      </c>
      <c r="E117" s="2">
        <f>IFERROR(__xludf.DUMMYFUNCTION("""COMPUTED_VALUE"""),8.0)</f>
        <v>8</v>
      </c>
      <c r="F117" s="2">
        <f>IFERROR(__xludf.DUMMYFUNCTION("""COMPUTED_VALUE"""),744.0)</f>
        <v>744</v>
      </c>
      <c r="G117" s="3">
        <f>IFERROR(__xludf.DUMMYFUNCTION("""COMPUTED_VALUE"""),66813.0)</f>
        <v>66813</v>
      </c>
      <c r="H117" s="3">
        <f>IFERROR(__xludf.DUMMYFUNCTION("""COMPUTED_VALUE"""),67543.0)</f>
        <v>67543</v>
      </c>
      <c r="I117" s="2" t="str">
        <f>IFERROR(__xludf.DUMMYFUNCTION("""COMPUTED_VALUE"""),"ABP Energy P.Ltd")</f>
        <v>ABP Energy P.Ltd</v>
      </c>
      <c r="J117" s="2" t="str">
        <f>IFERROR(__xludf.DUMMYFUNCTION("""COMPUTED_VALUE"""),"Panipokhari ,Kathmandu")</f>
        <v>Panipokhari ,Kathmandu</v>
      </c>
      <c r="K117" s="2" t="str">
        <f>IFERROR(__xludf.DUMMYFUNCTION("""COMPUTED_VALUE"""),"Respective Switchyard of the project")</f>
        <v>Respective Switchyard of the project</v>
      </c>
      <c r="L117" s="2" t="str">
        <f>IFERROR(__xludf.DUMMYFUNCTION("""COMPUTED_VALUE"""),"Switchyard of Upper Tadi Khola HPP")</f>
        <v>Switchyard of Upper Tadi Khola HPP</v>
      </c>
    </row>
    <row r="118">
      <c r="A118" s="2">
        <f>IFERROR(__xludf.DUMMYFUNCTION("""COMPUTED_VALUE"""),117.0)</f>
        <v>117</v>
      </c>
      <c r="B118" s="2" t="str">
        <f>IFERROR(__xludf.DUMMYFUNCTION("""COMPUTED_VALUE"""),"Samundratar-Tokha 132kV Transmission Line Project")</f>
        <v>Samundratar-Tokha 132kV Transmission Line Project</v>
      </c>
      <c r="C118" s="2">
        <f>IFERROR(__xludf.DUMMYFUNCTION("""COMPUTED_VALUE"""),132.0)</f>
        <v>132</v>
      </c>
      <c r="D118" s="2">
        <f>IFERROR(__xludf.DUMMYFUNCTION("""COMPUTED_VALUE"""),24.0)</f>
        <v>24</v>
      </c>
      <c r="E118" s="2">
        <f>IFERROR(__xludf.DUMMYFUNCTION("""COMPUTED_VALUE"""),225.0)</f>
        <v>225</v>
      </c>
      <c r="F118" s="2">
        <f>IFERROR(__xludf.DUMMYFUNCTION("""COMPUTED_VALUE"""),745.0)</f>
        <v>745</v>
      </c>
      <c r="G118" s="3">
        <f>IFERROR(__xludf.DUMMYFUNCTION("""COMPUTED_VALUE"""),66825.0)</f>
        <v>66825</v>
      </c>
      <c r="H118" s="3">
        <f>IFERROR(__xludf.DUMMYFUNCTION("""COMPUTED_VALUE"""),67555.0)</f>
        <v>67555</v>
      </c>
      <c r="I118" s="2" t="str">
        <f>IFERROR(__xludf.DUMMYFUNCTION("""COMPUTED_VALUE"""),"Nepal Electricity Authority")</f>
        <v>Nepal Electricity Authority</v>
      </c>
      <c r="J118" s="2" t="str">
        <f>IFERROR(__xludf.DUMMYFUNCTION("""COMPUTED_VALUE"""),"Durbar Marg, Kathmandu 01-4153007")</f>
        <v>Durbar Marg, Kathmandu 01-4153007</v>
      </c>
      <c r="K118" s="2" t="str">
        <f>IFERROR(__xludf.DUMMYFUNCTION("""COMPUTED_VALUE"""),"Samundratar s/s")</f>
        <v>Samundratar s/s</v>
      </c>
      <c r="L118" s="2" t="str">
        <f>IFERROR(__xludf.DUMMYFUNCTION("""COMPUTED_VALUE"""),"Tokha s/s")</f>
        <v>Tokha s/s</v>
      </c>
    </row>
    <row r="119">
      <c r="A119" s="2">
        <f>IFERROR(__xludf.DUMMYFUNCTION("""COMPUTED_VALUE"""),118.0)</f>
        <v>118</v>
      </c>
      <c r="B119" s="2" t="str">
        <f>IFERROR(__xludf.DUMMYFUNCTION("""COMPUTED_VALUE"""),"Lahan Solar 33 kV Transmission Line Project")</f>
        <v>Lahan Solar 33 kV Transmission Line Project</v>
      </c>
      <c r="C119" s="2">
        <f>IFERROR(__xludf.DUMMYFUNCTION("""COMPUTED_VALUE"""),33.0)</f>
        <v>33</v>
      </c>
      <c r="D119" s="2">
        <f>IFERROR(__xludf.DUMMYFUNCTION("""COMPUTED_VALUE"""),2.0)</f>
        <v>2</v>
      </c>
      <c r="E119" s="2">
        <f>IFERROR(__xludf.DUMMYFUNCTION("""COMPUTED_VALUE"""),10.0)</f>
        <v>10</v>
      </c>
      <c r="F119" s="2">
        <f>IFERROR(__xludf.DUMMYFUNCTION("""COMPUTED_VALUE"""),746.0)</f>
        <v>746</v>
      </c>
      <c r="G119" s="3">
        <f>IFERROR(__xludf.DUMMYFUNCTION("""COMPUTED_VALUE"""),66836.0)</f>
        <v>66836</v>
      </c>
      <c r="H119" s="3">
        <f>IFERROR(__xludf.DUMMYFUNCTION("""COMPUTED_VALUE"""),67566.0)</f>
        <v>67566</v>
      </c>
      <c r="I119" s="2" t="str">
        <f>IFERROR(__xludf.DUMMYFUNCTION("""COMPUTED_VALUE"""),"Eco Sun Power Development Limited")</f>
        <v>Eco Sun Power Development Limited</v>
      </c>
      <c r="J119" s="2" t="str">
        <f>IFERROR(__xludf.DUMMYFUNCTION("""COMPUTED_VALUE"""),"Maitighar - 11, Kathmandu")</f>
        <v>Maitighar - 11, Kathmandu</v>
      </c>
      <c r="K119" s="2" t="str">
        <f>IFERROR(__xludf.DUMMYFUNCTION("""COMPUTED_VALUE"""),"Switchyard of Lahan Solar PV Project")</f>
        <v>Switchyard of Lahan Solar PV Project</v>
      </c>
      <c r="L119" s="2" t="str">
        <f>IFERROR(__xludf.DUMMYFUNCTION("""COMPUTED_VALUE"""),"Lahan Grid Substation of NEA")</f>
        <v>Lahan Grid Substation of NEA</v>
      </c>
    </row>
    <row r="120">
      <c r="A120" s="2">
        <f>IFERROR(__xludf.DUMMYFUNCTION("""COMPUTED_VALUE"""),119.0)</f>
        <v>119</v>
      </c>
      <c r="B120" s="2" t="str">
        <f>IFERROR(__xludf.DUMMYFUNCTION("""COMPUTED_VALUE"""),"Lapa Khola HP 33kV Transmission Line Project")</f>
        <v>Lapa Khola HP 33kV Transmission Line Project</v>
      </c>
      <c r="C120" s="2">
        <f>IFERROR(__xludf.DUMMYFUNCTION("""COMPUTED_VALUE"""),33.0)</f>
        <v>33</v>
      </c>
      <c r="D120" s="2">
        <f>IFERROR(__xludf.DUMMYFUNCTION("""COMPUTED_VALUE"""),1.0)</f>
        <v>1</v>
      </c>
      <c r="E120" s="2">
        <f>IFERROR(__xludf.DUMMYFUNCTION("""COMPUTED_VALUE"""),4.72)</f>
        <v>4.72</v>
      </c>
      <c r="F120" s="2">
        <f>IFERROR(__xludf.DUMMYFUNCTION("""COMPUTED_VALUE"""),747.0)</f>
        <v>747</v>
      </c>
      <c r="G120" s="3">
        <f>IFERROR(__xludf.DUMMYFUNCTION("""COMPUTED_VALUE"""),66836.0)</f>
        <v>66836</v>
      </c>
      <c r="H120" s="3">
        <f>IFERROR(__xludf.DUMMYFUNCTION("""COMPUTED_VALUE"""),67566.0)</f>
        <v>67566</v>
      </c>
      <c r="I120" s="2" t="str">
        <f>IFERROR(__xludf.DUMMYFUNCTION("""COMPUTED_VALUE"""),"Harmony Initiative P. Ltd")</f>
        <v>Harmony Initiative P. Ltd</v>
      </c>
      <c r="J120" s="2" t="str">
        <f>IFERROR(__xludf.DUMMYFUNCTION("""COMPUTED_VALUE"""),"Tokha,Kathmandu")</f>
        <v>Tokha,Kathmandu</v>
      </c>
      <c r="K120" s="2" t="str">
        <f>IFERROR(__xludf.DUMMYFUNCTION("""COMPUTED_VALUE"""),"Respective Switchyard of the project")</f>
        <v>Respective Switchyard of the project</v>
      </c>
      <c r="L120" s="2" t="str">
        <f>IFERROR(__xludf.DUMMYFUNCTION("""COMPUTED_VALUE"""),"Borang s/s")</f>
        <v>Borang s/s</v>
      </c>
    </row>
    <row r="121">
      <c r="A121" s="2">
        <f>IFERROR(__xludf.DUMMYFUNCTION("""COMPUTED_VALUE"""),120.0)</f>
        <v>120</v>
      </c>
      <c r="B121" s="2" t="str">
        <f>IFERROR(__xludf.DUMMYFUNCTION("""COMPUTED_VALUE"""),"Aurahi 2 Solar 33 kV Transmission Line Project")</f>
        <v>Aurahi 2 Solar 33 kV Transmission Line Project</v>
      </c>
      <c r="C121" s="2">
        <f>IFERROR(__xludf.DUMMYFUNCTION("""COMPUTED_VALUE"""),33.0)</f>
        <v>33</v>
      </c>
      <c r="D121" s="2">
        <f>IFERROR(__xludf.DUMMYFUNCTION("""COMPUTED_VALUE"""),4.0)</f>
        <v>4</v>
      </c>
      <c r="E121" s="2">
        <f>IFERROR(__xludf.DUMMYFUNCTION("""COMPUTED_VALUE"""),5.0)</f>
        <v>5</v>
      </c>
      <c r="F121" s="2">
        <f>IFERROR(__xludf.DUMMYFUNCTION("""COMPUTED_VALUE"""),748.0)</f>
        <v>748</v>
      </c>
      <c r="G121" s="3">
        <f>IFERROR(__xludf.DUMMYFUNCTION("""COMPUTED_VALUE"""),66836.0)</f>
        <v>66836</v>
      </c>
      <c r="H121" s="3">
        <f>IFERROR(__xludf.DUMMYFUNCTION("""COMPUTED_VALUE"""),67566.0)</f>
        <v>67566</v>
      </c>
      <c r="I121" s="2" t="str">
        <f>IFERROR(__xludf.DUMMYFUNCTION("""COMPUTED_VALUE"""),"Eco Global Power Development Limited")</f>
        <v>Eco Global Power Development Limited</v>
      </c>
      <c r="J121" s="2" t="str">
        <f>IFERROR(__xludf.DUMMYFUNCTION("""COMPUTED_VALUE"""),"Maitighar - 11, Kathmandu")</f>
        <v>Maitighar - 11, Kathmandu</v>
      </c>
      <c r="K121" s="2" t="str">
        <f>IFERROR(__xludf.DUMMYFUNCTION("""COMPUTED_VALUE"""),"Switchyard of Aurahi 2 Solar PV Project")</f>
        <v>Switchyard of Aurahi 2 Solar PV Project</v>
      </c>
      <c r="L121" s="2" t="str">
        <f>IFERROR(__xludf.DUMMYFUNCTION("""COMPUTED_VALUE"""),"Aurahi Substation of NEA")</f>
        <v>Aurahi Substation of NEA</v>
      </c>
    </row>
    <row r="122">
      <c r="A122" s="2">
        <f>IFERROR(__xludf.DUMMYFUNCTION("""COMPUTED_VALUE"""),121.0)</f>
        <v>121</v>
      </c>
      <c r="B122" s="2" t="str">
        <f>IFERROR(__xludf.DUMMYFUNCTION("""COMPUTED_VALUE"""),"Dhanushadham Solar 33 kV Transmission Line Project")</f>
        <v>Dhanushadham Solar 33 kV Transmission Line Project</v>
      </c>
      <c r="C122" s="2">
        <f>IFERROR(__xludf.DUMMYFUNCTION("""COMPUTED_VALUE"""),33.0)</f>
        <v>33</v>
      </c>
      <c r="D122" s="2">
        <f>IFERROR(__xludf.DUMMYFUNCTION("""COMPUTED_VALUE"""),4.0)</f>
        <v>4</v>
      </c>
      <c r="E122" s="2">
        <f>IFERROR(__xludf.DUMMYFUNCTION("""COMPUTED_VALUE"""),9.5)</f>
        <v>9.5</v>
      </c>
      <c r="F122" s="2">
        <f>IFERROR(__xludf.DUMMYFUNCTION("""COMPUTED_VALUE"""),749.0)</f>
        <v>749</v>
      </c>
      <c r="G122" s="3">
        <f>IFERROR(__xludf.DUMMYFUNCTION("""COMPUTED_VALUE"""),66836.0)</f>
        <v>66836</v>
      </c>
      <c r="H122" s="3">
        <f>IFERROR(__xludf.DUMMYFUNCTION("""COMPUTED_VALUE"""),67566.0)</f>
        <v>67566</v>
      </c>
      <c r="I122" s="2" t="str">
        <f>IFERROR(__xludf.DUMMYFUNCTION("""COMPUTED_VALUE"""),"Eco Global Power Development Limited")</f>
        <v>Eco Global Power Development Limited</v>
      </c>
      <c r="J122" s="2" t="str">
        <f>IFERROR(__xludf.DUMMYFUNCTION("""COMPUTED_VALUE"""),"Maitighar - 11, Kathmandu")</f>
        <v>Maitighar - 11, Kathmandu</v>
      </c>
      <c r="K122" s="2" t="str">
        <f>IFERROR(__xludf.DUMMYFUNCTION("""COMPUTED_VALUE"""),"Switchyard of Dhanushadham Solar PV Proj")</f>
        <v>Switchyard of Dhanushadham Solar PV Proj</v>
      </c>
      <c r="L122" s="2" t="str">
        <f>IFERROR(__xludf.DUMMYFUNCTION("""COMPUTED_VALUE"""),"Dhanushadham Substation of NEA")</f>
        <v>Dhanushadham Substation of NEA</v>
      </c>
    </row>
    <row r="123">
      <c r="A123" s="2">
        <f>IFERROR(__xludf.DUMMYFUNCTION("""COMPUTED_VALUE"""),122.0)</f>
        <v>122</v>
      </c>
      <c r="B123" s="2" t="str">
        <f>IFERROR(__xludf.DUMMYFUNCTION("""COMPUTED_VALUE"""),"Super Melamchi HPP -Samundratar132kV Transmission line Project")</f>
        <v>Super Melamchi HPP -Samundratar132kV Transmission line Project</v>
      </c>
      <c r="C123" s="2">
        <f>IFERROR(__xludf.DUMMYFUNCTION("""COMPUTED_VALUE"""),132.0)</f>
        <v>132</v>
      </c>
      <c r="D123" s="2">
        <f>IFERROR(__xludf.DUMMYFUNCTION("""COMPUTED_VALUE"""),20.0)</f>
        <v>20</v>
      </c>
      <c r="E123" s="2">
        <f>IFERROR(__xludf.DUMMYFUNCTION("""COMPUTED_VALUE"""),23.6)</f>
        <v>23.6</v>
      </c>
      <c r="F123" s="2">
        <f>IFERROR(__xludf.DUMMYFUNCTION("""COMPUTED_VALUE"""),750.0)</f>
        <v>750</v>
      </c>
      <c r="G123" s="3">
        <f>IFERROR(__xludf.DUMMYFUNCTION("""COMPUTED_VALUE"""),66837.0)</f>
        <v>66837</v>
      </c>
      <c r="H123" s="3">
        <f>IFERROR(__xludf.DUMMYFUNCTION("""COMPUTED_VALUE"""),67567.0)</f>
        <v>67567</v>
      </c>
      <c r="I123" s="2" t="str">
        <f>IFERROR(__xludf.DUMMYFUNCTION("""COMPUTED_VALUE"""),"MIlarepa Energy Pvt.Ltd")</f>
        <v>MIlarepa Energy Pvt.Ltd</v>
      </c>
      <c r="J123" s="2" t="str">
        <f>IFERROR(__xludf.DUMMYFUNCTION("""COMPUTED_VALUE"""),"Subhidanagar,kathmandu")</f>
        <v>Subhidanagar,kathmandu</v>
      </c>
      <c r="K123" s="2" t="str">
        <f>IFERROR(__xludf.DUMMYFUNCTION("""COMPUTED_VALUE"""),"Respective Switchyard of the project")</f>
        <v>Respective Switchyard of the project</v>
      </c>
      <c r="L123" s="2" t="str">
        <f>IFERROR(__xludf.DUMMYFUNCTION("""COMPUTED_VALUE"""),"Samundratar s/s")</f>
        <v>Samundratar s/s</v>
      </c>
    </row>
    <row r="124">
      <c r="A124" s="2">
        <f>IFERROR(__xludf.DUMMYFUNCTION("""COMPUTED_VALUE"""),123.0)</f>
        <v>123</v>
      </c>
      <c r="B124" s="2" t="str">
        <f>IFERROR(__xludf.DUMMYFUNCTION("""COMPUTED_VALUE"""),"Sani Bheri -3 HPP-Bafikot 132kV Transmission Line Project")</f>
        <v>Sani Bheri -3 HPP-Bafikot 132kV Transmission Line Project</v>
      </c>
      <c r="C124" s="2">
        <f>IFERROR(__xludf.DUMMYFUNCTION("""COMPUTED_VALUE"""),132.0)</f>
        <v>132</v>
      </c>
      <c r="D124" s="2">
        <f>IFERROR(__xludf.DUMMYFUNCTION("""COMPUTED_VALUE"""),4.5)</f>
        <v>4.5</v>
      </c>
      <c r="E124" s="2">
        <f>IFERROR(__xludf.DUMMYFUNCTION("""COMPUTED_VALUE"""),47.72)</f>
        <v>47.72</v>
      </c>
      <c r="F124" s="2">
        <f>IFERROR(__xludf.DUMMYFUNCTION("""COMPUTED_VALUE"""),751.0)</f>
        <v>751</v>
      </c>
      <c r="G124" s="3">
        <f>IFERROR(__xludf.DUMMYFUNCTION("""COMPUTED_VALUE"""),66843.0)</f>
        <v>66843</v>
      </c>
      <c r="H124" s="3">
        <f>IFERROR(__xludf.DUMMYFUNCTION("""COMPUTED_VALUE"""),67573.0)</f>
        <v>67573</v>
      </c>
      <c r="I124" s="2" t="str">
        <f>IFERROR(__xludf.DUMMYFUNCTION("""COMPUTED_VALUE"""),"Sani Bheri Hydropower Company Pvt.Ltd")</f>
        <v>Sani Bheri Hydropower Company Pvt.Ltd</v>
      </c>
      <c r="J124" s="2" t="str">
        <f>IFERROR(__xludf.DUMMYFUNCTION("""COMPUTED_VALUE"""),"Budhanilkantha,kathmanu")</f>
        <v>Budhanilkantha,kathmanu</v>
      </c>
      <c r="K124" s="2" t="str">
        <f>IFERROR(__xludf.DUMMYFUNCTION("""COMPUTED_VALUE"""),"Respective Switchyard of the project")</f>
        <v>Respective Switchyard of the project</v>
      </c>
      <c r="L124" s="2" t="str">
        <f>IFERROR(__xludf.DUMMYFUNCTION("""COMPUTED_VALUE"""),"Bafikot s/s")</f>
        <v>Bafikot s/s</v>
      </c>
    </row>
    <row r="125">
      <c r="A125" s="2">
        <f>IFERROR(__xludf.DUMMYFUNCTION("""COMPUTED_VALUE"""),124.0)</f>
        <v>124</v>
      </c>
      <c r="B125" s="2" t="str">
        <f>IFERROR(__xludf.DUMMYFUNCTION("""COMPUTED_VALUE"""),"Sirutar-Nalagumba 220kV Transmission Line Project")</f>
        <v>Sirutar-Nalagumba 220kV Transmission Line Project</v>
      </c>
      <c r="C125" s="2">
        <f>IFERROR(__xludf.DUMMYFUNCTION("""COMPUTED_VALUE"""),220.0)</f>
        <v>220</v>
      </c>
      <c r="D125" s="2">
        <f>IFERROR(__xludf.DUMMYFUNCTION("""COMPUTED_VALUE"""),12.0)</f>
        <v>12</v>
      </c>
      <c r="E125" s="2">
        <f>IFERROR(__xludf.DUMMYFUNCTION("""COMPUTED_VALUE"""),1083.0)</f>
        <v>1083</v>
      </c>
      <c r="F125" s="2">
        <f>IFERROR(__xludf.DUMMYFUNCTION("""COMPUTED_VALUE"""),752.0)</f>
        <v>752</v>
      </c>
      <c r="G125" s="3">
        <f>IFERROR(__xludf.DUMMYFUNCTION("""COMPUTED_VALUE"""),66848.0)</f>
        <v>66848</v>
      </c>
      <c r="H125" s="3">
        <f>IFERROR(__xludf.DUMMYFUNCTION("""COMPUTED_VALUE"""),67578.0)</f>
        <v>67578</v>
      </c>
      <c r="I125" s="2" t="str">
        <f>IFERROR(__xludf.DUMMYFUNCTION("""COMPUTED_VALUE"""),"Nepal Electricity Authority")</f>
        <v>Nepal Electricity Authority</v>
      </c>
      <c r="J125" s="2" t="str">
        <f>IFERROR(__xludf.DUMMYFUNCTION("""COMPUTED_VALUE"""),"Durbar Marg, Kathmandu 01-4153007")</f>
        <v>Durbar Marg, Kathmandu 01-4153007</v>
      </c>
      <c r="K125" s="2" t="str">
        <f>IFERROR(__xludf.DUMMYFUNCTION("""COMPUTED_VALUE"""),"Sirutar s/s")</f>
        <v>Sirutar s/s</v>
      </c>
      <c r="L125" s="2" t="str">
        <f>IFERROR(__xludf.DUMMYFUNCTION("""COMPUTED_VALUE"""),"Nalagumba s/s")</f>
        <v>Nalagumba s/s</v>
      </c>
    </row>
    <row r="126">
      <c r="A126" s="2">
        <f>IFERROR(__xludf.DUMMYFUNCTION("""COMPUTED_VALUE"""),125.0)</f>
        <v>125</v>
      </c>
      <c r="B126" s="2" t="str">
        <f>IFERROR(__xludf.DUMMYFUNCTION("""COMPUTED_VALUE"""),"Godak-Anarmani 132kV Transmission Line Project")</f>
        <v>Godak-Anarmani 132kV Transmission Line Project</v>
      </c>
      <c r="C126" s="2">
        <f>IFERROR(__xludf.DUMMYFUNCTION("""COMPUTED_VALUE"""),132.0)</f>
        <v>132</v>
      </c>
      <c r="D126" s="2">
        <f>IFERROR(__xludf.DUMMYFUNCTION("""COMPUTED_VALUE"""),39.0)</f>
        <v>39</v>
      </c>
      <c r="E126" s="2">
        <f>IFERROR(__xludf.DUMMYFUNCTION("""COMPUTED_VALUE"""),200.0)</f>
        <v>200</v>
      </c>
      <c r="F126" s="2">
        <f>IFERROR(__xludf.DUMMYFUNCTION("""COMPUTED_VALUE"""),753.0)</f>
        <v>753</v>
      </c>
      <c r="G126" s="3">
        <f>IFERROR(__xludf.DUMMYFUNCTION("""COMPUTED_VALUE"""),66849.0)</f>
        <v>66849</v>
      </c>
      <c r="H126" s="3">
        <f>IFERROR(__xludf.DUMMYFUNCTION("""COMPUTED_VALUE"""),67579.0)</f>
        <v>67579</v>
      </c>
      <c r="I126" s="2" t="str">
        <f>IFERROR(__xludf.DUMMYFUNCTION("""COMPUTED_VALUE"""),"Nepal Electricity Authority")</f>
        <v>Nepal Electricity Authority</v>
      </c>
      <c r="J126" s="2" t="str">
        <f>IFERROR(__xludf.DUMMYFUNCTION("""COMPUTED_VALUE"""),"Durbar Marg, Kathmandu 01-4153007")</f>
        <v>Durbar Marg, Kathmandu 01-4153007</v>
      </c>
      <c r="K126" s="2" t="str">
        <f>IFERROR(__xludf.DUMMYFUNCTION("""COMPUTED_VALUE"""),"Godak s/s")</f>
        <v>Godak s/s</v>
      </c>
      <c r="L126" s="2" t="str">
        <f>IFERROR(__xludf.DUMMYFUNCTION("""COMPUTED_VALUE"""),"Anarmani s/s")</f>
        <v>Anarmani s/s</v>
      </c>
    </row>
    <row r="127">
      <c r="A127" s="2">
        <f>IFERROR(__xludf.DUMMYFUNCTION("""COMPUTED_VALUE"""),126.0)</f>
        <v>126</v>
      </c>
      <c r="B127" s="2" t="str">
        <f>IFERROR(__xludf.DUMMYFUNCTION("""COMPUTED_VALUE"""),"Dhalkebar -2 Solar Project- Dhalkebar s/s 33kV Transmission Line Project")</f>
        <v>Dhalkebar -2 Solar Project- Dhalkebar s/s 33kV Transmission Line Project</v>
      </c>
      <c r="C127" s="2">
        <f>IFERROR(__xludf.DUMMYFUNCTION("""COMPUTED_VALUE"""),33.0)</f>
        <v>33</v>
      </c>
      <c r="D127" s="2">
        <f>IFERROR(__xludf.DUMMYFUNCTION("""COMPUTED_VALUE"""),1.7)</f>
        <v>1.7</v>
      </c>
      <c r="E127" s="2">
        <f>IFERROR(__xludf.DUMMYFUNCTION("""COMPUTED_VALUE"""),30.0)</f>
        <v>30</v>
      </c>
      <c r="F127" s="2">
        <f>IFERROR(__xludf.DUMMYFUNCTION("""COMPUTED_VALUE"""),754.0)</f>
        <v>754</v>
      </c>
      <c r="G127" s="3">
        <f>IFERROR(__xludf.DUMMYFUNCTION("""COMPUTED_VALUE"""),66852.0)</f>
        <v>66852</v>
      </c>
      <c r="H127" s="3">
        <f>IFERROR(__xludf.DUMMYFUNCTION("""COMPUTED_VALUE"""),67582.0)</f>
        <v>67582</v>
      </c>
      <c r="I127" s="2" t="str">
        <f>IFERROR(__xludf.DUMMYFUNCTION("""COMPUTED_VALUE"""),"Integrated Energy And Industrial Interprises P.ltd")</f>
        <v>Integrated Energy And Industrial Interprises P.ltd</v>
      </c>
      <c r="J127" s="2" t="str">
        <f>IFERROR(__xludf.DUMMYFUNCTION("""COMPUTED_VALUE"""),"Krishnagalli-3 Lalitpur")</f>
        <v>Krishnagalli-3 Lalitpur</v>
      </c>
      <c r="K127" s="2" t="str">
        <f>IFERROR(__xludf.DUMMYFUNCTION("""COMPUTED_VALUE"""),"Respective Switchyard of the Project")</f>
        <v>Respective Switchyard of the Project</v>
      </c>
      <c r="L127" s="2" t="str">
        <f>IFERROR(__xludf.DUMMYFUNCTION("""COMPUTED_VALUE"""),"Dhalkebar NEA Substation")</f>
        <v>Dhalkebar NEA Substation</v>
      </c>
    </row>
    <row r="128">
      <c r="A128" s="2">
        <f>IFERROR(__xludf.DUMMYFUNCTION("""COMPUTED_VALUE"""),127.0)</f>
        <v>127</v>
      </c>
      <c r="B128" s="2" t="str">
        <f>IFERROR(__xludf.DUMMYFUNCTION("""COMPUTED_VALUE"""),"Haripur Solar Project-Haripur s/s 33kV Transmission Line Project")</f>
        <v>Haripur Solar Project-Haripur s/s 33kV Transmission Line Project</v>
      </c>
      <c r="C128" s="2">
        <f>IFERROR(__xludf.DUMMYFUNCTION("""COMPUTED_VALUE"""),33.0)</f>
        <v>33</v>
      </c>
      <c r="D128" s="2">
        <f>IFERROR(__xludf.DUMMYFUNCTION("""COMPUTED_VALUE"""),4.0)</f>
        <v>4</v>
      </c>
      <c r="E128" s="2">
        <f>IFERROR(__xludf.DUMMYFUNCTION("""COMPUTED_VALUE"""),10.0)</f>
        <v>10</v>
      </c>
      <c r="F128" s="2">
        <f>IFERROR(__xludf.DUMMYFUNCTION("""COMPUTED_VALUE"""),755.0)</f>
        <v>755</v>
      </c>
      <c r="G128" s="3">
        <f>IFERROR(__xludf.DUMMYFUNCTION("""COMPUTED_VALUE"""),66855.0)</f>
        <v>66855</v>
      </c>
      <c r="H128" s="3">
        <f>IFERROR(__xludf.DUMMYFUNCTION("""COMPUTED_VALUE"""),67585.0)</f>
        <v>67585</v>
      </c>
      <c r="I128" s="2" t="str">
        <f>IFERROR(__xludf.DUMMYFUNCTION("""COMPUTED_VALUE"""),"Mithila Solar Energy P.Ltd")</f>
        <v>Mithila Solar Energy P.Ltd</v>
      </c>
      <c r="J128" s="2" t="str">
        <f>IFERROR(__xludf.DUMMYFUNCTION("""COMPUTED_VALUE"""),"Lalitpur-3")</f>
        <v>Lalitpur-3</v>
      </c>
      <c r="K128" s="2" t="str">
        <f>IFERROR(__xludf.DUMMYFUNCTION("""COMPUTED_VALUE"""),"Respective Switchyard of the project")</f>
        <v>Respective Switchyard of the project</v>
      </c>
      <c r="L128" s="2" t="str">
        <f>IFERROR(__xludf.DUMMYFUNCTION("""COMPUTED_VALUE"""),"Haripur s/s")</f>
        <v>Haripur s/s</v>
      </c>
    </row>
    <row r="129">
      <c r="A129" s="2">
        <f>IFERROR(__xludf.DUMMYFUNCTION("""COMPUTED_VALUE"""),128.0)</f>
        <v>128</v>
      </c>
      <c r="B129" s="2" t="str">
        <f>IFERROR(__xludf.DUMMYFUNCTION("""COMPUTED_VALUE"""),"Lapsiphedi-Changunarayan-Mulpani 132kV Transmission Line Project")</f>
        <v>Lapsiphedi-Changunarayan-Mulpani 132kV Transmission Line Project</v>
      </c>
      <c r="C129" s="2">
        <f>IFERROR(__xludf.DUMMYFUNCTION("""COMPUTED_VALUE"""),132.0)</f>
        <v>132</v>
      </c>
      <c r="D129" s="2">
        <f>IFERROR(__xludf.DUMMYFUNCTION("""COMPUTED_VALUE"""),15.8)</f>
        <v>15.8</v>
      </c>
      <c r="E129" s="2">
        <f>IFERROR(__xludf.DUMMYFUNCTION("""COMPUTED_VALUE"""),300.0)</f>
        <v>300</v>
      </c>
      <c r="F129" s="2">
        <f>IFERROR(__xludf.DUMMYFUNCTION("""COMPUTED_VALUE"""),756.0)</f>
        <v>756</v>
      </c>
      <c r="G129" s="3">
        <f>IFERROR(__xludf.DUMMYFUNCTION("""COMPUTED_VALUE"""),66862.0)</f>
        <v>66862</v>
      </c>
      <c r="H129" s="3">
        <f>IFERROR(__xludf.DUMMYFUNCTION("""COMPUTED_VALUE"""),67592.0)</f>
        <v>67592</v>
      </c>
      <c r="I129" s="2" t="str">
        <f>IFERROR(__xludf.DUMMYFUNCTION("""COMPUTED_VALUE"""),"Nepal Electricity Authority")</f>
        <v>Nepal Electricity Authority</v>
      </c>
      <c r="J129" s="2" t="str">
        <f>IFERROR(__xludf.DUMMYFUNCTION("""COMPUTED_VALUE"""),"Durbar Marg, Kathmandu 01-4153007")</f>
        <v>Durbar Marg, Kathmandu 01-4153007</v>
      </c>
      <c r="K129" s="2" t="str">
        <f>IFERROR(__xludf.DUMMYFUNCTION("""COMPUTED_VALUE"""),"Lapsiphedi s/s")</f>
        <v>Lapsiphedi s/s</v>
      </c>
      <c r="L129" s="2" t="str">
        <f>IFERROR(__xludf.DUMMYFUNCTION("""COMPUTED_VALUE"""),"Changunarayan s/s(LILO)")</f>
        <v>Changunarayan s/s(LILO)</v>
      </c>
    </row>
    <row r="130">
      <c r="A130" s="2">
        <f>IFERROR(__xludf.DUMMYFUNCTION("""COMPUTED_VALUE"""),129.0)</f>
        <v>129</v>
      </c>
      <c r="B130" s="2" t="str">
        <f>IFERROR(__xludf.DUMMYFUNCTION("""COMPUTED_VALUE"""),"Tinau Khola small HPP - Jhumsa s/s 33kV Transmission Line Project")</f>
        <v>Tinau Khola small HPP - Jhumsa s/s 33kV Transmission Line Project</v>
      </c>
      <c r="C130" s="2">
        <f>IFERROR(__xludf.DUMMYFUNCTION("""COMPUTED_VALUE"""),33.0)</f>
        <v>33</v>
      </c>
      <c r="D130" s="2">
        <f>IFERROR(__xludf.DUMMYFUNCTION("""COMPUTED_VALUE"""),1.2)</f>
        <v>1.2</v>
      </c>
      <c r="E130" s="2">
        <f>IFERROR(__xludf.DUMMYFUNCTION("""COMPUTED_VALUE"""),3.44)</f>
        <v>3.44</v>
      </c>
      <c r="F130" s="2">
        <f>IFERROR(__xludf.DUMMYFUNCTION("""COMPUTED_VALUE"""),757.0)</f>
        <v>757</v>
      </c>
      <c r="G130" s="3">
        <f>IFERROR(__xludf.DUMMYFUNCTION("""COMPUTED_VALUE"""),66865.0)</f>
        <v>66865</v>
      </c>
      <c r="H130" s="3">
        <f>IFERROR(__xludf.DUMMYFUNCTION("""COMPUTED_VALUE"""),67595.0)</f>
        <v>67595</v>
      </c>
      <c r="I130" s="2" t="str">
        <f>IFERROR(__xludf.DUMMYFUNCTION("""COMPUTED_VALUE"""),"Nama Buddha Hydropower P.Ltd")</f>
        <v>Nama Buddha Hydropower P.Ltd</v>
      </c>
      <c r="J130" s="2" t="str">
        <f>IFERROR(__xludf.DUMMYFUNCTION("""COMPUTED_VALUE"""),"Anamnagar,Kathmandu")</f>
        <v>Anamnagar,Kathmandu</v>
      </c>
      <c r="K130" s="2" t="str">
        <f>IFERROR(__xludf.DUMMYFUNCTION("""COMPUTED_VALUE"""),"Respective Switchyard of the project")</f>
        <v>Respective Switchyard of the project</v>
      </c>
      <c r="L130" s="2" t="str">
        <f>IFERROR(__xludf.DUMMYFUNCTION("""COMPUTED_VALUE"""),"Jhumsa s/s")</f>
        <v>Jhumsa s/s</v>
      </c>
    </row>
    <row r="131">
      <c r="A131" s="2">
        <f>IFERROR(__xludf.DUMMYFUNCTION("""COMPUTED_VALUE"""),130.0)</f>
        <v>130</v>
      </c>
      <c r="B131" s="2" t="str">
        <f>IFERROR(__xludf.DUMMYFUNCTION("""COMPUTED_VALUE"""),"Nar Khola- Dharapani s/s 132kV Transmission Line Project")</f>
        <v>Nar Khola- Dharapani s/s 132kV Transmission Line Project</v>
      </c>
      <c r="C131" s="2">
        <f>IFERROR(__xludf.DUMMYFUNCTION("""COMPUTED_VALUE"""),132.0)</f>
        <v>132</v>
      </c>
      <c r="D131" s="2">
        <f>IFERROR(__xludf.DUMMYFUNCTION("""COMPUTED_VALUE"""),10.0)</f>
        <v>10</v>
      </c>
      <c r="E131" s="2">
        <f>IFERROR(__xludf.DUMMYFUNCTION("""COMPUTED_VALUE"""),65.0)</f>
        <v>65</v>
      </c>
      <c r="F131" s="2">
        <f>IFERROR(__xludf.DUMMYFUNCTION("""COMPUTED_VALUE"""),758.0)</f>
        <v>758</v>
      </c>
      <c r="G131" s="3">
        <f>IFERROR(__xludf.DUMMYFUNCTION("""COMPUTED_VALUE"""),66872.0)</f>
        <v>66872</v>
      </c>
      <c r="H131" s="3">
        <f>IFERROR(__xludf.DUMMYFUNCTION("""COMPUTED_VALUE"""),67602.0)</f>
        <v>67602</v>
      </c>
      <c r="I131" s="2" t="str">
        <f>IFERROR(__xludf.DUMMYFUNCTION("""COMPUTED_VALUE"""),"Nar Khola Hydro Energy P.Ltd")</f>
        <v>Nar Khola Hydro Energy P.Ltd</v>
      </c>
      <c r="J131" s="2" t="str">
        <f>IFERROR(__xludf.DUMMYFUNCTION("""COMPUTED_VALUE"""),"Kathmandu")</f>
        <v>Kathmandu</v>
      </c>
      <c r="K131" s="2" t="str">
        <f>IFERROR(__xludf.DUMMYFUNCTION("""COMPUTED_VALUE"""),"Respective Switchyard of the project")</f>
        <v>Respective Switchyard of the project</v>
      </c>
      <c r="L131" s="2" t="str">
        <f>IFERROR(__xludf.DUMMYFUNCTION("""COMPUTED_VALUE"""),"Dharapani s/s")</f>
        <v>Dharapani s/s</v>
      </c>
    </row>
    <row r="132">
      <c r="A132" s="2">
        <f>IFERROR(__xludf.DUMMYFUNCTION("""COMPUTED_VALUE"""),131.0)</f>
        <v>131</v>
      </c>
      <c r="B132" s="2" t="str">
        <f>IFERROR(__xludf.DUMMYFUNCTION("""COMPUTED_VALUE"""),"Luja khola cascade 132 kV Transmission Line Project")</f>
        <v>Luja khola cascade 132 kV Transmission Line Project</v>
      </c>
      <c r="C132" s="2">
        <f>IFERROR(__xludf.DUMMYFUNCTION("""COMPUTED_VALUE"""),132.0)</f>
        <v>132</v>
      </c>
      <c r="D132" s="2">
        <f>IFERROR(__xludf.DUMMYFUNCTION("""COMPUTED_VALUE"""),2.0)</f>
        <v>2</v>
      </c>
      <c r="E132" s="2">
        <f>IFERROR(__xludf.DUMMYFUNCTION("""COMPUTED_VALUE"""),9.8)</f>
        <v>9.8</v>
      </c>
      <c r="F132" s="2">
        <f>IFERROR(__xludf.DUMMYFUNCTION("""COMPUTED_VALUE"""),759.0)</f>
        <v>759</v>
      </c>
      <c r="G132" s="3">
        <f>IFERROR(__xludf.DUMMYFUNCTION("""COMPUTED_VALUE"""),66879.0)</f>
        <v>66879</v>
      </c>
      <c r="H132" s="3">
        <f>IFERROR(__xludf.DUMMYFUNCTION("""COMPUTED_VALUE"""),67609.0)</f>
        <v>67609</v>
      </c>
      <c r="I132" s="2" t="str">
        <f>IFERROR(__xludf.DUMMYFUNCTION("""COMPUTED_VALUE"""),"Arris Energy P.Ltd")</f>
        <v>Arris Energy P.Ltd</v>
      </c>
      <c r="J132" s="2" t="str">
        <f>IFERROR(__xludf.DUMMYFUNCTION("""COMPUTED_VALUE"""),"Kathmandu-31")</f>
        <v>Kathmandu-31</v>
      </c>
      <c r="K132" s="2" t="str">
        <f>IFERROR(__xludf.DUMMYFUNCTION("""COMPUTED_VALUE"""),"Respective Switchyard of the project")</f>
        <v>Respective Switchyard of the project</v>
      </c>
      <c r="L132" s="2" t="str">
        <f>IFERROR(__xludf.DUMMYFUNCTION("""COMPUTED_VALUE"""),"Luja khola HPP switchyard")</f>
        <v>Luja khola HPP switchyard</v>
      </c>
    </row>
    <row r="133">
      <c r="A133" s="2">
        <f>IFERROR(__xludf.DUMMYFUNCTION("""COMPUTED_VALUE"""),132.0)</f>
        <v>132</v>
      </c>
      <c r="B133" s="2" t="str">
        <f>IFERROR(__xludf.DUMMYFUNCTION("""COMPUTED_VALUE"""),"Lalbandi Solar Project - Nawalpur 33kV Transmission Line Project")</f>
        <v>Lalbandi Solar Project - Nawalpur 33kV Transmission Line Project</v>
      </c>
      <c r="C133" s="2">
        <f>IFERROR(__xludf.DUMMYFUNCTION("""COMPUTED_VALUE"""),33.0)</f>
        <v>33</v>
      </c>
      <c r="D133" s="2">
        <f>IFERROR(__xludf.DUMMYFUNCTION("""COMPUTED_VALUE"""),2.0)</f>
        <v>2</v>
      </c>
      <c r="E133" s="2">
        <f>IFERROR(__xludf.DUMMYFUNCTION("""COMPUTED_VALUE"""),10.0)</f>
        <v>10</v>
      </c>
      <c r="F133" s="2">
        <f>IFERROR(__xludf.DUMMYFUNCTION("""COMPUTED_VALUE"""),760.0)</f>
        <v>760</v>
      </c>
      <c r="G133" s="3">
        <f>IFERROR(__xludf.DUMMYFUNCTION("""COMPUTED_VALUE"""),66891.0)</f>
        <v>66891</v>
      </c>
      <c r="H133" s="3">
        <f>IFERROR(__xludf.DUMMYFUNCTION("""COMPUTED_VALUE"""),67621.0)</f>
        <v>67621</v>
      </c>
      <c r="I133" s="2" t="str">
        <f>IFERROR(__xludf.DUMMYFUNCTION("""COMPUTED_VALUE"""),"Eco gham Power Company P.Ltd")</f>
        <v>Eco gham Power Company P.Ltd</v>
      </c>
      <c r="J133" s="2" t="str">
        <f>IFERROR(__xludf.DUMMYFUNCTION("""COMPUTED_VALUE"""),"Maitighar,Kathmandu")</f>
        <v>Maitighar,Kathmandu</v>
      </c>
      <c r="K133" s="2" t="str">
        <f>IFERROR(__xludf.DUMMYFUNCTION("""COMPUTED_VALUE"""),"Respective Switchyard of the project")</f>
        <v>Respective Switchyard of the project</v>
      </c>
      <c r="L133" s="2" t="str">
        <f>IFERROR(__xludf.DUMMYFUNCTION("""COMPUTED_VALUE"""),"Nawalpur s/s")</f>
        <v>Nawalpur s/s</v>
      </c>
    </row>
    <row r="134">
      <c r="A134" s="2">
        <f>IFERROR(__xludf.DUMMYFUNCTION("""COMPUTED_VALUE"""),133.0)</f>
        <v>133</v>
      </c>
      <c r="B134" s="2" t="str">
        <f>IFERROR(__xludf.DUMMYFUNCTION("""COMPUTED_VALUE"""),"Sunwal Solar PV -New Butwal 33kV Transmission Line Project")</f>
        <v>Sunwal Solar PV -New Butwal 33kV Transmission Line Project</v>
      </c>
      <c r="C134" s="2">
        <f>IFERROR(__xludf.DUMMYFUNCTION("""COMPUTED_VALUE"""),33.0)</f>
        <v>33</v>
      </c>
      <c r="D134" s="2">
        <f>IFERROR(__xludf.DUMMYFUNCTION("""COMPUTED_VALUE"""),4.3)</f>
        <v>4.3</v>
      </c>
      <c r="E134" s="2">
        <f>IFERROR(__xludf.DUMMYFUNCTION("""COMPUTED_VALUE"""),15.0)</f>
        <v>15</v>
      </c>
      <c r="F134" s="2">
        <f>IFERROR(__xludf.DUMMYFUNCTION("""COMPUTED_VALUE"""),761.0)</f>
        <v>761</v>
      </c>
      <c r="G134" s="3">
        <f>IFERROR(__xludf.DUMMYFUNCTION("""COMPUTED_VALUE"""),66899.0)</f>
        <v>66899</v>
      </c>
      <c r="H134" s="3">
        <f>IFERROR(__xludf.DUMMYFUNCTION("""COMPUTED_VALUE"""),67629.0)</f>
        <v>67629</v>
      </c>
      <c r="I134" s="2" t="str">
        <f>IFERROR(__xludf.DUMMYFUNCTION("""COMPUTED_VALUE"""),"Sol Power Ltd")</f>
        <v>Sol Power Ltd</v>
      </c>
      <c r="J134" s="2" t="str">
        <f>IFERROR(__xludf.DUMMYFUNCTION("""COMPUTED_VALUE"""),"Golyan Tower,Baneshwor")</f>
        <v>Golyan Tower,Baneshwor</v>
      </c>
      <c r="K134" s="2" t="str">
        <f>IFERROR(__xludf.DUMMYFUNCTION("""COMPUTED_VALUE"""),"Respective Switchyard of the project")</f>
        <v>Respective Switchyard of the project</v>
      </c>
      <c r="L134" s="2" t="str">
        <f>IFERROR(__xludf.DUMMYFUNCTION("""COMPUTED_VALUE"""),"New Butwal s/s")</f>
        <v>New Butwal s/s</v>
      </c>
    </row>
    <row r="135">
      <c r="A135" s="2">
        <f>IFERROR(__xludf.DUMMYFUNCTION("""COMPUTED_VALUE"""),134.0)</f>
        <v>134</v>
      </c>
      <c r="B135" s="2" t="str">
        <f>IFERROR(__xludf.DUMMYFUNCTION("""COMPUTED_VALUE"""),"Mid Hongu Khola A - Mid Hongu Khola B 132 kV Transmission Line Project")</f>
        <v>Mid Hongu Khola A - Mid Hongu Khola B 132 kV Transmission Line Project</v>
      </c>
      <c r="C135" s="2">
        <f>IFERROR(__xludf.DUMMYFUNCTION("""COMPUTED_VALUE"""),132.0)</f>
        <v>132</v>
      </c>
      <c r="D135" s="2">
        <f>IFERROR(__xludf.DUMMYFUNCTION("""COMPUTED_VALUE"""),6.0)</f>
        <v>6</v>
      </c>
      <c r="E135" s="2">
        <f>IFERROR(__xludf.DUMMYFUNCTION("""COMPUTED_VALUE"""),22.0)</f>
        <v>22</v>
      </c>
      <c r="F135" s="2">
        <f>IFERROR(__xludf.DUMMYFUNCTION("""COMPUTED_VALUE"""),762.0)</f>
        <v>762</v>
      </c>
      <c r="G135" s="2" t="str">
        <f>IFERROR(__xludf.DUMMYFUNCTION("""COMPUTED_VALUE"""),"2083-02-29")</f>
        <v>2083-02-29</v>
      </c>
      <c r="H135" s="3">
        <f>IFERROR(__xludf.DUMMYFUNCTION("""COMPUTED_VALUE"""),67631.0)</f>
        <v>67631</v>
      </c>
      <c r="I135" s="2" t="str">
        <f>IFERROR(__xludf.DUMMYFUNCTION("""COMPUTED_VALUE"""),"Apex Makalu Hydropower Limited")</f>
        <v>Apex Makalu Hydropower Limited</v>
      </c>
      <c r="J135" s="2" t="str">
        <f>IFERROR(__xludf.DUMMYFUNCTION("""COMPUTED_VALUE"""),"Naxal,Kathmandu")</f>
        <v>Naxal,Kathmandu</v>
      </c>
      <c r="K135" s="2" t="str">
        <f>IFERROR(__xludf.DUMMYFUNCTION("""COMPUTED_VALUE"""),"Respective Switchyard of the project")</f>
        <v>Respective Switchyard of the project</v>
      </c>
      <c r="L135" s="2" t="str">
        <f>IFERROR(__xludf.DUMMYFUNCTION("""COMPUTED_VALUE"""),"Mid Hongu Khola B Switchyard of the Proj")</f>
        <v>Mid Hongu Khola B Switchyard of the Proj</v>
      </c>
    </row>
    <row r="136">
      <c r="A136" s="2">
        <f>IFERROR(__xludf.DUMMYFUNCTION("""COMPUTED_VALUE"""),135.0)</f>
        <v>135</v>
      </c>
      <c r="B136" s="2" t="str">
        <f>IFERROR(__xludf.DUMMYFUNCTION("""COMPUTED_VALUE"""),"Gasali Khola - Borang 33 kV Transmission Line Project")</f>
        <v>Gasali Khola - Borang 33 kV Transmission Line Project</v>
      </c>
      <c r="C136" s="2">
        <f>IFERROR(__xludf.DUMMYFUNCTION("""COMPUTED_VALUE"""),33.0)</f>
        <v>33</v>
      </c>
      <c r="D136" s="2">
        <f>IFERROR(__xludf.DUMMYFUNCTION("""COMPUTED_VALUE"""),11.0)</f>
        <v>11</v>
      </c>
      <c r="E136" s="2">
        <f>IFERROR(__xludf.DUMMYFUNCTION("""COMPUTED_VALUE"""),4.5)</f>
        <v>4.5</v>
      </c>
      <c r="F136" s="2">
        <f>IFERROR(__xludf.DUMMYFUNCTION("""COMPUTED_VALUE"""),763.0)</f>
        <v>763</v>
      </c>
      <c r="G136" s="3">
        <f>IFERROR(__xludf.DUMMYFUNCTION("""COMPUTED_VALUE"""),66902.0)</f>
        <v>66902</v>
      </c>
      <c r="H136" s="3">
        <f>IFERROR(__xludf.DUMMYFUNCTION("""COMPUTED_VALUE"""),67632.0)</f>
        <v>67632</v>
      </c>
      <c r="I136" s="2" t="str">
        <f>IFERROR(__xludf.DUMMYFUNCTION("""COMPUTED_VALUE"""),"Himsila Power Company Ltd")</f>
        <v>Himsila Power Company Ltd</v>
      </c>
      <c r="J136" s="2" t="str">
        <f>IFERROR(__xludf.DUMMYFUNCTION("""COMPUTED_VALUE"""),"Babarmahal, Kathmandu")</f>
        <v>Babarmahal, Kathmandu</v>
      </c>
      <c r="K136" s="2" t="str">
        <f>IFERROR(__xludf.DUMMYFUNCTION("""COMPUTED_VALUE"""),"Respective Switchyard of the Project")</f>
        <v>Respective Switchyard of the Project</v>
      </c>
      <c r="L136" s="2" t="str">
        <f>IFERROR(__xludf.DUMMYFUNCTION("""COMPUTED_VALUE"""),"Borang s/s")</f>
        <v>Borang s/s</v>
      </c>
    </row>
    <row r="137">
      <c r="A137" s="2">
        <f>IFERROR(__xludf.DUMMYFUNCTION("""COMPUTED_VALUE"""),136.0)</f>
        <v>136</v>
      </c>
      <c r="B137" s="2" t="str">
        <f>IFERROR(__xludf.DUMMYFUNCTION("""COMPUTED_VALUE"""),"Sainik Kalyankari Sainamaina Solar- Saaljhandi 33 kV Transmission Line")</f>
        <v>Sainik Kalyankari Sainamaina Solar- Saaljhandi 33 kV Transmission Line</v>
      </c>
      <c r="C137" s="2">
        <f>IFERROR(__xludf.DUMMYFUNCTION("""COMPUTED_VALUE"""),33.0)</f>
        <v>33</v>
      </c>
      <c r="D137" s="2">
        <f>IFERROR(__xludf.DUMMYFUNCTION("""COMPUTED_VALUE"""),1.27)</f>
        <v>1.27</v>
      </c>
      <c r="E137" s="2">
        <f>IFERROR(__xludf.DUMMYFUNCTION("""COMPUTED_VALUE"""),10.0)</f>
        <v>10</v>
      </c>
      <c r="F137" s="2">
        <f>IFERROR(__xludf.DUMMYFUNCTION("""COMPUTED_VALUE"""),764.0)</f>
        <v>764</v>
      </c>
      <c r="G137" s="3">
        <f>IFERROR(__xludf.DUMMYFUNCTION("""COMPUTED_VALUE"""),66908.0)</f>
        <v>66908</v>
      </c>
      <c r="H137" s="3">
        <f>IFERROR(__xludf.DUMMYFUNCTION("""COMPUTED_VALUE"""),67638.0)</f>
        <v>67638</v>
      </c>
      <c r="I137" s="2" t="str">
        <f>IFERROR(__xludf.DUMMYFUNCTION("""COMPUTED_VALUE"""),"Nepal Army (Sainik Kalyankari Kosh)")</f>
        <v>Nepal Army (Sainik Kalyankari Kosh)</v>
      </c>
      <c r="J137" s="2" t="str">
        <f>IFERROR(__xludf.DUMMYFUNCTION("""COMPUTED_VALUE"""),"Jangiadda,Kathmandu")</f>
        <v>Jangiadda,Kathmandu</v>
      </c>
      <c r="K137" s="2" t="str">
        <f>IFERROR(__xludf.DUMMYFUNCTION("""COMPUTED_VALUE"""),"Respective Switchyard of the project")</f>
        <v>Respective Switchyard of the project</v>
      </c>
      <c r="L137" s="2" t="str">
        <f>IFERROR(__xludf.DUMMYFUNCTION("""COMPUTED_VALUE"""),"Saaljhandi s/s")</f>
        <v>Saaljhandi s/s</v>
      </c>
    </row>
    <row r="138">
      <c r="A138" s="2">
        <f>IFERROR(__xludf.DUMMYFUNCTION("""COMPUTED_VALUE"""),137.0)</f>
        <v>137</v>
      </c>
      <c r="B138" s="2" t="str">
        <f>IFERROR(__xludf.DUMMYFUNCTION("""COMPUTED_VALUE"""),"Chhomron Khola small HPP 33kV Transmission Line Project")</f>
        <v>Chhomron Khola small HPP 33kV Transmission Line Project</v>
      </c>
      <c r="C138" s="2">
        <f>IFERROR(__xludf.DUMMYFUNCTION("""COMPUTED_VALUE"""),33.0)</f>
        <v>33</v>
      </c>
      <c r="D138" s="2">
        <f>IFERROR(__xludf.DUMMYFUNCTION("""COMPUTED_VALUE"""),19.0)</f>
        <v>19</v>
      </c>
      <c r="E138" s="2">
        <f>IFERROR(__xludf.DUMMYFUNCTION("""COMPUTED_VALUE"""),6.0)</f>
        <v>6</v>
      </c>
      <c r="F138" s="2">
        <f>IFERROR(__xludf.DUMMYFUNCTION("""COMPUTED_VALUE"""),765.0)</f>
        <v>765</v>
      </c>
      <c r="G138" s="3">
        <f>IFERROR(__xludf.DUMMYFUNCTION("""COMPUTED_VALUE"""),66908.0)</f>
        <v>66908</v>
      </c>
      <c r="H138" s="3">
        <f>IFERROR(__xludf.DUMMYFUNCTION("""COMPUTED_VALUE"""),67638.0)</f>
        <v>67638</v>
      </c>
      <c r="I138" s="2" t="str">
        <f>IFERROR(__xludf.DUMMYFUNCTION("""COMPUTED_VALUE"""),"Ghandruk Hydro P.Ltd")</f>
        <v>Ghandruk Hydro P.Ltd</v>
      </c>
      <c r="J138" s="2" t="str">
        <f>IFERROR(__xludf.DUMMYFUNCTION("""COMPUTED_VALUE"""),"Jwagal-10, Lalitpur 015550934")</f>
        <v>Jwagal-10, Lalitpur 015550934</v>
      </c>
      <c r="K138" s="2" t="str">
        <f>IFERROR(__xludf.DUMMYFUNCTION("""COMPUTED_VALUE"""),"Respective Switchyard of the project")</f>
        <v>Respective Switchyard of the project</v>
      </c>
      <c r="L138" s="2" t="str">
        <f>IFERROR(__xludf.DUMMYFUNCTION("""COMPUTED_VALUE"""),"Modi s/s")</f>
        <v>Modi s/s</v>
      </c>
    </row>
    <row r="139">
      <c r="A139" s="2">
        <f>IFERROR(__xludf.DUMMYFUNCTION("""COMPUTED_VALUE"""),138.0)</f>
        <v>138</v>
      </c>
      <c r="B139" s="2" t="str">
        <f>IFERROR(__xludf.DUMMYFUNCTION("""COMPUTED_VALUE"""),"Bardibas Solar PV Project - Bardibas s/s 33 kV Transmission Line Project")</f>
        <v>Bardibas Solar PV Project - Bardibas s/s 33 kV Transmission Line Project</v>
      </c>
      <c r="C139" s="2">
        <f>IFERROR(__xludf.DUMMYFUNCTION("""COMPUTED_VALUE"""),33.0)</f>
        <v>33</v>
      </c>
      <c r="D139" s="2">
        <f>IFERROR(__xludf.DUMMYFUNCTION("""COMPUTED_VALUE"""),4.0)</f>
        <v>4</v>
      </c>
      <c r="E139" s="2">
        <f>IFERROR(__xludf.DUMMYFUNCTION("""COMPUTED_VALUE"""),9.5)</f>
        <v>9.5</v>
      </c>
      <c r="F139" s="2">
        <f>IFERROR(__xludf.DUMMYFUNCTION("""COMPUTED_VALUE"""),766.0)</f>
        <v>766</v>
      </c>
      <c r="G139" s="3">
        <f>IFERROR(__xludf.DUMMYFUNCTION("""COMPUTED_VALUE"""),66910.0)</f>
        <v>66910</v>
      </c>
      <c r="H139" s="3">
        <f>IFERROR(__xludf.DUMMYFUNCTION("""COMPUTED_VALUE"""),67640.0)</f>
        <v>67640</v>
      </c>
      <c r="I139" s="2" t="str">
        <f>IFERROR(__xludf.DUMMYFUNCTION("""COMPUTED_VALUE"""),"Kusal Projects Nepal P.Ltd")</f>
        <v>Kusal Projects Nepal P.Ltd</v>
      </c>
      <c r="J139" s="2" t="str">
        <f>IFERROR(__xludf.DUMMYFUNCTION("""COMPUTED_VALUE"""),"Biratnagar")</f>
        <v>Biratnagar</v>
      </c>
      <c r="K139" s="2" t="str">
        <f>IFERROR(__xludf.DUMMYFUNCTION("""COMPUTED_VALUE"""),"Respective Switchyard of the project")</f>
        <v>Respective Switchyard of the project</v>
      </c>
      <c r="L139" s="2" t="str">
        <f>IFERROR(__xludf.DUMMYFUNCTION("""COMPUTED_VALUE"""),"Bardibas s/s")</f>
        <v>Bardibas s/s</v>
      </c>
    </row>
    <row r="140">
      <c r="A140" s="2">
        <f>IFERROR(__xludf.DUMMYFUNCTION("""COMPUTED_VALUE"""),139.0)</f>
        <v>139</v>
      </c>
      <c r="B140" s="2" t="str">
        <f>IFERROR(__xludf.DUMMYFUNCTION("""COMPUTED_VALUE"""),"Garuda Solar - Manpur s/s 33 kV Transmission Line Project")</f>
        <v>Garuda Solar - Manpur s/s 33 kV Transmission Line Project</v>
      </c>
      <c r="C140" s="2">
        <f>IFERROR(__xludf.DUMMYFUNCTION("""COMPUTED_VALUE"""),33.0)</f>
        <v>33</v>
      </c>
      <c r="D140" s="2">
        <f>IFERROR(__xludf.DUMMYFUNCTION("""COMPUTED_VALUE"""),3.9)</f>
        <v>3.9</v>
      </c>
      <c r="E140" s="2">
        <f>IFERROR(__xludf.DUMMYFUNCTION("""COMPUTED_VALUE"""),5.0)</f>
        <v>5</v>
      </c>
      <c r="F140" s="2">
        <f>IFERROR(__xludf.DUMMYFUNCTION("""COMPUTED_VALUE"""),767.0)</f>
        <v>767</v>
      </c>
      <c r="G140" s="3">
        <f>IFERROR(__xludf.DUMMYFUNCTION("""COMPUTED_VALUE"""),66912.0)</f>
        <v>66912</v>
      </c>
      <c r="H140" s="3">
        <f>IFERROR(__xludf.DUMMYFUNCTION("""COMPUTED_VALUE"""),67642.0)</f>
        <v>67642</v>
      </c>
      <c r="I140" s="2" t="str">
        <f>IFERROR(__xludf.DUMMYFUNCTION("""COMPUTED_VALUE"""),"Sunlight Renewable Energy P.Ltd")</f>
        <v>Sunlight Renewable Energy P.Ltd</v>
      </c>
      <c r="J140" s="2" t="str">
        <f>IFERROR(__xludf.DUMMYFUNCTION("""COMPUTED_VALUE"""),"lalitpur-23")</f>
        <v>lalitpur-23</v>
      </c>
      <c r="K140" s="2" t="str">
        <f>IFERROR(__xludf.DUMMYFUNCTION("""COMPUTED_VALUE"""),"Respective Switchyard of the Project")</f>
        <v>Respective Switchyard of the Project</v>
      </c>
      <c r="L140" s="2" t="str">
        <f>IFERROR(__xludf.DUMMYFUNCTION("""COMPUTED_VALUE"""),"Manpur s/s")</f>
        <v>Manpur s/s</v>
      </c>
    </row>
    <row r="141">
      <c r="A141" s="2">
        <f>IFERROR(__xludf.DUMMYFUNCTION("""COMPUTED_VALUE"""),140.0)</f>
        <v>140</v>
      </c>
      <c r="B141" s="2" t="str">
        <f>IFERROR(__xludf.DUMMYFUNCTION("""COMPUTED_VALUE"""),"Aurahi Solar - Aurahi s/s 33 kV Transmission Line Project")</f>
        <v>Aurahi Solar - Aurahi s/s 33 kV Transmission Line Project</v>
      </c>
      <c r="C141" s="2">
        <f>IFERROR(__xludf.DUMMYFUNCTION("""COMPUTED_VALUE"""),33.0)</f>
        <v>33</v>
      </c>
      <c r="D141" s="2">
        <f>IFERROR(__xludf.DUMMYFUNCTION("""COMPUTED_VALUE"""),1.2)</f>
        <v>1.2</v>
      </c>
      <c r="E141" s="2">
        <f>IFERROR(__xludf.DUMMYFUNCTION("""COMPUTED_VALUE"""),5.0)</f>
        <v>5</v>
      </c>
      <c r="F141" s="2">
        <f>IFERROR(__xludf.DUMMYFUNCTION("""COMPUTED_VALUE"""),768.0)</f>
        <v>768</v>
      </c>
      <c r="G141" s="3">
        <f>IFERROR(__xludf.DUMMYFUNCTION("""COMPUTED_VALUE"""),66912.0)</f>
        <v>66912</v>
      </c>
      <c r="H141" s="3">
        <f>IFERROR(__xludf.DUMMYFUNCTION("""COMPUTED_VALUE"""),67642.0)</f>
        <v>67642</v>
      </c>
      <c r="I141" s="2" t="str">
        <f>IFERROR(__xludf.DUMMYFUNCTION("""COMPUTED_VALUE"""),"Sunlight Renewable Energy P.Ltd")</f>
        <v>Sunlight Renewable Energy P.Ltd</v>
      </c>
      <c r="J141" s="2" t="str">
        <f>IFERROR(__xludf.DUMMYFUNCTION("""COMPUTED_VALUE"""),"Lalitpur-23")</f>
        <v>Lalitpur-23</v>
      </c>
      <c r="K141" s="2" t="str">
        <f>IFERROR(__xludf.DUMMYFUNCTION("""COMPUTED_VALUE"""),"Respective Switchyard of the Project")</f>
        <v>Respective Switchyard of the Project</v>
      </c>
      <c r="L141" s="2" t="str">
        <f>IFERROR(__xludf.DUMMYFUNCTION("""COMPUTED_VALUE"""),"Aurahi s/s")</f>
        <v>Aurahi s/s</v>
      </c>
    </row>
    <row r="142">
      <c r="A142" s="2">
        <f>IFERROR(__xludf.DUMMYFUNCTION("""COMPUTED_VALUE"""),141.0)</f>
        <v>141</v>
      </c>
      <c r="B142" s="2" t="str">
        <f>IFERROR(__xludf.DUMMYFUNCTION("""COMPUTED_VALUE"""),"Baigundhura Solar Project- Buluchowk 33 kV Transmission Line Project")</f>
        <v>Baigundhura Solar Project- Buluchowk 33 kV Transmission Line Project</v>
      </c>
      <c r="C142" s="2">
        <f>IFERROR(__xludf.DUMMYFUNCTION("""COMPUTED_VALUE"""),33.0)</f>
        <v>33</v>
      </c>
      <c r="D142" s="2">
        <f>IFERROR(__xludf.DUMMYFUNCTION("""COMPUTED_VALUE"""),8.6)</f>
        <v>8.6</v>
      </c>
      <c r="E142" s="2">
        <f>IFERROR(__xludf.DUMMYFUNCTION("""COMPUTED_VALUE"""),5.0)</f>
        <v>5</v>
      </c>
      <c r="F142" s="2">
        <f>IFERROR(__xludf.DUMMYFUNCTION("""COMPUTED_VALUE"""),769.0)</f>
        <v>769</v>
      </c>
      <c r="G142" s="3">
        <f>IFERROR(__xludf.DUMMYFUNCTION("""COMPUTED_VALUE"""),66912.0)</f>
        <v>66912</v>
      </c>
      <c r="H142" s="3">
        <f>IFERROR(__xludf.DUMMYFUNCTION("""COMPUTED_VALUE"""),67642.0)</f>
        <v>67642</v>
      </c>
      <c r="I142" s="2" t="str">
        <f>IFERROR(__xludf.DUMMYFUNCTION("""COMPUTED_VALUE"""),"East Solar Pvt.Ltd")</f>
        <v>East Solar Pvt.Ltd</v>
      </c>
      <c r="J142" s="2" t="str">
        <f>IFERROR(__xludf.DUMMYFUNCTION("""COMPUTED_VALUE"""),"Sagam chowk,Kathmandu")</f>
        <v>Sagam chowk,Kathmandu</v>
      </c>
      <c r="K142" s="2" t="str">
        <f>IFERROR(__xludf.DUMMYFUNCTION("""COMPUTED_VALUE"""),"Respective Switchyard of the Project")</f>
        <v>Respective Switchyard of the Project</v>
      </c>
      <c r="L142" s="2" t="str">
        <f>IFERROR(__xludf.DUMMYFUNCTION("""COMPUTED_VALUE"""),"Buluchowk s/s")</f>
        <v>Buluchowk s/s</v>
      </c>
    </row>
    <row r="143">
      <c r="A143" s="2">
        <f>IFERROR(__xludf.DUMMYFUNCTION("""COMPUTED_VALUE"""),142.0)</f>
        <v>142</v>
      </c>
      <c r="B143" s="2" t="str">
        <f>IFERROR(__xludf.DUMMYFUNCTION("""COMPUTED_VALUE"""),"Parasi Solar PV-Parasi 33kV Transmission Line Project")</f>
        <v>Parasi Solar PV-Parasi 33kV Transmission Line Project</v>
      </c>
      <c r="C143" s="2">
        <f>IFERROR(__xludf.DUMMYFUNCTION("""COMPUTED_VALUE"""),33.0)</f>
        <v>33</v>
      </c>
      <c r="D143" s="2">
        <f>IFERROR(__xludf.DUMMYFUNCTION("""COMPUTED_VALUE"""),4.94)</f>
        <v>4.94</v>
      </c>
      <c r="E143" s="2">
        <f>IFERROR(__xludf.DUMMYFUNCTION("""COMPUTED_VALUE"""),15.0)</f>
        <v>15</v>
      </c>
      <c r="F143" s="2">
        <f>IFERROR(__xludf.DUMMYFUNCTION("""COMPUTED_VALUE"""),770.0)</f>
        <v>770</v>
      </c>
      <c r="G143" s="3">
        <f>IFERROR(__xludf.DUMMYFUNCTION("""COMPUTED_VALUE"""),66912.0)</f>
        <v>66912</v>
      </c>
      <c r="H143" s="3">
        <f>IFERROR(__xludf.DUMMYFUNCTION("""COMPUTED_VALUE"""),67642.0)</f>
        <v>67642</v>
      </c>
      <c r="I143" s="2" t="str">
        <f>IFERROR(__xludf.DUMMYFUNCTION("""COMPUTED_VALUE"""),"Sol Power Ltd")</f>
        <v>Sol Power Ltd</v>
      </c>
      <c r="J143" s="2" t="str">
        <f>IFERROR(__xludf.DUMMYFUNCTION("""COMPUTED_VALUE"""),"Golyan Tower,Baneswhor,Kathmanu")</f>
        <v>Golyan Tower,Baneswhor,Kathmanu</v>
      </c>
      <c r="K143" s="2" t="str">
        <f>IFERROR(__xludf.DUMMYFUNCTION("""COMPUTED_VALUE"""),"Respective Switchyard of the project")</f>
        <v>Respective Switchyard of the project</v>
      </c>
      <c r="L143" s="2" t="str">
        <f>IFERROR(__xludf.DUMMYFUNCTION("""COMPUTED_VALUE"""),"Parasi s/s")</f>
        <v>Parasi s/s</v>
      </c>
    </row>
    <row r="144">
      <c r="A144" s="2">
        <f>IFERROR(__xludf.DUMMYFUNCTION("""COMPUTED_VALUE"""),143.0)</f>
        <v>143</v>
      </c>
      <c r="B144" s="2" t="str">
        <f>IFERROR(__xludf.DUMMYFUNCTION("""COMPUTED_VALUE"""),"Barju Solar PV -Barju 33 kV Transmission Line Project")</f>
        <v>Barju Solar PV -Barju 33 kV Transmission Line Project</v>
      </c>
      <c r="C144" s="2">
        <f>IFERROR(__xludf.DUMMYFUNCTION("""COMPUTED_VALUE"""),33.0)</f>
        <v>33</v>
      </c>
      <c r="D144" s="2">
        <f>IFERROR(__xludf.DUMMYFUNCTION("""COMPUTED_VALUE"""),4.0)</f>
        <v>4</v>
      </c>
      <c r="E144" s="2">
        <f>IFERROR(__xludf.DUMMYFUNCTION("""COMPUTED_VALUE"""),20.0)</f>
        <v>20</v>
      </c>
      <c r="F144" s="2">
        <f>IFERROR(__xludf.DUMMYFUNCTION("""COMPUTED_VALUE"""),771.0)</f>
        <v>771</v>
      </c>
      <c r="G144" s="3">
        <f>IFERROR(__xludf.DUMMYFUNCTION("""COMPUTED_VALUE"""),66916.0)</f>
        <v>66916</v>
      </c>
      <c r="H144" s="3">
        <f>IFERROR(__xludf.DUMMYFUNCTION("""COMPUTED_VALUE"""),67646.0)</f>
        <v>67646</v>
      </c>
      <c r="I144" s="2" t="str">
        <f>IFERROR(__xludf.DUMMYFUNCTION("""COMPUTED_VALUE"""),"Pashupati Energy P.Ltd")</f>
        <v>Pashupati Energy P.Ltd</v>
      </c>
      <c r="J144" s="2" t="str">
        <f>IFERROR(__xludf.DUMMYFUNCTION("""COMPUTED_VALUE"""),"Biratnagar-6,Morang")</f>
        <v>Biratnagar-6,Morang</v>
      </c>
      <c r="K144" s="2" t="str">
        <f>IFERROR(__xludf.DUMMYFUNCTION("""COMPUTED_VALUE"""),"Respective Switchyard of the project")</f>
        <v>Respective Switchyard of the project</v>
      </c>
      <c r="L144" s="2" t="str">
        <f>IFERROR(__xludf.DUMMYFUNCTION("""COMPUTED_VALUE"""),"Barju s/s")</f>
        <v>Barju s/s</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1" t="str">
        <f>IFERROR(__xludf.DUMMYFUNCTION("IMPORTHTML(""https://www.doed.gov.np/pages/clhydrolessthan1/"",""Table"",1)"),"S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IFERROR(__xludf.DUMMYFUNCTION("""COMPUTED_VALUE"""),"Lic No")</f>
        <v>Lic No</v>
      </c>
      <c r="F1" s="1" t="str">
        <f>IFERROR(__xludf.DUMMYFUNCTION("""COMPUTED_VALUE"""),"Isuue Date")</f>
        <v>Isuue Date</v>
      </c>
      <c r="G1" s="1" t="str">
        <f>IFERROR(__xludf.DUMMYFUNCTION("""COMPUTED_VALUE"""),"Validity")</f>
        <v>Validity</v>
      </c>
      <c r="H1" s="1" t="str">
        <f>IFERROR(__xludf.DUMMYFUNCTION("""COMPUTED_VALUE"""),"Promoter")</f>
        <v>Promoter</v>
      </c>
      <c r="I1" s="1" t="str">
        <f>IFERROR(__xludf.DUMMYFUNCTION("""COMPUTED_VALUE"""),"Address")</f>
        <v>Address</v>
      </c>
      <c r="J1" s="1" t="str">
        <f>IFERROR(__xludf.DUMMYFUNCTION("""COMPUTED_VALUE"""),"Latitiude N")</f>
        <v>Latitiude N</v>
      </c>
      <c r="K1" s="1"/>
      <c r="L1" s="1" t="str">
        <f>IFERROR(__xludf.DUMMYFUNCTION("""COMPUTED_VALUE"""),"Longitude E")</f>
        <v>Longitude E</v>
      </c>
      <c r="M1" s="1"/>
      <c r="N1" s="1" t="str">
        <f>IFERROR(__xludf.DUMMYFUNCTION("""COMPUTED_VALUE"""),"VDC/District")</f>
        <v>VDC/District</v>
      </c>
      <c r="O1" s="1"/>
      <c r="P1" s="1"/>
      <c r="Q1" s="1"/>
      <c r="R1" s="1"/>
      <c r="S1" s="1"/>
      <c r="T1" s="1"/>
      <c r="U1" s="1"/>
      <c r="V1" s="1"/>
      <c r="W1" s="1"/>
      <c r="X1" s="1"/>
      <c r="Y1" s="1"/>
      <c r="Z1" s="1"/>
    </row>
    <row r="2">
      <c r="A2" s="2">
        <f>IFERROR(__xludf.DUMMYFUNCTION("""COMPUTED_VALUE"""),1.0)</f>
        <v>1</v>
      </c>
      <c r="B2" s="2" t="str">
        <f>IFERROR(__xludf.DUMMYFUNCTION("""COMPUTED_VALUE"""),"Giri khola")</f>
        <v>Giri khola</v>
      </c>
      <c r="C2" s="2">
        <f>IFERROR(__xludf.DUMMYFUNCTION("""COMPUTED_VALUE"""),0.214)</f>
        <v>0.214</v>
      </c>
      <c r="D2" s="2" t="str">
        <f>IFERROR(__xludf.DUMMYFUNCTION("""COMPUTED_VALUE"""),"Gidi")</f>
        <v>Gidi</v>
      </c>
      <c r="E2" s="2"/>
      <c r="F2" s="2" t="str">
        <f>IFERROR(__xludf.DUMMYFUNCTION("""COMPUTED_VALUE"""),"0000-00-00")</f>
        <v>0000-00-00</v>
      </c>
      <c r="G2" s="2" t="str">
        <f>IFERROR(__xludf.DUMMYFUNCTION("""COMPUTED_VALUE"""),"0000-00-00")</f>
        <v>0000-00-00</v>
      </c>
      <c r="H2" s="2" t="str">
        <f>IFERROR(__xludf.DUMMYFUNCTION("""COMPUTED_VALUE"""),"Girikhola Jalpadevi Rural Electricity Cooperative Limited")</f>
        <v>Girikhola Jalpadevi Rural Electricity Cooperative Limited</v>
      </c>
      <c r="I2" s="2" t="str">
        <f>IFERROR(__xludf.DUMMYFUNCTION("""COMPUTED_VALUE"""),"Jumla")</f>
        <v>Jumla</v>
      </c>
      <c r="J2" s="2" t="str">
        <f>IFERROR(__xludf.DUMMYFUNCTION("""COMPUTED_VALUE"""),"29o 13' 25""")</f>
        <v>29o 13' 25"</v>
      </c>
      <c r="K2" s="2" t="str">
        <f>IFERROR(__xludf.DUMMYFUNCTION("""COMPUTED_VALUE"""),"29o 14' 30""")</f>
        <v>29o 14' 30"</v>
      </c>
      <c r="L2" s="2" t="str">
        <f>IFERROR(__xludf.DUMMYFUNCTION("""COMPUTED_VALUE"""),"82o 07' 18""")</f>
        <v>82o 07' 18"</v>
      </c>
      <c r="M2" s="2" t="str">
        <f>IFERROR(__xludf.DUMMYFUNCTION("""COMPUTED_VALUE"""),"82o 09' 30""")</f>
        <v>82o 09' 30"</v>
      </c>
      <c r="N2" s="2" t="str">
        <f>IFERROR(__xludf.DUMMYFUNCTION("""COMPUTED_VALUE"""),"Haku (Jumla)")</f>
        <v>Haku (Jumla)</v>
      </c>
    </row>
    <row r="3">
      <c r="A3" s="2">
        <f>IFERROR(__xludf.DUMMYFUNCTION("""COMPUTED_VALUE"""),2.0)</f>
        <v>2</v>
      </c>
      <c r="B3" s="2" t="str">
        <f>IFERROR(__xludf.DUMMYFUNCTION("""COMPUTED_VALUE"""),"Salleri Chialsa")</f>
        <v>Salleri Chialsa</v>
      </c>
      <c r="C3" s="2">
        <f>IFERROR(__xludf.DUMMYFUNCTION("""COMPUTED_VALUE"""),0.6)</f>
        <v>0.6</v>
      </c>
      <c r="D3" s="2" t="str">
        <f>IFERROR(__xludf.DUMMYFUNCTION("""COMPUTED_VALUE"""),"Solu Khola")</f>
        <v>Solu Khola</v>
      </c>
      <c r="E3" s="2"/>
      <c r="F3" s="3">
        <f>IFERROR(__xludf.DUMMYFUNCTION("""COMPUTED_VALUE"""),61073.0)</f>
        <v>61073</v>
      </c>
      <c r="G3" s="2" t="str">
        <f>IFERROR(__xludf.DUMMYFUNCTION("""COMPUTED_VALUE"""),"0000-00-00")</f>
        <v>0000-00-00</v>
      </c>
      <c r="H3" s="2" t="str">
        <f>IFERROR(__xludf.DUMMYFUNCTION("""COMPUTED_VALUE"""),"Salleri Chialsa Electricity Company Limited")</f>
        <v>Salleri Chialsa Electricity Company Limited</v>
      </c>
      <c r="I3" s="2" t="str">
        <f>IFERROR(__xludf.DUMMYFUNCTION("""COMPUTED_VALUE"""),"Nayabazar, Salleri, Solukhumbu, Tel: 038-520210, 520220, Fax: 038-520260")</f>
        <v>Nayabazar, Salleri, Solukhumbu, Tel: 038-520210, 520220, Fax: 038-520260</v>
      </c>
      <c r="J3" s="2" t="str">
        <f>IFERROR(__xludf.DUMMYFUNCTION("""COMPUTED_VALUE"""),"27o 28' 49""")</f>
        <v>27o 28' 49"</v>
      </c>
      <c r="K3" s="2" t="str">
        <f>IFERROR(__xludf.DUMMYFUNCTION("""COMPUTED_VALUE"""),"27o 29' 13""")</f>
        <v>27o 29' 13"</v>
      </c>
      <c r="L3" s="2" t="str">
        <f>IFERROR(__xludf.DUMMYFUNCTION("""COMPUTED_VALUE"""),"86o 34' 10""")</f>
        <v>86o 34' 10"</v>
      </c>
      <c r="M3" s="2" t="str">
        <f>IFERROR(__xludf.DUMMYFUNCTION("""COMPUTED_VALUE"""),"86o 35' 00""")</f>
        <v>86o 35' 00"</v>
      </c>
      <c r="N3" s="2" t="str">
        <f>IFERROR(__xludf.DUMMYFUNCTION("""COMPUTED_VALUE"""),"Salleri (Solukhumbu)")</f>
        <v>Salleri (Solukhumbu)</v>
      </c>
    </row>
    <row r="4">
      <c r="A4" s="2">
        <f>IFERROR(__xludf.DUMMYFUNCTION("""COMPUTED_VALUE"""),3.0)</f>
        <v>3</v>
      </c>
      <c r="B4" s="2" t="str">
        <f>IFERROR(__xludf.DUMMYFUNCTION("""COMPUTED_VALUE"""),"Upper Khadam SHP")</f>
        <v>Upper Khadam SHP</v>
      </c>
      <c r="C4" s="2">
        <f>IFERROR(__xludf.DUMMYFUNCTION("""COMPUTED_VALUE"""),0.99)</f>
        <v>0.99</v>
      </c>
      <c r="D4" s="2" t="str">
        <f>IFERROR(__xludf.DUMMYFUNCTION("""COMPUTED_VALUE"""),"Khadam")</f>
        <v>Khadam</v>
      </c>
      <c r="E4" s="2"/>
      <c r="F4" s="3">
        <f>IFERROR(__xludf.DUMMYFUNCTION("""COMPUTED_VALUE"""),61136.0)</f>
        <v>61136</v>
      </c>
      <c r="G4" s="2" t="str">
        <f>IFERROR(__xludf.DUMMYFUNCTION("""COMPUTED_VALUE"""),"0000-00-00")</f>
        <v>0000-00-00</v>
      </c>
      <c r="H4" s="2" t="str">
        <f>IFERROR(__xludf.DUMMYFUNCTION("""COMPUTED_VALUE"""),"Abiral Hydropower Company Pvt. Ltd.")</f>
        <v>Abiral Hydropower Company Pvt. Ltd.</v>
      </c>
      <c r="I4" s="2" t="str">
        <f>IFERROR(__xludf.DUMMYFUNCTION("""COMPUTED_VALUE"""),"Urlawari-4, Morang Tel: 021-540922, 9742031000")</f>
        <v>Urlawari-4, Morang Tel: 021-540922, 9742031000</v>
      </c>
      <c r="J4" s="2" t="str">
        <f>IFERROR(__xludf.DUMMYFUNCTION("""COMPUTED_VALUE"""),"26o 49' 44""")</f>
        <v>26o 49' 44"</v>
      </c>
      <c r="K4" s="2" t="str">
        <f>IFERROR(__xludf.DUMMYFUNCTION("""COMPUTED_VALUE"""),"26o 51' 00""")</f>
        <v>26o 51' 00"</v>
      </c>
      <c r="L4" s="2" t="str">
        <f>IFERROR(__xludf.DUMMYFUNCTION("""COMPUTED_VALUE"""),"87o 25' 30""")</f>
        <v>87o 25' 30"</v>
      </c>
      <c r="M4" s="2" t="str">
        <f>IFERROR(__xludf.DUMMYFUNCTION("""COMPUTED_VALUE"""),"87o 27' 00""")</f>
        <v>87o 27' 00"</v>
      </c>
      <c r="N4" s="2" t="str">
        <f>IFERROR(__xludf.DUMMYFUNCTION("""COMPUTED_VALUE"""),"Patigaun (Morang)")</f>
        <v>Patigaun (Morang)</v>
      </c>
    </row>
    <row r="5">
      <c r="A5" s="2">
        <f>IFERROR(__xludf.DUMMYFUNCTION("""COMPUTED_VALUE"""),4.0)</f>
        <v>4</v>
      </c>
      <c r="B5" s="2" t="str">
        <f>IFERROR(__xludf.DUMMYFUNCTION("""COMPUTED_VALUE"""),"Dhansi Khola Mini")</f>
        <v>Dhansi Khola Mini</v>
      </c>
      <c r="C5" s="2">
        <f>IFERROR(__xludf.DUMMYFUNCTION("""COMPUTED_VALUE"""),0.996)</f>
        <v>0.996</v>
      </c>
      <c r="D5" s="2" t="str">
        <f>IFERROR(__xludf.DUMMYFUNCTION("""COMPUTED_VALUE"""),"Dhansi")</f>
        <v>Dhansi</v>
      </c>
      <c r="E5" s="2"/>
      <c r="F5" s="3">
        <f>IFERROR(__xludf.DUMMYFUNCTION("""COMPUTED_VALUE"""),61208.0)</f>
        <v>61208</v>
      </c>
      <c r="G5" s="2" t="str">
        <f>IFERROR(__xludf.DUMMYFUNCTION("""COMPUTED_VALUE"""),"0000-00-00")</f>
        <v>0000-00-00</v>
      </c>
      <c r="H5" s="2" t="str">
        <f>IFERROR(__xludf.DUMMYFUNCTION("""COMPUTED_VALUE"""),"M/S Teleye Samyak Hydropower Co. Pvt. Ltd. ( Anand Pradhan)")</f>
        <v>M/S Teleye Samyak Hydropower Co. Pvt. Ltd. ( Anand Pradhan)</v>
      </c>
      <c r="I5" s="2" t="str">
        <f>IFERROR(__xludf.DUMMYFUNCTION("""COMPUTED_VALUE"""),"Lazimpat-2, House No: 86, Kathmandu, P.O. Box: 8643, Tel: 9841259058")</f>
        <v>Lazimpat-2, House No: 86, Kathmandu, P.O. Box: 8643, Tel: 9841259058</v>
      </c>
      <c r="J5" s="2" t="str">
        <f>IFERROR(__xludf.DUMMYFUNCTION("""COMPUTED_VALUE"""),"28o 18' 30""")</f>
        <v>28o 18' 30"</v>
      </c>
      <c r="K5" s="2" t="str">
        <f>IFERROR(__xludf.DUMMYFUNCTION("""COMPUTED_VALUE"""),"28o 19' 54""")</f>
        <v>28o 19' 54"</v>
      </c>
      <c r="L5" s="2" t="str">
        <f>IFERROR(__xludf.DUMMYFUNCTION("""COMPUTED_VALUE"""),"82o 38' 24""")</f>
        <v>82o 38' 24"</v>
      </c>
      <c r="M5" s="2" t="str">
        <f>IFERROR(__xludf.DUMMYFUNCTION("""COMPUTED_VALUE"""),"82o 38' 59""")</f>
        <v>82o 38' 59"</v>
      </c>
      <c r="N5" s="2" t="str">
        <f>IFERROR(__xludf.DUMMYFUNCTION("""COMPUTED_VALUE"""),"Dhawang,Liwang,Whama (Rolpa)")</f>
        <v>Dhawang,Liwang,Whama (Rolpa)</v>
      </c>
    </row>
    <row r="6">
      <c r="A6" s="2">
        <f>IFERROR(__xludf.DUMMYFUNCTION("""COMPUTED_VALUE"""),5.0)</f>
        <v>5</v>
      </c>
      <c r="B6" s="2" t="str">
        <f>IFERROR(__xludf.DUMMYFUNCTION("""COMPUTED_VALUE"""),"Midim Khola Micro Hydro")</f>
        <v>Midim Khola Micro Hydro</v>
      </c>
      <c r="C6" s="2">
        <f>IFERROR(__xludf.DUMMYFUNCTION("""COMPUTED_VALUE"""),0.1)</f>
        <v>0.1</v>
      </c>
      <c r="D6" s="2" t="str">
        <f>IFERROR(__xludf.DUMMYFUNCTION("""COMPUTED_VALUE"""),"Midim Khola")</f>
        <v>Midim Khola</v>
      </c>
      <c r="E6" s="2"/>
      <c r="F6" s="3">
        <f>IFERROR(__xludf.DUMMYFUNCTION("""COMPUTED_VALUE"""),61832.0)</f>
        <v>61832</v>
      </c>
      <c r="G6" s="2" t="str">
        <f>IFERROR(__xludf.DUMMYFUNCTION("""COMPUTED_VALUE"""),"0000-00-00")</f>
        <v>0000-00-00</v>
      </c>
      <c r="H6" s="2" t="str">
        <f>IFERROR(__xludf.DUMMYFUNCTION("""COMPUTED_VALUE"""),"Deurali Bahu-uddesyiaya Sahakari Sanstha Limited")</f>
        <v>Deurali Bahu-uddesyiaya Sahakari Sanstha Limited</v>
      </c>
      <c r="I6" s="2" t="str">
        <f>IFERROR(__xludf.DUMMYFUNCTION("""COMPUTED_VALUE"""),"Ishaneshwor-9, Karaputar, Lamjung")</f>
        <v>Ishaneshwor-9, Karaputar, Lamjung</v>
      </c>
      <c r="J6" s="2" t="str">
        <f>IFERROR(__xludf.DUMMYFUNCTION("""COMPUTED_VALUE"""),"28o 09' 16""")</f>
        <v>28o 09' 16"</v>
      </c>
      <c r="K6" s="2" t="str">
        <f>IFERROR(__xludf.DUMMYFUNCTION("""COMPUTED_VALUE"""),"28o 10' 21""")</f>
        <v>28o 10' 21"</v>
      </c>
      <c r="L6" s="2" t="str">
        <f>IFERROR(__xludf.DUMMYFUNCTION("""COMPUTED_VALUE"""),"84o 13' 31""")</f>
        <v>84o 13' 31"</v>
      </c>
      <c r="M6" s="2" t="str">
        <f>IFERROR(__xludf.DUMMYFUNCTION("""COMPUTED_VALUE"""),"84o 15' 28""")</f>
        <v>84o 15' 28"</v>
      </c>
      <c r="N6" s="2" t="str">
        <f>IFERROR(__xludf.DUMMYFUNCTION("""COMPUTED_VALUE"""),"Isaneshwor (Lamjung)")</f>
        <v>Isaneshwor (Lamjung)</v>
      </c>
    </row>
    <row r="7">
      <c r="A7" s="2">
        <f>IFERROR(__xludf.DUMMYFUNCTION("""COMPUTED_VALUE"""),6.0)</f>
        <v>6</v>
      </c>
      <c r="B7" s="2" t="str">
        <f>IFERROR(__xludf.DUMMYFUNCTION("""COMPUTED_VALUE"""),"Upper Jumdi Khola")</f>
        <v>Upper Jumdi Khola</v>
      </c>
      <c r="C7" s="2">
        <f>IFERROR(__xludf.DUMMYFUNCTION("""COMPUTED_VALUE"""),0.995)</f>
        <v>0.995</v>
      </c>
      <c r="D7" s="2" t="str">
        <f>IFERROR(__xludf.DUMMYFUNCTION("""COMPUTED_VALUE"""),"Jumdi")</f>
        <v>Jumdi</v>
      </c>
      <c r="E7" s="2"/>
      <c r="F7" s="3">
        <f>IFERROR(__xludf.DUMMYFUNCTION("""COMPUTED_VALUE"""),62047.0)</f>
        <v>62047</v>
      </c>
      <c r="G7" s="2" t="str">
        <f>IFERROR(__xludf.DUMMYFUNCTION("""COMPUTED_VALUE"""),"0000-00-00")</f>
        <v>0000-00-00</v>
      </c>
      <c r="H7" s="2" t="str">
        <f>IFERROR(__xludf.DUMMYFUNCTION("""COMPUTED_VALUE"""),"Rishikesh Hydropower Pvt. Ltd.")</f>
        <v>Rishikesh Hydropower Pvt. Ltd.</v>
      </c>
      <c r="I7" s="2" t="str">
        <f>IFERROR(__xludf.DUMMYFUNCTION("""COMPUTED_VALUE"""),"P.O. Box: 3581, Ph: 4412112")</f>
        <v>P.O. Box: 3581, Ph: 4412112</v>
      </c>
      <c r="J7" s="2" t="str">
        <f>IFERROR(__xludf.DUMMYFUNCTION("""COMPUTED_VALUE"""),"28o 02' 45""")</f>
        <v>28o 02' 45"</v>
      </c>
      <c r="K7" s="2" t="str">
        <f>IFERROR(__xludf.DUMMYFUNCTION("""COMPUTED_VALUE"""),"28o 03' 30""")</f>
        <v>28o 03' 30"</v>
      </c>
      <c r="L7" s="2" t="str">
        <f>IFERROR(__xludf.DUMMYFUNCTION("""COMPUTED_VALUE"""),"83o 27' 03""")</f>
        <v>83o 27' 03"</v>
      </c>
      <c r="M7" s="2" t="str">
        <f>IFERROR(__xludf.DUMMYFUNCTION("""COMPUTED_VALUE"""),"83o 28' 00""")</f>
        <v>83o 28' 00"</v>
      </c>
      <c r="N7" s="2" t="str">
        <f>IFERROR(__xludf.DUMMYFUNCTION("""COMPUTED_VALUE"""),"Juhang,Bharse,Hasara (Gulmi)")</f>
        <v>Juhang,Bharse,Hasara (Gulmi)</v>
      </c>
    </row>
    <row r="8">
      <c r="A8" s="2">
        <f>IFERROR(__xludf.DUMMYFUNCTION("""COMPUTED_VALUE"""),7.0)</f>
        <v>7</v>
      </c>
      <c r="B8" s="2" t="str">
        <f>IFERROR(__xludf.DUMMYFUNCTION("""COMPUTED_VALUE"""),"Dhunge - Jiri")</f>
        <v>Dhunge - Jiri</v>
      </c>
      <c r="C8" s="2">
        <f>IFERROR(__xludf.DUMMYFUNCTION("""COMPUTED_VALUE"""),0.6)</f>
        <v>0.6</v>
      </c>
      <c r="D8" s="2" t="str">
        <f>IFERROR(__xludf.DUMMYFUNCTION("""COMPUTED_VALUE"""),"Dhunge Khola")</f>
        <v>Dhunge Khola</v>
      </c>
      <c r="E8" s="2"/>
      <c r="F8" s="3">
        <f>IFERROR(__xludf.DUMMYFUNCTION("""COMPUTED_VALUE"""),62176.0)</f>
        <v>62176</v>
      </c>
      <c r="G8" s="2" t="str">
        <f>IFERROR(__xludf.DUMMYFUNCTION("""COMPUTED_VALUE"""),"0000-00-00")</f>
        <v>0000-00-00</v>
      </c>
      <c r="H8" s="2" t="str">
        <f>IFERROR(__xludf.DUMMYFUNCTION("""COMPUTED_VALUE"""),"Dronachal Hydropower Company Pvt. Ltd.")</f>
        <v>Dronachal Hydropower Company Pvt. Ltd.</v>
      </c>
      <c r="I8" s="2" t="str">
        <f>IFERROR(__xludf.DUMMYFUNCTION("""COMPUTED_VALUE"""),"Sanepa Lalitpur, Phone 01-5522297, 9841262909")</f>
        <v>Sanepa Lalitpur, Phone 01-5522297, 9841262909</v>
      </c>
      <c r="J8" s="2" t="str">
        <f>IFERROR(__xludf.DUMMYFUNCTION("""COMPUTED_VALUE"""),"27o 37' 44""")</f>
        <v>27o 37' 44"</v>
      </c>
      <c r="K8" s="2" t="str">
        <f>IFERROR(__xludf.DUMMYFUNCTION("""COMPUTED_VALUE"""),"27o 38' 39""")</f>
        <v>27o 38' 39"</v>
      </c>
      <c r="L8" s="2" t="str">
        <f>IFERROR(__xludf.DUMMYFUNCTION("""COMPUTED_VALUE"""),"86o 13' 30""")</f>
        <v>86o 13' 30"</v>
      </c>
      <c r="M8" s="2" t="str">
        <f>IFERROR(__xludf.DUMMYFUNCTION("""COMPUTED_VALUE"""),"86o 14' 10""")</f>
        <v>86o 14' 10"</v>
      </c>
      <c r="N8" s="2" t="str">
        <f>IFERROR(__xludf.DUMMYFUNCTION("""COMPUTED_VALUE"""),"Jiri (Dolakha)")</f>
        <v>Jiri (Dolakha)</v>
      </c>
    </row>
    <row r="9">
      <c r="A9" s="2">
        <f>IFERROR(__xludf.DUMMYFUNCTION("""COMPUTED_VALUE"""),8.0)</f>
        <v>8</v>
      </c>
      <c r="B9" s="2" t="str">
        <f>IFERROR(__xludf.DUMMYFUNCTION("""COMPUTED_VALUE"""),"Lower Midim Khola SHP")</f>
        <v>Lower Midim Khola SHP</v>
      </c>
      <c r="C9" s="2">
        <f>IFERROR(__xludf.DUMMYFUNCTION("""COMPUTED_VALUE"""),0.996)</f>
        <v>0.996</v>
      </c>
      <c r="D9" s="2" t="str">
        <f>IFERROR(__xludf.DUMMYFUNCTION("""COMPUTED_VALUE"""),"Midim Khola")</f>
        <v>Midim Khola</v>
      </c>
      <c r="E9" s="2"/>
      <c r="F9" s="3">
        <f>IFERROR(__xludf.DUMMYFUNCTION("""COMPUTED_VALUE"""),62658.0)</f>
        <v>62658</v>
      </c>
      <c r="G9" s="2" t="str">
        <f>IFERROR(__xludf.DUMMYFUNCTION("""COMPUTED_VALUE"""),"0000-00-00")</f>
        <v>0000-00-00</v>
      </c>
      <c r="H9" s="2" t="str">
        <f>IFERROR(__xludf.DUMMYFUNCTION("""COMPUTED_VALUE"""),"Tallo Midim Jalbidhyut Company Pvt. Ltd.")</f>
        <v>Tallo Midim Jalbidhyut Company Pvt. Ltd.</v>
      </c>
      <c r="I9" s="2" t="str">
        <f>IFERROR(__xludf.DUMMYFUNCTION("""COMPUTED_VALUE"""),"Tirlingtar-7, Kathmandu, Tel: 4386514")</f>
        <v>Tirlingtar-7, Kathmandu, Tel: 4386514</v>
      </c>
      <c r="J9" s="2" t="str">
        <f>IFERROR(__xludf.DUMMYFUNCTION("""COMPUTED_VALUE"""),"28o 10' 00""")</f>
        <v>28o 10' 00"</v>
      </c>
      <c r="K9" s="2" t="str">
        <f>IFERROR(__xludf.DUMMYFUNCTION("""COMPUTED_VALUE"""),"28o 10' 53""")</f>
        <v>28o 10' 53"</v>
      </c>
      <c r="L9" s="2" t="str">
        <f>IFERROR(__xludf.DUMMYFUNCTION("""COMPUTED_VALUE"""),"84o 15' 29""")</f>
        <v>84o 15' 29"</v>
      </c>
      <c r="M9" s="2" t="str">
        <f>IFERROR(__xludf.DUMMYFUNCTION("""COMPUTED_VALUE"""),"84o 17' 05""")</f>
        <v>84o 17' 05"</v>
      </c>
      <c r="N9" s="2" t="str">
        <f>IFERROR(__xludf.DUMMYFUNCTION("""COMPUTED_VALUE"""),"Karapu (Lamjung)")</f>
        <v>Karapu (Lamjung)</v>
      </c>
    </row>
    <row r="10">
      <c r="A10" s="2">
        <f>IFERROR(__xludf.DUMMYFUNCTION("""COMPUTED_VALUE"""),9.0)</f>
        <v>9</v>
      </c>
      <c r="B10" s="2" t="str">
        <f>IFERROR(__xludf.DUMMYFUNCTION("""COMPUTED_VALUE"""),"Lower Chhote Khola Small HPP")</f>
        <v>Lower Chhote Khola Small HPP</v>
      </c>
      <c r="C10" s="2">
        <f>IFERROR(__xludf.DUMMYFUNCTION("""COMPUTED_VALUE"""),0.997)</f>
        <v>0.997</v>
      </c>
      <c r="D10" s="2" t="str">
        <f>IFERROR(__xludf.DUMMYFUNCTION("""COMPUTED_VALUE"""),"Chhote")</f>
        <v>Chhote</v>
      </c>
      <c r="E10" s="2"/>
      <c r="F10" s="3">
        <f>IFERROR(__xludf.DUMMYFUNCTION("""COMPUTED_VALUE"""),63295.0)</f>
        <v>63295</v>
      </c>
      <c r="G10" s="2" t="str">
        <f>IFERROR(__xludf.DUMMYFUNCTION("""COMPUTED_VALUE"""),"0000-00-00")</f>
        <v>0000-00-00</v>
      </c>
      <c r="H10" s="2" t="str">
        <f>IFERROR(__xludf.DUMMYFUNCTION("""COMPUTED_VALUE"""),"Pashupati Environmental Power Company Pvt. Ltd.")</f>
        <v>Pashupati Environmental Power Company Pvt. Ltd.</v>
      </c>
      <c r="I10" s="2" t="str">
        <f>IFERROR(__xludf.DUMMYFUNCTION("""COMPUTED_VALUE"""),"Po. Box no 20968, Kathmandu-16, Kaaldhara, Phone: 4380505")</f>
        <v>Po. Box no 20968, Kathmandu-16, Kaaldhara, Phone: 4380505</v>
      </c>
      <c r="J10" s="2" t="str">
        <f>IFERROR(__xludf.DUMMYFUNCTION("""COMPUTED_VALUE"""),"28o 10' 00""")</f>
        <v>28o 10' 00"</v>
      </c>
      <c r="K10" s="2" t="str">
        <f>IFERROR(__xludf.DUMMYFUNCTION("""COMPUTED_VALUE"""),"28o 10' 41""")</f>
        <v>28o 10' 41"</v>
      </c>
      <c r="L10" s="2" t="str">
        <f>IFERROR(__xludf.DUMMYFUNCTION("""COMPUTED_VALUE"""),"84o 53' 00""")</f>
        <v>84o 53' 00"</v>
      </c>
      <c r="M10" s="2" t="str">
        <f>IFERROR(__xludf.DUMMYFUNCTION("""COMPUTED_VALUE"""),"84o 53' 15""")</f>
        <v>84o 53' 15"</v>
      </c>
      <c r="N10" s="2" t="str">
        <f>IFERROR(__xludf.DUMMYFUNCTION("""COMPUTED_VALUE"""),"Manbu (Gorkha)")</f>
        <v>Manbu (Gorkha)</v>
      </c>
    </row>
    <row r="11">
      <c r="A11" s="2">
        <f>IFERROR(__xludf.DUMMYFUNCTION("""COMPUTED_VALUE"""),10.0)</f>
        <v>10</v>
      </c>
      <c r="B11" s="2" t="str">
        <f>IFERROR(__xludf.DUMMYFUNCTION("""COMPUTED_VALUE"""),"Khatyat Khola SHP")</f>
        <v>Khatyat Khola SHP</v>
      </c>
      <c r="C11" s="2">
        <f>IFERROR(__xludf.DUMMYFUNCTION("""COMPUTED_VALUE"""),0.5)</f>
        <v>0.5</v>
      </c>
      <c r="D11" s="2" t="str">
        <f>IFERROR(__xludf.DUMMYFUNCTION("""COMPUTED_VALUE"""),"Khatyat")</f>
        <v>Khatyat</v>
      </c>
      <c r="E11" s="2"/>
      <c r="F11" s="3">
        <f>IFERROR(__xludf.DUMMYFUNCTION("""COMPUTED_VALUE"""),63410.0)</f>
        <v>63410</v>
      </c>
      <c r="G11" s="2" t="str">
        <f>IFERROR(__xludf.DUMMYFUNCTION("""COMPUTED_VALUE"""),"0000-00-00")</f>
        <v>0000-00-00</v>
      </c>
      <c r="H11" s="2" t="str">
        <f>IFERROR(__xludf.DUMMYFUNCTION("""COMPUTED_VALUE"""),"Shrijanshil Krishi Sahakari Sanstha Ltd,")</f>
        <v>Shrijanshil Krishi Sahakari Sanstha Ltd,</v>
      </c>
      <c r="I11" s="2" t="str">
        <f>IFERROR(__xludf.DUMMYFUNCTION("""COMPUTED_VALUE"""),"Shukdhik VDC, Mugu, Tel: 9848082036, P.O. Box: 20506")</f>
        <v>Shukdhik VDC, Mugu, Tel: 9848082036, P.O. Box: 20506</v>
      </c>
      <c r="J11" s="2" t="str">
        <f>IFERROR(__xludf.DUMMYFUNCTION("""COMPUTED_VALUE"""),"29o 30' 20""")</f>
        <v>29o 30' 20"</v>
      </c>
      <c r="K11" s="2" t="str">
        <f>IFERROR(__xludf.DUMMYFUNCTION("""COMPUTED_VALUE"""),"29o 31' 00""")</f>
        <v>29o 31' 00"</v>
      </c>
      <c r="L11" s="2" t="str">
        <f>IFERROR(__xludf.DUMMYFUNCTION("""COMPUTED_VALUE"""),"81o 50' 45""")</f>
        <v>81o 50' 45"</v>
      </c>
      <c r="M11" s="2" t="str">
        <f>IFERROR(__xludf.DUMMYFUNCTION("""COMPUTED_VALUE"""),"81o 52' 00""")</f>
        <v>81o 52' 00"</v>
      </c>
      <c r="N11" s="2" t="str">
        <f>IFERROR(__xludf.DUMMYFUNCTION("""COMPUTED_VALUE"""),"Sukhadhik (Mugu)")</f>
        <v>Sukhadhik (Mugu)</v>
      </c>
    </row>
    <row r="12">
      <c r="A12" s="2">
        <f>IFERROR(__xludf.DUMMYFUNCTION("""COMPUTED_VALUE"""),11.0)</f>
        <v>11</v>
      </c>
      <c r="B12" s="2" t="str">
        <f>IFERROR(__xludf.DUMMYFUNCTION("""COMPUTED_VALUE"""),"Tinekhu Khola SHP")</f>
        <v>Tinekhu Khola SHP</v>
      </c>
      <c r="C12" s="2">
        <f>IFERROR(__xludf.DUMMYFUNCTION("""COMPUTED_VALUE"""),0.99)</f>
        <v>0.99</v>
      </c>
      <c r="D12" s="2" t="str">
        <f>IFERROR(__xludf.DUMMYFUNCTION("""COMPUTED_VALUE"""),"Tinekhu")</f>
        <v>Tinekhu</v>
      </c>
      <c r="E12" s="2"/>
      <c r="F12" s="3">
        <f>IFERROR(__xludf.DUMMYFUNCTION("""COMPUTED_VALUE"""),63700.0)</f>
        <v>63700</v>
      </c>
      <c r="G12" s="2" t="str">
        <f>IFERROR(__xludf.DUMMYFUNCTION("""COMPUTED_VALUE"""),"0000-00-00")</f>
        <v>0000-00-00</v>
      </c>
      <c r="H12" s="2" t="str">
        <f>IFERROR(__xludf.DUMMYFUNCTION("""COMPUTED_VALUE"""),"Hydro Innovations Pvt. Ltd.")</f>
        <v>Hydro Innovations Pvt. Ltd.</v>
      </c>
      <c r="I12" s="2" t="str">
        <f>IFERROR(__xludf.DUMMYFUNCTION("""COMPUTED_VALUE"""),"Dhapakhel, Lalitpur, Ph: 01-5250671, 9851025052")</f>
        <v>Dhapakhel, Lalitpur, Ph: 01-5250671, 9851025052</v>
      </c>
      <c r="J12" s="2" t="str">
        <f>IFERROR(__xludf.DUMMYFUNCTION("""COMPUTED_VALUE"""),"27o 43' 54""")</f>
        <v>27o 43' 54"</v>
      </c>
      <c r="K12" s="2" t="str">
        <f>IFERROR(__xludf.DUMMYFUNCTION("""COMPUTED_VALUE"""),"27o 45' 15""")</f>
        <v>27o 45' 15"</v>
      </c>
      <c r="L12" s="2" t="str">
        <f>IFERROR(__xludf.DUMMYFUNCTION("""COMPUTED_VALUE"""),"86o 11' 18""")</f>
        <v>86o 11' 18"</v>
      </c>
      <c r="M12" s="2" t="str">
        <f>IFERROR(__xludf.DUMMYFUNCTION("""COMPUTED_VALUE"""),"86o 12' 18""")</f>
        <v>86o 12' 18"</v>
      </c>
      <c r="N12" s="2" t="str">
        <f>IFERROR(__xludf.DUMMYFUNCTION("""COMPUTED_VALUE"""),"Jhyaku,Suriti (Dolakha)")</f>
        <v>Jhyaku,Suriti (Dolakha)</v>
      </c>
    </row>
    <row r="13">
      <c r="A13" s="2">
        <f>IFERROR(__xludf.DUMMYFUNCTION("""COMPUTED_VALUE"""),12.0)</f>
        <v>12</v>
      </c>
      <c r="B13" s="2" t="str">
        <f>IFERROR(__xludf.DUMMYFUNCTION("""COMPUTED_VALUE"""),"Saiti Khola Small")</f>
        <v>Saiti Khola Small</v>
      </c>
      <c r="C13" s="2">
        <f>IFERROR(__xludf.DUMMYFUNCTION("""COMPUTED_VALUE"""),0.999)</f>
        <v>0.999</v>
      </c>
      <c r="D13" s="2" t="str">
        <f>IFERROR(__xludf.DUMMYFUNCTION("""COMPUTED_VALUE"""),"Saiti")</f>
        <v>Saiti</v>
      </c>
      <c r="E13" s="2"/>
      <c r="F13" s="3">
        <f>IFERROR(__xludf.DUMMYFUNCTION("""COMPUTED_VALUE"""),63845.0)</f>
        <v>63845</v>
      </c>
      <c r="G13" s="2" t="str">
        <f>IFERROR(__xludf.DUMMYFUNCTION("""COMPUTED_VALUE"""),"0000-00-00")</f>
        <v>0000-00-00</v>
      </c>
      <c r="H13" s="2" t="str">
        <f>IFERROR(__xludf.DUMMYFUNCTION("""COMPUTED_VALUE"""),"Saiti Power Company Pvt. Ltd")</f>
        <v>Saiti Power Company Pvt. Ltd</v>
      </c>
      <c r="I13" s="2" t="str">
        <f>IFERROR(__xludf.DUMMYFUNCTION("""COMPUTED_VALUE"""),"Pokhara-5, Malepatan Kaski, 9846517666")</f>
        <v>Pokhara-5, Malepatan Kaski, 9846517666</v>
      </c>
      <c r="J13" s="2" t="str">
        <f>IFERROR(__xludf.DUMMYFUNCTION("""COMPUTED_VALUE"""),"28o 21' 50""")</f>
        <v>28o 21' 50"</v>
      </c>
      <c r="K13" s="2" t="str">
        <f>IFERROR(__xludf.DUMMYFUNCTION("""COMPUTED_VALUE"""),"28o 22' 15""")</f>
        <v>28o 22' 15"</v>
      </c>
      <c r="L13" s="2" t="str">
        <f>IFERROR(__xludf.DUMMYFUNCTION("""COMPUTED_VALUE"""),"83o 53' 00""")</f>
        <v>83o 53' 00"</v>
      </c>
      <c r="M13" s="2" t="str">
        <f>IFERROR(__xludf.DUMMYFUNCTION("""COMPUTED_VALUE"""),"83o 54' 23""")</f>
        <v>83o 54' 23"</v>
      </c>
      <c r="N13" s="2" t="str">
        <f>IFERROR(__xludf.DUMMYFUNCTION("""COMPUTED_VALUE"""),"Lwangghale (Kaski)")</f>
        <v>Lwangghale (Kaski)</v>
      </c>
    </row>
    <row r="14">
      <c r="A14" s="2">
        <f>IFERROR(__xludf.DUMMYFUNCTION("""COMPUTED_VALUE"""),13.0)</f>
        <v>13</v>
      </c>
      <c r="B14" s="2" t="str">
        <f>IFERROR(__xludf.DUMMYFUNCTION("""COMPUTED_VALUE"""),"Upper Belkhu Small HPP")</f>
        <v>Upper Belkhu Small HPP</v>
      </c>
      <c r="C14" s="2">
        <f>IFERROR(__xludf.DUMMYFUNCTION("""COMPUTED_VALUE"""),0.996)</f>
        <v>0.996</v>
      </c>
      <c r="D14" s="2" t="str">
        <f>IFERROR(__xludf.DUMMYFUNCTION("""COMPUTED_VALUE"""),"Belkhu")</f>
        <v>Belkhu</v>
      </c>
      <c r="E14" s="2"/>
      <c r="F14" s="3">
        <f>IFERROR(__xludf.DUMMYFUNCTION("""COMPUTED_VALUE"""),63856.0)</f>
        <v>63856</v>
      </c>
      <c r="G14" s="2" t="str">
        <f>IFERROR(__xludf.DUMMYFUNCTION("""COMPUTED_VALUE"""),"0000-00-00")</f>
        <v>0000-00-00</v>
      </c>
      <c r="H14" s="2" t="str">
        <f>IFERROR(__xludf.DUMMYFUNCTION("""COMPUTED_VALUE"""),"Dariyal Small Hydropower Co. P Ltd.")</f>
        <v>Dariyal Small Hydropower Co. P Ltd.</v>
      </c>
      <c r="I14" s="2" t="str">
        <f>IFERROR(__xludf.DUMMYFUNCTION("""COMPUTED_VALUE"""),"Battishputali Kathmandu, Ph: 9851079680")</f>
        <v>Battishputali Kathmandu, Ph: 9851079680</v>
      </c>
      <c r="J14" s="2" t="str">
        <f>IFERROR(__xludf.DUMMYFUNCTION("""COMPUTED_VALUE"""),"27o 43' 31""")</f>
        <v>27o 43' 31"</v>
      </c>
      <c r="K14" s="2" t="str">
        <f>IFERROR(__xludf.DUMMYFUNCTION("""COMPUTED_VALUE"""),"27o 44' 40""")</f>
        <v>27o 44' 40"</v>
      </c>
      <c r="L14" s="2" t="str">
        <f>IFERROR(__xludf.DUMMYFUNCTION("""COMPUTED_VALUE"""),"84o 56' 36""")</f>
        <v>84o 56' 36"</v>
      </c>
      <c r="M14" s="2" t="str">
        <f>IFERROR(__xludf.DUMMYFUNCTION("""COMPUTED_VALUE"""),"84o 57' 30""")</f>
        <v>84o 57' 30"</v>
      </c>
      <c r="N14" s="2" t="str">
        <f>IFERROR(__xludf.DUMMYFUNCTION("""COMPUTED_VALUE"""),"Kiranchok (Dhading)")</f>
        <v>Kiranchok (Dhading)</v>
      </c>
    </row>
    <row r="15">
      <c r="A15" s="2">
        <f>IFERROR(__xludf.DUMMYFUNCTION("""COMPUTED_VALUE"""),14.0)</f>
        <v>14</v>
      </c>
      <c r="B15" s="2" t="str">
        <f>IFERROR(__xludf.DUMMYFUNCTION("""COMPUTED_VALUE"""),"Gohare (Ichowk) SHP")</f>
        <v>Gohare (Ichowk) SHP</v>
      </c>
      <c r="C15" s="2">
        <f>IFERROR(__xludf.DUMMYFUNCTION("""COMPUTED_VALUE"""),0.95)</f>
        <v>0.95</v>
      </c>
      <c r="D15" s="2" t="str">
        <f>IFERROR(__xludf.DUMMYFUNCTION("""COMPUTED_VALUE"""),"Gohora")</f>
        <v>Gohora</v>
      </c>
      <c r="E15" s="2"/>
      <c r="F15" s="3">
        <f>IFERROR(__xludf.DUMMYFUNCTION("""COMPUTED_VALUE"""),63896.0)</f>
        <v>63896</v>
      </c>
      <c r="G15" s="2" t="str">
        <f>IFERROR(__xludf.DUMMYFUNCTION("""COMPUTED_VALUE"""),"0000-00-00")</f>
        <v>0000-00-00</v>
      </c>
      <c r="H15" s="2" t="str">
        <f>IFERROR(__xludf.DUMMYFUNCTION("""COMPUTED_VALUE"""),"Ichowk Hydropower Pvt. Ltd.")</f>
        <v>Ichowk Hydropower Pvt. Ltd.</v>
      </c>
      <c r="I15" s="2" t="str">
        <f>IFERROR(__xludf.DUMMYFUNCTION("""COMPUTED_VALUE"""),"Ratopul, Kathmandu, Phone no 9851120651")</f>
        <v>Ratopul, Kathmandu, Phone no 9851120651</v>
      </c>
      <c r="J15" s="2" t="str">
        <f>IFERROR(__xludf.DUMMYFUNCTION("""COMPUTED_VALUE"""),"27o 56' 00""")</f>
        <v>27o 56' 00"</v>
      </c>
      <c r="K15" s="2" t="str">
        <f>IFERROR(__xludf.DUMMYFUNCTION("""COMPUTED_VALUE"""),"27o 57' 12""")</f>
        <v>27o 57' 12"</v>
      </c>
      <c r="L15" s="2" t="str">
        <f>IFERROR(__xludf.DUMMYFUNCTION("""COMPUTED_VALUE"""),"85o 29' 46""")</f>
        <v>85o 29' 46"</v>
      </c>
      <c r="M15" s="2" t="str">
        <f>IFERROR(__xludf.DUMMYFUNCTION("""COMPUTED_VALUE"""),"85o 31' 09""")</f>
        <v>85o 31' 09"</v>
      </c>
      <c r="N15" s="2" t="str">
        <f>IFERROR(__xludf.DUMMYFUNCTION("""COMPUTED_VALUE"""),"Ichok (Sindhupalchok)")</f>
        <v>Ichok (Sindhupalchok)</v>
      </c>
    </row>
    <row r="16">
      <c r="A16" s="2">
        <f>IFERROR(__xludf.DUMMYFUNCTION("""COMPUTED_VALUE"""),15.0)</f>
        <v>15</v>
      </c>
      <c r="B16" s="2" t="str">
        <f>IFERROR(__xludf.DUMMYFUNCTION("""COMPUTED_VALUE"""),"Simrutu Khola")</f>
        <v>Simrutu Khola</v>
      </c>
      <c r="C16" s="2">
        <f>IFERROR(__xludf.DUMMYFUNCTION("""COMPUTED_VALUE"""),0.2)</f>
        <v>0.2</v>
      </c>
      <c r="D16" s="2" t="str">
        <f>IFERROR(__xludf.DUMMYFUNCTION("""COMPUTED_VALUE"""),"Simruth")</f>
        <v>Simruth</v>
      </c>
      <c r="E16" s="2"/>
      <c r="F16" s="3">
        <f>IFERROR(__xludf.DUMMYFUNCTION("""COMPUTED_VALUE"""),63926.0)</f>
        <v>63926</v>
      </c>
      <c r="G16" s="2" t="str">
        <f>IFERROR(__xludf.DUMMYFUNCTION("""COMPUTED_VALUE"""),"0000-00-00")</f>
        <v>0000-00-00</v>
      </c>
      <c r="H16" s="2" t="str">
        <f>IFERROR(__xludf.DUMMYFUNCTION("""COMPUTED_VALUE"""),"Simrutu Khola Jal Upvokta Samiti")</f>
        <v>Simrutu Khola Jal Upvokta Samiti</v>
      </c>
      <c r="I16" s="2" t="str">
        <f>IFERROR(__xludf.DUMMYFUNCTION("""COMPUTED_VALUE"""),"Rukum")</f>
        <v>Rukum</v>
      </c>
      <c r="J16" s="2" t="str">
        <f>IFERROR(__xludf.DUMMYFUNCTION("""COMPUTED_VALUE"""),"28o 34' 27""")</f>
        <v>28o 34' 27"</v>
      </c>
      <c r="K16" s="2" t="str">
        <f>IFERROR(__xludf.DUMMYFUNCTION("""COMPUTED_VALUE"""),"28o 35' 11""")</f>
        <v>28o 35' 11"</v>
      </c>
      <c r="L16" s="2" t="str">
        <f>IFERROR(__xludf.DUMMYFUNCTION("""COMPUTED_VALUE"""),"82o 26' 00""")</f>
        <v>82o 26' 00"</v>
      </c>
      <c r="M16" s="2" t="str">
        <f>IFERROR(__xludf.DUMMYFUNCTION("""COMPUTED_VALUE"""),"82o 27' 00""")</f>
        <v>82o 27' 00"</v>
      </c>
      <c r="N16" s="2" t="str">
        <f>IFERROR(__xludf.DUMMYFUNCTION("""COMPUTED_VALUE"""),"Rugha (Rukum)")</f>
        <v>Rugha (Rukum)</v>
      </c>
    </row>
    <row r="17">
      <c r="A17" s="2">
        <f>IFERROR(__xludf.DUMMYFUNCTION("""COMPUTED_VALUE"""),16.0)</f>
        <v>16</v>
      </c>
      <c r="B17" s="2" t="str">
        <f>IFERROR(__xludf.DUMMYFUNCTION("""COMPUTED_VALUE"""),"Gulandi Khola SHP")</f>
        <v>Gulandi Khola SHP</v>
      </c>
      <c r="C17" s="2">
        <f>IFERROR(__xludf.DUMMYFUNCTION("""COMPUTED_VALUE"""),0.98)</f>
        <v>0.98</v>
      </c>
      <c r="D17" s="2" t="str">
        <f>IFERROR(__xludf.DUMMYFUNCTION("""COMPUTED_VALUE"""),"Gulandi")</f>
        <v>Gulandi</v>
      </c>
      <c r="E17" s="2"/>
      <c r="F17" s="3">
        <f>IFERROR(__xludf.DUMMYFUNCTION("""COMPUTED_VALUE"""),63966.0)</f>
        <v>63966</v>
      </c>
      <c r="G17" s="2" t="str">
        <f>IFERROR(__xludf.DUMMYFUNCTION("""COMPUTED_VALUE"""),"0000-00-00")</f>
        <v>0000-00-00</v>
      </c>
      <c r="H17" s="2" t="str">
        <f>IFERROR(__xludf.DUMMYFUNCTION("""COMPUTED_VALUE"""),"Jhilimili Hydropower Company Pvt. Ltd.")</f>
        <v>Jhilimili Hydropower Company Pvt. Ltd.</v>
      </c>
      <c r="I17" s="2" t="str">
        <f>IFERROR(__xludf.DUMMYFUNCTION("""COMPUTED_VALUE"""),"Pokhara-11, Kaski, Phone: 9856029779")</f>
        <v>Pokhara-11, Kaski, Phone: 9856029779</v>
      </c>
      <c r="J17" s="2" t="str">
        <f>IFERROR(__xludf.DUMMYFUNCTION("""COMPUTED_VALUE"""),"28o 03' 45""")</f>
        <v>28o 03' 45"</v>
      </c>
      <c r="K17" s="2" t="str">
        <f>IFERROR(__xludf.DUMMYFUNCTION("""COMPUTED_VALUE"""),"28o 04' 18""")</f>
        <v>28o 04' 18"</v>
      </c>
      <c r="L17" s="2" t="str">
        <f>IFERROR(__xludf.DUMMYFUNCTION("""COMPUTED_VALUE"""),"83o 32' 40""")</f>
        <v>83o 32' 40"</v>
      </c>
      <c r="M17" s="2" t="str">
        <f>IFERROR(__xludf.DUMMYFUNCTION("""COMPUTED_VALUE"""),"83o 33' 46""")</f>
        <v>83o 33' 46"</v>
      </c>
      <c r="N17" s="2" t="str">
        <f>IFERROR(__xludf.DUMMYFUNCTION("""COMPUTED_VALUE"""),"Khadagkot,Foksing,Purtighat (Gulmi)")</f>
        <v>Khadagkot,Foksing,Purtighat (Gulmi)</v>
      </c>
    </row>
    <row r="18">
      <c r="A18" s="2">
        <f>IFERROR(__xludf.DUMMYFUNCTION("""COMPUTED_VALUE"""),17.0)</f>
        <v>17</v>
      </c>
      <c r="B18" s="2" t="str">
        <f>IFERROR(__xludf.DUMMYFUNCTION("""COMPUTED_VALUE"""),"Tara Khola Community (Mini) Hydropower Project")</f>
        <v>Tara Khola Community (Mini) Hydropower Project</v>
      </c>
      <c r="C18" s="2">
        <f>IFERROR(__xludf.DUMMYFUNCTION("""COMPUTED_VALUE"""),0.38)</f>
        <v>0.38</v>
      </c>
      <c r="D18" s="2" t="str">
        <f>IFERROR(__xludf.DUMMYFUNCTION("""COMPUTED_VALUE"""),"Tara Khola")</f>
        <v>Tara Khola</v>
      </c>
      <c r="E18" s="2"/>
      <c r="F18" s="3">
        <f>IFERROR(__xludf.DUMMYFUNCTION("""COMPUTED_VALUE"""),64006.0)</f>
        <v>64006</v>
      </c>
      <c r="G18" s="2" t="str">
        <f>IFERROR(__xludf.DUMMYFUNCTION("""COMPUTED_VALUE"""),"0000-00-00")</f>
        <v>0000-00-00</v>
      </c>
      <c r="H18" s="2" t="str">
        <f>IFERROR(__xludf.DUMMYFUNCTION("""COMPUTED_VALUE"""),"Tara Khola Community Small Hydropower Consumer Committee")</f>
        <v>Tara Khola Community Small Hydropower Consumer Committee</v>
      </c>
      <c r="I18" s="2" t="str">
        <f>IFERROR(__xludf.DUMMYFUNCTION("""COMPUTED_VALUE"""),"Tara-7, Bagling, 9847628615 (Bal B. KC)")</f>
        <v>Tara-7, Bagling, 9847628615 (Bal B. KC)</v>
      </c>
      <c r="J18" s="2" t="str">
        <f>IFERROR(__xludf.DUMMYFUNCTION("""COMPUTED_VALUE"""),"28o 19' 44""")</f>
        <v>28o 19' 44"</v>
      </c>
      <c r="K18" s="2" t="str">
        <f>IFERROR(__xludf.DUMMYFUNCTION("""COMPUTED_VALUE"""),"28o 20' 21""")</f>
        <v>28o 20' 21"</v>
      </c>
      <c r="L18" s="2" t="str">
        <f>IFERROR(__xludf.DUMMYFUNCTION("""COMPUTED_VALUE"""),"83o 22' 21""")</f>
        <v>83o 22' 21"</v>
      </c>
      <c r="M18" s="2" t="str">
        <f>IFERROR(__xludf.DUMMYFUNCTION("""COMPUTED_VALUE"""),"83o 22' 59""")</f>
        <v>83o 22' 59"</v>
      </c>
      <c r="N18" s="2" t="str">
        <f>IFERROR(__xludf.DUMMYFUNCTION("""COMPUTED_VALUE"""),"Tara (Baglung)")</f>
        <v>Tara (Baglung)</v>
      </c>
    </row>
    <row r="19">
      <c r="A19" s="2">
        <f>IFERROR(__xludf.DUMMYFUNCTION("""COMPUTED_VALUE"""),18.0)</f>
        <v>18</v>
      </c>
      <c r="B19" s="2" t="str">
        <f>IFERROR(__xludf.DUMMYFUNCTION("""COMPUTED_VALUE"""),"Hadi Khola (Sunkoshi) A HPP")</f>
        <v>Hadi Khola (Sunkoshi) A HPP</v>
      </c>
      <c r="C19" s="2">
        <f>IFERROR(__xludf.DUMMYFUNCTION("""COMPUTED_VALUE"""),0.997)</f>
        <v>0.997</v>
      </c>
      <c r="D19" s="2" t="str">
        <f>IFERROR(__xludf.DUMMYFUNCTION("""COMPUTED_VALUE"""),"Hadi Khola")</f>
        <v>Hadi Khola</v>
      </c>
      <c r="E19" s="2"/>
      <c r="F19" s="3">
        <f>IFERROR(__xludf.DUMMYFUNCTION("""COMPUTED_VALUE"""),64064.0)</f>
        <v>64064</v>
      </c>
      <c r="G19" s="2" t="str">
        <f>IFERROR(__xludf.DUMMYFUNCTION("""COMPUTED_VALUE"""),"0000-00-00")</f>
        <v>0000-00-00</v>
      </c>
      <c r="H19" s="2" t="str">
        <f>IFERROR(__xludf.DUMMYFUNCTION("""COMPUTED_VALUE"""),"Century Energy Ltd")</f>
        <v>Century Energy Ltd</v>
      </c>
      <c r="I19" s="2" t="str">
        <f>IFERROR(__xludf.DUMMYFUNCTION("""COMPUTED_VALUE"""),"Bhupiserchan marg 155, Katyani Chowk Kathmandu,POB 1372; Tel: 014116119")</f>
        <v>Bhupiserchan marg 155, Katyani Chowk Kathmandu,POB 1372; Tel: 014116119</v>
      </c>
      <c r="J19" s="2" t="str">
        <f>IFERROR(__xludf.DUMMYFUNCTION("""COMPUTED_VALUE"""),"27o 46' 50""")</f>
        <v>27o 46' 50"</v>
      </c>
      <c r="K19" s="2" t="str">
        <f>IFERROR(__xludf.DUMMYFUNCTION("""COMPUTED_VALUE"""),"27o 47' 55""")</f>
        <v>27o 47' 55"</v>
      </c>
      <c r="L19" s="2" t="str">
        <f>IFERROR(__xludf.DUMMYFUNCTION("""COMPUTED_VALUE"""),"85o 57' 28""")</f>
        <v>85o 57' 28"</v>
      </c>
      <c r="M19" s="2" t="str">
        <f>IFERROR(__xludf.DUMMYFUNCTION("""COMPUTED_VALUE"""),"85o 59' 10""")</f>
        <v>85o 59' 10"</v>
      </c>
      <c r="N19" s="2" t="str">
        <f>IFERROR(__xludf.DUMMYFUNCTION("""COMPUTED_VALUE"""),"Ghorthali,Karthali (Sindhupalchok)")</f>
        <v>Ghorthali,Karthali (Sindhupalchok)</v>
      </c>
    </row>
    <row r="20">
      <c r="A20" s="2">
        <f>IFERROR(__xludf.DUMMYFUNCTION("""COMPUTED_VALUE"""),19.0)</f>
        <v>19</v>
      </c>
      <c r="B20" s="2" t="str">
        <f>IFERROR(__xludf.DUMMYFUNCTION("""COMPUTED_VALUE"""),"Tauthali Khola")</f>
        <v>Tauthali Khola</v>
      </c>
      <c r="C20" s="2">
        <f>IFERROR(__xludf.DUMMYFUNCTION("""COMPUTED_VALUE"""),0.95)</f>
        <v>0.95</v>
      </c>
      <c r="D20" s="2" t="str">
        <f>IFERROR(__xludf.DUMMYFUNCTION("""COMPUTED_VALUE"""),"Tauthali")</f>
        <v>Tauthali</v>
      </c>
      <c r="E20" s="2"/>
      <c r="F20" s="3">
        <f>IFERROR(__xludf.DUMMYFUNCTION("""COMPUTED_VALUE"""),64141.0)</f>
        <v>64141</v>
      </c>
      <c r="G20" s="2" t="str">
        <f>IFERROR(__xludf.DUMMYFUNCTION("""COMPUTED_VALUE"""),"0000-00-00")</f>
        <v>0000-00-00</v>
      </c>
      <c r="H20" s="2" t="str">
        <f>IFERROR(__xludf.DUMMYFUNCTION("""COMPUTED_VALUE"""),"Shakti Urja Bikash Co. P. Ltd")</f>
        <v>Shakti Urja Bikash Co. P. Ltd</v>
      </c>
      <c r="I20" s="2" t="str">
        <f>IFERROR(__xludf.DUMMYFUNCTION("""COMPUTED_VALUE"""),"Battisputali Kathmandu Ph: 4475025, Mobil: 9851013227")</f>
        <v>Battisputali Kathmandu Ph: 4475025, Mobil: 9851013227</v>
      </c>
      <c r="J20" s="2" t="str">
        <f>IFERROR(__xludf.DUMMYFUNCTION("""COMPUTED_VALUE"""),"27o 42' 00""")</f>
        <v>27o 42' 00"</v>
      </c>
      <c r="K20" s="2" t="str">
        <f>IFERROR(__xludf.DUMMYFUNCTION("""COMPUTED_VALUE"""),"27o 45' 00""")</f>
        <v>27o 45' 00"</v>
      </c>
      <c r="L20" s="2" t="str">
        <f>IFERROR(__xludf.DUMMYFUNCTION("""COMPUTED_VALUE"""),"85o 51' 30""")</f>
        <v>85o 51' 30"</v>
      </c>
      <c r="M20" s="2" t="str">
        <f>IFERROR(__xludf.DUMMYFUNCTION("""COMPUTED_VALUE"""),"85o 55' 30""")</f>
        <v>85o 55' 30"</v>
      </c>
      <c r="N20" s="2" t="str">
        <f>IFERROR(__xludf.DUMMYFUNCTION("""COMPUTED_VALUE"""),"Jethal,Pagretar,Petaku,Thulo Pakhar,Tauthali,Tekanpur (Sindhupalchok)")</f>
        <v>Jethal,Pagretar,Petaku,Thulo Pakhar,Tauthali,Tekanpur (Sindhupalchok)</v>
      </c>
    </row>
    <row r="21">
      <c r="A21" s="2">
        <f>IFERROR(__xludf.DUMMYFUNCTION("""COMPUTED_VALUE"""),20.0)</f>
        <v>20</v>
      </c>
      <c r="B21" s="2" t="str">
        <f>IFERROR(__xludf.DUMMYFUNCTION("""COMPUTED_VALUE"""),"Salubyani Gad SHP")</f>
        <v>Salubyani Gad SHP</v>
      </c>
      <c r="C21" s="2">
        <f>IFERROR(__xludf.DUMMYFUNCTION("""COMPUTED_VALUE"""),0.233)</f>
        <v>0.233</v>
      </c>
      <c r="D21" s="2" t="str">
        <f>IFERROR(__xludf.DUMMYFUNCTION("""COMPUTED_VALUE"""),"Salubyan")</f>
        <v>Salubyan</v>
      </c>
      <c r="E21" s="2"/>
      <c r="F21" s="3">
        <f>IFERROR(__xludf.DUMMYFUNCTION("""COMPUTED_VALUE"""),64154.0)</f>
        <v>64154</v>
      </c>
      <c r="G21" s="2" t="str">
        <f>IFERROR(__xludf.DUMMYFUNCTION("""COMPUTED_VALUE"""),"0000-00-00")</f>
        <v>0000-00-00</v>
      </c>
      <c r="H21" s="2" t="str">
        <f>IFERROR(__xludf.DUMMYFUNCTION("""COMPUTED_VALUE"""),"Khechareshwor HPP")</f>
        <v>Khechareshwor HPP</v>
      </c>
      <c r="I21" s="2" t="str">
        <f>IFERROR(__xludf.DUMMYFUNCTION("""COMPUTED_VALUE"""),"Bishalnagar Kathmandu, House No 52/52, PH 9851144264,014410184")</f>
        <v>Bishalnagar Kathmandu, House No 52/52, PH 9851144264,014410184</v>
      </c>
      <c r="J21" s="2" t="str">
        <f>IFERROR(__xludf.DUMMYFUNCTION("""COMPUTED_VALUE"""),"29o 26' 05""")</f>
        <v>29o 26' 05"</v>
      </c>
      <c r="K21" s="2" t="str">
        <f>IFERROR(__xludf.DUMMYFUNCTION("""COMPUTED_VALUE"""),"29o 26' 30""")</f>
        <v>29o 26' 30"</v>
      </c>
      <c r="L21" s="2" t="str">
        <f>IFERROR(__xludf.DUMMYFUNCTION("""COMPUTED_VALUE"""),"81o 09' 00""")</f>
        <v>81o 09' 00"</v>
      </c>
      <c r="M21" s="2" t="str">
        <f>IFERROR(__xludf.DUMMYFUNCTION("""COMPUTED_VALUE"""),"81o 09' 58""")</f>
        <v>81o 09' 58"</v>
      </c>
      <c r="N21" s="2" t="str">
        <f>IFERROR(__xludf.DUMMYFUNCTION("""COMPUTED_VALUE"""),"Kalukheti,Majhigau (Bajhang)")</f>
        <v>Kalukheti,Majhigau (Bajhang)</v>
      </c>
    </row>
    <row r="22">
      <c r="A22" s="2">
        <f>IFERROR(__xludf.DUMMYFUNCTION("""COMPUTED_VALUE"""),21.0)</f>
        <v>21</v>
      </c>
      <c r="B22" s="2" t="str">
        <f>IFERROR(__xludf.DUMMYFUNCTION("""COMPUTED_VALUE"""),"Jadari Gad")</f>
        <v>Jadari Gad</v>
      </c>
      <c r="C22" s="2">
        <f>IFERROR(__xludf.DUMMYFUNCTION("""COMPUTED_VALUE"""),1.0)</f>
        <v>1</v>
      </c>
      <c r="D22" s="2" t="str">
        <f>IFERROR(__xludf.DUMMYFUNCTION("""COMPUTED_VALUE"""),"Jadari Gad")</f>
        <v>Jadari Gad</v>
      </c>
      <c r="E22" s="2"/>
      <c r="F22" s="3">
        <f>IFERROR(__xludf.DUMMYFUNCTION("""COMPUTED_VALUE"""),64154.0)</f>
        <v>64154</v>
      </c>
      <c r="G22" s="2" t="str">
        <f>IFERROR(__xludf.DUMMYFUNCTION("""COMPUTED_VALUE"""),"0000-00-00")</f>
        <v>0000-00-00</v>
      </c>
      <c r="H22" s="2" t="str">
        <f>IFERROR(__xludf.DUMMYFUNCTION("""COMPUTED_VALUE"""),"Khechareshwor HPP")</f>
        <v>Khechareshwor HPP</v>
      </c>
      <c r="I22" s="2" t="str">
        <f>IFERROR(__xludf.DUMMYFUNCTION("""COMPUTED_VALUE"""),"Bishal Nagar-4, House No: 53/53 Chha, Tel: 4410184")</f>
        <v>Bishal Nagar-4, House No: 53/53 Chha, Tel: 4410184</v>
      </c>
      <c r="J22" s="2" t="str">
        <f>IFERROR(__xludf.DUMMYFUNCTION("""COMPUTED_VALUE"""),"29o 28' 34""")</f>
        <v>29o 28' 34"</v>
      </c>
      <c r="K22" s="2" t="str">
        <f>IFERROR(__xludf.DUMMYFUNCTION("""COMPUTED_VALUE"""),"29o 30' 15""")</f>
        <v>29o 30' 15"</v>
      </c>
      <c r="L22" s="2" t="str">
        <f>IFERROR(__xludf.DUMMYFUNCTION("""COMPUTED_VALUE"""),"81o 07' 35""")</f>
        <v>81o 07' 35"</v>
      </c>
      <c r="M22" s="2" t="str">
        <f>IFERROR(__xludf.DUMMYFUNCTION("""COMPUTED_VALUE"""),"81o 08' 42""")</f>
        <v>81o 08' 42"</v>
      </c>
      <c r="N22" s="2" t="str">
        <f>IFERROR(__xludf.DUMMYFUNCTION("""COMPUTED_VALUE"""),"Matela,Lamatola,Malumela,Subeda (Bajhang)")</f>
        <v>Matela,Lamatola,Malumela,Subeda (Bajhang)</v>
      </c>
    </row>
    <row r="23">
      <c r="A23" s="2">
        <f>IFERROR(__xludf.DUMMYFUNCTION("""COMPUTED_VALUE"""),22.0)</f>
        <v>22</v>
      </c>
      <c r="B23" s="2" t="str">
        <f>IFERROR(__xludf.DUMMYFUNCTION("""COMPUTED_VALUE"""),"Gandigad SHP")</f>
        <v>Gandigad SHP</v>
      </c>
      <c r="C23" s="2">
        <f>IFERROR(__xludf.DUMMYFUNCTION("""COMPUTED_VALUE"""),1.0)</f>
        <v>1</v>
      </c>
      <c r="D23" s="2" t="str">
        <f>IFERROR(__xludf.DUMMYFUNCTION("""COMPUTED_VALUE"""),"Gandi Gad")</f>
        <v>Gandi Gad</v>
      </c>
      <c r="E23" s="2"/>
      <c r="F23" s="3">
        <f>IFERROR(__xludf.DUMMYFUNCTION("""COMPUTED_VALUE"""),64250.0)</f>
        <v>64250</v>
      </c>
      <c r="G23" s="2" t="str">
        <f>IFERROR(__xludf.DUMMYFUNCTION("""COMPUTED_VALUE"""),"0000-00-00")</f>
        <v>0000-00-00</v>
      </c>
      <c r="H23" s="2" t="str">
        <f>IFERROR(__xludf.DUMMYFUNCTION("""COMPUTED_VALUE"""),"Kanchan Urja Pvt. Ltd.")</f>
        <v>Kanchan Urja Pvt. Ltd.</v>
      </c>
      <c r="I23" s="2" t="str">
        <f>IFERROR(__xludf.DUMMYFUNCTION("""COMPUTED_VALUE"""),"KMC-3, Khursanitar,531, Pandol Ph: 9841926051,4001588")</f>
        <v>KMC-3, Khursanitar,531, Pandol Ph: 9841926051,4001588</v>
      </c>
      <c r="J23" s="2" t="str">
        <f>IFERROR(__xludf.DUMMYFUNCTION("""COMPUTED_VALUE"""),"29o 40' 29""")</f>
        <v>29o 40' 29"</v>
      </c>
      <c r="K23" s="2" t="str">
        <f>IFERROR(__xludf.DUMMYFUNCTION("""COMPUTED_VALUE"""),"29o 41' 02""")</f>
        <v>29o 41' 02"</v>
      </c>
      <c r="L23" s="2" t="str">
        <f>IFERROR(__xludf.DUMMYFUNCTION("""COMPUTED_VALUE"""),"80o 41' 43""")</f>
        <v>80o 41' 43"</v>
      </c>
      <c r="M23" s="2" t="str">
        <f>IFERROR(__xludf.DUMMYFUNCTION("""COMPUTED_VALUE"""),"80o 42' 43""")</f>
        <v>80o 42' 43"</v>
      </c>
      <c r="N23" s="2" t="str">
        <f>IFERROR(__xludf.DUMMYFUNCTION("""COMPUTED_VALUE"""),"Mahadev,Kotpetara (Baitadi)")</f>
        <v>Mahadev,Kotpetara (Baitadi)</v>
      </c>
    </row>
    <row r="24">
      <c r="A24" s="2">
        <f>IFERROR(__xludf.DUMMYFUNCTION("""COMPUTED_VALUE"""),23.0)</f>
        <v>23</v>
      </c>
      <c r="B24" s="2" t="str">
        <f>IFERROR(__xludf.DUMMYFUNCTION("""COMPUTED_VALUE"""),"Elun Khola")</f>
        <v>Elun Khola</v>
      </c>
      <c r="C24" s="2">
        <f>IFERROR(__xludf.DUMMYFUNCTION("""COMPUTED_VALUE"""),0.987)</f>
        <v>0.987</v>
      </c>
      <c r="D24" s="2" t="str">
        <f>IFERROR(__xludf.DUMMYFUNCTION("""COMPUTED_VALUE"""),"Elun Khola")</f>
        <v>Elun Khola</v>
      </c>
      <c r="E24" s="2"/>
      <c r="F24" s="3">
        <f>IFERROR(__xludf.DUMMYFUNCTION("""COMPUTED_VALUE"""),66442.0)</f>
        <v>66442</v>
      </c>
      <c r="G24" s="2" t="str">
        <f>IFERROR(__xludf.DUMMYFUNCTION("""COMPUTED_VALUE"""),"0000-00-00")</f>
        <v>0000-00-00</v>
      </c>
      <c r="H24" s="2" t="str">
        <f>IFERROR(__xludf.DUMMYFUNCTION("""COMPUTED_VALUE"""),"Elun Hydropower Company Pvt. Ltd")</f>
        <v>Elun Hydropower Company Pvt. Ltd</v>
      </c>
      <c r="I24" s="2" t="str">
        <f>IFERROR(__xludf.DUMMYFUNCTION("""COMPUTED_VALUE"""),"Ka. Ma.Na.Pa-34, 9843421881, PBNo. 8643, Kathmandu")</f>
        <v>Ka. Ma.Na.Pa-34, 9843421881, PBNo. 8643, Kathmandu</v>
      </c>
      <c r="J24" s="2" t="str">
        <f>IFERROR(__xludf.DUMMYFUNCTION("""COMPUTED_VALUE"""),"27o 23' 00""")</f>
        <v>27o 23' 00"</v>
      </c>
      <c r="K24" s="2" t="str">
        <f>IFERROR(__xludf.DUMMYFUNCTION("""COMPUTED_VALUE"""),"27o 24' 11""")</f>
        <v>27o 24' 11"</v>
      </c>
      <c r="L24" s="2" t="str">
        <f>IFERROR(__xludf.DUMMYFUNCTION("""COMPUTED_VALUE"""),"86o 22' 24""")</f>
        <v>86o 22' 24"</v>
      </c>
      <c r="M24" s="2" t="str">
        <f>IFERROR(__xludf.DUMMYFUNCTION("""COMPUTED_VALUE"""),"86o 24' 13""")</f>
        <v>86o 24' 13"</v>
      </c>
      <c r="N24" s="2" t="str">
        <f>IFERROR(__xludf.DUMMYFUNCTION("""COMPUTED_VALUE"""),"Khijifalate,Patle,Shreechaur (Okhaldhunga)")</f>
        <v>Khijifalate,Patle,Shreechaur (Okhaldhunga)</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2" t="str">
        <f>IFERROR(__xludf.DUMMYFUNCTION("IMPORTHTML(""https://www.doed.gov.np/pages/clhydromorethan1/"",""table"",1)"),"S No")</f>
        <v>S No</v>
      </c>
      <c r="B1" s="2" t="str">
        <f>IFERROR(__xludf.DUMMYFUNCTION("""COMPUTED_VALUE"""),"Project")</f>
        <v>Project</v>
      </c>
      <c r="C1" s="2" t="str">
        <f>IFERROR(__xludf.DUMMYFUNCTION("""COMPUTED_VALUE"""),"Capacity (MW)")</f>
        <v>Capacity (MW)</v>
      </c>
      <c r="D1" s="2" t="str">
        <f>IFERROR(__xludf.DUMMYFUNCTION("""COMPUTED_VALUE"""),"River")</f>
        <v>River</v>
      </c>
      <c r="E1" s="2" t="str">
        <f>IFERROR(__xludf.DUMMYFUNCTION("""COMPUTED_VALUE"""),"Lic No")</f>
        <v>Lic No</v>
      </c>
      <c r="F1" s="2" t="str">
        <f>IFERROR(__xludf.DUMMYFUNCTION("""COMPUTED_VALUE"""),"Isuue Date")</f>
        <v>Isuue Date</v>
      </c>
      <c r="G1" s="2" t="str">
        <f>IFERROR(__xludf.DUMMYFUNCTION("""COMPUTED_VALUE"""),"Validity")</f>
        <v>Validity</v>
      </c>
      <c r="H1" s="2" t="str">
        <f>IFERROR(__xludf.DUMMYFUNCTION("""COMPUTED_VALUE"""),"Promoter")</f>
        <v>Promoter</v>
      </c>
      <c r="I1" s="2" t="str">
        <f>IFERROR(__xludf.DUMMYFUNCTION("""COMPUTED_VALUE"""),"Address")</f>
        <v>Address</v>
      </c>
      <c r="J1" s="2" t="str">
        <f>IFERROR(__xludf.DUMMYFUNCTION("""COMPUTED_VALUE"""),"Latitiude N")</f>
        <v>Latitiude N</v>
      </c>
      <c r="K1" s="2"/>
      <c r="L1" s="2" t="str">
        <f>IFERROR(__xludf.DUMMYFUNCTION("""COMPUTED_VALUE"""),"Longitude E")</f>
        <v>Longitude E</v>
      </c>
      <c r="M1" s="2"/>
      <c r="N1" s="2" t="str">
        <f>IFERROR(__xludf.DUMMYFUNCTION("""COMPUTED_VALUE"""),"VDC/District")</f>
        <v>VDC/District</v>
      </c>
    </row>
    <row r="2">
      <c r="A2" s="2">
        <f>IFERROR(__xludf.DUMMYFUNCTION("""COMPUTED_VALUE"""),1.0)</f>
        <v>1</v>
      </c>
      <c r="B2" s="2" t="str">
        <f>IFERROR(__xludf.DUMMYFUNCTION("""COMPUTED_VALUE"""),"Khani Khola - 1")</f>
        <v>Khani Khola - 1</v>
      </c>
      <c r="C2" s="2">
        <f>IFERROR(__xludf.DUMMYFUNCTION("""COMPUTED_VALUE"""),40.0)</f>
        <v>40</v>
      </c>
      <c r="D2" s="2" t="str">
        <f>IFERROR(__xludf.DUMMYFUNCTION("""COMPUTED_VALUE"""),"Khani Khola")</f>
        <v>Khani Khola</v>
      </c>
      <c r="E2" s="2">
        <f>IFERROR(__xludf.DUMMYFUNCTION("""COMPUTED_VALUE"""),46.0)</f>
        <v>46</v>
      </c>
      <c r="F2" s="3">
        <f>IFERROR(__xludf.DUMMYFUNCTION("""COMPUTED_VALUE"""),61390.0)</f>
        <v>61390</v>
      </c>
      <c r="G2" s="3">
        <f>IFERROR(__xludf.DUMMYFUNCTION("""COMPUTED_VALUE"""),74172.0)</f>
        <v>74172</v>
      </c>
      <c r="H2" s="2" t="str">
        <f>IFERROR(__xludf.DUMMYFUNCTION("""COMPUTED_VALUE"""),"Green Life Energy Pvt.Ltd,Sirin Bhawan, Lalitpur-1, Kupakdole")</f>
        <v>Green Life Energy Pvt.Ltd,Sirin Bhawan, Lalitpur-1, Kupakdole</v>
      </c>
      <c r="I2" s="2" t="str">
        <f>IFERROR(__xludf.DUMMYFUNCTION("""COMPUTED_VALUE"""),"P.O.Box 3970, Kathmandu, Phone 01-5010712,Fax- 5010694")</f>
        <v>P.O.Box 3970, Kathmandu, Phone 01-5010712,Fax- 5010694</v>
      </c>
      <c r="J2" s="2" t="str">
        <f>IFERROR(__xludf.DUMMYFUNCTION("""COMPUTED_VALUE"""),"27o 47' 48""")</f>
        <v>27o 47' 48"</v>
      </c>
      <c r="K2" s="2" t="str">
        <f>IFERROR(__xludf.DUMMYFUNCTION("""COMPUTED_VALUE"""),"27o 50' 28""")</f>
        <v>27o 50' 28"</v>
      </c>
      <c r="L2" s="2" t="str">
        <f>IFERROR(__xludf.DUMMYFUNCTION("""COMPUTED_VALUE"""),"86o 20' 00""")</f>
        <v>86o 20' 00"</v>
      </c>
      <c r="M2" s="2" t="str">
        <f>IFERROR(__xludf.DUMMYFUNCTION("""COMPUTED_VALUE"""),"86o 22' 00""")</f>
        <v>86o 22' 00"</v>
      </c>
      <c r="N2" s="2" t="str">
        <f>IFERROR(__xludf.DUMMYFUNCTION("""COMPUTED_VALUE"""),"Khare,Marbu (Dolakha)")</f>
        <v>Khare,Marbu (Dolakha)</v>
      </c>
    </row>
    <row r="3">
      <c r="A3" s="2">
        <f>IFERROR(__xludf.DUMMYFUNCTION("""COMPUTED_VALUE"""),2.0)</f>
        <v>2</v>
      </c>
      <c r="B3" s="2" t="str">
        <f>IFERROR(__xludf.DUMMYFUNCTION("""COMPUTED_VALUE"""),"Rahughat")</f>
        <v>Rahughat</v>
      </c>
      <c r="C3" s="2">
        <f>IFERROR(__xludf.DUMMYFUNCTION("""COMPUTED_VALUE"""),40.0)</f>
        <v>40</v>
      </c>
      <c r="D3" s="2" t="str">
        <f>IFERROR(__xludf.DUMMYFUNCTION("""COMPUTED_VALUE"""),"Rahughat")</f>
        <v>Rahughat</v>
      </c>
      <c r="E3" s="2">
        <f>IFERROR(__xludf.DUMMYFUNCTION("""COMPUTED_VALUE"""),49.0)</f>
        <v>49</v>
      </c>
      <c r="F3" s="3">
        <f>IFERROR(__xludf.DUMMYFUNCTION("""COMPUTED_VALUE"""),61456.0)</f>
        <v>61456</v>
      </c>
      <c r="G3" s="3">
        <f>IFERROR(__xludf.DUMMYFUNCTION("""COMPUTED_VALUE"""),74237.0)</f>
        <v>74237</v>
      </c>
      <c r="H3" s="2" t="str">
        <f>IFERROR(__xludf.DUMMYFUNCTION("""COMPUTED_VALUE"""),"Raghu Ganga Hydropower Limited")</f>
        <v>Raghu Ganga Hydropower Limited</v>
      </c>
      <c r="I3" s="2" t="str">
        <f>IFERROR(__xludf.DUMMYFUNCTION("""COMPUTED_VALUE"""),"Piple Myagdi, , 069-521017,068-620096, Fax: 069-521017, Email: 
rgpnea@nea.org.np")</f>
        <v>Piple Myagdi, , 069-521017,068-620096, Fax: 069-521017, Email: 
rgpnea@nea.org.np</v>
      </c>
      <c r="J3" s="2" t="str">
        <f>IFERROR(__xludf.DUMMYFUNCTION("""COMPUTED_VALUE"""),"28o 22' 21""")</f>
        <v>28o 22' 21"</v>
      </c>
      <c r="K3" s="2" t="str">
        <f>IFERROR(__xludf.DUMMYFUNCTION("""COMPUTED_VALUE"""),"28o 25' 45""")</f>
        <v>28o 25' 45"</v>
      </c>
      <c r="L3" s="2" t="str">
        <f>IFERROR(__xludf.DUMMYFUNCTION("""COMPUTED_VALUE"""),"83o 31' 13""")</f>
        <v>83o 31' 13"</v>
      </c>
      <c r="M3" s="2" t="str">
        <f>IFERROR(__xludf.DUMMYFUNCTION("""COMPUTED_VALUE"""),"83o 34' 35""")</f>
        <v>83o 34' 35"</v>
      </c>
      <c r="N3" s="2" t="str">
        <f>IFERROR(__xludf.DUMMYFUNCTION("""COMPUTED_VALUE"""),"Jhin (Myagdi)")</f>
        <v>Jhin (Myagdi)</v>
      </c>
    </row>
    <row r="4">
      <c r="A4" s="2">
        <f>IFERROR(__xludf.DUMMYFUNCTION("""COMPUTED_VALUE"""),3.0)</f>
        <v>3</v>
      </c>
      <c r="B4" s="2" t="str">
        <f>IFERROR(__xludf.DUMMYFUNCTION("""COMPUTED_VALUE"""),"Tadi Khola")</f>
        <v>Tadi Khola</v>
      </c>
      <c r="C4" s="2">
        <f>IFERROR(__xludf.DUMMYFUNCTION("""COMPUTED_VALUE"""),6.6)</f>
        <v>6.6</v>
      </c>
      <c r="D4" s="2" t="str">
        <f>IFERROR(__xludf.DUMMYFUNCTION("""COMPUTED_VALUE"""),"Tadi Khola")</f>
        <v>Tadi Khola</v>
      </c>
      <c r="E4" s="2">
        <f>IFERROR(__xludf.DUMMYFUNCTION("""COMPUTED_VALUE"""),51.0)</f>
        <v>51</v>
      </c>
      <c r="F4" s="3">
        <f>IFERROR(__xludf.DUMMYFUNCTION("""COMPUTED_VALUE"""),61518.0)</f>
        <v>61518</v>
      </c>
      <c r="G4" s="3">
        <f>IFERROR(__xludf.DUMMYFUNCTION("""COMPUTED_VALUE"""),74299.0)</f>
        <v>74299</v>
      </c>
      <c r="H4" s="2" t="str">
        <f>IFERROR(__xludf.DUMMYFUNCTION("""COMPUTED_VALUE"""),"Hiraratna hydropower Pvt. Ltd")</f>
        <v>Hiraratna hydropower Pvt. Ltd</v>
      </c>
      <c r="I4" s="2" t="str">
        <f>IFERROR(__xludf.DUMMYFUNCTION("""COMPUTED_VALUE"""),"Kalopul,Kathmandu -5, POB : 21650, Ph no. 01-4220127, Fax 4226330")</f>
        <v>Kalopul,Kathmandu -5, POB : 21650, Ph no. 01-4220127, Fax 4226330</v>
      </c>
      <c r="J4" s="2" t="str">
        <f>IFERROR(__xludf.DUMMYFUNCTION("""COMPUTED_VALUE"""),"27o 56' 04""")</f>
        <v>27o 56' 04"</v>
      </c>
      <c r="K4" s="2" t="str">
        <f>IFERROR(__xludf.DUMMYFUNCTION("""COMPUTED_VALUE"""),"27o 57' 04""")</f>
        <v>27o 57' 04"</v>
      </c>
      <c r="L4" s="2" t="str">
        <f>IFERROR(__xludf.DUMMYFUNCTION("""COMPUTED_VALUE"""),"85o 22' 53""")</f>
        <v>85o 22' 53"</v>
      </c>
      <c r="M4" s="2" t="str">
        <f>IFERROR(__xludf.DUMMYFUNCTION("""COMPUTED_VALUE"""),"85o 24' 05""")</f>
        <v>85o 24' 05"</v>
      </c>
      <c r="N4" s="2" t="str">
        <f>IFERROR(__xludf.DUMMYFUNCTION("""COMPUTED_VALUE"""),",Rautbesi,Samundratar,Shikharbesi (Nuwakot)")</f>
        <v>,Rautbesi,Samundratar,Shikharbesi (Nuwakot)</v>
      </c>
    </row>
    <row r="5">
      <c r="A5" s="2">
        <f>IFERROR(__xludf.DUMMYFUNCTION("""COMPUTED_VALUE"""),4.0)</f>
        <v>4</v>
      </c>
      <c r="B5" s="2" t="str">
        <f>IFERROR(__xludf.DUMMYFUNCTION("""COMPUTED_VALUE"""),"Upper Mailung -A")</f>
        <v>Upper Mailung -A</v>
      </c>
      <c r="C5" s="2">
        <f>IFERROR(__xludf.DUMMYFUNCTION("""COMPUTED_VALUE"""),6.42)</f>
        <v>6.42</v>
      </c>
      <c r="D5" s="2" t="str">
        <f>IFERROR(__xludf.DUMMYFUNCTION("""COMPUTED_VALUE"""),"Mailung Khola")</f>
        <v>Mailung Khola</v>
      </c>
      <c r="E5" s="2">
        <f>IFERROR(__xludf.DUMMYFUNCTION("""COMPUTED_VALUE"""),56.0)</f>
        <v>56</v>
      </c>
      <c r="F5" s="3">
        <f>IFERROR(__xludf.DUMMYFUNCTION("""COMPUTED_VALUE"""),61617.0)</f>
        <v>61617</v>
      </c>
      <c r="G5" s="3">
        <f>IFERROR(__xludf.DUMMYFUNCTION("""COMPUTED_VALUE"""),74398.0)</f>
        <v>74398</v>
      </c>
      <c r="H5" s="2" t="str">
        <f>IFERROR(__xludf.DUMMYFUNCTION("""COMPUTED_VALUE"""),"Energy Engineering Pvt. Ltd")</f>
        <v>Energy Engineering Pvt. Ltd</v>
      </c>
      <c r="I5" s="2" t="str">
        <f>IFERROR(__xludf.DUMMYFUNCTION("""COMPUTED_VALUE"""),"PO Box 9292,Ph 4915225")</f>
        <v>PO Box 9292,Ph 4915225</v>
      </c>
      <c r="J5" s="2" t="str">
        <f>IFERROR(__xludf.DUMMYFUNCTION("""COMPUTED_VALUE"""),"28o 09' 45""")</f>
        <v>28o 09' 45"</v>
      </c>
      <c r="K5" s="2" t="str">
        <f>IFERROR(__xludf.DUMMYFUNCTION("""COMPUTED_VALUE"""),"28o 12' 30""")</f>
        <v>28o 12' 30"</v>
      </c>
      <c r="L5" s="2" t="str">
        <f>IFERROR(__xludf.DUMMYFUNCTION("""COMPUTED_VALUE"""),"85o 11' 00""")</f>
        <v>85o 11' 00"</v>
      </c>
      <c r="M5" s="2" t="str">
        <f>IFERROR(__xludf.DUMMYFUNCTION("""COMPUTED_VALUE"""),"85o 14' 00""")</f>
        <v>85o 14' 00"</v>
      </c>
      <c r="N5" s="2" t="str">
        <f>IFERROR(__xludf.DUMMYFUNCTION("""COMPUTED_VALUE"""),",Gatlang,Haku (Rasuwa)")</f>
        <v>,Gatlang,Haku (Rasuwa)</v>
      </c>
    </row>
    <row r="6">
      <c r="A6" s="2">
        <f>IFERROR(__xludf.DUMMYFUNCTION("""COMPUTED_VALUE"""),5.0)</f>
        <v>5</v>
      </c>
      <c r="B6" s="2" t="str">
        <f>IFERROR(__xludf.DUMMYFUNCTION("""COMPUTED_VALUE"""),"Chhahare Khola")</f>
        <v>Chhahare Khola</v>
      </c>
      <c r="C6" s="2">
        <f>IFERROR(__xludf.DUMMYFUNCTION("""COMPUTED_VALUE"""),17.5)</f>
        <v>17.5</v>
      </c>
      <c r="D6" s="2" t="str">
        <f>IFERROR(__xludf.DUMMYFUNCTION("""COMPUTED_VALUE"""),"Chhahare")</f>
        <v>Chhahare</v>
      </c>
      <c r="E6" s="2">
        <f>IFERROR(__xludf.DUMMYFUNCTION("""COMPUTED_VALUE"""),66.0)</f>
        <v>66</v>
      </c>
      <c r="F6" s="3">
        <f>IFERROR(__xludf.DUMMYFUNCTION("""COMPUTED_VALUE"""),61820.0)</f>
        <v>61820</v>
      </c>
      <c r="G6" s="3">
        <f>IFERROR(__xludf.DUMMYFUNCTION("""COMPUTED_VALUE"""),74602.0)</f>
        <v>74602</v>
      </c>
      <c r="H6" s="2" t="str">
        <f>IFERROR(__xludf.DUMMYFUNCTION("""COMPUTED_VALUE"""),"Chhahare Khola Hydropower Co. Pvt. Ltd.")</f>
        <v>Chhahare Khola Hydropower Co. Pvt. Ltd.</v>
      </c>
      <c r="I6" s="2" t="str">
        <f>IFERROR(__xludf.DUMMYFUNCTION("""COMPUTED_VALUE"""),"Myagdi Home, St. Marys Road, Lalitpur Phone 9851048084, 9803212701")</f>
        <v>Myagdi Home, St. Marys Road, Lalitpur Phone 9851048084, 9803212701</v>
      </c>
      <c r="J6" s="2" t="str">
        <f>IFERROR(__xludf.DUMMYFUNCTION("""COMPUTED_VALUE"""),"28o 25' 00""")</f>
        <v>28o 25' 00"</v>
      </c>
      <c r="K6" s="2" t="str">
        <f>IFERROR(__xludf.DUMMYFUNCTION("""COMPUTED_VALUE"""),"28o 27' 07""")</f>
        <v>28o 27' 07"</v>
      </c>
      <c r="L6" s="2" t="str">
        <f>IFERROR(__xludf.DUMMYFUNCTION("""COMPUTED_VALUE"""),"84o 24' 00""")</f>
        <v>84o 24' 00"</v>
      </c>
      <c r="M6" s="2" t="str">
        <f>IFERROR(__xludf.DUMMYFUNCTION("""COMPUTED_VALUE"""),"84o 26' 20""")</f>
        <v>84o 26' 20"</v>
      </c>
      <c r="N6" s="2" t="str">
        <f>IFERROR(__xludf.DUMMYFUNCTION("""COMPUTED_VALUE"""),"(Lamjung)")</f>
        <v>(Lamjung)</v>
      </c>
    </row>
    <row r="7">
      <c r="A7" s="2">
        <f>IFERROR(__xludf.DUMMYFUNCTION("""COMPUTED_VALUE"""),6.0)</f>
        <v>6</v>
      </c>
      <c r="B7" s="2" t="str">
        <f>IFERROR(__xludf.DUMMYFUNCTION("""COMPUTED_VALUE"""),"Kabeli-A")</f>
        <v>Kabeli-A</v>
      </c>
      <c r="C7" s="2">
        <f>IFERROR(__xludf.DUMMYFUNCTION("""COMPUTED_VALUE"""),37.6)</f>
        <v>37.6</v>
      </c>
      <c r="D7" s="2" t="str">
        <f>IFERROR(__xludf.DUMMYFUNCTION("""COMPUTED_VALUE"""),"Kabeli Khola")</f>
        <v>Kabeli Khola</v>
      </c>
      <c r="E7" s="2">
        <f>IFERROR(__xludf.DUMMYFUNCTION("""COMPUTED_VALUE"""),70.0)</f>
        <v>70</v>
      </c>
      <c r="F7" s="3">
        <f>IFERROR(__xludf.DUMMYFUNCTION("""COMPUTED_VALUE"""),61869.0)</f>
        <v>61869</v>
      </c>
      <c r="G7" s="3">
        <f>IFERROR(__xludf.DUMMYFUNCTION("""COMPUTED_VALUE"""),74651.0)</f>
        <v>74651</v>
      </c>
      <c r="H7" s="2" t="str">
        <f>IFERROR(__xludf.DUMMYFUNCTION("""COMPUTED_VALUE"""),"Kabeli Energy Limited")</f>
        <v>Kabeli Energy Limited</v>
      </c>
      <c r="I7" s="2" t="str">
        <f>IFERROR(__xludf.DUMMYFUNCTION("""COMPUTED_VALUE"""),"Budhanagar, GPO Box: 11728, Kathmandu Tel: 4781776")</f>
        <v>Budhanagar, GPO Box: 11728, Kathmandu Tel: 4781776</v>
      </c>
      <c r="J7" s="2" t="str">
        <f>IFERROR(__xludf.DUMMYFUNCTION("""COMPUTED_VALUE"""),"27o 13' 41""")</f>
        <v>27o 13' 41"</v>
      </c>
      <c r="K7" s="2" t="str">
        <f>IFERROR(__xludf.DUMMYFUNCTION("""COMPUTED_VALUE"""),"27o 17' 32""")</f>
        <v>27o 17' 32"</v>
      </c>
      <c r="L7" s="2" t="str">
        <f>IFERROR(__xludf.DUMMYFUNCTION("""COMPUTED_VALUE"""),"87o 40' 55""")</f>
        <v>87o 40' 55"</v>
      </c>
      <c r="M7" s="2" t="str">
        <f>IFERROR(__xludf.DUMMYFUNCTION("""COMPUTED_VALUE"""),"87o 45' 50""")</f>
        <v>87o 45' 50"</v>
      </c>
      <c r="N7" s="2" t="str">
        <f>IFERROR(__xludf.DUMMYFUNCTION("""COMPUTED_VALUE"""),"Ambarpur,Panchami (Panchthar) Thechambu (Taplejung)")</f>
        <v>Ambarpur,Panchami (Panchthar) Thechambu (Taplejung)</v>
      </c>
    </row>
    <row r="8">
      <c r="A8" s="2">
        <f>IFERROR(__xludf.DUMMYFUNCTION("""COMPUTED_VALUE"""),7.0)</f>
        <v>7</v>
      </c>
      <c r="B8" s="2" t="str">
        <f>IFERROR(__xludf.DUMMYFUNCTION("""COMPUTED_VALUE"""),"Junbeshi")</f>
        <v>Junbeshi</v>
      </c>
      <c r="C8" s="2">
        <f>IFERROR(__xludf.DUMMYFUNCTION("""COMPUTED_VALUE"""),5.2)</f>
        <v>5.2</v>
      </c>
      <c r="D8" s="2" t="str">
        <f>IFERROR(__xludf.DUMMYFUNCTION("""COMPUTED_VALUE"""),"Junbeshi")</f>
        <v>Junbeshi</v>
      </c>
      <c r="E8" s="2">
        <f>IFERROR(__xludf.DUMMYFUNCTION("""COMPUTED_VALUE"""),80.0)</f>
        <v>80</v>
      </c>
      <c r="F8" s="3">
        <f>IFERROR(__xludf.DUMMYFUNCTION("""COMPUTED_VALUE"""),61991.0)</f>
        <v>61991</v>
      </c>
      <c r="G8" s="3">
        <f>IFERROR(__xludf.DUMMYFUNCTION("""COMPUTED_VALUE"""),74773.0)</f>
        <v>74773</v>
      </c>
      <c r="H8" s="2" t="str">
        <f>IFERROR(__xludf.DUMMYFUNCTION("""COMPUTED_VALUE"""),"Dobhan Hydropower Pvt.Ltd.")</f>
        <v>Dobhan Hydropower Pvt.Ltd.</v>
      </c>
      <c r="I8" s="2" t="str">
        <f>IFERROR(__xludf.DUMMYFUNCTION("""COMPUTED_VALUE"""),"Tinkune, Koteswor, Kathmandu, P.O.Box 23746, Phone 01-4486911")</f>
        <v>Tinkune, Koteswor, Kathmandu, P.O.Box 23746, Phone 01-4486911</v>
      </c>
      <c r="J8" s="2" t="str">
        <f>IFERROR(__xludf.DUMMYFUNCTION("""COMPUTED_VALUE"""),"27o 33' 15""")</f>
        <v>27o 33' 15"</v>
      </c>
      <c r="K8" s="2" t="str">
        <f>IFERROR(__xludf.DUMMYFUNCTION("""COMPUTED_VALUE"""),"27o 35' 08""")</f>
        <v>27o 35' 08"</v>
      </c>
      <c r="L8" s="2" t="str">
        <f>IFERROR(__xludf.DUMMYFUNCTION("""COMPUTED_VALUE"""),"86o 32' 40""")</f>
        <v>86o 32' 40"</v>
      </c>
      <c r="M8" s="2" t="str">
        <f>IFERROR(__xludf.DUMMYFUNCTION("""COMPUTED_VALUE"""),"86o 34' 29""")</f>
        <v>86o 34' 29"</v>
      </c>
      <c r="N8" s="2" t="str">
        <f>IFERROR(__xludf.DUMMYFUNCTION("""COMPUTED_VALUE"""),"Beni (Solukhumbu)")</f>
        <v>Beni (Solukhumbu)</v>
      </c>
    </row>
    <row r="9">
      <c r="A9" s="2">
        <f>IFERROR(__xludf.DUMMYFUNCTION("""COMPUTED_VALUE"""),8.0)</f>
        <v>8</v>
      </c>
      <c r="B9" s="2" t="str">
        <f>IFERROR(__xludf.DUMMYFUNCTION("""COMPUTED_VALUE"""),"Khorunga Khola")</f>
        <v>Khorunga Khola</v>
      </c>
      <c r="C9" s="2">
        <f>IFERROR(__xludf.DUMMYFUNCTION("""COMPUTED_VALUE"""),4.8)</f>
        <v>4.8</v>
      </c>
      <c r="D9" s="2" t="str">
        <f>IFERROR(__xludf.DUMMYFUNCTION("""COMPUTED_VALUE"""),"Khoranga Khola")</f>
        <v>Khoranga Khola</v>
      </c>
      <c r="E9" s="2">
        <f>IFERROR(__xludf.DUMMYFUNCTION("""COMPUTED_VALUE"""),87.0)</f>
        <v>87</v>
      </c>
      <c r="F9" s="3">
        <f>IFERROR(__xludf.DUMMYFUNCTION("""COMPUTED_VALUE"""),62091.0)</f>
        <v>62091</v>
      </c>
      <c r="G9" s="3">
        <f>IFERROR(__xludf.DUMMYFUNCTION("""COMPUTED_VALUE"""),74873.0)</f>
        <v>74873</v>
      </c>
      <c r="H9" s="2" t="str">
        <f>IFERROR(__xludf.DUMMYFUNCTION("""COMPUTED_VALUE"""),"Reliable Hydropower Company. P. Ltd")</f>
        <v>Reliable Hydropower Company. P. Ltd</v>
      </c>
      <c r="I9" s="2" t="str">
        <f>IFERROR(__xludf.DUMMYFUNCTION("""COMPUTED_VALUE"""),"P.O. Box: 516 , Khumaltar, Lalitpur, Nepal. Ph: 5550505")</f>
        <v>P.O. Box: 516 , Khumaltar, Lalitpur, Nepal. Ph: 5550505</v>
      </c>
      <c r="J9" s="2" t="str">
        <f>IFERROR(__xludf.DUMMYFUNCTION("""COMPUTED_VALUE"""),"27o 09' 22""")</f>
        <v>27o 09' 22"</v>
      </c>
      <c r="K9" s="2" t="str">
        <f>IFERROR(__xludf.DUMMYFUNCTION("""COMPUTED_VALUE"""),"27o 11' 09""")</f>
        <v>27o 11' 09"</v>
      </c>
      <c r="L9" s="2" t="str">
        <f>IFERROR(__xludf.DUMMYFUNCTION("""COMPUTED_VALUE"""),"87o 32' 03""")</f>
        <v>87o 32' 03"</v>
      </c>
      <c r="M9" s="2" t="str">
        <f>IFERROR(__xludf.DUMMYFUNCTION("""COMPUTED_VALUE"""),"87o 33' 20""")</f>
        <v>87o 33' 20"</v>
      </c>
      <c r="N9" s="2" t="str">
        <f>IFERROR(__xludf.DUMMYFUNCTION("""COMPUTED_VALUE"""),"Ambung,Oyabjung (Terhathum)")</f>
        <v>Ambung,Oyabjung (Terhathum)</v>
      </c>
    </row>
    <row r="10">
      <c r="A10" s="2">
        <f>IFERROR(__xludf.DUMMYFUNCTION("""COMPUTED_VALUE"""),9.0)</f>
        <v>9</v>
      </c>
      <c r="B10" s="2" t="str">
        <f>IFERROR(__xludf.DUMMYFUNCTION("""COMPUTED_VALUE"""),"Khani Khola (Dolakha)")</f>
        <v>Khani Khola (Dolakha)</v>
      </c>
      <c r="C10" s="2">
        <f>IFERROR(__xludf.DUMMYFUNCTION("""COMPUTED_VALUE"""),30.0)</f>
        <v>30</v>
      </c>
      <c r="D10" s="2" t="str">
        <f>IFERROR(__xludf.DUMMYFUNCTION("""COMPUTED_VALUE"""),"Khani Khola")</f>
        <v>Khani Khola</v>
      </c>
      <c r="E10" s="2">
        <f>IFERROR(__xludf.DUMMYFUNCTION("""COMPUTED_VALUE"""),92.0)</f>
        <v>92</v>
      </c>
      <c r="F10" s="3">
        <f>IFERROR(__xludf.DUMMYFUNCTION("""COMPUTED_VALUE"""),62134.0)</f>
        <v>62134</v>
      </c>
      <c r="G10" s="3">
        <f>IFERROR(__xludf.DUMMYFUNCTION("""COMPUTED_VALUE"""),74916.0)</f>
        <v>74916</v>
      </c>
      <c r="H10" s="2" t="str">
        <f>IFERROR(__xludf.DUMMYFUNCTION("""COMPUTED_VALUE"""),"Sasha Engineering Hydropower Ltd.")</f>
        <v>Sasha Engineering Hydropower Ltd.</v>
      </c>
      <c r="I10" s="2" t="str">
        <f>IFERROR(__xludf.DUMMYFUNCTION("""COMPUTED_VALUE"""),"Kathmandu, Kamalpokhari, Birbalmarg, Nepal. Ph: 4514770, 4514851, 4227646, 
4220842, Mobile No.: 9851020234")</f>
        <v>Kathmandu, Kamalpokhari, Birbalmarg, Nepal. Ph: 4514770, 4514851, 4227646, 
4220842, Mobile No.: 9851020234</v>
      </c>
      <c r="J10" s="2" t="str">
        <f>IFERROR(__xludf.DUMMYFUNCTION("""COMPUTED_VALUE"""),"27o 46' 59""")</f>
        <v>27o 46' 59"</v>
      </c>
      <c r="K10" s="2" t="str">
        <f>IFERROR(__xludf.DUMMYFUNCTION("""COMPUTED_VALUE"""),"27o 49' 09""")</f>
        <v>27o 49' 09"</v>
      </c>
      <c r="L10" s="2" t="str">
        <f>IFERROR(__xludf.DUMMYFUNCTION("""COMPUTED_VALUE"""),"86o 17' 20""")</f>
        <v>86o 17' 20"</v>
      </c>
      <c r="M10" s="2" t="str">
        <f>IFERROR(__xludf.DUMMYFUNCTION("""COMPUTED_VALUE"""),"86o 19' 30""")</f>
        <v>86o 19' 30"</v>
      </c>
      <c r="N10" s="2" t="str">
        <f>IFERROR(__xludf.DUMMYFUNCTION("""COMPUTED_VALUE"""),"Marbu,Khare (Dolakha)")</f>
        <v>Marbu,Khare (Dolakha)</v>
      </c>
    </row>
    <row r="11">
      <c r="A11" s="2">
        <f>IFERROR(__xludf.DUMMYFUNCTION("""COMPUTED_VALUE"""),10.0)</f>
        <v>10</v>
      </c>
      <c r="B11" s="2" t="str">
        <f>IFERROR(__xludf.DUMMYFUNCTION("""COMPUTED_VALUE"""),"Middle Midim")</f>
        <v>Middle Midim</v>
      </c>
      <c r="C11" s="2">
        <f>IFERROR(__xludf.DUMMYFUNCTION("""COMPUTED_VALUE"""),4.8)</f>
        <v>4.8</v>
      </c>
      <c r="D11" s="2" t="str">
        <f>IFERROR(__xludf.DUMMYFUNCTION("""COMPUTED_VALUE"""),"Midim Khola")</f>
        <v>Midim Khola</v>
      </c>
      <c r="E11" s="2">
        <f>IFERROR(__xludf.DUMMYFUNCTION("""COMPUTED_VALUE"""),100.0)</f>
        <v>100</v>
      </c>
      <c r="F11" s="3">
        <f>IFERROR(__xludf.DUMMYFUNCTION("""COMPUTED_VALUE"""),62193.0)</f>
        <v>62193</v>
      </c>
      <c r="G11" s="3">
        <f>IFERROR(__xludf.DUMMYFUNCTION("""COMPUTED_VALUE"""),74975.0)</f>
        <v>74975</v>
      </c>
      <c r="H11" s="2" t="str">
        <f>IFERROR(__xludf.DUMMYFUNCTION("""COMPUTED_VALUE"""),"Madhya Midim Jalvidhyut Company Pvt. Ltd.")</f>
        <v>Madhya Midim Jalvidhyut Company Pvt. Ltd.</v>
      </c>
      <c r="I11" s="2" t="str">
        <f>IFERROR(__xludf.DUMMYFUNCTION("""COMPUTED_VALUE"""),"Dhapasi-7, Tirlingtar, Kathmandu, Phone 01-4386514")</f>
        <v>Dhapasi-7, Tirlingtar, Kathmandu, Phone 01-4386514</v>
      </c>
      <c r="J11" s="2" t="str">
        <f>IFERROR(__xludf.DUMMYFUNCTION("""COMPUTED_VALUE"""),"28o 12' 16""")</f>
        <v>28o 12' 16"</v>
      </c>
      <c r="K11" s="2" t="str">
        <f>IFERROR(__xludf.DUMMYFUNCTION("""COMPUTED_VALUE"""),"28o 14' 10""")</f>
        <v>28o 14' 10"</v>
      </c>
      <c r="L11" s="2" t="str">
        <f>IFERROR(__xludf.DUMMYFUNCTION("""COMPUTED_VALUE"""),"84o 15' 45""")</f>
        <v>84o 15' 45"</v>
      </c>
      <c r="M11" s="2" t="str">
        <f>IFERROR(__xludf.DUMMYFUNCTION("""COMPUTED_VALUE"""),"84o 17' 08""")</f>
        <v>84o 17' 08"</v>
      </c>
      <c r="N11" s="2" t="str">
        <f>IFERROR(__xludf.DUMMYFUNCTION("""COMPUTED_VALUE"""),",Gilung,Karapu,Maling,Nalma (Lamjung)")</f>
        <v>,Gilung,Karapu,Maling,Nalma (Lamjung)</v>
      </c>
    </row>
    <row r="12">
      <c r="A12" s="2">
        <f>IFERROR(__xludf.DUMMYFUNCTION("""COMPUTED_VALUE"""),11.0)</f>
        <v>11</v>
      </c>
      <c r="B12" s="2" t="str">
        <f>IFERROR(__xludf.DUMMYFUNCTION("""COMPUTED_VALUE"""),"Upper Trishuli 3B")</f>
        <v>Upper Trishuli 3B</v>
      </c>
      <c r="C12" s="2">
        <f>IFERROR(__xludf.DUMMYFUNCTION("""COMPUTED_VALUE"""),37.0)</f>
        <v>37</v>
      </c>
      <c r="D12" s="2" t="str">
        <f>IFERROR(__xludf.DUMMYFUNCTION("""COMPUTED_VALUE"""),"Trishuli")</f>
        <v>Trishuli</v>
      </c>
      <c r="E12" s="2">
        <f>IFERROR(__xludf.DUMMYFUNCTION("""COMPUTED_VALUE"""),104.0)</f>
        <v>104</v>
      </c>
      <c r="F12" s="3">
        <f>IFERROR(__xludf.DUMMYFUNCTION("""COMPUTED_VALUE"""),62210.0)</f>
        <v>62210</v>
      </c>
      <c r="G12" s="3">
        <f>IFERROR(__xludf.DUMMYFUNCTION("""COMPUTED_VALUE"""),75357.0)</f>
        <v>75357</v>
      </c>
      <c r="H12" s="2" t="str">
        <f>IFERROR(__xludf.DUMMYFUNCTION("""COMPUTED_VALUE"""),"Nepal Electricity Authority")</f>
        <v>Nepal Electricity Authority</v>
      </c>
      <c r="I12" s="2"/>
      <c r="J12" s="2" t="str">
        <f>IFERROR(__xludf.DUMMYFUNCTION("""COMPUTED_VALUE"""),"27o 59' 12""")</f>
        <v>27o 59' 12"</v>
      </c>
      <c r="K12" s="2" t="str">
        <f>IFERROR(__xludf.DUMMYFUNCTION("""COMPUTED_VALUE"""),"28o 01' 21""")</f>
        <v>28o 01' 21"</v>
      </c>
      <c r="L12" s="2" t="str">
        <f>IFERROR(__xludf.DUMMYFUNCTION("""COMPUTED_VALUE"""),"85o 10' 11""")</f>
        <v>85o 10' 11"</v>
      </c>
      <c r="M12" s="2" t="str">
        <f>IFERROR(__xludf.DUMMYFUNCTION("""COMPUTED_VALUE"""),"85o 12' 01""")</f>
        <v>85o 12' 01"</v>
      </c>
      <c r="N12" s="2" t="str">
        <f>IFERROR(__xludf.DUMMYFUNCTION("""COMPUTED_VALUE"""),"Manakamana (Nuwakot)")</f>
        <v>Manakamana (Nuwakot)</v>
      </c>
    </row>
    <row r="13">
      <c r="A13" s="2">
        <f>IFERROR(__xludf.DUMMYFUNCTION("""COMPUTED_VALUE"""),12.0)</f>
        <v>12</v>
      </c>
      <c r="B13" s="2" t="str">
        <f>IFERROR(__xludf.DUMMYFUNCTION("""COMPUTED_VALUE"""),"Upper Parajuli Khola")</f>
        <v>Upper Parajuli Khola</v>
      </c>
      <c r="C13" s="2">
        <f>IFERROR(__xludf.DUMMYFUNCTION("""COMPUTED_VALUE"""),2.15)</f>
        <v>2.15</v>
      </c>
      <c r="D13" s="2" t="str">
        <f>IFERROR(__xludf.DUMMYFUNCTION("""COMPUTED_VALUE"""),"Parajuli Khola")</f>
        <v>Parajuli Khola</v>
      </c>
      <c r="E13" s="2">
        <f>IFERROR(__xludf.DUMMYFUNCTION("""COMPUTED_VALUE"""),102.0)</f>
        <v>102</v>
      </c>
      <c r="F13" s="3">
        <f>IFERROR(__xludf.DUMMYFUNCTION("""COMPUTED_VALUE"""),62216.0)</f>
        <v>62216</v>
      </c>
      <c r="G13" s="3">
        <f>IFERROR(__xludf.DUMMYFUNCTION("""COMPUTED_VALUE"""),74998.0)</f>
        <v>74998</v>
      </c>
      <c r="H13" s="2" t="str">
        <f>IFERROR(__xludf.DUMMYFUNCTION("""COMPUTED_VALUE"""),"Rara Hydropower Development Co.")</f>
        <v>Rara Hydropower Development Co.</v>
      </c>
      <c r="I13" s="2" t="str">
        <f>IFERROR(__xludf.DUMMYFUNCTION("""COMPUTED_VALUE"""),"Sitapaila - 2, kathmandu, Ph: 01-4033016, 9841209736")</f>
        <v>Sitapaila - 2, kathmandu, Ph: 01-4033016, 9841209736</v>
      </c>
      <c r="J13" s="2" t="str">
        <f>IFERROR(__xludf.DUMMYFUNCTION("""COMPUTED_VALUE"""),"28o 41' 39""")</f>
        <v>28o 41' 39"</v>
      </c>
      <c r="K13" s="2" t="str">
        <f>IFERROR(__xludf.DUMMYFUNCTION("""COMPUTED_VALUE"""),"28o 43' 14""")</f>
        <v>28o 43' 14"</v>
      </c>
      <c r="L13" s="2" t="str">
        <f>IFERROR(__xludf.DUMMYFUNCTION("""COMPUTED_VALUE"""),"81o 41' 09""")</f>
        <v>81o 41' 09"</v>
      </c>
      <c r="M13" s="2" t="str">
        <f>IFERROR(__xludf.DUMMYFUNCTION("""COMPUTED_VALUE"""),"81o 43' 45""")</f>
        <v>81o 43' 45"</v>
      </c>
      <c r="N13" s="2" t="str">
        <f>IFERROR(__xludf.DUMMYFUNCTION("""COMPUTED_VALUE"""),"Awal Parajul (Dailekh)")</f>
        <v>Awal Parajul (Dailekh)</v>
      </c>
    </row>
    <row r="14">
      <c r="A14" s="2">
        <f>IFERROR(__xludf.DUMMYFUNCTION("""COMPUTED_VALUE"""),13.0)</f>
        <v>13</v>
      </c>
      <c r="B14" s="2" t="str">
        <f>IFERROR(__xludf.DUMMYFUNCTION("""COMPUTED_VALUE"""),"Lohare Khola")</f>
        <v>Lohare Khola</v>
      </c>
      <c r="C14" s="2">
        <f>IFERROR(__xludf.DUMMYFUNCTION("""COMPUTED_VALUE"""),4.2)</f>
        <v>4.2</v>
      </c>
      <c r="D14" s="2" t="str">
        <f>IFERROR(__xludf.DUMMYFUNCTION("""COMPUTED_VALUE"""),"Lohare Khola")</f>
        <v>Lohare Khola</v>
      </c>
      <c r="E14" s="2">
        <f>IFERROR(__xludf.DUMMYFUNCTION("""COMPUTED_VALUE"""),105.0)</f>
        <v>105</v>
      </c>
      <c r="F14" s="3">
        <f>IFERROR(__xludf.DUMMYFUNCTION("""COMPUTED_VALUE"""),62252.0)</f>
        <v>62252</v>
      </c>
      <c r="G14" s="3">
        <f>IFERROR(__xludf.DUMMYFUNCTION("""COMPUTED_VALUE"""),75399.0)</f>
        <v>75399</v>
      </c>
      <c r="H14" s="2" t="str">
        <f>IFERROR(__xludf.DUMMYFUNCTION("""COMPUTED_VALUE"""),"Lohare Khola Hydropower Co. P. L.,")</f>
        <v>Lohare Khola Hydropower Co. P. L.,</v>
      </c>
      <c r="I14" s="2" t="str">
        <f>IFERROR(__xludf.DUMMYFUNCTION("""COMPUTED_VALUE"""),"Anamnagar, Kathmandu, POBox 5558, Phone 9841461609")</f>
        <v>Anamnagar, Kathmandu, POBox 5558, Phone 9841461609</v>
      </c>
      <c r="J14" s="2" t="str">
        <f>IFERROR(__xludf.DUMMYFUNCTION("""COMPUTED_VALUE"""),"28o 53' 43""")</f>
        <v>28o 53' 43"</v>
      </c>
      <c r="K14" s="2" t="str">
        <f>IFERROR(__xludf.DUMMYFUNCTION("""COMPUTED_VALUE"""),"28o 55' 00""")</f>
        <v>28o 55' 00"</v>
      </c>
      <c r="L14" s="2" t="str">
        <f>IFERROR(__xludf.DUMMYFUNCTION("""COMPUTED_VALUE"""),"81o 47' 16""")</f>
        <v>81o 47' 16"</v>
      </c>
      <c r="M14" s="2" t="str">
        <f>IFERROR(__xludf.DUMMYFUNCTION("""COMPUTED_VALUE"""),"81o 49' 22""")</f>
        <v>81o 49' 22"</v>
      </c>
      <c r="N14" s="2" t="str">
        <f>IFERROR(__xludf.DUMMYFUNCTION("""COMPUTED_VALUE"""),"Baluwatar,Nomule,Salleri,Toli (Dailekh)")</f>
        <v>Baluwatar,Nomule,Salleri,Toli (Dailekh)</v>
      </c>
    </row>
    <row r="15">
      <c r="A15" s="2">
        <f>IFERROR(__xludf.DUMMYFUNCTION("""COMPUTED_VALUE"""),14.0)</f>
        <v>14</v>
      </c>
      <c r="B15" s="2" t="str">
        <f>IFERROR(__xludf.DUMMYFUNCTION("""COMPUTED_VALUE"""),"Salankhu Khola")</f>
        <v>Salankhu Khola</v>
      </c>
      <c r="C15" s="2">
        <f>IFERROR(__xludf.DUMMYFUNCTION("""COMPUTED_VALUE"""),2.5)</f>
        <v>2.5</v>
      </c>
      <c r="D15" s="2" t="str">
        <f>IFERROR(__xludf.DUMMYFUNCTION("""COMPUTED_VALUE"""),"Salankhu")</f>
        <v>Salankhu</v>
      </c>
      <c r="E15" s="2">
        <f>IFERROR(__xludf.DUMMYFUNCTION("""COMPUTED_VALUE"""),107.0)</f>
        <v>107</v>
      </c>
      <c r="F15" s="3">
        <f>IFERROR(__xludf.DUMMYFUNCTION("""COMPUTED_VALUE"""),62279.0)</f>
        <v>62279</v>
      </c>
      <c r="G15" s="3">
        <f>IFERROR(__xludf.DUMMYFUNCTION("""COMPUTED_VALUE"""),75061.0)</f>
        <v>75061</v>
      </c>
      <c r="H15" s="2" t="str">
        <f>IFERROR(__xludf.DUMMYFUNCTION("""COMPUTED_VALUE"""),"Salankhu Khola Hydropower P. Ltd.")</f>
        <v>Salankhu Khola Hydropower P. Ltd.</v>
      </c>
      <c r="I15" s="2" t="str">
        <f>IFERROR(__xludf.DUMMYFUNCTION("""COMPUTED_VALUE"""),"Samakhusi Town Planning-29, Kathmandu; GPO Box.: 8974; CPC Box : 044; Ph: 
4390239, 4390240; email: salakhukhola@gmail.co")</f>
        <v>Samakhusi Town Planning-29, Kathmandu; GPO Box.: 8974; CPC Box : 044; Ph: 
4390239, 4390240; email: salakhukhola@gmail.co</v>
      </c>
      <c r="J15" s="2" t="str">
        <f>IFERROR(__xludf.DUMMYFUNCTION("""COMPUTED_VALUE"""),"27o 59' 00""")</f>
        <v>27o 59' 00"</v>
      </c>
      <c r="K15" s="2" t="str">
        <f>IFERROR(__xludf.DUMMYFUNCTION("""COMPUTED_VALUE"""),"27o 59' 30""")</f>
        <v>27o 59' 30"</v>
      </c>
      <c r="L15" s="2" t="str">
        <f>IFERROR(__xludf.DUMMYFUNCTION("""COMPUTED_VALUE"""),"85o 07' 30""")</f>
        <v>85o 07' 30"</v>
      </c>
      <c r="M15" s="2" t="str">
        <f>IFERROR(__xludf.DUMMYFUNCTION("""COMPUTED_VALUE"""),"85o 10' 00""")</f>
        <v>85o 10' 00"</v>
      </c>
      <c r="N15" s="2" t="str">
        <f>IFERROR(__xludf.DUMMYFUNCTION("""COMPUTED_VALUE"""),"Kaule,Manakamana,Tupche,Fikuri (Nuwakot)")</f>
        <v>Kaule,Manakamana,Tupche,Fikuri (Nuwakot)</v>
      </c>
    </row>
    <row r="16">
      <c r="A16" s="2">
        <f>IFERROR(__xludf.DUMMYFUNCTION("""COMPUTED_VALUE"""),15.0)</f>
        <v>15</v>
      </c>
      <c r="B16" s="2" t="str">
        <f>IFERROR(__xludf.DUMMYFUNCTION("""COMPUTED_VALUE"""),"Rawa Khola HPP")</f>
        <v>Rawa Khola HPP</v>
      </c>
      <c r="C16" s="2">
        <f>IFERROR(__xludf.DUMMYFUNCTION("""COMPUTED_VALUE"""),6.5)</f>
        <v>6.5</v>
      </c>
      <c r="D16" s="2" t="str">
        <f>IFERROR(__xludf.DUMMYFUNCTION("""COMPUTED_VALUE"""),"Rawa Khola")</f>
        <v>Rawa Khola</v>
      </c>
      <c r="E16" s="2">
        <f>IFERROR(__xludf.DUMMYFUNCTION("""COMPUTED_VALUE"""),112.0)</f>
        <v>112</v>
      </c>
      <c r="F16" s="3">
        <f>IFERROR(__xludf.DUMMYFUNCTION("""COMPUTED_VALUE"""),62394.0)</f>
        <v>62394</v>
      </c>
      <c r="G16" s="3">
        <f>IFERROR(__xludf.DUMMYFUNCTION("""COMPUTED_VALUE"""),75176.0)</f>
        <v>75176</v>
      </c>
      <c r="H16" s="2" t="str">
        <f>IFERROR(__xludf.DUMMYFUNCTION("""COMPUTED_VALUE"""),"Dudhkoshi Power Company Pvt Ltd")</f>
        <v>Dudhkoshi Power Company Pvt Ltd</v>
      </c>
      <c r="I16" s="2" t="str">
        <f>IFERROR(__xludf.DUMMYFUNCTION("""COMPUTED_VALUE"""),"Milanchok 34, Kathmandu, GPO Box: 12015, Tel; 01-4469270, Fax 01-4491475")</f>
        <v>Milanchok 34, Kathmandu, GPO Box: 12015, Tel; 01-4469270, Fax 01-4491475</v>
      </c>
      <c r="J16" s="2" t="str">
        <f>IFERROR(__xludf.DUMMYFUNCTION("""COMPUTED_VALUE"""),"27o 17' 51""")</f>
        <v>27o 17' 51"</v>
      </c>
      <c r="K16" s="2" t="str">
        <f>IFERROR(__xludf.DUMMYFUNCTION("""COMPUTED_VALUE"""),"27o 18' 51""")</f>
        <v>27o 18' 51"</v>
      </c>
      <c r="L16" s="2" t="str">
        <f>IFERROR(__xludf.DUMMYFUNCTION("""COMPUTED_VALUE"""),"86o 44' 15""")</f>
        <v>86o 44' 15"</v>
      </c>
      <c r="M16" s="2" t="str">
        <f>IFERROR(__xludf.DUMMYFUNCTION("""COMPUTED_VALUE"""),"86o 45' 31""")</f>
        <v>86o 45' 31"</v>
      </c>
      <c r="N16" s="2" t="str">
        <f>IFERROR(__xludf.DUMMYFUNCTION("""COMPUTED_VALUE"""),"Hauchour,Jalapa,Dumekoldada (Khotang)")</f>
        <v>Hauchour,Jalapa,Dumekoldada (Khotang)</v>
      </c>
    </row>
    <row r="17">
      <c r="A17" s="2">
        <f>IFERROR(__xludf.DUMMYFUNCTION("""COMPUTED_VALUE"""),16.0)</f>
        <v>16</v>
      </c>
      <c r="B17" s="2" t="str">
        <f>IFERROR(__xludf.DUMMYFUNCTION("""COMPUTED_VALUE"""),"Upper Myagdi")</f>
        <v>Upper Myagdi</v>
      </c>
      <c r="C17" s="2">
        <f>IFERROR(__xludf.DUMMYFUNCTION("""COMPUTED_VALUE"""),37.0)</f>
        <v>37</v>
      </c>
      <c r="D17" s="2" t="str">
        <f>IFERROR(__xludf.DUMMYFUNCTION("""COMPUTED_VALUE"""),"Myagdi Khola")</f>
        <v>Myagdi Khola</v>
      </c>
      <c r="E17" s="2">
        <f>IFERROR(__xludf.DUMMYFUNCTION("""COMPUTED_VALUE"""),119.0)</f>
        <v>119</v>
      </c>
      <c r="F17" s="3">
        <f>IFERROR(__xludf.DUMMYFUNCTION("""COMPUTED_VALUE"""),62433.0)</f>
        <v>62433</v>
      </c>
      <c r="G17" s="3">
        <f>IFERROR(__xludf.DUMMYFUNCTION("""COMPUTED_VALUE"""),75580.0)</f>
        <v>75580</v>
      </c>
      <c r="H17" s="2" t="str">
        <f>IFERROR(__xludf.DUMMYFUNCTION("""COMPUTED_VALUE"""),"Hydro Empire Ltd")</f>
        <v>Hydro Empire Ltd</v>
      </c>
      <c r="I17" s="2" t="str">
        <f>IFERROR(__xludf.DUMMYFUNCTION("""COMPUTED_VALUE"""),"Bafal Sundhara, Kathmandu, P.O.Box 9713")</f>
        <v>Bafal Sundhara, Kathmandu, P.O.Box 9713</v>
      </c>
      <c r="J17" s="2" t="str">
        <f>IFERROR(__xludf.DUMMYFUNCTION("""COMPUTED_VALUE"""),"28o 31' 05""")</f>
        <v>28o 31' 05"</v>
      </c>
      <c r="K17" s="2" t="str">
        <f>IFERROR(__xludf.DUMMYFUNCTION("""COMPUTED_VALUE"""),"28o 33' 20""")</f>
        <v>28o 33' 20"</v>
      </c>
      <c r="L17" s="2" t="str">
        <f>IFERROR(__xludf.DUMMYFUNCTION("""COMPUTED_VALUE"""),"83o 21' 44""")</f>
        <v>83o 21' 44"</v>
      </c>
      <c r="M17" s="2" t="str">
        <f>IFERROR(__xludf.DUMMYFUNCTION("""COMPUTED_VALUE"""),"83o 23' 20""")</f>
        <v>83o 23' 20"</v>
      </c>
      <c r="N17" s="2" t="str">
        <f>IFERROR(__xludf.DUMMYFUNCTION("""COMPUTED_VALUE"""),"Marang,Mudi,Muna (Myagdi)")</f>
        <v>Marang,Mudi,Muna (Myagdi)</v>
      </c>
    </row>
    <row r="18">
      <c r="A18" s="2">
        <f>IFERROR(__xludf.DUMMYFUNCTION("""COMPUTED_VALUE"""),17.0)</f>
        <v>17</v>
      </c>
      <c r="B18" s="2" t="str">
        <f>IFERROR(__xludf.DUMMYFUNCTION("""COMPUTED_VALUE"""),"Rupse Khola")</f>
        <v>Rupse Khola</v>
      </c>
      <c r="C18" s="2">
        <f>IFERROR(__xludf.DUMMYFUNCTION("""COMPUTED_VALUE"""),4.0)</f>
        <v>4</v>
      </c>
      <c r="D18" s="2" t="str">
        <f>IFERROR(__xludf.DUMMYFUNCTION("""COMPUTED_VALUE"""),"Rupse Khola")</f>
        <v>Rupse Khola</v>
      </c>
      <c r="E18" s="2">
        <f>IFERROR(__xludf.DUMMYFUNCTION("""COMPUTED_VALUE"""),120.0)</f>
        <v>120</v>
      </c>
      <c r="F18" s="3">
        <f>IFERROR(__xludf.DUMMYFUNCTION("""COMPUTED_VALUE"""),62463.0)</f>
        <v>62463</v>
      </c>
      <c r="G18" s="3">
        <f>IFERROR(__xludf.DUMMYFUNCTION("""COMPUTED_VALUE"""),75245.0)</f>
        <v>75245</v>
      </c>
      <c r="H18" s="2" t="str">
        <f>IFERROR(__xludf.DUMMYFUNCTION("""COMPUTED_VALUE"""),"Research &amp; Development Group")</f>
        <v>Research &amp; Development Group</v>
      </c>
      <c r="I18" s="2" t="str">
        <f>IFERROR(__xludf.DUMMYFUNCTION("""COMPUTED_VALUE"""),"Buddha Nagar Kathmandu, Phone 014780675")</f>
        <v>Buddha Nagar Kathmandu, Phone 014780675</v>
      </c>
      <c r="J18" s="2" t="str">
        <f>IFERROR(__xludf.DUMMYFUNCTION("""COMPUTED_VALUE"""),"28o 32' 30""")</f>
        <v>28o 32' 30"</v>
      </c>
      <c r="K18" s="2" t="str">
        <f>IFERROR(__xludf.DUMMYFUNCTION("""COMPUTED_VALUE"""),"28o 33' 40""")</f>
        <v>28o 33' 40"</v>
      </c>
      <c r="L18" s="2" t="str">
        <f>IFERROR(__xludf.DUMMYFUNCTION("""COMPUTED_VALUE"""),"83o 36' 40""")</f>
        <v>83o 36' 40"</v>
      </c>
      <c r="M18" s="2" t="str">
        <f>IFERROR(__xludf.DUMMYFUNCTION("""COMPUTED_VALUE"""),"83o 38' 13""")</f>
        <v>83o 38' 13"</v>
      </c>
      <c r="N18" s="2" t="str">
        <f>IFERROR(__xludf.DUMMYFUNCTION("""COMPUTED_VALUE"""),"Dana (Myagdi)")</f>
        <v>Dana (Myagdi)</v>
      </c>
    </row>
    <row r="19">
      <c r="A19" s="2">
        <f>IFERROR(__xludf.DUMMYFUNCTION("""COMPUTED_VALUE"""),18.0)</f>
        <v>18</v>
      </c>
      <c r="B19" s="2" t="str">
        <f>IFERROR(__xludf.DUMMYFUNCTION("""COMPUTED_VALUE"""),"Khare Hydropower Project")</f>
        <v>Khare Hydropower Project</v>
      </c>
      <c r="C19" s="2">
        <f>IFERROR(__xludf.DUMMYFUNCTION("""COMPUTED_VALUE"""),24.1)</f>
        <v>24.1</v>
      </c>
      <c r="D19" s="2" t="str">
        <f>IFERROR(__xludf.DUMMYFUNCTION("""COMPUTED_VALUE"""),"Khare")</f>
        <v>Khare</v>
      </c>
      <c r="E19" s="2">
        <f>IFERROR(__xludf.DUMMYFUNCTION("""COMPUTED_VALUE"""),122.0)</f>
        <v>122</v>
      </c>
      <c r="F19" s="3">
        <f>IFERROR(__xludf.DUMMYFUNCTION("""COMPUTED_VALUE"""),62479.0)</f>
        <v>62479</v>
      </c>
      <c r="G19" s="3">
        <f>IFERROR(__xludf.DUMMYFUNCTION("""COMPUTED_VALUE"""),75261.0)</f>
        <v>75261</v>
      </c>
      <c r="H19" s="2" t="str">
        <f>IFERROR(__xludf.DUMMYFUNCTION("""COMPUTED_VALUE"""),"Constorium Power Developers Pvt Ltd")</f>
        <v>Constorium Power Developers Pvt Ltd</v>
      </c>
      <c r="I19" s="2" t="str">
        <f>IFERROR(__xludf.DUMMYFUNCTION("""COMPUTED_VALUE"""),"Sinamangal, Kathmandu, Tel; 4462856, fax: 4462856")</f>
        <v>Sinamangal, Kathmandu, Tel; 4462856, fax: 4462856</v>
      </c>
      <c r="J19" s="2" t="str">
        <f>IFERROR(__xludf.DUMMYFUNCTION("""COMPUTED_VALUE"""),"27o 45' 36""")</f>
        <v>27o 45' 36"</v>
      </c>
      <c r="K19" s="2" t="str">
        <f>IFERROR(__xludf.DUMMYFUNCTION("""COMPUTED_VALUE"""),"27o 48' 00""")</f>
        <v>27o 48' 00"</v>
      </c>
      <c r="L19" s="2" t="str">
        <f>IFERROR(__xludf.DUMMYFUNCTION("""COMPUTED_VALUE"""),"86o 14' 00""")</f>
        <v>86o 14' 00"</v>
      </c>
      <c r="M19" s="2" t="str">
        <f>IFERROR(__xludf.DUMMYFUNCTION("""COMPUTED_VALUE"""),"86o 18' 00""")</f>
        <v>86o 18' 00"</v>
      </c>
      <c r="N19" s="2" t="str">
        <f>IFERROR(__xludf.DUMMYFUNCTION("""COMPUTED_VALUE"""),"Chankhu,Khare,Marbu (Dolakha)")</f>
        <v>Chankhu,Khare,Marbu (Dolakha)</v>
      </c>
    </row>
    <row r="20">
      <c r="A20" s="2">
        <f>IFERROR(__xludf.DUMMYFUNCTION("""COMPUTED_VALUE"""),19.0)</f>
        <v>19</v>
      </c>
      <c r="B20" s="2" t="str">
        <f>IFERROR(__xludf.DUMMYFUNCTION("""COMPUTED_VALUE"""),"Sabha Khola A")</f>
        <v>Sabha Khola A</v>
      </c>
      <c r="C20" s="2">
        <f>IFERROR(__xludf.DUMMYFUNCTION("""COMPUTED_VALUE"""),10.4)</f>
        <v>10.4</v>
      </c>
      <c r="D20" s="2" t="str">
        <f>IFERROR(__xludf.DUMMYFUNCTION("""COMPUTED_VALUE"""),"Sabha Khola")</f>
        <v>Sabha Khola</v>
      </c>
      <c r="E20" s="2">
        <f>IFERROR(__xludf.DUMMYFUNCTION("""COMPUTED_VALUE"""),128.0)</f>
        <v>128</v>
      </c>
      <c r="F20" s="3">
        <f>IFERROR(__xludf.DUMMYFUNCTION("""COMPUTED_VALUE"""),62637.0)</f>
        <v>62637</v>
      </c>
      <c r="G20" s="3">
        <f>IFERROR(__xludf.DUMMYFUNCTION("""COMPUTED_VALUE"""),75784.0)</f>
        <v>75784</v>
      </c>
      <c r="H20" s="2" t="str">
        <f>IFERROR(__xludf.DUMMYFUNCTION("""COMPUTED_VALUE"""),"Deepsabha Hydropower Pvt. Ltd.")</f>
        <v>Deepsabha Hydropower Pvt. Ltd.</v>
      </c>
      <c r="I20" s="2" t="str">
        <f>IFERROR(__xludf.DUMMYFUNCTION("""COMPUTED_VALUE"""),"Old Baneshwor Kathmandu")</f>
        <v>Old Baneshwor Kathmandu</v>
      </c>
      <c r="J20" s="2" t="str">
        <f>IFERROR(__xludf.DUMMYFUNCTION("""COMPUTED_VALUE"""),"27o 21' 36""")</f>
        <v>27o 21' 36"</v>
      </c>
      <c r="K20" s="2" t="str">
        <f>IFERROR(__xludf.DUMMYFUNCTION("""COMPUTED_VALUE"""),"27o 23' 18""")</f>
        <v>27o 23' 18"</v>
      </c>
      <c r="L20" s="2" t="str">
        <f>IFERROR(__xludf.DUMMYFUNCTION("""COMPUTED_VALUE"""),"87o 14' 00""")</f>
        <v>87o 14' 00"</v>
      </c>
      <c r="M20" s="2" t="str">
        <f>IFERROR(__xludf.DUMMYFUNCTION("""COMPUTED_VALUE"""),"87o 17' 00""")</f>
        <v>87o 17' 00"</v>
      </c>
      <c r="N20" s="2" t="str">
        <f>IFERROR(__xludf.DUMMYFUNCTION("""COMPUTED_VALUE"""),"Dhupu,Syabun (Sankhuwasabha)")</f>
        <v>Dhupu,Syabun (Sankhuwasabha)</v>
      </c>
    </row>
    <row r="21">
      <c r="A21" s="2">
        <f>IFERROR(__xludf.DUMMYFUNCTION("""COMPUTED_VALUE"""),20.0)</f>
        <v>20</v>
      </c>
      <c r="B21" s="2" t="str">
        <f>IFERROR(__xludf.DUMMYFUNCTION("""COMPUTED_VALUE"""),"Durbang Myagdi Khola")</f>
        <v>Durbang Myagdi Khola</v>
      </c>
      <c r="C21" s="2">
        <f>IFERROR(__xludf.DUMMYFUNCTION("""COMPUTED_VALUE"""),25.0)</f>
        <v>25</v>
      </c>
      <c r="D21" s="2" t="str">
        <f>IFERROR(__xludf.DUMMYFUNCTION("""COMPUTED_VALUE"""),"Myagdi Khola")</f>
        <v>Myagdi Khola</v>
      </c>
      <c r="E21" s="2">
        <f>IFERROR(__xludf.DUMMYFUNCTION("""COMPUTED_VALUE"""),130.0)</f>
        <v>130</v>
      </c>
      <c r="F21" s="3">
        <f>IFERROR(__xludf.DUMMYFUNCTION("""COMPUTED_VALUE"""),62766.0)</f>
        <v>62766</v>
      </c>
      <c r="G21" s="3">
        <f>IFERROR(__xludf.DUMMYFUNCTION("""COMPUTED_VALUE"""),75548.0)</f>
        <v>75548</v>
      </c>
      <c r="H21" s="2" t="str">
        <f>IFERROR(__xludf.DUMMYFUNCTION("""COMPUTED_VALUE"""),"Dhaulagiri Kalika Hydro Ltd")</f>
        <v>Dhaulagiri Kalika Hydro Ltd</v>
      </c>
      <c r="I21" s="2" t="str">
        <f>IFERROR(__xludf.DUMMYFUNCTION("""COMPUTED_VALUE"""),"GPO BoX: 4504, Kathmandu-30,, Gyaneswar, Phone no 4436819,4442730")</f>
        <v>GPO BoX: 4504, Kathmandu-30,, Gyaneswar, Phone no 4436819,4442730</v>
      </c>
      <c r="J21" s="2" t="str">
        <f>IFERROR(__xludf.DUMMYFUNCTION("""COMPUTED_VALUE"""),"28o 23' 15""")</f>
        <v>28o 23' 15"</v>
      </c>
      <c r="K21" s="2" t="str">
        <f>IFERROR(__xludf.DUMMYFUNCTION("""COMPUTED_VALUE"""),"28o 26' 37""")</f>
        <v>28o 26' 37"</v>
      </c>
      <c r="L21" s="2" t="str">
        <f>IFERROR(__xludf.DUMMYFUNCTION("""COMPUTED_VALUE"""),"83o 21' 30""")</f>
        <v>83o 21' 30"</v>
      </c>
      <c r="M21" s="2" t="str">
        <f>IFERROR(__xludf.DUMMYFUNCTION("""COMPUTED_VALUE"""),"83o 26' 20""")</f>
        <v>83o 26' 20"</v>
      </c>
      <c r="N21" s="2" t="str">
        <f>IFERROR(__xludf.DUMMYFUNCTION("""COMPUTED_VALUE"""),",Arman,Babiyachaur,Devisthan,Darwang,Niskot (Myagdi)")</f>
        <v>,Arman,Babiyachaur,Devisthan,Darwang,Niskot (Myagdi)</v>
      </c>
    </row>
    <row r="22">
      <c r="A22" s="2">
        <f>IFERROR(__xludf.DUMMYFUNCTION("""COMPUTED_VALUE"""),21.0)</f>
        <v>21</v>
      </c>
      <c r="B22" s="2" t="str">
        <f>IFERROR(__xludf.DUMMYFUNCTION("""COMPUTED_VALUE"""),"Balephi A")</f>
        <v>Balephi A</v>
      </c>
      <c r="C22" s="2">
        <f>IFERROR(__xludf.DUMMYFUNCTION("""COMPUTED_VALUE"""),22.14)</f>
        <v>22.14</v>
      </c>
      <c r="D22" s="2" t="str">
        <f>IFERROR(__xludf.DUMMYFUNCTION("""COMPUTED_VALUE"""),"Balephi")</f>
        <v>Balephi</v>
      </c>
      <c r="E22" s="2">
        <f>IFERROR(__xludf.DUMMYFUNCTION("""COMPUTED_VALUE"""),132.0)</f>
        <v>132</v>
      </c>
      <c r="F22" s="3">
        <f>IFERROR(__xludf.DUMMYFUNCTION("""COMPUTED_VALUE"""),62829.0)</f>
        <v>62829</v>
      </c>
      <c r="G22" s="3">
        <f>IFERROR(__xludf.DUMMYFUNCTION("""COMPUTED_VALUE"""),75611.0)</f>
        <v>75611</v>
      </c>
      <c r="H22" s="2" t="str">
        <f>IFERROR(__xludf.DUMMYFUNCTION("""COMPUTED_VALUE"""),"Moonlight Hydropower Company Ltd.")</f>
        <v>Moonlight Hydropower Company Ltd.</v>
      </c>
      <c r="I22" s="2" t="str">
        <f>IFERROR(__xludf.DUMMYFUNCTION("""COMPUTED_VALUE"""),"Kamaladi, Kathmandu, Phone 01-4474328,4462844")</f>
        <v>Kamaladi, Kathmandu, Phone 01-4474328,4462844</v>
      </c>
      <c r="J22" s="2" t="str">
        <f>IFERROR(__xludf.DUMMYFUNCTION("""COMPUTED_VALUE"""),"27o 49' 44""")</f>
        <v>27o 49' 44"</v>
      </c>
      <c r="K22" s="2" t="str">
        <f>IFERROR(__xludf.DUMMYFUNCTION("""COMPUTED_VALUE"""),"27o 51' 42""")</f>
        <v>27o 51' 42"</v>
      </c>
      <c r="L22" s="2" t="str">
        <f>IFERROR(__xludf.DUMMYFUNCTION("""COMPUTED_VALUE"""),"85o 45' 00""")</f>
        <v>85o 45' 00"</v>
      </c>
      <c r="M22" s="2" t="str">
        <f>IFERROR(__xludf.DUMMYFUNCTION("""COMPUTED_VALUE"""),"85o 46' 31""")</f>
        <v>85o 46' 31"</v>
      </c>
      <c r="N22" s="2" t="str">
        <f>IFERROR(__xludf.DUMMYFUNCTION("""COMPUTED_VALUE"""),"Baramchi,Golche,Pangtang (Sindhupalchok)")</f>
        <v>Baramchi,Golche,Pangtang (Sindhupalchok)</v>
      </c>
    </row>
    <row r="23">
      <c r="A23" s="2">
        <f>IFERROR(__xludf.DUMMYFUNCTION("""COMPUTED_VALUE"""),22.0)</f>
        <v>22</v>
      </c>
      <c r="B23" s="2" t="str">
        <f>IFERROR(__xludf.DUMMYFUNCTION("""COMPUTED_VALUE"""),"Upper Modi A")</f>
        <v>Upper Modi A</v>
      </c>
      <c r="C23" s="2">
        <f>IFERROR(__xludf.DUMMYFUNCTION("""COMPUTED_VALUE"""),42.0)</f>
        <v>42</v>
      </c>
      <c r="D23" s="2" t="str">
        <f>IFERROR(__xludf.DUMMYFUNCTION("""COMPUTED_VALUE"""),"Modi Khola")</f>
        <v>Modi Khola</v>
      </c>
      <c r="E23" s="2">
        <f>IFERROR(__xludf.DUMMYFUNCTION("""COMPUTED_VALUE"""),135.0)</f>
        <v>135</v>
      </c>
      <c r="F23" s="3">
        <f>IFERROR(__xludf.DUMMYFUNCTION("""COMPUTED_VALUE"""),62887.0)</f>
        <v>62887</v>
      </c>
      <c r="G23" s="3">
        <f>IFERROR(__xludf.DUMMYFUNCTION("""COMPUTED_VALUE"""),75668.0)</f>
        <v>75668</v>
      </c>
      <c r="H23" s="2" t="str">
        <f>IFERROR(__xludf.DUMMYFUNCTION("""COMPUTED_VALUE"""),"Modi Jalavidhyut Company Ltd.")</f>
        <v>Modi Jalavidhyut Company Ltd.</v>
      </c>
      <c r="I23" s="2" t="str">
        <f>IFERROR(__xludf.DUMMYFUNCTION("""COMPUTED_VALUE"""),"Durbarmarga, Kathmandu")</f>
        <v>Durbarmarga, Kathmandu</v>
      </c>
      <c r="J23" s="2" t="str">
        <f>IFERROR(__xludf.DUMMYFUNCTION("""COMPUTED_VALUE"""),"28o 20' 00""")</f>
        <v>28o 20' 00"</v>
      </c>
      <c r="K23" s="2" t="str">
        <f>IFERROR(__xludf.DUMMYFUNCTION("""COMPUTED_VALUE"""),"28o 24' 06""")</f>
        <v>28o 24' 06"</v>
      </c>
      <c r="L23" s="2" t="str">
        <f>IFERROR(__xludf.DUMMYFUNCTION("""COMPUTED_VALUE"""),"83o 46' 53""")</f>
        <v>83o 46' 53"</v>
      </c>
      <c r="M23" s="2" t="str">
        <f>IFERROR(__xludf.DUMMYFUNCTION("""COMPUTED_VALUE"""),"83o 50' 00""")</f>
        <v>83o 50' 00"</v>
      </c>
      <c r="N23" s="2" t="str">
        <f>IFERROR(__xludf.DUMMYFUNCTION("""COMPUTED_VALUE"""),"Lumle,Ghandruk (Kaski)")</f>
        <v>Lumle,Ghandruk (Kaski)</v>
      </c>
    </row>
    <row r="24">
      <c r="A24" s="2">
        <f>IFERROR(__xludf.DUMMYFUNCTION("""COMPUTED_VALUE"""),23.0)</f>
        <v>23</v>
      </c>
      <c r="B24" s="2" t="str">
        <f>IFERROR(__xludf.DUMMYFUNCTION("""COMPUTED_VALUE"""),"Langtang Khola Small Hydropower Project")</f>
        <v>Langtang Khola Small Hydropower Project</v>
      </c>
      <c r="C24" s="2">
        <f>IFERROR(__xludf.DUMMYFUNCTION("""COMPUTED_VALUE"""),20.0)</f>
        <v>20</v>
      </c>
      <c r="D24" s="2" t="str">
        <f>IFERROR(__xludf.DUMMYFUNCTION("""COMPUTED_VALUE"""),"Langtang")</f>
        <v>Langtang</v>
      </c>
      <c r="E24" s="2">
        <f>IFERROR(__xludf.DUMMYFUNCTION("""COMPUTED_VALUE"""),142.0)</f>
        <v>142</v>
      </c>
      <c r="F24" s="3">
        <f>IFERROR(__xludf.DUMMYFUNCTION("""COMPUTED_VALUE"""),62976.0)</f>
        <v>62976</v>
      </c>
      <c r="G24" s="3">
        <f>IFERROR(__xludf.DUMMYFUNCTION("""COMPUTED_VALUE"""),75757.0)</f>
        <v>75757</v>
      </c>
      <c r="H24" s="2" t="str">
        <f>IFERROR(__xludf.DUMMYFUNCTION("""COMPUTED_VALUE"""),"Multi Energy Development Pvt. Ltd.")</f>
        <v>Multi Energy Development Pvt. Ltd.</v>
      </c>
      <c r="I24" s="2" t="str">
        <f>IFERROR(__xludf.DUMMYFUNCTION("""COMPUTED_VALUE"""),"P.O.Box 10242 Kathmandu 10, Phone 01 4781891 email langtangkhola@gmail.com")</f>
        <v>P.O.Box 10242 Kathmandu 10, Phone 01 4781891 email langtangkhola@gmail.com</v>
      </c>
      <c r="J24" s="2" t="str">
        <f>IFERROR(__xludf.DUMMYFUNCTION("""COMPUTED_VALUE"""),"28o 09' 05""")</f>
        <v>28o 09' 05"</v>
      </c>
      <c r="K24" s="2" t="str">
        <f>IFERROR(__xludf.DUMMYFUNCTION("""COMPUTED_VALUE"""),"28o 09' 49""")</f>
        <v>28o 09' 49"</v>
      </c>
      <c r="L24" s="2" t="str">
        <f>IFERROR(__xludf.DUMMYFUNCTION("""COMPUTED_VALUE"""),"85o 20' 34""")</f>
        <v>85o 20' 34"</v>
      </c>
      <c r="M24" s="2" t="str">
        <f>IFERROR(__xludf.DUMMYFUNCTION("""COMPUTED_VALUE"""),"85o 22' 15""")</f>
        <v>85o 22' 15"</v>
      </c>
      <c r="N24" s="2" t="str">
        <f>IFERROR(__xludf.DUMMYFUNCTION("""COMPUTED_VALUE"""),"Syafru (Rasuwa)")</f>
        <v>Syafru (Rasuwa)</v>
      </c>
    </row>
    <row r="25">
      <c r="A25" s="2">
        <f>IFERROR(__xludf.DUMMYFUNCTION("""COMPUTED_VALUE"""),24.0)</f>
        <v>24</v>
      </c>
      <c r="B25" s="2" t="str">
        <f>IFERROR(__xludf.DUMMYFUNCTION("""COMPUTED_VALUE"""),"Ruru Banchu - 1")</f>
        <v>Ruru Banchu - 1</v>
      </c>
      <c r="C25" s="2">
        <f>IFERROR(__xludf.DUMMYFUNCTION("""COMPUTED_VALUE"""),16.0)</f>
        <v>16</v>
      </c>
      <c r="D25" s="2" t="str">
        <f>IFERROR(__xludf.DUMMYFUNCTION("""COMPUTED_VALUE"""),"Rurubanchu Khola")</f>
        <v>Rurubanchu Khola</v>
      </c>
      <c r="E25" s="2">
        <f>IFERROR(__xludf.DUMMYFUNCTION("""COMPUTED_VALUE"""),147.0)</f>
        <v>147</v>
      </c>
      <c r="F25" s="3">
        <f>IFERROR(__xludf.DUMMYFUNCTION("""COMPUTED_VALUE"""),63002.0)</f>
        <v>63002</v>
      </c>
      <c r="G25" s="3">
        <f>IFERROR(__xludf.DUMMYFUNCTION("""COMPUTED_VALUE"""),75783.0)</f>
        <v>75783</v>
      </c>
      <c r="H25" s="2" t="str">
        <f>IFERROR(__xludf.DUMMYFUNCTION("""COMPUTED_VALUE"""),"Mount Nilgiri Hydropower Company Pvt Ltd")</f>
        <v>Mount Nilgiri Hydropower Company Pvt Ltd</v>
      </c>
      <c r="I25" s="2" t="str">
        <f>IFERROR(__xludf.DUMMYFUNCTION("""COMPUTED_VALUE"""),"P.O.Box 8003, Kathmandu Phone no 01 4216573")</f>
        <v>P.O.Box 8003, Kathmandu Phone no 01 4216573</v>
      </c>
      <c r="J25" s="2" t="str">
        <f>IFERROR(__xludf.DUMMYFUNCTION("""COMPUTED_VALUE"""),"29o 05' 32""")</f>
        <v>29o 05' 32"</v>
      </c>
      <c r="K25" s="2" t="str">
        <f>IFERROR(__xludf.DUMMYFUNCTION("""COMPUTED_VALUE"""),"29o 06' 37""")</f>
        <v>29o 06' 37"</v>
      </c>
      <c r="L25" s="2" t="str">
        <f>IFERROR(__xludf.DUMMYFUNCTION("""COMPUTED_VALUE"""),"81o 45' 54""")</f>
        <v>81o 45' 54"</v>
      </c>
      <c r="M25" s="2" t="str">
        <f>IFERROR(__xludf.DUMMYFUNCTION("""COMPUTED_VALUE"""),"81o 48' 05""")</f>
        <v>81o 48' 05"</v>
      </c>
      <c r="N25" s="2" t="str">
        <f>IFERROR(__xludf.DUMMYFUNCTION("""COMPUTED_VALUE"""),"Chilkhaya,Odanku (Kalikot)")</f>
        <v>Chilkhaya,Odanku (Kalikot)</v>
      </c>
    </row>
    <row r="26">
      <c r="A26" s="2">
        <f>IFERROR(__xludf.DUMMYFUNCTION("""COMPUTED_VALUE"""),25.0)</f>
        <v>25</v>
      </c>
      <c r="B26" s="2" t="str">
        <f>IFERROR(__xludf.DUMMYFUNCTION("""COMPUTED_VALUE"""),"ChulepuKhola Hydropower Project")</f>
        <v>ChulepuKhola Hydropower Project</v>
      </c>
      <c r="C26" s="2">
        <f>IFERROR(__xludf.DUMMYFUNCTION("""COMPUTED_VALUE"""),8.52)</f>
        <v>8.52</v>
      </c>
      <c r="D26" s="2" t="str">
        <f>IFERROR(__xludf.DUMMYFUNCTION("""COMPUTED_VALUE"""),"Chulepu,Dhunde Khola")</f>
        <v>Chulepu,Dhunde Khola</v>
      </c>
      <c r="E26" s="2">
        <f>IFERROR(__xludf.DUMMYFUNCTION("""COMPUTED_VALUE"""),155.0)</f>
        <v>155</v>
      </c>
      <c r="F26" s="3">
        <f>IFERROR(__xludf.DUMMYFUNCTION("""COMPUTED_VALUE"""),63202.0)</f>
        <v>63202</v>
      </c>
      <c r="G26" s="3">
        <f>IFERROR(__xludf.DUMMYFUNCTION("""COMPUTED_VALUE"""),75983.0)</f>
        <v>75983</v>
      </c>
      <c r="H26" s="2" t="str">
        <f>IFERROR(__xludf.DUMMYFUNCTION("""COMPUTED_VALUE"""),"Chandeswari Mahadev Khola Micro Hydro Com.P.Ltd.")</f>
        <v>Chandeswari Mahadev Khola Micro Hydro Com.P.Ltd.</v>
      </c>
      <c r="I26" s="2" t="str">
        <f>IFERROR(__xludf.DUMMYFUNCTION("""COMPUTED_VALUE"""),"Madhyapur Thimi 15, Kausaltar,Bhaktapur 6630660,9851088190")</f>
        <v>Madhyapur Thimi 15, Kausaltar,Bhaktapur 6630660,9851088190</v>
      </c>
      <c r="J26" s="2" t="str">
        <f>IFERROR(__xludf.DUMMYFUNCTION("""COMPUTED_VALUE"""),"27o 28' 50""")</f>
        <v>27o 28' 50"</v>
      </c>
      <c r="K26" s="2" t="str">
        <f>IFERROR(__xludf.DUMMYFUNCTION("""COMPUTED_VALUE"""),"27o 31' 48""")</f>
        <v>27o 31' 48"</v>
      </c>
      <c r="L26" s="2" t="str">
        <f>IFERROR(__xludf.DUMMYFUNCTION("""COMPUTED_VALUE"""),"86o 15' 40""")</f>
        <v>86o 15' 40"</v>
      </c>
      <c r="M26" s="2" t="str">
        <f>IFERROR(__xludf.DUMMYFUNCTION("""COMPUTED_VALUE"""),"86o 18' 01""")</f>
        <v>86o 18' 01"</v>
      </c>
      <c r="N26" s="2" t="str">
        <f>IFERROR(__xludf.DUMMYFUNCTION("""COMPUTED_VALUE"""),"Bhujee,Guptesqor,Pritee (Ramechhap)")</f>
        <v>Bhujee,Guptesqor,Pritee (Ramechhap)</v>
      </c>
    </row>
    <row r="27">
      <c r="A27" s="2">
        <f>IFERROR(__xludf.DUMMYFUNCTION("""COMPUTED_VALUE"""),26.0)</f>
        <v>26</v>
      </c>
      <c r="B27" s="2" t="str">
        <f>IFERROR(__xludf.DUMMYFUNCTION("""COMPUTED_VALUE"""),"Chauri Khola")</f>
        <v>Chauri Khola</v>
      </c>
      <c r="C27" s="2">
        <f>IFERROR(__xludf.DUMMYFUNCTION("""COMPUTED_VALUE"""),5.0)</f>
        <v>5</v>
      </c>
      <c r="D27" s="2" t="str">
        <f>IFERROR(__xludf.DUMMYFUNCTION("""COMPUTED_VALUE"""),"Chauri")</f>
        <v>Chauri</v>
      </c>
      <c r="E27" s="2">
        <f>IFERROR(__xludf.DUMMYFUNCTION("""COMPUTED_VALUE"""),156.0)</f>
        <v>156</v>
      </c>
      <c r="F27" s="3">
        <f>IFERROR(__xludf.DUMMYFUNCTION("""COMPUTED_VALUE"""),63203.0)</f>
        <v>63203</v>
      </c>
      <c r="G27" s="3">
        <f>IFERROR(__xludf.DUMMYFUNCTION("""COMPUTED_VALUE"""),75984.0)</f>
        <v>75984</v>
      </c>
      <c r="H27" s="2" t="str">
        <f>IFERROR(__xludf.DUMMYFUNCTION("""COMPUTED_VALUE"""),"Chauri Hydropower P Ltd")</f>
        <v>Chauri Hydropower P Ltd</v>
      </c>
      <c r="I27" s="2" t="str">
        <f>IFERROR(__xludf.DUMMYFUNCTION("""COMPUTED_VALUE"""),"Anamnagar-32 , KTM, Ph: 014102696, Fax 4102696, email - 
chaurihydro@gmail.com")</f>
        <v>Anamnagar-32 , KTM, Ph: 014102696, Fax 4102696, email - 
chaurihydro@gmail.com</v>
      </c>
      <c r="J27" s="2" t="str">
        <f>IFERROR(__xludf.DUMMYFUNCTION("""COMPUTED_VALUE"""),"27o 35' 33""")</f>
        <v>27o 35' 33"</v>
      </c>
      <c r="K27" s="2" t="str">
        <f>IFERROR(__xludf.DUMMYFUNCTION("""COMPUTED_VALUE"""),"27o 37' 22""")</f>
        <v>27o 37' 22"</v>
      </c>
      <c r="L27" s="2" t="str">
        <f>IFERROR(__xludf.DUMMYFUNCTION("""COMPUTED_VALUE"""),"85o 51' 49""")</f>
        <v>85o 51' 49"</v>
      </c>
      <c r="M27" s="2" t="str">
        <f>IFERROR(__xludf.DUMMYFUNCTION("""COMPUTED_VALUE"""),"85o 53' 22""")</f>
        <v>85o 53' 22"</v>
      </c>
      <c r="N27" s="2" t="str">
        <f>IFERROR(__xludf.DUMMYFUNCTION("""COMPUTED_VALUE"""),"Goswara (Ramechhap)")</f>
        <v>Goswara (Ramechhap)</v>
      </c>
    </row>
    <row r="28">
      <c r="A28" s="2">
        <f>IFERROR(__xludf.DUMMYFUNCTION("""COMPUTED_VALUE"""),27.0)</f>
        <v>27</v>
      </c>
      <c r="B28" s="2" t="str">
        <f>IFERROR(__xludf.DUMMYFUNCTION("""COMPUTED_VALUE"""),"Tanahu HEP")</f>
        <v>Tanahu HEP</v>
      </c>
      <c r="C28" s="2">
        <f>IFERROR(__xludf.DUMMYFUNCTION("""COMPUTED_VALUE"""),140.0)</f>
        <v>140</v>
      </c>
      <c r="D28" s="2" t="str">
        <f>IFERROR(__xludf.DUMMYFUNCTION("""COMPUTED_VALUE"""),"Seti Khola (Gandaki)")</f>
        <v>Seti Khola (Gandaki)</v>
      </c>
      <c r="E28" s="2">
        <f>IFERROR(__xludf.DUMMYFUNCTION("""COMPUTED_VALUE"""),157.0)</f>
        <v>157</v>
      </c>
      <c r="F28" s="3">
        <f>IFERROR(__xludf.DUMMYFUNCTION("""COMPUTED_VALUE"""),63223.0)</f>
        <v>63223</v>
      </c>
      <c r="G28" s="3">
        <f>IFERROR(__xludf.DUMMYFUNCTION("""COMPUTED_VALUE"""),76370.0)</f>
        <v>76370</v>
      </c>
      <c r="H28" s="2" t="str">
        <f>IFERROR(__xludf.DUMMYFUNCTION("""COMPUTED_VALUE"""),"Tanahu Hydropower Limited")</f>
        <v>Tanahu Hydropower Limited</v>
      </c>
      <c r="I28" s="2" t="str">
        <f>IFERROR(__xludf.DUMMYFUNCTION("""COMPUTED_VALUE"""),"4th Floor, Trade Tower, Thapathali, Kathmandu. Phone: 5111117, 5111118 Fax: 
5111121, Email: info@thl.com.np")</f>
        <v>4th Floor, Trade Tower, Thapathali, Kathmandu. Phone: 5111117, 5111118 Fax: 
5111121, Email: info@thl.com.np</v>
      </c>
      <c r="J28" s="2" t="str">
        <f>IFERROR(__xludf.DUMMYFUNCTION("""COMPUTED_VALUE"""),"27o 55' 00""")</f>
        <v>27o 55' 00"</v>
      </c>
      <c r="K28" s="2" t="str">
        <f>IFERROR(__xludf.DUMMYFUNCTION("""COMPUTED_VALUE"""),"28o 00' 00""")</f>
        <v>28o 00' 00"</v>
      </c>
      <c r="L28" s="2" t="str">
        <f>IFERROR(__xludf.DUMMYFUNCTION("""COMPUTED_VALUE"""),"84o 04' 00""")</f>
        <v>84o 04' 00"</v>
      </c>
      <c r="M28" s="2" t="str">
        <f>IFERROR(__xludf.DUMMYFUNCTION("""COMPUTED_VALUE"""),"84o 17' 30""")</f>
        <v>84o 17' 30"</v>
      </c>
      <c r="N28" s="2" t="str">
        <f>IFERROR(__xludf.DUMMYFUNCTION("""COMPUTED_VALUE"""),"Damauli,Kahu Sivapur (Tanahu)")</f>
        <v>Damauli,Kahu Sivapur (Tanahu)</v>
      </c>
    </row>
    <row r="29">
      <c r="A29" s="2">
        <f>IFERROR(__xludf.DUMMYFUNCTION("""COMPUTED_VALUE"""),28.0)</f>
        <v>28</v>
      </c>
      <c r="B29" s="2" t="str">
        <f>IFERROR(__xludf.DUMMYFUNCTION("""COMPUTED_VALUE"""),"Phalakhu Khola HPP")</f>
        <v>Phalakhu Khola HPP</v>
      </c>
      <c r="C29" s="2">
        <f>IFERROR(__xludf.DUMMYFUNCTION("""COMPUTED_VALUE"""),7.29)</f>
        <v>7.29</v>
      </c>
      <c r="D29" s="2" t="str">
        <f>IFERROR(__xludf.DUMMYFUNCTION("""COMPUTED_VALUE"""),"Phalankhu Khola")</f>
        <v>Phalankhu Khola</v>
      </c>
      <c r="E29" s="2">
        <f>IFERROR(__xludf.DUMMYFUNCTION("""COMPUTED_VALUE"""),161.0)</f>
        <v>161</v>
      </c>
      <c r="F29" s="3">
        <f>IFERROR(__xludf.DUMMYFUNCTION("""COMPUTED_VALUE"""),63272.0)</f>
        <v>63272</v>
      </c>
      <c r="G29" s="3">
        <f>IFERROR(__xludf.DUMMYFUNCTION("""COMPUTED_VALUE"""),76054.0)</f>
        <v>76054</v>
      </c>
      <c r="H29" s="2" t="str">
        <f>IFERROR(__xludf.DUMMYFUNCTION("""COMPUTED_VALUE"""),"Rasuwa Hydropower Company Pvt Ltd")</f>
        <v>Rasuwa Hydropower Company Pvt Ltd</v>
      </c>
      <c r="I29" s="2" t="str">
        <f>IFERROR(__xludf.DUMMYFUNCTION("""COMPUTED_VALUE"""),"GPO Box: 8003, Kathmandu,Tel; 4880041")</f>
        <v>GPO Box: 8003, Kathmandu,Tel; 4880041</v>
      </c>
      <c r="J29" s="2" t="str">
        <f>IFERROR(__xludf.DUMMYFUNCTION("""COMPUTED_VALUE"""),"27o 58' 40""")</f>
        <v>27o 58' 40"</v>
      </c>
      <c r="K29" s="2" t="str">
        <f>IFERROR(__xludf.DUMMYFUNCTION("""COMPUTED_VALUE"""),"28o 00' 10""")</f>
        <v>28o 00' 10"</v>
      </c>
      <c r="L29" s="2" t="str">
        <f>IFERROR(__xludf.DUMMYFUNCTION("""COMPUTED_VALUE"""),"85o 15' 17""")</f>
        <v>85o 15' 17"</v>
      </c>
      <c r="M29" s="2" t="str">
        <f>IFERROR(__xludf.DUMMYFUNCTION("""COMPUTED_VALUE"""),"85o 16' 14""")</f>
        <v>85o 16' 14"</v>
      </c>
      <c r="N29" s="2" t="str">
        <f>IFERROR(__xludf.DUMMYFUNCTION("""COMPUTED_VALUE"""),"Bhorle,Saramthali (Rasuwa)")</f>
        <v>Bhorle,Saramthali (Rasuwa)</v>
      </c>
    </row>
    <row r="30">
      <c r="A30" s="2">
        <f>IFERROR(__xludf.DUMMYFUNCTION("""COMPUTED_VALUE"""),29.0)</f>
        <v>29</v>
      </c>
      <c r="B30" s="2" t="str">
        <f>IFERROR(__xludf.DUMMYFUNCTION("""COMPUTED_VALUE"""),"Phalakhu Khola HPP")</f>
        <v>Phalakhu Khola HPP</v>
      </c>
      <c r="C30" s="2">
        <f>IFERROR(__xludf.DUMMYFUNCTION("""COMPUTED_VALUE"""),14.7)</f>
        <v>14.7</v>
      </c>
      <c r="D30" s="2" t="str">
        <f>IFERROR(__xludf.DUMMYFUNCTION("""COMPUTED_VALUE"""),"Phalankhu Khola")</f>
        <v>Phalankhu Khola</v>
      </c>
      <c r="E30" s="2">
        <f>IFERROR(__xludf.DUMMYFUNCTION("""COMPUTED_VALUE"""),162.0)</f>
        <v>162</v>
      </c>
      <c r="F30" s="3">
        <f>IFERROR(__xludf.DUMMYFUNCTION("""COMPUTED_VALUE"""),63289.0)</f>
        <v>63289</v>
      </c>
      <c r="G30" s="3">
        <f>IFERROR(__xludf.DUMMYFUNCTION("""COMPUTED_VALUE"""),76071.0)</f>
        <v>76071</v>
      </c>
      <c r="H30" s="2" t="str">
        <f>IFERROR(__xludf.DUMMYFUNCTION("""COMPUTED_VALUE"""),"Betrawati Hydroelectric Co. Ltd")</f>
        <v>Betrawati Hydroelectric Co. Ltd</v>
      </c>
      <c r="I30" s="2" t="str">
        <f>IFERROR(__xludf.DUMMYFUNCTION("""COMPUTED_VALUE"""),"Panipokhari, KTM-3, 01-4002604, info@betrawatihydro.com")</f>
        <v>Panipokhari, KTM-3, 01-4002604, info@betrawatihydro.com</v>
      </c>
      <c r="J30" s="2" t="str">
        <f>IFERROR(__xludf.DUMMYFUNCTION("""COMPUTED_VALUE"""),"28o 00' 15""")</f>
        <v>28o 00' 15"</v>
      </c>
      <c r="K30" s="2" t="str">
        <f>IFERROR(__xludf.DUMMYFUNCTION("""COMPUTED_VALUE"""),"28o 02' 10""")</f>
        <v>28o 02' 10"</v>
      </c>
      <c r="L30" s="2" t="str">
        <f>IFERROR(__xludf.DUMMYFUNCTION("""COMPUTED_VALUE"""),"85o 16' 10""")</f>
        <v>85o 16' 10"</v>
      </c>
      <c r="M30" s="2" t="str">
        <f>IFERROR(__xludf.DUMMYFUNCTION("""COMPUTED_VALUE"""),"85o 19' 00""")</f>
        <v>85o 19' 00"</v>
      </c>
      <c r="N30" s="2" t="str">
        <f>IFERROR(__xludf.DUMMYFUNCTION("""COMPUTED_VALUE"""),"Saramthali,Yarsa (Rasuwa)")</f>
        <v>Saramthali,Yarsa (Rasuwa)</v>
      </c>
    </row>
    <row r="31">
      <c r="A31" s="2">
        <f>IFERROR(__xludf.DUMMYFUNCTION("""COMPUTED_VALUE"""),30.0)</f>
        <v>30</v>
      </c>
      <c r="B31" s="2" t="str">
        <f>IFERROR(__xludf.DUMMYFUNCTION("""COMPUTED_VALUE"""),"Liping Khola")</f>
        <v>Liping Khola</v>
      </c>
      <c r="C31" s="2">
        <f>IFERROR(__xludf.DUMMYFUNCTION("""COMPUTED_VALUE"""),16.26)</f>
        <v>16.26</v>
      </c>
      <c r="D31" s="2" t="str">
        <f>IFERROR(__xludf.DUMMYFUNCTION("""COMPUTED_VALUE"""),"Liping")</f>
        <v>Liping</v>
      </c>
      <c r="E31" s="2">
        <f>IFERROR(__xludf.DUMMYFUNCTION("""COMPUTED_VALUE"""),164.0)</f>
        <v>164</v>
      </c>
      <c r="F31" s="3">
        <f>IFERROR(__xludf.DUMMYFUNCTION("""COMPUTED_VALUE"""),63291.0)</f>
        <v>63291</v>
      </c>
      <c r="G31" s="3">
        <f>IFERROR(__xludf.DUMMYFUNCTION("""COMPUTED_VALUE"""),76073.0)</f>
        <v>76073</v>
      </c>
      <c r="H31" s="2" t="str">
        <f>IFERROR(__xludf.DUMMYFUNCTION("""COMPUTED_VALUE"""),"Him River Power Ltd")</f>
        <v>Him River Power Ltd</v>
      </c>
      <c r="I31" s="2" t="str">
        <f>IFERROR(__xludf.DUMMYFUNCTION("""COMPUTED_VALUE"""),"Bhimsengola, Kathmandu-09; Tel: 4441535, Fax: 44435714; P.O. Box: 3797; 
9843410945, 9843065637")</f>
        <v>Bhimsengola, Kathmandu-09; Tel: 4441535, Fax: 44435714; P.O. Box: 3797; 
9843410945, 9843065637</v>
      </c>
      <c r="J31" s="2" t="str">
        <f>IFERROR(__xludf.DUMMYFUNCTION("""COMPUTED_VALUE"""),"27o 58' 11""")</f>
        <v>27o 58' 11"</v>
      </c>
      <c r="K31" s="2" t="str">
        <f>IFERROR(__xludf.DUMMYFUNCTION("""COMPUTED_VALUE"""),"27o 59' 20""")</f>
        <v>27o 59' 20"</v>
      </c>
      <c r="L31" s="2" t="str">
        <f>IFERROR(__xludf.DUMMYFUNCTION("""COMPUTED_VALUE"""),"85o 56' 30""")</f>
        <v>85o 56' 30"</v>
      </c>
      <c r="M31" s="2" t="str">
        <f>IFERROR(__xludf.DUMMYFUNCTION("""COMPUTED_VALUE"""),"85o 57' 44""")</f>
        <v>85o 57' 44"</v>
      </c>
      <c r="N31" s="2" t="str">
        <f>IFERROR(__xludf.DUMMYFUNCTION("""COMPUTED_VALUE"""),"Tatopani (Sindhupalchok)")</f>
        <v>Tatopani (Sindhupalchok)</v>
      </c>
    </row>
    <row r="32">
      <c r="A32" s="2">
        <f>IFERROR(__xludf.DUMMYFUNCTION("""COMPUTED_VALUE"""),31.0)</f>
        <v>31</v>
      </c>
      <c r="B32" s="2" t="str">
        <f>IFERROR(__xludf.DUMMYFUNCTION("""COMPUTED_VALUE"""),"Lower Khorunga")</f>
        <v>Lower Khorunga</v>
      </c>
      <c r="C32" s="2">
        <f>IFERROR(__xludf.DUMMYFUNCTION("""COMPUTED_VALUE"""),5.5)</f>
        <v>5.5</v>
      </c>
      <c r="D32" s="2" t="str">
        <f>IFERROR(__xludf.DUMMYFUNCTION("""COMPUTED_VALUE"""),"Khoranga Khola")</f>
        <v>Khoranga Khola</v>
      </c>
      <c r="E32" s="2">
        <f>IFERROR(__xludf.DUMMYFUNCTION("""COMPUTED_VALUE"""),165.0)</f>
        <v>165</v>
      </c>
      <c r="F32" s="3">
        <f>IFERROR(__xludf.DUMMYFUNCTION("""COMPUTED_VALUE"""),63291.0)</f>
        <v>63291</v>
      </c>
      <c r="G32" s="3">
        <f>IFERROR(__xludf.DUMMYFUNCTION("""COMPUTED_VALUE"""),76073.0)</f>
        <v>76073</v>
      </c>
      <c r="H32" s="2" t="str">
        <f>IFERROR(__xludf.DUMMYFUNCTION("""COMPUTED_VALUE"""),"IDS Energy Pvt. Ltd")</f>
        <v>IDS Energy Pvt. Ltd</v>
      </c>
      <c r="I32" s="2" t="str">
        <f>IFERROR(__xludf.DUMMYFUNCTION("""COMPUTED_VALUE"""),"Heritedge Plaza, Kathmandu, Phone no 4169116, 4169117, Fax no 4169118, Emai 
info@idsenergy.com")</f>
        <v>Heritedge Plaza, Kathmandu, Phone no 4169116, 4169117, Fax no 4169118, Emai 
info@idsenergy.com</v>
      </c>
      <c r="J32" s="2" t="str">
        <f>IFERROR(__xludf.DUMMYFUNCTION("""COMPUTED_VALUE"""),"27o 07' 30""")</f>
        <v>27o 07' 30"</v>
      </c>
      <c r="K32" s="2" t="str">
        <f>IFERROR(__xludf.DUMMYFUNCTION("""COMPUTED_VALUE"""),"27o 09' 21""")</f>
        <v>27o 09' 21"</v>
      </c>
      <c r="L32" s="2" t="str">
        <f>IFERROR(__xludf.DUMMYFUNCTION("""COMPUTED_VALUE"""),"87o 32' 30""")</f>
        <v>87o 32' 30"</v>
      </c>
      <c r="M32" s="2" t="str">
        <f>IFERROR(__xludf.DUMMYFUNCTION("""COMPUTED_VALUE"""),"87o 34' 32""")</f>
        <v>87o 34' 32"</v>
      </c>
      <c r="N32" s="2" t="str">
        <f>IFERROR(__xludf.DUMMYFUNCTION("""COMPUTED_VALUE"""),"Jaljale,Tamfula (Terhathum)")</f>
        <v>Jaljale,Tamfula (Terhathum)</v>
      </c>
    </row>
    <row r="33">
      <c r="A33" s="2">
        <f>IFERROR(__xludf.DUMMYFUNCTION("""COMPUTED_VALUE"""),32.0)</f>
        <v>32</v>
      </c>
      <c r="B33" s="2" t="str">
        <f>IFERROR(__xludf.DUMMYFUNCTION("""COMPUTED_VALUE"""),"Kaligandaki Koban")</f>
        <v>Kaligandaki Koban</v>
      </c>
      <c r="C33" s="2">
        <f>IFERROR(__xludf.DUMMYFUNCTION("""COMPUTED_VALUE"""),400.0)</f>
        <v>400</v>
      </c>
      <c r="D33" s="2" t="str">
        <f>IFERROR(__xludf.DUMMYFUNCTION("""COMPUTED_VALUE"""),"Kali Gandaki")</f>
        <v>Kali Gandaki</v>
      </c>
      <c r="E33" s="2">
        <f>IFERROR(__xludf.DUMMYFUNCTION("""COMPUTED_VALUE"""),167.0)</f>
        <v>167</v>
      </c>
      <c r="F33" s="2" t="str">
        <f>IFERROR(__xludf.DUMMYFUNCTION("""COMPUTED_VALUE"""),"2073-04-31")</f>
        <v>2073-04-31</v>
      </c>
      <c r="G33" s="3">
        <f>IFERROR(__xludf.DUMMYFUNCTION("""COMPUTED_VALUE"""),74265.0)</f>
        <v>74265</v>
      </c>
      <c r="H33" s="2" t="str">
        <f>IFERROR(__xludf.DUMMYFUNCTION("""COMPUTED_VALUE"""),"Ambeshwor Engineering Hydropower Pvt. Ltd.")</f>
        <v>Ambeshwor Engineering Hydropower Pvt. Ltd.</v>
      </c>
      <c r="I33" s="2" t="str">
        <f>IFERROR(__xludf.DUMMYFUNCTION("""COMPUTED_VALUE"""),"Jawalakhel, Lalitpur, 01-5000300, 5000075")</f>
        <v>Jawalakhel, Lalitpur, 01-5000300, 5000075</v>
      </c>
      <c r="J33" s="2" t="str">
        <f>IFERROR(__xludf.DUMMYFUNCTION("""COMPUTED_VALUE"""),"28o 36' 15""")</f>
        <v>28o 36' 15"</v>
      </c>
      <c r="K33" s="2" t="str">
        <f>IFERROR(__xludf.DUMMYFUNCTION("""COMPUTED_VALUE"""),"28o 42' 00""")</f>
        <v>28o 42' 00"</v>
      </c>
      <c r="L33" s="2" t="str">
        <f>IFERROR(__xludf.DUMMYFUNCTION("""COMPUTED_VALUE"""),"83o 35' 00""")</f>
        <v>83o 35' 00"</v>
      </c>
      <c r="M33" s="2" t="str">
        <f>IFERROR(__xludf.DUMMYFUNCTION("""COMPUTED_VALUE"""),"83o 40' 21""")</f>
        <v>83o 40' 21"</v>
      </c>
      <c r="N33" s="2" t="str">
        <f>IFERROR(__xludf.DUMMYFUNCTION("""COMPUTED_VALUE"""),"Kunjo,Kowang,Lete,Tukuche (Mustang)")</f>
        <v>Kunjo,Kowang,Lete,Tukuche (Mustang)</v>
      </c>
    </row>
    <row r="34">
      <c r="A34" s="2">
        <f>IFERROR(__xludf.DUMMYFUNCTION("""COMPUTED_VALUE"""),33.0)</f>
        <v>33</v>
      </c>
      <c r="B34" s="2" t="str">
        <f>IFERROR(__xludf.DUMMYFUNCTION("""COMPUTED_VALUE"""),"Sano Milti Khola SHP")</f>
        <v>Sano Milti Khola SHP</v>
      </c>
      <c r="C34" s="2">
        <f>IFERROR(__xludf.DUMMYFUNCTION("""COMPUTED_VALUE"""),3.0)</f>
        <v>3</v>
      </c>
      <c r="D34" s="2" t="str">
        <f>IFERROR(__xludf.DUMMYFUNCTION("""COMPUTED_VALUE"""),"Milti")</f>
        <v>Milti</v>
      </c>
      <c r="E34" s="2">
        <f>IFERROR(__xludf.DUMMYFUNCTION("""COMPUTED_VALUE"""),173.0)</f>
        <v>173</v>
      </c>
      <c r="F34" s="3">
        <f>IFERROR(__xludf.DUMMYFUNCTION("""COMPUTED_VALUE"""),63349.0)</f>
        <v>63349</v>
      </c>
      <c r="G34" s="3">
        <f>IFERROR(__xludf.DUMMYFUNCTION("""COMPUTED_VALUE"""),76131.0)</f>
        <v>76131</v>
      </c>
      <c r="H34" s="2" t="str">
        <f>IFERROR(__xludf.DUMMYFUNCTION("""COMPUTED_VALUE"""),"Sano Milti Khola Hydropower P.Ltd.")</f>
        <v>Sano Milti Khola Hydropower P.Ltd.</v>
      </c>
      <c r="I34" s="2" t="str">
        <f>IFERROR(__xludf.DUMMYFUNCTION("""COMPUTED_VALUE"""),"Bansbari, Kathmandu, Phone no 012298250, email : smkhl@gmail.com")</f>
        <v>Bansbari, Kathmandu, Phone no 012298250, email : smkhl@gmail.com</v>
      </c>
      <c r="J34" s="2" t="str">
        <f>IFERROR(__xludf.DUMMYFUNCTION("""COMPUTED_VALUE"""),"27o 29' 36""")</f>
        <v>27o 29' 36"</v>
      </c>
      <c r="K34" s="2" t="str">
        <f>IFERROR(__xludf.DUMMYFUNCTION("""COMPUTED_VALUE"""),"27o 30' 17""")</f>
        <v>27o 30' 17"</v>
      </c>
      <c r="L34" s="2" t="str">
        <f>IFERROR(__xludf.DUMMYFUNCTION("""COMPUTED_VALUE"""),"86o 03' 00""")</f>
        <v>86o 03' 00"</v>
      </c>
      <c r="M34" s="2" t="str">
        <f>IFERROR(__xludf.DUMMYFUNCTION("""COMPUTED_VALUE"""),"86o 04' 20""")</f>
        <v>86o 04' 20"</v>
      </c>
      <c r="N34" s="2" t="str">
        <f>IFERROR(__xludf.DUMMYFUNCTION("""COMPUTED_VALUE"""),"Dandakharka,Melung (Dolakha) Phulasi (Ramechhap)")</f>
        <v>Dandakharka,Melung (Dolakha) Phulasi (Ramechhap)</v>
      </c>
    </row>
    <row r="35">
      <c r="A35" s="2">
        <f>IFERROR(__xludf.DUMMYFUNCTION("""COMPUTED_VALUE"""),34.0)</f>
        <v>34</v>
      </c>
      <c r="B35" s="2" t="str">
        <f>IFERROR(__xludf.DUMMYFUNCTION("""COMPUTED_VALUE"""),"Upper Nyasim Khola")</f>
        <v>Upper Nyasim Khola</v>
      </c>
      <c r="C35" s="2">
        <f>IFERROR(__xludf.DUMMYFUNCTION("""COMPUTED_VALUE"""),43.0)</f>
        <v>43</v>
      </c>
      <c r="D35" s="2" t="str">
        <f>IFERROR(__xludf.DUMMYFUNCTION("""COMPUTED_VALUE"""),"Nyasem Khola")</f>
        <v>Nyasem Khola</v>
      </c>
      <c r="E35" s="2">
        <f>IFERROR(__xludf.DUMMYFUNCTION("""COMPUTED_VALUE"""),176.0)</f>
        <v>176</v>
      </c>
      <c r="F35" s="3">
        <f>IFERROR(__xludf.DUMMYFUNCTION("""COMPUTED_VALUE"""),63408.0)</f>
        <v>63408</v>
      </c>
      <c r="G35" s="3">
        <f>IFERROR(__xludf.DUMMYFUNCTION("""COMPUTED_VALUE"""),76190.0)</f>
        <v>76190</v>
      </c>
      <c r="H35" s="2" t="str">
        <f>IFERROR(__xludf.DUMMYFUNCTION("""COMPUTED_VALUE"""),"Sindhujwala Hydropower P. Ltd")</f>
        <v>Sindhujwala Hydropower P. Ltd</v>
      </c>
      <c r="I35" s="2" t="str">
        <f>IFERROR(__xludf.DUMMYFUNCTION("""COMPUTED_VALUE"""),"Anamnagar, Kathmandu, Phone no. 4245184, 4238575, 9851024845, Email: 
sindhujwalahydropower@gmail.com, arjunbandhuregmi@g")</f>
        <v>Anamnagar, Kathmandu, Phone no. 4245184, 4238575, 9851024845, Email: 
sindhujwalahydropower@gmail.com, arjunbandhuregmi@g</v>
      </c>
      <c r="J35" s="2" t="str">
        <f>IFERROR(__xludf.DUMMYFUNCTION("""COMPUTED_VALUE"""),"27o 59' 30""")</f>
        <v>27o 59' 30"</v>
      </c>
      <c r="K35" s="2" t="str">
        <f>IFERROR(__xludf.DUMMYFUNCTION("""COMPUTED_VALUE"""),"28o 01' 10""")</f>
        <v>28o 01' 10"</v>
      </c>
      <c r="L35" s="2" t="str">
        <f>IFERROR(__xludf.DUMMYFUNCTION("""COMPUTED_VALUE"""),"85o 49' 10""")</f>
        <v>85o 49' 10"</v>
      </c>
      <c r="M35" s="2" t="str">
        <f>IFERROR(__xludf.DUMMYFUNCTION("""COMPUTED_VALUE"""),"85o 50' 30""")</f>
        <v>85o 50' 30"</v>
      </c>
      <c r="N35" s="2" t="str">
        <f>IFERROR(__xludf.DUMMYFUNCTION("""COMPUTED_VALUE"""),"Gumba (Sindhupalchok)")</f>
        <v>Gumba (Sindhupalchok)</v>
      </c>
    </row>
    <row r="36">
      <c r="A36" s="2">
        <f>IFERROR(__xludf.DUMMYFUNCTION("""COMPUTED_VALUE"""),35.0)</f>
        <v>35</v>
      </c>
      <c r="B36" s="2" t="str">
        <f>IFERROR(__xludf.DUMMYFUNCTION("""COMPUTED_VALUE"""),"Ruru Banchu Khola- 2")</f>
        <v>Ruru Banchu Khola- 2</v>
      </c>
      <c r="C36" s="2">
        <f>IFERROR(__xludf.DUMMYFUNCTION("""COMPUTED_VALUE"""),12.0)</f>
        <v>12</v>
      </c>
      <c r="D36" s="2" t="str">
        <f>IFERROR(__xludf.DUMMYFUNCTION("""COMPUTED_VALUE"""),"Rurubanchu Khola")</f>
        <v>Rurubanchu Khola</v>
      </c>
      <c r="E36" s="2">
        <f>IFERROR(__xludf.DUMMYFUNCTION("""COMPUTED_VALUE"""),178.0)</f>
        <v>178</v>
      </c>
      <c r="F36" s="3">
        <f>IFERROR(__xludf.DUMMYFUNCTION("""COMPUTED_VALUE"""),63451.0)</f>
        <v>63451</v>
      </c>
      <c r="G36" s="3">
        <f>IFERROR(__xludf.DUMMYFUNCTION("""COMPUTED_VALUE"""),76233.0)</f>
        <v>76233</v>
      </c>
      <c r="H36" s="2" t="str">
        <f>IFERROR(__xludf.DUMMYFUNCTION("""COMPUTED_VALUE"""),"Ruru hydroelectric Co Pvt. Ltd")</f>
        <v>Ruru hydroelectric Co Pvt. Ltd</v>
      </c>
      <c r="I36" s="2" t="str">
        <f>IFERROR(__xludf.DUMMYFUNCTION("""COMPUTED_VALUE"""),"Kalanki Kathmandu, Phone no 4426472, 9751089755")</f>
        <v>Kalanki Kathmandu, Phone no 4426472, 9751089755</v>
      </c>
      <c r="J36" s="2" t="str">
        <f>IFERROR(__xludf.DUMMYFUNCTION("""COMPUTED_VALUE"""),"29o 05' 49""")</f>
        <v>29o 05' 49"</v>
      </c>
      <c r="K36" s="2" t="str">
        <f>IFERROR(__xludf.DUMMYFUNCTION("""COMPUTED_VALUE"""),"29o 06' 39""")</f>
        <v>29o 06' 39"</v>
      </c>
      <c r="L36" s="2" t="str">
        <f>IFERROR(__xludf.DUMMYFUNCTION("""COMPUTED_VALUE"""),"81o 44' 45""")</f>
        <v>81o 44' 45"</v>
      </c>
      <c r="M36" s="2" t="str">
        <f>IFERROR(__xludf.DUMMYFUNCTION("""COMPUTED_VALUE"""),"81o 45' 44""")</f>
        <v>81o 45' 44"</v>
      </c>
      <c r="N36" s="2" t="str">
        <f>IFERROR(__xludf.DUMMYFUNCTION("""COMPUTED_VALUE"""),"Gela,Chilkhaya (Kalikot)")</f>
        <v>Gela,Chilkhaya (Kalikot)</v>
      </c>
    </row>
    <row r="37">
      <c r="A37" s="2">
        <f>IFERROR(__xludf.DUMMYFUNCTION("""COMPUTED_VALUE"""),36.0)</f>
        <v>36</v>
      </c>
      <c r="B37" s="2" t="str">
        <f>IFERROR(__xludf.DUMMYFUNCTION("""COMPUTED_VALUE"""),"Khimti II")</f>
        <v>Khimti II</v>
      </c>
      <c r="C37" s="2">
        <f>IFERROR(__xludf.DUMMYFUNCTION("""COMPUTED_VALUE"""),48.8)</f>
        <v>48.8</v>
      </c>
      <c r="D37" s="2" t="str">
        <f>IFERROR(__xludf.DUMMYFUNCTION("""COMPUTED_VALUE"""),"Khimti Khola")</f>
        <v>Khimti Khola</v>
      </c>
      <c r="E37" s="2">
        <f>IFERROR(__xludf.DUMMYFUNCTION("""COMPUTED_VALUE"""),179.0)</f>
        <v>179</v>
      </c>
      <c r="F37" s="3">
        <f>IFERROR(__xludf.DUMMYFUNCTION("""COMPUTED_VALUE"""),63454.0)</f>
        <v>63454</v>
      </c>
      <c r="G37" s="3">
        <f>IFERROR(__xludf.DUMMYFUNCTION("""COMPUTED_VALUE"""),76236.0)</f>
        <v>76236</v>
      </c>
      <c r="H37" s="2" t="str">
        <f>IFERROR(__xludf.DUMMYFUNCTION("""COMPUTED_VALUE"""),"Peoples Hydro sahakari Sastha Limited")</f>
        <v>Peoples Hydro sahakari Sastha Limited</v>
      </c>
      <c r="I37" s="2" t="str">
        <f>IFERROR(__xludf.DUMMYFUNCTION("""COMPUTED_VALUE"""),"Shanti Nagar -34, Kathamandu, P.O.Box 10242, Phone 01-4781891, Fax 
01-4781891")</f>
        <v>Shanti Nagar -34, Kathamandu, P.O.Box 10242, Phone 01-4781891, Fax 
01-4781891</v>
      </c>
      <c r="J37" s="2" t="str">
        <f>IFERROR(__xludf.DUMMYFUNCTION("""COMPUTED_VALUE"""),"27o 33' 07""")</f>
        <v>27o 33' 07"</v>
      </c>
      <c r="K37" s="2" t="str">
        <f>IFERROR(__xludf.DUMMYFUNCTION("""COMPUTED_VALUE"""),"27o 35' 13""")</f>
        <v>27o 35' 13"</v>
      </c>
      <c r="L37" s="2" t="str">
        <f>IFERROR(__xludf.DUMMYFUNCTION("""COMPUTED_VALUE"""),"86o 10' 00""")</f>
        <v>86o 10' 00"</v>
      </c>
      <c r="M37" s="2" t="str">
        <f>IFERROR(__xludf.DUMMYFUNCTION("""COMPUTED_VALUE"""),"86o 13' 50""")</f>
        <v>86o 13' 50"</v>
      </c>
      <c r="N37" s="2" t="str">
        <f>IFERROR(__xludf.DUMMYFUNCTION("""COMPUTED_VALUE"""),"Chyama (Dolakha) Betali,Rasanalu (Ramechhap)")</f>
        <v>Chyama (Dolakha) Betali,Rasanalu (Ramechhap)</v>
      </c>
    </row>
    <row r="38">
      <c r="A38" s="2">
        <f>IFERROR(__xludf.DUMMYFUNCTION("""COMPUTED_VALUE"""),37.0)</f>
        <v>37</v>
      </c>
      <c r="B38" s="2" t="str">
        <f>IFERROR(__xludf.DUMMYFUNCTION("""COMPUTED_VALUE"""),"Upper Lapche Khola")</f>
        <v>Upper Lapche Khola</v>
      </c>
      <c r="C38" s="2">
        <f>IFERROR(__xludf.DUMMYFUNCTION("""COMPUTED_VALUE"""),52.0)</f>
        <v>52</v>
      </c>
      <c r="D38" s="2" t="str">
        <f>IFERROR(__xludf.DUMMYFUNCTION("""COMPUTED_VALUE"""),"Lapche")</f>
        <v>Lapche</v>
      </c>
      <c r="E38" s="2">
        <f>IFERROR(__xludf.DUMMYFUNCTION("""COMPUTED_VALUE"""),182.0)</f>
        <v>182</v>
      </c>
      <c r="F38" s="3">
        <f>IFERROR(__xludf.DUMMYFUNCTION("""COMPUTED_VALUE"""),63483.0)</f>
        <v>63483</v>
      </c>
      <c r="G38" s="3">
        <f>IFERROR(__xludf.DUMMYFUNCTION("""COMPUTED_VALUE"""),76265.0)</f>
        <v>76265</v>
      </c>
      <c r="H38" s="2" t="str">
        <f>IFERROR(__xludf.DUMMYFUNCTION("""COMPUTED_VALUE"""),"Energy Venture Pvt. Ltd.")</f>
        <v>Energy Venture Pvt. Ltd.</v>
      </c>
      <c r="I38" s="2" t="str">
        <f>IFERROR(__xludf.DUMMYFUNCTION("""COMPUTED_VALUE"""),"New Baneswor Kathmandu, GPO Box: 6870, Phone 9851025737, 4115573, 4115900")</f>
        <v>New Baneswor Kathmandu, GPO Box: 6870, Phone 9851025737, 4115573, 4115900</v>
      </c>
      <c r="J38" s="2" t="str">
        <f>IFERROR(__xludf.DUMMYFUNCTION("""COMPUTED_VALUE"""),"28o 03' 00""")</f>
        <v>28o 03' 00"</v>
      </c>
      <c r="K38" s="2" t="str">
        <f>IFERROR(__xludf.DUMMYFUNCTION("""COMPUTED_VALUE"""),"28o 06' 55""")</f>
        <v>28o 06' 55"</v>
      </c>
      <c r="L38" s="2" t="str">
        <f>IFERROR(__xludf.DUMMYFUNCTION("""COMPUTED_VALUE"""),"86o 08' 44""")</f>
        <v>86o 08' 44"</v>
      </c>
      <c r="M38" s="2" t="str">
        <f>IFERROR(__xludf.DUMMYFUNCTION("""COMPUTED_VALUE"""),"86o 11' 45""")</f>
        <v>86o 11' 45"</v>
      </c>
      <c r="N38" s="2" t="str">
        <f>IFERROR(__xludf.DUMMYFUNCTION("""COMPUTED_VALUE"""),"Lamabagar (Dolakha)")</f>
        <v>Lamabagar (Dolakha)</v>
      </c>
    </row>
    <row r="39">
      <c r="A39" s="2">
        <f>IFERROR(__xludf.DUMMYFUNCTION("""COMPUTED_VALUE"""),38.0)</f>
        <v>38</v>
      </c>
      <c r="B39" s="2" t="str">
        <f>IFERROR(__xludf.DUMMYFUNCTION("""COMPUTED_VALUE"""),"Daram Khola HEP")</f>
        <v>Daram Khola HEP</v>
      </c>
      <c r="C39" s="2">
        <f>IFERROR(__xludf.DUMMYFUNCTION("""COMPUTED_VALUE"""),9.6)</f>
        <v>9.6</v>
      </c>
      <c r="D39" s="2" t="str">
        <f>IFERROR(__xludf.DUMMYFUNCTION("""COMPUTED_VALUE"""),"Daram")</f>
        <v>Daram</v>
      </c>
      <c r="E39" s="2">
        <f>IFERROR(__xludf.DUMMYFUNCTION("""COMPUTED_VALUE"""),183.0)</f>
        <v>183</v>
      </c>
      <c r="F39" s="3">
        <f>IFERROR(__xludf.DUMMYFUNCTION("""COMPUTED_VALUE"""),63485.0)</f>
        <v>63485</v>
      </c>
      <c r="G39" s="3">
        <f>IFERROR(__xludf.DUMMYFUNCTION("""COMPUTED_VALUE"""),76632.0)</f>
        <v>76632</v>
      </c>
      <c r="H39" s="2" t="str">
        <f>IFERROR(__xludf.DUMMYFUNCTION("""COMPUTED_VALUE"""),"Daram Khola Hydro Energy Limited")</f>
        <v>Daram Khola Hydro Energy Limited</v>
      </c>
      <c r="I39" s="2" t="str">
        <f>IFERROR(__xludf.DUMMYFUNCTION("""COMPUTED_VALUE"""),"Baglung, Nepal Phone: 9851012086, 9857622240, 068-690939, email : 
daramkholahydroenergy@gmail.com")</f>
        <v>Baglung, Nepal Phone: 9851012086, 9857622240, 068-690939, email : 
daramkholahydroenergy@gmail.com</v>
      </c>
      <c r="J39" s="2" t="str">
        <f>IFERROR(__xludf.DUMMYFUNCTION("""COMPUTED_VALUE"""),"28o 11' 00""")</f>
        <v>28o 11' 00"</v>
      </c>
      <c r="K39" s="2" t="str">
        <f>IFERROR(__xludf.DUMMYFUNCTION("""COMPUTED_VALUE"""),"28o 12' 30""")</f>
        <v>28o 12' 30"</v>
      </c>
      <c r="L39" s="2" t="str">
        <f>IFERROR(__xludf.DUMMYFUNCTION("""COMPUTED_VALUE"""),"83o 19' 00""")</f>
        <v>83o 19' 00"</v>
      </c>
      <c r="M39" s="2" t="str">
        <f>IFERROR(__xludf.DUMMYFUNCTION("""COMPUTED_VALUE"""),"83o 21' 26""")</f>
        <v>83o 21' 26"</v>
      </c>
      <c r="N39" s="2" t="str">
        <f>IFERROR(__xludf.DUMMYFUNCTION("""COMPUTED_VALUE"""),"Malm,Righa,Kandebas (Baglung) Arlangkot (Gulmi)")</f>
        <v>Malm,Righa,Kandebas (Baglung) Arlangkot (Gulmi)</v>
      </c>
    </row>
    <row r="40">
      <c r="A40" s="2">
        <f>IFERROR(__xludf.DUMMYFUNCTION("""COMPUTED_VALUE"""),39.0)</f>
        <v>39</v>
      </c>
      <c r="B40" s="2" t="str">
        <f>IFERROR(__xludf.DUMMYFUNCTION("""COMPUTED_VALUE"""),"Ankhu Khola")</f>
        <v>Ankhu Khola</v>
      </c>
      <c r="C40" s="2">
        <f>IFERROR(__xludf.DUMMYFUNCTION("""COMPUTED_VALUE"""),42.9)</f>
        <v>42.9</v>
      </c>
      <c r="D40" s="2" t="str">
        <f>IFERROR(__xludf.DUMMYFUNCTION("""COMPUTED_VALUE"""),"Ankhu Khola")</f>
        <v>Ankhu Khola</v>
      </c>
      <c r="E40" s="2">
        <f>IFERROR(__xludf.DUMMYFUNCTION("""COMPUTED_VALUE"""),184.0)</f>
        <v>184</v>
      </c>
      <c r="F40" s="3">
        <f>IFERROR(__xludf.DUMMYFUNCTION("""COMPUTED_VALUE"""),63489.0)</f>
        <v>63489</v>
      </c>
      <c r="G40" s="3">
        <f>IFERROR(__xludf.DUMMYFUNCTION("""COMPUTED_VALUE"""),76636.0)</f>
        <v>76636</v>
      </c>
      <c r="H40" s="2" t="str">
        <f>IFERROR(__xludf.DUMMYFUNCTION("""COMPUTED_VALUE"""),"Ankhu Hydropower Pvt. Ltd")</f>
        <v>Ankhu Hydropower Pvt. Ltd</v>
      </c>
      <c r="I40" s="2" t="str">
        <f>IFERROR(__xludf.DUMMYFUNCTION("""COMPUTED_VALUE"""),"P.O. Box 19554, Kathmandu, Nepal, Phone no 4033752, 4033753, email: 
ankhuhp@gmail.com")</f>
        <v>P.O. Box 19554, Kathmandu, Nepal, Phone no 4033752, 4033753, email: 
ankhuhp@gmail.com</v>
      </c>
      <c r="J40" s="2" t="str">
        <f>IFERROR(__xludf.DUMMYFUNCTION("""COMPUTED_VALUE"""),"28o 04' 00""")</f>
        <v>28o 04' 00"</v>
      </c>
      <c r="K40" s="2" t="str">
        <f>IFERROR(__xludf.DUMMYFUNCTION("""COMPUTED_VALUE"""),"28o 07' 00""")</f>
        <v>28o 07' 00"</v>
      </c>
      <c r="L40" s="2" t="str">
        <f>IFERROR(__xludf.DUMMYFUNCTION("""COMPUTED_VALUE"""),"84o 58' 50""")</f>
        <v>84o 58' 50"</v>
      </c>
      <c r="M40" s="2" t="str">
        <f>IFERROR(__xludf.DUMMYFUNCTION("""COMPUTED_VALUE"""),"85o 01' 04""")</f>
        <v>85o 01' 04"</v>
      </c>
      <c r="N40" s="2" t="str">
        <f>IFERROR(__xludf.DUMMYFUNCTION("""COMPUTED_VALUE"""),"Darkha,Gumdi,Jharlang,Ree (Dhading)")</f>
        <v>Darkha,Gumdi,Jharlang,Ree (Dhading)</v>
      </c>
    </row>
    <row r="41">
      <c r="A41" s="2">
        <f>IFERROR(__xludf.DUMMYFUNCTION("""COMPUTED_VALUE"""),40.0)</f>
        <v>40</v>
      </c>
      <c r="B41" s="2" t="str">
        <f>IFERROR(__xludf.DUMMYFUNCTION("""COMPUTED_VALUE"""),"Sabha Khola-B HPP")</f>
        <v>Sabha Khola-B HPP</v>
      </c>
      <c r="C41" s="2">
        <f>IFERROR(__xludf.DUMMYFUNCTION("""COMPUTED_VALUE"""),15.1)</f>
        <v>15.1</v>
      </c>
      <c r="D41" s="2" t="str">
        <f>IFERROR(__xludf.DUMMYFUNCTION("""COMPUTED_VALUE"""),"Sabha Khola")</f>
        <v>Sabha Khola</v>
      </c>
      <c r="E41" s="2">
        <f>IFERROR(__xludf.DUMMYFUNCTION("""COMPUTED_VALUE"""),187.0)</f>
        <v>187</v>
      </c>
      <c r="F41" s="3">
        <f>IFERROR(__xludf.DUMMYFUNCTION("""COMPUTED_VALUE"""),63523.0)</f>
        <v>63523</v>
      </c>
      <c r="G41" s="3">
        <f>IFERROR(__xludf.DUMMYFUNCTION("""COMPUTED_VALUE"""),76305.0)</f>
        <v>76305</v>
      </c>
      <c r="H41" s="2" t="str">
        <f>IFERROR(__xludf.DUMMYFUNCTION("""COMPUTED_VALUE"""),"Arbit Energy P Ltd")</f>
        <v>Arbit Energy P Ltd</v>
      </c>
      <c r="I41" s="2" t="str">
        <f>IFERROR(__xludf.DUMMYFUNCTION("""COMPUTED_VALUE"""),"Dillibazar Kathmandu, Phone no 4438203, Email: pokhydropower@gmail.com")</f>
        <v>Dillibazar Kathmandu, Phone no 4438203, Email: pokhydropower@gmail.com</v>
      </c>
      <c r="J41" s="2" t="str">
        <f>IFERROR(__xludf.DUMMYFUNCTION("""COMPUTED_VALUE"""),"27o 25' 28""")</f>
        <v>27o 25' 28"</v>
      </c>
      <c r="K41" s="2" t="str">
        <f>IFERROR(__xludf.DUMMYFUNCTION("""COMPUTED_VALUE"""),"27o 26' 06""")</f>
        <v>27o 26' 06"</v>
      </c>
      <c r="L41" s="2" t="str">
        <f>IFERROR(__xludf.DUMMYFUNCTION("""COMPUTED_VALUE"""),"87o 19' 58""")</f>
        <v>87o 19' 58"</v>
      </c>
      <c r="M41" s="2" t="str">
        <f>IFERROR(__xludf.DUMMYFUNCTION("""COMPUTED_VALUE"""),"87o 22' 26""")</f>
        <v>87o 22' 26"</v>
      </c>
      <c r="N41" s="2" t="str">
        <f>IFERROR(__xludf.DUMMYFUNCTION("""COMPUTED_VALUE"""),"Sabha Pokhari (Sankhuwasabha)")</f>
        <v>Sabha Pokhari (Sankhuwasabha)</v>
      </c>
    </row>
    <row r="42">
      <c r="A42" s="2">
        <f>IFERROR(__xludf.DUMMYFUNCTION("""COMPUTED_VALUE"""),41.0)</f>
        <v>41</v>
      </c>
      <c r="B42" s="2" t="str">
        <f>IFERROR(__xludf.DUMMYFUNCTION("""COMPUTED_VALUE"""),"Middle Tara Khola SHP")</f>
        <v>Middle Tara Khola SHP</v>
      </c>
      <c r="C42" s="2">
        <f>IFERROR(__xludf.DUMMYFUNCTION("""COMPUTED_VALUE"""),1.7)</f>
        <v>1.7</v>
      </c>
      <c r="D42" s="2" t="str">
        <f>IFERROR(__xludf.DUMMYFUNCTION("""COMPUTED_VALUE"""),"Tara Khola")</f>
        <v>Tara Khola</v>
      </c>
      <c r="E42" s="2">
        <f>IFERROR(__xludf.DUMMYFUNCTION("""COMPUTED_VALUE"""),190.0)</f>
        <v>190</v>
      </c>
      <c r="F42" s="3">
        <f>IFERROR(__xludf.DUMMYFUNCTION("""COMPUTED_VALUE"""),63536.0)</f>
        <v>63536</v>
      </c>
      <c r="G42" s="3">
        <f>IFERROR(__xludf.DUMMYFUNCTION("""COMPUTED_VALUE"""),76683.0)</f>
        <v>76683</v>
      </c>
      <c r="H42" s="2" t="str">
        <f>IFERROR(__xludf.DUMMYFUNCTION("""COMPUTED_VALUE"""),"Madhya Tarakhola Hydropower Pvt. Ltd.")</f>
        <v>Madhya Tarakhola Hydropower Pvt. Ltd.</v>
      </c>
      <c r="I42" s="2" t="str">
        <f>IFERROR(__xludf.DUMMYFUNCTION("""COMPUTED_VALUE"""),"Baglung-2, Phone No. : 068-520221, 9747628615")</f>
        <v>Baglung-2, Phone No. : 068-520221, 9747628615</v>
      </c>
      <c r="J42" s="2" t="str">
        <f>IFERROR(__xludf.DUMMYFUNCTION("""COMPUTED_VALUE"""),"28o 19' 11""")</f>
        <v>28o 19' 11"</v>
      </c>
      <c r="K42" s="2" t="str">
        <f>IFERROR(__xludf.DUMMYFUNCTION("""COMPUTED_VALUE"""),"28o 19' 44""")</f>
        <v>28o 19' 44"</v>
      </c>
      <c r="L42" s="2" t="str">
        <f>IFERROR(__xludf.DUMMYFUNCTION("""COMPUTED_VALUE"""),"83o 22' 59""")</f>
        <v>83o 22' 59"</v>
      </c>
      <c r="M42" s="2" t="str">
        <f>IFERROR(__xludf.DUMMYFUNCTION("""COMPUTED_VALUE"""),"83o 24' 15""")</f>
        <v>83o 24' 15"</v>
      </c>
      <c r="N42" s="2" t="str">
        <f>IFERROR(__xludf.DUMMYFUNCTION("""COMPUTED_VALUE"""),"Tara (Baglung)")</f>
        <v>Tara (Baglung)</v>
      </c>
    </row>
    <row r="43">
      <c r="A43" s="2">
        <f>IFERROR(__xludf.DUMMYFUNCTION("""COMPUTED_VALUE"""),42.0)</f>
        <v>42</v>
      </c>
      <c r="B43" s="2" t="str">
        <f>IFERROR(__xludf.DUMMYFUNCTION("""COMPUTED_VALUE"""),"Upper Chauri Khola")</f>
        <v>Upper Chauri Khola</v>
      </c>
      <c r="C43" s="2">
        <f>IFERROR(__xludf.DUMMYFUNCTION("""COMPUTED_VALUE"""),6.0)</f>
        <v>6</v>
      </c>
      <c r="D43" s="2" t="str">
        <f>IFERROR(__xludf.DUMMYFUNCTION("""COMPUTED_VALUE"""),"Chauri")</f>
        <v>Chauri</v>
      </c>
      <c r="E43" s="2">
        <f>IFERROR(__xludf.DUMMYFUNCTION("""COMPUTED_VALUE"""),194.0)</f>
        <v>194</v>
      </c>
      <c r="F43" s="3">
        <f>IFERROR(__xludf.DUMMYFUNCTION("""COMPUTED_VALUE"""),63583.0)</f>
        <v>63583</v>
      </c>
      <c r="G43" s="3">
        <f>IFERROR(__xludf.DUMMYFUNCTION("""COMPUTED_VALUE"""),76365.0)</f>
        <v>76365</v>
      </c>
      <c r="H43" s="2" t="str">
        <f>IFERROR(__xludf.DUMMYFUNCTION("""COMPUTED_VALUE"""),"Himalayan Water Resources &amp; Energy Development Co. P. Ltd")</f>
        <v>Himalayan Water Resources &amp; Energy Development Co. P. Ltd</v>
      </c>
      <c r="I43" s="2" t="str">
        <f>IFERROR(__xludf.DUMMYFUNCTION("""COMPUTED_VALUE"""),"P.O. Box:2919, Tel: 4477000, 4153055, 984382339, email: 
ghisingbuilders2049@gmail.com")</f>
        <v>P.O. Box:2919, Tel: 4477000, 4153055, 984382339, email: 
ghisingbuilders2049@gmail.com</v>
      </c>
      <c r="J43" s="2" t="str">
        <f>IFERROR(__xludf.DUMMYFUNCTION("""COMPUTED_VALUE"""),"27o 34' 18""")</f>
        <v>27o 34' 18"</v>
      </c>
      <c r="K43" s="2" t="str">
        <f>IFERROR(__xludf.DUMMYFUNCTION("""COMPUTED_VALUE"""),"27o 35' 55""")</f>
        <v>27o 35' 55"</v>
      </c>
      <c r="L43" s="2" t="str">
        <f>IFERROR(__xludf.DUMMYFUNCTION("""COMPUTED_VALUE"""),"85o 50' 05""")</f>
        <v>85o 50' 05"</v>
      </c>
      <c r="M43" s="2" t="str">
        <f>IFERROR(__xludf.DUMMYFUNCTION("""COMPUTED_VALUE"""),"85o 51' 49""")</f>
        <v>85o 51' 49"</v>
      </c>
      <c r="N43" s="2" t="str">
        <f>IFERROR(__xludf.DUMMYFUNCTION("""COMPUTED_VALUE"""),"(Kabhrepalanchok)")</f>
        <v>(Kabhrepalanchok)</v>
      </c>
    </row>
    <row r="44">
      <c r="A44" s="2">
        <f>IFERROR(__xludf.DUMMYFUNCTION("""COMPUTED_VALUE"""),43.0)</f>
        <v>43</v>
      </c>
      <c r="B44" s="2" t="str">
        <f>IFERROR(__xludf.DUMMYFUNCTION("""COMPUTED_VALUE"""),"Tamakoshi V")</f>
        <v>Tamakoshi V</v>
      </c>
      <c r="C44" s="2">
        <f>IFERROR(__xludf.DUMMYFUNCTION("""COMPUTED_VALUE"""),99.8)</f>
        <v>99.8</v>
      </c>
      <c r="D44" s="2" t="str">
        <f>IFERROR(__xludf.DUMMYFUNCTION("""COMPUTED_VALUE"""),"Tama Koshi")</f>
        <v>Tama Koshi</v>
      </c>
      <c r="E44" s="2">
        <f>IFERROR(__xludf.DUMMYFUNCTION("""COMPUTED_VALUE"""),193.0)</f>
        <v>193</v>
      </c>
      <c r="F44" s="3">
        <f>IFERROR(__xludf.DUMMYFUNCTION("""COMPUTED_VALUE"""),63594.0)</f>
        <v>63594</v>
      </c>
      <c r="G44" s="3">
        <f>IFERROR(__xludf.DUMMYFUNCTION("""COMPUTED_VALUE"""),76376.0)</f>
        <v>76376</v>
      </c>
      <c r="H44" s="2" t="str">
        <f>IFERROR(__xludf.DUMMYFUNCTION("""COMPUTED_VALUE"""),"Tamakoshi hydropower Company Ltd.")</f>
        <v>Tamakoshi hydropower Company Ltd.</v>
      </c>
      <c r="I44" s="2" t="str">
        <f>IFERROR(__xludf.DUMMYFUNCTION("""COMPUTED_VALUE"""),"Durbar Marg , Kathmandu")</f>
        <v>Durbar Marg , Kathmandu</v>
      </c>
      <c r="J44" s="2" t="str">
        <f>IFERROR(__xludf.DUMMYFUNCTION("""COMPUTED_VALUE"""),"27o 45' 00""")</f>
        <v>27o 45' 00"</v>
      </c>
      <c r="K44" s="2" t="str">
        <f>IFERROR(__xludf.DUMMYFUNCTION("""COMPUTED_VALUE"""),"27o 49' 50""")</f>
        <v>27o 49' 50"</v>
      </c>
      <c r="L44" s="2" t="str">
        <f>IFERROR(__xludf.DUMMYFUNCTION("""COMPUTED_VALUE"""),"86o 10' 30""")</f>
        <v>86o 10' 30"</v>
      </c>
      <c r="M44" s="2" t="str">
        <f>IFERROR(__xludf.DUMMYFUNCTION("""COMPUTED_VALUE"""),"86o 14' 30""")</f>
        <v>86o 14' 30"</v>
      </c>
      <c r="N44" s="2" t="str">
        <f>IFERROR(__xludf.DUMMYFUNCTION("""COMPUTED_VALUE"""),"Lamabagar,Orang,Bulung,Laduk,Gauri Sankar (Dolakha)")</f>
        <v>Lamabagar,Orang,Bulung,Laduk,Gauri Sankar (Dolakha)</v>
      </c>
    </row>
    <row r="45">
      <c r="A45" s="2">
        <f>IFERROR(__xludf.DUMMYFUNCTION("""COMPUTED_VALUE"""),44.0)</f>
        <v>44</v>
      </c>
      <c r="B45" s="2" t="str">
        <f>IFERROR(__xludf.DUMMYFUNCTION("""COMPUTED_VALUE"""),"Lower Chirkhuwa")</f>
        <v>Lower Chirkhuwa</v>
      </c>
      <c r="C45" s="2">
        <f>IFERROR(__xludf.DUMMYFUNCTION("""COMPUTED_VALUE"""),4.06)</f>
        <v>4.06</v>
      </c>
      <c r="D45" s="2" t="str">
        <f>IFERROR(__xludf.DUMMYFUNCTION("""COMPUTED_VALUE"""),"Chirkhuwa")</f>
        <v>Chirkhuwa</v>
      </c>
      <c r="E45" s="2">
        <f>IFERROR(__xludf.DUMMYFUNCTION("""COMPUTED_VALUE"""),196.0)</f>
        <v>196</v>
      </c>
      <c r="F45" s="3">
        <f>IFERROR(__xludf.DUMMYFUNCTION("""COMPUTED_VALUE"""),63607.0)</f>
        <v>63607</v>
      </c>
      <c r="G45" s="3">
        <f>IFERROR(__xludf.DUMMYFUNCTION("""COMPUTED_VALUE"""),76389.0)</f>
        <v>76389</v>
      </c>
      <c r="H45" s="2" t="str">
        <f>IFERROR(__xludf.DUMMYFUNCTION("""COMPUTED_VALUE"""),"L.C. Energy Pvt. Ltd.")</f>
        <v>L.C. Energy Pvt. Ltd.</v>
      </c>
      <c r="I45" s="2" t="str">
        <f>IFERROR(__xludf.DUMMYFUNCTION("""COMPUTED_VALUE"""),"Jadibuti, Narephant, KMC-32, 01-5149162, 9851064932, lcenergy19@gmail.com")</f>
        <v>Jadibuti, Narephant, KMC-32, 01-5149162, 9851064932, lcenergy19@gmail.com</v>
      </c>
      <c r="J45" s="2" t="str">
        <f>IFERROR(__xludf.DUMMYFUNCTION("""COMPUTED_VALUE"""),"27o 22' 00""")</f>
        <v>27o 22' 00"</v>
      </c>
      <c r="K45" s="2" t="str">
        <f>IFERROR(__xludf.DUMMYFUNCTION("""COMPUTED_VALUE"""),"27o 23' 31""")</f>
        <v>27o 23' 31"</v>
      </c>
      <c r="L45" s="2" t="str">
        <f>IFERROR(__xludf.DUMMYFUNCTION("""COMPUTED_VALUE"""),"87o 06' 32""")</f>
        <v>87o 06' 32"</v>
      </c>
      <c r="M45" s="2" t="str">
        <f>IFERROR(__xludf.DUMMYFUNCTION("""COMPUTED_VALUE"""),"87o 08' 30""")</f>
        <v>87o 08' 30"</v>
      </c>
      <c r="N45" s="2" t="str">
        <f>IFERROR(__xludf.DUMMYFUNCTION("""COMPUTED_VALUE"""),"Mulpani,Nepaledada (Bhojpur)")</f>
        <v>Mulpani,Nepaledada (Bhojpur)</v>
      </c>
    </row>
    <row r="46">
      <c r="A46" s="2">
        <f>IFERROR(__xludf.DUMMYFUNCTION("""COMPUTED_VALUE"""),45.0)</f>
        <v>45</v>
      </c>
      <c r="B46" s="2" t="str">
        <f>IFERROR(__xludf.DUMMYFUNCTION("""COMPUTED_VALUE"""),"Super Nyadi Hydropower Project")</f>
        <v>Super Nyadi Hydropower Project</v>
      </c>
      <c r="C46" s="2">
        <f>IFERROR(__xludf.DUMMYFUNCTION("""COMPUTED_VALUE"""),40.27)</f>
        <v>40.27</v>
      </c>
      <c r="D46" s="2" t="str">
        <f>IFERROR(__xludf.DUMMYFUNCTION("""COMPUTED_VALUE"""),"Nyadi")</f>
        <v>Nyadi</v>
      </c>
      <c r="E46" s="2">
        <f>IFERROR(__xludf.DUMMYFUNCTION("""COMPUTED_VALUE"""),204.0)</f>
        <v>204</v>
      </c>
      <c r="F46" s="3">
        <f>IFERROR(__xludf.DUMMYFUNCTION("""COMPUTED_VALUE"""),63688.0)</f>
        <v>63688</v>
      </c>
      <c r="G46" s="3">
        <f>IFERROR(__xludf.DUMMYFUNCTION("""COMPUTED_VALUE"""),76470.0)</f>
        <v>76470</v>
      </c>
      <c r="H46" s="2" t="str">
        <f>IFERROR(__xludf.DUMMYFUNCTION("""COMPUTED_VALUE"""),"Siuri Nyadi Power Ltd")</f>
        <v>Siuri Nyadi Power Ltd</v>
      </c>
      <c r="I46" s="2" t="str">
        <f>IFERROR(__xludf.DUMMYFUNCTION("""COMPUTED_VALUE"""),"GPO Box no 14165, Anamnagar Kathmandu, Tel 4223608, 4238159, email: 
supernyadi@siurihydro.com")</f>
        <v>GPO Box no 14165, Anamnagar Kathmandu, Tel 4223608, 4238159, email: 
supernyadi@siurihydro.com</v>
      </c>
      <c r="J46" s="2" t="str">
        <f>IFERROR(__xludf.DUMMYFUNCTION("""COMPUTED_VALUE"""),"28o 21' 09""")</f>
        <v>28o 21' 09"</v>
      </c>
      <c r="K46" s="2" t="str">
        <f>IFERROR(__xludf.DUMMYFUNCTION("""COMPUTED_VALUE"""),"28o 24' 23""")</f>
        <v>28o 24' 23"</v>
      </c>
      <c r="L46" s="2" t="str">
        <f>IFERROR(__xludf.DUMMYFUNCTION("""COMPUTED_VALUE"""),"84o 26' 57""")</f>
        <v>84o 26' 57"</v>
      </c>
      <c r="M46" s="2" t="str">
        <f>IFERROR(__xludf.DUMMYFUNCTION("""COMPUTED_VALUE"""),"84o 30' 18""")</f>
        <v>84o 30' 18"</v>
      </c>
      <c r="N46" s="2" t="str">
        <f>IFERROR(__xludf.DUMMYFUNCTION("""COMPUTED_VALUE"""),"Bahundada,Bhulbhule (Lamjung)")</f>
        <v>Bahundada,Bhulbhule (Lamjung)</v>
      </c>
    </row>
    <row r="47">
      <c r="A47" s="2">
        <f>IFERROR(__xludf.DUMMYFUNCTION("""COMPUTED_VALUE"""),46.0)</f>
        <v>46</v>
      </c>
      <c r="B47" s="2" t="str">
        <f>IFERROR(__xludf.DUMMYFUNCTION("""COMPUTED_VALUE"""),"Marsyangdi Besi")</f>
        <v>Marsyangdi Besi</v>
      </c>
      <c r="C47" s="2">
        <f>IFERROR(__xludf.DUMMYFUNCTION("""COMPUTED_VALUE"""),50.0)</f>
        <v>50</v>
      </c>
      <c r="D47" s="2" t="str">
        <f>IFERROR(__xludf.DUMMYFUNCTION("""COMPUTED_VALUE"""),"Marsyangdi")</f>
        <v>Marsyangdi</v>
      </c>
      <c r="E47" s="2">
        <f>IFERROR(__xludf.DUMMYFUNCTION("""COMPUTED_VALUE"""),206.0)</f>
        <v>206</v>
      </c>
      <c r="F47" s="3">
        <f>IFERROR(__xludf.DUMMYFUNCTION("""COMPUTED_VALUE"""),63706.0)</f>
        <v>63706</v>
      </c>
      <c r="G47" s="3">
        <f>IFERROR(__xludf.DUMMYFUNCTION("""COMPUTED_VALUE"""),76488.0)</f>
        <v>76488</v>
      </c>
      <c r="H47" s="2" t="str">
        <f>IFERROR(__xludf.DUMMYFUNCTION("""COMPUTED_VALUE"""),"Divyajyoti Hydropower Ltd.")</f>
        <v>Divyajyoti Hydropower Ltd.</v>
      </c>
      <c r="I47" s="2" t="str">
        <f>IFERROR(__xludf.DUMMYFUNCTION("""COMPUTED_VALUE"""),"4th Floor Trade Tower, Thapathali, Kathmandu, 
01-5111093,info@divyajyotihydro.com")</f>
        <v>4th Floor Trade Tower, Thapathali, Kathmandu, 
01-5111093,info@divyajyotihydro.com</v>
      </c>
      <c r="J47" s="2" t="str">
        <f>IFERROR(__xludf.DUMMYFUNCTION("""COMPUTED_VALUE"""),"28o 12' 00""")</f>
        <v>28o 12' 00"</v>
      </c>
      <c r="K47" s="2" t="str">
        <f>IFERROR(__xludf.DUMMYFUNCTION("""COMPUTED_VALUE"""),"28o 16' 00""")</f>
        <v>28o 16' 00"</v>
      </c>
      <c r="L47" s="2" t="str">
        <f>IFERROR(__xludf.DUMMYFUNCTION("""COMPUTED_VALUE"""),"84o 21' 15""")</f>
        <v>84o 21' 15"</v>
      </c>
      <c r="M47" s="2" t="str">
        <f>IFERROR(__xludf.DUMMYFUNCTION("""COMPUTED_VALUE"""),"84o 24' 40""")</f>
        <v>84o 24' 40"</v>
      </c>
      <c r="N47" s="2" t="str">
        <f>IFERROR(__xludf.DUMMYFUNCTION("""COMPUTED_VALUE"""),"Besisahar,Chandisthan,Bhulbhule,Gaunsahar,Bajhakhet,Hiletaxar (Lamjung)")</f>
        <v>Besisahar,Chandisthan,Bhulbhule,Gaunsahar,Bajhakhet,Hiletaxar (Lamjung)</v>
      </c>
    </row>
    <row r="48">
      <c r="A48" s="2">
        <f>IFERROR(__xludf.DUMMYFUNCTION("""COMPUTED_VALUE"""),47.0)</f>
        <v>47</v>
      </c>
      <c r="B48" s="2" t="str">
        <f>IFERROR(__xludf.DUMMYFUNCTION("""COMPUTED_VALUE"""),"Lower Selang Khola")</f>
        <v>Lower Selang Khola</v>
      </c>
      <c r="C48" s="2">
        <f>IFERROR(__xludf.DUMMYFUNCTION("""COMPUTED_VALUE"""),1.475)</f>
        <v>1.475</v>
      </c>
      <c r="D48" s="2" t="str">
        <f>IFERROR(__xludf.DUMMYFUNCTION("""COMPUTED_VALUE"""),"Selang")</f>
        <v>Selang</v>
      </c>
      <c r="E48" s="2">
        <f>IFERROR(__xludf.DUMMYFUNCTION("""COMPUTED_VALUE"""),208.0)</f>
        <v>208</v>
      </c>
      <c r="F48" s="3">
        <f>IFERROR(__xludf.DUMMYFUNCTION("""COMPUTED_VALUE"""),63734.0)</f>
        <v>63734</v>
      </c>
      <c r="G48" s="3">
        <f>IFERROR(__xludf.DUMMYFUNCTION("""COMPUTED_VALUE"""),76516.0)</f>
        <v>76516</v>
      </c>
      <c r="H48" s="2" t="str">
        <f>IFERROR(__xludf.DUMMYFUNCTION("""COMPUTED_VALUE"""),"Sewa Hydro Limited")</f>
        <v>Sewa Hydro Limited</v>
      </c>
      <c r="I48" s="2" t="str">
        <f>IFERROR(__xludf.DUMMYFUNCTION("""COMPUTED_VALUE"""),"Lalitpur-10, Jwagal, 01-5260699, sewahydrolimited@gmail.com")</f>
        <v>Lalitpur-10, Jwagal, 01-5260699, sewahydrolimited@gmail.com</v>
      </c>
      <c r="J48" s="2" t="str">
        <f>IFERROR(__xludf.DUMMYFUNCTION("""COMPUTED_VALUE"""),"27o 51' 20""")</f>
        <v>27o 51' 20"</v>
      </c>
      <c r="K48" s="2" t="str">
        <f>IFERROR(__xludf.DUMMYFUNCTION("""COMPUTED_VALUE"""),"27o 51' 48""")</f>
        <v>27o 51' 48"</v>
      </c>
      <c r="L48" s="2" t="str">
        <f>IFERROR(__xludf.DUMMYFUNCTION("""COMPUTED_VALUE"""),"85o 44' 05""")</f>
        <v>85o 44' 05"</v>
      </c>
      <c r="M48" s="2" t="str">
        <f>IFERROR(__xludf.DUMMYFUNCTION("""COMPUTED_VALUE"""),"85o 44' 57""")</f>
        <v>85o 44' 57"</v>
      </c>
      <c r="N48" s="2" t="str">
        <f>IFERROR(__xludf.DUMMYFUNCTION("""COMPUTED_VALUE"""),"Selang (Sindhupalchok)")</f>
        <v>Selang (Sindhupalchok)</v>
      </c>
    </row>
    <row r="49">
      <c r="A49" s="2">
        <f>IFERROR(__xludf.DUMMYFUNCTION("""COMPUTED_VALUE"""),48.0)</f>
        <v>48</v>
      </c>
      <c r="B49" s="2" t="str">
        <f>IFERROR(__xludf.DUMMYFUNCTION("""COMPUTED_VALUE"""),"Upper Trishuli-1")</f>
        <v>Upper Trishuli-1</v>
      </c>
      <c r="C49" s="2">
        <f>IFERROR(__xludf.DUMMYFUNCTION("""COMPUTED_VALUE"""),216.0)</f>
        <v>216</v>
      </c>
      <c r="D49" s="2" t="str">
        <f>IFERROR(__xludf.DUMMYFUNCTION("""COMPUTED_VALUE"""),"Trishuli")</f>
        <v>Trishuli</v>
      </c>
      <c r="E49" s="2">
        <f>IFERROR(__xludf.DUMMYFUNCTION("""COMPUTED_VALUE"""),209.0)</f>
        <v>209</v>
      </c>
      <c r="F49" s="3">
        <f>IFERROR(__xludf.DUMMYFUNCTION("""COMPUTED_VALUE"""),63758.0)</f>
        <v>63758</v>
      </c>
      <c r="G49" s="3">
        <f>IFERROR(__xludf.DUMMYFUNCTION("""COMPUTED_VALUE"""),76540.0)</f>
        <v>76540</v>
      </c>
      <c r="H49" s="2" t="str">
        <f>IFERROR(__xludf.DUMMYFUNCTION("""COMPUTED_VALUE"""),"Nepal Water &amp; Energy Development Co. P. Ltd")</f>
        <v>Nepal Water &amp; Energy Development Co. P. Ltd</v>
      </c>
      <c r="I49" s="2" t="str">
        <f>IFERROR(__xludf.DUMMYFUNCTION("""COMPUTED_VALUE"""),"5th Floor, LS Building, Thapathali, 01-1522775, 01-4512229")</f>
        <v>5th Floor, LS Building, Thapathali, 01-1522775, 01-4512229</v>
      </c>
      <c r="J49" s="2" t="str">
        <f>IFERROR(__xludf.DUMMYFUNCTION("""COMPUTED_VALUE"""),"28o 04' 27""")</f>
        <v>28o 04' 27"</v>
      </c>
      <c r="K49" s="2" t="str">
        <f>IFERROR(__xludf.DUMMYFUNCTION("""COMPUTED_VALUE"""),"28o 07' 42""")</f>
        <v>28o 07' 42"</v>
      </c>
      <c r="L49" s="2" t="str">
        <f>IFERROR(__xludf.DUMMYFUNCTION("""COMPUTED_VALUE"""),"85o 12' 40""")</f>
        <v>85o 12' 40"</v>
      </c>
      <c r="M49" s="2" t="str">
        <f>IFERROR(__xludf.DUMMYFUNCTION("""COMPUTED_VALUE"""),"85o 18' 03""")</f>
        <v>85o 18' 03"</v>
      </c>
      <c r="N49" s="2" t="str">
        <f>IFERROR(__xludf.DUMMYFUNCTION("""COMPUTED_VALUE"""),"Dhunche,Haku (Rasuwa)")</f>
        <v>Dhunche,Haku (Rasuwa)</v>
      </c>
    </row>
    <row r="50">
      <c r="A50" s="2">
        <f>IFERROR(__xludf.DUMMYFUNCTION("""COMPUTED_VALUE"""),49.0)</f>
        <v>49</v>
      </c>
      <c r="B50" s="2" t="str">
        <f>IFERROR(__xludf.DUMMYFUNCTION("""COMPUTED_VALUE"""),"Lapche Khola")</f>
        <v>Lapche Khola</v>
      </c>
      <c r="C50" s="2">
        <f>IFERROR(__xludf.DUMMYFUNCTION("""COMPUTED_VALUE"""),160.0)</f>
        <v>160</v>
      </c>
      <c r="D50" s="2" t="str">
        <f>IFERROR(__xludf.DUMMYFUNCTION("""COMPUTED_VALUE"""),"Lapche")</f>
        <v>Lapche</v>
      </c>
      <c r="E50" s="2">
        <f>IFERROR(__xludf.DUMMYFUNCTION("""COMPUTED_VALUE"""),212.0)</f>
        <v>212</v>
      </c>
      <c r="F50" s="3">
        <f>IFERROR(__xludf.DUMMYFUNCTION("""COMPUTED_VALUE"""),63799.0)</f>
        <v>63799</v>
      </c>
      <c r="G50" s="3">
        <f>IFERROR(__xludf.DUMMYFUNCTION("""COMPUTED_VALUE"""),76946.0)</f>
        <v>76946</v>
      </c>
      <c r="H50" s="2" t="str">
        <f>IFERROR(__xludf.DUMMYFUNCTION("""COMPUTED_VALUE"""),"Nasa Hydropower Company P Ltd")</f>
        <v>Nasa Hydropower Company P Ltd</v>
      </c>
      <c r="I50" s="2" t="str">
        <f>IFERROR(__xludf.DUMMYFUNCTION("""COMPUTED_VALUE"""),"Laxman Babu Bhawan, Naxal, Kathmandu, Phone no 4414355, 4414651, 
9801012101, email: info@mvdugarhydro.com")</f>
        <v>Laxman Babu Bhawan, Naxal, Kathmandu, Phone no 4414355, 4414651, 
9801012101, email: info@mvdugarhydro.com</v>
      </c>
      <c r="J50" s="2" t="str">
        <f>IFERROR(__xludf.DUMMYFUNCTION("""COMPUTED_VALUE"""),"27o 58' 51""")</f>
        <v>27o 58' 51"</v>
      </c>
      <c r="K50" s="2" t="str">
        <f>IFERROR(__xludf.DUMMYFUNCTION("""COMPUTED_VALUE"""),"28o 02' 58""")</f>
        <v>28o 02' 58"</v>
      </c>
      <c r="L50" s="2" t="str">
        <f>IFERROR(__xludf.DUMMYFUNCTION("""COMPUTED_VALUE"""),"86o 10' 00""")</f>
        <v>86o 10' 00"</v>
      </c>
      <c r="M50" s="2" t="str">
        <f>IFERROR(__xludf.DUMMYFUNCTION("""COMPUTED_VALUE"""),"86o 12' 58""")</f>
        <v>86o 12' 58"</v>
      </c>
      <c r="N50" s="2" t="str">
        <f>IFERROR(__xludf.DUMMYFUNCTION("""COMPUTED_VALUE"""),"Lamabagar (Dolakha)")</f>
        <v>Lamabagar (Dolakha)</v>
      </c>
    </row>
    <row r="51">
      <c r="A51" s="2">
        <f>IFERROR(__xludf.DUMMYFUNCTION("""COMPUTED_VALUE"""),50.0)</f>
        <v>50</v>
      </c>
      <c r="B51" s="2" t="str">
        <f>IFERROR(__xludf.DUMMYFUNCTION("""COMPUTED_VALUE"""),"Kasuwa Khola HPP")</f>
        <v>Kasuwa Khola HPP</v>
      </c>
      <c r="C51" s="2">
        <f>IFERROR(__xludf.DUMMYFUNCTION("""COMPUTED_VALUE"""),45.0)</f>
        <v>45</v>
      </c>
      <c r="D51" s="2" t="str">
        <f>IFERROR(__xludf.DUMMYFUNCTION("""COMPUTED_VALUE"""),"Kasuwa Khola")</f>
        <v>Kasuwa Khola</v>
      </c>
      <c r="E51" s="2">
        <f>IFERROR(__xludf.DUMMYFUNCTION("""COMPUTED_VALUE"""),213.0)</f>
        <v>213</v>
      </c>
      <c r="F51" s="3">
        <f>IFERROR(__xludf.DUMMYFUNCTION("""COMPUTED_VALUE"""),63800.0)</f>
        <v>63800</v>
      </c>
      <c r="G51" s="3">
        <f>IFERROR(__xludf.DUMMYFUNCTION("""COMPUTED_VALUE"""),76582.0)</f>
        <v>76582</v>
      </c>
      <c r="H51" s="2" t="str">
        <f>IFERROR(__xludf.DUMMYFUNCTION("""COMPUTED_VALUE"""),"Kasuwa Hydropower Ltd")</f>
        <v>Kasuwa Hydropower Ltd</v>
      </c>
      <c r="I51" s="2" t="str">
        <f>IFERROR(__xludf.DUMMYFUNCTION("""COMPUTED_VALUE"""),"Tripureshwor, Kathmandu, Tel: 4101140, 4251080, email: 
info@kasuwakhola.com.np")</f>
        <v>Tripureshwor, Kathmandu, Tel: 4101140, 4251080, email: 
info@kasuwakhola.com.np</v>
      </c>
      <c r="J51" s="2" t="str">
        <f>IFERROR(__xludf.DUMMYFUNCTION("""COMPUTED_VALUE"""),"27o 35' 01""")</f>
        <v>27o 35' 01"</v>
      </c>
      <c r="K51" s="2" t="str">
        <f>IFERROR(__xludf.DUMMYFUNCTION("""COMPUTED_VALUE"""),"27o 37' 39""")</f>
        <v>27o 37' 39"</v>
      </c>
      <c r="L51" s="2" t="str">
        <f>IFERROR(__xludf.DUMMYFUNCTION("""COMPUTED_VALUE"""),"87o 16' 00""")</f>
        <v>87o 16' 00"</v>
      </c>
      <c r="M51" s="2" t="str">
        <f>IFERROR(__xludf.DUMMYFUNCTION("""COMPUTED_VALUE"""),"87o 17' 56""")</f>
        <v>87o 17' 56"</v>
      </c>
      <c r="N51" s="2" t="str">
        <f>IFERROR(__xludf.DUMMYFUNCTION("""COMPUTED_VALUE"""),"Makalu,Pathibhara (Sankhuwasabha)")</f>
        <v>Makalu,Pathibhara (Sankhuwasabha)</v>
      </c>
    </row>
    <row r="52">
      <c r="A52" s="2">
        <f>IFERROR(__xludf.DUMMYFUNCTION("""COMPUTED_VALUE"""),51.0)</f>
        <v>51</v>
      </c>
      <c r="B52" s="2" t="str">
        <f>IFERROR(__xludf.DUMMYFUNCTION("""COMPUTED_VALUE"""),"Saptang Khola HPP")</f>
        <v>Saptang Khola HPP</v>
      </c>
      <c r="C52" s="2">
        <f>IFERROR(__xludf.DUMMYFUNCTION("""COMPUTED_VALUE"""),2.5)</f>
        <v>2.5</v>
      </c>
      <c r="D52" s="2" t="str">
        <f>IFERROR(__xludf.DUMMYFUNCTION("""COMPUTED_VALUE"""),"Saptang")</f>
        <v>Saptang</v>
      </c>
      <c r="E52" s="2">
        <f>IFERROR(__xludf.DUMMYFUNCTION("""COMPUTED_VALUE"""),215.0)</f>
        <v>215</v>
      </c>
      <c r="F52" s="3">
        <f>IFERROR(__xludf.DUMMYFUNCTION("""COMPUTED_VALUE"""),63818.0)</f>
        <v>63818</v>
      </c>
      <c r="G52" s="3">
        <f>IFERROR(__xludf.DUMMYFUNCTION("""COMPUTED_VALUE"""),76600.0)</f>
        <v>76600</v>
      </c>
      <c r="H52" s="2" t="str">
        <f>IFERROR(__xludf.DUMMYFUNCTION("""COMPUTED_VALUE"""),"Saptang Hydropower Pvt Ltd")</f>
        <v>Saptang Hydropower Pvt Ltd</v>
      </c>
      <c r="I52" s="2" t="str">
        <f>IFERROR(__xludf.DUMMYFUNCTION("""COMPUTED_VALUE"""),"Kathmandu-16, Naya Bazar, Tel:9851035832, 9851076449")</f>
        <v>Kathmandu-16, Naya Bazar, Tel:9851035832, 9851076449</v>
      </c>
      <c r="J52" s="2" t="str">
        <f>IFERROR(__xludf.DUMMYFUNCTION("""COMPUTED_VALUE"""),"28o 00' 00""")</f>
        <v>28o 00' 00"</v>
      </c>
      <c r="K52" s="2" t="str">
        <f>IFERROR(__xludf.DUMMYFUNCTION("""COMPUTED_VALUE"""),"28o 00' 59""")</f>
        <v>28o 00' 59"</v>
      </c>
      <c r="L52" s="2" t="str">
        <f>IFERROR(__xludf.DUMMYFUNCTION("""COMPUTED_VALUE"""),"85o 05' 16""")</f>
        <v>85o 05' 16"</v>
      </c>
      <c r="M52" s="2" t="str">
        <f>IFERROR(__xludf.DUMMYFUNCTION("""COMPUTED_VALUE"""),"85o 07' 07""")</f>
        <v>85o 07' 07"</v>
      </c>
      <c r="N52" s="2" t="str">
        <f>IFERROR(__xludf.DUMMYFUNCTION("""COMPUTED_VALUE"""),"Bungtang (Nuwakot)")</f>
        <v>Bungtang (Nuwakot)</v>
      </c>
    </row>
    <row r="53">
      <c r="A53" s="2">
        <f>IFERROR(__xludf.DUMMYFUNCTION("""COMPUTED_VALUE"""),52.0)</f>
        <v>52</v>
      </c>
      <c r="B53" s="2" t="str">
        <f>IFERROR(__xludf.DUMMYFUNCTION("""COMPUTED_VALUE"""),"Super Trishuli")</f>
        <v>Super Trishuli</v>
      </c>
      <c r="C53" s="2">
        <f>IFERROR(__xludf.DUMMYFUNCTION("""COMPUTED_VALUE"""),100.0)</f>
        <v>100</v>
      </c>
      <c r="D53" s="2" t="str">
        <f>IFERROR(__xludf.DUMMYFUNCTION("""COMPUTED_VALUE"""),"Trishuli")</f>
        <v>Trishuli</v>
      </c>
      <c r="E53" s="2">
        <f>IFERROR(__xludf.DUMMYFUNCTION("""COMPUTED_VALUE"""),218.0)</f>
        <v>218</v>
      </c>
      <c r="F53" s="3">
        <f>IFERROR(__xludf.DUMMYFUNCTION("""COMPUTED_VALUE"""),63829.0)</f>
        <v>63829</v>
      </c>
      <c r="G53" s="3">
        <f>IFERROR(__xludf.DUMMYFUNCTION("""COMPUTED_VALUE"""),76616.0)</f>
        <v>76616</v>
      </c>
      <c r="H53" s="2" t="str">
        <f>IFERROR(__xludf.DUMMYFUNCTION("""COMPUTED_VALUE"""),"Blue Energy Ltd.")</f>
        <v>Blue Energy Ltd.</v>
      </c>
      <c r="I53" s="2" t="str">
        <f>IFERROR(__xludf.DUMMYFUNCTION("""COMPUTED_VALUE"""),"Dillibazar, Kathmandu-01, 14545927, 14545928, 4221305, 9851032232, 
9843311311, 9849516600")</f>
        <v>Dillibazar, Kathmandu-01, 14545927, 14545928, 4221305, 9851032232, 
9843311311, 9849516600</v>
      </c>
      <c r="J53" s="2" t="str">
        <f>IFERROR(__xludf.DUMMYFUNCTION("""COMPUTED_VALUE"""),"27o 48' 41""")</f>
        <v>27o 48' 41"</v>
      </c>
      <c r="K53" s="2" t="str">
        <f>IFERROR(__xludf.DUMMYFUNCTION("""COMPUTED_VALUE"""),"27o 52' 56""")</f>
        <v>27o 52' 56"</v>
      </c>
      <c r="L53" s="2" t="str">
        <f>IFERROR(__xludf.DUMMYFUNCTION("""COMPUTED_VALUE"""),"84o 34' 00""")</f>
        <v>84o 34' 00"</v>
      </c>
      <c r="M53" s="2" t="str">
        <f>IFERROR(__xludf.DUMMYFUNCTION("""COMPUTED_VALUE"""),"84o 41' 06""")</f>
        <v>84o 41' 06"</v>
      </c>
      <c r="N53" s="2"/>
    </row>
    <row r="54">
      <c r="A54" s="2">
        <f>IFERROR(__xludf.DUMMYFUNCTION("""COMPUTED_VALUE"""),53.0)</f>
        <v>53</v>
      </c>
      <c r="B54" s="2" t="str">
        <f>IFERROR(__xludf.DUMMYFUNCTION("""COMPUTED_VALUE"""),"Irkhuwa Khola-B HPP")</f>
        <v>Irkhuwa Khola-B HPP</v>
      </c>
      <c r="C54" s="2">
        <f>IFERROR(__xludf.DUMMYFUNCTION("""COMPUTED_VALUE"""),15.524)</f>
        <v>15.524</v>
      </c>
      <c r="D54" s="2" t="str">
        <f>IFERROR(__xludf.DUMMYFUNCTION("""COMPUTED_VALUE"""),"Irkhuwa Khola")</f>
        <v>Irkhuwa Khola</v>
      </c>
      <c r="E54" s="2">
        <f>IFERROR(__xludf.DUMMYFUNCTION("""COMPUTED_VALUE"""),222.0)</f>
        <v>222</v>
      </c>
      <c r="F54" s="3">
        <f>IFERROR(__xludf.DUMMYFUNCTION("""COMPUTED_VALUE"""),63861.0)</f>
        <v>63861</v>
      </c>
      <c r="G54" s="3">
        <f>IFERROR(__xludf.DUMMYFUNCTION("""COMPUTED_VALUE"""),76643.0)</f>
        <v>76643</v>
      </c>
      <c r="H54" s="2" t="str">
        <f>IFERROR(__xludf.DUMMYFUNCTION("""COMPUTED_VALUE"""),"Barah Multi Power Pvt Ltd")</f>
        <v>Barah Multi Power Pvt Ltd</v>
      </c>
      <c r="I54" s="2" t="str">
        <f>IFERROR(__xludf.DUMMYFUNCTION("""COMPUTED_VALUE"""),"KMC-05, 01-4537544, Email: barahamultipower@gmail.com")</f>
        <v>KMC-05, 01-4537544, Email: barahamultipower@gmail.com</v>
      </c>
      <c r="J54" s="2" t="str">
        <f>IFERROR(__xludf.DUMMYFUNCTION("""COMPUTED_VALUE"""),"27o 23' 47""")</f>
        <v>27o 23' 47"</v>
      </c>
      <c r="K54" s="2" t="str">
        <f>IFERROR(__xludf.DUMMYFUNCTION("""COMPUTED_VALUE"""),"27o 25' 16""")</f>
        <v>27o 25' 16"</v>
      </c>
      <c r="L54" s="2" t="str">
        <f>IFERROR(__xludf.DUMMYFUNCTION("""COMPUTED_VALUE"""),"87o 03' 52""")</f>
        <v>87o 03' 52"</v>
      </c>
      <c r="M54" s="2" t="str">
        <f>IFERROR(__xludf.DUMMYFUNCTION("""COMPUTED_VALUE"""),"87o 05' 56""")</f>
        <v>87o 05' 56"</v>
      </c>
      <c r="N54" s="2" t="str">
        <f>IFERROR(__xludf.DUMMYFUNCTION("""COMPUTED_VALUE"""),"Kudak Kaule,Chaukidada,Nepaledada (Bhojpur)")</f>
        <v>Kudak Kaule,Chaukidada,Nepaledada (Bhojpur)</v>
      </c>
    </row>
    <row r="55">
      <c r="A55" s="2">
        <f>IFERROR(__xludf.DUMMYFUNCTION("""COMPUTED_VALUE"""),54.0)</f>
        <v>54</v>
      </c>
      <c r="B55" s="2" t="str">
        <f>IFERROR(__xludf.DUMMYFUNCTION("""COMPUTED_VALUE"""),"Rasuwa Bhotekoshi")</f>
        <v>Rasuwa Bhotekoshi</v>
      </c>
      <c r="C55" s="2">
        <f>IFERROR(__xludf.DUMMYFUNCTION("""COMPUTED_VALUE"""),120.0)</f>
        <v>120</v>
      </c>
      <c r="D55" s="2" t="str">
        <f>IFERROR(__xludf.DUMMYFUNCTION("""COMPUTED_VALUE"""),"Bhotekoshi (Rasuwa)")</f>
        <v>Bhotekoshi (Rasuwa)</v>
      </c>
      <c r="E55" s="2">
        <f>IFERROR(__xludf.DUMMYFUNCTION("""COMPUTED_VALUE"""),223.0)</f>
        <v>223</v>
      </c>
      <c r="F55" s="3">
        <f>IFERROR(__xludf.DUMMYFUNCTION("""COMPUTED_VALUE"""),63861.0)</f>
        <v>63861</v>
      </c>
      <c r="G55" s="3">
        <f>IFERROR(__xludf.DUMMYFUNCTION("""COMPUTED_VALUE"""),76643.0)</f>
        <v>76643</v>
      </c>
      <c r="H55" s="2" t="str">
        <f>IFERROR(__xludf.DUMMYFUNCTION("""COMPUTED_VALUE"""),"Langtang Bhotekosi Hydropower Company Pvt. Ltd")</f>
        <v>Langtang Bhotekosi Hydropower Company Pvt. Ltd</v>
      </c>
      <c r="I55" s="2" t="str">
        <f>IFERROR(__xludf.DUMMYFUNCTION("""COMPUTED_VALUE"""),"Sitapaila, Kathmandu, Tel no 9810157778, 9843077976, email 
langtangproject@gmail.com, liaoxiangi@hotmail.com")</f>
        <v>Sitapaila, Kathmandu, Tel no 9810157778, 9843077976, email 
langtangproject@gmail.com, liaoxiangi@hotmail.com</v>
      </c>
      <c r="J55" s="2" t="str">
        <f>IFERROR(__xludf.DUMMYFUNCTION("""COMPUTED_VALUE"""),"28o 10' 30""")</f>
        <v>28o 10' 30"</v>
      </c>
      <c r="K55" s="2" t="str">
        <f>IFERROR(__xludf.DUMMYFUNCTION("""COMPUTED_VALUE"""),"28o 14' 04""")</f>
        <v>28o 14' 04"</v>
      </c>
      <c r="L55" s="2" t="str">
        <f>IFERROR(__xludf.DUMMYFUNCTION("""COMPUTED_VALUE"""),"85o 20' 00""")</f>
        <v>85o 20' 00"</v>
      </c>
      <c r="M55" s="2" t="str">
        <f>IFERROR(__xludf.DUMMYFUNCTION("""COMPUTED_VALUE"""),"85o 22' 30""")</f>
        <v>85o 22' 30"</v>
      </c>
      <c r="N55" s="2" t="str">
        <f>IFERROR(__xludf.DUMMYFUNCTION("""COMPUTED_VALUE"""),"Thuman,Briddhim,Goljung (Rasuwa)")</f>
        <v>Thuman,Briddhim,Goljung (Rasuwa)</v>
      </c>
    </row>
    <row r="56">
      <c r="A56" s="2">
        <f>IFERROR(__xludf.DUMMYFUNCTION("""COMPUTED_VALUE"""),55.0)</f>
        <v>55</v>
      </c>
      <c r="B56" s="2" t="str">
        <f>IFERROR(__xludf.DUMMYFUNCTION("""COMPUTED_VALUE"""),"Upper Modi HPP Cascade Project")</f>
        <v>Upper Modi HPP Cascade Project</v>
      </c>
      <c r="C56" s="2">
        <f>IFERROR(__xludf.DUMMYFUNCTION("""COMPUTED_VALUE"""),18.2)</f>
        <v>18.2</v>
      </c>
      <c r="D56" s="2" t="str">
        <f>IFERROR(__xludf.DUMMYFUNCTION("""COMPUTED_VALUE"""),"Modi Khola")</f>
        <v>Modi Khola</v>
      </c>
      <c r="E56" s="2">
        <f>IFERROR(__xludf.DUMMYFUNCTION("""COMPUTED_VALUE"""),226.0)</f>
        <v>226</v>
      </c>
      <c r="F56" s="3">
        <f>IFERROR(__xludf.DUMMYFUNCTION("""COMPUTED_VALUE"""),63890.0)</f>
        <v>63890</v>
      </c>
      <c r="G56" s="3">
        <f>IFERROR(__xludf.DUMMYFUNCTION("""COMPUTED_VALUE"""),76672.0)</f>
        <v>76672</v>
      </c>
      <c r="H56" s="2" t="str">
        <f>IFERROR(__xludf.DUMMYFUNCTION("""COMPUTED_VALUE"""),"Modi Jalvidhyut Co. Ltd.")</f>
        <v>Modi Jalvidhyut Co. Ltd.</v>
      </c>
      <c r="I56" s="2" t="str">
        <f>IFERROR(__xludf.DUMMYFUNCTION("""COMPUTED_VALUE"""),"United Trade Center, 3rd floor, Tripureshower 01-5917167,68,69")</f>
        <v>United Trade Center, 3rd floor, Tripureshower 01-5917167,68,69</v>
      </c>
      <c r="J56" s="2" t="str">
        <f>IFERROR(__xludf.DUMMYFUNCTION("""COMPUTED_VALUE"""),"28o 18' 45""")</f>
        <v>28o 18' 45"</v>
      </c>
      <c r="K56" s="2" t="str">
        <f>IFERROR(__xludf.DUMMYFUNCTION("""COMPUTED_VALUE"""),"28o 20' 32""")</f>
        <v>28o 20' 32"</v>
      </c>
      <c r="L56" s="2" t="str">
        <f>IFERROR(__xludf.DUMMYFUNCTION("""COMPUTED_VALUE"""),"83o 46' 11""")</f>
        <v>83o 46' 11"</v>
      </c>
      <c r="M56" s="2" t="str">
        <f>IFERROR(__xludf.DUMMYFUNCTION("""COMPUTED_VALUE"""),"83o 48' 00""")</f>
        <v>83o 48' 00"</v>
      </c>
      <c r="N56" s="2" t="str">
        <f>IFERROR(__xludf.DUMMYFUNCTION("""COMPUTED_VALUE"""),"Dangsing,Ghandruk,Lumle (Kaski)")</f>
        <v>Dangsing,Ghandruk,Lumle (Kaski)</v>
      </c>
    </row>
    <row r="57">
      <c r="A57" s="2">
        <f>IFERROR(__xludf.DUMMYFUNCTION("""COMPUTED_VALUE"""),56.0)</f>
        <v>56</v>
      </c>
      <c r="B57" s="2" t="str">
        <f>IFERROR(__xludf.DUMMYFUNCTION("""COMPUTED_VALUE"""),"Arun 3")</f>
        <v>Arun 3</v>
      </c>
      <c r="C57" s="2">
        <f>IFERROR(__xludf.DUMMYFUNCTION("""COMPUTED_VALUE"""),900.0)</f>
        <v>900</v>
      </c>
      <c r="D57" s="2" t="str">
        <f>IFERROR(__xludf.DUMMYFUNCTION("""COMPUTED_VALUE"""),"Arun")</f>
        <v>Arun</v>
      </c>
      <c r="E57" s="2" t="str">
        <f>IFERROR(__xludf.DUMMYFUNCTION("""COMPUTED_VALUE"""),"001/74-75")</f>
        <v>001/74-75</v>
      </c>
      <c r="F57" s="3">
        <f>IFERROR(__xludf.DUMMYFUNCTION("""COMPUTED_VALUE"""),63939.0)</f>
        <v>63939</v>
      </c>
      <c r="G57" s="3">
        <f>IFERROR(__xludf.DUMMYFUNCTION("""COMPUTED_VALUE"""),74895.0)</f>
        <v>74895</v>
      </c>
      <c r="H57" s="2" t="str">
        <f>IFERROR(__xludf.DUMMYFUNCTION("""COMPUTED_VALUE"""),"Satluj Jal Vidyut Nigam Limited")</f>
        <v>Satluj Jal Vidyut Nigam Limited</v>
      </c>
      <c r="I57" s="2" t="str">
        <f>IFERROR(__xludf.DUMMYFUNCTION("""COMPUTED_VALUE"""),"Saket New Delhi India 110017, Phone +91-11-41659207")</f>
        <v>Saket New Delhi India 110017, Phone +91-11-41659207</v>
      </c>
      <c r="J57" s="2" t="str">
        <f>IFERROR(__xludf.DUMMYFUNCTION("""COMPUTED_VALUE"""),"27o 30' 00""")</f>
        <v>27o 30' 00"</v>
      </c>
      <c r="K57" s="2" t="str">
        <f>IFERROR(__xludf.DUMMYFUNCTION("""COMPUTED_VALUE"""),"27o 35' 00""")</f>
        <v>27o 35' 00"</v>
      </c>
      <c r="L57" s="2" t="str">
        <f>IFERROR(__xludf.DUMMYFUNCTION("""COMPUTED_VALUE"""),"87o 12' 00""")</f>
        <v>87o 12' 00"</v>
      </c>
      <c r="M57" s="2" t="str">
        <f>IFERROR(__xludf.DUMMYFUNCTION("""COMPUTED_VALUE"""),"87o 20' 00""")</f>
        <v>87o 20' 00"</v>
      </c>
      <c r="N57" s="2" t="str">
        <f>IFERROR(__xludf.DUMMYFUNCTION("""COMPUTED_VALUE"""),"Diding,Num,Makalu,Matsya Pokhari,Mangtewa,Pathibhara (Sankhuwasabha)")</f>
        <v>Diding,Num,Makalu,Matsya Pokhari,Mangtewa,Pathibhara (Sankhuwasabha)</v>
      </c>
    </row>
    <row r="58">
      <c r="A58" s="2">
        <f>IFERROR(__xludf.DUMMYFUNCTION("""COMPUTED_VALUE"""),57.0)</f>
        <v>57</v>
      </c>
      <c r="B58" s="2" t="str">
        <f>IFERROR(__xludf.DUMMYFUNCTION("""COMPUTED_VALUE"""),"Middle Daram Khola-A HPP")</f>
        <v>Middle Daram Khola-A HPP</v>
      </c>
      <c r="C58" s="2">
        <f>IFERROR(__xludf.DUMMYFUNCTION("""COMPUTED_VALUE"""),3.0)</f>
        <v>3</v>
      </c>
      <c r="D58" s="2" t="str">
        <f>IFERROR(__xludf.DUMMYFUNCTION("""COMPUTED_VALUE"""),"Daram")</f>
        <v>Daram</v>
      </c>
      <c r="E58" s="2">
        <f>IFERROR(__xludf.DUMMYFUNCTION("""COMPUTED_VALUE"""),230.0)</f>
        <v>230</v>
      </c>
      <c r="F58" s="3">
        <f>IFERROR(__xludf.DUMMYFUNCTION("""COMPUTED_VALUE"""),63959.0)</f>
        <v>63959</v>
      </c>
      <c r="G58" s="3">
        <f>IFERROR(__xludf.DUMMYFUNCTION("""COMPUTED_VALUE"""),76741.0)</f>
        <v>76741</v>
      </c>
      <c r="H58" s="2" t="str">
        <f>IFERROR(__xludf.DUMMYFUNCTION("""COMPUTED_VALUE"""),"White Gold Multi Energy Pvt. Ltd.")</f>
        <v>White Gold Multi Energy Pvt. Ltd.</v>
      </c>
      <c r="I58" s="2" t="str">
        <f>IFERROR(__xludf.DUMMYFUNCTION("""COMPUTED_VALUE"""),"Baglung, Buddhanagar, Kathmandu, 01-5242143, whitegoldhydro3.0@gmail.com")</f>
        <v>Baglung, Buddhanagar, Kathmandu, 01-5242143, whitegoldhydro3.0@gmail.com</v>
      </c>
      <c r="J58" s="2" t="str">
        <f>IFERROR(__xludf.DUMMYFUNCTION("""COMPUTED_VALUE"""),"28o 15' 54""")</f>
        <v>28o 15' 54"</v>
      </c>
      <c r="K58" s="2" t="str">
        <f>IFERROR(__xludf.DUMMYFUNCTION("""COMPUTED_VALUE"""),"28o 16' 44""")</f>
        <v>28o 16' 44"</v>
      </c>
      <c r="L58" s="2" t="str">
        <f>IFERROR(__xludf.DUMMYFUNCTION("""COMPUTED_VALUE"""),"83o 24' 30""")</f>
        <v>83o 24' 30"</v>
      </c>
      <c r="M58" s="2" t="str">
        <f>IFERROR(__xludf.DUMMYFUNCTION("""COMPUTED_VALUE"""),"83o 26' 22""")</f>
        <v>83o 26' 22"</v>
      </c>
      <c r="N58" s="2" t="str">
        <f>IFERROR(__xludf.DUMMYFUNCTION("""COMPUTED_VALUE"""),"Heel,Argal,Amarbhumi (Baglung)")</f>
        <v>Heel,Argal,Amarbhumi (Baglung)</v>
      </c>
    </row>
    <row r="59">
      <c r="A59" s="2">
        <f>IFERROR(__xludf.DUMMYFUNCTION("""COMPUTED_VALUE"""),58.0)</f>
        <v>58</v>
      </c>
      <c r="B59" s="2" t="str">
        <f>IFERROR(__xludf.DUMMYFUNCTION("""COMPUTED_VALUE"""),"Middle Daram Khola-B HPP")</f>
        <v>Middle Daram Khola-B HPP</v>
      </c>
      <c r="C59" s="2">
        <f>IFERROR(__xludf.DUMMYFUNCTION("""COMPUTED_VALUE"""),4.5)</f>
        <v>4.5</v>
      </c>
      <c r="D59" s="2" t="str">
        <f>IFERROR(__xludf.DUMMYFUNCTION("""COMPUTED_VALUE"""),"Daram")</f>
        <v>Daram</v>
      </c>
      <c r="E59" s="2">
        <f>IFERROR(__xludf.DUMMYFUNCTION("""COMPUTED_VALUE"""),231.0)</f>
        <v>231</v>
      </c>
      <c r="F59" s="3">
        <f>IFERROR(__xludf.DUMMYFUNCTION("""COMPUTED_VALUE"""),63959.0)</f>
        <v>63959</v>
      </c>
      <c r="G59" s="3">
        <f>IFERROR(__xludf.DUMMYFUNCTION("""COMPUTED_VALUE"""),76741.0)</f>
        <v>76741</v>
      </c>
      <c r="H59" s="2" t="str">
        <f>IFERROR(__xludf.DUMMYFUNCTION("""COMPUTED_VALUE"""),"Milestone Hydropower Pvt. Ltd.")</f>
        <v>Milestone Hydropower Pvt. Ltd.</v>
      </c>
      <c r="I59" s="2" t="str">
        <f>IFERROR(__xludf.DUMMYFUNCTION("""COMPUTED_VALUE"""),"Baglung-11, Mobile 9745025919")</f>
        <v>Baglung-11, Mobile 9745025919</v>
      </c>
      <c r="J59" s="2" t="str">
        <f>IFERROR(__xludf.DUMMYFUNCTION("""COMPUTED_VALUE"""),"28o 14' 05""")</f>
        <v>28o 14' 05"</v>
      </c>
      <c r="K59" s="2" t="str">
        <f>IFERROR(__xludf.DUMMYFUNCTION("""COMPUTED_VALUE"""),"28o 15' 54""")</f>
        <v>28o 15' 54"</v>
      </c>
      <c r="L59" s="2" t="str">
        <f>IFERROR(__xludf.DUMMYFUNCTION("""COMPUTED_VALUE"""),"83o 24' 30""")</f>
        <v>83o 24' 30"</v>
      </c>
      <c r="M59" s="2" t="str">
        <f>IFERROR(__xludf.DUMMYFUNCTION("""COMPUTED_VALUE"""),"83o 26' 22""")</f>
        <v>83o 26' 22"</v>
      </c>
      <c r="N59" s="2" t="str">
        <f>IFERROR(__xludf.DUMMYFUNCTION("""COMPUTED_VALUE"""),"Amarbhumi,Harichaur,Heel (Baglung)")</f>
        <v>Amarbhumi,Harichaur,Heel (Baglung)</v>
      </c>
    </row>
    <row r="60">
      <c r="A60" s="2">
        <f>IFERROR(__xludf.DUMMYFUNCTION("""COMPUTED_VALUE"""),59.0)</f>
        <v>59</v>
      </c>
      <c r="B60" s="2" t="str">
        <f>IFERROR(__xludf.DUMMYFUNCTION("""COMPUTED_VALUE"""),"Upper Khudi")</f>
        <v>Upper Khudi</v>
      </c>
      <c r="C60" s="2">
        <f>IFERROR(__xludf.DUMMYFUNCTION("""COMPUTED_VALUE"""),26.0)</f>
        <v>26</v>
      </c>
      <c r="D60" s="2" t="str">
        <f>IFERROR(__xludf.DUMMYFUNCTION("""COMPUTED_VALUE"""),"Khudi")</f>
        <v>Khudi</v>
      </c>
      <c r="E60" s="2">
        <f>IFERROR(__xludf.DUMMYFUNCTION("""COMPUTED_VALUE"""),232.0)</f>
        <v>232</v>
      </c>
      <c r="F60" s="3">
        <f>IFERROR(__xludf.DUMMYFUNCTION("""COMPUTED_VALUE"""),63959.0)</f>
        <v>63959</v>
      </c>
      <c r="G60" s="3">
        <f>IFERROR(__xludf.DUMMYFUNCTION("""COMPUTED_VALUE"""),76741.0)</f>
        <v>76741</v>
      </c>
      <c r="H60" s="2" t="str">
        <f>IFERROR(__xludf.DUMMYFUNCTION("""COMPUTED_VALUE"""),"Super Khudi Hydropower Ltd.")</f>
        <v>Super Khudi Hydropower Ltd.</v>
      </c>
      <c r="I60" s="2" t="str">
        <f>IFERROR(__xludf.DUMMYFUNCTION("""COMPUTED_VALUE"""),"P.O.Box 19554, Kathmandu, Phone 01-4434003, 4424644")</f>
        <v>P.O.Box 19554, Kathmandu, Phone 01-4434003, 4424644</v>
      </c>
      <c r="J60" s="2" t="str">
        <f>IFERROR(__xludf.DUMMYFUNCTION("""COMPUTED_VALUE"""),"28o 18' 22""")</f>
        <v>28o 18' 22"</v>
      </c>
      <c r="K60" s="2" t="str">
        <f>IFERROR(__xludf.DUMMYFUNCTION("""COMPUTED_VALUE"""),"28o 21' 50""")</f>
        <v>28o 21' 50"</v>
      </c>
      <c r="L60" s="2" t="str">
        <f>IFERROR(__xludf.DUMMYFUNCTION("""COMPUTED_VALUE"""),"84o 18' 32""")</f>
        <v>84o 18' 32"</v>
      </c>
      <c r="M60" s="2" t="str">
        <f>IFERROR(__xludf.DUMMYFUNCTION("""COMPUTED_VALUE"""),"84o 20' 44""")</f>
        <v>84o 20' 44"</v>
      </c>
      <c r="N60" s="2" t="str">
        <f>IFERROR(__xludf.DUMMYFUNCTION("""COMPUTED_VALUE"""),"Ghanpokhara,Khudi (Lamjung)")</f>
        <v>Ghanpokhara,Khudi (Lamjung)</v>
      </c>
    </row>
    <row r="61">
      <c r="A61" s="2">
        <f>IFERROR(__xludf.DUMMYFUNCTION("""COMPUTED_VALUE"""),60.0)</f>
        <v>60</v>
      </c>
      <c r="B61" s="2" t="str">
        <f>IFERROR(__xludf.DUMMYFUNCTION("""COMPUTED_VALUE"""),"Upper Tamor")</f>
        <v>Upper Tamor</v>
      </c>
      <c r="C61" s="2">
        <f>IFERROR(__xludf.DUMMYFUNCTION("""COMPUTED_VALUE"""),285.0)</f>
        <v>285</v>
      </c>
      <c r="D61" s="2" t="str">
        <f>IFERROR(__xludf.DUMMYFUNCTION("""COMPUTED_VALUE"""),"Tamor")</f>
        <v>Tamor</v>
      </c>
      <c r="E61" s="2">
        <f>IFERROR(__xludf.DUMMYFUNCTION("""COMPUTED_VALUE"""),234.0)</f>
        <v>234</v>
      </c>
      <c r="F61" s="3">
        <f>IFERROR(__xludf.DUMMYFUNCTION("""COMPUTED_VALUE"""),63977.0)</f>
        <v>63977</v>
      </c>
      <c r="G61" s="3">
        <f>IFERROR(__xludf.DUMMYFUNCTION("""COMPUTED_VALUE"""),76759.0)</f>
        <v>76759</v>
      </c>
      <c r="H61" s="2" t="str">
        <f>IFERROR(__xludf.DUMMYFUNCTION("""COMPUTED_VALUE"""),"Tamor Energy P. Ltd")</f>
        <v>Tamor Energy P. Ltd</v>
      </c>
      <c r="I61" s="2" t="str">
        <f>IFERROR(__xludf.DUMMYFUNCTION("""COMPUTED_VALUE"""),"Lalitpur, Ward No. 10, Kupondol, P.O. Box: 19737, Ph: 4527090,4523971, 
4445952, Fax: 4425953, upper.tamor255@gmail.com")</f>
        <v>Lalitpur, Ward No. 10, Kupondol, P.O. Box: 19737, Ph: 4527090,4523971, 
4445952, Fax: 4425953, upper.tamor255@gmail.com</v>
      </c>
      <c r="J61" s="2" t="str">
        <f>IFERROR(__xludf.DUMMYFUNCTION("""COMPUTED_VALUE"""),"27o 25' 19""")</f>
        <v>27o 25' 19"</v>
      </c>
      <c r="K61" s="2" t="str">
        <f>IFERROR(__xludf.DUMMYFUNCTION("""COMPUTED_VALUE"""),"27o 30' 15""")</f>
        <v>27o 30' 15"</v>
      </c>
      <c r="L61" s="2" t="str">
        <f>IFERROR(__xludf.DUMMYFUNCTION("""COMPUTED_VALUE"""),"87o 41' 40""")</f>
        <v>87o 41' 40"</v>
      </c>
      <c r="M61" s="2" t="str">
        <f>IFERROR(__xludf.DUMMYFUNCTION("""COMPUTED_VALUE"""),"87o 48' 03""")</f>
        <v>87o 48' 03"</v>
      </c>
      <c r="N61" s="2" t="str">
        <f>IFERROR(__xludf.DUMMYFUNCTION("""COMPUTED_VALUE"""),"Phurumbu,Linkhim,Lelep,Tapethok (Taplejung)")</f>
        <v>Phurumbu,Linkhim,Lelep,Tapethok (Taplejung)</v>
      </c>
    </row>
    <row r="62">
      <c r="A62" s="2">
        <f>IFERROR(__xludf.DUMMYFUNCTION("""COMPUTED_VALUE"""),61.0)</f>
        <v>61</v>
      </c>
      <c r="B62" s="2" t="str">
        <f>IFERROR(__xludf.DUMMYFUNCTION("""COMPUTED_VALUE"""),"Hewa A Small HEP")</f>
        <v>Hewa A Small HEP</v>
      </c>
      <c r="C62" s="2">
        <f>IFERROR(__xludf.DUMMYFUNCTION("""COMPUTED_VALUE"""),5.0)</f>
        <v>5</v>
      </c>
      <c r="D62" s="2" t="str">
        <f>IFERROR(__xludf.DUMMYFUNCTION("""COMPUTED_VALUE"""),"Hewa (Panchthar)")</f>
        <v>Hewa (Panchthar)</v>
      </c>
      <c r="E62" s="2">
        <f>IFERROR(__xludf.DUMMYFUNCTION("""COMPUTED_VALUE"""),235.0)</f>
        <v>235</v>
      </c>
      <c r="F62" s="3">
        <f>IFERROR(__xludf.DUMMYFUNCTION("""COMPUTED_VALUE"""),64023.0)</f>
        <v>64023</v>
      </c>
      <c r="G62" s="3">
        <f>IFERROR(__xludf.DUMMYFUNCTION("""COMPUTED_VALUE"""),76805.0)</f>
        <v>76805</v>
      </c>
      <c r="H62" s="2" t="str">
        <f>IFERROR(__xludf.DUMMYFUNCTION("""COMPUTED_VALUE"""),"Habitat Power Company Ltd.")</f>
        <v>Habitat Power Company Ltd.</v>
      </c>
      <c r="I62" s="2" t="str">
        <f>IFERROR(__xludf.DUMMYFUNCTION("""COMPUTED_VALUE"""),"01-4469808, 9841531682")</f>
        <v>01-4469808, 9841531682</v>
      </c>
      <c r="J62" s="2" t="str">
        <f>IFERROR(__xludf.DUMMYFUNCTION("""COMPUTED_VALUE"""),"27o 10' 40""")</f>
        <v>27o 10' 40"</v>
      </c>
      <c r="K62" s="2" t="str">
        <f>IFERROR(__xludf.DUMMYFUNCTION("""COMPUTED_VALUE"""),"27o 11' 38""")</f>
        <v>27o 11' 38"</v>
      </c>
      <c r="L62" s="2" t="str">
        <f>IFERROR(__xludf.DUMMYFUNCTION("""COMPUTED_VALUE"""),"87o 51' 00""")</f>
        <v>87o 51' 00"</v>
      </c>
      <c r="M62" s="2" t="str">
        <f>IFERROR(__xludf.DUMMYFUNCTION("""COMPUTED_VALUE"""),"87o 53' 15""")</f>
        <v>87o 53' 15"</v>
      </c>
      <c r="N62" s="2" t="str">
        <f>IFERROR(__xludf.DUMMYFUNCTION("""COMPUTED_VALUE"""),"Ekteen,Yanganam,Memeng,Sidin (Panchthar)")</f>
        <v>Ekteen,Yanganam,Memeng,Sidin (Panchthar)</v>
      </c>
    </row>
    <row r="63">
      <c r="A63" s="2">
        <f>IFERROR(__xludf.DUMMYFUNCTION("""COMPUTED_VALUE"""),62.0)</f>
        <v>62</v>
      </c>
      <c r="B63" s="2" t="str">
        <f>IFERROR(__xludf.DUMMYFUNCTION("""COMPUTED_VALUE"""),"Tila-1 Hydropower Project")</f>
        <v>Tila-1 Hydropower Project</v>
      </c>
      <c r="C63" s="2">
        <f>IFERROR(__xludf.DUMMYFUNCTION("""COMPUTED_VALUE"""),440.0)</f>
        <v>440</v>
      </c>
      <c r="D63" s="2" t="str">
        <f>IFERROR(__xludf.DUMMYFUNCTION("""COMPUTED_VALUE"""),"Tila")</f>
        <v>Tila</v>
      </c>
      <c r="E63" s="2">
        <f>IFERROR(__xludf.DUMMYFUNCTION("""COMPUTED_VALUE"""),236.0)</f>
        <v>236</v>
      </c>
      <c r="F63" s="3">
        <f>IFERROR(__xludf.DUMMYFUNCTION("""COMPUTED_VALUE"""),64047.0)</f>
        <v>64047</v>
      </c>
      <c r="G63" s="3">
        <f>IFERROR(__xludf.DUMMYFUNCTION("""COMPUTED_VALUE"""),76829.0)</f>
        <v>76829</v>
      </c>
      <c r="H63" s="2" t="str">
        <f>IFERROR(__xludf.DUMMYFUNCTION("""COMPUTED_VALUE"""),"S C Power Company P Ltd")</f>
        <v>S C Power Company P Ltd</v>
      </c>
      <c r="I63" s="2" t="str">
        <f>IFERROR(__xludf.DUMMYFUNCTION("""COMPUTED_VALUE"""),"PO Box 23704, Kathamdu")</f>
        <v>PO Box 23704, Kathamdu</v>
      </c>
      <c r="J63" s="2" t="str">
        <f>IFERROR(__xludf.DUMMYFUNCTION("""COMPUTED_VALUE"""),"29o 06' 00""")</f>
        <v>29o 06' 00"</v>
      </c>
      <c r="K63" s="2" t="str">
        <f>IFERROR(__xludf.DUMMYFUNCTION("""COMPUTED_VALUE"""),"29o 08' 40""")</f>
        <v>29o 08' 40"</v>
      </c>
      <c r="L63" s="2" t="str">
        <f>IFERROR(__xludf.DUMMYFUNCTION("""COMPUTED_VALUE"""),"81o 35' 00""")</f>
        <v>81o 35' 00"</v>
      </c>
      <c r="M63" s="2" t="str">
        <f>IFERROR(__xludf.DUMMYFUNCTION("""COMPUTED_VALUE"""),"81o 44' 38""")</f>
        <v>81o 44' 38"</v>
      </c>
      <c r="N63" s="2" t="str">
        <f>IFERROR(__xludf.DUMMYFUNCTION("""COMPUTED_VALUE"""),"Dahafatgaun,Gela,Manma,Mugraha,Pakha,Sukitaya (Kalikot)")</f>
        <v>Dahafatgaun,Gela,Manma,Mugraha,Pakha,Sukitaya (Kalikot)</v>
      </c>
    </row>
    <row r="64">
      <c r="A64" s="2">
        <f>IFERROR(__xludf.DUMMYFUNCTION("""COMPUTED_VALUE"""),63.0)</f>
        <v>63</v>
      </c>
      <c r="B64" s="2" t="str">
        <f>IFERROR(__xludf.DUMMYFUNCTION("""COMPUTED_VALUE"""),"Tila-2 Hydropower Project")</f>
        <v>Tila-2 Hydropower Project</v>
      </c>
      <c r="C64" s="2">
        <f>IFERROR(__xludf.DUMMYFUNCTION("""COMPUTED_VALUE"""),420.0)</f>
        <v>420</v>
      </c>
      <c r="D64" s="2" t="str">
        <f>IFERROR(__xludf.DUMMYFUNCTION("""COMPUTED_VALUE"""),"Tila")</f>
        <v>Tila</v>
      </c>
      <c r="E64" s="2">
        <f>IFERROR(__xludf.DUMMYFUNCTION("""COMPUTED_VALUE"""),237.0)</f>
        <v>237</v>
      </c>
      <c r="F64" s="3">
        <f>IFERROR(__xludf.DUMMYFUNCTION("""COMPUTED_VALUE"""),64047.0)</f>
        <v>64047</v>
      </c>
      <c r="G64" s="3">
        <f>IFERROR(__xludf.DUMMYFUNCTION("""COMPUTED_VALUE"""),76829.0)</f>
        <v>76829</v>
      </c>
      <c r="H64" s="2" t="str">
        <f>IFERROR(__xludf.DUMMYFUNCTION("""COMPUTED_VALUE"""),"Urja Tila Power Co. Pvt. Ltd.")</f>
        <v>Urja Tila Power Co. Pvt. Ltd.</v>
      </c>
      <c r="I64" s="2" t="str">
        <f>IFERROR(__xludf.DUMMYFUNCTION("""COMPUTED_VALUE"""),"Krishna Galli-3, Lalitpur, 01-5430135")</f>
        <v>Krishna Galli-3, Lalitpur, 01-5430135</v>
      </c>
      <c r="J64" s="2" t="str">
        <f>IFERROR(__xludf.DUMMYFUNCTION("""COMPUTED_VALUE"""),"29o 06' 00""")</f>
        <v>29o 06' 00"</v>
      </c>
      <c r="K64" s="2" t="str">
        <f>IFERROR(__xludf.DUMMYFUNCTION("""COMPUTED_VALUE"""),"29o 10' 00""")</f>
        <v>29o 10' 00"</v>
      </c>
      <c r="L64" s="2" t="str">
        <f>IFERROR(__xludf.DUMMYFUNCTION("""COMPUTED_VALUE"""),"81o 44' 38""")</f>
        <v>81o 44' 38"</v>
      </c>
      <c r="M64" s="2" t="str">
        <f>IFERROR(__xludf.DUMMYFUNCTION("""COMPUTED_VALUE"""),"81o 52' 00""")</f>
        <v>81o 52' 00"</v>
      </c>
      <c r="N64" s="2" t="str">
        <f>IFERROR(__xludf.DUMMYFUNCTION("""COMPUTED_VALUE"""),"Pakha (Kalikot)")</f>
        <v>Pakha (Kalikot)</v>
      </c>
    </row>
    <row r="65">
      <c r="A65" s="2">
        <f>IFERROR(__xludf.DUMMYFUNCTION("""COMPUTED_VALUE"""),64.0)</f>
        <v>64</v>
      </c>
      <c r="B65" s="2" t="str">
        <f>IFERROR(__xludf.DUMMYFUNCTION("""COMPUTED_VALUE"""),"Super Aankhu Khola Hydropower Project")</f>
        <v>Super Aankhu Khola Hydropower Project</v>
      </c>
      <c r="C65" s="2">
        <f>IFERROR(__xludf.DUMMYFUNCTION("""COMPUTED_VALUE"""),25.4)</f>
        <v>25.4</v>
      </c>
      <c r="D65" s="2" t="str">
        <f>IFERROR(__xludf.DUMMYFUNCTION("""COMPUTED_VALUE"""),"Ankhu Khola")</f>
        <v>Ankhu Khola</v>
      </c>
      <c r="E65" s="2">
        <f>IFERROR(__xludf.DUMMYFUNCTION("""COMPUTED_VALUE"""),239.0)</f>
        <v>239</v>
      </c>
      <c r="F65" s="3">
        <f>IFERROR(__xludf.DUMMYFUNCTION("""COMPUTED_VALUE"""),64072.0)</f>
        <v>64072</v>
      </c>
      <c r="G65" s="3">
        <f>IFERROR(__xludf.DUMMYFUNCTION("""COMPUTED_VALUE"""),76854.0)</f>
        <v>76854</v>
      </c>
      <c r="H65" s="2" t="str">
        <f>IFERROR(__xludf.DUMMYFUNCTION("""COMPUTED_VALUE"""),"Gorakshya Hydropower Pvt.Ltd")</f>
        <v>Gorakshya Hydropower Pvt.Ltd</v>
      </c>
      <c r="I65" s="2" t="str">
        <f>IFERROR(__xludf.DUMMYFUNCTION("""COMPUTED_VALUE"""),"Babarmahal, Kathmandu-11, 4219730,4225281,9851021920; Email: 
gorakshya.hydropower@yahoo.com")</f>
        <v>Babarmahal, Kathmandu-11, 4219730,4225281,9851021920; Email: 
gorakshya.hydropower@yahoo.com</v>
      </c>
      <c r="J65" s="2" t="str">
        <f>IFERROR(__xludf.DUMMYFUNCTION("""COMPUTED_VALUE"""),"28o 10' 00""")</f>
        <v>28o 10' 00"</v>
      </c>
      <c r="K65" s="2" t="str">
        <f>IFERROR(__xludf.DUMMYFUNCTION("""COMPUTED_VALUE"""),"28o 11' 44""")</f>
        <v>28o 11' 44"</v>
      </c>
      <c r="L65" s="2" t="str">
        <f>IFERROR(__xludf.DUMMYFUNCTION("""COMPUTED_VALUE"""),"85o 02' 56""")</f>
        <v>85o 02' 56"</v>
      </c>
      <c r="M65" s="2" t="str">
        <f>IFERROR(__xludf.DUMMYFUNCTION("""COMPUTED_VALUE"""),"85o 04' 45""")</f>
        <v>85o 04' 45"</v>
      </c>
      <c r="N65" s="2" t="str">
        <f>IFERROR(__xludf.DUMMYFUNCTION("""COMPUTED_VALUE"""),"Lapa,Sirtung (Dhading)")</f>
        <v>Lapa,Sirtung (Dhading)</v>
      </c>
    </row>
    <row r="66">
      <c r="A66" s="2">
        <f>IFERROR(__xludf.DUMMYFUNCTION("""COMPUTED_VALUE"""),65.0)</f>
        <v>65</v>
      </c>
      <c r="B66" s="2" t="str">
        <f>IFERROR(__xludf.DUMMYFUNCTION("""COMPUTED_VALUE"""),"Lower Manang Marsyangdi")</f>
        <v>Lower Manang Marsyangdi</v>
      </c>
      <c r="C66" s="2">
        <f>IFERROR(__xludf.DUMMYFUNCTION("""COMPUTED_VALUE"""),139.2)</f>
        <v>139.2</v>
      </c>
      <c r="D66" s="2" t="str">
        <f>IFERROR(__xludf.DUMMYFUNCTION("""COMPUTED_VALUE"""),"Marsyangdi")</f>
        <v>Marsyangdi</v>
      </c>
      <c r="E66" s="2">
        <f>IFERROR(__xludf.DUMMYFUNCTION("""COMPUTED_VALUE"""),242.0)</f>
        <v>242</v>
      </c>
      <c r="F66" s="3">
        <f>IFERROR(__xludf.DUMMYFUNCTION("""COMPUTED_VALUE"""),64118.0)</f>
        <v>64118</v>
      </c>
      <c r="G66" s="3">
        <f>IFERROR(__xludf.DUMMYFUNCTION("""COMPUTED_VALUE"""),76900.0)</f>
        <v>76900</v>
      </c>
      <c r="H66" s="2" t="str">
        <f>IFERROR(__xludf.DUMMYFUNCTION("""COMPUTED_VALUE"""),"Butawal Power Company")</f>
        <v>Butawal Power Company</v>
      </c>
      <c r="I66" s="2" t="str">
        <f>IFERROR(__xludf.DUMMYFUNCTION("""COMPUTED_VALUE"""),"Budhanagar, Kathmandu Tel: 4781776,4785295")</f>
        <v>Budhanagar, Kathmandu Tel: 4781776,4785295</v>
      </c>
      <c r="J66" s="2" t="str">
        <f>IFERROR(__xludf.DUMMYFUNCTION("""COMPUTED_VALUE"""),"28o 29' 35""")</f>
        <v>28o 29' 35"</v>
      </c>
      <c r="K66" s="2" t="str">
        <f>IFERROR(__xludf.DUMMYFUNCTION("""COMPUTED_VALUE"""),"28o 32' 05""")</f>
        <v>28o 32' 05"</v>
      </c>
      <c r="L66" s="2" t="str">
        <f>IFERROR(__xludf.DUMMYFUNCTION("""COMPUTED_VALUE"""),"84o 19' 20""")</f>
        <v>84o 19' 20"</v>
      </c>
      <c r="M66" s="2" t="str">
        <f>IFERROR(__xludf.DUMMYFUNCTION("""COMPUTED_VALUE"""),"84o 21' 55""")</f>
        <v>84o 21' 55"</v>
      </c>
      <c r="N66" s="2" t="str">
        <f>IFERROR(__xludf.DUMMYFUNCTION("""COMPUTED_VALUE"""),",Tachi Bagarchhap,Dharapani,Thoche (Manang)")</f>
        <v>,Tachi Bagarchhap,Dharapani,Thoche (Manang)</v>
      </c>
    </row>
    <row r="67">
      <c r="A67" s="2">
        <f>IFERROR(__xludf.DUMMYFUNCTION("""COMPUTED_VALUE"""),66.0)</f>
        <v>66</v>
      </c>
      <c r="B67" s="2" t="str">
        <f>IFERROR(__xludf.DUMMYFUNCTION("""COMPUTED_VALUE"""),"Manang Marsyangdi")</f>
        <v>Manang Marsyangdi</v>
      </c>
      <c r="C67" s="2">
        <f>IFERROR(__xludf.DUMMYFUNCTION("""COMPUTED_VALUE"""),135.0)</f>
        <v>135</v>
      </c>
      <c r="D67" s="2" t="str">
        <f>IFERROR(__xludf.DUMMYFUNCTION("""COMPUTED_VALUE"""),"Marsyangdi")</f>
        <v>Marsyangdi</v>
      </c>
      <c r="E67" s="2">
        <f>IFERROR(__xludf.DUMMYFUNCTION("""COMPUTED_VALUE"""),243.0)</f>
        <v>243</v>
      </c>
      <c r="F67" s="3">
        <f>IFERROR(__xludf.DUMMYFUNCTION("""COMPUTED_VALUE"""),64132.0)</f>
        <v>64132</v>
      </c>
      <c r="G67" s="3">
        <f>IFERROR(__xludf.DUMMYFUNCTION("""COMPUTED_VALUE"""),76913.0)</f>
        <v>76913</v>
      </c>
      <c r="H67" s="2" t="str">
        <f>IFERROR(__xludf.DUMMYFUNCTION("""COMPUTED_VALUE"""),"Manang Marsyangdi Hydropower Company Pvt.Ltd.")</f>
        <v>Manang Marsyangdi Hydropower Company Pvt.Ltd.</v>
      </c>
      <c r="I67" s="2" t="str">
        <f>IFERROR(__xludf.DUMMYFUNCTION("""COMPUTED_VALUE"""),"P.O.Box 12566 Kathmandu-4, Phone 9803298663, 9841286805; 
emai:mmhpp777@gmail.com")</f>
        <v>P.O.Box 12566 Kathmandu-4, Phone 9803298663, 9841286805; 
emai:mmhpp777@gmail.com</v>
      </c>
      <c r="J67" s="2" t="str">
        <f>IFERROR(__xludf.DUMMYFUNCTION("""COMPUTED_VALUE"""),"28o 32' 05""")</f>
        <v>28o 32' 05"</v>
      </c>
      <c r="K67" s="2" t="str">
        <f>IFERROR(__xludf.DUMMYFUNCTION("""COMPUTED_VALUE"""),"28o 33' 37""")</f>
        <v>28o 33' 37"</v>
      </c>
      <c r="L67" s="2" t="str">
        <f>IFERROR(__xludf.DUMMYFUNCTION("""COMPUTED_VALUE"""),"84o 15' 38""")</f>
        <v>84o 15' 38"</v>
      </c>
      <c r="M67" s="2" t="str">
        <f>IFERROR(__xludf.DUMMYFUNCTION("""COMPUTED_VALUE"""),"84o 20' 00""")</f>
        <v>84o 20' 00"</v>
      </c>
      <c r="N67" s="2" t="str">
        <f>IFERROR(__xludf.DUMMYFUNCTION("""COMPUTED_VALUE"""),"Chame,Tachi Bagarchhap (Manang)")</f>
        <v>Chame,Tachi Bagarchhap (Manang)</v>
      </c>
    </row>
    <row r="68">
      <c r="A68" s="2">
        <f>IFERROR(__xludf.DUMMYFUNCTION("""COMPUTED_VALUE"""),67.0)</f>
        <v>67</v>
      </c>
      <c r="B68" s="2" t="str">
        <f>IFERROR(__xludf.DUMMYFUNCTION("""COMPUTED_VALUE"""),"Garchyang Khola")</f>
        <v>Garchyang Khola</v>
      </c>
      <c r="C68" s="2">
        <f>IFERROR(__xludf.DUMMYFUNCTION("""COMPUTED_VALUE"""),6.6)</f>
        <v>6.6</v>
      </c>
      <c r="D68" s="2" t="str">
        <f>IFERROR(__xludf.DUMMYFUNCTION("""COMPUTED_VALUE"""),"Garchyang")</f>
        <v>Garchyang</v>
      </c>
      <c r="E68" s="2">
        <f>IFERROR(__xludf.DUMMYFUNCTION("""COMPUTED_VALUE"""),245.0)</f>
        <v>245</v>
      </c>
      <c r="F68" s="3">
        <f>IFERROR(__xludf.DUMMYFUNCTION("""COMPUTED_VALUE"""),64149.0)</f>
        <v>64149</v>
      </c>
      <c r="G68" s="3">
        <f>IFERROR(__xludf.DUMMYFUNCTION("""COMPUTED_VALUE"""),76931.0)</f>
        <v>76931</v>
      </c>
      <c r="H68" s="2" t="str">
        <f>IFERROR(__xludf.DUMMYFUNCTION("""COMPUTED_VALUE"""),"Citizen Hydropower Company Pvt. Ltd.")</f>
        <v>Citizen Hydropower Company Pvt. Ltd.</v>
      </c>
      <c r="I68" s="2" t="str">
        <f>IFERROR(__xludf.DUMMYFUNCTION("""COMPUTED_VALUE"""),"Ring Road Naya Bato, Lalitpur; POB No 20732, Kathmandu Mobile No. 
9851029387, Fax 0150014274649")</f>
        <v>Ring Road Naya Bato, Lalitpur; POB No 20732, Kathmandu Mobile No. 
9851029387, Fax 0150014274649</v>
      </c>
      <c r="J68" s="2" t="str">
        <f>IFERROR(__xludf.DUMMYFUNCTION("""COMPUTED_VALUE"""),"28o 21' 37""")</f>
        <v>28o 21' 37"</v>
      </c>
      <c r="K68" s="2" t="str">
        <f>IFERROR(__xludf.DUMMYFUNCTION("""COMPUTED_VALUE"""),"28o 22' 46""")</f>
        <v>28o 22' 46"</v>
      </c>
      <c r="L68" s="2" t="str">
        <f>IFERROR(__xludf.DUMMYFUNCTION("""COMPUTED_VALUE"""),"84o 08' 45""")</f>
        <v>84o 08' 45"</v>
      </c>
      <c r="M68" s="2" t="str">
        <f>IFERROR(__xludf.DUMMYFUNCTION("""COMPUTED_VALUE"""),"84o 10' 10""")</f>
        <v>84o 10' 10"</v>
      </c>
      <c r="N68" s="2" t="str">
        <f>IFERROR(__xludf.DUMMYFUNCTION("""COMPUTED_VALUE"""),"Namarjung (Kaski)")</f>
        <v>Namarjung (Kaski)</v>
      </c>
    </row>
    <row r="69">
      <c r="A69" s="2">
        <f>IFERROR(__xludf.DUMMYFUNCTION("""COMPUTED_VALUE"""),68.0)</f>
        <v>68</v>
      </c>
      <c r="B69" s="2" t="str">
        <f>IFERROR(__xludf.DUMMYFUNCTION("""COMPUTED_VALUE"""),"Upper Marsyangdi 1")</f>
        <v>Upper Marsyangdi 1</v>
      </c>
      <c r="C69" s="2">
        <f>IFERROR(__xludf.DUMMYFUNCTION("""COMPUTED_VALUE"""),138.0)</f>
        <v>138</v>
      </c>
      <c r="D69" s="2" t="str">
        <f>IFERROR(__xludf.DUMMYFUNCTION("""COMPUTED_VALUE"""),"Marsyangdi")</f>
        <v>Marsyangdi</v>
      </c>
      <c r="E69" s="2">
        <f>IFERROR(__xludf.DUMMYFUNCTION("""COMPUTED_VALUE"""),247.0)</f>
        <v>247</v>
      </c>
      <c r="F69" s="3">
        <f>IFERROR(__xludf.DUMMYFUNCTION("""COMPUTED_VALUE"""),64172.0)</f>
        <v>64172</v>
      </c>
      <c r="G69" s="3">
        <f>IFERROR(__xludf.DUMMYFUNCTION("""COMPUTED_VALUE"""),76954.0)</f>
        <v>76954</v>
      </c>
      <c r="H69" s="2" t="str">
        <f>IFERROR(__xludf.DUMMYFUNCTION("""COMPUTED_VALUE"""),"Upper Marsyangdi Hydropower Company Pvt. Ltd.")</f>
        <v>Upper Marsyangdi Hydropower Company Pvt. Ltd.</v>
      </c>
      <c r="I69" s="2" t="str">
        <f>IFERROR(__xludf.DUMMYFUNCTION("""COMPUTED_VALUE"""),"Kathmandu 4, Baluwatar, Phone 9841286805, 9844040118; email: 
mmhpp777@gmail.com")</f>
        <v>Kathmandu 4, Baluwatar, Phone 9841286805, 9844040118; email: 
mmhpp777@gmail.com</v>
      </c>
      <c r="J69" s="2" t="str">
        <f>IFERROR(__xludf.DUMMYFUNCTION("""COMPUTED_VALUE"""),"28o 19' 28""")</f>
        <v>28o 19' 28"</v>
      </c>
      <c r="K69" s="2" t="str">
        <f>IFERROR(__xludf.DUMMYFUNCTION("""COMPUTED_VALUE"""),"28o 22' 25""")</f>
        <v>28o 22' 25"</v>
      </c>
      <c r="L69" s="2" t="str">
        <f>IFERROR(__xludf.DUMMYFUNCTION("""COMPUTED_VALUE"""),"84o 23' 51""")</f>
        <v>84o 23' 51"</v>
      </c>
      <c r="M69" s="2" t="str">
        <f>IFERROR(__xludf.DUMMYFUNCTION("""COMPUTED_VALUE"""),"84o 25' 00""")</f>
        <v>84o 25' 00"</v>
      </c>
      <c r="N69" s="2" t="str">
        <f>IFERROR(__xludf.DUMMYFUNCTION("""COMPUTED_VALUE"""),"Taghring,Khudi,Ghermu,Bahundada (Lamjung)")</f>
        <v>Taghring,Khudi,Ghermu,Bahundada (Lamjung)</v>
      </c>
    </row>
    <row r="70">
      <c r="A70" s="2">
        <f>IFERROR(__xludf.DUMMYFUNCTION("""COMPUTED_VALUE"""),69.0)</f>
        <v>69</v>
      </c>
      <c r="B70" s="2" t="str">
        <f>IFERROR(__xludf.DUMMYFUNCTION("""COMPUTED_VALUE"""),"Chameliya (Chhetigad)")</f>
        <v>Chameliya (Chhetigad)</v>
      </c>
      <c r="C70" s="2">
        <f>IFERROR(__xludf.DUMMYFUNCTION("""COMPUTED_VALUE"""),85.0)</f>
        <v>85</v>
      </c>
      <c r="D70" s="2" t="str">
        <f>IFERROR(__xludf.DUMMYFUNCTION("""COMPUTED_VALUE"""),"Chameliya Khola")</f>
        <v>Chameliya Khola</v>
      </c>
      <c r="E70" s="2">
        <f>IFERROR(__xludf.DUMMYFUNCTION("""COMPUTED_VALUE"""),248.0)</f>
        <v>248</v>
      </c>
      <c r="F70" s="3">
        <f>IFERROR(__xludf.DUMMYFUNCTION("""COMPUTED_VALUE"""),64182.0)</f>
        <v>64182</v>
      </c>
      <c r="G70" s="3">
        <f>IFERROR(__xludf.DUMMYFUNCTION("""COMPUTED_VALUE"""),76964.0)</f>
        <v>76964</v>
      </c>
      <c r="H70" s="2" t="str">
        <f>IFERROR(__xludf.DUMMYFUNCTION("""COMPUTED_VALUE"""),"Grid Nepal Co. Pvt. Ltd.,")</f>
        <v>Grid Nepal Co. Pvt. Ltd.,</v>
      </c>
      <c r="I70" s="2" t="str">
        <f>IFERROR(__xludf.DUMMYFUNCTION("""COMPUTED_VALUE"""),"531Pandol Marg Lajimpat, Kathmandu, Ph. 01-4442049, 9841412569; 
thakurpujachand@email.com, hydrovision@gmail.com")</f>
        <v>531Pandol Marg Lajimpat, Kathmandu, Ph. 01-4442049, 9841412569; 
thakurpujachand@email.com, hydrovision@gmail.com</v>
      </c>
      <c r="J70" s="2" t="str">
        <f>IFERROR(__xludf.DUMMYFUNCTION("""COMPUTED_VALUE"""),"29o 47' 00""")</f>
        <v>29o 47' 00"</v>
      </c>
      <c r="K70" s="2" t="str">
        <f>IFERROR(__xludf.DUMMYFUNCTION("""COMPUTED_VALUE"""),"29o 50' 00""")</f>
        <v>29o 50' 00"</v>
      </c>
      <c r="L70" s="2" t="str">
        <f>IFERROR(__xludf.DUMMYFUNCTION("""COMPUTED_VALUE"""),"80o 48' 49""")</f>
        <v>80o 48' 49"</v>
      </c>
      <c r="M70" s="2" t="str">
        <f>IFERROR(__xludf.DUMMYFUNCTION("""COMPUTED_VALUE"""),"80o 53' 00""")</f>
        <v>80o 53' 00"</v>
      </c>
      <c r="N70" s="2" t="str">
        <f>IFERROR(__xludf.DUMMYFUNCTION("""COMPUTED_VALUE"""),"Ghusa,Guljar,Khandeswori,Sitaula (Darchula)")</f>
        <v>Ghusa,Guljar,Khandeswori,Sitaula (Darchula)</v>
      </c>
    </row>
    <row r="71">
      <c r="A71" s="2">
        <f>IFERROR(__xludf.DUMMYFUNCTION("""COMPUTED_VALUE"""),70.0)</f>
        <v>70</v>
      </c>
      <c r="B71" s="2" t="str">
        <f>IFERROR(__xludf.DUMMYFUNCTION("""COMPUTED_VALUE"""),"Upper Piluwa Hills Small HP Project")</f>
        <v>Upper Piluwa Hills Small HP Project</v>
      </c>
      <c r="C71" s="2">
        <f>IFERROR(__xludf.DUMMYFUNCTION("""COMPUTED_VALUE"""),4.99)</f>
        <v>4.99</v>
      </c>
      <c r="D71" s="2" t="str">
        <f>IFERROR(__xludf.DUMMYFUNCTION("""COMPUTED_VALUE"""),"Piluwa, Tupuwa &amp; Chhange Khola")</f>
        <v>Piluwa, Tupuwa &amp; Chhange Khola</v>
      </c>
      <c r="E71" s="2">
        <f>IFERROR(__xludf.DUMMYFUNCTION("""COMPUTED_VALUE"""),249.0)</f>
        <v>249</v>
      </c>
      <c r="F71" s="3">
        <f>IFERROR(__xludf.DUMMYFUNCTION("""COMPUTED_VALUE"""),64185.0)</f>
        <v>64185</v>
      </c>
      <c r="G71" s="3">
        <f>IFERROR(__xludf.DUMMYFUNCTION("""COMPUTED_VALUE"""),76967.0)</f>
        <v>76967</v>
      </c>
      <c r="H71" s="2" t="str">
        <f>IFERROR(__xludf.DUMMYFUNCTION("""COMPUTED_VALUE"""),"Milke Jaljale Hydropower Pvt.Ltd.")</f>
        <v>Milke Jaljale Hydropower Pvt.Ltd.</v>
      </c>
      <c r="I71" s="2" t="str">
        <f>IFERROR(__xludf.DUMMYFUNCTION("""COMPUTED_VALUE"""),"P.O.Box. 21363, Koteswor Kathmandu-34; 9852051608; email: 
milkejaljalehp@gmail.com")</f>
        <v>P.O.Box. 21363, Koteswor Kathmandu-34; 9852051608; email: 
milkejaljalehp@gmail.com</v>
      </c>
      <c r="J71" s="2" t="str">
        <f>IFERROR(__xludf.DUMMYFUNCTION("""COMPUTED_VALUE"""),"27o 18' 08""")</f>
        <v>27o 18' 08"</v>
      </c>
      <c r="K71" s="2" t="str">
        <f>IFERROR(__xludf.DUMMYFUNCTION("""COMPUTED_VALUE"""),"27o 20' 00""")</f>
        <v>27o 20' 00"</v>
      </c>
      <c r="L71" s="2" t="str">
        <f>IFERROR(__xludf.DUMMYFUNCTION("""COMPUTED_VALUE"""),"87o 25' 46""")</f>
        <v>87o 25' 46"</v>
      </c>
      <c r="M71" s="2" t="str">
        <f>IFERROR(__xludf.DUMMYFUNCTION("""COMPUTED_VALUE"""),"87o 27' 55""")</f>
        <v>87o 27' 55"</v>
      </c>
      <c r="N71" s="2" t="str">
        <f>IFERROR(__xludf.DUMMYFUNCTION("""COMPUTED_VALUE"""),"Nundhaki,Siddhakali (Sankhuwasabha)")</f>
        <v>Nundhaki,Siddhakali (Sankhuwasabha)</v>
      </c>
    </row>
    <row r="72">
      <c r="A72" s="2">
        <f>IFERROR(__xludf.DUMMYFUNCTION("""COMPUTED_VALUE"""),71.0)</f>
        <v>71</v>
      </c>
      <c r="B72" s="2" t="str">
        <f>IFERROR(__xludf.DUMMYFUNCTION("""COMPUTED_VALUE"""),"Kaligandaki Gorge")</f>
        <v>Kaligandaki Gorge</v>
      </c>
      <c r="C72" s="2">
        <f>IFERROR(__xludf.DUMMYFUNCTION("""COMPUTED_VALUE"""),180.0)</f>
        <v>180</v>
      </c>
      <c r="D72" s="2" t="str">
        <f>IFERROR(__xludf.DUMMYFUNCTION("""COMPUTED_VALUE"""),"Kali Gandaki")</f>
        <v>Kali Gandaki</v>
      </c>
      <c r="E72" s="2">
        <f>IFERROR(__xludf.DUMMYFUNCTION("""COMPUTED_VALUE"""),251.0)</f>
        <v>251</v>
      </c>
      <c r="F72" s="3">
        <f>IFERROR(__xludf.DUMMYFUNCTION("""COMPUTED_VALUE"""),64250.0)</f>
        <v>64250</v>
      </c>
      <c r="G72" s="3">
        <f>IFERROR(__xludf.DUMMYFUNCTION("""COMPUTED_VALUE"""),77032.0)</f>
        <v>77032</v>
      </c>
      <c r="H72" s="2" t="str">
        <f>IFERROR(__xludf.DUMMYFUNCTION("""COMPUTED_VALUE"""),"Kaligandaki Gorge Hydropower Pvt. Ltd.")</f>
        <v>Kaligandaki Gorge Hydropower Pvt. Ltd.</v>
      </c>
      <c r="I72" s="2" t="str">
        <f>IFERROR(__xludf.DUMMYFUNCTION("""COMPUTED_VALUE"""),"P.O.Box 19554, Phone - 01-5329765, 9851086922 kgghydro@gmail.com")</f>
        <v>P.O.Box 19554, Phone - 01-5329765, 9851086922 kgghydro@gmail.com</v>
      </c>
      <c r="J72" s="2" t="str">
        <f>IFERROR(__xludf.DUMMYFUNCTION("""COMPUTED_VALUE"""),"28o 31' 15""")</f>
        <v>28o 31' 15"</v>
      </c>
      <c r="K72" s="2" t="str">
        <f>IFERROR(__xludf.DUMMYFUNCTION("""COMPUTED_VALUE"""),"28o 36' 15""")</f>
        <v>28o 36' 15"</v>
      </c>
      <c r="L72" s="2" t="str">
        <f>IFERROR(__xludf.DUMMYFUNCTION("""COMPUTED_VALUE"""),"83o 37' 15""")</f>
        <v>83o 37' 15"</v>
      </c>
      <c r="M72" s="2" t="str">
        <f>IFERROR(__xludf.DUMMYFUNCTION("""COMPUTED_VALUE"""),"83o 40' 00""")</f>
        <v>83o 40' 00"</v>
      </c>
      <c r="N72" s="2" t="str">
        <f>IFERROR(__xludf.DUMMYFUNCTION("""COMPUTED_VALUE"""),"Dana,Narchyang,Dana (Myagdi)")</f>
        <v>Dana,Narchyang,Dana (Myagdi)</v>
      </c>
    </row>
    <row r="73">
      <c r="A73" s="2">
        <f>IFERROR(__xludf.DUMMYFUNCTION("""COMPUTED_VALUE"""),72.0)</f>
        <v>72</v>
      </c>
      <c r="B73" s="2" t="str">
        <f>IFERROR(__xludf.DUMMYFUNCTION("""COMPUTED_VALUE"""),"Nyadi-Phidi HPP")</f>
        <v>Nyadi-Phidi HPP</v>
      </c>
      <c r="C73" s="2">
        <f>IFERROR(__xludf.DUMMYFUNCTION("""COMPUTED_VALUE"""),21.4)</f>
        <v>21.4</v>
      </c>
      <c r="D73" s="2" t="str">
        <f>IFERROR(__xludf.DUMMYFUNCTION("""COMPUTED_VALUE"""),"Nyadi,Phidi")</f>
        <v>Nyadi,Phidi</v>
      </c>
      <c r="E73" s="2">
        <f>IFERROR(__xludf.DUMMYFUNCTION("""COMPUTED_VALUE"""),252.0)</f>
        <v>252</v>
      </c>
      <c r="F73" s="3">
        <f>IFERROR(__xludf.DUMMYFUNCTION("""COMPUTED_VALUE"""),64250.0)</f>
        <v>64250</v>
      </c>
      <c r="G73" s="3">
        <f>IFERROR(__xludf.DUMMYFUNCTION("""COMPUTED_VALUE"""),77032.0)</f>
        <v>77032</v>
      </c>
      <c r="H73" s="2" t="str">
        <f>IFERROR(__xludf.DUMMYFUNCTION("""COMPUTED_VALUE"""),"North Summit Hydro Ltd.")</f>
        <v>North Summit Hydro Ltd.</v>
      </c>
      <c r="I73" s="2" t="str">
        <f>IFERROR(__xludf.DUMMYFUNCTION("""COMPUTED_VALUE"""),"Babarmahal-11, Kathmandu, POB: 2060 Phone: 01-5319143, 984151223, email: 
n.s.hydro2016@gmail.com")</f>
        <v>Babarmahal-11, Kathmandu, POB: 2060 Phone: 01-5319143, 984151223, email: 
n.s.hydro2016@gmail.com</v>
      </c>
      <c r="J73" s="2" t="str">
        <f>IFERROR(__xludf.DUMMYFUNCTION("""COMPUTED_VALUE"""),"28o 24' 27""")</f>
        <v>28o 24' 27"</v>
      </c>
      <c r="K73" s="2" t="str">
        <f>IFERROR(__xludf.DUMMYFUNCTION("""COMPUTED_VALUE"""),"28o 26' 12""")</f>
        <v>28o 26' 12"</v>
      </c>
      <c r="L73" s="2" t="str">
        <f>IFERROR(__xludf.DUMMYFUNCTION("""COMPUTED_VALUE"""),"84o 30' 10""")</f>
        <v>84o 30' 10"</v>
      </c>
      <c r="M73" s="2" t="str">
        <f>IFERROR(__xludf.DUMMYFUNCTION("""COMPUTED_VALUE"""),"84o 31' 43""")</f>
        <v>84o 31' 43"</v>
      </c>
      <c r="N73" s="2" t="str">
        <f>IFERROR(__xludf.DUMMYFUNCTION("""COMPUTED_VALUE"""),"Bahundada,Bhulbhule (Lamjung)")</f>
        <v>Bahundada,Bhulbhule (Lamjung)</v>
      </c>
    </row>
    <row r="74">
      <c r="A74" s="2">
        <f>IFERROR(__xludf.DUMMYFUNCTION("""COMPUTED_VALUE"""),73.0)</f>
        <v>73</v>
      </c>
      <c r="B74" s="2" t="str">
        <f>IFERROR(__xludf.DUMMYFUNCTION("""COMPUTED_VALUE"""),"Middle Kaligandaki")</f>
        <v>Middle Kaligandaki</v>
      </c>
      <c r="C74" s="2">
        <f>IFERROR(__xludf.DUMMYFUNCTION("""COMPUTED_VALUE"""),53.539)</f>
        <v>53.539</v>
      </c>
      <c r="D74" s="2" t="str">
        <f>IFERROR(__xludf.DUMMYFUNCTION("""COMPUTED_VALUE"""),"Kali Gandaki")</f>
        <v>Kali Gandaki</v>
      </c>
      <c r="E74" s="2">
        <f>IFERROR(__xludf.DUMMYFUNCTION("""COMPUTED_VALUE"""),255.0)</f>
        <v>255</v>
      </c>
      <c r="F74" s="3">
        <f>IFERROR(__xludf.DUMMYFUNCTION("""COMPUTED_VALUE"""),64293.0)</f>
        <v>64293</v>
      </c>
      <c r="G74" s="3">
        <f>IFERROR(__xludf.DUMMYFUNCTION("""COMPUTED_VALUE"""),77075.0)</f>
        <v>77075</v>
      </c>
      <c r="H74" s="2" t="str">
        <f>IFERROR(__xludf.DUMMYFUNCTION("""COMPUTED_VALUE"""),"Hydro Support Pvt. Ltd.")</f>
        <v>Hydro Support Pvt. Ltd.</v>
      </c>
      <c r="I74" s="2" t="str">
        <f>IFERROR(__xludf.DUMMYFUNCTION("""COMPUTED_VALUE"""),"IME Complex, Panipokhari, Kathmandu. PO Box: 12538, Kathmand; 
middlekaligandakihpp@gmail.comu. Phone: 014430600, Fax: 01")</f>
        <v>IME Complex, Panipokhari, Kathmandu. PO Box: 12538, Kathmand; 
middlekaligandakihpp@gmail.comu. Phone: 014430600, Fax: 01</v>
      </c>
      <c r="J74" s="2" t="str">
        <f>IFERROR(__xludf.DUMMYFUNCTION("""COMPUTED_VALUE"""),"28o 28' 56""")</f>
        <v>28o 28' 56"</v>
      </c>
      <c r="K74" s="2" t="str">
        <f>IFERROR(__xludf.DUMMYFUNCTION("""COMPUTED_VALUE"""),"28o 31' 14""")</f>
        <v>28o 31' 14"</v>
      </c>
      <c r="L74" s="2" t="str">
        <f>IFERROR(__xludf.DUMMYFUNCTION("""COMPUTED_VALUE"""),"83o 38' 00""")</f>
        <v>83o 38' 00"</v>
      </c>
      <c r="M74" s="2" t="str">
        <f>IFERROR(__xludf.DUMMYFUNCTION("""COMPUTED_VALUE"""),"83o 40' 00""")</f>
        <v>83o 40' 00"</v>
      </c>
      <c r="N74" s="2" t="str">
        <f>IFERROR(__xludf.DUMMYFUNCTION("""COMPUTED_VALUE"""),"Tatopani,Dana,Narchyang (Myagdi)")</f>
        <v>Tatopani,Dana,Narchyang (Myagdi)</v>
      </c>
    </row>
    <row r="75">
      <c r="A75" s="2">
        <f>IFERROR(__xludf.DUMMYFUNCTION("""COMPUTED_VALUE"""),74.0)</f>
        <v>74</v>
      </c>
      <c r="B75" s="2" t="str">
        <f>IFERROR(__xludf.DUMMYFUNCTION("""COMPUTED_VALUE"""),"Bajra Madi Hydropower Project")</f>
        <v>Bajra Madi Hydropower Project</v>
      </c>
      <c r="C75" s="2">
        <f>IFERROR(__xludf.DUMMYFUNCTION("""COMPUTED_VALUE"""),24.8)</f>
        <v>24.8</v>
      </c>
      <c r="D75" s="2" t="str">
        <f>IFERROR(__xludf.DUMMYFUNCTION("""COMPUTED_VALUE"""),"Madi Khola")</f>
        <v>Madi Khola</v>
      </c>
      <c r="E75" s="2">
        <f>IFERROR(__xludf.DUMMYFUNCTION("""COMPUTED_VALUE"""),257.0)</f>
        <v>257</v>
      </c>
      <c r="F75" s="3">
        <f>IFERROR(__xludf.DUMMYFUNCTION("""COMPUTED_VALUE"""),64322.0)</f>
        <v>64322</v>
      </c>
      <c r="G75" s="3">
        <f>IFERROR(__xludf.DUMMYFUNCTION("""COMPUTED_VALUE"""),77104.0)</f>
        <v>77104</v>
      </c>
      <c r="H75" s="2" t="str">
        <f>IFERROR(__xludf.DUMMYFUNCTION("""COMPUTED_VALUE"""),"Bajra Energy Ventures Pvt. Ltd.")</f>
        <v>Bajra Energy Ventures Pvt. Ltd.</v>
      </c>
      <c r="I75" s="2" t="str">
        <f>IFERROR(__xludf.DUMMYFUNCTION("""COMPUTED_VALUE"""),"Baghdurbar, Sundhara, Kathmandu, Phone: 4242628, Mobile: 9841793347")</f>
        <v>Baghdurbar, Sundhara, Kathmandu, Phone: 4242628, Mobile: 9841793347</v>
      </c>
      <c r="J75" s="2" t="str">
        <f>IFERROR(__xludf.DUMMYFUNCTION("""COMPUTED_VALUE"""),"28o 12' 30""")</f>
        <v>28o 12' 30"</v>
      </c>
      <c r="K75" s="2" t="str">
        <f>IFERROR(__xludf.DUMMYFUNCTION("""COMPUTED_VALUE"""),"28o 15' 30""")</f>
        <v>28o 15' 30"</v>
      </c>
      <c r="L75" s="2" t="str">
        <f>IFERROR(__xludf.DUMMYFUNCTION("""COMPUTED_VALUE"""),"84o 04' 00""")</f>
        <v>84o 04' 00"</v>
      </c>
      <c r="M75" s="2" t="str">
        <f>IFERROR(__xludf.DUMMYFUNCTION("""COMPUTED_VALUE"""),"84o 07' 30""")</f>
        <v>84o 07' 30"</v>
      </c>
      <c r="N75" s="2" t="str">
        <f>IFERROR(__xludf.DUMMYFUNCTION("""COMPUTED_VALUE"""),"Kalika,Thumakodanda (Kaski)")</f>
        <v>Kalika,Thumakodanda (Kaski)</v>
      </c>
    </row>
    <row r="76">
      <c r="A76" s="2">
        <f>IFERROR(__xludf.DUMMYFUNCTION("""COMPUTED_VALUE"""),75.0)</f>
        <v>75</v>
      </c>
      <c r="B76" s="2" t="str">
        <f>IFERROR(__xludf.DUMMYFUNCTION("""COMPUTED_VALUE"""),"Tinau Khola HPP")</f>
        <v>Tinau Khola HPP</v>
      </c>
      <c r="C76" s="2">
        <f>IFERROR(__xludf.DUMMYFUNCTION("""COMPUTED_VALUE"""),3.44)</f>
        <v>3.44</v>
      </c>
      <c r="D76" s="2" t="str">
        <f>IFERROR(__xludf.DUMMYFUNCTION("""COMPUTED_VALUE"""),"Tinau")</f>
        <v>Tinau</v>
      </c>
      <c r="E76" s="2">
        <f>IFERROR(__xludf.DUMMYFUNCTION("""COMPUTED_VALUE"""),261.0)</f>
        <v>261</v>
      </c>
      <c r="F76" s="3">
        <f>IFERROR(__xludf.DUMMYFUNCTION("""COMPUTED_VALUE"""),64329.0)</f>
        <v>64329</v>
      </c>
      <c r="G76" s="3">
        <f>IFERROR(__xludf.DUMMYFUNCTION("""COMPUTED_VALUE"""),77111.0)</f>
        <v>77111</v>
      </c>
      <c r="H76" s="2" t="str">
        <f>IFERROR(__xludf.DUMMYFUNCTION("""COMPUTED_VALUE"""),"Nama Buddha Hydropower Pvt Ltd")</f>
        <v>Nama Buddha Hydropower Pvt Ltd</v>
      </c>
      <c r="I76" s="2" t="str">
        <f>IFERROR(__xludf.DUMMYFUNCTION("""COMPUTED_VALUE"""),"PO Box: 5558, Kathmandu, Mobile: 9851034098, Tel: 016-9225115; Email: 
nbhydro@wlink.com.np")</f>
        <v>PO Box: 5558, Kathmandu, Mobile: 9851034098, Tel: 016-9225115; Email: 
nbhydro@wlink.com.np</v>
      </c>
      <c r="J76" s="2" t="str">
        <f>IFERROR(__xludf.DUMMYFUNCTION("""COMPUTED_VALUE"""),"27o 44' 45""")</f>
        <v>27o 44' 45"</v>
      </c>
      <c r="K76" s="2" t="str">
        <f>IFERROR(__xludf.DUMMYFUNCTION("""COMPUTED_VALUE"""),"27o 46' 00""")</f>
        <v>27o 46' 00"</v>
      </c>
      <c r="L76" s="2" t="str">
        <f>IFERROR(__xludf.DUMMYFUNCTION("""COMPUTED_VALUE"""),"83o 30' 12""")</f>
        <v>83o 30' 12"</v>
      </c>
      <c r="M76" s="2" t="str">
        <f>IFERROR(__xludf.DUMMYFUNCTION("""COMPUTED_VALUE"""),"83o 32' 00""")</f>
        <v>83o 32' 00"</v>
      </c>
      <c r="N76" s="2" t="str">
        <f>IFERROR(__xludf.DUMMYFUNCTION("""COMPUTED_VALUE"""),"Koldada (Palpa)")</f>
        <v>Koldada (Palpa)</v>
      </c>
    </row>
    <row r="77">
      <c r="A77" s="2">
        <f>IFERROR(__xludf.DUMMYFUNCTION("""COMPUTED_VALUE"""),76.0)</f>
        <v>76</v>
      </c>
      <c r="B77" s="2" t="str">
        <f>IFERROR(__xludf.DUMMYFUNCTION("""COMPUTED_VALUE"""),"Likhu Khola HPP")</f>
        <v>Likhu Khola HPP</v>
      </c>
      <c r="C77" s="2">
        <f>IFERROR(__xludf.DUMMYFUNCTION("""COMPUTED_VALUE"""),30.0)</f>
        <v>30</v>
      </c>
      <c r="D77" s="2" t="str">
        <f>IFERROR(__xludf.DUMMYFUNCTION("""COMPUTED_VALUE"""),"Likhu Khola")</f>
        <v>Likhu Khola</v>
      </c>
      <c r="E77" s="2">
        <f>IFERROR(__xludf.DUMMYFUNCTION("""COMPUTED_VALUE"""),263.0)</f>
        <v>263</v>
      </c>
      <c r="F77" s="3">
        <f>IFERROR(__xludf.DUMMYFUNCTION("""COMPUTED_VALUE"""),64339.0)</f>
        <v>64339</v>
      </c>
      <c r="G77" s="3">
        <f>IFERROR(__xludf.DUMMYFUNCTION("""COMPUTED_VALUE"""),77121.0)</f>
        <v>77121</v>
      </c>
      <c r="H77" s="2" t="str">
        <f>IFERROR(__xludf.DUMMYFUNCTION("""COMPUTED_VALUE"""),"P K Hydropower Pvt. Ltd.")</f>
        <v>P K Hydropower Pvt. Ltd.</v>
      </c>
      <c r="I77" s="2" t="str">
        <f>IFERROR(__xludf.DUMMYFUNCTION("""COMPUTED_VALUE"""),"Trade Tower 2nd Floor, Thapathali, Kathmandu, 9860389894, 9851080878, 
info.pikehydro@gmail.com")</f>
        <v>Trade Tower 2nd Floor, Thapathali, Kathmandu, 9860389894, 9851080878, 
info.pikehydro@gmail.com</v>
      </c>
      <c r="J77" s="2" t="str">
        <f>IFERROR(__xludf.DUMMYFUNCTION("""COMPUTED_VALUE"""),"27o 29' 10""")</f>
        <v>27o 29' 10"</v>
      </c>
      <c r="K77" s="2" t="str">
        <f>IFERROR(__xludf.DUMMYFUNCTION("""COMPUTED_VALUE"""),"27o 31' 07""")</f>
        <v>27o 31' 07"</v>
      </c>
      <c r="L77" s="2" t="str">
        <f>IFERROR(__xludf.DUMMYFUNCTION("""COMPUTED_VALUE"""),"86o 18' 00""")</f>
        <v>86o 18' 00"</v>
      </c>
      <c r="M77" s="2" t="str">
        <f>IFERROR(__xludf.DUMMYFUNCTION("""COMPUTED_VALUE"""),"86o 21' 44""")</f>
        <v>86o 21' 44"</v>
      </c>
      <c r="N77" s="2" t="str">
        <f>IFERROR(__xludf.DUMMYFUNCTION("""COMPUTED_VALUE"""),"Rawadolu,Khijichandeshwari (Okhaldhunga) Pritee,Kubukasthali (Ramechhap) 
Goli (Solukhumbu)")</f>
        <v>Rawadolu,Khijichandeshwari (Okhaldhunga) Pritee,Kubukasthali (Ramechhap) 
Goli (Solukhumbu)</v>
      </c>
    </row>
    <row r="78">
      <c r="A78" s="2">
        <f>IFERROR(__xludf.DUMMYFUNCTION("""COMPUTED_VALUE"""),77.0)</f>
        <v>77</v>
      </c>
      <c r="B78" s="2" t="str">
        <f>IFERROR(__xludf.DUMMYFUNCTION("""COMPUTED_VALUE"""),"Lower Hewa Khola-A HPP")</f>
        <v>Lower Hewa Khola-A HPP</v>
      </c>
      <c r="C78" s="2">
        <f>IFERROR(__xludf.DUMMYFUNCTION("""COMPUTED_VALUE"""),7.3)</f>
        <v>7.3</v>
      </c>
      <c r="D78" s="2" t="str">
        <f>IFERROR(__xludf.DUMMYFUNCTION("""COMPUTED_VALUE"""),"Hewa (Sankhuwasabha)")</f>
        <v>Hewa (Sankhuwasabha)</v>
      </c>
      <c r="E78" s="2">
        <f>IFERROR(__xludf.DUMMYFUNCTION("""COMPUTED_VALUE"""),276.0)</f>
        <v>276</v>
      </c>
      <c r="F78" s="3">
        <f>IFERROR(__xludf.DUMMYFUNCTION("""COMPUTED_VALUE"""),64492.0)</f>
        <v>64492</v>
      </c>
      <c r="G78" s="3">
        <f>IFERROR(__xludf.DUMMYFUNCTION("""COMPUTED_VALUE"""),77273.0)</f>
        <v>77273</v>
      </c>
      <c r="H78" s="2" t="str">
        <f>IFERROR(__xludf.DUMMYFUNCTION("""COMPUTED_VALUE"""),"Panch Khapan Hydropower P.Ltd.")</f>
        <v>Panch Khapan Hydropower P.Ltd.</v>
      </c>
      <c r="I78" s="2" t="str">
        <f>IFERROR(__xludf.DUMMYFUNCTION("""COMPUTED_VALUE"""),"Kathmandu-34, Banesor,Nepal,016201315,4116068,panchkhapan 
hydropower2072@gmail.com")</f>
        <v>Kathmandu-34, Banesor,Nepal,016201315,4116068,panchkhapan 
hydropower2072@gmail.com</v>
      </c>
      <c r="J78" s="2" t="str">
        <f>IFERROR(__xludf.DUMMYFUNCTION("""COMPUTED_VALUE"""),"27o 17' 48""")</f>
        <v>27o 17' 48"</v>
      </c>
      <c r="K78" s="2" t="str">
        <f>IFERROR(__xludf.DUMMYFUNCTION("""COMPUTED_VALUE"""),"27o 19' 10""")</f>
        <v>27o 19' 10"</v>
      </c>
      <c r="L78" s="2" t="str">
        <f>IFERROR(__xludf.DUMMYFUNCTION("""COMPUTED_VALUE"""),"87o 16' 22""")</f>
        <v>87o 16' 22"</v>
      </c>
      <c r="M78" s="2" t="str">
        <f>IFERROR(__xludf.DUMMYFUNCTION("""COMPUTED_VALUE"""),"87o 18' 59""")</f>
        <v>87o 18' 59"</v>
      </c>
      <c r="N78" s="2" t="str">
        <f>IFERROR(__xludf.DUMMYFUNCTION("""COMPUTED_VALUE"""),"Bana,Baneswor,Chainpur,Jaljala (Sankhuwasabha)")</f>
        <v>Bana,Baneswor,Chainpur,Jaljala (Sankhuwasabha)</v>
      </c>
    </row>
    <row r="79">
      <c r="A79" s="2">
        <f>IFERROR(__xludf.DUMMYFUNCTION("""COMPUTED_VALUE"""),78.0)</f>
        <v>78</v>
      </c>
      <c r="B79" s="2" t="str">
        <f>IFERROR(__xludf.DUMMYFUNCTION("""COMPUTED_VALUE"""),"Upper Ankhu Khola")</f>
        <v>Upper Ankhu Khola</v>
      </c>
      <c r="C79" s="2">
        <f>IFERROR(__xludf.DUMMYFUNCTION("""COMPUTED_VALUE"""),38.0)</f>
        <v>38</v>
      </c>
      <c r="D79" s="2" t="str">
        <f>IFERROR(__xludf.DUMMYFUNCTION("""COMPUTED_VALUE"""),"Ankhu Khola")</f>
        <v>Ankhu Khola</v>
      </c>
      <c r="E79" s="2">
        <f>IFERROR(__xludf.DUMMYFUNCTION("""COMPUTED_VALUE"""),280.0)</f>
        <v>280</v>
      </c>
      <c r="F79" s="3">
        <f>IFERROR(__xludf.DUMMYFUNCTION("""COMPUTED_VALUE"""),64535.0)</f>
        <v>64535</v>
      </c>
      <c r="G79" s="3">
        <f>IFERROR(__xludf.DUMMYFUNCTION("""COMPUTED_VALUE"""),77316.0)</f>
        <v>77316</v>
      </c>
      <c r="H79" s="2" t="str">
        <f>IFERROR(__xludf.DUMMYFUNCTION("""COMPUTED_VALUE"""),"Dhading Ankhu Khola Hydro Pvt. Ltd.")</f>
        <v>Dhading Ankhu Khola Hydro Pvt. Ltd.</v>
      </c>
      <c r="I79" s="2" t="str">
        <f>IFERROR(__xludf.DUMMYFUNCTION("""COMPUTED_VALUE"""),"Sumargi B. Complex, Babarmahal-11, Kathmandu")</f>
        <v>Sumargi B. Complex, Babarmahal-11, Kathmandu</v>
      </c>
      <c r="J79" s="2" t="str">
        <f>IFERROR(__xludf.DUMMYFUNCTION("""COMPUTED_VALUE"""),"28o 07' 00""")</f>
        <v>28o 07' 00"</v>
      </c>
      <c r="K79" s="2" t="str">
        <f>IFERROR(__xludf.DUMMYFUNCTION("""COMPUTED_VALUE"""),"28o 10' 00""")</f>
        <v>28o 10' 00"</v>
      </c>
      <c r="L79" s="2" t="str">
        <f>IFERROR(__xludf.DUMMYFUNCTION("""COMPUTED_VALUE"""),"85o 00' 00""")</f>
        <v>85o 00' 00"</v>
      </c>
      <c r="M79" s="2" t="str">
        <f>IFERROR(__xludf.DUMMYFUNCTION("""COMPUTED_VALUE"""),"85o 03' 30""")</f>
        <v>85o 03' 30"</v>
      </c>
      <c r="N79" s="2" t="str">
        <f>IFERROR(__xludf.DUMMYFUNCTION("""COMPUTED_VALUE"""),"Jharlang,Lapa,Sirtung (Dhading)")</f>
        <v>Jharlang,Lapa,Sirtung (Dhading)</v>
      </c>
    </row>
    <row r="80">
      <c r="A80" s="2">
        <f>IFERROR(__xludf.DUMMYFUNCTION("""COMPUTED_VALUE"""),79.0)</f>
        <v>79</v>
      </c>
      <c r="B80" s="2" t="str">
        <f>IFERROR(__xludf.DUMMYFUNCTION("""COMPUTED_VALUE"""),"Sangu Khola HPP")</f>
        <v>Sangu Khola HPP</v>
      </c>
      <c r="C80" s="2">
        <f>IFERROR(__xludf.DUMMYFUNCTION("""COMPUTED_VALUE"""),5.0)</f>
        <v>5</v>
      </c>
      <c r="D80" s="2" t="str">
        <f>IFERROR(__xludf.DUMMYFUNCTION("""COMPUTED_VALUE"""),"Sangu (Sorun) Khola")</f>
        <v>Sangu (Sorun) Khola</v>
      </c>
      <c r="E80" s="2">
        <f>IFERROR(__xludf.DUMMYFUNCTION("""COMPUTED_VALUE"""),286.0)</f>
        <v>286</v>
      </c>
      <c r="F80" s="3">
        <f>IFERROR(__xludf.DUMMYFUNCTION("""COMPUTED_VALUE"""),64559.0)</f>
        <v>64559</v>
      </c>
      <c r="G80" s="3">
        <f>IFERROR(__xludf.DUMMYFUNCTION("""COMPUTED_VALUE"""),77340.0)</f>
        <v>77340</v>
      </c>
      <c r="H80" s="2" t="str">
        <f>IFERROR(__xludf.DUMMYFUNCTION("""COMPUTED_VALUE"""),"Kalinchowk Hydropower Pvt. Ltd.")</f>
        <v>Kalinchowk Hydropower Pvt. Ltd.</v>
      </c>
      <c r="I80" s="2" t="str">
        <f>IFERROR(__xludf.DUMMYFUNCTION("""COMPUTED_VALUE"""),"Galkopakha, T^hamel, Kathmandu-26,(Samakhusi road) Tel: 01-4358332")</f>
        <v>Galkopakha, T^hamel, Kathmandu-26,(Samakhusi road) Tel: 01-4358332</v>
      </c>
      <c r="J80" s="2" t="str">
        <f>IFERROR(__xludf.DUMMYFUNCTION("""COMPUTED_VALUE"""),"27o 47' 13""")</f>
        <v>27o 47' 13"</v>
      </c>
      <c r="K80" s="2" t="str">
        <f>IFERROR(__xludf.DUMMYFUNCTION("""COMPUTED_VALUE"""),"27o 48' 15""")</f>
        <v>27o 48' 15"</v>
      </c>
      <c r="L80" s="2" t="str">
        <f>IFERROR(__xludf.DUMMYFUNCTION("""COMPUTED_VALUE"""),"86o 04' 00""")</f>
        <v>86o 04' 00"</v>
      </c>
      <c r="M80" s="2" t="str">
        <f>IFERROR(__xludf.DUMMYFUNCTION("""COMPUTED_VALUE"""),"86o 07' 03""")</f>
        <v>86o 07' 03"</v>
      </c>
      <c r="N80" s="2" t="str">
        <f>IFERROR(__xludf.DUMMYFUNCTION("""COMPUTED_VALUE"""),"Kalingchok,Khupachagu (Dolakha)")</f>
        <v>Kalingchok,Khupachagu (Dolakha)</v>
      </c>
    </row>
    <row r="81">
      <c r="A81" s="2">
        <f>IFERROR(__xludf.DUMMYFUNCTION("""COMPUTED_VALUE"""),80.0)</f>
        <v>80</v>
      </c>
      <c r="B81" s="2" t="str">
        <f>IFERROR(__xludf.DUMMYFUNCTION("""COMPUTED_VALUE"""),"Middle Mewa HPP")</f>
        <v>Middle Mewa HPP</v>
      </c>
      <c r="C81" s="2">
        <f>IFERROR(__xludf.DUMMYFUNCTION("""COMPUTED_VALUE"""),73.5)</f>
        <v>73.5</v>
      </c>
      <c r="D81" s="2" t="str">
        <f>IFERROR(__xludf.DUMMYFUNCTION("""COMPUTED_VALUE"""),"Mewa Khola")</f>
        <v>Mewa Khola</v>
      </c>
      <c r="E81" s="2">
        <f>IFERROR(__xludf.DUMMYFUNCTION("""COMPUTED_VALUE"""),289.0)</f>
        <v>289</v>
      </c>
      <c r="F81" s="3">
        <f>IFERROR(__xludf.DUMMYFUNCTION("""COMPUTED_VALUE"""),64570.0)</f>
        <v>64570</v>
      </c>
      <c r="G81" s="3">
        <f>IFERROR(__xludf.DUMMYFUNCTION("""COMPUTED_VALUE"""),77717.0)</f>
        <v>77717</v>
      </c>
      <c r="H81" s="2" t="str">
        <f>IFERROR(__xludf.DUMMYFUNCTION("""COMPUTED_VALUE"""),"Mewa Developers LTd")</f>
        <v>Mewa Developers LTd</v>
      </c>
      <c r="I81" s="2" t="str">
        <f>IFERROR(__xludf.DUMMYFUNCTION("""COMPUTED_VALUE"""),"Tripurewhower , Kathmandu-11. 4243120")</f>
        <v>Tripurewhower , Kathmandu-11. 4243120</v>
      </c>
      <c r="J81" s="2" t="str">
        <f>IFERROR(__xludf.DUMMYFUNCTION("""COMPUTED_VALUE"""),"27o 26' 52""")</f>
        <v>27o 26' 52"</v>
      </c>
      <c r="K81" s="2" t="str">
        <f>IFERROR(__xludf.DUMMYFUNCTION("""COMPUTED_VALUE"""),"27o 30' 29""")</f>
        <v>27o 30' 29"</v>
      </c>
      <c r="L81" s="2" t="str">
        <f>IFERROR(__xludf.DUMMYFUNCTION("""COMPUTED_VALUE"""),"87o 36' 30""")</f>
        <v>87o 36' 30"</v>
      </c>
      <c r="M81" s="2" t="str">
        <f>IFERROR(__xludf.DUMMYFUNCTION("""COMPUTED_VALUE"""),"87o 38' 15""")</f>
        <v>87o 38' 15"</v>
      </c>
      <c r="N81" s="2" t="str">
        <f>IFERROR(__xludf.DUMMYFUNCTION("""COMPUTED_VALUE"""),"Liwang,Sanwa,Nalbu,Papung,Thukima (Taplejung)")</f>
        <v>Liwang,Sanwa,Nalbu,Papung,Thukima (Taplejung)</v>
      </c>
    </row>
    <row r="82">
      <c r="A82" s="2">
        <f>IFERROR(__xludf.DUMMYFUNCTION("""COMPUTED_VALUE"""),81.0)</f>
        <v>81</v>
      </c>
      <c r="B82" s="2" t="str">
        <f>IFERROR(__xludf.DUMMYFUNCTION("""COMPUTED_VALUE"""),"Nupche Likhu HEP")</f>
        <v>Nupche Likhu HEP</v>
      </c>
      <c r="C82" s="2">
        <f>IFERROR(__xludf.DUMMYFUNCTION("""COMPUTED_VALUE"""),57.5)</f>
        <v>57.5</v>
      </c>
      <c r="D82" s="2" t="str">
        <f>IFERROR(__xludf.DUMMYFUNCTION("""COMPUTED_VALUE"""),"Nupche , Likhu")</f>
        <v>Nupche , Likhu</v>
      </c>
      <c r="E82" s="2">
        <f>IFERROR(__xludf.DUMMYFUNCTION("""COMPUTED_VALUE"""),290.0)</f>
        <v>290</v>
      </c>
      <c r="F82" s="3">
        <f>IFERROR(__xludf.DUMMYFUNCTION("""COMPUTED_VALUE"""),64570.0)</f>
        <v>64570</v>
      </c>
      <c r="G82" s="3">
        <f>IFERROR(__xludf.DUMMYFUNCTION("""COMPUTED_VALUE"""),77717.0)</f>
        <v>77717</v>
      </c>
      <c r="H82" s="2" t="str">
        <f>IFERROR(__xludf.DUMMYFUNCTION("""COMPUTED_VALUE"""),"Vision Energy and Power Pvt. Ltd.")</f>
        <v>Vision Energy and Power Pvt. Ltd.</v>
      </c>
      <c r="I82" s="2" t="str">
        <f>IFERROR(__xludf.DUMMYFUNCTION("""COMPUTED_VALUE"""),"New Baneshwor, Kathmandu")</f>
        <v>New Baneshwor, Kathmandu</v>
      </c>
      <c r="J82" s="2" t="str">
        <f>IFERROR(__xludf.DUMMYFUNCTION("""COMPUTED_VALUE"""),"27o 40' 37""")</f>
        <v>27o 40' 37"</v>
      </c>
      <c r="K82" s="2" t="str">
        <f>IFERROR(__xludf.DUMMYFUNCTION("""COMPUTED_VALUE"""),"27o 43' 37""")</f>
        <v>27o 43' 37"</v>
      </c>
      <c r="L82" s="2" t="str">
        <f>IFERROR(__xludf.DUMMYFUNCTION("""COMPUTED_VALUE"""),"86o 26' 30""")</f>
        <v>86o 26' 30"</v>
      </c>
      <c r="M82" s="2" t="str">
        <f>IFERROR(__xludf.DUMMYFUNCTION("""COMPUTED_VALUE"""),"86o 30' 30""")</f>
        <v>86o 30' 30"</v>
      </c>
      <c r="N82" s="2" t="str">
        <f>IFERROR(__xludf.DUMMYFUNCTION("""COMPUTED_VALUE"""),"Gumdel (Ramechhap)")</f>
        <v>Gumdel (Ramechhap)</v>
      </c>
    </row>
    <row r="83">
      <c r="A83" s="2">
        <f>IFERROR(__xludf.DUMMYFUNCTION("""COMPUTED_VALUE"""),82.0)</f>
        <v>82</v>
      </c>
      <c r="B83" s="2" t="str">
        <f>IFERROR(__xludf.DUMMYFUNCTION("""COMPUTED_VALUE"""),"Upper Myagdi-I HEP")</f>
        <v>Upper Myagdi-I HEP</v>
      </c>
      <c r="C83" s="2">
        <f>IFERROR(__xludf.DUMMYFUNCTION("""COMPUTED_VALUE"""),53.5)</f>
        <v>53.5</v>
      </c>
      <c r="D83" s="2" t="str">
        <f>IFERROR(__xludf.DUMMYFUNCTION("""COMPUTED_VALUE"""),"Myagdi Khola")</f>
        <v>Myagdi Khola</v>
      </c>
      <c r="E83" s="2">
        <f>IFERROR(__xludf.DUMMYFUNCTION("""COMPUTED_VALUE"""),291.0)</f>
        <v>291</v>
      </c>
      <c r="F83" s="3">
        <f>IFERROR(__xludf.DUMMYFUNCTION("""COMPUTED_VALUE"""),64579.0)</f>
        <v>64579</v>
      </c>
      <c r="G83" s="3">
        <f>IFERROR(__xludf.DUMMYFUNCTION("""COMPUTED_VALUE"""),77360.0)</f>
        <v>77360</v>
      </c>
      <c r="H83" s="2" t="str">
        <f>IFERROR(__xludf.DUMMYFUNCTION("""COMPUTED_VALUE"""),"Upper Myagdi Hydropower Ltd")</f>
        <v>Upper Myagdi Hydropower Ltd</v>
      </c>
      <c r="I83" s="2" t="str">
        <f>IFERROR(__xludf.DUMMYFUNCTION("""COMPUTED_VALUE"""),"Lalitpur-3")</f>
        <v>Lalitpur-3</v>
      </c>
      <c r="J83" s="2" t="str">
        <f>IFERROR(__xludf.DUMMYFUNCTION("""COMPUTED_VALUE"""),"28o 27' 30""")</f>
        <v>28o 27' 30"</v>
      </c>
      <c r="K83" s="2" t="str">
        <f>IFERROR(__xludf.DUMMYFUNCTION("""COMPUTED_VALUE"""),"28o 31' 10""")</f>
        <v>28o 31' 10"</v>
      </c>
      <c r="L83" s="2" t="str">
        <f>IFERROR(__xludf.DUMMYFUNCTION("""COMPUTED_VALUE"""),"83o 20' 44""")</f>
        <v>83o 20' 44"</v>
      </c>
      <c r="M83" s="2" t="str">
        <f>IFERROR(__xludf.DUMMYFUNCTION("""COMPUTED_VALUE"""),"83o 23' 06""")</f>
        <v>83o 23' 06"</v>
      </c>
      <c r="N83" s="2" t="str">
        <f>IFERROR(__xludf.DUMMYFUNCTION("""COMPUTED_VALUE"""),"Bima,Marang,Takam,Muna,Mudi (Myagdi)")</f>
        <v>Bima,Marang,Takam,Muna,Mudi (Myagdi)</v>
      </c>
    </row>
    <row r="84">
      <c r="A84" s="2">
        <f>IFERROR(__xludf.DUMMYFUNCTION("""COMPUTED_VALUE"""),83.0)</f>
        <v>83</v>
      </c>
      <c r="B84" s="2" t="str">
        <f>IFERROR(__xludf.DUMMYFUNCTION("""COMPUTED_VALUE"""),"Phedi Khola (Thumlung) Small HPP")</f>
        <v>Phedi Khola (Thumlung) Small HPP</v>
      </c>
      <c r="C84" s="2">
        <f>IFERROR(__xludf.DUMMYFUNCTION("""COMPUTED_VALUE"""),4.3)</f>
        <v>4.3</v>
      </c>
      <c r="D84" s="2" t="str">
        <f>IFERROR(__xludf.DUMMYFUNCTION("""COMPUTED_VALUE"""),"Phedi khola (Thumlung)")</f>
        <v>Phedi khola (Thumlung)</v>
      </c>
      <c r="E84" s="2">
        <f>IFERROR(__xludf.DUMMYFUNCTION("""COMPUTED_VALUE"""),293.0)</f>
        <v>293</v>
      </c>
      <c r="F84" s="3">
        <f>IFERROR(__xludf.DUMMYFUNCTION("""COMPUTED_VALUE"""),64604.0)</f>
        <v>64604</v>
      </c>
      <c r="G84" s="3">
        <f>IFERROR(__xludf.DUMMYFUNCTION("""COMPUTED_VALUE"""),77385.0)</f>
        <v>77385</v>
      </c>
      <c r="H84" s="2" t="str">
        <f>IFERROR(__xludf.DUMMYFUNCTION("""COMPUTED_VALUE"""),"Phedi khola Hydropower Company Pvt. Ltd.")</f>
        <v>Phedi khola Hydropower Company Pvt. Ltd.</v>
      </c>
      <c r="I84" s="2" t="str">
        <f>IFERROR(__xludf.DUMMYFUNCTION("""COMPUTED_VALUE"""),"Koteshor 32, Ktm. , Prakash Chandra Dulal. Mob No. 9851221372, 01599321; 
prakshdulal@gmail.com")</f>
        <v>Koteshor 32, Ktm. , Prakash Chandra Dulal. Mob No. 9851221372, 01599321; 
prakshdulal@gmail.com</v>
      </c>
      <c r="J84" s="2" t="str">
        <f>IFERROR(__xludf.DUMMYFUNCTION("""COMPUTED_VALUE"""),"27o 22' 13""")</f>
        <v>27o 22' 13"</v>
      </c>
      <c r="K84" s="2" t="str">
        <f>IFERROR(__xludf.DUMMYFUNCTION("""COMPUTED_VALUE"""),"27o 23' 06""")</f>
        <v>27o 23' 06"</v>
      </c>
      <c r="L84" s="2" t="str">
        <f>IFERROR(__xludf.DUMMYFUNCTION("""COMPUTED_VALUE"""),"87o 00' 29""")</f>
        <v>87o 00' 29"</v>
      </c>
      <c r="M84" s="2" t="str">
        <f>IFERROR(__xludf.DUMMYFUNCTION("""COMPUTED_VALUE"""),"87o 01' 38""")</f>
        <v>87o 01' 38"</v>
      </c>
      <c r="N84" s="2" t="str">
        <f>IFERROR(__xludf.DUMMYFUNCTION("""COMPUTED_VALUE"""),"Dobhane (Bhojpur)")</f>
        <v>Dobhane (Bhojpur)</v>
      </c>
    </row>
    <row r="85">
      <c r="A85" s="2">
        <f>IFERROR(__xludf.DUMMYFUNCTION("""COMPUTED_VALUE"""),84.0)</f>
        <v>84</v>
      </c>
      <c r="B85" s="2" t="str">
        <f>IFERROR(__xludf.DUMMYFUNCTION("""COMPUTED_VALUE"""),"Upper Irkhuwa HPP")</f>
        <v>Upper Irkhuwa HPP</v>
      </c>
      <c r="C85" s="2">
        <f>IFERROR(__xludf.DUMMYFUNCTION("""COMPUTED_VALUE"""),14.5)</f>
        <v>14.5</v>
      </c>
      <c r="D85" s="2" t="str">
        <f>IFERROR(__xludf.DUMMYFUNCTION("""COMPUTED_VALUE"""),"Irkhuwa,Phedi")</f>
        <v>Irkhuwa,Phedi</v>
      </c>
      <c r="E85" s="2">
        <f>IFERROR(__xludf.DUMMYFUNCTION("""COMPUTED_VALUE"""),295.0)</f>
        <v>295</v>
      </c>
      <c r="F85" s="3">
        <f>IFERROR(__xludf.DUMMYFUNCTION("""COMPUTED_VALUE"""),64704.0)</f>
        <v>64704</v>
      </c>
      <c r="G85" s="3">
        <f>IFERROR(__xludf.DUMMYFUNCTION("""COMPUTED_VALUE"""),77485.0)</f>
        <v>77485</v>
      </c>
      <c r="H85" s="2" t="str">
        <f>IFERROR(__xludf.DUMMYFUNCTION("""COMPUTED_VALUE"""),"Aarati Power Company Ltd.")</f>
        <v>Aarati Power Company Ltd.</v>
      </c>
      <c r="I85" s="2" t="str">
        <f>IFERROR(__xludf.DUMMYFUNCTION("""COMPUTED_VALUE"""),"KMC-05, 01-4537544, 9851221372, Email: aaratipower@gmail.com")</f>
        <v>KMC-05, 01-4537544, 9851221372, Email: aaratipower@gmail.com</v>
      </c>
      <c r="J85" s="2" t="str">
        <f>IFERROR(__xludf.DUMMYFUNCTION("""COMPUTED_VALUE"""),"27o 22' 58""")</f>
        <v>27o 22' 58"</v>
      </c>
      <c r="K85" s="2" t="str">
        <f>IFERROR(__xludf.DUMMYFUNCTION("""COMPUTED_VALUE"""),"27o 24' 17""")</f>
        <v>27o 24' 17"</v>
      </c>
      <c r="L85" s="2" t="str">
        <f>IFERROR(__xludf.DUMMYFUNCTION("""COMPUTED_VALUE"""),"87o 01' 44""")</f>
        <v>87o 01' 44"</v>
      </c>
      <c r="M85" s="2" t="str">
        <f>IFERROR(__xludf.DUMMYFUNCTION("""COMPUTED_VALUE"""),"87o 03' 51""")</f>
        <v>87o 03' 51"</v>
      </c>
      <c r="N85" s="2" t="str">
        <f>IFERROR(__xludf.DUMMYFUNCTION("""COMPUTED_VALUE"""),"Dobhane,Khatamma,Kudak Kaule (Bhojpur)")</f>
        <v>Dobhane,Khatamma,Kudak Kaule (Bhojpur)</v>
      </c>
    </row>
    <row r="86">
      <c r="A86" s="2">
        <f>IFERROR(__xludf.DUMMYFUNCTION("""COMPUTED_VALUE"""),85.0)</f>
        <v>85</v>
      </c>
      <c r="B86" s="2" t="str">
        <f>IFERROR(__xludf.DUMMYFUNCTION("""COMPUTED_VALUE"""),"Isuwa Khola Hydropower Project")</f>
        <v>Isuwa Khola Hydropower Project</v>
      </c>
      <c r="C86" s="2">
        <f>IFERROR(__xludf.DUMMYFUNCTION("""COMPUTED_VALUE"""),97.2)</f>
        <v>97.2</v>
      </c>
      <c r="D86" s="2" t="str">
        <f>IFERROR(__xludf.DUMMYFUNCTION("""COMPUTED_VALUE"""),"Isuwa Khola")</f>
        <v>Isuwa Khola</v>
      </c>
      <c r="E86" s="2">
        <f>IFERROR(__xludf.DUMMYFUNCTION("""COMPUTED_VALUE"""),296.0)</f>
        <v>296</v>
      </c>
      <c r="F86" s="3">
        <f>IFERROR(__xludf.DUMMYFUNCTION("""COMPUTED_VALUE"""),64708.0)</f>
        <v>64708</v>
      </c>
      <c r="G86" s="3">
        <f>IFERROR(__xludf.DUMMYFUNCTION("""COMPUTED_VALUE"""),77489.0)</f>
        <v>77489</v>
      </c>
      <c r="H86" s="2" t="str">
        <f>IFERROR(__xludf.DUMMYFUNCTION("""COMPUTED_VALUE"""),"KBNR Isuwa Power Ltd.")</f>
        <v>KBNR Isuwa Power Ltd.</v>
      </c>
      <c r="I86" s="2" t="str">
        <f>IFERROR(__xludf.DUMMYFUNCTION("""COMPUTED_VALUE"""),"Biratnagar -13, Morang,Nepal 021472227")</f>
        <v>Biratnagar -13, Morang,Nepal 021472227</v>
      </c>
      <c r="J86" s="2" t="str">
        <f>IFERROR(__xludf.DUMMYFUNCTION("""COMPUTED_VALUE"""),"27o 34' 03""")</f>
        <v>27o 34' 03"</v>
      </c>
      <c r="K86" s="2" t="str">
        <f>IFERROR(__xludf.DUMMYFUNCTION("""COMPUTED_VALUE"""),"27o 37' 00""")</f>
        <v>27o 37' 00"</v>
      </c>
      <c r="L86" s="2" t="str">
        <f>IFERROR(__xludf.DUMMYFUNCTION("""COMPUTED_VALUE"""),"87o 11' 23""")</f>
        <v>87o 11' 23"</v>
      </c>
      <c r="M86" s="2" t="str">
        <f>IFERROR(__xludf.DUMMYFUNCTION("""COMPUTED_VALUE"""),"87o 14' 30""")</f>
        <v>87o 14' 30"</v>
      </c>
      <c r="N86" s="2" t="str">
        <f>IFERROR(__xludf.DUMMYFUNCTION("""COMPUTED_VALUE"""),"Makalu (Sankhuwasabha)")</f>
        <v>Makalu (Sankhuwasabha)</v>
      </c>
    </row>
    <row r="87">
      <c r="A87" s="2">
        <f>IFERROR(__xludf.DUMMYFUNCTION("""COMPUTED_VALUE"""),86.0)</f>
        <v>86</v>
      </c>
      <c r="B87" s="2" t="str">
        <f>IFERROR(__xludf.DUMMYFUNCTION("""COMPUTED_VALUE"""),"Upper Maiwa HPP")</f>
        <v>Upper Maiwa HPP</v>
      </c>
      <c r="C87" s="2">
        <f>IFERROR(__xludf.DUMMYFUNCTION("""COMPUTED_VALUE"""),17.85)</f>
        <v>17.85</v>
      </c>
      <c r="D87" s="2" t="str">
        <f>IFERROR(__xludf.DUMMYFUNCTION("""COMPUTED_VALUE"""),"Maiwa")</f>
        <v>Maiwa</v>
      </c>
      <c r="E87" s="2">
        <f>IFERROR(__xludf.DUMMYFUNCTION("""COMPUTED_VALUE"""),298.0)</f>
        <v>298</v>
      </c>
      <c r="F87" s="3">
        <f>IFERROR(__xludf.DUMMYFUNCTION("""COMPUTED_VALUE"""),64712.0)</f>
        <v>64712</v>
      </c>
      <c r="G87" s="3">
        <f>IFERROR(__xludf.DUMMYFUNCTION("""COMPUTED_VALUE"""),77494.0)</f>
        <v>77494</v>
      </c>
      <c r="H87" s="2" t="str">
        <f>IFERROR(__xludf.DUMMYFUNCTION("""COMPUTED_VALUE"""),"Kang Hydropower Company Pvt. Ltd")</f>
        <v>Kang Hydropower Company Pvt. Ltd</v>
      </c>
      <c r="I87" s="2" t="str">
        <f>IFERROR(__xludf.DUMMYFUNCTION("""COMPUTED_VALUE"""),"Dharan, mob.no. 9852045950, 9812398039; Email: jayalimbu@gmail.com")</f>
        <v>Dharan, mob.no. 9852045950, 9812398039; Email: jayalimbu@gmail.com</v>
      </c>
      <c r="J87" s="2" t="str">
        <f>IFERROR(__xludf.DUMMYFUNCTION("""COMPUTED_VALUE"""),"27o 22' 23""")</f>
        <v>27o 22' 23"</v>
      </c>
      <c r="K87" s="2" t="str">
        <f>IFERROR(__xludf.DUMMYFUNCTION("""COMPUTED_VALUE"""),"27o 24' 50""")</f>
        <v>27o 24' 50"</v>
      </c>
      <c r="L87" s="2" t="str">
        <f>IFERROR(__xludf.DUMMYFUNCTION("""COMPUTED_VALUE"""),"87o 30' 35""")</f>
        <v>87o 30' 35"</v>
      </c>
      <c r="M87" s="2" t="str">
        <f>IFERROR(__xludf.DUMMYFUNCTION("""COMPUTED_VALUE"""),"87o 33' 38""")</f>
        <v>87o 33' 38"</v>
      </c>
      <c r="N87" s="2" t="str">
        <f>IFERROR(__xludf.DUMMYFUNCTION("""COMPUTED_VALUE"""),"Thinglabu,Phakumba,Sanghu,Dhungesaghu (Taplejung)")</f>
        <v>Thinglabu,Phakumba,Sanghu,Dhungesaghu (Taplejung)</v>
      </c>
    </row>
    <row r="88">
      <c r="A88" s="2">
        <f>IFERROR(__xludf.DUMMYFUNCTION("""COMPUTED_VALUE"""),87.0)</f>
        <v>87</v>
      </c>
      <c r="B88" s="2" t="str">
        <f>IFERROR(__xludf.DUMMYFUNCTION("""COMPUTED_VALUE"""),"Lower Balephi")</f>
        <v>Lower Balephi</v>
      </c>
      <c r="C88" s="2">
        <f>IFERROR(__xludf.DUMMYFUNCTION("""COMPUTED_VALUE"""),20.0)</f>
        <v>20</v>
      </c>
      <c r="D88" s="2" t="str">
        <f>IFERROR(__xludf.DUMMYFUNCTION("""COMPUTED_VALUE"""),"Balephi")</f>
        <v>Balephi</v>
      </c>
      <c r="E88" s="2">
        <f>IFERROR(__xludf.DUMMYFUNCTION("""COMPUTED_VALUE"""),300.0)</f>
        <v>300</v>
      </c>
      <c r="F88" s="3">
        <f>IFERROR(__xludf.DUMMYFUNCTION("""COMPUTED_VALUE"""),64714.0)</f>
        <v>64714</v>
      </c>
      <c r="G88" s="3">
        <f>IFERROR(__xludf.DUMMYFUNCTION("""COMPUTED_VALUE"""),77496.0)</f>
        <v>77496</v>
      </c>
      <c r="H88" s="2" t="str">
        <f>IFERROR(__xludf.DUMMYFUNCTION("""COMPUTED_VALUE"""),"Sajha Power Company Ltd.")</f>
        <v>Sajha Power Company Ltd.</v>
      </c>
      <c r="I88" s="2" t="str">
        <f>IFERROR(__xludf.DUMMYFUNCTION("""COMPUTED_VALUE"""),"5th Floor, Trade Tower, Thapathali, Ktm, 01-5111015,5111016, 
sajhapower2022@gmail.com")</f>
        <v>5th Floor, Trade Tower, Thapathali, Ktm, 01-5111015,5111016, 
sajhapower2022@gmail.com</v>
      </c>
      <c r="J88" s="2" t="str">
        <f>IFERROR(__xludf.DUMMYFUNCTION("""COMPUTED_VALUE"""),"27o 45' 39""")</f>
        <v>27o 45' 39"</v>
      </c>
      <c r="K88" s="2" t="str">
        <f>IFERROR(__xludf.DUMMYFUNCTION("""COMPUTED_VALUE"""),"27o 48' 23""")</f>
        <v>27o 48' 23"</v>
      </c>
      <c r="L88" s="2" t="str">
        <f>IFERROR(__xludf.DUMMYFUNCTION("""COMPUTED_VALUE"""),"85o 44' 44""")</f>
        <v>85o 44' 44"</v>
      </c>
      <c r="M88" s="2" t="str">
        <f>IFERROR(__xludf.DUMMYFUNCTION("""COMPUTED_VALUE"""),"85o 46' 41""")</f>
        <v>85o 46' 41"</v>
      </c>
      <c r="N88" s="2" t="str">
        <f>IFERROR(__xludf.DUMMYFUNCTION("""COMPUTED_VALUE"""),"Batase,Kubhinde,Fulpingkot,Fupingdandagau (Sindhupalchok)")</f>
        <v>Batase,Kubhinde,Fulpingkot,Fupingdandagau (Sindhupalchok)</v>
      </c>
    </row>
    <row r="89">
      <c r="A89" s="2">
        <f>IFERROR(__xludf.DUMMYFUNCTION("""COMPUTED_VALUE"""),88.0)</f>
        <v>88</v>
      </c>
      <c r="B89" s="2" t="str">
        <f>IFERROR(__xludf.DUMMYFUNCTION("""COMPUTED_VALUE"""),"Madya Super Daraundi HPP")</f>
        <v>Madya Super Daraundi HPP</v>
      </c>
      <c r="C89" s="2">
        <f>IFERROR(__xludf.DUMMYFUNCTION("""COMPUTED_VALUE"""),10.0)</f>
        <v>10</v>
      </c>
      <c r="D89" s="2" t="str">
        <f>IFERROR(__xludf.DUMMYFUNCTION("""COMPUTED_VALUE"""),"Daraudi")</f>
        <v>Daraudi</v>
      </c>
      <c r="E89" s="2">
        <f>IFERROR(__xludf.DUMMYFUNCTION("""COMPUTED_VALUE"""),301.0)</f>
        <v>301</v>
      </c>
      <c r="F89" s="3">
        <f>IFERROR(__xludf.DUMMYFUNCTION("""COMPUTED_VALUE"""),64714.0)</f>
        <v>64714</v>
      </c>
      <c r="G89" s="3">
        <f>IFERROR(__xludf.DUMMYFUNCTION("""COMPUTED_VALUE"""),77496.0)</f>
        <v>77496</v>
      </c>
      <c r="H89" s="2" t="str">
        <f>IFERROR(__xludf.DUMMYFUNCTION("""COMPUTED_VALUE"""),"Barpak Daraundi Hydropower Company Pvt. Ltd.")</f>
        <v>Barpak Daraundi Hydropower Company Pvt. Ltd.</v>
      </c>
      <c r="I89" s="2" t="str">
        <f>IFERROR(__xludf.DUMMYFUNCTION("""COMPUTED_VALUE"""),"Kathmandu 9, GPO Box: 8643, Phone no 9851173806; 9841244892")</f>
        <v>Kathmandu 9, GPO Box: 8643, Phone no 9851173806; 9841244892</v>
      </c>
      <c r="J89" s="2" t="str">
        <f>IFERROR(__xludf.DUMMYFUNCTION("""COMPUTED_VALUE"""),"28o 11' 18""")</f>
        <v>28o 11' 18"</v>
      </c>
      <c r="K89" s="2" t="str">
        <f>IFERROR(__xludf.DUMMYFUNCTION("""COMPUTED_VALUE"""),"28o 13' 22""")</f>
        <v>28o 13' 22"</v>
      </c>
      <c r="L89" s="2" t="str">
        <f>IFERROR(__xludf.DUMMYFUNCTION("""COMPUTED_VALUE"""),"84o 42' 57""")</f>
        <v>84o 42' 57"</v>
      </c>
      <c r="M89" s="2" t="str">
        <f>IFERROR(__xludf.DUMMYFUNCTION("""COMPUTED_VALUE"""),"84o 44' 07""")</f>
        <v>84o 44' 07"</v>
      </c>
      <c r="N89" s="2" t="str">
        <f>IFERROR(__xludf.DUMMYFUNCTION("""COMPUTED_VALUE"""),"Ghyalchok (Gorkha)")</f>
        <v>Ghyalchok (Gorkha)</v>
      </c>
    </row>
    <row r="90">
      <c r="A90" s="2">
        <f>IFERROR(__xludf.DUMMYFUNCTION("""COMPUTED_VALUE"""),89.0)</f>
        <v>89</v>
      </c>
      <c r="B90" s="2" t="str">
        <f>IFERROR(__xludf.DUMMYFUNCTION("""COMPUTED_VALUE"""),"Rauje Khola HPP")</f>
        <v>Rauje Khola HPP</v>
      </c>
      <c r="C90" s="2">
        <f>IFERROR(__xludf.DUMMYFUNCTION("""COMPUTED_VALUE"""),18.6)</f>
        <v>18.6</v>
      </c>
      <c r="D90" s="2" t="str">
        <f>IFERROR(__xludf.DUMMYFUNCTION("""COMPUTED_VALUE"""),"Rauje Khola")</f>
        <v>Rauje Khola</v>
      </c>
      <c r="E90" s="2">
        <f>IFERROR(__xludf.DUMMYFUNCTION("""COMPUTED_VALUE"""),302.0)</f>
        <v>302</v>
      </c>
      <c r="F90" s="3">
        <f>IFERROR(__xludf.DUMMYFUNCTION("""COMPUTED_VALUE"""),64714.0)</f>
        <v>64714</v>
      </c>
      <c r="G90" s="3">
        <f>IFERROR(__xludf.DUMMYFUNCTION("""COMPUTED_VALUE"""),77496.0)</f>
        <v>77496</v>
      </c>
      <c r="H90" s="2" t="str">
        <f>IFERROR(__xludf.DUMMYFUNCTION("""COMPUTED_VALUE"""),"Hydro Connection Pvt Ltd")</f>
        <v>Hydro Connection Pvt Ltd</v>
      </c>
      <c r="I90" s="2" t="str">
        <f>IFERROR(__xludf.DUMMYFUNCTION("""COMPUTED_VALUE"""),"Latitpur-15, Mahalaxmisthan., phone no 5523784, email 
connectionhydro@gmail.com")</f>
        <v>Latitpur-15, Mahalaxmisthan., phone no 5523784, email 
connectionhydro@gmail.com</v>
      </c>
      <c r="J90" s="2" t="str">
        <f>IFERROR(__xludf.DUMMYFUNCTION("""COMPUTED_VALUE"""),"27o 37' 10""")</f>
        <v>27o 37' 10"</v>
      </c>
      <c r="K90" s="2" t="str">
        <f>IFERROR(__xludf.DUMMYFUNCTION("""COMPUTED_VALUE"""),"27o 38' 47""")</f>
        <v>27o 38' 47"</v>
      </c>
      <c r="L90" s="2" t="str">
        <f>IFERROR(__xludf.DUMMYFUNCTION("""COMPUTED_VALUE"""),"86o 40' 35""")</f>
        <v>86o 40' 35"</v>
      </c>
      <c r="M90" s="2" t="str">
        <f>IFERROR(__xludf.DUMMYFUNCTION("""COMPUTED_VALUE"""),"86o 42' 00""")</f>
        <v>86o 42' 00"</v>
      </c>
      <c r="N90" s="2" t="str">
        <f>IFERROR(__xludf.DUMMYFUNCTION("""COMPUTED_VALUE"""),"Takasindu (Solukhumbu)")</f>
        <v>Takasindu (Solukhumbu)</v>
      </c>
    </row>
    <row r="91">
      <c r="A91" s="2">
        <f>IFERROR(__xludf.DUMMYFUNCTION("""COMPUTED_VALUE"""),90.0)</f>
        <v>90</v>
      </c>
      <c r="B91" s="2" t="str">
        <f>IFERROR(__xludf.DUMMYFUNCTION("""COMPUTED_VALUE"""),"Bhotekoshi 5 HEP")</f>
        <v>Bhotekoshi 5 HEP</v>
      </c>
      <c r="C91" s="2">
        <f>IFERROR(__xludf.DUMMYFUNCTION("""COMPUTED_VALUE"""),46.0)</f>
        <v>46</v>
      </c>
      <c r="D91" s="2" t="str">
        <f>IFERROR(__xludf.DUMMYFUNCTION("""COMPUTED_VALUE"""),"Bhotekoshi (Sindhupalchowk)")</f>
        <v>Bhotekoshi (Sindhupalchowk)</v>
      </c>
      <c r="E91" s="2">
        <f>IFERROR(__xludf.DUMMYFUNCTION("""COMPUTED_VALUE"""),303.0)</f>
        <v>303</v>
      </c>
      <c r="F91" s="3">
        <f>IFERROR(__xludf.DUMMYFUNCTION("""COMPUTED_VALUE"""),64723.0)</f>
        <v>64723</v>
      </c>
      <c r="G91" s="3">
        <f>IFERROR(__xludf.DUMMYFUNCTION("""COMPUTED_VALUE"""),77505.0)</f>
        <v>77505</v>
      </c>
      <c r="H91" s="2" t="str">
        <f>IFERROR(__xludf.DUMMYFUNCTION("""COMPUTED_VALUE"""),"Kalika Energy Ltd.")</f>
        <v>Kalika Energy Ltd.</v>
      </c>
      <c r="I91" s="2" t="str">
        <f>IFERROR(__xludf.DUMMYFUNCTION("""COMPUTED_VALUE"""),"Kathmandu-30, 01-4542782, kalikaenergy@gmail.com")</f>
        <v>Kathmandu-30, 01-4542782, kalikaenergy@gmail.com</v>
      </c>
      <c r="J91" s="2" t="str">
        <f>IFERROR(__xludf.DUMMYFUNCTION("""COMPUTED_VALUE"""),"27o 46' 05""")</f>
        <v>27o 46' 05"</v>
      </c>
      <c r="K91" s="2" t="str">
        <f>IFERROR(__xludf.DUMMYFUNCTION("""COMPUTED_VALUE"""),"27o 49' 08""")</f>
        <v>27o 49' 08"</v>
      </c>
      <c r="L91" s="2" t="str">
        <f>IFERROR(__xludf.DUMMYFUNCTION("""COMPUTED_VALUE"""),"85o 51' 49""")</f>
        <v>85o 51' 49"</v>
      </c>
      <c r="M91" s="2" t="str">
        <f>IFERROR(__xludf.DUMMYFUNCTION("""COMPUTED_VALUE"""),"85o 54' 14""")</f>
        <v>85o 54' 14"</v>
      </c>
      <c r="N91" s="2" t="str">
        <f>IFERROR(__xludf.DUMMYFUNCTION("""COMPUTED_VALUE"""),"Ramche,Tekanpur,Gati,Barhabise,Maneswor,Mankha (Sindhupalchok)")</f>
        <v>Ramche,Tekanpur,Gati,Barhabise,Maneswor,Mankha (Sindhupalchok)</v>
      </c>
    </row>
    <row r="92">
      <c r="A92" s="2">
        <f>IFERROR(__xludf.DUMMYFUNCTION("""COMPUTED_VALUE"""),91.0)</f>
        <v>91</v>
      </c>
      <c r="B92" s="2" t="str">
        <f>IFERROR(__xludf.DUMMYFUNCTION("""COMPUTED_VALUE"""),"Hidi Khola HEP")</f>
        <v>Hidi Khola HEP</v>
      </c>
      <c r="C92" s="2">
        <f>IFERROR(__xludf.DUMMYFUNCTION("""COMPUTED_VALUE"""),6.82)</f>
        <v>6.82</v>
      </c>
      <c r="D92" s="2" t="str">
        <f>IFERROR(__xludf.DUMMYFUNCTION("""COMPUTED_VALUE"""),"Hidi Khola")</f>
        <v>Hidi Khola</v>
      </c>
      <c r="E92" s="2">
        <f>IFERROR(__xludf.DUMMYFUNCTION("""COMPUTED_VALUE"""),307.0)</f>
        <v>307</v>
      </c>
      <c r="F92" s="3">
        <f>IFERROR(__xludf.DUMMYFUNCTION("""COMPUTED_VALUE"""),64754.0)</f>
        <v>64754</v>
      </c>
      <c r="G92" s="3">
        <f>IFERROR(__xludf.DUMMYFUNCTION("""COMPUTED_VALUE"""),77536.0)</f>
        <v>77536</v>
      </c>
      <c r="H92" s="2" t="str">
        <f>IFERROR(__xludf.DUMMYFUNCTION("""COMPUTED_VALUE"""),"White Lotus Power Pvt.ltd.")</f>
        <v>White Lotus Power Pvt.ltd.</v>
      </c>
      <c r="I92" s="2" t="str">
        <f>IFERROR(__xludf.DUMMYFUNCTION("""COMPUTED_VALUE"""),"Anamnagar-32,Kathmandu, 9851147724,9851121726, P.O Box 19820")</f>
        <v>Anamnagar-32,Kathmandu, 9851147724,9851121726, P.O Box 19820</v>
      </c>
      <c r="J92" s="2" t="str">
        <f>IFERROR(__xludf.DUMMYFUNCTION("""COMPUTED_VALUE"""),"28o 22' 22""")</f>
        <v>28o 22' 22"</v>
      </c>
      <c r="K92" s="2" t="str">
        <f>IFERROR(__xludf.DUMMYFUNCTION("""COMPUTED_VALUE"""),"28o 23' 04""")</f>
        <v>28o 23' 04"</v>
      </c>
      <c r="L92" s="2" t="str">
        <f>IFERROR(__xludf.DUMMYFUNCTION("""COMPUTED_VALUE"""),"84o 29' 12""")</f>
        <v>84o 29' 12"</v>
      </c>
      <c r="M92" s="2" t="str">
        <f>IFERROR(__xludf.DUMMYFUNCTION("""COMPUTED_VALUE"""),"84o 31' 05""")</f>
        <v>84o 31' 05"</v>
      </c>
      <c r="N92" s="2" t="str">
        <f>IFERROR(__xludf.DUMMYFUNCTION("""COMPUTED_VALUE"""),"Bhulbhule,Bahundada (Lamjung)")</f>
        <v>Bhulbhule,Bahundada (Lamjung)</v>
      </c>
    </row>
    <row r="93">
      <c r="A93" s="2">
        <f>IFERROR(__xludf.DUMMYFUNCTION("""COMPUTED_VALUE"""),92.0)</f>
        <v>92</v>
      </c>
      <c r="B93" s="2" t="str">
        <f>IFERROR(__xludf.DUMMYFUNCTION("""COMPUTED_VALUE"""),"Middle Tadi HPP")</f>
        <v>Middle Tadi HPP</v>
      </c>
      <c r="C93" s="2">
        <f>IFERROR(__xludf.DUMMYFUNCTION("""COMPUTED_VALUE"""),5.5)</f>
        <v>5.5</v>
      </c>
      <c r="D93" s="2" t="str">
        <f>IFERROR(__xludf.DUMMYFUNCTION("""COMPUTED_VALUE"""),"Tadi Khola")</f>
        <v>Tadi Khola</v>
      </c>
      <c r="E93" s="2">
        <f>IFERROR(__xludf.DUMMYFUNCTION("""COMPUTED_VALUE"""),310.0)</f>
        <v>310</v>
      </c>
      <c r="F93" s="3">
        <f>IFERROR(__xludf.DUMMYFUNCTION("""COMPUTED_VALUE"""),64767.0)</f>
        <v>64767</v>
      </c>
      <c r="G93" s="3">
        <f>IFERROR(__xludf.DUMMYFUNCTION("""COMPUTED_VALUE"""),77549.0)</f>
        <v>77549</v>
      </c>
      <c r="H93" s="2" t="str">
        <f>IFERROR(__xludf.DUMMYFUNCTION("""COMPUTED_VALUE"""),"Dupcheshwor Mahadev Hydro Company Pvt. Ltd.")</f>
        <v>Dupcheshwor Mahadev Hydro Company Pvt. Ltd.</v>
      </c>
      <c r="I93" s="2" t="str">
        <f>IFERROR(__xludf.DUMMYFUNCTION("""COMPUTED_VALUE"""),"Kathmandu-1, House No 271 Situ Plaza, Narayan Chaur; Phone 9851064168( 
bisam), 4002604")</f>
        <v>Kathmandu-1, House No 271 Situ Plaza, Narayan Chaur; Phone 9851064168( 
bisam), 4002604</v>
      </c>
      <c r="J93" s="2" t="str">
        <f>IFERROR(__xludf.DUMMYFUNCTION("""COMPUTED_VALUE"""),"27o 57' 30""")</f>
        <v>27o 57' 30"</v>
      </c>
      <c r="K93" s="2" t="str">
        <f>IFERROR(__xludf.DUMMYFUNCTION("""COMPUTED_VALUE"""),"27o 57' 54""")</f>
        <v>27o 57' 54"</v>
      </c>
      <c r="L93" s="2" t="str">
        <f>IFERROR(__xludf.DUMMYFUNCTION("""COMPUTED_VALUE"""),"85o 24' 04""")</f>
        <v>85o 24' 04"</v>
      </c>
      <c r="M93" s="2" t="str">
        <f>IFERROR(__xludf.DUMMYFUNCTION("""COMPUTED_VALUE"""),"85o 25' 09""")</f>
        <v>85o 25' 09"</v>
      </c>
      <c r="N93" s="2" t="str">
        <f>IFERROR(__xludf.DUMMYFUNCTION("""COMPUTED_VALUE"""),"Rautbesi,Shikharbesi,Dhyangphedi (Nuwakot)")</f>
        <v>Rautbesi,Shikharbesi,Dhyangphedi (Nuwakot)</v>
      </c>
    </row>
    <row r="94">
      <c r="A94" s="2">
        <f>IFERROR(__xludf.DUMMYFUNCTION("""COMPUTED_VALUE"""),93.0)</f>
        <v>93</v>
      </c>
      <c r="B94" s="2" t="str">
        <f>IFERROR(__xludf.DUMMYFUNCTION("""COMPUTED_VALUE"""),"Pegu Khola Small Hydropower Project")</f>
        <v>Pegu Khola Small Hydropower Project</v>
      </c>
      <c r="C94" s="2">
        <f>IFERROR(__xludf.DUMMYFUNCTION("""COMPUTED_VALUE"""),4.35)</f>
        <v>4.35</v>
      </c>
      <c r="D94" s="2" t="str">
        <f>IFERROR(__xludf.DUMMYFUNCTION("""COMPUTED_VALUE"""),"Pegu")</f>
        <v>Pegu</v>
      </c>
      <c r="E94" s="2">
        <f>IFERROR(__xludf.DUMMYFUNCTION("""COMPUTED_VALUE"""),311.0)</f>
        <v>311</v>
      </c>
      <c r="F94" s="3">
        <f>IFERROR(__xludf.DUMMYFUNCTION("""COMPUTED_VALUE"""),64781.0)</f>
        <v>64781</v>
      </c>
      <c r="G94" s="3">
        <f>IFERROR(__xludf.DUMMYFUNCTION("""COMPUTED_VALUE"""),77563.0)</f>
        <v>77563</v>
      </c>
      <c r="H94" s="2" t="str">
        <f>IFERROR(__xludf.DUMMYFUNCTION("""COMPUTED_VALUE"""),"BiguHydropower Venture")</f>
        <v>BiguHydropower Venture</v>
      </c>
      <c r="I94" s="2" t="str">
        <f>IFERROR(__xludf.DUMMYFUNCTION("""COMPUTED_VALUE"""),"KMC-9, Battisputali, 9841837222")</f>
        <v>KMC-9, Battisputali, 9841837222</v>
      </c>
      <c r="J94" s="2" t="str">
        <f>IFERROR(__xludf.DUMMYFUNCTION("""COMPUTED_VALUE"""),"27o 49' 22""")</f>
        <v>27o 49' 22"</v>
      </c>
      <c r="K94" s="2" t="str">
        <f>IFERROR(__xludf.DUMMYFUNCTION("""COMPUTED_VALUE"""),"27o 50' 18""")</f>
        <v>27o 50' 18"</v>
      </c>
      <c r="L94" s="2" t="str">
        <f>IFERROR(__xludf.DUMMYFUNCTION("""COMPUTED_VALUE"""),"86o 03' 22""")</f>
        <v>86o 03' 22"</v>
      </c>
      <c r="M94" s="2" t="str">
        <f>IFERROR(__xludf.DUMMYFUNCTION("""COMPUTED_VALUE"""),"86o 04' 59""")</f>
        <v>86o 04' 59"</v>
      </c>
      <c r="N94" s="2" t="str">
        <f>IFERROR(__xludf.DUMMYFUNCTION("""COMPUTED_VALUE"""),"Bigu (Dolakha)")</f>
        <v>Bigu (Dolakha)</v>
      </c>
    </row>
    <row r="95">
      <c r="A95" s="2">
        <f>IFERROR(__xludf.DUMMYFUNCTION("""COMPUTED_VALUE"""),94.0)</f>
        <v>94</v>
      </c>
      <c r="B95" s="2" t="str">
        <f>IFERROR(__xludf.DUMMYFUNCTION("""COMPUTED_VALUE"""),"Jurimba Khola Small Hydropower Project")</f>
        <v>Jurimba Khola Small Hydropower Project</v>
      </c>
      <c r="C95" s="2">
        <f>IFERROR(__xludf.DUMMYFUNCTION("""COMPUTED_VALUE"""),7.63)</f>
        <v>7.63</v>
      </c>
      <c r="D95" s="2" t="str">
        <f>IFERROR(__xludf.DUMMYFUNCTION("""COMPUTED_VALUE"""),"Jurimba")</f>
        <v>Jurimba</v>
      </c>
      <c r="E95" s="2">
        <f>IFERROR(__xludf.DUMMYFUNCTION("""COMPUTED_VALUE"""),312.0)</f>
        <v>312</v>
      </c>
      <c r="F95" s="3">
        <f>IFERROR(__xludf.DUMMYFUNCTION("""COMPUTED_VALUE"""),64799.0)</f>
        <v>64799</v>
      </c>
      <c r="G95" s="3">
        <f>IFERROR(__xludf.DUMMYFUNCTION("""COMPUTED_VALUE"""),77581.0)</f>
        <v>77581</v>
      </c>
      <c r="H95" s="2" t="str">
        <f>IFERROR(__xludf.DUMMYFUNCTION("""COMPUTED_VALUE"""),"Jurimba Hydropower Company Pvt. Ltd")</f>
        <v>Jurimba Hydropower Company Pvt. Ltd</v>
      </c>
      <c r="I95" s="2" t="str">
        <f>IFERROR(__xludf.DUMMYFUNCTION("""COMPUTED_VALUE"""),"Minbhawan, Kathmandu")</f>
        <v>Minbhawan, Kathmandu</v>
      </c>
      <c r="J95" s="2" t="str">
        <f>IFERROR(__xludf.DUMMYFUNCTION("""COMPUTED_VALUE"""),"27o 54' 18""")</f>
        <v>27o 54' 18"</v>
      </c>
      <c r="K95" s="2" t="str">
        <f>IFERROR(__xludf.DUMMYFUNCTION("""COMPUTED_VALUE"""),"27o 55' 28""")</f>
        <v>27o 55' 28"</v>
      </c>
      <c r="L95" s="2" t="str">
        <f>IFERROR(__xludf.DUMMYFUNCTION("""COMPUTED_VALUE"""),"85o 53' 26""")</f>
        <v>85o 53' 26"</v>
      </c>
      <c r="M95" s="2" t="str">
        <f>IFERROR(__xludf.DUMMYFUNCTION("""COMPUTED_VALUE"""),"85o 55' 18""")</f>
        <v>85o 55' 18"</v>
      </c>
      <c r="N95" s="2" t="str">
        <f>IFERROR(__xludf.DUMMYFUNCTION("""COMPUTED_VALUE"""),"Listi,Tatopani (Sindhupalchok)")</f>
        <v>Listi,Tatopani (Sindhupalchok)</v>
      </c>
    </row>
    <row r="96">
      <c r="A96" s="2">
        <f>IFERROR(__xludf.DUMMYFUNCTION("""COMPUTED_VALUE"""),95.0)</f>
        <v>95</v>
      </c>
      <c r="B96" s="2" t="str">
        <f>IFERROR(__xludf.DUMMYFUNCTION("""COMPUTED_VALUE"""),"Landruk Modi HEP")</f>
        <v>Landruk Modi HEP</v>
      </c>
      <c r="C96" s="2">
        <f>IFERROR(__xludf.DUMMYFUNCTION("""COMPUTED_VALUE"""),86.59)</f>
        <v>86.59</v>
      </c>
      <c r="D96" s="2" t="str">
        <f>IFERROR(__xludf.DUMMYFUNCTION("""COMPUTED_VALUE"""),"Modi")</f>
        <v>Modi</v>
      </c>
      <c r="E96" s="2">
        <f>IFERROR(__xludf.DUMMYFUNCTION("""COMPUTED_VALUE"""),313.0)</f>
        <v>313</v>
      </c>
      <c r="F96" s="3">
        <f>IFERROR(__xludf.DUMMYFUNCTION("""COMPUTED_VALUE"""),64802.0)</f>
        <v>64802</v>
      </c>
      <c r="G96" s="3">
        <f>IFERROR(__xludf.DUMMYFUNCTION("""COMPUTED_VALUE"""),77584.0)</f>
        <v>77584</v>
      </c>
      <c r="H96" s="2" t="str">
        <f>IFERROR(__xludf.DUMMYFUNCTION("""COMPUTED_VALUE"""),"Annapurna Bidhyut Bikas Company Pvt. Ltd")</f>
        <v>Annapurna Bidhyut Bikas Company Pvt. Ltd</v>
      </c>
      <c r="I96" s="2" t="str">
        <f>IFERROR(__xludf.DUMMYFUNCTION("""COMPUTED_VALUE"""),"Koteshwor, Kathmandu, 01-4439152, 4439153")</f>
        <v>Koteshwor, Kathmandu, 01-4439152, 4439153</v>
      </c>
      <c r="J96" s="2" t="str">
        <f>IFERROR(__xludf.DUMMYFUNCTION("""COMPUTED_VALUE"""),"28o 24' 10""")</f>
        <v>28o 24' 10"</v>
      </c>
      <c r="K96" s="2" t="str">
        <f>IFERROR(__xludf.DUMMYFUNCTION("""COMPUTED_VALUE"""),"28o 29' 19""")</f>
        <v>28o 29' 19"</v>
      </c>
      <c r="L96" s="2" t="str">
        <f>IFERROR(__xludf.DUMMYFUNCTION("""COMPUTED_VALUE"""),"83o 49' 32""")</f>
        <v>83o 49' 32"</v>
      </c>
      <c r="M96" s="2" t="str">
        <f>IFERROR(__xludf.DUMMYFUNCTION("""COMPUTED_VALUE"""),"83o 53' 52""")</f>
        <v>83o 53' 52"</v>
      </c>
      <c r="N96" s="2"/>
    </row>
    <row r="97">
      <c r="A97" s="2">
        <f>IFERROR(__xludf.DUMMYFUNCTION("""COMPUTED_VALUE"""),96.0)</f>
        <v>96</v>
      </c>
      <c r="B97" s="2" t="str">
        <f>IFERROR(__xludf.DUMMYFUNCTION("""COMPUTED_VALUE"""),"Sunigad")</f>
        <v>Sunigad</v>
      </c>
      <c r="C97" s="2">
        <f>IFERROR(__xludf.DUMMYFUNCTION("""COMPUTED_VALUE"""),11.05)</f>
        <v>11.05</v>
      </c>
      <c r="D97" s="2" t="str">
        <f>IFERROR(__xludf.DUMMYFUNCTION("""COMPUTED_VALUE"""),"Suni Gad")</f>
        <v>Suni Gad</v>
      </c>
      <c r="E97" s="2">
        <f>IFERROR(__xludf.DUMMYFUNCTION("""COMPUTED_VALUE"""),314.0)</f>
        <v>314</v>
      </c>
      <c r="F97" s="3">
        <f>IFERROR(__xludf.DUMMYFUNCTION("""COMPUTED_VALUE"""),64808.0)</f>
        <v>64808</v>
      </c>
      <c r="G97" s="3">
        <f>IFERROR(__xludf.DUMMYFUNCTION("""COMPUTED_VALUE"""),77590.0)</f>
        <v>77590</v>
      </c>
      <c r="H97" s="2" t="str">
        <f>IFERROR(__xludf.DUMMYFUNCTION("""COMPUTED_VALUE"""),"Omega Energy Developer Pvt. Ltd")</f>
        <v>Omega Energy Developer Pvt. Ltd</v>
      </c>
      <c r="I97" s="2" t="str">
        <f>IFERROR(__xludf.DUMMYFUNCTION("""COMPUTED_VALUE"""),"Chandole -4, Kathmandu, omegaenergy73@gmail.com,01-4436184")</f>
        <v>Chandole -4, Kathmandu, omegaenergy73@gmail.com,01-4436184</v>
      </c>
      <c r="J97" s="2" t="str">
        <f>IFERROR(__xludf.DUMMYFUNCTION("""COMPUTED_VALUE"""),"29o 36' 10""")</f>
        <v>29o 36' 10"</v>
      </c>
      <c r="K97" s="2" t="str">
        <f>IFERROR(__xludf.DUMMYFUNCTION("""COMPUTED_VALUE"""),"29o 40' 00""")</f>
        <v>29o 40' 00"</v>
      </c>
      <c r="L97" s="2" t="str">
        <f>IFERROR(__xludf.DUMMYFUNCTION("""COMPUTED_VALUE"""),"81o 11' 46""")</f>
        <v>81o 11' 46"</v>
      </c>
      <c r="M97" s="2" t="str">
        <f>IFERROR(__xludf.DUMMYFUNCTION("""COMPUTED_VALUE"""),"81o 14' 16""")</f>
        <v>81o 14' 16"</v>
      </c>
      <c r="N97" s="2"/>
    </row>
    <row r="98">
      <c r="A98" s="2">
        <f>IFERROR(__xludf.DUMMYFUNCTION("""COMPUTED_VALUE"""),97.0)</f>
        <v>97</v>
      </c>
      <c r="B98" s="2" t="str">
        <f>IFERROR(__xludf.DUMMYFUNCTION("""COMPUTED_VALUE"""),"Mid Rawa Khola HEP")</f>
        <v>Mid Rawa Khola HEP</v>
      </c>
      <c r="C98" s="2">
        <f>IFERROR(__xludf.DUMMYFUNCTION("""COMPUTED_VALUE"""),2.5)</f>
        <v>2.5</v>
      </c>
      <c r="D98" s="2" t="str">
        <f>IFERROR(__xludf.DUMMYFUNCTION("""COMPUTED_VALUE"""),"Rawa Khola, Sung Khola")</f>
        <v>Rawa Khola, Sung Khola</v>
      </c>
      <c r="E98" s="2">
        <f>IFERROR(__xludf.DUMMYFUNCTION("""COMPUTED_VALUE"""),315.0)</f>
        <v>315</v>
      </c>
      <c r="F98" s="3">
        <f>IFERROR(__xludf.DUMMYFUNCTION("""COMPUTED_VALUE"""),64808.0)</f>
        <v>64808</v>
      </c>
      <c r="G98" s="3">
        <f>IFERROR(__xludf.DUMMYFUNCTION("""COMPUTED_VALUE"""),77590.0)</f>
        <v>77590</v>
      </c>
      <c r="H98" s="2" t="str">
        <f>IFERROR(__xludf.DUMMYFUNCTION("""COMPUTED_VALUE"""),"Halesi Urja Pvt. Ltd. , Anamnagar, Kathmandu, Tel: 5538632, 9851088040")</f>
        <v>Halesi Urja Pvt. Ltd. , Anamnagar, Kathmandu, Tel: 5538632, 9851088040</v>
      </c>
      <c r="I98" s="2" t="str">
        <f>IFERROR(__xludf.DUMMYFUNCTION("""COMPUTED_VALUE"""),"Anamnagar, Kathmandu")</f>
        <v>Anamnagar, Kathmandu</v>
      </c>
      <c r="J98" s="2" t="str">
        <f>IFERROR(__xludf.DUMMYFUNCTION("""COMPUTED_VALUE"""),"27o 20' 24""")</f>
        <v>27o 20' 24"</v>
      </c>
      <c r="K98" s="2" t="str">
        <f>IFERROR(__xludf.DUMMYFUNCTION("""COMPUTED_VALUE"""),"27o 21' 04""")</f>
        <v>27o 21' 04"</v>
      </c>
      <c r="L98" s="2" t="str">
        <f>IFERROR(__xludf.DUMMYFUNCTION("""COMPUTED_VALUE"""),"86o 49' 05""")</f>
        <v>86o 49' 05"</v>
      </c>
      <c r="M98" s="2" t="str">
        <f>IFERROR(__xludf.DUMMYFUNCTION("""COMPUTED_VALUE"""),"86o 50' 53""")</f>
        <v>86o 50' 53"</v>
      </c>
      <c r="N98" s="2" t="str">
        <f>IFERROR(__xludf.DUMMYFUNCTION("""COMPUTED_VALUE"""),"Baksila,Rakha Bangdel (Khotang)")</f>
        <v>Baksila,Rakha Bangdel (Khotang)</v>
      </c>
    </row>
    <row r="99">
      <c r="A99" s="2">
        <f>IFERROR(__xludf.DUMMYFUNCTION("""COMPUTED_VALUE"""),98.0)</f>
        <v>98</v>
      </c>
      <c r="B99" s="2" t="str">
        <f>IFERROR(__xludf.DUMMYFUNCTION("""COMPUTED_VALUE"""),"Dudhkoshi-2 (Jaleswar) HPP")</f>
        <v>Dudhkoshi-2 (Jaleswar) HPP</v>
      </c>
      <c r="C99" s="2">
        <f>IFERROR(__xludf.DUMMYFUNCTION("""COMPUTED_VALUE"""),70.0)</f>
        <v>70</v>
      </c>
      <c r="D99" s="2" t="str">
        <f>IFERROR(__xludf.DUMMYFUNCTION("""COMPUTED_VALUE"""),"Dudhkoshi")</f>
        <v>Dudhkoshi</v>
      </c>
      <c r="E99" s="2">
        <f>IFERROR(__xludf.DUMMYFUNCTION("""COMPUTED_VALUE"""),316.0)</f>
        <v>316</v>
      </c>
      <c r="F99" s="3">
        <f>IFERROR(__xludf.DUMMYFUNCTION("""COMPUTED_VALUE"""),64808.0)</f>
        <v>64808</v>
      </c>
      <c r="G99" s="3">
        <f>IFERROR(__xludf.DUMMYFUNCTION("""COMPUTED_VALUE"""),77590.0)</f>
        <v>77590</v>
      </c>
      <c r="H99" s="2" t="str">
        <f>IFERROR(__xludf.DUMMYFUNCTION("""COMPUTED_VALUE"""),"Dudhkoshi Hydropower Nepal Pvt Ltd")</f>
        <v>Dudhkoshi Hydropower Nepal Pvt Ltd</v>
      </c>
      <c r="I99" s="2" t="str">
        <f>IFERROR(__xludf.DUMMYFUNCTION("""COMPUTED_VALUE"""),"Jitjung Marg, Thapathali , Kathmandu, GPO Box: 7301. Tel: 4241001")</f>
        <v>Jitjung Marg, Thapathali , Kathmandu, GPO Box: 7301. Tel: 4241001</v>
      </c>
      <c r="J99" s="2" t="str">
        <f>IFERROR(__xludf.DUMMYFUNCTION("""COMPUTED_VALUE"""),"27o 23' 52""")</f>
        <v>27o 23' 52"</v>
      </c>
      <c r="K99" s="2" t="str">
        <f>IFERROR(__xludf.DUMMYFUNCTION("""COMPUTED_VALUE"""),"27o 26' 30""")</f>
        <v>27o 26' 30"</v>
      </c>
      <c r="L99" s="2" t="str">
        <f>IFERROR(__xludf.DUMMYFUNCTION("""COMPUTED_VALUE"""),"86o 40' 00""")</f>
        <v>86o 40' 00"</v>
      </c>
      <c r="M99" s="2" t="str">
        <f>IFERROR(__xludf.DUMMYFUNCTION("""COMPUTED_VALUE"""),"86o 43' 36""")</f>
        <v>86o 43' 36"</v>
      </c>
      <c r="N99" s="2" t="str">
        <f>IFERROR(__xludf.DUMMYFUNCTION("""COMPUTED_VALUE"""),"Deusa,Kagel,Jubu,Lokhim,Mukali,Necha Batase (Solukhumbu)")</f>
        <v>Deusa,Kagel,Jubu,Lokhim,Mukali,Necha Batase (Solukhumbu)</v>
      </c>
    </row>
    <row r="100">
      <c r="A100" s="2">
        <f>IFERROR(__xludf.DUMMYFUNCTION("""COMPUTED_VALUE"""),99.0)</f>
        <v>99</v>
      </c>
      <c r="B100" s="2" t="str">
        <f>IFERROR(__xludf.DUMMYFUNCTION("""COMPUTED_VALUE"""),"Mudi Khola Hydropower Project")</f>
        <v>Mudi Khola Hydropower Project</v>
      </c>
      <c r="C100" s="2">
        <f>IFERROR(__xludf.DUMMYFUNCTION("""COMPUTED_VALUE"""),14.7)</f>
        <v>14.7</v>
      </c>
      <c r="D100" s="2" t="str">
        <f>IFERROR(__xludf.DUMMYFUNCTION("""COMPUTED_VALUE"""),"Mudi Khola")</f>
        <v>Mudi Khola</v>
      </c>
      <c r="E100" s="2">
        <f>IFERROR(__xludf.DUMMYFUNCTION("""COMPUTED_VALUE"""),318.0)</f>
        <v>318</v>
      </c>
      <c r="F100" s="3">
        <f>IFERROR(__xludf.DUMMYFUNCTION("""COMPUTED_VALUE"""),64814.0)</f>
        <v>64814</v>
      </c>
      <c r="G100" s="3">
        <f>IFERROR(__xludf.DUMMYFUNCTION("""COMPUTED_VALUE"""),77596.0)</f>
        <v>77596</v>
      </c>
      <c r="H100" s="2" t="str">
        <f>IFERROR(__xludf.DUMMYFUNCTION("""COMPUTED_VALUE"""),"Everest Energy and Infrastructure Fund Pvt. Ltd.")</f>
        <v>Everest Energy and Infrastructure Fund Pvt. Ltd.</v>
      </c>
      <c r="I100" s="2" t="str">
        <f>IFERROR(__xludf.DUMMYFUNCTION("""COMPUTED_VALUE"""),"Charkhal Road, Dillibazar, Kathmandu-33, Tel: 01-4432864, 9851163167,Email: 
neupanes.ram@gmail.com")</f>
        <v>Charkhal Road, Dillibazar, Kathmandu-33, Tel: 01-4432864, 9851163167,Email: 
neupanes.ram@gmail.com</v>
      </c>
      <c r="J100" s="2" t="str">
        <f>IFERROR(__xludf.DUMMYFUNCTION("""COMPUTED_VALUE"""),"28o 31' 19""")</f>
        <v>28o 31' 19"</v>
      </c>
      <c r="K100" s="2" t="str">
        <f>IFERROR(__xludf.DUMMYFUNCTION("""COMPUTED_VALUE"""),"28o 34' 00""")</f>
        <v>28o 34' 00"</v>
      </c>
      <c r="L100" s="2" t="str">
        <f>IFERROR(__xludf.DUMMYFUNCTION("""COMPUTED_VALUE"""),"83o 19' 22""")</f>
        <v>83o 19' 22"</v>
      </c>
      <c r="M100" s="2" t="str">
        <f>IFERROR(__xludf.DUMMYFUNCTION("""COMPUTED_VALUE"""),"83o 21' 44""")</f>
        <v>83o 21' 44"</v>
      </c>
      <c r="N100" s="2" t="str">
        <f>IFERROR(__xludf.DUMMYFUNCTION("""COMPUTED_VALUE"""),"Mudi (Myagdi)")</f>
        <v>Mudi (Myagdi)</v>
      </c>
    </row>
    <row r="101">
      <c r="A101" s="2">
        <f>IFERROR(__xludf.DUMMYFUNCTION("""COMPUTED_VALUE"""),100.0)</f>
        <v>100</v>
      </c>
      <c r="B101" s="2" t="str">
        <f>IFERROR(__xludf.DUMMYFUNCTION("""COMPUTED_VALUE"""),"Lower Mid Rawa Khola HEP")</f>
        <v>Lower Mid Rawa Khola HEP</v>
      </c>
      <c r="C101" s="2">
        <f>IFERROR(__xludf.DUMMYFUNCTION("""COMPUTED_VALUE"""),4.0)</f>
        <v>4</v>
      </c>
      <c r="D101" s="2" t="str">
        <f>IFERROR(__xludf.DUMMYFUNCTION("""COMPUTED_VALUE"""),"Rawa")</f>
        <v>Rawa</v>
      </c>
      <c r="E101" s="2">
        <f>IFERROR(__xludf.DUMMYFUNCTION("""COMPUTED_VALUE"""),319.0)</f>
        <v>319</v>
      </c>
      <c r="F101" s="3">
        <f>IFERROR(__xludf.DUMMYFUNCTION("""COMPUTED_VALUE"""),64816.0)</f>
        <v>64816</v>
      </c>
      <c r="G101" s="3">
        <f>IFERROR(__xludf.DUMMYFUNCTION("""COMPUTED_VALUE"""),77598.0)</f>
        <v>77598</v>
      </c>
      <c r="H101" s="2" t="str">
        <f>IFERROR(__xludf.DUMMYFUNCTION("""COMPUTED_VALUE"""),"Lower Mid Rawa Khola Hydropower ProjectPvt. Ltd")</f>
        <v>Lower Mid Rawa Khola Hydropower ProjectPvt. Ltd</v>
      </c>
      <c r="I101" s="2" t="str">
        <f>IFERROR(__xludf.DUMMYFUNCTION("""COMPUTED_VALUE"""),"Ka. Ma.Pa-9, Tel: 9851132735, Email: gspghimire@gmail.com")</f>
        <v>Ka. Ma.Pa-9, Tel: 9851132735, Email: gspghimire@gmail.com</v>
      </c>
      <c r="J101" s="2" t="str">
        <f>IFERROR(__xludf.DUMMYFUNCTION("""COMPUTED_VALUE"""),"27o 20' 03""")</f>
        <v>27o 20' 03"</v>
      </c>
      <c r="K101" s="2" t="str">
        <f>IFERROR(__xludf.DUMMYFUNCTION("""COMPUTED_VALUE"""),"27o 21' 00""")</f>
        <v>27o 21' 00"</v>
      </c>
      <c r="L101" s="2" t="str">
        <f>IFERROR(__xludf.DUMMYFUNCTION("""COMPUTED_VALUE"""),"86o 46' 49""")</f>
        <v>86o 46' 49"</v>
      </c>
      <c r="M101" s="2" t="str">
        <f>IFERROR(__xludf.DUMMYFUNCTION("""COMPUTED_VALUE"""),"86o 49' 00""")</f>
        <v>86o 49' 00"</v>
      </c>
      <c r="N101" s="2" t="str">
        <f>IFERROR(__xludf.DUMMYFUNCTION("""COMPUTED_VALUE"""),"Rakha Bangdel,Sapteswor (Khotang)")</f>
        <v>Rakha Bangdel,Sapteswor (Khotang)</v>
      </c>
    </row>
    <row r="102">
      <c r="A102" s="2">
        <f>IFERROR(__xludf.DUMMYFUNCTION("""COMPUTED_VALUE"""),101.0)</f>
        <v>101</v>
      </c>
      <c r="B102" s="2" t="str">
        <f>IFERROR(__xludf.DUMMYFUNCTION("""COMPUTED_VALUE"""),"Menchet Khola HPP")</f>
        <v>Menchet Khola HPP</v>
      </c>
      <c r="C102" s="2">
        <f>IFERROR(__xludf.DUMMYFUNCTION("""COMPUTED_VALUE"""),7.0)</f>
        <v>7</v>
      </c>
      <c r="D102" s="2" t="str">
        <f>IFERROR(__xludf.DUMMYFUNCTION("""COMPUTED_VALUE"""),"Menchet Khola")</f>
        <v>Menchet Khola</v>
      </c>
      <c r="E102" s="2">
        <f>IFERROR(__xludf.DUMMYFUNCTION("""COMPUTED_VALUE"""),320.0)</f>
        <v>320</v>
      </c>
      <c r="F102" s="3">
        <f>IFERROR(__xludf.DUMMYFUNCTION("""COMPUTED_VALUE"""),64819.0)</f>
        <v>64819</v>
      </c>
      <c r="G102" s="2" t="str">
        <f>IFERROR(__xludf.DUMMYFUNCTION("""COMPUTED_VALUE"""),"2112-08617-0")</f>
        <v>2112-08617-0</v>
      </c>
      <c r="H102" s="2" t="str">
        <f>IFERROR(__xludf.DUMMYFUNCTION("""COMPUTED_VALUE"""),"Ruby Valley Hydropower Com.Ltd.")</f>
        <v>Ruby Valley Hydropower Com.Ltd.</v>
      </c>
      <c r="I102" s="2" t="str">
        <f>IFERROR(__xludf.DUMMYFUNCTION("""COMPUTED_VALUE"""),"Kathmandu-11, Babarmahal, 4222934, 9849920987")</f>
        <v>Kathmandu-11, Babarmahal, 4222934, 9849920987</v>
      </c>
      <c r="J102" s="2" t="str">
        <f>IFERROR(__xludf.DUMMYFUNCTION("""COMPUTED_VALUE"""),"28o 11' 00""")</f>
        <v>28o 11' 00"</v>
      </c>
      <c r="K102" s="2" t="str">
        <f>IFERROR(__xludf.DUMMYFUNCTION("""COMPUTED_VALUE"""),"28o 11' 43""")</f>
        <v>28o 11' 43"</v>
      </c>
      <c r="L102" s="2" t="str">
        <f>IFERROR(__xludf.DUMMYFUNCTION("""COMPUTED_VALUE"""),"85o 04' 45""")</f>
        <v>85o 04' 45"</v>
      </c>
      <c r="M102" s="2" t="str">
        <f>IFERROR(__xludf.DUMMYFUNCTION("""COMPUTED_VALUE"""),"85o 06' 37""")</f>
        <v>85o 06' 37"</v>
      </c>
      <c r="N102" s="2" t="str">
        <f>IFERROR(__xludf.DUMMYFUNCTION("""COMPUTED_VALUE"""),"Sirtung,Tipling (Dhading)")</f>
        <v>Sirtung,Tipling (Dhading)</v>
      </c>
    </row>
    <row r="103">
      <c r="A103" s="2">
        <f>IFERROR(__xludf.DUMMYFUNCTION("""COMPUTED_VALUE"""),102.0)</f>
        <v>102</v>
      </c>
      <c r="B103" s="2" t="str">
        <f>IFERROR(__xludf.DUMMYFUNCTION("""COMPUTED_VALUE"""),"Tamor Mewa")</f>
        <v>Tamor Mewa</v>
      </c>
      <c r="C103" s="2">
        <f>IFERROR(__xludf.DUMMYFUNCTION("""COMPUTED_VALUE"""),128.0)</f>
        <v>128</v>
      </c>
      <c r="D103" s="2" t="str">
        <f>IFERROR(__xludf.DUMMYFUNCTION("""COMPUTED_VALUE"""),"Tamor &amp; Mewa")</f>
        <v>Tamor &amp; Mewa</v>
      </c>
      <c r="E103" s="2">
        <f>IFERROR(__xludf.DUMMYFUNCTION("""COMPUTED_VALUE"""),322.0)</f>
        <v>322</v>
      </c>
      <c r="F103" s="3">
        <f>IFERROR(__xludf.DUMMYFUNCTION("""COMPUTED_VALUE"""),64826.0)</f>
        <v>64826</v>
      </c>
      <c r="G103" s="3">
        <f>IFERROR(__xludf.DUMMYFUNCTION("""COMPUTED_VALUE"""),77608.0)</f>
        <v>77608</v>
      </c>
      <c r="H103" s="2" t="str">
        <f>IFERROR(__xludf.DUMMYFUNCTION("""COMPUTED_VALUE"""),"Spark Hydroelectric Co. Ltd.")</f>
        <v>Spark Hydroelectric Co. Ltd.</v>
      </c>
      <c r="I103" s="2" t="str">
        <f>IFERROR(__xludf.DUMMYFUNCTION("""COMPUTED_VALUE"""),"Gyaneshwor P.O. Box. 20832, Kathmandu-33, Tel: 015902484, 9851247645")</f>
        <v>Gyaneshwor P.O. Box. 20832, Kathmandu-33, Tel: 015902484, 9851247645</v>
      </c>
      <c r="J103" s="2" t="str">
        <f>IFERROR(__xludf.DUMMYFUNCTION("""COMPUTED_VALUE"""),"27o 20' 00""")</f>
        <v>27o 20' 00"</v>
      </c>
      <c r="K103" s="2" t="str">
        <f>IFERROR(__xludf.DUMMYFUNCTION("""COMPUTED_VALUE"""),"27o 24' 08""")</f>
        <v>27o 24' 08"</v>
      </c>
      <c r="L103" s="2" t="str">
        <f>IFERROR(__xludf.DUMMYFUNCTION("""COMPUTED_VALUE"""),"87o 37' 15""")</f>
        <v>87o 37' 15"</v>
      </c>
      <c r="M103" s="2" t="str">
        <f>IFERROR(__xludf.DUMMYFUNCTION("""COMPUTED_VALUE"""),"87o 40' 00""")</f>
        <v>87o 40' 00"</v>
      </c>
      <c r="N103" s="2" t="str">
        <f>IFERROR(__xludf.DUMMYFUNCTION("""COMPUTED_VALUE"""),"Khokling,Phungling (Taplejung)")</f>
        <v>Khokling,Phungling (Taplejung)</v>
      </c>
    </row>
    <row r="104">
      <c r="A104" s="2">
        <f>IFERROR(__xludf.DUMMYFUNCTION("""COMPUTED_VALUE"""),103.0)</f>
        <v>103</v>
      </c>
      <c r="B104" s="2" t="str">
        <f>IFERROR(__xludf.DUMMYFUNCTION("""COMPUTED_VALUE"""),"Midim 1 HEP")</f>
        <v>Midim 1 HEP</v>
      </c>
      <c r="C104" s="2">
        <f>IFERROR(__xludf.DUMMYFUNCTION("""COMPUTED_VALUE"""),13.424)</f>
        <v>13.424</v>
      </c>
      <c r="D104" s="2" t="str">
        <f>IFERROR(__xludf.DUMMYFUNCTION("""COMPUTED_VALUE"""),"Midim Khola")</f>
        <v>Midim Khola</v>
      </c>
      <c r="E104" s="2">
        <f>IFERROR(__xludf.DUMMYFUNCTION("""COMPUTED_VALUE"""),323.0)</f>
        <v>323</v>
      </c>
      <c r="F104" s="3">
        <f>IFERROR(__xludf.DUMMYFUNCTION("""COMPUTED_VALUE"""),64834.0)</f>
        <v>64834</v>
      </c>
      <c r="G104" s="3">
        <f>IFERROR(__xludf.DUMMYFUNCTION("""COMPUTED_VALUE"""),77616.0)</f>
        <v>77616</v>
      </c>
      <c r="H104" s="2" t="str">
        <f>IFERROR(__xludf.DUMMYFUNCTION("""COMPUTED_VALUE"""),"Mount Rasuwa Hydropower Pvt. Ltd.")</f>
        <v>Mount Rasuwa Hydropower Pvt. Ltd.</v>
      </c>
      <c r="I104" s="2" t="str">
        <f>IFERROR(__xludf.DUMMYFUNCTION("""COMPUTED_VALUE"""),"Tokha 10 Kathmandu, 9802033712, 01-4354367")</f>
        <v>Tokha 10 Kathmandu, 9802033712, 01-4354367</v>
      </c>
      <c r="J104" s="2" t="str">
        <f>IFERROR(__xludf.DUMMYFUNCTION("""COMPUTED_VALUE"""),"28o 14' 10""")</f>
        <v>28o 14' 10"</v>
      </c>
      <c r="K104" s="2" t="str">
        <f>IFERROR(__xludf.DUMMYFUNCTION("""COMPUTED_VALUE"""),"28o 17' 55""")</f>
        <v>28o 17' 55"</v>
      </c>
      <c r="L104" s="2" t="str">
        <f>IFERROR(__xludf.DUMMYFUNCTION("""COMPUTED_VALUE"""),"84o 15' 00""")</f>
        <v>84o 15' 00"</v>
      </c>
      <c r="M104" s="2" t="str">
        <f>IFERROR(__xludf.DUMMYFUNCTION("""COMPUTED_VALUE"""),"84o 18' 00""")</f>
        <v>84o 18' 00"</v>
      </c>
      <c r="N104" s="2" t="str">
        <f>IFERROR(__xludf.DUMMYFUNCTION("""COMPUTED_VALUE"""),"Bhujung,Bhoje,Maling,Uttarkanya (Lamjung)")</f>
        <v>Bhujung,Bhoje,Maling,Uttarkanya (Lamjung)</v>
      </c>
    </row>
    <row r="105">
      <c r="A105" s="2">
        <f>IFERROR(__xludf.DUMMYFUNCTION("""COMPUTED_VALUE"""),104.0)</f>
        <v>104</v>
      </c>
      <c r="B105" s="2" t="str">
        <f>IFERROR(__xludf.DUMMYFUNCTION("""COMPUTED_VALUE"""),"Myagdi Khola Hydropower Project")</f>
        <v>Myagdi Khola Hydropower Project</v>
      </c>
      <c r="C105" s="2">
        <f>IFERROR(__xludf.DUMMYFUNCTION("""COMPUTED_VALUE"""),57.3)</f>
        <v>57.3</v>
      </c>
      <c r="D105" s="2" t="str">
        <f>IFERROR(__xludf.DUMMYFUNCTION("""COMPUTED_VALUE"""),"Myagdi Khola")</f>
        <v>Myagdi Khola</v>
      </c>
      <c r="E105" s="2">
        <f>IFERROR(__xludf.DUMMYFUNCTION("""COMPUTED_VALUE"""),326.0)</f>
        <v>326</v>
      </c>
      <c r="F105" s="3">
        <f>IFERROR(__xludf.DUMMYFUNCTION("""COMPUTED_VALUE"""),64856.0)</f>
        <v>64856</v>
      </c>
      <c r="G105" s="3">
        <f>IFERROR(__xludf.DUMMYFUNCTION("""COMPUTED_VALUE"""),77638.0)</f>
        <v>77638</v>
      </c>
      <c r="H105" s="2" t="str">
        <f>IFERROR(__xludf.DUMMYFUNCTION("""COMPUTED_VALUE"""),"Hydro Village Ltd.")</f>
        <v>Hydro Village Ltd.</v>
      </c>
      <c r="I105" s="2" t="str">
        <f>IFERROR(__xludf.DUMMYFUNCTION("""COMPUTED_VALUE"""),"Lalitpur-22,Jwagal.POBox 4256. , 015199073, 9851050406, 
shshil@sushmitgroup.com,sushil.hyvillage@gmail.com")</f>
        <v>Lalitpur-22,Jwagal.POBox 4256. , 015199073, 9851050406, 
shshil@sushmitgroup.com,sushil.hyvillage@gmail.com</v>
      </c>
      <c r="J105" s="2" t="str">
        <f>IFERROR(__xludf.DUMMYFUNCTION("""COMPUTED_VALUE"""),"28o 34' 18""")</f>
        <v>28o 34' 18"</v>
      </c>
      <c r="K105" s="2" t="str">
        <f>IFERROR(__xludf.DUMMYFUNCTION("""COMPUTED_VALUE"""),"28o 37' 49""")</f>
        <v>28o 37' 49"</v>
      </c>
      <c r="L105" s="2" t="str">
        <f>IFERROR(__xludf.DUMMYFUNCTION("""COMPUTED_VALUE"""),"83o 21' 50""")</f>
        <v>83o 21' 50"</v>
      </c>
      <c r="M105" s="2" t="str">
        <f>IFERROR(__xludf.DUMMYFUNCTION("""COMPUTED_VALUE"""),"83o 25' 00""")</f>
        <v>83o 25' 00"</v>
      </c>
      <c r="N105" s="2" t="str">
        <f>IFERROR(__xludf.DUMMYFUNCTION("""COMPUTED_VALUE"""),"Mudi (Myagdi)")</f>
        <v>Mudi (Myagdi)</v>
      </c>
    </row>
    <row r="106">
      <c r="A106" s="2">
        <f>IFERROR(__xludf.DUMMYFUNCTION("""COMPUTED_VALUE"""),105.0)</f>
        <v>105</v>
      </c>
      <c r="B106" s="2" t="str">
        <f>IFERROR(__xludf.DUMMYFUNCTION("""COMPUTED_VALUE"""),"Upper Bhurundi Khola SHP")</f>
        <v>Upper Bhurundi Khola SHP</v>
      </c>
      <c r="C106" s="2">
        <f>IFERROR(__xludf.DUMMYFUNCTION("""COMPUTED_VALUE"""),3.75)</f>
        <v>3.75</v>
      </c>
      <c r="D106" s="2" t="str">
        <f>IFERROR(__xludf.DUMMYFUNCTION("""COMPUTED_VALUE"""),"Bhurundi Khola")</f>
        <v>Bhurundi Khola</v>
      </c>
      <c r="E106" s="2">
        <f>IFERROR(__xludf.DUMMYFUNCTION("""COMPUTED_VALUE"""),327.0)</f>
        <v>327</v>
      </c>
      <c r="F106" s="3">
        <f>IFERROR(__xludf.DUMMYFUNCTION("""COMPUTED_VALUE"""),64858.0)</f>
        <v>64858</v>
      </c>
      <c r="G106" s="3">
        <f>IFERROR(__xludf.DUMMYFUNCTION("""COMPUTED_VALUE"""),77640.0)</f>
        <v>77640</v>
      </c>
      <c r="H106" s="2" t="str">
        <f>IFERROR(__xludf.DUMMYFUNCTION("""COMPUTED_VALUE"""),"Ambe Hydropower Pvt. Ltd,")</f>
        <v>Ambe Hydropower Pvt. Ltd,</v>
      </c>
      <c r="I106" s="2" t="str">
        <f>IFERROR(__xludf.DUMMYFUNCTION("""COMPUTED_VALUE"""),"Kathmandu, Tel: 01-4117979")</f>
        <v>Kathmandu, Tel: 01-4117979</v>
      </c>
      <c r="J106" s="2" t="str">
        <f>IFERROR(__xludf.DUMMYFUNCTION("""COMPUTED_VALUE"""),"28o 19' 30""")</f>
        <v>28o 19' 30"</v>
      </c>
      <c r="K106" s="2" t="str">
        <f>IFERROR(__xludf.DUMMYFUNCTION("""COMPUTED_VALUE"""),"28o 20' 35""")</f>
        <v>28o 20' 35"</v>
      </c>
      <c r="L106" s="2" t="str">
        <f>IFERROR(__xludf.DUMMYFUNCTION("""COMPUTED_VALUE"""),"83o 44' 20""")</f>
        <v>83o 44' 20"</v>
      </c>
      <c r="M106" s="2" t="str">
        <f>IFERROR(__xludf.DUMMYFUNCTION("""COMPUTED_VALUE"""),"83o 45' 00""")</f>
        <v>83o 45' 00"</v>
      </c>
      <c r="N106" s="2" t="str">
        <f>IFERROR(__xludf.DUMMYFUNCTION("""COMPUTED_VALUE"""),"Dangsing (Kaski)")</f>
        <v>Dangsing (Kaski)</v>
      </c>
    </row>
    <row r="107">
      <c r="A107" s="2">
        <f>IFERROR(__xludf.DUMMYFUNCTION("""COMPUTED_VALUE"""),106.0)</f>
        <v>106</v>
      </c>
      <c r="B107" s="2" t="str">
        <f>IFERROR(__xludf.DUMMYFUNCTION("""COMPUTED_VALUE"""),"Nyasim HEP")</f>
        <v>Nyasim HEP</v>
      </c>
      <c r="C107" s="2">
        <f>IFERROR(__xludf.DUMMYFUNCTION("""COMPUTED_VALUE"""),35.0)</f>
        <v>35</v>
      </c>
      <c r="D107" s="2" t="str">
        <f>IFERROR(__xludf.DUMMYFUNCTION("""COMPUTED_VALUE"""),"Nyasem Khola")</f>
        <v>Nyasem Khola</v>
      </c>
      <c r="E107" s="2">
        <f>IFERROR(__xludf.DUMMYFUNCTION("""COMPUTED_VALUE"""),328.0)</f>
        <v>328</v>
      </c>
      <c r="F107" s="3">
        <f>IFERROR(__xludf.DUMMYFUNCTION("""COMPUTED_VALUE"""),64859.0)</f>
        <v>64859</v>
      </c>
      <c r="G107" s="3">
        <f>IFERROR(__xludf.DUMMYFUNCTION("""COMPUTED_VALUE"""),77641.0)</f>
        <v>77641</v>
      </c>
      <c r="H107" s="2" t="str">
        <f>IFERROR(__xludf.DUMMYFUNCTION("""COMPUTED_VALUE"""),"Sita Hydropower Company Pvt. Ltd.")</f>
        <v>Sita Hydropower Company Pvt. Ltd.</v>
      </c>
      <c r="I107" s="2" t="str">
        <f>IFERROR(__xludf.DUMMYFUNCTION("""COMPUTED_VALUE"""),"Kalimati, Kathmandu-13, Contact No. 01-4272426, 4274937, 4372442,9851194065 
Sitaram Timalsina")</f>
        <v>Kalimati, Kathmandu-13, Contact No. 01-4272426, 4274937, 4372442,9851194065 
Sitaram Timalsina</v>
      </c>
      <c r="J107" s="2" t="str">
        <f>IFERROR(__xludf.DUMMYFUNCTION("""COMPUTED_VALUE"""),"27o 57' 30""")</f>
        <v>27o 57' 30"</v>
      </c>
      <c r="K107" s="2" t="str">
        <f>IFERROR(__xludf.DUMMYFUNCTION("""COMPUTED_VALUE"""),"27o 59' 30""")</f>
        <v>27o 59' 30"</v>
      </c>
      <c r="L107" s="2" t="str">
        <f>IFERROR(__xludf.DUMMYFUNCTION("""COMPUTED_VALUE"""),"85o 47' 30""")</f>
        <v>85o 47' 30"</v>
      </c>
      <c r="M107" s="2" t="str">
        <f>IFERROR(__xludf.DUMMYFUNCTION("""COMPUTED_VALUE"""),"85o 49' 30""")</f>
        <v>85o 49' 30"</v>
      </c>
      <c r="N107" s="2" t="str">
        <f>IFERROR(__xludf.DUMMYFUNCTION("""COMPUTED_VALUE"""),"Gumba (Sindhupalchok)")</f>
        <v>Gumba (Sindhupalchok)</v>
      </c>
    </row>
    <row r="108">
      <c r="A108" s="2">
        <f>IFERROR(__xludf.DUMMYFUNCTION("""COMPUTED_VALUE"""),107.0)</f>
        <v>107</v>
      </c>
      <c r="B108" s="2" t="str">
        <f>IFERROR(__xludf.DUMMYFUNCTION("""COMPUTED_VALUE"""),"Upper Daraudi Hydropower Project")</f>
        <v>Upper Daraudi Hydropower Project</v>
      </c>
      <c r="C108" s="2">
        <f>IFERROR(__xludf.DUMMYFUNCTION("""COMPUTED_VALUE"""),9.2)</f>
        <v>9.2</v>
      </c>
      <c r="D108" s="2" t="str">
        <f>IFERROR(__xludf.DUMMYFUNCTION("""COMPUTED_VALUE"""),"Daraudi")</f>
        <v>Daraudi</v>
      </c>
      <c r="E108" s="2">
        <f>IFERROR(__xludf.DUMMYFUNCTION("""COMPUTED_VALUE"""),330.0)</f>
        <v>330</v>
      </c>
      <c r="F108" s="3">
        <f>IFERROR(__xludf.DUMMYFUNCTION("""COMPUTED_VALUE"""),64876.0)</f>
        <v>64876</v>
      </c>
      <c r="G108" s="3">
        <f>IFERROR(__xludf.DUMMYFUNCTION("""COMPUTED_VALUE"""),77658.0)</f>
        <v>77658</v>
      </c>
      <c r="H108" s="2" t="str">
        <f>IFERROR(__xludf.DUMMYFUNCTION("""COMPUTED_VALUE"""),"Green Gorkha Energy Limited")</f>
        <v>Green Gorkha Energy Limited</v>
      </c>
      <c r="I108" s="2" t="str">
        <f>IFERROR(__xludf.DUMMYFUNCTION("""COMPUTED_VALUE"""),"Kath 23, Charkhal, greengorkhaenergy@gmail.com; 9851163169")</f>
        <v>Kath 23, Charkhal, greengorkhaenergy@gmail.com; 9851163169</v>
      </c>
      <c r="J108" s="2" t="str">
        <f>IFERROR(__xludf.DUMMYFUNCTION("""COMPUTED_VALUE"""),"28o 08' 36""")</f>
        <v>28o 08' 36"</v>
      </c>
      <c r="K108" s="2" t="str">
        <f>IFERROR(__xludf.DUMMYFUNCTION("""COMPUTED_VALUE"""),"28o 11' 18""")</f>
        <v>28o 11' 18"</v>
      </c>
      <c r="L108" s="2" t="str">
        <f>IFERROR(__xludf.DUMMYFUNCTION("""COMPUTED_VALUE"""),"84o 41' 52""")</f>
        <v>84o 41' 52"</v>
      </c>
      <c r="M108" s="2" t="str">
        <f>IFERROR(__xludf.DUMMYFUNCTION("""COMPUTED_VALUE"""),"84o 43' 23""")</f>
        <v>84o 43' 23"</v>
      </c>
      <c r="N108" s="2" t="str">
        <f>IFERROR(__xludf.DUMMYFUNCTION("""COMPUTED_VALUE"""),"Ghyalchok,Simjung,Saurpani (Gorkha)")</f>
        <v>Ghyalchok,Simjung,Saurpani (Gorkha)</v>
      </c>
    </row>
    <row r="109">
      <c r="A109" s="2">
        <f>IFERROR(__xludf.DUMMYFUNCTION("""COMPUTED_VALUE"""),108.0)</f>
        <v>108</v>
      </c>
      <c r="B109" s="2" t="str">
        <f>IFERROR(__xludf.DUMMYFUNCTION("""COMPUTED_VALUE"""),"Seti Khola HEP")</f>
        <v>Seti Khola HEP</v>
      </c>
      <c r="C109" s="2">
        <f>IFERROR(__xludf.DUMMYFUNCTION("""COMPUTED_VALUE"""),22.0)</f>
        <v>22</v>
      </c>
      <c r="D109" s="2" t="str">
        <f>IFERROR(__xludf.DUMMYFUNCTION("""COMPUTED_VALUE"""),"Seti Khola (Gandaki)")</f>
        <v>Seti Khola (Gandaki)</v>
      </c>
      <c r="E109" s="2">
        <f>IFERROR(__xludf.DUMMYFUNCTION("""COMPUTED_VALUE"""),334.0)</f>
        <v>334</v>
      </c>
      <c r="F109" s="3">
        <f>IFERROR(__xludf.DUMMYFUNCTION("""COMPUTED_VALUE"""),64895.0)</f>
        <v>64895</v>
      </c>
      <c r="G109" s="3">
        <f>IFERROR(__xludf.DUMMYFUNCTION("""COMPUTED_VALUE"""),77677.0)</f>
        <v>77677</v>
      </c>
      <c r="H109" s="2" t="str">
        <f>IFERROR(__xludf.DUMMYFUNCTION("""COMPUTED_VALUE"""),"Setikhola Hydropower Ltd.")</f>
        <v>Setikhola Hydropower Ltd.</v>
      </c>
      <c r="I109" s="2" t="str">
        <f>IFERROR(__xludf.DUMMYFUNCTION("""COMPUTED_VALUE"""),"Kantipath,Kathmandu .PO Box 26153, Tel: 4232229, seti22mw@gmail.com")</f>
        <v>Kantipath,Kathmandu .PO Box 26153, Tel: 4232229, seti22mw@gmail.com</v>
      </c>
      <c r="J109" s="2" t="str">
        <f>IFERROR(__xludf.DUMMYFUNCTION("""COMPUTED_VALUE"""),"28o 05' 20""")</f>
        <v>28o 05' 20"</v>
      </c>
      <c r="K109" s="2" t="str">
        <f>IFERROR(__xludf.DUMMYFUNCTION("""COMPUTED_VALUE"""),"28o 08' 05""")</f>
        <v>28o 08' 05"</v>
      </c>
      <c r="L109" s="2" t="str">
        <f>IFERROR(__xludf.DUMMYFUNCTION("""COMPUTED_VALUE"""),"84o 04' 15""")</f>
        <v>84o 04' 15"</v>
      </c>
      <c r="M109" s="2" t="str">
        <f>IFERROR(__xludf.DUMMYFUNCTION("""COMPUTED_VALUE"""),"84o 05' 28""")</f>
        <v>84o 05' 28"</v>
      </c>
      <c r="N109" s="2" t="str">
        <f>IFERROR(__xludf.DUMMYFUNCTION("""COMPUTED_VALUE"""),"Bharatpokhari,Lekhnath (Kaski)")</f>
        <v>Bharatpokhari,Lekhnath (Kaski)</v>
      </c>
    </row>
    <row r="110">
      <c r="A110" s="2">
        <f>IFERROR(__xludf.DUMMYFUNCTION("""COMPUTED_VALUE"""),109.0)</f>
        <v>109</v>
      </c>
      <c r="B110" s="2" t="str">
        <f>IFERROR(__xludf.DUMMYFUNCTION("""COMPUTED_VALUE"""),"Mewa khola HEP")</f>
        <v>Mewa khola HEP</v>
      </c>
      <c r="C110" s="2">
        <f>IFERROR(__xludf.DUMMYFUNCTION("""COMPUTED_VALUE"""),23.0)</f>
        <v>23</v>
      </c>
      <c r="D110" s="2" t="str">
        <f>IFERROR(__xludf.DUMMYFUNCTION("""COMPUTED_VALUE"""),"Mewa Khola")</f>
        <v>Mewa Khola</v>
      </c>
      <c r="E110" s="2">
        <f>IFERROR(__xludf.DUMMYFUNCTION("""COMPUTED_VALUE"""),336.0)</f>
        <v>336</v>
      </c>
      <c r="F110" s="3">
        <f>IFERROR(__xludf.DUMMYFUNCTION("""COMPUTED_VALUE"""),64925.0)</f>
        <v>64925</v>
      </c>
      <c r="G110" s="3">
        <f>IFERROR(__xludf.DUMMYFUNCTION("""COMPUTED_VALUE"""),77707.0)</f>
        <v>77707</v>
      </c>
      <c r="H110" s="2" t="str">
        <f>IFERROR(__xludf.DUMMYFUNCTION("""COMPUTED_VALUE"""),"Union Mewa hydro ltd")</f>
        <v>Union Mewa hydro ltd</v>
      </c>
      <c r="I110" s="2" t="str">
        <f>IFERROR(__xludf.DUMMYFUNCTION("""COMPUTED_VALUE"""),"Lalitpur 3 Dhobighat, 5525406, PO Box: 12637, unionmewa.hl@gmail.com")</f>
        <v>Lalitpur 3 Dhobighat, 5525406, PO Box: 12637, unionmewa.hl@gmail.com</v>
      </c>
      <c r="J110" s="2" t="str">
        <f>IFERROR(__xludf.DUMMYFUNCTION("""COMPUTED_VALUE"""),"27o 33' 06""")</f>
        <v>27o 33' 06"</v>
      </c>
      <c r="K110" s="2" t="str">
        <f>IFERROR(__xludf.DUMMYFUNCTION("""COMPUTED_VALUE"""),"27o 35' 33""")</f>
        <v>27o 35' 33"</v>
      </c>
      <c r="L110" s="2" t="str">
        <f>IFERROR(__xludf.DUMMYFUNCTION("""COMPUTED_VALUE"""),"87o 35' 14""")</f>
        <v>87o 35' 14"</v>
      </c>
      <c r="M110" s="2" t="str">
        <f>IFERROR(__xludf.DUMMYFUNCTION("""COMPUTED_VALUE"""),"87o 37' 00""")</f>
        <v>87o 37' 00"</v>
      </c>
      <c r="N110" s="2" t="str">
        <f>IFERROR(__xludf.DUMMYFUNCTION("""COMPUTED_VALUE"""),"Papung (Taplejung)")</f>
        <v>Papung (Taplejung)</v>
      </c>
    </row>
    <row r="111">
      <c r="A111" s="2">
        <f>IFERROR(__xludf.DUMMYFUNCTION("""COMPUTED_VALUE"""),110.0)</f>
        <v>110</v>
      </c>
      <c r="B111" s="2" t="str">
        <f>IFERROR(__xludf.DUMMYFUNCTION("""COMPUTED_VALUE"""),"Bagar Khola HEP")</f>
        <v>Bagar Khola HEP</v>
      </c>
      <c r="C111" s="2">
        <f>IFERROR(__xludf.DUMMYFUNCTION("""COMPUTED_VALUE"""),5.5)</f>
        <v>5.5</v>
      </c>
      <c r="D111" s="2" t="str">
        <f>IFERROR(__xludf.DUMMYFUNCTION("""COMPUTED_VALUE"""),"Bagar Khola")</f>
        <v>Bagar Khola</v>
      </c>
      <c r="E111" s="2">
        <f>IFERROR(__xludf.DUMMYFUNCTION("""COMPUTED_VALUE"""),337.0)</f>
        <v>337</v>
      </c>
      <c r="F111" s="3">
        <f>IFERROR(__xludf.DUMMYFUNCTION("""COMPUTED_VALUE"""),64929.0)</f>
        <v>64929</v>
      </c>
      <c r="G111" s="3">
        <f>IFERROR(__xludf.DUMMYFUNCTION("""COMPUTED_VALUE"""),77711.0)</f>
        <v>77711</v>
      </c>
      <c r="H111" s="2" t="str">
        <f>IFERROR(__xludf.DUMMYFUNCTION("""COMPUTED_VALUE"""),"Mona Hydropower Limited")</f>
        <v>Mona Hydropower Limited</v>
      </c>
      <c r="I111" s="2" t="str">
        <f>IFERROR(__xludf.DUMMYFUNCTION("""COMPUTED_VALUE"""),"Tokha Municipality, Ward No. 9, Kathmandu, Tel: 01-4381103, 
thapachakra008@gmail.com")</f>
        <v>Tokha Municipality, Ward No. 9, Kathmandu, Tel: 01-4381103, 
thapachakra008@gmail.com</v>
      </c>
      <c r="J111" s="2" t="str">
        <f>IFERROR(__xludf.DUMMYFUNCTION("""COMPUTED_VALUE"""),"28o 28' 30""")</f>
        <v>28o 28' 30"</v>
      </c>
      <c r="K111" s="2" t="str">
        <f>IFERROR(__xludf.DUMMYFUNCTION("""COMPUTED_VALUE"""),"28o 29' 30""")</f>
        <v>28o 29' 30"</v>
      </c>
      <c r="L111" s="2" t="str">
        <f>IFERROR(__xludf.DUMMYFUNCTION("""COMPUTED_VALUE"""),"83o 31' 20""")</f>
        <v>83o 31' 20"</v>
      </c>
      <c r="M111" s="2" t="str">
        <f>IFERROR(__xludf.DUMMYFUNCTION("""COMPUTED_VALUE"""),"83o 32' 31""")</f>
        <v>83o 32' 31"</v>
      </c>
      <c r="N111" s="2" t="str">
        <f>IFERROR(__xludf.DUMMYFUNCTION("""COMPUTED_VALUE"""),"Chimkhola (Myagdi)")</f>
        <v>Chimkhola (Myagdi)</v>
      </c>
    </row>
    <row r="112">
      <c r="A112" s="2">
        <f>IFERROR(__xludf.DUMMYFUNCTION("""COMPUTED_VALUE"""),111.0)</f>
        <v>111</v>
      </c>
      <c r="B112" s="2" t="str">
        <f>IFERROR(__xludf.DUMMYFUNCTION("""COMPUTED_VALUE"""),"Dudhpokhari Chepe HEP")</f>
        <v>Dudhpokhari Chepe HEP</v>
      </c>
      <c r="C112" s="2">
        <f>IFERROR(__xludf.DUMMYFUNCTION("""COMPUTED_VALUE"""),8.836)</f>
        <v>8.836</v>
      </c>
      <c r="D112" s="2" t="str">
        <f>IFERROR(__xludf.DUMMYFUNCTION("""COMPUTED_VALUE"""),"Chepe Khola")</f>
        <v>Chepe Khola</v>
      </c>
      <c r="E112" s="2">
        <f>IFERROR(__xludf.DUMMYFUNCTION("""COMPUTED_VALUE"""),338.0)</f>
        <v>338</v>
      </c>
      <c r="F112" s="3">
        <f>IFERROR(__xludf.DUMMYFUNCTION("""COMPUTED_VALUE"""),64931.0)</f>
        <v>64931</v>
      </c>
      <c r="G112" s="3">
        <f>IFERROR(__xludf.DUMMYFUNCTION("""COMPUTED_VALUE"""),77713.0)</f>
        <v>77713</v>
      </c>
      <c r="H112" s="2" t="str">
        <f>IFERROR(__xludf.DUMMYFUNCTION("""COMPUTED_VALUE"""),"Dudhpokhari Chepe Hydropower Ltd")</f>
        <v>Dudhpokhari Chepe Hydropower Ltd</v>
      </c>
      <c r="I112" s="2" t="str">
        <f>IFERROR(__xludf.DUMMYFUNCTION("""COMPUTED_VALUE"""),"Kathmandu-10, 01-5224986, 9851153723, doodhpokharichepe@gmail.com")</f>
        <v>Kathmandu-10, 01-5224986, 9851153723, doodhpokharichepe@gmail.com</v>
      </c>
      <c r="J112" s="2" t="str">
        <f>IFERROR(__xludf.DUMMYFUNCTION("""COMPUTED_VALUE"""),"28o 15' 02""")</f>
        <v>28o 15' 02"</v>
      </c>
      <c r="K112" s="2" t="str">
        <f>IFERROR(__xludf.DUMMYFUNCTION("""COMPUTED_VALUE"""),"28o 16' 52""")</f>
        <v>28o 16' 52"</v>
      </c>
      <c r="L112" s="2" t="str">
        <f>IFERROR(__xludf.DUMMYFUNCTION("""COMPUTED_VALUE"""),"84o 38' 30""")</f>
        <v>84o 38' 30"</v>
      </c>
      <c r="M112" s="2" t="str">
        <f>IFERROR(__xludf.DUMMYFUNCTION("""COMPUTED_VALUE"""),"84o 40' 25""")</f>
        <v>84o 40' 25"</v>
      </c>
      <c r="N112" s="2" t="str">
        <f>IFERROR(__xludf.DUMMYFUNCTION("""COMPUTED_VALUE"""),"Kharibot (Gorkha)")</f>
        <v>Kharibot (Gorkha)</v>
      </c>
    </row>
    <row r="113">
      <c r="A113" s="2">
        <f>IFERROR(__xludf.DUMMYFUNCTION("""COMPUTED_VALUE"""),112.0)</f>
        <v>112</v>
      </c>
      <c r="B113" s="2" t="str">
        <f>IFERROR(__xludf.DUMMYFUNCTION("""COMPUTED_VALUE"""),"Jum Khola HEP")</f>
        <v>Jum Khola HEP</v>
      </c>
      <c r="C113" s="2">
        <f>IFERROR(__xludf.DUMMYFUNCTION("""COMPUTED_VALUE"""),56.0)</f>
        <v>56</v>
      </c>
      <c r="D113" s="2" t="str">
        <f>IFERROR(__xludf.DUMMYFUNCTION("""COMPUTED_VALUE"""),"Jum")</f>
        <v>Jum</v>
      </c>
      <c r="E113" s="2">
        <f>IFERROR(__xludf.DUMMYFUNCTION("""COMPUTED_VALUE"""),342.0)</f>
        <v>342</v>
      </c>
      <c r="F113" s="3">
        <f>IFERROR(__xludf.DUMMYFUNCTION("""COMPUTED_VALUE"""),65101.0)</f>
        <v>65101</v>
      </c>
      <c r="G113" s="3">
        <f>IFERROR(__xludf.DUMMYFUNCTION("""COMPUTED_VALUE"""),77883.0)</f>
        <v>77883</v>
      </c>
      <c r="H113" s="2" t="str">
        <f>IFERROR(__xludf.DUMMYFUNCTION("""COMPUTED_VALUE"""),"Sanima Jum Hydropower Ltd.")</f>
        <v>Sanima Jum Hydropower Ltd.</v>
      </c>
      <c r="I113" s="2" t="str">
        <f>IFERROR(__xludf.DUMMYFUNCTION("""COMPUTED_VALUE"""),"Kathmandu Metropolitan City-4, GPO 19737, Kathamndu, Contact No. 
01-4372828, 4373030, Fax: 01-4015799,Email: sanima@sani")</f>
        <v>Kathmandu Metropolitan City-4, GPO 19737, Kathamndu, Contact No. 
01-4372828, 4373030, Fax: 01-4015799,Email: sanima@sani</v>
      </c>
      <c r="J113" s="2" t="str">
        <f>IFERROR(__xludf.DUMMYFUNCTION("""COMPUTED_VALUE"""),"27o 56' 40""")</f>
        <v>27o 56' 40"</v>
      </c>
      <c r="K113" s="2" t="str">
        <f>IFERROR(__xludf.DUMMYFUNCTION("""COMPUTED_VALUE"""),"27o 58' 23""")</f>
        <v>27o 58' 23"</v>
      </c>
      <c r="L113" s="2" t="str">
        <f>IFERROR(__xludf.DUMMYFUNCTION("""COMPUTED_VALUE"""),"86o 12' 47""")</f>
        <v>86o 12' 47"</v>
      </c>
      <c r="M113" s="2" t="str">
        <f>IFERROR(__xludf.DUMMYFUNCTION("""COMPUTED_VALUE"""),"86o 15' 00""")</f>
        <v>86o 15' 00"</v>
      </c>
      <c r="N113" s="2" t="str">
        <f>IFERROR(__xludf.DUMMYFUNCTION("""COMPUTED_VALUE"""),"Lamabagar (Dolakha)")</f>
        <v>Lamabagar (Dolakha)</v>
      </c>
    </row>
    <row r="114">
      <c r="A114" s="2">
        <f>IFERROR(__xludf.DUMMYFUNCTION("""COMPUTED_VALUE"""),113.0)</f>
        <v>113</v>
      </c>
      <c r="B114" s="2" t="str">
        <f>IFERROR(__xludf.DUMMYFUNCTION("""COMPUTED_VALUE"""),"Upper Daraudi B Small HEP")</f>
        <v>Upper Daraudi B Small HEP</v>
      </c>
      <c r="C114" s="2">
        <f>IFERROR(__xludf.DUMMYFUNCTION("""COMPUTED_VALUE"""),8.3)</f>
        <v>8.3</v>
      </c>
      <c r="D114" s="2" t="str">
        <f>IFERROR(__xludf.DUMMYFUNCTION("""COMPUTED_VALUE"""),"Daraudi")</f>
        <v>Daraudi</v>
      </c>
      <c r="E114" s="2">
        <f>IFERROR(__xludf.DUMMYFUNCTION("""COMPUTED_VALUE"""),343.0)</f>
        <v>343</v>
      </c>
      <c r="F114" s="3">
        <f>IFERROR(__xludf.DUMMYFUNCTION("""COMPUTED_VALUE"""),65115.0)</f>
        <v>65115</v>
      </c>
      <c r="G114" s="3">
        <f>IFERROR(__xludf.DUMMYFUNCTION("""COMPUTED_VALUE"""),77897.0)</f>
        <v>77897</v>
      </c>
      <c r="H114" s="2" t="str">
        <f>IFERROR(__xludf.DUMMYFUNCTION("""COMPUTED_VALUE"""),"Glacier Hydro Pvt. Ltd.")</f>
        <v>Glacier Hydro Pvt. Ltd.</v>
      </c>
      <c r="I114" s="2" t="str">
        <f>IFERROR(__xludf.DUMMYFUNCTION("""COMPUTED_VALUE"""),"Kalika Tower, Baluwatar, Kathmandu 4439152,4439153, Email: 
info@kalikagroup.com, Fax: 977-1-4439155")</f>
        <v>Kalika Tower, Baluwatar, Kathmandu 4439152,4439153, Email: 
info@kalikagroup.com, Fax: 977-1-4439155</v>
      </c>
      <c r="J114" s="2" t="str">
        <f>IFERROR(__xludf.DUMMYFUNCTION("""COMPUTED_VALUE"""),"28o 13' 24""")</f>
        <v>28o 13' 24"</v>
      </c>
      <c r="K114" s="2" t="str">
        <f>IFERROR(__xludf.DUMMYFUNCTION("""COMPUTED_VALUE"""),"28o 15' 00""")</f>
        <v>28o 15' 00"</v>
      </c>
      <c r="L114" s="2" t="str">
        <f>IFERROR(__xludf.DUMMYFUNCTION("""COMPUTED_VALUE"""),"84o 43' 45""")</f>
        <v>84o 43' 45"</v>
      </c>
      <c r="M114" s="2" t="str">
        <f>IFERROR(__xludf.DUMMYFUNCTION("""COMPUTED_VALUE"""),"84o 44' 30""")</f>
        <v>84o 44' 30"</v>
      </c>
      <c r="N114" s="2" t="str">
        <f>IFERROR(__xludf.DUMMYFUNCTION("""COMPUTED_VALUE"""),"Ghyalchok,Warpak (Gorkha)")</f>
        <v>Ghyalchok,Warpak (Gorkha)</v>
      </c>
    </row>
    <row r="115">
      <c r="A115" s="2">
        <f>IFERROR(__xludf.DUMMYFUNCTION("""COMPUTED_VALUE"""),114.0)</f>
        <v>114</v>
      </c>
      <c r="B115" s="2" t="str">
        <f>IFERROR(__xludf.DUMMYFUNCTION("""COMPUTED_VALUE"""),"Upper Daraudi-C HEP")</f>
        <v>Upper Daraudi-C HEP</v>
      </c>
      <c r="C115" s="2">
        <f>IFERROR(__xludf.DUMMYFUNCTION("""COMPUTED_VALUE"""),9.82)</f>
        <v>9.82</v>
      </c>
      <c r="D115" s="2" t="str">
        <f>IFERROR(__xludf.DUMMYFUNCTION("""COMPUTED_VALUE"""),"Daraudi")</f>
        <v>Daraudi</v>
      </c>
      <c r="E115" s="2">
        <f>IFERROR(__xludf.DUMMYFUNCTION("""COMPUTED_VALUE"""),344.0)</f>
        <v>344</v>
      </c>
      <c r="F115" s="3">
        <f>IFERROR(__xludf.DUMMYFUNCTION("""COMPUTED_VALUE"""),65115.0)</f>
        <v>65115</v>
      </c>
      <c r="G115" s="3">
        <f>IFERROR(__xludf.DUMMYFUNCTION("""COMPUTED_VALUE"""),77897.0)</f>
        <v>77897</v>
      </c>
      <c r="H115" s="2" t="str">
        <f>IFERROR(__xludf.DUMMYFUNCTION("""COMPUTED_VALUE"""),"Glacier Hydro Pvt. Ltd.")</f>
        <v>Glacier Hydro Pvt. Ltd.</v>
      </c>
      <c r="I115" s="2" t="str">
        <f>IFERROR(__xludf.DUMMYFUNCTION("""COMPUTED_VALUE"""),"Kalika Tower, Baluwatar, Kathmandu Contact No. 4439152,4439153 Fax 4439155, 
Email: info@kalikagroup.com")</f>
        <v>Kalika Tower, Baluwatar, Kathmandu Contact No. 4439152,4439153 Fax 4439155, 
Email: info@kalikagroup.com</v>
      </c>
      <c r="J115" s="2" t="str">
        <f>IFERROR(__xludf.DUMMYFUNCTION("""COMPUTED_VALUE"""),"28o 15' 01""")</f>
        <v>28o 15' 01"</v>
      </c>
      <c r="K115" s="2" t="str">
        <f>IFERROR(__xludf.DUMMYFUNCTION("""COMPUTED_VALUE"""),"28o 16' 21""")</f>
        <v>28o 16' 21"</v>
      </c>
      <c r="L115" s="2" t="str">
        <f>IFERROR(__xludf.DUMMYFUNCTION("""COMPUTED_VALUE"""),"84o 43' 00""")</f>
        <v>84o 43' 00"</v>
      </c>
      <c r="M115" s="2" t="str">
        <f>IFERROR(__xludf.DUMMYFUNCTION("""COMPUTED_VALUE"""),"84o 44' 30""")</f>
        <v>84o 44' 30"</v>
      </c>
      <c r="N115" s="2" t="str">
        <f>IFERROR(__xludf.DUMMYFUNCTION("""COMPUTED_VALUE"""),"Ghyalchok,Warpak (Gorkha)")</f>
        <v>Ghyalchok,Warpak (Gorkha)</v>
      </c>
    </row>
    <row r="116">
      <c r="A116" s="2">
        <f>IFERROR(__xludf.DUMMYFUNCTION("""COMPUTED_VALUE"""),115.0)</f>
        <v>115</v>
      </c>
      <c r="B116" s="2" t="str">
        <f>IFERROR(__xludf.DUMMYFUNCTION("""COMPUTED_VALUE"""),"Upper Balephi")</f>
        <v>Upper Balephi</v>
      </c>
      <c r="C116" s="2">
        <f>IFERROR(__xludf.DUMMYFUNCTION("""COMPUTED_VALUE"""),46.0)</f>
        <v>46</v>
      </c>
      <c r="D116" s="2" t="str">
        <f>IFERROR(__xludf.DUMMYFUNCTION("""COMPUTED_VALUE"""),"Balephi")</f>
        <v>Balephi</v>
      </c>
      <c r="E116" s="2">
        <f>IFERROR(__xludf.DUMMYFUNCTION("""COMPUTED_VALUE"""),345.0)</f>
        <v>345</v>
      </c>
      <c r="F116" s="2" t="str">
        <f>IFERROR(__xludf.DUMMYFUNCTION("""COMPUTED_VALUE"""),"2078-04-32")</f>
        <v>2078-04-32</v>
      </c>
      <c r="G116" s="2" t="str">
        <f>IFERROR(__xludf.DUMMYFUNCTION("""COMPUTED_VALUE"""),"2113-04-31")</f>
        <v>2113-04-31</v>
      </c>
      <c r="H116" s="2" t="str">
        <f>IFERROR(__xludf.DUMMYFUNCTION("""COMPUTED_VALUE"""),"Upper Balephi Hydropower Limited (Previously, Samjhana Acharya)")</f>
        <v>Upper Balephi Hydropower Limited (Previously, Samjhana Acharya)</v>
      </c>
      <c r="I116" s="2" t="str">
        <f>IFERROR(__xludf.DUMMYFUNCTION("""COMPUTED_VALUE"""),"Ratopul-9, Kathmandu, Phone No. 01-5905003, Email: 
info.upperbalephi@gmail.com")</f>
        <v>Ratopul-9, Kathmandu, Phone No. 01-5905003, Email: 
info.upperbalephi@gmail.com</v>
      </c>
      <c r="J116" s="2" t="str">
        <f>IFERROR(__xludf.DUMMYFUNCTION("""COMPUTED_VALUE"""),"27o 58' 59""")</f>
        <v>27o 58' 59"</v>
      </c>
      <c r="K116" s="2" t="str">
        <f>IFERROR(__xludf.DUMMYFUNCTION("""COMPUTED_VALUE"""),"28o 01' 11""")</f>
        <v>28o 01' 11"</v>
      </c>
      <c r="L116" s="2" t="str">
        <f>IFERROR(__xludf.DUMMYFUNCTION("""COMPUTED_VALUE"""),"85o 46' 46""")</f>
        <v>85o 46' 46"</v>
      </c>
      <c r="M116" s="2" t="str">
        <f>IFERROR(__xludf.DUMMYFUNCTION("""COMPUTED_VALUE"""),"85o 48' 03""")</f>
        <v>85o 48' 03"</v>
      </c>
      <c r="N116" s="2" t="str">
        <f>IFERROR(__xludf.DUMMYFUNCTION("""COMPUTED_VALUE"""),"Golche,Gumba (Sindhupalchok)")</f>
        <v>Golche,Gumba (Sindhupalchok)</v>
      </c>
    </row>
    <row r="117">
      <c r="A117" s="2">
        <f>IFERROR(__xludf.DUMMYFUNCTION("""COMPUTED_VALUE"""),116.0)</f>
        <v>116</v>
      </c>
      <c r="B117" s="2" t="str">
        <f>IFERROR(__xludf.DUMMYFUNCTION("""COMPUTED_VALUE"""),"Ilep Tatopani Khola HEP")</f>
        <v>Ilep Tatopani Khola HEP</v>
      </c>
      <c r="C117" s="2">
        <f>IFERROR(__xludf.DUMMYFUNCTION("""COMPUTED_VALUE"""),25.0)</f>
        <v>25</v>
      </c>
      <c r="D117" s="2" t="str">
        <f>IFERROR(__xludf.DUMMYFUNCTION("""COMPUTED_VALUE"""),"Tatopani(Ilep) Khola")</f>
        <v>Tatopani(Ilep) Khola</v>
      </c>
      <c r="E117" s="2">
        <f>IFERROR(__xludf.DUMMYFUNCTION("""COMPUTED_VALUE"""),346.0)</f>
        <v>346</v>
      </c>
      <c r="F117" s="3">
        <f>IFERROR(__xludf.DUMMYFUNCTION("""COMPUTED_VALUE"""),65150.0)</f>
        <v>65150</v>
      </c>
      <c r="G117" s="3">
        <f>IFERROR(__xludf.DUMMYFUNCTION("""COMPUTED_VALUE"""),77932.0)</f>
        <v>77932</v>
      </c>
      <c r="H117" s="2" t="str">
        <f>IFERROR(__xludf.DUMMYFUNCTION("""COMPUTED_VALUE"""),"Jalshakti Hydro Company Ltd.")</f>
        <v>Jalshakti Hydro Company Ltd.</v>
      </c>
      <c r="I117" s="2" t="str">
        <f>IFERROR(__xludf.DUMMYFUNCTION("""COMPUTED_VALUE"""),"Maharjgunj, KMC-3 Tel: 01-5705608, jalshaktihydro@gmail.com")</f>
        <v>Maharjgunj, KMC-3 Tel: 01-5705608, jalshaktihydro@gmail.com</v>
      </c>
      <c r="J117" s="2" t="str">
        <f>IFERROR(__xludf.DUMMYFUNCTION("""COMPUTED_VALUE"""),"28o 11' 45""")</f>
        <v>28o 11' 45"</v>
      </c>
      <c r="K117" s="2" t="str">
        <f>IFERROR(__xludf.DUMMYFUNCTION("""COMPUTED_VALUE"""),"28o 13' 35""")</f>
        <v>28o 13' 35"</v>
      </c>
      <c r="L117" s="2" t="str">
        <f>IFERROR(__xludf.DUMMYFUNCTION("""COMPUTED_VALUE"""),"85o 03' 35""")</f>
        <v>85o 03' 35"</v>
      </c>
      <c r="M117" s="2" t="str">
        <f>IFERROR(__xludf.DUMMYFUNCTION("""COMPUTED_VALUE"""),"85o 05' 00""")</f>
        <v>85o 05' 00"</v>
      </c>
      <c r="N117" s="2" t="str">
        <f>IFERROR(__xludf.DUMMYFUNCTION("""COMPUTED_VALUE"""),"Lapa,Sirtung (Dhading)")</f>
        <v>Lapa,Sirtung (Dhading)</v>
      </c>
    </row>
    <row r="118">
      <c r="A118" s="2">
        <f>IFERROR(__xludf.DUMMYFUNCTION("""COMPUTED_VALUE"""),117.0)</f>
        <v>117</v>
      </c>
      <c r="B118" s="2" t="str">
        <f>IFERROR(__xludf.DUMMYFUNCTION("""COMPUTED_VALUE"""),"Super Melamchi HEP")</f>
        <v>Super Melamchi HEP</v>
      </c>
      <c r="C118" s="2">
        <f>IFERROR(__xludf.DUMMYFUNCTION("""COMPUTED_VALUE"""),23.6)</f>
        <v>23.6</v>
      </c>
      <c r="D118" s="2" t="str">
        <f>IFERROR(__xludf.DUMMYFUNCTION("""COMPUTED_VALUE"""),"Melamchi")</f>
        <v>Melamchi</v>
      </c>
      <c r="E118" s="2">
        <f>IFERROR(__xludf.DUMMYFUNCTION("""COMPUTED_VALUE"""),340.0)</f>
        <v>340</v>
      </c>
      <c r="F118" s="3">
        <f>IFERROR(__xludf.DUMMYFUNCTION("""COMPUTED_VALUE"""),65156.0)</f>
        <v>65156</v>
      </c>
      <c r="G118" s="3">
        <f>IFERROR(__xludf.DUMMYFUNCTION("""COMPUTED_VALUE"""),77938.0)</f>
        <v>77938</v>
      </c>
      <c r="H118" s="2" t="str">
        <f>IFERROR(__xludf.DUMMYFUNCTION("""COMPUTED_VALUE"""),"Milarepa Energy Pvt Ltd")</f>
        <v>Milarepa Energy Pvt Ltd</v>
      </c>
      <c r="I118" s="2" t="str">
        <f>IFERROR(__xludf.DUMMYFUNCTION("""COMPUTED_VALUE"""),"152 Milanbasti marg, Subidhanagar, Kathmandu-32, Contact No. 9851020622, 
01-4820834, Fax 01-4821086, 01-4111717")</f>
        <v>152 Milanbasti marg, Subidhanagar, Kathmandu-32, Contact No. 9851020622, 
01-4820834, Fax 01-4821086, 01-4111717</v>
      </c>
      <c r="J118" s="2" t="str">
        <f>IFERROR(__xludf.DUMMYFUNCTION("""COMPUTED_VALUE"""),"27o 59' 15""")</f>
        <v>27o 59' 15"</v>
      </c>
      <c r="K118" s="2" t="str">
        <f>IFERROR(__xludf.DUMMYFUNCTION("""COMPUTED_VALUE"""),"28o 01' 08""")</f>
        <v>28o 01' 08"</v>
      </c>
      <c r="L118" s="2" t="str">
        <f>IFERROR(__xludf.DUMMYFUNCTION("""COMPUTED_VALUE"""),"85o 31' 20""")</f>
        <v>85o 31' 20"</v>
      </c>
      <c r="M118" s="2" t="str">
        <f>IFERROR(__xludf.DUMMYFUNCTION("""COMPUTED_VALUE"""),"85o 32' 30""")</f>
        <v>85o 32' 30"</v>
      </c>
      <c r="N118" s="2" t="str">
        <f>IFERROR(__xludf.DUMMYFUNCTION("""COMPUTED_VALUE"""),"Melamche (Sindhupalchok)")</f>
        <v>Melamche (Sindhupalchok)</v>
      </c>
    </row>
    <row r="119">
      <c r="A119" s="2">
        <f>IFERROR(__xludf.DUMMYFUNCTION("""COMPUTED_VALUE"""),118.0)</f>
        <v>118</v>
      </c>
      <c r="B119" s="2" t="str">
        <f>IFERROR(__xludf.DUMMYFUNCTION("""COMPUTED_VALUE"""),"Upper Piluwa-1 HEP")</f>
        <v>Upper Piluwa-1 HEP</v>
      </c>
      <c r="C119" s="2">
        <f>IFERROR(__xludf.DUMMYFUNCTION("""COMPUTED_VALUE"""),7.7)</f>
        <v>7.7</v>
      </c>
      <c r="D119" s="2" t="str">
        <f>IFERROR(__xludf.DUMMYFUNCTION("""COMPUTED_VALUE"""),"Piluwa")</f>
        <v>Piluwa</v>
      </c>
      <c r="E119" s="2">
        <f>IFERROR(__xludf.DUMMYFUNCTION("""COMPUTED_VALUE"""),349.0)</f>
        <v>349</v>
      </c>
      <c r="F119" s="3">
        <f>IFERROR(__xludf.DUMMYFUNCTION("""COMPUTED_VALUE"""),65203.0)</f>
        <v>65203</v>
      </c>
      <c r="G119" s="3">
        <f>IFERROR(__xludf.DUMMYFUNCTION("""COMPUTED_VALUE"""),77985.0)</f>
        <v>77985</v>
      </c>
      <c r="H119" s="2" t="str">
        <f>IFERROR(__xludf.DUMMYFUNCTION("""COMPUTED_VALUE"""),"Devi Hydropower Pvt. Ltd.")</f>
        <v>Devi Hydropower Pvt. Ltd.</v>
      </c>
      <c r="I119" s="2" t="str">
        <f>IFERROR(__xludf.DUMMYFUNCTION("""COMPUTED_VALUE"""),"Lainchaur Kathmandu")</f>
        <v>Lainchaur Kathmandu</v>
      </c>
      <c r="J119" s="2" t="str">
        <f>IFERROR(__xludf.DUMMYFUNCTION("""COMPUTED_VALUE"""),"27o 17' 00""")</f>
        <v>27o 17' 00"</v>
      </c>
      <c r="K119" s="2" t="str">
        <f>IFERROR(__xludf.DUMMYFUNCTION("""COMPUTED_VALUE"""),"27o 17' 58""")</f>
        <v>27o 17' 58"</v>
      </c>
      <c r="L119" s="2" t="str">
        <f>IFERROR(__xludf.DUMMYFUNCTION("""COMPUTED_VALUE"""),"87o 20' 56""")</f>
        <v>87o 20' 56"</v>
      </c>
      <c r="M119" s="2" t="str">
        <f>IFERROR(__xludf.DUMMYFUNCTION("""COMPUTED_VALUE"""),"87o 23' 18""")</f>
        <v>87o 23' 18"</v>
      </c>
      <c r="N119" s="2" t="str">
        <f>IFERROR(__xludf.DUMMYFUNCTION("""COMPUTED_VALUE"""),"Madi Rambeni,Siddhakali (Sankhuwasabha)")</f>
        <v>Madi Rambeni,Siddhakali (Sankhuwasabha)</v>
      </c>
    </row>
    <row r="120">
      <c r="A120" s="2">
        <f>IFERROR(__xludf.DUMMYFUNCTION("""COMPUTED_VALUE"""),119.0)</f>
        <v>119</v>
      </c>
      <c r="B120" s="2" t="str">
        <f>IFERROR(__xludf.DUMMYFUNCTION("""COMPUTED_VALUE"""),"Bhalaudi Khola HEP")</f>
        <v>Bhalaudi Khola HEP</v>
      </c>
      <c r="C120" s="2">
        <f>IFERROR(__xludf.DUMMYFUNCTION("""COMPUTED_VALUE"""),2.645)</f>
        <v>2.645</v>
      </c>
      <c r="D120" s="2" t="str">
        <f>IFERROR(__xludf.DUMMYFUNCTION("""COMPUTED_VALUE"""),"Bhalaudi")</f>
        <v>Bhalaudi</v>
      </c>
      <c r="E120" s="2">
        <f>IFERROR(__xludf.DUMMYFUNCTION("""COMPUTED_VALUE"""),351.0)</f>
        <v>351</v>
      </c>
      <c r="F120" s="3">
        <f>IFERROR(__xludf.DUMMYFUNCTION("""COMPUTED_VALUE"""),65229.0)</f>
        <v>65229</v>
      </c>
      <c r="G120" s="3">
        <f>IFERROR(__xludf.DUMMYFUNCTION("""COMPUTED_VALUE"""),78011.0)</f>
        <v>78011</v>
      </c>
      <c r="H120" s="2" t="str">
        <f>IFERROR(__xludf.DUMMYFUNCTION("""COMPUTED_VALUE"""),"Bhalaudi Khola Hydropower Pvt. Ltd.")</f>
        <v>Bhalaudi Khola Hydropower Pvt. Ltd.</v>
      </c>
      <c r="I120" s="2" t="str">
        <f>IFERROR(__xludf.DUMMYFUNCTION("""COMPUTED_VALUE"""),"Banasthali Kathmandu")</f>
        <v>Banasthali Kathmandu</v>
      </c>
      <c r="J120" s="2" t="str">
        <f>IFERROR(__xludf.DUMMYFUNCTION("""COMPUTED_VALUE"""),"28o 22' 30""")</f>
        <v>28o 22' 30"</v>
      </c>
      <c r="K120" s="2" t="str">
        <f>IFERROR(__xludf.DUMMYFUNCTION("""COMPUTED_VALUE"""),"28o 23' 30""")</f>
        <v>28o 23' 30"</v>
      </c>
      <c r="L120" s="2" t="str">
        <f>IFERROR(__xludf.DUMMYFUNCTION("""COMPUTED_VALUE"""),"83o 57' 36""")</f>
        <v>83o 57' 36"</v>
      </c>
      <c r="M120" s="2" t="str">
        <f>IFERROR(__xludf.DUMMYFUNCTION("""COMPUTED_VALUE"""),"83o 58' 30""")</f>
        <v>83o 58' 30"</v>
      </c>
      <c r="N120" s="2" t="str">
        <f>IFERROR(__xludf.DUMMYFUNCTION("""COMPUTED_VALUE"""),"Machhapuchchhre (Kaski)")</f>
        <v>Machhapuchchhre (Kaski)</v>
      </c>
    </row>
    <row r="121">
      <c r="A121" s="2">
        <f>IFERROR(__xludf.DUMMYFUNCTION("""COMPUTED_VALUE"""),120.0)</f>
        <v>120</v>
      </c>
      <c r="B121" s="2" t="str">
        <f>IFERROR(__xludf.DUMMYFUNCTION("""COMPUTED_VALUE"""),"Isuwa Khola PRoR Cascade HEP")</f>
        <v>Isuwa Khola PRoR Cascade HEP</v>
      </c>
      <c r="C121" s="2">
        <f>IFERROR(__xludf.DUMMYFUNCTION("""COMPUTED_VALUE"""),40.1)</f>
        <v>40.1</v>
      </c>
      <c r="D121" s="2" t="str">
        <f>IFERROR(__xludf.DUMMYFUNCTION("""COMPUTED_VALUE"""),"Isuwa Khola")</f>
        <v>Isuwa Khola</v>
      </c>
      <c r="E121" s="2">
        <f>IFERROR(__xludf.DUMMYFUNCTION("""COMPUTED_VALUE"""),356.0)</f>
        <v>356</v>
      </c>
      <c r="F121" s="3">
        <f>IFERROR(__xludf.DUMMYFUNCTION("""COMPUTED_VALUE"""),65264.0)</f>
        <v>65264</v>
      </c>
      <c r="G121" s="3">
        <f>IFERROR(__xludf.DUMMYFUNCTION("""COMPUTED_VALUE"""),78046.0)</f>
        <v>78046</v>
      </c>
      <c r="H121" s="2" t="str">
        <f>IFERROR(__xludf.DUMMYFUNCTION("""COMPUTED_VALUE"""),"Isuwa Energy Pvt. Ltd")</f>
        <v>Isuwa Energy Pvt. Ltd</v>
      </c>
      <c r="I121" s="2" t="str">
        <f>IFERROR(__xludf.DUMMYFUNCTION("""COMPUTED_VALUE"""),"Bouddha-6, Kathmandu P.O.Box 2534, Contact No. 9818785021")</f>
        <v>Bouddha-6, Kathmandu P.O.Box 2534, Contact No. 9818785021</v>
      </c>
      <c r="J121" s="2" t="str">
        <f>IFERROR(__xludf.DUMMYFUNCTION("""COMPUTED_VALUE"""),"27o 32' 30""")</f>
        <v>27o 32' 30"</v>
      </c>
      <c r="K121" s="2" t="str">
        <f>IFERROR(__xludf.DUMMYFUNCTION("""COMPUTED_VALUE"""),"27o 34' 17""")</f>
        <v>27o 34' 17"</v>
      </c>
      <c r="L121" s="2" t="str">
        <f>IFERROR(__xludf.DUMMYFUNCTION("""COMPUTED_VALUE"""),"87o 14' 00""")</f>
        <v>87o 14' 00"</v>
      </c>
      <c r="M121" s="2" t="str">
        <f>IFERROR(__xludf.DUMMYFUNCTION("""COMPUTED_VALUE"""),"87o 15' 29""")</f>
        <v>87o 15' 29"</v>
      </c>
      <c r="N121" s="2" t="str">
        <f>IFERROR(__xludf.DUMMYFUNCTION("""COMPUTED_VALUE"""),"Makalu (Sankhuwasabha)")</f>
        <v>Makalu (Sankhuwasabha)</v>
      </c>
    </row>
    <row r="122">
      <c r="A122" s="2">
        <f>IFERROR(__xludf.DUMMYFUNCTION("""COMPUTED_VALUE"""),121.0)</f>
        <v>121</v>
      </c>
      <c r="B122" s="2" t="str">
        <f>IFERROR(__xludf.DUMMYFUNCTION("""COMPUTED_VALUE"""),"Arun Khola 2 HEP")</f>
        <v>Arun Khola 2 HEP</v>
      </c>
      <c r="C122" s="2">
        <f>IFERROR(__xludf.DUMMYFUNCTION("""COMPUTED_VALUE"""),2.0)</f>
        <v>2</v>
      </c>
      <c r="D122" s="2" t="str">
        <f>IFERROR(__xludf.DUMMYFUNCTION("""COMPUTED_VALUE"""),"Arung")</f>
        <v>Arung</v>
      </c>
      <c r="E122" s="2">
        <f>IFERROR(__xludf.DUMMYFUNCTION("""COMPUTED_VALUE"""),357.0)</f>
        <v>357</v>
      </c>
      <c r="F122" s="3">
        <f>IFERROR(__xludf.DUMMYFUNCTION("""COMPUTED_VALUE"""),65286.0)</f>
        <v>65286</v>
      </c>
      <c r="G122" s="3">
        <f>IFERROR(__xludf.DUMMYFUNCTION("""COMPUTED_VALUE"""),78068.0)</f>
        <v>78068</v>
      </c>
      <c r="H122" s="2" t="str">
        <f>IFERROR(__xludf.DUMMYFUNCTION("""COMPUTED_VALUE"""),"Himalayan Engineering and Energy Pvt. Ltd.")</f>
        <v>Himalayan Engineering and Energy Pvt. Ltd.</v>
      </c>
      <c r="I122" s="2" t="str">
        <f>IFERROR(__xludf.DUMMYFUNCTION("""COMPUTED_VALUE"""),"Sinamangal -9, Kathmandu,PO Box No: 10443, mob no. 9851018901,01-4465976")</f>
        <v>Sinamangal -9, Kathmandu,PO Box No: 10443, mob no. 9851018901,01-4465976</v>
      </c>
      <c r="J122" s="2" t="str">
        <f>IFERROR(__xludf.DUMMYFUNCTION("""COMPUTED_VALUE"""),"27o 43' 17""")</f>
        <v>27o 43' 17"</v>
      </c>
      <c r="K122" s="2" t="str">
        <f>IFERROR(__xludf.DUMMYFUNCTION("""COMPUTED_VALUE"""),"27o 44' 22""")</f>
        <v>27o 44' 22"</v>
      </c>
      <c r="L122" s="2" t="str">
        <f>IFERROR(__xludf.DUMMYFUNCTION("""COMPUTED_VALUE"""),"83o 52' 24""")</f>
        <v>83o 52' 24"</v>
      </c>
      <c r="M122" s="2" t="str">
        <f>IFERROR(__xludf.DUMMYFUNCTION("""COMPUTED_VALUE"""),"83o 55' 00""")</f>
        <v>83o 55' 00"</v>
      </c>
      <c r="N122" s="2" t="str">
        <f>IFERROR(__xludf.DUMMYFUNCTION("""COMPUTED_VALUE"""),"Humsekot,Rakachuli (Nawalparasi)")</f>
        <v>Humsekot,Rakachuli (Nawalparasi)</v>
      </c>
    </row>
    <row r="123">
      <c r="A123" s="2">
        <f>IFERROR(__xludf.DUMMYFUNCTION("""COMPUTED_VALUE"""),122.0)</f>
        <v>122</v>
      </c>
      <c r="B123" s="2" t="str">
        <f>IFERROR(__xludf.DUMMYFUNCTION("""COMPUTED_VALUE"""),"Sona Khola HEP")</f>
        <v>Sona Khola HEP</v>
      </c>
      <c r="C123" s="2">
        <f>IFERROR(__xludf.DUMMYFUNCTION("""COMPUTED_VALUE"""),9.0)</f>
        <v>9</v>
      </c>
      <c r="D123" s="2" t="str">
        <f>IFERROR(__xludf.DUMMYFUNCTION("""COMPUTED_VALUE"""),"Sona Khola, Khahare Khola")</f>
        <v>Sona Khola, Khahare Khola</v>
      </c>
      <c r="E123" s="2">
        <f>IFERROR(__xludf.DUMMYFUNCTION("""COMPUTED_VALUE"""),358.0)</f>
        <v>358</v>
      </c>
      <c r="F123" s="3">
        <f>IFERROR(__xludf.DUMMYFUNCTION("""COMPUTED_VALUE"""),65286.0)</f>
        <v>65286</v>
      </c>
      <c r="G123" s="3">
        <f>IFERROR(__xludf.DUMMYFUNCTION("""COMPUTED_VALUE"""),78068.0)</f>
        <v>78068</v>
      </c>
      <c r="H123" s="2" t="str">
        <f>IFERROR(__xludf.DUMMYFUNCTION("""COMPUTED_VALUE"""),"Himali Hydro Fund Ltd.")</f>
        <v>Himali Hydro Fund Ltd.</v>
      </c>
      <c r="I123" s="2" t="str">
        <f>IFERROR(__xludf.DUMMYFUNCTION("""COMPUTED_VALUE"""),"Mid Baneshwor, KTM-31, 01-4109156, sona.hhfl@gmail.com, 
www.himalihydrofund.com.np")</f>
        <v>Mid Baneshwor, KTM-31, 01-4109156, sona.hhfl@gmail.com, 
www.himalihydrofund.com.np</v>
      </c>
      <c r="J123" s="2" t="str">
        <f>IFERROR(__xludf.DUMMYFUNCTION("""COMPUTED_VALUE"""),"27o 33' 28""")</f>
        <v>27o 33' 28"</v>
      </c>
      <c r="K123" s="2" t="str">
        <f>IFERROR(__xludf.DUMMYFUNCTION("""COMPUTED_VALUE"""),"27o 34' 00""")</f>
        <v>27o 34' 00"</v>
      </c>
      <c r="L123" s="2" t="str">
        <f>IFERROR(__xludf.DUMMYFUNCTION("""COMPUTED_VALUE"""),"87o 38' 27""")</f>
        <v>87o 38' 27"</v>
      </c>
      <c r="M123" s="2" t="str">
        <f>IFERROR(__xludf.DUMMYFUNCTION("""COMPUTED_VALUE"""),"87o 40' 08""")</f>
        <v>87o 40' 08"</v>
      </c>
      <c r="N123" s="2" t="str">
        <f>IFERROR(__xludf.DUMMYFUNCTION("""COMPUTED_VALUE"""),"Papung (Taplejung)")</f>
        <v>Papung (Taplejung)</v>
      </c>
    </row>
    <row r="124">
      <c r="A124" s="2">
        <f>IFERROR(__xludf.DUMMYFUNCTION("""COMPUTED_VALUE"""),123.0)</f>
        <v>123</v>
      </c>
      <c r="B124" s="2" t="str">
        <f>IFERROR(__xludf.DUMMYFUNCTION("""COMPUTED_VALUE"""),"Mathillo Kabeli HEP")</f>
        <v>Mathillo Kabeli HEP</v>
      </c>
      <c r="C124" s="2">
        <f>IFERROR(__xludf.DUMMYFUNCTION("""COMPUTED_VALUE"""),28.1)</f>
        <v>28.1</v>
      </c>
      <c r="D124" s="2" t="str">
        <f>IFERROR(__xludf.DUMMYFUNCTION("""COMPUTED_VALUE"""),"Kabeli Khola")</f>
        <v>Kabeli Khola</v>
      </c>
      <c r="E124" s="2">
        <f>IFERROR(__xludf.DUMMYFUNCTION("""COMPUTED_VALUE"""),359.0)</f>
        <v>359</v>
      </c>
      <c r="F124" s="3">
        <f>IFERROR(__xludf.DUMMYFUNCTION("""COMPUTED_VALUE"""),65293.0)</f>
        <v>65293</v>
      </c>
      <c r="G124" s="3">
        <f>IFERROR(__xludf.DUMMYFUNCTION("""COMPUTED_VALUE"""),78075.0)</f>
        <v>78075</v>
      </c>
      <c r="H124" s="2" t="str">
        <f>IFERROR(__xludf.DUMMYFUNCTION("""COMPUTED_VALUE"""),"Peace Energy Company Ltd.")</f>
        <v>Peace Energy Company Ltd.</v>
      </c>
      <c r="I124" s="2" t="str">
        <f>IFERROR(__xludf.DUMMYFUNCTION("""COMPUTED_VALUE"""),"Baluwatar, Kathmandu, 01-5918721, info@peaceenergy.com.np")</f>
        <v>Baluwatar, Kathmandu, 01-5918721, info@peaceenergy.com.np</v>
      </c>
      <c r="J124" s="2" t="str">
        <f>IFERROR(__xludf.DUMMYFUNCTION("""COMPUTED_VALUE"""),"27o 18' 45""")</f>
        <v>27o 18' 45"</v>
      </c>
      <c r="K124" s="2" t="str">
        <f>IFERROR(__xludf.DUMMYFUNCTION("""COMPUTED_VALUE"""),"27o 21' 40""")</f>
        <v>27o 21' 40"</v>
      </c>
      <c r="L124" s="2" t="str">
        <f>IFERROR(__xludf.DUMMYFUNCTION("""COMPUTED_VALUE"""),"87o 50' 48""")</f>
        <v>87o 50' 48"</v>
      </c>
      <c r="M124" s="2" t="str">
        <f>IFERROR(__xludf.DUMMYFUNCTION("""COMPUTED_VALUE"""),"87o 52' 00""")</f>
        <v>87o 52' 00"</v>
      </c>
      <c r="N124" s="2" t="str">
        <f>IFERROR(__xludf.DUMMYFUNCTION("""COMPUTED_VALUE"""),"Limbudin,Ambegudin,Mehele,Tellok,Sinam,Sawalakhu (Taplejung)")</f>
        <v>Limbudin,Ambegudin,Mehele,Tellok,Sinam,Sawalakhu (Taplejung)</v>
      </c>
    </row>
    <row r="125">
      <c r="A125" s="2">
        <f>IFERROR(__xludf.DUMMYFUNCTION("""COMPUTED_VALUE"""),124.0)</f>
        <v>124</v>
      </c>
      <c r="B125" s="2" t="str">
        <f>IFERROR(__xludf.DUMMYFUNCTION("""COMPUTED_VALUE"""),"Super Lower Bagmati HEP")</f>
        <v>Super Lower Bagmati HEP</v>
      </c>
      <c r="C125" s="2">
        <f>IFERROR(__xludf.DUMMYFUNCTION("""COMPUTED_VALUE"""),41.86)</f>
        <v>41.86</v>
      </c>
      <c r="D125" s="2" t="str">
        <f>IFERROR(__xludf.DUMMYFUNCTION("""COMPUTED_VALUE"""),"Bagmati")</f>
        <v>Bagmati</v>
      </c>
      <c r="E125" s="2">
        <f>IFERROR(__xludf.DUMMYFUNCTION("""COMPUTED_VALUE"""),360.0)</f>
        <v>360</v>
      </c>
      <c r="F125" s="3">
        <f>IFERROR(__xludf.DUMMYFUNCTION("""COMPUTED_VALUE"""),65300.0)</f>
        <v>65300</v>
      </c>
      <c r="G125" s="3">
        <f>IFERROR(__xludf.DUMMYFUNCTION("""COMPUTED_VALUE"""),78082.0)</f>
        <v>78082</v>
      </c>
      <c r="H125" s="2" t="str">
        <f>IFERROR(__xludf.DUMMYFUNCTION("""COMPUTED_VALUE"""),"Super Bagmati Hydropower Ltd")</f>
        <v>Super Bagmati Hydropower Ltd</v>
      </c>
      <c r="I125" s="2" t="str">
        <f>IFERROR(__xludf.DUMMYFUNCTION("""COMPUTED_VALUE"""),"Lalitpur-10, Kupandole, Contact No. 9818785021, 9851047673, GPO BoX; 10218")</f>
        <v>Lalitpur-10, Kupandole, Contact No. 9818785021, 9851047673, GPO BoX; 10218</v>
      </c>
      <c r="J125" s="2" t="str">
        <f>IFERROR(__xludf.DUMMYFUNCTION("""COMPUTED_VALUE"""),"27o 19' 30""")</f>
        <v>27o 19' 30"</v>
      </c>
      <c r="K125" s="2" t="str">
        <f>IFERROR(__xludf.DUMMYFUNCTION("""COMPUTED_VALUE"""),"27o 25' 00""")</f>
        <v>27o 25' 00"</v>
      </c>
      <c r="L125" s="2" t="str">
        <f>IFERROR(__xludf.DUMMYFUNCTION("""COMPUTED_VALUE"""),"85o 21' 52""")</f>
        <v>85o 21' 52"</v>
      </c>
      <c r="M125" s="2" t="str">
        <f>IFERROR(__xludf.DUMMYFUNCTION("""COMPUTED_VALUE"""),"85o 28' 55""")</f>
        <v>85o 28' 55"</v>
      </c>
      <c r="N125" s="2" t="str">
        <f>IFERROR(__xludf.DUMMYFUNCTION("""COMPUTED_VALUE"""),"Milche,Salamechakla(Taldhunga),Saldhara (Kavrepalanchok) Gimdi,Thuladurlung 
(Lalitpur) Faparbari,Betini (Makawanpur)")</f>
        <v>Milche,Salamechakla(Taldhunga),Saldhara (Kavrepalanchok) Gimdi,Thuladurlung 
(Lalitpur) Faparbari,Betini (Makawanpur)</v>
      </c>
    </row>
    <row r="126">
      <c r="A126" s="2">
        <f>IFERROR(__xludf.DUMMYFUNCTION("""COMPUTED_VALUE"""),125.0)</f>
        <v>125</v>
      </c>
      <c r="B126" s="2" t="str">
        <f>IFERROR(__xludf.DUMMYFUNCTION("""COMPUTED_VALUE"""),"Middle Hongu Khola B HEP")</f>
        <v>Middle Hongu Khola B HEP</v>
      </c>
      <c r="C126" s="2">
        <f>IFERROR(__xludf.DUMMYFUNCTION("""COMPUTED_VALUE"""),22.9)</f>
        <v>22.9</v>
      </c>
      <c r="D126" s="2" t="str">
        <f>IFERROR(__xludf.DUMMYFUNCTION("""COMPUTED_VALUE"""),"Hongu Khola")</f>
        <v>Hongu Khola</v>
      </c>
      <c r="E126" s="2">
        <f>IFERROR(__xludf.DUMMYFUNCTION("""COMPUTED_VALUE"""),361.0)</f>
        <v>361</v>
      </c>
      <c r="F126" s="3">
        <f>IFERROR(__xludf.DUMMYFUNCTION("""COMPUTED_VALUE"""),65300.0)</f>
        <v>65300</v>
      </c>
      <c r="G126" s="3">
        <f>IFERROR(__xludf.DUMMYFUNCTION("""COMPUTED_VALUE"""),78082.0)</f>
        <v>78082</v>
      </c>
      <c r="H126" s="2" t="str">
        <f>IFERROR(__xludf.DUMMYFUNCTION("""COMPUTED_VALUE"""),"Gaurishankar Power Development Pvt. Ltd")</f>
        <v>Gaurishankar Power Development Pvt. Ltd</v>
      </c>
      <c r="I126" s="2" t="str">
        <f>IFERROR(__xludf.DUMMYFUNCTION("""COMPUTED_VALUE"""),"Kathmandu-34, Baneshwor, Contact No. 4992910, 9851133303")</f>
        <v>Kathmandu-34, Baneshwor, Contact No. 4992910, 9851133303</v>
      </c>
      <c r="J126" s="2" t="str">
        <f>IFERROR(__xludf.DUMMYFUNCTION("""COMPUTED_VALUE"""),"27o 29' 09""")</f>
        <v>27o 29' 09"</v>
      </c>
      <c r="K126" s="2" t="str">
        <f>IFERROR(__xludf.DUMMYFUNCTION("""COMPUTED_VALUE"""),"27o 30' 51""")</f>
        <v>27o 30' 51"</v>
      </c>
      <c r="L126" s="2" t="str">
        <f>IFERROR(__xludf.DUMMYFUNCTION("""COMPUTED_VALUE"""),"86o 49' 06""")</f>
        <v>86o 49' 06"</v>
      </c>
      <c r="M126" s="2" t="str">
        <f>IFERROR(__xludf.DUMMYFUNCTION("""COMPUTED_VALUE"""),"86o 51' 34""")</f>
        <v>86o 51' 34"</v>
      </c>
      <c r="N126" s="2" t="str">
        <f>IFERROR(__xludf.DUMMYFUNCTION("""COMPUTED_VALUE"""),"Sautang,Gudel,Bung,Chheskam (Solukhumbu)")</f>
        <v>Sautang,Gudel,Bung,Chheskam (Solukhumbu)</v>
      </c>
    </row>
    <row r="127">
      <c r="A127" s="2">
        <f>IFERROR(__xludf.DUMMYFUNCTION("""COMPUTED_VALUE"""),126.0)</f>
        <v>126</v>
      </c>
      <c r="B127" s="2" t="str">
        <f>IFERROR(__xludf.DUMMYFUNCTION("""COMPUTED_VALUE"""),"Upper Seti HEP")</f>
        <v>Upper Seti HEP</v>
      </c>
      <c r="C127" s="2">
        <f>IFERROR(__xludf.DUMMYFUNCTION("""COMPUTED_VALUE"""),20.0)</f>
        <v>20</v>
      </c>
      <c r="D127" s="2" t="str">
        <f>IFERROR(__xludf.DUMMYFUNCTION("""COMPUTED_VALUE"""),"Seti Khola, Sadhu Khola")</f>
        <v>Seti Khola, Sadhu Khola</v>
      </c>
      <c r="E127" s="2">
        <f>IFERROR(__xludf.DUMMYFUNCTION("""COMPUTED_VALUE"""),362.0)</f>
        <v>362</v>
      </c>
      <c r="F127" s="3">
        <f>IFERROR(__xludf.DUMMYFUNCTION("""COMPUTED_VALUE"""),65305.0)</f>
        <v>65305</v>
      </c>
      <c r="G127" s="3">
        <f>IFERROR(__xludf.DUMMYFUNCTION("""COMPUTED_VALUE"""),78087.0)</f>
        <v>78087</v>
      </c>
      <c r="H127" s="2" t="str">
        <f>IFERROR(__xludf.DUMMYFUNCTION("""COMPUTED_VALUE"""),"Upper Seti Hydro Pvt.Ltd.")</f>
        <v>Upper Seti Hydro Pvt.Ltd.</v>
      </c>
      <c r="I127" s="2" t="str">
        <f>IFERROR(__xludf.DUMMYFUNCTION("""COMPUTED_VALUE"""),"Ka.Ma.Pa-32, Anamnagar Kathmandu, P.O.Box 12662,E-mail: 
upperseti20mw@gmail.com Contact No. 9851147724, 9849821564,01-54")</f>
        <v>Ka.Ma.Pa-32, Anamnagar Kathmandu, P.O.Box 12662,E-mail: 
upperseti20mw@gmail.com Contact No. 9851147724, 9849821564,01-54</v>
      </c>
      <c r="J127" s="2" t="str">
        <f>IFERROR(__xludf.DUMMYFUNCTION("""COMPUTED_VALUE"""),"28o 24' 31""")</f>
        <v>28o 24' 31"</v>
      </c>
      <c r="K127" s="2" t="str">
        <f>IFERROR(__xludf.DUMMYFUNCTION("""COMPUTED_VALUE"""),"28o 26' 15""")</f>
        <v>28o 26' 15"</v>
      </c>
      <c r="L127" s="2" t="str">
        <f>IFERROR(__xludf.DUMMYFUNCTION("""COMPUTED_VALUE"""),"83o 58' 36""")</f>
        <v>83o 58' 36"</v>
      </c>
      <c r="M127" s="2" t="str">
        <f>IFERROR(__xludf.DUMMYFUNCTION("""COMPUTED_VALUE"""),"84o 00' 15""")</f>
        <v>84o 00' 15"</v>
      </c>
      <c r="N127" s="2" t="str">
        <f>IFERROR(__xludf.DUMMYFUNCTION("""COMPUTED_VALUE"""),"Machhapuchchhre (Kaski)")</f>
        <v>Machhapuchchhre (Kaski)</v>
      </c>
    </row>
    <row r="128">
      <c r="A128" s="2">
        <f>IFERROR(__xludf.DUMMYFUNCTION("""COMPUTED_VALUE"""),127.0)</f>
        <v>127</v>
      </c>
      <c r="B128" s="2" t="str">
        <f>IFERROR(__xludf.DUMMYFUNCTION("""COMPUTED_VALUE"""),"Upper Deumai Khola Small HEP")</f>
        <v>Upper Deumai Khola Small HEP</v>
      </c>
      <c r="C128" s="2">
        <f>IFERROR(__xludf.DUMMYFUNCTION("""COMPUTED_VALUE"""),8.3)</f>
        <v>8.3</v>
      </c>
      <c r="D128" s="2" t="str">
        <f>IFERROR(__xludf.DUMMYFUNCTION("""COMPUTED_VALUE"""),"Deumai")</f>
        <v>Deumai</v>
      </c>
      <c r="E128" s="2">
        <f>IFERROR(__xludf.DUMMYFUNCTION("""COMPUTED_VALUE"""),363.0)</f>
        <v>363</v>
      </c>
      <c r="F128" s="3">
        <f>IFERROR(__xludf.DUMMYFUNCTION("""COMPUTED_VALUE"""),65325.0)</f>
        <v>65325</v>
      </c>
      <c r="G128" s="3">
        <f>IFERROR(__xludf.DUMMYFUNCTION("""COMPUTED_VALUE"""),78107.0)</f>
        <v>78107</v>
      </c>
      <c r="H128" s="2" t="str">
        <f>IFERROR(__xludf.DUMMYFUNCTION("""COMPUTED_VALUE"""),"Water Energy Solution Pvt Ltd")</f>
        <v>Water Energy Solution Pvt Ltd</v>
      </c>
      <c r="I128" s="2" t="str">
        <f>IFERROR(__xludf.DUMMYFUNCTION("""COMPUTED_VALUE"""),"Madhyapur Thimi Municipality, Bhaktapur, Tel: 9841618543")</f>
        <v>Madhyapur Thimi Municipality, Bhaktapur, Tel: 9841618543</v>
      </c>
      <c r="J128" s="2" t="str">
        <f>IFERROR(__xludf.DUMMYFUNCTION("""COMPUTED_VALUE"""),"26o 54' 40""")</f>
        <v>26o 54' 40"</v>
      </c>
      <c r="K128" s="2" t="str">
        <f>IFERROR(__xludf.DUMMYFUNCTION("""COMPUTED_VALUE"""),"26o 57' 50""")</f>
        <v>26o 57' 50"</v>
      </c>
      <c r="L128" s="2" t="str">
        <f>IFERROR(__xludf.DUMMYFUNCTION("""COMPUTED_VALUE"""),"87o 46' 15""")</f>
        <v>87o 46' 15"</v>
      </c>
      <c r="M128" s="2" t="str">
        <f>IFERROR(__xludf.DUMMYFUNCTION("""COMPUTED_VALUE"""),"87o 48' 55""")</f>
        <v>87o 48' 55"</v>
      </c>
      <c r="N128" s="2" t="str">
        <f>IFERROR(__xludf.DUMMYFUNCTION("""COMPUTED_VALUE"""),"Ektappa,Mangalbare,Ghuseni (Ilam)")</f>
        <v>Ektappa,Mangalbare,Ghuseni (Ilam)</v>
      </c>
    </row>
    <row r="129">
      <c r="A129" s="2">
        <f>IFERROR(__xludf.DUMMYFUNCTION("""COMPUTED_VALUE"""),128.0)</f>
        <v>128</v>
      </c>
      <c r="B129" s="2" t="str">
        <f>IFERROR(__xludf.DUMMYFUNCTION("""COMPUTED_VALUE"""),"Sepli Khola HEP")</f>
        <v>Sepli Khola HEP</v>
      </c>
      <c r="C129" s="2">
        <f>IFERROR(__xludf.DUMMYFUNCTION("""COMPUTED_VALUE"""),5.0)</f>
        <v>5</v>
      </c>
      <c r="D129" s="2" t="str">
        <f>IFERROR(__xludf.DUMMYFUNCTION("""COMPUTED_VALUE"""),"Sepli Khola")</f>
        <v>Sepli Khola</v>
      </c>
      <c r="E129" s="2">
        <f>IFERROR(__xludf.DUMMYFUNCTION("""COMPUTED_VALUE"""),364.0)</f>
        <v>364</v>
      </c>
      <c r="F129" s="3">
        <f>IFERROR(__xludf.DUMMYFUNCTION("""COMPUTED_VALUE"""),65366.0)</f>
        <v>65366</v>
      </c>
      <c r="G129" s="3">
        <f>IFERROR(__xludf.DUMMYFUNCTION("""COMPUTED_VALUE"""),78148.0)</f>
        <v>78148</v>
      </c>
      <c r="H129" s="2" t="str">
        <f>IFERROR(__xludf.DUMMYFUNCTION("""COMPUTED_VALUE"""),"Sepli Hydropower Development Pvt. Ltd.")</f>
        <v>Sepli Hydropower Development Pvt. Ltd.</v>
      </c>
      <c r="I129" s="2" t="str">
        <f>IFERROR(__xludf.DUMMYFUNCTION("""COMPUTED_VALUE"""),"Battisputali, Kathmandu, P.O.Box 10512, Contact No. 01-4470602, 9742082308")</f>
        <v>Battisputali, Kathmandu, P.O.Box 10512, Contact No. 01-4470602, 9742082308</v>
      </c>
      <c r="J129" s="2" t="str">
        <f>IFERROR(__xludf.DUMMYFUNCTION("""COMPUTED_VALUE"""),"27o 22' 37""")</f>
        <v>27o 22' 37"</v>
      </c>
      <c r="K129" s="2" t="str">
        <f>IFERROR(__xludf.DUMMYFUNCTION("""COMPUTED_VALUE"""),"27o 23' 36""")</f>
        <v>27o 23' 36"</v>
      </c>
      <c r="L129" s="2" t="str">
        <f>IFERROR(__xludf.DUMMYFUNCTION("""COMPUTED_VALUE"""),"86o 26' 38""")</f>
        <v>86o 26' 38"</v>
      </c>
      <c r="M129" s="2" t="str">
        <f>IFERROR(__xludf.DUMMYFUNCTION("""COMPUTED_VALUE"""),"86o 27' 51""")</f>
        <v>86o 27' 51"</v>
      </c>
      <c r="N129" s="2" t="str">
        <f>IFERROR(__xludf.DUMMYFUNCTION("""COMPUTED_VALUE"""),"Patle,Jantarkhani,Ragadeep (Okhaldhunga)")</f>
        <v>Patle,Jantarkhani,Ragadeep (Okhaldhunga)</v>
      </c>
    </row>
    <row r="130">
      <c r="A130" s="2">
        <f>IFERROR(__xludf.DUMMYFUNCTION("""COMPUTED_VALUE"""),129.0)</f>
        <v>129</v>
      </c>
      <c r="B130" s="2" t="str">
        <f>IFERROR(__xludf.DUMMYFUNCTION("""COMPUTED_VALUE"""),"Tamor Khola-5 HEP")</f>
        <v>Tamor Khola-5 HEP</v>
      </c>
      <c r="C130" s="2">
        <f>IFERROR(__xludf.DUMMYFUNCTION("""COMPUTED_VALUE"""),37.5)</f>
        <v>37.5</v>
      </c>
      <c r="D130" s="2" t="str">
        <f>IFERROR(__xludf.DUMMYFUNCTION("""COMPUTED_VALUE"""),"Tamor")</f>
        <v>Tamor</v>
      </c>
      <c r="E130" s="2">
        <f>IFERROR(__xludf.DUMMYFUNCTION("""COMPUTED_VALUE"""),365.0)</f>
        <v>365</v>
      </c>
      <c r="F130" s="3">
        <f>IFERROR(__xludf.DUMMYFUNCTION("""COMPUTED_VALUE"""),65369.0)</f>
        <v>65369</v>
      </c>
      <c r="G130" s="3">
        <f>IFERROR(__xludf.DUMMYFUNCTION("""COMPUTED_VALUE"""),78151.0)</f>
        <v>78151</v>
      </c>
      <c r="H130" s="2" t="str">
        <f>IFERROR(__xludf.DUMMYFUNCTION("""COMPUTED_VALUE"""),"River Side Hydro Energy Ltd")</f>
        <v>River Side Hydro Energy Ltd</v>
      </c>
      <c r="I130" s="2" t="str">
        <f>IFERROR(__xludf.DUMMYFUNCTION("""COMPUTED_VALUE"""),"Kupondole, Lalitpur-10, 9808900203")</f>
        <v>Kupondole, Lalitpur-10, 9808900203</v>
      </c>
      <c r="J130" s="2" t="str">
        <f>IFERROR(__xludf.DUMMYFUNCTION("""COMPUTED_VALUE"""),"27o 30' 45""")</f>
        <v>27o 30' 45"</v>
      </c>
      <c r="K130" s="2" t="str">
        <f>IFERROR(__xludf.DUMMYFUNCTION("""COMPUTED_VALUE"""),"27o 31' 48""")</f>
        <v>27o 31' 48"</v>
      </c>
      <c r="L130" s="2" t="str">
        <f>IFERROR(__xludf.DUMMYFUNCTION("""COMPUTED_VALUE"""),"87o 47' 01""")</f>
        <v>87o 47' 01"</v>
      </c>
      <c r="M130" s="2" t="str">
        <f>IFERROR(__xludf.DUMMYFUNCTION("""COMPUTED_VALUE"""),"87o 48' 33""")</f>
        <v>87o 48' 33"</v>
      </c>
      <c r="N130" s="2" t="str">
        <f>IFERROR(__xludf.DUMMYFUNCTION("""COMPUTED_VALUE"""),"Lelep,Tapethok (Taplejung)")</f>
        <v>Lelep,Tapethok (Taplejung)</v>
      </c>
    </row>
    <row r="131">
      <c r="A131" s="2">
        <f>IFERROR(__xludf.DUMMYFUNCTION("""COMPUTED_VALUE"""),130.0)</f>
        <v>130</v>
      </c>
      <c r="B131" s="2" t="str">
        <f>IFERROR(__xludf.DUMMYFUNCTION("""COMPUTED_VALUE"""),"Kunban Khola HEP")</f>
        <v>Kunban Khola HEP</v>
      </c>
      <c r="C131" s="2">
        <f>IFERROR(__xludf.DUMMYFUNCTION("""COMPUTED_VALUE"""),20.0)</f>
        <v>20</v>
      </c>
      <c r="D131" s="2" t="str">
        <f>IFERROR(__xludf.DUMMYFUNCTION("""COMPUTED_VALUE"""),"Kunban")</f>
        <v>Kunban</v>
      </c>
      <c r="E131" s="2">
        <f>IFERROR(__xludf.DUMMYFUNCTION("""COMPUTED_VALUE"""),366.0)</f>
        <v>366</v>
      </c>
      <c r="F131" s="3">
        <f>IFERROR(__xludf.DUMMYFUNCTION("""COMPUTED_VALUE"""),65377.0)</f>
        <v>65377</v>
      </c>
      <c r="G131" s="3">
        <f>IFERROR(__xludf.DUMMYFUNCTION("""COMPUTED_VALUE"""),78159.0)</f>
        <v>78159</v>
      </c>
      <c r="H131" s="2" t="str">
        <f>IFERROR(__xludf.DUMMYFUNCTION("""COMPUTED_VALUE"""),"Sushmit Energy Pvt. Ltd.")</f>
        <v>Sushmit Energy Pvt. Ltd.</v>
      </c>
      <c r="I131" s="2" t="str">
        <f>IFERROR(__xludf.DUMMYFUNCTION("""COMPUTED_VALUE"""),"Kathmandu, Nepal, Phone no 01-5199073, 01-5199454, Sushil pokhrel 
9851050406 , Email info@sushmitenergy.com")</f>
        <v>Kathmandu, Nepal, Phone no 01-5199073, 01-5199454, Sushil pokhrel 
9851050406 , Email info@sushmitenergy.com</v>
      </c>
      <c r="J131" s="2" t="str">
        <f>IFERROR(__xludf.DUMMYFUNCTION("""COMPUTED_VALUE"""),"28o 37' 50""")</f>
        <v>28o 37' 50"</v>
      </c>
      <c r="K131" s="2" t="str">
        <f>IFERROR(__xludf.DUMMYFUNCTION("""COMPUTED_VALUE"""),"28o 39' 30""")</f>
        <v>28o 39' 30"</v>
      </c>
      <c r="L131" s="2" t="str">
        <f>IFERROR(__xludf.DUMMYFUNCTION("""COMPUTED_VALUE"""),"83o 21' 25""")</f>
        <v>83o 21' 25"</v>
      </c>
      <c r="M131" s="2" t="str">
        <f>IFERROR(__xludf.DUMMYFUNCTION("""COMPUTED_VALUE"""),"83o 23' 45""")</f>
        <v>83o 23' 45"</v>
      </c>
      <c r="N131" s="2" t="str">
        <f>IFERROR(__xludf.DUMMYFUNCTION("""COMPUTED_VALUE"""),"Mudi (Myagdi)")</f>
        <v>Mudi (Myagdi)</v>
      </c>
    </row>
    <row r="132">
      <c r="A132" s="2">
        <f>IFERROR(__xludf.DUMMYFUNCTION("""COMPUTED_VALUE"""),131.0)</f>
        <v>131</v>
      </c>
      <c r="B132" s="2" t="str">
        <f>IFERROR(__xludf.DUMMYFUNCTION("""COMPUTED_VALUE"""),"Himchuli Dordi HEP")</f>
        <v>Himchuli Dordi HEP</v>
      </c>
      <c r="C132" s="2">
        <f>IFERROR(__xludf.DUMMYFUNCTION("""COMPUTED_VALUE"""),57.0)</f>
        <v>57</v>
      </c>
      <c r="D132" s="2" t="str">
        <f>IFERROR(__xludf.DUMMYFUNCTION("""COMPUTED_VALUE"""),"Dordi")</f>
        <v>Dordi</v>
      </c>
      <c r="E132" s="2">
        <f>IFERROR(__xludf.DUMMYFUNCTION("""COMPUTED_VALUE"""),370.0)</f>
        <v>370</v>
      </c>
      <c r="F132" s="3">
        <f>IFERROR(__xludf.DUMMYFUNCTION("""COMPUTED_VALUE"""),65408.0)</f>
        <v>65408</v>
      </c>
      <c r="G132" s="3">
        <f>IFERROR(__xludf.DUMMYFUNCTION("""COMPUTED_VALUE"""),78190.0)</f>
        <v>78190</v>
      </c>
      <c r="H132" s="2" t="str">
        <f>IFERROR(__xludf.DUMMYFUNCTION("""COMPUTED_VALUE"""),"Peoples Hydropower Company Pvt. Ltd")</f>
        <v>Peoples Hydropower Company Pvt. Ltd</v>
      </c>
      <c r="I132" s="2" t="str">
        <f>IFERROR(__xludf.DUMMYFUNCTION("""COMPUTED_VALUE"""),"Anamnagar, Kathmandu, Po Box No. 25038")</f>
        <v>Anamnagar, Kathmandu, Po Box No. 25038</v>
      </c>
      <c r="J132" s="2" t="str">
        <f>IFERROR(__xludf.DUMMYFUNCTION("""COMPUTED_VALUE"""),"28o 18' 45""")</f>
        <v>28o 18' 45"</v>
      </c>
      <c r="K132" s="2" t="str">
        <f>IFERROR(__xludf.DUMMYFUNCTION("""COMPUTED_VALUE"""),"28o 20' 32""")</f>
        <v>28o 20' 32"</v>
      </c>
      <c r="L132" s="2" t="str">
        <f>IFERROR(__xludf.DUMMYFUNCTION("""COMPUTED_VALUE"""),"84o 33' 40""")</f>
        <v>84o 33' 40"</v>
      </c>
      <c r="M132" s="2" t="str">
        <f>IFERROR(__xludf.DUMMYFUNCTION("""COMPUTED_VALUE"""),"84o 35' 50""")</f>
        <v>84o 35' 50"</v>
      </c>
      <c r="N132" s="2" t="str">
        <f>IFERROR(__xludf.DUMMYFUNCTION("""COMPUTED_VALUE"""),"Dhodeni,Faleni (Lamjung)")</f>
        <v>Dhodeni,Faleni (Lamjung)</v>
      </c>
    </row>
    <row r="133">
      <c r="A133" s="2">
        <f>IFERROR(__xludf.DUMMYFUNCTION("""COMPUTED_VALUE"""),132.0)</f>
        <v>132</v>
      </c>
      <c r="B133" s="2" t="str">
        <f>IFERROR(__xludf.DUMMYFUNCTION("""COMPUTED_VALUE"""),"Upper Sagu HEP")</f>
        <v>Upper Sagu HEP</v>
      </c>
      <c r="C133" s="2">
        <f>IFERROR(__xludf.DUMMYFUNCTION("""COMPUTED_VALUE"""),10.0)</f>
        <v>10</v>
      </c>
      <c r="D133" s="2" t="str">
        <f>IFERROR(__xludf.DUMMYFUNCTION("""COMPUTED_VALUE"""),"Khartal,Kothali(Sagu)")</f>
        <v>Khartal,Kothali(Sagu)</v>
      </c>
      <c r="E133" s="2">
        <f>IFERROR(__xludf.DUMMYFUNCTION("""COMPUTED_VALUE"""),372.0)</f>
        <v>372</v>
      </c>
      <c r="F133" s="3">
        <f>IFERROR(__xludf.DUMMYFUNCTION("""COMPUTED_VALUE"""),65444.0)</f>
        <v>65444</v>
      </c>
      <c r="G133" s="3">
        <f>IFERROR(__xludf.DUMMYFUNCTION("""COMPUTED_VALUE"""),78226.0)</f>
        <v>78226</v>
      </c>
      <c r="H133" s="2" t="str">
        <f>IFERROR(__xludf.DUMMYFUNCTION("""COMPUTED_VALUE"""),"Aalampu Jalbidhyut Bikash Company Pvt. Ltd")</f>
        <v>Aalampu Jalbidhyut Bikash Company Pvt. Ltd</v>
      </c>
      <c r="I133" s="2" t="str">
        <f>IFERROR(__xludf.DUMMYFUNCTION("""COMPUTED_VALUE"""),"KMC-9, Battisputali, 9841837222")</f>
        <v>KMC-9, Battisputali, 9841837222</v>
      </c>
      <c r="J133" s="2" t="str">
        <f>IFERROR(__xludf.DUMMYFUNCTION("""COMPUTED_VALUE"""),"27o 50' 42""")</f>
        <v>27o 50' 42"</v>
      </c>
      <c r="K133" s="2" t="str">
        <f>IFERROR(__xludf.DUMMYFUNCTION("""COMPUTED_VALUE"""),"27o 53' 00""")</f>
        <v>27o 53' 00"</v>
      </c>
      <c r="L133" s="2" t="str">
        <f>IFERROR(__xludf.DUMMYFUNCTION("""COMPUTED_VALUE"""),"86o 05' 00""")</f>
        <v>86o 05' 00"</v>
      </c>
      <c r="M133" s="2" t="str">
        <f>IFERROR(__xludf.DUMMYFUNCTION("""COMPUTED_VALUE"""),"86o 06' 56""")</f>
        <v>86o 06' 56"</v>
      </c>
      <c r="N133" s="2" t="str">
        <f>IFERROR(__xludf.DUMMYFUNCTION("""COMPUTED_VALUE"""),"Alampu,Bigu (Dolakha)")</f>
        <v>Alampu,Bigu (Dolakha)</v>
      </c>
    </row>
    <row r="134">
      <c r="A134" s="2">
        <f>IFERROR(__xludf.DUMMYFUNCTION("""COMPUTED_VALUE"""),133.0)</f>
        <v>133</v>
      </c>
      <c r="B134" s="2" t="str">
        <f>IFERROR(__xludf.DUMMYFUNCTION("""COMPUTED_VALUE"""),"Tiplyang Kaligandaki HEP")</f>
        <v>Tiplyang Kaligandaki HEP</v>
      </c>
      <c r="C134" s="2">
        <f>IFERROR(__xludf.DUMMYFUNCTION("""COMPUTED_VALUE"""),58.0)</f>
        <v>58</v>
      </c>
      <c r="D134" s="2" t="str">
        <f>IFERROR(__xludf.DUMMYFUNCTION("""COMPUTED_VALUE"""),"Kali Gandaki")</f>
        <v>Kali Gandaki</v>
      </c>
      <c r="E134" s="2">
        <f>IFERROR(__xludf.DUMMYFUNCTION("""COMPUTED_VALUE"""),373.0)</f>
        <v>373</v>
      </c>
      <c r="F134" s="3">
        <f>IFERROR(__xludf.DUMMYFUNCTION("""COMPUTED_VALUE"""),65444.0)</f>
        <v>65444</v>
      </c>
      <c r="G134" s="3">
        <f>IFERROR(__xludf.DUMMYFUNCTION("""COMPUTED_VALUE"""),78230.0)</f>
        <v>78230</v>
      </c>
      <c r="H134" s="2" t="str">
        <f>IFERROR(__xludf.DUMMYFUNCTION("""COMPUTED_VALUE"""),"Tiplyang Kaligandaki Hydropower Pvt. Ltd")</f>
        <v>Tiplyang Kaligandaki Hydropower Pvt. Ltd</v>
      </c>
      <c r="I134" s="2" t="str">
        <f>IFERROR(__xludf.DUMMYFUNCTION("""COMPUTED_VALUE"""),"KMC-9, 01-5918721, 9849536611, tiplyangkghp@gmail.com")</f>
        <v>KMC-9, 01-5918721, 9849536611, tiplyangkghp@gmail.com</v>
      </c>
      <c r="J134" s="2" t="str">
        <f>IFERROR(__xludf.DUMMYFUNCTION("""COMPUTED_VALUE"""),"28o 26' 03""")</f>
        <v>28o 26' 03"</v>
      </c>
      <c r="K134" s="2" t="str">
        <f>IFERROR(__xludf.DUMMYFUNCTION("""COMPUTED_VALUE"""),"28o 28' 55""")</f>
        <v>28o 28' 55"</v>
      </c>
      <c r="L134" s="2" t="str">
        <f>IFERROR(__xludf.DUMMYFUNCTION("""COMPUTED_VALUE"""),"83o 36' 03""")</f>
        <v>83o 36' 03"</v>
      </c>
      <c r="M134" s="2" t="str">
        <f>IFERROR(__xludf.DUMMYFUNCTION("""COMPUTED_VALUE"""),"83o 38' 51""")</f>
        <v>83o 38' 51"</v>
      </c>
      <c r="N134" s="2" t="str">
        <f>IFERROR(__xludf.DUMMYFUNCTION("""COMPUTED_VALUE"""),"Tatopani,Dowa,Histan Mandali,Shikha (Myagdi)")</f>
        <v>Tatopani,Dowa,Histan Mandali,Shikha (Myagdi)</v>
      </c>
    </row>
    <row r="135">
      <c r="A135" s="2">
        <f>IFERROR(__xludf.DUMMYFUNCTION("""COMPUTED_VALUE"""),134.0)</f>
        <v>134</v>
      </c>
      <c r="B135" s="2" t="str">
        <f>IFERROR(__xludf.DUMMYFUNCTION("""COMPUTED_VALUE"""),"Madhya Hongu Khola -A HPP")</f>
        <v>Madhya Hongu Khola -A HPP</v>
      </c>
      <c r="C135" s="2">
        <f>IFERROR(__xludf.DUMMYFUNCTION("""COMPUTED_VALUE"""),22.0)</f>
        <v>22</v>
      </c>
      <c r="D135" s="2" t="str">
        <f>IFERROR(__xludf.DUMMYFUNCTION("""COMPUTED_VALUE"""),"Hongu Khola")</f>
        <v>Hongu Khola</v>
      </c>
      <c r="E135" s="2">
        <f>IFERROR(__xludf.DUMMYFUNCTION("""COMPUTED_VALUE"""),374.0)</f>
        <v>374</v>
      </c>
      <c r="F135" s="3">
        <f>IFERROR(__xludf.DUMMYFUNCTION("""COMPUTED_VALUE"""),65448.0)</f>
        <v>65448</v>
      </c>
      <c r="G135" s="3">
        <f>IFERROR(__xludf.DUMMYFUNCTION("""COMPUTED_VALUE"""),78230.0)</f>
        <v>78230</v>
      </c>
      <c r="H135" s="2" t="str">
        <f>IFERROR(__xludf.DUMMYFUNCTION("""COMPUTED_VALUE"""),"Apex Makalu Hydropower Limited")</f>
        <v>Apex Makalu Hydropower Limited</v>
      </c>
      <c r="I135" s="2" t="str">
        <f>IFERROR(__xludf.DUMMYFUNCTION("""COMPUTED_VALUE"""),"New Baneshwor, Kathmandu Contact No.: 01-4443048, 4443047, 4992910")</f>
        <v>New Baneshwor, Kathmandu Contact No.: 01-4443048, 4443047, 4992910</v>
      </c>
      <c r="J135" s="2" t="str">
        <f>IFERROR(__xludf.DUMMYFUNCTION("""COMPUTED_VALUE"""),"27o 30' 51""")</f>
        <v>27o 30' 51"</v>
      </c>
      <c r="K135" s="2" t="str">
        <f>IFERROR(__xludf.DUMMYFUNCTION("""COMPUTED_VALUE"""),"27o 32' 08""")</f>
        <v>27o 32' 08"</v>
      </c>
      <c r="L135" s="2" t="str">
        <f>IFERROR(__xludf.DUMMYFUNCTION("""COMPUTED_VALUE"""),"86o 51' 23""")</f>
        <v>86o 51' 23"</v>
      </c>
      <c r="M135" s="2" t="str">
        <f>IFERROR(__xludf.DUMMYFUNCTION("""COMPUTED_VALUE"""),"86o 53' 54""")</f>
        <v>86o 53' 54"</v>
      </c>
      <c r="N135" s="2" t="str">
        <f>IFERROR(__xludf.DUMMYFUNCTION("""COMPUTED_VALUE"""),"Gudel (Solukhumbu)")</f>
        <v>Gudel (Solukhumbu)</v>
      </c>
    </row>
    <row r="136">
      <c r="A136" s="2">
        <f>IFERROR(__xludf.DUMMYFUNCTION("""COMPUTED_VALUE"""),135.0)</f>
        <v>135</v>
      </c>
      <c r="B136" s="2" t="str">
        <f>IFERROR(__xludf.DUMMYFUNCTION("""COMPUTED_VALUE"""),"Chino Khola HEP")</f>
        <v>Chino Khola HEP</v>
      </c>
      <c r="C136" s="2">
        <f>IFERROR(__xludf.DUMMYFUNCTION("""COMPUTED_VALUE"""),7.9)</f>
        <v>7.9</v>
      </c>
      <c r="D136" s="2" t="str">
        <f>IFERROR(__xludf.DUMMYFUNCTION("""COMPUTED_VALUE"""),"Chino")</f>
        <v>Chino</v>
      </c>
      <c r="E136" s="2">
        <f>IFERROR(__xludf.DUMMYFUNCTION("""COMPUTED_VALUE"""),375.0)</f>
        <v>375</v>
      </c>
      <c r="F136" s="3">
        <f>IFERROR(__xludf.DUMMYFUNCTION("""COMPUTED_VALUE"""),65459.0)</f>
        <v>65459</v>
      </c>
      <c r="G136" s="3">
        <f>IFERROR(__xludf.DUMMYFUNCTION("""COMPUTED_VALUE"""),78241.0)</f>
        <v>78241</v>
      </c>
      <c r="H136" s="2" t="str">
        <f>IFERROR(__xludf.DUMMYFUNCTION("""COMPUTED_VALUE"""),"Chino Hydropower Ltd.")</f>
        <v>Chino Hydropower Ltd.</v>
      </c>
      <c r="I136" s="2" t="str">
        <f>IFERROR(__xludf.DUMMYFUNCTION("""COMPUTED_VALUE"""),"Budhhanagar, Kathmandu")</f>
        <v>Budhhanagar, Kathmandu</v>
      </c>
      <c r="J136" s="2" t="str">
        <f>IFERROR(__xludf.DUMMYFUNCTION("""COMPUTED_VALUE"""),"28o 32' 00""")</f>
        <v>28o 32' 00"</v>
      </c>
      <c r="K136" s="2" t="str">
        <f>IFERROR(__xludf.DUMMYFUNCTION("""COMPUTED_VALUE"""),"28o 33' 15""")</f>
        <v>28o 33' 15"</v>
      </c>
      <c r="L136" s="2" t="str">
        <f>IFERROR(__xludf.DUMMYFUNCTION("""COMPUTED_VALUE"""),"84o 19' 21""")</f>
        <v>84o 19' 21"</v>
      </c>
      <c r="M136" s="2" t="str">
        <f>IFERROR(__xludf.DUMMYFUNCTION("""COMPUTED_VALUE"""),"84o 20' 22""")</f>
        <v>84o 20' 22"</v>
      </c>
      <c r="N136" s="2" t="str">
        <f>IFERROR(__xludf.DUMMYFUNCTION("""COMPUTED_VALUE"""),"Tachi Bagarchhap,Dharapani (Manang)")</f>
        <v>Tachi Bagarchhap,Dharapani (Manang)</v>
      </c>
    </row>
    <row r="137">
      <c r="A137" s="2">
        <f>IFERROR(__xludf.DUMMYFUNCTION("""COMPUTED_VALUE"""),136.0)</f>
        <v>136</v>
      </c>
      <c r="B137" s="2" t="str">
        <f>IFERROR(__xludf.DUMMYFUNCTION("""COMPUTED_VALUE"""),"Ghunsa Khola HEP")</f>
        <v>Ghunsa Khola HEP</v>
      </c>
      <c r="C137" s="2">
        <f>IFERROR(__xludf.DUMMYFUNCTION("""COMPUTED_VALUE"""),77.5)</f>
        <v>77.5</v>
      </c>
      <c r="D137" s="2" t="str">
        <f>IFERROR(__xludf.DUMMYFUNCTION("""COMPUTED_VALUE"""),"Ghunsa Khola")</f>
        <v>Ghunsa Khola</v>
      </c>
      <c r="E137" s="2">
        <f>IFERROR(__xludf.DUMMYFUNCTION("""COMPUTED_VALUE"""),376.0)</f>
        <v>376</v>
      </c>
      <c r="F137" s="3">
        <f>IFERROR(__xludf.DUMMYFUNCTION("""COMPUTED_VALUE"""),65478.0)</f>
        <v>65478</v>
      </c>
      <c r="G137" s="3">
        <f>IFERROR(__xludf.DUMMYFUNCTION("""COMPUTED_VALUE"""),78260.0)</f>
        <v>78260</v>
      </c>
      <c r="H137" s="2" t="str">
        <f>IFERROR(__xludf.DUMMYFUNCTION("""COMPUTED_VALUE"""),"Remit Hydro Ltd")</f>
        <v>Remit Hydro Ltd</v>
      </c>
      <c r="I137" s="2" t="str">
        <f>IFERROR(__xludf.DUMMYFUNCTION("""COMPUTED_VALUE"""),"Babarmahal, Kathmandu-11,4257024,4257025,9851084895 fax4251060")</f>
        <v>Babarmahal, Kathmandu-11,4257024,4257025,9851084895 fax4251060</v>
      </c>
      <c r="J137" s="2" t="str">
        <f>IFERROR(__xludf.DUMMYFUNCTION("""COMPUTED_VALUE"""),"27o 31' 46""")</f>
        <v>27o 31' 46"</v>
      </c>
      <c r="K137" s="2" t="str">
        <f>IFERROR(__xludf.DUMMYFUNCTION("""COMPUTED_VALUE"""),"27o 34' 00""")</f>
        <v>27o 34' 00"</v>
      </c>
      <c r="L137" s="2" t="str">
        <f>IFERROR(__xludf.DUMMYFUNCTION("""COMPUTED_VALUE"""),"87o 48' 20""")</f>
        <v>87o 48' 20"</v>
      </c>
      <c r="M137" s="2" t="str">
        <f>IFERROR(__xludf.DUMMYFUNCTION("""COMPUTED_VALUE"""),"87o 51' 18""")</f>
        <v>87o 51' 18"</v>
      </c>
      <c r="N137" s="2" t="str">
        <f>IFERROR(__xludf.DUMMYFUNCTION("""COMPUTED_VALUE"""),"Lelep (Taplejung)")</f>
        <v>Lelep (Taplejung)</v>
      </c>
    </row>
    <row r="138">
      <c r="A138" s="2">
        <f>IFERROR(__xludf.DUMMYFUNCTION("""COMPUTED_VALUE"""),137.0)</f>
        <v>137</v>
      </c>
      <c r="B138" s="2" t="str">
        <f>IFERROR(__xludf.DUMMYFUNCTION("""COMPUTED_VALUE"""),"Simbuwa Khola HEP")</f>
        <v>Simbuwa Khola HEP</v>
      </c>
      <c r="C138" s="2">
        <f>IFERROR(__xludf.DUMMYFUNCTION("""COMPUTED_VALUE"""),70.3)</f>
        <v>70.3</v>
      </c>
      <c r="D138" s="2" t="str">
        <f>IFERROR(__xludf.DUMMYFUNCTION("""COMPUTED_VALUE"""),"Simbuwa Khola")</f>
        <v>Simbuwa Khola</v>
      </c>
      <c r="E138" s="2">
        <f>IFERROR(__xludf.DUMMYFUNCTION("""COMPUTED_VALUE"""),377.0)</f>
        <v>377</v>
      </c>
      <c r="F138" s="3">
        <f>IFERROR(__xludf.DUMMYFUNCTION("""COMPUTED_VALUE"""),65493.0)</f>
        <v>65493</v>
      </c>
      <c r="G138" s="3">
        <f>IFERROR(__xludf.DUMMYFUNCTION("""COMPUTED_VALUE"""),78275.0)</f>
        <v>78275</v>
      </c>
      <c r="H138" s="2" t="str">
        <f>IFERROR(__xludf.DUMMYFUNCTION("""COMPUTED_VALUE"""),"Simbuwa Remit Hydro Ltd")</f>
        <v>Simbuwa Remit Hydro Ltd</v>
      </c>
      <c r="I138" s="2" t="str">
        <f>IFERROR(__xludf.DUMMYFUNCTION("""COMPUTED_VALUE"""),"CIT Building New Baneshwor, KTM-31, 01-4581775, info@srhl.org.np, 
www.srhl.org.np")</f>
        <v>CIT Building New Baneshwor, KTM-31, 01-4581775, info@srhl.org.np, 
www.srhl.org.np</v>
      </c>
      <c r="J138" s="2" t="str">
        <f>IFERROR(__xludf.DUMMYFUNCTION("""COMPUTED_VALUE"""),"27o 30' 00""")</f>
        <v>27o 30' 00"</v>
      </c>
      <c r="K138" s="2" t="str">
        <f>IFERROR(__xludf.DUMMYFUNCTION("""COMPUTED_VALUE"""),"27o 31' 46""")</f>
        <v>27o 31' 46"</v>
      </c>
      <c r="L138" s="2" t="str">
        <f>IFERROR(__xludf.DUMMYFUNCTION("""COMPUTED_VALUE"""),"87o 47' 21""")</f>
        <v>87o 47' 21"</v>
      </c>
      <c r="M138" s="2" t="str">
        <f>IFERROR(__xludf.DUMMYFUNCTION("""COMPUTED_VALUE"""),"87o 52' 14""")</f>
        <v>87o 52' 14"</v>
      </c>
      <c r="N138" s="2" t="str">
        <f>IFERROR(__xludf.DUMMYFUNCTION("""COMPUTED_VALUE"""),"Tapethok (Taplejung)")</f>
        <v>Tapethok (Taplejung)</v>
      </c>
    </row>
    <row r="139">
      <c r="A139" s="2">
        <f>IFERROR(__xludf.DUMMYFUNCTION("""COMPUTED_VALUE"""),138.0)</f>
        <v>138</v>
      </c>
      <c r="B139" s="2" t="str">
        <f>IFERROR(__xludf.DUMMYFUNCTION("""COMPUTED_VALUE"""),"Dudh khola HEP")</f>
        <v>Dudh khola HEP</v>
      </c>
      <c r="C139" s="2">
        <f>IFERROR(__xludf.DUMMYFUNCTION("""COMPUTED_VALUE"""),65.0)</f>
        <v>65</v>
      </c>
      <c r="D139" s="2" t="str">
        <f>IFERROR(__xludf.DUMMYFUNCTION("""COMPUTED_VALUE"""),"Dudh Khola")</f>
        <v>Dudh Khola</v>
      </c>
      <c r="E139" s="2">
        <f>IFERROR(__xludf.DUMMYFUNCTION("""COMPUTED_VALUE"""),378.0)</f>
        <v>378</v>
      </c>
      <c r="F139" s="3">
        <f>IFERROR(__xludf.DUMMYFUNCTION("""COMPUTED_VALUE"""),65495.0)</f>
        <v>65495</v>
      </c>
      <c r="G139" s="3">
        <f>IFERROR(__xludf.DUMMYFUNCTION("""COMPUTED_VALUE"""),78277.0)</f>
        <v>78277</v>
      </c>
      <c r="H139" s="2" t="str">
        <f>IFERROR(__xludf.DUMMYFUNCTION("""COMPUTED_VALUE"""),"Dudh Khola Hydropower Company Pvt.Ltd.")</f>
        <v>Dudh Khola Hydropower Company Pvt.Ltd.</v>
      </c>
      <c r="I139" s="2" t="str">
        <f>IFERROR(__xludf.DUMMYFUNCTION("""COMPUTED_VALUE"""),"Sunrise Biz Park, 3rd Floor, Dillibazar, KTM, 01-4537705,4541648, 
dudhkholahydro@gmail.com")</f>
        <v>Sunrise Biz Park, 3rd Floor, Dillibazar, KTM, 01-4537705,4541648, 
dudhkholahydro@gmail.com</v>
      </c>
      <c r="J139" s="2" t="str">
        <f>IFERROR(__xludf.DUMMYFUNCTION("""COMPUTED_VALUE"""),"28o 31' 27""")</f>
        <v>28o 31' 27"</v>
      </c>
      <c r="K139" s="2" t="str">
        <f>IFERROR(__xludf.DUMMYFUNCTION("""COMPUTED_VALUE"""),"28o 33' 17""")</f>
        <v>28o 33' 17"</v>
      </c>
      <c r="L139" s="2" t="str">
        <f>IFERROR(__xludf.DUMMYFUNCTION("""COMPUTED_VALUE"""),"84o 21' 20""")</f>
        <v>84o 21' 20"</v>
      </c>
      <c r="M139" s="2" t="str">
        <f>IFERROR(__xludf.DUMMYFUNCTION("""COMPUTED_VALUE"""),"84o 23' 55""")</f>
        <v>84o 23' 55"</v>
      </c>
      <c r="N139" s="2" t="str">
        <f>IFERROR(__xludf.DUMMYFUNCTION("""COMPUTED_VALUE"""),"Dharapani,Tachi Bagarchhap,Thoche (Manang)")</f>
        <v>Dharapani,Tachi Bagarchhap,Thoche (Manang)</v>
      </c>
    </row>
    <row r="140">
      <c r="A140" s="2">
        <f>IFERROR(__xludf.DUMMYFUNCTION("""COMPUTED_VALUE"""),139.0)</f>
        <v>139</v>
      </c>
      <c r="B140" s="2" t="str">
        <f>IFERROR(__xludf.DUMMYFUNCTION("""COMPUTED_VALUE"""),"Jaldigad")</f>
        <v>Jaldigad</v>
      </c>
      <c r="C140" s="2">
        <f>IFERROR(__xludf.DUMMYFUNCTION("""COMPUTED_VALUE"""),21.0)</f>
        <v>21</v>
      </c>
      <c r="D140" s="2" t="str">
        <f>IFERROR(__xludf.DUMMYFUNCTION("""COMPUTED_VALUE"""),"Jaldi Gad")</f>
        <v>Jaldi Gad</v>
      </c>
      <c r="E140" s="2">
        <f>IFERROR(__xludf.DUMMYFUNCTION("""COMPUTED_VALUE"""),380.0)</f>
        <v>380</v>
      </c>
      <c r="F140" s="3">
        <f>IFERROR(__xludf.DUMMYFUNCTION("""COMPUTED_VALUE"""),65501.0)</f>
        <v>65501</v>
      </c>
      <c r="G140" s="3">
        <f>IFERROR(__xludf.DUMMYFUNCTION("""COMPUTED_VALUE"""),78283.0)</f>
        <v>78283</v>
      </c>
      <c r="H140" s="2" t="str">
        <f>IFERROR(__xludf.DUMMYFUNCTION("""COMPUTED_VALUE"""),"Le Shangrila Hydropower Pvt. Ltd.")</f>
        <v>Le Shangrila Hydropower Pvt. Ltd.</v>
      </c>
      <c r="I140" s="2" t="str">
        <f>IFERROR(__xludf.DUMMYFUNCTION("""COMPUTED_VALUE"""),"KMC-3, Maharajgunj, Phone no 98510265131, 01-4545084")</f>
        <v>KMC-3, Maharajgunj, Phone no 98510265131, 01-4545084</v>
      </c>
      <c r="J140" s="2" t="str">
        <f>IFERROR(__xludf.DUMMYFUNCTION("""COMPUTED_VALUE"""),"28o 48' 40""")</f>
        <v>28o 48' 40"</v>
      </c>
      <c r="K140" s="2" t="str">
        <f>IFERROR(__xludf.DUMMYFUNCTION("""COMPUTED_VALUE"""),"28o 50' 50""")</f>
        <v>28o 50' 50"</v>
      </c>
      <c r="L140" s="2" t="str">
        <f>IFERROR(__xludf.DUMMYFUNCTION("""COMPUTED_VALUE"""),"82o 25' 10""")</f>
        <v>82o 25' 10"</v>
      </c>
      <c r="M140" s="2" t="str">
        <f>IFERROR(__xludf.DUMMYFUNCTION("""COMPUTED_VALUE"""),"82o 29' 40""")</f>
        <v>82o 29' 40"</v>
      </c>
      <c r="N140" s="2" t="str">
        <f>IFERROR(__xludf.DUMMYFUNCTION("""COMPUTED_VALUE"""),"Syalakhadi (Rukum)")</f>
        <v>Syalakhadi (Rukum)</v>
      </c>
    </row>
    <row r="141">
      <c r="A141" s="2">
        <f>IFERROR(__xludf.DUMMYFUNCTION("""COMPUTED_VALUE"""),140.0)</f>
        <v>140</v>
      </c>
      <c r="B141" s="2" t="str">
        <f>IFERROR(__xludf.DUMMYFUNCTION("""COMPUTED_VALUE"""),"Middle Trishuli Ganga nadi")</f>
        <v>Middle Trishuli Ganga nadi</v>
      </c>
      <c r="C141" s="2">
        <f>IFERROR(__xludf.DUMMYFUNCTION("""COMPUTED_VALUE"""),15.625)</f>
        <v>15.625</v>
      </c>
      <c r="D141" s="2" t="str">
        <f>IFERROR(__xludf.DUMMYFUNCTION("""COMPUTED_VALUE"""),"Trishuli")</f>
        <v>Trishuli</v>
      </c>
      <c r="E141" s="2">
        <f>IFERROR(__xludf.DUMMYFUNCTION("""COMPUTED_VALUE"""),379.0)</f>
        <v>379</v>
      </c>
      <c r="F141" s="3">
        <f>IFERROR(__xludf.DUMMYFUNCTION("""COMPUTED_VALUE"""),65517.0)</f>
        <v>65517</v>
      </c>
      <c r="G141" s="3">
        <f>IFERROR(__xludf.DUMMYFUNCTION("""COMPUTED_VALUE"""),78299.0)</f>
        <v>78299</v>
      </c>
      <c r="H141" s="2" t="str">
        <f>IFERROR(__xludf.DUMMYFUNCTION("""COMPUTED_VALUE"""),"Perfect Energy Developmnet Pvt. Ltd, KTM,")</f>
        <v>Perfect Energy Developmnet Pvt. Ltd, KTM,</v>
      </c>
      <c r="I141" s="2" t="str">
        <f>IFERROR(__xludf.DUMMYFUNCTION("""COMPUTED_VALUE"""),"POB 5342, PH 4468221,9841264685")</f>
        <v>POB 5342, PH 4468221,9841264685</v>
      </c>
      <c r="J141" s="2" t="str">
        <f>IFERROR(__xludf.DUMMYFUNCTION("""COMPUTED_VALUE"""),"27o 58' 21""")</f>
        <v>27o 58' 21"</v>
      </c>
      <c r="K141" s="2" t="str">
        <f>IFERROR(__xludf.DUMMYFUNCTION("""COMPUTED_VALUE"""),"27o 59' 11""")</f>
        <v>27o 59' 11"</v>
      </c>
      <c r="L141" s="2" t="str">
        <f>IFERROR(__xludf.DUMMYFUNCTION("""COMPUTED_VALUE"""),"85o 10' 30""")</f>
        <v>85o 10' 30"</v>
      </c>
      <c r="M141" s="2" t="str">
        <f>IFERROR(__xludf.DUMMYFUNCTION("""COMPUTED_VALUE"""),"85o 11' 25""")</f>
        <v>85o 11' 25"</v>
      </c>
      <c r="N141" s="2" t="str">
        <f>IFERROR(__xludf.DUMMYFUNCTION("""COMPUTED_VALUE"""),"Gerkhu,Manakamana,Tupche (Nuwakot)")</f>
        <v>Gerkhu,Manakamana,Tupche (Nuwakot)</v>
      </c>
    </row>
    <row r="142">
      <c r="A142" s="2">
        <f>IFERROR(__xludf.DUMMYFUNCTION("""COMPUTED_VALUE"""),141.0)</f>
        <v>141</v>
      </c>
      <c r="B142" s="2" t="str">
        <f>IFERROR(__xludf.DUMMYFUNCTION("""COMPUTED_VALUE"""),"Upper Madi 0 HEP")</f>
        <v>Upper Madi 0 HEP</v>
      </c>
      <c r="C142" s="2">
        <f>IFERROR(__xludf.DUMMYFUNCTION("""COMPUTED_VALUE"""),43.0)</f>
        <v>43</v>
      </c>
      <c r="D142" s="2" t="str">
        <f>IFERROR(__xludf.DUMMYFUNCTION("""COMPUTED_VALUE"""),"Madi Khola")</f>
        <v>Madi Khola</v>
      </c>
      <c r="E142" s="2">
        <f>IFERROR(__xludf.DUMMYFUNCTION("""COMPUTED_VALUE"""),381.0)</f>
        <v>381</v>
      </c>
      <c r="F142" s="3">
        <f>IFERROR(__xludf.DUMMYFUNCTION("""COMPUTED_VALUE"""),65530.0)</f>
        <v>65530</v>
      </c>
      <c r="G142" s="3">
        <f>IFERROR(__xludf.DUMMYFUNCTION("""COMPUTED_VALUE"""),78312.0)</f>
        <v>78312</v>
      </c>
      <c r="H142" s="2" t="str">
        <f>IFERROR(__xludf.DUMMYFUNCTION("""COMPUTED_VALUE"""),"Annapurna Power Company Pvt. Ltd")</f>
        <v>Annapurna Power Company Pvt. Ltd</v>
      </c>
      <c r="I142" s="2" t="str">
        <f>IFERROR(__xludf.DUMMYFUNCTION("""COMPUTED_VALUE"""),"Sanepa, Lalitpur, Contact No. 9851042066")</f>
        <v>Sanepa, Lalitpur, Contact No. 9851042066</v>
      </c>
      <c r="J142" s="2" t="str">
        <f>IFERROR(__xludf.DUMMYFUNCTION("""COMPUTED_VALUE"""),"28o 22' 31""")</f>
        <v>28o 22' 31"</v>
      </c>
      <c r="K142" s="2" t="str">
        <f>IFERROR(__xludf.DUMMYFUNCTION("""COMPUTED_VALUE"""),"28o 25' 30""")</f>
        <v>28o 25' 30"</v>
      </c>
      <c r="L142" s="2" t="str">
        <f>IFERROR(__xludf.DUMMYFUNCTION("""COMPUTED_VALUE"""),"84o 05' 30""")</f>
        <v>84o 05' 30"</v>
      </c>
      <c r="M142" s="2" t="str">
        <f>IFERROR(__xludf.DUMMYFUNCTION("""COMPUTED_VALUE"""),"84o 07' 30""")</f>
        <v>84o 07' 30"</v>
      </c>
      <c r="N142" s="2" t="str">
        <f>IFERROR(__xludf.DUMMYFUNCTION("""COMPUTED_VALUE"""),"Parche,Namarjung (Kaski)")</f>
        <v>Parche,Namarjung (Kaski)</v>
      </c>
    </row>
    <row r="143">
      <c r="A143" s="2">
        <f>IFERROR(__xludf.DUMMYFUNCTION("""COMPUTED_VALUE"""),142.0)</f>
        <v>142</v>
      </c>
      <c r="B143" s="2" t="str">
        <f>IFERROR(__xludf.DUMMYFUNCTION("""COMPUTED_VALUE"""),"Middle Mailung (cascade) HEP")</f>
        <v>Middle Mailung (cascade) HEP</v>
      </c>
      <c r="C143" s="2">
        <f>IFERROR(__xludf.DUMMYFUNCTION("""COMPUTED_VALUE"""),13.0)</f>
        <v>13</v>
      </c>
      <c r="D143" s="2" t="str">
        <f>IFERROR(__xludf.DUMMYFUNCTION("""COMPUTED_VALUE"""),"Mailung Khola")</f>
        <v>Mailung Khola</v>
      </c>
      <c r="E143" s="2">
        <f>IFERROR(__xludf.DUMMYFUNCTION("""COMPUTED_VALUE"""),382.0)</f>
        <v>382</v>
      </c>
      <c r="F143" s="3">
        <f>IFERROR(__xludf.DUMMYFUNCTION("""COMPUTED_VALUE"""),65576.0)</f>
        <v>65576</v>
      </c>
      <c r="G143" s="3">
        <f>IFERROR(__xludf.DUMMYFUNCTION("""COMPUTED_VALUE"""),78358.0)</f>
        <v>78358</v>
      </c>
      <c r="H143" s="2" t="str">
        <f>IFERROR(__xludf.DUMMYFUNCTION("""COMPUTED_VALUE"""),"Mathillo Mailung Khola Jalbidhyut Ltd")</f>
        <v>Mathillo Mailung Khola Jalbidhyut Ltd</v>
      </c>
      <c r="I143" s="2" t="str">
        <f>IFERROR(__xludf.DUMMYFUNCTION("""COMPUTED_VALUE"""),"539/61 Subarna Shamsher Marg, Bluwatar, P.O.Box. 7148, Contact No. 
2001348,4432372")</f>
        <v>539/61 Subarna Shamsher Marg, Bluwatar, P.O.Box. 7148, Contact No. 
2001348,4432372</v>
      </c>
      <c r="J143" s="2" t="str">
        <f>IFERROR(__xludf.DUMMYFUNCTION("""COMPUTED_VALUE"""),"28o 05' 01""")</f>
        <v>28o 05' 01"</v>
      </c>
      <c r="K143" s="2" t="str">
        <f>IFERROR(__xludf.DUMMYFUNCTION("""COMPUTED_VALUE"""),"28o 05' 56""")</f>
        <v>28o 05' 56"</v>
      </c>
      <c r="L143" s="2" t="str">
        <f>IFERROR(__xludf.DUMMYFUNCTION("""COMPUTED_VALUE"""),"85o 11' 40""")</f>
        <v>85o 11' 40"</v>
      </c>
      <c r="M143" s="2" t="str">
        <f>IFERROR(__xludf.DUMMYFUNCTION("""COMPUTED_VALUE"""),"85o 12' 25""")</f>
        <v>85o 12' 25"</v>
      </c>
      <c r="N143" s="2" t="str">
        <f>IFERROR(__xludf.DUMMYFUNCTION("""COMPUTED_VALUE"""),"Dandagoun,Haku (Rasuwa)")</f>
        <v>Dandagoun,Haku (Rasuwa)</v>
      </c>
    </row>
    <row r="144">
      <c r="A144" s="2">
        <f>IFERROR(__xludf.DUMMYFUNCTION("""COMPUTED_VALUE"""),143.0)</f>
        <v>143</v>
      </c>
      <c r="B144" s="2" t="str">
        <f>IFERROR(__xludf.DUMMYFUNCTION("""COMPUTED_VALUE"""),"Aayu Malun Khola HEP")</f>
        <v>Aayu Malun Khola HEP</v>
      </c>
      <c r="C144" s="2">
        <f>IFERROR(__xludf.DUMMYFUNCTION("""COMPUTED_VALUE"""),21.0)</f>
        <v>21</v>
      </c>
      <c r="D144" s="2" t="str">
        <f>IFERROR(__xludf.DUMMYFUNCTION("""COMPUTED_VALUE"""),"Malun")</f>
        <v>Malun</v>
      </c>
      <c r="E144" s="2">
        <f>IFERROR(__xludf.DUMMYFUNCTION("""COMPUTED_VALUE"""),383.0)</f>
        <v>383</v>
      </c>
      <c r="F144" s="3">
        <f>IFERROR(__xludf.DUMMYFUNCTION("""COMPUTED_VALUE"""),65598.0)</f>
        <v>65598</v>
      </c>
      <c r="G144" s="3">
        <f>IFERROR(__xludf.DUMMYFUNCTION("""COMPUTED_VALUE"""),78380.0)</f>
        <v>78380</v>
      </c>
      <c r="H144" s="2" t="str">
        <f>IFERROR(__xludf.DUMMYFUNCTION("""COMPUTED_VALUE"""),"Aayu Malun Hydropower Pvt. Ltd.")</f>
        <v>Aayu Malun Hydropower Pvt. Ltd.</v>
      </c>
      <c r="I144" s="2" t="str">
        <f>IFERROR(__xludf.DUMMYFUNCTION("""COMPUTED_VALUE"""),"Ka.Ma.Pa-29, Anamnagar, Kathmandu, 014102710")</f>
        <v>Ka.Ma.Pa-29, Anamnagar, Kathmandu, 014102710</v>
      </c>
      <c r="J144" s="2" t="str">
        <f>IFERROR(__xludf.DUMMYFUNCTION("""COMPUTED_VALUE"""),"27o 21' 28""")</f>
        <v>27o 21' 28"</v>
      </c>
      <c r="K144" s="2" t="str">
        <f>IFERROR(__xludf.DUMMYFUNCTION("""COMPUTED_VALUE"""),"27o 23' 31""")</f>
        <v>27o 23' 31"</v>
      </c>
      <c r="L144" s="2" t="str">
        <f>IFERROR(__xludf.DUMMYFUNCTION("""COMPUTED_VALUE"""),"86o 24' 34""")</f>
        <v>86o 24' 34"</v>
      </c>
      <c r="M144" s="2" t="str">
        <f>IFERROR(__xludf.DUMMYFUNCTION("""COMPUTED_VALUE"""),"86o 26' 36""")</f>
        <v>86o 26' 36"</v>
      </c>
      <c r="N144" s="2" t="str">
        <f>IFERROR(__xludf.DUMMYFUNCTION("""COMPUTED_VALUE"""),"Prapchan,Ragadeep,Shreechaur (Okhaldhunga)")</f>
        <v>Prapchan,Ragadeep,Shreechaur (Okhaldhunga)</v>
      </c>
    </row>
    <row r="145">
      <c r="A145" s="2">
        <f>IFERROR(__xludf.DUMMYFUNCTION("""COMPUTED_VALUE"""),144.0)</f>
        <v>144</v>
      </c>
      <c r="B145" s="2" t="str">
        <f>IFERROR(__xludf.DUMMYFUNCTION("""COMPUTED_VALUE"""),"Upper Kabeli-2 HEP")</f>
        <v>Upper Kabeli-2 HEP</v>
      </c>
      <c r="C145" s="2">
        <f>IFERROR(__xludf.DUMMYFUNCTION("""COMPUTED_VALUE"""),15.0)</f>
        <v>15</v>
      </c>
      <c r="D145" s="2" t="str">
        <f>IFERROR(__xludf.DUMMYFUNCTION("""COMPUTED_VALUE"""),"Kabeli Khola")</f>
        <v>Kabeli Khola</v>
      </c>
      <c r="E145" s="2">
        <f>IFERROR(__xludf.DUMMYFUNCTION("""COMPUTED_VALUE"""),384.0)</f>
        <v>384</v>
      </c>
      <c r="F145" s="3">
        <f>IFERROR(__xludf.DUMMYFUNCTION("""COMPUTED_VALUE"""),65599.0)</f>
        <v>65599</v>
      </c>
      <c r="G145" s="3">
        <f>IFERROR(__xludf.DUMMYFUNCTION("""COMPUTED_VALUE"""),78381.0)</f>
        <v>78381</v>
      </c>
      <c r="H145" s="2" t="str">
        <f>IFERROR(__xludf.DUMMYFUNCTION("""COMPUTED_VALUE"""),"Arun Valley Hydropower Development Company Limited")</f>
        <v>Arun Valley Hydropower Development Company Limited</v>
      </c>
      <c r="I145" s="2" t="str">
        <f>IFERROR(__xludf.DUMMYFUNCTION("""COMPUTED_VALUE"""),"Thapathali, Kathmandu")</f>
        <v>Thapathali, Kathmandu</v>
      </c>
      <c r="J145" s="2" t="str">
        <f>IFERROR(__xludf.DUMMYFUNCTION("""COMPUTED_VALUE"""),"27o 17' 00""")</f>
        <v>27o 17' 00"</v>
      </c>
      <c r="K145" s="2" t="str">
        <f>IFERROR(__xludf.DUMMYFUNCTION("""COMPUTED_VALUE"""),"27o 18' 45""")</f>
        <v>27o 18' 45"</v>
      </c>
      <c r="L145" s="2" t="str">
        <f>IFERROR(__xludf.DUMMYFUNCTION("""COMPUTED_VALUE"""),"87o 49' 55""")</f>
        <v>87o 49' 55"</v>
      </c>
      <c r="M145" s="2" t="str">
        <f>IFERROR(__xludf.DUMMYFUNCTION("""COMPUTED_VALUE"""),"87o 50' 55""")</f>
        <v>87o 50' 55"</v>
      </c>
      <c r="N145" s="2" t="str">
        <f>IFERROR(__xludf.DUMMYFUNCTION("""COMPUTED_VALUE"""),"Sawalakhu,Sinam,Thumbedin (Taplejung)")</f>
        <v>Sawalakhu,Sinam,Thumbedin (Taplejung)</v>
      </c>
    </row>
    <row r="146">
      <c r="A146" s="2">
        <f>IFERROR(__xludf.DUMMYFUNCTION("""COMPUTED_VALUE"""),145.0)</f>
        <v>145</v>
      </c>
      <c r="B146" s="2" t="str">
        <f>IFERROR(__xludf.DUMMYFUNCTION("""COMPUTED_VALUE"""),"Palun Khola Small HEP")</f>
        <v>Palun Khola Small HEP</v>
      </c>
      <c r="C146" s="2">
        <f>IFERROR(__xludf.DUMMYFUNCTION("""COMPUTED_VALUE"""),21.0)</f>
        <v>21</v>
      </c>
      <c r="D146" s="2" t="str">
        <f>IFERROR(__xludf.DUMMYFUNCTION("""COMPUTED_VALUE"""),"Palun Khola")</f>
        <v>Palun Khola</v>
      </c>
      <c r="E146" s="2">
        <f>IFERROR(__xludf.DUMMYFUNCTION("""COMPUTED_VALUE"""),386.0)</f>
        <v>386</v>
      </c>
      <c r="F146" s="3">
        <f>IFERROR(__xludf.DUMMYFUNCTION("""COMPUTED_VALUE"""),65641.0)</f>
        <v>65641</v>
      </c>
      <c r="G146" s="3">
        <f>IFERROR(__xludf.DUMMYFUNCTION("""COMPUTED_VALUE"""),78423.0)</f>
        <v>78423</v>
      </c>
      <c r="H146" s="2" t="str">
        <f>IFERROR(__xludf.DUMMYFUNCTION("""COMPUTED_VALUE"""),"Palun Khola Hydropower Ltd.")</f>
        <v>Palun Khola Hydropower Ltd.</v>
      </c>
      <c r="I146" s="2" t="str">
        <f>IFERROR(__xludf.DUMMYFUNCTION("""COMPUTED_VALUE"""),"Lalitpur-10, 01-4523971, 01-4527090")</f>
        <v>Lalitpur-10, 01-4523971, 01-4527090</v>
      </c>
      <c r="J146" s="2" t="str">
        <f>IFERROR(__xludf.DUMMYFUNCTION("""COMPUTED_VALUE"""),"27o 32' 38""")</f>
        <v>27o 32' 38"</v>
      </c>
      <c r="K146" s="2" t="str">
        <f>IFERROR(__xludf.DUMMYFUNCTION("""COMPUTED_VALUE"""),"27o 33' 55""")</f>
        <v>27o 33' 55"</v>
      </c>
      <c r="L146" s="2" t="str">
        <f>IFERROR(__xludf.DUMMYFUNCTION("""COMPUTED_VALUE"""),"87o 37' 16""")</f>
        <v>87o 37' 16"</v>
      </c>
      <c r="M146" s="2" t="str">
        <f>IFERROR(__xludf.DUMMYFUNCTION("""COMPUTED_VALUE"""),"87o 38' 38""")</f>
        <v>87o 38' 38"</v>
      </c>
      <c r="N146" s="2" t="str">
        <f>IFERROR(__xludf.DUMMYFUNCTION("""COMPUTED_VALUE"""),"Papung (Taplejung)")</f>
        <v>Papung (Taplejung)</v>
      </c>
    </row>
    <row r="147">
      <c r="A147" s="2">
        <f>IFERROR(__xludf.DUMMYFUNCTION("""COMPUTED_VALUE"""),146.0)</f>
        <v>146</v>
      </c>
      <c r="B147" s="2" t="str">
        <f>IFERROR(__xludf.DUMMYFUNCTION("""COMPUTED_VALUE"""),"Syarpu HEP")</f>
        <v>Syarpu HEP</v>
      </c>
      <c r="C147" s="2">
        <f>IFERROR(__xludf.DUMMYFUNCTION("""COMPUTED_VALUE"""),3.3)</f>
        <v>3.3</v>
      </c>
      <c r="D147" s="2" t="str">
        <f>IFERROR(__xludf.DUMMYFUNCTION("""COMPUTED_VALUE"""),"Dharne")</f>
        <v>Dharne</v>
      </c>
      <c r="E147" s="2">
        <f>IFERROR(__xludf.DUMMYFUNCTION("""COMPUTED_VALUE"""),385.0)</f>
        <v>385</v>
      </c>
      <c r="F147" s="3">
        <f>IFERROR(__xludf.DUMMYFUNCTION("""COMPUTED_VALUE"""),65644.0)</f>
        <v>65644</v>
      </c>
      <c r="G147" s="3">
        <f>IFERROR(__xludf.DUMMYFUNCTION("""COMPUTED_VALUE"""),78426.0)</f>
        <v>78426</v>
      </c>
      <c r="H147" s="2" t="str">
        <f>IFERROR(__xludf.DUMMYFUNCTION("""COMPUTED_VALUE"""),"Syarpu Power Company Limited")</f>
        <v>Syarpu Power Company Limited</v>
      </c>
      <c r="I147" s="2" t="str">
        <f>IFERROR(__xludf.DUMMYFUNCTION("""COMPUTED_VALUE"""),"Musikot 1 Rukum, 9851180511(Deepak)")</f>
        <v>Musikot 1 Rukum, 9851180511(Deepak)</v>
      </c>
      <c r="J147" s="2" t="str">
        <f>IFERROR(__xludf.DUMMYFUNCTION("""COMPUTED_VALUE"""),"28o 40' 10""")</f>
        <v>28o 40' 10"</v>
      </c>
      <c r="K147" s="2" t="str">
        <f>IFERROR(__xludf.DUMMYFUNCTION("""COMPUTED_VALUE"""),"28o 41' 25""")</f>
        <v>28o 41' 25"</v>
      </c>
      <c r="L147" s="2" t="str">
        <f>IFERROR(__xludf.DUMMYFUNCTION("""COMPUTED_VALUE"""),"82o 28' 24""")</f>
        <v>82o 28' 24"</v>
      </c>
      <c r="M147" s="2" t="str">
        <f>IFERROR(__xludf.DUMMYFUNCTION("""COMPUTED_VALUE"""),"82o 29' 25""")</f>
        <v>82o 29' 25"</v>
      </c>
      <c r="N147" s="2" t="str">
        <f>IFERROR(__xludf.DUMMYFUNCTION("""COMPUTED_VALUE"""),"Bapsekot,Syalaphakha (Rukum)")</f>
        <v>Bapsekot,Syalaphakha (Rukum)</v>
      </c>
    </row>
    <row r="148">
      <c r="A148" s="2">
        <f>IFERROR(__xludf.DUMMYFUNCTION("""COMPUTED_VALUE"""),147.0)</f>
        <v>147</v>
      </c>
      <c r="B148" s="2" t="str">
        <f>IFERROR(__xludf.DUMMYFUNCTION("""COMPUTED_VALUE"""),"Bhotekoshi 1 HEP")</f>
        <v>Bhotekoshi 1 HEP</v>
      </c>
      <c r="C148" s="2">
        <f>IFERROR(__xludf.DUMMYFUNCTION("""COMPUTED_VALUE"""),44.0)</f>
        <v>44</v>
      </c>
      <c r="D148" s="2" t="str">
        <f>IFERROR(__xludf.DUMMYFUNCTION("""COMPUTED_VALUE"""),"Bhotekoshi (Sindhupalchowk)")</f>
        <v>Bhotekoshi (Sindhupalchowk)</v>
      </c>
      <c r="E148" s="2">
        <f>IFERROR(__xludf.DUMMYFUNCTION("""COMPUTED_VALUE"""),388.0)</f>
        <v>388</v>
      </c>
      <c r="F148" s="3">
        <f>IFERROR(__xludf.DUMMYFUNCTION("""COMPUTED_VALUE"""),65644.0)</f>
        <v>65644</v>
      </c>
      <c r="G148" s="3">
        <f>IFERROR(__xludf.DUMMYFUNCTION("""COMPUTED_VALUE"""),78426.0)</f>
        <v>78426</v>
      </c>
      <c r="H148" s="2" t="str">
        <f>IFERROR(__xludf.DUMMYFUNCTION("""COMPUTED_VALUE"""),"Electro Power Company Limited")</f>
        <v>Electro Power Company Limited</v>
      </c>
      <c r="I148" s="2" t="str">
        <f>IFERROR(__xludf.DUMMYFUNCTION("""COMPUTED_VALUE"""),"Baneshwor-31, Kathmandu, 01-4444947")</f>
        <v>Baneshwor-31, Kathmandu, 01-4444947</v>
      </c>
      <c r="J148" s="2" t="str">
        <f>IFERROR(__xludf.DUMMYFUNCTION("""COMPUTED_VALUE"""),"27o 53' 00""")</f>
        <v>27o 53' 00"</v>
      </c>
      <c r="K148" s="2" t="str">
        <f>IFERROR(__xludf.DUMMYFUNCTION("""COMPUTED_VALUE"""),"27o 54' 45""")</f>
        <v>27o 54' 45"</v>
      </c>
      <c r="L148" s="2" t="str">
        <f>IFERROR(__xludf.DUMMYFUNCTION("""COMPUTED_VALUE"""),"85o 54' 37""")</f>
        <v>85o 54' 37"</v>
      </c>
      <c r="M148" s="2" t="str">
        <f>IFERROR(__xludf.DUMMYFUNCTION("""COMPUTED_VALUE"""),"85o 55' 40""")</f>
        <v>85o 55' 40"</v>
      </c>
      <c r="N148" s="2" t="str">
        <f>IFERROR(__xludf.DUMMYFUNCTION("""COMPUTED_VALUE"""),"Fulpingkot,Tatopani,Listi (Sindhupalchok)")</f>
        <v>Fulpingkot,Tatopani,Listi (Sindhupalchok)</v>
      </c>
    </row>
    <row r="149">
      <c r="A149" s="2">
        <f>IFERROR(__xludf.DUMMYFUNCTION("""COMPUTED_VALUE"""),148.0)</f>
        <v>148</v>
      </c>
      <c r="B149" s="2" t="str">
        <f>IFERROR(__xludf.DUMMYFUNCTION("""COMPUTED_VALUE"""),"Luja Khola HEP")</f>
        <v>Luja Khola HEP</v>
      </c>
      <c r="C149" s="2">
        <f>IFERROR(__xludf.DUMMYFUNCTION("""COMPUTED_VALUE"""),24.8)</f>
        <v>24.8</v>
      </c>
      <c r="D149" s="2" t="str">
        <f>IFERROR(__xludf.DUMMYFUNCTION("""COMPUTED_VALUE"""),"Luja Khola")</f>
        <v>Luja Khola</v>
      </c>
      <c r="E149" s="2">
        <f>IFERROR(__xludf.DUMMYFUNCTION("""COMPUTED_VALUE"""),391.0)</f>
        <v>391</v>
      </c>
      <c r="F149" s="3">
        <f>IFERROR(__xludf.DUMMYFUNCTION("""COMPUTED_VALUE"""),65649.0)</f>
        <v>65649</v>
      </c>
      <c r="G149" s="3">
        <f>IFERROR(__xludf.DUMMYFUNCTION("""COMPUTED_VALUE"""),78431.0)</f>
        <v>78431</v>
      </c>
      <c r="H149" s="2" t="str">
        <f>IFERROR(__xludf.DUMMYFUNCTION("""COMPUTED_VALUE"""),"Silk Power Pvt.Ltd.")</f>
        <v>Silk Power Pvt.Ltd.</v>
      </c>
      <c r="I149" s="2" t="str">
        <f>IFERROR(__xludf.DUMMYFUNCTION("""COMPUTED_VALUE"""),"Lalitpur-8, Lalitpur, Contact No.: 9841018543 email: silkpower2076@gmail.com")</f>
        <v>Lalitpur-8, Lalitpur, Contact No.: 9841018543 email: silkpower2076@gmail.com</v>
      </c>
      <c r="J149" s="2" t="str">
        <f>IFERROR(__xludf.DUMMYFUNCTION("""COMPUTED_VALUE"""),"27o 39' 44""")</f>
        <v>27o 39' 44"</v>
      </c>
      <c r="K149" s="2" t="str">
        <f>IFERROR(__xludf.DUMMYFUNCTION("""COMPUTED_VALUE"""),"27o 41' 46""")</f>
        <v>27o 41' 46"</v>
      </c>
      <c r="L149" s="2" t="str">
        <f>IFERROR(__xludf.DUMMYFUNCTION("""COMPUTED_VALUE"""),"86o 40' 40""")</f>
        <v>86o 40' 40"</v>
      </c>
      <c r="M149" s="2" t="str">
        <f>IFERROR(__xludf.DUMMYFUNCTION("""COMPUTED_VALUE"""),"86o 43' 00""")</f>
        <v>86o 43' 00"</v>
      </c>
      <c r="N149" s="2" t="str">
        <f>IFERROR(__xludf.DUMMYFUNCTION("""COMPUTED_VALUE"""),"Takasindu (Solukhumbu)")</f>
        <v>Takasindu (Solukhumbu)</v>
      </c>
    </row>
    <row r="150">
      <c r="A150" s="2">
        <f>IFERROR(__xludf.DUMMYFUNCTION("""COMPUTED_VALUE"""),149.0)</f>
        <v>149</v>
      </c>
      <c r="B150" s="2" t="str">
        <f>IFERROR(__xludf.DUMMYFUNCTION("""COMPUTED_VALUE"""),"Upper Pikhuwa Khola HEP")</f>
        <v>Upper Pikhuwa Khola HEP</v>
      </c>
      <c r="C150" s="2">
        <f>IFERROR(__xludf.DUMMYFUNCTION("""COMPUTED_VALUE"""),4.9)</f>
        <v>4.9</v>
      </c>
      <c r="D150" s="2" t="str">
        <f>IFERROR(__xludf.DUMMYFUNCTION("""COMPUTED_VALUE"""),"pikhuwa")</f>
        <v>pikhuwa</v>
      </c>
      <c r="E150" s="2">
        <f>IFERROR(__xludf.DUMMYFUNCTION("""COMPUTED_VALUE"""),390.0)</f>
        <v>390</v>
      </c>
      <c r="F150" s="3">
        <f>IFERROR(__xludf.DUMMYFUNCTION("""COMPUTED_VALUE"""),65662.0)</f>
        <v>65662</v>
      </c>
      <c r="G150" s="3">
        <f>IFERROR(__xludf.DUMMYFUNCTION("""COMPUTED_VALUE"""),78444.0)</f>
        <v>78444</v>
      </c>
      <c r="H150" s="2" t="str">
        <f>IFERROR(__xludf.DUMMYFUNCTION("""COMPUTED_VALUE"""),"Sumnima Hydropower Company Pvt. Ltd.")</f>
        <v>Sumnima Hydropower Company Pvt. Ltd.</v>
      </c>
      <c r="I150" s="2" t="str">
        <f>IFERROR(__xludf.DUMMYFUNCTION("""COMPUTED_VALUE"""),"KMC-1, Naxal, 01-4505555, Email: sumnimahydro@gmail.com")</f>
        <v>KMC-1, Naxal, 01-4505555, Email: sumnimahydro@gmail.com</v>
      </c>
      <c r="J150" s="2" t="str">
        <f>IFERROR(__xludf.DUMMYFUNCTION("""COMPUTED_VALUE"""),"27o 13' 27""")</f>
        <v>27o 13' 27"</v>
      </c>
      <c r="K150" s="2" t="str">
        <f>IFERROR(__xludf.DUMMYFUNCTION("""COMPUTED_VALUE"""),"27o 15' 12""")</f>
        <v>27o 15' 12"</v>
      </c>
      <c r="L150" s="2" t="str">
        <f>IFERROR(__xludf.DUMMYFUNCTION("""COMPUTED_VALUE"""),"86o 59' 00""")</f>
        <v>86o 59' 00"</v>
      </c>
      <c r="M150" s="2" t="str">
        <f>IFERROR(__xludf.DUMMYFUNCTION("""COMPUTED_VALUE"""),"87o 00' 10""")</f>
        <v>87o 00' 10"</v>
      </c>
      <c r="N150" s="2" t="str">
        <f>IFERROR(__xludf.DUMMYFUNCTION("""COMPUTED_VALUE"""),"Chhinamukh,Gupteshwor,Timma (Bhojpur)")</f>
        <v>Chhinamukh,Gupteshwor,Timma (Bhojpur)</v>
      </c>
    </row>
    <row r="151">
      <c r="A151" s="2">
        <f>IFERROR(__xludf.DUMMYFUNCTION("""COMPUTED_VALUE"""),150.0)</f>
        <v>150</v>
      </c>
      <c r="B151" s="2" t="str">
        <f>IFERROR(__xludf.DUMMYFUNCTION("""COMPUTED_VALUE"""),"Sani Bheri HEP")</f>
        <v>Sani Bheri HEP</v>
      </c>
      <c r="C151" s="2">
        <f>IFERROR(__xludf.DUMMYFUNCTION("""COMPUTED_VALUE"""),44.52)</f>
        <v>44.52</v>
      </c>
      <c r="D151" s="2" t="str">
        <f>IFERROR(__xludf.DUMMYFUNCTION("""COMPUTED_VALUE"""),"Sani Bheri")</f>
        <v>Sani Bheri</v>
      </c>
      <c r="E151" s="2">
        <f>IFERROR(__xludf.DUMMYFUNCTION("""COMPUTED_VALUE"""),389.0)</f>
        <v>389</v>
      </c>
      <c r="F151" s="3">
        <f>IFERROR(__xludf.DUMMYFUNCTION("""COMPUTED_VALUE"""),65665.0)</f>
        <v>65665</v>
      </c>
      <c r="G151" s="3">
        <f>IFERROR(__xludf.DUMMYFUNCTION("""COMPUTED_VALUE"""),78447.0)</f>
        <v>78447</v>
      </c>
      <c r="H151" s="2" t="str">
        <f>IFERROR(__xludf.DUMMYFUNCTION("""COMPUTED_VALUE"""),"Expert Hydro Investment Pvt. Ltd")</f>
        <v>Expert Hydro Investment Pvt. Ltd</v>
      </c>
      <c r="I151" s="2" t="str">
        <f>IFERROR(__xludf.DUMMYFUNCTION("""COMPUTED_VALUE"""),"Baneshwor, Kathmandu, Phone 9851024788,4218988")</f>
        <v>Baneshwor, Kathmandu, Phone 9851024788,4218988</v>
      </c>
      <c r="J151" s="2" t="str">
        <f>IFERROR(__xludf.DUMMYFUNCTION("""COMPUTED_VALUE"""),"28o 38' 50""")</f>
        <v>28o 38' 50"</v>
      </c>
      <c r="K151" s="2" t="str">
        <f>IFERROR(__xludf.DUMMYFUNCTION("""COMPUTED_VALUE"""),"28o 40' 43""")</f>
        <v>28o 40' 43"</v>
      </c>
      <c r="L151" s="2" t="str">
        <f>IFERROR(__xludf.DUMMYFUNCTION("""COMPUTED_VALUE"""),"82o 39' 23""")</f>
        <v>82o 39' 23"</v>
      </c>
      <c r="M151" s="2" t="str">
        <f>IFERROR(__xludf.DUMMYFUNCTION("""COMPUTED_VALUE"""),"82o 42' 30""")</f>
        <v>82o 42' 30"</v>
      </c>
      <c r="N151" s="2" t="str">
        <f>IFERROR(__xludf.DUMMYFUNCTION("""COMPUTED_VALUE"""),"Rangsi (Rukum)")</f>
        <v>Rangsi (Rukum)</v>
      </c>
    </row>
    <row r="152">
      <c r="A152" s="2">
        <f>IFERROR(__xludf.DUMMYFUNCTION("""COMPUTED_VALUE"""),151.0)</f>
        <v>151</v>
      </c>
      <c r="B152" s="2" t="str">
        <f>IFERROR(__xludf.DUMMYFUNCTION("""COMPUTED_VALUE"""),"Siwakhola HEP")</f>
        <v>Siwakhola HEP</v>
      </c>
      <c r="C152" s="2">
        <f>IFERROR(__xludf.DUMMYFUNCTION("""COMPUTED_VALUE"""),9.3)</f>
        <v>9.3</v>
      </c>
      <c r="D152" s="2" t="str">
        <f>IFERROR(__xludf.DUMMYFUNCTION("""COMPUTED_VALUE"""),"Siwa Khola")</f>
        <v>Siwa Khola</v>
      </c>
      <c r="E152" s="2">
        <f>IFERROR(__xludf.DUMMYFUNCTION("""COMPUTED_VALUE"""),392.0)</f>
        <v>392</v>
      </c>
      <c r="F152" s="3">
        <f>IFERROR(__xludf.DUMMYFUNCTION("""COMPUTED_VALUE"""),65673.0)</f>
        <v>65673</v>
      </c>
      <c r="G152" s="3">
        <f>IFERROR(__xludf.DUMMYFUNCTION("""COMPUTED_VALUE"""),78455.0)</f>
        <v>78455</v>
      </c>
      <c r="H152" s="2" t="str">
        <f>IFERROR(__xludf.DUMMYFUNCTION("""COMPUTED_VALUE"""),"Mewa Developers Pvt. Ltd")</f>
        <v>Mewa Developers Pvt. Ltd</v>
      </c>
      <c r="I152" s="2" t="str">
        <f>IFERROR(__xludf.DUMMYFUNCTION("""COMPUTED_VALUE"""),"Sanep-2, lalitpur, Contact no. 01-5530135, 5525228, email: 
info@urjadeveloper.com")</f>
        <v>Sanep-2, lalitpur, Contact no. 01-5530135, 5525228, email: 
info@urjadeveloper.com</v>
      </c>
      <c r="J152" s="2" t="str">
        <f>IFERROR(__xludf.DUMMYFUNCTION("""COMPUTED_VALUE"""),"27o 28' 55""")</f>
        <v>27o 28' 55"</v>
      </c>
      <c r="K152" s="2" t="str">
        <f>IFERROR(__xludf.DUMMYFUNCTION("""COMPUTED_VALUE"""),"27o 30' 30""")</f>
        <v>27o 30' 30"</v>
      </c>
      <c r="L152" s="2" t="str">
        <f>IFERROR(__xludf.DUMMYFUNCTION("""COMPUTED_VALUE"""),"87o 34' 00""")</f>
        <v>87o 34' 00"</v>
      </c>
      <c r="M152" s="2" t="str">
        <f>IFERROR(__xludf.DUMMYFUNCTION("""COMPUTED_VALUE"""),"87o 37' 50""")</f>
        <v>87o 37' 50"</v>
      </c>
      <c r="N152" s="2" t="str">
        <f>IFERROR(__xludf.DUMMYFUNCTION("""COMPUTED_VALUE"""),"Nalbu,Papung (Taplejung)")</f>
        <v>Nalbu,Papung (Taplejung)</v>
      </c>
    </row>
    <row r="153">
      <c r="A153" s="2">
        <f>IFERROR(__xludf.DUMMYFUNCTION("""COMPUTED_VALUE"""),152.0)</f>
        <v>152</v>
      </c>
      <c r="B153" s="2" t="str">
        <f>IFERROR(__xludf.DUMMYFUNCTION("""COMPUTED_VALUE"""),"Lower Bhim Khola HEP")</f>
        <v>Lower Bhim Khola HEP</v>
      </c>
      <c r="C153" s="2">
        <f>IFERROR(__xludf.DUMMYFUNCTION("""COMPUTED_VALUE"""),6.05)</f>
        <v>6.05</v>
      </c>
      <c r="D153" s="2" t="str">
        <f>IFERROR(__xludf.DUMMYFUNCTION("""COMPUTED_VALUE"""),"Bhim Khola")</f>
        <v>Bhim Khola</v>
      </c>
      <c r="E153" s="2">
        <f>IFERROR(__xludf.DUMMYFUNCTION("""COMPUTED_VALUE"""),393.0)</f>
        <v>393</v>
      </c>
      <c r="F153" s="3">
        <f>IFERROR(__xludf.DUMMYFUNCTION("""COMPUTED_VALUE"""),65701.0)</f>
        <v>65701</v>
      </c>
      <c r="G153" s="3">
        <f>IFERROR(__xludf.DUMMYFUNCTION("""COMPUTED_VALUE"""),78483.0)</f>
        <v>78483</v>
      </c>
      <c r="H153" s="2" t="str">
        <f>IFERROR(__xludf.DUMMYFUNCTION("""COMPUTED_VALUE"""),"Shikhar Power Development Pvt. Ltd.")</f>
        <v>Shikhar Power Development Pvt. Ltd.</v>
      </c>
      <c r="I153" s="2" t="str">
        <f>IFERROR(__xludf.DUMMYFUNCTION("""COMPUTED_VALUE"""),"Kathmandu-35, Contact No. 9851133303 Prakash Baral,")</f>
        <v>Kathmandu-35, Contact No. 9851133303 Prakash Baral,</v>
      </c>
      <c r="J153" s="2" t="str">
        <f>IFERROR(__xludf.DUMMYFUNCTION("""COMPUTED_VALUE"""),"28o 16' 48""")</f>
        <v>28o 16' 48"</v>
      </c>
      <c r="K153" s="2" t="str">
        <f>IFERROR(__xludf.DUMMYFUNCTION("""COMPUTED_VALUE"""),"28o 17' 39""")</f>
        <v>28o 17' 39"</v>
      </c>
      <c r="L153" s="2" t="str">
        <f>IFERROR(__xludf.DUMMYFUNCTION("""COMPUTED_VALUE"""),"83o 11' 04""")</f>
        <v>83o 11' 04"</v>
      </c>
      <c r="M153" s="2" t="str">
        <f>IFERROR(__xludf.DUMMYFUNCTION("""COMPUTED_VALUE"""),"83o 12' 54""")</f>
        <v>83o 12' 54"</v>
      </c>
      <c r="N153" s="2" t="str">
        <f>IFERROR(__xludf.DUMMYFUNCTION("""COMPUTED_VALUE"""),"Bhinggithe (Baglung)")</f>
        <v>Bhinggithe (Baglung)</v>
      </c>
    </row>
    <row r="154">
      <c r="A154" s="2">
        <f>IFERROR(__xludf.DUMMYFUNCTION("""COMPUTED_VALUE"""),153.0)</f>
        <v>153</v>
      </c>
      <c r="B154" s="2" t="str">
        <f>IFERROR(__xludf.DUMMYFUNCTION("""COMPUTED_VALUE"""),"Chujung Khola HEP")</f>
        <v>Chujung Khola HEP</v>
      </c>
      <c r="C154" s="2">
        <f>IFERROR(__xludf.DUMMYFUNCTION("""COMPUTED_VALUE"""),63.0)</f>
        <v>63</v>
      </c>
      <c r="D154" s="2" t="str">
        <f>IFERROR(__xludf.DUMMYFUNCTION("""COMPUTED_VALUE"""),"Chhujung")</f>
        <v>Chhujung</v>
      </c>
      <c r="E154" s="2">
        <f>IFERROR(__xludf.DUMMYFUNCTION("""COMPUTED_VALUE"""),394.0)</f>
        <v>394</v>
      </c>
      <c r="F154" s="3">
        <f>IFERROR(__xludf.DUMMYFUNCTION("""COMPUTED_VALUE"""),65716.0)</f>
        <v>65716</v>
      </c>
      <c r="G154" s="3">
        <f>IFERROR(__xludf.DUMMYFUNCTION("""COMPUTED_VALUE"""),78498.0)</f>
        <v>78498</v>
      </c>
      <c r="H154" s="2" t="str">
        <f>IFERROR(__xludf.DUMMYFUNCTION("""COMPUTED_VALUE"""),"Sangrila Urja Ltd.")</f>
        <v>Sangrila Urja Ltd.</v>
      </c>
      <c r="I154" s="2" t="str">
        <f>IFERROR(__xludf.DUMMYFUNCTION("""COMPUTED_VALUE"""),"Anamnagar, Kathmandu-29")</f>
        <v>Anamnagar, Kathmandu-29</v>
      </c>
      <c r="J154" s="2" t="str">
        <f>IFERROR(__xludf.DUMMYFUNCTION("""COMPUTED_VALUE"""),"27o 44' 36""")</f>
        <v>27o 44' 36"</v>
      </c>
      <c r="K154" s="2" t="str">
        <f>IFERROR(__xludf.DUMMYFUNCTION("""COMPUTED_VALUE"""),"27o 46' 21""")</f>
        <v>27o 46' 21"</v>
      </c>
      <c r="L154" s="2" t="str">
        <f>IFERROR(__xludf.DUMMYFUNCTION("""COMPUTED_VALUE"""),"87o 27' 11""")</f>
        <v>87o 27' 11"</v>
      </c>
      <c r="M154" s="2" t="str">
        <f>IFERROR(__xludf.DUMMYFUNCTION("""COMPUTED_VALUE"""),"87o 30' 09""")</f>
        <v>87o 30' 09"</v>
      </c>
      <c r="N154" s="2" t="str">
        <f>IFERROR(__xludf.DUMMYFUNCTION("""COMPUTED_VALUE"""),"Chepuwa (Sankhuwasabha)")</f>
        <v>Chepuwa (Sankhuwasabha)</v>
      </c>
    </row>
    <row r="155">
      <c r="A155" s="2">
        <f>IFERROR(__xludf.DUMMYFUNCTION("""COMPUTED_VALUE"""),154.0)</f>
        <v>154</v>
      </c>
      <c r="B155" s="2" t="str">
        <f>IFERROR(__xludf.DUMMYFUNCTION("""COMPUTED_VALUE"""),"Lower Nyadi HEP")</f>
        <v>Lower Nyadi HEP</v>
      </c>
      <c r="C155" s="2">
        <f>IFERROR(__xludf.DUMMYFUNCTION("""COMPUTED_VALUE"""),12.6)</f>
        <v>12.6</v>
      </c>
      <c r="D155" s="2" t="str">
        <f>IFERROR(__xludf.DUMMYFUNCTION("""COMPUTED_VALUE"""),"Nyadi")</f>
        <v>Nyadi</v>
      </c>
      <c r="E155" s="2">
        <f>IFERROR(__xludf.DUMMYFUNCTION("""COMPUTED_VALUE"""),387.0)</f>
        <v>387</v>
      </c>
      <c r="F155" s="3">
        <f>IFERROR(__xludf.DUMMYFUNCTION("""COMPUTED_VALUE"""),65723.0)</f>
        <v>65723</v>
      </c>
      <c r="G155" s="3">
        <f>IFERROR(__xludf.DUMMYFUNCTION("""COMPUTED_VALUE"""),78505.0)</f>
        <v>78505</v>
      </c>
      <c r="H155" s="2" t="str">
        <f>IFERROR(__xludf.DUMMYFUNCTION("""COMPUTED_VALUE"""),"Hub Power Pvt. Ltd")</f>
        <v>Hub Power Pvt. Ltd</v>
      </c>
      <c r="I155" s="2" t="str">
        <f>IFERROR(__xludf.DUMMYFUNCTION("""COMPUTED_VALUE"""),"Baluwatar, Kathmandu, 4413353, 4413354")</f>
        <v>Baluwatar, Kathmandu, 4413353, 4413354</v>
      </c>
      <c r="J155" s="2" t="str">
        <f>IFERROR(__xludf.DUMMYFUNCTION("""COMPUTED_VALUE"""),"28o 18' 30""")</f>
        <v>28o 18' 30"</v>
      </c>
      <c r="K155" s="2" t="str">
        <f>IFERROR(__xludf.DUMMYFUNCTION("""COMPUTED_VALUE"""),"28o 19' 45""")</f>
        <v>28o 19' 45"</v>
      </c>
      <c r="L155" s="2" t="str">
        <f>IFERROR(__xludf.DUMMYFUNCTION("""COMPUTED_VALUE"""),"84o 24' 10""")</f>
        <v>84o 24' 10"</v>
      </c>
      <c r="M155" s="2" t="str">
        <f>IFERROR(__xludf.DUMMYFUNCTION("""COMPUTED_VALUE"""),"84o 25' 25""")</f>
        <v>84o 25' 25"</v>
      </c>
      <c r="N155" s="2" t="str">
        <f>IFERROR(__xludf.DUMMYFUNCTION("""COMPUTED_VALUE"""),"Bahundada,Bhulbhule (Lamjung)")</f>
        <v>Bahundada,Bhulbhule (Lamjung)</v>
      </c>
    </row>
    <row r="156">
      <c r="A156" s="2">
        <f>IFERROR(__xludf.DUMMYFUNCTION("""COMPUTED_VALUE"""),155.0)</f>
        <v>155</v>
      </c>
      <c r="B156" s="2" t="str">
        <f>IFERROR(__xludf.DUMMYFUNCTION("""COMPUTED_VALUE"""),"Budum HEP")</f>
        <v>Budum HEP</v>
      </c>
      <c r="C156" s="2">
        <f>IFERROR(__xludf.DUMMYFUNCTION("""COMPUTED_VALUE"""),14.5)</f>
        <v>14.5</v>
      </c>
      <c r="D156" s="2" t="str">
        <f>IFERROR(__xludf.DUMMYFUNCTION("""COMPUTED_VALUE"""),"budum")</f>
        <v>budum</v>
      </c>
      <c r="E156" s="2">
        <f>IFERROR(__xludf.DUMMYFUNCTION("""COMPUTED_VALUE"""),395.0)</f>
        <v>395</v>
      </c>
      <c r="F156" s="3">
        <f>IFERROR(__xludf.DUMMYFUNCTION("""COMPUTED_VALUE"""),65726.0)</f>
        <v>65726</v>
      </c>
      <c r="G156" s="3">
        <f>IFERROR(__xludf.DUMMYFUNCTION("""COMPUTED_VALUE"""),78508.0)</f>
        <v>78508</v>
      </c>
      <c r="H156" s="2" t="str">
        <f>IFERROR(__xludf.DUMMYFUNCTION("""COMPUTED_VALUE"""),"Arun Valley Hydropower Development Company Pvt. Ltd.")</f>
        <v>Arun Valley Hydropower Development Company Pvt. Ltd.</v>
      </c>
      <c r="I156" s="2" t="str">
        <f>IFERROR(__xludf.DUMMYFUNCTION("""COMPUTED_VALUE"""),"Thapathali, Kathmandu, phone no 5111085")</f>
        <v>Thapathali, Kathmandu, phone no 5111085</v>
      </c>
      <c r="J156" s="2" t="str">
        <f>IFERROR(__xludf.DUMMYFUNCTION("""COMPUTED_VALUE"""),"27o 28' 10""")</f>
        <v>27o 28' 10"</v>
      </c>
      <c r="K156" s="2" t="str">
        <f>IFERROR(__xludf.DUMMYFUNCTION("""COMPUTED_VALUE"""),"27o 30' 13""")</f>
        <v>27o 30' 13"</v>
      </c>
      <c r="L156" s="2" t="str">
        <f>IFERROR(__xludf.DUMMYFUNCTION("""COMPUTED_VALUE"""),"86o 49' 55""")</f>
        <v>86o 49' 55"</v>
      </c>
      <c r="M156" s="2" t="str">
        <f>IFERROR(__xludf.DUMMYFUNCTION("""COMPUTED_VALUE"""),"86o 51' 50""")</f>
        <v>86o 51' 50"</v>
      </c>
      <c r="N156" s="2" t="str">
        <f>IFERROR(__xludf.DUMMYFUNCTION("""COMPUTED_VALUE"""),"Bung,Gudel (Solukhumbu)")</f>
        <v>Bung,Gudel (Solukhumbu)</v>
      </c>
    </row>
    <row r="157">
      <c r="A157" s="2">
        <f>IFERROR(__xludf.DUMMYFUNCTION("""COMPUTED_VALUE"""),156.0)</f>
        <v>156</v>
      </c>
      <c r="B157" s="2" t="str">
        <f>IFERROR(__xludf.DUMMYFUNCTION("""COMPUTED_VALUE"""),"Akhu Khola-2 HEP")</f>
        <v>Akhu Khola-2 HEP</v>
      </c>
      <c r="C157" s="2">
        <f>IFERROR(__xludf.DUMMYFUNCTION("""COMPUTED_VALUE"""),20.0)</f>
        <v>20</v>
      </c>
      <c r="D157" s="2" t="str">
        <f>IFERROR(__xludf.DUMMYFUNCTION("""COMPUTED_VALUE"""),"Ankhu Khola")</f>
        <v>Ankhu Khola</v>
      </c>
      <c r="E157" s="2">
        <f>IFERROR(__xludf.DUMMYFUNCTION("""COMPUTED_VALUE"""),398.0)</f>
        <v>398</v>
      </c>
      <c r="F157" s="3">
        <f>IFERROR(__xludf.DUMMYFUNCTION("""COMPUTED_VALUE"""),65726.0)</f>
        <v>65726</v>
      </c>
      <c r="G157" s="3">
        <f>IFERROR(__xludf.DUMMYFUNCTION("""COMPUTED_VALUE"""),78508.0)</f>
        <v>78508</v>
      </c>
      <c r="H157" s="2" t="str">
        <f>IFERROR(__xludf.DUMMYFUNCTION("""COMPUTED_VALUE"""),"Ganesh Himal Hydropower Ltd.")</f>
        <v>Ganesh Himal Hydropower Ltd.</v>
      </c>
      <c r="I157" s="2" t="str">
        <f>IFERROR(__xludf.DUMMYFUNCTION("""COMPUTED_VALUE"""),"Sukedhara-4, Kathmandu, 9849920987")</f>
        <v>Sukedhara-4, Kathmandu, 9849920987</v>
      </c>
      <c r="J157" s="2" t="str">
        <f>IFERROR(__xludf.DUMMYFUNCTION("""COMPUTED_VALUE"""),"28o 01' 15""")</f>
        <v>28o 01' 15"</v>
      </c>
      <c r="K157" s="2" t="str">
        <f>IFERROR(__xludf.DUMMYFUNCTION("""COMPUTED_VALUE"""),"28o 03' 59""")</f>
        <v>28o 03' 59"</v>
      </c>
      <c r="L157" s="2" t="str">
        <f>IFERROR(__xludf.DUMMYFUNCTION("""COMPUTED_VALUE"""),"84o 56' 01""")</f>
        <v>84o 56' 01"</v>
      </c>
      <c r="M157" s="2" t="str">
        <f>IFERROR(__xludf.DUMMYFUNCTION("""COMPUTED_VALUE"""),"84o 59' 30""")</f>
        <v>84o 59' 30"</v>
      </c>
      <c r="N157" s="2" t="str">
        <f>IFERROR(__xludf.DUMMYFUNCTION("""COMPUTED_VALUE"""),"Gumdi,Darkha,Marpak,Satyadevi (Dhading)")</f>
        <v>Gumdi,Darkha,Marpak,Satyadevi (Dhading)</v>
      </c>
    </row>
    <row r="158">
      <c r="A158" s="2">
        <f>IFERROR(__xludf.DUMMYFUNCTION("""COMPUTED_VALUE"""),157.0)</f>
        <v>157</v>
      </c>
      <c r="B158" s="2" t="str">
        <f>IFERROR(__xludf.DUMMYFUNCTION("""COMPUTED_VALUE"""),"Mistri Khola-2 HEP")</f>
        <v>Mistri Khola-2 HEP</v>
      </c>
      <c r="C158" s="2">
        <f>IFERROR(__xludf.DUMMYFUNCTION("""COMPUTED_VALUE"""),12.0)</f>
        <v>12</v>
      </c>
      <c r="D158" s="2" t="str">
        <f>IFERROR(__xludf.DUMMYFUNCTION("""COMPUTED_VALUE"""),"Mistri")</f>
        <v>Mistri</v>
      </c>
      <c r="E158" s="2">
        <f>IFERROR(__xludf.DUMMYFUNCTION("""COMPUTED_VALUE"""),399.0)</f>
        <v>399</v>
      </c>
      <c r="F158" s="3">
        <f>IFERROR(__xludf.DUMMYFUNCTION("""COMPUTED_VALUE"""),65726.0)</f>
        <v>65726</v>
      </c>
      <c r="G158" s="3">
        <f>IFERROR(__xludf.DUMMYFUNCTION("""COMPUTED_VALUE"""),78508.0)</f>
        <v>78508</v>
      </c>
      <c r="H158" s="2" t="str">
        <f>IFERROR(__xludf.DUMMYFUNCTION("""COMPUTED_VALUE"""),"Mountain Energy Nepal Ltd")</f>
        <v>Mountain Energy Nepal Ltd</v>
      </c>
      <c r="I158" s="2" t="str">
        <f>IFERROR(__xludf.DUMMYFUNCTION("""COMPUTED_VALUE"""),"Panipokhari, KTM, 4437705, 4441648")</f>
        <v>Panipokhari, KTM, 4437705, 4441648</v>
      </c>
      <c r="J158" s="2" t="str">
        <f>IFERROR(__xludf.DUMMYFUNCTION("""COMPUTED_VALUE"""),"28o 29' 00""")</f>
        <v>28o 29' 00"</v>
      </c>
      <c r="K158" s="2" t="str">
        <f>IFERROR(__xludf.DUMMYFUNCTION("""COMPUTED_VALUE"""),"28o 30' 21""")</f>
        <v>28o 30' 21"</v>
      </c>
      <c r="L158" s="2" t="str">
        <f>IFERROR(__xludf.DUMMYFUNCTION("""COMPUTED_VALUE"""),"83o 38' 51""")</f>
        <v>83o 38' 51"</v>
      </c>
      <c r="M158" s="2" t="str">
        <f>IFERROR(__xludf.DUMMYFUNCTION("""COMPUTED_VALUE"""),"83o 39' 47""")</f>
        <v>83o 39' 47"</v>
      </c>
      <c r="N158" s="2" t="str">
        <f>IFERROR(__xludf.DUMMYFUNCTION("""COMPUTED_VALUE"""),"Dana,Shikha,Narchyang (Myagdi)")</f>
        <v>Dana,Shikha,Narchyang (Myagdi)</v>
      </c>
    </row>
    <row r="159">
      <c r="A159" s="2">
        <f>IFERROR(__xludf.DUMMYFUNCTION("""COMPUTED_VALUE"""),158.0)</f>
        <v>158</v>
      </c>
      <c r="B159" s="2" t="str">
        <f>IFERROR(__xludf.DUMMYFUNCTION("""COMPUTED_VALUE"""),"Rolwaling Khola HEP")</f>
        <v>Rolwaling Khola HEP</v>
      </c>
      <c r="C159" s="2">
        <f>IFERROR(__xludf.DUMMYFUNCTION("""COMPUTED_VALUE"""),22.0)</f>
        <v>22</v>
      </c>
      <c r="D159" s="2" t="str">
        <f>IFERROR(__xludf.DUMMYFUNCTION("""COMPUTED_VALUE"""),"Rolwaling")</f>
        <v>Rolwaling</v>
      </c>
      <c r="E159" s="2">
        <f>IFERROR(__xludf.DUMMYFUNCTION("""COMPUTED_VALUE"""),396.0)</f>
        <v>396</v>
      </c>
      <c r="F159" s="3">
        <f>IFERROR(__xludf.DUMMYFUNCTION("""COMPUTED_VALUE"""),65734.0)</f>
        <v>65734</v>
      </c>
      <c r="G159" s="3">
        <f>IFERROR(__xludf.DUMMYFUNCTION("""COMPUTED_VALUE"""),78516.0)</f>
        <v>78516</v>
      </c>
      <c r="H159" s="2" t="str">
        <f>IFERROR(__xludf.DUMMYFUNCTION("""COMPUTED_VALUE"""),"Upper Tamakoshi Hydropower Company Limited")</f>
        <v>Upper Tamakoshi Hydropower Company Limited</v>
      </c>
      <c r="I159" s="2" t="str">
        <f>IFERROR(__xludf.DUMMYFUNCTION("""COMPUTED_VALUE"""),"Gyneshwor, Kathmandu,Contact No. 01-4421694, 4420658")</f>
        <v>Gyneshwor, Kathmandu,Contact No. 01-4421694, 4420658</v>
      </c>
      <c r="J159" s="2" t="str">
        <f>IFERROR(__xludf.DUMMYFUNCTION("""COMPUTED_VALUE"""),"27o 52' 54""")</f>
        <v>27o 52' 54"</v>
      </c>
      <c r="K159" s="2" t="str">
        <f>IFERROR(__xludf.DUMMYFUNCTION("""COMPUTED_VALUE"""),"27o 56' 00""")</f>
        <v>27o 56' 00"</v>
      </c>
      <c r="L159" s="2" t="str">
        <f>IFERROR(__xludf.DUMMYFUNCTION("""COMPUTED_VALUE"""),"86o 12' 28""")</f>
        <v>86o 12' 28"</v>
      </c>
      <c r="M159" s="2" t="str">
        <f>IFERROR(__xludf.DUMMYFUNCTION("""COMPUTED_VALUE"""),"86o 15' 35""")</f>
        <v>86o 15' 35"</v>
      </c>
      <c r="N159" s="2" t="str">
        <f>IFERROR(__xludf.DUMMYFUNCTION("""COMPUTED_VALUE"""),"Lamabagar (Dolakha)")</f>
        <v>Lamabagar (Dolakha)</v>
      </c>
    </row>
    <row r="160">
      <c r="A160" s="2">
        <f>IFERROR(__xludf.DUMMYFUNCTION("""COMPUTED_VALUE"""),159.0)</f>
        <v>159</v>
      </c>
      <c r="B160" s="2" t="str">
        <f>IFERROR(__xludf.DUMMYFUNCTION("""COMPUTED_VALUE"""),"Shyam Khola HEP")</f>
        <v>Shyam Khola HEP</v>
      </c>
      <c r="C160" s="2">
        <f>IFERROR(__xludf.DUMMYFUNCTION("""COMPUTED_VALUE"""),7.25)</f>
        <v>7.25</v>
      </c>
      <c r="D160" s="2" t="str">
        <f>IFERROR(__xludf.DUMMYFUNCTION("""COMPUTED_VALUE"""),"Shyam Khola")</f>
        <v>Shyam Khola</v>
      </c>
      <c r="E160" s="2">
        <f>IFERROR(__xludf.DUMMYFUNCTION("""COMPUTED_VALUE"""),400.0)</f>
        <v>400</v>
      </c>
      <c r="F160" s="3">
        <f>IFERROR(__xludf.DUMMYFUNCTION("""COMPUTED_VALUE"""),65758.0)</f>
        <v>65758</v>
      </c>
      <c r="G160" s="3">
        <f>IFERROR(__xludf.DUMMYFUNCTION("""COMPUTED_VALUE"""),78540.0)</f>
        <v>78540</v>
      </c>
      <c r="H160" s="2" t="str">
        <f>IFERROR(__xludf.DUMMYFUNCTION("""COMPUTED_VALUE"""),"S.K. Energy Development Ltd")</f>
        <v>S.K. Energy Development Ltd</v>
      </c>
      <c r="I160" s="2" t="str">
        <f>IFERROR(__xludf.DUMMYFUNCTION("""COMPUTED_VALUE"""),"Kageswari Manohara-9, Kathmandu, 9841134067/015149162")</f>
        <v>Kageswari Manohara-9, Kathmandu, 9841134067/015149162</v>
      </c>
      <c r="J160" s="2" t="str">
        <f>IFERROR(__xludf.DUMMYFUNCTION("""COMPUTED_VALUE"""),"27o 18' 47""")</f>
        <v>27o 18' 47"</v>
      </c>
      <c r="K160" s="2" t="str">
        <f>IFERROR(__xludf.DUMMYFUNCTION("""COMPUTED_VALUE"""),"27o 21' 13""")</f>
        <v>27o 21' 13"</v>
      </c>
      <c r="L160" s="2" t="str">
        <f>IFERROR(__xludf.DUMMYFUNCTION("""COMPUTED_VALUE"""),"87o 03' 51""")</f>
        <v>87o 03' 51"</v>
      </c>
      <c r="M160" s="2" t="str">
        <f>IFERROR(__xludf.DUMMYFUNCTION("""COMPUTED_VALUE"""),"87o 05' 30""")</f>
        <v>87o 05' 30"</v>
      </c>
      <c r="N160" s="2" t="str">
        <f>IFERROR(__xludf.DUMMYFUNCTION("""COMPUTED_VALUE"""),"Keemalung,Khartimchcha (Bhojpur)")</f>
        <v>Keemalung,Khartimchcha (Bhojpur)</v>
      </c>
    </row>
    <row r="161">
      <c r="A161" s="2">
        <f>IFERROR(__xludf.DUMMYFUNCTION("""COMPUTED_VALUE"""),160.0)</f>
        <v>160</v>
      </c>
      <c r="B161" s="2" t="str">
        <f>IFERROR(__xludf.DUMMYFUNCTION("""COMPUTED_VALUE"""),"Tallo Indrawati HEP")</f>
        <v>Tallo Indrawati HEP</v>
      </c>
      <c r="C161" s="2">
        <f>IFERROR(__xludf.DUMMYFUNCTION("""COMPUTED_VALUE"""),4.5)</f>
        <v>4.5</v>
      </c>
      <c r="D161" s="2" t="str">
        <f>IFERROR(__xludf.DUMMYFUNCTION("""COMPUTED_VALUE"""),"Indrawati")</f>
        <v>Indrawati</v>
      </c>
      <c r="E161" s="2">
        <f>IFERROR(__xludf.DUMMYFUNCTION("""COMPUTED_VALUE"""),401.0)</f>
        <v>401</v>
      </c>
      <c r="F161" s="3">
        <f>IFERROR(__xludf.DUMMYFUNCTION("""COMPUTED_VALUE"""),65765.0)</f>
        <v>65765</v>
      </c>
      <c r="G161" s="3">
        <f>IFERROR(__xludf.DUMMYFUNCTION("""COMPUTED_VALUE"""),78547.0)</f>
        <v>78547</v>
      </c>
      <c r="H161" s="2" t="str">
        <f>IFERROR(__xludf.DUMMYFUNCTION("""COMPUTED_VALUE"""),"National Hydropower Company Limited")</f>
        <v>National Hydropower Company Limited</v>
      </c>
      <c r="I161" s="2" t="str">
        <f>IFERROR(__xludf.DUMMYFUNCTION("""COMPUTED_VALUE"""),"Binayaknagar, Kathmandu, 01-5172685, 5172683, email: info@nhpc.com")</f>
        <v>Binayaknagar, Kathmandu, 01-5172685, 5172683, email: info@nhpc.com</v>
      </c>
      <c r="J161" s="2" t="str">
        <f>IFERROR(__xludf.DUMMYFUNCTION("""COMPUTED_VALUE"""),"27o 50' 00""")</f>
        <v>27o 50' 00"</v>
      </c>
      <c r="K161" s="2" t="str">
        <f>IFERROR(__xludf.DUMMYFUNCTION("""COMPUTED_VALUE"""),"27o 52' 04""")</f>
        <v>27o 52' 04"</v>
      </c>
      <c r="L161" s="2" t="str">
        <f>IFERROR(__xludf.DUMMYFUNCTION("""COMPUTED_VALUE"""),"85o 34' 36""")</f>
        <v>85o 34' 36"</v>
      </c>
      <c r="M161" s="2" t="str">
        <f>IFERROR(__xludf.DUMMYFUNCTION("""COMPUTED_VALUE"""),"85o 36' 36""")</f>
        <v>85o 36' 36"</v>
      </c>
      <c r="N161" s="2" t="str">
        <f>IFERROR(__xludf.DUMMYFUNCTION("""COMPUTED_VALUE"""),"Melamche (Sindhupalchok)")</f>
        <v>Melamche (Sindhupalchok)</v>
      </c>
    </row>
    <row r="162">
      <c r="A162" s="2">
        <f>IFERROR(__xludf.DUMMYFUNCTION("""COMPUTED_VALUE"""),161.0)</f>
        <v>161</v>
      </c>
      <c r="B162" s="2" t="str">
        <f>IFERROR(__xludf.DUMMYFUNCTION("""COMPUTED_VALUE"""),"Dana Khola HEP")</f>
        <v>Dana Khola HEP</v>
      </c>
      <c r="C162" s="2">
        <f>IFERROR(__xludf.DUMMYFUNCTION("""COMPUTED_VALUE"""),49.95)</f>
        <v>49.95</v>
      </c>
      <c r="D162" s="2" t="str">
        <f>IFERROR(__xludf.DUMMYFUNCTION("""COMPUTED_VALUE"""),"Dana Khola")</f>
        <v>Dana Khola</v>
      </c>
      <c r="E162" s="2">
        <f>IFERROR(__xludf.DUMMYFUNCTION("""COMPUTED_VALUE"""),402.0)</f>
        <v>402</v>
      </c>
      <c r="F162" s="3">
        <f>IFERROR(__xludf.DUMMYFUNCTION("""COMPUTED_VALUE"""),65766.0)</f>
        <v>65766</v>
      </c>
      <c r="G162" s="3">
        <f>IFERROR(__xludf.DUMMYFUNCTION("""COMPUTED_VALUE"""),78548.0)</f>
        <v>78548</v>
      </c>
      <c r="H162" s="2" t="str">
        <f>IFERROR(__xludf.DUMMYFUNCTION("""COMPUTED_VALUE"""),"Lalupate Hydropower Company Ltd.")</f>
        <v>Lalupate Hydropower Company Ltd.</v>
      </c>
      <c r="I162" s="2" t="str">
        <f>IFERROR(__xludf.DUMMYFUNCTION("""COMPUTED_VALUE"""),"Kathmandu Metropolitan City, Ward No. 07, Lampokhari Marg, Kathmandu, 
9841584500, 9851052451")</f>
        <v>Kathmandu Metropolitan City, Ward No. 07, Lampokhari Marg, Kathmandu, 
9841584500, 9851052451</v>
      </c>
      <c r="J162" s="2" t="str">
        <f>IFERROR(__xludf.DUMMYFUNCTION("""COMPUTED_VALUE"""),"28o 30' 00""")</f>
        <v>28o 30' 00"</v>
      </c>
      <c r="K162" s="2" t="str">
        <f>IFERROR(__xludf.DUMMYFUNCTION("""COMPUTED_VALUE"""),"28o 31' 18""")</f>
        <v>28o 31' 18"</v>
      </c>
      <c r="L162" s="2" t="str">
        <f>IFERROR(__xludf.DUMMYFUNCTION("""COMPUTED_VALUE"""),"84o 21' 39""")</f>
        <v>84o 21' 39"</v>
      </c>
      <c r="M162" s="2" t="str">
        <f>IFERROR(__xludf.DUMMYFUNCTION("""COMPUTED_VALUE"""),"84o 24' 20""")</f>
        <v>84o 24' 20"</v>
      </c>
      <c r="N162" s="2" t="str">
        <f>IFERROR(__xludf.DUMMYFUNCTION("""COMPUTED_VALUE"""),"Dharapani,Thoche (Manang)")</f>
        <v>Dharapani,Thoche (Manang)</v>
      </c>
    </row>
    <row r="163">
      <c r="A163" s="2">
        <f>IFERROR(__xludf.DUMMYFUNCTION("""COMPUTED_VALUE"""),162.0)</f>
        <v>162</v>
      </c>
      <c r="B163" s="2" t="str">
        <f>IFERROR(__xludf.DUMMYFUNCTION("""COMPUTED_VALUE"""),"Upper Sardi HEP")</f>
        <v>Upper Sardi HEP</v>
      </c>
      <c r="C163" s="2">
        <f>IFERROR(__xludf.DUMMYFUNCTION("""COMPUTED_VALUE"""),2.9)</f>
        <v>2.9</v>
      </c>
      <c r="D163" s="2" t="str">
        <f>IFERROR(__xludf.DUMMYFUNCTION("""COMPUTED_VALUE"""),"Sardi, kutmi")</f>
        <v>Sardi, kutmi</v>
      </c>
      <c r="E163" s="2">
        <f>IFERROR(__xludf.DUMMYFUNCTION("""COMPUTED_VALUE"""),403.0)</f>
        <v>403</v>
      </c>
      <c r="F163" s="3">
        <f>IFERROR(__xludf.DUMMYFUNCTION("""COMPUTED_VALUE"""),65785.0)</f>
        <v>65785</v>
      </c>
      <c r="G163" s="3">
        <f>IFERROR(__xludf.DUMMYFUNCTION("""COMPUTED_VALUE"""),78567.0)</f>
        <v>78567</v>
      </c>
      <c r="H163" s="2" t="str">
        <f>IFERROR(__xludf.DUMMYFUNCTION("""COMPUTED_VALUE"""),"Mandakini Hydropower Ltd")</f>
        <v>Mandakini Hydropower Ltd</v>
      </c>
      <c r="I163" s="2" t="str">
        <f>IFERROR(__xludf.DUMMYFUNCTION("""COMPUTED_VALUE"""),"316 Baburam Acharya Sadak, Sinamangal Kathamndu. Ph No. 4461574, email: 
mandakini.hydropower@gmail.com")</f>
        <v>316 Baburam Acharya Sadak, Sinamangal Kathamndu. Ph No. 4461574, email: 
mandakini.hydropower@gmail.com</v>
      </c>
      <c r="J163" s="2" t="str">
        <f>IFERROR(__xludf.DUMMYFUNCTION("""COMPUTED_VALUE"""),"28o 21' 26""")</f>
        <v>28o 21' 26"</v>
      </c>
      <c r="K163" s="2" t="str">
        <f>IFERROR(__xludf.DUMMYFUNCTION("""COMPUTED_VALUE"""),"28o 22' 08""")</f>
        <v>28o 22' 08"</v>
      </c>
      <c r="L163" s="2" t="str">
        <f>IFERROR(__xludf.DUMMYFUNCTION("""COMPUTED_VALUE"""),"84o 00' 46""")</f>
        <v>84o 00' 46"</v>
      </c>
      <c r="M163" s="2" t="str">
        <f>IFERROR(__xludf.DUMMYFUNCTION("""COMPUTED_VALUE"""),"84o 02' 13""")</f>
        <v>84o 02' 13"</v>
      </c>
      <c r="N163" s="2" t="str">
        <f>IFERROR(__xludf.DUMMYFUNCTION("""COMPUTED_VALUE"""),"Sardikhola (Kaski)")</f>
        <v>Sardikhola (Kaski)</v>
      </c>
    </row>
    <row r="164">
      <c r="A164" s="2">
        <f>IFERROR(__xludf.DUMMYFUNCTION("""COMPUTED_VALUE"""),163.0)</f>
        <v>163</v>
      </c>
      <c r="B164" s="2" t="str">
        <f>IFERROR(__xludf.DUMMYFUNCTION("""COMPUTED_VALUE"""),"Darkhola Small HEP")</f>
        <v>Darkhola Small HEP</v>
      </c>
      <c r="C164" s="2">
        <f>IFERROR(__xludf.DUMMYFUNCTION("""COMPUTED_VALUE"""),6.5)</f>
        <v>6.5</v>
      </c>
      <c r="D164" s="2" t="str">
        <f>IFERROR(__xludf.DUMMYFUNCTION("""COMPUTED_VALUE"""),"Dar Khola")</f>
        <v>Dar Khola</v>
      </c>
      <c r="E164" s="2">
        <f>IFERROR(__xludf.DUMMYFUNCTION("""COMPUTED_VALUE"""),397.0)</f>
        <v>397</v>
      </c>
      <c r="F164" s="3">
        <f>IFERROR(__xludf.DUMMYFUNCTION("""COMPUTED_VALUE"""),65793.0)</f>
        <v>65793</v>
      </c>
      <c r="G164" s="3">
        <f>IFERROR(__xludf.DUMMYFUNCTION("""COMPUTED_VALUE"""),78575.0)</f>
        <v>78575</v>
      </c>
      <c r="H164" s="2" t="str">
        <f>IFERROR(__xludf.DUMMYFUNCTION("""COMPUTED_VALUE"""),"Darkhola Hydropower Pvt. Ltd.,")</f>
        <v>Darkhola Hydropower Pvt. Ltd.,</v>
      </c>
      <c r="I164" s="2" t="str">
        <f>IFERROR(__xludf.DUMMYFUNCTION("""COMPUTED_VALUE"""),"Ktm 29 Samakhushi, Phone 4388581, 9851140372")</f>
        <v>Ktm 29 Samakhushi, Phone 4388581, 9851140372</v>
      </c>
      <c r="J164" s="2" t="str">
        <f>IFERROR(__xludf.DUMMYFUNCTION("""COMPUTED_VALUE"""),"28o 29' 54""")</f>
        <v>28o 29' 54"</v>
      </c>
      <c r="K164" s="2" t="str">
        <f>IFERROR(__xludf.DUMMYFUNCTION("""COMPUTED_VALUE"""),"28o 30' 40""")</f>
        <v>28o 30' 40"</v>
      </c>
      <c r="L164" s="2" t="str">
        <f>IFERROR(__xludf.DUMMYFUNCTION("""COMPUTED_VALUE"""),"83o 18' 47""")</f>
        <v>83o 18' 47"</v>
      </c>
      <c r="M164" s="2" t="str">
        <f>IFERROR(__xludf.DUMMYFUNCTION("""COMPUTED_VALUE"""),"83o 21' 20""")</f>
        <v>83o 21' 20"</v>
      </c>
      <c r="N164" s="2" t="str">
        <f>IFERROR(__xludf.DUMMYFUNCTION("""COMPUTED_VALUE"""),"Muna (Myagdi)")</f>
        <v>Muna (Myagdi)</v>
      </c>
    </row>
    <row r="165">
      <c r="A165" s="2">
        <f>IFERROR(__xludf.DUMMYFUNCTION("""COMPUTED_VALUE"""),164.0)</f>
        <v>164</v>
      </c>
      <c r="B165" s="2" t="str">
        <f>IFERROR(__xludf.DUMMYFUNCTION("""COMPUTED_VALUE"""),"Badigad Khola HEP")</f>
        <v>Badigad Khola HEP</v>
      </c>
      <c r="C165" s="2">
        <f>IFERROR(__xludf.DUMMYFUNCTION("""COMPUTED_VALUE"""),24.6)</f>
        <v>24.6</v>
      </c>
      <c r="D165" s="2" t="str">
        <f>IFERROR(__xludf.DUMMYFUNCTION("""COMPUTED_VALUE"""),"Badigad")</f>
        <v>Badigad</v>
      </c>
      <c r="E165" s="2">
        <f>IFERROR(__xludf.DUMMYFUNCTION("""COMPUTED_VALUE"""),404.0)</f>
        <v>404</v>
      </c>
      <c r="F165" s="3">
        <f>IFERROR(__xludf.DUMMYFUNCTION("""COMPUTED_VALUE"""),65799.0)</f>
        <v>65799</v>
      </c>
      <c r="G165" s="3">
        <f>IFERROR(__xludf.DUMMYFUNCTION("""COMPUTED_VALUE"""),78581.0)</f>
        <v>78581</v>
      </c>
      <c r="H165" s="2" t="str">
        <f>IFERROR(__xludf.DUMMYFUNCTION("""COMPUTED_VALUE"""),"Badigad Hydropower Ltd.")</f>
        <v>Badigad Hydropower Ltd.</v>
      </c>
      <c r="I165" s="2" t="str">
        <f>IFERROR(__xludf.DUMMYFUNCTION("""COMPUTED_VALUE"""),"k.M.C-10, Buddhanagar, Kathmandu, 01-4543545, 4541988")</f>
        <v>k.M.C-10, Buddhanagar, Kathmandu, 01-4543545, 4541988</v>
      </c>
      <c r="J165" s="2" t="str">
        <f>IFERROR(__xludf.DUMMYFUNCTION("""COMPUTED_VALUE"""),"28o 15' 45""")</f>
        <v>28o 15' 45"</v>
      </c>
      <c r="K165" s="2" t="str">
        <f>IFERROR(__xludf.DUMMYFUNCTION("""COMPUTED_VALUE"""),"28o 19' 13""")</f>
        <v>28o 19' 13"</v>
      </c>
      <c r="L165" s="2" t="str">
        <f>IFERROR(__xludf.DUMMYFUNCTION("""COMPUTED_VALUE"""),"83o 09' 38""")</f>
        <v>83o 09' 38"</v>
      </c>
      <c r="M165" s="2" t="str">
        <f>IFERROR(__xludf.DUMMYFUNCTION("""COMPUTED_VALUE"""),"83o 11' 48""")</f>
        <v>83o 11' 48"</v>
      </c>
      <c r="N165" s="2" t="str">
        <f>IFERROR(__xludf.DUMMYFUNCTION("""COMPUTED_VALUE"""),"Burtiwang,Rajkut,Durling,Bhinggithe (Baglung) Neta (Gulmi)")</f>
        <v>Burtiwang,Rajkut,Durling,Bhinggithe (Baglung) Neta (Gulmi)</v>
      </c>
    </row>
    <row r="166">
      <c r="A166" s="2">
        <f>IFERROR(__xludf.DUMMYFUNCTION("""COMPUTED_VALUE"""),165.0)</f>
        <v>165</v>
      </c>
      <c r="B166" s="2" t="str">
        <f>IFERROR(__xludf.DUMMYFUNCTION("""COMPUTED_VALUE"""),"Upper Mewa Khola -A HEP")</f>
        <v>Upper Mewa Khola -A HEP</v>
      </c>
      <c r="C166" s="2">
        <f>IFERROR(__xludf.DUMMYFUNCTION("""COMPUTED_VALUE"""),31.92)</f>
        <v>31.92</v>
      </c>
      <c r="D166" s="2" t="str">
        <f>IFERROR(__xludf.DUMMYFUNCTION("""COMPUTED_VALUE"""),"Mewa Khola")</f>
        <v>Mewa Khola</v>
      </c>
      <c r="E166" s="2">
        <f>IFERROR(__xludf.DUMMYFUNCTION("""COMPUTED_VALUE"""),405.0)</f>
        <v>405</v>
      </c>
      <c r="F166" s="2" t="str">
        <f>IFERROR(__xludf.DUMMYFUNCTION("""COMPUTED_VALUE"""),"2080-02-32")</f>
        <v>2080-02-32</v>
      </c>
      <c r="G166" s="2" t="str">
        <f>IFERROR(__xludf.DUMMYFUNCTION("""COMPUTED_VALUE"""),"2115-02-31")</f>
        <v>2115-02-31</v>
      </c>
      <c r="H166" s="2" t="str">
        <f>IFERROR(__xludf.DUMMYFUNCTION("""COMPUTED_VALUE"""),"Surya Holding Company Pvt.Ltd.")</f>
        <v>Surya Holding Company Pvt.Ltd.</v>
      </c>
      <c r="I166" s="2" t="str">
        <f>IFERROR(__xludf.DUMMYFUNCTION("""COMPUTED_VALUE"""),"Ka.Ma.Pa-10,Buddhanagar, Kathmandu P.O. Box no. 1890, Contact No. 
01-5909492, 9851024262 (Anil Joshi), uppermewahp@gmail")</f>
        <v>Ka.Ma.Pa-10,Buddhanagar, Kathmandu P.O. Box no. 1890, Contact No. 
01-5909492, 9851024262 (Anil Joshi), uppermewahp@gmail</v>
      </c>
      <c r="J166" s="2" t="str">
        <f>IFERROR(__xludf.DUMMYFUNCTION("""COMPUTED_VALUE"""),"27o 30' 30""")</f>
        <v>27o 30' 30"</v>
      </c>
      <c r="K166" s="2" t="str">
        <f>IFERROR(__xludf.DUMMYFUNCTION("""COMPUTED_VALUE"""),"27o 32' 32""")</f>
        <v>27o 32' 32"</v>
      </c>
      <c r="L166" s="2" t="str">
        <f>IFERROR(__xludf.DUMMYFUNCTION("""COMPUTED_VALUE"""),"87o 36' 56""")</f>
        <v>87o 36' 56"</v>
      </c>
      <c r="M166" s="2" t="str">
        <f>IFERROR(__xludf.DUMMYFUNCTION("""COMPUTED_VALUE"""),"87o 38' 13""")</f>
        <v>87o 38' 13"</v>
      </c>
      <c r="N166" s="2" t="str">
        <f>IFERROR(__xludf.DUMMYFUNCTION("""COMPUTED_VALUE"""),"Papung,Sanwa (Taplejung)")</f>
        <v>Papung,Sanwa (Taplejung)</v>
      </c>
    </row>
    <row r="167">
      <c r="A167" s="2">
        <f>IFERROR(__xludf.DUMMYFUNCTION("""COMPUTED_VALUE"""),166.0)</f>
        <v>166</v>
      </c>
      <c r="B167" s="2" t="str">
        <f>IFERROR(__xludf.DUMMYFUNCTION("""COMPUTED_VALUE"""),"Super Tamor HEP")</f>
        <v>Super Tamor HEP</v>
      </c>
      <c r="C167" s="2">
        <f>IFERROR(__xludf.DUMMYFUNCTION("""COMPUTED_VALUE"""),166.0)</f>
        <v>166</v>
      </c>
      <c r="D167" s="2" t="str">
        <f>IFERROR(__xludf.DUMMYFUNCTION("""COMPUTED_VALUE"""),"Tamor")</f>
        <v>Tamor</v>
      </c>
      <c r="E167" s="2">
        <f>IFERROR(__xludf.DUMMYFUNCTION("""COMPUTED_VALUE"""),406.0)</f>
        <v>406</v>
      </c>
      <c r="F167" s="3">
        <f>IFERROR(__xludf.DUMMYFUNCTION("""COMPUTED_VALUE"""),65811.0)</f>
        <v>65811</v>
      </c>
      <c r="G167" s="3">
        <f>IFERROR(__xludf.DUMMYFUNCTION("""COMPUTED_VALUE"""),78592.0)</f>
        <v>78592</v>
      </c>
      <c r="H167" s="2" t="str">
        <f>IFERROR(__xludf.DUMMYFUNCTION("""COMPUTED_VALUE"""),"Cristal Power Development Pvt ltd")</f>
        <v>Cristal Power Development Pvt ltd</v>
      </c>
      <c r="I167" s="2" t="str">
        <f>IFERROR(__xludf.DUMMYFUNCTION("""COMPUTED_VALUE"""),"Baluwatar, Kathmandu, Contact No. 01- 4430050")</f>
        <v>Baluwatar, Kathmandu, Contact No. 01- 4430050</v>
      </c>
      <c r="J167" s="2" t="str">
        <f>IFERROR(__xludf.DUMMYFUNCTION("""COMPUTED_VALUE"""),"27o 34' 07""")</f>
        <v>27o 34' 07"</v>
      </c>
      <c r="K167" s="2" t="str">
        <f>IFERROR(__xludf.DUMMYFUNCTION("""COMPUTED_VALUE"""),"27o 39' 00""")</f>
        <v>27o 39' 00"</v>
      </c>
      <c r="L167" s="2" t="str">
        <f>IFERROR(__xludf.DUMMYFUNCTION("""COMPUTED_VALUE"""),"87o 45' 48""")</f>
        <v>87o 45' 48"</v>
      </c>
      <c r="M167" s="2" t="str">
        <f>IFERROR(__xludf.DUMMYFUNCTION("""COMPUTED_VALUE"""),"87o 49' 12""")</f>
        <v>87o 49' 12"</v>
      </c>
      <c r="N167" s="2" t="str">
        <f>IFERROR(__xludf.DUMMYFUNCTION("""COMPUTED_VALUE"""),"Lelep,Olangchung (Taplejung)")</f>
        <v>Lelep,Olangchung (Taplejung)</v>
      </c>
    </row>
    <row r="168">
      <c r="A168" s="2">
        <f>IFERROR(__xludf.DUMMYFUNCTION("""COMPUTED_VALUE"""),167.0)</f>
        <v>167</v>
      </c>
      <c r="B168" s="2" t="str">
        <f>IFERROR(__xludf.DUMMYFUNCTION("""COMPUTED_VALUE"""),"Upper Mailung B HEP")</f>
        <v>Upper Mailung B HEP</v>
      </c>
      <c r="C168" s="2">
        <f>IFERROR(__xludf.DUMMYFUNCTION("""COMPUTED_VALUE"""),17.0)</f>
        <v>17</v>
      </c>
      <c r="D168" s="2" t="str">
        <f>IFERROR(__xludf.DUMMYFUNCTION("""COMPUTED_VALUE"""),"Mailung Khola")</f>
        <v>Mailung Khola</v>
      </c>
      <c r="E168" s="2">
        <f>IFERROR(__xludf.DUMMYFUNCTION("""COMPUTED_VALUE"""),407.0)</f>
        <v>407</v>
      </c>
      <c r="F168" s="3">
        <f>IFERROR(__xludf.DUMMYFUNCTION("""COMPUTED_VALUE"""),65818.0)</f>
        <v>65818</v>
      </c>
      <c r="G168" s="3">
        <f>IFERROR(__xludf.DUMMYFUNCTION("""COMPUTED_VALUE"""),78599.0)</f>
        <v>78599</v>
      </c>
      <c r="H168" s="2" t="str">
        <f>IFERROR(__xludf.DUMMYFUNCTION("""COMPUTED_VALUE"""),"Mathillo Mailung Khola Jalvidyut Ltd.")</f>
        <v>Mathillo Mailung Khola Jalvidyut Ltd.</v>
      </c>
      <c r="I168" s="2" t="str">
        <f>IFERROR(__xludf.DUMMYFUNCTION("""COMPUTED_VALUE"""),"Dhumbarahi, Kathmandu, 4373030, 4372828, 9860557422")</f>
        <v>Dhumbarahi, Kathmandu, 4373030, 4372828, 9860557422</v>
      </c>
      <c r="J168" s="2" t="str">
        <f>IFERROR(__xludf.DUMMYFUNCTION("""COMPUTED_VALUE"""),"28o 07' 13""")</f>
        <v>28o 07' 13"</v>
      </c>
      <c r="K168" s="2" t="str">
        <f>IFERROR(__xludf.DUMMYFUNCTION("""COMPUTED_VALUE"""),"28o 09' 43""")</f>
        <v>28o 09' 43"</v>
      </c>
      <c r="L168" s="2" t="str">
        <f>IFERROR(__xludf.DUMMYFUNCTION("""COMPUTED_VALUE"""),"85o 11' 00""")</f>
        <v>85o 11' 00"</v>
      </c>
      <c r="M168" s="2" t="str">
        <f>IFERROR(__xludf.DUMMYFUNCTION("""COMPUTED_VALUE"""),"85o 12' 30""")</f>
        <v>85o 12' 30"</v>
      </c>
      <c r="N168" s="2" t="str">
        <f>IFERROR(__xludf.DUMMYFUNCTION("""COMPUTED_VALUE"""),"Dandagoun,Haku (Rasuwa)")</f>
        <v>Dandagoun,Haku (Rasuwa)</v>
      </c>
    </row>
    <row r="169">
      <c r="A169" s="2">
        <f>IFERROR(__xludf.DUMMYFUNCTION("""COMPUTED_VALUE"""),168.0)</f>
        <v>168</v>
      </c>
      <c r="B169" s="2" t="str">
        <f>IFERROR(__xludf.DUMMYFUNCTION("""COMPUTED_VALUE"""),"Lower Khani-B HEP")</f>
        <v>Lower Khani-B HEP</v>
      </c>
      <c r="C169" s="2">
        <f>IFERROR(__xludf.DUMMYFUNCTION("""COMPUTED_VALUE"""),6.2)</f>
        <v>6.2</v>
      </c>
      <c r="D169" s="2" t="str">
        <f>IFERROR(__xludf.DUMMYFUNCTION("""COMPUTED_VALUE"""),"Khani Khola")</f>
        <v>Khani Khola</v>
      </c>
      <c r="E169" s="2">
        <f>IFERROR(__xludf.DUMMYFUNCTION("""COMPUTED_VALUE"""),408.0)</f>
        <v>408</v>
      </c>
      <c r="F169" s="3">
        <f>IFERROR(__xludf.DUMMYFUNCTION("""COMPUTED_VALUE"""),65844.0)</f>
        <v>65844</v>
      </c>
      <c r="G169" s="3">
        <f>IFERROR(__xludf.DUMMYFUNCTION("""COMPUTED_VALUE"""),78625.0)</f>
        <v>78625</v>
      </c>
      <c r="H169" s="2" t="str">
        <f>IFERROR(__xludf.DUMMYFUNCTION("""COMPUTED_VALUE"""),"Koplang Energy Hydropower Pvt.Ltd.")</f>
        <v>Koplang Energy Hydropower Pvt.Ltd.</v>
      </c>
      <c r="I169" s="2" t="str">
        <f>IFERROR(__xludf.DUMMYFUNCTION("""COMPUTED_VALUE"""),"Gokarneshwor-15, Kathmandu")</f>
        <v>Gokarneshwor-15, Kathmandu</v>
      </c>
      <c r="J169" s="2" t="str">
        <f>IFERROR(__xludf.DUMMYFUNCTION("""COMPUTED_VALUE"""),"27o 48' 34""")</f>
        <v>27o 48' 34"</v>
      </c>
      <c r="K169" s="2" t="str">
        <f>IFERROR(__xludf.DUMMYFUNCTION("""COMPUTED_VALUE"""),"27o 49' 20""")</f>
        <v>27o 49' 20"</v>
      </c>
      <c r="L169" s="2" t="str">
        <f>IFERROR(__xludf.DUMMYFUNCTION("""COMPUTED_VALUE"""),"86o 19' 30""")</f>
        <v>86o 19' 30"</v>
      </c>
      <c r="M169" s="2" t="str">
        <f>IFERROR(__xludf.DUMMYFUNCTION("""COMPUTED_VALUE"""),"86o 20' 00""")</f>
        <v>86o 20' 00"</v>
      </c>
      <c r="N169" s="2" t="str">
        <f>IFERROR(__xludf.DUMMYFUNCTION("""COMPUTED_VALUE"""),"Marbu (Dolakha)")</f>
        <v>Marbu (Dolakha)</v>
      </c>
    </row>
    <row r="170">
      <c r="A170" s="2">
        <f>IFERROR(__xludf.DUMMYFUNCTION("""COMPUTED_VALUE"""),169.0)</f>
        <v>169</v>
      </c>
      <c r="B170" s="2" t="str">
        <f>IFERROR(__xludf.DUMMYFUNCTION("""COMPUTED_VALUE"""),"Upper Dudh Khola HPP")</f>
        <v>Upper Dudh Khola HPP</v>
      </c>
      <c r="C170" s="2">
        <f>IFERROR(__xludf.DUMMYFUNCTION("""COMPUTED_VALUE"""),30.4)</f>
        <v>30.4</v>
      </c>
      <c r="D170" s="2" t="str">
        <f>IFERROR(__xludf.DUMMYFUNCTION("""COMPUTED_VALUE"""),"Dudh Khola")</f>
        <v>Dudh Khola</v>
      </c>
      <c r="E170" s="2">
        <f>IFERROR(__xludf.DUMMYFUNCTION("""COMPUTED_VALUE"""),411.0)</f>
        <v>411</v>
      </c>
      <c r="F170" s="3">
        <f>IFERROR(__xludf.DUMMYFUNCTION("""COMPUTED_VALUE"""),65847.0)</f>
        <v>65847</v>
      </c>
      <c r="G170" s="3">
        <f>IFERROR(__xludf.DUMMYFUNCTION("""COMPUTED_VALUE"""),78628.0)</f>
        <v>78628</v>
      </c>
      <c r="H170" s="2" t="str">
        <f>IFERROR(__xludf.DUMMYFUNCTION("""COMPUTED_VALUE"""),"Carbonless Energy Fund Pvt. Ltd.")</f>
        <v>Carbonless Energy Fund Pvt. Ltd.</v>
      </c>
      <c r="I170" s="2" t="str">
        <f>IFERROR(__xludf.DUMMYFUNCTION("""COMPUTED_VALUE"""),"Charkhal road, Dillibazar, Ktm. 01-4432864, 01-4432863, 
info@everestequity.com.np")</f>
        <v>Charkhal road, Dillibazar, Ktm. 01-4432864, 01-4432863, 
info@everestequity.com.np</v>
      </c>
      <c r="J170" s="2" t="str">
        <f>IFERROR(__xludf.DUMMYFUNCTION("""COMPUTED_VALUE"""),"28o 33' 17""")</f>
        <v>28o 33' 17"</v>
      </c>
      <c r="K170" s="2" t="str">
        <f>IFERROR(__xludf.DUMMYFUNCTION("""COMPUTED_VALUE"""),"28o 35' 30""")</f>
        <v>28o 35' 30"</v>
      </c>
      <c r="L170" s="2" t="str">
        <f>IFERROR(__xludf.DUMMYFUNCTION("""COMPUTED_VALUE"""),"84o 23' 19""")</f>
        <v>84o 23' 19"</v>
      </c>
      <c r="M170" s="2" t="str">
        <f>IFERROR(__xludf.DUMMYFUNCTION("""COMPUTED_VALUE"""),"84o 25' 30""")</f>
        <v>84o 25' 30"</v>
      </c>
      <c r="N170" s="2" t="str">
        <f>IFERROR(__xludf.DUMMYFUNCTION("""COMPUTED_VALUE"""),"Thoche (Manang)")</f>
        <v>Thoche (Manang)</v>
      </c>
    </row>
    <row r="171">
      <c r="A171" s="2">
        <f>IFERROR(__xludf.DUMMYFUNCTION("""COMPUTED_VALUE"""),170.0)</f>
        <v>170</v>
      </c>
      <c r="B171" s="2" t="str">
        <f>IFERROR(__xludf.DUMMYFUNCTION("""COMPUTED_VALUE"""),"Super Ghalemdi HEP")</f>
        <v>Super Ghalemdi HEP</v>
      </c>
      <c r="C171" s="2">
        <f>IFERROR(__xludf.DUMMYFUNCTION("""COMPUTED_VALUE"""),9.14)</f>
        <v>9.14</v>
      </c>
      <c r="D171" s="2" t="str">
        <f>IFERROR(__xludf.DUMMYFUNCTION("""COMPUTED_VALUE"""),"Ghalemdi")</f>
        <v>Ghalemdi</v>
      </c>
      <c r="E171" s="2">
        <f>IFERROR(__xludf.DUMMYFUNCTION("""COMPUTED_VALUE"""),409.0)</f>
        <v>409</v>
      </c>
      <c r="F171" s="3">
        <f>IFERROR(__xludf.DUMMYFUNCTION("""COMPUTED_VALUE"""),65853.0)</f>
        <v>65853</v>
      </c>
      <c r="G171" s="3">
        <f>IFERROR(__xludf.DUMMYFUNCTION("""COMPUTED_VALUE"""),78634.0)</f>
        <v>78634</v>
      </c>
      <c r="H171" s="2" t="str">
        <f>IFERROR(__xludf.DUMMYFUNCTION("""COMPUTED_VALUE"""),"Super Ghalemdi Hydropower Pvt. Ltd.")</f>
        <v>Super Ghalemdi Hydropower Pvt. Ltd.</v>
      </c>
      <c r="I171" s="2" t="str">
        <f>IFERROR(__xludf.DUMMYFUNCTION("""COMPUTED_VALUE"""),"Lalitpur 10")</f>
        <v>Lalitpur 10</v>
      </c>
      <c r="J171" s="2" t="str">
        <f>IFERROR(__xludf.DUMMYFUNCTION("""COMPUTED_VALUE"""),"28o 31' 30""")</f>
        <v>28o 31' 30"</v>
      </c>
      <c r="K171" s="2" t="str">
        <f>IFERROR(__xludf.DUMMYFUNCTION("""COMPUTED_VALUE"""),"28o 32' 45""")</f>
        <v>28o 32' 45"</v>
      </c>
      <c r="L171" s="2" t="str">
        <f>IFERROR(__xludf.DUMMYFUNCTION("""COMPUTED_VALUE"""),"83o 42' 00""")</f>
        <v>83o 42' 00"</v>
      </c>
      <c r="M171" s="2" t="str">
        <f>IFERROR(__xludf.DUMMYFUNCTION("""COMPUTED_VALUE"""),"83o 44' 22""")</f>
        <v>83o 44' 22"</v>
      </c>
      <c r="N171" s="2" t="str">
        <f>IFERROR(__xludf.DUMMYFUNCTION("""COMPUTED_VALUE"""),"Narchyang (Myagdi)")</f>
        <v>Narchyang (Myagdi)</v>
      </c>
    </row>
    <row r="172">
      <c r="A172" s="2">
        <f>IFERROR(__xludf.DUMMYFUNCTION("""COMPUTED_VALUE"""),171.0)</f>
        <v>171</v>
      </c>
      <c r="B172" s="2" t="str">
        <f>IFERROR(__xludf.DUMMYFUNCTION("""COMPUTED_VALUE"""),"Tatopani khola HEP")</f>
        <v>Tatopani khola HEP</v>
      </c>
      <c r="C172" s="2">
        <f>IFERROR(__xludf.DUMMYFUNCTION("""COMPUTED_VALUE"""),19.0)</f>
        <v>19</v>
      </c>
      <c r="D172" s="2" t="str">
        <f>IFERROR(__xludf.DUMMYFUNCTION("""COMPUTED_VALUE"""),"Tatopani(Ilep) Khola")</f>
        <v>Tatopani(Ilep) Khola</v>
      </c>
      <c r="E172" s="2">
        <f>IFERROR(__xludf.DUMMYFUNCTION("""COMPUTED_VALUE"""),410.0)</f>
        <v>410</v>
      </c>
      <c r="F172" s="3">
        <f>IFERROR(__xludf.DUMMYFUNCTION("""COMPUTED_VALUE"""),65861.0)</f>
        <v>65861</v>
      </c>
      <c r="G172" s="3">
        <f>IFERROR(__xludf.DUMMYFUNCTION("""COMPUTED_VALUE"""),78642.0)</f>
        <v>78642</v>
      </c>
      <c r="H172" s="2" t="str">
        <f>IFERROR(__xludf.DUMMYFUNCTION("""COMPUTED_VALUE"""),"Hanuman Hydropower Pvt. Ltd")</f>
        <v>Hanuman Hydropower Pvt. Ltd</v>
      </c>
      <c r="I172" s="2" t="str">
        <f>IFERROR(__xludf.DUMMYFUNCTION("""COMPUTED_VALUE"""),"Kathmandu 32 Anamnagar, Contact No. 01- 4265888, 9851085982")</f>
        <v>Kathmandu 32 Anamnagar, Contact No. 01- 4265888, 9851085982</v>
      </c>
      <c r="J172" s="2" t="str">
        <f>IFERROR(__xludf.DUMMYFUNCTION("""COMPUTED_VALUE"""),"28o 14' 05""")</f>
        <v>28o 14' 05"</v>
      </c>
      <c r="K172" s="2" t="str">
        <f>IFERROR(__xludf.DUMMYFUNCTION("""COMPUTED_VALUE"""),"28o 16' 50""")</f>
        <v>28o 16' 50"</v>
      </c>
      <c r="L172" s="2" t="str">
        <f>IFERROR(__xludf.DUMMYFUNCTION("""COMPUTED_VALUE"""),"85o 04' 00""")</f>
        <v>85o 04' 00"</v>
      </c>
      <c r="M172" s="2" t="str">
        <f>IFERROR(__xludf.DUMMYFUNCTION("""COMPUTED_VALUE"""),"85o 05' 55""")</f>
        <v>85o 05' 55"</v>
      </c>
      <c r="N172" s="2" t="str">
        <f>IFERROR(__xludf.DUMMYFUNCTION("""COMPUTED_VALUE"""),"Lapa,Sirtung (Dhading)")</f>
        <v>Lapa,Sirtung (Dhading)</v>
      </c>
    </row>
    <row r="173">
      <c r="A173" s="2">
        <f>IFERROR(__xludf.DUMMYFUNCTION("""COMPUTED_VALUE"""),172.0)</f>
        <v>172</v>
      </c>
      <c r="B173" s="2" t="str">
        <f>IFERROR(__xludf.DUMMYFUNCTION("""COMPUTED_VALUE"""),"Upper Bhurundi Khola- A Small HEP")</f>
        <v>Upper Bhurundi Khola- A Small HEP</v>
      </c>
      <c r="C173" s="2">
        <f>IFERROR(__xludf.DUMMYFUNCTION("""COMPUTED_VALUE"""),9.0)</f>
        <v>9</v>
      </c>
      <c r="D173" s="2" t="str">
        <f>IFERROR(__xludf.DUMMYFUNCTION("""COMPUTED_VALUE"""),"Bhurundi Khola")</f>
        <v>Bhurundi Khola</v>
      </c>
      <c r="E173" s="2">
        <f>IFERROR(__xludf.DUMMYFUNCTION("""COMPUTED_VALUE"""),412.0)</f>
        <v>412</v>
      </c>
      <c r="F173" s="3">
        <f>IFERROR(__xludf.DUMMYFUNCTION("""COMPUTED_VALUE"""),65878.0)</f>
        <v>65878</v>
      </c>
      <c r="G173" s="3">
        <f>IFERROR(__xludf.DUMMYFUNCTION("""COMPUTED_VALUE"""),78659.0)</f>
        <v>78659</v>
      </c>
      <c r="H173" s="2" t="str">
        <f>IFERROR(__xludf.DUMMYFUNCTION("""COMPUTED_VALUE"""),"Niko Energy Ltd.")</f>
        <v>Niko Energy Ltd.</v>
      </c>
      <c r="I173" s="2" t="str">
        <f>IFERROR(__xludf.DUMMYFUNCTION("""COMPUTED_VALUE"""),"KMC-30, Kathmandu, 01-5920215, 9849027852")</f>
        <v>KMC-30, Kathmandu, 01-5920215, 9849027852</v>
      </c>
      <c r="J173" s="2" t="str">
        <f>IFERROR(__xludf.DUMMYFUNCTION("""COMPUTED_VALUE"""),"28o 20' 31""")</f>
        <v>28o 20' 31"</v>
      </c>
      <c r="K173" s="2" t="str">
        <f>IFERROR(__xludf.DUMMYFUNCTION("""COMPUTED_VALUE"""),"28o 22' 17""")</f>
        <v>28o 22' 17"</v>
      </c>
      <c r="L173" s="2" t="str">
        <f>IFERROR(__xludf.DUMMYFUNCTION("""COMPUTED_VALUE"""),"83o 43' 10""")</f>
        <v>83o 43' 10"</v>
      </c>
      <c r="M173" s="2" t="str">
        <f>IFERROR(__xludf.DUMMYFUNCTION("""COMPUTED_VALUE"""),"83o 45' 00""")</f>
        <v>83o 45' 00"</v>
      </c>
      <c r="N173" s="2" t="str">
        <f>IFERROR(__xludf.DUMMYFUNCTION("""COMPUTED_VALUE"""),"Dangsing (Kaski)")</f>
        <v>Dangsing (Kaski)</v>
      </c>
    </row>
    <row r="174">
      <c r="A174" s="2">
        <f>IFERROR(__xludf.DUMMYFUNCTION("""COMPUTED_VALUE"""),173.0)</f>
        <v>173</v>
      </c>
      <c r="B174" s="2" t="str">
        <f>IFERROR(__xludf.DUMMYFUNCTION("""COMPUTED_VALUE"""),"Lapche- Tamakoshi HEP")</f>
        <v>Lapche- Tamakoshi HEP</v>
      </c>
      <c r="C174" s="2">
        <f>IFERROR(__xludf.DUMMYFUNCTION("""COMPUTED_VALUE"""),42.0)</f>
        <v>42</v>
      </c>
      <c r="D174" s="2" t="str">
        <f>IFERROR(__xludf.DUMMYFUNCTION("""COMPUTED_VALUE"""),"Lapche")</f>
        <v>Lapche</v>
      </c>
      <c r="E174" s="2">
        <f>IFERROR(__xludf.DUMMYFUNCTION("""COMPUTED_VALUE"""),413.0)</f>
        <v>413</v>
      </c>
      <c r="F174" s="3">
        <f>IFERROR(__xludf.DUMMYFUNCTION("""COMPUTED_VALUE"""),65911.0)</f>
        <v>65911</v>
      </c>
      <c r="G174" s="3">
        <f>IFERROR(__xludf.DUMMYFUNCTION("""COMPUTED_VALUE"""),78692.0)</f>
        <v>78692</v>
      </c>
      <c r="H174" s="2" t="str">
        <f>IFERROR(__xludf.DUMMYFUNCTION("""COMPUTED_VALUE"""),"Dynamic Hydro Energy Pvt. Ltd")</f>
        <v>Dynamic Hydro Energy Pvt. Ltd</v>
      </c>
      <c r="I174" s="2" t="str">
        <f>IFERROR(__xludf.DUMMYFUNCTION("""COMPUTED_VALUE"""),"Lazimpat, Kathmandu")</f>
        <v>Lazimpat, Kathmandu</v>
      </c>
      <c r="J174" s="2" t="str">
        <f>IFERROR(__xludf.DUMMYFUNCTION("""COMPUTED_VALUE"""),"27o 57' 13""")</f>
        <v>27o 57' 13"</v>
      </c>
      <c r="K174" s="2" t="str">
        <f>IFERROR(__xludf.DUMMYFUNCTION("""COMPUTED_VALUE"""),"27o 58' 51""")</f>
        <v>27o 58' 51"</v>
      </c>
      <c r="L174" s="2" t="str">
        <f>IFERROR(__xludf.DUMMYFUNCTION("""COMPUTED_VALUE"""),"86o 12' 25""")</f>
        <v>86o 12' 25"</v>
      </c>
      <c r="M174" s="2" t="str">
        <f>IFERROR(__xludf.DUMMYFUNCTION("""COMPUTED_VALUE"""),"86o 13' 30""")</f>
        <v>86o 13' 30"</v>
      </c>
      <c r="N174" s="2" t="str">
        <f>IFERROR(__xludf.DUMMYFUNCTION("""COMPUTED_VALUE"""),"Lamabagar (Dolakha)")</f>
        <v>Lamabagar (Dolakha)</v>
      </c>
    </row>
    <row r="175">
      <c r="A175" s="2">
        <f>IFERROR(__xludf.DUMMYFUNCTION("""COMPUTED_VALUE"""),174.0)</f>
        <v>174</v>
      </c>
      <c r="B175" s="2" t="str">
        <f>IFERROR(__xludf.DUMMYFUNCTION("""COMPUTED_VALUE"""),"Super Machha Khola HEP")</f>
        <v>Super Machha Khola HEP</v>
      </c>
      <c r="C175" s="2">
        <f>IFERROR(__xludf.DUMMYFUNCTION("""COMPUTED_VALUE"""),4.6)</f>
        <v>4.6</v>
      </c>
      <c r="D175" s="2" t="str">
        <f>IFERROR(__xludf.DUMMYFUNCTION("""COMPUTED_VALUE"""),"Machha Khola")</f>
        <v>Machha Khola</v>
      </c>
      <c r="E175" s="2">
        <f>IFERROR(__xludf.DUMMYFUNCTION("""COMPUTED_VALUE"""),414.0)</f>
        <v>414</v>
      </c>
      <c r="F175" s="3">
        <f>IFERROR(__xludf.DUMMYFUNCTION("""COMPUTED_VALUE"""),65915.0)</f>
        <v>65915</v>
      </c>
      <c r="G175" s="3">
        <f>IFERROR(__xludf.DUMMYFUNCTION("""COMPUTED_VALUE"""),78696.0)</f>
        <v>78696</v>
      </c>
      <c r="H175" s="2" t="str">
        <f>IFERROR(__xludf.DUMMYFUNCTION("""COMPUTED_VALUE"""),"Budhigandaki Hydropower Pvt. Ltd")</f>
        <v>Budhigandaki Hydropower Pvt. Ltd</v>
      </c>
      <c r="I175" s="2" t="str">
        <f>IFERROR(__xludf.DUMMYFUNCTION("""COMPUTED_VALUE"""),"Maharajgunj-3,Kathmandu, 9851073099,4545084")</f>
        <v>Maharajgunj-3,Kathmandu, 9851073099,4545084</v>
      </c>
      <c r="J175" s="2" t="str">
        <f>IFERROR(__xludf.DUMMYFUNCTION("""COMPUTED_VALUE"""),"28o 13' 26""")</f>
        <v>28o 13' 26"</v>
      </c>
      <c r="K175" s="2" t="str">
        <f>IFERROR(__xludf.DUMMYFUNCTION("""COMPUTED_VALUE"""),"28o 14' 20""")</f>
        <v>28o 14' 20"</v>
      </c>
      <c r="L175" s="2" t="str">
        <f>IFERROR(__xludf.DUMMYFUNCTION("""COMPUTED_VALUE"""),"84o 47' 21""")</f>
        <v>84o 47' 21"</v>
      </c>
      <c r="M175" s="2" t="str">
        <f>IFERROR(__xludf.DUMMYFUNCTION("""COMPUTED_VALUE"""),"84o 48' 48""")</f>
        <v>84o 48' 48"</v>
      </c>
      <c r="N175" s="2" t="str">
        <f>IFERROR(__xludf.DUMMYFUNCTION("""COMPUTED_VALUE"""),"Laprak (Gorkha)")</f>
        <v>Laprak (Gorkha)</v>
      </c>
    </row>
    <row r="176">
      <c r="A176" s="2">
        <f>IFERROR(__xludf.DUMMYFUNCTION("""COMPUTED_VALUE"""),175.0)</f>
        <v>175</v>
      </c>
      <c r="B176" s="2" t="str">
        <f>IFERROR(__xludf.DUMMYFUNCTION("""COMPUTED_VALUE"""),"Miwaje Khola HEP")</f>
        <v>Miwaje Khola HEP</v>
      </c>
      <c r="C176" s="2">
        <f>IFERROR(__xludf.DUMMYFUNCTION("""COMPUTED_VALUE"""),4.95)</f>
        <v>4.95</v>
      </c>
      <c r="D176" s="2" t="str">
        <f>IFERROR(__xludf.DUMMYFUNCTION("""COMPUTED_VALUE"""),"Miwaje")</f>
        <v>Miwaje</v>
      </c>
      <c r="E176" s="2">
        <f>IFERROR(__xludf.DUMMYFUNCTION("""COMPUTED_VALUE"""),415.0)</f>
        <v>415</v>
      </c>
      <c r="F176" s="3">
        <f>IFERROR(__xludf.DUMMYFUNCTION("""COMPUTED_VALUE"""),65923.0)</f>
        <v>65923</v>
      </c>
      <c r="G176" s="3">
        <f>IFERROR(__xludf.DUMMYFUNCTION("""COMPUTED_VALUE"""),78704.0)</f>
        <v>78704</v>
      </c>
      <c r="H176" s="2" t="str">
        <f>IFERROR(__xludf.DUMMYFUNCTION("""COMPUTED_VALUE"""),"Ma Durga Kali HYdropower Company Pvt. Ltd")</f>
        <v>Ma Durga Kali HYdropower Company Pvt. Ltd</v>
      </c>
      <c r="I176" s="2" t="str">
        <f>IFERROR(__xludf.DUMMYFUNCTION("""COMPUTED_VALUE"""),"Kupondole Lailtpur, 01-5520254, 5012027, fax: 01-5012066")</f>
        <v>Kupondole Lailtpur, 01-5520254, 5012027, fax: 01-5012066</v>
      </c>
      <c r="J176" s="2" t="str">
        <f>IFERROR(__xludf.DUMMYFUNCTION("""COMPUTED_VALUE"""),"28o 24' 32""")</f>
        <v>28o 24' 32"</v>
      </c>
      <c r="K176" s="2" t="str">
        <f>IFERROR(__xludf.DUMMYFUNCTION("""COMPUTED_VALUE"""),"28o 25' 14""")</f>
        <v>28o 25' 14"</v>
      </c>
      <c r="L176" s="2" t="str">
        <f>IFERROR(__xludf.DUMMYFUNCTION("""COMPUTED_VALUE"""),"83o 59' 45""")</f>
        <v>83o 59' 45"</v>
      </c>
      <c r="M176" s="2" t="str">
        <f>IFERROR(__xludf.DUMMYFUNCTION("""COMPUTED_VALUE"""),"84o 01' 10""")</f>
        <v>84o 01' 10"</v>
      </c>
      <c r="N176" s="2" t="str">
        <f>IFERROR(__xludf.DUMMYFUNCTION("""COMPUTED_VALUE"""),"Machhapuchchhre (Kaski)")</f>
        <v>Machhapuchchhre (Kaski)</v>
      </c>
    </row>
    <row r="177">
      <c r="A177" s="2">
        <f>IFERROR(__xludf.DUMMYFUNCTION("""COMPUTED_VALUE"""),176.0)</f>
        <v>176</v>
      </c>
      <c r="B177" s="2" t="str">
        <f>IFERROR(__xludf.DUMMYFUNCTION("""COMPUTED_VALUE"""),"Upper Sankhuwa Khola HEP")</f>
        <v>Upper Sankhuwa Khola HEP</v>
      </c>
      <c r="C177" s="2">
        <f>IFERROR(__xludf.DUMMYFUNCTION("""COMPUTED_VALUE"""),40.0)</f>
        <v>40</v>
      </c>
      <c r="D177" s="2" t="str">
        <f>IFERROR(__xludf.DUMMYFUNCTION("""COMPUTED_VALUE"""),"Sankhuwa")</f>
        <v>Sankhuwa</v>
      </c>
      <c r="E177" s="2">
        <f>IFERROR(__xludf.DUMMYFUNCTION("""COMPUTED_VALUE"""),416.0)</f>
        <v>416</v>
      </c>
      <c r="F177" s="3">
        <f>IFERROR(__xludf.DUMMYFUNCTION("""COMPUTED_VALUE"""),65927.0)</f>
        <v>65927</v>
      </c>
      <c r="G177" s="3">
        <f>IFERROR(__xludf.DUMMYFUNCTION("""COMPUTED_VALUE"""),78708.0)</f>
        <v>78708</v>
      </c>
      <c r="H177" s="2" t="str">
        <f>IFERROR(__xludf.DUMMYFUNCTION("""COMPUTED_VALUE"""),"Happy Energy Ltd")</f>
        <v>Happy Energy Ltd</v>
      </c>
      <c r="I177" s="2" t="str">
        <f>IFERROR(__xludf.DUMMYFUNCTION("""COMPUTED_VALUE"""),"Kathmandu, 9857031047")</f>
        <v>Kathmandu, 9857031047</v>
      </c>
      <c r="J177" s="2" t="str">
        <f>IFERROR(__xludf.DUMMYFUNCTION("""COMPUTED_VALUE"""),"27o 31' 50""")</f>
        <v>27o 31' 50"</v>
      </c>
      <c r="K177" s="2" t="str">
        <f>IFERROR(__xludf.DUMMYFUNCTION("""COMPUTED_VALUE"""),"27o 33' 33""")</f>
        <v>27o 33' 33"</v>
      </c>
      <c r="L177" s="2" t="str">
        <f>IFERROR(__xludf.DUMMYFUNCTION("""COMPUTED_VALUE"""),"87o 01' 04""")</f>
        <v>87o 01' 04"</v>
      </c>
      <c r="M177" s="2" t="str">
        <f>IFERROR(__xludf.DUMMYFUNCTION("""COMPUTED_VALUE"""),"87o 03' 58""")</f>
        <v>87o 03' 58"</v>
      </c>
      <c r="N177" s="2" t="str">
        <f>IFERROR(__xludf.DUMMYFUNCTION("""COMPUTED_VALUE"""),"Bala,Tamku (Sankhuwasabha)")</f>
        <v>Bala,Tamku (Sankhuwasabha)</v>
      </c>
    </row>
    <row r="178">
      <c r="A178" s="2">
        <f>IFERROR(__xludf.DUMMYFUNCTION("""COMPUTED_VALUE"""),177.0)</f>
        <v>177</v>
      </c>
      <c r="B178" s="2" t="str">
        <f>IFERROR(__xludf.DUMMYFUNCTION("""COMPUTED_VALUE"""),"Sinkos Khola HEP")</f>
        <v>Sinkos Khola HEP</v>
      </c>
      <c r="C178" s="2">
        <f>IFERROR(__xludf.DUMMYFUNCTION("""COMPUTED_VALUE"""),3.45)</f>
        <v>3.45</v>
      </c>
      <c r="D178" s="2" t="str">
        <f>IFERROR(__xludf.DUMMYFUNCTION("""COMPUTED_VALUE"""),"Sinkos Khola")</f>
        <v>Sinkos Khola</v>
      </c>
      <c r="E178" s="2">
        <f>IFERROR(__xludf.DUMMYFUNCTION("""COMPUTED_VALUE"""),417.0)</f>
        <v>417</v>
      </c>
      <c r="F178" s="3">
        <f>IFERROR(__xludf.DUMMYFUNCTION("""COMPUTED_VALUE"""),65966.0)</f>
        <v>65966</v>
      </c>
      <c r="G178" s="3">
        <f>IFERROR(__xludf.DUMMYFUNCTION("""COMPUTED_VALUE"""),78747.0)</f>
        <v>78747</v>
      </c>
      <c r="H178" s="2" t="str">
        <f>IFERROR(__xludf.DUMMYFUNCTION("""COMPUTED_VALUE"""),"Simkos Hydropower P.Ltd.")</f>
        <v>Simkos Hydropower P.Ltd.</v>
      </c>
      <c r="I178" s="2" t="str">
        <f>IFERROR(__xludf.DUMMYFUNCTION("""COMPUTED_VALUE"""),"KMC-14, Kalanki,Kathmandu, KMC-30,Samakhusi, Kathmandu")</f>
        <v>KMC-14, Kalanki,Kathmandu, KMC-30,Samakhusi, Kathmandu</v>
      </c>
      <c r="J178" s="2" t="str">
        <f>IFERROR(__xludf.DUMMYFUNCTION("""COMPUTED_VALUE"""),"28o 32' 49""")</f>
        <v>28o 32' 49"</v>
      </c>
      <c r="K178" s="2" t="str">
        <f>IFERROR(__xludf.DUMMYFUNCTION("""COMPUTED_VALUE"""),"28o 33' 50""")</f>
        <v>28o 33' 50"</v>
      </c>
      <c r="L178" s="2" t="str">
        <f>IFERROR(__xludf.DUMMYFUNCTION("""COMPUTED_VALUE"""),"83o 23' 29""")</f>
        <v>83o 23' 29"</v>
      </c>
      <c r="M178" s="2" t="str">
        <f>IFERROR(__xludf.DUMMYFUNCTION("""COMPUTED_VALUE"""),"83o 25' 10""")</f>
        <v>83o 25' 10"</v>
      </c>
      <c r="N178" s="2" t="str">
        <f>IFERROR(__xludf.DUMMYFUNCTION("""COMPUTED_VALUE"""),"Mudi (Myagdi)")</f>
        <v>Mudi (Myagdi)</v>
      </c>
    </row>
    <row r="179">
      <c r="A179" s="2">
        <f>IFERROR(__xludf.DUMMYFUNCTION("""COMPUTED_VALUE"""),178.0)</f>
        <v>178</v>
      </c>
      <c r="B179" s="2" t="str">
        <f>IFERROR(__xludf.DUMMYFUNCTION("""COMPUTED_VALUE"""),"Super Seti HPP")</f>
        <v>Super Seti HPP</v>
      </c>
      <c r="C179" s="2">
        <f>IFERROR(__xludf.DUMMYFUNCTION("""COMPUTED_VALUE"""),24.0)</f>
        <v>24</v>
      </c>
      <c r="D179" s="2" t="str">
        <f>IFERROR(__xludf.DUMMYFUNCTION("""COMPUTED_VALUE"""),"Seti Khola and Batase Khola")</f>
        <v>Seti Khola and Batase Khola</v>
      </c>
      <c r="E179" s="2">
        <f>IFERROR(__xludf.DUMMYFUNCTION("""COMPUTED_VALUE"""),418.0)</f>
        <v>418</v>
      </c>
      <c r="F179" s="3">
        <f>IFERROR(__xludf.DUMMYFUNCTION("""COMPUTED_VALUE"""),65990.0)</f>
        <v>65990</v>
      </c>
      <c r="G179" s="3">
        <f>IFERROR(__xludf.DUMMYFUNCTION("""COMPUTED_VALUE"""),78770.0)</f>
        <v>78770</v>
      </c>
      <c r="H179" s="2" t="str">
        <f>IFERROR(__xludf.DUMMYFUNCTION("""COMPUTED_VALUE"""),"S N Energy Ltd.")</f>
        <v>S N Energy Ltd.</v>
      </c>
      <c r="I179" s="2" t="str">
        <f>IFERROR(__xludf.DUMMYFUNCTION("""COMPUTED_VALUE"""),"Kupondole, Lalitpur, 01-6922762")</f>
        <v>Kupondole, Lalitpur, 01-6922762</v>
      </c>
      <c r="J179" s="2" t="str">
        <f>IFERROR(__xludf.DUMMYFUNCTION("""COMPUTED_VALUE"""),"28o 26' 16""")</f>
        <v>28o 26' 16"</v>
      </c>
      <c r="K179" s="2" t="str">
        <f>IFERROR(__xludf.DUMMYFUNCTION("""COMPUTED_VALUE"""),"28o 28' 05""")</f>
        <v>28o 28' 05"</v>
      </c>
      <c r="L179" s="2" t="str">
        <f>IFERROR(__xludf.DUMMYFUNCTION("""COMPUTED_VALUE"""),"83o 59' 45""")</f>
        <v>83o 59' 45"</v>
      </c>
      <c r="M179" s="2" t="str">
        <f>IFERROR(__xludf.DUMMYFUNCTION("""COMPUTED_VALUE"""),"84o 00' 38""")</f>
        <v>84o 00' 38"</v>
      </c>
      <c r="N179" s="2" t="str">
        <f>IFERROR(__xludf.DUMMYFUNCTION("""COMPUTED_VALUE"""),"Machhapuchchhre (Kaski)")</f>
        <v>Machhapuchchhre (Kaski)</v>
      </c>
    </row>
    <row r="180">
      <c r="A180" s="2">
        <f>IFERROR(__xludf.DUMMYFUNCTION("""COMPUTED_VALUE"""),179.0)</f>
        <v>179</v>
      </c>
      <c r="B180" s="2" t="str">
        <f>IFERROR(__xludf.DUMMYFUNCTION("""COMPUTED_VALUE"""),"Sabha Khola C HEP (Cascade)")</f>
        <v>Sabha Khola C HEP (Cascade)</v>
      </c>
      <c r="C180" s="2">
        <f>IFERROR(__xludf.DUMMYFUNCTION("""COMPUTED_VALUE"""),9.9)</f>
        <v>9.9</v>
      </c>
      <c r="D180" s="2" t="str">
        <f>IFERROR(__xludf.DUMMYFUNCTION("""COMPUTED_VALUE"""),"Sabha")</f>
        <v>Sabha</v>
      </c>
      <c r="E180" s="2">
        <f>IFERROR(__xludf.DUMMYFUNCTION("""COMPUTED_VALUE"""),419.0)</f>
        <v>419</v>
      </c>
      <c r="F180" s="3">
        <f>IFERROR(__xludf.DUMMYFUNCTION("""COMPUTED_VALUE"""),65990.0)</f>
        <v>65990</v>
      </c>
      <c r="G180" s="3">
        <f>IFERROR(__xludf.DUMMYFUNCTION("""COMPUTED_VALUE"""),78770.0)</f>
        <v>78770</v>
      </c>
      <c r="H180" s="2" t="str">
        <f>IFERROR(__xludf.DUMMYFUNCTION("""COMPUTED_VALUE"""),"Orbit Energy Private Limited")</f>
        <v>Orbit Energy Private Limited</v>
      </c>
      <c r="I180" s="2" t="str">
        <f>IFERROR(__xludf.DUMMYFUNCTION("""COMPUTED_VALUE"""),"Dillibazar, Kathmandu, 014438203, 4544309, 9801099637")</f>
        <v>Dillibazar, Kathmandu, 014438203, 4544309, 9801099637</v>
      </c>
      <c r="J180" s="2" t="str">
        <f>IFERROR(__xludf.DUMMYFUNCTION("""COMPUTED_VALUE"""),"27o 25' 38""")</f>
        <v>27o 25' 38"</v>
      </c>
      <c r="K180" s="2" t="str">
        <f>IFERROR(__xludf.DUMMYFUNCTION("""COMPUTED_VALUE"""),"27o 26' 13""")</f>
        <v>27o 26' 13"</v>
      </c>
      <c r="L180" s="2" t="str">
        <f>IFERROR(__xludf.DUMMYFUNCTION("""COMPUTED_VALUE"""),"87o 18' 44""")</f>
        <v>87o 18' 44"</v>
      </c>
      <c r="M180" s="2" t="str">
        <f>IFERROR(__xludf.DUMMYFUNCTION("""COMPUTED_VALUE"""),"87o 19' 43""")</f>
        <v>87o 19' 43"</v>
      </c>
      <c r="N180" s="2" t="str">
        <f>IFERROR(__xludf.DUMMYFUNCTION("""COMPUTED_VALUE"""),"Sabha Pokhari,Bahrabise Bazar (Sankhuwasabha)")</f>
        <v>Sabha Pokhari,Bahrabise Bazar (Sankhuwasabha)</v>
      </c>
    </row>
    <row r="181">
      <c r="A181" s="2">
        <f>IFERROR(__xludf.DUMMYFUNCTION("""COMPUTED_VALUE"""),180.0)</f>
        <v>180</v>
      </c>
      <c r="B181" s="2" t="str">
        <f>IFERROR(__xludf.DUMMYFUNCTION("""COMPUTED_VALUE"""),"Budhi Gandaki HEP")</f>
        <v>Budhi Gandaki HEP</v>
      </c>
      <c r="C181" s="2">
        <f>IFERROR(__xludf.DUMMYFUNCTION("""COMPUTED_VALUE"""),341.0)</f>
        <v>341</v>
      </c>
      <c r="D181" s="2" t="str">
        <f>IFERROR(__xludf.DUMMYFUNCTION("""COMPUTED_VALUE"""),"Budhi Gandaki")</f>
        <v>Budhi Gandaki</v>
      </c>
      <c r="E181" s="2">
        <f>IFERROR(__xludf.DUMMYFUNCTION("""COMPUTED_VALUE"""),420.0)</f>
        <v>420</v>
      </c>
      <c r="F181" s="3">
        <f>IFERROR(__xludf.DUMMYFUNCTION("""COMPUTED_VALUE"""),65994.0)</f>
        <v>65994</v>
      </c>
      <c r="G181" s="3">
        <f>IFERROR(__xludf.DUMMYFUNCTION("""COMPUTED_VALUE"""),78775.0)</f>
        <v>78775</v>
      </c>
      <c r="H181" s="2" t="str">
        <f>IFERROR(__xludf.DUMMYFUNCTION("""COMPUTED_VALUE"""),"Times Enery Pvt. Ltd")</f>
        <v>Times Enery Pvt. Ltd</v>
      </c>
      <c r="I181" s="2" t="str">
        <f>IFERROR(__xludf.DUMMYFUNCTION("""COMPUTED_VALUE"""),"Baneswor Kathmandu, 01-4460606, 9851024986")</f>
        <v>Baneswor Kathmandu, 01-4460606, 9851024986</v>
      </c>
      <c r="J181" s="2" t="str">
        <f>IFERROR(__xludf.DUMMYFUNCTION("""COMPUTED_VALUE"""),"28o 17' 00""")</f>
        <v>28o 17' 00"</v>
      </c>
      <c r="K181" s="2" t="str">
        <f>IFERROR(__xludf.DUMMYFUNCTION("""COMPUTED_VALUE"""),"28o 22' 00""")</f>
        <v>28o 22' 00"</v>
      </c>
      <c r="L181" s="2" t="str">
        <f>IFERROR(__xludf.DUMMYFUNCTION("""COMPUTED_VALUE"""),"84o 52' 40""")</f>
        <v>84o 52' 40"</v>
      </c>
      <c r="M181" s="2" t="str">
        <f>IFERROR(__xludf.DUMMYFUNCTION("""COMPUTED_VALUE"""),"84o 55' 15""")</f>
        <v>84o 55' 15"</v>
      </c>
      <c r="N181" s="2" t="str">
        <f>IFERROR(__xludf.DUMMYFUNCTION("""COMPUTED_VALUE"""),"Kerauja,Sirdibas,Uiya (Gorkha)")</f>
        <v>Kerauja,Sirdibas,Uiya (Gorkha)</v>
      </c>
    </row>
    <row r="182">
      <c r="A182" s="2">
        <f>IFERROR(__xludf.DUMMYFUNCTION("""COMPUTED_VALUE"""),181.0)</f>
        <v>181</v>
      </c>
      <c r="B182" s="2" t="str">
        <f>IFERROR(__xludf.DUMMYFUNCTION("""COMPUTED_VALUE"""),"Thuligad Khola Small PRoR HEP")</f>
        <v>Thuligad Khola Small PRoR HEP</v>
      </c>
      <c r="C182" s="2">
        <f>IFERROR(__xludf.DUMMYFUNCTION("""COMPUTED_VALUE"""),17.0)</f>
        <v>17</v>
      </c>
      <c r="D182" s="2" t="str">
        <f>IFERROR(__xludf.DUMMYFUNCTION("""COMPUTED_VALUE"""),"Thuli Gad")</f>
        <v>Thuli Gad</v>
      </c>
      <c r="E182" s="2">
        <f>IFERROR(__xludf.DUMMYFUNCTION("""COMPUTED_VALUE"""),421.0)</f>
        <v>421</v>
      </c>
      <c r="F182" s="3">
        <f>IFERROR(__xludf.DUMMYFUNCTION("""COMPUTED_VALUE"""),66000.0)</f>
        <v>66000</v>
      </c>
      <c r="G182" s="3">
        <f>IFERROR(__xludf.DUMMYFUNCTION("""COMPUTED_VALUE"""),78781.0)</f>
        <v>78781</v>
      </c>
      <c r="H182" s="2" t="str">
        <f>IFERROR(__xludf.DUMMYFUNCTION("""COMPUTED_VALUE"""),"Om Power Company Pvt.Ltd.")</f>
        <v>Om Power Company Pvt.Ltd.</v>
      </c>
      <c r="I182" s="2" t="str">
        <f>IFERROR(__xludf.DUMMYFUNCTION("""COMPUTED_VALUE"""),"Chandragiri Municipality-12, Satungal Kathmandu Paresh Dahal, phone no 
4316325")</f>
        <v>Chandragiri Municipality-12, Satungal Kathmandu Paresh Dahal, phone no 
4316325</v>
      </c>
      <c r="J182" s="2" t="str">
        <f>IFERROR(__xludf.DUMMYFUNCTION("""COMPUTED_VALUE"""),"28o 55' 50""")</f>
        <v>28o 55' 50"</v>
      </c>
      <c r="K182" s="2" t="str">
        <f>IFERROR(__xludf.DUMMYFUNCTION("""COMPUTED_VALUE"""),"28o 58' 47""")</f>
        <v>28o 58' 47"</v>
      </c>
      <c r="L182" s="2" t="str">
        <f>IFERROR(__xludf.DUMMYFUNCTION("""COMPUTED_VALUE"""),"80o 47' 41""")</f>
        <v>80o 47' 41"</v>
      </c>
      <c r="M182" s="2" t="str">
        <f>IFERROR(__xludf.DUMMYFUNCTION("""COMPUTED_VALUE"""),"80o 51' 22""")</f>
        <v>80o 51' 22"</v>
      </c>
      <c r="N182" s="2" t="str">
        <f>IFERROR(__xludf.DUMMYFUNCTION("""COMPUTED_VALUE"""),"Barchhen (Doti) Nigali (Kailali)")</f>
        <v>Barchhen (Doti) Nigali (Kailali)</v>
      </c>
    </row>
    <row r="183">
      <c r="A183" s="2">
        <f>IFERROR(__xludf.DUMMYFUNCTION("""COMPUTED_VALUE"""),182.0)</f>
        <v>182</v>
      </c>
      <c r="B183" s="2" t="str">
        <f>IFERROR(__xludf.DUMMYFUNCTION("""COMPUTED_VALUE"""),"Syano Khola HEP")</f>
        <v>Syano Khola HEP</v>
      </c>
      <c r="C183" s="2">
        <f>IFERROR(__xludf.DUMMYFUNCTION("""COMPUTED_VALUE"""),4.75)</f>
        <v>4.75</v>
      </c>
      <c r="D183" s="2" t="str">
        <f>IFERROR(__xludf.DUMMYFUNCTION("""COMPUTED_VALUE"""),"Syano Khola")</f>
        <v>Syano Khola</v>
      </c>
      <c r="E183" s="2">
        <f>IFERROR(__xludf.DUMMYFUNCTION("""COMPUTED_VALUE"""),422.0)</f>
        <v>422</v>
      </c>
      <c r="F183" s="3">
        <f>IFERROR(__xludf.DUMMYFUNCTION("""COMPUTED_VALUE"""),66007.0)</f>
        <v>66007</v>
      </c>
      <c r="G183" s="3">
        <f>IFERROR(__xludf.DUMMYFUNCTION("""COMPUTED_VALUE"""),78788.0)</f>
        <v>78788</v>
      </c>
      <c r="H183" s="2" t="str">
        <f>IFERROR(__xludf.DUMMYFUNCTION("""COMPUTED_VALUE"""),"Karnali Jalashrot Limited")</f>
        <v>Karnali Jalashrot Limited</v>
      </c>
      <c r="I183" s="2" t="str">
        <f>IFERROR(__xludf.DUMMYFUNCTION("""COMPUTED_VALUE"""),"Anamnagar-32, Kathmandu")</f>
        <v>Anamnagar-32, Kathmandu</v>
      </c>
      <c r="J183" s="2" t="str">
        <f>IFERROR(__xludf.DUMMYFUNCTION("""COMPUTED_VALUE"""),"28o 31' 50""")</f>
        <v>28o 31' 50"</v>
      </c>
      <c r="K183" s="2" t="str">
        <f>IFERROR(__xludf.DUMMYFUNCTION("""COMPUTED_VALUE"""),"28o 33' 15""")</f>
        <v>28o 33' 15"</v>
      </c>
      <c r="L183" s="2" t="str">
        <f>IFERROR(__xludf.DUMMYFUNCTION("""COMPUTED_VALUE"""),"83o 29' 50""")</f>
        <v>83o 29' 50"</v>
      </c>
      <c r="M183" s="2" t="str">
        <f>IFERROR(__xludf.DUMMYFUNCTION("""COMPUTED_VALUE"""),"83o 30' 53""")</f>
        <v>83o 30' 53"</v>
      </c>
      <c r="N183" s="2" t="str">
        <f>IFERROR(__xludf.DUMMYFUNCTION("""COMPUTED_VALUE"""),"Kuinemangale (Myagdi)")</f>
        <v>Kuinemangale (Myagdi)</v>
      </c>
    </row>
    <row r="184">
      <c r="A184" s="2">
        <f>IFERROR(__xludf.DUMMYFUNCTION("""COMPUTED_VALUE"""),183.0)</f>
        <v>183</v>
      </c>
      <c r="B184" s="2" t="str">
        <f>IFERROR(__xludf.DUMMYFUNCTION("""COMPUTED_VALUE"""),"Pikhuwa Pashupati HEP")</f>
        <v>Pikhuwa Pashupati HEP</v>
      </c>
      <c r="C184" s="2">
        <f>IFERROR(__xludf.DUMMYFUNCTION("""COMPUTED_VALUE"""),4.1)</f>
        <v>4.1</v>
      </c>
      <c r="D184" s="2" t="str">
        <f>IFERROR(__xludf.DUMMYFUNCTION("""COMPUTED_VALUE"""),"Pikhuwa")</f>
        <v>Pikhuwa</v>
      </c>
      <c r="E184" s="2">
        <f>IFERROR(__xludf.DUMMYFUNCTION("""COMPUTED_VALUE"""),423.0)</f>
        <v>423</v>
      </c>
      <c r="F184" s="3">
        <f>IFERROR(__xludf.DUMMYFUNCTION("""COMPUTED_VALUE"""),66013.0)</f>
        <v>66013</v>
      </c>
      <c r="G184" s="3">
        <f>IFERROR(__xludf.DUMMYFUNCTION("""COMPUTED_VALUE"""),78794.0)</f>
        <v>78794</v>
      </c>
      <c r="H184" s="2" t="str">
        <f>IFERROR(__xludf.DUMMYFUNCTION("""COMPUTED_VALUE"""),"Sumnima Hydropower Company Pvt. Ltd.")</f>
        <v>Sumnima Hydropower Company Pvt. Ltd.</v>
      </c>
      <c r="I184" s="2" t="str">
        <f>IFERROR(__xludf.DUMMYFUNCTION("""COMPUTED_VALUE"""),"Hulak Yol Marga Kathmandu-14, Dhan Raj Rai 9851097087, Sashi Sharma 
BHandari -9851140280")</f>
        <v>Hulak Yol Marga Kathmandu-14, Dhan Raj Rai 9851097087, Sashi Sharma 
BHandari -9851140280</v>
      </c>
      <c r="J184" s="2" t="str">
        <f>IFERROR(__xludf.DUMMYFUNCTION("""COMPUTED_VALUE"""),"27o 12' 08""")</f>
        <v>27o 12' 08"</v>
      </c>
      <c r="K184" s="2" t="str">
        <f>IFERROR(__xludf.DUMMYFUNCTION("""COMPUTED_VALUE"""),"27o 13' 27""")</f>
        <v>27o 13' 27"</v>
      </c>
      <c r="L184" s="2" t="str">
        <f>IFERROR(__xludf.DUMMYFUNCTION("""COMPUTED_VALUE"""),"86o 59' 00""")</f>
        <v>86o 59' 00"</v>
      </c>
      <c r="M184" s="2" t="str">
        <f>IFERROR(__xludf.DUMMYFUNCTION("""COMPUTED_VALUE"""),"87o 00' 00""")</f>
        <v>87o 00' 00"</v>
      </c>
      <c r="N184" s="2" t="str">
        <f>IFERROR(__xludf.DUMMYFUNCTION("""COMPUTED_VALUE"""),"Annapurna,Chhinamukh,Gupteshwor (Bhojpur)")</f>
        <v>Annapurna,Chhinamukh,Gupteshwor (Bhojpur)</v>
      </c>
    </row>
    <row r="185">
      <c r="A185" s="2">
        <f>IFERROR(__xludf.DUMMYFUNCTION("""COMPUTED_VALUE"""),184.0)</f>
        <v>184</v>
      </c>
      <c r="B185" s="2" t="str">
        <f>IFERROR(__xludf.DUMMYFUNCTION("""COMPUTED_VALUE"""),"Jagdulla HEP")</f>
        <v>Jagdulla HEP</v>
      </c>
      <c r="C185" s="2">
        <f>IFERROR(__xludf.DUMMYFUNCTION("""COMPUTED_VALUE"""),106.0)</f>
        <v>106</v>
      </c>
      <c r="D185" s="2" t="str">
        <f>IFERROR(__xludf.DUMMYFUNCTION("""COMPUTED_VALUE"""),"Bheri")</f>
        <v>Bheri</v>
      </c>
      <c r="E185" s="2">
        <f>IFERROR(__xludf.DUMMYFUNCTION("""COMPUTED_VALUE"""),424.0)</f>
        <v>424</v>
      </c>
      <c r="F185" s="3">
        <f>IFERROR(__xludf.DUMMYFUNCTION("""COMPUTED_VALUE"""),66014.0)</f>
        <v>66014</v>
      </c>
      <c r="G185" s="3">
        <f>IFERROR(__xludf.DUMMYFUNCTION("""COMPUTED_VALUE"""),78795.0)</f>
        <v>78795</v>
      </c>
      <c r="H185" s="2" t="str">
        <f>IFERROR(__xludf.DUMMYFUNCTION("""COMPUTED_VALUE"""),"Jagdulla HydropowerCompany Limited")</f>
        <v>Jagdulla HydropowerCompany Limited</v>
      </c>
      <c r="I185" s="2" t="str">
        <f>IFERROR(__xludf.DUMMYFUNCTION("""COMPUTED_VALUE"""),"BPC Building 01-4788680")</f>
        <v>BPC Building 01-4788680</v>
      </c>
      <c r="J185" s="2" t="str">
        <f>IFERROR(__xludf.DUMMYFUNCTION("""COMPUTED_VALUE"""),"29o 03' 16""")</f>
        <v>29o 03' 16"</v>
      </c>
      <c r="K185" s="2" t="str">
        <f>IFERROR(__xludf.DUMMYFUNCTION("""COMPUTED_VALUE"""),"29o 07' 53""")</f>
        <v>29o 07' 53"</v>
      </c>
      <c r="L185" s="2" t="str">
        <f>IFERROR(__xludf.DUMMYFUNCTION("""COMPUTED_VALUE"""),"82o 29' 00""")</f>
        <v>82o 29' 00"</v>
      </c>
      <c r="M185" s="2" t="str">
        <f>IFERROR(__xludf.DUMMYFUNCTION("""COMPUTED_VALUE"""),"82o 38' 00""")</f>
        <v>82o 38' 00"</v>
      </c>
      <c r="N185" s="2" t="str">
        <f>IFERROR(__xludf.DUMMYFUNCTION("""COMPUTED_VALUE"""),"Narku,Kaigaun (Dolpa) Bhagawati Tol (Jajarkot)")</f>
        <v>Narku,Kaigaun (Dolpa) Bhagawati Tol (Jajarkot)</v>
      </c>
    </row>
    <row r="186">
      <c r="A186" s="2">
        <f>IFERROR(__xludf.DUMMYFUNCTION("""COMPUTED_VALUE"""),185.0)</f>
        <v>185</v>
      </c>
      <c r="B186" s="2" t="str">
        <f>IFERROR(__xludf.DUMMYFUNCTION("""COMPUTED_VALUE"""),"Budhi Gandaki Kha")</f>
        <v>Budhi Gandaki Kha</v>
      </c>
      <c r="C186" s="2">
        <f>IFERROR(__xludf.DUMMYFUNCTION("""COMPUTED_VALUE"""),260.0)</f>
        <v>260</v>
      </c>
      <c r="D186" s="2" t="str">
        <f>IFERROR(__xludf.DUMMYFUNCTION("""COMPUTED_VALUE"""),"Budhi Gandaki")</f>
        <v>Budhi Gandaki</v>
      </c>
      <c r="E186" s="2">
        <f>IFERROR(__xludf.DUMMYFUNCTION("""COMPUTED_VALUE"""),425.0)</f>
        <v>425</v>
      </c>
      <c r="F186" s="3">
        <f>IFERROR(__xludf.DUMMYFUNCTION("""COMPUTED_VALUE"""),66014.0)</f>
        <v>66014</v>
      </c>
      <c r="G186" s="3">
        <f>IFERROR(__xludf.DUMMYFUNCTION("""COMPUTED_VALUE"""),78795.0)</f>
        <v>78795</v>
      </c>
      <c r="H186" s="2" t="str">
        <f>IFERROR(__xludf.DUMMYFUNCTION("""COMPUTED_VALUE"""),"Naulo Nepal Hydroelectric Pvt. Ltd.")</f>
        <v>Naulo Nepal Hydroelectric Pvt. Ltd.</v>
      </c>
      <c r="I186" s="2" t="str">
        <f>IFERROR(__xludf.DUMMYFUNCTION("""COMPUTED_VALUE"""),"Panipokhari, Maharajganj, Ward no. 3, Kathmandu, 9851099051")</f>
        <v>Panipokhari, Maharajganj, Ward no. 3, Kathmandu, 9851099051</v>
      </c>
      <c r="J186" s="2" t="str">
        <f>IFERROR(__xludf.DUMMYFUNCTION("""COMPUTED_VALUE"""),"28o 07' 30""")</f>
        <v>28o 07' 30"</v>
      </c>
      <c r="K186" s="2" t="str">
        <f>IFERROR(__xludf.DUMMYFUNCTION("""COMPUTED_VALUE"""),"28o 13' 46""")</f>
        <v>28o 13' 46"</v>
      </c>
      <c r="L186" s="2" t="str">
        <f>IFERROR(__xludf.DUMMYFUNCTION("""COMPUTED_VALUE"""),"84o 50' 30""")</f>
        <v>84o 50' 30"</v>
      </c>
      <c r="M186" s="2" t="str">
        <f>IFERROR(__xludf.DUMMYFUNCTION("""COMPUTED_VALUE"""),"84o 53' 30""")</f>
        <v>84o 53' 30"</v>
      </c>
      <c r="N186" s="2" t="str">
        <f>IFERROR(__xludf.DUMMYFUNCTION("""COMPUTED_VALUE"""),"Kashigaun,Lapu,Thumi,Gumda,Manbu,Kerauja (Gorkha)")</f>
        <v>Kashigaun,Lapu,Thumi,Gumda,Manbu,Kerauja (Gorkha)</v>
      </c>
    </row>
    <row r="187">
      <c r="A187" s="2">
        <f>IFERROR(__xludf.DUMMYFUNCTION("""COMPUTED_VALUE"""),186.0)</f>
        <v>186</v>
      </c>
      <c r="B187" s="2" t="str">
        <f>IFERROR(__xludf.DUMMYFUNCTION("""COMPUTED_VALUE"""),"Budhi Gandaki Ka")</f>
        <v>Budhi Gandaki Ka</v>
      </c>
      <c r="C187" s="2">
        <f>IFERROR(__xludf.DUMMYFUNCTION("""COMPUTED_VALUE"""),130.0)</f>
        <v>130</v>
      </c>
      <c r="D187" s="2" t="str">
        <f>IFERROR(__xludf.DUMMYFUNCTION("""COMPUTED_VALUE"""),"Budhi Gandaki")</f>
        <v>Budhi Gandaki</v>
      </c>
      <c r="E187" s="2">
        <f>IFERROR(__xludf.DUMMYFUNCTION("""COMPUTED_VALUE"""),426.0)</f>
        <v>426</v>
      </c>
      <c r="F187" s="3">
        <f>IFERROR(__xludf.DUMMYFUNCTION("""COMPUTED_VALUE"""),66027.0)</f>
        <v>66027</v>
      </c>
      <c r="G187" s="3">
        <f>IFERROR(__xludf.DUMMYFUNCTION("""COMPUTED_VALUE"""),78808.0)</f>
        <v>78808</v>
      </c>
      <c r="H187" s="2" t="str">
        <f>IFERROR(__xludf.DUMMYFUNCTION("""COMPUTED_VALUE"""),"Naulo Nepal Hydroelectric Pvt. Ltd.")</f>
        <v>Naulo Nepal Hydroelectric Pvt. Ltd.</v>
      </c>
      <c r="I187" s="2" t="str">
        <f>IFERROR(__xludf.DUMMYFUNCTION("""COMPUTED_VALUE"""),"Kathmandu")</f>
        <v>Kathmandu</v>
      </c>
      <c r="J187" s="2" t="str">
        <f>IFERROR(__xludf.DUMMYFUNCTION("""COMPUTED_VALUE"""),"28o 13' 46""")</f>
        <v>28o 13' 46"</v>
      </c>
      <c r="K187" s="2" t="str">
        <f>IFERROR(__xludf.DUMMYFUNCTION("""COMPUTED_VALUE"""),"28o 16' 55""")</f>
        <v>28o 16' 55"</v>
      </c>
      <c r="L187" s="2" t="str">
        <f>IFERROR(__xludf.DUMMYFUNCTION("""COMPUTED_VALUE"""),"84o 52' 00""")</f>
        <v>84o 52' 00"</v>
      </c>
      <c r="M187" s="2" t="str">
        <f>IFERROR(__xludf.DUMMYFUNCTION("""COMPUTED_VALUE"""),"84o 54' 30""")</f>
        <v>84o 54' 30"</v>
      </c>
      <c r="N187" s="2" t="str">
        <f>IFERROR(__xludf.DUMMYFUNCTION("""COMPUTED_VALUE"""),"(Gorkha)")</f>
        <v>(Gorkha)</v>
      </c>
    </row>
    <row r="188">
      <c r="A188" s="2">
        <f>IFERROR(__xludf.DUMMYFUNCTION("""COMPUTED_VALUE"""),187.0)</f>
        <v>187</v>
      </c>
      <c r="B188" s="2" t="str">
        <f>IFERROR(__xludf.DUMMYFUNCTION("""COMPUTED_VALUE"""),"Upper Junbesi Khola HEP")</f>
        <v>Upper Junbesi Khola HEP</v>
      </c>
      <c r="C188" s="2">
        <f>IFERROR(__xludf.DUMMYFUNCTION("""COMPUTED_VALUE"""),5.875)</f>
        <v>5.875</v>
      </c>
      <c r="D188" s="2" t="str">
        <f>IFERROR(__xludf.DUMMYFUNCTION("""COMPUTED_VALUE"""),"Junbeshi")</f>
        <v>Junbeshi</v>
      </c>
      <c r="E188" s="2">
        <f>IFERROR(__xludf.DUMMYFUNCTION("""COMPUTED_VALUE"""),427.0)</f>
        <v>427</v>
      </c>
      <c r="F188" s="3">
        <f>IFERROR(__xludf.DUMMYFUNCTION("""COMPUTED_VALUE"""),66027.0)</f>
        <v>66027</v>
      </c>
      <c r="G188" s="3">
        <f>IFERROR(__xludf.DUMMYFUNCTION("""COMPUTED_VALUE"""),78808.0)</f>
        <v>78808</v>
      </c>
      <c r="H188" s="2" t="str">
        <f>IFERROR(__xludf.DUMMYFUNCTION("""COMPUTED_VALUE"""),"Gurkhas Himalayan Hydro Pvt. Ltd.")</f>
        <v>Gurkhas Himalayan Hydro Pvt. Ltd.</v>
      </c>
      <c r="I188" s="2" t="str">
        <f>IFERROR(__xludf.DUMMYFUNCTION("""COMPUTED_VALUE"""),"Minbhawan, Kathmandu, Contact No.9851114505")</f>
        <v>Minbhawan, Kathmandu, Contact No.9851114505</v>
      </c>
      <c r="J188" s="2" t="str">
        <f>IFERROR(__xludf.DUMMYFUNCTION("""COMPUTED_VALUE"""),"27o 35' 27""")</f>
        <v>27o 35' 27"</v>
      </c>
      <c r="K188" s="2" t="str">
        <f>IFERROR(__xludf.DUMMYFUNCTION("""COMPUTED_VALUE"""),"27o 36' 40""")</f>
        <v>27o 36' 40"</v>
      </c>
      <c r="L188" s="2" t="str">
        <f>IFERROR(__xludf.DUMMYFUNCTION("""COMPUTED_VALUE"""),"86o 32' 00""")</f>
        <v>86o 32' 00"</v>
      </c>
      <c r="M188" s="2" t="str">
        <f>IFERROR(__xludf.DUMMYFUNCTION("""COMPUTED_VALUE"""),"86o 33' 24""")</f>
        <v>86o 33' 24"</v>
      </c>
      <c r="N188" s="2" t="str">
        <f>IFERROR(__xludf.DUMMYFUNCTION("""COMPUTED_VALUE"""),"Salleri (Solukhumbu)")</f>
        <v>Salleri (Solukhumbu)</v>
      </c>
    </row>
    <row r="189">
      <c r="A189" s="2">
        <f>IFERROR(__xludf.DUMMYFUNCTION("""COMPUTED_VALUE"""),188.0)</f>
        <v>188</v>
      </c>
      <c r="B189" s="2" t="str">
        <f>IFERROR(__xludf.DUMMYFUNCTION("""COMPUTED_VALUE"""),"Machhe Khola HEP")</f>
        <v>Machhe Khola HEP</v>
      </c>
      <c r="C189" s="2">
        <f>IFERROR(__xludf.DUMMYFUNCTION("""COMPUTED_VALUE"""),16.0)</f>
        <v>16</v>
      </c>
      <c r="D189" s="2" t="str">
        <f>IFERROR(__xludf.DUMMYFUNCTION("""COMPUTED_VALUE"""),"Machha Khola")</f>
        <v>Machha Khola</v>
      </c>
      <c r="E189" s="2">
        <f>IFERROR(__xludf.DUMMYFUNCTION("""COMPUTED_VALUE"""),428.0)</f>
        <v>428</v>
      </c>
      <c r="F189" s="3">
        <f>IFERROR(__xludf.DUMMYFUNCTION("""COMPUTED_VALUE"""),66054.0)</f>
        <v>66054</v>
      </c>
      <c r="G189" s="3">
        <f>IFERROR(__xludf.DUMMYFUNCTION("""COMPUTED_VALUE"""),78835.0)</f>
        <v>78835</v>
      </c>
      <c r="H189" s="2" t="str">
        <f>IFERROR(__xludf.DUMMYFUNCTION("""COMPUTED_VALUE"""),"Water Energy Development Pvt. Ltd.")</f>
        <v>Water Energy Development Pvt. Ltd.</v>
      </c>
      <c r="I189" s="2" t="str">
        <f>IFERROR(__xludf.DUMMYFUNCTION("""COMPUTED_VALUE"""),"Baluwatar 4, Kathmandu. Contact No. 4430050")</f>
        <v>Baluwatar 4, Kathmandu. Contact No. 4430050</v>
      </c>
      <c r="J189" s="2" t="str">
        <f>IFERROR(__xludf.DUMMYFUNCTION("""COMPUTED_VALUE"""),"28o 12' 19""")</f>
        <v>28o 12' 19"</v>
      </c>
      <c r="K189" s="2" t="str">
        <f>IFERROR(__xludf.DUMMYFUNCTION("""COMPUTED_VALUE"""),"28o 14' 30""")</f>
        <v>28o 14' 30"</v>
      </c>
      <c r="L189" s="2" t="str">
        <f>IFERROR(__xludf.DUMMYFUNCTION("""COMPUTED_VALUE"""),"84o 49' 30""")</f>
        <v>84o 49' 30"</v>
      </c>
      <c r="M189" s="2" t="str">
        <f>IFERROR(__xludf.DUMMYFUNCTION("""COMPUTED_VALUE"""),"84o 52' 05""")</f>
        <v>84o 52' 05"</v>
      </c>
      <c r="N189" s="2" t="str">
        <f>IFERROR(__xludf.DUMMYFUNCTION("""COMPUTED_VALUE"""),"Lapu,Gumda,Uiya (Gorkha)")</f>
        <v>Lapu,Gumda,Uiya (Gorkha)</v>
      </c>
    </row>
    <row r="190">
      <c r="A190" s="2">
        <f>IFERROR(__xludf.DUMMYFUNCTION("""COMPUTED_VALUE"""),189.0)</f>
        <v>189</v>
      </c>
      <c r="B190" s="2" t="str">
        <f>IFERROR(__xludf.DUMMYFUNCTION("""COMPUTED_VALUE"""),"Dobhan Khola HEP")</f>
        <v>Dobhan Khola HEP</v>
      </c>
      <c r="C190" s="2">
        <f>IFERROR(__xludf.DUMMYFUNCTION("""COMPUTED_VALUE"""),24.5)</f>
        <v>24.5</v>
      </c>
      <c r="D190" s="2" t="str">
        <f>IFERROR(__xludf.DUMMYFUNCTION("""COMPUTED_VALUE"""),"Dobhan Khola")</f>
        <v>Dobhan Khola</v>
      </c>
      <c r="E190" s="2">
        <f>IFERROR(__xludf.DUMMYFUNCTION("""COMPUTED_VALUE"""),429.0)</f>
        <v>429</v>
      </c>
      <c r="F190" s="3">
        <f>IFERROR(__xludf.DUMMYFUNCTION("""COMPUTED_VALUE"""),66085.0)</f>
        <v>66085</v>
      </c>
      <c r="G190" s="3">
        <f>IFERROR(__xludf.DUMMYFUNCTION("""COMPUTED_VALUE"""),78866.0)</f>
        <v>78866</v>
      </c>
      <c r="H190" s="2" t="str">
        <f>IFERROR(__xludf.DUMMYFUNCTION("""COMPUTED_VALUE"""),"Dobhan Khola Hydropower Ltd")</f>
        <v>Dobhan Khola Hydropower Ltd</v>
      </c>
      <c r="I190" s="2" t="str">
        <f>IFERROR(__xludf.DUMMYFUNCTION("""COMPUTED_VALUE"""),"Chandol-4, Kathmandu, Phone no 4442860")</f>
        <v>Chandol-4, Kathmandu, Phone no 4442860</v>
      </c>
      <c r="J190" s="2" t="str">
        <f>IFERROR(__xludf.DUMMYFUNCTION("""COMPUTED_VALUE"""),"28o 16' 40""")</f>
        <v>28o 16' 40"</v>
      </c>
      <c r="K190" s="2" t="str">
        <f>IFERROR(__xludf.DUMMYFUNCTION("""COMPUTED_VALUE"""),"28o 18' 00""")</f>
        <v>28o 18' 00"</v>
      </c>
      <c r="L190" s="2" t="str">
        <f>IFERROR(__xludf.DUMMYFUNCTION("""COMPUTED_VALUE"""),"84o 54' 20""")</f>
        <v>84o 54' 20"</v>
      </c>
      <c r="M190" s="2" t="str">
        <f>IFERROR(__xludf.DUMMYFUNCTION("""COMPUTED_VALUE"""),"84o 57' 32""")</f>
        <v>84o 57' 32"</v>
      </c>
      <c r="N190" s="2" t="str">
        <f>IFERROR(__xludf.DUMMYFUNCTION("""COMPUTED_VALUE"""),"Kerauja (Gorkha)")</f>
        <v>Kerauja (Gorkha)</v>
      </c>
    </row>
    <row r="191">
      <c r="A191" s="2">
        <f>IFERROR(__xludf.DUMMYFUNCTION("""COMPUTED_VALUE"""),190.0)</f>
        <v>190</v>
      </c>
      <c r="B191" s="2" t="str">
        <f>IFERROR(__xludf.DUMMYFUNCTION("""COMPUTED_VALUE"""),"Khimti Ghwang Khola HEP")</f>
        <v>Khimti Ghwang Khola HEP</v>
      </c>
      <c r="C191" s="2">
        <f>IFERROR(__xludf.DUMMYFUNCTION("""COMPUTED_VALUE"""),9.0)</f>
        <v>9</v>
      </c>
      <c r="D191" s="2" t="str">
        <f>IFERROR(__xludf.DUMMYFUNCTION("""COMPUTED_VALUE"""),"Khimti khola and Ghwan Khola")</f>
        <v>Khimti khola and Ghwan Khola</v>
      </c>
      <c r="E191" s="2">
        <f>IFERROR(__xludf.DUMMYFUNCTION("""COMPUTED_VALUE"""),430.0)</f>
        <v>430</v>
      </c>
      <c r="F191" s="3">
        <f>IFERROR(__xludf.DUMMYFUNCTION("""COMPUTED_VALUE"""),66088.0)</f>
        <v>66088</v>
      </c>
      <c r="G191" s="3">
        <f>IFERROR(__xludf.DUMMYFUNCTION("""COMPUTED_VALUE"""),78869.0)</f>
        <v>78869</v>
      </c>
      <c r="H191" s="2" t="str">
        <f>IFERROR(__xludf.DUMMYFUNCTION("""COMPUTED_VALUE"""),"Wonders Energy Pvt. Ltd.")</f>
        <v>Wonders Energy Pvt. Ltd.</v>
      </c>
      <c r="I191" s="2" t="str">
        <f>IFERROR(__xludf.DUMMYFUNCTION("""COMPUTED_VALUE"""),"Suwidhanagar, Tinkune, Kathmandu-35 Ph. No. 01-4111853, 4111674")</f>
        <v>Suwidhanagar, Tinkune, Kathmandu-35 Ph. No. 01-4111853, 4111674</v>
      </c>
      <c r="J191" s="2" t="str">
        <f>IFERROR(__xludf.DUMMYFUNCTION("""COMPUTED_VALUE"""),"27o 41' 29""")</f>
        <v>27o 41' 29"</v>
      </c>
      <c r="K191" s="2" t="str">
        <f>IFERROR(__xludf.DUMMYFUNCTION("""COMPUTED_VALUE"""),"27o 42' 41""")</f>
        <v>27o 42' 41"</v>
      </c>
      <c r="L191" s="2" t="str">
        <f>IFERROR(__xludf.DUMMYFUNCTION("""COMPUTED_VALUE"""),"86o 21' 00""")</f>
        <v>86o 21' 00"</v>
      </c>
      <c r="M191" s="2" t="str">
        <f>IFERROR(__xludf.DUMMYFUNCTION("""COMPUTED_VALUE"""),"86o 22' 08""")</f>
        <v>86o 22' 08"</v>
      </c>
      <c r="N191" s="2" t="str">
        <f>IFERROR(__xludf.DUMMYFUNCTION("""COMPUTED_VALUE"""),"Syama (Dolakha)")</f>
        <v>Syama (Dolakha)</v>
      </c>
    </row>
    <row r="192">
      <c r="A192" s="2">
        <f>IFERROR(__xludf.DUMMYFUNCTION("""COMPUTED_VALUE"""),191.0)</f>
        <v>191</v>
      </c>
      <c r="B192" s="2" t="str">
        <f>IFERROR(__xludf.DUMMYFUNCTION("""COMPUTED_VALUE"""),"Kisedi Khola Small HEP")</f>
        <v>Kisedi Khola Small HEP</v>
      </c>
      <c r="C192" s="2">
        <f>IFERROR(__xludf.DUMMYFUNCTION("""COMPUTED_VALUE"""),4.1)</f>
        <v>4.1</v>
      </c>
      <c r="D192" s="2" t="str">
        <f>IFERROR(__xludf.DUMMYFUNCTION("""COMPUTED_VALUE"""),"Kisedi Khola")</f>
        <v>Kisedi Khola</v>
      </c>
      <c r="E192" s="2">
        <f>IFERROR(__xludf.DUMMYFUNCTION("""COMPUTED_VALUE"""),433.0)</f>
        <v>433</v>
      </c>
      <c r="F192" s="3">
        <f>IFERROR(__xludf.DUMMYFUNCTION("""COMPUTED_VALUE"""),66093.0)</f>
        <v>66093</v>
      </c>
      <c r="G192" s="3">
        <f>IFERROR(__xludf.DUMMYFUNCTION("""COMPUTED_VALUE"""),78874.0)</f>
        <v>78874</v>
      </c>
      <c r="H192" s="2" t="str">
        <f>IFERROR(__xludf.DUMMYFUNCTION("""COMPUTED_VALUE"""),"Ana Multipurpose Company Pvt.Ltd.")</f>
        <v>Ana Multipurpose Company Pvt.Ltd.</v>
      </c>
      <c r="I192" s="2" t="str">
        <f>IFERROR(__xludf.DUMMYFUNCTION("""COMPUTED_VALUE"""),"kathmandu-4,Maharagunj,Kathmandu, Nepal. 
4371748,9851168163,9851124993,9843176324")</f>
        <v>kathmandu-4,Maharagunj,Kathmandu, Nepal. 
4371748,9851168163,9851124993,9843176324</v>
      </c>
      <c r="J192" s="2" t="str">
        <f>IFERROR(__xludf.DUMMYFUNCTION("""COMPUTED_VALUE"""),"28o 11' 23""")</f>
        <v>28o 11' 23"</v>
      </c>
      <c r="K192" s="2" t="str">
        <f>IFERROR(__xludf.DUMMYFUNCTION("""COMPUTED_VALUE"""),"28o 12' 15""")</f>
        <v>28o 12' 15"</v>
      </c>
      <c r="L192" s="2" t="str">
        <f>IFERROR(__xludf.DUMMYFUNCTION("""COMPUTED_VALUE"""),"84o 27' 30""")</f>
        <v>84o 27' 30"</v>
      </c>
      <c r="M192" s="2" t="str">
        <f>IFERROR(__xludf.DUMMYFUNCTION("""COMPUTED_VALUE"""),"84o 30' 36""")</f>
        <v>84o 30' 36"</v>
      </c>
      <c r="N192" s="2" t="str">
        <f>IFERROR(__xludf.DUMMYFUNCTION("""COMPUTED_VALUE"""),"Shree Banjyang,Nauthar,Pachok,Gauda (Lamjung)")</f>
        <v>Shree Banjyang,Nauthar,Pachok,Gauda (Lamjung)</v>
      </c>
    </row>
    <row r="193">
      <c r="A193" s="2">
        <f>IFERROR(__xludf.DUMMYFUNCTION("""COMPUTED_VALUE"""),192.0)</f>
        <v>192</v>
      </c>
      <c r="B193" s="2" t="str">
        <f>IFERROR(__xludf.DUMMYFUNCTION("""COMPUTED_VALUE"""),"Suti Khola HEP")</f>
        <v>Suti Khola HEP</v>
      </c>
      <c r="C193" s="2">
        <f>IFERROR(__xludf.DUMMYFUNCTION("""COMPUTED_VALUE"""),21.0)</f>
        <v>21</v>
      </c>
      <c r="D193" s="2" t="str">
        <f>IFERROR(__xludf.DUMMYFUNCTION("""COMPUTED_VALUE"""),"Suti")</f>
        <v>Suti</v>
      </c>
      <c r="E193" s="2">
        <f>IFERROR(__xludf.DUMMYFUNCTION("""COMPUTED_VALUE"""),431.0)</f>
        <v>431</v>
      </c>
      <c r="F193" s="3">
        <f>IFERROR(__xludf.DUMMYFUNCTION("""COMPUTED_VALUE"""),66094.0)</f>
        <v>66094</v>
      </c>
      <c r="G193" s="3">
        <f>IFERROR(__xludf.DUMMYFUNCTION("""COMPUTED_VALUE"""),78875.0)</f>
        <v>78875</v>
      </c>
      <c r="H193" s="2" t="str">
        <f>IFERROR(__xludf.DUMMYFUNCTION("""COMPUTED_VALUE"""),"Nilganga Hydropower Company Ltd")</f>
        <v>Nilganga Hydropower Company Ltd</v>
      </c>
      <c r="I193" s="2" t="str">
        <f>IFERROR(__xludf.DUMMYFUNCTION("""COMPUTED_VALUE"""),"Kathmandu-32, Tinkune")</f>
        <v>Kathmandu-32, Tinkune</v>
      </c>
      <c r="J193" s="2" t="str">
        <f>IFERROR(__xludf.DUMMYFUNCTION("""COMPUTED_VALUE"""),"28o 35' 31""")</f>
        <v>28o 35' 31"</v>
      </c>
      <c r="K193" s="2" t="str">
        <f>IFERROR(__xludf.DUMMYFUNCTION("""COMPUTED_VALUE"""),"28o 37' 40""")</f>
        <v>28o 37' 40"</v>
      </c>
      <c r="L193" s="2" t="str">
        <f>IFERROR(__xludf.DUMMYFUNCTION("""COMPUTED_VALUE"""),"84o 24' 15""")</f>
        <v>84o 24' 15"</v>
      </c>
      <c r="M193" s="2" t="str">
        <f>IFERROR(__xludf.DUMMYFUNCTION("""COMPUTED_VALUE"""),"84o 25' 39""")</f>
        <v>84o 25' 39"</v>
      </c>
      <c r="N193" s="2" t="str">
        <f>IFERROR(__xludf.DUMMYFUNCTION("""COMPUTED_VALUE"""),"Thoche (Manang)")</f>
        <v>Thoche (Manang)</v>
      </c>
    </row>
    <row r="194">
      <c r="A194" s="2">
        <f>IFERROR(__xludf.DUMMYFUNCTION("""COMPUTED_VALUE"""),193.0)</f>
        <v>193</v>
      </c>
      <c r="B194" s="2" t="str">
        <f>IFERROR(__xludf.DUMMYFUNCTION("""COMPUTED_VALUE"""),"Sisuwa Khola HEP")</f>
        <v>Sisuwa Khola HEP</v>
      </c>
      <c r="C194" s="2">
        <f>IFERROR(__xludf.DUMMYFUNCTION("""COMPUTED_VALUE"""),13.5)</f>
        <v>13.5</v>
      </c>
      <c r="D194" s="2" t="str">
        <f>IFERROR(__xludf.DUMMYFUNCTION("""COMPUTED_VALUE"""),"Sisuwa, Hinuwa")</f>
        <v>Sisuwa, Hinuwa</v>
      </c>
      <c r="E194" s="2">
        <f>IFERROR(__xludf.DUMMYFUNCTION("""COMPUTED_VALUE"""),432.0)</f>
        <v>432</v>
      </c>
      <c r="F194" s="3">
        <f>IFERROR(__xludf.DUMMYFUNCTION("""COMPUTED_VALUE"""),66094.0)</f>
        <v>66094</v>
      </c>
      <c r="G194" s="3">
        <f>IFERROR(__xludf.DUMMYFUNCTION("""COMPUTED_VALUE"""),78875.0)</f>
        <v>78875</v>
      </c>
      <c r="H194" s="2" t="str">
        <f>IFERROR(__xludf.DUMMYFUNCTION("""COMPUTED_VALUE"""),"Matribhumi Hydropower Development Company Pvt. Ltd")</f>
        <v>Matribhumi Hydropower Development Company Pvt. Ltd</v>
      </c>
      <c r="I194" s="2" t="str">
        <f>IFERROR(__xludf.DUMMYFUNCTION("""COMPUTED_VALUE"""),"Lalitpur")</f>
        <v>Lalitpur</v>
      </c>
      <c r="J194" s="2" t="str">
        <f>IFERROR(__xludf.DUMMYFUNCTION("""COMPUTED_VALUE"""),"27o 28' 08""")</f>
        <v>27o 28' 08"</v>
      </c>
      <c r="K194" s="2" t="str">
        <f>IFERROR(__xludf.DUMMYFUNCTION("""COMPUTED_VALUE"""),"27o 29' 12""")</f>
        <v>27o 29' 12"</v>
      </c>
      <c r="L194" s="2" t="str">
        <f>IFERROR(__xludf.DUMMYFUNCTION("""COMPUTED_VALUE"""),"87o 02' 26""")</f>
        <v>87o 02' 26"</v>
      </c>
      <c r="M194" s="2" t="str">
        <f>IFERROR(__xludf.DUMMYFUNCTION("""COMPUTED_VALUE"""),"87o 04' 59""")</f>
        <v>87o 04' 59"</v>
      </c>
      <c r="N194" s="2" t="str">
        <f>IFERROR(__xludf.DUMMYFUNCTION("""COMPUTED_VALUE"""),"Bala,Sisuwakhola (Sankhuwasabha)")</f>
        <v>Bala,Sisuwakhola (Sankhuwasabha)</v>
      </c>
    </row>
    <row r="195">
      <c r="A195" s="2">
        <f>IFERROR(__xludf.DUMMYFUNCTION("""COMPUTED_VALUE"""),194.0)</f>
        <v>194</v>
      </c>
      <c r="B195" s="2" t="str">
        <f>IFERROR(__xludf.DUMMYFUNCTION("""COMPUTED_VALUE"""),"Yaru Khola HEP")</f>
        <v>Yaru Khola HEP</v>
      </c>
      <c r="C195" s="2">
        <f>IFERROR(__xludf.DUMMYFUNCTION("""COMPUTED_VALUE"""),30.59)</f>
        <v>30.59</v>
      </c>
      <c r="D195" s="2" t="str">
        <f>IFERROR(__xludf.DUMMYFUNCTION("""COMPUTED_VALUE"""),"Yaru")</f>
        <v>Yaru</v>
      </c>
      <c r="E195" s="2">
        <f>IFERROR(__xludf.DUMMYFUNCTION("""COMPUTED_VALUE"""),435.0)</f>
        <v>435</v>
      </c>
      <c r="F195" s="3">
        <f>IFERROR(__xludf.DUMMYFUNCTION("""COMPUTED_VALUE"""),66105.0)</f>
        <v>66105</v>
      </c>
      <c r="G195" s="3">
        <f>IFERROR(__xludf.DUMMYFUNCTION("""COMPUTED_VALUE"""),78886.0)</f>
        <v>78886</v>
      </c>
      <c r="H195" s="2" t="str">
        <f>IFERROR(__xludf.DUMMYFUNCTION("""COMPUTED_VALUE"""),"Yaru Hydropower PVt. Ltd")</f>
        <v>Yaru Hydropower PVt. Ltd</v>
      </c>
      <c r="I195" s="2" t="str">
        <f>IFERROR(__xludf.DUMMYFUNCTION("""COMPUTED_VALUE"""),"Lazimpat-2-130, Kathmandu. 01-6911637, GPO 20762; emai: pratity@yahoo.com")</f>
        <v>Lazimpat-2-130, Kathmandu. 01-6911637, GPO 20762; emai: pratity@yahoo.com</v>
      </c>
      <c r="J195" s="2" t="str">
        <f>IFERROR(__xludf.DUMMYFUNCTION("""COMPUTED_VALUE"""),"28o 18' 05""")</f>
        <v>28o 18' 05"</v>
      </c>
      <c r="K195" s="2" t="str">
        <f>IFERROR(__xludf.DUMMYFUNCTION("""COMPUTED_VALUE"""),"28o 20' 29""")</f>
        <v>28o 20' 29"</v>
      </c>
      <c r="L195" s="2" t="str">
        <f>IFERROR(__xludf.DUMMYFUNCTION("""COMPUTED_VALUE"""),"84o 54' 30""")</f>
        <v>84o 54' 30"</v>
      </c>
      <c r="M195" s="2" t="str">
        <f>IFERROR(__xludf.DUMMYFUNCTION("""COMPUTED_VALUE"""),"84o 57' 00""")</f>
        <v>84o 57' 00"</v>
      </c>
      <c r="N195" s="2" t="str">
        <f>IFERROR(__xludf.DUMMYFUNCTION("""COMPUTED_VALUE"""),"Kerauja,Sirdibas,Uiya (Gorkha)")</f>
        <v>Kerauja,Sirdibas,Uiya (Gorkha)</v>
      </c>
    </row>
    <row r="196">
      <c r="A196" s="2">
        <f>IFERROR(__xludf.DUMMYFUNCTION("""COMPUTED_VALUE"""),195.0)</f>
        <v>195</v>
      </c>
      <c r="B196" s="2" t="str">
        <f>IFERROR(__xludf.DUMMYFUNCTION("""COMPUTED_VALUE"""),"Chilun Khola HEP")</f>
        <v>Chilun Khola HEP</v>
      </c>
      <c r="C196" s="2">
        <f>IFERROR(__xludf.DUMMYFUNCTION("""COMPUTED_VALUE"""),43.2)</f>
        <v>43.2</v>
      </c>
      <c r="D196" s="2" t="str">
        <f>IFERROR(__xludf.DUMMYFUNCTION("""COMPUTED_VALUE"""),"Chhilung")</f>
        <v>Chhilung</v>
      </c>
      <c r="E196" s="2">
        <f>IFERROR(__xludf.DUMMYFUNCTION("""COMPUTED_VALUE"""),436.0)</f>
        <v>436</v>
      </c>
      <c r="F196" s="3">
        <f>IFERROR(__xludf.DUMMYFUNCTION("""COMPUTED_VALUE"""),66105.0)</f>
        <v>66105</v>
      </c>
      <c r="G196" s="3">
        <f>IFERROR(__xludf.DUMMYFUNCTION("""COMPUTED_VALUE"""),78886.0)</f>
        <v>78886</v>
      </c>
      <c r="H196" s="2" t="str">
        <f>IFERROR(__xludf.DUMMYFUNCTION("""COMPUTED_VALUE"""),"Hanuman Hydropower Pvt. Ltd")</f>
        <v>Hanuman Hydropower Pvt. Ltd</v>
      </c>
      <c r="I196" s="2" t="str">
        <f>IFERROR(__xludf.DUMMYFUNCTION("""COMPUTED_VALUE"""),"Kathmandu-32")</f>
        <v>Kathmandu-32</v>
      </c>
      <c r="J196" s="2" t="str">
        <f>IFERROR(__xludf.DUMMYFUNCTION("""COMPUTED_VALUE"""),"28o 25' 00""")</f>
        <v>28o 25' 00"</v>
      </c>
      <c r="K196" s="2" t="str">
        <f>IFERROR(__xludf.DUMMYFUNCTION("""COMPUTED_VALUE"""),"28o 26' 56""")</f>
        <v>28o 26' 56"</v>
      </c>
      <c r="L196" s="2" t="str">
        <f>IFERROR(__xludf.DUMMYFUNCTION("""COMPUTED_VALUE"""),"84o 48' 12""")</f>
        <v>84o 48' 12"</v>
      </c>
      <c r="M196" s="2" t="str">
        <f>IFERROR(__xludf.DUMMYFUNCTION("""COMPUTED_VALUE"""),"84o 53' 30""")</f>
        <v>84o 53' 30"</v>
      </c>
      <c r="N196" s="2" t="str">
        <f>IFERROR(__xludf.DUMMYFUNCTION("""COMPUTED_VALUE"""),"Sirdibas (Gorkha)")</f>
        <v>Sirdibas (Gorkha)</v>
      </c>
    </row>
    <row r="197">
      <c r="A197" s="2">
        <f>IFERROR(__xludf.DUMMYFUNCTION("""COMPUTED_VALUE"""),196.0)</f>
        <v>196</v>
      </c>
      <c r="B197" s="2" t="str">
        <f>IFERROR(__xludf.DUMMYFUNCTION("""COMPUTED_VALUE"""),"Bajhang Upper Seti HEP")</f>
        <v>Bajhang Upper Seti HEP</v>
      </c>
      <c r="C197" s="2">
        <f>IFERROR(__xludf.DUMMYFUNCTION("""COMPUTED_VALUE"""),216.0)</f>
        <v>216</v>
      </c>
      <c r="D197" s="2" t="str">
        <f>IFERROR(__xludf.DUMMYFUNCTION("""COMPUTED_VALUE"""),"Seti (Far West)")</f>
        <v>Seti (Far West)</v>
      </c>
      <c r="E197" s="2">
        <f>IFERROR(__xludf.DUMMYFUNCTION("""COMPUTED_VALUE"""),437.0)</f>
        <v>437</v>
      </c>
      <c r="F197" s="3">
        <f>IFERROR(__xludf.DUMMYFUNCTION("""COMPUTED_VALUE"""),66142.0)</f>
        <v>66142</v>
      </c>
      <c r="G197" s="3">
        <f>IFERROR(__xludf.DUMMYFUNCTION("""COMPUTED_VALUE"""),78923.0)</f>
        <v>78923</v>
      </c>
      <c r="H197" s="2" t="str">
        <f>IFERROR(__xludf.DUMMYFUNCTION("""COMPUTED_VALUE"""),"Sambriddhi Energy Limited")</f>
        <v>Sambriddhi Energy Limited</v>
      </c>
      <c r="I197" s="2" t="str">
        <f>IFERROR(__xludf.DUMMYFUNCTION("""COMPUTED_VALUE"""),"Ka.Ma.Na.Pa., Ward No-29, Anamnagar, Kathmandu")</f>
        <v>Ka.Ma.Na.Pa., Ward No-29, Anamnagar, Kathmandu</v>
      </c>
      <c r="J197" s="2" t="str">
        <f>IFERROR(__xludf.DUMMYFUNCTION("""COMPUTED_VALUE"""),"29o 44' 50""")</f>
        <v>29o 44' 50"</v>
      </c>
      <c r="K197" s="2" t="str">
        <f>IFERROR(__xludf.DUMMYFUNCTION("""COMPUTED_VALUE"""),"29o 50' 30""")</f>
        <v>29o 50' 30"</v>
      </c>
      <c r="L197" s="2" t="str">
        <f>IFERROR(__xludf.DUMMYFUNCTION("""COMPUTED_VALUE"""),"81o 15' 00""")</f>
        <v>81o 15' 00"</v>
      </c>
      <c r="M197" s="2" t="str">
        <f>IFERROR(__xludf.DUMMYFUNCTION("""COMPUTED_VALUE"""),"81o 18' 45""")</f>
        <v>81o 18' 45"</v>
      </c>
      <c r="N197" s="2" t="str">
        <f>IFERROR(__xludf.DUMMYFUNCTION("""COMPUTED_VALUE"""),"Kanda (Bajhang)")</f>
        <v>Kanda (Bajhang)</v>
      </c>
    </row>
    <row r="198">
      <c r="A198" s="2">
        <f>IFERROR(__xludf.DUMMYFUNCTION("""COMPUTED_VALUE"""),197.0)</f>
        <v>197</v>
      </c>
      <c r="B198" s="2" t="str">
        <f>IFERROR(__xludf.DUMMYFUNCTION("""COMPUTED_VALUE"""),"Dordi Dudh Khola Small HEP")</f>
        <v>Dordi Dudh Khola Small HEP</v>
      </c>
      <c r="C198" s="2">
        <f>IFERROR(__xludf.DUMMYFUNCTION("""COMPUTED_VALUE"""),19.0)</f>
        <v>19</v>
      </c>
      <c r="D198" s="2" t="str">
        <f>IFERROR(__xludf.DUMMYFUNCTION("""COMPUTED_VALUE"""),"Dordi")</f>
        <v>Dordi</v>
      </c>
      <c r="E198" s="2">
        <f>IFERROR(__xludf.DUMMYFUNCTION("""COMPUTED_VALUE"""),438.0)</f>
        <v>438</v>
      </c>
      <c r="F198" s="3">
        <f>IFERROR(__xludf.DUMMYFUNCTION("""COMPUTED_VALUE"""),66151.0)</f>
        <v>66151</v>
      </c>
      <c r="G198" s="3">
        <f>IFERROR(__xludf.DUMMYFUNCTION("""COMPUTED_VALUE"""),78932.0)</f>
        <v>78932</v>
      </c>
      <c r="H198" s="2" t="str">
        <f>IFERROR(__xludf.DUMMYFUNCTION("""COMPUTED_VALUE"""),"Goma Ganesh Hydropower Pvt. Ltd.")</f>
        <v>Goma Ganesh Hydropower Pvt. Ltd.</v>
      </c>
      <c r="I198" s="2" t="str">
        <f>IFERROR(__xludf.DUMMYFUNCTION("""COMPUTED_VALUE"""),"Ka.Ma.Na.Pa-2 kathmandu, Tel 4354727,")</f>
        <v>Ka.Ma.Na.Pa-2 kathmandu, Tel 4354727,</v>
      </c>
      <c r="J198" s="2" t="str">
        <f>IFERROR(__xludf.DUMMYFUNCTION("""COMPUTED_VALUE"""),"28o 20' 32""")</f>
        <v>28o 20' 32"</v>
      </c>
      <c r="K198" s="2" t="str">
        <f>IFERROR(__xludf.DUMMYFUNCTION("""COMPUTED_VALUE"""),"28o 22' 00""")</f>
        <v>28o 22' 00"</v>
      </c>
      <c r="L198" s="2" t="str">
        <f>IFERROR(__xludf.DUMMYFUNCTION("""COMPUTED_VALUE"""),"84o 35' 20""")</f>
        <v>84o 35' 20"</v>
      </c>
      <c r="M198" s="2" t="str">
        <f>IFERROR(__xludf.DUMMYFUNCTION("""COMPUTED_VALUE"""),"84o 36' 45""")</f>
        <v>84o 36' 45"</v>
      </c>
      <c r="N198" s="2" t="str">
        <f>IFERROR(__xludf.DUMMYFUNCTION("""COMPUTED_VALUE"""),"Dhodeni,Faleni (Lamjung)")</f>
        <v>Dhodeni,Faleni (Lamjung)</v>
      </c>
    </row>
    <row r="199">
      <c r="A199" s="2">
        <f>IFERROR(__xludf.DUMMYFUNCTION("""COMPUTED_VALUE"""),198.0)</f>
        <v>198</v>
      </c>
      <c r="B199" s="2" t="str">
        <f>IFERROR(__xludf.DUMMYFUNCTION("""COMPUTED_VALUE"""),"Brahmayani HEP")</f>
        <v>Brahmayani HEP</v>
      </c>
      <c r="C199" s="2">
        <f>IFERROR(__xludf.DUMMYFUNCTION("""COMPUTED_VALUE"""),36.52)</f>
        <v>36.52</v>
      </c>
      <c r="D199" s="2" t="str">
        <f>IFERROR(__xludf.DUMMYFUNCTION("""COMPUTED_VALUE"""),"Balephi")</f>
        <v>Balephi</v>
      </c>
      <c r="E199" s="2">
        <f>IFERROR(__xludf.DUMMYFUNCTION("""COMPUTED_VALUE"""),439.0)</f>
        <v>439</v>
      </c>
      <c r="F199" s="3">
        <f>IFERROR(__xludf.DUMMYFUNCTION("""COMPUTED_VALUE"""),66159.0)</f>
        <v>66159</v>
      </c>
      <c r="G199" s="3">
        <f>IFERROR(__xludf.DUMMYFUNCTION("""COMPUTED_VALUE"""),78940.0)</f>
        <v>78940</v>
      </c>
      <c r="H199" s="2" t="str">
        <f>IFERROR(__xludf.DUMMYFUNCTION("""COMPUTED_VALUE"""),"Bhramayani Hydropower Company Pvt. Ltd.")</f>
        <v>Bhramayani Hydropower Company Pvt. Ltd.</v>
      </c>
      <c r="I199" s="2" t="str">
        <f>IFERROR(__xludf.DUMMYFUNCTION("""COMPUTED_VALUE"""),"Buddhanagar-10, Kathmandu Contact no. 014784958, 9851025038")</f>
        <v>Buddhanagar-10, Kathmandu Contact no. 014784958, 9851025038</v>
      </c>
      <c r="J199" s="2" t="str">
        <f>IFERROR(__xludf.DUMMYFUNCTION("""COMPUTED_VALUE"""),"28o 01' 24""")</f>
        <v>28o 01' 24"</v>
      </c>
      <c r="K199" s="2" t="str">
        <f>IFERROR(__xludf.DUMMYFUNCTION("""COMPUTED_VALUE"""),"28o 04' 16""")</f>
        <v>28o 04' 16"</v>
      </c>
      <c r="L199" s="2" t="str">
        <f>IFERROR(__xludf.DUMMYFUNCTION("""COMPUTED_VALUE"""),"85o 44' 38""")</f>
        <v>85o 44' 38"</v>
      </c>
      <c r="M199" s="2" t="str">
        <f>IFERROR(__xludf.DUMMYFUNCTION("""COMPUTED_VALUE"""),"85o 47' 30""")</f>
        <v>85o 47' 30"</v>
      </c>
      <c r="N199" s="2" t="str">
        <f>IFERROR(__xludf.DUMMYFUNCTION("""COMPUTED_VALUE"""),"Gumba,Golche (Sindhupalchok)")</f>
        <v>Gumba,Golche (Sindhupalchok)</v>
      </c>
    </row>
    <row r="200">
      <c r="A200" s="2">
        <f>IFERROR(__xludf.DUMMYFUNCTION("""COMPUTED_VALUE"""),199.0)</f>
        <v>199</v>
      </c>
      <c r="B200" s="2" t="str">
        <f>IFERROR(__xludf.DUMMYFUNCTION("""COMPUTED_VALUE"""),"Upper Brahmayeni HEP")</f>
        <v>Upper Brahmayeni HEP</v>
      </c>
      <c r="C200" s="2">
        <f>IFERROR(__xludf.DUMMYFUNCTION("""COMPUTED_VALUE"""),15.15)</f>
        <v>15.15</v>
      </c>
      <c r="D200" s="2" t="str">
        <f>IFERROR(__xludf.DUMMYFUNCTION("""COMPUTED_VALUE"""),"Nyamya Masal")</f>
        <v>Nyamya Masal</v>
      </c>
      <c r="E200" s="2">
        <f>IFERROR(__xludf.DUMMYFUNCTION("""COMPUTED_VALUE"""),440.0)</f>
        <v>440</v>
      </c>
      <c r="F200" s="3">
        <f>IFERROR(__xludf.DUMMYFUNCTION("""COMPUTED_VALUE"""),66162.0)</f>
        <v>66162</v>
      </c>
      <c r="G200" s="3">
        <f>IFERROR(__xludf.DUMMYFUNCTION("""COMPUTED_VALUE"""),78943.0)</f>
        <v>78943</v>
      </c>
      <c r="H200" s="2" t="str">
        <f>IFERROR(__xludf.DUMMYFUNCTION("""COMPUTED_VALUE"""),"Integrated Hydro Fund Nepal Pvt. Ltd")</f>
        <v>Integrated Hydro Fund Nepal Pvt. Ltd</v>
      </c>
      <c r="I200" s="2" t="str">
        <f>IFERROR(__xludf.DUMMYFUNCTION("""COMPUTED_VALUE"""),"Budhhanagar, Kathmandu, 9851168379 ( Bharat Parajuli)")</f>
        <v>Budhhanagar, Kathmandu, 9851168379 ( Bharat Parajuli)</v>
      </c>
      <c r="J200" s="2" t="str">
        <f>IFERROR(__xludf.DUMMYFUNCTION("""COMPUTED_VALUE"""),"28o 04' 16""")</f>
        <v>28o 04' 16"</v>
      </c>
      <c r="K200" s="2" t="str">
        <f>IFERROR(__xludf.DUMMYFUNCTION("""COMPUTED_VALUE"""),"28o 06' 00""")</f>
        <v>28o 06' 00"</v>
      </c>
      <c r="L200" s="2" t="str">
        <f>IFERROR(__xludf.DUMMYFUNCTION("""COMPUTED_VALUE"""),"85o 45' 00""")</f>
        <v>85o 45' 00"</v>
      </c>
      <c r="M200" s="2" t="str">
        <f>IFERROR(__xludf.DUMMYFUNCTION("""COMPUTED_VALUE"""),"85o 48' 00""")</f>
        <v>85o 48' 00"</v>
      </c>
      <c r="N200" s="2" t="str">
        <f>IFERROR(__xludf.DUMMYFUNCTION("""COMPUTED_VALUE"""),"Gumba,Golche (Sindhupalchok)")</f>
        <v>Gumba,Golche (Sindhupalchok)</v>
      </c>
    </row>
    <row r="201">
      <c r="A201" s="2">
        <f>IFERROR(__xludf.DUMMYFUNCTION("""COMPUTED_VALUE"""),200.0)</f>
        <v>200</v>
      </c>
      <c r="B201" s="2" t="str">
        <f>IFERROR(__xludf.DUMMYFUNCTION("""COMPUTED_VALUE"""),"Lower Dudhkunda Hydropower Project")</f>
        <v>Lower Dudhkunda Hydropower Project</v>
      </c>
      <c r="C201" s="2">
        <f>IFERROR(__xludf.DUMMYFUNCTION("""COMPUTED_VALUE"""),9.48)</f>
        <v>9.48</v>
      </c>
      <c r="D201" s="2" t="str">
        <f>IFERROR(__xludf.DUMMYFUNCTION("""COMPUTED_VALUE"""),"Dudhkunda (Solu)")</f>
        <v>Dudhkunda (Solu)</v>
      </c>
      <c r="E201" s="2">
        <f>IFERROR(__xludf.DUMMYFUNCTION("""COMPUTED_VALUE"""),441.0)</f>
        <v>441</v>
      </c>
      <c r="F201" s="3">
        <f>IFERROR(__xludf.DUMMYFUNCTION("""COMPUTED_VALUE"""),66163.0)</f>
        <v>66163</v>
      </c>
      <c r="G201" s="3">
        <f>IFERROR(__xludf.DUMMYFUNCTION("""COMPUTED_VALUE"""),78944.0)</f>
        <v>78944</v>
      </c>
      <c r="H201" s="2" t="str">
        <f>IFERROR(__xludf.DUMMYFUNCTION("""COMPUTED_VALUE"""),"Numbur Dudhkunda Hydropower Pvt.Ltd.")</f>
        <v>Numbur Dudhkunda Hydropower Pvt.Ltd.</v>
      </c>
      <c r="I201" s="2" t="str">
        <f>IFERROR(__xludf.DUMMYFUNCTION("""COMPUTED_VALUE"""),"Kathamandu, Nepal")</f>
        <v>Kathamandu, Nepal</v>
      </c>
      <c r="J201" s="2" t="str">
        <f>IFERROR(__xludf.DUMMYFUNCTION("""COMPUTED_VALUE"""),"27o 33' 00""")</f>
        <v>27o 33' 00"</v>
      </c>
      <c r="K201" s="2" t="str">
        <f>IFERROR(__xludf.DUMMYFUNCTION("""COMPUTED_VALUE"""),"27o 35' 16""")</f>
        <v>27o 35' 16"</v>
      </c>
      <c r="L201" s="2" t="str">
        <f>IFERROR(__xludf.DUMMYFUNCTION("""COMPUTED_VALUE"""),"86o 34' 35""")</f>
        <v>86o 34' 35"</v>
      </c>
      <c r="M201" s="2" t="str">
        <f>IFERROR(__xludf.DUMMYFUNCTION("""COMPUTED_VALUE"""),"86o 36' 17""")</f>
        <v>86o 36' 17"</v>
      </c>
      <c r="N201" s="2"/>
    </row>
    <row r="202">
      <c r="A202" s="2">
        <f>IFERROR(__xludf.DUMMYFUNCTION("""COMPUTED_VALUE"""),201.0)</f>
        <v>201</v>
      </c>
      <c r="B202" s="2" t="str">
        <f>IFERROR(__xludf.DUMMYFUNCTION("""COMPUTED_VALUE"""),"Upper Sunigad HEP")</f>
        <v>Upper Sunigad HEP</v>
      </c>
      <c r="C202" s="2">
        <f>IFERROR(__xludf.DUMMYFUNCTION("""COMPUTED_VALUE"""),14.0)</f>
        <v>14</v>
      </c>
      <c r="D202" s="2" t="str">
        <f>IFERROR(__xludf.DUMMYFUNCTION("""COMPUTED_VALUE"""),"Suni Gad")</f>
        <v>Suni Gad</v>
      </c>
      <c r="E202" s="2">
        <f>IFERROR(__xludf.DUMMYFUNCTION("""COMPUTED_VALUE"""),442.0)</f>
        <v>442</v>
      </c>
      <c r="F202" s="3">
        <f>IFERROR(__xludf.DUMMYFUNCTION("""COMPUTED_VALUE"""),66164.0)</f>
        <v>66164</v>
      </c>
      <c r="G202" s="3">
        <f>IFERROR(__xludf.DUMMYFUNCTION("""COMPUTED_VALUE"""),78945.0)</f>
        <v>78945</v>
      </c>
      <c r="H202" s="2" t="str">
        <f>IFERROR(__xludf.DUMMYFUNCTION("""COMPUTED_VALUE"""),"Omega EnergyDeveloper Pvt. Ltd")</f>
        <v>Omega EnergyDeveloper Pvt. Ltd</v>
      </c>
      <c r="I202" s="2" t="str">
        <f>IFERROR(__xludf.DUMMYFUNCTION("""COMPUTED_VALUE"""),"Kathmandu Contact n.: 01-4529044, 9858757757")</f>
        <v>Kathmandu Contact n.: 01-4529044, 9858757757</v>
      </c>
      <c r="J202" s="2" t="str">
        <f>IFERROR(__xludf.DUMMYFUNCTION("""COMPUTED_VALUE"""),"29o 40' 00""")</f>
        <v>29o 40' 00"</v>
      </c>
      <c r="K202" s="2" t="str">
        <f>IFERROR(__xludf.DUMMYFUNCTION("""COMPUTED_VALUE"""),"29o 41' 17""")</f>
        <v>29o 41' 17"</v>
      </c>
      <c r="L202" s="2" t="str">
        <f>IFERROR(__xludf.DUMMYFUNCTION("""COMPUTED_VALUE"""),"81o 12' 15""")</f>
        <v>81o 12' 15"</v>
      </c>
      <c r="M202" s="2" t="str">
        <f>IFERROR(__xludf.DUMMYFUNCTION("""COMPUTED_VALUE"""),"81o 14' 00""")</f>
        <v>81o 14' 00"</v>
      </c>
      <c r="N202" s="2" t="str">
        <f>IFERROR(__xludf.DUMMYFUNCTION("""COMPUTED_VALUE"""),"Dilichaur (Bajhang)")</f>
        <v>Dilichaur (Bajhang)</v>
      </c>
    </row>
    <row r="203">
      <c r="A203" s="2">
        <f>IFERROR(__xludf.DUMMYFUNCTION("""COMPUTED_VALUE"""),202.0)</f>
        <v>202</v>
      </c>
      <c r="B203" s="2" t="str">
        <f>IFERROR(__xludf.DUMMYFUNCTION("""COMPUTED_VALUE"""),"Kalika Kaligandaki HEP")</f>
        <v>Kalika Kaligandaki HEP</v>
      </c>
      <c r="C203" s="2">
        <f>IFERROR(__xludf.DUMMYFUNCTION("""COMPUTED_VALUE"""),38.16)</f>
        <v>38.16</v>
      </c>
      <c r="D203" s="2" t="str">
        <f>IFERROR(__xludf.DUMMYFUNCTION("""COMPUTED_VALUE"""),"Kali Gandaki")</f>
        <v>Kali Gandaki</v>
      </c>
      <c r="E203" s="2">
        <f>IFERROR(__xludf.DUMMYFUNCTION("""COMPUTED_VALUE"""),443.0)</f>
        <v>443</v>
      </c>
      <c r="F203" s="3">
        <f>IFERROR(__xludf.DUMMYFUNCTION("""COMPUTED_VALUE"""),66175.0)</f>
        <v>66175</v>
      </c>
      <c r="G203" s="3">
        <f>IFERROR(__xludf.DUMMYFUNCTION("""COMPUTED_VALUE"""),78957.0)</f>
        <v>78957</v>
      </c>
      <c r="H203" s="2" t="str">
        <f>IFERROR(__xludf.DUMMYFUNCTION("""COMPUTED_VALUE"""),"Maulakalika Hydropower Company Pvt. Ltd")</f>
        <v>Maulakalika Hydropower Company Pvt. Ltd</v>
      </c>
      <c r="I203" s="2" t="str">
        <f>IFERROR(__xludf.DUMMYFUNCTION("""COMPUTED_VALUE"""),"Purano Baneshwor, Kathmandu, 3851025301, 9813768555 ( Santosh Paudel)")</f>
        <v>Purano Baneshwor, Kathmandu, 3851025301, 9813768555 ( Santosh Paudel)</v>
      </c>
      <c r="J203" s="2" t="str">
        <f>IFERROR(__xludf.DUMMYFUNCTION("""COMPUTED_VALUE"""),"27o 44' 20""")</f>
        <v>27o 44' 20"</v>
      </c>
      <c r="K203" s="2" t="str">
        <f>IFERROR(__xludf.DUMMYFUNCTION("""COMPUTED_VALUE"""),"27o 47' 02""")</f>
        <v>27o 47' 02"</v>
      </c>
      <c r="L203" s="2" t="str">
        <f>IFERROR(__xludf.DUMMYFUNCTION("""COMPUTED_VALUE"""),"84o 18' 52""")</f>
        <v>84o 18' 52"</v>
      </c>
      <c r="M203" s="2" t="str">
        <f>IFERROR(__xludf.DUMMYFUNCTION("""COMPUTED_VALUE"""),"84o 24' 22""")</f>
        <v>84o 24' 22"</v>
      </c>
      <c r="N203" s="2" t="str">
        <f>IFERROR(__xludf.DUMMYFUNCTION("""COMPUTED_VALUE"""),"Gaidakot,Mukundapur,Ratnapur (Nawalparasi) Kota (Tanahu)")</f>
        <v>Gaidakot,Mukundapur,Ratnapur (Nawalparasi) Kota (Tanahu)</v>
      </c>
    </row>
    <row r="204">
      <c r="A204" s="2">
        <f>IFERROR(__xludf.DUMMYFUNCTION("""COMPUTED_VALUE"""),203.0)</f>
        <v>203</v>
      </c>
      <c r="B204" s="2" t="str">
        <f>IFERROR(__xludf.DUMMYFUNCTION("""COMPUTED_VALUE"""),"Malta Bagmati Small HEP")</f>
        <v>Malta Bagmati Small HEP</v>
      </c>
      <c r="C204" s="2">
        <f>IFERROR(__xludf.DUMMYFUNCTION("""COMPUTED_VALUE"""),6.5)</f>
        <v>6.5</v>
      </c>
      <c r="D204" s="2" t="str">
        <f>IFERROR(__xludf.DUMMYFUNCTION("""COMPUTED_VALUE"""),"Bagmati")</f>
        <v>Bagmati</v>
      </c>
      <c r="E204" s="2">
        <f>IFERROR(__xludf.DUMMYFUNCTION("""COMPUTED_VALUE"""),444.0)</f>
        <v>444</v>
      </c>
      <c r="F204" s="3">
        <f>IFERROR(__xludf.DUMMYFUNCTION("""COMPUTED_VALUE"""),66189.0)</f>
        <v>66189</v>
      </c>
      <c r="G204" s="3">
        <f>IFERROR(__xludf.DUMMYFUNCTION("""COMPUTED_VALUE"""),78971.0)</f>
        <v>78971</v>
      </c>
      <c r="H204" s="2" t="str">
        <f>IFERROR(__xludf.DUMMYFUNCTION("""COMPUTED_VALUE"""),"Bagmati Water Energy Pvt. Ltd.")</f>
        <v>Bagmati Water Energy Pvt. Ltd.</v>
      </c>
      <c r="I204" s="2" t="str">
        <f>IFERROR(__xludf.DUMMYFUNCTION("""COMPUTED_VALUE"""),"Ka.Ma.Pa-16, Banasthali, Kathmandu")</f>
        <v>Ka.Ma.Pa-16, Banasthali, Kathmandu</v>
      </c>
      <c r="J204" s="2" t="str">
        <f>IFERROR(__xludf.DUMMYFUNCTION("""COMPUTED_VALUE"""),"27o 28' 01""")</f>
        <v>27o 28' 01"</v>
      </c>
      <c r="K204" s="2" t="str">
        <f>IFERROR(__xludf.DUMMYFUNCTION("""COMPUTED_VALUE"""),"27o 29' 35""")</f>
        <v>27o 29' 35"</v>
      </c>
      <c r="L204" s="2" t="str">
        <f>IFERROR(__xludf.DUMMYFUNCTION("""COMPUTED_VALUE"""),"85o 14' 33""")</f>
        <v>85o 14' 33"</v>
      </c>
      <c r="M204" s="2" t="str">
        <f>IFERROR(__xludf.DUMMYFUNCTION("""COMPUTED_VALUE"""),"85o 15' 45""")</f>
        <v>85o 15' 45"</v>
      </c>
      <c r="N204" s="2" t="str">
        <f>IFERROR(__xludf.DUMMYFUNCTION("""COMPUTED_VALUE"""),"Malta,Pyutar (Lalitpur)")</f>
        <v>Malta,Pyutar (Lalitpur)</v>
      </c>
    </row>
    <row r="205">
      <c r="A205" s="2">
        <f>IFERROR(__xludf.DUMMYFUNCTION("""COMPUTED_VALUE"""),204.0)</f>
        <v>204</v>
      </c>
      <c r="B205" s="2" t="str">
        <f>IFERROR(__xludf.DUMMYFUNCTION("""COMPUTED_VALUE"""),"Tadi Ghyamphedi HEP")</f>
        <v>Tadi Ghyamphedi HEP</v>
      </c>
      <c r="C205" s="2">
        <f>IFERROR(__xludf.DUMMYFUNCTION("""COMPUTED_VALUE"""),8.0)</f>
        <v>8</v>
      </c>
      <c r="D205" s="2" t="str">
        <f>IFERROR(__xludf.DUMMYFUNCTION("""COMPUTED_VALUE"""),"Tadi Khola")</f>
        <v>Tadi Khola</v>
      </c>
      <c r="E205" s="2">
        <f>IFERROR(__xludf.DUMMYFUNCTION("""COMPUTED_VALUE"""),445.0)</f>
        <v>445</v>
      </c>
      <c r="F205" s="3">
        <f>IFERROR(__xludf.DUMMYFUNCTION("""COMPUTED_VALUE"""),66191.0)</f>
        <v>66191</v>
      </c>
      <c r="G205" s="3">
        <f>IFERROR(__xludf.DUMMYFUNCTION("""COMPUTED_VALUE"""),78973.0)</f>
        <v>78973</v>
      </c>
      <c r="H205" s="2" t="str">
        <f>IFERROR(__xludf.DUMMYFUNCTION("""COMPUTED_VALUE"""),"ABP Energy Pvt. Ltd.")</f>
        <v>ABP Energy Pvt. Ltd.</v>
      </c>
      <c r="I205" s="2" t="str">
        <f>IFERROR(__xludf.DUMMYFUNCTION("""COMPUTED_VALUE"""),"Panipokhari, Maharajgunj")</f>
        <v>Panipokhari, Maharajgunj</v>
      </c>
      <c r="J205" s="2" t="str">
        <f>IFERROR(__xludf.DUMMYFUNCTION("""COMPUTED_VALUE"""),"27o 58' 31""")</f>
        <v>27o 58' 31"</v>
      </c>
      <c r="K205" s="2" t="str">
        <f>IFERROR(__xludf.DUMMYFUNCTION("""COMPUTED_VALUE"""),"28o 00' 40""")</f>
        <v>28o 00' 40"</v>
      </c>
      <c r="L205" s="2" t="str">
        <f>IFERROR(__xludf.DUMMYFUNCTION("""COMPUTED_VALUE"""),"85o 26' 34""")</f>
        <v>85o 26' 34"</v>
      </c>
      <c r="M205" s="2" t="str">
        <f>IFERROR(__xludf.DUMMYFUNCTION("""COMPUTED_VALUE"""),"85o 27' 51""")</f>
        <v>85o 27' 51"</v>
      </c>
      <c r="N205" s="2"/>
    </row>
    <row r="206">
      <c r="A206" s="2">
        <f>IFERROR(__xludf.DUMMYFUNCTION("""COMPUTED_VALUE"""),205.0)</f>
        <v>205</v>
      </c>
      <c r="B206" s="2" t="str">
        <f>IFERROR(__xludf.DUMMYFUNCTION("""COMPUTED_VALUE"""),"Kalinchok Small HEP")</f>
        <v>Kalinchok Small HEP</v>
      </c>
      <c r="C206" s="2">
        <f>IFERROR(__xludf.DUMMYFUNCTION("""COMPUTED_VALUE"""),3.0)</f>
        <v>3</v>
      </c>
      <c r="D206" s="2" t="str">
        <f>IFERROR(__xludf.DUMMYFUNCTION("""COMPUTED_VALUE"""),"Budhekhani,Shikhaarjun, Bhumit")</f>
        <v>Budhekhani,Shikhaarjun, Bhumit</v>
      </c>
      <c r="E206" s="2">
        <f>IFERROR(__xludf.DUMMYFUNCTION("""COMPUTED_VALUE"""),446.0)</f>
        <v>446</v>
      </c>
      <c r="F206" s="3">
        <f>IFERROR(__xludf.DUMMYFUNCTION("""COMPUTED_VALUE"""),66191.0)</f>
        <v>66191</v>
      </c>
      <c r="G206" s="3">
        <f>IFERROR(__xludf.DUMMYFUNCTION("""COMPUTED_VALUE"""),78973.0)</f>
        <v>78973</v>
      </c>
      <c r="H206" s="2" t="str">
        <f>IFERROR(__xludf.DUMMYFUNCTION("""COMPUTED_VALUE"""),"Himalayan Energy Ltd.")</f>
        <v>Himalayan Energy Ltd.</v>
      </c>
      <c r="I206" s="2" t="str">
        <f>IFERROR(__xludf.DUMMYFUNCTION("""COMPUTED_VALUE"""),"Kathmandu-31, POB no 9391, PN. 01-0785409 &amp; 9851173753; Email: 
bidurgautam@gmail.com")</f>
        <v>Kathmandu-31, POB no 9391, PN. 01-0785409 &amp; 9851173753; Email: 
bidurgautam@gmail.com</v>
      </c>
      <c r="J206" s="2" t="str">
        <f>IFERROR(__xludf.DUMMYFUNCTION("""COMPUTED_VALUE"""),"27o 47' 20""")</f>
        <v>27o 47' 20"</v>
      </c>
      <c r="K206" s="2" t="str">
        <f>IFERROR(__xludf.DUMMYFUNCTION("""COMPUTED_VALUE"""),"27o 48' 31""")</f>
        <v>27o 48' 31"</v>
      </c>
      <c r="L206" s="2" t="str">
        <f>IFERROR(__xludf.DUMMYFUNCTION("""COMPUTED_VALUE"""),"86o 03' 16""")</f>
        <v>86o 03' 16"</v>
      </c>
      <c r="M206" s="2" t="str">
        <f>IFERROR(__xludf.DUMMYFUNCTION("""COMPUTED_VALUE"""),"86o 03' 58""")</f>
        <v>86o 03' 58"</v>
      </c>
      <c r="N206" s="2" t="str">
        <f>IFERROR(__xludf.DUMMYFUNCTION("""COMPUTED_VALUE"""),"Khupachagu,Kalingchok (Dolakha)")</f>
        <v>Khupachagu,Kalingchok (Dolakha)</v>
      </c>
    </row>
    <row r="207">
      <c r="A207" s="2">
        <f>IFERROR(__xludf.DUMMYFUNCTION("""COMPUTED_VALUE"""),206.0)</f>
        <v>206</v>
      </c>
      <c r="B207" s="2" t="str">
        <f>IFERROR(__xludf.DUMMYFUNCTION("""COMPUTED_VALUE"""),"Lower Apsuwa HEP")</f>
        <v>Lower Apsuwa HEP</v>
      </c>
      <c r="C207" s="2">
        <f>IFERROR(__xludf.DUMMYFUNCTION("""COMPUTED_VALUE"""),54.0)</f>
        <v>54</v>
      </c>
      <c r="D207" s="2" t="str">
        <f>IFERROR(__xludf.DUMMYFUNCTION("""COMPUTED_VALUE"""),"Apsuwa")</f>
        <v>Apsuwa</v>
      </c>
      <c r="E207" s="2">
        <f>IFERROR(__xludf.DUMMYFUNCTION("""COMPUTED_VALUE"""),447.0)</f>
        <v>447</v>
      </c>
      <c r="F207" s="3">
        <f>IFERROR(__xludf.DUMMYFUNCTION("""COMPUTED_VALUE"""),66193.0)</f>
        <v>66193</v>
      </c>
      <c r="G207" s="3">
        <f>IFERROR(__xludf.DUMMYFUNCTION("""COMPUTED_VALUE"""),78975.0)</f>
        <v>78975</v>
      </c>
      <c r="H207" s="2" t="str">
        <f>IFERROR(__xludf.DUMMYFUNCTION("""COMPUTED_VALUE"""),"Mizu Energy Limited")</f>
        <v>Mizu Energy Limited</v>
      </c>
      <c r="I207" s="2" t="str">
        <f>IFERROR(__xludf.DUMMYFUNCTION("""COMPUTED_VALUE"""),"Kathmandu, mizuconstruction1@gmail.com Contact no. 9851036882")</f>
        <v>Kathmandu, mizuconstruction1@gmail.com Contact no. 9851036882</v>
      </c>
      <c r="J207" s="2" t="str">
        <f>IFERROR(__xludf.DUMMYFUNCTION("""COMPUTED_VALUE"""),"27o 30' 49""")</f>
        <v>27o 30' 49"</v>
      </c>
      <c r="K207" s="2" t="str">
        <f>IFERROR(__xludf.DUMMYFUNCTION("""COMPUTED_VALUE"""),"27o 33' 35""")</f>
        <v>27o 33' 35"</v>
      </c>
      <c r="L207" s="2" t="str">
        <f>IFERROR(__xludf.DUMMYFUNCTION("""COMPUTED_VALUE"""),"87o 10' 48""")</f>
        <v>87o 10' 48"</v>
      </c>
      <c r="M207" s="2" t="str">
        <f>IFERROR(__xludf.DUMMYFUNCTION("""COMPUTED_VALUE"""),"87o 14' 00""")</f>
        <v>87o 14' 00"</v>
      </c>
      <c r="N207" s="2" t="str">
        <f>IFERROR(__xludf.DUMMYFUNCTION("""COMPUTED_VALUE"""),"Makalu (Sankhuwasabha)")</f>
        <v>Makalu (Sankhuwasabha)</v>
      </c>
    </row>
    <row r="208">
      <c r="A208" s="2">
        <f>IFERROR(__xludf.DUMMYFUNCTION("""COMPUTED_VALUE"""),207.0)</f>
        <v>207</v>
      </c>
      <c r="B208" s="2" t="str">
        <f>IFERROR(__xludf.DUMMYFUNCTION("""COMPUTED_VALUE"""),"Rawa Khola HEP")</f>
        <v>Rawa Khola HEP</v>
      </c>
      <c r="C208" s="2">
        <f>IFERROR(__xludf.DUMMYFUNCTION("""COMPUTED_VALUE"""),5.4)</f>
        <v>5.4</v>
      </c>
      <c r="D208" s="2" t="str">
        <f>IFERROR(__xludf.DUMMYFUNCTION("""COMPUTED_VALUE"""),"Rawa")</f>
        <v>Rawa</v>
      </c>
      <c r="E208" s="2">
        <f>IFERROR(__xludf.DUMMYFUNCTION("""COMPUTED_VALUE"""),448.0)</f>
        <v>448</v>
      </c>
      <c r="F208" s="3">
        <f>IFERROR(__xludf.DUMMYFUNCTION("""COMPUTED_VALUE"""),66218.0)</f>
        <v>66218</v>
      </c>
      <c r="G208" s="3">
        <f>IFERROR(__xludf.DUMMYFUNCTION("""COMPUTED_VALUE"""),79000.0)</f>
        <v>79000</v>
      </c>
      <c r="H208" s="2" t="str">
        <f>IFERROR(__xludf.DUMMYFUNCTION("""COMPUTED_VALUE"""),"Halesi Hydropower Pvt. Ltd.")</f>
        <v>Halesi Hydropower Pvt. Ltd.</v>
      </c>
      <c r="I208" s="2" t="str">
        <f>IFERROR(__xludf.DUMMYFUNCTION("""COMPUTED_VALUE"""),"KTM-10, Buddhanagar, 01-4543545, 9851045552, halesihydropower@gmail.com")</f>
        <v>KTM-10, Buddhanagar, 01-4543545, 9851045552, halesihydropower@gmail.com</v>
      </c>
      <c r="J208" s="2" t="str">
        <f>IFERROR(__xludf.DUMMYFUNCTION("""COMPUTED_VALUE"""),"27o 18' 54""")</f>
        <v>27o 18' 54"</v>
      </c>
      <c r="K208" s="2" t="str">
        <f>IFERROR(__xludf.DUMMYFUNCTION("""COMPUTED_VALUE"""),"27o 20' 15""")</f>
        <v>27o 20' 15"</v>
      </c>
      <c r="L208" s="2" t="str">
        <f>IFERROR(__xludf.DUMMYFUNCTION("""COMPUTED_VALUE"""),"86o 45' 30""")</f>
        <v>86o 45' 30"</v>
      </c>
      <c r="M208" s="2" t="str">
        <f>IFERROR(__xludf.DUMMYFUNCTION("""COMPUTED_VALUE"""),"86o 47' 00""")</f>
        <v>86o 47' 00"</v>
      </c>
      <c r="N208" s="2" t="str">
        <f>IFERROR(__xludf.DUMMYFUNCTION("""COMPUTED_VALUE"""),"Magpa,Jalapa,Sapteswor,Rakha Bangdel (Khotang)")</f>
        <v>Magpa,Jalapa,Sapteswor,Rakha Bangdel (Khotang)</v>
      </c>
    </row>
    <row r="209">
      <c r="A209" s="2">
        <f>IFERROR(__xludf.DUMMYFUNCTION("""COMPUTED_VALUE"""),208.0)</f>
        <v>208</v>
      </c>
      <c r="B209" s="2" t="str">
        <f>IFERROR(__xludf.DUMMYFUNCTION("""COMPUTED_VALUE"""),"Gasali Khola Small HEP")</f>
        <v>Gasali Khola Small HEP</v>
      </c>
      <c r="C209" s="2">
        <f>IFERROR(__xludf.DUMMYFUNCTION("""COMPUTED_VALUE"""),4.5)</f>
        <v>4.5</v>
      </c>
      <c r="D209" s="2" t="str">
        <f>IFERROR(__xludf.DUMMYFUNCTION("""COMPUTED_VALUE"""),"Gasali")</f>
        <v>Gasali</v>
      </c>
      <c r="E209" s="2">
        <f>IFERROR(__xludf.DUMMYFUNCTION("""COMPUTED_VALUE"""),449.0)</f>
        <v>449</v>
      </c>
      <c r="F209" s="3">
        <f>IFERROR(__xludf.DUMMYFUNCTION("""COMPUTED_VALUE"""),66219.0)</f>
        <v>66219</v>
      </c>
      <c r="G209" s="3">
        <f>IFERROR(__xludf.DUMMYFUNCTION("""COMPUTED_VALUE"""),79001.0)</f>
        <v>79001</v>
      </c>
      <c r="H209" s="2" t="str">
        <f>IFERROR(__xludf.DUMMYFUNCTION("""COMPUTED_VALUE"""),"Himshila Power Company Ltd.")</f>
        <v>Himshila Power Company Ltd.</v>
      </c>
      <c r="I209" s="2" t="str">
        <f>IFERROR(__xludf.DUMMYFUNCTION("""COMPUTED_VALUE"""),"Babarmahal, Kathmandu, 01-4222934, 01-4225281")</f>
        <v>Babarmahal, Kathmandu, 01-4222934, 01-4225281</v>
      </c>
      <c r="J209" s="2" t="str">
        <f>IFERROR(__xludf.DUMMYFUNCTION("""COMPUTED_VALUE"""),"28o 04' 28""")</f>
        <v>28o 04' 28"</v>
      </c>
      <c r="K209" s="2" t="str">
        <f>IFERROR(__xludf.DUMMYFUNCTION("""COMPUTED_VALUE"""),"28o 05' 30""")</f>
        <v>28o 05' 30"</v>
      </c>
      <c r="L209" s="2" t="str">
        <f>IFERROR(__xludf.DUMMYFUNCTION("""COMPUTED_VALUE"""),"85o 00' 53""")</f>
        <v>85o 00' 53"</v>
      </c>
      <c r="M209" s="2" t="str">
        <f>IFERROR(__xludf.DUMMYFUNCTION("""COMPUTED_VALUE"""),"85o 02' 30""")</f>
        <v>85o 02' 30"</v>
      </c>
      <c r="N209" s="2" t="str">
        <f>IFERROR(__xludf.DUMMYFUNCTION("""COMPUTED_VALUE"""),"Jharlang,Darkha (Dhading)")</f>
        <v>Jharlang,Darkha (Dhading)</v>
      </c>
    </row>
    <row r="210">
      <c r="A210" s="2">
        <f>IFERROR(__xludf.DUMMYFUNCTION("""COMPUTED_VALUE"""),209.0)</f>
        <v>209</v>
      </c>
      <c r="B210" s="2" t="str">
        <f>IFERROR(__xludf.DUMMYFUNCTION("""COMPUTED_VALUE"""),"Thaligad Small HPP")</f>
        <v>Thaligad Small HPP</v>
      </c>
      <c r="C210" s="2">
        <f>IFERROR(__xludf.DUMMYFUNCTION("""COMPUTED_VALUE"""),2.0)</f>
        <v>2</v>
      </c>
      <c r="D210" s="2" t="str">
        <f>IFERROR(__xludf.DUMMYFUNCTION("""COMPUTED_VALUE"""),"Thaligad")</f>
        <v>Thaligad</v>
      </c>
      <c r="E210" s="2">
        <f>IFERROR(__xludf.DUMMYFUNCTION("""COMPUTED_VALUE"""),451.0)</f>
        <v>451</v>
      </c>
      <c r="F210" s="3">
        <f>IFERROR(__xludf.DUMMYFUNCTION("""COMPUTED_VALUE"""),66226.0)</f>
        <v>66226</v>
      </c>
      <c r="G210" s="3">
        <f>IFERROR(__xludf.DUMMYFUNCTION("""COMPUTED_VALUE"""),79008.0)</f>
        <v>79008</v>
      </c>
      <c r="H210" s="2" t="str">
        <f>IFERROR(__xludf.DUMMYFUNCTION("""COMPUTED_VALUE"""),"Trikal Power Company Pvt. Ltd")</f>
        <v>Trikal Power Company Pvt. Ltd</v>
      </c>
      <c r="I210" s="2" t="str">
        <f>IFERROR(__xludf.DUMMYFUNCTION("""COMPUTED_VALUE"""),"Kathmandu-10, Buddhanagar")</f>
        <v>Kathmandu-10, Buddhanagar</v>
      </c>
      <c r="J210" s="2" t="str">
        <f>IFERROR(__xludf.DUMMYFUNCTION("""COMPUTED_VALUE"""),"29o 46' 53""")</f>
        <v>29o 46' 53"</v>
      </c>
      <c r="K210" s="2" t="str">
        <f>IFERROR(__xludf.DUMMYFUNCTION("""COMPUTED_VALUE"""),"29o 47' 20""")</f>
        <v>29o 47' 20"</v>
      </c>
      <c r="L210" s="2" t="str">
        <f>IFERROR(__xludf.DUMMYFUNCTION("""COMPUTED_VALUE"""),"80o 30' 00""")</f>
        <v>80o 30' 00"</v>
      </c>
      <c r="M210" s="2" t="str">
        <f>IFERROR(__xludf.DUMMYFUNCTION("""COMPUTED_VALUE"""),"80o 32' 04""")</f>
        <v>80o 32' 04"</v>
      </c>
      <c r="N210" s="2" t="str">
        <f>IFERROR(__xludf.DUMMYFUNCTION("""COMPUTED_VALUE"""),"Dhap (Darchula)")</f>
        <v>Dhap (Darchula)</v>
      </c>
    </row>
    <row r="211">
      <c r="A211" s="2">
        <f>IFERROR(__xludf.DUMMYFUNCTION("""COMPUTED_VALUE"""),210.0)</f>
        <v>210</v>
      </c>
      <c r="B211" s="2" t="str">
        <f>IFERROR(__xludf.DUMMYFUNCTION("""COMPUTED_VALUE"""),"Hongu Khola I HEP")</f>
        <v>Hongu Khola I HEP</v>
      </c>
      <c r="C211" s="2">
        <f>IFERROR(__xludf.DUMMYFUNCTION("""COMPUTED_VALUE"""),30.0)</f>
        <v>30</v>
      </c>
      <c r="D211" s="2" t="str">
        <f>IFERROR(__xludf.DUMMYFUNCTION("""COMPUTED_VALUE"""),"Hongu Khola")</f>
        <v>Hongu Khola</v>
      </c>
      <c r="E211" s="2">
        <f>IFERROR(__xludf.DUMMYFUNCTION("""COMPUTED_VALUE"""),452.0)</f>
        <v>452</v>
      </c>
      <c r="F211" s="2" t="str">
        <f>IFERROR(__xludf.DUMMYFUNCTION("""COMPUTED_VALUE"""),"2081-04-31")</f>
        <v>2081-04-31</v>
      </c>
      <c r="G211" s="3">
        <f>IFERROR(__xludf.DUMMYFUNCTION("""COMPUTED_VALUE"""),79014.0)</f>
        <v>79014</v>
      </c>
      <c r="H211" s="2" t="str">
        <f>IFERROR(__xludf.DUMMYFUNCTION("""COMPUTED_VALUE"""),"IB Energy Pvt ltd")</f>
        <v>IB Energy Pvt ltd</v>
      </c>
      <c r="I211" s="2" t="str">
        <f>IFERROR(__xludf.DUMMYFUNCTION("""COMPUTED_VALUE"""),"Bluestar Complex, Tripureshwor, Kathmandu 01-4101140,01-4251080")</f>
        <v>Bluestar Complex, Tripureshwor, Kathmandu 01-4101140,01-4251080</v>
      </c>
      <c r="J211" s="2" t="str">
        <f>IFERROR(__xludf.DUMMYFUNCTION("""COMPUTED_VALUE"""),"27o 28' 30""")</f>
        <v>27o 28' 30"</v>
      </c>
      <c r="K211" s="2" t="str">
        <f>IFERROR(__xludf.DUMMYFUNCTION("""COMPUTED_VALUE"""),"27o 29' 39""")</f>
        <v>27o 29' 39"</v>
      </c>
      <c r="L211" s="2" t="str">
        <f>IFERROR(__xludf.DUMMYFUNCTION("""COMPUTED_VALUE"""),"86o 45' 49""")</f>
        <v>86o 45' 49"</v>
      </c>
      <c r="M211" s="2" t="str">
        <f>IFERROR(__xludf.DUMMYFUNCTION("""COMPUTED_VALUE"""),"86o 49' 06""")</f>
        <v>86o 49' 06"</v>
      </c>
      <c r="N211" s="2" t="str">
        <f>IFERROR(__xludf.DUMMYFUNCTION("""COMPUTED_VALUE"""),"Gudel,Sautang (Solukhumbu)")</f>
        <v>Gudel,Sautang (Solukhumbu)</v>
      </c>
    </row>
    <row r="212">
      <c r="A212" s="2">
        <f>IFERROR(__xludf.DUMMYFUNCTION("""COMPUTED_VALUE"""),211.0)</f>
        <v>211</v>
      </c>
      <c r="B212" s="2" t="str">
        <f>IFERROR(__xludf.DUMMYFUNCTION("""COMPUTED_VALUE"""),"Balephi Khola HEP")</f>
        <v>Balephi Khola HEP</v>
      </c>
      <c r="C212" s="2">
        <f>IFERROR(__xludf.DUMMYFUNCTION("""COMPUTED_VALUE"""),40.0)</f>
        <v>40</v>
      </c>
      <c r="D212" s="2" t="str">
        <f>IFERROR(__xludf.DUMMYFUNCTION("""COMPUTED_VALUE"""),"Balephi")</f>
        <v>Balephi</v>
      </c>
      <c r="E212" s="2">
        <f>IFERROR(__xludf.DUMMYFUNCTION("""COMPUTED_VALUE"""),453.0)</f>
        <v>453</v>
      </c>
      <c r="F212" s="3">
        <f>IFERROR(__xludf.DUMMYFUNCTION("""COMPUTED_VALUE"""),66237.0)</f>
        <v>66237</v>
      </c>
      <c r="G212" s="3">
        <f>IFERROR(__xludf.DUMMYFUNCTION("""COMPUTED_VALUE"""),79019.0)</f>
        <v>79019</v>
      </c>
      <c r="H212" s="2" t="str">
        <f>IFERROR(__xludf.DUMMYFUNCTION("""COMPUTED_VALUE"""),"Balephi Energy Pvt. Ltd")</f>
        <v>Balephi Energy Pvt. Ltd</v>
      </c>
      <c r="I212" s="2" t="str">
        <f>IFERROR(__xludf.DUMMYFUNCTION("""COMPUTED_VALUE"""),"New Baneshore, KMC-10, 01-4796030, 4791891")</f>
        <v>New Baneshore, KMC-10, 01-4796030, 4791891</v>
      </c>
      <c r="J212" s="2" t="str">
        <f>IFERROR(__xludf.DUMMYFUNCTION("""COMPUTED_VALUE"""),"27o 56' 26""")</f>
        <v>27o 56' 26"</v>
      </c>
      <c r="K212" s="2" t="str">
        <f>IFERROR(__xludf.DUMMYFUNCTION("""COMPUTED_VALUE"""),"27o 58' 59""")</f>
        <v>27o 58' 59"</v>
      </c>
      <c r="L212" s="2" t="str">
        <f>IFERROR(__xludf.DUMMYFUNCTION("""COMPUTED_VALUE"""),"85o 47' 05""")</f>
        <v>85o 47' 05"</v>
      </c>
      <c r="M212" s="2" t="str">
        <f>IFERROR(__xludf.DUMMYFUNCTION("""COMPUTED_VALUE"""),"85o 48' 20""")</f>
        <v>85o 48' 20"</v>
      </c>
      <c r="N212" s="2" t="str">
        <f>IFERROR(__xludf.DUMMYFUNCTION("""COMPUTED_VALUE"""),"Gumba (Sindhupalchok)")</f>
        <v>Gumba (Sindhupalchok)</v>
      </c>
    </row>
    <row r="213">
      <c r="A213" s="2">
        <f>IFERROR(__xludf.DUMMYFUNCTION("""COMPUTED_VALUE"""),212.0)</f>
        <v>212</v>
      </c>
      <c r="B213" s="2" t="str">
        <f>IFERROR(__xludf.DUMMYFUNCTION("""COMPUTED_VALUE"""),"Syalque Khola Small HEP")</f>
        <v>Syalque Khola Small HEP</v>
      </c>
      <c r="C213" s="2">
        <f>IFERROR(__xludf.DUMMYFUNCTION("""COMPUTED_VALUE"""),4.8)</f>
        <v>4.8</v>
      </c>
      <c r="D213" s="2" t="str">
        <f>IFERROR(__xludf.DUMMYFUNCTION("""COMPUTED_VALUE"""),"Syalque khola, Danque Khola")</f>
        <v>Syalque khola, Danque Khola</v>
      </c>
      <c r="E213" s="2">
        <f>IFERROR(__xludf.DUMMYFUNCTION("""COMPUTED_VALUE"""),454.0)</f>
        <v>454</v>
      </c>
      <c r="F213" s="3">
        <f>IFERROR(__xludf.DUMMYFUNCTION("""COMPUTED_VALUE"""),66238.0)</f>
        <v>66238</v>
      </c>
      <c r="G213" s="3">
        <f>IFERROR(__xludf.DUMMYFUNCTION("""COMPUTED_VALUE"""),79020.0)</f>
        <v>79020</v>
      </c>
      <c r="H213" s="2" t="str">
        <f>IFERROR(__xludf.DUMMYFUNCTION("""COMPUTED_VALUE"""),"Alliance Energy Solutions Pvt Ltd")</f>
        <v>Alliance Energy Solutions Pvt Ltd</v>
      </c>
      <c r="I213" s="2" t="str">
        <f>IFERROR(__xludf.DUMMYFUNCTION("""COMPUTED_VALUE"""),"Putalisadak, Kathmandu")</f>
        <v>Putalisadak, Kathmandu</v>
      </c>
      <c r="J213" s="2" t="str">
        <f>IFERROR(__xludf.DUMMYFUNCTION("""COMPUTED_VALUE"""),"28o 30' 55""")</f>
        <v>28o 30' 55"</v>
      </c>
      <c r="K213" s="2" t="str">
        <f>IFERROR(__xludf.DUMMYFUNCTION("""COMPUTED_VALUE"""),"28o 31' 53""")</f>
        <v>28o 31' 53"</v>
      </c>
      <c r="L213" s="2" t="str">
        <f>IFERROR(__xludf.DUMMYFUNCTION("""COMPUTED_VALUE"""),"84o 18' 14""")</f>
        <v>84o 18' 14"</v>
      </c>
      <c r="M213" s="2" t="str">
        <f>IFERROR(__xludf.DUMMYFUNCTION("""COMPUTED_VALUE"""),"84o 19' 18""")</f>
        <v>84o 19' 18"</v>
      </c>
      <c r="N213" s="2" t="str">
        <f>IFERROR(__xludf.DUMMYFUNCTION("""COMPUTED_VALUE"""),"Chame (Manang)")</f>
        <v>Chame (Manang)</v>
      </c>
    </row>
    <row r="214">
      <c r="A214" s="2">
        <f>IFERROR(__xludf.DUMMYFUNCTION("""COMPUTED_VALUE"""),213.0)</f>
        <v>213</v>
      </c>
      <c r="B214" s="2" t="str">
        <f>IFERROR(__xludf.DUMMYFUNCTION("""COMPUTED_VALUE"""),"Chainpur Seti HEP")</f>
        <v>Chainpur Seti HEP</v>
      </c>
      <c r="C214" s="2">
        <f>IFERROR(__xludf.DUMMYFUNCTION("""COMPUTED_VALUE"""),210.0)</f>
        <v>210</v>
      </c>
      <c r="D214" s="2" t="str">
        <f>IFERROR(__xludf.DUMMYFUNCTION("""COMPUTED_VALUE"""),"Seti (Far West)")</f>
        <v>Seti (Far West)</v>
      </c>
      <c r="E214" s="2">
        <f>IFERROR(__xludf.DUMMYFUNCTION("""COMPUTED_VALUE"""),455.0)</f>
        <v>455</v>
      </c>
      <c r="F214" s="3">
        <f>IFERROR(__xludf.DUMMYFUNCTION("""COMPUTED_VALUE"""),66240.0)</f>
        <v>66240</v>
      </c>
      <c r="G214" s="3">
        <f>IFERROR(__xludf.DUMMYFUNCTION("""COMPUTED_VALUE"""),79022.0)</f>
        <v>79022</v>
      </c>
      <c r="H214" s="2" t="str">
        <f>IFERROR(__xludf.DUMMYFUNCTION("""COMPUTED_VALUE"""),"Chainpur Seti Hydropower Company Limited")</f>
        <v>Chainpur Seti Hydropower Company Limited</v>
      </c>
      <c r="I214" s="2" t="str">
        <f>IFERROR(__xludf.DUMMYFUNCTION("""COMPUTED_VALUE"""),"Lalitpur-10, 01-4153243, chainpurseti@nea.org.np")</f>
        <v>Lalitpur-10, 01-4153243, chainpurseti@nea.org.np</v>
      </c>
      <c r="J214" s="2" t="str">
        <f>IFERROR(__xludf.DUMMYFUNCTION("""COMPUTED_VALUE"""),"29o 36' 20""")</f>
        <v>29o 36' 20"</v>
      </c>
      <c r="K214" s="2" t="str">
        <f>IFERROR(__xludf.DUMMYFUNCTION("""COMPUTED_VALUE"""),"29o 44' 40""")</f>
        <v>29o 44' 40"</v>
      </c>
      <c r="L214" s="2" t="str">
        <f>IFERROR(__xludf.DUMMYFUNCTION("""COMPUTED_VALUE"""),"81o 16' 00""")</f>
        <v>81o 16' 00"</v>
      </c>
      <c r="M214" s="2" t="str">
        <f>IFERROR(__xludf.DUMMYFUNCTION("""COMPUTED_VALUE"""),"81o 20' 15""")</f>
        <v>81o 20' 15"</v>
      </c>
      <c r="N214" s="2" t="str">
        <f>IFERROR(__xludf.DUMMYFUNCTION("""COMPUTED_VALUE"""),"Dhamena,Melbisauni,Kanda (Bajhang)")</f>
        <v>Dhamena,Melbisauni,Kanda (Bajhang)</v>
      </c>
    </row>
    <row r="215">
      <c r="A215" s="2">
        <f>IFERROR(__xludf.DUMMYFUNCTION("""COMPUTED_VALUE"""),214.0)</f>
        <v>214</v>
      </c>
      <c r="B215" s="2" t="str">
        <f>IFERROR(__xludf.DUMMYFUNCTION("""COMPUTED_VALUE"""),"Daraudi Nadi HEP")</f>
        <v>Daraudi Nadi HEP</v>
      </c>
      <c r="C215" s="2">
        <f>IFERROR(__xludf.DUMMYFUNCTION("""COMPUTED_VALUE"""),9.84)</f>
        <v>9.84</v>
      </c>
      <c r="D215" s="2" t="str">
        <f>IFERROR(__xludf.DUMMYFUNCTION("""COMPUTED_VALUE"""),"Daraudi")</f>
        <v>Daraudi</v>
      </c>
      <c r="E215" s="2">
        <f>IFERROR(__xludf.DUMMYFUNCTION("""COMPUTED_VALUE"""),456.0)</f>
        <v>456</v>
      </c>
      <c r="F215" s="3">
        <f>IFERROR(__xludf.DUMMYFUNCTION("""COMPUTED_VALUE"""),66259.0)</f>
        <v>66259</v>
      </c>
      <c r="G215" s="3">
        <f>IFERROR(__xludf.DUMMYFUNCTION("""COMPUTED_VALUE"""),79041.0)</f>
        <v>79041</v>
      </c>
      <c r="H215" s="2" t="str">
        <f>IFERROR(__xludf.DUMMYFUNCTION("""COMPUTED_VALUE"""),"Manakamana Daraudi Hydropower Company Limited")</f>
        <v>Manakamana Daraudi Hydropower Company Limited</v>
      </c>
      <c r="I215" s="2" t="str">
        <f>IFERROR(__xludf.DUMMYFUNCTION("""COMPUTED_VALUE"""),"Bagbazaar, Kathmandu")</f>
        <v>Bagbazaar, Kathmandu</v>
      </c>
      <c r="J215" s="2" t="str">
        <f>IFERROR(__xludf.DUMMYFUNCTION("""COMPUTED_VALUE"""),"27o 55' 10""")</f>
        <v>27o 55' 10"</v>
      </c>
      <c r="K215" s="2" t="str">
        <f>IFERROR(__xludf.DUMMYFUNCTION("""COMPUTED_VALUE"""),"27o 57' 40""")</f>
        <v>27o 57' 40"</v>
      </c>
      <c r="L215" s="2" t="str">
        <f>IFERROR(__xludf.DUMMYFUNCTION("""COMPUTED_VALUE"""),"84o 32' 00""")</f>
        <v>84o 32' 00"</v>
      </c>
      <c r="M215" s="2" t="str">
        <f>IFERROR(__xludf.DUMMYFUNCTION("""COMPUTED_VALUE"""),"84o 33' 35""")</f>
        <v>84o 33' 35"</v>
      </c>
      <c r="N215" s="2" t="str">
        <f>IFERROR(__xludf.DUMMYFUNCTION("""COMPUTED_VALUE"""),"Palungtar (Gorkha)")</f>
        <v>Palungtar (Gorkha)</v>
      </c>
    </row>
    <row r="216">
      <c r="A216" s="2">
        <f>IFERROR(__xludf.DUMMYFUNCTION("""COMPUTED_VALUE"""),215.0)</f>
        <v>215</v>
      </c>
      <c r="B216" s="2" t="str">
        <f>IFERROR(__xludf.DUMMYFUNCTION("""COMPUTED_VALUE"""),"Lower Thulo Khola HEP (RoR Cascade)")</f>
        <v>Lower Thulo Khola HEP (RoR Cascade)</v>
      </c>
      <c r="C216" s="2">
        <f>IFERROR(__xludf.DUMMYFUNCTION("""COMPUTED_VALUE"""),4.75)</f>
        <v>4.75</v>
      </c>
      <c r="D216" s="2" t="str">
        <f>IFERROR(__xludf.DUMMYFUNCTION("""COMPUTED_VALUE"""),"Thulo Khola")</f>
        <v>Thulo Khola</v>
      </c>
      <c r="E216" s="2">
        <f>IFERROR(__xludf.DUMMYFUNCTION("""COMPUTED_VALUE"""),458.0)</f>
        <v>458</v>
      </c>
      <c r="F216" s="3">
        <f>IFERROR(__xludf.DUMMYFUNCTION("""COMPUTED_VALUE"""),66269.0)</f>
        <v>66269</v>
      </c>
      <c r="G216" s="3">
        <f>IFERROR(__xludf.DUMMYFUNCTION("""COMPUTED_VALUE"""),79051.0)</f>
        <v>79051</v>
      </c>
      <c r="H216" s="2" t="str">
        <f>IFERROR(__xludf.DUMMYFUNCTION("""COMPUTED_VALUE"""),"Chitwan Energy Limited")</f>
        <v>Chitwan Energy Limited</v>
      </c>
      <c r="I216" s="2" t="str">
        <f>IFERROR(__xludf.DUMMYFUNCTION("""COMPUTED_VALUE"""),"Kupondole Lalitpur, Contact No. 9851166725 (Subhash Chandra Baral)")</f>
        <v>Kupondole Lalitpur, Contact No. 9851166725 (Subhash Chandra Baral)</v>
      </c>
      <c r="J216" s="2" t="str">
        <f>IFERROR(__xludf.DUMMYFUNCTION("""COMPUTED_VALUE"""),"28o 31' 51""")</f>
        <v>28o 31' 51"</v>
      </c>
      <c r="K216" s="2" t="str">
        <f>IFERROR(__xludf.DUMMYFUNCTION("""COMPUTED_VALUE"""),"28o 32' 46""")</f>
        <v>28o 32' 46"</v>
      </c>
      <c r="L216" s="2" t="str">
        <f>IFERROR(__xludf.DUMMYFUNCTION("""COMPUTED_VALUE"""),"83o 30' 32""")</f>
        <v>83o 30' 32"</v>
      </c>
      <c r="M216" s="2" t="str">
        <f>IFERROR(__xludf.DUMMYFUNCTION("""COMPUTED_VALUE"""),"83o 31' 19""")</f>
        <v>83o 31' 19"</v>
      </c>
      <c r="N216" s="2" t="str">
        <f>IFERROR(__xludf.DUMMYFUNCTION("""COMPUTED_VALUE"""),"Chimkhola,Kuinemangale (Myagdi)")</f>
        <v>Chimkhola,Kuinemangale (Myagdi)</v>
      </c>
    </row>
    <row r="217">
      <c r="A217" s="2">
        <f>IFERROR(__xludf.DUMMYFUNCTION("""COMPUTED_VALUE"""),216.0)</f>
        <v>216</v>
      </c>
      <c r="B217" s="2" t="str">
        <f>IFERROR(__xludf.DUMMYFUNCTION("""COMPUTED_VALUE"""),"Palun khola 1 HEP")</f>
        <v>Palun khola 1 HEP</v>
      </c>
      <c r="C217" s="2">
        <f>IFERROR(__xludf.DUMMYFUNCTION("""COMPUTED_VALUE"""),30.0)</f>
        <v>30</v>
      </c>
      <c r="D217" s="2" t="str">
        <f>IFERROR(__xludf.DUMMYFUNCTION("""COMPUTED_VALUE"""),"Palun Khola")</f>
        <v>Palun Khola</v>
      </c>
      <c r="E217" s="2">
        <f>IFERROR(__xludf.DUMMYFUNCTION("""COMPUTED_VALUE"""),459.0)</f>
        <v>459</v>
      </c>
      <c r="F217" s="3">
        <f>IFERROR(__xludf.DUMMYFUNCTION("""COMPUTED_VALUE"""),66269.0)</f>
        <v>66269</v>
      </c>
      <c r="G217" s="3">
        <f>IFERROR(__xludf.DUMMYFUNCTION("""COMPUTED_VALUE"""),79051.0)</f>
        <v>79051</v>
      </c>
      <c r="H217" s="2" t="str">
        <f>IFERROR(__xludf.DUMMYFUNCTION("""COMPUTED_VALUE"""),"Trust Energy Pvt. Ltd.")</f>
        <v>Trust Energy Pvt. Ltd.</v>
      </c>
      <c r="I217" s="2" t="str">
        <f>IFERROR(__xludf.DUMMYFUNCTION("""COMPUTED_VALUE"""),"Kathmandu 3, Maharajgunj, Contact No. 4410001, 9851110896")</f>
        <v>Kathmandu 3, Maharajgunj, Contact No. 4410001, 9851110896</v>
      </c>
      <c r="J217" s="2" t="str">
        <f>IFERROR(__xludf.DUMMYFUNCTION("""COMPUTED_VALUE"""),"27o 33' 55""")</f>
        <v>27o 33' 55"</v>
      </c>
      <c r="K217" s="2" t="str">
        <f>IFERROR(__xludf.DUMMYFUNCTION("""COMPUTED_VALUE"""),"27o 35' 52""")</f>
        <v>27o 35' 52"</v>
      </c>
      <c r="L217" s="2" t="str">
        <f>IFERROR(__xludf.DUMMYFUNCTION("""COMPUTED_VALUE"""),"87o 37' 42""")</f>
        <v>87o 37' 42"</v>
      </c>
      <c r="M217" s="2" t="str">
        <f>IFERROR(__xludf.DUMMYFUNCTION("""COMPUTED_VALUE"""),"87o 39' 16""")</f>
        <v>87o 39' 16"</v>
      </c>
      <c r="N217" s="2" t="str">
        <f>IFERROR(__xludf.DUMMYFUNCTION("""COMPUTED_VALUE"""),"Papung (Taplejung)")</f>
        <v>Papung (Taplejung)</v>
      </c>
    </row>
    <row r="218">
      <c r="A218" s="2">
        <f>IFERROR(__xludf.DUMMYFUNCTION("""COMPUTED_VALUE"""),217.0)</f>
        <v>217</v>
      </c>
      <c r="B218" s="2" t="str">
        <f>IFERROR(__xludf.DUMMYFUNCTION("""COMPUTED_VALUE"""),"Lower Tawakhola HEP")</f>
        <v>Lower Tawakhola HEP</v>
      </c>
      <c r="C218" s="2">
        <f>IFERROR(__xludf.DUMMYFUNCTION("""COMPUTED_VALUE"""),7.1)</f>
        <v>7.1</v>
      </c>
      <c r="D218" s="2" t="str">
        <f>IFERROR(__xludf.DUMMYFUNCTION("""COMPUTED_VALUE"""),"Tawa Khola")</f>
        <v>Tawa Khola</v>
      </c>
      <c r="E218" s="2">
        <f>IFERROR(__xludf.DUMMYFUNCTION("""COMPUTED_VALUE"""),460.0)</f>
        <v>460</v>
      </c>
      <c r="F218" s="3">
        <f>IFERROR(__xludf.DUMMYFUNCTION("""COMPUTED_VALUE"""),66275.0)</f>
        <v>66275</v>
      </c>
      <c r="G218" s="3">
        <f>IFERROR(__xludf.DUMMYFUNCTION("""COMPUTED_VALUE"""),79057.0)</f>
        <v>79057</v>
      </c>
      <c r="H218" s="2" t="str">
        <f>IFERROR(__xludf.DUMMYFUNCTION("""COMPUTED_VALUE"""),"TawaNova Energy Pvt. Ltd.")</f>
        <v>TawaNova Energy Pvt. Ltd.</v>
      </c>
      <c r="I218" s="2" t="str">
        <f>IFERROR(__xludf.DUMMYFUNCTION("""COMPUTED_VALUE"""),"Kalopul, Kathmandu, 9820000444")</f>
        <v>Kalopul, Kathmandu, 9820000444</v>
      </c>
      <c r="J218" s="2" t="str">
        <f>IFERROR(__xludf.DUMMYFUNCTION("""COMPUTED_VALUE"""),"27o 21' 40""")</f>
        <v>27o 21' 40"</v>
      </c>
      <c r="K218" s="2" t="str">
        <f>IFERROR(__xludf.DUMMYFUNCTION("""COMPUTED_VALUE"""),"27o 22' 20""")</f>
        <v>27o 22' 20"</v>
      </c>
      <c r="L218" s="2" t="str">
        <f>IFERROR(__xludf.DUMMYFUNCTION("""COMPUTED_VALUE"""),"87o 51' 42""")</f>
        <v>87o 51' 42"</v>
      </c>
      <c r="M218" s="2" t="str">
        <f>IFERROR(__xludf.DUMMYFUNCTION("""COMPUTED_VALUE"""),"87o 53' 23""")</f>
        <v>87o 53' 23"</v>
      </c>
      <c r="N218" s="2" t="str">
        <f>IFERROR(__xludf.DUMMYFUNCTION("""COMPUTED_VALUE"""),"Paidang,Mehele,Tellok (Taplejung)")</f>
        <v>Paidang,Mehele,Tellok (Taplejung)</v>
      </c>
    </row>
    <row r="219">
      <c r="A219" s="2">
        <f>IFERROR(__xludf.DUMMYFUNCTION("""COMPUTED_VALUE"""),218.0)</f>
        <v>218</v>
      </c>
      <c r="B219" s="2" t="str">
        <f>IFERROR(__xludf.DUMMYFUNCTION("""COMPUTED_VALUE"""),"Super Iwa Khola HEP")</f>
        <v>Super Iwa Khola HEP</v>
      </c>
      <c r="C219" s="2">
        <f>IFERROR(__xludf.DUMMYFUNCTION("""COMPUTED_VALUE"""),4.795)</f>
        <v>4.795</v>
      </c>
      <c r="D219" s="2" t="str">
        <f>IFERROR(__xludf.DUMMYFUNCTION("""COMPUTED_VALUE"""),"Iwa Khola")</f>
        <v>Iwa Khola</v>
      </c>
      <c r="E219" s="2">
        <f>IFERROR(__xludf.DUMMYFUNCTION("""COMPUTED_VALUE"""),461.0)</f>
        <v>461</v>
      </c>
      <c r="F219" s="3">
        <f>IFERROR(__xludf.DUMMYFUNCTION("""COMPUTED_VALUE"""),66294.0)</f>
        <v>66294</v>
      </c>
      <c r="G219" s="3">
        <f>IFERROR(__xludf.DUMMYFUNCTION("""COMPUTED_VALUE"""),79076.0)</f>
        <v>79076</v>
      </c>
      <c r="H219" s="2" t="str">
        <f>IFERROR(__xludf.DUMMYFUNCTION("""COMPUTED_VALUE"""),"Kanchanjunga Hydro Energy Pvt. Ltd")</f>
        <v>Kanchanjunga Hydro Energy Pvt. Ltd</v>
      </c>
      <c r="I219" s="2" t="str">
        <f>IFERROR(__xludf.DUMMYFUNCTION("""COMPUTED_VALUE"""),"Ka. Ma. Na. Pa 35")</f>
        <v>Ka. Ma. Na. Pa 35</v>
      </c>
      <c r="J219" s="2" t="str">
        <f>IFERROR(__xludf.DUMMYFUNCTION("""COMPUTED_VALUE"""),"27o 18' 26""")</f>
        <v>27o 18' 26"</v>
      </c>
      <c r="K219" s="2" t="str">
        <f>IFERROR(__xludf.DUMMYFUNCTION("""COMPUTED_VALUE"""),"27o 19' 16""")</f>
        <v>27o 19' 16"</v>
      </c>
      <c r="L219" s="2" t="str">
        <f>IFERROR(__xludf.DUMMYFUNCTION("""COMPUTED_VALUE"""),"87o 58' 37""")</f>
        <v>87o 58' 37"</v>
      </c>
      <c r="M219" s="2" t="str">
        <f>IFERROR(__xludf.DUMMYFUNCTION("""COMPUTED_VALUE"""),"87o 59' 49""")</f>
        <v>87o 59' 49"</v>
      </c>
      <c r="N219" s="2" t="str">
        <f>IFERROR(__xludf.DUMMYFUNCTION("""COMPUTED_VALUE"""),"Sadewa (Taplejung)")</f>
        <v>Sadewa (Taplejung)</v>
      </c>
    </row>
    <row r="220">
      <c r="A220" s="2">
        <f>IFERROR(__xludf.DUMMYFUNCTION("""COMPUTED_VALUE"""),219.0)</f>
        <v>219</v>
      </c>
      <c r="B220" s="2" t="str">
        <f>IFERROR(__xludf.DUMMYFUNCTION("""COMPUTED_VALUE"""),"Chepe Khola Cascade Hydropower Project")</f>
        <v>Chepe Khola Cascade Hydropower Project</v>
      </c>
      <c r="C220" s="2">
        <f>IFERROR(__xludf.DUMMYFUNCTION("""COMPUTED_VALUE"""),2.0)</f>
        <v>2</v>
      </c>
      <c r="D220" s="2" t="str">
        <f>IFERROR(__xludf.DUMMYFUNCTION("""COMPUTED_VALUE"""),"Chepe Khola")</f>
        <v>Chepe Khola</v>
      </c>
      <c r="E220" s="2">
        <f>IFERROR(__xludf.DUMMYFUNCTION("""COMPUTED_VALUE"""),462.0)</f>
        <v>462</v>
      </c>
      <c r="F220" s="3">
        <f>IFERROR(__xludf.DUMMYFUNCTION("""COMPUTED_VALUE"""),66299.0)</f>
        <v>66299</v>
      </c>
      <c r="G220" s="3">
        <f>IFERROR(__xludf.DUMMYFUNCTION("""COMPUTED_VALUE"""),79081.0)</f>
        <v>79081</v>
      </c>
      <c r="H220" s="2" t="str">
        <f>IFERROR(__xludf.DUMMYFUNCTION("""COMPUTED_VALUE"""),"Aashutosh Energy Limited")</f>
        <v>Aashutosh Energy Limited</v>
      </c>
      <c r="I220" s="2" t="str">
        <f>IFERROR(__xludf.DUMMYFUNCTION("""COMPUTED_VALUE"""),"KMC - 30, Gyaneshower, Kathmandu, 01-5245059")</f>
        <v>KMC - 30, Gyaneshower, Kathmandu, 01-5245059</v>
      </c>
      <c r="J220" s="2" t="str">
        <f>IFERROR(__xludf.DUMMYFUNCTION("""COMPUTED_VALUE"""),"28o 10' 39""")</f>
        <v>28o 10' 39"</v>
      </c>
      <c r="K220" s="2" t="str">
        <f>IFERROR(__xludf.DUMMYFUNCTION("""COMPUTED_VALUE"""),"28o 11' 20""")</f>
        <v>28o 11' 20"</v>
      </c>
      <c r="L220" s="2" t="str">
        <f>IFERROR(__xludf.DUMMYFUNCTION("""COMPUTED_VALUE"""),"84o 37' 05""")</f>
        <v>84o 37' 05"</v>
      </c>
      <c r="M220" s="2" t="str">
        <f>IFERROR(__xludf.DUMMYFUNCTION("""COMPUTED_VALUE"""),"84o 37' 43""")</f>
        <v>84o 37' 43"</v>
      </c>
      <c r="N220" s="2" t="str">
        <f>IFERROR(__xludf.DUMMYFUNCTION("""COMPUTED_VALUE"""),"Hanspur (Gorkha) Dudhpokhari (Lamjung)")</f>
        <v>Hanspur (Gorkha) Dudhpokhari (Lamjung)</v>
      </c>
    </row>
    <row r="221">
      <c r="A221" s="2">
        <f>IFERROR(__xludf.DUMMYFUNCTION("""COMPUTED_VALUE"""),220.0)</f>
        <v>220</v>
      </c>
      <c r="B221" s="2" t="str">
        <f>IFERROR(__xludf.DUMMYFUNCTION("""COMPUTED_VALUE"""),"Sankhuwa Khola HEP")</f>
        <v>Sankhuwa Khola HEP</v>
      </c>
      <c r="C221" s="2">
        <f>IFERROR(__xludf.DUMMYFUNCTION("""COMPUTED_VALUE"""),41.061)</f>
        <v>41.061</v>
      </c>
      <c r="D221" s="2" t="str">
        <f>IFERROR(__xludf.DUMMYFUNCTION("""COMPUTED_VALUE"""),"Sankhuwa")</f>
        <v>Sankhuwa</v>
      </c>
      <c r="E221" s="2">
        <f>IFERROR(__xludf.DUMMYFUNCTION("""COMPUTED_VALUE"""),463.0)</f>
        <v>463</v>
      </c>
      <c r="F221" s="3">
        <f>IFERROR(__xludf.DUMMYFUNCTION("""COMPUTED_VALUE"""),66329.0)</f>
        <v>66329</v>
      </c>
      <c r="G221" s="3">
        <f>IFERROR(__xludf.DUMMYFUNCTION("""COMPUTED_VALUE"""),79111.0)</f>
        <v>79111</v>
      </c>
      <c r="H221" s="2" t="str">
        <f>IFERROR(__xludf.DUMMYFUNCTION("""COMPUTED_VALUE"""),"Gurans Hydro Ltd")</f>
        <v>Gurans Hydro Ltd</v>
      </c>
      <c r="I221" s="2" t="str">
        <f>IFERROR(__xludf.DUMMYFUNCTION("""COMPUTED_VALUE"""),"SC House, Dhobighat-3, Lalitpur, Nepal")</f>
        <v>SC House, Dhobighat-3, Lalitpur, Nepal</v>
      </c>
      <c r="J221" s="2" t="str">
        <f>IFERROR(__xludf.DUMMYFUNCTION("""COMPUTED_VALUE"""),"27o 25' 40""")</f>
        <v>27o 25' 40"</v>
      </c>
      <c r="K221" s="2" t="str">
        <f>IFERROR(__xludf.DUMMYFUNCTION("""COMPUTED_VALUE"""),"27o 28' 39""")</f>
        <v>27o 28' 39"</v>
      </c>
      <c r="L221" s="2" t="str">
        <f>IFERROR(__xludf.DUMMYFUNCTION("""COMPUTED_VALUE"""),"87o 05' 00""")</f>
        <v>87o 05' 00"</v>
      </c>
      <c r="M221" s="2" t="str">
        <f>IFERROR(__xludf.DUMMYFUNCTION("""COMPUTED_VALUE"""),"87o 08' 30""")</f>
        <v>87o 08' 30"</v>
      </c>
      <c r="N221" s="2" t="str">
        <f>IFERROR(__xludf.DUMMYFUNCTION("""COMPUTED_VALUE"""),"Kulunga (Bhojpur) Bala,Sisuwakhola,Tamku (Sankhuwasabha)")</f>
        <v>Kulunga (Bhojpur) Bala,Sisuwakhola,Tamku (Sankhuwasabha)</v>
      </c>
    </row>
    <row r="222">
      <c r="A222" s="2">
        <f>IFERROR(__xludf.DUMMYFUNCTION("""COMPUTED_VALUE"""),221.0)</f>
        <v>221</v>
      </c>
      <c r="B222" s="2" t="str">
        <f>IFERROR(__xludf.DUMMYFUNCTION("""COMPUTED_VALUE"""),"Devdhunga Chaku Khola HEP")</f>
        <v>Devdhunga Chaku Khola HEP</v>
      </c>
      <c r="C222" s="2">
        <f>IFERROR(__xludf.DUMMYFUNCTION("""COMPUTED_VALUE"""),3.56)</f>
        <v>3.56</v>
      </c>
      <c r="D222" s="2" t="str">
        <f>IFERROR(__xludf.DUMMYFUNCTION("""COMPUTED_VALUE"""),"Chaku and Devdhunga")</f>
        <v>Chaku and Devdhunga</v>
      </c>
      <c r="E222" s="2">
        <f>IFERROR(__xludf.DUMMYFUNCTION("""COMPUTED_VALUE"""),464.0)</f>
        <v>464</v>
      </c>
      <c r="F222" s="3">
        <f>IFERROR(__xludf.DUMMYFUNCTION("""COMPUTED_VALUE"""),66332.0)</f>
        <v>66332</v>
      </c>
      <c r="G222" s="3">
        <f>IFERROR(__xludf.DUMMYFUNCTION("""COMPUTED_VALUE"""),79114.0)</f>
        <v>79114</v>
      </c>
      <c r="H222" s="2" t="str">
        <f>IFERROR(__xludf.DUMMYFUNCTION("""COMPUTED_VALUE"""),"Devdhunga Malika Hydropower Pvt. Ltd")</f>
        <v>Devdhunga Malika Hydropower Pvt. Ltd</v>
      </c>
      <c r="I222" s="2" t="str">
        <f>IFERROR(__xludf.DUMMYFUNCTION("""COMPUTED_VALUE"""),"New Baneshwor, Kathmandu, 9851229755, 01-4480251")</f>
        <v>New Baneshwor, Kathmandu, 9851229755, 01-4480251</v>
      </c>
      <c r="J222" s="2" t="str">
        <f>IFERROR(__xludf.DUMMYFUNCTION("""COMPUTED_VALUE"""),"27o 51' 15""")</f>
        <v>27o 51' 15"</v>
      </c>
      <c r="K222" s="2" t="str">
        <f>IFERROR(__xludf.DUMMYFUNCTION("""COMPUTED_VALUE"""),"27o 52' 05""")</f>
        <v>27o 52' 05"</v>
      </c>
      <c r="L222" s="2" t="str">
        <f>IFERROR(__xludf.DUMMYFUNCTION("""COMPUTED_VALUE"""),"85o 58' 08""")</f>
        <v>85o 58' 08"</v>
      </c>
      <c r="M222" s="2" t="str">
        <f>IFERROR(__xludf.DUMMYFUNCTION("""COMPUTED_VALUE"""),"85o 59' 39""")</f>
        <v>85o 59' 39"</v>
      </c>
      <c r="N222" s="2" t="str">
        <f>IFERROR(__xludf.DUMMYFUNCTION("""COMPUTED_VALUE"""),"Marbin,Fulpingkot (Sindhupalchok)")</f>
        <v>Marbin,Fulpingkot (Sindhupalchok)</v>
      </c>
    </row>
    <row r="223">
      <c r="A223" s="2">
        <f>IFERROR(__xludf.DUMMYFUNCTION("""COMPUTED_VALUE"""),222.0)</f>
        <v>222</v>
      </c>
      <c r="B223" s="2" t="str">
        <f>IFERROR(__xludf.DUMMYFUNCTION("""COMPUTED_VALUE"""),"Budhi Gandaki Prok Khola HEP")</f>
        <v>Budhi Gandaki Prok Khola HEP</v>
      </c>
      <c r="C223" s="2">
        <f>IFERROR(__xludf.DUMMYFUNCTION("""COMPUTED_VALUE"""),81.0)</f>
        <v>81</v>
      </c>
      <c r="D223" s="2" t="str">
        <f>IFERROR(__xludf.DUMMYFUNCTION("""COMPUTED_VALUE"""),"Budhi Gandaki")</f>
        <v>Budhi Gandaki</v>
      </c>
      <c r="E223" s="2">
        <f>IFERROR(__xludf.DUMMYFUNCTION("""COMPUTED_VALUE"""),465.0)</f>
        <v>465</v>
      </c>
      <c r="F223" s="3">
        <f>IFERROR(__xludf.DUMMYFUNCTION("""COMPUTED_VALUE"""),66356.0)</f>
        <v>66356</v>
      </c>
      <c r="G223" s="3">
        <f>IFERROR(__xludf.DUMMYFUNCTION("""COMPUTED_VALUE"""),79138.0)</f>
        <v>79138</v>
      </c>
      <c r="H223" s="2" t="str">
        <f>IFERROR(__xludf.DUMMYFUNCTION("""COMPUTED_VALUE"""),"Chilime Hydropower Company Limited")</f>
        <v>Chilime Hydropower Company Limited</v>
      </c>
      <c r="I223" s="2" t="str">
        <f>IFERROR(__xludf.DUMMYFUNCTION("""COMPUTED_VALUE"""),"Dhumbarahi, Kathmandu, 01-4370720")</f>
        <v>Dhumbarahi, Kathmandu, 01-4370720</v>
      </c>
      <c r="J223" s="2" t="str">
        <f>IFERROR(__xludf.DUMMYFUNCTION("""COMPUTED_VALUE"""),"28o 30' 38""")</f>
        <v>28o 30' 38"</v>
      </c>
      <c r="K223" s="2" t="str">
        <f>IFERROR(__xludf.DUMMYFUNCTION("""COMPUTED_VALUE"""),"28o 33' 00""")</f>
        <v>28o 33' 00"</v>
      </c>
      <c r="L223" s="2" t="str">
        <f>IFERROR(__xludf.DUMMYFUNCTION("""COMPUTED_VALUE"""),"84o 48' 35""")</f>
        <v>84o 48' 35"</v>
      </c>
      <c r="M223" s="2" t="str">
        <f>IFERROR(__xludf.DUMMYFUNCTION("""COMPUTED_VALUE"""),"84o 52' 00""")</f>
        <v>84o 52' 00"</v>
      </c>
      <c r="N223" s="2" t="str">
        <f>IFERROR(__xludf.DUMMYFUNCTION("""COMPUTED_VALUE"""),"Bihi,Lho,Prok (Gorkha)")</f>
        <v>Bihi,Lho,Prok (Gorkha)</v>
      </c>
    </row>
    <row r="224">
      <c r="A224" s="2">
        <f>IFERROR(__xludf.DUMMYFUNCTION("""COMPUTED_VALUE"""),223.0)</f>
        <v>223</v>
      </c>
      <c r="B224" s="2" t="str">
        <f>IFERROR(__xludf.DUMMYFUNCTION("""COMPUTED_VALUE"""),"Dhaula Khola HEP")</f>
        <v>Dhaula Khola HEP</v>
      </c>
      <c r="C224" s="2">
        <f>IFERROR(__xludf.DUMMYFUNCTION("""COMPUTED_VALUE"""),10.8)</f>
        <v>10.8</v>
      </c>
      <c r="D224" s="2" t="str">
        <f>IFERROR(__xludf.DUMMYFUNCTION("""COMPUTED_VALUE"""),"Dhaula, khewas")</f>
        <v>Dhaula, khewas</v>
      </c>
      <c r="E224" s="2">
        <f>IFERROR(__xludf.DUMMYFUNCTION("""COMPUTED_VALUE"""),466.0)</f>
        <v>466</v>
      </c>
      <c r="F224" s="3">
        <f>IFERROR(__xludf.DUMMYFUNCTION("""COMPUTED_VALUE"""),66426.0)</f>
        <v>66426</v>
      </c>
      <c r="G224" s="3">
        <f>IFERROR(__xludf.DUMMYFUNCTION("""COMPUTED_VALUE"""),79208.0)</f>
        <v>79208</v>
      </c>
      <c r="H224" s="2" t="str">
        <f>IFERROR(__xludf.DUMMYFUNCTION("""COMPUTED_VALUE"""),"Dhaulashree Power Company Private Limited")</f>
        <v>Dhaulashree Power Company Private Limited</v>
      </c>
      <c r="I224" s="2" t="str">
        <f>IFERROR(__xludf.DUMMYFUNCTION("""COMPUTED_VALUE"""),"Ka. Ma. Na. Pa- 31, Minbhawan, Kathmandu")</f>
        <v>Ka. Ma. Na. Pa- 31, Minbhawan, Kathmandu</v>
      </c>
      <c r="J224" s="2" t="str">
        <f>IFERROR(__xludf.DUMMYFUNCTION("""COMPUTED_VALUE"""),"28o 34' 10""")</f>
        <v>28o 34' 10"</v>
      </c>
      <c r="K224" s="2" t="str">
        <f>IFERROR(__xludf.DUMMYFUNCTION("""COMPUTED_VALUE"""),"28o 35' 16""")</f>
        <v>28o 35' 16"</v>
      </c>
      <c r="L224" s="2" t="str">
        <f>IFERROR(__xludf.DUMMYFUNCTION("""COMPUTED_VALUE"""),"83o 14' 14""")</f>
        <v>83o 14' 14"</v>
      </c>
      <c r="M224" s="2" t="str">
        <f>IFERROR(__xludf.DUMMYFUNCTION("""COMPUTED_VALUE"""),"83o 17' 22""")</f>
        <v>83o 17' 22"</v>
      </c>
      <c r="N224" s="2" t="str">
        <f>IFERROR(__xludf.DUMMYFUNCTION("""COMPUTED_VALUE"""),"Gurja (Myagdi)")</f>
        <v>Gurja (Myagdi)</v>
      </c>
    </row>
    <row r="225">
      <c r="A225" s="2">
        <f>IFERROR(__xludf.DUMMYFUNCTION("""COMPUTED_VALUE"""),224.0)</f>
        <v>224</v>
      </c>
      <c r="B225" s="2" t="str">
        <f>IFERROR(__xludf.DUMMYFUNCTION("""COMPUTED_VALUE"""),"Bakan Khola HEP")</f>
        <v>Bakan Khola HEP</v>
      </c>
      <c r="C225" s="2">
        <f>IFERROR(__xludf.DUMMYFUNCTION("""COMPUTED_VALUE"""),44.0)</f>
        <v>44</v>
      </c>
      <c r="D225" s="2" t="str">
        <f>IFERROR(__xludf.DUMMYFUNCTION("""COMPUTED_VALUE"""),"Bakan")</f>
        <v>Bakan</v>
      </c>
      <c r="E225" s="2">
        <f>IFERROR(__xludf.DUMMYFUNCTION("""COMPUTED_VALUE"""),468.0)</f>
        <v>468</v>
      </c>
      <c r="F225" s="3">
        <f>IFERROR(__xludf.DUMMYFUNCTION("""COMPUTED_VALUE"""),66438.0)</f>
        <v>66438</v>
      </c>
      <c r="G225" s="3">
        <f>IFERROR(__xludf.DUMMYFUNCTION("""COMPUTED_VALUE"""),79220.0)</f>
        <v>79220</v>
      </c>
      <c r="H225" s="2" t="str">
        <f>IFERROR(__xludf.DUMMYFUNCTION("""COMPUTED_VALUE"""),"Summit Energy Solution Pvt. Ltd")</f>
        <v>Summit Energy Solution Pvt. Ltd</v>
      </c>
      <c r="I225" s="2" t="str">
        <f>IFERROR(__xludf.DUMMYFUNCTION("""COMPUTED_VALUE"""),"Ka.Ma.Na.Pa-2, Lazimpat")</f>
        <v>Ka.Ma.Na.Pa-2, Lazimpat</v>
      </c>
      <c r="J225" s="2" t="str">
        <f>IFERROR(__xludf.DUMMYFUNCTION("""COMPUTED_VALUE"""),"27o 46' 56""")</f>
        <v>27o 46' 56"</v>
      </c>
      <c r="K225" s="2" t="str">
        <f>IFERROR(__xludf.DUMMYFUNCTION("""COMPUTED_VALUE"""),"27o 48' 29""")</f>
        <v>27o 48' 29"</v>
      </c>
      <c r="L225" s="2" t="str">
        <f>IFERROR(__xludf.DUMMYFUNCTION("""COMPUTED_VALUE"""),"87o 27' 01""")</f>
        <v>87o 27' 01"</v>
      </c>
      <c r="M225" s="2" t="str">
        <f>IFERROR(__xludf.DUMMYFUNCTION("""COMPUTED_VALUE"""),"87o 30' 00""")</f>
        <v>87o 30' 00"</v>
      </c>
      <c r="N225" s="2" t="str">
        <f>IFERROR(__xludf.DUMMYFUNCTION("""COMPUTED_VALUE"""),"Chepuwa (Sankhuwasabha)")</f>
        <v>Chepuwa (Sankhuwasabha)</v>
      </c>
    </row>
    <row r="226">
      <c r="A226" s="2">
        <f>IFERROR(__xludf.DUMMYFUNCTION("""COMPUTED_VALUE"""),225.0)</f>
        <v>225</v>
      </c>
      <c r="B226" s="2" t="str">
        <f>IFERROR(__xludf.DUMMYFUNCTION("""COMPUTED_VALUE"""),"Sani Bheri 3 HEP")</f>
        <v>Sani Bheri 3 HEP</v>
      </c>
      <c r="C226" s="2">
        <f>IFERROR(__xludf.DUMMYFUNCTION("""COMPUTED_VALUE"""),46.72)</f>
        <v>46.72</v>
      </c>
      <c r="D226" s="2" t="str">
        <f>IFERROR(__xludf.DUMMYFUNCTION("""COMPUTED_VALUE"""),"Sani Bheri")</f>
        <v>Sani Bheri</v>
      </c>
      <c r="E226" s="2">
        <f>IFERROR(__xludf.DUMMYFUNCTION("""COMPUTED_VALUE"""),469.0)</f>
        <v>469</v>
      </c>
      <c r="F226" s="3">
        <f>IFERROR(__xludf.DUMMYFUNCTION("""COMPUTED_VALUE"""),66453.0)</f>
        <v>66453</v>
      </c>
      <c r="G226" s="3">
        <f>IFERROR(__xludf.DUMMYFUNCTION("""COMPUTED_VALUE"""),79235.0)</f>
        <v>79235</v>
      </c>
      <c r="H226" s="2" t="str">
        <f>IFERROR(__xludf.DUMMYFUNCTION("""COMPUTED_VALUE"""),"Sani Bheri Hydropower Company Pvt. Ltd")</f>
        <v>Sani Bheri Hydropower Company Pvt. Ltd</v>
      </c>
      <c r="I226" s="2" t="str">
        <f>IFERROR(__xludf.DUMMYFUNCTION("""COMPUTED_VALUE"""),"Kathmandu, Nepal, Contact No. 9801012504")</f>
        <v>Kathmandu, Nepal, Contact No. 9801012504</v>
      </c>
      <c r="J226" s="2" t="str">
        <f>IFERROR(__xludf.DUMMYFUNCTION("""COMPUTED_VALUE"""),"28o 37' 15""")</f>
        <v>28o 37' 15"</v>
      </c>
      <c r="K226" s="2" t="str">
        <f>IFERROR(__xludf.DUMMYFUNCTION("""COMPUTED_VALUE"""),"28o 40' 15""")</f>
        <v>28o 40' 15"</v>
      </c>
      <c r="L226" s="2" t="str">
        <f>IFERROR(__xludf.DUMMYFUNCTION("""COMPUTED_VALUE"""),"82o 29' 48""")</f>
        <v>82o 29' 48"</v>
      </c>
      <c r="M226" s="2" t="str">
        <f>IFERROR(__xludf.DUMMYFUNCTION("""COMPUTED_VALUE"""),"82o 35' 15""")</f>
        <v>82o 35' 15"</v>
      </c>
      <c r="N226" s="2" t="str">
        <f>IFERROR(__xludf.DUMMYFUNCTION("""COMPUTED_VALUE"""),"Pipal,Pokhara,Sobha,Syalaphakha (Rukum)")</f>
        <v>Pipal,Pokhara,Sobha,Syalaphakha (Rukum)</v>
      </c>
    </row>
    <row r="227">
      <c r="A227" s="2">
        <f>IFERROR(__xludf.DUMMYFUNCTION("""COMPUTED_VALUE"""),226.0)</f>
        <v>226</v>
      </c>
      <c r="B227" s="2" t="str">
        <f>IFERROR(__xludf.DUMMYFUNCTION("""COMPUTED_VALUE"""),"Middle Chameliya HEP")</f>
        <v>Middle Chameliya HEP</v>
      </c>
      <c r="C227" s="2">
        <f>IFERROR(__xludf.DUMMYFUNCTION("""COMPUTED_VALUE"""),28.304)</f>
        <v>28.304</v>
      </c>
      <c r="D227" s="2" t="str">
        <f>IFERROR(__xludf.DUMMYFUNCTION("""COMPUTED_VALUE"""),"Chameliya Khola")</f>
        <v>Chameliya Khola</v>
      </c>
      <c r="E227" s="2">
        <f>IFERROR(__xludf.DUMMYFUNCTION("""COMPUTED_VALUE"""),470.0)</f>
        <v>470</v>
      </c>
      <c r="F227" s="3">
        <f>IFERROR(__xludf.DUMMYFUNCTION("""COMPUTED_VALUE"""),66458.0)</f>
        <v>66458</v>
      </c>
      <c r="G227" s="3">
        <f>IFERROR(__xludf.DUMMYFUNCTION("""COMPUTED_VALUE"""),79240.0)</f>
        <v>79240</v>
      </c>
      <c r="H227" s="2" t="str">
        <f>IFERROR(__xludf.DUMMYFUNCTION("""COMPUTED_VALUE"""),"Darchula Power Pvt. Ltd")</f>
        <v>Darchula Power Pvt. Ltd</v>
      </c>
      <c r="I227" s="2" t="str">
        <f>IFERROR(__xludf.DUMMYFUNCTION("""COMPUTED_VALUE"""),"Phone no 9851092614, 9851023270,")</f>
        <v>Phone no 9851092614, 9851023270,</v>
      </c>
      <c r="J227" s="2" t="str">
        <f>IFERROR(__xludf.DUMMYFUNCTION("""COMPUTED_VALUE"""),"29o 42' 55""")</f>
        <v>29o 42' 55"</v>
      </c>
      <c r="K227" s="2" t="str">
        <f>IFERROR(__xludf.DUMMYFUNCTION("""COMPUTED_VALUE"""),"29o 45' 00""")</f>
        <v>29o 45' 00"</v>
      </c>
      <c r="L227" s="2" t="str">
        <f>IFERROR(__xludf.DUMMYFUNCTION("""COMPUTED_VALUE"""),"80o 42' 38""")</f>
        <v>80o 42' 38"</v>
      </c>
      <c r="M227" s="2" t="str">
        <f>IFERROR(__xludf.DUMMYFUNCTION("""COMPUTED_VALUE"""),"80o 46' 45""")</f>
        <v>80o 46' 45"</v>
      </c>
      <c r="N227" s="2" t="str">
        <f>IFERROR(__xludf.DUMMYFUNCTION("""COMPUTED_VALUE"""),"Rauleswor,Kotpetara (Baitadi) Latinath,Khandeswori (Darchula)")</f>
        <v>Rauleswor,Kotpetara (Baitadi) Latinath,Khandeswori (Darchula)</v>
      </c>
    </row>
    <row r="228">
      <c r="A228" s="2">
        <f>IFERROR(__xludf.DUMMYFUNCTION("""COMPUTED_VALUE"""),227.0)</f>
        <v>227</v>
      </c>
      <c r="B228" s="2" t="str">
        <f>IFERROR(__xludf.DUMMYFUNCTION("""COMPUTED_VALUE"""),"Super Most Iwa HEP")</f>
        <v>Super Most Iwa HEP</v>
      </c>
      <c r="C228" s="2">
        <f>IFERROR(__xludf.DUMMYFUNCTION("""COMPUTED_VALUE"""),4.6)</f>
        <v>4.6</v>
      </c>
      <c r="D228" s="2" t="str">
        <f>IFERROR(__xludf.DUMMYFUNCTION("""COMPUTED_VALUE"""),"Iwa Khola")</f>
        <v>Iwa Khola</v>
      </c>
      <c r="E228" s="2">
        <f>IFERROR(__xludf.DUMMYFUNCTION("""COMPUTED_VALUE"""),471.0)</f>
        <v>471</v>
      </c>
      <c r="F228" s="3">
        <f>IFERROR(__xludf.DUMMYFUNCTION("""COMPUTED_VALUE"""),66462.0)</f>
        <v>66462</v>
      </c>
      <c r="G228" s="3">
        <f>IFERROR(__xludf.DUMMYFUNCTION("""COMPUTED_VALUE"""),79244.0)</f>
        <v>79244</v>
      </c>
      <c r="H228" s="2" t="str">
        <f>IFERROR(__xludf.DUMMYFUNCTION("""COMPUTED_VALUE"""),"Tinjure Hydropower Pvt. Ltd.")</f>
        <v>Tinjure Hydropower Pvt. Ltd.</v>
      </c>
      <c r="I228" s="2" t="str">
        <f>IFERROR(__xludf.DUMMYFUNCTION("""COMPUTED_VALUE"""),"Kathmandu, Nepal, 01-4264546")</f>
        <v>Kathmandu, Nepal, 01-4264546</v>
      </c>
      <c r="J228" s="2" t="str">
        <f>IFERROR(__xludf.DUMMYFUNCTION("""COMPUTED_VALUE"""),"27o 20' 00""")</f>
        <v>27o 20' 00"</v>
      </c>
      <c r="K228" s="2" t="str">
        <f>IFERROR(__xludf.DUMMYFUNCTION("""COMPUTED_VALUE"""),"27o 21' 21""")</f>
        <v>27o 21' 21"</v>
      </c>
      <c r="L228" s="2" t="str">
        <f>IFERROR(__xludf.DUMMYFUNCTION("""COMPUTED_VALUE"""),"88o 00' 15""")</f>
        <v>88o 00' 15"</v>
      </c>
      <c r="M228" s="2" t="str">
        <f>IFERROR(__xludf.DUMMYFUNCTION("""COMPUTED_VALUE"""),"88o 01' 30""")</f>
        <v>88o 01' 30"</v>
      </c>
      <c r="N228" s="2" t="str">
        <f>IFERROR(__xludf.DUMMYFUNCTION("""COMPUTED_VALUE"""),"Sadewa (Taplejung)")</f>
        <v>Sadewa (Taplejung)</v>
      </c>
    </row>
    <row r="229">
      <c r="A229" s="2">
        <f>IFERROR(__xludf.DUMMYFUNCTION("""COMPUTED_VALUE"""),228.0)</f>
        <v>228</v>
      </c>
      <c r="B229" s="2" t="str">
        <f>IFERROR(__xludf.DUMMYFUNCTION("""COMPUTED_VALUE"""),"Nar Khola HEP")</f>
        <v>Nar Khola HEP</v>
      </c>
      <c r="C229" s="2">
        <f>IFERROR(__xludf.DUMMYFUNCTION("""COMPUTED_VALUE"""),58.9)</f>
        <v>58.9</v>
      </c>
      <c r="D229" s="2" t="str">
        <f>IFERROR(__xludf.DUMMYFUNCTION("""COMPUTED_VALUE"""),"Nar Khola, Soti Khola")</f>
        <v>Nar Khola, Soti Khola</v>
      </c>
      <c r="E229" s="2">
        <f>IFERROR(__xludf.DUMMYFUNCTION("""COMPUTED_VALUE"""),472.0)</f>
        <v>472</v>
      </c>
      <c r="F229" s="3">
        <f>IFERROR(__xludf.DUMMYFUNCTION("""COMPUTED_VALUE"""),66467.0)</f>
        <v>66467</v>
      </c>
      <c r="G229" s="3">
        <f>IFERROR(__xludf.DUMMYFUNCTION("""COMPUTED_VALUE"""),79249.0)</f>
        <v>79249</v>
      </c>
      <c r="H229" s="2" t="str">
        <f>IFERROR(__xludf.DUMMYFUNCTION("""COMPUTED_VALUE"""),"Nar Khola Hydro Energy Pvt. Ltd")</f>
        <v>Nar Khola Hydro Energy Pvt. Ltd</v>
      </c>
      <c r="I229" s="2" t="str">
        <f>IFERROR(__xludf.DUMMYFUNCTION("""COMPUTED_VALUE"""),"Narayanchaur Naxal-01, Kathmnadu, Contact No. 9851023781")</f>
        <v>Narayanchaur Naxal-01, Kathmnadu, Contact No. 9851023781</v>
      </c>
      <c r="J229" s="2" t="str">
        <f>IFERROR(__xludf.DUMMYFUNCTION("""COMPUTED_VALUE"""),"28o 33' 08""")</f>
        <v>28o 33' 08"</v>
      </c>
      <c r="K229" s="2" t="str">
        <f>IFERROR(__xludf.DUMMYFUNCTION("""COMPUTED_VALUE"""),"28o 38' 00""")</f>
        <v>28o 38' 00"</v>
      </c>
      <c r="L229" s="2" t="str">
        <f>IFERROR(__xludf.DUMMYFUNCTION("""COMPUTED_VALUE"""),"84o 12' 52""")</f>
        <v>84o 12' 52"</v>
      </c>
      <c r="M229" s="2" t="str">
        <f>IFERROR(__xludf.DUMMYFUNCTION("""COMPUTED_VALUE"""),"84o 16' 22""")</f>
        <v>84o 16' 22"</v>
      </c>
      <c r="N229" s="2" t="str">
        <f>IFERROR(__xludf.DUMMYFUNCTION("""COMPUTED_VALUE"""),"Tachi Bagarchhap,Chame (Manang)")</f>
        <v>Tachi Bagarchhap,Chame (Manang)</v>
      </c>
    </row>
    <row r="230">
      <c r="A230" s="2">
        <f>IFERROR(__xludf.DUMMYFUNCTION("""COMPUTED_VALUE"""),229.0)</f>
        <v>229</v>
      </c>
      <c r="B230" s="2" t="str">
        <f>IFERROR(__xludf.DUMMYFUNCTION("""COMPUTED_VALUE"""),"Seti Nadi-3 HEP")</f>
        <v>Seti Nadi-3 HEP</v>
      </c>
      <c r="C230" s="2">
        <f>IFERROR(__xludf.DUMMYFUNCTION("""COMPUTED_VALUE"""),87.0)</f>
        <v>87</v>
      </c>
      <c r="D230" s="2" t="str">
        <f>IFERROR(__xludf.DUMMYFUNCTION("""COMPUTED_VALUE"""),"Seti (Far West)")</f>
        <v>Seti (Far West)</v>
      </c>
      <c r="E230" s="2">
        <f>IFERROR(__xludf.DUMMYFUNCTION("""COMPUTED_VALUE"""),473.0)</f>
        <v>473</v>
      </c>
      <c r="F230" s="3">
        <f>IFERROR(__xludf.DUMMYFUNCTION("""COMPUTED_VALUE"""),66504.0)</f>
        <v>66504</v>
      </c>
      <c r="G230" s="3">
        <f>IFERROR(__xludf.DUMMYFUNCTION("""COMPUTED_VALUE"""),79286.0)</f>
        <v>79286</v>
      </c>
      <c r="H230" s="2" t="str">
        <f>IFERROR(__xludf.DUMMYFUNCTION("""COMPUTED_VALUE"""),"Chilime Hydropower Company Limited")</f>
        <v>Chilime Hydropower Company Limited</v>
      </c>
      <c r="I230" s="2" t="str">
        <f>IFERROR(__xludf.DUMMYFUNCTION("""COMPUTED_VALUE"""),"Dhumbarahi, Kathmandu, 01-4370720")</f>
        <v>Dhumbarahi, Kathmandu, 01-4370720</v>
      </c>
      <c r="J230" s="2" t="str">
        <f>IFERROR(__xludf.DUMMYFUNCTION("""COMPUTED_VALUE"""),"29o 30' 00""")</f>
        <v>29o 30' 00"</v>
      </c>
      <c r="K230" s="2" t="str">
        <f>IFERROR(__xludf.DUMMYFUNCTION("""COMPUTED_VALUE"""),"29o 33' 15""")</f>
        <v>29o 33' 15"</v>
      </c>
      <c r="L230" s="2" t="str">
        <f>IFERROR(__xludf.DUMMYFUNCTION("""COMPUTED_VALUE"""),"81o 07' 51""")</f>
        <v>81o 07' 51"</v>
      </c>
      <c r="M230" s="2" t="str">
        <f>IFERROR(__xludf.DUMMYFUNCTION("""COMPUTED_VALUE"""),"81o 15' 00""")</f>
        <v>81o 15' 00"</v>
      </c>
      <c r="N230" s="2" t="str">
        <f>IFERROR(__xludf.DUMMYFUNCTION("""COMPUTED_VALUE"""),"Sunikot,Luyanta,Kotdewal,Hemantabada,Chainpur,Bhatekhola,Rithapata,Subeda 
(Bajhang)")</f>
        <v>Sunikot,Luyanta,Kotdewal,Hemantabada,Chainpur,Bhatekhola,Rithapata,Subeda 
(Bajhang)</v>
      </c>
    </row>
    <row r="231">
      <c r="A231" s="2">
        <f>IFERROR(__xludf.DUMMYFUNCTION("""COMPUTED_VALUE"""),230.0)</f>
        <v>230</v>
      </c>
      <c r="B231" s="2" t="str">
        <f>IFERROR(__xludf.DUMMYFUNCTION("""COMPUTED_VALUE"""),"Upper Most Iwa Khola HEP")</f>
        <v>Upper Most Iwa Khola HEP</v>
      </c>
      <c r="C231" s="2">
        <f>IFERROR(__xludf.DUMMYFUNCTION("""COMPUTED_VALUE"""),4.1)</f>
        <v>4.1</v>
      </c>
      <c r="D231" s="2" t="str">
        <f>IFERROR(__xludf.DUMMYFUNCTION("""COMPUTED_VALUE"""),"Iwa Khola")</f>
        <v>Iwa Khola</v>
      </c>
      <c r="E231" s="2">
        <f>IFERROR(__xludf.DUMMYFUNCTION("""COMPUTED_VALUE"""),480.0)</f>
        <v>480</v>
      </c>
      <c r="F231" s="3">
        <f>IFERROR(__xludf.DUMMYFUNCTION("""COMPUTED_VALUE"""),66530.0)</f>
        <v>66530</v>
      </c>
      <c r="G231" s="3">
        <f>IFERROR(__xludf.DUMMYFUNCTION("""COMPUTED_VALUE"""),79312.0)</f>
        <v>79312</v>
      </c>
      <c r="H231" s="2" t="str">
        <f>IFERROR(__xludf.DUMMYFUNCTION("""COMPUTED_VALUE"""),"Timbung Pokhari Hydro Pvt. Ltd")</f>
        <v>Timbung Pokhari Hydro Pvt. Ltd</v>
      </c>
      <c r="I231" s="2" t="str">
        <f>IFERROR(__xludf.DUMMYFUNCTION("""COMPUTED_VALUE"""),"9842058977, 9816325910")</f>
        <v>9842058977, 9816325910</v>
      </c>
      <c r="J231" s="2" t="str">
        <f>IFERROR(__xludf.DUMMYFUNCTION("""COMPUTED_VALUE"""),"27o 19' 24""")</f>
        <v>27o 19' 24"</v>
      </c>
      <c r="K231" s="2" t="str">
        <f>IFERROR(__xludf.DUMMYFUNCTION("""COMPUTED_VALUE"""),"27o 20' 00""")</f>
        <v>27o 20' 00"</v>
      </c>
      <c r="L231" s="2" t="str">
        <f>IFERROR(__xludf.DUMMYFUNCTION("""COMPUTED_VALUE"""),"87o 59' 35""")</f>
        <v>87o 59' 35"</v>
      </c>
      <c r="M231" s="2" t="str">
        <f>IFERROR(__xludf.DUMMYFUNCTION("""COMPUTED_VALUE"""),"88o 00' 50""")</f>
        <v>88o 00' 50"</v>
      </c>
      <c r="N231" s="2" t="str">
        <f>IFERROR(__xludf.DUMMYFUNCTION("""COMPUTED_VALUE"""),"Sadewa (Taplejung)")</f>
        <v>Sadewa (Taplejung)</v>
      </c>
    </row>
    <row r="232">
      <c r="A232" s="2">
        <f>IFERROR(__xludf.DUMMYFUNCTION("""COMPUTED_VALUE"""),231.0)</f>
        <v>231</v>
      </c>
      <c r="B232" s="2" t="str">
        <f>IFERROR(__xludf.DUMMYFUNCTION("""COMPUTED_VALUE"""),"Lodo Khola Sana HEP")</f>
        <v>Lodo Khola Sana HEP</v>
      </c>
      <c r="C232" s="2">
        <f>IFERROR(__xludf.DUMMYFUNCTION("""COMPUTED_VALUE"""),1.6)</f>
        <v>1.6</v>
      </c>
      <c r="D232" s="2" t="str">
        <f>IFERROR(__xludf.DUMMYFUNCTION("""COMPUTED_VALUE"""),"Lodo")</f>
        <v>Lodo</v>
      </c>
      <c r="E232" s="2">
        <f>IFERROR(__xludf.DUMMYFUNCTION("""COMPUTED_VALUE"""),478.0)</f>
        <v>478</v>
      </c>
      <c r="F232" s="3">
        <f>IFERROR(__xludf.DUMMYFUNCTION("""COMPUTED_VALUE"""),66532.0)</f>
        <v>66532</v>
      </c>
      <c r="G232" s="3">
        <f>IFERROR(__xludf.DUMMYFUNCTION("""COMPUTED_VALUE"""),79314.0)</f>
        <v>79314</v>
      </c>
      <c r="H232" s="2" t="str">
        <f>IFERROR(__xludf.DUMMYFUNCTION("""COMPUTED_VALUE"""),"Liberty Energy Co. Ltd.")</f>
        <v>Liberty Energy Co. Ltd.</v>
      </c>
      <c r="I232" s="2" t="str">
        <f>IFERROR(__xludf.DUMMYFUNCTION("""COMPUTED_VALUE"""),"Kalikasthan-29, Kathmandu. Contact No.: 014443545, 4441988")</f>
        <v>Kalikasthan-29, Kathmandu. Contact No.: 014443545, 4441988</v>
      </c>
      <c r="J232" s="2" t="str">
        <f>IFERROR(__xludf.DUMMYFUNCTION("""COMPUTED_VALUE"""),"28o 15' 42""")</f>
        <v>28o 15' 42"</v>
      </c>
      <c r="K232" s="2" t="str">
        <f>IFERROR(__xludf.DUMMYFUNCTION("""COMPUTED_VALUE"""),"28o 16' 20""")</f>
        <v>28o 16' 20"</v>
      </c>
      <c r="L232" s="2" t="str">
        <f>IFERROR(__xludf.DUMMYFUNCTION("""COMPUTED_VALUE"""),"84o 31' 42""")</f>
        <v>84o 31' 42"</v>
      </c>
      <c r="M232" s="2" t="str">
        <f>IFERROR(__xludf.DUMMYFUNCTION("""COMPUTED_VALUE"""),"84o 32' 49""")</f>
        <v>84o 32' 49"</v>
      </c>
      <c r="N232" s="2" t="str">
        <f>IFERROR(__xludf.DUMMYFUNCTION("""COMPUTED_VALUE"""),"Dhodeni,Faleni (Lamjung)")</f>
        <v>Dhodeni,Faleni (Lamjung)</v>
      </c>
    </row>
    <row r="233">
      <c r="A233" s="2">
        <f>IFERROR(__xludf.DUMMYFUNCTION("""COMPUTED_VALUE"""),232.0)</f>
        <v>232</v>
      </c>
      <c r="B233" s="2" t="str">
        <f>IFERROR(__xludf.DUMMYFUNCTION("""COMPUTED_VALUE"""),"Irkhuwa Khola Ka HEP")</f>
        <v>Irkhuwa Khola Ka HEP</v>
      </c>
      <c r="C233" s="2">
        <f>IFERROR(__xludf.DUMMYFUNCTION("""COMPUTED_VALUE"""),15.0)</f>
        <v>15</v>
      </c>
      <c r="D233" s="2" t="str">
        <f>IFERROR(__xludf.DUMMYFUNCTION("""COMPUTED_VALUE"""),"Irkhuwa Khola")</f>
        <v>Irkhuwa Khola</v>
      </c>
      <c r="E233" s="2">
        <f>IFERROR(__xludf.DUMMYFUNCTION("""COMPUTED_VALUE"""),481.0)</f>
        <v>481</v>
      </c>
      <c r="F233" s="3">
        <f>IFERROR(__xludf.DUMMYFUNCTION("""COMPUTED_VALUE"""),66534.0)</f>
        <v>66534</v>
      </c>
      <c r="G233" s="3">
        <f>IFERROR(__xludf.DUMMYFUNCTION("""COMPUTED_VALUE"""),79316.0)</f>
        <v>79316</v>
      </c>
      <c r="H233" s="2" t="str">
        <f>IFERROR(__xludf.DUMMYFUNCTION("""COMPUTED_VALUE"""),"Eastern Energy Pvt. Ltd.")</f>
        <v>Eastern Energy Pvt. Ltd.</v>
      </c>
      <c r="I233" s="2" t="str">
        <f>IFERROR(__xludf.DUMMYFUNCTION("""COMPUTED_VALUE"""),"P.O.no.26153,Baluwatar,kathmandu 4432068,4227406,9841254097")</f>
        <v>P.O.no.26153,Baluwatar,kathmandu 4432068,4227406,9841254097</v>
      </c>
      <c r="J233" s="2" t="str">
        <f>IFERROR(__xludf.DUMMYFUNCTION("""COMPUTED_VALUE"""),"27o 23' 15""")</f>
        <v>27o 23' 15"</v>
      </c>
      <c r="K233" s="2" t="str">
        <f>IFERROR(__xludf.DUMMYFUNCTION("""COMPUTED_VALUE"""),"27o 24' 30""")</f>
        <v>27o 24' 30"</v>
      </c>
      <c r="L233" s="2" t="str">
        <f>IFERROR(__xludf.DUMMYFUNCTION("""COMPUTED_VALUE"""),"86o 58' 25""")</f>
        <v>86o 58' 25"</v>
      </c>
      <c r="M233" s="2" t="str">
        <f>IFERROR(__xludf.DUMMYFUNCTION("""COMPUTED_VALUE"""),"87o 01' 30""")</f>
        <v>87o 01' 30"</v>
      </c>
      <c r="N233" s="2" t="str">
        <f>IFERROR(__xludf.DUMMYFUNCTION("""COMPUTED_VALUE"""),"Khatamma,Dummana (Bhojpur)")</f>
        <v>Khatamma,Dummana (Bhojpur)</v>
      </c>
    </row>
    <row r="234">
      <c r="A234" s="2">
        <f>IFERROR(__xludf.DUMMYFUNCTION("""COMPUTED_VALUE"""),233.0)</f>
        <v>233</v>
      </c>
      <c r="B234" s="2" t="str">
        <f>IFERROR(__xludf.DUMMYFUNCTION("""COMPUTED_VALUE"""),"Super Sabha Khola Small Hydropower Project")</f>
        <v>Super Sabha Khola Small Hydropower Project</v>
      </c>
      <c r="C234" s="2">
        <f>IFERROR(__xludf.DUMMYFUNCTION("""COMPUTED_VALUE"""),4.1)</f>
        <v>4.1</v>
      </c>
      <c r="D234" s="2" t="str">
        <f>IFERROR(__xludf.DUMMYFUNCTION("""COMPUTED_VALUE"""),"Sabha Khola")</f>
        <v>Sabha Khola</v>
      </c>
      <c r="E234" s="2">
        <f>IFERROR(__xludf.DUMMYFUNCTION("""COMPUTED_VALUE"""),482.0)</f>
        <v>482</v>
      </c>
      <c r="F234" s="3">
        <f>IFERROR(__xludf.DUMMYFUNCTION("""COMPUTED_VALUE"""),66535.0)</f>
        <v>66535</v>
      </c>
      <c r="G234" s="3">
        <f>IFERROR(__xludf.DUMMYFUNCTION("""COMPUTED_VALUE"""),79317.0)</f>
        <v>79317</v>
      </c>
      <c r="H234" s="2" t="str">
        <f>IFERROR(__xludf.DUMMYFUNCTION("""COMPUTED_VALUE"""),"Sankhuwasabha Power Development Pvt.Ltd")</f>
        <v>Sankhuwasabha Power Development Pvt.Ltd</v>
      </c>
      <c r="I234" s="2" t="str">
        <f>IFERROR(__xludf.DUMMYFUNCTION("""COMPUTED_VALUE"""),"Baneshower, Kathmandu, Nepal(sabhakhola.hydropower@gmail.com)")</f>
        <v>Baneshower, Kathmandu, Nepal(sabhakhola.hydropower@gmail.com)</v>
      </c>
      <c r="J234" s="2" t="str">
        <f>IFERROR(__xludf.DUMMYFUNCTION("""COMPUTED_VALUE"""),"27o 26' 19""")</f>
        <v>27o 26' 19"</v>
      </c>
      <c r="K234" s="2" t="str">
        <f>IFERROR(__xludf.DUMMYFUNCTION("""COMPUTED_VALUE"""),"27o 28' 13""")</f>
        <v>27o 28' 13"</v>
      </c>
      <c r="L234" s="2" t="str">
        <f>IFERROR(__xludf.DUMMYFUNCTION("""COMPUTED_VALUE"""),"87o 23' 45""")</f>
        <v>87o 23' 45"</v>
      </c>
      <c r="M234" s="2" t="str">
        <f>IFERROR(__xludf.DUMMYFUNCTION("""COMPUTED_VALUE"""),"87o 24' 51""")</f>
        <v>87o 24' 51"</v>
      </c>
      <c r="N234" s="2" t="str">
        <f>IFERROR(__xludf.DUMMYFUNCTION("""COMPUTED_VALUE"""),"Sabha Pokhari (Sankhuwasabha)")</f>
        <v>Sabha Pokhari (Sankhuwasabha)</v>
      </c>
    </row>
    <row r="235">
      <c r="A235" s="2">
        <f>IFERROR(__xludf.DUMMYFUNCTION("""COMPUTED_VALUE"""),234.0)</f>
        <v>234</v>
      </c>
      <c r="B235" s="2" t="str">
        <f>IFERROR(__xludf.DUMMYFUNCTION("""COMPUTED_VALUE"""),"Lower Kalanga Gad HEP")</f>
        <v>Lower Kalanga Gad HEP</v>
      </c>
      <c r="C235" s="2">
        <f>IFERROR(__xludf.DUMMYFUNCTION("""COMPUTED_VALUE"""),8.0)</f>
        <v>8</v>
      </c>
      <c r="D235" s="2" t="str">
        <f>IFERROR(__xludf.DUMMYFUNCTION("""COMPUTED_VALUE"""),"Kalanga Gad")</f>
        <v>Kalanga Gad</v>
      </c>
      <c r="E235" s="2">
        <f>IFERROR(__xludf.DUMMYFUNCTION("""COMPUTED_VALUE"""),483.0)</f>
        <v>483</v>
      </c>
      <c r="F235" s="2" t="str">
        <f>IFERROR(__xludf.DUMMYFUNCTION("""COMPUTED_VALUE"""),"2082-02-30")</f>
        <v>2082-02-30</v>
      </c>
      <c r="G235" s="2" t="str">
        <f>IFERROR(__xludf.DUMMYFUNCTION("""COMPUTED_VALUE"""),"2117-02-29")</f>
        <v>2117-02-29</v>
      </c>
      <c r="H235" s="2" t="str">
        <f>IFERROR(__xludf.DUMMYFUNCTION("""COMPUTED_VALUE"""),"Bagthala Hydro Pvt.ltd.")</f>
        <v>Bagthala Hydro Pvt.ltd.</v>
      </c>
      <c r="I235" s="2" t="str">
        <f>IFERROR(__xludf.DUMMYFUNCTION("""COMPUTED_VALUE"""),"Central Business Park ,Thapathali,kathamndu,")</f>
        <v>Central Business Park ,Thapathali,kathamndu,</v>
      </c>
      <c r="J235" s="2" t="str">
        <f>IFERROR(__xludf.DUMMYFUNCTION("""COMPUTED_VALUE"""),"29o 29' 02""")</f>
        <v>29o 29' 02"</v>
      </c>
      <c r="K235" s="2" t="str">
        <f>IFERROR(__xludf.DUMMYFUNCTION("""COMPUTED_VALUE"""),"29o 30' 40""")</f>
        <v>29o 30' 40"</v>
      </c>
      <c r="L235" s="2" t="str">
        <f>IFERROR(__xludf.DUMMYFUNCTION("""COMPUTED_VALUE"""),"80o 52' 30""")</f>
        <v>80o 52' 30"</v>
      </c>
      <c r="M235" s="2" t="str">
        <f>IFERROR(__xludf.DUMMYFUNCTION("""COMPUTED_VALUE"""),"80o 54' 26""")</f>
        <v>80o 54' 26"</v>
      </c>
      <c r="N235" s="2" t="str">
        <f>IFERROR(__xludf.DUMMYFUNCTION("""COMPUTED_VALUE"""),"Khiratadi,Rayal,Sunkuda (Bajhang)")</f>
        <v>Khiratadi,Rayal,Sunkuda (Bajhang)</v>
      </c>
    </row>
    <row r="236">
      <c r="A236" s="2">
        <f>IFERROR(__xludf.DUMMYFUNCTION("""COMPUTED_VALUE"""),235.0)</f>
        <v>235</v>
      </c>
      <c r="B236" s="2" t="str">
        <f>IFERROR(__xludf.DUMMYFUNCTION("""COMPUTED_VALUE"""),"Tirija Khola HEP")</f>
        <v>Tirija Khola HEP</v>
      </c>
      <c r="C236" s="2">
        <f>IFERROR(__xludf.DUMMYFUNCTION("""COMPUTED_VALUE"""),9.71)</f>
        <v>9.71</v>
      </c>
      <c r="D236" s="2" t="str">
        <f>IFERROR(__xludf.DUMMYFUNCTION("""COMPUTED_VALUE"""),"Tirija")</f>
        <v>Tirija</v>
      </c>
      <c r="E236" s="2">
        <f>IFERROR(__xludf.DUMMYFUNCTION("""COMPUTED_VALUE"""),484.0)</f>
        <v>484</v>
      </c>
      <c r="F236" s="3">
        <f>IFERROR(__xludf.DUMMYFUNCTION("""COMPUTED_VALUE"""),66550.0)</f>
        <v>66550</v>
      </c>
      <c r="G236" s="3">
        <f>IFERROR(__xludf.DUMMYFUNCTION("""COMPUTED_VALUE"""),79332.0)</f>
        <v>79332</v>
      </c>
      <c r="H236" s="2" t="str">
        <f>IFERROR(__xludf.DUMMYFUNCTION("""COMPUTED_VALUE"""),"Tirija Hydropower Private Limited")</f>
        <v>Tirija Hydropower Private Limited</v>
      </c>
      <c r="I236" s="2">
        <f>IFERROR(__xludf.DUMMYFUNCTION("""COMPUTED_VALUE"""),9.851088433E9)</f>
        <v>9851088433</v>
      </c>
      <c r="J236" s="2" t="str">
        <f>IFERROR(__xludf.DUMMYFUNCTION("""COMPUTED_VALUE"""),"28o 33' 51""")</f>
        <v>28o 33' 51"</v>
      </c>
      <c r="K236" s="2" t="str">
        <f>IFERROR(__xludf.DUMMYFUNCTION("""COMPUTED_VALUE"""),"28o 35' 22""")</f>
        <v>28o 35' 22"</v>
      </c>
      <c r="L236" s="2" t="str">
        <f>IFERROR(__xludf.DUMMYFUNCTION("""COMPUTED_VALUE"""),"83o 19' 15""")</f>
        <v>83o 19' 15"</v>
      </c>
      <c r="M236" s="2" t="str">
        <f>IFERROR(__xludf.DUMMYFUNCTION("""COMPUTED_VALUE"""),"83o 20' 45""")</f>
        <v>83o 20' 45"</v>
      </c>
      <c r="N236" s="2" t="str">
        <f>IFERROR(__xludf.DUMMYFUNCTION("""COMPUTED_VALUE"""),"Mudi (Myagdi)")</f>
        <v>Mudi (Myagdi)</v>
      </c>
    </row>
    <row r="237">
      <c r="A237" s="2">
        <f>IFERROR(__xludf.DUMMYFUNCTION("""COMPUTED_VALUE"""),236.0)</f>
        <v>236</v>
      </c>
      <c r="B237" s="2" t="str">
        <f>IFERROR(__xludf.DUMMYFUNCTION("""COMPUTED_VALUE"""),"Betan Karnali HEP")</f>
        <v>Betan Karnali HEP</v>
      </c>
      <c r="C237" s="2">
        <f>IFERROR(__xludf.DUMMYFUNCTION("""COMPUTED_VALUE"""),439.0)</f>
        <v>439</v>
      </c>
      <c r="D237" s="2" t="str">
        <f>IFERROR(__xludf.DUMMYFUNCTION("""COMPUTED_VALUE"""),"Karnali")</f>
        <v>Karnali</v>
      </c>
      <c r="E237" s="2">
        <f>IFERROR(__xludf.DUMMYFUNCTION("""COMPUTED_VALUE"""),485.0)</f>
        <v>485</v>
      </c>
      <c r="F237" s="3">
        <f>IFERROR(__xludf.DUMMYFUNCTION("""COMPUTED_VALUE"""),66550.0)</f>
        <v>66550</v>
      </c>
      <c r="G237" s="3">
        <f>IFERROR(__xludf.DUMMYFUNCTION("""COMPUTED_VALUE"""),79332.0)</f>
        <v>79332</v>
      </c>
      <c r="H237" s="2" t="str">
        <f>IFERROR(__xludf.DUMMYFUNCTION("""COMPUTED_VALUE"""),"Betan Karnali Sanchayakarta Hydropower Company Ltd")</f>
        <v>Betan Karnali Sanchayakarta Hydropower Company Ltd</v>
      </c>
      <c r="I237" s="2" t="str">
        <f>IFERROR(__xludf.DUMMYFUNCTION("""COMPUTED_VALUE"""),"Durbar marga, Kathmandu, Contact No. 01-4244903 email; info@bkshcl.com.np,")</f>
        <v>Durbar marga, Kathmandu, Contact No. 01-4244903 email; info@bkshcl.com.np,</v>
      </c>
      <c r="J237" s="2" t="str">
        <f>IFERROR(__xludf.DUMMYFUNCTION("""COMPUTED_VALUE"""),"28o 50' 57""")</f>
        <v>28o 50' 57"</v>
      </c>
      <c r="K237" s="2" t="str">
        <f>IFERROR(__xludf.DUMMYFUNCTION("""COMPUTED_VALUE"""),"28o 56' 04""")</f>
        <v>28o 56' 04"</v>
      </c>
      <c r="L237" s="2" t="str">
        <f>IFERROR(__xludf.DUMMYFUNCTION("""COMPUTED_VALUE"""),"81o 11' 43""")</f>
        <v>81o 11' 43"</v>
      </c>
      <c r="M237" s="2" t="str">
        <f>IFERROR(__xludf.DUMMYFUNCTION("""COMPUTED_VALUE"""),"81o 24' 42""")</f>
        <v>81o 24' 42"</v>
      </c>
      <c r="N237" s="2" t="str">
        <f>IFERROR(__xludf.DUMMYFUNCTION("""COMPUTED_VALUE"""),"Dhungachalna,Turmakhad (Achham) Sugarkhal (Kailali) 
Betan,Bidyapur,Bijaura,Chapre,Guthu (Surkhet)")</f>
        <v>Dhungachalna,Turmakhad (Achham) Sugarkhal (Kailali) 
Betan,Bidyapur,Bijaura,Chapre,Guthu (Surkhet)</v>
      </c>
    </row>
    <row r="238">
      <c r="A238" s="2">
        <f>IFERROR(__xludf.DUMMYFUNCTION("""COMPUTED_VALUE"""),237.0)</f>
        <v>237</v>
      </c>
      <c r="B238" s="2" t="str">
        <f>IFERROR(__xludf.DUMMYFUNCTION("""COMPUTED_VALUE"""),"Lapa Khola Hydropower Project")</f>
        <v>Lapa Khola Hydropower Project</v>
      </c>
      <c r="C238" s="2">
        <f>IFERROR(__xludf.DUMMYFUNCTION("""COMPUTED_VALUE"""),4.72)</f>
        <v>4.72</v>
      </c>
      <c r="D238" s="2" t="str">
        <f>IFERROR(__xludf.DUMMYFUNCTION("""COMPUTED_VALUE"""),"Lapa Khola")</f>
        <v>Lapa Khola</v>
      </c>
      <c r="E238" s="2">
        <f>IFERROR(__xludf.DUMMYFUNCTION("""COMPUTED_VALUE"""),486.0)</f>
        <v>486</v>
      </c>
      <c r="F238" s="3">
        <f>IFERROR(__xludf.DUMMYFUNCTION("""COMPUTED_VALUE"""),66570.0)</f>
        <v>66570</v>
      </c>
      <c r="G238" s="3">
        <f>IFERROR(__xludf.DUMMYFUNCTION("""COMPUTED_VALUE"""),79352.0)</f>
        <v>79352</v>
      </c>
      <c r="H238" s="2" t="str">
        <f>IFERROR(__xludf.DUMMYFUNCTION("""COMPUTED_VALUE"""),"Harmony Initiatives Pvt. Ltd.")</f>
        <v>Harmony Initiatives Pvt. Ltd.</v>
      </c>
      <c r="I238" s="2" t="str">
        <f>IFERROR(__xludf.DUMMYFUNCTION("""COMPUTED_VALUE"""),"Tokha -7, Dhapasi, Kathmandu")</f>
        <v>Tokha -7, Dhapasi, Kathmandu</v>
      </c>
      <c r="J238" s="2" t="str">
        <f>IFERROR(__xludf.DUMMYFUNCTION("""COMPUTED_VALUE"""),"28o 09' 55""")</f>
        <v>28o 09' 55"</v>
      </c>
      <c r="K238" s="2" t="str">
        <f>IFERROR(__xludf.DUMMYFUNCTION("""COMPUTED_VALUE"""),"28o 10' 24""")</f>
        <v>28o 10' 24"</v>
      </c>
      <c r="L238" s="2" t="str">
        <f>IFERROR(__xludf.DUMMYFUNCTION("""COMPUTED_VALUE"""),"85o 02' 21""")</f>
        <v>85o 02' 21"</v>
      </c>
      <c r="M238" s="2" t="str">
        <f>IFERROR(__xludf.DUMMYFUNCTION("""COMPUTED_VALUE"""),"85o 03' 02""")</f>
        <v>85o 03' 02"</v>
      </c>
      <c r="N238" s="2" t="str">
        <f>IFERROR(__xludf.DUMMYFUNCTION("""COMPUTED_VALUE"""),"Lapa (Dhading)")</f>
        <v>Lapa (Dhading)</v>
      </c>
    </row>
    <row r="239">
      <c r="A239" s="2">
        <f>IFERROR(__xludf.DUMMYFUNCTION("""COMPUTED_VALUE"""),238.0)</f>
        <v>238</v>
      </c>
      <c r="B239" s="2" t="str">
        <f>IFERROR(__xludf.DUMMYFUNCTION("""COMPUTED_VALUE"""),"Lower Barun Khola HPP")</f>
        <v>Lower Barun Khola HPP</v>
      </c>
      <c r="C239" s="2">
        <f>IFERROR(__xludf.DUMMYFUNCTION("""COMPUTED_VALUE"""),132.0)</f>
        <v>132</v>
      </c>
      <c r="D239" s="2" t="str">
        <f>IFERROR(__xludf.DUMMYFUNCTION("""COMPUTED_VALUE"""),"Barun")</f>
        <v>Barun</v>
      </c>
      <c r="E239" s="2">
        <f>IFERROR(__xludf.DUMMYFUNCTION("""COMPUTED_VALUE"""),487.0)</f>
        <v>487</v>
      </c>
      <c r="F239" s="3">
        <f>IFERROR(__xludf.DUMMYFUNCTION("""COMPUTED_VALUE"""),66596.0)</f>
        <v>66596</v>
      </c>
      <c r="G239" s="3">
        <f>IFERROR(__xludf.DUMMYFUNCTION("""COMPUTED_VALUE"""),79378.0)</f>
        <v>79378</v>
      </c>
      <c r="H239" s="2" t="str">
        <f>IFERROR(__xludf.DUMMYFUNCTION("""COMPUTED_VALUE"""),"Ampik Energy Pvt Ltd")</f>
        <v>Ampik Energy Pvt Ltd</v>
      </c>
      <c r="I239" s="2" t="str">
        <f>IFERROR(__xludf.DUMMYFUNCTION("""COMPUTED_VALUE"""),"Lalipur-1, 9849821564")</f>
        <v>Lalipur-1, 9849821564</v>
      </c>
      <c r="J239" s="2" t="str">
        <f>IFERROR(__xludf.DUMMYFUNCTION("""COMPUTED_VALUE"""),"27o 41' 29""")</f>
        <v>27o 41' 29"</v>
      </c>
      <c r="K239" s="2" t="str">
        <f>IFERROR(__xludf.DUMMYFUNCTION("""COMPUTED_VALUE"""),"27o 43' 19""")</f>
        <v>27o 43' 19"</v>
      </c>
      <c r="L239" s="2" t="str">
        <f>IFERROR(__xludf.DUMMYFUNCTION("""COMPUTED_VALUE"""),"87o 18' 10""")</f>
        <v>87o 18' 10"</v>
      </c>
      <c r="M239" s="2" t="str">
        <f>IFERROR(__xludf.DUMMYFUNCTION("""COMPUTED_VALUE"""),"87o 22' 05""")</f>
        <v>87o 22' 05"</v>
      </c>
      <c r="N239" s="2" t="str">
        <f>IFERROR(__xludf.DUMMYFUNCTION("""COMPUTED_VALUE"""),"Hatiya (Sankhuwasabha)")</f>
        <v>Hatiya (Sankhuwasabha)</v>
      </c>
    </row>
    <row r="240">
      <c r="A240" s="2">
        <f>IFERROR(__xludf.DUMMYFUNCTION("""COMPUTED_VALUE"""),239.0)</f>
        <v>239</v>
      </c>
      <c r="B240" s="2" t="str">
        <f>IFERROR(__xludf.DUMMYFUNCTION("""COMPUTED_VALUE"""),"Maygdi Khola- B HEP")</f>
        <v>Maygdi Khola- B HEP</v>
      </c>
      <c r="C240" s="2">
        <f>IFERROR(__xludf.DUMMYFUNCTION("""COMPUTED_VALUE"""),12.5)</f>
        <v>12.5</v>
      </c>
      <c r="D240" s="2" t="str">
        <f>IFERROR(__xludf.DUMMYFUNCTION("""COMPUTED_VALUE"""),"Myagdi")</f>
        <v>Myagdi</v>
      </c>
      <c r="E240" s="2">
        <f>IFERROR(__xludf.DUMMYFUNCTION("""COMPUTED_VALUE"""),489.0)</f>
        <v>489</v>
      </c>
      <c r="F240" s="3">
        <f>IFERROR(__xludf.DUMMYFUNCTION("""COMPUTED_VALUE"""),66604.0)</f>
        <v>66604</v>
      </c>
      <c r="G240" s="3">
        <f>IFERROR(__xludf.DUMMYFUNCTION("""COMPUTED_VALUE"""),79386.0)</f>
        <v>79386</v>
      </c>
      <c r="H240" s="2" t="str">
        <f>IFERROR(__xludf.DUMMYFUNCTION("""COMPUTED_VALUE"""),"Sushmit Energy Pvt. Ltd.")</f>
        <v>Sushmit Energy Pvt. Ltd.</v>
      </c>
      <c r="I240" s="2" t="str">
        <f>IFERROR(__xludf.DUMMYFUNCTION("""COMPUTED_VALUE"""),"Sushmit Bhawan 166/40467 Subidhanagr-35, Kathmandu, Contact No.: 5199027")</f>
        <v>Sushmit Bhawan 166/40467 Subidhanagr-35, Kathmandu, Contact No.: 5199027</v>
      </c>
      <c r="J240" s="2" t="str">
        <f>IFERROR(__xludf.DUMMYFUNCTION("""COMPUTED_VALUE"""),"28o 33' 21""")</f>
        <v>28o 33' 21"</v>
      </c>
      <c r="K240" s="2" t="str">
        <f>IFERROR(__xludf.DUMMYFUNCTION("""COMPUTED_VALUE"""),"28o 34' 18""")</f>
        <v>28o 34' 18"</v>
      </c>
      <c r="L240" s="2" t="str">
        <f>IFERROR(__xludf.DUMMYFUNCTION("""COMPUTED_VALUE"""),"83o 23' 00""")</f>
        <v>83o 23' 00"</v>
      </c>
      <c r="M240" s="2" t="str">
        <f>IFERROR(__xludf.DUMMYFUNCTION("""COMPUTED_VALUE"""),"83o 23' 30""")</f>
        <v>83o 23' 30"</v>
      </c>
      <c r="N240" s="2" t="str">
        <f>IFERROR(__xludf.DUMMYFUNCTION("""COMPUTED_VALUE"""),"Mudi (Myagdi)")</f>
        <v>Mudi (Myagdi)</v>
      </c>
    </row>
    <row r="241">
      <c r="A241" s="2">
        <f>IFERROR(__xludf.DUMMYFUNCTION("""COMPUTED_VALUE"""),240.0)</f>
        <v>240</v>
      </c>
      <c r="B241" s="2" t="str">
        <f>IFERROR(__xludf.DUMMYFUNCTION("""COMPUTED_VALUE"""),"Tallo Likhu Cascade Hydropower Project")</f>
        <v>Tallo Likhu Cascade Hydropower Project</v>
      </c>
      <c r="C241" s="2">
        <f>IFERROR(__xludf.DUMMYFUNCTION("""COMPUTED_VALUE"""),6.0)</f>
        <v>6</v>
      </c>
      <c r="D241" s="2" t="str">
        <f>IFERROR(__xludf.DUMMYFUNCTION("""COMPUTED_VALUE"""),"Likhu Khola")</f>
        <v>Likhu Khola</v>
      </c>
      <c r="E241" s="2">
        <f>IFERROR(__xludf.DUMMYFUNCTION("""COMPUTED_VALUE"""),490.0)</f>
        <v>490</v>
      </c>
      <c r="F241" s="3">
        <f>IFERROR(__xludf.DUMMYFUNCTION("""COMPUTED_VALUE"""),66608.0)</f>
        <v>66608</v>
      </c>
      <c r="G241" s="3">
        <f>IFERROR(__xludf.DUMMYFUNCTION("""COMPUTED_VALUE"""),79390.0)</f>
        <v>79390</v>
      </c>
      <c r="H241" s="2" t="str">
        <f>IFERROR(__xludf.DUMMYFUNCTION("""COMPUTED_VALUE"""),"Swet Ganga Hydropower &amp; Construction Limited")</f>
        <v>Swet Ganga Hydropower &amp; Construction Limited</v>
      </c>
      <c r="I241" s="2" t="str">
        <f>IFERROR(__xludf.DUMMYFUNCTION("""COMPUTED_VALUE"""),"Dhumbarahi, Kathmandu, Tel:01-4373030, 4372828")</f>
        <v>Dhumbarahi, Kathmandu, Tel:01-4373030, 4372828</v>
      </c>
      <c r="J241" s="2" t="str">
        <f>IFERROR(__xludf.DUMMYFUNCTION("""COMPUTED_VALUE"""),"27o 22' 14""")</f>
        <v>27o 22' 14"</v>
      </c>
      <c r="K241" s="2" t="str">
        <f>IFERROR(__xludf.DUMMYFUNCTION("""COMPUTED_VALUE"""),"27o 23' 23""")</f>
        <v>27o 23' 23"</v>
      </c>
      <c r="L241" s="2" t="str">
        <f>IFERROR(__xludf.DUMMYFUNCTION("""COMPUTED_VALUE"""),"86o 13' 10""")</f>
        <v>86o 13' 10"</v>
      </c>
      <c r="M241" s="2" t="str">
        <f>IFERROR(__xludf.DUMMYFUNCTION("""COMPUTED_VALUE"""),"86o 14' 02""")</f>
        <v>86o 14' 02"</v>
      </c>
      <c r="N241" s="2" t="str">
        <f>IFERROR(__xludf.DUMMYFUNCTION("""COMPUTED_VALUE"""),"Narmedeshwor,Yasam (Okhaldhunga) Gothgau,Bijulikot (Ramechhap)")</f>
        <v>Narmedeshwor,Yasam (Okhaldhunga) Gothgau,Bijulikot (Ramechhap)</v>
      </c>
    </row>
    <row r="242">
      <c r="A242" s="2">
        <f>IFERROR(__xludf.DUMMYFUNCTION("""COMPUTED_VALUE"""),241.0)</f>
        <v>241</v>
      </c>
      <c r="B242" s="2" t="str">
        <f>IFERROR(__xludf.DUMMYFUNCTION("""COMPUTED_VALUE"""),"Upper Melamchi HEP")</f>
        <v>Upper Melamchi HEP</v>
      </c>
      <c r="C242" s="2">
        <f>IFERROR(__xludf.DUMMYFUNCTION("""COMPUTED_VALUE"""),4.95)</f>
        <v>4.95</v>
      </c>
      <c r="D242" s="2" t="str">
        <f>IFERROR(__xludf.DUMMYFUNCTION("""COMPUTED_VALUE"""),"Melamchi")</f>
        <v>Melamchi</v>
      </c>
      <c r="E242" s="2">
        <f>IFERROR(__xludf.DUMMYFUNCTION("""COMPUTED_VALUE"""),491.0)</f>
        <v>491</v>
      </c>
      <c r="F242" s="3">
        <f>IFERROR(__xludf.DUMMYFUNCTION("""COMPUTED_VALUE"""),66612.0)</f>
        <v>66612</v>
      </c>
      <c r="G242" s="3">
        <f>IFERROR(__xludf.DUMMYFUNCTION("""COMPUTED_VALUE"""),79394.0)</f>
        <v>79394</v>
      </c>
      <c r="H242" s="2" t="str">
        <f>IFERROR(__xludf.DUMMYFUNCTION("""COMPUTED_VALUE"""),"Gugeshwori Energy Pvt. Ltd")</f>
        <v>Gugeshwori Energy Pvt. Ltd</v>
      </c>
      <c r="I242" s="2" t="str">
        <f>IFERROR(__xludf.DUMMYFUNCTION("""COMPUTED_VALUE"""),"Subidhanagar, Tinkune, Kathmandu-32; 01-4111717")</f>
        <v>Subidhanagar, Tinkune, Kathmandu-32; 01-4111717</v>
      </c>
      <c r="J242" s="2" t="str">
        <f>IFERROR(__xludf.DUMMYFUNCTION("""COMPUTED_VALUE"""),"28o 01' 09""")</f>
        <v>28o 01' 09"</v>
      </c>
      <c r="K242" s="2" t="str">
        <f>IFERROR(__xludf.DUMMYFUNCTION("""COMPUTED_VALUE"""),"28o 02' 10""")</f>
        <v>28o 02' 10"</v>
      </c>
      <c r="L242" s="2" t="str">
        <f>IFERROR(__xludf.DUMMYFUNCTION("""COMPUTED_VALUE"""),"85o 31' 45""")</f>
        <v>85o 31' 45"</v>
      </c>
      <c r="M242" s="2" t="str">
        <f>IFERROR(__xludf.DUMMYFUNCTION("""COMPUTED_VALUE"""),"85o 32' 30""")</f>
        <v>85o 32' 30"</v>
      </c>
      <c r="N242" s="2" t="str">
        <f>IFERROR(__xludf.DUMMYFUNCTION("""COMPUTED_VALUE"""),"Melamche (Sindhupalchok)")</f>
        <v>Melamche (Sindhupalchok)</v>
      </c>
    </row>
    <row r="243">
      <c r="A243" s="2">
        <f>IFERROR(__xludf.DUMMYFUNCTION("""COMPUTED_VALUE"""),242.0)</f>
        <v>242</v>
      </c>
      <c r="B243" s="2" t="str">
        <f>IFERROR(__xludf.DUMMYFUNCTION("""COMPUTED_VALUE"""),"Super Sabha Khola A HPP")</f>
        <v>Super Sabha Khola A HPP</v>
      </c>
      <c r="C243" s="2">
        <f>IFERROR(__xludf.DUMMYFUNCTION("""COMPUTED_VALUE"""),9.55)</f>
        <v>9.55</v>
      </c>
      <c r="D243" s="2" t="str">
        <f>IFERROR(__xludf.DUMMYFUNCTION("""COMPUTED_VALUE"""),"Sabha Khola")</f>
        <v>Sabha Khola</v>
      </c>
      <c r="E243" s="2">
        <f>IFERROR(__xludf.DUMMYFUNCTION("""COMPUTED_VALUE"""),492.0)</f>
        <v>492</v>
      </c>
      <c r="F243" s="3">
        <f>IFERROR(__xludf.DUMMYFUNCTION("""COMPUTED_VALUE"""),66619.0)</f>
        <v>66619</v>
      </c>
      <c r="G243" s="3">
        <f>IFERROR(__xludf.DUMMYFUNCTION("""COMPUTED_VALUE"""),79401.0)</f>
        <v>79401</v>
      </c>
      <c r="H243" s="2" t="str">
        <f>IFERROR(__xludf.DUMMYFUNCTION("""COMPUTED_VALUE"""),"Sankhuwa Sabha Development Limited")</f>
        <v>Sankhuwa Sabha Development Limited</v>
      </c>
      <c r="I243" s="2" t="str">
        <f>IFERROR(__xludf.DUMMYFUNCTION("""COMPUTED_VALUE"""),"Baneshower, Kathmandu 9851255190, 9851110234")</f>
        <v>Baneshower, Kathmandu 9851255190, 9851110234</v>
      </c>
      <c r="J243" s="2" t="str">
        <f>IFERROR(__xludf.DUMMYFUNCTION("""COMPUTED_VALUE"""),"27o 25' 45""")</f>
        <v>27o 25' 45"</v>
      </c>
      <c r="K243" s="2" t="str">
        <f>IFERROR(__xludf.DUMMYFUNCTION("""COMPUTED_VALUE"""),"27o 26' 34""")</f>
        <v>27o 26' 34"</v>
      </c>
      <c r="L243" s="2" t="str">
        <f>IFERROR(__xludf.DUMMYFUNCTION("""COMPUTED_VALUE"""),"87o 22' 27""")</f>
        <v>87o 22' 27"</v>
      </c>
      <c r="M243" s="2" t="str">
        <f>IFERROR(__xludf.DUMMYFUNCTION("""COMPUTED_VALUE"""),"87o 23' 45""")</f>
        <v>87o 23' 45"</v>
      </c>
      <c r="N243" s="2" t="str">
        <f>IFERROR(__xludf.DUMMYFUNCTION("""COMPUTED_VALUE"""),"Sabha Pokhari (Sankhuwasabha)")</f>
        <v>Sabha Pokhari (Sankhuwasabha)</v>
      </c>
    </row>
    <row r="244">
      <c r="A244" s="2">
        <f>IFERROR(__xludf.DUMMYFUNCTION("""COMPUTED_VALUE"""),243.0)</f>
        <v>243</v>
      </c>
      <c r="B244" s="2" t="str">
        <f>IFERROR(__xludf.DUMMYFUNCTION("""COMPUTED_VALUE"""),"Lower Melamchi HEP")</f>
        <v>Lower Melamchi HEP</v>
      </c>
      <c r="C244" s="2">
        <f>IFERROR(__xludf.DUMMYFUNCTION("""COMPUTED_VALUE"""),4.96)</f>
        <v>4.96</v>
      </c>
      <c r="D244" s="2" t="str">
        <f>IFERROR(__xludf.DUMMYFUNCTION("""COMPUTED_VALUE"""),"Melamchi")</f>
        <v>Melamchi</v>
      </c>
      <c r="E244" s="2">
        <f>IFERROR(__xludf.DUMMYFUNCTION("""COMPUTED_VALUE"""),493.0)</f>
        <v>493</v>
      </c>
      <c r="F244" s="3">
        <f>IFERROR(__xludf.DUMMYFUNCTION("""COMPUTED_VALUE"""),66625.0)</f>
        <v>66625</v>
      </c>
      <c r="G244" s="3">
        <f>IFERROR(__xludf.DUMMYFUNCTION("""COMPUTED_VALUE"""),79407.0)</f>
        <v>79407</v>
      </c>
      <c r="H244" s="2" t="str">
        <f>IFERROR(__xludf.DUMMYFUNCTION("""COMPUTED_VALUE"""),"Gugeshwori Energy Pvt. Ltd")</f>
        <v>Gugeshwori Energy Pvt. Ltd</v>
      </c>
      <c r="I244" s="2" t="str">
        <f>IFERROR(__xludf.DUMMYFUNCTION("""COMPUTED_VALUE"""),"Subidhanagar, Tinkune, Kathmandu-32; 01-4111717")</f>
        <v>Subidhanagar, Tinkune, Kathmandu-32; 01-4111717</v>
      </c>
      <c r="J244" s="2" t="str">
        <f>IFERROR(__xludf.DUMMYFUNCTION("""COMPUTED_VALUE"""),"27o 58' 31""")</f>
        <v>27o 58' 31"</v>
      </c>
      <c r="K244" s="2" t="str">
        <f>IFERROR(__xludf.DUMMYFUNCTION("""COMPUTED_VALUE"""),"27o 59' 14""")</f>
        <v>27o 59' 14"</v>
      </c>
      <c r="L244" s="2" t="str">
        <f>IFERROR(__xludf.DUMMYFUNCTION("""COMPUTED_VALUE"""),"85o 32' 00""")</f>
        <v>85o 32' 00"</v>
      </c>
      <c r="M244" s="2" t="str">
        <f>IFERROR(__xludf.DUMMYFUNCTION("""COMPUTED_VALUE"""),"85o 32' 40""")</f>
        <v>85o 32' 40"</v>
      </c>
      <c r="N244" s="2" t="str">
        <f>IFERROR(__xludf.DUMMYFUNCTION("""COMPUTED_VALUE"""),"Melamche (Sindhupalchok)")</f>
        <v>Melamche (Sindhupalchok)</v>
      </c>
    </row>
    <row r="245">
      <c r="A245" s="2">
        <f>IFERROR(__xludf.DUMMYFUNCTION("""COMPUTED_VALUE"""),244.0)</f>
        <v>244</v>
      </c>
      <c r="B245" s="2" t="str">
        <f>IFERROR(__xludf.DUMMYFUNCTION("""COMPUTED_VALUE"""),"Upper Seti-1 HEP")</f>
        <v>Upper Seti-1 HEP</v>
      </c>
      <c r="C245" s="2">
        <f>IFERROR(__xludf.DUMMYFUNCTION("""COMPUTED_VALUE"""),13.0)</f>
        <v>13</v>
      </c>
      <c r="D245" s="2" t="str">
        <f>IFERROR(__xludf.DUMMYFUNCTION("""COMPUTED_VALUE"""),"Seti Khola (Gandaki)")</f>
        <v>Seti Khola (Gandaki)</v>
      </c>
      <c r="E245" s="2">
        <f>IFERROR(__xludf.DUMMYFUNCTION("""COMPUTED_VALUE"""),494.0)</f>
        <v>494</v>
      </c>
      <c r="F245" s="3">
        <f>IFERROR(__xludf.DUMMYFUNCTION("""COMPUTED_VALUE"""),66636.0)</f>
        <v>66636</v>
      </c>
      <c r="G245" s="3">
        <f>IFERROR(__xludf.DUMMYFUNCTION("""COMPUTED_VALUE"""),79418.0)</f>
        <v>79418</v>
      </c>
      <c r="H245" s="2" t="str">
        <f>IFERROR(__xludf.DUMMYFUNCTION("""COMPUTED_VALUE"""),"Shrestha Energy Solution Pvt. Ltd")</f>
        <v>Shrestha Energy Solution Pvt. Ltd</v>
      </c>
      <c r="I245" s="2" t="str">
        <f>IFERROR(__xludf.DUMMYFUNCTION("""COMPUTED_VALUE"""),"Budanilkantha-4, Kathmandu,9851026329")</f>
        <v>Budanilkantha-4, Kathmandu,9851026329</v>
      </c>
      <c r="J245" s="2" t="str">
        <f>IFERROR(__xludf.DUMMYFUNCTION("""COMPUTED_VALUE"""),"28o 16' 38""")</f>
        <v>28o 16' 38"</v>
      </c>
      <c r="K245" s="2" t="str">
        <f>IFERROR(__xludf.DUMMYFUNCTION("""COMPUTED_VALUE"""),"28o 18' 40""")</f>
        <v>28o 18' 40"</v>
      </c>
      <c r="L245" s="2" t="str">
        <f>IFERROR(__xludf.DUMMYFUNCTION("""COMPUTED_VALUE"""),"83o 56' 00""")</f>
        <v>83o 56' 00"</v>
      </c>
      <c r="M245" s="2" t="str">
        <f>IFERROR(__xludf.DUMMYFUNCTION("""COMPUTED_VALUE"""),"83o 57' 50""")</f>
        <v>83o 57' 50"</v>
      </c>
      <c r="N245" s="2" t="str">
        <f>IFERROR(__xludf.DUMMYFUNCTION("""COMPUTED_VALUE"""),"Purachaur (Kaski)")</f>
        <v>Purachaur (Kaski)</v>
      </c>
    </row>
    <row r="246">
      <c r="A246" s="2">
        <f>IFERROR(__xludf.DUMMYFUNCTION("""COMPUTED_VALUE"""),245.0)</f>
        <v>245</v>
      </c>
      <c r="B246" s="2" t="str">
        <f>IFERROR(__xludf.DUMMYFUNCTION("""COMPUTED_VALUE"""),"Hongu Khola HEP")</f>
        <v>Hongu Khola HEP</v>
      </c>
      <c r="C246" s="2">
        <f>IFERROR(__xludf.DUMMYFUNCTION("""COMPUTED_VALUE"""),28.9)</f>
        <v>28.9</v>
      </c>
      <c r="D246" s="2" t="str">
        <f>IFERROR(__xludf.DUMMYFUNCTION("""COMPUTED_VALUE"""),"Hongu Khola")</f>
        <v>Hongu Khola</v>
      </c>
      <c r="E246" s="2">
        <f>IFERROR(__xludf.DUMMYFUNCTION("""COMPUTED_VALUE"""),495.0)</f>
        <v>495</v>
      </c>
      <c r="F246" s="3">
        <f>IFERROR(__xludf.DUMMYFUNCTION("""COMPUTED_VALUE"""),66637.0)</f>
        <v>66637</v>
      </c>
      <c r="G246" s="3">
        <f>IFERROR(__xludf.DUMMYFUNCTION("""COMPUTED_VALUE"""),79419.0)</f>
        <v>79419</v>
      </c>
      <c r="H246" s="2" t="str">
        <f>IFERROR(__xludf.DUMMYFUNCTION("""COMPUTED_VALUE"""),"Union Hydropower Ltd")</f>
        <v>Union Hydropower Ltd</v>
      </c>
      <c r="I246" s="2" t="str">
        <f>IFERROR(__xludf.DUMMYFUNCTION("""COMPUTED_VALUE"""),"Lalitpur-3, Dhobighat, Phone no. 5525406")</f>
        <v>Lalitpur-3, Dhobighat, Phone no. 5525406</v>
      </c>
      <c r="J246" s="2" t="str">
        <f>IFERROR(__xludf.DUMMYFUNCTION("""COMPUTED_VALUE"""),"27o 32' 08""")</f>
        <v>27o 32' 08"</v>
      </c>
      <c r="K246" s="2" t="str">
        <f>IFERROR(__xludf.DUMMYFUNCTION("""COMPUTED_VALUE"""),"27o 34' 40""")</f>
        <v>27o 34' 40"</v>
      </c>
      <c r="L246" s="2" t="str">
        <f>IFERROR(__xludf.DUMMYFUNCTION("""COMPUTED_VALUE"""),"86o 52' 53""")</f>
        <v>86o 52' 53"</v>
      </c>
      <c r="M246" s="2" t="str">
        <f>IFERROR(__xludf.DUMMYFUNCTION("""COMPUTED_VALUE"""),"86o 54' 31""")</f>
        <v>86o 54' 31"</v>
      </c>
      <c r="N246" s="2" t="str">
        <f>IFERROR(__xludf.DUMMYFUNCTION("""COMPUTED_VALUE"""),"Chheskam (Solukhumbu)")</f>
        <v>Chheskam (Solukhumbu)</v>
      </c>
    </row>
    <row r="247">
      <c r="A247" s="2">
        <f>IFERROR(__xludf.DUMMYFUNCTION("""COMPUTED_VALUE"""),246.0)</f>
        <v>246</v>
      </c>
      <c r="B247" s="2" t="str">
        <f>IFERROR(__xludf.DUMMYFUNCTION("""COMPUTED_VALUE"""),"Induwa Khola PRoR HEP")</f>
        <v>Induwa Khola PRoR HEP</v>
      </c>
      <c r="C247" s="2">
        <f>IFERROR(__xludf.DUMMYFUNCTION("""COMPUTED_VALUE"""),24.921)</f>
        <v>24.921</v>
      </c>
      <c r="D247" s="2" t="str">
        <f>IFERROR(__xludf.DUMMYFUNCTION("""COMPUTED_VALUE"""),"Induwa")</f>
        <v>Induwa</v>
      </c>
      <c r="E247" s="2">
        <f>IFERROR(__xludf.DUMMYFUNCTION("""COMPUTED_VALUE"""),496.0)</f>
        <v>496</v>
      </c>
      <c r="F247" s="3">
        <f>IFERROR(__xludf.DUMMYFUNCTION("""COMPUTED_VALUE"""),66656.0)</f>
        <v>66656</v>
      </c>
      <c r="G247" s="3">
        <f>IFERROR(__xludf.DUMMYFUNCTION("""COMPUTED_VALUE"""),79438.0)</f>
        <v>79438</v>
      </c>
      <c r="H247" s="2" t="str">
        <f>IFERROR(__xludf.DUMMYFUNCTION("""COMPUTED_VALUE"""),"Vision Tesla Power Pvt. Ltd.")</f>
        <v>Vision Tesla Power Pvt. Ltd.</v>
      </c>
      <c r="I247" s="2" t="str">
        <f>IFERROR(__xludf.DUMMYFUNCTION("""COMPUTED_VALUE"""),"Kathmandu-3, Contact no.: 9851147060")</f>
        <v>Kathmandu-3, Contact no.: 9851147060</v>
      </c>
      <c r="J247" s="2" t="str">
        <f>IFERROR(__xludf.DUMMYFUNCTION("""COMPUTED_VALUE"""),"27o 30' 46""")</f>
        <v>27o 30' 46"</v>
      </c>
      <c r="K247" s="2" t="str">
        <f>IFERROR(__xludf.DUMMYFUNCTION("""COMPUTED_VALUE"""),"27o 33' 29""")</f>
        <v>27o 33' 29"</v>
      </c>
      <c r="L247" s="2" t="str">
        <f>IFERROR(__xludf.DUMMYFUNCTION("""COMPUTED_VALUE"""),"87o 19' 07""")</f>
        <v>87o 19' 07"</v>
      </c>
      <c r="M247" s="2" t="str">
        <f>IFERROR(__xludf.DUMMYFUNCTION("""COMPUTED_VALUE"""),"87o 22' 16""")</f>
        <v>87o 22' 16"</v>
      </c>
      <c r="N247" s="2" t="str">
        <f>IFERROR(__xludf.DUMMYFUNCTION("""COMPUTED_VALUE"""),"Num (Sankhuwasabha)")</f>
        <v>Num (Sankhuwasabha)</v>
      </c>
    </row>
    <row r="248">
      <c r="A248" s="2">
        <f>IFERROR(__xludf.DUMMYFUNCTION("""COMPUTED_VALUE"""),247.0)</f>
        <v>247</v>
      </c>
      <c r="B248" s="2" t="str">
        <f>IFERROR(__xludf.DUMMYFUNCTION("""COMPUTED_VALUE"""),"Chunchet Syar Khola HEP")</f>
        <v>Chunchet Syar Khola HEP</v>
      </c>
      <c r="C248" s="2">
        <f>IFERROR(__xludf.DUMMYFUNCTION("""COMPUTED_VALUE"""),45.0)</f>
        <v>45</v>
      </c>
      <c r="D248" s="2" t="str">
        <f>IFERROR(__xludf.DUMMYFUNCTION("""COMPUTED_VALUE"""),"Syar Khola")</f>
        <v>Syar Khola</v>
      </c>
      <c r="E248" s="2">
        <f>IFERROR(__xludf.DUMMYFUNCTION("""COMPUTED_VALUE"""),497.0)</f>
        <v>497</v>
      </c>
      <c r="F248" s="3">
        <f>IFERROR(__xludf.DUMMYFUNCTION("""COMPUTED_VALUE"""),66693.0)</f>
        <v>66693</v>
      </c>
      <c r="G248" s="3">
        <f>IFERROR(__xludf.DUMMYFUNCTION("""COMPUTED_VALUE"""),79475.0)</f>
        <v>79475</v>
      </c>
      <c r="H248" s="2" t="str">
        <f>IFERROR(__xludf.DUMMYFUNCTION("""COMPUTED_VALUE"""),"Chilime Hydropower Company Limited")</f>
        <v>Chilime Hydropower Company Limited</v>
      </c>
      <c r="I248" s="2" t="str">
        <f>IFERROR(__xludf.DUMMYFUNCTION("""COMPUTED_VALUE"""),"Dumbarahi Kathmandu, 014370773, 01-4370793")</f>
        <v>Dumbarahi Kathmandu, 014370773, 01-4370793</v>
      </c>
      <c r="J248" s="2" t="str">
        <f>IFERROR(__xludf.DUMMYFUNCTION("""COMPUTED_VALUE"""),"28o 26' 25""")</f>
        <v>28o 26' 25"</v>
      </c>
      <c r="K248" s="2" t="str">
        <f>IFERROR(__xludf.DUMMYFUNCTION("""COMPUTED_VALUE"""),"28o 28' 30""")</f>
        <v>28o 28' 30"</v>
      </c>
      <c r="L248" s="2" t="str">
        <f>IFERROR(__xludf.DUMMYFUNCTION("""COMPUTED_VALUE"""),"84o 54' 30""")</f>
        <v>84o 54' 30"</v>
      </c>
      <c r="M248" s="2" t="str">
        <f>IFERROR(__xludf.DUMMYFUNCTION("""COMPUTED_VALUE"""),"84o 57' 32""")</f>
        <v>84o 57' 32"</v>
      </c>
      <c r="N248" s="2" t="str">
        <f>IFERROR(__xludf.DUMMYFUNCTION("""COMPUTED_VALUE"""),"Sirdibas,Chunchet,Bihi (Gorkha)")</f>
        <v>Sirdibas,Chunchet,Bihi (Gorkha)</v>
      </c>
    </row>
    <row r="249">
      <c r="A249" s="2">
        <f>IFERROR(__xludf.DUMMYFUNCTION("""COMPUTED_VALUE"""),248.0)</f>
        <v>248</v>
      </c>
      <c r="B249" s="2" t="str">
        <f>IFERROR(__xludf.DUMMYFUNCTION("""COMPUTED_VALUE"""),"Middle Likhu Small HEP")</f>
        <v>Middle Likhu Small HEP</v>
      </c>
      <c r="C249" s="2">
        <f>IFERROR(__xludf.DUMMYFUNCTION("""COMPUTED_VALUE"""),8.6)</f>
        <v>8.6</v>
      </c>
      <c r="D249" s="2" t="str">
        <f>IFERROR(__xludf.DUMMYFUNCTION("""COMPUTED_VALUE"""),"Likhu Khola")</f>
        <v>Likhu Khola</v>
      </c>
      <c r="E249" s="2">
        <f>IFERROR(__xludf.DUMMYFUNCTION("""COMPUTED_VALUE"""),498.0)</f>
        <v>498</v>
      </c>
      <c r="F249" s="3">
        <f>IFERROR(__xludf.DUMMYFUNCTION("""COMPUTED_VALUE"""),66695.0)</f>
        <v>66695</v>
      </c>
      <c r="G249" s="3">
        <f>IFERROR(__xludf.DUMMYFUNCTION("""COMPUTED_VALUE"""),79477.0)</f>
        <v>79477</v>
      </c>
      <c r="H249" s="2" t="str">
        <f>IFERROR(__xludf.DUMMYFUNCTION("""COMPUTED_VALUE"""),"Parbat Energy Pvt. Ltd.")</f>
        <v>Parbat Energy Pvt. Ltd.</v>
      </c>
      <c r="I249" s="2" t="str">
        <f>IFERROR(__xludf.DUMMYFUNCTION("""COMPUTED_VALUE"""),"Sanghutar, Ramechhap")</f>
        <v>Sanghutar, Ramechhap</v>
      </c>
      <c r="J249" s="2" t="str">
        <f>IFERROR(__xludf.DUMMYFUNCTION("""COMPUTED_VALUE"""),"27o 31' 08""")</f>
        <v>27o 31' 08"</v>
      </c>
      <c r="K249" s="2" t="str">
        <f>IFERROR(__xludf.DUMMYFUNCTION("""COMPUTED_VALUE"""),"27o 31' 40""")</f>
        <v>27o 31' 40"</v>
      </c>
      <c r="L249" s="2" t="str">
        <f>IFERROR(__xludf.DUMMYFUNCTION("""COMPUTED_VALUE"""),"86o 20' 15""")</f>
        <v>86o 20' 15"</v>
      </c>
      <c r="M249" s="2" t="str">
        <f>IFERROR(__xludf.DUMMYFUNCTION("""COMPUTED_VALUE"""),"86o 21' 30""")</f>
        <v>86o 21' 30"</v>
      </c>
      <c r="N249" s="2" t="str">
        <f>IFERROR(__xludf.DUMMYFUNCTION("""COMPUTED_VALUE"""),"Rawadolu (Okhaldhunga) Goli (Solukhumbu)")</f>
        <v>Rawadolu (Okhaldhunga) Goli (Solukhumbu)</v>
      </c>
    </row>
    <row r="250">
      <c r="A250" s="2">
        <f>IFERROR(__xludf.DUMMYFUNCTION("""COMPUTED_VALUE"""),249.0)</f>
        <v>249</v>
      </c>
      <c r="B250" s="2" t="str">
        <f>IFERROR(__xludf.DUMMYFUNCTION("""COMPUTED_VALUE"""),"Chhomron Khola Small HEP")</f>
        <v>Chhomron Khola Small HEP</v>
      </c>
      <c r="C250" s="2">
        <f>IFERROR(__xludf.DUMMYFUNCTION("""COMPUTED_VALUE"""),4.894)</f>
        <v>4.894</v>
      </c>
      <c r="D250" s="2" t="str">
        <f>IFERROR(__xludf.DUMMYFUNCTION("""COMPUTED_VALUE"""),"Chhomron Khola")</f>
        <v>Chhomron Khola</v>
      </c>
      <c r="E250" s="2">
        <f>IFERROR(__xludf.DUMMYFUNCTION("""COMPUTED_VALUE"""),499.0)</f>
        <v>499</v>
      </c>
      <c r="F250" s="3">
        <f>IFERROR(__xludf.DUMMYFUNCTION("""COMPUTED_VALUE"""),66699.0)</f>
        <v>66699</v>
      </c>
      <c r="G250" s="3">
        <f>IFERROR(__xludf.DUMMYFUNCTION("""COMPUTED_VALUE"""),79481.0)</f>
        <v>79481</v>
      </c>
      <c r="H250" s="2" t="str">
        <f>IFERROR(__xludf.DUMMYFUNCTION("""COMPUTED_VALUE"""),"Ghandruk Hydro Private Limited")</f>
        <v>Ghandruk Hydro Private Limited</v>
      </c>
      <c r="I250" s="2" t="str">
        <f>IFERROR(__xludf.DUMMYFUNCTION("""COMPUTED_VALUE"""),"Banasthali, Kathmandu-16, Kathmandu")</f>
        <v>Banasthali, Kathmandu-16, Kathmandu</v>
      </c>
      <c r="J250" s="2" t="str">
        <f>IFERROR(__xludf.DUMMYFUNCTION("""COMPUTED_VALUE"""),"28o 25' 14""")</f>
        <v>28o 25' 14"</v>
      </c>
      <c r="K250" s="2" t="str">
        <f>IFERROR(__xludf.DUMMYFUNCTION("""COMPUTED_VALUE"""),"28o 25' 54""")</f>
        <v>28o 25' 54"</v>
      </c>
      <c r="L250" s="2" t="str">
        <f>IFERROR(__xludf.DUMMYFUNCTION("""COMPUTED_VALUE"""),"83o 49' 08""")</f>
        <v>83o 49' 08"</v>
      </c>
      <c r="M250" s="2" t="str">
        <f>IFERROR(__xludf.DUMMYFUNCTION("""COMPUTED_VALUE"""),"83o 50' 00""")</f>
        <v>83o 50' 00"</v>
      </c>
      <c r="N250" s="2" t="str">
        <f>IFERROR(__xludf.DUMMYFUNCTION("""COMPUTED_VALUE"""),"Ghandruk (Kaski)")</f>
        <v>Ghandruk (Kaski)</v>
      </c>
    </row>
    <row r="251">
      <c r="A251" s="2">
        <f>IFERROR(__xludf.DUMMYFUNCTION("""COMPUTED_VALUE"""),250.0)</f>
        <v>250</v>
      </c>
      <c r="B251" s="2" t="str">
        <f>IFERROR(__xludf.DUMMYFUNCTION("""COMPUTED_VALUE"""),"Upper Mudi Khola")</f>
        <v>Upper Mudi Khola</v>
      </c>
      <c r="C251" s="2">
        <f>IFERROR(__xludf.DUMMYFUNCTION("""COMPUTED_VALUE"""),12.73)</f>
        <v>12.73</v>
      </c>
      <c r="D251" s="2" t="str">
        <f>IFERROR(__xludf.DUMMYFUNCTION("""COMPUTED_VALUE"""),"Mudi &amp; Ghurma")</f>
        <v>Mudi &amp; Ghurma</v>
      </c>
      <c r="E251" s="2">
        <f>IFERROR(__xludf.DUMMYFUNCTION("""COMPUTED_VALUE"""),501.0)</f>
        <v>501</v>
      </c>
      <c r="F251" s="3">
        <f>IFERROR(__xludf.DUMMYFUNCTION("""COMPUTED_VALUE"""),66751.0)</f>
        <v>66751</v>
      </c>
      <c r="G251" s="3">
        <f>IFERROR(__xludf.DUMMYFUNCTION("""COMPUTED_VALUE"""),79533.0)</f>
        <v>79533</v>
      </c>
      <c r="H251" s="2" t="str">
        <f>IFERROR(__xludf.DUMMYFUNCTION("""COMPUTED_VALUE"""),"Fresh Water Energy Pvt. Ltd.")</f>
        <v>Fresh Water Energy Pvt. Ltd.</v>
      </c>
      <c r="I251" s="2" t="str">
        <f>IFERROR(__xludf.DUMMYFUNCTION("""COMPUTED_VALUE"""),"Kathmandu-10, Buddhanagar, 01-5922601,9851221372")</f>
        <v>Kathmandu-10, Buddhanagar, 01-5922601,9851221372</v>
      </c>
      <c r="J251" s="2" t="str">
        <f>IFERROR(__xludf.DUMMYFUNCTION("""COMPUTED_VALUE"""),"28o 33' 30""")</f>
        <v>28o 33' 30"</v>
      </c>
      <c r="K251" s="2" t="str">
        <f>IFERROR(__xludf.DUMMYFUNCTION("""COMPUTED_VALUE"""),"28o 35' 00""")</f>
        <v>28o 35' 00"</v>
      </c>
      <c r="L251" s="2" t="str">
        <f>IFERROR(__xludf.DUMMYFUNCTION("""COMPUTED_VALUE"""),"83o 17' 22""")</f>
        <v>83o 17' 22"</v>
      </c>
      <c r="M251" s="2" t="str">
        <f>IFERROR(__xludf.DUMMYFUNCTION("""COMPUTED_VALUE"""),"83o 19' 15""")</f>
        <v>83o 19' 15"</v>
      </c>
      <c r="N251" s="2" t="str">
        <f>IFERROR(__xludf.DUMMYFUNCTION("""COMPUTED_VALUE"""),"Mudi (Myagdi)")</f>
        <v>Mudi (Myagdi)</v>
      </c>
    </row>
    <row r="252">
      <c r="A252" s="2">
        <f>IFERROR(__xludf.DUMMYFUNCTION("""COMPUTED_VALUE"""),251.0)</f>
        <v>251</v>
      </c>
      <c r="B252" s="2" t="str">
        <f>IFERROR(__xludf.DUMMYFUNCTION("""COMPUTED_VALUE"""),"Myagdi Khola A HEP")</f>
        <v>Myagdi Khola A HEP</v>
      </c>
      <c r="C252" s="2">
        <f>IFERROR(__xludf.DUMMYFUNCTION("""COMPUTED_VALUE"""),30.0)</f>
        <v>30</v>
      </c>
      <c r="D252" s="2" t="str">
        <f>IFERROR(__xludf.DUMMYFUNCTION("""COMPUTED_VALUE"""),"Myagdi")</f>
        <v>Myagdi</v>
      </c>
      <c r="E252" s="2">
        <f>IFERROR(__xludf.DUMMYFUNCTION("""COMPUTED_VALUE"""),502.0)</f>
        <v>502</v>
      </c>
      <c r="F252" s="3">
        <f>IFERROR(__xludf.DUMMYFUNCTION("""COMPUTED_VALUE"""),66758.0)</f>
        <v>66758</v>
      </c>
      <c r="G252" s="3">
        <f>IFERROR(__xludf.DUMMYFUNCTION("""COMPUTED_VALUE"""),79540.0)</f>
        <v>79540</v>
      </c>
      <c r="H252" s="2" t="str">
        <f>IFERROR(__xludf.DUMMYFUNCTION("""COMPUTED_VALUE"""),"Dordi Khola Jalvidyut Company Limited")</f>
        <v>Dordi Khola Jalvidyut Company Limited</v>
      </c>
      <c r="I252" s="2" t="str">
        <f>IFERROR(__xludf.DUMMYFUNCTION("""COMPUTED_VALUE"""),"Blue Star Complex, Tripureshwar, Kathmandu, Ph. No. 01-4232748")</f>
        <v>Blue Star Complex, Tripureshwar, Kathmandu, Ph. No. 01-4232748</v>
      </c>
      <c r="J252" s="2" t="str">
        <f>IFERROR(__xludf.DUMMYFUNCTION("""COMPUTED_VALUE"""),"28o 40' 42""")</f>
        <v>28o 40' 42"</v>
      </c>
      <c r="K252" s="2" t="str">
        <f>IFERROR(__xludf.DUMMYFUNCTION("""COMPUTED_VALUE"""),"28o 38' 13""")</f>
        <v>28o 38' 13"</v>
      </c>
      <c r="L252" s="2" t="str">
        <f>IFERROR(__xludf.DUMMYFUNCTION("""COMPUTED_VALUE"""),"83o 25' 40""")</f>
        <v>83o 25' 40"</v>
      </c>
      <c r="M252" s="2" t="str">
        <f>IFERROR(__xludf.DUMMYFUNCTION("""COMPUTED_VALUE"""),"83o 23' 45""")</f>
        <v>83o 23' 45"</v>
      </c>
      <c r="N252" s="2" t="str">
        <f>IFERROR(__xludf.DUMMYFUNCTION("""COMPUTED_VALUE"""),"Mudi (Myagdi)")</f>
        <v>Mudi (Myagdi)</v>
      </c>
    </row>
    <row r="253">
      <c r="A253" s="2">
        <f>IFERROR(__xludf.DUMMYFUNCTION("""COMPUTED_VALUE"""),252.0)</f>
        <v>252</v>
      </c>
      <c r="B253" s="2" t="str">
        <f>IFERROR(__xludf.DUMMYFUNCTION("""COMPUTED_VALUE"""),"Lower Rupse Khola HEP")</f>
        <v>Lower Rupse Khola HEP</v>
      </c>
      <c r="C253" s="2">
        <f>IFERROR(__xludf.DUMMYFUNCTION("""COMPUTED_VALUE"""),1.86)</f>
        <v>1.86</v>
      </c>
      <c r="D253" s="2" t="str">
        <f>IFERROR(__xludf.DUMMYFUNCTION("""COMPUTED_VALUE"""),"Rupse")</f>
        <v>Rupse</v>
      </c>
      <c r="E253" s="2">
        <f>IFERROR(__xludf.DUMMYFUNCTION("""COMPUTED_VALUE"""),503.0)</f>
        <v>503</v>
      </c>
      <c r="F253" s="3">
        <f>IFERROR(__xludf.DUMMYFUNCTION("""COMPUTED_VALUE"""),66771.0)</f>
        <v>66771</v>
      </c>
      <c r="G253" s="3">
        <f>IFERROR(__xludf.DUMMYFUNCTION("""COMPUTED_VALUE"""),79553.0)</f>
        <v>79553</v>
      </c>
      <c r="H253" s="2" t="str">
        <f>IFERROR(__xludf.DUMMYFUNCTION("""COMPUTED_VALUE"""),"Gulmi Hydro Pvt. Ltd")</f>
        <v>Gulmi Hydro Pvt. Ltd</v>
      </c>
      <c r="I253" s="2" t="str">
        <f>IFERROR(__xludf.DUMMYFUNCTION("""COMPUTED_VALUE"""),"Anamnagar, Kathmandu")</f>
        <v>Anamnagar, Kathmandu</v>
      </c>
      <c r="J253" s="2" t="str">
        <f>IFERROR(__xludf.DUMMYFUNCTION("""COMPUTED_VALUE"""),"28o 32' 47""")</f>
        <v>28o 32' 47"</v>
      </c>
      <c r="K253" s="2" t="str">
        <f>IFERROR(__xludf.DUMMYFUNCTION("""COMPUTED_VALUE"""),"28o 33' 26""")</f>
        <v>28o 33' 26"</v>
      </c>
      <c r="L253" s="2" t="str">
        <f>IFERROR(__xludf.DUMMYFUNCTION("""COMPUTED_VALUE"""),"83o 38' 14""")</f>
        <v>83o 38' 14"</v>
      </c>
      <c r="M253" s="2" t="str">
        <f>IFERROR(__xludf.DUMMYFUNCTION("""COMPUTED_VALUE"""),"83o 39' 00""")</f>
        <v>83o 39' 00"</v>
      </c>
      <c r="N253" s="2" t="str">
        <f>IFERROR(__xludf.DUMMYFUNCTION("""COMPUTED_VALUE"""),"Dana (Myagdi)")</f>
        <v>Dana (Myagdi)</v>
      </c>
    </row>
    <row r="254">
      <c r="A254" s="2">
        <f>IFERROR(__xludf.DUMMYFUNCTION("""COMPUTED_VALUE"""),253.0)</f>
        <v>253</v>
      </c>
      <c r="B254" s="2" t="str">
        <f>IFERROR(__xludf.DUMMYFUNCTION("""COMPUTED_VALUE"""),"Super Irkhuwa Khola HEP")</f>
        <v>Super Irkhuwa Khola HEP</v>
      </c>
      <c r="C254" s="2">
        <f>IFERROR(__xludf.DUMMYFUNCTION("""COMPUTED_VALUE"""),5.0)</f>
        <v>5</v>
      </c>
      <c r="D254" s="2" t="str">
        <f>IFERROR(__xludf.DUMMYFUNCTION("""COMPUTED_VALUE"""),"Irkhuwa Khola")</f>
        <v>Irkhuwa Khola</v>
      </c>
      <c r="E254" s="2">
        <f>IFERROR(__xludf.DUMMYFUNCTION("""COMPUTED_VALUE"""),504.0)</f>
        <v>504</v>
      </c>
      <c r="F254" s="3">
        <f>IFERROR(__xludf.DUMMYFUNCTION("""COMPUTED_VALUE"""),66844.0)</f>
        <v>66844</v>
      </c>
      <c r="G254" s="3">
        <f>IFERROR(__xludf.DUMMYFUNCTION("""COMPUTED_VALUE"""),79626.0)</f>
        <v>79626</v>
      </c>
      <c r="H254" s="2" t="str">
        <f>IFERROR(__xludf.DUMMYFUNCTION("""COMPUTED_VALUE"""),"Bhojpur Siwalaya Power Pvt. Ltd")</f>
        <v>Bhojpur Siwalaya Power Pvt. Ltd</v>
      </c>
      <c r="I254" s="2" t="str">
        <f>IFERROR(__xludf.DUMMYFUNCTION("""COMPUTED_VALUE"""),"Kathmandu-32, Jadibuti, Nepal, Contact No.: 9851187011, 9865660888")</f>
        <v>Kathmandu-32, Jadibuti, Nepal, Contact No.: 9851187011, 9865660888</v>
      </c>
      <c r="J254" s="2" t="str">
        <f>IFERROR(__xludf.DUMMYFUNCTION("""COMPUTED_VALUE"""),"27o 24' 05""")</f>
        <v>27o 24' 05"</v>
      </c>
      <c r="K254" s="2" t="str">
        <f>IFERROR(__xludf.DUMMYFUNCTION("""COMPUTED_VALUE"""),"27o 25' 16""")</f>
        <v>27o 25' 16"</v>
      </c>
      <c r="L254" s="2" t="str">
        <f>IFERROR(__xludf.DUMMYFUNCTION("""COMPUTED_VALUE"""),"86o 55' 59""")</f>
        <v>86o 55' 59"</v>
      </c>
      <c r="M254" s="2" t="str">
        <f>IFERROR(__xludf.DUMMYFUNCTION("""COMPUTED_VALUE"""),"86o 58' 24""")</f>
        <v>86o 58' 24"</v>
      </c>
      <c r="N254" s="2" t="str">
        <f>IFERROR(__xludf.DUMMYFUNCTION("""COMPUTED_VALUE"""),"Dobhane (Bhojpur)")</f>
        <v>Dobhane (Bhojpur)</v>
      </c>
    </row>
    <row r="255">
      <c r="A255" s="2">
        <f>IFERROR(__xludf.DUMMYFUNCTION("""COMPUTED_VALUE"""),254.0)</f>
        <v>254</v>
      </c>
      <c r="B255" s="2" t="str">
        <f>IFERROR(__xludf.DUMMYFUNCTION("""COMPUTED_VALUE"""),"Chyandi Khola HEP")</f>
        <v>Chyandi Khola HEP</v>
      </c>
      <c r="C255" s="2">
        <f>IFERROR(__xludf.DUMMYFUNCTION("""COMPUTED_VALUE"""),4.2)</f>
        <v>4.2</v>
      </c>
      <c r="D255" s="2" t="str">
        <f>IFERROR(__xludf.DUMMYFUNCTION("""COMPUTED_VALUE"""),"Chyandi Khola")</f>
        <v>Chyandi Khola</v>
      </c>
      <c r="E255" s="2">
        <f>IFERROR(__xludf.DUMMYFUNCTION("""COMPUTED_VALUE"""),505.0)</f>
        <v>505</v>
      </c>
      <c r="F255" s="3">
        <f>IFERROR(__xludf.DUMMYFUNCTION("""COMPUTED_VALUE"""),66845.0)</f>
        <v>66845</v>
      </c>
      <c r="G255" s="3">
        <f>IFERROR(__xludf.DUMMYFUNCTION("""COMPUTED_VALUE"""),79627.0)</f>
        <v>79627</v>
      </c>
      <c r="H255" s="2" t="str">
        <f>IFERROR(__xludf.DUMMYFUNCTION("""COMPUTED_VALUE"""),"Chyadi Khola Hydropower Company Pvt. Ltd.")</f>
        <v>Chyadi Khola Hydropower Company Pvt. Ltd.</v>
      </c>
      <c r="I255" s="2" t="str">
        <f>IFERROR(__xludf.DUMMYFUNCTION("""COMPUTED_VALUE"""),"Bichour VDC-1, 9841285734")</f>
        <v>Bichour VDC-1, 9841285734</v>
      </c>
      <c r="J255" s="2" t="str">
        <f>IFERROR(__xludf.DUMMYFUNCTION("""COMPUTED_VALUE"""),"28o 12' 56""")</f>
        <v>28o 12' 56"</v>
      </c>
      <c r="K255" s="2" t="str">
        <f>IFERROR(__xludf.DUMMYFUNCTION("""COMPUTED_VALUE"""),"28o 14' 20""")</f>
        <v>28o 14' 20"</v>
      </c>
      <c r="L255" s="2" t="str">
        <f>IFERROR(__xludf.DUMMYFUNCTION("""COMPUTED_VALUE"""),"84o 37' 00""")</f>
        <v>84o 37' 00"</v>
      </c>
      <c r="M255" s="2" t="str">
        <f>IFERROR(__xludf.DUMMYFUNCTION("""COMPUTED_VALUE"""),"84o 38' 24""")</f>
        <v>84o 38' 24"</v>
      </c>
      <c r="N255" s="2" t="str">
        <f>IFERROR(__xludf.DUMMYFUNCTION("""COMPUTED_VALUE"""),"Kharibot (Gorkha) Dudhpokhari (Lamjung)")</f>
        <v>Kharibot (Gorkha) Dudhpokhari (Lamjung)</v>
      </c>
    </row>
    <row r="256">
      <c r="A256" s="2">
        <f>IFERROR(__xludf.DUMMYFUNCTION("""COMPUTED_VALUE"""),255.0)</f>
        <v>255</v>
      </c>
      <c r="B256" s="2" t="str">
        <f>IFERROR(__xludf.DUMMYFUNCTION("""COMPUTED_VALUE"""),"Upper Arun HEP")</f>
        <v>Upper Arun HEP</v>
      </c>
      <c r="C256" s="2">
        <f>IFERROR(__xludf.DUMMYFUNCTION("""COMPUTED_VALUE"""),1063.36)</f>
        <v>1063.36</v>
      </c>
      <c r="D256" s="2" t="str">
        <f>IFERROR(__xludf.DUMMYFUNCTION("""COMPUTED_VALUE"""),"Arun")</f>
        <v>Arun</v>
      </c>
      <c r="E256" s="2">
        <f>IFERROR(__xludf.DUMMYFUNCTION("""COMPUTED_VALUE"""),506.0)</f>
        <v>506</v>
      </c>
      <c r="F256" s="3">
        <f>IFERROR(__xludf.DUMMYFUNCTION("""COMPUTED_VALUE"""),66855.0)</f>
        <v>66855</v>
      </c>
      <c r="G256" s="3">
        <f>IFERROR(__xludf.DUMMYFUNCTION("""COMPUTED_VALUE"""),79637.0)</f>
        <v>79637</v>
      </c>
      <c r="H256" s="2" t="str">
        <f>IFERROR(__xludf.DUMMYFUNCTION("""COMPUTED_VALUE"""),"Upper Arun Hydro Electric Limited")</f>
        <v>Upper Arun Hydro Electric Limited</v>
      </c>
      <c r="I256" s="2" t="str">
        <f>IFERROR(__xludf.DUMMYFUNCTION("""COMPUTED_VALUE"""),"Durbararg, Kathmandu")</f>
        <v>Durbararg, Kathmandu</v>
      </c>
      <c r="J256" s="2" t="str">
        <f>IFERROR(__xludf.DUMMYFUNCTION("""COMPUTED_VALUE"""),"27o 40' 18""")</f>
        <v>27o 40' 18"</v>
      </c>
      <c r="K256" s="2" t="str">
        <f>IFERROR(__xludf.DUMMYFUNCTION("""COMPUTED_VALUE"""),"27o 45' 08""")</f>
        <v>27o 45' 08"</v>
      </c>
      <c r="L256" s="2" t="str">
        <f>IFERROR(__xludf.DUMMYFUNCTION("""COMPUTED_VALUE"""),"87o 20' 30""")</f>
        <v>87o 20' 30"</v>
      </c>
      <c r="M256" s="2" t="str">
        <f>IFERROR(__xludf.DUMMYFUNCTION("""COMPUTED_VALUE"""),"87o 26' 45""")</f>
        <v>87o 26' 45"</v>
      </c>
      <c r="N256" s="2" t="str">
        <f>IFERROR(__xludf.DUMMYFUNCTION("""COMPUTED_VALUE"""),"Pathibhara,Pawakhola (Sankhuwasabha)")</f>
        <v>Pathibhara,Pawakhola (Sankhuwasabha)</v>
      </c>
    </row>
    <row r="257">
      <c r="A257" s="2">
        <f>IFERROR(__xludf.DUMMYFUNCTION("""COMPUTED_VALUE"""),256.0)</f>
        <v>256</v>
      </c>
      <c r="B257" s="2" t="str">
        <f>IFERROR(__xludf.DUMMYFUNCTION("""COMPUTED_VALUE"""),"Manahari Khola HEP")</f>
        <v>Manahari Khola HEP</v>
      </c>
      <c r="C257" s="2">
        <f>IFERROR(__xludf.DUMMYFUNCTION("""COMPUTED_VALUE"""),4.5)</f>
        <v>4.5</v>
      </c>
      <c r="D257" s="2" t="str">
        <f>IFERROR(__xludf.DUMMYFUNCTION("""COMPUTED_VALUE"""),"Manhari")</f>
        <v>Manhari</v>
      </c>
      <c r="E257" s="2">
        <f>IFERROR(__xludf.DUMMYFUNCTION("""COMPUTED_VALUE"""),507.0)</f>
        <v>507</v>
      </c>
      <c r="F257" s="3">
        <f>IFERROR(__xludf.DUMMYFUNCTION("""COMPUTED_VALUE"""),66862.0)</f>
        <v>66862</v>
      </c>
      <c r="G257" s="3">
        <f>IFERROR(__xludf.DUMMYFUNCTION("""COMPUTED_VALUE"""),79644.0)</f>
        <v>79644</v>
      </c>
      <c r="H257" s="2" t="str">
        <f>IFERROR(__xludf.DUMMYFUNCTION("""COMPUTED_VALUE"""),"Dynamic Power Pvt. Ltd")</f>
        <v>Dynamic Power Pvt. Ltd</v>
      </c>
      <c r="I257" s="2" t="str">
        <f>IFERROR(__xludf.DUMMYFUNCTION("""COMPUTED_VALUE"""),"Samakhusi, Kathmandu, Contact No. 9841440822")</f>
        <v>Samakhusi, Kathmandu, Contact No. 9841440822</v>
      </c>
      <c r="J257" s="2" t="str">
        <f>IFERROR(__xludf.DUMMYFUNCTION("""COMPUTED_VALUE"""),"27o 33' 37""")</f>
        <v>27o 33' 37"</v>
      </c>
      <c r="K257" s="2" t="str">
        <f>IFERROR(__xludf.DUMMYFUNCTION("""COMPUTED_VALUE"""),"27o 35' 14""")</f>
        <v>27o 35' 14"</v>
      </c>
      <c r="L257" s="2" t="str">
        <f>IFERROR(__xludf.DUMMYFUNCTION("""COMPUTED_VALUE"""),"84o 53' 40""")</f>
        <v>84o 53' 40"</v>
      </c>
      <c r="M257" s="2" t="str">
        <f>IFERROR(__xludf.DUMMYFUNCTION("""COMPUTED_VALUE"""),"84o 55' 18""")</f>
        <v>84o 55' 18"</v>
      </c>
      <c r="N257" s="2" t="str">
        <f>IFERROR(__xludf.DUMMYFUNCTION("""COMPUTED_VALUE"""),"Raksorang,Kalikatar (Makawanpur)")</f>
        <v>Raksorang,Kalikatar (Makawanpur)</v>
      </c>
    </row>
    <row r="258">
      <c r="A258" s="2">
        <f>IFERROR(__xludf.DUMMYFUNCTION("""COMPUTED_VALUE"""),257.0)</f>
        <v>257</v>
      </c>
      <c r="B258" s="2" t="str">
        <f>IFERROR(__xludf.DUMMYFUNCTION("""COMPUTED_VALUE"""),"Middle Molung Khola Small HEP")</f>
        <v>Middle Molung Khola Small HEP</v>
      </c>
      <c r="C258" s="2">
        <f>IFERROR(__xludf.DUMMYFUNCTION("""COMPUTED_VALUE"""),6.0)</f>
        <v>6</v>
      </c>
      <c r="D258" s="2" t="str">
        <f>IFERROR(__xludf.DUMMYFUNCTION("""COMPUTED_VALUE"""),"Molung")</f>
        <v>Molung</v>
      </c>
      <c r="E258" s="2">
        <f>IFERROR(__xludf.DUMMYFUNCTION("""COMPUTED_VALUE"""),508.0)</f>
        <v>508</v>
      </c>
      <c r="F258" s="3">
        <f>IFERROR(__xludf.DUMMYFUNCTION("""COMPUTED_VALUE"""),66871.0)</f>
        <v>66871</v>
      </c>
      <c r="G258" s="3">
        <f>IFERROR(__xludf.DUMMYFUNCTION("""COMPUTED_VALUE"""),79653.0)</f>
        <v>79653</v>
      </c>
      <c r="H258" s="2" t="str">
        <f>IFERROR(__xludf.DUMMYFUNCTION("""COMPUTED_VALUE"""),"Suvarambha Hydropower(Pvt.) ltd.")</f>
        <v>Suvarambha Hydropower(Pvt.) ltd.</v>
      </c>
      <c r="I258" s="2" t="str">
        <f>IFERROR(__xludf.DUMMYFUNCTION("""COMPUTED_VALUE"""),"Ka. Ma. Na. Pa 7 Chabahil, Kathmandu, 9851074916,9851093507")</f>
        <v>Ka. Ma. Na. Pa 7 Chabahil, Kathmandu, 9851074916,9851093507</v>
      </c>
      <c r="J258" s="2" t="str">
        <f>IFERROR(__xludf.DUMMYFUNCTION("""COMPUTED_VALUE"""),"27o 17' 20""")</f>
        <v>27o 17' 20"</v>
      </c>
      <c r="K258" s="2" t="str">
        <f>IFERROR(__xludf.DUMMYFUNCTION("""COMPUTED_VALUE"""),"27o 18' 56""")</f>
        <v>27o 18' 56"</v>
      </c>
      <c r="L258" s="2" t="str">
        <f>IFERROR(__xludf.DUMMYFUNCTION("""COMPUTED_VALUE"""),"86o 26' 04""")</f>
        <v>86o 26' 04"</v>
      </c>
      <c r="M258" s="2" t="str">
        <f>IFERROR(__xludf.DUMMYFUNCTION("""COMPUTED_VALUE"""),"86o 27' 16""")</f>
        <v>86o 27' 16"</v>
      </c>
      <c r="N258" s="2" t="str">
        <f>IFERROR(__xludf.DUMMYFUNCTION("""COMPUTED_VALUE"""),"Okhaldhunga (Okhaldhunga)")</f>
        <v>Okhaldhunga (Okhaldhunga)</v>
      </c>
    </row>
    <row r="259">
      <c r="A259" s="2">
        <f>IFERROR(__xludf.DUMMYFUNCTION("""COMPUTED_VALUE"""),258.0)</f>
        <v>258</v>
      </c>
      <c r="B259" s="2" t="str">
        <f>IFERROR(__xludf.DUMMYFUNCTION("""COMPUTED_VALUE"""),"Marsyangdi River PRoR Hydropower Project")</f>
        <v>Marsyangdi River PRoR Hydropower Project</v>
      </c>
      <c r="C259" s="2">
        <f>IFERROR(__xludf.DUMMYFUNCTION("""COMPUTED_VALUE"""),90.0)</f>
        <v>90</v>
      </c>
      <c r="D259" s="2" t="str">
        <f>IFERROR(__xludf.DUMMYFUNCTION("""COMPUTED_VALUE"""),"Marsyangdi")</f>
        <v>Marsyangdi</v>
      </c>
      <c r="E259" s="2">
        <f>IFERROR(__xludf.DUMMYFUNCTION("""COMPUTED_VALUE"""),509.0)</f>
        <v>509</v>
      </c>
      <c r="F259" s="3">
        <f>IFERROR(__xludf.DUMMYFUNCTION("""COMPUTED_VALUE"""),66871.0)</f>
        <v>66871</v>
      </c>
      <c r="G259" s="3">
        <f>IFERROR(__xludf.DUMMYFUNCTION("""COMPUTED_VALUE"""),79653.0)</f>
        <v>79653</v>
      </c>
      <c r="H259" s="2" t="str">
        <f>IFERROR(__xludf.DUMMYFUNCTION("""COMPUTED_VALUE"""),"M.A. Power Pvt. Ltd.")</f>
        <v>M.A. Power Pvt. Ltd.</v>
      </c>
      <c r="I259" s="2" t="str">
        <f>IFERROR(__xludf.DUMMYFUNCTION("""COMPUTED_VALUE"""),"Kantipath, Kathmandu, 9851026244")</f>
        <v>Kantipath, Kathmandu, 9851026244</v>
      </c>
      <c r="J259" s="2" t="str">
        <f>IFERROR(__xludf.DUMMYFUNCTION("""COMPUTED_VALUE"""),"27o 58' 20""")</f>
        <v>27o 58' 20"</v>
      </c>
      <c r="K259" s="2" t="str">
        <f>IFERROR(__xludf.DUMMYFUNCTION("""COMPUTED_VALUE"""),"28o 05' 25""")</f>
        <v>28o 05' 25"</v>
      </c>
      <c r="L259" s="2" t="str">
        <f>IFERROR(__xludf.DUMMYFUNCTION("""COMPUTED_VALUE"""),"84o 25' 00""")</f>
        <v>84o 25' 00"</v>
      </c>
      <c r="M259" s="2" t="str">
        <f>IFERROR(__xludf.DUMMYFUNCTION("""COMPUTED_VALUE"""),"84o 29' 00""")</f>
        <v>84o 29' 00"</v>
      </c>
      <c r="N259" s="2" t="str">
        <f>IFERROR(__xludf.DUMMYFUNCTION("""COMPUTED_VALUE"""),"Palungtar (Gorkha) Bhanu (Tanahu)")</f>
        <v>Palungtar (Gorkha) Bhanu (Tanahu)</v>
      </c>
    </row>
    <row r="260">
      <c r="A260" s="2">
        <f>IFERROR(__xludf.DUMMYFUNCTION("""COMPUTED_VALUE"""),259.0)</f>
        <v>259</v>
      </c>
      <c r="B260" s="2" t="str">
        <f>IFERROR(__xludf.DUMMYFUNCTION("""COMPUTED_VALUE"""),"Budhi Gandaki Nadi HEP")</f>
        <v>Budhi Gandaki Nadi HEP</v>
      </c>
      <c r="C260" s="2">
        <f>IFERROR(__xludf.DUMMYFUNCTION("""COMPUTED_VALUE"""),91.15)</f>
        <v>91.15</v>
      </c>
      <c r="D260" s="2" t="str">
        <f>IFERROR(__xludf.DUMMYFUNCTION("""COMPUTED_VALUE"""),"Budhi Gandaki")</f>
        <v>Budhi Gandaki</v>
      </c>
      <c r="E260" s="2">
        <f>IFERROR(__xludf.DUMMYFUNCTION("""COMPUTED_VALUE"""),510.0)</f>
        <v>510</v>
      </c>
      <c r="F260" s="3">
        <f>IFERROR(__xludf.DUMMYFUNCTION("""COMPUTED_VALUE"""),66876.0)</f>
        <v>66876</v>
      </c>
      <c r="G260" s="3">
        <f>IFERROR(__xludf.DUMMYFUNCTION("""COMPUTED_VALUE"""),79658.0)</f>
        <v>79658</v>
      </c>
      <c r="H260" s="2" t="str">
        <f>IFERROR(__xludf.DUMMYFUNCTION("""COMPUTED_VALUE"""),"Surya Energy Pvt.Ltd,")</f>
        <v>Surya Energy Pvt.Ltd,</v>
      </c>
      <c r="I260" s="2" t="str">
        <f>IFERROR(__xludf.DUMMYFUNCTION("""COMPUTED_VALUE"""),"Mharajgunj, Kathmandu")</f>
        <v>Mharajgunj, Kathmandu</v>
      </c>
      <c r="J260" s="2" t="str">
        <f>IFERROR(__xludf.DUMMYFUNCTION("""COMPUTED_VALUE"""),"28o 26' 26""")</f>
        <v>28o 26' 26"</v>
      </c>
      <c r="K260" s="2" t="str">
        <f>IFERROR(__xludf.DUMMYFUNCTION("""COMPUTED_VALUE"""),"28o 29' 15""")</f>
        <v>28o 29' 15"</v>
      </c>
      <c r="L260" s="2" t="str">
        <f>IFERROR(__xludf.DUMMYFUNCTION("""COMPUTED_VALUE"""),"84o 51' 40""")</f>
        <v>84o 51' 40"</v>
      </c>
      <c r="M260" s="2" t="str">
        <f>IFERROR(__xludf.DUMMYFUNCTION("""COMPUTED_VALUE"""),"84o 54' 30""")</f>
        <v>84o 54' 30"</v>
      </c>
      <c r="N260" s="2" t="str">
        <f>IFERROR(__xludf.DUMMYFUNCTION("""COMPUTED_VALUE"""),"Sirdibas,Chunchet (Gorkha)")</f>
        <v>Sirdibas,Chunchet (Gorkha)</v>
      </c>
    </row>
    <row r="261">
      <c r="A261" s="2">
        <f>IFERROR(__xludf.DUMMYFUNCTION("""COMPUTED_VALUE"""),260.0)</f>
        <v>260</v>
      </c>
      <c r="B261" s="2" t="str">
        <f>IFERROR(__xludf.DUMMYFUNCTION("""COMPUTED_VALUE"""),"Tamor Khola")</f>
        <v>Tamor Khola</v>
      </c>
      <c r="C261" s="2">
        <f>IFERROR(__xludf.DUMMYFUNCTION("""COMPUTED_VALUE"""),43.0)</f>
        <v>43</v>
      </c>
      <c r="D261" s="2" t="str">
        <f>IFERROR(__xludf.DUMMYFUNCTION("""COMPUTED_VALUE"""),"Tamor")</f>
        <v>Tamor</v>
      </c>
      <c r="E261" s="2">
        <f>IFERROR(__xludf.DUMMYFUNCTION("""COMPUTED_VALUE"""),511.0)</f>
        <v>511</v>
      </c>
      <c r="F261" s="3">
        <f>IFERROR(__xludf.DUMMYFUNCTION("""COMPUTED_VALUE"""),66892.0)</f>
        <v>66892</v>
      </c>
      <c r="G261" s="3">
        <f>IFERROR(__xludf.DUMMYFUNCTION("""COMPUTED_VALUE"""),79674.0)</f>
        <v>79674</v>
      </c>
      <c r="H261" s="2" t="str">
        <f>IFERROR(__xludf.DUMMYFUNCTION("""COMPUTED_VALUE"""),"Nepal Hydro Venture Pvt.Ltd.")</f>
        <v>Nepal Hydro Venture Pvt.Ltd.</v>
      </c>
      <c r="I261" s="2" t="str">
        <f>IFERROR(__xludf.DUMMYFUNCTION("""COMPUTED_VALUE"""),"Bluestar Hotel complex, Thapathali, Kathmandu. PO Box 23585")</f>
        <v>Bluestar Hotel complex, Thapathali, Kathmandu. PO Box 23585</v>
      </c>
      <c r="J261" s="2" t="str">
        <f>IFERROR(__xludf.DUMMYFUNCTION("""COMPUTED_VALUE"""),"27o 31' 48""")</f>
        <v>27o 31' 48"</v>
      </c>
      <c r="K261" s="2" t="str">
        <f>IFERROR(__xludf.DUMMYFUNCTION("""COMPUTED_VALUE"""),"27o 33' 30""")</f>
        <v>27o 33' 30"</v>
      </c>
      <c r="L261" s="2" t="str">
        <f>IFERROR(__xludf.DUMMYFUNCTION("""COMPUTED_VALUE"""),"87o 47' 25""")</f>
        <v>87o 47' 25"</v>
      </c>
      <c r="M261" s="2" t="str">
        <f>IFERROR(__xludf.DUMMYFUNCTION("""COMPUTED_VALUE"""),"87o 48' 20""")</f>
        <v>87o 48' 20"</v>
      </c>
      <c r="N261" s="2" t="str">
        <f>IFERROR(__xludf.DUMMYFUNCTION("""COMPUTED_VALUE"""),"Lelep (Taplejung)")</f>
        <v>Lelep (Taplejung)</v>
      </c>
    </row>
    <row r="262">
      <c r="A262" s="2">
        <f>IFERROR(__xludf.DUMMYFUNCTION("""COMPUTED_VALUE"""),261.0)</f>
        <v>261</v>
      </c>
      <c r="B262" s="2" t="str">
        <f>IFERROR(__xludf.DUMMYFUNCTION("""COMPUTED_VALUE"""),"Upper Tamor A HEP")</f>
        <v>Upper Tamor A HEP</v>
      </c>
      <c r="C262" s="2">
        <f>IFERROR(__xludf.DUMMYFUNCTION("""COMPUTED_VALUE"""),60.0)</f>
        <v>60</v>
      </c>
      <c r="D262" s="2" t="str">
        <f>IFERROR(__xludf.DUMMYFUNCTION("""COMPUTED_VALUE"""),"Tamor")</f>
        <v>Tamor</v>
      </c>
      <c r="E262" s="2">
        <f>IFERROR(__xludf.DUMMYFUNCTION("""COMPUTED_VALUE"""),512.0)</f>
        <v>512</v>
      </c>
      <c r="F262" s="3">
        <f>IFERROR(__xludf.DUMMYFUNCTION("""COMPUTED_VALUE"""),66892.0)</f>
        <v>66892</v>
      </c>
      <c r="G262" s="3">
        <f>IFERROR(__xludf.DUMMYFUNCTION("""COMPUTED_VALUE"""),79675.0)</f>
        <v>79675</v>
      </c>
      <c r="H262" s="2" t="str">
        <f>IFERROR(__xludf.DUMMYFUNCTION("""COMPUTED_VALUE"""),"Union Hydropower Limited")</f>
        <v>Union Hydropower Limited</v>
      </c>
      <c r="I262" s="2" t="str">
        <f>IFERROR(__xludf.DUMMYFUNCTION("""COMPUTED_VALUE"""),"Lalitpur- 3 , Dhobighat")</f>
        <v>Lalitpur- 3 , Dhobighat</v>
      </c>
      <c r="J262" s="2" t="str">
        <f>IFERROR(__xludf.DUMMYFUNCTION("""COMPUTED_VALUE"""),"27o 39' 10""")</f>
        <v>27o 39' 10"</v>
      </c>
      <c r="K262" s="2" t="str">
        <f>IFERROR(__xludf.DUMMYFUNCTION("""COMPUTED_VALUE"""),"27o 42' 20""")</f>
        <v>27o 42' 20"</v>
      </c>
      <c r="L262" s="2" t="str">
        <f>IFERROR(__xludf.DUMMYFUNCTION("""COMPUTED_VALUE"""),"87o 44' 35""")</f>
        <v>87o 44' 35"</v>
      </c>
      <c r="M262" s="2" t="str">
        <f>IFERROR(__xludf.DUMMYFUNCTION("""COMPUTED_VALUE"""),"87o 48' 09""")</f>
        <v>87o 48' 09"</v>
      </c>
      <c r="N262" s="2" t="str">
        <f>IFERROR(__xludf.DUMMYFUNCTION("""COMPUTED_VALUE"""),"Olangchung (Taplejung)")</f>
        <v>Olangchung (Taplejung)</v>
      </c>
    </row>
    <row r="263">
      <c r="A263" s="2">
        <f>IFERROR(__xludf.DUMMYFUNCTION("""COMPUTED_VALUE"""),262.0)</f>
        <v>262</v>
      </c>
      <c r="B263" s="2" t="str">
        <f>IFERROR(__xludf.DUMMYFUNCTION("""COMPUTED_VALUE"""),"Supreme Middle Seti HEP")</f>
        <v>Supreme Middle Seti HEP</v>
      </c>
      <c r="C263" s="2">
        <f>IFERROR(__xludf.DUMMYFUNCTION("""COMPUTED_VALUE"""),18.0)</f>
        <v>18</v>
      </c>
      <c r="D263" s="2" t="str">
        <f>IFERROR(__xludf.DUMMYFUNCTION("""COMPUTED_VALUE"""),"Seti Khola (Gandaki)")</f>
        <v>Seti Khola (Gandaki)</v>
      </c>
      <c r="E263" s="2">
        <f>IFERROR(__xludf.DUMMYFUNCTION("""COMPUTED_VALUE"""),513.0)</f>
        <v>513</v>
      </c>
      <c r="F263" s="3">
        <f>IFERROR(__xludf.DUMMYFUNCTION("""COMPUTED_VALUE"""),66902.0)</f>
        <v>66902</v>
      </c>
      <c r="G263" s="3">
        <f>IFERROR(__xludf.DUMMYFUNCTION("""COMPUTED_VALUE"""),79684.0)</f>
        <v>79684</v>
      </c>
      <c r="H263" s="2" t="str">
        <f>IFERROR(__xludf.DUMMYFUNCTION("""COMPUTED_VALUE"""),"KCs Hotel and Multiple Industries P Ltd")</f>
        <v>KCs Hotel and Multiple Industries P Ltd</v>
      </c>
      <c r="I263" s="2" t="str">
        <f>IFERROR(__xludf.DUMMYFUNCTION("""COMPUTED_VALUE"""),"Pokhara Metro. 14, Kaski, PH 01-5012027, 5520254; sharmanirajan929@gmail.com")</f>
        <v>Pokhara Metro. 14, Kaski, PH 01-5012027, 5520254; sharmanirajan929@gmail.com</v>
      </c>
      <c r="J263" s="2" t="str">
        <f>IFERROR(__xludf.DUMMYFUNCTION("""COMPUTED_VALUE"""),"28o 08' 05""")</f>
        <v>28o 08' 05"</v>
      </c>
      <c r="K263" s="2" t="str">
        <f>IFERROR(__xludf.DUMMYFUNCTION("""COMPUTED_VALUE"""),"28o 09' 29""")</f>
        <v>28o 09' 29"</v>
      </c>
      <c r="L263" s="2" t="str">
        <f>IFERROR(__xludf.DUMMYFUNCTION("""COMPUTED_VALUE"""),"84o 01' 49""")</f>
        <v>84o 01' 49"</v>
      </c>
      <c r="M263" s="2" t="str">
        <f>IFERROR(__xludf.DUMMYFUNCTION("""COMPUTED_VALUE"""),"84o 04' 15""")</f>
        <v>84o 04' 15"</v>
      </c>
      <c r="N263" s="2" t="str">
        <f>IFERROR(__xludf.DUMMYFUNCTION("""COMPUTED_VALUE"""),"Bharatpokhari,Lekhnath (Kaski)")</f>
        <v>Bharatpokhari,Lekhnath (Kaski)</v>
      </c>
    </row>
    <row r="264">
      <c r="A264" s="2">
        <f>IFERROR(__xludf.DUMMYFUNCTION("""COMPUTED_VALUE"""),263.0)</f>
        <v>263</v>
      </c>
      <c r="B264" s="2" t="str">
        <f>IFERROR(__xludf.DUMMYFUNCTION("""COMPUTED_VALUE"""),"Myardi Khola")</f>
        <v>Myardi Khola</v>
      </c>
      <c r="C264" s="2">
        <f>IFERROR(__xludf.DUMMYFUNCTION("""COMPUTED_VALUE"""),30.0)</f>
        <v>30</v>
      </c>
      <c r="D264" s="2" t="str">
        <f>IFERROR(__xludf.DUMMYFUNCTION("""COMPUTED_VALUE"""),"Myardi Khola")</f>
        <v>Myardi Khola</v>
      </c>
      <c r="E264" s="2">
        <f>IFERROR(__xludf.DUMMYFUNCTION("""COMPUTED_VALUE"""),514.0)</f>
        <v>514</v>
      </c>
      <c r="F264" s="3">
        <f>IFERROR(__xludf.DUMMYFUNCTION("""COMPUTED_VALUE"""),66904.0)</f>
        <v>66904</v>
      </c>
      <c r="G264" s="3">
        <f>IFERROR(__xludf.DUMMYFUNCTION("""COMPUTED_VALUE"""),79686.0)</f>
        <v>79686</v>
      </c>
      <c r="H264" s="2" t="str">
        <f>IFERROR(__xludf.DUMMYFUNCTION("""COMPUTED_VALUE"""),"Myardi Khola Hydropower Co. Pvt. Ltd.")</f>
        <v>Myardi Khola Hydropower Co. Pvt. Ltd.</v>
      </c>
      <c r="I264" s="2" t="str">
        <f>IFERROR(__xludf.DUMMYFUNCTION("""COMPUTED_VALUE"""),"Tokha-7, Kathmandu, 9851040625")</f>
        <v>Tokha-7, Kathmandu, 9851040625</v>
      </c>
      <c r="J264" s="2" t="str">
        <f>IFERROR(__xludf.DUMMYFUNCTION("""COMPUTED_VALUE"""),"28o 26' 34""")</f>
        <v>28o 26' 34"</v>
      </c>
      <c r="K264" s="2" t="str">
        <f>IFERROR(__xludf.DUMMYFUNCTION("""COMPUTED_VALUE"""),"28o 27' 30""")</f>
        <v>28o 27' 30"</v>
      </c>
      <c r="L264" s="2" t="str">
        <f>IFERROR(__xludf.DUMMYFUNCTION("""COMPUTED_VALUE"""),"84o 19' 36""")</f>
        <v>84o 19' 36"</v>
      </c>
      <c r="M264" s="2" t="str">
        <f>IFERROR(__xludf.DUMMYFUNCTION("""COMPUTED_VALUE"""),"84o 22' 33""")</f>
        <v>84o 22' 33"</v>
      </c>
      <c r="N264" s="2" t="str">
        <f>IFERROR(__xludf.DUMMYFUNCTION("""COMPUTED_VALUE"""),"(Lamjung)")</f>
        <v>(Lamjung)</v>
      </c>
    </row>
    <row r="265">
      <c r="A265" s="2">
        <f>IFERROR(__xludf.DUMMYFUNCTION("""COMPUTED_VALUE"""),264.0)</f>
        <v>264</v>
      </c>
      <c r="B265" s="2" t="str">
        <f>IFERROR(__xludf.DUMMYFUNCTION("""COMPUTED_VALUE"""),"Rolwaling Khola HEP")</f>
        <v>Rolwaling Khola HEP</v>
      </c>
      <c r="C265" s="2">
        <f>IFERROR(__xludf.DUMMYFUNCTION("""COMPUTED_VALUE"""),88.0)</f>
        <v>88</v>
      </c>
      <c r="D265" s="2" t="str">
        <f>IFERROR(__xludf.DUMMYFUNCTION("""COMPUTED_VALUE"""),"Rolwaling")</f>
        <v>Rolwaling</v>
      </c>
      <c r="E265" s="2">
        <f>IFERROR(__xludf.DUMMYFUNCTION("""COMPUTED_VALUE"""),516.0)</f>
        <v>516</v>
      </c>
      <c r="F265" s="3">
        <f>IFERROR(__xludf.DUMMYFUNCTION("""COMPUTED_VALUE"""),66908.0)</f>
        <v>66908</v>
      </c>
      <c r="G265" s="3">
        <f>IFERROR(__xludf.DUMMYFUNCTION("""COMPUTED_VALUE"""),79690.0)</f>
        <v>79690</v>
      </c>
      <c r="H265" s="2" t="str">
        <f>IFERROR(__xludf.DUMMYFUNCTION("""COMPUTED_VALUE"""),"H.E.D Energy Pvt. Ltd")</f>
        <v>H.E.D Energy Pvt. Ltd</v>
      </c>
      <c r="I265" s="2" t="str">
        <f>IFERROR(__xludf.DUMMYFUNCTION("""COMPUTED_VALUE"""),"Thamel, Kathmandu www.hednep.com, Contact No:. 985113670")</f>
        <v>Thamel, Kathmandu www.hednep.com, Contact No:. 985113670</v>
      </c>
      <c r="J265" s="2" t="str">
        <f>IFERROR(__xludf.DUMMYFUNCTION("""COMPUTED_VALUE"""),"27o 53' 15""")</f>
        <v>27o 53' 15"</v>
      </c>
      <c r="K265" s="2" t="str">
        <f>IFERROR(__xludf.DUMMYFUNCTION("""COMPUTED_VALUE"""),"27o 54' 45""")</f>
        <v>27o 54' 45"</v>
      </c>
      <c r="L265" s="2" t="str">
        <f>IFERROR(__xludf.DUMMYFUNCTION("""COMPUTED_VALUE"""),"86o 16' 00""")</f>
        <v>86o 16' 00"</v>
      </c>
      <c r="M265" s="2" t="str">
        <f>IFERROR(__xludf.DUMMYFUNCTION("""COMPUTED_VALUE"""),"86o 20' 55""")</f>
        <v>86o 20' 55"</v>
      </c>
      <c r="N265" s="2" t="str">
        <f>IFERROR(__xludf.DUMMYFUNCTION("""COMPUTED_VALUE"""),"Gauri Sankar,Lamabagar (Dolakha)")</f>
        <v>Gauri Sankar,Lamabagar (Dolakha)</v>
      </c>
    </row>
    <row r="266">
      <c r="A266" s="2">
        <f>IFERROR(__xludf.DUMMYFUNCTION("""COMPUTED_VALUE"""),265.0)</f>
        <v>265</v>
      </c>
      <c r="B266" s="2" t="str">
        <f>IFERROR(__xludf.DUMMYFUNCTION("""COMPUTED_VALUE"""),"Luja Khola Cascade Hydropower Project")</f>
        <v>Luja Khola Cascade Hydropower Project</v>
      </c>
      <c r="C266" s="2">
        <f>IFERROR(__xludf.DUMMYFUNCTION("""COMPUTED_VALUE"""),9.8)</f>
        <v>9.8</v>
      </c>
      <c r="D266" s="2" t="str">
        <f>IFERROR(__xludf.DUMMYFUNCTION("""COMPUTED_VALUE"""),"Luja Khola")</f>
        <v>Luja Khola</v>
      </c>
      <c r="E266" s="2">
        <f>IFERROR(__xludf.DUMMYFUNCTION("""COMPUTED_VALUE"""),517.0)</f>
        <v>517</v>
      </c>
      <c r="F266" s="3">
        <f>IFERROR(__xludf.DUMMYFUNCTION("""COMPUTED_VALUE"""),66917.0)</f>
        <v>66917</v>
      </c>
      <c r="G266" s="3">
        <f>IFERROR(__xludf.DUMMYFUNCTION("""COMPUTED_VALUE"""),79699.0)</f>
        <v>79699</v>
      </c>
      <c r="H266" s="2" t="str">
        <f>IFERROR(__xludf.DUMMYFUNCTION("""COMPUTED_VALUE"""),"Arris Energy Private Limited")</f>
        <v>Arris Energy Private Limited</v>
      </c>
      <c r="I266" s="2" t="str">
        <f>IFERROR(__xludf.DUMMYFUNCTION("""COMPUTED_VALUE"""),"Madhyapur Thimi - 3, Bhaktapur")</f>
        <v>Madhyapur Thimi - 3, Bhaktapur</v>
      </c>
      <c r="J266" s="2" t="str">
        <f>IFERROR(__xludf.DUMMYFUNCTION("""COMPUTED_VALUE"""),"27o 40' 00""")</f>
        <v>27o 40' 00"</v>
      </c>
      <c r="K266" s="2" t="str">
        <f>IFERROR(__xludf.DUMMYFUNCTION("""COMPUTED_VALUE"""),"27o 40' 50""")</f>
        <v>27o 40' 50"</v>
      </c>
      <c r="L266" s="2" t="str">
        <f>IFERROR(__xludf.DUMMYFUNCTION("""COMPUTED_VALUE"""),"86o 42' 25""")</f>
        <v>86o 42' 25"</v>
      </c>
      <c r="M266" s="2" t="str">
        <f>IFERROR(__xludf.DUMMYFUNCTION("""COMPUTED_VALUE"""),"86o 43' 00""")</f>
        <v>86o 43' 00"</v>
      </c>
      <c r="N266" s="2" t="str">
        <f>IFERROR(__xludf.DUMMYFUNCTION("""COMPUTED_VALUE"""),"Chaulakharka(Waula) (Solukhumbu)")</f>
        <v>Chaulakharka(Waula) (Solukhumbu)</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1" t="str">
        <f>IFERROR(__xludf.DUMMYFUNCTION("IMPORTHTML(""https://www.doed.gov.np/pages/clthermal/"",""table"",1)"),"S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2" t="str">
        <f>IFERROR(__xludf.DUMMYFUNCTION("IMPORTHTML(""https://www.doed.gov.np/pages/clsolar/"",""table"",1)"),"S No")</f>
        <v>S No</v>
      </c>
      <c r="B1" s="2" t="str">
        <f>IFERROR(__xludf.DUMMYFUNCTION("""COMPUTED_VALUE"""),"Project")</f>
        <v>Project</v>
      </c>
      <c r="C1" s="2" t="str">
        <f>IFERROR(__xludf.DUMMYFUNCTION("""COMPUTED_VALUE"""),"Capacity (MW)")</f>
        <v>Capacity (MW)</v>
      </c>
      <c r="D1" s="2" t="str">
        <f>IFERROR(__xludf.DUMMYFUNCTION("""COMPUTED_VALUE"""),"Lic No")</f>
        <v>Lic No</v>
      </c>
      <c r="E1" s="2" t="str">
        <f>IFERROR(__xludf.DUMMYFUNCTION("""COMPUTED_VALUE"""),"Isuue Date")</f>
        <v>Isuue Date</v>
      </c>
      <c r="F1" s="2" t="str">
        <f>IFERROR(__xludf.DUMMYFUNCTION("""COMPUTED_VALUE"""),"Validity")</f>
        <v>Validity</v>
      </c>
      <c r="G1" s="2" t="str">
        <f>IFERROR(__xludf.DUMMYFUNCTION("""COMPUTED_VALUE"""),"Promoter")</f>
        <v>Promoter</v>
      </c>
      <c r="H1" s="2" t="str">
        <f>IFERROR(__xludf.DUMMYFUNCTION("""COMPUTED_VALUE"""),"Address")</f>
        <v>Address</v>
      </c>
      <c r="I1" s="2" t="str">
        <f>IFERROR(__xludf.DUMMYFUNCTION("""COMPUTED_VALUE"""),"Latitiude N")</f>
        <v>Latitiude N</v>
      </c>
      <c r="J1" s="2"/>
      <c r="K1" s="2" t="str">
        <f>IFERROR(__xludf.DUMMYFUNCTION("""COMPUTED_VALUE"""),"Longitude E")</f>
        <v>Longitude E</v>
      </c>
      <c r="L1" s="2"/>
      <c r="M1" s="2" t="str">
        <f>IFERROR(__xludf.DUMMYFUNCTION("""COMPUTED_VALUE"""),"VDC/District")</f>
        <v>VDC/District</v>
      </c>
    </row>
    <row r="2">
      <c r="A2" s="2">
        <f>IFERROR(__xludf.DUMMYFUNCTION("""COMPUTED_VALUE"""),1.0)</f>
        <v>1</v>
      </c>
      <c r="B2" s="2" t="str">
        <f>IFERROR(__xludf.DUMMYFUNCTION("""COMPUTED_VALUE"""),"Bhrikuti Solar Power Project")</f>
        <v>Bhrikuti Solar Power Project</v>
      </c>
      <c r="C2" s="2">
        <f>IFERROR(__xludf.DUMMYFUNCTION("""COMPUTED_VALUE"""),9.0)</f>
        <v>9</v>
      </c>
      <c r="D2" s="2">
        <f>IFERROR(__xludf.DUMMYFUNCTION("""COMPUTED_VALUE"""),288.0)</f>
        <v>288</v>
      </c>
      <c r="E2" s="3">
        <f>IFERROR(__xludf.DUMMYFUNCTION("""COMPUTED_VALUE"""),64570.0)</f>
        <v>64570</v>
      </c>
      <c r="F2" s="3">
        <f>IFERROR(__xludf.DUMMYFUNCTION("""COMPUTED_VALUE"""),73699.0)</f>
        <v>73699</v>
      </c>
      <c r="G2" s="2" t="str">
        <f>IFERROR(__xludf.DUMMYFUNCTION("""COMPUTED_VALUE"""),"First Solar Developers Nepal Ltd.")</f>
        <v>First Solar Developers Nepal Ltd.</v>
      </c>
      <c r="H2" s="2" t="str">
        <f>IFERROR(__xludf.DUMMYFUNCTION("""COMPUTED_VALUE"""),"Marcopolo Business Hotel, Hattisar Kathmandu, 01-4415432, 01-4416432, 
9841164544")</f>
        <v>Marcopolo Business Hotel, Hattisar Kathmandu, 01-4415432, 01-4416432, 
9841164544</v>
      </c>
      <c r="I2" s="2" t="str">
        <f>IFERROR(__xludf.DUMMYFUNCTION("""COMPUTED_VALUE"""),"27o 38' 35""")</f>
        <v>27o 38' 35"</v>
      </c>
      <c r="J2" s="2" t="str">
        <f>IFERROR(__xludf.DUMMYFUNCTION("""COMPUTED_VALUE"""),"27o 38' 45""")</f>
        <v>27o 38' 45"</v>
      </c>
      <c r="K2" s="2" t="str">
        <f>IFERROR(__xludf.DUMMYFUNCTION("""COMPUTED_VALUE"""),"82o 56' 45""")</f>
        <v>82o 56' 45"</v>
      </c>
      <c r="L2" s="2" t="str">
        <f>IFERROR(__xludf.DUMMYFUNCTION("""COMPUTED_VALUE"""),"82o 57' 22""")</f>
        <v>82o 57' 22"</v>
      </c>
      <c r="M2" s="2" t="str">
        <f>IFERROR(__xludf.DUMMYFUNCTION("""COMPUTED_VALUE"""),"Barakulpur (Kapilbastu)")</f>
        <v>Barakulpur (Kapilbastu)</v>
      </c>
    </row>
    <row r="3">
      <c r="A3" s="2">
        <f>IFERROR(__xludf.DUMMYFUNCTION("""COMPUTED_VALUE"""),2.0)</f>
        <v>2</v>
      </c>
      <c r="B3" s="2" t="str">
        <f>IFERROR(__xludf.DUMMYFUNCTION("""COMPUTED_VALUE"""),"Grid Connected Solar PV Project, Ganeshpur, Kapilbastu")</f>
        <v>Grid Connected Solar PV Project, Ganeshpur, Kapilbastu</v>
      </c>
      <c r="C3" s="2">
        <f>IFERROR(__xludf.DUMMYFUNCTION("""COMPUTED_VALUE"""),10.0)</f>
        <v>10</v>
      </c>
      <c r="D3" s="2">
        <f>IFERROR(__xludf.DUMMYFUNCTION("""COMPUTED_VALUE"""),339.0)</f>
        <v>339</v>
      </c>
      <c r="E3" s="3">
        <f>IFERROR(__xludf.DUMMYFUNCTION("""COMPUTED_VALUE"""),64943.0)</f>
        <v>64943</v>
      </c>
      <c r="F3" s="3">
        <f>IFERROR(__xludf.DUMMYFUNCTION("""COMPUTED_VALUE"""),74072.0)</f>
        <v>74072</v>
      </c>
      <c r="G3" s="2" t="str">
        <f>IFERROR(__xludf.DUMMYFUNCTION("""COMPUTED_VALUE"""),"Positive Energy Pvt. Ltd")</f>
        <v>Positive Energy Pvt. Ltd</v>
      </c>
      <c r="H3" s="2" t="str">
        <f>IFERROR(__xludf.DUMMYFUNCTION("""COMPUTED_VALUE"""),"Kathmandu-13, Soaltimode, Nepal, Tel: 9808372189, 9801011278")</f>
        <v>Kathmandu-13, Soaltimode, Nepal, Tel: 9808372189, 9801011278</v>
      </c>
      <c r="I3" s="2" t="str">
        <f>IFERROR(__xludf.DUMMYFUNCTION("""COMPUTED_VALUE"""),"27o 35' 10""")</f>
        <v>27o 35' 10"</v>
      </c>
      <c r="J3" s="2" t="str">
        <f>IFERROR(__xludf.DUMMYFUNCTION("""COMPUTED_VALUE"""),"27o 35' 21""")</f>
        <v>27o 35' 21"</v>
      </c>
      <c r="K3" s="2" t="str">
        <f>IFERROR(__xludf.DUMMYFUNCTION("""COMPUTED_VALUE"""),"82o 49' 21""")</f>
        <v>82o 49' 21"</v>
      </c>
      <c r="L3" s="2" t="str">
        <f>IFERROR(__xludf.DUMMYFUNCTION("""COMPUTED_VALUE"""),"82o 49' 49""")</f>
        <v>82o 49' 49"</v>
      </c>
      <c r="M3" s="2" t="str">
        <f>IFERROR(__xludf.DUMMYFUNCTION("""COMPUTED_VALUE"""),"Ganeshpur (Kapilbastu)")</f>
        <v>Ganeshpur (Kapilbastu)</v>
      </c>
    </row>
    <row r="4">
      <c r="A4" s="2">
        <f>IFERROR(__xludf.DUMMYFUNCTION("""COMPUTED_VALUE"""),3.0)</f>
        <v>3</v>
      </c>
      <c r="B4" s="2" t="str">
        <f>IFERROR(__xludf.DUMMYFUNCTION("""COMPUTED_VALUE"""),"Baigundhara Solar PV project")</f>
        <v>Baigundhara Solar PV project</v>
      </c>
      <c r="C4" s="2">
        <f>IFERROR(__xludf.DUMMYFUNCTION("""COMPUTED_VALUE"""),5.0)</f>
        <v>5</v>
      </c>
      <c r="D4" s="2">
        <f>IFERROR(__xludf.DUMMYFUNCTION("""COMPUTED_VALUE"""),353.0)</f>
        <v>353</v>
      </c>
      <c r="E4" s="3">
        <f>IFERROR(__xludf.DUMMYFUNCTION("""COMPUTED_VALUE"""),65248.0)</f>
        <v>65248</v>
      </c>
      <c r="F4" s="3">
        <f>IFERROR(__xludf.DUMMYFUNCTION("""COMPUTED_VALUE"""),74377.0)</f>
        <v>74377</v>
      </c>
      <c r="G4" s="2" t="str">
        <f>IFERROR(__xludf.DUMMYFUNCTION("""COMPUTED_VALUE"""),"East Solar Pvt. Ltd")</f>
        <v>East Solar Pvt. Ltd</v>
      </c>
      <c r="H4" s="2" t="str">
        <f>IFERROR(__xludf.DUMMYFUNCTION("""COMPUTED_VALUE"""),"Kathmandu")</f>
        <v>Kathmandu</v>
      </c>
      <c r="I4" s="2" t="str">
        <f>IFERROR(__xludf.DUMMYFUNCTION("""COMPUTED_VALUE"""),"26o 29' 00""")</f>
        <v>26o 29' 00"</v>
      </c>
      <c r="J4" s="2" t="str">
        <f>IFERROR(__xludf.DUMMYFUNCTION("""COMPUTED_VALUE"""),"26o 29' 11""")</f>
        <v>26o 29' 11"</v>
      </c>
      <c r="K4" s="2" t="str">
        <f>IFERROR(__xludf.DUMMYFUNCTION("""COMPUTED_VALUE"""),"87o 46' 19""")</f>
        <v>87o 46' 19"</v>
      </c>
      <c r="L4" s="2" t="str">
        <f>IFERROR(__xludf.DUMMYFUNCTION("""COMPUTED_VALUE"""),"87o 46' 41""")</f>
        <v>87o 46' 41"</v>
      </c>
      <c r="M4" s="2" t="str">
        <f>IFERROR(__xludf.DUMMYFUNCTION("""COMPUTED_VALUE"""),"Gaurandaha (Jhapa)")</f>
        <v>Gaurandaha (Jhapa)</v>
      </c>
    </row>
    <row r="5">
      <c r="A5" s="2">
        <f>IFERROR(__xludf.DUMMYFUNCTION("""COMPUTED_VALUE"""),4.0)</f>
        <v>4</v>
      </c>
      <c r="B5" s="2" t="str">
        <f>IFERROR(__xludf.DUMMYFUNCTION("""COMPUTED_VALUE"""),"Madhya Marsyangdi Solar Electricity Project, Lamjung")</f>
        <v>Madhya Marsyangdi Solar Electricity Project, Lamjung</v>
      </c>
      <c r="C5" s="2">
        <f>IFERROR(__xludf.DUMMYFUNCTION("""COMPUTED_VALUE"""),1.6)</f>
        <v>1.6</v>
      </c>
      <c r="D5" s="2">
        <f>IFERROR(__xludf.DUMMYFUNCTION("""COMPUTED_VALUE"""),475.0)</f>
        <v>475</v>
      </c>
      <c r="E5" s="3">
        <f>IFERROR(__xludf.DUMMYFUNCTION("""COMPUTED_VALUE"""),66526.0)</f>
        <v>66526</v>
      </c>
      <c r="F5" s="3">
        <f>IFERROR(__xludf.DUMMYFUNCTION("""COMPUTED_VALUE"""),75655.0)</f>
        <v>75655</v>
      </c>
      <c r="G5" s="2" t="str">
        <f>IFERROR(__xludf.DUMMYFUNCTION("""COMPUTED_VALUE"""),"Nepal Electricity Authority")</f>
        <v>Nepal Electricity Authority</v>
      </c>
      <c r="H5" s="2" t="str">
        <f>IFERROR(__xludf.DUMMYFUNCTION("""COMPUTED_VALUE"""),"Durbar Marg , Kathmandu")</f>
        <v>Durbar Marg , Kathmandu</v>
      </c>
      <c r="I5" s="2" t="str">
        <f>IFERROR(__xludf.DUMMYFUNCTION("""COMPUTED_VALUE"""),"28o 11' 16""")</f>
        <v>28o 11' 16"</v>
      </c>
      <c r="J5" s="2" t="str">
        <f>IFERROR(__xludf.DUMMYFUNCTION("""COMPUTED_VALUE"""),"28o 11' 28""")</f>
        <v>28o 11' 28"</v>
      </c>
      <c r="K5" s="2" t="str">
        <f>IFERROR(__xludf.DUMMYFUNCTION("""COMPUTED_VALUE"""),"84o 25' 07""")</f>
        <v>84o 25' 07"</v>
      </c>
      <c r="L5" s="2" t="str">
        <f>IFERROR(__xludf.DUMMYFUNCTION("""COMPUTED_VALUE"""),"84o 25' 35""")</f>
        <v>84o 25' 35"</v>
      </c>
      <c r="M5" s="2" t="str">
        <f>IFERROR(__xludf.DUMMYFUNCTION("""COMPUTED_VALUE"""),"Sundarbajar (Lamjung)")</f>
        <v>Sundarbajar (Lamjung)</v>
      </c>
    </row>
    <row r="6">
      <c r="A6" s="2">
        <f>IFERROR(__xludf.DUMMYFUNCTION("""COMPUTED_VALUE"""),5.0)</f>
        <v>5</v>
      </c>
      <c r="B6" s="2" t="str">
        <f>IFERROR(__xludf.DUMMYFUNCTION("""COMPUTED_VALUE"""),"Jhupra Saurya Vidyut Project, Surkhet")</f>
        <v>Jhupra Saurya Vidyut Project, Surkhet</v>
      </c>
      <c r="C6" s="2">
        <f>IFERROR(__xludf.DUMMYFUNCTION("""COMPUTED_VALUE"""),2.0)</f>
        <v>2</v>
      </c>
      <c r="D6" s="2">
        <f>IFERROR(__xludf.DUMMYFUNCTION("""COMPUTED_VALUE"""),476.0)</f>
        <v>476</v>
      </c>
      <c r="E6" s="3">
        <f>IFERROR(__xludf.DUMMYFUNCTION("""COMPUTED_VALUE"""),66526.0)</f>
        <v>66526</v>
      </c>
      <c r="F6" s="3">
        <f>IFERROR(__xludf.DUMMYFUNCTION("""COMPUTED_VALUE"""),75655.0)</f>
        <v>75655</v>
      </c>
      <c r="G6" s="2" t="str">
        <f>IFERROR(__xludf.DUMMYFUNCTION("""COMPUTED_VALUE"""),"Nepal Electricity Authority")</f>
        <v>Nepal Electricity Authority</v>
      </c>
      <c r="H6" s="2" t="str">
        <f>IFERROR(__xludf.DUMMYFUNCTION("""COMPUTED_VALUE"""),"Durbar Marg , Kathmandu")</f>
        <v>Durbar Marg , Kathmandu</v>
      </c>
      <c r="I6" s="2" t="str">
        <f>IFERROR(__xludf.DUMMYFUNCTION("""COMPUTED_VALUE"""),"28o 35' 52""")</f>
        <v>28o 35' 52"</v>
      </c>
      <c r="J6" s="2" t="str">
        <f>IFERROR(__xludf.DUMMYFUNCTION("""COMPUTED_VALUE"""),"28o 36' 07""")</f>
        <v>28o 36' 07"</v>
      </c>
      <c r="K6" s="2" t="str">
        <f>IFERROR(__xludf.DUMMYFUNCTION("""COMPUTED_VALUE"""),"81o 40' 23""")</f>
        <v>81o 40' 23"</v>
      </c>
      <c r="L6" s="2" t="str">
        <f>IFERROR(__xludf.DUMMYFUNCTION("""COMPUTED_VALUE"""),"81o 40' 41""")</f>
        <v>81o 40' 41"</v>
      </c>
      <c r="M6" s="2"/>
    </row>
    <row r="7">
      <c r="A7" s="2">
        <f>IFERROR(__xludf.DUMMYFUNCTION("""COMPUTED_VALUE"""),6.0)</f>
        <v>6</v>
      </c>
      <c r="B7" s="2" t="str">
        <f>IFERROR(__xludf.DUMMYFUNCTION("""COMPUTED_VALUE"""),"Gandak Solar PV Project")</f>
        <v>Gandak Solar PV Project</v>
      </c>
      <c r="C7" s="2">
        <f>IFERROR(__xludf.DUMMYFUNCTION("""COMPUTED_VALUE"""),5.8)</f>
        <v>5.8</v>
      </c>
      <c r="D7" s="2">
        <f>IFERROR(__xludf.DUMMYFUNCTION("""COMPUTED_VALUE"""),477.0)</f>
        <v>477</v>
      </c>
      <c r="E7" s="3">
        <f>IFERROR(__xludf.DUMMYFUNCTION("""COMPUTED_VALUE"""),66530.0)</f>
        <v>66530</v>
      </c>
      <c r="F7" s="3">
        <f>IFERROR(__xludf.DUMMYFUNCTION("""COMPUTED_VALUE"""),75659.0)</f>
        <v>75659</v>
      </c>
      <c r="G7" s="2" t="str">
        <f>IFERROR(__xludf.DUMMYFUNCTION("""COMPUTED_VALUE"""),"Nepal Electricity Authority")</f>
        <v>Nepal Electricity Authority</v>
      </c>
      <c r="H7" s="2" t="str">
        <f>IFERROR(__xludf.DUMMYFUNCTION("""COMPUTED_VALUE"""),"Durbar Marg , Kathmandu")</f>
        <v>Durbar Marg , Kathmandu</v>
      </c>
      <c r="I7" s="2" t="str">
        <f>IFERROR(__xludf.DUMMYFUNCTION("""COMPUTED_VALUE"""),"27o 25' 16""")</f>
        <v>27o 25' 16"</v>
      </c>
      <c r="J7" s="2" t="str">
        <f>IFERROR(__xludf.DUMMYFUNCTION("""COMPUTED_VALUE"""),"27o 25' 46""")</f>
        <v>27o 25' 46"</v>
      </c>
      <c r="K7" s="2" t="str">
        <f>IFERROR(__xludf.DUMMYFUNCTION("""COMPUTED_VALUE"""),"83o 47' 12""")</f>
        <v>83o 47' 12"</v>
      </c>
      <c r="L7" s="2" t="str">
        <f>IFERROR(__xludf.DUMMYFUNCTION("""COMPUTED_VALUE"""),"83o 47' 42""")</f>
        <v>83o 47' 42"</v>
      </c>
      <c r="M7" s="2" t="str">
        <f>IFERROR(__xludf.DUMMYFUNCTION("""COMPUTED_VALUE"""),"Pratappur (Nawalparasi)")</f>
        <v>Pratappur (Nawalparasi)</v>
      </c>
    </row>
    <row r="8">
      <c r="A8" s="2">
        <f>IFERROR(__xludf.DUMMYFUNCTION("""COMPUTED_VALUE"""),7.0)</f>
        <v>7</v>
      </c>
      <c r="B8" s="2" t="str">
        <f>IFERROR(__xludf.DUMMYFUNCTION("""COMPUTED_VALUE"""),"Grid Connected Solar Electricity Project Part-2 Ganeshpur, K")</f>
        <v>Grid Connected Solar Electricity Project Part-2 Ganeshpur, K</v>
      </c>
      <c r="C8" s="2">
        <f>IFERROR(__xludf.DUMMYFUNCTION("""COMPUTED_VALUE"""),10.0)</f>
        <v>10</v>
      </c>
      <c r="D8" s="2">
        <f>IFERROR(__xludf.DUMMYFUNCTION("""COMPUTED_VALUE"""),479.0)</f>
        <v>479</v>
      </c>
      <c r="E8" s="3">
        <f>IFERROR(__xludf.DUMMYFUNCTION("""COMPUTED_VALUE"""),66532.0)</f>
        <v>66532</v>
      </c>
      <c r="F8" s="3">
        <f>IFERROR(__xludf.DUMMYFUNCTION("""COMPUTED_VALUE"""),75661.0)</f>
        <v>75661</v>
      </c>
      <c r="G8" s="2" t="str">
        <f>IFERROR(__xludf.DUMMYFUNCTION("""COMPUTED_VALUE"""),"Positive Energy (Pvt.) Ltd")</f>
        <v>Positive Energy (Pvt.) Ltd</v>
      </c>
      <c r="H8" s="2" t="str">
        <f>IFERROR(__xludf.DUMMYFUNCTION("""COMPUTED_VALUE"""),"Kathmandu Metropolitan City -13, Nepal")</f>
        <v>Kathmandu Metropolitan City -13, Nepal</v>
      </c>
      <c r="I8" s="2" t="str">
        <f>IFERROR(__xludf.DUMMYFUNCTION("""COMPUTED_VALUE"""),"27o 34' 57""")</f>
        <v>27o 34' 57"</v>
      </c>
      <c r="J8" s="2" t="str">
        <f>IFERROR(__xludf.DUMMYFUNCTION("""COMPUTED_VALUE"""),"27o 35' 08""")</f>
        <v>27o 35' 08"</v>
      </c>
      <c r="K8" s="2" t="str">
        <f>IFERROR(__xludf.DUMMYFUNCTION("""COMPUTED_VALUE"""),"82o 49' 20""")</f>
        <v>82o 49' 20"</v>
      </c>
      <c r="L8" s="2" t="str">
        <f>IFERROR(__xludf.DUMMYFUNCTION("""COMPUTED_VALUE"""),"82o 49' 41""")</f>
        <v>82o 49' 41"</v>
      </c>
      <c r="M8" s="2" t="str">
        <f>IFERROR(__xludf.DUMMYFUNCTION("""COMPUTED_VALUE"""),"Ganeshpur (Kapilbastu)")</f>
        <v>Ganeshpur (Kapilbastu)</v>
      </c>
    </row>
    <row r="9">
      <c r="A9" s="2">
        <f>IFERROR(__xludf.DUMMYFUNCTION("""COMPUTED_VALUE"""),8.0)</f>
        <v>8</v>
      </c>
      <c r="B9" s="2" t="str">
        <f>IFERROR(__xludf.DUMMYFUNCTION("""COMPUTED_VALUE"""),"Arga Saurya Vidyut Aayojana, Arghakhachi")</f>
        <v>Arga Saurya Vidyut Aayojana, Arghakhachi</v>
      </c>
      <c r="C9" s="2">
        <f>IFERROR(__xludf.DUMMYFUNCTION("""COMPUTED_VALUE"""),10.0)</f>
        <v>10</v>
      </c>
      <c r="D9" s="2">
        <f>IFERROR(__xludf.DUMMYFUNCTION("""COMPUTED_VALUE"""),488.0)</f>
        <v>488</v>
      </c>
      <c r="E9" s="3">
        <f>IFERROR(__xludf.DUMMYFUNCTION("""COMPUTED_VALUE"""),66600.0)</f>
        <v>66600</v>
      </c>
      <c r="F9" s="3">
        <f>IFERROR(__xludf.DUMMYFUNCTION("""COMPUTED_VALUE"""),75729.0)</f>
        <v>75729</v>
      </c>
      <c r="G9" s="2" t="str">
        <f>IFERROR(__xludf.DUMMYFUNCTION("""COMPUTED_VALUE"""),"Arga Bhagbati Ventures Private Limited")</f>
        <v>Arga Bhagbati Ventures Private Limited</v>
      </c>
      <c r="H9" s="2" t="str">
        <f>IFERROR(__xludf.DUMMYFUNCTION("""COMPUTED_VALUE"""),"Kathmandu - 16, Bohoratar")</f>
        <v>Kathmandu - 16, Bohoratar</v>
      </c>
      <c r="I9" s="2" t="str">
        <f>IFERROR(__xludf.DUMMYFUNCTION("""COMPUTED_VALUE"""),"27o 57' 47""")</f>
        <v>27o 57' 47"</v>
      </c>
      <c r="J9" s="2" t="str">
        <f>IFERROR(__xludf.DUMMYFUNCTION("""COMPUTED_VALUE"""),"27o 58' 12""")</f>
        <v>27o 58' 12"</v>
      </c>
      <c r="K9" s="2" t="str">
        <f>IFERROR(__xludf.DUMMYFUNCTION("""COMPUTED_VALUE"""),"83o 08' 24""")</f>
        <v>83o 08' 24"</v>
      </c>
      <c r="L9" s="2" t="str">
        <f>IFERROR(__xludf.DUMMYFUNCTION("""COMPUTED_VALUE"""),"83o 08' 48""")</f>
        <v>83o 08' 48"</v>
      </c>
      <c r="M9" s="2"/>
    </row>
    <row r="10">
      <c r="A10" s="2">
        <f>IFERROR(__xludf.DUMMYFUNCTION("""COMPUTED_VALUE"""),9.0)</f>
        <v>9</v>
      </c>
      <c r="B10" s="2" t="str">
        <f>IFERROR(__xludf.DUMMYFUNCTION("""COMPUTED_VALUE"""),"Grid Connected Solar PV Project, Birendranagar Surkhet")</f>
        <v>Grid Connected Solar PV Project, Birendranagar Surkhet</v>
      </c>
      <c r="C10" s="2">
        <f>IFERROR(__xludf.DUMMYFUNCTION("""COMPUTED_VALUE"""),1.2)</f>
        <v>1.2</v>
      </c>
      <c r="D10" s="2">
        <f>IFERROR(__xludf.DUMMYFUNCTION("""COMPUTED_VALUE"""),500.0)</f>
        <v>500</v>
      </c>
      <c r="E10" s="3">
        <f>IFERROR(__xludf.DUMMYFUNCTION("""COMPUTED_VALUE"""),66726.0)</f>
        <v>66726</v>
      </c>
      <c r="F10" s="3">
        <f>IFERROR(__xludf.DUMMYFUNCTION("""COMPUTED_VALUE"""),75855.0)</f>
        <v>75855</v>
      </c>
      <c r="G10" s="2" t="str">
        <f>IFERROR(__xludf.DUMMYFUNCTION("""COMPUTED_VALUE"""),"G.C.Solar Energy Group")</f>
        <v>G.C.Solar Energy Group</v>
      </c>
      <c r="H10" s="2" t="str">
        <f>IFERROR(__xludf.DUMMYFUNCTION("""COMPUTED_VALUE"""),"Birendranagar-10, Nayagaun Surkhet")</f>
        <v>Birendranagar-10, Nayagaun Surkhet</v>
      </c>
      <c r="I10" s="2" t="str">
        <f>IFERROR(__xludf.DUMMYFUNCTION("""COMPUTED_VALUE"""),"28o 33' 36""")</f>
        <v>28o 33' 36"</v>
      </c>
      <c r="J10" s="2" t="str">
        <f>IFERROR(__xludf.DUMMYFUNCTION("""COMPUTED_VALUE"""),"28o 33' 43""")</f>
        <v>28o 33' 43"</v>
      </c>
      <c r="K10" s="2" t="str">
        <f>IFERROR(__xludf.DUMMYFUNCTION("""COMPUTED_VALUE"""),"81o 37' 34""")</f>
        <v>81o 37' 34"</v>
      </c>
      <c r="L10" s="2" t="str">
        <f>IFERROR(__xludf.DUMMYFUNCTION("""COMPUTED_VALUE"""),"81o 37' 43""")</f>
        <v>81o 37' 43"</v>
      </c>
      <c r="M10" s="2" t="str">
        <f>IFERROR(__xludf.DUMMYFUNCTION("""COMPUTED_VALUE"""),"BirendraNagar N.P. (Surkhet)")</f>
        <v>BirendraNagar N.P. (Surkhet)</v>
      </c>
    </row>
    <row r="11">
      <c r="A11" s="2">
        <f>IFERROR(__xludf.DUMMYFUNCTION("""COMPUTED_VALUE"""),10.0)</f>
        <v>10</v>
      </c>
      <c r="B11" s="2" t="str">
        <f>IFERROR(__xludf.DUMMYFUNCTION("""COMPUTED_VALUE"""),"Dhalkebar Saurya Vidyut Aayojana")</f>
        <v>Dhalkebar Saurya Vidyut Aayojana</v>
      </c>
      <c r="C11" s="2">
        <f>IFERROR(__xludf.DUMMYFUNCTION("""COMPUTED_VALUE"""),20.0)</f>
        <v>20</v>
      </c>
      <c r="D11" s="2">
        <f>IFERROR(__xludf.DUMMYFUNCTION("""COMPUTED_VALUE"""),515.0)</f>
        <v>515</v>
      </c>
      <c r="E11" s="3">
        <f>IFERROR(__xludf.DUMMYFUNCTION("""COMPUTED_VALUE"""),66905.0)</f>
        <v>66905</v>
      </c>
      <c r="F11" s="3">
        <f>IFERROR(__xludf.DUMMYFUNCTION("""COMPUTED_VALUE"""),76035.0)</f>
        <v>76035</v>
      </c>
      <c r="G11" s="2" t="str">
        <f>IFERROR(__xludf.DUMMYFUNCTION("""COMPUTED_VALUE"""),"Terra Sol Energy Company Public Limited")</f>
        <v>Terra Sol Energy Company Public Limited</v>
      </c>
      <c r="H11" s="2" t="str">
        <f>IFERROR(__xludf.DUMMYFUNCTION("""COMPUTED_VALUE"""),"KMC-3, Baluwatar, Kathmandu")</f>
        <v>KMC-3, Baluwatar, Kathmandu</v>
      </c>
      <c r="I11" s="2" t="str">
        <f>IFERROR(__xludf.DUMMYFUNCTION("""COMPUTED_VALUE"""),"26o 55' 50""")</f>
        <v>26o 55' 50"</v>
      </c>
      <c r="J11" s="2" t="str">
        <f>IFERROR(__xludf.DUMMYFUNCTION("""COMPUTED_VALUE"""),"26o 56' 12""")</f>
        <v>26o 56' 12"</v>
      </c>
      <c r="K11" s="2" t="str">
        <f>IFERROR(__xludf.DUMMYFUNCTION("""COMPUTED_VALUE"""),"85o 54' 12""")</f>
        <v>85o 54' 12"</v>
      </c>
      <c r="L11" s="2" t="str">
        <f>IFERROR(__xludf.DUMMYFUNCTION("""COMPUTED_VALUE"""),"85o 54' 29""")</f>
        <v>85o 54' 29"</v>
      </c>
      <c r="M11" s="2" t="str">
        <f>IFERROR(__xludf.DUMMYFUNCTION("""COMPUTED_VALUE"""),"Kisan Nagar (Mahottari)")</f>
        <v>Kisan Nagar (Mahottari)</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1" t="str">
        <f>IFERROR(__xludf.DUMMYFUNCTION("IMPORTHTML(""https://www.doed.gov.np/pages/clwind/"",""table"",1)"),"S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1" t="str">
        <f>IFERROR(__xludf.DUMMYFUNCTION("IMPORTHTML(""https://www.doed.gov.np/pages/clbiomass-77/"",""table"",1)"),"S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2" t="str">
        <f>IFERROR(__xludf.DUMMYFUNCTION("IMPORTHTML(""https://www.doed.gov.np/pages/clcogeneration/"",""table"",1)"),"S No")</f>
        <v>S No</v>
      </c>
      <c r="B1" s="2" t="str">
        <f>IFERROR(__xludf.DUMMYFUNCTION("""COMPUTED_VALUE"""),"Project")</f>
        <v>Project</v>
      </c>
      <c r="C1" s="2" t="str">
        <f>IFERROR(__xludf.DUMMYFUNCTION("""COMPUTED_VALUE"""),"Capacity (MW)")</f>
        <v>Capacity (MW)</v>
      </c>
      <c r="D1" s="2" t="str">
        <f>IFERROR(__xludf.DUMMYFUNCTION("""COMPUTED_VALUE"""),"Lic No")</f>
        <v>Lic No</v>
      </c>
      <c r="E1" s="2" t="str">
        <f>IFERROR(__xludf.DUMMYFUNCTION("""COMPUTED_VALUE"""),"Isuue Date")</f>
        <v>Isuue Date</v>
      </c>
      <c r="F1" s="2" t="str">
        <f>IFERROR(__xludf.DUMMYFUNCTION("""COMPUTED_VALUE"""),"Validity")</f>
        <v>Validity</v>
      </c>
      <c r="G1" s="2" t="str">
        <f>IFERROR(__xludf.DUMMYFUNCTION("""COMPUTED_VALUE"""),"Promoter")</f>
        <v>Promoter</v>
      </c>
      <c r="H1" s="2" t="str">
        <f>IFERROR(__xludf.DUMMYFUNCTION("""COMPUTED_VALUE"""),"Address")</f>
        <v>Address</v>
      </c>
      <c r="I1" s="2" t="str">
        <f>IFERROR(__xludf.DUMMYFUNCTION("""COMPUTED_VALUE"""),"Latitiude N")</f>
        <v>Latitiude N</v>
      </c>
      <c r="J1" s="2"/>
      <c r="K1" s="2" t="str">
        <f>IFERROR(__xludf.DUMMYFUNCTION("""COMPUTED_VALUE"""),"Longitude E")</f>
        <v>Longitude E</v>
      </c>
      <c r="L1" s="2"/>
      <c r="M1" s="2" t="str">
        <f>IFERROR(__xludf.DUMMYFUNCTION("""COMPUTED_VALUE"""),"VDC/District")</f>
        <v>VDC/District</v>
      </c>
    </row>
    <row r="2">
      <c r="A2" s="2">
        <f>IFERROR(__xludf.DUMMYFUNCTION("""COMPUTED_VALUE"""),1.0)</f>
        <v>1</v>
      </c>
      <c r="B2" s="2" t="str">
        <f>IFERROR(__xludf.DUMMYFUNCTION("""COMPUTED_VALUE"""),"Cogeneration")</f>
        <v>Cogeneration</v>
      </c>
      <c r="C2" s="2">
        <f>IFERROR(__xludf.DUMMYFUNCTION("""COMPUTED_VALUE"""),3.0)</f>
        <v>3</v>
      </c>
      <c r="D2" s="2">
        <f>IFERROR(__xludf.DUMMYFUNCTION("""COMPUTED_VALUE"""),229.0)</f>
        <v>229</v>
      </c>
      <c r="E2" s="3">
        <f>IFERROR(__xludf.DUMMYFUNCTION("""COMPUTED_VALUE"""),63952.0)</f>
        <v>63952</v>
      </c>
      <c r="F2" s="3">
        <f>IFERROR(__xludf.DUMMYFUNCTION("""COMPUTED_VALUE"""),74908.0)</f>
        <v>74908</v>
      </c>
      <c r="G2" s="2" t="str">
        <f>IFERROR(__xludf.DUMMYFUNCTION("""COMPUTED_VALUE"""),"Reliance Sugar and Chemical Industries Pvt. Ltd")</f>
        <v>Reliance Sugar and Chemical Industries Pvt. Ltd</v>
      </c>
      <c r="H2" s="2" t="str">
        <f>IFERROR(__xludf.DUMMYFUNCTION("""COMPUTED_VALUE"""),"Manarwaha, Bara")</f>
        <v>Manarwaha, Bara</v>
      </c>
      <c r="I2" s="2" t="str">
        <f>IFERROR(__xludf.DUMMYFUNCTION("""COMPUTED_VALUE"""),"27o 05' 06""")</f>
        <v>27o 05' 06"</v>
      </c>
      <c r="J2" s="2" t="str">
        <f>IFERROR(__xludf.DUMMYFUNCTION("""COMPUTED_VALUE"""),"27o 05' 18""")</f>
        <v>27o 05' 18"</v>
      </c>
      <c r="K2" s="2" t="str">
        <f>IFERROR(__xludf.DUMMYFUNCTION("""COMPUTED_VALUE"""),"85o 01' 17""")</f>
        <v>85o 01' 17"</v>
      </c>
      <c r="L2" s="2" t="str">
        <f>IFERROR(__xludf.DUMMYFUNCTION("""COMPUTED_VALUE"""),"85o 01' 32""")</f>
        <v>85o 01' 32"</v>
      </c>
      <c r="M2" s="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ht="33.0" customHeight="1">
      <c r="A1" s="1" t="str">
        <f>IFERROR(__xludf.DUMMYFUNCTION("IMPORTHTML(""https://www.doed.gov.np/pages/cltransmissionline/"",""table"",1)"),"S No")</f>
        <v>S No</v>
      </c>
      <c r="B1" s="1" t="str">
        <f>IFERROR(__xludf.DUMMYFUNCTION("""COMPUTED_VALUE"""),"Project")</f>
        <v>Project</v>
      </c>
      <c r="C1" s="1" t="str">
        <f>IFERROR(__xludf.DUMMYFUNCTION("""COMPUTED_VALUE"""),"Voltage (kV)
Filter: All111322203340066")</f>
        <v>Voltage (kV)
Filter: All111322203340066</v>
      </c>
      <c r="D1" s="1" t="str">
        <f>IFERROR(__xludf.DUMMYFUNCTION("""COMPUTED_VALUE"""),"Line Length (km)")</f>
        <v>Line Length (km)</v>
      </c>
      <c r="E1" s="1" t="str">
        <f>IFERROR(__xludf.DUMMYFUNCTION("""COMPUTED_VALUE"""),"Capacity (MW)")</f>
        <v>Capacity (MW)</v>
      </c>
      <c r="F1" s="1" t="str">
        <f>IFERROR(__xludf.DUMMYFUNCTION("""COMPUTED_VALUE"""),"Lic No")</f>
        <v>Lic No</v>
      </c>
      <c r="G1" s="1" t="str">
        <f>IFERROR(__xludf.DUMMYFUNCTION("""COMPUTED_VALUE"""),"Isuue Date")</f>
        <v>Isuue Date</v>
      </c>
      <c r="H1" s="1" t="str">
        <f>IFERROR(__xludf.DUMMYFUNCTION("""COMPUTED_VALUE"""),"Validity")</f>
        <v>Validity</v>
      </c>
      <c r="I1" s="1" t="str">
        <f>IFERROR(__xludf.DUMMYFUNCTION("""COMPUTED_VALUE"""),"Promoter
Filter: All Upper Lohore Khola Hydropower Company Ltd.Aarati Power Company 
LimitedAashutosh Energy Pvt.Ltd.Aasutosh Energy LimitedAdishakti Vidyut CoApi 
Power Co. LtdApi Power Company LimitedApi Power Company Limited Appolo 
Hydropower Ltd.Arun"&amp;" Kabeli Power LimitedArun Valley Hydropower Development 
Company Ltd.Barpak Daraudi Hydropower Pvt. Ltd.Barun Hydropower Development 
Pvt. Ltd.Beni Hydropower Project Pvt. Ltd.Betan Karnali Snchayakarta 
Hydropower Co.Ltd.Bhagwati Hydropower Development P"&amp;"vt LtdBhairabkund HPBhotekoshi 
Power CompanyBhujung Hydropower Pvt.Ltd.Bikas Hydropower Company Pvt.Ltd.Bindhabasini 
Hydropower Development Company Pvt. Ltd.Buddha Bhumi Nepal Hydro Power Co . 
Ltd.Champawati Hydro Power Ltd.Chhyangdi Hydropower Limited"&amp;"Chilime 
Hydropower Co. Ltd.Chirkhwa Hydropower Ltd.Dang Cement IndustriesDaraudi 
Kalika Hydropower Pvt.Ltd.Doodhpokhari Chepe Hydropower Pvt. Ltd.Dordi 
Khola Jalbidyut Co. Ltd.Dovan Hydropower Pvt. Ltd.Eastern Hydropower Pvt. 
Ltd.Electro Power Co. Ltd"&amp;".Energy Engineering LimitedEssel Clean Solu 
Hydropower Pvt LtdG.I. Solar Private LimitedGauri Shanker Power Development 
LtdGhalemdi Hydro LimitedGlobal Energy &amp; Construction Pvt..LtdGlobal 
Hydropower Associate Pvt.Ltd.Green Infrastructure Pvt.LtdGreen "&amp;"Venture Pvt. 
Ltd.Grjyang Upatyaka HP LHabitat Power Co. Pvt. Ltd.Him Consult Pvt.Ltd.Him 
Parbat Hydropower Pvt. Ltd.Him Parvat Hydro Power Pvt .Ltd.Him River Power 
Pvt. Ltd.Him Star Urja Company Ltd.Himalayan Hydro Power Ltd.Himalayan 
Power Partner Lt"&amp;"d.Himalayan Urja Bikas Company Pvt. Ltd.Himali Hydro Fund 
Ltd.Ingwa Hydro Power Ltd, Isuwa Energy Pvt.Ltd.Jhapa Energy LimitedKhani 
Khola Hydropower CompanyLamahi Energy LimitedLangtang Bhotekoshi Hydropower 
Company Pvt. Ltd.Laughing Buddha Power Nepal"&amp;" Pvt LtdLower Erkhuwa 
Hydropower Co. Pvt. Ltd.Lower Mid Rawa Khola HPP,Pvt.LtdM/s Union 
Hydropower Pvt.Ltd.Mabilung Energy Ltd.Madame Khola Hydropower Pvt. Ltd.Madhya 
Bhotekoshi Jalavidyut Company Ltd.Madi Power Pvt. Ltd.Mai Valley Hydro 
Power Pvt Ltd"&amp;"Mailung Khola Jalbidyut Company Pvt. Ltd.Makarigad Hydropower 
Pvt. Ltd.Mandakini Hydropower Ltd.Mandakini Hydropower Pvt.Ltd.Mandu 
Hydropower LimitedMathillo Mailung Khola Jalbidhyut Company LtdMaya khola 
Hydropower Company Pvt.Ltd.Menchhiyam Hydropowe"&amp;"r Pvt. Ltd.Mewa Developers 
Ltd.Mid Solu Hydropower Company Pvt. Ltd.Middle Modi Hydro Power LimitedModi 
Jalvidyut Company LimitedMount Everest Power Development Pvt. Ltd.Mount 
Kailash Energy Pvt. Ltd.Mountain Hydro Nepal pvt. Ltd.Multi Energy 
Developm"&amp;"ent Pvt. Ltd.National Hydro Power Co. Ltd.National Hydropower Co 
Pvt LtdNational Solar Power Company Pvt. Ltd.Nepal Electricity AuthorityNepal 
Electricity Authority Nepal Eletricity AuthorityNepal Solar Farm Private 
Limited Nepal Water and Energy Devel"&amp;"opment Company P LtdNepal electricity 
AuthorityNilgiri Khola Hydropower Co. Pvt. Ltd.Numbur Himalaya Hydropower 
Pvt.Ltd.Nyadi Group Pvt LtdNyadi Hydropower LimitedOmega Energy Developer 
Pvt. Ltd.Orbit Energy Limited Pan Himalaya Energy Pvt.Ltd.Panchtha"&amp;"r Power 
Company PParbat Painya Khola Hydropower Company Pvt. Ltd.Pashupati 
Renewables Pvt. Ltd. Peace Energy Company Ltd.People's Power LimitedPeoples 
Energy LimitedPure Energy Pvt. Ltd.Rastriya Prasaran Grid Company LimitedRastriya 
Prasaran Grid Comp"&amp;"any Limited Rastriya Prasaran Grid Company LtdRastriye 
Prasaran Grid Company LimitedReliable Hydro Power Co. Pvt. Ltd.Robust 
Energy Pvt LtdRuru Jalvidyut Pariyojana P ltdRver Falls Power LimitedSJVN 
Arun 3 Power Developemnt Company Pvt. Ltd.Sabhapokhar"&amp;"i Hydro Power Ltd.Sagarmatha 
Energy and Construction Pvt.Ltd. Salasungi Power Pvt. LimitedSalmani Devi 
Hydropower Pvt. Ltd.Samling Power Co.Pvt.Ltd.Samyukta Urja Private LimitedSanima 
Hydropower Pvt LtdSanima Middle Tamor Hydropower Ltd.Sanjen Jalbidyu"&amp;"t 
Company LimitedSanvi Energy Pvt. Ltd.Sayapatri Hydropower P LtdSet Khola 
Hydropower Ltd.Sewa Hydro Limited,Shaileshwori Power Nepal Pvt. Ltd.Shikhar 
Power Development LimitedShiva Shree Hydropower PLtdShree Balephi 
Hydropower Ltd.Shree Chhyangdi Hyd"&amp;"ropower Ltd.Shree Chilime Jal vidhut 
Company Shree Green Life Hydro power Ltd.Shree Huxain Cement Narayani 
Pvt.Ltd.Shree Makar Jitumaya Hydro Power Pvt.Ltd.Shree Manakamna Enginering 
Hydropower Pvt.Ltd.Shree Mewa Developers Pvt. Ltd.Shree Myagdi Hydrop"&amp;"ower 
Limited Shree Peoples Hydropower Co.Pvt.LtdShree Puwa Khola one Hydropower 
Pvt.LtdShree Rapti Hydro and General construction Pvt.Ltd.Shree Richet 
Jalvidhut Co.Pvt. Ltd.Shree SJVN Arun 3 Power Developemnt Company Pvt. Ltd. Shree 
Sahas Urja Limited"&amp;" Shree Suri Khola Hydropower Pvt. Ltd.Shree Swet Ganga 
Hydropower and Construction Ltd.Shree kalanga hydro pvt.ltd Siddhi 
Hydropower company Pvt. LtdSilk Power Pvt. Ltd.Siuri Nyadi Power Ltd.Snow 
Rivers Pvt. Ltd.Solar Farm Pvt. Ltd.Super Bagmati Hydrop"&amp;"ower Pvt. Ltd.Super 
Hewa Power Company Ltd.Super Khudi Hydropower Pvt.Ltd.Super Madi Hydro 
Power Limited Syarpu Power Company LimitedSynergy Power Development CoTaksar-Pikhuwa 
Hydropower Pvt. Ltd.Tamakoshi Jalvidhyut Company Ltd.Tamor Energy Pvt.Ltd.Ta"&amp;"nahu 
Hydropower LimitedTarai Solar Pvt. Ltd.Terhathum Power Company Pvt. Ltd.Three 
Star Hydropower Ltd.Thulo Khola Hydropoer Ltd.Tundi Power Company Pvt . Ltd.Unique 
Hydel Co Pvt LtdUnitech Hydropower Company Pvt. Ltd.United Mewa Khola Hydro 
Power Pvt"&amp;".Ltd.United ModiUniversal Power Company LimitedUpper Hewa Khola 
Hydropower Company Pvt. Ltd.Upper Myagdi Hydropower Pvt. Ltd.Upper Solu 
Hydro Electric Co.Pvt.Ltd.Upper Syange Hydropower Limited, Upper Tamakoshi 
Hydropower LimitedVision Energy and power"&amp;" Pvt.Ltd.Vision Lumbini Urja 
Company LtdWater Energy Solution Ltd.White Lotus Power Ltd.Yambaling 
Hydropower Ltd. molung hydropower Pvt.Ltdshree Himalayan Urja Bikas Company 
Ltd.")</f>
        <v>Promoter
Filter: All Upper Lohore Khola Hydropower Company Ltd.Aarati Power Company 
LimitedAashutosh Energy Pvt.Ltd.Aasutosh Energy LimitedAdishakti Vidyut CoApi 
Power Co. LtdApi Power Company LimitedApi Power Company Limited Appolo 
Hydropower Ltd.Arun Kabeli Power LimitedArun Valley Hydropower Development 
Company Ltd.Barpak Daraudi Hydropower Pvt. Ltd.Barun Hydropower Development 
Pvt. Ltd.Beni Hydropower Project Pvt. Ltd.Betan Karnali Snchayakarta 
Hydropower Co.Ltd.Bhagwati Hydropower Development Pvt LtdBhairabkund HPBhotekoshi 
Power CompanyBhujung Hydropower Pvt.Ltd.Bikas Hydropower Company Pvt.Ltd.Bindhabasini 
Hydropower Development Company Pvt. Ltd.Buddha Bhumi Nepal Hydro Power Co . 
Ltd.Champawati Hydro Power Ltd.Chhyangdi Hydropower LimitedChilime 
Hydropower Co. Ltd.Chirkhwa Hydropower Ltd.Dang Cement IndustriesDaraudi 
Kalika Hydropower Pvt.Ltd.Doodhpokhari Chepe Hydropower Pvt. Ltd.Dordi 
Khola Jalbidyut Co. Ltd.Dovan Hydropower Pvt. Ltd.Eastern Hydropower Pvt. 
Ltd.Electro Power Co. Ltd.Energy Engineering LimitedEssel Clean Solu 
Hydropower Pvt LtdG.I. Solar Private LimitedGauri Shanker Power Development 
LtdGhalemdi Hydro LimitedGlobal Energy &amp; Construction Pvt..LtdGlobal 
Hydropower Associate Pvt.Ltd.Green Infrastructure Pvt.LtdGreen Venture Pvt. 
Ltd.Grjyang Upatyaka HP LHabitat Power Co. Pvt. Ltd.Him Consult Pvt.Ltd.Him 
Parbat Hydropower Pvt. Ltd.Him Parvat Hydro Power Pvt .Ltd.Him River Power 
Pvt. Ltd.Him Star Urja Company Ltd.Himalayan Hydro Power Ltd.Himalayan 
Power Partner Ltd.Himalayan Urja Bikas Company Pvt. Ltd.Himali Hydro Fund 
Ltd.Ingwa Hydro Power Ltd, Isuwa Energy Pvt.Ltd.Jhapa Energy LimitedKhani 
Khola Hydropower CompanyLamahi Energy LimitedLangtang Bhotekoshi Hydropower 
Company Pvt. Ltd.Laughing Buddha Power Nepal Pvt LtdLower Erkhuwa 
Hydropower Co. Pvt. Ltd.Lower Mid Rawa Khola HPP,Pvt.LtdM/s Union 
Hydropower Pvt.Ltd.Mabilung Energy Ltd.Madame Khola Hydropower Pvt. Ltd.Madhya 
Bhotekoshi Jalavidyut Company Ltd.Madi Power Pvt. Ltd.Mai Valley Hydro 
Power Pvt LtdMailung Khola Jalbidyut Company Pvt. Ltd.Makarigad Hydropower 
Pvt. Ltd.Mandakini Hydropower Ltd.Mandakini Hydropower Pvt.Ltd.Mandu 
Hydropower LimitedMathillo Mailung Khola Jalbidhyut Company LtdMaya khola 
Hydropower Company Pvt.Ltd.Menchhiyam Hydropower Pvt. Ltd.Mewa Developers 
Ltd.Mid Solu Hydropower Company Pvt. Ltd.Middle Modi Hydro Power LimitedModi 
Jalvidyut Company LimitedMount Everest Power Development Pvt. Ltd.Mount 
Kailash Energy Pvt. Ltd.Mountain Hydro Nepal pvt. Ltd.Multi Energy 
Development Pvt. Ltd.National Hydro Power Co. Ltd.National Hydropower Co 
Pvt LtdNational Solar Power Company Pvt. Ltd.Nepal Electricity AuthorityNepal 
Electricity Authority Nepal Eletricity AuthorityNepal Solar Farm Private 
Limited Nepal Water and Energy Development Company P LtdNepal electricity 
AuthorityNilgiri Khola Hydropower Co. Pvt. Ltd.Numbur Himalaya Hydropower 
Pvt.Ltd.Nyadi Group Pvt LtdNyadi Hydropower LimitedOmega Energy Developer 
Pvt. Ltd.Orbit Energy Limited Pan Himalaya Energy Pvt.Ltd.Panchthar Power 
Company PParbat Painya Khola Hydropower Company Pvt. Ltd.Pashupati 
Renewables Pvt. Ltd. Peace Energy Company Ltd.People's Power LimitedPeoples 
Energy LimitedPure Energy Pvt. Ltd.Rastriya Prasaran Grid Company LimitedRastriya 
Prasaran Grid Company Limited Rastriya Prasaran Grid Company LtdRastriye 
Prasaran Grid Company LimitedReliable Hydro Power Co. Pvt. Ltd.Robust 
Energy Pvt LtdRuru Jalvidyut Pariyojana P ltdRver Falls Power LimitedSJVN 
Arun 3 Power Developemnt Company Pvt. Ltd.Sabhapokhari Hydro Power Ltd.Sagarmatha 
Energy and Construction Pvt.Ltd. Salasungi Power Pvt. LimitedSalmani Devi 
Hydropower Pvt. Ltd.Samling Power Co.Pvt.Ltd.Samyukta Urja Private LimitedSanima 
Hydropower Pvt LtdSanima Middle Tamor Hydropower Ltd.Sanjen Jalbidyut 
Company LimitedSanvi Energy Pvt. Ltd.Sayapatri Hydropower P LtdSet Khola 
Hydropower Ltd.Sewa Hydro Limited,Shaileshwori Power Nepal Pvt. Ltd.Shikhar 
Power Development LimitedShiva Shree Hydropower PLtdShree Balephi 
Hydropower Ltd.Shree Chhyangdi Hydropower Ltd.Shree Chilime Jal vidhut 
Company Shree Green Life Hydro power Ltd.Shree Huxain Cement Narayani 
Pvt.Ltd.Shree Makar Jitumaya Hydro Power Pvt.Ltd.Shree Manakamna Enginering 
Hydropower Pvt.Ltd.Shree Mewa Developers Pvt. Ltd.Shree Myagdi Hydropower 
Limited Shree Peoples Hydropower Co.Pvt.LtdShree Puwa Khola one Hydropower 
Pvt.LtdShree Rapti Hydro and General construction Pvt.Ltd.Shree Richet 
Jalvidhut Co.Pvt. Ltd.Shree SJVN Arun 3 Power Developemnt Company Pvt. Ltd. Shree 
Sahas Urja Limited Shree Suri Khola Hydropower Pvt. Ltd.Shree Swet Ganga 
Hydropower and Construction Ltd.Shree kalanga hydro pvt.ltd Siddhi 
Hydropower company Pvt. LtdSilk Power Pvt. Ltd.Siuri Nyadi Power Ltd.Snow 
Rivers Pvt. Ltd.Solar Farm Pvt. Ltd.Super Bagmati Hydropower Pvt. Ltd.Super 
Hewa Power Company Ltd.Super Khudi Hydropower Pvt.Ltd.Super Madi Hydro 
Power Limited Syarpu Power Company LimitedSynergy Power Development CoTaksar-Pikhuwa 
Hydropower Pvt. Ltd.Tamakoshi Jalvidhyut Company Ltd.Tamor Energy Pvt.Ltd.Tanahu 
Hydropower LimitedTarai Solar Pvt. Ltd.Terhathum Power Company Pvt. Ltd.Three 
Star Hydropower Ltd.Thulo Khola Hydropoer Ltd.Tundi Power Company Pvt . Ltd.Unique 
Hydel Co Pvt LtdUnitech Hydropower Company Pvt. Ltd.United Mewa Khola Hydro 
Power Pvt.Ltd.United ModiUniversal Power Company LimitedUpper Hewa Khola 
Hydropower Company Pvt. Ltd.Upper Myagdi Hydropower Pvt. Ltd.Upper Solu 
Hydro Electric Co.Pvt.Ltd.Upper Syange Hydropower Limited, Upper Tamakoshi 
Hydropower LimitedVision Energy and power Pvt.Ltd.Vision Lumbini Urja 
Company LtdWater Energy Solution Ltd.White Lotus Power Ltd.Yambaling 
Hydropower Ltd. molung hydropower Pvt.Ltdshree Himalayan Urja Bikas Company 
Ltd.</v>
      </c>
      <c r="J1" s="1" t="str">
        <f>IFERROR(__xludf.DUMMYFUNCTION("""COMPUTED_VALUE"""),"Address")</f>
        <v>Address</v>
      </c>
      <c r="K1" s="1" t="str">
        <f>IFERROR(__xludf.DUMMYFUNCTION("""COMPUTED_VALUE"""),"Start Point
Filter: All Parwanipur Respective Switchyard of the project 132/11kV 
Switchyard at Bijulikot(Ramecha132/33/11 kV Manihiya S/SAP 57/2 of Koshi 
CorridorAabukhareniAmarpur Substation Arun -3 Hydro Power Project 
switchyard Arun 3 HPPBahundada P"&amp;"HBalanch Balephi S/S at Pantang VDCBardaghat
BardghatBasantapur S/SBhaktpur 132kV Substation Bhim Khola Hydro Power 
Project Birendranagar SurkhetChandranigahpur NEA Substation Chautara 
SubstationChilime HubChilime PHChobar S/SChuchure Ramechhap, 
Powerh"&amp;"ouse/switchyarDadakhet S/SDailekh Substation Dhading NEA Substation Dhalkebar 
-Loharpatti Tower No.13Dhalkebar NEA Substation Dhalkebar NEA Substation 
(Dhanusha)Dharamnagar Solar Farm switchyardDharapani Dhaubadi/GaidakotDhodeni 
VDCDhunge BisauniDuhabi"&amp;"Fattepur VDC, Tingharwa, BheriFulase, Ramechhap
GalchhiHaitar S/SHaku VDC, Rasuwa, switchyard of Upper TrHetauda Hetauda 
NEA Substation Hetauda_bardaghat 220 kVLine(LILO)Indrawati IIIIntegrated 
power supply of NepalJaljale PowerhouseJhokharha, SunsariJi"&amp;"tpur Substation Jogikuti 
NEA Substation Jogikuti substation Kali Gandaki A PHKamane Substation 
(Makwanpur)Kerabari S/S GorkhaKhimti S/SKhimti-2 Powerhouse/switchyardKhurkot 
NEA Substation Kohalpur Substation KushahaKushma substationKusmaLILO@Kusma 
New"&amp;" Butwal TLLahan NEA Substation(Siraha)LamabagarLamahiLamahi NEA 
Substation Lamosanghu s/sLekhanth S/SLikhu-IV power house at Ragani, 
OkhaldhuLower Modi S/SMadichaur Substation at Subarnawati RolpMatatirth Matatirtha 
substation at KathmanduMatatirtha, K"&amp;"athmanduMewa Khola Hydro Power Project 
SwitchyarMewa Substation Milung Dobhan MirchaiyaNEA New NepalgaunjNEA 
Borang S/SNEA ChandrpurSubstation NEA Godak S/SNEA Hiti S/SNEA Hub 
Substation in DolakhaNEA Inaruwa S/SNEA Kohalpur Substation NEA Nawalpur 
Su"&amp;"bstation NEA Parwanipur S/SNEA Ratodhunga S/SNEA Rupani S/SNEA Sitalpati 
S/SNEA Thimi S/SNew Butwal SubstationNew Modi substationNijgadh s/sPathlaiya 
Porposed power HousePorposed power House at harkapur VDCPower housePower 
house of lower khare at Bigu "&amp;"PowerhousePowerhouse at Bhojpur VDCPowerhouse 
of Khani Khola-1 HPPPowerhouse of Lower Hewa Khola ProjectPowerhouse of 
Rudi A and Rudi B ProjectsPowerhouse of Upper Khorug ProjectPowerhouse/Switchyard 
at nyarchang V.D.CProposed Betan S/SProposed Dododha"&amp;"ra S/SProposed Nalgad 
S/SProposed Phukot S/SProposed Prasauni S/SProposed Tamor S/SProposed 
Trishuli 3B S/SProposed power housePuwa Khola Hydropower Project Rahughat 
mangale SwitchyardRatnlal(Surkhet)Respective Switchyard of the ProjectRespective 
Swit"&amp;"chyard of the project Respective Switchyard of the project at Respective 
switchyard of ProjectSamundratarSangu Khola Hydro Power Project Sanjen 
Hydropower project SildujureSitalpati SubstationSiuri SS, BhulbhuleSunwal 
SubstaionSuper Dordi Hpp Switchyar"&amp;"d (Lamjung)Surkhet NEA Substation 
(Surkhet)Swichyard of Dordi Khola HPP Swichyard of Upper Khudi HPP(Lamjung)Swichyard 
of projectSwitchard of Khimti One HEP Switchard of Middle Chaku HEPSwitchayrd 
of Hewa HEP Switchayrd of Mai HEPSwitchyardSwitchyard a"&amp;"t chanuteSwitchyard 
of Sangu khola-1 Hydro PoweSwitchyard of Bagmati HPPSwitchyard of Baramchi 
Khola HEPSwitchyard of Bhairavkund Khola HEPSwitchyard of Ghar khola HPPSwitchyard 
of Ghatte Khola Hydropower PrSwitchyard of HEPSwitchyard of Hungdi HEP Swi"&amp;"tchyard 
of Jogmai Khola ProjectSwitchyard of Kabeli Khola A ProjectSwitchyard of 
Kalangad HPP to Upper KalaSwitchyard of Kaligandaki Substation Switchyard 
of Kulekhani 3 HEPSwitchyard of Lower ErkhuwaProjectSwitchyard of Lower 
Selang ProjectSwitchyard"&amp;" of Luja Khola Project Switchyard of Madhya Mewa 
Hydro Power PrSwitchyard of Maghya Bhotekoshi HPPSwitchyard of Makari HPPSwitchyard 
of Mathillo Suri Khola Hydro Switchyard of Middle Tamor Switchyard of Modi 
1 HEPSwitchyard of Namarjun Madi Hydro Power"&amp;" Switchyard of Nilgiri Khola 1 Switchyard 
of Nupche Khola HEPSwitchyard of ProjectSwitchyard of Project Switchyard of 
Project (Bhojpur)Switchyard of Project (Dhanusha)Switchyard of Project 
(Ramechap)Switchyard of Project (Taplejung )Switchyard of Propo"&amp;"sed Power 
House(SolukSwitchyard of Proposed power house at PaSwitchyard of Rele khola 
HEPSwitchyard of Rukum Gad Hydro Power ProSwitchyard of Sabha Khola B HPPSwitchyard 
of Sanjen Khola HPSwitchyard of Sanjen ProjectSwitchyard of Seti Nadi rojectSwitch"&amp;"yard 
of Solu HEPSwitchyard of Super Madi HPPSwitchyard of Super Mai A Switchyard 
of Suri Khola Hydro Power ProSwitchyard of Tadi Khola HEPSwitchyard of 
Thulo Khola HPPSwitchyard of Upper Chhyangdi HPP(LamjunSwitchyard of Upper 
Deumai Khola SHPPSwitchy"&amp;"ard of Upper Machaa Khola HydropoSwitchyard of 
Upper Modi A HEPSwitchyard of Upper Richet HEPSwitchyard of Upper Syange 
HEP(Lamjung)Switchyard of upper solu hydro powerSwithchyard of Project 
(Lamjung)Swiychyard of Project (Kaski)Taksar-Pikhuwa Hydropow"&amp;"er switchyardTanahu 
Markichowk Substation Thapa Khola Project P/HTingla 
Hub(Solukhumbu),Likhu,New Khimti Tower No. 17 of UTKCL TLTrishuli 3B Hub S/STungun 
Thosne Switch YardUpper 3A Matatirtha 220kV Upper Balephi A HPP 
(Sindhupalchowk)Upper Khimti 2 S"&amp;"witchyardUpper Marsyangdi A HEP SwitchyardUpper 
mailung switchyard at Champani (RaUpper trishuli 3A ProjectUttarganga Hub 
Substation at Banphikot, power housepowerhouse of Tanahu hydroswitchyard")</f>
        <v>Start Point
Filter: All Parwanipur Respective Switchyard of the project 132/11kV 
Switchyard at Bijulikot(Ramecha132/33/11 kV Manihiya S/SAP 57/2 of Koshi 
CorridorAabukhareniAmarpur Substation Arun -3 Hydro Power Project 
switchyard Arun 3 HPPBahundada PHBalanch Balephi S/S at Pantang VDCBardaghat
BardghatBasantapur S/SBhaktpur 132kV Substation Bhim Khola Hydro Power 
Project Birendranagar SurkhetChandranigahpur NEA Substation Chautara 
SubstationChilime HubChilime PHChobar S/SChuchure Ramechhap, 
Powerhouse/switchyarDadakhet S/SDailekh Substation Dhading NEA Substation Dhalkebar 
-Loharpatti Tower No.13Dhalkebar NEA Substation Dhalkebar NEA Substation 
(Dhanusha)Dharamnagar Solar Farm switchyardDharapani Dhaubadi/GaidakotDhodeni 
VDCDhunge BisauniDuhabiFattepur VDC, Tingharwa, BheriFulase, Ramechhap
GalchhiHaitar S/SHaku VDC, Rasuwa, switchyard of Upper TrHetauda Hetauda 
NEA Substation Hetauda_bardaghat 220 kVLine(LILO)Indrawati IIIIntegrated 
power supply of NepalJaljale PowerhouseJhokharha, SunsariJitpur Substation Jogikuti 
NEA Substation Jogikuti substation Kali Gandaki A PHKamane Substation 
(Makwanpur)Kerabari S/S GorkhaKhimti S/SKhimti-2 Powerhouse/switchyardKhurkot 
NEA Substation Kohalpur Substation KushahaKushma substationKusmaLILO@Kusma 
New Butwal TLLahan NEA Substation(Siraha)LamabagarLamahiLamahi NEA 
Substation Lamosanghu s/sLekhanth S/SLikhu-IV power house at Ragani, 
OkhaldhuLower Modi S/SMadichaur Substation at Subarnawati RolpMatatirth Matatirtha 
substation at KathmanduMatatirtha, KathmanduMewa Khola Hydro Power Project 
SwitchyarMewa Substation Milung Dobhan MirchaiyaNEA New NepalgaunjNEA 
Borang S/SNEA ChandrpurSubstation NEA Godak S/SNEA Hiti S/SNEA Hub 
Substation in DolakhaNEA Inaruwa S/SNEA Kohalpur Substation NEA Nawalpur 
Substation NEA Parwanipur S/SNEA Ratodhunga S/SNEA Rupani S/SNEA Sitalpati 
S/SNEA Thimi S/SNew Butwal SubstationNew Modi substationNijgadh s/sPathlaiya 
Porposed power HousePorposed power House at harkapur VDCPower housePower 
house of lower khare at Bigu PowerhousePowerhouse at Bhojpur VDCPowerhouse 
of Khani Khola-1 HPPPowerhouse of Lower Hewa Khola ProjectPowerhouse of 
Rudi A and Rudi B ProjectsPowerhouse of Upper Khorug ProjectPowerhouse/Switchyard 
at nyarchang V.D.CProposed Betan S/SProposed Dododhara S/SProposed Nalgad 
S/SProposed Phukot S/SProposed Prasauni S/SProposed Tamor S/SProposed 
Trishuli 3B S/SProposed power housePuwa Khola Hydropower Project Rahughat 
mangale SwitchyardRatnlal(Surkhet)Respective Switchyard of the ProjectRespective 
Switchyard of the project Respective Switchyard of the project at Respective 
switchyard of ProjectSamundratarSangu Khola Hydro Power Project Sanjen 
Hydropower project SildujureSitalpati SubstationSiuri SS, BhulbhuleSunwal 
SubstaionSuper Dordi Hpp Switchyard (Lamjung)Surkhet NEA Substation 
(Surkhet)Swichyard of Dordi Khola HPP Swichyard of Upper Khudi HPP(Lamjung)Swichyard 
of projectSwitchard of Khimti One HEP Switchard of Middle Chaku HEPSwitchayrd 
of Hewa HEP Switchayrd of Mai HEPSwitchyardSwitchyard at chanuteSwitchyard 
of Sangu khola-1 Hydro PoweSwitchyard of Bagmati HPPSwitchyard of Baramchi 
Khola HEPSwitchyard of Bhairavkund Khola HEPSwitchyard of Ghar khola HPPSwitchyard 
of Ghatte Khola Hydropower PrSwitchyard of HEPSwitchyard of Hungdi HEP Switchyard 
of Jogmai Khola ProjectSwitchyard of Kabeli Khola A ProjectSwitchyard of 
Kalangad HPP to Upper KalaSwitchyard of Kaligandaki Substation Switchyard 
of Kulekhani 3 HEPSwitchyard of Lower ErkhuwaProjectSwitchyard of Lower 
Selang ProjectSwitchyard of Luja Khola Project Switchyard of Madhya Mewa 
Hydro Power PrSwitchyard of Maghya Bhotekoshi HPPSwitchyard of Makari HPPSwitchyard 
of Mathillo Suri Khola Hydro Switchyard of Middle Tamor Switchyard of Modi 
1 HEPSwitchyard of Namarjun Madi Hydro Power Switchyard of Nilgiri Khola 1 Switchyard 
of Nupche Khola HEPSwitchyard of ProjectSwitchyard of Project Switchyard of 
Project (Bhojpur)Switchyard of Project (Dhanusha)Switchyard of Project 
(Ramechap)Switchyard of Project (Taplejung )Switchyard of Proposed Power 
House(SolukSwitchyard of Proposed power house at PaSwitchyard of Rele khola 
HEPSwitchyard of Rukum Gad Hydro Power ProSwitchyard of Sabha Khola B HPPSwitchyard 
of Sanjen Khola HPSwitchyard of Sanjen ProjectSwitchyard of Seti Nadi rojectSwitchyard 
of Solu HEPSwitchyard of Super Madi HPPSwitchyard of Super Mai A Switchyard 
of Suri Khola Hydro Power ProSwitchyard of Tadi Khola HEPSwitchyard of 
Thulo Khola HPPSwitchyard of Upper Chhyangdi HPP(LamjunSwitchyard of Upper 
Deumai Khola SHPPSwitchyard of Upper Machaa Khola HydropoSwitchyard of 
Upper Modi A HEPSwitchyard of Upper Richet HEPSwitchyard of Upper Syange 
HEP(Lamjung)Switchyard of upper solu hydro powerSwithchyard of Project 
(Lamjung)Swiychyard of Project (Kaski)Taksar-Pikhuwa Hydropower switchyardTanahu 
Markichowk Substation Thapa Khola Project P/HTingla 
Hub(Solukhumbu),Likhu,New Khimti Tower No. 17 of UTKCL TLTrishuli 3B Hub S/STungun 
Thosne Switch YardUpper 3A Matatirtha 220kV Upper Balephi A HPP 
(Sindhupalchowk)Upper Khimti 2 SwitchyardUpper Marsyangdi A HEP SwitchyardUpper 
mailung switchyard at Champani (RaUpper trishuli 3A ProjectUttarganga Hub 
Substation at Banphikot, power housepowerhouse of Tanahu hydroswitchyard</v>
      </c>
      <c r="L1" s="1" t="str">
        <f>IFERROR(__xludf.DUMMYFUNCTION("""COMPUTED_VALUE"""),"End Point
Filter: All NEA Dana Substation NEA Lekhnath Substation New Butwal S/S 
Switchyard of Padam Khola HPP Tirtire NEA substation220 kVSwitchyard of 
Rahughat Mangle HPPAP 57/2 of Koshi CorridorAlinagar, Binauna VDCAlong 
132/33/ kV Nautanhwa(India) "&amp;"S/S APAmarpur SubstationAmarpur s/sAttariya NEA 
Substation Baghmara S/S Betan Hub SurkhetBalaju S/SBalanch substation of NEABaneshwor 
Substation of NEA Baneswor SubstationBarahbisey VDC S/SBardaghatBarhabise 
NEA Substation Belgachhiya S/S of NEA, Sunsa"&amp;"riBhantabariBharatpur_bardaghat 
132kV(LILO)Bijaura Birbas NEA SubstationBudar Substation NEA, Budar BajarBurtibang 
Substation ButwalButwal/Lekhnath SSChakuChange Sub-stationChangey S/S at 
DhungesanguChaughda NEA Substation Chilime Hub SubstationChilime"&amp;" Hub at 
Chilime VDC, RasuwaChilime Switch yard Chuchure Hub SubstationDailekh NEA 
Substation (Dailekh)Dana SubstationDana substation Darchula SikharDebighatDhalkebar 
NEA Substation (Dhanusha)Dhalkebar NEA Substation to Nepal India Dhalkebar 
Substation"&amp;" Dhunge Sangu NEA Substation Dhungesangu NEA Substation Dhungesangu 
Substation Duhabi s/sExisting 66 kV TL of Indrawati-III (LILFidim SubstationGarjang 
SubstationGarjyang NEA Substation GhorahiGhorahi SubstationGodak NEA 
Substation Godak Nea Substation"&amp;" Godak SubstationGorkha, SubstationHaripur 
NEA Substation HarisiddiHeadwork's of Upper Myagdi 1 HEPHeadworks of Middle 
Mewa HPP siteHuaxain Cement Factory INPSIndia Nepal Boarder Sunnauli 
Substation JiriJiri-Khimti SubstationJumla Substation Kabeli B-1"&amp;" HEP 
Pooling S/SKabeli Corridor at SoyakKarmadev Nepal-India boarderKataiyaKhimti 
SubstationKhudi NEA Substation(Lamjung)Khudi SS, ThakanbesiKhudi(Tarikuna) 
NEA Substation(Lamjung) Kirtipur NEA SubstaionKirtipur S/S LamjungKirtipur 
Substation (Lamjung"&amp;")Kulekhani-I substationLILO at AP 20 of USK TLLILO at 
Tower 6 of TL of Upper Chaku HPPLILO@Kaligandkai Butwal TLLalchowk NEA 
SubstationLamahi SubstationLamahi s/sLamane NEA SubstationLamane Tingla NEA 
Substation(Solukhumbu)Lamane substationLamane subst"&amp;"ation at TinglaLamo 
Sanghu SubstationLamosanghu SubstationLamosangu Substation Latikoyli 
Substation Lekhnath SubstationLekhnath damauli LILOLekhnath substationLoharpati 
NEA Substation (Mahottari)Madhya Marsyangdi Mainahiya substationMalta NEA 
Substati"&amp;"onMalta VDC at LalitpurMatatirtha Busbar Matatirtha Substation
Matela(Dailekh)Meghauli s/sMewa S/SMiddle Marsyandi switchyardMulpani, 
KathmanduMusikot NEA Substation, Musikot S/SNEA Amarpur S/SNEA Tumlingtar 
S/SNEA Amarpur S/SNEA Balach S/SNEA Bamti S/S"&amp;"NEA Baneshwar S/S SankhuwasabhaNEA 
Baneshwor S/SNEA Baneswor Substation NEA Baseri S/S (Dhading)NEA Baseri 
Substation NEA Bhorletar Subsation NEA Birgunj (Gandak) S/SNEA Buluchowk S/SNEA 
Burtiwang Substation NEA Chainpur S/SNEA Chandranigahapur S/SNEA "&amp;"Chandrapur 
S/SNEA Chaunata SubstationNEA Chautara S/SNEA Chilime Hub S/SNEA Dana S/SNEA 
Dhalkebar Substation(Dhanusha)NEA Dhungesanghu S/S NEA Fikkal SubstationNEA 
Gandak S/SNEA Garjyang Substation NEA Garjyang- New Khimti Tower Number APNEA 
Ghyampesa"&amp;"l S/SNEA Godak S/SNEA Inaruwa S/SNEA Jiri Khimti S/SNEA Kabeli S/S 
AmarpurNEA Khairenitar S/SNEA Kirtipur S/SNEA Kohalpur S/SNEA Lahacowk S/SNEA 
Lekhnath Substation NEA Multifuel Power Plant S/SNEA Old Nepalgunj S/SNEA 
Phidim s/sNEA Proposed BalkumariN"&amp;"EA Proposed Janaki SubstationNEA Proposed 
Ridi Substation NEA Puranagaun Switching StationNEA Rahu Piple SubstationNEA 
Ratamate,Naubise S/SNEA Samundratar S/SNEA Sedwa S/SNEA Sitalpati S/SNEA 
Tingla S/SNEA substation SingatiNEA, Lankhu S/SNEA-Dhalkebar"&amp;" s/sNaubise, 
DhadingNearest Angle Point to Chilime Trishuli Nepal India Boarder 
Mujjafarpur New Bharatpur Substation New Damauli S/S New Khimti 
Substation(Ramechap)New Khimti substation NEA, Ramechap,FulaNew Marsyandi 
Substation TanhunNew Modi S/SNew "&amp;"Modi S/S KerungaNew hemja baskotPanchkhal 
SSPanitanki SubstationPanitanki substation at ManebhanjyangParajuli Gaun 
LILO Switching S/SParwanipurPatan S/SPhidim SubstationPokhariya s/sProposed 
Rakathum s/sProposed Betan S/SProposed Bodebarsain S/SPropose"&amp;"d Dhungesanghu 
S/SProposed Dododhara S/SProposed Godak SubstationProposed Hakoi SubsationProposed 
Kalikasthan S/SProposed Khungri Substation at Khungri Proposed Koban 
SubstationProposed Maintada S/SProposed NEA Substation at MijureProposed 
NEA Balgang"&amp;"a Substation Proposed NEA Substation at Saruatha Proposed New 
Anarmani S/SProposed Pokhariya S/SProposed Salempur Substation Proposed 
Subsatation of Likhu 2 (RamechaProposed Sukhipur NEA Substation(Siraha)Proposed 
Thimi SubstationRahughat S/SRakshwalRa"&amp;"m Bazzar SubstationRamche 66 kV TLRatamate 
S/SRidhi Sidhi Cement Factory (Makwanpur)Sana Gaoun S/S DotiSardiSiddicharan 
municipalitySingati NEA SubstationSingati NEA Substation(Dolakha)Singati 
Substation Sitalpati S/SSunkoshi NEA SubstationSunsari Jhok"&amp;"rahaSwitchatar 
Substation Switchyard of Nyadi HEPSwitchyard of Upper Balephi ASwitchyard 
of Chepe Khola small FPP(LILOSwitchyard of Chhyangdi HPPSwitchyard of 
Chirkhuwa HEPSwitchyard of Dang Cement Factory Switchyard of Kulekhani 2 Switchyard 
of Likhu"&amp;" A (Solukhumbu)Switchyard of Lower Chaku HEPSwitchyard of Madhya 
Tamor HPP Switchyard of Modi Khola HEPSwitchyard of Sangu khola Hydro Power 
PrSwitchyard of Sardi HPP(4 MW)Switchyard of Super Madi HPPSwitchyard of 
Suri Khola Hydro Power ProSwitchyard o"&amp;"f United Modi HEPSwitchyard of Upper 
Madi Hydropower ProjSwitchyard of Upper Puwa 1 HEPSwitchyard of Upper 
Solukhola HEPTinglaTingla S/STirtire NEA Substation Tower No. 18 of UTKCL TLTrishuli 
3 B Hub SubstationTrishuli 3B Hub S/STrishuli 3B Hub-station"&amp;"tTrishuli 3B 
hub substation at ManakamanaTumlingtar SubstationTumlingtar 
Substation(Sankhuwasabha)Udipur Udipur Hub SubstationUdipur NEA HUBUpper 
Chaku HEP SwithyardUpper Sanigad Switchyard to Balach NEA SWakshila s/sdaana 
substationharichaurkathmandu"&amp;"nea New Khimti substationnew bharatpur 
substation NEAudipur")</f>
        <v>End Point
Filter: All NEA Dana Substation NEA Lekhnath Substation New Butwal S/S 
Switchyard of Padam Khola HPP Tirtire NEA substation220 kVSwitchyard of 
Rahughat Mangle HPPAP 57/2 of Koshi CorridorAlinagar, Binauna VDCAlong 
132/33/ kV Nautanhwa(India) S/S APAmarpur SubstationAmarpur s/sAttariya NEA 
Substation Baghmara S/S Betan Hub SurkhetBalaju S/SBalanch substation of NEABaneshwor 
Substation of NEA Baneswor SubstationBarahbisey VDC S/SBardaghatBarhabise 
NEA Substation Belgachhiya S/S of NEA, SunsariBhantabariBharatpur_bardaghat 
132kV(LILO)Bijaura Birbas NEA SubstationBudar Substation NEA, Budar BajarBurtibang 
Substation ButwalButwal/Lekhnath SSChakuChange Sub-stationChangey S/S at 
DhungesanguChaughda NEA Substation Chilime Hub SubstationChilime Hub at 
Chilime VDC, RasuwaChilime Switch yard Chuchure Hub SubstationDailekh NEA 
Substation (Dailekh)Dana SubstationDana substation Darchula SikharDebighatDhalkebar 
NEA Substation (Dhanusha)Dhalkebar NEA Substation to Nepal India Dhalkebar 
Substation Dhunge Sangu NEA Substation Dhungesangu NEA Substation Dhungesangu 
Substation Duhabi s/sExisting 66 kV TL of Indrawati-III (LILFidim SubstationGarjang 
SubstationGarjyang NEA Substation GhorahiGhorahi SubstationGodak NEA 
Substation Godak Nea Substation Godak SubstationGorkha, SubstationHaripur 
NEA Substation HarisiddiHeadwork's of Upper Myagdi 1 HEPHeadworks of Middle 
Mewa HPP siteHuaxain Cement Factory INPSIndia Nepal Boarder Sunnauli 
Substation JiriJiri-Khimti SubstationJumla Substation Kabeli B-1 HEP 
Pooling S/SKabeli Corridor at SoyakKarmadev Nepal-India boarderKataiyaKhimti 
SubstationKhudi NEA Substation(Lamjung)Khudi SS, ThakanbesiKhudi(Tarikuna) 
NEA Substation(Lamjung) Kirtipur NEA SubstaionKirtipur S/S LamjungKirtipur 
Substation (Lamjung)Kulekhani-I substationLILO at AP 20 of USK TLLILO at 
Tower 6 of TL of Upper Chaku HPPLILO@Kaligandkai Butwal TLLalchowk NEA 
SubstationLamahi SubstationLamahi s/sLamane NEA SubstationLamane Tingla NEA 
Substation(Solukhumbu)Lamane substationLamane substation at TinglaLamo 
Sanghu SubstationLamosanghu SubstationLamosangu Substation Latikoyli 
Substation Lekhnath SubstationLekhnath damauli LILOLekhnath substationLoharpati 
NEA Substation (Mahottari)Madhya Marsyangdi Mainahiya substationMalta NEA 
SubstationMalta VDC at LalitpurMatatirtha Busbar Matatirtha Substation
Matela(Dailekh)Meghauli s/sMewa S/SMiddle Marsyandi switchyardMulpani, 
KathmanduMusikot NEA Substation, Musikot S/SNEA Amarpur S/SNEA Tumlingtar 
S/SNEA Amarpur S/SNEA Balach S/SNEA Bamti S/SNEA Baneshwar S/S SankhuwasabhaNEA 
Baneshwor S/SNEA Baneswor Substation NEA Baseri S/S (Dhading)NEA Baseri 
Substation NEA Bhorletar Subsation NEA Birgunj (Gandak) S/SNEA Buluchowk S/SNEA 
Burtiwang Substation NEA Chainpur S/SNEA Chandranigahapur S/SNEA Chandrapur 
S/SNEA Chaunata SubstationNEA Chautara S/SNEA Chilime Hub S/SNEA Dana S/SNEA 
Dhalkebar Substation(Dhanusha)NEA Dhungesanghu S/S NEA Fikkal SubstationNEA 
Gandak S/SNEA Garjyang Substation NEA Garjyang- New Khimti Tower Number APNEA 
Ghyampesal S/SNEA Godak S/SNEA Inaruwa S/SNEA Jiri Khimti S/SNEA Kabeli S/S 
AmarpurNEA Khairenitar S/SNEA Kirtipur S/SNEA Kohalpur S/SNEA Lahacowk S/SNEA 
Lekhnath Substation NEA Multifuel Power Plant S/SNEA Old Nepalgunj S/SNEA 
Phidim s/sNEA Proposed BalkumariNEA Proposed Janaki SubstationNEA Proposed 
Ridi Substation NEA Puranagaun Switching StationNEA Rahu Piple SubstationNEA 
Ratamate,Naubise S/SNEA Samundratar S/SNEA Sedwa S/SNEA Sitalpati S/SNEA 
Tingla S/SNEA substation SingatiNEA, Lankhu S/SNEA-Dhalkebar s/sNaubise, 
DhadingNearest Angle Point to Chilime Trishuli Nepal India Boarder 
Mujjafarpur New Bharatpur Substation New Damauli S/S New Khimti 
Substation(Ramechap)New Khimti substation NEA, Ramechap,FulaNew Marsyandi 
Substation TanhunNew Modi S/SNew Modi S/S KerungaNew hemja baskotPanchkhal 
SSPanitanki SubstationPanitanki substation at ManebhanjyangParajuli Gaun 
LILO Switching S/SParwanipurPatan S/SPhidim SubstationPokhariya s/sProposed 
Rakathum s/sProposed Betan S/SProposed Bodebarsain S/SProposed Dhungesanghu 
S/SProposed Dododhara S/SProposed Godak SubstationProposed Hakoi SubsationProposed 
Kalikasthan S/SProposed Khungri Substation at Khungri Proposed Koban 
SubstationProposed Maintada S/SProposed NEA Substation at MijureProposed 
NEA Balganga Substation Proposed NEA Substation at Saruatha Proposed New 
Anarmani S/SProposed Pokhariya S/SProposed Salempur Substation Proposed 
Subsatation of Likhu 2 (RamechaProposed Sukhipur NEA Substation(Siraha)Proposed 
Thimi SubstationRahughat S/SRakshwalRam Bazzar SubstationRamche 66 kV TLRatamate 
S/SRidhi Sidhi Cement Factory (Makwanpur)Sana Gaoun S/S DotiSardiSiddicharan 
municipalitySingati NEA SubstationSingati NEA Substation(Dolakha)Singati 
Substation Sitalpati S/SSunkoshi NEA SubstationSunsari JhokrahaSwitchatar 
Substation Switchyard of Nyadi HEPSwitchyard of Upper Balephi ASwitchyard 
of Chepe Khola small FPP(LILOSwitchyard of Chhyangdi HPPSwitchyard of 
Chirkhuwa HEPSwitchyard of Dang Cement Factory Switchyard of Kulekhani 2 Switchyard 
of Likhu A (Solukhumbu)Switchyard of Lower Chaku HEPSwitchyard of Madhya 
Tamor HPP Switchyard of Modi Khola HEPSwitchyard of Sangu khola Hydro Power 
PrSwitchyard of Sardi HPP(4 MW)Switchyard of Super Madi HPPSwitchyard of 
Suri Khola Hydro Power ProSwitchyard of United Modi HEPSwitchyard of Upper 
Madi Hydropower ProjSwitchyard of Upper Puwa 1 HEPSwitchyard of Upper 
Solukhola HEPTinglaTingla S/STirtire NEA Substation Tower No. 18 of UTKCL TLTrishuli 
3 B Hub SubstationTrishuli 3B Hub S/STrishuli 3B Hub-stationtTrishuli 3B 
hub substation at ManakamanaTumlingtar SubstationTumlingtar 
Substation(Sankhuwasabha)Udipur Udipur Hub SubstationUdipur NEA HUBUpper 
Chaku HEP SwithyardUpper Sanigad Switchyard to Balach NEA SWakshila s/sdaana 
substationharichaurkathmandunea New Khimti substationnew bharatpur 
substation NEAudipur</v>
      </c>
      <c r="M1" s="1"/>
      <c r="N1" s="1"/>
      <c r="O1" s="1"/>
      <c r="P1" s="1"/>
      <c r="Q1" s="1"/>
      <c r="R1" s="1"/>
      <c r="S1" s="1"/>
      <c r="T1" s="1"/>
      <c r="U1" s="1"/>
      <c r="V1" s="1"/>
      <c r="W1" s="1"/>
      <c r="X1" s="1"/>
      <c r="Y1" s="1"/>
      <c r="Z1" s="1"/>
    </row>
    <row r="2">
      <c r="A2" s="2">
        <f>IFERROR(__xludf.DUMMYFUNCTION("""COMPUTED_VALUE"""),1.0)</f>
        <v>1</v>
      </c>
      <c r="B2" s="2" t="str">
        <f>IFERROR(__xludf.DUMMYFUNCTION("""COMPUTED_VALUE"""),"Electricity Production, Transmission and Distribution")</f>
        <v>Electricity Production, Transmission and Distribution</v>
      </c>
      <c r="C2" s="2">
        <f>IFERROR(__xludf.DUMMYFUNCTION("""COMPUTED_VALUE"""),132.0)</f>
        <v>132</v>
      </c>
      <c r="D2" s="2"/>
      <c r="E2" s="2"/>
      <c r="F2" s="2">
        <f>IFERROR(__xludf.DUMMYFUNCTION("""COMPUTED_VALUE"""),1.0)</f>
        <v>1</v>
      </c>
      <c r="G2" s="3">
        <f>IFERROR(__xludf.DUMMYFUNCTION("""COMPUTED_VALUE"""),55577.0)</f>
        <v>55577</v>
      </c>
      <c r="H2" s="3">
        <f>IFERROR(__xludf.DUMMYFUNCTION("""COMPUTED_VALUE"""),73749.0)</f>
        <v>73749</v>
      </c>
      <c r="I2" s="2" t="str">
        <f>IFERROR(__xludf.DUMMYFUNCTION("""COMPUTED_VALUE"""),"Nepal Electricity Authority")</f>
        <v>Nepal Electricity Authority</v>
      </c>
      <c r="J2" s="2" t="str">
        <f>IFERROR(__xludf.DUMMYFUNCTION("""COMPUTED_VALUE"""),"Kathmandu")</f>
        <v>Kathmandu</v>
      </c>
      <c r="K2" s="2" t="str">
        <f>IFERROR(__xludf.DUMMYFUNCTION("""COMPUTED_VALUE"""),"Integrated power supply of Nepal")</f>
        <v>Integrated power supply of Nepal</v>
      </c>
      <c r="L2" s="2" t="str">
        <f>IFERROR(__xludf.DUMMYFUNCTION("""COMPUTED_VALUE"""),"INPS")</f>
        <v>INPS</v>
      </c>
    </row>
    <row r="3">
      <c r="A3" s="2">
        <f>IFERROR(__xludf.DUMMYFUNCTION("""COMPUTED_VALUE"""),2.0)</f>
        <v>2</v>
      </c>
      <c r="B3" s="2" t="str">
        <f>IFERROR(__xludf.DUMMYFUNCTION("""COMPUTED_VALUE"""),"Duhabi Bhantabari")</f>
        <v>Duhabi Bhantabari</v>
      </c>
      <c r="C3" s="2">
        <f>IFERROR(__xludf.DUMMYFUNCTION("""COMPUTED_VALUE"""),132.0)</f>
        <v>132</v>
      </c>
      <c r="D3" s="2"/>
      <c r="E3" s="2"/>
      <c r="F3" s="2">
        <f>IFERROR(__xludf.DUMMYFUNCTION("""COMPUTED_VALUE"""),2.0)</f>
        <v>2</v>
      </c>
      <c r="G3" s="3">
        <f>IFERROR(__xludf.DUMMYFUNCTION("""COMPUTED_VALUE"""),55625.0)</f>
        <v>55625</v>
      </c>
      <c r="H3" s="3">
        <f>IFERROR(__xludf.DUMMYFUNCTION("""COMPUTED_VALUE"""),73749.0)</f>
        <v>73749</v>
      </c>
      <c r="I3" s="2" t="str">
        <f>IFERROR(__xludf.DUMMYFUNCTION("""COMPUTED_VALUE"""),"Nepal Electricity Authority")</f>
        <v>Nepal Electricity Authority</v>
      </c>
      <c r="J3" s="2" t="str">
        <f>IFERROR(__xludf.DUMMYFUNCTION("""COMPUTED_VALUE"""),"Kathmandu")</f>
        <v>Kathmandu</v>
      </c>
      <c r="K3" s="2" t="str">
        <f>IFERROR(__xludf.DUMMYFUNCTION("""COMPUTED_VALUE"""),"Duhabi")</f>
        <v>Duhabi</v>
      </c>
      <c r="L3" s="2" t="str">
        <f>IFERROR(__xludf.DUMMYFUNCTION("""COMPUTED_VALUE"""),"Bhantabari")</f>
        <v>Bhantabari</v>
      </c>
    </row>
    <row r="4">
      <c r="A4" s="2">
        <f>IFERROR(__xludf.DUMMYFUNCTION("""COMPUTED_VALUE"""),3.0)</f>
        <v>3</v>
      </c>
      <c r="B4" s="2" t="str">
        <f>IFERROR(__xludf.DUMMYFUNCTION("""COMPUTED_VALUE"""),"Kali Gandaki A Transmission Project")</f>
        <v>Kali Gandaki A Transmission Project</v>
      </c>
      <c r="C4" s="2">
        <f>IFERROR(__xludf.DUMMYFUNCTION("""COMPUTED_VALUE"""),132.0)</f>
        <v>132</v>
      </c>
      <c r="D4" s="2"/>
      <c r="E4" s="2"/>
      <c r="F4" s="2">
        <f>IFERROR(__xludf.DUMMYFUNCTION("""COMPUTED_VALUE"""),3.0)</f>
        <v>3</v>
      </c>
      <c r="G4" s="3">
        <f>IFERROR(__xludf.DUMMYFUNCTION("""COMPUTED_VALUE"""),56086.0)</f>
        <v>56086</v>
      </c>
      <c r="H4" s="3">
        <f>IFERROR(__xludf.DUMMYFUNCTION("""COMPUTED_VALUE"""),73749.0)</f>
        <v>73749</v>
      </c>
      <c r="I4" s="2" t="str">
        <f>IFERROR(__xludf.DUMMYFUNCTION("""COMPUTED_VALUE"""),"Nepal Electricity Authority")</f>
        <v>Nepal Electricity Authority</v>
      </c>
      <c r="J4" s="2" t="str">
        <f>IFERROR(__xludf.DUMMYFUNCTION("""COMPUTED_VALUE"""),"Kathmandu")</f>
        <v>Kathmandu</v>
      </c>
      <c r="K4" s="2" t="str">
        <f>IFERROR(__xludf.DUMMYFUNCTION("""COMPUTED_VALUE"""),"Kali Gandaki A PH")</f>
        <v>Kali Gandaki A PH</v>
      </c>
      <c r="L4" s="2" t="str">
        <f>IFERROR(__xludf.DUMMYFUNCTION("""COMPUTED_VALUE"""),"Butwal/Lekhnath SS")</f>
        <v>Butwal/Lekhnath SS</v>
      </c>
    </row>
    <row r="5">
      <c r="A5" s="2">
        <f>IFERROR(__xludf.DUMMYFUNCTION("""COMPUTED_VALUE"""),4.0)</f>
        <v>4</v>
      </c>
      <c r="B5" s="2" t="str">
        <f>IFERROR(__xludf.DUMMYFUNCTION("""COMPUTED_VALUE"""),"Upper Bhotekoshi")</f>
        <v>Upper Bhotekoshi</v>
      </c>
      <c r="C5" s="2">
        <f>IFERROR(__xludf.DUMMYFUNCTION("""COMPUTED_VALUE"""),132.0)</f>
        <v>132</v>
      </c>
      <c r="D5" s="2"/>
      <c r="E5" s="2"/>
      <c r="F5" s="2">
        <f>IFERROR(__xludf.DUMMYFUNCTION("""COMPUTED_VALUE"""),4.0)</f>
        <v>4</v>
      </c>
      <c r="G5" s="3">
        <f>IFERROR(__xludf.DUMMYFUNCTION("""COMPUTED_VALUE"""),56109.0)</f>
        <v>56109</v>
      </c>
      <c r="H5" s="3">
        <f>IFERROR(__xludf.DUMMYFUNCTION("""COMPUTED_VALUE"""),70705.0)</f>
        <v>70705</v>
      </c>
      <c r="I5" s="2" t="str">
        <f>IFERROR(__xludf.DUMMYFUNCTION("""COMPUTED_VALUE"""),"Bhotekoshi Power Company")</f>
        <v>Bhotekoshi Power Company</v>
      </c>
      <c r="J5" s="2"/>
      <c r="K5" s="2"/>
      <c r="L5" s="2"/>
    </row>
    <row r="6">
      <c r="A6" s="2">
        <f>IFERROR(__xludf.DUMMYFUNCTION("""COMPUTED_VALUE"""),5.0)</f>
        <v>5</v>
      </c>
      <c r="B6" s="2" t="str">
        <f>IFERROR(__xludf.DUMMYFUNCTION("""COMPUTED_VALUE"""),"Khimti - Sunkoshi-Bhaktapur-Chapali-Balaju")</f>
        <v>Khimti - Sunkoshi-Bhaktapur-Chapali-Balaju</v>
      </c>
      <c r="C6" s="2">
        <f>IFERROR(__xludf.DUMMYFUNCTION("""COMPUTED_VALUE"""),132.0)</f>
        <v>132</v>
      </c>
      <c r="D6" s="2">
        <f>IFERROR(__xludf.DUMMYFUNCTION("""COMPUTED_VALUE"""),105.0)</f>
        <v>105</v>
      </c>
      <c r="E6" s="2">
        <f>IFERROR(__xludf.DUMMYFUNCTION("""COMPUTED_VALUE"""),440.0)</f>
        <v>440</v>
      </c>
      <c r="F6" s="2">
        <f>IFERROR(__xludf.DUMMYFUNCTION("""COMPUTED_VALUE"""),5.0)</f>
        <v>5</v>
      </c>
      <c r="G6" s="3">
        <f>IFERROR(__xludf.DUMMYFUNCTION("""COMPUTED_VALUE"""),56159.0)</f>
        <v>56159</v>
      </c>
      <c r="H6" s="3">
        <f>IFERROR(__xludf.DUMMYFUNCTION("""COMPUTED_VALUE"""),73749.0)</f>
        <v>73749</v>
      </c>
      <c r="I6" s="2" t="str">
        <f>IFERROR(__xludf.DUMMYFUNCTION("""COMPUTED_VALUE"""),"Nepal Electricity Authority")</f>
        <v>Nepal Electricity Authority</v>
      </c>
      <c r="J6" s="2" t="str">
        <f>IFERROR(__xludf.DUMMYFUNCTION("""COMPUTED_VALUE"""),"Kathmandu")</f>
        <v>Kathmandu</v>
      </c>
      <c r="K6" s="2" t="str">
        <f>IFERROR(__xludf.DUMMYFUNCTION("""COMPUTED_VALUE"""),"Khimti S/S")</f>
        <v>Khimti S/S</v>
      </c>
      <c r="L6" s="2" t="str">
        <f>IFERROR(__xludf.DUMMYFUNCTION("""COMPUTED_VALUE"""),"Balaju S/S")</f>
        <v>Balaju S/S</v>
      </c>
    </row>
    <row r="7">
      <c r="A7" s="2">
        <f>IFERROR(__xludf.DUMMYFUNCTION("""COMPUTED_VALUE"""),6.0)</f>
        <v>6</v>
      </c>
      <c r="B7" s="2" t="str">
        <f>IFERROR(__xludf.DUMMYFUNCTION("""COMPUTED_VALUE"""),"Chilime-Debighat")</f>
        <v>Chilime-Debighat</v>
      </c>
      <c r="C7" s="2">
        <f>IFERROR(__xludf.DUMMYFUNCTION("""COMPUTED_VALUE"""),66.0)</f>
        <v>66</v>
      </c>
      <c r="D7" s="2"/>
      <c r="E7" s="2"/>
      <c r="F7" s="2">
        <f>IFERROR(__xludf.DUMMYFUNCTION("""COMPUTED_VALUE"""),6.0)</f>
        <v>6</v>
      </c>
      <c r="G7" s="3">
        <f>IFERROR(__xludf.DUMMYFUNCTION("""COMPUTED_VALUE"""),56507.0)</f>
        <v>56507</v>
      </c>
      <c r="H7" s="3">
        <f>IFERROR(__xludf.DUMMYFUNCTION("""COMPUTED_VALUE"""),74601.0)</f>
        <v>74601</v>
      </c>
      <c r="I7" s="2" t="str">
        <f>IFERROR(__xludf.DUMMYFUNCTION("""COMPUTED_VALUE"""),"Nepal Electricity Authority")</f>
        <v>Nepal Electricity Authority</v>
      </c>
      <c r="J7" s="2" t="str">
        <f>IFERROR(__xludf.DUMMYFUNCTION("""COMPUTED_VALUE"""),"Kathmandu")</f>
        <v>Kathmandu</v>
      </c>
      <c r="K7" s="2" t="str">
        <f>IFERROR(__xludf.DUMMYFUNCTION("""COMPUTED_VALUE"""),"Chilime PH")</f>
        <v>Chilime PH</v>
      </c>
      <c r="L7" s="2" t="str">
        <f>IFERROR(__xludf.DUMMYFUNCTION("""COMPUTED_VALUE"""),"Debighat")</f>
        <v>Debighat</v>
      </c>
    </row>
    <row r="8">
      <c r="A8" s="2">
        <f>IFERROR(__xludf.DUMMYFUNCTION("""COMPUTED_VALUE"""),7.0)</f>
        <v>7</v>
      </c>
      <c r="B8" s="2" t="str">
        <f>IFERROR(__xludf.DUMMYFUNCTION("""COMPUTED_VALUE"""),"Kushaha-Dhalkbar (Double Circuit)")</f>
        <v>Kushaha-Dhalkbar (Double Circuit)</v>
      </c>
      <c r="C8" s="2">
        <f>IFERROR(__xludf.DUMMYFUNCTION("""COMPUTED_VALUE"""),132.0)</f>
        <v>132</v>
      </c>
      <c r="D8" s="2"/>
      <c r="E8" s="2"/>
      <c r="F8" s="2">
        <f>IFERROR(__xludf.DUMMYFUNCTION("""COMPUTED_VALUE"""),7.0)</f>
        <v>7</v>
      </c>
      <c r="G8" s="3">
        <f>IFERROR(__xludf.DUMMYFUNCTION("""COMPUTED_VALUE"""),56559.0)</f>
        <v>56559</v>
      </c>
      <c r="H8" s="3">
        <f>IFERROR(__xludf.DUMMYFUNCTION("""COMPUTED_VALUE"""),73749.0)</f>
        <v>73749</v>
      </c>
      <c r="I8" s="2" t="str">
        <f>IFERROR(__xludf.DUMMYFUNCTION("""COMPUTED_VALUE"""),"Nepal Electricity Authority")</f>
        <v>Nepal Electricity Authority</v>
      </c>
      <c r="J8" s="2" t="str">
        <f>IFERROR(__xludf.DUMMYFUNCTION("""COMPUTED_VALUE"""),"Kathmandu")</f>
        <v>Kathmandu</v>
      </c>
      <c r="K8" s="2"/>
      <c r="L8" s="2"/>
    </row>
    <row r="9">
      <c r="A9" s="2">
        <f>IFERROR(__xludf.DUMMYFUNCTION("""COMPUTED_VALUE"""),8.0)</f>
        <v>8</v>
      </c>
      <c r="B9" s="2" t="str">
        <f>IFERROR(__xludf.DUMMYFUNCTION("""COMPUTED_VALUE"""),"Hetauda-Dhalkbar Butwal-Bardghat(Double Circuit)")</f>
        <v>Hetauda-Dhalkbar Butwal-Bardghat(Double Circuit)</v>
      </c>
      <c r="C9" s="2">
        <f>IFERROR(__xludf.DUMMYFUNCTION("""COMPUTED_VALUE"""),132.0)</f>
        <v>132</v>
      </c>
      <c r="D9" s="2">
        <f>IFERROR(__xludf.DUMMYFUNCTION("""COMPUTED_VALUE"""),181.0)</f>
        <v>181</v>
      </c>
      <c r="E9" s="2">
        <f>IFERROR(__xludf.DUMMYFUNCTION("""COMPUTED_VALUE"""),55.0)</f>
        <v>55</v>
      </c>
      <c r="F9" s="2">
        <f>IFERROR(__xludf.DUMMYFUNCTION("""COMPUTED_VALUE"""),8.0)</f>
        <v>8</v>
      </c>
      <c r="G9" s="3">
        <f>IFERROR(__xludf.DUMMYFUNCTION("""COMPUTED_VALUE"""),56837.0)</f>
        <v>56837</v>
      </c>
      <c r="H9" s="3">
        <f>IFERROR(__xludf.DUMMYFUNCTION("""COMPUTED_VALUE"""),73749.0)</f>
        <v>73749</v>
      </c>
      <c r="I9" s="2" t="str">
        <f>IFERROR(__xludf.DUMMYFUNCTION("""COMPUTED_VALUE"""),"Nepal Electricity Authority")</f>
        <v>Nepal Electricity Authority</v>
      </c>
      <c r="J9" s="2" t="str">
        <f>IFERROR(__xludf.DUMMYFUNCTION("""COMPUTED_VALUE"""),"Kathmandu")</f>
        <v>Kathmandu</v>
      </c>
      <c r="K9" s="2" t="str">
        <f>IFERROR(__xludf.DUMMYFUNCTION("""COMPUTED_VALUE"""),"Hetauda")</f>
        <v>Hetauda</v>
      </c>
      <c r="L9" s="2" t="str">
        <f>IFERROR(__xludf.DUMMYFUNCTION("""COMPUTED_VALUE"""),"Bardaghat")</f>
        <v>Bardaghat</v>
      </c>
    </row>
    <row r="10">
      <c r="A10" s="2">
        <f>IFERROR(__xludf.DUMMYFUNCTION("""COMPUTED_VALUE"""),9.0)</f>
        <v>9</v>
      </c>
      <c r="B10" s="2" t="str">
        <f>IFERROR(__xludf.DUMMYFUNCTION("""COMPUTED_VALUE"""),"Modi - Pokhara")</f>
        <v>Modi - Pokhara</v>
      </c>
      <c r="C10" s="2">
        <f>IFERROR(__xludf.DUMMYFUNCTION("""COMPUTED_VALUE"""),132.0)</f>
        <v>132</v>
      </c>
      <c r="D10" s="2"/>
      <c r="E10" s="2"/>
      <c r="F10" s="2">
        <f>IFERROR(__xludf.DUMMYFUNCTION("""COMPUTED_VALUE"""),9.0)</f>
        <v>9</v>
      </c>
      <c r="G10" s="3">
        <f>IFERROR(__xludf.DUMMYFUNCTION("""COMPUTED_VALUE"""),56887.0)</f>
        <v>56887</v>
      </c>
      <c r="H10" s="3">
        <f>IFERROR(__xludf.DUMMYFUNCTION("""COMPUTED_VALUE"""),73749.0)</f>
        <v>73749</v>
      </c>
      <c r="I10" s="2" t="str">
        <f>IFERROR(__xludf.DUMMYFUNCTION("""COMPUTED_VALUE"""),"Nepal Electricity Authority")</f>
        <v>Nepal Electricity Authority</v>
      </c>
      <c r="J10" s="2" t="str">
        <f>IFERROR(__xludf.DUMMYFUNCTION("""COMPUTED_VALUE"""),"Kathmandu")</f>
        <v>Kathmandu</v>
      </c>
      <c r="K10" s="2"/>
      <c r="L10" s="2"/>
    </row>
    <row r="11">
      <c r="A11" s="2">
        <f>IFERROR(__xludf.DUMMYFUNCTION("""COMPUTED_VALUE"""),10.0)</f>
        <v>10</v>
      </c>
      <c r="B11" s="2" t="str">
        <f>IFERROR(__xludf.DUMMYFUNCTION("""COMPUTED_VALUE"""),"Lalpur - Gadachauki")</f>
        <v>Lalpur - Gadachauki</v>
      </c>
      <c r="C11" s="2">
        <f>IFERROR(__xludf.DUMMYFUNCTION("""COMPUTED_VALUE"""),132.0)</f>
        <v>132</v>
      </c>
      <c r="D11" s="2"/>
      <c r="E11" s="2"/>
      <c r="F11" s="2">
        <f>IFERROR(__xludf.DUMMYFUNCTION("""COMPUTED_VALUE"""),10.0)</f>
        <v>10</v>
      </c>
      <c r="G11" s="3">
        <f>IFERROR(__xludf.DUMMYFUNCTION("""COMPUTED_VALUE"""),56963.0)</f>
        <v>56963</v>
      </c>
      <c r="H11" s="3">
        <f>IFERROR(__xludf.DUMMYFUNCTION("""COMPUTED_VALUE"""),73749.0)</f>
        <v>73749</v>
      </c>
      <c r="I11" s="2" t="str">
        <f>IFERROR(__xludf.DUMMYFUNCTION("""COMPUTED_VALUE"""),"Nepal Electricity Authority")</f>
        <v>Nepal Electricity Authority</v>
      </c>
      <c r="J11" s="2" t="str">
        <f>IFERROR(__xludf.DUMMYFUNCTION("""COMPUTED_VALUE"""),"Kathmandu")</f>
        <v>Kathmandu</v>
      </c>
      <c r="K11" s="2"/>
      <c r="L11" s="2"/>
    </row>
    <row r="12">
      <c r="A12" s="2">
        <f>IFERROR(__xludf.DUMMYFUNCTION("""COMPUTED_VALUE"""),11.0)</f>
        <v>11</v>
      </c>
      <c r="B12" s="2" t="str">
        <f>IFERROR(__xludf.DUMMYFUNCTION("""COMPUTED_VALUE"""),"Indrawati - Panchkhal")</f>
        <v>Indrawati - Panchkhal</v>
      </c>
      <c r="C12" s="2">
        <f>IFERROR(__xludf.DUMMYFUNCTION("""COMPUTED_VALUE"""),132.0)</f>
        <v>132</v>
      </c>
      <c r="D12" s="2"/>
      <c r="E12" s="2"/>
      <c r="F12" s="2">
        <f>IFERROR(__xludf.DUMMYFUNCTION("""COMPUTED_VALUE"""),11.0)</f>
        <v>11</v>
      </c>
      <c r="G12" s="3">
        <f>IFERROR(__xludf.DUMMYFUNCTION("""COMPUTED_VALUE"""),57523.0)</f>
        <v>57523</v>
      </c>
      <c r="H12" s="3">
        <f>IFERROR(__xludf.DUMMYFUNCTION("""COMPUTED_VALUE"""),74783.0)</f>
        <v>74783</v>
      </c>
      <c r="I12" s="2" t="str">
        <f>IFERROR(__xludf.DUMMYFUNCTION("""COMPUTED_VALUE"""),"National Hydropower Co Pvt Ltd")</f>
        <v>National Hydropower Co Pvt Ltd</v>
      </c>
      <c r="J12" s="2" t="str">
        <f>IFERROR(__xludf.DUMMYFUNCTION("""COMPUTED_VALUE"""),"Kathmandu")</f>
        <v>Kathmandu</v>
      </c>
      <c r="K12" s="2" t="str">
        <f>IFERROR(__xludf.DUMMYFUNCTION("""COMPUTED_VALUE"""),"Indrawati III")</f>
        <v>Indrawati III</v>
      </c>
      <c r="L12" s="2" t="str">
        <f>IFERROR(__xludf.DUMMYFUNCTION("""COMPUTED_VALUE"""),"Panchkhal SS")</f>
        <v>Panchkhal SS</v>
      </c>
    </row>
    <row r="13">
      <c r="A13" s="2">
        <f>IFERROR(__xludf.DUMMYFUNCTION("""COMPUTED_VALUE"""),12.0)</f>
        <v>12</v>
      </c>
      <c r="B13" s="2" t="str">
        <f>IFERROR(__xludf.DUMMYFUNCTION("""COMPUTED_VALUE"""),"Middle Marsyangdi")</f>
        <v>Middle Marsyangdi</v>
      </c>
      <c r="C13" s="2">
        <f>IFERROR(__xludf.DUMMYFUNCTION("""COMPUTED_VALUE"""),132.0)</f>
        <v>132</v>
      </c>
      <c r="D13" s="2"/>
      <c r="E13" s="2"/>
      <c r="F13" s="2">
        <f>IFERROR(__xludf.DUMMYFUNCTION("""COMPUTED_VALUE"""),13.0)</f>
        <v>13</v>
      </c>
      <c r="G13" s="3">
        <f>IFERROR(__xludf.DUMMYFUNCTION("""COMPUTED_VALUE"""),58194.0)</f>
        <v>58194</v>
      </c>
      <c r="H13" s="3">
        <f>IFERROR(__xludf.DUMMYFUNCTION("""COMPUTED_VALUE"""),76427.0)</f>
        <v>76427</v>
      </c>
      <c r="I13" s="2" t="str">
        <f>IFERROR(__xludf.DUMMYFUNCTION("""COMPUTED_VALUE"""),"Nepal Electricity Authority")</f>
        <v>Nepal Electricity Authority</v>
      </c>
      <c r="J13" s="2" t="str">
        <f>IFERROR(__xludf.DUMMYFUNCTION("""COMPUTED_VALUE"""),"Kathmandu")</f>
        <v>Kathmandu</v>
      </c>
      <c r="K13" s="2"/>
      <c r="L13" s="2"/>
    </row>
    <row r="14">
      <c r="A14" s="2">
        <f>IFERROR(__xludf.DUMMYFUNCTION("""COMPUTED_VALUE"""),13.0)</f>
        <v>13</v>
      </c>
      <c r="B14" s="2" t="str">
        <f>IFERROR(__xludf.DUMMYFUNCTION("""COMPUTED_VALUE"""),"Sunkoshi Small")</f>
        <v>Sunkoshi Small</v>
      </c>
      <c r="C14" s="2">
        <f>IFERROR(__xludf.DUMMYFUNCTION("""COMPUTED_VALUE"""),11.0)</f>
        <v>11</v>
      </c>
      <c r="D14" s="2"/>
      <c r="E14" s="2"/>
      <c r="F14" s="2">
        <f>IFERROR(__xludf.DUMMYFUNCTION("""COMPUTED_VALUE"""),14.0)</f>
        <v>14</v>
      </c>
      <c r="G14" s="3">
        <f>IFERROR(__xludf.DUMMYFUNCTION("""COMPUTED_VALUE"""),58445.0)</f>
        <v>58445</v>
      </c>
      <c r="H14" s="3">
        <f>IFERROR(__xludf.DUMMYFUNCTION("""COMPUTED_VALUE"""),70949.0)</f>
        <v>70949</v>
      </c>
      <c r="I14" s="2" t="str">
        <f>IFERROR(__xludf.DUMMYFUNCTION("""COMPUTED_VALUE"""),"Sanima Hydropower Pvt Ltd")</f>
        <v>Sanima Hydropower Pvt Ltd</v>
      </c>
      <c r="J14" s="2" t="str">
        <f>IFERROR(__xludf.DUMMYFUNCTION("""COMPUTED_VALUE"""),"Naksal, Kathmandu, P.O.Box 19739, Phone 014415314,4446442, Fax 01-4441277")</f>
        <v>Naksal, Kathmandu, P.O.Box 19739, Phone 014415314,4446442, Fax 01-4441277</v>
      </c>
      <c r="K14" s="2"/>
      <c r="L14" s="2"/>
    </row>
    <row r="15">
      <c r="A15" s="2">
        <f>IFERROR(__xludf.DUMMYFUNCTION("""COMPUTED_VALUE"""),14.0)</f>
        <v>14</v>
      </c>
      <c r="B15" s="2" t="str">
        <f>IFERROR(__xludf.DUMMYFUNCTION("""COMPUTED_VALUE"""),"Birgunj Corridor Reinforcement Project")</f>
        <v>Birgunj Corridor Reinforcement Project</v>
      </c>
      <c r="C15" s="2">
        <f>IFERROR(__xludf.DUMMYFUNCTION("""COMPUTED_VALUE"""),132.0)</f>
        <v>132</v>
      </c>
      <c r="D15" s="2">
        <f>IFERROR(__xludf.DUMMYFUNCTION("""COMPUTED_VALUE"""),17.0)</f>
        <v>17</v>
      </c>
      <c r="E15" s="2">
        <f>IFERROR(__xludf.DUMMYFUNCTION("""COMPUTED_VALUE"""),50.0)</f>
        <v>50</v>
      </c>
      <c r="F15" s="2">
        <f>IFERROR(__xludf.DUMMYFUNCTION("""COMPUTED_VALUE"""),15.0)</f>
        <v>15</v>
      </c>
      <c r="G15" s="3">
        <f>IFERROR(__xludf.DUMMYFUNCTION("""COMPUTED_VALUE"""),58587.0)</f>
        <v>58587</v>
      </c>
      <c r="H15" s="3">
        <f>IFERROR(__xludf.DUMMYFUNCTION("""COMPUTED_VALUE"""),67717.0)</f>
        <v>67717</v>
      </c>
      <c r="I15" s="2" t="str">
        <f>IFERROR(__xludf.DUMMYFUNCTION("""COMPUTED_VALUE"""),"Nepal Electricity Authority")</f>
        <v>Nepal Electricity Authority</v>
      </c>
      <c r="J15" s="2" t="str">
        <f>IFERROR(__xludf.DUMMYFUNCTION("""COMPUTED_VALUE"""),"Kathmandu")</f>
        <v>Kathmandu</v>
      </c>
      <c r="K15" s="2" t="str">
        <f>IFERROR(__xludf.DUMMYFUNCTION("""COMPUTED_VALUE"""),"Pathlaiya")</f>
        <v>Pathlaiya</v>
      </c>
      <c r="L15" s="2" t="str">
        <f>IFERROR(__xludf.DUMMYFUNCTION("""COMPUTED_VALUE"""),"Parwanipur")</f>
        <v>Parwanipur</v>
      </c>
    </row>
    <row r="16">
      <c r="A16" s="2">
        <f>IFERROR(__xludf.DUMMYFUNCTION("""COMPUTED_VALUE"""),15.0)</f>
        <v>15</v>
      </c>
      <c r="B16" s="2" t="str">
        <f>IFERROR(__xludf.DUMMYFUNCTION("""COMPUTED_VALUE"""),"K-3 Transmission Line Project")</f>
        <v>K-3 Transmission Line Project</v>
      </c>
      <c r="C16" s="2">
        <f>IFERROR(__xludf.DUMMYFUNCTION("""COMPUTED_VALUE"""),66.0)</f>
        <v>66</v>
      </c>
      <c r="D16" s="2"/>
      <c r="E16" s="2"/>
      <c r="F16" s="2">
        <f>IFERROR(__xludf.DUMMYFUNCTION("""COMPUTED_VALUE"""),16.0)</f>
        <v>16</v>
      </c>
      <c r="G16" s="3">
        <f>IFERROR(__xludf.DUMMYFUNCTION("""COMPUTED_VALUE"""),58934.0)</f>
        <v>58934</v>
      </c>
      <c r="H16" s="3">
        <f>IFERROR(__xludf.DUMMYFUNCTION("""COMPUTED_VALUE"""),68064.0)</f>
        <v>68064</v>
      </c>
      <c r="I16" s="2" t="str">
        <f>IFERROR(__xludf.DUMMYFUNCTION("""COMPUTED_VALUE"""),"Nepal Electricity Authority")</f>
        <v>Nepal Electricity Authority</v>
      </c>
      <c r="J16" s="2" t="str">
        <f>IFERROR(__xludf.DUMMYFUNCTION("""COMPUTED_VALUE"""),"Kathmandu")</f>
        <v>Kathmandu</v>
      </c>
      <c r="K16" s="2"/>
      <c r="L16" s="2"/>
    </row>
    <row r="17">
      <c r="A17" s="2">
        <f>IFERROR(__xludf.DUMMYFUNCTION("""COMPUTED_VALUE"""),16.0)</f>
        <v>16</v>
      </c>
      <c r="B17" s="2" t="str">
        <f>IFERROR(__xludf.DUMMYFUNCTION("""COMPUTED_VALUE"""),"Thankot-Chapagaun-Bhaktapur Transmission")</f>
        <v>Thankot-Chapagaun-Bhaktapur Transmission</v>
      </c>
      <c r="C17" s="2">
        <f>IFERROR(__xludf.DUMMYFUNCTION("""COMPUTED_VALUE"""),132.0)</f>
        <v>132</v>
      </c>
      <c r="D17" s="2">
        <f>IFERROR(__xludf.DUMMYFUNCTION("""COMPUTED_VALUE"""),27.0)</f>
        <v>27</v>
      </c>
      <c r="E17" s="2">
        <f>IFERROR(__xludf.DUMMYFUNCTION("""COMPUTED_VALUE"""),50.0)</f>
        <v>50</v>
      </c>
      <c r="F17" s="2">
        <f>IFERROR(__xludf.DUMMYFUNCTION("""COMPUTED_VALUE"""),17.0)</f>
        <v>17</v>
      </c>
      <c r="G17" s="3">
        <f>IFERROR(__xludf.DUMMYFUNCTION("""COMPUTED_VALUE"""),59035.0)</f>
        <v>59035</v>
      </c>
      <c r="H17" s="3">
        <f>IFERROR(__xludf.DUMMYFUNCTION("""COMPUTED_VALUE"""),68165.0)</f>
        <v>68165</v>
      </c>
      <c r="I17" s="2" t="str">
        <f>IFERROR(__xludf.DUMMYFUNCTION("""COMPUTED_VALUE"""),"Nepal Electricity Authority")</f>
        <v>Nepal Electricity Authority</v>
      </c>
      <c r="J17" s="2" t="str">
        <f>IFERROR(__xludf.DUMMYFUNCTION("""COMPUTED_VALUE"""),"Kathmandu")</f>
        <v>Kathmandu</v>
      </c>
      <c r="K17" s="2" t="str">
        <f>IFERROR(__xludf.DUMMYFUNCTION("""COMPUTED_VALUE"""),"Matatirth")</f>
        <v>Matatirth</v>
      </c>
      <c r="L17" s="2" t="str">
        <f>IFERROR(__xludf.DUMMYFUNCTION("""COMPUTED_VALUE"""),"Harisiddi")</f>
        <v>Harisiddi</v>
      </c>
    </row>
    <row r="18">
      <c r="A18" s="2">
        <f>IFERROR(__xludf.DUMMYFUNCTION("""COMPUTED_VALUE"""),17.0)</f>
        <v>17</v>
      </c>
      <c r="B18" s="2" t="str">
        <f>IFERROR(__xludf.DUMMYFUNCTION("""COMPUTED_VALUE"""),"Butwal-Sunauli Transmission")</f>
        <v>Butwal-Sunauli Transmission</v>
      </c>
      <c r="C18" s="2">
        <f>IFERROR(__xludf.DUMMYFUNCTION("""COMPUTED_VALUE"""),132.0)</f>
        <v>132</v>
      </c>
      <c r="D18" s="2">
        <f>IFERROR(__xludf.DUMMYFUNCTION("""COMPUTED_VALUE"""),22.0)</f>
        <v>22</v>
      </c>
      <c r="E18" s="2">
        <f>IFERROR(__xludf.DUMMYFUNCTION("""COMPUTED_VALUE"""),150.0)</f>
        <v>150</v>
      </c>
      <c r="F18" s="2">
        <f>IFERROR(__xludf.DUMMYFUNCTION("""COMPUTED_VALUE"""),18.0)</f>
        <v>18</v>
      </c>
      <c r="G18" s="3">
        <f>IFERROR(__xludf.DUMMYFUNCTION("""COMPUTED_VALUE"""),59249.0)</f>
        <v>59249</v>
      </c>
      <c r="H18" s="3">
        <f>IFERROR(__xludf.DUMMYFUNCTION("""COMPUTED_VALUE"""),77510.0)</f>
        <v>77510</v>
      </c>
      <c r="I18" s="2" t="str">
        <f>IFERROR(__xludf.DUMMYFUNCTION("""COMPUTED_VALUE"""),"Nepal Electricity Authority")</f>
        <v>Nepal Electricity Authority</v>
      </c>
      <c r="J18" s="2" t="str">
        <f>IFERROR(__xludf.DUMMYFUNCTION("""COMPUTED_VALUE"""),"Kathmandu")</f>
        <v>Kathmandu</v>
      </c>
      <c r="K18" s="2" t="str">
        <f>IFERROR(__xludf.DUMMYFUNCTION("""COMPUTED_VALUE"""),"Jogikuti NEA Substation")</f>
        <v>Jogikuti NEA Substation</v>
      </c>
      <c r="L18" s="2" t="str">
        <f>IFERROR(__xludf.DUMMYFUNCTION("""COMPUTED_VALUE"""),"India Nepal Boarder Sunnauli Substation")</f>
        <v>India Nepal Boarder Sunnauli Substation</v>
      </c>
    </row>
    <row r="19">
      <c r="A19" s="2">
        <f>IFERROR(__xludf.DUMMYFUNCTION("""COMPUTED_VALUE"""),18.0)</f>
        <v>18</v>
      </c>
      <c r="B19" s="2" t="str">
        <f>IFERROR(__xludf.DUMMYFUNCTION("""COMPUTED_VALUE"""),"Duhabi - Tankisinuwari Transmission")</f>
        <v>Duhabi - Tankisinuwari Transmission</v>
      </c>
      <c r="C19" s="2">
        <f>IFERROR(__xludf.DUMMYFUNCTION("""COMPUTED_VALUE"""),33.0)</f>
        <v>33</v>
      </c>
      <c r="D19" s="2"/>
      <c r="E19" s="2"/>
      <c r="F19" s="2">
        <f>IFERROR(__xludf.DUMMYFUNCTION("""COMPUTED_VALUE"""),19.0)</f>
        <v>19</v>
      </c>
      <c r="G19" s="3">
        <f>IFERROR(__xludf.DUMMYFUNCTION("""COMPUTED_VALUE"""),59256.0)</f>
        <v>59256</v>
      </c>
      <c r="H19" s="3">
        <f>IFERROR(__xludf.DUMMYFUNCTION("""COMPUTED_VALUE"""),72039.0)</f>
        <v>72039</v>
      </c>
      <c r="I19" s="2" t="str">
        <f>IFERROR(__xludf.DUMMYFUNCTION("""COMPUTED_VALUE"""),"Nepal Electricity Authority")</f>
        <v>Nepal Electricity Authority</v>
      </c>
      <c r="J19" s="2" t="str">
        <f>IFERROR(__xludf.DUMMYFUNCTION("""COMPUTED_VALUE"""),"Kathmandu")</f>
        <v>Kathmandu</v>
      </c>
      <c r="K19" s="2"/>
      <c r="L19" s="2"/>
    </row>
    <row r="20">
      <c r="A20" s="2">
        <f>IFERROR(__xludf.DUMMYFUNCTION("""COMPUTED_VALUE"""),19.0)</f>
        <v>19</v>
      </c>
      <c r="B20" s="2" t="str">
        <f>IFERROR(__xludf.DUMMYFUNCTION("""COMPUTED_VALUE"""),"Khimti - Dhalkebar Transmission")</f>
        <v>Khimti - Dhalkebar Transmission</v>
      </c>
      <c r="C20" s="2">
        <f>IFERROR(__xludf.DUMMYFUNCTION("""COMPUTED_VALUE"""),220.0)</f>
        <v>220</v>
      </c>
      <c r="D20" s="2">
        <f>IFERROR(__xludf.DUMMYFUNCTION("""COMPUTED_VALUE"""),73.0)</f>
        <v>73</v>
      </c>
      <c r="E20" s="2">
        <f>IFERROR(__xludf.DUMMYFUNCTION("""COMPUTED_VALUE"""),250.0)</f>
        <v>250</v>
      </c>
      <c r="F20" s="2">
        <f>IFERROR(__xludf.DUMMYFUNCTION("""COMPUTED_VALUE"""),20.0)</f>
        <v>20</v>
      </c>
      <c r="G20" s="3">
        <f>IFERROR(__xludf.DUMMYFUNCTION("""COMPUTED_VALUE"""),59828.0)</f>
        <v>59828</v>
      </c>
      <c r="H20" s="3">
        <f>IFERROR(__xludf.DUMMYFUNCTION("""COMPUTED_VALUE"""),68959.0)</f>
        <v>68959</v>
      </c>
      <c r="I20" s="2" t="str">
        <f>IFERROR(__xludf.DUMMYFUNCTION("""COMPUTED_VALUE"""),"Nepal Electricity Authority")</f>
        <v>Nepal Electricity Authority</v>
      </c>
      <c r="J20" s="2" t="str">
        <f>IFERROR(__xludf.DUMMYFUNCTION("""COMPUTED_VALUE"""),"Kathmandu")</f>
        <v>Kathmandu</v>
      </c>
      <c r="K20" s="2" t="str">
        <f>IFERROR(__xludf.DUMMYFUNCTION("""COMPUTED_VALUE"""),"Switchard of Khimti One HEP")</f>
        <v>Switchard of Khimti One HEP</v>
      </c>
      <c r="L20" s="2" t="str">
        <f>IFERROR(__xludf.DUMMYFUNCTION("""COMPUTED_VALUE"""),"Dhalkebar Substation")</f>
        <v>Dhalkebar Substation</v>
      </c>
    </row>
    <row r="21">
      <c r="A21" s="2">
        <f>IFERROR(__xludf.DUMMYFUNCTION("""COMPUTED_VALUE"""),20.0)</f>
        <v>20</v>
      </c>
      <c r="B21" s="2" t="str">
        <f>IFERROR(__xludf.DUMMYFUNCTION("""COMPUTED_VALUE"""),"Chandranigahpur Transmission Network")</f>
        <v>Chandranigahpur Transmission Network</v>
      </c>
      <c r="C21" s="2">
        <f>IFERROR(__xludf.DUMMYFUNCTION("""COMPUTED_VALUE"""),33.0)</f>
        <v>33</v>
      </c>
      <c r="D21" s="2">
        <f>IFERROR(__xludf.DUMMYFUNCTION("""COMPUTED_VALUE"""),40.88)</f>
        <v>40.88</v>
      </c>
      <c r="E21" s="2">
        <f>IFERROR(__xludf.DUMMYFUNCTION("""COMPUTED_VALUE"""),24.0)</f>
        <v>24</v>
      </c>
      <c r="F21" s="2">
        <f>IFERROR(__xludf.DUMMYFUNCTION("""COMPUTED_VALUE"""),21.0)</f>
        <v>21</v>
      </c>
      <c r="G21" s="3">
        <f>IFERROR(__xludf.DUMMYFUNCTION("""COMPUTED_VALUE"""),60141.0)</f>
        <v>60141</v>
      </c>
      <c r="H21" s="3">
        <f>IFERROR(__xludf.DUMMYFUNCTION("""COMPUTED_VALUE"""),69271.0)</f>
        <v>69271</v>
      </c>
      <c r="I21" s="2" t="str">
        <f>IFERROR(__xludf.DUMMYFUNCTION("""COMPUTED_VALUE"""),"Nepal Electricity Authority")</f>
        <v>Nepal Electricity Authority</v>
      </c>
      <c r="J21" s="2" t="str">
        <f>IFERROR(__xludf.DUMMYFUNCTION("""COMPUTED_VALUE"""),"Kathmandu")</f>
        <v>Kathmandu</v>
      </c>
      <c r="K21" s="2" t="str">
        <f>IFERROR(__xludf.DUMMYFUNCTION("""COMPUTED_VALUE"""),"Chandranigahpur NEA Substation")</f>
        <v>Chandranigahpur NEA Substation</v>
      </c>
      <c r="L21" s="2" t="str">
        <f>IFERROR(__xludf.DUMMYFUNCTION("""COMPUTED_VALUE"""),"Haripur NEA Substation")</f>
        <v>Haripur NEA Substation</v>
      </c>
    </row>
    <row r="22">
      <c r="A22" s="2">
        <f>IFERROR(__xludf.DUMMYFUNCTION("""COMPUTED_VALUE"""),21.0)</f>
        <v>21</v>
      </c>
      <c r="B22" s="2" t="str">
        <f>IFERROR(__xludf.DUMMYFUNCTION("""COMPUTED_VALUE"""),"Hewa Khola")</f>
        <v>Hewa Khola</v>
      </c>
      <c r="C22" s="2">
        <f>IFERROR(__xludf.DUMMYFUNCTION("""COMPUTED_VALUE"""),33.0)</f>
        <v>33</v>
      </c>
      <c r="D22" s="2">
        <f>IFERROR(__xludf.DUMMYFUNCTION("""COMPUTED_VALUE"""),7.25)</f>
        <v>7.25</v>
      </c>
      <c r="E22" s="2">
        <f>IFERROR(__xludf.DUMMYFUNCTION("""COMPUTED_VALUE"""),2.4)</f>
        <v>2.4</v>
      </c>
      <c r="F22" s="2">
        <f>IFERROR(__xludf.DUMMYFUNCTION("""COMPUTED_VALUE"""),22.0)</f>
        <v>22</v>
      </c>
      <c r="G22" s="3">
        <f>IFERROR(__xludf.DUMMYFUNCTION("""COMPUTED_VALUE"""),60373.0)</f>
        <v>60373</v>
      </c>
      <c r="H22" s="3">
        <f>IFERROR(__xludf.DUMMYFUNCTION("""COMPUTED_VALUE"""),69503.0)</f>
        <v>69503</v>
      </c>
      <c r="I22" s="2" t="str">
        <f>IFERROR(__xludf.DUMMYFUNCTION("""COMPUTED_VALUE"""),"Barun Hydropower Development Pvt. Ltd.")</f>
        <v>Barun Hydropower Development Pvt. Ltd.</v>
      </c>
      <c r="J22" s="2" t="str">
        <f>IFERROR(__xludf.DUMMYFUNCTION("""COMPUTED_VALUE"""),"Phone 01-6226073")</f>
        <v>Phone 01-6226073</v>
      </c>
      <c r="K22" s="2" t="str">
        <f>IFERROR(__xludf.DUMMYFUNCTION("""COMPUTED_VALUE"""),"Switchayrd of Hewa HEP")</f>
        <v>Switchayrd of Hewa HEP</v>
      </c>
      <c r="L22" s="2" t="str">
        <f>IFERROR(__xludf.DUMMYFUNCTION("""COMPUTED_VALUE"""),"Tirtire NEA Substation")</f>
        <v>Tirtire NEA Substation</v>
      </c>
    </row>
    <row r="23">
      <c r="A23" s="2">
        <f>IFERROR(__xludf.DUMMYFUNCTION("""COMPUTED_VALUE"""),22.0)</f>
        <v>22</v>
      </c>
      <c r="B23" s="2" t="str">
        <f>IFERROR(__xludf.DUMMYFUNCTION("""COMPUTED_VALUE"""),"Bardghat - Hetauda")</f>
        <v>Bardghat - Hetauda</v>
      </c>
      <c r="C23" s="2">
        <f>IFERROR(__xludf.DUMMYFUNCTION("""COMPUTED_VALUE"""),220.0)</f>
        <v>220</v>
      </c>
      <c r="D23" s="2">
        <f>IFERROR(__xludf.DUMMYFUNCTION("""COMPUTED_VALUE"""),143.0)</f>
        <v>143</v>
      </c>
      <c r="E23" s="2">
        <f>IFERROR(__xludf.DUMMYFUNCTION("""COMPUTED_VALUE"""),122.0)</f>
        <v>122</v>
      </c>
      <c r="F23" s="2">
        <f>IFERROR(__xludf.DUMMYFUNCTION("""COMPUTED_VALUE"""),23.0)</f>
        <v>23</v>
      </c>
      <c r="G23" s="3">
        <f>IFERROR(__xludf.DUMMYFUNCTION("""COMPUTED_VALUE"""),60524.0)</f>
        <v>60524</v>
      </c>
      <c r="H23" s="3">
        <f>IFERROR(__xludf.DUMMYFUNCTION("""COMPUTED_VALUE"""),69654.0)</f>
        <v>69654</v>
      </c>
      <c r="I23" s="2" t="str">
        <f>IFERROR(__xludf.DUMMYFUNCTION("""COMPUTED_VALUE"""),"Nepal Electricity Authority")</f>
        <v>Nepal Electricity Authority</v>
      </c>
      <c r="J23" s="2" t="str">
        <f>IFERROR(__xludf.DUMMYFUNCTION("""COMPUTED_VALUE"""),"Kathmandu")</f>
        <v>Kathmandu</v>
      </c>
      <c r="K23" s="2" t="str">
        <f>IFERROR(__xludf.DUMMYFUNCTION("""COMPUTED_VALUE"""),"Hetauda")</f>
        <v>Hetauda</v>
      </c>
      <c r="L23" s="2" t="str">
        <f>IFERROR(__xludf.DUMMYFUNCTION("""COMPUTED_VALUE"""),"Bardaghat")</f>
        <v>Bardaghat</v>
      </c>
    </row>
    <row r="24">
      <c r="A24" s="2">
        <f>IFERROR(__xludf.DUMMYFUNCTION("""COMPUTED_VALUE"""),23.0)</f>
        <v>23</v>
      </c>
      <c r="B24" s="2" t="str">
        <f>IFERROR(__xludf.DUMMYFUNCTION("""COMPUTED_VALUE"""),"Balanch- Atteria 132 kV Transmission Line")</f>
        <v>Balanch- Atteria 132 kV Transmission Line</v>
      </c>
      <c r="C24" s="2">
        <f>IFERROR(__xludf.DUMMYFUNCTION("""COMPUTED_VALUE"""),132.0)</f>
        <v>132</v>
      </c>
      <c r="D24" s="2">
        <f>IFERROR(__xludf.DUMMYFUNCTION("""COMPUTED_VALUE"""),131.0)</f>
        <v>131</v>
      </c>
      <c r="E24" s="2">
        <f>IFERROR(__xludf.DUMMYFUNCTION("""COMPUTED_VALUE"""),30.0)</f>
        <v>30</v>
      </c>
      <c r="F24" s="2">
        <f>IFERROR(__xludf.DUMMYFUNCTION("""COMPUTED_VALUE"""),24.0)</f>
        <v>24</v>
      </c>
      <c r="G24" s="3">
        <f>IFERROR(__xludf.DUMMYFUNCTION("""COMPUTED_VALUE"""),60539.0)</f>
        <v>60539</v>
      </c>
      <c r="H24" s="3">
        <f>IFERROR(__xludf.DUMMYFUNCTION("""COMPUTED_VALUE"""),69669.0)</f>
        <v>69669</v>
      </c>
      <c r="I24" s="2" t="str">
        <f>IFERROR(__xludf.DUMMYFUNCTION("""COMPUTED_VALUE"""),"Nepal Electricity Authority")</f>
        <v>Nepal Electricity Authority</v>
      </c>
      <c r="J24" s="2" t="str">
        <f>IFERROR(__xludf.DUMMYFUNCTION("""COMPUTED_VALUE"""),"Kathmandu")</f>
        <v>Kathmandu</v>
      </c>
      <c r="K24" s="2" t="str">
        <f>IFERROR(__xludf.DUMMYFUNCTION("""COMPUTED_VALUE"""),"Balanch")</f>
        <v>Balanch</v>
      </c>
      <c r="L24" s="2" t="str">
        <f>IFERROR(__xludf.DUMMYFUNCTION("""COMPUTED_VALUE"""),"Attariya NEA Substation")</f>
        <v>Attariya NEA Substation</v>
      </c>
    </row>
    <row r="25">
      <c r="A25" s="2">
        <f>IFERROR(__xludf.DUMMYFUNCTION("""COMPUTED_VALUE"""),24.0)</f>
        <v>24</v>
      </c>
      <c r="B25" s="2" t="str">
        <f>IFERROR(__xludf.DUMMYFUNCTION("""COMPUTED_VALUE"""),"Kusum - Purandhara")</f>
        <v>Kusum - Purandhara</v>
      </c>
      <c r="C25" s="2">
        <f>IFERROR(__xludf.DUMMYFUNCTION("""COMPUTED_VALUE"""),132.0)</f>
        <v>132</v>
      </c>
      <c r="D25" s="2">
        <f>IFERROR(__xludf.DUMMYFUNCTION("""COMPUTED_VALUE"""),21.64)</f>
        <v>21.64</v>
      </c>
      <c r="E25" s="2">
        <f>IFERROR(__xludf.DUMMYFUNCTION("""COMPUTED_VALUE"""),18.0)</f>
        <v>18</v>
      </c>
      <c r="F25" s="2">
        <f>IFERROR(__xludf.DUMMYFUNCTION("""COMPUTED_VALUE"""),25.0)</f>
        <v>25</v>
      </c>
      <c r="G25" s="3">
        <f>IFERROR(__xludf.DUMMYFUNCTION("""COMPUTED_VALUE"""),60674.0)</f>
        <v>60674</v>
      </c>
      <c r="H25" s="3">
        <f>IFERROR(__xludf.DUMMYFUNCTION("""COMPUTED_VALUE"""),69804.0)</f>
        <v>69804</v>
      </c>
      <c r="I25" s="2" t="str">
        <f>IFERROR(__xludf.DUMMYFUNCTION("""COMPUTED_VALUE"""),"Dang Cement Industries")</f>
        <v>Dang Cement Industries</v>
      </c>
      <c r="J25" s="2" t="str">
        <f>IFERROR(__xludf.DUMMYFUNCTION("""COMPUTED_VALUE"""),"PO Box 24347 Kathmandu")</f>
        <v>PO Box 24347 Kathmandu</v>
      </c>
      <c r="K25" s="2" t="str">
        <f>IFERROR(__xludf.DUMMYFUNCTION("""COMPUTED_VALUE"""),"Lamahi NEA Substation")</f>
        <v>Lamahi NEA Substation</v>
      </c>
      <c r="L25" s="2" t="str">
        <f>IFERROR(__xludf.DUMMYFUNCTION("""COMPUTED_VALUE"""),"Switchyard of Dang Cement Factory")</f>
        <v>Switchyard of Dang Cement Factory</v>
      </c>
    </row>
    <row r="26">
      <c r="A26" s="2">
        <f>IFERROR(__xludf.DUMMYFUNCTION("""COMPUTED_VALUE"""),25.0)</f>
        <v>25</v>
      </c>
      <c r="B26" s="2" t="str">
        <f>IFERROR(__xludf.DUMMYFUNCTION("""COMPUTED_VALUE"""),"Chaku Khola")</f>
        <v>Chaku Khola</v>
      </c>
      <c r="C26" s="2">
        <f>IFERROR(__xludf.DUMMYFUNCTION("""COMPUTED_VALUE"""),33.0)</f>
        <v>33</v>
      </c>
      <c r="D26" s="2">
        <f>IFERROR(__xludf.DUMMYFUNCTION("""COMPUTED_VALUE"""),2.0)</f>
        <v>2</v>
      </c>
      <c r="E26" s="2">
        <f>IFERROR(__xludf.DUMMYFUNCTION("""COMPUTED_VALUE"""),10.0)</f>
        <v>10</v>
      </c>
      <c r="F26" s="2">
        <f>IFERROR(__xludf.DUMMYFUNCTION("""COMPUTED_VALUE"""),26.0)</f>
        <v>26</v>
      </c>
      <c r="G26" s="3">
        <f>IFERROR(__xludf.DUMMYFUNCTION("""COMPUTED_VALUE"""),60716.0)</f>
        <v>60716</v>
      </c>
      <c r="H26" s="3">
        <f>IFERROR(__xludf.DUMMYFUNCTION("""COMPUTED_VALUE"""),69846.0)</f>
        <v>69846</v>
      </c>
      <c r="I26" s="2" t="str">
        <f>IFERROR(__xludf.DUMMYFUNCTION("""COMPUTED_VALUE"""),"Laughing Buddha Power Nepal Pvt Ltd")</f>
        <v>Laughing Buddha Power Nepal Pvt Ltd</v>
      </c>
      <c r="J26" s="2" t="str">
        <f>IFERROR(__xludf.DUMMYFUNCTION("""COMPUTED_VALUE"""),"Hadigaun, Kathmandu, Phone 4429533, 4411153")</f>
        <v>Hadigaun, Kathmandu, Phone 4429533, 4411153</v>
      </c>
      <c r="K26" s="2" t="str">
        <f>IFERROR(__xludf.DUMMYFUNCTION("""COMPUTED_VALUE"""),"Switchard of Middle Chaku HEP")</f>
        <v>Switchard of Middle Chaku HEP</v>
      </c>
      <c r="L26" s="2" t="str">
        <f>IFERROR(__xludf.DUMMYFUNCTION("""COMPUTED_VALUE"""),"Switchyard of Lower Chaku HEP")</f>
        <v>Switchyard of Lower Chaku HEP</v>
      </c>
    </row>
    <row r="27">
      <c r="A27" s="2">
        <f>IFERROR(__xludf.DUMMYFUNCTION("""COMPUTED_VALUE"""),26.0)</f>
        <v>26</v>
      </c>
      <c r="B27" s="2" t="str">
        <f>IFERROR(__xludf.DUMMYFUNCTION("""COMPUTED_VALUE"""),"Baramchi - Sunkoshi")</f>
        <v>Baramchi - Sunkoshi</v>
      </c>
      <c r="C27" s="2">
        <f>IFERROR(__xludf.DUMMYFUNCTION("""COMPUTED_VALUE"""),33.0)</f>
        <v>33</v>
      </c>
      <c r="D27" s="2">
        <f>IFERROR(__xludf.DUMMYFUNCTION("""COMPUTED_VALUE"""),15.0)</f>
        <v>15</v>
      </c>
      <c r="E27" s="2">
        <f>IFERROR(__xludf.DUMMYFUNCTION("""COMPUTED_VALUE"""),10.0)</f>
        <v>10</v>
      </c>
      <c r="F27" s="2">
        <f>IFERROR(__xludf.DUMMYFUNCTION("""COMPUTED_VALUE"""),27.0)</f>
        <v>27</v>
      </c>
      <c r="G27" s="3">
        <f>IFERROR(__xludf.DUMMYFUNCTION("""COMPUTED_VALUE"""),60879.0)</f>
        <v>60879</v>
      </c>
      <c r="H27" s="3">
        <f>IFERROR(__xludf.DUMMYFUNCTION("""COMPUTED_VALUE"""),70009.0)</f>
        <v>70009</v>
      </c>
      <c r="I27" s="2" t="str">
        <f>IFERROR(__xludf.DUMMYFUNCTION("""COMPUTED_VALUE"""),"Unique Hydel Co Pvt Ltd")</f>
        <v>Unique Hydel Co Pvt Ltd</v>
      </c>
      <c r="J27" s="2" t="str">
        <f>IFERROR(__xludf.DUMMYFUNCTION("""COMPUTED_VALUE"""),"PO Box 19554, Phone 4672598")</f>
        <v>PO Box 19554, Phone 4672598</v>
      </c>
      <c r="K27" s="2" t="str">
        <f>IFERROR(__xludf.DUMMYFUNCTION("""COMPUTED_VALUE"""),"Switchyard of Baramchi Khola HEP")</f>
        <v>Switchyard of Baramchi Khola HEP</v>
      </c>
      <c r="L27" s="2" t="str">
        <f>IFERROR(__xludf.DUMMYFUNCTION("""COMPUTED_VALUE"""),"Sunkoshi NEA Substation")</f>
        <v>Sunkoshi NEA Substation</v>
      </c>
    </row>
    <row r="28">
      <c r="A28" s="2">
        <f>IFERROR(__xludf.DUMMYFUNCTION("""COMPUTED_VALUE"""),27.0)</f>
        <v>27</v>
      </c>
      <c r="B28" s="2" t="str">
        <f>IFERROR(__xludf.DUMMYFUNCTION("""COMPUTED_VALUE"""),"Butwal - Kohalpur (D/C stringing)")</f>
        <v>Butwal - Kohalpur (D/C stringing)</v>
      </c>
      <c r="C28" s="2">
        <f>IFERROR(__xludf.DUMMYFUNCTION("""COMPUTED_VALUE"""),132.0)</f>
        <v>132</v>
      </c>
      <c r="D28" s="2"/>
      <c r="E28" s="2">
        <f>IFERROR(__xludf.DUMMYFUNCTION("""COMPUTED_VALUE"""),100.0)</f>
        <v>100</v>
      </c>
      <c r="F28" s="2">
        <f>IFERROR(__xludf.DUMMYFUNCTION("""COMPUTED_VALUE"""),28.0)</f>
        <v>28</v>
      </c>
      <c r="G28" s="3">
        <f>IFERROR(__xludf.DUMMYFUNCTION("""COMPUTED_VALUE"""),61047.0)</f>
        <v>61047</v>
      </c>
      <c r="H28" s="3">
        <f>IFERROR(__xludf.DUMMYFUNCTION("""COMPUTED_VALUE"""),73749.0)</f>
        <v>73749</v>
      </c>
      <c r="I28" s="2" t="str">
        <f>IFERROR(__xludf.DUMMYFUNCTION("""COMPUTED_VALUE"""),"Nepal Electricity Authority")</f>
        <v>Nepal Electricity Authority</v>
      </c>
      <c r="J28" s="2" t="str">
        <f>IFERROR(__xludf.DUMMYFUNCTION("""COMPUTED_VALUE"""),"Kathmandu")</f>
        <v>Kathmandu</v>
      </c>
      <c r="K28" s="2"/>
      <c r="L28" s="2"/>
    </row>
    <row r="29">
      <c r="A29" s="2">
        <f>IFERROR(__xludf.DUMMYFUNCTION("""COMPUTED_VALUE"""),28.0)</f>
        <v>28</v>
      </c>
      <c r="B29" s="2" t="str">
        <f>IFERROR(__xludf.DUMMYFUNCTION("""COMPUTED_VALUE"""),"Singati - Jagat (Sipring Khola HP)")</f>
        <v>Singati - Jagat (Sipring Khola HP)</v>
      </c>
      <c r="C29" s="2">
        <f>IFERROR(__xludf.DUMMYFUNCTION("""COMPUTED_VALUE"""),33.0)</f>
        <v>33</v>
      </c>
      <c r="D29" s="2"/>
      <c r="E29" s="2">
        <f>IFERROR(__xludf.DUMMYFUNCTION("""COMPUTED_VALUE"""),10.0)</f>
        <v>10</v>
      </c>
      <c r="F29" s="2">
        <f>IFERROR(__xludf.DUMMYFUNCTION("""COMPUTED_VALUE"""),29.0)</f>
        <v>29</v>
      </c>
      <c r="G29" s="3">
        <f>IFERROR(__xludf.DUMMYFUNCTION("""COMPUTED_VALUE"""),61331.0)</f>
        <v>61331</v>
      </c>
      <c r="H29" s="3">
        <f>IFERROR(__xludf.DUMMYFUNCTION("""COMPUTED_VALUE"""),70462.0)</f>
        <v>70462</v>
      </c>
      <c r="I29" s="2" t="str">
        <f>IFERROR(__xludf.DUMMYFUNCTION("""COMPUTED_VALUE"""),"Synergy Power Development Co")</f>
        <v>Synergy Power Development Co</v>
      </c>
      <c r="J29" s="2" t="str">
        <f>IFERROR(__xludf.DUMMYFUNCTION("""COMPUTED_VALUE"""),"Kathmandu")</f>
        <v>Kathmandu</v>
      </c>
      <c r="K29" s="2"/>
      <c r="L29" s="2"/>
    </row>
    <row r="30">
      <c r="A30" s="2">
        <f>IFERROR(__xludf.DUMMYFUNCTION("""COMPUTED_VALUE"""),29.0)</f>
        <v>29</v>
      </c>
      <c r="B30" s="2" t="str">
        <f>IFERROR(__xludf.DUMMYFUNCTION("""COMPUTED_VALUE"""),"Kabeli Corridor")</f>
        <v>Kabeli Corridor</v>
      </c>
      <c r="C30" s="2">
        <f>IFERROR(__xludf.DUMMYFUNCTION("""COMPUTED_VALUE"""),132.0)</f>
        <v>132</v>
      </c>
      <c r="D30" s="2"/>
      <c r="E30" s="2">
        <f>IFERROR(__xludf.DUMMYFUNCTION("""COMPUTED_VALUE"""),150.0)</f>
        <v>150</v>
      </c>
      <c r="F30" s="2">
        <f>IFERROR(__xludf.DUMMYFUNCTION("""COMPUTED_VALUE"""),30.0)</f>
        <v>30</v>
      </c>
      <c r="G30" s="3">
        <f>IFERROR(__xludf.DUMMYFUNCTION("""COMPUTED_VALUE"""),61356.0)</f>
        <v>61356</v>
      </c>
      <c r="H30" s="3">
        <f>IFERROR(__xludf.DUMMYFUNCTION("""COMPUTED_VALUE"""),70487.0)</f>
        <v>70487</v>
      </c>
      <c r="I30" s="2" t="str">
        <f>IFERROR(__xludf.DUMMYFUNCTION("""COMPUTED_VALUE"""),"Nepal Electricity Authority")</f>
        <v>Nepal Electricity Authority</v>
      </c>
      <c r="J30" s="2" t="str">
        <f>IFERROR(__xludf.DUMMYFUNCTION("""COMPUTED_VALUE"""),"Kathmandu")</f>
        <v>Kathmandu</v>
      </c>
      <c r="K30" s="2"/>
      <c r="L30" s="2"/>
    </row>
    <row r="31">
      <c r="A31" s="2">
        <f>IFERROR(__xludf.DUMMYFUNCTION("""COMPUTED_VALUE"""),30.0)</f>
        <v>30</v>
      </c>
      <c r="B31" s="2" t="str">
        <f>IFERROR(__xludf.DUMMYFUNCTION("""COMPUTED_VALUE"""),"Bijaypur-1 33 kV Transmission")</f>
        <v>Bijaypur-1 33 kV Transmission</v>
      </c>
      <c r="C31" s="2">
        <f>IFERROR(__xludf.DUMMYFUNCTION("""COMPUTED_VALUE"""),33.0)</f>
        <v>33</v>
      </c>
      <c r="D31" s="2"/>
      <c r="E31" s="2">
        <f>IFERROR(__xludf.DUMMYFUNCTION("""COMPUTED_VALUE"""),4.5)</f>
        <v>4.5</v>
      </c>
      <c r="F31" s="2">
        <f>IFERROR(__xludf.DUMMYFUNCTION("""COMPUTED_VALUE"""),31.0)</f>
        <v>31</v>
      </c>
      <c r="G31" s="3">
        <f>IFERROR(__xludf.DUMMYFUNCTION("""COMPUTED_VALUE"""),61356.0)</f>
        <v>61356</v>
      </c>
      <c r="H31" s="3">
        <f>IFERROR(__xludf.DUMMYFUNCTION("""COMPUTED_VALUE"""),70487.0)</f>
        <v>70487</v>
      </c>
      <c r="I31" s="2" t="str">
        <f>IFERROR(__xludf.DUMMYFUNCTION("""COMPUTED_VALUE"""),"Bhagwati Hydropower Development Pvt Ltd")</f>
        <v>Bhagwati Hydropower Development Pvt Ltd</v>
      </c>
      <c r="J31" s="2"/>
      <c r="K31" s="2"/>
      <c r="L31" s="2"/>
    </row>
    <row r="32">
      <c r="A32" s="2">
        <f>IFERROR(__xludf.DUMMYFUNCTION("""COMPUTED_VALUE"""),31.0)</f>
        <v>31</v>
      </c>
      <c r="B32" s="2" t="str">
        <f>IFERROR(__xludf.DUMMYFUNCTION("""COMPUTED_VALUE"""),"Singati-Lamosanghu")</f>
        <v>Singati-Lamosanghu</v>
      </c>
      <c r="C32" s="2">
        <f>IFERROR(__xludf.DUMMYFUNCTION("""COMPUTED_VALUE"""),132.0)</f>
        <v>132</v>
      </c>
      <c r="D32" s="2"/>
      <c r="E32" s="2">
        <f>IFERROR(__xludf.DUMMYFUNCTION("""COMPUTED_VALUE"""),100.0)</f>
        <v>100</v>
      </c>
      <c r="F32" s="2">
        <f>IFERROR(__xludf.DUMMYFUNCTION("""COMPUTED_VALUE"""),32.0)</f>
        <v>32</v>
      </c>
      <c r="G32" s="3">
        <f>IFERROR(__xludf.DUMMYFUNCTION("""COMPUTED_VALUE"""),61371.0)</f>
        <v>61371</v>
      </c>
      <c r="H32" s="3">
        <f>IFERROR(__xludf.DUMMYFUNCTION("""COMPUTED_VALUE"""),70502.0)</f>
        <v>70502</v>
      </c>
      <c r="I32" s="2" t="str">
        <f>IFERROR(__xludf.DUMMYFUNCTION("""COMPUTED_VALUE"""),"Nepal Electricity Authority")</f>
        <v>Nepal Electricity Authority</v>
      </c>
      <c r="J32" s="2" t="str">
        <f>IFERROR(__xludf.DUMMYFUNCTION("""COMPUTED_VALUE"""),"Kathmandu")</f>
        <v>Kathmandu</v>
      </c>
      <c r="K32" s="2"/>
      <c r="L32" s="2"/>
    </row>
    <row r="33">
      <c r="A33" s="2">
        <f>IFERROR(__xludf.DUMMYFUNCTION("""COMPUTED_VALUE"""),32.0)</f>
        <v>32</v>
      </c>
      <c r="B33" s="2" t="str">
        <f>IFERROR(__xludf.DUMMYFUNCTION("""COMPUTED_VALUE"""),"Anbukhaireni - Dumre - Damauli")</f>
        <v>Anbukhaireni - Dumre - Damauli</v>
      </c>
      <c r="C33" s="2">
        <f>IFERROR(__xludf.DUMMYFUNCTION("""COMPUTED_VALUE"""),132.0)</f>
        <v>132</v>
      </c>
      <c r="D33" s="2"/>
      <c r="E33" s="2">
        <f>IFERROR(__xludf.DUMMYFUNCTION("""COMPUTED_VALUE"""),24.0)</f>
        <v>24</v>
      </c>
      <c r="F33" s="2">
        <f>IFERROR(__xludf.DUMMYFUNCTION("""COMPUTED_VALUE"""),33.0)</f>
        <v>33</v>
      </c>
      <c r="G33" s="3">
        <f>IFERROR(__xludf.DUMMYFUNCTION("""COMPUTED_VALUE"""),61371.0)</f>
        <v>61371</v>
      </c>
      <c r="H33" s="3">
        <f>IFERROR(__xludf.DUMMYFUNCTION("""COMPUTED_VALUE"""),70502.0)</f>
        <v>70502</v>
      </c>
      <c r="I33" s="2" t="str">
        <f>IFERROR(__xludf.DUMMYFUNCTION("""COMPUTED_VALUE"""),"Nepal Electricity Authority")</f>
        <v>Nepal Electricity Authority</v>
      </c>
      <c r="J33" s="2" t="str">
        <f>IFERROR(__xludf.DUMMYFUNCTION("""COMPUTED_VALUE"""),"Kathmandu")</f>
        <v>Kathmandu</v>
      </c>
      <c r="K33" s="2"/>
      <c r="L33" s="2"/>
    </row>
    <row r="34">
      <c r="A34" s="2">
        <f>IFERROR(__xludf.DUMMYFUNCTION("""COMPUTED_VALUE"""),33.0)</f>
        <v>33</v>
      </c>
      <c r="B34" s="2" t="str">
        <f>IFERROR(__xludf.DUMMYFUNCTION("""COMPUTED_VALUE"""),"Kamane - Laxmipur Transmission")</f>
        <v>Kamane - Laxmipur Transmission</v>
      </c>
      <c r="C34" s="2">
        <f>IFERROR(__xludf.DUMMYFUNCTION("""COMPUTED_VALUE"""),33.0)</f>
        <v>33</v>
      </c>
      <c r="D34" s="2"/>
      <c r="E34" s="2">
        <f>IFERROR(__xludf.DUMMYFUNCTION("""COMPUTED_VALUE"""),24.0)</f>
        <v>24</v>
      </c>
      <c r="F34" s="2">
        <f>IFERROR(__xludf.DUMMYFUNCTION("""COMPUTED_VALUE"""),34.0)</f>
        <v>34</v>
      </c>
      <c r="G34" s="3">
        <f>IFERROR(__xludf.DUMMYFUNCTION("""COMPUTED_VALUE"""),61381.0)</f>
        <v>61381</v>
      </c>
      <c r="H34" s="3">
        <f>IFERROR(__xludf.DUMMYFUNCTION("""COMPUTED_VALUE"""),70512.0)</f>
        <v>70512</v>
      </c>
      <c r="I34" s="2" t="str">
        <f>IFERROR(__xludf.DUMMYFUNCTION("""COMPUTED_VALUE"""),"Nepal Electricity Authority")</f>
        <v>Nepal Electricity Authority</v>
      </c>
      <c r="J34" s="2" t="str">
        <f>IFERROR(__xludf.DUMMYFUNCTION("""COMPUTED_VALUE"""),"Kathmandu")</f>
        <v>Kathmandu</v>
      </c>
      <c r="K34" s="2"/>
      <c r="L34" s="2"/>
    </row>
    <row r="35">
      <c r="A35" s="2">
        <f>IFERROR(__xludf.DUMMYFUNCTION("""COMPUTED_VALUE"""),34.0)</f>
        <v>34</v>
      </c>
      <c r="B35" s="2" t="str">
        <f>IFERROR(__xludf.DUMMYFUNCTION("""COMPUTED_VALUE"""),"Dumre-Damauli")</f>
        <v>Dumre-Damauli</v>
      </c>
      <c r="C35" s="2">
        <f>IFERROR(__xludf.DUMMYFUNCTION("""COMPUTED_VALUE"""),132.0)</f>
        <v>132</v>
      </c>
      <c r="D35" s="2"/>
      <c r="E35" s="2">
        <f>IFERROR(__xludf.DUMMYFUNCTION("""COMPUTED_VALUE"""),50.0)</f>
        <v>50</v>
      </c>
      <c r="F35" s="2">
        <f>IFERROR(__xludf.DUMMYFUNCTION("""COMPUTED_VALUE"""),35.0)</f>
        <v>35</v>
      </c>
      <c r="G35" s="3">
        <f>IFERROR(__xludf.DUMMYFUNCTION("""COMPUTED_VALUE"""),61412.0)</f>
        <v>61412</v>
      </c>
      <c r="H35" s="3">
        <f>IFERROR(__xludf.DUMMYFUNCTION("""COMPUTED_VALUE"""),70543.0)</f>
        <v>70543</v>
      </c>
      <c r="I35" s="2" t="str">
        <f>IFERROR(__xludf.DUMMYFUNCTION("""COMPUTED_VALUE"""),"Nepal Electricity Authority")</f>
        <v>Nepal Electricity Authority</v>
      </c>
      <c r="J35" s="2" t="str">
        <f>IFERROR(__xludf.DUMMYFUNCTION("""COMPUTED_VALUE"""),"Kathmandu")</f>
        <v>Kathmandu</v>
      </c>
      <c r="K35" s="2"/>
      <c r="L35" s="2"/>
    </row>
    <row r="36">
      <c r="A36" s="2">
        <f>IFERROR(__xludf.DUMMYFUNCTION("""COMPUTED_VALUE"""),35.0)</f>
        <v>35</v>
      </c>
      <c r="B36" s="2" t="str">
        <f>IFERROR(__xludf.DUMMYFUNCTION("""COMPUTED_VALUE"""),"Mai HEP Transmission")</f>
        <v>Mai HEP Transmission</v>
      </c>
      <c r="C36" s="2">
        <f>IFERROR(__xludf.DUMMYFUNCTION("""COMPUTED_VALUE"""),132.0)</f>
        <v>132</v>
      </c>
      <c r="D36" s="2">
        <f>IFERROR(__xludf.DUMMYFUNCTION("""COMPUTED_VALUE"""),12.0)</f>
        <v>12</v>
      </c>
      <c r="E36" s="2">
        <f>IFERROR(__xludf.DUMMYFUNCTION("""COMPUTED_VALUE"""),22.0)</f>
        <v>22</v>
      </c>
      <c r="F36" s="2">
        <f>IFERROR(__xludf.DUMMYFUNCTION("""COMPUTED_VALUE"""),36.0)</f>
        <v>36</v>
      </c>
      <c r="G36" s="3">
        <f>IFERROR(__xludf.DUMMYFUNCTION("""COMPUTED_VALUE"""),61424.0)</f>
        <v>61424</v>
      </c>
      <c r="H36" s="3">
        <f>IFERROR(__xludf.DUMMYFUNCTION("""COMPUTED_VALUE"""),70554.0)</f>
        <v>70554</v>
      </c>
      <c r="I36" s="2" t="str">
        <f>IFERROR(__xludf.DUMMYFUNCTION("""COMPUTED_VALUE"""),"Sanima Hydropower Pvt Ltd")</f>
        <v>Sanima Hydropower Pvt Ltd</v>
      </c>
      <c r="J36" s="2" t="str">
        <f>IFERROR(__xludf.DUMMYFUNCTION("""COMPUTED_VALUE"""),"Naksal, Kathmandu, P.O.Box 19739, Phone 014415314,4446442, Fax 01-4441277")</f>
        <v>Naksal, Kathmandu, P.O.Box 19739, Phone 014415314,4446442, Fax 01-4441277</v>
      </c>
      <c r="K36" s="2" t="str">
        <f>IFERROR(__xludf.DUMMYFUNCTION("""COMPUTED_VALUE"""),"Switchayrd of Mai HEP")</f>
        <v>Switchayrd of Mai HEP</v>
      </c>
      <c r="L36" s="2" t="str">
        <f>IFERROR(__xludf.DUMMYFUNCTION("""COMPUTED_VALUE"""),"Godak NEA Substation")</f>
        <v>Godak NEA Substation</v>
      </c>
    </row>
    <row r="37">
      <c r="A37" s="2">
        <f>IFERROR(__xludf.DUMMYFUNCTION("""COMPUTED_VALUE"""),36.0)</f>
        <v>36</v>
      </c>
      <c r="B37" s="2" t="str">
        <f>IFERROR(__xludf.DUMMYFUNCTION("""COMPUTED_VALUE"""),"Dhalkebar - Bhittamod Cross-border")</f>
        <v>Dhalkebar - Bhittamod Cross-border</v>
      </c>
      <c r="C37" s="2">
        <f>IFERROR(__xludf.DUMMYFUNCTION("""COMPUTED_VALUE"""),400.0)</f>
        <v>400</v>
      </c>
      <c r="D37" s="2">
        <f>IFERROR(__xludf.DUMMYFUNCTION("""COMPUTED_VALUE"""),39.0)</f>
        <v>39</v>
      </c>
      <c r="E37" s="2">
        <f>IFERROR(__xludf.DUMMYFUNCTION("""COMPUTED_VALUE"""),400.0)</f>
        <v>400</v>
      </c>
      <c r="F37" s="2">
        <f>IFERROR(__xludf.DUMMYFUNCTION("""COMPUTED_VALUE"""),37.0)</f>
        <v>37</v>
      </c>
      <c r="G37" s="3">
        <f>IFERROR(__xludf.DUMMYFUNCTION("""COMPUTED_VALUE"""),61491.0)</f>
        <v>61491</v>
      </c>
      <c r="H37" s="3">
        <f>IFERROR(__xludf.DUMMYFUNCTION("""COMPUTED_VALUE"""),70621.0)</f>
        <v>70621</v>
      </c>
      <c r="I37" s="2" t="str">
        <f>IFERROR(__xludf.DUMMYFUNCTION("""COMPUTED_VALUE"""),"Nepal Electricity Authority")</f>
        <v>Nepal Electricity Authority</v>
      </c>
      <c r="J37" s="2" t="str">
        <f>IFERROR(__xludf.DUMMYFUNCTION("""COMPUTED_VALUE"""),"Kathmandu")</f>
        <v>Kathmandu</v>
      </c>
      <c r="K37" s="2" t="str">
        <f>IFERROR(__xludf.DUMMYFUNCTION("""COMPUTED_VALUE"""),"Dhalkebar NEA Substation")</f>
        <v>Dhalkebar NEA Substation</v>
      </c>
      <c r="L37" s="2" t="str">
        <f>IFERROR(__xludf.DUMMYFUNCTION("""COMPUTED_VALUE"""),"Nepal India Boarder Mujjafarpur")</f>
        <v>Nepal India Boarder Mujjafarpur</v>
      </c>
    </row>
    <row r="38">
      <c r="A38" s="2">
        <f>IFERROR(__xludf.DUMMYFUNCTION("""COMPUTED_VALUE"""),37.0)</f>
        <v>37</v>
      </c>
      <c r="B38" s="2" t="str">
        <f>IFERROR(__xludf.DUMMYFUNCTION("""COMPUTED_VALUE"""),"Larcha-Chaku 33kV (Bhairabkund HP")</f>
        <v>Larcha-Chaku 33kV (Bhairabkund HP</v>
      </c>
      <c r="C38" s="2">
        <f>IFERROR(__xludf.DUMMYFUNCTION("""COMPUTED_VALUE"""),33.0)</f>
        <v>33</v>
      </c>
      <c r="D38" s="2">
        <f>IFERROR(__xludf.DUMMYFUNCTION("""COMPUTED_VALUE"""),6.2)</f>
        <v>6.2</v>
      </c>
      <c r="E38" s="2">
        <f>IFERROR(__xludf.DUMMYFUNCTION("""COMPUTED_VALUE"""),3.0)</f>
        <v>3</v>
      </c>
      <c r="F38" s="2">
        <f>IFERROR(__xludf.DUMMYFUNCTION("""COMPUTED_VALUE"""),38.0)</f>
        <v>38</v>
      </c>
      <c r="G38" s="3">
        <f>IFERROR(__xludf.DUMMYFUNCTION("""COMPUTED_VALUE"""),61529.0)</f>
        <v>61529</v>
      </c>
      <c r="H38" s="3">
        <f>IFERROR(__xludf.DUMMYFUNCTION("""COMPUTED_VALUE"""),70659.0)</f>
        <v>70659</v>
      </c>
      <c r="I38" s="2" t="str">
        <f>IFERROR(__xludf.DUMMYFUNCTION("""COMPUTED_VALUE"""),"Bhairabkund HP")</f>
        <v>Bhairabkund HP</v>
      </c>
      <c r="J38" s="2" t="str">
        <f>IFERROR(__xludf.DUMMYFUNCTION("""COMPUTED_VALUE"""),"Kathmandu")</f>
        <v>Kathmandu</v>
      </c>
      <c r="K38" s="2" t="str">
        <f>IFERROR(__xludf.DUMMYFUNCTION("""COMPUTED_VALUE"""),"Switchyard of Bhairavkund Khola HEP")</f>
        <v>Switchyard of Bhairavkund Khola HEP</v>
      </c>
      <c r="L38" s="2" t="str">
        <f>IFERROR(__xludf.DUMMYFUNCTION("""COMPUTED_VALUE"""),"Chaku")</f>
        <v>Chaku</v>
      </c>
    </row>
    <row r="39">
      <c r="A39" s="2">
        <f>IFERROR(__xludf.DUMMYFUNCTION("""COMPUTED_VALUE"""),38.0)</f>
        <v>38</v>
      </c>
      <c r="B39" s="2" t="str">
        <f>IFERROR(__xludf.DUMMYFUNCTION("""COMPUTED_VALUE"""),"Kulekhani 3")</f>
        <v>Kulekhani 3</v>
      </c>
      <c r="C39" s="2">
        <f>IFERROR(__xludf.DUMMYFUNCTION("""COMPUTED_VALUE"""),132.0)</f>
        <v>132</v>
      </c>
      <c r="D39" s="2">
        <f>IFERROR(__xludf.DUMMYFUNCTION("""COMPUTED_VALUE"""),0.5)</f>
        <v>0.5</v>
      </c>
      <c r="E39" s="2">
        <f>IFERROR(__xludf.DUMMYFUNCTION("""COMPUTED_VALUE"""),14.0)</f>
        <v>14</v>
      </c>
      <c r="F39" s="2">
        <f>IFERROR(__xludf.DUMMYFUNCTION("""COMPUTED_VALUE"""),39.0)</f>
        <v>39</v>
      </c>
      <c r="G39" s="3">
        <f>IFERROR(__xludf.DUMMYFUNCTION("""COMPUTED_VALUE"""),61561.0)</f>
        <v>61561</v>
      </c>
      <c r="H39" s="3">
        <f>IFERROR(__xludf.DUMMYFUNCTION("""COMPUTED_VALUE"""),70691.0)</f>
        <v>70691</v>
      </c>
      <c r="I39" s="2" t="str">
        <f>IFERROR(__xludf.DUMMYFUNCTION("""COMPUTED_VALUE"""),"Nepal Electricity Authority")</f>
        <v>Nepal Electricity Authority</v>
      </c>
      <c r="J39" s="2" t="str">
        <f>IFERROR(__xludf.DUMMYFUNCTION("""COMPUTED_VALUE"""),"Kathmandu")</f>
        <v>Kathmandu</v>
      </c>
      <c r="K39" s="2" t="str">
        <f>IFERROR(__xludf.DUMMYFUNCTION("""COMPUTED_VALUE"""),"Switchyard of Kulekhani 3 HEP")</f>
        <v>Switchyard of Kulekhani 3 HEP</v>
      </c>
      <c r="L39" s="2" t="str">
        <f>IFERROR(__xludf.DUMMYFUNCTION("""COMPUTED_VALUE"""),"Switchyard of Kulekhani 2")</f>
        <v>Switchyard of Kulekhani 2</v>
      </c>
    </row>
    <row r="40">
      <c r="A40" s="2">
        <f>IFERROR(__xludf.DUMMYFUNCTION("""COMPUTED_VALUE"""),39.0)</f>
        <v>39</v>
      </c>
      <c r="B40" s="2" t="str">
        <f>IFERROR(__xludf.DUMMYFUNCTION("""COMPUTED_VALUE"""),"Hetauda - Kulekhani - Siuchatar")</f>
        <v>Hetauda - Kulekhani - Siuchatar</v>
      </c>
      <c r="C40" s="2">
        <f>IFERROR(__xludf.DUMMYFUNCTION("""COMPUTED_VALUE"""),132.0)</f>
        <v>132</v>
      </c>
      <c r="D40" s="2">
        <f>IFERROR(__xludf.DUMMYFUNCTION("""COMPUTED_VALUE"""),42.0)</f>
        <v>42</v>
      </c>
      <c r="E40" s="2">
        <f>IFERROR(__xludf.DUMMYFUNCTION("""COMPUTED_VALUE"""),32.0)</f>
        <v>32</v>
      </c>
      <c r="F40" s="2">
        <f>IFERROR(__xludf.DUMMYFUNCTION("""COMPUTED_VALUE"""),40.0)</f>
        <v>40</v>
      </c>
      <c r="G40" s="3">
        <f>IFERROR(__xludf.DUMMYFUNCTION("""COMPUTED_VALUE"""),61581.0)</f>
        <v>61581</v>
      </c>
      <c r="H40" s="3">
        <f>IFERROR(__xludf.DUMMYFUNCTION("""COMPUTED_VALUE"""),73749.0)</f>
        <v>73749</v>
      </c>
      <c r="I40" s="2" t="str">
        <f>IFERROR(__xludf.DUMMYFUNCTION("""COMPUTED_VALUE"""),"Nepal Electricity Authority")</f>
        <v>Nepal Electricity Authority</v>
      </c>
      <c r="J40" s="2" t="str">
        <f>IFERROR(__xludf.DUMMYFUNCTION("""COMPUTED_VALUE"""),"Kathmandu")</f>
        <v>Kathmandu</v>
      </c>
      <c r="K40" s="2" t="str">
        <f>IFERROR(__xludf.DUMMYFUNCTION("""COMPUTED_VALUE"""),"Hetauda NEA Substation")</f>
        <v>Hetauda NEA Substation</v>
      </c>
      <c r="L40" s="2" t="str">
        <f>IFERROR(__xludf.DUMMYFUNCTION("""COMPUTED_VALUE"""),"Switchatar Substation")</f>
        <v>Switchatar Substation</v>
      </c>
    </row>
    <row r="41">
      <c r="A41" s="2">
        <f>IFERROR(__xludf.DUMMYFUNCTION("""COMPUTED_VALUE"""),40.0)</f>
        <v>40</v>
      </c>
      <c r="B41" s="2" t="str">
        <f>IFERROR(__xludf.DUMMYFUNCTION("""COMPUTED_VALUE"""),"Lower Modi")</f>
        <v>Lower Modi</v>
      </c>
      <c r="C41" s="2">
        <f>IFERROR(__xludf.DUMMYFUNCTION("""COMPUTED_VALUE"""),132.0)</f>
        <v>132</v>
      </c>
      <c r="D41" s="2">
        <f>IFERROR(__xludf.DUMMYFUNCTION("""COMPUTED_VALUE"""),7.7)</f>
        <v>7.7</v>
      </c>
      <c r="E41" s="2">
        <f>IFERROR(__xludf.DUMMYFUNCTION("""COMPUTED_VALUE"""),10.0)</f>
        <v>10</v>
      </c>
      <c r="F41" s="2">
        <f>IFERROR(__xludf.DUMMYFUNCTION("""COMPUTED_VALUE"""),41.0)</f>
        <v>41</v>
      </c>
      <c r="G41" s="3">
        <f>IFERROR(__xludf.DUMMYFUNCTION("""COMPUTED_VALUE"""),61597.0)</f>
        <v>61597</v>
      </c>
      <c r="H41" s="3">
        <f>IFERROR(__xludf.DUMMYFUNCTION("""COMPUTED_VALUE"""),70727.0)</f>
        <v>70727</v>
      </c>
      <c r="I41" s="2" t="str">
        <f>IFERROR(__xludf.DUMMYFUNCTION("""COMPUTED_VALUE"""),"United Modi")</f>
        <v>United Modi</v>
      </c>
      <c r="J41" s="2" t="str">
        <f>IFERROR(__xludf.DUMMYFUNCTION("""COMPUTED_VALUE"""),"Kathmandu")</f>
        <v>Kathmandu</v>
      </c>
      <c r="K41" s="2" t="str">
        <f>IFERROR(__xludf.DUMMYFUNCTION("""COMPUTED_VALUE"""),"Switchyard of Modi 1 HEP")</f>
        <v>Switchyard of Modi 1 HEP</v>
      </c>
      <c r="L41" s="2" t="str">
        <f>IFERROR(__xludf.DUMMYFUNCTION("""COMPUTED_VALUE"""),"Switchyard of Modi Khola HEP")</f>
        <v>Switchyard of Modi Khola HEP</v>
      </c>
    </row>
    <row r="42">
      <c r="A42" s="2">
        <f>IFERROR(__xludf.DUMMYFUNCTION("""COMPUTED_VALUE"""),41.0)</f>
        <v>41</v>
      </c>
      <c r="B42" s="2" t="str">
        <f>IFERROR(__xludf.DUMMYFUNCTION("""COMPUTED_VALUE"""),"Kohalpur - Mahendranagar Second Circuit")</f>
        <v>Kohalpur - Mahendranagar Second Circuit</v>
      </c>
      <c r="C42" s="2">
        <f>IFERROR(__xludf.DUMMYFUNCTION("""COMPUTED_VALUE"""),132.0)</f>
        <v>132</v>
      </c>
      <c r="D42" s="2">
        <f>IFERROR(__xludf.DUMMYFUNCTION("""COMPUTED_VALUE"""),198.0)</f>
        <v>198</v>
      </c>
      <c r="E42" s="2">
        <f>IFERROR(__xludf.DUMMYFUNCTION("""COMPUTED_VALUE"""),100.0)</f>
        <v>100</v>
      </c>
      <c r="F42" s="2">
        <f>IFERROR(__xludf.DUMMYFUNCTION("""COMPUTED_VALUE"""),42.0)</f>
        <v>42</v>
      </c>
      <c r="G42" s="3">
        <f>IFERROR(__xludf.DUMMYFUNCTION("""COMPUTED_VALUE"""),61600.0)</f>
        <v>61600</v>
      </c>
      <c r="H42" s="3">
        <f>IFERROR(__xludf.DUMMYFUNCTION("""COMPUTED_VALUE"""),73749.0)</f>
        <v>73749</v>
      </c>
      <c r="I42" s="2" t="str">
        <f>IFERROR(__xludf.DUMMYFUNCTION("""COMPUTED_VALUE"""),"Nepal Electricity Authority")</f>
        <v>Nepal Electricity Authority</v>
      </c>
      <c r="J42" s="2" t="str">
        <f>IFERROR(__xludf.DUMMYFUNCTION("""COMPUTED_VALUE"""),"Kathmandu")</f>
        <v>Kathmandu</v>
      </c>
      <c r="K42" s="2" t="str">
        <f>IFERROR(__xludf.DUMMYFUNCTION("""COMPUTED_VALUE"""),"Kohalpur Substation")</f>
        <v>Kohalpur Substation</v>
      </c>
      <c r="L42" s="2" t="str">
        <f>IFERROR(__xludf.DUMMYFUNCTION("""COMPUTED_VALUE"""),"Lalchowk NEA Substation")</f>
        <v>Lalchowk NEA Substation</v>
      </c>
    </row>
    <row r="43">
      <c r="A43" s="2">
        <f>IFERROR(__xludf.DUMMYFUNCTION("""COMPUTED_VALUE"""),42.0)</f>
        <v>42</v>
      </c>
      <c r="B43" s="2" t="str">
        <f>IFERROR(__xludf.DUMMYFUNCTION("""COMPUTED_VALUE"""),"Tadi Khola")</f>
        <v>Tadi Khola</v>
      </c>
      <c r="C43" s="2">
        <f>IFERROR(__xludf.DUMMYFUNCTION("""COMPUTED_VALUE"""),33.0)</f>
        <v>33</v>
      </c>
      <c r="D43" s="2">
        <f>IFERROR(__xludf.DUMMYFUNCTION("""COMPUTED_VALUE"""),8.4)</f>
        <v>8.4</v>
      </c>
      <c r="E43" s="2">
        <f>IFERROR(__xludf.DUMMYFUNCTION("""COMPUTED_VALUE"""),5.0)</f>
        <v>5</v>
      </c>
      <c r="F43" s="2">
        <f>IFERROR(__xludf.DUMMYFUNCTION("""COMPUTED_VALUE"""),43.0)</f>
        <v>43</v>
      </c>
      <c r="G43" s="3">
        <f>IFERROR(__xludf.DUMMYFUNCTION("""COMPUTED_VALUE"""),61840.0)</f>
        <v>61840</v>
      </c>
      <c r="H43" s="3">
        <f>IFERROR(__xludf.DUMMYFUNCTION("""COMPUTED_VALUE"""),70970.0)</f>
        <v>70970</v>
      </c>
      <c r="I43" s="2" t="str">
        <f>IFERROR(__xludf.DUMMYFUNCTION("""COMPUTED_VALUE"""),"Adishakti Vidyut Co")</f>
        <v>Adishakti Vidyut Co</v>
      </c>
      <c r="J43" s="2" t="str">
        <f>IFERROR(__xludf.DUMMYFUNCTION("""COMPUTED_VALUE"""),"Kathmandu")</f>
        <v>Kathmandu</v>
      </c>
      <c r="K43" s="2" t="str">
        <f>IFERROR(__xludf.DUMMYFUNCTION("""COMPUTED_VALUE"""),"Switchyard of Tadi Khola HEP")</f>
        <v>Switchyard of Tadi Khola HEP</v>
      </c>
      <c r="L43" s="2" t="str">
        <f>IFERROR(__xludf.DUMMYFUNCTION("""COMPUTED_VALUE"""),"Chaughda NEA Substation")</f>
        <v>Chaughda NEA Substation</v>
      </c>
    </row>
    <row r="44">
      <c r="A44" s="2">
        <f>IFERROR(__xludf.DUMMYFUNCTION("""COMPUTED_VALUE"""),43.0)</f>
        <v>43</v>
      </c>
      <c r="B44" s="2" t="str">
        <f>IFERROR(__xludf.DUMMYFUNCTION("""COMPUTED_VALUE"""),"Mabu - Ilam 132 kV Transmission")</f>
        <v>Mabu - Ilam 132 kV Transmission</v>
      </c>
      <c r="C44" s="2">
        <f>IFERROR(__xludf.DUMMYFUNCTION("""COMPUTED_VALUE"""),132.0)</f>
        <v>132</v>
      </c>
      <c r="D44" s="2">
        <f>IFERROR(__xludf.DUMMYFUNCTION("""COMPUTED_VALUE"""),18.5)</f>
        <v>18.5</v>
      </c>
      <c r="E44" s="2">
        <f>IFERROR(__xludf.DUMMYFUNCTION("""COMPUTED_VALUE"""),20.0)</f>
        <v>20</v>
      </c>
      <c r="F44" s="2">
        <f>IFERROR(__xludf.DUMMYFUNCTION("""COMPUTED_VALUE"""),44.0)</f>
        <v>44</v>
      </c>
      <c r="G44" s="3">
        <f>IFERROR(__xludf.DUMMYFUNCTION("""COMPUTED_VALUE"""),61957.0)</f>
        <v>61957</v>
      </c>
      <c r="H44" s="3">
        <f>IFERROR(__xludf.DUMMYFUNCTION("""COMPUTED_VALUE"""),71087.0)</f>
        <v>71087</v>
      </c>
      <c r="I44" s="2" t="str">
        <f>IFERROR(__xludf.DUMMYFUNCTION("""COMPUTED_VALUE"""),"Mai Valley Hydro Power Pvt Ltd")</f>
        <v>Mai Valley Hydro Power Pvt Ltd</v>
      </c>
      <c r="J44" s="2"/>
      <c r="K44" s="2"/>
      <c r="L44" s="2"/>
    </row>
    <row r="45">
      <c r="A45" s="2">
        <f>IFERROR(__xludf.DUMMYFUNCTION("""COMPUTED_VALUE"""),44.0)</f>
        <v>44</v>
      </c>
      <c r="B45" s="2" t="str">
        <f>IFERROR(__xludf.DUMMYFUNCTION("""COMPUTED_VALUE"""),"Hetauda - Dhalkebar &amp; Duhabi 400 kV")</f>
        <v>Hetauda - Dhalkebar &amp; Duhabi 400 kV</v>
      </c>
      <c r="C45" s="2">
        <f>IFERROR(__xludf.DUMMYFUNCTION("""COMPUTED_VALUE"""),400.0)</f>
        <v>400</v>
      </c>
      <c r="D45" s="2">
        <f>IFERROR(__xludf.DUMMYFUNCTION("""COMPUTED_VALUE"""),285.0)</f>
        <v>285</v>
      </c>
      <c r="E45" s="2">
        <f>IFERROR(__xludf.DUMMYFUNCTION("""COMPUTED_VALUE"""),1000.0)</f>
        <v>1000</v>
      </c>
      <c r="F45" s="2">
        <f>IFERROR(__xludf.DUMMYFUNCTION("""COMPUTED_VALUE"""),45.0)</f>
        <v>45</v>
      </c>
      <c r="G45" s="3">
        <f>IFERROR(__xludf.DUMMYFUNCTION("""COMPUTED_VALUE"""),62004.0)</f>
        <v>62004</v>
      </c>
      <c r="H45" s="3">
        <f>IFERROR(__xludf.DUMMYFUNCTION("""COMPUTED_VALUE"""),71134.0)</f>
        <v>71134</v>
      </c>
      <c r="I45" s="2" t="str">
        <f>IFERROR(__xludf.DUMMYFUNCTION("""COMPUTED_VALUE"""),"Nepal Electricity Authority")</f>
        <v>Nepal Electricity Authority</v>
      </c>
      <c r="J45" s="2" t="str">
        <f>IFERROR(__xludf.DUMMYFUNCTION("""COMPUTED_VALUE"""),"Kathmandu")</f>
        <v>Kathmandu</v>
      </c>
      <c r="K45" s="2"/>
      <c r="L45" s="2"/>
    </row>
    <row r="46">
      <c r="A46" s="2">
        <f>IFERROR(__xludf.DUMMYFUNCTION("""COMPUTED_VALUE"""),45.0)</f>
        <v>45</v>
      </c>
      <c r="B46" s="2" t="str">
        <f>IFERROR(__xludf.DUMMYFUNCTION("""COMPUTED_VALUE"""),"Mailung Khola Transmission Line")</f>
        <v>Mailung Khola Transmission Line</v>
      </c>
      <c r="C46" s="2">
        <f>IFERROR(__xludf.DUMMYFUNCTION("""COMPUTED_VALUE"""),66.0)</f>
        <v>66</v>
      </c>
      <c r="D46" s="2">
        <f>IFERROR(__xludf.DUMMYFUNCTION("""COMPUTED_VALUE"""),3.0)</f>
        <v>3</v>
      </c>
      <c r="E46" s="2">
        <f>IFERROR(__xludf.DUMMYFUNCTION("""COMPUTED_VALUE"""),6.0)</f>
        <v>6</v>
      </c>
      <c r="F46" s="2">
        <f>IFERROR(__xludf.DUMMYFUNCTION("""COMPUTED_VALUE"""),46.0)</f>
        <v>46</v>
      </c>
      <c r="G46" s="3">
        <f>IFERROR(__xludf.DUMMYFUNCTION("""COMPUTED_VALUE"""),62103.0)</f>
        <v>62103</v>
      </c>
      <c r="H46" s="3">
        <f>IFERROR(__xludf.DUMMYFUNCTION("""COMPUTED_VALUE"""),71233.0)</f>
        <v>71233</v>
      </c>
      <c r="I46" s="2" t="str">
        <f>IFERROR(__xludf.DUMMYFUNCTION("""COMPUTED_VALUE"""),"Mailung Khola Jalbidyut Company Pvt. Ltd.")</f>
        <v>Mailung Khola Jalbidyut Company Pvt. Ltd.</v>
      </c>
      <c r="J46" s="2" t="str">
        <f>IFERROR(__xludf.DUMMYFUNCTION("""COMPUTED_VALUE"""),"Subarna Samsher Marg, Baluwatar, Phone 4419703")</f>
        <v>Subarna Samsher Marg, Baluwatar, Phone 4419703</v>
      </c>
      <c r="K46" s="2" t="str">
        <f>IFERROR(__xludf.DUMMYFUNCTION("""COMPUTED_VALUE"""),"Milung Dobhan")</f>
        <v>Milung Dobhan</v>
      </c>
      <c r="L46" s="2" t="str">
        <f>IFERROR(__xludf.DUMMYFUNCTION("""COMPUTED_VALUE"""),"Ramche 66 kV TL")</f>
        <v>Ramche 66 kV TL</v>
      </c>
    </row>
    <row r="47">
      <c r="A47" s="2">
        <f>IFERROR(__xludf.DUMMYFUNCTION("""COMPUTED_VALUE"""),46.0)</f>
        <v>46</v>
      </c>
      <c r="B47" s="2" t="str">
        <f>IFERROR(__xludf.DUMMYFUNCTION("""COMPUTED_VALUE"""),"Pikhuwa Khola Transmission Line Project")</f>
        <v>Pikhuwa Khola Transmission Line Project</v>
      </c>
      <c r="C47" s="2">
        <f>IFERROR(__xludf.DUMMYFUNCTION("""COMPUTED_VALUE"""),33.0)</f>
        <v>33</v>
      </c>
      <c r="D47" s="2">
        <f>IFERROR(__xludf.DUMMYFUNCTION("""COMPUTED_VALUE"""),3.5)</f>
        <v>3.5</v>
      </c>
      <c r="E47" s="2">
        <f>IFERROR(__xludf.DUMMYFUNCTION("""COMPUTED_VALUE"""),2.5)</f>
        <v>2.5</v>
      </c>
      <c r="F47" s="2">
        <f>IFERROR(__xludf.DUMMYFUNCTION("""COMPUTED_VALUE"""),47.0)</f>
        <v>47</v>
      </c>
      <c r="G47" s="3">
        <f>IFERROR(__xludf.DUMMYFUNCTION("""COMPUTED_VALUE"""),62132.0)</f>
        <v>62132</v>
      </c>
      <c r="H47" s="3">
        <f>IFERROR(__xludf.DUMMYFUNCTION("""COMPUTED_VALUE"""),71262.0)</f>
        <v>71262</v>
      </c>
      <c r="I47" s="2" t="str">
        <f>IFERROR(__xludf.DUMMYFUNCTION("""COMPUTED_VALUE"""),"Eastern Hydropower Pvt. Ltd.")</f>
        <v>Eastern Hydropower Pvt. Ltd.</v>
      </c>
      <c r="J47" s="2" t="str">
        <f>IFERROR(__xludf.DUMMYFUNCTION("""COMPUTED_VALUE"""),"Kathmandu")</f>
        <v>Kathmandu</v>
      </c>
      <c r="K47" s="2" t="str">
        <f>IFERROR(__xludf.DUMMYFUNCTION("""COMPUTED_VALUE"""),"Powerhouse at Bhojpur VDC")</f>
        <v>Powerhouse at Bhojpur VDC</v>
      </c>
      <c r="L47" s="2" t="str">
        <f>IFERROR(__xludf.DUMMYFUNCTION("""COMPUTED_VALUE"""),"Panitanki Substation")</f>
        <v>Panitanki Substation</v>
      </c>
    </row>
    <row r="48">
      <c r="A48" s="2">
        <f>IFERROR(__xludf.DUMMYFUNCTION("""COMPUTED_VALUE"""),47.0)</f>
        <v>47</v>
      </c>
      <c r="B48" s="2" t="str">
        <f>IFERROR(__xludf.DUMMYFUNCTION("""COMPUTED_VALUE"""),"Upper Tamakoshi Transmission Line Project")</f>
        <v>Upper Tamakoshi Transmission Line Project</v>
      </c>
      <c r="C48" s="2">
        <f>IFERROR(__xludf.DUMMYFUNCTION("""COMPUTED_VALUE"""),220.0)</f>
        <v>220</v>
      </c>
      <c r="D48" s="2">
        <f>IFERROR(__xludf.DUMMYFUNCTION("""COMPUTED_VALUE"""),47.0)</f>
        <v>47</v>
      </c>
      <c r="E48" s="2">
        <f>IFERROR(__xludf.DUMMYFUNCTION("""COMPUTED_VALUE"""),577.8)</f>
        <v>577.8</v>
      </c>
      <c r="F48" s="2">
        <f>IFERROR(__xludf.DUMMYFUNCTION("""COMPUTED_VALUE"""),48.0)</f>
        <v>48</v>
      </c>
      <c r="G48" s="3">
        <f>IFERROR(__xludf.DUMMYFUNCTION("""COMPUTED_VALUE"""),62234.0)</f>
        <v>62234</v>
      </c>
      <c r="H48" s="3">
        <f>IFERROR(__xludf.DUMMYFUNCTION("""COMPUTED_VALUE"""),71364.0)</f>
        <v>71364</v>
      </c>
      <c r="I48" s="2" t="str">
        <f>IFERROR(__xludf.DUMMYFUNCTION("""COMPUTED_VALUE"""),"Upper Tamakoshi Hydropower Limited")</f>
        <v>Upper Tamakoshi Hydropower Limited</v>
      </c>
      <c r="J48" s="2" t="str">
        <f>IFERROR(__xludf.DUMMYFUNCTION("""COMPUTED_VALUE"""),"Gyaneshwor, kathmandu, PO Box: 36070, Phone: 4424694")</f>
        <v>Gyaneshwor, kathmandu, PO Box: 36070, Phone: 4424694</v>
      </c>
      <c r="K48" s="2" t="str">
        <f>IFERROR(__xludf.DUMMYFUNCTION("""COMPUTED_VALUE"""),"Lamabagar")</f>
        <v>Lamabagar</v>
      </c>
      <c r="L48" s="2" t="str">
        <f>IFERROR(__xludf.DUMMYFUNCTION("""COMPUTED_VALUE"""),"Khimti Substation")</f>
        <v>Khimti Substation</v>
      </c>
    </row>
    <row r="49">
      <c r="A49" s="2">
        <f>IFERROR(__xludf.DUMMYFUNCTION("""COMPUTED_VALUE"""),48.0)</f>
        <v>48</v>
      </c>
      <c r="B49" s="2" t="str">
        <f>IFERROR(__xludf.DUMMYFUNCTION("""COMPUTED_VALUE"""),"Upper Trishuli 3A Transmission Line Project")</f>
        <v>Upper Trishuli 3A Transmission Line Project</v>
      </c>
      <c r="C49" s="2">
        <f>IFERROR(__xludf.DUMMYFUNCTION("""COMPUTED_VALUE"""),220.0)</f>
        <v>220</v>
      </c>
      <c r="D49" s="2">
        <f>IFERROR(__xludf.DUMMYFUNCTION("""COMPUTED_VALUE"""),45.0)</f>
        <v>45</v>
      </c>
      <c r="E49" s="2">
        <f>IFERROR(__xludf.DUMMYFUNCTION("""COMPUTED_VALUE"""),309.0)</f>
        <v>309</v>
      </c>
      <c r="F49" s="2">
        <f>IFERROR(__xludf.DUMMYFUNCTION("""COMPUTED_VALUE"""),49.0)</f>
        <v>49</v>
      </c>
      <c r="G49" s="3">
        <f>IFERROR(__xludf.DUMMYFUNCTION("""COMPUTED_VALUE"""),62240.0)</f>
        <v>62240</v>
      </c>
      <c r="H49" s="3">
        <f>IFERROR(__xludf.DUMMYFUNCTION("""COMPUTED_VALUE"""),71370.0)</f>
        <v>71370</v>
      </c>
      <c r="I49" s="2" t="str">
        <f>IFERROR(__xludf.DUMMYFUNCTION("""COMPUTED_VALUE"""),"Nepal Electricity Authority")</f>
        <v>Nepal Electricity Authority</v>
      </c>
      <c r="J49" s="2" t="str">
        <f>IFERROR(__xludf.DUMMYFUNCTION("""COMPUTED_VALUE"""),"Durbarmarg, Kathmandu")</f>
        <v>Durbarmarg, Kathmandu</v>
      </c>
      <c r="K49" s="2" t="str">
        <f>IFERROR(__xludf.DUMMYFUNCTION("""COMPUTED_VALUE"""),"Upper trishuli 3A Project")</f>
        <v>Upper trishuli 3A Project</v>
      </c>
      <c r="L49" s="2" t="str">
        <f>IFERROR(__xludf.DUMMYFUNCTION("""COMPUTED_VALUE"""),"Matatirtha Substation")</f>
        <v>Matatirtha Substation</v>
      </c>
    </row>
    <row r="50">
      <c r="A50" s="2">
        <f>IFERROR(__xludf.DUMMYFUNCTION("""COMPUTED_VALUE"""),49.0)</f>
        <v>49</v>
      </c>
      <c r="B50" s="2" t="str">
        <f>IFERROR(__xludf.DUMMYFUNCTION("""COMPUTED_VALUE"""),"Lamahi-Ghorahi Transmission Line Project")</f>
        <v>Lamahi-Ghorahi Transmission Line Project</v>
      </c>
      <c r="C50" s="2">
        <f>IFERROR(__xludf.DUMMYFUNCTION("""COMPUTED_VALUE"""),132.0)</f>
        <v>132</v>
      </c>
      <c r="D50" s="2">
        <f>IFERROR(__xludf.DUMMYFUNCTION("""COMPUTED_VALUE"""),12.1)</f>
        <v>12.1</v>
      </c>
      <c r="E50" s="2">
        <f>IFERROR(__xludf.DUMMYFUNCTION("""COMPUTED_VALUE"""),100.0)</f>
        <v>100</v>
      </c>
      <c r="F50" s="2">
        <f>IFERROR(__xludf.DUMMYFUNCTION("""COMPUTED_VALUE"""),50.0)</f>
        <v>50</v>
      </c>
      <c r="G50" s="3">
        <f>IFERROR(__xludf.DUMMYFUNCTION("""COMPUTED_VALUE"""),62279.0)</f>
        <v>62279</v>
      </c>
      <c r="H50" s="3">
        <f>IFERROR(__xludf.DUMMYFUNCTION("""COMPUTED_VALUE"""),71409.0)</f>
        <v>71409</v>
      </c>
      <c r="I50" s="2" t="str">
        <f>IFERROR(__xludf.DUMMYFUNCTION("""COMPUTED_VALUE"""),"Nepal Eletricity Authority")</f>
        <v>Nepal Eletricity Authority</v>
      </c>
      <c r="J50" s="2" t="str">
        <f>IFERROR(__xludf.DUMMYFUNCTION("""COMPUTED_VALUE"""),"Durbarmarg, kathmandu")</f>
        <v>Durbarmarg, kathmandu</v>
      </c>
      <c r="K50" s="2" t="str">
        <f>IFERROR(__xludf.DUMMYFUNCTION("""COMPUTED_VALUE"""),"Lamahi")</f>
        <v>Lamahi</v>
      </c>
      <c r="L50" s="2" t="str">
        <f>IFERROR(__xludf.DUMMYFUNCTION("""COMPUTED_VALUE"""),"Ghorahi")</f>
        <v>Ghorahi</v>
      </c>
    </row>
    <row r="51">
      <c r="A51" s="2">
        <f>IFERROR(__xludf.DUMMYFUNCTION("""COMPUTED_VALUE"""),50.0)</f>
        <v>50</v>
      </c>
      <c r="B51" s="2" t="str">
        <f>IFERROR(__xludf.DUMMYFUNCTION("""COMPUTED_VALUE"""),"Solu corridor 132 kV Transmission Line Project")</f>
        <v>Solu corridor 132 kV Transmission Line Project</v>
      </c>
      <c r="C51" s="2">
        <f>IFERROR(__xludf.DUMMYFUNCTION("""COMPUTED_VALUE"""),132.0)</f>
        <v>132</v>
      </c>
      <c r="D51" s="2">
        <f>IFERROR(__xludf.DUMMYFUNCTION("""COMPUTED_VALUE"""),88.4)</f>
        <v>88.4</v>
      </c>
      <c r="E51" s="2">
        <f>IFERROR(__xludf.DUMMYFUNCTION("""COMPUTED_VALUE"""),352.0)</f>
        <v>352</v>
      </c>
      <c r="F51" s="2">
        <f>IFERROR(__xludf.DUMMYFUNCTION("""COMPUTED_VALUE"""),51.0)</f>
        <v>51</v>
      </c>
      <c r="G51" s="3">
        <f>IFERROR(__xludf.DUMMYFUNCTION("""COMPUTED_VALUE"""),62350.0)</f>
        <v>62350</v>
      </c>
      <c r="H51" s="3">
        <f>IFERROR(__xludf.DUMMYFUNCTION("""COMPUTED_VALUE"""),71480.0)</f>
        <v>71480</v>
      </c>
      <c r="I51" s="2" t="str">
        <f>IFERROR(__xludf.DUMMYFUNCTION("""COMPUTED_VALUE"""),"Nepal Electricity Authority")</f>
        <v>Nepal Electricity Authority</v>
      </c>
      <c r="J51" s="2" t="str">
        <f>IFERROR(__xludf.DUMMYFUNCTION("""COMPUTED_VALUE"""),"Durbarmarga, Kathmandu")</f>
        <v>Durbarmarga, Kathmandu</v>
      </c>
      <c r="K51" s="2" t="str">
        <f>IFERROR(__xludf.DUMMYFUNCTION("""COMPUTED_VALUE"""),"Mirchaiya")</f>
        <v>Mirchaiya</v>
      </c>
      <c r="L51" s="2" t="str">
        <f>IFERROR(__xludf.DUMMYFUNCTION("""COMPUTED_VALUE"""),"Tingla")</f>
        <v>Tingla</v>
      </c>
    </row>
    <row r="52">
      <c r="A52" s="2">
        <f>IFERROR(__xludf.DUMMYFUNCTION("""COMPUTED_VALUE"""),51.0)</f>
        <v>51</v>
      </c>
      <c r="B52" s="2" t="str">
        <f>IFERROR(__xludf.DUMMYFUNCTION("""COMPUTED_VALUE"""),"Hugdi - Birbas 33 kV Line")</f>
        <v>Hugdi - Birbas 33 kV Line</v>
      </c>
      <c r="C52" s="2">
        <f>IFERROR(__xludf.DUMMYFUNCTION("""COMPUTED_VALUE"""),33.0)</f>
        <v>33</v>
      </c>
      <c r="D52" s="2">
        <f>IFERROR(__xludf.DUMMYFUNCTION("""COMPUTED_VALUE"""),12.0)</f>
        <v>12</v>
      </c>
      <c r="E52" s="2">
        <f>IFERROR(__xludf.DUMMYFUNCTION("""COMPUTED_VALUE"""),5.0)</f>
        <v>5</v>
      </c>
      <c r="F52" s="2">
        <f>IFERROR(__xludf.DUMMYFUNCTION("""COMPUTED_VALUE"""),52.0)</f>
        <v>52</v>
      </c>
      <c r="G52" s="3">
        <f>IFERROR(__xludf.DUMMYFUNCTION("""COMPUTED_VALUE"""),62604.0)</f>
        <v>62604</v>
      </c>
      <c r="H52" s="3">
        <f>IFERROR(__xludf.DUMMYFUNCTION("""COMPUTED_VALUE"""),71735.0)</f>
        <v>71735</v>
      </c>
      <c r="I52" s="2" t="str">
        <f>IFERROR(__xludf.DUMMYFUNCTION("""COMPUTED_VALUE"""),"Ruru Jalvidyut Pariyojana P ltd")</f>
        <v>Ruru Jalvidyut Pariyojana P ltd</v>
      </c>
      <c r="J52" s="2" t="str">
        <f>IFERROR(__xludf.DUMMYFUNCTION("""COMPUTED_VALUE"""),"POB 8416 Samakhusi 29 Kathmandu, Ph 4389703")</f>
        <v>POB 8416 Samakhusi 29 Kathmandu, Ph 4389703</v>
      </c>
      <c r="K52" s="2" t="str">
        <f>IFERROR(__xludf.DUMMYFUNCTION("""COMPUTED_VALUE"""),"Switchyard of Hungdi HEP")</f>
        <v>Switchyard of Hungdi HEP</v>
      </c>
      <c r="L52" s="2" t="str">
        <f>IFERROR(__xludf.DUMMYFUNCTION("""COMPUTED_VALUE"""),"Birbas NEA Substation")</f>
        <v>Birbas NEA Substation</v>
      </c>
    </row>
    <row r="53">
      <c r="A53" s="2">
        <f>IFERROR(__xludf.DUMMYFUNCTION("""COMPUTED_VALUE"""),52.0)</f>
        <v>52</v>
      </c>
      <c r="B53" s="2" t="str">
        <f>IFERROR(__xludf.DUMMYFUNCTION("""COMPUTED_VALUE"""),"Tungun Thosne and Khani Khola")</f>
        <v>Tungun Thosne and Khani Khola</v>
      </c>
      <c r="C53" s="2">
        <f>IFERROR(__xludf.DUMMYFUNCTION("""COMPUTED_VALUE"""),33.0)</f>
        <v>33</v>
      </c>
      <c r="D53" s="2">
        <f>IFERROR(__xludf.DUMMYFUNCTION("""COMPUTED_VALUE"""),16.214)</f>
        <v>16.214</v>
      </c>
      <c r="E53" s="2">
        <f>IFERROR(__xludf.DUMMYFUNCTION("""COMPUTED_VALUE"""),6.36)</f>
        <v>6.36</v>
      </c>
      <c r="F53" s="2">
        <f>IFERROR(__xludf.DUMMYFUNCTION("""COMPUTED_VALUE"""),53.0)</f>
        <v>53</v>
      </c>
      <c r="G53" s="3">
        <f>IFERROR(__xludf.DUMMYFUNCTION("""COMPUTED_VALUE"""),62607.0)</f>
        <v>62607</v>
      </c>
      <c r="H53" s="3">
        <f>IFERROR(__xludf.DUMMYFUNCTION("""COMPUTED_VALUE"""),71738.0)</f>
        <v>71738</v>
      </c>
      <c r="I53" s="2" t="str">
        <f>IFERROR(__xludf.DUMMYFUNCTION("""COMPUTED_VALUE"""),"Khani Khola Hydropower Company")</f>
        <v>Khani Khola Hydropower Company</v>
      </c>
      <c r="J53" s="2" t="str">
        <f>IFERROR(__xludf.DUMMYFUNCTION("""COMPUTED_VALUE"""),"226 Milapmarg Vishal Nagar, PoB 8975 Kathmandu, Ph 01-4417947, 4436325")</f>
        <v>226 Milapmarg Vishal Nagar, PoB 8975 Kathmandu, Ph 01-4417947, 4436325</v>
      </c>
      <c r="K53" s="2" t="str">
        <f>IFERROR(__xludf.DUMMYFUNCTION("""COMPUTED_VALUE"""),"Tungun Thosne Switch Yard")</f>
        <v>Tungun Thosne Switch Yard</v>
      </c>
      <c r="L53" s="2" t="str">
        <f>IFERROR(__xludf.DUMMYFUNCTION("""COMPUTED_VALUE"""),"Malta NEA Substation")</f>
        <v>Malta NEA Substation</v>
      </c>
    </row>
    <row r="54">
      <c r="A54" s="2">
        <f>IFERROR(__xludf.DUMMYFUNCTION("""COMPUTED_VALUE"""),53.0)</f>
        <v>53</v>
      </c>
      <c r="B54" s="2" t="str">
        <f>IFERROR(__xludf.DUMMYFUNCTION("""COMPUTED_VALUE"""),"Siuri Khola HEP 33 kV Transmission Line")</f>
        <v>Siuri Khola HEP 33 kV Transmission Line</v>
      </c>
      <c r="C54" s="2">
        <f>IFERROR(__xludf.DUMMYFUNCTION("""COMPUTED_VALUE"""),33.0)</f>
        <v>33</v>
      </c>
      <c r="D54" s="2">
        <f>IFERROR(__xludf.DUMMYFUNCTION("""COMPUTED_VALUE"""),7.5)</f>
        <v>7.5</v>
      </c>
      <c r="E54" s="2">
        <f>IFERROR(__xludf.DUMMYFUNCTION("""COMPUTED_VALUE"""),5.0)</f>
        <v>5</v>
      </c>
      <c r="F54" s="2">
        <f>IFERROR(__xludf.DUMMYFUNCTION("""COMPUTED_VALUE"""),57.0)</f>
        <v>57</v>
      </c>
      <c r="G54" s="3">
        <f>IFERROR(__xludf.DUMMYFUNCTION("""COMPUTED_VALUE"""),62695.0)</f>
        <v>62695</v>
      </c>
      <c r="H54" s="3">
        <f>IFERROR(__xludf.DUMMYFUNCTION("""COMPUTED_VALUE"""),71826.0)</f>
        <v>71826</v>
      </c>
      <c r="I54" s="2" t="str">
        <f>IFERROR(__xludf.DUMMYFUNCTION("""COMPUTED_VALUE"""),"Nyadi Group Pvt Ltd")</f>
        <v>Nyadi Group Pvt Ltd</v>
      </c>
      <c r="J54" s="2" t="str">
        <f>IFERROR(__xludf.DUMMYFUNCTION("""COMPUTED_VALUE"""),"P.O. Box: 14165, Tel: 01-4102651, Fax: 01-43732020")</f>
        <v>P.O. Box: 14165, Tel: 01-4102651, Fax: 01-43732020</v>
      </c>
      <c r="K54" s="2" t="str">
        <f>IFERROR(__xludf.DUMMYFUNCTION("""COMPUTED_VALUE"""),"Siuri SS, Bhulbhule")</f>
        <v>Siuri SS, Bhulbhule</v>
      </c>
      <c r="L54" s="2" t="str">
        <f>IFERROR(__xludf.DUMMYFUNCTION("""COMPUTED_VALUE"""),"Khudi SS, Thakanbesi")</f>
        <v>Khudi SS, Thakanbesi</v>
      </c>
    </row>
    <row r="55">
      <c r="A55" s="2">
        <f>IFERROR(__xludf.DUMMYFUNCTION("""COMPUTED_VALUE"""),54.0)</f>
        <v>54</v>
      </c>
      <c r="B55" s="2" t="str">
        <f>IFERROR(__xludf.DUMMYFUNCTION("""COMPUTED_VALUE"""),"Solu HEP 132 KV")</f>
        <v>Solu HEP 132 KV</v>
      </c>
      <c r="C55" s="2">
        <f>IFERROR(__xludf.DUMMYFUNCTION("""COMPUTED_VALUE"""),132.0)</f>
        <v>132</v>
      </c>
      <c r="D55" s="2">
        <f>IFERROR(__xludf.DUMMYFUNCTION("""COMPUTED_VALUE"""),2.6)</f>
        <v>2.6</v>
      </c>
      <c r="E55" s="2">
        <f>IFERROR(__xludf.DUMMYFUNCTION("""COMPUTED_VALUE"""),23.5)</f>
        <v>23.5</v>
      </c>
      <c r="F55" s="2">
        <f>IFERROR(__xludf.DUMMYFUNCTION("""COMPUTED_VALUE"""),54.0)</f>
        <v>54</v>
      </c>
      <c r="G55" s="3">
        <f>IFERROR(__xludf.DUMMYFUNCTION("""COMPUTED_VALUE"""),62735.0)</f>
        <v>62735</v>
      </c>
      <c r="H55" s="3">
        <f>IFERROR(__xludf.DUMMYFUNCTION("""COMPUTED_VALUE"""),71866.0)</f>
        <v>71866</v>
      </c>
      <c r="I55" s="2" t="str">
        <f>IFERROR(__xludf.DUMMYFUNCTION("""COMPUTED_VALUE"""),"Upper Solu Hydro Electric Co.Pvt.Ltd.")</f>
        <v>Upper Solu Hydro Electric Co.Pvt.Ltd.</v>
      </c>
      <c r="J55" s="2" t="str">
        <f>IFERROR(__xludf.DUMMYFUNCTION("""COMPUTED_VALUE"""),"Narayan Chour")</f>
        <v>Narayan Chour</v>
      </c>
      <c r="K55" s="2" t="str">
        <f>IFERROR(__xludf.DUMMYFUNCTION("""COMPUTED_VALUE"""),"Switchyard of Solu HEP")</f>
        <v>Switchyard of Solu HEP</v>
      </c>
      <c r="L55" s="2" t="str">
        <f>IFERROR(__xludf.DUMMYFUNCTION("""COMPUTED_VALUE"""),"Lamane NEA Substation")</f>
        <v>Lamane NEA Substation</v>
      </c>
    </row>
    <row r="56">
      <c r="A56" s="2">
        <f>IFERROR(__xludf.DUMMYFUNCTION("""COMPUTED_VALUE"""),55.0)</f>
        <v>55</v>
      </c>
      <c r="B56" s="2" t="str">
        <f>IFERROR(__xludf.DUMMYFUNCTION("""COMPUTED_VALUE"""),"Koshi Corridor")</f>
        <v>Koshi Corridor</v>
      </c>
      <c r="C56" s="2">
        <f>IFERROR(__xludf.DUMMYFUNCTION("""COMPUTED_VALUE"""),220.0)</f>
        <v>220</v>
      </c>
      <c r="D56" s="2">
        <f>IFERROR(__xludf.DUMMYFUNCTION("""COMPUTED_VALUE"""),220.0)</f>
        <v>220</v>
      </c>
      <c r="E56" s="2">
        <f>IFERROR(__xludf.DUMMYFUNCTION("""COMPUTED_VALUE"""),850.0)</f>
        <v>850</v>
      </c>
      <c r="F56" s="2">
        <f>IFERROR(__xludf.DUMMYFUNCTION("""COMPUTED_VALUE"""),55.0)</f>
        <v>55</v>
      </c>
      <c r="G56" s="3">
        <f>IFERROR(__xludf.DUMMYFUNCTION("""COMPUTED_VALUE"""),62740.0)</f>
        <v>62740</v>
      </c>
      <c r="H56" s="3">
        <f>IFERROR(__xludf.DUMMYFUNCTION("""COMPUTED_VALUE"""),71871.0)</f>
        <v>71871</v>
      </c>
      <c r="I56" s="2" t="str">
        <f>IFERROR(__xludf.DUMMYFUNCTION("""COMPUTED_VALUE"""),"Nepal Electricity Authority")</f>
        <v>Nepal Electricity Authority</v>
      </c>
      <c r="J56" s="2" t="str">
        <f>IFERROR(__xludf.DUMMYFUNCTION("""COMPUTED_VALUE"""),"Darbar Marg Kathmandu, POB 10020")</f>
        <v>Darbar Marg Kathmandu, POB 10020</v>
      </c>
      <c r="K56" s="2" t="str">
        <f>IFERROR(__xludf.DUMMYFUNCTION("""COMPUTED_VALUE"""),"Dhunge Bisauni")</f>
        <v>Dhunge Bisauni</v>
      </c>
      <c r="L56" s="2" t="str">
        <f>IFERROR(__xludf.DUMMYFUNCTION("""COMPUTED_VALUE"""),"Sunsari Jhokraha")</f>
        <v>Sunsari Jhokraha</v>
      </c>
    </row>
    <row r="57">
      <c r="A57" s="2">
        <f>IFERROR(__xludf.DUMMYFUNCTION("""COMPUTED_VALUE"""),56.0)</f>
        <v>56</v>
      </c>
      <c r="B57" s="2" t="str">
        <f>IFERROR(__xludf.DUMMYFUNCTION("""COMPUTED_VALUE"""),"Nugad Gad HP")</f>
        <v>Nugad Gad HP</v>
      </c>
      <c r="C57" s="2">
        <f>IFERROR(__xludf.DUMMYFUNCTION("""COMPUTED_VALUE"""),33.0)</f>
        <v>33</v>
      </c>
      <c r="D57" s="2">
        <f>IFERROR(__xludf.DUMMYFUNCTION("""COMPUTED_VALUE"""),5.0)</f>
        <v>5</v>
      </c>
      <c r="E57" s="2">
        <f>IFERROR(__xludf.DUMMYFUNCTION("""COMPUTED_VALUE"""),8.5)</f>
        <v>8.5</v>
      </c>
      <c r="F57" s="2">
        <f>IFERROR(__xludf.DUMMYFUNCTION("""COMPUTED_VALUE"""),56.0)</f>
        <v>56</v>
      </c>
      <c r="G57" s="3">
        <f>IFERROR(__xludf.DUMMYFUNCTION("""COMPUTED_VALUE"""),62740.0)</f>
        <v>62740</v>
      </c>
      <c r="H57" s="3">
        <f>IFERROR(__xludf.DUMMYFUNCTION("""COMPUTED_VALUE"""),71871.0)</f>
        <v>71871</v>
      </c>
      <c r="I57" s="2" t="str">
        <f>IFERROR(__xludf.DUMMYFUNCTION("""COMPUTED_VALUE"""),"Api Power Co. Ltd")</f>
        <v>Api Power Co. Ltd</v>
      </c>
      <c r="J57" s="2" t="str">
        <f>IFERROR(__xludf.DUMMYFUNCTION("""COMPUTED_VALUE"""),"Trade Tower, Thapathali KTM,5111035")</f>
        <v>Trade Tower, Thapathali KTM,5111035</v>
      </c>
      <c r="K57" s="2" t="str">
        <f>IFERROR(__xludf.DUMMYFUNCTION("""COMPUTED_VALUE"""),"Switchyard")</f>
        <v>Switchyard</v>
      </c>
      <c r="L57" s="2" t="str">
        <f>IFERROR(__xludf.DUMMYFUNCTION("""COMPUTED_VALUE"""),"Darchula Sikhar")</f>
        <v>Darchula Sikhar</v>
      </c>
    </row>
    <row r="58">
      <c r="A58" s="2">
        <f>IFERROR(__xludf.DUMMYFUNCTION("""COMPUTED_VALUE"""),57.0)</f>
        <v>57</v>
      </c>
      <c r="B58" s="2" t="str">
        <f>IFERROR(__xludf.DUMMYFUNCTION("""COMPUTED_VALUE"""),"Chhandi Khola &amp; Upper Chhandi Khola Joint HEP Transmission Line")</f>
        <v>Chhandi Khola &amp; Upper Chhandi Khola Joint HEP Transmission Line</v>
      </c>
      <c r="C58" s="2">
        <f>IFERROR(__xludf.DUMMYFUNCTION("""COMPUTED_VALUE"""),33.0)</f>
        <v>33</v>
      </c>
      <c r="D58" s="2">
        <f>IFERROR(__xludf.DUMMYFUNCTION("""COMPUTED_VALUE"""),10.0)</f>
        <v>10</v>
      </c>
      <c r="E58" s="2">
        <f>IFERROR(__xludf.DUMMYFUNCTION("""COMPUTED_VALUE"""),6.0)</f>
        <v>6</v>
      </c>
      <c r="F58" s="2">
        <f>IFERROR(__xludf.DUMMYFUNCTION("""COMPUTED_VALUE"""),58.0)</f>
        <v>58</v>
      </c>
      <c r="G58" s="3">
        <f>IFERROR(__xludf.DUMMYFUNCTION("""COMPUTED_VALUE"""),62777.0)</f>
        <v>62777</v>
      </c>
      <c r="H58" s="3">
        <f>IFERROR(__xludf.DUMMYFUNCTION("""COMPUTED_VALUE"""),71908.0)</f>
        <v>71908</v>
      </c>
      <c r="I58" s="2" t="str">
        <f>IFERROR(__xludf.DUMMYFUNCTION("""COMPUTED_VALUE"""),"Chhyangdi Hydropower Limited")</f>
        <v>Chhyangdi Hydropower Limited</v>
      </c>
      <c r="J58" s="2" t="str">
        <f>IFERROR(__xludf.DUMMYFUNCTION("""COMPUTED_VALUE"""),"Gairidhara Kathmandu")</f>
        <v>Gairidhara Kathmandu</v>
      </c>
      <c r="K58" s="2" t="str">
        <f>IFERROR(__xludf.DUMMYFUNCTION("""COMPUTED_VALUE"""),"Switchyard")</f>
        <v>Switchyard</v>
      </c>
      <c r="L58" s="2" t="str">
        <f>IFERROR(__xludf.DUMMYFUNCTION("""COMPUTED_VALUE"""),"udipur")</f>
        <v>udipur</v>
      </c>
    </row>
    <row r="59">
      <c r="A59" s="2">
        <f>IFERROR(__xludf.DUMMYFUNCTION("""COMPUTED_VALUE"""),58.0)</f>
        <v>58</v>
      </c>
      <c r="B59" s="2" t="str">
        <f>IFERROR(__xludf.DUMMYFUNCTION("""COMPUTED_VALUE"""),"Daram Khola A 33kV")</f>
        <v>Daram Khola A 33kV</v>
      </c>
      <c r="C59" s="2">
        <f>IFERROR(__xludf.DUMMYFUNCTION("""COMPUTED_VALUE"""),33.0)</f>
        <v>33</v>
      </c>
      <c r="D59" s="2">
        <f>IFERROR(__xludf.DUMMYFUNCTION("""COMPUTED_VALUE"""),5.0)</f>
        <v>5</v>
      </c>
      <c r="E59" s="2">
        <f>IFERROR(__xludf.DUMMYFUNCTION("""COMPUTED_VALUE"""),2.5)</f>
        <v>2.5</v>
      </c>
      <c r="F59" s="2">
        <f>IFERROR(__xludf.DUMMYFUNCTION("""COMPUTED_VALUE"""),59.0)</f>
        <v>59</v>
      </c>
      <c r="G59" s="3">
        <f>IFERROR(__xludf.DUMMYFUNCTION("""COMPUTED_VALUE"""),62914.0)</f>
        <v>62914</v>
      </c>
      <c r="H59" s="3">
        <f>IFERROR(__xludf.DUMMYFUNCTION("""COMPUTED_VALUE"""),72044.0)</f>
        <v>72044</v>
      </c>
      <c r="I59" s="2" t="str">
        <f>IFERROR(__xludf.DUMMYFUNCTION("""COMPUTED_VALUE"""),"Sayapatri Hydropower P Ltd")</f>
        <v>Sayapatri Hydropower P Ltd</v>
      </c>
      <c r="J59" s="2" t="str">
        <f>IFERROR(__xludf.DUMMYFUNCTION("""COMPUTED_VALUE"""),"Kathmandu")</f>
        <v>Kathmandu</v>
      </c>
      <c r="K59" s="2" t="str">
        <f>IFERROR(__xludf.DUMMYFUNCTION("""COMPUTED_VALUE"""),"Switchyard")</f>
        <v>Switchyard</v>
      </c>
      <c r="L59" s="2" t="str">
        <f>IFERROR(__xludf.DUMMYFUNCTION("""COMPUTED_VALUE"""),"harichaur")</f>
        <v>harichaur</v>
      </c>
    </row>
    <row r="60">
      <c r="A60" s="2">
        <f>IFERROR(__xludf.DUMMYFUNCTION("""COMPUTED_VALUE"""),59.0)</f>
        <v>59</v>
      </c>
      <c r="B60" s="2" t="str">
        <f>IFERROR(__xludf.DUMMYFUNCTION("""COMPUTED_VALUE"""),"Upper Madi 132kV Transmission Line Project")</f>
        <v>Upper Madi 132kV Transmission Line Project</v>
      </c>
      <c r="C60" s="2">
        <f>IFERROR(__xludf.DUMMYFUNCTION("""COMPUTED_VALUE"""),132.0)</f>
        <v>132</v>
      </c>
      <c r="D60" s="2">
        <f>IFERROR(__xludf.DUMMYFUNCTION("""COMPUTED_VALUE"""),10.0)</f>
        <v>10</v>
      </c>
      <c r="E60" s="2">
        <f>IFERROR(__xludf.DUMMYFUNCTION("""COMPUTED_VALUE"""),118.0)</f>
        <v>118</v>
      </c>
      <c r="F60" s="2">
        <f>IFERROR(__xludf.DUMMYFUNCTION("""COMPUTED_VALUE"""),60.0)</f>
        <v>60</v>
      </c>
      <c r="G60" s="3">
        <f>IFERROR(__xludf.DUMMYFUNCTION("""COMPUTED_VALUE"""),62986.0)</f>
        <v>62986</v>
      </c>
      <c r="H60" s="3">
        <f>IFERROR(__xludf.DUMMYFUNCTION("""COMPUTED_VALUE"""),72116.0)</f>
        <v>72116</v>
      </c>
      <c r="I60" s="2" t="str">
        <f>IFERROR(__xludf.DUMMYFUNCTION("""COMPUTED_VALUE"""),"Madi Power Pvt. Ltd.")</f>
        <v>Madi Power Pvt. Ltd.</v>
      </c>
      <c r="J60" s="2" t="str">
        <f>IFERROR(__xludf.DUMMYFUNCTION("""COMPUTED_VALUE"""),"Gorkha Complex, Min Bhavan, PO Box: 2581, Phone: 014106507, 014106731 Fax: 
01410")</f>
        <v>Gorkha Complex, Min Bhavan, PO Box: 2581, Phone: 014106507, 014106731 Fax: 
01410</v>
      </c>
      <c r="K60" s="2" t="str">
        <f>IFERROR(__xludf.DUMMYFUNCTION("""COMPUTED_VALUE"""),"Sildujure")</f>
        <v>Sildujure</v>
      </c>
      <c r="L60" s="2" t="str">
        <f>IFERROR(__xludf.DUMMYFUNCTION("""COMPUTED_VALUE"""),"Lekhnath Substation")</f>
        <v>Lekhnath Substation</v>
      </c>
    </row>
    <row r="61">
      <c r="A61" s="2">
        <f>IFERROR(__xludf.DUMMYFUNCTION("""COMPUTED_VALUE"""),60.0)</f>
        <v>60</v>
      </c>
      <c r="B61" s="2" t="str">
        <f>IFERROR(__xludf.DUMMYFUNCTION("""COMPUTED_VALUE"""),"Jogmai Khola HPP Joint Transmission Line Project")</f>
        <v>Jogmai Khola HPP Joint Transmission Line Project</v>
      </c>
      <c r="C61" s="2">
        <f>IFERROR(__xludf.DUMMYFUNCTION("""COMPUTED_VALUE"""),33.0)</f>
        <v>33</v>
      </c>
      <c r="D61" s="2">
        <f>IFERROR(__xludf.DUMMYFUNCTION("""COMPUTED_VALUE"""),10.88)</f>
        <v>10.88</v>
      </c>
      <c r="E61" s="2">
        <f>IFERROR(__xludf.DUMMYFUNCTION("""COMPUTED_VALUE"""),19.0)</f>
        <v>19</v>
      </c>
      <c r="F61" s="2">
        <f>IFERROR(__xludf.DUMMYFUNCTION("""COMPUTED_VALUE"""),61.0)</f>
        <v>61</v>
      </c>
      <c r="G61" s="3">
        <f>IFERROR(__xludf.DUMMYFUNCTION("""COMPUTED_VALUE"""),62988.0)</f>
        <v>62988</v>
      </c>
      <c r="H61" s="3">
        <f>IFERROR(__xludf.DUMMYFUNCTION("""COMPUTED_VALUE"""),72118.0)</f>
        <v>72118</v>
      </c>
      <c r="I61" s="2" t="str">
        <f>IFERROR(__xludf.DUMMYFUNCTION("""COMPUTED_VALUE"""),"Sanvi Energy Pvt. Ltd.")</f>
        <v>Sanvi Energy Pvt. Ltd.</v>
      </c>
      <c r="J61" s="2" t="str">
        <f>IFERROR(__xludf.DUMMYFUNCTION("""COMPUTED_VALUE"""),"Manbhavan, Lalitpur, PO Box: 8975EPC1341, Phone: 5532860")</f>
        <v>Manbhavan, Lalitpur, PO Box: 8975EPC1341, Phone: 5532860</v>
      </c>
      <c r="K61" s="2" t="str">
        <f>IFERROR(__xludf.DUMMYFUNCTION("""COMPUTED_VALUE"""),"Switchyard of Jogmai Khola Project")</f>
        <v>Switchyard of Jogmai Khola Project</v>
      </c>
      <c r="L61" s="2" t="str">
        <f>IFERROR(__xludf.DUMMYFUNCTION("""COMPUTED_VALUE"""),"Proposed Godak Substation")</f>
        <v>Proposed Godak Substation</v>
      </c>
    </row>
    <row r="62">
      <c r="A62" s="2">
        <f>IFERROR(__xludf.DUMMYFUNCTION("""COMPUTED_VALUE"""),61.0)</f>
        <v>61</v>
      </c>
      <c r="B62" s="2" t="str">
        <f>IFERROR(__xludf.DUMMYFUNCTION("""COMPUTED_VALUE"""),"Samundratar-Trishuli 3B Hub 132 kV Transmission Line Project")</f>
        <v>Samundratar-Trishuli 3B Hub 132 kV Transmission Line Project</v>
      </c>
      <c r="C62" s="2">
        <f>IFERROR(__xludf.DUMMYFUNCTION("""COMPUTED_VALUE"""),132.0)</f>
        <v>132</v>
      </c>
      <c r="D62" s="2">
        <f>IFERROR(__xludf.DUMMYFUNCTION("""COMPUTED_VALUE"""),25.0)</f>
        <v>25</v>
      </c>
      <c r="E62" s="2">
        <f>IFERROR(__xludf.DUMMYFUNCTION("""COMPUTED_VALUE"""),100.0)</f>
        <v>100</v>
      </c>
      <c r="F62" s="2">
        <f>IFERROR(__xludf.DUMMYFUNCTION("""COMPUTED_VALUE"""),62.0)</f>
        <v>62</v>
      </c>
      <c r="G62" s="3">
        <f>IFERROR(__xludf.DUMMYFUNCTION("""COMPUTED_VALUE"""),63007.0)</f>
        <v>63007</v>
      </c>
      <c r="H62" s="3">
        <f>IFERROR(__xludf.DUMMYFUNCTION("""COMPUTED_VALUE"""),72137.0)</f>
        <v>72137</v>
      </c>
      <c r="I62" s="2" t="str">
        <f>IFERROR(__xludf.DUMMYFUNCTION("""COMPUTED_VALUE"""),"Nepal Electricity Authority")</f>
        <v>Nepal Electricity Authority</v>
      </c>
      <c r="J62" s="2" t="str">
        <f>IFERROR(__xludf.DUMMYFUNCTION("""COMPUTED_VALUE"""),"Durbarmarg, Kathmandu")</f>
        <v>Durbarmarg, Kathmandu</v>
      </c>
      <c r="K62" s="2" t="str">
        <f>IFERROR(__xludf.DUMMYFUNCTION("""COMPUTED_VALUE"""),"Samundratar")</f>
        <v>Samundratar</v>
      </c>
      <c r="L62" s="2" t="str">
        <f>IFERROR(__xludf.DUMMYFUNCTION("""COMPUTED_VALUE"""),"Trishuli 3B Hub-stationt")</f>
        <v>Trishuli 3B Hub-stationt</v>
      </c>
    </row>
    <row r="63">
      <c r="A63" s="2">
        <f>IFERROR(__xludf.DUMMYFUNCTION("""COMPUTED_VALUE"""),62.0)</f>
        <v>62</v>
      </c>
      <c r="B63" s="2" t="str">
        <f>IFERROR(__xludf.DUMMYFUNCTION("""COMPUTED_VALUE"""),"Hewa Khola A 132 kV Transmission Line")</f>
        <v>Hewa Khola A 132 kV Transmission Line</v>
      </c>
      <c r="C63" s="2">
        <f>IFERROR(__xludf.DUMMYFUNCTION("""COMPUTED_VALUE"""),132.0)</f>
        <v>132</v>
      </c>
      <c r="D63" s="2">
        <f>IFERROR(__xludf.DUMMYFUNCTION("""COMPUTED_VALUE"""),15.0)</f>
        <v>15</v>
      </c>
      <c r="E63" s="2">
        <f>IFERROR(__xludf.DUMMYFUNCTION("""COMPUTED_VALUE"""),4.5)</f>
        <v>4.5</v>
      </c>
      <c r="F63" s="2">
        <f>IFERROR(__xludf.DUMMYFUNCTION("""COMPUTED_VALUE"""),63.0)</f>
        <v>63</v>
      </c>
      <c r="G63" s="3">
        <f>IFERROR(__xludf.DUMMYFUNCTION("""COMPUTED_VALUE"""),63025.0)</f>
        <v>63025</v>
      </c>
      <c r="H63" s="3">
        <f>IFERROR(__xludf.DUMMYFUNCTION("""COMPUTED_VALUE"""),72155.0)</f>
        <v>72155</v>
      </c>
      <c r="I63" s="2" t="str">
        <f>IFERROR(__xludf.DUMMYFUNCTION("""COMPUTED_VALUE"""),"Panchthar Power Company P")</f>
        <v>Panchthar Power Company P</v>
      </c>
      <c r="J63" s="2" t="str">
        <f>IFERROR(__xludf.DUMMYFUNCTION("""COMPUTED_VALUE"""),"Kathmandu")</f>
        <v>Kathmandu</v>
      </c>
      <c r="K63" s="2" t="str">
        <f>IFERROR(__xludf.DUMMYFUNCTION("""COMPUTED_VALUE"""),"Switchyard")</f>
        <v>Switchyard</v>
      </c>
      <c r="L63" s="2" t="str">
        <f>IFERROR(__xludf.DUMMYFUNCTION("""COMPUTED_VALUE"""),"Fidim Substation")</f>
        <v>Fidim Substation</v>
      </c>
    </row>
    <row r="64">
      <c r="A64" s="2">
        <f>IFERROR(__xludf.DUMMYFUNCTION("""COMPUTED_VALUE"""),63.0)</f>
        <v>63</v>
      </c>
      <c r="B64" s="2" t="str">
        <f>IFERROR(__xludf.DUMMYFUNCTION("""COMPUTED_VALUE"""),"Bhulbhule-Madhya Marsyangdi TL Project")</f>
        <v>Bhulbhule-Madhya Marsyangdi TL Project</v>
      </c>
      <c r="C64" s="2">
        <f>IFERROR(__xludf.DUMMYFUNCTION("""COMPUTED_VALUE"""),132.0)</f>
        <v>132</v>
      </c>
      <c r="D64" s="2">
        <f>IFERROR(__xludf.DUMMYFUNCTION("""COMPUTED_VALUE"""),22.0)</f>
        <v>22</v>
      </c>
      <c r="E64" s="2">
        <f>IFERROR(__xludf.DUMMYFUNCTION("""COMPUTED_VALUE"""),100.0)</f>
        <v>100</v>
      </c>
      <c r="F64" s="2">
        <f>IFERROR(__xludf.DUMMYFUNCTION("""COMPUTED_VALUE"""),64.0)</f>
        <v>64</v>
      </c>
      <c r="G64" s="3">
        <f>IFERROR(__xludf.DUMMYFUNCTION("""COMPUTED_VALUE"""),63069.0)</f>
        <v>63069</v>
      </c>
      <c r="H64" s="3">
        <f>IFERROR(__xludf.DUMMYFUNCTION("""COMPUTED_VALUE"""),72199.0)</f>
        <v>72199</v>
      </c>
      <c r="I64" s="2" t="str">
        <f>IFERROR(__xludf.DUMMYFUNCTION("""COMPUTED_VALUE"""),"Nepal electricity Authority")</f>
        <v>Nepal electricity Authority</v>
      </c>
      <c r="J64" s="2" t="str">
        <f>IFERROR(__xludf.DUMMYFUNCTION("""COMPUTED_VALUE"""),"Durbarmarg")</f>
        <v>Durbarmarg</v>
      </c>
      <c r="K64" s="2" t="str">
        <f>IFERROR(__xludf.DUMMYFUNCTION("""COMPUTED_VALUE"""),"Upper Marsyangdi A HEP Switchyard")</f>
        <v>Upper Marsyangdi A HEP Switchyard</v>
      </c>
      <c r="L64" s="2" t="str">
        <f>IFERROR(__xludf.DUMMYFUNCTION("""COMPUTED_VALUE"""),"Madhya Marsyangdi")</f>
        <v>Madhya Marsyangdi</v>
      </c>
    </row>
    <row r="65">
      <c r="A65" s="2">
        <f>IFERROR(__xludf.DUMMYFUNCTION("""COMPUTED_VALUE"""),64.0)</f>
        <v>64</v>
      </c>
      <c r="B65" s="2" t="str">
        <f>IFERROR(__xludf.DUMMYFUNCTION("""COMPUTED_VALUE"""),"Thapa Khola Transmission Line Project")</f>
        <v>Thapa Khola Transmission Line Project</v>
      </c>
      <c r="C65" s="2">
        <f>IFERROR(__xludf.DUMMYFUNCTION("""COMPUTED_VALUE"""),33.0)</f>
        <v>33</v>
      </c>
      <c r="D65" s="2">
        <f>IFERROR(__xludf.DUMMYFUNCTION("""COMPUTED_VALUE"""),4.0)</f>
        <v>4</v>
      </c>
      <c r="E65" s="2">
        <f>IFERROR(__xludf.DUMMYFUNCTION("""COMPUTED_VALUE"""),11.2)</f>
        <v>11.2</v>
      </c>
      <c r="F65" s="2">
        <f>IFERROR(__xludf.DUMMYFUNCTION("""COMPUTED_VALUE"""),65.0)</f>
        <v>65</v>
      </c>
      <c r="G65" s="3">
        <f>IFERROR(__xludf.DUMMYFUNCTION("""COMPUTED_VALUE"""),63114.0)</f>
        <v>63114</v>
      </c>
      <c r="H65" s="3">
        <f>IFERROR(__xludf.DUMMYFUNCTION("""COMPUTED_VALUE"""),72244.0)</f>
        <v>72244</v>
      </c>
      <c r="I65" s="2" t="str">
        <f>IFERROR(__xludf.DUMMYFUNCTION("""COMPUTED_VALUE"""),"Mount Kailash Energy Pvt. Ltd.")</f>
        <v>Mount Kailash Energy Pvt. Ltd.</v>
      </c>
      <c r="J65" s="2" t="str">
        <f>IFERROR(__xludf.DUMMYFUNCTION("""COMPUTED_VALUE"""),"P. O. Box: 12107, Banasthali-16, Kathmandu. Phone: 014387869, Fax: 014350870")</f>
        <v>P. O. Box: 12107, Banasthali-16, Kathmandu. Phone: 014387869, Fax: 014350870</v>
      </c>
      <c r="K65" s="2" t="str">
        <f>IFERROR(__xludf.DUMMYFUNCTION("""COMPUTED_VALUE"""),"Thapa Khola Project P/H")</f>
        <v>Thapa Khola Project P/H</v>
      </c>
      <c r="L65" s="2" t="str">
        <f>IFERROR(__xludf.DUMMYFUNCTION("""COMPUTED_VALUE"""),"Proposed Koban Substation")</f>
        <v>Proposed Koban Substation</v>
      </c>
    </row>
    <row r="66">
      <c r="A66" s="2">
        <f>IFERROR(__xludf.DUMMYFUNCTION("""COMPUTED_VALUE"""),65.0)</f>
        <v>65</v>
      </c>
      <c r="B66" s="2" t="str">
        <f>IFERROR(__xludf.DUMMYFUNCTION("""COMPUTED_VALUE"""),"Daraudi A 33 kV Transmission Line Project")</f>
        <v>Daraudi A 33 kV Transmission Line Project</v>
      </c>
      <c r="C66" s="2">
        <f>IFERROR(__xludf.DUMMYFUNCTION("""COMPUTED_VALUE"""),33.0)</f>
        <v>33</v>
      </c>
      <c r="D66" s="2">
        <f>IFERROR(__xludf.DUMMYFUNCTION("""COMPUTED_VALUE"""),17.0)</f>
        <v>17</v>
      </c>
      <c r="E66" s="2">
        <f>IFERROR(__xludf.DUMMYFUNCTION("""COMPUTED_VALUE"""),6.0)</f>
        <v>6</v>
      </c>
      <c r="F66" s="2">
        <f>IFERROR(__xludf.DUMMYFUNCTION("""COMPUTED_VALUE"""),66.0)</f>
        <v>66</v>
      </c>
      <c r="G66" s="3">
        <f>IFERROR(__xludf.DUMMYFUNCTION("""COMPUTED_VALUE"""),63159.0)</f>
        <v>63159</v>
      </c>
      <c r="H66" s="3">
        <f>IFERROR(__xludf.DUMMYFUNCTION("""COMPUTED_VALUE"""),72289.0)</f>
        <v>72289</v>
      </c>
      <c r="I66" s="2" t="str">
        <f>IFERROR(__xludf.DUMMYFUNCTION("""COMPUTED_VALUE"""),"Daraudi Kalika Hydropower Pvt.Ltd.")</f>
        <v>Daraudi Kalika Hydropower Pvt.Ltd.</v>
      </c>
      <c r="J66" s="2" t="str">
        <f>IFERROR(__xludf.DUMMYFUNCTION("""COMPUTED_VALUE"""),"Baluwatar 4, kathmandu, kalika tower , 6th floor, P.O.Box 21534, Phone 
4439152")</f>
        <v>Baluwatar 4, kathmandu, kalika tower , 6th floor, P.O.Box 21534, Phone 
4439152</v>
      </c>
      <c r="K66" s="2" t="str">
        <f>IFERROR(__xludf.DUMMYFUNCTION("""COMPUTED_VALUE"""),"Switchyard at chanute")</f>
        <v>Switchyard at chanute</v>
      </c>
      <c r="L66" s="2" t="str">
        <f>IFERROR(__xludf.DUMMYFUNCTION("""COMPUTED_VALUE"""),"Gorkha, Substation")</f>
        <v>Gorkha, Substation</v>
      </c>
    </row>
    <row r="67">
      <c r="A67" s="2">
        <f>IFERROR(__xludf.DUMMYFUNCTION("""COMPUTED_VALUE"""),66.0)</f>
        <v>66</v>
      </c>
      <c r="B67" s="2" t="str">
        <f>IFERROR(__xludf.DUMMYFUNCTION("""COMPUTED_VALUE"""),"Trishuli 3B Hub Substation")</f>
        <v>Trishuli 3B Hub Substation</v>
      </c>
      <c r="C67" s="2">
        <f>IFERROR(__xludf.DUMMYFUNCTION("""COMPUTED_VALUE"""),220.0)</f>
        <v>220</v>
      </c>
      <c r="D67" s="2">
        <f>IFERROR(__xludf.DUMMYFUNCTION("""COMPUTED_VALUE"""),0.744)</f>
        <v>0.744</v>
      </c>
      <c r="E67" s="2">
        <f>IFERROR(__xludf.DUMMYFUNCTION("""COMPUTED_VALUE"""),400.0)</f>
        <v>400</v>
      </c>
      <c r="F67" s="2">
        <f>IFERROR(__xludf.DUMMYFUNCTION("""COMPUTED_VALUE"""),67.0)</f>
        <v>67</v>
      </c>
      <c r="G67" s="3">
        <f>IFERROR(__xludf.DUMMYFUNCTION("""COMPUTED_VALUE"""),63165.0)</f>
        <v>63165</v>
      </c>
      <c r="H67" s="3">
        <f>IFERROR(__xludf.DUMMYFUNCTION("""COMPUTED_VALUE"""),72295.0)</f>
        <v>72295</v>
      </c>
      <c r="I67" s="2" t="str">
        <f>IFERROR(__xludf.DUMMYFUNCTION("""COMPUTED_VALUE"""),"Nepal Electricity Authority")</f>
        <v>Nepal Electricity Authority</v>
      </c>
      <c r="J67" s="2" t="str">
        <f>IFERROR(__xludf.DUMMYFUNCTION("""COMPUTED_VALUE"""),"Kathmandu")</f>
        <v>Kathmandu</v>
      </c>
      <c r="K67" s="2" t="str">
        <f>IFERROR(__xludf.DUMMYFUNCTION("""COMPUTED_VALUE"""),"Upper 3A Matatirtha 220kV")</f>
        <v>Upper 3A Matatirtha 220kV</v>
      </c>
      <c r="L67" s="2" t="str">
        <f>IFERROR(__xludf.DUMMYFUNCTION("""COMPUTED_VALUE"""),"Matatirtha Busbar")</f>
        <v>Matatirtha Busbar</v>
      </c>
    </row>
    <row r="68">
      <c r="A68" s="2">
        <f>IFERROR(__xludf.DUMMYFUNCTION("""COMPUTED_VALUE"""),67.0)</f>
        <v>67</v>
      </c>
      <c r="B68" s="2" t="str">
        <f>IFERROR(__xludf.DUMMYFUNCTION("""COMPUTED_VALUE"""),"Lower Solu HEP 132 kV Transmission Line")</f>
        <v>Lower Solu HEP 132 kV Transmission Line</v>
      </c>
      <c r="C68" s="2">
        <f>IFERROR(__xludf.DUMMYFUNCTION("""COMPUTED_VALUE"""),132.0)</f>
        <v>132</v>
      </c>
      <c r="D68" s="2"/>
      <c r="E68" s="2">
        <f>IFERROR(__xludf.DUMMYFUNCTION("""COMPUTED_VALUE"""),82.0)</f>
        <v>82</v>
      </c>
      <c r="F68" s="2">
        <f>IFERROR(__xludf.DUMMYFUNCTION("""COMPUTED_VALUE"""),68.0)</f>
        <v>68</v>
      </c>
      <c r="G68" s="3">
        <f>IFERROR(__xludf.DUMMYFUNCTION("""COMPUTED_VALUE"""),63180.0)</f>
        <v>63180</v>
      </c>
      <c r="H68" s="3">
        <f>IFERROR(__xludf.DUMMYFUNCTION("""COMPUTED_VALUE"""),72310.0)</f>
        <v>72310</v>
      </c>
      <c r="I68" s="2" t="str">
        <f>IFERROR(__xludf.DUMMYFUNCTION("""COMPUTED_VALUE"""),"Essel Clean Solu Hydropower Pvt Ltd")</f>
        <v>Essel Clean Solu Hydropower Pvt Ltd</v>
      </c>
      <c r="J68" s="2" t="str">
        <f>IFERROR(__xludf.DUMMYFUNCTION("""COMPUTED_VALUE"""),"Kathmandu")</f>
        <v>Kathmandu</v>
      </c>
      <c r="K68" s="2" t="str">
        <f>IFERROR(__xludf.DUMMYFUNCTION("""COMPUTED_VALUE"""),"power house")</f>
        <v>power house</v>
      </c>
      <c r="L68" s="2" t="str">
        <f>IFERROR(__xludf.DUMMYFUNCTION("""COMPUTED_VALUE"""),"Lamane substation")</f>
        <v>Lamane substation</v>
      </c>
    </row>
    <row r="69">
      <c r="A69" s="2">
        <f>IFERROR(__xludf.DUMMYFUNCTION("""COMPUTED_VALUE"""),68.0)</f>
        <v>68</v>
      </c>
      <c r="B69" s="2" t="str">
        <f>IFERROR(__xludf.DUMMYFUNCTION("""COMPUTED_VALUE"""),"Marsyandi - Kathmandu 220 KV Transmission line Project")</f>
        <v>Marsyandi - Kathmandu 220 KV Transmission line Project</v>
      </c>
      <c r="C69" s="2">
        <f>IFERROR(__xludf.DUMMYFUNCTION("""COMPUTED_VALUE"""),220.0)</f>
        <v>220</v>
      </c>
      <c r="D69" s="2">
        <f>IFERROR(__xludf.DUMMYFUNCTION("""COMPUTED_VALUE"""),85.0)</f>
        <v>85</v>
      </c>
      <c r="E69" s="2">
        <f>IFERROR(__xludf.DUMMYFUNCTION("""COMPUTED_VALUE"""),550.0)</f>
        <v>550</v>
      </c>
      <c r="F69" s="2">
        <f>IFERROR(__xludf.DUMMYFUNCTION("""COMPUTED_VALUE"""),69.0)</f>
        <v>69</v>
      </c>
      <c r="G69" s="3">
        <f>IFERROR(__xludf.DUMMYFUNCTION("""COMPUTED_VALUE"""),63180.0)</f>
        <v>63180</v>
      </c>
      <c r="H69" s="3">
        <f>IFERROR(__xludf.DUMMYFUNCTION("""COMPUTED_VALUE"""),72310.0)</f>
        <v>72310</v>
      </c>
      <c r="I69" s="2" t="str">
        <f>IFERROR(__xludf.DUMMYFUNCTION("""COMPUTED_VALUE"""),"Nepal Electricity Authority")</f>
        <v>Nepal Electricity Authority</v>
      </c>
      <c r="J69" s="2" t="str">
        <f>IFERROR(__xludf.DUMMYFUNCTION("""COMPUTED_VALUE"""),"PBO 10020, Kathamndu")</f>
        <v>PBO 10020, Kathamndu</v>
      </c>
      <c r="K69" s="2" t="str">
        <f>IFERROR(__xludf.DUMMYFUNCTION("""COMPUTED_VALUE"""),"Aabukhareni")</f>
        <v>Aabukhareni</v>
      </c>
      <c r="L69" s="2" t="str">
        <f>IFERROR(__xludf.DUMMYFUNCTION("""COMPUTED_VALUE"""),"kathmandu")</f>
        <v>kathmandu</v>
      </c>
    </row>
    <row r="70">
      <c r="A70" s="2">
        <f>IFERROR(__xludf.DUMMYFUNCTION("""COMPUTED_VALUE"""),69.0)</f>
        <v>69</v>
      </c>
      <c r="B70" s="2" t="str">
        <f>IFERROR(__xludf.DUMMYFUNCTION("""COMPUTED_VALUE"""),"Chake Khola")</f>
        <v>Chake Khola</v>
      </c>
      <c r="C70" s="2">
        <f>IFERROR(__xludf.DUMMYFUNCTION("""COMPUTED_VALUE"""),33.0)</f>
        <v>33</v>
      </c>
      <c r="D70" s="2">
        <f>IFERROR(__xludf.DUMMYFUNCTION("""COMPUTED_VALUE"""),9.55)</f>
        <v>9.55</v>
      </c>
      <c r="E70" s="2">
        <f>IFERROR(__xludf.DUMMYFUNCTION("""COMPUTED_VALUE"""),2.83)</f>
        <v>2.83</v>
      </c>
      <c r="F70" s="2">
        <f>IFERROR(__xludf.DUMMYFUNCTION("""COMPUTED_VALUE"""),70.0)</f>
        <v>70</v>
      </c>
      <c r="G70" s="3">
        <f>IFERROR(__xludf.DUMMYFUNCTION("""COMPUTED_VALUE"""),63201.0)</f>
        <v>63201</v>
      </c>
      <c r="H70" s="3">
        <f>IFERROR(__xludf.DUMMYFUNCTION("""COMPUTED_VALUE"""),72331.0)</f>
        <v>72331</v>
      </c>
      <c r="I70" s="2" t="str">
        <f>IFERROR(__xludf.DUMMYFUNCTION("""COMPUTED_VALUE"""),"Grjyang Upatyaka HP L")</f>
        <v>Grjyang Upatyaka HP L</v>
      </c>
      <c r="J70" s="2" t="str">
        <f>IFERROR(__xludf.DUMMYFUNCTION("""COMPUTED_VALUE"""),"New Bazar. Ph No 43822205")</f>
        <v>New Bazar. Ph No 43822205</v>
      </c>
      <c r="K70" s="2" t="str">
        <f>IFERROR(__xludf.DUMMYFUNCTION("""COMPUTED_VALUE"""),"switchyard")</f>
        <v>switchyard</v>
      </c>
      <c r="L70" s="2" t="str">
        <f>IFERROR(__xludf.DUMMYFUNCTION("""COMPUTED_VALUE"""),"Jiri")</f>
        <v>Jiri</v>
      </c>
    </row>
    <row r="71">
      <c r="A71" s="2">
        <f>IFERROR(__xludf.DUMMYFUNCTION("""COMPUTED_VALUE"""),70.0)</f>
        <v>70</v>
      </c>
      <c r="B71" s="2" t="str">
        <f>IFERROR(__xludf.DUMMYFUNCTION("""COMPUTED_VALUE"""),"Chilime Hub Substation and 220 kV TL Project")</f>
        <v>Chilime Hub Substation and 220 kV TL Project</v>
      </c>
      <c r="C71" s="2">
        <f>IFERROR(__xludf.DUMMYFUNCTION("""COMPUTED_VALUE"""),220.0)</f>
        <v>220</v>
      </c>
      <c r="D71" s="2">
        <f>IFERROR(__xludf.DUMMYFUNCTION("""COMPUTED_VALUE"""),26.5)</f>
        <v>26.5</v>
      </c>
      <c r="E71" s="2">
        <f>IFERROR(__xludf.DUMMYFUNCTION("""COMPUTED_VALUE"""),500.0)</f>
        <v>500</v>
      </c>
      <c r="F71" s="2">
        <f>IFERROR(__xludf.DUMMYFUNCTION("""COMPUTED_VALUE"""),71.0)</f>
        <v>71</v>
      </c>
      <c r="G71" s="3">
        <f>IFERROR(__xludf.DUMMYFUNCTION("""COMPUTED_VALUE"""),63203.0)</f>
        <v>63203</v>
      </c>
      <c r="H71" s="3">
        <f>IFERROR(__xludf.DUMMYFUNCTION("""COMPUTED_VALUE"""),72333.0)</f>
        <v>72333</v>
      </c>
      <c r="I71" s="2" t="str">
        <f>IFERROR(__xludf.DUMMYFUNCTION("""COMPUTED_VALUE"""),"Nepal Electricity Authority")</f>
        <v>Nepal Electricity Authority</v>
      </c>
      <c r="J71" s="2" t="str">
        <f>IFERROR(__xludf.DUMMYFUNCTION("""COMPUTED_VALUE"""),"P.O.B.10020, Durbarmarga Kathmandu")</f>
        <v>P.O.B.10020, Durbarmarga Kathmandu</v>
      </c>
      <c r="K71" s="2" t="str">
        <f>IFERROR(__xludf.DUMMYFUNCTION("""COMPUTED_VALUE"""),"Chilime Hub")</f>
        <v>Chilime Hub</v>
      </c>
      <c r="L71" s="2" t="str">
        <f>IFERROR(__xludf.DUMMYFUNCTION("""COMPUTED_VALUE"""),"Trishuli 3 B Hub Substation")</f>
        <v>Trishuli 3 B Hub Substation</v>
      </c>
    </row>
    <row r="72">
      <c r="A72" s="2">
        <f>IFERROR(__xludf.DUMMYFUNCTION("""COMPUTED_VALUE"""),71.0)</f>
        <v>71</v>
      </c>
      <c r="B72" s="2" t="str">
        <f>IFERROR(__xludf.DUMMYFUNCTION("""COMPUTED_VALUE"""),"Upper Chaku A HEP 132 kV Transmission Line Project")</f>
        <v>Upper Chaku A HEP 132 kV Transmission Line Project</v>
      </c>
      <c r="C72" s="2">
        <f>IFERROR(__xludf.DUMMYFUNCTION("""COMPUTED_VALUE"""),132.0)</f>
        <v>132</v>
      </c>
      <c r="D72" s="2">
        <f>IFERROR(__xludf.DUMMYFUNCTION("""COMPUTED_VALUE"""),15.0)</f>
        <v>15</v>
      </c>
      <c r="E72" s="2">
        <f>IFERROR(__xludf.DUMMYFUNCTION("""COMPUTED_VALUE"""),82.46)</f>
        <v>82.46</v>
      </c>
      <c r="F72" s="2">
        <f>IFERROR(__xludf.DUMMYFUNCTION("""COMPUTED_VALUE"""),72.0)</f>
        <v>72</v>
      </c>
      <c r="G72" s="3">
        <f>IFERROR(__xludf.DUMMYFUNCTION("""COMPUTED_VALUE"""),63224.0)</f>
        <v>63224</v>
      </c>
      <c r="H72" s="3">
        <f>IFERROR(__xludf.DUMMYFUNCTION("""COMPUTED_VALUE"""),72354.0)</f>
        <v>72354</v>
      </c>
      <c r="I72" s="2" t="str">
        <f>IFERROR(__xludf.DUMMYFUNCTION("""COMPUTED_VALUE"""),"Shiva Shree Hydropower PLtd")</f>
        <v>Shiva Shree Hydropower PLtd</v>
      </c>
      <c r="J72" s="2" t="str">
        <f>IFERROR(__xludf.DUMMYFUNCTION("""COMPUTED_VALUE"""),"Kathmandu")</f>
        <v>Kathmandu</v>
      </c>
      <c r="K72" s="2" t="str">
        <f>IFERROR(__xludf.DUMMYFUNCTION("""COMPUTED_VALUE"""),"Respective switchyard of Project")</f>
        <v>Respective switchyard of Project</v>
      </c>
      <c r="L72" s="2" t="str">
        <f>IFERROR(__xludf.DUMMYFUNCTION("""COMPUTED_VALUE"""),"Lamo Sanghu Substation")</f>
        <v>Lamo Sanghu Substation</v>
      </c>
    </row>
    <row r="73">
      <c r="A73" s="2">
        <f>IFERROR(__xludf.DUMMYFUNCTION("""COMPUTED_VALUE"""),72.0)</f>
        <v>72</v>
      </c>
      <c r="B73" s="2" t="str">
        <f>IFERROR(__xludf.DUMMYFUNCTION("""COMPUTED_VALUE"""),"sardi khola 33 kv Transmission line Project")</f>
        <v>sardi khola 33 kv Transmission line Project</v>
      </c>
      <c r="C73" s="2">
        <f>IFERROR(__xludf.DUMMYFUNCTION("""COMPUTED_VALUE"""),33.0)</f>
        <v>33</v>
      </c>
      <c r="D73" s="2">
        <f>IFERROR(__xludf.DUMMYFUNCTION("""COMPUTED_VALUE"""),13.27)</f>
        <v>13.27</v>
      </c>
      <c r="E73" s="2">
        <f>IFERROR(__xludf.DUMMYFUNCTION("""COMPUTED_VALUE"""),6.9)</f>
        <v>6.9</v>
      </c>
      <c r="F73" s="2">
        <f>IFERROR(__xludf.DUMMYFUNCTION("""COMPUTED_VALUE"""),73.0)</f>
        <v>73</v>
      </c>
      <c r="G73" s="3">
        <f>IFERROR(__xludf.DUMMYFUNCTION("""COMPUTED_VALUE"""),63231.0)</f>
        <v>63231</v>
      </c>
      <c r="H73" s="3">
        <f>IFERROR(__xludf.DUMMYFUNCTION("""COMPUTED_VALUE"""),72361.0)</f>
        <v>72361</v>
      </c>
      <c r="I73" s="2" t="str">
        <f>IFERROR(__xludf.DUMMYFUNCTION("""COMPUTED_VALUE"""),"Mandakini Hydropower Pvt.Ltd.")</f>
        <v>Mandakini Hydropower Pvt.Ltd.</v>
      </c>
      <c r="J73" s="2" t="str">
        <f>IFERROR(__xludf.DUMMYFUNCTION("""COMPUTED_VALUE"""),"GPO Box: 7327, Katmandu")</f>
        <v>GPO Box: 7327, Katmandu</v>
      </c>
      <c r="K73" s="2" t="str">
        <f>IFERROR(__xludf.DUMMYFUNCTION("""COMPUTED_VALUE"""),"Power house")</f>
        <v>Power house</v>
      </c>
      <c r="L73" s="2" t="str">
        <f>IFERROR(__xludf.DUMMYFUNCTION("""COMPUTED_VALUE"""),"New hemja baskot")</f>
        <v>New hemja baskot</v>
      </c>
    </row>
    <row r="74">
      <c r="A74" s="2">
        <f>IFERROR(__xludf.DUMMYFUNCTION("""COMPUTED_VALUE"""),73.0)</f>
        <v>73</v>
      </c>
      <c r="B74" s="2" t="str">
        <f>IFERROR(__xludf.DUMMYFUNCTION("""COMPUTED_VALUE"""),"Kusma Tallo Modi ( Kaligandaki Corridor)")</f>
        <v>Kusma Tallo Modi ( Kaligandaki Corridor)</v>
      </c>
      <c r="C74" s="2">
        <f>IFERROR(__xludf.DUMMYFUNCTION("""COMPUTED_VALUE"""),132.0)</f>
        <v>132</v>
      </c>
      <c r="D74" s="2">
        <f>IFERROR(__xludf.DUMMYFUNCTION("""COMPUTED_VALUE"""),6.05)</f>
        <v>6.05</v>
      </c>
      <c r="E74" s="2">
        <f>IFERROR(__xludf.DUMMYFUNCTION("""COMPUTED_VALUE"""),100.0)</f>
        <v>100</v>
      </c>
      <c r="F74" s="2">
        <f>IFERROR(__xludf.DUMMYFUNCTION("""COMPUTED_VALUE"""),74.0)</f>
        <v>74</v>
      </c>
      <c r="G74" s="3">
        <f>IFERROR(__xludf.DUMMYFUNCTION("""COMPUTED_VALUE"""),63275.0)</f>
        <v>63275</v>
      </c>
      <c r="H74" s="3">
        <f>IFERROR(__xludf.DUMMYFUNCTION("""COMPUTED_VALUE"""),72405.0)</f>
        <v>72405</v>
      </c>
      <c r="I74" s="2" t="str">
        <f>IFERROR(__xludf.DUMMYFUNCTION("""COMPUTED_VALUE"""),"Nepal Electricity Authority")</f>
        <v>Nepal Electricity Authority</v>
      </c>
      <c r="J74" s="2" t="str">
        <f>IFERROR(__xludf.DUMMYFUNCTION("""COMPUTED_VALUE"""),"Darbar Marg Kathmandu, POB 10020")</f>
        <v>Darbar Marg Kathmandu, POB 10020</v>
      </c>
      <c r="K74" s="2" t="str">
        <f>IFERROR(__xludf.DUMMYFUNCTION("""COMPUTED_VALUE"""),"Khurkot NEA Substation")</f>
        <v>Khurkot NEA Substation</v>
      </c>
      <c r="L74" s="2" t="str">
        <f>IFERROR(__xludf.DUMMYFUNCTION("""COMPUTED_VALUE"""),"Switchyard of United Modi HEP")</f>
        <v>Switchyard of United Modi HEP</v>
      </c>
    </row>
    <row r="75">
      <c r="A75" s="2">
        <f>IFERROR(__xludf.DUMMYFUNCTION("""COMPUTED_VALUE"""),74.0)</f>
        <v>74</v>
      </c>
      <c r="B75" s="2" t="str">
        <f>IFERROR(__xludf.DUMMYFUNCTION("""COMPUTED_VALUE"""),"Kaligandaki Corridor 220 kV Transmission Line")</f>
        <v>Kaligandaki Corridor 220 kV Transmission Line</v>
      </c>
      <c r="C75" s="2">
        <f>IFERROR(__xludf.DUMMYFUNCTION("""COMPUTED_VALUE"""),220.0)</f>
        <v>220</v>
      </c>
      <c r="D75" s="2">
        <f>IFERROR(__xludf.DUMMYFUNCTION("""COMPUTED_VALUE"""),40.0)</f>
        <v>40</v>
      </c>
      <c r="E75" s="2">
        <f>IFERROR(__xludf.DUMMYFUNCTION("""COMPUTED_VALUE"""),500.0)</f>
        <v>500</v>
      </c>
      <c r="F75" s="2">
        <f>IFERROR(__xludf.DUMMYFUNCTION("""COMPUTED_VALUE"""),75.0)</f>
        <v>75</v>
      </c>
      <c r="G75" s="3">
        <f>IFERROR(__xludf.DUMMYFUNCTION("""COMPUTED_VALUE"""),63286.0)</f>
        <v>63286</v>
      </c>
      <c r="H75" s="3">
        <f>IFERROR(__xludf.DUMMYFUNCTION("""COMPUTED_VALUE"""),72416.0)</f>
        <v>72416</v>
      </c>
      <c r="I75" s="2" t="str">
        <f>IFERROR(__xludf.DUMMYFUNCTION("""COMPUTED_VALUE"""),"Nepal Electricity Authority")</f>
        <v>Nepal Electricity Authority</v>
      </c>
      <c r="J75" s="2" t="str">
        <f>IFERROR(__xludf.DUMMYFUNCTION("""COMPUTED_VALUE"""),"Kathmandu")</f>
        <v>Kathmandu</v>
      </c>
      <c r="K75" s="2" t="str">
        <f>IFERROR(__xludf.DUMMYFUNCTION("""COMPUTED_VALUE"""),"Kushma substation")</f>
        <v>Kushma substation</v>
      </c>
      <c r="L75" s="2" t="str">
        <f>IFERROR(__xludf.DUMMYFUNCTION("""COMPUTED_VALUE"""),"daana substation")</f>
        <v>daana substation</v>
      </c>
    </row>
    <row r="76">
      <c r="A76" s="2">
        <f>IFERROR(__xludf.DUMMYFUNCTION("""COMPUTED_VALUE"""),75.0)</f>
        <v>75</v>
      </c>
      <c r="B76" s="2" t="str">
        <f>IFERROR(__xludf.DUMMYFUNCTION("""COMPUTED_VALUE"""),"Rasuwagadhi (Bhotekoshi-Trishuli) 132kV TL")</f>
        <v>Rasuwagadhi (Bhotekoshi-Trishuli) 132kV TL</v>
      </c>
      <c r="C76" s="2">
        <f>IFERROR(__xludf.DUMMYFUNCTION("""COMPUTED_VALUE"""),132.0)</f>
        <v>132</v>
      </c>
      <c r="D76" s="2">
        <f>IFERROR(__xludf.DUMMYFUNCTION("""COMPUTED_VALUE"""),9.55)</f>
        <v>9.55</v>
      </c>
      <c r="E76" s="2">
        <f>IFERROR(__xludf.DUMMYFUNCTION("""COMPUTED_VALUE"""),111.0)</f>
        <v>111</v>
      </c>
      <c r="F76" s="2">
        <f>IFERROR(__xludf.DUMMYFUNCTION("""COMPUTED_VALUE"""),76.0)</f>
        <v>76</v>
      </c>
      <c r="G76" s="3">
        <f>IFERROR(__xludf.DUMMYFUNCTION("""COMPUTED_VALUE"""),63418.0)</f>
        <v>63418</v>
      </c>
      <c r="H76" s="3">
        <f>IFERROR(__xludf.DUMMYFUNCTION("""COMPUTED_VALUE"""),72548.0)</f>
        <v>72548</v>
      </c>
      <c r="I76" s="2" t="str">
        <f>IFERROR(__xludf.DUMMYFUNCTION("""COMPUTED_VALUE"""),"Chilime Hydropower Co. Ltd.")</f>
        <v>Chilime Hydropower Co. Ltd.</v>
      </c>
      <c r="J76" s="2" t="str">
        <f>IFERROR(__xludf.DUMMYFUNCTION("""COMPUTED_VALUE"""),"Gyaneswor, Po.B.No. 25210")</f>
        <v>Gyaneswor, Po.B.No. 25210</v>
      </c>
      <c r="K76" s="2" t="str">
        <f>IFERROR(__xludf.DUMMYFUNCTION("""COMPUTED_VALUE"""),"Powerhouse")</f>
        <v>Powerhouse</v>
      </c>
      <c r="L76" s="2" t="str">
        <f>IFERROR(__xludf.DUMMYFUNCTION("""COMPUTED_VALUE"""),"Chilime Hub Substation")</f>
        <v>Chilime Hub Substation</v>
      </c>
    </row>
    <row r="77">
      <c r="A77" s="2">
        <f>IFERROR(__xludf.DUMMYFUNCTION("""COMPUTED_VALUE"""),76.0)</f>
        <v>76</v>
      </c>
      <c r="B77" s="2" t="str">
        <f>IFERROR(__xludf.DUMMYFUNCTION("""COMPUTED_VALUE"""),"Mistri HEP Mistri-Dana 132 kV Transmission Line")</f>
        <v>Mistri HEP Mistri-Dana 132 kV Transmission Line</v>
      </c>
      <c r="C77" s="2">
        <f>IFERROR(__xludf.DUMMYFUNCTION("""COMPUTED_VALUE"""),132.0)</f>
        <v>132</v>
      </c>
      <c r="D77" s="2">
        <f>IFERROR(__xludf.DUMMYFUNCTION("""COMPUTED_VALUE"""),3.5)</f>
        <v>3.5</v>
      </c>
      <c r="E77" s="2">
        <f>IFERROR(__xludf.DUMMYFUNCTION("""COMPUTED_VALUE"""),42.0)</f>
        <v>42</v>
      </c>
      <c r="F77" s="2">
        <f>IFERROR(__xludf.DUMMYFUNCTION("""COMPUTED_VALUE"""),77.0)</f>
        <v>77</v>
      </c>
      <c r="G77" s="3">
        <f>IFERROR(__xludf.DUMMYFUNCTION("""COMPUTED_VALUE"""),63472.0)</f>
        <v>63472</v>
      </c>
      <c r="H77" s="3">
        <f>IFERROR(__xludf.DUMMYFUNCTION("""COMPUTED_VALUE"""),72602.0)</f>
        <v>72602</v>
      </c>
      <c r="I77" s="2" t="str">
        <f>IFERROR(__xludf.DUMMYFUNCTION("""COMPUTED_VALUE"""),"Robust Energy Pvt Ltd")</f>
        <v>Robust Energy Pvt Ltd</v>
      </c>
      <c r="J77" s="2" t="str">
        <f>IFERROR(__xludf.DUMMYFUNCTION("""COMPUTED_VALUE"""),"P.O. Box: 21729, Panipokhari, KTM, Tel: 4437705, 4441648, 6226870")</f>
        <v>P.O. Box: 21729, Panipokhari, KTM, Tel: 4437705, 4441648, 6226870</v>
      </c>
      <c r="K77" s="2" t="str">
        <f>IFERROR(__xludf.DUMMYFUNCTION("""COMPUTED_VALUE"""),"Powerhouse/Switchyard at nyarchang V.D.C")</f>
        <v>Powerhouse/Switchyard at nyarchang V.D.C</v>
      </c>
      <c r="L77" s="2" t="str">
        <f>IFERROR(__xludf.DUMMYFUNCTION("""COMPUTED_VALUE"""),"daana substation")</f>
        <v>daana substation</v>
      </c>
    </row>
    <row r="78">
      <c r="A78" s="2">
        <f>IFERROR(__xludf.DUMMYFUNCTION("""COMPUTED_VALUE"""),77.0)</f>
        <v>77</v>
      </c>
      <c r="B78" s="2" t="str">
        <f>IFERROR(__xludf.DUMMYFUNCTION("""COMPUTED_VALUE"""),"Khimti - Grajyang 132 kV Transmissin Line")</f>
        <v>Khimti - Grajyang 132 kV Transmissin Line</v>
      </c>
      <c r="C78" s="2">
        <f>IFERROR(__xludf.DUMMYFUNCTION("""COMPUTED_VALUE"""),132.0)</f>
        <v>132</v>
      </c>
      <c r="D78" s="2">
        <f>IFERROR(__xludf.DUMMYFUNCTION("""COMPUTED_VALUE"""),30.98)</f>
        <v>30.98</v>
      </c>
      <c r="E78" s="2">
        <f>IFERROR(__xludf.DUMMYFUNCTION("""COMPUTED_VALUE"""),100.0)</f>
        <v>100</v>
      </c>
      <c r="F78" s="2">
        <f>IFERROR(__xludf.DUMMYFUNCTION("""COMPUTED_VALUE"""),78.0)</f>
        <v>78</v>
      </c>
      <c r="G78" s="3">
        <f>IFERROR(__xludf.DUMMYFUNCTION("""COMPUTED_VALUE"""),63482.0)</f>
        <v>63482</v>
      </c>
      <c r="H78" s="3">
        <f>IFERROR(__xludf.DUMMYFUNCTION("""COMPUTED_VALUE"""),72612.0)</f>
        <v>72612</v>
      </c>
      <c r="I78" s="2" t="str">
        <f>IFERROR(__xludf.DUMMYFUNCTION("""COMPUTED_VALUE"""),"Nepal Electricity Authority")</f>
        <v>Nepal Electricity Authority</v>
      </c>
      <c r="J78" s="2" t="str">
        <f>IFERROR(__xludf.DUMMYFUNCTION("""COMPUTED_VALUE"""),"Kathmandu")</f>
        <v>Kathmandu</v>
      </c>
      <c r="K78" s="2" t="str">
        <f>IFERROR(__xludf.DUMMYFUNCTION("""COMPUTED_VALUE"""),"NEA Hub Substation in Dolakha")</f>
        <v>NEA Hub Substation in Dolakha</v>
      </c>
      <c r="L78" s="2" t="str">
        <f>IFERROR(__xludf.DUMMYFUNCTION("""COMPUTED_VALUE"""),"Chuchure Hub Substation")</f>
        <v>Chuchure Hub Substation</v>
      </c>
    </row>
    <row r="79">
      <c r="A79" s="2">
        <f>IFERROR(__xludf.DUMMYFUNCTION("""COMPUTED_VALUE"""),78.0)</f>
        <v>78</v>
      </c>
      <c r="B79" s="2" t="str">
        <f>IFERROR(__xludf.DUMMYFUNCTION("""COMPUTED_VALUE"""),"Midim khola (karapu) HPP 33 KV TL Project")</f>
        <v>Midim khola (karapu) HPP 33 KV TL Project</v>
      </c>
      <c r="C79" s="2">
        <f>IFERROR(__xludf.DUMMYFUNCTION("""COMPUTED_VALUE"""),33.0)</f>
        <v>33</v>
      </c>
      <c r="D79" s="2">
        <f>IFERROR(__xludf.DUMMYFUNCTION("""COMPUTED_VALUE"""),7.6)</f>
        <v>7.6</v>
      </c>
      <c r="E79" s="2">
        <f>IFERROR(__xludf.DUMMYFUNCTION("""COMPUTED_VALUE"""),3.0)</f>
        <v>3</v>
      </c>
      <c r="F79" s="2">
        <f>IFERROR(__xludf.DUMMYFUNCTION("""COMPUTED_VALUE"""),79.0)</f>
        <v>79</v>
      </c>
      <c r="G79" s="3">
        <f>IFERROR(__xludf.DUMMYFUNCTION("""COMPUTED_VALUE"""),63503.0)</f>
        <v>63503</v>
      </c>
      <c r="H79" s="3">
        <f>IFERROR(__xludf.DUMMYFUNCTION("""COMPUTED_VALUE"""),72633.0)</f>
        <v>72633</v>
      </c>
      <c r="I79" s="2" t="str">
        <f>IFERROR(__xludf.DUMMYFUNCTION("""COMPUTED_VALUE"""),"M/s Union Hydropower Pvt.Ltd.")</f>
        <v>M/s Union Hydropower Pvt.Ltd.</v>
      </c>
      <c r="J79" s="2" t="str">
        <f>IFERROR(__xludf.DUMMYFUNCTION("""COMPUTED_VALUE"""),"PBO 12637, Kathamndu")</f>
        <v>PBO 12637, Kathamndu</v>
      </c>
      <c r="K79" s="2" t="str">
        <f>IFERROR(__xludf.DUMMYFUNCTION("""COMPUTED_VALUE"""),"Proposed power house")</f>
        <v>Proposed power house</v>
      </c>
      <c r="L79" s="2" t="str">
        <f>IFERROR(__xludf.DUMMYFUNCTION("""COMPUTED_VALUE"""),"Ram Bazzar Substation")</f>
        <v>Ram Bazzar Substation</v>
      </c>
    </row>
    <row r="80">
      <c r="A80" s="2">
        <f>IFERROR(__xludf.DUMMYFUNCTION("""COMPUTED_VALUE"""),79.0)</f>
        <v>79</v>
      </c>
      <c r="B80" s="2" t="str">
        <f>IFERROR(__xludf.DUMMYFUNCTION("""COMPUTED_VALUE"""),"Kabeli B1,132 KV Transmission line Project")</f>
        <v>Kabeli B1,132 KV Transmission line Project</v>
      </c>
      <c r="C80" s="2">
        <f>IFERROR(__xludf.DUMMYFUNCTION("""COMPUTED_VALUE"""),132.0)</f>
        <v>132</v>
      </c>
      <c r="D80" s="2">
        <f>IFERROR(__xludf.DUMMYFUNCTION("""COMPUTED_VALUE"""),5.0)</f>
        <v>5</v>
      </c>
      <c r="E80" s="2">
        <f>IFERROR(__xludf.DUMMYFUNCTION("""COMPUTED_VALUE"""),59.84)</f>
        <v>59.84</v>
      </c>
      <c r="F80" s="2">
        <f>IFERROR(__xludf.DUMMYFUNCTION("""COMPUTED_VALUE"""),80.0)</f>
        <v>80</v>
      </c>
      <c r="G80" s="3">
        <f>IFERROR(__xludf.DUMMYFUNCTION("""COMPUTED_VALUE"""),63517.0)</f>
        <v>63517</v>
      </c>
      <c r="H80" s="3">
        <f>IFERROR(__xludf.DUMMYFUNCTION("""COMPUTED_VALUE"""),72647.0)</f>
        <v>72647</v>
      </c>
      <c r="I80" s="2" t="str">
        <f>IFERROR(__xludf.DUMMYFUNCTION("""COMPUTED_VALUE"""),"Arun Kabeli Power Limited")</f>
        <v>Arun Kabeli Power Limited</v>
      </c>
      <c r="J80" s="2" t="str">
        <f>IFERROR(__xludf.DUMMYFUNCTION("""COMPUTED_VALUE"""),"GPO Box: 11039, Katmandu")</f>
        <v>GPO Box: 11039, Katmandu</v>
      </c>
      <c r="K80" s="2" t="str">
        <f>IFERROR(__xludf.DUMMYFUNCTION("""COMPUTED_VALUE"""),"Switchyard")</f>
        <v>Switchyard</v>
      </c>
      <c r="L80" s="2" t="str">
        <f>IFERROR(__xludf.DUMMYFUNCTION("""COMPUTED_VALUE"""),"Amarpur Substation")</f>
        <v>Amarpur Substation</v>
      </c>
    </row>
    <row r="81">
      <c r="A81" s="2">
        <f>IFERROR(__xludf.DUMMYFUNCTION("""COMPUTED_VALUE"""),80.0)</f>
        <v>80</v>
      </c>
      <c r="B81" s="2" t="str">
        <f>IFERROR(__xludf.DUMMYFUNCTION("""COMPUTED_VALUE"""),"Molung Khola HEP 33 kv Transmission line")</f>
        <v>Molung Khola HEP 33 kv Transmission line</v>
      </c>
      <c r="C81" s="2">
        <f>IFERROR(__xludf.DUMMYFUNCTION("""COMPUTED_VALUE"""),33.0)</f>
        <v>33</v>
      </c>
      <c r="D81" s="2">
        <f>IFERROR(__xludf.DUMMYFUNCTION("""COMPUTED_VALUE"""),10.0)</f>
        <v>10</v>
      </c>
      <c r="E81" s="2">
        <f>IFERROR(__xludf.DUMMYFUNCTION("""COMPUTED_VALUE"""),7.0)</f>
        <v>7</v>
      </c>
      <c r="F81" s="2">
        <f>IFERROR(__xludf.DUMMYFUNCTION("""COMPUTED_VALUE"""),81.0)</f>
        <v>81</v>
      </c>
      <c r="G81" s="3">
        <f>IFERROR(__xludf.DUMMYFUNCTION("""COMPUTED_VALUE"""),63565.0)</f>
        <v>63565</v>
      </c>
      <c r="H81" s="3">
        <f>IFERROR(__xludf.DUMMYFUNCTION("""COMPUTED_VALUE"""),72695.0)</f>
        <v>72695</v>
      </c>
      <c r="I81" s="2" t="str">
        <f>IFERROR(__xludf.DUMMYFUNCTION("""COMPUTED_VALUE"""),"molung hydropower Pvt.Ltd")</f>
        <v>molung hydropower Pvt.Ltd</v>
      </c>
      <c r="J81" s="2" t="str">
        <f>IFERROR(__xludf.DUMMYFUNCTION("""COMPUTED_VALUE"""),"GPO Box: 5813, Katmandu")</f>
        <v>GPO Box: 5813, Katmandu</v>
      </c>
      <c r="K81" s="2" t="str">
        <f>IFERROR(__xludf.DUMMYFUNCTION("""COMPUTED_VALUE"""),"Porposed power House at harkapur VDC")</f>
        <v>Porposed power House at harkapur VDC</v>
      </c>
      <c r="L81" s="2" t="str">
        <f>IFERROR(__xludf.DUMMYFUNCTION("""COMPUTED_VALUE"""),"Siddicharan municipality")</f>
        <v>Siddicharan municipality</v>
      </c>
    </row>
    <row r="82">
      <c r="A82" s="2">
        <f>IFERROR(__xludf.DUMMYFUNCTION("""COMPUTED_VALUE"""),81.0)</f>
        <v>81</v>
      </c>
      <c r="B82" s="2" t="str">
        <f>IFERROR(__xludf.DUMMYFUNCTION("""COMPUTED_VALUE"""),"Lower Hewa Khola Transmission Line Project")</f>
        <v>Lower Hewa Khola Transmission Line Project</v>
      </c>
      <c r="C82" s="2">
        <f>IFERROR(__xludf.DUMMYFUNCTION("""COMPUTED_VALUE"""),132.0)</f>
        <v>132</v>
      </c>
      <c r="D82" s="2">
        <f>IFERROR(__xludf.DUMMYFUNCTION("""COMPUTED_VALUE"""),3.2)</f>
        <v>3.2</v>
      </c>
      <c r="E82" s="2">
        <f>IFERROR(__xludf.DUMMYFUNCTION("""COMPUTED_VALUE"""),21.6)</f>
        <v>21.6</v>
      </c>
      <c r="F82" s="2">
        <f>IFERROR(__xludf.DUMMYFUNCTION("""COMPUTED_VALUE"""),82.0)</f>
        <v>82</v>
      </c>
      <c r="G82" s="3">
        <f>IFERROR(__xludf.DUMMYFUNCTION("""COMPUTED_VALUE"""),63587.0)</f>
        <v>63587</v>
      </c>
      <c r="H82" s="3">
        <f>IFERROR(__xludf.DUMMYFUNCTION("""COMPUTED_VALUE"""),72717.0)</f>
        <v>72717</v>
      </c>
      <c r="I82" s="2" t="str">
        <f>IFERROR(__xludf.DUMMYFUNCTION("""COMPUTED_VALUE"""),"Mountain Hydro Nepal pvt. Ltd.")</f>
        <v>Mountain Hydro Nepal pvt. Ltd.</v>
      </c>
      <c r="J82" s="2" t="str">
        <f>IFERROR(__xludf.DUMMYFUNCTION("""COMPUTED_VALUE"""),"Kalanki, Kathmandu-14")</f>
        <v>Kalanki, Kathmandu-14</v>
      </c>
      <c r="K82" s="2" t="str">
        <f>IFERROR(__xludf.DUMMYFUNCTION("""COMPUTED_VALUE"""),"Powerhouse of Lower Hewa Khola Project")</f>
        <v>Powerhouse of Lower Hewa Khola Project</v>
      </c>
      <c r="L82" s="2" t="str">
        <f>IFERROR(__xludf.DUMMYFUNCTION("""COMPUTED_VALUE"""),"Phidim Substation")</f>
        <v>Phidim Substation</v>
      </c>
    </row>
    <row r="83">
      <c r="A83" s="2">
        <f>IFERROR(__xludf.DUMMYFUNCTION("""COMPUTED_VALUE"""),82.0)</f>
        <v>82</v>
      </c>
      <c r="B83" s="2" t="str">
        <f>IFERROR(__xludf.DUMMYFUNCTION("""COMPUTED_VALUE"""),"koshi corridor 220 kv Transmission line project")</f>
        <v>koshi corridor 220 kv Transmission line project</v>
      </c>
      <c r="C83" s="2">
        <f>IFERROR(__xludf.DUMMYFUNCTION("""COMPUTED_VALUE"""),220.0)</f>
        <v>220</v>
      </c>
      <c r="D83" s="2">
        <f>IFERROR(__xludf.DUMMYFUNCTION("""COMPUTED_VALUE"""),31.5)</f>
        <v>31.5</v>
      </c>
      <c r="E83" s="2">
        <f>IFERROR(__xludf.DUMMYFUNCTION("""COMPUTED_VALUE"""),850.0)</f>
        <v>850</v>
      </c>
      <c r="F83" s="2">
        <f>IFERROR(__xludf.DUMMYFUNCTION("""COMPUTED_VALUE"""),83.0)</f>
        <v>83</v>
      </c>
      <c r="G83" s="2" t="str">
        <f>IFERROR(__xludf.DUMMYFUNCTION("""COMPUTED_VALUE"""),"2074-02-30")</f>
        <v>2074-02-30</v>
      </c>
      <c r="H83" s="2" t="str">
        <f>IFERROR(__xludf.DUMMYFUNCTION("""COMPUTED_VALUE"""),"2099-02-29")</f>
        <v>2099-02-29</v>
      </c>
      <c r="I83" s="2" t="str">
        <f>IFERROR(__xludf.DUMMYFUNCTION("""COMPUTED_VALUE"""),"Nepal Electricity Authority")</f>
        <v>Nepal Electricity Authority</v>
      </c>
      <c r="J83" s="2" t="str">
        <f>IFERROR(__xludf.DUMMYFUNCTION("""COMPUTED_VALUE"""),"P.O.B.10020, Durbarmarga Kathmandu")</f>
        <v>P.O.B.10020, Durbarmarga Kathmandu</v>
      </c>
      <c r="K83" s="2" t="str">
        <f>IFERROR(__xludf.DUMMYFUNCTION("""COMPUTED_VALUE"""),"Basantapur S/S")</f>
        <v>Basantapur S/S</v>
      </c>
      <c r="L83" s="2" t="str">
        <f>IFERROR(__xludf.DUMMYFUNCTION("""COMPUTED_VALUE"""),"Changey S/S at Dhungesangu")</f>
        <v>Changey S/S at Dhungesangu</v>
      </c>
    </row>
    <row r="84">
      <c r="A84" s="2">
        <f>IFERROR(__xludf.DUMMYFUNCTION("""COMPUTED_VALUE"""),83.0)</f>
        <v>83</v>
      </c>
      <c r="B84" s="2" t="str">
        <f>IFERROR(__xludf.DUMMYFUNCTION("""COMPUTED_VALUE"""),"Nyadi 132kV Transmission Line Project")</f>
        <v>Nyadi 132kV Transmission Line Project</v>
      </c>
      <c r="C84" s="2">
        <f>IFERROR(__xludf.DUMMYFUNCTION("""COMPUTED_VALUE"""),132.0)</f>
        <v>132</v>
      </c>
      <c r="D84" s="2">
        <f>IFERROR(__xludf.DUMMYFUNCTION("""COMPUTED_VALUE"""),9.408)</f>
        <v>9.408</v>
      </c>
      <c r="E84" s="2">
        <f>IFERROR(__xludf.DUMMYFUNCTION("""COMPUTED_VALUE"""),30.0)</f>
        <v>30</v>
      </c>
      <c r="F84" s="2">
        <f>IFERROR(__xludf.DUMMYFUNCTION("""COMPUTED_VALUE"""),84.0)</f>
        <v>84</v>
      </c>
      <c r="G84" s="3">
        <f>IFERROR(__xludf.DUMMYFUNCTION("""COMPUTED_VALUE"""),63624.0)</f>
        <v>63624</v>
      </c>
      <c r="H84" s="3">
        <f>IFERROR(__xludf.DUMMYFUNCTION("""COMPUTED_VALUE"""),72754.0)</f>
        <v>72754</v>
      </c>
      <c r="I84" s="2" t="str">
        <f>IFERROR(__xludf.DUMMYFUNCTION("""COMPUTED_VALUE"""),"Nyadi Hydropower Limited")</f>
        <v>Nyadi Hydropower Limited</v>
      </c>
      <c r="J84" s="2" t="str">
        <f>IFERROR(__xludf.DUMMYFUNCTION("""COMPUTED_VALUE"""),"gangadevi marg, buddhanagar, P.B.no. 26305, 4781776")</f>
        <v>gangadevi marg, buddhanagar, P.B.no. 26305, 4781776</v>
      </c>
      <c r="K84" s="2" t="str">
        <f>IFERROR(__xludf.DUMMYFUNCTION("""COMPUTED_VALUE"""),"Bahundada PH")</f>
        <v>Bahundada PH</v>
      </c>
      <c r="L84" s="2" t="str">
        <f>IFERROR(__xludf.DUMMYFUNCTION("""COMPUTED_VALUE"""),"Middle Marsyandi switchyard")</f>
        <v>Middle Marsyandi switchyard</v>
      </c>
    </row>
    <row r="85">
      <c r="A85" s="2">
        <f>IFERROR(__xludf.DUMMYFUNCTION("""COMPUTED_VALUE"""),84.0)</f>
        <v>84</v>
      </c>
      <c r="B85" s="2" t="str">
        <f>IFERROR(__xludf.DUMMYFUNCTION("""COMPUTED_VALUE"""),"New Modi Lekhnath 132 kV Transmission Line")</f>
        <v>New Modi Lekhnath 132 kV Transmission Line</v>
      </c>
      <c r="C85" s="2">
        <f>IFERROR(__xludf.DUMMYFUNCTION("""COMPUTED_VALUE"""),132.0)</f>
        <v>132</v>
      </c>
      <c r="D85" s="2">
        <f>IFERROR(__xludf.DUMMYFUNCTION("""COMPUTED_VALUE"""),42.198)</f>
        <v>42.198</v>
      </c>
      <c r="E85" s="2">
        <f>IFERROR(__xludf.DUMMYFUNCTION("""COMPUTED_VALUE"""),130.0)</f>
        <v>130</v>
      </c>
      <c r="F85" s="2">
        <f>IFERROR(__xludf.DUMMYFUNCTION("""COMPUTED_VALUE"""),85.0)</f>
        <v>85</v>
      </c>
      <c r="G85" s="3">
        <f>IFERROR(__xludf.DUMMYFUNCTION("""COMPUTED_VALUE"""),63693.0)</f>
        <v>63693</v>
      </c>
      <c r="H85" s="3">
        <f>IFERROR(__xludf.DUMMYFUNCTION("""COMPUTED_VALUE"""),72823.0)</f>
        <v>72823</v>
      </c>
      <c r="I85" s="2" t="str">
        <f>IFERROR(__xludf.DUMMYFUNCTION("""COMPUTED_VALUE"""),"Nepal Electricity Authority")</f>
        <v>Nepal Electricity Authority</v>
      </c>
      <c r="J85" s="2" t="str">
        <f>IFERROR(__xludf.DUMMYFUNCTION("""COMPUTED_VALUE"""),"Kathmandu")</f>
        <v>Kathmandu</v>
      </c>
      <c r="K85" s="2" t="str">
        <f>IFERROR(__xludf.DUMMYFUNCTION("""COMPUTED_VALUE"""),"New Modi substation")</f>
        <v>New Modi substation</v>
      </c>
      <c r="L85" s="2" t="str">
        <f>IFERROR(__xludf.DUMMYFUNCTION("""COMPUTED_VALUE"""),"Lekhnath substation")</f>
        <v>Lekhnath substation</v>
      </c>
    </row>
    <row r="86">
      <c r="A86" s="2">
        <f>IFERROR(__xludf.DUMMYFUNCTION("""COMPUTED_VALUE"""),85.0)</f>
        <v>85</v>
      </c>
      <c r="B86" s="2" t="str">
        <f>IFERROR(__xludf.DUMMYFUNCTION("""COMPUTED_VALUE"""),"Kapadi Gad HEP 33 kV Transmission Line")</f>
        <v>Kapadi Gad HEP 33 kV Transmission Line</v>
      </c>
      <c r="C86" s="2">
        <f>IFERROR(__xludf.DUMMYFUNCTION("""COMPUTED_VALUE"""),33.0)</f>
        <v>33</v>
      </c>
      <c r="D86" s="2">
        <f>IFERROR(__xludf.DUMMYFUNCTION("""COMPUTED_VALUE"""),28.0)</f>
        <v>28</v>
      </c>
      <c r="E86" s="2">
        <f>IFERROR(__xludf.DUMMYFUNCTION("""COMPUTED_VALUE"""),3.33)</f>
        <v>3.33</v>
      </c>
      <c r="F86" s="2">
        <f>IFERROR(__xludf.DUMMYFUNCTION("""COMPUTED_VALUE"""),86.0)</f>
        <v>86</v>
      </c>
      <c r="G86" s="3">
        <f>IFERROR(__xludf.DUMMYFUNCTION("""COMPUTED_VALUE"""),63701.0)</f>
        <v>63701</v>
      </c>
      <c r="H86" s="3">
        <f>IFERROR(__xludf.DUMMYFUNCTION("""COMPUTED_VALUE"""),72831.0)</f>
        <v>72831</v>
      </c>
      <c r="I86" s="2" t="str">
        <f>IFERROR(__xludf.DUMMYFUNCTION("""COMPUTED_VALUE"""),"Salmani Devi Hydropower Pvt. Ltd.")</f>
        <v>Salmani Devi Hydropower Pvt. Ltd.</v>
      </c>
      <c r="J86" s="2" t="str">
        <f>IFERROR(__xludf.DUMMYFUNCTION("""COMPUTED_VALUE"""),"Dhungaadda, Tinthana-07, Ktm")</f>
        <v>Dhungaadda, Tinthana-07, Ktm</v>
      </c>
      <c r="K86" s="2" t="str">
        <f>IFERROR(__xludf.DUMMYFUNCTION("""COMPUTED_VALUE"""),"Respective Switchyard of the project at")</f>
        <v>Respective Switchyard of the project at</v>
      </c>
      <c r="L86" s="2" t="str">
        <f>IFERROR(__xludf.DUMMYFUNCTION("""COMPUTED_VALUE"""),"Budar Substation NEA, Budar Bajar")</f>
        <v>Budar Substation NEA, Budar Bajar</v>
      </c>
    </row>
    <row r="87">
      <c r="A87" s="2">
        <f>IFERROR(__xludf.DUMMYFUNCTION("""COMPUTED_VALUE"""),86.0)</f>
        <v>86</v>
      </c>
      <c r="B87" s="2" t="str">
        <f>IFERROR(__xludf.DUMMYFUNCTION("""COMPUTED_VALUE"""),"Upper Khorunga Transmission Line Project")</f>
        <v>Upper Khorunga Transmission Line Project</v>
      </c>
      <c r="C87" s="2">
        <f>IFERROR(__xludf.DUMMYFUNCTION("""COMPUTED_VALUE"""),33.0)</f>
        <v>33</v>
      </c>
      <c r="D87" s="2">
        <f>IFERROR(__xludf.DUMMYFUNCTION("""COMPUTED_VALUE"""),4.7)</f>
        <v>4.7</v>
      </c>
      <c r="E87" s="2">
        <f>IFERROR(__xludf.DUMMYFUNCTION("""COMPUTED_VALUE"""),7.5)</f>
        <v>7.5</v>
      </c>
      <c r="F87" s="2">
        <f>IFERROR(__xludf.DUMMYFUNCTION("""COMPUTED_VALUE"""),87.0)</f>
        <v>87</v>
      </c>
      <c r="G87" s="3">
        <f>IFERROR(__xludf.DUMMYFUNCTION("""COMPUTED_VALUE"""),63706.0)</f>
        <v>63706</v>
      </c>
      <c r="H87" s="3">
        <f>IFERROR(__xludf.DUMMYFUNCTION("""COMPUTED_VALUE"""),72836.0)</f>
        <v>72836</v>
      </c>
      <c r="I87" s="2" t="str">
        <f>IFERROR(__xludf.DUMMYFUNCTION("""COMPUTED_VALUE"""),"Terhathum Power Company Pvt. Ltd.")</f>
        <v>Terhathum Power Company Pvt. Ltd.</v>
      </c>
      <c r="J87" s="2" t="str">
        <f>IFERROR(__xludf.DUMMYFUNCTION("""COMPUTED_VALUE"""),"PO Box: 14130, Kathmandu, Aradhana Complex, Baagbazaar. Phone: 014240661, 
Fax: 0")</f>
        <v>PO Box: 14130, Kathmandu, Aradhana Complex, Baagbazaar. Phone: 014240661, 
Fax: 0</v>
      </c>
      <c r="K87" s="2" t="str">
        <f>IFERROR(__xludf.DUMMYFUNCTION("""COMPUTED_VALUE"""),"Powerhouse of Upper Khorug Project")</f>
        <v>Powerhouse of Upper Khorug Project</v>
      </c>
      <c r="L87" s="2" t="str">
        <f>IFERROR(__xludf.DUMMYFUNCTION("""COMPUTED_VALUE"""),"Jiri-Khimti Substation")</f>
        <v>Jiri-Khimti Substation</v>
      </c>
    </row>
    <row r="88">
      <c r="A88" s="2">
        <f>IFERROR(__xludf.DUMMYFUNCTION("""COMPUTED_VALUE"""),87.0)</f>
        <v>87</v>
      </c>
      <c r="B88" s="2" t="str">
        <f>IFERROR(__xludf.DUMMYFUNCTION("""COMPUTED_VALUE"""),"Bagmati-Kulekhani Transmission Line")</f>
        <v>Bagmati-Kulekhani Transmission Line</v>
      </c>
      <c r="C88" s="2">
        <f>IFERROR(__xludf.DUMMYFUNCTION("""COMPUTED_VALUE"""),66.0)</f>
        <v>66</v>
      </c>
      <c r="D88" s="2">
        <f>IFERROR(__xludf.DUMMYFUNCTION("""COMPUTED_VALUE"""),13.0)</f>
        <v>13</v>
      </c>
      <c r="E88" s="2">
        <f>IFERROR(__xludf.DUMMYFUNCTION("""COMPUTED_VALUE"""),32.0)</f>
        <v>32</v>
      </c>
      <c r="F88" s="2">
        <f>IFERROR(__xludf.DUMMYFUNCTION("""COMPUTED_VALUE"""),88.0)</f>
        <v>88</v>
      </c>
      <c r="G88" s="3">
        <f>IFERROR(__xludf.DUMMYFUNCTION("""COMPUTED_VALUE"""),63706.0)</f>
        <v>63706</v>
      </c>
      <c r="H88" s="3">
        <f>IFERROR(__xludf.DUMMYFUNCTION("""COMPUTED_VALUE"""),72836.0)</f>
        <v>72836</v>
      </c>
      <c r="I88" s="2" t="str">
        <f>IFERROR(__xludf.DUMMYFUNCTION("""COMPUTED_VALUE"""),"Mandu Hydropower Limited")</f>
        <v>Mandu Hydropower Limited</v>
      </c>
      <c r="J88" s="2" t="str">
        <f>IFERROR(__xludf.DUMMYFUNCTION("""COMPUTED_VALUE"""),"Kamaladi 31 Kathmandu")</f>
        <v>Kamaladi 31 Kathmandu</v>
      </c>
      <c r="K88" s="2" t="str">
        <f>IFERROR(__xludf.DUMMYFUNCTION("""COMPUTED_VALUE"""),"Switchyard of Bagmati HPP")</f>
        <v>Switchyard of Bagmati HPP</v>
      </c>
      <c r="L88" s="2" t="str">
        <f>IFERROR(__xludf.DUMMYFUNCTION("""COMPUTED_VALUE"""),"Kulekhani-I substation")</f>
        <v>Kulekhani-I substation</v>
      </c>
    </row>
    <row r="89">
      <c r="A89" s="2">
        <f>IFERROR(__xludf.DUMMYFUNCTION("""COMPUTED_VALUE"""),88.0)</f>
        <v>88</v>
      </c>
      <c r="B89" s="2" t="str">
        <f>IFERROR(__xludf.DUMMYFUNCTION("""COMPUTED_VALUE"""),"Kushwa-Biratnagar 132 kV Transmission Line")</f>
        <v>Kushwa-Biratnagar 132 kV Transmission Line</v>
      </c>
      <c r="C89" s="2">
        <f>IFERROR(__xludf.DUMMYFUNCTION("""COMPUTED_VALUE"""),132.0)</f>
        <v>132</v>
      </c>
      <c r="D89" s="2">
        <f>IFERROR(__xludf.DUMMYFUNCTION("""COMPUTED_VALUE"""),22.8)</f>
        <v>22.8</v>
      </c>
      <c r="E89" s="2">
        <f>IFERROR(__xludf.DUMMYFUNCTION("""COMPUTED_VALUE"""),200.0)</f>
        <v>200</v>
      </c>
      <c r="F89" s="2">
        <f>IFERROR(__xludf.DUMMYFUNCTION("""COMPUTED_VALUE"""),89.0)</f>
        <v>89</v>
      </c>
      <c r="G89" s="3">
        <f>IFERROR(__xludf.DUMMYFUNCTION("""COMPUTED_VALUE"""),63752.0)</f>
        <v>63752</v>
      </c>
      <c r="H89" s="3">
        <f>IFERROR(__xludf.DUMMYFUNCTION("""COMPUTED_VALUE"""),72882.0)</f>
        <v>72882</v>
      </c>
      <c r="I89" s="2" t="str">
        <f>IFERROR(__xludf.DUMMYFUNCTION("""COMPUTED_VALUE"""),"Nepal Electricity Authority")</f>
        <v>Nepal Electricity Authority</v>
      </c>
      <c r="J89" s="2" t="str">
        <f>IFERROR(__xludf.DUMMYFUNCTION("""COMPUTED_VALUE"""),"PBO 10020, Kathamndu")</f>
        <v>PBO 10020, Kathamndu</v>
      </c>
      <c r="K89" s="2" t="str">
        <f>IFERROR(__xludf.DUMMYFUNCTION("""COMPUTED_VALUE"""),"Jhokharha, Sunsari")</f>
        <v>Jhokharha, Sunsari</v>
      </c>
      <c r="L89" s="2" t="str">
        <f>IFERROR(__xludf.DUMMYFUNCTION("""COMPUTED_VALUE"""),"Belgachhiya S/S of NEA, Sunsari")</f>
        <v>Belgachhiya S/S of NEA, Sunsari</v>
      </c>
    </row>
    <row r="90">
      <c r="A90" s="2">
        <f>IFERROR(__xludf.DUMMYFUNCTION("""COMPUTED_VALUE"""),89.0)</f>
        <v>89</v>
      </c>
      <c r="B90" s="2" t="str">
        <f>IFERROR(__xludf.DUMMYFUNCTION("""COMPUTED_VALUE"""),"Tamakoshi-Kathmandu Transmission Line")</f>
        <v>Tamakoshi-Kathmandu Transmission Line</v>
      </c>
      <c r="C90" s="2">
        <f>IFERROR(__xludf.DUMMYFUNCTION("""COMPUTED_VALUE"""),400.0)</f>
        <v>400</v>
      </c>
      <c r="D90" s="2">
        <f>IFERROR(__xludf.DUMMYFUNCTION("""COMPUTED_VALUE"""),100.0)</f>
        <v>100</v>
      </c>
      <c r="E90" s="2">
        <f>IFERROR(__xludf.DUMMYFUNCTION("""COMPUTED_VALUE"""),500.0)</f>
        <v>500</v>
      </c>
      <c r="F90" s="2">
        <f>IFERROR(__xludf.DUMMYFUNCTION("""COMPUTED_VALUE"""),90.0)</f>
        <v>90</v>
      </c>
      <c r="G90" s="3">
        <f>IFERROR(__xludf.DUMMYFUNCTION("""COMPUTED_VALUE"""),63762.0)</f>
        <v>63762</v>
      </c>
      <c r="H90" s="3">
        <f>IFERROR(__xludf.DUMMYFUNCTION("""COMPUTED_VALUE"""),72892.0)</f>
        <v>72892</v>
      </c>
      <c r="I90" s="2" t="str">
        <f>IFERROR(__xludf.DUMMYFUNCTION("""COMPUTED_VALUE"""),"Nepal Electricity Authority")</f>
        <v>Nepal Electricity Authority</v>
      </c>
      <c r="J90" s="2" t="str">
        <f>IFERROR(__xludf.DUMMYFUNCTION("""COMPUTED_VALUE"""),"Durbarmarg, Kathmandu")</f>
        <v>Durbarmarg, Kathmandu</v>
      </c>
      <c r="K90" s="2" t="str">
        <f>IFERROR(__xludf.DUMMYFUNCTION("""COMPUTED_VALUE"""),"Fulase, Ramechhap")</f>
        <v>Fulase, Ramechhap</v>
      </c>
      <c r="L90" s="2" t="str">
        <f>IFERROR(__xludf.DUMMYFUNCTION("""COMPUTED_VALUE"""),"Mulpani, Kathmandu")</f>
        <v>Mulpani, Kathmandu</v>
      </c>
    </row>
    <row r="91">
      <c r="A91" s="2">
        <f>IFERROR(__xludf.DUMMYFUNCTION("""COMPUTED_VALUE"""),90.0)</f>
        <v>90</v>
      </c>
      <c r="B91" s="2" t="str">
        <f>IFERROR(__xludf.DUMMYFUNCTION("""COMPUTED_VALUE"""),"Chautara-Lamosanghu 33 kV TL Project")</f>
        <v>Chautara-Lamosanghu 33 kV TL Project</v>
      </c>
      <c r="C91" s="2">
        <f>IFERROR(__xludf.DUMMYFUNCTION("""COMPUTED_VALUE"""),33.0)</f>
        <v>33</v>
      </c>
      <c r="D91" s="2">
        <f>IFERROR(__xludf.DUMMYFUNCTION("""COMPUTED_VALUE"""),6.0)</f>
        <v>6</v>
      </c>
      <c r="E91" s="2">
        <f>IFERROR(__xludf.DUMMYFUNCTION("""COMPUTED_VALUE"""),6.4)</f>
        <v>6.4</v>
      </c>
      <c r="F91" s="2">
        <f>IFERROR(__xludf.DUMMYFUNCTION("""COMPUTED_VALUE"""),91.0)</f>
        <v>91</v>
      </c>
      <c r="G91" s="3">
        <f>IFERROR(__xludf.DUMMYFUNCTION("""COMPUTED_VALUE"""),63770.0)</f>
        <v>63770</v>
      </c>
      <c r="H91" s="3">
        <f>IFERROR(__xludf.DUMMYFUNCTION("""COMPUTED_VALUE"""),72900.0)</f>
        <v>72900</v>
      </c>
      <c r="I91" s="2" t="str">
        <f>IFERROR(__xludf.DUMMYFUNCTION("""COMPUTED_VALUE"""),"Nepal Electricity Authority")</f>
        <v>Nepal Electricity Authority</v>
      </c>
      <c r="J91" s="2" t="str">
        <f>IFERROR(__xludf.DUMMYFUNCTION("""COMPUTED_VALUE"""),"PBO 10020, Kathamndu")</f>
        <v>PBO 10020, Kathamndu</v>
      </c>
      <c r="K91" s="2" t="str">
        <f>IFERROR(__xludf.DUMMYFUNCTION("""COMPUTED_VALUE"""),"Chautara Substation")</f>
        <v>Chautara Substation</v>
      </c>
      <c r="L91" s="2" t="str">
        <f>IFERROR(__xludf.DUMMYFUNCTION("""COMPUTED_VALUE"""),"Lamosanghu Substation")</f>
        <v>Lamosanghu Substation</v>
      </c>
    </row>
    <row r="92">
      <c r="A92" s="2">
        <f>IFERROR(__xludf.DUMMYFUNCTION("""COMPUTED_VALUE"""),91.0)</f>
        <v>91</v>
      </c>
      <c r="B92" s="2" t="str">
        <f>IFERROR(__xludf.DUMMYFUNCTION("""COMPUTED_VALUE"""),"Lower khare khola Transmission line")</f>
        <v>Lower khare khola Transmission line</v>
      </c>
      <c r="C92" s="2">
        <f>IFERROR(__xludf.DUMMYFUNCTION("""COMPUTED_VALUE"""),33.0)</f>
        <v>33</v>
      </c>
      <c r="D92" s="2">
        <f>IFERROR(__xludf.DUMMYFUNCTION("""COMPUTED_VALUE"""),5.36)</f>
        <v>5.36</v>
      </c>
      <c r="E92" s="2">
        <f>IFERROR(__xludf.DUMMYFUNCTION("""COMPUTED_VALUE"""),11.0)</f>
        <v>11</v>
      </c>
      <c r="F92" s="2">
        <f>IFERROR(__xludf.DUMMYFUNCTION("""COMPUTED_VALUE"""),92.0)</f>
        <v>92</v>
      </c>
      <c r="G92" s="3">
        <f>IFERROR(__xludf.DUMMYFUNCTION("""COMPUTED_VALUE"""),63815.0)</f>
        <v>63815</v>
      </c>
      <c r="H92" s="3">
        <f>IFERROR(__xludf.DUMMYFUNCTION("""COMPUTED_VALUE"""),72945.0)</f>
        <v>72945</v>
      </c>
      <c r="I92" s="2" t="str">
        <f>IFERROR(__xludf.DUMMYFUNCTION("""COMPUTED_VALUE"""),"Universal Power Company Limited")</f>
        <v>Universal Power Company Limited</v>
      </c>
      <c r="J92" s="2" t="str">
        <f>IFERROR(__xludf.DUMMYFUNCTION("""COMPUTED_VALUE"""),"Blue Star Complex, Tripureshwore")</f>
        <v>Blue Star Complex, Tripureshwore</v>
      </c>
      <c r="K92" s="2" t="str">
        <f>IFERROR(__xludf.DUMMYFUNCTION("""COMPUTED_VALUE"""),"Power house of lower khare at Bigu")</f>
        <v>Power house of lower khare at Bigu</v>
      </c>
      <c r="L92" s="2" t="str">
        <f>IFERROR(__xludf.DUMMYFUNCTION("""COMPUTED_VALUE"""),"NEA substation Singati")</f>
        <v>NEA substation Singati</v>
      </c>
    </row>
    <row r="93">
      <c r="A93" s="2">
        <f>IFERROR(__xludf.DUMMYFUNCTION("""COMPUTED_VALUE"""),92.0)</f>
        <v>92</v>
      </c>
      <c r="B93" s="2" t="str">
        <f>IFERROR(__xludf.DUMMYFUNCTION("""COMPUTED_VALUE"""),"Upper Hewa Khola Saanaa 33 kV TL Project")</f>
        <v>Upper Hewa Khola Saanaa 33 kV TL Project</v>
      </c>
      <c r="C93" s="2">
        <f>IFERROR(__xludf.DUMMYFUNCTION("""COMPUTED_VALUE"""),33.0)</f>
        <v>33</v>
      </c>
      <c r="D93" s="2">
        <f>IFERROR(__xludf.DUMMYFUNCTION("""COMPUTED_VALUE"""),11.0)</f>
        <v>11</v>
      </c>
      <c r="E93" s="2">
        <f>IFERROR(__xludf.DUMMYFUNCTION("""COMPUTED_VALUE"""),8.5)</f>
        <v>8.5</v>
      </c>
      <c r="F93" s="2">
        <f>IFERROR(__xludf.DUMMYFUNCTION("""COMPUTED_VALUE"""),93.0)</f>
        <v>93</v>
      </c>
      <c r="G93" s="3">
        <f>IFERROR(__xludf.DUMMYFUNCTION("""COMPUTED_VALUE"""),63823.0)</f>
        <v>63823</v>
      </c>
      <c r="H93" s="3">
        <f>IFERROR(__xludf.DUMMYFUNCTION("""COMPUTED_VALUE"""),72953.0)</f>
        <v>72953</v>
      </c>
      <c r="I93" s="2" t="str">
        <f>IFERROR(__xludf.DUMMYFUNCTION("""COMPUTED_VALUE"""),"Upper Hewa Khola Hydropower Company Pvt. Ltd.")</f>
        <v>Upper Hewa Khola Hydropower Company Pvt. Ltd.</v>
      </c>
      <c r="J93" s="2" t="str">
        <f>IFERROR(__xludf.DUMMYFUNCTION("""COMPUTED_VALUE"""),"Kathmandu-32, Anaamnagar. Phn. No. 01-4102856")</f>
        <v>Kathmandu-32, Anaamnagar. Phn. No. 01-4102856</v>
      </c>
      <c r="K93" s="2" t="str">
        <f>IFERROR(__xludf.DUMMYFUNCTION("""COMPUTED_VALUE"""),"Jaljale Powerhouse")</f>
        <v>Jaljale Powerhouse</v>
      </c>
      <c r="L93" s="2" t="str">
        <f>IFERROR(__xludf.DUMMYFUNCTION("""COMPUTED_VALUE"""),"Baneswor Substation")</f>
        <v>Baneswor Substation</v>
      </c>
    </row>
    <row r="94">
      <c r="A94" s="2">
        <f>IFERROR(__xludf.DUMMYFUNCTION("""COMPUTED_VALUE"""),93.0)</f>
        <v>93</v>
      </c>
      <c r="B94" s="2" t="str">
        <f>IFERROR(__xludf.DUMMYFUNCTION("""COMPUTED_VALUE"""),"Sanjen Transmission Line Project")</f>
        <v>Sanjen Transmission Line Project</v>
      </c>
      <c r="C94" s="2">
        <f>IFERROR(__xludf.DUMMYFUNCTION("""COMPUTED_VALUE"""),132.0)</f>
        <v>132</v>
      </c>
      <c r="D94" s="2">
        <f>IFERROR(__xludf.DUMMYFUNCTION("""COMPUTED_VALUE"""),1.135)</f>
        <v>1.135</v>
      </c>
      <c r="E94" s="2">
        <f>IFERROR(__xludf.DUMMYFUNCTION("""COMPUTED_VALUE"""),42.5)</f>
        <v>42.5</v>
      </c>
      <c r="F94" s="2">
        <f>IFERROR(__xludf.DUMMYFUNCTION("""COMPUTED_VALUE"""),94.0)</f>
        <v>94</v>
      </c>
      <c r="G94" s="3">
        <f>IFERROR(__xludf.DUMMYFUNCTION("""COMPUTED_VALUE"""),63850.0)</f>
        <v>63850</v>
      </c>
      <c r="H94" s="3">
        <f>IFERROR(__xludf.DUMMYFUNCTION("""COMPUTED_VALUE"""),72980.0)</f>
        <v>72980</v>
      </c>
      <c r="I94" s="2" t="str">
        <f>IFERROR(__xludf.DUMMYFUNCTION("""COMPUTED_VALUE"""),"Sanjen Jalbidyut Company Limited")</f>
        <v>Sanjen Jalbidyut Company Limited</v>
      </c>
      <c r="J94" s="2" t="str">
        <f>IFERROR(__xludf.DUMMYFUNCTION("""COMPUTED_VALUE"""),"PO Box: 12667, Lazimpat, Kathmandu , Phone: 014002049, Fax: 014002048")</f>
        <v>PO Box: 12667, Lazimpat, Kathmandu , Phone: 014002049, Fax: 014002048</v>
      </c>
      <c r="K94" s="2" t="str">
        <f>IFERROR(__xludf.DUMMYFUNCTION("""COMPUTED_VALUE"""),"Switchyard of Sanjen Project")</f>
        <v>Switchyard of Sanjen Project</v>
      </c>
      <c r="L94" s="2" t="str">
        <f>IFERROR(__xludf.DUMMYFUNCTION("""COMPUTED_VALUE"""),"Chilime Hub Substation")</f>
        <v>Chilime Hub Substation</v>
      </c>
    </row>
    <row r="95">
      <c r="A95" s="2">
        <f>IFERROR(__xludf.DUMMYFUNCTION("""COMPUTED_VALUE"""),94.0)</f>
        <v>94</v>
      </c>
      <c r="B95" s="2" t="str">
        <f>IFERROR(__xludf.DUMMYFUNCTION("""COMPUTED_VALUE"""),"Marsyangdi Corridor Udipur-New Bharatpur substation")</f>
        <v>Marsyangdi Corridor Udipur-New Bharatpur substation</v>
      </c>
      <c r="C95" s="2">
        <f>IFERROR(__xludf.DUMMYFUNCTION("""COMPUTED_VALUE"""),220.0)</f>
        <v>220</v>
      </c>
      <c r="D95" s="2">
        <f>IFERROR(__xludf.DUMMYFUNCTION("""COMPUTED_VALUE"""),52.08)</f>
        <v>52.08</v>
      </c>
      <c r="E95" s="2">
        <f>IFERROR(__xludf.DUMMYFUNCTION("""COMPUTED_VALUE"""),1600.0)</f>
        <v>1600</v>
      </c>
      <c r="F95" s="2">
        <f>IFERROR(__xludf.DUMMYFUNCTION("""COMPUTED_VALUE"""),95.0)</f>
        <v>95</v>
      </c>
      <c r="G95" s="3">
        <f>IFERROR(__xludf.DUMMYFUNCTION("""COMPUTED_VALUE"""),63869.0)</f>
        <v>63869</v>
      </c>
      <c r="H95" s="3">
        <f>IFERROR(__xludf.DUMMYFUNCTION("""COMPUTED_VALUE"""),72999.0)</f>
        <v>72999</v>
      </c>
      <c r="I95" s="2" t="str">
        <f>IFERROR(__xludf.DUMMYFUNCTION("""COMPUTED_VALUE"""),"Nepal Electricity Authority")</f>
        <v>Nepal Electricity Authority</v>
      </c>
      <c r="J95" s="2" t="str">
        <f>IFERROR(__xludf.DUMMYFUNCTION("""COMPUTED_VALUE"""),"PBO 10020, Kathamndu")</f>
        <v>PBO 10020, Kathamndu</v>
      </c>
      <c r="K95" s="2" t="str">
        <f>IFERROR(__xludf.DUMMYFUNCTION("""COMPUTED_VALUE"""),"Tanahu Markichowk Substation")</f>
        <v>Tanahu Markichowk Substation</v>
      </c>
      <c r="L95" s="2" t="str">
        <f>IFERROR(__xludf.DUMMYFUNCTION("""COMPUTED_VALUE"""),"New Bharatpur Substation")</f>
        <v>New Bharatpur Substation</v>
      </c>
    </row>
    <row r="96">
      <c r="A96" s="2">
        <f>IFERROR(__xludf.DUMMYFUNCTION("""COMPUTED_VALUE"""),95.0)</f>
        <v>95</v>
      </c>
      <c r="B96" s="2" t="str">
        <f>IFERROR(__xludf.DUMMYFUNCTION("""COMPUTED_VALUE"""),"Kaligandaki corridor (Kusma New Butwal)")</f>
        <v>Kaligandaki corridor (Kusma New Butwal)</v>
      </c>
      <c r="C96" s="2">
        <f>IFERROR(__xludf.DUMMYFUNCTION("""COMPUTED_VALUE"""),220.0)</f>
        <v>220</v>
      </c>
      <c r="D96" s="2">
        <f>IFERROR(__xludf.DUMMYFUNCTION("""COMPUTED_VALUE"""),65.0)</f>
        <v>65</v>
      </c>
      <c r="E96" s="2">
        <f>IFERROR(__xludf.DUMMYFUNCTION("""COMPUTED_VALUE"""),1000.0)</f>
        <v>1000</v>
      </c>
      <c r="F96" s="2">
        <f>IFERROR(__xludf.DUMMYFUNCTION("""COMPUTED_VALUE"""),96.0)</f>
        <v>96</v>
      </c>
      <c r="G96" s="3">
        <f>IFERROR(__xludf.DUMMYFUNCTION("""COMPUTED_VALUE"""),63873.0)</f>
        <v>63873</v>
      </c>
      <c r="H96" s="3">
        <f>IFERROR(__xludf.DUMMYFUNCTION("""COMPUTED_VALUE"""),73003.0)</f>
        <v>73003</v>
      </c>
      <c r="I96" s="2" t="str">
        <f>IFERROR(__xludf.DUMMYFUNCTION("""COMPUTED_VALUE"""),"Nepal Electricity Authority")</f>
        <v>Nepal Electricity Authority</v>
      </c>
      <c r="J96" s="2" t="str">
        <f>IFERROR(__xludf.DUMMYFUNCTION("""COMPUTED_VALUE"""),"Darbar Marg Kathmandu, POB 10020")</f>
        <v>Darbar Marg Kathmandu, POB 10020</v>
      </c>
      <c r="K96" s="2" t="str">
        <f>IFERROR(__xludf.DUMMYFUNCTION("""COMPUTED_VALUE"""),"Kusma")</f>
        <v>Kusma</v>
      </c>
      <c r="L96" s="2" t="str">
        <f>IFERROR(__xludf.DUMMYFUNCTION("""COMPUTED_VALUE"""),"Butwal")</f>
        <v>Butwal</v>
      </c>
    </row>
    <row r="97">
      <c r="A97" s="2">
        <f>IFERROR(__xludf.DUMMYFUNCTION("""COMPUTED_VALUE"""),96.0)</f>
        <v>96</v>
      </c>
      <c r="B97" s="2" t="str">
        <f>IFERROR(__xludf.DUMMYFUNCTION("""COMPUTED_VALUE"""),"Dordi Corridor 132 kV Transmission Line")</f>
        <v>Dordi Corridor 132 kV Transmission Line</v>
      </c>
      <c r="C97" s="2">
        <f>IFERROR(__xludf.DUMMYFUNCTION("""COMPUTED_VALUE"""),132.0)</f>
        <v>132</v>
      </c>
      <c r="D97" s="2">
        <f>IFERROR(__xludf.DUMMYFUNCTION("""COMPUTED_VALUE"""),15.0)</f>
        <v>15</v>
      </c>
      <c r="E97" s="2">
        <f>IFERROR(__xludf.DUMMYFUNCTION("""COMPUTED_VALUE"""),160.0)</f>
        <v>160</v>
      </c>
      <c r="F97" s="2">
        <f>IFERROR(__xludf.DUMMYFUNCTION("""COMPUTED_VALUE"""),97.0)</f>
        <v>97</v>
      </c>
      <c r="G97" s="3">
        <f>IFERROR(__xludf.DUMMYFUNCTION("""COMPUTED_VALUE"""),63901.0)</f>
        <v>63901</v>
      </c>
      <c r="H97" s="3">
        <f>IFERROR(__xludf.DUMMYFUNCTION("""COMPUTED_VALUE"""),73031.0)</f>
        <v>73031</v>
      </c>
      <c r="I97" s="2" t="str">
        <f>IFERROR(__xludf.DUMMYFUNCTION("""COMPUTED_VALUE"""),"Nepal Electricity Authority")</f>
        <v>Nepal Electricity Authority</v>
      </c>
      <c r="J97" s="2" t="str">
        <f>IFERROR(__xludf.DUMMYFUNCTION("""COMPUTED_VALUE"""),"PBO 10020, Kathamndu")</f>
        <v>PBO 10020, Kathamndu</v>
      </c>
      <c r="K97" s="2" t="str">
        <f>IFERROR(__xludf.DUMMYFUNCTION("""COMPUTED_VALUE"""),"Dhodeni VDC")</f>
        <v>Dhodeni VDC</v>
      </c>
      <c r="L97" s="2" t="str">
        <f>IFERROR(__xludf.DUMMYFUNCTION("""COMPUTED_VALUE"""),"Udipur Hub Substation")</f>
        <v>Udipur Hub Substation</v>
      </c>
    </row>
    <row r="98">
      <c r="A98" s="2">
        <f>IFERROR(__xludf.DUMMYFUNCTION("""COMPUTED_VALUE"""),97.0)</f>
        <v>97</v>
      </c>
      <c r="B98" s="2" t="str">
        <f>IFERROR(__xludf.DUMMYFUNCTION("""COMPUTED_VALUE"""),"Sanjen to Chilime 66kV Tr. Ln. Rasuwa district")</f>
        <v>Sanjen to Chilime 66kV Tr. Ln. Rasuwa district</v>
      </c>
      <c r="C98" s="2">
        <f>IFERROR(__xludf.DUMMYFUNCTION("""COMPUTED_VALUE"""),66.0)</f>
        <v>66</v>
      </c>
      <c r="D98" s="2">
        <f>IFERROR(__xludf.DUMMYFUNCTION("""COMPUTED_VALUE"""),5.0)</f>
        <v>5</v>
      </c>
      <c r="E98" s="2">
        <f>IFERROR(__xludf.DUMMYFUNCTION("""COMPUTED_VALUE"""),11.0)</f>
        <v>11</v>
      </c>
      <c r="F98" s="2">
        <f>IFERROR(__xludf.DUMMYFUNCTION("""COMPUTED_VALUE"""),98.0)</f>
        <v>98</v>
      </c>
      <c r="G98" s="3">
        <f>IFERROR(__xludf.DUMMYFUNCTION("""COMPUTED_VALUE"""),63926.0)</f>
        <v>63926</v>
      </c>
      <c r="H98" s="3">
        <f>IFERROR(__xludf.DUMMYFUNCTION("""COMPUTED_VALUE"""),73056.0)</f>
        <v>73056</v>
      </c>
      <c r="I98" s="2" t="str">
        <f>IFERROR(__xludf.DUMMYFUNCTION("""COMPUTED_VALUE"""),"Shree Chilime Jal vidhut Company")</f>
        <v>Shree Chilime Jal vidhut Company</v>
      </c>
      <c r="J98" s="2" t="str">
        <f>IFERROR(__xludf.DUMMYFUNCTION("""COMPUTED_VALUE"""),"520 Kalika Marg kathmandu")</f>
        <v>520 Kalika Marg kathmandu</v>
      </c>
      <c r="K98" s="2" t="str">
        <f>IFERROR(__xludf.DUMMYFUNCTION("""COMPUTED_VALUE"""),"Sanjen Hydropower project")</f>
        <v>Sanjen Hydropower project</v>
      </c>
      <c r="L98" s="2" t="str">
        <f>IFERROR(__xludf.DUMMYFUNCTION("""COMPUTED_VALUE"""),"Chilime Switch yard")</f>
        <v>Chilime Switch yard</v>
      </c>
    </row>
    <row r="99">
      <c r="A99" s="2">
        <f>IFERROR(__xludf.DUMMYFUNCTION("""COMPUTED_VALUE"""),98.0)</f>
        <v>98</v>
      </c>
      <c r="B99" s="2" t="str">
        <f>IFERROR(__xludf.DUMMYFUNCTION("""COMPUTED_VALUE"""),"Tanahu hydropower 220 kV transmission line")</f>
        <v>Tanahu hydropower 220 kV transmission line</v>
      </c>
      <c r="C99" s="2">
        <f>IFERROR(__xludf.DUMMYFUNCTION("""COMPUTED_VALUE"""),220.0)</f>
        <v>220</v>
      </c>
      <c r="D99" s="2">
        <f>IFERROR(__xludf.DUMMYFUNCTION("""COMPUTED_VALUE"""),36.5)</f>
        <v>36.5</v>
      </c>
      <c r="E99" s="2">
        <f>IFERROR(__xludf.DUMMYFUNCTION("""COMPUTED_VALUE"""),140.0)</f>
        <v>140</v>
      </c>
      <c r="F99" s="2">
        <f>IFERROR(__xludf.DUMMYFUNCTION("""COMPUTED_VALUE"""),99.0)</f>
        <v>99</v>
      </c>
      <c r="G99" s="3">
        <f>IFERROR(__xludf.DUMMYFUNCTION("""COMPUTED_VALUE"""),63931.0)</f>
        <v>63931</v>
      </c>
      <c r="H99" s="3">
        <f>IFERROR(__xludf.DUMMYFUNCTION("""COMPUTED_VALUE"""),73061.0)</f>
        <v>73061</v>
      </c>
      <c r="I99" s="2" t="str">
        <f>IFERROR(__xludf.DUMMYFUNCTION("""COMPUTED_VALUE"""),"Tanahu Hydropower Limited")</f>
        <v>Tanahu Hydropower Limited</v>
      </c>
      <c r="J99" s="2" t="str">
        <f>IFERROR(__xludf.DUMMYFUNCTION("""COMPUTED_VALUE"""),"Trade Tower 4th floor, Thapathali , Kathmandu, Tel:- 01-5111117, 5111118")</f>
        <v>Trade Tower 4th floor, Thapathali , Kathmandu, Tel:- 01-5111117, 5111118</v>
      </c>
      <c r="K99" s="2" t="str">
        <f>IFERROR(__xludf.DUMMYFUNCTION("""COMPUTED_VALUE"""),"powerhouse of Tanahu hydro")</f>
        <v>powerhouse of Tanahu hydro</v>
      </c>
      <c r="L99" s="2" t="str">
        <f>IFERROR(__xludf.DUMMYFUNCTION("""COMPUTED_VALUE"""),"new bharatpur substation NEA")</f>
        <v>new bharatpur substation NEA</v>
      </c>
    </row>
    <row r="100">
      <c r="A100" s="2">
        <f>IFERROR(__xludf.DUMMYFUNCTION("""COMPUTED_VALUE"""),99.0)</f>
        <v>99</v>
      </c>
      <c r="B100" s="2" t="str">
        <f>IFERROR(__xludf.DUMMYFUNCTION("""COMPUTED_VALUE"""),"Puwa Khola one Jal vidhut 33 Kv Transmission line")</f>
        <v>Puwa Khola one Jal vidhut 33 Kv Transmission line</v>
      </c>
      <c r="C100" s="2">
        <f>IFERROR(__xludf.DUMMYFUNCTION("""COMPUTED_VALUE"""),33.0)</f>
        <v>33</v>
      </c>
      <c r="D100" s="2">
        <f>IFERROR(__xludf.DUMMYFUNCTION("""COMPUTED_VALUE"""),4.0)</f>
        <v>4</v>
      </c>
      <c r="E100" s="2">
        <f>IFERROR(__xludf.DUMMYFUNCTION("""COMPUTED_VALUE"""),5.0)</f>
        <v>5</v>
      </c>
      <c r="F100" s="2">
        <f>IFERROR(__xludf.DUMMYFUNCTION("""COMPUTED_VALUE"""),100.0)</f>
        <v>100</v>
      </c>
      <c r="G100" s="3">
        <f>IFERROR(__xludf.DUMMYFUNCTION("""COMPUTED_VALUE"""),63958.0)</f>
        <v>63958</v>
      </c>
      <c r="H100" s="3">
        <f>IFERROR(__xludf.DUMMYFUNCTION("""COMPUTED_VALUE"""),73088.0)</f>
        <v>73088</v>
      </c>
      <c r="I100" s="2" t="str">
        <f>IFERROR(__xludf.DUMMYFUNCTION("""COMPUTED_VALUE"""),"Shree Puwa Khola one Hydropower Pvt.Ltd")</f>
        <v>Shree Puwa Khola one Hydropower Pvt.Ltd</v>
      </c>
      <c r="J100" s="2" t="str">
        <f>IFERROR(__xludf.DUMMYFUNCTION("""COMPUTED_VALUE"""),"Baluwatar -2,Kathmandu")</f>
        <v>Baluwatar -2,Kathmandu</v>
      </c>
      <c r="K100" s="2" t="str">
        <f>IFERROR(__xludf.DUMMYFUNCTION("""COMPUTED_VALUE"""),"Puwa Khola Hydropower Project")</f>
        <v>Puwa Khola Hydropower Project</v>
      </c>
      <c r="L100" s="2" t="str">
        <f>IFERROR(__xludf.DUMMYFUNCTION("""COMPUTED_VALUE"""),"Godak Nea Substation")</f>
        <v>Godak Nea Substation</v>
      </c>
    </row>
    <row r="101">
      <c r="A101" s="2">
        <f>IFERROR(__xludf.DUMMYFUNCTION("""COMPUTED_VALUE"""),100.0)</f>
        <v>100</v>
      </c>
      <c r="B101" s="2" t="str">
        <f>IFERROR(__xludf.DUMMYFUNCTION("""COMPUTED_VALUE"""),"Kohalpur-Dampur 33kV TL")</f>
        <v>Kohalpur-Dampur 33kV TL</v>
      </c>
      <c r="C101" s="2">
        <f>IFERROR(__xludf.DUMMYFUNCTION("""COMPUTED_VALUE"""),33.0)</f>
        <v>33</v>
      </c>
      <c r="D101" s="2">
        <f>IFERROR(__xludf.DUMMYFUNCTION("""COMPUTED_VALUE"""),5.3)</f>
        <v>5.3</v>
      </c>
      <c r="E101" s="2">
        <f>IFERROR(__xludf.DUMMYFUNCTION("""COMPUTED_VALUE"""),6.4)</f>
        <v>6.4</v>
      </c>
      <c r="F101" s="2">
        <f>IFERROR(__xludf.DUMMYFUNCTION("""COMPUTED_VALUE"""),101.0)</f>
        <v>101</v>
      </c>
      <c r="G101" s="3">
        <f>IFERROR(__xludf.DUMMYFUNCTION("""COMPUTED_VALUE"""),63982.0)</f>
        <v>63982</v>
      </c>
      <c r="H101" s="3">
        <f>IFERROR(__xludf.DUMMYFUNCTION("""COMPUTED_VALUE"""),73112.0)</f>
        <v>73112</v>
      </c>
      <c r="I101" s="2" t="str">
        <f>IFERROR(__xludf.DUMMYFUNCTION("""COMPUTED_VALUE"""),"Nepal Electricity Authority")</f>
        <v>Nepal Electricity Authority</v>
      </c>
      <c r="J101" s="2"/>
      <c r="K101" s="2" t="str">
        <f>IFERROR(__xludf.DUMMYFUNCTION("""COMPUTED_VALUE"""),"Fattepur VDC, Tingharwa, Bheri")</f>
        <v>Fattepur VDC, Tingharwa, Bheri</v>
      </c>
      <c r="L101" s="2" t="str">
        <f>IFERROR(__xludf.DUMMYFUNCTION("""COMPUTED_VALUE"""),"Alinagar, Binauna VDC")</f>
        <v>Alinagar, Binauna VDC</v>
      </c>
    </row>
    <row r="102">
      <c r="A102" s="2">
        <f>IFERROR(__xludf.DUMMYFUNCTION("""COMPUTED_VALUE"""),101.0)</f>
        <v>101</v>
      </c>
      <c r="B102" s="2" t="str">
        <f>IFERROR(__xludf.DUMMYFUNCTION("""COMPUTED_VALUE"""),"Bardaghat Sardi 132 kV Tr. Ln.Nawalparsi District")</f>
        <v>Bardaghat Sardi 132 kV Tr. Ln.Nawalparsi District</v>
      </c>
      <c r="C102" s="2">
        <f>IFERROR(__xludf.DUMMYFUNCTION("""COMPUTED_VALUE"""),132.0)</f>
        <v>132</v>
      </c>
      <c r="D102" s="2">
        <f>IFERROR(__xludf.DUMMYFUNCTION("""COMPUTED_VALUE"""),18.0)</f>
        <v>18</v>
      </c>
      <c r="E102" s="2">
        <f>IFERROR(__xludf.DUMMYFUNCTION("""COMPUTED_VALUE"""),200.0)</f>
        <v>200</v>
      </c>
      <c r="F102" s="2">
        <f>IFERROR(__xludf.DUMMYFUNCTION("""COMPUTED_VALUE"""),102.0)</f>
        <v>102</v>
      </c>
      <c r="G102" s="3">
        <f>IFERROR(__xludf.DUMMYFUNCTION("""COMPUTED_VALUE"""),64013.0)</f>
        <v>64013</v>
      </c>
      <c r="H102" s="3">
        <f>IFERROR(__xludf.DUMMYFUNCTION("""COMPUTED_VALUE"""),73143.0)</f>
        <v>73143</v>
      </c>
      <c r="I102" s="2" t="str">
        <f>IFERROR(__xludf.DUMMYFUNCTION("""COMPUTED_VALUE"""),"Nepal Electricity Authority")</f>
        <v>Nepal Electricity Authority</v>
      </c>
      <c r="J102" s="2" t="str">
        <f>IFERROR(__xludf.DUMMYFUNCTION("""COMPUTED_VALUE"""),"Main office,Darbarmarg,Kathmandu")</f>
        <v>Main office,Darbarmarg,Kathmandu</v>
      </c>
      <c r="K102" s="2" t="str">
        <f>IFERROR(__xludf.DUMMYFUNCTION("""COMPUTED_VALUE"""),"Bardaghat")</f>
        <v>Bardaghat</v>
      </c>
      <c r="L102" s="2" t="str">
        <f>IFERROR(__xludf.DUMMYFUNCTION("""COMPUTED_VALUE"""),"Sardi")</f>
        <v>Sardi</v>
      </c>
    </row>
    <row r="103">
      <c r="A103" s="2">
        <f>IFERROR(__xludf.DUMMYFUNCTION("""COMPUTED_VALUE"""),102.0)</f>
        <v>102</v>
      </c>
      <c r="B103" s="2" t="str">
        <f>IFERROR(__xludf.DUMMYFUNCTION("""COMPUTED_VALUE"""),"Matatirtha-Naubise Transmission line")</f>
        <v>Matatirtha-Naubise Transmission line</v>
      </c>
      <c r="C103" s="2">
        <f>IFERROR(__xludf.DUMMYFUNCTION("""COMPUTED_VALUE"""),33.0)</f>
        <v>33</v>
      </c>
      <c r="D103" s="2">
        <f>IFERROR(__xludf.DUMMYFUNCTION("""COMPUTED_VALUE"""),11.5)</f>
        <v>11.5</v>
      </c>
      <c r="E103" s="2">
        <f>IFERROR(__xludf.DUMMYFUNCTION("""COMPUTED_VALUE"""),12.8)</f>
        <v>12.8</v>
      </c>
      <c r="F103" s="2">
        <f>IFERROR(__xludf.DUMMYFUNCTION("""COMPUTED_VALUE"""),103.0)</f>
        <v>103</v>
      </c>
      <c r="G103" s="3">
        <f>IFERROR(__xludf.DUMMYFUNCTION("""COMPUTED_VALUE"""),64038.0)</f>
        <v>64038</v>
      </c>
      <c r="H103" s="3">
        <f>IFERROR(__xludf.DUMMYFUNCTION("""COMPUTED_VALUE"""),73168.0)</f>
        <v>73168</v>
      </c>
      <c r="I103" s="2" t="str">
        <f>IFERROR(__xludf.DUMMYFUNCTION("""COMPUTED_VALUE"""),"Nepal Electricity Authority")</f>
        <v>Nepal Electricity Authority</v>
      </c>
      <c r="J103" s="2" t="str">
        <f>IFERROR(__xludf.DUMMYFUNCTION("""COMPUTED_VALUE"""),"Durbarmarg, Kathmandu")</f>
        <v>Durbarmarg, Kathmandu</v>
      </c>
      <c r="K103" s="2" t="str">
        <f>IFERROR(__xludf.DUMMYFUNCTION("""COMPUTED_VALUE"""),"Matatirtha, Kathmandu")</f>
        <v>Matatirtha, Kathmandu</v>
      </c>
      <c r="L103" s="2" t="str">
        <f>IFERROR(__xludf.DUMMYFUNCTION("""COMPUTED_VALUE"""),"Naubise, Dhading")</f>
        <v>Naubise, Dhading</v>
      </c>
    </row>
    <row r="104">
      <c r="A104" s="2">
        <f>IFERROR(__xludf.DUMMYFUNCTION("""COMPUTED_VALUE"""),103.0)</f>
        <v>103</v>
      </c>
      <c r="B104" s="2" t="str">
        <f>IFERROR(__xludf.DUMMYFUNCTION("""COMPUTED_VALUE"""),"Matatirtha-Malta transmission line")</f>
        <v>Matatirtha-Malta transmission line</v>
      </c>
      <c r="C104" s="2">
        <f>IFERROR(__xludf.DUMMYFUNCTION("""COMPUTED_VALUE"""),33.0)</f>
        <v>33</v>
      </c>
      <c r="D104" s="2">
        <f>IFERROR(__xludf.DUMMYFUNCTION("""COMPUTED_VALUE"""),34.0)</f>
        <v>34</v>
      </c>
      <c r="E104" s="2">
        <f>IFERROR(__xludf.DUMMYFUNCTION("""COMPUTED_VALUE"""),6.45)</f>
        <v>6.45</v>
      </c>
      <c r="F104" s="2">
        <f>IFERROR(__xludf.DUMMYFUNCTION("""COMPUTED_VALUE"""),104.0)</f>
        <v>104</v>
      </c>
      <c r="G104" s="3">
        <f>IFERROR(__xludf.DUMMYFUNCTION("""COMPUTED_VALUE"""),64038.0)</f>
        <v>64038</v>
      </c>
      <c r="H104" s="3">
        <f>IFERROR(__xludf.DUMMYFUNCTION("""COMPUTED_VALUE"""),73168.0)</f>
        <v>73168</v>
      </c>
      <c r="I104" s="2" t="str">
        <f>IFERROR(__xludf.DUMMYFUNCTION("""COMPUTED_VALUE"""),"Nepal Electricity Authority")</f>
        <v>Nepal Electricity Authority</v>
      </c>
      <c r="J104" s="2" t="str">
        <f>IFERROR(__xludf.DUMMYFUNCTION("""COMPUTED_VALUE"""),"Durbarmarg, Kathmandu")</f>
        <v>Durbarmarg, Kathmandu</v>
      </c>
      <c r="K104" s="2" t="str">
        <f>IFERROR(__xludf.DUMMYFUNCTION("""COMPUTED_VALUE"""),"Matatirtha substation at Kathmandu")</f>
        <v>Matatirtha substation at Kathmandu</v>
      </c>
      <c r="L104" s="2" t="str">
        <f>IFERROR(__xludf.DUMMYFUNCTION("""COMPUTED_VALUE"""),"Malta VDC at Lalitpur")</f>
        <v>Malta VDC at Lalitpur</v>
      </c>
    </row>
    <row r="105">
      <c r="A105" s="2">
        <f>IFERROR(__xludf.DUMMYFUNCTION("""COMPUTED_VALUE"""),104.0)</f>
        <v>104</v>
      </c>
      <c r="B105" s="2" t="str">
        <f>IFERROR(__xludf.DUMMYFUNCTION("""COMPUTED_VALUE"""),"Rudi Khola Transmission Line Project")</f>
        <v>Rudi Khola Transmission Line Project</v>
      </c>
      <c r="C105" s="2">
        <f>IFERROR(__xludf.DUMMYFUNCTION("""COMPUTED_VALUE"""),33.0)</f>
        <v>33</v>
      </c>
      <c r="D105" s="2">
        <f>IFERROR(__xludf.DUMMYFUNCTION("""COMPUTED_VALUE"""),3.5)</f>
        <v>3.5</v>
      </c>
      <c r="E105" s="2">
        <f>IFERROR(__xludf.DUMMYFUNCTION("""COMPUTED_VALUE"""),15.4)</f>
        <v>15.4</v>
      </c>
      <c r="F105" s="2">
        <f>IFERROR(__xludf.DUMMYFUNCTION("""COMPUTED_VALUE"""),105.0)</f>
        <v>105</v>
      </c>
      <c r="G105" s="3">
        <f>IFERROR(__xludf.DUMMYFUNCTION("""COMPUTED_VALUE"""),64043.0)</f>
        <v>64043</v>
      </c>
      <c r="H105" s="3">
        <f>IFERROR(__xludf.DUMMYFUNCTION("""COMPUTED_VALUE"""),73173.0)</f>
        <v>73173</v>
      </c>
      <c r="I105" s="2" t="str">
        <f>IFERROR(__xludf.DUMMYFUNCTION("""COMPUTED_VALUE"""),"Bindhabasini Hydropower Development Company Pvt. Ltd.")</f>
        <v>Bindhabasini Hydropower Development Company Pvt. Ltd.</v>
      </c>
      <c r="J105" s="2" t="str">
        <f>IFERROR(__xludf.DUMMYFUNCTION("""COMPUTED_VALUE"""),"Naya Baneshwor, Kathmandu-10, PO Box: 10242, Kathmandu. Phone: 4785671")</f>
        <v>Naya Baneshwor, Kathmandu-10, PO Box: 10242, Kathmandu. Phone: 4785671</v>
      </c>
      <c r="K105" s="2" t="str">
        <f>IFERROR(__xludf.DUMMYFUNCTION("""COMPUTED_VALUE"""),"Powerhouse of Rudi A and Rudi B Projects")</f>
        <v>Powerhouse of Rudi A and Rudi B Projects</v>
      </c>
      <c r="L105" s="2" t="str">
        <f>IFERROR(__xludf.DUMMYFUNCTION("""COMPUTED_VALUE"""),"Proposed NEA Substation at Mijure")</f>
        <v>Proposed NEA Substation at Mijure</v>
      </c>
    </row>
    <row r="106">
      <c r="A106" s="2">
        <f>IFERROR(__xludf.DUMMYFUNCTION("""COMPUTED_VALUE"""),105.0)</f>
        <v>105</v>
      </c>
      <c r="B106" s="2" t="str">
        <f>IFERROR(__xludf.DUMMYFUNCTION("""COMPUTED_VALUE"""),"Burtibang to Gorusinghe ,Kapilvastu District")</f>
        <v>Burtibang to Gorusinghe ,Kapilvastu District</v>
      </c>
      <c r="C106" s="2">
        <f>IFERROR(__xludf.DUMMYFUNCTION("""COMPUTED_VALUE"""),132.0)</f>
        <v>132</v>
      </c>
      <c r="D106" s="2">
        <f>IFERROR(__xludf.DUMMYFUNCTION("""COMPUTED_VALUE"""),83.376)</f>
        <v>83.376</v>
      </c>
      <c r="E106" s="2">
        <f>IFERROR(__xludf.DUMMYFUNCTION("""COMPUTED_VALUE"""),227.17)</f>
        <v>227.17</v>
      </c>
      <c r="F106" s="2">
        <f>IFERROR(__xludf.DUMMYFUNCTION("""COMPUTED_VALUE"""),106.0)</f>
        <v>106</v>
      </c>
      <c r="G106" s="3">
        <f>IFERROR(__xludf.DUMMYFUNCTION("""COMPUTED_VALUE"""),64086.0)</f>
        <v>64086</v>
      </c>
      <c r="H106" s="3">
        <f>IFERROR(__xludf.DUMMYFUNCTION("""COMPUTED_VALUE"""),73216.0)</f>
        <v>73216</v>
      </c>
      <c r="I106" s="2" t="str">
        <f>IFERROR(__xludf.DUMMYFUNCTION("""COMPUTED_VALUE"""),"Nepal Electricity Authority")</f>
        <v>Nepal Electricity Authority</v>
      </c>
      <c r="J106" s="2" t="str">
        <f>IFERROR(__xludf.DUMMYFUNCTION("""COMPUTED_VALUE"""),"Main office,Darbarmarg,Kathmandu")</f>
        <v>Main office,Darbarmarg,Kathmandu</v>
      </c>
      <c r="K106" s="2" t="str">
        <f>IFERROR(__xludf.DUMMYFUNCTION("""COMPUTED_VALUE"""),"Jitpur Substation")</f>
        <v>Jitpur Substation</v>
      </c>
      <c r="L106" s="2" t="str">
        <f>IFERROR(__xludf.DUMMYFUNCTION("""COMPUTED_VALUE"""),"Burtibang Substation")</f>
        <v>Burtibang Substation</v>
      </c>
    </row>
    <row r="107">
      <c r="A107" s="2">
        <f>IFERROR(__xludf.DUMMYFUNCTION("""COMPUTED_VALUE"""),106.0)</f>
        <v>106</v>
      </c>
      <c r="B107" s="2" t="str">
        <f>IFERROR(__xludf.DUMMYFUNCTION("""COMPUTED_VALUE"""),"Kushaha Kataiya 132kV")</f>
        <v>Kushaha Kataiya 132kV</v>
      </c>
      <c r="C107" s="2">
        <f>IFERROR(__xludf.DUMMYFUNCTION("""COMPUTED_VALUE"""),132.0)</f>
        <v>132</v>
      </c>
      <c r="D107" s="2">
        <f>IFERROR(__xludf.DUMMYFUNCTION("""COMPUTED_VALUE"""),14.0)</f>
        <v>14</v>
      </c>
      <c r="E107" s="2">
        <f>IFERROR(__xludf.DUMMYFUNCTION("""COMPUTED_VALUE"""),100.0)</f>
        <v>100</v>
      </c>
      <c r="F107" s="2">
        <f>IFERROR(__xludf.DUMMYFUNCTION("""COMPUTED_VALUE"""),107.0)</f>
        <v>107</v>
      </c>
      <c r="G107" s="3">
        <f>IFERROR(__xludf.DUMMYFUNCTION("""COMPUTED_VALUE"""),64120.0)</f>
        <v>64120</v>
      </c>
      <c r="H107" s="3">
        <f>IFERROR(__xludf.DUMMYFUNCTION("""COMPUTED_VALUE"""),73250.0)</f>
        <v>73250</v>
      </c>
      <c r="I107" s="2" t="str">
        <f>IFERROR(__xludf.DUMMYFUNCTION("""COMPUTED_VALUE"""),"Nepal Electricity Authority")</f>
        <v>Nepal Electricity Authority</v>
      </c>
      <c r="J107" s="2" t="str">
        <f>IFERROR(__xludf.DUMMYFUNCTION("""COMPUTED_VALUE"""),"PBO 23330, Kathmandu")</f>
        <v>PBO 23330, Kathmandu</v>
      </c>
      <c r="K107" s="2" t="str">
        <f>IFERROR(__xludf.DUMMYFUNCTION("""COMPUTED_VALUE"""),"Kushaha")</f>
        <v>Kushaha</v>
      </c>
      <c r="L107" s="2" t="str">
        <f>IFERROR(__xludf.DUMMYFUNCTION("""COMPUTED_VALUE"""),"Kataiya")</f>
        <v>Kataiya</v>
      </c>
    </row>
    <row r="108">
      <c r="A108" s="2">
        <f>IFERROR(__xludf.DUMMYFUNCTION("""COMPUTED_VALUE"""),107.0)</f>
        <v>107</v>
      </c>
      <c r="B108" s="2" t="str">
        <f>IFERROR(__xludf.DUMMYFUNCTION("""COMPUTED_VALUE"""),"Raksaul - Parwanipur 132 kV Transmission Line Project")</f>
        <v>Raksaul - Parwanipur 132 kV Transmission Line Project</v>
      </c>
      <c r="C108" s="2">
        <f>IFERROR(__xludf.DUMMYFUNCTION("""COMPUTED_VALUE"""),132.0)</f>
        <v>132</v>
      </c>
      <c r="D108" s="2">
        <f>IFERROR(__xludf.DUMMYFUNCTION("""COMPUTED_VALUE"""),22.0)</f>
        <v>22</v>
      </c>
      <c r="E108" s="2">
        <f>IFERROR(__xludf.DUMMYFUNCTION("""COMPUTED_VALUE"""),150.0)</f>
        <v>150</v>
      </c>
      <c r="F108" s="2">
        <f>IFERROR(__xludf.DUMMYFUNCTION("""COMPUTED_VALUE"""),108.0)</f>
        <v>108</v>
      </c>
      <c r="G108" s="3">
        <f>IFERROR(__xludf.DUMMYFUNCTION("""COMPUTED_VALUE"""),64120.0)</f>
        <v>64120</v>
      </c>
      <c r="H108" s="3">
        <f>IFERROR(__xludf.DUMMYFUNCTION("""COMPUTED_VALUE"""),73250.0)</f>
        <v>73250</v>
      </c>
      <c r="I108" s="2" t="str">
        <f>IFERROR(__xludf.DUMMYFUNCTION("""COMPUTED_VALUE"""),"Nepal Electricity Authority")</f>
        <v>Nepal Electricity Authority</v>
      </c>
      <c r="J108" s="2" t="str">
        <f>IFERROR(__xludf.DUMMYFUNCTION("""COMPUTED_VALUE"""),"PBO 20225, Kathmadu")</f>
        <v>PBO 20225, Kathmadu</v>
      </c>
      <c r="K108" s="2" t="str">
        <f>IFERROR(__xludf.DUMMYFUNCTION("""COMPUTED_VALUE"""),"Parwanipur")</f>
        <v>Parwanipur</v>
      </c>
      <c r="L108" s="2" t="str">
        <f>IFERROR(__xludf.DUMMYFUNCTION("""COMPUTED_VALUE"""),"Rakshwal")</f>
        <v>Rakshwal</v>
      </c>
    </row>
    <row r="109">
      <c r="A109" s="2">
        <f>IFERROR(__xludf.DUMMYFUNCTION("""COMPUTED_VALUE"""),108.0)</f>
        <v>108</v>
      </c>
      <c r="B109" s="2" t="str">
        <f>IFERROR(__xludf.DUMMYFUNCTION("""COMPUTED_VALUE"""),"Arun-3 HEP Construction power 33kV TL")</f>
        <v>Arun-3 HEP Construction power 33kV TL</v>
      </c>
      <c r="C109" s="2">
        <f>IFERROR(__xludf.DUMMYFUNCTION("""COMPUTED_VALUE"""),33.0)</f>
        <v>33</v>
      </c>
      <c r="D109" s="2">
        <f>IFERROR(__xludf.DUMMYFUNCTION("""COMPUTED_VALUE"""),46.58)</f>
        <v>46.58</v>
      </c>
      <c r="E109" s="2">
        <f>IFERROR(__xludf.DUMMYFUNCTION("""COMPUTED_VALUE"""),10.0)</f>
        <v>10</v>
      </c>
      <c r="F109" s="2">
        <f>IFERROR(__xludf.DUMMYFUNCTION("""COMPUTED_VALUE"""),110.0)</f>
        <v>110</v>
      </c>
      <c r="G109" s="3">
        <f>IFERROR(__xludf.DUMMYFUNCTION("""COMPUTED_VALUE"""),64120.0)</f>
        <v>64120</v>
      </c>
      <c r="H109" s="3">
        <f>IFERROR(__xludf.DUMMYFUNCTION("""COMPUTED_VALUE"""),73250.0)</f>
        <v>73250</v>
      </c>
      <c r="I109" s="2" t="str">
        <f>IFERROR(__xludf.DUMMYFUNCTION("""COMPUTED_VALUE"""),"SJVN Arun 3 Power Developemnt Company Pvt. Ltd.")</f>
        <v>SJVN Arun 3 Power Developemnt Company Pvt. Ltd.</v>
      </c>
      <c r="J109" s="2" t="str">
        <f>IFERROR(__xludf.DUMMYFUNCTION("""COMPUTED_VALUE"""),"Madhyapur thimi lokanthali bhaktapur")</f>
        <v>Madhyapur thimi lokanthali bhaktapur</v>
      </c>
      <c r="K109" s="2" t="str">
        <f>IFERROR(__xludf.DUMMYFUNCTION("""COMPUTED_VALUE"""),"Arun -3 Hydro Power Project switchyard")</f>
        <v>Arun -3 Hydro Power Project switchyard</v>
      </c>
      <c r="L109" s="2" t="str">
        <f>IFERROR(__xludf.DUMMYFUNCTION("""COMPUTED_VALUE"""),"Tirtire NEA substation")</f>
        <v>Tirtire NEA substation</v>
      </c>
    </row>
    <row r="110">
      <c r="A110" s="2">
        <f>IFERROR(__xludf.DUMMYFUNCTION("""COMPUTED_VALUE"""),109.0)</f>
        <v>109</v>
      </c>
      <c r="B110" s="2" t="str">
        <f>IFERROR(__xludf.DUMMYFUNCTION("""COMPUTED_VALUE"""),"Khani Khola-1 Transmission Line Project")</f>
        <v>Khani Khola-1 Transmission Line Project</v>
      </c>
      <c r="C110" s="2">
        <f>IFERROR(__xludf.DUMMYFUNCTION("""COMPUTED_VALUE"""),132.0)</f>
        <v>132</v>
      </c>
      <c r="D110" s="2">
        <f>IFERROR(__xludf.DUMMYFUNCTION("""COMPUTED_VALUE"""),20.0)</f>
        <v>20</v>
      </c>
      <c r="E110" s="2">
        <f>IFERROR(__xludf.DUMMYFUNCTION("""COMPUTED_VALUE"""),40.0)</f>
        <v>40</v>
      </c>
      <c r="F110" s="2">
        <f>IFERROR(__xludf.DUMMYFUNCTION("""COMPUTED_VALUE"""),109.0)</f>
        <v>109</v>
      </c>
      <c r="G110" s="3">
        <f>IFERROR(__xludf.DUMMYFUNCTION("""COMPUTED_VALUE"""),64140.0)</f>
        <v>64140</v>
      </c>
      <c r="H110" s="3">
        <f>IFERROR(__xludf.DUMMYFUNCTION("""COMPUTED_VALUE"""),73270.0)</f>
        <v>73270</v>
      </c>
      <c r="I110" s="2" t="str">
        <f>IFERROR(__xludf.DUMMYFUNCTION("""COMPUTED_VALUE"""),"Shree Green Life Hydro power Ltd.")</f>
        <v>Shree Green Life Hydro power Ltd.</v>
      </c>
      <c r="J110" s="2" t="str">
        <f>IFERROR(__xludf.DUMMYFUNCTION("""COMPUTED_VALUE"""),"Kamalpokhari, Kathmandu, PO Box: 3970, Phone: 5549912")</f>
        <v>Kamalpokhari, Kathmandu, PO Box: 3970, Phone: 5549912</v>
      </c>
      <c r="K110" s="2" t="str">
        <f>IFERROR(__xludf.DUMMYFUNCTION("""COMPUTED_VALUE"""),"Powerhouse of Khani Khola-1 HPP")</f>
        <v>Powerhouse of Khani Khola-1 HPP</v>
      </c>
      <c r="L110" s="2" t="str">
        <f>IFERROR(__xludf.DUMMYFUNCTION("""COMPUTED_VALUE"""),"Singati NEA Substation")</f>
        <v>Singati NEA Substation</v>
      </c>
    </row>
    <row r="111">
      <c r="A111" s="2">
        <f>IFERROR(__xludf.DUMMYFUNCTION("""COMPUTED_VALUE"""),110.0)</f>
        <v>110</v>
      </c>
      <c r="B111" s="2" t="str">
        <f>IFERROR(__xludf.DUMMYFUNCTION("""COMPUTED_VALUE"""),"Suri Khola Hydro Power Project Transmission Line Project")</f>
        <v>Suri Khola Hydro Power Project Transmission Line Project</v>
      </c>
      <c r="C111" s="2">
        <f>IFERROR(__xludf.DUMMYFUNCTION("""COMPUTED_VALUE"""),33.0)</f>
        <v>33</v>
      </c>
      <c r="D111" s="2">
        <f>IFERROR(__xludf.DUMMYFUNCTION("""COMPUTED_VALUE"""),6.9)</f>
        <v>6.9</v>
      </c>
      <c r="E111" s="2">
        <f>IFERROR(__xludf.DUMMYFUNCTION("""COMPUTED_VALUE"""),14.0)</f>
        <v>14</v>
      </c>
      <c r="F111" s="2">
        <f>IFERROR(__xludf.DUMMYFUNCTION("""COMPUTED_VALUE"""),111.0)</f>
        <v>111</v>
      </c>
      <c r="G111" s="3">
        <f>IFERROR(__xludf.DUMMYFUNCTION("""COMPUTED_VALUE"""),64148.0)</f>
        <v>64148</v>
      </c>
      <c r="H111" s="3">
        <f>IFERROR(__xludf.DUMMYFUNCTION("""COMPUTED_VALUE"""),73278.0)</f>
        <v>73278</v>
      </c>
      <c r="I111" s="2" t="str">
        <f>IFERROR(__xludf.DUMMYFUNCTION("""COMPUTED_VALUE"""),"Shree Suri Khola Hydropower Pvt. Ltd.")</f>
        <v>Shree Suri Khola Hydropower Pvt. Ltd.</v>
      </c>
      <c r="J111" s="2" t="str">
        <f>IFERROR(__xludf.DUMMYFUNCTION("""COMPUTED_VALUE"""),"Tripureshwor, Kathmandu")</f>
        <v>Tripureshwor, Kathmandu</v>
      </c>
      <c r="K111" s="2" t="str">
        <f>IFERROR(__xludf.DUMMYFUNCTION("""COMPUTED_VALUE"""),"Switchyard of Suri Khola Hydro Power Pro")</f>
        <v>Switchyard of Suri Khola Hydro Power Pro</v>
      </c>
      <c r="L111" s="2" t="str">
        <f>IFERROR(__xludf.DUMMYFUNCTION("""COMPUTED_VALUE"""),"Singati NEA Substation")</f>
        <v>Singati NEA Substation</v>
      </c>
    </row>
    <row r="112">
      <c r="A112" s="2">
        <f>IFERROR(__xludf.DUMMYFUNCTION("""COMPUTED_VALUE"""),111.0)</f>
        <v>111</v>
      </c>
      <c r="B112" s="2" t="str">
        <f>IFERROR(__xludf.DUMMYFUNCTION("""COMPUTED_VALUE"""),"Marsyandi Corridor (Dharapani Udipur)Manag District")</f>
        <v>Marsyandi Corridor (Dharapani Udipur)Manag District</v>
      </c>
      <c r="C112" s="2">
        <f>IFERROR(__xludf.DUMMYFUNCTION("""COMPUTED_VALUE"""),220.0)</f>
        <v>220</v>
      </c>
      <c r="D112" s="2">
        <f>IFERROR(__xludf.DUMMYFUNCTION("""COMPUTED_VALUE"""),45.25)</f>
        <v>45.25</v>
      </c>
      <c r="E112" s="2">
        <f>IFERROR(__xludf.DUMMYFUNCTION("""COMPUTED_VALUE"""),1600.0)</f>
        <v>1600</v>
      </c>
      <c r="F112" s="2">
        <f>IFERROR(__xludf.DUMMYFUNCTION("""COMPUTED_VALUE"""),112.0)</f>
        <v>112</v>
      </c>
      <c r="G112" s="3">
        <f>IFERROR(__xludf.DUMMYFUNCTION("""COMPUTED_VALUE"""),64194.0)</f>
        <v>64194</v>
      </c>
      <c r="H112" s="3">
        <f>IFERROR(__xludf.DUMMYFUNCTION("""COMPUTED_VALUE"""),73324.0)</f>
        <v>73324</v>
      </c>
      <c r="I112" s="2" t="str">
        <f>IFERROR(__xludf.DUMMYFUNCTION("""COMPUTED_VALUE"""),"Nepal Electricity Authority")</f>
        <v>Nepal Electricity Authority</v>
      </c>
      <c r="J112" s="2" t="str">
        <f>IFERROR(__xludf.DUMMYFUNCTION("""COMPUTED_VALUE"""),"Main office,Darbarmarg,Kathmandu")</f>
        <v>Main office,Darbarmarg,Kathmandu</v>
      </c>
      <c r="K112" s="2" t="str">
        <f>IFERROR(__xludf.DUMMYFUNCTION("""COMPUTED_VALUE"""),"Dharapani")</f>
        <v>Dharapani</v>
      </c>
      <c r="L112" s="2" t="str">
        <f>IFERROR(__xludf.DUMMYFUNCTION("""COMPUTED_VALUE"""),"Udipur")</f>
        <v>Udipur</v>
      </c>
    </row>
    <row r="113">
      <c r="A113" s="2">
        <f>IFERROR(__xludf.DUMMYFUNCTION("""COMPUTED_VALUE"""),112.0)</f>
        <v>112</v>
      </c>
      <c r="B113" s="2" t="str">
        <f>IFERROR(__xludf.DUMMYFUNCTION("""COMPUTED_VALUE"""),"Sunwal 132 KV TL")</f>
        <v>Sunwal 132 KV TL</v>
      </c>
      <c r="C113" s="2">
        <f>IFERROR(__xludf.DUMMYFUNCTION("""COMPUTED_VALUE"""),132.0)</f>
        <v>132</v>
      </c>
      <c r="D113" s="2">
        <f>IFERROR(__xludf.DUMMYFUNCTION("""COMPUTED_VALUE"""),0.1)</f>
        <v>0.1</v>
      </c>
      <c r="E113" s="2">
        <f>IFERROR(__xludf.DUMMYFUNCTION("""COMPUTED_VALUE"""),100.0)</f>
        <v>100</v>
      </c>
      <c r="F113" s="2">
        <f>IFERROR(__xludf.DUMMYFUNCTION("""COMPUTED_VALUE"""),113.0)</f>
        <v>113</v>
      </c>
      <c r="G113" s="3">
        <f>IFERROR(__xludf.DUMMYFUNCTION("""COMPUTED_VALUE"""),64205.0)</f>
        <v>64205</v>
      </c>
      <c r="H113" s="3">
        <f>IFERROR(__xludf.DUMMYFUNCTION("""COMPUTED_VALUE"""),73335.0)</f>
        <v>73335</v>
      </c>
      <c r="I113" s="2" t="str">
        <f>IFERROR(__xludf.DUMMYFUNCTION("""COMPUTED_VALUE"""),"Nepal Electricity Authority")</f>
        <v>Nepal Electricity Authority</v>
      </c>
      <c r="J113" s="2"/>
      <c r="K113" s="2"/>
      <c r="L113" s="2"/>
    </row>
    <row r="114">
      <c r="A114" s="2">
        <f>IFERROR(__xludf.DUMMYFUNCTION("""COMPUTED_VALUE"""),113.0)</f>
        <v>113</v>
      </c>
      <c r="B114" s="2" t="str">
        <f>IFERROR(__xludf.DUMMYFUNCTION("""COMPUTED_VALUE"""),"Arun-3 HPP ,Sankhuwashabha District")</f>
        <v>Arun-3 HPP ,Sankhuwashabha District</v>
      </c>
      <c r="C114" s="2">
        <f>IFERROR(__xludf.DUMMYFUNCTION("""COMPUTED_VALUE"""),400.0)</f>
        <v>400</v>
      </c>
      <c r="D114" s="2">
        <f>IFERROR(__xludf.DUMMYFUNCTION("""COMPUTED_VALUE"""),217.0)</f>
        <v>217</v>
      </c>
      <c r="E114" s="2">
        <f>IFERROR(__xludf.DUMMYFUNCTION("""COMPUTED_VALUE"""),900.0)</f>
        <v>900</v>
      </c>
      <c r="F114" s="2">
        <f>IFERROR(__xludf.DUMMYFUNCTION("""COMPUTED_VALUE"""),114.0)</f>
        <v>114</v>
      </c>
      <c r="G114" s="3">
        <f>IFERROR(__xludf.DUMMYFUNCTION("""COMPUTED_VALUE"""),64217.0)</f>
        <v>64217</v>
      </c>
      <c r="H114" s="3">
        <f>IFERROR(__xludf.DUMMYFUNCTION("""COMPUTED_VALUE"""),75173.0)</f>
        <v>75173</v>
      </c>
      <c r="I114" s="2" t="str">
        <f>IFERROR(__xludf.DUMMYFUNCTION("""COMPUTED_VALUE"""),"Shree SJVN Arun 3 Power Developemnt Company Pvt. Ltd.")</f>
        <v>Shree SJVN Arun 3 Power Developemnt Company Pvt. Ltd.</v>
      </c>
      <c r="J114" s="2" t="str">
        <f>IFERROR(__xludf.DUMMYFUNCTION("""COMPUTED_VALUE"""),"Madhyapur Thimi")</f>
        <v>Madhyapur Thimi</v>
      </c>
      <c r="K114" s="2" t="str">
        <f>IFERROR(__xludf.DUMMYFUNCTION("""COMPUTED_VALUE"""),"Arun 3 HPP")</f>
        <v>Arun 3 HPP</v>
      </c>
      <c r="L114" s="2" t="str">
        <f>IFERROR(__xludf.DUMMYFUNCTION("""COMPUTED_VALUE"""),"Dhalkebar NEA Substation to Nepal India")</f>
        <v>Dhalkebar NEA Substation to Nepal India</v>
      </c>
    </row>
    <row r="115">
      <c r="A115" s="2">
        <f>IFERROR(__xludf.DUMMYFUNCTION("""COMPUTED_VALUE"""),114.0)</f>
        <v>114</v>
      </c>
      <c r="B115" s="2" t="str">
        <f>IFERROR(__xludf.DUMMYFUNCTION("""COMPUTED_VALUE"""),"Rukum Gad Hydro Power Project")</f>
        <v>Rukum Gad Hydro Power Project</v>
      </c>
      <c r="C115" s="2">
        <f>IFERROR(__xludf.DUMMYFUNCTION("""COMPUTED_VALUE"""),33.0)</f>
        <v>33</v>
      </c>
      <c r="D115" s="2">
        <f>IFERROR(__xludf.DUMMYFUNCTION("""COMPUTED_VALUE"""),20.78)</f>
        <v>20.78</v>
      </c>
      <c r="E115" s="2">
        <f>IFERROR(__xludf.DUMMYFUNCTION("""COMPUTED_VALUE"""),5.0)</f>
        <v>5</v>
      </c>
      <c r="F115" s="2">
        <f>IFERROR(__xludf.DUMMYFUNCTION("""COMPUTED_VALUE"""),115.0)</f>
        <v>115</v>
      </c>
      <c r="G115" s="3">
        <f>IFERROR(__xludf.DUMMYFUNCTION("""COMPUTED_VALUE"""),64226.0)</f>
        <v>64226</v>
      </c>
      <c r="H115" s="3">
        <f>IFERROR(__xludf.DUMMYFUNCTION("""COMPUTED_VALUE"""),73356.0)</f>
        <v>73356</v>
      </c>
      <c r="I115" s="2" t="str">
        <f>IFERROR(__xludf.DUMMYFUNCTION("""COMPUTED_VALUE"""),"Shree Rapti Hydro and General construction Pvt.Ltd.")</f>
        <v>Shree Rapti Hydro and General construction Pvt.Ltd.</v>
      </c>
      <c r="J115" s="2" t="str">
        <f>IFERROR(__xludf.DUMMYFUNCTION("""COMPUTED_VALUE"""),"Tripureshwor-11,Kathmandu")</f>
        <v>Tripureshwor-11,Kathmandu</v>
      </c>
      <c r="K115" s="2" t="str">
        <f>IFERROR(__xludf.DUMMYFUNCTION("""COMPUTED_VALUE"""),"Switchyard of Rukum Gad Hydro Power Pro")</f>
        <v>Switchyard of Rukum Gad Hydro Power Pro</v>
      </c>
      <c r="L115" s="2" t="str">
        <f>IFERROR(__xludf.DUMMYFUNCTION("""COMPUTED_VALUE"""),"Musikot NEA Substation,")</f>
        <v>Musikot NEA Substation,</v>
      </c>
    </row>
    <row r="116">
      <c r="A116" s="2">
        <f>IFERROR(__xludf.DUMMYFUNCTION("""COMPUTED_VALUE"""),115.0)</f>
        <v>115</v>
      </c>
      <c r="B116" s="2" t="str">
        <f>IFERROR(__xludf.DUMMYFUNCTION("""COMPUTED_VALUE"""),"Butwal Gorusinghe Lumbini,Rupandehi")</f>
        <v>Butwal Gorusinghe Lumbini,Rupandehi</v>
      </c>
      <c r="C116" s="2">
        <f>IFERROR(__xludf.DUMMYFUNCTION("""COMPUTED_VALUE"""),132.0)</f>
        <v>132</v>
      </c>
      <c r="D116" s="2">
        <f>IFERROR(__xludf.DUMMYFUNCTION("""COMPUTED_VALUE"""),19.0)</f>
        <v>19</v>
      </c>
      <c r="E116" s="2">
        <f>IFERROR(__xludf.DUMMYFUNCTION("""COMPUTED_VALUE"""),200.0)</f>
        <v>200</v>
      </c>
      <c r="F116" s="2">
        <f>IFERROR(__xludf.DUMMYFUNCTION("""COMPUTED_VALUE"""),116.0)</f>
        <v>116</v>
      </c>
      <c r="G116" s="3">
        <f>IFERROR(__xludf.DUMMYFUNCTION("""COMPUTED_VALUE"""),64264.0)</f>
        <v>64264</v>
      </c>
      <c r="H116" s="3">
        <f>IFERROR(__xludf.DUMMYFUNCTION("""COMPUTED_VALUE"""),73394.0)</f>
        <v>73394</v>
      </c>
      <c r="I116" s="2" t="str">
        <f>IFERROR(__xludf.DUMMYFUNCTION("""COMPUTED_VALUE"""),"Nepal Electricity Authority")</f>
        <v>Nepal Electricity Authority</v>
      </c>
      <c r="J116" s="2" t="str">
        <f>IFERROR(__xludf.DUMMYFUNCTION("""COMPUTED_VALUE"""),"Main office,Darbarmarg,Kathmandu")</f>
        <v>Main office,Darbarmarg,Kathmandu</v>
      </c>
      <c r="K116" s="2" t="str">
        <f>IFERROR(__xludf.DUMMYFUNCTION("""COMPUTED_VALUE"""),"Jogikuti substation")</f>
        <v>Jogikuti substation</v>
      </c>
      <c r="L116" s="2" t="str">
        <f>IFERROR(__xludf.DUMMYFUNCTION("""COMPUTED_VALUE"""),"Mainahiya substation")</f>
        <v>Mainahiya substation</v>
      </c>
    </row>
    <row r="117">
      <c r="A117" s="2">
        <f>IFERROR(__xludf.DUMMYFUNCTION("""COMPUTED_VALUE"""),116.0)</f>
        <v>116</v>
      </c>
      <c r="B117" s="2" t="str">
        <f>IFERROR(__xludf.DUMMYFUNCTION("""COMPUTED_VALUE"""),"Upper Trishuli 1 HEP 220 kV T L")</f>
        <v>Upper Trishuli 1 HEP 220 kV T L</v>
      </c>
      <c r="C117" s="2">
        <f>IFERROR(__xludf.DUMMYFUNCTION("""COMPUTED_VALUE"""),220.0)</f>
        <v>220</v>
      </c>
      <c r="D117" s="2">
        <f>IFERROR(__xludf.DUMMYFUNCTION("""COMPUTED_VALUE"""),1.184)</f>
        <v>1.184</v>
      </c>
      <c r="E117" s="2">
        <f>IFERROR(__xludf.DUMMYFUNCTION("""COMPUTED_VALUE"""),216.0)</f>
        <v>216</v>
      </c>
      <c r="F117" s="2">
        <f>IFERROR(__xludf.DUMMYFUNCTION("""COMPUTED_VALUE"""),117.0)</f>
        <v>117</v>
      </c>
      <c r="G117" s="3">
        <f>IFERROR(__xludf.DUMMYFUNCTION("""COMPUTED_VALUE"""),64324.0)</f>
        <v>64324</v>
      </c>
      <c r="H117" s="3">
        <f>IFERROR(__xludf.DUMMYFUNCTION("""COMPUTED_VALUE"""),76540.0)</f>
        <v>76540</v>
      </c>
      <c r="I117" s="2" t="str">
        <f>IFERROR(__xludf.DUMMYFUNCTION("""COMPUTED_VALUE"""),"Nepal Water and Energy Development Company P Ltd")</f>
        <v>Nepal Water and Energy Development Company P Ltd</v>
      </c>
      <c r="J117" s="2" t="str">
        <f>IFERROR(__xludf.DUMMYFUNCTION("""COMPUTED_VALUE"""),"Naksal, Kathmandu, 01-4412257,4412229")</f>
        <v>Naksal, Kathmandu, 01-4412257,4412229</v>
      </c>
      <c r="K117" s="2" t="str">
        <f>IFERROR(__xludf.DUMMYFUNCTION("""COMPUTED_VALUE"""),"Haku VDC, Rasuwa, switchyard of Upper Tr")</f>
        <v>Haku VDC, Rasuwa, switchyard of Upper Tr</v>
      </c>
      <c r="L117" s="2" t="str">
        <f>IFERROR(__xludf.DUMMYFUNCTION("""COMPUTED_VALUE"""),"Nearest Angle Point to Chilime Trishuli")</f>
        <v>Nearest Angle Point to Chilime Trishuli</v>
      </c>
    </row>
    <row r="118">
      <c r="A118" s="2">
        <f>IFERROR(__xludf.DUMMYFUNCTION("""COMPUTED_VALUE"""),117.0)</f>
        <v>117</v>
      </c>
      <c r="B118" s="2" t="str">
        <f>IFERROR(__xludf.DUMMYFUNCTION("""COMPUTED_VALUE"""),"Middle Bhotekoshi Hydro Power Project")</f>
        <v>Middle Bhotekoshi Hydro Power Project</v>
      </c>
      <c r="C118" s="2">
        <f>IFERROR(__xludf.DUMMYFUNCTION("""COMPUTED_VALUE"""),220.0)</f>
        <v>220</v>
      </c>
      <c r="D118" s="2">
        <f>IFERROR(__xludf.DUMMYFUNCTION("""COMPUTED_VALUE"""),5.0)</f>
        <v>5</v>
      </c>
      <c r="E118" s="2">
        <f>IFERROR(__xludf.DUMMYFUNCTION("""COMPUTED_VALUE"""),102.0)</f>
        <v>102</v>
      </c>
      <c r="F118" s="2">
        <f>IFERROR(__xludf.DUMMYFUNCTION("""COMPUTED_VALUE"""),118.0)</f>
        <v>118</v>
      </c>
      <c r="G118" s="3">
        <f>IFERROR(__xludf.DUMMYFUNCTION("""COMPUTED_VALUE"""),64403.0)</f>
        <v>64403</v>
      </c>
      <c r="H118" s="3">
        <f>IFERROR(__xludf.DUMMYFUNCTION("""COMPUTED_VALUE"""),73532.0)</f>
        <v>73532</v>
      </c>
      <c r="I118" s="2" t="str">
        <f>IFERROR(__xludf.DUMMYFUNCTION("""COMPUTED_VALUE"""),"Madhya Bhotekoshi Jalavidyut Company Ltd.")</f>
        <v>Madhya Bhotekoshi Jalavidyut Company Ltd.</v>
      </c>
      <c r="J118" s="2" t="str">
        <f>IFERROR(__xludf.DUMMYFUNCTION("""COMPUTED_VALUE"""),"GPO Box: 23599, Katmandu")</f>
        <v>GPO Box: 23599, Katmandu</v>
      </c>
      <c r="K118" s="2" t="str">
        <f>IFERROR(__xludf.DUMMYFUNCTION("""COMPUTED_VALUE"""),"Switchyard of Maghya Bhotekoshi HPP")</f>
        <v>Switchyard of Maghya Bhotekoshi HPP</v>
      </c>
      <c r="L118" s="2" t="str">
        <f>IFERROR(__xludf.DUMMYFUNCTION("""COMPUTED_VALUE"""),"Barhabise NEA Substation")</f>
        <v>Barhabise NEA Substation</v>
      </c>
    </row>
    <row r="119">
      <c r="A119" s="2">
        <f>IFERROR(__xludf.DUMMYFUNCTION("""COMPUTED_VALUE"""),118.0)</f>
        <v>118</v>
      </c>
      <c r="B119" s="2" t="str">
        <f>IFERROR(__xludf.DUMMYFUNCTION("""COMPUTED_VALUE"""),"Upper Balephi A HPP,Sindhupalchowk Disrict")</f>
        <v>Upper Balephi A HPP,Sindhupalchowk Disrict</v>
      </c>
      <c r="C119" s="2">
        <f>IFERROR(__xludf.DUMMYFUNCTION("""COMPUTED_VALUE"""),132.0)</f>
        <v>132</v>
      </c>
      <c r="D119" s="2">
        <f>IFERROR(__xludf.DUMMYFUNCTION("""COMPUTED_VALUE"""),21.0)</f>
        <v>21</v>
      </c>
      <c r="E119" s="2">
        <f>IFERROR(__xludf.DUMMYFUNCTION("""COMPUTED_VALUE"""),43.27)</f>
        <v>43.27</v>
      </c>
      <c r="F119" s="2">
        <f>IFERROR(__xludf.DUMMYFUNCTION("""COMPUTED_VALUE"""),119.0)</f>
        <v>119</v>
      </c>
      <c r="G119" s="3">
        <f>IFERROR(__xludf.DUMMYFUNCTION("""COMPUTED_VALUE"""),64415.0)</f>
        <v>64415</v>
      </c>
      <c r="H119" s="3">
        <f>IFERROR(__xludf.DUMMYFUNCTION("""COMPUTED_VALUE"""),73544.0)</f>
        <v>73544</v>
      </c>
      <c r="I119" s="2" t="str">
        <f>IFERROR(__xludf.DUMMYFUNCTION("""COMPUTED_VALUE"""),"Shree Balephi Hydropower Ltd.")</f>
        <v>Shree Balephi Hydropower Ltd.</v>
      </c>
      <c r="J119" s="2" t="str">
        <f>IFERROR(__xludf.DUMMYFUNCTION("""COMPUTED_VALUE"""),"Ratopool,Kathmandu")</f>
        <v>Ratopool,Kathmandu</v>
      </c>
      <c r="K119" s="2" t="str">
        <f>IFERROR(__xludf.DUMMYFUNCTION("""COMPUTED_VALUE"""),"Upper Balephi A HPP (Sindhupalchowk)")</f>
        <v>Upper Balephi A HPP (Sindhupalchowk)</v>
      </c>
      <c r="L119" s="2" t="str">
        <f>IFERROR(__xludf.DUMMYFUNCTION("""COMPUTED_VALUE"""),"Lamosangu Substation")</f>
        <v>Lamosangu Substation</v>
      </c>
    </row>
    <row r="120">
      <c r="A120" s="2">
        <f>IFERROR(__xludf.DUMMYFUNCTION("""COMPUTED_VALUE"""),119.0)</f>
        <v>119</v>
      </c>
      <c r="B120" s="2" t="str">
        <f>IFERROR(__xludf.DUMMYFUNCTION("""COMPUTED_VALUE"""),"Sunkuda to Balanch")</f>
        <v>Sunkuda to Balanch</v>
      </c>
      <c r="C120" s="2">
        <f>IFERROR(__xludf.DUMMYFUNCTION("""COMPUTED_VALUE"""),132.0)</f>
        <v>132</v>
      </c>
      <c r="D120" s="2">
        <f>IFERROR(__xludf.DUMMYFUNCTION("""COMPUTED_VALUE"""),40.0)</f>
        <v>40</v>
      </c>
      <c r="E120" s="2">
        <f>IFERROR(__xludf.DUMMYFUNCTION("""COMPUTED_VALUE"""),64.49)</f>
        <v>64.49</v>
      </c>
      <c r="F120" s="2">
        <f>IFERROR(__xludf.DUMMYFUNCTION("""COMPUTED_VALUE"""),120.0)</f>
        <v>120</v>
      </c>
      <c r="G120" s="3">
        <f>IFERROR(__xludf.DUMMYFUNCTION("""COMPUTED_VALUE"""),64445.0)</f>
        <v>64445</v>
      </c>
      <c r="H120" s="3">
        <f>IFERROR(__xludf.DUMMYFUNCTION("""COMPUTED_VALUE"""),73574.0)</f>
        <v>73574</v>
      </c>
      <c r="I120" s="2" t="str">
        <f>IFERROR(__xludf.DUMMYFUNCTION("""COMPUTED_VALUE"""),"Shree kalanga hydro pvt.ltd")</f>
        <v>Shree kalanga hydro pvt.ltd</v>
      </c>
      <c r="J120" s="2" t="str">
        <f>IFERROR(__xludf.DUMMYFUNCTION("""COMPUTED_VALUE"""),"Dhobighat 3")</f>
        <v>Dhobighat 3</v>
      </c>
      <c r="K120" s="2" t="str">
        <f>IFERROR(__xludf.DUMMYFUNCTION("""COMPUTED_VALUE"""),"Switchyard of Kalangad HPP to Upper Kala")</f>
        <v>Switchyard of Kalangad HPP to Upper Kala</v>
      </c>
      <c r="L120" s="2" t="str">
        <f>IFERROR(__xludf.DUMMYFUNCTION("""COMPUTED_VALUE"""),"Upper Sanigad Switchyard to Balach NEA S")</f>
        <v>Upper Sanigad Switchyard to Balach NEA S</v>
      </c>
    </row>
    <row r="121">
      <c r="A121" s="2">
        <f>IFERROR(__xludf.DUMMYFUNCTION("""COMPUTED_VALUE"""),120.0)</f>
        <v>120</v>
      </c>
      <c r="B121" s="2" t="str">
        <f>IFERROR(__xludf.DUMMYFUNCTION("""COMPUTED_VALUE"""),"Ghatte Khola Hydropower project 33Kv Transmission Line")</f>
        <v>Ghatte Khola Hydropower project 33Kv Transmission Line</v>
      </c>
      <c r="C121" s="2">
        <f>IFERROR(__xludf.DUMMYFUNCTION("""COMPUTED_VALUE"""),33.0)</f>
        <v>33</v>
      </c>
      <c r="D121" s="2">
        <f>IFERROR(__xludf.DUMMYFUNCTION("""COMPUTED_VALUE"""),15.0)</f>
        <v>15</v>
      </c>
      <c r="E121" s="2">
        <f>IFERROR(__xludf.DUMMYFUNCTION("""COMPUTED_VALUE"""),5.0)</f>
        <v>5</v>
      </c>
      <c r="F121" s="2">
        <f>IFERROR(__xludf.DUMMYFUNCTION("""COMPUTED_VALUE"""),121.0)</f>
        <v>121</v>
      </c>
      <c r="G121" s="3">
        <f>IFERROR(__xludf.DUMMYFUNCTION("""COMPUTED_VALUE"""),64451.0)</f>
        <v>64451</v>
      </c>
      <c r="H121" s="3">
        <f>IFERROR(__xludf.DUMMYFUNCTION("""COMPUTED_VALUE"""),73580.0)</f>
        <v>73580</v>
      </c>
      <c r="I121" s="2" t="str">
        <f>IFERROR(__xludf.DUMMYFUNCTION("""COMPUTED_VALUE"""),"Shree Manakamna Enginering Hydropower Pvt.Ltd.")</f>
        <v>Shree Manakamna Enginering Hydropower Pvt.Ltd.</v>
      </c>
      <c r="J121" s="2" t="str">
        <f>IFERROR(__xludf.DUMMYFUNCTION("""COMPUTED_VALUE"""),"Shankhmul Marg ,Naya Baneshwor ,Kathmandu")</f>
        <v>Shankhmul Marg ,Naya Baneshwor ,Kathmandu</v>
      </c>
      <c r="K121" s="2" t="str">
        <f>IFERROR(__xludf.DUMMYFUNCTION("""COMPUTED_VALUE"""),"Switchyard of Ghatte Khola Hydropower Pr")</f>
        <v>Switchyard of Ghatte Khola Hydropower Pr</v>
      </c>
      <c r="L121" s="2" t="str">
        <f>IFERROR(__xludf.DUMMYFUNCTION("""COMPUTED_VALUE"""),"Singati NEA Substation(Dolakha)")</f>
        <v>Singati NEA Substation(Dolakha)</v>
      </c>
    </row>
    <row r="122">
      <c r="A122" s="2">
        <f>IFERROR(__xludf.DUMMYFUNCTION("""COMPUTED_VALUE"""),121.0)</f>
        <v>121</v>
      </c>
      <c r="B122" s="2" t="str">
        <f>IFERROR(__xludf.DUMMYFUNCTION("""COMPUTED_VALUE"""),"Dhalkebar Loharpati 132 kV Transmission Line")</f>
        <v>Dhalkebar Loharpati 132 kV Transmission Line</v>
      </c>
      <c r="C122" s="2">
        <f>IFERROR(__xludf.DUMMYFUNCTION("""COMPUTED_VALUE"""),132.0)</f>
        <v>132</v>
      </c>
      <c r="D122" s="2">
        <f>IFERROR(__xludf.DUMMYFUNCTION("""COMPUTED_VALUE"""),18.85)</f>
        <v>18.85</v>
      </c>
      <c r="E122" s="2">
        <f>IFERROR(__xludf.DUMMYFUNCTION("""COMPUTED_VALUE"""),200.0)</f>
        <v>200</v>
      </c>
      <c r="F122" s="2">
        <f>IFERROR(__xludf.DUMMYFUNCTION("""COMPUTED_VALUE"""),122.0)</f>
        <v>122</v>
      </c>
      <c r="G122" s="3">
        <f>IFERROR(__xludf.DUMMYFUNCTION("""COMPUTED_VALUE"""),64474.0)</f>
        <v>64474</v>
      </c>
      <c r="H122" s="3">
        <f>IFERROR(__xludf.DUMMYFUNCTION("""COMPUTED_VALUE"""),73603.0)</f>
        <v>73603</v>
      </c>
      <c r="I122" s="2" t="str">
        <f>IFERROR(__xludf.DUMMYFUNCTION("""COMPUTED_VALUE"""),"Nepal Electricity Authority")</f>
        <v>Nepal Electricity Authority</v>
      </c>
      <c r="J122" s="2" t="str">
        <f>IFERROR(__xludf.DUMMYFUNCTION("""COMPUTED_VALUE"""),"PBO 20225, Kathmadu")</f>
        <v>PBO 20225, Kathmadu</v>
      </c>
      <c r="K122" s="2" t="str">
        <f>IFERROR(__xludf.DUMMYFUNCTION("""COMPUTED_VALUE"""),"Dhalkebar NEA Substation (Dhanusha)")</f>
        <v>Dhalkebar NEA Substation (Dhanusha)</v>
      </c>
      <c r="L122" s="2" t="str">
        <f>IFERROR(__xludf.DUMMYFUNCTION("""COMPUTED_VALUE"""),"Loharpati NEA Substation (Mahottari)")</f>
        <v>Loharpati NEA Substation (Mahottari)</v>
      </c>
    </row>
    <row r="123">
      <c r="A123" s="2">
        <f>IFERROR(__xludf.DUMMYFUNCTION("""COMPUTED_VALUE"""),122.0)</f>
        <v>122</v>
      </c>
      <c r="B123" s="2" t="str">
        <f>IFERROR(__xludf.DUMMYFUNCTION("""COMPUTED_VALUE"""),"Likhu-IV")</f>
        <v>Likhu-IV</v>
      </c>
      <c r="C123" s="2">
        <f>IFERROR(__xludf.DUMMYFUNCTION("""COMPUTED_VALUE"""),220.0)</f>
        <v>220</v>
      </c>
      <c r="D123" s="2">
        <f>IFERROR(__xludf.DUMMYFUNCTION("""COMPUTED_VALUE"""),19.15)</f>
        <v>19.15</v>
      </c>
      <c r="E123" s="2">
        <f>IFERROR(__xludf.DUMMYFUNCTION("""COMPUTED_VALUE"""),52.4)</f>
        <v>52.4</v>
      </c>
      <c r="F123" s="2">
        <f>IFERROR(__xludf.DUMMYFUNCTION("""COMPUTED_VALUE"""),123.0)</f>
        <v>123</v>
      </c>
      <c r="G123" s="3">
        <f>IFERROR(__xludf.DUMMYFUNCTION("""COMPUTED_VALUE"""),64486.0)</f>
        <v>64486</v>
      </c>
      <c r="H123" s="3">
        <f>IFERROR(__xludf.DUMMYFUNCTION("""COMPUTED_VALUE"""),73615.0)</f>
        <v>73615</v>
      </c>
      <c r="I123" s="2" t="str">
        <f>IFERROR(__xludf.DUMMYFUNCTION("""COMPUTED_VALUE"""),"Green Venture Pvt. Ltd.")</f>
        <v>Green Venture Pvt. Ltd.</v>
      </c>
      <c r="J123" s="2" t="str">
        <f>IFERROR(__xludf.DUMMYFUNCTION("""COMPUTED_VALUE"""),"Triveni Complex, Putalisadak, Kathmandu, Ph: 01-4224074, Fax: 01-4266133")</f>
        <v>Triveni Complex, Putalisadak, Kathmandu, Ph: 01-4224074, Fax: 01-4266133</v>
      </c>
      <c r="K123" s="2" t="str">
        <f>IFERROR(__xludf.DUMMYFUNCTION("""COMPUTED_VALUE"""),"Likhu-IV power house at Ragani, Okhaldhu")</f>
        <v>Likhu-IV power house at Ragani, Okhaldhu</v>
      </c>
      <c r="L123" s="2" t="str">
        <f>IFERROR(__xludf.DUMMYFUNCTION("""COMPUTED_VALUE"""),"New Khimti substation NEA, Ramechap,Fula")</f>
        <v>New Khimti substation NEA, Ramechap,Fula</v>
      </c>
    </row>
    <row r="124">
      <c r="A124" s="2">
        <f>IFERROR(__xludf.DUMMYFUNCTION("""COMPUTED_VALUE"""),123.0)</f>
        <v>123</v>
      </c>
      <c r="B124" s="2" t="str">
        <f>IFERROR(__xludf.DUMMYFUNCTION("""COMPUTED_VALUE"""),"Kamane Substaion to Ridhi Sidhi Cement Factory")</f>
        <v>Kamane Substaion to Ridhi Sidhi Cement Factory</v>
      </c>
      <c r="C124" s="2">
        <f>IFERROR(__xludf.DUMMYFUNCTION("""COMPUTED_VALUE"""),33.0)</f>
        <v>33</v>
      </c>
      <c r="D124" s="2">
        <f>IFERROR(__xludf.DUMMYFUNCTION("""COMPUTED_VALUE"""),1.7)</f>
        <v>1.7</v>
      </c>
      <c r="E124" s="2">
        <f>IFERROR(__xludf.DUMMYFUNCTION("""COMPUTED_VALUE"""),30.0)</f>
        <v>30</v>
      </c>
      <c r="F124" s="2">
        <f>IFERROR(__xludf.DUMMYFUNCTION("""COMPUTED_VALUE"""),124.0)</f>
        <v>124</v>
      </c>
      <c r="G124" s="3">
        <f>IFERROR(__xludf.DUMMYFUNCTION("""COMPUTED_VALUE"""),64515.0)</f>
        <v>64515</v>
      </c>
      <c r="H124" s="3">
        <f>IFERROR(__xludf.DUMMYFUNCTION("""COMPUTED_VALUE"""),73644.0)</f>
        <v>73644</v>
      </c>
      <c r="I124" s="2" t="str">
        <f>IFERROR(__xludf.DUMMYFUNCTION("""COMPUTED_VALUE"""),"Nepal Electricity Authority")</f>
        <v>Nepal Electricity Authority</v>
      </c>
      <c r="J124" s="2" t="str">
        <f>IFERROR(__xludf.DUMMYFUNCTION("""COMPUTED_VALUE"""),"Main office,Darbarmarg,Kathmandu")</f>
        <v>Main office,Darbarmarg,Kathmandu</v>
      </c>
      <c r="K124" s="2" t="str">
        <f>IFERROR(__xludf.DUMMYFUNCTION("""COMPUTED_VALUE"""),"Kamane Substation (Makwanpur)")</f>
        <v>Kamane Substation (Makwanpur)</v>
      </c>
      <c r="L124" s="2" t="str">
        <f>IFERROR(__xludf.DUMMYFUNCTION("""COMPUTED_VALUE"""),"Ridhi Sidhi Cement Factory (Makwanpur)")</f>
        <v>Ridhi Sidhi Cement Factory (Makwanpur)</v>
      </c>
    </row>
    <row r="125">
      <c r="A125" s="2">
        <f>IFERROR(__xludf.DUMMYFUNCTION("""COMPUTED_VALUE"""),124.0)</f>
        <v>124</v>
      </c>
      <c r="B125" s="2" t="str">
        <f>IFERROR(__xludf.DUMMYFUNCTION("""COMPUTED_VALUE"""),"Solu Khola HEP 132 kV Transmission Line Project")</f>
        <v>Solu Khola HEP 132 kV Transmission Line Project</v>
      </c>
      <c r="C125" s="2">
        <f>IFERROR(__xludf.DUMMYFUNCTION("""COMPUTED_VALUE"""),132.0)</f>
        <v>132</v>
      </c>
      <c r="D125" s="2">
        <f>IFERROR(__xludf.DUMMYFUNCTION("""COMPUTED_VALUE"""),12.0)</f>
        <v>12</v>
      </c>
      <c r="E125" s="2">
        <f>IFERROR(__xludf.DUMMYFUNCTION("""COMPUTED_VALUE"""),86.0)</f>
        <v>86</v>
      </c>
      <c r="F125" s="2">
        <f>IFERROR(__xludf.DUMMYFUNCTION("""COMPUTED_VALUE"""),125.0)</f>
        <v>125</v>
      </c>
      <c r="G125" s="3">
        <f>IFERROR(__xludf.DUMMYFUNCTION("""COMPUTED_VALUE"""),64539.0)</f>
        <v>64539</v>
      </c>
      <c r="H125" s="3">
        <f>IFERROR(__xludf.DUMMYFUNCTION("""COMPUTED_VALUE"""),73668.0)</f>
        <v>73668</v>
      </c>
      <c r="I125" s="2" t="str">
        <f>IFERROR(__xludf.DUMMYFUNCTION("""COMPUTED_VALUE"""),"Shree Sahas Urja Limited")</f>
        <v>Shree Sahas Urja Limited</v>
      </c>
      <c r="J125" s="2" t="str">
        <f>IFERROR(__xludf.DUMMYFUNCTION("""COMPUTED_VALUE"""),"Hatisaar-1Ktm 014419182,4419183,4422756")</f>
        <v>Hatisaar-1Ktm 014419182,4419183,4422756</v>
      </c>
      <c r="K125" s="2" t="str">
        <f>IFERROR(__xludf.DUMMYFUNCTION("""COMPUTED_VALUE"""),"Switchyard of Proposed power house at Pa")</f>
        <v>Switchyard of Proposed power house at Pa</v>
      </c>
      <c r="L125" s="2" t="str">
        <f>IFERROR(__xludf.DUMMYFUNCTION("""COMPUTED_VALUE"""),"Lamane Tingla NEA Substation(Solukhumbu)")</f>
        <v>Lamane Tingla NEA Substation(Solukhumbu)</v>
      </c>
    </row>
    <row r="126">
      <c r="A126" s="2">
        <f>IFERROR(__xludf.DUMMYFUNCTION("""COMPUTED_VALUE"""),125.0)</f>
        <v>125</v>
      </c>
      <c r="B126" s="2" t="str">
        <f>IFERROR(__xludf.DUMMYFUNCTION("""COMPUTED_VALUE"""),"Upallo Khimti 132kV Transmission Line Project")</f>
        <v>Upallo Khimti 132kV Transmission Line Project</v>
      </c>
      <c r="C126" s="2">
        <f>IFERROR(__xludf.DUMMYFUNCTION("""COMPUTED_VALUE"""),132.0)</f>
        <v>132</v>
      </c>
      <c r="D126" s="2">
        <f>IFERROR(__xludf.DUMMYFUNCTION("""COMPUTED_VALUE"""),1.7)</f>
        <v>1.7</v>
      </c>
      <c r="E126" s="2">
        <f>IFERROR(__xludf.DUMMYFUNCTION("""COMPUTED_VALUE"""),12.0)</f>
        <v>12</v>
      </c>
      <c r="F126" s="2">
        <f>IFERROR(__xludf.DUMMYFUNCTION("""COMPUTED_VALUE"""),126.0)</f>
        <v>126</v>
      </c>
      <c r="G126" s="3">
        <f>IFERROR(__xludf.DUMMYFUNCTION("""COMPUTED_VALUE"""),64596.0)</f>
        <v>64596</v>
      </c>
      <c r="H126" s="3">
        <f>IFERROR(__xludf.DUMMYFUNCTION("""COMPUTED_VALUE"""),73725.0)</f>
        <v>73725</v>
      </c>
      <c r="I126" s="2" t="str">
        <f>IFERROR(__xludf.DUMMYFUNCTION("""COMPUTED_VALUE"""),"Himalayan Urja Bikas Company Pvt. Ltd.")</f>
        <v>Himalayan Urja Bikas Company Pvt. Ltd.</v>
      </c>
      <c r="J126" s="2" t="str">
        <f>IFERROR(__xludf.DUMMYFUNCTION("""COMPUTED_VALUE"""),"Tinkunne, Kathmandu-35, 01-4111853,01-4111674")</f>
        <v>Tinkunne, Kathmandu-35, 01-4111853,01-4111674</v>
      </c>
      <c r="K126" s="2" t="str">
        <f>IFERROR(__xludf.DUMMYFUNCTION("""COMPUTED_VALUE"""),"Chuchure Ramechhap, Powerhouse/switchyar")</f>
        <v>Chuchure Ramechhap, Powerhouse/switchyar</v>
      </c>
      <c r="L126" s="2" t="str">
        <f>IFERROR(__xludf.DUMMYFUNCTION("""COMPUTED_VALUE"""),"Garjang Substation")</f>
        <v>Garjang Substation</v>
      </c>
    </row>
    <row r="127">
      <c r="A127" s="2">
        <f>IFERROR(__xludf.DUMMYFUNCTION("""COMPUTED_VALUE"""),126.0)</f>
        <v>126</v>
      </c>
      <c r="B127" s="2" t="str">
        <f>IFERROR(__xludf.DUMMYFUNCTION("""COMPUTED_VALUE"""),"Upper Khimti 2 Hydropower Project")</f>
        <v>Upper Khimti 2 Hydropower Project</v>
      </c>
      <c r="C127" s="2">
        <f>IFERROR(__xludf.DUMMYFUNCTION("""COMPUTED_VALUE"""),132.0)</f>
        <v>132</v>
      </c>
      <c r="D127" s="2">
        <f>IFERROR(__xludf.DUMMYFUNCTION("""COMPUTED_VALUE"""),1.5)</f>
        <v>1.5</v>
      </c>
      <c r="E127" s="2">
        <f>IFERROR(__xludf.DUMMYFUNCTION("""COMPUTED_VALUE"""),7.0)</f>
        <v>7</v>
      </c>
      <c r="F127" s="2">
        <f>IFERROR(__xludf.DUMMYFUNCTION("""COMPUTED_VALUE"""),127.0)</f>
        <v>127</v>
      </c>
      <c r="G127" s="3">
        <f>IFERROR(__xludf.DUMMYFUNCTION("""COMPUTED_VALUE"""),64596.0)</f>
        <v>64596</v>
      </c>
      <c r="H127" s="3">
        <f>IFERROR(__xludf.DUMMYFUNCTION("""COMPUTED_VALUE"""),73725.0)</f>
        <v>73725</v>
      </c>
      <c r="I127" s="2" t="str">
        <f>IFERROR(__xludf.DUMMYFUNCTION("""COMPUTED_VALUE"""),"shree Himalayan Urja Bikas Company Ltd.")</f>
        <v>shree Himalayan Urja Bikas Company Ltd.</v>
      </c>
      <c r="J127" s="2" t="str">
        <f>IFERROR(__xludf.DUMMYFUNCTION("""COMPUTED_VALUE"""),"Subidhanagar ,Kathmandu")</f>
        <v>Subidhanagar ,Kathmandu</v>
      </c>
      <c r="K127" s="2" t="str">
        <f>IFERROR(__xludf.DUMMYFUNCTION("""COMPUTED_VALUE"""),"Upper Khimti 2 Switchyard")</f>
        <v>Upper Khimti 2 Switchyard</v>
      </c>
      <c r="L127" s="2" t="str">
        <f>IFERROR(__xludf.DUMMYFUNCTION("""COMPUTED_VALUE"""),"Garjyang NEA Substation")</f>
        <v>Garjyang NEA Substation</v>
      </c>
    </row>
    <row r="128">
      <c r="A128" s="2">
        <f>IFERROR(__xludf.DUMMYFUNCTION("""COMPUTED_VALUE"""),127.0)</f>
        <v>127</v>
      </c>
      <c r="B128" s="2" t="str">
        <f>IFERROR(__xludf.DUMMYFUNCTION("""COMPUTED_VALUE"""),"Likhu-2 Hydropower Project")</f>
        <v>Likhu-2 Hydropower Project</v>
      </c>
      <c r="C128" s="2">
        <f>IFERROR(__xludf.DUMMYFUNCTION("""COMPUTED_VALUE"""),132.0)</f>
        <v>132</v>
      </c>
      <c r="D128" s="2">
        <f>IFERROR(__xludf.DUMMYFUNCTION("""COMPUTED_VALUE"""),5.403)</f>
        <v>5.403</v>
      </c>
      <c r="E128" s="2">
        <f>IFERROR(__xludf.DUMMYFUNCTION("""COMPUTED_VALUE"""),132.0)</f>
        <v>132</v>
      </c>
      <c r="F128" s="2">
        <f>IFERROR(__xludf.DUMMYFUNCTION("""COMPUTED_VALUE"""),128.0)</f>
        <v>128</v>
      </c>
      <c r="G128" s="3">
        <f>IFERROR(__xludf.DUMMYFUNCTION("""COMPUTED_VALUE"""),64603.0)</f>
        <v>64603</v>
      </c>
      <c r="H128" s="3">
        <f>IFERROR(__xludf.DUMMYFUNCTION("""COMPUTED_VALUE"""),73732.0)</f>
        <v>73732</v>
      </c>
      <c r="I128" s="2" t="str">
        <f>IFERROR(__xludf.DUMMYFUNCTION("""COMPUTED_VALUE"""),"Global Hydropower Associate Pvt.Ltd.")</f>
        <v>Global Hydropower Associate Pvt.Ltd.</v>
      </c>
      <c r="J128" s="2" t="str">
        <f>IFERROR(__xludf.DUMMYFUNCTION("""COMPUTED_VALUE"""),"4th floor ,Laxman Babu Bhawan ,Naxal,Kathmandu,Nepal")</f>
        <v>4th floor ,Laxman Babu Bhawan ,Naxal,Kathmandu,Nepal</v>
      </c>
      <c r="K128" s="2" t="str">
        <f>IFERROR(__xludf.DUMMYFUNCTION("""COMPUTED_VALUE"""),"Switchyard of Project (Ramechap)")</f>
        <v>Switchyard of Project (Ramechap)</v>
      </c>
      <c r="L128" s="2" t="str">
        <f>IFERROR(__xludf.DUMMYFUNCTION("""COMPUTED_VALUE"""),"Switchyard of Likhu A (Solukhumbu)")</f>
        <v>Switchyard of Likhu A (Solukhumbu)</v>
      </c>
    </row>
    <row r="129">
      <c r="A129" s="2">
        <f>IFERROR(__xludf.DUMMYFUNCTION("""COMPUTED_VALUE"""),128.0)</f>
        <v>128</v>
      </c>
      <c r="B129" s="2" t="str">
        <f>IFERROR(__xludf.DUMMYFUNCTION("""COMPUTED_VALUE"""),"Super Dordi Hpp")</f>
        <v>Super Dordi Hpp</v>
      </c>
      <c r="C129" s="2">
        <f>IFERROR(__xludf.DUMMYFUNCTION("""COMPUTED_VALUE"""),132.0)</f>
        <v>132</v>
      </c>
      <c r="D129" s="2">
        <f>IFERROR(__xludf.DUMMYFUNCTION("""COMPUTED_VALUE"""),5.6)</f>
        <v>5.6</v>
      </c>
      <c r="E129" s="2">
        <f>IFERROR(__xludf.DUMMYFUNCTION("""COMPUTED_VALUE"""),54.0)</f>
        <v>54</v>
      </c>
      <c r="F129" s="2">
        <f>IFERROR(__xludf.DUMMYFUNCTION("""COMPUTED_VALUE"""),129.0)</f>
        <v>129</v>
      </c>
      <c r="G129" s="3">
        <f>IFERROR(__xludf.DUMMYFUNCTION("""COMPUTED_VALUE"""),64603.0)</f>
        <v>64603</v>
      </c>
      <c r="H129" s="3">
        <f>IFERROR(__xludf.DUMMYFUNCTION("""COMPUTED_VALUE"""),73732.0)</f>
        <v>73732</v>
      </c>
      <c r="I129" s="2" t="str">
        <f>IFERROR(__xludf.DUMMYFUNCTION("""COMPUTED_VALUE"""),"Shree Peoples Hydropower Co.Pvt.Ltd")</f>
        <v>Shree Peoples Hydropower Co.Pvt.Ltd</v>
      </c>
      <c r="J129" s="2" t="str">
        <f>IFERROR(__xludf.DUMMYFUNCTION("""COMPUTED_VALUE"""),"Anamnagar,Kathmandu")</f>
        <v>Anamnagar,Kathmandu</v>
      </c>
      <c r="K129" s="2" t="str">
        <f>IFERROR(__xludf.DUMMYFUNCTION("""COMPUTED_VALUE"""),"Super Dordi Hpp Switchyard (Lamjung)")</f>
        <v>Super Dordi Hpp Switchyard (Lamjung)</v>
      </c>
      <c r="L129" s="2" t="str">
        <f>IFERROR(__xludf.DUMMYFUNCTION("""COMPUTED_VALUE"""),"Kirtipur Substation (Lamjung)")</f>
        <v>Kirtipur Substation (Lamjung)</v>
      </c>
    </row>
    <row r="130">
      <c r="A130" s="2">
        <f>IFERROR(__xludf.DUMMYFUNCTION("""COMPUTED_VALUE"""),129.0)</f>
        <v>129</v>
      </c>
      <c r="B130" s="2" t="str">
        <f>IFERROR(__xludf.DUMMYFUNCTION("""COMPUTED_VALUE"""),"Surkhet - Bijaura")</f>
        <v>Surkhet - Bijaura</v>
      </c>
      <c r="C130" s="2">
        <f>IFERROR(__xludf.DUMMYFUNCTION("""COMPUTED_VALUE"""),33.0)</f>
        <v>33</v>
      </c>
      <c r="D130" s="2">
        <f>IFERROR(__xludf.DUMMYFUNCTION("""COMPUTED_VALUE"""),40.0)</f>
        <v>40</v>
      </c>
      <c r="E130" s="2">
        <f>IFERROR(__xludf.DUMMYFUNCTION("""COMPUTED_VALUE"""),3.0)</f>
        <v>3</v>
      </c>
      <c r="F130" s="2">
        <f>IFERROR(__xludf.DUMMYFUNCTION("""COMPUTED_VALUE"""),130.0)</f>
        <v>130</v>
      </c>
      <c r="G130" s="3">
        <f>IFERROR(__xludf.DUMMYFUNCTION("""COMPUTED_VALUE"""),64617.0)</f>
        <v>64617</v>
      </c>
      <c r="H130" s="3">
        <f>IFERROR(__xludf.DUMMYFUNCTION("""COMPUTED_VALUE"""),73746.0)</f>
        <v>73746</v>
      </c>
      <c r="I130" s="2" t="str">
        <f>IFERROR(__xludf.DUMMYFUNCTION("""COMPUTED_VALUE"""),"Nepal Electricity Authority")</f>
        <v>Nepal Electricity Authority</v>
      </c>
      <c r="J130" s="2" t="str">
        <f>IFERROR(__xludf.DUMMYFUNCTION("""COMPUTED_VALUE"""),"Main office,Darbarmarg,Kathmandu")</f>
        <v>Main office,Darbarmarg,Kathmandu</v>
      </c>
      <c r="K130" s="2" t="str">
        <f>IFERROR(__xludf.DUMMYFUNCTION("""COMPUTED_VALUE"""),"Birendranagar Surkhet")</f>
        <v>Birendranagar Surkhet</v>
      </c>
      <c r="L130" s="2" t="str">
        <f>IFERROR(__xludf.DUMMYFUNCTION("""COMPUTED_VALUE"""),"Bijaura")</f>
        <v>Bijaura</v>
      </c>
    </row>
    <row r="131">
      <c r="A131" s="2">
        <f>IFERROR(__xludf.DUMMYFUNCTION("""COMPUTED_VALUE"""),130.0)</f>
        <v>130</v>
      </c>
      <c r="B131" s="2" t="str">
        <f>IFERROR(__xludf.DUMMYFUNCTION("""COMPUTED_VALUE"""),"Dadakhet-Rahughat 132kV TL")</f>
        <v>Dadakhet-Rahughat 132kV TL</v>
      </c>
      <c r="C131" s="2">
        <f>IFERROR(__xludf.DUMMYFUNCTION("""COMPUTED_VALUE"""),132.0)</f>
        <v>132</v>
      </c>
      <c r="D131" s="2">
        <f>IFERROR(__xludf.DUMMYFUNCTION("""COMPUTED_VALUE"""),25.4)</f>
        <v>25.4</v>
      </c>
      <c r="E131" s="2">
        <f>IFERROR(__xludf.DUMMYFUNCTION("""COMPUTED_VALUE"""),200.0)</f>
        <v>200</v>
      </c>
      <c r="F131" s="2">
        <f>IFERROR(__xludf.DUMMYFUNCTION("""COMPUTED_VALUE"""),131.0)</f>
        <v>131</v>
      </c>
      <c r="G131" s="3">
        <f>IFERROR(__xludf.DUMMYFUNCTION("""COMPUTED_VALUE"""),64680.0)</f>
        <v>64680</v>
      </c>
      <c r="H131" s="3">
        <f>IFERROR(__xludf.DUMMYFUNCTION("""COMPUTED_VALUE"""),73809.0)</f>
        <v>73809</v>
      </c>
      <c r="I131" s="2" t="str">
        <f>IFERROR(__xludf.DUMMYFUNCTION("""COMPUTED_VALUE"""),"Nepal Electricity Authority")</f>
        <v>Nepal Electricity Authority</v>
      </c>
      <c r="J131" s="2"/>
      <c r="K131" s="2" t="str">
        <f>IFERROR(__xludf.DUMMYFUNCTION("""COMPUTED_VALUE"""),"Dadakhet S/S")</f>
        <v>Dadakhet S/S</v>
      </c>
      <c r="L131" s="2" t="str">
        <f>IFERROR(__xludf.DUMMYFUNCTION("""COMPUTED_VALUE"""),"Rahughat S/S")</f>
        <v>Rahughat S/S</v>
      </c>
    </row>
    <row r="132">
      <c r="A132" s="2">
        <f>IFERROR(__xludf.DUMMYFUNCTION("""COMPUTED_VALUE"""),131.0)</f>
        <v>131</v>
      </c>
      <c r="B132" s="2" t="str">
        <f>IFERROR(__xludf.DUMMYFUNCTION("""COMPUTED_VALUE"""),"Upper Rahughat and Rahughat Mangale 220 kV Transmission Line Project")</f>
        <v>Upper Rahughat and Rahughat Mangale 220 kV Transmission Line Project</v>
      </c>
      <c r="C132" s="2">
        <f>IFERROR(__xludf.DUMMYFUNCTION("""COMPUTED_VALUE"""),220.0)</f>
        <v>220</v>
      </c>
      <c r="D132" s="2">
        <f>IFERROR(__xludf.DUMMYFUNCTION("""COMPUTED_VALUE"""),15.0)</f>
        <v>15</v>
      </c>
      <c r="E132" s="2">
        <f>IFERROR(__xludf.DUMMYFUNCTION("""COMPUTED_VALUE"""),106.8)</f>
        <v>106.8</v>
      </c>
      <c r="F132" s="2">
        <f>IFERROR(__xludf.DUMMYFUNCTION("""COMPUTED_VALUE"""),132.0)</f>
        <v>132</v>
      </c>
      <c r="G132" s="3">
        <f>IFERROR(__xludf.DUMMYFUNCTION("""COMPUTED_VALUE"""),64680.0)</f>
        <v>64680</v>
      </c>
      <c r="H132" s="3">
        <f>IFERROR(__xludf.DUMMYFUNCTION("""COMPUTED_VALUE"""),73809.0)</f>
        <v>73809</v>
      </c>
      <c r="I132" s="2" t="str">
        <f>IFERROR(__xludf.DUMMYFUNCTION("""COMPUTED_VALUE"""),"Tundi Power Company Pvt . Ltd.")</f>
        <v>Tundi Power Company Pvt . Ltd.</v>
      </c>
      <c r="J132" s="2" t="str">
        <f>IFERROR(__xludf.DUMMYFUNCTION("""COMPUTED_VALUE"""),"PO Box 6341, Nayabato, Sanepa-3, Lalitpur")</f>
        <v>PO Box 6341, Nayabato, Sanepa-3, Lalitpur</v>
      </c>
      <c r="K132" s="2" t="str">
        <f>IFERROR(__xludf.DUMMYFUNCTION("""COMPUTED_VALUE"""),"Rahughat mangale Switchyard")</f>
        <v>Rahughat mangale Switchyard</v>
      </c>
      <c r="L132" s="2" t="str">
        <f>IFERROR(__xludf.DUMMYFUNCTION("""COMPUTED_VALUE"""),"NEA Rahu Piple Substation")</f>
        <v>NEA Rahu Piple Substation</v>
      </c>
    </row>
    <row r="133">
      <c r="A133" s="2">
        <f>IFERROR(__xludf.DUMMYFUNCTION("""COMPUTED_VALUE"""),132.0)</f>
        <v>132</v>
      </c>
      <c r="B133" s="2" t="str">
        <f>IFERROR(__xludf.DUMMYFUNCTION("""COMPUTED_VALUE"""),"Kohalpur Surkhet 132kV ,Banke")</f>
        <v>Kohalpur Surkhet 132kV ,Banke</v>
      </c>
      <c r="C133" s="2">
        <f>IFERROR(__xludf.DUMMYFUNCTION("""COMPUTED_VALUE"""),132.0)</f>
        <v>132</v>
      </c>
      <c r="D133" s="2">
        <f>IFERROR(__xludf.DUMMYFUNCTION("""COMPUTED_VALUE"""),55.0)</f>
        <v>55</v>
      </c>
      <c r="E133" s="2">
        <f>IFERROR(__xludf.DUMMYFUNCTION("""COMPUTED_VALUE"""),100.0)</f>
        <v>100</v>
      </c>
      <c r="F133" s="2">
        <f>IFERROR(__xludf.DUMMYFUNCTION("""COMPUTED_VALUE"""),133.0)</f>
        <v>133</v>
      </c>
      <c r="G133" s="2" t="str">
        <f>IFERROR(__xludf.DUMMYFUNCTION("""COMPUTED_VALUE"""),"2077-02-29")</f>
        <v>2077-02-29</v>
      </c>
      <c r="H133" s="3">
        <f>IFERROR(__xludf.DUMMYFUNCTION("""COMPUTED_VALUE"""),73839.0)</f>
        <v>73839</v>
      </c>
      <c r="I133" s="2" t="str">
        <f>IFERROR(__xludf.DUMMYFUNCTION("""COMPUTED_VALUE"""),"Nepal Electricity Authority")</f>
        <v>Nepal Electricity Authority</v>
      </c>
      <c r="J133" s="2" t="str">
        <f>IFERROR(__xludf.DUMMYFUNCTION("""COMPUTED_VALUE"""),"Main office,Darbarmarg,Kathmandu")</f>
        <v>Main office,Darbarmarg,Kathmandu</v>
      </c>
      <c r="K133" s="2" t="str">
        <f>IFERROR(__xludf.DUMMYFUNCTION("""COMPUTED_VALUE"""),"Kohalpur Substation")</f>
        <v>Kohalpur Substation</v>
      </c>
      <c r="L133" s="2" t="str">
        <f>IFERROR(__xludf.DUMMYFUNCTION("""COMPUTED_VALUE"""),"Latikoyli Substation")</f>
        <v>Latikoyli Substation</v>
      </c>
    </row>
    <row r="134">
      <c r="A134" s="2">
        <f>IFERROR(__xludf.DUMMYFUNCTION("""COMPUTED_VALUE"""),133.0)</f>
        <v>133</v>
      </c>
      <c r="B134" s="2" t="str">
        <f>IFERROR(__xludf.DUMMYFUNCTION("""COMPUTED_VALUE"""),"Taksar-Pikhuwa hydropower 33 kV transmission line")</f>
        <v>Taksar-Pikhuwa hydropower 33 kV transmission line</v>
      </c>
      <c r="C134" s="2">
        <f>IFERROR(__xludf.DUMMYFUNCTION("""COMPUTED_VALUE"""),33.0)</f>
        <v>33</v>
      </c>
      <c r="D134" s="2">
        <f>IFERROR(__xludf.DUMMYFUNCTION("""COMPUTED_VALUE"""),7.6)</f>
        <v>7.6</v>
      </c>
      <c r="E134" s="2">
        <f>IFERROR(__xludf.DUMMYFUNCTION("""COMPUTED_VALUE"""),8.0)</f>
        <v>8</v>
      </c>
      <c r="F134" s="2">
        <f>IFERROR(__xludf.DUMMYFUNCTION("""COMPUTED_VALUE"""),134.0)</f>
        <v>134</v>
      </c>
      <c r="G134" s="3">
        <f>IFERROR(__xludf.DUMMYFUNCTION("""COMPUTED_VALUE"""),64721.0)</f>
        <v>64721</v>
      </c>
      <c r="H134" s="3">
        <f>IFERROR(__xludf.DUMMYFUNCTION("""COMPUTED_VALUE"""),73850.0)</f>
        <v>73850</v>
      </c>
      <c r="I134" s="2" t="str">
        <f>IFERROR(__xludf.DUMMYFUNCTION("""COMPUTED_VALUE"""),"Taksar-Pikhuwa Hydropower Pvt. Ltd.")</f>
        <v>Taksar-Pikhuwa Hydropower Pvt. Ltd.</v>
      </c>
      <c r="J134" s="2" t="str">
        <f>IFERROR(__xludf.DUMMYFUNCTION("""COMPUTED_VALUE"""),"Gairigaun, Kathmandu")</f>
        <v>Gairigaun, Kathmandu</v>
      </c>
      <c r="K134" s="2" t="str">
        <f>IFERROR(__xludf.DUMMYFUNCTION("""COMPUTED_VALUE"""),"Taksar-Pikhuwa Hydropower switchyard")</f>
        <v>Taksar-Pikhuwa Hydropower switchyard</v>
      </c>
      <c r="L134" s="2" t="str">
        <f>IFERROR(__xludf.DUMMYFUNCTION("""COMPUTED_VALUE"""),"Panitanki substation at Manebhanjyang")</f>
        <v>Panitanki substation at Manebhanjyang</v>
      </c>
    </row>
    <row r="135">
      <c r="A135" s="2">
        <f>IFERROR(__xludf.DUMMYFUNCTION("""COMPUTED_VALUE"""),134.0)</f>
        <v>134</v>
      </c>
      <c r="B135" s="2" t="str">
        <f>IFERROR(__xludf.DUMMYFUNCTION("""COMPUTED_VALUE"""),"Likhu-A HEP Transmission project 132 kv")</f>
        <v>Likhu-A HEP Transmission project 132 kv</v>
      </c>
      <c r="C135" s="2">
        <f>IFERROR(__xludf.DUMMYFUNCTION("""COMPUTED_VALUE"""),132.0)</f>
        <v>132</v>
      </c>
      <c r="D135" s="2">
        <f>IFERROR(__xludf.DUMMYFUNCTION("""COMPUTED_VALUE"""),29.0)</f>
        <v>29</v>
      </c>
      <c r="E135" s="2">
        <f>IFERROR(__xludf.DUMMYFUNCTION("""COMPUTED_VALUE"""),161.04)</f>
        <v>161.04</v>
      </c>
      <c r="F135" s="2">
        <f>IFERROR(__xludf.DUMMYFUNCTION("""COMPUTED_VALUE"""),135.0)</f>
        <v>135</v>
      </c>
      <c r="G135" s="3">
        <f>IFERROR(__xludf.DUMMYFUNCTION("""COMPUTED_VALUE"""),64728.0)</f>
        <v>64728</v>
      </c>
      <c r="H135" s="3">
        <f>IFERROR(__xludf.DUMMYFUNCTION("""COMPUTED_VALUE"""),73857.0)</f>
        <v>73857</v>
      </c>
      <c r="I135" s="2" t="str">
        <f>IFERROR(__xludf.DUMMYFUNCTION("""COMPUTED_VALUE"""),"Numbur Himalaya Hydropower Pvt.Ltd.")</f>
        <v>Numbur Himalaya Hydropower Pvt.Ltd.</v>
      </c>
      <c r="J135" s="2" t="str">
        <f>IFERROR(__xludf.DUMMYFUNCTION("""COMPUTED_VALUE"""),"kathmandu -30, Nepal")</f>
        <v>kathmandu -30, Nepal</v>
      </c>
      <c r="K135" s="2" t="str">
        <f>IFERROR(__xludf.DUMMYFUNCTION("""COMPUTED_VALUE"""),"Porposed power House")</f>
        <v>Porposed power House</v>
      </c>
      <c r="L135" s="2" t="str">
        <f>IFERROR(__xludf.DUMMYFUNCTION("""COMPUTED_VALUE"""),"nea New Khimti substation")</f>
        <v>nea New Khimti substation</v>
      </c>
    </row>
    <row r="136">
      <c r="A136" s="2">
        <f>IFERROR(__xludf.DUMMYFUNCTION("""COMPUTED_VALUE"""),135.0)</f>
        <v>135</v>
      </c>
      <c r="B136" s="2" t="str">
        <f>IFERROR(__xludf.DUMMYFUNCTION("""COMPUTED_VALUE"""),"Upper Solukhola Hydro Electric 132 kV Transmission Line project")</f>
        <v>Upper Solukhola Hydro Electric 132 kV Transmission Line project</v>
      </c>
      <c r="C136" s="2">
        <f>IFERROR(__xludf.DUMMYFUNCTION("""COMPUTED_VALUE"""),132.0)</f>
        <v>132</v>
      </c>
      <c r="D136" s="2">
        <f>IFERROR(__xludf.DUMMYFUNCTION("""COMPUTED_VALUE"""),11.0)</f>
        <v>11</v>
      </c>
      <c r="E136" s="2">
        <f>IFERROR(__xludf.DUMMYFUNCTION("""COMPUTED_VALUE"""),34.5)</f>
        <v>34.5</v>
      </c>
      <c r="F136" s="2">
        <f>IFERROR(__xludf.DUMMYFUNCTION("""COMPUTED_VALUE"""),136.0)</f>
        <v>136</v>
      </c>
      <c r="G136" s="3">
        <f>IFERROR(__xludf.DUMMYFUNCTION("""COMPUTED_VALUE"""),64755.0)</f>
        <v>64755</v>
      </c>
      <c r="H136" s="3">
        <f>IFERROR(__xludf.DUMMYFUNCTION("""COMPUTED_VALUE"""),73884.0)</f>
        <v>73884</v>
      </c>
      <c r="I136" s="2" t="str">
        <f>IFERROR(__xludf.DUMMYFUNCTION("""COMPUTED_VALUE"""),"Beni Hydropower Project Pvt. Ltd.")</f>
        <v>Beni Hydropower Project Pvt. Ltd.</v>
      </c>
      <c r="J136" s="2" t="str">
        <f>IFERROR(__xludf.DUMMYFUNCTION("""COMPUTED_VALUE"""),"Handigaun-5, Kathmandu, Po Box 4691, Phone No:- 4429533")</f>
        <v>Handigaun-5, Kathmandu, Po Box 4691, Phone No:- 4429533</v>
      </c>
      <c r="K136" s="2" t="str">
        <f>IFERROR(__xludf.DUMMYFUNCTION("""COMPUTED_VALUE"""),"Switchyard of upper solu hydro power")</f>
        <v>Switchyard of upper solu hydro power</v>
      </c>
      <c r="L136" s="2" t="str">
        <f>IFERROR(__xludf.DUMMYFUNCTION("""COMPUTED_VALUE"""),"Lamane substation at Tingla")</f>
        <v>Lamane substation at Tingla</v>
      </c>
    </row>
    <row r="137">
      <c r="A137" s="2">
        <f>IFERROR(__xludf.DUMMYFUNCTION("""COMPUTED_VALUE"""),136.0)</f>
        <v>136</v>
      </c>
      <c r="B137" s="2" t="str">
        <f>IFERROR(__xludf.DUMMYFUNCTION("""COMPUTED_VALUE"""),"Dordi-1 HEP 132 kV Single Circuit Transmission Line")</f>
        <v>Dordi-1 HEP 132 kV Single Circuit Transmission Line</v>
      </c>
      <c r="C137" s="2">
        <f>IFERROR(__xludf.DUMMYFUNCTION("""COMPUTED_VALUE"""),132.0)</f>
        <v>132</v>
      </c>
      <c r="D137" s="2">
        <f>IFERROR(__xludf.DUMMYFUNCTION("""COMPUTED_VALUE"""),3.5)</f>
        <v>3.5</v>
      </c>
      <c r="E137" s="2">
        <f>IFERROR(__xludf.DUMMYFUNCTION("""COMPUTED_VALUE"""),12.0)</f>
        <v>12</v>
      </c>
      <c r="F137" s="2">
        <f>IFERROR(__xludf.DUMMYFUNCTION("""COMPUTED_VALUE"""),137.0)</f>
        <v>137</v>
      </c>
      <c r="G137" s="3">
        <f>IFERROR(__xludf.DUMMYFUNCTION("""COMPUTED_VALUE"""),64755.0)</f>
        <v>64755</v>
      </c>
      <c r="H137" s="3">
        <f>IFERROR(__xludf.DUMMYFUNCTION("""COMPUTED_VALUE"""),73884.0)</f>
        <v>73884</v>
      </c>
      <c r="I137" s="2" t="str">
        <f>IFERROR(__xludf.DUMMYFUNCTION("""COMPUTED_VALUE"""),"Dordi Khola Jalbidyut Co. Ltd.")</f>
        <v>Dordi Khola Jalbidyut Co. Ltd.</v>
      </c>
      <c r="J137" s="2" t="str">
        <f>IFERROR(__xludf.DUMMYFUNCTION("""COMPUTED_VALUE"""),"Kathmandu-11, Tripureshwor; Phone: 01-4232748/49/50; P.O.Box 20290; Email: 
dordi")</f>
        <v>Kathmandu-11, Tripureshwor; Phone: 01-4232748/49/50; P.O.Box 20290; Email: 
dordi</v>
      </c>
      <c r="K137" s="2" t="str">
        <f>IFERROR(__xludf.DUMMYFUNCTION("""COMPUTED_VALUE"""),"Switchyard of Project")</f>
        <v>Switchyard of Project</v>
      </c>
      <c r="L137" s="2" t="str">
        <f>IFERROR(__xludf.DUMMYFUNCTION("""COMPUTED_VALUE"""),"Kirtipur S/S Lamjung")</f>
        <v>Kirtipur S/S Lamjung</v>
      </c>
    </row>
    <row r="138">
      <c r="A138" s="2">
        <f>IFERROR(__xludf.DUMMYFUNCTION("""COMPUTED_VALUE"""),137.0)</f>
        <v>137</v>
      </c>
      <c r="B138" s="2" t="str">
        <f>IFERROR(__xludf.DUMMYFUNCTION("""COMPUTED_VALUE"""),"Huxain Cement Malekhu 132kV Transmission Line Project")</f>
        <v>Huxain Cement Malekhu 132kV Transmission Line Project</v>
      </c>
      <c r="C138" s="2">
        <f>IFERROR(__xludf.DUMMYFUNCTION("""COMPUTED_VALUE"""),132.0)</f>
        <v>132</v>
      </c>
      <c r="D138" s="2">
        <f>IFERROR(__xludf.DUMMYFUNCTION("""COMPUTED_VALUE"""),13.0)</f>
        <v>13</v>
      </c>
      <c r="E138" s="2">
        <f>IFERROR(__xludf.DUMMYFUNCTION("""COMPUTED_VALUE"""),20.0)</f>
        <v>20</v>
      </c>
      <c r="F138" s="2">
        <f>IFERROR(__xludf.DUMMYFUNCTION("""COMPUTED_VALUE"""),138.0)</f>
        <v>138</v>
      </c>
      <c r="G138" s="3">
        <f>IFERROR(__xludf.DUMMYFUNCTION("""COMPUTED_VALUE"""),64787.0)</f>
        <v>64787</v>
      </c>
      <c r="H138" s="3">
        <f>IFERROR(__xludf.DUMMYFUNCTION("""COMPUTED_VALUE"""),73916.0)</f>
        <v>73916</v>
      </c>
      <c r="I138" s="2" t="str">
        <f>IFERROR(__xludf.DUMMYFUNCTION("""COMPUTED_VALUE"""),"Shree Huxain Cement Narayani Pvt.Ltd.")</f>
        <v>Shree Huxain Cement Narayani Pvt.Ltd.</v>
      </c>
      <c r="J138" s="2" t="str">
        <f>IFERROR(__xludf.DUMMYFUNCTION("""COMPUTED_VALUE"""),"Anamnagar,Sahayog Marg-32, Kathmandu; Email: hncement@gmail.com; 
01-4430253, 985")</f>
        <v>Anamnagar,Sahayog Marg-32, Kathmandu; Email: hncement@gmail.com; 
01-4430253, 985</v>
      </c>
      <c r="K138" s="2" t="str">
        <f>IFERROR(__xludf.DUMMYFUNCTION("""COMPUTED_VALUE"""),"Dhading NEA Substation")</f>
        <v>Dhading NEA Substation</v>
      </c>
      <c r="L138" s="2" t="str">
        <f>IFERROR(__xludf.DUMMYFUNCTION("""COMPUTED_VALUE"""),"Huaxain Cement Factory")</f>
        <v>Huaxain Cement Factory</v>
      </c>
    </row>
    <row r="139">
      <c r="A139" s="2">
        <f>IFERROR(__xludf.DUMMYFUNCTION("""COMPUTED_VALUE"""),138.0)</f>
        <v>138</v>
      </c>
      <c r="B139" s="2" t="str">
        <f>IFERROR(__xludf.DUMMYFUNCTION("""COMPUTED_VALUE"""),"Makari Gad HPP 33 kV Transmission line")</f>
        <v>Makari Gad HPP 33 kV Transmission line</v>
      </c>
      <c r="C139" s="2">
        <f>IFERROR(__xludf.DUMMYFUNCTION("""COMPUTED_VALUE"""),33.0)</f>
        <v>33</v>
      </c>
      <c r="D139" s="2">
        <f>IFERROR(__xludf.DUMMYFUNCTION("""COMPUTED_VALUE"""),27.2)</f>
        <v>27.2</v>
      </c>
      <c r="E139" s="2">
        <f>IFERROR(__xludf.DUMMYFUNCTION("""COMPUTED_VALUE"""),10.0)</f>
        <v>10</v>
      </c>
      <c r="F139" s="2">
        <f>IFERROR(__xludf.DUMMYFUNCTION("""COMPUTED_VALUE"""),139.0)</f>
        <v>139</v>
      </c>
      <c r="G139" s="3">
        <f>IFERROR(__xludf.DUMMYFUNCTION("""COMPUTED_VALUE"""),64801.0)</f>
        <v>64801</v>
      </c>
      <c r="H139" s="3">
        <f>IFERROR(__xludf.DUMMYFUNCTION("""COMPUTED_VALUE"""),73930.0)</f>
        <v>73930</v>
      </c>
      <c r="I139" s="2" t="str">
        <f>IFERROR(__xludf.DUMMYFUNCTION("""COMPUTED_VALUE"""),"Makarigad Hydropower Pvt. Ltd.")</f>
        <v>Makarigad Hydropower Pvt. Ltd.</v>
      </c>
      <c r="J139" s="2" t="str">
        <f>IFERROR(__xludf.DUMMYFUNCTION("""COMPUTED_VALUE"""),"Kathmandu Metropolitan city, Ward No. 03, Panipokhari")</f>
        <v>Kathmandu Metropolitan city, Ward No. 03, Panipokhari</v>
      </c>
      <c r="K139" s="2" t="str">
        <f>IFERROR(__xludf.DUMMYFUNCTION("""COMPUTED_VALUE"""),"Switchyard of Makari HPP")</f>
        <v>Switchyard of Makari HPP</v>
      </c>
      <c r="L139" s="2" t="str">
        <f>IFERROR(__xludf.DUMMYFUNCTION("""COMPUTED_VALUE"""),"Balanch substation of NEA")</f>
        <v>Balanch substation of NEA</v>
      </c>
    </row>
    <row r="140">
      <c r="A140" s="2">
        <f>IFERROR(__xludf.DUMMYFUNCTION("""COMPUTED_VALUE"""),139.0)</f>
        <v>139</v>
      </c>
      <c r="B140" s="2" t="str">
        <f>IFERROR(__xludf.DUMMYFUNCTION("""COMPUTED_VALUE"""),"Tallo Likhu HEP 132kV Transmission Line Project")</f>
        <v>Tallo Likhu HEP 132kV Transmission Line Project</v>
      </c>
      <c r="C140" s="2">
        <f>IFERROR(__xludf.DUMMYFUNCTION("""COMPUTED_VALUE"""),132.0)</f>
        <v>132</v>
      </c>
      <c r="D140" s="2">
        <f>IFERROR(__xludf.DUMMYFUNCTION("""COMPUTED_VALUE"""),27.0)</f>
        <v>27</v>
      </c>
      <c r="E140" s="2">
        <f>IFERROR(__xludf.DUMMYFUNCTION("""COMPUTED_VALUE"""),28.1)</f>
        <v>28.1</v>
      </c>
      <c r="F140" s="2">
        <f>IFERROR(__xludf.DUMMYFUNCTION("""COMPUTED_VALUE"""),140.0)</f>
        <v>140</v>
      </c>
      <c r="G140" s="3">
        <f>IFERROR(__xludf.DUMMYFUNCTION("""COMPUTED_VALUE"""),64802.0)</f>
        <v>64802</v>
      </c>
      <c r="H140" s="3">
        <f>IFERROR(__xludf.DUMMYFUNCTION("""COMPUTED_VALUE"""),73931.0)</f>
        <v>73931</v>
      </c>
      <c r="I140" s="2" t="str">
        <f>IFERROR(__xludf.DUMMYFUNCTION("""COMPUTED_VALUE"""),"Shree Swet Ganga Hydropower and Construction Ltd.")</f>
        <v>Shree Swet Ganga Hydropower and Construction Ltd.</v>
      </c>
      <c r="J140" s="2" t="str">
        <f>IFERROR(__xludf.DUMMYFUNCTION("""COMPUTED_VALUE"""),"Naxal, 01-4446442, PO box no. 19737")</f>
        <v>Naxal, 01-4446442, PO box no. 19737</v>
      </c>
      <c r="K140" s="2" t="str">
        <f>IFERROR(__xludf.DUMMYFUNCTION("""COMPUTED_VALUE"""),"132/11kV Switchyard at Bijulikot(Ramecha")</f>
        <v>132/11kV Switchyard at Bijulikot(Ramecha</v>
      </c>
      <c r="L140" s="2" t="str">
        <f>IFERROR(__xludf.DUMMYFUNCTION("""COMPUTED_VALUE"""),"New Khimti Substation(Ramechap)")</f>
        <v>New Khimti Substation(Ramechap)</v>
      </c>
    </row>
    <row r="141">
      <c r="A141" s="2">
        <f>IFERROR(__xludf.DUMMYFUNCTION("""COMPUTED_VALUE"""),140.0)</f>
        <v>140</v>
      </c>
      <c r="B141" s="2" t="str">
        <f>IFERROR(__xludf.DUMMYFUNCTION("""COMPUTED_VALUE"""),"Surkhet Gangate Matela 33kV transmission Line Project and Substation")</f>
        <v>Surkhet Gangate Matela 33kV transmission Line Project and Substation</v>
      </c>
      <c r="C141" s="2">
        <f>IFERROR(__xludf.DUMMYFUNCTION("""COMPUTED_VALUE"""),33.0)</f>
        <v>33</v>
      </c>
      <c r="D141" s="2">
        <f>IFERROR(__xludf.DUMMYFUNCTION("""COMPUTED_VALUE"""),22.0)</f>
        <v>22</v>
      </c>
      <c r="E141" s="2">
        <f>IFERROR(__xludf.DUMMYFUNCTION("""COMPUTED_VALUE"""),3.0)</f>
        <v>3</v>
      </c>
      <c r="F141" s="2">
        <f>IFERROR(__xludf.DUMMYFUNCTION("""COMPUTED_VALUE"""),141.0)</f>
        <v>141</v>
      </c>
      <c r="G141" s="3">
        <f>IFERROR(__xludf.DUMMYFUNCTION("""COMPUTED_VALUE"""),64802.0)</f>
        <v>64802</v>
      </c>
      <c r="H141" s="3">
        <f>IFERROR(__xludf.DUMMYFUNCTION("""COMPUTED_VALUE"""),73931.0)</f>
        <v>73931</v>
      </c>
      <c r="I141" s="2" t="str">
        <f>IFERROR(__xludf.DUMMYFUNCTION("""COMPUTED_VALUE"""),"Nepal Electricity Authority")</f>
        <v>Nepal Electricity Authority</v>
      </c>
      <c r="J141" s="2" t="str">
        <f>IFERROR(__xludf.DUMMYFUNCTION("""COMPUTED_VALUE"""),"Main office,Darbarmarg,Kathmandu")</f>
        <v>Main office,Darbarmarg,Kathmandu</v>
      </c>
      <c r="K141" s="2" t="str">
        <f>IFERROR(__xludf.DUMMYFUNCTION("""COMPUTED_VALUE"""),"Ratnlal(Surkhet)")</f>
        <v>Ratnlal(Surkhet)</v>
      </c>
      <c r="L141" s="2" t="str">
        <f>IFERROR(__xludf.DUMMYFUNCTION("""COMPUTED_VALUE"""),"Matela(Dailekh)")</f>
        <v>Matela(Dailekh)</v>
      </c>
    </row>
    <row r="142">
      <c r="A142" s="2">
        <f>IFERROR(__xludf.DUMMYFUNCTION("""COMPUTED_VALUE"""),141.0)</f>
        <v>141</v>
      </c>
      <c r="B142" s="2" t="str">
        <f>IFERROR(__xludf.DUMMYFUNCTION("""COMPUTED_VALUE"""),"Upper Mailung A")</f>
        <v>Upper Mailung A</v>
      </c>
      <c r="C142" s="2">
        <f>IFERROR(__xludf.DUMMYFUNCTION("""COMPUTED_VALUE"""),33.0)</f>
        <v>33</v>
      </c>
      <c r="D142" s="2">
        <f>IFERROR(__xludf.DUMMYFUNCTION("""COMPUTED_VALUE"""),19.0)</f>
        <v>19</v>
      </c>
      <c r="E142" s="2">
        <f>IFERROR(__xludf.DUMMYFUNCTION("""COMPUTED_VALUE"""),6.42)</f>
        <v>6.42</v>
      </c>
      <c r="F142" s="2">
        <f>IFERROR(__xludf.DUMMYFUNCTION("""COMPUTED_VALUE"""),142.0)</f>
        <v>142</v>
      </c>
      <c r="G142" s="3">
        <f>IFERROR(__xludf.DUMMYFUNCTION("""COMPUTED_VALUE"""),64823.0)</f>
        <v>64823</v>
      </c>
      <c r="H142" s="3">
        <f>IFERROR(__xludf.DUMMYFUNCTION("""COMPUTED_VALUE"""),73952.0)</f>
        <v>73952</v>
      </c>
      <c r="I142" s="2" t="str">
        <f>IFERROR(__xludf.DUMMYFUNCTION("""COMPUTED_VALUE"""),"Energy Engineering Limited")</f>
        <v>Energy Engineering Limited</v>
      </c>
      <c r="J142" s="2" t="str">
        <f>IFERROR(__xludf.DUMMYFUNCTION("""COMPUTED_VALUE"""),"Thapathali-11 Kathmandu, P.O.Box 9292, 01-4101524")</f>
        <v>Thapathali-11 Kathmandu, P.O.Box 9292, 01-4101524</v>
      </c>
      <c r="K142" s="2" t="str">
        <f>IFERROR(__xludf.DUMMYFUNCTION("""COMPUTED_VALUE"""),"Switchyard of Project")</f>
        <v>Switchyard of Project</v>
      </c>
      <c r="L142" s="2" t="str">
        <f>IFERROR(__xludf.DUMMYFUNCTION("""COMPUTED_VALUE"""),"Trishuli 3B Hub S/S")</f>
        <v>Trishuli 3B Hub S/S</v>
      </c>
    </row>
    <row r="143">
      <c r="A143" s="2">
        <f>IFERROR(__xludf.DUMMYFUNCTION("""COMPUTED_VALUE"""),142.0)</f>
        <v>142</v>
      </c>
      <c r="B143" s="2" t="str">
        <f>IFERROR(__xludf.DUMMYFUNCTION("""COMPUTED_VALUE"""),"Likhu-1 Hydropower Project")</f>
        <v>Likhu-1 Hydropower Project</v>
      </c>
      <c r="C143" s="2">
        <f>IFERROR(__xludf.DUMMYFUNCTION("""COMPUTED_VALUE"""),132.0)</f>
        <v>132</v>
      </c>
      <c r="D143" s="2">
        <f>IFERROR(__xludf.DUMMYFUNCTION("""COMPUTED_VALUE"""),7.5)</f>
        <v>7.5</v>
      </c>
      <c r="E143" s="2">
        <f>IFERROR(__xludf.DUMMYFUNCTION("""COMPUTED_VALUE"""),77.0)</f>
        <v>77</v>
      </c>
      <c r="F143" s="2">
        <f>IFERROR(__xludf.DUMMYFUNCTION("""COMPUTED_VALUE"""),143.0)</f>
        <v>143</v>
      </c>
      <c r="G143" s="3">
        <f>IFERROR(__xludf.DUMMYFUNCTION("""COMPUTED_VALUE"""),64837.0)</f>
        <v>64837</v>
      </c>
      <c r="H143" s="3">
        <f>IFERROR(__xludf.DUMMYFUNCTION("""COMPUTED_VALUE"""),73966.0)</f>
        <v>73966</v>
      </c>
      <c r="I143" s="2" t="str">
        <f>IFERROR(__xludf.DUMMYFUNCTION("""COMPUTED_VALUE"""),"Pan Himalaya Energy Pvt.Ltd.")</f>
        <v>Pan Himalaya Energy Pvt.Ltd.</v>
      </c>
      <c r="J143" s="2" t="str">
        <f>IFERROR(__xludf.DUMMYFUNCTION("""COMPUTED_VALUE"""),"kathmandu -30, Nepal")</f>
        <v>kathmandu -30, Nepal</v>
      </c>
      <c r="K143" s="2" t="str">
        <f>IFERROR(__xludf.DUMMYFUNCTION("""COMPUTED_VALUE"""),"Switchyard of Proposed Power House(Soluk")</f>
        <v>Switchyard of Proposed Power House(Soluk</v>
      </c>
      <c r="L143" s="2" t="str">
        <f>IFERROR(__xludf.DUMMYFUNCTION("""COMPUTED_VALUE"""),"Proposed Subsatation of Likhu 2 (Ramecha")</f>
        <v>Proposed Subsatation of Likhu 2 (Ramecha</v>
      </c>
    </row>
    <row r="144">
      <c r="A144" s="2">
        <f>IFERROR(__xludf.DUMMYFUNCTION("""COMPUTED_VALUE"""),143.0)</f>
        <v>143</v>
      </c>
      <c r="B144" s="2" t="str">
        <f>IFERROR(__xludf.DUMMYFUNCTION("""COMPUTED_VALUE"""),"Dordi Khola Hydropower Project")</f>
        <v>Dordi Khola Hydropower Project</v>
      </c>
      <c r="C144" s="2">
        <f>IFERROR(__xludf.DUMMYFUNCTION("""COMPUTED_VALUE"""),132.0)</f>
        <v>132</v>
      </c>
      <c r="D144" s="2">
        <f>IFERROR(__xludf.DUMMYFUNCTION("""COMPUTED_VALUE"""),3.0)</f>
        <v>3</v>
      </c>
      <c r="E144" s="2">
        <f>IFERROR(__xludf.DUMMYFUNCTION("""COMPUTED_VALUE"""),27.0)</f>
        <v>27</v>
      </c>
      <c r="F144" s="2">
        <f>IFERROR(__xludf.DUMMYFUNCTION("""COMPUTED_VALUE"""),144.0)</f>
        <v>144</v>
      </c>
      <c r="G144" s="3">
        <f>IFERROR(__xludf.DUMMYFUNCTION("""COMPUTED_VALUE"""),64850.0)</f>
        <v>64850</v>
      </c>
      <c r="H144" s="3">
        <f>IFERROR(__xludf.DUMMYFUNCTION("""COMPUTED_VALUE"""),73979.0)</f>
        <v>73979</v>
      </c>
      <c r="I144" s="2" t="str">
        <f>IFERROR(__xludf.DUMMYFUNCTION("""COMPUTED_VALUE"""),"Himalayan Power Partner Ltd.")</f>
        <v>Himalayan Power Partner Ltd.</v>
      </c>
      <c r="J144" s="2" t="str">
        <f>IFERROR(__xludf.DUMMYFUNCTION("""COMPUTED_VALUE"""),"Pani Pokhari,Kathmandu")</f>
        <v>Pani Pokhari,Kathmandu</v>
      </c>
      <c r="K144" s="2" t="str">
        <f>IFERROR(__xludf.DUMMYFUNCTION("""COMPUTED_VALUE"""),"Swichyard of Dordi Khola HPP")</f>
        <v>Swichyard of Dordi Khola HPP</v>
      </c>
      <c r="L144" s="2" t="str">
        <f>IFERROR(__xludf.DUMMYFUNCTION("""COMPUTED_VALUE"""),"Udipur NEA HUB")</f>
        <v>Udipur NEA HUB</v>
      </c>
    </row>
    <row r="145">
      <c r="A145" s="2">
        <f>IFERROR(__xludf.DUMMYFUNCTION("""COMPUTED_VALUE"""),144.0)</f>
        <v>144</v>
      </c>
      <c r="B145" s="2" t="str">
        <f>IFERROR(__xludf.DUMMYFUNCTION("""COMPUTED_VALUE"""),"Lekhnath Damauli 220 kV Transmission Line Project")</f>
        <v>Lekhnath Damauli 220 kV Transmission Line Project</v>
      </c>
      <c r="C145" s="2">
        <f>IFERROR(__xludf.DUMMYFUNCTION("""COMPUTED_VALUE"""),220.0)</f>
        <v>220</v>
      </c>
      <c r="D145" s="2">
        <f>IFERROR(__xludf.DUMMYFUNCTION("""COMPUTED_VALUE"""),45.0)</f>
        <v>45</v>
      </c>
      <c r="E145" s="2">
        <f>IFERROR(__xludf.DUMMYFUNCTION("""COMPUTED_VALUE"""),600.0)</f>
        <v>600</v>
      </c>
      <c r="F145" s="2">
        <f>IFERROR(__xludf.DUMMYFUNCTION("""COMPUTED_VALUE"""),145.0)</f>
        <v>145</v>
      </c>
      <c r="G145" s="3">
        <f>IFERROR(__xludf.DUMMYFUNCTION("""COMPUTED_VALUE"""),64874.0)</f>
        <v>64874</v>
      </c>
      <c r="H145" s="3">
        <f>IFERROR(__xludf.DUMMYFUNCTION("""COMPUTED_VALUE"""),74003.0)</f>
        <v>74003</v>
      </c>
      <c r="I145" s="2" t="str">
        <f>IFERROR(__xludf.DUMMYFUNCTION("""COMPUTED_VALUE"""),"Nepal Electricity Authority")</f>
        <v>Nepal Electricity Authority</v>
      </c>
      <c r="J145" s="2" t="str">
        <f>IFERROR(__xludf.DUMMYFUNCTION("""COMPUTED_VALUE"""),"Main office,Darbarmarg,Kathmandu")</f>
        <v>Main office,Darbarmarg,Kathmandu</v>
      </c>
      <c r="K145" s="2" t="str">
        <f>IFERROR(__xludf.DUMMYFUNCTION("""COMPUTED_VALUE"""),"Lekhanth S/S")</f>
        <v>Lekhanth S/S</v>
      </c>
      <c r="L145" s="2" t="str">
        <f>IFERROR(__xludf.DUMMYFUNCTION("""COMPUTED_VALUE"""),"New Damauli S/S")</f>
        <v>New Damauli S/S</v>
      </c>
    </row>
    <row r="146">
      <c r="A146" s="2">
        <f>IFERROR(__xludf.DUMMYFUNCTION("""COMPUTED_VALUE"""),145.0)</f>
        <v>145</v>
      </c>
      <c r="B146" s="2" t="str">
        <f>IFERROR(__xludf.DUMMYFUNCTION("""COMPUTED_VALUE"""),"Balephi Corridor 132 kV TL Project")</f>
        <v>Balephi Corridor 132 kV TL Project</v>
      </c>
      <c r="C146" s="2">
        <f>IFERROR(__xludf.DUMMYFUNCTION("""COMPUTED_VALUE"""),132.0)</f>
        <v>132</v>
      </c>
      <c r="D146" s="2">
        <f>IFERROR(__xludf.DUMMYFUNCTION("""COMPUTED_VALUE"""),18.167)</f>
        <v>18.167</v>
      </c>
      <c r="E146" s="2">
        <f>IFERROR(__xludf.DUMMYFUNCTION("""COMPUTED_VALUE"""),200.0)</f>
        <v>200</v>
      </c>
      <c r="F146" s="2">
        <f>IFERROR(__xludf.DUMMYFUNCTION("""COMPUTED_VALUE"""),146.0)</f>
        <v>146</v>
      </c>
      <c r="G146" s="3">
        <f>IFERROR(__xludf.DUMMYFUNCTION("""COMPUTED_VALUE"""),64874.0)</f>
        <v>64874</v>
      </c>
      <c r="H146" s="3">
        <f>IFERROR(__xludf.DUMMYFUNCTION("""COMPUTED_VALUE"""),74003.0)</f>
        <v>74003</v>
      </c>
      <c r="I146" s="2" t="str">
        <f>IFERROR(__xludf.DUMMYFUNCTION("""COMPUTED_VALUE"""),"Nepal Electricity Authority")</f>
        <v>Nepal Electricity Authority</v>
      </c>
      <c r="J146" s="2" t="str">
        <f>IFERROR(__xludf.DUMMYFUNCTION("""COMPUTED_VALUE"""),"PO box no. 10020, durbar marg")</f>
        <v>PO box no. 10020, durbar marg</v>
      </c>
      <c r="K146" s="2" t="str">
        <f>IFERROR(__xludf.DUMMYFUNCTION("""COMPUTED_VALUE"""),"Balephi S/S at Pantang VDC")</f>
        <v>Balephi S/S at Pantang VDC</v>
      </c>
      <c r="L146" s="2" t="str">
        <f>IFERROR(__xludf.DUMMYFUNCTION("""COMPUTED_VALUE"""),"Barahbisey VDC S/S")</f>
        <v>Barahbisey VDC S/S</v>
      </c>
    </row>
    <row r="147">
      <c r="A147" s="2">
        <f>IFERROR(__xludf.DUMMYFUNCTION("""COMPUTED_VALUE"""),146.0)</f>
        <v>146</v>
      </c>
      <c r="B147" s="2" t="str">
        <f>IFERROR(__xludf.DUMMYFUNCTION("""COMPUTED_VALUE"""),"Middle Modi HEP Transmission Line")</f>
        <v>Middle Modi HEP Transmission Line</v>
      </c>
      <c r="C147" s="2">
        <f>IFERROR(__xludf.DUMMYFUNCTION("""COMPUTED_VALUE"""),132.0)</f>
        <v>132</v>
      </c>
      <c r="D147" s="2">
        <f>IFERROR(__xludf.DUMMYFUNCTION("""COMPUTED_VALUE"""),2.5)</f>
        <v>2.5</v>
      </c>
      <c r="E147" s="2">
        <f>IFERROR(__xludf.DUMMYFUNCTION("""COMPUTED_VALUE"""),18.0)</f>
        <v>18</v>
      </c>
      <c r="F147" s="2">
        <f>IFERROR(__xludf.DUMMYFUNCTION("""COMPUTED_VALUE"""),147.0)</f>
        <v>147</v>
      </c>
      <c r="G147" s="3">
        <f>IFERROR(__xludf.DUMMYFUNCTION("""COMPUTED_VALUE"""),64965.0)</f>
        <v>64965</v>
      </c>
      <c r="H147" s="3">
        <f>IFERROR(__xludf.DUMMYFUNCTION("""COMPUTED_VALUE"""),74094.0)</f>
        <v>74094</v>
      </c>
      <c r="I147" s="2" t="str">
        <f>IFERROR(__xludf.DUMMYFUNCTION("""COMPUTED_VALUE"""),"Middle Modi Hydro Power Limited")</f>
        <v>Middle Modi Hydro Power Limited</v>
      </c>
      <c r="J147" s="2" t="str">
        <f>IFERROR(__xludf.DUMMYFUNCTION("""COMPUTED_VALUE"""),"Chaudhary Group, Sanepa, Lalitpur; Tel No. 01-5521994, 5525039/41")</f>
        <v>Chaudhary Group, Sanepa, Lalitpur; Tel No. 01-5521994, 5525039/41</v>
      </c>
      <c r="K147" s="2" t="str">
        <f>IFERROR(__xludf.DUMMYFUNCTION("""COMPUTED_VALUE"""),"Switchyard of Project")</f>
        <v>Switchyard of Project</v>
      </c>
      <c r="L147" s="2" t="str">
        <f>IFERROR(__xludf.DUMMYFUNCTION("""COMPUTED_VALUE"""),"New Modi S/S Kerunga")</f>
        <v>New Modi S/S Kerunga</v>
      </c>
    </row>
    <row r="148">
      <c r="A148" s="2">
        <f>IFERROR(__xludf.DUMMYFUNCTION("""COMPUTED_VALUE"""),147.0)</f>
        <v>147</v>
      </c>
      <c r="B148" s="2" t="str">
        <f>IFERROR(__xludf.DUMMYFUNCTION("""COMPUTED_VALUE"""),"Belchautara Solar Farm TL")</f>
        <v>Belchautara Solar Farm TL</v>
      </c>
      <c r="C148" s="2">
        <f>IFERROR(__xludf.DUMMYFUNCTION("""COMPUTED_VALUE"""),33.0)</f>
        <v>33</v>
      </c>
      <c r="D148" s="2">
        <f>IFERROR(__xludf.DUMMYFUNCTION("""COMPUTED_VALUE"""),0.5)</f>
        <v>0.5</v>
      </c>
      <c r="E148" s="2">
        <f>IFERROR(__xludf.DUMMYFUNCTION("""COMPUTED_VALUE"""),5.0)</f>
        <v>5</v>
      </c>
      <c r="F148" s="2">
        <f>IFERROR(__xludf.DUMMYFUNCTION("""COMPUTED_VALUE"""),148.0)</f>
        <v>148</v>
      </c>
      <c r="G148" s="3">
        <f>IFERROR(__xludf.DUMMYFUNCTION("""COMPUTED_VALUE"""),64987.0)</f>
        <v>64987</v>
      </c>
      <c r="H148" s="3">
        <f>IFERROR(__xludf.DUMMYFUNCTION("""COMPUTED_VALUE"""),74116.0)</f>
        <v>74116</v>
      </c>
      <c r="I148" s="2" t="str">
        <f>IFERROR(__xludf.DUMMYFUNCTION("""COMPUTED_VALUE"""),"Solar Farm Pvt. Ltd.")</f>
        <v>Solar Farm Pvt. Ltd.</v>
      </c>
      <c r="J148" s="2" t="str">
        <f>IFERROR(__xludf.DUMMYFUNCTION("""COMPUTED_VALUE"""),"Chandrawati Marga , Ka.Ma.Pa-3 Basundhara, Contact no.: 014370966, 41373662")</f>
        <v>Chandrawati Marga , Ka.Ma.Pa-3 Basundhara, Contact no.: 014370966, 41373662</v>
      </c>
      <c r="K148" s="2" t="str">
        <f>IFERROR(__xludf.DUMMYFUNCTION("""COMPUTED_VALUE"""),"Switchyard of Project")</f>
        <v>Switchyard of Project</v>
      </c>
      <c r="L148" s="2" t="str">
        <f>IFERROR(__xludf.DUMMYFUNCTION("""COMPUTED_VALUE"""),"NEA Khairenitar S/S")</f>
        <v>NEA Khairenitar S/S</v>
      </c>
    </row>
    <row r="149">
      <c r="A149" s="2">
        <f>IFERROR(__xludf.DUMMYFUNCTION("""COMPUTED_VALUE"""),148.0)</f>
        <v>148</v>
      </c>
      <c r="B149" s="2" t="str">
        <f>IFERROR(__xludf.DUMMYFUNCTION("""COMPUTED_VALUE"""),"Upper Richet &amp; Richet HEP Projects Joint Transmission Line")</f>
        <v>Upper Richet &amp; Richet HEP Projects Joint Transmission Line</v>
      </c>
      <c r="C149" s="2">
        <f>IFERROR(__xludf.DUMMYFUNCTION("""COMPUTED_VALUE"""),33.0)</f>
        <v>33</v>
      </c>
      <c r="D149" s="2">
        <f>IFERROR(__xludf.DUMMYFUNCTION("""COMPUTED_VALUE"""),14.0)</f>
        <v>14</v>
      </c>
      <c r="E149" s="2">
        <f>IFERROR(__xludf.DUMMYFUNCTION("""COMPUTED_VALUE"""),6.98)</f>
        <v>6.98</v>
      </c>
      <c r="F149" s="2">
        <f>IFERROR(__xludf.DUMMYFUNCTION("""COMPUTED_VALUE"""),149.0)</f>
        <v>149</v>
      </c>
      <c r="G149" s="3">
        <f>IFERROR(__xludf.DUMMYFUNCTION("""COMPUTED_VALUE"""),64990.0)</f>
        <v>64990</v>
      </c>
      <c r="H149" s="3">
        <f>IFERROR(__xludf.DUMMYFUNCTION("""COMPUTED_VALUE"""),74119.0)</f>
        <v>74119</v>
      </c>
      <c r="I149" s="2" t="str">
        <f>IFERROR(__xludf.DUMMYFUNCTION("""COMPUTED_VALUE"""),"Shree Richet Jalvidhut Co.Pvt. Ltd.")</f>
        <v>Shree Richet Jalvidhut Co.Pvt. Ltd.</v>
      </c>
      <c r="J149" s="2" t="str">
        <f>IFERROR(__xludf.DUMMYFUNCTION("""COMPUTED_VALUE"""),"Mahalaxmisthan,Lalitpur-15; 01-5527469, 5523784; richethydro@gmail.com")</f>
        <v>Mahalaxmisthan,Lalitpur-15; 01-5527469, 5523784; richethydro@gmail.com</v>
      </c>
      <c r="K149" s="2" t="str">
        <f>IFERROR(__xludf.DUMMYFUNCTION("""COMPUTED_VALUE"""),"Switchyard of Upper Richet HEP")</f>
        <v>Switchyard of Upper Richet HEP</v>
      </c>
      <c r="L149" s="2" t="str">
        <f>IFERROR(__xludf.DUMMYFUNCTION("""COMPUTED_VALUE"""),"NEA Baseri S/S (Dhading)")</f>
        <v>NEA Baseri S/S (Dhading)</v>
      </c>
    </row>
    <row r="150">
      <c r="A150" s="2">
        <f>IFERROR(__xludf.DUMMYFUNCTION("""COMPUTED_VALUE"""),149.0)</f>
        <v>149</v>
      </c>
      <c r="B150" s="2" t="str">
        <f>IFERROR(__xludf.DUMMYFUNCTION("""COMPUTED_VALUE"""),"Ghalemdi khola HEP TL")</f>
        <v>Ghalemdi khola HEP TL</v>
      </c>
      <c r="C150" s="2">
        <f>IFERROR(__xludf.DUMMYFUNCTION("""COMPUTED_VALUE"""),33.0)</f>
        <v>33</v>
      </c>
      <c r="D150" s="2">
        <f>IFERROR(__xludf.DUMMYFUNCTION("""COMPUTED_VALUE"""),5.2)</f>
        <v>5.2</v>
      </c>
      <c r="E150" s="2">
        <f>IFERROR(__xludf.DUMMYFUNCTION("""COMPUTED_VALUE"""),5.0)</f>
        <v>5</v>
      </c>
      <c r="F150" s="2">
        <f>IFERROR(__xludf.DUMMYFUNCTION("""COMPUTED_VALUE"""),150.0)</f>
        <v>150</v>
      </c>
      <c r="G150" s="3">
        <f>IFERROR(__xludf.DUMMYFUNCTION("""COMPUTED_VALUE"""),65041.0)</f>
        <v>65041</v>
      </c>
      <c r="H150" s="3">
        <f>IFERROR(__xludf.DUMMYFUNCTION("""COMPUTED_VALUE"""),74170.0)</f>
        <v>74170</v>
      </c>
      <c r="I150" s="2" t="str">
        <f>IFERROR(__xludf.DUMMYFUNCTION("""COMPUTED_VALUE"""),"Ghalemdi Hydro Limited")</f>
        <v>Ghalemdi Hydro Limited</v>
      </c>
      <c r="J150" s="2" t="str">
        <f>IFERROR(__xludf.DUMMYFUNCTION("""COMPUTED_VALUE"""),"Ka.Ma.Na.Pa-16, Kathmandu Contact No.: 01-5902520")</f>
        <v>Ka.Ma.Na.Pa-16, Kathmandu Contact No.: 01-5902520</v>
      </c>
      <c r="K150" s="2" t="str">
        <f>IFERROR(__xludf.DUMMYFUNCTION("""COMPUTED_VALUE"""),"Switchyard of HEP")</f>
        <v>Switchyard of HEP</v>
      </c>
      <c r="L150" s="2" t="str">
        <f>IFERROR(__xludf.DUMMYFUNCTION("""COMPUTED_VALUE"""),"Dana Substation")</f>
        <v>Dana Substation</v>
      </c>
    </row>
    <row r="151">
      <c r="A151" s="2">
        <f>IFERROR(__xludf.DUMMYFUNCTION("""COMPUTED_VALUE"""),150.0)</f>
        <v>150</v>
      </c>
      <c r="B151" s="2" t="str">
        <f>IFERROR(__xludf.DUMMYFUNCTION("""COMPUTED_VALUE"""),"Upper Syange Khola Small Hydropower Transmission Line Project")</f>
        <v>Upper Syange Khola Small Hydropower Transmission Line Project</v>
      </c>
      <c r="C151" s="2">
        <f>IFERROR(__xludf.DUMMYFUNCTION("""COMPUTED_VALUE"""),33.0)</f>
        <v>33</v>
      </c>
      <c r="D151" s="2">
        <f>IFERROR(__xludf.DUMMYFUNCTION("""COMPUTED_VALUE"""),12.0)</f>
        <v>12</v>
      </c>
      <c r="E151" s="2">
        <f>IFERROR(__xludf.DUMMYFUNCTION("""COMPUTED_VALUE"""),2.4)</f>
        <v>2.4</v>
      </c>
      <c r="F151" s="2">
        <f>IFERROR(__xludf.DUMMYFUNCTION("""COMPUTED_VALUE"""),151.0)</f>
        <v>151</v>
      </c>
      <c r="G151" s="3">
        <f>IFERROR(__xludf.DUMMYFUNCTION("""COMPUTED_VALUE"""),65049.0)</f>
        <v>65049</v>
      </c>
      <c r="H151" s="3">
        <f>IFERROR(__xludf.DUMMYFUNCTION("""COMPUTED_VALUE"""),74178.0)</f>
        <v>74178</v>
      </c>
      <c r="I151" s="2" t="str">
        <f>IFERROR(__xludf.DUMMYFUNCTION("""COMPUTED_VALUE"""),"Upper Syange Hydropower Limited,")</f>
        <v>Upper Syange Hydropower Limited,</v>
      </c>
      <c r="J151" s="2" t="str">
        <f>IFERROR(__xludf.DUMMYFUNCTION("""COMPUTED_VALUE"""),"Chandol, Kathmandu; 01-4442860, upper.syange@gmail.com")</f>
        <v>Chandol, Kathmandu; 01-4442860, upper.syange@gmail.com</v>
      </c>
      <c r="K151" s="2" t="str">
        <f>IFERROR(__xludf.DUMMYFUNCTION("""COMPUTED_VALUE"""),"Switchyard of Upper Syange HEP(Lamjung)")</f>
        <v>Switchyard of Upper Syange HEP(Lamjung)</v>
      </c>
      <c r="L151" s="2" t="str">
        <f>IFERROR(__xludf.DUMMYFUNCTION("""COMPUTED_VALUE"""),"Khudi NEA Substation(Lamjung)")</f>
        <v>Khudi NEA Substation(Lamjung)</v>
      </c>
    </row>
    <row r="152">
      <c r="A152" s="2">
        <f>IFERROR(__xludf.DUMMYFUNCTION("""COMPUTED_VALUE"""),151.0)</f>
        <v>151</v>
      </c>
      <c r="B152" s="2" t="str">
        <f>IFERROR(__xludf.DUMMYFUNCTION("""COMPUTED_VALUE"""),"Grid Connected Solar Power Project Dhalkebar 33 kV Transmission Line")</f>
        <v>Grid Connected Solar Power Project Dhalkebar 33 kV Transmission Line</v>
      </c>
      <c r="C152" s="2">
        <f>IFERROR(__xludf.DUMMYFUNCTION("""COMPUTED_VALUE"""),33.0)</f>
        <v>33</v>
      </c>
      <c r="D152" s="2">
        <f>IFERROR(__xludf.DUMMYFUNCTION("""COMPUTED_VALUE"""),4.9)</f>
        <v>4.9</v>
      </c>
      <c r="E152" s="2">
        <f>IFERROR(__xludf.DUMMYFUNCTION("""COMPUTED_VALUE"""),8.0)</f>
        <v>8</v>
      </c>
      <c r="F152" s="2">
        <f>IFERROR(__xludf.DUMMYFUNCTION("""COMPUTED_VALUE"""),152.0)</f>
        <v>152</v>
      </c>
      <c r="G152" s="3">
        <f>IFERROR(__xludf.DUMMYFUNCTION("""COMPUTED_VALUE"""),65064.0)</f>
        <v>65064</v>
      </c>
      <c r="H152" s="3">
        <f>IFERROR(__xludf.DUMMYFUNCTION("""COMPUTED_VALUE"""),74193.0)</f>
        <v>74193</v>
      </c>
      <c r="I152" s="2" t="str">
        <f>IFERROR(__xludf.DUMMYFUNCTION("""COMPUTED_VALUE"""),"Sagarmatha Energy and Construction Pvt.Ltd.")</f>
        <v>Sagarmatha Energy and Construction Pvt.Ltd.</v>
      </c>
      <c r="J152" s="2" t="str">
        <f>IFERROR(__xludf.DUMMYFUNCTION("""COMPUTED_VALUE"""),"Babrmahal,Kathmandu 01-4417898")</f>
        <v>Babrmahal,Kathmandu 01-4417898</v>
      </c>
      <c r="K152" s="2" t="str">
        <f>IFERROR(__xludf.DUMMYFUNCTION("""COMPUTED_VALUE"""),"Switchyard of Project (Dhanusha)")</f>
        <v>Switchyard of Project (Dhanusha)</v>
      </c>
      <c r="L152" s="2" t="str">
        <f>IFERROR(__xludf.DUMMYFUNCTION("""COMPUTED_VALUE"""),"NEA Dhalkebar Substation(Dhanusha)")</f>
        <v>NEA Dhalkebar Substation(Dhanusha)</v>
      </c>
    </row>
    <row r="153">
      <c r="A153" s="2">
        <f>IFERROR(__xludf.DUMMYFUNCTION("""COMPUTED_VALUE"""),152.0)</f>
        <v>152</v>
      </c>
      <c r="B153" s="2" t="str">
        <f>IFERROR(__xludf.DUMMYFUNCTION("""COMPUTED_VALUE"""),"Mai Beni Hydro Power Project Joint Transmission Line")</f>
        <v>Mai Beni Hydro Power Project Joint Transmission Line</v>
      </c>
      <c r="C153" s="2">
        <f>IFERROR(__xludf.DUMMYFUNCTION("""COMPUTED_VALUE"""),33.0)</f>
        <v>33</v>
      </c>
      <c r="D153" s="2">
        <f>IFERROR(__xludf.DUMMYFUNCTION("""COMPUTED_VALUE"""),14.46)</f>
        <v>14.46</v>
      </c>
      <c r="E153" s="2">
        <f>IFERROR(__xludf.DUMMYFUNCTION("""COMPUTED_VALUE"""),22.11)</f>
        <v>22.11</v>
      </c>
      <c r="F153" s="2">
        <f>IFERROR(__xludf.DUMMYFUNCTION("""COMPUTED_VALUE"""),153.0)</f>
        <v>153</v>
      </c>
      <c r="G153" s="3">
        <f>IFERROR(__xludf.DUMMYFUNCTION("""COMPUTED_VALUE"""),65075.0)</f>
        <v>65075</v>
      </c>
      <c r="H153" s="2" t="str">
        <f>IFERROR(__xludf.DUMMYFUNCTION("""COMPUTED_VALUE"""),"2103-02-31")</f>
        <v>2103-02-31</v>
      </c>
      <c r="I153" s="2" t="str">
        <f>IFERROR(__xludf.DUMMYFUNCTION("""COMPUTED_VALUE"""),"Samling Power Co.Pvt.Ltd.")</f>
        <v>Samling Power Co.Pvt.Ltd.</v>
      </c>
      <c r="J153" s="2" t="str">
        <f>IFERROR(__xludf.DUMMYFUNCTION("""COMPUTED_VALUE"""),"Sanepa-2 Lalitpur")</f>
        <v>Sanepa-2 Lalitpur</v>
      </c>
      <c r="K153" s="2" t="str">
        <f>IFERROR(__xludf.DUMMYFUNCTION("""COMPUTED_VALUE"""),"Switchyard of Super Mai A")</f>
        <v>Switchyard of Super Mai A</v>
      </c>
      <c r="L153" s="2" t="str">
        <f>IFERROR(__xludf.DUMMYFUNCTION("""COMPUTED_VALUE"""),"NEA Godak S/S")</f>
        <v>NEA Godak S/S</v>
      </c>
    </row>
    <row r="154">
      <c r="A154" s="2">
        <f>IFERROR(__xludf.DUMMYFUNCTION("""COMPUTED_VALUE"""),153.0)</f>
        <v>153</v>
      </c>
      <c r="B154" s="2" t="str">
        <f>IFERROR(__xludf.DUMMYFUNCTION("""COMPUTED_VALUE"""),"Som Radhakrishna Solar Farm's Transmission Line Project")</f>
        <v>Som Radhakrishna Solar Farm's Transmission Line Project</v>
      </c>
      <c r="C154" s="2">
        <f>IFERROR(__xludf.DUMMYFUNCTION("""COMPUTED_VALUE"""),33.0)</f>
        <v>33</v>
      </c>
      <c r="D154" s="2">
        <f>IFERROR(__xludf.DUMMYFUNCTION("""COMPUTED_VALUE"""),13.0)</f>
        <v>13</v>
      </c>
      <c r="E154" s="2">
        <f>IFERROR(__xludf.DUMMYFUNCTION("""COMPUTED_VALUE"""),4.4)</f>
        <v>4.4</v>
      </c>
      <c r="F154" s="2">
        <f>IFERROR(__xludf.DUMMYFUNCTION("""COMPUTED_VALUE"""),154.0)</f>
        <v>154</v>
      </c>
      <c r="G154" s="3">
        <f>IFERROR(__xludf.DUMMYFUNCTION("""COMPUTED_VALUE"""),65082.0)</f>
        <v>65082</v>
      </c>
      <c r="H154" s="3">
        <f>IFERROR(__xludf.DUMMYFUNCTION("""COMPUTED_VALUE"""),74211.0)</f>
        <v>74211</v>
      </c>
      <c r="I154" s="2" t="str">
        <f>IFERROR(__xludf.DUMMYFUNCTION("""COMPUTED_VALUE"""),"Nepal Solar Farm Private Limited")</f>
        <v>Nepal Solar Farm Private Limited</v>
      </c>
      <c r="J154" s="2" t="str">
        <f>IFERROR(__xludf.DUMMYFUNCTION("""COMPUTED_VALUE"""),"Bafal,Kathmandu-13")</f>
        <v>Bafal,Kathmandu-13</v>
      </c>
      <c r="K154" s="2" t="str">
        <f>IFERROR(__xludf.DUMMYFUNCTION("""COMPUTED_VALUE"""),"Switchyard of Project")</f>
        <v>Switchyard of Project</v>
      </c>
      <c r="L154" s="2" t="str">
        <f>IFERROR(__xludf.DUMMYFUNCTION("""COMPUTED_VALUE"""),"NEA Lekhnath Substation")</f>
        <v>NEA Lekhnath Substation</v>
      </c>
    </row>
    <row r="155">
      <c r="A155" s="2">
        <f>IFERROR(__xludf.DUMMYFUNCTION("""COMPUTED_VALUE"""),154.0)</f>
        <v>154</v>
      </c>
      <c r="B155" s="2" t="str">
        <f>IFERROR(__xludf.DUMMYFUNCTION("""COMPUTED_VALUE"""),"Manihiya Sampattiya Cross Boarder Transmission Line Project")</f>
        <v>Manihiya Sampattiya Cross Boarder Transmission Line Project</v>
      </c>
      <c r="C155" s="2">
        <f>IFERROR(__xludf.DUMMYFUNCTION("""COMPUTED_VALUE"""),132.0)</f>
        <v>132</v>
      </c>
      <c r="D155" s="2">
        <f>IFERROR(__xludf.DUMMYFUNCTION("""COMPUTED_VALUE"""),27.53)</f>
        <v>27.53</v>
      </c>
      <c r="E155" s="2">
        <f>IFERROR(__xludf.DUMMYFUNCTION("""COMPUTED_VALUE"""),200.0)</f>
        <v>200</v>
      </c>
      <c r="F155" s="2">
        <f>IFERROR(__xludf.DUMMYFUNCTION("""COMPUTED_VALUE"""),155.0)</f>
        <v>155</v>
      </c>
      <c r="G155" s="3">
        <f>IFERROR(__xludf.DUMMYFUNCTION("""COMPUTED_VALUE"""),65098.0)</f>
        <v>65098</v>
      </c>
      <c r="H155" s="3">
        <f>IFERROR(__xludf.DUMMYFUNCTION("""COMPUTED_VALUE"""),74227.0)</f>
        <v>74227</v>
      </c>
      <c r="I155" s="2" t="str">
        <f>IFERROR(__xludf.DUMMYFUNCTION("""COMPUTED_VALUE"""),"Nepal Electricity Authority")</f>
        <v>Nepal Electricity Authority</v>
      </c>
      <c r="J155" s="2" t="str">
        <f>IFERROR(__xludf.DUMMYFUNCTION("""COMPUTED_VALUE"""),"Main office,Darbarmarg,Kathmandu")</f>
        <v>Main office,Darbarmarg,Kathmandu</v>
      </c>
      <c r="K155" s="2" t="str">
        <f>IFERROR(__xludf.DUMMYFUNCTION("""COMPUTED_VALUE"""),"132/33/11 kV Manihiya S/S")</f>
        <v>132/33/11 kV Manihiya S/S</v>
      </c>
      <c r="L155" s="2" t="str">
        <f>IFERROR(__xludf.DUMMYFUNCTION("""COMPUTED_VALUE"""),"Along 132/33/ kV Nautanhwa(India) S/S AP")</f>
        <v>Along 132/33/ kV Nautanhwa(India) S/S AP</v>
      </c>
    </row>
    <row r="156">
      <c r="A156" s="2">
        <f>IFERROR(__xludf.DUMMYFUNCTION("""COMPUTED_VALUE"""),155.0)</f>
        <v>155</v>
      </c>
      <c r="B156" s="2" t="str">
        <f>IFERROR(__xludf.DUMMYFUNCTION("""COMPUTED_VALUE"""),"Chandranigahapur Solar PV 33 kV Transmission Line")</f>
        <v>Chandranigahapur Solar PV 33 kV Transmission Line</v>
      </c>
      <c r="C156" s="2">
        <f>IFERROR(__xludf.DUMMYFUNCTION("""COMPUTED_VALUE"""),33.0)</f>
        <v>33</v>
      </c>
      <c r="D156" s="2">
        <f>IFERROR(__xludf.DUMMYFUNCTION("""COMPUTED_VALUE"""),3.0)</f>
        <v>3</v>
      </c>
      <c r="E156" s="2">
        <f>IFERROR(__xludf.DUMMYFUNCTION("""COMPUTED_VALUE"""),4.0)</f>
        <v>4</v>
      </c>
      <c r="F156" s="2">
        <f>IFERROR(__xludf.DUMMYFUNCTION("""COMPUTED_VALUE"""),156.0)</f>
        <v>156</v>
      </c>
      <c r="G156" s="3">
        <f>IFERROR(__xludf.DUMMYFUNCTION("""COMPUTED_VALUE"""),65126.0)</f>
        <v>65126</v>
      </c>
      <c r="H156" s="3">
        <f>IFERROR(__xludf.DUMMYFUNCTION("""COMPUTED_VALUE"""),74255.0)</f>
        <v>74255</v>
      </c>
      <c r="I156" s="2" t="str">
        <f>IFERROR(__xludf.DUMMYFUNCTION("""COMPUTED_VALUE"""),"Api Power Company Limited")</f>
        <v>Api Power Company Limited</v>
      </c>
      <c r="J156" s="2" t="str">
        <f>IFERROR(__xludf.DUMMYFUNCTION("""COMPUTED_VALUE"""),"Kathamndi MPC-11 Thapathali; 01-5111093; info@apihydro.com.np")</f>
        <v>Kathamndi MPC-11 Thapathali; 01-5111093; info@apihydro.com.np</v>
      </c>
      <c r="K156" s="2" t="str">
        <f>IFERROR(__xludf.DUMMYFUNCTION("""COMPUTED_VALUE"""),"Switchyard of Project")</f>
        <v>Switchyard of Project</v>
      </c>
      <c r="L156" s="2" t="str">
        <f>IFERROR(__xludf.DUMMYFUNCTION("""COMPUTED_VALUE"""),"NEA Chandranigahapur S/S")</f>
        <v>NEA Chandranigahapur S/S</v>
      </c>
    </row>
    <row r="157">
      <c r="A157" s="2">
        <f>IFERROR(__xludf.DUMMYFUNCTION("""COMPUTED_VALUE"""),156.0)</f>
        <v>156</v>
      </c>
      <c r="B157" s="2" t="str">
        <f>IFERROR(__xludf.DUMMYFUNCTION("""COMPUTED_VALUE"""),"Upper Chhyangdi Hydropower Project")</f>
        <v>Upper Chhyangdi Hydropower Project</v>
      </c>
      <c r="C157" s="2">
        <f>IFERROR(__xludf.DUMMYFUNCTION("""COMPUTED_VALUE"""),33.0)</f>
        <v>33</v>
      </c>
      <c r="D157" s="2">
        <f>IFERROR(__xludf.DUMMYFUNCTION("""COMPUTED_VALUE"""),2.35)</f>
        <v>2.35</v>
      </c>
      <c r="E157" s="2">
        <f>IFERROR(__xludf.DUMMYFUNCTION("""COMPUTED_VALUE"""),4.0)</f>
        <v>4</v>
      </c>
      <c r="F157" s="2">
        <f>IFERROR(__xludf.DUMMYFUNCTION("""COMPUTED_VALUE"""),157.0)</f>
        <v>157</v>
      </c>
      <c r="G157" s="3">
        <f>IFERROR(__xludf.DUMMYFUNCTION("""COMPUTED_VALUE"""),65139.0)</f>
        <v>65139</v>
      </c>
      <c r="H157" s="3">
        <f>IFERROR(__xludf.DUMMYFUNCTION("""COMPUTED_VALUE"""),74268.0)</f>
        <v>74268</v>
      </c>
      <c r="I157" s="2" t="str">
        <f>IFERROR(__xludf.DUMMYFUNCTION("""COMPUTED_VALUE"""),"Shree Chhyangdi Hydropower Ltd.")</f>
        <v>Shree Chhyangdi Hydropower Ltd.</v>
      </c>
      <c r="J157" s="2" t="str">
        <f>IFERROR(__xludf.DUMMYFUNCTION("""COMPUTED_VALUE"""),"Samta Marga ,Gairidhara-2,Kathmandu")</f>
        <v>Samta Marga ,Gairidhara-2,Kathmandu</v>
      </c>
      <c r="K157" s="2" t="str">
        <f>IFERROR(__xludf.DUMMYFUNCTION("""COMPUTED_VALUE"""),"Switchyard of Upper Chhyangdi HPP(Lamjun")</f>
        <v>Switchyard of Upper Chhyangdi HPP(Lamjun</v>
      </c>
      <c r="L157" s="2" t="str">
        <f>IFERROR(__xludf.DUMMYFUNCTION("""COMPUTED_VALUE"""),"Switchyard of Chhyangdi HPP")</f>
        <v>Switchyard of Chhyangdi HPP</v>
      </c>
    </row>
    <row r="158">
      <c r="A158" s="2">
        <f>IFERROR(__xludf.DUMMYFUNCTION("""COMPUTED_VALUE"""),157.0)</f>
        <v>157</v>
      </c>
      <c r="B158" s="2" t="str">
        <f>IFERROR(__xludf.DUMMYFUNCTION("""COMPUTED_VALUE"""),"New Butwal Bardghat 220 kV Transmission Line Project")</f>
        <v>New Butwal Bardghat 220 kV Transmission Line Project</v>
      </c>
      <c r="C158" s="2">
        <f>IFERROR(__xludf.DUMMYFUNCTION("""COMPUTED_VALUE"""),220.0)</f>
        <v>220</v>
      </c>
      <c r="D158" s="2">
        <f>IFERROR(__xludf.DUMMYFUNCTION("""COMPUTED_VALUE"""),21.0)</f>
        <v>21</v>
      </c>
      <c r="E158" s="2">
        <f>IFERROR(__xludf.DUMMYFUNCTION("""COMPUTED_VALUE"""),500.0)</f>
        <v>500</v>
      </c>
      <c r="F158" s="2">
        <f>IFERROR(__xludf.DUMMYFUNCTION("""COMPUTED_VALUE"""),158.0)</f>
        <v>158</v>
      </c>
      <c r="G158" s="3">
        <f>IFERROR(__xludf.DUMMYFUNCTION("""COMPUTED_VALUE"""),65155.0)</f>
        <v>65155</v>
      </c>
      <c r="H158" s="3">
        <f>IFERROR(__xludf.DUMMYFUNCTION("""COMPUTED_VALUE"""),74284.0)</f>
        <v>74284</v>
      </c>
      <c r="I158" s="2" t="str">
        <f>IFERROR(__xludf.DUMMYFUNCTION("""COMPUTED_VALUE"""),"Nepal Electricity Authority")</f>
        <v>Nepal Electricity Authority</v>
      </c>
      <c r="J158" s="2" t="str">
        <f>IFERROR(__xludf.DUMMYFUNCTION("""COMPUTED_VALUE"""),"Durbar Marg Kathmandu")</f>
        <v>Durbar Marg Kathmandu</v>
      </c>
      <c r="K158" s="2" t="str">
        <f>IFERROR(__xludf.DUMMYFUNCTION("""COMPUTED_VALUE"""),"Bardghat")</f>
        <v>Bardghat</v>
      </c>
      <c r="L158" s="2" t="str">
        <f>IFERROR(__xludf.DUMMYFUNCTION("""COMPUTED_VALUE"""),"New Butwal S/S")</f>
        <v>New Butwal S/S</v>
      </c>
    </row>
    <row r="159">
      <c r="A159" s="2">
        <f>IFERROR(__xludf.DUMMYFUNCTION("""COMPUTED_VALUE"""),158.0)</f>
        <v>158</v>
      </c>
      <c r="B159" s="2" t="str">
        <f>IFERROR(__xludf.DUMMYFUNCTION("""COMPUTED_VALUE"""),"Maya Khola HP Transmission Line Project")</f>
        <v>Maya Khola HP Transmission Line Project</v>
      </c>
      <c r="C159" s="2">
        <f>IFERROR(__xludf.DUMMYFUNCTION("""COMPUTED_VALUE"""),33.0)</f>
        <v>33</v>
      </c>
      <c r="D159" s="2">
        <f>IFERROR(__xludf.DUMMYFUNCTION("""COMPUTED_VALUE"""),3.4)</f>
        <v>3.4</v>
      </c>
      <c r="E159" s="2">
        <f>IFERROR(__xludf.DUMMYFUNCTION("""COMPUTED_VALUE"""),14.9)</f>
        <v>14.9</v>
      </c>
      <c r="F159" s="2">
        <f>IFERROR(__xludf.DUMMYFUNCTION("""COMPUTED_VALUE"""),159.0)</f>
        <v>159</v>
      </c>
      <c r="G159" s="3">
        <f>IFERROR(__xludf.DUMMYFUNCTION("""COMPUTED_VALUE"""),65156.0)</f>
        <v>65156</v>
      </c>
      <c r="H159" s="3">
        <f>IFERROR(__xludf.DUMMYFUNCTION("""COMPUTED_VALUE"""),74285.0)</f>
        <v>74285</v>
      </c>
      <c r="I159" s="2" t="str">
        <f>IFERROR(__xludf.DUMMYFUNCTION("""COMPUTED_VALUE"""),"Maya khola Hydropower Company Pvt.Ltd.")</f>
        <v>Maya khola Hydropower Company Pvt.Ltd.</v>
      </c>
      <c r="J159" s="2" t="str">
        <f>IFERROR(__xludf.DUMMYFUNCTION("""COMPUTED_VALUE"""),"126 Milap Marg, Bishalnagar,Kathmandu-4")</f>
        <v>126 Milap Marg, Bishalnagar,Kathmandu-4</v>
      </c>
      <c r="K159" s="2" t="str">
        <f>IFERROR(__xludf.DUMMYFUNCTION("""COMPUTED_VALUE"""),"Switchyard of Project")</f>
        <v>Switchyard of Project</v>
      </c>
      <c r="L159" s="2" t="str">
        <f>IFERROR(__xludf.DUMMYFUNCTION("""COMPUTED_VALUE"""),"NEA Baneswor Substation")</f>
        <v>NEA Baneswor Substation</v>
      </c>
    </row>
    <row r="160">
      <c r="A160" s="2">
        <f>IFERROR(__xludf.DUMMYFUNCTION("""COMPUTED_VALUE"""),159.0)</f>
        <v>159</v>
      </c>
      <c r="B160" s="2" t="str">
        <f>IFERROR(__xludf.DUMMYFUNCTION("""COMPUTED_VALUE"""),"Nilgiri Khola 1 &amp; Nilgiri Khola 2 Joint Transmission Line Project")</f>
        <v>Nilgiri Khola 1 &amp; Nilgiri Khola 2 Joint Transmission Line Project</v>
      </c>
      <c r="C160" s="2">
        <f>IFERROR(__xludf.DUMMYFUNCTION("""COMPUTED_VALUE"""),220.0)</f>
        <v>220</v>
      </c>
      <c r="D160" s="2">
        <f>IFERROR(__xludf.DUMMYFUNCTION("""COMPUTED_VALUE"""),7.4)</f>
        <v>7.4</v>
      </c>
      <c r="E160" s="2">
        <f>IFERROR(__xludf.DUMMYFUNCTION("""COMPUTED_VALUE"""),109.0)</f>
        <v>109</v>
      </c>
      <c r="F160" s="2">
        <f>IFERROR(__xludf.DUMMYFUNCTION("""COMPUTED_VALUE"""),160.0)</f>
        <v>160</v>
      </c>
      <c r="G160" s="3">
        <f>IFERROR(__xludf.DUMMYFUNCTION("""COMPUTED_VALUE"""),65178.0)</f>
        <v>65178</v>
      </c>
      <c r="H160" s="3">
        <f>IFERROR(__xludf.DUMMYFUNCTION("""COMPUTED_VALUE"""),74307.0)</f>
        <v>74307</v>
      </c>
      <c r="I160" s="2" t="str">
        <f>IFERROR(__xludf.DUMMYFUNCTION("""COMPUTED_VALUE"""),"Nilgiri Khola Hydropower Co. Pvt. Ltd.")</f>
        <v>Nilgiri Khola Hydropower Co. Pvt. Ltd.</v>
      </c>
      <c r="J160" s="2" t="str">
        <f>IFERROR(__xludf.DUMMYFUNCTION("""COMPUTED_VALUE"""),"Kamaladi, 01-4169088")</f>
        <v>Kamaladi, 01-4169088</v>
      </c>
      <c r="K160" s="2" t="str">
        <f>IFERROR(__xludf.DUMMYFUNCTION("""COMPUTED_VALUE"""),"Switchyard of Nilgiri Khola 1")</f>
        <v>Switchyard of Nilgiri Khola 1</v>
      </c>
      <c r="L160" s="2" t="str">
        <f>IFERROR(__xludf.DUMMYFUNCTION("""COMPUTED_VALUE"""),"NEA Dana S/S")</f>
        <v>NEA Dana S/S</v>
      </c>
    </row>
    <row r="161">
      <c r="A161" s="2">
        <f>IFERROR(__xludf.DUMMYFUNCTION("""COMPUTED_VALUE"""),160.0)</f>
        <v>160</v>
      </c>
      <c r="B161" s="2" t="str">
        <f>IFERROR(__xludf.DUMMYFUNCTION("""COMPUTED_VALUE"""),"Hiti S/S - Mewa HEP- Middle Mewa HEP 33 kV Transmission Line Project")</f>
        <v>Hiti S/S - Mewa HEP- Middle Mewa HEP 33 kV Transmission Line Project</v>
      </c>
      <c r="C161" s="2">
        <f>IFERROR(__xludf.DUMMYFUNCTION("""COMPUTED_VALUE"""),33.0)</f>
        <v>33</v>
      </c>
      <c r="D161" s="2">
        <f>IFERROR(__xludf.DUMMYFUNCTION("""COMPUTED_VALUE"""),24.73)</f>
        <v>24.73</v>
      </c>
      <c r="E161" s="2">
        <f>IFERROR(__xludf.DUMMYFUNCTION("""COMPUTED_VALUE"""),6.5)</f>
        <v>6.5</v>
      </c>
      <c r="F161" s="2">
        <f>IFERROR(__xludf.DUMMYFUNCTION("""COMPUTED_VALUE"""),161.0)</f>
        <v>161</v>
      </c>
      <c r="G161" s="3">
        <f>IFERROR(__xludf.DUMMYFUNCTION("""COMPUTED_VALUE"""),65181.0)</f>
        <v>65181</v>
      </c>
      <c r="H161" s="3">
        <f>IFERROR(__xludf.DUMMYFUNCTION("""COMPUTED_VALUE"""),74310.0)</f>
        <v>74310</v>
      </c>
      <c r="I161" s="2" t="str">
        <f>IFERROR(__xludf.DUMMYFUNCTION("""COMPUTED_VALUE"""),"Mewa Developers Ltd.")</f>
        <v>Mewa Developers Ltd.</v>
      </c>
      <c r="J161" s="2" t="str">
        <f>IFERROR(__xludf.DUMMYFUNCTION("""COMPUTED_VALUE"""),"P.O.Box No: 617, Sanepa-2 Lalitpur, 01-5530135,5525228, 
info@urjadeveloper.com")</f>
        <v>P.O.Box No: 617, Sanepa-2 Lalitpur, 01-5530135,5525228, 
info@urjadeveloper.com</v>
      </c>
      <c r="K161" s="2" t="str">
        <f>IFERROR(__xludf.DUMMYFUNCTION("""COMPUTED_VALUE"""),"NEA Hiti S/S")</f>
        <v>NEA Hiti S/S</v>
      </c>
      <c r="L161" s="2" t="str">
        <f>IFERROR(__xludf.DUMMYFUNCTION("""COMPUTED_VALUE"""),"Headworks of Middle Mewa HPP site")</f>
        <v>Headworks of Middle Mewa HPP site</v>
      </c>
    </row>
    <row r="162">
      <c r="A162" s="2">
        <f>IFERROR(__xludf.DUMMYFUNCTION("""COMPUTED_VALUE"""),161.0)</f>
        <v>161</v>
      </c>
      <c r="B162" s="2" t="str">
        <f>IFERROR(__xludf.DUMMYFUNCTION("""COMPUTED_VALUE"""),"Madhya Tamor Transmission Line Project")</f>
        <v>Madhya Tamor Transmission Line Project</v>
      </c>
      <c r="C162" s="2">
        <f>IFERROR(__xludf.DUMMYFUNCTION("""COMPUTED_VALUE"""),220.0)</f>
        <v>220</v>
      </c>
      <c r="D162" s="2">
        <f>IFERROR(__xludf.DUMMYFUNCTION("""COMPUTED_VALUE"""),9.0)</f>
        <v>9</v>
      </c>
      <c r="E162" s="2">
        <f>IFERROR(__xludf.DUMMYFUNCTION("""COMPUTED_VALUE"""),358.0)</f>
        <v>358</v>
      </c>
      <c r="F162" s="2">
        <f>IFERROR(__xludf.DUMMYFUNCTION("""COMPUTED_VALUE"""),162.0)</f>
        <v>162</v>
      </c>
      <c r="G162" s="3">
        <f>IFERROR(__xludf.DUMMYFUNCTION("""COMPUTED_VALUE"""),65184.0)</f>
        <v>65184</v>
      </c>
      <c r="H162" s="3">
        <f>IFERROR(__xludf.DUMMYFUNCTION("""COMPUTED_VALUE"""),74313.0)</f>
        <v>74313</v>
      </c>
      <c r="I162" s="2" t="str">
        <f>IFERROR(__xludf.DUMMYFUNCTION("""COMPUTED_VALUE"""),"Sanima Middle Tamor Hydropower Ltd.")</f>
        <v>Sanima Middle Tamor Hydropower Ltd.</v>
      </c>
      <c r="J162" s="2" t="str">
        <f>IFERROR(__xludf.DUMMYFUNCTION("""COMPUTED_VALUE"""),"4373030, 4372828")</f>
        <v>4373030, 4372828</v>
      </c>
      <c r="K162" s="2" t="str">
        <f>IFERROR(__xludf.DUMMYFUNCTION("""COMPUTED_VALUE"""),"Switchyard of Middle Tamor")</f>
        <v>Switchyard of Middle Tamor</v>
      </c>
      <c r="L162" s="2" t="str">
        <f>IFERROR(__xludf.DUMMYFUNCTION("""COMPUTED_VALUE"""),"NEA Dhungesanghu S/S")</f>
        <v>NEA Dhungesanghu S/S</v>
      </c>
    </row>
    <row r="163">
      <c r="A163" s="2">
        <f>IFERROR(__xludf.DUMMYFUNCTION("""COMPUTED_VALUE"""),162.0)</f>
        <v>162</v>
      </c>
      <c r="B163" s="2" t="str">
        <f>IFERROR(__xludf.DUMMYFUNCTION("""COMPUTED_VALUE"""),"Chepe Khola Small HP Transmission Line Project")</f>
        <v>Chepe Khola Small HP Transmission Line Project</v>
      </c>
      <c r="C163" s="2">
        <f>IFERROR(__xludf.DUMMYFUNCTION("""COMPUTED_VALUE"""),33.0)</f>
        <v>33</v>
      </c>
      <c r="D163" s="2">
        <f>IFERROR(__xludf.DUMMYFUNCTION("""COMPUTED_VALUE"""),20.59)</f>
        <v>20.59</v>
      </c>
      <c r="E163" s="2">
        <f>IFERROR(__xludf.DUMMYFUNCTION("""COMPUTED_VALUE"""),10.63)</f>
        <v>10.63</v>
      </c>
      <c r="F163" s="2">
        <f>IFERROR(__xludf.DUMMYFUNCTION("""COMPUTED_VALUE"""),163.0)</f>
        <v>163</v>
      </c>
      <c r="G163" s="3">
        <f>IFERROR(__xludf.DUMMYFUNCTION("""COMPUTED_VALUE"""),65185.0)</f>
        <v>65185</v>
      </c>
      <c r="H163" s="3">
        <f>IFERROR(__xludf.DUMMYFUNCTION("""COMPUTED_VALUE"""),74314.0)</f>
        <v>74314</v>
      </c>
      <c r="I163" s="2" t="str">
        <f>IFERROR(__xludf.DUMMYFUNCTION("""COMPUTED_VALUE"""),"Aashutosh Energy Pvt.Ltd.")</f>
        <v>Aashutosh Energy Pvt.Ltd.</v>
      </c>
      <c r="J163" s="2" t="str">
        <f>IFERROR(__xludf.DUMMYFUNCTION("""COMPUTED_VALUE"""),"Banasrhali 16 Kathmandu")</f>
        <v>Banasrhali 16 Kathmandu</v>
      </c>
      <c r="K163" s="2" t="str">
        <f>IFERROR(__xludf.DUMMYFUNCTION("""COMPUTED_VALUE"""),"Switchyard of Project")</f>
        <v>Switchyard of Project</v>
      </c>
      <c r="L163" s="2" t="str">
        <f>IFERROR(__xludf.DUMMYFUNCTION("""COMPUTED_VALUE"""),"Kirtipur NEA Substaion")</f>
        <v>Kirtipur NEA Substaion</v>
      </c>
    </row>
    <row r="164">
      <c r="A164" s="2">
        <f>IFERROR(__xludf.DUMMYFUNCTION("""COMPUTED_VALUE"""),163.0)</f>
        <v>163</v>
      </c>
      <c r="B164" s="2" t="str">
        <f>IFERROR(__xludf.DUMMYFUNCTION("""COMPUTED_VALUE"""),"Gorahi-Madichaur Transmission line")</f>
        <v>Gorahi-Madichaur Transmission line</v>
      </c>
      <c r="C164" s="2">
        <f>IFERROR(__xludf.DUMMYFUNCTION("""COMPUTED_VALUE"""),132.0)</f>
        <v>132</v>
      </c>
      <c r="D164" s="2">
        <f>IFERROR(__xludf.DUMMYFUNCTION("""COMPUTED_VALUE"""),36.549)</f>
        <v>36.549</v>
      </c>
      <c r="E164" s="2">
        <f>IFERROR(__xludf.DUMMYFUNCTION("""COMPUTED_VALUE"""),150.0)</f>
        <v>150</v>
      </c>
      <c r="F164" s="2">
        <f>IFERROR(__xludf.DUMMYFUNCTION("""COMPUTED_VALUE"""),164.0)</f>
        <v>164</v>
      </c>
      <c r="G164" s="3">
        <f>IFERROR(__xludf.DUMMYFUNCTION("""COMPUTED_VALUE"""),65211.0)</f>
        <v>65211</v>
      </c>
      <c r="H164" s="3">
        <f>IFERROR(__xludf.DUMMYFUNCTION("""COMPUTED_VALUE"""),74340.0)</f>
        <v>74340</v>
      </c>
      <c r="I164" s="2" t="str">
        <f>IFERROR(__xludf.DUMMYFUNCTION("""COMPUTED_VALUE"""),"Nepal Electricity Authority")</f>
        <v>Nepal Electricity Authority</v>
      </c>
      <c r="J164" s="2" t="str">
        <f>IFERROR(__xludf.DUMMYFUNCTION("""COMPUTED_VALUE"""),"Durbarmarg, Kathmandu PO Box No. 10020, Phone No. 01-4153054")</f>
        <v>Durbarmarg, Kathmandu PO Box No. 10020, Phone No. 01-4153054</v>
      </c>
      <c r="K164" s="2" t="str">
        <f>IFERROR(__xludf.DUMMYFUNCTION("""COMPUTED_VALUE"""),"Madichaur Substation at Subarnawati Rolp")</f>
        <v>Madichaur Substation at Subarnawati Rolp</v>
      </c>
      <c r="L164" s="2" t="str">
        <f>IFERROR(__xludf.DUMMYFUNCTION("""COMPUTED_VALUE"""),"Ghorahi Substation")</f>
        <v>Ghorahi Substation</v>
      </c>
    </row>
    <row r="165">
      <c r="A165" s="2">
        <f>IFERROR(__xludf.DUMMYFUNCTION("""COMPUTED_VALUE"""),164.0)</f>
        <v>164</v>
      </c>
      <c r="B165" s="2" t="str">
        <f>IFERROR(__xludf.DUMMYFUNCTION("""COMPUTED_VALUE"""),"Grid Connected SPV to Duhabi Transmission Line")</f>
        <v>Grid Connected SPV to Duhabi Transmission Line</v>
      </c>
      <c r="C165" s="2">
        <f>IFERROR(__xludf.DUMMYFUNCTION("""COMPUTED_VALUE"""),33.0)</f>
        <v>33</v>
      </c>
      <c r="D165" s="2">
        <f>IFERROR(__xludf.DUMMYFUNCTION("""COMPUTED_VALUE"""),3.0)</f>
        <v>3</v>
      </c>
      <c r="E165" s="2">
        <f>IFERROR(__xludf.DUMMYFUNCTION("""COMPUTED_VALUE"""),6.8)</f>
        <v>6.8</v>
      </c>
      <c r="F165" s="2">
        <f>IFERROR(__xludf.DUMMYFUNCTION("""COMPUTED_VALUE"""),165.0)</f>
        <v>165</v>
      </c>
      <c r="G165" s="3">
        <f>IFERROR(__xludf.DUMMYFUNCTION("""COMPUTED_VALUE"""),65222.0)</f>
        <v>65222</v>
      </c>
      <c r="H165" s="3">
        <f>IFERROR(__xludf.DUMMYFUNCTION("""COMPUTED_VALUE"""),74351.0)</f>
        <v>74351</v>
      </c>
      <c r="I165" s="2" t="str">
        <f>IFERROR(__xludf.DUMMYFUNCTION("""COMPUTED_VALUE"""),"G.I. Solar Private Limited")</f>
        <v>G.I. Solar Private Limited</v>
      </c>
      <c r="J165" s="2" t="str">
        <f>IFERROR(__xludf.DUMMYFUNCTION("""COMPUTED_VALUE"""),"Lalitpur Metropolitan-01, Kupandole; 01-5522769, 9851023732")</f>
        <v>Lalitpur Metropolitan-01, Kupandole; 01-5522769, 9851023732</v>
      </c>
      <c r="K165" s="2" t="str">
        <f>IFERROR(__xludf.DUMMYFUNCTION("""COMPUTED_VALUE"""),"Switchyard of Project")</f>
        <v>Switchyard of Project</v>
      </c>
      <c r="L165" s="2" t="str">
        <f>IFERROR(__xludf.DUMMYFUNCTION("""COMPUTED_VALUE"""),"NEA Multifuel Power Plant S/S")</f>
        <v>NEA Multifuel Power Plant S/S</v>
      </c>
    </row>
    <row r="166">
      <c r="A166" s="2">
        <f>IFERROR(__xludf.DUMMYFUNCTION("""COMPUTED_VALUE"""),165.0)</f>
        <v>165</v>
      </c>
      <c r="B166" s="2" t="str">
        <f>IFERROR(__xludf.DUMMYFUNCTION("""COMPUTED_VALUE"""),"Borang - Naubise (Ratamate) 220/132 kV Transmission Line")</f>
        <v>Borang - Naubise (Ratamate) 220/132 kV Transmission Line</v>
      </c>
      <c r="C166" s="2">
        <f>IFERROR(__xludf.DUMMYFUNCTION("""COMPUTED_VALUE"""),220.0)</f>
        <v>220</v>
      </c>
      <c r="D166" s="2">
        <f>IFERROR(__xludf.DUMMYFUNCTION("""COMPUTED_VALUE"""),47.34)</f>
        <v>47.34</v>
      </c>
      <c r="E166" s="2">
        <f>IFERROR(__xludf.DUMMYFUNCTION("""COMPUTED_VALUE"""),1936.0)</f>
        <v>1936</v>
      </c>
      <c r="F166" s="2">
        <f>IFERROR(__xludf.DUMMYFUNCTION("""COMPUTED_VALUE"""),166.0)</f>
        <v>166</v>
      </c>
      <c r="G166" s="3">
        <f>IFERROR(__xludf.DUMMYFUNCTION("""COMPUTED_VALUE"""),65236.0)</f>
        <v>65236</v>
      </c>
      <c r="H166" s="3">
        <f>IFERROR(__xludf.DUMMYFUNCTION("""COMPUTED_VALUE"""),74365.0)</f>
        <v>74365</v>
      </c>
      <c r="I166" s="2" t="str">
        <f>IFERROR(__xludf.DUMMYFUNCTION("""COMPUTED_VALUE"""),"Nepal Electricity Authority")</f>
        <v>Nepal Electricity Authority</v>
      </c>
      <c r="J166" s="2" t="str">
        <f>IFERROR(__xludf.DUMMYFUNCTION("""COMPUTED_VALUE"""),"Main office,Darbarmarg,Kathmandu")</f>
        <v>Main office,Darbarmarg,Kathmandu</v>
      </c>
      <c r="K166" s="2" t="str">
        <f>IFERROR(__xludf.DUMMYFUNCTION("""COMPUTED_VALUE"""),"NEA Borang S/S")</f>
        <v>NEA Borang S/S</v>
      </c>
      <c r="L166" s="2" t="str">
        <f>IFERROR(__xludf.DUMMYFUNCTION("""COMPUTED_VALUE"""),"NEA Ratamate,Naubise S/S")</f>
        <v>NEA Ratamate,Naubise S/S</v>
      </c>
    </row>
    <row r="167">
      <c r="A167" s="2">
        <f>IFERROR(__xludf.DUMMYFUNCTION("""COMPUTED_VALUE"""),166.0)</f>
        <v>166</v>
      </c>
      <c r="B167" s="2" t="str">
        <f>IFERROR(__xludf.DUMMYFUNCTION("""COMPUTED_VALUE"""),"Sapsup Khola SHP Transmission Line Project")</f>
        <v>Sapsup Khola SHP Transmission Line Project</v>
      </c>
      <c r="C167" s="2">
        <f>IFERROR(__xludf.DUMMYFUNCTION("""COMPUTED_VALUE"""),33.0)</f>
        <v>33</v>
      </c>
      <c r="D167" s="2">
        <f>IFERROR(__xludf.DUMMYFUNCTION("""COMPUTED_VALUE"""),2.5)</f>
        <v>2.5</v>
      </c>
      <c r="E167" s="2">
        <f>IFERROR(__xludf.DUMMYFUNCTION("""COMPUTED_VALUE"""),6.6)</f>
        <v>6.6</v>
      </c>
      <c r="F167" s="2">
        <f>IFERROR(__xludf.DUMMYFUNCTION("""COMPUTED_VALUE"""),167.0)</f>
        <v>167</v>
      </c>
      <c r="G167" s="3">
        <f>IFERROR(__xludf.DUMMYFUNCTION("""COMPUTED_VALUE"""),65249.0)</f>
        <v>65249</v>
      </c>
      <c r="H167" s="3">
        <f>IFERROR(__xludf.DUMMYFUNCTION("""COMPUTED_VALUE"""),74378.0)</f>
        <v>74378</v>
      </c>
      <c r="I167" s="2" t="str">
        <f>IFERROR(__xludf.DUMMYFUNCTION("""COMPUTED_VALUE"""),"Three Star Hydropower Ltd.")</f>
        <v>Three Star Hydropower Ltd.</v>
      </c>
      <c r="J167" s="2" t="str">
        <f>IFERROR(__xludf.DUMMYFUNCTION("""COMPUTED_VALUE"""),"Madhyapur Thimi-3 Bhaktapur; 01-6635080; sapsu2016@gmail.com")</f>
        <v>Madhyapur Thimi-3 Bhaktapur; 01-6635080; sapsu2016@gmail.com</v>
      </c>
      <c r="K167" s="2" t="str">
        <f>IFERROR(__xludf.DUMMYFUNCTION("""COMPUTED_VALUE"""),"Switchyard of Project")</f>
        <v>Switchyard of Project</v>
      </c>
      <c r="L167" s="2" t="str">
        <f>IFERROR(__xludf.DUMMYFUNCTION("""COMPUTED_VALUE"""),"NEA Puranagaun Switching Station")</f>
        <v>NEA Puranagaun Switching Station</v>
      </c>
    </row>
    <row r="168">
      <c r="A168" s="2">
        <f>IFERROR(__xludf.DUMMYFUNCTION("""COMPUTED_VALUE"""),167.0)</f>
        <v>167</v>
      </c>
      <c r="B168" s="2" t="str">
        <f>IFERROR(__xludf.DUMMYFUNCTION("""COMPUTED_VALUE"""),"Upper mailung hydropower transmission line")</f>
        <v>Upper mailung hydropower transmission line</v>
      </c>
      <c r="C168" s="2">
        <f>IFERROR(__xludf.DUMMYFUNCTION("""COMPUTED_VALUE"""),132.0)</f>
        <v>132</v>
      </c>
      <c r="D168" s="2">
        <f>IFERROR(__xludf.DUMMYFUNCTION("""COMPUTED_VALUE"""),11.0)</f>
        <v>11</v>
      </c>
      <c r="E168" s="2">
        <f>IFERROR(__xludf.DUMMYFUNCTION("""COMPUTED_VALUE"""),14.3)</f>
        <v>14.3</v>
      </c>
      <c r="F168" s="2">
        <f>IFERROR(__xludf.DUMMYFUNCTION("""COMPUTED_VALUE"""),168.0)</f>
        <v>168</v>
      </c>
      <c r="G168" s="3">
        <f>IFERROR(__xludf.DUMMYFUNCTION("""COMPUTED_VALUE"""),65276.0)</f>
        <v>65276</v>
      </c>
      <c r="H168" s="3">
        <f>IFERROR(__xludf.DUMMYFUNCTION("""COMPUTED_VALUE"""),74405.0)</f>
        <v>74405</v>
      </c>
      <c r="I168" s="2" t="str">
        <f>IFERROR(__xludf.DUMMYFUNCTION("""COMPUTED_VALUE"""),"Mathillo Mailung Khola Jalbidhyut Company Ltd")</f>
        <v>Mathillo Mailung Khola Jalbidhyut Company Ltd</v>
      </c>
      <c r="J168" s="2" t="str">
        <f>IFERROR(__xludf.DUMMYFUNCTION("""COMPUTED_VALUE"""),"Shankhpark, Dhumbarahi-04, Kathmandu")</f>
        <v>Shankhpark, Dhumbarahi-04, Kathmandu</v>
      </c>
      <c r="K168" s="2" t="str">
        <f>IFERROR(__xludf.DUMMYFUNCTION("""COMPUTED_VALUE"""),"Upper mailung switchyard at Champani (Ra")</f>
        <v>Upper mailung switchyard at Champani (Ra</v>
      </c>
      <c r="L168" s="2" t="str">
        <f>IFERROR(__xludf.DUMMYFUNCTION("""COMPUTED_VALUE"""),"Trishuli 3B hub substation at Manakamana")</f>
        <v>Trishuli 3B hub substation at Manakamana</v>
      </c>
    </row>
    <row r="169">
      <c r="A169" s="2">
        <f>IFERROR(__xludf.DUMMYFUNCTION("""COMPUTED_VALUE"""),168.0)</f>
        <v>168</v>
      </c>
      <c r="B169" s="2" t="str">
        <f>IFERROR(__xludf.DUMMYFUNCTION("""COMPUTED_VALUE"""),"Upper Machaa Khola HEP 33 kV Transmission Line Project")</f>
        <v>Upper Machaa Khola HEP 33 kV Transmission Line Project</v>
      </c>
      <c r="C169" s="2">
        <f>IFERROR(__xludf.DUMMYFUNCTION("""COMPUTED_VALUE"""),33.0)</f>
        <v>33</v>
      </c>
      <c r="D169" s="2">
        <f>IFERROR(__xludf.DUMMYFUNCTION("""COMPUTED_VALUE"""),20.57)</f>
        <v>20.57</v>
      </c>
      <c r="E169" s="2">
        <f>IFERROR(__xludf.DUMMYFUNCTION("""COMPUTED_VALUE"""),4.55)</f>
        <v>4.55</v>
      </c>
      <c r="F169" s="2">
        <f>IFERROR(__xludf.DUMMYFUNCTION("""COMPUTED_VALUE"""),169.0)</f>
        <v>169</v>
      </c>
      <c r="G169" s="3">
        <f>IFERROR(__xludf.DUMMYFUNCTION("""COMPUTED_VALUE"""),65285.0)</f>
        <v>65285</v>
      </c>
      <c r="H169" s="3">
        <f>IFERROR(__xludf.DUMMYFUNCTION("""COMPUTED_VALUE"""),74414.0)</f>
        <v>74414</v>
      </c>
      <c r="I169" s="2" t="str">
        <f>IFERROR(__xludf.DUMMYFUNCTION("""COMPUTED_VALUE"""),"Bikas Hydropower Company Pvt.Ltd.")</f>
        <v>Bikas Hydropower Company Pvt.Ltd.</v>
      </c>
      <c r="J169" s="2" t="str">
        <f>IFERROR(__xludf.DUMMYFUNCTION("""COMPUTED_VALUE"""),"Kathamndu-16 01-4445083/84")</f>
        <v>Kathamndu-16 01-4445083/84</v>
      </c>
      <c r="K169" s="2" t="str">
        <f>IFERROR(__xludf.DUMMYFUNCTION("""COMPUTED_VALUE"""),"Switchyard of Upper Machaa Khola Hydropo")</f>
        <v>Switchyard of Upper Machaa Khola Hydropo</v>
      </c>
      <c r="L169" s="2" t="str">
        <f>IFERROR(__xludf.DUMMYFUNCTION("""COMPUTED_VALUE"""),"NEA Baseri Substation")</f>
        <v>NEA Baseri Substation</v>
      </c>
    </row>
    <row r="170">
      <c r="A170" s="2">
        <f>IFERROR(__xludf.DUMMYFUNCTION("""COMPUTED_VALUE"""),169.0)</f>
        <v>169</v>
      </c>
      <c r="B170" s="2" t="str">
        <f>IFERROR(__xludf.DUMMYFUNCTION("""COMPUTED_VALUE"""),"Kerabari to New Marsyandi 132 kV Transmission Line Project")</f>
        <v>Kerabari to New Marsyandi 132 kV Transmission Line Project</v>
      </c>
      <c r="C170" s="2">
        <f>IFERROR(__xludf.DUMMYFUNCTION("""COMPUTED_VALUE"""),132.0)</f>
        <v>132</v>
      </c>
      <c r="D170" s="2">
        <f>IFERROR(__xludf.DUMMYFUNCTION("""COMPUTED_VALUE"""),32.0)</f>
        <v>32</v>
      </c>
      <c r="E170" s="2">
        <f>IFERROR(__xludf.DUMMYFUNCTION("""COMPUTED_VALUE"""),120.0)</f>
        <v>120</v>
      </c>
      <c r="F170" s="2">
        <f>IFERROR(__xludf.DUMMYFUNCTION("""COMPUTED_VALUE"""),170.0)</f>
        <v>170</v>
      </c>
      <c r="G170" s="3">
        <f>IFERROR(__xludf.DUMMYFUNCTION("""COMPUTED_VALUE"""),65321.0)</f>
        <v>65321</v>
      </c>
      <c r="H170" s="3">
        <f>IFERROR(__xludf.DUMMYFUNCTION("""COMPUTED_VALUE"""),74450.0)</f>
        <v>74450</v>
      </c>
      <c r="I170" s="2" t="str">
        <f>IFERROR(__xludf.DUMMYFUNCTION("""COMPUTED_VALUE"""),"Rastriya Prasaran Grid Company Limited")</f>
        <v>Rastriya Prasaran Grid Company Limited</v>
      </c>
      <c r="J170" s="2" t="str">
        <f>IFERROR(__xludf.DUMMYFUNCTION("""COMPUTED_VALUE"""),"DCC Bhawan, Babarmahal Kathmandu; 01-4222693; rpgcl.np@gmail.com")</f>
        <v>DCC Bhawan, Babarmahal Kathmandu; 01-4222693; rpgcl.np@gmail.com</v>
      </c>
      <c r="K170" s="2" t="str">
        <f>IFERROR(__xludf.DUMMYFUNCTION("""COMPUTED_VALUE"""),"Kerabari S/S Gorkha")</f>
        <v>Kerabari S/S Gorkha</v>
      </c>
      <c r="L170" s="2" t="str">
        <f>IFERROR(__xludf.DUMMYFUNCTION("""COMPUTED_VALUE"""),"New Marsyandi Substation Tanhun")</f>
        <v>New Marsyandi Substation Tanhun</v>
      </c>
    </row>
    <row r="171">
      <c r="A171" s="2">
        <f>IFERROR(__xludf.DUMMYFUNCTION("""COMPUTED_VALUE"""),170.0)</f>
        <v>170</v>
      </c>
      <c r="B171" s="2" t="str">
        <f>IFERROR(__xludf.DUMMYFUNCTION("""COMPUTED_VALUE"""),"Mewa to Change 132 kV Tr.Ln. in Taplejung District")</f>
        <v>Mewa to Change 132 kV Tr.Ln. in Taplejung District</v>
      </c>
      <c r="C171" s="2">
        <f>IFERROR(__xludf.DUMMYFUNCTION("""COMPUTED_VALUE"""),132.0)</f>
        <v>132</v>
      </c>
      <c r="D171" s="2">
        <f>IFERROR(__xludf.DUMMYFUNCTION("""COMPUTED_VALUE"""),20.0)</f>
        <v>20</v>
      </c>
      <c r="E171" s="2">
        <f>IFERROR(__xludf.DUMMYFUNCTION("""COMPUTED_VALUE"""),154.35)</f>
        <v>154.35</v>
      </c>
      <c r="F171" s="2">
        <f>IFERROR(__xludf.DUMMYFUNCTION("""COMPUTED_VALUE"""),171.0)</f>
        <v>171</v>
      </c>
      <c r="G171" s="3">
        <f>IFERROR(__xludf.DUMMYFUNCTION("""COMPUTED_VALUE"""),65321.0)</f>
        <v>65321</v>
      </c>
      <c r="H171" s="3">
        <f>IFERROR(__xludf.DUMMYFUNCTION("""COMPUTED_VALUE"""),74450.0)</f>
        <v>74450</v>
      </c>
      <c r="I171" s="2" t="str">
        <f>IFERROR(__xludf.DUMMYFUNCTION("""COMPUTED_VALUE"""),"Rastriya Prasaran Grid Company Limited")</f>
        <v>Rastriya Prasaran Grid Company Limited</v>
      </c>
      <c r="J171" s="2" t="str">
        <f>IFERROR(__xludf.DUMMYFUNCTION("""COMPUTED_VALUE"""),"Babarmahal, Kahmandu; Tel:01-4266693, P.B.No. 19752; Email info@rpgcl.com")</f>
        <v>Babarmahal, Kahmandu; Tel:01-4266693, P.B.No. 19752; Email info@rpgcl.com</v>
      </c>
      <c r="K171" s="2" t="str">
        <f>IFERROR(__xludf.DUMMYFUNCTION("""COMPUTED_VALUE"""),"Mewa Substation")</f>
        <v>Mewa Substation</v>
      </c>
      <c r="L171" s="2" t="str">
        <f>IFERROR(__xludf.DUMMYFUNCTION("""COMPUTED_VALUE"""),"Change Sub-station")</f>
        <v>Change Sub-station</v>
      </c>
    </row>
    <row r="172">
      <c r="A172" s="2">
        <f>IFERROR(__xludf.DUMMYFUNCTION("""COMPUTED_VALUE"""),171.0)</f>
        <v>171</v>
      </c>
      <c r="B172" s="2" t="str">
        <f>IFERROR(__xludf.DUMMYFUNCTION("""COMPUTED_VALUE"""),"Tranmission Line for Kabeli B-1 Cascade HEP")</f>
        <v>Tranmission Line for Kabeli B-1 Cascade HEP</v>
      </c>
      <c r="C172" s="2">
        <f>IFERROR(__xludf.DUMMYFUNCTION("""COMPUTED_VALUE"""),33.0)</f>
        <v>33</v>
      </c>
      <c r="D172" s="2">
        <f>IFERROR(__xludf.DUMMYFUNCTION("""COMPUTED_VALUE"""),3.0)</f>
        <v>3</v>
      </c>
      <c r="E172" s="2">
        <f>IFERROR(__xludf.DUMMYFUNCTION("""COMPUTED_VALUE"""),9.94)</f>
        <v>9.94</v>
      </c>
      <c r="F172" s="2">
        <f>IFERROR(__xludf.DUMMYFUNCTION("""COMPUTED_VALUE"""),172.0)</f>
        <v>172</v>
      </c>
      <c r="G172" s="3">
        <f>IFERROR(__xludf.DUMMYFUNCTION("""COMPUTED_VALUE"""),65331.0)</f>
        <v>65331</v>
      </c>
      <c r="H172" s="3">
        <f>IFERROR(__xludf.DUMMYFUNCTION("""COMPUTED_VALUE"""),74460.0)</f>
        <v>74460</v>
      </c>
      <c r="I172" s="2" t="str">
        <f>IFERROR(__xludf.DUMMYFUNCTION("""COMPUTED_VALUE"""),"Arun Valley Hydropower Development Company Ltd.")</f>
        <v>Arun Valley Hydropower Development Company Ltd.</v>
      </c>
      <c r="J172" s="2" t="str">
        <f>IFERROR(__xludf.DUMMYFUNCTION("""COMPUTED_VALUE"""),"GPO Box: 11039, Thapathali, KTM; 01-5111086;arunvalley2054@gmail.com")</f>
        <v>GPO Box: 11039, Thapathali, KTM; 01-5111086;arunvalley2054@gmail.com</v>
      </c>
      <c r="K172" s="2" t="str">
        <f>IFERROR(__xludf.DUMMYFUNCTION("""COMPUTED_VALUE"""),"Switchyard of Project")</f>
        <v>Switchyard of Project</v>
      </c>
      <c r="L172" s="2" t="str">
        <f>IFERROR(__xludf.DUMMYFUNCTION("""COMPUTED_VALUE"""),"Kabeli B-1 HEP Pooling S/S")</f>
        <v>Kabeli B-1 HEP Pooling S/S</v>
      </c>
    </row>
    <row r="173">
      <c r="A173" s="2">
        <f>IFERROR(__xludf.DUMMYFUNCTION("""COMPUTED_VALUE"""),172.0)</f>
        <v>172</v>
      </c>
      <c r="B173" s="2" t="str">
        <f>IFERROR(__xludf.DUMMYFUNCTION("""COMPUTED_VALUE"""),"Lower Tadi Khola Transmission Line Project")</f>
        <v>Lower Tadi Khola Transmission Line Project</v>
      </c>
      <c r="C173" s="2">
        <f>IFERROR(__xludf.DUMMYFUNCTION("""COMPUTED_VALUE"""),33.0)</f>
        <v>33</v>
      </c>
      <c r="D173" s="2">
        <f>IFERROR(__xludf.DUMMYFUNCTION("""COMPUTED_VALUE"""),3.0)</f>
        <v>3</v>
      </c>
      <c r="E173" s="2">
        <f>IFERROR(__xludf.DUMMYFUNCTION("""COMPUTED_VALUE"""),4.993)</f>
        <v>4.993</v>
      </c>
      <c r="F173" s="2">
        <f>IFERROR(__xludf.DUMMYFUNCTION("""COMPUTED_VALUE"""),173.0)</f>
        <v>173</v>
      </c>
      <c r="G173" s="3">
        <f>IFERROR(__xludf.DUMMYFUNCTION("""COMPUTED_VALUE"""),65339.0)</f>
        <v>65339</v>
      </c>
      <c r="H173" s="3">
        <f>IFERROR(__xludf.DUMMYFUNCTION("""COMPUTED_VALUE"""),74468.0)</f>
        <v>74468</v>
      </c>
      <c r="I173" s="2" t="str">
        <f>IFERROR(__xludf.DUMMYFUNCTION("""COMPUTED_VALUE"""),"Buddha Bhumi Nepal Hydro Power Co . Ltd.")</f>
        <v>Buddha Bhumi Nepal Hydro Power Co . Ltd.</v>
      </c>
      <c r="J173" s="2" t="str">
        <f>IFERROR(__xludf.DUMMYFUNCTION("""COMPUTED_VALUE"""),"Panipokhari Maharajgunj-03, KTM, 01-4003050; lowertadi@gmail.com")</f>
        <v>Panipokhari Maharajgunj-03, KTM, 01-4003050; lowertadi@gmail.com</v>
      </c>
      <c r="K173" s="2" t="str">
        <f>IFERROR(__xludf.DUMMYFUNCTION("""COMPUTED_VALUE"""),"Switchyard of Project")</f>
        <v>Switchyard of Project</v>
      </c>
      <c r="L173" s="2" t="str">
        <f>IFERROR(__xludf.DUMMYFUNCTION("""COMPUTED_VALUE"""),"NEA Samundratar S/S")</f>
        <v>NEA Samundratar S/S</v>
      </c>
    </row>
    <row r="174">
      <c r="A174" s="2">
        <f>IFERROR(__xludf.DUMMYFUNCTION("""COMPUTED_VALUE"""),173.0)</f>
        <v>173</v>
      </c>
      <c r="B174" s="2" t="str">
        <f>IFERROR(__xludf.DUMMYFUNCTION("""COMPUTED_VALUE"""),"Siddhi Khola 33kV Transmission Line Project")</f>
        <v>Siddhi Khola 33kV Transmission Line Project</v>
      </c>
      <c r="C174" s="2">
        <f>IFERROR(__xludf.DUMMYFUNCTION("""COMPUTED_VALUE"""),33.0)</f>
        <v>33</v>
      </c>
      <c r="D174" s="2">
        <f>IFERROR(__xludf.DUMMYFUNCTION("""COMPUTED_VALUE"""),11.9)</f>
        <v>11.9</v>
      </c>
      <c r="E174" s="2">
        <f>IFERROR(__xludf.DUMMYFUNCTION("""COMPUTED_VALUE"""),10.0)</f>
        <v>10</v>
      </c>
      <c r="F174" s="2">
        <f>IFERROR(__xludf.DUMMYFUNCTION("""COMPUTED_VALUE"""),174.0)</f>
        <v>174</v>
      </c>
      <c r="G174" s="3">
        <f>IFERROR(__xludf.DUMMYFUNCTION("""COMPUTED_VALUE"""),65342.0)</f>
        <v>65342</v>
      </c>
      <c r="H174" s="3">
        <f>IFERROR(__xludf.DUMMYFUNCTION("""COMPUTED_VALUE"""),74471.0)</f>
        <v>74471</v>
      </c>
      <c r="I174" s="2" t="str">
        <f>IFERROR(__xludf.DUMMYFUNCTION("""COMPUTED_VALUE"""),"Siddhi Hydropower company Pvt. Ltd")</f>
        <v>Siddhi Hydropower company Pvt. Ltd</v>
      </c>
      <c r="J174" s="2" t="str">
        <f>IFERROR(__xludf.DUMMYFUNCTION("""COMPUTED_VALUE"""),"Lalitpur, Nepal: 01-5011841")</f>
        <v>Lalitpur, Nepal: 01-5011841</v>
      </c>
      <c r="K174" s="2" t="str">
        <f>IFERROR(__xludf.DUMMYFUNCTION("""COMPUTED_VALUE"""),"Swichyard of project")</f>
        <v>Swichyard of project</v>
      </c>
      <c r="L174" s="2" t="str">
        <f>IFERROR(__xludf.DUMMYFUNCTION("""COMPUTED_VALUE"""),"NEA Fikkal Substation")</f>
        <v>NEA Fikkal Substation</v>
      </c>
    </row>
    <row r="175">
      <c r="A175" s="2">
        <f>IFERROR(__xludf.DUMMYFUNCTION("""COMPUTED_VALUE"""),174.0)</f>
        <v>174</v>
      </c>
      <c r="B175" s="2" t="str">
        <f>IFERROR(__xludf.DUMMYFUNCTION("""COMPUTED_VALUE"""),"Sitalpati to Tumlingtar Sankhuwasava District")</f>
        <v>Sitalpati to Tumlingtar Sankhuwasava District</v>
      </c>
      <c r="C175" s="2">
        <f>IFERROR(__xludf.DUMMYFUNCTION("""COMPUTED_VALUE"""),220.0)</f>
        <v>220</v>
      </c>
      <c r="D175" s="2">
        <f>IFERROR(__xludf.DUMMYFUNCTION("""COMPUTED_VALUE"""),13.615)</f>
        <v>13.615</v>
      </c>
      <c r="E175" s="2">
        <f>IFERROR(__xludf.DUMMYFUNCTION("""COMPUTED_VALUE"""),600.0)</f>
        <v>600</v>
      </c>
      <c r="F175" s="2">
        <f>IFERROR(__xludf.DUMMYFUNCTION("""COMPUTED_VALUE"""),175.0)</f>
        <v>175</v>
      </c>
      <c r="G175" s="3">
        <f>IFERROR(__xludf.DUMMYFUNCTION("""COMPUTED_VALUE"""),65373.0)</f>
        <v>65373</v>
      </c>
      <c r="H175" s="3">
        <f>IFERROR(__xludf.DUMMYFUNCTION("""COMPUTED_VALUE"""),74502.0)</f>
        <v>74502</v>
      </c>
      <c r="I175" s="2" t="str">
        <f>IFERROR(__xludf.DUMMYFUNCTION("""COMPUTED_VALUE"""),"Nepal Electricity Authority")</f>
        <v>Nepal Electricity Authority</v>
      </c>
      <c r="J175" s="2" t="str">
        <f>IFERROR(__xludf.DUMMYFUNCTION("""COMPUTED_VALUE"""),"Main office,Darbarmarg,Kathmandu")</f>
        <v>Main office,Darbarmarg,Kathmandu</v>
      </c>
      <c r="K175" s="2" t="str">
        <f>IFERROR(__xludf.DUMMYFUNCTION("""COMPUTED_VALUE"""),"Sitalpati Substation")</f>
        <v>Sitalpati Substation</v>
      </c>
      <c r="L175" s="2" t="str">
        <f>IFERROR(__xludf.DUMMYFUNCTION("""COMPUTED_VALUE"""),"Tumlingtar Substation")</f>
        <v>Tumlingtar Substation</v>
      </c>
    </row>
    <row r="176">
      <c r="A176" s="2">
        <f>IFERROR(__xludf.DUMMYFUNCTION("""COMPUTED_VALUE"""),175.0)</f>
        <v>175</v>
      </c>
      <c r="B176" s="2" t="str">
        <f>IFERROR(__xludf.DUMMYFUNCTION("""COMPUTED_VALUE"""),"Nupche Khola Hydropower Project")</f>
        <v>Nupche Khola Hydropower Project</v>
      </c>
      <c r="C176" s="2">
        <f>IFERROR(__xludf.DUMMYFUNCTION("""COMPUTED_VALUE"""),132.0)</f>
        <v>132</v>
      </c>
      <c r="D176" s="2">
        <f>IFERROR(__xludf.DUMMYFUNCTION("""COMPUTED_VALUE"""),24.0)</f>
        <v>24</v>
      </c>
      <c r="E176" s="2">
        <f>IFERROR(__xludf.DUMMYFUNCTION("""COMPUTED_VALUE"""),57.5)</f>
        <v>57.5</v>
      </c>
      <c r="F176" s="2">
        <f>IFERROR(__xludf.DUMMYFUNCTION("""COMPUTED_VALUE"""),176.0)</f>
        <v>176</v>
      </c>
      <c r="G176" s="3">
        <f>IFERROR(__xludf.DUMMYFUNCTION("""COMPUTED_VALUE"""),65377.0)</f>
        <v>65377</v>
      </c>
      <c r="H176" s="3">
        <f>IFERROR(__xludf.DUMMYFUNCTION("""COMPUTED_VALUE"""),74506.0)</f>
        <v>74506</v>
      </c>
      <c r="I176" s="2" t="str">
        <f>IFERROR(__xludf.DUMMYFUNCTION("""COMPUTED_VALUE"""),"Vision Energy and power Pvt.Ltd.")</f>
        <v>Vision Energy and power Pvt.Ltd.</v>
      </c>
      <c r="J176" s="2" t="str">
        <f>IFERROR(__xludf.DUMMYFUNCTION("""COMPUTED_VALUE"""),"New Baneshwor ,Kathmandu ,Nepal")</f>
        <v>New Baneshwor ,Kathmandu ,Nepal</v>
      </c>
      <c r="K176" s="2" t="str">
        <f>IFERROR(__xludf.DUMMYFUNCTION("""COMPUTED_VALUE"""),"Switchyard of Nupche Khola HEP")</f>
        <v>Switchyard of Nupche Khola HEP</v>
      </c>
      <c r="L176" s="2" t="str">
        <f>IFERROR(__xludf.DUMMYFUNCTION("""COMPUTED_VALUE"""),"NEA Garjyang Substation")</f>
        <v>NEA Garjyang Substation</v>
      </c>
    </row>
    <row r="177">
      <c r="A177" s="2">
        <f>IFERROR(__xludf.DUMMYFUNCTION("""COMPUTED_VALUE"""),176.0)</f>
        <v>176</v>
      </c>
      <c r="B177" s="2" t="str">
        <f>IFERROR(__xludf.DUMMYFUNCTION("""COMPUTED_VALUE"""),"Upper Gaddi Gad HEP 33 kV Transmission Line Project")</f>
        <v>Upper Gaddi Gad HEP 33 kV Transmission Line Project</v>
      </c>
      <c r="C177" s="2">
        <f>IFERROR(__xludf.DUMMYFUNCTION("""COMPUTED_VALUE"""),33.0)</f>
        <v>33</v>
      </c>
      <c r="D177" s="2">
        <f>IFERROR(__xludf.DUMMYFUNCTION("""COMPUTED_VALUE"""),0.3)</f>
        <v>0.3</v>
      </c>
      <c r="E177" s="2">
        <f>IFERROR(__xludf.DUMMYFUNCTION("""COMPUTED_VALUE"""),1.55)</f>
        <v>1.55</v>
      </c>
      <c r="F177" s="2">
        <f>IFERROR(__xludf.DUMMYFUNCTION("""COMPUTED_VALUE"""),177.0)</f>
        <v>177</v>
      </c>
      <c r="G177" s="3">
        <f>IFERROR(__xludf.DUMMYFUNCTION("""COMPUTED_VALUE"""),65406.0)</f>
        <v>65406</v>
      </c>
      <c r="H177" s="3">
        <f>IFERROR(__xludf.DUMMYFUNCTION("""COMPUTED_VALUE"""),74535.0)</f>
        <v>74535</v>
      </c>
      <c r="I177" s="2" t="str">
        <f>IFERROR(__xludf.DUMMYFUNCTION("""COMPUTED_VALUE"""),"Shaileshwori Power Nepal Pvt. Ltd.")</f>
        <v>Shaileshwori Power Nepal Pvt. Ltd.</v>
      </c>
      <c r="J177" s="2" t="str">
        <f>IFERROR(__xludf.DUMMYFUNCTION("""COMPUTED_VALUE"""),"Sukedhara -04, Kathmandu")</f>
        <v>Sukedhara -04, Kathmandu</v>
      </c>
      <c r="K177" s="2" t="str">
        <f>IFERROR(__xludf.DUMMYFUNCTION("""COMPUTED_VALUE"""),"Switchyard of Project")</f>
        <v>Switchyard of Project</v>
      </c>
      <c r="L177" s="2" t="str">
        <f>IFERROR(__xludf.DUMMYFUNCTION("""COMPUTED_VALUE"""),"Sana Gaoun S/S Doti")</f>
        <v>Sana Gaoun S/S Doti</v>
      </c>
    </row>
    <row r="178">
      <c r="A178" s="2">
        <f>IFERROR(__xludf.DUMMYFUNCTION("""COMPUTED_VALUE"""),177.0)</f>
        <v>177</v>
      </c>
      <c r="B178" s="2" t="str">
        <f>IFERROR(__xludf.DUMMYFUNCTION("""COMPUTED_VALUE"""),"Kaligandaki Ridi 132 kV Transmission Line")</f>
        <v>Kaligandaki Ridi 132 kV Transmission Line</v>
      </c>
      <c r="C178" s="2">
        <f>IFERROR(__xludf.DUMMYFUNCTION("""COMPUTED_VALUE"""),132.0)</f>
        <v>132</v>
      </c>
      <c r="D178" s="2">
        <f>IFERROR(__xludf.DUMMYFUNCTION("""COMPUTED_VALUE"""),22.45)</f>
        <v>22.45</v>
      </c>
      <c r="E178" s="2">
        <f>IFERROR(__xludf.DUMMYFUNCTION("""COMPUTED_VALUE"""),230.0)</f>
        <v>230</v>
      </c>
      <c r="F178" s="2">
        <f>IFERROR(__xludf.DUMMYFUNCTION("""COMPUTED_VALUE"""),178.0)</f>
        <v>178</v>
      </c>
      <c r="G178" s="3">
        <f>IFERROR(__xludf.DUMMYFUNCTION("""COMPUTED_VALUE"""),65406.0)</f>
        <v>65406</v>
      </c>
      <c r="H178" s="3">
        <f>IFERROR(__xludf.DUMMYFUNCTION("""COMPUTED_VALUE"""),74535.0)</f>
        <v>74535</v>
      </c>
      <c r="I178" s="2" t="str">
        <f>IFERROR(__xludf.DUMMYFUNCTION("""COMPUTED_VALUE"""),"Nepal Electricity Authority")</f>
        <v>Nepal Electricity Authority</v>
      </c>
      <c r="J178" s="2" t="str">
        <f>IFERROR(__xludf.DUMMYFUNCTION("""COMPUTED_VALUE"""),"Main office,Darbarmarg,Kathmandu")</f>
        <v>Main office,Darbarmarg,Kathmandu</v>
      </c>
      <c r="K178" s="2" t="str">
        <f>IFERROR(__xludf.DUMMYFUNCTION("""COMPUTED_VALUE"""),"Switchyard of Kaligandaki Substation")</f>
        <v>Switchyard of Kaligandaki Substation</v>
      </c>
      <c r="L178" s="2" t="str">
        <f>IFERROR(__xludf.DUMMYFUNCTION("""COMPUTED_VALUE"""),"NEA Proposed Ridi Substation")</f>
        <v>NEA Proposed Ridi Substation</v>
      </c>
    </row>
    <row r="179">
      <c r="A179" s="2">
        <f>IFERROR(__xludf.DUMMYFUNCTION("""COMPUTED_VALUE"""),178.0)</f>
        <v>178</v>
      </c>
      <c r="B179" s="2" t="str">
        <f>IFERROR(__xludf.DUMMYFUNCTION("""COMPUTED_VALUE"""),"Dhalkebar Balganga Transmission Line Project")</f>
        <v>Dhalkebar Balganga Transmission Line Project</v>
      </c>
      <c r="C179" s="2">
        <f>IFERROR(__xludf.DUMMYFUNCTION("""COMPUTED_VALUE"""),132.0)</f>
        <v>132</v>
      </c>
      <c r="D179" s="2">
        <f>IFERROR(__xludf.DUMMYFUNCTION("""COMPUTED_VALUE"""),23.99)</f>
        <v>23.99</v>
      </c>
      <c r="E179" s="2">
        <f>IFERROR(__xludf.DUMMYFUNCTION("""COMPUTED_VALUE"""),230.0)</f>
        <v>230</v>
      </c>
      <c r="F179" s="2">
        <f>IFERROR(__xludf.DUMMYFUNCTION("""COMPUTED_VALUE"""),179.0)</f>
        <v>179</v>
      </c>
      <c r="G179" s="3">
        <f>IFERROR(__xludf.DUMMYFUNCTION("""COMPUTED_VALUE"""),65409.0)</f>
        <v>65409</v>
      </c>
      <c r="H179" s="3">
        <f>IFERROR(__xludf.DUMMYFUNCTION("""COMPUTED_VALUE"""),74538.0)</f>
        <v>74538</v>
      </c>
      <c r="I179" s="2" t="str">
        <f>IFERROR(__xludf.DUMMYFUNCTION("""COMPUTED_VALUE"""),"Nepal Electricity Authority")</f>
        <v>Nepal Electricity Authority</v>
      </c>
      <c r="J179" s="2" t="str">
        <f>IFERROR(__xludf.DUMMYFUNCTION("""COMPUTED_VALUE"""),"Main office,Darbarmarg,Kathmandu")</f>
        <v>Main office,Darbarmarg,Kathmandu</v>
      </c>
      <c r="K179" s="2" t="str">
        <f>IFERROR(__xludf.DUMMYFUNCTION("""COMPUTED_VALUE"""),"Dhalkebar -Loharpatti Tower No.13")</f>
        <v>Dhalkebar -Loharpatti Tower No.13</v>
      </c>
      <c r="L179" s="2" t="str">
        <f>IFERROR(__xludf.DUMMYFUNCTION("""COMPUTED_VALUE"""),"Proposed NEA Balganga Substation")</f>
        <v>Proposed NEA Balganga Substation</v>
      </c>
    </row>
    <row r="180">
      <c r="A180" s="2">
        <f>IFERROR(__xludf.DUMMYFUNCTION("""COMPUTED_VALUE"""),179.0)</f>
        <v>179</v>
      </c>
      <c r="B180" s="2" t="str">
        <f>IFERROR(__xludf.DUMMYFUNCTION("""COMPUTED_VALUE"""),"Super Madi HPP 132 kV Transmission Line Project")</f>
        <v>Super Madi HPP 132 kV Transmission Line Project</v>
      </c>
      <c r="C180" s="2">
        <f>IFERROR(__xludf.DUMMYFUNCTION("""COMPUTED_VALUE"""),132.0)</f>
        <v>132</v>
      </c>
      <c r="D180" s="2">
        <f>IFERROR(__xludf.DUMMYFUNCTION("""COMPUTED_VALUE"""),19.5)</f>
        <v>19.5</v>
      </c>
      <c r="E180" s="2">
        <f>IFERROR(__xludf.DUMMYFUNCTION("""COMPUTED_VALUE"""),68.0)</f>
        <v>68</v>
      </c>
      <c r="F180" s="2">
        <f>IFERROR(__xludf.DUMMYFUNCTION("""COMPUTED_VALUE"""),180.0)</f>
        <v>180</v>
      </c>
      <c r="G180" s="3">
        <f>IFERROR(__xludf.DUMMYFUNCTION("""COMPUTED_VALUE"""),65446.0)</f>
        <v>65446</v>
      </c>
      <c r="H180" s="3">
        <f>IFERROR(__xludf.DUMMYFUNCTION("""COMPUTED_VALUE"""),74576.0)</f>
        <v>74576</v>
      </c>
      <c r="I180" s="2" t="str">
        <f>IFERROR(__xludf.DUMMYFUNCTION("""COMPUTED_VALUE"""),"Super Madi Hydro Power Limited")</f>
        <v>Super Madi Hydro Power Limited</v>
      </c>
      <c r="J180" s="2" t="str">
        <f>IFERROR(__xludf.DUMMYFUNCTION("""COMPUTED_VALUE"""),"Dillibazar,Kathmandu")</f>
        <v>Dillibazar,Kathmandu</v>
      </c>
      <c r="K180" s="2" t="str">
        <f>IFERROR(__xludf.DUMMYFUNCTION("""COMPUTED_VALUE"""),"Switchyard of Super Madi HPP")</f>
        <v>Switchyard of Super Madi HPP</v>
      </c>
      <c r="L180" s="2" t="str">
        <f>IFERROR(__xludf.DUMMYFUNCTION("""COMPUTED_VALUE"""),"NEA Lekhnath Substation")</f>
        <v>NEA Lekhnath Substation</v>
      </c>
    </row>
    <row r="181">
      <c r="A181" s="2">
        <f>IFERROR(__xludf.DUMMYFUNCTION("""COMPUTED_VALUE"""),180.0)</f>
        <v>180</v>
      </c>
      <c r="B181" s="2" t="str">
        <f>IFERROR(__xludf.DUMMYFUNCTION("""COMPUTED_VALUE"""),"Ghar Khola HEP 33kV Transmission Line Project")</f>
        <v>Ghar Khola HEP 33kV Transmission Line Project</v>
      </c>
      <c r="C181" s="2">
        <f>IFERROR(__xludf.DUMMYFUNCTION("""COMPUTED_VALUE"""),33.0)</f>
        <v>33</v>
      </c>
      <c r="D181" s="2">
        <f>IFERROR(__xludf.DUMMYFUNCTION("""COMPUTED_VALUE"""),7.0)</f>
        <v>7</v>
      </c>
      <c r="E181" s="2">
        <f>IFERROR(__xludf.DUMMYFUNCTION("""COMPUTED_VALUE"""),14.0)</f>
        <v>14</v>
      </c>
      <c r="F181" s="2">
        <f>IFERROR(__xludf.DUMMYFUNCTION("""COMPUTED_VALUE"""),181.0)</f>
        <v>181</v>
      </c>
      <c r="G181" s="3">
        <f>IFERROR(__xludf.DUMMYFUNCTION("""COMPUTED_VALUE"""),65451.0)</f>
        <v>65451</v>
      </c>
      <c r="H181" s="3">
        <f>IFERROR(__xludf.DUMMYFUNCTION("""COMPUTED_VALUE"""),74581.0)</f>
        <v>74581</v>
      </c>
      <c r="I181" s="2" t="str">
        <f>IFERROR(__xludf.DUMMYFUNCTION("""COMPUTED_VALUE"""),"Shree Myagdi Hydropower Limited")</f>
        <v>Shree Myagdi Hydropower Limited</v>
      </c>
      <c r="J181" s="2" t="str">
        <f>IFERROR(__xludf.DUMMYFUNCTION("""COMPUTED_VALUE"""),"Baluwatar-3,Kathmandu")</f>
        <v>Baluwatar-3,Kathmandu</v>
      </c>
      <c r="K181" s="2" t="str">
        <f>IFERROR(__xludf.DUMMYFUNCTION("""COMPUTED_VALUE"""),"Switchyard of Ghar khola HPP")</f>
        <v>Switchyard of Ghar khola HPP</v>
      </c>
      <c r="L181" s="2" t="str">
        <f>IFERROR(__xludf.DUMMYFUNCTION("""COMPUTED_VALUE"""),"NEA Dana Substation")</f>
        <v>NEA Dana Substation</v>
      </c>
    </row>
    <row r="182">
      <c r="A182" s="2">
        <f>IFERROR(__xludf.DUMMYFUNCTION("""COMPUTED_VALUE"""),181.0)</f>
        <v>181</v>
      </c>
      <c r="B182" s="2" t="str">
        <f>IFERROR(__xludf.DUMMYFUNCTION("""COMPUTED_VALUE"""),"Bhumahi Hakoi 132kV Transmission Line Project")</f>
        <v>Bhumahi Hakoi 132kV Transmission Line Project</v>
      </c>
      <c r="C182" s="2">
        <f>IFERROR(__xludf.DUMMYFUNCTION("""COMPUTED_VALUE"""),132.0)</f>
        <v>132</v>
      </c>
      <c r="D182" s="2">
        <f>IFERROR(__xludf.DUMMYFUNCTION("""COMPUTED_VALUE"""),14.36)</f>
        <v>14.36</v>
      </c>
      <c r="E182" s="2">
        <f>IFERROR(__xludf.DUMMYFUNCTION("""COMPUTED_VALUE"""),200.0)</f>
        <v>200</v>
      </c>
      <c r="F182" s="2">
        <f>IFERROR(__xludf.DUMMYFUNCTION("""COMPUTED_VALUE"""),182.0)</f>
        <v>182</v>
      </c>
      <c r="G182" s="3">
        <f>IFERROR(__xludf.DUMMYFUNCTION("""COMPUTED_VALUE"""),65452.0)</f>
        <v>65452</v>
      </c>
      <c r="H182" s="3">
        <f>IFERROR(__xludf.DUMMYFUNCTION("""COMPUTED_VALUE"""),74582.0)</f>
        <v>74582</v>
      </c>
      <c r="I182" s="2" t="str">
        <f>IFERROR(__xludf.DUMMYFUNCTION("""COMPUTED_VALUE"""),"Nepal Electricity Authority")</f>
        <v>Nepal Electricity Authority</v>
      </c>
      <c r="J182" s="2" t="str">
        <f>IFERROR(__xludf.DUMMYFUNCTION("""COMPUTED_VALUE"""),"Main office,Darbarmarg,Kathmandu")</f>
        <v>Main office,Darbarmarg,Kathmandu</v>
      </c>
      <c r="K182" s="2" t="str">
        <f>IFERROR(__xludf.DUMMYFUNCTION("""COMPUTED_VALUE"""),"Sunwal Substaion")</f>
        <v>Sunwal Substaion</v>
      </c>
      <c r="L182" s="2" t="str">
        <f>IFERROR(__xludf.DUMMYFUNCTION("""COMPUTED_VALUE"""),"Proposed Hakoi Subsation")</f>
        <v>Proposed Hakoi Subsation</v>
      </c>
    </row>
    <row r="183">
      <c r="A183" s="2">
        <f>IFERROR(__xludf.DUMMYFUNCTION("""COMPUTED_VALUE"""),182.0)</f>
        <v>182</v>
      </c>
      <c r="B183" s="2" t="str">
        <f>IFERROR(__xludf.DUMMYFUNCTION("""COMPUTED_VALUE"""),"Ratodhunga Upper Myagdi 1 Construction Power Transmission Line Project")</f>
        <v>Ratodhunga Upper Myagdi 1 Construction Power Transmission Line Project</v>
      </c>
      <c r="C183" s="2">
        <f>IFERROR(__xludf.DUMMYFUNCTION("""COMPUTED_VALUE"""),33.0)</f>
        <v>33</v>
      </c>
      <c r="D183" s="2">
        <f>IFERROR(__xludf.DUMMYFUNCTION("""COMPUTED_VALUE"""),18.5)</f>
        <v>18.5</v>
      </c>
      <c r="E183" s="2">
        <f>IFERROR(__xludf.DUMMYFUNCTION("""COMPUTED_VALUE"""),4.0)</f>
        <v>4</v>
      </c>
      <c r="F183" s="2">
        <f>IFERROR(__xludf.DUMMYFUNCTION("""COMPUTED_VALUE"""),183.0)</f>
        <v>183</v>
      </c>
      <c r="G183" s="3">
        <f>IFERROR(__xludf.DUMMYFUNCTION("""COMPUTED_VALUE"""),65452.0)</f>
        <v>65452</v>
      </c>
      <c r="H183" s="3">
        <f>IFERROR(__xludf.DUMMYFUNCTION("""COMPUTED_VALUE"""),74582.0)</f>
        <v>74582</v>
      </c>
      <c r="I183" s="2" t="str">
        <f>IFERROR(__xludf.DUMMYFUNCTION("""COMPUTED_VALUE"""),"Upper Myagdi Hydropower Pvt. Ltd.")</f>
        <v>Upper Myagdi Hydropower Pvt. Ltd.</v>
      </c>
      <c r="J183" s="2" t="str">
        <f>IFERROR(__xludf.DUMMYFUNCTION("""COMPUTED_VALUE"""),"Kamaladi-28, Kathmandu; 01-5530135, info@urjadeveloper.com")</f>
        <v>Kamaladi-28, Kathmandu; 01-5530135, info@urjadeveloper.com</v>
      </c>
      <c r="K183" s="2" t="str">
        <f>IFERROR(__xludf.DUMMYFUNCTION("""COMPUTED_VALUE"""),"NEA Ratodhunga S/S")</f>
        <v>NEA Ratodhunga S/S</v>
      </c>
      <c r="L183" s="2" t="str">
        <f>IFERROR(__xludf.DUMMYFUNCTION("""COMPUTED_VALUE"""),"Headwork's of Upper Myagdi 1 HEP")</f>
        <v>Headwork's of Upper Myagdi 1 HEP</v>
      </c>
    </row>
    <row r="184">
      <c r="A184" s="2">
        <f>IFERROR(__xludf.DUMMYFUNCTION("""COMPUTED_VALUE"""),183.0)</f>
        <v>183</v>
      </c>
      <c r="B184" s="2" t="str">
        <f>IFERROR(__xludf.DUMMYFUNCTION("""COMPUTED_VALUE"""),"Transmission Line for Upper Chameliya HEP")</f>
        <v>Transmission Line for Upper Chameliya HEP</v>
      </c>
      <c r="C184" s="2">
        <f>IFERROR(__xludf.DUMMYFUNCTION("""COMPUTED_VALUE"""),132.0)</f>
        <v>132</v>
      </c>
      <c r="D184" s="2">
        <f>IFERROR(__xludf.DUMMYFUNCTION("""COMPUTED_VALUE"""),16.0)</f>
        <v>16</v>
      </c>
      <c r="E184" s="2">
        <f>IFERROR(__xludf.DUMMYFUNCTION("""COMPUTED_VALUE"""),40.0)</f>
        <v>40</v>
      </c>
      <c r="F184" s="2">
        <f>IFERROR(__xludf.DUMMYFUNCTION("""COMPUTED_VALUE"""),184.0)</f>
        <v>184</v>
      </c>
      <c r="G184" s="3">
        <f>IFERROR(__xludf.DUMMYFUNCTION("""COMPUTED_VALUE"""),65479.0)</f>
        <v>65479</v>
      </c>
      <c r="H184" s="3">
        <f>IFERROR(__xludf.DUMMYFUNCTION("""COMPUTED_VALUE"""),74609.0)</f>
        <v>74609</v>
      </c>
      <c r="I184" s="2" t="str">
        <f>IFERROR(__xludf.DUMMYFUNCTION("""COMPUTED_VALUE"""),"Api Power Company Limited")</f>
        <v>Api Power Company Limited</v>
      </c>
      <c r="J184" s="2" t="str">
        <f>IFERROR(__xludf.DUMMYFUNCTION("""COMPUTED_VALUE"""),"Trade Tower Nepal Thapathali, Kathmandu-11; 01-5111093")</f>
        <v>Trade Tower Nepal Thapathali, Kathmandu-11; 01-5111093</v>
      </c>
      <c r="K184" s="2" t="str">
        <f>IFERROR(__xludf.DUMMYFUNCTION("""COMPUTED_VALUE"""),"Switchyard of Project")</f>
        <v>Switchyard of Project</v>
      </c>
      <c r="L184" s="2" t="str">
        <f>IFERROR(__xludf.DUMMYFUNCTION("""COMPUTED_VALUE"""),"NEA Balach S/S")</f>
        <v>NEA Balach S/S</v>
      </c>
    </row>
    <row r="185">
      <c r="A185" s="2">
        <f>IFERROR(__xludf.DUMMYFUNCTION("""COMPUTED_VALUE"""),184.0)</f>
        <v>184</v>
      </c>
      <c r="B185" s="2" t="str">
        <f>IFERROR(__xludf.DUMMYFUNCTION("""COMPUTED_VALUE"""),"Grid Connected Pratappur SPV Joint Transmission Line Project")</f>
        <v>Grid Connected Pratappur SPV Joint Transmission Line Project</v>
      </c>
      <c r="C185" s="2">
        <f>IFERROR(__xludf.DUMMYFUNCTION("""COMPUTED_VALUE"""),33.0)</f>
        <v>33</v>
      </c>
      <c r="D185" s="2">
        <f>IFERROR(__xludf.DUMMYFUNCTION("""COMPUTED_VALUE"""),3.768)</f>
        <v>3.768</v>
      </c>
      <c r="E185" s="2">
        <f>IFERROR(__xludf.DUMMYFUNCTION("""COMPUTED_VALUE"""),15.0)</f>
        <v>15</v>
      </c>
      <c r="F185" s="2">
        <f>IFERROR(__xludf.DUMMYFUNCTION("""COMPUTED_VALUE"""),185.0)</f>
        <v>185</v>
      </c>
      <c r="G185" s="3">
        <f>IFERROR(__xludf.DUMMYFUNCTION("""COMPUTED_VALUE"""),65480.0)</f>
        <v>65480</v>
      </c>
      <c r="H185" s="3">
        <f>IFERROR(__xludf.DUMMYFUNCTION("""COMPUTED_VALUE"""),74610.0)</f>
        <v>74610</v>
      </c>
      <c r="I185" s="2" t="str">
        <f>IFERROR(__xludf.DUMMYFUNCTION("""COMPUTED_VALUE"""),"National Solar Power Company Pvt. Ltd.")</f>
        <v>National Solar Power Company Pvt. Ltd.</v>
      </c>
      <c r="J185" s="2" t="str">
        <f>IFERROR(__xludf.DUMMYFUNCTION("""COMPUTED_VALUE"""),"Jawalakhel -13 Lalitpur; 01-5275070")</f>
        <v>Jawalakhel -13 Lalitpur; 01-5275070</v>
      </c>
      <c r="K185" s="2" t="str">
        <f>IFERROR(__xludf.DUMMYFUNCTION("""COMPUTED_VALUE"""),"Switchyard of Project")</f>
        <v>Switchyard of Project</v>
      </c>
      <c r="L185" s="2" t="str">
        <f>IFERROR(__xludf.DUMMYFUNCTION("""COMPUTED_VALUE"""),"NEA Gandak S/S")</f>
        <v>NEA Gandak S/S</v>
      </c>
    </row>
    <row r="186">
      <c r="A186" s="2">
        <f>IFERROR(__xludf.DUMMYFUNCTION("""COMPUTED_VALUE"""),185.0)</f>
        <v>185</v>
      </c>
      <c r="B186" s="2" t="str">
        <f>IFERROR(__xludf.DUMMYFUNCTION("""COMPUTED_VALUE"""),"Transmission Line for Puwa 2 HEP")</f>
        <v>Transmission Line for Puwa 2 HEP</v>
      </c>
      <c r="C186" s="2">
        <f>IFERROR(__xludf.DUMMYFUNCTION("""COMPUTED_VALUE"""),33.0)</f>
        <v>33</v>
      </c>
      <c r="D186" s="2">
        <f>IFERROR(__xludf.DUMMYFUNCTION("""COMPUTED_VALUE"""),5.0)</f>
        <v>5</v>
      </c>
      <c r="E186" s="2">
        <f>IFERROR(__xludf.DUMMYFUNCTION("""COMPUTED_VALUE"""),4.96)</f>
        <v>4.96</v>
      </c>
      <c r="F186" s="2">
        <f>IFERROR(__xludf.DUMMYFUNCTION("""COMPUTED_VALUE"""),186.0)</f>
        <v>186</v>
      </c>
      <c r="G186" s="3">
        <f>IFERROR(__xludf.DUMMYFUNCTION("""COMPUTED_VALUE"""),65482.0)</f>
        <v>65482</v>
      </c>
      <c r="H186" s="3">
        <f>IFERROR(__xludf.DUMMYFUNCTION("""COMPUTED_VALUE"""),74612.0)</f>
        <v>74612</v>
      </c>
      <c r="I186" s="2" t="str">
        <f>IFERROR(__xludf.DUMMYFUNCTION("""COMPUTED_VALUE"""),"People's Power Limited")</f>
        <v>People's Power Limited</v>
      </c>
      <c r="J186" s="2" t="str">
        <f>IFERROR(__xludf.DUMMYFUNCTION("""COMPUTED_VALUE"""),"Kamal Pokhari Kathmandu; 01-4437611")</f>
        <v>Kamal Pokhari Kathmandu; 01-4437611</v>
      </c>
      <c r="K186" s="2" t="str">
        <f>IFERROR(__xludf.DUMMYFUNCTION("""COMPUTED_VALUE"""),"Switchyard of Project")</f>
        <v>Switchyard of Project</v>
      </c>
      <c r="L186" s="2" t="str">
        <f>IFERROR(__xludf.DUMMYFUNCTION("""COMPUTED_VALUE"""),"Switchyard of Upper Puwa 1 HEP")</f>
        <v>Switchyard of Upper Puwa 1 HEP</v>
      </c>
    </row>
    <row r="187">
      <c r="A187" s="2">
        <f>IFERROR(__xludf.DUMMYFUNCTION("""COMPUTED_VALUE"""),186.0)</f>
        <v>186</v>
      </c>
      <c r="B187" s="2" t="str">
        <f>IFERROR(__xludf.DUMMYFUNCTION("""COMPUTED_VALUE"""),"Upper Midim Hydropower Transmission Line Project")</f>
        <v>Upper Midim Hydropower Transmission Line Project</v>
      </c>
      <c r="C187" s="2">
        <f>IFERROR(__xludf.DUMMYFUNCTION("""COMPUTED_VALUE"""),33.0)</f>
        <v>33</v>
      </c>
      <c r="D187" s="2">
        <f>IFERROR(__xludf.DUMMYFUNCTION("""COMPUTED_VALUE"""),26.13)</f>
        <v>26.13</v>
      </c>
      <c r="E187" s="2">
        <f>IFERROR(__xludf.DUMMYFUNCTION("""COMPUTED_VALUE"""),7.5)</f>
        <v>7.5</v>
      </c>
      <c r="F187" s="2">
        <f>IFERROR(__xludf.DUMMYFUNCTION("""COMPUTED_VALUE"""),187.0)</f>
        <v>187</v>
      </c>
      <c r="G187" s="3">
        <f>IFERROR(__xludf.DUMMYFUNCTION("""COMPUTED_VALUE"""),65500.0)</f>
        <v>65500</v>
      </c>
      <c r="H187" s="3">
        <f>IFERROR(__xludf.DUMMYFUNCTION("""COMPUTED_VALUE"""),74630.0)</f>
        <v>74630</v>
      </c>
      <c r="I187" s="2" t="str">
        <f>IFERROR(__xludf.DUMMYFUNCTION("""COMPUTED_VALUE"""),"Bhujung Hydropower Pvt.Ltd.")</f>
        <v>Bhujung Hydropower Pvt.Ltd.</v>
      </c>
      <c r="J187" s="2" t="str">
        <f>IFERROR(__xludf.DUMMYFUNCTION("""COMPUTED_VALUE"""),"Devkota Sadak-40781,Mid Baneshwor,Kathmandu-34")</f>
        <v>Devkota Sadak-40781,Mid Baneshwor,Kathmandu-34</v>
      </c>
      <c r="K187" s="2" t="str">
        <f>IFERROR(__xludf.DUMMYFUNCTION("""COMPUTED_VALUE"""),"Swithchyard of Project (Lamjung)")</f>
        <v>Swithchyard of Project (Lamjung)</v>
      </c>
      <c r="L187" s="2" t="str">
        <f>IFERROR(__xludf.DUMMYFUNCTION("""COMPUTED_VALUE"""),"NEA Bhorletar Subsation")</f>
        <v>NEA Bhorletar Subsation</v>
      </c>
    </row>
    <row r="188">
      <c r="A188" s="2">
        <f>IFERROR(__xludf.DUMMYFUNCTION("""COMPUTED_VALUE"""),187.0)</f>
        <v>187</v>
      </c>
      <c r="B188" s="2" t="str">
        <f>IFERROR(__xludf.DUMMYFUNCTION("""COMPUTED_VALUE"""),"Mid Solu Khola HPP 132 kV Transmission Line Project")</f>
        <v>Mid Solu Khola HPP 132 kV Transmission Line Project</v>
      </c>
      <c r="C188" s="2">
        <f>IFERROR(__xludf.DUMMYFUNCTION("""COMPUTED_VALUE"""),132.0)</f>
        <v>132</v>
      </c>
      <c r="D188" s="2">
        <f>IFERROR(__xludf.DUMMYFUNCTION("""COMPUTED_VALUE"""),0.55)</f>
        <v>0.55</v>
      </c>
      <c r="E188" s="2">
        <f>IFERROR(__xludf.DUMMYFUNCTION("""COMPUTED_VALUE"""),9.5)</f>
        <v>9.5</v>
      </c>
      <c r="F188" s="2">
        <f>IFERROR(__xludf.DUMMYFUNCTION("""COMPUTED_VALUE"""),188.0)</f>
        <v>188</v>
      </c>
      <c r="G188" s="3">
        <f>IFERROR(__xludf.DUMMYFUNCTION("""COMPUTED_VALUE"""),65508.0)</f>
        <v>65508</v>
      </c>
      <c r="H188" s="3">
        <f>IFERROR(__xludf.DUMMYFUNCTION("""COMPUTED_VALUE"""),74638.0)</f>
        <v>74638</v>
      </c>
      <c r="I188" s="2" t="str">
        <f>IFERROR(__xludf.DUMMYFUNCTION("""COMPUTED_VALUE"""),"Mid Solu Hydropower Company Pvt. Ltd.")</f>
        <v>Mid Solu Hydropower Company Pvt. Ltd.</v>
      </c>
      <c r="J188" s="2" t="str">
        <f>IFERROR(__xludf.DUMMYFUNCTION("""COMPUTED_VALUE"""),"Kathmandu-31 Balbhadra Marg, 9851105341; midsole.hydropower@gmail.com")</f>
        <v>Kathmandu-31 Balbhadra Marg, 9851105341; midsole.hydropower@gmail.com</v>
      </c>
      <c r="K188" s="2" t="str">
        <f>IFERROR(__xludf.DUMMYFUNCTION("""COMPUTED_VALUE"""),"Switchyard of Project")</f>
        <v>Switchyard of Project</v>
      </c>
      <c r="L188" s="2" t="str">
        <f>IFERROR(__xludf.DUMMYFUNCTION("""COMPUTED_VALUE"""),"LILO at AP 20 of USK TL")</f>
        <v>LILO at AP 20 of USK TL</v>
      </c>
    </row>
    <row r="189">
      <c r="A189" s="2">
        <f>IFERROR(__xludf.DUMMYFUNCTION("""COMPUTED_VALUE"""),188.0)</f>
        <v>188</v>
      </c>
      <c r="B189" s="2" t="str">
        <f>IFERROR(__xludf.DUMMYFUNCTION("""COMPUTED_VALUE"""),"Upper Fhawa Khola HPP 33 kV Transmission Line")</f>
        <v>Upper Fhawa Khola HPP 33 kV Transmission Line</v>
      </c>
      <c r="C189" s="2">
        <f>IFERROR(__xludf.DUMMYFUNCTION("""COMPUTED_VALUE"""),33.0)</f>
        <v>33</v>
      </c>
      <c r="D189" s="2">
        <f>IFERROR(__xludf.DUMMYFUNCTION("""COMPUTED_VALUE"""),7.2)</f>
        <v>7.2</v>
      </c>
      <c r="E189" s="2">
        <f>IFERROR(__xludf.DUMMYFUNCTION("""COMPUTED_VALUE"""),5.8)</f>
        <v>5.8</v>
      </c>
      <c r="F189" s="2">
        <f>IFERROR(__xludf.DUMMYFUNCTION("""COMPUTED_VALUE"""),189.0)</f>
        <v>189</v>
      </c>
      <c r="G189" s="3">
        <f>IFERROR(__xludf.DUMMYFUNCTION("""COMPUTED_VALUE"""),65516.0)</f>
        <v>65516</v>
      </c>
      <c r="H189" s="3">
        <f>IFERROR(__xludf.DUMMYFUNCTION("""COMPUTED_VALUE"""),74646.0)</f>
        <v>74646</v>
      </c>
      <c r="I189" s="2" t="str">
        <f>IFERROR(__xludf.DUMMYFUNCTION("""COMPUTED_VALUE"""),"Unitech Hydropower Company Pvt. Ltd.")</f>
        <v>Unitech Hydropower Company Pvt. Ltd.</v>
      </c>
      <c r="J189" s="2" t="str">
        <f>IFERROR(__xludf.DUMMYFUNCTION("""COMPUTED_VALUE"""),"Mid Baneshwor, Kthmandu-31; 01-4106123, unitechhydropower@gmail.com")</f>
        <v>Mid Baneshwor, Kthmandu-31; 01-4106123, unitechhydropower@gmail.com</v>
      </c>
      <c r="K189" s="2" t="str">
        <f>IFERROR(__xludf.DUMMYFUNCTION("""COMPUTED_VALUE"""),"Switchyard of Project")</f>
        <v>Switchyard of Project</v>
      </c>
      <c r="L189" s="2" t="str">
        <f>IFERROR(__xludf.DUMMYFUNCTION("""COMPUTED_VALUE"""),"NEA Kabeli S/S Amarpur")</f>
        <v>NEA Kabeli S/S Amarpur</v>
      </c>
    </row>
    <row r="190">
      <c r="A190" s="2">
        <f>IFERROR(__xludf.DUMMYFUNCTION("""COMPUTED_VALUE"""),189.0)</f>
        <v>189</v>
      </c>
      <c r="B190" s="2" t="str">
        <f>IFERROR(__xludf.DUMMYFUNCTION("""COMPUTED_VALUE"""),"Madhya Mewa Dhunge Sangu 132 kV Transmission Line Project")</f>
        <v>Madhya Mewa Dhunge Sangu 132 kV Transmission Line Project</v>
      </c>
      <c r="C190" s="2">
        <f>IFERROR(__xludf.DUMMYFUNCTION("""COMPUTED_VALUE"""),132.0)</f>
        <v>132</v>
      </c>
      <c r="D190" s="2">
        <f>IFERROR(__xludf.DUMMYFUNCTION("""COMPUTED_VALUE"""),10.7)</f>
        <v>10.7</v>
      </c>
      <c r="E190" s="2">
        <f>IFERROR(__xludf.DUMMYFUNCTION("""COMPUTED_VALUE"""),73.5)</f>
        <v>73.5</v>
      </c>
      <c r="F190" s="2">
        <f>IFERROR(__xludf.DUMMYFUNCTION("""COMPUTED_VALUE"""),190.0)</f>
        <v>190</v>
      </c>
      <c r="G190" s="3">
        <f>IFERROR(__xludf.DUMMYFUNCTION("""COMPUTED_VALUE"""),65526.0)</f>
        <v>65526</v>
      </c>
      <c r="H190" s="3">
        <f>IFERROR(__xludf.DUMMYFUNCTION("""COMPUTED_VALUE"""),74656.0)</f>
        <v>74656</v>
      </c>
      <c r="I190" s="2" t="str">
        <f>IFERROR(__xludf.DUMMYFUNCTION("""COMPUTED_VALUE"""),"Shree Mewa Developers Pvt. Ltd.")</f>
        <v>Shree Mewa Developers Pvt. Ltd.</v>
      </c>
      <c r="J190" s="2" t="str">
        <f>IFERROR(__xludf.DUMMYFUNCTION("""COMPUTED_VALUE"""),"Tripureshwor,Kathmandu")</f>
        <v>Tripureshwor,Kathmandu</v>
      </c>
      <c r="K190" s="2" t="str">
        <f>IFERROR(__xludf.DUMMYFUNCTION("""COMPUTED_VALUE"""),"Switchyard of Madhya Mewa Hydro Power Pr")</f>
        <v>Switchyard of Madhya Mewa Hydro Power Pr</v>
      </c>
      <c r="L190" s="2" t="str">
        <f>IFERROR(__xludf.DUMMYFUNCTION("""COMPUTED_VALUE"""),"Dhunge Sangu NEA Substation")</f>
        <v>Dhunge Sangu NEA Substation</v>
      </c>
    </row>
    <row r="191">
      <c r="A191" s="2">
        <f>IFERROR(__xludf.DUMMYFUNCTION("""COMPUTED_VALUE"""),190.0)</f>
        <v>190</v>
      </c>
      <c r="B191" s="2" t="str">
        <f>IFERROR(__xludf.DUMMYFUNCTION("""COMPUTED_VALUE"""),"Phukot- Betan 400 kV Transmission Line Project")</f>
        <v>Phukot- Betan 400 kV Transmission Line Project</v>
      </c>
      <c r="C191" s="2">
        <f>IFERROR(__xludf.DUMMYFUNCTION("""COMPUTED_VALUE"""),400.0)</f>
        <v>400</v>
      </c>
      <c r="D191" s="2">
        <f>IFERROR(__xludf.DUMMYFUNCTION("""COMPUTED_VALUE"""),54.0)</f>
        <v>54</v>
      </c>
      <c r="E191" s="2">
        <f>IFERROR(__xludf.DUMMYFUNCTION("""COMPUTED_VALUE"""),2500.0)</f>
        <v>2500</v>
      </c>
      <c r="F191" s="2">
        <f>IFERROR(__xludf.DUMMYFUNCTION("""COMPUTED_VALUE"""),191.0)</f>
        <v>191</v>
      </c>
      <c r="G191" s="3">
        <f>IFERROR(__xludf.DUMMYFUNCTION("""COMPUTED_VALUE"""),65531.0)</f>
        <v>65531</v>
      </c>
      <c r="H191" s="3">
        <f>IFERROR(__xludf.DUMMYFUNCTION("""COMPUTED_VALUE"""),74661.0)</f>
        <v>74661</v>
      </c>
      <c r="I191" s="2" t="str">
        <f>IFERROR(__xludf.DUMMYFUNCTION("""COMPUTED_VALUE"""),"Rastriye Prasaran Grid Company Limited")</f>
        <v>Rastriye Prasaran Grid Company Limited</v>
      </c>
      <c r="J191" s="2" t="str">
        <f>IFERROR(__xludf.DUMMYFUNCTION("""COMPUTED_VALUE"""),"Babarmahal, Kathmandu; 01-4266693; rpgcl.np@gmail.com")</f>
        <v>Babarmahal, Kathmandu; 01-4266693; rpgcl.np@gmail.com</v>
      </c>
      <c r="K191" s="2" t="str">
        <f>IFERROR(__xludf.DUMMYFUNCTION("""COMPUTED_VALUE"""),"Proposed Phukot S/S")</f>
        <v>Proposed Phukot S/S</v>
      </c>
      <c r="L191" s="2" t="str">
        <f>IFERROR(__xludf.DUMMYFUNCTION("""COMPUTED_VALUE"""),"Proposed Betan S/S")</f>
        <v>Proposed Betan S/S</v>
      </c>
    </row>
    <row r="192">
      <c r="A192" s="2">
        <f>IFERROR(__xludf.DUMMYFUNCTION("""COMPUTED_VALUE"""),191.0)</f>
        <v>191</v>
      </c>
      <c r="B192" s="2" t="str">
        <f>IFERROR(__xludf.DUMMYFUNCTION("""COMPUTED_VALUE"""),"Betan - Dododhara 400 kV Transmission Line Project")</f>
        <v>Betan - Dododhara 400 kV Transmission Line Project</v>
      </c>
      <c r="C192" s="2">
        <f>IFERROR(__xludf.DUMMYFUNCTION("""COMPUTED_VALUE"""),400.0)</f>
        <v>400</v>
      </c>
      <c r="D192" s="2">
        <f>IFERROR(__xludf.DUMMYFUNCTION("""COMPUTED_VALUE"""),37.0)</f>
        <v>37</v>
      </c>
      <c r="E192" s="2">
        <f>IFERROR(__xludf.DUMMYFUNCTION("""COMPUTED_VALUE"""),2647.0)</f>
        <v>2647</v>
      </c>
      <c r="F192" s="2">
        <f>IFERROR(__xludf.DUMMYFUNCTION("""COMPUTED_VALUE"""),192.0)</f>
        <v>192</v>
      </c>
      <c r="G192" s="3">
        <f>IFERROR(__xludf.DUMMYFUNCTION("""COMPUTED_VALUE"""),65531.0)</f>
        <v>65531</v>
      </c>
      <c r="H192" s="3">
        <f>IFERROR(__xludf.DUMMYFUNCTION("""COMPUTED_VALUE"""),74661.0)</f>
        <v>74661</v>
      </c>
      <c r="I192" s="2" t="str">
        <f>IFERROR(__xludf.DUMMYFUNCTION("""COMPUTED_VALUE"""),"Rastriya Prasaran Grid Company Limited")</f>
        <v>Rastriya Prasaran Grid Company Limited</v>
      </c>
      <c r="J192" s="2" t="str">
        <f>IFERROR(__xludf.DUMMYFUNCTION("""COMPUTED_VALUE"""),"B.P.C Complex,Budhnagar,Kahmandu")</f>
        <v>B.P.C Complex,Budhnagar,Kahmandu</v>
      </c>
      <c r="K192" s="2" t="str">
        <f>IFERROR(__xludf.DUMMYFUNCTION("""COMPUTED_VALUE"""),"Proposed Betan S/S")</f>
        <v>Proposed Betan S/S</v>
      </c>
      <c r="L192" s="2" t="str">
        <f>IFERROR(__xludf.DUMMYFUNCTION("""COMPUTED_VALUE"""),"Proposed Dododhara S/S")</f>
        <v>Proposed Dododhara S/S</v>
      </c>
    </row>
    <row r="193">
      <c r="A193" s="2">
        <f>IFERROR(__xludf.DUMMYFUNCTION("""COMPUTED_VALUE"""),192.0)</f>
        <v>192</v>
      </c>
      <c r="B193" s="2" t="str">
        <f>IFERROR(__xludf.DUMMYFUNCTION("""COMPUTED_VALUE"""),"Dododhara - Karmadev (Indo-Nepal boarder) 400 kV Transmission line")</f>
        <v>Dododhara - Karmadev (Indo-Nepal boarder) 400 kV Transmission line</v>
      </c>
      <c r="C193" s="2">
        <f>IFERROR(__xludf.DUMMYFUNCTION("""COMPUTED_VALUE"""),400.0)</f>
        <v>400</v>
      </c>
      <c r="D193" s="2">
        <f>IFERROR(__xludf.DUMMYFUNCTION("""COMPUTED_VALUE"""),30.0)</f>
        <v>30</v>
      </c>
      <c r="E193" s="2">
        <f>IFERROR(__xludf.DUMMYFUNCTION("""COMPUTED_VALUE"""),2500.0)</f>
        <v>2500</v>
      </c>
      <c r="F193" s="2">
        <f>IFERROR(__xludf.DUMMYFUNCTION("""COMPUTED_VALUE"""),193.0)</f>
        <v>193</v>
      </c>
      <c r="G193" s="3">
        <f>IFERROR(__xludf.DUMMYFUNCTION("""COMPUTED_VALUE"""),65531.0)</f>
        <v>65531</v>
      </c>
      <c r="H193" s="3">
        <f>IFERROR(__xludf.DUMMYFUNCTION("""COMPUTED_VALUE"""),74661.0)</f>
        <v>74661</v>
      </c>
      <c r="I193" s="2" t="str">
        <f>IFERROR(__xludf.DUMMYFUNCTION("""COMPUTED_VALUE"""),"Rastriya Prasaran Grid Company Limited")</f>
        <v>Rastriya Prasaran Grid Company Limited</v>
      </c>
      <c r="J193" s="2" t="str">
        <f>IFERROR(__xludf.DUMMYFUNCTION("""COMPUTED_VALUE"""),"Buddhanagar, Kathmandu")</f>
        <v>Buddhanagar, Kathmandu</v>
      </c>
      <c r="K193" s="2" t="str">
        <f>IFERROR(__xludf.DUMMYFUNCTION("""COMPUTED_VALUE"""),"Proposed Dododhara S/S")</f>
        <v>Proposed Dododhara S/S</v>
      </c>
      <c r="L193" s="2" t="str">
        <f>IFERROR(__xludf.DUMMYFUNCTION("""COMPUTED_VALUE"""),"Karmadev Nepal-India boarder")</f>
        <v>Karmadev Nepal-India boarder</v>
      </c>
    </row>
    <row r="194">
      <c r="A194" s="2">
        <f>IFERROR(__xludf.DUMMYFUNCTION("""COMPUTED_VALUE"""),193.0)</f>
        <v>193</v>
      </c>
      <c r="B194" s="2" t="str">
        <f>IFERROR(__xludf.DUMMYFUNCTION("""COMPUTED_VALUE"""),"Amarpur-Dhungesangu 132 kV Transmission Line Project")</f>
        <v>Amarpur-Dhungesangu 132 kV Transmission Line Project</v>
      </c>
      <c r="C194" s="2">
        <f>IFERROR(__xludf.DUMMYFUNCTION("""COMPUTED_VALUE"""),132.0)</f>
        <v>132</v>
      </c>
      <c r="D194" s="2">
        <f>IFERROR(__xludf.DUMMYFUNCTION("""COMPUTED_VALUE"""),19.13)</f>
        <v>19.13</v>
      </c>
      <c r="E194" s="2">
        <f>IFERROR(__xludf.DUMMYFUNCTION("""COMPUTED_VALUE"""),200.0)</f>
        <v>200</v>
      </c>
      <c r="F194" s="2">
        <f>IFERROR(__xludf.DUMMYFUNCTION("""COMPUTED_VALUE"""),194.0)</f>
        <v>194</v>
      </c>
      <c r="G194" s="3">
        <f>IFERROR(__xludf.DUMMYFUNCTION("""COMPUTED_VALUE"""),65535.0)</f>
        <v>65535</v>
      </c>
      <c r="H194" s="3">
        <f>IFERROR(__xludf.DUMMYFUNCTION("""COMPUTED_VALUE"""),74665.0)</f>
        <v>74665</v>
      </c>
      <c r="I194" s="2" t="str">
        <f>IFERROR(__xludf.DUMMYFUNCTION("""COMPUTED_VALUE"""),"Nepal Electricity Authority")</f>
        <v>Nepal Electricity Authority</v>
      </c>
      <c r="J194" s="2" t="str">
        <f>IFERROR(__xludf.DUMMYFUNCTION("""COMPUTED_VALUE"""),"Main office,Darbarmarg,Kathmandu")</f>
        <v>Main office,Darbarmarg,Kathmandu</v>
      </c>
      <c r="K194" s="2" t="str">
        <f>IFERROR(__xludf.DUMMYFUNCTION("""COMPUTED_VALUE"""),"Amarpur Substation")</f>
        <v>Amarpur Substation</v>
      </c>
      <c r="L194" s="2" t="str">
        <f>IFERROR(__xludf.DUMMYFUNCTION("""COMPUTED_VALUE"""),"Dhungesangu Substation")</f>
        <v>Dhungesangu Substation</v>
      </c>
    </row>
    <row r="195">
      <c r="A195" s="2">
        <f>IFERROR(__xludf.DUMMYFUNCTION("""COMPUTED_VALUE"""),194.0)</f>
        <v>194</v>
      </c>
      <c r="B195" s="2" t="str">
        <f>IFERROR(__xludf.DUMMYFUNCTION("""COMPUTED_VALUE"""),"Godak Soyak Transmission Line Project")</f>
        <v>Godak Soyak Transmission Line Project</v>
      </c>
      <c r="C195" s="2">
        <f>IFERROR(__xludf.DUMMYFUNCTION("""COMPUTED_VALUE"""),132.0)</f>
        <v>132</v>
      </c>
      <c r="D195" s="2">
        <f>IFERROR(__xludf.DUMMYFUNCTION("""COMPUTED_VALUE"""),6.56)</f>
        <v>6.56</v>
      </c>
      <c r="E195" s="2">
        <f>IFERROR(__xludf.DUMMYFUNCTION("""COMPUTED_VALUE"""),200.0)</f>
        <v>200</v>
      </c>
      <c r="F195" s="2">
        <f>IFERROR(__xludf.DUMMYFUNCTION("""COMPUTED_VALUE"""),195.0)</f>
        <v>195</v>
      </c>
      <c r="G195" s="3">
        <f>IFERROR(__xludf.DUMMYFUNCTION("""COMPUTED_VALUE"""),65535.0)</f>
        <v>65535</v>
      </c>
      <c r="H195" s="3">
        <f>IFERROR(__xludf.DUMMYFUNCTION("""COMPUTED_VALUE"""),74665.0)</f>
        <v>74665</v>
      </c>
      <c r="I195" s="2" t="str">
        <f>IFERROR(__xludf.DUMMYFUNCTION("""COMPUTED_VALUE"""),"Nepal Electricity Authority")</f>
        <v>Nepal Electricity Authority</v>
      </c>
      <c r="J195" s="2" t="str">
        <f>IFERROR(__xludf.DUMMYFUNCTION("""COMPUTED_VALUE"""),"Durbarmanrga Kathmandu,")</f>
        <v>Durbarmanrga Kathmandu,</v>
      </c>
      <c r="K195" s="2" t="str">
        <f>IFERROR(__xludf.DUMMYFUNCTION("""COMPUTED_VALUE"""),"NEA Godak S/S")</f>
        <v>NEA Godak S/S</v>
      </c>
      <c r="L195" s="2" t="str">
        <f>IFERROR(__xludf.DUMMYFUNCTION("""COMPUTED_VALUE"""),"Kabeli Corridor at Soyak")</f>
        <v>Kabeli Corridor at Soyak</v>
      </c>
    </row>
    <row r="196">
      <c r="A196" s="2">
        <f>IFERROR(__xludf.DUMMYFUNCTION("""COMPUTED_VALUE"""),195.0)</f>
        <v>195</v>
      </c>
      <c r="B196" s="2" t="str">
        <f>IFERROR(__xludf.DUMMYFUNCTION("""COMPUTED_VALUE"""),"Surkhet Dailekh 132kV Transmission Line Project")</f>
        <v>Surkhet Dailekh 132kV Transmission Line Project</v>
      </c>
      <c r="C196" s="2">
        <f>IFERROR(__xludf.DUMMYFUNCTION("""COMPUTED_VALUE"""),132.0)</f>
        <v>132</v>
      </c>
      <c r="D196" s="2">
        <f>IFERROR(__xludf.DUMMYFUNCTION("""COMPUTED_VALUE"""),32.05)</f>
        <v>32.05</v>
      </c>
      <c r="E196" s="2">
        <f>IFERROR(__xludf.DUMMYFUNCTION("""COMPUTED_VALUE"""),200.0)</f>
        <v>200</v>
      </c>
      <c r="F196" s="2">
        <f>IFERROR(__xludf.DUMMYFUNCTION("""COMPUTED_VALUE"""),196.0)</f>
        <v>196</v>
      </c>
      <c r="G196" s="3">
        <f>IFERROR(__xludf.DUMMYFUNCTION("""COMPUTED_VALUE"""),65579.0)</f>
        <v>65579</v>
      </c>
      <c r="H196" s="3">
        <f>IFERROR(__xludf.DUMMYFUNCTION("""COMPUTED_VALUE"""),74709.0)</f>
        <v>74709</v>
      </c>
      <c r="I196" s="2" t="str">
        <f>IFERROR(__xludf.DUMMYFUNCTION("""COMPUTED_VALUE"""),"Nepal Electricity Authority")</f>
        <v>Nepal Electricity Authority</v>
      </c>
      <c r="J196" s="2" t="str">
        <f>IFERROR(__xludf.DUMMYFUNCTION("""COMPUTED_VALUE"""),"Main office,Darbarmarg,Kathmandu")</f>
        <v>Main office,Darbarmarg,Kathmandu</v>
      </c>
      <c r="K196" s="2" t="str">
        <f>IFERROR(__xludf.DUMMYFUNCTION("""COMPUTED_VALUE"""),"Surkhet NEA Substation (Surkhet)")</f>
        <v>Surkhet NEA Substation (Surkhet)</v>
      </c>
      <c r="L196" s="2" t="str">
        <f>IFERROR(__xludf.DUMMYFUNCTION("""COMPUTED_VALUE"""),"Dailekh NEA Substation (Dailekh)")</f>
        <v>Dailekh NEA Substation (Dailekh)</v>
      </c>
    </row>
    <row r="197">
      <c r="A197" s="2">
        <f>IFERROR(__xludf.DUMMYFUNCTION("""COMPUTED_VALUE"""),196.0)</f>
        <v>196</v>
      </c>
      <c r="B197" s="2" t="str">
        <f>IFERROR(__xludf.DUMMYFUNCTION("""COMPUTED_VALUE"""),"Lalbandi Salempur 132kV Transmission Line")</f>
        <v>Lalbandi Salempur 132kV Transmission Line</v>
      </c>
      <c r="C197" s="2">
        <f>IFERROR(__xludf.DUMMYFUNCTION("""COMPUTED_VALUE"""),132.0)</f>
        <v>132</v>
      </c>
      <c r="D197" s="2">
        <f>IFERROR(__xludf.DUMMYFUNCTION("""COMPUTED_VALUE"""),19.85)</f>
        <v>19.85</v>
      </c>
      <c r="E197" s="2">
        <f>IFERROR(__xludf.DUMMYFUNCTION("""COMPUTED_VALUE"""),200.0)</f>
        <v>200</v>
      </c>
      <c r="F197" s="2">
        <f>IFERROR(__xludf.DUMMYFUNCTION("""COMPUTED_VALUE"""),197.0)</f>
        <v>197</v>
      </c>
      <c r="G197" s="3">
        <f>IFERROR(__xludf.DUMMYFUNCTION("""COMPUTED_VALUE"""),65579.0)</f>
        <v>65579</v>
      </c>
      <c r="H197" s="3">
        <f>IFERROR(__xludf.DUMMYFUNCTION("""COMPUTED_VALUE"""),74709.0)</f>
        <v>74709</v>
      </c>
      <c r="I197" s="2" t="str">
        <f>IFERROR(__xludf.DUMMYFUNCTION("""COMPUTED_VALUE"""),"Nepal Electricity Authority")</f>
        <v>Nepal Electricity Authority</v>
      </c>
      <c r="J197" s="2" t="str">
        <f>IFERROR(__xludf.DUMMYFUNCTION("""COMPUTED_VALUE"""),"Main office,Darbarmarg,Kathmandu")</f>
        <v>Main office,Darbarmarg,Kathmandu</v>
      </c>
      <c r="K197" s="2" t="str">
        <f>IFERROR(__xludf.DUMMYFUNCTION("""COMPUTED_VALUE"""),"NEA Nawalpur Substation")</f>
        <v>NEA Nawalpur Substation</v>
      </c>
      <c r="L197" s="2" t="str">
        <f>IFERROR(__xludf.DUMMYFUNCTION("""COMPUTED_VALUE"""),"Proposed Salempur Substation")</f>
        <v>Proposed Salempur Substation</v>
      </c>
    </row>
    <row r="198">
      <c r="A198" s="2">
        <f>IFERROR(__xludf.DUMMYFUNCTION("""COMPUTED_VALUE"""),197.0)</f>
        <v>197</v>
      </c>
      <c r="B198" s="2" t="str">
        <f>IFERROR(__xludf.DUMMYFUNCTION("""COMPUTED_VALUE"""),"Seti Nadi HEP 132 kV Transmission Line Project")</f>
        <v>Seti Nadi HEP 132 kV Transmission Line Project</v>
      </c>
      <c r="C198" s="2">
        <f>IFERROR(__xludf.DUMMYFUNCTION("""COMPUTED_VALUE"""),132.0)</f>
        <v>132</v>
      </c>
      <c r="D198" s="2">
        <f>IFERROR(__xludf.DUMMYFUNCTION("""COMPUTED_VALUE"""),3.687)</f>
        <v>3.687</v>
      </c>
      <c r="E198" s="2">
        <f>IFERROR(__xludf.DUMMYFUNCTION("""COMPUTED_VALUE"""),84.595)</f>
        <v>84.595</v>
      </c>
      <c r="F198" s="2">
        <f>IFERROR(__xludf.DUMMYFUNCTION("""COMPUTED_VALUE"""),198.0)</f>
        <v>198</v>
      </c>
      <c r="G198" s="3">
        <f>IFERROR(__xludf.DUMMYFUNCTION("""COMPUTED_VALUE"""),65582.0)</f>
        <v>65582</v>
      </c>
      <c r="H198" s="3">
        <f>IFERROR(__xludf.DUMMYFUNCTION("""COMPUTED_VALUE"""),74712.0)</f>
        <v>74712</v>
      </c>
      <c r="I198" s="2" t="str">
        <f>IFERROR(__xludf.DUMMYFUNCTION("""COMPUTED_VALUE"""),"Vision Lumbini Urja Company Ltd")</f>
        <v>Vision Lumbini Urja Company Ltd</v>
      </c>
      <c r="J198" s="2" t="str">
        <f>IFERROR(__xludf.DUMMYFUNCTION("""COMPUTED_VALUE"""),"Butwal-06, Gurudwapath. Buddhnagar 10, KTM, 01-5902560, 071-544316")</f>
        <v>Butwal-06, Gurudwapath. Buddhnagar 10, KTM, 01-5902560, 071-544316</v>
      </c>
      <c r="K198" s="2" t="str">
        <f>IFERROR(__xludf.DUMMYFUNCTION("""COMPUTED_VALUE"""),"Switchyard of Seti Nadi roject")</f>
        <v>Switchyard of Seti Nadi roject</v>
      </c>
      <c r="L198" s="2" t="str">
        <f>IFERROR(__xludf.DUMMYFUNCTION("""COMPUTED_VALUE"""),"NEA Lahacowk S/S")</f>
        <v>NEA Lahacowk S/S</v>
      </c>
    </row>
    <row r="199">
      <c r="A199" s="2">
        <f>IFERROR(__xludf.DUMMYFUNCTION("""COMPUTED_VALUE"""),198.0)</f>
        <v>198</v>
      </c>
      <c r="B199" s="2" t="str">
        <f>IFERROR(__xludf.DUMMYFUNCTION("""COMPUTED_VALUE"""),"Trishuli 3B to Kalikasthan Transmission Line Project")</f>
        <v>Trishuli 3B to Kalikasthan Transmission Line Project</v>
      </c>
      <c r="C199" s="2">
        <f>IFERROR(__xludf.DUMMYFUNCTION("""COMPUTED_VALUE"""),33.0)</f>
        <v>33</v>
      </c>
      <c r="D199" s="2">
        <f>IFERROR(__xludf.DUMMYFUNCTION("""COMPUTED_VALUE"""),5.0)</f>
        <v>5</v>
      </c>
      <c r="E199" s="2">
        <f>IFERROR(__xludf.DUMMYFUNCTION("""COMPUTED_VALUE"""),8.0)</f>
        <v>8</v>
      </c>
      <c r="F199" s="2">
        <f>IFERROR(__xludf.DUMMYFUNCTION("""COMPUTED_VALUE"""),199.0)</f>
        <v>199</v>
      </c>
      <c r="G199" s="3">
        <f>IFERROR(__xludf.DUMMYFUNCTION("""COMPUTED_VALUE"""),65590.0)</f>
        <v>65590</v>
      </c>
      <c r="H199" s="3">
        <f>IFERROR(__xludf.DUMMYFUNCTION("""COMPUTED_VALUE"""),74720.0)</f>
        <v>74720</v>
      </c>
      <c r="I199" s="2" t="str">
        <f>IFERROR(__xludf.DUMMYFUNCTION("""COMPUTED_VALUE"""),"Nepal Electricity Authority")</f>
        <v>Nepal Electricity Authority</v>
      </c>
      <c r="J199" s="2" t="str">
        <f>IFERROR(__xludf.DUMMYFUNCTION("""COMPUTED_VALUE"""),"Durbar Marg, Kathmandu 01-4153007")</f>
        <v>Durbar Marg, Kathmandu 01-4153007</v>
      </c>
      <c r="K199" s="2" t="str">
        <f>IFERROR(__xludf.DUMMYFUNCTION("""COMPUTED_VALUE"""),"Proposed Trishuli 3B S/S")</f>
        <v>Proposed Trishuli 3B S/S</v>
      </c>
      <c r="L199" s="2" t="str">
        <f>IFERROR(__xludf.DUMMYFUNCTION("""COMPUTED_VALUE"""),"Proposed Kalikasthan S/S")</f>
        <v>Proposed Kalikasthan S/S</v>
      </c>
    </row>
    <row r="200">
      <c r="A200" s="2">
        <f>IFERROR(__xludf.DUMMYFUNCTION("""COMPUTED_VALUE"""),199.0)</f>
        <v>199</v>
      </c>
      <c r="B200" s="2" t="str">
        <f>IFERROR(__xludf.DUMMYFUNCTION("""COMPUTED_VALUE"""),"Jhapa Solar PV Transmission Line Project")</f>
        <v>Jhapa Solar PV Transmission Line Project</v>
      </c>
      <c r="C200" s="2">
        <f>IFERROR(__xludf.DUMMYFUNCTION("""COMPUTED_VALUE"""),33.0)</f>
        <v>33</v>
      </c>
      <c r="D200" s="2">
        <f>IFERROR(__xludf.DUMMYFUNCTION("""COMPUTED_VALUE"""),0.7)</f>
        <v>0.7</v>
      </c>
      <c r="E200" s="2">
        <f>IFERROR(__xludf.DUMMYFUNCTION("""COMPUTED_VALUE"""),10.0)</f>
        <v>10</v>
      </c>
      <c r="F200" s="2">
        <f>IFERROR(__xludf.DUMMYFUNCTION("""COMPUTED_VALUE"""),200.0)</f>
        <v>200</v>
      </c>
      <c r="G200" s="3">
        <f>IFERROR(__xludf.DUMMYFUNCTION("""COMPUTED_VALUE"""),65600.0)</f>
        <v>65600</v>
      </c>
      <c r="H200" s="3">
        <f>IFERROR(__xludf.DUMMYFUNCTION("""COMPUTED_VALUE"""),74730.0)</f>
        <v>74730</v>
      </c>
      <c r="I200" s="2" t="str">
        <f>IFERROR(__xludf.DUMMYFUNCTION("""COMPUTED_VALUE"""),"Jhapa Energy Limited")</f>
        <v>Jhapa Energy Limited</v>
      </c>
      <c r="J200" s="2" t="str">
        <f>IFERROR(__xludf.DUMMYFUNCTION("""COMPUTED_VALUE"""),"Birtamod-4, Jhapa")</f>
        <v>Birtamod-4, Jhapa</v>
      </c>
      <c r="K200" s="2" t="str">
        <f>IFERROR(__xludf.DUMMYFUNCTION("""COMPUTED_VALUE"""),"Switchyard of Project")</f>
        <v>Switchyard of Project</v>
      </c>
      <c r="L200" s="2" t="str">
        <f>IFERROR(__xludf.DUMMYFUNCTION("""COMPUTED_VALUE"""),"NEA Buluchowk S/S")</f>
        <v>NEA Buluchowk S/S</v>
      </c>
    </row>
    <row r="201">
      <c r="A201" s="2">
        <f>IFERROR(__xludf.DUMMYFUNCTION("""COMPUTED_VALUE"""),200.0)</f>
        <v>200</v>
      </c>
      <c r="B201" s="2" t="str">
        <f>IFERROR(__xludf.DUMMYFUNCTION("""COMPUTED_VALUE"""),"Sanjen Khola Hydroelectric Project 132 kV Transmission line")</f>
        <v>Sanjen Khola Hydroelectric Project 132 kV Transmission line</v>
      </c>
      <c r="C201" s="2">
        <f>IFERROR(__xludf.DUMMYFUNCTION("""COMPUTED_VALUE"""),132.0)</f>
        <v>132</v>
      </c>
      <c r="D201" s="2">
        <f>IFERROR(__xludf.DUMMYFUNCTION("""COMPUTED_VALUE"""),7.5)</f>
        <v>7.5</v>
      </c>
      <c r="E201" s="2">
        <f>IFERROR(__xludf.DUMMYFUNCTION("""COMPUTED_VALUE"""),78.0)</f>
        <v>78</v>
      </c>
      <c r="F201" s="2">
        <f>IFERROR(__xludf.DUMMYFUNCTION("""COMPUTED_VALUE"""),201.0)</f>
        <v>201</v>
      </c>
      <c r="G201" s="3">
        <f>IFERROR(__xludf.DUMMYFUNCTION("""COMPUTED_VALUE"""),65612.0)</f>
        <v>65612</v>
      </c>
      <c r="H201" s="3">
        <f>IFERROR(__xludf.DUMMYFUNCTION("""COMPUTED_VALUE"""),74742.0)</f>
        <v>74742</v>
      </c>
      <c r="I201" s="2" t="str">
        <f>IFERROR(__xludf.DUMMYFUNCTION("""COMPUTED_VALUE"""),"Salasungi Power Pvt. Limited")</f>
        <v>Salasungi Power Pvt. Limited</v>
      </c>
      <c r="J201" s="2" t="str">
        <f>IFERROR(__xludf.DUMMYFUNCTION("""COMPUTED_VALUE"""),"Sanepa, Lalitpur, Tel:- +977-1-5551248, 5535818")</f>
        <v>Sanepa, Lalitpur, Tel:- +977-1-5551248, 5535818</v>
      </c>
      <c r="K201" s="2" t="str">
        <f>IFERROR(__xludf.DUMMYFUNCTION("""COMPUTED_VALUE"""),"Switchyard of Sanjen Khola HP")</f>
        <v>Switchyard of Sanjen Khola HP</v>
      </c>
      <c r="L201" s="2" t="str">
        <f>IFERROR(__xludf.DUMMYFUNCTION("""COMPUTED_VALUE"""),"NEA Chilime Hub S/S")</f>
        <v>NEA Chilime Hub S/S</v>
      </c>
    </row>
    <row r="202">
      <c r="A202" s="2">
        <f>IFERROR(__xludf.DUMMYFUNCTION("""COMPUTED_VALUE"""),201.0)</f>
        <v>201</v>
      </c>
      <c r="B202" s="2" t="str">
        <f>IFERROR(__xludf.DUMMYFUNCTION("""COMPUTED_VALUE"""),"Doodhpokhari Chepe &amp; Super Chepe HEP Joint Transmission Line")</f>
        <v>Doodhpokhari Chepe &amp; Super Chepe HEP Joint Transmission Line</v>
      </c>
      <c r="C202" s="2">
        <f>IFERROR(__xludf.DUMMYFUNCTION("""COMPUTED_VALUE"""),33.0)</f>
        <v>33</v>
      </c>
      <c r="D202" s="2">
        <f>IFERROR(__xludf.DUMMYFUNCTION("""COMPUTED_VALUE"""),24.0)</f>
        <v>24</v>
      </c>
      <c r="E202" s="2">
        <f>IFERROR(__xludf.DUMMYFUNCTION("""COMPUTED_VALUE"""),17.886)</f>
        <v>17.886</v>
      </c>
      <c r="F202" s="2">
        <f>IFERROR(__xludf.DUMMYFUNCTION("""COMPUTED_VALUE"""),202.0)</f>
        <v>202</v>
      </c>
      <c r="G202" s="3">
        <f>IFERROR(__xludf.DUMMYFUNCTION("""COMPUTED_VALUE"""),65652.0)</f>
        <v>65652</v>
      </c>
      <c r="H202" s="3">
        <f>IFERROR(__xludf.DUMMYFUNCTION("""COMPUTED_VALUE"""),74782.0)</f>
        <v>74782</v>
      </c>
      <c r="I202" s="2" t="str">
        <f>IFERROR(__xludf.DUMMYFUNCTION("""COMPUTED_VALUE"""),"Doodhpokhari Chepe Hydropower Pvt. Ltd.")</f>
        <v>Doodhpokhari Chepe Hydropower Pvt. Ltd.</v>
      </c>
      <c r="J202" s="2" t="str">
        <f>IFERROR(__xludf.DUMMYFUNCTION("""COMPUTED_VALUE"""),"Kathmandu-10; 9851153723")</f>
        <v>Kathmandu-10; 9851153723</v>
      </c>
      <c r="K202" s="2" t="str">
        <f>IFERROR(__xludf.DUMMYFUNCTION("""COMPUTED_VALUE"""),"Switchyard of Project")</f>
        <v>Switchyard of Project</v>
      </c>
      <c r="L202" s="2" t="str">
        <f>IFERROR(__xludf.DUMMYFUNCTION("""COMPUTED_VALUE"""),"NEA Kirtipur S/S")</f>
        <v>NEA Kirtipur S/S</v>
      </c>
    </row>
    <row r="203">
      <c r="A203" s="2">
        <f>IFERROR(__xludf.DUMMYFUNCTION("""COMPUTED_VALUE"""),202.0)</f>
        <v>202</v>
      </c>
      <c r="B203" s="2" t="str">
        <f>IFERROR(__xludf.DUMMYFUNCTION("""COMPUTED_VALUE"""),"Upper Piluwa Khola-2 HEP 33 kV Transmission Line")</f>
        <v>Upper Piluwa Khola-2 HEP 33 kV Transmission Line</v>
      </c>
      <c r="C203" s="2">
        <f>IFERROR(__xludf.DUMMYFUNCTION("""COMPUTED_VALUE"""),33.0)</f>
        <v>33</v>
      </c>
      <c r="D203" s="2">
        <f>IFERROR(__xludf.DUMMYFUNCTION("""COMPUTED_VALUE"""),12.0)</f>
        <v>12</v>
      </c>
      <c r="E203" s="2">
        <f>IFERROR(__xludf.DUMMYFUNCTION("""COMPUTED_VALUE"""),12.42)</f>
        <v>12.42</v>
      </c>
      <c r="F203" s="2">
        <f>IFERROR(__xludf.DUMMYFUNCTION("""COMPUTED_VALUE"""),203.0)</f>
        <v>203</v>
      </c>
      <c r="G203" s="3">
        <f>IFERROR(__xludf.DUMMYFUNCTION("""COMPUTED_VALUE"""),65657.0)</f>
        <v>65657</v>
      </c>
      <c r="H203" s="3">
        <f>IFERROR(__xludf.DUMMYFUNCTION("""COMPUTED_VALUE"""),74787.0)</f>
        <v>74787</v>
      </c>
      <c r="I203" s="2" t="str">
        <f>IFERROR(__xludf.DUMMYFUNCTION("""COMPUTED_VALUE"""),"Menchhiyam Hydropower Pvt. Ltd.")</f>
        <v>Menchhiyam Hydropower Pvt. Ltd.</v>
      </c>
      <c r="J203" s="2" t="str">
        <f>IFERROR(__xludf.DUMMYFUNCTION("""COMPUTED_VALUE"""),"Lainchour, Kathmandu; 01-4440706,4440465;9851020604; menchhiyam@gmail.com")</f>
        <v>Lainchour, Kathmandu; 01-4440706,4440465;9851020604; menchhiyam@gmail.com</v>
      </c>
      <c r="K203" s="2" t="str">
        <f>IFERROR(__xludf.DUMMYFUNCTION("""COMPUTED_VALUE"""),"Switchyard of Project")</f>
        <v>Switchyard of Project</v>
      </c>
      <c r="L203" s="2" t="str">
        <f>IFERROR(__xludf.DUMMYFUNCTION("""COMPUTED_VALUE"""),"Baneshwor Substation of NEA")</f>
        <v>Baneshwor Substation of NEA</v>
      </c>
    </row>
    <row r="204">
      <c r="A204" s="2">
        <f>IFERROR(__xludf.DUMMYFUNCTION("""COMPUTED_VALUE"""),203.0)</f>
        <v>203</v>
      </c>
      <c r="B204" s="2" t="str">
        <f>IFERROR(__xludf.DUMMYFUNCTION("""COMPUTED_VALUE"""),"Lower Selang Hydro power Joint Transmission Line Project")</f>
        <v>Lower Selang Hydro power Joint Transmission Line Project</v>
      </c>
      <c r="C204" s="2">
        <f>IFERROR(__xludf.DUMMYFUNCTION("""COMPUTED_VALUE"""),33.0)</f>
        <v>33</v>
      </c>
      <c r="D204" s="2">
        <f>IFERROR(__xludf.DUMMYFUNCTION("""COMPUTED_VALUE"""),14.0)</f>
        <v>14</v>
      </c>
      <c r="E204" s="2">
        <f>IFERROR(__xludf.DUMMYFUNCTION("""COMPUTED_VALUE"""),3.435)</f>
        <v>3.435</v>
      </c>
      <c r="F204" s="2">
        <f>IFERROR(__xludf.DUMMYFUNCTION("""COMPUTED_VALUE"""),204.0)</f>
        <v>204</v>
      </c>
      <c r="G204" s="3">
        <f>IFERROR(__xludf.DUMMYFUNCTION("""COMPUTED_VALUE"""),65677.0)</f>
        <v>65677</v>
      </c>
      <c r="H204" s="3">
        <f>IFERROR(__xludf.DUMMYFUNCTION("""COMPUTED_VALUE"""),74807.0)</f>
        <v>74807</v>
      </c>
      <c r="I204" s="2" t="str">
        <f>IFERROR(__xludf.DUMMYFUNCTION("""COMPUTED_VALUE"""),"Sewa Hydro Limited,")</f>
        <v>Sewa Hydro Limited,</v>
      </c>
      <c r="J204" s="2" t="str">
        <f>IFERROR(__xludf.DUMMYFUNCTION("""COMPUTED_VALUE"""),"Lalitpur-10, Jwagal, sewahydrolimited@gmail.com; 01-5260699")</f>
        <v>Lalitpur-10, Jwagal, sewahydrolimited@gmail.com; 01-5260699</v>
      </c>
      <c r="K204" s="2" t="str">
        <f>IFERROR(__xludf.DUMMYFUNCTION("""COMPUTED_VALUE"""),"Switchyard of Lower Selang Project")</f>
        <v>Switchyard of Lower Selang Project</v>
      </c>
      <c r="L204" s="2" t="str">
        <f>IFERROR(__xludf.DUMMYFUNCTION("""COMPUTED_VALUE"""),"NEA Chautara S/S")</f>
        <v>NEA Chautara S/S</v>
      </c>
    </row>
    <row r="205">
      <c r="A205" s="2">
        <f>IFERROR(__xludf.DUMMYFUNCTION("""COMPUTED_VALUE"""),204.0)</f>
        <v>204</v>
      </c>
      <c r="B205" s="2" t="str">
        <f>IFERROR(__xludf.DUMMYFUNCTION("""COMPUTED_VALUE"""),"Namarjun Madi Hydro Power Project")</f>
        <v>Namarjun Madi Hydro Power Project</v>
      </c>
      <c r="C205" s="2">
        <f>IFERROR(__xludf.DUMMYFUNCTION("""COMPUTED_VALUE"""),132.0)</f>
        <v>132</v>
      </c>
      <c r="D205" s="2">
        <f>IFERROR(__xludf.DUMMYFUNCTION("""COMPUTED_VALUE"""),4.6)</f>
        <v>4.6</v>
      </c>
      <c r="E205" s="2">
        <f>IFERROR(__xludf.DUMMYFUNCTION("""COMPUTED_VALUE"""),12.0)</f>
        <v>12</v>
      </c>
      <c r="F205" s="2">
        <f>IFERROR(__xludf.DUMMYFUNCTION("""COMPUTED_VALUE"""),205.0)</f>
        <v>205</v>
      </c>
      <c r="G205" s="3">
        <f>IFERROR(__xludf.DUMMYFUNCTION("""COMPUTED_VALUE"""),65677.0)</f>
        <v>65677</v>
      </c>
      <c r="H205" s="3">
        <f>IFERROR(__xludf.DUMMYFUNCTION("""COMPUTED_VALUE"""),74807.0)</f>
        <v>74807</v>
      </c>
      <c r="I205" s="2" t="str">
        <f>IFERROR(__xludf.DUMMYFUNCTION("""COMPUTED_VALUE"""),"Himalayan Hydro Power Ltd.")</f>
        <v>Himalayan Hydro Power Ltd.</v>
      </c>
      <c r="J205" s="2" t="str">
        <f>IFERROR(__xludf.DUMMYFUNCTION("""COMPUTED_VALUE"""),"Budhnagar ,Kathmandu,9843176324,9751076999")</f>
        <v>Budhnagar ,Kathmandu,9843176324,9751076999</v>
      </c>
      <c r="K205" s="2" t="str">
        <f>IFERROR(__xludf.DUMMYFUNCTION("""COMPUTED_VALUE"""),"Switchyard of Namarjun Madi Hydro Power")</f>
        <v>Switchyard of Namarjun Madi Hydro Power</v>
      </c>
      <c r="L205" s="2" t="str">
        <f>IFERROR(__xludf.DUMMYFUNCTION("""COMPUTED_VALUE"""),"Switchyard of Upper Madi Hydropower Proj")</f>
        <v>Switchyard of Upper Madi Hydropower Proj</v>
      </c>
    </row>
    <row r="206">
      <c r="A206" s="2">
        <f>IFERROR(__xludf.DUMMYFUNCTION("""COMPUTED_VALUE"""),205.0)</f>
        <v>205</v>
      </c>
      <c r="B206" s="2" t="str">
        <f>IFERROR(__xludf.DUMMYFUNCTION("""COMPUTED_VALUE"""),"Yambaling HPP 33kv Transmission Line Project")</f>
        <v>Yambaling HPP 33kv Transmission Line Project</v>
      </c>
      <c r="C206" s="2">
        <f>IFERROR(__xludf.DUMMYFUNCTION("""COMPUTED_VALUE"""),33.0)</f>
        <v>33</v>
      </c>
      <c r="D206" s="2">
        <f>IFERROR(__xludf.DUMMYFUNCTION("""COMPUTED_VALUE"""),7.0)</f>
        <v>7</v>
      </c>
      <c r="E206" s="2">
        <f>IFERROR(__xludf.DUMMYFUNCTION("""COMPUTED_VALUE"""),7.27)</f>
        <v>7.27</v>
      </c>
      <c r="F206" s="2">
        <f>IFERROR(__xludf.DUMMYFUNCTION("""COMPUTED_VALUE"""),206.0)</f>
        <v>206</v>
      </c>
      <c r="G206" s="3">
        <f>IFERROR(__xludf.DUMMYFUNCTION("""COMPUTED_VALUE"""),65677.0)</f>
        <v>65677</v>
      </c>
      <c r="H206" s="3">
        <f>IFERROR(__xludf.DUMMYFUNCTION("""COMPUTED_VALUE"""),74807.0)</f>
        <v>74807</v>
      </c>
      <c r="I206" s="2" t="str">
        <f>IFERROR(__xludf.DUMMYFUNCTION("""COMPUTED_VALUE"""),"Yambaling Hydropower Ltd.")</f>
        <v>Yambaling Hydropower Ltd.</v>
      </c>
      <c r="J206" s="2" t="str">
        <f>IFERROR(__xludf.DUMMYFUNCTION("""COMPUTED_VALUE"""),"Jwagal-10, Lalitpur 015550934")</f>
        <v>Jwagal-10, Lalitpur 015550934</v>
      </c>
      <c r="K206" s="2" t="str">
        <f>IFERROR(__xludf.DUMMYFUNCTION("""COMPUTED_VALUE"""),"Switchyard of Project")</f>
        <v>Switchyard of Project</v>
      </c>
      <c r="L206" s="2" t="str">
        <f>IFERROR(__xludf.DUMMYFUNCTION("""COMPUTED_VALUE"""),"Switchyard of Upper Balephi A")</f>
        <v>Switchyard of Upper Balephi A</v>
      </c>
    </row>
    <row r="207">
      <c r="A207" s="2">
        <f>IFERROR(__xludf.DUMMYFUNCTION("""COMPUTED_VALUE"""),206.0)</f>
        <v>206</v>
      </c>
      <c r="B207" s="2" t="str">
        <f>IFERROR(__xludf.DUMMYFUNCTION("""COMPUTED_VALUE"""),"Grid Connected SPV (Block 1 &amp;amp; Block 2) Banke Joint Transmission")</f>
        <v>Grid Connected SPV (Block 1 &amp;amp; Block 2) Banke Joint Transmission</v>
      </c>
      <c r="C207" s="2">
        <f>IFERROR(__xludf.DUMMYFUNCTION("""COMPUTED_VALUE"""),33.0)</f>
        <v>33</v>
      </c>
      <c r="D207" s="2">
        <f>IFERROR(__xludf.DUMMYFUNCTION("""COMPUTED_VALUE"""),15.0)</f>
        <v>15</v>
      </c>
      <c r="E207" s="2">
        <f>IFERROR(__xludf.DUMMYFUNCTION("""COMPUTED_VALUE"""),20.0)</f>
        <v>20</v>
      </c>
      <c r="F207" s="2">
        <f>IFERROR(__xludf.DUMMYFUNCTION("""COMPUTED_VALUE"""),207.0)</f>
        <v>207</v>
      </c>
      <c r="G207" s="3">
        <f>IFERROR(__xludf.DUMMYFUNCTION("""COMPUTED_VALUE"""),65713.0)</f>
        <v>65713</v>
      </c>
      <c r="H207" s="3">
        <f>IFERROR(__xludf.DUMMYFUNCTION("""COMPUTED_VALUE"""),74843.0)</f>
        <v>74843</v>
      </c>
      <c r="I207" s="2" t="str">
        <f>IFERROR(__xludf.DUMMYFUNCTION("""COMPUTED_VALUE"""),"Pure Energy Pvt. Ltd.")</f>
        <v>Pure Energy Pvt. Ltd.</v>
      </c>
      <c r="J207" s="2" t="str">
        <f>IFERROR(__xludf.DUMMYFUNCTION("""COMPUTED_VALUE"""),"Hyatt Palace, Kathmandu-13; 9801063049, sunita.kc@golyangroup.com")</f>
        <v>Hyatt Palace, Kathmandu-13; 9801063049, sunita.kc@golyangroup.com</v>
      </c>
      <c r="K207" s="2" t="str">
        <f>IFERROR(__xludf.DUMMYFUNCTION("""COMPUTED_VALUE"""),"Switchyard of Project")</f>
        <v>Switchyard of Project</v>
      </c>
      <c r="L207" s="2" t="str">
        <f>IFERROR(__xludf.DUMMYFUNCTION("""COMPUTED_VALUE"""),"NEA Kohalpur S/S")</f>
        <v>NEA Kohalpur S/S</v>
      </c>
    </row>
    <row r="208">
      <c r="A208" s="2">
        <f>IFERROR(__xludf.DUMMYFUNCTION("""COMPUTED_VALUE"""),207.0)</f>
        <v>207</v>
      </c>
      <c r="B208" s="2" t="str">
        <f>IFERROR(__xludf.DUMMYFUNCTION("""COMPUTED_VALUE"""),"Bhaktpur-Thimi 132 kV Under Ground Transmission Line Project")</f>
        <v>Bhaktpur-Thimi 132 kV Under Ground Transmission Line Project</v>
      </c>
      <c r="C208" s="2">
        <f>IFERROR(__xludf.DUMMYFUNCTION("""COMPUTED_VALUE"""),132.0)</f>
        <v>132</v>
      </c>
      <c r="D208" s="2">
        <f>IFERROR(__xludf.DUMMYFUNCTION("""COMPUTED_VALUE"""),3.27)</f>
        <v>3.27</v>
      </c>
      <c r="E208" s="2">
        <f>IFERROR(__xludf.DUMMYFUNCTION("""COMPUTED_VALUE"""),280.0)</f>
        <v>280</v>
      </c>
      <c r="F208" s="2">
        <f>IFERROR(__xludf.DUMMYFUNCTION("""COMPUTED_VALUE"""),208.0)</f>
        <v>208</v>
      </c>
      <c r="G208" s="3">
        <f>IFERROR(__xludf.DUMMYFUNCTION("""COMPUTED_VALUE"""),65715.0)</f>
        <v>65715</v>
      </c>
      <c r="H208" s="3">
        <f>IFERROR(__xludf.DUMMYFUNCTION("""COMPUTED_VALUE"""),74845.0)</f>
        <v>74845</v>
      </c>
      <c r="I208" s="2" t="str">
        <f>IFERROR(__xludf.DUMMYFUNCTION("""COMPUTED_VALUE"""),"Nepal Electricity Authority")</f>
        <v>Nepal Electricity Authority</v>
      </c>
      <c r="J208" s="2" t="str">
        <f>IFERROR(__xludf.DUMMYFUNCTION("""COMPUTED_VALUE"""),"Main office,Darbarmarg,Kathmandu")</f>
        <v>Main office,Darbarmarg,Kathmandu</v>
      </c>
      <c r="K208" s="2" t="str">
        <f>IFERROR(__xludf.DUMMYFUNCTION("""COMPUTED_VALUE"""),"Bhaktpur 132kV Substation")</f>
        <v>Bhaktpur 132kV Substation</v>
      </c>
      <c r="L208" s="2" t="str">
        <f>IFERROR(__xludf.DUMMYFUNCTION("""COMPUTED_VALUE"""),"Proposed Thimi Substation")</f>
        <v>Proposed Thimi Substation</v>
      </c>
    </row>
    <row r="209">
      <c r="A209" s="2">
        <f>IFERROR(__xludf.DUMMYFUNCTION("""COMPUTED_VALUE"""),208.0)</f>
        <v>208</v>
      </c>
      <c r="B209" s="2" t="str">
        <f>IFERROR(__xludf.DUMMYFUNCTION("""COMPUTED_VALUE"""),"Super Kabeli Khola A, Super Kbeli Khola Cascade &amp; Kabeli-3 HEP Joint 
Transmissi")</f>
        <v>Super Kabeli Khola A, Super Kbeli Khola Cascade &amp; Kabeli-3 HEP Joint 
Transmissi</v>
      </c>
      <c r="C209" s="2">
        <f>IFERROR(__xludf.DUMMYFUNCTION("""COMPUTED_VALUE"""),132.0)</f>
        <v>132</v>
      </c>
      <c r="D209" s="2">
        <f>IFERROR(__xludf.DUMMYFUNCTION("""COMPUTED_VALUE"""),30.35)</f>
        <v>30.35</v>
      </c>
      <c r="E209" s="2">
        <f>IFERROR(__xludf.DUMMYFUNCTION("""COMPUTED_VALUE"""),47.43)</f>
        <v>47.43</v>
      </c>
      <c r="F209" s="2">
        <f>IFERROR(__xludf.DUMMYFUNCTION("""COMPUTED_VALUE"""),209.0)</f>
        <v>209</v>
      </c>
      <c r="G209" s="3">
        <f>IFERROR(__xludf.DUMMYFUNCTION("""COMPUTED_VALUE"""),65723.0)</f>
        <v>65723</v>
      </c>
      <c r="H209" s="3">
        <f>IFERROR(__xludf.DUMMYFUNCTION("""COMPUTED_VALUE"""),74853.0)</f>
        <v>74853</v>
      </c>
      <c r="I209" s="2" t="str">
        <f>IFERROR(__xludf.DUMMYFUNCTION("""COMPUTED_VALUE"""),"Snow Rivers Pvt. Ltd.")</f>
        <v>Snow Rivers Pvt. Ltd.</v>
      </c>
      <c r="J209" s="2" t="str">
        <f>IFERROR(__xludf.DUMMYFUNCTION("""COMPUTED_VALUE"""),"GPO Box: 20762 Lazimpat Kathamndu-2 Nepal, 9851220305")</f>
        <v>GPO Box: 20762 Lazimpat Kathamndu-2 Nepal, 9851220305</v>
      </c>
      <c r="K209" s="2" t="str">
        <f>IFERROR(__xludf.DUMMYFUNCTION("""COMPUTED_VALUE"""),"Switchyard of Kabeli Khola A Project")</f>
        <v>Switchyard of Kabeli Khola A Project</v>
      </c>
      <c r="L209" s="2" t="str">
        <f>IFERROR(__xludf.DUMMYFUNCTION("""COMPUTED_VALUE"""),"NEA Amarpur S/S")</f>
        <v>NEA Amarpur S/S</v>
      </c>
    </row>
    <row r="210">
      <c r="A210" s="2">
        <f>IFERROR(__xludf.DUMMYFUNCTION("""COMPUTED_VALUE"""),209.0)</f>
        <v>209</v>
      </c>
      <c r="B210" s="2" t="str">
        <f>IFERROR(__xludf.DUMMYFUNCTION("""COMPUTED_VALUE"""),"Kohalpur Nepalgunj 132kV ransmission Line Project")</f>
        <v>Kohalpur Nepalgunj 132kV ransmission Line Project</v>
      </c>
      <c r="C210" s="2">
        <f>IFERROR(__xludf.DUMMYFUNCTION("""COMPUTED_VALUE"""),132.0)</f>
        <v>132</v>
      </c>
      <c r="D210" s="2">
        <f>IFERROR(__xludf.DUMMYFUNCTION("""COMPUTED_VALUE"""),11.0)</f>
        <v>11</v>
      </c>
      <c r="E210" s="2">
        <f>IFERROR(__xludf.DUMMYFUNCTION("""COMPUTED_VALUE"""),200.0)</f>
        <v>200</v>
      </c>
      <c r="F210" s="2">
        <f>IFERROR(__xludf.DUMMYFUNCTION("""COMPUTED_VALUE"""),210.0)</f>
        <v>210</v>
      </c>
      <c r="G210" s="3">
        <f>IFERROR(__xludf.DUMMYFUNCTION("""COMPUTED_VALUE"""),65737.0)</f>
        <v>65737</v>
      </c>
      <c r="H210" s="3">
        <f>IFERROR(__xludf.DUMMYFUNCTION("""COMPUTED_VALUE"""),74867.0)</f>
        <v>74867</v>
      </c>
      <c r="I210" s="2" t="str">
        <f>IFERROR(__xludf.DUMMYFUNCTION("""COMPUTED_VALUE"""),"Nepal Electricity Authority")</f>
        <v>Nepal Electricity Authority</v>
      </c>
      <c r="J210" s="2" t="str">
        <f>IFERROR(__xludf.DUMMYFUNCTION("""COMPUTED_VALUE"""),"Main office,Darbarmarg,Kathmandu")</f>
        <v>Main office,Darbarmarg,Kathmandu</v>
      </c>
      <c r="K210" s="2" t="str">
        <f>IFERROR(__xludf.DUMMYFUNCTION("""COMPUTED_VALUE"""),"NEA Kohalpur Substation")</f>
        <v>NEA Kohalpur Substation</v>
      </c>
      <c r="L210" s="2" t="str">
        <f>IFERROR(__xludf.DUMMYFUNCTION("""COMPUTED_VALUE"""),"NEA Proposed Janaki Substation")</f>
        <v>NEA Proposed Janaki Substation</v>
      </c>
    </row>
    <row r="211">
      <c r="A211" s="2">
        <f>IFERROR(__xludf.DUMMYFUNCTION("""COMPUTED_VALUE"""),210.0)</f>
        <v>210</v>
      </c>
      <c r="B211" s="2" t="str">
        <f>IFERROR(__xludf.DUMMYFUNCTION("""COMPUTED_VALUE"""),"Parwanipur Pokhariya 132 kV Transmission Line Project")</f>
        <v>Parwanipur Pokhariya 132 kV Transmission Line Project</v>
      </c>
      <c r="C211" s="2">
        <f>IFERROR(__xludf.DUMMYFUNCTION("""COMPUTED_VALUE"""),132.0)</f>
        <v>132</v>
      </c>
      <c r="D211" s="2">
        <f>IFERROR(__xludf.DUMMYFUNCTION("""COMPUTED_VALUE"""),21.21)</f>
        <v>21.21</v>
      </c>
      <c r="E211" s="2">
        <f>IFERROR(__xludf.DUMMYFUNCTION("""COMPUTED_VALUE"""),500.0)</f>
        <v>500</v>
      </c>
      <c r="F211" s="2">
        <f>IFERROR(__xludf.DUMMYFUNCTION("""COMPUTED_VALUE"""),211.0)</f>
        <v>211</v>
      </c>
      <c r="G211" s="3">
        <f>IFERROR(__xludf.DUMMYFUNCTION("""COMPUTED_VALUE"""),65742.0)</f>
        <v>65742</v>
      </c>
      <c r="H211" s="3">
        <f>IFERROR(__xludf.DUMMYFUNCTION("""COMPUTED_VALUE"""),74872.0)</f>
        <v>74872</v>
      </c>
      <c r="I211" s="2" t="str">
        <f>IFERROR(__xludf.DUMMYFUNCTION("""COMPUTED_VALUE"""),"Nepal Electricity Authority")</f>
        <v>Nepal Electricity Authority</v>
      </c>
      <c r="J211" s="2" t="str">
        <f>IFERROR(__xludf.DUMMYFUNCTION("""COMPUTED_VALUE"""),"Durbar Marg, Kathmandu 01-4153007")</f>
        <v>Durbar Marg, Kathmandu 01-4153007</v>
      </c>
      <c r="K211" s="2" t="str">
        <f>IFERROR(__xludf.DUMMYFUNCTION("""COMPUTED_VALUE"""),"NEA Parwanipur S/S")</f>
        <v>NEA Parwanipur S/S</v>
      </c>
      <c r="L211" s="2" t="str">
        <f>IFERROR(__xludf.DUMMYFUNCTION("""COMPUTED_VALUE"""),"Proposed Pokhariya S/S")</f>
        <v>Proposed Pokhariya S/S</v>
      </c>
    </row>
    <row r="212">
      <c r="A212" s="2">
        <f>IFERROR(__xludf.DUMMYFUNCTION("""COMPUTED_VALUE"""),211.0)</f>
        <v>211</v>
      </c>
      <c r="B212" s="2" t="str">
        <f>IFERROR(__xludf.DUMMYFUNCTION("""COMPUTED_VALUE"""),"Rupani Bodebarsain 132 kV Transmission Line Project")</f>
        <v>Rupani Bodebarsain 132 kV Transmission Line Project</v>
      </c>
      <c r="C212" s="2">
        <f>IFERROR(__xludf.DUMMYFUNCTION("""COMPUTED_VALUE"""),132.0)</f>
        <v>132</v>
      </c>
      <c r="D212" s="2">
        <f>IFERROR(__xludf.DUMMYFUNCTION("""COMPUTED_VALUE"""),18.605)</f>
        <v>18.605</v>
      </c>
      <c r="E212" s="2">
        <f>IFERROR(__xludf.DUMMYFUNCTION("""COMPUTED_VALUE"""),200.0)</f>
        <v>200</v>
      </c>
      <c r="F212" s="2">
        <f>IFERROR(__xludf.DUMMYFUNCTION("""COMPUTED_VALUE"""),212.0)</f>
        <v>212</v>
      </c>
      <c r="G212" s="3">
        <f>IFERROR(__xludf.DUMMYFUNCTION("""COMPUTED_VALUE"""),65743.0)</f>
        <v>65743</v>
      </c>
      <c r="H212" s="3">
        <f>IFERROR(__xludf.DUMMYFUNCTION("""COMPUTED_VALUE"""),74873.0)</f>
        <v>74873</v>
      </c>
      <c r="I212" s="2" t="str">
        <f>IFERROR(__xludf.DUMMYFUNCTION("""COMPUTED_VALUE"""),"Nepal Electricity Authority")</f>
        <v>Nepal Electricity Authority</v>
      </c>
      <c r="J212" s="2" t="str">
        <f>IFERROR(__xludf.DUMMYFUNCTION("""COMPUTED_VALUE"""),"Main office,Darbarmarg,Kathmandu")</f>
        <v>Main office,Darbarmarg,Kathmandu</v>
      </c>
      <c r="K212" s="2" t="str">
        <f>IFERROR(__xludf.DUMMYFUNCTION("""COMPUTED_VALUE"""),"NEA Rupani S/S")</f>
        <v>NEA Rupani S/S</v>
      </c>
      <c r="L212" s="2" t="str">
        <f>IFERROR(__xludf.DUMMYFUNCTION("""COMPUTED_VALUE"""),"Proposed Bodebarsain S/S")</f>
        <v>Proposed Bodebarsain S/S</v>
      </c>
    </row>
    <row r="213">
      <c r="A213" s="2">
        <f>IFERROR(__xludf.DUMMYFUNCTION("""COMPUTED_VALUE"""),212.0)</f>
        <v>212</v>
      </c>
      <c r="B213" s="2" t="str">
        <f>IFERROR(__xludf.DUMMYFUNCTION("""COMPUTED_VALUE"""),"Down Piluwa Khola 33 kV Transmission Line Project")</f>
        <v>Down Piluwa Khola 33 kV Transmission Line Project</v>
      </c>
      <c r="C213" s="2">
        <f>IFERROR(__xludf.DUMMYFUNCTION("""COMPUTED_VALUE"""),33.0)</f>
        <v>33</v>
      </c>
      <c r="D213" s="2">
        <f>IFERROR(__xludf.DUMMYFUNCTION("""COMPUTED_VALUE"""),3.34)</f>
        <v>3.34</v>
      </c>
      <c r="E213" s="2">
        <f>IFERROR(__xludf.DUMMYFUNCTION("""COMPUTED_VALUE"""),10.3)</f>
        <v>10.3</v>
      </c>
      <c r="F213" s="2">
        <f>IFERROR(__xludf.DUMMYFUNCTION("""COMPUTED_VALUE"""),213.0)</f>
        <v>213</v>
      </c>
      <c r="G213" s="3">
        <f>IFERROR(__xludf.DUMMYFUNCTION("""COMPUTED_VALUE"""),65805.0)</f>
        <v>65805</v>
      </c>
      <c r="H213" s="3">
        <f>IFERROR(__xludf.DUMMYFUNCTION("""COMPUTED_VALUE"""),74935.0)</f>
        <v>74935</v>
      </c>
      <c r="I213" s="2" t="str">
        <f>IFERROR(__xludf.DUMMYFUNCTION("""COMPUTED_VALUE"""),"Rver Falls Power Limited")</f>
        <v>Rver Falls Power Limited</v>
      </c>
      <c r="J213" s="2" t="str">
        <f>IFERROR(__xludf.DUMMYFUNCTION("""COMPUTED_VALUE"""),"Kathmandu-28, Kamaladi, 01-5902330")</f>
        <v>Kathmandu-28, Kamaladi, 01-5902330</v>
      </c>
      <c r="K213" s="2" t="str">
        <f>IFERROR(__xludf.DUMMYFUNCTION("""COMPUTED_VALUE"""),"Switchyard of Project")</f>
        <v>Switchyard of Project</v>
      </c>
      <c r="L213" s="2" t="str">
        <f>IFERROR(__xludf.DUMMYFUNCTION("""COMPUTED_VALUE"""),"NEA Baneshwor S/S")</f>
        <v>NEA Baneshwor S/S</v>
      </c>
    </row>
    <row r="214">
      <c r="A214" s="2">
        <f>IFERROR(__xludf.DUMMYFUNCTION("""COMPUTED_VALUE"""),213.0)</f>
        <v>213</v>
      </c>
      <c r="B214" s="2" t="str">
        <f>IFERROR(__xludf.DUMMYFUNCTION("""COMPUTED_VALUE"""),"Koshi Corridor 220kV T. L. Dharan Sub Station Project")</f>
        <v>Koshi Corridor 220kV T. L. Dharan Sub Station Project</v>
      </c>
      <c r="C214" s="2">
        <f>IFERROR(__xludf.DUMMYFUNCTION("""COMPUTED_VALUE"""),220.0)</f>
        <v>220</v>
      </c>
      <c r="D214" s="2">
        <f>IFERROR(__xludf.DUMMYFUNCTION("""COMPUTED_VALUE"""),0.6)</f>
        <v>0.6</v>
      </c>
      <c r="E214" s="2">
        <f>IFERROR(__xludf.DUMMYFUNCTION("""COMPUTED_VALUE"""),100.0)</f>
        <v>100</v>
      </c>
      <c r="F214" s="2">
        <f>IFERROR(__xludf.DUMMYFUNCTION("""COMPUTED_VALUE"""),214.0)</f>
        <v>214</v>
      </c>
      <c r="G214" s="3">
        <f>IFERROR(__xludf.DUMMYFUNCTION("""COMPUTED_VALUE"""),65805.0)</f>
        <v>65805</v>
      </c>
      <c r="H214" s="3">
        <f>IFERROR(__xludf.DUMMYFUNCTION("""COMPUTED_VALUE"""),74935.0)</f>
        <v>74935</v>
      </c>
      <c r="I214" s="2" t="str">
        <f>IFERROR(__xludf.DUMMYFUNCTION("""COMPUTED_VALUE"""),"Nepal Electricity Authority")</f>
        <v>Nepal Electricity Authority</v>
      </c>
      <c r="J214" s="2" t="str">
        <f>IFERROR(__xludf.DUMMYFUNCTION("""COMPUTED_VALUE"""),"Durbar Marg Kathmandu")</f>
        <v>Durbar Marg Kathmandu</v>
      </c>
      <c r="K214" s="2" t="str">
        <f>IFERROR(__xludf.DUMMYFUNCTION("""COMPUTED_VALUE"""),"AP 57/2 of Koshi Corridor")</f>
        <v>AP 57/2 of Koshi Corridor</v>
      </c>
      <c r="L214" s="2" t="str">
        <f>IFERROR(__xludf.DUMMYFUNCTION("""COMPUTED_VALUE"""),"AP 57/2 of Koshi Corridor")</f>
        <v>AP 57/2 of Koshi Corridor</v>
      </c>
    </row>
    <row r="215">
      <c r="A215" s="2">
        <f>IFERROR(__xludf.DUMMYFUNCTION("""COMPUTED_VALUE"""),214.0)</f>
        <v>214</v>
      </c>
      <c r="B215" s="2" t="str">
        <f>IFERROR(__xludf.DUMMYFUNCTION("""COMPUTED_VALUE"""),"Bhim khola Hydro Power Project Baglung District")</f>
        <v>Bhim khola Hydro Power Project Baglung District</v>
      </c>
      <c r="C215" s="2">
        <f>IFERROR(__xludf.DUMMYFUNCTION("""COMPUTED_VALUE"""),33.0)</f>
        <v>33</v>
      </c>
      <c r="D215" s="2">
        <f>IFERROR(__xludf.DUMMYFUNCTION("""COMPUTED_VALUE"""),7.0)</f>
        <v>7</v>
      </c>
      <c r="E215" s="2">
        <f>IFERROR(__xludf.DUMMYFUNCTION("""COMPUTED_VALUE"""),4.96)</f>
        <v>4.96</v>
      </c>
      <c r="F215" s="2">
        <f>IFERROR(__xludf.DUMMYFUNCTION("""COMPUTED_VALUE"""),215.0)</f>
        <v>215</v>
      </c>
      <c r="G215" s="2" t="str">
        <f>IFERROR(__xludf.DUMMYFUNCTION("""COMPUTED_VALUE"""),"2080-02-32")</f>
        <v>2080-02-32</v>
      </c>
      <c r="H215" s="2" t="str">
        <f>IFERROR(__xludf.DUMMYFUNCTION("""COMPUTED_VALUE"""),"2105-02-31")</f>
        <v>2105-02-31</v>
      </c>
      <c r="I215" s="2" t="str">
        <f>IFERROR(__xludf.DUMMYFUNCTION("""COMPUTED_VALUE"""),"Shikhar Power Development Limited")</f>
        <v>Shikhar Power Development Limited</v>
      </c>
      <c r="J215" s="2" t="str">
        <f>IFERROR(__xludf.DUMMYFUNCTION("""COMPUTED_VALUE"""),"Baneshwor,Kahmandu Contact No. 9851133303")</f>
        <v>Baneshwor,Kahmandu Contact No. 9851133303</v>
      </c>
      <c r="K215" s="2" t="str">
        <f>IFERROR(__xludf.DUMMYFUNCTION("""COMPUTED_VALUE"""),"Bhim Khola Hydro Power Project")</f>
        <v>Bhim Khola Hydro Power Project</v>
      </c>
      <c r="L215" s="2" t="str">
        <f>IFERROR(__xludf.DUMMYFUNCTION("""COMPUTED_VALUE"""),"NEA Burtiwang Substation")</f>
        <v>NEA Burtiwang Substation</v>
      </c>
    </row>
    <row r="216">
      <c r="A216" s="2">
        <f>IFERROR(__xludf.DUMMYFUNCTION("""COMPUTED_VALUE"""),215.0)</f>
        <v>215</v>
      </c>
      <c r="B216" s="2" t="str">
        <f>IFERROR(__xludf.DUMMYFUNCTION("""COMPUTED_VALUE"""),"Sangu Khola Hydro Power Project")</f>
        <v>Sangu Khola Hydro Power Project</v>
      </c>
      <c r="C216" s="2">
        <f>IFERROR(__xludf.DUMMYFUNCTION("""COMPUTED_VALUE"""),132.0)</f>
        <v>132</v>
      </c>
      <c r="D216" s="2">
        <f>IFERROR(__xludf.DUMMYFUNCTION("""COMPUTED_VALUE"""),7.4)</f>
        <v>7.4</v>
      </c>
      <c r="E216" s="2">
        <f>IFERROR(__xludf.DUMMYFUNCTION("""COMPUTED_VALUE"""),30.5)</f>
        <v>30.5</v>
      </c>
      <c r="F216" s="2">
        <f>IFERROR(__xludf.DUMMYFUNCTION("""COMPUTED_VALUE"""),216.0)</f>
        <v>216</v>
      </c>
      <c r="G216" s="3">
        <f>IFERROR(__xludf.DUMMYFUNCTION("""COMPUTED_VALUE"""),65847.0)</f>
        <v>65847</v>
      </c>
      <c r="H216" s="3">
        <f>IFERROR(__xludf.DUMMYFUNCTION("""COMPUTED_VALUE"""),74976.0)</f>
        <v>74976</v>
      </c>
      <c r="I216" s="2" t="str">
        <f>IFERROR(__xludf.DUMMYFUNCTION("""COMPUTED_VALUE"""),"Him Parvat Hydro Power Pvt .Ltd.")</f>
        <v>Him Parvat Hydro Power Pvt .Ltd.</v>
      </c>
      <c r="J216" s="2" t="str">
        <f>IFERROR(__xludf.DUMMYFUNCTION("""COMPUTED_VALUE"""),"Tripureshwor,Kathmandu")</f>
        <v>Tripureshwor,Kathmandu</v>
      </c>
      <c r="K216" s="2" t="str">
        <f>IFERROR(__xludf.DUMMYFUNCTION("""COMPUTED_VALUE"""),"Sangu Khola Hydro Power Project")</f>
        <v>Sangu Khola Hydro Power Project</v>
      </c>
      <c r="L216" s="2" t="str">
        <f>IFERROR(__xludf.DUMMYFUNCTION("""COMPUTED_VALUE"""),"Singati Substation")</f>
        <v>Singati Substation</v>
      </c>
    </row>
    <row r="217">
      <c r="A217" s="2">
        <f>IFERROR(__xludf.DUMMYFUNCTION("""COMPUTED_VALUE"""),216.0)</f>
        <v>216</v>
      </c>
      <c r="B217" s="2" t="str">
        <f>IFERROR(__xludf.DUMMYFUNCTION("""COMPUTED_VALUE"""),"Upper Chirkhwa Hydropower Transmission Line Project")</f>
        <v>Upper Chirkhwa Hydropower Transmission Line Project</v>
      </c>
      <c r="C217" s="2">
        <f>IFERROR(__xludf.DUMMYFUNCTION("""COMPUTED_VALUE"""),33.0)</f>
        <v>33</v>
      </c>
      <c r="D217" s="2">
        <f>IFERROR(__xludf.DUMMYFUNCTION("""COMPUTED_VALUE"""),19.4)</f>
        <v>19.4</v>
      </c>
      <c r="E217" s="2">
        <f>IFERROR(__xludf.DUMMYFUNCTION("""COMPUTED_VALUE"""),22.91)</f>
        <v>22.91</v>
      </c>
      <c r="F217" s="2">
        <f>IFERROR(__xludf.DUMMYFUNCTION("""COMPUTED_VALUE"""),217.0)</f>
        <v>217</v>
      </c>
      <c r="G217" s="3">
        <f>IFERROR(__xludf.DUMMYFUNCTION("""COMPUTED_VALUE"""),65847.0)</f>
        <v>65847</v>
      </c>
      <c r="H217" s="3">
        <f>IFERROR(__xludf.DUMMYFUNCTION("""COMPUTED_VALUE"""),74976.0)</f>
        <v>74976</v>
      </c>
      <c r="I217" s="2" t="str">
        <f>IFERROR(__xludf.DUMMYFUNCTION("""COMPUTED_VALUE"""),"Chirkhwa Hydropower Ltd.")</f>
        <v>Chirkhwa Hydropower Ltd.</v>
      </c>
      <c r="J217" s="2" t="str">
        <f>IFERROR(__xludf.DUMMYFUNCTION("""COMPUTED_VALUE"""),"Koteshwor,Kathmandu-32")</f>
        <v>Koteshwor,Kathmandu-32</v>
      </c>
      <c r="K217" s="2" t="str">
        <f>IFERROR(__xludf.DUMMYFUNCTION("""COMPUTED_VALUE"""),"Switchyard of Project (Bhojpur)")</f>
        <v>Switchyard of Project (Bhojpur)</v>
      </c>
      <c r="L217" s="2" t="str">
        <f>IFERROR(__xludf.DUMMYFUNCTION("""COMPUTED_VALUE"""),"Tumlingtar Substation(Sankhuwasabha)")</f>
        <v>Tumlingtar Substation(Sankhuwasabha)</v>
      </c>
    </row>
    <row r="218">
      <c r="A218" s="2">
        <f>IFERROR(__xludf.DUMMYFUNCTION("""COMPUTED_VALUE"""),217.0)</f>
        <v>217</v>
      </c>
      <c r="B218" s="2" t="str">
        <f>IFERROR(__xludf.DUMMYFUNCTION("""COMPUTED_VALUE"""),"Liping Khola HEP Transmission Line Project")</f>
        <v>Liping Khola HEP Transmission Line Project</v>
      </c>
      <c r="C218" s="2">
        <f>IFERROR(__xludf.DUMMYFUNCTION("""COMPUTED_VALUE"""),132.0)</f>
        <v>132</v>
      </c>
      <c r="D218" s="2">
        <f>IFERROR(__xludf.DUMMYFUNCTION("""COMPUTED_VALUE"""),14.0)</f>
        <v>14</v>
      </c>
      <c r="E218" s="2">
        <f>IFERROR(__xludf.DUMMYFUNCTION("""COMPUTED_VALUE"""),16.26)</f>
        <v>16.26</v>
      </c>
      <c r="F218" s="2">
        <f>IFERROR(__xludf.DUMMYFUNCTION("""COMPUTED_VALUE"""),218.0)</f>
        <v>218</v>
      </c>
      <c r="G218" s="3">
        <f>IFERROR(__xludf.DUMMYFUNCTION("""COMPUTED_VALUE"""),65852.0)</f>
        <v>65852</v>
      </c>
      <c r="H218" s="3">
        <f>IFERROR(__xludf.DUMMYFUNCTION("""COMPUTED_VALUE"""),74981.0)</f>
        <v>74981</v>
      </c>
      <c r="I218" s="2" t="str">
        <f>IFERROR(__xludf.DUMMYFUNCTION("""COMPUTED_VALUE"""),"Him River Power Pvt. Ltd.")</f>
        <v>Him River Power Pvt. Ltd.</v>
      </c>
      <c r="J218" s="2" t="str">
        <f>IFERROR(__xludf.DUMMYFUNCTION("""COMPUTED_VALUE"""),"Narayanchaur, Naxal, KTM; 01-4441535")</f>
        <v>Narayanchaur, Naxal, KTM; 01-4441535</v>
      </c>
      <c r="K218" s="2" t="str">
        <f>IFERROR(__xludf.DUMMYFUNCTION("""COMPUTED_VALUE"""),"Switchyard of Project")</f>
        <v>Switchyard of Project</v>
      </c>
      <c r="L218" s="2" t="str">
        <f>IFERROR(__xludf.DUMMYFUNCTION("""COMPUTED_VALUE"""),"Upper Chaku HEP Swithyard")</f>
        <v>Upper Chaku HEP Swithyard</v>
      </c>
    </row>
    <row r="219">
      <c r="A219" s="2">
        <f>IFERROR(__xludf.DUMMYFUNCTION("""COMPUTED_VALUE"""),218.0)</f>
        <v>218</v>
      </c>
      <c r="B219" s="2" t="str">
        <f>IFERROR(__xludf.DUMMYFUNCTION("""COMPUTED_VALUE"""),"Upper Ingwa Transmission Line Project")</f>
        <v>Upper Ingwa Transmission Line Project</v>
      </c>
      <c r="C219" s="2">
        <f>IFERROR(__xludf.DUMMYFUNCTION("""COMPUTED_VALUE"""),33.0)</f>
        <v>33</v>
      </c>
      <c r="D219" s="2">
        <f>IFERROR(__xludf.DUMMYFUNCTION("""COMPUTED_VALUE"""),16.0)</f>
        <v>16</v>
      </c>
      <c r="E219" s="2">
        <f>IFERROR(__xludf.DUMMYFUNCTION("""COMPUTED_VALUE"""),9.7)</f>
        <v>9.7</v>
      </c>
      <c r="F219" s="2">
        <f>IFERROR(__xludf.DUMMYFUNCTION("""COMPUTED_VALUE"""),219.0)</f>
        <v>219</v>
      </c>
      <c r="G219" s="3">
        <f>IFERROR(__xludf.DUMMYFUNCTION("""COMPUTED_VALUE"""),65878.0)</f>
        <v>65878</v>
      </c>
      <c r="H219" s="3">
        <f>IFERROR(__xludf.DUMMYFUNCTION("""COMPUTED_VALUE"""),75007.0)</f>
        <v>75007</v>
      </c>
      <c r="I219" s="2" t="str">
        <f>IFERROR(__xludf.DUMMYFUNCTION("""COMPUTED_VALUE"""),"Ingwa Hydro Power Ltd,")</f>
        <v>Ingwa Hydro Power Ltd,</v>
      </c>
      <c r="J219" s="2" t="str">
        <f>IFERROR(__xludf.DUMMYFUNCTION("""COMPUTED_VALUE"""),"Trade Tower Thapathali-11; KTM; 01-5111093")</f>
        <v>Trade Tower Thapathali-11; KTM; 01-5111093</v>
      </c>
      <c r="K219" s="2" t="str">
        <f>IFERROR(__xludf.DUMMYFUNCTION("""COMPUTED_VALUE"""),"Switchyard of Project")</f>
        <v>Switchyard of Project</v>
      </c>
      <c r="L219" s="2" t="str">
        <f>IFERROR(__xludf.DUMMYFUNCTION("""COMPUTED_VALUE"""),"NEA Amarpur S/S")</f>
        <v>NEA Amarpur S/S</v>
      </c>
    </row>
    <row r="220">
      <c r="A220" s="2">
        <f>IFERROR(__xludf.DUMMYFUNCTION("""COMPUTED_VALUE"""),219.0)</f>
        <v>219</v>
      </c>
      <c r="B220" s="2" t="str">
        <f>IFERROR(__xludf.DUMMYFUNCTION("""COMPUTED_VALUE"""),"Mathillo Suri Khola Hydro Power Transmission Line Project")</f>
        <v>Mathillo Suri Khola Hydro Power Transmission Line Project</v>
      </c>
      <c r="C220" s="2">
        <f>IFERROR(__xludf.DUMMYFUNCTION("""COMPUTED_VALUE"""),33.0)</f>
        <v>33</v>
      </c>
      <c r="D220" s="2">
        <f>IFERROR(__xludf.DUMMYFUNCTION("""COMPUTED_VALUE"""),4.3)</f>
        <v>4.3</v>
      </c>
      <c r="E220" s="2">
        <f>IFERROR(__xludf.DUMMYFUNCTION("""COMPUTED_VALUE"""),7.0)</f>
        <v>7</v>
      </c>
      <c r="F220" s="2">
        <f>IFERROR(__xludf.DUMMYFUNCTION("""COMPUTED_VALUE"""),220.0)</f>
        <v>220</v>
      </c>
      <c r="G220" s="3">
        <f>IFERROR(__xludf.DUMMYFUNCTION("""COMPUTED_VALUE"""),65888.0)</f>
        <v>65888</v>
      </c>
      <c r="H220" s="3">
        <f>IFERROR(__xludf.DUMMYFUNCTION("""COMPUTED_VALUE"""),75017.0)</f>
        <v>75017</v>
      </c>
      <c r="I220" s="2" t="str">
        <f>IFERROR(__xludf.DUMMYFUNCTION("""COMPUTED_VALUE"""),"Shree Makar Jitumaya Hydro Power Pvt.Ltd.")</f>
        <v>Shree Makar Jitumaya Hydro Power Pvt.Ltd.</v>
      </c>
      <c r="J220" s="2" t="str">
        <f>IFERROR(__xludf.DUMMYFUNCTION("""COMPUTED_VALUE"""),"Tripureshwor,Kathmandu")</f>
        <v>Tripureshwor,Kathmandu</v>
      </c>
      <c r="K220" s="2" t="str">
        <f>IFERROR(__xludf.DUMMYFUNCTION("""COMPUTED_VALUE"""),"Switchyard of Mathillo Suri Khola Hydro")</f>
        <v>Switchyard of Mathillo Suri Khola Hydro</v>
      </c>
      <c r="L220" s="2" t="str">
        <f>IFERROR(__xludf.DUMMYFUNCTION("""COMPUTED_VALUE"""),"Switchyard of Suri Khola Hydro Power Pro")</f>
        <v>Switchyard of Suri Khola Hydro Power Pro</v>
      </c>
    </row>
    <row r="221">
      <c r="A221" s="2">
        <f>IFERROR(__xludf.DUMMYFUNCTION("""COMPUTED_VALUE"""),220.0)</f>
        <v>220</v>
      </c>
      <c r="B221" s="2" t="str">
        <f>IFERROR(__xludf.DUMMYFUNCTION("""COMPUTED_VALUE"""),"Sangu khola-1 Hydro Power Project")</f>
        <v>Sangu khola-1 Hydro Power Project</v>
      </c>
      <c r="C221" s="2">
        <f>IFERROR(__xludf.DUMMYFUNCTION("""COMPUTED_VALUE"""),33.0)</f>
        <v>33</v>
      </c>
      <c r="D221" s="2">
        <f>IFERROR(__xludf.DUMMYFUNCTION("""COMPUTED_VALUE"""),5.83)</f>
        <v>5.83</v>
      </c>
      <c r="E221" s="2">
        <f>IFERROR(__xludf.DUMMYFUNCTION("""COMPUTED_VALUE"""),5.5)</f>
        <v>5.5</v>
      </c>
      <c r="F221" s="2">
        <f>IFERROR(__xludf.DUMMYFUNCTION("""COMPUTED_VALUE"""),221.0)</f>
        <v>221</v>
      </c>
      <c r="G221" s="3">
        <f>IFERROR(__xludf.DUMMYFUNCTION("""COMPUTED_VALUE"""),65949.0)</f>
        <v>65949</v>
      </c>
      <c r="H221" s="3">
        <f>IFERROR(__xludf.DUMMYFUNCTION("""COMPUTED_VALUE"""),75078.0)</f>
        <v>75078</v>
      </c>
      <c r="I221" s="2" t="str">
        <f>IFERROR(__xludf.DUMMYFUNCTION("""COMPUTED_VALUE"""),"Him Parbat Hydropower Pvt. Ltd.")</f>
        <v>Him Parbat Hydropower Pvt. Ltd.</v>
      </c>
      <c r="J221" s="2" t="str">
        <f>IFERROR(__xludf.DUMMYFUNCTION("""COMPUTED_VALUE"""),"Tripureshwor, Kathmandu, Phone:- 4117008")</f>
        <v>Tripureshwor, Kathmandu, Phone:- 4117008</v>
      </c>
      <c r="K221" s="2" t="str">
        <f>IFERROR(__xludf.DUMMYFUNCTION("""COMPUTED_VALUE"""),"Switchyard of Sangu khola-1 Hydro Powe")</f>
        <v>Switchyard of Sangu khola-1 Hydro Powe</v>
      </c>
      <c r="L221" s="2" t="str">
        <f>IFERROR(__xludf.DUMMYFUNCTION("""COMPUTED_VALUE"""),"Switchyard of Sangu khola Hydro Power Pr")</f>
        <v>Switchyard of Sangu khola Hydro Power Pr</v>
      </c>
    </row>
    <row r="222">
      <c r="A222" s="2">
        <f>IFERROR(__xludf.DUMMYFUNCTION("""COMPUTED_VALUE"""),221.0)</f>
        <v>221</v>
      </c>
      <c r="B222" s="2" t="str">
        <f>IFERROR(__xludf.DUMMYFUNCTION("""COMPUTED_VALUE"""),"Chobar Patan 132 kV Transmission Line Project")</f>
        <v>Chobar Patan 132 kV Transmission Line Project</v>
      </c>
      <c r="C222" s="2">
        <f>IFERROR(__xludf.DUMMYFUNCTION("""COMPUTED_VALUE"""),132.0)</f>
        <v>132</v>
      </c>
      <c r="D222" s="2">
        <f>IFERROR(__xludf.DUMMYFUNCTION("""COMPUTED_VALUE"""),4.5)</f>
        <v>4.5</v>
      </c>
      <c r="E222" s="2">
        <f>IFERROR(__xludf.DUMMYFUNCTION("""COMPUTED_VALUE"""),300.0)</f>
        <v>300</v>
      </c>
      <c r="F222" s="2">
        <f>IFERROR(__xludf.DUMMYFUNCTION("""COMPUTED_VALUE"""),222.0)</f>
        <v>222</v>
      </c>
      <c r="G222" s="3">
        <f>IFERROR(__xludf.DUMMYFUNCTION("""COMPUTED_VALUE"""),65970.0)</f>
        <v>65970</v>
      </c>
      <c r="H222" s="3">
        <f>IFERROR(__xludf.DUMMYFUNCTION("""COMPUTED_VALUE"""),75099.0)</f>
        <v>75099</v>
      </c>
      <c r="I222" s="2" t="str">
        <f>IFERROR(__xludf.DUMMYFUNCTION("""COMPUTED_VALUE"""),"Nepal Electricity Authority")</f>
        <v>Nepal Electricity Authority</v>
      </c>
      <c r="J222" s="2" t="str">
        <f>IFERROR(__xludf.DUMMYFUNCTION("""COMPUTED_VALUE"""),"Durbar Marg, Kathmandu 01-4153007")</f>
        <v>Durbar Marg, Kathmandu 01-4153007</v>
      </c>
      <c r="K222" s="2" t="str">
        <f>IFERROR(__xludf.DUMMYFUNCTION("""COMPUTED_VALUE"""),"Chobar S/S")</f>
        <v>Chobar S/S</v>
      </c>
      <c r="L222" s="2" t="str">
        <f>IFERROR(__xludf.DUMMYFUNCTION("""COMPUTED_VALUE"""),"Patan S/S")</f>
        <v>Patan S/S</v>
      </c>
    </row>
    <row r="223">
      <c r="A223" s="2">
        <f>IFERROR(__xludf.DUMMYFUNCTION("""COMPUTED_VALUE"""),222.0)</f>
        <v>222</v>
      </c>
      <c r="B223" s="2" t="str">
        <f>IFERROR(__xludf.DUMMYFUNCTION("""COMPUTED_VALUE"""),"Chandrapur Sukdev Chowk 132kV Transmission Line Project")</f>
        <v>Chandrapur Sukdev Chowk 132kV Transmission Line Project</v>
      </c>
      <c r="C223" s="2">
        <f>IFERROR(__xludf.DUMMYFUNCTION("""COMPUTED_VALUE"""),132.0)</f>
        <v>132</v>
      </c>
      <c r="D223" s="2">
        <f>IFERROR(__xludf.DUMMYFUNCTION("""COMPUTED_VALUE"""),36.0)</f>
        <v>36</v>
      </c>
      <c r="E223" s="2">
        <f>IFERROR(__xludf.DUMMYFUNCTION("""COMPUTED_VALUE"""),200.0)</f>
        <v>200</v>
      </c>
      <c r="F223" s="2">
        <f>IFERROR(__xludf.DUMMYFUNCTION("""COMPUTED_VALUE"""),223.0)</f>
        <v>223</v>
      </c>
      <c r="G223" s="3">
        <f>IFERROR(__xludf.DUMMYFUNCTION("""COMPUTED_VALUE"""),65977.0)</f>
        <v>65977</v>
      </c>
      <c r="H223" s="3">
        <f>IFERROR(__xludf.DUMMYFUNCTION("""COMPUTED_VALUE"""),75106.0)</f>
        <v>75106</v>
      </c>
      <c r="I223" s="2" t="str">
        <f>IFERROR(__xludf.DUMMYFUNCTION("""COMPUTED_VALUE"""),"Nepal Electricity Authority")</f>
        <v>Nepal Electricity Authority</v>
      </c>
      <c r="J223" s="2" t="str">
        <f>IFERROR(__xludf.DUMMYFUNCTION("""COMPUTED_VALUE"""),"Main office,Darbarmarg,Kathmandu")</f>
        <v>Main office,Darbarmarg,Kathmandu</v>
      </c>
      <c r="K223" s="2" t="str">
        <f>IFERROR(__xludf.DUMMYFUNCTION("""COMPUTED_VALUE"""),"NEA ChandrpurSubstation")</f>
        <v>NEA ChandrpurSubstation</v>
      </c>
      <c r="L223" s="2" t="str">
        <f>IFERROR(__xludf.DUMMYFUNCTION("""COMPUTED_VALUE"""),"Proposed NEA Substation at Saruatha")</f>
        <v>Proposed NEA Substation at Saruatha</v>
      </c>
    </row>
    <row r="224">
      <c r="A224" s="2">
        <f>IFERROR(__xludf.DUMMYFUNCTION("""COMPUTED_VALUE"""),223.0)</f>
        <v>223</v>
      </c>
      <c r="B224" s="2" t="str">
        <f>IFERROR(__xludf.DUMMYFUNCTION("""COMPUTED_VALUE"""),"Upper Piluwa 3 HPP Transmission Line")</f>
        <v>Upper Piluwa 3 HPP Transmission Line</v>
      </c>
      <c r="C224" s="2">
        <f>IFERROR(__xludf.DUMMYFUNCTION("""COMPUTED_VALUE"""),33.0)</f>
        <v>33</v>
      </c>
      <c r="D224" s="2">
        <f>IFERROR(__xludf.DUMMYFUNCTION("""COMPUTED_VALUE"""),14.0)</f>
        <v>14</v>
      </c>
      <c r="E224" s="2">
        <f>IFERROR(__xludf.DUMMYFUNCTION("""COMPUTED_VALUE"""),4.95)</f>
        <v>4.95</v>
      </c>
      <c r="F224" s="2">
        <f>IFERROR(__xludf.DUMMYFUNCTION("""COMPUTED_VALUE"""),224.0)</f>
        <v>224</v>
      </c>
      <c r="G224" s="3">
        <f>IFERROR(__xludf.DUMMYFUNCTION("""COMPUTED_VALUE"""),65991.0)</f>
        <v>65991</v>
      </c>
      <c r="H224" s="3">
        <f>IFERROR(__xludf.DUMMYFUNCTION("""COMPUTED_VALUE"""),75120.0)</f>
        <v>75120</v>
      </c>
      <c r="I224" s="2" t="str">
        <f>IFERROR(__xludf.DUMMYFUNCTION("""COMPUTED_VALUE"""),"Mabilung Energy Ltd.")</f>
        <v>Mabilung Energy Ltd.</v>
      </c>
      <c r="J224" s="2" t="str">
        <f>IFERROR(__xludf.DUMMYFUNCTION("""COMPUTED_VALUE"""),"Lalitpur-10, Mobile: 9841509412; Email: mabilung@gmail.com")</f>
        <v>Lalitpur-10, Mobile: 9841509412; Email: mabilung@gmail.com</v>
      </c>
      <c r="K224" s="2" t="str">
        <f>IFERROR(__xludf.DUMMYFUNCTION("""COMPUTED_VALUE"""),"Switchyard of Project")</f>
        <v>Switchyard of Project</v>
      </c>
      <c r="L224" s="2" t="str">
        <f>IFERROR(__xludf.DUMMYFUNCTION("""COMPUTED_VALUE"""),"NEA Baneshwar S/S Sankhuwasabha")</f>
        <v>NEA Baneshwar S/S Sankhuwasabha</v>
      </c>
    </row>
    <row r="225">
      <c r="A225" s="2">
        <f>IFERROR(__xludf.DUMMYFUNCTION("""COMPUTED_VALUE"""),224.0)</f>
        <v>224</v>
      </c>
      <c r="B225" s="2" t="str">
        <f>IFERROR(__xludf.DUMMYFUNCTION("""COMPUTED_VALUE"""),"Lower Erkhuwa Khola Transmission Line Project")</f>
        <v>Lower Erkhuwa Khola Transmission Line Project</v>
      </c>
      <c r="C225" s="2">
        <f>IFERROR(__xludf.DUMMYFUNCTION("""COMPUTED_VALUE"""),33.0)</f>
        <v>33</v>
      </c>
      <c r="D225" s="2">
        <f>IFERROR(__xludf.DUMMYFUNCTION("""COMPUTED_VALUE"""),3.1)</f>
        <v>3.1</v>
      </c>
      <c r="E225" s="2">
        <f>IFERROR(__xludf.DUMMYFUNCTION("""COMPUTED_VALUE"""),14.15)</f>
        <v>14.15</v>
      </c>
      <c r="F225" s="2">
        <f>IFERROR(__xludf.DUMMYFUNCTION("""COMPUTED_VALUE"""),225.0)</f>
        <v>225</v>
      </c>
      <c r="G225" s="3">
        <f>IFERROR(__xludf.DUMMYFUNCTION("""COMPUTED_VALUE"""),65997.0)</f>
        <v>65997</v>
      </c>
      <c r="H225" s="3">
        <f>IFERROR(__xludf.DUMMYFUNCTION("""COMPUTED_VALUE"""),75126.0)</f>
        <v>75126</v>
      </c>
      <c r="I225" s="2" t="str">
        <f>IFERROR(__xludf.DUMMYFUNCTION("""COMPUTED_VALUE"""),"Lower Erkhuwa Hydropower Co. Pvt. Ltd.")</f>
        <v>Lower Erkhuwa Hydropower Co. Pvt. Ltd.</v>
      </c>
      <c r="J225" s="2" t="str">
        <f>IFERROR(__xludf.DUMMYFUNCTION("""COMPUTED_VALUE"""),"Binayak Nagar, KTM-10; 015172683/85")</f>
        <v>Binayak Nagar, KTM-10; 015172683/85</v>
      </c>
      <c r="K225" s="2" t="str">
        <f>IFERROR(__xludf.DUMMYFUNCTION("""COMPUTED_VALUE"""),"Switchyard of Lower ErkhuwaProject")</f>
        <v>Switchyard of Lower ErkhuwaProject</v>
      </c>
      <c r="L225" s="2" t="str">
        <f>IFERROR(__xludf.DUMMYFUNCTION("""COMPUTED_VALUE"""),"Switchyard of Chirkhuwa HEP")</f>
        <v>Switchyard of Chirkhuwa HEP</v>
      </c>
    </row>
    <row r="226">
      <c r="A226" s="2">
        <f>IFERROR(__xludf.DUMMYFUNCTION("""COMPUTED_VALUE"""),225.0)</f>
        <v>225</v>
      </c>
      <c r="B226" s="2" t="str">
        <f>IFERROR(__xludf.DUMMYFUNCTION("""COMPUTED_VALUE"""),"Rele khola Transmission Line Project")</f>
        <v>Rele khola Transmission Line Project</v>
      </c>
      <c r="C226" s="2">
        <f>IFERROR(__xludf.DUMMYFUNCTION("""COMPUTED_VALUE"""),33.0)</f>
        <v>33</v>
      </c>
      <c r="D226" s="2">
        <f>IFERROR(__xludf.DUMMYFUNCTION("""COMPUTED_VALUE"""),4.23)</f>
        <v>4.23</v>
      </c>
      <c r="E226" s="2">
        <f>IFERROR(__xludf.DUMMYFUNCTION("""COMPUTED_VALUE"""),6.0)</f>
        <v>6</v>
      </c>
      <c r="F226" s="2">
        <f>IFERROR(__xludf.DUMMYFUNCTION("""COMPUTED_VALUE"""),226.0)</f>
        <v>226</v>
      </c>
      <c r="G226" s="3">
        <f>IFERROR(__xludf.DUMMYFUNCTION("""COMPUTED_VALUE"""),66033.0)</f>
        <v>66033</v>
      </c>
      <c r="H226" s="3">
        <f>IFERROR(__xludf.DUMMYFUNCTION("""COMPUTED_VALUE"""),75162.0)</f>
        <v>75162</v>
      </c>
      <c r="I226" s="2" t="str">
        <f>IFERROR(__xludf.DUMMYFUNCTION("""COMPUTED_VALUE"""),"Him Consult Pvt.Ltd.")</f>
        <v>Him Consult Pvt.Ltd.</v>
      </c>
      <c r="J226" s="2" t="str">
        <f>IFERROR(__xludf.DUMMYFUNCTION("""COMPUTED_VALUE"""),"sahavagita marg 10 ,kathmandu,nepal")</f>
        <v>sahavagita marg 10 ,kathmandu,nepal</v>
      </c>
      <c r="K226" s="2" t="str">
        <f>IFERROR(__xludf.DUMMYFUNCTION("""COMPUTED_VALUE"""),"Switchyard of Rele khola HEP")</f>
        <v>Switchyard of Rele khola HEP</v>
      </c>
      <c r="L226" s="2" t="str">
        <f>IFERROR(__xludf.DUMMYFUNCTION("""COMPUTED_VALUE"""),"Dana substation")</f>
        <v>Dana substation</v>
      </c>
    </row>
    <row r="227">
      <c r="A227" s="2">
        <f>IFERROR(__xludf.DUMMYFUNCTION("""COMPUTED_VALUE"""),226.0)</f>
        <v>226</v>
      </c>
      <c r="B227" s="2" t="str">
        <f>IFERROR(__xludf.DUMMYFUNCTION("""COMPUTED_VALUE"""),"Bafikot- Khungri 132 kV Transmission Line")</f>
        <v>Bafikot- Khungri 132 kV Transmission Line</v>
      </c>
      <c r="C227" s="2">
        <f>IFERROR(__xludf.DUMMYFUNCTION("""COMPUTED_VALUE"""),132.0)</f>
        <v>132</v>
      </c>
      <c r="D227" s="2">
        <f>IFERROR(__xludf.DUMMYFUNCTION("""COMPUTED_VALUE"""),75.0)</f>
        <v>75</v>
      </c>
      <c r="E227" s="2">
        <f>IFERROR(__xludf.DUMMYFUNCTION("""COMPUTED_VALUE"""),200.0)</f>
        <v>200</v>
      </c>
      <c r="F227" s="2">
        <f>IFERROR(__xludf.DUMMYFUNCTION("""COMPUTED_VALUE"""),227.0)</f>
        <v>227</v>
      </c>
      <c r="G227" s="3">
        <f>IFERROR(__xludf.DUMMYFUNCTION("""COMPUTED_VALUE"""),66033.0)</f>
        <v>66033</v>
      </c>
      <c r="H227" s="3">
        <f>IFERROR(__xludf.DUMMYFUNCTION("""COMPUTED_VALUE"""),75162.0)</f>
        <v>75162</v>
      </c>
      <c r="I227" s="2" t="str">
        <f>IFERROR(__xludf.DUMMYFUNCTION("""COMPUTED_VALUE"""),"Nepal Electricity Authority")</f>
        <v>Nepal Electricity Authority</v>
      </c>
      <c r="J227" s="2" t="str">
        <f>IFERROR(__xludf.DUMMYFUNCTION("""COMPUTED_VALUE"""),"Durbarmarg, Kathmandu")</f>
        <v>Durbarmarg, Kathmandu</v>
      </c>
      <c r="K227" s="2" t="str">
        <f>IFERROR(__xludf.DUMMYFUNCTION("""COMPUTED_VALUE"""),"Uttarganga Hub Substation at Banphikot,")</f>
        <v>Uttarganga Hub Substation at Banphikot,</v>
      </c>
      <c r="L227" s="2" t="str">
        <f>IFERROR(__xludf.DUMMYFUNCTION("""COMPUTED_VALUE"""),"Proposed Khungri Substation at Khungri")</f>
        <v>Proposed Khungri Substation at Khungri</v>
      </c>
    </row>
    <row r="228">
      <c r="A228" s="2">
        <f>IFERROR(__xludf.DUMMYFUNCTION("""COMPUTED_VALUE"""),227.0)</f>
        <v>227</v>
      </c>
      <c r="B228" s="2" t="str">
        <f>IFERROR(__xludf.DUMMYFUNCTION("""COMPUTED_VALUE"""),"Junbesi Khola HPP Transmission Line Project")</f>
        <v>Junbesi Khola HPP Transmission Line Project</v>
      </c>
      <c r="C228" s="2">
        <f>IFERROR(__xludf.DUMMYFUNCTION("""COMPUTED_VALUE"""),33.0)</f>
        <v>33</v>
      </c>
      <c r="D228" s="2">
        <f>IFERROR(__xludf.DUMMYFUNCTION("""COMPUTED_VALUE"""),6.0)</f>
        <v>6</v>
      </c>
      <c r="E228" s="2">
        <f>IFERROR(__xludf.DUMMYFUNCTION("""COMPUTED_VALUE"""),5.2)</f>
        <v>5.2</v>
      </c>
      <c r="F228" s="2">
        <f>IFERROR(__xludf.DUMMYFUNCTION("""COMPUTED_VALUE"""),228.0)</f>
        <v>228</v>
      </c>
      <c r="G228" s="3">
        <f>IFERROR(__xludf.DUMMYFUNCTION("""COMPUTED_VALUE"""),66035.0)</f>
        <v>66035</v>
      </c>
      <c r="H228" s="3">
        <f>IFERROR(__xludf.DUMMYFUNCTION("""COMPUTED_VALUE"""),75164.0)</f>
        <v>75164</v>
      </c>
      <c r="I228" s="2" t="str">
        <f>IFERROR(__xludf.DUMMYFUNCTION("""COMPUTED_VALUE"""),"Dovan Hydropower Pvt. Ltd.")</f>
        <v>Dovan Hydropower Pvt. Ltd.</v>
      </c>
      <c r="J228" s="2" t="str">
        <f>IFERROR(__xludf.DUMMYFUNCTION("""COMPUTED_VALUE"""),"Min Bhawan, New baneshwor KTM; 01-6214401, dovanhydropp@gmail.com")</f>
        <v>Min Bhawan, New baneshwor KTM; 01-6214401, dovanhydropp@gmail.com</v>
      </c>
      <c r="K228" s="2" t="str">
        <f>IFERROR(__xludf.DUMMYFUNCTION("""COMPUTED_VALUE"""),"Switchyard of Project")</f>
        <v>Switchyard of Project</v>
      </c>
      <c r="L228" s="2" t="str">
        <f>IFERROR(__xludf.DUMMYFUNCTION("""COMPUTED_VALUE"""),"Switchyard of Upper Solukhola HEP")</f>
        <v>Switchyard of Upper Solukhola HEP</v>
      </c>
    </row>
    <row r="229">
      <c r="A229" s="2">
        <f>IFERROR(__xludf.DUMMYFUNCTION("""COMPUTED_VALUE"""),228.0)</f>
        <v>228</v>
      </c>
      <c r="B229" s="2" t="str">
        <f>IFERROR(__xludf.DUMMYFUNCTION("""COMPUTED_VALUE"""),"Thulo Khola HPP 220 kVTransmission Line Project")</f>
        <v>Thulo Khola HPP 220 kVTransmission Line Project</v>
      </c>
      <c r="C229" s="2">
        <f>IFERROR(__xludf.DUMMYFUNCTION("""COMPUTED_VALUE"""),220.0)</f>
        <v>220</v>
      </c>
      <c r="D229" s="2">
        <f>IFERROR(__xludf.DUMMYFUNCTION("""COMPUTED_VALUE"""),8.4)</f>
        <v>8.4</v>
      </c>
      <c r="E229" s="2">
        <f>IFERROR(__xludf.DUMMYFUNCTION("""COMPUTED_VALUE"""),43.8)</f>
        <v>43.8</v>
      </c>
      <c r="F229" s="2">
        <f>IFERROR(__xludf.DUMMYFUNCTION("""COMPUTED_VALUE"""),229.0)</f>
        <v>229</v>
      </c>
      <c r="G229" s="3">
        <f>IFERROR(__xludf.DUMMYFUNCTION("""COMPUTED_VALUE"""),66053.0)</f>
        <v>66053</v>
      </c>
      <c r="H229" s="3">
        <f>IFERROR(__xludf.DUMMYFUNCTION("""COMPUTED_VALUE"""),75182.0)</f>
        <v>75182</v>
      </c>
      <c r="I229" s="2" t="str">
        <f>IFERROR(__xludf.DUMMYFUNCTION("""COMPUTED_VALUE"""),"Samyukta Urja Private Limited")</f>
        <v>Samyukta Urja Private Limited</v>
      </c>
      <c r="J229" s="2" t="str">
        <f>IFERROR(__xludf.DUMMYFUNCTION("""COMPUTED_VALUE"""),"Kupandole, Lalitpur; 9841599452")</f>
        <v>Kupandole, Lalitpur; 9841599452</v>
      </c>
      <c r="K229" s="2" t="str">
        <f>IFERROR(__xludf.DUMMYFUNCTION("""COMPUTED_VALUE"""),"Switchyard of Thulo Khola HPP")</f>
        <v>Switchyard of Thulo Khola HPP</v>
      </c>
      <c r="L229" s="2" t="str">
        <f>IFERROR(__xludf.DUMMYFUNCTION("""COMPUTED_VALUE"""),"220 kVSwitchyard of Rahughat Mangle HPP")</f>
        <v>220 kVSwitchyard of Rahughat Mangle HPP</v>
      </c>
    </row>
    <row r="230">
      <c r="A230" s="2">
        <f>IFERROR(__xludf.DUMMYFUNCTION("""COMPUTED_VALUE"""),229.0)</f>
        <v>229</v>
      </c>
      <c r="B230" s="2" t="str">
        <f>IFERROR(__xludf.DUMMYFUNCTION("""COMPUTED_VALUE"""),"New Butwal Lamahi Transmission Line")</f>
        <v>New Butwal Lamahi Transmission Line</v>
      </c>
      <c r="C230" s="2">
        <f>IFERROR(__xludf.DUMMYFUNCTION("""COMPUTED_VALUE"""),400.0)</f>
        <v>400</v>
      </c>
      <c r="D230" s="2">
        <f>IFERROR(__xludf.DUMMYFUNCTION("""COMPUTED_VALUE"""),160.8)</f>
        <v>160.8</v>
      </c>
      <c r="E230" s="2">
        <f>IFERROR(__xludf.DUMMYFUNCTION("""COMPUTED_VALUE"""),4000.0)</f>
        <v>4000</v>
      </c>
      <c r="F230" s="2">
        <f>IFERROR(__xludf.DUMMYFUNCTION("""COMPUTED_VALUE"""),230.0)</f>
        <v>230</v>
      </c>
      <c r="G230" s="3">
        <f>IFERROR(__xludf.DUMMYFUNCTION("""COMPUTED_VALUE"""),66077.0)</f>
        <v>66077</v>
      </c>
      <c r="H230" s="3">
        <f>IFERROR(__xludf.DUMMYFUNCTION("""COMPUTED_VALUE"""),75206.0)</f>
        <v>75206</v>
      </c>
      <c r="I230" s="2" t="str">
        <f>IFERROR(__xludf.DUMMYFUNCTION("""COMPUTED_VALUE"""),"Nepal Electricity Authority")</f>
        <v>Nepal Electricity Authority</v>
      </c>
      <c r="J230" s="2" t="str">
        <f>IFERROR(__xludf.DUMMYFUNCTION("""COMPUTED_VALUE"""),"Durbarmarga Kathmandu")</f>
        <v>Durbarmarga Kathmandu</v>
      </c>
      <c r="K230" s="2" t="str">
        <f>IFERROR(__xludf.DUMMYFUNCTION("""COMPUTED_VALUE"""),"New Butwal Substation")</f>
        <v>New Butwal Substation</v>
      </c>
      <c r="L230" s="2" t="str">
        <f>IFERROR(__xludf.DUMMYFUNCTION("""COMPUTED_VALUE"""),"Lamahi Substation")</f>
        <v>Lamahi Substation</v>
      </c>
    </row>
    <row r="231">
      <c r="A231" s="2">
        <f>IFERROR(__xludf.DUMMYFUNCTION("""COMPUTED_VALUE"""),230.0)</f>
        <v>230</v>
      </c>
      <c r="B231" s="2" t="str">
        <f>IFERROR(__xludf.DUMMYFUNCTION("""COMPUTED_VALUE"""),"Arun Corridor (Haitar- Sitalpati) 400 kV Transmission Line Project")</f>
        <v>Arun Corridor (Haitar- Sitalpati) 400 kV Transmission Line Project</v>
      </c>
      <c r="C231" s="2">
        <f>IFERROR(__xludf.DUMMYFUNCTION("""COMPUTED_VALUE"""),400.0)</f>
        <v>400</v>
      </c>
      <c r="D231" s="2">
        <f>IFERROR(__xludf.DUMMYFUNCTION("""COMPUTED_VALUE"""),35.0)</f>
        <v>35</v>
      </c>
      <c r="E231" s="2">
        <f>IFERROR(__xludf.DUMMYFUNCTION("""COMPUTED_VALUE"""),4400.0)</f>
        <v>4400</v>
      </c>
      <c r="F231" s="2">
        <f>IFERROR(__xludf.DUMMYFUNCTION("""COMPUTED_VALUE"""),231.0)</f>
        <v>231</v>
      </c>
      <c r="G231" s="3">
        <f>IFERROR(__xludf.DUMMYFUNCTION("""COMPUTED_VALUE"""),66080.0)</f>
        <v>66080</v>
      </c>
      <c r="H231" s="3">
        <f>IFERROR(__xludf.DUMMYFUNCTION("""COMPUTED_VALUE"""),75209.0)</f>
        <v>75209</v>
      </c>
      <c r="I231" s="2" t="str">
        <f>IFERROR(__xludf.DUMMYFUNCTION("""COMPUTED_VALUE"""),"Rastriya Prasaran Grid Company Ltd")</f>
        <v>Rastriya Prasaran Grid Company Ltd</v>
      </c>
      <c r="J231" s="2" t="str">
        <f>IFERROR(__xludf.DUMMYFUNCTION("""COMPUTED_VALUE"""),"DCC Bhawan Babarmahal, Kathmandu; 01-4222693; rpgcl.np@gmail.com")</f>
        <v>DCC Bhawan Babarmahal, Kathmandu; 01-4222693; rpgcl.np@gmail.com</v>
      </c>
      <c r="K231" s="2" t="str">
        <f>IFERROR(__xludf.DUMMYFUNCTION("""COMPUTED_VALUE"""),"Haitar S/S")</f>
        <v>Haitar S/S</v>
      </c>
      <c r="L231" s="2" t="str">
        <f>IFERROR(__xludf.DUMMYFUNCTION("""COMPUTED_VALUE"""),"Sitalpati S/S")</f>
        <v>Sitalpati S/S</v>
      </c>
    </row>
    <row r="232">
      <c r="A232" s="2">
        <f>IFERROR(__xludf.DUMMYFUNCTION("""COMPUTED_VALUE"""),231.0)</f>
        <v>231</v>
      </c>
      <c r="B232" s="2" t="str">
        <f>IFERROR(__xludf.DUMMYFUNCTION("""COMPUTED_VALUE"""),"Lower Modi New Modi 132 kV Transmission Line Project")</f>
        <v>Lower Modi New Modi 132 kV Transmission Line Project</v>
      </c>
      <c r="C232" s="2">
        <f>IFERROR(__xludf.DUMMYFUNCTION("""COMPUTED_VALUE"""),132.0)</f>
        <v>132</v>
      </c>
      <c r="D232" s="2">
        <f>IFERROR(__xludf.DUMMYFUNCTION("""COMPUTED_VALUE"""),8.51)</f>
        <v>8.51</v>
      </c>
      <c r="E232" s="2">
        <f>IFERROR(__xludf.DUMMYFUNCTION("""COMPUTED_VALUE"""),200.0)</f>
        <v>200</v>
      </c>
      <c r="F232" s="2">
        <f>IFERROR(__xludf.DUMMYFUNCTION("""COMPUTED_VALUE"""),232.0)</f>
        <v>232</v>
      </c>
      <c r="G232" s="3">
        <f>IFERROR(__xludf.DUMMYFUNCTION("""COMPUTED_VALUE"""),66092.0)</f>
        <v>66092</v>
      </c>
      <c r="H232" s="3">
        <f>IFERROR(__xludf.DUMMYFUNCTION("""COMPUTED_VALUE"""),75221.0)</f>
        <v>75221</v>
      </c>
      <c r="I232" s="2" t="str">
        <f>IFERROR(__xludf.DUMMYFUNCTION("""COMPUTED_VALUE"""),"Nepal Electricity Authority")</f>
        <v>Nepal Electricity Authority</v>
      </c>
      <c r="J232" s="2" t="str">
        <f>IFERROR(__xludf.DUMMYFUNCTION("""COMPUTED_VALUE"""),"Durbar Marg, Kathmandu 01-4153007")</f>
        <v>Durbar Marg, Kathmandu 01-4153007</v>
      </c>
      <c r="K232" s="2" t="str">
        <f>IFERROR(__xludf.DUMMYFUNCTION("""COMPUTED_VALUE"""),"Lower Modi S/S")</f>
        <v>Lower Modi S/S</v>
      </c>
      <c r="L232" s="2" t="str">
        <f>IFERROR(__xludf.DUMMYFUNCTION("""COMPUTED_VALUE"""),"New Modi S/S")</f>
        <v>New Modi S/S</v>
      </c>
    </row>
    <row r="233">
      <c r="A233" s="2">
        <f>IFERROR(__xludf.DUMMYFUNCTION("""COMPUTED_VALUE"""),232.0)</f>
        <v>232</v>
      </c>
      <c r="B233" s="2" t="str">
        <f>IFERROR(__xludf.DUMMYFUNCTION("""COMPUTED_VALUE"""),"Prasauni Birgaunj 132 kV Underground Transmission Line")</f>
        <v>Prasauni Birgaunj 132 kV Underground Transmission Line</v>
      </c>
      <c r="C233" s="2">
        <f>IFERROR(__xludf.DUMMYFUNCTION("""COMPUTED_VALUE"""),132.0)</f>
        <v>132</v>
      </c>
      <c r="D233" s="2">
        <f>IFERROR(__xludf.DUMMYFUNCTION("""COMPUTED_VALUE"""),3.2)</f>
        <v>3.2</v>
      </c>
      <c r="E233" s="2">
        <f>IFERROR(__xludf.DUMMYFUNCTION("""COMPUTED_VALUE"""),300.0)</f>
        <v>300</v>
      </c>
      <c r="F233" s="2">
        <f>IFERROR(__xludf.DUMMYFUNCTION("""COMPUTED_VALUE"""),233.0)</f>
        <v>233</v>
      </c>
      <c r="G233" s="3">
        <f>IFERROR(__xludf.DUMMYFUNCTION("""COMPUTED_VALUE"""),66092.0)</f>
        <v>66092</v>
      </c>
      <c r="H233" s="3">
        <f>IFERROR(__xludf.DUMMYFUNCTION("""COMPUTED_VALUE"""),75221.0)</f>
        <v>75221</v>
      </c>
      <c r="I233" s="2" t="str">
        <f>IFERROR(__xludf.DUMMYFUNCTION("""COMPUTED_VALUE"""),"Nepal Electricity Authority")</f>
        <v>Nepal Electricity Authority</v>
      </c>
      <c r="J233" s="2" t="str">
        <f>IFERROR(__xludf.DUMMYFUNCTION("""COMPUTED_VALUE"""),"Durbar Marg, Kathmandu 01-4153007")</f>
        <v>Durbar Marg, Kathmandu 01-4153007</v>
      </c>
      <c r="K233" s="2" t="str">
        <f>IFERROR(__xludf.DUMMYFUNCTION("""COMPUTED_VALUE"""),"Proposed Prasauni S/S")</f>
        <v>Proposed Prasauni S/S</v>
      </c>
      <c r="L233" s="2" t="str">
        <f>IFERROR(__xludf.DUMMYFUNCTION("""COMPUTED_VALUE"""),"NEA Birgunj (Gandak) S/S")</f>
        <v>NEA Birgunj (Gandak) S/S</v>
      </c>
    </row>
    <row r="234">
      <c r="A234" s="2">
        <f>IFERROR(__xludf.DUMMYFUNCTION("""COMPUTED_VALUE"""),233.0)</f>
        <v>233</v>
      </c>
      <c r="B234" s="2" t="str">
        <f>IFERROR(__xludf.DUMMYFUNCTION("""COMPUTED_VALUE"""),"Luja Kola &amp; Rauje Khola- Tingla Transmission Line Project")</f>
        <v>Luja Kola &amp; Rauje Khola- Tingla Transmission Line Project</v>
      </c>
      <c r="C234" s="2">
        <f>IFERROR(__xludf.DUMMYFUNCTION("""COMPUTED_VALUE"""),132.0)</f>
        <v>132</v>
      </c>
      <c r="D234" s="2">
        <f>IFERROR(__xludf.DUMMYFUNCTION("""COMPUTED_VALUE"""),32.84)</f>
        <v>32.84</v>
      </c>
      <c r="E234" s="2">
        <f>IFERROR(__xludf.DUMMYFUNCTION("""COMPUTED_VALUE"""),42.88)</f>
        <v>42.88</v>
      </c>
      <c r="F234" s="2">
        <f>IFERROR(__xludf.DUMMYFUNCTION("""COMPUTED_VALUE"""),234.0)</f>
        <v>234</v>
      </c>
      <c r="G234" s="3">
        <f>IFERROR(__xludf.DUMMYFUNCTION("""COMPUTED_VALUE"""),66108.0)</f>
        <v>66108</v>
      </c>
      <c r="H234" s="3">
        <f>IFERROR(__xludf.DUMMYFUNCTION("""COMPUTED_VALUE"""),75237.0)</f>
        <v>75237</v>
      </c>
      <c r="I234" s="2" t="str">
        <f>IFERROR(__xludf.DUMMYFUNCTION("""COMPUTED_VALUE"""),"Silk Power Pvt. Ltd.")</f>
        <v>Silk Power Pvt. Ltd.</v>
      </c>
      <c r="J234" s="2" t="str">
        <f>IFERROR(__xludf.DUMMYFUNCTION("""COMPUTED_VALUE"""),"Madhyapur Thimi-3, Bhaktapur; 9841018543")</f>
        <v>Madhyapur Thimi-3, Bhaktapur; 9841018543</v>
      </c>
      <c r="K234" s="2" t="str">
        <f>IFERROR(__xludf.DUMMYFUNCTION("""COMPUTED_VALUE"""),"Switchyard of Luja Khola Project")</f>
        <v>Switchyard of Luja Khola Project</v>
      </c>
      <c r="L234" s="2" t="str">
        <f>IFERROR(__xludf.DUMMYFUNCTION("""COMPUTED_VALUE"""),"NEA Tingla S/S")</f>
        <v>NEA Tingla S/S</v>
      </c>
    </row>
    <row r="235">
      <c r="A235" s="2">
        <f>IFERROR(__xludf.DUMMYFUNCTION("""COMPUTED_VALUE"""),234.0)</f>
        <v>234</v>
      </c>
      <c r="B235" s="2" t="str">
        <f>IFERROR(__xludf.DUMMYFUNCTION("""COMPUTED_VALUE"""),"Dudhkund Khola Tingala Transmission Line Project")</f>
        <v>Dudhkund Khola Tingala Transmission Line Project</v>
      </c>
      <c r="C235" s="2">
        <f>IFERROR(__xludf.DUMMYFUNCTION("""COMPUTED_VALUE"""),33.0)</f>
        <v>33</v>
      </c>
      <c r="D235" s="2">
        <f>IFERROR(__xludf.DUMMYFUNCTION("""COMPUTED_VALUE"""),24.58)</f>
        <v>24.58</v>
      </c>
      <c r="E235" s="2">
        <f>IFERROR(__xludf.DUMMYFUNCTION("""COMPUTED_VALUE"""),12.0)</f>
        <v>12</v>
      </c>
      <c r="F235" s="2">
        <f>IFERROR(__xludf.DUMMYFUNCTION("""COMPUTED_VALUE"""),235.0)</f>
        <v>235</v>
      </c>
      <c r="G235" s="3">
        <f>IFERROR(__xludf.DUMMYFUNCTION("""COMPUTED_VALUE"""),66131.0)</f>
        <v>66131</v>
      </c>
      <c r="H235" s="3">
        <f>IFERROR(__xludf.DUMMYFUNCTION("""COMPUTED_VALUE"""),75260.0)</f>
        <v>75260</v>
      </c>
      <c r="I235" s="2" t="str">
        <f>IFERROR(__xludf.DUMMYFUNCTION("""COMPUTED_VALUE"""),"Mount Everest Power Development Pvt. Ltd.")</f>
        <v>Mount Everest Power Development Pvt. Ltd.</v>
      </c>
      <c r="J235" s="2" t="str">
        <f>IFERROR(__xludf.DUMMYFUNCTION("""COMPUTED_VALUE"""),"Lalitpur Metropolitan-15, Mahalaxmisthan; 01-5527469, 
mounteverestpower@gmail.co")</f>
        <v>Lalitpur Metropolitan-15, Mahalaxmisthan; 01-5527469, 
mounteverestpower@gmail.co</v>
      </c>
      <c r="K235" s="2" t="str">
        <f>IFERROR(__xludf.DUMMYFUNCTION("""COMPUTED_VALUE"""),"Switchyard of Project")</f>
        <v>Switchyard of Project</v>
      </c>
      <c r="L235" s="2" t="str">
        <f>IFERROR(__xludf.DUMMYFUNCTION("""COMPUTED_VALUE"""),"NEA Tingla S/S")</f>
        <v>NEA Tingla S/S</v>
      </c>
    </row>
    <row r="236">
      <c r="A236" s="2">
        <f>IFERROR(__xludf.DUMMYFUNCTION("""COMPUTED_VALUE"""),235.0)</f>
        <v>235</v>
      </c>
      <c r="B236" s="2" t="str">
        <f>IFERROR(__xludf.DUMMYFUNCTION("""COMPUTED_VALUE"""),"Madame Khola - Super Madi Transmission Line Project")</f>
        <v>Madame Khola - Super Madi Transmission Line Project</v>
      </c>
      <c r="C236" s="2">
        <f>IFERROR(__xludf.DUMMYFUNCTION("""COMPUTED_VALUE"""),132.0)</f>
        <v>132</v>
      </c>
      <c r="D236" s="2">
        <f>IFERROR(__xludf.DUMMYFUNCTION("""COMPUTED_VALUE"""),13.43)</f>
        <v>13.43</v>
      </c>
      <c r="E236" s="2">
        <f>IFERROR(__xludf.DUMMYFUNCTION("""COMPUTED_VALUE"""),24.0)</f>
        <v>24</v>
      </c>
      <c r="F236" s="2">
        <f>IFERROR(__xludf.DUMMYFUNCTION("""COMPUTED_VALUE"""),236.0)</f>
        <v>236</v>
      </c>
      <c r="G236" s="3">
        <f>IFERROR(__xludf.DUMMYFUNCTION("""COMPUTED_VALUE"""),66132.0)</f>
        <v>66132</v>
      </c>
      <c r="H236" s="3">
        <f>IFERROR(__xludf.DUMMYFUNCTION("""COMPUTED_VALUE"""),75261.0)</f>
        <v>75261</v>
      </c>
      <c r="I236" s="2" t="str">
        <f>IFERROR(__xludf.DUMMYFUNCTION("""COMPUTED_VALUE"""),"Madame Khola Hydropower Pvt. Ltd.")</f>
        <v>Madame Khola Hydropower Pvt. Ltd.</v>
      </c>
      <c r="J236" s="2" t="str">
        <f>IFERROR(__xludf.DUMMYFUNCTION("""COMPUTED_VALUE"""),"Devkota Sadak-40781, Mid Baneshwor, Kathmandu-34; 01-4480564; 
info@madamehydro.c")</f>
        <v>Devkota Sadak-40781, Mid Baneshwor, Kathmandu-34; 01-4480564; 
info@madamehydro.c</v>
      </c>
      <c r="K236" s="2" t="str">
        <f>IFERROR(__xludf.DUMMYFUNCTION("""COMPUTED_VALUE"""),"Switchyard of Project")</f>
        <v>Switchyard of Project</v>
      </c>
      <c r="L236" s="2" t="str">
        <f>IFERROR(__xludf.DUMMYFUNCTION("""COMPUTED_VALUE"""),"Switchyard of Super Madi HPP")</f>
        <v>Switchyard of Super Madi HPP</v>
      </c>
    </row>
    <row r="237">
      <c r="A237" s="2">
        <f>IFERROR(__xludf.DUMMYFUNCTION("""COMPUTED_VALUE"""),236.0)</f>
        <v>236</v>
      </c>
      <c r="B237" s="2" t="str">
        <f>IFERROR(__xludf.DUMMYFUNCTION("""COMPUTED_VALUE"""),"Seti Khola 33 kV Transmission Line Project")</f>
        <v>Seti Khola 33 kV Transmission Line Project</v>
      </c>
      <c r="C237" s="2">
        <f>IFERROR(__xludf.DUMMYFUNCTION("""COMPUTED_VALUE"""),33.0)</f>
        <v>33</v>
      </c>
      <c r="D237" s="2">
        <f>IFERROR(__xludf.DUMMYFUNCTION("""COMPUTED_VALUE"""),12.27)</f>
        <v>12.27</v>
      </c>
      <c r="E237" s="2">
        <f>IFERROR(__xludf.DUMMYFUNCTION("""COMPUTED_VALUE"""),3.5)</f>
        <v>3.5</v>
      </c>
      <c r="F237" s="2">
        <f>IFERROR(__xludf.DUMMYFUNCTION("""COMPUTED_VALUE"""),237.0)</f>
        <v>237</v>
      </c>
      <c r="G237" s="3">
        <f>IFERROR(__xludf.DUMMYFUNCTION("""COMPUTED_VALUE"""),66139.0)</f>
        <v>66139</v>
      </c>
      <c r="H237" s="3">
        <f>IFERROR(__xludf.DUMMYFUNCTION("""COMPUTED_VALUE"""),75268.0)</f>
        <v>75268</v>
      </c>
      <c r="I237" s="2" t="str">
        <f>IFERROR(__xludf.DUMMYFUNCTION("""COMPUTED_VALUE"""),"Parbat Painya Khola Hydropower Company Pvt. Ltd.")</f>
        <v>Parbat Painya Khola Hydropower Company Pvt. Ltd.</v>
      </c>
      <c r="J237" s="2" t="str">
        <f>IFERROR(__xludf.DUMMYFUNCTION("""COMPUTED_VALUE"""),"Tokha-05, Dhapasi, Kathmandu 01-4365425")</f>
        <v>Tokha-05, Dhapasi, Kathmandu 01-4365425</v>
      </c>
      <c r="K237" s="2" t="str">
        <f>IFERROR(__xludf.DUMMYFUNCTION("""COMPUTED_VALUE"""),"Switchyard of Project")</f>
        <v>Switchyard of Project</v>
      </c>
      <c r="L237" s="2" t="str">
        <f>IFERROR(__xludf.DUMMYFUNCTION("""COMPUTED_VALUE"""),"NEA, Lankhu S/S")</f>
        <v>NEA, Lankhu S/S</v>
      </c>
    </row>
    <row r="238">
      <c r="A238" s="2">
        <f>IFERROR(__xludf.DUMMYFUNCTION("""COMPUTED_VALUE"""),237.0)</f>
        <v>237</v>
      </c>
      <c r="B238" s="2" t="str">
        <f>IFERROR(__xludf.DUMMYFUNCTION("""COMPUTED_VALUE"""),"Tamakoshi V HEP 220 kV Transmission Line Project")</f>
        <v>Tamakoshi V HEP 220 kV Transmission Line Project</v>
      </c>
      <c r="C238" s="2">
        <f>IFERROR(__xludf.DUMMYFUNCTION("""COMPUTED_VALUE"""),220.0)</f>
        <v>220</v>
      </c>
      <c r="D238" s="2">
        <f>IFERROR(__xludf.DUMMYFUNCTION("""COMPUTED_VALUE"""),3.4)</f>
        <v>3.4</v>
      </c>
      <c r="E238" s="2">
        <f>IFERROR(__xludf.DUMMYFUNCTION("""COMPUTED_VALUE"""),577.8)</f>
        <v>577.8</v>
      </c>
      <c r="F238" s="2">
        <f>IFERROR(__xludf.DUMMYFUNCTION("""COMPUTED_VALUE"""),238.0)</f>
        <v>238</v>
      </c>
      <c r="G238" s="3">
        <f>IFERROR(__xludf.DUMMYFUNCTION("""COMPUTED_VALUE"""),66151.0)</f>
        <v>66151</v>
      </c>
      <c r="H238" s="3">
        <f>IFERROR(__xludf.DUMMYFUNCTION("""COMPUTED_VALUE"""),75280.0)</f>
        <v>75280</v>
      </c>
      <c r="I238" s="2" t="str">
        <f>IFERROR(__xludf.DUMMYFUNCTION("""COMPUTED_VALUE"""),"Tamakoshi Jalvidhyut Company Ltd.")</f>
        <v>Tamakoshi Jalvidhyut Company Ltd.</v>
      </c>
      <c r="J238" s="2" t="str">
        <f>IFERROR(__xludf.DUMMYFUNCTION("""COMPUTED_VALUE"""),"Oharboat Marg Thapagaoun , New Baneshowr; 01-4245061/63/67, 
tamakoshi5@nea.org.n")</f>
        <v>Oharboat Marg Thapagaoun , New Baneshowr; 01-4245061/63/67, 
tamakoshi5@nea.org.n</v>
      </c>
      <c r="K238" s="2" t="str">
        <f>IFERROR(__xludf.DUMMYFUNCTION("""COMPUTED_VALUE"""),"Tower No. 17 of UTKCL TL")</f>
        <v>Tower No. 17 of UTKCL TL</v>
      </c>
      <c r="L238" s="2" t="str">
        <f>IFERROR(__xludf.DUMMYFUNCTION("""COMPUTED_VALUE"""),"Tower No. 18 of UTKCL TL")</f>
        <v>Tower No. 18 of UTKCL TL</v>
      </c>
    </row>
    <row r="239">
      <c r="A239" s="2">
        <f>IFERROR(__xludf.DUMMYFUNCTION("""COMPUTED_VALUE"""),238.0)</f>
        <v>238</v>
      </c>
      <c r="B239" s="2" t="str">
        <f>IFERROR(__xludf.DUMMYFUNCTION("""COMPUTED_VALUE"""),"Buku Khola Garjyang 33 kV Transmission Line Project")</f>
        <v>Buku Khola Garjyang 33 kV Transmission Line Project</v>
      </c>
      <c r="C239" s="2">
        <f>IFERROR(__xludf.DUMMYFUNCTION("""COMPUTED_VALUE"""),33.0)</f>
        <v>33</v>
      </c>
      <c r="D239" s="2">
        <f>IFERROR(__xludf.DUMMYFUNCTION("""COMPUTED_VALUE"""),18.725)</f>
        <v>18.725</v>
      </c>
      <c r="E239" s="2">
        <f>IFERROR(__xludf.DUMMYFUNCTION("""COMPUTED_VALUE"""),6.0)</f>
        <v>6</v>
      </c>
      <c r="F239" s="2">
        <f>IFERROR(__xludf.DUMMYFUNCTION("""COMPUTED_VALUE"""),239.0)</f>
        <v>239</v>
      </c>
      <c r="G239" s="3">
        <f>IFERROR(__xludf.DUMMYFUNCTION("""COMPUTED_VALUE"""),66159.0)</f>
        <v>66159</v>
      </c>
      <c r="H239" s="3">
        <f>IFERROR(__xludf.DUMMYFUNCTION("""COMPUTED_VALUE"""),75288.0)</f>
        <v>75288</v>
      </c>
      <c r="I239" s="2" t="str">
        <f>IFERROR(__xludf.DUMMYFUNCTION("""COMPUTED_VALUE"""),"Appolo Hydropower Ltd.")</f>
        <v>Appolo Hydropower Ltd.</v>
      </c>
      <c r="J239" s="2" t="str">
        <f>IFERROR(__xludf.DUMMYFUNCTION("""COMPUTED_VALUE"""),"Nagpokhari Kathmandu")</f>
        <v>Nagpokhari Kathmandu</v>
      </c>
      <c r="K239" s="2" t="str">
        <f>IFERROR(__xludf.DUMMYFUNCTION("""COMPUTED_VALUE"""),"Switchyard of Project")</f>
        <v>Switchyard of Project</v>
      </c>
      <c r="L239" s="2" t="str">
        <f>IFERROR(__xludf.DUMMYFUNCTION("""COMPUTED_VALUE"""),"NEA Garjyang Substation")</f>
        <v>NEA Garjyang Substation</v>
      </c>
    </row>
    <row r="240">
      <c r="A240" s="2">
        <f>IFERROR(__xludf.DUMMYFUNCTION("""COMPUTED_VALUE"""),239.0)</f>
        <v>239</v>
      </c>
      <c r="B240" s="2" t="str">
        <f>IFERROR(__xludf.DUMMYFUNCTION("""COMPUTED_VALUE"""),"Chepe A HEP transmission Line Project")</f>
        <v>Chepe A HEP transmission Line Project</v>
      </c>
      <c r="C240" s="2">
        <f>IFERROR(__xludf.DUMMYFUNCTION("""COMPUTED_VALUE"""),33.0)</f>
        <v>33</v>
      </c>
      <c r="D240" s="2">
        <f>IFERROR(__xludf.DUMMYFUNCTION("""COMPUTED_VALUE"""),4.28)</f>
        <v>4.28</v>
      </c>
      <c r="E240" s="2">
        <f>IFERROR(__xludf.DUMMYFUNCTION("""COMPUTED_VALUE"""),7.0)</f>
        <v>7</v>
      </c>
      <c r="F240" s="2">
        <f>IFERROR(__xludf.DUMMYFUNCTION("""COMPUTED_VALUE"""),240.0)</f>
        <v>240</v>
      </c>
      <c r="G240" s="3">
        <f>IFERROR(__xludf.DUMMYFUNCTION("""COMPUTED_VALUE"""),66172.0)</f>
        <v>66172</v>
      </c>
      <c r="H240" s="3">
        <f>IFERROR(__xludf.DUMMYFUNCTION("""COMPUTED_VALUE"""),75301.0)</f>
        <v>75301</v>
      </c>
      <c r="I240" s="2" t="str">
        <f>IFERROR(__xludf.DUMMYFUNCTION("""COMPUTED_VALUE"""),"Champawati Hydro Power Ltd.")</f>
        <v>Champawati Hydro Power Ltd.</v>
      </c>
      <c r="J240" s="2" t="str">
        <f>IFERROR(__xludf.DUMMYFUNCTION("""COMPUTED_VALUE"""),"Nagarjun-1, Raniban, Kathmandu")</f>
        <v>Nagarjun-1, Raniban, Kathmandu</v>
      </c>
      <c r="K240" s="2" t="str">
        <f>IFERROR(__xludf.DUMMYFUNCTION("""COMPUTED_VALUE"""),"Switchyard of Project")</f>
        <v>Switchyard of Project</v>
      </c>
      <c r="L240" s="2" t="str">
        <f>IFERROR(__xludf.DUMMYFUNCTION("""COMPUTED_VALUE"""),"Parajuli Gaun LILO Switching S/S")</f>
        <v>Parajuli Gaun LILO Switching S/S</v>
      </c>
    </row>
    <row r="241">
      <c r="A241" s="2">
        <f>IFERROR(__xludf.DUMMYFUNCTION("""COMPUTED_VALUE"""),240.0)</f>
        <v>240</v>
      </c>
      <c r="B241" s="2" t="str">
        <f>IFERROR(__xludf.DUMMYFUNCTION("""COMPUTED_VALUE"""),"Mewa Khola Hydro Power Transmission Line Project")</f>
        <v>Mewa Khola Hydro Power Transmission Line Project</v>
      </c>
      <c r="C241" s="2">
        <f>IFERROR(__xludf.DUMMYFUNCTION("""COMPUTED_VALUE"""),132.0)</f>
        <v>132</v>
      </c>
      <c r="D241" s="2">
        <f>IFERROR(__xludf.DUMMYFUNCTION("""COMPUTED_VALUE"""),7.08)</f>
        <v>7.08</v>
      </c>
      <c r="E241" s="2">
        <f>IFERROR(__xludf.DUMMYFUNCTION("""COMPUTED_VALUE"""),50.0)</f>
        <v>50</v>
      </c>
      <c r="F241" s="2">
        <f>IFERROR(__xludf.DUMMYFUNCTION("""COMPUTED_VALUE"""),241.0)</f>
        <v>241</v>
      </c>
      <c r="G241" s="3">
        <f>IFERROR(__xludf.DUMMYFUNCTION("""COMPUTED_VALUE"""),66174.0)</f>
        <v>66174</v>
      </c>
      <c r="H241" s="3">
        <f>IFERROR(__xludf.DUMMYFUNCTION("""COMPUTED_VALUE"""),75303.0)</f>
        <v>75303</v>
      </c>
      <c r="I241" s="2" t="str">
        <f>IFERROR(__xludf.DUMMYFUNCTION("""COMPUTED_VALUE"""),"United Mewa Khola Hydro Power Pvt.Ltd.")</f>
        <v>United Mewa Khola Hydro Power Pvt.Ltd.</v>
      </c>
      <c r="J241" s="2" t="str">
        <f>IFERROR(__xludf.DUMMYFUNCTION("""COMPUTED_VALUE"""),"Dillibazar -29,Kathmandu")</f>
        <v>Dillibazar -29,Kathmandu</v>
      </c>
      <c r="K241" s="2" t="str">
        <f>IFERROR(__xludf.DUMMYFUNCTION("""COMPUTED_VALUE"""),"Mewa Khola Hydro Power Project Switchyar")</f>
        <v>Mewa Khola Hydro Power Project Switchyar</v>
      </c>
      <c r="L241" s="2" t="str">
        <f>IFERROR(__xludf.DUMMYFUNCTION("""COMPUTED_VALUE"""),"Dhungesangu NEA Substation")</f>
        <v>Dhungesangu NEA Substation</v>
      </c>
    </row>
    <row r="242">
      <c r="A242" s="2">
        <f>IFERROR(__xludf.DUMMYFUNCTION("""COMPUTED_VALUE"""),241.0)</f>
        <v>241</v>
      </c>
      <c r="B242" s="2" t="str">
        <f>IFERROR(__xludf.DUMMYFUNCTION("""COMPUTED_VALUE"""),"Lankhuwa Khola Sana HPP - Tumlingtar S/S 33 kV Transmission Line Project")</f>
        <v>Lankhuwa Khola Sana HPP - Tumlingtar S/S 33 kV Transmission Line Project</v>
      </c>
      <c r="C242" s="2">
        <f>IFERROR(__xludf.DUMMYFUNCTION("""COMPUTED_VALUE"""),33.0)</f>
        <v>33</v>
      </c>
      <c r="D242" s="2">
        <f>IFERROR(__xludf.DUMMYFUNCTION("""COMPUTED_VALUE"""),19.0)</f>
        <v>19</v>
      </c>
      <c r="E242" s="2">
        <f>IFERROR(__xludf.DUMMYFUNCTION("""COMPUTED_VALUE"""),5.0)</f>
        <v>5</v>
      </c>
      <c r="F242" s="2">
        <f>IFERROR(__xludf.DUMMYFUNCTION("""COMPUTED_VALUE"""),242.0)</f>
        <v>242</v>
      </c>
      <c r="G242" s="3">
        <f>IFERROR(__xludf.DUMMYFUNCTION("""COMPUTED_VALUE"""),66174.0)</f>
        <v>66174</v>
      </c>
      <c r="H242" s="3">
        <f>IFERROR(__xludf.DUMMYFUNCTION("""COMPUTED_VALUE"""),75303.0)</f>
        <v>75303</v>
      </c>
      <c r="I242" s="2" t="str">
        <f>IFERROR(__xludf.DUMMYFUNCTION("""COMPUTED_VALUE"""),"Sabhapokhari Hydro Power Ltd.")</f>
        <v>Sabhapokhari Hydro Power Ltd.</v>
      </c>
      <c r="J242" s="2" t="str">
        <f>IFERROR(__xludf.DUMMYFUNCTION("""COMPUTED_VALUE"""),"Bansathali Kathmandu 01-4390229")</f>
        <v>Bansathali Kathmandu 01-4390229</v>
      </c>
      <c r="K242" s="2" t="str">
        <f>IFERROR(__xludf.DUMMYFUNCTION("""COMPUTED_VALUE"""),"Switchyard of Project")</f>
        <v>Switchyard of Project</v>
      </c>
      <c r="L242" s="2" t="str">
        <f>IFERROR(__xludf.DUMMYFUNCTION("""COMPUTED_VALUE"""),"NEA Tumlingtar S/S")</f>
        <v>NEA Tumlingtar S/S</v>
      </c>
    </row>
    <row r="243">
      <c r="A243" s="2">
        <f>IFERROR(__xludf.DUMMYFUNCTION("""COMPUTED_VALUE"""),242.0)</f>
        <v>242</v>
      </c>
      <c r="B243" s="2" t="str">
        <f>IFERROR(__xludf.DUMMYFUNCTION("""COMPUTED_VALUE"""),"Lahan Sukhipur 132kV Transmission Line Project")</f>
        <v>Lahan Sukhipur 132kV Transmission Line Project</v>
      </c>
      <c r="C243" s="2">
        <f>IFERROR(__xludf.DUMMYFUNCTION("""COMPUTED_VALUE"""),132.0)</f>
        <v>132</v>
      </c>
      <c r="D243" s="2">
        <f>IFERROR(__xludf.DUMMYFUNCTION("""COMPUTED_VALUE"""),16.136)</f>
        <v>16.136</v>
      </c>
      <c r="E243" s="2">
        <f>IFERROR(__xludf.DUMMYFUNCTION("""COMPUTED_VALUE"""),200.0)</f>
        <v>200</v>
      </c>
      <c r="F243" s="2">
        <f>IFERROR(__xludf.DUMMYFUNCTION("""COMPUTED_VALUE"""),243.0)</f>
        <v>243</v>
      </c>
      <c r="G243" s="3">
        <f>IFERROR(__xludf.DUMMYFUNCTION("""COMPUTED_VALUE"""),66177.0)</f>
        <v>66177</v>
      </c>
      <c r="H243" s="3">
        <f>IFERROR(__xludf.DUMMYFUNCTION("""COMPUTED_VALUE"""),75306.0)</f>
        <v>75306</v>
      </c>
      <c r="I243" s="2" t="str">
        <f>IFERROR(__xludf.DUMMYFUNCTION("""COMPUTED_VALUE"""),"Nepal Electricity Authority")</f>
        <v>Nepal Electricity Authority</v>
      </c>
      <c r="J243" s="2" t="str">
        <f>IFERROR(__xludf.DUMMYFUNCTION("""COMPUTED_VALUE"""),"Main office,Darbarmarg,Kathmandu")</f>
        <v>Main office,Darbarmarg,Kathmandu</v>
      </c>
      <c r="K243" s="2" t="str">
        <f>IFERROR(__xludf.DUMMYFUNCTION("""COMPUTED_VALUE"""),"Lahan NEA Substation(Siraha)")</f>
        <v>Lahan NEA Substation(Siraha)</v>
      </c>
      <c r="L243" s="2" t="str">
        <f>IFERROR(__xludf.DUMMYFUNCTION("""COMPUTED_VALUE"""),"Proposed Sukhipur NEA Substation(Siraha)")</f>
        <v>Proposed Sukhipur NEA Substation(Siraha)</v>
      </c>
    </row>
    <row r="244">
      <c r="A244" s="2">
        <f>IFERROR(__xludf.DUMMYFUNCTION("""COMPUTED_VALUE"""),243.0)</f>
        <v>243</v>
      </c>
      <c r="B244" s="2" t="str">
        <f>IFERROR(__xludf.DUMMYFUNCTION("""COMPUTED_VALUE"""),"Khimti-2 HEP - Garjyang- New Khimti Tower Number AP26-27 132 kV 
transmission lin")</f>
        <v>Khimti-2 HEP - Garjyang- New Khimti Tower Number AP26-27 132 kV 
transmission lin</v>
      </c>
      <c r="C244" s="2">
        <f>IFERROR(__xludf.DUMMYFUNCTION("""COMPUTED_VALUE"""),132.0)</f>
        <v>132</v>
      </c>
      <c r="D244" s="2">
        <f>IFERROR(__xludf.DUMMYFUNCTION("""COMPUTED_VALUE"""),1.81)</f>
        <v>1.81</v>
      </c>
      <c r="E244" s="2">
        <f>IFERROR(__xludf.DUMMYFUNCTION("""COMPUTED_VALUE"""),48.8)</f>
        <v>48.8</v>
      </c>
      <c r="F244" s="2">
        <f>IFERROR(__xludf.DUMMYFUNCTION("""COMPUTED_VALUE"""),244.0)</f>
        <v>244</v>
      </c>
      <c r="G244" s="3">
        <f>IFERROR(__xludf.DUMMYFUNCTION("""COMPUTED_VALUE"""),66177.0)</f>
        <v>66177</v>
      </c>
      <c r="H244" s="3">
        <f>IFERROR(__xludf.DUMMYFUNCTION("""COMPUTED_VALUE"""),75306.0)</f>
        <v>75306</v>
      </c>
      <c r="I244" s="2" t="str">
        <f>IFERROR(__xludf.DUMMYFUNCTION("""COMPUTED_VALUE"""),"Peoples Energy Limited")</f>
        <v>Peoples Energy Limited</v>
      </c>
      <c r="J244" s="2" t="str">
        <f>IFERROR(__xludf.DUMMYFUNCTION("""COMPUTED_VALUE"""),"Shree Krishna Sadan, New Baneshwor-10, Kathmandu, Phone:- +977-1-4781891, 
478603")</f>
        <v>Shree Krishna Sadan, New Baneshwor-10, Kathmandu, Phone:- +977-1-4781891, 
478603</v>
      </c>
      <c r="K244" s="2" t="str">
        <f>IFERROR(__xludf.DUMMYFUNCTION("""COMPUTED_VALUE"""),"Khimti-2 Powerhouse/switchyard")</f>
        <v>Khimti-2 Powerhouse/switchyard</v>
      </c>
      <c r="L244" s="2" t="str">
        <f>IFERROR(__xludf.DUMMYFUNCTION("""COMPUTED_VALUE"""),"NEA Garjyang- New Khimti Tower Number AP")</f>
        <v>NEA Garjyang- New Khimti Tower Number AP</v>
      </c>
    </row>
    <row r="245">
      <c r="A245" s="2">
        <f>IFERROR(__xludf.DUMMYFUNCTION("""COMPUTED_VALUE"""),244.0)</f>
        <v>244</v>
      </c>
      <c r="B245" s="2" t="str">
        <f>IFERROR(__xludf.DUMMYFUNCTION("""COMPUTED_VALUE"""),"Dailekh-Kalikot-Jumla 132 kV Transmission Line and Substation Project")</f>
        <v>Dailekh-Kalikot-Jumla 132 kV Transmission Line and Substation Project</v>
      </c>
      <c r="C245" s="2">
        <f>IFERROR(__xludf.DUMMYFUNCTION("""COMPUTED_VALUE"""),132.0)</f>
        <v>132</v>
      </c>
      <c r="D245" s="2">
        <f>IFERROR(__xludf.DUMMYFUNCTION("""COMPUTED_VALUE"""),82.14)</f>
        <v>82.14</v>
      </c>
      <c r="E245" s="2">
        <f>IFERROR(__xludf.DUMMYFUNCTION("""COMPUTED_VALUE"""),238.0)</f>
        <v>238</v>
      </c>
      <c r="F245" s="2">
        <f>IFERROR(__xludf.DUMMYFUNCTION("""COMPUTED_VALUE"""),245.0)</f>
        <v>245</v>
      </c>
      <c r="G245" s="3">
        <f>IFERROR(__xludf.DUMMYFUNCTION("""COMPUTED_VALUE"""),66184.0)</f>
        <v>66184</v>
      </c>
      <c r="H245" s="3">
        <f>IFERROR(__xludf.DUMMYFUNCTION("""COMPUTED_VALUE"""),75313.0)</f>
        <v>75313</v>
      </c>
      <c r="I245" s="2" t="str">
        <f>IFERROR(__xludf.DUMMYFUNCTION("""COMPUTED_VALUE"""),"Nepal Electricity Authority")</f>
        <v>Nepal Electricity Authority</v>
      </c>
      <c r="J245" s="2" t="str">
        <f>IFERROR(__xludf.DUMMYFUNCTION("""COMPUTED_VALUE"""),"Main office,Darbarmarg,Kathmandu")</f>
        <v>Main office,Darbarmarg,Kathmandu</v>
      </c>
      <c r="K245" s="2" t="str">
        <f>IFERROR(__xludf.DUMMYFUNCTION("""COMPUTED_VALUE"""),"Dailekh Substation")</f>
        <v>Dailekh Substation</v>
      </c>
      <c r="L245" s="2" t="str">
        <f>IFERROR(__xludf.DUMMYFUNCTION("""COMPUTED_VALUE"""),"Jumla Substation")</f>
        <v>Jumla Substation</v>
      </c>
    </row>
    <row r="246">
      <c r="A246" s="2">
        <f>IFERROR(__xludf.DUMMYFUNCTION("""COMPUTED_VALUE"""),245.0)</f>
        <v>245</v>
      </c>
      <c r="B246" s="2" t="str">
        <f>IFERROR(__xludf.DUMMYFUNCTION("""COMPUTED_VALUE"""),"Lower Indrawati 66 kV Transmission Line project")</f>
        <v>Lower Indrawati 66 kV Transmission Line project</v>
      </c>
      <c r="C246" s="2">
        <f>IFERROR(__xludf.DUMMYFUNCTION("""COMPUTED_VALUE"""),66.0)</f>
        <v>66</v>
      </c>
      <c r="D246" s="2">
        <f>IFERROR(__xludf.DUMMYFUNCTION("""COMPUTED_VALUE"""),0.21104)</f>
        <v>0.21104</v>
      </c>
      <c r="E246" s="2">
        <f>IFERROR(__xludf.DUMMYFUNCTION("""COMPUTED_VALUE"""),12.0)</f>
        <v>12</v>
      </c>
      <c r="F246" s="2">
        <f>IFERROR(__xludf.DUMMYFUNCTION("""COMPUTED_VALUE"""),246.0)</f>
        <v>246</v>
      </c>
      <c r="G246" s="3">
        <f>IFERROR(__xludf.DUMMYFUNCTION("""COMPUTED_VALUE"""),66195.0)</f>
        <v>66195</v>
      </c>
      <c r="H246" s="3">
        <f>IFERROR(__xludf.DUMMYFUNCTION("""COMPUTED_VALUE"""),75324.0)</f>
        <v>75324</v>
      </c>
      <c r="I246" s="2" t="str">
        <f>IFERROR(__xludf.DUMMYFUNCTION("""COMPUTED_VALUE"""),"National Hydro Power Co. Ltd.")</f>
        <v>National Hydro Power Co. Ltd.</v>
      </c>
      <c r="J246" s="2" t="str">
        <f>IFERROR(__xludf.DUMMYFUNCTION("""COMPUTED_VALUE"""),"New Baneshwor-10 KTM, 01-5172683; info@nhpc.com")</f>
        <v>New Baneshwor-10 KTM, 01-5172683; info@nhpc.com</v>
      </c>
      <c r="K246" s="2" t="str">
        <f>IFERROR(__xludf.DUMMYFUNCTION("""COMPUTED_VALUE"""),"Switchyard of Project")</f>
        <v>Switchyard of Project</v>
      </c>
      <c r="L246" s="2" t="str">
        <f>IFERROR(__xludf.DUMMYFUNCTION("""COMPUTED_VALUE"""),"Existing 66 kV TL of Indrawati-III (LIL")</f>
        <v>Existing 66 kV TL of Indrawati-III (LIL</v>
      </c>
    </row>
    <row r="247">
      <c r="A247" s="2">
        <f>IFERROR(__xludf.DUMMYFUNCTION("""COMPUTED_VALUE"""),246.0)</f>
        <v>246</v>
      </c>
      <c r="B247" s="2" t="str">
        <f>IFERROR(__xludf.DUMMYFUNCTION("""COMPUTED_VALUE"""),"Suni Gad HEP 33 kV Transmission Line Project")</f>
        <v>Suni Gad HEP 33 kV Transmission Line Project</v>
      </c>
      <c r="C247" s="2">
        <f>IFERROR(__xludf.DUMMYFUNCTION("""COMPUTED_VALUE"""),33.0)</f>
        <v>33</v>
      </c>
      <c r="D247" s="2">
        <f>IFERROR(__xludf.DUMMYFUNCTION("""COMPUTED_VALUE"""),9.46)</f>
        <v>9.46</v>
      </c>
      <c r="E247" s="2">
        <f>IFERROR(__xludf.DUMMYFUNCTION("""COMPUTED_VALUE"""),11.05)</f>
        <v>11.05</v>
      </c>
      <c r="F247" s="2">
        <f>IFERROR(__xludf.DUMMYFUNCTION("""COMPUTED_VALUE"""),247.0)</f>
        <v>247</v>
      </c>
      <c r="G247" s="3">
        <f>IFERROR(__xludf.DUMMYFUNCTION("""COMPUTED_VALUE"""),66209.0)</f>
        <v>66209</v>
      </c>
      <c r="H247" s="3">
        <f>IFERROR(__xludf.DUMMYFUNCTION("""COMPUTED_VALUE"""),75338.0)</f>
        <v>75338</v>
      </c>
      <c r="I247" s="2" t="str">
        <f>IFERROR(__xludf.DUMMYFUNCTION("""COMPUTED_VALUE"""),"Omega Energy Developer Pvt. Ltd.")</f>
        <v>Omega Energy Developer Pvt. Ltd.</v>
      </c>
      <c r="J247" s="2" t="str">
        <f>IFERROR(__xludf.DUMMYFUNCTION("""COMPUTED_VALUE"""),"Kathmandu-04, Chandole, 01-4529044")</f>
        <v>Kathmandu-04, Chandole, 01-4529044</v>
      </c>
      <c r="K247" s="2" t="str">
        <f>IFERROR(__xludf.DUMMYFUNCTION("""COMPUTED_VALUE"""),"Switchyard of Project")</f>
        <v>Switchyard of Project</v>
      </c>
      <c r="L247" s="2" t="str">
        <f>IFERROR(__xludf.DUMMYFUNCTION("""COMPUTED_VALUE"""),"NEA Chainpur S/S")</f>
        <v>NEA Chainpur S/S</v>
      </c>
    </row>
    <row r="248">
      <c r="A248" s="2">
        <f>IFERROR(__xludf.DUMMYFUNCTION("""COMPUTED_VALUE"""),247.0)</f>
        <v>247</v>
      </c>
      <c r="B248" s="2" t="str">
        <f>IFERROR(__xludf.DUMMYFUNCTION("""COMPUTED_VALUE"""),"Langtang Khola Swichyard to Chilime Hub Transmission Line Project")</f>
        <v>Langtang Khola Swichyard to Chilime Hub Transmission Line Project</v>
      </c>
      <c r="C248" s="2">
        <f>IFERROR(__xludf.DUMMYFUNCTION("""COMPUTED_VALUE"""),132.0)</f>
        <v>132</v>
      </c>
      <c r="D248" s="2">
        <f>IFERROR(__xludf.DUMMYFUNCTION("""COMPUTED_VALUE"""),3.876)</f>
        <v>3.876</v>
      </c>
      <c r="E248" s="2">
        <f>IFERROR(__xludf.DUMMYFUNCTION("""COMPUTED_VALUE"""),20.0)</f>
        <v>20</v>
      </c>
      <c r="F248" s="2">
        <f>IFERROR(__xludf.DUMMYFUNCTION("""COMPUTED_VALUE"""),248.0)</f>
        <v>248</v>
      </c>
      <c r="G248" s="3">
        <f>IFERROR(__xludf.DUMMYFUNCTION("""COMPUTED_VALUE"""),66216.0)</f>
        <v>66216</v>
      </c>
      <c r="H248" s="3">
        <f>IFERROR(__xludf.DUMMYFUNCTION("""COMPUTED_VALUE"""),75345.0)</f>
        <v>75345</v>
      </c>
      <c r="I248" s="2" t="str">
        <f>IFERROR(__xludf.DUMMYFUNCTION("""COMPUTED_VALUE"""),"Multi Energy Development Pvt. Ltd.")</f>
        <v>Multi Energy Development Pvt. Ltd.</v>
      </c>
      <c r="J248" s="2" t="str">
        <f>IFERROR(__xludf.DUMMYFUNCTION("""COMPUTED_VALUE"""),"GPO Box:10242 Kathamndu 01-4781891; langtangkhola@gmail.com")</f>
        <v>GPO Box:10242 Kathamndu 01-4781891; langtangkhola@gmail.com</v>
      </c>
      <c r="K248" s="2" t="str">
        <f>IFERROR(__xludf.DUMMYFUNCTION("""COMPUTED_VALUE"""),"Switchyard of Project")</f>
        <v>Switchyard of Project</v>
      </c>
      <c r="L248" s="2" t="str">
        <f>IFERROR(__xludf.DUMMYFUNCTION("""COMPUTED_VALUE"""),"NEA Chilime Hub S/S")</f>
        <v>NEA Chilime Hub S/S</v>
      </c>
    </row>
    <row r="249">
      <c r="A249" s="2">
        <f>IFERROR(__xludf.DUMMYFUNCTION("""COMPUTED_VALUE"""),248.0)</f>
        <v>248</v>
      </c>
      <c r="B249" s="2" t="str">
        <f>IFERROR(__xludf.DUMMYFUNCTION("""COMPUTED_VALUE"""),"Galchhi Ratamate 220 kV Transmission Line Project")</f>
        <v>Galchhi Ratamate 220 kV Transmission Line Project</v>
      </c>
      <c r="C249" s="2">
        <f>IFERROR(__xludf.DUMMYFUNCTION("""COMPUTED_VALUE"""),220.0)</f>
        <v>220</v>
      </c>
      <c r="D249" s="2">
        <f>IFERROR(__xludf.DUMMYFUNCTION("""COMPUTED_VALUE"""),8.5)</f>
        <v>8.5</v>
      </c>
      <c r="E249" s="2">
        <f>IFERROR(__xludf.DUMMYFUNCTION("""COMPUTED_VALUE"""),1147.0)</f>
        <v>1147</v>
      </c>
      <c r="F249" s="2">
        <f>IFERROR(__xludf.DUMMYFUNCTION("""COMPUTED_VALUE"""),249.0)</f>
        <v>249</v>
      </c>
      <c r="G249" s="3">
        <f>IFERROR(__xludf.DUMMYFUNCTION("""COMPUTED_VALUE"""),66219.0)</f>
        <v>66219</v>
      </c>
      <c r="H249" s="3">
        <f>IFERROR(__xludf.DUMMYFUNCTION("""COMPUTED_VALUE"""),75348.0)</f>
        <v>75348</v>
      </c>
      <c r="I249" s="2" t="str">
        <f>IFERROR(__xludf.DUMMYFUNCTION("""COMPUTED_VALUE"""),"Nepal Electricity Authority")</f>
        <v>Nepal Electricity Authority</v>
      </c>
      <c r="J249" s="2" t="str">
        <f>IFERROR(__xludf.DUMMYFUNCTION("""COMPUTED_VALUE"""),"Durbar Marg, Kathmandu 01-4153007")</f>
        <v>Durbar Marg, Kathmandu 01-4153007</v>
      </c>
      <c r="K249" s="2" t="str">
        <f>IFERROR(__xludf.DUMMYFUNCTION("""COMPUTED_VALUE"""),"Galchhi")</f>
        <v>Galchhi</v>
      </c>
      <c r="L249" s="2" t="str">
        <f>IFERROR(__xludf.DUMMYFUNCTION("""COMPUTED_VALUE"""),"NEA Ratamate,Naubise S/S")</f>
        <v>NEA Ratamate,Naubise S/S</v>
      </c>
    </row>
    <row r="250">
      <c r="A250" s="2">
        <f>IFERROR(__xludf.DUMMYFUNCTION("""COMPUTED_VALUE"""),249.0)</f>
        <v>249</v>
      </c>
      <c r="B250" s="2" t="str">
        <f>IFERROR(__xludf.DUMMYFUNCTION("""COMPUTED_VALUE"""),"Rasuwa Bhotekoshi HEP TL Project")</f>
        <v>Rasuwa Bhotekoshi HEP TL Project</v>
      </c>
      <c r="C250" s="2">
        <f>IFERROR(__xludf.DUMMYFUNCTION("""COMPUTED_VALUE"""),220.0)</f>
        <v>220</v>
      </c>
      <c r="D250" s="2">
        <f>IFERROR(__xludf.DUMMYFUNCTION("""COMPUTED_VALUE"""),3.608)</f>
        <v>3.608</v>
      </c>
      <c r="E250" s="2">
        <f>IFERROR(__xludf.DUMMYFUNCTION("""COMPUTED_VALUE"""),120.0)</f>
        <v>120</v>
      </c>
      <c r="F250" s="2">
        <f>IFERROR(__xludf.DUMMYFUNCTION("""COMPUTED_VALUE"""),250.0)</f>
        <v>250</v>
      </c>
      <c r="G250" s="2" t="str">
        <f>IFERROR(__xludf.DUMMYFUNCTION("""COMPUTED_VALUE"""),"2081-04-32")</f>
        <v>2081-04-32</v>
      </c>
      <c r="H250" s="2" t="str">
        <f>IFERROR(__xludf.DUMMYFUNCTION("""COMPUTED_VALUE"""),"2106-04-31")</f>
        <v>2106-04-31</v>
      </c>
      <c r="I250" s="2" t="str">
        <f>IFERROR(__xludf.DUMMYFUNCTION("""COMPUTED_VALUE"""),"Langtang Bhotekoshi Hydropower Company Pvt. Ltd.")</f>
        <v>Langtang Bhotekoshi Hydropower Company Pvt. Ltd.</v>
      </c>
      <c r="J250" s="2" t="str">
        <f>IFERROR(__xludf.DUMMYFUNCTION("""COMPUTED_VALUE"""),"01-4440706")</f>
        <v>01-4440706</v>
      </c>
      <c r="K250" s="2" t="str">
        <f>IFERROR(__xludf.DUMMYFUNCTION("""COMPUTED_VALUE"""),"Respective Switchyard of the project")</f>
        <v>Respective Switchyard of the project</v>
      </c>
      <c r="L250" s="2" t="str">
        <f>IFERROR(__xludf.DUMMYFUNCTION("""COMPUTED_VALUE"""),"Chilime Hub at Chilime VDC, Rasuwa")</f>
        <v>Chilime Hub at Chilime VDC, Rasuwa</v>
      </c>
    </row>
    <row r="251">
      <c r="A251" s="2">
        <f>IFERROR(__xludf.DUMMYFUNCTION("""COMPUTED_VALUE"""),250.0)</f>
        <v>250</v>
      </c>
      <c r="B251" s="2" t="str">
        <f>IFERROR(__xludf.DUMMYFUNCTION("""COMPUTED_VALUE"""),"Super Hewa khola- Baneswor 33 kV Transmission Line Project")</f>
        <v>Super Hewa khola- Baneswor 33 kV Transmission Line Project</v>
      </c>
      <c r="C251" s="2">
        <f>IFERROR(__xludf.DUMMYFUNCTION("""COMPUTED_VALUE"""),33.0)</f>
        <v>33</v>
      </c>
      <c r="D251" s="2">
        <f>IFERROR(__xludf.DUMMYFUNCTION("""COMPUTED_VALUE"""),14.07)</f>
        <v>14.07</v>
      </c>
      <c r="E251" s="2">
        <f>IFERROR(__xludf.DUMMYFUNCTION("""COMPUTED_VALUE"""),6.0)</f>
        <v>6</v>
      </c>
      <c r="F251" s="2">
        <f>IFERROR(__xludf.DUMMYFUNCTION("""COMPUTED_VALUE"""),251.0)</f>
        <v>251</v>
      </c>
      <c r="G251" s="3">
        <f>IFERROR(__xludf.DUMMYFUNCTION("""COMPUTED_VALUE"""),66237.0)</f>
        <v>66237</v>
      </c>
      <c r="H251" s="3">
        <f>IFERROR(__xludf.DUMMYFUNCTION("""COMPUTED_VALUE"""),75366.0)</f>
        <v>75366</v>
      </c>
      <c r="I251" s="2" t="str">
        <f>IFERROR(__xludf.DUMMYFUNCTION("""COMPUTED_VALUE"""),"Super Hewa Power Company Ltd.")</f>
        <v>Super Hewa Power Company Ltd.</v>
      </c>
      <c r="J251" s="2" t="str">
        <f>IFERROR(__xludf.DUMMYFUNCTION("""COMPUTED_VALUE"""),"Anamnagar, Kathmandu; 01-4388307,4388299; superhewapc@gmail.com")</f>
        <v>Anamnagar, Kathmandu; 01-4388307,4388299; superhewapc@gmail.com</v>
      </c>
      <c r="K251" s="2" t="str">
        <f>IFERROR(__xludf.DUMMYFUNCTION("""COMPUTED_VALUE"""),"Switchyard of Project")</f>
        <v>Switchyard of Project</v>
      </c>
      <c r="L251" s="2" t="str">
        <f>IFERROR(__xludf.DUMMYFUNCTION("""COMPUTED_VALUE"""),"NEA Baneshwor S/S")</f>
        <v>NEA Baneshwor S/S</v>
      </c>
    </row>
    <row r="252">
      <c r="A252" s="2">
        <f>IFERROR(__xludf.DUMMYFUNCTION("""COMPUTED_VALUE"""),251.0)</f>
        <v>251</v>
      </c>
      <c r="B252" s="2" t="str">
        <f>IFERROR(__xludf.DUMMYFUNCTION("""COMPUTED_VALUE"""),"Betan Karnali HEP 400 kV Transmission Line Project")</f>
        <v>Betan Karnali HEP 400 kV Transmission Line Project</v>
      </c>
      <c r="C252" s="2">
        <f>IFERROR(__xludf.DUMMYFUNCTION("""COMPUTED_VALUE"""),400.0)</f>
        <v>400</v>
      </c>
      <c r="D252" s="2">
        <f>IFERROR(__xludf.DUMMYFUNCTION("""COMPUTED_VALUE"""),5.0)</f>
        <v>5</v>
      </c>
      <c r="E252" s="2">
        <f>IFERROR(__xludf.DUMMYFUNCTION("""COMPUTED_VALUE"""),439.0)</f>
        <v>439</v>
      </c>
      <c r="F252" s="2">
        <f>IFERROR(__xludf.DUMMYFUNCTION("""COMPUTED_VALUE"""),252.0)</f>
        <v>252</v>
      </c>
      <c r="G252" s="3">
        <f>IFERROR(__xludf.DUMMYFUNCTION("""COMPUTED_VALUE"""),66268.0)</f>
        <v>66268</v>
      </c>
      <c r="H252" s="3">
        <f>IFERROR(__xludf.DUMMYFUNCTION("""COMPUTED_VALUE"""),75397.0)</f>
        <v>75397</v>
      </c>
      <c r="I252" s="2" t="str">
        <f>IFERROR(__xludf.DUMMYFUNCTION("""COMPUTED_VALUE"""),"Betan Karnali Snchayakarta Hydropower Co.Ltd.")</f>
        <v>Betan Karnali Snchayakarta Hydropower Co.Ltd.</v>
      </c>
      <c r="J252" s="2" t="str">
        <f>IFERROR(__xludf.DUMMYFUNCTION("""COMPUTED_VALUE"""),"Durbarmarg Kathmandu; 01-4244903, E-mail: info@bkshcl.com.np")</f>
        <v>Durbarmarg Kathmandu; 01-4244903, E-mail: info@bkshcl.com.np</v>
      </c>
      <c r="K252" s="2" t="str">
        <f>IFERROR(__xludf.DUMMYFUNCTION("""COMPUTED_VALUE"""),"Respective Switchyard of the Project")</f>
        <v>Respective Switchyard of the Project</v>
      </c>
      <c r="L252" s="2" t="str">
        <f>IFERROR(__xludf.DUMMYFUNCTION("""COMPUTED_VALUE"""),"Baghmara S/S Betan Hub Surkhet")</f>
        <v>Baghmara S/S Betan Hub Surkhet</v>
      </c>
    </row>
    <row r="253">
      <c r="A253" s="2">
        <f>IFERROR(__xludf.DUMMYFUNCTION("""COMPUTED_VALUE"""),252.0)</f>
        <v>252</v>
      </c>
      <c r="B253" s="2" t="str">
        <f>IFERROR(__xludf.DUMMYFUNCTION("""COMPUTED_VALUE"""),"Upper Thulo Khola A HPP 132 kV Transmission Line Project")</f>
        <v>Upper Thulo Khola A HPP 132 kV Transmission Line Project</v>
      </c>
      <c r="C253" s="2">
        <f>IFERROR(__xludf.DUMMYFUNCTION("""COMPUTED_VALUE"""),132.0)</f>
        <v>132</v>
      </c>
      <c r="D253" s="2">
        <f>IFERROR(__xludf.DUMMYFUNCTION("""COMPUTED_VALUE"""),16.0)</f>
        <v>16</v>
      </c>
      <c r="E253" s="2">
        <f>IFERROR(__xludf.DUMMYFUNCTION("""COMPUTED_VALUE"""),22.5)</f>
        <v>22.5</v>
      </c>
      <c r="F253" s="2">
        <f>IFERROR(__xludf.DUMMYFUNCTION("""COMPUTED_VALUE"""),253.0)</f>
        <v>253</v>
      </c>
      <c r="G253" s="3">
        <f>IFERROR(__xludf.DUMMYFUNCTION("""COMPUTED_VALUE"""),66294.0)</f>
        <v>66294</v>
      </c>
      <c r="H253" s="3">
        <f>IFERROR(__xludf.DUMMYFUNCTION("""COMPUTED_VALUE"""),75423.0)</f>
        <v>75423</v>
      </c>
      <c r="I253" s="2" t="str">
        <f>IFERROR(__xludf.DUMMYFUNCTION("""COMPUTED_VALUE"""),"Thulo Khola Hydropoer Ltd.")</f>
        <v>Thulo Khola Hydropoer Ltd.</v>
      </c>
      <c r="J253" s="2" t="str">
        <f>IFERROR(__xludf.DUMMYFUNCTION("""COMPUTED_VALUE"""),"Mid Baneshwor-31, Kathmandu; 01-5321777")</f>
        <v>Mid Baneshwor-31, Kathmandu; 01-5321777</v>
      </c>
      <c r="K253" s="2" t="str">
        <f>IFERROR(__xludf.DUMMYFUNCTION("""COMPUTED_VALUE"""),"Switchyard of Project")</f>
        <v>Switchyard of Project</v>
      </c>
      <c r="L253" s="2" t="str">
        <f>IFERROR(__xludf.DUMMYFUNCTION("""COMPUTED_VALUE"""),"NEA Dana S/S")</f>
        <v>NEA Dana S/S</v>
      </c>
    </row>
    <row r="254">
      <c r="A254" s="2">
        <f>IFERROR(__xludf.DUMMYFUNCTION("""COMPUTED_VALUE"""),253.0)</f>
        <v>253</v>
      </c>
      <c r="B254" s="2" t="str">
        <f>IFERROR(__xludf.DUMMYFUNCTION("""COMPUTED_VALUE"""),"Buku Kapati 33 kV Transmission line Project")</f>
        <v>Buku Kapati 33 kV Transmission line Project</v>
      </c>
      <c r="C254" s="2">
        <f>IFERROR(__xludf.DUMMYFUNCTION("""COMPUTED_VALUE"""),33.0)</f>
        <v>33</v>
      </c>
      <c r="D254" s="2">
        <f>IFERROR(__xludf.DUMMYFUNCTION("""COMPUTED_VALUE"""),10.9)</f>
        <v>10.9</v>
      </c>
      <c r="E254" s="2">
        <f>IFERROR(__xludf.DUMMYFUNCTION("""COMPUTED_VALUE"""),5.0)</f>
        <v>5</v>
      </c>
      <c r="F254" s="2">
        <f>IFERROR(__xludf.DUMMYFUNCTION("""COMPUTED_VALUE"""),254.0)</f>
        <v>254</v>
      </c>
      <c r="G254" s="3">
        <f>IFERROR(__xludf.DUMMYFUNCTION("""COMPUTED_VALUE"""),66299.0)</f>
        <v>66299</v>
      </c>
      <c r="H254" s="3">
        <f>IFERROR(__xludf.DUMMYFUNCTION("""COMPUTED_VALUE"""),75428.0)</f>
        <v>75428</v>
      </c>
      <c r="I254" s="2" t="str">
        <f>IFERROR(__xludf.DUMMYFUNCTION("""COMPUTED_VALUE"""),"Him Star Urja Company Ltd.")</f>
        <v>Him Star Urja Company Ltd.</v>
      </c>
      <c r="J254" s="2" t="str">
        <f>IFERROR(__xludf.DUMMYFUNCTION("""COMPUTED_VALUE"""),"Tusal, Kathmandu-7; 9851105711")</f>
        <v>Tusal, Kathmandu-7; 9851105711</v>
      </c>
      <c r="K254" s="2" t="str">
        <f>IFERROR(__xludf.DUMMYFUNCTION("""COMPUTED_VALUE"""),"Switchyard of Project")</f>
        <v>Switchyard of Project</v>
      </c>
      <c r="L254" s="2" t="str">
        <f>IFERROR(__xludf.DUMMYFUNCTION("""COMPUTED_VALUE"""),"NEA Bamti S/S")</f>
        <v>NEA Bamti S/S</v>
      </c>
    </row>
    <row r="255">
      <c r="A255" s="2">
        <f>IFERROR(__xludf.DUMMYFUNCTION("""COMPUTED_VALUE"""),254.0)</f>
        <v>254</v>
      </c>
      <c r="B255" s="2" t="str">
        <f>IFERROR(__xludf.DUMMYFUNCTION("""COMPUTED_VALUE"""),"33 kV Transmission Line for Dharamnagar Solar Farm")</f>
        <v>33 kV Transmission Line for Dharamnagar Solar Farm</v>
      </c>
      <c r="C255" s="2">
        <f>IFERROR(__xludf.DUMMYFUNCTION("""COMPUTED_VALUE"""),33.0)</f>
        <v>33</v>
      </c>
      <c r="D255" s="2">
        <f>IFERROR(__xludf.DUMMYFUNCTION("""COMPUTED_VALUE"""),3.3)</f>
        <v>3.3</v>
      </c>
      <c r="E255" s="2">
        <f>IFERROR(__xludf.DUMMYFUNCTION("""COMPUTED_VALUE"""),25.0)</f>
        <v>25</v>
      </c>
      <c r="F255" s="2">
        <f>IFERROR(__xludf.DUMMYFUNCTION("""COMPUTED_VALUE"""),255.0)</f>
        <v>255</v>
      </c>
      <c r="G255" s="3">
        <f>IFERROR(__xludf.DUMMYFUNCTION("""COMPUTED_VALUE"""),66317.0)</f>
        <v>66317</v>
      </c>
      <c r="H255" s="3">
        <f>IFERROR(__xludf.DUMMYFUNCTION("""COMPUTED_VALUE"""),75446.0)</f>
        <v>75446</v>
      </c>
      <c r="I255" s="2" t="str">
        <f>IFERROR(__xludf.DUMMYFUNCTION("""COMPUTED_VALUE"""),"Pashupati Renewables Pvt. Ltd.")</f>
        <v>Pashupati Renewables Pvt. Ltd.</v>
      </c>
      <c r="J255" s="2" t="str">
        <f>IFERROR(__xludf.DUMMYFUNCTION("""COMPUTED_VALUE"""),"36 Macchapucchre Marg, Gyaneshwar, Kathmandu, Phone No. 9801025634")</f>
        <v>36 Macchapucchre Marg, Gyaneshwar, Kathmandu, Phone No. 9801025634</v>
      </c>
      <c r="K255" s="2" t="str">
        <f>IFERROR(__xludf.DUMMYFUNCTION("""COMPUTED_VALUE"""),"Dharamnagar Solar Farm switchyard")</f>
        <v>Dharamnagar Solar Farm switchyard</v>
      </c>
      <c r="L255" s="2" t="str">
        <f>IFERROR(__xludf.DUMMYFUNCTION("""COMPUTED_VALUE"""),"NEA Chaunata Substation")</f>
        <v>NEA Chaunata Substation</v>
      </c>
    </row>
    <row r="256">
      <c r="A256" s="2">
        <f>IFERROR(__xludf.DUMMYFUNCTION("""COMPUTED_VALUE"""),255.0)</f>
        <v>255</v>
      </c>
      <c r="B256" s="2" t="str">
        <f>IFERROR(__xludf.DUMMYFUNCTION("""COMPUTED_VALUE"""),"Super Nyadi 132 kV Transmission Line Project")</f>
        <v>Super Nyadi 132 kV Transmission Line Project</v>
      </c>
      <c r="C256" s="2">
        <f>IFERROR(__xludf.DUMMYFUNCTION("""COMPUTED_VALUE"""),132.0)</f>
        <v>132</v>
      </c>
      <c r="D256" s="2">
        <f>IFERROR(__xludf.DUMMYFUNCTION("""COMPUTED_VALUE"""),5.5)</f>
        <v>5.5</v>
      </c>
      <c r="E256" s="2">
        <f>IFERROR(__xludf.DUMMYFUNCTION("""COMPUTED_VALUE"""),42.6)</f>
        <v>42.6</v>
      </c>
      <c r="F256" s="2">
        <f>IFERROR(__xludf.DUMMYFUNCTION("""COMPUTED_VALUE"""),256.0)</f>
        <v>256</v>
      </c>
      <c r="G256" s="3">
        <f>IFERROR(__xludf.DUMMYFUNCTION("""COMPUTED_VALUE"""),66330.0)</f>
        <v>66330</v>
      </c>
      <c r="H256" s="3">
        <f>IFERROR(__xludf.DUMMYFUNCTION("""COMPUTED_VALUE"""),75459.0)</f>
        <v>75459</v>
      </c>
      <c r="I256" s="2" t="str">
        <f>IFERROR(__xludf.DUMMYFUNCTION("""COMPUTED_VALUE"""),"Siuri Nyadi Power Ltd.")</f>
        <v>Siuri Nyadi Power Ltd.</v>
      </c>
      <c r="J256" s="2" t="str">
        <f>IFERROR(__xludf.DUMMYFUNCTION("""COMPUTED_VALUE"""),"Hanumanstan, Anamnagar, Kathmandu,01-5705159")</f>
        <v>Hanumanstan, Anamnagar, Kathmandu,01-5705159</v>
      </c>
      <c r="K256" s="2" t="str">
        <f>IFERROR(__xludf.DUMMYFUNCTION("""COMPUTED_VALUE"""),"Switchyard of Project")</f>
        <v>Switchyard of Project</v>
      </c>
      <c r="L256" s="2" t="str">
        <f>IFERROR(__xludf.DUMMYFUNCTION("""COMPUTED_VALUE"""),"Switchyard of Nyadi HEP")</f>
        <v>Switchyard of Nyadi HEP</v>
      </c>
    </row>
    <row r="257">
      <c r="A257" s="2">
        <f>IFERROR(__xludf.DUMMYFUNCTION("""COMPUTED_VALUE"""),256.0)</f>
        <v>256</v>
      </c>
      <c r="B257" s="2" t="str">
        <f>IFERROR(__xludf.DUMMYFUNCTION("""COMPUTED_VALUE"""),"Jeera Bhawani Sedwa Solar Project 33kV Transmission Line")</f>
        <v>Jeera Bhawani Sedwa Solar Project 33kV Transmission Line</v>
      </c>
      <c r="C257" s="2">
        <f>IFERROR(__xludf.DUMMYFUNCTION("""COMPUTED_VALUE"""),33.0)</f>
        <v>33</v>
      </c>
      <c r="D257" s="2">
        <f>IFERROR(__xludf.DUMMYFUNCTION("""COMPUTED_VALUE"""),3.5)</f>
        <v>3.5</v>
      </c>
      <c r="E257" s="2">
        <f>IFERROR(__xludf.DUMMYFUNCTION("""COMPUTED_VALUE"""),10.0)</f>
        <v>10</v>
      </c>
      <c r="F257" s="2">
        <f>IFERROR(__xludf.DUMMYFUNCTION("""COMPUTED_VALUE"""),257.0)</f>
        <v>257</v>
      </c>
      <c r="G257" s="3">
        <f>IFERROR(__xludf.DUMMYFUNCTION("""COMPUTED_VALUE"""),66333.0)</f>
        <v>66333</v>
      </c>
      <c r="H257" s="3">
        <f>IFERROR(__xludf.DUMMYFUNCTION("""COMPUTED_VALUE"""),75462.0)</f>
        <v>75462</v>
      </c>
      <c r="I257" s="2" t="str">
        <f>IFERROR(__xludf.DUMMYFUNCTION("""COMPUTED_VALUE"""),"Tarai Solar Pvt. Ltd.")</f>
        <v>Tarai Solar Pvt. Ltd.</v>
      </c>
      <c r="J257" s="2" t="str">
        <f>IFERROR(__xludf.DUMMYFUNCTION("""COMPUTED_VALUE"""),"Gahanapokhari, KTM-05; 01-4419321")</f>
        <v>Gahanapokhari, KTM-05; 01-4419321</v>
      </c>
      <c r="K257" s="2" t="str">
        <f>IFERROR(__xludf.DUMMYFUNCTION("""COMPUTED_VALUE"""),"Switchyard of Project")</f>
        <v>Switchyard of Project</v>
      </c>
      <c r="L257" s="2" t="str">
        <f>IFERROR(__xludf.DUMMYFUNCTION("""COMPUTED_VALUE"""),"NEA Sedwa S/S")</f>
        <v>NEA Sedwa S/S</v>
      </c>
    </row>
    <row r="258">
      <c r="A258" s="2">
        <f>IFERROR(__xludf.DUMMYFUNCTION("""COMPUTED_VALUE"""),257.0)</f>
        <v>257</v>
      </c>
      <c r="B258" s="2" t="str">
        <f>IFERROR(__xludf.DUMMYFUNCTION("""COMPUTED_VALUE"""),"Upper Modi A and Upper Modi HEP 132 kV Transmission Line")</f>
        <v>Upper Modi A and Upper Modi HEP 132 kV Transmission Line</v>
      </c>
      <c r="C258" s="2">
        <f>IFERROR(__xludf.DUMMYFUNCTION("""COMPUTED_VALUE"""),132.0)</f>
        <v>132</v>
      </c>
      <c r="D258" s="2">
        <f>IFERROR(__xludf.DUMMYFUNCTION("""COMPUTED_VALUE"""),11.5)</f>
        <v>11.5</v>
      </c>
      <c r="E258" s="2">
        <f>IFERROR(__xludf.DUMMYFUNCTION("""COMPUTED_VALUE"""),60.2)</f>
        <v>60.2</v>
      </c>
      <c r="F258" s="2">
        <f>IFERROR(__xludf.DUMMYFUNCTION("""COMPUTED_VALUE"""),258.0)</f>
        <v>258</v>
      </c>
      <c r="G258" s="3">
        <f>IFERROR(__xludf.DUMMYFUNCTION("""COMPUTED_VALUE"""),66391.0)</f>
        <v>66391</v>
      </c>
      <c r="H258" s="3">
        <f>IFERROR(__xludf.DUMMYFUNCTION("""COMPUTED_VALUE"""),75520.0)</f>
        <v>75520</v>
      </c>
      <c r="I258" s="2" t="str">
        <f>IFERROR(__xludf.DUMMYFUNCTION("""COMPUTED_VALUE"""),"Modi Jalvidyut Company Limited")</f>
        <v>Modi Jalvidyut Company Limited</v>
      </c>
      <c r="J258" s="2" t="str">
        <f>IFERROR(__xludf.DUMMYFUNCTION("""COMPUTED_VALUE"""),"United World Trade Centre, Tripureshwor; 01-4117167, uppermodi42@nea.org.np")</f>
        <v>United World Trade Centre, Tripureshwor; 01-4117167, uppermodi42@nea.org.np</v>
      </c>
      <c r="K258" s="2" t="str">
        <f>IFERROR(__xludf.DUMMYFUNCTION("""COMPUTED_VALUE"""),"Switchyard of Upper Modi A HEP")</f>
        <v>Switchyard of Upper Modi A HEP</v>
      </c>
      <c r="L258" s="2" t="str">
        <f>IFERROR(__xludf.DUMMYFUNCTION("""COMPUTED_VALUE"""),"New Modi S/S")</f>
        <v>New Modi S/S</v>
      </c>
    </row>
    <row r="259">
      <c r="A259" s="2">
        <f>IFERROR(__xludf.DUMMYFUNCTION("""COMPUTED_VALUE"""),258.0)</f>
        <v>258</v>
      </c>
      <c r="B259" s="2" t="str">
        <f>IFERROR(__xludf.DUMMYFUNCTION("""COMPUTED_VALUE"""),"Hidi Khola Transmission Line Project")</f>
        <v>Hidi Khola Transmission Line Project</v>
      </c>
      <c r="C259" s="2">
        <f>IFERROR(__xludf.DUMMYFUNCTION("""COMPUTED_VALUE"""),33.0)</f>
        <v>33</v>
      </c>
      <c r="D259" s="2">
        <f>IFERROR(__xludf.DUMMYFUNCTION("""COMPUTED_VALUE"""),10.176)</f>
        <v>10.176</v>
      </c>
      <c r="E259" s="2">
        <f>IFERROR(__xludf.DUMMYFUNCTION("""COMPUTED_VALUE"""),6.82)</f>
        <v>6.82</v>
      </c>
      <c r="F259" s="2">
        <f>IFERROR(__xludf.DUMMYFUNCTION("""COMPUTED_VALUE"""),259.0)</f>
        <v>259</v>
      </c>
      <c r="G259" s="3">
        <f>IFERROR(__xludf.DUMMYFUNCTION("""COMPUTED_VALUE"""),66417.0)</f>
        <v>66417</v>
      </c>
      <c r="H259" s="3">
        <f>IFERROR(__xludf.DUMMYFUNCTION("""COMPUTED_VALUE"""),75546.0)</f>
        <v>75546</v>
      </c>
      <c r="I259" s="2" t="str">
        <f>IFERROR(__xludf.DUMMYFUNCTION("""COMPUTED_VALUE"""),"White Lotus Power Ltd.")</f>
        <v>White Lotus Power Ltd.</v>
      </c>
      <c r="J259" s="2" t="str">
        <f>IFERROR(__xludf.DUMMYFUNCTION("""COMPUTED_VALUE"""),"New Baneshwor -10, Kathmandu, 01-4785660")</f>
        <v>New Baneshwor -10, Kathmandu, 01-4785660</v>
      </c>
      <c r="K259" s="2" t="str">
        <f>IFERROR(__xludf.DUMMYFUNCTION("""COMPUTED_VALUE"""),"Switchyard of Project")</f>
        <v>Switchyard of Project</v>
      </c>
      <c r="L259" s="2" t="str">
        <f>IFERROR(__xludf.DUMMYFUNCTION("""COMPUTED_VALUE"""),"Switchyard of Nyadi HEP")</f>
        <v>Switchyard of Nyadi HEP</v>
      </c>
    </row>
    <row r="260">
      <c r="A260" s="2">
        <f>IFERROR(__xludf.DUMMYFUNCTION("""COMPUTED_VALUE"""),259.0)</f>
        <v>259</v>
      </c>
      <c r="B260" s="2" t="str">
        <f>IFERROR(__xludf.DUMMYFUNCTION("""COMPUTED_VALUE"""),"Upper Lohore Khola Hydropower Company Ltd.")</f>
        <v>Upper Lohore Khola Hydropower Company Ltd.</v>
      </c>
      <c r="C260" s="2">
        <f>IFERROR(__xludf.DUMMYFUNCTION("""COMPUTED_VALUE"""),33.0)</f>
        <v>33</v>
      </c>
      <c r="D260" s="2">
        <f>IFERROR(__xludf.DUMMYFUNCTION("""COMPUTED_VALUE"""),2.8)</f>
        <v>2.8</v>
      </c>
      <c r="E260" s="2">
        <f>IFERROR(__xludf.DUMMYFUNCTION("""COMPUTED_VALUE"""),4.0)</f>
        <v>4</v>
      </c>
      <c r="F260" s="2">
        <f>IFERROR(__xludf.DUMMYFUNCTION("""COMPUTED_VALUE"""),260.0)</f>
        <v>260</v>
      </c>
      <c r="G260" s="3">
        <f>IFERROR(__xludf.DUMMYFUNCTION("""COMPUTED_VALUE"""),66421.0)</f>
        <v>66421</v>
      </c>
      <c r="H260" s="3">
        <f>IFERROR(__xludf.DUMMYFUNCTION("""COMPUTED_VALUE"""),75550.0)</f>
        <v>75550</v>
      </c>
      <c r="I260" s="2" t="str">
        <f>IFERROR(__xludf.DUMMYFUNCTION("""COMPUTED_VALUE"""),"Upper Lohore Khola Hydropower Company Ltd.")</f>
        <v>Upper Lohore Khola Hydropower Company Ltd.</v>
      </c>
      <c r="J260" s="2" t="str">
        <f>IFERROR(__xludf.DUMMYFUNCTION("""COMPUTED_VALUE"""),"Kathmandu")</f>
        <v>Kathmandu</v>
      </c>
      <c r="K260" s="2" t="str">
        <f>IFERROR(__xludf.DUMMYFUNCTION("""COMPUTED_VALUE"""),"Respective Switchyard of the project")</f>
        <v>Respective Switchyard of the project</v>
      </c>
      <c r="L260" s="2" t="str">
        <f>IFERROR(__xludf.DUMMYFUNCTION("""COMPUTED_VALUE"""),"Switchyard of Padam Khola HPP")</f>
        <v>Switchyard of Padam Khola HPP</v>
      </c>
    </row>
    <row r="261">
      <c r="A261" s="2">
        <f>IFERROR(__xludf.DUMMYFUNCTION("""COMPUTED_VALUE"""),260.0)</f>
        <v>260</v>
      </c>
      <c r="B261" s="2" t="str">
        <f>IFERROR(__xludf.DUMMYFUNCTION("""COMPUTED_VALUE"""),"Palpa Substation and Transmission Line Project")</f>
        <v>Palpa Substation and Transmission Line Project</v>
      </c>
      <c r="C261" s="2">
        <f>IFERROR(__xludf.DUMMYFUNCTION("""COMPUTED_VALUE"""),220.0)</f>
        <v>220</v>
      </c>
      <c r="D261" s="2">
        <f>IFERROR(__xludf.DUMMYFUNCTION("""COMPUTED_VALUE"""),0.635)</f>
        <v>0.635</v>
      </c>
      <c r="E261" s="2">
        <f>IFERROR(__xludf.DUMMYFUNCTION("""COMPUTED_VALUE"""),1000.0)</f>
        <v>1000</v>
      </c>
      <c r="F261" s="2">
        <f>IFERROR(__xludf.DUMMYFUNCTION("""COMPUTED_VALUE"""),261.0)</f>
        <v>261</v>
      </c>
      <c r="G261" s="3">
        <f>IFERROR(__xludf.DUMMYFUNCTION("""COMPUTED_VALUE"""),66428.0)</f>
        <v>66428</v>
      </c>
      <c r="H261" s="3">
        <f>IFERROR(__xludf.DUMMYFUNCTION("""COMPUTED_VALUE"""),75557.0)</f>
        <v>75557</v>
      </c>
      <c r="I261" s="2" t="str">
        <f>IFERROR(__xludf.DUMMYFUNCTION("""COMPUTED_VALUE"""),"Nepal Electricity Authority")</f>
        <v>Nepal Electricity Authority</v>
      </c>
      <c r="J261" s="2" t="str">
        <f>IFERROR(__xludf.DUMMYFUNCTION("""COMPUTED_VALUE"""),"Durbar Marg, Kathmandu 01-4153007")</f>
        <v>Durbar Marg, Kathmandu 01-4153007</v>
      </c>
      <c r="K261" s="2" t="str">
        <f>IFERROR(__xludf.DUMMYFUNCTION("""COMPUTED_VALUE"""),"LILO@Kusma New Butwal TL")</f>
        <v>LILO@Kusma New Butwal TL</v>
      </c>
      <c r="L261" s="2" t="str">
        <f>IFERROR(__xludf.DUMMYFUNCTION("""COMPUTED_VALUE"""),"LILO@Kaligandkai Butwal TL")</f>
        <v>LILO@Kaligandkai Butwal TL</v>
      </c>
    </row>
    <row r="262">
      <c r="A262" s="2">
        <f>IFERROR(__xludf.DUMMYFUNCTION("""COMPUTED_VALUE"""),261.0)</f>
        <v>261</v>
      </c>
      <c r="B262" s="2" t="str">
        <f>IFERROR(__xludf.DUMMYFUNCTION("""COMPUTED_VALUE"""),"Tamor Dhungesanghu 220 kV Transmission Line")</f>
        <v>Tamor Dhungesanghu 220 kV Transmission Line</v>
      </c>
      <c r="C262" s="2">
        <f>IFERROR(__xludf.DUMMYFUNCTION("""COMPUTED_VALUE"""),220.0)</f>
        <v>220</v>
      </c>
      <c r="D262" s="2">
        <f>IFERROR(__xludf.DUMMYFUNCTION("""COMPUTED_VALUE"""),32.0)</f>
        <v>32</v>
      </c>
      <c r="E262" s="2">
        <f>IFERROR(__xludf.DUMMYFUNCTION("""COMPUTED_VALUE"""),700.0)</f>
        <v>700</v>
      </c>
      <c r="F262" s="2">
        <f>IFERROR(__xludf.DUMMYFUNCTION("""COMPUTED_VALUE"""),262.0)</f>
        <v>262</v>
      </c>
      <c r="G262" s="3">
        <f>IFERROR(__xludf.DUMMYFUNCTION("""COMPUTED_VALUE"""),66436.0)</f>
        <v>66436</v>
      </c>
      <c r="H262" s="3">
        <f>IFERROR(__xludf.DUMMYFUNCTION("""COMPUTED_VALUE"""),75565.0)</f>
        <v>75565</v>
      </c>
      <c r="I262" s="2" t="str">
        <f>IFERROR(__xludf.DUMMYFUNCTION("""COMPUTED_VALUE"""),"Rastriya Prasaran Grid Company Limited")</f>
        <v>Rastriya Prasaran Grid Company Limited</v>
      </c>
      <c r="J262" s="2" t="str">
        <f>IFERROR(__xludf.DUMMYFUNCTION("""COMPUTED_VALUE"""),"DCC Bhawan Babarmahal, Kathmandu; 01-4266693; rpgcl.np@gmail.com")</f>
        <v>DCC Bhawan Babarmahal, Kathmandu; 01-4266693; rpgcl.np@gmail.com</v>
      </c>
      <c r="K262" s="2" t="str">
        <f>IFERROR(__xludf.DUMMYFUNCTION("""COMPUTED_VALUE"""),"Proposed Tamor S/S")</f>
        <v>Proposed Tamor S/S</v>
      </c>
      <c r="L262" s="2" t="str">
        <f>IFERROR(__xludf.DUMMYFUNCTION("""COMPUTED_VALUE"""),"Proposed Dhungesanghu S/S")</f>
        <v>Proposed Dhungesanghu S/S</v>
      </c>
    </row>
    <row r="263">
      <c r="A263" s="2">
        <f>IFERROR(__xludf.DUMMYFUNCTION("""COMPUTED_VALUE"""),262.0)</f>
        <v>262</v>
      </c>
      <c r="B263" s="2" t="str">
        <f>IFERROR(__xludf.DUMMYFUNCTION("""COMPUTED_VALUE"""),"Upper Khudi Hydropower Project")</f>
        <v>Upper Khudi Hydropower Project</v>
      </c>
      <c r="C263" s="2">
        <f>IFERROR(__xludf.DUMMYFUNCTION("""COMPUTED_VALUE"""),132.0)</f>
        <v>132</v>
      </c>
      <c r="D263" s="2">
        <f>IFERROR(__xludf.DUMMYFUNCTION("""COMPUTED_VALUE"""),5.0)</f>
        <v>5</v>
      </c>
      <c r="E263" s="2">
        <f>IFERROR(__xludf.DUMMYFUNCTION("""COMPUTED_VALUE"""),26.0)</f>
        <v>26</v>
      </c>
      <c r="F263" s="2">
        <f>IFERROR(__xludf.DUMMYFUNCTION("""COMPUTED_VALUE"""),263.0)</f>
        <v>263</v>
      </c>
      <c r="G263" s="3">
        <f>IFERROR(__xludf.DUMMYFUNCTION("""COMPUTED_VALUE"""),66450.0)</f>
        <v>66450</v>
      </c>
      <c r="H263" s="3">
        <f>IFERROR(__xludf.DUMMYFUNCTION("""COMPUTED_VALUE"""),75579.0)</f>
        <v>75579</v>
      </c>
      <c r="I263" s="2" t="str">
        <f>IFERROR(__xludf.DUMMYFUNCTION("""COMPUTED_VALUE"""),"Super Khudi Hydropower Pvt.Ltd.")</f>
        <v>Super Khudi Hydropower Pvt.Ltd.</v>
      </c>
      <c r="J263" s="2" t="str">
        <f>IFERROR(__xludf.DUMMYFUNCTION("""COMPUTED_VALUE"""),"Charkhal,Dillibazzar,Kathmandu,Nepal 01-4424644 4424655 4434003")</f>
        <v>Charkhal,Dillibazzar,Kathmandu,Nepal 01-4424644 4424655 4434003</v>
      </c>
      <c r="K263" s="2" t="str">
        <f>IFERROR(__xludf.DUMMYFUNCTION("""COMPUTED_VALUE"""),"Swichyard of Upper Khudi HPP(Lamjung)")</f>
        <v>Swichyard of Upper Khudi HPP(Lamjung)</v>
      </c>
      <c r="L263" s="2" t="str">
        <f>IFERROR(__xludf.DUMMYFUNCTION("""COMPUTED_VALUE"""),"Khudi(Tarikuna) NEA Substation(Lamjung)")</f>
        <v>Khudi(Tarikuna) NEA Substation(Lamjung)</v>
      </c>
    </row>
    <row r="264">
      <c r="A264" s="2">
        <f>IFERROR(__xludf.DUMMYFUNCTION("""COMPUTED_VALUE"""),263.0)</f>
        <v>263</v>
      </c>
      <c r="B264" s="2" t="str">
        <f>IFERROR(__xludf.DUMMYFUNCTION("""COMPUTED_VALUE"""),"Sabha Khola B to Sitalpati 132 kV Transmission Line Project")</f>
        <v>Sabha Khola B to Sitalpati 132 kV Transmission Line Project</v>
      </c>
      <c r="C264" s="2">
        <f>IFERROR(__xludf.DUMMYFUNCTION("""COMPUTED_VALUE"""),132.0)</f>
        <v>132</v>
      </c>
      <c r="D264" s="2">
        <f>IFERROR(__xludf.DUMMYFUNCTION("""COMPUTED_VALUE"""),22.738)</f>
        <v>22.738</v>
      </c>
      <c r="E264" s="2">
        <f>IFERROR(__xludf.DUMMYFUNCTION("""COMPUTED_VALUE"""),42.15)</f>
        <v>42.15</v>
      </c>
      <c r="F264" s="2">
        <f>IFERROR(__xludf.DUMMYFUNCTION("""COMPUTED_VALUE"""),264.0)</f>
        <v>264</v>
      </c>
      <c r="G264" s="3">
        <f>IFERROR(__xludf.DUMMYFUNCTION("""COMPUTED_VALUE"""),66457.0)</f>
        <v>66457</v>
      </c>
      <c r="H264" s="3">
        <f>IFERROR(__xludf.DUMMYFUNCTION("""COMPUTED_VALUE"""),75586.0)</f>
        <v>75586</v>
      </c>
      <c r="I264" s="2" t="str">
        <f>IFERROR(__xludf.DUMMYFUNCTION("""COMPUTED_VALUE"""),"Orbit Energy Limited")</f>
        <v>Orbit Energy Limited</v>
      </c>
      <c r="J264" s="2" t="str">
        <f>IFERROR(__xludf.DUMMYFUNCTION("""COMPUTED_VALUE"""),"Handigaun,kathmandu")</f>
        <v>Handigaun,kathmandu</v>
      </c>
      <c r="K264" s="2" t="str">
        <f>IFERROR(__xludf.DUMMYFUNCTION("""COMPUTED_VALUE"""),"Switchyard of Sabha Khola B HPP")</f>
        <v>Switchyard of Sabha Khola B HPP</v>
      </c>
      <c r="L264" s="2" t="str">
        <f>IFERROR(__xludf.DUMMYFUNCTION("""COMPUTED_VALUE"""),"Sitalpati S/S")</f>
        <v>Sitalpati S/S</v>
      </c>
    </row>
    <row r="265">
      <c r="A265" s="2">
        <f>IFERROR(__xludf.DUMMYFUNCTION("""COMPUTED_VALUE"""),264.0)</f>
        <v>264</v>
      </c>
      <c r="B265" s="2" t="str">
        <f>IFERROR(__xludf.DUMMYFUNCTION("""COMPUTED_VALUE"""),"Mid Hongu B HPP 132kV Transmission line Project")</f>
        <v>Mid Hongu B HPP 132kV Transmission line Project</v>
      </c>
      <c r="C265" s="2">
        <f>IFERROR(__xludf.DUMMYFUNCTION("""COMPUTED_VALUE"""),132.0)</f>
        <v>132</v>
      </c>
      <c r="D265" s="2">
        <f>IFERROR(__xludf.DUMMYFUNCTION("""COMPUTED_VALUE"""),25.79)</f>
        <v>25.79</v>
      </c>
      <c r="E265" s="2">
        <f>IFERROR(__xludf.DUMMYFUNCTION("""COMPUTED_VALUE"""),44.9)</f>
        <v>44.9</v>
      </c>
      <c r="F265" s="2">
        <f>IFERROR(__xludf.DUMMYFUNCTION("""COMPUTED_VALUE"""),265.0)</f>
        <v>265</v>
      </c>
      <c r="G265" s="3">
        <f>IFERROR(__xludf.DUMMYFUNCTION("""COMPUTED_VALUE"""),66458.0)</f>
        <v>66458</v>
      </c>
      <c r="H265" s="3">
        <f>IFERROR(__xludf.DUMMYFUNCTION("""COMPUTED_VALUE"""),75587.0)</f>
        <v>75587</v>
      </c>
      <c r="I265" s="2" t="str">
        <f>IFERROR(__xludf.DUMMYFUNCTION("""COMPUTED_VALUE"""),"Gauri Shanker Power Development Ltd")</f>
        <v>Gauri Shanker Power Development Ltd</v>
      </c>
      <c r="J265" s="2" t="str">
        <f>IFERROR(__xludf.DUMMYFUNCTION("""COMPUTED_VALUE"""),"Naxal")</f>
        <v>Naxal</v>
      </c>
      <c r="K265" s="2" t="str">
        <f>IFERROR(__xludf.DUMMYFUNCTION("""COMPUTED_VALUE"""),"Respective Switchyard of the project")</f>
        <v>Respective Switchyard of the project</v>
      </c>
      <c r="L265" s="2" t="str">
        <f>IFERROR(__xludf.DUMMYFUNCTION("""COMPUTED_VALUE"""),"Tingla S/S")</f>
        <v>Tingla S/S</v>
      </c>
    </row>
    <row r="266">
      <c r="A266" s="2">
        <f>IFERROR(__xludf.DUMMYFUNCTION("""COMPUTED_VALUE"""),265.0)</f>
        <v>265</v>
      </c>
      <c r="B266" s="2" t="str">
        <f>IFERROR(__xludf.DUMMYFUNCTION("""COMPUTED_VALUE"""),"Madhya Super Daraudi - Ghyampesal 33kV Transmission Line Project")</f>
        <v>Madhya Super Daraudi - Ghyampesal 33kV Transmission Line Project</v>
      </c>
      <c r="C266" s="2">
        <f>IFERROR(__xludf.DUMMYFUNCTION("""COMPUTED_VALUE"""),33.0)</f>
        <v>33</v>
      </c>
      <c r="D266" s="2">
        <f>IFERROR(__xludf.DUMMYFUNCTION("""COMPUTED_VALUE"""),18.91)</f>
        <v>18.91</v>
      </c>
      <c r="E266" s="2">
        <f>IFERROR(__xludf.DUMMYFUNCTION("""COMPUTED_VALUE"""),10.0)</f>
        <v>10</v>
      </c>
      <c r="F266" s="2">
        <f>IFERROR(__xludf.DUMMYFUNCTION("""COMPUTED_VALUE"""),266.0)</f>
        <v>266</v>
      </c>
      <c r="G266" s="3">
        <f>IFERROR(__xludf.DUMMYFUNCTION("""COMPUTED_VALUE"""),66486.0)</f>
        <v>66486</v>
      </c>
      <c r="H266" s="3">
        <f>IFERROR(__xludf.DUMMYFUNCTION("""COMPUTED_VALUE"""),75615.0)</f>
        <v>75615</v>
      </c>
      <c r="I266" s="2" t="str">
        <f>IFERROR(__xludf.DUMMYFUNCTION("""COMPUTED_VALUE"""),"Barpak Daraudi Hydropower Pvt. Ltd.")</f>
        <v>Barpak Daraudi Hydropower Pvt. Ltd.</v>
      </c>
      <c r="J266" s="2" t="str">
        <f>IFERROR(__xludf.DUMMYFUNCTION("""COMPUTED_VALUE"""),"Kathmandu")</f>
        <v>Kathmandu</v>
      </c>
      <c r="K266" s="2" t="str">
        <f>IFERROR(__xludf.DUMMYFUNCTION("""COMPUTED_VALUE"""),"Switchyard of Project")</f>
        <v>Switchyard of Project</v>
      </c>
      <c r="L266" s="2" t="str">
        <f>IFERROR(__xludf.DUMMYFUNCTION("""COMPUTED_VALUE"""),"NEA Ghyampesal S/S")</f>
        <v>NEA Ghyampesal S/S</v>
      </c>
    </row>
    <row r="267">
      <c r="A267" s="2">
        <f>IFERROR(__xludf.DUMMYFUNCTION("""COMPUTED_VALUE"""),266.0)</f>
        <v>266</v>
      </c>
      <c r="B267" s="2" t="str">
        <f>IFERROR(__xludf.DUMMYFUNCTION("""COMPUTED_VALUE"""),"Solar PV Dhalkebar 33kV Transmission Lone Project")</f>
        <v>Solar PV Dhalkebar 33kV Transmission Lone Project</v>
      </c>
      <c r="C267" s="2">
        <f>IFERROR(__xludf.DUMMYFUNCTION("""COMPUTED_VALUE"""),33.0)</f>
        <v>33</v>
      </c>
      <c r="D267" s="2">
        <f>IFERROR(__xludf.DUMMYFUNCTION("""COMPUTED_VALUE"""),4.5)</f>
        <v>4.5</v>
      </c>
      <c r="E267" s="2">
        <f>IFERROR(__xludf.DUMMYFUNCTION("""COMPUTED_VALUE"""),5.0)</f>
        <v>5</v>
      </c>
      <c r="F267" s="2">
        <f>IFERROR(__xludf.DUMMYFUNCTION("""COMPUTED_VALUE"""),267.0)</f>
        <v>267</v>
      </c>
      <c r="G267" s="3">
        <f>IFERROR(__xludf.DUMMYFUNCTION("""COMPUTED_VALUE"""),66498.0)</f>
        <v>66498</v>
      </c>
      <c r="H267" s="3">
        <f>IFERROR(__xludf.DUMMYFUNCTION("""COMPUTED_VALUE"""),75627.0)</f>
        <v>75627</v>
      </c>
      <c r="I267" s="2" t="str">
        <f>IFERROR(__xludf.DUMMYFUNCTION("""COMPUTED_VALUE"""),"Green Infrastructure Pvt.Ltd")</f>
        <v>Green Infrastructure Pvt.Ltd</v>
      </c>
      <c r="J267" s="2" t="str">
        <f>IFERROR(__xludf.DUMMYFUNCTION("""COMPUTED_VALUE"""),"Babarmahal, Kathmandu")</f>
        <v>Babarmahal, Kathmandu</v>
      </c>
      <c r="K267" s="2" t="str">
        <f>IFERROR(__xludf.DUMMYFUNCTION("""COMPUTED_VALUE"""),"Respective Switchyard of the project")</f>
        <v>Respective Switchyard of the project</v>
      </c>
      <c r="L267" s="2" t="str">
        <f>IFERROR(__xludf.DUMMYFUNCTION("""COMPUTED_VALUE"""),"NEA-Dhalkebar s/s")</f>
        <v>NEA-Dhalkebar s/s</v>
      </c>
    </row>
    <row r="268">
      <c r="A268" s="2">
        <f>IFERROR(__xludf.DUMMYFUNCTION("""COMPUTED_VALUE"""),267.0)</f>
        <v>267</v>
      </c>
      <c r="B268" s="2" t="str">
        <f>IFERROR(__xludf.DUMMYFUNCTION("""COMPUTED_VALUE"""),"Duhabi Solar Farm 33 kV Transmission Line Project")</f>
        <v>Duhabi Solar Farm 33 kV Transmission Line Project</v>
      </c>
      <c r="C268" s="2">
        <f>IFERROR(__xludf.DUMMYFUNCTION("""COMPUTED_VALUE"""),33.0)</f>
        <v>33</v>
      </c>
      <c r="D268" s="2">
        <f>IFERROR(__xludf.DUMMYFUNCTION("""COMPUTED_VALUE"""),10.42)</f>
        <v>10.42</v>
      </c>
      <c r="E268" s="2">
        <f>IFERROR(__xludf.DUMMYFUNCTION("""COMPUTED_VALUE"""),8.0)</f>
        <v>8</v>
      </c>
      <c r="F268" s="2">
        <f>IFERROR(__xludf.DUMMYFUNCTION("""COMPUTED_VALUE"""),268.0)</f>
        <v>268</v>
      </c>
      <c r="G268" s="3">
        <f>IFERROR(__xludf.DUMMYFUNCTION("""COMPUTED_VALUE"""),66498.0)</f>
        <v>66498</v>
      </c>
      <c r="H268" s="3">
        <f>IFERROR(__xludf.DUMMYFUNCTION("""COMPUTED_VALUE"""),75627.0)</f>
        <v>75627</v>
      </c>
      <c r="I268" s="2" t="str">
        <f>IFERROR(__xludf.DUMMYFUNCTION("""COMPUTED_VALUE"""),"Global Energy &amp; Construction Pvt..Ltd")</f>
        <v>Global Energy &amp; Construction Pvt..Ltd</v>
      </c>
      <c r="J268" s="2" t="str">
        <f>IFERROR(__xludf.DUMMYFUNCTION("""COMPUTED_VALUE"""),"Naxal, Kathmandu")</f>
        <v>Naxal, Kathmandu</v>
      </c>
      <c r="K268" s="2" t="str">
        <f>IFERROR(__xludf.DUMMYFUNCTION("""COMPUTED_VALUE"""),"Respective Switchyard of the project")</f>
        <v>Respective Switchyard of the project</v>
      </c>
      <c r="L268" s="2" t="str">
        <f>IFERROR(__xludf.DUMMYFUNCTION("""COMPUTED_VALUE"""),"Duhabi s/s")</f>
        <v>Duhabi s/s</v>
      </c>
    </row>
    <row r="269">
      <c r="A269" s="2">
        <f>IFERROR(__xludf.DUMMYFUNCTION("""COMPUTED_VALUE"""),268.0)</f>
        <v>268</v>
      </c>
      <c r="B269" s="2" t="str">
        <f>IFERROR(__xludf.DUMMYFUNCTION("""COMPUTED_VALUE"""),"Nepalgaunj Nanpara 132 kV Transmission Line Project")</f>
        <v>Nepalgaunj Nanpara 132 kV Transmission Line Project</v>
      </c>
      <c r="C269" s="2">
        <f>IFERROR(__xludf.DUMMYFUNCTION("""COMPUTED_VALUE"""),132.0)</f>
        <v>132</v>
      </c>
      <c r="D269" s="2">
        <f>IFERROR(__xludf.DUMMYFUNCTION("""COMPUTED_VALUE"""),22.53)</f>
        <v>22.53</v>
      </c>
      <c r="E269" s="2">
        <f>IFERROR(__xludf.DUMMYFUNCTION("""COMPUTED_VALUE"""),200.0)</f>
        <v>200</v>
      </c>
      <c r="F269" s="2">
        <f>IFERROR(__xludf.DUMMYFUNCTION("""COMPUTED_VALUE"""),269.0)</f>
        <v>269</v>
      </c>
      <c r="G269" s="3">
        <f>IFERROR(__xludf.DUMMYFUNCTION("""COMPUTED_VALUE"""),66511.0)</f>
        <v>66511</v>
      </c>
      <c r="H269" s="3">
        <f>IFERROR(__xludf.DUMMYFUNCTION("""COMPUTED_VALUE"""),75640.0)</f>
        <v>75640</v>
      </c>
      <c r="I269" s="2" t="str">
        <f>IFERROR(__xludf.DUMMYFUNCTION("""COMPUTED_VALUE"""),"Nepal Electricity Authority")</f>
        <v>Nepal Electricity Authority</v>
      </c>
      <c r="J269" s="2" t="str">
        <f>IFERROR(__xludf.DUMMYFUNCTION("""COMPUTED_VALUE"""),"Durbar Marg, Kathmandu 01-4153007")</f>
        <v>Durbar Marg, Kathmandu 01-4153007</v>
      </c>
      <c r="K269" s="2" t="str">
        <f>IFERROR(__xludf.DUMMYFUNCTION("""COMPUTED_VALUE"""),"NEA New Nepalgaunj")</f>
        <v>NEA New Nepalgaunj</v>
      </c>
      <c r="L269" s="2" t="str">
        <f>IFERROR(__xludf.DUMMYFUNCTION("""COMPUTED_VALUE"""),"NEA Old Nepalgunj S/S")</f>
        <v>NEA Old Nepalgunj S/S</v>
      </c>
    </row>
    <row r="270">
      <c r="A270" s="2">
        <f>IFERROR(__xludf.DUMMYFUNCTION("""COMPUTED_VALUE"""),269.0)</f>
        <v>269</v>
      </c>
      <c r="B270" s="2" t="str">
        <f>IFERROR(__xludf.DUMMYFUNCTION("""COMPUTED_VALUE"""),"Upper Tamor Hydropower Project")</f>
        <v>Upper Tamor Hydropower Project</v>
      </c>
      <c r="C270" s="2">
        <f>IFERROR(__xludf.DUMMYFUNCTION("""COMPUTED_VALUE"""),220.0)</f>
        <v>220</v>
      </c>
      <c r="D270" s="2">
        <f>IFERROR(__xludf.DUMMYFUNCTION("""COMPUTED_VALUE"""),4.7)</f>
        <v>4.7</v>
      </c>
      <c r="E270" s="2">
        <f>IFERROR(__xludf.DUMMYFUNCTION("""COMPUTED_VALUE"""),285.0)</f>
        <v>285</v>
      </c>
      <c r="F270" s="2">
        <f>IFERROR(__xludf.DUMMYFUNCTION("""COMPUTED_VALUE"""),270.0)</f>
        <v>270</v>
      </c>
      <c r="G270" s="3">
        <f>IFERROR(__xludf.DUMMYFUNCTION("""COMPUTED_VALUE"""),66511.0)</f>
        <v>66511</v>
      </c>
      <c r="H270" s="3">
        <f>IFERROR(__xludf.DUMMYFUNCTION("""COMPUTED_VALUE"""),75640.0)</f>
        <v>75640</v>
      </c>
      <c r="I270" s="2" t="str">
        <f>IFERROR(__xludf.DUMMYFUNCTION("""COMPUTED_VALUE"""),"Tamor Energy Pvt.Ltd.")</f>
        <v>Tamor Energy Pvt.Ltd.</v>
      </c>
      <c r="J270" s="2" t="str">
        <f>IFERROR(__xludf.DUMMYFUNCTION("""COMPUTED_VALUE"""),"Kupondole,Lalitpur")</f>
        <v>Kupondole,Lalitpur</v>
      </c>
      <c r="K270" s="2" t="str">
        <f>IFERROR(__xludf.DUMMYFUNCTION("""COMPUTED_VALUE"""),"Switchyard of Project (Taplejung )")</f>
        <v>Switchyard of Project (Taplejung )</v>
      </c>
      <c r="L270" s="2" t="str">
        <f>IFERROR(__xludf.DUMMYFUNCTION("""COMPUTED_VALUE"""),"Switchyard of Madhya Tamor HPP")</f>
        <v>Switchyard of Madhya Tamor HPP</v>
      </c>
    </row>
    <row r="271">
      <c r="A271" s="2">
        <f>IFERROR(__xludf.DUMMYFUNCTION("""COMPUTED_VALUE"""),270.0)</f>
        <v>270</v>
      </c>
      <c r="B271" s="2" t="str">
        <f>IFERROR(__xludf.DUMMYFUNCTION("""COMPUTED_VALUE"""),"Dhaubadi - Meghauli 132 kV Transmission Line Project")</f>
        <v>Dhaubadi - Meghauli 132 kV Transmission Line Project</v>
      </c>
      <c r="C271" s="2">
        <f>IFERROR(__xludf.DUMMYFUNCTION("""COMPUTED_VALUE"""),132.0)</f>
        <v>132</v>
      </c>
      <c r="D271" s="2">
        <f>IFERROR(__xludf.DUMMYFUNCTION("""COMPUTED_VALUE"""),14.931)</f>
        <v>14.931</v>
      </c>
      <c r="E271" s="2">
        <f>IFERROR(__xludf.DUMMYFUNCTION("""COMPUTED_VALUE"""),200.0)</f>
        <v>200</v>
      </c>
      <c r="F271" s="2">
        <f>IFERROR(__xludf.DUMMYFUNCTION("""COMPUTED_VALUE"""),271.0)</f>
        <v>271</v>
      </c>
      <c r="G271" s="3">
        <f>IFERROR(__xludf.DUMMYFUNCTION("""COMPUTED_VALUE"""),66513.0)</f>
        <v>66513</v>
      </c>
      <c r="H271" s="3">
        <f>IFERROR(__xludf.DUMMYFUNCTION("""COMPUTED_VALUE"""),75642.0)</f>
        <v>75642</v>
      </c>
      <c r="I271" s="2" t="str">
        <f>IFERROR(__xludf.DUMMYFUNCTION("""COMPUTED_VALUE"""),"Nepal Electricity Authority")</f>
        <v>Nepal Electricity Authority</v>
      </c>
      <c r="J271" s="2" t="str">
        <f>IFERROR(__xludf.DUMMYFUNCTION("""COMPUTED_VALUE"""),"Durbar Marg, Kathmandu 01-4153007")</f>
        <v>Durbar Marg, Kathmandu 01-4153007</v>
      </c>
      <c r="K271" s="2" t="str">
        <f>IFERROR(__xludf.DUMMYFUNCTION("""COMPUTED_VALUE"""),"Dhaubadi/Gaidakot")</f>
        <v>Dhaubadi/Gaidakot</v>
      </c>
      <c r="L271" s="2" t="str">
        <f>IFERROR(__xludf.DUMMYFUNCTION("""COMPUTED_VALUE"""),"Meghauli s/s")</f>
        <v>Meghauli s/s</v>
      </c>
    </row>
    <row r="272">
      <c r="A272" s="2">
        <f>IFERROR(__xludf.DUMMYFUNCTION("""COMPUTED_VALUE"""),271.0)</f>
        <v>271</v>
      </c>
      <c r="B272" s="2" t="str">
        <f>IFERROR(__xludf.DUMMYFUNCTION("""COMPUTED_VALUE"""),"Thimi Balkumari 132 kV Underground Transmission Line Project")</f>
        <v>Thimi Balkumari 132 kV Underground Transmission Line Project</v>
      </c>
      <c r="C272" s="2">
        <f>IFERROR(__xludf.DUMMYFUNCTION("""COMPUTED_VALUE"""),132.0)</f>
        <v>132</v>
      </c>
      <c r="D272" s="2">
        <f>IFERROR(__xludf.DUMMYFUNCTION("""COMPUTED_VALUE"""),8.0)</f>
        <v>8</v>
      </c>
      <c r="E272" s="2">
        <f>IFERROR(__xludf.DUMMYFUNCTION("""COMPUTED_VALUE"""),300.0)</f>
        <v>300</v>
      </c>
      <c r="F272" s="2">
        <f>IFERROR(__xludf.DUMMYFUNCTION("""COMPUTED_VALUE"""),272.0)</f>
        <v>272</v>
      </c>
      <c r="G272" s="3">
        <f>IFERROR(__xludf.DUMMYFUNCTION("""COMPUTED_VALUE"""),66536.0)</f>
        <v>66536</v>
      </c>
      <c r="H272" s="2" t="str">
        <f>IFERROR(__xludf.DUMMYFUNCTION("""COMPUTED_VALUE"""),"2107-02-30")</f>
        <v>2107-02-30</v>
      </c>
      <c r="I272" s="2" t="str">
        <f>IFERROR(__xludf.DUMMYFUNCTION("""COMPUTED_VALUE"""),"Nepal Electricity Authority")</f>
        <v>Nepal Electricity Authority</v>
      </c>
      <c r="J272" s="2" t="str">
        <f>IFERROR(__xludf.DUMMYFUNCTION("""COMPUTED_VALUE"""),"Durbar Marg, Kathmandu 01-4153007")</f>
        <v>Durbar Marg, Kathmandu 01-4153007</v>
      </c>
      <c r="K272" s="2" t="str">
        <f>IFERROR(__xludf.DUMMYFUNCTION("""COMPUTED_VALUE"""),"NEA Thimi S/S")</f>
        <v>NEA Thimi S/S</v>
      </c>
      <c r="L272" s="2" t="str">
        <f>IFERROR(__xludf.DUMMYFUNCTION("""COMPUTED_VALUE"""),"NEA Proposed Balkumari")</f>
        <v>NEA Proposed Balkumari</v>
      </c>
    </row>
    <row r="273">
      <c r="A273" s="2">
        <f>IFERROR(__xludf.DUMMYFUNCTION("""COMPUTED_VALUE"""),272.0)</f>
        <v>272</v>
      </c>
      <c r="B273" s="2" t="str">
        <f>IFERROR(__xludf.DUMMYFUNCTION("""COMPUTED_VALUE"""),"Nalgad Maintada (Bheri Corridor) Transmission Line")</f>
        <v>Nalgad Maintada (Bheri Corridor) Transmission Line</v>
      </c>
      <c r="C273" s="2">
        <f>IFERROR(__xludf.DUMMYFUNCTION("""COMPUTED_VALUE"""),400.0)</f>
        <v>400</v>
      </c>
      <c r="D273" s="2">
        <f>IFERROR(__xludf.DUMMYFUNCTION("""COMPUTED_VALUE"""),75.0)</f>
        <v>75</v>
      </c>
      <c r="E273" s="2">
        <f>IFERROR(__xludf.DUMMYFUNCTION("""COMPUTED_VALUE"""),2400.0)</f>
        <v>2400</v>
      </c>
      <c r="F273" s="2">
        <f>IFERROR(__xludf.DUMMYFUNCTION("""COMPUTED_VALUE"""),273.0)</f>
        <v>273</v>
      </c>
      <c r="G273" s="3">
        <f>IFERROR(__xludf.DUMMYFUNCTION("""COMPUTED_VALUE"""),66580.0)</f>
        <v>66580</v>
      </c>
      <c r="H273" s="3">
        <f>IFERROR(__xludf.DUMMYFUNCTION("""COMPUTED_VALUE"""),75709.0)</f>
        <v>75709</v>
      </c>
      <c r="I273" s="2" t="str">
        <f>IFERROR(__xludf.DUMMYFUNCTION("""COMPUTED_VALUE"""),"Rastriya Prasaran Grid Company Limited")</f>
        <v>Rastriya Prasaran Grid Company Limited</v>
      </c>
      <c r="J273" s="2" t="str">
        <f>IFERROR(__xludf.DUMMYFUNCTION("""COMPUTED_VALUE"""),"Babarmahal, Kahmandu")</f>
        <v>Babarmahal, Kahmandu</v>
      </c>
      <c r="K273" s="2" t="str">
        <f>IFERROR(__xludf.DUMMYFUNCTION("""COMPUTED_VALUE"""),"Proposed Nalgad S/S")</f>
        <v>Proposed Nalgad S/S</v>
      </c>
      <c r="L273" s="2" t="str">
        <f>IFERROR(__xludf.DUMMYFUNCTION("""COMPUTED_VALUE"""),"Proposed Maintada S/S")</f>
        <v>Proposed Maintada S/S</v>
      </c>
    </row>
    <row r="274">
      <c r="A274" s="2">
        <f>IFERROR(__xludf.DUMMYFUNCTION("""COMPUTED_VALUE"""),273.0)</f>
        <v>273</v>
      </c>
      <c r="B274" s="2" t="str">
        <f>IFERROR(__xludf.DUMMYFUNCTION("""COMPUTED_VALUE"""),"Khorunga Khola Small HEP Transmission Line Project")</f>
        <v>Khorunga Khola Small HEP Transmission Line Project</v>
      </c>
      <c r="C274" s="2">
        <f>IFERROR(__xludf.DUMMYFUNCTION("""COMPUTED_VALUE"""),33.0)</f>
        <v>33</v>
      </c>
      <c r="D274" s="2">
        <f>IFERROR(__xludf.DUMMYFUNCTION("""COMPUTED_VALUE"""),4.38)</f>
        <v>4.38</v>
      </c>
      <c r="E274" s="2">
        <f>IFERROR(__xludf.DUMMYFUNCTION("""COMPUTED_VALUE"""),4.8)</f>
        <v>4.8</v>
      </c>
      <c r="F274" s="2">
        <f>IFERROR(__xludf.DUMMYFUNCTION("""COMPUTED_VALUE"""),274.0)</f>
        <v>274</v>
      </c>
      <c r="G274" s="3">
        <f>IFERROR(__xludf.DUMMYFUNCTION("""COMPUTED_VALUE"""),66611.0)</f>
        <v>66611</v>
      </c>
      <c r="H274" s="3">
        <f>IFERROR(__xludf.DUMMYFUNCTION("""COMPUTED_VALUE"""),75740.0)</f>
        <v>75740</v>
      </c>
      <c r="I274" s="2" t="str">
        <f>IFERROR(__xludf.DUMMYFUNCTION("""COMPUTED_VALUE"""),"Reliable Hydro Power Co. Pvt. Ltd.")</f>
        <v>Reliable Hydro Power Co. Pvt. Ltd.</v>
      </c>
      <c r="J274" s="2" t="str">
        <f>IFERROR(__xludf.DUMMYFUNCTION("""COMPUTED_VALUE"""),"Jawalakhel Lalitpur, POB 516; 015551616")</f>
        <v>Jawalakhel Lalitpur, POB 516; 015551616</v>
      </c>
      <c r="K274" s="2" t="str">
        <f>IFERROR(__xludf.DUMMYFUNCTION("""COMPUTED_VALUE"""),"Switchyard of Project")</f>
        <v>Switchyard of Project</v>
      </c>
      <c r="L274" s="2" t="str">
        <f>IFERROR(__xludf.DUMMYFUNCTION("""COMPUTED_VALUE"""),"NEA Jiri Khimti S/S")</f>
        <v>NEA Jiri Khimti S/S</v>
      </c>
    </row>
    <row r="275">
      <c r="A275" s="2">
        <f>IFERROR(__xludf.DUMMYFUNCTION("""COMPUTED_VALUE"""),274.0)</f>
        <v>274</v>
      </c>
      <c r="B275" s="2" t="str">
        <f>IFERROR(__xludf.DUMMYFUNCTION("""COMPUTED_VALUE"""),"Upper Sardi Khola Hydropower Project")</f>
        <v>Upper Sardi Khola Hydropower Project</v>
      </c>
      <c r="C275" s="2">
        <f>IFERROR(__xludf.DUMMYFUNCTION("""COMPUTED_VALUE"""),33.0)</f>
        <v>33</v>
      </c>
      <c r="D275" s="2">
        <f>IFERROR(__xludf.DUMMYFUNCTION("""COMPUTED_VALUE"""),3.68)</f>
        <v>3.68</v>
      </c>
      <c r="E275" s="2">
        <f>IFERROR(__xludf.DUMMYFUNCTION("""COMPUTED_VALUE"""),2.9)</f>
        <v>2.9</v>
      </c>
      <c r="F275" s="2">
        <f>IFERROR(__xludf.DUMMYFUNCTION("""COMPUTED_VALUE"""),275.0)</f>
        <v>275</v>
      </c>
      <c r="G275" s="3">
        <f>IFERROR(__xludf.DUMMYFUNCTION("""COMPUTED_VALUE"""),66614.0)</f>
        <v>66614</v>
      </c>
      <c r="H275" s="3">
        <f>IFERROR(__xludf.DUMMYFUNCTION("""COMPUTED_VALUE"""),75743.0)</f>
        <v>75743</v>
      </c>
      <c r="I275" s="2" t="str">
        <f>IFERROR(__xludf.DUMMYFUNCTION("""COMPUTED_VALUE"""),"Mandakini Hydropower Ltd.")</f>
        <v>Mandakini Hydropower Ltd.</v>
      </c>
      <c r="J275" s="2" t="str">
        <f>IFERROR(__xludf.DUMMYFUNCTION("""COMPUTED_VALUE"""),"Sinamangal-9 Kathmandu")</f>
        <v>Sinamangal-9 Kathmandu</v>
      </c>
      <c r="K275" s="2" t="str">
        <f>IFERROR(__xludf.DUMMYFUNCTION("""COMPUTED_VALUE"""),"Swiychyard of Project (Kaski)")</f>
        <v>Swiychyard of Project (Kaski)</v>
      </c>
      <c r="L275" s="2" t="str">
        <f>IFERROR(__xludf.DUMMYFUNCTION("""COMPUTED_VALUE"""),"Switchyard of Sardi HPP(4 MW)")</f>
        <v>Switchyard of Sardi HPP(4 MW)</v>
      </c>
    </row>
    <row r="276">
      <c r="A276" s="2">
        <f>IFERROR(__xludf.DUMMYFUNCTION("""COMPUTED_VALUE"""),275.0)</f>
        <v>275</v>
      </c>
      <c r="B276" s="2" t="str">
        <f>IFERROR(__xludf.DUMMYFUNCTION("""COMPUTED_VALUE"""),"Seti Khola HPP 132 kV Transmissin Line Project")</f>
        <v>Seti Khola HPP 132 kV Transmissin Line Project</v>
      </c>
      <c r="C276" s="2">
        <f>IFERROR(__xludf.DUMMYFUNCTION("""COMPUTED_VALUE"""),132.0)</f>
        <v>132</v>
      </c>
      <c r="D276" s="2">
        <f>IFERROR(__xludf.DUMMYFUNCTION("""COMPUTED_VALUE"""),2.0)</f>
        <v>2</v>
      </c>
      <c r="E276" s="2">
        <f>IFERROR(__xludf.DUMMYFUNCTION("""COMPUTED_VALUE"""),160.0)</f>
        <v>160</v>
      </c>
      <c r="F276" s="2">
        <f>IFERROR(__xludf.DUMMYFUNCTION("""COMPUTED_VALUE"""),276.0)</f>
        <v>276</v>
      </c>
      <c r="G276" s="3">
        <f>IFERROR(__xludf.DUMMYFUNCTION("""COMPUTED_VALUE"""),66629.0)</f>
        <v>66629</v>
      </c>
      <c r="H276" s="3">
        <f>IFERROR(__xludf.DUMMYFUNCTION("""COMPUTED_VALUE"""),75758.0)</f>
        <v>75758</v>
      </c>
      <c r="I276" s="2" t="str">
        <f>IFERROR(__xludf.DUMMYFUNCTION("""COMPUTED_VALUE"""),"Set Khola Hydropower Ltd.")</f>
        <v>Set Khola Hydropower Ltd.</v>
      </c>
      <c r="J276" s="2" t="str">
        <f>IFERROR(__xludf.DUMMYFUNCTION("""COMPUTED_VALUE"""),"Kantipath,kathmandu")</f>
        <v>Kantipath,kathmandu</v>
      </c>
      <c r="K276" s="2" t="str">
        <f>IFERROR(__xludf.DUMMYFUNCTION("""COMPUTED_VALUE"""),"Respective Switchyard of the project")</f>
        <v>Respective Switchyard of the project</v>
      </c>
      <c r="L276" s="2" t="str">
        <f>IFERROR(__xludf.DUMMYFUNCTION("""COMPUTED_VALUE"""),"Lekhnath damauli LILO")</f>
        <v>Lekhnath damauli LILO</v>
      </c>
    </row>
    <row r="277">
      <c r="A277" s="2">
        <f>IFERROR(__xludf.DUMMYFUNCTION("""COMPUTED_VALUE"""),276.0)</f>
        <v>276</v>
      </c>
      <c r="B277" s="2" t="str">
        <f>IFERROR(__xludf.DUMMYFUNCTION("""COMPUTED_VALUE"""),"Upper Deumai HPP 33 kV Transmission Line Project")</f>
        <v>Upper Deumai HPP 33 kV Transmission Line Project</v>
      </c>
      <c r="C277" s="2">
        <f>IFERROR(__xludf.DUMMYFUNCTION("""COMPUTED_VALUE"""),33.0)</f>
        <v>33</v>
      </c>
      <c r="D277" s="2">
        <f>IFERROR(__xludf.DUMMYFUNCTION("""COMPUTED_VALUE"""),18.47)</f>
        <v>18.47</v>
      </c>
      <c r="E277" s="2">
        <f>IFERROR(__xludf.DUMMYFUNCTION("""COMPUTED_VALUE"""),8.3)</f>
        <v>8.3</v>
      </c>
      <c r="F277" s="2">
        <f>IFERROR(__xludf.DUMMYFUNCTION("""COMPUTED_VALUE"""),277.0)</f>
        <v>277</v>
      </c>
      <c r="G277" s="3">
        <f>IFERROR(__xludf.DUMMYFUNCTION("""COMPUTED_VALUE"""),66635.0)</f>
        <v>66635</v>
      </c>
      <c r="H277" s="3">
        <f>IFERROR(__xludf.DUMMYFUNCTION("""COMPUTED_VALUE"""),75764.0)</f>
        <v>75764</v>
      </c>
      <c r="I277" s="2" t="str">
        <f>IFERROR(__xludf.DUMMYFUNCTION("""COMPUTED_VALUE"""),"Water Energy Solution Ltd.")</f>
        <v>Water Energy Solution Ltd.</v>
      </c>
      <c r="J277" s="2" t="str">
        <f>IFERROR(__xludf.DUMMYFUNCTION("""COMPUTED_VALUE"""),"Gatthaghar Madhyapur Thimi, Bhaktapur, Ph. No. 9854040509, email:- 
upperdeumai@g")</f>
        <v>Gatthaghar Madhyapur Thimi, Bhaktapur, Ph. No. 9854040509, email:- 
upperdeumai@g</v>
      </c>
      <c r="K277" s="2" t="str">
        <f>IFERROR(__xludf.DUMMYFUNCTION("""COMPUTED_VALUE"""),"Switchyard of Upper Deumai Khola SHPP")</f>
        <v>Switchyard of Upper Deumai Khola SHPP</v>
      </c>
      <c r="L277" s="2" t="str">
        <f>IFERROR(__xludf.DUMMYFUNCTION("""COMPUTED_VALUE"""),"Godak Substation")</f>
        <v>Godak Substation</v>
      </c>
    </row>
    <row r="278">
      <c r="A278" s="2">
        <f>IFERROR(__xludf.DUMMYFUNCTION("""COMPUTED_VALUE"""),277.0)</f>
        <v>277</v>
      </c>
      <c r="B278" s="2" t="str">
        <f>IFERROR(__xludf.DUMMYFUNCTION("""COMPUTED_VALUE"""),"Nijgadh - Pokhariya 400kV Transmission Line Project")</f>
        <v>Nijgadh - Pokhariya 400kV Transmission Line Project</v>
      </c>
      <c r="C278" s="2">
        <f>IFERROR(__xludf.DUMMYFUNCTION("""COMPUTED_VALUE"""),400.0)</f>
        <v>400</v>
      </c>
      <c r="D278" s="2">
        <f>IFERROR(__xludf.DUMMYFUNCTION("""COMPUTED_VALUE"""),64.604)</f>
        <v>64.604</v>
      </c>
      <c r="E278" s="2">
        <f>IFERROR(__xludf.DUMMYFUNCTION("""COMPUTED_VALUE"""),4000.0)</f>
        <v>4000</v>
      </c>
      <c r="F278" s="2">
        <f>IFERROR(__xludf.DUMMYFUNCTION("""COMPUTED_VALUE"""),278.0)</f>
        <v>278</v>
      </c>
      <c r="G278" s="3">
        <f>IFERROR(__xludf.DUMMYFUNCTION("""COMPUTED_VALUE"""),66637.0)</f>
        <v>66637</v>
      </c>
      <c r="H278" s="3">
        <f>IFERROR(__xludf.DUMMYFUNCTION("""COMPUTED_VALUE"""),75766.0)</f>
        <v>75766</v>
      </c>
      <c r="I278" s="2" t="str">
        <f>IFERROR(__xludf.DUMMYFUNCTION("""COMPUTED_VALUE"""),"Nepal Electricity Authority")</f>
        <v>Nepal Electricity Authority</v>
      </c>
      <c r="J278" s="2" t="str">
        <f>IFERROR(__xludf.DUMMYFUNCTION("""COMPUTED_VALUE"""),"Darbarmarg, Kathmandu")</f>
        <v>Darbarmarg, Kathmandu</v>
      </c>
      <c r="K278" s="2" t="str">
        <f>IFERROR(__xludf.DUMMYFUNCTION("""COMPUTED_VALUE"""),"Nijgadh s/s")</f>
        <v>Nijgadh s/s</v>
      </c>
      <c r="L278" s="2" t="str">
        <f>IFERROR(__xludf.DUMMYFUNCTION("""COMPUTED_VALUE"""),"Pokhariya s/s")</f>
        <v>Pokhariya s/s</v>
      </c>
    </row>
    <row r="279">
      <c r="A279" s="2">
        <f>IFERROR(__xludf.DUMMYFUNCTION("""COMPUTED_VALUE"""),278.0)</f>
        <v>278</v>
      </c>
      <c r="B279" s="2" t="str">
        <f>IFERROR(__xludf.DUMMYFUNCTION("""COMPUTED_VALUE"""),"Hewa A Small HEP 33kV Transmission Line Project")</f>
        <v>Hewa A Small HEP 33kV Transmission Line Project</v>
      </c>
      <c r="C279" s="2">
        <f>IFERROR(__xludf.DUMMYFUNCTION("""COMPUTED_VALUE"""),33.0)</f>
        <v>33</v>
      </c>
      <c r="D279" s="2">
        <f>IFERROR(__xludf.DUMMYFUNCTION("""COMPUTED_VALUE"""),11.24)</f>
        <v>11.24</v>
      </c>
      <c r="E279" s="2">
        <f>IFERROR(__xludf.DUMMYFUNCTION("""COMPUTED_VALUE"""),9.9)</f>
        <v>9.9</v>
      </c>
      <c r="F279" s="2">
        <f>IFERROR(__xludf.DUMMYFUNCTION("""COMPUTED_VALUE"""),279.0)</f>
        <v>279</v>
      </c>
      <c r="G279" s="3">
        <f>IFERROR(__xludf.DUMMYFUNCTION("""COMPUTED_VALUE"""),66654.0)</f>
        <v>66654</v>
      </c>
      <c r="H279" s="3">
        <f>IFERROR(__xludf.DUMMYFUNCTION("""COMPUTED_VALUE"""),75783.0)</f>
        <v>75783</v>
      </c>
      <c r="I279" s="2" t="str">
        <f>IFERROR(__xludf.DUMMYFUNCTION("""COMPUTED_VALUE"""),"Habitat Power Co. Pvt. Ltd.")</f>
        <v>Habitat Power Co. Pvt. Ltd.</v>
      </c>
      <c r="J279" s="2" t="str">
        <f>IFERROR(__xludf.DUMMYFUNCTION("""COMPUTED_VALUE"""),"Chabahil, Kathmandu-7, 015242384")</f>
        <v>Chabahil, Kathmandu-7, 015242384</v>
      </c>
      <c r="K279" s="2" t="str">
        <f>IFERROR(__xludf.DUMMYFUNCTION("""COMPUTED_VALUE"""),"Switchyard of Project")</f>
        <v>Switchyard of Project</v>
      </c>
      <c r="L279" s="2" t="str">
        <f>IFERROR(__xludf.DUMMYFUNCTION("""COMPUTED_VALUE"""),"NEA Phidim s/s")</f>
        <v>NEA Phidim s/s</v>
      </c>
    </row>
    <row r="280">
      <c r="A280" s="2">
        <f>IFERROR(__xludf.DUMMYFUNCTION("""COMPUTED_VALUE"""),279.0)</f>
        <v>279</v>
      </c>
      <c r="B280" s="2" t="str">
        <f>IFERROR(__xludf.DUMMYFUNCTION("""COMPUTED_VALUE"""),"Upper Irkhuwa khola HPP 33kV Transmission Line Project")</f>
        <v>Upper Irkhuwa khola HPP 33kV Transmission Line Project</v>
      </c>
      <c r="C280" s="2">
        <f>IFERROR(__xludf.DUMMYFUNCTION("""COMPUTED_VALUE"""),33.0)</f>
        <v>33</v>
      </c>
      <c r="D280" s="2">
        <f>IFERROR(__xludf.DUMMYFUNCTION("""COMPUTED_VALUE"""),10.0)</f>
        <v>10</v>
      </c>
      <c r="E280" s="2">
        <f>IFERROR(__xludf.DUMMYFUNCTION("""COMPUTED_VALUE"""),30.024)</f>
        <v>30.024</v>
      </c>
      <c r="F280" s="2">
        <f>IFERROR(__xludf.DUMMYFUNCTION("""COMPUTED_VALUE"""),280.0)</f>
        <v>280</v>
      </c>
      <c r="G280" s="3">
        <f>IFERROR(__xludf.DUMMYFUNCTION("""COMPUTED_VALUE"""),66680.0)</f>
        <v>66680</v>
      </c>
      <c r="H280" s="3">
        <f>IFERROR(__xludf.DUMMYFUNCTION("""COMPUTED_VALUE"""),75809.0)</f>
        <v>75809</v>
      </c>
      <c r="I280" s="2" t="str">
        <f>IFERROR(__xludf.DUMMYFUNCTION("""COMPUTED_VALUE"""),"Aarati Power Company Limited")</f>
        <v>Aarati Power Company Limited</v>
      </c>
      <c r="J280" s="2" t="str">
        <f>IFERROR(__xludf.DUMMYFUNCTION("""COMPUTED_VALUE"""),"Gahanapokhari, KTM-05; 01-4419321")</f>
        <v>Gahanapokhari, KTM-05; 01-4419321</v>
      </c>
      <c r="K280" s="2" t="str">
        <f>IFERROR(__xludf.DUMMYFUNCTION("""COMPUTED_VALUE"""),"Switchyard of Project")</f>
        <v>Switchyard of Project</v>
      </c>
      <c r="L280" s="2" t="str">
        <f>IFERROR(__xludf.DUMMYFUNCTION("""COMPUTED_VALUE"""),"NEA Sitalpati S/S")</f>
        <v>NEA Sitalpati S/S</v>
      </c>
    </row>
    <row r="281">
      <c r="A281" s="2">
        <f>IFERROR(__xludf.DUMMYFUNCTION("""COMPUTED_VALUE"""),280.0)</f>
        <v>280</v>
      </c>
      <c r="B281" s="2" t="str">
        <f>IFERROR(__xludf.DUMMYFUNCTION("""COMPUTED_VALUE"""),"Tingla Hub -New Khimti-Sunkoshi Hub-Dhalkebar 400kV Transmission Line 
Project")</f>
        <v>Tingla Hub -New Khimti-Sunkoshi Hub-Dhalkebar 400kV Transmission Line 
Project</v>
      </c>
      <c r="C281" s="2">
        <f>IFERROR(__xludf.DUMMYFUNCTION("""COMPUTED_VALUE"""),400.0)</f>
        <v>400</v>
      </c>
      <c r="D281" s="2">
        <f>IFERROR(__xludf.DUMMYFUNCTION("""COMPUTED_VALUE"""),133.99)</f>
        <v>133.99</v>
      </c>
      <c r="E281" s="2">
        <f>IFERROR(__xludf.DUMMYFUNCTION("""COMPUTED_VALUE"""),4080.0)</f>
        <v>4080</v>
      </c>
      <c r="F281" s="2">
        <f>IFERROR(__xludf.DUMMYFUNCTION("""COMPUTED_VALUE"""),281.0)</f>
        <v>281</v>
      </c>
      <c r="G281" s="3">
        <f>IFERROR(__xludf.DUMMYFUNCTION("""COMPUTED_VALUE"""),66693.0)</f>
        <v>66693</v>
      </c>
      <c r="H281" s="3">
        <f>IFERROR(__xludf.DUMMYFUNCTION("""COMPUTED_VALUE"""),75822.0)</f>
        <v>75822</v>
      </c>
      <c r="I281" s="2" t="str">
        <f>IFERROR(__xludf.DUMMYFUNCTION("""COMPUTED_VALUE"""),"Nepal Electricity Authority")</f>
        <v>Nepal Electricity Authority</v>
      </c>
      <c r="J281" s="2" t="str">
        <f>IFERROR(__xludf.DUMMYFUNCTION("""COMPUTED_VALUE"""),"Main office,Darbarmarg,Kathmandu")</f>
        <v>Main office,Darbarmarg,Kathmandu</v>
      </c>
      <c r="K281" s="2" t="str">
        <f>IFERROR(__xludf.DUMMYFUNCTION("""COMPUTED_VALUE"""),"Tingla Hub(Solukhumbu),Likhu,New Khimti")</f>
        <v>Tingla Hub(Solukhumbu),Likhu,New Khimti</v>
      </c>
      <c r="L281" s="2" t="str">
        <f>IFERROR(__xludf.DUMMYFUNCTION("""COMPUTED_VALUE"""),"Dhalkebar NEA Substation (Dhanusha)")</f>
        <v>Dhalkebar NEA Substation (Dhanusha)</v>
      </c>
    </row>
    <row r="282">
      <c r="A282" s="2">
        <f>IFERROR(__xludf.DUMMYFUNCTION("""COMPUTED_VALUE"""),281.0)</f>
        <v>281</v>
      </c>
      <c r="B282" s="2" t="str">
        <f>IFERROR(__xludf.DUMMYFUNCTION("""COMPUTED_VALUE"""),"Inaruwa-Anarmani 400 kV Transmission Line Project")</f>
        <v>Inaruwa-Anarmani 400 kV Transmission Line Project</v>
      </c>
      <c r="C282" s="2">
        <f>IFERROR(__xludf.DUMMYFUNCTION("""COMPUTED_VALUE"""),400.0)</f>
        <v>400</v>
      </c>
      <c r="D282" s="2">
        <f>IFERROR(__xludf.DUMMYFUNCTION("""COMPUTED_VALUE"""),89.612)</f>
        <v>89.612</v>
      </c>
      <c r="E282" s="2">
        <f>IFERROR(__xludf.DUMMYFUNCTION("""COMPUTED_VALUE"""),2600.0)</f>
        <v>2600</v>
      </c>
      <c r="F282" s="2">
        <f>IFERROR(__xludf.DUMMYFUNCTION("""COMPUTED_VALUE"""),282.0)</f>
        <v>282</v>
      </c>
      <c r="G282" s="3">
        <f>IFERROR(__xludf.DUMMYFUNCTION("""COMPUTED_VALUE"""),66709.0)</f>
        <v>66709</v>
      </c>
      <c r="H282" s="3">
        <f>IFERROR(__xludf.DUMMYFUNCTION("""COMPUTED_VALUE"""),75838.0)</f>
        <v>75838</v>
      </c>
      <c r="I282" s="2" t="str">
        <f>IFERROR(__xludf.DUMMYFUNCTION("""COMPUTED_VALUE"""),"Nepal Electricity Authority")</f>
        <v>Nepal Electricity Authority</v>
      </c>
      <c r="J282" s="2" t="str">
        <f>IFERROR(__xludf.DUMMYFUNCTION("""COMPUTED_VALUE"""),"Durbar Marg, Kathmandu 01-4153007")</f>
        <v>Durbar Marg, Kathmandu 01-4153007</v>
      </c>
      <c r="K282" s="2" t="str">
        <f>IFERROR(__xludf.DUMMYFUNCTION("""COMPUTED_VALUE"""),"NEA Inaruwa S/S")</f>
        <v>NEA Inaruwa S/S</v>
      </c>
      <c r="L282" s="2" t="str">
        <f>IFERROR(__xludf.DUMMYFUNCTION("""COMPUTED_VALUE"""),"Proposed New Anarmani S/S")</f>
        <v>Proposed New Anarmani S/S</v>
      </c>
    </row>
    <row r="283">
      <c r="A283" s="2">
        <f>IFERROR(__xludf.DUMMYFUNCTION("""COMPUTED_VALUE"""),282.0)</f>
        <v>282</v>
      </c>
      <c r="B283" s="2" t="str">
        <f>IFERROR(__xludf.DUMMYFUNCTION("""COMPUTED_VALUE"""),"Super Tallo Bagmati Transmission Line Project")</f>
        <v>Super Tallo Bagmati Transmission Line Project</v>
      </c>
      <c r="C283" s="2">
        <f>IFERROR(__xludf.DUMMYFUNCTION("""COMPUTED_VALUE"""),132.0)</f>
        <v>132</v>
      </c>
      <c r="D283" s="2">
        <f>IFERROR(__xludf.DUMMYFUNCTION("""COMPUTED_VALUE"""),30.72)</f>
        <v>30.72</v>
      </c>
      <c r="E283" s="2">
        <f>IFERROR(__xludf.DUMMYFUNCTION("""COMPUTED_VALUE"""),41.86)</f>
        <v>41.86</v>
      </c>
      <c r="F283" s="2">
        <f>IFERROR(__xludf.DUMMYFUNCTION("""COMPUTED_VALUE"""),283.0)</f>
        <v>283</v>
      </c>
      <c r="G283" s="3">
        <f>IFERROR(__xludf.DUMMYFUNCTION("""COMPUTED_VALUE"""),66764.0)</f>
        <v>66764</v>
      </c>
      <c r="H283" s="3">
        <f>IFERROR(__xludf.DUMMYFUNCTION("""COMPUTED_VALUE"""),75893.0)</f>
        <v>75893</v>
      </c>
      <c r="I283" s="2" t="str">
        <f>IFERROR(__xludf.DUMMYFUNCTION("""COMPUTED_VALUE"""),"Super Bagmati Hydropower Pvt. Ltd.")</f>
        <v>Super Bagmati Hydropower Pvt. Ltd.</v>
      </c>
      <c r="J283" s="2" t="str">
        <f>IFERROR(__xludf.DUMMYFUNCTION("""COMPUTED_VALUE"""),"Kupandole-10, Lalitpur (01-5429176)")</f>
        <v>Kupandole-10, Lalitpur (01-5429176)</v>
      </c>
      <c r="K283" s="2" t="str">
        <f>IFERROR(__xludf.DUMMYFUNCTION("""COMPUTED_VALUE"""),"Switchyard of Project")</f>
        <v>Switchyard of Project</v>
      </c>
      <c r="L283" s="2" t="str">
        <f>IFERROR(__xludf.DUMMYFUNCTION("""COMPUTED_VALUE"""),"NEA Chandrapur S/S")</f>
        <v>NEA Chandrapur S/S</v>
      </c>
    </row>
    <row r="284">
      <c r="A284" s="2">
        <f>IFERROR(__xludf.DUMMYFUNCTION("""COMPUTED_VALUE"""),283.0)</f>
        <v>283</v>
      </c>
      <c r="B284" s="2" t="str">
        <f>IFERROR(__xludf.DUMMYFUNCTION("""COMPUTED_VALUE"""),"Dhaubadi Iron Mines Transmission Line Project")</f>
        <v>Dhaubadi Iron Mines Transmission Line Project</v>
      </c>
      <c r="C284" s="2">
        <f>IFERROR(__xludf.DUMMYFUNCTION("""COMPUTED_VALUE"""),220.0)</f>
        <v>220</v>
      </c>
      <c r="D284" s="2">
        <f>IFERROR(__xludf.DUMMYFUNCTION("""COMPUTED_VALUE"""),4.525)</f>
        <v>4.525</v>
      </c>
      <c r="E284" s="2">
        <f>IFERROR(__xludf.DUMMYFUNCTION("""COMPUTED_VALUE"""),570.0)</f>
        <v>570</v>
      </c>
      <c r="F284" s="2">
        <f>IFERROR(__xludf.DUMMYFUNCTION("""COMPUTED_VALUE"""),284.0)</f>
        <v>284</v>
      </c>
      <c r="G284" s="3">
        <f>IFERROR(__xludf.DUMMYFUNCTION("""COMPUTED_VALUE"""),66809.0)</f>
        <v>66809</v>
      </c>
      <c r="H284" s="3">
        <f>IFERROR(__xludf.DUMMYFUNCTION("""COMPUTED_VALUE"""),75938.0)</f>
        <v>75938</v>
      </c>
      <c r="I284" s="2" t="str">
        <f>IFERROR(__xludf.DUMMYFUNCTION("""COMPUTED_VALUE"""),"Nepal Electricity Authority")</f>
        <v>Nepal Electricity Authority</v>
      </c>
      <c r="J284" s="2" t="str">
        <f>IFERROR(__xludf.DUMMYFUNCTION("""COMPUTED_VALUE"""),"Durbar Marg, Kathmandu 01-4153007")</f>
        <v>Durbar Marg, Kathmandu 01-4153007</v>
      </c>
      <c r="K284" s="2" t="str">
        <f>IFERROR(__xludf.DUMMYFUNCTION("""COMPUTED_VALUE"""),"Hetauda_bardaghat 220 kVLine(LILO)")</f>
        <v>Hetauda_bardaghat 220 kVLine(LILO)</v>
      </c>
      <c r="L284" s="2" t="str">
        <f>IFERROR(__xludf.DUMMYFUNCTION("""COMPUTED_VALUE"""),"Bharatpur_bardaghat 132kV(LILO)")</f>
        <v>Bharatpur_bardaghat 132kV(LILO)</v>
      </c>
    </row>
    <row r="285">
      <c r="A285" s="2">
        <f>IFERROR(__xludf.DUMMYFUNCTION("""COMPUTED_VALUE"""),284.0)</f>
        <v>284</v>
      </c>
      <c r="B285" s="2" t="str">
        <f>IFERROR(__xludf.DUMMYFUNCTION("""COMPUTED_VALUE"""),"Lamosanghu -Kavre/ Ramechhap 132kV Transmission Line Project")</f>
        <v>Lamosanghu -Kavre/ Ramechhap 132kV Transmission Line Project</v>
      </c>
      <c r="C285" s="2">
        <f>IFERROR(__xludf.DUMMYFUNCTION("""COMPUTED_VALUE"""),132.0)</f>
        <v>132</v>
      </c>
      <c r="D285" s="2">
        <f>IFERROR(__xludf.DUMMYFUNCTION("""COMPUTED_VALUE"""),38.267)</f>
        <v>38.267</v>
      </c>
      <c r="E285" s="2">
        <f>IFERROR(__xludf.DUMMYFUNCTION("""COMPUTED_VALUE"""),238.0)</f>
        <v>238</v>
      </c>
      <c r="F285" s="2">
        <f>IFERROR(__xludf.DUMMYFUNCTION("""COMPUTED_VALUE"""),285.0)</f>
        <v>285</v>
      </c>
      <c r="G285" s="3">
        <f>IFERROR(__xludf.DUMMYFUNCTION("""COMPUTED_VALUE"""),66812.0)</f>
        <v>66812</v>
      </c>
      <c r="H285" s="3">
        <f>IFERROR(__xludf.DUMMYFUNCTION("""COMPUTED_VALUE"""),75941.0)</f>
        <v>75941</v>
      </c>
      <c r="I285" s="2" t="str">
        <f>IFERROR(__xludf.DUMMYFUNCTION("""COMPUTED_VALUE"""),"Nepal Electricity Authority")</f>
        <v>Nepal Electricity Authority</v>
      </c>
      <c r="J285" s="2" t="str">
        <f>IFERROR(__xludf.DUMMYFUNCTION("""COMPUTED_VALUE"""),"Darbarmarg,Kathmandu")</f>
        <v>Darbarmarg,Kathmandu</v>
      </c>
      <c r="K285" s="2" t="str">
        <f>IFERROR(__xludf.DUMMYFUNCTION("""COMPUTED_VALUE"""),"Lamosanghu s/s")</f>
        <v>Lamosanghu s/s</v>
      </c>
      <c r="L285" s="2" t="str">
        <f>IFERROR(__xludf.DUMMYFUNCTION("""COMPUTED_VALUE"""),"Proposed Rakathum s/s")</f>
        <v>Proposed Rakathum s/s</v>
      </c>
    </row>
    <row r="286">
      <c r="A286" s="2">
        <f>IFERROR(__xludf.DUMMYFUNCTION("""COMPUTED_VALUE"""),285.0)</f>
        <v>285</v>
      </c>
      <c r="B286" s="2" t="str">
        <f>IFERROR(__xludf.DUMMYFUNCTION("""COMPUTED_VALUE"""),"Bhotekoshi-1 HPP 132kV Transmission Line Project")</f>
        <v>Bhotekoshi-1 HPP 132kV Transmission Line Project</v>
      </c>
      <c r="C286" s="2">
        <f>IFERROR(__xludf.DUMMYFUNCTION("""COMPUTED_VALUE"""),132.0)</f>
        <v>132</v>
      </c>
      <c r="D286" s="2">
        <f>IFERROR(__xludf.DUMMYFUNCTION("""COMPUTED_VALUE"""),1.22)</f>
        <v>1.22</v>
      </c>
      <c r="E286" s="2">
        <f>IFERROR(__xludf.DUMMYFUNCTION("""COMPUTED_VALUE"""),44.0)</f>
        <v>44</v>
      </c>
      <c r="F286" s="2">
        <f>IFERROR(__xludf.DUMMYFUNCTION("""COMPUTED_VALUE"""),286.0)</f>
        <v>286</v>
      </c>
      <c r="G286" s="3">
        <f>IFERROR(__xludf.DUMMYFUNCTION("""COMPUTED_VALUE"""),66813.0)</f>
        <v>66813</v>
      </c>
      <c r="H286" s="3">
        <f>IFERROR(__xludf.DUMMYFUNCTION("""COMPUTED_VALUE"""),75942.0)</f>
        <v>75942</v>
      </c>
      <c r="I286" s="2" t="str">
        <f>IFERROR(__xludf.DUMMYFUNCTION("""COMPUTED_VALUE"""),"Electro Power Co. Ltd.")</f>
        <v>Electro Power Co. Ltd.</v>
      </c>
      <c r="J286" s="2" t="str">
        <f>IFERROR(__xludf.DUMMYFUNCTION("""COMPUTED_VALUE"""),"Baneswor 31, KTM; 01-4444947")</f>
        <v>Baneswor 31, KTM; 01-4444947</v>
      </c>
      <c r="K286" s="2" t="str">
        <f>IFERROR(__xludf.DUMMYFUNCTION("""COMPUTED_VALUE"""),"Switchyard of Project")</f>
        <v>Switchyard of Project</v>
      </c>
      <c r="L286" s="2" t="str">
        <f>IFERROR(__xludf.DUMMYFUNCTION("""COMPUTED_VALUE"""),"LILO at Tower 6 of TL of Upper Chaku HPP")</f>
        <v>LILO at Tower 6 of TL of Upper Chaku HPP</v>
      </c>
    </row>
    <row r="287">
      <c r="A287" s="2">
        <f>IFERROR(__xludf.DUMMYFUNCTION("""COMPUTED_VALUE"""),286.0)</f>
        <v>286</v>
      </c>
      <c r="B287" s="2" t="str">
        <f>IFERROR(__xludf.DUMMYFUNCTION("""COMPUTED_VALUE"""),"Trishuli 3B- Ratamate 220 kV Transmission Line Project")</f>
        <v>Trishuli 3B- Ratamate 220 kV Transmission Line Project</v>
      </c>
      <c r="C287" s="2">
        <f>IFERROR(__xludf.DUMMYFUNCTION("""COMPUTED_VALUE"""),220.0)</f>
        <v>220</v>
      </c>
      <c r="D287" s="2">
        <f>IFERROR(__xludf.DUMMYFUNCTION("""COMPUTED_VALUE"""),24.3)</f>
        <v>24.3</v>
      </c>
      <c r="E287" s="2">
        <f>IFERROR(__xludf.DUMMYFUNCTION("""COMPUTED_VALUE"""),1234.0)</f>
        <v>1234</v>
      </c>
      <c r="F287" s="2">
        <f>IFERROR(__xludf.DUMMYFUNCTION("""COMPUTED_VALUE"""),287.0)</f>
        <v>287</v>
      </c>
      <c r="G287" s="3">
        <f>IFERROR(__xludf.DUMMYFUNCTION("""COMPUTED_VALUE"""),66828.0)</f>
        <v>66828</v>
      </c>
      <c r="H287" s="3">
        <f>IFERROR(__xludf.DUMMYFUNCTION("""COMPUTED_VALUE"""),75957.0)</f>
        <v>75957</v>
      </c>
      <c r="I287" s="2" t="str">
        <f>IFERROR(__xludf.DUMMYFUNCTION("""COMPUTED_VALUE"""),"Nepal Electricity Authority")</f>
        <v>Nepal Electricity Authority</v>
      </c>
      <c r="J287" s="2" t="str">
        <f>IFERROR(__xludf.DUMMYFUNCTION("""COMPUTED_VALUE"""),"Durbarmarg Kathmandu")</f>
        <v>Durbarmarg Kathmandu</v>
      </c>
      <c r="K287" s="2" t="str">
        <f>IFERROR(__xludf.DUMMYFUNCTION("""COMPUTED_VALUE"""),"Trishuli 3B Hub S/S")</f>
        <v>Trishuli 3B Hub S/S</v>
      </c>
      <c r="L287" s="2" t="str">
        <f>IFERROR(__xludf.DUMMYFUNCTION("""COMPUTED_VALUE"""),"Ratamate S/S")</f>
        <v>Ratamate S/S</v>
      </c>
    </row>
    <row r="288">
      <c r="A288" s="2">
        <f>IFERROR(__xludf.DUMMYFUNCTION("""COMPUTED_VALUE"""),287.0)</f>
        <v>287</v>
      </c>
      <c r="B288" s="2" t="str">
        <f>IFERROR(__xludf.DUMMYFUNCTION("""COMPUTED_VALUE"""),"Arun hub (Sitalpati) -Inaruwa 400 kV Transmission Line Project")</f>
        <v>Arun hub (Sitalpati) -Inaruwa 400 kV Transmission Line Project</v>
      </c>
      <c r="C288" s="2">
        <f>IFERROR(__xludf.DUMMYFUNCTION("""COMPUTED_VALUE"""),400.0)</f>
        <v>400</v>
      </c>
      <c r="D288" s="2">
        <f>IFERROR(__xludf.DUMMYFUNCTION("""COMPUTED_VALUE"""),95.0)</f>
        <v>95</v>
      </c>
      <c r="E288" s="2">
        <f>IFERROR(__xludf.DUMMYFUNCTION("""COMPUTED_VALUE"""),4400.0)</f>
        <v>4400</v>
      </c>
      <c r="F288" s="2">
        <f>IFERROR(__xludf.DUMMYFUNCTION("""COMPUTED_VALUE"""),288.0)</f>
        <v>288</v>
      </c>
      <c r="G288" s="3">
        <f>IFERROR(__xludf.DUMMYFUNCTION("""COMPUTED_VALUE"""),66834.0)</f>
        <v>66834</v>
      </c>
      <c r="H288" s="3">
        <f>IFERROR(__xludf.DUMMYFUNCTION("""COMPUTED_VALUE"""),75963.0)</f>
        <v>75963</v>
      </c>
      <c r="I288" s="2" t="str">
        <f>IFERROR(__xludf.DUMMYFUNCTION("""COMPUTED_VALUE"""),"Nepal Electricity Authority")</f>
        <v>Nepal Electricity Authority</v>
      </c>
      <c r="J288" s="2" t="str">
        <f>IFERROR(__xludf.DUMMYFUNCTION("""COMPUTED_VALUE"""),"Durbar Marg Kathmandu")</f>
        <v>Durbar Marg Kathmandu</v>
      </c>
      <c r="K288" s="2" t="str">
        <f>IFERROR(__xludf.DUMMYFUNCTION("""COMPUTED_VALUE"""),"NEA Sitalpati S/S")</f>
        <v>NEA Sitalpati S/S</v>
      </c>
      <c r="L288" s="2" t="str">
        <f>IFERROR(__xludf.DUMMYFUNCTION("""COMPUTED_VALUE"""),"NEA Inaruwa S/S")</f>
        <v>NEA Inaruwa S/S</v>
      </c>
    </row>
    <row r="289">
      <c r="A289" s="2">
        <f>IFERROR(__xludf.DUMMYFUNCTION("""COMPUTED_VALUE"""),288.0)</f>
        <v>288</v>
      </c>
      <c r="B289" s="2" t="str">
        <f>IFERROR(__xludf.DUMMYFUNCTION("""COMPUTED_VALUE"""),"Syarpu SHP 33 kV Transmission Line Project")</f>
        <v>Syarpu SHP 33 kV Transmission Line Project</v>
      </c>
      <c r="C289" s="2">
        <f>IFERROR(__xludf.DUMMYFUNCTION("""COMPUTED_VALUE"""),33.0)</f>
        <v>33</v>
      </c>
      <c r="D289" s="2">
        <f>IFERROR(__xludf.DUMMYFUNCTION("""COMPUTED_VALUE"""),9.04)</f>
        <v>9.04</v>
      </c>
      <c r="E289" s="2">
        <f>IFERROR(__xludf.DUMMYFUNCTION("""COMPUTED_VALUE"""),3.3)</f>
        <v>3.3</v>
      </c>
      <c r="F289" s="2">
        <f>IFERROR(__xludf.DUMMYFUNCTION("""COMPUTED_VALUE"""),289.0)</f>
        <v>289</v>
      </c>
      <c r="G289" s="3">
        <f>IFERROR(__xludf.DUMMYFUNCTION("""COMPUTED_VALUE"""),66855.0)</f>
        <v>66855</v>
      </c>
      <c r="H289" s="3">
        <f>IFERROR(__xludf.DUMMYFUNCTION("""COMPUTED_VALUE"""),75984.0)</f>
        <v>75984</v>
      </c>
      <c r="I289" s="2" t="str">
        <f>IFERROR(__xludf.DUMMYFUNCTION("""COMPUTED_VALUE"""),"Syarpu Power Company Limited")</f>
        <v>Syarpu Power Company Limited</v>
      </c>
      <c r="J289" s="2" t="str">
        <f>IFERROR(__xludf.DUMMYFUNCTION("""COMPUTED_VALUE"""),"Musikot Rukum, 9851180511, opradip11@gmail.com")</f>
        <v>Musikot Rukum, 9851180511, opradip11@gmail.com</v>
      </c>
      <c r="K289" s="2" t="str">
        <f>IFERROR(__xludf.DUMMYFUNCTION("""COMPUTED_VALUE"""),"Switchyard of Project")</f>
        <v>Switchyard of Project</v>
      </c>
      <c r="L289" s="2" t="str">
        <f>IFERROR(__xludf.DUMMYFUNCTION("""COMPUTED_VALUE"""),"Musikot S/S")</f>
        <v>Musikot S/S</v>
      </c>
    </row>
    <row r="290">
      <c r="A290" s="2">
        <f>IFERROR(__xludf.DUMMYFUNCTION("""COMPUTED_VALUE"""),289.0)</f>
        <v>289</v>
      </c>
      <c r="B290" s="2" t="str">
        <f>IFERROR(__xludf.DUMMYFUNCTION("""COMPUTED_VALUE"""),"Sona Khola HPP - Mewa s/s 33 kV Transmission Line Project")</f>
        <v>Sona Khola HPP - Mewa s/s 33 kV Transmission Line Project</v>
      </c>
      <c r="C290" s="2">
        <f>IFERROR(__xludf.DUMMYFUNCTION("""COMPUTED_VALUE"""),33.0)</f>
        <v>33</v>
      </c>
      <c r="D290" s="2">
        <f>IFERROR(__xludf.DUMMYFUNCTION("""COMPUTED_VALUE"""),7.0)</f>
        <v>7</v>
      </c>
      <c r="E290" s="2">
        <f>IFERROR(__xludf.DUMMYFUNCTION("""COMPUTED_VALUE"""),9.0)</f>
        <v>9</v>
      </c>
      <c r="F290" s="2">
        <f>IFERROR(__xludf.DUMMYFUNCTION("""COMPUTED_VALUE"""),290.0)</f>
        <v>290</v>
      </c>
      <c r="G290" s="3">
        <f>IFERROR(__xludf.DUMMYFUNCTION("""COMPUTED_VALUE"""),66856.0)</f>
        <v>66856</v>
      </c>
      <c r="H290" s="3">
        <f>IFERROR(__xludf.DUMMYFUNCTION("""COMPUTED_VALUE"""),75985.0)</f>
        <v>75985</v>
      </c>
      <c r="I290" s="2" t="str">
        <f>IFERROR(__xludf.DUMMYFUNCTION("""COMPUTED_VALUE"""),"Himali Hydro Fund Ltd.")</f>
        <v>Himali Hydro Fund Ltd.</v>
      </c>
      <c r="J290" s="2" t="str">
        <f>IFERROR(__xludf.DUMMYFUNCTION("""COMPUTED_VALUE"""),"Mid Baneswor Kathmandu-32; 014109156")</f>
        <v>Mid Baneswor Kathmandu-32; 014109156</v>
      </c>
      <c r="K290" s="2" t="str">
        <f>IFERROR(__xludf.DUMMYFUNCTION("""COMPUTED_VALUE"""),"Switchyard of Project")</f>
        <v>Switchyard of Project</v>
      </c>
      <c r="L290" s="2" t="str">
        <f>IFERROR(__xludf.DUMMYFUNCTION("""COMPUTED_VALUE"""),"Mewa S/S")</f>
        <v>Mewa S/S</v>
      </c>
    </row>
    <row r="291">
      <c r="A291" s="2">
        <f>IFERROR(__xludf.DUMMYFUNCTION("""COMPUTED_VALUE"""),290.0)</f>
        <v>290</v>
      </c>
      <c r="B291" s="2" t="str">
        <f>IFERROR(__xludf.DUMMYFUNCTION("""COMPUTED_VALUE"""),"Chepe Khola cascade HPP 33 kV transmission Line Project")</f>
        <v>Chepe Khola cascade HPP 33 kV transmission Line Project</v>
      </c>
      <c r="C291" s="2">
        <f>IFERROR(__xludf.DUMMYFUNCTION("""COMPUTED_VALUE"""),33.0)</f>
        <v>33</v>
      </c>
      <c r="D291" s="2">
        <f>IFERROR(__xludf.DUMMYFUNCTION("""COMPUTED_VALUE"""),1.501)</f>
        <v>1.501</v>
      </c>
      <c r="E291" s="2">
        <f>IFERROR(__xludf.DUMMYFUNCTION("""COMPUTED_VALUE"""),2.0)</f>
        <v>2</v>
      </c>
      <c r="F291" s="2">
        <f>IFERROR(__xludf.DUMMYFUNCTION("""COMPUTED_VALUE"""),291.0)</f>
        <v>291</v>
      </c>
      <c r="G291" s="3">
        <f>IFERROR(__xludf.DUMMYFUNCTION("""COMPUTED_VALUE"""),66866.0)</f>
        <v>66866</v>
      </c>
      <c r="H291" s="3">
        <f>IFERROR(__xludf.DUMMYFUNCTION("""COMPUTED_VALUE"""),75995.0)</f>
        <v>75995</v>
      </c>
      <c r="I291" s="2" t="str">
        <f>IFERROR(__xludf.DUMMYFUNCTION("""COMPUTED_VALUE"""),"Aasutosh Energy Limited")</f>
        <v>Aasutosh Energy Limited</v>
      </c>
      <c r="J291" s="2" t="str">
        <f>IFERROR(__xludf.DUMMYFUNCTION("""COMPUTED_VALUE"""),"Gyaneshwor,kathmandu")</f>
        <v>Gyaneshwor,kathmandu</v>
      </c>
      <c r="K291" s="2" t="str">
        <f>IFERROR(__xludf.DUMMYFUNCTION("""COMPUTED_VALUE"""),"Respective Switchyard of the project")</f>
        <v>Respective Switchyard of the project</v>
      </c>
      <c r="L291" s="2" t="str">
        <f>IFERROR(__xludf.DUMMYFUNCTION("""COMPUTED_VALUE"""),"Switchyard of Chepe Khola small FPP(LILO")</f>
        <v>Switchyard of Chepe Khola small FPP(LILO</v>
      </c>
    </row>
    <row r="292">
      <c r="A292" s="2">
        <f>IFERROR(__xludf.DUMMYFUNCTION("""COMPUTED_VALUE"""),291.0)</f>
        <v>291</v>
      </c>
      <c r="B292" s="2" t="str">
        <f>IFERROR(__xludf.DUMMYFUNCTION("""COMPUTED_VALUE"""),"Isuwa Khola PROR cascade HPP 132 kV combinedTransmission Line Project")</f>
        <v>Isuwa Khola PROR cascade HPP 132 kV combinedTransmission Line Project</v>
      </c>
      <c r="C292" s="2">
        <f>IFERROR(__xludf.DUMMYFUNCTION("""COMPUTED_VALUE"""),132.0)</f>
        <v>132</v>
      </c>
      <c r="D292" s="2">
        <f>IFERROR(__xludf.DUMMYFUNCTION("""COMPUTED_VALUE"""),20.108)</f>
        <v>20.108</v>
      </c>
      <c r="E292" s="2">
        <f>IFERROR(__xludf.DUMMYFUNCTION("""COMPUTED_VALUE"""),172.171)</f>
        <v>172.171</v>
      </c>
      <c r="F292" s="2">
        <f>IFERROR(__xludf.DUMMYFUNCTION("""COMPUTED_VALUE"""),292.0)</f>
        <v>292</v>
      </c>
      <c r="G292" s="3">
        <f>IFERROR(__xludf.DUMMYFUNCTION("""COMPUTED_VALUE"""),66883.0)</f>
        <v>66883</v>
      </c>
      <c r="H292" s="3">
        <f>IFERROR(__xludf.DUMMYFUNCTION("""COMPUTED_VALUE"""),76012.0)</f>
        <v>76012</v>
      </c>
      <c r="I292" s="2" t="str">
        <f>IFERROR(__xludf.DUMMYFUNCTION("""COMPUTED_VALUE"""),"Isuwa Energy Pvt.Ltd.")</f>
        <v>Isuwa Energy Pvt.Ltd.</v>
      </c>
      <c r="J292" s="2" t="str">
        <f>IFERROR(__xludf.DUMMYFUNCTION("""COMPUTED_VALUE"""),"Hadigaun,Kathmandu")</f>
        <v>Hadigaun,Kathmandu</v>
      </c>
      <c r="K292" s="2" t="str">
        <f>IFERROR(__xludf.DUMMYFUNCTION("""COMPUTED_VALUE"""),"Respective Switchyard of the project")</f>
        <v>Respective Switchyard of the project</v>
      </c>
      <c r="L292" s="2" t="str">
        <f>IFERROR(__xludf.DUMMYFUNCTION("""COMPUTED_VALUE"""),"Sitalpati S/S")</f>
        <v>Sitalpati S/S</v>
      </c>
    </row>
    <row r="293">
      <c r="A293" s="2">
        <f>IFERROR(__xludf.DUMMYFUNCTION("""COMPUTED_VALUE"""),292.0)</f>
        <v>292</v>
      </c>
      <c r="B293" s="2" t="str">
        <f>IFERROR(__xludf.DUMMYFUNCTION("""COMPUTED_VALUE"""),"Lower Mid Rawa Khola HPP -Wakshila 33 kV Transmission line Project")</f>
        <v>Lower Mid Rawa Khola HPP -Wakshila 33 kV Transmission line Project</v>
      </c>
      <c r="C293" s="2">
        <f>IFERROR(__xludf.DUMMYFUNCTION("""COMPUTED_VALUE"""),33.0)</f>
        <v>33</v>
      </c>
      <c r="D293" s="2">
        <f>IFERROR(__xludf.DUMMYFUNCTION("""COMPUTED_VALUE"""),6.737)</f>
        <v>6.737</v>
      </c>
      <c r="E293" s="2">
        <f>IFERROR(__xludf.DUMMYFUNCTION("""COMPUTED_VALUE"""),4.0)</f>
        <v>4</v>
      </c>
      <c r="F293" s="2">
        <f>IFERROR(__xludf.DUMMYFUNCTION("""COMPUTED_VALUE"""),293.0)</f>
        <v>293</v>
      </c>
      <c r="G293" s="3">
        <f>IFERROR(__xludf.DUMMYFUNCTION("""COMPUTED_VALUE"""),66891.0)</f>
        <v>66891</v>
      </c>
      <c r="H293" s="3">
        <f>IFERROR(__xludf.DUMMYFUNCTION("""COMPUTED_VALUE"""),76020.0)</f>
        <v>76020</v>
      </c>
      <c r="I293" s="2" t="str">
        <f>IFERROR(__xludf.DUMMYFUNCTION("""COMPUTED_VALUE"""),"Lower Mid Rawa Khola HPP,Pvt.Ltd")</f>
        <v>Lower Mid Rawa Khola HPP,Pvt.Ltd</v>
      </c>
      <c r="J293" s="2" t="str">
        <f>IFERROR(__xludf.DUMMYFUNCTION("""COMPUTED_VALUE"""),"Maharajgunj, Kathmandu")</f>
        <v>Maharajgunj, Kathmandu</v>
      </c>
      <c r="K293" s="2" t="str">
        <f>IFERROR(__xludf.DUMMYFUNCTION("""COMPUTED_VALUE"""),"Respective Switchyard of the project")</f>
        <v>Respective Switchyard of the project</v>
      </c>
      <c r="L293" s="2" t="str">
        <f>IFERROR(__xludf.DUMMYFUNCTION("""COMPUTED_VALUE"""),"Wakshila s/s")</f>
        <v>Wakshila s/s</v>
      </c>
    </row>
    <row r="294">
      <c r="A294" s="2">
        <f>IFERROR(__xludf.DUMMYFUNCTION("""COMPUTED_VALUE"""),293.0)</f>
        <v>293</v>
      </c>
      <c r="B294" s="2" t="str">
        <f>IFERROR(__xludf.DUMMYFUNCTION("""COMPUTED_VALUE"""),"Rapti Dobhan -Lamahi 33kV Transmission Line Project")</f>
        <v>Rapti Dobhan -Lamahi 33kV Transmission Line Project</v>
      </c>
      <c r="C294" s="2">
        <f>IFERROR(__xludf.DUMMYFUNCTION("""COMPUTED_VALUE"""),33.0)</f>
        <v>33</v>
      </c>
      <c r="D294" s="2">
        <f>IFERROR(__xludf.DUMMYFUNCTION("""COMPUTED_VALUE"""),4.18)</f>
        <v>4.18</v>
      </c>
      <c r="E294" s="2">
        <f>IFERROR(__xludf.DUMMYFUNCTION("""COMPUTED_VALUE"""),30.0)</f>
        <v>30</v>
      </c>
      <c r="F294" s="2">
        <f>IFERROR(__xludf.DUMMYFUNCTION("""COMPUTED_VALUE"""),294.0)</f>
        <v>294</v>
      </c>
      <c r="G294" s="3">
        <f>IFERROR(__xludf.DUMMYFUNCTION("""COMPUTED_VALUE"""),66892.0)</f>
        <v>66892</v>
      </c>
      <c r="H294" s="3">
        <f>IFERROR(__xludf.DUMMYFUNCTION("""COMPUTED_VALUE"""),76021.0)</f>
        <v>76021</v>
      </c>
      <c r="I294" s="2" t="str">
        <f>IFERROR(__xludf.DUMMYFUNCTION("""COMPUTED_VALUE"""),"Lamahi Energy Limited")</f>
        <v>Lamahi Energy Limited</v>
      </c>
      <c r="J294" s="2" t="str">
        <f>IFERROR(__xludf.DUMMYFUNCTION("""COMPUTED_VALUE"""),"Tripureshwor,Kathmandu")</f>
        <v>Tripureshwor,Kathmandu</v>
      </c>
      <c r="K294" s="2" t="str">
        <f>IFERROR(__xludf.DUMMYFUNCTION("""COMPUTED_VALUE"""),"Respective Switchyard of the project")</f>
        <v>Respective Switchyard of the project</v>
      </c>
      <c r="L294" s="2" t="str">
        <f>IFERROR(__xludf.DUMMYFUNCTION("""COMPUTED_VALUE"""),"Lamahi s/s")</f>
        <v>Lamahi s/s</v>
      </c>
    </row>
    <row r="295">
      <c r="A295" s="2">
        <f>IFERROR(__xludf.DUMMYFUNCTION("""COMPUTED_VALUE"""),294.0)</f>
        <v>294</v>
      </c>
      <c r="B295" s="2" t="str">
        <f>IFERROR(__xludf.DUMMYFUNCTION("""COMPUTED_VALUE"""),"Upper Kabeli HPP 132kV Transmission Line Project")</f>
        <v>Upper Kabeli HPP 132kV Transmission Line Project</v>
      </c>
      <c r="C295" s="2">
        <f>IFERROR(__xludf.DUMMYFUNCTION("""COMPUTED_VALUE"""),132.0)</f>
        <v>132</v>
      </c>
      <c r="D295" s="2">
        <f>IFERROR(__xludf.DUMMYFUNCTION("""COMPUTED_VALUE"""),12.7)</f>
        <v>12.7</v>
      </c>
      <c r="E295" s="2">
        <f>IFERROR(__xludf.DUMMYFUNCTION("""COMPUTED_VALUE"""),28.1)</f>
        <v>28.1</v>
      </c>
      <c r="F295" s="2">
        <f>IFERROR(__xludf.DUMMYFUNCTION("""COMPUTED_VALUE"""),295.0)</f>
        <v>295</v>
      </c>
      <c r="G295" s="3">
        <f>IFERROR(__xludf.DUMMYFUNCTION("""COMPUTED_VALUE"""),66912.0)</f>
        <v>66912</v>
      </c>
      <c r="H295" s="3">
        <f>IFERROR(__xludf.DUMMYFUNCTION("""COMPUTED_VALUE"""),76042.0)</f>
        <v>76042</v>
      </c>
      <c r="I295" s="2" t="str">
        <f>IFERROR(__xludf.DUMMYFUNCTION("""COMPUTED_VALUE"""),"Peace Energy Company Ltd.")</f>
        <v>Peace Energy Company Ltd.</v>
      </c>
      <c r="J295" s="2" t="str">
        <f>IFERROR(__xludf.DUMMYFUNCTION("""COMPUTED_VALUE"""),"Battisputali,Kathmandu")</f>
        <v>Battisputali,Kathmandu</v>
      </c>
      <c r="K295" s="2" t="str">
        <f>IFERROR(__xludf.DUMMYFUNCTION("""COMPUTED_VALUE"""),"Respective Switchyard of the project")</f>
        <v>Respective Switchyard of the project</v>
      </c>
      <c r="L295" s="2" t="str">
        <f>IFERROR(__xludf.DUMMYFUNCTION("""COMPUTED_VALUE"""),"Amarpur s/s")</f>
        <v>Amarpur s/s</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1" t="str">
        <f>IFERROR(__xludf.DUMMYFUNCTION("IMPORTHTML(""https://www.doed.gov.np/pages/appslhydrolessthan1/"",""table"",1)"),"S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IFERROR(__xludf.DUMMYFUNCTION("""COMPUTED_VALUE"""),"Appn No")</f>
        <v>Appn No</v>
      </c>
      <c r="F1" s="1" t="str">
        <f>IFERROR(__xludf.DUMMYFUNCTION("""COMPUTED_VALUE"""),"Appn Date")</f>
        <v>Appn Date</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row r="2">
      <c r="A2" s="2">
        <f>IFERROR(__xludf.DUMMYFUNCTION("""COMPUTED_VALUE"""),1.0)</f>
        <v>1</v>
      </c>
      <c r="B2" s="2" t="str">
        <f>IFERROR(__xludf.DUMMYFUNCTION("""COMPUTED_VALUE"""),"Hudi Khola Small HEP")</f>
        <v>Hudi Khola Small HEP</v>
      </c>
      <c r="C2" s="2">
        <f>IFERROR(__xludf.DUMMYFUNCTION("""COMPUTED_VALUE"""),0.66)</f>
        <v>0.66</v>
      </c>
      <c r="D2" s="2" t="str">
        <f>IFERROR(__xludf.DUMMYFUNCTION("""COMPUTED_VALUE"""),"Hudi")</f>
        <v>Hudi</v>
      </c>
      <c r="E2" s="2">
        <f>IFERROR(__xludf.DUMMYFUNCTION("""COMPUTED_VALUE"""),5517.0)</f>
        <v>5517</v>
      </c>
      <c r="F2" s="3">
        <f>IFERROR(__xludf.DUMMYFUNCTION("""COMPUTED_VALUE"""),63910.0)</f>
        <v>63910</v>
      </c>
      <c r="G2" s="2" t="str">
        <f>IFERROR(__xludf.DUMMYFUNCTION("""COMPUTED_VALUE"""),"Hudi Khola Hydropower Pvt. Ltd")</f>
        <v>Hudi Khola Hydropower Pvt. Ltd</v>
      </c>
      <c r="H2" s="2" t="str">
        <f>IFERROR(__xludf.DUMMYFUNCTION("""COMPUTED_VALUE"""),"Kathmandu")</f>
        <v>Kathmandu</v>
      </c>
      <c r="I2" s="2" t="str">
        <f>IFERROR(__xludf.DUMMYFUNCTION("""COMPUTED_VALUE"""),"28o 06' 05""")</f>
        <v>28o 06' 05"</v>
      </c>
      <c r="J2" s="2" t="str">
        <f>IFERROR(__xludf.DUMMYFUNCTION("""COMPUTED_VALUE"""),"28o 06' 45""")</f>
        <v>28o 06' 45"</v>
      </c>
      <c r="K2" s="2" t="str">
        <f>IFERROR(__xludf.DUMMYFUNCTION("""COMPUTED_VALUE"""),"84o 40' 28""")</f>
        <v>84o 40' 28"</v>
      </c>
      <c r="L2" s="2" t="str">
        <f>IFERROR(__xludf.DUMMYFUNCTION("""COMPUTED_VALUE"""),"84o 41' 39""")</f>
        <v>84o 41' 39"</v>
      </c>
      <c r="M2" s="2"/>
    </row>
    <row r="3">
      <c r="A3" s="2">
        <f>IFERROR(__xludf.DUMMYFUNCTION("""COMPUTED_VALUE"""),2.0)</f>
        <v>2</v>
      </c>
      <c r="B3" s="2" t="str">
        <f>IFERROR(__xludf.DUMMYFUNCTION("""COMPUTED_VALUE"""),"Nisi Khola Small HEP")</f>
        <v>Nisi Khola Small HEP</v>
      </c>
      <c r="C3" s="2">
        <f>IFERROR(__xludf.DUMMYFUNCTION("""COMPUTED_VALUE"""),0.95)</f>
        <v>0.95</v>
      </c>
      <c r="D3" s="2" t="str">
        <f>IFERROR(__xludf.DUMMYFUNCTION("""COMPUTED_VALUE"""),"Nisi")</f>
        <v>Nisi</v>
      </c>
      <c r="E3" s="2">
        <f>IFERROR(__xludf.DUMMYFUNCTION("""COMPUTED_VALUE"""),7329.0)</f>
        <v>7329</v>
      </c>
      <c r="F3" s="3">
        <f>IFERROR(__xludf.DUMMYFUNCTION("""COMPUTED_VALUE"""),63989.0)</f>
        <v>63989</v>
      </c>
      <c r="G3" s="2" t="str">
        <f>IFERROR(__xludf.DUMMYFUNCTION("""COMPUTED_VALUE"""),"Ujyalo Burtibang Jalbidhyut Aayojana")</f>
        <v>Ujyalo Burtibang Jalbidhyut Aayojana</v>
      </c>
      <c r="H3" s="2" t="str">
        <f>IFERROR(__xludf.DUMMYFUNCTION("""COMPUTED_VALUE"""),"068-410180")</f>
        <v>068-410180</v>
      </c>
      <c r="I3" s="2" t="str">
        <f>IFERROR(__xludf.DUMMYFUNCTION("""COMPUTED_VALUE"""),"28o 19' 16""")</f>
        <v>28o 19' 16"</v>
      </c>
      <c r="J3" s="2" t="str">
        <f>IFERROR(__xludf.DUMMYFUNCTION("""COMPUTED_VALUE"""),"28o 19' 35""")</f>
        <v>28o 19' 35"</v>
      </c>
      <c r="K3" s="2" t="str">
        <f>IFERROR(__xludf.DUMMYFUNCTION("""COMPUTED_VALUE"""),"83o 08' 46""")</f>
        <v>83o 08' 46"</v>
      </c>
      <c r="L3" s="2" t="str">
        <f>IFERROR(__xludf.DUMMYFUNCTION("""COMPUTED_VALUE"""),"83o 09' 25""")</f>
        <v>83o 09' 25"</v>
      </c>
      <c r="M3" s="2"/>
    </row>
    <row r="4">
      <c r="A4" s="2">
        <f>IFERROR(__xludf.DUMMYFUNCTION("""COMPUTED_VALUE"""),3.0)</f>
        <v>3</v>
      </c>
      <c r="B4" s="2" t="str">
        <f>IFERROR(__xludf.DUMMYFUNCTION("""COMPUTED_VALUE"""),"Taranga Khola Small HEP")</f>
        <v>Taranga Khola Small HEP</v>
      </c>
      <c r="C4" s="2">
        <f>IFERROR(__xludf.DUMMYFUNCTION("""COMPUTED_VALUE"""),0.67)</f>
        <v>0.67</v>
      </c>
      <c r="D4" s="2" t="str">
        <f>IFERROR(__xludf.DUMMYFUNCTION("""COMPUTED_VALUE"""),"Taranga")</f>
        <v>Taranga</v>
      </c>
      <c r="E4" s="2">
        <f>IFERROR(__xludf.DUMMYFUNCTION("""COMPUTED_VALUE"""),170.0)</f>
        <v>170</v>
      </c>
      <c r="F4" s="3">
        <f>IFERROR(__xludf.DUMMYFUNCTION("""COMPUTED_VALUE"""),64015.0)</f>
        <v>64015</v>
      </c>
      <c r="G4" s="2" t="str">
        <f>IFERROR(__xludf.DUMMYFUNCTION("""COMPUTED_VALUE"""),"Taranga Hydro Care Pvt. Ltd")</f>
        <v>Taranga Hydro Care Pvt. Ltd</v>
      </c>
      <c r="H4" s="2" t="str">
        <f>IFERROR(__xludf.DUMMYFUNCTION("""COMPUTED_VALUE"""),"Gaindakot, Nawalparasi")</f>
        <v>Gaindakot, Nawalparasi</v>
      </c>
      <c r="I4" s="2" t="str">
        <f>IFERROR(__xludf.DUMMYFUNCTION("""COMPUTED_VALUE"""),"27o 47' 23""")</f>
        <v>27o 47' 23"</v>
      </c>
      <c r="J4" s="2" t="str">
        <f>IFERROR(__xludf.DUMMYFUNCTION("""COMPUTED_VALUE"""),"27o 48' 09""")</f>
        <v>27o 48' 09"</v>
      </c>
      <c r="K4" s="2" t="str">
        <f>IFERROR(__xludf.DUMMYFUNCTION("""COMPUTED_VALUE"""),"84o 16' 21""")</f>
        <v>84o 16' 21"</v>
      </c>
      <c r="L4" s="2" t="str">
        <f>IFERROR(__xludf.DUMMYFUNCTION("""COMPUTED_VALUE"""),"84o 17' 59""")</f>
        <v>84o 17' 59"</v>
      </c>
      <c r="M4" s="2" t="str">
        <f>IFERROR(__xludf.DUMMYFUNCTION("""COMPUTED_VALUE"""),"Kotathar,Ratnapur (Nawalparasi)")</f>
        <v>Kotathar,Ratnapur (Nawalparasi)</v>
      </c>
    </row>
    <row r="5">
      <c r="A5" s="2">
        <f>IFERROR(__xludf.DUMMYFUNCTION("""COMPUTED_VALUE"""),4.0)</f>
        <v>4</v>
      </c>
      <c r="B5" s="2" t="str">
        <f>IFERROR(__xludf.DUMMYFUNCTION("""COMPUTED_VALUE"""),"Babiyodada Manthali Khola Micro HPP")</f>
        <v>Babiyodada Manthali Khola Micro HPP</v>
      </c>
      <c r="C5" s="2">
        <f>IFERROR(__xludf.DUMMYFUNCTION("""COMPUTED_VALUE"""),0.47)</f>
        <v>0.47</v>
      </c>
      <c r="D5" s="2" t="str">
        <f>IFERROR(__xludf.DUMMYFUNCTION("""COMPUTED_VALUE"""),"Manthali Khola")</f>
        <v>Manthali Khola</v>
      </c>
      <c r="E5" s="2">
        <f>IFERROR(__xludf.DUMMYFUNCTION("""COMPUTED_VALUE"""),546.0)</f>
        <v>546</v>
      </c>
      <c r="F5" s="3">
        <f>IFERROR(__xludf.DUMMYFUNCTION("""COMPUTED_VALUE"""),64071.0)</f>
        <v>64071</v>
      </c>
      <c r="G5" s="2" t="str">
        <f>IFERROR(__xludf.DUMMYFUNCTION("""COMPUTED_VALUE"""),"Gauurisankar Gaupalika")</f>
        <v>Gauurisankar Gaupalika</v>
      </c>
      <c r="H5" s="2" t="str">
        <f>IFERROR(__xludf.DUMMYFUNCTION("""COMPUTED_VALUE"""),"Suri Dolakha")</f>
        <v>Suri Dolakha</v>
      </c>
      <c r="I5" s="2" t="str">
        <f>IFERROR(__xludf.DUMMYFUNCTION("""COMPUTED_VALUE"""),"27o 48' 27""")</f>
        <v>27o 48' 27"</v>
      </c>
      <c r="J5" s="2" t="str">
        <f>IFERROR(__xludf.DUMMYFUNCTION("""COMPUTED_VALUE"""),"27o 49' 03""")</f>
        <v>27o 49' 03"</v>
      </c>
      <c r="K5" s="2" t="str">
        <f>IFERROR(__xludf.DUMMYFUNCTION("""COMPUTED_VALUE"""),"86o 13' 42""")</f>
        <v>86o 13' 42"</v>
      </c>
      <c r="L5" s="2" t="str">
        <f>IFERROR(__xludf.DUMMYFUNCTION("""COMPUTED_VALUE"""),"86o 14' 15""")</f>
        <v>86o 14' 15"</v>
      </c>
      <c r="M5" s="2" t="str">
        <f>IFERROR(__xludf.DUMMYFUNCTION("""COMPUTED_VALUE"""),"Lamabagar (Dolakha)")</f>
        <v>Lamabagar (Dolakha)</v>
      </c>
    </row>
    <row r="6">
      <c r="A6" s="2">
        <f>IFERROR(__xludf.DUMMYFUNCTION("""COMPUTED_VALUE"""),5.0)</f>
        <v>5</v>
      </c>
      <c r="B6" s="2" t="str">
        <f>IFERROR(__xludf.DUMMYFUNCTION("""COMPUTED_VALUE"""),"Thosne Khola Small HPP")</f>
        <v>Thosne Khola Small HPP</v>
      </c>
      <c r="C6" s="2">
        <f>IFERROR(__xludf.DUMMYFUNCTION("""COMPUTED_VALUE"""),0.7)</f>
        <v>0.7</v>
      </c>
      <c r="D6" s="2" t="str">
        <f>IFERROR(__xludf.DUMMYFUNCTION("""COMPUTED_VALUE"""),"Thosne Khola")</f>
        <v>Thosne Khola</v>
      </c>
      <c r="E6" s="2">
        <f>IFERROR(__xludf.DUMMYFUNCTION("""COMPUTED_VALUE"""),1719.0)</f>
        <v>1719</v>
      </c>
      <c r="F6" s="3">
        <f>IFERROR(__xludf.DUMMYFUNCTION("""COMPUTED_VALUE"""),64092.0)</f>
        <v>64092</v>
      </c>
      <c r="G6" s="2" t="str">
        <f>IFERROR(__xludf.DUMMYFUNCTION("""COMPUTED_VALUE"""),"Mahakal Multipurpose Production Group via Konjyosom RM Office, Lalitpur")</f>
        <v>Mahakal Multipurpose Production Group via Konjyosom RM Office, Lalitpur</v>
      </c>
      <c r="H6" s="2" t="str">
        <f>IFERROR(__xludf.DUMMYFUNCTION("""COMPUTED_VALUE"""),"Gotikhel Lalitpur")</f>
        <v>Gotikhel Lalitpur</v>
      </c>
      <c r="I6" s="2" t="str">
        <f>IFERROR(__xludf.DUMMYFUNCTION("""COMPUTED_VALUE"""),"27o 30' 52""")</f>
        <v>27o 30' 52"</v>
      </c>
      <c r="J6" s="2" t="str">
        <f>IFERROR(__xludf.DUMMYFUNCTION("""COMPUTED_VALUE"""),"27o 31' 22""")</f>
        <v>27o 31' 22"</v>
      </c>
      <c r="K6" s="2" t="str">
        <f>IFERROR(__xludf.DUMMYFUNCTION("""COMPUTED_VALUE"""),"85o 18' 58""")</f>
        <v>85o 18' 58"</v>
      </c>
      <c r="L6" s="2" t="str">
        <f>IFERROR(__xludf.DUMMYFUNCTION("""COMPUTED_VALUE"""),"85o 19' 40""")</f>
        <v>85o 19' 40"</v>
      </c>
      <c r="M6" s="2" t="str">
        <f>IFERROR(__xludf.DUMMYFUNCTION("""COMPUTED_VALUE"""),"Bhattedanda,Dalchoki,Sankhu (Lalitpur)")</f>
        <v>Bhattedanda,Dalchoki,Sankhu (Lalitpur)</v>
      </c>
    </row>
    <row r="7">
      <c r="A7" s="2">
        <f>IFERROR(__xludf.DUMMYFUNCTION("""COMPUTED_VALUE"""),6.0)</f>
        <v>6</v>
      </c>
      <c r="B7" s="2" t="str">
        <f>IFERROR(__xludf.DUMMYFUNCTION("""COMPUTED_VALUE"""),"Sota Damuka Multipurpose Micro HEP")</f>
        <v>Sota Damuka Multipurpose Micro HEP</v>
      </c>
      <c r="C7" s="2">
        <f>IFERROR(__xludf.DUMMYFUNCTION("""COMPUTED_VALUE"""),0.3)</f>
        <v>0.3</v>
      </c>
      <c r="D7" s="2" t="str">
        <f>IFERROR(__xludf.DUMMYFUNCTION("""COMPUTED_VALUE"""),"Hugdi")</f>
        <v>Hugdi</v>
      </c>
      <c r="E7" s="2">
        <f>IFERROR(__xludf.DUMMYFUNCTION("""COMPUTED_VALUE"""),2479.0)</f>
        <v>2479</v>
      </c>
      <c r="F7" s="3">
        <f>IFERROR(__xludf.DUMMYFUNCTION("""COMPUTED_VALUE"""),64140.0)</f>
        <v>64140</v>
      </c>
      <c r="G7" s="2" t="str">
        <f>IFERROR(__xludf.DUMMYFUNCTION("""COMPUTED_VALUE"""),"Rupakot Bikash Tatha Bidhyut Company Pvt. Ltd")</f>
        <v>Rupakot Bikash Tatha Bidhyut Company Pvt. Ltd</v>
      </c>
      <c r="H7" s="2" t="str">
        <f>IFERROR(__xludf.DUMMYFUNCTION("""COMPUTED_VALUE"""),"Rupakot-5, Damuka Gulmi, 9841204550")</f>
        <v>Rupakot-5, Damuka Gulmi, 9841204550</v>
      </c>
      <c r="I7" s="2" t="str">
        <f>IFERROR(__xludf.DUMMYFUNCTION("""COMPUTED_VALUE"""),"28o 03' 55""")</f>
        <v>28o 03' 55"</v>
      </c>
      <c r="J7" s="2" t="str">
        <f>IFERROR(__xludf.DUMMYFUNCTION("""COMPUTED_VALUE"""),"28o 04' 29""")</f>
        <v>28o 04' 29"</v>
      </c>
      <c r="K7" s="2" t="str">
        <f>IFERROR(__xludf.DUMMYFUNCTION("""COMPUTED_VALUE"""),"83o 21' 35""")</f>
        <v>83o 21' 35"</v>
      </c>
      <c r="L7" s="2" t="str">
        <f>IFERROR(__xludf.DUMMYFUNCTION("""COMPUTED_VALUE"""),"83o 22' 06""")</f>
        <v>83o 22' 06"</v>
      </c>
      <c r="M7" s="2"/>
    </row>
    <row r="8">
      <c r="A8" s="2">
        <f>IFERROR(__xludf.DUMMYFUNCTION("""COMPUTED_VALUE"""),7.0)</f>
        <v>7</v>
      </c>
      <c r="B8" s="2" t="str">
        <f>IFERROR(__xludf.DUMMYFUNCTION("""COMPUTED_VALUE"""),"Ludee Khola Small HEP")</f>
        <v>Ludee Khola Small HEP</v>
      </c>
      <c r="C8" s="2">
        <f>IFERROR(__xludf.DUMMYFUNCTION("""COMPUTED_VALUE"""),0.99)</f>
        <v>0.99</v>
      </c>
      <c r="D8" s="2" t="str">
        <f>IFERROR(__xludf.DUMMYFUNCTION("""COMPUTED_VALUE"""),"Ludi")</f>
        <v>Ludi</v>
      </c>
      <c r="E8" s="2">
        <f>IFERROR(__xludf.DUMMYFUNCTION("""COMPUTED_VALUE"""),2648.0)</f>
        <v>2648</v>
      </c>
      <c r="F8" s="3">
        <f>IFERROR(__xludf.DUMMYFUNCTION("""COMPUTED_VALUE"""),64145.0)</f>
        <v>64145</v>
      </c>
      <c r="G8" s="2" t="str">
        <f>IFERROR(__xludf.DUMMYFUNCTION("""COMPUTED_VALUE"""),"Advance Power Development Centre Pvt. Ltd( Sahid Lakhan Gaupalika)")</f>
        <v>Advance Power Development Centre Pvt. Ltd( Sahid Lakhan Gaupalika)</v>
      </c>
      <c r="H8" s="2" t="str">
        <f>IFERROR(__xludf.DUMMYFUNCTION("""COMPUTED_VALUE"""),"Shankhamul Marga, New Baneshwor, 01-4780505")</f>
        <v>Shankhamul Marga, New Baneshwor, 01-4780505</v>
      </c>
      <c r="I8" s="2" t="str">
        <f>IFERROR(__xludf.DUMMYFUNCTION("""COMPUTED_VALUE"""),"27o 57' 00""")</f>
        <v>27o 57' 00"</v>
      </c>
      <c r="J8" s="2" t="str">
        <f>IFERROR(__xludf.DUMMYFUNCTION("""COMPUTED_VALUE"""),"27o 57' 26""")</f>
        <v>27o 57' 26"</v>
      </c>
      <c r="K8" s="2" t="str">
        <f>IFERROR(__xludf.DUMMYFUNCTION("""COMPUTED_VALUE"""),"84o 35' 47""")</f>
        <v>84o 35' 47"</v>
      </c>
      <c r="L8" s="2" t="str">
        <f>IFERROR(__xludf.DUMMYFUNCTION("""COMPUTED_VALUE"""),"84o 36' 30""")</f>
        <v>84o 36' 30"</v>
      </c>
      <c r="M8" s="2"/>
    </row>
    <row r="9">
      <c r="A9" s="2">
        <f>IFERROR(__xludf.DUMMYFUNCTION("""COMPUTED_VALUE"""),8.0)</f>
        <v>8</v>
      </c>
      <c r="B9" s="2" t="str">
        <f>IFERROR(__xludf.DUMMYFUNCTION("""COMPUTED_VALUE"""),"Ribal Khola Small HEP")</f>
        <v>Ribal Khola Small HEP</v>
      </c>
      <c r="C9" s="2">
        <f>IFERROR(__xludf.DUMMYFUNCTION("""COMPUTED_VALUE"""),0.998)</f>
        <v>0.998</v>
      </c>
      <c r="D9" s="2" t="str">
        <f>IFERROR(__xludf.DUMMYFUNCTION("""COMPUTED_VALUE"""),"Ribal")</f>
        <v>Ribal</v>
      </c>
      <c r="E9" s="2">
        <f>IFERROR(__xludf.DUMMYFUNCTION("""COMPUTED_VALUE"""),3916.0)</f>
        <v>3916</v>
      </c>
      <c r="F9" s="3">
        <f>IFERROR(__xludf.DUMMYFUNCTION("""COMPUTED_VALUE"""),64201.0)</f>
        <v>64201</v>
      </c>
      <c r="G9" s="2" t="str">
        <f>IFERROR(__xludf.DUMMYFUNCTION("""COMPUTED_VALUE"""),"Melamchi Hydro Pvt. Ltd")</f>
        <v>Melamchi Hydro Pvt. Ltd</v>
      </c>
      <c r="H9" s="2" t="str">
        <f>IFERROR(__xludf.DUMMYFUNCTION("""COMPUTED_VALUE"""),"Kathmandu-6, Baudha")</f>
        <v>Kathmandu-6, Baudha</v>
      </c>
      <c r="I9" s="2" t="str">
        <f>IFERROR(__xludf.DUMMYFUNCTION("""COMPUTED_VALUE"""),"27o 58' 56""")</f>
        <v>27o 58' 56"</v>
      </c>
      <c r="J9" s="2" t="str">
        <f>IFERROR(__xludf.DUMMYFUNCTION("""COMPUTED_VALUE"""),"27o 59' 22""")</f>
        <v>27o 59' 22"</v>
      </c>
      <c r="K9" s="2" t="str">
        <f>IFERROR(__xludf.DUMMYFUNCTION("""COMPUTED_VALUE"""),"85o 30' 51""")</f>
        <v>85o 30' 51"</v>
      </c>
      <c r="L9" s="2" t="str">
        <f>IFERROR(__xludf.DUMMYFUNCTION("""COMPUTED_VALUE"""),"85o 32' 03""")</f>
        <v>85o 32' 03"</v>
      </c>
      <c r="M9" s="2" t="str">
        <f>IFERROR(__xludf.DUMMYFUNCTION("""COMPUTED_VALUE"""),"Kiwool (Sindhupalchok)")</f>
        <v>Kiwool (Sindhupalchok)</v>
      </c>
    </row>
    <row r="10">
      <c r="A10" s="2">
        <f>IFERROR(__xludf.DUMMYFUNCTION("""COMPUTED_VALUE"""),9.0)</f>
        <v>9</v>
      </c>
      <c r="B10" s="2" t="str">
        <f>IFERROR(__xludf.DUMMYFUNCTION("""COMPUTED_VALUE"""),"Sani Bheri Uttar Ganga Mini HEP")</f>
        <v>Sani Bheri Uttar Ganga Mini HEP</v>
      </c>
      <c r="C10" s="2">
        <f>IFERROR(__xludf.DUMMYFUNCTION("""COMPUTED_VALUE"""),0.998)</f>
        <v>0.998</v>
      </c>
      <c r="D10" s="2" t="str">
        <f>IFERROR(__xludf.DUMMYFUNCTION("""COMPUTED_VALUE"""),"Uttar Ganga")</f>
        <v>Uttar Ganga</v>
      </c>
      <c r="E10" s="2">
        <f>IFERROR(__xludf.DUMMYFUNCTION("""COMPUTED_VALUE"""),4096.0)</f>
        <v>4096</v>
      </c>
      <c r="F10" s="3">
        <f>IFERROR(__xludf.DUMMYFUNCTION("""COMPUTED_VALUE"""),64209.0)</f>
        <v>64209</v>
      </c>
      <c r="G10" s="2" t="str">
        <f>IFERROR(__xludf.DUMMYFUNCTION("""COMPUTED_VALUE"""),"Rukumeli Sahid Smriti Gramin Jalbidhyut Sahakari Sanstha Limited")</f>
        <v>Rukumeli Sahid Smriti Gramin Jalbidhyut Sahakari Sanstha Limited</v>
      </c>
      <c r="H10" s="2" t="str">
        <f>IFERROR(__xludf.DUMMYFUNCTION("""COMPUTED_VALUE"""),"Rukum")</f>
        <v>Rukum</v>
      </c>
      <c r="I10" s="2" t="str">
        <f>IFERROR(__xludf.DUMMYFUNCTION("""COMPUTED_VALUE"""),"28o 34' 30""")</f>
        <v>28o 34' 30"</v>
      </c>
      <c r="J10" s="2" t="str">
        <f>IFERROR(__xludf.DUMMYFUNCTION("""COMPUTED_VALUE"""),"28o 35' 10""")</f>
        <v>28o 35' 10"</v>
      </c>
      <c r="K10" s="2" t="str">
        <f>IFERROR(__xludf.DUMMYFUNCTION("""COMPUTED_VALUE"""),"82o 48' 50""")</f>
        <v>82o 48' 50"</v>
      </c>
      <c r="L10" s="2" t="str">
        <f>IFERROR(__xludf.DUMMYFUNCTION("""COMPUTED_VALUE"""),"82o 49' 20""")</f>
        <v>82o 49' 20"</v>
      </c>
      <c r="M10" s="2" t="str">
        <f>IFERROR(__xludf.DUMMYFUNCTION("""COMPUTED_VALUE"""),"Taksera (Rukum)")</f>
        <v>Taksera (Rukum)</v>
      </c>
    </row>
    <row r="11">
      <c r="A11" s="2">
        <f>IFERROR(__xludf.DUMMYFUNCTION("""COMPUTED_VALUE"""),10.0)</f>
        <v>10</v>
      </c>
      <c r="B11" s="2" t="str">
        <f>IFERROR(__xludf.DUMMYFUNCTION("""COMPUTED_VALUE"""),"Chipli Khola Small HEP")</f>
        <v>Chipli Khola Small HEP</v>
      </c>
      <c r="C11" s="2">
        <f>IFERROR(__xludf.DUMMYFUNCTION("""COMPUTED_VALUE"""),0.595)</f>
        <v>0.595</v>
      </c>
      <c r="D11" s="2" t="str">
        <f>IFERROR(__xludf.DUMMYFUNCTION("""COMPUTED_VALUE"""),"Chipli Khola")</f>
        <v>Chipli Khola</v>
      </c>
      <c r="E11" s="2">
        <f>IFERROR(__xludf.DUMMYFUNCTION("""COMPUTED_VALUE"""),8861.0)</f>
        <v>8861</v>
      </c>
      <c r="F11" s="3">
        <f>IFERROR(__xludf.DUMMYFUNCTION("""COMPUTED_VALUE"""),64366.0)</f>
        <v>64366</v>
      </c>
      <c r="G11" s="2" t="str">
        <f>IFERROR(__xludf.DUMMYFUNCTION("""COMPUTED_VALUE"""),"Natural Construction Pvt. Ltd")</f>
        <v>Natural Construction Pvt. Ltd</v>
      </c>
      <c r="H11" s="2" t="str">
        <f>IFERROR(__xludf.DUMMYFUNCTION("""COMPUTED_VALUE"""),"Pokhara-6, Baidam")</f>
        <v>Pokhara-6, Baidam</v>
      </c>
      <c r="I11" s="2" t="str">
        <f>IFERROR(__xludf.DUMMYFUNCTION("""COMPUTED_VALUE"""),"28o 19' 06""")</f>
        <v>28o 19' 06"</v>
      </c>
      <c r="J11" s="2" t="str">
        <f>IFERROR(__xludf.DUMMYFUNCTION("""COMPUTED_VALUE"""),"28o 19' 34""")</f>
        <v>28o 19' 34"</v>
      </c>
      <c r="K11" s="2" t="str">
        <f>IFERROR(__xludf.DUMMYFUNCTION("""COMPUTED_VALUE"""),"84o 04' 50""")</f>
        <v>84o 04' 50"</v>
      </c>
      <c r="L11" s="2" t="str">
        <f>IFERROR(__xludf.DUMMYFUNCTION("""COMPUTED_VALUE"""),"84o 05' 24""")</f>
        <v>84o 05' 24"</v>
      </c>
      <c r="M11" s="2"/>
    </row>
    <row r="12">
      <c r="A12" s="2">
        <f>IFERROR(__xludf.DUMMYFUNCTION("""COMPUTED_VALUE"""),11.0)</f>
        <v>11</v>
      </c>
      <c r="B12" s="2" t="str">
        <f>IFERROR(__xludf.DUMMYFUNCTION("""COMPUTED_VALUE"""),"Kisedi Khola Hydropower Project")</f>
        <v>Kisedi Khola Hydropower Project</v>
      </c>
      <c r="C12" s="2">
        <f>IFERROR(__xludf.DUMMYFUNCTION("""COMPUTED_VALUE"""),0.998)</f>
        <v>0.998</v>
      </c>
      <c r="D12" s="2" t="str">
        <f>IFERROR(__xludf.DUMMYFUNCTION("""COMPUTED_VALUE"""),"Kisedi Khola")</f>
        <v>Kisedi Khola</v>
      </c>
      <c r="E12" s="2">
        <f>IFERROR(__xludf.DUMMYFUNCTION("""COMPUTED_VALUE"""),1894.0)</f>
        <v>1894</v>
      </c>
      <c r="F12" s="3">
        <f>IFERROR(__xludf.DUMMYFUNCTION("""COMPUTED_VALUE"""),64438.0)</f>
        <v>64438</v>
      </c>
      <c r="G12" s="2" t="str">
        <f>IFERROR(__xludf.DUMMYFUNCTION("""COMPUTED_VALUE"""),"CEDB Hydropower Development Company Limited ( Dordi Rural Municipality)")</f>
        <v>CEDB Hydropower Development Company Limited ( Dordi Rural Municipality)</v>
      </c>
      <c r="H12" s="2" t="str">
        <f>IFERROR(__xludf.DUMMYFUNCTION("""COMPUTED_VALUE"""),"Bluestar Complex, Tripureshwor Kathmandu")</f>
        <v>Bluestar Complex, Tripureshwor Kathmandu</v>
      </c>
      <c r="I12" s="2" t="str">
        <f>IFERROR(__xludf.DUMMYFUNCTION("""COMPUTED_VALUE"""),"28o 11' 47""")</f>
        <v>28o 11' 47"</v>
      </c>
      <c r="J12" s="2" t="str">
        <f>IFERROR(__xludf.DUMMYFUNCTION("""COMPUTED_VALUE"""),"28o 12' 34""")</f>
        <v>28o 12' 34"</v>
      </c>
      <c r="K12" s="2" t="str">
        <f>IFERROR(__xludf.DUMMYFUNCTION("""COMPUTED_VALUE"""),"84o 30' 52""")</f>
        <v>84o 30' 52"</v>
      </c>
      <c r="L12" s="2" t="str">
        <f>IFERROR(__xludf.DUMMYFUNCTION("""COMPUTED_VALUE"""),"84o 31' 28""")</f>
        <v>84o 31' 28"</v>
      </c>
      <c r="M12" s="2" t="str">
        <f>IFERROR(__xludf.DUMMYFUNCTION("""COMPUTED_VALUE"""),"Pachok (Lamjung)")</f>
        <v>Pachok (Lamjung)</v>
      </c>
    </row>
    <row r="13">
      <c r="A13" s="2">
        <f>IFERROR(__xludf.DUMMYFUNCTION("""COMPUTED_VALUE"""),12.0)</f>
        <v>12</v>
      </c>
      <c r="B13" s="2" t="str">
        <f>IFERROR(__xludf.DUMMYFUNCTION("""COMPUTED_VALUE"""),"Monjo Khola Mini HEP")</f>
        <v>Monjo Khola Mini HEP</v>
      </c>
      <c r="C13" s="2">
        <f>IFERROR(__xludf.DUMMYFUNCTION("""COMPUTED_VALUE"""),0.593)</f>
        <v>0.593</v>
      </c>
      <c r="D13" s="2" t="str">
        <f>IFERROR(__xludf.DUMMYFUNCTION("""COMPUTED_VALUE"""),"Monjo")</f>
        <v>Monjo</v>
      </c>
      <c r="E13" s="2">
        <f>IFERROR(__xludf.DUMMYFUNCTION("""COMPUTED_VALUE"""),4626.0)</f>
        <v>4626</v>
      </c>
      <c r="F13" s="3">
        <f>IFERROR(__xludf.DUMMYFUNCTION("""COMPUTED_VALUE"""),64516.0)</f>
        <v>64516</v>
      </c>
      <c r="G13" s="2" t="str">
        <f>IFERROR(__xludf.DUMMYFUNCTION("""COMPUTED_VALUE"""),"Khumbu Pasanglhamu Rural Municipality ( Monjo Khola Mini Hydro Pvt. Ltd)")</f>
        <v>Khumbu Pasanglhamu Rural Municipality ( Monjo Khola Mini Hydro Pvt. Ltd)</v>
      </c>
      <c r="H13" s="2" t="str">
        <f>IFERROR(__xludf.DUMMYFUNCTION("""COMPUTED_VALUE"""),"Solukhumbu")</f>
        <v>Solukhumbu</v>
      </c>
      <c r="I13" s="2" t="str">
        <f>IFERROR(__xludf.DUMMYFUNCTION("""COMPUTED_VALUE"""),"27o 46' 00""")</f>
        <v>27o 46' 00"</v>
      </c>
      <c r="J13" s="2" t="str">
        <f>IFERROR(__xludf.DUMMYFUNCTION("""COMPUTED_VALUE"""),"27o 46' 30""")</f>
        <v>27o 46' 30"</v>
      </c>
      <c r="K13" s="2" t="str">
        <f>IFERROR(__xludf.DUMMYFUNCTION("""COMPUTED_VALUE"""),"86o 43' 20""")</f>
        <v>86o 43' 20"</v>
      </c>
      <c r="L13" s="2" t="str">
        <f>IFERROR(__xludf.DUMMYFUNCTION("""COMPUTED_VALUE"""),"86o 44' 30""")</f>
        <v>86o 44' 30"</v>
      </c>
      <c r="M13" s="2"/>
    </row>
    <row r="14">
      <c r="A14" s="2">
        <f>IFERROR(__xludf.DUMMYFUNCTION("""COMPUTED_VALUE"""),13.0)</f>
        <v>13</v>
      </c>
      <c r="B14" s="2" t="str">
        <f>IFERROR(__xludf.DUMMYFUNCTION("""COMPUTED_VALUE"""),"Aankhe Khola Small HEP")</f>
        <v>Aankhe Khola Small HEP</v>
      </c>
      <c r="C14" s="2">
        <f>IFERROR(__xludf.DUMMYFUNCTION("""COMPUTED_VALUE"""),0.75)</f>
        <v>0.75</v>
      </c>
      <c r="D14" s="2" t="str">
        <f>IFERROR(__xludf.DUMMYFUNCTION("""COMPUTED_VALUE"""),"Aankhe Khla")</f>
        <v>Aankhe Khla</v>
      </c>
      <c r="E14" s="2">
        <f>IFERROR(__xludf.DUMMYFUNCTION("""COMPUTED_VALUE"""),2759.0)</f>
        <v>2759</v>
      </c>
      <c r="F14" s="3">
        <f>IFERROR(__xludf.DUMMYFUNCTION("""COMPUTED_VALUE"""),64877.0)</f>
        <v>64877</v>
      </c>
      <c r="G14" s="2" t="str">
        <f>IFERROR(__xludf.DUMMYFUNCTION("""COMPUTED_VALUE"""),"Thuli Bher Municipality (Aankhe Khola Mini Hydro User Committee)")</f>
        <v>Thuli Bher Municipality (Aankhe Khola Mini Hydro User Committee)</v>
      </c>
      <c r="H14" s="2" t="str">
        <f>IFERROR(__xludf.DUMMYFUNCTION("""COMPUTED_VALUE"""),"Juphal Dolpa")</f>
        <v>Juphal Dolpa</v>
      </c>
      <c r="I14" s="2" t="str">
        <f>IFERROR(__xludf.DUMMYFUNCTION("""COMPUTED_VALUE"""),"29o 02' 29""")</f>
        <v>29o 02' 29"</v>
      </c>
      <c r="J14" s="2" t="str">
        <f>IFERROR(__xludf.DUMMYFUNCTION("""COMPUTED_VALUE"""),"29o 02' 36""")</f>
        <v>29o 02' 36"</v>
      </c>
      <c r="K14" s="2" t="str">
        <f>IFERROR(__xludf.DUMMYFUNCTION("""COMPUTED_VALUE"""),"82o 54' 12""")</f>
        <v>82o 54' 12"</v>
      </c>
      <c r="L14" s="2" t="str">
        <f>IFERROR(__xludf.DUMMYFUNCTION("""COMPUTED_VALUE"""),"82o 54' 40""")</f>
        <v>82o 54' 40"</v>
      </c>
      <c r="M14" s="2" t="str">
        <f>IFERROR(__xludf.DUMMYFUNCTION("""COMPUTED_VALUE"""),"Tripurakot,Lawan (Dolpa)")</f>
        <v>Tripurakot,Lawan (Dolpa)</v>
      </c>
    </row>
    <row r="15">
      <c r="A15" s="2">
        <f>IFERROR(__xludf.DUMMYFUNCTION("""COMPUTED_VALUE"""),14.0)</f>
        <v>14</v>
      </c>
      <c r="B15" s="2" t="str">
        <f>IFERROR(__xludf.DUMMYFUNCTION("""COMPUTED_VALUE"""),"Dhachunkot Khola HEP")</f>
        <v>Dhachunkot Khola HEP</v>
      </c>
      <c r="C15" s="2">
        <f>IFERROR(__xludf.DUMMYFUNCTION("""COMPUTED_VALUE"""),0.424)</f>
        <v>0.424</v>
      </c>
      <c r="D15" s="2" t="str">
        <f>IFERROR(__xludf.DUMMYFUNCTION("""COMPUTED_VALUE"""),"Dhanchukot")</f>
        <v>Dhanchukot</v>
      </c>
      <c r="E15" s="2">
        <f>IFERROR(__xludf.DUMMYFUNCTION("""COMPUTED_VALUE"""),3258.0)</f>
        <v>3258</v>
      </c>
      <c r="F15" s="3">
        <f>IFERROR(__xludf.DUMMYFUNCTION("""COMPUTED_VALUE"""),64899.0)</f>
        <v>64899</v>
      </c>
      <c r="G15" s="2" t="str">
        <f>IFERROR(__xludf.DUMMYFUNCTION("""COMPUTED_VALUE"""),"Naraharinath Rural Municipality")</f>
        <v>Naraharinath Rural Municipality</v>
      </c>
      <c r="H15" s="2" t="str">
        <f>IFERROR(__xludf.DUMMYFUNCTION("""COMPUTED_VALUE"""),"Kumalgaun, Kalikot")</f>
        <v>Kumalgaun, Kalikot</v>
      </c>
      <c r="I15" s="2" t="str">
        <f>IFERROR(__xludf.DUMMYFUNCTION("""COMPUTED_VALUE"""),"29o 11' 33""")</f>
        <v>29o 11' 33"</v>
      </c>
      <c r="J15" s="2" t="str">
        <f>IFERROR(__xludf.DUMMYFUNCTION("""COMPUTED_VALUE"""),"29o 11' 45""")</f>
        <v>29o 11' 45"</v>
      </c>
      <c r="K15" s="2" t="str">
        <f>IFERROR(__xludf.DUMMYFUNCTION("""COMPUTED_VALUE"""),"81o 32' 16""")</f>
        <v>81o 32' 16"</v>
      </c>
      <c r="L15" s="2" t="str">
        <f>IFERROR(__xludf.DUMMYFUNCTION("""COMPUTED_VALUE"""),"81o 32' 52""")</f>
        <v>81o 32' 52"</v>
      </c>
      <c r="M15" s="2"/>
    </row>
    <row r="16">
      <c r="A16" s="2">
        <f>IFERROR(__xludf.DUMMYFUNCTION("""COMPUTED_VALUE"""),15.0)</f>
        <v>15</v>
      </c>
      <c r="B16" s="2" t="str">
        <f>IFERROR(__xludf.DUMMYFUNCTION("""COMPUTED_VALUE"""),"Tila Mini HEP")</f>
        <v>Tila Mini HEP</v>
      </c>
      <c r="C16" s="2">
        <f>IFERROR(__xludf.DUMMYFUNCTION("""COMPUTED_VALUE"""),0.951)</f>
        <v>0.951</v>
      </c>
      <c r="D16" s="2" t="str">
        <f>IFERROR(__xludf.DUMMYFUNCTION("""COMPUTED_VALUE"""),"Tila")</f>
        <v>Tila</v>
      </c>
      <c r="E16" s="2">
        <f>IFERROR(__xludf.DUMMYFUNCTION("""COMPUTED_VALUE"""),5000.0)</f>
        <v>5000</v>
      </c>
      <c r="F16" s="3">
        <f>IFERROR(__xludf.DUMMYFUNCTION("""COMPUTED_VALUE"""),64935.0)</f>
        <v>64935</v>
      </c>
      <c r="G16" s="2" t="str">
        <f>IFERROR(__xludf.DUMMYFUNCTION("""COMPUTED_VALUE"""),"Tila Rural Municipality")</f>
        <v>Tila Rural Municipality</v>
      </c>
      <c r="H16" s="2" t="str">
        <f>IFERROR(__xludf.DUMMYFUNCTION("""COMPUTED_VALUE"""),"Karnali Province, Jumla")</f>
        <v>Karnali Province, Jumla</v>
      </c>
      <c r="I16" s="2" t="str">
        <f>IFERROR(__xludf.DUMMYFUNCTION("""COMPUTED_VALUE"""),"29o 12' 27""")</f>
        <v>29o 12' 27"</v>
      </c>
      <c r="J16" s="2" t="str">
        <f>IFERROR(__xludf.DUMMYFUNCTION("""COMPUTED_VALUE"""),"29o 12' 57""")</f>
        <v>29o 12' 57"</v>
      </c>
      <c r="K16" s="2" t="str">
        <f>IFERROR(__xludf.DUMMYFUNCTION("""COMPUTED_VALUE"""),"81o 55' 44""")</f>
        <v>81o 55' 44"</v>
      </c>
      <c r="L16" s="2" t="str">
        <f>IFERROR(__xludf.DUMMYFUNCTION("""COMPUTED_VALUE"""),"81o 56' 13""")</f>
        <v>81o 56' 13"</v>
      </c>
      <c r="M16" s="2"/>
    </row>
    <row r="17">
      <c r="A17" s="2">
        <f>IFERROR(__xludf.DUMMYFUNCTION("""COMPUTED_VALUE"""),16.0)</f>
        <v>16</v>
      </c>
      <c r="B17" s="2" t="str">
        <f>IFERROR(__xludf.DUMMYFUNCTION("""COMPUTED_VALUE"""),"Darim Gad HEP")</f>
        <v>Darim Gad HEP</v>
      </c>
      <c r="C17" s="2">
        <f>IFERROR(__xludf.DUMMYFUNCTION("""COMPUTED_VALUE"""),0.4)</f>
        <v>0.4</v>
      </c>
      <c r="D17" s="2" t="str">
        <f>IFERROR(__xludf.DUMMYFUNCTION("""COMPUTED_VALUE"""),"Darim Gad")</f>
        <v>Darim Gad</v>
      </c>
      <c r="E17" s="2">
        <f>IFERROR(__xludf.DUMMYFUNCTION("""COMPUTED_VALUE"""),2102.0)</f>
        <v>2102</v>
      </c>
      <c r="F17" s="3">
        <f>IFERROR(__xludf.DUMMYFUNCTION("""COMPUTED_VALUE"""),65186.0)</f>
        <v>65186</v>
      </c>
      <c r="G17" s="2" t="str">
        <f>IFERROR(__xludf.DUMMYFUNCTION("""COMPUTED_VALUE"""),"Sanigad Hydro Pvt. Ltd. Via Bungal Municipality Bajhang")</f>
        <v>Sanigad Hydro Pvt. Ltd. Via Bungal Municipality Bajhang</v>
      </c>
      <c r="H17" s="2" t="str">
        <f>IFERROR(__xludf.DUMMYFUNCTION("""COMPUTED_VALUE"""),"Kalanga Complex, Dhobighat, Lalitpur")</f>
        <v>Kalanga Complex, Dhobighat, Lalitpur</v>
      </c>
      <c r="I17" s="2" t="str">
        <f>IFERROR(__xludf.DUMMYFUNCTION("""COMPUTED_VALUE"""),"29o 37' 57""")</f>
        <v>29o 37' 57"</v>
      </c>
      <c r="J17" s="2" t="str">
        <f>IFERROR(__xludf.DUMMYFUNCTION("""COMPUTED_VALUE"""),"29o 38' 20""")</f>
        <v>29o 38' 20"</v>
      </c>
      <c r="K17" s="2" t="str">
        <f>IFERROR(__xludf.DUMMYFUNCTION("""COMPUTED_VALUE"""),"80o 54' 33""")</f>
        <v>80o 54' 33"</v>
      </c>
      <c r="L17" s="2" t="str">
        <f>IFERROR(__xludf.DUMMYFUNCTION("""COMPUTED_VALUE"""),"80o 54' 44""")</f>
        <v>80o 54' 44"</v>
      </c>
      <c r="M17" s="2" t="str">
        <f>IFERROR(__xludf.DUMMYFUNCTION("""COMPUTED_VALUE"""),"Dahabagar (Bajhang)")</f>
        <v>Dahabagar (Bajhang)</v>
      </c>
    </row>
    <row r="18">
      <c r="A18" s="2">
        <f>IFERROR(__xludf.DUMMYFUNCTION("""COMPUTED_VALUE"""),17.0)</f>
        <v>17</v>
      </c>
      <c r="B18" s="2" t="str">
        <f>IFERROR(__xludf.DUMMYFUNCTION("""COMPUTED_VALUE"""),"Ghatte Khola Hydroelectric Project")</f>
        <v>Ghatte Khola Hydroelectric Project</v>
      </c>
      <c r="C18" s="2">
        <f>IFERROR(__xludf.DUMMYFUNCTION("""COMPUTED_VALUE"""),0.905)</f>
        <v>0.905</v>
      </c>
      <c r="D18" s="2" t="str">
        <f>IFERROR(__xludf.DUMMYFUNCTION("""COMPUTED_VALUE"""),"Ghatte Khola (Daraudi)")</f>
        <v>Ghatte Khola (Daraudi)</v>
      </c>
      <c r="E18" s="2">
        <f>IFERROR(__xludf.DUMMYFUNCTION("""COMPUTED_VALUE"""),8774.0)</f>
        <v>8774</v>
      </c>
      <c r="F18" s="3">
        <f>IFERROR(__xludf.DUMMYFUNCTION("""COMPUTED_VALUE"""),65447.0)</f>
        <v>65447</v>
      </c>
      <c r="G18" s="2" t="str">
        <f>IFERROR(__xludf.DUMMYFUNCTION("""COMPUTED_VALUE"""),"Barpak Mini Hydropower Pvt. Ltd.")</f>
        <v>Barpak Mini Hydropower Pvt. Ltd.</v>
      </c>
      <c r="H18" s="2" t="str">
        <f>IFERROR(__xludf.DUMMYFUNCTION("""COMPUTED_VALUE"""),"Chandole - 4, Kathmandu, Nepal")</f>
        <v>Chandole - 4, Kathmandu, Nepal</v>
      </c>
      <c r="I18" s="2" t="str">
        <f>IFERROR(__xludf.DUMMYFUNCTION("""COMPUTED_VALUE"""),"28o 11' 20""")</f>
        <v>28o 11' 20"</v>
      </c>
      <c r="J18" s="2" t="str">
        <f>IFERROR(__xludf.DUMMYFUNCTION("""COMPUTED_VALUE"""),"28o 11' 45""")</f>
        <v>28o 11' 45"</v>
      </c>
      <c r="K18" s="2" t="str">
        <f>IFERROR(__xludf.DUMMYFUNCTION("""COMPUTED_VALUE"""),"84o 44' 20""")</f>
        <v>84o 44' 20"</v>
      </c>
      <c r="L18" s="2" t="str">
        <f>IFERROR(__xludf.DUMMYFUNCTION("""COMPUTED_VALUE"""),"84o 44' 51""")</f>
        <v>84o 44' 51"</v>
      </c>
      <c r="M18" s="2"/>
    </row>
    <row r="19">
      <c r="A19" s="2">
        <f>IFERROR(__xludf.DUMMYFUNCTION("""COMPUTED_VALUE"""),18.0)</f>
        <v>18</v>
      </c>
      <c r="B19" s="2" t="str">
        <f>IFERROR(__xludf.DUMMYFUNCTION("""COMPUTED_VALUE"""),"Lower Gamgad Mini Hydropower Project")</f>
        <v>Lower Gamgad Mini Hydropower Project</v>
      </c>
      <c r="C19" s="2">
        <f>IFERROR(__xludf.DUMMYFUNCTION("""COMPUTED_VALUE"""),0.941)</f>
        <v>0.941</v>
      </c>
      <c r="D19" s="2" t="str">
        <f>IFERROR(__xludf.DUMMYFUNCTION("""COMPUTED_VALUE"""),"Gamgad")</f>
        <v>Gamgad</v>
      </c>
      <c r="E19" s="2">
        <f>IFERROR(__xludf.DUMMYFUNCTION("""COMPUTED_VALUE"""),9188.0)</f>
        <v>9188</v>
      </c>
      <c r="F19" s="3">
        <f>IFERROR(__xludf.DUMMYFUNCTION("""COMPUTED_VALUE"""),65460.0)</f>
        <v>65460</v>
      </c>
      <c r="G19" s="2" t="str">
        <f>IFERROR(__xludf.DUMMYFUNCTION("""COMPUTED_VALUE"""),"Gaheldev Bidhyut Sakari Sanstha Limited")</f>
        <v>Gaheldev Bidhyut Sakari Sanstha Limited</v>
      </c>
      <c r="H19" s="2" t="str">
        <f>IFERROR(__xludf.DUMMYFUNCTION("""COMPUTED_VALUE"""),"Chhayanath Rara Municipality - 1 , Mugu")</f>
        <v>Chhayanath Rara Municipality - 1 , Mugu</v>
      </c>
      <c r="I19" s="2" t="str">
        <f>IFERROR(__xludf.DUMMYFUNCTION("""COMPUTED_VALUE"""),"29o 31' 38""")</f>
        <v>29o 31' 38"</v>
      </c>
      <c r="J19" s="2" t="str">
        <f>IFERROR(__xludf.DUMMYFUNCTION("""COMPUTED_VALUE"""),"29o 33' 00""")</f>
        <v>29o 33' 00"</v>
      </c>
      <c r="K19" s="2" t="str">
        <f>IFERROR(__xludf.DUMMYFUNCTION("""COMPUTED_VALUE"""),"82o 09' 34""")</f>
        <v>82o 09' 34"</v>
      </c>
      <c r="L19" s="2" t="str">
        <f>IFERROR(__xludf.DUMMYFUNCTION("""COMPUTED_VALUE"""),"82o 10' 14""")</f>
        <v>82o 10' 14"</v>
      </c>
      <c r="M19" s="2"/>
    </row>
    <row r="20">
      <c r="A20" s="2">
        <f>IFERROR(__xludf.DUMMYFUNCTION("""COMPUTED_VALUE"""),19.0)</f>
        <v>19</v>
      </c>
      <c r="B20" s="2" t="str">
        <f>IFERROR(__xludf.DUMMYFUNCTION("""COMPUTED_VALUE"""),"Nwagad Small Hydropower Project")</f>
        <v>Nwagad Small Hydropower Project</v>
      </c>
      <c r="C20" s="2">
        <f>IFERROR(__xludf.DUMMYFUNCTION("""COMPUTED_VALUE"""),0.999)</f>
        <v>0.999</v>
      </c>
      <c r="D20" s="2" t="str">
        <f>IFERROR(__xludf.DUMMYFUNCTION("""COMPUTED_VALUE"""),"Nwa Gad")</f>
        <v>Nwa Gad</v>
      </c>
      <c r="E20" s="2">
        <f>IFERROR(__xludf.DUMMYFUNCTION("""COMPUTED_VALUE"""),4573.0)</f>
        <v>4573</v>
      </c>
      <c r="F20" s="3">
        <f>IFERROR(__xludf.DUMMYFUNCTION("""COMPUTED_VALUE"""),65671.0)</f>
        <v>65671</v>
      </c>
      <c r="G20" s="2" t="str">
        <f>IFERROR(__xludf.DUMMYFUNCTION("""COMPUTED_VALUE"""),"Marma Power Company Pvt. Ltd.")</f>
        <v>Marma Power Company Pvt. Ltd.</v>
      </c>
      <c r="H20" s="2" t="str">
        <f>IFERROR(__xludf.DUMMYFUNCTION("""COMPUTED_VALUE"""),"Kathmandu Metropolitan City - 10, Kathmandu")</f>
        <v>Kathmandu Metropolitan City - 10, Kathmandu</v>
      </c>
      <c r="I20" s="2" t="str">
        <f>IFERROR(__xludf.DUMMYFUNCTION("""COMPUTED_VALUE"""),"29o 44' 00""")</f>
        <v>29o 44' 00"</v>
      </c>
      <c r="J20" s="2" t="str">
        <f>IFERROR(__xludf.DUMMYFUNCTION("""COMPUTED_VALUE"""),"29o 44' 42""")</f>
        <v>29o 44' 42"</v>
      </c>
      <c r="K20" s="2" t="str">
        <f>IFERROR(__xludf.DUMMYFUNCTION("""COMPUTED_VALUE"""),"80o 48' 15""")</f>
        <v>80o 48' 15"</v>
      </c>
      <c r="L20" s="2" t="str">
        <f>IFERROR(__xludf.DUMMYFUNCTION("""COMPUTED_VALUE"""),"80o 49' 00""")</f>
        <v>80o 49' 00"</v>
      </c>
      <c r="M20" s="2" t="str">
        <f>IFERROR(__xludf.DUMMYFUNCTION("""COMPUTED_VALUE"""),"Latinath (Darchula)")</f>
        <v>Latinath (Darchula)</v>
      </c>
    </row>
    <row r="21">
      <c r="A21" s="2">
        <f>IFERROR(__xludf.DUMMYFUNCTION("""COMPUTED_VALUE"""),20.0)</f>
        <v>20</v>
      </c>
      <c r="B21" s="2" t="str">
        <f>IFERROR(__xludf.DUMMYFUNCTION("""COMPUTED_VALUE"""),"Jhakre Khola - 2 Hydropower Project")</f>
        <v>Jhakre Khola - 2 Hydropower Project</v>
      </c>
      <c r="C21" s="2">
        <f>IFERROR(__xludf.DUMMYFUNCTION("""COMPUTED_VALUE"""),0.995)</f>
        <v>0.995</v>
      </c>
      <c r="D21" s="2" t="str">
        <f>IFERROR(__xludf.DUMMYFUNCTION("""COMPUTED_VALUE"""),"Jhakre Khola")</f>
        <v>Jhakre Khola</v>
      </c>
      <c r="E21" s="2">
        <f>IFERROR(__xludf.DUMMYFUNCTION("""COMPUTED_VALUE"""),3400.0)</f>
        <v>3400</v>
      </c>
      <c r="F21" s="3">
        <f>IFERROR(__xludf.DUMMYFUNCTION("""COMPUTED_VALUE"""),66006.0)</f>
        <v>66006</v>
      </c>
      <c r="G21" s="2" t="str">
        <f>IFERROR(__xludf.DUMMYFUNCTION("""COMPUTED_VALUE"""),"Tamakoshi RM (Khimti Rural Electric Co-Operative Limited)")</f>
        <v>Tamakoshi RM (Khimti Rural Electric Co-Operative Limited)</v>
      </c>
      <c r="H21" s="2" t="str">
        <f>IFERROR(__xludf.DUMMYFUNCTION("""COMPUTED_VALUE"""),"Tamakoshi - 5, Kirnetar, Dolakha")</f>
        <v>Tamakoshi - 5, Kirnetar, Dolakha</v>
      </c>
      <c r="I21" s="2" t="str">
        <f>IFERROR(__xludf.DUMMYFUNCTION("""COMPUTED_VALUE"""),"27o 33' 57""")</f>
        <v>27o 33' 57"</v>
      </c>
      <c r="J21" s="2" t="str">
        <f>IFERROR(__xludf.DUMMYFUNCTION("""COMPUTED_VALUE"""),"27o 34' 34""")</f>
        <v>27o 34' 34"</v>
      </c>
      <c r="K21" s="2" t="str">
        <f>IFERROR(__xludf.DUMMYFUNCTION("""COMPUTED_VALUE"""),"86o 09' 47""")</f>
        <v>86o 09' 47"</v>
      </c>
      <c r="L21" s="2" t="str">
        <f>IFERROR(__xludf.DUMMYFUNCTION("""COMPUTED_VALUE"""),"86o 10' 57""")</f>
        <v>86o 10' 57"</v>
      </c>
      <c r="M21" s="2" t="str">
        <f>IFERROR(__xludf.DUMMYFUNCTION("""COMPUTED_VALUE"""),"Thulopatal,Hawa (Dolakha)")</f>
        <v>Thulopatal,Hawa (Dolakha)</v>
      </c>
    </row>
    <row r="22">
      <c r="A22" s="2">
        <f>IFERROR(__xludf.DUMMYFUNCTION("""COMPUTED_VALUE"""),21.0)</f>
        <v>21</v>
      </c>
      <c r="B22" s="2" t="str">
        <f>IFERROR(__xludf.DUMMYFUNCTION("""COMPUTED_VALUE"""),"Gyagru Khola Mini Hydropower Project")</f>
        <v>Gyagru Khola Mini Hydropower Project</v>
      </c>
      <c r="C22" s="2">
        <f>IFERROR(__xludf.DUMMYFUNCTION("""COMPUTED_VALUE"""),0.283)</f>
        <v>0.283</v>
      </c>
      <c r="D22" s="2" t="str">
        <f>IFERROR(__xludf.DUMMYFUNCTION("""COMPUTED_VALUE"""),"Gyagru Khola")</f>
        <v>Gyagru Khola</v>
      </c>
      <c r="E22" s="2">
        <f>IFERROR(__xludf.DUMMYFUNCTION("""COMPUTED_VALUE"""),4963.0)</f>
        <v>4963</v>
      </c>
      <c r="F22" s="3">
        <f>IFERROR(__xludf.DUMMYFUNCTION("""COMPUTED_VALUE"""),66074.0)</f>
        <v>66074</v>
      </c>
      <c r="G22" s="2" t="str">
        <f>IFERROR(__xludf.DUMMYFUNCTION("""COMPUTED_VALUE"""),"Simkot RM (Applicant: Bizbell Renewables Private Limited)")</f>
        <v>Simkot RM (Applicant: Bizbell Renewables Private Limited)</v>
      </c>
      <c r="H22" s="2" t="str">
        <f>IFERROR(__xludf.DUMMYFUNCTION("""COMPUTED_VALUE"""),"Simkot, Humla (Subidhanagar - 32, Kathmandu)")</f>
        <v>Simkot, Humla (Subidhanagar - 32, Kathmandu)</v>
      </c>
      <c r="I22" s="2" t="str">
        <f>IFERROR(__xludf.DUMMYFUNCTION("""COMPUTED_VALUE"""),"29o 57' 25""")</f>
        <v>29o 57' 25"</v>
      </c>
      <c r="J22" s="2" t="str">
        <f>IFERROR(__xludf.DUMMYFUNCTION("""COMPUTED_VALUE"""),"29o 58' 00""")</f>
        <v>29o 58' 00"</v>
      </c>
      <c r="K22" s="2" t="str">
        <f>IFERROR(__xludf.DUMMYFUNCTION("""COMPUTED_VALUE"""),"81o 53' 20""")</f>
        <v>81o 53' 20"</v>
      </c>
      <c r="L22" s="2" t="str">
        <f>IFERROR(__xludf.DUMMYFUNCTION("""COMPUTED_VALUE"""),"81o 53' 50""")</f>
        <v>81o 53' 50"</v>
      </c>
      <c r="M22" s="2" t="str">
        <f>IFERROR(__xludf.DUMMYFUNCTION("""COMPUTED_VALUE"""),"Kharpunath,Thechaya (Humla)")</f>
        <v>Kharpunath,Thechaya (Humla)</v>
      </c>
    </row>
    <row r="23">
      <c r="A23" s="2">
        <f>IFERROR(__xludf.DUMMYFUNCTION("""COMPUTED_VALUE"""),22.0)</f>
        <v>22</v>
      </c>
      <c r="B23" s="2" t="str">
        <f>IFERROR(__xludf.DUMMYFUNCTION("""COMPUTED_VALUE"""),"Super Sardi Khola Hydropower Project")</f>
        <v>Super Sardi Khola Hydropower Project</v>
      </c>
      <c r="C23" s="2">
        <f>IFERROR(__xludf.DUMMYFUNCTION("""COMPUTED_VALUE"""),0.856)</f>
        <v>0.856</v>
      </c>
      <c r="D23" s="2" t="str">
        <f>IFERROR(__xludf.DUMMYFUNCTION("""COMPUTED_VALUE"""),"Sardi Khola")</f>
        <v>Sardi Khola</v>
      </c>
      <c r="E23" s="2">
        <f>IFERROR(__xludf.DUMMYFUNCTION("""COMPUTED_VALUE"""),5340.0)</f>
        <v>5340</v>
      </c>
      <c r="F23" s="3">
        <f>IFERROR(__xludf.DUMMYFUNCTION("""COMPUTED_VALUE"""),66092.0)</f>
        <v>66092</v>
      </c>
      <c r="G23" s="2" t="str">
        <f>IFERROR(__xludf.DUMMYFUNCTION("""COMPUTED_VALUE"""),"Machhapuchchhre Rural Municipality (Promoter: Tara Energy and Water 
Resources Company Private Limited)")</f>
        <v>Machhapuchchhre Rural Municipality (Promoter: Tara Energy and Water 
Resources Company Private Limited)</v>
      </c>
      <c r="H23" s="2" t="str">
        <f>IFERROR(__xludf.DUMMYFUNCTION("""COMPUTED_VALUE"""),"Lahachowk, Kaski (KMC-29, Kathamandu)")</f>
        <v>Lahachowk, Kaski (KMC-29, Kathamandu)</v>
      </c>
      <c r="I23" s="2" t="str">
        <f>IFERROR(__xludf.DUMMYFUNCTION("""COMPUTED_VALUE"""),"28o 22' 09""")</f>
        <v>28o 22' 09"</v>
      </c>
      <c r="J23" s="2" t="str">
        <f>IFERROR(__xludf.DUMMYFUNCTION("""COMPUTED_VALUE"""),"28o 22' 30""")</f>
        <v>28o 22' 30"</v>
      </c>
      <c r="K23" s="2" t="str">
        <f>IFERROR(__xludf.DUMMYFUNCTION("""COMPUTED_VALUE"""),"84o 02' 14""")</f>
        <v>84o 02' 14"</v>
      </c>
      <c r="L23" s="2" t="str">
        <f>IFERROR(__xludf.DUMMYFUNCTION("""COMPUTED_VALUE"""),"84o 02' 44""")</f>
        <v>84o 02' 44"</v>
      </c>
      <c r="M23" s="2" t="str">
        <f>IFERROR(__xludf.DUMMYFUNCTION("""COMPUTED_VALUE"""),"Sardikhola (Kaski)")</f>
        <v>Sardikhola (Kaski)</v>
      </c>
    </row>
    <row r="24">
      <c r="A24" s="2">
        <f>IFERROR(__xludf.DUMMYFUNCTION("""COMPUTED_VALUE"""),23.0)</f>
        <v>23</v>
      </c>
      <c r="B24" s="2" t="str">
        <f>IFERROR(__xludf.DUMMYFUNCTION("""COMPUTED_VALUE"""),"Super Khadam Khola Small Hydropower Project")</f>
        <v>Super Khadam Khola Small Hydropower Project</v>
      </c>
      <c r="C24" s="2">
        <f>IFERROR(__xludf.DUMMYFUNCTION("""COMPUTED_VALUE"""),0.95)</f>
        <v>0.95</v>
      </c>
      <c r="D24" s="2" t="str">
        <f>IFERROR(__xludf.DUMMYFUNCTION("""COMPUTED_VALUE"""),"Khadam")</f>
        <v>Khadam</v>
      </c>
      <c r="E24" s="2">
        <f>IFERROR(__xludf.DUMMYFUNCTION("""COMPUTED_VALUE"""),5482.0)</f>
        <v>5482</v>
      </c>
      <c r="F24" s="3">
        <f>IFERROR(__xludf.DUMMYFUNCTION("""COMPUTED_VALUE"""),66099.0)</f>
        <v>66099</v>
      </c>
      <c r="G24" s="2" t="str">
        <f>IFERROR(__xludf.DUMMYFUNCTION("""COMPUTED_VALUE"""),"Kerabari Gaunpalika, Gaunpalikako Karyalaya (Applicant: Abiral Hydropower 
Company Private Limited)")</f>
        <v>Kerabari Gaunpalika, Gaunpalikako Karyalaya (Applicant: Abiral Hydropower 
Company Private Limited)</v>
      </c>
      <c r="H24" s="2" t="str">
        <f>IFERROR(__xludf.DUMMYFUNCTION("""COMPUTED_VALUE"""),"Kerabari, Morang")</f>
        <v>Kerabari, Morang</v>
      </c>
      <c r="I24" s="2" t="str">
        <f>IFERROR(__xludf.DUMMYFUNCTION("""COMPUTED_VALUE"""),"26o 50' 21""")</f>
        <v>26o 50' 21"</v>
      </c>
      <c r="J24" s="2" t="str">
        <f>IFERROR(__xludf.DUMMYFUNCTION("""COMPUTED_VALUE"""),"26o 51' 32""")</f>
        <v>26o 51' 32"</v>
      </c>
      <c r="K24" s="2" t="str">
        <f>IFERROR(__xludf.DUMMYFUNCTION("""COMPUTED_VALUE"""),"87o 25' 46""")</f>
        <v>87o 25' 46"</v>
      </c>
      <c r="L24" s="2" t="str">
        <f>IFERROR(__xludf.DUMMYFUNCTION("""COMPUTED_VALUE"""),"87o 27' 00""")</f>
        <v>87o 27' 00"</v>
      </c>
      <c r="M24" s="2" t="str">
        <f>IFERROR(__xludf.DUMMYFUNCTION("""COMPUTED_VALUE"""),"Patigaun,Sinhadevi (Morang)")</f>
        <v>Patigaun,Sinhadevi (Morang)</v>
      </c>
    </row>
    <row r="25">
      <c r="A25" s="2">
        <f>IFERROR(__xludf.DUMMYFUNCTION("""COMPUTED_VALUE"""),24.0)</f>
        <v>24</v>
      </c>
      <c r="B25" s="2" t="str">
        <f>IFERROR(__xludf.DUMMYFUNCTION("""COMPUTED_VALUE"""),"Hepka Khola Mini Hydropower Project")</f>
        <v>Hepka Khola Mini Hydropower Project</v>
      </c>
      <c r="C25" s="2">
        <f>IFERROR(__xludf.DUMMYFUNCTION("""COMPUTED_VALUE"""),0.909)</f>
        <v>0.909</v>
      </c>
      <c r="D25" s="2" t="str">
        <f>IFERROR(__xludf.DUMMYFUNCTION("""COMPUTED_VALUE"""),"Hepka khola")</f>
        <v>Hepka khola</v>
      </c>
      <c r="E25" s="2">
        <f>IFERROR(__xludf.DUMMYFUNCTION("""COMPUTED_VALUE"""),6996.0)</f>
        <v>6996</v>
      </c>
      <c r="F25" s="3">
        <f>IFERROR(__xludf.DUMMYFUNCTION("""COMPUTED_VALUE"""),66169.0)</f>
        <v>66169</v>
      </c>
      <c r="G25" s="2" t="str">
        <f>IFERROR(__xludf.DUMMYFUNCTION("""COMPUTED_VALUE"""),"Simkot RM (Applicant: Bizbell Renewables Private Limited)")</f>
        <v>Simkot RM (Applicant: Bizbell Renewables Private Limited)</v>
      </c>
      <c r="H25" s="2" t="str">
        <f>IFERROR(__xludf.DUMMYFUNCTION("""COMPUTED_VALUE"""),"Simkot, Humla (Subidhanagar - 32, Kathmandu)")</f>
        <v>Simkot, Humla (Subidhanagar - 32, Kathmandu)</v>
      </c>
      <c r="I25" s="2" t="str">
        <f>IFERROR(__xludf.DUMMYFUNCTION("""COMPUTED_VALUE"""),"30o 00' 58""")</f>
        <v>30o 00' 58"</v>
      </c>
      <c r="J25" s="2" t="str">
        <f>IFERROR(__xludf.DUMMYFUNCTION("""COMPUTED_VALUE"""),"30o 01' 29""")</f>
        <v>30o 01' 29"</v>
      </c>
      <c r="K25" s="2" t="str">
        <f>IFERROR(__xludf.DUMMYFUNCTION("""COMPUTED_VALUE"""),"81o 46' 44""")</f>
        <v>81o 46' 44"</v>
      </c>
      <c r="L25" s="2" t="str">
        <f>IFERROR(__xludf.DUMMYFUNCTION("""COMPUTED_VALUE"""),"81o 47' 28""")</f>
        <v>81o 47' 28"</v>
      </c>
      <c r="M25" s="2" t="str">
        <f>IFERROR(__xludf.DUMMYFUNCTION("""COMPUTED_VALUE"""),"Dandafaya,Hepka (Humla)")</f>
        <v>Dandafaya,Hepka (Humla)</v>
      </c>
    </row>
    <row r="26">
      <c r="A26" s="2">
        <f>IFERROR(__xludf.DUMMYFUNCTION("""COMPUTED_VALUE"""),25.0)</f>
        <v>25</v>
      </c>
      <c r="B26" s="2" t="str">
        <f>IFERROR(__xludf.DUMMYFUNCTION("""COMPUTED_VALUE"""),"Thado Khola Sana Jalavidyut Aayojana")</f>
        <v>Thado Khola Sana Jalavidyut Aayojana</v>
      </c>
      <c r="C26" s="2">
        <f>IFERROR(__xludf.DUMMYFUNCTION("""COMPUTED_VALUE"""),0.86)</f>
        <v>0.86</v>
      </c>
      <c r="D26" s="2" t="str">
        <f>IFERROR(__xludf.DUMMYFUNCTION("""COMPUTED_VALUE"""),"Thado Khola")</f>
        <v>Thado Khola</v>
      </c>
      <c r="E26" s="2">
        <f>IFERROR(__xludf.DUMMYFUNCTION("""COMPUTED_VALUE"""),1431.0)</f>
        <v>1431</v>
      </c>
      <c r="F26" s="3">
        <f>IFERROR(__xludf.DUMMYFUNCTION("""COMPUTED_VALUE"""),66255.0)</f>
        <v>66255</v>
      </c>
      <c r="G26" s="2" t="str">
        <f>IFERROR(__xludf.DUMMYFUNCTION("""COMPUTED_VALUE"""),"Chame Rural Municipality, Gaun Karyapalikako Karyala")</f>
        <v>Chame Rural Municipality, Gaun Karyapalikako Karyala</v>
      </c>
      <c r="H26" s="2" t="str">
        <f>IFERROR(__xludf.DUMMYFUNCTION("""COMPUTED_VALUE"""),"Chame, Manang")</f>
        <v>Chame, Manang</v>
      </c>
      <c r="I26" s="2" t="str">
        <f>IFERROR(__xludf.DUMMYFUNCTION("""COMPUTED_VALUE"""),"28o 32' 26""")</f>
        <v>28o 32' 26"</v>
      </c>
      <c r="J26" s="2" t="str">
        <f>IFERROR(__xludf.DUMMYFUNCTION("""COMPUTED_VALUE"""),"28o 32' 54""")</f>
        <v>28o 32' 54"</v>
      </c>
      <c r="K26" s="2" t="str">
        <f>IFERROR(__xludf.DUMMYFUNCTION("""COMPUTED_VALUE"""),"84o 13' 10""")</f>
        <v>84o 13' 10"</v>
      </c>
      <c r="L26" s="2" t="str">
        <f>IFERROR(__xludf.DUMMYFUNCTION("""COMPUTED_VALUE"""),"84o 13' 54""")</f>
        <v>84o 13' 54"</v>
      </c>
      <c r="M26" s="2" t="str">
        <f>IFERROR(__xludf.DUMMYFUNCTION("""COMPUTED_VALUE"""),"Chame (Manang)")</f>
        <v>Chame (Manang)</v>
      </c>
    </row>
    <row r="27">
      <c r="A27" s="2">
        <f>IFERROR(__xludf.DUMMYFUNCTION("""COMPUTED_VALUE"""),26.0)</f>
        <v>26</v>
      </c>
      <c r="B27" s="2" t="str">
        <f>IFERROR(__xludf.DUMMYFUNCTION("""COMPUTED_VALUE"""),"Dhuskot Khola Hydropower Project")</f>
        <v>Dhuskot Khola Hydropower Project</v>
      </c>
      <c r="C27" s="2">
        <f>IFERROR(__xludf.DUMMYFUNCTION("""COMPUTED_VALUE"""),0.98)</f>
        <v>0.98</v>
      </c>
      <c r="D27" s="2" t="str">
        <f>IFERROR(__xludf.DUMMYFUNCTION("""COMPUTED_VALUE"""),"Dhuskot Khola")</f>
        <v>Dhuskot Khola</v>
      </c>
      <c r="E27" s="2">
        <f>IFERROR(__xludf.DUMMYFUNCTION("""COMPUTED_VALUE"""),2445.0)</f>
        <v>2445</v>
      </c>
      <c r="F27" s="3">
        <f>IFERROR(__xludf.DUMMYFUNCTION("""COMPUTED_VALUE"""),66296.0)</f>
        <v>66296</v>
      </c>
      <c r="G27" s="2" t="str">
        <f>IFERROR(__xludf.DUMMYFUNCTION("""COMPUTED_VALUE"""),"Jugal Rural Municipality (Promoter: Sindhu Jugal Energy Private Limited)")</f>
        <v>Jugal Rural Municipality (Promoter: Sindhu Jugal Energy Private Limited)</v>
      </c>
      <c r="H27" s="2" t="str">
        <f>IFERROR(__xludf.DUMMYFUNCTION("""COMPUTED_VALUE"""),"Baramchi, Sindhupalchowk (Gokarneshower - 8 , Kathmandu)")</f>
        <v>Baramchi, Sindhupalchowk (Gokarneshower - 8 , Kathmandu)</v>
      </c>
      <c r="I27" s="2" t="str">
        <f>IFERROR(__xludf.DUMMYFUNCTION("""COMPUTED_VALUE"""),"27o 59' 09""")</f>
        <v>27o 59' 09"</v>
      </c>
      <c r="J27" s="2" t="str">
        <f>IFERROR(__xludf.DUMMYFUNCTION("""COMPUTED_VALUE"""),"27o 59' 31""")</f>
        <v>27o 59' 31"</v>
      </c>
      <c r="K27" s="2" t="str">
        <f>IFERROR(__xludf.DUMMYFUNCTION("""COMPUTED_VALUE"""),"85o 47' 02""")</f>
        <v>85o 47' 02"</v>
      </c>
      <c r="L27" s="2" t="str">
        <f>IFERROR(__xludf.DUMMYFUNCTION("""COMPUTED_VALUE"""),"85o 47' 40""")</f>
        <v>85o 47' 40"</v>
      </c>
      <c r="M27" s="2" t="str">
        <f>IFERROR(__xludf.DUMMYFUNCTION("""COMPUTED_VALUE"""),"Golche (Sindhupalchok)")</f>
        <v>Golche (Sindhupalchok)</v>
      </c>
    </row>
    <row r="28">
      <c r="A28" s="2">
        <f>IFERROR(__xludf.DUMMYFUNCTION("""COMPUTED_VALUE"""),27.0)</f>
        <v>27</v>
      </c>
      <c r="B28" s="2" t="str">
        <f>IFERROR(__xludf.DUMMYFUNCTION("""COMPUTED_VALUE"""),"Kusuwa Khola Small Hydropower Project")</f>
        <v>Kusuwa Khola Small Hydropower Project</v>
      </c>
      <c r="C28" s="2">
        <f>IFERROR(__xludf.DUMMYFUNCTION("""COMPUTED_VALUE"""),0.941)</f>
        <v>0.941</v>
      </c>
      <c r="D28" s="2" t="str">
        <f>IFERROR(__xludf.DUMMYFUNCTION("""COMPUTED_VALUE"""),"Kusuwa Khola")</f>
        <v>Kusuwa Khola</v>
      </c>
      <c r="E28" s="2">
        <f>IFERROR(__xludf.DUMMYFUNCTION("""COMPUTED_VALUE"""),8671.0)</f>
        <v>8671</v>
      </c>
      <c r="F28" s="3">
        <f>IFERROR(__xludf.DUMMYFUNCTION("""COMPUTED_VALUE"""),66515.0)</f>
        <v>66515</v>
      </c>
      <c r="G28" s="2" t="str">
        <f>IFERROR(__xludf.DUMMYFUNCTION("""COMPUTED_VALUE"""),"Panchkhapan Municipality (Promoter:Nageshwor Small Hydropower Private 
Limited)")</f>
        <v>Panchkhapan Municipality (Promoter:Nageshwor Small Hydropower Private 
Limited)</v>
      </c>
      <c r="H28" s="2" t="str">
        <f>IFERROR(__xludf.DUMMYFUNCTION("""COMPUTED_VALUE"""),"Wana, Sankhuwasabha, Koshi Province(Address of Applicant: KMC-4, 
Bhatbhateni Chowk)")</f>
        <v>Wana, Sankhuwasabha, Koshi Province(Address of Applicant: KMC-4, 
Bhatbhateni Chowk)</v>
      </c>
      <c r="I28" s="2" t="str">
        <f>IFERROR(__xludf.DUMMYFUNCTION("""COMPUTED_VALUE"""),"27o 22' 30""")</f>
        <v>27o 22' 30"</v>
      </c>
      <c r="J28" s="2" t="str">
        <f>IFERROR(__xludf.DUMMYFUNCTION("""COMPUTED_VALUE"""),"27o 23' 16""")</f>
        <v>27o 23' 16"</v>
      </c>
      <c r="K28" s="2" t="str">
        <f>IFERROR(__xludf.DUMMYFUNCTION("""COMPUTED_VALUE"""),"87o 17' 30""")</f>
        <v>87o 17' 30"</v>
      </c>
      <c r="L28" s="2" t="str">
        <f>IFERROR(__xludf.DUMMYFUNCTION("""COMPUTED_VALUE"""),"87o 19' 03""")</f>
        <v>87o 19' 03"</v>
      </c>
      <c r="M28" s="2"/>
    </row>
    <row r="29">
      <c r="A29" s="2">
        <f>IFERROR(__xludf.DUMMYFUNCTION("""COMPUTED_VALUE"""),28.0)</f>
        <v>28</v>
      </c>
      <c r="B29" s="2" t="str">
        <f>IFERROR(__xludf.DUMMYFUNCTION("""COMPUTED_VALUE"""),"Super Langdi A Micro hydropower Project")</f>
        <v>Super Langdi A Micro hydropower Project</v>
      </c>
      <c r="C29" s="2">
        <f>IFERROR(__xludf.DUMMYFUNCTION("""COMPUTED_VALUE"""),0.935)</f>
        <v>0.935</v>
      </c>
      <c r="D29" s="2" t="str">
        <f>IFERROR(__xludf.DUMMYFUNCTION("""COMPUTED_VALUE"""),"Langdi Khola")</f>
        <v>Langdi Khola</v>
      </c>
      <c r="E29" s="2">
        <f>IFERROR(__xludf.DUMMYFUNCTION("""COMPUTED_VALUE"""),9600.0)</f>
        <v>9600</v>
      </c>
      <c r="F29" s="3">
        <f>IFERROR(__xludf.DUMMYFUNCTION("""COMPUTED_VALUE"""),66536.0)</f>
        <v>66536</v>
      </c>
      <c r="G29" s="2" t="str">
        <f>IFERROR(__xludf.DUMMYFUNCTION("""COMPUTED_VALUE"""),"Doodhpokhari Rural Municipality (Promoter: Dudhpokhari Hydropower Private 
Limited)")</f>
        <v>Doodhpokhari Rural Municipality (Promoter: Dudhpokhari Hydropower Private 
Limited)</v>
      </c>
      <c r="H29" s="2" t="str">
        <f>IFERROR(__xludf.DUMMYFUNCTION("""COMPUTED_VALUE"""),"Jorne, Lamjung")</f>
        <v>Jorne, Lamjung</v>
      </c>
      <c r="I29" s="2" t="str">
        <f>IFERROR(__xludf.DUMMYFUNCTION("""COMPUTED_VALUE"""),"28o 12' 24""")</f>
        <v>28o 12' 24"</v>
      </c>
      <c r="J29" s="2" t="str">
        <f>IFERROR(__xludf.DUMMYFUNCTION("""COMPUTED_VALUE"""),"28o 12' 57""")</f>
        <v>28o 12' 57"</v>
      </c>
      <c r="K29" s="2" t="str">
        <f>IFERROR(__xludf.DUMMYFUNCTION("""COMPUTED_VALUE"""),"84o 34' 31""")</f>
        <v>84o 34' 31"</v>
      </c>
      <c r="L29" s="2" t="str">
        <f>IFERROR(__xludf.DUMMYFUNCTION("""COMPUTED_VALUE"""),"84o 35' 03""")</f>
        <v>84o 35' 03"</v>
      </c>
      <c r="M29" s="2" t="str">
        <f>IFERROR(__xludf.DUMMYFUNCTION("""COMPUTED_VALUE"""),"Bichaur,Ilampokhari (Lamjung)")</f>
        <v>Bichaur,Ilampokhari (Lamjung)</v>
      </c>
    </row>
    <row r="30">
      <c r="A30" s="2">
        <f>IFERROR(__xludf.DUMMYFUNCTION("""COMPUTED_VALUE"""),29.0)</f>
        <v>29</v>
      </c>
      <c r="B30" s="2" t="str">
        <f>IFERROR(__xludf.DUMMYFUNCTION("""COMPUTED_VALUE"""),"Ultimate Khadam Khola Small Hydropower Project")</f>
        <v>Ultimate Khadam Khola Small Hydropower Project</v>
      </c>
      <c r="C30" s="2">
        <f>IFERROR(__xludf.DUMMYFUNCTION("""COMPUTED_VALUE"""),0.996)</f>
        <v>0.996</v>
      </c>
      <c r="D30" s="2" t="str">
        <f>IFERROR(__xludf.DUMMYFUNCTION("""COMPUTED_VALUE"""),"Khadam")</f>
        <v>Khadam</v>
      </c>
      <c r="E30" s="2">
        <f>IFERROR(__xludf.DUMMYFUNCTION("""COMPUTED_VALUE"""),9811.0)</f>
        <v>9811</v>
      </c>
      <c r="F30" s="3">
        <f>IFERROR(__xludf.DUMMYFUNCTION("""COMPUTED_VALUE"""),66540.0)</f>
        <v>66540</v>
      </c>
      <c r="G30" s="2" t="str">
        <f>IFERROR(__xludf.DUMMYFUNCTION("""COMPUTED_VALUE"""),"Kerabari Gaunpalika, Gaunpalikako Karyalaya (Applicant: Ultimate Hydropower 
Company Private Limited)")</f>
        <v>Kerabari Gaunpalika, Gaunpalikako Karyalaya (Applicant: Ultimate Hydropower 
Company Private Limited)</v>
      </c>
      <c r="H30" s="2" t="str">
        <f>IFERROR(__xludf.DUMMYFUNCTION("""COMPUTED_VALUE"""),"Kerabari, Morang")</f>
        <v>Kerabari, Morang</v>
      </c>
      <c r="I30" s="2" t="str">
        <f>IFERROR(__xludf.DUMMYFUNCTION("""COMPUTED_VALUE"""),"26o 48' 55""")</f>
        <v>26o 48' 55"</v>
      </c>
      <c r="J30" s="2" t="str">
        <f>IFERROR(__xludf.DUMMYFUNCTION("""COMPUTED_VALUE"""),"26o 49' 26""")</f>
        <v>26o 49' 26"</v>
      </c>
      <c r="K30" s="2" t="str">
        <f>IFERROR(__xludf.DUMMYFUNCTION("""COMPUTED_VALUE"""),"87o 25' 00""")</f>
        <v>87o 25' 00"</v>
      </c>
      <c r="L30" s="2" t="str">
        <f>IFERROR(__xludf.DUMMYFUNCTION("""COMPUTED_VALUE"""),"87o 26' 05""")</f>
        <v>87o 26' 05"</v>
      </c>
      <c r="M30" s="2" t="str">
        <f>IFERROR(__xludf.DUMMYFUNCTION("""COMPUTED_VALUE"""),"Bhogateni,Patigaun (Morang)")</f>
        <v>Bhogateni,Patigaun (Morang)</v>
      </c>
    </row>
    <row r="31">
      <c r="A31" s="2">
        <f>IFERROR(__xludf.DUMMYFUNCTION("""COMPUTED_VALUE"""),30.0)</f>
        <v>30</v>
      </c>
      <c r="B31" s="2" t="str">
        <f>IFERROR(__xludf.DUMMYFUNCTION("""COMPUTED_VALUE"""),"Lower Khadam Khola Small Hydropower Project")</f>
        <v>Lower Khadam Khola Small Hydropower Project</v>
      </c>
      <c r="C31" s="2">
        <f>IFERROR(__xludf.DUMMYFUNCTION("""COMPUTED_VALUE"""),0.937)</f>
        <v>0.937</v>
      </c>
      <c r="D31" s="2" t="str">
        <f>IFERROR(__xludf.DUMMYFUNCTION("""COMPUTED_VALUE"""),"Khadam")</f>
        <v>Khadam</v>
      </c>
      <c r="E31" s="2">
        <f>IFERROR(__xludf.DUMMYFUNCTION("""COMPUTED_VALUE"""),9952.0)</f>
        <v>9952</v>
      </c>
      <c r="F31" s="3">
        <f>IFERROR(__xludf.DUMMYFUNCTION("""COMPUTED_VALUE"""),66543.0)</f>
        <v>66543</v>
      </c>
      <c r="G31" s="2" t="str">
        <f>IFERROR(__xludf.DUMMYFUNCTION("""COMPUTED_VALUE"""),"Kerabari Gaunpalika, Gaunpalikako Karyalaya (Applicant: Unit Power Plus 
Private Limited)")</f>
        <v>Kerabari Gaunpalika, Gaunpalikako Karyalaya (Applicant: Unit Power Plus 
Private Limited)</v>
      </c>
      <c r="H31" s="2" t="str">
        <f>IFERROR(__xludf.DUMMYFUNCTION("""COMPUTED_VALUE"""),"Kerabari, Morang")</f>
        <v>Kerabari, Morang</v>
      </c>
      <c r="I31" s="2" t="str">
        <f>IFERROR(__xludf.DUMMYFUNCTION("""COMPUTED_VALUE"""),"26o 49' 27""")</f>
        <v>26o 49' 27"</v>
      </c>
      <c r="J31" s="2" t="str">
        <f>IFERROR(__xludf.DUMMYFUNCTION("""COMPUTED_VALUE"""),"26o 50' 06""")</f>
        <v>26o 50' 06"</v>
      </c>
      <c r="K31" s="2" t="str">
        <f>IFERROR(__xludf.DUMMYFUNCTION("""COMPUTED_VALUE"""),"87o 25' 30""")</f>
        <v>87o 25' 30"</v>
      </c>
      <c r="L31" s="2" t="str">
        <f>IFERROR(__xludf.DUMMYFUNCTION("""COMPUTED_VALUE"""),"87o 26' 19""")</f>
        <v>87o 26' 19"</v>
      </c>
      <c r="M31" s="2" t="str">
        <f>IFERROR(__xludf.DUMMYFUNCTION("""COMPUTED_VALUE"""),"Bhogateni,Patigaun,Sinhadevi (Morang)")</f>
        <v>Bhogateni,Patigaun,Sinhadevi (Morang)</v>
      </c>
    </row>
    <row r="32">
      <c r="A32" s="2">
        <f>IFERROR(__xludf.DUMMYFUNCTION("""COMPUTED_VALUE"""),31.0)</f>
        <v>31</v>
      </c>
      <c r="B32" s="2" t="str">
        <f>IFERROR(__xludf.DUMMYFUNCTION("""COMPUTED_VALUE"""),"Dune Khola Hydropower Project")</f>
        <v>Dune Khola Hydropower Project</v>
      </c>
      <c r="C32" s="2">
        <f>IFERROR(__xludf.DUMMYFUNCTION("""COMPUTED_VALUE"""),0.8)</f>
        <v>0.8</v>
      </c>
      <c r="D32" s="2" t="str">
        <f>IFERROR(__xludf.DUMMYFUNCTION("""COMPUTED_VALUE"""),"Dune Khola")</f>
        <v>Dune Khola</v>
      </c>
      <c r="E32" s="2">
        <f>IFERROR(__xludf.DUMMYFUNCTION("""COMPUTED_VALUE"""),10563.0)</f>
        <v>10563</v>
      </c>
      <c r="F32" s="3">
        <f>IFERROR(__xludf.DUMMYFUNCTION("""COMPUTED_VALUE"""),66558.0)</f>
        <v>66558</v>
      </c>
      <c r="G32" s="2" t="str">
        <f>IFERROR(__xludf.DUMMYFUNCTION("""COMPUTED_VALUE"""),"Jugal Rural Municipality (Promoter: Sindhu Jugal Energy Private Limited)")</f>
        <v>Jugal Rural Municipality (Promoter: Sindhu Jugal Energy Private Limited)</v>
      </c>
      <c r="H32" s="2" t="str">
        <f>IFERROR(__xludf.DUMMYFUNCTION("""COMPUTED_VALUE"""),"Baramchi, Sindhupalchowk (Gokarneshower - 8 , Kathmandu)")</f>
        <v>Baramchi, Sindhupalchowk (Gokarneshower - 8 , Kathmandu)</v>
      </c>
      <c r="I32" s="2" t="str">
        <f>IFERROR(__xludf.DUMMYFUNCTION("""COMPUTED_VALUE"""),"27o 54' 37""")</f>
        <v>27o 54' 37"</v>
      </c>
      <c r="J32" s="2" t="str">
        <f>IFERROR(__xludf.DUMMYFUNCTION("""COMPUTED_VALUE"""),"27o 54' 55""")</f>
        <v>27o 54' 55"</v>
      </c>
      <c r="K32" s="2" t="str">
        <f>IFERROR(__xludf.DUMMYFUNCTION("""COMPUTED_VALUE"""),"85o 46' 09""")</f>
        <v>85o 46' 09"</v>
      </c>
      <c r="L32" s="2" t="str">
        <f>IFERROR(__xludf.DUMMYFUNCTION("""COMPUTED_VALUE"""),"85o 46' 53""")</f>
        <v>85o 46' 53"</v>
      </c>
      <c r="M32" s="2" t="str">
        <f>IFERROR(__xludf.DUMMYFUNCTION("""COMPUTED_VALUE"""),"Gumba,Golche,Pangtang (Sindhupalchok)")</f>
        <v>Gumba,Golche,Pangtang (Sindhupalchok)</v>
      </c>
    </row>
    <row r="33">
      <c r="A33" s="2">
        <f>IFERROR(__xludf.DUMMYFUNCTION("""COMPUTED_VALUE"""),32.0)</f>
        <v>32</v>
      </c>
      <c r="B33" s="2" t="str">
        <f>IFERROR(__xludf.DUMMYFUNCTION("""COMPUTED_VALUE"""),"Junbesi Khola Cascade Hydropower Project")</f>
        <v>Junbesi Khola Cascade Hydropower Project</v>
      </c>
      <c r="C33" s="2">
        <f>IFERROR(__xludf.DUMMYFUNCTION("""COMPUTED_VALUE"""),0.99)</f>
        <v>0.99</v>
      </c>
      <c r="D33" s="2" t="str">
        <f>IFERROR(__xludf.DUMMYFUNCTION("""COMPUTED_VALUE"""),"Junbeshi")</f>
        <v>Junbeshi</v>
      </c>
      <c r="E33" s="2">
        <f>IFERROR(__xludf.DUMMYFUNCTION("""COMPUTED_VALUE"""),10798.0)</f>
        <v>10798</v>
      </c>
      <c r="F33" s="3">
        <f>IFERROR(__xludf.DUMMYFUNCTION("""COMPUTED_VALUE"""),66565.0)</f>
        <v>66565</v>
      </c>
      <c r="G33" s="2" t="str">
        <f>IFERROR(__xludf.DUMMYFUNCTION("""COMPUTED_VALUE"""),"Solududhkunda Municipality(Promoter: Dovan Hydro Power Limited)")</f>
        <v>Solududhkunda Municipality(Promoter: Dovan Hydro Power Limited)</v>
      </c>
      <c r="H33" s="2" t="str">
        <f>IFERROR(__xludf.DUMMYFUNCTION("""COMPUTED_VALUE"""),"Salleri, Solukhumbu, Tel: 038-520264")</f>
        <v>Salleri, Solukhumbu, Tel: 038-520264</v>
      </c>
      <c r="I33" s="2" t="str">
        <f>IFERROR(__xludf.DUMMYFUNCTION("""COMPUTED_VALUE"""),"27o 33' 06""")</f>
        <v>27o 33' 06"</v>
      </c>
      <c r="J33" s="2" t="str">
        <f>IFERROR(__xludf.DUMMYFUNCTION("""COMPUTED_VALUE"""),"27o 33' 30""")</f>
        <v>27o 33' 30"</v>
      </c>
      <c r="K33" s="2" t="str">
        <f>IFERROR(__xludf.DUMMYFUNCTION("""COMPUTED_VALUE"""),"86o 33' 46""")</f>
        <v>86o 33' 46"</v>
      </c>
      <c r="L33" s="2" t="str">
        <f>IFERROR(__xludf.DUMMYFUNCTION("""COMPUTED_VALUE"""),"86o 34' 29""")</f>
        <v>86o 34' 29"</v>
      </c>
      <c r="M33" s="2" t="str">
        <f>IFERROR(__xludf.DUMMYFUNCTION("""COMPUTED_VALUE"""),"Salleri,Lauding(Tamakhani) (Solukhumbu)")</f>
        <v>Salleri,Lauding(Tamakhani) (Solukhumbu)</v>
      </c>
    </row>
    <row r="34">
      <c r="A34" s="2">
        <f>IFERROR(__xludf.DUMMYFUNCTION("""COMPUTED_VALUE"""),33.0)</f>
        <v>33</v>
      </c>
      <c r="B34" s="2" t="str">
        <f>IFERROR(__xludf.DUMMYFUNCTION("""COMPUTED_VALUE"""),"Kewa Khola Small Hydropower Project")</f>
        <v>Kewa Khola Small Hydropower Project</v>
      </c>
      <c r="C34" s="2">
        <f>IFERROR(__xludf.DUMMYFUNCTION("""COMPUTED_VALUE"""),0.99)</f>
        <v>0.99</v>
      </c>
      <c r="D34" s="2" t="str">
        <f>IFERROR(__xludf.DUMMYFUNCTION("""COMPUTED_VALUE"""),"Kewa Khola")</f>
        <v>Kewa Khola</v>
      </c>
      <c r="E34" s="2">
        <f>IFERROR(__xludf.DUMMYFUNCTION("""COMPUTED_VALUE"""),175.0)</f>
        <v>175</v>
      </c>
      <c r="F34" s="3">
        <f>IFERROR(__xludf.DUMMYFUNCTION("""COMPUTED_VALUE"""),66571.0)</f>
        <v>66571</v>
      </c>
      <c r="G34" s="2" t="str">
        <f>IFERROR(__xludf.DUMMYFUNCTION("""COMPUTED_VALUE"""),"Dharmadevi Municipality (Promoter:International Energy Group Nepal Private 
Limited)")</f>
        <v>Dharmadevi Municipality (Promoter:International Energy Group Nepal Private 
Limited)</v>
      </c>
      <c r="H34" s="2" t="str">
        <f>IFERROR(__xludf.DUMMYFUNCTION("""COMPUTED_VALUE"""),"Mudhesanischare, Sankhuwasabha(Putalisadak, Ward No. 31)")</f>
        <v>Mudhesanischare, Sankhuwasabha(Putalisadak, Ward No. 31)</v>
      </c>
      <c r="I34" s="2" t="str">
        <f>IFERROR(__xludf.DUMMYFUNCTION("""COMPUTED_VALUE"""),"27o 10' 58""")</f>
        <v>27o 10' 58"</v>
      </c>
      <c r="J34" s="2" t="str">
        <f>IFERROR(__xludf.DUMMYFUNCTION("""COMPUTED_VALUE"""),"27o 11' 30""")</f>
        <v>27o 11' 30"</v>
      </c>
      <c r="K34" s="2" t="str">
        <f>IFERROR(__xludf.DUMMYFUNCTION("""COMPUTED_VALUE"""),"87o 16' 33""")</f>
        <v>87o 16' 33"</v>
      </c>
      <c r="L34" s="2" t="str">
        <f>IFERROR(__xludf.DUMMYFUNCTION("""COMPUTED_VALUE"""),"87o 17' 20""")</f>
        <v>87o 17' 20"</v>
      </c>
      <c r="M34" s="2" t="str">
        <f>IFERROR(__xludf.DUMMYFUNCTION("""COMPUTED_VALUE"""),"Ankhibhui (Sankhuwasabha)")</f>
        <v>Ankhibhui (Sankhuwasabha)</v>
      </c>
    </row>
    <row r="35">
      <c r="A35" s="2">
        <f>IFERROR(__xludf.DUMMYFUNCTION("""COMPUTED_VALUE"""),34.0)</f>
        <v>34</v>
      </c>
      <c r="B35" s="2" t="str">
        <f>IFERROR(__xludf.DUMMYFUNCTION("""COMPUTED_VALUE"""),"Super Langdi Khola Micro Hydropower Project")</f>
        <v>Super Langdi Khola Micro Hydropower Project</v>
      </c>
      <c r="C35" s="2">
        <f>IFERROR(__xludf.DUMMYFUNCTION("""COMPUTED_VALUE"""),0.9)</f>
        <v>0.9</v>
      </c>
      <c r="D35" s="2" t="str">
        <f>IFERROR(__xludf.DUMMYFUNCTION("""COMPUTED_VALUE"""),"Langdi Khola")</f>
        <v>Langdi Khola</v>
      </c>
      <c r="E35" s="2">
        <f>IFERROR(__xludf.DUMMYFUNCTION("""COMPUTED_VALUE"""),848.0)</f>
        <v>848</v>
      </c>
      <c r="F35" s="3">
        <f>IFERROR(__xludf.DUMMYFUNCTION("""COMPUTED_VALUE"""),66592.0)</f>
        <v>66592</v>
      </c>
      <c r="G35" s="2" t="str">
        <f>IFERROR(__xludf.DUMMYFUNCTION("""COMPUTED_VALUE"""),"Doodhpokhari Rural Municipality (Promoter: Ilampokhari Hydropower Private 
Limited)")</f>
        <v>Doodhpokhari Rural Municipality (Promoter: Ilampokhari Hydropower Private 
Limited)</v>
      </c>
      <c r="H35" s="2" t="str">
        <f>IFERROR(__xludf.DUMMYFUNCTION("""COMPUTED_VALUE"""),"Jorne, Lamjung")</f>
        <v>Jorne, Lamjung</v>
      </c>
      <c r="I35" s="2" t="str">
        <f>IFERROR(__xludf.DUMMYFUNCTION("""COMPUTED_VALUE"""),"28o 11' 55""")</f>
        <v>28o 11' 55"</v>
      </c>
      <c r="J35" s="2" t="str">
        <f>IFERROR(__xludf.DUMMYFUNCTION("""COMPUTED_VALUE"""),"28o 12' 24""")</f>
        <v>28o 12' 24"</v>
      </c>
      <c r="K35" s="2" t="str">
        <f>IFERROR(__xludf.DUMMYFUNCTION("""COMPUTED_VALUE"""),"84o 35' 02""")</f>
        <v>84o 35' 02"</v>
      </c>
      <c r="L35" s="2" t="str">
        <f>IFERROR(__xludf.DUMMYFUNCTION("""COMPUTED_VALUE"""),"84o 35' 27""")</f>
        <v>84o 35' 27"</v>
      </c>
      <c r="M35" s="2" t="str">
        <f>IFERROR(__xludf.DUMMYFUNCTION("""COMPUTED_VALUE"""),"Bichaur,Ilampokhari (Lamjung)")</f>
        <v>Bichaur,Ilampokhari (Lamjung)</v>
      </c>
    </row>
    <row r="36">
      <c r="A36" s="2">
        <f>IFERROR(__xludf.DUMMYFUNCTION("""COMPUTED_VALUE"""),35.0)</f>
        <v>35</v>
      </c>
      <c r="B36" s="2" t="str">
        <f>IFERROR(__xludf.DUMMYFUNCTION("""COMPUTED_VALUE"""),"Selang - Dhovan Hydropower Project")</f>
        <v>Selang - Dhovan Hydropower Project</v>
      </c>
      <c r="C36" s="2">
        <f>IFERROR(__xludf.DUMMYFUNCTION("""COMPUTED_VALUE"""),0.95)</f>
        <v>0.95</v>
      </c>
      <c r="D36" s="2" t="str">
        <f>IFERROR(__xludf.DUMMYFUNCTION("""COMPUTED_VALUE"""),"Selang")</f>
        <v>Selang</v>
      </c>
      <c r="E36" s="2">
        <f>IFERROR(__xludf.DUMMYFUNCTION("""COMPUTED_VALUE"""),1690.0)</f>
        <v>1690</v>
      </c>
      <c r="F36" s="3">
        <f>IFERROR(__xludf.DUMMYFUNCTION("""COMPUTED_VALUE"""),66615.0)</f>
        <v>66615</v>
      </c>
      <c r="G36" s="2" t="str">
        <f>IFERROR(__xludf.DUMMYFUNCTION("""COMPUTED_VALUE"""),"Jugal Rural Municipality")</f>
        <v>Jugal Rural Municipality</v>
      </c>
      <c r="H36" s="2" t="str">
        <f>IFERROR(__xludf.DUMMYFUNCTION("""COMPUTED_VALUE"""),"Baramchi, Sindhupalchowk")</f>
        <v>Baramchi, Sindhupalchowk</v>
      </c>
      <c r="I36" s="2" t="str">
        <f>IFERROR(__xludf.DUMMYFUNCTION("""COMPUTED_VALUE"""),"27o 51' 37""")</f>
        <v>27o 51' 37"</v>
      </c>
      <c r="J36" s="2" t="str">
        <f>IFERROR(__xludf.DUMMYFUNCTION("""COMPUTED_VALUE"""),"27o 51' 49""")</f>
        <v>27o 51' 49"</v>
      </c>
      <c r="K36" s="2" t="str">
        <f>IFERROR(__xludf.DUMMYFUNCTION("""COMPUTED_VALUE"""),"85o 44' 49""")</f>
        <v>85o 44' 49"</v>
      </c>
      <c r="L36" s="2" t="str">
        <f>IFERROR(__xludf.DUMMYFUNCTION("""COMPUTED_VALUE"""),"85o 45' 25""")</f>
        <v>85o 45' 25"</v>
      </c>
      <c r="M36" s="2" t="str">
        <f>IFERROR(__xludf.DUMMYFUNCTION("""COMPUTED_VALUE"""),"Golche,Selang (Sindhupalchok)")</f>
        <v>Golche,Selang (Sindhupalchok)</v>
      </c>
    </row>
    <row r="37">
      <c r="A37" s="2">
        <f>IFERROR(__xludf.DUMMYFUNCTION("""COMPUTED_VALUE"""),36.0)</f>
        <v>36</v>
      </c>
      <c r="B37" s="2" t="str">
        <f>IFERROR(__xludf.DUMMYFUNCTION("""COMPUTED_VALUE"""),"Upper Kalinchok Mini Hydropower Project")</f>
        <v>Upper Kalinchok Mini Hydropower Project</v>
      </c>
      <c r="C37" s="2">
        <f>IFERROR(__xludf.DUMMYFUNCTION("""COMPUTED_VALUE"""),0.998)</f>
        <v>0.998</v>
      </c>
      <c r="D37" s="2" t="str">
        <f>IFERROR(__xludf.DUMMYFUNCTION("""COMPUTED_VALUE"""),"Budekhani Khola")</f>
        <v>Budekhani Khola</v>
      </c>
      <c r="E37" s="2">
        <f>IFERROR(__xludf.DUMMYFUNCTION("""COMPUTED_VALUE"""),2214.0)</f>
        <v>2214</v>
      </c>
      <c r="F37" s="3">
        <f>IFERROR(__xludf.DUMMYFUNCTION("""COMPUTED_VALUE"""),66639.0)</f>
        <v>66639</v>
      </c>
      <c r="G37" s="2" t="str">
        <f>IFERROR(__xludf.DUMMYFUNCTION("""COMPUTED_VALUE"""),"Kalinchok Rural Municipality (Promoter: Upper Kalinchok Energy Private 
Limited)")</f>
        <v>Kalinchok Rural Municipality (Promoter: Upper Kalinchok Energy Private 
Limited)</v>
      </c>
      <c r="H37" s="2" t="str">
        <f>IFERROR(__xludf.DUMMYFUNCTION("""COMPUTED_VALUE"""),"Sunakhani, Dolakha")</f>
        <v>Sunakhani, Dolakha</v>
      </c>
      <c r="I37" s="2" t="str">
        <f>IFERROR(__xludf.DUMMYFUNCTION("""COMPUTED_VALUE"""),"27o 47' 10""")</f>
        <v>27o 47' 10"</v>
      </c>
      <c r="J37" s="2" t="str">
        <f>IFERROR(__xludf.DUMMYFUNCTION("""COMPUTED_VALUE"""),"27o 47' 35""")</f>
        <v>27o 47' 35"</v>
      </c>
      <c r="K37" s="2" t="str">
        <f>IFERROR(__xludf.DUMMYFUNCTION("""COMPUTED_VALUE"""),"86o 02' 55""")</f>
        <v>86o 02' 55"</v>
      </c>
      <c r="L37" s="2" t="str">
        <f>IFERROR(__xludf.DUMMYFUNCTION("""COMPUTED_VALUE"""),"86o 03' 31""")</f>
        <v>86o 03' 31"</v>
      </c>
      <c r="M37" s="2" t="str">
        <f>IFERROR(__xludf.DUMMYFUNCTION("""COMPUTED_VALUE"""),"Kalingchok (Dolakha)")</f>
        <v>Kalingchok (Dolakha)</v>
      </c>
    </row>
    <row r="38">
      <c r="A38" s="2">
        <f>IFERROR(__xludf.DUMMYFUNCTION("""COMPUTED_VALUE"""),37.0)</f>
        <v>37</v>
      </c>
      <c r="B38" s="2" t="str">
        <f>IFERROR(__xludf.DUMMYFUNCTION("""COMPUTED_VALUE"""),"Paune Khola Hydropower Project")</f>
        <v>Paune Khola Hydropower Project</v>
      </c>
      <c r="C38" s="2">
        <f>IFERROR(__xludf.DUMMYFUNCTION("""COMPUTED_VALUE"""),0.9)</f>
        <v>0.9</v>
      </c>
      <c r="D38" s="2" t="str">
        <f>IFERROR(__xludf.DUMMYFUNCTION("""COMPUTED_VALUE"""),"Paune Khola")</f>
        <v>Paune Khola</v>
      </c>
      <c r="E38" s="2">
        <f>IFERROR(__xludf.DUMMYFUNCTION("""COMPUTED_VALUE"""),2216.0)</f>
        <v>2216</v>
      </c>
      <c r="F38" s="3">
        <f>IFERROR(__xludf.DUMMYFUNCTION("""COMPUTED_VALUE"""),66639.0)</f>
        <v>66639</v>
      </c>
      <c r="G38" s="2" t="str">
        <f>IFERROR(__xludf.DUMMYFUNCTION("""COMPUTED_VALUE"""),"Trikal hydropower Compamy Pvt. Ltd")</f>
        <v>Trikal hydropower Compamy Pvt. Ltd</v>
      </c>
      <c r="H38" s="2" t="str">
        <f>IFERROR(__xludf.DUMMYFUNCTION("""COMPUTED_VALUE"""),"Kathmandu 31, Samkhamul")</f>
        <v>Kathmandu 31, Samkhamul</v>
      </c>
      <c r="I38" s="2" t="str">
        <f>IFERROR(__xludf.DUMMYFUNCTION("""COMPUTED_VALUE"""),"29o 46' 30""")</f>
        <v>29o 46' 30"</v>
      </c>
      <c r="J38" s="2" t="str">
        <f>IFERROR(__xludf.DUMMYFUNCTION("""COMPUTED_VALUE"""),"29o 46' 56""")</f>
        <v>29o 46' 56"</v>
      </c>
      <c r="K38" s="2" t="str">
        <f>IFERROR(__xludf.DUMMYFUNCTION("""COMPUTED_VALUE"""),"80o 31' 52""")</f>
        <v>80o 31' 52"</v>
      </c>
      <c r="L38" s="2" t="str">
        <f>IFERROR(__xludf.DUMMYFUNCTION("""COMPUTED_VALUE"""),"80o 32' 27""")</f>
        <v>80o 32' 27"</v>
      </c>
      <c r="M38" s="2" t="str">
        <f>IFERROR(__xludf.DUMMYFUNCTION("""COMPUTED_VALUE"""),"Byash (Darchula)")</f>
        <v>Byash (Darchula)</v>
      </c>
    </row>
    <row r="39">
      <c r="A39" s="2">
        <f>IFERROR(__xludf.DUMMYFUNCTION("""COMPUTED_VALUE"""),38.0)</f>
        <v>38</v>
      </c>
      <c r="B39" s="2" t="str">
        <f>IFERROR(__xludf.DUMMYFUNCTION("""COMPUTED_VALUE"""),"Small Marbu Khola Hydropower Project")</f>
        <v>Small Marbu Khola Hydropower Project</v>
      </c>
      <c r="C39" s="2">
        <f>IFERROR(__xludf.DUMMYFUNCTION("""COMPUTED_VALUE"""),0.98)</f>
        <v>0.98</v>
      </c>
      <c r="D39" s="2" t="str">
        <f>IFERROR(__xludf.DUMMYFUNCTION("""COMPUTED_VALUE"""),"Marbu Khola")</f>
        <v>Marbu Khola</v>
      </c>
      <c r="E39" s="2">
        <f>IFERROR(__xludf.DUMMYFUNCTION("""COMPUTED_VALUE"""),4847.0)</f>
        <v>4847</v>
      </c>
      <c r="F39" s="3">
        <f>IFERROR(__xludf.DUMMYFUNCTION("""COMPUTED_VALUE"""),66740.0)</f>
        <v>66740</v>
      </c>
      <c r="G39" s="2" t="str">
        <f>IFERROR(__xludf.DUMMYFUNCTION("""COMPUTED_VALUE"""),"Likhu Pike Rural Municipality ( Promoter: Odare Khola Energy Power Private 
Limited)")</f>
        <v>Likhu Pike Rural Municipality ( Promoter: Odare Khola Energy Power Private 
Limited)</v>
      </c>
      <c r="H39" s="2" t="str">
        <f>IFERROR(__xludf.DUMMYFUNCTION("""COMPUTED_VALUE"""),"Chaulakharka, Solukhumbu (Changunarayan-2, Bhaktapur)")</f>
        <v>Chaulakharka, Solukhumbu (Changunarayan-2, Bhaktapur)</v>
      </c>
      <c r="I39" s="2" t="str">
        <f>IFERROR(__xludf.DUMMYFUNCTION("""COMPUTED_VALUE"""),"27o 35' 20""")</f>
        <v>27o 35' 20"</v>
      </c>
      <c r="J39" s="2" t="str">
        <f>IFERROR(__xludf.DUMMYFUNCTION("""COMPUTED_VALUE"""),"27o 36' 00""")</f>
        <v>27o 36' 00"</v>
      </c>
      <c r="K39" s="2" t="str">
        <f>IFERROR(__xludf.DUMMYFUNCTION("""COMPUTED_VALUE"""),"86o 27' 38""")</f>
        <v>86o 27' 38"</v>
      </c>
      <c r="L39" s="2" t="str">
        <f>IFERROR(__xludf.DUMMYFUNCTION("""COMPUTED_VALUE"""),"86o 28' 28""")</f>
        <v>86o 28' 28"</v>
      </c>
      <c r="M39" s="2" t="str">
        <f>IFERROR(__xludf.DUMMYFUNCTION("""COMPUTED_VALUE"""),"Bhakanje (Solukhumbu)")</f>
        <v>Bhakanje (Solukhumbu)</v>
      </c>
    </row>
    <row r="40">
      <c r="A40" s="2">
        <f>IFERROR(__xludf.DUMMYFUNCTION("""COMPUTED_VALUE"""),39.0)</f>
        <v>39</v>
      </c>
      <c r="B40" s="2" t="str">
        <f>IFERROR(__xludf.DUMMYFUNCTION("""COMPUTED_VALUE"""),"Upper Buku Khola Small Hydropower Project")</f>
        <v>Upper Buku Khola Small Hydropower Project</v>
      </c>
      <c r="C40" s="2">
        <f>IFERROR(__xludf.DUMMYFUNCTION("""COMPUTED_VALUE"""),0.985)</f>
        <v>0.985</v>
      </c>
      <c r="D40" s="2" t="str">
        <f>IFERROR(__xludf.DUMMYFUNCTION("""COMPUTED_VALUE"""),"Buku")</f>
        <v>Buku</v>
      </c>
      <c r="E40" s="2">
        <f>IFERROR(__xludf.DUMMYFUNCTION("""COMPUTED_VALUE"""),5360.0)</f>
        <v>5360</v>
      </c>
      <c r="F40" s="3">
        <f>IFERROR(__xludf.DUMMYFUNCTION("""COMPUTED_VALUE"""),66756.0)</f>
        <v>66756</v>
      </c>
      <c r="G40" s="2" t="str">
        <f>IFERROR(__xludf.DUMMYFUNCTION("""COMPUTED_VALUE"""),"Likhu Pike Rural Municipality ( Promoter: Gaganchumbi Energy Limited)")</f>
        <v>Likhu Pike Rural Municipality ( Promoter: Gaganchumbi Energy Limited)</v>
      </c>
      <c r="H40" s="2" t="str">
        <f>IFERROR(__xludf.DUMMYFUNCTION("""COMPUTED_VALUE"""),"Chaulakharka, Solukhumbu (Kathmandu, Nepal)")</f>
        <v>Chaulakharka, Solukhumbu (Kathmandu, Nepal)</v>
      </c>
      <c r="I40" s="2" t="str">
        <f>IFERROR(__xludf.DUMMYFUNCTION("""COMPUTED_VALUE"""),"27o 31' 20""")</f>
        <v>27o 31' 20"</v>
      </c>
      <c r="J40" s="2" t="str">
        <f>IFERROR(__xludf.DUMMYFUNCTION("""COMPUTED_VALUE"""),"27o 31' 41""")</f>
        <v>27o 31' 41"</v>
      </c>
      <c r="K40" s="2" t="str">
        <f>IFERROR(__xludf.DUMMYFUNCTION("""COMPUTED_VALUE"""),"86o 24' 11""")</f>
        <v>86o 24' 11"</v>
      </c>
      <c r="L40" s="2" t="str">
        <f>IFERROR(__xludf.DUMMYFUNCTION("""COMPUTED_VALUE"""),"86o 24' 46""")</f>
        <v>86o 24' 46"</v>
      </c>
      <c r="M40" s="2" t="str">
        <f>IFERROR(__xludf.DUMMYFUNCTION("""COMPUTED_VALUE"""),"Goli (Solukhumbu)")</f>
        <v>Goli (Solukhumbu)</v>
      </c>
    </row>
    <row r="41">
      <c r="A41" s="2">
        <f>IFERROR(__xludf.DUMMYFUNCTION("""COMPUTED_VALUE"""),40.0)</f>
        <v>40</v>
      </c>
      <c r="B41" s="2" t="str">
        <f>IFERROR(__xludf.DUMMYFUNCTION("""COMPUTED_VALUE"""),"Dorkhu Khola Small Hydropower Project")</f>
        <v>Dorkhu Khola Small Hydropower Project</v>
      </c>
      <c r="C41" s="2">
        <f>IFERROR(__xludf.DUMMYFUNCTION("""COMPUTED_VALUE"""),0.862)</f>
        <v>0.862</v>
      </c>
      <c r="D41" s="2" t="str">
        <f>IFERROR(__xludf.DUMMYFUNCTION("""COMPUTED_VALUE"""),"Dorkhu")</f>
        <v>Dorkhu</v>
      </c>
      <c r="E41" s="2">
        <f>IFERROR(__xludf.DUMMYFUNCTION("""COMPUTED_VALUE"""),5806.0)</f>
        <v>5806</v>
      </c>
      <c r="F41" s="3">
        <f>IFERROR(__xludf.DUMMYFUNCTION("""COMPUTED_VALUE"""),66769.0)</f>
        <v>66769</v>
      </c>
      <c r="G41" s="2" t="str">
        <f>IFERROR(__xludf.DUMMYFUNCTION("""COMPUTED_VALUE"""),"Tandi Rural Municipality (Promoter:Dupcheswor Urja Private Limited)")</f>
        <v>Tandi Rural Municipality (Promoter:Dupcheswor Urja Private Limited)</v>
      </c>
      <c r="H41" s="2" t="str">
        <f>IFERROR(__xludf.DUMMYFUNCTION("""COMPUTED_VALUE"""),"Kharanitar, Nuwakot(Budhanilkantha - 7, Kathmandu)")</f>
        <v>Kharanitar, Nuwakot(Budhanilkantha - 7, Kathmandu)</v>
      </c>
      <c r="I41" s="2" t="str">
        <f>IFERROR(__xludf.DUMMYFUNCTION("""COMPUTED_VALUE"""),"27o 57' 41""")</f>
        <v>27o 57' 41"</v>
      </c>
      <c r="J41" s="2" t="str">
        <f>IFERROR(__xludf.DUMMYFUNCTION("""COMPUTED_VALUE"""),"27o 57' 56""")</f>
        <v>27o 57' 56"</v>
      </c>
      <c r="K41" s="2" t="str">
        <f>IFERROR(__xludf.DUMMYFUNCTION("""COMPUTED_VALUE"""),"85o 20' 26""")</f>
        <v>85o 20' 26"</v>
      </c>
      <c r="L41" s="2" t="str">
        <f>IFERROR(__xludf.DUMMYFUNCTION("""COMPUTED_VALUE"""),"85o 20' 56""")</f>
        <v>85o 20' 56"</v>
      </c>
      <c r="M41" s="2" t="str">
        <f>IFERROR(__xludf.DUMMYFUNCTION("""COMPUTED_VALUE"""),"Ralukadevi,Urleni (Nuwakot)")</f>
        <v>Ralukadevi,Urleni (Nuwakot)</v>
      </c>
    </row>
    <row r="42">
      <c r="A42" s="2">
        <f>IFERROR(__xludf.DUMMYFUNCTION("""COMPUTED_VALUE"""),41.0)</f>
        <v>41</v>
      </c>
      <c r="B42" s="2" t="str">
        <f>IFERROR(__xludf.DUMMYFUNCTION("""COMPUTED_VALUE"""),"Dhap Small Hydropower Project")</f>
        <v>Dhap Small Hydropower Project</v>
      </c>
      <c r="C42" s="2">
        <f>IFERROR(__xludf.DUMMYFUNCTION("""COMPUTED_VALUE"""),0.65)</f>
        <v>0.65</v>
      </c>
      <c r="D42" s="2" t="str">
        <f>IFERROR(__xludf.DUMMYFUNCTION("""COMPUTED_VALUE"""),"Thaligad Khola")</f>
        <v>Thaligad Khola</v>
      </c>
      <c r="E42" s="2">
        <f>IFERROR(__xludf.DUMMYFUNCTION("""COMPUTED_VALUE"""),6187.0)</f>
        <v>6187</v>
      </c>
      <c r="F42" s="3">
        <f>IFERROR(__xludf.DUMMYFUNCTION("""COMPUTED_VALUE"""),66781.0)</f>
        <v>66781</v>
      </c>
      <c r="G42" s="2" t="str">
        <f>IFERROR(__xludf.DUMMYFUNCTION("""COMPUTED_VALUE"""),"Asian Infra and Energy company Pvt. Ltd")</f>
        <v>Asian Infra and Energy company Pvt. Ltd</v>
      </c>
      <c r="H42" s="2" t="str">
        <f>IFERROR(__xludf.DUMMYFUNCTION("""COMPUTED_VALUE"""),"Nagarjun-4, Kathmandu")</f>
        <v>Nagarjun-4, Kathmandu</v>
      </c>
      <c r="I42" s="2" t="str">
        <f>IFERROR(__xludf.DUMMYFUNCTION("""COMPUTED_VALUE"""),"29o 47' 09""")</f>
        <v>29o 47' 09"</v>
      </c>
      <c r="J42" s="2" t="str">
        <f>IFERROR(__xludf.DUMMYFUNCTION("""COMPUTED_VALUE"""),"29o 47' 31""")</f>
        <v>29o 47' 31"</v>
      </c>
      <c r="K42" s="2" t="str">
        <f>IFERROR(__xludf.DUMMYFUNCTION("""COMPUTED_VALUE"""),"80o 29' 40""")</f>
        <v>80o 29' 40"</v>
      </c>
      <c r="L42" s="2" t="str">
        <f>IFERROR(__xludf.DUMMYFUNCTION("""COMPUTED_VALUE"""),"80o 30' 29""")</f>
        <v>80o 30' 29"</v>
      </c>
      <c r="M42" s="2" t="str">
        <f>IFERROR(__xludf.DUMMYFUNCTION("""COMPUTED_VALUE"""),"Datu,Chhapari (Darchula)")</f>
        <v>Datu,Chhapari (Darchula)</v>
      </c>
    </row>
    <row r="43">
      <c r="A43" s="2">
        <f>IFERROR(__xludf.DUMMYFUNCTION("""COMPUTED_VALUE"""),42.0)</f>
        <v>42</v>
      </c>
      <c r="B43" s="2" t="str">
        <f>IFERROR(__xludf.DUMMYFUNCTION("""COMPUTED_VALUE"""),"Bhandar Khola Hydropower Project")</f>
        <v>Bhandar Khola Hydropower Project</v>
      </c>
      <c r="C43" s="2">
        <f>IFERROR(__xludf.DUMMYFUNCTION("""COMPUTED_VALUE"""),0.999)</f>
        <v>0.999</v>
      </c>
      <c r="D43" s="2" t="str">
        <f>IFERROR(__xludf.DUMMYFUNCTION("""COMPUTED_VALUE"""),"bhandar khola")</f>
        <v>bhandar khola</v>
      </c>
      <c r="E43" s="2">
        <f>IFERROR(__xludf.DUMMYFUNCTION("""COMPUTED_VALUE"""),7389.0)</f>
        <v>7389</v>
      </c>
      <c r="F43" s="3">
        <f>IFERROR(__xludf.DUMMYFUNCTION("""COMPUTED_VALUE"""),66825.0)</f>
        <v>66825</v>
      </c>
      <c r="G43" s="2" t="str">
        <f>IFERROR(__xludf.DUMMYFUNCTION("""COMPUTED_VALUE"""),"Umakunda Rural Municipality (Promoter: Watt and Volt Private Limited)")</f>
        <v>Umakunda Rural Municipality (Promoter: Watt and Volt Private Limited)</v>
      </c>
      <c r="H43" s="2" t="str">
        <f>IFERROR(__xludf.DUMMYFUNCTION("""COMPUTED_VALUE"""),"Pritee, ramechhap (Madhyapur Thimi)")</f>
        <v>Pritee, ramechhap (Madhyapur Thimi)</v>
      </c>
      <c r="I43" s="2" t="str">
        <f>IFERROR(__xludf.DUMMYFUNCTION("""COMPUTED_VALUE"""),"27o 34' 20""")</f>
        <v>27o 34' 20"</v>
      </c>
      <c r="J43" s="2" t="str">
        <f>IFERROR(__xludf.DUMMYFUNCTION("""COMPUTED_VALUE"""),"27o 34' 29""")</f>
        <v>27o 34' 29"</v>
      </c>
      <c r="K43" s="2" t="str">
        <f>IFERROR(__xludf.DUMMYFUNCTION("""COMPUTED_VALUE"""),"86o 22' 21""")</f>
        <v>86o 22' 21"</v>
      </c>
      <c r="L43" s="2" t="str">
        <f>IFERROR(__xludf.DUMMYFUNCTION("""COMPUTED_VALUE"""),"86o 22' 37""")</f>
        <v>86o 22' 37"</v>
      </c>
      <c r="M43" s="2" t="str">
        <f>IFERROR(__xludf.DUMMYFUNCTION("""COMPUTED_VALUE"""),"Gumdel (Ramechhap)")</f>
        <v>Gumdel (Ramechhap)</v>
      </c>
    </row>
    <row r="44">
      <c r="A44" s="2">
        <f>IFERROR(__xludf.DUMMYFUNCTION("""COMPUTED_VALUE"""),43.0)</f>
        <v>43</v>
      </c>
      <c r="B44" s="2" t="str">
        <f>IFERROR(__xludf.DUMMYFUNCTION("""COMPUTED_VALUE"""),"Chhomrong Cascade Hydropower Project")</f>
        <v>Chhomrong Cascade Hydropower Project</v>
      </c>
      <c r="C44" s="2">
        <f>IFERROR(__xludf.DUMMYFUNCTION("""COMPUTED_VALUE"""),0.976)</f>
        <v>0.976</v>
      </c>
      <c r="D44" s="2" t="str">
        <f>IFERROR(__xludf.DUMMYFUNCTION("""COMPUTED_VALUE"""),"Chhomron Khola")</f>
        <v>Chhomron Khola</v>
      </c>
      <c r="E44" s="2">
        <f>IFERROR(__xludf.DUMMYFUNCTION("""COMPUTED_VALUE"""),7840.0)</f>
        <v>7840</v>
      </c>
      <c r="F44" s="3">
        <f>IFERROR(__xludf.DUMMYFUNCTION("""COMPUTED_VALUE"""),66835.0)</f>
        <v>66835</v>
      </c>
      <c r="G44" s="2" t="str">
        <f>IFERROR(__xludf.DUMMYFUNCTION("""COMPUTED_VALUE"""),"Annapurna Rural Municipality (Promoter: Tauji Baraha Hydropower Private 
Limited)")</f>
        <v>Annapurna Rural Municipality (Promoter: Tauji Baraha Hydropower Private 
Limited)</v>
      </c>
      <c r="H44" s="2" t="str">
        <f>IFERROR(__xludf.DUMMYFUNCTION("""COMPUTED_VALUE"""),"Machhapokhari, Kaski (Lalitpur - 10, Lalitpur)")</f>
        <v>Machhapokhari, Kaski (Lalitpur - 10, Lalitpur)</v>
      </c>
      <c r="I44" s="2" t="str">
        <f>IFERROR(__xludf.DUMMYFUNCTION("""COMPUTED_VALUE"""),"28o 25' 03""")</f>
        <v>28o 25' 03"</v>
      </c>
      <c r="J44" s="2" t="str">
        <f>IFERROR(__xludf.DUMMYFUNCTION("""COMPUTED_VALUE"""),"28o 25' 14""")</f>
        <v>28o 25' 14"</v>
      </c>
      <c r="K44" s="2" t="str">
        <f>IFERROR(__xludf.DUMMYFUNCTION("""COMPUTED_VALUE"""),"83o 49' 45""")</f>
        <v>83o 49' 45"</v>
      </c>
      <c r="L44" s="2" t="str">
        <f>IFERROR(__xludf.DUMMYFUNCTION("""COMPUTED_VALUE"""),"83o 50' 00""")</f>
        <v>83o 50' 00"</v>
      </c>
      <c r="M44" s="2"/>
    </row>
    <row r="45">
      <c r="A45" s="2">
        <f>IFERROR(__xludf.DUMMYFUNCTION("""COMPUTED_VALUE"""),44.0)</f>
        <v>44</v>
      </c>
      <c r="B45" s="2" t="str">
        <f>IFERROR(__xludf.DUMMYFUNCTION("""COMPUTED_VALUE"""),"Perun 1 Hydropower Project")</f>
        <v>Perun 1 Hydropower Project</v>
      </c>
      <c r="C45" s="2">
        <f>IFERROR(__xludf.DUMMYFUNCTION("""COMPUTED_VALUE"""),0.995)</f>
        <v>0.995</v>
      </c>
      <c r="D45" s="2" t="str">
        <f>IFERROR(__xludf.DUMMYFUNCTION("""COMPUTED_VALUE"""),"Perung Khola")</f>
        <v>Perung Khola</v>
      </c>
      <c r="E45" s="2">
        <f>IFERROR(__xludf.DUMMYFUNCTION("""COMPUTED_VALUE"""),7960.0)</f>
        <v>7960</v>
      </c>
      <c r="F45" s="3">
        <f>IFERROR(__xludf.DUMMYFUNCTION("""COMPUTED_VALUE"""),66837.0)</f>
        <v>66837</v>
      </c>
      <c r="G45" s="2" t="str">
        <f>IFERROR(__xludf.DUMMYFUNCTION("""COMPUTED_VALUE"""),"Umakunda Rural Municipality (Promoter: Numbur Nupche Hydropower Private 
Limited)")</f>
        <v>Umakunda Rural Municipality (Promoter: Numbur Nupche Hydropower Private 
Limited)</v>
      </c>
      <c r="H45" s="2" t="str">
        <f>IFERROR(__xludf.DUMMYFUNCTION("""COMPUTED_VALUE"""),"Priti, Ramechhap (New Baneshower, Kathmandu)")</f>
        <v>Priti, Ramechhap (New Baneshower, Kathmandu)</v>
      </c>
      <c r="I45" s="2" t="str">
        <f>IFERROR(__xludf.DUMMYFUNCTION("""COMPUTED_VALUE"""),"27o 37' 28""")</f>
        <v>27o 37' 28"</v>
      </c>
      <c r="J45" s="2" t="str">
        <f>IFERROR(__xludf.DUMMYFUNCTION("""COMPUTED_VALUE"""),"27o 37' 46""")</f>
        <v>27o 37' 46"</v>
      </c>
      <c r="K45" s="2" t="str">
        <f>IFERROR(__xludf.DUMMYFUNCTION("""COMPUTED_VALUE"""),"86o 25' 21""")</f>
        <v>86o 25' 21"</v>
      </c>
      <c r="L45" s="2" t="str">
        <f>IFERROR(__xludf.DUMMYFUNCTION("""COMPUTED_VALUE"""),"86o 25' 41""")</f>
        <v>86o 25' 41"</v>
      </c>
      <c r="M45" s="2" t="str">
        <f>IFERROR(__xludf.DUMMYFUNCTION("""COMPUTED_VALUE"""),"Gumdel (Ramechhap)")</f>
        <v>Gumdel (Ramechhap)</v>
      </c>
    </row>
    <row r="46">
      <c r="A46" s="2">
        <f>IFERROR(__xludf.DUMMYFUNCTION("""COMPUTED_VALUE"""),45.0)</f>
        <v>45</v>
      </c>
      <c r="B46" s="2" t="str">
        <f>IFERROR(__xludf.DUMMYFUNCTION("""COMPUTED_VALUE"""),"Idi Khola Small Hydropower Project")</f>
        <v>Idi Khola Small Hydropower Project</v>
      </c>
      <c r="C46" s="2">
        <f>IFERROR(__xludf.DUMMYFUNCTION("""COMPUTED_VALUE"""),0.876)</f>
        <v>0.876</v>
      </c>
      <c r="D46" s="2" t="str">
        <f>IFERROR(__xludf.DUMMYFUNCTION("""COMPUTED_VALUE"""),"Idi Khola")</f>
        <v>Idi Khola</v>
      </c>
      <c r="E46" s="2">
        <f>IFERROR(__xludf.DUMMYFUNCTION("""COMPUTED_VALUE"""),8337.0)</f>
        <v>8337</v>
      </c>
      <c r="F46" s="3">
        <f>IFERROR(__xludf.DUMMYFUNCTION("""COMPUTED_VALUE"""),66848.0)</f>
        <v>66848</v>
      </c>
      <c r="G46" s="2" t="str">
        <f>IFERROR(__xludf.DUMMYFUNCTION("""COMPUTED_VALUE"""),"Madi Rural Municipality (Promoter: Growth Energy Private Limited)")</f>
        <v>Madi Rural Municipality (Promoter: Growth Energy Private Limited)</v>
      </c>
      <c r="H46" s="2" t="str">
        <f>IFERROR(__xludf.DUMMYFUNCTION("""COMPUTED_VALUE"""),"Thumakot, Kaski (Madi - 04, Kaski, Nepal)")</f>
        <v>Thumakot, Kaski (Madi - 04, Kaski, Nepal)</v>
      </c>
      <c r="I46" s="2" t="str">
        <f>IFERROR(__xludf.DUMMYFUNCTION("""COMPUTED_VALUE"""),"28o 14' 54""")</f>
        <v>28o 14' 54"</v>
      </c>
      <c r="J46" s="2" t="str">
        <f>IFERROR(__xludf.DUMMYFUNCTION("""COMPUTED_VALUE"""),"28o 15' 34""")</f>
        <v>28o 15' 34"</v>
      </c>
      <c r="K46" s="2" t="str">
        <f>IFERROR(__xludf.DUMMYFUNCTION("""COMPUTED_VALUE"""),"84o 06' 53""")</f>
        <v>84o 06' 53"</v>
      </c>
      <c r="L46" s="2" t="str">
        <f>IFERROR(__xludf.DUMMYFUNCTION("""COMPUTED_VALUE"""),"84o 07' 26""")</f>
        <v>84o 07' 26"</v>
      </c>
      <c r="M46" s="2" t="str">
        <f>IFERROR(__xludf.DUMMYFUNCTION("""COMPUTED_VALUE"""),"Saimrang,Thumakodada (Kaski)")</f>
        <v>Saimrang,Thumakodada (Kaski)</v>
      </c>
    </row>
    <row r="47">
      <c r="A47" s="2">
        <f>IFERROR(__xludf.DUMMYFUNCTION("""COMPUTED_VALUE"""),46.0)</f>
        <v>46</v>
      </c>
      <c r="B47" s="2" t="str">
        <f>IFERROR(__xludf.DUMMYFUNCTION("""COMPUTED_VALUE"""),"Tallo Milti Khola Hydropower Project")</f>
        <v>Tallo Milti Khola Hydropower Project</v>
      </c>
      <c r="C47" s="2">
        <f>IFERROR(__xludf.DUMMYFUNCTION("""COMPUTED_VALUE"""),0.958)</f>
        <v>0.958</v>
      </c>
      <c r="D47" s="2" t="str">
        <f>IFERROR(__xludf.DUMMYFUNCTION("""COMPUTED_VALUE"""),"Milti Khola")</f>
        <v>Milti Khola</v>
      </c>
      <c r="E47" s="2">
        <f>IFERROR(__xludf.DUMMYFUNCTION("""COMPUTED_VALUE"""),8634.0)</f>
        <v>8634</v>
      </c>
      <c r="F47" s="3">
        <f>IFERROR(__xludf.DUMMYFUNCTION("""COMPUTED_VALUE"""),66855.0)</f>
        <v>66855</v>
      </c>
      <c r="G47" s="2" t="str">
        <f>IFERROR(__xludf.DUMMYFUNCTION("""COMPUTED_VALUE"""),"Melung Rural Municipality (Promoter: Sajilo Urja Private Limited)")</f>
        <v>Melung Rural Municipality (Promoter: Sajilo Urja Private Limited)</v>
      </c>
      <c r="H47" s="2" t="str">
        <f>IFERROR(__xludf.DUMMYFUNCTION("""COMPUTED_VALUE"""),"Tokha - 7, Kathmandu")</f>
        <v>Tokha - 7, Kathmandu</v>
      </c>
      <c r="I47" s="2" t="str">
        <f>IFERROR(__xludf.DUMMYFUNCTION("""COMPUTED_VALUE"""),"27o 29' 44""")</f>
        <v>27o 29' 44"</v>
      </c>
      <c r="J47" s="2" t="str">
        <f>IFERROR(__xludf.DUMMYFUNCTION("""COMPUTED_VALUE"""),"27o 30' 10""")</f>
        <v>27o 30' 10"</v>
      </c>
      <c r="K47" s="2" t="str">
        <f>IFERROR(__xludf.DUMMYFUNCTION("""COMPUTED_VALUE"""),"86o 04' 33""")</f>
        <v>86o 04' 33"</v>
      </c>
      <c r="L47" s="2" t="str">
        <f>IFERROR(__xludf.DUMMYFUNCTION("""COMPUTED_VALUE"""),"86o 05' 01""")</f>
        <v>86o 05' 01"</v>
      </c>
      <c r="M47" s="2" t="str">
        <f>IFERROR(__xludf.DUMMYFUNCTION("""COMPUTED_VALUE"""),"Melung (Dolakha)")</f>
        <v>Melung (Dolakha)</v>
      </c>
    </row>
    <row r="48">
      <c r="A48" s="2">
        <f>IFERROR(__xludf.DUMMYFUNCTION("""COMPUTED_VALUE"""),47.0)</f>
        <v>47</v>
      </c>
      <c r="B48" s="2" t="str">
        <f>IFERROR(__xludf.DUMMYFUNCTION("""COMPUTED_VALUE"""),"Dharche Khola Hydropower Project")</f>
        <v>Dharche Khola Hydropower Project</v>
      </c>
      <c r="C48" s="2">
        <f>IFERROR(__xludf.DUMMYFUNCTION("""COMPUTED_VALUE"""),0.95)</f>
        <v>0.95</v>
      </c>
      <c r="D48" s="2" t="str">
        <f>IFERROR(__xludf.DUMMYFUNCTION("""COMPUTED_VALUE"""),"Dharche Khola")</f>
        <v>Dharche Khola</v>
      </c>
      <c r="E48" s="2">
        <f>IFERROR(__xludf.DUMMYFUNCTION("""COMPUTED_VALUE"""),8736.0)</f>
        <v>8736</v>
      </c>
      <c r="F48" s="3">
        <f>IFERROR(__xludf.DUMMYFUNCTION("""COMPUTED_VALUE"""),66856.0)</f>
        <v>66856</v>
      </c>
      <c r="G48" s="2" t="str">
        <f>IFERROR(__xludf.DUMMYFUNCTION("""COMPUTED_VALUE"""),"Dharche Rural Municipality (Promotor: Dharche Khola Jalavidhyut Private 
Limited)")</f>
        <v>Dharche Rural Municipality (Promotor: Dharche Khola Jalavidhyut Private 
Limited)</v>
      </c>
      <c r="H48" s="2" t="str">
        <f>IFERROR(__xludf.DUMMYFUNCTION("""COMPUTED_VALUE"""),"Machhikhola, Gorkha (Lapu, Ward No. 7, Gorkha)")</f>
        <v>Machhikhola, Gorkha (Lapu, Ward No. 7, Gorkha)</v>
      </c>
      <c r="I48" s="2" t="str">
        <f>IFERROR(__xludf.DUMMYFUNCTION("""COMPUTED_VALUE"""),"28o 11' 11""")</f>
        <v>28o 11' 11"</v>
      </c>
      <c r="J48" s="2" t="str">
        <f>IFERROR(__xludf.DUMMYFUNCTION("""COMPUTED_VALUE"""),"28o 11' 25""")</f>
        <v>28o 11' 25"</v>
      </c>
      <c r="K48" s="2" t="str">
        <f>IFERROR(__xludf.DUMMYFUNCTION("""COMPUTED_VALUE"""),"84o 52' 08""")</f>
        <v>84o 52' 08"</v>
      </c>
      <c r="L48" s="2" t="str">
        <f>IFERROR(__xludf.DUMMYFUNCTION("""COMPUTED_VALUE"""),"84o 52' 13""")</f>
        <v>84o 52' 13"</v>
      </c>
      <c r="M48" s="2" t="str">
        <f>IFERROR(__xludf.DUMMYFUNCTION("""COMPUTED_VALUE"""),"Lapu (Gorkha)")</f>
        <v>Lapu (Gorkha)</v>
      </c>
    </row>
    <row r="49">
      <c r="A49" s="2">
        <f>IFERROR(__xludf.DUMMYFUNCTION("""COMPUTED_VALUE"""),48.0)</f>
        <v>48</v>
      </c>
      <c r="B49" s="2" t="str">
        <f>IFERROR(__xludf.DUMMYFUNCTION("""COMPUTED_VALUE"""),"Chino Khola Micro Hydropower Project")</f>
        <v>Chino Khola Micro Hydropower Project</v>
      </c>
      <c r="C49" s="2">
        <f>IFERROR(__xludf.DUMMYFUNCTION("""COMPUTED_VALUE"""),0.294)</f>
        <v>0.294</v>
      </c>
      <c r="D49" s="2" t="str">
        <f>IFERROR(__xludf.DUMMYFUNCTION("""COMPUTED_VALUE"""),"Chino")</f>
        <v>Chino</v>
      </c>
      <c r="E49" s="2">
        <f>IFERROR(__xludf.DUMMYFUNCTION("""COMPUTED_VALUE"""),8855.0)</f>
        <v>8855</v>
      </c>
      <c r="F49" s="3">
        <f>IFERROR(__xludf.DUMMYFUNCTION("""COMPUTED_VALUE"""),66858.0)</f>
        <v>66858</v>
      </c>
      <c r="G49" s="2" t="str">
        <f>IFERROR(__xludf.DUMMYFUNCTION("""COMPUTED_VALUE"""),"Nason Rural Municipality (Promoter: Chino Hydropower Limited)")</f>
        <v>Nason Rural Municipality (Promoter: Chino Hydropower Limited)</v>
      </c>
      <c r="H49" s="2" t="str">
        <f>IFERROR(__xludf.DUMMYFUNCTION("""COMPUTED_VALUE"""),"Dharapani, Manang (Budhhanagar, Kathmandu)")</f>
        <v>Dharapani, Manang (Budhhanagar, Kathmandu)</v>
      </c>
      <c r="I49" s="2" t="str">
        <f>IFERROR(__xludf.DUMMYFUNCTION("""COMPUTED_VALUE"""),"28o 32' 00""")</f>
        <v>28o 32' 00"</v>
      </c>
      <c r="J49" s="2" t="str">
        <f>IFERROR(__xludf.DUMMYFUNCTION("""COMPUTED_VALUE"""),"28o 32' 08""")</f>
        <v>28o 32' 08"</v>
      </c>
      <c r="K49" s="2" t="str">
        <f>IFERROR(__xludf.DUMMYFUNCTION("""COMPUTED_VALUE"""),"84o 19' 21""")</f>
        <v>84o 19' 21"</v>
      </c>
      <c r="L49" s="2" t="str">
        <f>IFERROR(__xludf.DUMMYFUNCTION("""COMPUTED_VALUE"""),"84o 20' 22""")</f>
        <v>84o 20' 22"</v>
      </c>
      <c r="M49" s="2"/>
    </row>
    <row r="50">
      <c r="A50" s="2">
        <f>IFERROR(__xludf.DUMMYFUNCTION("""COMPUTED_VALUE"""),49.0)</f>
        <v>49</v>
      </c>
      <c r="B50" s="2" t="str">
        <f>IFERROR(__xludf.DUMMYFUNCTION("""COMPUTED_VALUE"""),"Giddhe Khola Small Hydropower Project")</f>
        <v>Giddhe Khola Small Hydropower Project</v>
      </c>
      <c r="C50" s="2">
        <f>IFERROR(__xludf.DUMMYFUNCTION("""COMPUTED_VALUE"""),0.83)</f>
        <v>0.83</v>
      </c>
      <c r="D50" s="2" t="str">
        <f>IFERROR(__xludf.DUMMYFUNCTION("""COMPUTED_VALUE"""),"Giddhe Khola")</f>
        <v>Giddhe Khola</v>
      </c>
      <c r="E50" s="2">
        <f>IFERROR(__xludf.DUMMYFUNCTION("""COMPUTED_VALUE"""),9290.0)</f>
        <v>9290</v>
      </c>
      <c r="F50" s="3">
        <f>IFERROR(__xludf.DUMMYFUNCTION("""COMPUTED_VALUE"""),66870.0)</f>
        <v>66870</v>
      </c>
      <c r="G50" s="2" t="str">
        <f>IFERROR(__xludf.DUMMYFUNCTION("""COMPUTED_VALUE"""),"Sabhapokhari Rural Municipality (Promoter: Sowa Hydropower Private Limited)")</f>
        <v>Sabhapokhari Rural Municipality (Promoter: Sowa Hydropower Private Limited)</v>
      </c>
      <c r="H50" s="2" t="str">
        <f>IFERROR(__xludf.DUMMYFUNCTION("""COMPUTED_VALUE"""),"Bahrabise, Sankhuwasabha (Mahalaxmi Municipality - 5, Lalitpur, Nepal)")</f>
        <v>Bahrabise, Sankhuwasabha (Mahalaxmi Municipality - 5, Lalitpur, Nepal)</v>
      </c>
      <c r="I50" s="2" t="str">
        <f>IFERROR(__xludf.DUMMYFUNCTION("""COMPUTED_VALUE"""),"27o 25' 50""")</f>
        <v>27o 25' 50"</v>
      </c>
      <c r="J50" s="2" t="str">
        <f>IFERROR(__xludf.DUMMYFUNCTION("""COMPUTED_VALUE"""),"27o 26' 12""")</f>
        <v>27o 26' 12"</v>
      </c>
      <c r="K50" s="2" t="str">
        <f>IFERROR(__xludf.DUMMYFUNCTION("""COMPUTED_VALUE"""),"87o 24' 41""")</f>
        <v>87o 24' 41"</v>
      </c>
      <c r="L50" s="2" t="str">
        <f>IFERROR(__xludf.DUMMYFUNCTION("""COMPUTED_VALUE"""),"87o 25' 38""")</f>
        <v>87o 25' 38"</v>
      </c>
      <c r="M50" s="2" t="str">
        <f>IFERROR(__xludf.DUMMYFUNCTION("""COMPUTED_VALUE"""),"Sabha Pokhari (Sankhuwasabha)")</f>
        <v>Sabha Pokhari (Sankhuwasabha)</v>
      </c>
    </row>
    <row r="51">
      <c r="A51" s="2">
        <f>IFERROR(__xludf.DUMMYFUNCTION("""COMPUTED_VALUE"""),50.0)</f>
        <v>50</v>
      </c>
      <c r="B51" s="2" t="str">
        <f>IFERROR(__xludf.DUMMYFUNCTION("""COMPUTED_VALUE"""),"Lower Gumu Khola Small Hydropower Project")</f>
        <v>Lower Gumu Khola Small Hydropower Project</v>
      </c>
      <c r="C51" s="2">
        <f>IFERROR(__xludf.DUMMYFUNCTION("""COMPUTED_VALUE"""),0.91)</f>
        <v>0.91</v>
      </c>
      <c r="D51" s="2" t="str">
        <f>IFERROR(__xludf.DUMMYFUNCTION("""COMPUTED_VALUE"""),"Gumu Khola")</f>
        <v>Gumu Khola</v>
      </c>
      <c r="E51" s="2">
        <f>IFERROR(__xludf.DUMMYFUNCTION("""COMPUTED_VALUE"""),9862.0)</f>
        <v>9862</v>
      </c>
      <c r="F51" s="3">
        <f>IFERROR(__xludf.DUMMYFUNCTION("""COMPUTED_VALUE"""),66884.0)</f>
        <v>66884</v>
      </c>
      <c r="G51" s="2" t="str">
        <f>IFERROR(__xludf.DUMMYFUNCTION("""COMPUTED_VALUE"""),"Kalinchok Rural Municipality (Promoter:Gumu Hydropower Private Limited)")</f>
        <v>Kalinchok Rural Municipality (Promoter:Gumu Hydropower Private Limited)</v>
      </c>
      <c r="H51" s="2" t="str">
        <f>IFERROR(__xludf.DUMMYFUNCTION("""COMPUTED_VALUE"""),"Sunkhani, Dolakha (KMC-31, Kathmandu)")</f>
        <v>Sunkhani, Dolakha (KMC-31, Kathmandu)</v>
      </c>
      <c r="I51" s="2" t="str">
        <f>IFERROR(__xludf.DUMMYFUNCTION("""COMPUTED_VALUE"""),"27o 42' 40""")</f>
        <v>27o 42' 40"</v>
      </c>
      <c r="J51" s="2" t="str">
        <f>IFERROR(__xludf.DUMMYFUNCTION("""COMPUTED_VALUE"""),"27o 42' 58""")</f>
        <v>27o 42' 58"</v>
      </c>
      <c r="K51" s="2" t="str">
        <f>IFERROR(__xludf.DUMMYFUNCTION("""COMPUTED_VALUE"""),"86o 08' 15""")</f>
        <v>86o 08' 15"</v>
      </c>
      <c r="L51" s="2" t="str">
        <f>IFERROR(__xludf.DUMMYFUNCTION("""COMPUTED_VALUE"""),"86o 08' 31""")</f>
        <v>86o 08' 31"</v>
      </c>
      <c r="M51" s="2" t="str">
        <f>IFERROR(__xludf.DUMMYFUNCTION("""COMPUTED_VALUE"""),"Lamidada,Sunakhani (Dolakha)")</f>
        <v>Lamidada,Sunakhani (Dolakha)</v>
      </c>
    </row>
    <row r="52">
      <c r="A52" s="2">
        <f>IFERROR(__xludf.DUMMYFUNCTION("""COMPUTED_VALUE"""),51.0)</f>
        <v>51</v>
      </c>
      <c r="B52" s="2" t="str">
        <f>IFERROR(__xludf.DUMMYFUNCTION("""COMPUTED_VALUE"""),"Ghyang Khola Small Hydropower Project")</f>
        <v>Ghyang Khola Small Hydropower Project</v>
      </c>
      <c r="C52" s="2">
        <f>IFERROR(__xludf.DUMMYFUNCTION("""COMPUTED_VALUE"""),0.883)</f>
        <v>0.883</v>
      </c>
      <c r="D52" s="2" t="str">
        <f>IFERROR(__xludf.DUMMYFUNCTION("""COMPUTED_VALUE"""),"Ghyang")</f>
        <v>Ghyang</v>
      </c>
      <c r="E52" s="2">
        <f>IFERROR(__xludf.DUMMYFUNCTION("""COMPUTED_VALUE"""),9975.0)</f>
        <v>9975</v>
      </c>
      <c r="F52" s="3">
        <f>IFERROR(__xludf.DUMMYFUNCTION("""COMPUTED_VALUE"""),66890.0)</f>
        <v>66890</v>
      </c>
      <c r="G52" s="2" t="str">
        <f>IFERROR(__xludf.DUMMYFUNCTION("""COMPUTED_VALUE"""),"Melung Rural Municipality (Promoter: Aarati Hyropower Private Limited)")</f>
        <v>Melung Rural Municipality (Promoter: Aarati Hyropower Private Limited)</v>
      </c>
      <c r="H52" s="2" t="str">
        <f>IFERROR(__xludf.DUMMYFUNCTION("""COMPUTED_VALUE"""),"Bhedpu, Dolakha (KMC-32, Kathmandu)")</f>
        <v>Bhedpu, Dolakha (KMC-32, Kathmandu)</v>
      </c>
      <c r="I52" s="2" t="str">
        <f>IFERROR(__xludf.DUMMYFUNCTION("""COMPUTED_VALUE"""),"27o 33' 40""")</f>
        <v>27o 33' 40"</v>
      </c>
      <c r="J52" s="2" t="str">
        <f>IFERROR(__xludf.DUMMYFUNCTION("""COMPUTED_VALUE"""),"27o 33' 53""")</f>
        <v>27o 33' 53"</v>
      </c>
      <c r="K52" s="2" t="str">
        <f>IFERROR(__xludf.DUMMYFUNCTION("""COMPUTED_VALUE"""),"86o 04' 07""")</f>
        <v>86o 04' 07"</v>
      </c>
      <c r="L52" s="2" t="str">
        <f>IFERROR(__xludf.DUMMYFUNCTION("""COMPUTED_VALUE"""),"86o 04' 19""")</f>
        <v>86o 04' 19"</v>
      </c>
      <c r="M52" s="2" t="str">
        <f>IFERROR(__xludf.DUMMYFUNCTION("""COMPUTED_VALUE"""),"Pawati (Dolakha)")</f>
        <v>Pawati (Dolakha)</v>
      </c>
    </row>
    <row r="53">
      <c r="A53" s="2">
        <f>IFERROR(__xludf.DUMMYFUNCTION("""COMPUTED_VALUE"""),52.0)</f>
        <v>52</v>
      </c>
      <c r="B53" s="2" t="str">
        <f>IFERROR(__xludf.DUMMYFUNCTION("""COMPUTED_VALUE"""),"Arkha Khola Micro Hydropower Project")</f>
        <v>Arkha Khola Micro Hydropower Project</v>
      </c>
      <c r="C53" s="2">
        <f>IFERROR(__xludf.DUMMYFUNCTION("""COMPUTED_VALUE"""),0.99)</f>
        <v>0.99</v>
      </c>
      <c r="D53" s="2" t="str">
        <f>IFERROR(__xludf.DUMMYFUNCTION("""COMPUTED_VALUE"""),"Arkha Khola")</f>
        <v>Arkha Khola</v>
      </c>
      <c r="E53" s="2">
        <f>IFERROR(__xludf.DUMMYFUNCTION("""COMPUTED_VALUE"""),10158.0)</f>
        <v>10158</v>
      </c>
      <c r="F53" s="3">
        <f>IFERROR(__xludf.DUMMYFUNCTION("""COMPUTED_VALUE"""),66892.0)</f>
        <v>66892</v>
      </c>
      <c r="G53" s="2" t="str">
        <f>IFERROR(__xludf.DUMMYFUNCTION("""COMPUTED_VALUE"""),"Gaumukhi Rural Municipality (Promoter:Alin Power Venture Private Limited)")</f>
        <v>Gaumukhi Rural Municipality (Promoter:Alin Power Venture Private Limited)</v>
      </c>
      <c r="H53" s="2" t="str">
        <f>IFERROR(__xludf.DUMMYFUNCTION("""COMPUTED_VALUE"""),"Puja, Pyuthan (Kathmandu)")</f>
        <v>Puja, Pyuthan (Kathmandu)</v>
      </c>
      <c r="I53" s="2" t="str">
        <f>IFERROR(__xludf.DUMMYFUNCTION("""COMPUTED_VALUE"""),"28o 15' 52""")</f>
        <v>28o 15' 52"</v>
      </c>
      <c r="J53" s="2" t="str">
        <f>IFERROR(__xludf.DUMMYFUNCTION("""COMPUTED_VALUE"""),"28o 16' 14""")</f>
        <v>28o 16' 14"</v>
      </c>
      <c r="K53" s="2" t="str">
        <f>IFERROR(__xludf.DUMMYFUNCTION("""COMPUTED_VALUE"""),"83o 03' 15""")</f>
        <v>83o 03' 15"</v>
      </c>
      <c r="L53" s="2" t="str">
        <f>IFERROR(__xludf.DUMMYFUNCTION("""COMPUTED_VALUE"""),"83o 03' 56""")</f>
        <v>83o 03' 56"</v>
      </c>
      <c r="M53" s="2" t="str">
        <f>IFERROR(__xludf.DUMMYFUNCTION("""COMPUTED_VALUE"""),"Akhra (Pyuthan)")</f>
        <v>Akhra (Pyuthan)</v>
      </c>
    </row>
    <row r="54">
      <c r="A54" s="2">
        <f>IFERROR(__xludf.DUMMYFUNCTION("""COMPUTED_VALUE"""),53.0)</f>
        <v>53</v>
      </c>
      <c r="B54" s="2" t="str">
        <f>IFERROR(__xludf.DUMMYFUNCTION("""COMPUTED_VALUE"""),"Dhunge Khola Hydropower Project")</f>
        <v>Dhunge Khola Hydropower Project</v>
      </c>
      <c r="C54" s="2">
        <f>IFERROR(__xludf.DUMMYFUNCTION("""COMPUTED_VALUE"""),0.939)</f>
        <v>0.939</v>
      </c>
      <c r="D54" s="2" t="str">
        <f>IFERROR(__xludf.DUMMYFUNCTION("""COMPUTED_VALUE"""),"Dhunge Khola")</f>
        <v>Dhunge Khola</v>
      </c>
      <c r="E54" s="2">
        <f>IFERROR(__xludf.DUMMYFUNCTION("""COMPUTED_VALUE"""),10201.0)</f>
        <v>10201</v>
      </c>
      <c r="F54" s="3">
        <f>IFERROR(__xludf.DUMMYFUNCTION("""COMPUTED_VALUE"""),66893.0)</f>
        <v>66893</v>
      </c>
      <c r="G54" s="2" t="str">
        <f>IFERROR(__xludf.DUMMYFUNCTION("""COMPUTED_VALUE"""),"Jiri Municipality (Promoter:Green Power Private Limited)")</f>
        <v>Jiri Municipality (Promoter:Green Power Private Limited)</v>
      </c>
      <c r="H54" s="2" t="str">
        <f>IFERROR(__xludf.DUMMYFUNCTION("""COMPUTED_VALUE"""),"Jiri, Dolakha (Madhyapur Thimi - 3, Bhaktapur)")</f>
        <v>Jiri, Dolakha (Madhyapur Thimi - 3, Bhaktapur)</v>
      </c>
      <c r="I54" s="2" t="str">
        <f>IFERROR(__xludf.DUMMYFUNCTION("""COMPUTED_VALUE"""),"27o 38' 50""")</f>
        <v>27o 38' 50"</v>
      </c>
      <c r="J54" s="2" t="str">
        <f>IFERROR(__xludf.DUMMYFUNCTION("""COMPUTED_VALUE"""),"27o 39' 25""")</f>
        <v>27o 39' 25"</v>
      </c>
      <c r="K54" s="2" t="str">
        <f>IFERROR(__xludf.DUMMYFUNCTION("""COMPUTED_VALUE"""),"86o 17' 28""")</f>
        <v>86o 17' 28"</v>
      </c>
      <c r="L54" s="2" t="str">
        <f>IFERROR(__xludf.DUMMYFUNCTION("""COMPUTED_VALUE"""),"86o 18' 04""")</f>
        <v>86o 18' 04"</v>
      </c>
      <c r="M54" s="2" t="str">
        <f>IFERROR(__xludf.DUMMYFUNCTION("""COMPUTED_VALUE"""),"Syama (Dolakha)")</f>
        <v>Syama (Dolakha)</v>
      </c>
    </row>
    <row r="55">
      <c r="A55" s="2">
        <f>IFERROR(__xludf.DUMMYFUNCTION("""COMPUTED_VALUE"""),54.0)</f>
        <v>54</v>
      </c>
      <c r="B55" s="2" t="str">
        <f>IFERROR(__xludf.DUMMYFUNCTION("""COMPUTED_VALUE"""),"Dorkhu Khola Hydroelectric Project")</f>
        <v>Dorkhu Khola Hydroelectric Project</v>
      </c>
      <c r="C55" s="2">
        <f>IFERROR(__xludf.DUMMYFUNCTION("""COMPUTED_VALUE"""),0.98)</f>
        <v>0.98</v>
      </c>
      <c r="D55" s="2" t="str">
        <f>IFERROR(__xludf.DUMMYFUNCTION("""COMPUTED_VALUE"""),"Dorkhu")</f>
        <v>Dorkhu</v>
      </c>
      <c r="E55" s="2">
        <f>IFERROR(__xludf.DUMMYFUNCTION("""COMPUTED_VALUE"""),10536.0)</f>
        <v>10536</v>
      </c>
      <c r="F55" s="3">
        <f>IFERROR(__xludf.DUMMYFUNCTION("""COMPUTED_VALUE"""),66901.0)</f>
        <v>66901</v>
      </c>
      <c r="G55" s="2" t="str">
        <f>IFERROR(__xludf.DUMMYFUNCTION("""COMPUTED_VALUE"""),"Tandi Rural Municipality (Promoter:Kotbari Energy Private Limited)")</f>
        <v>Tandi Rural Municipality (Promoter:Kotbari Energy Private Limited)</v>
      </c>
      <c r="H55" s="2" t="str">
        <f>IFERROR(__xludf.DUMMYFUNCTION("""COMPUTED_VALUE"""),"Kharanitar, Nuwakot(Budhanilkantha - 8, Kathmandu)")</f>
        <v>Kharanitar, Nuwakot(Budhanilkantha - 8, Kathmandu)</v>
      </c>
      <c r="I55" s="2" t="str">
        <f>IFERROR(__xludf.DUMMYFUNCTION("""COMPUTED_VALUE"""),"27o 57' 20""")</f>
        <v>27o 57' 20"</v>
      </c>
      <c r="J55" s="2" t="str">
        <f>IFERROR(__xludf.DUMMYFUNCTION("""COMPUTED_VALUE"""),"27o 57' 40""")</f>
        <v>27o 57' 40"</v>
      </c>
      <c r="K55" s="2" t="str">
        <f>IFERROR(__xludf.DUMMYFUNCTION("""COMPUTED_VALUE"""),"85o 19' 32""")</f>
        <v>85o 19' 32"</v>
      </c>
      <c r="L55" s="2" t="str">
        <f>IFERROR(__xludf.DUMMYFUNCTION("""COMPUTED_VALUE"""),"85o 19' 58""")</f>
        <v>85o 19' 58"</v>
      </c>
      <c r="M55" s="2"/>
    </row>
    <row r="56">
      <c r="A56" s="2">
        <f>IFERROR(__xludf.DUMMYFUNCTION("""COMPUTED_VALUE"""),55.0)</f>
        <v>55</v>
      </c>
      <c r="B56" s="2" t="str">
        <f>IFERROR(__xludf.DUMMYFUNCTION("""COMPUTED_VALUE"""),"Ghagar Khola Mini Hydropower Project")</f>
        <v>Ghagar Khola Mini Hydropower Project</v>
      </c>
      <c r="C56" s="2">
        <f>IFERROR(__xludf.DUMMYFUNCTION("""COMPUTED_VALUE"""),0.98)</f>
        <v>0.98</v>
      </c>
      <c r="D56" s="2" t="str">
        <f>IFERROR(__xludf.DUMMYFUNCTION("""COMPUTED_VALUE"""),"Ghagar")</f>
        <v>Ghagar</v>
      </c>
      <c r="E56" s="2">
        <f>IFERROR(__xludf.DUMMYFUNCTION("""COMPUTED_VALUE"""),10537.0)</f>
        <v>10537</v>
      </c>
      <c r="F56" s="3">
        <f>IFERROR(__xludf.DUMMYFUNCTION("""COMPUTED_VALUE"""),66901.0)</f>
        <v>66901</v>
      </c>
      <c r="G56" s="2" t="str">
        <f>IFERROR(__xludf.DUMMYFUNCTION("""COMPUTED_VALUE"""),"Dupcheshwor Rural municipality (Promoter: Kotbari Energy Private Limited)")</f>
        <v>Dupcheshwor Rural municipality (Promoter: Kotbari Energy Private Limited)</v>
      </c>
      <c r="H56" s="2" t="str">
        <f>IFERROR(__xludf.DUMMYFUNCTION("""COMPUTED_VALUE"""),"Samundratar, Nuwakot (Budhanilkantha)")</f>
        <v>Samundratar, Nuwakot (Budhanilkantha)</v>
      </c>
      <c r="I56" s="2" t="str">
        <f>IFERROR(__xludf.DUMMYFUNCTION("""COMPUTED_VALUE"""),"27o 58' 46""")</f>
        <v>27o 58' 46"</v>
      </c>
      <c r="J56" s="2" t="str">
        <f>IFERROR(__xludf.DUMMYFUNCTION("""COMPUTED_VALUE"""),"27o 59' 12""")</f>
        <v>27o 59' 12"</v>
      </c>
      <c r="K56" s="2" t="str">
        <f>IFERROR(__xludf.DUMMYFUNCTION("""COMPUTED_VALUE"""),"85o 26' 10""")</f>
        <v>85o 26' 10"</v>
      </c>
      <c r="L56" s="2" t="str">
        <f>IFERROR(__xludf.DUMMYFUNCTION("""COMPUTED_VALUE"""),"85o 26' 34""")</f>
        <v>85o 26' 34"</v>
      </c>
      <c r="M56" s="2" t="str">
        <f>IFERROR(__xludf.DUMMYFUNCTION("""COMPUTED_VALUE"""),"Dhyangphedi (Nuwakot)")</f>
        <v>Dhyangphedi (Nuwakot)</v>
      </c>
    </row>
    <row r="57">
      <c r="A57" s="2">
        <f>IFERROR(__xludf.DUMMYFUNCTION("""COMPUTED_VALUE"""),56.0)</f>
        <v>56</v>
      </c>
      <c r="B57" s="2" t="str">
        <f>IFERROR(__xludf.DUMMYFUNCTION("""COMPUTED_VALUE"""),"Yaksuwa Khola Small Hydropower Project")</f>
        <v>Yaksuwa Khola Small Hydropower Project</v>
      </c>
      <c r="C57" s="2">
        <f>IFERROR(__xludf.DUMMYFUNCTION("""COMPUTED_VALUE"""),0.837)</f>
        <v>0.837</v>
      </c>
      <c r="D57" s="2" t="str">
        <f>IFERROR(__xludf.DUMMYFUNCTION("""COMPUTED_VALUE"""),"Yaksuwa")</f>
        <v>Yaksuwa</v>
      </c>
      <c r="E57" s="2">
        <f>IFERROR(__xludf.DUMMYFUNCTION("""COMPUTED_VALUE"""),10544.0)</f>
        <v>10544</v>
      </c>
      <c r="F57" s="3">
        <f>IFERROR(__xludf.DUMMYFUNCTION("""COMPUTED_VALUE"""),66901.0)</f>
        <v>66901</v>
      </c>
      <c r="G57" s="2" t="str">
        <f>IFERROR(__xludf.DUMMYFUNCTION("""COMPUTED_VALUE"""),"Sabhapokhari Rural Municipality (Promoter: Sowa Hydropower Private Limited)")</f>
        <v>Sabhapokhari Rural Municipality (Promoter: Sowa Hydropower Private Limited)</v>
      </c>
      <c r="H57" s="2" t="str">
        <f>IFERROR(__xludf.DUMMYFUNCTION("""COMPUTED_VALUE"""),"Bahrabise, Sankhuwasabha (Mahalaxmi Municipality - 5, Lalitpur, Nepal)")</f>
        <v>Bahrabise, Sankhuwasabha (Mahalaxmi Municipality - 5, Lalitpur, Nepal)</v>
      </c>
      <c r="I57" s="2" t="str">
        <f>IFERROR(__xludf.DUMMYFUNCTION("""COMPUTED_VALUE"""),"27o 27' 25""")</f>
        <v>27o 27' 25"</v>
      </c>
      <c r="J57" s="2" t="str">
        <f>IFERROR(__xludf.DUMMYFUNCTION("""COMPUTED_VALUE"""),"27o 27' 56""")</f>
        <v>27o 27' 56"</v>
      </c>
      <c r="K57" s="2" t="str">
        <f>IFERROR(__xludf.DUMMYFUNCTION("""COMPUTED_VALUE"""),"87o 21' 00""")</f>
        <v>87o 21' 00"</v>
      </c>
      <c r="L57" s="2" t="str">
        <f>IFERROR(__xludf.DUMMYFUNCTION("""COMPUTED_VALUE"""),"87o 21' 39""")</f>
        <v>87o 21' 39"</v>
      </c>
      <c r="M57" s="2" t="str">
        <f>IFERROR(__xludf.DUMMYFUNCTION("""COMPUTED_VALUE"""),"Bahrabise Bazar (Sankhuwasabha)")</f>
        <v>Bahrabise Bazar (Sankhuwasabha)</v>
      </c>
    </row>
    <row r="58">
      <c r="A58" s="2">
        <f>IFERROR(__xludf.DUMMYFUNCTION("""COMPUTED_VALUE"""),57.0)</f>
        <v>57</v>
      </c>
      <c r="B58" s="2" t="str">
        <f>IFERROR(__xludf.DUMMYFUNCTION("""COMPUTED_VALUE"""),"Lower Giddhe Khola Small Hydropower Project")</f>
        <v>Lower Giddhe Khola Small Hydropower Project</v>
      </c>
      <c r="C58" s="2">
        <f>IFERROR(__xludf.DUMMYFUNCTION("""COMPUTED_VALUE"""),0.881)</f>
        <v>0.881</v>
      </c>
      <c r="D58" s="2" t="str">
        <f>IFERROR(__xludf.DUMMYFUNCTION("""COMPUTED_VALUE"""),"Giddhe Khola")</f>
        <v>Giddhe Khola</v>
      </c>
      <c r="E58" s="2">
        <f>IFERROR(__xludf.DUMMYFUNCTION("""COMPUTED_VALUE"""),10545.0)</f>
        <v>10545</v>
      </c>
      <c r="F58" s="3">
        <f>IFERROR(__xludf.DUMMYFUNCTION("""COMPUTED_VALUE"""),66901.0)</f>
        <v>66901</v>
      </c>
      <c r="G58" s="2" t="str">
        <f>IFERROR(__xludf.DUMMYFUNCTION("""COMPUTED_VALUE"""),"Sabhapokhari Rural Municipality (Promoter: Sowa Hydropower Private Limited)")</f>
        <v>Sabhapokhari Rural Municipality (Promoter: Sowa Hydropower Private Limited)</v>
      </c>
      <c r="H58" s="2" t="str">
        <f>IFERROR(__xludf.DUMMYFUNCTION("""COMPUTED_VALUE"""),"Bahrabise, Sankhuwasabha (Mahalaxmi Municipality - 5, Lalitpur, Nepal)")</f>
        <v>Bahrabise, Sankhuwasabha (Mahalaxmi Municipality - 5, Lalitpur, Nepal)</v>
      </c>
      <c r="I58" s="2" t="str">
        <f>IFERROR(__xludf.DUMMYFUNCTION("""COMPUTED_VALUE"""),"27o 26' 01""")</f>
        <v>27o 26' 01"</v>
      </c>
      <c r="J58" s="2" t="str">
        <f>IFERROR(__xludf.DUMMYFUNCTION("""COMPUTED_VALUE"""),"27o 26' 18""")</f>
        <v>27o 26' 18"</v>
      </c>
      <c r="K58" s="2" t="str">
        <f>IFERROR(__xludf.DUMMYFUNCTION("""COMPUTED_VALUE"""),"87o 24' 15""")</f>
        <v>87o 24' 15"</v>
      </c>
      <c r="L58" s="2" t="str">
        <f>IFERROR(__xludf.DUMMYFUNCTION("""COMPUTED_VALUE"""),"87o 24' 41""")</f>
        <v>87o 24' 41"</v>
      </c>
      <c r="M58" s="2" t="str">
        <f>IFERROR(__xludf.DUMMYFUNCTION("""COMPUTED_VALUE"""),"Sabha Pokhari (Sankhuwasabha)")</f>
        <v>Sabha Pokhari (Sankhuwasabha)</v>
      </c>
    </row>
    <row r="59">
      <c r="A59" s="2">
        <f>IFERROR(__xludf.DUMMYFUNCTION("""COMPUTED_VALUE"""),58.0)</f>
        <v>58</v>
      </c>
      <c r="B59" s="2" t="str">
        <f>IFERROR(__xludf.DUMMYFUNCTION("""COMPUTED_VALUE"""),"Lower Ghyang Khola Small Hydropower Project")</f>
        <v>Lower Ghyang Khola Small Hydropower Project</v>
      </c>
      <c r="C59" s="2">
        <f>IFERROR(__xludf.DUMMYFUNCTION("""COMPUTED_VALUE"""),0.982)</f>
        <v>0.982</v>
      </c>
      <c r="D59" s="2" t="str">
        <f>IFERROR(__xludf.DUMMYFUNCTION("""COMPUTED_VALUE"""),"Ghyang")</f>
        <v>Ghyang</v>
      </c>
      <c r="E59" s="2">
        <f>IFERROR(__xludf.DUMMYFUNCTION("""COMPUTED_VALUE"""),10736.0)</f>
        <v>10736</v>
      </c>
      <c r="F59" s="3">
        <f>IFERROR(__xludf.DUMMYFUNCTION("""COMPUTED_VALUE"""),66904.0)</f>
        <v>66904</v>
      </c>
      <c r="G59" s="2" t="str">
        <f>IFERROR(__xludf.DUMMYFUNCTION("""COMPUTED_VALUE"""),"Melung Rural Municipality (Promoter: S.S. Hyropower Private Limited)")</f>
        <v>Melung Rural Municipality (Promoter: S.S. Hyropower Private Limited)</v>
      </c>
      <c r="H59" s="2" t="str">
        <f>IFERROR(__xludf.DUMMYFUNCTION("""COMPUTED_VALUE"""),"Bhedpu, Dolakha (KMC-32, Kathmandu)")</f>
        <v>Bhedpu, Dolakha (KMC-32, Kathmandu)</v>
      </c>
      <c r="I59" s="2" t="str">
        <f>IFERROR(__xludf.DUMMYFUNCTION("""COMPUTED_VALUE"""),"27o 33' 40""")</f>
        <v>27o 33' 40"</v>
      </c>
      <c r="J59" s="2" t="str">
        <f>IFERROR(__xludf.DUMMYFUNCTION("""COMPUTED_VALUE"""),"27o 33' 53""")</f>
        <v>27o 33' 53"</v>
      </c>
      <c r="K59" s="2" t="str">
        <f>IFERROR(__xludf.DUMMYFUNCTION("""COMPUTED_VALUE"""),"86o 04' 21""")</f>
        <v>86o 04' 21"</v>
      </c>
      <c r="L59" s="2" t="str">
        <f>IFERROR(__xludf.DUMMYFUNCTION("""COMPUTED_VALUE"""),"86o 04' 30""")</f>
        <v>86o 04' 30"</v>
      </c>
      <c r="M59" s="2" t="str">
        <f>IFERROR(__xludf.DUMMYFUNCTION("""COMPUTED_VALUE"""),"Dhyangsukathchaur,Pawati (Dolakha)")</f>
        <v>Dhyangsukathchaur,Pawati (Dolakha)</v>
      </c>
    </row>
    <row r="60">
      <c r="A60" s="2">
        <f>IFERROR(__xludf.DUMMYFUNCTION("""COMPUTED_VALUE"""),59.0)</f>
        <v>59</v>
      </c>
      <c r="B60" s="2" t="str">
        <f>IFERROR(__xludf.DUMMYFUNCTION("""COMPUTED_VALUE"""),"Surnaya Gad Small hydropower Proejct")</f>
        <v>Surnaya Gad Small hydropower Proejct</v>
      </c>
      <c r="C60" s="2">
        <f>IFERROR(__xludf.DUMMYFUNCTION("""COMPUTED_VALUE"""),0.968)</f>
        <v>0.968</v>
      </c>
      <c r="D60" s="2" t="str">
        <f>IFERROR(__xludf.DUMMYFUNCTION("""COMPUTED_VALUE"""),"Surnaya Gad")</f>
        <v>Surnaya Gad</v>
      </c>
      <c r="E60" s="2">
        <f>IFERROR(__xludf.DUMMYFUNCTION("""COMPUTED_VALUE"""),10787.0)</f>
        <v>10787</v>
      </c>
      <c r="F60" s="3">
        <f>IFERROR(__xludf.DUMMYFUNCTION("""COMPUTED_VALUE"""),66905.0)</f>
        <v>66905</v>
      </c>
      <c r="G60" s="2" t="str">
        <f>IFERROR(__xludf.DUMMYFUNCTION("""COMPUTED_VALUE"""),"Kaipal Urja ltd")</f>
        <v>Kaipal Urja ltd</v>
      </c>
      <c r="H60" s="2" t="str">
        <f>IFERROR(__xludf.DUMMYFUNCTION("""COMPUTED_VALUE"""),"Attaria, kailali")</f>
        <v>Attaria, kailali</v>
      </c>
      <c r="I60" s="2" t="str">
        <f>IFERROR(__xludf.DUMMYFUNCTION("""COMPUTED_VALUE"""),"29o 24' 42""")</f>
        <v>29o 24' 42"</v>
      </c>
      <c r="J60" s="2" t="str">
        <f>IFERROR(__xludf.DUMMYFUNCTION("""COMPUTED_VALUE"""),"29o 25' 18""")</f>
        <v>29o 25' 18"</v>
      </c>
      <c r="K60" s="2" t="str">
        <f>IFERROR(__xludf.DUMMYFUNCTION("""COMPUTED_VALUE"""),"80o 28' 08""")</f>
        <v>80o 28' 08"</v>
      </c>
      <c r="L60" s="2" t="str">
        <f>IFERROR(__xludf.DUMMYFUNCTION("""COMPUTED_VALUE"""),"80o 28' 55""")</f>
        <v>80o 28' 55"</v>
      </c>
      <c r="M60" s="2" t="str">
        <f>IFERROR(__xludf.DUMMYFUNCTION("""COMPUTED_VALUE"""),"Bilashpur (Baitadi)")</f>
        <v>Bilashpur (Baitadi)</v>
      </c>
    </row>
    <row r="61">
      <c r="A61" s="2">
        <f>IFERROR(__xludf.DUMMYFUNCTION("""COMPUTED_VALUE"""),60.0)</f>
        <v>60</v>
      </c>
      <c r="B61" s="2" t="str">
        <f>IFERROR(__xludf.DUMMYFUNCTION("""COMPUTED_VALUE"""),"Shantipur Thuligad hydropower Proejct")</f>
        <v>Shantipur Thuligad hydropower Proejct</v>
      </c>
      <c r="C61" s="2">
        <f>IFERROR(__xludf.DUMMYFUNCTION("""COMPUTED_VALUE"""),0.99)</f>
        <v>0.99</v>
      </c>
      <c r="D61" s="2" t="str">
        <f>IFERROR(__xludf.DUMMYFUNCTION("""COMPUTED_VALUE"""),"Thuli gad")</f>
        <v>Thuli gad</v>
      </c>
      <c r="E61" s="2">
        <f>IFERROR(__xludf.DUMMYFUNCTION("""COMPUTED_VALUE"""),10792.0)</f>
        <v>10792</v>
      </c>
      <c r="F61" s="3">
        <f>IFERROR(__xludf.DUMMYFUNCTION("""COMPUTED_VALUE"""),66905.0)</f>
        <v>66905</v>
      </c>
      <c r="G61" s="2" t="str">
        <f>IFERROR(__xludf.DUMMYFUNCTION("""COMPUTED_VALUE"""),"Birat Engineering Service Pvt. Ltd")</f>
        <v>Birat Engineering Service Pvt. Ltd</v>
      </c>
      <c r="H61" s="2" t="str">
        <f>IFERROR(__xludf.DUMMYFUNCTION("""COMPUTED_VALUE"""),"Attaria, kailali")</f>
        <v>Attaria, kailali</v>
      </c>
      <c r="I61" s="2" t="str">
        <f>IFERROR(__xludf.DUMMYFUNCTION("""COMPUTED_VALUE"""),"29o 00' 45""")</f>
        <v>29o 00' 45"</v>
      </c>
      <c r="J61" s="2" t="str">
        <f>IFERROR(__xludf.DUMMYFUNCTION("""COMPUTED_VALUE"""),"29o 01' 25""")</f>
        <v>29o 01' 25"</v>
      </c>
      <c r="K61" s="2" t="str">
        <f>IFERROR(__xludf.DUMMYFUNCTION("""COMPUTED_VALUE"""),"80o 40' 40""")</f>
        <v>80o 40' 40"</v>
      </c>
      <c r="L61" s="2" t="str">
        <f>IFERROR(__xludf.DUMMYFUNCTION("""COMPUTED_VALUE"""),"80o 49' 40""")</f>
        <v>80o 49' 40"</v>
      </c>
      <c r="M61" s="2" t="str">
        <f>IFERROR(__xludf.DUMMYFUNCTION("""COMPUTED_VALUE"""),"Dansinhapur (Kailali)")</f>
        <v>Dansinhapur (Kailali)</v>
      </c>
    </row>
    <row r="62">
      <c r="A62" s="2">
        <f>IFERROR(__xludf.DUMMYFUNCTION("""COMPUTED_VALUE"""),61.0)</f>
        <v>61</v>
      </c>
      <c r="B62" s="2" t="str">
        <f>IFERROR(__xludf.DUMMYFUNCTION("""COMPUTED_VALUE"""),"Tallo Chaukhola Small Hydropower Project")</f>
        <v>Tallo Chaukhola Small Hydropower Project</v>
      </c>
      <c r="C62" s="2">
        <f>IFERROR(__xludf.DUMMYFUNCTION("""COMPUTED_VALUE"""),0.991)</f>
        <v>0.991</v>
      </c>
      <c r="D62" s="2" t="str">
        <f>IFERROR(__xludf.DUMMYFUNCTION("""COMPUTED_VALUE"""),"Chau")</f>
        <v>Chau</v>
      </c>
      <c r="E62" s="2">
        <f>IFERROR(__xludf.DUMMYFUNCTION("""COMPUTED_VALUE"""),10818.0)</f>
        <v>10818</v>
      </c>
      <c r="F62" s="3">
        <f>IFERROR(__xludf.DUMMYFUNCTION("""COMPUTED_VALUE"""),66908.0)</f>
        <v>66908</v>
      </c>
      <c r="G62" s="2" t="str">
        <f>IFERROR(__xludf.DUMMYFUNCTION("""COMPUTED_VALUE"""),"Mahabharat Rural Municipality (Promoter: New Grand Energy private Limited)")</f>
        <v>Mahabharat Rural Municipality (Promoter: New Grand Energy private Limited)</v>
      </c>
      <c r="H62" s="2" t="str">
        <f>IFERROR(__xludf.DUMMYFUNCTION("""COMPUTED_VALUE"""),"Devitar, Kavreplanchowk (Lalitpur - 23, Dhapakhel)")</f>
        <v>Devitar, Kavreplanchowk (Lalitpur - 23, Dhapakhel)</v>
      </c>
      <c r="I62" s="2" t="str">
        <f>IFERROR(__xludf.DUMMYFUNCTION("""COMPUTED_VALUE"""),"27o 23' 19""")</f>
        <v>27o 23' 19"</v>
      </c>
      <c r="J62" s="2" t="str">
        <f>IFERROR(__xludf.DUMMYFUNCTION("""COMPUTED_VALUE"""),"27o 23' 56""")</f>
        <v>27o 23' 56"</v>
      </c>
      <c r="K62" s="2" t="str">
        <f>IFERROR(__xludf.DUMMYFUNCTION("""COMPUTED_VALUE"""),"85o 32' 17""")</f>
        <v>85o 32' 17"</v>
      </c>
      <c r="L62" s="2" t="str">
        <f>IFERROR(__xludf.DUMMYFUNCTION("""COMPUTED_VALUE"""),"85o 32' 59""")</f>
        <v>85o 32' 59"</v>
      </c>
      <c r="M62" s="2"/>
    </row>
    <row r="63">
      <c r="A63" s="2">
        <f>IFERROR(__xludf.DUMMYFUNCTION("""COMPUTED_VALUE"""),62.0)</f>
        <v>62</v>
      </c>
      <c r="B63" s="2" t="str">
        <f>IFERROR(__xludf.DUMMYFUNCTION("""COMPUTED_VALUE"""),"Ghunsa A Small Hydropower Project")</f>
        <v>Ghunsa A Small Hydropower Project</v>
      </c>
      <c r="C63" s="2">
        <f>IFERROR(__xludf.DUMMYFUNCTION("""COMPUTED_VALUE"""),0.993)</f>
        <v>0.993</v>
      </c>
      <c r="D63" s="2" t="str">
        <f>IFERROR(__xludf.DUMMYFUNCTION("""COMPUTED_VALUE"""),"Ghunsa Khola")</f>
        <v>Ghunsa Khola</v>
      </c>
      <c r="E63" s="2">
        <f>IFERROR(__xludf.DUMMYFUNCTION("""COMPUTED_VALUE"""),10896.0)</f>
        <v>10896</v>
      </c>
      <c r="F63" s="3">
        <f>IFERROR(__xludf.DUMMYFUNCTION("""COMPUTED_VALUE"""),66909.0)</f>
        <v>66909</v>
      </c>
      <c r="G63" s="2" t="str">
        <f>IFERROR(__xludf.DUMMYFUNCTION("""COMPUTED_VALUE"""),"Dharmadevi Municipality (Promoter: Dharmadevi Urja Private Limited)")</f>
        <v>Dharmadevi Municipality (Promoter: Dharmadevi Urja Private Limited)</v>
      </c>
      <c r="H63" s="2" t="str">
        <f>IFERROR(__xludf.DUMMYFUNCTION("""COMPUTED_VALUE"""),"Sankhuwasabha")</f>
        <v>Sankhuwasabha</v>
      </c>
      <c r="I63" s="2" t="str">
        <f>IFERROR(__xludf.DUMMYFUNCTION("""COMPUTED_VALUE"""),"27o 12' 19""")</f>
        <v>27o 12' 19"</v>
      </c>
      <c r="J63" s="2" t="str">
        <f>IFERROR(__xludf.DUMMYFUNCTION("""COMPUTED_VALUE"""),"27o 12' 45""")</f>
        <v>27o 12' 45"</v>
      </c>
      <c r="K63" s="2" t="str">
        <f>IFERROR(__xludf.DUMMYFUNCTION("""COMPUTED_VALUE"""),"87o 25' 35""")</f>
        <v>87o 25' 35"</v>
      </c>
      <c r="L63" s="2" t="str">
        <f>IFERROR(__xludf.DUMMYFUNCTION("""COMPUTED_VALUE"""),"87o 26' 06""")</f>
        <v>87o 26' 06"</v>
      </c>
      <c r="M63" s="2" t="str">
        <f>IFERROR(__xludf.DUMMYFUNCTION("""COMPUTED_VALUE"""),"Madi Mulkharka,Tamfok (Sankhuwasabha)")</f>
        <v>Madi Mulkharka,Tamfok (Sankhuwasabha)</v>
      </c>
    </row>
    <row r="64">
      <c r="A64" s="2">
        <f>IFERROR(__xludf.DUMMYFUNCTION("""COMPUTED_VALUE"""),63.0)</f>
        <v>63</v>
      </c>
      <c r="B64" s="2" t="str">
        <f>IFERROR(__xludf.DUMMYFUNCTION("""COMPUTED_VALUE"""),"Harpan Khola Small Hydropower Project")</f>
        <v>Harpan Khola Small Hydropower Project</v>
      </c>
      <c r="C64" s="2">
        <f>IFERROR(__xludf.DUMMYFUNCTION("""COMPUTED_VALUE"""),0.845)</f>
        <v>0.845</v>
      </c>
      <c r="D64" s="2" t="str">
        <f>IFERROR(__xludf.DUMMYFUNCTION("""COMPUTED_VALUE"""),"Harpan Khola")</f>
        <v>Harpan Khola</v>
      </c>
      <c r="E64" s="2">
        <f>IFERROR(__xludf.DUMMYFUNCTION("""COMPUTED_VALUE"""),10897.0)</f>
        <v>10897</v>
      </c>
      <c r="F64" s="3">
        <f>IFERROR(__xludf.DUMMYFUNCTION("""COMPUTED_VALUE"""),66909.0)</f>
        <v>66909</v>
      </c>
      <c r="G64" s="2" t="str">
        <f>IFERROR(__xludf.DUMMYFUNCTION("""COMPUTED_VALUE"""),"Pokhara Metropolitan City (Promoter: International Energy Group Nepal 
Private Limited)")</f>
        <v>Pokhara Metropolitan City (Promoter: International Energy Group Nepal 
Private Limited)</v>
      </c>
      <c r="H64" s="2" t="str">
        <f>IFERROR(__xludf.DUMMYFUNCTION("""COMPUTED_VALUE"""),"Newroad, Kaski (Lazimpat, Kathmandu)")</f>
        <v>Newroad, Kaski (Lazimpat, Kathmandu)</v>
      </c>
      <c r="I64" s="2" t="str">
        <f>IFERROR(__xludf.DUMMYFUNCTION("""COMPUTED_VALUE"""),"28o 14' 12""")</f>
        <v>28o 14' 12"</v>
      </c>
      <c r="J64" s="2" t="str">
        <f>IFERROR(__xludf.DUMMYFUNCTION("""COMPUTED_VALUE"""),"28o 14' 28""")</f>
        <v>28o 14' 28"</v>
      </c>
      <c r="K64" s="2" t="str">
        <f>IFERROR(__xludf.DUMMYFUNCTION("""COMPUTED_VALUE"""),"83o 51' 08""")</f>
        <v>83o 51' 08"</v>
      </c>
      <c r="L64" s="2" t="str">
        <f>IFERROR(__xludf.DUMMYFUNCTION("""COMPUTED_VALUE"""),"83o 51' 45""")</f>
        <v>83o 51' 45"</v>
      </c>
      <c r="M64" s="2" t="str">
        <f>IFERROR(__xludf.DUMMYFUNCTION("""COMPUTED_VALUE"""),"Chapakot,Bhadaure Tamagi (Kaski)")</f>
        <v>Chapakot,Bhadaure Tamagi (Kaski)</v>
      </c>
    </row>
    <row r="65">
      <c r="A65" s="2">
        <f>IFERROR(__xludf.DUMMYFUNCTION("""COMPUTED_VALUE"""),64.0)</f>
        <v>64</v>
      </c>
      <c r="B65" s="2" t="str">
        <f>IFERROR(__xludf.DUMMYFUNCTION("""COMPUTED_VALUE"""),"Upper Harpan Khola Small Hydropower Project")</f>
        <v>Upper Harpan Khola Small Hydropower Project</v>
      </c>
      <c r="C65" s="2">
        <f>IFERROR(__xludf.DUMMYFUNCTION("""COMPUTED_VALUE"""),0.893)</f>
        <v>0.893</v>
      </c>
      <c r="D65" s="2" t="str">
        <f>IFERROR(__xludf.DUMMYFUNCTION("""COMPUTED_VALUE"""),"Harpan Khola")</f>
        <v>Harpan Khola</v>
      </c>
      <c r="E65" s="2">
        <f>IFERROR(__xludf.DUMMYFUNCTION("""COMPUTED_VALUE"""),10898.0)</f>
        <v>10898</v>
      </c>
      <c r="F65" s="3">
        <f>IFERROR(__xludf.DUMMYFUNCTION("""COMPUTED_VALUE"""),66909.0)</f>
        <v>66909</v>
      </c>
      <c r="G65" s="2" t="str">
        <f>IFERROR(__xludf.DUMMYFUNCTION("""COMPUTED_VALUE"""),"Pokhara Metropolitan City (Promoter: Gandaki Energy Development Private 
Limited)")</f>
        <v>Pokhara Metropolitan City (Promoter: Gandaki Energy Development Private 
Limited)</v>
      </c>
      <c r="H65" s="2" t="str">
        <f>IFERROR(__xludf.DUMMYFUNCTION("""COMPUTED_VALUE"""),"Newroad, Kaski (Lazimpat, Kathmandu)")</f>
        <v>Newroad, Kaski (Lazimpat, Kathmandu)</v>
      </c>
      <c r="I65" s="2" t="str">
        <f>IFERROR(__xludf.DUMMYFUNCTION("""COMPUTED_VALUE"""),"28o 13' 55""")</f>
        <v>28o 13' 55"</v>
      </c>
      <c r="J65" s="2" t="str">
        <f>IFERROR(__xludf.DUMMYFUNCTION("""COMPUTED_VALUE"""),"28o 14' 31""")</f>
        <v>28o 14' 31"</v>
      </c>
      <c r="K65" s="2" t="str">
        <f>IFERROR(__xludf.DUMMYFUNCTION("""COMPUTED_VALUE"""),"83o 50' 07""")</f>
        <v>83o 50' 07"</v>
      </c>
      <c r="L65" s="2" t="str">
        <f>IFERROR(__xludf.DUMMYFUNCTION("""COMPUTED_VALUE"""),"83o 51' 06""")</f>
        <v>83o 51' 06"</v>
      </c>
      <c r="M65" s="2" t="str">
        <f>IFERROR(__xludf.DUMMYFUNCTION("""COMPUTED_VALUE"""),"Bhadaure Tamagi,Chapakot (Kaski)")</f>
        <v>Bhadaure Tamagi,Chapakot (Kaski)</v>
      </c>
    </row>
    <row r="66">
      <c r="A66" s="2">
        <f>IFERROR(__xludf.DUMMYFUNCTION("""COMPUTED_VALUE"""),65.0)</f>
        <v>65</v>
      </c>
      <c r="B66" s="2" t="str">
        <f>IFERROR(__xludf.DUMMYFUNCTION("""COMPUTED_VALUE"""),"Lower Sardi Khola Small Hydropower Project")</f>
        <v>Lower Sardi Khola Small Hydropower Project</v>
      </c>
      <c r="C66" s="2">
        <f>IFERROR(__xludf.DUMMYFUNCTION("""COMPUTED_VALUE"""),0.823)</f>
        <v>0.823</v>
      </c>
      <c r="D66" s="2" t="str">
        <f>IFERROR(__xludf.DUMMYFUNCTION("""COMPUTED_VALUE"""),"Sardi")</f>
        <v>Sardi</v>
      </c>
      <c r="E66" s="2">
        <f>IFERROR(__xludf.DUMMYFUNCTION("""COMPUTED_VALUE"""),10955.0)</f>
        <v>10955</v>
      </c>
      <c r="F66" s="3">
        <f>IFERROR(__xludf.DUMMYFUNCTION("""COMPUTED_VALUE"""),66910.0)</f>
        <v>66910</v>
      </c>
      <c r="G66" s="2" t="str">
        <f>IFERROR(__xludf.DUMMYFUNCTION("""COMPUTED_VALUE"""),"Machhapuchchhre Rural Municipality (Promoter: International Energy Group 
Nepal Private Limited)")</f>
        <v>Machhapuchchhre Rural Municipality (Promoter: International Energy Group 
Nepal Private Limited)</v>
      </c>
      <c r="H66" s="2" t="str">
        <f>IFERROR(__xludf.DUMMYFUNCTION("""COMPUTED_VALUE"""),"Lahachowk, Kaski (Lainchaur, Kathamandu)")</f>
        <v>Lahachowk, Kaski (Lainchaur, Kathamandu)</v>
      </c>
      <c r="I66" s="2" t="str">
        <f>IFERROR(__xludf.DUMMYFUNCTION("""COMPUTED_VALUE"""),"28o 20' 07""")</f>
        <v>28o 20' 07"</v>
      </c>
      <c r="J66" s="2" t="str">
        <f>IFERROR(__xludf.DUMMYFUNCTION("""COMPUTED_VALUE"""),"28o 20' 52""")</f>
        <v>28o 20' 52"</v>
      </c>
      <c r="K66" s="2" t="str">
        <f>IFERROR(__xludf.DUMMYFUNCTION("""COMPUTED_VALUE"""),"83o 57' 43""")</f>
        <v>83o 57' 43"</v>
      </c>
      <c r="L66" s="2" t="str">
        <f>IFERROR(__xludf.DUMMYFUNCTION("""COMPUTED_VALUE"""),"83o 58' 29""")</f>
        <v>83o 58' 29"</v>
      </c>
      <c r="M66" s="2" t="str">
        <f>IFERROR(__xludf.DUMMYFUNCTION("""COMPUTED_VALUE"""),"Sardikhola (Kaski)")</f>
        <v>Sardikhola (Kaski)</v>
      </c>
    </row>
    <row r="67">
      <c r="A67" s="2">
        <f>IFERROR(__xludf.DUMMYFUNCTION("""COMPUTED_VALUE"""),66.0)</f>
        <v>66</v>
      </c>
      <c r="B67" s="2" t="str">
        <f>IFERROR(__xludf.DUMMYFUNCTION("""COMPUTED_VALUE"""),"Middle Sardi Khola Small Hydropower Project")</f>
        <v>Middle Sardi Khola Small Hydropower Project</v>
      </c>
      <c r="C67" s="2">
        <f>IFERROR(__xludf.DUMMYFUNCTION("""COMPUTED_VALUE"""),0.924)</f>
        <v>0.924</v>
      </c>
      <c r="D67" s="2" t="str">
        <f>IFERROR(__xludf.DUMMYFUNCTION("""COMPUTED_VALUE"""),"Sardi")</f>
        <v>Sardi</v>
      </c>
      <c r="E67" s="2">
        <f>IFERROR(__xludf.DUMMYFUNCTION("""COMPUTED_VALUE"""),10956.0)</f>
        <v>10956</v>
      </c>
      <c r="F67" s="3">
        <f>IFERROR(__xludf.DUMMYFUNCTION("""COMPUTED_VALUE"""),66910.0)</f>
        <v>66910</v>
      </c>
      <c r="G67" s="2" t="str">
        <f>IFERROR(__xludf.DUMMYFUNCTION("""COMPUTED_VALUE"""),"Machhapuchchhre Rural Municipality (Promoter: Gandaki Energy Development 
Private Limited)")</f>
        <v>Machhapuchchhre Rural Municipality (Promoter: Gandaki Energy Development 
Private Limited)</v>
      </c>
      <c r="H67" s="2" t="str">
        <f>IFERROR(__xludf.DUMMYFUNCTION("""COMPUTED_VALUE"""),"Lahachowk, Kaski (Lainchaur, Kathamandu)")</f>
        <v>Lahachowk, Kaski (Lainchaur, Kathamandu)</v>
      </c>
      <c r="I67" s="2" t="str">
        <f>IFERROR(__xludf.DUMMYFUNCTION("""COMPUTED_VALUE"""),"28o 21' 07""")</f>
        <v>28o 21' 07"</v>
      </c>
      <c r="J67" s="2" t="str">
        <f>IFERROR(__xludf.DUMMYFUNCTION("""COMPUTED_VALUE"""),"28o 21' 32""")</f>
        <v>28o 21' 32"</v>
      </c>
      <c r="K67" s="2" t="str">
        <f>IFERROR(__xludf.DUMMYFUNCTION("""COMPUTED_VALUE"""),"84o 00' 07""")</f>
        <v>84o 00' 07"</v>
      </c>
      <c r="L67" s="2" t="str">
        <f>IFERROR(__xludf.DUMMYFUNCTION("""COMPUTED_VALUE"""),"84o 00' 46""")</f>
        <v>84o 00' 46"</v>
      </c>
      <c r="M67" s="2" t="str">
        <f>IFERROR(__xludf.DUMMYFUNCTION("""COMPUTED_VALUE"""),"Sardikhola (Kaski)")</f>
        <v>Sardikhola (Kaski)</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1" t="str">
        <f>IFERROR(__xludf.DUMMYFUNCTION("IMPORTHTML(""https://www.doed.gov.np/pages/appslhydromorethan1/"",""table"",1)"),"S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IFERROR(__xludf.DUMMYFUNCTION("""COMPUTED_VALUE"""),"Appn No")</f>
        <v>Appn No</v>
      </c>
      <c r="F1" s="1" t="str">
        <f>IFERROR(__xludf.DUMMYFUNCTION("""COMPUTED_VALUE"""),"Appn Date")</f>
        <v>Appn Date</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row r="2">
      <c r="A2" s="2">
        <f>IFERROR(__xludf.DUMMYFUNCTION("""COMPUTED_VALUE"""),1.0)</f>
        <v>1</v>
      </c>
      <c r="B2" s="2" t="str">
        <f>IFERROR(__xludf.DUMMYFUNCTION("""COMPUTED_VALUE"""),"Sunkoshi Marin Cascade Hydropower Project")</f>
        <v>Sunkoshi Marin Cascade Hydropower Project</v>
      </c>
      <c r="C2" s="2">
        <f>IFERROR(__xludf.DUMMYFUNCTION("""COMPUTED_VALUE"""),24.8)</f>
        <v>24.8</v>
      </c>
      <c r="D2" s="2" t="str">
        <f>IFERROR(__xludf.DUMMYFUNCTION("""COMPUTED_VALUE"""),"Sunkoshi &amp; Marin Khola")</f>
        <v>Sunkoshi &amp; Marin Khola</v>
      </c>
      <c r="E2" s="2">
        <f>IFERROR(__xludf.DUMMYFUNCTION("""COMPUTED_VALUE"""),5821.0)</f>
        <v>5821</v>
      </c>
      <c r="F2" s="3">
        <f>IFERROR(__xludf.DUMMYFUNCTION("""COMPUTED_VALUE"""),65727.0)</f>
        <v>65727</v>
      </c>
      <c r="G2" s="2" t="str">
        <f>IFERROR(__xludf.DUMMYFUNCTION("""COMPUTED_VALUE"""),"Kamalamai Power Private Limited")</f>
        <v>Kamalamai Power Private Limited</v>
      </c>
      <c r="H2" s="2" t="str">
        <f>IFERROR(__xludf.DUMMYFUNCTION("""COMPUTED_VALUE"""),"Kathmandu - 5, Nepal")</f>
        <v>Kathmandu - 5, Nepal</v>
      </c>
      <c r="I2" s="2" t="str">
        <f>IFERROR(__xludf.DUMMYFUNCTION("""COMPUTED_VALUE"""),"28o 14' 38""")</f>
        <v>28o 14' 38"</v>
      </c>
      <c r="J2" s="2" t="str">
        <f>IFERROR(__xludf.DUMMYFUNCTION("""COMPUTED_VALUE"""),"28o 16' 14""")</f>
        <v>28o 16' 14"</v>
      </c>
      <c r="K2" s="2" t="str">
        <f>IFERROR(__xludf.DUMMYFUNCTION("""COMPUTED_VALUE"""),"84o 49' 15""")</f>
        <v>84o 49' 15"</v>
      </c>
      <c r="L2" s="2" t="str">
        <f>IFERROR(__xludf.DUMMYFUNCTION("""COMPUTED_VALUE"""),"84o 52' 45""")</f>
        <v>84o 52' 45"</v>
      </c>
      <c r="M2" s="2"/>
    </row>
    <row r="3">
      <c r="A3" s="2">
        <f>IFERROR(__xludf.DUMMYFUNCTION("""COMPUTED_VALUE"""),2.0)</f>
        <v>2</v>
      </c>
      <c r="B3" s="2" t="str">
        <f>IFERROR(__xludf.DUMMYFUNCTION("""COMPUTED_VALUE"""),"Ghunsa Khola Hydropower Project")</f>
        <v>Ghunsa Khola Hydropower Project</v>
      </c>
      <c r="C3" s="2">
        <f>IFERROR(__xludf.DUMMYFUNCTION("""COMPUTED_VALUE"""),155.82)</f>
        <v>155.82</v>
      </c>
      <c r="D3" s="2" t="str">
        <f>IFERROR(__xludf.DUMMYFUNCTION("""COMPUTED_VALUE"""),"Ghunsa Khola")</f>
        <v>Ghunsa Khola</v>
      </c>
      <c r="E3" s="2">
        <f>IFERROR(__xludf.DUMMYFUNCTION("""COMPUTED_VALUE"""),5833.0)</f>
        <v>5833</v>
      </c>
      <c r="F3" s="3">
        <f>IFERROR(__xludf.DUMMYFUNCTION("""COMPUTED_VALUE"""),65727.0)</f>
        <v>65727</v>
      </c>
      <c r="G3" s="2" t="str">
        <f>IFERROR(__xludf.DUMMYFUNCTION("""COMPUTED_VALUE"""),"RM Investment Company Pvt. Ltd.")</f>
        <v>RM Investment Company Pvt. Ltd.</v>
      </c>
      <c r="H3" s="2" t="str">
        <f>IFERROR(__xludf.DUMMYFUNCTION("""COMPUTED_VALUE"""),"New Baneshwor, Kathmandu, Nepal")</f>
        <v>New Baneshwor, Kathmandu, Nepal</v>
      </c>
      <c r="I3" s="2" t="str">
        <f>IFERROR(__xludf.DUMMYFUNCTION("""COMPUTED_VALUE"""),"27o 34' 00""")</f>
        <v>27o 34' 00"</v>
      </c>
      <c r="J3" s="2" t="str">
        <f>IFERROR(__xludf.DUMMYFUNCTION("""COMPUTED_VALUE"""),"27o 40' 00""")</f>
        <v>27o 40' 00"</v>
      </c>
      <c r="K3" s="2" t="str">
        <f>IFERROR(__xludf.DUMMYFUNCTION("""COMPUTED_VALUE"""),"87o 51' 08""")</f>
        <v>87o 51' 08"</v>
      </c>
      <c r="L3" s="2" t="str">
        <f>IFERROR(__xludf.DUMMYFUNCTION("""COMPUTED_VALUE"""),"87o 57' 08""")</f>
        <v>87o 57' 08"</v>
      </c>
      <c r="M3" s="2" t="str">
        <f>IFERROR(__xludf.DUMMYFUNCTION("""COMPUTED_VALUE"""),"Lelep,Tapethok (Taplejung)")</f>
        <v>Lelep,Tapethok (Taplejung)</v>
      </c>
    </row>
    <row r="4">
      <c r="A4" s="2">
        <f>IFERROR(__xludf.DUMMYFUNCTION("""COMPUTED_VALUE"""),3.0)</f>
        <v>3</v>
      </c>
      <c r="B4" s="2" t="str">
        <f>IFERROR(__xludf.DUMMYFUNCTION("""COMPUTED_VALUE"""),"Lower Magic Karnali PROR HEP")</f>
        <v>Lower Magic Karnali PROR HEP</v>
      </c>
      <c r="C4" s="2">
        <f>IFERROR(__xludf.DUMMYFUNCTION("""COMPUTED_VALUE"""),92.0)</f>
        <v>92</v>
      </c>
      <c r="D4" s="2" t="str">
        <f>IFERROR(__xludf.DUMMYFUNCTION("""COMPUTED_VALUE"""),"Karnali")</f>
        <v>Karnali</v>
      </c>
      <c r="E4" s="2">
        <f>IFERROR(__xludf.DUMMYFUNCTION("""COMPUTED_VALUE"""),2621.0)</f>
        <v>2621</v>
      </c>
      <c r="F4" s="3">
        <f>IFERROR(__xludf.DUMMYFUNCTION("""COMPUTED_VALUE"""),66300.0)</f>
        <v>66300</v>
      </c>
      <c r="G4" s="2" t="str">
        <f>IFERROR(__xludf.DUMMYFUNCTION("""COMPUTED_VALUE"""),"Kailash Power Private Limited")</f>
        <v>Kailash Power Private Limited</v>
      </c>
      <c r="H4" s="2" t="str">
        <f>IFERROR(__xludf.DUMMYFUNCTION("""COMPUTED_VALUE"""),"Rabibhawan, Kathmandu, 01-5670518")</f>
        <v>Rabibhawan, Kathmandu, 01-5670518</v>
      </c>
      <c r="I4" s="2" t="str">
        <f>IFERROR(__xludf.DUMMYFUNCTION("""COMPUTED_VALUE"""),"29o 19' 05""")</f>
        <v>29o 19' 05"</v>
      </c>
      <c r="J4" s="2" t="str">
        <f>IFERROR(__xludf.DUMMYFUNCTION("""COMPUTED_VALUE"""),"29o 23' 41""")</f>
        <v>29o 23' 41"</v>
      </c>
      <c r="K4" s="2" t="str">
        <f>IFERROR(__xludf.DUMMYFUNCTION("""COMPUTED_VALUE"""),"81o 41' 44""")</f>
        <v>81o 41' 44"</v>
      </c>
      <c r="L4" s="2" t="str">
        <f>IFERROR(__xludf.DUMMYFUNCTION("""COMPUTED_VALUE"""),"81o 46' 37""")</f>
        <v>81o 46' 37"</v>
      </c>
      <c r="M4" s="2" t="str">
        <f>IFERROR(__xludf.DUMMYFUNCTION("""COMPUTED_VALUE"""),"Sappata,Gotree (Bajura) Nanikot (Kalikot)")</f>
        <v>Sappata,Gotree (Bajura) Nanikot (Kalikot)</v>
      </c>
    </row>
    <row r="5">
      <c r="A5" s="2">
        <f>IFERROR(__xludf.DUMMYFUNCTION("""COMPUTED_VALUE"""),4.0)</f>
        <v>4</v>
      </c>
      <c r="B5" s="2" t="str">
        <f>IFERROR(__xludf.DUMMYFUNCTION("""COMPUTED_VALUE"""),"Syangdi Khola Hydropower Project")</f>
        <v>Syangdi Khola Hydropower Project</v>
      </c>
      <c r="C5" s="2">
        <f>IFERROR(__xludf.DUMMYFUNCTION("""COMPUTED_VALUE"""),4.9)</f>
        <v>4.9</v>
      </c>
      <c r="D5" s="2" t="str">
        <f>IFERROR(__xludf.DUMMYFUNCTION("""COMPUTED_VALUE"""),"Syangdi Khola")</f>
        <v>Syangdi Khola</v>
      </c>
      <c r="E5" s="2">
        <f>IFERROR(__xludf.DUMMYFUNCTION("""COMPUTED_VALUE"""),4364.0)</f>
        <v>4364</v>
      </c>
      <c r="F5" s="3">
        <f>IFERROR(__xludf.DUMMYFUNCTION("""COMPUTED_VALUE"""),66375.0)</f>
        <v>66375</v>
      </c>
      <c r="G5" s="2" t="str">
        <f>IFERROR(__xludf.DUMMYFUNCTION("""COMPUTED_VALUE"""),"Samriddhi Khanadaha Hydropower Private Limited")</f>
        <v>Samriddhi Khanadaha Hydropower Private Limited</v>
      </c>
      <c r="H5" s="2" t="str">
        <f>IFERROR(__xludf.DUMMYFUNCTION("""COMPUTED_VALUE"""),"Budhanilkantha Municipality - 3, Kathmandu")</f>
        <v>Budhanilkantha Municipality - 3, Kathmandu</v>
      </c>
      <c r="I5" s="2" t="str">
        <f>IFERROR(__xludf.DUMMYFUNCTION("""COMPUTED_VALUE"""),"28o 36' 21""")</f>
        <v>28o 36' 21"</v>
      </c>
      <c r="J5" s="2" t="str">
        <f>IFERROR(__xludf.DUMMYFUNCTION("""COMPUTED_VALUE"""),"28o 39' 00""")</f>
        <v>28o 39' 00"</v>
      </c>
      <c r="K5" s="2" t="str">
        <f>IFERROR(__xludf.DUMMYFUNCTION("""COMPUTED_VALUE"""),"84o 03' 30""")</f>
        <v>84o 03' 30"</v>
      </c>
      <c r="L5" s="2" t="str">
        <f>IFERROR(__xludf.DUMMYFUNCTION("""COMPUTED_VALUE"""),"84o 11' 30""")</f>
        <v>84o 11' 30"</v>
      </c>
      <c r="M5" s="2"/>
    </row>
    <row r="6">
      <c r="A6" s="2">
        <f>IFERROR(__xludf.DUMMYFUNCTION("""COMPUTED_VALUE"""),5.0)</f>
        <v>5</v>
      </c>
      <c r="B6" s="2" t="str">
        <f>IFERROR(__xludf.DUMMYFUNCTION("""COMPUTED_VALUE"""),"Mugu Karnali Reregulating Dam Hydropower Project")</f>
        <v>Mugu Karnali Reregulating Dam Hydropower Project</v>
      </c>
      <c r="C6" s="2">
        <f>IFERROR(__xludf.DUMMYFUNCTION("""COMPUTED_VALUE"""),271.5)</f>
        <v>271.5</v>
      </c>
      <c r="D6" s="2" t="str">
        <f>IFERROR(__xludf.DUMMYFUNCTION("""COMPUTED_VALUE"""),"Karnali")</f>
        <v>Karnali</v>
      </c>
      <c r="E6" s="2">
        <f>IFERROR(__xludf.DUMMYFUNCTION("""COMPUTED_VALUE"""),6192.0)</f>
        <v>6192</v>
      </c>
      <c r="F6" s="3">
        <f>IFERROR(__xludf.DUMMYFUNCTION("""COMPUTED_VALUE"""),66436.0)</f>
        <v>66436</v>
      </c>
      <c r="G6" s="2" t="str">
        <f>IFERROR(__xludf.DUMMYFUNCTION("""COMPUTED_VALUE"""),"Vidhyut Utapadan Company Limited")</f>
        <v>Vidhyut Utapadan Company Limited</v>
      </c>
      <c r="H6" s="2" t="str">
        <f>IFERROR(__xludf.DUMMYFUNCTION("""COMPUTED_VALUE"""),"BPC Building, Rudramati Marg, Budhhanagar, Kathmandu-10, Nepal")</f>
        <v>BPC Building, Rudramati Marg, Budhhanagar, Kathmandu-10, Nepal</v>
      </c>
      <c r="I6" s="2" t="str">
        <f>IFERROR(__xludf.DUMMYFUNCTION("""COMPUTED_VALUE"""),"29o 15' 45""")</f>
        <v>29o 15' 45"</v>
      </c>
      <c r="J6" s="2" t="str">
        <f>IFERROR(__xludf.DUMMYFUNCTION("""COMPUTED_VALUE"""),"29o 23' 43""")</f>
        <v>29o 23' 43"</v>
      </c>
      <c r="K6" s="2" t="str">
        <f>IFERROR(__xludf.DUMMYFUNCTION("""COMPUTED_VALUE"""),"81o 39' 14""")</f>
        <v>81o 39' 14"</v>
      </c>
      <c r="L6" s="2" t="str">
        <f>IFERROR(__xludf.DUMMYFUNCTION("""COMPUTED_VALUE"""),"81o 57' 13""")</f>
        <v>81o 57' 13"</v>
      </c>
      <c r="M6" s="2"/>
    </row>
    <row r="7">
      <c r="A7" s="2">
        <f>IFERROR(__xludf.DUMMYFUNCTION("""COMPUTED_VALUE"""),6.0)</f>
        <v>6</v>
      </c>
      <c r="B7" s="2" t="str">
        <f>IFERROR(__xludf.DUMMYFUNCTION("""COMPUTED_VALUE"""),"Tallo Sepli Khola Hydropower Project")</f>
        <v>Tallo Sepli Khola Hydropower Project</v>
      </c>
      <c r="C7" s="2">
        <f>IFERROR(__xludf.DUMMYFUNCTION("""COMPUTED_VALUE"""),5.0)</f>
        <v>5</v>
      </c>
      <c r="D7" s="2" t="str">
        <f>IFERROR(__xludf.DUMMYFUNCTION("""COMPUTED_VALUE"""),"Sepli Khola")</f>
        <v>Sepli Khola</v>
      </c>
      <c r="E7" s="2">
        <f>IFERROR(__xludf.DUMMYFUNCTION("""COMPUTED_VALUE"""),6204.0)</f>
        <v>6204</v>
      </c>
      <c r="F7" s="3">
        <f>IFERROR(__xludf.DUMMYFUNCTION("""COMPUTED_VALUE"""),66436.0)</f>
        <v>66436</v>
      </c>
      <c r="G7" s="2" t="str">
        <f>IFERROR(__xludf.DUMMYFUNCTION("""COMPUTED_VALUE"""),"Dhaulagiri Energy Consult Private Limited")</f>
        <v>Dhaulagiri Energy Consult Private Limited</v>
      </c>
      <c r="H7" s="2" t="str">
        <f>IFERROR(__xludf.DUMMYFUNCTION("""COMPUTED_VALUE"""),"Budhanilkantha - 8, Golfutar, Kathmandu")</f>
        <v>Budhanilkantha - 8, Golfutar, Kathmandu</v>
      </c>
      <c r="I7" s="2" t="str">
        <f>IFERROR(__xludf.DUMMYFUNCTION("""COMPUTED_VALUE"""),"27o 21' 30""")</f>
        <v>27o 21' 30"</v>
      </c>
      <c r="J7" s="2" t="str">
        <f>IFERROR(__xludf.DUMMYFUNCTION("""COMPUTED_VALUE"""),"27o 23' 00""")</f>
        <v>27o 23' 00"</v>
      </c>
      <c r="K7" s="2" t="str">
        <f>IFERROR(__xludf.DUMMYFUNCTION("""COMPUTED_VALUE"""),"86o 26' 00""")</f>
        <v>86o 26' 00"</v>
      </c>
      <c r="L7" s="2" t="str">
        <f>IFERROR(__xludf.DUMMYFUNCTION("""COMPUTED_VALUE"""),"86o 26' 38""")</f>
        <v>86o 26' 38"</v>
      </c>
      <c r="M7" s="2"/>
    </row>
    <row r="8">
      <c r="A8" s="2">
        <f>IFERROR(__xludf.DUMMYFUNCTION("""COMPUTED_VALUE"""),7.0)</f>
        <v>7</v>
      </c>
      <c r="B8" s="2" t="str">
        <f>IFERROR(__xludf.DUMMYFUNCTION("""COMPUTED_VALUE"""),"Bheri 4 Storage Hydropower Project")</f>
        <v>Bheri 4 Storage Hydropower Project</v>
      </c>
      <c r="C8" s="2">
        <f>IFERROR(__xludf.DUMMYFUNCTION("""COMPUTED_VALUE"""),278.92)</f>
        <v>278.92</v>
      </c>
      <c r="D8" s="2" t="str">
        <f>IFERROR(__xludf.DUMMYFUNCTION("""COMPUTED_VALUE"""),"Bheri")</f>
        <v>Bheri</v>
      </c>
      <c r="E8" s="2">
        <f>IFERROR(__xludf.DUMMYFUNCTION("""COMPUTED_VALUE"""),6800.0)</f>
        <v>6800</v>
      </c>
      <c r="F8" s="3">
        <f>IFERROR(__xludf.DUMMYFUNCTION("""COMPUTED_VALUE"""),66456.0)</f>
        <v>66456</v>
      </c>
      <c r="G8" s="2" t="str">
        <f>IFERROR(__xludf.DUMMYFUNCTION("""COMPUTED_VALUE"""),"S.R.L. Energy Private Limited")</f>
        <v>S.R.L. Energy Private Limited</v>
      </c>
      <c r="H8" s="2" t="str">
        <f>IFERROR(__xludf.DUMMYFUNCTION("""COMPUTED_VALUE"""),"Sitapaila Chowk, Kathmandu")</f>
        <v>Sitapaila Chowk, Kathmandu</v>
      </c>
      <c r="I8" s="2" t="str">
        <f>IFERROR(__xludf.DUMMYFUNCTION("""COMPUTED_VALUE"""),"28o 33' 30""")</f>
        <v>28o 33' 30"</v>
      </c>
      <c r="J8" s="2" t="str">
        <f>IFERROR(__xludf.DUMMYFUNCTION("""COMPUTED_VALUE"""),"28o 43' 15""")</f>
        <v>28o 43' 15"</v>
      </c>
      <c r="K8" s="2" t="str">
        <f>IFERROR(__xludf.DUMMYFUNCTION("""COMPUTED_VALUE"""),"81o 59' 30""")</f>
        <v>81o 59' 30"</v>
      </c>
      <c r="L8" s="2" t="str">
        <f>IFERROR(__xludf.DUMMYFUNCTION("""COMPUTED_VALUE"""),"82o 15' 00""")</f>
        <v>82o 15' 00"</v>
      </c>
      <c r="M8" s="2"/>
    </row>
    <row r="9">
      <c r="A9" s="2">
        <f>IFERROR(__xludf.DUMMYFUNCTION("""COMPUTED_VALUE"""),8.0)</f>
        <v>8</v>
      </c>
      <c r="B9" s="2" t="str">
        <f>IFERROR(__xludf.DUMMYFUNCTION("""COMPUTED_VALUE"""),"Chaulani Hydropower Project")</f>
        <v>Chaulani Hydropower Project</v>
      </c>
      <c r="C9" s="2">
        <f>IFERROR(__xludf.DUMMYFUNCTION("""COMPUTED_VALUE"""),4.8)</f>
        <v>4.8</v>
      </c>
      <c r="D9" s="2" t="str">
        <f>IFERROR(__xludf.DUMMYFUNCTION("""COMPUTED_VALUE"""),"Chameliya Khola")</f>
        <v>Chameliya Khola</v>
      </c>
      <c r="E9" s="2">
        <f>IFERROR(__xludf.DUMMYFUNCTION("""COMPUTED_VALUE"""),7093.0)</f>
        <v>7093</v>
      </c>
      <c r="F9" s="3">
        <f>IFERROR(__xludf.DUMMYFUNCTION("""COMPUTED_VALUE"""),66464.0)</f>
        <v>66464</v>
      </c>
      <c r="G9" s="2" t="str">
        <f>IFERROR(__xludf.DUMMYFUNCTION("""COMPUTED_VALUE"""),"West Star Hydropower Company Private Limited")</f>
        <v>West Star Hydropower Company Private Limited</v>
      </c>
      <c r="H9" s="2" t="str">
        <f>IFERROR(__xludf.DUMMYFUNCTION("""COMPUTED_VALUE"""),"KMC-3, Lazimpat, Kathmandu")</f>
        <v>KMC-3, Lazimpat, Kathmandu</v>
      </c>
      <c r="I9" s="2" t="str">
        <f>IFERROR(__xludf.DUMMYFUNCTION("""COMPUTED_VALUE"""),"29o 49' 36""")</f>
        <v>29o 49' 36"</v>
      </c>
      <c r="J9" s="2" t="str">
        <f>IFERROR(__xludf.DUMMYFUNCTION("""COMPUTED_VALUE"""),"29o 51' 16""")</f>
        <v>29o 51' 16"</v>
      </c>
      <c r="K9" s="2" t="str">
        <f>IFERROR(__xludf.DUMMYFUNCTION("""COMPUTED_VALUE"""),"80o 53' 00""")</f>
        <v>80o 53' 00"</v>
      </c>
      <c r="L9" s="2" t="str">
        <f>IFERROR(__xludf.DUMMYFUNCTION("""COMPUTED_VALUE"""),"80o 54' 10""")</f>
        <v>80o 54' 10"</v>
      </c>
      <c r="M9" s="2" t="str">
        <f>IFERROR(__xludf.DUMMYFUNCTION("""COMPUTED_VALUE"""),"Khandeswori,Ghusa (Darchula)")</f>
        <v>Khandeswori,Ghusa (Darchula)</v>
      </c>
    </row>
    <row r="10">
      <c r="A10" s="2">
        <f>IFERROR(__xludf.DUMMYFUNCTION("""COMPUTED_VALUE"""),9.0)</f>
        <v>9</v>
      </c>
      <c r="B10" s="2" t="str">
        <f>IFERROR(__xludf.DUMMYFUNCTION("""COMPUTED_VALUE"""),"Chameliya Khola Hydroelectric Project")</f>
        <v>Chameliya Khola Hydroelectric Project</v>
      </c>
      <c r="C10" s="2">
        <f>IFERROR(__xludf.DUMMYFUNCTION("""COMPUTED_VALUE"""),23.5)</f>
        <v>23.5</v>
      </c>
      <c r="D10" s="2" t="str">
        <f>IFERROR(__xludf.DUMMYFUNCTION("""COMPUTED_VALUE"""),"Chameliya Khola")</f>
        <v>Chameliya Khola</v>
      </c>
      <c r="E10" s="2">
        <f>IFERROR(__xludf.DUMMYFUNCTION("""COMPUTED_VALUE"""),7115.0)</f>
        <v>7115</v>
      </c>
      <c r="F10" s="3">
        <f>IFERROR(__xludf.DUMMYFUNCTION("""COMPUTED_VALUE"""),66465.0)</f>
        <v>66465</v>
      </c>
      <c r="G10" s="2" t="str">
        <f>IFERROR(__xludf.DUMMYFUNCTION("""COMPUTED_VALUE"""),"Ugratara Energy Private Limited")</f>
        <v>Ugratara Energy Private Limited</v>
      </c>
      <c r="H10" s="2" t="str">
        <f>IFERROR(__xludf.DUMMYFUNCTION("""COMPUTED_VALUE"""),"KMC-10, Kathmandu")</f>
        <v>KMC-10, Kathmandu</v>
      </c>
      <c r="I10" s="2" t="str">
        <f>IFERROR(__xludf.DUMMYFUNCTION("""COMPUTED_VALUE"""),"29o 49' 24""")</f>
        <v>29o 49' 24"</v>
      </c>
      <c r="J10" s="2" t="str">
        <f>IFERROR(__xludf.DUMMYFUNCTION("""COMPUTED_VALUE"""),"29o 51' 21""")</f>
        <v>29o 51' 21"</v>
      </c>
      <c r="K10" s="2" t="str">
        <f>IFERROR(__xludf.DUMMYFUNCTION("""COMPUTED_VALUE"""),"80o 52' 50""")</f>
        <v>80o 52' 50"</v>
      </c>
      <c r="L10" s="2" t="str">
        <f>IFERROR(__xludf.DUMMYFUNCTION("""COMPUTED_VALUE"""),"80o 54' 10""")</f>
        <v>80o 54' 10"</v>
      </c>
      <c r="M10" s="2" t="str">
        <f>IFERROR(__xludf.DUMMYFUNCTION("""COMPUTED_VALUE"""),"Ghusa,Khandeswori (Darchula)")</f>
        <v>Ghusa,Khandeswori (Darchula)</v>
      </c>
    </row>
    <row r="11">
      <c r="A11" s="2">
        <f>IFERROR(__xludf.DUMMYFUNCTION("""COMPUTED_VALUE"""),10.0)</f>
        <v>10</v>
      </c>
      <c r="B11" s="2" t="str">
        <f>IFERROR(__xludf.DUMMYFUNCTION("""COMPUTED_VALUE"""),"Rolwaling Khola A Hydropower Project")</f>
        <v>Rolwaling Khola A Hydropower Project</v>
      </c>
      <c r="C11" s="2">
        <f>IFERROR(__xludf.DUMMYFUNCTION("""COMPUTED_VALUE"""),9.53)</f>
        <v>9.53</v>
      </c>
      <c r="D11" s="2" t="str">
        <f>IFERROR(__xludf.DUMMYFUNCTION("""COMPUTED_VALUE"""),"Rolwaling khola")</f>
        <v>Rolwaling khola</v>
      </c>
      <c r="E11" s="2">
        <f>IFERROR(__xludf.DUMMYFUNCTION("""COMPUTED_VALUE"""),7943.0)</f>
        <v>7943</v>
      </c>
      <c r="F11" s="3">
        <f>IFERROR(__xludf.DUMMYFUNCTION("""COMPUTED_VALUE"""),66493.0)</f>
        <v>66493</v>
      </c>
      <c r="G11" s="2" t="str">
        <f>IFERROR(__xludf.DUMMYFUNCTION("""COMPUTED_VALUE"""),"M.B.K. Hydro Energy Private Limited")</f>
        <v>M.B.K. Hydro Energy Private Limited</v>
      </c>
      <c r="H11" s="2" t="str">
        <f>IFERROR(__xludf.DUMMYFUNCTION("""COMPUTED_VALUE"""),"KMC-30, Gyaneshwor, Kathmandu")</f>
        <v>KMC-30, Gyaneshwor, Kathmandu</v>
      </c>
      <c r="I11" s="2" t="str">
        <f>IFERROR(__xludf.DUMMYFUNCTION("""COMPUTED_VALUE"""),"27o 53' 05""")</f>
        <v>27o 53' 05"</v>
      </c>
      <c r="J11" s="2" t="str">
        <f>IFERROR(__xludf.DUMMYFUNCTION("""COMPUTED_VALUE"""),"27o 54' 17""")</f>
        <v>27o 54' 17"</v>
      </c>
      <c r="K11" s="2" t="str">
        <f>IFERROR(__xludf.DUMMYFUNCTION("""COMPUTED_VALUE"""),"86o 15' 35""")</f>
        <v>86o 15' 35"</v>
      </c>
      <c r="L11" s="2" t="str">
        <f>IFERROR(__xludf.DUMMYFUNCTION("""COMPUTED_VALUE"""),"86o 16' 00""")</f>
        <v>86o 16' 00"</v>
      </c>
      <c r="M11" s="2" t="str">
        <f>IFERROR(__xludf.DUMMYFUNCTION("""COMPUTED_VALUE"""),"Gauri Sankar,Lamabagar (Dolakha)")</f>
        <v>Gauri Sankar,Lamabagar (Dolakha)</v>
      </c>
    </row>
    <row r="12">
      <c r="A12" s="2">
        <f>IFERROR(__xludf.DUMMYFUNCTION("""COMPUTED_VALUE"""),11.0)</f>
        <v>11</v>
      </c>
      <c r="B12" s="2" t="str">
        <f>IFERROR(__xludf.DUMMYFUNCTION("""COMPUTED_VALUE"""),"Super Loti Karnali Hydropower Project")</f>
        <v>Super Loti Karnali Hydropower Project</v>
      </c>
      <c r="C12" s="2">
        <f>IFERROR(__xludf.DUMMYFUNCTION("""COMPUTED_VALUE"""),4.96)</f>
        <v>4.96</v>
      </c>
      <c r="D12" s="2" t="str">
        <f>IFERROR(__xludf.DUMMYFUNCTION("""COMPUTED_VALUE"""),"Loti Karnali")</f>
        <v>Loti Karnali</v>
      </c>
      <c r="E12" s="2">
        <f>IFERROR(__xludf.DUMMYFUNCTION("""COMPUTED_VALUE"""),7971.0)</f>
        <v>7971</v>
      </c>
      <c r="F12" s="3">
        <f>IFERROR(__xludf.DUMMYFUNCTION("""COMPUTED_VALUE"""),66493.0)</f>
        <v>66493</v>
      </c>
      <c r="G12" s="2" t="str">
        <f>IFERROR(__xludf.DUMMYFUNCTION("""COMPUTED_VALUE"""),"Numbur Dudhkunda Hydropower Pvt.Ltd.")</f>
        <v>Numbur Dudhkunda Hydropower Pvt.Ltd.</v>
      </c>
      <c r="H12" s="2" t="str">
        <f>IFERROR(__xludf.DUMMYFUNCTION("""COMPUTED_VALUE"""),"Kathmadu-29")</f>
        <v>Kathmadu-29</v>
      </c>
      <c r="I12" s="2" t="str">
        <f>IFERROR(__xludf.DUMMYFUNCTION("""COMPUTED_VALUE"""),"29o 49' 35""")</f>
        <v>29o 49' 35"</v>
      </c>
      <c r="J12" s="2" t="str">
        <f>IFERROR(__xludf.DUMMYFUNCTION("""COMPUTED_VALUE"""),"29o 51' 38""")</f>
        <v>29o 51' 38"</v>
      </c>
      <c r="K12" s="2" t="str">
        <f>IFERROR(__xludf.DUMMYFUNCTION("""COMPUTED_VALUE"""),"82o 11' 22""")</f>
        <v>82o 11' 22"</v>
      </c>
      <c r="L12" s="2" t="str">
        <f>IFERROR(__xludf.DUMMYFUNCTION("""COMPUTED_VALUE"""),"82o 14' 18""")</f>
        <v>82o 14' 18"</v>
      </c>
      <c r="M12" s="2"/>
    </row>
    <row r="13">
      <c r="A13" s="2">
        <f>IFERROR(__xludf.DUMMYFUNCTION("""COMPUTED_VALUE"""),12.0)</f>
        <v>12</v>
      </c>
      <c r="B13" s="2" t="str">
        <f>IFERROR(__xludf.DUMMYFUNCTION("""COMPUTED_VALUE"""),"Middle Rolwaling Hydroelectric Project")</f>
        <v>Middle Rolwaling Hydroelectric Project</v>
      </c>
      <c r="C13" s="2">
        <f>IFERROR(__xludf.DUMMYFUNCTION("""COMPUTED_VALUE"""),21.485)</f>
        <v>21.485</v>
      </c>
      <c r="D13" s="2" t="str">
        <f>IFERROR(__xludf.DUMMYFUNCTION("""COMPUTED_VALUE"""),"Rolwaling khola")</f>
        <v>Rolwaling khola</v>
      </c>
      <c r="E13" s="2">
        <f>IFERROR(__xludf.DUMMYFUNCTION("""COMPUTED_VALUE"""),8372.0)</f>
        <v>8372</v>
      </c>
      <c r="F13" s="3">
        <f>IFERROR(__xludf.DUMMYFUNCTION("""COMPUTED_VALUE"""),66507.0)</f>
        <v>66507</v>
      </c>
      <c r="G13" s="2" t="str">
        <f>IFERROR(__xludf.DUMMYFUNCTION("""COMPUTED_VALUE"""),"Reliant Energy Private Limited")</f>
        <v>Reliant Energy Private Limited</v>
      </c>
      <c r="H13" s="2" t="str">
        <f>IFERROR(__xludf.DUMMYFUNCTION("""COMPUTED_VALUE"""),"Lalitpur")</f>
        <v>Lalitpur</v>
      </c>
      <c r="I13" s="2" t="str">
        <f>IFERROR(__xludf.DUMMYFUNCTION("""COMPUTED_VALUE"""),"27o 53' 05""")</f>
        <v>27o 53' 05"</v>
      </c>
      <c r="J13" s="2" t="str">
        <f>IFERROR(__xludf.DUMMYFUNCTION("""COMPUTED_VALUE"""),"27o 54' 00""")</f>
        <v>27o 54' 00"</v>
      </c>
      <c r="K13" s="2" t="str">
        <f>IFERROR(__xludf.DUMMYFUNCTION("""COMPUTED_VALUE"""),"86o 15' 27""")</f>
        <v>86o 15' 27"</v>
      </c>
      <c r="L13" s="2" t="str">
        <f>IFERROR(__xludf.DUMMYFUNCTION("""COMPUTED_VALUE"""),"86o 16' 00""")</f>
        <v>86o 16' 00"</v>
      </c>
      <c r="M13" s="2" t="str">
        <f>IFERROR(__xludf.DUMMYFUNCTION("""COMPUTED_VALUE"""),"Gauri Sankar,Lamabagar (Dolakha)")</f>
        <v>Gauri Sankar,Lamabagar (Dolakha)</v>
      </c>
    </row>
    <row r="14">
      <c r="A14" s="2">
        <f>IFERROR(__xludf.DUMMYFUNCTION("""COMPUTED_VALUE"""),13.0)</f>
        <v>13</v>
      </c>
      <c r="B14" s="2" t="str">
        <f>IFERROR(__xludf.DUMMYFUNCTION("""COMPUTED_VALUE"""),"Rok Khola Hydropower Project")</f>
        <v>Rok Khola Hydropower Project</v>
      </c>
      <c r="C14" s="2">
        <f>IFERROR(__xludf.DUMMYFUNCTION("""COMPUTED_VALUE"""),3.145)</f>
        <v>3.145</v>
      </c>
      <c r="D14" s="2" t="str">
        <f>IFERROR(__xludf.DUMMYFUNCTION("""COMPUTED_VALUE"""),"Rok Khola")</f>
        <v>Rok Khola</v>
      </c>
      <c r="E14" s="2">
        <f>IFERROR(__xludf.DUMMYFUNCTION("""COMPUTED_VALUE"""),8695.0)</f>
        <v>8695</v>
      </c>
      <c r="F14" s="3">
        <f>IFERROR(__xludf.DUMMYFUNCTION("""COMPUTED_VALUE"""),66515.0)</f>
        <v>66515</v>
      </c>
      <c r="G14" s="2" t="str">
        <f>IFERROR(__xludf.DUMMYFUNCTION("""COMPUTED_VALUE"""),"Prabhu Jalabiddhut Bikash (P) Ltd.")</f>
        <v>Prabhu Jalabiddhut Bikash (P) Ltd.</v>
      </c>
      <c r="H14" s="2" t="str">
        <f>IFERROR(__xludf.DUMMYFUNCTION("""COMPUTED_VALUE"""),"KMC-32, Tinkune, Kathmandu")</f>
        <v>KMC-32, Tinkune, Kathmandu</v>
      </c>
      <c r="I14" s="2" t="str">
        <f>IFERROR(__xludf.DUMMYFUNCTION("""COMPUTED_VALUE"""),"27o 27' 58""")</f>
        <v>27o 27' 58"</v>
      </c>
      <c r="J14" s="2" t="str">
        <f>IFERROR(__xludf.DUMMYFUNCTION("""COMPUTED_VALUE"""),"27o 29' 20""")</f>
        <v>27o 29' 20"</v>
      </c>
      <c r="K14" s="2" t="str">
        <f>IFERROR(__xludf.DUMMYFUNCTION("""COMPUTED_VALUE"""),"86o 47' 42""")</f>
        <v>86o 47' 42"</v>
      </c>
      <c r="L14" s="2" t="str">
        <f>IFERROR(__xludf.DUMMYFUNCTION("""COMPUTED_VALUE"""),"86o 49' 16""")</f>
        <v>86o 49' 16"</v>
      </c>
      <c r="M14" s="2" t="str">
        <f>IFERROR(__xludf.DUMMYFUNCTION("""COMPUTED_VALUE"""),"Sautang,Gudel (Solukhumbu)")</f>
        <v>Sautang,Gudel (Solukhumbu)</v>
      </c>
    </row>
    <row r="15">
      <c r="A15" s="2">
        <f>IFERROR(__xludf.DUMMYFUNCTION("""COMPUTED_VALUE"""),14.0)</f>
        <v>14</v>
      </c>
      <c r="B15" s="2" t="str">
        <f>IFERROR(__xludf.DUMMYFUNCTION("""COMPUTED_VALUE"""),"Koluwa Khola Hydro power Project")</f>
        <v>Koluwa Khola Hydro power Project</v>
      </c>
      <c r="C15" s="2">
        <f>IFERROR(__xludf.DUMMYFUNCTION("""COMPUTED_VALUE"""),4.6)</f>
        <v>4.6</v>
      </c>
      <c r="D15" s="2" t="str">
        <f>IFERROR(__xludf.DUMMYFUNCTION("""COMPUTED_VALUE"""),"Koluwa Khola")</f>
        <v>Koluwa Khola</v>
      </c>
      <c r="E15" s="2">
        <f>IFERROR(__xludf.DUMMYFUNCTION("""COMPUTED_VALUE"""),9048.0)</f>
        <v>9048</v>
      </c>
      <c r="F15" s="3">
        <f>IFERROR(__xludf.DUMMYFUNCTION("""COMPUTED_VALUE"""),66526.0)</f>
        <v>66526</v>
      </c>
      <c r="G15" s="2" t="str">
        <f>IFERROR(__xludf.DUMMYFUNCTION("""COMPUTED_VALUE"""),"Wonders Energy System Private Limited")</f>
        <v>Wonders Energy System Private Limited</v>
      </c>
      <c r="H15" s="2" t="str">
        <f>IFERROR(__xludf.DUMMYFUNCTION("""COMPUTED_VALUE"""),"KMC-28, Putalisadak, Kathmandu")</f>
        <v>KMC-28, Putalisadak, Kathmandu</v>
      </c>
      <c r="I15" s="2" t="str">
        <f>IFERROR(__xludf.DUMMYFUNCTION("""COMPUTED_VALUE"""),"27o 32' 30""")</f>
        <v>27o 32' 30"</v>
      </c>
      <c r="J15" s="2" t="str">
        <f>IFERROR(__xludf.DUMMYFUNCTION("""COMPUTED_VALUE"""),"27o 33' 43""")</f>
        <v>27o 33' 43"</v>
      </c>
      <c r="K15" s="2" t="str">
        <f>IFERROR(__xludf.DUMMYFUNCTION("""COMPUTED_VALUE"""),"87o 03' 59""")</f>
        <v>87o 03' 59"</v>
      </c>
      <c r="L15" s="2" t="str">
        <f>IFERROR(__xludf.DUMMYFUNCTION("""COMPUTED_VALUE"""),"87o 04' 34""")</f>
        <v>87o 04' 34"</v>
      </c>
      <c r="M15" s="2" t="str">
        <f>IFERROR(__xludf.DUMMYFUNCTION("""COMPUTED_VALUE"""),"Tamfok (Sankhuwasabha)")</f>
        <v>Tamfok (Sankhuwasabha)</v>
      </c>
    </row>
    <row r="16">
      <c r="A16" s="2">
        <f>IFERROR(__xludf.DUMMYFUNCTION("""COMPUTED_VALUE"""),15.0)</f>
        <v>15</v>
      </c>
      <c r="B16" s="2" t="str">
        <f>IFERROR(__xludf.DUMMYFUNCTION("""COMPUTED_VALUE"""),"Tom-Dogar Hydropower Project")</f>
        <v>Tom-Dogar Hydropower Project</v>
      </c>
      <c r="C16" s="2">
        <f>IFERROR(__xludf.DUMMYFUNCTION("""COMPUTED_VALUE"""),107.0)</f>
        <v>107</v>
      </c>
      <c r="D16" s="2" t="str">
        <f>IFERROR(__xludf.DUMMYFUNCTION("""COMPUTED_VALUE"""),"Tom Dogar Khola")</f>
        <v>Tom Dogar Khola</v>
      </c>
      <c r="E16" s="2">
        <f>IFERROR(__xludf.DUMMYFUNCTION("""COMPUTED_VALUE"""),9195.0)</f>
        <v>9195</v>
      </c>
      <c r="F16" s="3">
        <f>IFERROR(__xludf.DUMMYFUNCTION("""COMPUTED_VALUE"""),66528.0)</f>
        <v>66528</v>
      </c>
      <c r="G16" s="2" t="str">
        <f>IFERROR(__xludf.DUMMYFUNCTION("""COMPUTED_VALUE"""),"Power Bank Private Limited")</f>
        <v>Power Bank Private Limited</v>
      </c>
      <c r="H16" s="2" t="str">
        <f>IFERROR(__xludf.DUMMYFUNCTION("""COMPUTED_VALUE"""),"Balaju, Kathmandu-16")</f>
        <v>Balaju, Kathmandu-16</v>
      </c>
      <c r="I16" s="2" t="str">
        <f>IFERROR(__xludf.DUMMYFUNCTION("""COMPUTED_VALUE"""),"28o 32' 04""")</f>
        <v>28o 32' 04"</v>
      </c>
      <c r="J16" s="2" t="str">
        <f>IFERROR(__xludf.DUMMYFUNCTION("""COMPUTED_VALUE"""),"28o 35' 00""")</f>
        <v>28o 35' 00"</v>
      </c>
      <c r="K16" s="2" t="str">
        <f>IFERROR(__xludf.DUMMYFUNCTION("""COMPUTED_VALUE"""),"84o 47' 33""")</f>
        <v>84o 47' 33"</v>
      </c>
      <c r="L16" s="2" t="str">
        <f>IFERROR(__xludf.DUMMYFUNCTION("""COMPUTED_VALUE"""),"84o 49' 56""")</f>
        <v>84o 49' 56"</v>
      </c>
      <c r="M16" s="2" t="str">
        <f>IFERROR(__xludf.DUMMYFUNCTION("""COMPUTED_VALUE"""),"Prok (Gorkha)")</f>
        <v>Prok (Gorkha)</v>
      </c>
    </row>
    <row r="17">
      <c r="A17" s="2">
        <f>IFERROR(__xludf.DUMMYFUNCTION("""COMPUTED_VALUE"""),16.0)</f>
        <v>16</v>
      </c>
      <c r="B17" s="2" t="str">
        <f>IFERROR(__xludf.DUMMYFUNCTION("""COMPUTED_VALUE"""),"Hugdi Khola Hydropower Project")</f>
        <v>Hugdi Khola Hydropower Project</v>
      </c>
      <c r="C17" s="2">
        <f>IFERROR(__xludf.DUMMYFUNCTION("""COMPUTED_VALUE"""),3.2)</f>
        <v>3.2</v>
      </c>
      <c r="D17" s="2" t="str">
        <f>IFERROR(__xludf.DUMMYFUNCTION("""COMPUTED_VALUE"""),"Hugdi")</f>
        <v>Hugdi</v>
      </c>
      <c r="E17" s="2">
        <f>IFERROR(__xludf.DUMMYFUNCTION("""COMPUTED_VALUE"""),9393.0)</f>
        <v>9393</v>
      </c>
      <c r="F17" s="3">
        <f>IFERROR(__xludf.DUMMYFUNCTION("""COMPUTED_VALUE"""),66533.0)</f>
        <v>66533</v>
      </c>
      <c r="G17" s="2" t="str">
        <f>IFERROR(__xludf.DUMMYFUNCTION("""COMPUTED_VALUE"""),"Baraha Hydropower Private Limited")</f>
        <v>Baraha Hydropower Private Limited</v>
      </c>
      <c r="H17" s="2" t="str">
        <f>IFERROR(__xludf.DUMMYFUNCTION("""COMPUTED_VALUE"""),"KMC-10, Budhhanagar, Kathmandu")</f>
        <v>KMC-10, Budhhanagar, Kathmandu</v>
      </c>
      <c r="I17" s="2" t="str">
        <f>IFERROR(__xludf.DUMMYFUNCTION("""COMPUTED_VALUE"""),"28o 03' 16""")</f>
        <v>28o 03' 16"</v>
      </c>
      <c r="J17" s="2" t="str">
        <f>IFERROR(__xludf.DUMMYFUNCTION("""COMPUTED_VALUE"""),"28o 05' 00""")</f>
        <v>28o 05' 00"</v>
      </c>
      <c r="K17" s="2" t="str">
        <f>IFERROR(__xludf.DUMMYFUNCTION("""COMPUTED_VALUE"""),"83o 20' 55""")</f>
        <v>83o 20' 55"</v>
      </c>
      <c r="L17" s="2" t="str">
        <f>IFERROR(__xludf.DUMMYFUNCTION("""COMPUTED_VALUE"""),"83o 23' 17""")</f>
        <v>83o 23' 17"</v>
      </c>
      <c r="M17" s="2" t="str">
        <f>IFERROR(__xludf.DUMMYFUNCTION("""COMPUTED_VALUE"""),"Juniya,Rupakot,Turang (Gulmi)")</f>
        <v>Juniya,Rupakot,Turang (Gulmi)</v>
      </c>
    </row>
    <row r="18">
      <c r="A18" s="2">
        <f>IFERROR(__xludf.DUMMYFUNCTION("""COMPUTED_VALUE"""),17.0)</f>
        <v>17</v>
      </c>
      <c r="B18" s="2" t="str">
        <f>IFERROR(__xludf.DUMMYFUNCTION("""COMPUTED_VALUE"""),"Raha Gad Hydropower Project")</f>
        <v>Raha Gad Hydropower Project</v>
      </c>
      <c r="C18" s="2">
        <f>IFERROR(__xludf.DUMMYFUNCTION("""COMPUTED_VALUE"""),9.26)</f>
        <v>9.26</v>
      </c>
      <c r="D18" s="2" t="str">
        <f>IFERROR(__xludf.DUMMYFUNCTION("""COMPUTED_VALUE"""),"Raha Gad")</f>
        <v>Raha Gad</v>
      </c>
      <c r="E18" s="2">
        <f>IFERROR(__xludf.DUMMYFUNCTION("""COMPUTED_VALUE"""),9430.0)</f>
        <v>9430</v>
      </c>
      <c r="F18" s="3">
        <f>IFERROR(__xludf.DUMMYFUNCTION("""COMPUTED_VALUE"""),66534.0)</f>
        <v>66534</v>
      </c>
      <c r="G18" s="2" t="str">
        <f>IFERROR(__xludf.DUMMYFUNCTION("""COMPUTED_VALUE"""),"Prabhu Jalabiddhut Bikash (P) Ltd.")</f>
        <v>Prabhu Jalabiddhut Bikash (P) Ltd.</v>
      </c>
      <c r="H18" s="2" t="str">
        <f>IFERROR(__xludf.DUMMYFUNCTION("""COMPUTED_VALUE"""),"Kathmandu-10")</f>
        <v>Kathmandu-10</v>
      </c>
      <c r="I18" s="2" t="str">
        <f>IFERROR(__xludf.DUMMYFUNCTION("""COMPUTED_VALUE"""),"29o 09' 37""")</f>
        <v>29o 09' 37"</v>
      </c>
      <c r="J18" s="2" t="str">
        <f>IFERROR(__xludf.DUMMYFUNCTION("""COMPUTED_VALUE"""),"29o 12' 02""")</f>
        <v>29o 12' 02"</v>
      </c>
      <c r="K18" s="2" t="str">
        <f>IFERROR(__xludf.DUMMYFUNCTION("""COMPUTED_VALUE"""),"81o 32' 30""")</f>
        <v>81o 32' 30"</v>
      </c>
      <c r="L18" s="2" t="str">
        <f>IFERROR(__xludf.DUMMYFUNCTION("""COMPUTED_VALUE"""),"81o 34' 10""")</f>
        <v>81o 34' 10"</v>
      </c>
      <c r="M18" s="2" t="str">
        <f>IFERROR(__xludf.DUMMYFUNCTION("""COMPUTED_VALUE"""),"Kotbada,Kumalgaun,Rupsa (Kalikot)")</f>
        <v>Kotbada,Kumalgaun,Rupsa (Kalikot)</v>
      </c>
    </row>
    <row r="19">
      <c r="A19" s="2">
        <f>IFERROR(__xludf.DUMMYFUNCTION("""COMPUTED_VALUE"""),18.0)</f>
        <v>18</v>
      </c>
      <c r="B19" s="2" t="str">
        <f>IFERROR(__xludf.DUMMYFUNCTION("""COMPUTED_VALUE"""),"Kodar Gad Hydropower Project")</f>
        <v>Kodar Gad Hydropower Project</v>
      </c>
      <c r="C19" s="2">
        <f>IFERROR(__xludf.DUMMYFUNCTION("""COMPUTED_VALUE"""),6.69)</f>
        <v>6.69</v>
      </c>
      <c r="D19" s="2" t="str">
        <f>IFERROR(__xludf.DUMMYFUNCTION("""COMPUTED_VALUE"""),"Kodar Gad")</f>
        <v>Kodar Gad</v>
      </c>
      <c r="E19" s="2">
        <f>IFERROR(__xludf.DUMMYFUNCTION("""COMPUTED_VALUE"""),9431.0)</f>
        <v>9431</v>
      </c>
      <c r="F19" s="3">
        <f>IFERROR(__xludf.DUMMYFUNCTION("""COMPUTED_VALUE"""),66534.0)</f>
        <v>66534</v>
      </c>
      <c r="G19" s="2" t="str">
        <f>IFERROR(__xludf.DUMMYFUNCTION("""COMPUTED_VALUE"""),"Prabhu Holdings and Hydro Development Company Ltd")</f>
        <v>Prabhu Holdings and Hydro Development Company Ltd</v>
      </c>
      <c r="H19" s="2" t="str">
        <f>IFERROR(__xludf.DUMMYFUNCTION("""COMPUTED_VALUE"""),"Kathmandu-31, Ramesh Pd. Sapkota 9841982081")</f>
        <v>Kathmandu-31, Ramesh Pd. Sapkota 9841982081</v>
      </c>
      <c r="I19" s="2" t="str">
        <f>IFERROR(__xludf.DUMMYFUNCTION("""COMPUTED_VALUE"""),"29o 23' 20""")</f>
        <v>29o 23' 20"</v>
      </c>
      <c r="J19" s="2" t="str">
        <f>IFERROR(__xludf.DUMMYFUNCTION("""COMPUTED_VALUE"""),"29o 25' 20""")</f>
        <v>29o 25' 20"</v>
      </c>
      <c r="K19" s="2" t="str">
        <f>IFERROR(__xludf.DUMMYFUNCTION("""COMPUTED_VALUE"""),"81o 25' 35""")</f>
        <v>81o 25' 35"</v>
      </c>
      <c r="L19" s="2" t="str">
        <f>IFERROR(__xludf.DUMMYFUNCTION("""COMPUTED_VALUE"""),"81o 28' 12""")</f>
        <v>81o 28' 12"</v>
      </c>
      <c r="M19" s="2" t="str">
        <f>IFERROR(__xludf.DUMMYFUNCTION("""COMPUTED_VALUE"""),"Martadi,Jugada,Budhiganga (Bajura)")</f>
        <v>Martadi,Jugada,Budhiganga (Bajura)</v>
      </c>
    </row>
    <row r="20">
      <c r="A20" s="2">
        <f>IFERROR(__xludf.DUMMYFUNCTION("""COMPUTED_VALUE"""),19.0)</f>
        <v>19</v>
      </c>
      <c r="B20" s="2" t="str">
        <f>IFERROR(__xludf.DUMMYFUNCTION("""COMPUTED_VALUE"""),"Take Khola Hydro Electric Project")</f>
        <v>Take Khola Hydro Electric Project</v>
      </c>
      <c r="C20" s="2">
        <f>IFERROR(__xludf.DUMMYFUNCTION("""COMPUTED_VALUE"""),24.62)</f>
        <v>24.62</v>
      </c>
      <c r="D20" s="2" t="str">
        <f>IFERROR(__xludf.DUMMYFUNCTION("""COMPUTED_VALUE"""),"Take Khola")</f>
        <v>Take Khola</v>
      </c>
      <c r="E20" s="2">
        <f>IFERROR(__xludf.DUMMYFUNCTION("""COMPUTED_VALUE"""),10697.0)</f>
        <v>10697</v>
      </c>
      <c r="F20" s="3">
        <f>IFERROR(__xludf.DUMMYFUNCTION("""COMPUTED_VALUE"""),66561.0)</f>
        <v>66561</v>
      </c>
      <c r="G20" s="2" t="str">
        <f>IFERROR(__xludf.DUMMYFUNCTION("""COMPUTED_VALUE"""),"Subharambha Energy Pvt. Ltd")</f>
        <v>Subharambha Energy Pvt. Ltd</v>
      </c>
      <c r="H20" s="2" t="str">
        <f>IFERROR(__xludf.DUMMYFUNCTION("""COMPUTED_VALUE"""),"Lalitpur - 11")</f>
        <v>Lalitpur - 11</v>
      </c>
      <c r="I20" s="2" t="str">
        <f>IFERROR(__xludf.DUMMYFUNCTION("""COMPUTED_VALUE"""),"29o 51' 08""")</f>
        <v>29o 51' 08"</v>
      </c>
      <c r="J20" s="2" t="str">
        <f>IFERROR(__xludf.DUMMYFUNCTION("""COMPUTED_VALUE"""),"29o 54' 50""")</f>
        <v>29o 54' 50"</v>
      </c>
      <c r="K20" s="2" t="str">
        <f>IFERROR(__xludf.DUMMYFUNCTION("""COMPUTED_VALUE"""),"82o 13' 35""")</f>
        <v>82o 13' 35"</v>
      </c>
      <c r="L20" s="2" t="str">
        <f>IFERROR(__xludf.DUMMYFUNCTION("""COMPUTED_VALUE"""),"82o 18' 30""")</f>
        <v>82o 18' 30"</v>
      </c>
      <c r="M20" s="2" t="str">
        <f>IFERROR(__xludf.DUMMYFUNCTION("""COMPUTED_VALUE"""),"Mimi,Melchham (Humla)")</f>
        <v>Mimi,Melchham (Humla)</v>
      </c>
    </row>
    <row r="21">
      <c r="A21" s="2">
        <f>IFERROR(__xludf.DUMMYFUNCTION("""COMPUTED_VALUE"""),20.0)</f>
        <v>20</v>
      </c>
      <c r="B21" s="2" t="str">
        <f>IFERROR(__xludf.DUMMYFUNCTION("""COMPUTED_VALUE"""),"Big Bagar Khola Hydropower Project")</f>
        <v>Big Bagar Khola Hydropower Project</v>
      </c>
      <c r="C21" s="2">
        <f>IFERROR(__xludf.DUMMYFUNCTION("""COMPUTED_VALUE"""),4.6)</f>
        <v>4.6</v>
      </c>
      <c r="D21" s="2" t="str">
        <f>IFERROR(__xludf.DUMMYFUNCTION("""COMPUTED_VALUE"""),"Bagar Khola")</f>
        <v>Bagar Khola</v>
      </c>
      <c r="E21" s="2">
        <f>IFERROR(__xludf.DUMMYFUNCTION("""COMPUTED_VALUE"""),10822.0)</f>
        <v>10822</v>
      </c>
      <c r="F21" s="3">
        <f>IFERROR(__xludf.DUMMYFUNCTION("""COMPUTED_VALUE"""),66565.0)</f>
        <v>66565</v>
      </c>
      <c r="G21" s="2" t="str">
        <f>IFERROR(__xludf.DUMMYFUNCTION("""COMPUTED_VALUE"""),"Robinhood Power Private Limited")</f>
        <v>Robinhood Power Private Limited</v>
      </c>
      <c r="H21" s="2" t="str">
        <f>IFERROR(__xludf.DUMMYFUNCTION("""COMPUTED_VALUE"""),"KMC-4, Tangal, Kathmandu (9862772699)")</f>
        <v>KMC-4, Tangal, Kathmandu (9862772699)</v>
      </c>
      <c r="I21" s="2" t="str">
        <f>IFERROR(__xludf.DUMMYFUNCTION("""COMPUTED_VALUE"""),"28o 29' 30""")</f>
        <v>28o 29' 30"</v>
      </c>
      <c r="J21" s="2" t="str">
        <f>IFERROR(__xludf.DUMMYFUNCTION("""COMPUTED_VALUE"""),"28o 30' 54""")</f>
        <v>28o 30' 54"</v>
      </c>
      <c r="K21" s="2" t="str">
        <f>IFERROR(__xludf.DUMMYFUNCTION("""COMPUTED_VALUE"""),"83o 32' 06""")</f>
        <v>83o 32' 06"</v>
      </c>
      <c r="L21" s="2" t="str">
        <f>IFERROR(__xludf.DUMMYFUNCTION("""COMPUTED_VALUE"""),"83o 33' 18""")</f>
        <v>83o 33' 18"</v>
      </c>
      <c r="M21" s="2" t="str">
        <f>IFERROR(__xludf.DUMMYFUNCTION("""COMPUTED_VALUE"""),"Chimkhola,Kuinemangale (Myagdi)")</f>
        <v>Chimkhola,Kuinemangale (Myagdi)</v>
      </c>
    </row>
    <row r="22">
      <c r="A22" s="2">
        <f>IFERROR(__xludf.DUMMYFUNCTION("""COMPUTED_VALUE"""),21.0)</f>
        <v>21</v>
      </c>
      <c r="B22" s="2" t="str">
        <f>IFERROR(__xludf.DUMMYFUNCTION("""COMPUTED_VALUE"""),"Mid Trishuli Hydropower Project")</f>
        <v>Mid Trishuli Hydropower Project</v>
      </c>
      <c r="C22" s="2">
        <f>IFERROR(__xludf.DUMMYFUNCTION("""COMPUTED_VALUE"""),84.1)</f>
        <v>84.1</v>
      </c>
      <c r="D22" s="2" t="str">
        <f>IFERROR(__xludf.DUMMYFUNCTION("""COMPUTED_VALUE"""),"Trishuli")</f>
        <v>Trishuli</v>
      </c>
      <c r="E22" s="2">
        <f>IFERROR(__xludf.DUMMYFUNCTION("""COMPUTED_VALUE"""),10848.0)</f>
        <v>10848</v>
      </c>
      <c r="F22" s="3">
        <f>IFERROR(__xludf.DUMMYFUNCTION("""COMPUTED_VALUE"""),66566.0)</f>
        <v>66566</v>
      </c>
      <c r="G22" s="2" t="str">
        <f>IFERROR(__xludf.DUMMYFUNCTION("""COMPUTED_VALUE"""),"Mayur Energy Development Group Private Limited")</f>
        <v>Mayur Energy Development Group Private Limited</v>
      </c>
      <c r="H22" s="2" t="str">
        <f>IFERROR(__xludf.DUMMYFUNCTION("""COMPUTED_VALUE"""),"KMC-10, Kathmandu")</f>
        <v>KMC-10, Kathmandu</v>
      </c>
      <c r="I22" s="2" t="str">
        <f>IFERROR(__xludf.DUMMYFUNCTION("""COMPUTED_VALUE"""),"27o 47' 21""")</f>
        <v>27o 47' 21"</v>
      </c>
      <c r="J22" s="2" t="str">
        <f>IFERROR(__xludf.DUMMYFUNCTION("""COMPUTED_VALUE"""),"27o 49' 25""")</f>
        <v>27o 49' 25"</v>
      </c>
      <c r="K22" s="2" t="str">
        <f>IFERROR(__xludf.DUMMYFUNCTION("""COMPUTED_VALUE"""),"84o 47' 13""")</f>
        <v>84o 47' 13"</v>
      </c>
      <c r="L22" s="2" t="str">
        <f>IFERROR(__xludf.DUMMYFUNCTION("""COMPUTED_VALUE"""),"84o 57' 58""")</f>
        <v>84o 57' 58"</v>
      </c>
      <c r="M22" s="2" t="str">
        <f>IFERROR(__xludf.DUMMYFUNCTION("""COMPUTED_VALUE"""),"Baireni,Benighat,Gajuri,Pida,Kalleri,Kumpur,Salang (Dhading)")</f>
        <v>Baireni,Benighat,Gajuri,Pida,Kalleri,Kumpur,Salang (Dhading)</v>
      </c>
    </row>
    <row r="23">
      <c r="A23" s="2">
        <f>IFERROR(__xludf.DUMMYFUNCTION("""COMPUTED_VALUE"""),22.0)</f>
        <v>22</v>
      </c>
      <c r="B23" s="2" t="str">
        <f>IFERROR(__xludf.DUMMYFUNCTION("""COMPUTED_VALUE"""),"Tamakoshi 6 Khola Hydropower Project")</f>
        <v>Tamakoshi 6 Khola Hydropower Project</v>
      </c>
      <c r="C23" s="2">
        <f>IFERROR(__xludf.DUMMYFUNCTION("""COMPUTED_VALUE"""),21.55)</f>
        <v>21.55</v>
      </c>
      <c r="D23" s="2" t="str">
        <f>IFERROR(__xludf.DUMMYFUNCTION("""COMPUTED_VALUE"""),"Tamakoshi")</f>
        <v>Tamakoshi</v>
      </c>
      <c r="E23" s="2">
        <f>IFERROR(__xludf.DUMMYFUNCTION("""COMPUTED_VALUE"""),372.0)</f>
        <v>372</v>
      </c>
      <c r="F23" s="3">
        <f>IFERROR(__xludf.DUMMYFUNCTION("""COMPUTED_VALUE"""),66574.0)</f>
        <v>66574</v>
      </c>
      <c r="G23" s="2" t="str">
        <f>IFERROR(__xludf.DUMMYFUNCTION("""COMPUTED_VALUE"""),"Ecostream Power Company Private Limited")</f>
        <v>Ecostream Power Company Private Limited</v>
      </c>
      <c r="H23" s="2" t="str">
        <f>IFERROR(__xludf.DUMMYFUNCTION("""COMPUTED_VALUE"""),"KMC-3, Maharajgunj, Kathmandu")</f>
        <v>KMC-3, Maharajgunj, Kathmandu</v>
      </c>
      <c r="I23" s="2" t="str">
        <f>IFERROR(__xludf.DUMMYFUNCTION("""COMPUTED_VALUE"""),"27o 28' 00""")</f>
        <v>27o 28' 00"</v>
      </c>
      <c r="J23" s="2" t="str">
        <f>IFERROR(__xludf.DUMMYFUNCTION("""COMPUTED_VALUE"""),"27o 29' 34""")</f>
        <v>27o 29' 34"</v>
      </c>
      <c r="K23" s="2" t="str">
        <f>IFERROR(__xludf.DUMMYFUNCTION("""COMPUTED_VALUE"""),"86o 06' 00""")</f>
        <v>86o 06' 00"</v>
      </c>
      <c r="L23" s="2" t="str">
        <f>IFERROR(__xludf.DUMMYFUNCTION("""COMPUTED_VALUE"""),"86o 07' 30""")</f>
        <v>86o 07' 30"</v>
      </c>
      <c r="M23" s="2" t="str">
        <f>IFERROR(__xludf.DUMMYFUNCTION("""COMPUTED_VALUE"""),"Sahure (Dolakha) Pharpu,Phulasi (Ramechhap)")</f>
        <v>Sahure (Dolakha) Pharpu,Phulasi (Ramechhap)</v>
      </c>
    </row>
    <row r="24">
      <c r="A24" s="2">
        <f>IFERROR(__xludf.DUMMYFUNCTION("""COMPUTED_VALUE"""),23.0)</f>
        <v>23</v>
      </c>
      <c r="B24" s="2" t="str">
        <f>IFERROR(__xludf.DUMMYFUNCTION("""COMPUTED_VALUE"""),"Suligad Khola Hydropower Project")</f>
        <v>Suligad Khola Hydropower Project</v>
      </c>
      <c r="C24" s="2">
        <f>IFERROR(__xludf.DUMMYFUNCTION("""COMPUTED_VALUE"""),9.8)</f>
        <v>9.8</v>
      </c>
      <c r="D24" s="2" t="str">
        <f>IFERROR(__xludf.DUMMYFUNCTION("""COMPUTED_VALUE"""),"Suligad")</f>
        <v>Suligad</v>
      </c>
      <c r="E24" s="2">
        <f>IFERROR(__xludf.DUMMYFUNCTION("""COMPUTED_VALUE"""),383.0)</f>
        <v>383</v>
      </c>
      <c r="F24" s="3">
        <f>IFERROR(__xludf.DUMMYFUNCTION("""COMPUTED_VALUE"""),66574.0)</f>
        <v>66574</v>
      </c>
      <c r="G24" s="2" t="str">
        <f>IFERROR(__xludf.DUMMYFUNCTION("""COMPUTED_VALUE"""),"Mayahold Energy Pvt. Ltd.")</f>
        <v>Mayahold Energy Pvt. Ltd.</v>
      </c>
      <c r="H24" s="2" t="str">
        <f>IFERROR(__xludf.DUMMYFUNCTION("""COMPUTED_VALUE"""),"Kathmandu Metromunicipality-5, Kathmandu, Nepal")</f>
        <v>Kathmandu Metromunicipality-5, Kathmandu, Nepal</v>
      </c>
      <c r="I24" s="2" t="str">
        <f>IFERROR(__xludf.DUMMYFUNCTION("""COMPUTED_VALUE"""),"28o 58' 15""")</f>
        <v>28o 58' 15"</v>
      </c>
      <c r="J24" s="2" t="str">
        <f>IFERROR(__xludf.DUMMYFUNCTION("""COMPUTED_VALUE"""),"29o 02' 26""")</f>
        <v>29o 02' 26"</v>
      </c>
      <c r="K24" s="2" t="str">
        <f>IFERROR(__xludf.DUMMYFUNCTION("""COMPUTED_VALUE"""),"82o 52' 25""")</f>
        <v>82o 52' 25"</v>
      </c>
      <c r="L24" s="2" t="str">
        <f>IFERROR(__xludf.DUMMYFUNCTION("""COMPUTED_VALUE"""),"82o 55' 00""")</f>
        <v>82o 55' 00"</v>
      </c>
      <c r="M24" s="2" t="str">
        <f>IFERROR(__xludf.DUMMYFUNCTION("""COMPUTED_VALUE"""),"Dunai,Phoksundo (Dolpa)")</f>
        <v>Dunai,Phoksundo (Dolpa)</v>
      </c>
    </row>
    <row r="25">
      <c r="A25" s="2">
        <f>IFERROR(__xludf.DUMMYFUNCTION("""COMPUTED_VALUE"""),24.0)</f>
        <v>24</v>
      </c>
      <c r="B25" s="2" t="str">
        <f>IFERROR(__xludf.DUMMYFUNCTION("""COMPUTED_VALUE"""),"Middle Loti Karnali Hydropower Project")</f>
        <v>Middle Loti Karnali Hydropower Project</v>
      </c>
      <c r="C25" s="2">
        <f>IFERROR(__xludf.DUMMYFUNCTION("""COMPUTED_VALUE"""),15.0)</f>
        <v>15</v>
      </c>
      <c r="D25" s="2" t="str">
        <f>IFERROR(__xludf.DUMMYFUNCTION("""COMPUTED_VALUE"""),"Loti Karnali")</f>
        <v>Loti Karnali</v>
      </c>
      <c r="E25" s="2">
        <f>IFERROR(__xludf.DUMMYFUNCTION("""COMPUTED_VALUE"""),534.0)</f>
        <v>534</v>
      </c>
      <c r="F25" s="3">
        <f>IFERROR(__xludf.DUMMYFUNCTION("""COMPUTED_VALUE"""),66579.0)</f>
        <v>66579</v>
      </c>
      <c r="G25" s="2" t="str">
        <f>IFERROR(__xludf.DUMMYFUNCTION("""COMPUTED_VALUE"""),"Tara Engineering Services Pvt. Ltd.")</f>
        <v>Tara Engineering Services Pvt. Ltd.</v>
      </c>
      <c r="H25" s="2" t="str">
        <f>IFERROR(__xludf.DUMMYFUNCTION("""COMPUTED_VALUE"""),"kapanm Kathmandu")</f>
        <v>kapanm Kathmandu</v>
      </c>
      <c r="I25" s="2" t="str">
        <f>IFERROR(__xludf.DUMMYFUNCTION("""COMPUTED_VALUE"""),"29o 49' 06""")</f>
        <v>29o 49' 06"</v>
      </c>
      <c r="J25" s="2" t="str">
        <f>IFERROR(__xludf.DUMMYFUNCTION("""COMPUTED_VALUE"""),"29o 49' 36""")</f>
        <v>29o 49' 36"</v>
      </c>
      <c r="K25" s="2" t="str">
        <f>IFERROR(__xludf.DUMMYFUNCTION("""COMPUTED_VALUE"""),"82o 05' 32""")</f>
        <v>82o 05' 32"</v>
      </c>
      <c r="L25" s="2" t="str">
        <f>IFERROR(__xludf.DUMMYFUNCTION("""COMPUTED_VALUE"""),"82o 06' 21""")</f>
        <v>82o 06' 21"</v>
      </c>
      <c r="M25" s="2" t="str">
        <f>IFERROR(__xludf.DUMMYFUNCTION("""COMPUTED_VALUE"""),"Melchham (Humla)")</f>
        <v>Melchham (Humla)</v>
      </c>
    </row>
    <row r="26">
      <c r="A26" s="2">
        <f>IFERROR(__xludf.DUMMYFUNCTION("""COMPUTED_VALUE"""),25.0)</f>
        <v>25</v>
      </c>
      <c r="B26" s="2" t="str">
        <f>IFERROR(__xludf.DUMMYFUNCTION("""COMPUTED_VALUE"""),"Yangri Khola Hydropower Project")</f>
        <v>Yangri Khola Hydropower Project</v>
      </c>
      <c r="C26" s="2">
        <f>IFERROR(__xludf.DUMMYFUNCTION("""COMPUTED_VALUE"""),9.85)</f>
        <v>9.85</v>
      </c>
      <c r="D26" s="2" t="str">
        <f>IFERROR(__xludf.DUMMYFUNCTION("""COMPUTED_VALUE"""),"Yangri Khola")</f>
        <v>Yangri Khola</v>
      </c>
      <c r="E26" s="2">
        <f>IFERROR(__xludf.DUMMYFUNCTION("""COMPUTED_VALUE"""),547.0)</f>
        <v>547</v>
      </c>
      <c r="F26" s="3">
        <f>IFERROR(__xludf.DUMMYFUNCTION("""COMPUTED_VALUE"""),66580.0)</f>
        <v>66580</v>
      </c>
      <c r="G26" s="2" t="str">
        <f>IFERROR(__xludf.DUMMYFUNCTION("""COMPUTED_VALUE"""),"Pristine Energy Private Limited")</f>
        <v>Pristine Energy Private Limited</v>
      </c>
      <c r="H26" s="2" t="str">
        <f>IFERROR(__xludf.DUMMYFUNCTION("""COMPUTED_VALUE"""),"Madhyapur Thimi - 3, Bhaktapur")</f>
        <v>Madhyapur Thimi - 3, Bhaktapur</v>
      </c>
      <c r="I26" s="2" t="str">
        <f>IFERROR(__xludf.DUMMYFUNCTION("""COMPUTED_VALUE"""),"27o 59' 25""")</f>
        <v>27o 59' 25"</v>
      </c>
      <c r="J26" s="2" t="str">
        <f>IFERROR(__xludf.DUMMYFUNCTION("""COMPUTED_VALUE"""),"28o 01' 25""")</f>
        <v>28o 01' 25"</v>
      </c>
      <c r="K26" s="2" t="str">
        <f>IFERROR(__xludf.DUMMYFUNCTION("""COMPUTED_VALUE"""),"85o 35' 49""")</f>
        <v>85o 35' 49"</v>
      </c>
      <c r="L26" s="2" t="str">
        <f>IFERROR(__xludf.DUMMYFUNCTION("""COMPUTED_VALUE"""),"85o 38' 07""")</f>
        <v>85o 38' 07"</v>
      </c>
      <c r="M26" s="2" t="str">
        <f>IFERROR(__xludf.DUMMYFUNCTION("""COMPUTED_VALUE"""),"Bhotang,Baruwa (Sindhupalchok)")</f>
        <v>Bhotang,Baruwa (Sindhupalchok)</v>
      </c>
    </row>
    <row r="27">
      <c r="A27" s="2">
        <f>IFERROR(__xludf.DUMMYFUNCTION("""COMPUTED_VALUE"""),26.0)</f>
        <v>26</v>
      </c>
      <c r="B27" s="2" t="str">
        <f>IFERROR(__xludf.DUMMYFUNCTION("""COMPUTED_VALUE"""),"Trishuli - A PRoR Hydropower Project")</f>
        <v>Trishuli - A PRoR Hydropower Project</v>
      </c>
      <c r="C27" s="2">
        <f>IFERROR(__xludf.DUMMYFUNCTION("""COMPUTED_VALUE"""),75.0)</f>
        <v>75</v>
      </c>
      <c r="D27" s="2" t="str">
        <f>IFERROR(__xludf.DUMMYFUNCTION("""COMPUTED_VALUE"""),"Trishuli Nadi")</f>
        <v>Trishuli Nadi</v>
      </c>
      <c r="E27" s="2">
        <f>IFERROR(__xludf.DUMMYFUNCTION("""COMPUTED_VALUE"""),721.0)</f>
        <v>721</v>
      </c>
      <c r="F27" s="3">
        <f>IFERROR(__xludf.DUMMYFUNCTION("""COMPUTED_VALUE"""),66586.0)</f>
        <v>66586</v>
      </c>
      <c r="G27" s="2" t="str">
        <f>IFERROR(__xludf.DUMMYFUNCTION("""COMPUTED_VALUE"""),"Anup Aacharya")</f>
        <v>Anup Aacharya</v>
      </c>
      <c r="H27" s="2" t="str">
        <f>IFERROR(__xludf.DUMMYFUNCTION("""COMPUTED_VALUE"""),"KMC-4, Kathmandu")</f>
        <v>KMC-4, Kathmandu</v>
      </c>
      <c r="I27" s="2" t="str">
        <f>IFERROR(__xludf.DUMMYFUNCTION("""COMPUTED_VALUE"""),"27o 47' 30""")</f>
        <v>27o 47' 30"</v>
      </c>
      <c r="J27" s="2" t="str">
        <f>IFERROR(__xludf.DUMMYFUNCTION("""COMPUTED_VALUE"""),"27o 50' 00""")</f>
        <v>27o 50' 00"</v>
      </c>
      <c r="K27" s="2" t="str">
        <f>IFERROR(__xludf.DUMMYFUNCTION("""COMPUTED_VALUE"""),"84o 40' 10""")</f>
        <v>84o 40' 10"</v>
      </c>
      <c r="L27" s="2" t="str">
        <f>IFERROR(__xludf.DUMMYFUNCTION("""COMPUTED_VALUE"""),"84o 47' 15""")</f>
        <v>84o 47' 15"</v>
      </c>
      <c r="M27" s="2" t="str">
        <f>IFERROR(__xludf.DUMMYFUNCTION("""COMPUTED_VALUE"""),"Benighat,Jogimara,Salang (Dhading) Ghyalchok,Bhumlichok (Gorkha)")</f>
        <v>Benighat,Jogimara,Salang (Dhading) Ghyalchok,Bhumlichok (Gorkha)</v>
      </c>
    </row>
    <row r="28">
      <c r="A28" s="2">
        <f>IFERROR(__xludf.DUMMYFUNCTION("""COMPUTED_VALUE"""),27.0)</f>
        <v>27</v>
      </c>
      <c r="B28" s="2" t="str">
        <f>IFERROR(__xludf.DUMMYFUNCTION("""COMPUTED_VALUE"""),"Dudh Khola 1 Hydropower Project")</f>
        <v>Dudh Khola 1 Hydropower Project</v>
      </c>
      <c r="C28" s="2">
        <f>IFERROR(__xludf.DUMMYFUNCTION("""COMPUTED_VALUE"""),7.5)</f>
        <v>7.5</v>
      </c>
      <c r="D28" s="2" t="str">
        <f>IFERROR(__xludf.DUMMYFUNCTION("""COMPUTED_VALUE"""),"Dudh Khola")</f>
        <v>Dudh Khola</v>
      </c>
      <c r="E28" s="2">
        <f>IFERROR(__xludf.DUMMYFUNCTION("""COMPUTED_VALUE"""),744.0)</f>
        <v>744</v>
      </c>
      <c r="F28" s="3">
        <f>IFERROR(__xludf.DUMMYFUNCTION("""COMPUTED_VALUE"""),66586.0)</f>
        <v>66586</v>
      </c>
      <c r="G28" s="2" t="str">
        <f>IFERROR(__xludf.DUMMYFUNCTION("""COMPUTED_VALUE"""),"Nilganga Hydropower Company Limited")</f>
        <v>Nilganga Hydropower Company Limited</v>
      </c>
      <c r="H28" s="2" t="str">
        <f>IFERROR(__xludf.DUMMYFUNCTION("""COMPUTED_VALUE"""),"KMC-32, Subidhanagar, Tinkune, Kathmandu")</f>
        <v>KMC-32, Subidhanagar, Tinkune, Kathmandu</v>
      </c>
      <c r="I28" s="2" t="str">
        <f>IFERROR(__xludf.DUMMYFUNCTION("""COMPUTED_VALUE"""),"28o 35' 31""")</f>
        <v>28o 35' 31"</v>
      </c>
      <c r="J28" s="2" t="str">
        <f>IFERROR(__xludf.DUMMYFUNCTION("""COMPUTED_VALUE"""),"28o 35' 48""")</f>
        <v>28o 35' 48"</v>
      </c>
      <c r="K28" s="2" t="str">
        <f>IFERROR(__xludf.DUMMYFUNCTION("""COMPUTED_VALUE"""),"84o 25' 00""")</f>
        <v>84o 25' 00"</v>
      </c>
      <c r="L28" s="2" t="str">
        <f>IFERROR(__xludf.DUMMYFUNCTION("""COMPUTED_VALUE"""),"84o 25' 40""")</f>
        <v>84o 25' 40"</v>
      </c>
      <c r="M28" s="2" t="str">
        <f>IFERROR(__xludf.DUMMYFUNCTION("""COMPUTED_VALUE"""),"Thoche (Manang)")</f>
        <v>Thoche (Manang)</v>
      </c>
    </row>
    <row r="29">
      <c r="A29" s="2">
        <f>IFERROR(__xludf.DUMMYFUNCTION("""COMPUTED_VALUE"""),28.0)</f>
        <v>28</v>
      </c>
      <c r="B29" s="2" t="str">
        <f>IFERROR(__xludf.DUMMYFUNCTION("""COMPUTED_VALUE"""),"Lower Bajhang Seti Hydropower Project")</f>
        <v>Lower Bajhang Seti Hydropower Project</v>
      </c>
      <c r="C29" s="2">
        <f>IFERROR(__xludf.DUMMYFUNCTION("""COMPUTED_VALUE"""),4.5)</f>
        <v>4.5</v>
      </c>
      <c r="D29" s="2" t="str">
        <f>IFERROR(__xludf.DUMMYFUNCTION("""COMPUTED_VALUE"""),"Seti (Far West)")</f>
        <v>Seti (Far West)</v>
      </c>
      <c r="E29" s="2">
        <f>IFERROR(__xludf.DUMMYFUNCTION("""COMPUTED_VALUE"""),912.0)</f>
        <v>912</v>
      </c>
      <c r="F29" s="3">
        <f>IFERROR(__xludf.DUMMYFUNCTION("""COMPUTED_VALUE"""),66593.0)</f>
        <v>66593</v>
      </c>
      <c r="G29" s="2" t="str">
        <f>IFERROR(__xludf.DUMMYFUNCTION("""COMPUTED_VALUE"""),"Subha Shree Hydropower Pvt. Ltd")</f>
        <v>Subha Shree Hydropower Pvt. Ltd</v>
      </c>
      <c r="H29" s="2" t="str">
        <f>IFERROR(__xludf.DUMMYFUNCTION("""COMPUTED_VALUE"""),"Kathmandu-5")</f>
        <v>Kathmandu-5</v>
      </c>
      <c r="I29" s="2" t="str">
        <f>IFERROR(__xludf.DUMMYFUNCTION("""COMPUTED_VALUE"""),"29o 44' 05""")</f>
        <v>29o 44' 05"</v>
      </c>
      <c r="J29" s="2" t="str">
        <f>IFERROR(__xludf.DUMMYFUNCTION("""COMPUTED_VALUE"""),"29o 44' 50""")</f>
        <v>29o 44' 50"</v>
      </c>
      <c r="K29" s="2" t="str">
        <f>IFERROR(__xludf.DUMMYFUNCTION("""COMPUTED_VALUE"""),"81o 17' 06""")</f>
        <v>81o 17' 06"</v>
      </c>
      <c r="L29" s="2" t="str">
        <f>IFERROR(__xludf.DUMMYFUNCTION("""COMPUTED_VALUE"""),"81o 18' 45""")</f>
        <v>81o 18' 45"</v>
      </c>
      <c r="M29" s="2" t="str">
        <f>IFERROR(__xludf.DUMMYFUNCTION("""COMPUTED_VALUE"""),"Melbisauni,Dantola,Dhamena,Sunikot (Bajhang)")</f>
        <v>Melbisauni,Dantola,Dhamena,Sunikot (Bajhang)</v>
      </c>
    </row>
    <row r="30">
      <c r="A30" s="2">
        <f>IFERROR(__xludf.DUMMYFUNCTION("""COMPUTED_VALUE"""),29.0)</f>
        <v>29</v>
      </c>
      <c r="B30" s="2" t="str">
        <f>IFERROR(__xludf.DUMMYFUNCTION("""COMPUTED_VALUE"""),"Muwa Khola Hydropower Project")</f>
        <v>Muwa Khola Hydropower Project</v>
      </c>
      <c r="C30" s="2">
        <f>IFERROR(__xludf.DUMMYFUNCTION("""COMPUTED_VALUE"""),4.89)</f>
        <v>4.89</v>
      </c>
      <c r="D30" s="2" t="str">
        <f>IFERROR(__xludf.DUMMYFUNCTION("""COMPUTED_VALUE"""),"Muwa Khola")</f>
        <v>Muwa Khola</v>
      </c>
      <c r="E30" s="2">
        <f>IFERROR(__xludf.DUMMYFUNCTION("""COMPUTED_VALUE"""),1132.0)</f>
        <v>1132</v>
      </c>
      <c r="F30" s="3">
        <f>IFERROR(__xludf.DUMMYFUNCTION("""COMPUTED_VALUE"""),66599.0)</f>
        <v>66599</v>
      </c>
      <c r="G30" s="2" t="str">
        <f>IFERROR(__xludf.DUMMYFUNCTION("""COMPUTED_VALUE"""),"Sherpa Energy Private Limited")</f>
        <v>Sherpa Energy Private Limited</v>
      </c>
      <c r="H30" s="2" t="str">
        <f>IFERROR(__xludf.DUMMYFUNCTION("""COMPUTED_VALUE"""),"KMC-6, Kathmandu")</f>
        <v>KMC-6, Kathmandu</v>
      </c>
      <c r="I30" s="2" t="str">
        <f>IFERROR(__xludf.DUMMYFUNCTION("""COMPUTED_VALUE"""),"27o 09' 50""")</f>
        <v>27o 09' 50"</v>
      </c>
      <c r="J30" s="2" t="str">
        <f>IFERROR(__xludf.DUMMYFUNCTION("""COMPUTED_VALUE"""),"27o 10' 50""")</f>
        <v>27o 10' 50"</v>
      </c>
      <c r="K30" s="2" t="str">
        <f>IFERROR(__xludf.DUMMYFUNCTION("""COMPUTED_VALUE"""),"87o 53' 40""")</f>
        <v>87o 53' 40"</v>
      </c>
      <c r="L30" s="2" t="str">
        <f>IFERROR(__xludf.DUMMYFUNCTION("""COMPUTED_VALUE"""),"87o 55' 00""")</f>
        <v>87o 55' 00"</v>
      </c>
      <c r="M30" s="2" t="str">
        <f>IFERROR(__xludf.DUMMYFUNCTION("""COMPUTED_VALUE"""),"Prangbung,Sidin (Panchthar)")</f>
        <v>Prangbung,Sidin (Panchthar)</v>
      </c>
    </row>
    <row r="31">
      <c r="A31" s="2">
        <f>IFERROR(__xludf.DUMMYFUNCTION("""COMPUTED_VALUE"""),30.0)</f>
        <v>30</v>
      </c>
      <c r="B31" s="2" t="str">
        <f>IFERROR(__xludf.DUMMYFUNCTION("""COMPUTED_VALUE"""),"Trishuli Kamana Hydroelectric Project")</f>
        <v>Trishuli Kamana Hydroelectric Project</v>
      </c>
      <c r="C31" s="2">
        <f>IFERROR(__xludf.DUMMYFUNCTION("""COMPUTED_VALUE"""),80.8)</f>
        <v>80.8</v>
      </c>
      <c r="D31" s="2" t="str">
        <f>IFERROR(__xludf.DUMMYFUNCTION("""COMPUTED_VALUE"""),"Trishuli")</f>
        <v>Trishuli</v>
      </c>
      <c r="E31" s="2">
        <f>IFERROR(__xludf.DUMMYFUNCTION("""COMPUTED_VALUE"""),1350.0)</f>
        <v>1350</v>
      </c>
      <c r="F31" s="3">
        <f>IFERROR(__xludf.DUMMYFUNCTION("""COMPUTED_VALUE"""),66606.0)</f>
        <v>66606</v>
      </c>
      <c r="G31" s="2" t="str">
        <f>IFERROR(__xludf.DUMMYFUNCTION("""COMPUTED_VALUE"""),"Mayur Energy Development Group Private Limited")</f>
        <v>Mayur Energy Development Group Private Limited</v>
      </c>
      <c r="H31" s="2" t="str">
        <f>IFERROR(__xludf.DUMMYFUNCTION("""COMPUTED_VALUE"""),"KMC-10, Kathmandu")</f>
        <v>KMC-10, Kathmandu</v>
      </c>
      <c r="I31" s="2" t="str">
        <f>IFERROR(__xludf.DUMMYFUNCTION("""COMPUTED_VALUE"""),"27o 51' 12""")</f>
        <v>27o 51' 12"</v>
      </c>
      <c r="J31" s="2" t="str">
        <f>IFERROR(__xludf.DUMMYFUNCTION("""COMPUTED_VALUE"""),"27o 52' 56""")</f>
        <v>27o 52' 56"</v>
      </c>
      <c r="K31" s="2" t="str">
        <f>IFERROR(__xludf.DUMMYFUNCTION("""COMPUTED_VALUE"""),"84o 33' 52""")</f>
        <v>84o 33' 52"</v>
      </c>
      <c r="L31" s="2" t="str">
        <f>IFERROR(__xludf.DUMMYFUNCTION("""COMPUTED_VALUE"""),"84o 38' 12""")</f>
        <v>84o 38' 12"</v>
      </c>
      <c r="M31" s="2" t="str">
        <f>IFERROR(__xludf.DUMMYFUNCTION("""COMPUTED_VALUE"""),"Darechauk,Chandi Bhanjyang (Chitawan) Makaising,Taklung,Manakamana (Gorkha)")</f>
        <v>Darechauk,Chandi Bhanjyang (Chitawan) Makaising,Taklung,Manakamana (Gorkha)</v>
      </c>
    </row>
    <row r="32">
      <c r="A32" s="2">
        <f>IFERROR(__xludf.DUMMYFUNCTION("""COMPUTED_VALUE"""),31.0)</f>
        <v>31</v>
      </c>
      <c r="B32" s="2" t="str">
        <f>IFERROR(__xludf.DUMMYFUNCTION("""COMPUTED_VALUE"""),"Syar Khola Hydroelectric Project")</f>
        <v>Syar Khola Hydroelectric Project</v>
      </c>
      <c r="C32" s="2">
        <f>IFERROR(__xludf.DUMMYFUNCTION("""COMPUTED_VALUE"""),21.0)</f>
        <v>21</v>
      </c>
      <c r="D32" s="2" t="str">
        <f>IFERROR(__xludf.DUMMYFUNCTION("""COMPUTED_VALUE"""),"Syar")</f>
        <v>Syar</v>
      </c>
      <c r="E32" s="2">
        <f>IFERROR(__xludf.DUMMYFUNCTION("""COMPUTED_VALUE"""),1426.0)</f>
        <v>1426</v>
      </c>
      <c r="F32" s="3">
        <f>IFERROR(__xludf.DUMMYFUNCTION("""COMPUTED_VALUE"""),66607.0)</f>
        <v>66607</v>
      </c>
      <c r="G32" s="2" t="str">
        <f>IFERROR(__xludf.DUMMYFUNCTION("""COMPUTED_VALUE"""),"Road Nepal Private Limited")</f>
        <v>Road Nepal Private Limited</v>
      </c>
      <c r="H32" s="2" t="str">
        <f>IFERROR(__xludf.DUMMYFUNCTION("""COMPUTED_VALUE"""),"KMC-16, Kathmandu, Nepal")</f>
        <v>KMC-16, Kathmandu, Nepal</v>
      </c>
      <c r="I32" s="2" t="str">
        <f>IFERROR(__xludf.DUMMYFUNCTION("""COMPUTED_VALUE"""),"28o 28' 40""")</f>
        <v>28o 28' 40"</v>
      </c>
      <c r="J32" s="2" t="str">
        <f>IFERROR(__xludf.DUMMYFUNCTION("""COMPUTED_VALUE"""),"28o 31' 14""")</f>
        <v>28o 31' 14"</v>
      </c>
      <c r="K32" s="2" t="str">
        <f>IFERROR(__xludf.DUMMYFUNCTION("""COMPUTED_VALUE"""),"85o 02' 50""")</f>
        <v>85o 02' 50"</v>
      </c>
      <c r="L32" s="2" t="str">
        <f>IFERROR(__xludf.DUMMYFUNCTION("""COMPUTED_VALUE"""),"85o 05' 38""")</f>
        <v>85o 05' 38"</v>
      </c>
      <c r="M32" s="2" t="str">
        <f>IFERROR(__xludf.DUMMYFUNCTION("""COMPUTED_VALUE"""),"Chhaikampar (Gorkha)")</f>
        <v>Chhaikampar (Gorkha)</v>
      </c>
    </row>
    <row r="33">
      <c r="A33" s="2">
        <f>IFERROR(__xludf.DUMMYFUNCTION("""COMPUTED_VALUE"""),32.0)</f>
        <v>32</v>
      </c>
      <c r="B33" s="2" t="str">
        <f>IFERROR(__xludf.DUMMYFUNCTION("""COMPUTED_VALUE"""),"Upper Nisi Khola Hydropower Project")</f>
        <v>Upper Nisi Khola Hydropower Project</v>
      </c>
      <c r="C33" s="2">
        <f>IFERROR(__xludf.DUMMYFUNCTION("""COMPUTED_VALUE"""),9.4)</f>
        <v>9.4</v>
      </c>
      <c r="D33" s="2" t="str">
        <f>IFERROR(__xludf.DUMMYFUNCTION("""COMPUTED_VALUE"""),"Nisi Khola")</f>
        <v>Nisi Khola</v>
      </c>
      <c r="E33" s="2">
        <f>IFERROR(__xludf.DUMMYFUNCTION("""COMPUTED_VALUE"""),1608.0)</f>
        <v>1608</v>
      </c>
      <c r="F33" s="3">
        <f>IFERROR(__xludf.DUMMYFUNCTION("""COMPUTED_VALUE"""),66613.0)</f>
        <v>66613</v>
      </c>
      <c r="G33" s="2" t="str">
        <f>IFERROR(__xludf.DUMMYFUNCTION("""COMPUTED_VALUE"""),"Orion Energy Private Limited")</f>
        <v>Orion Energy Private Limited</v>
      </c>
      <c r="H33" s="2" t="str">
        <f>IFERROR(__xludf.DUMMYFUNCTION("""COMPUTED_VALUE"""),"KMC-26, Kathmandu")</f>
        <v>KMC-26, Kathmandu</v>
      </c>
      <c r="I33" s="2" t="str">
        <f>IFERROR(__xludf.DUMMYFUNCTION("""COMPUTED_VALUE"""),"28o 23' 05""")</f>
        <v>28o 23' 05"</v>
      </c>
      <c r="J33" s="2" t="str">
        <f>IFERROR(__xludf.DUMMYFUNCTION("""COMPUTED_VALUE"""),"28o 25' 45""")</f>
        <v>28o 25' 45"</v>
      </c>
      <c r="K33" s="2" t="str">
        <f>IFERROR(__xludf.DUMMYFUNCTION("""COMPUTED_VALUE"""),"82o 58' 00""")</f>
        <v>82o 58' 00"</v>
      </c>
      <c r="L33" s="2" t="str">
        <f>IFERROR(__xludf.DUMMYFUNCTION("""COMPUTED_VALUE"""),"83o 01' 45""")</f>
        <v>83o 01' 45"</v>
      </c>
      <c r="M33" s="2" t="str">
        <f>IFERROR(__xludf.DUMMYFUNCTION("""COMPUTED_VALUE"""),"Nisi (Baglung)")</f>
        <v>Nisi (Baglung)</v>
      </c>
    </row>
    <row r="34">
      <c r="A34" s="2">
        <f>IFERROR(__xludf.DUMMYFUNCTION("""COMPUTED_VALUE"""),33.0)</f>
        <v>33</v>
      </c>
      <c r="B34" s="2" t="str">
        <f>IFERROR(__xludf.DUMMYFUNCTION("""COMPUTED_VALUE"""),"Middle Nyadi Hydropower Project")</f>
        <v>Middle Nyadi Hydropower Project</v>
      </c>
      <c r="C34" s="2">
        <f>IFERROR(__xludf.DUMMYFUNCTION("""COMPUTED_VALUE"""),4.0)</f>
        <v>4</v>
      </c>
      <c r="D34" s="2" t="str">
        <f>IFERROR(__xludf.DUMMYFUNCTION("""COMPUTED_VALUE"""),"Nyadi")</f>
        <v>Nyadi</v>
      </c>
      <c r="E34" s="2">
        <f>IFERROR(__xludf.DUMMYFUNCTION("""COMPUTED_VALUE"""),1704.0)</f>
        <v>1704</v>
      </c>
      <c r="F34" s="3">
        <f>IFERROR(__xludf.DUMMYFUNCTION("""COMPUTED_VALUE"""),66614.0)</f>
        <v>66614</v>
      </c>
      <c r="G34" s="2" t="str">
        <f>IFERROR(__xludf.DUMMYFUNCTION("""COMPUTED_VALUE"""),"Taleju Power Private Limited")</f>
        <v>Taleju Power Private Limited</v>
      </c>
      <c r="H34" s="2" t="str">
        <f>IFERROR(__xludf.DUMMYFUNCTION("""COMPUTED_VALUE"""),"KMC-16, Banasthali, Kathmandu")</f>
        <v>KMC-16, Banasthali, Kathmandu</v>
      </c>
      <c r="I34" s="2" t="str">
        <f>IFERROR(__xludf.DUMMYFUNCTION("""COMPUTED_VALUE"""),"28o 23' 56""")</f>
        <v>28o 23' 56"</v>
      </c>
      <c r="J34" s="2" t="str">
        <f>IFERROR(__xludf.DUMMYFUNCTION("""COMPUTED_VALUE"""),"28o 24' 41""")</f>
        <v>28o 24' 41"</v>
      </c>
      <c r="K34" s="2" t="str">
        <f>IFERROR(__xludf.DUMMYFUNCTION("""COMPUTED_VALUE"""),"84o 29' 50""")</f>
        <v>84o 29' 50"</v>
      </c>
      <c r="L34" s="2" t="str">
        <f>IFERROR(__xludf.DUMMYFUNCTION("""COMPUTED_VALUE"""),"84o 30' 35""")</f>
        <v>84o 30' 35"</v>
      </c>
      <c r="M34" s="2" t="str">
        <f>IFERROR(__xludf.DUMMYFUNCTION("""COMPUTED_VALUE"""),"Bahundada,Bhulbhule (Lamjung)")</f>
        <v>Bahundada,Bhulbhule (Lamjung)</v>
      </c>
    </row>
    <row r="35">
      <c r="A35" s="2">
        <f>IFERROR(__xludf.DUMMYFUNCTION("""COMPUTED_VALUE"""),34.0)</f>
        <v>34</v>
      </c>
      <c r="B35" s="2" t="str">
        <f>IFERROR(__xludf.DUMMYFUNCTION("""COMPUTED_VALUE"""),"Lother Khola Hydropower Project")</f>
        <v>Lother Khola Hydropower Project</v>
      </c>
      <c r="C35" s="2">
        <f>IFERROR(__xludf.DUMMYFUNCTION("""COMPUTED_VALUE"""),4.12)</f>
        <v>4.12</v>
      </c>
      <c r="D35" s="2" t="str">
        <f>IFERROR(__xludf.DUMMYFUNCTION("""COMPUTED_VALUE"""),"Lothar")</f>
        <v>Lothar</v>
      </c>
      <c r="E35" s="2">
        <f>IFERROR(__xludf.DUMMYFUNCTION("""COMPUTED_VALUE"""),1790.0)</f>
        <v>1790</v>
      </c>
      <c r="F35" s="3">
        <f>IFERROR(__xludf.DUMMYFUNCTION("""COMPUTED_VALUE"""),66619.0)</f>
        <v>66619</v>
      </c>
      <c r="G35" s="2" t="str">
        <f>IFERROR(__xludf.DUMMYFUNCTION("""COMPUTED_VALUE"""),"Suryadarshan Hydropower Private Limited")</f>
        <v>Suryadarshan Hydropower Private Limited</v>
      </c>
      <c r="H35" s="2" t="str">
        <f>IFERROR(__xludf.DUMMYFUNCTION("""COMPUTED_VALUE"""),"Kathmandu, Samakhusi 26")</f>
        <v>Kathmandu, Samakhusi 26</v>
      </c>
      <c r="I35" s="2" t="str">
        <f>IFERROR(__xludf.DUMMYFUNCTION("""COMPUTED_VALUE"""),"27o 35' 18""")</f>
        <v>27o 35' 18"</v>
      </c>
      <c r="J35" s="2" t="str">
        <f>IFERROR(__xludf.DUMMYFUNCTION("""COMPUTED_VALUE"""),"27o 37' 49""")</f>
        <v>27o 37' 49"</v>
      </c>
      <c r="K35" s="2" t="str">
        <f>IFERROR(__xludf.DUMMYFUNCTION("""COMPUTED_VALUE"""),"84o 43' 46""")</f>
        <v>84o 43' 46"</v>
      </c>
      <c r="L35" s="2" t="str">
        <f>IFERROR(__xludf.DUMMYFUNCTION("""COMPUTED_VALUE"""),"84o 44' 21""")</f>
        <v>84o 44' 21"</v>
      </c>
      <c r="M35" s="2" t="str">
        <f>IFERROR(__xludf.DUMMYFUNCTION("""COMPUTED_VALUE"""),"Pipale,Lothar (Chitawan)")</f>
        <v>Pipale,Lothar (Chitawan)</v>
      </c>
    </row>
    <row r="36">
      <c r="A36" s="2">
        <f>IFERROR(__xludf.DUMMYFUNCTION("""COMPUTED_VALUE"""),35.0)</f>
        <v>35</v>
      </c>
      <c r="B36" s="2" t="str">
        <f>IFERROR(__xludf.DUMMYFUNCTION("""COMPUTED_VALUE"""),"Sisuwa Khola - A Hydroelectric Project")</f>
        <v>Sisuwa Khola - A Hydroelectric Project</v>
      </c>
      <c r="C36" s="2">
        <f>IFERROR(__xludf.DUMMYFUNCTION("""COMPUTED_VALUE"""),9.8)</f>
        <v>9.8</v>
      </c>
      <c r="D36" s="2" t="str">
        <f>IFERROR(__xludf.DUMMYFUNCTION("""COMPUTED_VALUE"""),"Sisuwa, newa, danguwa")</f>
        <v>Sisuwa, newa, danguwa</v>
      </c>
      <c r="E36" s="2">
        <f>IFERROR(__xludf.DUMMYFUNCTION("""COMPUTED_VALUE"""),1975.0)</f>
        <v>1975</v>
      </c>
      <c r="F36" s="3">
        <f>IFERROR(__xludf.DUMMYFUNCTION("""COMPUTED_VALUE"""),66629.0)</f>
        <v>66629</v>
      </c>
      <c r="G36" s="2" t="str">
        <f>IFERROR(__xludf.DUMMYFUNCTION("""COMPUTED_VALUE"""),"Matribhumi Hydropower Development Company Pvt. Ltd")</f>
        <v>Matribhumi Hydropower Development Company Pvt. Ltd</v>
      </c>
      <c r="H36" s="2" t="str">
        <f>IFERROR(__xludf.DUMMYFUNCTION("""COMPUTED_VALUE"""),"Lalitpur Sub-metropolitan Municipality-15, Lalitpur")</f>
        <v>Lalitpur Sub-metropolitan Municipality-15, Lalitpur</v>
      </c>
      <c r="I36" s="2" t="str">
        <f>IFERROR(__xludf.DUMMYFUNCTION("""COMPUTED_VALUE"""),"27o 28' 00""")</f>
        <v>27o 28' 00"</v>
      </c>
      <c r="J36" s="2" t="str">
        <f>IFERROR(__xludf.DUMMYFUNCTION("""COMPUTED_VALUE"""),"27o 30' 01""")</f>
        <v>27o 30' 01"</v>
      </c>
      <c r="K36" s="2" t="str">
        <f>IFERROR(__xludf.DUMMYFUNCTION("""COMPUTED_VALUE"""),"87o 01' 13""")</f>
        <v>87o 01' 13"</v>
      </c>
      <c r="L36" s="2" t="str">
        <f>IFERROR(__xludf.DUMMYFUNCTION("""COMPUTED_VALUE"""),"87o 02' 15""")</f>
        <v>87o 02' 15"</v>
      </c>
      <c r="M36" s="2" t="str">
        <f>IFERROR(__xludf.DUMMYFUNCTION("""COMPUTED_VALUE"""),"Bala,Sisuwakhola (Sankhuwasabha)")</f>
        <v>Bala,Sisuwakhola (Sankhuwasabha)</v>
      </c>
    </row>
    <row r="37">
      <c r="A37" s="2">
        <f>IFERROR(__xludf.DUMMYFUNCTION("""COMPUTED_VALUE"""),36.0)</f>
        <v>36</v>
      </c>
      <c r="B37" s="2" t="str">
        <f>IFERROR(__xludf.DUMMYFUNCTION("""COMPUTED_VALUE"""),"Thuliganga Hydropower Project")</f>
        <v>Thuliganga Hydropower Project</v>
      </c>
      <c r="C37" s="2">
        <f>IFERROR(__xludf.DUMMYFUNCTION("""COMPUTED_VALUE"""),4.6)</f>
        <v>4.6</v>
      </c>
      <c r="D37" s="2" t="str">
        <f>IFERROR(__xludf.DUMMYFUNCTION("""COMPUTED_VALUE"""),"Thuliganga")</f>
        <v>Thuliganga</v>
      </c>
      <c r="E37" s="2">
        <f>IFERROR(__xludf.DUMMYFUNCTION("""COMPUTED_VALUE"""),2104.0)</f>
        <v>2104</v>
      </c>
      <c r="F37" s="3">
        <f>IFERROR(__xludf.DUMMYFUNCTION("""COMPUTED_VALUE"""),66635.0)</f>
        <v>66635</v>
      </c>
      <c r="G37" s="2" t="str">
        <f>IFERROR(__xludf.DUMMYFUNCTION("""COMPUTED_VALUE"""),"K.P.C. Energy Pvt. Ltd")</f>
        <v>K.P.C. Energy Pvt. Ltd</v>
      </c>
      <c r="H37" s="2" t="str">
        <f>IFERROR(__xludf.DUMMYFUNCTION("""COMPUTED_VALUE"""),"New Baneshwor Kathamndu")</f>
        <v>New Baneshwor Kathamndu</v>
      </c>
      <c r="I37" s="2" t="str">
        <f>IFERROR(__xludf.DUMMYFUNCTION("""COMPUTED_VALUE"""),"29o 33' 50""")</f>
        <v>29o 33' 50"</v>
      </c>
      <c r="J37" s="2" t="str">
        <f>IFERROR(__xludf.DUMMYFUNCTION("""COMPUTED_VALUE"""),"29o 36' 08""")</f>
        <v>29o 36' 08"</v>
      </c>
      <c r="K37" s="2" t="str">
        <f>IFERROR(__xludf.DUMMYFUNCTION("""COMPUTED_VALUE"""),"81o 28' 30""")</f>
        <v>81o 28' 30"</v>
      </c>
      <c r="L37" s="2" t="str">
        <f>IFERROR(__xludf.DUMMYFUNCTION("""COMPUTED_VALUE"""),"81o 30' 25""")</f>
        <v>81o 30' 25"</v>
      </c>
      <c r="M37" s="2" t="str">
        <f>IFERROR(__xludf.DUMMYFUNCTION("""COMPUTED_VALUE"""),"Dogadi (Bajura)")</f>
        <v>Dogadi (Bajura)</v>
      </c>
    </row>
    <row r="38">
      <c r="A38" s="2">
        <f>IFERROR(__xludf.DUMMYFUNCTION("""COMPUTED_VALUE"""),37.0)</f>
        <v>37</v>
      </c>
      <c r="B38" s="2" t="str">
        <f>IFERROR(__xludf.DUMMYFUNCTION("""COMPUTED_VALUE"""),"Upper Seti - 1 Cascade Hydropower Project")</f>
        <v>Upper Seti - 1 Cascade Hydropower Project</v>
      </c>
      <c r="C38" s="2">
        <f>IFERROR(__xludf.DUMMYFUNCTION("""COMPUTED_VALUE"""),4.99)</f>
        <v>4.99</v>
      </c>
      <c r="D38" s="2" t="str">
        <f>IFERROR(__xludf.DUMMYFUNCTION("""COMPUTED_VALUE"""),"Seti Khola (Gandaki)")</f>
        <v>Seti Khola (Gandaki)</v>
      </c>
      <c r="E38" s="2">
        <f>IFERROR(__xludf.DUMMYFUNCTION("""COMPUTED_VALUE"""),2108.0)</f>
        <v>2108</v>
      </c>
      <c r="F38" s="3">
        <f>IFERROR(__xludf.DUMMYFUNCTION("""COMPUTED_VALUE"""),66635.0)</f>
        <v>66635</v>
      </c>
      <c r="G38" s="2" t="str">
        <f>IFERROR(__xludf.DUMMYFUNCTION("""COMPUTED_VALUE"""),"Hydro Energy Solution Private Limited")</f>
        <v>Hydro Energy Solution Private Limited</v>
      </c>
      <c r="H38" s="2" t="str">
        <f>IFERROR(__xludf.DUMMYFUNCTION("""COMPUTED_VALUE"""),"Budhanilkantha, Kathmandu")</f>
        <v>Budhanilkantha, Kathmandu</v>
      </c>
      <c r="I38" s="2" t="str">
        <f>IFERROR(__xludf.DUMMYFUNCTION("""COMPUTED_VALUE"""),"28o 15' 05""")</f>
        <v>28o 15' 05"</v>
      </c>
      <c r="J38" s="2" t="str">
        <f>IFERROR(__xludf.DUMMYFUNCTION("""COMPUTED_VALUE"""),"28o 16' 38""")</f>
        <v>28o 16' 38"</v>
      </c>
      <c r="K38" s="2" t="str">
        <f>IFERROR(__xludf.DUMMYFUNCTION("""COMPUTED_VALUE"""),"83o 57' 00""")</f>
        <v>83o 57' 00"</v>
      </c>
      <c r="L38" s="2" t="str">
        <f>IFERROR(__xludf.DUMMYFUNCTION("""COMPUTED_VALUE"""),"83o 58' 30""")</f>
        <v>83o 58' 30"</v>
      </c>
      <c r="M38" s="2" t="str">
        <f>IFERROR(__xludf.DUMMYFUNCTION("""COMPUTED_VALUE"""),"Hemaja,Lamachaur,Pokhara N.P. (Kaski)")</f>
        <v>Hemaja,Lamachaur,Pokhara N.P. (Kaski)</v>
      </c>
    </row>
    <row r="39">
      <c r="A39" s="2">
        <f>IFERROR(__xludf.DUMMYFUNCTION("""COMPUTED_VALUE"""),38.0)</f>
        <v>38</v>
      </c>
      <c r="B39" s="2" t="str">
        <f>IFERROR(__xludf.DUMMYFUNCTION("""COMPUTED_VALUE"""),"Dar Khola Hydropower Project")</f>
        <v>Dar Khola Hydropower Project</v>
      </c>
      <c r="C39" s="2">
        <f>IFERROR(__xludf.DUMMYFUNCTION("""COMPUTED_VALUE"""),4.972)</f>
        <v>4.972</v>
      </c>
      <c r="D39" s="2" t="str">
        <f>IFERROR(__xludf.DUMMYFUNCTION("""COMPUTED_VALUE"""),"Dar Khola")</f>
        <v>Dar Khola</v>
      </c>
      <c r="E39" s="2">
        <f>IFERROR(__xludf.DUMMYFUNCTION("""COMPUTED_VALUE"""),2221.0)</f>
        <v>2221</v>
      </c>
      <c r="F39" s="3">
        <f>IFERROR(__xludf.DUMMYFUNCTION("""COMPUTED_VALUE"""),66639.0)</f>
        <v>66639</v>
      </c>
      <c r="G39" s="2" t="str">
        <f>IFERROR(__xludf.DUMMYFUNCTION("""COMPUTED_VALUE"""),"Panchakoshi Jalbidhyut Company Pvt. Ltd.")</f>
        <v>Panchakoshi Jalbidhyut Company Pvt. Ltd.</v>
      </c>
      <c r="H39" s="2" t="str">
        <f>IFERROR(__xludf.DUMMYFUNCTION("""COMPUTED_VALUE"""),"Kathmandu")</f>
        <v>Kathmandu</v>
      </c>
      <c r="I39" s="2" t="str">
        <f>IFERROR(__xludf.DUMMYFUNCTION("""COMPUTED_VALUE"""),"28o 55' 23""")</f>
        <v>28o 55' 23"</v>
      </c>
      <c r="J39" s="2" t="str">
        <f>IFERROR(__xludf.DUMMYFUNCTION("""COMPUTED_VALUE"""),"28o 57' 00""")</f>
        <v>28o 57' 00"</v>
      </c>
      <c r="K39" s="2" t="str">
        <f>IFERROR(__xludf.DUMMYFUNCTION("""COMPUTED_VALUE"""),"82o 25' 21""")</f>
        <v>82o 25' 21"</v>
      </c>
      <c r="L39" s="2" t="str">
        <f>IFERROR(__xludf.DUMMYFUNCTION("""COMPUTED_VALUE"""),"82o 26' 26""")</f>
        <v>82o 26' 26"</v>
      </c>
      <c r="M39" s="2" t="str">
        <f>IFERROR(__xludf.DUMMYFUNCTION("""COMPUTED_VALUE"""),"Paink (Jajarkot)")</f>
        <v>Paink (Jajarkot)</v>
      </c>
    </row>
    <row r="40">
      <c r="A40" s="2">
        <f>IFERROR(__xludf.DUMMYFUNCTION("""COMPUTED_VALUE"""),39.0)</f>
        <v>39</v>
      </c>
      <c r="B40" s="2" t="str">
        <f>IFERROR(__xludf.DUMMYFUNCTION("""COMPUTED_VALUE"""),"Trishuli Khola Hydropower Project")</f>
        <v>Trishuli Khola Hydropower Project</v>
      </c>
      <c r="C40" s="2">
        <f>IFERROR(__xludf.DUMMYFUNCTION("""COMPUTED_VALUE"""),10.45)</f>
        <v>10.45</v>
      </c>
      <c r="D40" s="2" t="str">
        <f>IFERROR(__xludf.DUMMYFUNCTION("""COMPUTED_VALUE"""),"Trishuli")</f>
        <v>Trishuli</v>
      </c>
      <c r="E40" s="2">
        <f>IFERROR(__xludf.DUMMYFUNCTION("""COMPUTED_VALUE"""),2227.0)</f>
        <v>2227</v>
      </c>
      <c r="F40" s="3">
        <f>IFERROR(__xludf.DUMMYFUNCTION("""COMPUTED_VALUE"""),66639.0)</f>
        <v>66639</v>
      </c>
      <c r="G40" s="2" t="str">
        <f>IFERROR(__xludf.DUMMYFUNCTION("""COMPUTED_VALUE"""),"Dynamic Power Private Limited")</f>
        <v>Dynamic Power Private Limited</v>
      </c>
      <c r="H40" s="2" t="str">
        <f>IFERROR(__xludf.DUMMYFUNCTION("""COMPUTED_VALUE"""),"Kamalpokhri, Kathmandu")</f>
        <v>Kamalpokhri, Kathmandu</v>
      </c>
      <c r="I40" s="2" t="str">
        <f>IFERROR(__xludf.DUMMYFUNCTION("""COMPUTED_VALUE"""),"28o 05' 50""")</f>
        <v>28o 05' 50"</v>
      </c>
      <c r="J40" s="2" t="str">
        <f>IFERROR(__xludf.DUMMYFUNCTION("""COMPUTED_VALUE"""),"28o 07' 41""")</f>
        <v>28o 07' 41"</v>
      </c>
      <c r="K40" s="2" t="str">
        <f>IFERROR(__xludf.DUMMYFUNCTION("""COMPUTED_VALUE"""),"85o 17' 58""")</f>
        <v>85o 17' 58"</v>
      </c>
      <c r="L40" s="2" t="str">
        <f>IFERROR(__xludf.DUMMYFUNCTION("""COMPUTED_VALUE"""),"85o 19' 20""")</f>
        <v>85o 19' 20"</v>
      </c>
      <c r="M40" s="2" t="str">
        <f>IFERROR(__xludf.DUMMYFUNCTION("""COMPUTED_VALUE"""),"Syafru,Dhunche (Rasuwa)")</f>
        <v>Syafru,Dhunche (Rasuwa)</v>
      </c>
    </row>
    <row r="41">
      <c r="A41" s="2">
        <f>IFERROR(__xludf.DUMMYFUNCTION("""COMPUTED_VALUE"""),40.0)</f>
        <v>40</v>
      </c>
      <c r="B41" s="2" t="str">
        <f>IFERROR(__xludf.DUMMYFUNCTION("""COMPUTED_VALUE"""),"Lower Isuwa Khola Hydropower Project")</f>
        <v>Lower Isuwa Khola Hydropower Project</v>
      </c>
      <c r="C41" s="2">
        <f>IFERROR(__xludf.DUMMYFUNCTION("""COMPUTED_VALUE"""),4.9)</f>
        <v>4.9</v>
      </c>
      <c r="D41" s="2" t="str">
        <f>IFERROR(__xludf.DUMMYFUNCTION("""COMPUTED_VALUE"""),"Isuwa Khola")</f>
        <v>Isuwa Khola</v>
      </c>
      <c r="E41" s="2">
        <f>IFERROR(__xludf.DUMMYFUNCTION("""COMPUTED_VALUE"""),2572.0)</f>
        <v>2572</v>
      </c>
      <c r="F41" s="3">
        <f>IFERROR(__xludf.DUMMYFUNCTION("""COMPUTED_VALUE"""),66659.0)</f>
        <v>66659</v>
      </c>
      <c r="G41" s="2" t="str">
        <f>IFERROR(__xludf.DUMMYFUNCTION("""COMPUTED_VALUE"""),"Ipsuwa Energy Private Limited")</f>
        <v>Ipsuwa Energy Private Limited</v>
      </c>
      <c r="H41" s="2" t="str">
        <f>IFERROR(__xludf.DUMMYFUNCTION("""COMPUTED_VALUE"""),"Budhanilkantha Municipality, Ward No.8, Kathmandu")</f>
        <v>Budhanilkantha Municipality, Ward No.8, Kathmandu</v>
      </c>
      <c r="I41" s="2" t="str">
        <f>IFERROR(__xludf.DUMMYFUNCTION("""COMPUTED_VALUE"""),"27o 33' 02""")</f>
        <v>27o 33' 02"</v>
      </c>
      <c r="J41" s="2" t="str">
        <f>IFERROR(__xludf.DUMMYFUNCTION("""COMPUTED_VALUE"""),"27o 34' 05""")</f>
        <v>27o 34' 05"</v>
      </c>
      <c r="K41" s="2" t="str">
        <f>IFERROR(__xludf.DUMMYFUNCTION("""COMPUTED_VALUE"""),"87o 14' 35""")</f>
        <v>87o 14' 35"</v>
      </c>
      <c r="L41" s="2" t="str">
        <f>IFERROR(__xludf.DUMMYFUNCTION("""COMPUTED_VALUE"""),"87o 15' 33""")</f>
        <v>87o 15' 33"</v>
      </c>
      <c r="M41" s="2" t="str">
        <f>IFERROR(__xludf.DUMMYFUNCTION("""COMPUTED_VALUE"""),"Num,Makalu (Sankhuwasabha)")</f>
        <v>Num,Makalu (Sankhuwasabha)</v>
      </c>
    </row>
    <row r="42">
      <c r="A42" s="2">
        <f>IFERROR(__xludf.DUMMYFUNCTION("""COMPUTED_VALUE"""),41.0)</f>
        <v>41</v>
      </c>
      <c r="B42" s="2" t="str">
        <f>IFERROR(__xludf.DUMMYFUNCTION("""COMPUTED_VALUE"""),"Super Bichchhya Khola Hydropower Project")</f>
        <v>Super Bichchhya Khola Hydropower Project</v>
      </c>
      <c r="C42" s="2">
        <f>IFERROR(__xludf.DUMMYFUNCTION("""COMPUTED_VALUE"""),7.1)</f>
        <v>7.1</v>
      </c>
      <c r="D42" s="2" t="str">
        <f>IFERROR(__xludf.DUMMYFUNCTION("""COMPUTED_VALUE"""),"Bichchhya Khola")</f>
        <v>Bichchhya Khola</v>
      </c>
      <c r="E42" s="2">
        <f>IFERROR(__xludf.DUMMYFUNCTION("""COMPUTED_VALUE"""),2758.0)</f>
        <v>2758</v>
      </c>
      <c r="F42" s="3">
        <f>IFERROR(__xludf.DUMMYFUNCTION("""COMPUTED_VALUE"""),66671.0)</f>
        <v>66671</v>
      </c>
      <c r="G42" s="2" t="str">
        <f>IFERROR(__xludf.DUMMYFUNCTION("""COMPUTED_VALUE"""),"Kamana Energy Private Limited")</f>
        <v>Kamana Energy Private Limited</v>
      </c>
      <c r="H42" s="2" t="str">
        <f>IFERROR(__xludf.DUMMYFUNCTION("""COMPUTED_VALUE"""),"Banepa-08, Kabhre")</f>
        <v>Banepa-08, Kabhre</v>
      </c>
      <c r="I42" s="2" t="str">
        <f>IFERROR(__xludf.DUMMYFUNCTION("""COMPUTED_VALUE"""),"29o 41' 20""")</f>
        <v>29o 41' 20"</v>
      </c>
      <c r="J42" s="2" t="str">
        <f>IFERROR(__xludf.DUMMYFUNCTION("""COMPUTED_VALUE"""),"29o 43' 15""")</f>
        <v>29o 43' 15"</v>
      </c>
      <c r="K42" s="2" t="str">
        <f>IFERROR(__xludf.DUMMYFUNCTION("""COMPUTED_VALUE"""),"81o 35' 40""")</f>
        <v>81o 35' 40"</v>
      </c>
      <c r="L42" s="2" t="str">
        <f>IFERROR(__xludf.DUMMYFUNCTION("""COMPUTED_VALUE"""),"81o 37' 51""")</f>
        <v>81o 37' 51"</v>
      </c>
      <c r="M42" s="2" t="str">
        <f>IFERROR(__xludf.DUMMYFUNCTION("""COMPUTED_VALUE"""),"Bichhiya (Bajura)")</f>
        <v>Bichhiya (Bajura)</v>
      </c>
    </row>
    <row r="43">
      <c r="A43" s="2">
        <f>IFERROR(__xludf.DUMMYFUNCTION("""COMPUTED_VALUE"""),42.0)</f>
        <v>42</v>
      </c>
      <c r="B43" s="2" t="str">
        <f>IFERROR(__xludf.DUMMYFUNCTION("""COMPUTED_VALUE"""),"Lambu Khola Hydropower Project")</f>
        <v>Lambu Khola Hydropower Project</v>
      </c>
      <c r="C43" s="2">
        <f>IFERROR(__xludf.DUMMYFUNCTION("""COMPUTED_VALUE"""),9.0)</f>
        <v>9</v>
      </c>
      <c r="D43" s="2" t="str">
        <f>IFERROR(__xludf.DUMMYFUNCTION("""COMPUTED_VALUE"""),"Lambu")</f>
        <v>Lambu</v>
      </c>
      <c r="E43" s="2">
        <f>IFERROR(__xludf.DUMMYFUNCTION("""COMPUTED_VALUE"""),2770.0)</f>
        <v>2770</v>
      </c>
      <c r="F43" s="3">
        <f>IFERROR(__xludf.DUMMYFUNCTION("""COMPUTED_VALUE"""),66671.0)</f>
        <v>66671</v>
      </c>
      <c r="G43" s="2" t="str">
        <f>IFERROR(__xludf.DUMMYFUNCTION("""COMPUTED_VALUE"""),"Energy Hub Private Limited")</f>
        <v>Energy Hub Private Limited</v>
      </c>
      <c r="H43" s="2" t="str">
        <f>IFERROR(__xludf.DUMMYFUNCTION("""COMPUTED_VALUE"""),"KMC-16, Banasthali, Kathmandu")</f>
        <v>KMC-16, Banasthali, Kathmandu</v>
      </c>
      <c r="I43" s="2" t="str">
        <f>IFERROR(__xludf.DUMMYFUNCTION("""COMPUTED_VALUE"""),"27o 03' 37""")</f>
        <v>27o 03' 37"</v>
      </c>
      <c r="J43" s="2" t="str">
        <f>IFERROR(__xludf.DUMMYFUNCTION("""COMPUTED_VALUE"""),"27o 05' 25""")</f>
        <v>27o 05' 25"</v>
      </c>
      <c r="K43" s="2" t="str">
        <f>IFERROR(__xludf.DUMMYFUNCTION("""COMPUTED_VALUE"""),"87o 30' 48""")</f>
        <v>87o 30' 48"</v>
      </c>
      <c r="L43" s="2" t="str">
        <f>IFERROR(__xludf.DUMMYFUNCTION("""COMPUTED_VALUE"""),"87o 33' 35""")</f>
        <v>87o 33' 35"</v>
      </c>
      <c r="M43" s="2"/>
    </row>
    <row r="44">
      <c r="A44" s="2">
        <f>IFERROR(__xludf.DUMMYFUNCTION("""COMPUTED_VALUE"""),43.0)</f>
        <v>43</v>
      </c>
      <c r="B44" s="2" t="str">
        <f>IFERROR(__xludf.DUMMYFUNCTION("""COMPUTED_VALUE"""),"Nwagad Hydropower Project")</f>
        <v>Nwagad Hydropower Project</v>
      </c>
      <c r="C44" s="2">
        <f>IFERROR(__xludf.DUMMYFUNCTION("""COMPUTED_VALUE"""),9.68)</f>
        <v>9.68</v>
      </c>
      <c r="D44" s="2" t="str">
        <f>IFERROR(__xludf.DUMMYFUNCTION("""COMPUTED_VALUE"""),"Nwagad")</f>
        <v>Nwagad</v>
      </c>
      <c r="E44" s="2">
        <f>IFERROR(__xludf.DUMMYFUNCTION("""COMPUTED_VALUE"""),2911.0)</f>
        <v>2911</v>
      </c>
      <c r="F44" s="3">
        <f>IFERROR(__xludf.DUMMYFUNCTION("""COMPUTED_VALUE"""),66677.0)</f>
        <v>66677</v>
      </c>
      <c r="G44" s="2" t="str">
        <f>IFERROR(__xludf.DUMMYFUNCTION("""COMPUTED_VALUE"""),"Latinath Power Company ltd.")</f>
        <v>Latinath Power Company ltd.</v>
      </c>
      <c r="H44" s="2" t="str">
        <f>IFERROR(__xludf.DUMMYFUNCTION("""COMPUTED_VALUE"""),"Tradde tower Nepal, Thapathali")</f>
        <v>Tradde tower Nepal, Thapathali</v>
      </c>
      <c r="I44" s="2" t="str">
        <f>IFERROR(__xludf.DUMMYFUNCTION("""COMPUTED_VALUE"""),"29o 43' 49""")</f>
        <v>29o 43' 49"</v>
      </c>
      <c r="J44" s="2" t="str">
        <f>IFERROR(__xludf.DUMMYFUNCTION("""COMPUTED_VALUE"""),"29o 45' 05""")</f>
        <v>29o 45' 05"</v>
      </c>
      <c r="K44" s="2" t="str">
        <f>IFERROR(__xludf.DUMMYFUNCTION("""COMPUTED_VALUE"""),"80o 47' 03""")</f>
        <v>80o 47' 03"</v>
      </c>
      <c r="L44" s="2" t="str">
        <f>IFERROR(__xludf.DUMMYFUNCTION("""COMPUTED_VALUE"""),"80o 49' 40""")</f>
        <v>80o 49' 40"</v>
      </c>
      <c r="M44" s="2" t="str">
        <f>IFERROR(__xludf.DUMMYFUNCTION("""COMPUTED_VALUE"""),"Dethala (Darchula)")</f>
        <v>Dethala (Darchula)</v>
      </c>
    </row>
    <row r="45">
      <c r="A45" s="2">
        <f>IFERROR(__xludf.DUMMYFUNCTION("""COMPUTED_VALUE"""),44.0)</f>
        <v>44</v>
      </c>
      <c r="B45" s="2" t="str">
        <f>IFERROR(__xludf.DUMMYFUNCTION("""COMPUTED_VALUE"""),"Nuwa Tatha Sipchuwa Khola Hydropower Project")</f>
        <v>Nuwa Tatha Sipchuwa Khola Hydropower Project</v>
      </c>
      <c r="C45" s="2">
        <f>IFERROR(__xludf.DUMMYFUNCTION("""COMPUTED_VALUE"""),4.54)</f>
        <v>4.54</v>
      </c>
      <c r="D45" s="2" t="str">
        <f>IFERROR(__xludf.DUMMYFUNCTION("""COMPUTED_VALUE"""),"Nuwa, sipchuwa")</f>
        <v>Nuwa, sipchuwa</v>
      </c>
      <c r="E45" s="2">
        <f>IFERROR(__xludf.DUMMYFUNCTION("""COMPUTED_VALUE"""),2927.0)</f>
        <v>2927</v>
      </c>
      <c r="F45" s="3">
        <f>IFERROR(__xludf.DUMMYFUNCTION("""COMPUTED_VALUE"""),66677.0)</f>
        <v>66677</v>
      </c>
      <c r="G45" s="2" t="str">
        <f>IFERROR(__xludf.DUMMYFUNCTION("""COMPUTED_VALUE"""),"Pathibhara Devi Energy Private Limited")</f>
        <v>Pathibhara Devi Energy Private Limited</v>
      </c>
      <c r="H45" s="2" t="str">
        <f>IFERROR(__xludf.DUMMYFUNCTION("""COMPUTED_VALUE"""),"Tokha-7, Kathmandu")</f>
        <v>Tokha-7, Kathmandu</v>
      </c>
      <c r="I45" s="2" t="str">
        <f>IFERROR(__xludf.DUMMYFUNCTION("""COMPUTED_VALUE"""),"27o 29' 13""")</f>
        <v>27o 29' 13"</v>
      </c>
      <c r="J45" s="2" t="str">
        <f>IFERROR(__xludf.DUMMYFUNCTION("""COMPUTED_VALUE"""),"27o 31' 00""")</f>
        <v>27o 31' 00"</v>
      </c>
      <c r="K45" s="2" t="str">
        <f>IFERROR(__xludf.DUMMYFUNCTION("""COMPUTED_VALUE"""),"87o 41' 35""")</f>
        <v>87o 41' 35"</v>
      </c>
      <c r="L45" s="2" t="str">
        <f>IFERROR(__xludf.DUMMYFUNCTION("""COMPUTED_VALUE"""),"87o 44' 09""")</f>
        <v>87o 44' 09"</v>
      </c>
      <c r="M45" s="2" t="str">
        <f>IFERROR(__xludf.DUMMYFUNCTION("""COMPUTED_VALUE"""),"Ekhabu (Taplejung)")</f>
        <v>Ekhabu (Taplejung)</v>
      </c>
    </row>
    <row r="46">
      <c r="A46" s="2">
        <f>IFERROR(__xludf.DUMMYFUNCTION("""COMPUTED_VALUE"""),45.0)</f>
        <v>45</v>
      </c>
      <c r="B46" s="2" t="str">
        <f>IFERROR(__xludf.DUMMYFUNCTION("""COMPUTED_VALUE"""),"Upper Luja Khola Hydropower Project")</f>
        <v>Upper Luja Khola Hydropower Project</v>
      </c>
      <c r="C46" s="2">
        <f>IFERROR(__xludf.DUMMYFUNCTION("""COMPUTED_VALUE"""),9.8)</f>
        <v>9.8</v>
      </c>
      <c r="D46" s="2" t="str">
        <f>IFERROR(__xludf.DUMMYFUNCTION("""COMPUTED_VALUE"""),"Luja Khola")</f>
        <v>Luja Khola</v>
      </c>
      <c r="E46" s="2">
        <f>IFERROR(__xludf.DUMMYFUNCTION("""COMPUTED_VALUE"""),2969.0)</f>
        <v>2969</v>
      </c>
      <c r="F46" s="3">
        <f>IFERROR(__xludf.DUMMYFUNCTION("""COMPUTED_VALUE"""),66678.0)</f>
        <v>66678</v>
      </c>
      <c r="G46" s="2" t="str">
        <f>IFERROR(__xludf.DUMMYFUNCTION("""COMPUTED_VALUE"""),"Lumding Power Private Limited")</f>
        <v>Lumding Power Private Limited</v>
      </c>
      <c r="H46" s="2" t="str">
        <f>IFERROR(__xludf.DUMMYFUNCTION("""COMPUTED_VALUE"""),"Madhyapur Thimi - 3, Kausaltar, Bhaktapur")</f>
        <v>Madhyapur Thimi - 3, Kausaltar, Bhaktapur</v>
      </c>
      <c r="I46" s="2" t="str">
        <f>IFERROR(__xludf.DUMMYFUNCTION("""COMPUTED_VALUE"""),"27o 41' 25""")</f>
        <v>27o 41' 25"</v>
      </c>
      <c r="J46" s="2" t="str">
        <f>IFERROR(__xludf.DUMMYFUNCTION("""COMPUTED_VALUE"""),"27o 42' 23""")</f>
        <v>27o 42' 23"</v>
      </c>
      <c r="K46" s="2" t="str">
        <f>IFERROR(__xludf.DUMMYFUNCTION("""COMPUTED_VALUE"""),"86o 40' 00""")</f>
        <v>86o 40' 00"</v>
      </c>
      <c r="L46" s="2" t="str">
        <f>IFERROR(__xludf.DUMMYFUNCTION("""COMPUTED_VALUE"""),"86o 40' 39""")</f>
        <v>86o 40' 39"</v>
      </c>
      <c r="M46" s="2" t="str">
        <f>IFERROR(__xludf.DUMMYFUNCTION("""COMPUTED_VALUE"""),"Chaulakharka(Waula),Takasindu (Solukhumbu)")</f>
        <v>Chaulakharka(Waula),Takasindu (Solukhumbu)</v>
      </c>
    </row>
    <row r="47">
      <c r="A47" s="2">
        <f>IFERROR(__xludf.DUMMYFUNCTION("""COMPUTED_VALUE"""),46.0)</f>
        <v>46</v>
      </c>
      <c r="B47" s="2" t="str">
        <f>IFERROR(__xludf.DUMMYFUNCTION("""COMPUTED_VALUE"""),"Jethi Seti hydropower Project")</f>
        <v>Jethi Seti hydropower Project</v>
      </c>
      <c r="C47" s="2">
        <f>IFERROR(__xludf.DUMMYFUNCTION("""COMPUTED_VALUE"""),39.5)</f>
        <v>39.5</v>
      </c>
      <c r="D47" s="2" t="str">
        <f>IFERROR(__xludf.DUMMYFUNCTION("""COMPUTED_VALUE"""),"Seti (Far West)")</f>
        <v>Seti (Far West)</v>
      </c>
      <c r="E47" s="2">
        <f>IFERROR(__xludf.DUMMYFUNCTION("""COMPUTED_VALUE"""),3073.0)</f>
        <v>3073</v>
      </c>
      <c r="F47" s="3">
        <f>IFERROR(__xludf.DUMMYFUNCTION("""COMPUTED_VALUE"""),66681.0)</f>
        <v>66681</v>
      </c>
      <c r="G47" s="2" t="str">
        <f>IFERROR(__xludf.DUMMYFUNCTION("""COMPUTED_VALUE"""),"Salasar Hydropower Pvt. Ltd.")</f>
        <v>Salasar Hydropower Pvt. Ltd.</v>
      </c>
      <c r="H47" s="2" t="str">
        <f>IFERROR(__xludf.DUMMYFUNCTION("""COMPUTED_VALUE"""),"Kathmandu-9")</f>
        <v>Kathmandu-9</v>
      </c>
      <c r="I47" s="2" t="str">
        <f>IFERROR(__xludf.DUMMYFUNCTION("""COMPUTED_VALUE"""),"29o 51' 20""")</f>
        <v>29o 51' 20"</v>
      </c>
      <c r="J47" s="2" t="str">
        <f>IFERROR(__xludf.DUMMYFUNCTION("""COMPUTED_VALUE"""),"29o 52' 30""")</f>
        <v>29o 52' 30"</v>
      </c>
      <c r="K47" s="2" t="str">
        <f>IFERROR(__xludf.DUMMYFUNCTION("""COMPUTED_VALUE"""),"81o 10' 12""")</f>
        <v>81o 10' 12"</v>
      </c>
      <c r="L47" s="2" t="str">
        <f>IFERROR(__xludf.DUMMYFUNCTION("""COMPUTED_VALUE"""),"81o 11' 42""")</f>
        <v>81o 11' 42"</v>
      </c>
      <c r="M47" s="2" t="str">
        <f>IFERROR(__xludf.DUMMYFUNCTION("""COMPUTED_VALUE"""),"Bhatekhola (Bajhang)")</f>
        <v>Bhatekhola (Bajhang)</v>
      </c>
    </row>
    <row r="48">
      <c r="A48" s="2">
        <f>IFERROR(__xludf.DUMMYFUNCTION("""COMPUTED_VALUE"""),47.0)</f>
        <v>47</v>
      </c>
      <c r="B48" s="2" t="str">
        <f>IFERROR(__xludf.DUMMYFUNCTION("""COMPUTED_VALUE"""),"Galchhi Trishuli Hydropower Project")</f>
        <v>Galchhi Trishuli Hydropower Project</v>
      </c>
      <c r="C48" s="2">
        <f>IFERROR(__xludf.DUMMYFUNCTION("""COMPUTED_VALUE"""),36.94)</f>
        <v>36.94</v>
      </c>
      <c r="D48" s="2" t="str">
        <f>IFERROR(__xludf.DUMMYFUNCTION("""COMPUTED_VALUE"""),"Trishuli Khola")</f>
        <v>Trishuli Khola</v>
      </c>
      <c r="E48" s="2">
        <f>IFERROR(__xludf.DUMMYFUNCTION("""COMPUTED_VALUE"""),3121.0)</f>
        <v>3121</v>
      </c>
      <c r="F48" s="3">
        <f>IFERROR(__xludf.DUMMYFUNCTION("""COMPUTED_VALUE"""),66683.0)</f>
        <v>66683</v>
      </c>
      <c r="G48" s="2" t="str">
        <f>IFERROR(__xludf.DUMMYFUNCTION("""COMPUTED_VALUE"""),"Kamana Energy Private Limited")</f>
        <v>Kamana Energy Private Limited</v>
      </c>
      <c r="H48" s="2" t="str">
        <f>IFERROR(__xludf.DUMMYFUNCTION("""COMPUTED_VALUE"""),"Banepa - 8, Kavreplanchowk")</f>
        <v>Banepa - 8, Kavreplanchowk</v>
      </c>
      <c r="I48" s="2" t="str">
        <f>IFERROR(__xludf.DUMMYFUNCTION("""COMPUTED_VALUE"""),"27o 47' 45""")</f>
        <v>27o 47' 45"</v>
      </c>
      <c r="J48" s="2" t="str">
        <f>IFERROR(__xludf.DUMMYFUNCTION("""COMPUTED_VALUE"""),"27o 49' 30""")</f>
        <v>27o 49' 30"</v>
      </c>
      <c r="K48" s="2" t="str">
        <f>IFERROR(__xludf.DUMMYFUNCTION("""COMPUTED_VALUE"""),"84o 56' 15""")</f>
        <v>84o 56' 15"</v>
      </c>
      <c r="L48" s="2" t="str">
        <f>IFERROR(__xludf.DUMMYFUNCTION("""COMPUTED_VALUE"""),"85o 00' 00""")</f>
        <v>85o 00' 00"</v>
      </c>
      <c r="M48" s="2" t="str">
        <f>IFERROR(__xludf.DUMMYFUNCTION("""COMPUTED_VALUE"""),"Baireni,Pida,Kalleri (Dhading)")</f>
        <v>Baireni,Pida,Kalleri (Dhading)</v>
      </c>
    </row>
    <row r="49">
      <c r="A49" s="2">
        <f>IFERROR(__xludf.DUMMYFUNCTION("""COMPUTED_VALUE"""),48.0)</f>
        <v>48</v>
      </c>
      <c r="B49" s="2" t="str">
        <f>IFERROR(__xludf.DUMMYFUNCTION("""COMPUTED_VALUE"""),"Golden Trishuli Hydroelectric Project")</f>
        <v>Golden Trishuli Hydroelectric Project</v>
      </c>
      <c r="C49" s="2">
        <f>IFERROR(__xludf.DUMMYFUNCTION("""COMPUTED_VALUE"""),10.0)</f>
        <v>10</v>
      </c>
      <c r="D49" s="2" t="str">
        <f>IFERROR(__xludf.DUMMYFUNCTION("""COMPUTED_VALUE"""),"Trishuli Nadi")</f>
        <v>Trishuli Nadi</v>
      </c>
      <c r="E49" s="2">
        <f>IFERROR(__xludf.DUMMYFUNCTION("""COMPUTED_VALUE"""),3199.0)</f>
        <v>3199</v>
      </c>
      <c r="F49" s="3">
        <f>IFERROR(__xludf.DUMMYFUNCTION("""COMPUTED_VALUE"""),66684.0)</f>
        <v>66684</v>
      </c>
      <c r="G49" s="2" t="str">
        <f>IFERROR(__xludf.DUMMYFUNCTION("""COMPUTED_VALUE"""),"Karnali Hydro Private Limited")</f>
        <v>Karnali Hydro Private Limited</v>
      </c>
      <c r="H49" s="2" t="str">
        <f>IFERROR(__xludf.DUMMYFUNCTION("""COMPUTED_VALUE"""),"KMC-22, Khichapokhari, Kathmandu")</f>
        <v>KMC-22, Khichapokhari, Kathmandu</v>
      </c>
      <c r="I49" s="2" t="str">
        <f>IFERROR(__xludf.DUMMYFUNCTION("""COMPUTED_VALUE"""),"27o 44' 20""")</f>
        <v>27o 44' 20"</v>
      </c>
      <c r="J49" s="2" t="str">
        <f>IFERROR(__xludf.DUMMYFUNCTION("""COMPUTED_VALUE"""),"27o 47' 40""")</f>
        <v>27o 47' 40"</v>
      </c>
      <c r="K49" s="2" t="str">
        <f>IFERROR(__xludf.DUMMYFUNCTION("""COMPUTED_VALUE"""),"84o 24' 22""")</f>
        <v>84o 24' 22"</v>
      </c>
      <c r="L49" s="2" t="str">
        <f>IFERROR(__xludf.DUMMYFUNCTION("""COMPUTED_VALUE"""),"84o 28' 42""")</f>
        <v>84o 28' 42"</v>
      </c>
      <c r="M49" s="2" t="str">
        <f>IFERROR(__xludf.DUMMYFUNCTION("""COMPUTED_VALUE"""),"Gaidakot (Nawalparasi) Devghat (Tanahu)")</f>
        <v>Gaidakot (Nawalparasi) Devghat (Tanahu)</v>
      </c>
    </row>
    <row r="50">
      <c r="A50" s="2">
        <f>IFERROR(__xludf.DUMMYFUNCTION("""COMPUTED_VALUE"""),49.0)</f>
        <v>49</v>
      </c>
      <c r="B50" s="2" t="str">
        <f>IFERROR(__xludf.DUMMYFUNCTION("""COMPUTED_VALUE"""),"Kuntun Khola PRoR Hydroelectric Project")</f>
        <v>Kuntun Khola PRoR Hydroelectric Project</v>
      </c>
      <c r="C50" s="2">
        <f>IFERROR(__xludf.DUMMYFUNCTION("""COMPUTED_VALUE"""),2.3)</f>
        <v>2.3</v>
      </c>
      <c r="D50" s="2" t="str">
        <f>IFERROR(__xludf.DUMMYFUNCTION("""COMPUTED_VALUE"""),"Kuntun Khola")</f>
        <v>Kuntun Khola</v>
      </c>
      <c r="E50" s="2">
        <f>IFERROR(__xludf.DUMMYFUNCTION("""COMPUTED_VALUE"""),3328.0)</f>
        <v>3328</v>
      </c>
      <c r="F50" s="3">
        <f>IFERROR(__xludf.DUMMYFUNCTION("""COMPUTED_VALUE"""),66689.0)</f>
        <v>66689</v>
      </c>
      <c r="G50" s="2" t="str">
        <f>IFERROR(__xludf.DUMMYFUNCTION("""COMPUTED_VALUE"""),"Happy Power Private Limited")</f>
        <v>Happy Power Private Limited</v>
      </c>
      <c r="H50" s="2" t="str">
        <f>IFERROR(__xludf.DUMMYFUNCTION("""COMPUTED_VALUE"""),"Hadigaun, Kathmandu")</f>
        <v>Hadigaun, Kathmandu</v>
      </c>
      <c r="I50" s="2" t="str">
        <f>IFERROR(__xludf.DUMMYFUNCTION("""COMPUTED_VALUE"""),"27o 57' 36""")</f>
        <v>27o 57' 36"</v>
      </c>
      <c r="J50" s="2" t="str">
        <f>IFERROR(__xludf.DUMMYFUNCTION("""COMPUTED_VALUE"""),"27o 58' 55""")</f>
        <v>27o 58' 55"</v>
      </c>
      <c r="K50" s="2" t="str">
        <f>IFERROR(__xludf.DUMMYFUNCTION("""COMPUTED_VALUE"""),"85o 24' 00""")</f>
        <v>85o 24' 00"</v>
      </c>
      <c r="L50" s="2" t="str">
        <f>IFERROR(__xludf.DUMMYFUNCTION("""COMPUTED_VALUE"""),"85o 24' 45""")</f>
        <v>85o 24' 45"</v>
      </c>
      <c r="M50" s="2" t="str">
        <f>IFERROR(__xludf.DUMMYFUNCTION("""COMPUTED_VALUE"""),"Dhyangphedi,Rautbesi,Shikharbesi (Nuwakot)")</f>
        <v>Dhyangphedi,Rautbesi,Shikharbesi (Nuwakot)</v>
      </c>
    </row>
    <row r="51">
      <c r="A51" s="2">
        <f>IFERROR(__xludf.DUMMYFUNCTION("""COMPUTED_VALUE"""),50.0)</f>
        <v>50</v>
      </c>
      <c r="B51" s="2" t="str">
        <f>IFERROR(__xludf.DUMMYFUNCTION("""COMPUTED_VALUE"""),"Kaku Khola Hydropower Project")</f>
        <v>Kaku Khola Hydropower Project</v>
      </c>
      <c r="C51" s="2">
        <f>IFERROR(__xludf.DUMMYFUNCTION("""COMPUTED_VALUE"""),4.9)</f>
        <v>4.9</v>
      </c>
      <c r="D51" s="2" t="str">
        <f>IFERROR(__xludf.DUMMYFUNCTION("""COMPUTED_VALUE"""),"Kaku Khola")</f>
        <v>Kaku Khola</v>
      </c>
      <c r="E51" s="2">
        <f>IFERROR(__xludf.DUMMYFUNCTION("""COMPUTED_VALUE"""),3352.0)</f>
        <v>3352</v>
      </c>
      <c r="F51" s="3">
        <f>IFERROR(__xludf.DUMMYFUNCTION("""COMPUTED_VALUE"""),66690.0)</f>
        <v>66690</v>
      </c>
      <c r="G51" s="2" t="str">
        <f>IFERROR(__xludf.DUMMYFUNCTION("""COMPUTED_VALUE"""),"Muhan Hydropower Private Limited")</f>
        <v>Muhan Hydropower Private Limited</v>
      </c>
      <c r="H51" s="2" t="str">
        <f>IFERROR(__xludf.DUMMYFUNCTION("""COMPUTED_VALUE"""),"Bhaktapur, nepal")</f>
        <v>Bhaktapur, nepal</v>
      </c>
      <c r="I51" s="2" t="str">
        <f>IFERROR(__xludf.DUMMYFUNCTION("""COMPUTED_VALUE"""),"27o 29' 00""")</f>
        <v>27o 29' 00"</v>
      </c>
      <c r="J51" s="2" t="str">
        <f>IFERROR(__xludf.DUMMYFUNCTION("""COMPUTED_VALUE"""),"27o 29' 45""")</f>
        <v>27o 29' 45"</v>
      </c>
      <c r="K51" s="2" t="str">
        <f>IFERROR(__xludf.DUMMYFUNCTION("""COMPUTED_VALUE"""),"86o 39' 20""")</f>
        <v>86o 39' 20"</v>
      </c>
      <c r="L51" s="2" t="str">
        <f>IFERROR(__xludf.DUMMYFUNCTION("""COMPUTED_VALUE"""),"86o 40' 58""")</f>
        <v>86o 40' 58"</v>
      </c>
      <c r="M51" s="2" t="str">
        <f>IFERROR(__xludf.DUMMYFUNCTION("""COMPUTED_VALUE"""),"Kaku (Solukhumbu)")</f>
        <v>Kaku (Solukhumbu)</v>
      </c>
    </row>
    <row r="52">
      <c r="A52" s="2">
        <f>IFERROR(__xludf.DUMMYFUNCTION("""COMPUTED_VALUE"""),51.0)</f>
        <v>51</v>
      </c>
      <c r="B52" s="2" t="str">
        <f>IFERROR(__xludf.DUMMYFUNCTION("""COMPUTED_VALUE"""),"Musi Khola Hydropower Project")</f>
        <v>Musi Khola Hydropower Project</v>
      </c>
      <c r="C52" s="2">
        <f>IFERROR(__xludf.DUMMYFUNCTION("""COMPUTED_VALUE"""),24.82)</f>
        <v>24.82</v>
      </c>
      <c r="D52" s="2" t="str">
        <f>IFERROR(__xludf.DUMMYFUNCTION("""COMPUTED_VALUE"""),"Musi Khola")</f>
        <v>Musi Khola</v>
      </c>
      <c r="E52" s="2">
        <f>IFERROR(__xludf.DUMMYFUNCTION("""COMPUTED_VALUE"""),3410.0)</f>
        <v>3410</v>
      </c>
      <c r="F52" s="3">
        <f>IFERROR(__xludf.DUMMYFUNCTION("""COMPUTED_VALUE"""),66691.0)</f>
        <v>66691</v>
      </c>
      <c r="G52" s="2" t="str">
        <f>IFERROR(__xludf.DUMMYFUNCTION("""COMPUTED_VALUE"""),"Ultima Energy Pvt. Ltd")</f>
        <v>Ultima Energy Pvt. Ltd</v>
      </c>
      <c r="H52" s="2" t="str">
        <f>IFERROR(__xludf.DUMMYFUNCTION("""COMPUTED_VALUE"""),"Kathmandu")</f>
        <v>Kathmandu</v>
      </c>
      <c r="I52" s="2" t="str">
        <f>IFERROR(__xludf.DUMMYFUNCTION("""COMPUTED_VALUE"""),"28o 51' 19""")</f>
        <v>28o 51' 19"</v>
      </c>
      <c r="J52" s="2" t="str">
        <f>IFERROR(__xludf.DUMMYFUNCTION("""COMPUTED_VALUE"""),"28o 52' 57""")</f>
        <v>28o 52' 57"</v>
      </c>
      <c r="K52" s="2" t="str">
        <f>IFERROR(__xludf.DUMMYFUNCTION("""COMPUTED_VALUE"""),"83o 05' 53""")</f>
        <v>83o 05' 53"</v>
      </c>
      <c r="L52" s="2" t="str">
        <f>IFERROR(__xludf.DUMMYFUNCTION("""COMPUTED_VALUE"""),"83o 07' 43""")</f>
        <v>83o 07' 43"</v>
      </c>
      <c r="M52" s="2" t="str">
        <f>IFERROR(__xludf.DUMMYFUNCTION("""COMPUTED_VALUE"""),"Kaigaun (Dolpa)")</f>
        <v>Kaigaun (Dolpa)</v>
      </c>
    </row>
    <row r="53">
      <c r="A53" s="2">
        <f>IFERROR(__xludf.DUMMYFUNCTION("""COMPUTED_VALUE"""),52.0)</f>
        <v>52</v>
      </c>
      <c r="B53" s="2" t="str">
        <f>IFERROR(__xludf.DUMMYFUNCTION("""COMPUTED_VALUE"""),"Ghatchaur Khola Hydropower Project Pvt. Ltd.")</f>
        <v>Ghatchaur Khola Hydropower Project Pvt. Ltd.</v>
      </c>
      <c r="C53" s="2">
        <f>IFERROR(__xludf.DUMMYFUNCTION("""COMPUTED_VALUE"""),4.4)</f>
        <v>4.4</v>
      </c>
      <c r="D53" s="2" t="str">
        <f>IFERROR(__xludf.DUMMYFUNCTION("""COMPUTED_VALUE"""),"Chatchaur Khola")</f>
        <v>Chatchaur Khola</v>
      </c>
      <c r="E53" s="2">
        <f>IFERROR(__xludf.DUMMYFUNCTION("""COMPUTED_VALUE"""),3474.0)</f>
        <v>3474</v>
      </c>
      <c r="F53" s="3">
        <f>IFERROR(__xludf.DUMMYFUNCTION("""COMPUTED_VALUE"""),66693.0)</f>
        <v>66693</v>
      </c>
      <c r="G53" s="2" t="str">
        <f>IFERROR(__xludf.DUMMYFUNCTION("""COMPUTED_VALUE"""),"Kanchan Energy Pvt.Ltd")</f>
        <v>Kanchan Energy Pvt.Ltd</v>
      </c>
      <c r="H53" s="2" t="str">
        <f>IFERROR(__xludf.DUMMYFUNCTION("""COMPUTED_VALUE"""),"Melamchi-8 Sindhupalchowk")</f>
        <v>Melamchi-8 Sindhupalchowk</v>
      </c>
      <c r="I53" s="2" t="str">
        <f>IFERROR(__xludf.DUMMYFUNCTION("""COMPUTED_VALUE"""),"29o 03' 12""")</f>
        <v>29o 03' 12"</v>
      </c>
      <c r="J53" s="2" t="str">
        <f>IFERROR(__xludf.DUMMYFUNCTION("""COMPUTED_VALUE"""),"29o 04' 02""")</f>
        <v>29o 04' 02"</v>
      </c>
      <c r="K53" s="2" t="str">
        <f>IFERROR(__xludf.DUMMYFUNCTION("""COMPUTED_VALUE"""),"82o 29' 32""")</f>
        <v>82o 29' 32"</v>
      </c>
      <c r="L53" s="2" t="str">
        <f>IFERROR(__xludf.DUMMYFUNCTION("""COMPUTED_VALUE"""),"82o 30' 42""")</f>
        <v>82o 30' 42"</v>
      </c>
      <c r="M53" s="2" t="str">
        <f>IFERROR(__xludf.DUMMYFUNCTION("""COMPUTED_VALUE"""),"Kaigaun (Dolpa)")</f>
        <v>Kaigaun (Dolpa)</v>
      </c>
    </row>
    <row r="54">
      <c r="A54" s="2">
        <f>IFERROR(__xludf.DUMMYFUNCTION("""COMPUTED_VALUE"""),53.0)</f>
        <v>53</v>
      </c>
      <c r="B54" s="2" t="str">
        <f>IFERROR(__xludf.DUMMYFUNCTION("""COMPUTED_VALUE"""),"Landan Khola Hydropower Project")</f>
        <v>Landan Khola Hydropower Project</v>
      </c>
      <c r="C54" s="2">
        <f>IFERROR(__xludf.DUMMYFUNCTION("""COMPUTED_VALUE"""),4.97)</f>
        <v>4.97</v>
      </c>
      <c r="D54" s="2" t="str">
        <f>IFERROR(__xludf.DUMMYFUNCTION("""COMPUTED_VALUE"""),"Landan Khola")</f>
        <v>Landan Khola</v>
      </c>
      <c r="E54" s="2">
        <f>IFERROR(__xludf.DUMMYFUNCTION("""COMPUTED_VALUE"""),3524.0)</f>
        <v>3524</v>
      </c>
      <c r="F54" s="3">
        <f>IFERROR(__xludf.DUMMYFUNCTION("""COMPUTED_VALUE"""),66695.0)</f>
        <v>66695</v>
      </c>
      <c r="G54" s="2" t="str">
        <f>IFERROR(__xludf.DUMMYFUNCTION("""COMPUTED_VALUE"""),"Nirveeka Energy Private Limited")</f>
        <v>Nirveeka Energy Private Limited</v>
      </c>
      <c r="H54" s="2" t="str">
        <f>IFERROR(__xludf.DUMMYFUNCTION("""COMPUTED_VALUE"""),"Chumnubri RM, Gorkha")</f>
        <v>Chumnubri RM, Gorkha</v>
      </c>
      <c r="I54" s="2" t="str">
        <f>IFERROR(__xludf.DUMMYFUNCTION("""COMPUTED_VALUE"""),"28o 27' 35""")</f>
        <v>28o 27' 35"</v>
      </c>
      <c r="J54" s="2" t="str">
        <f>IFERROR(__xludf.DUMMYFUNCTION("""COMPUTED_VALUE"""),"28o 28' 12""")</f>
        <v>28o 28' 12"</v>
      </c>
      <c r="K54" s="2" t="str">
        <f>IFERROR(__xludf.DUMMYFUNCTION("""COMPUTED_VALUE"""),"85o 00' 40""")</f>
        <v>85o 00' 40"</v>
      </c>
      <c r="L54" s="2" t="str">
        <f>IFERROR(__xludf.DUMMYFUNCTION("""COMPUTED_VALUE"""),"85o 01' 25""")</f>
        <v>85o 01' 25"</v>
      </c>
      <c r="M54" s="2" t="str">
        <f>IFERROR(__xludf.DUMMYFUNCTION("""COMPUTED_VALUE"""),"Chhaikampar,Kerauja (Gorkha)")</f>
        <v>Chhaikampar,Kerauja (Gorkha)</v>
      </c>
    </row>
    <row r="55">
      <c r="A55" s="2">
        <f>IFERROR(__xludf.DUMMYFUNCTION("""COMPUTED_VALUE"""),54.0)</f>
        <v>54</v>
      </c>
      <c r="B55" s="2" t="str">
        <f>IFERROR(__xludf.DUMMYFUNCTION("""COMPUTED_VALUE"""),"Middle Jagdulla Hydropower Project")</f>
        <v>Middle Jagdulla Hydropower Project</v>
      </c>
      <c r="C55" s="2">
        <f>IFERROR(__xludf.DUMMYFUNCTION("""COMPUTED_VALUE"""),20.0)</f>
        <v>20</v>
      </c>
      <c r="D55" s="2" t="str">
        <f>IFERROR(__xludf.DUMMYFUNCTION("""COMPUTED_VALUE"""),"Bheri")</f>
        <v>Bheri</v>
      </c>
      <c r="E55" s="2">
        <f>IFERROR(__xludf.DUMMYFUNCTION("""COMPUTED_VALUE"""),3525.0)</f>
        <v>3525</v>
      </c>
      <c r="F55" s="3">
        <f>IFERROR(__xludf.DUMMYFUNCTION("""COMPUTED_VALUE"""),66695.0)</f>
        <v>66695</v>
      </c>
      <c r="G55" s="2" t="str">
        <f>IFERROR(__xludf.DUMMYFUNCTION("""COMPUTED_VALUE"""),"Triveni Energy Private Limited")</f>
        <v>Triveni Energy Private Limited</v>
      </c>
      <c r="H55" s="2" t="str">
        <f>IFERROR(__xludf.DUMMYFUNCTION("""COMPUTED_VALUE"""),"Kathmandu-10")</f>
        <v>Kathmandu-10</v>
      </c>
      <c r="I55" s="2" t="str">
        <f>IFERROR(__xludf.DUMMYFUNCTION("""COMPUTED_VALUE"""),"29o 03' 16""")</f>
        <v>29o 03' 16"</v>
      </c>
      <c r="J55" s="2" t="str">
        <f>IFERROR(__xludf.DUMMYFUNCTION("""COMPUTED_VALUE"""),"29o 04' 25""")</f>
        <v>29o 04' 25"</v>
      </c>
      <c r="K55" s="2" t="str">
        <f>IFERROR(__xludf.DUMMYFUNCTION("""COMPUTED_VALUE"""),"82o 29' 00""")</f>
        <v>82o 29' 00"</v>
      </c>
      <c r="L55" s="2" t="str">
        <f>IFERROR(__xludf.DUMMYFUNCTION("""COMPUTED_VALUE"""),"82o 33' 21""")</f>
        <v>82o 33' 21"</v>
      </c>
      <c r="M55" s="2" t="str">
        <f>IFERROR(__xludf.DUMMYFUNCTION("""COMPUTED_VALUE"""),"Dunai (Dolpa)")</f>
        <v>Dunai (Dolpa)</v>
      </c>
    </row>
    <row r="56">
      <c r="A56" s="2">
        <f>IFERROR(__xludf.DUMMYFUNCTION("""COMPUTED_VALUE"""),55.0)</f>
        <v>55</v>
      </c>
      <c r="B56" s="2" t="str">
        <f>IFERROR(__xludf.DUMMYFUNCTION("""COMPUTED_VALUE"""),"Tallo Bhuji Khola Small Hydropower Project")</f>
        <v>Tallo Bhuji Khola Small Hydropower Project</v>
      </c>
      <c r="C56" s="2">
        <f>IFERROR(__xludf.DUMMYFUNCTION("""COMPUTED_VALUE"""),4.3)</f>
        <v>4.3</v>
      </c>
      <c r="D56" s="2" t="str">
        <f>IFERROR(__xludf.DUMMYFUNCTION("""COMPUTED_VALUE"""),"Bhuji Khola")</f>
        <v>Bhuji Khola</v>
      </c>
      <c r="E56" s="2">
        <f>IFERROR(__xludf.DUMMYFUNCTION("""COMPUTED_VALUE"""),3543.0)</f>
        <v>3543</v>
      </c>
      <c r="F56" s="3">
        <f>IFERROR(__xludf.DUMMYFUNCTION("""COMPUTED_VALUE"""),66695.0)</f>
        <v>66695</v>
      </c>
      <c r="G56" s="2" t="str">
        <f>IFERROR(__xludf.DUMMYFUNCTION("""COMPUTED_VALUE"""),"First Phase Construction Private Limited")</f>
        <v>First Phase Construction Private Limited</v>
      </c>
      <c r="H56" s="2" t="str">
        <f>IFERROR(__xludf.DUMMYFUNCTION("""COMPUTED_VALUE"""),"KMC-10, Thapagaun")</f>
        <v>KMC-10, Thapagaun</v>
      </c>
      <c r="I56" s="2" t="str">
        <f>IFERROR(__xludf.DUMMYFUNCTION("""COMPUTED_VALUE"""),"28o 20' 45""")</f>
        <v>28o 20' 45"</v>
      </c>
      <c r="J56" s="2" t="str">
        <f>IFERROR(__xludf.DUMMYFUNCTION("""COMPUTED_VALUE"""),"28o 21' 34""")</f>
        <v>28o 21' 34"</v>
      </c>
      <c r="K56" s="2" t="str">
        <f>IFERROR(__xludf.DUMMYFUNCTION("""COMPUTED_VALUE"""),"83o 07' 58""")</f>
        <v>83o 07' 58"</v>
      </c>
      <c r="L56" s="2" t="str">
        <f>IFERROR(__xludf.DUMMYFUNCTION("""COMPUTED_VALUE"""),"83o 10' 00""")</f>
        <v>83o 10' 00"</v>
      </c>
      <c r="M56" s="2" t="str">
        <f>IFERROR(__xludf.DUMMYFUNCTION("""COMPUTED_VALUE"""),"Adhikarichaur,Burtiwang (Baglung)")</f>
        <v>Adhikarichaur,Burtiwang (Baglung)</v>
      </c>
    </row>
    <row r="57">
      <c r="A57" s="2">
        <f>IFERROR(__xludf.DUMMYFUNCTION("""COMPUTED_VALUE"""),56.0)</f>
        <v>56</v>
      </c>
      <c r="B57" s="2" t="str">
        <f>IFERROR(__xludf.DUMMYFUNCTION("""COMPUTED_VALUE"""),"Super Sankhuwa Hydroelectric Project")</f>
        <v>Super Sankhuwa Hydroelectric Project</v>
      </c>
      <c r="C57" s="2">
        <f>IFERROR(__xludf.DUMMYFUNCTION("""COMPUTED_VALUE"""),9.4)</f>
        <v>9.4</v>
      </c>
      <c r="D57" s="2" t="str">
        <f>IFERROR(__xludf.DUMMYFUNCTION("""COMPUTED_VALUE"""),"Sankhuwa Khola")</f>
        <v>Sankhuwa Khola</v>
      </c>
      <c r="E57" s="2">
        <f>IFERROR(__xludf.DUMMYFUNCTION("""COMPUTED_VALUE"""),3558.0)</f>
        <v>3558</v>
      </c>
      <c r="F57" s="3">
        <f>IFERROR(__xludf.DUMMYFUNCTION("""COMPUTED_VALUE"""),66696.0)</f>
        <v>66696</v>
      </c>
      <c r="G57" s="2" t="str">
        <f>IFERROR(__xludf.DUMMYFUNCTION("""COMPUTED_VALUE"""),"Hydro Hills Private Limited")</f>
        <v>Hydro Hills Private Limited</v>
      </c>
      <c r="H57" s="2" t="str">
        <f>IFERROR(__xludf.DUMMYFUNCTION("""COMPUTED_VALUE"""),"Ward No. 4, Imadole, Mahalaxmi Municipality, Lalitpur")</f>
        <v>Ward No. 4, Imadole, Mahalaxmi Municipality, Lalitpur</v>
      </c>
      <c r="I57" s="2" t="str">
        <f>IFERROR(__xludf.DUMMYFUNCTION("""COMPUTED_VALUE"""),"27o 33' 23""")</f>
        <v>27o 33' 23"</v>
      </c>
      <c r="J57" s="2" t="str">
        <f>IFERROR(__xludf.DUMMYFUNCTION("""COMPUTED_VALUE"""),"27o 34' 17""")</f>
        <v>27o 34' 17"</v>
      </c>
      <c r="K57" s="2" t="str">
        <f>IFERROR(__xludf.DUMMYFUNCTION("""COMPUTED_VALUE"""),"87o 00' 55""")</f>
        <v>87o 00' 55"</v>
      </c>
      <c r="L57" s="2" t="str">
        <f>IFERROR(__xludf.DUMMYFUNCTION("""COMPUTED_VALUE"""),"87o 01' 44""")</f>
        <v>87o 01' 44"</v>
      </c>
      <c r="M57" s="2" t="str">
        <f>IFERROR(__xludf.DUMMYFUNCTION("""COMPUTED_VALUE"""),"Bala,Tamfok (Sankhuwasabha)")</f>
        <v>Bala,Tamfok (Sankhuwasabha)</v>
      </c>
    </row>
    <row r="58">
      <c r="A58" s="2">
        <f>IFERROR(__xludf.DUMMYFUNCTION("""COMPUTED_VALUE"""),57.0)</f>
        <v>57</v>
      </c>
      <c r="B58" s="2" t="str">
        <f>IFERROR(__xludf.DUMMYFUNCTION("""COMPUTED_VALUE"""),"Upper Gulandi Khola Hydropower Project")</f>
        <v>Upper Gulandi Khola Hydropower Project</v>
      </c>
      <c r="C58" s="2">
        <f>IFERROR(__xludf.DUMMYFUNCTION("""COMPUTED_VALUE"""),1.8)</f>
        <v>1.8</v>
      </c>
      <c r="D58" s="2" t="str">
        <f>IFERROR(__xludf.DUMMYFUNCTION("""COMPUTED_VALUE"""),"Gulandi")</f>
        <v>Gulandi</v>
      </c>
      <c r="E58" s="2">
        <f>IFERROR(__xludf.DUMMYFUNCTION("""COMPUTED_VALUE"""),3578.0)</f>
        <v>3578</v>
      </c>
      <c r="F58" s="3">
        <f>IFERROR(__xludf.DUMMYFUNCTION("""COMPUTED_VALUE"""),66696.0)</f>
        <v>66696</v>
      </c>
      <c r="G58" s="2" t="str">
        <f>IFERROR(__xludf.DUMMYFUNCTION("""COMPUTED_VALUE"""),"E.G. Power Private Limited")</f>
        <v>E.G. Power Private Limited</v>
      </c>
      <c r="H58" s="2" t="str">
        <f>IFERROR(__xludf.DUMMYFUNCTION("""COMPUTED_VALUE"""),"Tokha - 3, Kushal Streets, Kathmandu")</f>
        <v>Tokha - 3, Kushal Streets, Kathmandu</v>
      </c>
      <c r="I58" s="2" t="str">
        <f>IFERROR(__xludf.DUMMYFUNCTION("""COMPUTED_VALUE"""),"28o 03' 59""")</f>
        <v>28o 03' 59"</v>
      </c>
      <c r="J58" s="2" t="str">
        <f>IFERROR(__xludf.DUMMYFUNCTION("""COMPUTED_VALUE"""),"28o 04' 44""")</f>
        <v>28o 04' 44"</v>
      </c>
      <c r="K58" s="2" t="str">
        <f>IFERROR(__xludf.DUMMYFUNCTION("""COMPUTED_VALUE"""),"83o 31' 34""")</f>
        <v>83o 31' 34"</v>
      </c>
      <c r="L58" s="2" t="str">
        <f>IFERROR(__xludf.DUMMYFUNCTION("""COMPUTED_VALUE"""),"83o 32' 31""")</f>
        <v>83o 32' 31"</v>
      </c>
      <c r="M58" s="2" t="str">
        <f>IFERROR(__xludf.DUMMYFUNCTION("""COMPUTED_VALUE"""),"Foksing,Purtighat,Khadagkot,Bhurmung (Gulmi)")</f>
        <v>Foksing,Purtighat,Khadagkot,Bhurmung (Gulmi)</v>
      </c>
    </row>
    <row r="59">
      <c r="A59" s="2">
        <f>IFERROR(__xludf.DUMMYFUNCTION("""COMPUTED_VALUE"""),58.0)</f>
        <v>58</v>
      </c>
      <c r="B59" s="2" t="str">
        <f>IFERROR(__xludf.DUMMYFUNCTION("""COMPUTED_VALUE"""),"Sunkoshi - 1 Storage Hydropower Project")</f>
        <v>Sunkoshi - 1 Storage Hydropower Project</v>
      </c>
      <c r="C59" s="2">
        <f>IFERROR(__xludf.DUMMYFUNCTION("""COMPUTED_VALUE"""),1357.0)</f>
        <v>1357</v>
      </c>
      <c r="D59" s="2" t="str">
        <f>IFERROR(__xludf.DUMMYFUNCTION("""COMPUTED_VALUE"""),"Sunkoshi")</f>
        <v>Sunkoshi</v>
      </c>
      <c r="E59" s="2">
        <f>IFERROR(__xludf.DUMMYFUNCTION("""COMPUTED_VALUE"""),3626.0)</f>
        <v>3626</v>
      </c>
      <c r="F59" s="3">
        <f>IFERROR(__xludf.DUMMYFUNCTION("""COMPUTED_VALUE"""),66697.0)</f>
        <v>66697</v>
      </c>
      <c r="G59" s="2" t="str">
        <f>IFERROR(__xludf.DUMMYFUNCTION("""COMPUTED_VALUE"""),"Quntoum Hydropower Private Limited")</f>
        <v>Quntoum Hydropower Private Limited</v>
      </c>
      <c r="H59" s="2" t="str">
        <f>IFERROR(__xludf.DUMMYFUNCTION("""COMPUTED_VALUE"""),"Budhanilkantha Municipality, Budhanilkantha, Kathmandu")</f>
        <v>Budhanilkantha Municipality, Budhanilkantha, Kathmandu</v>
      </c>
      <c r="I59" s="2" t="str">
        <f>IFERROR(__xludf.DUMMYFUNCTION("""COMPUTED_VALUE"""),"27o 05' 02""")</f>
        <v>27o 05' 02"</v>
      </c>
      <c r="J59" s="2" t="str">
        <f>IFERROR(__xludf.DUMMYFUNCTION("""COMPUTED_VALUE"""),"27o 16' 33""")</f>
        <v>27o 16' 33"</v>
      </c>
      <c r="K59" s="2" t="str">
        <f>IFERROR(__xludf.DUMMYFUNCTION("""COMPUTED_VALUE"""),"86o 06' 37""")</f>
        <v>86o 06' 37"</v>
      </c>
      <c r="L59" s="2" t="str">
        <f>IFERROR(__xludf.DUMMYFUNCTION("""COMPUTED_VALUE"""),"86o 38' 04""")</f>
        <v>86o 38' 04"</v>
      </c>
      <c r="M59" s="2" t="str">
        <f>IFERROR(__xludf.DUMMYFUNCTION("""COMPUTED_VALUE"""),"Salle,Badahare (Khotang) Ubu,Thulachhap,Moli,Baksa (Okhaldhunga) Rampur 
(Ramechhap) Tribhuvan Ambote,Lampantar,Jinakhu (Sindhuli)")</f>
        <v>Salle,Badahare (Khotang) Ubu,Thulachhap,Moli,Baksa (Okhaldhunga) Rampur 
(Ramechhap) Tribhuvan Ambote,Lampantar,Jinakhu (Sindhuli)</v>
      </c>
    </row>
    <row r="60">
      <c r="A60" s="2">
        <f>IFERROR(__xludf.DUMMYFUNCTION("""COMPUTED_VALUE"""),59.0)</f>
        <v>59</v>
      </c>
      <c r="B60" s="2" t="str">
        <f>IFERROR(__xludf.DUMMYFUNCTION("""COMPUTED_VALUE"""),"Chhyubar Syong Hydropower Project")</f>
        <v>Chhyubar Syong Hydropower Project</v>
      </c>
      <c r="C60" s="2">
        <f>IFERROR(__xludf.DUMMYFUNCTION("""COMPUTED_VALUE"""),3.02)</f>
        <v>3.02</v>
      </c>
      <c r="D60" s="2" t="str">
        <f>IFERROR(__xludf.DUMMYFUNCTION("""COMPUTED_VALUE"""),"Chhupchun")</f>
        <v>Chhupchun</v>
      </c>
      <c r="E60" s="2">
        <f>IFERROR(__xludf.DUMMYFUNCTION("""COMPUTED_VALUE"""),3689.0)</f>
        <v>3689</v>
      </c>
      <c r="F60" s="3">
        <f>IFERROR(__xludf.DUMMYFUNCTION("""COMPUTED_VALUE"""),66699.0)</f>
        <v>66699</v>
      </c>
      <c r="G60" s="2" t="str">
        <f>IFERROR(__xludf.DUMMYFUNCTION("""COMPUTED_VALUE"""),"Chhyubar Syong Energy Development Private Limited")</f>
        <v>Chhyubar Syong Energy Development Private Limited</v>
      </c>
      <c r="H60" s="2" t="str">
        <f>IFERROR(__xludf.DUMMYFUNCTION("""COMPUTED_VALUE"""),"Nagarjung-3, Hallchowk, Kathmandu")</f>
        <v>Nagarjung-3, Hallchowk, Kathmandu</v>
      </c>
      <c r="I60" s="2" t="str">
        <f>IFERROR(__xludf.DUMMYFUNCTION("""COMPUTED_VALUE"""),"28o 13' 03""")</f>
        <v>28o 13' 03"</v>
      </c>
      <c r="J60" s="2" t="str">
        <f>IFERROR(__xludf.DUMMYFUNCTION("""COMPUTED_VALUE"""),"28o 14' 01""")</f>
        <v>28o 14' 01"</v>
      </c>
      <c r="K60" s="2" t="str">
        <f>IFERROR(__xludf.DUMMYFUNCTION("""COMPUTED_VALUE"""),"85o 15' 43""")</f>
        <v>85o 15' 43"</v>
      </c>
      <c r="L60" s="2" t="str">
        <f>IFERROR(__xludf.DUMMYFUNCTION("""COMPUTED_VALUE"""),"85o 16' 59""")</f>
        <v>85o 16' 59"</v>
      </c>
      <c r="M60" s="2" t="str">
        <f>IFERROR(__xludf.DUMMYFUNCTION("""COMPUTED_VALUE"""),"Chilime (Rasuwa)")</f>
        <v>Chilime (Rasuwa)</v>
      </c>
    </row>
    <row r="61">
      <c r="A61" s="2">
        <f>IFERROR(__xludf.DUMMYFUNCTION("""COMPUTED_VALUE"""),60.0)</f>
        <v>60</v>
      </c>
      <c r="B61" s="2" t="str">
        <f>IFERROR(__xludf.DUMMYFUNCTION("""COMPUTED_VALUE"""),"Gadsera Gad hydropower Project")</f>
        <v>Gadsera Gad hydropower Project</v>
      </c>
      <c r="C61" s="2">
        <f>IFERROR(__xludf.DUMMYFUNCTION("""COMPUTED_VALUE"""),4.5)</f>
        <v>4.5</v>
      </c>
      <c r="D61" s="2" t="str">
        <f>IFERROR(__xludf.DUMMYFUNCTION("""COMPUTED_VALUE"""),"Gadsera Gad")</f>
        <v>Gadsera Gad</v>
      </c>
      <c r="E61" s="2">
        <f>IFERROR(__xludf.DUMMYFUNCTION("""COMPUTED_VALUE"""),3740.0)</f>
        <v>3740</v>
      </c>
      <c r="F61" s="3">
        <f>IFERROR(__xludf.DUMMYFUNCTION("""COMPUTED_VALUE"""),66702.0)</f>
        <v>66702</v>
      </c>
      <c r="G61" s="2" t="str">
        <f>IFERROR(__xludf.DUMMYFUNCTION("""COMPUTED_VALUE"""),"Pashchimanchal Power Pvt. Ltd")</f>
        <v>Pashchimanchal Power Pvt. Ltd</v>
      </c>
      <c r="H61" s="2" t="str">
        <f>IFERROR(__xludf.DUMMYFUNCTION("""COMPUTED_VALUE"""),"Kirtipur-02, Kathmandu")</f>
        <v>Kirtipur-02, Kathmandu</v>
      </c>
      <c r="I61" s="2" t="str">
        <f>IFERROR(__xludf.DUMMYFUNCTION("""COMPUTED_VALUE"""),"29o 00' 38""")</f>
        <v>29o 00' 38"</v>
      </c>
      <c r="J61" s="2" t="str">
        <f>IFERROR(__xludf.DUMMYFUNCTION("""COMPUTED_VALUE"""),"29o 02' 30""")</f>
        <v>29o 02' 30"</v>
      </c>
      <c r="K61" s="2" t="str">
        <f>IFERROR(__xludf.DUMMYFUNCTION("""COMPUTED_VALUE"""),"80o 44' 00""")</f>
        <v>80o 44' 00"</v>
      </c>
      <c r="L61" s="2" t="str">
        <f>IFERROR(__xludf.DUMMYFUNCTION("""COMPUTED_VALUE"""),"80o 45' 00""")</f>
        <v>80o 45' 00"</v>
      </c>
      <c r="M61" s="2" t="str">
        <f>IFERROR(__xludf.DUMMYFUNCTION("""COMPUTED_VALUE"""),"Bhumirajmadau (Doti)")</f>
        <v>Bhumirajmadau (Doti)</v>
      </c>
    </row>
    <row r="62">
      <c r="A62" s="2">
        <f>IFERROR(__xludf.DUMMYFUNCTION("""COMPUTED_VALUE"""),61.0)</f>
        <v>61</v>
      </c>
      <c r="B62" s="2" t="str">
        <f>IFERROR(__xludf.DUMMYFUNCTION("""COMPUTED_VALUE"""),"Super Kasuwa Khola Hydropower Project")</f>
        <v>Super Kasuwa Khola Hydropower Project</v>
      </c>
      <c r="C62" s="2">
        <f>IFERROR(__xludf.DUMMYFUNCTION("""COMPUTED_VALUE"""),4.96)</f>
        <v>4.96</v>
      </c>
      <c r="D62" s="2" t="str">
        <f>IFERROR(__xludf.DUMMYFUNCTION("""COMPUTED_VALUE"""),"Kasuwa Khola")</f>
        <v>Kasuwa Khola</v>
      </c>
      <c r="E62" s="2">
        <f>IFERROR(__xludf.DUMMYFUNCTION("""COMPUTED_VALUE"""),3827.0)</f>
        <v>3827</v>
      </c>
      <c r="F62" s="3">
        <f>IFERROR(__xludf.DUMMYFUNCTION("""COMPUTED_VALUE"""),66704.0)</f>
        <v>66704</v>
      </c>
      <c r="G62" s="2" t="str">
        <f>IFERROR(__xludf.DUMMYFUNCTION("""COMPUTED_VALUE"""),"Makalu Urja Private Limited")</f>
        <v>Makalu Urja Private Limited</v>
      </c>
      <c r="H62" s="2" t="str">
        <f>IFERROR(__xludf.DUMMYFUNCTION("""COMPUTED_VALUE"""),"KMC-2, Hadigaun, Kathmandu")</f>
        <v>KMC-2, Hadigaun, Kathmandu</v>
      </c>
      <c r="I62" s="2" t="str">
        <f>IFERROR(__xludf.DUMMYFUNCTION("""COMPUTED_VALUE"""),"27o 37' 27""")</f>
        <v>27o 37' 27"</v>
      </c>
      <c r="J62" s="2" t="str">
        <f>IFERROR(__xludf.DUMMYFUNCTION("""COMPUTED_VALUE"""),"27o 37' 59""")</f>
        <v>27o 37' 59"</v>
      </c>
      <c r="K62" s="2" t="str">
        <f>IFERROR(__xludf.DUMMYFUNCTION("""COMPUTED_VALUE"""),"87o 14' 44""")</f>
        <v>87o 14' 44"</v>
      </c>
      <c r="L62" s="2" t="str">
        <f>IFERROR(__xludf.DUMMYFUNCTION("""COMPUTED_VALUE"""),"87o 16' 00""")</f>
        <v>87o 16' 00"</v>
      </c>
      <c r="M62" s="2"/>
    </row>
    <row r="63">
      <c r="A63" s="2">
        <f>IFERROR(__xludf.DUMMYFUNCTION("""COMPUTED_VALUE"""),62.0)</f>
        <v>62</v>
      </c>
      <c r="B63" s="2" t="str">
        <f>IFERROR(__xludf.DUMMYFUNCTION("""COMPUTED_VALUE"""),"Gobre Gad Khola Hydropower Project")</f>
        <v>Gobre Gad Khola Hydropower Project</v>
      </c>
      <c r="C63" s="2">
        <f>IFERROR(__xludf.DUMMYFUNCTION("""COMPUTED_VALUE"""),6.7)</f>
        <v>6.7</v>
      </c>
      <c r="D63" s="2" t="str">
        <f>IFERROR(__xludf.DUMMYFUNCTION("""COMPUTED_VALUE"""),"Gobre Gad Khola")</f>
        <v>Gobre Gad Khola</v>
      </c>
      <c r="E63" s="2">
        <f>IFERROR(__xludf.DUMMYFUNCTION("""COMPUTED_VALUE"""),3978.0)</f>
        <v>3978</v>
      </c>
      <c r="F63" s="3">
        <f>IFERROR(__xludf.DUMMYFUNCTION("""COMPUTED_VALUE"""),66711.0)</f>
        <v>66711</v>
      </c>
      <c r="G63" s="2" t="str">
        <f>IFERROR(__xludf.DUMMYFUNCTION("""COMPUTED_VALUE"""),"Risheshower Pvt. Ltd")</f>
        <v>Risheshower Pvt. Ltd</v>
      </c>
      <c r="H63" s="2" t="str">
        <f>IFERROR(__xludf.DUMMYFUNCTION("""COMPUTED_VALUE"""),"Chamati-15, Kathmandu")</f>
        <v>Chamati-15, Kathmandu</v>
      </c>
      <c r="I63" s="2" t="str">
        <f>IFERROR(__xludf.DUMMYFUNCTION("""COMPUTED_VALUE"""),"29o 01' 02""")</f>
        <v>29o 01' 02"</v>
      </c>
      <c r="J63" s="2" t="str">
        <f>IFERROR(__xludf.DUMMYFUNCTION("""COMPUTED_VALUE"""),"29o 03' 33""")</f>
        <v>29o 03' 33"</v>
      </c>
      <c r="K63" s="2" t="str">
        <f>IFERROR(__xludf.DUMMYFUNCTION("""COMPUTED_VALUE"""),"82o 19' 15""")</f>
        <v>82o 19' 15"</v>
      </c>
      <c r="L63" s="2" t="str">
        <f>IFERROR(__xludf.DUMMYFUNCTION("""COMPUTED_VALUE"""),"82o 20' 58""")</f>
        <v>82o 20' 58"</v>
      </c>
      <c r="M63" s="2" t="str">
        <f>IFERROR(__xludf.DUMMYFUNCTION("""COMPUTED_VALUE"""),"Dasera (Jajarkot)")</f>
        <v>Dasera (Jajarkot)</v>
      </c>
    </row>
    <row r="64">
      <c r="A64" s="2">
        <f>IFERROR(__xludf.DUMMYFUNCTION("""COMPUTED_VALUE"""),63.0)</f>
        <v>63</v>
      </c>
      <c r="B64" s="2" t="str">
        <f>IFERROR(__xludf.DUMMYFUNCTION("""COMPUTED_VALUE"""),"Sanla Khola Small Hydropower Project")</f>
        <v>Sanla Khola Small Hydropower Project</v>
      </c>
      <c r="C64" s="2">
        <f>IFERROR(__xludf.DUMMYFUNCTION("""COMPUTED_VALUE"""),8.35)</f>
        <v>8.35</v>
      </c>
      <c r="D64" s="2" t="str">
        <f>IFERROR(__xludf.DUMMYFUNCTION("""COMPUTED_VALUE"""),"Sanlo Khola")</f>
        <v>Sanlo Khola</v>
      </c>
      <c r="E64" s="2">
        <f>IFERROR(__xludf.DUMMYFUNCTION("""COMPUTED_VALUE"""),4073.0)</f>
        <v>4073</v>
      </c>
      <c r="F64" s="3">
        <f>IFERROR(__xludf.DUMMYFUNCTION("""COMPUTED_VALUE"""),66713.0)</f>
        <v>66713</v>
      </c>
      <c r="G64" s="2" t="str">
        <f>IFERROR(__xludf.DUMMYFUNCTION("""COMPUTED_VALUE"""),"Tirupati Balaji Hydropower Private Limited")</f>
        <v>Tirupati Balaji Hydropower Private Limited</v>
      </c>
      <c r="H64" s="2" t="str">
        <f>IFERROR(__xludf.DUMMYFUNCTION("""COMPUTED_VALUE"""),"Suryabikram Gyawali Marga, Ward No. 9, Kathmandu")</f>
        <v>Suryabikram Gyawali Marga, Ward No. 9, Kathmandu</v>
      </c>
      <c r="I64" s="2" t="str">
        <f>IFERROR(__xludf.DUMMYFUNCTION("""COMPUTED_VALUE"""),"28o 20' 35""")</f>
        <v>28o 20' 35"</v>
      </c>
      <c r="J64" s="2" t="str">
        <f>IFERROR(__xludf.DUMMYFUNCTION("""COMPUTED_VALUE"""),"28o 22' 19""")</f>
        <v>28o 22' 19"</v>
      </c>
      <c r="K64" s="2" t="str">
        <f>IFERROR(__xludf.DUMMYFUNCTION("""COMPUTED_VALUE"""),"84o 54' 01""")</f>
        <v>84o 54' 01"</v>
      </c>
      <c r="L64" s="2" t="str">
        <f>IFERROR(__xludf.DUMMYFUNCTION("""COMPUTED_VALUE"""),"84o 55' 54""")</f>
        <v>84o 55' 54"</v>
      </c>
      <c r="M64" s="2" t="str">
        <f>IFERROR(__xludf.DUMMYFUNCTION("""COMPUTED_VALUE"""),"Kerauja,Sirdibas,Uiya (Gorkha)")</f>
        <v>Kerauja,Sirdibas,Uiya (Gorkha)</v>
      </c>
    </row>
    <row r="65">
      <c r="A65" s="2">
        <f>IFERROR(__xludf.DUMMYFUNCTION("""COMPUTED_VALUE"""),64.0)</f>
        <v>64</v>
      </c>
      <c r="B65" s="2" t="str">
        <f>IFERROR(__xludf.DUMMYFUNCTION("""COMPUTED_VALUE"""),"Koluwa Khola HydroElectric Project")</f>
        <v>Koluwa Khola HydroElectric Project</v>
      </c>
      <c r="C65" s="2">
        <f>IFERROR(__xludf.DUMMYFUNCTION("""COMPUTED_VALUE"""),4.74)</f>
        <v>4.74</v>
      </c>
      <c r="D65" s="2" t="str">
        <f>IFERROR(__xludf.DUMMYFUNCTION("""COMPUTED_VALUE"""),"Koluwa Khola")</f>
        <v>Koluwa Khola</v>
      </c>
      <c r="E65" s="2">
        <f>IFERROR(__xludf.DUMMYFUNCTION("""COMPUTED_VALUE"""),4215.0)</f>
        <v>4215</v>
      </c>
      <c r="F65" s="3">
        <f>IFERROR(__xludf.DUMMYFUNCTION("""COMPUTED_VALUE"""),66720.0)</f>
        <v>66720</v>
      </c>
      <c r="G65" s="2" t="str">
        <f>IFERROR(__xludf.DUMMYFUNCTION("""COMPUTED_VALUE"""),"Happy Power Private Limited")</f>
        <v>Happy Power Private Limited</v>
      </c>
      <c r="H65" s="2" t="str">
        <f>IFERROR(__xludf.DUMMYFUNCTION("""COMPUTED_VALUE"""),"Naxal, Kathmandu")</f>
        <v>Naxal, Kathmandu</v>
      </c>
      <c r="I65" s="2" t="str">
        <f>IFERROR(__xludf.DUMMYFUNCTION("""COMPUTED_VALUE"""),"27o 32' 35""")</f>
        <v>27o 32' 35"</v>
      </c>
      <c r="J65" s="2" t="str">
        <f>IFERROR(__xludf.DUMMYFUNCTION("""COMPUTED_VALUE"""),"27o 33' 44""")</f>
        <v>27o 33' 44"</v>
      </c>
      <c r="K65" s="2" t="str">
        <f>IFERROR(__xludf.DUMMYFUNCTION("""COMPUTED_VALUE"""),"87o 03' 59""")</f>
        <v>87o 03' 59"</v>
      </c>
      <c r="L65" s="2" t="str">
        <f>IFERROR(__xludf.DUMMYFUNCTION("""COMPUTED_VALUE"""),"87o 04' 34""")</f>
        <v>87o 04' 34"</v>
      </c>
      <c r="M65" s="2" t="str">
        <f>IFERROR(__xludf.DUMMYFUNCTION("""COMPUTED_VALUE"""),"Tamfok (Sankhuwasabha)")</f>
        <v>Tamfok (Sankhuwasabha)</v>
      </c>
    </row>
    <row r="66">
      <c r="A66" s="2">
        <f>IFERROR(__xludf.DUMMYFUNCTION("""COMPUTED_VALUE"""),65.0)</f>
        <v>65</v>
      </c>
      <c r="B66" s="2" t="str">
        <f>IFERROR(__xludf.DUMMYFUNCTION("""COMPUTED_VALUE"""),"Dharapokhari Hepka Hydropower Project")</f>
        <v>Dharapokhari Hepka Hydropower Project</v>
      </c>
      <c r="C66" s="2">
        <f>IFERROR(__xludf.DUMMYFUNCTION("""COMPUTED_VALUE"""),9.4)</f>
        <v>9.4</v>
      </c>
      <c r="D66" s="2" t="str">
        <f>IFERROR(__xludf.DUMMYFUNCTION("""COMPUTED_VALUE"""),"Hepka khola")</f>
        <v>Hepka khola</v>
      </c>
      <c r="E66" s="2">
        <f>IFERROR(__xludf.DUMMYFUNCTION("""COMPUTED_VALUE"""),4277.0)</f>
        <v>4277</v>
      </c>
      <c r="F66" s="3">
        <f>IFERROR(__xludf.DUMMYFUNCTION("""COMPUTED_VALUE"""),66721.0)</f>
        <v>66721</v>
      </c>
      <c r="G66" s="2" t="str">
        <f>IFERROR(__xludf.DUMMYFUNCTION("""COMPUTED_VALUE"""),"Amritdhara Urja Pvt. Ltd")</f>
        <v>Amritdhara Urja Pvt. Ltd</v>
      </c>
      <c r="H66" s="2" t="str">
        <f>IFERROR(__xludf.DUMMYFUNCTION("""COMPUTED_VALUE"""),"Buddanagar, Kathmandu")</f>
        <v>Buddanagar, Kathmandu</v>
      </c>
      <c r="I66" s="2" t="str">
        <f>IFERROR(__xludf.DUMMYFUNCTION("""COMPUTED_VALUE"""),"29o 59' 50""")</f>
        <v>29o 59' 50"</v>
      </c>
      <c r="J66" s="2" t="str">
        <f>IFERROR(__xludf.DUMMYFUNCTION("""COMPUTED_VALUE"""),"30o 00' 58""")</f>
        <v>30o 00' 58"</v>
      </c>
      <c r="K66" s="2" t="str">
        <f>IFERROR(__xludf.DUMMYFUNCTION("""COMPUTED_VALUE"""),"81o 46' 05""")</f>
        <v>81o 46' 05"</v>
      </c>
      <c r="L66" s="2" t="str">
        <f>IFERROR(__xludf.DUMMYFUNCTION("""COMPUTED_VALUE"""),"81o 46' 49""")</f>
        <v>81o 46' 49"</v>
      </c>
      <c r="M66" s="2" t="str">
        <f>IFERROR(__xludf.DUMMYFUNCTION("""COMPUTED_VALUE"""),"Gothi (Humla)")</f>
        <v>Gothi (Humla)</v>
      </c>
    </row>
    <row r="67">
      <c r="A67" s="2">
        <f>IFERROR(__xludf.DUMMYFUNCTION("""COMPUTED_VALUE"""),66.0)</f>
        <v>66</v>
      </c>
      <c r="B67" s="2" t="str">
        <f>IFERROR(__xludf.DUMMYFUNCTION("""COMPUTED_VALUE"""),"Medokchheje Khola Hydropower Project")</f>
        <v>Medokchheje Khola Hydropower Project</v>
      </c>
      <c r="C67" s="2">
        <f>IFERROR(__xludf.DUMMYFUNCTION("""COMPUTED_VALUE"""),8.39)</f>
        <v>8.39</v>
      </c>
      <c r="D67" s="2" t="str">
        <f>IFERROR(__xludf.DUMMYFUNCTION("""COMPUTED_VALUE"""),"Medok Cheje")</f>
        <v>Medok Cheje</v>
      </c>
      <c r="E67" s="2">
        <f>IFERROR(__xludf.DUMMYFUNCTION("""COMPUTED_VALUE"""),4366.0)</f>
        <v>4366</v>
      </c>
      <c r="F67" s="3">
        <f>IFERROR(__xludf.DUMMYFUNCTION("""COMPUTED_VALUE"""),66722.0)</f>
        <v>66722</v>
      </c>
      <c r="G67" s="2" t="str">
        <f>IFERROR(__xludf.DUMMYFUNCTION("""COMPUTED_VALUE"""),"Energy Hub Private Limited")</f>
        <v>Energy Hub Private Limited</v>
      </c>
      <c r="H67" s="2" t="str">
        <f>IFERROR(__xludf.DUMMYFUNCTION("""COMPUTED_VALUE"""),"KMC-16, Banasthali, Kathmandu")</f>
        <v>KMC-16, Banasthali, Kathmandu</v>
      </c>
      <c r="I67" s="2" t="str">
        <f>IFERROR(__xludf.DUMMYFUNCTION("""COMPUTED_VALUE"""),"27o 45' 20""")</f>
        <v>27o 45' 20"</v>
      </c>
      <c r="J67" s="2" t="str">
        <f>IFERROR(__xludf.DUMMYFUNCTION("""COMPUTED_VALUE"""),"27o 45' 54""")</f>
        <v>27o 45' 54"</v>
      </c>
      <c r="K67" s="2" t="str">
        <f>IFERROR(__xludf.DUMMYFUNCTION("""COMPUTED_VALUE"""),"87o 32' 56""")</f>
        <v>87o 32' 56"</v>
      </c>
      <c r="L67" s="2" t="str">
        <f>IFERROR(__xludf.DUMMYFUNCTION("""COMPUTED_VALUE"""),"87o 34' 50""")</f>
        <v>87o 34' 50"</v>
      </c>
      <c r="M67" s="2" t="str">
        <f>IFERROR(__xludf.DUMMYFUNCTION("""COMPUTED_VALUE"""),"Chepuwa (Sankhuwasabha)")</f>
        <v>Chepuwa (Sankhuwasabha)</v>
      </c>
    </row>
    <row r="68">
      <c r="A68" s="2">
        <f>IFERROR(__xludf.DUMMYFUNCTION("""COMPUTED_VALUE"""),67.0)</f>
        <v>67</v>
      </c>
      <c r="B68" s="2" t="str">
        <f>IFERROR(__xludf.DUMMYFUNCTION("""COMPUTED_VALUE"""),"Uppermost Hewa Khola Hydropower Project")</f>
        <v>Uppermost Hewa Khola Hydropower Project</v>
      </c>
      <c r="C68" s="2">
        <f>IFERROR(__xludf.DUMMYFUNCTION("""COMPUTED_VALUE"""),4.9)</f>
        <v>4.9</v>
      </c>
      <c r="D68" s="2" t="str">
        <f>IFERROR(__xludf.DUMMYFUNCTION("""COMPUTED_VALUE"""),"Hewa (Panchthar)")</f>
        <v>Hewa (Panchthar)</v>
      </c>
      <c r="E68" s="2">
        <f>IFERROR(__xludf.DUMMYFUNCTION("""COMPUTED_VALUE"""),4520.0)</f>
        <v>4520</v>
      </c>
      <c r="F68" s="3">
        <f>IFERROR(__xludf.DUMMYFUNCTION("""COMPUTED_VALUE"""),66728.0)</f>
        <v>66728</v>
      </c>
      <c r="G68" s="2" t="str">
        <f>IFERROR(__xludf.DUMMYFUNCTION("""COMPUTED_VALUE"""),"Arpan Jalvidhyut Private Limited")</f>
        <v>Arpan Jalvidhyut Private Limited</v>
      </c>
      <c r="H68" s="2" t="str">
        <f>IFERROR(__xludf.DUMMYFUNCTION("""COMPUTED_VALUE"""),"KMC-3, Kathmandu")</f>
        <v>KMC-3, Kathmandu</v>
      </c>
      <c r="I68" s="2" t="str">
        <f>IFERROR(__xludf.DUMMYFUNCTION("""COMPUTED_VALUE"""),"27o 10' 38""")</f>
        <v>27o 10' 38"</v>
      </c>
      <c r="J68" s="2" t="str">
        <f>IFERROR(__xludf.DUMMYFUNCTION("""COMPUTED_VALUE"""),"27o 11' 52""")</f>
        <v>27o 11' 52"</v>
      </c>
      <c r="K68" s="2" t="str">
        <f>IFERROR(__xludf.DUMMYFUNCTION("""COMPUTED_VALUE"""),"87o 55' 27""")</f>
        <v>87o 55' 27"</v>
      </c>
      <c r="L68" s="2" t="str">
        <f>IFERROR(__xludf.DUMMYFUNCTION("""COMPUTED_VALUE"""),"87o 56' 57""")</f>
        <v>87o 56' 57"</v>
      </c>
      <c r="M68" s="2" t="str">
        <f>IFERROR(__xludf.DUMMYFUNCTION("""COMPUTED_VALUE"""),"Memeng,Prangbung (Panchthar)")</f>
        <v>Memeng,Prangbung (Panchthar)</v>
      </c>
    </row>
    <row r="69">
      <c r="A69" s="2">
        <f>IFERROR(__xludf.DUMMYFUNCTION("""COMPUTED_VALUE"""),68.0)</f>
        <v>68</v>
      </c>
      <c r="B69" s="2" t="str">
        <f>IFERROR(__xludf.DUMMYFUNCTION("""COMPUTED_VALUE"""),"Mid Nisi Hydropower Project")</f>
        <v>Mid Nisi Hydropower Project</v>
      </c>
      <c r="C69" s="2">
        <f>IFERROR(__xludf.DUMMYFUNCTION("""COMPUTED_VALUE"""),4.5)</f>
        <v>4.5</v>
      </c>
      <c r="D69" s="2" t="str">
        <f>IFERROR(__xludf.DUMMYFUNCTION("""COMPUTED_VALUE"""),"Nisi Khola")</f>
        <v>Nisi Khola</v>
      </c>
      <c r="E69" s="2">
        <f>IFERROR(__xludf.DUMMYFUNCTION("""COMPUTED_VALUE"""),4567.0)</f>
        <v>4567</v>
      </c>
      <c r="F69" s="3">
        <f>IFERROR(__xludf.DUMMYFUNCTION("""COMPUTED_VALUE"""),66730.0)</f>
        <v>66730</v>
      </c>
      <c r="G69" s="2" t="str">
        <f>IFERROR(__xludf.DUMMYFUNCTION("""COMPUTED_VALUE"""),"Apex Hydro and Investment Private Limited")</f>
        <v>Apex Hydro and Investment Private Limited</v>
      </c>
      <c r="H69" s="2" t="str">
        <f>IFERROR(__xludf.DUMMYFUNCTION("""COMPUTED_VALUE"""),"Kamalpokhari, Kathmandu")</f>
        <v>Kamalpokhari, Kathmandu</v>
      </c>
      <c r="I69" s="2" t="str">
        <f>IFERROR(__xludf.DUMMYFUNCTION("""COMPUTED_VALUE"""),"28o 22' 40""")</f>
        <v>28o 22' 40"</v>
      </c>
      <c r="J69" s="2" t="str">
        <f>IFERROR(__xludf.DUMMYFUNCTION("""COMPUTED_VALUE"""),"28o 23' 36""")</f>
        <v>28o 23' 36"</v>
      </c>
      <c r="K69" s="2" t="str">
        <f>IFERROR(__xludf.DUMMYFUNCTION("""COMPUTED_VALUE"""),"83o 01' 54""")</f>
        <v>83o 01' 54"</v>
      </c>
      <c r="L69" s="2" t="str">
        <f>IFERROR(__xludf.DUMMYFUNCTION("""COMPUTED_VALUE"""),"83o 03' 30""")</f>
        <v>83o 03' 30"</v>
      </c>
      <c r="M69" s="2" t="str">
        <f>IFERROR(__xludf.DUMMYFUNCTION("""COMPUTED_VALUE"""),"Boharagaun,Nisi (Baglung)")</f>
        <v>Boharagaun,Nisi (Baglung)</v>
      </c>
    </row>
    <row r="70">
      <c r="A70" s="2">
        <f>IFERROR(__xludf.DUMMYFUNCTION("""COMPUTED_VALUE"""),69.0)</f>
        <v>69</v>
      </c>
      <c r="B70" s="2" t="str">
        <f>IFERROR(__xludf.DUMMYFUNCTION("""COMPUTED_VALUE"""),"Sunkoshi - Bagar Hydropower Project")</f>
        <v>Sunkoshi - Bagar Hydropower Project</v>
      </c>
      <c r="C70" s="2">
        <f>IFERROR(__xludf.DUMMYFUNCTION("""COMPUTED_VALUE"""),2.0)</f>
        <v>2</v>
      </c>
      <c r="D70" s="2" t="str">
        <f>IFERROR(__xludf.DUMMYFUNCTION("""COMPUTED_VALUE"""),"Sunkoshi")</f>
        <v>Sunkoshi</v>
      </c>
      <c r="E70" s="2">
        <f>IFERROR(__xludf.DUMMYFUNCTION("""COMPUTED_VALUE"""),4580.0)</f>
        <v>4580</v>
      </c>
      <c r="F70" s="3">
        <f>IFERROR(__xludf.DUMMYFUNCTION("""COMPUTED_VALUE"""),66730.0)</f>
        <v>66730</v>
      </c>
      <c r="G70" s="2" t="str">
        <f>IFERROR(__xludf.DUMMYFUNCTION("""COMPUTED_VALUE"""),"Latteshwori Power Company Private Limited")</f>
        <v>Latteshwori Power Company Private Limited</v>
      </c>
      <c r="H70" s="2" t="str">
        <f>IFERROR(__xludf.DUMMYFUNCTION("""COMPUTED_VALUE"""),"Madhyapur Thimi, Bhaktapur, (Contact No. 9851035943)")</f>
        <v>Madhyapur Thimi, Bhaktapur, (Contact No. 9851035943)</v>
      </c>
      <c r="I70" s="2" t="str">
        <f>IFERROR(__xludf.DUMMYFUNCTION("""COMPUTED_VALUE"""),"27o 45' 57""")</f>
        <v>27o 45' 57"</v>
      </c>
      <c r="J70" s="2" t="str">
        <f>IFERROR(__xludf.DUMMYFUNCTION("""COMPUTED_VALUE"""),"27o 46' 58""")</f>
        <v>27o 46' 58"</v>
      </c>
      <c r="K70" s="2" t="str">
        <f>IFERROR(__xludf.DUMMYFUNCTION("""COMPUTED_VALUE"""),"85o 57' 52""")</f>
        <v>85o 57' 52"</v>
      </c>
      <c r="L70" s="2" t="str">
        <f>IFERROR(__xludf.DUMMYFUNCTION("""COMPUTED_VALUE"""),"85o 58' 46""")</f>
        <v>85o 58' 46"</v>
      </c>
      <c r="M70" s="2" t="str">
        <f>IFERROR(__xludf.DUMMYFUNCTION("""COMPUTED_VALUE"""),"Choukati,Ghorthali (Sindhupalchok)")</f>
        <v>Choukati,Ghorthali (Sindhupalchok)</v>
      </c>
    </row>
    <row r="71">
      <c r="A71" s="2">
        <f>IFERROR(__xludf.DUMMYFUNCTION("""COMPUTED_VALUE"""),70.0)</f>
        <v>70</v>
      </c>
      <c r="B71" s="2" t="str">
        <f>IFERROR(__xludf.DUMMYFUNCTION("""COMPUTED_VALUE"""),"Upper Neuri Gad Hydropower Project")</f>
        <v>Upper Neuri Gad Hydropower Project</v>
      </c>
      <c r="C71" s="2">
        <f>IFERROR(__xludf.DUMMYFUNCTION("""COMPUTED_VALUE"""),9.6)</f>
        <v>9.6</v>
      </c>
      <c r="D71" s="2" t="str">
        <f>IFERROR(__xludf.DUMMYFUNCTION("""COMPUTED_VALUE"""),"Neuri Gad")</f>
        <v>Neuri Gad</v>
      </c>
      <c r="E71" s="2">
        <f>IFERROR(__xludf.DUMMYFUNCTION("""COMPUTED_VALUE"""),4594.0)</f>
        <v>4594</v>
      </c>
      <c r="F71" s="3">
        <f>IFERROR(__xludf.DUMMYFUNCTION("""COMPUTED_VALUE"""),66732.0)</f>
        <v>66732</v>
      </c>
      <c r="G71" s="2" t="str">
        <f>IFERROR(__xludf.DUMMYFUNCTION("""COMPUTED_VALUE"""),"Arpan Jalvidhyut Private Limited")</f>
        <v>Arpan Jalvidhyut Private Limited</v>
      </c>
      <c r="H71" s="2" t="str">
        <f>IFERROR(__xludf.DUMMYFUNCTION("""COMPUTED_VALUE"""),"KMC-3, Kathmandu")</f>
        <v>KMC-3, Kathmandu</v>
      </c>
      <c r="I71" s="2" t="str">
        <f>IFERROR(__xludf.DUMMYFUNCTION("""COMPUTED_VALUE"""),"29o 22' 19""")</f>
        <v>29o 22' 19"</v>
      </c>
      <c r="J71" s="2" t="str">
        <f>IFERROR(__xludf.DUMMYFUNCTION("""COMPUTED_VALUE"""),"29o 24' 45""")</f>
        <v>29o 24' 45"</v>
      </c>
      <c r="K71" s="2" t="str">
        <f>IFERROR(__xludf.DUMMYFUNCTION("""COMPUTED_VALUE"""),"82o 16' 00""")</f>
        <v>82o 16' 00"</v>
      </c>
      <c r="L71" s="2" t="str">
        <f>IFERROR(__xludf.DUMMYFUNCTION("""COMPUTED_VALUE"""),"82o 18' 45""")</f>
        <v>82o 18' 45"</v>
      </c>
      <c r="M71" s="2" t="str">
        <f>IFERROR(__xludf.DUMMYFUNCTION("""COMPUTED_VALUE"""),"Dillichaur (Jumla)")</f>
        <v>Dillichaur (Jumla)</v>
      </c>
    </row>
    <row r="72">
      <c r="A72" s="2">
        <f>IFERROR(__xludf.DUMMYFUNCTION("""COMPUTED_VALUE"""),71.0)</f>
        <v>71</v>
      </c>
      <c r="B72" s="2" t="str">
        <f>IFERROR(__xludf.DUMMYFUNCTION("""COMPUTED_VALUE"""),"Upper Neurigad Hydropower Project")</f>
        <v>Upper Neurigad Hydropower Project</v>
      </c>
      <c r="C72" s="2">
        <f>IFERROR(__xludf.DUMMYFUNCTION("""COMPUTED_VALUE"""),4.6)</f>
        <v>4.6</v>
      </c>
      <c r="D72" s="2" t="str">
        <f>IFERROR(__xludf.DUMMYFUNCTION("""COMPUTED_VALUE"""),"Neuri Gad")</f>
        <v>Neuri Gad</v>
      </c>
      <c r="E72" s="2">
        <f>IFERROR(__xludf.DUMMYFUNCTION("""COMPUTED_VALUE"""),4624.0)</f>
        <v>4624</v>
      </c>
      <c r="F72" s="3">
        <f>IFERROR(__xludf.DUMMYFUNCTION("""COMPUTED_VALUE"""),66733.0)</f>
        <v>66733</v>
      </c>
      <c r="G72" s="2" t="str">
        <f>IFERROR(__xludf.DUMMYFUNCTION("""COMPUTED_VALUE"""),"White Horse Energy Private Limited")</f>
        <v>White Horse Energy Private Limited</v>
      </c>
      <c r="H72" s="2" t="str">
        <f>IFERROR(__xludf.DUMMYFUNCTION("""COMPUTED_VALUE"""),"KMC-16, Kathmandu")</f>
        <v>KMC-16, Kathmandu</v>
      </c>
      <c r="I72" s="2" t="str">
        <f>IFERROR(__xludf.DUMMYFUNCTION("""COMPUTED_VALUE"""),"29o 22' 30""")</f>
        <v>29o 22' 30"</v>
      </c>
      <c r="J72" s="2" t="str">
        <f>IFERROR(__xludf.DUMMYFUNCTION("""COMPUTED_VALUE"""),"29o 24' 45""")</f>
        <v>29o 24' 45"</v>
      </c>
      <c r="K72" s="2" t="str">
        <f>IFERROR(__xludf.DUMMYFUNCTION("""COMPUTED_VALUE"""),"82o 13' 30""")</f>
        <v>82o 13' 30"</v>
      </c>
      <c r="L72" s="2" t="str">
        <f>IFERROR(__xludf.DUMMYFUNCTION("""COMPUTED_VALUE"""),"82o 19' 00""")</f>
        <v>82o 19' 00"</v>
      </c>
      <c r="M72" s="2" t="str">
        <f>IFERROR(__xludf.DUMMYFUNCTION("""COMPUTED_VALUE"""),"Buvramadichaur,Dillichaur,Patmara (Jumla)")</f>
        <v>Buvramadichaur,Dillichaur,Patmara (Jumla)</v>
      </c>
    </row>
    <row r="73">
      <c r="A73" s="2">
        <f>IFERROR(__xludf.DUMMYFUNCTION("""COMPUTED_VALUE"""),72.0)</f>
        <v>72</v>
      </c>
      <c r="B73" s="2" t="str">
        <f>IFERROR(__xludf.DUMMYFUNCTION("""COMPUTED_VALUE"""),"Super Neuri Gad Hydropower Project")</f>
        <v>Super Neuri Gad Hydropower Project</v>
      </c>
      <c r="C73" s="2">
        <f>IFERROR(__xludf.DUMMYFUNCTION("""COMPUTED_VALUE"""),9.4)</f>
        <v>9.4</v>
      </c>
      <c r="D73" s="2" t="str">
        <f>IFERROR(__xludf.DUMMYFUNCTION("""COMPUTED_VALUE"""),"Neuri Gad")</f>
        <v>Neuri Gad</v>
      </c>
      <c r="E73" s="2">
        <f>IFERROR(__xludf.DUMMYFUNCTION("""COMPUTED_VALUE"""),4716.0)</f>
        <v>4716</v>
      </c>
      <c r="F73" s="3">
        <f>IFERROR(__xludf.DUMMYFUNCTION("""COMPUTED_VALUE"""),66736.0)</f>
        <v>66736</v>
      </c>
      <c r="G73" s="2" t="str">
        <f>IFERROR(__xludf.DUMMYFUNCTION("""COMPUTED_VALUE"""),"Arpan Jalvidhyut Private Limited")</f>
        <v>Arpan Jalvidhyut Private Limited</v>
      </c>
      <c r="H73" s="2" t="str">
        <f>IFERROR(__xludf.DUMMYFUNCTION("""COMPUTED_VALUE"""),"Maharajganj Kathmandu.")</f>
        <v>Maharajganj Kathmandu.</v>
      </c>
      <c r="I73" s="2" t="str">
        <f>IFERROR(__xludf.DUMMYFUNCTION("""COMPUTED_VALUE"""),"29o 22' 10""")</f>
        <v>29o 22' 10"</v>
      </c>
      <c r="J73" s="2" t="str">
        <f>IFERROR(__xludf.DUMMYFUNCTION("""COMPUTED_VALUE"""),"29o 23' 45""")</f>
        <v>29o 23' 45"</v>
      </c>
      <c r="K73" s="2" t="str">
        <f>IFERROR(__xludf.DUMMYFUNCTION("""COMPUTED_VALUE"""),"82o 11' 00""")</f>
        <v>82o 11' 00"</v>
      </c>
      <c r="L73" s="2" t="str">
        <f>IFERROR(__xludf.DUMMYFUNCTION("""COMPUTED_VALUE"""),"82o 16' 00""")</f>
        <v>82o 16' 00"</v>
      </c>
      <c r="M73" s="2" t="str">
        <f>IFERROR(__xludf.DUMMYFUNCTION("""COMPUTED_VALUE"""),"Dandagaun (Jajarkot)")</f>
        <v>Dandagaun (Jajarkot)</v>
      </c>
    </row>
    <row r="74">
      <c r="A74" s="2">
        <f>IFERROR(__xludf.DUMMYFUNCTION("""COMPUTED_VALUE"""),73.0)</f>
        <v>73</v>
      </c>
      <c r="B74" s="2" t="str">
        <f>IFERROR(__xludf.DUMMYFUNCTION("""COMPUTED_VALUE"""),"Gad khola Hydropower Project")</f>
        <v>Gad khola Hydropower Project</v>
      </c>
      <c r="C74" s="2">
        <f>IFERROR(__xludf.DUMMYFUNCTION("""COMPUTED_VALUE"""),7.6)</f>
        <v>7.6</v>
      </c>
      <c r="D74" s="2" t="str">
        <f>IFERROR(__xludf.DUMMYFUNCTION("""COMPUTED_VALUE"""),"Gad Khola")</f>
        <v>Gad Khola</v>
      </c>
      <c r="E74" s="2">
        <f>IFERROR(__xludf.DUMMYFUNCTION("""COMPUTED_VALUE"""),4795.0)</f>
        <v>4795</v>
      </c>
      <c r="F74" s="3">
        <f>IFERROR(__xludf.DUMMYFUNCTION("""COMPUTED_VALUE"""),66737.0)</f>
        <v>66737</v>
      </c>
      <c r="G74" s="2" t="str">
        <f>IFERROR(__xludf.DUMMYFUNCTION("""COMPUTED_VALUE"""),"Manimukunda Investment pvt. Ltd")</f>
        <v>Manimukunda Investment pvt. Ltd</v>
      </c>
      <c r="H74" s="2" t="str">
        <f>IFERROR(__xludf.DUMMYFUNCTION("""COMPUTED_VALUE"""),"Kathmandu")</f>
        <v>Kathmandu</v>
      </c>
      <c r="I74" s="2" t="str">
        <f>IFERROR(__xludf.DUMMYFUNCTION("""COMPUTED_VALUE"""),"28o 50' 35""")</f>
        <v>28o 50' 35"</v>
      </c>
      <c r="J74" s="2" t="str">
        <f>IFERROR(__xludf.DUMMYFUNCTION("""COMPUTED_VALUE"""),"28o 52' 08""")</f>
        <v>28o 52' 08"</v>
      </c>
      <c r="K74" s="2" t="str">
        <f>IFERROR(__xludf.DUMMYFUNCTION("""COMPUTED_VALUE"""),"81o 56' 40""")</f>
        <v>81o 56' 40"</v>
      </c>
      <c r="L74" s="2" t="str">
        <f>IFERROR(__xludf.DUMMYFUNCTION("""COMPUTED_VALUE"""),"81o 57' 30""")</f>
        <v>81o 57' 30"</v>
      </c>
      <c r="M74" s="2" t="str">
        <f>IFERROR(__xludf.DUMMYFUNCTION("""COMPUTED_VALUE"""),"Dandagaun (Jajarkot)")</f>
        <v>Dandagaun (Jajarkot)</v>
      </c>
    </row>
    <row r="75">
      <c r="A75" s="2">
        <f>IFERROR(__xludf.DUMMYFUNCTION("""COMPUTED_VALUE"""),74.0)</f>
        <v>74</v>
      </c>
      <c r="B75" s="2" t="str">
        <f>IFERROR(__xludf.DUMMYFUNCTION("""COMPUTED_VALUE"""),"Super Rupagad Hydropower Project")</f>
        <v>Super Rupagad Hydropower Project</v>
      </c>
      <c r="C75" s="2">
        <f>IFERROR(__xludf.DUMMYFUNCTION("""COMPUTED_VALUE"""),15.0)</f>
        <v>15</v>
      </c>
      <c r="D75" s="2" t="str">
        <f>IFERROR(__xludf.DUMMYFUNCTION("""COMPUTED_VALUE"""),"Rupagad")</f>
        <v>Rupagad</v>
      </c>
      <c r="E75" s="2">
        <f>IFERROR(__xludf.DUMMYFUNCTION("""COMPUTED_VALUE"""),4864.0)</f>
        <v>4864</v>
      </c>
      <c r="F75" s="3">
        <f>IFERROR(__xludf.DUMMYFUNCTION("""COMPUTED_VALUE"""),66740.0)</f>
        <v>66740</v>
      </c>
      <c r="G75" s="2" t="str">
        <f>IFERROR(__xludf.DUMMYFUNCTION("""COMPUTED_VALUE"""),"Takshyashila Energy Private Limited")</f>
        <v>Takshyashila Energy Private Limited</v>
      </c>
      <c r="H75" s="2" t="str">
        <f>IFERROR(__xludf.DUMMYFUNCTION("""COMPUTED_VALUE"""),"Banasthali, Kathmandu")</f>
        <v>Banasthali, Kathmandu</v>
      </c>
      <c r="I75" s="2" t="str">
        <f>IFERROR(__xludf.DUMMYFUNCTION("""COMPUTED_VALUE"""),"28o 53' 15""")</f>
        <v>28o 53' 15"</v>
      </c>
      <c r="J75" s="2" t="str">
        <f>IFERROR(__xludf.DUMMYFUNCTION("""COMPUTED_VALUE"""),"28o 56' 14""")</f>
        <v>28o 56' 14"</v>
      </c>
      <c r="K75" s="2" t="str">
        <f>IFERROR(__xludf.DUMMYFUNCTION("""COMPUTED_VALUE"""),"82o 46' 52""")</f>
        <v>82o 46' 52"</v>
      </c>
      <c r="L75" s="2" t="str">
        <f>IFERROR(__xludf.DUMMYFUNCTION("""COMPUTED_VALUE"""),"82o 50' 00""")</f>
        <v>82o 50' 00"</v>
      </c>
      <c r="M75" s="2" t="str">
        <f>IFERROR(__xludf.DUMMYFUNCTION("""COMPUTED_VALUE"""),"Bigu (Dolakha)")</f>
        <v>Bigu (Dolakha)</v>
      </c>
    </row>
    <row r="76">
      <c r="A76" s="2">
        <f>IFERROR(__xludf.DUMMYFUNCTION("""COMPUTED_VALUE"""),75.0)</f>
        <v>75</v>
      </c>
      <c r="B76" s="2" t="str">
        <f>IFERROR(__xludf.DUMMYFUNCTION("""COMPUTED_VALUE"""),"Super Rurubanchu Storage Hydropower Project")</f>
        <v>Super Rurubanchu Storage Hydropower Project</v>
      </c>
      <c r="C76" s="2">
        <f>IFERROR(__xludf.DUMMYFUNCTION("""COMPUTED_VALUE"""),24.0)</f>
        <v>24</v>
      </c>
      <c r="D76" s="2" t="str">
        <f>IFERROR(__xludf.DUMMYFUNCTION("""COMPUTED_VALUE"""),"Rurubanchu Khola")</f>
        <v>Rurubanchu Khola</v>
      </c>
      <c r="E76" s="2">
        <f>IFERROR(__xludf.DUMMYFUNCTION("""COMPUTED_VALUE"""),4869.0)</f>
        <v>4869</v>
      </c>
      <c r="F76" s="3">
        <f>IFERROR(__xludf.DUMMYFUNCTION("""COMPUTED_VALUE"""),66740.0)</f>
        <v>66740</v>
      </c>
      <c r="G76" s="2" t="str">
        <f>IFERROR(__xludf.DUMMYFUNCTION("""COMPUTED_VALUE"""),"Shubhakamana Hydropower Pvt. Ltd")</f>
        <v>Shubhakamana Hydropower Pvt. Ltd</v>
      </c>
      <c r="H76" s="2" t="str">
        <f>IFERROR(__xludf.DUMMYFUNCTION("""COMPUTED_VALUE"""),"Kathmandu-31")</f>
        <v>Kathmandu-31</v>
      </c>
      <c r="I76" s="2" t="str">
        <f>IFERROR(__xludf.DUMMYFUNCTION("""COMPUTED_VALUE"""),"29o 01' 40""")</f>
        <v>29o 01' 40"</v>
      </c>
      <c r="J76" s="2" t="str">
        <f>IFERROR(__xludf.DUMMYFUNCTION("""COMPUTED_VALUE"""),"29o 06' 36""")</f>
        <v>29o 06' 36"</v>
      </c>
      <c r="K76" s="2" t="str">
        <f>IFERROR(__xludf.DUMMYFUNCTION("""COMPUTED_VALUE"""),"81o 53' 00""")</f>
        <v>81o 53' 00"</v>
      </c>
      <c r="L76" s="2" t="str">
        <f>IFERROR(__xludf.DUMMYFUNCTION("""COMPUTED_VALUE"""),"81o 56' 42""")</f>
        <v>81o 56' 42"</v>
      </c>
      <c r="M76" s="2" t="str">
        <f>IFERROR(__xludf.DUMMYFUNCTION("""COMPUTED_VALUE"""),"Jubika (Kalikot)")</f>
        <v>Jubika (Kalikot)</v>
      </c>
    </row>
    <row r="77">
      <c r="A77" s="2">
        <f>IFERROR(__xludf.DUMMYFUNCTION("""COMPUTED_VALUE"""),76.0)</f>
        <v>76</v>
      </c>
      <c r="B77" s="2" t="str">
        <f>IFERROR(__xludf.DUMMYFUNCTION("""COMPUTED_VALUE"""),"Inaruwa Battery Storage Project")</f>
        <v>Inaruwa Battery Storage Project</v>
      </c>
      <c r="C77" s="2">
        <f>IFERROR(__xludf.DUMMYFUNCTION("""COMPUTED_VALUE"""),40.0)</f>
        <v>40</v>
      </c>
      <c r="D77" s="2" t="str">
        <f>IFERROR(__xludf.DUMMYFUNCTION("""COMPUTED_VALUE"""),"None")</f>
        <v>None</v>
      </c>
      <c r="E77" s="2">
        <f>IFERROR(__xludf.DUMMYFUNCTION("""COMPUTED_VALUE"""),4885.0)</f>
        <v>4885</v>
      </c>
      <c r="F77" s="3">
        <f>IFERROR(__xludf.DUMMYFUNCTION("""COMPUTED_VALUE"""),66741.0)</f>
        <v>66741</v>
      </c>
      <c r="G77" s="2" t="str">
        <f>IFERROR(__xludf.DUMMYFUNCTION("""COMPUTED_VALUE"""),"Gosaikunda Urja Company Private Limited")</f>
        <v>Gosaikunda Urja Company Private Limited</v>
      </c>
      <c r="H77" s="2" t="str">
        <f>IFERROR(__xludf.DUMMYFUNCTION("""COMPUTED_VALUE"""),"KMC-29, KATHMANDU")</f>
        <v>KMC-29, KATHMANDU</v>
      </c>
      <c r="I77" s="2" t="str">
        <f>IFERROR(__xludf.DUMMYFUNCTION("""COMPUTED_VALUE"""),"26o 36' 50""")</f>
        <v>26o 36' 50"</v>
      </c>
      <c r="J77" s="2" t="str">
        <f>IFERROR(__xludf.DUMMYFUNCTION("""COMPUTED_VALUE"""),"26o 37' 05""")</f>
        <v>26o 37' 05"</v>
      </c>
      <c r="K77" s="2" t="str">
        <f>IFERROR(__xludf.DUMMYFUNCTION("""COMPUTED_VALUE"""),"87o 07' 00""")</f>
        <v>87o 07' 00"</v>
      </c>
      <c r="L77" s="2" t="str">
        <f>IFERROR(__xludf.DUMMYFUNCTION("""COMPUTED_VALUE"""),"87o 07' 30""")</f>
        <v>87o 07' 30"</v>
      </c>
      <c r="M77" s="2" t="str">
        <f>IFERROR(__xludf.DUMMYFUNCTION("""COMPUTED_VALUE"""),"Bhokraha,Inaruwa N.P. (Sunsari)")</f>
        <v>Bhokraha,Inaruwa N.P. (Sunsari)</v>
      </c>
    </row>
    <row r="78">
      <c r="A78" s="2">
        <f>IFERROR(__xludf.DUMMYFUNCTION("""COMPUTED_VALUE"""),77.0)</f>
        <v>77</v>
      </c>
      <c r="B78" s="2" t="str">
        <f>IFERROR(__xludf.DUMMYFUNCTION("""COMPUTED_VALUE"""),"Super Sanjen Hydropower Project")</f>
        <v>Super Sanjen Hydropower Project</v>
      </c>
      <c r="C78" s="2">
        <f>IFERROR(__xludf.DUMMYFUNCTION("""COMPUTED_VALUE"""),9.5)</f>
        <v>9.5</v>
      </c>
      <c r="D78" s="2" t="str">
        <f>IFERROR(__xludf.DUMMYFUNCTION("""COMPUTED_VALUE"""),"Sanjen")</f>
        <v>Sanjen</v>
      </c>
      <c r="E78" s="2">
        <f>IFERROR(__xludf.DUMMYFUNCTION("""COMPUTED_VALUE"""),4902.0)</f>
        <v>4902</v>
      </c>
      <c r="F78" s="3">
        <f>IFERROR(__xludf.DUMMYFUNCTION("""COMPUTED_VALUE"""),66741.0)</f>
        <v>66741</v>
      </c>
      <c r="G78" s="2" t="str">
        <f>IFERROR(__xludf.DUMMYFUNCTION("""COMPUTED_VALUE"""),"Hawking Power Private Limited")</f>
        <v>Hawking Power Private Limited</v>
      </c>
      <c r="H78" s="2" t="str">
        <f>IFERROR(__xludf.DUMMYFUNCTION("""COMPUTED_VALUE"""),"KMC-10, Kathmandu")</f>
        <v>KMC-10, Kathmandu</v>
      </c>
      <c r="I78" s="2" t="str">
        <f>IFERROR(__xludf.DUMMYFUNCTION("""COMPUTED_VALUE"""),"28o 17' 11""")</f>
        <v>28o 17' 11"</v>
      </c>
      <c r="J78" s="2" t="str">
        <f>IFERROR(__xludf.DUMMYFUNCTION("""COMPUTED_VALUE"""),"28o 17' 37""")</f>
        <v>28o 17' 37"</v>
      </c>
      <c r="K78" s="2" t="str">
        <f>IFERROR(__xludf.DUMMYFUNCTION("""COMPUTED_VALUE"""),"85o 15' 00""")</f>
        <v>85o 15' 00"</v>
      </c>
      <c r="L78" s="2" t="str">
        <f>IFERROR(__xludf.DUMMYFUNCTION("""COMPUTED_VALUE"""),"85o 15' 36""")</f>
        <v>85o 15' 36"</v>
      </c>
      <c r="M78" s="2" t="str">
        <f>IFERROR(__xludf.DUMMYFUNCTION("""COMPUTED_VALUE"""),"Chilime (Rasuwa)")</f>
        <v>Chilime (Rasuwa)</v>
      </c>
    </row>
    <row r="79">
      <c r="A79" s="2">
        <f>IFERROR(__xludf.DUMMYFUNCTION("""COMPUTED_VALUE"""),78.0)</f>
        <v>78</v>
      </c>
      <c r="B79" s="2" t="str">
        <f>IFERROR(__xludf.DUMMYFUNCTION("""COMPUTED_VALUE"""),"Upper Marbu Mini Hydropower Project")</f>
        <v>Upper Marbu Mini Hydropower Project</v>
      </c>
      <c r="C79" s="2">
        <f>IFERROR(__xludf.DUMMYFUNCTION("""COMPUTED_VALUE"""),1.48)</f>
        <v>1.48</v>
      </c>
      <c r="D79" s="2" t="str">
        <f>IFERROR(__xludf.DUMMYFUNCTION("""COMPUTED_VALUE"""),"Marbu Khola")</f>
        <v>Marbu Khola</v>
      </c>
      <c r="E79" s="2">
        <f>IFERROR(__xludf.DUMMYFUNCTION("""COMPUTED_VALUE"""),4935.0)</f>
        <v>4935</v>
      </c>
      <c r="F79" s="3">
        <f>IFERROR(__xludf.DUMMYFUNCTION("""COMPUTED_VALUE"""),66742.0)</f>
        <v>66742</v>
      </c>
      <c r="G79" s="2" t="str">
        <f>IFERROR(__xludf.DUMMYFUNCTION("""COMPUTED_VALUE"""),"Prem Dhoj Basnet")</f>
        <v>Prem Dhoj Basnet</v>
      </c>
      <c r="H79" s="2" t="str">
        <f>IFERROR(__xludf.DUMMYFUNCTION("""COMPUTED_VALUE"""),"Likhu Pike - 3, Solukhumbu, Koshi Province, Nepal")</f>
        <v>Likhu Pike - 3, Solukhumbu, Koshi Province, Nepal</v>
      </c>
      <c r="I79" s="2" t="str">
        <f>IFERROR(__xludf.DUMMYFUNCTION("""COMPUTED_VALUE"""),"27o 35' 16""")</f>
        <v>27o 35' 16"</v>
      </c>
      <c r="J79" s="2" t="str">
        <f>IFERROR(__xludf.DUMMYFUNCTION("""COMPUTED_VALUE"""),"27o 36' 00""")</f>
        <v>27o 36' 00"</v>
      </c>
      <c r="K79" s="2" t="str">
        <f>IFERROR(__xludf.DUMMYFUNCTION("""COMPUTED_VALUE"""),"86o 27' 39""")</f>
        <v>86o 27' 39"</v>
      </c>
      <c r="L79" s="2" t="str">
        <f>IFERROR(__xludf.DUMMYFUNCTION("""COMPUTED_VALUE"""),"86o 29' 10""")</f>
        <v>86o 29' 10"</v>
      </c>
      <c r="M79" s="2" t="str">
        <f>IFERROR(__xludf.DUMMYFUNCTION("""COMPUTED_VALUE"""),"Bhakanje,Gora Khami (Solukhumbu)")</f>
        <v>Bhakanje,Gora Khami (Solukhumbu)</v>
      </c>
    </row>
    <row r="80">
      <c r="A80" s="2">
        <f>IFERROR(__xludf.DUMMYFUNCTION("""COMPUTED_VALUE"""),79.0)</f>
        <v>79</v>
      </c>
      <c r="B80" s="2" t="str">
        <f>IFERROR(__xludf.DUMMYFUNCTION("""COMPUTED_VALUE"""),"Super Apsuwa Khola A Hydroelectric Project")</f>
        <v>Super Apsuwa Khola A Hydroelectric Project</v>
      </c>
      <c r="C80" s="2">
        <f>IFERROR(__xludf.DUMMYFUNCTION("""COMPUTED_VALUE"""),24.4)</f>
        <v>24.4</v>
      </c>
      <c r="D80" s="2" t="str">
        <f>IFERROR(__xludf.DUMMYFUNCTION("""COMPUTED_VALUE"""),"Apsuwa")</f>
        <v>Apsuwa</v>
      </c>
      <c r="E80" s="2">
        <f>IFERROR(__xludf.DUMMYFUNCTION("""COMPUTED_VALUE"""),4949.0)</f>
        <v>4949</v>
      </c>
      <c r="F80" s="3">
        <f>IFERROR(__xludf.DUMMYFUNCTION("""COMPUTED_VALUE"""),66742.0)</f>
        <v>66742</v>
      </c>
      <c r="G80" s="2" t="str">
        <f>IFERROR(__xludf.DUMMYFUNCTION("""COMPUTED_VALUE"""),"Pioneer Wealth Partners Private Limited")</f>
        <v>Pioneer Wealth Partners Private Limited</v>
      </c>
      <c r="H80" s="2" t="str">
        <f>IFERROR(__xludf.DUMMYFUNCTION("""COMPUTED_VALUE"""),"KMC-11, Babarmahal, Kathmandu")</f>
        <v>KMC-11, Babarmahal, Kathmandu</v>
      </c>
      <c r="I80" s="2" t="str">
        <f>IFERROR(__xludf.DUMMYFUNCTION("""COMPUTED_VALUE"""),"27o 37' 02""")</f>
        <v>27o 37' 02"</v>
      </c>
      <c r="J80" s="2" t="str">
        <f>IFERROR(__xludf.DUMMYFUNCTION("""COMPUTED_VALUE"""),"27o 38' 27""")</f>
        <v>27o 38' 27"</v>
      </c>
      <c r="K80" s="2" t="str">
        <f>IFERROR(__xludf.DUMMYFUNCTION("""COMPUTED_VALUE"""),"87o 05' 29""")</f>
        <v>87o 05' 29"</v>
      </c>
      <c r="L80" s="2" t="str">
        <f>IFERROR(__xludf.DUMMYFUNCTION("""COMPUTED_VALUE"""),"87o 07' 55""")</f>
        <v>87o 07' 55"</v>
      </c>
      <c r="M80" s="2" t="str">
        <f>IFERROR(__xludf.DUMMYFUNCTION("""COMPUTED_VALUE"""),"Yafu,Makalu (Sankhuwasabha)")</f>
        <v>Yafu,Makalu (Sankhuwasabha)</v>
      </c>
    </row>
    <row r="81">
      <c r="A81" s="2">
        <f>IFERROR(__xludf.DUMMYFUNCTION("""COMPUTED_VALUE"""),80.0)</f>
        <v>80</v>
      </c>
      <c r="B81" s="2" t="str">
        <f>IFERROR(__xludf.DUMMYFUNCTION("""COMPUTED_VALUE"""),"Upper tila-A hydropower Project")</f>
        <v>Upper tila-A hydropower Project</v>
      </c>
      <c r="C81" s="2">
        <f>IFERROR(__xludf.DUMMYFUNCTION("""COMPUTED_VALUE"""),4.92)</f>
        <v>4.92</v>
      </c>
      <c r="D81" s="2" t="str">
        <f>IFERROR(__xludf.DUMMYFUNCTION("""COMPUTED_VALUE"""),"Tila")</f>
        <v>Tila</v>
      </c>
      <c r="E81" s="2">
        <f>IFERROR(__xludf.DUMMYFUNCTION("""COMPUTED_VALUE"""),5049.0)</f>
        <v>5049</v>
      </c>
      <c r="F81" s="3">
        <f>IFERROR(__xludf.DUMMYFUNCTION("""COMPUTED_VALUE"""),66747.0)</f>
        <v>66747</v>
      </c>
      <c r="G81" s="2" t="str">
        <f>IFERROR(__xludf.DUMMYFUNCTION("""COMPUTED_VALUE"""),"Monal Energy Development Pvt. Ltd")</f>
        <v>Monal Energy Development Pvt. Ltd</v>
      </c>
      <c r="H81" s="2" t="str">
        <f>IFERROR(__xludf.DUMMYFUNCTION("""COMPUTED_VALUE"""),"Kathmandu-10")</f>
        <v>Kathmandu-10</v>
      </c>
      <c r="I81" s="2" t="str">
        <f>IFERROR(__xludf.DUMMYFUNCTION("""COMPUTED_VALUE"""),"29o 11' 43""")</f>
        <v>29o 11' 43"</v>
      </c>
      <c r="J81" s="2" t="str">
        <f>IFERROR(__xludf.DUMMYFUNCTION("""COMPUTED_VALUE"""),"29o 12' 50""")</f>
        <v>29o 12' 50"</v>
      </c>
      <c r="K81" s="2" t="str">
        <f>IFERROR(__xludf.DUMMYFUNCTION("""COMPUTED_VALUE"""),"82o 21' 44""")</f>
        <v>82o 21' 44"</v>
      </c>
      <c r="L81" s="2" t="str">
        <f>IFERROR(__xludf.DUMMYFUNCTION("""COMPUTED_VALUE"""),"82o 25' 30""")</f>
        <v>82o 25' 30"</v>
      </c>
      <c r="M81" s="2" t="str">
        <f>IFERROR(__xludf.DUMMYFUNCTION("""COMPUTED_VALUE"""),"Dillichaur (Jumla)")</f>
        <v>Dillichaur (Jumla)</v>
      </c>
    </row>
    <row r="82">
      <c r="A82" s="2">
        <f>IFERROR(__xludf.DUMMYFUNCTION("""COMPUTED_VALUE"""),81.0)</f>
        <v>81</v>
      </c>
      <c r="B82" s="2" t="str">
        <f>IFERROR(__xludf.DUMMYFUNCTION("""COMPUTED_VALUE"""),"Balephi A Cascade Hydropower Project")</f>
        <v>Balephi A Cascade Hydropower Project</v>
      </c>
      <c r="C82" s="2">
        <f>IFERROR(__xludf.DUMMYFUNCTION("""COMPUTED_VALUE"""),3.3)</f>
        <v>3.3</v>
      </c>
      <c r="D82" s="2" t="str">
        <f>IFERROR(__xludf.DUMMYFUNCTION("""COMPUTED_VALUE"""),"Balephi")</f>
        <v>Balephi</v>
      </c>
      <c r="E82" s="2">
        <f>IFERROR(__xludf.DUMMYFUNCTION("""COMPUTED_VALUE"""),5146.0)</f>
        <v>5146</v>
      </c>
      <c r="F82" s="3">
        <f>IFERROR(__xludf.DUMMYFUNCTION("""COMPUTED_VALUE"""),66749.0)</f>
        <v>66749</v>
      </c>
      <c r="G82" s="2" t="str">
        <f>IFERROR(__xludf.DUMMYFUNCTION("""COMPUTED_VALUE"""),"Sindhu Jugal Energy Private Limited")</f>
        <v>Sindhu Jugal Energy Private Limited</v>
      </c>
      <c r="H82" s="2" t="str">
        <f>IFERROR(__xludf.DUMMYFUNCTION("""COMPUTED_VALUE"""),"Kathmandu, Nepal")</f>
        <v>Kathmandu, Nepal</v>
      </c>
      <c r="I82" s="2" t="str">
        <f>IFERROR(__xludf.DUMMYFUNCTION("""COMPUTED_VALUE"""),"27o 53' 42""")</f>
        <v>27o 53' 42"</v>
      </c>
      <c r="J82" s="2" t="str">
        <f>IFERROR(__xludf.DUMMYFUNCTION("""COMPUTED_VALUE"""),"27o 54' 07""")</f>
        <v>27o 54' 07"</v>
      </c>
      <c r="K82" s="2" t="str">
        <f>IFERROR(__xludf.DUMMYFUNCTION("""COMPUTED_VALUE"""),"85o 45' 22""")</f>
        <v>85o 45' 22"</v>
      </c>
      <c r="L82" s="2" t="str">
        <f>IFERROR(__xludf.DUMMYFUNCTION("""COMPUTED_VALUE"""),"85o 45' 55""")</f>
        <v>85o 45' 55"</v>
      </c>
      <c r="M82" s="2" t="str">
        <f>IFERROR(__xludf.DUMMYFUNCTION("""COMPUTED_VALUE"""),"Golche,Pangtang (Sindhupalchok)")</f>
        <v>Golche,Pangtang (Sindhupalchok)</v>
      </c>
    </row>
    <row r="83">
      <c r="A83" s="2">
        <f>IFERROR(__xludf.DUMMYFUNCTION("""COMPUTED_VALUE"""),82.0)</f>
        <v>82</v>
      </c>
      <c r="B83" s="2" t="str">
        <f>IFERROR(__xludf.DUMMYFUNCTION("""COMPUTED_VALUE"""),"Chyadu Khola A Hydro Power Project")</f>
        <v>Chyadu Khola A Hydro Power Project</v>
      </c>
      <c r="C83" s="2">
        <f>IFERROR(__xludf.DUMMYFUNCTION("""COMPUTED_VALUE"""),9.92)</f>
        <v>9.92</v>
      </c>
      <c r="D83" s="2" t="str">
        <f>IFERROR(__xludf.DUMMYFUNCTION("""COMPUTED_VALUE"""),"Chyadu Khola")</f>
        <v>Chyadu Khola</v>
      </c>
      <c r="E83" s="2">
        <f>IFERROR(__xludf.DUMMYFUNCTION("""COMPUTED_VALUE"""),5340.0)</f>
        <v>5340</v>
      </c>
      <c r="F83" s="3">
        <f>IFERROR(__xludf.DUMMYFUNCTION("""COMPUTED_VALUE"""),66755.0)</f>
        <v>66755</v>
      </c>
      <c r="G83" s="2" t="str">
        <f>IFERROR(__xludf.DUMMYFUNCTION("""COMPUTED_VALUE"""),"M.B.K. Hydro Energy Private Limited")</f>
        <v>M.B.K. Hydro Energy Private Limited</v>
      </c>
      <c r="H83" s="2" t="str">
        <f>IFERROR(__xludf.DUMMYFUNCTION("""COMPUTED_VALUE"""),"KMC-30, Gyaneshwor, Kathmandu")</f>
        <v>KMC-30, Gyaneshwor, Kathmandu</v>
      </c>
      <c r="I83" s="2" t="str">
        <f>IFERROR(__xludf.DUMMYFUNCTION("""COMPUTED_VALUE"""),"27o 56' 40""")</f>
        <v>27o 56' 40"</v>
      </c>
      <c r="J83" s="2" t="str">
        <f>IFERROR(__xludf.DUMMYFUNCTION("""COMPUTED_VALUE"""),"27o 57' 30""")</f>
        <v>27o 57' 30"</v>
      </c>
      <c r="K83" s="2" t="str">
        <f>IFERROR(__xludf.DUMMYFUNCTION("""COMPUTED_VALUE"""),"86o 11' 10""")</f>
        <v>86o 11' 10"</v>
      </c>
      <c r="L83" s="2" t="str">
        <f>IFERROR(__xludf.DUMMYFUNCTION("""COMPUTED_VALUE"""),"86o 12' 00""")</f>
        <v>86o 12' 00"</v>
      </c>
      <c r="M83" s="2" t="str">
        <f>IFERROR(__xludf.DUMMYFUNCTION("""COMPUTED_VALUE"""),"Lamabagar (Dolakha)")</f>
        <v>Lamabagar (Dolakha)</v>
      </c>
    </row>
    <row r="84">
      <c r="A84" s="2">
        <f>IFERROR(__xludf.DUMMYFUNCTION("""COMPUTED_VALUE"""),83.0)</f>
        <v>83</v>
      </c>
      <c r="B84" s="2" t="str">
        <f>IFERROR(__xludf.DUMMYFUNCTION("""COMPUTED_VALUE"""),"Sankhuwa - Sanlaha Khola Hydroelectric Project")</f>
        <v>Sankhuwa - Sanlaha Khola Hydroelectric Project</v>
      </c>
      <c r="C84" s="2">
        <f>IFERROR(__xludf.DUMMYFUNCTION("""COMPUTED_VALUE"""),8.98)</f>
        <v>8.98</v>
      </c>
      <c r="D84" s="2" t="str">
        <f>IFERROR(__xludf.DUMMYFUNCTION("""COMPUTED_VALUE"""),"Sankhuwa Khola and sanlaha kho")</f>
        <v>Sankhuwa Khola and sanlaha kho</v>
      </c>
      <c r="E84" s="2">
        <f>IFERROR(__xludf.DUMMYFUNCTION("""COMPUTED_VALUE"""),5359.0)</f>
        <v>5359</v>
      </c>
      <c r="F84" s="3">
        <f>IFERROR(__xludf.DUMMYFUNCTION("""COMPUTED_VALUE"""),66756.0)</f>
        <v>66756</v>
      </c>
      <c r="G84" s="2" t="str">
        <f>IFERROR(__xludf.DUMMYFUNCTION("""COMPUTED_VALUE"""),"S.I. Energy Private Limited")</f>
        <v>S.I. Energy Private Limited</v>
      </c>
      <c r="H84" s="2" t="str">
        <f>IFERROR(__xludf.DUMMYFUNCTION("""COMPUTED_VALUE"""),"Butwal-8, Sukhhanagar, Rupandehi")</f>
        <v>Butwal-8, Sukhhanagar, Rupandehi</v>
      </c>
      <c r="I84" s="2" t="str">
        <f>IFERROR(__xludf.DUMMYFUNCTION("""COMPUTED_VALUE"""),"27o 34' 17""")</f>
        <v>27o 34' 17"</v>
      </c>
      <c r="J84" s="2" t="str">
        <f>IFERROR(__xludf.DUMMYFUNCTION("""COMPUTED_VALUE"""),"27o 35' 33""")</f>
        <v>27o 35' 33"</v>
      </c>
      <c r="K84" s="2" t="str">
        <f>IFERROR(__xludf.DUMMYFUNCTION("""COMPUTED_VALUE"""),"87o 00' 00""")</f>
        <v>87o 00' 00"</v>
      </c>
      <c r="L84" s="2" t="str">
        <f>IFERROR(__xludf.DUMMYFUNCTION("""COMPUTED_VALUE"""),"87o 02' 05""")</f>
        <v>87o 02' 05"</v>
      </c>
      <c r="M84" s="2" t="str">
        <f>IFERROR(__xludf.DUMMYFUNCTION("""COMPUTED_VALUE"""),"Bala,Tamku (Sankhuwasabha)")</f>
        <v>Bala,Tamku (Sankhuwasabha)</v>
      </c>
    </row>
    <row r="85">
      <c r="A85" s="2">
        <f>IFERROR(__xludf.DUMMYFUNCTION("""COMPUTED_VALUE"""),84.0)</f>
        <v>84</v>
      </c>
      <c r="B85" s="2" t="str">
        <f>IFERROR(__xludf.DUMMYFUNCTION("""COMPUTED_VALUE"""),"Upper Limi Hydropower Project")</f>
        <v>Upper Limi Hydropower Project</v>
      </c>
      <c r="C85" s="2">
        <f>IFERROR(__xludf.DUMMYFUNCTION("""COMPUTED_VALUE"""),69.76)</f>
        <v>69.76</v>
      </c>
      <c r="D85" s="2" t="str">
        <f>IFERROR(__xludf.DUMMYFUNCTION("""COMPUTED_VALUE"""),"Limi Khola")</f>
        <v>Limi Khola</v>
      </c>
      <c r="E85" s="2">
        <f>IFERROR(__xludf.DUMMYFUNCTION("""COMPUTED_VALUE"""),5401.0)</f>
        <v>5401</v>
      </c>
      <c r="F85" s="3">
        <f>IFERROR(__xludf.DUMMYFUNCTION("""COMPUTED_VALUE"""),66756.0)</f>
        <v>66756</v>
      </c>
      <c r="G85" s="2" t="str">
        <f>IFERROR(__xludf.DUMMYFUNCTION("""COMPUTED_VALUE"""),"Aarambha Urja Private Limited")</f>
        <v>Aarambha Urja Private Limited</v>
      </c>
      <c r="H85" s="2" t="str">
        <f>IFERROR(__xludf.DUMMYFUNCTION("""COMPUTED_VALUE"""),"Kathmandu-29")</f>
        <v>Kathmandu-29</v>
      </c>
      <c r="I85" s="2" t="str">
        <f>IFERROR(__xludf.DUMMYFUNCTION("""COMPUTED_VALUE"""),"30o 13' 00""")</f>
        <v>30o 13' 00"</v>
      </c>
      <c r="J85" s="2" t="str">
        <f>IFERROR(__xludf.DUMMYFUNCTION("""COMPUTED_VALUE"""),"30o 17' 00""")</f>
        <v>30o 17' 00"</v>
      </c>
      <c r="K85" s="2" t="str">
        <f>IFERROR(__xludf.DUMMYFUNCTION("""COMPUTED_VALUE"""),"81o 32' 46""")</f>
        <v>81o 32' 46"</v>
      </c>
      <c r="L85" s="2" t="str">
        <f>IFERROR(__xludf.DUMMYFUNCTION("""COMPUTED_VALUE"""),"81o 41' 00""")</f>
        <v>81o 41' 00"</v>
      </c>
      <c r="M85" s="2"/>
    </row>
    <row r="86">
      <c r="A86" s="2">
        <f>IFERROR(__xludf.DUMMYFUNCTION("""COMPUTED_VALUE"""),85.0)</f>
        <v>85</v>
      </c>
      <c r="B86" s="2" t="str">
        <f>IFERROR(__xludf.DUMMYFUNCTION("""COMPUTED_VALUE"""),"Jaldevi Bagmati Hydropower Project")</f>
        <v>Jaldevi Bagmati Hydropower Project</v>
      </c>
      <c r="C86" s="2">
        <f>IFERROR(__xludf.DUMMYFUNCTION("""COMPUTED_VALUE"""),6.5)</f>
        <v>6.5</v>
      </c>
      <c r="D86" s="2" t="str">
        <f>IFERROR(__xludf.DUMMYFUNCTION("""COMPUTED_VALUE"""),"Bagmati")</f>
        <v>Bagmati</v>
      </c>
      <c r="E86" s="2">
        <f>IFERROR(__xludf.DUMMYFUNCTION("""COMPUTED_VALUE"""),5434.0)</f>
        <v>5434</v>
      </c>
      <c r="F86" s="3">
        <f>IFERROR(__xludf.DUMMYFUNCTION("""COMPUTED_VALUE"""),66757.0)</f>
        <v>66757</v>
      </c>
      <c r="G86" s="2" t="str">
        <f>IFERROR(__xludf.DUMMYFUNCTION("""COMPUTED_VALUE"""),"Water N Power Private Limited")</f>
        <v>Water N Power Private Limited</v>
      </c>
      <c r="H86" s="2" t="str">
        <f>IFERROR(__xludf.DUMMYFUNCTION("""COMPUTED_VALUE"""),"KMC-16, Banasthali, Kathmandu")</f>
        <v>KMC-16, Banasthali, Kathmandu</v>
      </c>
      <c r="I86" s="2" t="str">
        <f>IFERROR(__xludf.DUMMYFUNCTION("""COMPUTED_VALUE"""),"27o 32' 00""")</f>
        <v>27o 32' 00"</v>
      </c>
      <c r="J86" s="2" t="str">
        <f>IFERROR(__xludf.DUMMYFUNCTION("""COMPUTED_VALUE"""),"27o 33' 00""")</f>
        <v>27o 33' 00"</v>
      </c>
      <c r="K86" s="2" t="str">
        <f>IFERROR(__xludf.DUMMYFUNCTION("""COMPUTED_VALUE"""),"85o 13' 50""")</f>
        <v>85o 13' 50"</v>
      </c>
      <c r="L86" s="2" t="str">
        <f>IFERROR(__xludf.DUMMYFUNCTION("""COMPUTED_VALUE"""),"85o 14' 59""")</f>
        <v>85o 14' 59"</v>
      </c>
      <c r="M86" s="2" t="str">
        <f>IFERROR(__xludf.DUMMYFUNCTION("""COMPUTED_VALUE"""),"Dhusel (Lalitpur) Ipa Panchakanya,Kogate,Sisneri Mahadevsthan (Makawanpur)")</f>
        <v>Dhusel (Lalitpur) Ipa Panchakanya,Kogate,Sisneri Mahadevsthan (Makawanpur)</v>
      </c>
    </row>
    <row r="87">
      <c r="A87" s="2">
        <f>IFERROR(__xludf.DUMMYFUNCTION("""COMPUTED_VALUE"""),86.0)</f>
        <v>86</v>
      </c>
      <c r="B87" s="2" t="str">
        <f>IFERROR(__xludf.DUMMYFUNCTION("""COMPUTED_VALUE"""),"Lower Balephi Cascade Hydroelectric Project")</f>
        <v>Lower Balephi Cascade Hydroelectric Project</v>
      </c>
      <c r="C87" s="2">
        <f>IFERROR(__xludf.DUMMYFUNCTION("""COMPUTED_VALUE"""),9.7)</f>
        <v>9.7</v>
      </c>
      <c r="D87" s="2" t="str">
        <f>IFERROR(__xludf.DUMMYFUNCTION("""COMPUTED_VALUE"""),"Balephi")</f>
        <v>Balephi</v>
      </c>
      <c r="E87" s="2">
        <f>IFERROR(__xludf.DUMMYFUNCTION("""COMPUTED_VALUE"""),5483.0)</f>
        <v>5483</v>
      </c>
      <c r="F87" s="3">
        <f>IFERROR(__xludf.DUMMYFUNCTION("""COMPUTED_VALUE"""),66758.0)</f>
        <v>66758</v>
      </c>
      <c r="G87" s="2" t="str">
        <f>IFERROR(__xludf.DUMMYFUNCTION("""COMPUTED_VALUE"""),"Ridi Power Company Limited")</f>
        <v>Ridi Power Company Limited</v>
      </c>
      <c r="H87" s="2" t="str">
        <f>IFERROR(__xludf.DUMMYFUNCTION("""COMPUTED_VALUE"""),"5th Floor, Trade Tower, Thapathali, Ktm, 01-5111015,5111016, 
ridipower@gmail.com")</f>
        <v>5th Floor, Trade Tower, Thapathali, Ktm, 01-5111015,5111016, 
ridipower@gmail.com</v>
      </c>
      <c r="I87" s="2" t="str">
        <f>IFERROR(__xludf.DUMMYFUNCTION("""COMPUTED_VALUE"""),"27o 44' 08""")</f>
        <v>27o 44' 08"</v>
      </c>
      <c r="J87" s="2" t="str">
        <f>IFERROR(__xludf.DUMMYFUNCTION("""COMPUTED_VALUE"""),"27o 45' 34""")</f>
        <v>27o 45' 34"</v>
      </c>
      <c r="K87" s="2" t="str">
        <f>IFERROR(__xludf.DUMMYFUNCTION("""COMPUTED_VALUE"""),"85o 45' 45""")</f>
        <v>85o 45' 45"</v>
      </c>
      <c r="L87" s="2" t="str">
        <f>IFERROR(__xludf.DUMMYFUNCTION("""COMPUTED_VALUE"""),"85o 47' 35""")</f>
        <v>85o 47' 35"</v>
      </c>
      <c r="M87" s="2" t="str">
        <f>IFERROR(__xludf.DUMMYFUNCTION("""COMPUTED_VALUE"""),"Ikhu,Kadambas,Pipaldanda,Kubhinde (Sindhupalchok)")</f>
        <v>Ikhu,Kadambas,Pipaldanda,Kubhinde (Sindhupalchok)</v>
      </c>
    </row>
    <row r="88">
      <c r="A88" s="2">
        <f>IFERROR(__xludf.DUMMYFUNCTION("""COMPUTED_VALUE"""),87.0)</f>
        <v>87</v>
      </c>
      <c r="B88" s="2" t="str">
        <f>IFERROR(__xludf.DUMMYFUNCTION("""COMPUTED_VALUE"""),"Buwa Khola Hydroelectric Project")</f>
        <v>Buwa Khola Hydroelectric Project</v>
      </c>
      <c r="C88" s="2">
        <f>IFERROR(__xludf.DUMMYFUNCTION("""COMPUTED_VALUE"""),4.8)</f>
        <v>4.8</v>
      </c>
      <c r="D88" s="2" t="str">
        <f>IFERROR(__xludf.DUMMYFUNCTION("""COMPUTED_VALUE"""),"Buwa Khola")</f>
        <v>Buwa Khola</v>
      </c>
      <c r="E88" s="2">
        <f>IFERROR(__xludf.DUMMYFUNCTION("""COMPUTED_VALUE"""),5514.0)</f>
        <v>5514</v>
      </c>
      <c r="F88" s="3">
        <f>IFERROR(__xludf.DUMMYFUNCTION("""COMPUTED_VALUE"""),66760.0)</f>
        <v>66760</v>
      </c>
      <c r="G88" s="2" t="str">
        <f>IFERROR(__xludf.DUMMYFUNCTION("""COMPUTED_VALUE"""),"Sunova Urja Private Limited")</f>
        <v>Sunova Urja Private Limited</v>
      </c>
      <c r="H88" s="2" t="str">
        <f>IFERROR(__xludf.DUMMYFUNCTION("""COMPUTED_VALUE"""),"Tokha Municipality - 10, Gongabu, Kathmandu")</f>
        <v>Tokha Municipality - 10, Gongabu, Kathmandu</v>
      </c>
      <c r="I88" s="2" t="str">
        <f>IFERROR(__xludf.DUMMYFUNCTION("""COMPUTED_VALUE"""),"26o 54' 49""")</f>
        <v>26o 54' 49"</v>
      </c>
      <c r="J88" s="2" t="str">
        <f>IFERROR(__xludf.DUMMYFUNCTION("""COMPUTED_VALUE"""),"26o 56' 48""")</f>
        <v>26o 56' 48"</v>
      </c>
      <c r="K88" s="2" t="str">
        <f>IFERROR(__xludf.DUMMYFUNCTION("""COMPUTED_VALUE"""),"86o 53' 48""")</f>
        <v>86o 53' 48"</v>
      </c>
      <c r="L88" s="2" t="str">
        <f>IFERROR(__xludf.DUMMYFUNCTION("""COMPUTED_VALUE"""),"86o 55' 05""")</f>
        <v>86o 55' 05"</v>
      </c>
      <c r="M88" s="2" t="str">
        <f>IFERROR(__xludf.DUMMYFUNCTION("""COMPUTED_VALUE"""),"Devisthan,Pauwasera,Wopung (Khotang)")</f>
        <v>Devisthan,Pauwasera,Wopung (Khotang)</v>
      </c>
    </row>
    <row r="89">
      <c r="A89" s="2">
        <f>IFERROR(__xludf.DUMMYFUNCTION("""COMPUTED_VALUE"""),88.0)</f>
        <v>88</v>
      </c>
      <c r="B89" s="2" t="str">
        <f>IFERROR(__xludf.DUMMYFUNCTION("""COMPUTED_VALUE"""),"Super Gurgad Hydropower Project")</f>
        <v>Super Gurgad Hydropower Project</v>
      </c>
      <c r="C89" s="2">
        <f>IFERROR(__xludf.DUMMYFUNCTION("""COMPUTED_VALUE"""),9.75)</f>
        <v>9.75</v>
      </c>
      <c r="D89" s="2" t="str">
        <f>IFERROR(__xludf.DUMMYFUNCTION("""COMPUTED_VALUE"""),"Gur Gad Khola")</f>
        <v>Gur Gad Khola</v>
      </c>
      <c r="E89" s="2">
        <f>IFERROR(__xludf.DUMMYFUNCTION("""COMPUTED_VALUE"""),5631.0)</f>
        <v>5631</v>
      </c>
      <c r="F89" s="3">
        <f>IFERROR(__xludf.DUMMYFUNCTION("""COMPUTED_VALUE"""),66763.0)</f>
        <v>66763</v>
      </c>
      <c r="G89" s="2" t="str">
        <f>IFERROR(__xludf.DUMMYFUNCTION("""COMPUTED_VALUE"""),"Pioneer Wealth Partners Private Limited")</f>
        <v>Pioneer Wealth Partners Private Limited</v>
      </c>
      <c r="H89" s="2" t="str">
        <f>IFERROR(__xludf.DUMMYFUNCTION("""COMPUTED_VALUE"""),"KMC-11, Babarmahal, Kathmandu")</f>
        <v>KMC-11, Babarmahal, Kathmandu</v>
      </c>
      <c r="I89" s="2" t="str">
        <f>IFERROR(__xludf.DUMMYFUNCTION("""COMPUTED_VALUE"""),"28o 41' 48""")</f>
        <v>28o 41' 48"</v>
      </c>
      <c r="J89" s="2" t="str">
        <f>IFERROR(__xludf.DUMMYFUNCTION("""COMPUTED_VALUE"""),"28o 42' 30""")</f>
        <v>28o 42' 30"</v>
      </c>
      <c r="K89" s="2" t="str">
        <f>IFERROR(__xludf.DUMMYFUNCTION("""COMPUTED_VALUE"""),"82o 58' 02""")</f>
        <v>82o 58' 02"</v>
      </c>
      <c r="L89" s="2" t="str">
        <f>IFERROR(__xludf.DUMMYFUNCTION("""COMPUTED_VALUE"""),"82o 59' 04""")</f>
        <v>82o 59' 04"</v>
      </c>
      <c r="M89" s="2" t="str">
        <f>IFERROR(__xludf.DUMMYFUNCTION("""COMPUTED_VALUE"""),"Ranmamekot (Rukum)")</f>
        <v>Ranmamekot (Rukum)</v>
      </c>
    </row>
    <row r="90">
      <c r="A90" s="2">
        <f>IFERROR(__xludf.DUMMYFUNCTION("""COMPUTED_VALUE"""),89.0)</f>
        <v>89</v>
      </c>
      <c r="B90" s="2" t="str">
        <f>IFERROR(__xludf.DUMMYFUNCTION("""COMPUTED_VALUE"""),"Chhimkeswori Trishuli Hydropower Project")</f>
        <v>Chhimkeswori Trishuli Hydropower Project</v>
      </c>
      <c r="C90" s="2">
        <f>IFERROR(__xludf.DUMMYFUNCTION("""COMPUTED_VALUE"""),44.0)</f>
        <v>44</v>
      </c>
      <c r="D90" s="2" t="str">
        <f>IFERROR(__xludf.DUMMYFUNCTION("""COMPUTED_VALUE"""),"Trishuli Nadi")</f>
        <v>Trishuli Nadi</v>
      </c>
      <c r="E90" s="2">
        <f>IFERROR(__xludf.DUMMYFUNCTION("""COMPUTED_VALUE"""),5633.0)</f>
        <v>5633</v>
      </c>
      <c r="F90" s="3">
        <f>IFERROR(__xludf.DUMMYFUNCTION("""COMPUTED_VALUE"""),66763.0)</f>
        <v>66763</v>
      </c>
      <c r="G90" s="2" t="str">
        <f>IFERROR(__xludf.DUMMYFUNCTION("""COMPUTED_VALUE"""),"A.B. Hydro Private Limited")</f>
        <v>A.B. Hydro Private Limited</v>
      </c>
      <c r="H90" s="2" t="str">
        <f>IFERROR(__xludf.DUMMYFUNCTION("""COMPUTED_VALUE"""),"Madhyapur Thimi - 2, Bhaktapur")</f>
        <v>Madhyapur Thimi - 2, Bhaktapur</v>
      </c>
      <c r="I90" s="2" t="str">
        <f>IFERROR(__xludf.DUMMYFUNCTION("""COMPUTED_VALUE"""),"27o 48' 53""")</f>
        <v>27o 48' 53"</v>
      </c>
      <c r="J90" s="2" t="str">
        <f>IFERROR(__xludf.DUMMYFUNCTION("""COMPUTED_VALUE"""),"27o 50' 02""")</f>
        <v>27o 50' 02"</v>
      </c>
      <c r="K90" s="2" t="str">
        <f>IFERROR(__xludf.DUMMYFUNCTION("""COMPUTED_VALUE"""),"84o 26' 52""")</f>
        <v>84o 26' 52"</v>
      </c>
      <c r="L90" s="2" t="str">
        <f>IFERROR(__xludf.DUMMYFUNCTION("""COMPUTED_VALUE"""),"84o 28' 57""")</f>
        <v>84o 28' 57"</v>
      </c>
      <c r="M90" s="2" t="str">
        <f>IFERROR(__xludf.DUMMYFUNCTION("""COMPUTED_VALUE"""),"Kabilas (Chitawan) Chhimkeswori,Deurali,Devghat (Tanahu)")</f>
        <v>Kabilas (Chitawan) Chhimkeswori,Deurali,Devghat (Tanahu)</v>
      </c>
    </row>
    <row r="91">
      <c r="A91" s="2">
        <f>IFERROR(__xludf.DUMMYFUNCTION("""COMPUTED_VALUE"""),90.0)</f>
        <v>90</v>
      </c>
      <c r="B91" s="2" t="str">
        <f>IFERROR(__xludf.DUMMYFUNCTION("""COMPUTED_VALUE"""),"Upper Taman Khola Hydropower Project")</f>
        <v>Upper Taman Khola Hydropower Project</v>
      </c>
      <c r="C91" s="2">
        <f>IFERROR(__xludf.DUMMYFUNCTION("""COMPUTED_VALUE"""),9.5)</f>
        <v>9.5</v>
      </c>
      <c r="D91" s="2" t="str">
        <f>IFERROR(__xludf.DUMMYFUNCTION("""COMPUTED_VALUE"""),"Taman")</f>
        <v>Taman</v>
      </c>
      <c r="E91" s="2">
        <f>IFERROR(__xludf.DUMMYFUNCTION("""COMPUTED_VALUE"""),5634.0)</f>
        <v>5634</v>
      </c>
      <c r="F91" s="3">
        <f>IFERROR(__xludf.DUMMYFUNCTION("""COMPUTED_VALUE"""),66763.0)</f>
        <v>66763</v>
      </c>
      <c r="G91" s="2" t="str">
        <f>IFERROR(__xludf.DUMMYFUNCTION("""COMPUTED_VALUE"""),"Arpan Jalvidhyut Private Limited")</f>
        <v>Arpan Jalvidhyut Private Limited</v>
      </c>
      <c r="H91" s="2" t="str">
        <f>IFERROR(__xludf.DUMMYFUNCTION("""COMPUTED_VALUE"""),"KMC-3, Kathmandu")</f>
        <v>KMC-3, Kathmandu</v>
      </c>
      <c r="I91" s="2" t="str">
        <f>IFERROR(__xludf.DUMMYFUNCTION("""COMPUTED_VALUE"""),"28o 21' 18""")</f>
        <v>28o 21' 18"</v>
      </c>
      <c r="J91" s="2" t="str">
        <f>IFERROR(__xludf.DUMMYFUNCTION("""COMPUTED_VALUE"""),"28o 24' 00""")</f>
        <v>28o 24' 00"</v>
      </c>
      <c r="K91" s="2" t="str">
        <f>IFERROR(__xludf.DUMMYFUNCTION("""COMPUTED_VALUE"""),"83o 10' 45""")</f>
        <v>83o 10' 45"</v>
      </c>
      <c r="L91" s="2" t="str">
        <f>IFERROR(__xludf.DUMMYFUNCTION("""COMPUTED_VALUE"""),"83o 12' 30""")</f>
        <v>83o 12' 30"</v>
      </c>
      <c r="M91" s="2" t="str">
        <f>IFERROR(__xludf.DUMMYFUNCTION("""COMPUTED_VALUE"""),"Bungadovan,Khunga,Burtiwang (Baglung)")</f>
        <v>Bungadovan,Khunga,Burtiwang (Baglung)</v>
      </c>
    </row>
    <row r="92">
      <c r="A92" s="2">
        <f>IFERROR(__xludf.DUMMYFUNCTION("""COMPUTED_VALUE"""),91.0)</f>
        <v>91</v>
      </c>
      <c r="B92" s="2" t="str">
        <f>IFERROR(__xludf.DUMMYFUNCTION("""COMPUTED_VALUE"""),"Jalpadevi Trishuli Hydropower Project")</f>
        <v>Jalpadevi Trishuli Hydropower Project</v>
      </c>
      <c r="C92" s="2">
        <f>IFERROR(__xludf.DUMMYFUNCTION("""COMPUTED_VALUE"""),51.0)</f>
        <v>51</v>
      </c>
      <c r="D92" s="2" t="str">
        <f>IFERROR(__xludf.DUMMYFUNCTION("""COMPUTED_VALUE"""),"Trishuli Nadi")</f>
        <v>Trishuli Nadi</v>
      </c>
      <c r="E92" s="2">
        <f>IFERROR(__xludf.DUMMYFUNCTION("""COMPUTED_VALUE"""),5744.0)</f>
        <v>5744</v>
      </c>
      <c r="F92" s="3">
        <f>IFERROR(__xludf.DUMMYFUNCTION("""COMPUTED_VALUE"""),66768.0)</f>
        <v>66768</v>
      </c>
      <c r="G92" s="2" t="str">
        <f>IFERROR(__xludf.DUMMYFUNCTION("""COMPUTED_VALUE"""),"Chauri Energy Private Limited")</f>
        <v>Chauri Energy Private Limited</v>
      </c>
      <c r="H92" s="2" t="str">
        <f>IFERROR(__xludf.DUMMYFUNCTION("""COMPUTED_VALUE"""),"KMC-3, Kathmandu")</f>
        <v>KMC-3, Kathmandu</v>
      </c>
      <c r="I92" s="2" t="str">
        <f>IFERROR(__xludf.DUMMYFUNCTION("""COMPUTED_VALUE"""),"27o 47' 52""")</f>
        <v>27o 47' 52"</v>
      </c>
      <c r="J92" s="2" t="str">
        <f>IFERROR(__xludf.DUMMYFUNCTION("""COMPUTED_VALUE"""),"27o 51' 28""")</f>
        <v>27o 51' 28"</v>
      </c>
      <c r="K92" s="2" t="str">
        <f>IFERROR(__xludf.DUMMYFUNCTION("""COMPUTED_VALUE"""),"84o 58' 00""")</f>
        <v>84o 58' 00"</v>
      </c>
      <c r="L92" s="2" t="str">
        <f>IFERROR(__xludf.DUMMYFUNCTION("""COMPUTED_VALUE"""),"85o 01' 48""")</f>
        <v>85o 01' 48"</v>
      </c>
      <c r="M92" s="2" t="str">
        <f>IFERROR(__xludf.DUMMYFUNCTION("""COMPUTED_VALUE"""),"Khalte,Goganpani,Baireni,Kalleri (Dhading) Taruka,Ratmate (Nuwakot)")</f>
        <v>Khalte,Goganpani,Baireni,Kalleri (Dhading) Taruka,Ratmate (Nuwakot)</v>
      </c>
    </row>
    <row r="93">
      <c r="A93" s="2">
        <f>IFERROR(__xludf.DUMMYFUNCTION("""COMPUTED_VALUE"""),92.0)</f>
        <v>92</v>
      </c>
      <c r="B93" s="2" t="str">
        <f>IFERROR(__xludf.DUMMYFUNCTION("""COMPUTED_VALUE"""),"Lower Chhujung Hydroelectric Project")</f>
        <v>Lower Chhujung Hydroelectric Project</v>
      </c>
      <c r="C93" s="2">
        <f>IFERROR(__xludf.DUMMYFUNCTION("""COMPUTED_VALUE"""),4.38)</f>
        <v>4.38</v>
      </c>
      <c r="D93" s="2" t="str">
        <f>IFERROR(__xludf.DUMMYFUNCTION("""COMPUTED_VALUE"""),"Chhujung")</f>
        <v>Chhujung</v>
      </c>
      <c r="E93" s="2">
        <f>IFERROR(__xludf.DUMMYFUNCTION("""COMPUTED_VALUE"""),5764.0)</f>
        <v>5764</v>
      </c>
      <c r="F93" s="3">
        <f>IFERROR(__xludf.DUMMYFUNCTION("""COMPUTED_VALUE"""),66768.0)</f>
        <v>66768</v>
      </c>
      <c r="G93" s="2" t="str">
        <f>IFERROR(__xludf.DUMMYFUNCTION("""COMPUTED_VALUE"""),"Adyanta Business Group Private Limited")</f>
        <v>Adyanta Business Group Private Limited</v>
      </c>
      <c r="H93" s="2" t="str">
        <f>IFERROR(__xludf.DUMMYFUNCTION("""COMPUTED_VALUE"""),"KMC-10, New Baneshwor, Kathmandu")</f>
        <v>KMC-10, New Baneshwor, Kathmandu</v>
      </c>
      <c r="I93" s="2" t="str">
        <f>IFERROR(__xludf.DUMMYFUNCTION("""COMPUTED_VALUE"""),"27o 45' 36""")</f>
        <v>27o 45' 36"</v>
      </c>
      <c r="J93" s="2" t="str">
        <f>IFERROR(__xludf.DUMMYFUNCTION("""COMPUTED_VALUE"""),"27o 45' 54""")</f>
        <v>27o 45' 54"</v>
      </c>
      <c r="K93" s="2" t="str">
        <f>IFERROR(__xludf.DUMMYFUNCTION("""COMPUTED_VALUE"""),"87o 26' 55""")</f>
        <v>87o 26' 55"</v>
      </c>
      <c r="L93" s="2" t="str">
        <f>IFERROR(__xludf.DUMMYFUNCTION("""COMPUTED_VALUE"""),"87o 27' 11""")</f>
        <v>87o 27' 11"</v>
      </c>
      <c r="M93" s="2" t="str">
        <f>IFERROR(__xludf.DUMMYFUNCTION("""COMPUTED_VALUE"""),"Chepuwa (Sankhuwasabha)")</f>
        <v>Chepuwa (Sankhuwasabha)</v>
      </c>
    </row>
    <row r="94">
      <c r="A94" s="2">
        <f>IFERROR(__xludf.DUMMYFUNCTION("""COMPUTED_VALUE"""),93.0)</f>
        <v>93</v>
      </c>
      <c r="B94" s="2" t="str">
        <f>IFERROR(__xludf.DUMMYFUNCTION("""COMPUTED_VALUE"""),"Phoksundo Khola Hydropower Project")</f>
        <v>Phoksundo Khola Hydropower Project</v>
      </c>
      <c r="C94" s="2">
        <f>IFERROR(__xludf.DUMMYFUNCTION("""COMPUTED_VALUE"""),92.1)</f>
        <v>92.1</v>
      </c>
      <c r="D94" s="2" t="str">
        <f>IFERROR(__xludf.DUMMYFUNCTION("""COMPUTED_VALUE"""),"Phoksundo Khola")</f>
        <v>Phoksundo Khola</v>
      </c>
      <c r="E94" s="2">
        <f>IFERROR(__xludf.DUMMYFUNCTION("""COMPUTED_VALUE"""),5775.0)</f>
        <v>5775</v>
      </c>
      <c r="F94" s="3">
        <f>IFERROR(__xludf.DUMMYFUNCTION("""COMPUTED_VALUE"""),66769.0)</f>
        <v>66769</v>
      </c>
      <c r="G94" s="2" t="str">
        <f>IFERROR(__xludf.DUMMYFUNCTION("""COMPUTED_VALUE"""),"Sunaulo Aviyan Hydropower Pvt. Ltd")</f>
        <v>Sunaulo Aviyan Hydropower Pvt. Ltd</v>
      </c>
      <c r="H94" s="2" t="str">
        <f>IFERROR(__xludf.DUMMYFUNCTION("""COMPUTED_VALUE"""),"Kathmanu")</f>
        <v>Kathmanu</v>
      </c>
      <c r="I94" s="2" t="str">
        <f>IFERROR(__xludf.DUMMYFUNCTION("""COMPUTED_VALUE"""),"29o 02' 26""")</f>
        <v>29o 02' 26"</v>
      </c>
      <c r="J94" s="2" t="str">
        <f>IFERROR(__xludf.DUMMYFUNCTION("""COMPUTED_VALUE"""),"29o 08' 40""")</f>
        <v>29o 08' 40"</v>
      </c>
      <c r="K94" s="2" t="str">
        <f>IFERROR(__xludf.DUMMYFUNCTION("""COMPUTED_VALUE"""),"82o 52' 07""")</f>
        <v>82o 52' 07"</v>
      </c>
      <c r="L94" s="2" t="str">
        <f>IFERROR(__xludf.DUMMYFUNCTION("""COMPUTED_VALUE"""),"82o 55' 20""")</f>
        <v>82o 55' 20"</v>
      </c>
      <c r="M94" s="2" t="str">
        <f>IFERROR(__xludf.DUMMYFUNCTION("""COMPUTED_VALUE"""),"Kaigaun (Dolpa)")</f>
        <v>Kaigaun (Dolpa)</v>
      </c>
    </row>
    <row r="95">
      <c r="A95" s="2">
        <f>IFERROR(__xludf.DUMMYFUNCTION("""COMPUTED_VALUE"""),94.0)</f>
        <v>94</v>
      </c>
      <c r="B95" s="2" t="str">
        <f>IFERROR(__xludf.DUMMYFUNCTION("""COMPUTED_VALUE"""),"Cham Khola Hydropower Project")</f>
        <v>Cham Khola Hydropower Project</v>
      </c>
      <c r="C95" s="2">
        <f>IFERROR(__xludf.DUMMYFUNCTION("""COMPUTED_VALUE"""),4.9)</f>
        <v>4.9</v>
      </c>
      <c r="D95" s="2" t="str">
        <f>IFERROR(__xludf.DUMMYFUNCTION("""COMPUTED_VALUE"""),"Cham Khola")</f>
        <v>Cham Khola</v>
      </c>
      <c r="E95" s="2">
        <f>IFERROR(__xludf.DUMMYFUNCTION("""COMPUTED_VALUE"""),5814.0)</f>
        <v>5814</v>
      </c>
      <c r="F95" s="3">
        <f>IFERROR(__xludf.DUMMYFUNCTION("""COMPUTED_VALUE"""),66769.0)</f>
        <v>66769</v>
      </c>
      <c r="G95" s="2" t="str">
        <f>IFERROR(__xludf.DUMMYFUNCTION("""COMPUTED_VALUE"""),"Mrishna Prasad Ghimire")</f>
        <v>Mrishna Prasad Ghimire</v>
      </c>
      <c r="H95" s="2" t="str">
        <f>IFERROR(__xludf.DUMMYFUNCTION("""COMPUTED_VALUE"""),"Makaising-08, Gorkha")</f>
        <v>Makaising-08, Gorkha</v>
      </c>
      <c r="I95" s="2" t="str">
        <f>IFERROR(__xludf.DUMMYFUNCTION("""COMPUTED_VALUE"""),"29o 38' 45""")</f>
        <v>29o 38' 45"</v>
      </c>
      <c r="J95" s="2" t="str">
        <f>IFERROR(__xludf.DUMMYFUNCTION("""COMPUTED_VALUE"""),"29o 39' 24""")</f>
        <v>29o 39' 24"</v>
      </c>
      <c r="K95" s="2" t="str">
        <f>IFERROR(__xludf.DUMMYFUNCTION("""COMPUTED_VALUE"""),"82o 30' 46""")</f>
        <v>82o 30' 46"</v>
      </c>
      <c r="L95" s="2" t="str">
        <f>IFERROR(__xludf.DUMMYFUNCTION("""COMPUTED_VALUE"""),"82o 33' 60""")</f>
        <v>82o 33' 60"</v>
      </c>
      <c r="M95" s="2" t="str">
        <f>IFERROR(__xludf.DUMMYFUNCTION("""COMPUTED_VALUE"""),"Ghainakot (Mugu)")</f>
        <v>Ghainakot (Mugu)</v>
      </c>
    </row>
    <row r="96">
      <c r="A96" s="2">
        <f>IFERROR(__xludf.DUMMYFUNCTION("""COMPUTED_VALUE"""),95.0)</f>
        <v>95</v>
      </c>
      <c r="B96" s="2" t="str">
        <f>IFERROR(__xludf.DUMMYFUNCTION("""COMPUTED_VALUE"""),"Lower Sanigad Hydropower Project")</f>
        <v>Lower Sanigad Hydropower Project</v>
      </c>
      <c r="C96" s="2">
        <f>IFERROR(__xludf.DUMMYFUNCTION("""COMPUTED_VALUE"""),3.5)</f>
        <v>3.5</v>
      </c>
      <c r="D96" s="2" t="str">
        <f>IFERROR(__xludf.DUMMYFUNCTION("""COMPUTED_VALUE"""),"Sani Gad")</f>
        <v>Sani Gad</v>
      </c>
      <c r="E96" s="2">
        <f>IFERROR(__xludf.DUMMYFUNCTION("""COMPUTED_VALUE"""),5870.0)</f>
        <v>5870</v>
      </c>
      <c r="F96" s="3">
        <f>IFERROR(__xludf.DUMMYFUNCTION("""COMPUTED_VALUE"""),66770.0)</f>
        <v>66770</v>
      </c>
      <c r="G96" s="2" t="str">
        <f>IFERROR(__xludf.DUMMYFUNCTION("""COMPUTED_VALUE"""),"Aqua Fusion Energy Limited")</f>
        <v>Aqua Fusion Energy Limited</v>
      </c>
      <c r="H96" s="2" t="str">
        <f>IFERROR(__xludf.DUMMYFUNCTION("""COMPUTED_VALUE"""),"Kathmandu-16")</f>
        <v>Kathmandu-16</v>
      </c>
      <c r="I96" s="2" t="str">
        <f>IFERROR(__xludf.DUMMYFUNCTION("""COMPUTED_VALUE"""),"29o 34' 52""")</f>
        <v>29o 34' 52"</v>
      </c>
      <c r="J96" s="2" t="str">
        <f>IFERROR(__xludf.DUMMYFUNCTION("""COMPUTED_VALUE"""),"29o 36' 15""")</f>
        <v>29o 36' 15"</v>
      </c>
      <c r="K96" s="2" t="str">
        <f>IFERROR(__xludf.DUMMYFUNCTION("""COMPUTED_VALUE"""),"80o 50' 48""")</f>
        <v>80o 50' 48"</v>
      </c>
      <c r="L96" s="2" t="str">
        <f>IFERROR(__xludf.DUMMYFUNCTION("""COMPUTED_VALUE"""),"80o 51' 30""")</f>
        <v>80o 51' 30"</v>
      </c>
      <c r="M96" s="2" t="str">
        <f>IFERROR(__xludf.DUMMYFUNCTION("""COMPUTED_VALUE"""),"Byasi (Bajhang)")</f>
        <v>Byasi (Bajhang)</v>
      </c>
    </row>
    <row r="97">
      <c r="A97" s="2">
        <f>IFERROR(__xludf.DUMMYFUNCTION("""COMPUTED_VALUE"""),96.0)</f>
        <v>96</v>
      </c>
      <c r="B97" s="2" t="str">
        <f>IFERROR(__xludf.DUMMYFUNCTION("""COMPUTED_VALUE"""),"Upper Tirija Khola - A Hydropower Project")</f>
        <v>Upper Tirija Khola - A Hydropower Project</v>
      </c>
      <c r="C97" s="2">
        <f>IFERROR(__xludf.DUMMYFUNCTION("""COMPUTED_VALUE"""),4.8)</f>
        <v>4.8</v>
      </c>
      <c r="D97" s="2" t="str">
        <f>IFERROR(__xludf.DUMMYFUNCTION("""COMPUTED_VALUE"""),"Tirija Khola")</f>
        <v>Tirija Khola</v>
      </c>
      <c r="E97" s="2">
        <f>IFERROR(__xludf.DUMMYFUNCTION("""COMPUTED_VALUE"""),5902.0)</f>
        <v>5902</v>
      </c>
      <c r="F97" s="3">
        <f>IFERROR(__xludf.DUMMYFUNCTION("""COMPUTED_VALUE"""),66772.0)</f>
        <v>66772</v>
      </c>
      <c r="G97" s="2" t="str">
        <f>IFERROR(__xludf.DUMMYFUNCTION("""COMPUTED_VALUE"""),"Mount Himalayan Urja Private Limited")</f>
        <v>Mount Himalayan Urja Private Limited</v>
      </c>
      <c r="H97" s="2" t="str">
        <f>IFERROR(__xludf.DUMMYFUNCTION("""COMPUTED_VALUE"""),"Kathmandu, Nepal")</f>
        <v>Kathmandu, Nepal</v>
      </c>
      <c r="I97" s="2" t="str">
        <f>IFERROR(__xludf.DUMMYFUNCTION("""COMPUTED_VALUE"""),"28o 37' 00""")</f>
        <v>28o 37' 00"</v>
      </c>
      <c r="J97" s="2" t="str">
        <f>IFERROR(__xludf.DUMMYFUNCTION("""COMPUTED_VALUE"""),"28o 38' 15""")</f>
        <v>28o 38' 15"</v>
      </c>
      <c r="K97" s="2" t="str">
        <f>IFERROR(__xludf.DUMMYFUNCTION("""COMPUTED_VALUE"""),"83o 19' 15""")</f>
        <v>83o 19' 15"</v>
      </c>
      <c r="L97" s="2" t="str">
        <f>IFERROR(__xludf.DUMMYFUNCTION("""COMPUTED_VALUE"""),"83o 20' 45""")</f>
        <v>83o 20' 45"</v>
      </c>
      <c r="M97" s="2" t="str">
        <f>IFERROR(__xludf.DUMMYFUNCTION("""COMPUTED_VALUE"""),"Mudi (Myagdi)")</f>
        <v>Mudi (Myagdi)</v>
      </c>
    </row>
    <row r="98">
      <c r="A98" s="2">
        <f>IFERROR(__xludf.DUMMYFUNCTION("""COMPUTED_VALUE"""),97.0)</f>
        <v>97</v>
      </c>
      <c r="B98" s="2" t="str">
        <f>IFERROR(__xludf.DUMMYFUNCTION("""COMPUTED_VALUE"""),"Dobhan Khola Hydroelectric Project")</f>
        <v>Dobhan Khola Hydroelectric Project</v>
      </c>
      <c r="C98" s="2">
        <f>IFERROR(__xludf.DUMMYFUNCTION("""COMPUTED_VALUE"""),4.2)</f>
        <v>4.2</v>
      </c>
      <c r="D98" s="2" t="str">
        <f>IFERROR(__xludf.DUMMYFUNCTION("""COMPUTED_VALUE"""),"Dobhan Khola")</f>
        <v>Dobhan Khola</v>
      </c>
      <c r="E98" s="2">
        <f>IFERROR(__xludf.DUMMYFUNCTION("""COMPUTED_VALUE"""),5909.0)</f>
        <v>5909</v>
      </c>
      <c r="F98" s="3">
        <f>IFERROR(__xludf.DUMMYFUNCTION("""COMPUTED_VALUE"""),66772.0)</f>
        <v>66772</v>
      </c>
      <c r="G98" s="2" t="str">
        <f>IFERROR(__xludf.DUMMYFUNCTION("""COMPUTED_VALUE"""),"Prabhu Hydro Development Fund Private Limited")</f>
        <v>Prabhu Hydro Development Fund Private Limited</v>
      </c>
      <c r="H98" s="2" t="str">
        <f>IFERROR(__xludf.DUMMYFUNCTION("""COMPUTED_VALUE"""),"KMC-32, Tinkune, Kathmandu")</f>
        <v>KMC-32, Tinkune, Kathmandu</v>
      </c>
      <c r="I98" s="2" t="str">
        <f>IFERROR(__xludf.DUMMYFUNCTION("""COMPUTED_VALUE"""),"27o 27' 10""")</f>
        <v>27o 27' 10"</v>
      </c>
      <c r="J98" s="2" t="str">
        <f>IFERROR(__xludf.DUMMYFUNCTION("""COMPUTED_VALUE"""),"27o 28' 06""")</f>
        <v>27o 28' 06"</v>
      </c>
      <c r="K98" s="2" t="str">
        <f>IFERROR(__xludf.DUMMYFUNCTION("""COMPUTED_VALUE"""),"86o 45' 48""")</f>
        <v>86o 45' 48"</v>
      </c>
      <c r="L98" s="2" t="str">
        <f>IFERROR(__xludf.DUMMYFUNCTION("""COMPUTED_VALUE"""),"86o 46' 57""")</f>
        <v>86o 46' 57"</v>
      </c>
      <c r="M98" s="2" t="str">
        <f>IFERROR(__xludf.DUMMYFUNCTION("""COMPUTED_VALUE"""),"Sautang,Lokhim,Mabe(Pawai) (Solukhumbu)")</f>
        <v>Sautang,Lokhim,Mabe(Pawai) (Solukhumbu)</v>
      </c>
    </row>
    <row r="99">
      <c r="A99" s="2">
        <f>IFERROR(__xludf.DUMMYFUNCTION("""COMPUTED_VALUE"""),98.0)</f>
        <v>98</v>
      </c>
      <c r="B99" s="2" t="str">
        <f>IFERROR(__xludf.DUMMYFUNCTION("""COMPUTED_VALUE"""),"Madhya Indrawati Hydroelectric Project")</f>
        <v>Madhya Indrawati Hydroelectric Project</v>
      </c>
      <c r="C99" s="2">
        <f>IFERROR(__xludf.DUMMYFUNCTION("""COMPUTED_VALUE"""),6.65)</f>
        <v>6.65</v>
      </c>
      <c r="D99" s="2" t="str">
        <f>IFERROR(__xludf.DUMMYFUNCTION("""COMPUTED_VALUE"""),"Indrawati")</f>
        <v>Indrawati</v>
      </c>
      <c r="E99" s="2">
        <f>IFERROR(__xludf.DUMMYFUNCTION("""COMPUTED_VALUE"""),5910.0)</f>
        <v>5910</v>
      </c>
      <c r="F99" s="3">
        <f>IFERROR(__xludf.DUMMYFUNCTION("""COMPUTED_VALUE"""),66772.0)</f>
        <v>66772</v>
      </c>
      <c r="G99" s="2" t="str">
        <f>IFERROR(__xludf.DUMMYFUNCTION("""COMPUTED_VALUE"""),"Prabhu Hydro Development Fund Private Limited")</f>
        <v>Prabhu Hydro Development Fund Private Limited</v>
      </c>
      <c r="H99" s="2" t="str">
        <f>IFERROR(__xludf.DUMMYFUNCTION("""COMPUTED_VALUE"""),"KMC-32, Tinkune, Kathmandu")</f>
        <v>KMC-32, Tinkune, Kathmandu</v>
      </c>
      <c r="I99" s="2" t="str">
        <f>IFERROR(__xludf.DUMMYFUNCTION("""COMPUTED_VALUE"""),"27o 54' 35""")</f>
        <v>27o 54' 35"</v>
      </c>
      <c r="J99" s="2" t="str">
        <f>IFERROR(__xludf.DUMMYFUNCTION("""COMPUTED_VALUE"""),"27o 55' 30""")</f>
        <v>27o 55' 30"</v>
      </c>
      <c r="K99" s="2" t="str">
        <f>IFERROR(__xludf.DUMMYFUNCTION("""COMPUTED_VALUE"""),"85o 37' 15""")</f>
        <v>85o 37' 15"</v>
      </c>
      <c r="L99" s="2" t="str">
        <f>IFERROR(__xludf.DUMMYFUNCTION("""COMPUTED_VALUE"""),"85o 38' 55""")</f>
        <v>85o 38' 55"</v>
      </c>
      <c r="M99" s="2" t="str">
        <f>IFERROR(__xludf.DUMMYFUNCTION("""COMPUTED_VALUE"""),"Baruwa,Banskharka,Thampal Dhap (Sindhupalchok)")</f>
        <v>Baruwa,Banskharka,Thampal Dhap (Sindhupalchok)</v>
      </c>
    </row>
    <row r="100">
      <c r="A100" s="2">
        <f>IFERROR(__xludf.DUMMYFUNCTION("""COMPUTED_VALUE"""),99.0)</f>
        <v>99</v>
      </c>
      <c r="B100" s="2" t="str">
        <f>IFERROR(__xludf.DUMMYFUNCTION("""COMPUTED_VALUE"""),"Tumkot Bumuchhiya Hydropower Project")</f>
        <v>Tumkot Bumuchhiya Hydropower Project</v>
      </c>
      <c r="C100" s="2">
        <f>IFERROR(__xludf.DUMMYFUNCTION("""COMPUTED_VALUE"""),24.0)</f>
        <v>24</v>
      </c>
      <c r="D100" s="2" t="str">
        <f>IFERROR(__xludf.DUMMYFUNCTION("""COMPUTED_VALUE"""),"Bumuchiya Khola")</f>
        <v>Bumuchiya Khola</v>
      </c>
      <c r="E100" s="2">
        <f>IFERROR(__xludf.DUMMYFUNCTION("""COMPUTED_VALUE"""),6043.0)</f>
        <v>6043</v>
      </c>
      <c r="F100" s="3">
        <f>IFERROR(__xludf.DUMMYFUNCTION("""COMPUTED_VALUE"""),66776.0)</f>
        <v>66776</v>
      </c>
      <c r="G100" s="2" t="str">
        <f>IFERROR(__xludf.DUMMYFUNCTION("""COMPUTED_VALUE"""),"Deshim Mineralium Energy Pvt. Ltd")</f>
        <v>Deshim Mineralium Energy Pvt. Ltd</v>
      </c>
      <c r="H100" s="2" t="str">
        <f>IFERROR(__xludf.DUMMYFUNCTION("""COMPUTED_VALUE"""),"Lalitpur-8, Gwarlo")</f>
        <v>Lalitpur-8, Gwarlo</v>
      </c>
      <c r="I100" s="2" t="str">
        <f>IFERROR(__xludf.DUMMYFUNCTION("""COMPUTED_VALUE"""),"30o 04' 10""")</f>
        <v>30o 04' 10"</v>
      </c>
      <c r="J100" s="2" t="str">
        <f>IFERROR(__xludf.DUMMYFUNCTION("""COMPUTED_VALUE"""),"30o 06' 00""")</f>
        <v>30o 06' 00"</v>
      </c>
      <c r="K100" s="2" t="str">
        <f>IFERROR(__xludf.DUMMYFUNCTION("""COMPUTED_VALUE"""),"81o 28' 25""")</f>
        <v>81o 28' 25"</v>
      </c>
      <c r="L100" s="2" t="str">
        <f>IFERROR(__xludf.DUMMYFUNCTION("""COMPUTED_VALUE"""),"81o 31' 35""")</f>
        <v>81o 31' 35"</v>
      </c>
      <c r="M100" s="2" t="str">
        <f>IFERROR(__xludf.DUMMYFUNCTION("""COMPUTED_VALUE"""),"Khagalgaun (Humla)")</f>
        <v>Khagalgaun (Humla)</v>
      </c>
    </row>
    <row r="101">
      <c r="A101" s="2">
        <f>IFERROR(__xludf.DUMMYFUNCTION("""COMPUTED_VALUE"""),100.0)</f>
        <v>100</v>
      </c>
      <c r="B101" s="2" t="str">
        <f>IFERROR(__xludf.DUMMYFUNCTION("""COMPUTED_VALUE"""),"Thuligad A Hydropower Project")</f>
        <v>Thuligad A Hydropower Project</v>
      </c>
      <c r="C101" s="2">
        <f>IFERROR(__xludf.DUMMYFUNCTION("""COMPUTED_VALUE"""),9.45)</f>
        <v>9.45</v>
      </c>
      <c r="D101" s="2" t="str">
        <f>IFERROR(__xludf.DUMMYFUNCTION("""COMPUTED_VALUE"""),"Thuli gad")</f>
        <v>Thuli gad</v>
      </c>
      <c r="E101" s="2">
        <f>IFERROR(__xludf.DUMMYFUNCTION("""COMPUTED_VALUE"""),6158.0)</f>
        <v>6158</v>
      </c>
      <c r="F101" s="3">
        <f>IFERROR(__xludf.DUMMYFUNCTION("""COMPUTED_VALUE"""),66778.0)</f>
        <v>66778</v>
      </c>
      <c r="G101" s="2" t="str">
        <f>IFERROR(__xludf.DUMMYFUNCTION("""COMPUTED_VALUE"""),"Axes Energy Pvt. Ltd")</f>
        <v>Axes Energy Pvt. Ltd</v>
      </c>
      <c r="H101" s="2" t="str">
        <f>IFERROR(__xludf.DUMMYFUNCTION("""COMPUTED_VALUE"""),"Tripureswar, Kathmandu")</f>
        <v>Tripureswar, Kathmandu</v>
      </c>
      <c r="I101" s="2" t="str">
        <f>IFERROR(__xludf.DUMMYFUNCTION("""COMPUTED_VALUE"""),"28o 56' 22""")</f>
        <v>28o 56' 22"</v>
      </c>
      <c r="J101" s="2" t="str">
        <f>IFERROR(__xludf.DUMMYFUNCTION("""COMPUTED_VALUE"""),"28o 58' 11""")</f>
        <v>28o 58' 11"</v>
      </c>
      <c r="K101" s="2" t="str">
        <f>IFERROR(__xludf.DUMMYFUNCTION("""COMPUTED_VALUE"""),"80o 52' 30""")</f>
        <v>80o 52' 30"</v>
      </c>
      <c r="L101" s="2" t="str">
        <f>IFERROR(__xludf.DUMMYFUNCTION("""COMPUTED_VALUE"""),"80o 54' 00""")</f>
        <v>80o 54' 00"</v>
      </c>
      <c r="M101" s="2" t="str">
        <f>IFERROR(__xludf.DUMMYFUNCTION("""COMPUTED_VALUE"""),"Bhdhegau (Doti)")</f>
        <v>Bhdhegau (Doti)</v>
      </c>
    </row>
    <row r="102">
      <c r="A102" s="2">
        <f>IFERROR(__xludf.DUMMYFUNCTION("""COMPUTED_VALUE"""),101.0)</f>
        <v>101</v>
      </c>
      <c r="B102" s="2" t="str">
        <f>IFERROR(__xludf.DUMMYFUNCTION("""COMPUTED_VALUE"""),"Gopi Khola Hydropower Project")</f>
        <v>Gopi Khola Hydropower Project</v>
      </c>
      <c r="C102" s="2">
        <f>IFERROR(__xludf.DUMMYFUNCTION("""COMPUTED_VALUE"""),3.0)</f>
        <v>3</v>
      </c>
      <c r="D102" s="2" t="str">
        <f>IFERROR(__xludf.DUMMYFUNCTION("""COMPUTED_VALUE"""),"Gopi Khola")</f>
        <v>Gopi Khola</v>
      </c>
      <c r="E102" s="2">
        <f>IFERROR(__xludf.DUMMYFUNCTION("""COMPUTED_VALUE"""),6165.0)</f>
        <v>6165</v>
      </c>
      <c r="F102" s="3">
        <f>IFERROR(__xludf.DUMMYFUNCTION("""COMPUTED_VALUE"""),66778.0)</f>
        <v>66778</v>
      </c>
      <c r="G102" s="2" t="str">
        <f>IFERROR(__xludf.DUMMYFUNCTION("""COMPUTED_VALUE"""),"Himalayan Energy Limited")</f>
        <v>Himalayan Energy Limited</v>
      </c>
      <c r="H102" s="2" t="str">
        <f>IFERROR(__xludf.DUMMYFUNCTION("""COMPUTED_VALUE"""),"KMC-31, Kathmandu")</f>
        <v>KMC-31, Kathmandu</v>
      </c>
      <c r="I102" s="2" t="str">
        <f>IFERROR(__xludf.DUMMYFUNCTION("""COMPUTED_VALUE"""),"27o 36' 36""")</f>
        <v>27o 36' 36"</v>
      </c>
      <c r="J102" s="2" t="str">
        <f>IFERROR(__xludf.DUMMYFUNCTION("""COMPUTED_VALUE"""),"27o 37' 09""")</f>
        <v>27o 37' 09"</v>
      </c>
      <c r="K102" s="2" t="str">
        <f>IFERROR(__xludf.DUMMYFUNCTION("""COMPUTED_VALUE"""),"86o 04' 40""")</f>
        <v>86o 04' 40"</v>
      </c>
      <c r="L102" s="2" t="str">
        <f>IFERROR(__xludf.DUMMYFUNCTION("""COMPUTED_VALUE"""),"86o 05' 44""")</f>
        <v>86o 05' 44"</v>
      </c>
      <c r="M102" s="2" t="str">
        <f>IFERROR(__xludf.DUMMYFUNCTION("""COMPUTED_VALUE"""),"Mati,Namdu,Gairimudi,Fasku (Dolakha)")</f>
        <v>Mati,Namdu,Gairimudi,Fasku (Dolakha)</v>
      </c>
    </row>
    <row r="103">
      <c r="A103" s="2">
        <f>IFERROR(__xludf.DUMMYFUNCTION("""COMPUTED_VALUE"""),102.0)</f>
        <v>102</v>
      </c>
      <c r="B103" s="2" t="str">
        <f>IFERROR(__xludf.DUMMYFUNCTION("""COMPUTED_VALUE"""),"Lowermost Nawa Khola Hydropower Project")</f>
        <v>Lowermost Nawa Khola Hydropower Project</v>
      </c>
      <c r="C103" s="2">
        <f>IFERROR(__xludf.DUMMYFUNCTION("""COMPUTED_VALUE"""),3.13)</f>
        <v>3.13</v>
      </c>
      <c r="D103" s="2" t="str">
        <f>IFERROR(__xludf.DUMMYFUNCTION("""COMPUTED_VALUE"""),"Nawa Khola")</f>
        <v>Nawa Khola</v>
      </c>
      <c r="E103" s="2">
        <f>IFERROR(__xludf.DUMMYFUNCTION("""COMPUTED_VALUE"""),6173.0)</f>
        <v>6173</v>
      </c>
      <c r="F103" s="3">
        <f>IFERROR(__xludf.DUMMYFUNCTION("""COMPUTED_VALUE"""),66781.0)</f>
        <v>66781</v>
      </c>
      <c r="G103" s="2" t="str">
        <f>IFERROR(__xludf.DUMMYFUNCTION("""COMPUTED_VALUE"""),"A.B. Urja Private Limited")</f>
        <v>A.B. Urja Private Limited</v>
      </c>
      <c r="H103" s="2" t="str">
        <f>IFERROR(__xludf.DUMMYFUNCTION("""COMPUTED_VALUE"""),"Budhanagar, Kathmandu")</f>
        <v>Budhanagar, Kathmandu</v>
      </c>
      <c r="I103" s="2" t="str">
        <f>IFERROR(__xludf.DUMMYFUNCTION("""COMPUTED_VALUE"""),"26o 54' 07""")</f>
        <v>26o 54' 07"</v>
      </c>
      <c r="J103" s="2" t="str">
        <f>IFERROR(__xludf.DUMMYFUNCTION("""COMPUTED_VALUE"""),"26o 55' 43""")</f>
        <v>26o 55' 43"</v>
      </c>
      <c r="K103" s="2" t="str">
        <f>IFERROR(__xludf.DUMMYFUNCTION("""COMPUTED_VALUE"""),"87o 35' 34""")</f>
        <v>87o 35' 34"</v>
      </c>
      <c r="L103" s="2" t="str">
        <f>IFERROR(__xludf.DUMMYFUNCTION("""COMPUTED_VALUE"""),"87o 37' 10""")</f>
        <v>87o 37' 10"</v>
      </c>
      <c r="M103" s="2" t="str">
        <f>IFERROR(__xludf.DUMMYFUNCTION("""COMPUTED_VALUE"""),"Aarubote,Linba (Panchthar)")</f>
        <v>Aarubote,Linba (Panchthar)</v>
      </c>
    </row>
    <row r="104">
      <c r="A104" s="2">
        <f>IFERROR(__xludf.DUMMYFUNCTION("""COMPUTED_VALUE"""),103.0)</f>
        <v>103</v>
      </c>
      <c r="B104" s="2" t="str">
        <f>IFERROR(__xludf.DUMMYFUNCTION("""COMPUTED_VALUE"""),"Pyangkot Hewa Hydropower Project")</f>
        <v>Pyangkot Hewa Hydropower Project</v>
      </c>
      <c r="C104" s="2">
        <f>IFERROR(__xludf.DUMMYFUNCTION("""COMPUTED_VALUE"""),4.0)</f>
        <v>4</v>
      </c>
      <c r="D104" s="2" t="str">
        <f>IFERROR(__xludf.DUMMYFUNCTION("""COMPUTED_VALUE"""),"Hewa (Sankhuwasabha)")</f>
        <v>Hewa (Sankhuwasabha)</v>
      </c>
      <c r="E104" s="2">
        <f>IFERROR(__xludf.DUMMYFUNCTION("""COMPUTED_VALUE"""),6223.0)</f>
        <v>6223</v>
      </c>
      <c r="F104" s="3">
        <f>IFERROR(__xludf.DUMMYFUNCTION("""COMPUTED_VALUE"""),66784.0)</f>
        <v>66784</v>
      </c>
      <c r="G104" s="2" t="str">
        <f>IFERROR(__xludf.DUMMYFUNCTION("""COMPUTED_VALUE"""),"Pyangkot Hewa Energy Private Limited")</f>
        <v>Pyangkot Hewa Energy Private Limited</v>
      </c>
      <c r="H104" s="2" t="str">
        <f>IFERROR(__xludf.DUMMYFUNCTION("""COMPUTED_VALUE"""),"Nagarjun, Kathmandu")</f>
        <v>Nagarjun, Kathmandu</v>
      </c>
      <c r="I104" s="2" t="str">
        <f>IFERROR(__xludf.DUMMYFUNCTION("""COMPUTED_VALUE"""),"27o 21' 30""")</f>
        <v>27o 21' 30"</v>
      </c>
      <c r="J104" s="2" t="str">
        <f>IFERROR(__xludf.DUMMYFUNCTION("""COMPUTED_VALUE"""),"27o 23' 00""")</f>
        <v>27o 23' 00"</v>
      </c>
      <c r="K104" s="2" t="str">
        <f>IFERROR(__xludf.DUMMYFUNCTION("""COMPUTED_VALUE"""),"87o 24' 10""")</f>
        <v>87o 24' 10"</v>
      </c>
      <c r="L104" s="2" t="str">
        <f>IFERROR(__xludf.DUMMYFUNCTION("""COMPUTED_VALUE"""),"87o 25' 50""")</f>
        <v>87o 25' 50"</v>
      </c>
      <c r="M104" s="2" t="str">
        <f>IFERROR(__xludf.DUMMYFUNCTION("""COMPUTED_VALUE"""),"Siddhapokhari (Sankhuwasabha)")</f>
        <v>Siddhapokhari (Sankhuwasabha)</v>
      </c>
    </row>
    <row r="105">
      <c r="A105" s="2">
        <f>IFERROR(__xludf.DUMMYFUNCTION("""COMPUTED_VALUE"""),104.0)</f>
        <v>104</v>
      </c>
      <c r="B105" s="2" t="str">
        <f>IFERROR(__xludf.DUMMYFUNCTION("""COMPUTED_VALUE"""),"BauliGad Hydropower Project")</f>
        <v>BauliGad Hydropower Project</v>
      </c>
      <c r="C105" s="2">
        <f>IFERROR(__xludf.DUMMYFUNCTION("""COMPUTED_VALUE"""),4.6)</f>
        <v>4.6</v>
      </c>
      <c r="D105" s="2" t="str">
        <f>IFERROR(__xludf.DUMMYFUNCTION("""COMPUTED_VALUE"""),"Bauligad (Budhiganga)")</f>
        <v>Bauligad (Budhiganga)</v>
      </c>
      <c r="E105" s="2">
        <f>IFERROR(__xludf.DUMMYFUNCTION("""COMPUTED_VALUE"""),6256.0)</f>
        <v>6256</v>
      </c>
      <c r="F105" s="3">
        <f>IFERROR(__xludf.DUMMYFUNCTION("""COMPUTED_VALUE"""),66784.0)</f>
        <v>66784</v>
      </c>
      <c r="G105" s="2" t="str">
        <f>IFERROR(__xludf.DUMMYFUNCTION("""COMPUTED_VALUE"""),"Badimalika urja Pvt.Ltd")</f>
        <v>Badimalika urja Pvt.Ltd</v>
      </c>
      <c r="H105" s="2" t="str">
        <f>IFERROR(__xludf.DUMMYFUNCTION("""COMPUTED_VALUE"""),"Buddanagar, Kathmandu")</f>
        <v>Buddanagar, Kathmandu</v>
      </c>
      <c r="I105" s="2" t="str">
        <f>IFERROR(__xludf.DUMMYFUNCTION("""COMPUTED_VALUE"""),"29o 27' 06""")</f>
        <v>29o 27' 06"</v>
      </c>
      <c r="J105" s="2" t="str">
        <f>IFERROR(__xludf.DUMMYFUNCTION("""COMPUTED_VALUE"""),"29o 28' 15""")</f>
        <v>29o 28' 15"</v>
      </c>
      <c r="K105" s="2" t="str">
        <f>IFERROR(__xludf.DUMMYFUNCTION("""COMPUTED_VALUE"""),"81o 28' 17""")</f>
        <v>81o 28' 17"</v>
      </c>
      <c r="L105" s="2" t="str">
        <f>IFERROR(__xludf.DUMMYFUNCTION("""COMPUTED_VALUE"""),"81o 29' 25""")</f>
        <v>81o 29' 25"</v>
      </c>
      <c r="M105" s="2" t="str">
        <f>IFERROR(__xludf.DUMMYFUNCTION("""COMPUTED_VALUE"""),"Bramhatola (Bajura)")</f>
        <v>Bramhatola (Bajura)</v>
      </c>
    </row>
    <row r="106">
      <c r="A106" s="2">
        <f>IFERROR(__xludf.DUMMYFUNCTION("""COMPUTED_VALUE"""),105.0)</f>
        <v>105</v>
      </c>
      <c r="B106" s="2" t="str">
        <f>IFERROR(__xludf.DUMMYFUNCTION("""COMPUTED_VALUE"""),"Upper Jeuligad Khola Hydropwer Project")</f>
        <v>Upper Jeuligad Khola Hydropwer Project</v>
      </c>
      <c r="C106" s="2">
        <f>IFERROR(__xludf.DUMMYFUNCTION("""COMPUTED_VALUE"""),4.5)</f>
        <v>4.5</v>
      </c>
      <c r="D106" s="2" t="str">
        <f>IFERROR(__xludf.DUMMYFUNCTION("""COMPUTED_VALUE"""),"Jeuligad")</f>
        <v>Jeuligad</v>
      </c>
      <c r="E106" s="2">
        <f>IFERROR(__xludf.DUMMYFUNCTION("""COMPUTED_VALUE"""),6296.0)</f>
        <v>6296</v>
      </c>
      <c r="F106" s="3">
        <f>IFERROR(__xludf.DUMMYFUNCTION("""COMPUTED_VALUE"""),66785.0)</f>
        <v>66785</v>
      </c>
      <c r="G106" s="2" t="str">
        <f>IFERROR(__xludf.DUMMYFUNCTION("""COMPUTED_VALUE"""),"Aqua Fusion Energy Limited")</f>
        <v>Aqua Fusion Energy Limited</v>
      </c>
      <c r="H106" s="2" t="str">
        <f>IFERROR(__xludf.DUMMYFUNCTION("""COMPUTED_VALUE"""),"Kathmandu-36")</f>
        <v>Kathmandu-36</v>
      </c>
      <c r="I106" s="2" t="str">
        <f>IFERROR(__xludf.DUMMYFUNCTION("""COMPUTED_VALUE"""),"29o 36' 25""")</f>
        <v>29o 36' 25"</v>
      </c>
      <c r="J106" s="2" t="str">
        <f>IFERROR(__xludf.DUMMYFUNCTION("""COMPUTED_VALUE"""),"29o 37' 30""")</f>
        <v>29o 37' 30"</v>
      </c>
      <c r="K106" s="2" t="str">
        <f>IFERROR(__xludf.DUMMYFUNCTION("""COMPUTED_VALUE"""),"81o 06' 36""")</f>
        <v>81o 06' 36"</v>
      </c>
      <c r="L106" s="2" t="str">
        <f>IFERROR(__xludf.DUMMYFUNCTION("""COMPUTED_VALUE"""),"81o 07' 45""")</f>
        <v>81o 07' 45"</v>
      </c>
      <c r="M106" s="2" t="str">
        <f>IFERROR(__xludf.DUMMYFUNCTION("""COMPUTED_VALUE"""),"Chainpur (Bajhang)")</f>
        <v>Chainpur (Bajhang)</v>
      </c>
    </row>
    <row r="107">
      <c r="A107" s="2">
        <f>IFERROR(__xludf.DUMMYFUNCTION("""COMPUTED_VALUE"""),106.0)</f>
        <v>106</v>
      </c>
      <c r="B107" s="2" t="str">
        <f>IFERROR(__xludf.DUMMYFUNCTION("""COMPUTED_VALUE"""),"Super Mugu karnali Hydropower Project")</f>
        <v>Super Mugu karnali Hydropower Project</v>
      </c>
      <c r="C107" s="2">
        <f>IFERROR(__xludf.DUMMYFUNCTION("""COMPUTED_VALUE"""),40.0)</f>
        <v>40</v>
      </c>
      <c r="D107" s="2" t="str">
        <f>IFERROR(__xludf.DUMMYFUNCTION("""COMPUTED_VALUE"""),"Mugu Nadi")</f>
        <v>Mugu Nadi</v>
      </c>
      <c r="E107" s="2">
        <f>IFERROR(__xludf.DUMMYFUNCTION("""COMPUTED_VALUE"""),6321.0)</f>
        <v>6321</v>
      </c>
      <c r="F107" s="3">
        <f>IFERROR(__xludf.DUMMYFUNCTION("""COMPUTED_VALUE"""),66788.0)</f>
        <v>66788</v>
      </c>
      <c r="G107" s="2" t="str">
        <f>IFERROR(__xludf.DUMMYFUNCTION("""COMPUTED_VALUE"""),"Adhrit Energy Pvt. Ltd")</f>
        <v>Adhrit Energy Pvt. Ltd</v>
      </c>
      <c r="H107" s="2" t="str">
        <f>IFERROR(__xludf.DUMMYFUNCTION("""COMPUTED_VALUE"""),"Kupondole, Lalitpur")</f>
        <v>Kupondole, Lalitpur</v>
      </c>
      <c r="I107" s="2" t="str">
        <f>IFERROR(__xludf.DUMMYFUNCTION("""COMPUTED_VALUE"""),"29o 35' 27""")</f>
        <v>29o 35' 27"</v>
      </c>
      <c r="J107" s="2" t="str">
        <f>IFERROR(__xludf.DUMMYFUNCTION("""COMPUTED_VALUE"""),"29o 38' 45""")</f>
        <v>29o 38' 45"</v>
      </c>
      <c r="K107" s="2" t="str">
        <f>IFERROR(__xludf.DUMMYFUNCTION("""COMPUTED_VALUE"""),"82o 25' 55""")</f>
        <v>82o 25' 55"</v>
      </c>
      <c r="L107" s="2" t="str">
        <f>IFERROR(__xludf.DUMMYFUNCTION("""COMPUTED_VALUE"""),"82o 30' 46""")</f>
        <v>82o 30' 46"</v>
      </c>
      <c r="M107" s="2" t="str">
        <f>IFERROR(__xludf.DUMMYFUNCTION("""COMPUTED_VALUE"""),"Kimari (Mugu)")</f>
        <v>Kimari (Mugu)</v>
      </c>
    </row>
    <row r="108">
      <c r="A108" s="2">
        <f>IFERROR(__xludf.DUMMYFUNCTION("""COMPUTED_VALUE"""),107.0)</f>
        <v>107</v>
      </c>
      <c r="B108" s="2" t="str">
        <f>IFERROR(__xludf.DUMMYFUNCTION("""COMPUTED_VALUE"""),"Mathillo Chhujung Khola Hydropower Project")</f>
        <v>Mathillo Chhujung Khola Hydropower Project</v>
      </c>
      <c r="C108" s="2">
        <f>IFERROR(__xludf.DUMMYFUNCTION("""COMPUTED_VALUE"""),50.5)</f>
        <v>50.5</v>
      </c>
      <c r="D108" s="2" t="str">
        <f>IFERROR(__xludf.DUMMYFUNCTION("""COMPUTED_VALUE"""),"Chhujung")</f>
        <v>Chhujung</v>
      </c>
      <c r="E108" s="2">
        <f>IFERROR(__xludf.DUMMYFUNCTION("""COMPUTED_VALUE"""),6441.0)</f>
        <v>6441</v>
      </c>
      <c r="F108" s="3">
        <f>IFERROR(__xludf.DUMMYFUNCTION("""COMPUTED_VALUE"""),66791.0)</f>
        <v>66791</v>
      </c>
      <c r="G108" s="2" t="str">
        <f>IFERROR(__xludf.DUMMYFUNCTION("""COMPUTED_VALUE"""),"White Flower Energy Company Private Limited")</f>
        <v>White Flower Energy Company Private Limited</v>
      </c>
      <c r="H108" s="2" t="str">
        <f>IFERROR(__xludf.DUMMYFUNCTION("""COMPUTED_VALUE"""),"Koteswor-32, Kathmandu, 01-5100223")</f>
        <v>Koteswor-32, Kathmandu, 01-5100223</v>
      </c>
      <c r="I108" s="2" t="str">
        <f>IFERROR(__xludf.DUMMYFUNCTION("""COMPUTED_VALUE"""),"27o 44' 30""")</f>
        <v>27o 44' 30"</v>
      </c>
      <c r="J108" s="2" t="str">
        <f>IFERROR(__xludf.DUMMYFUNCTION("""COMPUTED_VALUE"""),"27o 46' 00""")</f>
        <v>27o 46' 00"</v>
      </c>
      <c r="K108" s="2" t="str">
        <f>IFERROR(__xludf.DUMMYFUNCTION("""COMPUTED_VALUE"""),"87o 30' 09""")</f>
        <v>87o 30' 09"</v>
      </c>
      <c r="L108" s="2" t="str">
        <f>IFERROR(__xludf.DUMMYFUNCTION("""COMPUTED_VALUE"""),"87o 33' 14""")</f>
        <v>87o 33' 14"</v>
      </c>
      <c r="M108" s="2" t="str">
        <f>IFERROR(__xludf.DUMMYFUNCTION("""COMPUTED_VALUE"""),"Chepuwa (Sankhuwasabha)")</f>
        <v>Chepuwa (Sankhuwasabha)</v>
      </c>
    </row>
    <row r="109">
      <c r="A109" s="2">
        <f>IFERROR(__xludf.DUMMYFUNCTION("""COMPUTED_VALUE"""),108.0)</f>
        <v>108</v>
      </c>
      <c r="B109" s="2" t="str">
        <f>IFERROR(__xludf.DUMMYFUNCTION("""COMPUTED_VALUE"""),"Molung Cascade Hydropower Project")</f>
        <v>Molung Cascade Hydropower Project</v>
      </c>
      <c r="C109" s="2">
        <f>IFERROR(__xludf.DUMMYFUNCTION("""COMPUTED_VALUE"""),2.4)</f>
        <v>2.4</v>
      </c>
      <c r="D109" s="2" t="str">
        <f>IFERROR(__xludf.DUMMYFUNCTION("""COMPUTED_VALUE"""),"Molung")</f>
        <v>Molung</v>
      </c>
      <c r="E109" s="2">
        <f>IFERROR(__xludf.DUMMYFUNCTION("""COMPUTED_VALUE"""),6463.0)</f>
        <v>6463</v>
      </c>
      <c r="F109" s="3">
        <f>IFERROR(__xludf.DUMMYFUNCTION("""COMPUTED_VALUE"""),66792.0)</f>
        <v>66792</v>
      </c>
      <c r="G109" s="2" t="str">
        <f>IFERROR(__xludf.DUMMYFUNCTION("""COMPUTED_VALUE"""),"Sajha Energy Private Limited")</f>
        <v>Sajha Energy Private Limited</v>
      </c>
      <c r="H109" s="2" t="str">
        <f>IFERROR(__xludf.DUMMYFUNCTION("""COMPUTED_VALUE"""),"Maharajganj Kathmandu")</f>
        <v>Maharajganj Kathmandu</v>
      </c>
      <c r="I109" s="2" t="str">
        <f>IFERROR(__xludf.DUMMYFUNCTION("""COMPUTED_VALUE"""),"27o 16' 39""")</f>
        <v>27o 16' 39"</v>
      </c>
      <c r="J109" s="2" t="str">
        <f>IFERROR(__xludf.DUMMYFUNCTION("""COMPUTED_VALUE"""),"27o 17' 24""")</f>
        <v>27o 17' 24"</v>
      </c>
      <c r="K109" s="2" t="str">
        <f>IFERROR(__xludf.DUMMYFUNCTION("""COMPUTED_VALUE"""),"86o 26' 30""")</f>
        <v>86o 26' 30"</v>
      </c>
      <c r="L109" s="2" t="str">
        <f>IFERROR(__xludf.DUMMYFUNCTION("""COMPUTED_VALUE"""),"87o 27' 16""")</f>
        <v>87o 27' 16"</v>
      </c>
      <c r="M109" s="2"/>
    </row>
    <row r="110">
      <c r="A110" s="2">
        <f>IFERROR(__xludf.DUMMYFUNCTION("""COMPUTED_VALUE"""),109.0)</f>
        <v>109</v>
      </c>
      <c r="B110" s="2" t="str">
        <f>IFERROR(__xludf.DUMMYFUNCTION("""COMPUTED_VALUE"""),"Madi Nadi PRoR Hydropower Project")</f>
        <v>Madi Nadi PRoR Hydropower Project</v>
      </c>
      <c r="C110" s="2">
        <f>IFERROR(__xludf.DUMMYFUNCTION("""COMPUTED_VALUE"""),14.5)</f>
        <v>14.5</v>
      </c>
      <c r="D110" s="2" t="str">
        <f>IFERROR(__xludf.DUMMYFUNCTION("""COMPUTED_VALUE"""),"Madi Khola")</f>
        <v>Madi Khola</v>
      </c>
      <c r="E110" s="2">
        <f>IFERROR(__xludf.DUMMYFUNCTION("""COMPUTED_VALUE"""),6505.0)</f>
        <v>6505</v>
      </c>
      <c r="F110" s="3">
        <f>IFERROR(__xludf.DUMMYFUNCTION("""COMPUTED_VALUE"""),66792.0)</f>
        <v>66792</v>
      </c>
      <c r="G110" s="2" t="str">
        <f>IFERROR(__xludf.DUMMYFUNCTION("""COMPUTED_VALUE"""),"Tapaswi Hydropower Private Limited")</f>
        <v>Tapaswi Hydropower Private Limited</v>
      </c>
      <c r="H110" s="2" t="str">
        <f>IFERROR(__xludf.DUMMYFUNCTION("""COMPUTED_VALUE"""),"New Baneswor, Kathamandu -10, Nepal")</f>
        <v>New Baneswor, Kathamandu -10, Nepal</v>
      </c>
      <c r="I110" s="2" t="str">
        <f>IFERROR(__xludf.DUMMYFUNCTION("""COMPUTED_VALUE"""),"28o 04' 05""")</f>
        <v>28o 04' 05"</v>
      </c>
      <c r="J110" s="2" t="str">
        <f>IFERROR(__xludf.DUMMYFUNCTION("""COMPUTED_VALUE"""),"28o 07' 29""")</f>
        <v>28o 07' 29"</v>
      </c>
      <c r="K110" s="2" t="str">
        <f>IFERROR(__xludf.DUMMYFUNCTION("""COMPUTED_VALUE"""),"84o 12' 30""")</f>
        <v>84o 12' 30"</v>
      </c>
      <c r="L110" s="2" t="str">
        <f>IFERROR(__xludf.DUMMYFUNCTION("""COMPUTED_VALUE"""),"84o 15' 00""")</f>
        <v>84o 15' 00"</v>
      </c>
      <c r="M110" s="2" t="str">
        <f>IFERROR(__xludf.DUMMYFUNCTION("""COMPUTED_VALUE"""),"Siddha (Kaski) Rangha (Lamjung)")</f>
        <v>Siddha (Kaski) Rangha (Lamjung)</v>
      </c>
    </row>
    <row r="111">
      <c r="A111" s="2">
        <f>IFERROR(__xludf.DUMMYFUNCTION("""COMPUTED_VALUE"""),110.0)</f>
        <v>110</v>
      </c>
      <c r="B111" s="2" t="str">
        <f>IFERROR(__xludf.DUMMYFUNCTION("""COMPUTED_VALUE"""),"Yanwa Khola Hydroelectric Project")</f>
        <v>Yanwa Khola Hydroelectric Project</v>
      </c>
      <c r="C111" s="2">
        <f>IFERROR(__xludf.DUMMYFUNCTION("""COMPUTED_VALUE"""),4.98)</f>
        <v>4.98</v>
      </c>
      <c r="D111" s="2" t="str">
        <f>IFERROR(__xludf.DUMMYFUNCTION("""COMPUTED_VALUE"""),"Yanwa Khola")</f>
        <v>Yanwa Khola</v>
      </c>
      <c r="E111" s="2">
        <f>IFERROR(__xludf.DUMMYFUNCTION("""COMPUTED_VALUE"""),6526.0)</f>
        <v>6526</v>
      </c>
      <c r="F111" s="3">
        <f>IFERROR(__xludf.DUMMYFUNCTION("""COMPUTED_VALUE"""),66793.0)</f>
        <v>66793</v>
      </c>
      <c r="G111" s="2" t="str">
        <f>IFERROR(__xludf.DUMMYFUNCTION("""COMPUTED_VALUE"""),"Yanwa Hydro Private Limited")</f>
        <v>Yanwa Hydro Private Limited</v>
      </c>
      <c r="H111" s="2" t="str">
        <f>IFERROR(__xludf.DUMMYFUNCTION("""COMPUTED_VALUE"""),"KMC - 5, Hadigaun")</f>
        <v>KMC - 5, Hadigaun</v>
      </c>
      <c r="I111" s="2" t="str">
        <f>IFERROR(__xludf.DUMMYFUNCTION("""COMPUTED_VALUE"""),"27o 29' 22""")</f>
        <v>27o 29' 22"</v>
      </c>
      <c r="J111" s="2" t="str">
        <f>IFERROR(__xludf.DUMMYFUNCTION("""COMPUTED_VALUE"""),"27o 30' 29""")</f>
        <v>27o 30' 29"</v>
      </c>
      <c r="K111" s="2" t="str">
        <f>IFERROR(__xludf.DUMMYFUNCTION("""COMPUTED_VALUE"""),"87o 33' 59""")</f>
        <v>87o 33' 59"</v>
      </c>
      <c r="L111" s="2" t="str">
        <f>IFERROR(__xludf.DUMMYFUNCTION("""COMPUTED_VALUE"""),"87o 34' 57""")</f>
        <v>87o 34' 57"</v>
      </c>
      <c r="M111" s="2" t="str">
        <f>IFERROR(__xludf.DUMMYFUNCTION("""COMPUTED_VALUE"""),"Nalbu,Papung (Taplejung)")</f>
        <v>Nalbu,Papung (Taplejung)</v>
      </c>
    </row>
    <row r="112">
      <c r="A112" s="2">
        <f>IFERROR(__xludf.DUMMYFUNCTION("""COMPUTED_VALUE"""),111.0)</f>
        <v>111</v>
      </c>
      <c r="B112" s="2" t="str">
        <f>IFERROR(__xludf.DUMMYFUNCTION("""COMPUTED_VALUE"""),"BauliGad Hydropower Project")</f>
        <v>BauliGad Hydropower Project</v>
      </c>
      <c r="C112" s="2">
        <f>IFERROR(__xludf.DUMMYFUNCTION("""COMPUTED_VALUE"""),4.5)</f>
        <v>4.5</v>
      </c>
      <c r="D112" s="2" t="str">
        <f>IFERROR(__xludf.DUMMYFUNCTION("""COMPUTED_VALUE"""),"Bauligad (Seti)")</f>
        <v>Bauligad (Seti)</v>
      </c>
      <c r="E112" s="2">
        <f>IFERROR(__xludf.DUMMYFUNCTION("""COMPUTED_VALUE"""),6574.0)</f>
        <v>6574</v>
      </c>
      <c r="F112" s="3">
        <f>IFERROR(__xludf.DUMMYFUNCTION("""COMPUTED_VALUE"""),66794.0)</f>
        <v>66794</v>
      </c>
      <c r="G112" s="2" t="str">
        <f>IFERROR(__xludf.DUMMYFUNCTION("""COMPUTED_VALUE"""),"Green Current Energy pvt. Ltd")</f>
        <v>Green Current Energy pvt. Ltd</v>
      </c>
      <c r="H112" s="2" t="str">
        <f>IFERROR(__xludf.DUMMYFUNCTION("""COMPUTED_VALUE"""),"Kathmandu")</f>
        <v>Kathmandu</v>
      </c>
      <c r="I112" s="2" t="str">
        <f>IFERROR(__xludf.DUMMYFUNCTION("""COMPUTED_VALUE"""),"29o 36' 25""")</f>
        <v>29o 36' 25"</v>
      </c>
      <c r="J112" s="2" t="str">
        <f>IFERROR(__xludf.DUMMYFUNCTION("""COMPUTED_VALUE"""),"29o 38' 26""")</f>
        <v>29o 38' 26"</v>
      </c>
      <c r="K112" s="2" t="str">
        <f>IFERROR(__xludf.DUMMYFUNCTION("""COMPUTED_VALUE"""),"81o 08' 18""")</f>
        <v>81o 08' 18"</v>
      </c>
      <c r="L112" s="2" t="str">
        <f>IFERROR(__xludf.DUMMYFUNCTION("""COMPUTED_VALUE"""),"81o 10' 23""")</f>
        <v>81o 10' 23"</v>
      </c>
      <c r="M112" s="2" t="str">
        <f>IFERROR(__xludf.DUMMYFUNCTION("""COMPUTED_VALUE"""),"Dahabagar (Bajhang)")</f>
        <v>Dahabagar (Bajhang)</v>
      </c>
    </row>
    <row r="113">
      <c r="A113" s="2">
        <f>IFERROR(__xludf.DUMMYFUNCTION("""COMPUTED_VALUE"""),112.0)</f>
        <v>112</v>
      </c>
      <c r="B113" s="2" t="str">
        <f>IFERROR(__xludf.DUMMYFUNCTION("""COMPUTED_VALUE"""),"Kauley Khola Hydroelectric Project")</f>
        <v>Kauley Khola Hydroelectric Project</v>
      </c>
      <c r="C113" s="2">
        <f>IFERROR(__xludf.DUMMYFUNCTION("""COMPUTED_VALUE"""),8.85)</f>
        <v>8.85</v>
      </c>
      <c r="D113" s="2" t="str">
        <f>IFERROR(__xludf.DUMMYFUNCTION("""COMPUTED_VALUE"""),"Kauley Khola")</f>
        <v>Kauley Khola</v>
      </c>
      <c r="E113" s="2">
        <f>IFERROR(__xludf.DUMMYFUNCTION("""COMPUTED_VALUE"""),6613.0)</f>
        <v>6613</v>
      </c>
      <c r="F113" s="3">
        <f>IFERROR(__xludf.DUMMYFUNCTION("""COMPUTED_VALUE"""),66795.0)</f>
        <v>66795</v>
      </c>
      <c r="G113" s="2" t="str">
        <f>IFERROR(__xludf.DUMMYFUNCTION("""COMPUTED_VALUE"""),"Prabhu Jalabiddhut Bikash Private Limited")</f>
        <v>Prabhu Jalabiddhut Bikash Private Limited</v>
      </c>
      <c r="H113" s="2" t="str">
        <f>IFERROR(__xludf.DUMMYFUNCTION("""COMPUTED_VALUE"""),"Kathmandu, Nepal")</f>
        <v>Kathmandu, Nepal</v>
      </c>
      <c r="I113" s="2" t="str">
        <f>IFERROR(__xludf.DUMMYFUNCTION("""COMPUTED_VALUE"""),"27o 51' 50""")</f>
        <v>27o 51' 50"</v>
      </c>
      <c r="J113" s="2" t="str">
        <f>IFERROR(__xludf.DUMMYFUNCTION("""COMPUTED_VALUE"""),"27o 53' 55""")</f>
        <v>27o 53' 55"</v>
      </c>
      <c r="K113" s="2" t="str">
        <f>IFERROR(__xludf.DUMMYFUNCTION("""COMPUTED_VALUE"""),"85o 50' 50""")</f>
        <v>85o 50' 50"</v>
      </c>
      <c r="L113" s="2" t="str">
        <f>IFERROR(__xludf.DUMMYFUNCTION("""COMPUTED_VALUE"""),"85o 52' 49""")</f>
        <v>85o 52' 49"</v>
      </c>
      <c r="M113" s="2" t="str">
        <f>IFERROR(__xludf.DUMMYFUNCTION("""COMPUTED_VALUE"""),"Listi (Sindhupalchok)")</f>
        <v>Listi (Sindhupalchok)</v>
      </c>
    </row>
    <row r="114">
      <c r="A114" s="2">
        <f>IFERROR(__xludf.DUMMYFUNCTION("""COMPUTED_VALUE"""),113.0)</f>
        <v>113</v>
      </c>
      <c r="B114" s="2" t="str">
        <f>IFERROR(__xludf.DUMMYFUNCTION("""COMPUTED_VALUE"""),"Tallo Richet Khola Hydropower Project")</f>
        <v>Tallo Richet Khola Hydropower Project</v>
      </c>
      <c r="C114" s="2">
        <f>IFERROR(__xludf.DUMMYFUNCTION("""COMPUTED_VALUE"""),2.8)</f>
        <v>2.8</v>
      </c>
      <c r="D114" s="2" t="str">
        <f>IFERROR(__xludf.DUMMYFUNCTION("""COMPUTED_VALUE"""),"Richet Khola")</f>
        <v>Richet Khola</v>
      </c>
      <c r="E114" s="2">
        <f>IFERROR(__xludf.DUMMYFUNCTION("""COMPUTED_VALUE"""),6656.0)</f>
        <v>6656</v>
      </c>
      <c r="F114" s="3">
        <f>IFERROR(__xludf.DUMMYFUNCTION("""COMPUTED_VALUE"""),66797.0)</f>
        <v>66797</v>
      </c>
      <c r="G114" s="2" t="str">
        <f>IFERROR(__xludf.DUMMYFUNCTION("""COMPUTED_VALUE"""),"Chhote Khola Energy Limited")</f>
        <v>Chhote Khola Energy Limited</v>
      </c>
      <c r="H114" s="2" t="str">
        <f>IFERROR(__xludf.DUMMYFUNCTION("""COMPUTED_VALUE"""),"Kathmandu")</f>
        <v>Kathmandu</v>
      </c>
      <c r="I114" s="2" t="str">
        <f>IFERROR(__xludf.DUMMYFUNCTION("""COMPUTED_VALUE"""),"28o 10' 00""")</f>
        <v>28o 10' 00"</v>
      </c>
      <c r="J114" s="2" t="str">
        <f>IFERROR(__xludf.DUMMYFUNCTION("""COMPUTED_VALUE"""),"28o 10' 32""")</f>
        <v>28o 10' 32"</v>
      </c>
      <c r="K114" s="2" t="str">
        <f>IFERROR(__xludf.DUMMYFUNCTION("""COMPUTED_VALUE"""),"84o 54' 03""")</f>
        <v>84o 54' 03"</v>
      </c>
      <c r="L114" s="2" t="str">
        <f>IFERROR(__xludf.DUMMYFUNCTION("""COMPUTED_VALUE"""),"84o 54' 49""")</f>
        <v>84o 54' 49"</v>
      </c>
      <c r="M114" s="2" t="str">
        <f>IFERROR(__xludf.DUMMYFUNCTION("""COMPUTED_VALUE"""),"Kashigaun (Gorkha)")</f>
        <v>Kashigaun (Gorkha)</v>
      </c>
    </row>
    <row r="115">
      <c r="A115" s="2">
        <f>IFERROR(__xludf.DUMMYFUNCTION("""COMPUTED_VALUE"""),114.0)</f>
        <v>114</v>
      </c>
      <c r="B115" s="2" t="str">
        <f>IFERROR(__xludf.DUMMYFUNCTION("""COMPUTED_VALUE"""),"Bhurundi Khola Cascade Hydropower Project")</f>
        <v>Bhurundi Khola Cascade Hydropower Project</v>
      </c>
      <c r="C115" s="2">
        <f>IFERROR(__xludf.DUMMYFUNCTION("""COMPUTED_VALUE"""),4.84)</f>
        <v>4.84</v>
      </c>
      <c r="D115" s="2" t="str">
        <f>IFERROR(__xludf.DUMMYFUNCTION("""COMPUTED_VALUE"""),"Bhurundi Khola")</f>
        <v>Bhurundi Khola</v>
      </c>
      <c r="E115" s="2">
        <f>IFERROR(__xludf.DUMMYFUNCTION("""COMPUTED_VALUE"""),6662.0)</f>
        <v>6662</v>
      </c>
      <c r="F115" s="3">
        <f>IFERROR(__xludf.DUMMYFUNCTION("""COMPUTED_VALUE"""),66799.0)</f>
        <v>66799</v>
      </c>
      <c r="G115" s="2" t="str">
        <f>IFERROR(__xludf.DUMMYFUNCTION("""COMPUTED_VALUE"""),"Ambe Hydropower Private Limited")</f>
        <v>Ambe Hydropower Private Limited</v>
      </c>
      <c r="H115" s="2" t="str">
        <f>IFERROR(__xludf.DUMMYFUNCTION("""COMPUTED_VALUE"""),"KMC-10, New Baneshwor, Kathmandu")</f>
        <v>KMC-10, New Baneshwor, Kathmandu</v>
      </c>
      <c r="I115" s="2" t="str">
        <f>IFERROR(__xludf.DUMMYFUNCTION("""COMPUTED_VALUE"""),"28o 18' 34""")</f>
        <v>28o 18' 34"</v>
      </c>
      <c r="J115" s="2" t="str">
        <f>IFERROR(__xludf.DUMMYFUNCTION("""COMPUTED_VALUE"""),"28o 19' 37""")</f>
        <v>28o 19' 37"</v>
      </c>
      <c r="K115" s="2" t="str">
        <f>IFERROR(__xludf.DUMMYFUNCTION("""COMPUTED_VALUE"""),"83o 45' 00""")</f>
        <v>83o 45' 00"</v>
      </c>
      <c r="L115" s="2" t="str">
        <f>IFERROR(__xludf.DUMMYFUNCTION("""COMPUTED_VALUE"""),"83o 46' 26""")</f>
        <v>83o 46' 26"</v>
      </c>
      <c r="M115" s="2" t="str">
        <f>IFERROR(__xludf.DUMMYFUNCTION("""COMPUTED_VALUE"""),"Dangsing (Kaski)")</f>
        <v>Dangsing (Kaski)</v>
      </c>
    </row>
    <row r="116">
      <c r="A116" s="2">
        <f>IFERROR(__xludf.DUMMYFUNCTION("""COMPUTED_VALUE"""),115.0)</f>
        <v>115</v>
      </c>
      <c r="B116" s="2" t="str">
        <f>IFERROR(__xludf.DUMMYFUNCTION("""COMPUTED_VALUE"""),"Upper Khatyad Khola Hydropower Project")</f>
        <v>Upper Khatyad Khola Hydropower Project</v>
      </c>
      <c r="C116" s="2">
        <f>IFERROR(__xludf.DUMMYFUNCTION("""COMPUTED_VALUE"""),4.76)</f>
        <v>4.76</v>
      </c>
      <c r="D116" s="2" t="str">
        <f>IFERROR(__xludf.DUMMYFUNCTION("""COMPUTED_VALUE"""),"Khatyad Khola")</f>
        <v>Khatyad Khola</v>
      </c>
      <c r="E116" s="2">
        <f>IFERROR(__xludf.DUMMYFUNCTION("""COMPUTED_VALUE"""),6666.0)</f>
        <v>6666</v>
      </c>
      <c r="F116" s="3">
        <f>IFERROR(__xludf.DUMMYFUNCTION("""COMPUTED_VALUE"""),66799.0)</f>
        <v>66799</v>
      </c>
      <c r="G116" s="2" t="str">
        <f>IFERROR(__xludf.DUMMYFUNCTION("""COMPUTED_VALUE"""),"Sama Energy Pvt. Ltd")</f>
        <v>Sama Energy Pvt. Ltd</v>
      </c>
      <c r="H116" s="2" t="str">
        <f>IFERROR(__xludf.DUMMYFUNCTION("""COMPUTED_VALUE"""),"Sanepa , Lalitpur")</f>
        <v>Sanepa , Lalitpur</v>
      </c>
      <c r="I116" s="2" t="str">
        <f>IFERROR(__xludf.DUMMYFUNCTION("""COMPUTED_VALUE"""),"29o 30' 00""")</f>
        <v>29o 30' 00"</v>
      </c>
      <c r="J116" s="2" t="str">
        <f>IFERROR(__xludf.DUMMYFUNCTION("""COMPUTED_VALUE"""),"29o 32' 00""")</f>
        <v>29o 32' 00"</v>
      </c>
      <c r="K116" s="2" t="str">
        <f>IFERROR(__xludf.DUMMYFUNCTION("""COMPUTED_VALUE"""),"81o 54' 50""")</f>
        <v>81o 54' 50"</v>
      </c>
      <c r="L116" s="2" t="str">
        <f>IFERROR(__xludf.DUMMYFUNCTION("""COMPUTED_VALUE"""),"81o 56' 50""")</f>
        <v>81o 56' 50"</v>
      </c>
      <c r="M116" s="2" t="str">
        <f>IFERROR(__xludf.DUMMYFUNCTION("""COMPUTED_VALUE"""),"Kot Danda (Mugu)")</f>
        <v>Kot Danda (Mugu)</v>
      </c>
    </row>
    <row r="117">
      <c r="A117" s="2">
        <f>IFERROR(__xludf.DUMMYFUNCTION("""COMPUTED_VALUE"""),116.0)</f>
        <v>116</v>
      </c>
      <c r="B117" s="2" t="str">
        <f>IFERROR(__xludf.DUMMYFUNCTION("""COMPUTED_VALUE"""),"Lower Khatyad Khola Hydropower Project")</f>
        <v>Lower Khatyad Khola Hydropower Project</v>
      </c>
      <c r="C117" s="2">
        <f>IFERROR(__xludf.DUMMYFUNCTION("""COMPUTED_VALUE"""),9.85)</f>
        <v>9.85</v>
      </c>
      <c r="D117" s="2" t="str">
        <f>IFERROR(__xludf.DUMMYFUNCTION("""COMPUTED_VALUE"""),"Khatyad Khola")</f>
        <v>Khatyad Khola</v>
      </c>
      <c r="E117" s="2">
        <f>IFERROR(__xludf.DUMMYFUNCTION("""COMPUTED_VALUE"""),6667.0)</f>
        <v>6667</v>
      </c>
      <c r="F117" s="3">
        <f>IFERROR(__xludf.DUMMYFUNCTION("""COMPUTED_VALUE"""),66799.0)</f>
        <v>66799</v>
      </c>
      <c r="G117" s="2" t="str">
        <f>IFERROR(__xludf.DUMMYFUNCTION("""COMPUTED_VALUE"""),"Sama Energy Pvt. Ltd")</f>
        <v>Sama Energy Pvt. Ltd</v>
      </c>
      <c r="H117" s="2" t="str">
        <f>IFERROR(__xludf.DUMMYFUNCTION("""COMPUTED_VALUE"""),"Sanepa , Lalitpur")</f>
        <v>Sanepa , Lalitpur</v>
      </c>
      <c r="I117" s="2" t="str">
        <f>IFERROR(__xludf.DUMMYFUNCTION("""COMPUTED_VALUE"""),"29o 30' 00""")</f>
        <v>29o 30' 00"</v>
      </c>
      <c r="J117" s="2" t="str">
        <f>IFERROR(__xludf.DUMMYFUNCTION("""COMPUTED_VALUE"""),"29o 31' 00""")</f>
        <v>29o 31' 00"</v>
      </c>
      <c r="K117" s="2" t="str">
        <f>IFERROR(__xludf.DUMMYFUNCTION("""COMPUTED_VALUE"""),"81o 52' 10""")</f>
        <v>81o 52' 10"</v>
      </c>
      <c r="L117" s="2" t="str">
        <f>IFERROR(__xludf.DUMMYFUNCTION("""COMPUTED_VALUE"""),"81o 54' 15""")</f>
        <v>81o 54' 15"</v>
      </c>
      <c r="M117" s="2" t="str">
        <f>IFERROR(__xludf.DUMMYFUNCTION("""COMPUTED_VALUE"""),"Kot Danda (Mugu)")</f>
        <v>Kot Danda (Mugu)</v>
      </c>
    </row>
    <row r="118">
      <c r="A118" s="2">
        <f>IFERROR(__xludf.DUMMYFUNCTION("""COMPUTED_VALUE"""),117.0)</f>
        <v>117</v>
      </c>
      <c r="B118" s="2" t="str">
        <f>IFERROR(__xludf.DUMMYFUNCTION("""COMPUTED_VALUE"""),"Sawa Khola Hydropower Project")</f>
        <v>Sawa Khola Hydropower Project</v>
      </c>
      <c r="C118" s="2">
        <f>IFERROR(__xludf.DUMMYFUNCTION("""COMPUTED_VALUE"""),3.3)</f>
        <v>3.3</v>
      </c>
      <c r="D118" s="2" t="str">
        <f>IFERROR(__xludf.DUMMYFUNCTION("""COMPUTED_VALUE"""),"Sawa Khola")</f>
        <v>Sawa Khola</v>
      </c>
      <c r="E118" s="2">
        <f>IFERROR(__xludf.DUMMYFUNCTION("""COMPUTED_VALUE"""),6700.0)</f>
        <v>6700</v>
      </c>
      <c r="F118" s="3">
        <f>IFERROR(__xludf.DUMMYFUNCTION("""COMPUTED_VALUE"""),66805.0)</f>
        <v>66805</v>
      </c>
      <c r="G118" s="2" t="str">
        <f>IFERROR(__xludf.DUMMYFUNCTION("""COMPUTED_VALUE"""),"Himalayan Hydro Ventures Company Private Limited")</f>
        <v>Himalayan Hydro Ventures Company Private Limited</v>
      </c>
      <c r="H118" s="2" t="str">
        <f>IFERROR(__xludf.DUMMYFUNCTION("""COMPUTED_VALUE"""),"Kathmandu, Nepal (Contact: 9845812519)")</f>
        <v>Kathmandu, Nepal (Contact: 9845812519)</v>
      </c>
      <c r="I118" s="2" t="str">
        <f>IFERROR(__xludf.DUMMYFUNCTION("""COMPUTED_VALUE"""),"26o 59' 00""")</f>
        <v>26o 59' 00"</v>
      </c>
      <c r="J118" s="2" t="str">
        <f>IFERROR(__xludf.DUMMYFUNCTION("""COMPUTED_VALUE"""),"27o 00' 30""")</f>
        <v>27o 00' 30"</v>
      </c>
      <c r="K118" s="2" t="str">
        <f>IFERROR(__xludf.DUMMYFUNCTION("""COMPUTED_VALUE"""),"86o 47' 00""")</f>
        <v>86o 47' 00"</v>
      </c>
      <c r="L118" s="2" t="str">
        <f>IFERROR(__xludf.DUMMYFUNCTION("""COMPUTED_VALUE"""),"86o 49' 30""")</f>
        <v>86o 49' 30"</v>
      </c>
      <c r="M118" s="2" t="str">
        <f>IFERROR(__xludf.DUMMYFUNCTION("""COMPUTED_VALUE"""),"Barahapokhari,Khotang Bazar,Lichki Ramche (Khotang)")</f>
        <v>Barahapokhari,Khotang Bazar,Lichki Ramche (Khotang)</v>
      </c>
    </row>
    <row r="119">
      <c r="A119" s="2">
        <f>IFERROR(__xludf.DUMMYFUNCTION("""COMPUTED_VALUE"""),118.0)</f>
        <v>118</v>
      </c>
      <c r="B119" s="2" t="str">
        <f>IFERROR(__xludf.DUMMYFUNCTION("""COMPUTED_VALUE"""),"Madhya Madi Hydropower Project")</f>
        <v>Madhya Madi Hydropower Project</v>
      </c>
      <c r="C119" s="2">
        <f>IFERROR(__xludf.DUMMYFUNCTION("""COMPUTED_VALUE"""),9.5)</f>
        <v>9.5</v>
      </c>
      <c r="D119" s="2" t="str">
        <f>IFERROR(__xludf.DUMMYFUNCTION("""COMPUTED_VALUE"""),"Madi Khola")</f>
        <v>Madi Khola</v>
      </c>
      <c r="E119" s="2">
        <f>IFERROR(__xludf.DUMMYFUNCTION("""COMPUTED_VALUE"""),6705.0)</f>
        <v>6705</v>
      </c>
      <c r="F119" s="3">
        <f>IFERROR(__xludf.DUMMYFUNCTION("""COMPUTED_VALUE"""),66805.0)</f>
        <v>66805</v>
      </c>
      <c r="G119" s="2" t="str">
        <f>IFERROR(__xludf.DUMMYFUNCTION("""COMPUTED_VALUE"""),"Braja Energy and Developers Private Limited")</f>
        <v>Braja Energy and Developers Private Limited</v>
      </c>
      <c r="H119" s="2" t="str">
        <f>IFERROR(__xludf.DUMMYFUNCTION("""COMPUTED_VALUE"""),"Pokhara - 26, Kaski")</f>
        <v>Pokhara - 26, Kaski</v>
      </c>
      <c r="I119" s="2" t="str">
        <f>IFERROR(__xludf.DUMMYFUNCTION("""COMPUTED_VALUE"""),"28o 21' 40""")</f>
        <v>28o 21' 40"</v>
      </c>
      <c r="J119" s="2" t="str">
        <f>IFERROR(__xludf.DUMMYFUNCTION("""COMPUTED_VALUE"""),"28o 22' 31""")</f>
        <v>28o 22' 31"</v>
      </c>
      <c r="K119" s="2" t="str">
        <f>IFERROR(__xludf.DUMMYFUNCTION("""COMPUTED_VALUE"""),"84o 06' 05""")</f>
        <v>84o 06' 05"</v>
      </c>
      <c r="L119" s="2" t="str">
        <f>IFERROR(__xludf.DUMMYFUNCTION("""COMPUTED_VALUE"""),"84o 07' 50""")</f>
        <v>84o 07' 50"</v>
      </c>
      <c r="M119" s="2" t="str">
        <f>IFERROR(__xludf.DUMMYFUNCTION("""COMPUTED_VALUE"""),"Namarjung,Parche (Kaski)")</f>
        <v>Namarjung,Parche (Kaski)</v>
      </c>
    </row>
    <row r="120">
      <c r="A120" s="2">
        <f>IFERROR(__xludf.DUMMYFUNCTION("""COMPUTED_VALUE"""),119.0)</f>
        <v>119</v>
      </c>
      <c r="B120" s="2" t="str">
        <f>IFERROR(__xludf.DUMMYFUNCTION("""COMPUTED_VALUE"""),"Upper Bhuji Khola Hydropower Project")</f>
        <v>Upper Bhuji Khola Hydropower Project</v>
      </c>
      <c r="C120" s="2">
        <f>IFERROR(__xludf.DUMMYFUNCTION("""COMPUTED_VALUE"""),3.0)</f>
        <v>3</v>
      </c>
      <c r="D120" s="2" t="str">
        <f>IFERROR(__xludf.DUMMYFUNCTION("""COMPUTED_VALUE"""),"Bhuji Khola")</f>
        <v>Bhuji Khola</v>
      </c>
      <c r="E120" s="2">
        <f>IFERROR(__xludf.DUMMYFUNCTION("""COMPUTED_VALUE"""),6799.0)</f>
        <v>6799</v>
      </c>
      <c r="F120" s="3">
        <f>IFERROR(__xludf.DUMMYFUNCTION("""COMPUTED_VALUE"""),66807.0)</f>
        <v>66807</v>
      </c>
      <c r="G120" s="2" t="str">
        <f>IFERROR(__xludf.DUMMYFUNCTION("""COMPUTED_VALUE"""),"Santosh Pudasainee")</f>
        <v>Santosh Pudasainee</v>
      </c>
      <c r="H120" s="2" t="str">
        <f>IFERROR(__xludf.DUMMYFUNCTION("""COMPUTED_VALUE"""),"Nagarjun - 01, Kathmandu")</f>
        <v>Nagarjun - 01, Kathmandu</v>
      </c>
      <c r="I120" s="2" t="str">
        <f>IFERROR(__xludf.DUMMYFUNCTION("""COMPUTED_VALUE"""),"28o 23' 01""")</f>
        <v>28o 23' 01"</v>
      </c>
      <c r="J120" s="2" t="str">
        <f>IFERROR(__xludf.DUMMYFUNCTION("""COMPUTED_VALUE"""),"28o 24' 27""")</f>
        <v>28o 24' 27"</v>
      </c>
      <c r="K120" s="2" t="str">
        <f>IFERROR(__xludf.DUMMYFUNCTION("""COMPUTED_VALUE"""),"83o 04' 40""")</f>
        <v>83o 04' 40"</v>
      </c>
      <c r="L120" s="2" t="str">
        <f>IFERROR(__xludf.DUMMYFUNCTION("""COMPUTED_VALUE"""),"83o 06' 53""")</f>
        <v>83o 06' 53"</v>
      </c>
      <c r="M120" s="2" t="str">
        <f>IFERROR(__xludf.DUMMYFUNCTION("""COMPUTED_VALUE"""),"Adhikarichaur,Bowang,Boharagaun (Baglung)")</f>
        <v>Adhikarichaur,Bowang,Boharagaun (Baglung)</v>
      </c>
    </row>
    <row r="121">
      <c r="A121" s="2">
        <f>IFERROR(__xludf.DUMMYFUNCTION("""COMPUTED_VALUE"""),120.0)</f>
        <v>120</v>
      </c>
      <c r="B121" s="2" t="str">
        <f>IFERROR(__xludf.DUMMYFUNCTION("""COMPUTED_VALUE"""),"Ripagad Small hydroelectric Project")</f>
        <v>Ripagad Small hydroelectric Project</v>
      </c>
      <c r="C121" s="2">
        <f>IFERROR(__xludf.DUMMYFUNCTION("""COMPUTED_VALUE"""),4.4)</f>
        <v>4.4</v>
      </c>
      <c r="D121" s="2" t="str">
        <f>IFERROR(__xludf.DUMMYFUNCTION("""COMPUTED_VALUE"""),"Ripagad khola")</f>
        <v>Ripagad khola</v>
      </c>
      <c r="E121" s="2">
        <f>IFERROR(__xludf.DUMMYFUNCTION("""COMPUTED_VALUE"""),6811.0)</f>
        <v>6811</v>
      </c>
      <c r="F121" s="3">
        <f>IFERROR(__xludf.DUMMYFUNCTION("""COMPUTED_VALUE"""),66808.0)</f>
        <v>66808</v>
      </c>
      <c r="G121" s="2" t="str">
        <f>IFERROR(__xludf.DUMMYFUNCTION("""COMPUTED_VALUE"""),"Infra Holdings Pvt. Ltd")</f>
        <v>Infra Holdings Pvt. Ltd</v>
      </c>
      <c r="H121" s="2" t="str">
        <f>IFERROR(__xludf.DUMMYFUNCTION("""COMPUTED_VALUE"""),"Minbhawan-10, Kathmandu")</f>
        <v>Minbhawan-10, Kathmandu</v>
      </c>
      <c r="I121" s="2" t="str">
        <f>IFERROR(__xludf.DUMMYFUNCTION("""COMPUTED_VALUE"""),"29o 47' 46""")</f>
        <v>29o 47' 46"</v>
      </c>
      <c r="J121" s="2" t="str">
        <f>IFERROR(__xludf.DUMMYFUNCTION("""COMPUTED_VALUE"""),"29o 49' 01""")</f>
        <v>29o 49' 01"</v>
      </c>
      <c r="K121" s="2" t="str">
        <f>IFERROR(__xludf.DUMMYFUNCTION("""COMPUTED_VALUE"""),"81o 49' 39""")</f>
        <v>81o 49' 39"</v>
      </c>
      <c r="L121" s="2" t="str">
        <f>IFERROR(__xludf.DUMMYFUNCTION("""COMPUTED_VALUE"""),"81o 52' 04""")</f>
        <v>81o 52' 04"</v>
      </c>
      <c r="M121" s="2" t="str">
        <f>IFERROR(__xludf.DUMMYFUNCTION("""COMPUTED_VALUE"""),"Jaur (Humla)")</f>
        <v>Jaur (Humla)</v>
      </c>
    </row>
    <row r="122">
      <c r="A122" s="2">
        <f>IFERROR(__xludf.DUMMYFUNCTION("""COMPUTED_VALUE"""),121.0)</f>
        <v>121</v>
      </c>
      <c r="B122" s="2" t="str">
        <f>IFERROR(__xludf.DUMMYFUNCTION("""COMPUTED_VALUE"""),"Rudrawati Badigad Cascade Hydropower Project")</f>
        <v>Rudrawati Badigad Cascade Hydropower Project</v>
      </c>
      <c r="C122" s="2">
        <f>IFERROR(__xludf.DUMMYFUNCTION("""COMPUTED_VALUE"""),8.52)</f>
        <v>8.52</v>
      </c>
      <c r="D122" s="2" t="str">
        <f>IFERROR(__xludf.DUMMYFUNCTION("""COMPUTED_VALUE"""),"Badigad")</f>
        <v>Badigad</v>
      </c>
      <c r="E122" s="2">
        <f>IFERROR(__xludf.DUMMYFUNCTION("""COMPUTED_VALUE"""),6850.0)</f>
        <v>6850</v>
      </c>
      <c r="F122" s="3">
        <f>IFERROR(__xludf.DUMMYFUNCTION("""COMPUTED_VALUE"""),66808.0)</f>
        <v>66808</v>
      </c>
      <c r="G122" s="2" t="str">
        <f>IFERROR(__xludf.DUMMYFUNCTION("""COMPUTED_VALUE"""),"Hanumante Power and Energy Pvt.Ltd.")</f>
        <v>Hanumante Power and Energy Pvt.Ltd.</v>
      </c>
      <c r="H122" s="2" t="str">
        <f>IFERROR(__xludf.DUMMYFUNCTION("""COMPUTED_VALUE"""),"Pepsicola, Kathmandu")</f>
        <v>Pepsicola, Kathmandu</v>
      </c>
      <c r="I122" s="2" t="str">
        <f>IFERROR(__xludf.DUMMYFUNCTION("""COMPUTED_VALUE"""),"28o 11' 01""")</f>
        <v>28o 11' 01"</v>
      </c>
      <c r="J122" s="2" t="str">
        <f>IFERROR(__xludf.DUMMYFUNCTION("""COMPUTED_VALUE"""),"28o 12' 33""")</f>
        <v>28o 12' 33"</v>
      </c>
      <c r="K122" s="2" t="str">
        <f>IFERROR(__xludf.DUMMYFUNCTION("""COMPUTED_VALUE"""),"83o 15' 00""")</f>
        <v>83o 15' 00"</v>
      </c>
      <c r="L122" s="2" t="str">
        <f>IFERROR(__xludf.DUMMYFUNCTION("""COMPUTED_VALUE"""),"83o 16' 40""")</f>
        <v>83o 16' 40"</v>
      </c>
      <c r="M122" s="2" t="str">
        <f>IFERROR(__xludf.DUMMYFUNCTION("""COMPUTED_VALUE"""),"Dagatundada (Baglung) Paudi Amarahi,Bami (Gulmi)")</f>
        <v>Dagatundada (Baglung) Paudi Amarahi,Bami (Gulmi)</v>
      </c>
    </row>
    <row r="123">
      <c r="A123" s="2">
        <f>IFERROR(__xludf.DUMMYFUNCTION("""COMPUTED_VALUE"""),122.0)</f>
        <v>122</v>
      </c>
      <c r="B123" s="2" t="str">
        <f>IFERROR(__xludf.DUMMYFUNCTION("""COMPUTED_VALUE"""),"Siwa Khola Hydropower Project")</f>
        <v>Siwa Khola Hydropower Project</v>
      </c>
      <c r="C123" s="2">
        <f>IFERROR(__xludf.DUMMYFUNCTION("""COMPUTED_VALUE"""),4.6)</f>
        <v>4.6</v>
      </c>
      <c r="D123" s="2" t="str">
        <f>IFERROR(__xludf.DUMMYFUNCTION("""COMPUTED_VALUE"""),"Siwa Khola")</f>
        <v>Siwa Khola</v>
      </c>
      <c r="E123" s="2">
        <f>IFERROR(__xludf.DUMMYFUNCTION("""COMPUTED_VALUE"""),7058.0)</f>
        <v>7058</v>
      </c>
      <c r="F123" s="3">
        <f>IFERROR(__xludf.DUMMYFUNCTION("""COMPUTED_VALUE"""),66815.0)</f>
        <v>66815</v>
      </c>
      <c r="G123" s="2" t="str">
        <f>IFERROR(__xludf.DUMMYFUNCTION("""COMPUTED_VALUE"""),"Best Hydropower Company Private Limited")</f>
        <v>Best Hydropower Company Private Limited</v>
      </c>
      <c r="H123" s="2" t="str">
        <f>IFERROR(__xludf.DUMMYFUNCTION("""COMPUTED_VALUE"""),"Ward No. 32, Koteshwor, Kathmandu")</f>
        <v>Ward No. 32, Koteshwor, Kathmandu</v>
      </c>
      <c r="I123" s="2" t="str">
        <f>IFERROR(__xludf.DUMMYFUNCTION("""COMPUTED_VALUE"""),"27o 23' 00""")</f>
        <v>27o 23' 00"</v>
      </c>
      <c r="J123" s="2" t="str">
        <f>IFERROR(__xludf.DUMMYFUNCTION("""COMPUTED_VALUE"""),"27o 24' 22""")</f>
        <v>27o 24' 22"</v>
      </c>
      <c r="K123" s="2" t="str">
        <f>IFERROR(__xludf.DUMMYFUNCTION("""COMPUTED_VALUE"""),"87o 54' 43""")</f>
        <v>87o 54' 43"</v>
      </c>
      <c r="L123" s="2" t="str">
        <f>IFERROR(__xludf.DUMMYFUNCTION("""COMPUTED_VALUE"""),"87o 56' 45""")</f>
        <v>87o 56' 45"</v>
      </c>
      <c r="M123" s="2" t="str">
        <f>IFERROR(__xludf.DUMMYFUNCTION("""COMPUTED_VALUE"""),"Khewang,Surunkhim (Taplejung)")</f>
        <v>Khewang,Surunkhim (Taplejung)</v>
      </c>
    </row>
    <row r="124">
      <c r="A124" s="2">
        <f>IFERROR(__xludf.DUMMYFUNCTION("""COMPUTED_VALUE"""),123.0)</f>
        <v>123</v>
      </c>
      <c r="B124" s="2" t="str">
        <f>IFERROR(__xludf.DUMMYFUNCTION("""COMPUTED_VALUE"""),"Ghatta Khola Hydropower Project")</f>
        <v>Ghatta Khola Hydropower Project</v>
      </c>
      <c r="C124" s="2">
        <f>IFERROR(__xludf.DUMMYFUNCTION("""COMPUTED_VALUE"""),4.05)</f>
        <v>4.05</v>
      </c>
      <c r="D124" s="2" t="str">
        <f>IFERROR(__xludf.DUMMYFUNCTION("""COMPUTED_VALUE"""),"Ghatta Khola")</f>
        <v>Ghatta Khola</v>
      </c>
      <c r="E124" s="2">
        <f>IFERROR(__xludf.DUMMYFUNCTION("""COMPUTED_VALUE"""),7184.0)</f>
        <v>7184</v>
      </c>
      <c r="F124" s="3">
        <f>IFERROR(__xludf.DUMMYFUNCTION("""COMPUTED_VALUE"""),66818.0)</f>
        <v>66818</v>
      </c>
      <c r="G124" s="2" t="str">
        <f>IFERROR(__xludf.DUMMYFUNCTION("""COMPUTED_VALUE"""),"Sitadevi Hydropower Private Limited")</f>
        <v>Sitadevi Hydropower Private Limited</v>
      </c>
      <c r="H124" s="2" t="str">
        <f>IFERROR(__xludf.DUMMYFUNCTION("""COMPUTED_VALUE"""),"Thamel - 26, Kathmandu")</f>
        <v>Thamel - 26, Kathmandu</v>
      </c>
      <c r="I124" s="2" t="str">
        <f>IFERROR(__xludf.DUMMYFUNCTION("""COMPUTED_VALUE"""),"28o 23' 13""")</f>
        <v>28o 23' 13"</v>
      </c>
      <c r="J124" s="2" t="str">
        <f>IFERROR(__xludf.DUMMYFUNCTION("""COMPUTED_VALUE"""),"28o 23' 40""")</f>
        <v>28o 23' 40"</v>
      </c>
      <c r="K124" s="2" t="str">
        <f>IFERROR(__xludf.DUMMYFUNCTION("""COMPUTED_VALUE"""),"84o 52' 20""")</f>
        <v>84o 52' 20"</v>
      </c>
      <c r="L124" s="2" t="str">
        <f>IFERROR(__xludf.DUMMYFUNCTION("""COMPUTED_VALUE"""),"84o 52' 55""")</f>
        <v>84o 52' 55"</v>
      </c>
      <c r="M124" s="2" t="str">
        <f>IFERROR(__xludf.DUMMYFUNCTION("""COMPUTED_VALUE"""),"Sirdibas (Gorkha)")</f>
        <v>Sirdibas (Gorkha)</v>
      </c>
    </row>
    <row r="125">
      <c r="A125" s="2">
        <f>IFERROR(__xludf.DUMMYFUNCTION("""COMPUTED_VALUE"""),124.0)</f>
        <v>124</v>
      </c>
      <c r="B125" s="2" t="str">
        <f>IFERROR(__xludf.DUMMYFUNCTION("""COMPUTED_VALUE"""),"Rija Gad Hydropower Project")</f>
        <v>Rija Gad Hydropower Project</v>
      </c>
      <c r="C125" s="2">
        <f>IFERROR(__xludf.DUMMYFUNCTION("""COMPUTED_VALUE"""),4.5)</f>
        <v>4.5</v>
      </c>
      <c r="D125" s="2" t="str">
        <f>IFERROR(__xludf.DUMMYFUNCTION("""COMPUTED_VALUE"""),"Rija Gad")</f>
        <v>Rija Gad</v>
      </c>
      <c r="E125" s="2">
        <f>IFERROR(__xludf.DUMMYFUNCTION("""COMPUTED_VALUE"""),7235.0)</f>
        <v>7235</v>
      </c>
      <c r="F125" s="3">
        <f>IFERROR(__xludf.DUMMYFUNCTION("""COMPUTED_VALUE"""),66819.0)</f>
        <v>66819</v>
      </c>
      <c r="G125" s="2" t="str">
        <f>IFERROR(__xludf.DUMMYFUNCTION("""COMPUTED_VALUE"""),"Rudrakshya powr Pvt. Ltd")</f>
        <v>Rudrakshya powr Pvt. Ltd</v>
      </c>
      <c r="H125" s="2" t="str">
        <f>IFERROR(__xludf.DUMMYFUNCTION("""COMPUTED_VALUE"""),"Kathmandu")</f>
        <v>Kathmandu</v>
      </c>
      <c r="I125" s="2" t="str">
        <f>IFERROR(__xludf.DUMMYFUNCTION("""COMPUTED_VALUE"""),"28o 51' 44""")</f>
        <v>28o 51' 44"</v>
      </c>
      <c r="J125" s="2" t="str">
        <f>IFERROR(__xludf.DUMMYFUNCTION("""COMPUTED_VALUE"""),"28o 52' 53""")</f>
        <v>28o 52' 53"</v>
      </c>
      <c r="K125" s="2" t="str">
        <f>IFERROR(__xludf.DUMMYFUNCTION("""COMPUTED_VALUE"""),"82o 31' 28""")</f>
        <v>82o 31' 28"</v>
      </c>
      <c r="L125" s="2" t="str">
        <f>IFERROR(__xludf.DUMMYFUNCTION("""COMPUTED_VALUE"""),"82o 33' 35""")</f>
        <v>82o 33' 35"</v>
      </c>
      <c r="M125" s="2" t="str">
        <f>IFERROR(__xludf.DUMMYFUNCTION("""COMPUTED_VALUE"""),"Chhiwang (Rukum)")</f>
        <v>Chhiwang (Rukum)</v>
      </c>
    </row>
    <row r="126">
      <c r="A126" s="2">
        <f>IFERROR(__xludf.DUMMYFUNCTION("""COMPUTED_VALUE"""),125.0)</f>
        <v>125</v>
      </c>
      <c r="B126" s="2" t="str">
        <f>IFERROR(__xludf.DUMMYFUNCTION("""COMPUTED_VALUE"""),"Dhaprang Ghorsampa Khola Hydroelectric Project")</f>
        <v>Dhaprang Ghorsampa Khola Hydroelectric Project</v>
      </c>
      <c r="C126" s="2">
        <f>IFERROR(__xludf.DUMMYFUNCTION("""COMPUTED_VALUE"""),4.4)</f>
        <v>4.4</v>
      </c>
      <c r="D126" s="2" t="str">
        <f>IFERROR(__xludf.DUMMYFUNCTION("""COMPUTED_VALUE"""),"Ghatte Khola")</f>
        <v>Ghatte Khola</v>
      </c>
      <c r="E126" s="2">
        <f>IFERROR(__xludf.DUMMYFUNCTION("""COMPUTED_VALUE"""),7236.0)</f>
        <v>7236</v>
      </c>
      <c r="F126" s="3">
        <f>IFERROR(__xludf.DUMMYFUNCTION("""COMPUTED_VALUE"""),66819.0)</f>
        <v>66819</v>
      </c>
      <c r="G126" s="2" t="str">
        <f>IFERROR(__xludf.DUMMYFUNCTION("""COMPUTED_VALUE"""),"Aariya Consult Private Limited")</f>
        <v>Aariya Consult Private Limited</v>
      </c>
      <c r="H126" s="2" t="str">
        <f>IFERROR(__xludf.DUMMYFUNCTION("""COMPUTED_VALUE"""),"Kageswari Manohara-9, Kathmandu")</f>
        <v>Kageswari Manohara-9, Kathmandu</v>
      </c>
      <c r="I126" s="2" t="str">
        <f>IFERROR(__xludf.DUMMYFUNCTION("""COMPUTED_VALUE"""),"28o 31' 57""")</f>
        <v>28o 31' 57"</v>
      </c>
      <c r="J126" s="2" t="str">
        <f>IFERROR(__xludf.DUMMYFUNCTION("""COMPUTED_VALUE"""),"28o 33' 10""")</f>
        <v>28o 33' 10"</v>
      </c>
      <c r="K126" s="2" t="str">
        <f>IFERROR(__xludf.DUMMYFUNCTION("""COMPUTED_VALUE"""),"84o 13' 24""")</f>
        <v>84o 13' 24"</v>
      </c>
      <c r="L126" s="2" t="str">
        <f>IFERROR(__xludf.DUMMYFUNCTION("""COMPUTED_VALUE"""),"84o 14' 58""")</f>
        <v>84o 14' 58"</v>
      </c>
      <c r="M126" s="2" t="str">
        <f>IFERROR(__xludf.DUMMYFUNCTION("""COMPUTED_VALUE"""),"Chame,Pisng (Manang)")</f>
        <v>Chame,Pisng (Manang)</v>
      </c>
    </row>
    <row r="127">
      <c r="A127" s="2">
        <f>IFERROR(__xludf.DUMMYFUNCTION("""COMPUTED_VALUE"""),126.0)</f>
        <v>126</v>
      </c>
      <c r="B127" s="2" t="str">
        <f>IFERROR(__xludf.DUMMYFUNCTION("""COMPUTED_VALUE"""),"Budhigandaki Storage Cascade Hydropower Project")</f>
        <v>Budhigandaki Storage Cascade Hydropower Project</v>
      </c>
      <c r="C127" s="2">
        <f>IFERROR(__xludf.DUMMYFUNCTION("""COMPUTED_VALUE"""),499.29)</f>
        <v>499.29</v>
      </c>
      <c r="D127" s="2" t="str">
        <f>IFERROR(__xludf.DUMMYFUNCTION("""COMPUTED_VALUE"""),"Budhi Gandaki")</f>
        <v>Budhi Gandaki</v>
      </c>
      <c r="E127" s="2">
        <f>IFERROR(__xludf.DUMMYFUNCTION("""COMPUTED_VALUE"""),7258.0)</f>
        <v>7258</v>
      </c>
      <c r="F127" s="3">
        <f>IFERROR(__xludf.DUMMYFUNCTION("""COMPUTED_VALUE"""),66820.0)</f>
        <v>66820</v>
      </c>
      <c r="G127" s="2" t="str">
        <f>IFERROR(__xludf.DUMMYFUNCTION("""COMPUTED_VALUE"""),"Samriddhi Nilgiri Bijuli Udhyog Private Limited")</f>
        <v>Samriddhi Nilgiri Bijuli Udhyog Private Limited</v>
      </c>
      <c r="H127" s="2" t="str">
        <f>IFERROR(__xludf.DUMMYFUNCTION("""COMPUTED_VALUE"""),"Budhanilkantha, Kathmandu")</f>
        <v>Budhanilkantha, Kathmandu</v>
      </c>
      <c r="I127" s="2" t="str">
        <f>IFERROR(__xludf.DUMMYFUNCTION("""COMPUTED_VALUE"""),"27o 44' 52""")</f>
        <v>27o 44' 52"</v>
      </c>
      <c r="J127" s="2" t="str">
        <f>IFERROR(__xludf.DUMMYFUNCTION("""COMPUTED_VALUE"""),"27o 49' 40""")</f>
        <v>27o 49' 40"</v>
      </c>
      <c r="K127" s="2" t="str">
        <f>IFERROR(__xludf.DUMMYFUNCTION("""COMPUTED_VALUE"""),"84o 28' 00""")</f>
        <v>84o 28' 00"</v>
      </c>
      <c r="L127" s="2" t="str">
        <f>IFERROR(__xludf.DUMMYFUNCTION("""COMPUTED_VALUE"""),"84o 47' 01""")</f>
        <v>84o 47' 01"</v>
      </c>
      <c r="M127" s="2" t="str">
        <f>IFERROR(__xludf.DUMMYFUNCTION("""COMPUTED_VALUE"""),"Kaule (Chitawan) Benighat (Dhading) Ghyalchok (Gorkha) Chhimkeswori (Tanahu)")</f>
        <v>Kaule (Chitawan) Benighat (Dhading) Ghyalchok (Gorkha) Chhimkeswori (Tanahu)</v>
      </c>
    </row>
    <row r="128">
      <c r="A128" s="2">
        <f>IFERROR(__xludf.DUMMYFUNCTION("""COMPUTED_VALUE"""),127.0)</f>
        <v>127</v>
      </c>
      <c r="B128" s="2" t="str">
        <f>IFERROR(__xludf.DUMMYFUNCTION("""COMPUTED_VALUE"""),"Paban and Bhalu Khola Hydropower Project")</f>
        <v>Paban and Bhalu Khola Hydropower Project</v>
      </c>
      <c r="C128" s="2">
        <f>IFERROR(__xludf.DUMMYFUNCTION("""COMPUTED_VALUE"""),4.98)</f>
        <v>4.98</v>
      </c>
      <c r="D128" s="2" t="str">
        <f>IFERROR(__xludf.DUMMYFUNCTION("""COMPUTED_VALUE"""),"Paban and Bhalu Khola")</f>
        <v>Paban and Bhalu Khola</v>
      </c>
      <c r="E128" s="2">
        <f>IFERROR(__xludf.DUMMYFUNCTION("""COMPUTED_VALUE"""),7259.0)</f>
        <v>7259</v>
      </c>
      <c r="F128" s="3">
        <f>IFERROR(__xludf.DUMMYFUNCTION("""COMPUTED_VALUE"""),66820.0)</f>
        <v>66820</v>
      </c>
      <c r="G128" s="2" t="str">
        <f>IFERROR(__xludf.DUMMYFUNCTION("""COMPUTED_VALUE"""),"Kankukhola Hydropower Private Limited")</f>
        <v>Kankukhola Hydropower Private Limited</v>
      </c>
      <c r="H128" s="2" t="str">
        <f>IFERROR(__xludf.DUMMYFUNCTION("""COMPUTED_VALUE"""),"Budhanilkantha, Kathmandu")</f>
        <v>Budhanilkantha, Kathmandu</v>
      </c>
      <c r="I128" s="2" t="str">
        <f>IFERROR(__xludf.DUMMYFUNCTION("""COMPUTED_VALUE"""),"28o 20' 08""")</f>
        <v>28o 20' 08"</v>
      </c>
      <c r="J128" s="2" t="str">
        <f>IFERROR(__xludf.DUMMYFUNCTION("""COMPUTED_VALUE"""),"28o 21' 42""")</f>
        <v>28o 21' 42"</v>
      </c>
      <c r="K128" s="2" t="str">
        <f>IFERROR(__xludf.DUMMYFUNCTION("""COMPUTED_VALUE"""),"84o 51' 03""")</f>
        <v>84o 51' 03"</v>
      </c>
      <c r="L128" s="2" t="str">
        <f>IFERROR(__xludf.DUMMYFUNCTION("""COMPUTED_VALUE"""),"84o 53' 42""")</f>
        <v>84o 53' 42"</v>
      </c>
      <c r="M128" s="2" t="str">
        <f>IFERROR(__xludf.DUMMYFUNCTION("""COMPUTED_VALUE"""),"Uiya,Sirdibas (Gorkha)")</f>
        <v>Uiya,Sirdibas (Gorkha)</v>
      </c>
    </row>
    <row r="129">
      <c r="A129" s="2">
        <f>IFERROR(__xludf.DUMMYFUNCTION("""COMPUTED_VALUE"""),128.0)</f>
        <v>128</v>
      </c>
      <c r="B129" s="2" t="str">
        <f>IFERROR(__xludf.DUMMYFUNCTION("""COMPUTED_VALUE"""),"Puwa Khola Hydropower Project")</f>
        <v>Puwa Khola Hydropower Project</v>
      </c>
      <c r="C129" s="2">
        <f>IFERROR(__xludf.DUMMYFUNCTION("""COMPUTED_VALUE"""),4.85)</f>
        <v>4.85</v>
      </c>
      <c r="D129" s="2" t="str">
        <f>IFERROR(__xludf.DUMMYFUNCTION("""COMPUTED_VALUE"""),"Puwa Khola")</f>
        <v>Puwa Khola</v>
      </c>
      <c r="E129" s="2">
        <f>IFERROR(__xludf.DUMMYFUNCTION("""COMPUTED_VALUE"""),7265.0)</f>
        <v>7265</v>
      </c>
      <c r="F129" s="3">
        <f>IFERROR(__xludf.DUMMYFUNCTION("""COMPUTED_VALUE"""),66820.0)</f>
        <v>66820</v>
      </c>
      <c r="G129" s="2" t="str">
        <f>IFERROR(__xludf.DUMMYFUNCTION("""COMPUTED_VALUE"""),"Shravya Hydropower Company Pvt. Ltd")</f>
        <v>Shravya Hydropower Company Pvt. Ltd</v>
      </c>
      <c r="H129" s="2" t="str">
        <f>IFERROR(__xludf.DUMMYFUNCTION("""COMPUTED_VALUE"""),"Mahalaxmi-1 Lalitpur")</f>
        <v>Mahalaxmi-1 Lalitpur</v>
      </c>
      <c r="I129" s="2" t="str">
        <f>IFERROR(__xludf.DUMMYFUNCTION("""COMPUTED_VALUE"""),"29o 32' 45""")</f>
        <v>29o 32' 45"</v>
      </c>
      <c r="J129" s="2" t="str">
        <f>IFERROR(__xludf.DUMMYFUNCTION("""COMPUTED_VALUE"""),"29o 34' 46""")</f>
        <v>29o 34' 46"</v>
      </c>
      <c r="K129" s="2" t="str">
        <f>IFERROR(__xludf.DUMMYFUNCTION("""COMPUTED_VALUE"""),"82o 23' 35""")</f>
        <v>82o 23' 35"</v>
      </c>
      <c r="L129" s="2" t="str">
        <f>IFERROR(__xludf.DUMMYFUNCTION("""COMPUTED_VALUE"""),"82o 24' 26""")</f>
        <v>82o 24' 26"</v>
      </c>
      <c r="M129" s="2" t="str">
        <f>IFERROR(__xludf.DUMMYFUNCTION("""COMPUTED_VALUE"""),"Hyanglung (Mugu)")</f>
        <v>Hyanglung (Mugu)</v>
      </c>
    </row>
    <row r="130">
      <c r="A130" s="2">
        <f>IFERROR(__xludf.DUMMYFUNCTION("""COMPUTED_VALUE"""),129.0)</f>
        <v>129</v>
      </c>
      <c r="B130" s="2" t="str">
        <f>IFERROR(__xludf.DUMMYFUNCTION("""COMPUTED_VALUE"""),"Kuine Khola Hydropower Project")</f>
        <v>Kuine Khola Hydropower Project</v>
      </c>
      <c r="C130" s="2">
        <f>IFERROR(__xludf.DUMMYFUNCTION("""COMPUTED_VALUE"""),2.65)</f>
        <v>2.65</v>
      </c>
      <c r="D130" s="2" t="str">
        <f>IFERROR(__xludf.DUMMYFUNCTION("""COMPUTED_VALUE"""),"Kuine Khola")</f>
        <v>Kuine Khola</v>
      </c>
      <c r="E130" s="2">
        <f>IFERROR(__xludf.DUMMYFUNCTION("""COMPUTED_VALUE"""),7266.0)</f>
        <v>7266</v>
      </c>
      <c r="F130" s="3">
        <f>IFERROR(__xludf.DUMMYFUNCTION("""COMPUTED_VALUE"""),66820.0)</f>
        <v>66820</v>
      </c>
      <c r="G130" s="2" t="str">
        <f>IFERROR(__xludf.DUMMYFUNCTION("""COMPUTED_VALUE"""),"Orion Energy Private Limited")</f>
        <v>Orion Energy Private Limited</v>
      </c>
      <c r="H130" s="2" t="str">
        <f>IFERROR(__xludf.DUMMYFUNCTION("""COMPUTED_VALUE"""),"Samakhushi-26, Kathmandu")</f>
        <v>Samakhushi-26, Kathmandu</v>
      </c>
      <c r="I130" s="2" t="str">
        <f>IFERROR(__xludf.DUMMYFUNCTION("""COMPUTED_VALUE"""),"28o 28' 12""")</f>
        <v>28o 28' 12"</v>
      </c>
      <c r="J130" s="2" t="str">
        <f>IFERROR(__xludf.DUMMYFUNCTION("""COMPUTED_VALUE"""),"28o 29' 00""")</f>
        <v>28o 29' 00"</v>
      </c>
      <c r="K130" s="2" t="str">
        <f>IFERROR(__xludf.DUMMYFUNCTION("""COMPUTED_VALUE"""),"83o 23' 50""")</f>
        <v>83o 23' 50"</v>
      </c>
      <c r="L130" s="2" t="str">
        <f>IFERROR(__xludf.DUMMYFUNCTION("""COMPUTED_VALUE"""),"83o 24' 30""")</f>
        <v>83o 24' 30"</v>
      </c>
      <c r="M130" s="2" t="str">
        <f>IFERROR(__xludf.DUMMYFUNCTION("""COMPUTED_VALUE"""),"Darwang,Marang (Myagdi)")</f>
        <v>Darwang,Marang (Myagdi)</v>
      </c>
    </row>
    <row r="131">
      <c r="A131" s="2">
        <f>IFERROR(__xludf.DUMMYFUNCTION("""COMPUTED_VALUE"""),130.0)</f>
        <v>130</v>
      </c>
      <c r="B131" s="2" t="str">
        <f>IFERROR(__xludf.DUMMYFUNCTION("""COMPUTED_VALUE"""),"Vision Myagdi Khola Hydroelectric Project")</f>
        <v>Vision Myagdi Khola Hydroelectric Project</v>
      </c>
      <c r="C131" s="2">
        <f>IFERROR(__xludf.DUMMYFUNCTION("""COMPUTED_VALUE"""),9.89)</f>
        <v>9.89</v>
      </c>
      <c r="D131" s="2" t="str">
        <f>IFERROR(__xludf.DUMMYFUNCTION("""COMPUTED_VALUE"""),"Myagdi Khola")</f>
        <v>Myagdi Khola</v>
      </c>
      <c r="E131" s="2">
        <f>IFERROR(__xludf.DUMMYFUNCTION("""COMPUTED_VALUE"""),7274.0)</f>
        <v>7274</v>
      </c>
      <c r="F131" s="3">
        <f>IFERROR(__xludf.DUMMYFUNCTION("""COMPUTED_VALUE"""),66820.0)</f>
        <v>66820</v>
      </c>
      <c r="G131" s="2" t="str">
        <f>IFERROR(__xludf.DUMMYFUNCTION("""COMPUTED_VALUE"""),"Nama Buddha Hydropower Private Limited")</f>
        <v>Nama Buddha Hydropower Private Limited</v>
      </c>
      <c r="H131" s="2" t="str">
        <f>IFERROR(__xludf.DUMMYFUNCTION("""COMPUTED_VALUE"""),"Kathmandu - 29, Kathmandu")</f>
        <v>Kathmandu - 29, Kathmandu</v>
      </c>
      <c r="I131" s="2" t="str">
        <f>IFERROR(__xludf.DUMMYFUNCTION("""COMPUTED_VALUE"""),"28o 40' 42""")</f>
        <v>28o 40' 42"</v>
      </c>
      <c r="J131" s="2" t="str">
        <f>IFERROR(__xludf.DUMMYFUNCTION("""COMPUTED_VALUE"""),"28o 42' 22""")</f>
        <v>28o 42' 22"</v>
      </c>
      <c r="K131" s="2" t="str">
        <f>IFERROR(__xludf.DUMMYFUNCTION("""COMPUTED_VALUE"""),"83o 25' 00""")</f>
        <v>83o 25' 00"</v>
      </c>
      <c r="L131" s="2" t="str">
        <f>IFERROR(__xludf.DUMMYFUNCTION("""COMPUTED_VALUE"""),"83o 26' 35""")</f>
        <v>83o 26' 35"</v>
      </c>
      <c r="M131" s="2" t="str">
        <f>IFERROR(__xludf.DUMMYFUNCTION("""COMPUTED_VALUE"""),"Mudi (Myagdi)")</f>
        <v>Mudi (Myagdi)</v>
      </c>
    </row>
    <row r="132">
      <c r="A132" s="2">
        <f>IFERROR(__xludf.DUMMYFUNCTION("""COMPUTED_VALUE"""),131.0)</f>
        <v>131</v>
      </c>
      <c r="B132" s="2" t="str">
        <f>IFERROR(__xludf.DUMMYFUNCTION("""COMPUTED_VALUE"""),"Pawan Khola Hydroelectric Project")</f>
        <v>Pawan Khola Hydroelectric Project</v>
      </c>
      <c r="C132" s="2">
        <f>IFERROR(__xludf.DUMMYFUNCTION("""COMPUTED_VALUE"""),4.5)</f>
        <v>4.5</v>
      </c>
      <c r="D132" s="2" t="str">
        <f>IFERROR(__xludf.DUMMYFUNCTION("""COMPUTED_VALUE"""),"Paban Khola")</f>
        <v>Paban Khola</v>
      </c>
      <c r="E132" s="2">
        <f>IFERROR(__xludf.DUMMYFUNCTION("""COMPUTED_VALUE"""),7339.0)</f>
        <v>7339</v>
      </c>
      <c r="F132" s="3">
        <f>IFERROR(__xludf.DUMMYFUNCTION("""COMPUTED_VALUE"""),66822.0)</f>
        <v>66822</v>
      </c>
      <c r="G132" s="2" t="str">
        <f>IFERROR(__xludf.DUMMYFUNCTION("""COMPUTED_VALUE"""),"Paradise Urja Private Limited")</f>
        <v>Paradise Urja Private Limited</v>
      </c>
      <c r="H132" s="2" t="str">
        <f>IFERROR(__xludf.DUMMYFUNCTION("""COMPUTED_VALUE"""),"Kathmandu - 06, Bouddha")</f>
        <v>Kathmandu - 06, Bouddha</v>
      </c>
      <c r="I132" s="2" t="str">
        <f>IFERROR(__xludf.DUMMYFUNCTION("""COMPUTED_VALUE"""),"28o 20' 20""")</f>
        <v>28o 20' 20"</v>
      </c>
      <c r="J132" s="2" t="str">
        <f>IFERROR(__xludf.DUMMYFUNCTION("""COMPUTED_VALUE"""),"28o 21' 12""")</f>
        <v>28o 21' 12"</v>
      </c>
      <c r="K132" s="2" t="str">
        <f>IFERROR(__xludf.DUMMYFUNCTION("""COMPUTED_VALUE"""),"84o 51' 36""")</f>
        <v>84o 51' 36"</v>
      </c>
      <c r="L132" s="2" t="str">
        <f>IFERROR(__xludf.DUMMYFUNCTION("""COMPUTED_VALUE"""),"84o 53' 32""")</f>
        <v>84o 53' 32"</v>
      </c>
      <c r="M132" s="2" t="str">
        <f>IFERROR(__xludf.DUMMYFUNCTION("""COMPUTED_VALUE"""),"Sirdibas,Uiya (Gorkha)")</f>
        <v>Sirdibas,Uiya (Gorkha)</v>
      </c>
    </row>
    <row r="133">
      <c r="A133" s="2">
        <f>IFERROR(__xludf.DUMMYFUNCTION("""COMPUTED_VALUE"""),132.0)</f>
        <v>132</v>
      </c>
      <c r="B133" s="2" t="str">
        <f>IFERROR(__xludf.DUMMYFUNCTION("""COMPUTED_VALUE"""),"Kailash Khola Cascade Hydropower Proejct")</f>
        <v>Kailash Khola Cascade Hydropower Proejct</v>
      </c>
      <c r="C133" s="2">
        <f>IFERROR(__xludf.DUMMYFUNCTION("""COMPUTED_VALUE"""),4.41)</f>
        <v>4.41</v>
      </c>
      <c r="D133" s="2" t="str">
        <f>IFERROR(__xludf.DUMMYFUNCTION("""COMPUTED_VALUE"""),"Kailash Khola")</f>
        <v>Kailash Khola</v>
      </c>
      <c r="E133" s="2">
        <f>IFERROR(__xludf.DUMMYFUNCTION("""COMPUTED_VALUE"""),6429.0)</f>
        <v>6429</v>
      </c>
      <c r="F133" s="3">
        <f>IFERROR(__xludf.DUMMYFUNCTION("""COMPUTED_VALUE"""),66825.0)</f>
        <v>66825</v>
      </c>
      <c r="G133" s="2" t="str">
        <f>IFERROR(__xludf.DUMMYFUNCTION("""COMPUTED_VALUE"""),"Kailash Khola Hydropower Project")</f>
        <v>Kailash Khola Hydropower Project</v>
      </c>
      <c r="H133" s="2" t="str">
        <f>IFERROR(__xludf.DUMMYFUNCTION("""COMPUTED_VALUE"""),"kathmandu-16")</f>
        <v>kathmandu-16</v>
      </c>
      <c r="I133" s="2" t="str">
        <f>IFERROR(__xludf.DUMMYFUNCTION("""COMPUTED_VALUE"""),"29o 09' 34""")</f>
        <v>29o 09' 34"</v>
      </c>
      <c r="J133" s="2" t="str">
        <f>IFERROR(__xludf.DUMMYFUNCTION("""COMPUTED_VALUE"""),"29o 10' 15""")</f>
        <v>29o 10' 15"</v>
      </c>
      <c r="K133" s="2" t="str">
        <f>IFERROR(__xludf.DUMMYFUNCTION("""COMPUTED_VALUE"""),"81o 19' 00""")</f>
        <v>81o 19' 00"</v>
      </c>
      <c r="L133" s="2" t="str">
        <f>IFERROR(__xludf.DUMMYFUNCTION("""COMPUTED_VALUE"""),"81o 20' 40""")</f>
        <v>81o 20' 40"</v>
      </c>
      <c r="M133" s="2" t="str">
        <f>IFERROR(__xludf.DUMMYFUNCTION("""COMPUTED_VALUE"""),"Devisthan (Achham)")</f>
        <v>Devisthan (Achham)</v>
      </c>
    </row>
    <row r="134">
      <c r="A134" s="2">
        <f>IFERROR(__xludf.DUMMYFUNCTION("""COMPUTED_VALUE"""),133.0)</f>
        <v>133</v>
      </c>
      <c r="B134" s="2" t="str">
        <f>IFERROR(__xludf.DUMMYFUNCTION("""COMPUTED_VALUE"""),"Lamjung Marsyangdi Hydroelectric Project")</f>
        <v>Lamjung Marsyangdi Hydroelectric Project</v>
      </c>
      <c r="C134" s="2">
        <f>IFERROR(__xludf.DUMMYFUNCTION("""COMPUTED_VALUE"""),43.413)</f>
        <v>43.413</v>
      </c>
      <c r="D134" s="2" t="str">
        <f>IFERROR(__xludf.DUMMYFUNCTION("""COMPUTED_VALUE"""),"Marsyangdi")</f>
        <v>Marsyangdi</v>
      </c>
      <c r="E134" s="2">
        <f>IFERROR(__xludf.DUMMYFUNCTION("""COMPUTED_VALUE"""),7400.0)</f>
        <v>7400</v>
      </c>
      <c r="F134" s="3">
        <f>IFERROR(__xludf.DUMMYFUNCTION("""COMPUTED_VALUE"""),66825.0)</f>
        <v>66825</v>
      </c>
      <c r="G134" s="2" t="str">
        <f>IFERROR(__xludf.DUMMYFUNCTION("""COMPUTED_VALUE"""),"Api Holdings Company Limited")</f>
        <v>Api Holdings Company Limited</v>
      </c>
      <c r="H134" s="2" t="str">
        <f>IFERROR(__xludf.DUMMYFUNCTION("""COMPUTED_VALUE"""),"4th Floor, Trade Tower Nepal, Thapathali")</f>
        <v>4th Floor, Trade Tower Nepal, Thapathali</v>
      </c>
      <c r="I134" s="2" t="str">
        <f>IFERROR(__xludf.DUMMYFUNCTION("""COMPUTED_VALUE"""),"28o 11' 50""")</f>
        <v>28o 11' 50"</v>
      </c>
      <c r="J134" s="2" t="str">
        <f>IFERROR(__xludf.DUMMYFUNCTION("""COMPUTED_VALUE"""),"28o 14' 12""")</f>
        <v>28o 14' 12"</v>
      </c>
      <c r="K134" s="2" t="str">
        <f>IFERROR(__xludf.DUMMYFUNCTION("""COMPUTED_VALUE"""),"84o 22' 30""")</f>
        <v>84o 22' 30"</v>
      </c>
      <c r="L134" s="2" t="str">
        <f>IFERROR(__xludf.DUMMYFUNCTION("""COMPUTED_VALUE"""),"84o 25' 00""")</f>
        <v>84o 25' 00"</v>
      </c>
      <c r="M134" s="2" t="str">
        <f>IFERROR(__xludf.DUMMYFUNCTION("""COMPUTED_VALUE"""),"Besisahar,Bajhakhet,Hiletaxar,Gaunsahar,Chiti (Lamjung)")</f>
        <v>Besisahar,Bajhakhet,Hiletaxar,Gaunsahar,Chiti (Lamjung)</v>
      </c>
    </row>
    <row r="135">
      <c r="A135" s="2">
        <f>IFERROR(__xludf.DUMMYFUNCTION("""COMPUTED_VALUE"""),134.0)</f>
        <v>134</v>
      </c>
      <c r="B135" s="2" t="str">
        <f>IFERROR(__xludf.DUMMYFUNCTION("""COMPUTED_VALUE"""),"Upper Bharbung Hydropower Project")</f>
        <v>Upper Bharbung Hydropower Project</v>
      </c>
      <c r="C135" s="2">
        <f>IFERROR(__xludf.DUMMYFUNCTION("""COMPUTED_VALUE"""),92.0)</f>
        <v>92</v>
      </c>
      <c r="D135" s="2" t="str">
        <f>IFERROR(__xludf.DUMMYFUNCTION("""COMPUTED_VALUE"""),"Bharbung")</f>
        <v>Bharbung</v>
      </c>
      <c r="E135" s="2">
        <f>IFERROR(__xludf.DUMMYFUNCTION("""COMPUTED_VALUE"""),7472.0)</f>
        <v>7472</v>
      </c>
      <c r="F135" s="3">
        <f>IFERROR(__xludf.DUMMYFUNCTION("""COMPUTED_VALUE"""),66826.0)</f>
        <v>66826</v>
      </c>
      <c r="G135" s="2" t="str">
        <f>IFERROR(__xludf.DUMMYFUNCTION("""COMPUTED_VALUE"""),"White Horse Energy Private Limited")</f>
        <v>White Horse Energy Private Limited</v>
      </c>
      <c r="H135" s="2" t="str">
        <f>IFERROR(__xludf.DUMMYFUNCTION("""COMPUTED_VALUE"""),"Banasthali, Kathmandu.")</f>
        <v>Banasthali, Kathmandu.</v>
      </c>
      <c r="I135" s="2" t="str">
        <f>IFERROR(__xludf.DUMMYFUNCTION("""COMPUTED_VALUE"""),"28o 53' 50""")</f>
        <v>28o 53' 50"</v>
      </c>
      <c r="J135" s="2" t="str">
        <f>IFERROR(__xludf.DUMMYFUNCTION("""COMPUTED_VALUE"""),"29o 00' 00""")</f>
        <v>29o 00' 00"</v>
      </c>
      <c r="K135" s="2" t="str">
        <f>IFERROR(__xludf.DUMMYFUNCTION("""COMPUTED_VALUE"""),"83o 20' 00""")</f>
        <v>83o 20' 00"</v>
      </c>
      <c r="L135" s="2" t="str">
        <f>IFERROR(__xludf.DUMMYFUNCTION("""COMPUTED_VALUE"""),"83o 24' 00""")</f>
        <v>83o 24' 00"</v>
      </c>
      <c r="M135" s="2" t="str">
        <f>IFERROR(__xludf.DUMMYFUNCTION("""COMPUTED_VALUE"""),"Lawan (Dolpa)")</f>
        <v>Lawan (Dolpa)</v>
      </c>
    </row>
    <row r="136">
      <c r="A136" s="2">
        <f>IFERROR(__xludf.DUMMYFUNCTION("""COMPUTED_VALUE"""),135.0)</f>
        <v>135</v>
      </c>
      <c r="B136" s="2" t="str">
        <f>IFERROR(__xludf.DUMMYFUNCTION("""COMPUTED_VALUE"""),"Manaslu Machha Hydropower Project")</f>
        <v>Manaslu Machha Hydropower Project</v>
      </c>
      <c r="C136" s="2">
        <f>IFERROR(__xludf.DUMMYFUNCTION("""COMPUTED_VALUE"""),4.6)</f>
        <v>4.6</v>
      </c>
      <c r="D136" s="2" t="str">
        <f>IFERROR(__xludf.DUMMYFUNCTION("""COMPUTED_VALUE"""),"Machha Khola")</f>
        <v>Machha Khola</v>
      </c>
      <c r="E136" s="2">
        <f>IFERROR(__xludf.DUMMYFUNCTION("""COMPUTED_VALUE"""),7501.0)</f>
        <v>7501</v>
      </c>
      <c r="F136" s="3">
        <f>IFERROR(__xludf.DUMMYFUNCTION("""COMPUTED_VALUE"""),66827.0)</f>
        <v>66827</v>
      </c>
      <c r="G136" s="2" t="str">
        <f>IFERROR(__xludf.DUMMYFUNCTION("""COMPUTED_VALUE"""),"Gorakhnath Energy Private Limited")</f>
        <v>Gorakhnath Energy Private Limited</v>
      </c>
      <c r="H136" s="2" t="str">
        <f>IFERROR(__xludf.DUMMYFUNCTION("""COMPUTED_VALUE"""),"Banasthali - 16, Kathamandu")</f>
        <v>Banasthali - 16, Kathamandu</v>
      </c>
      <c r="I136" s="2" t="str">
        <f>IFERROR(__xludf.DUMMYFUNCTION("""COMPUTED_VALUE"""),"28o 16' 32""")</f>
        <v>28o 16' 32"</v>
      </c>
      <c r="J136" s="2" t="str">
        <f>IFERROR(__xludf.DUMMYFUNCTION("""COMPUTED_VALUE"""),"28o 18' 15""")</f>
        <v>28o 18' 15"</v>
      </c>
      <c r="K136" s="2" t="str">
        <f>IFERROR(__xludf.DUMMYFUNCTION("""COMPUTED_VALUE"""),"84o 45' 25""")</f>
        <v>84o 45' 25"</v>
      </c>
      <c r="L136" s="2" t="str">
        <f>IFERROR(__xludf.DUMMYFUNCTION("""COMPUTED_VALUE"""),"84o 46' 60""")</f>
        <v>84o 46' 60"</v>
      </c>
      <c r="M136" s="2" t="str">
        <f>IFERROR(__xludf.DUMMYFUNCTION("""COMPUTED_VALUE"""),"Laprak,Warpak (Gorkha)")</f>
        <v>Laprak,Warpak (Gorkha)</v>
      </c>
    </row>
    <row r="137">
      <c r="A137" s="2">
        <f>IFERROR(__xludf.DUMMYFUNCTION("""COMPUTED_VALUE"""),136.0)</f>
        <v>136</v>
      </c>
      <c r="B137" s="2" t="str">
        <f>IFERROR(__xludf.DUMMYFUNCTION("""COMPUTED_VALUE"""),"Upper Ghatte Khola Small Hydropower Project")</f>
        <v>Upper Ghatte Khola Small Hydropower Project</v>
      </c>
      <c r="C137" s="2">
        <f>IFERROR(__xludf.DUMMYFUNCTION("""COMPUTED_VALUE"""),1.478)</f>
        <v>1.478</v>
      </c>
      <c r="D137" s="2" t="str">
        <f>IFERROR(__xludf.DUMMYFUNCTION("""COMPUTED_VALUE"""),"Ghatte Khola (Dolakha)")</f>
        <v>Ghatte Khola (Dolakha)</v>
      </c>
      <c r="E137" s="2">
        <f>IFERROR(__xludf.DUMMYFUNCTION("""COMPUTED_VALUE"""),7526.0)</f>
        <v>7526</v>
      </c>
      <c r="F137" s="3">
        <f>IFERROR(__xludf.DUMMYFUNCTION("""COMPUTED_VALUE"""),66827.0)</f>
        <v>66827</v>
      </c>
      <c r="G137" s="2" t="str">
        <f>IFERROR(__xludf.DUMMYFUNCTION("""COMPUTED_VALUE"""),"Shrijana Power Private Limited")</f>
        <v>Shrijana Power Private Limited</v>
      </c>
      <c r="H137" s="2" t="str">
        <f>IFERROR(__xludf.DUMMYFUNCTION("""COMPUTED_VALUE"""),"LMC-14, Thasikhel, Nepal")</f>
        <v>LMC-14, Thasikhel, Nepal</v>
      </c>
      <c r="I137" s="2" t="str">
        <f>IFERROR(__xludf.DUMMYFUNCTION("""COMPUTED_VALUE"""),"27o 45' 31""")</f>
        <v>27o 45' 31"</v>
      </c>
      <c r="J137" s="2" t="str">
        <f>IFERROR(__xludf.DUMMYFUNCTION("""COMPUTED_VALUE"""),"27o 46' 32""")</f>
        <v>27o 46' 32"</v>
      </c>
      <c r="K137" s="2" t="str">
        <f>IFERROR(__xludf.DUMMYFUNCTION("""COMPUTED_VALUE"""),"86o 17' 53""")</f>
        <v>86o 17' 53"</v>
      </c>
      <c r="L137" s="2" t="str">
        <f>IFERROR(__xludf.DUMMYFUNCTION("""COMPUTED_VALUE"""),"86o 19' 34""")</f>
        <v>86o 19' 34"</v>
      </c>
      <c r="M137" s="2" t="str">
        <f>IFERROR(__xludf.DUMMYFUNCTION("""COMPUTED_VALUE"""),"Marbu (Dolakha)")</f>
        <v>Marbu (Dolakha)</v>
      </c>
    </row>
    <row r="138">
      <c r="A138" s="2">
        <f>IFERROR(__xludf.DUMMYFUNCTION("""COMPUTED_VALUE"""),137.0)</f>
        <v>137</v>
      </c>
      <c r="B138" s="2" t="str">
        <f>IFERROR(__xludf.DUMMYFUNCTION("""COMPUTED_VALUE"""),"Dudhkunda Hydropower Project")</f>
        <v>Dudhkunda Hydropower Project</v>
      </c>
      <c r="C138" s="2">
        <f>IFERROR(__xludf.DUMMYFUNCTION("""COMPUTED_VALUE"""),4.97)</f>
        <v>4.97</v>
      </c>
      <c r="D138" s="2" t="str">
        <f>IFERROR(__xludf.DUMMYFUNCTION("""COMPUTED_VALUE"""),"Dudhkunda (Solu)")</f>
        <v>Dudhkunda (Solu)</v>
      </c>
      <c r="E138" s="2">
        <f>IFERROR(__xludf.DUMMYFUNCTION("""COMPUTED_VALUE"""),7552.0)</f>
        <v>7552</v>
      </c>
      <c r="F138" s="3">
        <f>IFERROR(__xludf.DUMMYFUNCTION("""COMPUTED_VALUE"""),66828.0)</f>
        <v>66828</v>
      </c>
      <c r="G138" s="2" t="str">
        <f>IFERROR(__xludf.DUMMYFUNCTION("""COMPUTED_VALUE"""),"Imperial Holdings Private Limited")</f>
        <v>Imperial Holdings Private Limited</v>
      </c>
      <c r="H138" s="2" t="str">
        <f>IFERROR(__xludf.DUMMYFUNCTION("""COMPUTED_VALUE"""),"KMC-3, Maharajgunj, Kathmandu")</f>
        <v>KMC-3, Maharajgunj, Kathmandu</v>
      </c>
      <c r="I138" s="2" t="str">
        <f>IFERROR(__xludf.DUMMYFUNCTION("""COMPUTED_VALUE"""),"27o 38' 10""")</f>
        <v>27o 38' 10"</v>
      </c>
      <c r="J138" s="2" t="str">
        <f>IFERROR(__xludf.DUMMYFUNCTION("""COMPUTED_VALUE"""),"27o 39' 32""")</f>
        <v>27o 39' 32"</v>
      </c>
      <c r="K138" s="2" t="str">
        <f>IFERROR(__xludf.DUMMYFUNCTION("""COMPUTED_VALUE"""),"86o 35' 24""")</f>
        <v>86o 35' 24"</v>
      </c>
      <c r="L138" s="2" t="str">
        <f>IFERROR(__xludf.DUMMYFUNCTION("""COMPUTED_VALUE"""),"86o 36' 22""")</f>
        <v>86o 36' 22"</v>
      </c>
      <c r="M138" s="2" t="str">
        <f>IFERROR(__xludf.DUMMYFUNCTION("""COMPUTED_VALUE"""),"Beni,Takasindu (Solukhumbu)")</f>
        <v>Beni,Takasindu (Solukhumbu)</v>
      </c>
    </row>
    <row r="139">
      <c r="A139" s="2">
        <f>IFERROR(__xludf.DUMMYFUNCTION("""COMPUTED_VALUE"""),138.0)</f>
        <v>138</v>
      </c>
      <c r="B139" s="2" t="str">
        <f>IFERROR(__xludf.DUMMYFUNCTION("""COMPUTED_VALUE"""),"Deula Khola Hydroelectric project")</f>
        <v>Deula Khola Hydroelectric project</v>
      </c>
      <c r="C139" s="2">
        <f>IFERROR(__xludf.DUMMYFUNCTION("""COMPUTED_VALUE"""),4.26)</f>
        <v>4.26</v>
      </c>
      <c r="D139" s="2" t="str">
        <f>IFERROR(__xludf.DUMMYFUNCTION("""COMPUTED_VALUE"""),"Deula Khola")</f>
        <v>Deula Khola</v>
      </c>
      <c r="E139" s="2">
        <f>IFERROR(__xludf.DUMMYFUNCTION("""COMPUTED_VALUE"""),7575.0)</f>
        <v>7575</v>
      </c>
      <c r="F139" s="3">
        <f>IFERROR(__xludf.DUMMYFUNCTION("""COMPUTED_VALUE"""),66828.0)</f>
        <v>66828</v>
      </c>
      <c r="G139" s="2" t="str">
        <f>IFERROR(__xludf.DUMMYFUNCTION("""COMPUTED_VALUE"""),"mata Power Company pvt. Ltd")</f>
        <v>mata Power Company pvt. Ltd</v>
      </c>
      <c r="H139" s="2" t="str">
        <f>IFERROR(__xludf.DUMMYFUNCTION("""COMPUTED_VALUE"""),"Kathmandu-32 Jadibuti")</f>
        <v>Kathmandu-32 Jadibuti</v>
      </c>
      <c r="I139" s="2" t="str">
        <f>IFERROR(__xludf.DUMMYFUNCTION("""COMPUTED_VALUE"""),"28o 46' 50""")</f>
        <v>28o 46' 50"</v>
      </c>
      <c r="J139" s="2" t="str">
        <f>IFERROR(__xludf.DUMMYFUNCTION("""COMPUTED_VALUE"""),"28o 49' 00""")</f>
        <v>28o 49' 00"</v>
      </c>
      <c r="K139" s="2" t="str">
        <f>IFERROR(__xludf.DUMMYFUNCTION("""COMPUTED_VALUE"""),"82o 30' 53""")</f>
        <v>82o 30' 53"</v>
      </c>
      <c r="L139" s="2" t="str">
        <f>IFERROR(__xludf.DUMMYFUNCTION("""COMPUTED_VALUE"""),"82o 33' 47""")</f>
        <v>82o 33' 47"</v>
      </c>
      <c r="M139" s="2" t="str">
        <f>IFERROR(__xludf.DUMMYFUNCTION("""COMPUTED_VALUE"""),"Chokhawang (Rukum)")</f>
        <v>Chokhawang (Rukum)</v>
      </c>
    </row>
    <row r="140">
      <c r="A140" s="2">
        <f>IFERROR(__xludf.DUMMYFUNCTION("""COMPUTED_VALUE"""),139.0)</f>
        <v>139</v>
      </c>
      <c r="B140" s="2" t="str">
        <f>IFERROR(__xludf.DUMMYFUNCTION("""COMPUTED_VALUE"""),"Surke Khola Hydropower Project")</f>
        <v>Surke Khola Hydropower Project</v>
      </c>
      <c r="C140" s="2">
        <f>IFERROR(__xludf.DUMMYFUNCTION("""COMPUTED_VALUE"""),4.8)</f>
        <v>4.8</v>
      </c>
      <c r="D140" s="2" t="str">
        <f>IFERROR(__xludf.DUMMYFUNCTION("""COMPUTED_VALUE"""),"Surke Khola &amp; Bom")</f>
        <v>Surke Khola &amp; Bom</v>
      </c>
      <c r="E140" s="2">
        <f>IFERROR(__xludf.DUMMYFUNCTION("""COMPUTED_VALUE"""),7615.0)</f>
        <v>7615</v>
      </c>
      <c r="F140" s="3">
        <f>IFERROR(__xludf.DUMMYFUNCTION("""COMPUTED_VALUE"""),66829.0)</f>
        <v>66829</v>
      </c>
      <c r="G140" s="2" t="str">
        <f>IFERROR(__xludf.DUMMYFUNCTION("""COMPUTED_VALUE"""),"Naulek Energy Private Limited")</f>
        <v>Naulek Energy Private Limited</v>
      </c>
      <c r="H140" s="2" t="str">
        <f>IFERROR(__xludf.DUMMYFUNCTION("""COMPUTED_VALUE"""),"Mandikatar Kathmandu")</f>
        <v>Mandikatar Kathmandu</v>
      </c>
      <c r="I140" s="2" t="str">
        <f>IFERROR(__xludf.DUMMYFUNCTION("""COMPUTED_VALUE"""),"27o 39' 45""")</f>
        <v>27o 39' 45"</v>
      </c>
      <c r="J140" s="2" t="str">
        <f>IFERROR(__xludf.DUMMYFUNCTION("""COMPUTED_VALUE"""),"27o 40' 53""")</f>
        <v>27o 40' 53"</v>
      </c>
      <c r="K140" s="2" t="str">
        <f>IFERROR(__xludf.DUMMYFUNCTION("""COMPUTED_VALUE"""),"86o 42' 36""")</f>
        <v>86o 42' 36"</v>
      </c>
      <c r="L140" s="2" t="str">
        <f>IFERROR(__xludf.DUMMYFUNCTION("""COMPUTED_VALUE"""),"86o 43' 56""")</f>
        <v>86o 43' 56"</v>
      </c>
      <c r="M140" s="2" t="str">
        <f>IFERROR(__xludf.DUMMYFUNCTION("""COMPUTED_VALUE"""),"Chaurikharka (Solukhumbu)")</f>
        <v>Chaurikharka (Solukhumbu)</v>
      </c>
    </row>
    <row r="141">
      <c r="A141" s="2">
        <f>IFERROR(__xludf.DUMMYFUNCTION("""COMPUTED_VALUE"""),140.0)</f>
        <v>140</v>
      </c>
      <c r="B141" s="2" t="str">
        <f>IFERROR(__xludf.DUMMYFUNCTION("""COMPUTED_VALUE"""),"Khani Khola PRoR Hydropower Project")</f>
        <v>Khani Khola PRoR Hydropower Project</v>
      </c>
      <c r="C141" s="2">
        <f>IFERROR(__xludf.DUMMYFUNCTION("""COMPUTED_VALUE"""),4.31)</f>
        <v>4.31</v>
      </c>
      <c r="D141" s="2" t="str">
        <f>IFERROR(__xludf.DUMMYFUNCTION("""COMPUTED_VALUE"""),"Khani Khola")</f>
        <v>Khani Khola</v>
      </c>
      <c r="E141" s="2">
        <f>IFERROR(__xludf.DUMMYFUNCTION("""COMPUTED_VALUE"""),7638.0)</f>
        <v>7638</v>
      </c>
      <c r="F141" s="3">
        <f>IFERROR(__xludf.DUMMYFUNCTION("""COMPUTED_VALUE"""),66830.0)</f>
        <v>66830</v>
      </c>
      <c r="G141" s="2" t="str">
        <f>IFERROR(__xludf.DUMMYFUNCTION("""COMPUTED_VALUE"""),"Tesla Energy and Investment Private Limited")</f>
        <v>Tesla Energy and Investment Private Limited</v>
      </c>
      <c r="H141" s="2" t="str">
        <f>IFERROR(__xludf.DUMMYFUNCTION("""COMPUTED_VALUE"""),"Kathmandu - 11, Nepal , Contact: 01-5363720")</f>
        <v>Kathmandu - 11, Nepal , Contact: 01-5363720</v>
      </c>
      <c r="I141" s="2" t="str">
        <f>IFERROR(__xludf.DUMMYFUNCTION("""COMPUTED_VALUE"""),"27o 30' 06""")</f>
        <v>27o 30' 06"</v>
      </c>
      <c r="J141" s="2" t="str">
        <f>IFERROR(__xludf.DUMMYFUNCTION("""COMPUTED_VALUE"""),"27o 31' 40""")</f>
        <v>27o 31' 40"</v>
      </c>
      <c r="K141" s="2" t="str">
        <f>IFERROR(__xludf.DUMMYFUNCTION("""COMPUTED_VALUE"""),"85o 50' 02""")</f>
        <v>85o 50' 02"</v>
      </c>
      <c r="L141" s="2" t="str">
        <f>IFERROR(__xludf.DUMMYFUNCTION("""COMPUTED_VALUE"""),"85o 53' 25""")</f>
        <v>85o 53' 25"</v>
      </c>
      <c r="M141" s="2" t="str">
        <f>IFERROR(__xludf.DUMMYFUNCTION("""COMPUTED_VALUE"""),"Hiledevi,Dimipokhari,Bethan,Gunsi Bhadaure (Ramechhap)")</f>
        <v>Hiledevi,Dimipokhari,Bethan,Gunsi Bhadaure (Ramechhap)</v>
      </c>
    </row>
    <row r="142">
      <c r="A142" s="2">
        <f>IFERROR(__xludf.DUMMYFUNCTION("""COMPUTED_VALUE"""),141.0)</f>
        <v>141</v>
      </c>
      <c r="B142" s="2" t="str">
        <f>IFERROR(__xludf.DUMMYFUNCTION("""COMPUTED_VALUE"""),"Salle Saani Bheri Hydropower Project")</f>
        <v>Salle Saani Bheri Hydropower Project</v>
      </c>
      <c r="C142" s="2">
        <f>IFERROR(__xludf.DUMMYFUNCTION("""COMPUTED_VALUE"""),25.0)</f>
        <v>25</v>
      </c>
      <c r="D142" s="2" t="str">
        <f>IFERROR(__xludf.DUMMYFUNCTION("""COMPUTED_VALUE"""),"Sani Bheri")</f>
        <v>Sani Bheri</v>
      </c>
      <c r="E142" s="3">
        <f>IFERROR(__xludf.DUMMYFUNCTION("""COMPUTED_VALUE"""),66832.0)</f>
        <v>66832</v>
      </c>
      <c r="F142" s="3">
        <f>IFERROR(__xludf.DUMMYFUNCTION("""COMPUTED_VALUE"""),66832.0)</f>
        <v>66832</v>
      </c>
      <c r="G142" s="2" t="str">
        <f>IFERROR(__xludf.DUMMYFUNCTION("""COMPUTED_VALUE"""),"Gorakhnath Energy Pvt. Ltd")</f>
        <v>Gorakhnath Energy Pvt. Ltd</v>
      </c>
      <c r="H142" s="2"/>
      <c r="I142" s="2" t="str">
        <f>IFERROR(__xludf.DUMMYFUNCTION("""COMPUTED_VALUE"""),"28o 37' 60""")</f>
        <v>28o 37' 60"</v>
      </c>
      <c r="J142" s="2" t="str">
        <f>IFERROR(__xludf.DUMMYFUNCTION("""COMPUTED_VALUE"""),"28o 40' 00""")</f>
        <v>28o 40' 00"</v>
      </c>
      <c r="K142" s="2" t="str">
        <f>IFERROR(__xludf.DUMMYFUNCTION("""COMPUTED_VALUE"""),"82o 21' 45""")</f>
        <v>82o 21' 45"</v>
      </c>
      <c r="L142" s="2" t="str">
        <f>IFERROR(__xludf.DUMMYFUNCTION("""COMPUTED_VALUE"""),"82o 26' 30""")</f>
        <v>82o 26' 30"</v>
      </c>
      <c r="M142" s="2" t="str">
        <f>IFERROR(__xludf.DUMMYFUNCTION("""COMPUTED_VALUE"""),"Bapsekot (Rukum)")</f>
        <v>Bapsekot (Rukum)</v>
      </c>
    </row>
    <row r="143">
      <c r="A143" s="2">
        <f>IFERROR(__xludf.DUMMYFUNCTION("""COMPUTED_VALUE"""),142.0)</f>
        <v>142</v>
      </c>
      <c r="B143" s="2" t="str">
        <f>IFERROR(__xludf.DUMMYFUNCTION("""COMPUTED_VALUE"""),"Lower Nyasem Cascade Hydrpower Project")</f>
        <v>Lower Nyasem Cascade Hydrpower Project</v>
      </c>
      <c r="C143" s="2">
        <f>IFERROR(__xludf.DUMMYFUNCTION("""COMPUTED_VALUE"""),10.0)</f>
        <v>10</v>
      </c>
      <c r="D143" s="2" t="str">
        <f>IFERROR(__xludf.DUMMYFUNCTION("""COMPUTED_VALUE"""),"Nyasim Khola")</f>
        <v>Nyasim Khola</v>
      </c>
      <c r="E143" s="2">
        <f>IFERROR(__xludf.DUMMYFUNCTION("""COMPUTED_VALUE"""),7872.0)</f>
        <v>7872</v>
      </c>
      <c r="F143" s="3">
        <f>IFERROR(__xludf.DUMMYFUNCTION("""COMPUTED_VALUE"""),66835.0)</f>
        <v>66835</v>
      </c>
      <c r="G143" s="2" t="str">
        <f>IFERROR(__xludf.DUMMYFUNCTION("""COMPUTED_VALUE"""),"Sita Hydro Power Company Private Limited")</f>
        <v>Sita Hydro Power Company Private Limited</v>
      </c>
      <c r="H143" s="2" t="str">
        <f>IFERROR(__xludf.DUMMYFUNCTION("""COMPUTED_VALUE"""),"Kalimati - 13, Kathmandu, Nepal")</f>
        <v>Kalimati - 13, Kathmandu, Nepal</v>
      </c>
      <c r="I143" s="2" t="str">
        <f>IFERROR(__xludf.DUMMYFUNCTION("""COMPUTED_VALUE"""),"27o 56' 30""")</f>
        <v>27o 56' 30"</v>
      </c>
      <c r="J143" s="2" t="str">
        <f>IFERROR(__xludf.DUMMYFUNCTION("""COMPUTED_VALUE"""),"27o 57' 50""")</f>
        <v>27o 57' 50"</v>
      </c>
      <c r="K143" s="2" t="str">
        <f>IFERROR(__xludf.DUMMYFUNCTION("""COMPUTED_VALUE"""),"85o 46' 12""")</f>
        <v>85o 46' 12"</v>
      </c>
      <c r="L143" s="2" t="str">
        <f>IFERROR(__xludf.DUMMYFUNCTION("""COMPUTED_VALUE"""),"85o 48' 20""")</f>
        <v>85o 48' 20"</v>
      </c>
      <c r="M143" s="2" t="str">
        <f>IFERROR(__xludf.DUMMYFUNCTION("""COMPUTED_VALUE"""),"Gumba,Golche (Sindhupalchok)")</f>
        <v>Gumba,Golche (Sindhupalchok)</v>
      </c>
    </row>
    <row r="144">
      <c r="A144" s="2">
        <f>IFERROR(__xludf.DUMMYFUNCTION("""COMPUTED_VALUE"""),143.0)</f>
        <v>143</v>
      </c>
      <c r="B144" s="2" t="str">
        <f>IFERROR(__xludf.DUMMYFUNCTION("""COMPUTED_VALUE"""),"Seti Ganga Hydropower Project")</f>
        <v>Seti Ganga Hydropower Project</v>
      </c>
      <c r="C144" s="2">
        <f>IFERROR(__xludf.DUMMYFUNCTION("""COMPUTED_VALUE"""),8.5)</f>
        <v>8.5</v>
      </c>
      <c r="D144" s="2" t="str">
        <f>IFERROR(__xludf.DUMMYFUNCTION("""COMPUTED_VALUE"""),"Seti Khola (Gandaki)")</f>
        <v>Seti Khola (Gandaki)</v>
      </c>
      <c r="E144" s="2">
        <f>IFERROR(__xludf.DUMMYFUNCTION("""COMPUTED_VALUE"""),7883.0)</f>
        <v>7883</v>
      </c>
      <c r="F144" s="3">
        <f>IFERROR(__xludf.DUMMYFUNCTION("""COMPUTED_VALUE"""),66835.0)</f>
        <v>66835</v>
      </c>
      <c r="G144" s="2" t="str">
        <f>IFERROR(__xludf.DUMMYFUNCTION("""COMPUTED_VALUE"""),"Seti Ganga Energy Private Limited")</f>
        <v>Seti Ganga Energy Private Limited</v>
      </c>
      <c r="H144" s="2" t="str">
        <f>IFERROR(__xludf.DUMMYFUNCTION("""COMPUTED_VALUE"""),"Kathmandu - 16, Banasthali, Kathmandu")</f>
        <v>Kathmandu - 16, Banasthali, Kathmandu</v>
      </c>
      <c r="I144" s="2" t="str">
        <f>IFERROR(__xludf.DUMMYFUNCTION("""COMPUTED_VALUE"""),"27o 55' 01""")</f>
        <v>27o 55' 01"</v>
      </c>
      <c r="J144" s="2" t="str">
        <f>IFERROR(__xludf.DUMMYFUNCTION("""COMPUTED_VALUE"""),"27o 55' 30""")</f>
        <v>27o 55' 30"</v>
      </c>
      <c r="K144" s="2" t="str">
        <f>IFERROR(__xludf.DUMMYFUNCTION("""COMPUTED_VALUE"""),"84o 17' 31""")</f>
        <v>84o 17' 31"</v>
      </c>
      <c r="L144" s="2" t="str">
        <f>IFERROR(__xludf.DUMMYFUNCTION("""COMPUTED_VALUE"""),"84o 18' 20""")</f>
        <v>84o 18' 20"</v>
      </c>
      <c r="M144" s="2"/>
    </row>
    <row r="145">
      <c r="A145" s="2">
        <f>IFERROR(__xludf.DUMMYFUNCTION("""COMPUTED_VALUE"""),144.0)</f>
        <v>144</v>
      </c>
      <c r="B145" s="2" t="str">
        <f>IFERROR(__xludf.DUMMYFUNCTION("""COMPUTED_VALUE"""),"Middle Sapsup Khola Hydropower Project")</f>
        <v>Middle Sapsup Khola Hydropower Project</v>
      </c>
      <c r="C145" s="2">
        <f>IFERROR(__xludf.DUMMYFUNCTION("""COMPUTED_VALUE"""),4.12)</f>
        <v>4.12</v>
      </c>
      <c r="D145" s="2" t="str">
        <f>IFERROR(__xludf.DUMMYFUNCTION("""COMPUTED_VALUE"""),"Sapsup Khola")</f>
        <v>Sapsup Khola</v>
      </c>
      <c r="E145" s="2">
        <f>IFERROR(__xludf.DUMMYFUNCTION("""COMPUTED_VALUE"""),7894.0)</f>
        <v>7894</v>
      </c>
      <c r="F145" s="3">
        <f>IFERROR(__xludf.DUMMYFUNCTION("""COMPUTED_VALUE"""),66836.0)</f>
        <v>66836</v>
      </c>
      <c r="G145" s="2" t="str">
        <f>IFERROR(__xludf.DUMMYFUNCTION("""COMPUTED_VALUE"""),"Himalayan Hydro Ventures Private Limited")</f>
        <v>Himalayan Hydro Ventures Private Limited</v>
      </c>
      <c r="H145" s="2" t="str">
        <f>IFERROR(__xludf.DUMMYFUNCTION("""COMPUTED_VALUE"""),"Pepsicola, Kathmandu")</f>
        <v>Pepsicola, Kathmandu</v>
      </c>
      <c r="I145" s="2" t="str">
        <f>IFERROR(__xludf.DUMMYFUNCTION("""COMPUTED_VALUE"""),"27o 09' 00""")</f>
        <v>27o 09' 00"</v>
      </c>
      <c r="J145" s="2" t="str">
        <f>IFERROR(__xludf.DUMMYFUNCTION("""COMPUTED_VALUE"""),"27o 10' 25""")</f>
        <v>27o 10' 25"</v>
      </c>
      <c r="K145" s="2" t="str">
        <f>IFERROR(__xludf.DUMMYFUNCTION("""COMPUTED_VALUE"""),"86o 48' 10""")</f>
        <v>86o 48' 10"</v>
      </c>
      <c r="L145" s="2" t="str">
        <f>IFERROR(__xludf.DUMMYFUNCTION("""COMPUTED_VALUE"""),"86o 49' 35""")</f>
        <v>86o 49' 35"</v>
      </c>
      <c r="M145" s="2" t="str">
        <f>IFERROR(__xludf.DUMMYFUNCTION("""COMPUTED_VALUE"""),"Matfim Birta,Lafwang,Tempa (Khotang)")</f>
        <v>Matfim Birta,Lafwang,Tempa (Khotang)</v>
      </c>
    </row>
    <row r="146">
      <c r="A146" s="2">
        <f>IFERROR(__xludf.DUMMYFUNCTION("""COMPUTED_VALUE"""),145.0)</f>
        <v>145</v>
      </c>
      <c r="B146" s="2" t="str">
        <f>IFERROR(__xludf.DUMMYFUNCTION("""COMPUTED_VALUE"""),"Lower Rangagad Hydropower Project")</f>
        <v>Lower Rangagad Hydropower Project</v>
      </c>
      <c r="C146" s="2">
        <f>IFERROR(__xludf.DUMMYFUNCTION("""COMPUTED_VALUE"""),9.79)</f>
        <v>9.79</v>
      </c>
      <c r="D146" s="2" t="str">
        <f>IFERROR(__xludf.DUMMYFUNCTION("""COMPUTED_VALUE"""),"Ramga Gad")</f>
        <v>Ramga Gad</v>
      </c>
      <c r="E146" s="2">
        <f>IFERROR(__xludf.DUMMYFUNCTION("""COMPUTED_VALUE"""),7953.0)</f>
        <v>7953</v>
      </c>
      <c r="F146" s="3">
        <f>IFERROR(__xludf.DUMMYFUNCTION("""COMPUTED_VALUE"""),66837.0)</f>
        <v>66837</v>
      </c>
      <c r="G146" s="2" t="str">
        <f>IFERROR(__xludf.DUMMYFUNCTION("""COMPUTED_VALUE"""),"Innova power pvt. Ltd")</f>
        <v>Innova power pvt. Ltd</v>
      </c>
      <c r="H146" s="2" t="str">
        <f>IFERROR(__xludf.DUMMYFUNCTION("""COMPUTED_VALUE"""),"Madyapur, Thimi, Bhaktapur")</f>
        <v>Madyapur, Thimi, Bhaktapur</v>
      </c>
      <c r="I146" s="2" t="str">
        <f>IFERROR(__xludf.DUMMYFUNCTION("""COMPUTED_VALUE"""),"28o 55' 40""")</f>
        <v>28o 55' 40"</v>
      </c>
      <c r="J146" s="2" t="str">
        <f>IFERROR(__xludf.DUMMYFUNCTION("""COMPUTED_VALUE"""),"28o 58' 00""")</f>
        <v>28o 58' 00"</v>
      </c>
      <c r="K146" s="2" t="str">
        <f>IFERROR(__xludf.DUMMYFUNCTION("""COMPUTED_VALUE"""),"82o 18' 21""")</f>
        <v>82o 18' 21"</v>
      </c>
      <c r="L146" s="2" t="str">
        <f>IFERROR(__xludf.DUMMYFUNCTION("""COMPUTED_VALUE"""),"82o 21' 00""")</f>
        <v>82o 21' 00"</v>
      </c>
      <c r="M146" s="2" t="str">
        <f>IFERROR(__xludf.DUMMYFUNCTION("""COMPUTED_VALUE"""),"Dasera (Jajarkot)")</f>
        <v>Dasera (Jajarkot)</v>
      </c>
    </row>
    <row r="147">
      <c r="A147" s="2">
        <f>IFERROR(__xludf.DUMMYFUNCTION("""COMPUTED_VALUE"""),146.0)</f>
        <v>146</v>
      </c>
      <c r="B147" s="2" t="str">
        <f>IFERROR(__xludf.DUMMYFUNCTION("""COMPUTED_VALUE"""),"Phagam Khola Hydropower Project")</f>
        <v>Phagam Khola Hydropower Project</v>
      </c>
      <c r="C147" s="2">
        <f>IFERROR(__xludf.DUMMYFUNCTION("""COMPUTED_VALUE"""),4.95)</f>
        <v>4.95</v>
      </c>
      <c r="D147" s="2" t="str">
        <f>IFERROR(__xludf.DUMMYFUNCTION("""COMPUTED_VALUE"""),"Phagam")</f>
        <v>Phagam</v>
      </c>
      <c r="E147" s="2">
        <f>IFERROR(__xludf.DUMMYFUNCTION("""COMPUTED_VALUE"""),7956.0)</f>
        <v>7956</v>
      </c>
      <c r="F147" s="3">
        <f>IFERROR(__xludf.DUMMYFUNCTION("""COMPUTED_VALUE"""),66837.0)</f>
        <v>66837</v>
      </c>
      <c r="G147" s="2" t="str">
        <f>IFERROR(__xludf.DUMMYFUNCTION("""COMPUTED_VALUE"""),"Gorkha Flow Energy Private Limited")</f>
        <v>Gorkha Flow Energy Private Limited</v>
      </c>
      <c r="H147" s="2" t="str">
        <f>IFERROR(__xludf.DUMMYFUNCTION("""COMPUTED_VALUE"""),"Budhhanagar, Kathmandu")</f>
        <v>Budhhanagar, Kathmandu</v>
      </c>
      <c r="I147" s="2" t="str">
        <f>IFERROR(__xludf.DUMMYFUNCTION("""COMPUTED_VALUE"""),"28o 15' 38""")</f>
        <v>28o 15' 38"</v>
      </c>
      <c r="J147" s="2" t="str">
        <f>IFERROR(__xludf.DUMMYFUNCTION("""COMPUTED_VALUE"""),"28o 18' 51""")</f>
        <v>28o 18' 51"</v>
      </c>
      <c r="K147" s="2" t="str">
        <f>IFERROR(__xludf.DUMMYFUNCTION("""COMPUTED_VALUE"""),"82o 43' 45""")</f>
        <v>82o 43' 45"</v>
      </c>
      <c r="L147" s="2" t="str">
        <f>IFERROR(__xludf.DUMMYFUNCTION("""COMPUTED_VALUE"""),"82o 45' 23""")</f>
        <v>82o 45' 23"</v>
      </c>
      <c r="M147" s="2" t="str">
        <f>IFERROR(__xludf.DUMMYFUNCTION("""COMPUTED_VALUE"""),"Wadachaur,Fagaam,Gajul,Mijhing (Rolpa)")</f>
        <v>Wadachaur,Fagaam,Gajul,Mijhing (Rolpa)</v>
      </c>
    </row>
    <row r="148">
      <c r="A148" s="2">
        <f>IFERROR(__xludf.DUMMYFUNCTION("""COMPUTED_VALUE"""),147.0)</f>
        <v>147</v>
      </c>
      <c r="B148" s="2" t="str">
        <f>IFERROR(__xludf.DUMMYFUNCTION("""COMPUTED_VALUE"""),"Tamor - Nawa Pumped Storage Hydropower Project")</f>
        <v>Tamor - Nawa Pumped Storage Hydropower Project</v>
      </c>
      <c r="C148" s="2">
        <f>IFERROR(__xludf.DUMMYFUNCTION("""COMPUTED_VALUE"""),99.5)</f>
        <v>99.5</v>
      </c>
      <c r="D148" s="2" t="str">
        <f>IFERROR(__xludf.DUMMYFUNCTION("""COMPUTED_VALUE"""),"Tamor, Nawa")</f>
        <v>Tamor, Nawa</v>
      </c>
      <c r="E148" s="2">
        <f>IFERROR(__xludf.DUMMYFUNCTION("""COMPUTED_VALUE"""),7970.0)</f>
        <v>7970</v>
      </c>
      <c r="F148" s="3">
        <f>IFERROR(__xludf.DUMMYFUNCTION("""COMPUTED_VALUE"""),66837.0)</f>
        <v>66837</v>
      </c>
      <c r="G148" s="2" t="str">
        <f>IFERROR(__xludf.DUMMYFUNCTION("""COMPUTED_VALUE"""),"Swornim Hydro Private Limited")</f>
        <v>Swornim Hydro Private Limited</v>
      </c>
      <c r="H148" s="2" t="str">
        <f>IFERROR(__xludf.DUMMYFUNCTION("""COMPUTED_VALUE"""),"SG House, Dhobighat - 3, Lalitpur (01-5535015, 5535016)")</f>
        <v>SG House, Dhobighat - 3, Lalitpur (01-5535015, 5535016)</v>
      </c>
      <c r="I148" s="2" t="str">
        <f>IFERROR(__xludf.DUMMYFUNCTION("""COMPUTED_VALUE"""),"26o 56' 46""")</f>
        <v>26o 56' 46"</v>
      </c>
      <c r="J148" s="2" t="str">
        <f>IFERROR(__xludf.DUMMYFUNCTION("""COMPUTED_VALUE"""),"26o 59' 14""")</f>
        <v>26o 59' 14"</v>
      </c>
      <c r="K148" s="2" t="str">
        <f>IFERROR(__xludf.DUMMYFUNCTION("""COMPUTED_VALUE"""),"87o 26' 36""")</f>
        <v>87o 26' 36"</v>
      </c>
      <c r="L148" s="2" t="str">
        <f>IFERROR(__xludf.DUMMYFUNCTION("""COMPUTED_VALUE"""),"87o 32' 55""")</f>
        <v>87o 32' 55"</v>
      </c>
      <c r="M148" s="2" t="str">
        <f>IFERROR(__xludf.DUMMYFUNCTION("""COMPUTED_VALUE"""),"Kuruletenupa (Dhankuta) Mauwa (Panchthar)")</f>
        <v>Kuruletenupa (Dhankuta) Mauwa (Panchthar)</v>
      </c>
    </row>
    <row r="149">
      <c r="A149" s="2">
        <f>IFERROR(__xludf.DUMMYFUNCTION("""COMPUTED_VALUE"""),148.0)</f>
        <v>148</v>
      </c>
      <c r="B149" s="2" t="str">
        <f>IFERROR(__xludf.DUMMYFUNCTION("""COMPUTED_VALUE"""),"Pema Khola Hydropower Project")</f>
        <v>Pema Khola Hydropower Project</v>
      </c>
      <c r="C149" s="2">
        <f>IFERROR(__xludf.DUMMYFUNCTION("""COMPUTED_VALUE"""),3.0)</f>
        <v>3</v>
      </c>
      <c r="D149" s="2" t="str">
        <f>IFERROR(__xludf.DUMMYFUNCTION("""COMPUTED_VALUE"""),"Pema Khola")</f>
        <v>Pema Khola</v>
      </c>
      <c r="E149" s="2">
        <f>IFERROR(__xludf.DUMMYFUNCTION("""COMPUTED_VALUE"""),7984.0)</f>
        <v>7984</v>
      </c>
      <c r="F149" s="3">
        <f>IFERROR(__xludf.DUMMYFUNCTION("""COMPUTED_VALUE"""),66837.0)</f>
        <v>66837</v>
      </c>
      <c r="G149" s="2" t="str">
        <f>IFERROR(__xludf.DUMMYFUNCTION("""COMPUTED_VALUE"""),"Rudrakshya Power Private Limited")</f>
        <v>Rudrakshya Power Private Limited</v>
      </c>
      <c r="H149" s="2" t="str">
        <f>IFERROR(__xludf.DUMMYFUNCTION("""COMPUTED_VALUE"""),"Kathmandu, Nepal")</f>
        <v>Kathmandu, Nepal</v>
      </c>
      <c r="I149" s="2" t="str">
        <f>IFERROR(__xludf.DUMMYFUNCTION("""COMPUTED_VALUE"""),"28o 14' 26""")</f>
        <v>28o 14' 26"</v>
      </c>
      <c r="J149" s="2" t="str">
        <f>IFERROR(__xludf.DUMMYFUNCTION("""COMPUTED_VALUE"""),"28o 16' 09""")</f>
        <v>28o 16' 09"</v>
      </c>
      <c r="K149" s="2" t="str">
        <f>IFERROR(__xludf.DUMMYFUNCTION("""COMPUTED_VALUE"""),"85o 15' 13""")</f>
        <v>85o 15' 13"</v>
      </c>
      <c r="L149" s="2" t="str">
        <f>IFERROR(__xludf.DUMMYFUNCTION("""COMPUTED_VALUE"""),"85o 17' 13""")</f>
        <v>85o 17' 13"</v>
      </c>
      <c r="M149" s="2" t="str">
        <f>IFERROR(__xludf.DUMMYFUNCTION("""COMPUTED_VALUE"""),"Chilime,Thuman (Rasuwa)")</f>
        <v>Chilime,Thuman (Rasuwa)</v>
      </c>
    </row>
    <row r="150">
      <c r="A150" s="2">
        <f>IFERROR(__xludf.DUMMYFUNCTION("""COMPUTED_VALUE"""),149.0)</f>
        <v>149</v>
      </c>
      <c r="B150" s="2" t="str">
        <f>IFERROR(__xludf.DUMMYFUNCTION("""COMPUTED_VALUE"""),"Rimna Sani Bheri Hydropower Project")</f>
        <v>Rimna Sani Bheri Hydropower Project</v>
      </c>
      <c r="C150" s="2">
        <f>IFERROR(__xludf.DUMMYFUNCTION("""COMPUTED_VALUE"""),4.5)</f>
        <v>4.5</v>
      </c>
      <c r="D150" s="2" t="str">
        <f>IFERROR(__xludf.DUMMYFUNCTION("""COMPUTED_VALUE"""),"Sani Bheri")</f>
        <v>Sani Bheri</v>
      </c>
      <c r="E150" s="2">
        <f>IFERROR(__xludf.DUMMYFUNCTION("""COMPUTED_VALUE"""),7997.0)</f>
        <v>7997</v>
      </c>
      <c r="F150" s="3">
        <f>IFERROR(__xludf.DUMMYFUNCTION("""COMPUTED_VALUE"""),66837.0)</f>
        <v>66837</v>
      </c>
      <c r="G150" s="2" t="str">
        <f>IFERROR(__xludf.DUMMYFUNCTION("""COMPUTED_VALUE"""),"Geo-Tech and Hydro Overrseas pvt. ltd")</f>
        <v>Geo-Tech and Hydro Overrseas pvt. ltd</v>
      </c>
      <c r="H150" s="2" t="str">
        <f>IFERROR(__xludf.DUMMYFUNCTION("""COMPUTED_VALUE"""),"Sanepa, lalitpur")</f>
        <v>Sanepa, lalitpur</v>
      </c>
      <c r="I150" s="2" t="str">
        <f>IFERROR(__xludf.DUMMYFUNCTION("""COMPUTED_VALUE"""),"28o 38' 11""")</f>
        <v>28o 38' 11"</v>
      </c>
      <c r="J150" s="2" t="str">
        <f>IFERROR(__xludf.DUMMYFUNCTION("""COMPUTED_VALUE"""),"28o 41' 11""")</f>
        <v>28o 41' 11"</v>
      </c>
      <c r="K150" s="2" t="str">
        <f>IFERROR(__xludf.DUMMYFUNCTION("""COMPUTED_VALUE"""),"82o 15' 31""")</f>
        <v>82o 15' 31"</v>
      </c>
      <c r="L150" s="2" t="str">
        <f>IFERROR(__xludf.DUMMYFUNCTION("""COMPUTED_VALUE"""),"82o 21' 43""")</f>
        <v>82o 21' 43"</v>
      </c>
      <c r="M150" s="2" t="str">
        <f>IFERROR(__xludf.DUMMYFUNCTION("""COMPUTED_VALUE"""),"Bijeswori (Rukum)")</f>
        <v>Bijeswori (Rukum)</v>
      </c>
    </row>
    <row r="151">
      <c r="A151" s="2">
        <f>IFERROR(__xludf.DUMMYFUNCTION("""COMPUTED_VALUE"""),150.0)</f>
        <v>150</v>
      </c>
      <c r="B151" s="2" t="str">
        <f>IFERROR(__xludf.DUMMYFUNCTION("""COMPUTED_VALUE"""),"Upper Kabeli A Hydropower Project")</f>
        <v>Upper Kabeli A Hydropower Project</v>
      </c>
      <c r="C151" s="2">
        <f>IFERROR(__xludf.DUMMYFUNCTION("""COMPUTED_VALUE"""),20.0)</f>
        <v>20</v>
      </c>
      <c r="D151" s="2" t="str">
        <f>IFERROR(__xludf.DUMMYFUNCTION("""COMPUTED_VALUE"""),"Kabeli Khola")</f>
        <v>Kabeli Khola</v>
      </c>
      <c r="E151" s="2">
        <f>IFERROR(__xludf.DUMMYFUNCTION("""COMPUTED_VALUE"""),8034.0)</f>
        <v>8034</v>
      </c>
      <c r="F151" s="3">
        <f>IFERROR(__xludf.DUMMYFUNCTION("""COMPUTED_VALUE"""),66840.0)</f>
        <v>66840</v>
      </c>
      <c r="G151" s="2" t="str">
        <f>IFERROR(__xludf.DUMMYFUNCTION("""COMPUTED_VALUE"""),"Next Holdings Limited")</f>
        <v>Next Holdings Limited</v>
      </c>
      <c r="H151" s="2" t="str">
        <f>IFERROR(__xludf.DUMMYFUNCTION("""COMPUTED_VALUE"""),"Kathmandu - 01, Kathmandu")</f>
        <v>Kathmandu - 01, Kathmandu</v>
      </c>
      <c r="I151" s="2" t="str">
        <f>IFERROR(__xludf.DUMMYFUNCTION("""COMPUTED_VALUE"""),"27o 27' 15""")</f>
        <v>27o 27' 15"</v>
      </c>
      <c r="J151" s="2" t="str">
        <f>IFERROR(__xludf.DUMMYFUNCTION("""COMPUTED_VALUE"""),"27o 28' 09""")</f>
        <v>27o 28' 09"</v>
      </c>
      <c r="K151" s="2" t="str">
        <f>IFERROR(__xludf.DUMMYFUNCTION("""COMPUTED_VALUE"""),"87o 55' 40""")</f>
        <v>87o 55' 40"</v>
      </c>
      <c r="L151" s="2" t="str">
        <f>IFERROR(__xludf.DUMMYFUNCTION("""COMPUTED_VALUE"""),"87o 58' 12""")</f>
        <v>87o 58' 12"</v>
      </c>
      <c r="M151" s="2" t="str">
        <f>IFERROR(__xludf.DUMMYFUNCTION("""COMPUTED_VALUE"""),"Yamfudin (Taplejung)")</f>
        <v>Yamfudin (Taplejung)</v>
      </c>
    </row>
    <row r="152">
      <c r="A152" s="2">
        <f>IFERROR(__xludf.DUMMYFUNCTION("""COMPUTED_VALUE"""),151.0)</f>
        <v>151</v>
      </c>
      <c r="B152" s="2" t="str">
        <f>IFERROR(__xludf.DUMMYFUNCTION("""COMPUTED_VALUE"""),"Dharche Machha Hydropower Project")</f>
        <v>Dharche Machha Hydropower Project</v>
      </c>
      <c r="C152" s="2">
        <f>IFERROR(__xludf.DUMMYFUNCTION("""COMPUTED_VALUE"""),4.0)</f>
        <v>4</v>
      </c>
      <c r="D152" s="2" t="str">
        <f>IFERROR(__xludf.DUMMYFUNCTION("""COMPUTED_VALUE"""),"Machha Khola")</f>
        <v>Machha Khola</v>
      </c>
      <c r="E152" s="2">
        <f>IFERROR(__xludf.DUMMYFUNCTION("""COMPUTED_VALUE"""),8059.0)</f>
        <v>8059</v>
      </c>
      <c r="F152" s="3">
        <f>IFERROR(__xludf.DUMMYFUNCTION("""COMPUTED_VALUE"""),66840.0)</f>
        <v>66840</v>
      </c>
      <c r="G152" s="2" t="str">
        <f>IFERROR(__xludf.DUMMYFUNCTION("""COMPUTED_VALUE"""),"Dharche Energy Private Limited")</f>
        <v>Dharche Energy Private Limited</v>
      </c>
      <c r="H152" s="2" t="str">
        <f>IFERROR(__xludf.DUMMYFUNCTION("""COMPUTED_VALUE"""),"KMC-16, Kathmandu")</f>
        <v>KMC-16, Kathmandu</v>
      </c>
      <c r="I152" s="2" t="str">
        <f>IFERROR(__xludf.DUMMYFUNCTION("""COMPUTED_VALUE"""),"28o 13' 37""")</f>
        <v>28o 13' 37"</v>
      </c>
      <c r="J152" s="2" t="str">
        <f>IFERROR(__xludf.DUMMYFUNCTION("""COMPUTED_VALUE"""),"28o 14' 00""")</f>
        <v>28o 14' 00"</v>
      </c>
      <c r="K152" s="2" t="str">
        <f>IFERROR(__xludf.DUMMYFUNCTION("""COMPUTED_VALUE"""),"84o 52' 05""")</f>
        <v>84o 52' 05"</v>
      </c>
      <c r="L152" s="2" t="str">
        <f>IFERROR(__xludf.DUMMYFUNCTION("""COMPUTED_VALUE"""),"84o 52' 40""")</f>
        <v>84o 52' 40"</v>
      </c>
      <c r="M152" s="2" t="str">
        <f>IFERROR(__xludf.DUMMYFUNCTION("""COMPUTED_VALUE"""),"Kerauja,Uiya,Gumda (Gorkha)")</f>
        <v>Kerauja,Uiya,Gumda (Gorkha)</v>
      </c>
    </row>
    <row r="153">
      <c r="A153" s="2">
        <f>IFERROR(__xludf.DUMMYFUNCTION("""COMPUTED_VALUE"""),152.0)</f>
        <v>152</v>
      </c>
      <c r="B153" s="2" t="str">
        <f>IFERROR(__xludf.DUMMYFUNCTION("""COMPUTED_VALUE"""),"Igdigad Hydropower Project")</f>
        <v>Igdigad Hydropower Project</v>
      </c>
      <c r="C153" s="2">
        <f>IFERROR(__xludf.DUMMYFUNCTION("""COMPUTED_VALUE"""),4.63)</f>
        <v>4.63</v>
      </c>
      <c r="D153" s="2" t="str">
        <f>IFERROR(__xludf.DUMMYFUNCTION("""COMPUTED_VALUE"""),"Igdi Gad")</f>
        <v>Igdi Gad</v>
      </c>
      <c r="E153" s="2">
        <f>IFERROR(__xludf.DUMMYFUNCTION("""COMPUTED_VALUE"""),8062.0)</f>
        <v>8062</v>
      </c>
      <c r="F153" s="3">
        <f>IFERROR(__xludf.DUMMYFUNCTION("""COMPUTED_VALUE"""),66840.0)</f>
        <v>66840</v>
      </c>
      <c r="G153" s="2" t="str">
        <f>IFERROR(__xludf.DUMMYFUNCTION("""COMPUTED_VALUE"""),"Badimalika Energy Solutions Pvt Ltd")</f>
        <v>Badimalika Energy Solutions Pvt Ltd</v>
      </c>
      <c r="H153" s="2" t="str">
        <f>IFERROR(__xludf.DUMMYFUNCTION("""COMPUTED_VALUE"""),"Mid Baneshwor, Ka.Ma.Na.Pa-31, Kathmandu")</f>
        <v>Mid Baneshwor, Ka.Ma.Na.Pa-31, Kathmandu</v>
      </c>
      <c r="I153" s="2" t="str">
        <f>IFERROR(__xludf.DUMMYFUNCTION("""COMPUTED_VALUE"""),"29o 18' 08""")</f>
        <v>29o 18' 08"</v>
      </c>
      <c r="J153" s="2" t="str">
        <f>IFERROR(__xludf.DUMMYFUNCTION("""COMPUTED_VALUE"""),"29o 20' 44""")</f>
        <v>29o 20' 44"</v>
      </c>
      <c r="K153" s="2" t="str">
        <f>IFERROR(__xludf.DUMMYFUNCTION("""COMPUTED_VALUE"""),"81o 15' 00""")</f>
        <v>81o 15' 00"</v>
      </c>
      <c r="L153" s="2" t="str">
        <f>IFERROR(__xludf.DUMMYFUNCTION("""COMPUTED_VALUE"""),"81o 16' 15""")</f>
        <v>81o 16' 15"</v>
      </c>
      <c r="M153" s="2"/>
    </row>
    <row r="154">
      <c r="A154" s="2">
        <f>IFERROR(__xludf.DUMMYFUNCTION("""COMPUTED_VALUE"""),153.0)</f>
        <v>153</v>
      </c>
      <c r="B154" s="2" t="str">
        <f>IFERROR(__xludf.DUMMYFUNCTION("""COMPUTED_VALUE"""),"Upper Kabeli B Hydropower Project")</f>
        <v>Upper Kabeli B Hydropower Project</v>
      </c>
      <c r="C154" s="2">
        <f>IFERROR(__xludf.DUMMYFUNCTION("""COMPUTED_VALUE"""),5.73)</f>
        <v>5.73</v>
      </c>
      <c r="D154" s="2" t="str">
        <f>IFERROR(__xludf.DUMMYFUNCTION("""COMPUTED_VALUE"""),"Kabeli Khola")</f>
        <v>Kabeli Khola</v>
      </c>
      <c r="E154" s="2">
        <f>IFERROR(__xludf.DUMMYFUNCTION("""COMPUTED_VALUE"""),8063.0)</f>
        <v>8063</v>
      </c>
      <c r="F154" s="3">
        <f>IFERROR(__xludf.DUMMYFUNCTION("""COMPUTED_VALUE"""),66840.0)</f>
        <v>66840</v>
      </c>
      <c r="G154" s="2" t="str">
        <f>IFERROR(__xludf.DUMMYFUNCTION("""COMPUTED_VALUE"""),"Next Holdings Limited")</f>
        <v>Next Holdings Limited</v>
      </c>
      <c r="H154" s="2" t="str">
        <f>IFERROR(__xludf.DUMMYFUNCTION("""COMPUTED_VALUE"""),"4 square complex 2nd floor, Block B, Narayanchaur, Naxal - 1, Kathmandu, 
Nepal")</f>
        <v>4 square complex 2nd floor, Block B, Narayanchaur, Naxal - 1, Kathmandu, 
Nepal</v>
      </c>
      <c r="I154" s="2" t="str">
        <f>IFERROR(__xludf.DUMMYFUNCTION("""COMPUTED_VALUE"""),"27o 28' 05""")</f>
        <v>27o 28' 05"</v>
      </c>
      <c r="J154" s="2" t="str">
        <f>IFERROR(__xludf.DUMMYFUNCTION("""COMPUTED_VALUE"""),"27o 28' 48""")</f>
        <v>27o 28' 48"</v>
      </c>
      <c r="K154" s="2" t="str">
        <f>IFERROR(__xludf.DUMMYFUNCTION("""COMPUTED_VALUE"""),"87o 58' 12""")</f>
        <v>87o 58' 12"</v>
      </c>
      <c r="L154" s="2" t="str">
        <f>IFERROR(__xludf.DUMMYFUNCTION("""COMPUTED_VALUE"""),"87o 58' 59""")</f>
        <v>87o 58' 59"</v>
      </c>
      <c r="M154" s="2" t="str">
        <f>IFERROR(__xludf.DUMMYFUNCTION("""COMPUTED_VALUE"""),"Yamfudin (Taplejung)")</f>
        <v>Yamfudin (Taplejung)</v>
      </c>
    </row>
    <row r="155">
      <c r="A155" s="2">
        <f>IFERROR(__xludf.DUMMYFUNCTION("""COMPUTED_VALUE"""),154.0)</f>
        <v>154</v>
      </c>
      <c r="B155" s="2" t="str">
        <f>IFERROR(__xludf.DUMMYFUNCTION("""COMPUTED_VALUE"""),"Madi Storage Hydropower Project")</f>
        <v>Madi Storage Hydropower Project</v>
      </c>
      <c r="C155" s="2">
        <f>IFERROR(__xludf.DUMMYFUNCTION("""COMPUTED_VALUE"""),156.0)</f>
        <v>156</v>
      </c>
      <c r="D155" s="2" t="str">
        <f>IFERROR(__xludf.DUMMYFUNCTION("""COMPUTED_VALUE"""),"Madi Khola")</f>
        <v>Madi Khola</v>
      </c>
      <c r="E155" s="2">
        <f>IFERROR(__xludf.DUMMYFUNCTION("""COMPUTED_VALUE"""),8070.0)</f>
        <v>8070</v>
      </c>
      <c r="F155" s="3">
        <f>IFERROR(__xludf.DUMMYFUNCTION("""COMPUTED_VALUE"""),66840.0)</f>
        <v>66840</v>
      </c>
      <c r="G155" s="2" t="str">
        <f>IFERROR(__xludf.DUMMYFUNCTION("""COMPUTED_VALUE"""),"Mountain Holding and Private Equity Company Private Limited")</f>
        <v>Mountain Holding and Private Equity Company Private Limited</v>
      </c>
      <c r="H155" s="2" t="str">
        <f>IFERROR(__xludf.DUMMYFUNCTION("""COMPUTED_VALUE"""),"Panipokhari, Kathmandu, 01-4525357")</f>
        <v>Panipokhari, Kathmandu, 01-4525357</v>
      </c>
      <c r="I155" s="2" t="str">
        <f>IFERROR(__xludf.DUMMYFUNCTION("""COMPUTED_VALUE"""),"28o 13' 30""")</f>
        <v>28o 13' 30"</v>
      </c>
      <c r="J155" s="2" t="str">
        <f>IFERROR(__xludf.DUMMYFUNCTION("""COMPUTED_VALUE"""),"28o 20' 55""")</f>
        <v>28o 20' 55"</v>
      </c>
      <c r="K155" s="2" t="str">
        <f>IFERROR(__xludf.DUMMYFUNCTION("""COMPUTED_VALUE"""),"82o 33' 40""")</f>
        <v>82o 33' 40"</v>
      </c>
      <c r="L155" s="2" t="str">
        <f>IFERROR(__xludf.DUMMYFUNCTION("""COMPUTED_VALUE"""),"82o 39' 15""")</f>
        <v>82o 39' 15"</v>
      </c>
      <c r="M155" s="2" t="str">
        <f>IFERROR(__xludf.DUMMYFUNCTION("""COMPUTED_VALUE"""),"Dhawang,Liwang,Khumel,Khungri,Jedwang,Kareti,Kotgaun,Karchawang (Rolpa)")</f>
        <v>Dhawang,Liwang,Khumel,Khungri,Jedwang,Kareti,Kotgaun,Karchawang (Rolpa)</v>
      </c>
    </row>
    <row r="156">
      <c r="A156" s="2">
        <f>IFERROR(__xludf.DUMMYFUNCTION("""COMPUTED_VALUE"""),155.0)</f>
        <v>155</v>
      </c>
      <c r="B156" s="2" t="str">
        <f>IFERROR(__xludf.DUMMYFUNCTION("""COMPUTED_VALUE"""),"Tarap Hydropower Project")</f>
        <v>Tarap Hydropower Project</v>
      </c>
      <c r="C156" s="2">
        <f>IFERROR(__xludf.DUMMYFUNCTION("""COMPUTED_VALUE"""),4.95)</f>
        <v>4.95</v>
      </c>
      <c r="D156" s="2" t="str">
        <f>IFERROR(__xludf.DUMMYFUNCTION("""COMPUTED_VALUE"""),"Tarap")</f>
        <v>Tarap</v>
      </c>
      <c r="E156" s="2">
        <f>IFERROR(__xludf.DUMMYFUNCTION("""COMPUTED_VALUE"""),8090.0)</f>
        <v>8090</v>
      </c>
      <c r="F156" s="3">
        <f>IFERROR(__xludf.DUMMYFUNCTION("""COMPUTED_VALUE"""),66843.0)</f>
        <v>66843</v>
      </c>
      <c r="G156" s="2" t="str">
        <f>IFERROR(__xludf.DUMMYFUNCTION("""COMPUTED_VALUE"""),"imperial Power Pvt. Ltd")</f>
        <v>imperial Power Pvt. Ltd</v>
      </c>
      <c r="H156" s="2" t="str">
        <f>IFERROR(__xludf.DUMMYFUNCTION("""COMPUTED_VALUE"""),"kathamndu-02")</f>
        <v>kathamndu-02</v>
      </c>
      <c r="I156" s="2" t="str">
        <f>IFERROR(__xludf.DUMMYFUNCTION("""COMPUTED_VALUE"""),"28o 53' 45""")</f>
        <v>28o 53' 45"</v>
      </c>
      <c r="J156" s="2" t="str">
        <f>IFERROR(__xludf.DUMMYFUNCTION("""COMPUTED_VALUE"""),"28o 57' 02""")</f>
        <v>28o 57' 02"</v>
      </c>
      <c r="K156" s="2" t="str">
        <f>IFERROR(__xludf.DUMMYFUNCTION("""COMPUTED_VALUE"""),"83o 01' 30""")</f>
        <v>83o 01' 30"</v>
      </c>
      <c r="L156" s="2" t="str">
        <f>IFERROR(__xludf.DUMMYFUNCTION("""COMPUTED_VALUE"""),"83o 04' 26""")</f>
        <v>83o 04' 26"</v>
      </c>
      <c r="M156" s="2"/>
    </row>
    <row r="157">
      <c r="A157" s="2">
        <f>IFERROR(__xludf.DUMMYFUNCTION("""COMPUTED_VALUE"""),156.0)</f>
        <v>156</v>
      </c>
      <c r="B157" s="2" t="str">
        <f>IFERROR(__xludf.DUMMYFUNCTION("""COMPUTED_VALUE"""),"Lower Lukum Khola Hydropower Project")</f>
        <v>Lower Lukum Khola Hydropower Project</v>
      </c>
      <c r="C157" s="2">
        <f>IFERROR(__xludf.DUMMYFUNCTION("""COMPUTED_VALUE"""),4.9)</f>
        <v>4.9</v>
      </c>
      <c r="D157" s="2" t="str">
        <f>IFERROR(__xludf.DUMMYFUNCTION("""COMPUTED_VALUE"""),"Lukum")</f>
        <v>Lukum</v>
      </c>
      <c r="E157" s="2">
        <f>IFERROR(__xludf.DUMMYFUNCTION("""COMPUTED_VALUE"""),8095.0)</f>
        <v>8095</v>
      </c>
      <c r="F157" s="3">
        <f>IFERROR(__xludf.DUMMYFUNCTION("""COMPUTED_VALUE"""),66843.0)</f>
        <v>66843</v>
      </c>
      <c r="G157" s="2" t="str">
        <f>IFERROR(__xludf.DUMMYFUNCTION("""COMPUTED_VALUE"""),"Luma Power Energy Private Limited")</f>
        <v>Luma Power Energy Private Limited</v>
      </c>
      <c r="H157" s="2" t="str">
        <f>IFERROR(__xludf.DUMMYFUNCTION("""COMPUTED_VALUE"""),"Kathmandu - 10, Thapagaun, Nepal")</f>
        <v>Kathmandu - 10, Thapagaun, Nepal</v>
      </c>
      <c r="I157" s="2" t="str">
        <f>IFERROR(__xludf.DUMMYFUNCTION("""COMPUTED_VALUE"""),"28o 33' 15""")</f>
        <v>28o 33' 15"</v>
      </c>
      <c r="J157" s="2" t="str">
        <f>IFERROR(__xludf.DUMMYFUNCTION("""COMPUTED_VALUE"""),"28o 34' 15""")</f>
        <v>28o 34' 15"</v>
      </c>
      <c r="K157" s="2" t="str">
        <f>IFERROR(__xludf.DUMMYFUNCTION("""COMPUTED_VALUE"""),"82o 38' 49""")</f>
        <v>82o 38' 49"</v>
      </c>
      <c r="L157" s="2" t="str">
        <f>IFERROR(__xludf.DUMMYFUNCTION("""COMPUTED_VALUE"""),"82o 40' 50""")</f>
        <v>82o 40' 50"</v>
      </c>
      <c r="M157" s="2" t="str">
        <f>IFERROR(__xludf.DUMMYFUNCTION("""COMPUTED_VALUE"""),"Mahat,Morawang (Rukum)")</f>
        <v>Mahat,Morawang (Rukum)</v>
      </c>
    </row>
    <row r="158">
      <c r="A158" s="2">
        <f>IFERROR(__xludf.DUMMYFUNCTION("""COMPUTED_VALUE"""),157.0)</f>
        <v>157</v>
      </c>
      <c r="B158" s="2" t="str">
        <f>IFERROR(__xludf.DUMMYFUNCTION("""COMPUTED_VALUE"""),"Tarap khola Storage Hydropower Project")</f>
        <v>Tarap khola Storage Hydropower Project</v>
      </c>
      <c r="C158" s="2">
        <f>IFERROR(__xludf.DUMMYFUNCTION("""COMPUTED_VALUE"""),200.0)</f>
        <v>200</v>
      </c>
      <c r="D158" s="2" t="str">
        <f>IFERROR(__xludf.DUMMYFUNCTION("""COMPUTED_VALUE"""),"Tarap")</f>
        <v>Tarap</v>
      </c>
      <c r="E158" s="2">
        <f>IFERROR(__xludf.DUMMYFUNCTION("""COMPUTED_VALUE"""),8134.0)</f>
        <v>8134</v>
      </c>
      <c r="F158" s="3">
        <f>IFERROR(__xludf.DUMMYFUNCTION("""COMPUTED_VALUE"""),66843.0)</f>
        <v>66843</v>
      </c>
      <c r="G158" s="2" t="str">
        <f>IFERROR(__xludf.DUMMYFUNCTION("""COMPUTED_VALUE"""),"Ramatech bhdri Hydropower Pvt. Ltd")</f>
        <v>Ramatech bhdri Hydropower Pvt. Ltd</v>
      </c>
      <c r="H158" s="2" t="str">
        <f>IFERROR(__xludf.DUMMYFUNCTION("""COMPUTED_VALUE"""),"Budhanilkanth, Kathmandu")</f>
        <v>Budhanilkanth, Kathmandu</v>
      </c>
      <c r="I158" s="2" t="str">
        <f>IFERROR(__xludf.DUMMYFUNCTION("""COMPUTED_VALUE"""),"28o 53' 40""")</f>
        <v>28o 53' 40"</v>
      </c>
      <c r="J158" s="2" t="str">
        <f>IFERROR(__xludf.DUMMYFUNCTION("""COMPUTED_VALUE"""),"29o 02' 11""")</f>
        <v>29o 02' 11"</v>
      </c>
      <c r="K158" s="2" t="str">
        <f>IFERROR(__xludf.DUMMYFUNCTION("""COMPUTED_VALUE"""),"83o 01' 30""")</f>
        <v>83o 01' 30"</v>
      </c>
      <c r="L158" s="2" t="str">
        <f>IFERROR(__xludf.DUMMYFUNCTION("""COMPUTED_VALUE"""),"83o 08' 03""")</f>
        <v>83o 08' 03"</v>
      </c>
      <c r="M158" s="2" t="str">
        <f>IFERROR(__xludf.DUMMYFUNCTION("""COMPUTED_VALUE"""),"Dho (Dolpa)")</f>
        <v>Dho (Dolpa)</v>
      </c>
    </row>
    <row r="159">
      <c r="A159" s="2">
        <f>IFERROR(__xludf.DUMMYFUNCTION("""COMPUTED_VALUE"""),158.0)</f>
        <v>158</v>
      </c>
      <c r="B159" s="2" t="str">
        <f>IFERROR(__xludf.DUMMYFUNCTION("""COMPUTED_VALUE"""),"Jagdulla-Naumule Khola Hydropower Project")</f>
        <v>Jagdulla-Naumule Khola Hydropower Project</v>
      </c>
      <c r="C159" s="2">
        <f>IFERROR(__xludf.DUMMYFUNCTION("""COMPUTED_VALUE"""),4.97)</f>
        <v>4.97</v>
      </c>
      <c r="D159" s="2" t="str">
        <f>IFERROR(__xludf.DUMMYFUNCTION("""COMPUTED_VALUE"""),"Jagadulla")</f>
        <v>Jagadulla</v>
      </c>
      <c r="E159" s="2">
        <f>IFERROR(__xludf.DUMMYFUNCTION("""COMPUTED_VALUE"""),8135.0)</f>
        <v>8135</v>
      </c>
      <c r="F159" s="3">
        <f>IFERROR(__xludf.DUMMYFUNCTION("""COMPUTED_VALUE"""),66843.0)</f>
        <v>66843</v>
      </c>
      <c r="G159" s="2" t="str">
        <f>IFERROR(__xludf.DUMMYFUNCTION("""COMPUTED_VALUE"""),"Samriddi Rurubanyu urja Pvt.Ltd")</f>
        <v>Samriddi Rurubanyu urja Pvt.Ltd</v>
      </c>
      <c r="H159" s="2" t="str">
        <f>IFERROR(__xludf.DUMMYFUNCTION("""COMPUTED_VALUE"""),"Budhanilkantha, Kathmandu")</f>
        <v>Budhanilkantha, Kathmandu</v>
      </c>
      <c r="I159" s="2" t="str">
        <f>IFERROR(__xludf.DUMMYFUNCTION("""COMPUTED_VALUE"""),"29o 07' 09""")</f>
        <v>29o 07' 09"</v>
      </c>
      <c r="J159" s="2" t="str">
        <f>IFERROR(__xludf.DUMMYFUNCTION("""COMPUTED_VALUE"""),"29o 08' 04""")</f>
        <v>29o 08' 04"</v>
      </c>
      <c r="K159" s="2" t="str">
        <f>IFERROR(__xludf.DUMMYFUNCTION("""COMPUTED_VALUE"""),"82o 36' 56""")</f>
        <v>82o 36' 56"</v>
      </c>
      <c r="L159" s="2" t="str">
        <f>IFERROR(__xludf.DUMMYFUNCTION("""COMPUTED_VALUE"""),"82o 38' 23""")</f>
        <v>82o 38' 23"</v>
      </c>
      <c r="M159" s="2" t="str">
        <f>IFERROR(__xludf.DUMMYFUNCTION("""COMPUTED_VALUE"""),"Dunai (Dolpa)")</f>
        <v>Dunai (Dolpa)</v>
      </c>
    </row>
    <row r="160">
      <c r="A160" s="2">
        <f>IFERROR(__xludf.DUMMYFUNCTION("""COMPUTED_VALUE"""),159.0)</f>
        <v>159</v>
      </c>
      <c r="B160" s="2" t="str">
        <f>IFERROR(__xludf.DUMMYFUNCTION("""COMPUTED_VALUE"""),"Mathillo Syano Khola Hydropower Project")</f>
        <v>Mathillo Syano Khola Hydropower Project</v>
      </c>
      <c r="C160" s="2">
        <f>IFERROR(__xludf.DUMMYFUNCTION("""COMPUTED_VALUE"""),4.12)</f>
        <v>4.12</v>
      </c>
      <c r="D160" s="2" t="str">
        <f>IFERROR(__xludf.DUMMYFUNCTION("""COMPUTED_VALUE"""),"Syano Khola")</f>
        <v>Syano Khola</v>
      </c>
      <c r="E160" s="2">
        <f>IFERROR(__xludf.DUMMYFUNCTION("""COMPUTED_VALUE"""),8141.0)</f>
        <v>8141</v>
      </c>
      <c r="F160" s="3">
        <f>IFERROR(__xludf.DUMMYFUNCTION("""COMPUTED_VALUE"""),66844.0)</f>
        <v>66844</v>
      </c>
      <c r="G160" s="2" t="str">
        <f>IFERROR(__xludf.DUMMYFUNCTION("""COMPUTED_VALUE"""),"Jal Saurya Urja Private Limited")</f>
        <v>Jal Saurya Urja Private Limited</v>
      </c>
      <c r="H160" s="2" t="str">
        <f>IFERROR(__xludf.DUMMYFUNCTION("""COMPUTED_VALUE"""),"Ward No 1, Kupandol, Lalitpur")</f>
        <v>Ward No 1, Kupandol, Lalitpur</v>
      </c>
      <c r="I160" s="2" t="str">
        <f>IFERROR(__xludf.DUMMYFUNCTION("""COMPUTED_VALUE"""),"28o 33' 15""")</f>
        <v>28o 33' 15"</v>
      </c>
      <c r="J160" s="2" t="str">
        <f>IFERROR(__xludf.DUMMYFUNCTION("""COMPUTED_VALUE"""),"28o 34' 18""")</f>
        <v>28o 34' 18"</v>
      </c>
      <c r="K160" s="2" t="str">
        <f>IFERROR(__xludf.DUMMYFUNCTION("""COMPUTED_VALUE"""),"83o 29' 30""")</f>
        <v>83o 29' 30"</v>
      </c>
      <c r="L160" s="2" t="str">
        <f>IFERROR(__xludf.DUMMYFUNCTION("""COMPUTED_VALUE"""),"83o 30' 15""")</f>
        <v>83o 30' 15"</v>
      </c>
      <c r="M160" s="2" t="str">
        <f>IFERROR(__xludf.DUMMYFUNCTION("""COMPUTED_VALUE"""),"Kuinemangale (Myagdi)")</f>
        <v>Kuinemangale (Myagdi)</v>
      </c>
    </row>
    <row r="161">
      <c r="A161" s="2">
        <f>IFERROR(__xludf.DUMMYFUNCTION("""COMPUTED_VALUE"""),160.0)</f>
        <v>160</v>
      </c>
      <c r="B161" s="2" t="str">
        <f>IFERROR(__xludf.DUMMYFUNCTION("""COMPUTED_VALUE"""),"Malagad Hydropower Project")</f>
        <v>Malagad Hydropower Project</v>
      </c>
      <c r="C161" s="2">
        <f>IFERROR(__xludf.DUMMYFUNCTION("""COMPUTED_VALUE"""),6.0)</f>
        <v>6</v>
      </c>
      <c r="D161" s="2" t="str">
        <f>IFERROR(__xludf.DUMMYFUNCTION("""COMPUTED_VALUE"""),"Malagad")</f>
        <v>Malagad</v>
      </c>
      <c r="E161" s="2">
        <f>IFERROR(__xludf.DUMMYFUNCTION("""COMPUTED_VALUE"""),8152.0)</f>
        <v>8152</v>
      </c>
      <c r="F161" s="3">
        <f>IFERROR(__xludf.DUMMYFUNCTION("""COMPUTED_VALUE"""),66844.0)</f>
        <v>66844</v>
      </c>
      <c r="G161" s="2" t="str">
        <f>IFERROR(__xludf.DUMMYFUNCTION("""COMPUTED_VALUE"""),"natural Multi Energy Pvt. LTd")</f>
        <v>natural Multi Energy Pvt. LTd</v>
      </c>
      <c r="H161" s="2" t="str">
        <f>IFERROR(__xludf.DUMMYFUNCTION("""COMPUTED_VALUE"""),"Kathmandu")</f>
        <v>Kathmandu</v>
      </c>
      <c r="I161" s="2" t="str">
        <f>IFERROR(__xludf.DUMMYFUNCTION("""COMPUTED_VALUE"""),"29o 20' 11""")</f>
        <v>29o 20' 11"</v>
      </c>
      <c r="J161" s="2" t="str">
        <f>IFERROR(__xludf.DUMMYFUNCTION("""COMPUTED_VALUE"""),"29o 20' 58""")</f>
        <v>29o 20' 58"</v>
      </c>
      <c r="K161" s="2" t="str">
        <f>IFERROR(__xludf.DUMMYFUNCTION("""COMPUTED_VALUE"""),"81o 20' 13""")</f>
        <v>81o 20' 13"</v>
      </c>
      <c r="L161" s="2" t="str">
        <f>IFERROR(__xludf.DUMMYFUNCTION("""COMPUTED_VALUE"""),"81o 22' 21""")</f>
        <v>81o 22' 21"</v>
      </c>
      <c r="M161" s="2" t="str">
        <f>IFERROR(__xludf.DUMMYFUNCTION("""COMPUTED_VALUE"""),"Budhiganga (Bajura)")</f>
        <v>Budhiganga (Bajura)</v>
      </c>
    </row>
    <row r="162">
      <c r="A162" s="2">
        <f>IFERROR(__xludf.DUMMYFUNCTION("""COMPUTED_VALUE"""),161.0)</f>
        <v>161</v>
      </c>
      <c r="B162" s="2" t="str">
        <f>IFERROR(__xludf.DUMMYFUNCTION("""COMPUTED_VALUE"""),"Dudhkoshi - 9 Hydropower Project")</f>
        <v>Dudhkoshi - 9 Hydropower Project</v>
      </c>
      <c r="C162" s="2">
        <f>IFERROR(__xludf.DUMMYFUNCTION("""COMPUTED_VALUE"""),166.0)</f>
        <v>166</v>
      </c>
      <c r="D162" s="2" t="str">
        <f>IFERROR(__xludf.DUMMYFUNCTION("""COMPUTED_VALUE"""),"Dudhkoshi")</f>
        <v>Dudhkoshi</v>
      </c>
      <c r="E162" s="2">
        <f>IFERROR(__xludf.DUMMYFUNCTION("""COMPUTED_VALUE"""),8207.0)</f>
        <v>8207</v>
      </c>
      <c r="F162" s="3">
        <f>IFERROR(__xludf.DUMMYFUNCTION("""COMPUTED_VALUE"""),66845.0)</f>
        <v>66845</v>
      </c>
      <c r="G162" s="2" t="str">
        <f>IFERROR(__xludf.DUMMYFUNCTION("""COMPUTED_VALUE"""),"Samling Power Company Limited")</f>
        <v>Samling Power Company Limited</v>
      </c>
      <c r="H162" s="2" t="str">
        <f>IFERROR(__xludf.DUMMYFUNCTION("""COMPUTED_VALUE"""),"Krishna Galli-3, Lalitpur, Nepal")</f>
        <v>Krishna Galli-3, Lalitpur, Nepal</v>
      </c>
      <c r="I162" s="2" t="str">
        <f>IFERROR(__xludf.DUMMYFUNCTION("""COMPUTED_VALUE"""),"27o 41' 56""")</f>
        <v>27o 41' 56"</v>
      </c>
      <c r="J162" s="2" t="str">
        <f>IFERROR(__xludf.DUMMYFUNCTION("""COMPUTED_VALUE"""),"27o 46' 30""")</f>
        <v>27o 46' 30"</v>
      </c>
      <c r="K162" s="2" t="str">
        <f>IFERROR(__xludf.DUMMYFUNCTION("""COMPUTED_VALUE"""),"86o 41' 58""")</f>
        <v>86o 41' 58"</v>
      </c>
      <c r="L162" s="2" t="str">
        <f>IFERROR(__xludf.DUMMYFUNCTION("""COMPUTED_VALUE"""),"86o 44' 00""")</f>
        <v>86o 44' 00"</v>
      </c>
      <c r="M162" s="2" t="str">
        <f>IFERROR(__xludf.DUMMYFUNCTION("""COMPUTED_VALUE"""),"Chaurikharka (Solukhumbu)")</f>
        <v>Chaurikharka (Solukhumbu)</v>
      </c>
    </row>
    <row r="163">
      <c r="A163" s="2">
        <f>IFERROR(__xludf.DUMMYFUNCTION("""COMPUTED_VALUE"""),162.0)</f>
        <v>162</v>
      </c>
      <c r="B163" s="2" t="str">
        <f>IFERROR(__xludf.DUMMYFUNCTION("""COMPUTED_VALUE"""),"Inkhu Khola Hydropower Project")</f>
        <v>Inkhu Khola Hydropower Project</v>
      </c>
      <c r="C163" s="2">
        <f>IFERROR(__xludf.DUMMYFUNCTION("""COMPUTED_VALUE"""),4.9)</f>
        <v>4.9</v>
      </c>
      <c r="D163" s="2" t="str">
        <f>IFERROR(__xludf.DUMMYFUNCTION("""COMPUTED_VALUE"""),"Inkhu")</f>
        <v>Inkhu</v>
      </c>
      <c r="E163" s="2">
        <f>IFERROR(__xludf.DUMMYFUNCTION("""COMPUTED_VALUE"""),8215.0)</f>
        <v>8215</v>
      </c>
      <c r="F163" s="3">
        <f>IFERROR(__xludf.DUMMYFUNCTION("""COMPUTED_VALUE"""),66845.0)</f>
        <v>66845</v>
      </c>
      <c r="G163" s="2" t="str">
        <f>IFERROR(__xludf.DUMMYFUNCTION("""COMPUTED_VALUE"""),"Apex Alpha Investment Private Limited")</f>
        <v>Apex Alpha Investment Private Limited</v>
      </c>
      <c r="H163" s="2" t="str">
        <f>IFERROR(__xludf.DUMMYFUNCTION("""COMPUTED_VALUE"""),"Lalitpur Municipality, Ward No. 25, Bhaisipati, Lalitpur")</f>
        <v>Lalitpur Municipality, Ward No. 25, Bhaisipati, Lalitpur</v>
      </c>
      <c r="I163" s="2" t="str">
        <f>IFERROR(__xludf.DUMMYFUNCTION("""COMPUTED_VALUE"""),"27o 37' 14""")</f>
        <v>27o 37' 14"</v>
      </c>
      <c r="J163" s="2" t="str">
        <f>IFERROR(__xludf.DUMMYFUNCTION("""COMPUTED_VALUE"""),"27o 38' 16""")</f>
        <v>27o 38' 16"</v>
      </c>
      <c r="K163" s="2" t="str">
        <f>IFERROR(__xludf.DUMMYFUNCTION("""COMPUTED_VALUE"""),"86o 47' 57""")</f>
        <v>86o 47' 57"</v>
      </c>
      <c r="L163" s="2" t="str">
        <f>IFERROR(__xludf.DUMMYFUNCTION("""COMPUTED_VALUE"""),"86o 48' 54""")</f>
        <v>86o 48' 54"</v>
      </c>
      <c r="M163" s="2" t="str">
        <f>IFERROR(__xludf.DUMMYFUNCTION("""COMPUTED_VALUE"""),"Baku,Chaurikharka,Bung (Solukhumbu)")</f>
        <v>Baku,Chaurikharka,Bung (Solukhumbu)</v>
      </c>
    </row>
    <row r="164">
      <c r="A164" s="2">
        <f>IFERROR(__xludf.DUMMYFUNCTION("""COMPUTED_VALUE"""),163.0)</f>
        <v>163</v>
      </c>
      <c r="B164" s="2" t="str">
        <f>IFERROR(__xludf.DUMMYFUNCTION("""COMPUTED_VALUE"""),"Jagdulla-Kochche Khola Hydropower Project")</f>
        <v>Jagdulla-Kochche Khola Hydropower Project</v>
      </c>
      <c r="C164" s="2">
        <f>IFERROR(__xludf.DUMMYFUNCTION("""COMPUTED_VALUE"""),4.93)</f>
        <v>4.93</v>
      </c>
      <c r="D164" s="2" t="str">
        <f>IFERROR(__xludf.DUMMYFUNCTION("""COMPUTED_VALUE"""),"Lete Gad")</f>
        <v>Lete Gad</v>
      </c>
      <c r="E164" s="2">
        <f>IFERROR(__xludf.DUMMYFUNCTION("""COMPUTED_VALUE"""),8222.0)</f>
        <v>8222</v>
      </c>
      <c r="F164" s="3">
        <f>IFERROR(__xludf.DUMMYFUNCTION("""COMPUTED_VALUE"""),66845.0)</f>
        <v>66845</v>
      </c>
      <c r="G164" s="2" t="str">
        <f>IFERROR(__xludf.DUMMYFUNCTION("""COMPUTED_VALUE"""),"Upper Jagdulla hydropower Pvt. Ltd")</f>
        <v>Upper Jagdulla hydropower Pvt. Ltd</v>
      </c>
      <c r="H164" s="2" t="str">
        <f>IFERROR(__xludf.DUMMYFUNCTION("""COMPUTED_VALUE"""),"Budhanilakantham Kathmandu")</f>
        <v>Budhanilakantham Kathmandu</v>
      </c>
      <c r="I164" s="2" t="str">
        <f>IFERROR(__xludf.DUMMYFUNCTION("""COMPUTED_VALUE"""),"29o 04' 25""")</f>
        <v>29o 04' 25"</v>
      </c>
      <c r="J164" s="2" t="str">
        <f>IFERROR(__xludf.DUMMYFUNCTION("""COMPUTED_VALUE"""),"29o 07' 30""")</f>
        <v>29o 07' 30"</v>
      </c>
      <c r="K164" s="2" t="str">
        <f>IFERROR(__xludf.DUMMYFUNCTION("""COMPUTED_VALUE"""),"82o 29' 00""")</f>
        <v>82o 29' 00"</v>
      </c>
      <c r="L164" s="2" t="str">
        <f>IFERROR(__xludf.DUMMYFUNCTION("""COMPUTED_VALUE"""),"82o 35' 00""")</f>
        <v>82o 35' 00"</v>
      </c>
      <c r="M164" s="2" t="str">
        <f>IFERROR(__xludf.DUMMYFUNCTION("""COMPUTED_VALUE"""),"Ghode Mahadev (Jumla)")</f>
        <v>Ghode Mahadev (Jumla)</v>
      </c>
    </row>
    <row r="165">
      <c r="A165" s="2">
        <f>IFERROR(__xludf.DUMMYFUNCTION("""COMPUTED_VALUE"""),164.0)</f>
        <v>164</v>
      </c>
      <c r="B165" s="2" t="str">
        <f>IFERROR(__xludf.DUMMYFUNCTION("""COMPUTED_VALUE"""),"lete Gad hydropower Project")</f>
        <v>lete Gad hydropower Project</v>
      </c>
      <c r="C165" s="2">
        <f>IFERROR(__xludf.DUMMYFUNCTION("""COMPUTED_VALUE"""),4.88)</f>
        <v>4.88</v>
      </c>
      <c r="D165" s="2" t="str">
        <f>IFERROR(__xludf.DUMMYFUNCTION("""COMPUTED_VALUE"""),"Lete Gad")</f>
        <v>Lete Gad</v>
      </c>
      <c r="E165" s="2">
        <f>IFERROR(__xludf.DUMMYFUNCTION("""COMPUTED_VALUE"""),8223.0)</f>
        <v>8223</v>
      </c>
      <c r="F165" s="3">
        <f>IFERROR(__xludf.DUMMYFUNCTION("""COMPUTED_VALUE"""),66845.0)</f>
        <v>66845</v>
      </c>
      <c r="G165" s="2" t="str">
        <f>IFERROR(__xludf.DUMMYFUNCTION("""COMPUTED_VALUE"""),"Lete Gad Hydropower Pvt. Ltd")</f>
        <v>Lete Gad Hydropower Pvt. Ltd</v>
      </c>
      <c r="H165" s="2" t="str">
        <f>IFERROR(__xludf.DUMMYFUNCTION("""COMPUTED_VALUE"""),"Budhanilakantham Kathmandu")</f>
        <v>Budhanilakantham Kathmandu</v>
      </c>
      <c r="I165" s="2" t="str">
        <f>IFERROR(__xludf.DUMMYFUNCTION("""COMPUTED_VALUE"""),"29o 23' 43""")</f>
        <v>29o 23' 43"</v>
      </c>
      <c r="J165" s="2" t="str">
        <f>IFERROR(__xludf.DUMMYFUNCTION("""COMPUTED_VALUE"""),"29o 25' 40""")</f>
        <v>29o 25' 40"</v>
      </c>
      <c r="K165" s="2" t="str">
        <f>IFERROR(__xludf.DUMMYFUNCTION("""COMPUTED_VALUE"""),"82o 05' 53""")</f>
        <v>82o 05' 53"</v>
      </c>
      <c r="L165" s="2" t="str">
        <f>IFERROR(__xludf.DUMMYFUNCTION("""COMPUTED_VALUE"""),"82o 08' 29""")</f>
        <v>82o 08' 29"</v>
      </c>
      <c r="M165" s="2" t="str">
        <f>IFERROR(__xludf.DUMMYFUNCTION("""COMPUTED_VALUE"""),"Chhumchaur (Jumla)")</f>
        <v>Chhumchaur (Jumla)</v>
      </c>
    </row>
    <row r="166">
      <c r="A166" s="2">
        <f>IFERROR(__xludf.DUMMYFUNCTION("""COMPUTED_VALUE"""),165.0)</f>
        <v>165</v>
      </c>
      <c r="B166" s="2" t="str">
        <f>IFERROR(__xludf.DUMMYFUNCTION("""COMPUTED_VALUE"""),"Lower Budhiganga Hydropoelectric Project")</f>
        <v>Lower Budhiganga Hydropoelectric Project</v>
      </c>
      <c r="C166" s="2">
        <f>IFERROR(__xludf.DUMMYFUNCTION("""COMPUTED_VALUE"""),4.96)</f>
        <v>4.96</v>
      </c>
      <c r="D166" s="2" t="str">
        <f>IFERROR(__xludf.DUMMYFUNCTION("""COMPUTED_VALUE"""),"Budhiganga")</f>
        <v>Budhiganga</v>
      </c>
      <c r="E166" s="2">
        <f>IFERROR(__xludf.DUMMYFUNCTION("""COMPUTED_VALUE"""),8225.0)</f>
        <v>8225</v>
      </c>
      <c r="F166" s="3">
        <f>IFERROR(__xludf.DUMMYFUNCTION("""COMPUTED_VALUE"""),66845.0)</f>
        <v>66845</v>
      </c>
      <c r="G166" s="2" t="str">
        <f>IFERROR(__xludf.DUMMYFUNCTION("""COMPUTED_VALUE"""),"Innova power pvt. Ltd")</f>
        <v>Innova power pvt. Ltd</v>
      </c>
      <c r="H166" s="2" t="str">
        <f>IFERROR(__xludf.DUMMYFUNCTION("""COMPUTED_VALUE"""),"Madhyapur, Thimi, Bhaktapur")</f>
        <v>Madhyapur, Thimi, Bhaktapur</v>
      </c>
      <c r="I166" s="2" t="str">
        <f>IFERROR(__xludf.DUMMYFUNCTION("""COMPUTED_VALUE"""),"29o 08' 15""")</f>
        <v>29o 08' 15"</v>
      </c>
      <c r="J166" s="2" t="str">
        <f>IFERROR(__xludf.DUMMYFUNCTION("""COMPUTED_VALUE"""),"29o 15' 30""")</f>
        <v>29o 15' 30"</v>
      </c>
      <c r="K166" s="2" t="str">
        <f>IFERROR(__xludf.DUMMYFUNCTION("""COMPUTED_VALUE"""),"81o 12' 30""")</f>
        <v>81o 12' 30"</v>
      </c>
      <c r="L166" s="2" t="str">
        <f>IFERROR(__xludf.DUMMYFUNCTION("""COMPUTED_VALUE"""),"81o 15' 00""")</f>
        <v>81o 15' 00"</v>
      </c>
      <c r="M166" s="2" t="str">
        <f>IFERROR(__xludf.DUMMYFUNCTION("""COMPUTED_VALUE"""),"Bramhatola (Bajura)")</f>
        <v>Bramhatola (Bajura)</v>
      </c>
    </row>
    <row r="167">
      <c r="A167" s="2">
        <f>IFERROR(__xludf.DUMMYFUNCTION("""COMPUTED_VALUE"""),166.0)</f>
        <v>166</v>
      </c>
      <c r="B167" s="2" t="str">
        <f>IFERROR(__xludf.DUMMYFUNCTION("""COMPUTED_VALUE"""),"Middle Inkhu Hydroelectric Project")</f>
        <v>Middle Inkhu Hydroelectric Project</v>
      </c>
      <c r="C167" s="2">
        <f>IFERROR(__xludf.DUMMYFUNCTION("""COMPUTED_VALUE"""),27.9)</f>
        <v>27.9</v>
      </c>
      <c r="D167" s="2" t="str">
        <f>IFERROR(__xludf.DUMMYFUNCTION("""COMPUTED_VALUE"""),"Inkhu")</f>
        <v>Inkhu</v>
      </c>
      <c r="E167" s="2">
        <f>IFERROR(__xludf.DUMMYFUNCTION("""COMPUTED_VALUE"""),8231.0)</f>
        <v>8231</v>
      </c>
      <c r="F167" s="3">
        <f>IFERROR(__xludf.DUMMYFUNCTION("""COMPUTED_VALUE"""),66845.0)</f>
        <v>66845</v>
      </c>
      <c r="G167" s="2" t="str">
        <f>IFERROR(__xludf.DUMMYFUNCTION("""COMPUTED_VALUE"""),"Inkhu Chepel Hydro Private Limited")</f>
        <v>Inkhu Chepel Hydro Private Limited</v>
      </c>
      <c r="H167" s="2" t="str">
        <f>IFERROR(__xludf.DUMMYFUNCTION("""COMPUTED_VALUE"""),"Anamnagar, Kathmandu, 01-5705774")</f>
        <v>Anamnagar, Kathmandu, 01-5705774</v>
      </c>
      <c r="I167" s="2" t="str">
        <f>IFERROR(__xludf.DUMMYFUNCTION("""COMPUTED_VALUE"""),"27o 31' 42""")</f>
        <v>27o 31' 42"</v>
      </c>
      <c r="J167" s="2" t="str">
        <f>IFERROR(__xludf.DUMMYFUNCTION("""COMPUTED_VALUE"""),"27o 34' 00""")</f>
        <v>27o 34' 00"</v>
      </c>
      <c r="K167" s="2" t="str">
        <f>IFERROR(__xludf.DUMMYFUNCTION("""COMPUTED_VALUE"""),"86o 45' 00""")</f>
        <v>86o 45' 00"</v>
      </c>
      <c r="L167" s="2" t="str">
        <f>IFERROR(__xludf.DUMMYFUNCTION("""COMPUTED_VALUE"""),"86o 47' 00""")</f>
        <v>86o 47' 00"</v>
      </c>
      <c r="M167" s="2" t="str">
        <f>IFERROR(__xludf.DUMMYFUNCTION("""COMPUTED_VALUE"""),"Baku,Mabe(Pawai) (Solukhumbu)")</f>
        <v>Baku,Mabe(Pawai) (Solukhumbu)</v>
      </c>
    </row>
    <row r="168">
      <c r="A168" s="2">
        <f>IFERROR(__xludf.DUMMYFUNCTION("""COMPUTED_VALUE"""),167.0)</f>
        <v>167</v>
      </c>
      <c r="B168" s="2" t="str">
        <f>IFERROR(__xludf.DUMMYFUNCTION("""COMPUTED_VALUE"""),"Upper Trishuli - 2 Hydropower Project")</f>
        <v>Upper Trishuli - 2 Hydropower Project</v>
      </c>
      <c r="C168" s="2">
        <f>IFERROR(__xludf.DUMMYFUNCTION("""COMPUTED_VALUE"""),103.0)</f>
        <v>103</v>
      </c>
      <c r="D168" s="2" t="str">
        <f>IFERROR(__xludf.DUMMYFUNCTION("""COMPUTED_VALUE"""),"Trishuli")</f>
        <v>Trishuli</v>
      </c>
      <c r="E168" s="2">
        <f>IFERROR(__xludf.DUMMYFUNCTION("""COMPUTED_VALUE"""),8308.0)</f>
        <v>8308</v>
      </c>
      <c r="F168" s="3">
        <f>IFERROR(__xludf.DUMMYFUNCTION("""COMPUTED_VALUE"""),66848.0)</f>
        <v>66848</v>
      </c>
      <c r="G168" s="2" t="str">
        <f>IFERROR(__xludf.DUMMYFUNCTION("""COMPUTED_VALUE"""),"Nepal Electricity Authority")</f>
        <v>Nepal Electricity Authority</v>
      </c>
      <c r="H168" s="2" t="str">
        <f>IFERROR(__xludf.DUMMYFUNCTION("""COMPUTED_VALUE"""),"Darbarmarg, Kathmandu")</f>
        <v>Darbarmarg, Kathmandu</v>
      </c>
      <c r="I168" s="2" t="str">
        <f>IFERROR(__xludf.DUMMYFUNCTION("""COMPUTED_VALUE"""),"28o 07' 43""")</f>
        <v>28o 07' 43"</v>
      </c>
      <c r="J168" s="2" t="str">
        <f>IFERROR(__xludf.DUMMYFUNCTION("""COMPUTED_VALUE"""),"28o 10' 00""")</f>
        <v>28o 10' 00"</v>
      </c>
      <c r="K168" s="2" t="str">
        <f>IFERROR(__xludf.DUMMYFUNCTION("""COMPUTED_VALUE"""),"85o 18' 04""")</f>
        <v>85o 18' 04"</v>
      </c>
      <c r="L168" s="2" t="str">
        <f>IFERROR(__xludf.DUMMYFUNCTION("""COMPUTED_VALUE"""),"85o 21' 09""")</f>
        <v>85o 21' 09"</v>
      </c>
      <c r="M168" s="2" t="str">
        <f>IFERROR(__xludf.DUMMYFUNCTION("""COMPUTED_VALUE"""),"Syafru,Gatlang,Briddhim,Goljung (Rasuwa)")</f>
        <v>Syafru,Gatlang,Briddhim,Goljung (Rasuwa)</v>
      </c>
    </row>
    <row r="169">
      <c r="A169" s="2">
        <f>IFERROR(__xludf.DUMMYFUNCTION("""COMPUTED_VALUE"""),168.0)</f>
        <v>168</v>
      </c>
      <c r="B169" s="2" t="str">
        <f>IFERROR(__xludf.DUMMYFUNCTION("""COMPUTED_VALUE"""),"Upper Sisuwa Khola Hydro electric Project")</f>
        <v>Upper Sisuwa Khola Hydro electric Project</v>
      </c>
      <c r="C169" s="2">
        <f>IFERROR(__xludf.DUMMYFUNCTION("""COMPUTED_VALUE"""),4.77)</f>
        <v>4.77</v>
      </c>
      <c r="D169" s="2" t="str">
        <f>IFERROR(__xludf.DUMMYFUNCTION("""COMPUTED_VALUE"""),"Sisuwa")</f>
        <v>Sisuwa</v>
      </c>
      <c r="E169" s="2">
        <f>IFERROR(__xludf.DUMMYFUNCTION("""COMPUTED_VALUE"""),8341.0)</f>
        <v>8341</v>
      </c>
      <c r="F169" s="3">
        <f>IFERROR(__xludf.DUMMYFUNCTION("""COMPUTED_VALUE"""),66848.0)</f>
        <v>66848</v>
      </c>
      <c r="G169" s="2" t="str">
        <f>IFERROR(__xludf.DUMMYFUNCTION("""COMPUTED_VALUE"""),"Matsya Tatha Urja Company Private Limited")</f>
        <v>Matsya Tatha Urja Company Private Limited</v>
      </c>
      <c r="H169" s="2" t="str">
        <f>IFERROR(__xludf.DUMMYFUNCTION("""COMPUTED_VALUE"""),"Tilingtar Height, Tokha - 7, Kathmandu")</f>
        <v>Tilingtar Height, Tokha - 7, Kathmandu</v>
      </c>
      <c r="I169" s="2" t="str">
        <f>IFERROR(__xludf.DUMMYFUNCTION("""COMPUTED_VALUE"""),"27o 30' 01""")</f>
        <v>27o 30' 01"</v>
      </c>
      <c r="J169" s="2" t="str">
        <f>IFERROR(__xludf.DUMMYFUNCTION("""COMPUTED_VALUE"""),"27o 31' 00""")</f>
        <v>27o 31' 00"</v>
      </c>
      <c r="K169" s="2" t="str">
        <f>IFERROR(__xludf.DUMMYFUNCTION("""COMPUTED_VALUE"""),"86o 59' 57""")</f>
        <v>86o 59' 57"</v>
      </c>
      <c r="L169" s="2" t="str">
        <f>IFERROR(__xludf.DUMMYFUNCTION("""COMPUTED_VALUE"""),"87o 01' 49""")</f>
        <v>87o 01' 49"</v>
      </c>
      <c r="M169" s="2" t="str">
        <f>IFERROR(__xludf.DUMMYFUNCTION("""COMPUTED_VALUE"""),"Sisuwakhola (Sankhuwasabha)")</f>
        <v>Sisuwakhola (Sankhuwasabha)</v>
      </c>
    </row>
    <row r="170">
      <c r="A170" s="2">
        <f>IFERROR(__xludf.DUMMYFUNCTION("""COMPUTED_VALUE"""),169.0)</f>
        <v>169</v>
      </c>
      <c r="B170" s="2" t="str">
        <f>IFERROR(__xludf.DUMMYFUNCTION("""COMPUTED_VALUE"""),"Tallo Daram Khola Hydropower Project")</f>
        <v>Tallo Daram Khola Hydropower Project</v>
      </c>
      <c r="C170" s="2">
        <f>IFERROR(__xludf.DUMMYFUNCTION("""COMPUTED_VALUE"""),7.5)</f>
        <v>7.5</v>
      </c>
      <c r="D170" s="2" t="str">
        <f>IFERROR(__xludf.DUMMYFUNCTION("""COMPUTED_VALUE"""),"Daram Khola")</f>
        <v>Daram Khola</v>
      </c>
      <c r="E170" s="2">
        <f>IFERROR(__xludf.DUMMYFUNCTION("""COMPUTED_VALUE"""),8342.0)</f>
        <v>8342</v>
      </c>
      <c r="F170" s="3">
        <f>IFERROR(__xludf.DUMMYFUNCTION("""COMPUTED_VALUE"""),66848.0)</f>
        <v>66848</v>
      </c>
      <c r="G170" s="2" t="str">
        <f>IFERROR(__xludf.DUMMYFUNCTION("""COMPUTED_VALUE"""),"Himalayan Hydropower Private Limited")</f>
        <v>Himalayan Hydropower Private Limited</v>
      </c>
      <c r="H170" s="2" t="str">
        <f>IFERROR(__xludf.DUMMYFUNCTION("""COMPUTED_VALUE"""),"Naxal, Kathmandu - 1, Nepal")</f>
        <v>Naxal, Kathmandu - 1, Nepal</v>
      </c>
      <c r="I170" s="2" t="str">
        <f>IFERROR(__xludf.DUMMYFUNCTION("""COMPUTED_VALUE"""),"28o 11' 00""")</f>
        <v>28o 11' 00"</v>
      </c>
      <c r="J170" s="2" t="str">
        <f>IFERROR(__xludf.DUMMYFUNCTION("""COMPUTED_VALUE"""),"28o 12' 30""")</f>
        <v>28o 12' 30"</v>
      </c>
      <c r="K170" s="2" t="str">
        <f>IFERROR(__xludf.DUMMYFUNCTION("""COMPUTED_VALUE"""),"83o 16' 00""")</f>
        <v>83o 16' 00"</v>
      </c>
      <c r="L170" s="2" t="str">
        <f>IFERROR(__xludf.DUMMYFUNCTION("""COMPUTED_VALUE"""),"83o 19' 00""")</f>
        <v>83o 19' 00"</v>
      </c>
      <c r="M170" s="2" t="str">
        <f>IFERROR(__xludf.DUMMYFUNCTION("""COMPUTED_VALUE"""),"Righa,Dagatundada (Baglung) Musikot,Bami (Gulmi)")</f>
        <v>Righa,Dagatundada (Baglung) Musikot,Bami (Gulmi)</v>
      </c>
    </row>
    <row r="171">
      <c r="A171" s="2">
        <f>IFERROR(__xludf.DUMMYFUNCTION("""COMPUTED_VALUE"""),170.0)</f>
        <v>170</v>
      </c>
      <c r="B171" s="2" t="str">
        <f>IFERROR(__xludf.DUMMYFUNCTION("""COMPUTED_VALUE"""),"Chhaldi Khola Hydropower Project")</f>
        <v>Chhaldi Khola Hydropower Project</v>
      </c>
      <c r="C171" s="2">
        <f>IFERROR(__xludf.DUMMYFUNCTION("""COMPUTED_VALUE"""),4.93)</f>
        <v>4.93</v>
      </c>
      <c r="D171" s="2" t="str">
        <f>IFERROR(__xludf.DUMMYFUNCTION("""COMPUTED_VALUE"""),"Chhaldi")</f>
        <v>Chhaldi</v>
      </c>
      <c r="E171" s="2">
        <f>IFERROR(__xludf.DUMMYFUNCTION("""COMPUTED_VALUE"""),8420.0)</f>
        <v>8420</v>
      </c>
      <c r="F171" s="3">
        <f>IFERROR(__xludf.DUMMYFUNCTION("""COMPUTED_VALUE"""),66849.0)</f>
        <v>66849</v>
      </c>
      <c r="G171" s="2" t="str">
        <f>IFERROR(__xludf.DUMMYFUNCTION("""COMPUTED_VALUE"""),"Ujjwal Inc Private Limited")</f>
        <v>Ujjwal Inc Private Limited</v>
      </c>
      <c r="H171" s="2" t="str">
        <f>IFERROR(__xludf.DUMMYFUNCTION("""COMPUTED_VALUE"""),"Chandragiri Municipality Ward No-10, Satungal, Kathmandu")</f>
        <v>Chandragiri Municipality Ward No-10, Satungal, Kathmandu</v>
      </c>
      <c r="I171" s="2" t="str">
        <f>IFERROR(__xludf.DUMMYFUNCTION("""COMPUTED_VALUE"""),"28o 07' 00""")</f>
        <v>28o 07' 00"</v>
      </c>
      <c r="J171" s="2" t="str">
        <f>IFERROR(__xludf.DUMMYFUNCTION("""COMPUTED_VALUE"""),"28o 08' 29""")</f>
        <v>28o 08' 29"</v>
      </c>
      <c r="K171" s="2" t="str">
        <f>IFERROR(__xludf.DUMMYFUNCTION("""COMPUTED_VALUE"""),"83o 15' 19""")</f>
        <v>83o 15' 19"</v>
      </c>
      <c r="L171" s="2" t="str">
        <f>IFERROR(__xludf.DUMMYFUNCTION("""COMPUTED_VALUE"""),"83o 18' 22""")</f>
        <v>83o 18' 22"</v>
      </c>
      <c r="M171" s="2" t="str">
        <f>IFERROR(__xludf.DUMMYFUNCTION("""COMPUTED_VALUE"""),"Badagaun,Hastichaur (Gulmi)")</f>
        <v>Badagaun,Hastichaur (Gulmi)</v>
      </c>
    </row>
    <row r="172">
      <c r="A172" s="2">
        <f>IFERROR(__xludf.DUMMYFUNCTION("""COMPUTED_VALUE"""),171.0)</f>
        <v>171</v>
      </c>
      <c r="B172" s="2" t="str">
        <f>IFERROR(__xludf.DUMMYFUNCTION("""COMPUTED_VALUE"""),"Muktinath Kaligandaki Storage Hydroelectric Project")</f>
        <v>Muktinath Kaligandaki Storage Hydroelectric Project</v>
      </c>
      <c r="C172" s="2">
        <f>IFERROR(__xludf.DUMMYFUNCTION("""COMPUTED_VALUE"""),91.0)</f>
        <v>91</v>
      </c>
      <c r="D172" s="2" t="str">
        <f>IFERROR(__xludf.DUMMYFUNCTION("""COMPUTED_VALUE"""),"Kaligandaki")</f>
        <v>Kaligandaki</v>
      </c>
      <c r="E172" s="2">
        <f>IFERROR(__xludf.DUMMYFUNCTION("""COMPUTED_VALUE"""),8493.0)</f>
        <v>8493</v>
      </c>
      <c r="F172" s="3">
        <f>IFERROR(__xludf.DUMMYFUNCTION("""COMPUTED_VALUE"""),66850.0)</f>
        <v>66850</v>
      </c>
      <c r="G172" s="2" t="str">
        <f>IFERROR(__xludf.DUMMYFUNCTION("""COMPUTED_VALUE"""),"Shiwalik Power Private Limited")</f>
        <v>Shiwalik Power Private Limited</v>
      </c>
      <c r="H172" s="2" t="str">
        <f>IFERROR(__xludf.DUMMYFUNCTION("""COMPUTED_VALUE"""),"Kupandole, Lalitpur")</f>
        <v>Kupandole, Lalitpur</v>
      </c>
      <c r="I172" s="2" t="str">
        <f>IFERROR(__xludf.DUMMYFUNCTION("""COMPUTED_VALUE"""),"28o 50' 57""")</f>
        <v>28o 50' 57"</v>
      </c>
      <c r="J172" s="2" t="str">
        <f>IFERROR(__xludf.DUMMYFUNCTION("""COMPUTED_VALUE"""),"29o 05' 29""")</f>
        <v>29o 05' 29"</v>
      </c>
      <c r="K172" s="2" t="str">
        <f>IFERROR(__xludf.DUMMYFUNCTION("""COMPUTED_VALUE"""),"83o 46' 27""")</f>
        <v>83o 46' 27"</v>
      </c>
      <c r="L172" s="2" t="str">
        <f>IFERROR(__xludf.DUMMYFUNCTION("""COMPUTED_VALUE"""),"83o 56' 37""")</f>
        <v>83o 56' 37"</v>
      </c>
      <c r="M172" s="2" t="str">
        <f>IFERROR(__xludf.DUMMYFUNCTION("""COMPUTED_VALUE"""),"Surkhang,Kagbeni,Dhami (Mustang)")</f>
        <v>Surkhang,Kagbeni,Dhami (Mustang)</v>
      </c>
    </row>
    <row r="173">
      <c r="A173" s="2">
        <f>IFERROR(__xludf.DUMMYFUNCTION("""COMPUTED_VALUE"""),172.0)</f>
        <v>172</v>
      </c>
      <c r="B173" s="2" t="str">
        <f>IFERROR(__xludf.DUMMYFUNCTION("""COMPUTED_VALUE"""),"Gorkha London Hydro Electric Project")</f>
        <v>Gorkha London Hydro Electric Project</v>
      </c>
      <c r="C173" s="2">
        <f>IFERROR(__xludf.DUMMYFUNCTION("""COMPUTED_VALUE"""),4.7)</f>
        <v>4.7</v>
      </c>
      <c r="D173" s="2" t="str">
        <f>IFERROR(__xludf.DUMMYFUNCTION("""COMPUTED_VALUE"""),"Landan Khola")</f>
        <v>Landan Khola</v>
      </c>
      <c r="E173" s="2">
        <f>IFERROR(__xludf.DUMMYFUNCTION("""COMPUTED_VALUE"""),8525.0)</f>
        <v>8525</v>
      </c>
      <c r="F173" s="3">
        <f>IFERROR(__xludf.DUMMYFUNCTION("""COMPUTED_VALUE"""),66851.0)</f>
        <v>66851</v>
      </c>
      <c r="G173" s="2" t="str">
        <f>IFERROR(__xludf.DUMMYFUNCTION("""COMPUTED_VALUE"""),"Blue Wave Energy Private Limited")</f>
        <v>Blue Wave Energy Private Limited</v>
      </c>
      <c r="H173" s="2" t="str">
        <f>IFERROR(__xludf.DUMMYFUNCTION("""COMPUTED_VALUE"""),"Kathmandu - 10, Anamnagar")</f>
        <v>Kathmandu - 10, Anamnagar</v>
      </c>
      <c r="I173" s="2" t="str">
        <f>IFERROR(__xludf.DUMMYFUNCTION("""COMPUTED_VALUE"""),"28o 26' 55""")</f>
        <v>28o 26' 55"</v>
      </c>
      <c r="J173" s="2" t="str">
        <f>IFERROR(__xludf.DUMMYFUNCTION("""COMPUTED_VALUE"""),"28o 27' 50""")</f>
        <v>28o 27' 50"</v>
      </c>
      <c r="K173" s="2" t="str">
        <f>IFERROR(__xludf.DUMMYFUNCTION("""COMPUTED_VALUE"""),"85o 01' 25""")</f>
        <v>85o 01' 25"</v>
      </c>
      <c r="L173" s="2" t="str">
        <f>IFERROR(__xludf.DUMMYFUNCTION("""COMPUTED_VALUE"""),"85o 03' 32""")</f>
        <v>85o 03' 32"</v>
      </c>
      <c r="M173" s="2" t="str">
        <f>IFERROR(__xludf.DUMMYFUNCTION("""COMPUTED_VALUE"""),"Kerauja (Gorkha)")</f>
        <v>Kerauja (Gorkha)</v>
      </c>
    </row>
    <row r="174">
      <c r="A174" s="2">
        <f>IFERROR(__xludf.DUMMYFUNCTION("""COMPUTED_VALUE"""),173.0)</f>
        <v>173</v>
      </c>
      <c r="B174" s="2" t="str">
        <f>IFERROR(__xludf.DUMMYFUNCTION("""COMPUTED_VALUE"""),"Amji Khola Hydropower Project")</f>
        <v>Amji Khola Hydropower Project</v>
      </c>
      <c r="C174" s="2">
        <f>IFERROR(__xludf.DUMMYFUNCTION("""COMPUTED_VALUE"""),5.75)</f>
        <v>5.75</v>
      </c>
      <c r="D174" s="2" t="str">
        <f>IFERROR(__xludf.DUMMYFUNCTION("""COMPUTED_VALUE"""),"Amji Khola")</f>
        <v>Amji Khola</v>
      </c>
      <c r="E174" s="2">
        <f>IFERROR(__xludf.DUMMYFUNCTION("""COMPUTED_VALUE"""),8565.0)</f>
        <v>8565</v>
      </c>
      <c r="F174" s="3">
        <f>IFERROR(__xludf.DUMMYFUNCTION("""COMPUTED_VALUE"""),66851.0)</f>
        <v>66851</v>
      </c>
      <c r="G174" s="2" t="str">
        <f>IFERROR(__xludf.DUMMYFUNCTION("""COMPUTED_VALUE"""),"Next Holdings Limited")</f>
        <v>Next Holdings Limited</v>
      </c>
      <c r="H174" s="2" t="str">
        <f>IFERROR(__xludf.DUMMYFUNCTION("""COMPUTED_VALUE"""),"Kathmandu - 01, Nepal")</f>
        <v>Kathmandu - 01, Nepal</v>
      </c>
      <c r="I174" s="2" t="str">
        <f>IFERROR(__xludf.DUMMYFUNCTION("""COMPUTED_VALUE"""),"27o 26' 34""")</f>
        <v>27o 26' 34"</v>
      </c>
      <c r="J174" s="2" t="str">
        <f>IFERROR(__xludf.DUMMYFUNCTION("""COMPUTED_VALUE"""),"27o 27' 50""")</f>
        <v>27o 27' 50"</v>
      </c>
      <c r="K174" s="2" t="str">
        <f>IFERROR(__xludf.DUMMYFUNCTION("""COMPUTED_VALUE"""),"87o 54' 04""")</f>
        <v>87o 54' 04"</v>
      </c>
      <c r="L174" s="2" t="str">
        <f>IFERROR(__xludf.DUMMYFUNCTION("""COMPUTED_VALUE"""),"87o 54' 35""")</f>
        <v>87o 54' 35"</v>
      </c>
      <c r="M174" s="2" t="str">
        <f>IFERROR(__xludf.DUMMYFUNCTION("""COMPUTED_VALUE"""),"Yamfudin (Taplejung)")</f>
        <v>Yamfudin (Taplejung)</v>
      </c>
    </row>
    <row r="175">
      <c r="A175" s="2">
        <f>IFERROR(__xludf.DUMMYFUNCTION("""COMPUTED_VALUE"""),174.0)</f>
        <v>174</v>
      </c>
      <c r="B175" s="2" t="str">
        <f>IFERROR(__xludf.DUMMYFUNCTION("""COMPUTED_VALUE"""),"Nupche Likhu Cascade Hydropower Project")</f>
        <v>Nupche Likhu Cascade Hydropower Project</v>
      </c>
      <c r="C175" s="2">
        <f>IFERROR(__xludf.DUMMYFUNCTION("""COMPUTED_VALUE"""),7.3)</f>
        <v>7.3</v>
      </c>
      <c r="D175" s="2" t="str">
        <f>IFERROR(__xludf.DUMMYFUNCTION("""COMPUTED_VALUE"""),"Nupche , Likhu")</f>
        <v>Nupche , Likhu</v>
      </c>
      <c r="E175" s="2">
        <f>IFERROR(__xludf.DUMMYFUNCTION("""COMPUTED_VALUE"""),8599.0)</f>
        <v>8599</v>
      </c>
      <c r="F175" s="3">
        <f>IFERROR(__xludf.DUMMYFUNCTION("""COMPUTED_VALUE"""),66852.0)</f>
        <v>66852</v>
      </c>
      <c r="G175" s="2" t="str">
        <f>IFERROR(__xludf.DUMMYFUNCTION("""COMPUTED_VALUE"""),"Credible Hydropower Company Private Limited")</f>
        <v>Credible Hydropower Company Private Limited</v>
      </c>
      <c r="H175" s="2" t="str">
        <f>IFERROR(__xludf.DUMMYFUNCTION("""COMPUTED_VALUE"""),"New Baneswor, Kathmandu")</f>
        <v>New Baneswor, Kathmandu</v>
      </c>
      <c r="I175" s="2" t="str">
        <f>IFERROR(__xludf.DUMMYFUNCTION("""COMPUTED_VALUE"""),"27o 40' 23""")</f>
        <v>27o 40' 23"</v>
      </c>
      <c r="J175" s="2" t="str">
        <f>IFERROR(__xludf.DUMMYFUNCTION("""COMPUTED_VALUE"""),"27o 40' 36""")</f>
        <v>27o 40' 36"</v>
      </c>
      <c r="K175" s="2" t="str">
        <f>IFERROR(__xludf.DUMMYFUNCTION("""COMPUTED_VALUE"""),"86o 27' 46""")</f>
        <v>86o 27' 46"</v>
      </c>
      <c r="L175" s="2" t="str">
        <f>IFERROR(__xludf.DUMMYFUNCTION("""COMPUTED_VALUE"""),"86o 28' 10""")</f>
        <v>86o 28' 10"</v>
      </c>
      <c r="M175" s="2" t="str">
        <f>IFERROR(__xludf.DUMMYFUNCTION("""COMPUTED_VALUE"""),"Gumdel (Ramechhap)")</f>
        <v>Gumdel (Ramechhap)</v>
      </c>
    </row>
    <row r="176">
      <c r="A176" s="2">
        <f>IFERROR(__xludf.DUMMYFUNCTION("""COMPUTED_VALUE"""),175.0)</f>
        <v>175</v>
      </c>
      <c r="B176" s="2" t="str">
        <f>IFERROR(__xludf.DUMMYFUNCTION("""COMPUTED_VALUE"""),"Small Marbu Khola Hydropower Project")</f>
        <v>Small Marbu Khola Hydropower Project</v>
      </c>
      <c r="C176" s="2">
        <f>IFERROR(__xludf.DUMMYFUNCTION("""COMPUTED_VALUE"""),1.25)</f>
        <v>1.25</v>
      </c>
      <c r="D176" s="2" t="str">
        <f>IFERROR(__xludf.DUMMYFUNCTION("""COMPUTED_VALUE"""),"Marbu Khola")</f>
        <v>Marbu Khola</v>
      </c>
      <c r="E176" s="2">
        <f>IFERROR(__xludf.DUMMYFUNCTION("""COMPUTED_VALUE"""),8605.0)</f>
        <v>8605</v>
      </c>
      <c r="F176" s="3">
        <f>IFERROR(__xludf.DUMMYFUNCTION("""COMPUTED_VALUE"""),66852.0)</f>
        <v>66852</v>
      </c>
      <c r="G176" s="2" t="str">
        <f>IFERROR(__xludf.DUMMYFUNCTION("""COMPUTED_VALUE"""),"Odare Khola Energy Power Private Limited")</f>
        <v>Odare Khola Energy Power Private Limited</v>
      </c>
      <c r="H176" s="2" t="str">
        <f>IFERROR(__xludf.DUMMYFUNCTION("""COMPUTED_VALUE"""),"Changunarayan -2, Bhaktapur, Nepal")</f>
        <v>Changunarayan -2, Bhaktapur, Nepal</v>
      </c>
      <c r="I176" s="2" t="str">
        <f>IFERROR(__xludf.DUMMYFUNCTION("""COMPUTED_VALUE"""),"27o 35' 20""")</f>
        <v>27o 35' 20"</v>
      </c>
      <c r="J176" s="2" t="str">
        <f>IFERROR(__xludf.DUMMYFUNCTION("""COMPUTED_VALUE"""),"27o 36' 00""")</f>
        <v>27o 36' 00"</v>
      </c>
      <c r="K176" s="2" t="str">
        <f>IFERROR(__xludf.DUMMYFUNCTION("""COMPUTED_VALUE"""),"86o 27' 38""")</f>
        <v>86o 27' 38"</v>
      </c>
      <c r="L176" s="2" t="str">
        <f>IFERROR(__xludf.DUMMYFUNCTION("""COMPUTED_VALUE"""),"86o 28' 28""")</f>
        <v>86o 28' 28"</v>
      </c>
      <c r="M176" s="2" t="str">
        <f>IFERROR(__xludf.DUMMYFUNCTION("""COMPUTED_VALUE"""),"Bhakanje (Solukhumbu)")</f>
        <v>Bhakanje (Solukhumbu)</v>
      </c>
    </row>
    <row r="177">
      <c r="A177" s="2">
        <f>IFERROR(__xludf.DUMMYFUNCTION("""COMPUTED_VALUE"""),176.0)</f>
        <v>176</v>
      </c>
      <c r="B177" s="2" t="str">
        <f>IFERROR(__xludf.DUMMYFUNCTION("""COMPUTED_VALUE"""),"Tamor Mulghat PRoR Hydropower Project")</f>
        <v>Tamor Mulghat PRoR Hydropower Project</v>
      </c>
      <c r="C177" s="2">
        <f>IFERROR(__xludf.DUMMYFUNCTION("""COMPUTED_VALUE"""),145.0)</f>
        <v>145</v>
      </c>
      <c r="D177" s="2" t="str">
        <f>IFERROR(__xludf.DUMMYFUNCTION("""COMPUTED_VALUE"""),"Tamor")</f>
        <v>Tamor</v>
      </c>
      <c r="E177" s="2">
        <f>IFERROR(__xludf.DUMMYFUNCTION("""COMPUTED_VALUE"""),8639.0)</f>
        <v>8639</v>
      </c>
      <c r="F177" s="3">
        <f>IFERROR(__xludf.DUMMYFUNCTION("""COMPUTED_VALUE"""),66852.0)</f>
        <v>66852</v>
      </c>
      <c r="G177" s="2" t="str">
        <f>IFERROR(__xludf.DUMMYFUNCTION("""COMPUTED_VALUE"""),"Nobel Group of Hydro Energy Private Limited")</f>
        <v>Nobel Group of Hydro Energy Private Limited</v>
      </c>
      <c r="H177" s="2" t="str">
        <f>IFERROR(__xludf.DUMMYFUNCTION("""COMPUTED_VALUE"""),"Sinamangal, Kathmandu, Nepal")</f>
        <v>Sinamangal, Kathmandu, Nepal</v>
      </c>
      <c r="I177" s="2" t="str">
        <f>IFERROR(__xludf.DUMMYFUNCTION("""COMPUTED_VALUE"""),"26o 55' 07""")</f>
        <v>26o 55' 07"</v>
      </c>
      <c r="J177" s="2" t="str">
        <f>IFERROR(__xludf.DUMMYFUNCTION("""COMPUTED_VALUE"""),"27o 02' 03""")</f>
        <v>27o 02' 03"</v>
      </c>
      <c r="K177" s="2" t="str">
        <f>IFERROR(__xludf.DUMMYFUNCTION("""COMPUTED_VALUE"""),"87o 19' 19""")</f>
        <v>87o 19' 19"</v>
      </c>
      <c r="L177" s="2" t="str">
        <f>IFERROR(__xludf.DUMMYFUNCTION("""COMPUTED_VALUE"""),"87o 32' 39""")</f>
        <v>87o 32' 39"</v>
      </c>
      <c r="M177" s="2" t="str">
        <f>IFERROR(__xludf.DUMMYFUNCTION("""COMPUTED_VALUE"""),"Kuruletenupa (Dhankuta) Mauwa (Panchthar) Hamarjung (Terhathum)")</f>
        <v>Kuruletenupa (Dhankuta) Mauwa (Panchthar) Hamarjung (Terhathum)</v>
      </c>
    </row>
    <row r="178">
      <c r="A178" s="2">
        <f>IFERROR(__xludf.DUMMYFUNCTION("""COMPUTED_VALUE"""),177.0)</f>
        <v>177</v>
      </c>
      <c r="B178" s="2" t="str">
        <f>IFERROR(__xludf.DUMMYFUNCTION("""COMPUTED_VALUE"""),"Khahare Khola Hydropower Project")</f>
        <v>Khahare Khola Hydropower Project</v>
      </c>
      <c r="C178" s="2">
        <f>IFERROR(__xludf.DUMMYFUNCTION("""COMPUTED_VALUE"""),4.5)</f>
        <v>4.5</v>
      </c>
      <c r="D178" s="2" t="str">
        <f>IFERROR(__xludf.DUMMYFUNCTION("""COMPUTED_VALUE"""),"Khahare Khola")</f>
        <v>Khahare Khola</v>
      </c>
      <c r="E178" s="2">
        <f>IFERROR(__xludf.DUMMYFUNCTION("""COMPUTED_VALUE"""),8640.0)</f>
        <v>8640</v>
      </c>
      <c r="F178" s="3">
        <f>IFERROR(__xludf.DUMMYFUNCTION("""COMPUTED_VALUE"""),66852.0)</f>
        <v>66852</v>
      </c>
      <c r="G178" s="2" t="str">
        <f>IFERROR(__xludf.DUMMYFUNCTION("""COMPUTED_VALUE"""),"Amulya Urja Bikas Company Private Limited")</f>
        <v>Amulya Urja Bikas Company Private Limited</v>
      </c>
      <c r="H178" s="2" t="str">
        <f>IFERROR(__xludf.DUMMYFUNCTION("""COMPUTED_VALUE"""),"Kupandole - 1, Lalitpur")</f>
        <v>Kupandole - 1, Lalitpur</v>
      </c>
      <c r="I178" s="2" t="str">
        <f>IFERROR(__xludf.DUMMYFUNCTION("""COMPUTED_VALUE"""),"28o 23' 45""")</f>
        <v>28o 23' 45"</v>
      </c>
      <c r="J178" s="2" t="str">
        <f>IFERROR(__xludf.DUMMYFUNCTION("""COMPUTED_VALUE"""),"28o 24' 41""")</f>
        <v>28o 24' 41"</v>
      </c>
      <c r="K178" s="2" t="str">
        <f>IFERROR(__xludf.DUMMYFUNCTION("""COMPUTED_VALUE"""),"83o 19' 42""")</f>
        <v>83o 19' 42"</v>
      </c>
      <c r="L178" s="2" t="str">
        <f>IFERROR(__xludf.DUMMYFUNCTION("""COMPUTED_VALUE"""),"83o 21' 48""")</f>
        <v>83o 21' 48"</v>
      </c>
      <c r="M178" s="2" t="str">
        <f>IFERROR(__xludf.DUMMYFUNCTION("""COMPUTED_VALUE"""),"Niskot (Myagdi)")</f>
        <v>Niskot (Myagdi)</v>
      </c>
    </row>
    <row r="179">
      <c r="A179" s="2">
        <f>IFERROR(__xludf.DUMMYFUNCTION("""COMPUTED_VALUE"""),178.0)</f>
        <v>178</v>
      </c>
      <c r="B179" s="2" t="str">
        <f>IFERROR(__xludf.DUMMYFUNCTION("""COMPUTED_VALUE"""),"Upper Bhairabkunda Khola Hydroelectric Project")</f>
        <v>Upper Bhairabkunda Khola Hydroelectric Project</v>
      </c>
      <c r="C179" s="2">
        <f>IFERROR(__xludf.DUMMYFUNCTION("""COMPUTED_VALUE"""),4.175)</f>
        <v>4.175</v>
      </c>
      <c r="D179" s="2" t="str">
        <f>IFERROR(__xludf.DUMMYFUNCTION("""COMPUTED_VALUE"""),"Bhairab Kunda Khola")</f>
        <v>Bhairab Kunda Khola</v>
      </c>
      <c r="E179" s="2">
        <f>IFERROR(__xludf.DUMMYFUNCTION("""COMPUTED_VALUE"""),8670.0)</f>
        <v>8670</v>
      </c>
      <c r="F179" s="3">
        <f>IFERROR(__xludf.DUMMYFUNCTION("""COMPUTED_VALUE"""),66855.0)</f>
        <v>66855</v>
      </c>
      <c r="G179" s="2" t="str">
        <f>IFERROR(__xludf.DUMMYFUNCTION("""COMPUTED_VALUE"""),"Bright Power Company Private Limited")</f>
        <v>Bright Power Company Private Limited</v>
      </c>
      <c r="H179" s="2" t="str">
        <f>IFERROR(__xludf.DUMMYFUNCTION("""COMPUTED_VALUE"""),"Kathmandu - 1, Naxal")</f>
        <v>Kathmandu - 1, Naxal</v>
      </c>
      <c r="I179" s="2" t="str">
        <f>IFERROR(__xludf.DUMMYFUNCTION("""COMPUTED_VALUE"""),"27o 56' 18""")</f>
        <v>27o 56' 18"</v>
      </c>
      <c r="J179" s="2" t="str">
        <f>IFERROR(__xludf.DUMMYFUNCTION("""COMPUTED_VALUE"""),"27o 57' 13""")</f>
        <v>27o 57' 13"</v>
      </c>
      <c r="K179" s="2" t="str">
        <f>IFERROR(__xludf.DUMMYFUNCTION("""COMPUTED_VALUE"""),"85o 54' 52""")</f>
        <v>85o 54' 52"</v>
      </c>
      <c r="L179" s="2" t="str">
        <f>IFERROR(__xludf.DUMMYFUNCTION("""COMPUTED_VALUE"""),"85o 55' 53""")</f>
        <v>85o 55' 53"</v>
      </c>
      <c r="M179" s="2" t="str">
        <f>IFERROR(__xludf.DUMMYFUNCTION("""COMPUTED_VALUE"""),"Tatopani (Sindhupalchok)")</f>
        <v>Tatopani (Sindhupalchok)</v>
      </c>
    </row>
    <row r="180">
      <c r="A180" s="2">
        <f>IFERROR(__xludf.DUMMYFUNCTION("""COMPUTED_VALUE"""),179.0)</f>
        <v>179</v>
      </c>
      <c r="B180" s="2" t="str">
        <f>IFERROR(__xludf.DUMMYFUNCTION("""COMPUTED_VALUE"""),"Bhulbhule Marsyangdi Nadi Hydropower Project")</f>
        <v>Bhulbhule Marsyangdi Nadi Hydropower Project</v>
      </c>
      <c r="C180" s="2">
        <f>IFERROR(__xludf.DUMMYFUNCTION("""COMPUTED_VALUE"""),4.86)</f>
        <v>4.86</v>
      </c>
      <c r="D180" s="2" t="str">
        <f>IFERROR(__xludf.DUMMYFUNCTION("""COMPUTED_VALUE"""),"Marsyangdi")</f>
        <v>Marsyangdi</v>
      </c>
      <c r="E180" s="2">
        <f>IFERROR(__xludf.DUMMYFUNCTION("""COMPUTED_VALUE"""),8810.0)</f>
        <v>8810</v>
      </c>
      <c r="F180" s="3">
        <f>IFERROR(__xludf.DUMMYFUNCTION("""COMPUTED_VALUE"""),66857.0)</f>
        <v>66857</v>
      </c>
      <c r="G180" s="2" t="str">
        <f>IFERROR(__xludf.DUMMYFUNCTION("""COMPUTED_VALUE"""),"Sinja Hydropower Private Limited")</f>
        <v>Sinja Hydropower Private Limited</v>
      </c>
      <c r="H180" s="2" t="str">
        <f>IFERROR(__xludf.DUMMYFUNCTION("""COMPUTED_VALUE"""),"Budhanilkantha, Kathmandu")</f>
        <v>Budhanilkantha, Kathmandu</v>
      </c>
      <c r="I180" s="2" t="str">
        <f>IFERROR(__xludf.DUMMYFUNCTION("""COMPUTED_VALUE"""),"28o 14' 30""")</f>
        <v>28o 14' 30"</v>
      </c>
      <c r="J180" s="2" t="str">
        <f>IFERROR(__xludf.DUMMYFUNCTION("""COMPUTED_VALUE"""),"28o 19' 27""")</f>
        <v>28o 19' 27"</v>
      </c>
      <c r="K180" s="2" t="str">
        <f>IFERROR(__xludf.DUMMYFUNCTION("""COMPUTED_VALUE"""),"84o 21' 22""")</f>
        <v>84o 21' 22"</v>
      </c>
      <c r="L180" s="2" t="str">
        <f>IFERROR(__xludf.DUMMYFUNCTION("""COMPUTED_VALUE"""),"84o 32' 16""")</f>
        <v>84o 32' 16"</v>
      </c>
      <c r="M180" s="2" t="str">
        <f>IFERROR(__xludf.DUMMYFUNCTION("""COMPUTED_VALUE"""),"Chandisthan,Bansar,Bhulbhule,Dhodeni (Lamjung)")</f>
        <v>Chandisthan,Bansar,Bhulbhule,Dhodeni (Lamjung)</v>
      </c>
    </row>
    <row r="181">
      <c r="A181" s="2">
        <f>IFERROR(__xludf.DUMMYFUNCTION("""COMPUTED_VALUE"""),180.0)</f>
        <v>180</v>
      </c>
      <c r="B181" s="2" t="str">
        <f>IFERROR(__xludf.DUMMYFUNCTION("""COMPUTED_VALUE"""),"Jhayagad Khola Hydropower Project")</f>
        <v>Jhayagad Khola Hydropower Project</v>
      </c>
      <c r="C181" s="2">
        <f>IFERROR(__xludf.DUMMYFUNCTION("""COMPUTED_VALUE"""),4.38)</f>
        <v>4.38</v>
      </c>
      <c r="D181" s="2" t="str">
        <f>IFERROR(__xludf.DUMMYFUNCTION("""COMPUTED_VALUE"""),"Jhyagad Khola")</f>
        <v>Jhyagad Khola</v>
      </c>
      <c r="E181" s="2">
        <f>IFERROR(__xludf.DUMMYFUNCTION("""COMPUTED_VALUE"""),8856.0)</f>
        <v>8856</v>
      </c>
      <c r="F181" s="3">
        <f>IFERROR(__xludf.DUMMYFUNCTION("""COMPUTED_VALUE"""),66858.0)</f>
        <v>66858</v>
      </c>
      <c r="G181" s="2" t="str">
        <f>IFERROR(__xludf.DUMMYFUNCTION("""COMPUTED_VALUE"""),"Luminar Energy Pvt. Ltd")</f>
        <v>Luminar Energy Pvt. Ltd</v>
      </c>
      <c r="H181" s="2" t="str">
        <f>IFERROR(__xludf.DUMMYFUNCTION("""COMPUTED_VALUE"""),"Latitpur")</f>
        <v>Latitpur</v>
      </c>
      <c r="I181" s="2" t="str">
        <f>IFERROR(__xludf.DUMMYFUNCTION("""COMPUTED_VALUE"""),"29o 04' 16""")</f>
        <v>29o 04' 16"</v>
      </c>
      <c r="J181" s="2" t="str">
        <f>IFERROR(__xludf.DUMMYFUNCTION("""COMPUTED_VALUE"""),"29o 05' 54""")</f>
        <v>29o 05' 54"</v>
      </c>
      <c r="K181" s="2" t="str">
        <f>IFERROR(__xludf.DUMMYFUNCTION("""COMPUTED_VALUE"""),"81o 44' 19""")</f>
        <v>81o 44' 19"</v>
      </c>
      <c r="L181" s="2" t="str">
        <f>IFERROR(__xludf.DUMMYFUNCTION("""COMPUTED_VALUE"""),"81o 45' 24""")</f>
        <v>81o 45' 24"</v>
      </c>
      <c r="M181" s="2" t="str">
        <f>IFERROR(__xludf.DUMMYFUNCTION("""COMPUTED_VALUE"""),"Kotbada (Kalikot)")</f>
        <v>Kotbada (Kalikot)</v>
      </c>
    </row>
    <row r="182">
      <c r="A182" s="2">
        <f>IFERROR(__xludf.DUMMYFUNCTION("""COMPUTED_VALUE"""),181.0)</f>
        <v>181</v>
      </c>
      <c r="B182" s="2" t="str">
        <f>IFERROR(__xludf.DUMMYFUNCTION("""COMPUTED_VALUE"""),"Jhumsa Khola Storage Hydropower Project")</f>
        <v>Jhumsa Khola Storage Hydropower Project</v>
      </c>
      <c r="C182" s="2">
        <f>IFERROR(__xludf.DUMMYFUNCTION("""COMPUTED_VALUE"""),5.0)</f>
        <v>5</v>
      </c>
      <c r="D182" s="2" t="str">
        <f>IFERROR(__xludf.DUMMYFUNCTION("""COMPUTED_VALUE"""),"Jhumsa Khola")</f>
        <v>Jhumsa Khola</v>
      </c>
      <c r="E182" s="2">
        <f>IFERROR(__xludf.DUMMYFUNCTION("""COMPUTED_VALUE"""),8886.0)</f>
        <v>8886</v>
      </c>
      <c r="F182" s="3">
        <f>IFERROR(__xludf.DUMMYFUNCTION("""COMPUTED_VALUE"""),66858.0)</f>
        <v>66858</v>
      </c>
      <c r="G182" s="2" t="str">
        <f>IFERROR(__xludf.DUMMYFUNCTION("""COMPUTED_VALUE"""),"Jhumsa Khola Hydropower Private Limited")</f>
        <v>Jhumsa Khola Hydropower Private Limited</v>
      </c>
      <c r="H182" s="2" t="str">
        <f>IFERROR(__xludf.DUMMYFUNCTION("""COMPUTED_VALUE"""),"Budhanilkantha, Kathmandu")</f>
        <v>Budhanilkantha, Kathmandu</v>
      </c>
      <c r="I182" s="2" t="str">
        <f>IFERROR(__xludf.DUMMYFUNCTION("""COMPUTED_VALUE"""),"27o 40' 00""")</f>
        <v>27o 40' 00"</v>
      </c>
      <c r="J182" s="2" t="str">
        <f>IFERROR(__xludf.DUMMYFUNCTION("""COMPUTED_VALUE"""),"27o 44' 20""")</f>
        <v>27o 44' 20"</v>
      </c>
      <c r="K182" s="2" t="str">
        <f>IFERROR(__xludf.DUMMYFUNCTION("""COMPUTED_VALUE"""),"83o 32' 00""")</f>
        <v>83o 32' 00"</v>
      </c>
      <c r="L182" s="2" t="str">
        <f>IFERROR(__xludf.DUMMYFUNCTION("""COMPUTED_VALUE"""),"83o 42' 00""")</f>
        <v>83o 42' 00"</v>
      </c>
      <c r="M182" s="2"/>
    </row>
    <row r="183">
      <c r="A183" s="2">
        <f>IFERROR(__xludf.DUMMYFUNCTION("""COMPUTED_VALUE"""),182.0)</f>
        <v>182</v>
      </c>
      <c r="B183" s="2" t="str">
        <f>IFERROR(__xludf.DUMMYFUNCTION("""COMPUTED_VALUE"""),"Rigdi Khola Stoarge Hydropower Project")</f>
        <v>Rigdi Khola Stoarge Hydropower Project</v>
      </c>
      <c r="C183" s="2">
        <f>IFERROR(__xludf.DUMMYFUNCTION("""COMPUTED_VALUE"""),5.0)</f>
        <v>5</v>
      </c>
      <c r="D183" s="2" t="str">
        <f>IFERROR(__xludf.DUMMYFUNCTION("""COMPUTED_VALUE"""),"Rigdi")</f>
        <v>Rigdi</v>
      </c>
      <c r="E183" s="2">
        <f>IFERROR(__xludf.DUMMYFUNCTION("""COMPUTED_VALUE"""),8887.0)</f>
        <v>8887</v>
      </c>
      <c r="F183" s="3">
        <f>IFERROR(__xludf.DUMMYFUNCTION("""COMPUTED_VALUE"""),66858.0)</f>
        <v>66858</v>
      </c>
      <c r="G183" s="2" t="str">
        <f>IFERROR(__xludf.DUMMYFUNCTION("""COMPUTED_VALUE"""),"Rigdi Khola Hydropower Private Limited")</f>
        <v>Rigdi Khola Hydropower Private Limited</v>
      </c>
      <c r="H183" s="2" t="str">
        <f>IFERROR(__xludf.DUMMYFUNCTION("""COMPUTED_VALUE"""),"Budhanilkantha, Kathmandu")</f>
        <v>Budhanilkantha, Kathmandu</v>
      </c>
      <c r="I183" s="2" t="str">
        <f>IFERROR(__xludf.DUMMYFUNCTION("""COMPUTED_VALUE"""),"27o 46' 20""")</f>
        <v>27o 46' 20"</v>
      </c>
      <c r="J183" s="2" t="str">
        <f>IFERROR(__xludf.DUMMYFUNCTION("""COMPUTED_VALUE"""),"27o 49' 30""")</f>
        <v>27o 49' 30"</v>
      </c>
      <c r="K183" s="2" t="str">
        <f>IFERROR(__xludf.DUMMYFUNCTION("""COMPUTED_VALUE"""),"84o 31' 00""")</f>
        <v>84o 31' 00"</v>
      </c>
      <c r="L183" s="2" t="str">
        <f>IFERROR(__xludf.DUMMYFUNCTION("""COMPUTED_VALUE"""),"84o 36' 00""")</f>
        <v>84o 36' 00"</v>
      </c>
      <c r="M183" s="2"/>
    </row>
    <row r="184">
      <c r="A184" s="2">
        <f>IFERROR(__xludf.DUMMYFUNCTION("""COMPUTED_VALUE"""),183.0)</f>
        <v>183</v>
      </c>
      <c r="B184" s="2" t="str">
        <f>IFERROR(__xludf.DUMMYFUNCTION("""COMPUTED_VALUE"""),"Super Raha Gad Khola Hydropower Proejct")</f>
        <v>Super Raha Gad Khola Hydropower Proejct</v>
      </c>
      <c r="C184" s="2">
        <f>IFERROR(__xludf.DUMMYFUNCTION("""COMPUTED_VALUE"""),4.91)</f>
        <v>4.91</v>
      </c>
      <c r="D184" s="2" t="str">
        <f>IFERROR(__xludf.DUMMYFUNCTION("""COMPUTED_VALUE"""),"Raha Gad")</f>
        <v>Raha Gad</v>
      </c>
      <c r="E184" s="2">
        <f>IFERROR(__xludf.DUMMYFUNCTION("""COMPUTED_VALUE"""),8914.0)</f>
        <v>8914</v>
      </c>
      <c r="F184" s="3">
        <f>IFERROR(__xludf.DUMMYFUNCTION("""COMPUTED_VALUE"""),66862.0)</f>
        <v>66862</v>
      </c>
      <c r="G184" s="2" t="str">
        <f>IFERROR(__xludf.DUMMYFUNCTION("""COMPUTED_VALUE"""),"Muktinath Clean Energy Pvt. Ltd")</f>
        <v>Muktinath Clean Energy Pvt. Ltd</v>
      </c>
      <c r="H184" s="2" t="str">
        <f>IFERROR(__xludf.DUMMYFUNCTION("""COMPUTED_VALUE"""),"Chandragiri-14")</f>
        <v>Chandragiri-14</v>
      </c>
      <c r="I184" s="2" t="str">
        <f>IFERROR(__xludf.DUMMYFUNCTION("""COMPUTED_VALUE"""),"29o 07' 30""")</f>
        <v>29o 07' 30"</v>
      </c>
      <c r="J184" s="2" t="str">
        <f>IFERROR(__xludf.DUMMYFUNCTION("""COMPUTED_VALUE"""),"29o 09' 35""")</f>
        <v>29o 09' 35"</v>
      </c>
      <c r="K184" s="2" t="str">
        <f>IFERROR(__xludf.DUMMYFUNCTION("""COMPUTED_VALUE"""),"81o 33' 04""")</f>
        <v>81o 33' 04"</v>
      </c>
      <c r="L184" s="2" t="str">
        <f>IFERROR(__xludf.DUMMYFUNCTION("""COMPUTED_VALUE"""),"81o 34' 33""")</f>
        <v>81o 34' 33"</v>
      </c>
      <c r="M184" s="2" t="str">
        <f>IFERROR(__xludf.DUMMYFUNCTION("""COMPUTED_VALUE"""),"Kotbada (Kalikot)")</f>
        <v>Kotbada (Kalikot)</v>
      </c>
    </row>
    <row r="185">
      <c r="A185" s="2">
        <f>IFERROR(__xludf.DUMMYFUNCTION("""COMPUTED_VALUE"""),184.0)</f>
        <v>184</v>
      </c>
      <c r="B185" s="2" t="str">
        <f>IFERROR(__xludf.DUMMYFUNCTION("""COMPUTED_VALUE"""),"Nupche Khola PRoR Hydropower Project")</f>
        <v>Nupche Khola PRoR Hydropower Project</v>
      </c>
      <c r="C185" s="2">
        <f>IFERROR(__xludf.DUMMYFUNCTION("""COMPUTED_VALUE"""),9.8)</f>
        <v>9.8</v>
      </c>
      <c r="D185" s="2" t="str">
        <f>IFERROR(__xludf.DUMMYFUNCTION("""COMPUTED_VALUE"""),"Nupche Khola")</f>
        <v>Nupche Khola</v>
      </c>
      <c r="E185" s="2">
        <f>IFERROR(__xludf.DUMMYFUNCTION("""COMPUTED_VALUE"""),8923.0)</f>
        <v>8923</v>
      </c>
      <c r="F185" s="3">
        <f>IFERROR(__xludf.DUMMYFUNCTION("""COMPUTED_VALUE"""),66862.0)</f>
        <v>66862</v>
      </c>
      <c r="G185" s="2" t="str">
        <f>IFERROR(__xludf.DUMMYFUNCTION("""COMPUTED_VALUE"""),"Numbur Nupche Hydro power Private Limited")</f>
        <v>Numbur Nupche Hydro power Private Limited</v>
      </c>
      <c r="H185" s="2" t="str">
        <f>IFERROR(__xludf.DUMMYFUNCTION("""COMPUTED_VALUE"""),"KMC-10, New Baneshwor, Kathmandu")</f>
        <v>KMC-10, New Baneshwor, Kathmandu</v>
      </c>
      <c r="I185" s="2" t="str">
        <f>IFERROR(__xludf.DUMMYFUNCTION("""COMPUTED_VALUE"""),"27o 43' 38""")</f>
        <v>27o 43' 38"</v>
      </c>
      <c r="J185" s="2" t="str">
        <f>IFERROR(__xludf.DUMMYFUNCTION("""COMPUTED_VALUE"""),"27o 45' 18""")</f>
        <v>27o 45' 18"</v>
      </c>
      <c r="K185" s="2" t="str">
        <f>IFERROR(__xludf.DUMMYFUNCTION("""COMPUTED_VALUE"""),"86o 27' 11""")</f>
        <v>86o 27' 11"</v>
      </c>
      <c r="L185" s="2" t="str">
        <f>IFERROR(__xludf.DUMMYFUNCTION("""COMPUTED_VALUE"""),"86o 28' 10""")</f>
        <v>86o 28' 10"</v>
      </c>
      <c r="M185" s="2" t="str">
        <f>IFERROR(__xludf.DUMMYFUNCTION("""COMPUTED_VALUE"""),"Gumdel (Ramechhap)")</f>
        <v>Gumdel (Ramechhap)</v>
      </c>
    </row>
    <row r="186">
      <c r="A186" s="2">
        <f>IFERROR(__xludf.DUMMYFUNCTION("""COMPUTED_VALUE"""),185.0)</f>
        <v>185</v>
      </c>
      <c r="B186" s="2" t="str">
        <f>IFERROR(__xludf.DUMMYFUNCTION("""COMPUTED_VALUE"""),"Super Indrawati Hydropower Project")</f>
        <v>Super Indrawati Hydropower Project</v>
      </c>
      <c r="C186" s="2">
        <f>IFERROR(__xludf.DUMMYFUNCTION("""COMPUTED_VALUE"""),8.32)</f>
        <v>8.32</v>
      </c>
      <c r="D186" s="2" t="str">
        <f>IFERROR(__xludf.DUMMYFUNCTION("""COMPUTED_VALUE"""),"Indrawati Khola")</f>
        <v>Indrawati Khola</v>
      </c>
      <c r="E186" s="2">
        <f>IFERROR(__xludf.DUMMYFUNCTION("""COMPUTED_VALUE"""),8924.0)</f>
        <v>8924</v>
      </c>
      <c r="F186" s="3">
        <f>IFERROR(__xludf.DUMMYFUNCTION("""COMPUTED_VALUE"""),66862.0)</f>
        <v>66862</v>
      </c>
      <c r="G186" s="2" t="str">
        <f>IFERROR(__xludf.DUMMYFUNCTION("""COMPUTED_VALUE"""),"Chandra Shree Energy Private Limited")</f>
        <v>Chandra Shree Energy Private Limited</v>
      </c>
      <c r="H186" s="2" t="str">
        <f>IFERROR(__xludf.DUMMYFUNCTION("""COMPUTED_VALUE"""),"Mahalaxmi Municipality, Ward No. 8, Lalitpur")</f>
        <v>Mahalaxmi Municipality, Ward No. 8, Lalitpur</v>
      </c>
      <c r="I186" s="2" t="str">
        <f>IFERROR(__xludf.DUMMYFUNCTION("""COMPUTED_VALUE"""),"27o 57' 12""")</f>
        <v>27o 57' 12"</v>
      </c>
      <c r="J186" s="2" t="str">
        <f>IFERROR(__xludf.DUMMYFUNCTION("""COMPUTED_VALUE"""),"27o 57' 56""")</f>
        <v>27o 57' 56"</v>
      </c>
      <c r="K186" s="2" t="str">
        <f>IFERROR(__xludf.DUMMYFUNCTION("""COMPUTED_VALUE"""),"85o 37' 32""")</f>
        <v>85o 37' 32"</v>
      </c>
      <c r="L186" s="2" t="str">
        <f>IFERROR(__xludf.DUMMYFUNCTION("""COMPUTED_VALUE"""),"85o 39' 05""")</f>
        <v>85o 39' 05"</v>
      </c>
      <c r="M186" s="2" t="str">
        <f>IFERROR(__xludf.DUMMYFUNCTION("""COMPUTED_VALUE"""),"Baruwa,Bhotang (Sindhupalchok)")</f>
        <v>Baruwa,Bhotang (Sindhupalchok)</v>
      </c>
    </row>
    <row r="187">
      <c r="A187" s="2">
        <f>IFERROR(__xludf.DUMMYFUNCTION("""COMPUTED_VALUE"""),186.0)</f>
        <v>186</v>
      </c>
      <c r="B187" s="2" t="str">
        <f>IFERROR(__xludf.DUMMYFUNCTION("""COMPUTED_VALUE"""),"Hongu Dovan Hydropower Project")</f>
        <v>Hongu Dovan Hydropower Project</v>
      </c>
      <c r="C187" s="2">
        <f>IFERROR(__xludf.DUMMYFUNCTION("""COMPUTED_VALUE"""),5.43)</f>
        <v>5.43</v>
      </c>
      <c r="D187" s="2" t="str">
        <f>IFERROR(__xludf.DUMMYFUNCTION("""COMPUTED_VALUE"""),"Hongu Khola")</f>
        <v>Hongu Khola</v>
      </c>
      <c r="E187" s="2">
        <f>IFERROR(__xludf.DUMMYFUNCTION("""COMPUTED_VALUE"""),8926.0)</f>
        <v>8926</v>
      </c>
      <c r="F187" s="3">
        <f>IFERROR(__xludf.DUMMYFUNCTION("""COMPUTED_VALUE"""),66862.0)</f>
        <v>66862</v>
      </c>
      <c r="G187" s="2" t="str">
        <f>IFERROR(__xludf.DUMMYFUNCTION("""COMPUTED_VALUE"""),"Upahar Energy Private Limited")</f>
        <v>Upahar Energy Private Limited</v>
      </c>
      <c r="H187" s="2" t="str">
        <f>IFERROR(__xludf.DUMMYFUNCTION("""COMPUTED_VALUE"""),"KMC, Ward No. 29, Kathmandu")</f>
        <v>KMC, Ward No. 29, Kathmandu</v>
      </c>
      <c r="I187" s="2" t="str">
        <f>IFERROR(__xludf.DUMMYFUNCTION("""COMPUTED_VALUE"""),"27o 26' 30""")</f>
        <v>27o 26' 30"</v>
      </c>
      <c r="J187" s="2" t="str">
        <f>IFERROR(__xludf.DUMMYFUNCTION("""COMPUTED_VALUE"""),"27o 27' 00""")</f>
        <v>27o 27' 00"</v>
      </c>
      <c r="K187" s="2" t="str">
        <f>IFERROR(__xludf.DUMMYFUNCTION("""COMPUTED_VALUE"""),"86o 42' 50""")</f>
        <v>86o 42' 50"</v>
      </c>
      <c r="L187" s="2" t="str">
        <f>IFERROR(__xludf.DUMMYFUNCTION("""COMPUTED_VALUE"""),"86o 43' 55""")</f>
        <v>86o 43' 55"</v>
      </c>
      <c r="M187" s="2" t="str">
        <f>IFERROR(__xludf.DUMMYFUNCTION("""COMPUTED_VALUE"""),"Deusa,Lokhim (Solukhumbu)")</f>
        <v>Deusa,Lokhim (Solukhumbu)</v>
      </c>
    </row>
    <row r="188">
      <c r="A188" s="2">
        <f>IFERROR(__xludf.DUMMYFUNCTION("""COMPUTED_VALUE"""),187.0)</f>
        <v>187</v>
      </c>
      <c r="B188" s="2" t="str">
        <f>IFERROR(__xludf.DUMMYFUNCTION("""COMPUTED_VALUE"""),"Dolpo Small Hydropower Proejct")</f>
        <v>Dolpo Small Hydropower Proejct</v>
      </c>
      <c r="C188" s="2">
        <f>IFERROR(__xludf.DUMMYFUNCTION("""COMPUTED_VALUE"""),4.8)</f>
        <v>4.8</v>
      </c>
      <c r="D188" s="2" t="str">
        <f>IFERROR(__xludf.DUMMYFUNCTION("""COMPUTED_VALUE"""),"Jairi Khola")</f>
        <v>Jairi Khola</v>
      </c>
      <c r="E188" s="2">
        <f>IFERROR(__xludf.DUMMYFUNCTION("""COMPUTED_VALUE"""),8932.0)</f>
        <v>8932</v>
      </c>
      <c r="F188" s="3">
        <f>IFERROR(__xludf.DUMMYFUNCTION("""COMPUTED_VALUE"""),66862.0)</f>
        <v>66862</v>
      </c>
      <c r="G188" s="2" t="str">
        <f>IFERROR(__xludf.DUMMYFUNCTION("""COMPUTED_VALUE"""),"Ayush Nath ghimire")</f>
        <v>Ayush Nath ghimire</v>
      </c>
      <c r="H188" s="2" t="str">
        <f>IFERROR(__xludf.DUMMYFUNCTION("""COMPUTED_VALUE"""),"Jhamsikhel-2, Lalitpur")</f>
        <v>Jhamsikhel-2, Lalitpur</v>
      </c>
      <c r="I188" s="2" t="str">
        <f>IFERROR(__xludf.DUMMYFUNCTION("""COMPUTED_VALUE"""),"28o 53' 46""")</f>
        <v>28o 53' 46"</v>
      </c>
      <c r="J188" s="2" t="str">
        <f>IFERROR(__xludf.DUMMYFUNCTION("""COMPUTED_VALUE"""),"28o 56' 04""")</f>
        <v>28o 56' 04"</v>
      </c>
      <c r="K188" s="2" t="str">
        <f>IFERROR(__xludf.DUMMYFUNCTION("""COMPUTED_VALUE"""),"82o 53' 46""")</f>
        <v>82o 53' 46"</v>
      </c>
      <c r="L188" s="2" t="str">
        <f>IFERROR(__xludf.DUMMYFUNCTION("""COMPUTED_VALUE"""),"82o 55' 17""")</f>
        <v>82o 55' 17"</v>
      </c>
      <c r="M188" s="2" t="str">
        <f>IFERROR(__xludf.DUMMYFUNCTION("""COMPUTED_VALUE"""),"Lawan (Dolpa)")</f>
        <v>Lawan (Dolpa)</v>
      </c>
    </row>
    <row r="189">
      <c r="A189" s="2">
        <f>IFERROR(__xludf.DUMMYFUNCTION("""COMPUTED_VALUE"""),188.0)</f>
        <v>188</v>
      </c>
      <c r="B189" s="2" t="str">
        <f>IFERROR(__xludf.DUMMYFUNCTION("""COMPUTED_VALUE"""),"Liri Khola hydropower Project")</f>
        <v>Liri Khola hydropower Project</v>
      </c>
      <c r="C189" s="2">
        <f>IFERROR(__xludf.DUMMYFUNCTION("""COMPUTED_VALUE"""),24.9)</f>
        <v>24.9</v>
      </c>
      <c r="D189" s="2" t="str">
        <f>IFERROR(__xludf.DUMMYFUNCTION("""COMPUTED_VALUE"""),"Liri Khola")</f>
        <v>Liri Khola</v>
      </c>
      <c r="E189" s="2">
        <f>IFERROR(__xludf.DUMMYFUNCTION("""COMPUTED_VALUE"""),5581.0)</f>
        <v>5581</v>
      </c>
      <c r="F189" s="3">
        <f>IFERROR(__xludf.DUMMYFUNCTION("""COMPUTED_VALUE"""),66863.0)</f>
        <v>66863</v>
      </c>
      <c r="G189" s="2" t="str">
        <f>IFERROR(__xludf.DUMMYFUNCTION("""COMPUTED_VALUE"""),"Imperial Power Pvt. Ltd")</f>
        <v>Imperial Power Pvt. Ltd</v>
      </c>
      <c r="H189" s="2" t="str">
        <f>IFERROR(__xludf.DUMMYFUNCTION("""COMPUTED_VALUE"""),"Tokha-05, Kathmandu")</f>
        <v>Tokha-05, Kathmandu</v>
      </c>
      <c r="I189" s="2" t="str">
        <f>IFERROR(__xludf.DUMMYFUNCTION("""COMPUTED_VALUE"""),"28o 53' 13""")</f>
        <v>28o 53' 13"</v>
      </c>
      <c r="J189" s="2" t="str">
        <f>IFERROR(__xludf.DUMMYFUNCTION("""COMPUTED_VALUE"""),"28o 55' 23""")</f>
        <v>28o 55' 23"</v>
      </c>
      <c r="K189" s="2" t="str">
        <f>IFERROR(__xludf.DUMMYFUNCTION("""COMPUTED_VALUE"""),"83o 04' 05""")</f>
        <v>83o 04' 05"</v>
      </c>
      <c r="L189" s="2" t="str">
        <f>IFERROR(__xludf.DUMMYFUNCTION("""COMPUTED_VALUE"""),"83o 08' 54""")</f>
        <v>83o 08' 54"</v>
      </c>
      <c r="M189" s="2" t="str">
        <f>IFERROR(__xludf.DUMMYFUNCTION("""COMPUTED_VALUE"""),"Kalika (Dolpa)")</f>
        <v>Kalika (Dolpa)</v>
      </c>
    </row>
    <row r="190">
      <c r="A190" s="2">
        <f>IFERROR(__xludf.DUMMYFUNCTION("""COMPUTED_VALUE"""),189.0)</f>
        <v>189</v>
      </c>
      <c r="B190" s="2" t="str">
        <f>IFERROR(__xludf.DUMMYFUNCTION("""COMPUTED_VALUE"""),"Myagdi Khola B Hydropower Project")</f>
        <v>Myagdi Khola B Hydropower Project</v>
      </c>
      <c r="C190" s="2">
        <f>IFERROR(__xludf.DUMMYFUNCTION("""COMPUTED_VALUE"""),3.06)</f>
        <v>3.06</v>
      </c>
      <c r="D190" s="2" t="str">
        <f>IFERROR(__xludf.DUMMYFUNCTION("""COMPUTED_VALUE"""),"Myagdi Khola")</f>
        <v>Myagdi Khola</v>
      </c>
      <c r="E190" s="2">
        <f>IFERROR(__xludf.DUMMYFUNCTION("""COMPUTED_VALUE"""),9025.0)</f>
        <v>9025</v>
      </c>
      <c r="F190" s="3">
        <f>IFERROR(__xludf.DUMMYFUNCTION("""COMPUTED_VALUE"""),66863.0)</f>
        <v>66863</v>
      </c>
      <c r="G190" s="2" t="str">
        <f>IFERROR(__xludf.DUMMYFUNCTION("""COMPUTED_VALUE"""),"Ishwor Kafle")</f>
        <v>Ishwor Kafle</v>
      </c>
      <c r="H190" s="2" t="str">
        <f>IFERROR(__xludf.DUMMYFUNCTION("""COMPUTED_VALUE"""),"Dhunibesi- 6, Dhading")</f>
        <v>Dhunibesi- 6, Dhading</v>
      </c>
      <c r="I190" s="2" t="str">
        <f>IFERROR(__xludf.DUMMYFUNCTION("""COMPUTED_VALUE"""),"28o 37' 49""")</f>
        <v>28o 37' 49"</v>
      </c>
      <c r="J190" s="2" t="str">
        <f>IFERROR(__xludf.DUMMYFUNCTION("""COMPUTED_VALUE"""),"28o 38' 11""")</f>
        <v>28o 38' 11"</v>
      </c>
      <c r="K190" s="2" t="str">
        <f>IFERROR(__xludf.DUMMYFUNCTION("""COMPUTED_VALUE"""),"83o 23' 45""")</f>
        <v>83o 23' 45"</v>
      </c>
      <c r="L190" s="2" t="str">
        <f>IFERROR(__xludf.DUMMYFUNCTION("""COMPUTED_VALUE"""),"83o 24' 10""")</f>
        <v>83o 24' 10"</v>
      </c>
      <c r="M190" s="2" t="str">
        <f>IFERROR(__xludf.DUMMYFUNCTION("""COMPUTED_VALUE"""),"Mudi (Myagdi)")</f>
        <v>Mudi (Myagdi)</v>
      </c>
    </row>
    <row r="191">
      <c r="A191" s="2">
        <f>IFERROR(__xludf.DUMMYFUNCTION("""COMPUTED_VALUE"""),190.0)</f>
        <v>190</v>
      </c>
      <c r="B191" s="2" t="str">
        <f>IFERROR(__xludf.DUMMYFUNCTION("""COMPUTED_VALUE"""),"Dudhkunda Hydropower Project")</f>
        <v>Dudhkunda Hydropower Project</v>
      </c>
      <c r="C191" s="2">
        <f>IFERROR(__xludf.DUMMYFUNCTION("""COMPUTED_VALUE"""),1.925)</f>
        <v>1.925</v>
      </c>
      <c r="D191" s="2" t="str">
        <f>IFERROR(__xludf.DUMMYFUNCTION("""COMPUTED_VALUE"""),"Dudhkunda (Solu)")</f>
        <v>Dudhkunda (Solu)</v>
      </c>
      <c r="E191" s="2">
        <f>IFERROR(__xludf.DUMMYFUNCTION("""COMPUTED_VALUE"""),9088.0)</f>
        <v>9088</v>
      </c>
      <c r="F191" s="3">
        <f>IFERROR(__xludf.DUMMYFUNCTION("""COMPUTED_VALUE"""),66864.0)</f>
        <v>66864</v>
      </c>
      <c r="G191" s="2" t="str">
        <f>IFERROR(__xludf.DUMMYFUNCTION("""COMPUTED_VALUE"""),"Sangefuk Energy Private Limited")</f>
        <v>Sangefuk Energy Private Limited</v>
      </c>
      <c r="H191" s="2" t="str">
        <f>IFERROR(__xludf.DUMMYFUNCTION("""COMPUTED_VALUE"""),"Budhanilkantha-12, Kathmandu")</f>
        <v>Budhanilkantha-12, Kathmandu</v>
      </c>
      <c r="I191" s="2" t="str">
        <f>IFERROR(__xludf.DUMMYFUNCTION("""COMPUTED_VALUE"""),"27o 36' 40""")</f>
        <v>27o 36' 40"</v>
      </c>
      <c r="J191" s="2" t="str">
        <f>IFERROR(__xludf.DUMMYFUNCTION("""COMPUTED_VALUE"""),"27o 38' 14""")</f>
        <v>27o 38' 14"</v>
      </c>
      <c r="K191" s="2" t="str">
        <f>IFERROR(__xludf.DUMMYFUNCTION("""COMPUTED_VALUE"""),"86o 31' 45""")</f>
        <v>86o 31' 45"</v>
      </c>
      <c r="L191" s="2" t="str">
        <f>IFERROR(__xludf.DUMMYFUNCTION("""COMPUTED_VALUE"""),"86o 33' 50""")</f>
        <v>86o 33' 50"</v>
      </c>
      <c r="M191" s="2" t="str">
        <f>IFERROR(__xludf.DUMMYFUNCTION("""COMPUTED_VALUE"""),"Beni (Solukhumbu)")</f>
        <v>Beni (Solukhumbu)</v>
      </c>
    </row>
    <row r="192">
      <c r="A192" s="2">
        <f>IFERROR(__xludf.DUMMYFUNCTION("""COMPUTED_VALUE"""),191.0)</f>
        <v>191</v>
      </c>
      <c r="B192" s="2" t="str">
        <f>IFERROR(__xludf.DUMMYFUNCTION("""COMPUTED_VALUE"""),"Goru Khola Storage Hydropower Project")</f>
        <v>Goru Khola Storage Hydropower Project</v>
      </c>
      <c r="C192" s="2">
        <f>IFERROR(__xludf.DUMMYFUNCTION("""COMPUTED_VALUE"""),5.0)</f>
        <v>5</v>
      </c>
      <c r="D192" s="2" t="str">
        <f>IFERROR(__xludf.DUMMYFUNCTION("""COMPUTED_VALUE"""),"Goru khola")</f>
        <v>Goru khola</v>
      </c>
      <c r="E192" s="2">
        <f>IFERROR(__xludf.DUMMYFUNCTION("""COMPUTED_VALUE"""),9091.0)</f>
        <v>9091</v>
      </c>
      <c r="F192" s="3">
        <f>IFERROR(__xludf.DUMMYFUNCTION("""COMPUTED_VALUE"""),66865.0)</f>
        <v>66865</v>
      </c>
      <c r="G192" s="2" t="str">
        <f>IFERROR(__xludf.DUMMYFUNCTION("""COMPUTED_VALUE"""),"Sakshyam Syano Hydropower Pvt. Ltd")</f>
        <v>Sakshyam Syano Hydropower Pvt. Ltd</v>
      </c>
      <c r="H192" s="2" t="str">
        <f>IFERROR(__xludf.DUMMYFUNCTION("""COMPUTED_VALUE"""),"Budhanilakantha, Kathmandu")</f>
        <v>Budhanilakantha, Kathmandu</v>
      </c>
      <c r="I192" s="2" t="str">
        <f>IFERROR(__xludf.DUMMYFUNCTION("""COMPUTED_VALUE"""),"29o 08' 45""")</f>
        <v>29o 08' 45"</v>
      </c>
      <c r="J192" s="2" t="str">
        <f>IFERROR(__xludf.DUMMYFUNCTION("""COMPUTED_VALUE"""),"29o 12' 30""")</f>
        <v>29o 12' 30"</v>
      </c>
      <c r="K192" s="2" t="str">
        <f>IFERROR(__xludf.DUMMYFUNCTION("""COMPUTED_VALUE"""),"81o 54' 34""")</f>
        <v>81o 54' 34"</v>
      </c>
      <c r="L192" s="2" t="str">
        <f>IFERROR(__xludf.DUMMYFUNCTION("""COMPUTED_VALUE"""),"81o 59' 51""")</f>
        <v>81o 59' 51"</v>
      </c>
      <c r="M192" s="2" t="str">
        <f>IFERROR(__xludf.DUMMYFUNCTION("""COMPUTED_VALUE"""),"Dillichaur (Jumla)")</f>
        <v>Dillichaur (Jumla)</v>
      </c>
    </row>
    <row r="193">
      <c r="A193" s="2">
        <f>IFERROR(__xludf.DUMMYFUNCTION("""COMPUTED_VALUE"""),192.0)</f>
        <v>192</v>
      </c>
      <c r="B193" s="2" t="str">
        <f>IFERROR(__xludf.DUMMYFUNCTION("""COMPUTED_VALUE"""),"Tom Dogar PRoR Hydropower Project")</f>
        <v>Tom Dogar PRoR Hydropower Project</v>
      </c>
      <c r="C193" s="2">
        <f>IFERROR(__xludf.DUMMYFUNCTION("""COMPUTED_VALUE"""),107.0)</f>
        <v>107</v>
      </c>
      <c r="D193" s="2" t="str">
        <f>IFERROR(__xludf.DUMMYFUNCTION("""COMPUTED_VALUE"""),"Tom Dogar Khola")</f>
        <v>Tom Dogar Khola</v>
      </c>
      <c r="E193" s="2">
        <f>IFERROR(__xludf.DUMMYFUNCTION("""COMPUTED_VALUE"""),9107.0)</f>
        <v>9107</v>
      </c>
      <c r="F193" s="3">
        <f>IFERROR(__xludf.DUMMYFUNCTION("""COMPUTED_VALUE"""),66865.0)</f>
        <v>66865</v>
      </c>
      <c r="G193" s="2" t="str">
        <f>IFERROR(__xludf.DUMMYFUNCTION("""COMPUTED_VALUE"""),"Himalayan Solar Ventures Private Limited")</f>
        <v>Himalayan Solar Ventures Private Limited</v>
      </c>
      <c r="H193" s="2" t="str">
        <f>IFERROR(__xludf.DUMMYFUNCTION("""COMPUTED_VALUE"""),"Balaju - 16, Kathmandu")</f>
        <v>Balaju - 16, Kathmandu</v>
      </c>
      <c r="I193" s="2" t="str">
        <f>IFERROR(__xludf.DUMMYFUNCTION("""COMPUTED_VALUE"""),"28o 32' 04""")</f>
        <v>28o 32' 04"</v>
      </c>
      <c r="J193" s="2" t="str">
        <f>IFERROR(__xludf.DUMMYFUNCTION("""COMPUTED_VALUE"""),"28o 35' 00""")</f>
        <v>28o 35' 00"</v>
      </c>
      <c r="K193" s="2" t="str">
        <f>IFERROR(__xludf.DUMMYFUNCTION("""COMPUTED_VALUE"""),"84o 47' 33""")</f>
        <v>84o 47' 33"</v>
      </c>
      <c r="L193" s="2" t="str">
        <f>IFERROR(__xludf.DUMMYFUNCTION("""COMPUTED_VALUE"""),"84o 49' 56""")</f>
        <v>84o 49' 56"</v>
      </c>
      <c r="M193" s="2" t="str">
        <f>IFERROR(__xludf.DUMMYFUNCTION("""COMPUTED_VALUE"""),"Prok (Gorkha)")</f>
        <v>Prok (Gorkha)</v>
      </c>
    </row>
    <row r="194">
      <c r="A194" s="2">
        <f>IFERROR(__xludf.DUMMYFUNCTION("""COMPUTED_VALUE"""),193.0)</f>
        <v>193</v>
      </c>
      <c r="B194" s="2" t="str">
        <f>IFERROR(__xludf.DUMMYFUNCTION("""COMPUTED_VALUE"""),"Bhalu Khola Hydropower Project")</f>
        <v>Bhalu Khola Hydropower Project</v>
      </c>
      <c r="C194" s="2">
        <f>IFERROR(__xludf.DUMMYFUNCTION("""COMPUTED_VALUE"""),5.0)</f>
        <v>5</v>
      </c>
      <c r="D194" s="2" t="str">
        <f>IFERROR(__xludf.DUMMYFUNCTION("""COMPUTED_VALUE"""),"Bhalu khola")</f>
        <v>Bhalu khola</v>
      </c>
      <c r="E194" s="2">
        <f>IFERROR(__xludf.DUMMYFUNCTION("""COMPUTED_VALUE"""),9108.0)</f>
        <v>9108</v>
      </c>
      <c r="F194" s="3">
        <f>IFERROR(__xludf.DUMMYFUNCTION("""COMPUTED_VALUE"""),66865.0)</f>
        <v>66865</v>
      </c>
      <c r="G194" s="2" t="str">
        <f>IFERROR(__xludf.DUMMYFUNCTION("""COMPUTED_VALUE"""),"Road Nepal Private Limited")</f>
        <v>Road Nepal Private Limited</v>
      </c>
      <c r="H194" s="2" t="str">
        <f>IFERROR(__xludf.DUMMYFUNCTION("""COMPUTED_VALUE"""),"Kathmandu - 16, Nepal")</f>
        <v>Kathmandu - 16, Nepal</v>
      </c>
      <c r="I194" s="2" t="str">
        <f>IFERROR(__xludf.DUMMYFUNCTION("""COMPUTED_VALUE"""),"28o 11' 13""")</f>
        <v>28o 11' 13"</v>
      </c>
      <c r="J194" s="2" t="str">
        <f>IFERROR(__xludf.DUMMYFUNCTION("""COMPUTED_VALUE"""),"28o 20' 46""")</f>
        <v>28o 20' 46"</v>
      </c>
      <c r="K194" s="2" t="str">
        <f>IFERROR(__xludf.DUMMYFUNCTION("""COMPUTED_VALUE"""),"84o 52' 54""")</f>
        <v>84o 52' 54"</v>
      </c>
      <c r="L194" s="2" t="str">
        <f>IFERROR(__xludf.DUMMYFUNCTION("""COMPUTED_VALUE"""),"84o 53' 47""")</f>
        <v>84o 53' 47"</v>
      </c>
      <c r="M194" s="2" t="str">
        <f>IFERROR(__xludf.DUMMYFUNCTION("""COMPUTED_VALUE"""),"Kerauja,Kashigaun,Gumda (Gorkha)")</f>
        <v>Kerauja,Kashigaun,Gumda (Gorkha)</v>
      </c>
    </row>
    <row r="195">
      <c r="A195" s="2">
        <f>IFERROR(__xludf.DUMMYFUNCTION("""COMPUTED_VALUE"""),194.0)</f>
        <v>194</v>
      </c>
      <c r="B195" s="2" t="str">
        <f>IFERROR(__xludf.DUMMYFUNCTION("""COMPUTED_VALUE"""),"Syar Khola Hydropower Project")</f>
        <v>Syar Khola Hydropower Project</v>
      </c>
      <c r="C195" s="2">
        <f>IFERROR(__xludf.DUMMYFUNCTION("""COMPUTED_VALUE"""),21.0)</f>
        <v>21</v>
      </c>
      <c r="D195" s="2" t="str">
        <f>IFERROR(__xludf.DUMMYFUNCTION("""COMPUTED_VALUE"""),"Syar Khola")</f>
        <v>Syar Khola</v>
      </c>
      <c r="E195" s="2">
        <f>IFERROR(__xludf.DUMMYFUNCTION("""COMPUTED_VALUE"""),9109.0)</f>
        <v>9109</v>
      </c>
      <c r="F195" s="3">
        <f>IFERROR(__xludf.DUMMYFUNCTION("""COMPUTED_VALUE"""),66865.0)</f>
        <v>66865</v>
      </c>
      <c r="G195" s="2" t="str">
        <f>IFERROR(__xludf.DUMMYFUNCTION("""COMPUTED_VALUE"""),"Himalayan Solar Ventures Private Limited")</f>
        <v>Himalayan Solar Ventures Private Limited</v>
      </c>
      <c r="H195" s="2" t="str">
        <f>IFERROR(__xludf.DUMMYFUNCTION("""COMPUTED_VALUE"""),"Balaju - 16, Kathmandu")</f>
        <v>Balaju - 16, Kathmandu</v>
      </c>
      <c r="I195" s="2" t="str">
        <f>IFERROR(__xludf.DUMMYFUNCTION("""COMPUTED_VALUE"""),"28o 28' 40""")</f>
        <v>28o 28' 40"</v>
      </c>
      <c r="J195" s="2" t="str">
        <f>IFERROR(__xludf.DUMMYFUNCTION("""COMPUTED_VALUE"""),"28o 31' 14""")</f>
        <v>28o 31' 14"</v>
      </c>
      <c r="K195" s="2" t="str">
        <f>IFERROR(__xludf.DUMMYFUNCTION("""COMPUTED_VALUE"""),"85o 02' 50""")</f>
        <v>85o 02' 50"</v>
      </c>
      <c r="L195" s="2" t="str">
        <f>IFERROR(__xludf.DUMMYFUNCTION("""COMPUTED_VALUE"""),"85o 05' 38""")</f>
        <v>85o 05' 38"</v>
      </c>
      <c r="M195" s="2" t="str">
        <f>IFERROR(__xludf.DUMMYFUNCTION("""COMPUTED_VALUE"""),"Chhaikampar (Gorkha)")</f>
        <v>Chhaikampar (Gorkha)</v>
      </c>
    </row>
    <row r="196">
      <c r="A196" s="2">
        <f>IFERROR(__xludf.DUMMYFUNCTION("""COMPUTED_VALUE"""),195.0)</f>
        <v>195</v>
      </c>
      <c r="B196" s="2" t="str">
        <f>IFERROR(__xludf.DUMMYFUNCTION("""COMPUTED_VALUE"""),"Super Simbuwa Khola Hydropower Project")</f>
        <v>Super Simbuwa Khola Hydropower Project</v>
      </c>
      <c r="C196" s="2">
        <f>IFERROR(__xludf.DUMMYFUNCTION("""COMPUTED_VALUE"""),38.2)</f>
        <v>38.2</v>
      </c>
      <c r="D196" s="2" t="str">
        <f>IFERROR(__xludf.DUMMYFUNCTION("""COMPUTED_VALUE"""),"Simbuwa Khola")</f>
        <v>Simbuwa Khola</v>
      </c>
      <c r="E196" s="2">
        <f>IFERROR(__xludf.DUMMYFUNCTION("""COMPUTED_VALUE"""),9110.0)</f>
        <v>9110</v>
      </c>
      <c r="F196" s="3">
        <f>IFERROR(__xludf.DUMMYFUNCTION("""COMPUTED_VALUE"""),66865.0)</f>
        <v>66865</v>
      </c>
      <c r="G196" s="2" t="str">
        <f>IFERROR(__xludf.DUMMYFUNCTION("""COMPUTED_VALUE"""),"Road Nepal Private Limited")</f>
        <v>Road Nepal Private Limited</v>
      </c>
      <c r="H196" s="2" t="str">
        <f>IFERROR(__xludf.DUMMYFUNCTION("""COMPUTED_VALUE"""),"Kathmandu - 16, Nepal")</f>
        <v>Kathmandu - 16, Nepal</v>
      </c>
      <c r="I196" s="2" t="str">
        <f>IFERROR(__xludf.DUMMYFUNCTION("""COMPUTED_VALUE"""),"27o 31' 30""")</f>
        <v>27o 31' 30"</v>
      </c>
      <c r="J196" s="2" t="str">
        <f>IFERROR(__xludf.DUMMYFUNCTION("""COMPUTED_VALUE"""),"27o 33' 43""")</f>
        <v>27o 33' 43"</v>
      </c>
      <c r="K196" s="2" t="str">
        <f>IFERROR(__xludf.DUMMYFUNCTION("""COMPUTED_VALUE"""),"87o 55' 05""")</f>
        <v>87o 55' 05"</v>
      </c>
      <c r="L196" s="2" t="str">
        <f>IFERROR(__xludf.DUMMYFUNCTION("""COMPUTED_VALUE"""),"87o 57' 55""")</f>
        <v>87o 57' 55"</v>
      </c>
      <c r="M196" s="2" t="str">
        <f>IFERROR(__xludf.DUMMYFUNCTION("""COMPUTED_VALUE"""),"Yamfudin,Tapethok (Taplejung)")</f>
        <v>Yamfudin,Tapethok (Taplejung)</v>
      </c>
    </row>
    <row r="197">
      <c r="A197" s="2">
        <f>IFERROR(__xludf.DUMMYFUNCTION("""COMPUTED_VALUE"""),196.0)</f>
        <v>196</v>
      </c>
      <c r="B197" s="2" t="str">
        <f>IFERROR(__xludf.DUMMYFUNCTION("""COMPUTED_VALUE"""),"Thuli Gad Laxminagar Hydropower Proejct")</f>
        <v>Thuli Gad Laxminagar Hydropower Proejct</v>
      </c>
      <c r="C197" s="2">
        <f>IFERROR(__xludf.DUMMYFUNCTION("""COMPUTED_VALUE"""),4.5)</f>
        <v>4.5</v>
      </c>
      <c r="D197" s="2" t="str">
        <f>IFERROR(__xludf.DUMMYFUNCTION("""COMPUTED_VALUE"""),"Thuli gad")</f>
        <v>Thuli gad</v>
      </c>
      <c r="E197" s="2">
        <f>IFERROR(__xludf.DUMMYFUNCTION("""COMPUTED_VALUE"""),9111.0)</f>
        <v>9111</v>
      </c>
      <c r="F197" s="3">
        <f>IFERROR(__xludf.DUMMYFUNCTION("""COMPUTED_VALUE"""),66865.0)</f>
        <v>66865</v>
      </c>
      <c r="G197" s="2" t="str">
        <f>IFERROR(__xludf.DUMMYFUNCTION("""COMPUTED_VALUE"""),"Ramit Nirman Sewa Pvt. Ltd")</f>
        <v>Ramit Nirman Sewa Pvt. Ltd</v>
      </c>
      <c r="H197" s="2" t="str">
        <f>IFERROR(__xludf.DUMMYFUNCTION("""COMPUTED_VALUE"""),"Toukhel, Chandragiri")</f>
        <v>Toukhel, Chandragiri</v>
      </c>
      <c r="I197" s="2" t="str">
        <f>IFERROR(__xludf.DUMMYFUNCTION("""COMPUTED_VALUE"""),"29o 03' 06""")</f>
        <v>29o 03' 06"</v>
      </c>
      <c r="J197" s="2" t="str">
        <f>IFERROR(__xludf.DUMMYFUNCTION("""COMPUTED_VALUE"""),"29o 03' 56""")</f>
        <v>29o 03' 56"</v>
      </c>
      <c r="K197" s="2" t="str">
        <f>IFERROR(__xludf.DUMMYFUNCTION("""COMPUTED_VALUE"""),"80o 38' 26""")</f>
        <v>80o 38' 26"</v>
      </c>
      <c r="L197" s="2" t="str">
        <f>IFERROR(__xludf.DUMMYFUNCTION("""COMPUTED_VALUE"""),"80o 40' 17""")</f>
        <v>80o 40' 17"</v>
      </c>
      <c r="M197" s="2" t="str">
        <f>IFERROR(__xludf.DUMMYFUNCTION("""COMPUTED_VALUE"""),"Bhdhegau (Doti)")</f>
        <v>Bhdhegau (Doti)</v>
      </c>
    </row>
    <row r="198">
      <c r="A198" s="2">
        <f>IFERROR(__xludf.DUMMYFUNCTION("""COMPUTED_VALUE"""),197.0)</f>
        <v>197</v>
      </c>
      <c r="B198" s="2" t="str">
        <f>IFERROR(__xludf.DUMMYFUNCTION("""COMPUTED_VALUE"""),"Leksuwa Hydroelectric Project")</f>
        <v>Leksuwa Hydroelectric Project</v>
      </c>
      <c r="C198" s="2">
        <f>IFERROR(__xludf.DUMMYFUNCTION("""COMPUTED_VALUE"""),4.7)</f>
        <v>4.7</v>
      </c>
      <c r="D198" s="2" t="str">
        <f>IFERROR(__xludf.DUMMYFUNCTION("""COMPUTED_VALUE"""),"Leksuwa")</f>
        <v>Leksuwa</v>
      </c>
      <c r="E198" s="2">
        <f>IFERROR(__xludf.DUMMYFUNCTION("""COMPUTED_VALUE"""),9121.0)</f>
        <v>9121</v>
      </c>
      <c r="F198" s="3">
        <f>IFERROR(__xludf.DUMMYFUNCTION("""COMPUTED_VALUE"""),66865.0)</f>
        <v>66865</v>
      </c>
      <c r="G198" s="2" t="str">
        <f>IFERROR(__xludf.DUMMYFUNCTION("""COMPUTED_VALUE"""),"Blue Wave Energy Private Limited")</f>
        <v>Blue Wave Energy Private Limited</v>
      </c>
      <c r="H198" s="2" t="str">
        <f>IFERROR(__xludf.DUMMYFUNCTION("""COMPUTED_VALUE"""),"Kathmandu - 10, Anamnagar")</f>
        <v>Kathmandu - 10, Anamnagar</v>
      </c>
      <c r="I198" s="2" t="str">
        <f>IFERROR(__xludf.DUMMYFUNCTION("""COMPUTED_VALUE"""),"27o 40' 18""")</f>
        <v>27o 40' 18"</v>
      </c>
      <c r="J198" s="2" t="str">
        <f>IFERROR(__xludf.DUMMYFUNCTION("""COMPUTED_VALUE"""),"27o 41' 37""")</f>
        <v>27o 41' 37"</v>
      </c>
      <c r="K198" s="2" t="str">
        <f>IFERROR(__xludf.DUMMYFUNCTION("""COMPUTED_VALUE"""),"87o 22' 22""")</f>
        <v>87o 22' 22"</v>
      </c>
      <c r="L198" s="2" t="str">
        <f>IFERROR(__xludf.DUMMYFUNCTION("""COMPUTED_VALUE"""),"87o 25' 05""")</f>
        <v>87o 25' 05"</v>
      </c>
      <c r="M198" s="2" t="str">
        <f>IFERROR(__xludf.DUMMYFUNCTION("""COMPUTED_VALUE"""),"Hatiya,Pawakhola (Sankhuwasabha)")</f>
        <v>Hatiya,Pawakhola (Sankhuwasabha)</v>
      </c>
    </row>
    <row r="199">
      <c r="A199" s="2">
        <f>IFERROR(__xludf.DUMMYFUNCTION("""COMPUTED_VALUE"""),198.0)</f>
        <v>198</v>
      </c>
      <c r="B199" s="2" t="str">
        <f>IFERROR(__xludf.DUMMYFUNCTION("""COMPUTED_VALUE"""),"Jogmai - Mayum Hydropower Project")</f>
        <v>Jogmai - Mayum Hydropower Project</v>
      </c>
      <c r="C199" s="2">
        <f>IFERROR(__xludf.DUMMYFUNCTION("""COMPUTED_VALUE"""),4.98)</f>
        <v>4.98</v>
      </c>
      <c r="D199" s="2" t="str">
        <f>IFERROR(__xludf.DUMMYFUNCTION("""COMPUTED_VALUE"""),"Jogmai Khola &amp; Mayum Khola")</f>
        <v>Jogmai Khola &amp; Mayum Khola</v>
      </c>
      <c r="E199" s="2">
        <f>IFERROR(__xludf.DUMMYFUNCTION("""COMPUTED_VALUE"""),9136.0)</f>
        <v>9136</v>
      </c>
      <c r="F199" s="3">
        <f>IFERROR(__xludf.DUMMYFUNCTION("""COMPUTED_VALUE"""),66865.0)</f>
        <v>66865</v>
      </c>
      <c r="G199" s="2" t="str">
        <f>IFERROR(__xludf.DUMMYFUNCTION("""COMPUTED_VALUE"""),"Hydro Wonders Private Limited")</f>
        <v>Hydro Wonders Private Limited</v>
      </c>
      <c r="H199" s="2" t="str">
        <f>IFERROR(__xludf.DUMMYFUNCTION("""COMPUTED_VALUE"""),"KMC-5, Hadigaun, Kathmandu")</f>
        <v>KMC-5, Hadigaun, Kathmandu</v>
      </c>
      <c r="I199" s="2" t="str">
        <f>IFERROR(__xludf.DUMMYFUNCTION("""COMPUTED_VALUE"""),"26o 55' 53""")</f>
        <v>26o 55' 53"</v>
      </c>
      <c r="J199" s="2" t="str">
        <f>IFERROR(__xludf.DUMMYFUNCTION("""COMPUTED_VALUE"""),"26o 57' 39""")</f>
        <v>26o 57' 39"</v>
      </c>
      <c r="K199" s="2" t="str">
        <f>IFERROR(__xludf.DUMMYFUNCTION("""COMPUTED_VALUE"""),"88o 02' 55""")</f>
        <v>88o 02' 55"</v>
      </c>
      <c r="L199" s="2" t="str">
        <f>IFERROR(__xludf.DUMMYFUNCTION("""COMPUTED_VALUE"""),"88o 05' 02""")</f>
        <v>88o 05' 02"</v>
      </c>
      <c r="M199" s="2" t="str">
        <f>IFERROR(__xludf.DUMMYFUNCTION("""COMPUTED_VALUE"""),"Pashupati Nagar,Naya Bazar,Phikal Bazar (Ilam)")</f>
        <v>Pashupati Nagar,Naya Bazar,Phikal Bazar (Ilam)</v>
      </c>
    </row>
    <row r="200">
      <c r="A200" s="2">
        <f>IFERROR(__xludf.DUMMYFUNCTION("""COMPUTED_VALUE"""),199.0)</f>
        <v>199</v>
      </c>
      <c r="B200" s="2" t="str">
        <f>IFERROR(__xludf.DUMMYFUNCTION("""COMPUTED_VALUE"""),"Upper Jantada Khola Hydropower Project")</f>
        <v>Upper Jantada Khola Hydropower Project</v>
      </c>
      <c r="C200" s="2">
        <f>IFERROR(__xludf.DUMMYFUNCTION("""COMPUTED_VALUE"""),4.0)</f>
        <v>4</v>
      </c>
      <c r="D200" s="2" t="str">
        <f>IFERROR(__xludf.DUMMYFUNCTION("""COMPUTED_VALUE"""),"Jantada Khola")</f>
        <v>Jantada Khola</v>
      </c>
      <c r="E200" s="2">
        <f>IFERROR(__xludf.DUMMYFUNCTION("""COMPUTED_VALUE"""),9193.0)</f>
        <v>9193</v>
      </c>
      <c r="F200" s="3">
        <f>IFERROR(__xludf.DUMMYFUNCTION("""COMPUTED_VALUE"""),66866.0)</f>
        <v>66866</v>
      </c>
      <c r="G200" s="2" t="str">
        <f>IFERROR(__xludf.DUMMYFUNCTION("""COMPUTED_VALUE"""),"Green Nepal Energy Pvt. Ltd")</f>
        <v>Green Nepal Energy Pvt. Ltd</v>
      </c>
      <c r="H200" s="2" t="str">
        <f>IFERROR(__xludf.DUMMYFUNCTION("""COMPUTED_VALUE"""),"Tarkeshower-2, kathmandu")</f>
        <v>Tarkeshower-2, kathmandu</v>
      </c>
      <c r="I200" s="2" t="str">
        <f>IFERROR(__xludf.DUMMYFUNCTION("""COMPUTED_VALUE"""),"29o 13' 47""")</f>
        <v>29o 13' 47"</v>
      </c>
      <c r="J200" s="2" t="str">
        <f>IFERROR(__xludf.DUMMYFUNCTION("""COMPUTED_VALUE"""),"29o 15' 26""")</f>
        <v>29o 15' 26"</v>
      </c>
      <c r="K200" s="2" t="str">
        <f>IFERROR(__xludf.DUMMYFUNCTION("""COMPUTED_VALUE"""),"81o 31' 19""")</f>
        <v>81o 31' 19"</v>
      </c>
      <c r="L200" s="2" t="str">
        <f>IFERROR(__xludf.DUMMYFUNCTION("""COMPUTED_VALUE"""),"81o 33' 01""")</f>
        <v>81o 33' 01"</v>
      </c>
      <c r="M200" s="2" t="str">
        <f>IFERROR(__xludf.DUMMYFUNCTION("""COMPUTED_VALUE"""),"Kheen (Kalikot)")</f>
        <v>Kheen (Kalikot)</v>
      </c>
    </row>
    <row r="201">
      <c r="A201" s="2">
        <f>IFERROR(__xludf.DUMMYFUNCTION("""COMPUTED_VALUE"""),200.0)</f>
        <v>200</v>
      </c>
      <c r="B201" s="2" t="str">
        <f>IFERROR(__xludf.DUMMYFUNCTION("""COMPUTED_VALUE"""),"Bharta Khola Hydropower Project")</f>
        <v>Bharta Khola Hydropower Project</v>
      </c>
      <c r="C201" s="2">
        <f>IFERROR(__xludf.DUMMYFUNCTION("""COMPUTED_VALUE"""),4.6)</f>
        <v>4.6</v>
      </c>
      <c r="D201" s="2" t="str">
        <f>IFERROR(__xludf.DUMMYFUNCTION("""COMPUTED_VALUE"""),"Bharta Khola")</f>
        <v>Bharta Khola</v>
      </c>
      <c r="E201" s="2">
        <f>IFERROR(__xludf.DUMMYFUNCTION("""COMPUTED_VALUE"""),9194.0)</f>
        <v>9194</v>
      </c>
      <c r="F201" s="3">
        <f>IFERROR(__xludf.DUMMYFUNCTION("""COMPUTED_VALUE"""),66866.0)</f>
        <v>66866</v>
      </c>
      <c r="G201" s="2" t="str">
        <f>IFERROR(__xludf.DUMMYFUNCTION("""COMPUTED_VALUE"""),"RB Power Company Pvt. Ltd")</f>
        <v>RB Power Company Pvt. Ltd</v>
      </c>
      <c r="H201" s="2" t="str">
        <f>IFERROR(__xludf.DUMMYFUNCTION("""COMPUTED_VALUE"""),"Lalitpur-4, Bagdol")</f>
        <v>Lalitpur-4, Bagdol</v>
      </c>
      <c r="I201" s="2" t="str">
        <f>IFERROR(__xludf.DUMMYFUNCTION("""COMPUTED_VALUE"""),"29o 05' 54""")</f>
        <v>29o 05' 54"</v>
      </c>
      <c r="J201" s="2" t="str">
        <f>IFERROR(__xludf.DUMMYFUNCTION("""COMPUTED_VALUE"""),"29o 07' 14""")</f>
        <v>29o 07' 14"</v>
      </c>
      <c r="K201" s="2" t="str">
        <f>IFERROR(__xludf.DUMMYFUNCTION("""COMPUTED_VALUE"""),"81o 36' 00""")</f>
        <v>81o 36' 00"</v>
      </c>
      <c r="L201" s="2" t="str">
        <f>IFERROR(__xludf.DUMMYFUNCTION("""COMPUTED_VALUE"""),"81o 37' 12""")</f>
        <v>81o 37' 12"</v>
      </c>
      <c r="M201" s="2" t="str">
        <f>IFERROR(__xludf.DUMMYFUNCTION("""COMPUTED_VALUE"""),"Jubika (Kalikot)")</f>
        <v>Jubika (Kalikot)</v>
      </c>
    </row>
    <row r="202">
      <c r="A202" s="2">
        <f>IFERROR(__xludf.DUMMYFUNCTION("""COMPUTED_VALUE"""),201.0)</f>
        <v>201</v>
      </c>
      <c r="B202" s="2" t="str">
        <f>IFERROR(__xludf.DUMMYFUNCTION("""COMPUTED_VALUE"""),"Mahari Khola Hydroelectric Project")</f>
        <v>Mahari Khola Hydroelectric Project</v>
      </c>
      <c r="C202" s="2">
        <f>IFERROR(__xludf.DUMMYFUNCTION("""COMPUTED_VALUE"""),4.25)</f>
        <v>4.25</v>
      </c>
      <c r="D202" s="2" t="str">
        <f>IFERROR(__xludf.DUMMYFUNCTION("""COMPUTED_VALUE"""),"Mahari Khola")</f>
        <v>Mahari Khola</v>
      </c>
      <c r="E202" s="2">
        <f>IFERROR(__xludf.DUMMYFUNCTION("""COMPUTED_VALUE"""),9195.0)</f>
        <v>9195</v>
      </c>
      <c r="F202" s="3">
        <f>IFERROR(__xludf.DUMMYFUNCTION("""COMPUTED_VALUE"""),66866.0)</f>
        <v>66866</v>
      </c>
      <c r="G202" s="2" t="str">
        <f>IFERROR(__xludf.DUMMYFUNCTION("""COMPUTED_VALUE"""),"Sinja Power Company Pvt. Ltd")</f>
        <v>Sinja Power Company Pvt. Ltd</v>
      </c>
      <c r="H202" s="2" t="str">
        <f>IFERROR(__xludf.DUMMYFUNCTION("""COMPUTED_VALUE"""),"Lalitpur-4, Bagdol")</f>
        <v>Lalitpur-4, Bagdol</v>
      </c>
      <c r="I202" s="2" t="str">
        <f>IFERROR(__xludf.DUMMYFUNCTION("""COMPUTED_VALUE"""),"29o 18' 21""")</f>
        <v>29o 18' 21"</v>
      </c>
      <c r="J202" s="2" t="str">
        <f>IFERROR(__xludf.DUMMYFUNCTION("""COMPUTED_VALUE"""),"29o 19' 47""")</f>
        <v>29o 19' 47"</v>
      </c>
      <c r="K202" s="2" t="str">
        <f>IFERROR(__xludf.DUMMYFUNCTION("""COMPUTED_VALUE"""),"82o 20' 25""")</f>
        <v>82o 20' 25"</v>
      </c>
      <c r="L202" s="2" t="str">
        <f>IFERROR(__xludf.DUMMYFUNCTION("""COMPUTED_VALUE"""),"82o 22' 12""")</f>
        <v>82o 22' 12"</v>
      </c>
      <c r="M202" s="2" t="str">
        <f>IFERROR(__xludf.DUMMYFUNCTION("""COMPUTED_VALUE"""),"Dillichaur (Jumla)")</f>
        <v>Dillichaur (Jumla)</v>
      </c>
    </row>
    <row r="203">
      <c r="A203" s="2">
        <f>IFERROR(__xludf.DUMMYFUNCTION("""COMPUTED_VALUE"""),202.0)</f>
        <v>202</v>
      </c>
      <c r="B203" s="2" t="str">
        <f>IFERROR(__xludf.DUMMYFUNCTION("""COMPUTED_VALUE"""),"Ridi Storage Hydropower Project")</f>
        <v>Ridi Storage Hydropower Project</v>
      </c>
      <c r="C203" s="2">
        <f>IFERROR(__xludf.DUMMYFUNCTION("""COMPUTED_VALUE"""),49.0)</f>
        <v>49</v>
      </c>
      <c r="D203" s="2" t="str">
        <f>IFERROR(__xludf.DUMMYFUNCTION("""COMPUTED_VALUE"""),"Ridi Khola")</f>
        <v>Ridi Khola</v>
      </c>
      <c r="E203" s="2">
        <f>IFERROR(__xludf.DUMMYFUNCTION("""COMPUTED_VALUE"""),9204.0)</f>
        <v>9204</v>
      </c>
      <c r="F203" s="3">
        <f>IFERROR(__xludf.DUMMYFUNCTION("""COMPUTED_VALUE"""),66869.0)</f>
        <v>66869</v>
      </c>
      <c r="G203" s="2" t="str">
        <f>IFERROR(__xludf.DUMMYFUNCTION("""COMPUTED_VALUE"""),"Chanakya Energy Private Limited")</f>
        <v>Chanakya Energy Private Limited</v>
      </c>
      <c r="H203" s="2" t="str">
        <f>IFERROR(__xludf.DUMMYFUNCTION("""COMPUTED_VALUE"""),"Kathmandu-5,Nepal")</f>
        <v>Kathmandu-5,Nepal</v>
      </c>
      <c r="I203" s="2" t="str">
        <f>IFERROR(__xludf.DUMMYFUNCTION("""COMPUTED_VALUE"""),"27o 53' 35""")</f>
        <v>27o 53' 35"</v>
      </c>
      <c r="J203" s="2" t="str">
        <f>IFERROR(__xludf.DUMMYFUNCTION("""COMPUTED_VALUE"""),"27o 59' 00""")</f>
        <v>27o 59' 00"</v>
      </c>
      <c r="K203" s="2" t="str">
        <f>IFERROR(__xludf.DUMMYFUNCTION("""COMPUTED_VALUE"""),"83o 15' 00""")</f>
        <v>83o 15' 00"</v>
      </c>
      <c r="L203" s="2" t="str">
        <f>IFERROR(__xludf.DUMMYFUNCTION("""COMPUTED_VALUE"""),"83o 23' 30""")</f>
        <v>83o 23' 30"</v>
      </c>
      <c r="M203" s="2" t="str">
        <f>IFERROR(__xludf.DUMMYFUNCTION("""COMPUTED_VALUE"""),"Digam (Gulmi) Siddheshwor,Siluwa,Chhahara (Palpa)")</f>
        <v>Digam (Gulmi) Siddheshwor,Siluwa,Chhahara (Palpa)</v>
      </c>
    </row>
    <row r="204">
      <c r="A204" s="2">
        <f>IFERROR(__xludf.DUMMYFUNCTION("""COMPUTED_VALUE"""),203.0)</f>
        <v>203</v>
      </c>
      <c r="B204" s="2" t="str">
        <f>IFERROR(__xludf.DUMMYFUNCTION("""COMPUTED_VALUE"""),"Ganga Nadi Hydropower Project")</f>
        <v>Ganga Nadi Hydropower Project</v>
      </c>
      <c r="C204" s="2">
        <f>IFERROR(__xludf.DUMMYFUNCTION("""COMPUTED_VALUE"""),4.99)</f>
        <v>4.99</v>
      </c>
      <c r="D204" s="2" t="str">
        <f>IFERROR(__xludf.DUMMYFUNCTION("""COMPUTED_VALUE"""),"Ganga Nadi")</f>
        <v>Ganga Nadi</v>
      </c>
      <c r="E204" s="2">
        <f>IFERROR(__xludf.DUMMYFUNCTION("""COMPUTED_VALUE"""),9210.0)</f>
        <v>9210</v>
      </c>
      <c r="F204" s="3">
        <f>IFERROR(__xludf.DUMMYFUNCTION("""COMPUTED_VALUE"""),66869.0)</f>
        <v>66869</v>
      </c>
      <c r="G204" s="2" t="str">
        <f>IFERROR(__xludf.DUMMYFUNCTION("""COMPUTED_VALUE"""),"Triveni Hydropower Private Limited")</f>
        <v>Triveni Hydropower Private Limited</v>
      </c>
      <c r="H204" s="2" t="str">
        <f>IFERROR(__xludf.DUMMYFUNCTION("""COMPUTED_VALUE"""),"KMC-14, Kathmandu")</f>
        <v>KMC-14, Kathmandu</v>
      </c>
      <c r="I204" s="2" t="str">
        <f>IFERROR(__xludf.DUMMYFUNCTION("""COMPUTED_VALUE"""),"28o 32' 21""")</f>
        <v>28o 32' 21"</v>
      </c>
      <c r="J204" s="2" t="str">
        <f>IFERROR(__xludf.DUMMYFUNCTION("""COMPUTED_VALUE"""),"28o 35' 40""")</f>
        <v>28o 35' 40"</v>
      </c>
      <c r="K204" s="2" t="str">
        <f>IFERROR(__xludf.DUMMYFUNCTION("""COMPUTED_VALUE"""),"82o 49' 25""")</f>
        <v>82o 49' 25"</v>
      </c>
      <c r="L204" s="2" t="str">
        <f>IFERROR(__xludf.DUMMYFUNCTION("""COMPUTED_VALUE"""),"82o 54' 10""")</f>
        <v>82o 54' 10"</v>
      </c>
      <c r="M204" s="2"/>
    </row>
    <row r="205">
      <c r="A205" s="2">
        <f>IFERROR(__xludf.DUMMYFUNCTION("""COMPUTED_VALUE"""),204.0)</f>
        <v>204</v>
      </c>
      <c r="B205" s="2" t="str">
        <f>IFERROR(__xludf.DUMMYFUNCTION("""COMPUTED_VALUE"""),"Saru Khola Hydropower Project")</f>
        <v>Saru Khola Hydropower Project</v>
      </c>
      <c r="C205" s="2">
        <f>IFERROR(__xludf.DUMMYFUNCTION("""COMPUTED_VALUE"""),4.78)</f>
        <v>4.78</v>
      </c>
      <c r="D205" s="2" t="str">
        <f>IFERROR(__xludf.DUMMYFUNCTION("""COMPUTED_VALUE"""),"Saru Khola")</f>
        <v>Saru Khola</v>
      </c>
      <c r="E205" s="2">
        <f>IFERROR(__xludf.DUMMYFUNCTION("""COMPUTED_VALUE"""),9211.0)</f>
        <v>9211</v>
      </c>
      <c r="F205" s="3">
        <f>IFERROR(__xludf.DUMMYFUNCTION("""COMPUTED_VALUE"""),66869.0)</f>
        <v>66869</v>
      </c>
      <c r="G205" s="2" t="str">
        <f>IFERROR(__xludf.DUMMYFUNCTION("""COMPUTED_VALUE"""),"Triveni Hydropower Pvt. Ltd")</f>
        <v>Triveni Hydropower Pvt. Ltd</v>
      </c>
      <c r="H205" s="2" t="str">
        <f>IFERROR(__xludf.DUMMYFUNCTION("""COMPUTED_VALUE"""),"Kathmandu-14")</f>
        <v>Kathmandu-14</v>
      </c>
      <c r="I205" s="2" t="str">
        <f>IFERROR(__xludf.DUMMYFUNCTION("""COMPUTED_VALUE"""),"28o 51' 18""")</f>
        <v>28o 51' 18"</v>
      </c>
      <c r="J205" s="2" t="str">
        <f>IFERROR(__xludf.DUMMYFUNCTION("""COMPUTED_VALUE"""),"28o 54' 51""")</f>
        <v>28o 54' 51"</v>
      </c>
      <c r="K205" s="2" t="str">
        <f>IFERROR(__xludf.DUMMYFUNCTION("""COMPUTED_VALUE"""),"82o 08' 40""")</f>
        <v>82o 08' 40"</v>
      </c>
      <c r="L205" s="2" t="str">
        <f>IFERROR(__xludf.DUMMYFUNCTION("""COMPUTED_VALUE"""),"82o 10' 45""")</f>
        <v>82o 10' 45"</v>
      </c>
      <c r="M205" s="2" t="str">
        <f>IFERROR(__xludf.DUMMYFUNCTION("""COMPUTED_VALUE"""),"Garkhakot (Jajarkot)")</f>
        <v>Garkhakot (Jajarkot)</v>
      </c>
    </row>
    <row r="206">
      <c r="A206" s="2">
        <f>IFERROR(__xludf.DUMMYFUNCTION("""COMPUTED_VALUE"""),205.0)</f>
        <v>205</v>
      </c>
      <c r="B206" s="2" t="str">
        <f>IFERROR(__xludf.DUMMYFUNCTION("""COMPUTED_VALUE"""),"Sisuwa Khola - A Hyddroelectric Project")</f>
        <v>Sisuwa Khola - A Hyddroelectric Project</v>
      </c>
      <c r="C206" s="2">
        <f>IFERROR(__xludf.DUMMYFUNCTION("""COMPUTED_VALUE"""),9.8)</f>
        <v>9.8</v>
      </c>
      <c r="D206" s="2" t="str">
        <f>IFERROR(__xludf.DUMMYFUNCTION("""COMPUTED_VALUE"""),"Sisuwa")</f>
        <v>Sisuwa</v>
      </c>
      <c r="E206" s="2">
        <f>IFERROR(__xludf.DUMMYFUNCTION("""COMPUTED_VALUE"""),9226.0)</f>
        <v>9226</v>
      </c>
      <c r="F206" s="3">
        <f>IFERROR(__xludf.DUMMYFUNCTION("""COMPUTED_VALUE"""),66869.0)</f>
        <v>66869</v>
      </c>
      <c r="G206" s="2" t="str">
        <f>IFERROR(__xludf.DUMMYFUNCTION("""COMPUTED_VALUE"""),"Matribhumi Hydropower Development Company Pvt. Ltd")</f>
        <v>Matribhumi Hydropower Development Company Pvt. Ltd</v>
      </c>
      <c r="H206" s="2" t="str">
        <f>IFERROR(__xludf.DUMMYFUNCTION("""COMPUTED_VALUE"""),"KMC-29, Anamnagar")</f>
        <v>KMC-29, Anamnagar</v>
      </c>
      <c r="I206" s="2" t="str">
        <f>IFERROR(__xludf.DUMMYFUNCTION("""COMPUTED_VALUE"""),"27o 28' 00""")</f>
        <v>27o 28' 00"</v>
      </c>
      <c r="J206" s="2" t="str">
        <f>IFERROR(__xludf.DUMMYFUNCTION("""COMPUTED_VALUE"""),"27o 30' 01""")</f>
        <v>27o 30' 01"</v>
      </c>
      <c r="K206" s="2" t="str">
        <f>IFERROR(__xludf.DUMMYFUNCTION("""COMPUTED_VALUE"""),"87o 01' 13""")</f>
        <v>87o 01' 13"</v>
      </c>
      <c r="L206" s="2" t="str">
        <f>IFERROR(__xludf.DUMMYFUNCTION("""COMPUTED_VALUE"""),"87o 02' 06""")</f>
        <v>87o 02' 06"</v>
      </c>
      <c r="M206" s="2" t="str">
        <f>IFERROR(__xludf.DUMMYFUNCTION("""COMPUTED_VALUE"""),"Sisuwakhola,Bala (Sankhuwasabha)")</f>
        <v>Sisuwakhola,Bala (Sankhuwasabha)</v>
      </c>
    </row>
    <row r="207">
      <c r="A207" s="2">
        <f>IFERROR(__xludf.DUMMYFUNCTION("""COMPUTED_VALUE"""),206.0)</f>
        <v>206</v>
      </c>
      <c r="B207" s="2" t="str">
        <f>IFERROR(__xludf.DUMMYFUNCTION("""COMPUTED_VALUE"""),"Lukum Khola A Hydroelectric Project")</f>
        <v>Lukum Khola A Hydroelectric Project</v>
      </c>
      <c r="C207" s="2">
        <f>IFERROR(__xludf.DUMMYFUNCTION("""COMPUTED_VALUE"""),4.91)</f>
        <v>4.91</v>
      </c>
      <c r="D207" s="2" t="str">
        <f>IFERROR(__xludf.DUMMYFUNCTION("""COMPUTED_VALUE"""),"Lukum")</f>
        <v>Lukum</v>
      </c>
      <c r="E207" s="2">
        <f>IFERROR(__xludf.DUMMYFUNCTION("""COMPUTED_VALUE"""),9241.0)</f>
        <v>9241</v>
      </c>
      <c r="F207" s="3">
        <f>IFERROR(__xludf.DUMMYFUNCTION("""COMPUTED_VALUE"""),66869.0)</f>
        <v>66869</v>
      </c>
      <c r="G207" s="2" t="str">
        <f>IFERROR(__xludf.DUMMYFUNCTION("""COMPUTED_VALUE"""),"Silver Stream Energy Private Limited")</f>
        <v>Silver Stream Energy Private Limited</v>
      </c>
      <c r="H207" s="2" t="str">
        <f>IFERROR(__xludf.DUMMYFUNCTION("""COMPUTED_VALUE"""),"KMC-16, Kathmandu")</f>
        <v>KMC-16, Kathmandu</v>
      </c>
      <c r="I207" s="2" t="str">
        <f>IFERROR(__xludf.DUMMYFUNCTION("""COMPUTED_VALUE"""),"28o 32' 46""")</f>
        <v>28o 32' 46"</v>
      </c>
      <c r="J207" s="2" t="str">
        <f>IFERROR(__xludf.DUMMYFUNCTION("""COMPUTED_VALUE"""),"28o 33' 40""")</f>
        <v>28o 33' 40"</v>
      </c>
      <c r="K207" s="2" t="str">
        <f>IFERROR(__xludf.DUMMYFUNCTION("""COMPUTED_VALUE"""),"82o 40' 50""")</f>
        <v>82o 40' 50"</v>
      </c>
      <c r="L207" s="2" t="str">
        <f>IFERROR(__xludf.DUMMYFUNCTION("""COMPUTED_VALUE"""),"82o 44' 07""")</f>
        <v>82o 44' 07"</v>
      </c>
      <c r="M207" s="2" t="str">
        <f>IFERROR(__xludf.DUMMYFUNCTION("""COMPUTED_VALUE"""),"Kankri,Mahat,Morawang (Rukum)")</f>
        <v>Kankri,Mahat,Morawang (Rukum)</v>
      </c>
    </row>
    <row r="208">
      <c r="A208" s="2">
        <f>IFERROR(__xludf.DUMMYFUNCTION("""COMPUTED_VALUE"""),207.0)</f>
        <v>207</v>
      </c>
      <c r="B208" s="2" t="str">
        <f>IFERROR(__xludf.DUMMYFUNCTION("""COMPUTED_VALUE"""),"Ghar Khola Khola Hydroelectric Project")</f>
        <v>Ghar Khola Khola Hydroelectric Project</v>
      </c>
      <c r="C208" s="2">
        <f>IFERROR(__xludf.DUMMYFUNCTION("""COMPUTED_VALUE"""),4.87)</f>
        <v>4.87</v>
      </c>
      <c r="D208" s="2" t="str">
        <f>IFERROR(__xludf.DUMMYFUNCTION("""COMPUTED_VALUE"""),"Ghar Khola")</f>
        <v>Ghar Khola</v>
      </c>
      <c r="E208" s="2">
        <f>IFERROR(__xludf.DUMMYFUNCTION("""COMPUTED_VALUE"""),9279.0)</f>
        <v>9279</v>
      </c>
      <c r="F208" s="3">
        <f>IFERROR(__xludf.DUMMYFUNCTION("""COMPUTED_VALUE"""),66870.0)</f>
        <v>66870</v>
      </c>
      <c r="G208" s="2" t="str">
        <f>IFERROR(__xludf.DUMMYFUNCTION("""COMPUTED_VALUE"""),"Aariya Consult Pvt. Ltd")</f>
        <v>Aariya Consult Pvt. Ltd</v>
      </c>
      <c r="H208" s="2" t="str">
        <f>IFERROR(__xludf.DUMMYFUNCTION("""COMPUTED_VALUE"""),"kathmandu-9")</f>
        <v>kathmandu-9</v>
      </c>
      <c r="I208" s="2" t="str">
        <f>IFERROR(__xludf.DUMMYFUNCTION("""COMPUTED_VALUE"""),"29o 09' 49""")</f>
        <v>29o 09' 49"</v>
      </c>
      <c r="J208" s="2" t="str">
        <f>IFERROR(__xludf.DUMMYFUNCTION("""COMPUTED_VALUE"""),"29o 12' 09""")</f>
        <v>29o 12' 09"</v>
      </c>
      <c r="K208" s="2" t="str">
        <f>IFERROR(__xludf.DUMMYFUNCTION("""COMPUTED_VALUE"""),"82o 25' 49""")</f>
        <v>82o 25' 49"</v>
      </c>
      <c r="L208" s="2" t="str">
        <f>IFERROR(__xludf.DUMMYFUNCTION("""COMPUTED_VALUE"""),"82o 30' 01""")</f>
        <v>82o 30' 01"</v>
      </c>
      <c r="M208" s="2" t="str">
        <f>IFERROR(__xludf.DUMMYFUNCTION("""COMPUTED_VALUE"""),"Chhumchaur (Jumla)")</f>
        <v>Chhumchaur (Jumla)</v>
      </c>
    </row>
    <row r="209">
      <c r="A209" s="2">
        <f>IFERROR(__xludf.DUMMYFUNCTION("""COMPUTED_VALUE"""),208.0)</f>
        <v>208</v>
      </c>
      <c r="B209" s="2" t="str">
        <f>IFERROR(__xludf.DUMMYFUNCTION("""COMPUTED_VALUE"""),"Patika Khola Khola Hydroelectric Project")</f>
        <v>Patika Khola Khola Hydroelectric Project</v>
      </c>
      <c r="C209" s="2">
        <f>IFERROR(__xludf.DUMMYFUNCTION("""COMPUTED_VALUE"""),4.79)</f>
        <v>4.79</v>
      </c>
      <c r="D209" s="2" t="str">
        <f>IFERROR(__xludf.DUMMYFUNCTION("""COMPUTED_VALUE"""),"Patika Khola")</f>
        <v>Patika Khola</v>
      </c>
      <c r="E209" s="2">
        <f>IFERROR(__xludf.DUMMYFUNCTION("""COMPUTED_VALUE"""),9280.0)</f>
        <v>9280</v>
      </c>
      <c r="F209" s="3">
        <f>IFERROR(__xludf.DUMMYFUNCTION("""COMPUTED_VALUE"""),66870.0)</f>
        <v>66870</v>
      </c>
      <c r="G209" s="2" t="str">
        <f>IFERROR(__xludf.DUMMYFUNCTION("""COMPUTED_VALUE"""),"Samrat Hydro Management Pvt. Ltd")</f>
        <v>Samrat Hydro Management Pvt. Ltd</v>
      </c>
      <c r="H209" s="2" t="str">
        <f>IFERROR(__xludf.DUMMYFUNCTION("""COMPUTED_VALUE"""),"Lalitpur-4, Bagdol")</f>
        <v>Lalitpur-4, Bagdol</v>
      </c>
      <c r="I209" s="2" t="str">
        <f>IFERROR(__xludf.DUMMYFUNCTION("""COMPUTED_VALUE"""),"29o 14' 16""")</f>
        <v>29o 14' 16"</v>
      </c>
      <c r="J209" s="2" t="str">
        <f>IFERROR(__xludf.DUMMYFUNCTION("""COMPUTED_VALUE"""),"29o 15' 15""")</f>
        <v>29o 15' 15"</v>
      </c>
      <c r="K209" s="2" t="str">
        <f>IFERROR(__xludf.DUMMYFUNCTION("""COMPUTED_VALUE"""),"82o 22' 43""")</f>
        <v>82o 22' 43"</v>
      </c>
      <c r="L209" s="2" t="str">
        <f>IFERROR(__xludf.DUMMYFUNCTION("""COMPUTED_VALUE"""),"82o 26' 43""")</f>
        <v>82o 26' 43"</v>
      </c>
      <c r="M209" s="2" t="str">
        <f>IFERROR(__xludf.DUMMYFUNCTION("""COMPUTED_VALUE"""),"Ghode Mahadev (Jumla)")</f>
        <v>Ghode Mahadev (Jumla)</v>
      </c>
    </row>
    <row r="210">
      <c r="A210" s="2">
        <f>IFERROR(__xludf.DUMMYFUNCTION("""COMPUTED_VALUE"""),209.0)</f>
        <v>209</v>
      </c>
      <c r="B210" s="2" t="str">
        <f>IFERROR(__xludf.DUMMYFUNCTION("""COMPUTED_VALUE"""),"Karanga Khola Hydroelectric Project")</f>
        <v>Karanga Khola Hydroelectric Project</v>
      </c>
      <c r="C210" s="2">
        <f>IFERROR(__xludf.DUMMYFUNCTION("""COMPUTED_VALUE"""),3.5)</f>
        <v>3.5</v>
      </c>
      <c r="D210" s="2" t="str">
        <f>IFERROR(__xludf.DUMMYFUNCTION("""COMPUTED_VALUE"""),"Karanga Khola")</f>
        <v>Karanga Khola</v>
      </c>
      <c r="E210" s="2">
        <f>IFERROR(__xludf.DUMMYFUNCTION("""COMPUTED_VALUE"""),9344.0)</f>
        <v>9344</v>
      </c>
      <c r="F210" s="3">
        <f>IFERROR(__xludf.DUMMYFUNCTION("""COMPUTED_VALUE"""),66871.0)</f>
        <v>66871</v>
      </c>
      <c r="G210" s="2" t="str">
        <f>IFERROR(__xludf.DUMMYFUNCTION("""COMPUTED_VALUE"""),"Infra Holdings Pvt. Ltd")</f>
        <v>Infra Holdings Pvt. Ltd</v>
      </c>
      <c r="H210" s="2" t="str">
        <f>IFERROR(__xludf.DUMMYFUNCTION("""COMPUTED_VALUE"""),"Minbhawan-31, Kathmanu")</f>
        <v>Minbhawan-31, Kathmanu</v>
      </c>
      <c r="I210" s="2" t="str">
        <f>IFERROR(__xludf.DUMMYFUNCTION("""COMPUTED_VALUE"""),"29o 52' 38""")</f>
        <v>29o 52' 38"</v>
      </c>
      <c r="J210" s="2" t="str">
        <f>IFERROR(__xludf.DUMMYFUNCTION("""COMPUTED_VALUE"""),"29o 53' 21""")</f>
        <v>29o 53' 21"</v>
      </c>
      <c r="K210" s="2" t="str">
        <f>IFERROR(__xludf.DUMMYFUNCTION("""COMPUTED_VALUE"""),"81o 50' 06""")</f>
        <v>81o 50' 06"</v>
      </c>
      <c r="L210" s="2" t="str">
        <f>IFERROR(__xludf.DUMMYFUNCTION("""COMPUTED_VALUE"""),"81o 51' 56""")</f>
        <v>81o 51' 56"</v>
      </c>
      <c r="M210" s="2" t="str">
        <f>IFERROR(__xludf.DUMMYFUNCTION("""COMPUTED_VALUE"""),"Hepka (Humla)")</f>
        <v>Hepka (Humla)</v>
      </c>
    </row>
    <row r="211">
      <c r="A211" s="2">
        <f>IFERROR(__xludf.DUMMYFUNCTION("""COMPUTED_VALUE"""),210.0)</f>
        <v>210</v>
      </c>
      <c r="B211" s="2" t="str">
        <f>IFERROR(__xludf.DUMMYFUNCTION("""COMPUTED_VALUE"""),"Nyadi Top Hydro Electric Project")</f>
        <v>Nyadi Top Hydro Electric Project</v>
      </c>
      <c r="C211" s="2">
        <f>IFERROR(__xludf.DUMMYFUNCTION("""COMPUTED_VALUE"""),4.7)</f>
        <v>4.7</v>
      </c>
      <c r="D211" s="2" t="str">
        <f>IFERROR(__xludf.DUMMYFUNCTION("""COMPUTED_VALUE"""),"Nyadi")</f>
        <v>Nyadi</v>
      </c>
      <c r="E211" s="2">
        <f>IFERROR(__xludf.DUMMYFUNCTION("""COMPUTED_VALUE"""),9370.0)</f>
        <v>9370</v>
      </c>
      <c r="F211" s="3">
        <f>IFERROR(__xludf.DUMMYFUNCTION("""COMPUTED_VALUE"""),66871.0)</f>
        <v>66871</v>
      </c>
      <c r="G211" s="2" t="str">
        <f>IFERROR(__xludf.DUMMYFUNCTION("""COMPUTED_VALUE"""),"Paradise Urja Private Limited")</f>
        <v>Paradise Urja Private Limited</v>
      </c>
      <c r="H211" s="2" t="str">
        <f>IFERROR(__xludf.DUMMYFUNCTION("""COMPUTED_VALUE"""),"Kathmandu - 06, Bouddha")</f>
        <v>Kathmandu - 06, Bouddha</v>
      </c>
      <c r="I211" s="2" t="str">
        <f>IFERROR(__xludf.DUMMYFUNCTION("""COMPUTED_VALUE"""),"28o 26' 12""")</f>
        <v>28o 26' 12"</v>
      </c>
      <c r="J211" s="2" t="str">
        <f>IFERROR(__xludf.DUMMYFUNCTION("""COMPUTED_VALUE"""),"28o 27' 08""")</f>
        <v>28o 27' 08"</v>
      </c>
      <c r="K211" s="2" t="str">
        <f>IFERROR(__xludf.DUMMYFUNCTION("""COMPUTED_VALUE"""),"84o 31' 12""")</f>
        <v>84o 31' 12"</v>
      </c>
      <c r="L211" s="2" t="str">
        <f>IFERROR(__xludf.DUMMYFUNCTION("""COMPUTED_VALUE"""),"84o 32' 47""")</f>
        <v>84o 32' 47"</v>
      </c>
      <c r="M211" s="2" t="str">
        <f>IFERROR(__xludf.DUMMYFUNCTION("""COMPUTED_VALUE"""),"Bahundada,Bhulbhule (Lamjung)")</f>
        <v>Bahundada,Bhulbhule (Lamjung)</v>
      </c>
    </row>
    <row r="212">
      <c r="A212" s="2">
        <f>IFERROR(__xludf.DUMMYFUNCTION("""COMPUTED_VALUE"""),211.0)</f>
        <v>211</v>
      </c>
      <c r="B212" s="2" t="str">
        <f>IFERROR(__xludf.DUMMYFUNCTION("""COMPUTED_VALUE"""),"Jhutra Khola Hydroelectric Proejct")</f>
        <v>Jhutra Khola Hydroelectric Proejct</v>
      </c>
      <c r="C212" s="2">
        <f>IFERROR(__xludf.DUMMYFUNCTION("""COMPUTED_VALUE"""),4.89)</f>
        <v>4.89</v>
      </c>
      <c r="D212" s="2" t="str">
        <f>IFERROR(__xludf.DUMMYFUNCTION("""COMPUTED_VALUE"""),"Jhutra Khola")</f>
        <v>Jhutra Khola</v>
      </c>
      <c r="E212" s="2">
        <f>IFERROR(__xludf.DUMMYFUNCTION("""COMPUTED_VALUE"""),9382.0)</f>
        <v>9382</v>
      </c>
      <c r="F212" s="3">
        <f>IFERROR(__xludf.DUMMYFUNCTION("""COMPUTED_VALUE"""),66871.0)</f>
        <v>66871</v>
      </c>
      <c r="G212" s="2" t="str">
        <f>IFERROR(__xludf.DUMMYFUNCTION("""COMPUTED_VALUE"""),"Urja Suppliers and Construction Pvt. Ltd")</f>
        <v>Urja Suppliers and Construction Pvt. Ltd</v>
      </c>
      <c r="H212" s="2" t="str">
        <f>IFERROR(__xludf.DUMMYFUNCTION("""COMPUTED_VALUE"""),"Jugal-5, Sindhupalchowk")</f>
        <v>Jugal-5, Sindhupalchowk</v>
      </c>
      <c r="I212" s="2" t="str">
        <f>IFERROR(__xludf.DUMMYFUNCTION("""COMPUTED_VALUE"""),"29o 12' 10""")</f>
        <v>29o 12' 10"</v>
      </c>
      <c r="J212" s="2" t="str">
        <f>IFERROR(__xludf.DUMMYFUNCTION("""COMPUTED_VALUE"""),"29o 14' 12""")</f>
        <v>29o 14' 12"</v>
      </c>
      <c r="K212" s="2" t="str">
        <f>IFERROR(__xludf.DUMMYFUNCTION("""COMPUTED_VALUE"""),"82o 25' 32""")</f>
        <v>82o 25' 32"</v>
      </c>
      <c r="L212" s="2" t="str">
        <f>IFERROR(__xludf.DUMMYFUNCTION("""COMPUTED_VALUE"""),"82o 27' 37""")</f>
        <v>82o 27' 37"</v>
      </c>
      <c r="M212" s="2" t="str">
        <f>IFERROR(__xludf.DUMMYFUNCTION("""COMPUTED_VALUE"""),"Dillichaur (Jumla)")</f>
        <v>Dillichaur (Jumla)</v>
      </c>
    </row>
    <row r="213">
      <c r="A213" s="2">
        <f>IFERROR(__xludf.DUMMYFUNCTION("""COMPUTED_VALUE"""),212.0)</f>
        <v>212</v>
      </c>
      <c r="B213" s="2" t="str">
        <f>IFERROR(__xludf.DUMMYFUNCTION("""COMPUTED_VALUE"""),"Sadhu Khola Hydropower Project")</f>
        <v>Sadhu Khola Hydropower Project</v>
      </c>
      <c r="C213" s="2">
        <f>IFERROR(__xludf.DUMMYFUNCTION("""COMPUTED_VALUE"""),8.3)</f>
        <v>8.3</v>
      </c>
      <c r="D213" s="2" t="str">
        <f>IFERROR(__xludf.DUMMYFUNCTION("""COMPUTED_VALUE"""),"Sadhu Khola")</f>
        <v>Sadhu Khola</v>
      </c>
      <c r="E213" s="2">
        <f>IFERROR(__xludf.DUMMYFUNCTION("""COMPUTED_VALUE"""),9384.0)</f>
        <v>9384</v>
      </c>
      <c r="F213" s="3">
        <f>IFERROR(__xludf.DUMMYFUNCTION("""COMPUTED_VALUE"""),66871.0)</f>
        <v>66871</v>
      </c>
      <c r="G213" s="2" t="str">
        <f>IFERROR(__xludf.DUMMYFUNCTION("""COMPUTED_VALUE"""),"Shuvankit Hydropower Private Limited")</f>
        <v>Shuvankit Hydropower Private Limited</v>
      </c>
      <c r="H213" s="2" t="str">
        <f>IFERROR(__xludf.DUMMYFUNCTION("""COMPUTED_VALUE"""),"Pokhara Municipality-7, Mustangchowk")</f>
        <v>Pokhara Municipality-7, Mustangchowk</v>
      </c>
      <c r="I213" s="2" t="str">
        <f>IFERROR(__xludf.DUMMYFUNCTION("""COMPUTED_VALUE"""),"28o 25' 57""")</f>
        <v>28o 25' 57"</v>
      </c>
      <c r="J213" s="2" t="str">
        <f>IFERROR(__xludf.DUMMYFUNCTION("""COMPUTED_VALUE"""),"28o 26' 23""")</f>
        <v>28o 26' 23"</v>
      </c>
      <c r="K213" s="2" t="str">
        <f>IFERROR(__xludf.DUMMYFUNCTION("""COMPUTED_VALUE"""),"83o 58' 37""")</f>
        <v>83o 58' 37"</v>
      </c>
      <c r="L213" s="2" t="str">
        <f>IFERROR(__xludf.DUMMYFUNCTION("""COMPUTED_VALUE"""),"83o 59' 45""")</f>
        <v>83o 59' 45"</v>
      </c>
      <c r="M213" s="2" t="str">
        <f>IFERROR(__xludf.DUMMYFUNCTION("""COMPUTED_VALUE"""),"Machhapuchchhre (Kaski)")</f>
        <v>Machhapuchchhre (Kaski)</v>
      </c>
    </row>
    <row r="214">
      <c r="A214" s="2">
        <f>IFERROR(__xludf.DUMMYFUNCTION("""COMPUTED_VALUE"""),213.0)</f>
        <v>213</v>
      </c>
      <c r="B214" s="2" t="str">
        <f>IFERROR(__xludf.DUMMYFUNCTION("""COMPUTED_VALUE"""),"Lower Darkhu Khola Hydropower Project")</f>
        <v>Lower Darkhu Khola Hydropower Project</v>
      </c>
      <c r="C214" s="2">
        <f>IFERROR(__xludf.DUMMYFUNCTION("""COMPUTED_VALUE"""),4.4)</f>
        <v>4.4</v>
      </c>
      <c r="D214" s="2" t="str">
        <f>IFERROR(__xludf.DUMMYFUNCTION("""COMPUTED_VALUE"""),"Darkhu")</f>
        <v>Darkhu</v>
      </c>
      <c r="E214" s="2">
        <f>IFERROR(__xludf.DUMMYFUNCTION("""COMPUTED_VALUE"""),9386.0)</f>
        <v>9386</v>
      </c>
      <c r="F214" s="3">
        <f>IFERROR(__xludf.DUMMYFUNCTION("""COMPUTED_VALUE"""),66872.0)</f>
        <v>66872</v>
      </c>
      <c r="G214" s="2" t="str">
        <f>IFERROR(__xludf.DUMMYFUNCTION("""COMPUTED_VALUE"""),"Rewant Kumar Rawat")</f>
        <v>Rewant Kumar Rawat</v>
      </c>
      <c r="H214" s="2" t="str">
        <f>IFERROR(__xludf.DUMMYFUNCTION("""COMPUTED_VALUE"""),"Bangad Kupinde - 03, Salyan")</f>
        <v>Bangad Kupinde - 03, Salyan</v>
      </c>
      <c r="I214" s="2" t="str">
        <f>IFERROR(__xludf.DUMMYFUNCTION("""COMPUTED_VALUE"""),"27o 57' 00""")</f>
        <v>27o 57' 00"</v>
      </c>
      <c r="J214" s="2" t="str">
        <f>IFERROR(__xludf.DUMMYFUNCTION("""COMPUTED_VALUE"""),"27o 57' 46""")</f>
        <v>27o 57' 46"</v>
      </c>
      <c r="K214" s="2" t="str">
        <f>IFERROR(__xludf.DUMMYFUNCTION("""COMPUTED_VALUE"""),"85o 18' 18""")</f>
        <v>85o 18' 18"</v>
      </c>
      <c r="L214" s="2" t="str">
        <f>IFERROR(__xludf.DUMMYFUNCTION("""COMPUTED_VALUE"""),"85o 20' 26""")</f>
        <v>85o 20' 26"</v>
      </c>
      <c r="M214" s="2" t="str">
        <f>IFERROR(__xludf.DUMMYFUNCTION("""COMPUTED_VALUE"""),"Ralukadevi,Urleni (Nuwakot)")</f>
        <v>Ralukadevi,Urleni (Nuwakot)</v>
      </c>
    </row>
    <row r="215">
      <c r="A215" s="2">
        <f>IFERROR(__xludf.DUMMYFUNCTION("""COMPUTED_VALUE"""),214.0)</f>
        <v>214</v>
      </c>
      <c r="B215" s="2" t="str">
        <f>IFERROR(__xludf.DUMMYFUNCTION("""COMPUTED_VALUE"""),"Trikali Gad hydropower Project")</f>
        <v>Trikali Gad hydropower Project</v>
      </c>
      <c r="C215" s="2">
        <f>IFERROR(__xludf.DUMMYFUNCTION("""COMPUTED_VALUE"""),9.15)</f>
        <v>9.15</v>
      </c>
      <c r="D215" s="2" t="str">
        <f>IFERROR(__xludf.DUMMYFUNCTION("""COMPUTED_VALUE"""),"Trikali Gad")</f>
        <v>Trikali Gad</v>
      </c>
      <c r="E215" s="2">
        <f>IFERROR(__xludf.DUMMYFUNCTION("""COMPUTED_VALUE"""),9436.0)</f>
        <v>9436</v>
      </c>
      <c r="F215" s="3">
        <f>IFERROR(__xludf.DUMMYFUNCTION("""COMPUTED_VALUE"""),66872.0)</f>
        <v>66872</v>
      </c>
      <c r="G215" s="2" t="str">
        <f>IFERROR(__xludf.DUMMYFUNCTION("""COMPUTED_VALUE"""),"Green Current Energy pvt. Ltd")</f>
        <v>Green Current Energy pvt. Ltd</v>
      </c>
      <c r="H215" s="2" t="str">
        <f>IFERROR(__xludf.DUMMYFUNCTION("""COMPUTED_VALUE"""),"Kathmandu")</f>
        <v>Kathmandu</v>
      </c>
      <c r="I215" s="2" t="str">
        <f>IFERROR(__xludf.DUMMYFUNCTION("""COMPUTED_VALUE"""),"29o 37' 30""")</f>
        <v>29o 37' 30"</v>
      </c>
      <c r="J215" s="2" t="str">
        <f>IFERROR(__xludf.DUMMYFUNCTION("""COMPUTED_VALUE"""),"29o 38' 28""")</f>
        <v>29o 38' 28"</v>
      </c>
      <c r="K215" s="2" t="str">
        <f>IFERROR(__xludf.DUMMYFUNCTION("""COMPUTED_VALUE"""),"80o 33' 07""")</f>
        <v>80o 33' 07"</v>
      </c>
      <c r="L215" s="2" t="str">
        <f>IFERROR(__xludf.DUMMYFUNCTION("""COMPUTED_VALUE"""),"80o 35' 38""")</f>
        <v>80o 35' 38"</v>
      </c>
      <c r="M215" s="2" t="str">
        <f>IFERROR(__xludf.DUMMYFUNCTION("""COMPUTED_VALUE"""),"Bhumeswor (Baitadi)")</f>
        <v>Bhumeswor (Baitadi)</v>
      </c>
    </row>
    <row r="216">
      <c r="A216" s="2">
        <f>IFERROR(__xludf.DUMMYFUNCTION("""COMPUTED_VALUE"""),215.0)</f>
        <v>215</v>
      </c>
      <c r="B216" s="2" t="str">
        <f>IFERROR(__xludf.DUMMYFUNCTION("""COMPUTED_VALUE"""),"Golden Trishuli PRoR Hydropower Project")</f>
        <v>Golden Trishuli PRoR Hydropower Project</v>
      </c>
      <c r="C216" s="2">
        <f>IFERROR(__xludf.DUMMYFUNCTION("""COMPUTED_VALUE"""),80.0)</f>
        <v>80</v>
      </c>
      <c r="D216" s="2" t="str">
        <f>IFERROR(__xludf.DUMMYFUNCTION("""COMPUTED_VALUE"""),"Trishuli")</f>
        <v>Trishuli</v>
      </c>
      <c r="E216" s="2">
        <f>IFERROR(__xludf.DUMMYFUNCTION("""COMPUTED_VALUE"""),9442.0)</f>
        <v>9442</v>
      </c>
      <c r="F216" s="3">
        <f>IFERROR(__xludf.DUMMYFUNCTION("""COMPUTED_VALUE"""),66873.0)</f>
        <v>66873</v>
      </c>
      <c r="G216" s="2" t="str">
        <f>IFERROR(__xludf.DUMMYFUNCTION("""COMPUTED_VALUE"""),"Narayani Urja Private Limited")</f>
        <v>Narayani Urja Private Limited</v>
      </c>
      <c r="H216" s="2" t="str">
        <f>IFERROR(__xludf.DUMMYFUNCTION("""COMPUTED_VALUE"""),"KMC-22, Khichapokhari, Kathmandu")</f>
        <v>KMC-22, Khichapokhari, Kathmandu</v>
      </c>
      <c r="I216" s="2" t="str">
        <f>IFERROR(__xludf.DUMMYFUNCTION("""COMPUTED_VALUE"""),"27o 44' 20""")</f>
        <v>27o 44' 20"</v>
      </c>
      <c r="J216" s="2" t="str">
        <f>IFERROR(__xludf.DUMMYFUNCTION("""COMPUTED_VALUE"""),"27o 48' 48""")</f>
        <v>27o 48' 48"</v>
      </c>
      <c r="K216" s="2" t="str">
        <f>IFERROR(__xludf.DUMMYFUNCTION("""COMPUTED_VALUE"""),"84o 24' 22""")</f>
        <v>84o 24' 22"</v>
      </c>
      <c r="L216" s="2" t="str">
        <f>IFERROR(__xludf.DUMMYFUNCTION("""COMPUTED_VALUE"""),"84o 28' 42""")</f>
        <v>84o 28' 42"</v>
      </c>
      <c r="M216" s="2" t="str">
        <f>IFERROR(__xludf.DUMMYFUNCTION("""COMPUTED_VALUE"""),"Kabilas (Chitawan) Devghat (Tanahu)")</f>
        <v>Kabilas (Chitawan) Devghat (Tanahu)</v>
      </c>
    </row>
    <row r="217">
      <c r="A217" s="2">
        <f>IFERROR(__xludf.DUMMYFUNCTION("""COMPUTED_VALUE"""),216.0)</f>
        <v>216</v>
      </c>
      <c r="B217" s="2" t="str">
        <f>IFERROR(__xludf.DUMMYFUNCTION("""COMPUTED_VALUE"""),"Bajhang Seti 2 Hydropower Proejt")</f>
        <v>Bajhang Seti 2 Hydropower Proejt</v>
      </c>
      <c r="C217" s="2">
        <f>IFERROR(__xludf.DUMMYFUNCTION("""COMPUTED_VALUE"""),28.0)</f>
        <v>28</v>
      </c>
      <c r="D217" s="2" t="str">
        <f>IFERROR(__xludf.DUMMYFUNCTION("""COMPUTED_VALUE"""),"Seti (Far West)")</f>
        <v>Seti (Far West)</v>
      </c>
      <c r="E217" s="2">
        <f>IFERROR(__xludf.DUMMYFUNCTION("""COMPUTED_VALUE"""),9444.0)</f>
        <v>9444</v>
      </c>
      <c r="F217" s="3">
        <f>IFERROR(__xludf.DUMMYFUNCTION("""COMPUTED_VALUE"""),66873.0)</f>
        <v>66873</v>
      </c>
      <c r="G217" s="2" t="str">
        <f>IFERROR(__xludf.DUMMYFUNCTION("""COMPUTED_VALUE"""),"Ngadi Group Power Limited")</f>
        <v>Ngadi Group Power Limited</v>
      </c>
      <c r="H217" s="2" t="str">
        <f>IFERROR(__xludf.DUMMYFUNCTION("""COMPUTED_VALUE"""),"Kathmandu")</f>
        <v>Kathmandu</v>
      </c>
      <c r="I217" s="2" t="str">
        <f>IFERROR(__xludf.DUMMYFUNCTION("""COMPUTED_VALUE"""),"29o 44' 00""")</f>
        <v>29o 44' 00"</v>
      </c>
      <c r="J217" s="2" t="str">
        <f>IFERROR(__xludf.DUMMYFUNCTION("""COMPUTED_VALUE"""),"29o 45' 10""")</f>
        <v>29o 45' 10"</v>
      </c>
      <c r="K217" s="2" t="str">
        <f>IFERROR(__xludf.DUMMYFUNCTION("""COMPUTED_VALUE"""),"81o 17' 39""")</f>
        <v>81o 17' 39"</v>
      </c>
      <c r="L217" s="2" t="str">
        <f>IFERROR(__xludf.DUMMYFUNCTION("""COMPUTED_VALUE"""),"81o 19' 30""")</f>
        <v>81o 19' 30"</v>
      </c>
      <c r="M217" s="2" t="str">
        <f>IFERROR(__xludf.DUMMYFUNCTION("""COMPUTED_VALUE"""),"Dangaji (Bajhang)")</f>
        <v>Dangaji (Bajhang)</v>
      </c>
    </row>
    <row r="218">
      <c r="A218" s="2">
        <f>IFERROR(__xludf.DUMMYFUNCTION("""COMPUTED_VALUE"""),217.0)</f>
        <v>217</v>
      </c>
      <c r="B218" s="2" t="str">
        <f>IFERROR(__xludf.DUMMYFUNCTION("""COMPUTED_VALUE"""),"Sinkos Khola Cascade Hydropower Project")</f>
        <v>Sinkos Khola Cascade Hydropower Project</v>
      </c>
      <c r="C218" s="2">
        <f>IFERROR(__xludf.DUMMYFUNCTION("""COMPUTED_VALUE"""),2.63)</f>
        <v>2.63</v>
      </c>
      <c r="D218" s="2" t="str">
        <f>IFERROR(__xludf.DUMMYFUNCTION("""COMPUTED_VALUE"""),"Sinkos Khola")</f>
        <v>Sinkos Khola</v>
      </c>
      <c r="E218" s="2">
        <f>IFERROR(__xludf.DUMMYFUNCTION("""COMPUTED_VALUE"""),9452.0)</f>
        <v>9452</v>
      </c>
      <c r="F218" s="3">
        <f>IFERROR(__xludf.DUMMYFUNCTION("""COMPUTED_VALUE"""),66873.0)</f>
        <v>66873</v>
      </c>
      <c r="G218" s="2" t="str">
        <f>IFERROR(__xludf.DUMMYFUNCTION("""COMPUTED_VALUE"""),"Kunedhunga Energy Group Private Limited")</f>
        <v>Kunedhunga Energy Group Private Limited</v>
      </c>
      <c r="H218" s="2" t="str">
        <f>IFERROR(__xludf.DUMMYFUNCTION("""COMPUTED_VALUE"""),"Nagarjun - 4, Kathamandu")</f>
        <v>Nagarjun - 4, Kathamandu</v>
      </c>
      <c r="I218" s="2" t="str">
        <f>IFERROR(__xludf.DUMMYFUNCTION("""COMPUTED_VALUE"""),"28o 33' 20""")</f>
        <v>28o 33' 20"</v>
      </c>
      <c r="J218" s="2" t="str">
        <f>IFERROR(__xludf.DUMMYFUNCTION("""COMPUTED_VALUE"""),"28o 33' 35""")</f>
        <v>28o 33' 35"</v>
      </c>
      <c r="K218" s="2" t="str">
        <f>IFERROR(__xludf.DUMMYFUNCTION("""COMPUTED_VALUE"""),"83o 23' 00""")</f>
        <v>83o 23' 00"</v>
      </c>
      <c r="L218" s="2" t="str">
        <f>IFERROR(__xludf.DUMMYFUNCTION("""COMPUTED_VALUE"""),"83o 23' 29""")</f>
        <v>83o 23' 29"</v>
      </c>
      <c r="M218" s="2" t="str">
        <f>IFERROR(__xludf.DUMMYFUNCTION("""COMPUTED_VALUE"""),"Mudi (Myagdi)")</f>
        <v>Mudi (Myagdi)</v>
      </c>
    </row>
    <row r="219">
      <c r="A219" s="2">
        <f>IFERROR(__xludf.DUMMYFUNCTION("""COMPUTED_VALUE"""),218.0)</f>
        <v>218</v>
      </c>
      <c r="B219" s="2" t="str">
        <f>IFERROR(__xludf.DUMMYFUNCTION("""COMPUTED_VALUE"""),"Gasali Cascade Small Hydropower Project")</f>
        <v>Gasali Cascade Small Hydropower Project</v>
      </c>
      <c r="C219" s="2">
        <f>IFERROR(__xludf.DUMMYFUNCTION("""COMPUTED_VALUE"""),2.0)</f>
        <v>2</v>
      </c>
      <c r="D219" s="2" t="str">
        <f>IFERROR(__xludf.DUMMYFUNCTION("""COMPUTED_VALUE"""),"Gasali")</f>
        <v>Gasali</v>
      </c>
      <c r="E219" s="2">
        <f>IFERROR(__xludf.DUMMYFUNCTION("""COMPUTED_VALUE"""),9481.0)</f>
        <v>9481</v>
      </c>
      <c r="F219" s="3">
        <f>IFERROR(__xludf.DUMMYFUNCTION("""COMPUTED_VALUE"""),66873.0)</f>
        <v>66873</v>
      </c>
      <c r="G219" s="2" t="str">
        <f>IFERROR(__xludf.DUMMYFUNCTION("""COMPUTED_VALUE"""),"Himsila Power Company Limited")</f>
        <v>Himsila Power Company Limited</v>
      </c>
      <c r="H219" s="2" t="str">
        <f>IFERROR(__xludf.DUMMYFUNCTION("""COMPUTED_VALUE"""),"Babarmahal - 11, Kathmandu")</f>
        <v>Babarmahal - 11, Kathmandu</v>
      </c>
      <c r="I219" s="2" t="str">
        <f>IFERROR(__xludf.DUMMYFUNCTION("""COMPUTED_VALUE"""),"28o 04' 28""")</f>
        <v>28o 04' 28"</v>
      </c>
      <c r="J219" s="2" t="str">
        <f>IFERROR(__xludf.DUMMYFUNCTION("""COMPUTED_VALUE"""),"28o 05' 30""")</f>
        <v>28o 05' 30"</v>
      </c>
      <c r="K219" s="2" t="str">
        <f>IFERROR(__xludf.DUMMYFUNCTION("""COMPUTED_VALUE"""),"85o 00' 36""")</f>
        <v>85o 00' 36"</v>
      </c>
      <c r="L219" s="2" t="str">
        <f>IFERROR(__xludf.DUMMYFUNCTION("""COMPUTED_VALUE"""),"85o 00' 53""")</f>
        <v>85o 00' 53"</v>
      </c>
      <c r="M219" s="2" t="str">
        <f>IFERROR(__xludf.DUMMYFUNCTION("""COMPUTED_VALUE"""),"Darkha,Jharlang,Ree (Dhading)")</f>
        <v>Darkha,Jharlang,Ree (Dhading)</v>
      </c>
    </row>
    <row r="220">
      <c r="A220" s="2">
        <f>IFERROR(__xludf.DUMMYFUNCTION("""COMPUTED_VALUE"""),219.0)</f>
        <v>219</v>
      </c>
      <c r="B220" s="2" t="str">
        <f>IFERROR(__xludf.DUMMYFUNCTION("""COMPUTED_VALUE"""),"Lamapokhari Small Hydropower Project")</f>
        <v>Lamapokhari Small Hydropower Project</v>
      </c>
      <c r="C220" s="2">
        <f>IFERROR(__xludf.DUMMYFUNCTION("""COMPUTED_VALUE"""),2.0)</f>
        <v>2</v>
      </c>
      <c r="D220" s="2" t="str">
        <f>IFERROR(__xludf.DUMMYFUNCTION("""COMPUTED_VALUE"""),"Lamapokhari, Bukyokharka")</f>
        <v>Lamapokhari, Bukyokharka</v>
      </c>
      <c r="E220" s="2">
        <f>IFERROR(__xludf.DUMMYFUNCTION("""COMPUTED_VALUE"""),9494.0)</f>
        <v>9494</v>
      </c>
      <c r="F220" s="3">
        <f>IFERROR(__xludf.DUMMYFUNCTION("""COMPUTED_VALUE"""),66873.0)</f>
        <v>66873</v>
      </c>
      <c r="G220" s="2" t="str">
        <f>IFERROR(__xludf.DUMMYFUNCTION("""COMPUTED_VALUE"""),"Phurwa Sherpa")</f>
        <v>Phurwa Sherpa</v>
      </c>
      <c r="H220" s="2" t="str">
        <f>IFERROR(__xludf.DUMMYFUNCTION("""COMPUTED_VALUE"""),"Jugal Rural Municipality, Sindhupalchowk")</f>
        <v>Jugal Rural Municipality, Sindhupalchowk</v>
      </c>
      <c r="I220" s="2" t="str">
        <f>IFERROR(__xludf.DUMMYFUNCTION("""COMPUTED_VALUE"""),"27o 59' 30""")</f>
        <v>27o 59' 30"</v>
      </c>
      <c r="J220" s="2" t="str">
        <f>IFERROR(__xludf.DUMMYFUNCTION("""COMPUTED_VALUE"""),"28o 00' 45""")</f>
        <v>28o 00' 45"</v>
      </c>
      <c r="K220" s="2" t="str">
        <f>IFERROR(__xludf.DUMMYFUNCTION("""COMPUTED_VALUE"""),"85o 50' 30""")</f>
        <v>85o 50' 30"</v>
      </c>
      <c r="L220" s="2" t="str">
        <f>IFERROR(__xludf.DUMMYFUNCTION("""COMPUTED_VALUE"""),"85o 51' 30""")</f>
        <v>85o 51' 30"</v>
      </c>
      <c r="M220" s="2" t="str">
        <f>IFERROR(__xludf.DUMMYFUNCTION("""COMPUTED_VALUE"""),"Gumba (Sindhupalchok)")</f>
        <v>Gumba (Sindhupalchok)</v>
      </c>
    </row>
    <row r="221">
      <c r="A221" s="2">
        <f>IFERROR(__xludf.DUMMYFUNCTION("""COMPUTED_VALUE"""),220.0)</f>
        <v>220</v>
      </c>
      <c r="B221" s="2" t="str">
        <f>IFERROR(__xludf.DUMMYFUNCTION("""COMPUTED_VALUE"""),"Mai Third Hydropower Project")</f>
        <v>Mai Third Hydropower Project</v>
      </c>
      <c r="C221" s="2">
        <f>IFERROR(__xludf.DUMMYFUNCTION("""COMPUTED_VALUE"""),4.82)</f>
        <v>4.82</v>
      </c>
      <c r="D221" s="2" t="str">
        <f>IFERROR(__xludf.DUMMYFUNCTION("""COMPUTED_VALUE"""),"Mai Khola")</f>
        <v>Mai Khola</v>
      </c>
      <c r="E221" s="2">
        <f>IFERROR(__xludf.DUMMYFUNCTION("""COMPUTED_VALUE"""),9509.0)</f>
        <v>9509</v>
      </c>
      <c r="F221" s="3">
        <f>IFERROR(__xludf.DUMMYFUNCTION("""COMPUTED_VALUE"""),66876.0)</f>
        <v>66876</v>
      </c>
      <c r="G221" s="2" t="str">
        <f>IFERROR(__xludf.DUMMYFUNCTION("""COMPUTED_VALUE"""),"N.P.Hydropower Private Limited")</f>
        <v>N.P.Hydropower Private Limited</v>
      </c>
      <c r="H221" s="2" t="str">
        <f>IFERROR(__xludf.DUMMYFUNCTION("""COMPUTED_VALUE"""),"Sundarharaicha - 4, Morang")</f>
        <v>Sundarharaicha - 4, Morang</v>
      </c>
      <c r="I221" s="2" t="str">
        <f>IFERROR(__xludf.DUMMYFUNCTION("""COMPUTED_VALUE"""),"26o 50' 01""")</f>
        <v>26o 50' 01"</v>
      </c>
      <c r="J221" s="2" t="str">
        <f>IFERROR(__xludf.DUMMYFUNCTION("""COMPUTED_VALUE"""),"26o 50' 49""")</f>
        <v>26o 50' 49"</v>
      </c>
      <c r="K221" s="2" t="str">
        <f>IFERROR(__xludf.DUMMYFUNCTION("""COMPUTED_VALUE"""),"87o 53' 55""")</f>
        <v>87o 53' 55"</v>
      </c>
      <c r="L221" s="2" t="str">
        <f>IFERROR(__xludf.DUMMYFUNCTION("""COMPUTED_VALUE"""),"87o 54' 50""")</f>
        <v>87o 54' 50"</v>
      </c>
      <c r="M221" s="2" t="str">
        <f>IFERROR(__xludf.DUMMYFUNCTION("""COMPUTED_VALUE"""),"Soyak,Chisapani (Ilam)")</f>
        <v>Soyak,Chisapani (Ilam)</v>
      </c>
    </row>
    <row r="222">
      <c r="A222" s="2">
        <f>IFERROR(__xludf.DUMMYFUNCTION("""COMPUTED_VALUE"""),221.0)</f>
        <v>221</v>
      </c>
      <c r="B222" s="2" t="str">
        <f>IFERROR(__xludf.DUMMYFUNCTION("""COMPUTED_VALUE"""),"Triveni Hydropower Pvt. Ltd")</f>
        <v>Triveni Hydropower Pvt. Ltd</v>
      </c>
      <c r="C222" s="2">
        <f>IFERROR(__xludf.DUMMYFUNCTION("""COMPUTED_VALUE"""),4.9)</f>
        <v>4.9</v>
      </c>
      <c r="D222" s="2" t="str">
        <f>IFERROR(__xludf.DUMMYFUNCTION("""COMPUTED_VALUE"""),"Thake Khola")</f>
        <v>Thake Khola</v>
      </c>
      <c r="E222" s="2">
        <f>IFERROR(__xludf.DUMMYFUNCTION("""COMPUTED_VALUE"""),9565.0)</f>
        <v>9565</v>
      </c>
      <c r="F222" s="3">
        <f>IFERROR(__xludf.DUMMYFUNCTION("""COMPUTED_VALUE"""),66877.0)</f>
        <v>66877</v>
      </c>
      <c r="G222" s="2" t="str">
        <f>IFERROR(__xludf.DUMMYFUNCTION("""COMPUTED_VALUE"""),"Triveni Hydropower Private Limited")</f>
        <v>Triveni Hydropower Private Limited</v>
      </c>
      <c r="H222" s="2" t="str">
        <f>IFERROR(__xludf.DUMMYFUNCTION("""COMPUTED_VALUE"""),"Kathmandu-14")</f>
        <v>Kathmandu-14</v>
      </c>
      <c r="I222" s="2" t="str">
        <f>IFERROR(__xludf.DUMMYFUNCTION("""COMPUTED_VALUE"""),"29o 53' 00""")</f>
        <v>29o 53' 00"</v>
      </c>
      <c r="J222" s="2" t="str">
        <f>IFERROR(__xludf.DUMMYFUNCTION("""COMPUTED_VALUE"""),"29o 55' 50""")</f>
        <v>29o 55' 50"</v>
      </c>
      <c r="K222" s="2" t="str">
        <f>IFERROR(__xludf.DUMMYFUNCTION("""COMPUTED_VALUE"""),"82o 18' 30""")</f>
        <v>82o 18' 30"</v>
      </c>
      <c r="L222" s="2" t="str">
        <f>IFERROR(__xludf.DUMMYFUNCTION("""COMPUTED_VALUE"""),"82o 23' 15""")</f>
        <v>82o 23' 15"</v>
      </c>
      <c r="M222" s="2" t="str">
        <f>IFERROR(__xludf.DUMMYFUNCTION("""COMPUTED_VALUE"""),"Gothi (Humla)")</f>
        <v>Gothi (Humla)</v>
      </c>
    </row>
    <row r="223">
      <c r="A223" s="2">
        <f>IFERROR(__xludf.DUMMYFUNCTION("""COMPUTED_VALUE"""),222.0)</f>
        <v>222</v>
      </c>
      <c r="B223" s="2" t="str">
        <f>IFERROR(__xludf.DUMMYFUNCTION("""COMPUTED_VALUE"""),"Hinan Khola Hydropower Project")</f>
        <v>Hinan Khola Hydropower Project</v>
      </c>
      <c r="C223" s="2">
        <f>IFERROR(__xludf.DUMMYFUNCTION("""COMPUTED_VALUE"""),9.88)</f>
        <v>9.88</v>
      </c>
      <c r="D223" s="2" t="str">
        <f>IFERROR(__xludf.DUMMYFUNCTION("""COMPUTED_VALUE"""),"Hinan")</f>
        <v>Hinan</v>
      </c>
      <c r="E223" s="2">
        <f>IFERROR(__xludf.DUMMYFUNCTION("""COMPUTED_VALUE"""),9885.0)</f>
        <v>9885</v>
      </c>
      <c r="F223" s="3">
        <f>IFERROR(__xludf.DUMMYFUNCTION("""COMPUTED_VALUE"""),66877.0)</f>
        <v>66877</v>
      </c>
      <c r="G223" s="2" t="str">
        <f>IFERROR(__xludf.DUMMYFUNCTION("""COMPUTED_VALUE"""),"Durga Prapti Energy Private Limited")</f>
        <v>Durga Prapti Energy Private Limited</v>
      </c>
      <c r="H223" s="2" t="str">
        <f>IFERROR(__xludf.DUMMYFUNCTION("""COMPUTED_VALUE"""),"Tarkeshwor-9, Manamaiju, Kathmandu")</f>
        <v>Tarkeshwor-9, Manamaiju, Kathmandu</v>
      </c>
      <c r="I223" s="2" t="str">
        <f>IFERROR(__xludf.DUMMYFUNCTION("""COMPUTED_VALUE"""),"28o 32' 48""")</f>
        <v>28o 32' 48"</v>
      </c>
      <c r="J223" s="2" t="str">
        <f>IFERROR(__xludf.DUMMYFUNCTION("""COMPUTED_VALUE"""),"28o 34' 10""")</f>
        <v>28o 34' 10"</v>
      </c>
      <c r="K223" s="2" t="str">
        <f>IFERROR(__xludf.DUMMYFUNCTION("""COMPUTED_VALUE"""),"84o 42' 40""")</f>
        <v>84o 42' 40"</v>
      </c>
      <c r="L223" s="2" t="str">
        <f>IFERROR(__xludf.DUMMYFUNCTION("""COMPUTED_VALUE"""),"84o 45' 04""")</f>
        <v>84o 45' 04"</v>
      </c>
      <c r="M223" s="2" t="str">
        <f>IFERROR(__xludf.DUMMYFUNCTION("""COMPUTED_VALUE"""),"Samagaun (Gorkha)")</f>
        <v>Samagaun (Gorkha)</v>
      </c>
    </row>
    <row r="224">
      <c r="A224" s="2">
        <f>IFERROR(__xludf.DUMMYFUNCTION("""COMPUTED_VALUE"""),223.0)</f>
        <v>223</v>
      </c>
      <c r="B224" s="2" t="str">
        <f>IFERROR(__xludf.DUMMYFUNCTION("""COMPUTED_VALUE"""),"Domilda Khola Hydropower Project")</f>
        <v>Domilda Khola Hydropower Project</v>
      </c>
      <c r="C224" s="2">
        <f>IFERROR(__xludf.DUMMYFUNCTION("""COMPUTED_VALUE"""),4.5)</f>
        <v>4.5</v>
      </c>
      <c r="D224" s="2" t="str">
        <f>IFERROR(__xludf.DUMMYFUNCTION("""COMPUTED_VALUE"""),"Domilla Khola")</f>
        <v>Domilla Khola</v>
      </c>
      <c r="E224" s="2">
        <f>IFERROR(__xludf.DUMMYFUNCTION("""COMPUTED_VALUE"""),9729.0)</f>
        <v>9729</v>
      </c>
      <c r="F224" s="3">
        <f>IFERROR(__xludf.DUMMYFUNCTION("""COMPUTED_VALUE"""),66880.0)</f>
        <v>66880</v>
      </c>
      <c r="G224" s="2" t="str">
        <f>IFERROR(__xludf.DUMMYFUNCTION("""COMPUTED_VALUE"""),"Sound Engineering Consultencey Pvt. Ltd")</f>
        <v>Sound Engineering Consultencey Pvt. Ltd</v>
      </c>
      <c r="H224" s="2" t="str">
        <f>IFERROR(__xludf.DUMMYFUNCTION("""COMPUTED_VALUE"""),"Kohalpur")</f>
        <v>Kohalpur</v>
      </c>
      <c r="I224" s="2" t="str">
        <f>IFERROR(__xludf.DUMMYFUNCTION("""COMPUTED_VALUE"""),"28o 54' 47""")</f>
        <v>28o 54' 47"</v>
      </c>
      <c r="J224" s="2" t="str">
        <f>IFERROR(__xludf.DUMMYFUNCTION("""COMPUTED_VALUE"""),"28o 55' 44""")</f>
        <v>28o 55' 44"</v>
      </c>
      <c r="K224" s="2" t="str">
        <f>IFERROR(__xludf.DUMMYFUNCTION("""COMPUTED_VALUE"""),"82o 08' 00""")</f>
        <v>82o 08' 00"</v>
      </c>
      <c r="L224" s="2" t="str">
        <f>IFERROR(__xludf.DUMMYFUNCTION("""COMPUTED_VALUE"""),"82o 09' 06""")</f>
        <v>82o 09' 06"</v>
      </c>
      <c r="M224" s="2" t="str">
        <f>IFERROR(__xludf.DUMMYFUNCTION("""COMPUTED_VALUE"""),"Garkhakot (Jajarkot)")</f>
        <v>Garkhakot (Jajarkot)</v>
      </c>
    </row>
    <row r="225">
      <c r="A225" s="2">
        <f>IFERROR(__xludf.DUMMYFUNCTION("""COMPUTED_VALUE"""),224.0)</f>
        <v>224</v>
      </c>
      <c r="B225" s="2" t="str">
        <f>IFERROR(__xludf.DUMMYFUNCTION("""COMPUTED_VALUE"""),"Dunai Bheri Hydropower Project")</f>
        <v>Dunai Bheri Hydropower Project</v>
      </c>
      <c r="C225" s="2">
        <f>IFERROR(__xludf.DUMMYFUNCTION("""COMPUTED_VALUE"""),24.94)</f>
        <v>24.94</v>
      </c>
      <c r="D225" s="2" t="str">
        <f>IFERROR(__xludf.DUMMYFUNCTION("""COMPUTED_VALUE"""),"Thuli Bheri Nadi")</f>
        <v>Thuli Bheri Nadi</v>
      </c>
      <c r="E225" s="2">
        <f>IFERROR(__xludf.DUMMYFUNCTION("""COMPUTED_VALUE"""),9806.0)</f>
        <v>9806</v>
      </c>
      <c r="F225" s="3">
        <f>IFERROR(__xludf.DUMMYFUNCTION("""COMPUTED_VALUE"""),66883.0)</f>
        <v>66883</v>
      </c>
      <c r="G225" s="2" t="str">
        <f>IFERROR(__xludf.DUMMYFUNCTION("""COMPUTED_VALUE"""),"Innova power pvt. Ltd")</f>
        <v>Innova power pvt. Ltd</v>
      </c>
      <c r="H225" s="2" t="str">
        <f>IFERROR(__xludf.DUMMYFUNCTION("""COMPUTED_VALUE"""),"Madhyapur Thimi-04, Bhaktapur")</f>
        <v>Madhyapur Thimi-04, Bhaktapur</v>
      </c>
      <c r="I225" s="2" t="str">
        <f>IFERROR(__xludf.DUMMYFUNCTION("""COMPUTED_VALUE"""),"28o 57' 15""")</f>
        <v>28o 57' 15"</v>
      </c>
      <c r="J225" s="2" t="str">
        <f>IFERROR(__xludf.DUMMYFUNCTION("""COMPUTED_VALUE"""),"29o 02' 00""")</f>
        <v>29o 02' 00"</v>
      </c>
      <c r="K225" s="2" t="str">
        <f>IFERROR(__xludf.DUMMYFUNCTION("""COMPUTED_VALUE"""),"82o 47' 45""")</f>
        <v>82o 47' 45"</v>
      </c>
      <c r="L225" s="2" t="str">
        <f>IFERROR(__xludf.DUMMYFUNCTION("""COMPUTED_VALUE"""),"82o 53' 30""")</f>
        <v>82o 53' 30"</v>
      </c>
      <c r="M225" s="2" t="str">
        <f>IFERROR(__xludf.DUMMYFUNCTION("""COMPUTED_VALUE"""),"Dunai (Dolpa)")</f>
        <v>Dunai (Dolpa)</v>
      </c>
    </row>
    <row r="226">
      <c r="A226" s="2">
        <f>IFERROR(__xludf.DUMMYFUNCTION("""COMPUTED_VALUE"""),225.0)</f>
        <v>225</v>
      </c>
      <c r="B226" s="2" t="str">
        <f>IFERROR(__xludf.DUMMYFUNCTION("""COMPUTED_VALUE"""),"Koluwa Khola Hydropower Project")</f>
        <v>Koluwa Khola Hydropower Project</v>
      </c>
      <c r="C226" s="2">
        <f>IFERROR(__xludf.DUMMYFUNCTION("""COMPUTED_VALUE"""),4.63)</f>
        <v>4.63</v>
      </c>
      <c r="D226" s="2" t="str">
        <f>IFERROR(__xludf.DUMMYFUNCTION("""COMPUTED_VALUE"""),"Koluwa Khola")</f>
        <v>Koluwa Khola</v>
      </c>
      <c r="E226" s="2">
        <f>IFERROR(__xludf.DUMMYFUNCTION("""COMPUTED_VALUE"""),9823.0)</f>
        <v>9823</v>
      </c>
      <c r="F226" s="3">
        <f>IFERROR(__xludf.DUMMYFUNCTION("""COMPUTED_VALUE"""),66883.0)</f>
        <v>66883</v>
      </c>
      <c r="G226" s="2" t="str">
        <f>IFERROR(__xludf.DUMMYFUNCTION("""COMPUTED_VALUE"""),"S.I. Energy Private Limited")</f>
        <v>S.I. Energy Private Limited</v>
      </c>
      <c r="H226" s="2" t="str">
        <f>IFERROR(__xludf.DUMMYFUNCTION("""COMPUTED_VALUE"""),"Butwal - 8, Sukkhanagar")</f>
        <v>Butwal - 8, Sukkhanagar</v>
      </c>
      <c r="I226" s="2" t="str">
        <f>IFERROR(__xludf.DUMMYFUNCTION("""COMPUTED_VALUE"""),"27o 32' 35""")</f>
        <v>27o 32' 35"</v>
      </c>
      <c r="J226" s="2" t="str">
        <f>IFERROR(__xludf.DUMMYFUNCTION("""COMPUTED_VALUE"""),"27o 33' 44""")</f>
        <v>27o 33' 44"</v>
      </c>
      <c r="K226" s="2" t="str">
        <f>IFERROR(__xludf.DUMMYFUNCTION("""COMPUTED_VALUE"""),"87o 03' 59""")</f>
        <v>87o 03' 59"</v>
      </c>
      <c r="L226" s="2" t="str">
        <f>IFERROR(__xludf.DUMMYFUNCTION("""COMPUTED_VALUE"""),"87o 04' 34""")</f>
        <v>87o 04' 34"</v>
      </c>
      <c r="M226" s="2" t="str">
        <f>IFERROR(__xludf.DUMMYFUNCTION("""COMPUTED_VALUE"""),"Tamku (Sankhuwasabha)")</f>
        <v>Tamku (Sankhuwasabha)</v>
      </c>
    </row>
    <row r="227">
      <c r="A227" s="2">
        <f>IFERROR(__xludf.DUMMYFUNCTION("""COMPUTED_VALUE"""),226.0)</f>
        <v>226</v>
      </c>
      <c r="B227" s="2" t="str">
        <f>IFERROR(__xludf.DUMMYFUNCTION("""COMPUTED_VALUE"""),"Arun A Hydropower Project")</f>
        <v>Arun A Hydropower Project</v>
      </c>
      <c r="C227" s="2">
        <f>IFERROR(__xludf.DUMMYFUNCTION("""COMPUTED_VALUE"""),96.4)</f>
        <v>96.4</v>
      </c>
      <c r="D227" s="2" t="str">
        <f>IFERROR(__xludf.DUMMYFUNCTION("""COMPUTED_VALUE"""),"Arun")</f>
        <v>Arun</v>
      </c>
      <c r="E227" s="2">
        <f>IFERROR(__xludf.DUMMYFUNCTION("""COMPUTED_VALUE"""),9832.0)</f>
        <v>9832</v>
      </c>
      <c r="F227" s="3">
        <f>IFERROR(__xludf.DUMMYFUNCTION("""COMPUTED_VALUE"""),66883.0)</f>
        <v>66883</v>
      </c>
      <c r="G227" s="2" t="str">
        <f>IFERROR(__xludf.DUMMYFUNCTION("""COMPUTED_VALUE"""),"Triveni Hydropower Private Limited")</f>
        <v>Triveni Hydropower Private Limited</v>
      </c>
      <c r="H227" s="2" t="str">
        <f>IFERROR(__xludf.DUMMYFUNCTION("""COMPUTED_VALUE"""),"Kathmandu, Nepal")</f>
        <v>Kathmandu, Nepal</v>
      </c>
      <c r="I227" s="2" t="str">
        <f>IFERROR(__xludf.DUMMYFUNCTION("""COMPUTED_VALUE"""),"27o 11' 52""")</f>
        <v>27o 11' 52"</v>
      </c>
      <c r="J227" s="2" t="str">
        <f>IFERROR(__xludf.DUMMYFUNCTION("""COMPUTED_VALUE"""),"27o 20' 32""")</f>
        <v>27o 20' 32"</v>
      </c>
      <c r="K227" s="2" t="str">
        <f>IFERROR(__xludf.DUMMYFUNCTION("""COMPUTED_VALUE"""),"87o 10' 33""")</f>
        <v>87o 10' 33"</v>
      </c>
      <c r="L227" s="2" t="str">
        <f>IFERROR(__xludf.DUMMYFUNCTION("""COMPUTED_VALUE"""),"87o 15' 22""")</f>
        <v>87o 15' 22"</v>
      </c>
      <c r="M227" s="2" t="str">
        <f>IFERROR(__xludf.DUMMYFUNCTION("""COMPUTED_VALUE"""),"Deurali,Keurepani (Bhojpur) Bana,Chainpur,Kharang (Sankhuwasabha)")</f>
        <v>Deurali,Keurepani (Bhojpur) Bana,Chainpur,Kharang (Sankhuwasabha)</v>
      </c>
    </row>
    <row r="228">
      <c r="A228" s="2">
        <f>IFERROR(__xludf.DUMMYFUNCTION("""COMPUTED_VALUE"""),227.0)</f>
        <v>227</v>
      </c>
      <c r="B228" s="2" t="str">
        <f>IFERROR(__xludf.DUMMYFUNCTION("""COMPUTED_VALUE"""),"Ghami Khola Hydropower Project")</f>
        <v>Ghami Khola Hydropower Project</v>
      </c>
      <c r="C228" s="2">
        <f>IFERROR(__xludf.DUMMYFUNCTION("""COMPUTED_VALUE"""),4.94)</f>
        <v>4.94</v>
      </c>
      <c r="D228" s="2" t="str">
        <f>IFERROR(__xludf.DUMMYFUNCTION("""COMPUTED_VALUE"""),"Ghami")</f>
        <v>Ghami</v>
      </c>
      <c r="E228" s="2">
        <f>IFERROR(__xludf.DUMMYFUNCTION("""COMPUTED_VALUE"""),9876.0)</f>
        <v>9876</v>
      </c>
      <c r="F228" s="3">
        <f>IFERROR(__xludf.DUMMYFUNCTION("""COMPUTED_VALUE"""),66884.0)</f>
        <v>66884</v>
      </c>
      <c r="G228" s="2" t="str">
        <f>IFERROR(__xludf.DUMMYFUNCTION("""COMPUTED_VALUE"""),"Shubhajal Power Company Private Limited")</f>
        <v>Shubhajal Power Company Private Limited</v>
      </c>
      <c r="H228" s="2" t="str">
        <f>IFERROR(__xludf.DUMMYFUNCTION("""COMPUTED_VALUE"""),"Kathmandu")</f>
        <v>Kathmandu</v>
      </c>
      <c r="I228" s="2" t="str">
        <f>IFERROR(__xludf.DUMMYFUNCTION("""COMPUTED_VALUE"""),"29o 03' 00""")</f>
        <v>29o 03' 00"</v>
      </c>
      <c r="J228" s="2" t="str">
        <f>IFERROR(__xludf.DUMMYFUNCTION("""COMPUTED_VALUE"""),"29o 04' 30""")</f>
        <v>29o 04' 30"</v>
      </c>
      <c r="K228" s="2" t="str">
        <f>IFERROR(__xludf.DUMMYFUNCTION("""COMPUTED_VALUE"""),"83o 50' 54""")</f>
        <v>83o 50' 54"</v>
      </c>
      <c r="L228" s="2" t="str">
        <f>IFERROR(__xludf.DUMMYFUNCTION("""COMPUTED_VALUE"""),"83o 53' 14""")</f>
        <v>83o 53' 14"</v>
      </c>
      <c r="M228" s="2" t="str">
        <f>IFERROR(__xludf.DUMMYFUNCTION("""COMPUTED_VALUE"""),"Dhami (Mustang)")</f>
        <v>Dhami (Mustang)</v>
      </c>
    </row>
    <row r="229">
      <c r="A229" s="2">
        <f>IFERROR(__xludf.DUMMYFUNCTION("""COMPUTED_VALUE"""),228.0)</f>
        <v>228</v>
      </c>
      <c r="B229" s="2" t="str">
        <f>IFERROR(__xludf.DUMMYFUNCTION("""COMPUTED_VALUE"""),"Super Bagar Khola Hydropower Project")</f>
        <v>Super Bagar Khola Hydropower Project</v>
      </c>
      <c r="C229" s="2">
        <f>IFERROR(__xludf.DUMMYFUNCTION("""COMPUTED_VALUE"""),4.01)</f>
        <v>4.01</v>
      </c>
      <c r="D229" s="2" t="str">
        <f>IFERROR(__xludf.DUMMYFUNCTION("""COMPUTED_VALUE"""),"Bagar Khola")</f>
        <v>Bagar Khola</v>
      </c>
      <c r="E229" s="2">
        <f>IFERROR(__xludf.DUMMYFUNCTION("""COMPUTED_VALUE"""),9880.0)</f>
        <v>9880</v>
      </c>
      <c r="F229" s="3">
        <f>IFERROR(__xludf.DUMMYFUNCTION("""COMPUTED_VALUE"""),66884.0)</f>
        <v>66884</v>
      </c>
      <c r="G229" s="2" t="str">
        <f>IFERROR(__xludf.DUMMYFUNCTION("""COMPUTED_VALUE"""),"Himalaya Jal Urja Private Limited")</f>
        <v>Himalaya Jal Urja Private Limited</v>
      </c>
      <c r="H229" s="2" t="str">
        <f>IFERROR(__xludf.DUMMYFUNCTION("""COMPUTED_VALUE"""),"KMC-16, Banasthali, Kathmandu")</f>
        <v>KMC-16, Banasthali, Kathmandu</v>
      </c>
      <c r="I229" s="2" t="str">
        <f>IFERROR(__xludf.DUMMYFUNCTION("""COMPUTED_VALUE"""),"28o 30' 55""")</f>
        <v>28o 30' 55"</v>
      </c>
      <c r="J229" s="2" t="str">
        <f>IFERROR(__xludf.DUMMYFUNCTION("""COMPUTED_VALUE"""),"28o 32' 35""")</f>
        <v>28o 32' 35"</v>
      </c>
      <c r="K229" s="2" t="str">
        <f>IFERROR(__xludf.DUMMYFUNCTION("""COMPUTED_VALUE"""),"83o 32' 25""")</f>
        <v>83o 32' 25"</v>
      </c>
      <c r="L229" s="2" t="str">
        <f>IFERROR(__xludf.DUMMYFUNCTION("""COMPUTED_VALUE"""),"83o 33' 38""")</f>
        <v>83o 33' 38"</v>
      </c>
      <c r="M229" s="2" t="str">
        <f>IFERROR(__xludf.DUMMYFUNCTION("""COMPUTED_VALUE"""),"Chimkhola,Kuinemangale (Myagdi)")</f>
        <v>Chimkhola,Kuinemangale (Myagdi)</v>
      </c>
    </row>
    <row r="230">
      <c r="A230" s="2">
        <f>IFERROR(__xludf.DUMMYFUNCTION("""COMPUTED_VALUE"""),229.0)</f>
        <v>229</v>
      </c>
      <c r="B230" s="2" t="str">
        <f>IFERROR(__xludf.DUMMYFUNCTION("""COMPUTED_VALUE"""),"Upper Malagad Khola Hydropower Project")</f>
        <v>Upper Malagad Khola Hydropower Project</v>
      </c>
      <c r="C230" s="2">
        <f>IFERROR(__xludf.DUMMYFUNCTION("""COMPUTED_VALUE"""),4.9)</f>
        <v>4.9</v>
      </c>
      <c r="D230" s="2" t="str">
        <f>IFERROR(__xludf.DUMMYFUNCTION("""COMPUTED_VALUE"""),"Malagad")</f>
        <v>Malagad</v>
      </c>
      <c r="E230" s="2">
        <f>IFERROR(__xludf.DUMMYFUNCTION("""COMPUTED_VALUE"""),9894.0)</f>
        <v>9894</v>
      </c>
      <c r="F230" s="3">
        <f>IFERROR(__xludf.DUMMYFUNCTION("""COMPUTED_VALUE"""),66884.0)</f>
        <v>66884</v>
      </c>
      <c r="G230" s="2" t="str">
        <f>IFERROR(__xludf.DUMMYFUNCTION("""COMPUTED_VALUE"""),"RB Power Company pvt. Ltd")</f>
        <v>RB Power Company pvt. Ltd</v>
      </c>
      <c r="H230" s="2" t="str">
        <f>IFERROR(__xludf.DUMMYFUNCTION("""COMPUTED_VALUE"""),"Lalitpur-4, Bagdol")</f>
        <v>Lalitpur-4, Bagdol</v>
      </c>
      <c r="I230" s="2" t="str">
        <f>IFERROR(__xludf.DUMMYFUNCTION("""COMPUTED_VALUE"""),"29o 18' 25""")</f>
        <v>29o 18' 25"</v>
      </c>
      <c r="J230" s="2" t="str">
        <f>IFERROR(__xludf.DUMMYFUNCTION("""COMPUTED_VALUE"""),"29o 19' 48""")</f>
        <v>29o 19' 48"</v>
      </c>
      <c r="K230" s="2" t="str">
        <f>IFERROR(__xludf.DUMMYFUNCTION("""COMPUTED_VALUE"""),"81o 25' 28""")</f>
        <v>81o 25' 28"</v>
      </c>
      <c r="L230" s="2" t="str">
        <f>IFERROR(__xludf.DUMMYFUNCTION("""COMPUTED_VALUE"""),"81o 27' 28""")</f>
        <v>81o 27' 28"</v>
      </c>
      <c r="M230" s="2" t="str">
        <f>IFERROR(__xludf.DUMMYFUNCTION("""COMPUTED_VALUE"""),"Bramhatola (Bajura)")</f>
        <v>Bramhatola (Bajura)</v>
      </c>
    </row>
    <row r="231">
      <c r="A231" s="2">
        <f>IFERROR(__xludf.DUMMYFUNCTION("""COMPUTED_VALUE"""),230.0)</f>
        <v>230</v>
      </c>
      <c r="B231" s="2" t="str">
        <f>IFERROR(__xludf.DUMMYFUNCTION("""COMPUTED_VALUE"""),"Lower Sapsup Khola Hydropower Project")</f>
        <v>Lower Sapsup Khola Hydropower Project</v>
      </c>
      <c r="C231" s="2">
        <f>IFERROR(__xludf.DUMMYFUNCTION("""COMPUTED_VALUE"""),8.6)</f>
        <v>8.6</v>
      </c>
      <c r="D231" s="2" t="str">
        <f>IFERROR(__xludf.DUMMYFUNCTION("""COMPUTED_VALUE"""),"Sapsup Khola")</f>
        <v>Sapsup Khola</v>
      </c>
      <c r="E231" s="2">
        <f>IFERROR(__xludf.DUMMYFUNCTION("""COMPUTED_VALUE"""),9921.0)</f>
        <v>9921</v>
      </c>
      <c r="F231" s="3">
        <f>IFERROR(__xludf.DUMMYFUNCTION("""COMPUTED_VALUE"""),66885.0)</f>
        <v>66885</v>
      </c>
      <c r="G231" s="2" t="str">
        <f>IFERROR(__xludf.DUMMYFUNCTION("""COMPUTED_VALUE"""),"S.B. Energy Private Limited")</f>
        <v>S.B. Energy Private Limited</v>
      </c>
      <c r="H231" s="2" t="str">
        <f>IFERROR(__xludf.DUMMYFUNCTION("""COMPUTED_VALUE"""),"Bhaktapur, nepal")</f>
        <v>Bhaktapur, nepal</v>
      </c>
      <c r="I231" s="2" t="str">
        <f>IFERROR(__xludf.DUMMYFUNCTION("""COMPUTED_VALUE"""),"27o 08' 50""")</f>
        <v>27o 08' 50"</v>
      </c>
      <c r="J231" s="2" t="str">
        <f>IFERROR(__xludf.DUMMYFUNCTION("""COMPUTED_VALUE"""),"27o 10' 20""")</f>
        <v>27o 10' 20"</v>
      </c>
      <c r="K231" s="2" t="str">
        <f>IFERROR(__xludf.DUMMYFUNCTION("""COMPUTED_VALUE"""),"86o 45' 00""")</f>
        <v>86o 45' 00"</v>
      </c>
      <c r="L231" s="2" t="str">
        <f>IFERROR(__xludf.DUMMYFUNCTION("""COMPUTED_VALUE"""),"86o 48' 10""")</f>
        <v>86o 48' 10"</v>
      </c>
      <c r="M231" s="2"/>
    </row>
    <row r="232">
      <c r="A232" s="2">
        <f>IFERROR(__xludf.DUMMYFUNCTION("""COMPUTED_VALUE"""),231.0)</f>
        <v>231</v>
      </c>
      <c r="B232" s="2" t="str">
        <f>IFERROR(__xludf.DUMMYFUNCTION("""COMPUTED_VALUE"""),"Madi Nadi PRoR Hydropower Project")</f>
        <v>Madi Nadi PRoR Hydropower Project</v>
      </c>
      <c r="C232" s="2">
        <f>IFERROR(__xludf.DUMMYFUNCTION("""COMPUTED_VALUE"""),24.45)</f>
        <v>24.45</v>
      </c>
      <c r="D232" s="2" t="str">
        <f>IFERROR(__xludf.DUMMYFUNCTION("""COMPUTED_VALUE"""),"Madi Khola")</f>
        <v>Madi Khola</v>
      </c>
      <c r="E232" s="2">
        <f>IFERROR(__xludf.DUMMYFUNCTION("""COMPUTED_VALUE"""),9942.0)</f>
        <v>9942</v>
      </c>
      <c r="F232" s="3">
        <f>IFERROR(__xludf.DUMMYFUNCTION("""COMPUTED_VALUE"""),66885.0)</f>
        <v>66885</v>
      </c>
      <c r="G232" s="2" t="str">
        <f>IFERROR(__xludf.DUMMYFUNCTION("""COMPUTED_VALUE"""),"Hydro Lumbini Private Limited")</f>
        <v>Hydro Lumbini Private Limited</v>
      </c>
      <c r="H232" s="2" t="str">
        <f>IFERROR(__xludf.DUMMYFUNCTION("""COMPUTED_VALUE"""),"KMC - 5, Hadigaun, Kathmandu")</f>
        <v>KMC - 5, Hadigaun, Kathmandu</v>
      </c>
      <c r="I232" s="2" t="str">
        <f>IFERROR(__xludf.DUMMYFUNCTION("""COMPUTED_VALUE"""),"28o 06' 11""")</f>
        <v>28o 06' 11"</v>
      </c>
      <c r="J232" s="2" t="str">
        <f>IFERROR(__xludf.DUMMYFUNCTION("""COMPUTED_VALUE"""),"28o 11' 33""")</f>
        <v>28o 11' 33"</v>
      </c>
      <c r="K232" s="2" t="str">
        <f>IFERROR(__xludf.DUMMYFUNCTION("""COMPUTED_VALUE"""),"82o 40' 47""")</f>
        <v>82o 40' 47"</v>
      </c>
      <c r="L232" s="2" t="str">
        <f>IFERROR(__xludf.DUMMYFUNCTION("""COMPUTED_VALUE"""),"82o 46' 15""")</f>
        <v>82o 46' 15"</v>
      </c>
      <c r="M232" s="2" t="str">
        <f>IFERROR(__xludf.DUMMYFUNCTION("""COMPUTED_VALUE"""),"Bhingri,Sari,Barjiwang,Gothiwang (Pyuthan)")</f>
        <v>Bhingri,Sari,Barjiwang,Gothiwang (Pyuthan)</v>
      </c>
    </row>
    <row r="233">
      <c r="A233" s="2">
        <f>IFERROR(__xludf.DUMMYFUNCTION("""COMPUTED_VALUE"""),232.0)</f>
        <v>232</v>
      </c>
      <c r="B233" s="2" t="str">
        <f>IFERROR(__xludf.DUMMYFUNCTION("""COMPUTED_VALUE"""),"Chandrawati Khola Hydropower Project")</f>
        <v>Chandrawati Khola Hydropower Project</v>
      </c>
      <c r="C233" s="2">
        <f>IFERROR(__xludf.DUMMYFUNCTION("""COMPUTED_VALUE"""),4.0)</f>
        <v>4</v>
      </c>
      <c r="D233" s="2" t="str">
        <f>IFERROR(__xludf.DUMMYFUNCTION("""COMPUTED_VALUE"""),"Chandrawati")</f>
        <v>Chandrawati</v>
      </c>
      <c r="E233" s="2">
        <f>IFERROR(__xludf.DUMMYFUNCTION("""COMPUTED_VALUE"""),9968.0)</f>
        <v>9968</v>
      </c>
      <c r="F233" s="3">
        <f>IFERROR(__xludf.DUMMYFUNCTION("""COMPUTED_VALUE"""),66885.0)</f>
        <v>66885</v>
      </c>
      <c r="G233" s="2" t="str">
        <f>IFERROR(__xludf.DUMMYFUNCTION("""COMPUTED_VALUE"""),"Kotbari Energy Private Limited")</f>
        <v>Kotbari Energy Private Limited</v>
      </c>
      <c r="H233" s="2" t="str">
        <f>IFERROR(__xludf.DUMMYFUNCTION("""COMPUTED_VALUE"""),"Budhanilkantha Municipality - 8, Kathmandu")</f>
        <v>Budhanilkantha Municipality - 8, Kathmandu</v>
      </c>
      <c r="I233" s="2" t="str">
        <f>IFERROR(__xludf.DUMMYFUNCTION("""COMPUTED_VALUE"""),"27o 54' 32""")</f>
        <v>27o 54' 32"</v>
      </c>
      <c r="J233" s="2" t="str">
        <f>IFERROR(__xludf.DUMMYFUNCTION("""COMPUTED_VALUE"""),"27o 55' 23""")</f>
        <v>27o 55' 23"</v>
      </c>
      <c r="K233" s="2" t="str">
        <f>IFERROR(__xludf.DUMMYFUNCTION("""COMPUTED_VALUE"""),"85o 24' 52""")</f>
        <v>85o 24' 52"</v>
      </c>
      <c r="L233" s="2" t="str">
        <f>IFERROR(__xludf.DUMMYFUNCTION("""COMPUTED_VALUE"""),"85o 26' 35""")</f>
        <v>85o 26' 35"</v>
      </c>
      <c r="M233" s="2" t="str">
        <f>IFERROR(__xludf.DUMMYFUNCTION("""COMPUTED_VALUE"""),"Balkumari,Rautbesi,Gaunkharka (Nuwakot)")</f>
        <v>Balkumari,Rautbesi,Gaunkharka (Nuwakot)</v>
      </c>
    </row>
    <row r="234">
      <c r="A234" s="2">
        <f>IFERROR(__xludf.DUMMYFUNCTION("""COMPUTED_VALUE"""),233.0)</f>
        <v>233</v>
      </c>
      <c r="B234" s="2" t="str">
        <f>IFERROR(__xludf.DUMMYFUNCTION("""COMPUTED_VALUE"""),"Upper Bhalaudi Hydropower Project")</f>
        <v>Upper Bhalaudi Hydropower Project</v>
      </c>
      <c r="C234" s="2">
        <f>IFERROR(__xludf.DUMMYFUNCTION("""COMPUTED_VALUE"""),3.0)</f>
        <v>3</v>
      </c>
      <c r="D234" s="2" t="str">
        <f>IFERROR(__xludf.DUMMYFUNCTION("""COMPUTED_VALUE"""),"Bhalaudi Khola")</f>
        <v>Bhalaudi Khola</v>
      </c>
      <c r="E234" s="2">
        <f>IFERROR(__xludf.DUMMYFUNCTION("""COMPUTED_VALUE"""),10120.0)</f>
        <v>10120</v>
      </c>
      <c r="F234" s="3">
        <f>IFERROR(__xludf.DUMMYFUNCTION("""COMPUTED_VALUE"""),66891.0)</f>
        <v>66891</v>
      </c>
      <c r="G234" s="2" t="str">
        <f>IFERROR(__xludf.DUMMYFUNCTION("""COMPUTED_VALUE"""),"Nepal Green Energy Private Limited")</f>
        <v>Nepal Green Energy Private Limited</v>
      </c>
      <c r="H234" s="2" t="str">
        <f>IFERROR(__xludf.DUMMYFUNCTION("""COMPUTED_VALUE"""),"Tarkeshower-2, kathmandu")</f>
        <v>Tarkeshower-2, kathmandu</v>
      </c>
      <c r="I234" s="2" t="str">
        <f>IFERROR(__xludf.DUMMYFUNCTION("""COMPUTED_VALUE"""),"28o 23' 30""")</f>
        <v>28o 23' 30"</v>
      </c>
      <c r="J234" s="2" t="str">
        <f>IFERROR(__xludf.DUMMYFUNCTION("""COMPUTED_VALUE"""),"28o 24' 06""")</f>
        <v>28o 24' 06"</v>
      </c>
      <c r="K234" s="2" t="str">
        <f>IFERROR(__xludf.DUMMYFUNCTION("""COMPUTED_VALUE"""),"83o 56' 50""")</f>
        <v>83o 56' 50"</v>
      </c>
      <c r="L234" s="2" t="str">
        <f>IFERROR(__xludf.DUMMYFUNCTION("""COMPUTED_VALUE"""),"83o 57' 50""")</f>
        <v>83o 57' 50"</v>
      </c>
      <c r="M234" s="2" t="str">
        <f>IFERROR(__xludf.DUMMYFUNCTION("""COMPUTED_VALUE"""),"Machhapuchchhre (Kaski)")</f>
        <v>Machhapuchchhre (Kaski)</v>
      </c>
    </row>
    <row r="235">
      <c r="A235" s="2">
        <f>IFERROR(__xludf.DUMMYFUNCTION("""COMPUTED_VALUE"""),234.0)</f>
        <v>234</v>
      </c>
      <c r="B235" s="2" t="str">
        <f>IFERROR(__xludf.DUMMYFUNCTION("""COMPUTED_VALUE"""),"phukot karnali dam toe hydropower Project")</f>
        <v>phukot karnali dam toe hydropower Project</v>
      </c>
      <c r="C235" s="2">
        <f>IFERROR(__xludf.DUMMYFUNCTION("""COMPUTED_VALUE"""),89.88)</f>
        <v>89.88</v>
      </c>
      <c r="D235" s="2" t="str">
        <f>IFERROR(__xludf.DUMMYFUNCTION("""COMPUTED_VALUE"""),"Karnali Nadi")</f>
        <v>Karnali Nadi</v>
      </c>
      <c r="E235" s="2">
        <f>IFERROR(__xludf.DUMMYFUNCTION("""COMPUTED_VALUE"""),10168.0)</f>
        <v>10168</v>
      </c>
      <c r="F235" s="3">
        <f>IFERROR(__xludf.DUMMYFUNCTION("""COMPUTED_VALUE"""),66891.0)</f>
        <v>66891</v>
      </c>
      <c r="G235" s="2" t="str">
        <f>IFERROR(__xludf.DUMMYFUNCTION("""COMPUTED_VALUE"""),"Green Waterpower Pvt. Ltd")</f>
        <v>Green Waterpower Pvt. Ltd</v>
      </c>
      <c r="H235" s="2" t="str">
        <f>IFERROR(__xludf.DUMMYFUNCTION("""COMPUTED_VALUE"""),"Old Baneshower, Kathmandu")</f>
        <v>Old Baneshower, Kathmandu</v>
      </c>
      <c r="I235" s="2" t="str">
        <f>IFERROR(__xludf.DUMMYFUNCTION("""COMPUTED_VALUE"""),"29o 15' 45""")</f>
        <v>29o 15' 45"</v>
      </c>
      <c r="J235" s="2" t="str">
        <f>IFERROR(__xludf.DUMMYFUNCTION("""COMPUTED_VALUE"""),"29o 19' 04""")</f>
        <v>29o 19' 04"</v>
      </c>
      <c r="K235" s="2" t="str">
        <f>IFERROR(__xludf.DUMMYFUNCTION("""COMPUTED_VALUE"""),"81o 39' 25""")</f>
        <v>81o 39' 25"</v>
      </c>
      <c r="L235" s="2" t="str">
        <f>IFERROR(__xludf.DUMMYFUNCTION("""COMPUTED_VALUE"""),"81o 46' 39""")</f>
        <v>81o 46' 39"</v>
      </c>
      <c r="M235" s="2" t="str">
        <f>IFERROR(__xludf.DUMMYFUNCTION("""COMPUTED_VALUE"""),"Gela (Kalikot)")</f>
        <v>Gela (Kalikot)</v>
      </c>
    </row>
    <row r="236">
      <c r="A236" s="2">
        <f>IFERROR(__xludf.DUMMYFUNCTION("""COMPUTED_VALUE"""),235.0)</f>
        <v>235</v>
      </c>
      <c r="B236" s="2" t="str">
        <f>IFERROR(__xludf.DUMMYFUNCTION("""COMPUTED_VALUE"""),"Seti A Hydropower Project")</f>
        <v>Seti A Hydropower Project</v>
      </c>
      <c r="C236" s="2">
        <f>IFERROR(__xludf.DUMMYFUNCTION("""COMPUTED_VALUE"""),6.1)</f>
        <v>6.1</v>
      </c>
      <c r="D236" s="2" t="str">
        <f>IFERROR(__xludf.DUMMYFUNCTION("""COMPUTED_VALUE"""),"Seti Khola (Gandaki)")</f>
        <v>Seti Khola (Gandaki)</v>
      </c>
      <c r="E236" s="2">
        <f>IFERROR(__xludf.DUMMYFUNCTION("""COMPUTED_VALUE"""),10125.0)</f>
        <v>10125</v>
      </c>
      <c r="F236" s="3">
        <f>IFERROR(__xludf.DUMMYFUNCTION("""COMPUTED_VALUE"""),66892.0)</f>
        <v>66892</v>
      </c>
      <c r="G236" s="2" t="str">
        <f>IFERROR(__xludf.DUMMYFUNCTION("""COMPUTED_VALUE"""),"Ishwor Kaphle")</f>
        <v>Ishwor Kaphle</v>
      </c>
      <c r="H236" s="2" t="str">
        <f>IFERROR(__xludf.DUMMYFUNCTION("""COMPUTED_VALUE"""),"Dhunibesi- 6, Dhading")</f>
        <v>Dhunibesi- 6, Dhading</v>
      </c>
      <c r="I236" s="2" t="str">
        <f>IFERROR(__xludf.DUMMYFUNCTION("""COMPUTED_VALUE"""),"28o 02' 05""")</f>
        <v>28o 02' 05"</v>
      </c>
      <c r="J236" s="2" t="str">
        <f>IFERROR(__xludf.DUMMYFUNCTION("""COMPUTED_VALUE"""),"28o 03' 45""")</f>
        <v>28o 03' 45"</v>
      </c>
      <c r="K236" s="2" t="str">
        <f>IFERROR(__xludf.DUMMYFUNCTION("""COMPUTED_VALUE"""),"84o 03' 35""")</f>
        <v>84o 03' 35"</v>
      </c>
      <c r="L236" s="2" t="str">
        <f>IFERROR(__xludf.DUMMYFUNCTION("""COMPUTED_VALUE"""),"84o 05' 00""")</f>
        <v>84o 05' 00"</v>
      </c>
      <c r="M236" s="2" t="str">
        <f>IFERROR(__xludf.DUMMYFUNCTION("""COMPUTED_VALUE"""),"Dhorfirdi,Dulegauda (Tanahu)")</f>
        <v>Dhorfirdi,Dulegauda (Tanahu)</v>
      </c>
    </row>
    <row r="237">
      <c r="A237" s="2">
        <f>IFERROR(__xludf.DUMMYFUNCTION("""COMPUTED_VALUE"""),236.0)</f>
        <v>236</v>
      </c>
      <c r="B237" s="2" t="str">
        <f>IFERROR(__xludf.DUMMYFUNCTION("""COMPUTED_VALUE"""),"Uttarganga Khola Hydropower Project")</f>
        <v>Uttarganga Khola Hydropower Project</v>
      </c>
      <c r="C237" s="2">
        <f>IFERROR(__xludf.DUMMYFUNCTION("""COMPUTED_VALUE"""),9.65)</f>
        <v>9.65</v>
      </c>
      <c r="D237" s="2" t="str">
        <f>IFERROR(__xludf.DUMMYFUNCTION("""COMPUTED_VALUE"""),"Uttar Ganga")</f>
        <v>Uttar Ganga</v>
      </c>
      <c r="E237" s="2">
        <f>IFERROR(__xludf.DUMMYFUNCTION("""COMPUTED_VALUE"""),743.0)</f>
        <v>743</v>
      </c>
      <c r="F237" s="3">
        <f>IFERROR(__xludf.DUMMYFUNCTION("""COMPUTED_VALUE"""),66892.0)</f>
        <v>66892</v>
      </c>
      <c r="G237" s="2" t="str">
        <f>IFERROR(__xludf.DUMMYFUNCTION("""COMPUTED_VALUE"""),"Himalaya Jal Urja Private Limited")</f>
        <v>Himalaya Jal Urja Private Limited</v>
      </c>
      <c r="H237" s="2" t="str">
        <f>IFERROR(__xludf.DUMMYFUNCTION("""COMPUTED_VALUE"""),"KMC-16, Banasthali, Kathmandu")</f>
        <v>KMC-16, Banasthali, Kathmandu</v>
      </c>
      <c r="I237" s="2" t="str">
        <f>IFERROR(__xludf.DUMMYFUNCTION("""COMPUTED_VALUE"""),"28o 32' 55""")</f>
        <v>28o 32' 55"</v>
      </c>
      <c r="J237" s="2" t="str">
        <f>IFERROR(__xludf.DUMMYFUNCTION("""COMPUTED_VALUE"""),"28o 34' 47""")</f>
        <v>28o 34' 47"</v>
      </c>
      <c r="K237" s="2" t="str">
        <f>IFERROR(__xludf.DUMMYFUNCTION("""COMPUTED_VALUE"""),"82o 51' 58""")</f>
        <v>82o 51' 58"</v>
      </c>
      <c r="L237" s="2" t="str">
        <f>IFERROR(__xludf.DUMMYFUNCTION("""COMPUTED_VALUE"""),"82o 55' 20""")</f>
        <v>82o 55' 20"</v>
      </c>
      <c r="M237" s="2" t="str">
        <f>IFERROR(__xludf.DUMMYFUNCTION("""COMPUTED_VALUE"""),"Kankri,Taksera (Rukum)")</f>
        <v>Kankri,Taksera (Rukum)</v>
      </c>
    </row>
    <row r="238">
      <c r="A238" s="2">
        <f>IFERROR(__xludf.DUMMYFUNCTION("""COMPUTED_VALUE"""),237.0)</f>
        <v>237</v>
      </c>
      <c r="B238" s="2" t="str">
        <f>IFERROR(__xludf.DUMMYFUNCTION("""COMPUTED_VALUE"""),"Super Sunigad 2 Khola Hydroelectric Project")</f>
        <v>Super Sunigad 2 Khola Hydroelectric Project</v>
      </c>
      <c r="C238" s="2">
        <f>IFERROR(__xludf.DUMMYFUNCTION("""COMPUTED_VALUE"""),4.9)</f>
        <v>4.9</v>
      </c>
      <c r="D238" s="2" t="str">
        <f>IFERROR(__xludf.DUMMYFUNCTION("""COMPUTED_VALUE"""),"Sunigad Khola")</f>
        <v>Sunigad Khola</v>
      </c>
      <c r="E238" s="2">
        <f>IFERROR(__xludf.DUMMYFUNCTION("""COMPUTED_VALUE"""),10187.0)</f>
        <v>10187</v>
      </c>
      <c r="F238" s="3">
        <f>IFERROR(__xludf.DUMMYFUNCTION("""COMPUTED_VALUE"""),66893.0)</f>
        <v>66893</v>
      </c>
      <c r="G238" s="2" t="str">
        <f>IFERROR(__xludf.DUMMYFUNCTION("""COMPUTED_VALUE"""),"Vital Stream Energy Pvt. Ltd")</f>
        <v>Vital Stream Energy Pvt. Ltd</v>
      </c>
      <c r="H238" s="2" t="str">
        <f>IFERROR(__xludf.DUMMYFUNCTION("""COMPUTED_VALUE"""),"Kathmandu 3")</f>
        <v>Kathmandu 3</v>
      </c>
      <c r="I238" s="2" t="str">
        <f>IFERROR(__xludf.DUMMYFUNCTION("""COMPUTED_VALUE"""),"29o 43' 20""")</f>
        <v>29o 43' 20"</v>
      </c>
      <c r="J238" s="2" t="str">
        <f>IFERROR(__xludf.DUMMYFUNCTION("""COMPUTED_VALUE"""),"29o 45' 00""")</f>
        <v>29o 45' 00"</v>
      </c>
      <c r="K238" s="2" t="str">
        <f>IFERROR(__xludf.DUMMYFUNCTION("""COMPUTED_VALUE"""),"81o 09' 17""")</f>
        <v>81o 09' 17"</v>
      </c>
      <c r="L238" s="2" t="str">
        <f>IFERROR(__xludf.DUMMYFUNCTION("""COMPUTED_VALUE"""),"81o 11' 54""")</f>
        <v>81o 11' 54"</v>
      </c>
      <c r="M238" s="2" t="str">
        <f>IFERROR(__xludf.DUMMYFUNCTION("""COMPUTED_VALUE"""),"Chainpur (Bajhang)")</f>
        <v>Chainpur (Bajhang)</v>
      </c>
    </row>
    <row r="239">
      <c r="A239" s="2">
        <f>IFERROR(__xludf.DUMMYFUNCTION("""COMPUTED_VALUE"""),238.0)</f>
        <v>238</v>
      </c>
      <c r="B239" s="2" t="str">
        <f>IFERROR(__xludf.DUMMYFUNCTION("""COMPUTED_VALUE"""),"Roshi Khola I Hydropower Project")</f>
        <v>Roshi Khola I Hydropower Project</v>
      </c>
      <c r="C239" s="2">
        <f>IFERROR(__xludf.DUMMYFUNCTION("""COMPUTED_VALUE"""),4.5)</f>
        <v>4.5</v>
      </c>
      <c r="D239" s="2" t="str">
        <f>IFERROR(__xludf.DUMMYFUNCTION("""COMPUTED_VALUE"""),"Roshi")</f>
        <v>Roshi</v>
      </c>
      <c r="E239" s="2">
        <f>IFERROR(__xludf.DUMMYFUNCTION("""COMPUTED_VALUE"""),10198.0)</f>
        <v>10198</v>
      </c>
      <c r="F239" s="3">
        <f>IFERROR(__xludf.DUMMYFUNCTION("""COMPUTED_VALUE"""),66893.0)</f>
        <v>66893</v>
      </c>
      <c r="G239" s="2" t="str">
        <f>IFERROR(__xludf.DUMMYFUNCTION("""COMPUTED_VALUE"""),"Nepa Petroleum Trade Links Private Limited")</f>
        <v>Nepa Petroleum Trade Links Private Limited</v>
      </c>
      <c r="H239" s="2" t="str">
        <f>IFERROR(__xludf.DUMMYFUNCTION("""COMPUTED_VALUE"""),"Itahari Sub-Metropolitan City, Ward No-16, Lawipur, Pakali")</f>
        <v>Itahari Sub-Metropolitan City, Ward No-16, Lawipur, Pakali</v>
      </c>
      <c r="I239" s="2" t="str">
        <f>IFERROR(__xludf.DUMMYFUNCTION("""COMPUTED_VALUE"""),"27o 30' 25""")</f>
        <v>27o 30' 25"</v>
      </c>
      <c r="J239" s="2" t="str">
        <f>IFERROR(__xludf.DUMMYFUNCTION("""COMPUTED_VALUE"""),"27o 32' 45""")</f>
        <v>27o 32' 45"</v>
      </c>
      <c r="K239" s="2" t="str">
        <f>IFERROR(__xludf.DUMMYFUNCTION("""COMPUTED_VALUE"""),"85o 33' 08""")</f>
        <v>85o 33' 08"</v>
      </c>
      <c r="L239" s="2" t="str">
        <f>IFERROR(__xludf.DUMMYFUNCTION("""COMPUTED_VALUE"""),"85o 37' 55""")</f>
        <v>85o 37' 55"</v>
      </c>
      <c r="M239" s="2" t="str">
        <f>IFERROR(__xludf.DUMMYFUNCTION("""COMPUTED_VALUE"""),"Puranogaun Dapcha,Khahare Pangu,Sikhar Ambote,Simalchour Syampati 
(Kavrepalanchok)")</f>
        <v>Puranogaun Dapcha,Khahare Pangu,Sikhar Ambote,Simalchour Syampati 
(Kavrepalanchok)</v>
      </c>
    </row>
    <row r="240">
      <c r="A240" s="2">
        <f>IFERROR(__xludf.DUMMYFUNCTION("""COMPUTED_VALUE"""),239.0)</f>
        <v>239</v>
      </c>
      <c r="B240" s="2" t="str">
        <f>IFERROR(__xludf.DUMMYFUNCTION("""COMPUTED_VALUE"""),"Roshi Khola II Hydropower Project")</f>
        <v>Roshi Khola II Hydropower Project</v>
      </c>
      <c r="C240" s="2">
        <f>IFERROR(__xludf.DUMMYFUNCTION("""COMPUTED_VALUE"""),4.0)</f>
        <v>4</v>
      </c>
      <c r="D240" s="2" t="str">
        <f>IFERROR(__xludf.DUMMYFUNCTION("""COMPUTED_VALUE"""),"Roshi")</f>
        <v>Roshi</v>
      </c>
      <c r="E240" s="2">
        <f>IFERROR(__xludf.DUMMYFUNCTION("""COMPUTED_VALUE"""),10199.0)</f>
        <v>10199</v>
      </c>
      <c r="F240" s="3">
        <f>IFERROR(__xludf.DUMMYFUNCTION("""COMPUTED_VALUE"""),66893.0)</f>
        <v>66893</v>
      </c>
      <c r="G240" s="2" t="str">
        <f>IFERROR(__xludf.DUMMYFUNCTION("""COMPUTED_VALUE"""),"Nepa Petroleum Trade Links Private Limited")</f>
        <v>Nepa Petroleum Trade Links Private Limited</v>
      </c>
      <c r="H240" s="2" t="str">
        <f>IFERROR(__xludf.DUMMYFUNCTION("""COMPUTED_VALUE"""),"Itahari Sub-Metropolitan City, Ward No-16, Lawipur, Pakali")</f>
        <v>Itahari Sub-Metropolitan City, Ward No-16, Lawipur, Pakali</v>
      </c>
      <c r="I240" s="2" t="str">
        <f>IFERROR(__xludf.DUMMYFUNCTION("""COMPUTED_VALUE"""),"27o 30' 20""")</f>
        <v>27o 30' 20"</v>
      </c>
      <c r="J240" s="2" t="str">
        <f>IFERROR(__xludf.DUMMYFUNCTION("""COMPUTED_VALUE"""),"27o 31' 44""")</f>
        <v>27o 31' 44"</v>
      </c>
      <c r="K240" s="2" t="str">
        <f>IFERROR(__xludf.DUMMYFUNCTION("""COMPUTED_VALUE"""),"85o 37' 55""")</f>
        <v>85o 37' 55"</v>
      </c>
      <c r="L240" s="2" t="str">
        <f>IFERROR(__xludf.DUMMYFUNCTION("""COMPUTED_VALUE"""),"85o 42' 55""")</f>
        <v>85o 42' 55"</v>
      </c>
      <c r="M240" s="2" t="str">
        <f>IFERROR(__xludf.DUMMYFUNCTION("""COMPUTED_VALUE"""),"Mahadevtar,Sipali Chilaune,Kharpachok,Khanalthok,Sikhar Ambote 
(Kavrepalanchok)")</f>
        <v>Mahadevtar,Sipali Chilaune,Kharpachok,Khanalthok,Sikhar Ambote 
(Kavrepalanchok)</v>
      </c>
    </row>
    <row r="241">
      <c r="A241" s="2">
        <f>IFERROR(__xludf.DUMMYFUNCTION("""COMPUTED_VALUE"""),240.0)</f>
        <v>240</v>
      </c>
      <c r="B241" s="2" t="str">
        <f>IFERROR(__xludf.DUMMYFUNCTION("""COMPUTED_VALUE"""),"Kwalunwa Khola Hydroelctric PRoR Proejct")</f>
        <v>Kwalunwa Khola Hydroelctric PRoR Proejct</v>
      </c>
      <c r="C241" s="2">
        <f>IFERROR(__xludf.DUMMYFUNCTION("""COMPUTED_VALUE"""),9.7)</f>
        <v>9.7</v>
      </c>
      <c r="D241" s="2" t="str">
        <f>IFERROR(__xludf.DUMMYFUNCTION("""COMPUTED_VALUE"""),"Kwalunwa Khola")</f>
        <v>Kwalunwa Khola</v>
      </c>
      <c r="E241" s="2">
        <f>IFERROR(__xludf.DUMMYFUNCTION("""COMPUTED_VALUE"""),10258.0)</f>
        <v>10258</v>
      </c>
      <c r="F241" s="3">
        <f>IFERROR(__xludf.DUMMYFUNCTION("""COMPUTED_VALUE"""),66894.0)</f>
        <v>66894</v>
      </c>
      <c r="G241" s="2" t="str">
        <f>IFERROR(__xludf.DUMMYFUNCTION("""COMPUTED_VALUE"""),"Ugratara Energy Pvt. Ltd")</f>
        <v>Ugratara Energy Pvt. Ltd</v>
      </c>
      <c r="H241" s="2" t="str">
        <f>IFERROR(__xludf.DUMMYFUNCTION("""COMPUTED_VALUE"""),"Kathmandu")</f>
        <v>Kathmandu</v>
      </c>
      <c r="I241" s="2" t="str">
        <f>IFERROR(__xludf.DUMMYFUNCTION("""COMPUTED_VALUE"""),"29o 58' 33""")</f>
        <v>29o 58' 33"</v>
      </c>
      <c r="J241" s="2" t="str">
        <f>IFERROR(__xludf.DUMMYFUNCTION("""COMPUTED_VALUE"""),"30o 02' 54""")</f>
        <v>30o 02' 54"</v>
      </c>
      <c r="K241" s="2" t="str">
        <f>IFERROR(__xludf.DUMMYFUNCTION("""COMPUTED_VALUE"""),"81o 37' 18""")</f>
        <v>81o 37' 18"</v>
      </c>
      <c r="L241" s="2" t="str">
        <f>IFERROR(__xludf.DUMMYFUNCTION("""COMPUTED_VALUE"""),"81o 40' 00""")</f>
        <v>81o 40' 00"</v>
      </c>
      <c r="M241" s="2" t="str">
        <f>IFERROR(__xludf.DUMMYFUNCTION("""COMPUTED_VALUE"""),"Hepka (Humla)")</f>
        <v>Hepka (Humla)</v>
      </c>
    </row>
    <row r="242">
      <c r="A242" s="2">
        <f>IFERROR(__xludf.DUMMYFUNCTION("""COMPUTED_VALUE"""),241.0)</f>
        <v>241</v>
      </c>
      <c r="B242" s="2" t="str">
        <f>IFERROR(__xludf.DUMMYFUNCTION("""COMPUTED_VALUE"""),"Seran Khola Hydropower Project")</f>
        <v>Seran Khola Hydropower Project</v>
      </c>
      <c r="C242" s="2">
        <f>IFERROR(__xludf.DUMMYFUNCTION("""COMPUTED_VALUE"""),4.8)</f>
        <v>4.8</v>
      </c>
      <c r="D242" s="2" t="str">
        <f>IFERROR(__xludf.DUMMYFUNCTION("""COMPUTED_VALUE"""),"Seran Khola")</f>
        <v>Seran Khola</v>
      </c>
      <c r="E242" s="2">
        <f>IFERROR(__xludf.DUMMYFUNCTION("""COMPUTED_VALUE"""),10284.0)</f>
        <v>10284</v>
      </c>
      <c r="F242" s="3">
        <f>IFERROR(__xludf.DUMMYFUNCTION("""COMPUTED_VALUE"""),66897.0)</f>
        <v>66897</v>
      </c>
      <c r="G242" s="2" t="str">
        <f>IFERROR(__xludf.DUMMYFUNCTION("""COMPUTED_VALUE"""),"Green Nepal Infrastructure Development Private Limited")</f>
        <v>Green Nepal Infrastructure Development Private Limited</v>
      </c>
      <c r="H242" s="2" t="str">
        <f>IFERROR(__xludf.DUMMYFUNCTION("""COMPUTED_VALUE"""),"Jhamsikhel-2, Lalitpur")</f>
        <v>Jhamsikhel-2, Lalitpur</v>
      </c>
      <c r="I242" s="2" t="str">
        <f>IFERROR(__xludf.DUMMYFUNCTION("""COMPUTED_VALUE"""),"28o 30' 45""")</f>
        <v>28o 30' 45"</v>
      </c>
      <c r="J242" s="2" t="str">
        <f>IFERROR(__xludf.DUMMYFUNCTION("""COMPUTED_VALUE"""),"28o 32' 45""")</f>
        <v>28o 32' 45"</v>
      </c>
      <c r="K242" s="2" t="str">
        <f>IFERROR(__xludf.DUMMYFUNCTION("""COMPUTED_VALUE"""),"84o 51' 00""")</f>
        <v>84o 51' 00"</v>
      </c>
      <c r="L242" s="2" t="str">
        <f>IFERROR(__xludf.DUMMYFUNCTION("""COMPUTED_VALUE"""),"84o 53' 27""")</f>
        <v>84o 53' 27"</v>
      </c>
      <c r="M242" s="2" t="str">
        <f>IFERROR(__xludf.DUMMYFUNCTION("""COMPUTED_VALUE"""),"Bihi,Prok (Gorkha)")</f>
        <v>Bihi,Prok (Gorkha)</v>
      </c>
    </row>
    <row r="243">
      <c r="A243" s="2">
        <f>IFERROR(__xludf.DUMMYFUNCTION("""COMPUTED_VALUE"""),242.0)</f>
        <v>242</v>
      </c>
      <c r="B243" s="2" t="str">
        <f>IFERROR(__xludf.DUMMYFUNCTION("""COMPUTED_VALUE"""),"Sayali Gad Hydropower Project")</f>
        <v>Sayali Gad Hydropower Project</v>
      </c>
      <c r="C243" s="2">
        <f>IFERROR(__xludf.DUMMYFUNCTION("""COMPUTED_VALUE"""),8.7)</f>
        <v>8.7</v>
      </c>
      <c r="D243" s="2" t="str">
        <f>IFERROR(__xludf.DUMMYFUNCTION("""COMPUTED_VALUE"""),"Sailigad")</f>
        <v>Sailigad</v>
      </c>
      <c r="E243" s="2">
        <f>IFERROR(__xludf.DUMMYFUNCTION("""COMPUTED_VALUE"""),10304.0)</f>
        <v>10304</v>
      </c>
      <c r="F243" s="3">
        <f>IFERROR(__xludf.DUMMYFUNCTION("""COMPUTED_VALUE"""),66897.0)</f>
        <v>66897</v>
      </c>
      <c r="G243" s="2" t="str">
        <f>IFERROR(__xludf.DUMMYFUNCTION("""COMPUTED_VALUE"""),"Snow Hills Private Limited")</f>
        <v>Snow Hills Private Limited</v>
      </c>
      <c r="H243" s="2" t="str">
        <f>IFERROR(__xludf.DUMMYFUNCTION("""COMPUTED_VALUE"""),"KMC-29, KATHMANDU")</f>
        <v>KMC-29, KATHMANDU</v>
      </c>
      <c r="I243" s="2" t="str">
        <f>IFERROR(__xludf.DUMMYFUNCTION("""COMPUTED_VALUE"""),"29o 21' 50""")</f>
        <v>29o 21' 50"</v>
      </c>
      <c r="J243" s="2" t="str">
        <f>IFERROR(__xludf.DUMMYFUNCTION("""COMPUTED_VALUE"""),"29o 23' 15""")</f>
        <v>29o 23' 15"</v>
      </c>
      <c r="K243" s="2" t="str">
        <f>IFERROR(__xludf.DUMMYFUNCTION("""COMPUTED_VALUE"""),"80o 57' 55""")</f>
        <v>80o 57' 55"</v>
      </c>
      <c r="L243" s="2" t="str">
        <f>IFERROR(__xludf.DUMMYFUNCTION("""COMPUTED_VALUE"""),"81o 01' 07""")</f>
        <v>81o 01' 07"</v>
      </c>
      <c r="M243" s="2" t="str">
        <f>IFERROR(__xludf.DUMMYFUNCTION("""COMPUTED_VALUE"""),"Daud,Toleni (Doti)")</f>
        <v>Daud,Toleni (Doti)</v>
      </c>
    </row>
    <row r="244">
      <c r="A244" s="2">
        <f>IFERROR(__xludf.DUMMYFUNCTION("""COMPUTED_VALUE"""),243.0)</f>
        <v>243</v>
      </c>
      <c r="B244" s="2" t="str">
        <f>IFERROR(__xludf.DUMMYFUNCTION("""COMPUTED_VALUE"""),"Laphagad Hydropower Project")</f>
        <v>Laphagad Hydropower Project</v>
      </c>
      <c r="C244" s="2">
        <f>IFERROR(__xludf.DUMMYFUNCTION("""COMPUTED_VALUE"""),4.6)</f>
        <v>4.6</v>
      </c>
      <c r="D244" s="2" t="str">
        <f>IFERROR(__xludf.DUMMYFUNCTION("""COMPUTED_VALUE"""),"Lapha Gad")</f>
        <v>Lapha Gad</v>
      </c>
      <c r="E244" s="2">
        <f>IFERROR(__xludf.DUMMYFUNCTION("""COMPUTED_VALUE"""),10327.0)</f>
        <v>10327</v>
      </c>
      <c r="F244" s="3">
        <f>IFERROR(__xludf.DUMMYFUNCTION("""COMPUTED_VALUE"""),66897.0)</f>
        <v>66897</v>
      </c>
      <c r="G244" s="2" t="str">
        <f>IFERROR(__xludf.DUMMYFUNCTION("""COMPUTED_VALUE"""),"Nicholas Energy Private Limited")</f>
        <v>Nicholas Energy Private Limited</v>
      </c>
      <c r="H244" s="2" t="str">
        <f>IFERROR(__xludf.DUMMYFUNCTION("""COMPUTED_VALUE"""),"KMC, Ward No. 5 - Kathmandu")</f>
        <v>KMC, Ward No. 5 - Kathmandu</v>
      </c>
      <c r="I244" s="2" t="str">
        <f>IFERROR(__xludf.DUMMYFUNCTION("""COMPUTED_VALUE"""),"29o 14' 10""")</f>
        <v>29o 14' 10"</v>
      </c>
      <c r="J244" s="2" t="str">
        <f>IFERROR(__xludf.DUMMYFUNCTION("""COMPUTED_VALUE"""),"29o 16' 18""")</f>
        <v>29o 16' 18"</v>
      </c>
      <c r="K244" s="2" t="str">
        <f>IFERROR(__xludf.DUMMYFUNCTION("""COMPUTED_VALUE"""),"81o 42' 30""")</f>
        <v>81o 42' 30"</v>
      </c>
      <c r="L244" s="2" t="str">
        <f>IFERROR(__xludf.DUMMYFUNCTION("""COMPUTED_VALUE"""),"81o 43' 46""")</f>
        <v>81o 43' 46"</v>
      </c>
      <c r="M244" s="2" t="str">
        <f>IFERROR(__xludf.DUMMYFUNCTION("""COMPUTED_VALUE"""),"Badalkot,Nanikot,Ramanakot (Kalikot)")</f>
        <v>Badalkot,Nanikot,Ramanakot (Kalikot)</v>
      </c>
    </row>
    <row r="245">
      <c r="A245" s="2">
        <f>IFERROR(__xludf.DUMMYFUNCTION("""COMPUTED_VALUE"""),244.0)</f>
        <v>244</v>
      </c>
      <c r="B245" s="2" t="str">
        <f>IFERROR(__xludf.DUMMYFUNCTION("""COMPUTED_VALUE"""),"Limi Valley Storage Hydropower Project")</f>
        <v>Limi Valley Storage Hydropower Project</v>
      </c>
      <c r="C245" s="2">
        <f>IFERROR(__xludf.DUMMYFUNCTION("""COMPUTED_VALUE"""),93.0)</f>
        <v>93</v>
      </c>
      <c r="D245" s="2" t="str">
        <f>IFERROR(__xludf.DUMMYFUNCTION("""COMPUTED_VALUE"""),"Limi Khola (Talun and Takche)")</f>
        <v>Limi Khola (Talun and Takche)</v>
      </c>
      <c r="E245" s="2">
        <f>IFERROR(__xludf.DUMMYFUNCTION("""COMPUTED_VALUE"""),10328.0)</f>
        <v>10328</v>
      </c>
      <c r="F245" s="3">
        <f>IFERROR(__xludf.DUMMYFUNCTION("""COMPUTED_VALUE"""),66897.0)</f>
        <v>66897</v>
      </c>
      <c r="G245" s="2" t="str">
        <f>IFERROR(__xludf.DUMMYFUNCTION("""COMPUTED_VALUE"""),"Kailash Mansarobar Energy Private Limited")</f>
        <v>Kailash Mansarobar Energy Private Limited</v>
      </c>
      <c r="H245" s="2" t="str">
        <f>IFERROR(__xludf.DUMMYFUNCTION("""COMPUTED_VALUE"""),"Naxal - 4, Kathmandu")</f>
        <v>Naxal - 4, Kathmandu</v>
      </c>
      <c r="I245" s="2" t="str">
        <f>IFERROR(__xludf.DUMMYFUNCTION("""COMPUTED_VALUE"""),"30o 14' 30""")</f>
        <v>30o 14' 30"</v>
      </c>
      <c r="J245" s="2" t="str">
        <f>IFERROR(__xludf.DUMMYFUNCTION("""COMPUTED_VALUE"""),"30o 21' 20""")</f>
        <v>30o 21' 20"</v>
      </c>
      <c r="K245" s="2" t="str">
        <f>IFERROR(__xludf.DUMMYFUNCTION("""COMPUTED_VALUE"""),"81o 41' 00""")</f>
        <v>81o 41' 00"</v>
      </c>
      <c r="L245" s="2" t="str">
        <f>IFERROR(__xludf.DUMMYFUNCTION("""COMPUTED_VALUE"""),"81o 49' 20""")</f>
        <v>81o 49' 20"</v>
      </c>
      <c r="M245" s="2" t="str">
        <f>IFERROR(__xludf.DUMMYFUNCTION("""COMPUTED_VALUE"""),"Limi (Humla)")</f>
        <v>Limi (Humla)</v>
      </c>
    </row>
    <row r="246">
      <c r="A246" s="2">
        <f>IFERROR(__xludf.DUMMYFUNCTION("""COMPUTED_VALUE"""),245.0)</f>
        <v>245</v>
      </c>
      <c r="B246" s="2" t="str">
        <f>IFERROR(__xludf.DUMMYFUNCTION("""COMPUTED_VALUE"""),"Upper Kodar Gad PRoR Hydropower Project")</f>
        <v>Upper Kodar Gad PRoR Hydropower Project</v>
      </c>
      <c r="C246" s="2">
        <f>IFERROR(__xludf.DUMMYFUNCTION("""COMPUTED_VALUE"""),4.22)</f>
        <v>4.22</v>
      </c>
      <c r="D246" s="2" t="str">
        <f>IFERROR(__xludf.DUMMYFUNCTION("""COMPUTED_VALUE"""),"Kodar Gad")</f>
        <v>Kodar Gad</v>
      </c>
      <c r="E246" s="2">
        <f>IFERROR(__xludf.DUMMYFUNCTION("""COMPUTED_VALUE"""),10340.0)</f>
        <v>10340</v>
      </c>
      <c r="F246" s="3">
        <f>IFERROR(__xludf.DUMMYFUNCTION("""COMPUTED_VALUE"""),66898.0)</f>
        <v>66898</v>
      </c>
      <c r="G246" s="2" t="str">
        <f>IFERROR(__xludf.DUMMYFUNCTION("""COMPUTED_VALUE"""),"Badimalika Ecotech Private Limited")</f>
        <v>Badimalika Ecotech Private Limited</v>
      </c>
      <c r="H246" s="2" t="str">
        <f>IFERROR(__xludf.DUMMYFUNCTION("""COMPUTED_VALUE"""),"KMC-4, Chandol, Kathmandu")</f>
        <v>KMC-4, Chandol, Kathmandu</v>
      </c>
      <c r="I246" s="2" t="str">
        <f>IFERROR(__xludf.DUMMYFUNCTION("""COMPUTED_VALUE"""),"29o 23' 20""")</f>
        <v>29o 23' 20"</v>
      </c>
      <c r="J246" s="2" t="str">
        <f>IFERROR(__xludf.DUMMYFUNCTION("""COMPUTED_VALUE"""),"29o 24' 40""")</f>
        <v>29o 24' 40"</v>
      </c>
      <c r="K246" s="2" t="str">
        <f>IFERROR(__xludf.DUMMYFUNCTION("""COMPUTED_VALUE"""),"81o 28' 34""")</f>
        <v>81o 28' 34"</v>
      </c>
      <c r="L246" s="2" t="str">
        <f>IFERROR(__xludf.DUMMYFUNCTION("""COMPUTED_VALUE"""),"81o 29' 58""")</f>
        <v>81o 29' 58"</v>
      </c>
      <c r="M246" s="2" t="str">
        <f>IFERROR(__xludf.DUMMYFUNCTION("""COMPUTED_VALUE"""),"Budhiganga (Bajura)")</f>
        <v>Budhiganga (Bajura)</v>
      </c>
    </row>
    <row r="247">
      <c r="A247" s="2">
        <f>IFERROR(__xludf.DUMMYFUNCTION("""COMPUTED_VALUE"""),246.0)</f>
        <v>246</v>
      </c>
      <c r="B247" s="2" t="str">
        <f>IFERROR(__xludf.DUMMYFUNCTION("""COMPUTED_VALUE"""),"Gamari Gad Hydropower Project")</f>
        <v>Gamari Gad Hydropower Project</v>
      </c>
      <c r="C247" s="2">
        <f>IFERROR(__xludf.DUMMYFUNCTION("""COMPUTED_VALUE"""),4.6)</f>
        <v>4.6</v>
      </c>
      <c r="D247" s="2" t="str">
        <f>IFERROR(__xludf.DUMMYFUNCTION("""COMPUTED_VALUE"""),"Gamari Gad")</f>
        <v>Gamari Gad</v>
      </c>
      <c r="E247" s="2">
        <f>IFERROR(__xludf.DUMMYFUNCTION("""COMPUTED_VALUE"""),10392.0)</f>
        <v>10392</v>
      </c>
      <c r="F247" s="3">
        <f>IFERROR(__xludf.DUMMYFUNCTION("""COMPUTED_VALUE"""),66899.0)</f>
        <v>66899</v>
      </c>
      <c r="G247" s="2" t="str">
        <f>IFERROR(__xludf.DUMMYFUNCTION("""COMPUTED_VALUE"""),"D.N.S. Hydro Company Private Limited")</f>
        <v>D.N.S. Hydro Company Private Limited</v>
      </c>
      <c r="H247" s="2" t="str">
        <f>IFERROR(__xludf.DUMMYFUNCTION("""COMPUTED_VALUE"""),"Budhhanagar, Kathmandu")</f>
        <v>Budhhanagar, Kathmandu</v>
      </c>
      <c r="I247" s="2" t="str">
        <f>IFERROR(__xludf.DUMMYFUNCTION("""COMPUTED_VALUE"""),"28o 39' 48""")</f>
        <v>28o 39' 48"</v>
      </c>
      <c r="J247" s="2" t="str">
        <f>IFERROR(__xludf.DUMMYFUNCTION("""COMPUTED_VALUE"""),"28o 41' 33""")</f>
        <v>28o 41' 33"</v>
      </c>
      <c r="K247" s="2" t="str">
        <f>IFERROR(__xludf.DUMMYFUNCTION("""COMPUTED_VALUE"""),"82o 46' 57""")</f>
        <v>82o 46' 57"</v>
      </c>
      <c r="L247" s="2" t="str">
        <f>IFERROR(__xludf.DUMMYFUNCTION("""COMPUTED_VALUE"""),"82o 48' 55""")</f>
        <v>82o 48' 55"</v>
      </c>
      <c r="M247" s="2" t="str">
        <f>IFERROR(__xludf.DUMMYFUNCTION("""COMPUTED_VALUE"""),"Jang,Ranmamekot (Rukum)")</f>
        <v>Jang,Ranmamekot (Rukum)</v>
      </c>
    </row>
    <row r="248">
      <c r="A248" s="2">
        <f>IFERROR(__xludf.DUMMYFUNCTION("""COMPUTED_VALUE"""),247.0)</f>
        <v>247</v>
      </c>
      <c r="B248" s="2" t="str">
        <f>IFERROR(__xludf.DUMMYFUNCTION("""COMPUTED_VALUE"""),"Laphagad hydropower Project")</f>
        <v>Laphagad hydropower Project</v>
      </c>
      <c r="C248" s="2">
        <f>IFERROR(__xludf.DUMMYFUNCTION("""COMPUTED_VALUE"""),4.6)</f>
        <v>4.6</v>
      </c>
      <c r="D248" s="2" t="str">
        <f>IFERROR(__xludf.DUMMYFUNCTION("""COMPUTED_VALUE"""),"Lapatgad")</f>
        <v>Lapatgad</v>
      </c>
      <c r="E248" s="2">
        <f>IFERROR(__xludf.DUMMYFUNCTION("""COMPUTED_VALUE"""),10403.0)</f>
        <v>10403</v>
      </c>
      <c r="F248" s="3">
        <f>IFERROR(__xludf.DUMMYFUNCTION("""COMPUTED_VALUE"""),66899.0)</f>
        <v>66899</v>
      </c>
      <c r="G248" s="2" t="str">
        <f>IFERROR(__xludf.DUMMYFUNCTION("""COMPUTED_VALUE"""),"Namaste Energy Power Pvt. Ltd")</f>
        <v>Namaste Energy Power Pvt. Ltd</v>
      </c>
      <c r="H248" s="2" t="str">
        <f>IFERROR(__xludf.DUMMYFUNCTION("""COMPUTED_VALUE"""),"Samakhushi, kathmandu")</f>
        <v>Samakhushi, kathmandu</v>
      </c>
      <c r="I248" s="2" t="str">
        <f>IFERROR(__xludf.DUMMYFUNCTION("""COMPUTED_VALUE"""),"29o 13' 42""")</f>
        <v>29o 13' 42"</v>
      </c>
      <c r="J248" s="2" t="str">
        <f>IFERROR(__xludf.DUMMYFUNCTION("""COMPUTED_VALUE"""),"29o 15' 26""")</f>
        <v>29o 15' 26"</v>
      </c>
      <c r="K248" s="2" t="str">
        <f>IFERROR(__xludf.DUMMYFUNCTION("""COMPUTED_VALUE"""),"81o 42' 18""")</f>
        <v>81o 42' 18"</v>
      </c>
      <c r="L248" s="2" t="str">
        <f>IFERROR(__xludf.DUMMYFUNCTION("""COMPUTED_VALUE"""),"81o 44' 06""")</f>
        <v>81o 44' 06"</v>
      </c>
      <c r="M248" s="2" t="str">
        <f>IFERROR(__xludf.DUMMYFUNCTION("""COMPUTED_VALUE"""),"Kheen (Kalikot)")</f>
        <v>Kheen (Kalikot)</v>
      </c>
    </row>
    <row r="249">
      <c r="A249" s="2">
        <f>IFERROR(__xludf.DUMMYFUNCTION("""COMPUTED_VALUE"""),248.0)</f>
        <v>248</v>
      </c>
      <c r="B249" s="2" t="str">
        <f>IFERROR(__xludf.DUMMYFUNCTION("""COMPUTED_VALUE"""),"Patalkot Khola Hydropower Project")</f>
        <v>Patalkot Khola Hydropower Project</v>
      </c>
      <c r="C249" s="2">
        <f>IFERROR(__xludf.DUMMYFUNCTION("""COMPUTED_VALUE"""),4.45)</f>
        <v>4.45</v>
      </c>
      <c r="D249" s="2" t="str">
        <f>IFERROR(__xludf.DUMMYFUNCTION("""COMPUTED_VALUE"""),"Patalkot Khola")</f>
        <v>Patalkot Khola</v>
      </c>
      <c r="E249" s="2">
        <f>IFERROR(__xludf.DUMMYFUNCTION("""COMPUTED_VALUE"""),10423.0)</f>
        <v>10423</v>
      </c>
      <c r="F249" s="3">
        <f>IFERROR(__xludf.DUMMYFUNCTION("""COMPUTED_VALUE"""),66899.0)</f>
        <v>66899</v>
      </c>
      <c r="G249" s="2" t="str">
        <f>IFERROR(__xludf.DUMMYFUNCTION("""COMPUTED_VALUE"""),"Great himalayan power Company Pvt. Ltd")</f>
        <v>Great himalayan power Company Pvt. Ltd</v>
      </c>
      <c r="H249" s="2" t="str">
        <f>IFERROR(__xludf.DUMMYFUNCTION("""COMPUTED_VALUE"""),"lalitpur-4, Bagdole, kathmandu")</f>
        <v>lalitpur-4, Bagdole, kathmandu</v>
      </c>
      <c r="I249" s="2" t="str">
        <f>IFERROR(__xludf.DUMMYFUNCTION("""COMPUTED_VALUE"""),"29o 16' 13""")</f>
        <v>29o 16' 13"</v>
      </c>
      <c r="J249" s="2" t="str">
        <f>IFERROR(__xludf.DUMMYFUNCTION("""COMPUTED_VALUE"""),"29o 17' 47""")</f>
        <v>29o 17' 47"</v>
      </c>
      <c r="K249" s="2" t="str">
        <f>IFERROR(__xludf.DUMMYFUNCTION("""COMPUTED_VALUE"""),"82o 20' 51""")</f>
        <v>82o 20' 51"</v>
      </c>
      <c r="L249" s="2" t="str">
        <f>IFERROR(__xludf.DUMMYFUNCTION("""COMPUTED_VALUE"""),"82o 22' 11""")</f>
        <v>82o 22' 11"</v>
      </c>
      <c r="M249" s="2" t="str">
        <f>IFERROR(__xludf.DUMMYFUNCTION("""COMPUTED_VALUE"""),"Depalgaun (Jumla)")</f>
        <v>Depalgaun (Jumla)</v>
      </c>
    </row>
    <row r="250">
      <c r="A250" s="2">
        <f>IFERROR(__xludf.DUMMYFUNCTION("""COMPUTED_VALUE"""),249.0)</f>
        <v>249</v>
      </c>
      <c r="B250" s="2" t="str">
        <f>IFERROR(__xludf.DUMMYFUNCTION("""COMPUTED_VALUE"""),"Madi I Hydropower project")</f>
        <v>Madi I Hydropower project</v>
      </c>
      <c r="C250" s="2">
        <f>IFERROR(__xludf.DUMMYFUNCTION("""COMPUTED_VALUE"""),10.0)</f>
        <v>10</v>
      </c>
      <c r="D250" s="2" t="str">
        <f>IFERROR(__xludf.DUMMYFUNCTION("""COMPUTED_VALUE"""),"Madi Khola")</f>
        <v>Madi Khola</v>
      </c>
      <c r="E250" s="2">
        <f>IFERROR(__xludf.DUMMYFUNCTION("""COMPUTED_VALUE"""),10424.0)</f>
        <v>10424</v>
      </c>
      <c r="F250" s="3">
        <f>IFERROR(__xludf.DUMMYFUNCTION("""COMPUTED_VALUE"""),66899.0)</f>
        <v>66899</v>
      </c>
      <c r="G250" s="2" t="str">
        <f>IFERROR(__xludf.DUMMYFUNCTION("""COMPUTED_VALUE"""),"Shubha Shree Hydropower Private Limited")</f>
        <v>Shubha Shree Hydropower Private Limited</v>
      </c>
      <c r="H250" s="2" t="str">
        <f>IFERROR(__xludf.DUMMYFUNCTION("""COMPUTED_VALUE"""),"KMC-05, Kathmandu")</f>
        <v>KMC-05, Kathmandu</v>
      </c>
      <c r="I250" s="2" t="str">
        <f>IFERROR(__xludf.DUMMYFUNCTION("""COMPUTED_VALUE"""),"28o 20' 34""")</f>
        <v>28o 20' 34"</v>
      </c>
      <c r="J250" s="2" t="str">
        <f>IFERROR(__xludf.DUMMYFUNCTION("""COMPUTED_VALUE"""),"28o 23' 50""")</f>
        <v>28o 23' 50"</v>
      </c>
      <c r="K250" s="2" t="str">
        <f>IFERROR(__xludf.DUMMYFUNCTION("""COMPUTED_VALUE"""),"82o 30' 40""")</f>
        <v>82o 30' 40"</v>
      </c>
      <c r="L250" s="2" t="str">
        <f>IFERROR(__xludf.DUMMYFUNCTION("""COMPUTED_VALUE"""),"82o 35' 50""")</f>
        <v>82o 35' 50"</v>
      </c>
      <c r="M250" s="2"/>
    </row>
    <row r="251">
      <c r="A251" s="2">
        <f>IFERROR(__xludf.DUMMYFUNCTION("""COMPUTED_VALUE"""),250.0)</f>
        <v>250</v>
      </c>
      <c r="B251" s="2" t="str">
        <f>IFERROR(__xludf.DUMMYFUNCTION("""COMPUTED_VALUE"""),"Dorkhu Khola Hydropower Project")</f>
        <v>Dorkhu Khola Hydropower Project</v>
      </c>
      <c r="C251" s="2">
        <f>IFERROR(__xludf.DUMMYFUNCTION("""COMPUTED_VALUE"""),4.0)</f>
        <v>4</v>
      </c>
      <c r="D251" s="2" t="str">
        <f>IFERROR(__xludf.DUMMYFUNCTION("""COMPUTED_VALUE"""),"Dorkhu")</f>
        <v>Dorkhu</v>
      </c>
      <c r="E251" s="2">
        <f>IFERROR(__xludf.DUMMYFUNCTION("""COMPUTED_VALUE"""),10464.0)</f>
        <v>10464</v>
      </c>
      <c r="F251" s="3">
        <f>IFERROR(__xludf.DUMMYFUNCTION("""COMPUTED_VALUE"""),66900.0)</f>
        <v>66900</v>
      </c>
      <c r="G251" s="2" t="str">
        <f>IFERROR(__xludf.DUMMYFUNCTION("""COMPUTED_VALUE"""),"Sherpa Energy Private Limited")</f>
        <v>Sherpa Energy Private Limited</v>
      </c>
      <c r="H251" s="2" t="str">
        <f>IFERROR(__xludf.DUMMYFUNCTION("""COMPUTED_VALUE"""),"Boudha-6, Kathmandu")</f>
        <v>Boudha-6, Kathmandu</v>
      </c>
      <c r="I251" s="2" t="str">
        <f>IFERROR(__xludf.DUMMYFUNCTION("""COMPUTED_VALUE"""),"27o 55' 18""")</f>
        <v>27o 55' 18"</v>
      </c>
      <c r="J251" s="2" t="str">
        <f>IFERROR(__xludf.DUMMYFUNCTION("""COMPUTED_VALUE"""),"27o 56' 55""")</f>
        <v>27o 56' 55"</v>
      </c>
      <c r="K251" s="2" t="str">
        <f>IFERROR(__xludf.DUMMYFUNCTION("""COMPUTED_VALUE"""),"85o 18' 00""")</f>
        <v>85o 18' 00"</v>
      </c>
      <c r="L251" s="2" t="str">
        <f>IFERROR(__xludf.DUMMYFUNCTION("""COMPUTED_VALUE"""),"85o 19' 00""")</f>
        <v>85o 19' 00"</v>
      </c>
      <c r="M251" s="2" t="str">
        <f>IFERROR(__xludf.DUMMYFUNCTION("""COMPUTED_VALUE"""),"Kharanitar,Narjamandap (Nuwakot)")</f>
        <v>Kharanitar,Narjamandap (Nuwakot)</v>
      </c>
    </row>
    <row r="252">
      <c r="A252" s="2">
        <f>IFERROR(__xludf.DUMMYFUNCTION("""COMPUTED_VALUE"""),251.0)</f>
        <v>251</v>
      </c>
      <c r="B252" s="2" t="str">
        <f>IFERROR(__xludf.DUMMYFUNCTION("""COMPUTED_VALUE"""),"Tsum Valley Hydropower Project")</f>
        <v>Tsum Valley Hydropower Project</v>
      </c>
      <c r="C252" s="2">
        <f>IFERROR(__xludf.DUMMYFUNCTION("""COMPUTED_VALUE"""),4.8)</f>
        <v>4.8</v>
      </c>
      <c r="D252" s="2" t="str">
        <f>IFERROR(__xludf.DUMMYFUNCTION("""COMPUTED_VALUE"""),"Syar Khola")</f>
        <v>Syar Khola</v>
      </c>
      <c r="E252" s="2">
        <f>IFERROR(__xludf.DUMMYFUNCTION("""COMPUTED_VALUE"""),10473.0)</f>
        <v>10473</v>
      </c>
      <c r="F252" s="3">
        <f>IFERROR(__xludf.DUMMYFUNCTION("""COMPUTED_VALUE"""),66900.0)</f>
        <v>66900</v>
      </c>
      <c r="G252" s="2" t="str">
        <f>IFERROR(__xludf.DUMMYFUNCTION("""COMPUTED_VALUE"""),"Green Nepal Infrastructure Development Private Limited")</f>
        <v>Green Nepal Infrastructure Development Private Limited</v>
      </c>
      <c r="H252" s="2" t="str">
        <f>IFERROR(__xludf.DUMMYFUNCTION("""COMPUTED_VALUE"""),"Jhamsikhel-2, Lalitpur")</f>
        <v>Jhamsikhel-2, Lalitpur</v>
      </c>
      <c r="I252" s="2" t="str">
        <f>IFERROR(__xludf.DUMMYFUNCTION("""COMPUTED_VALUE"""),"28o 31' 14""")</f>
        <v>28o 31' 14"</v>
      </c>
      <c r="J252" s="2" t="str">
        <f>IFERROR(__xludf.DUMMYFUNCTION("""COMPUTED_VALUE"""),"28o 37' 45""")</f>
        <v>28o 37' 45"</v>
      </c>
      <c r="K252" s="2" t="str">
        <f>IFERROR(__xludf.DUMMYFUNCTION("""COMPUTED_VALUE"""),"85o 05' 00""")</f>
        <v>85o 05' 00"</v>
      </c>
      <c r="L252" s="2" t="str">
        <f>IFERROR(__xludf.DUMMYFUNCTION("""COMPUTED_VALUE"""),"85o 08' 00""")</f>
        <v>85o 08' 00"</v>
      </c>
      <c r="M252" s="2" t="str">
        <f>IFERROR(__xludf.DUMMYFUNCTION("""COMPUTED_VALUE"""),"Chhaikampar (Gorkha)")</f>
        <v>Chhaikampar (Gorkha)</v>
      </c>
    </row>
    <row r="253">
      <c r="A253" s="2">
        <f>IFERROR(__xludf.DUMMYFUNCTION("""COMPUTED_VALUE"""),252.0)</f>
        <v>252</v>
      </c>
      <c r="B253" s="2" t="str">
        <f>IFERROR(__xludf.DUMMYFUNCTION("""COMPUTED_VALUE"""),"Lower Mimiban Hydropower Project")</f>
        <v>Lower Mimiban Hydropower Project</v>
      </c>
      <c r="C253" s="2">
        <f>IFERROR(__xludf.DUMMYFUNCTION("""COMPUTED_VALUE"""),3.0)</f>
        <v>3</v>
      </c>
      <c r="D253" s="2" t="str">
        <f>IFERROR(__xludf.DUMMYFUNCTION("""COMPUTED_VALUE"""),"Mimiban Khola")</f>
        <v>Mimiban Khola</v>
      </c>
      <c r="E253" s="2">
        <f>IFERROR(__xludf.DUMMYFUNCTION("""COMPUTED_VALUE"""),10492.0)</f>
        <v>10492</v>
      </c>
      <c r="F253" s="2" t="str">
        <f>IFERROR(__xludf.DUMMYFUNCTION("""COMPUTED_VALUE"""),"2083-02-29")</f>
        <v>2083-02-29</v>
      </c>
      <c r="G253" s="2" t="str">
        <f>IFERROR(__xludf.DUMMYFUNCTION("""COMPUTED_VALUE"""),"Everbond Hydro Pvt. Ltd")</f>
        <v>Everbond Hydro Pvt. Ltd</v>
      </c>
      <c r="H253" s="2" t="str">
        <f>IFERROR(__xludf.DUMMYFUNCTION("""COMPUTED_VALUE"""),"Kusunti-13, lalitpur")</f>
        <v>Kusunti-13, lalitpur</v>
      </c>
      <c r="I253" s="2" t="str">
        <f>IFERROR(__xludf.DUMMYFUNCTION("""COMPUTED_VALUE"""),"29o 44' 46""")</f>
        <v>29o 44' 46"</v>
      </c>
      <c r="J253" s="2" t="str">
        <f>IFERROR(__xludf.DUMMYFUNCTION("""COMPUTED_VALUE"""),"29o 45' 30""")</f>
        <v>29o 45' 30"</v>
      </c>
      <c r="K253" s="2" t="str">
        <f>IFERROR(__xludf.DUMMYFUNCTION("""COMPUTED_VALUE"""),"82o 03' 35""")</f>
        <v>82o 03' 35"</v>
      </c>
      <c r="L253" s="2" t="str">
        <f>IFERROR(__xludf.DUMMYFUNCTION("""COMPUTED_VALUE"""),"82o 05' 00""")</f>
        <v>82o 05' 00"</v>
      </c>
      <c r="M253" s="2" t="str">
        <f>IFERROR(__xludf.DUMMYFUNCTION("""COMPUTED_VALUE"""),"Kot Danda (Mugu)")</f>
        <v>Kot Danda (Mugu)</v>
      </c>
    </row>
    <row r="254">
      <c r="A254" s="2">
        <f>IFERROR(__xludf.DUMMYFUNCTION("""COMPUTED_VALUE"""),253.0)</f>
        <v>253</v>
      </c>
      <c r="B254" s="2" t="str">
        <f>IFERROR(__xludf.DUMMYFUNCTION("""COMPUTED_VALUE"""),"Super Thulo Khola - A Hydropower Project")</f>
        <v>Super Thulo Khola - A Hydropower Project</v>
      </c>
      <c r="C254" s="2">
        <f>IFERROR(__xludf.DUMMYFUNCTION("""COMPUTED_VALUE"""),9.8)</f>
        <v>9.8</v>
      </c>
      <c r="D254" s="2" t="str">
        <f>IFERROR(__xludf.DUMMYFUNCTION("""COMPUTED_VALUE"""),"Thulo Khola")</f>
        <v>Thulo Khola</v>
      </c>
      <c r="E254" s="2">
        <f>IFERROR(__xludf.DUMMYFUNCTION("""COMPUTED_VALUE"""),10538.0)</f>
        <v>10538</v>
      </c>
      <c r="F254" s="3">
        <f>IFERROR(__xludf.DUMMYFUNCTION("""COMPUTED_VALUE"""),66901.0)</f>
        <v>66901</v>
      </c>
      <c r="G254" s="2" t="str">
        <f>IFERROR(__xludf.DUMMYFUNCTION("""COMPUTED_VALUE"""),"Toj Khola Power Private Limited")</f>
        <v>Toj Khola Power Private Limited</v>
      </c>
      <c r="H254" s="2" t="str">
        <f>IFERROR(__xludf.DUMMYFUNCTION("""COMPUTED_VALUE"""),"Nagarjun Municipality - 1, Kathmandu")</f>
        <v>Nagarjun Municipality - 1, Kathmandu</v>
      </c>
      <c r="I254" s="2" t="str">
        <f>IFERROR(__xludf.DUMMYFUNCTION("""COMPUTED_VALUE"""),"28o 37' 23""")</f>
        <v>28o 37' 23"</v>
      </c>
      <c r="J254" s="2" t="str">
        <f>IFERROR(__xludf.DUMMYFUNCTION("""COMPUTED_VALUE"""),"28o 38' 24""")</f>
        <v>28o 38' 24"</v>
      </c>
      <c r="K254" s="2" t="str">
        <f>IFERROR(__xludf.DUMMYFUNCTION("""COMPUTED_VALUE"""),"83o 31' 22""")</f>
        <v>83o 31' 22"</v>
      </c>
      <c r="L254" s="2" t="str">
        <f>IFERROR(__xludf.DUMMYFUNCTION("""COMPUTED_VALUE"""),"83o 32' 24""")</f>
        <v>83o 32' 24"</v>
      </c>
      <c r="M254" s="2" t="str">
        <f>IFERROR(__xludf.DUMMYFUNCTION("""COMPUTED_VALUE"""),"Kuinemangale (Myagdi)")</f>
        <v>Kuinemangale (Myagdi)</v>
      </c>
    </row>
    <row r="255">
      <c r="A255" s="2">
        <f>IFERROR(__xludf.DUMMYFUNCTION("""COMPUTED_VALUE"""),254.0)</f>
        <v>254</v>
      </c>
      <c r="B255" s="2" t="str">
        <f>IFERROR(__xludf.DUMMYFUNCTION("""COMPUTED_VALUE"""),"Kadari River hydropower Project")</f>
        <v>Kadari River hydropower Project</v>
      </c>
      <c r="C255" s="2">
        <f>IFERROR(__xludf.DUMMYFUNCTION("""COMPUTED_VALUE"""),4.75)</f>
        <v>4.75</v>
      </c>
      <c r="D255" s="2" t="str">
        <f>IFERROR(__xludf.DUMMYFUNCTION("""COMPUTED_VALUE"""),"Kadari Khola")</f>
        <v>Kadari Khola</v>
      </c>
      <c r="E255" s="2">
        <f>IFERROR(__xludf.DUMMYFUNCTION("""COMPUTED_VALUE"""),10541.0)</f>
        <v>10541</v>
      </c>
      <c r="F255" s="3">
        <f>IFERROR(__xludf.DUMMYFUNCTION("""COMPUTED_VALUE"""),66901.0)</f>
        <v>66901</v>
      </c>
      <c r="G255" s="2" t="str">
        <f>IFERROR(__xludf.DUMMYFUNCTION("""COMPUTED_VALUE"""),"Sumit Energy Limited")</f>
        <v>Sumit Energy Limited</v>
      </c>
      <c r="H255" s="2" t="str">
        <f>IFERROR(__xludf.DUMMYFUNCTION("""COMPUTED_VALUE"""),"Kathmandu-9")</f>
        <v>Kathmandu-9</v>
      </c>
      <c r="I255" s="2" t="str">
        <f>IFERROR(__xludf.DUMMYFUNCTION("""COMPUTED_VALUE"""),"29o 01' 36""")</f>
        <v>29o 01' 36"</v>
      </c>
      <c r="J255" s="2" t="str">
        <f>IFERROR(__xludf.DUMMYFUNCTION("""COMPUTED_VALUE"""),"29o 03' 24""")</f>
        <v>29o 03' 24"</v>
      </c>
      <c r="K255" s="2" t="str">
        <f>IFERROR(__xludf.DUMMYFUNCTION("""COMPUTED_VALUE"""),"82o 43' 02""")</f>
        <v>82o 43' 02"</v>
      </c>
      <c r="L255" s="2" t="str">
        <f>IFERROR(__xludf.DUMMYFUNCTION("""COMPUTED_VALUE"""),"82o 45' 56""")</f>
        <v>82o 45' 56"</v>
      </c>
      <c r="M255" s="2" t="str">
        <f>IFERROR(__xludf.DUMMYFUNCTION("""COMPUTED_VALUE"""),"Jufal (Dolpa)")</f>
        <v>Jufal (Dolpa)</v>
      </c>
    </row>
    <row r="256">
      <c r="A256" s="2">
        <f>IFERROR(__xludf.DUMMYFUNCTION("""COMPUTED_VALUE"""),255.0)</f>
        <v>255</v>
      </c>
      <c r="B256" s="2" t="str">
        <f>IFERROR(__xludf.DUMMYFUNCTION("""COMPUTED_VALUE"""),"Lower Betan Hydropower Project")</f>
        <v>Lower Betan Hydropower Project</v>
      </c>
      <c r="C256" s="2">
        <f>IFERROR(__xludf.DUMMYFUNCTION("""COMPUTED_VALUE"""),352.0)</f>
        <v>352</v>
      </c>
      <c r="D256" s="2" t="str">
        <f>IFERROR(__xludf.DUMMYFUNCTION("""COMPUTED_VALUE"""),"Karnali")</f>
        <v>Karnali</v>
      </c>
      <c r="E256" s="2">
        <f>IFERROR(__xludf.DUMMYFUNCTION("""COMPUTED_VALUE"""),10548.0)</f>
        <v>10548</v>
      </c>
      <c r="F256" s="3">
        <f>IFERROR(__xludf.DUMMYFUNCTION("""COMPUTED_VALUE"""),66901.0)</f>
        <v>66901</v>
      </c>
      <c r="G256" s="2" t="str">
        <f>IFERROR(__xludf.DUMMYFUNCTION("""COMPUTED_VALUE"""),"Aavan hydro Developers pvt. Ltd")</f>
        <v>Aavan hydro Developers pvt. Ltd</v>
      </c>
      <c r="H256" s="2" t="str">
        <f>IFERROR(__xludf.DUMMYFUNCTION("""COMPUTED_VALUE"""),"Sano Thimi, Bhaktapur")</f>
        <v>Sano Thimi, Bhaktapur</v>
      </c>
      <c r="I256" s="2" t="str">
        <f>IFERROR(__xludf.DUMMYFUNCTION("""COMPUTED_VALUE"""),"28o 48' 54""")</f>
        <v>28o 48' 54"</v>
      </c>
      <c r="J256" s="2" t="str">
        <f>IFERROR(__xludf.DUMMYFUNCTION("""COMPUTED_VALUE"""),"28o 58' 00""")</f>
        <v>28o 58' 00"</v>
      </c>
      <c r="K256" s="2" t="str">
        <f>IFERROR(__xludf.DUMMYFUNCTION("""COMPUTED_VALUE"""),"81o 00' 17""")</f>
        <v>81o 00' 17"</v>
      </c>
      <c r="L256" s="2" t="str">
        <f>IFERROR(__xludf.DUMMYFUNCTION("""COMPUTED_VALUE"""),"81o 11' 43""")</f>
        <v>81o 11' 43"</v>
      </c>
      <c r="M256" s="2" t="str">
        <f>IFERROR(__xludf.DUMMYFUNCTION("""COMPUTED_VALUE"""),"Basti (Achham)")</f>
        <v>Basti (Achham)</v>
      </c>
    </row>
    <row r="257">
      <c r="A257" s="2">
        <f>IFERROR(__xludf.DUMMYFUNCTION("""COMPUTED_VALUE"""),256.0)</f>
        <v>256</v>
      </c>
      <c r="B257" s="2" t="str">
        <f>IFERROR(__xludf.DUMMYFUNCTION("""COMPUTED_VALUE"""),"Badigad - Kaligandaki River Storage Hydropower Project")</f>
        <v>Badigad - Kaligandaki River Storage Hydropower Project</v>
      </c>
      <c r="C257" s="2">
        <f>IFERROR(__xludf.DUMMYFUNCTION("""COMPUTED_VALUE"""),30.0)</f>
        <v>30</v>
      </c>
      <c r="D257" s="2" t="str">
        <f>IFERROR(__xludf.DUMMYFUNCTION("""COMPUTED_VALUE"""),"Kali Gandaki")</f>
        <v>Kali Gandaki</v>
      </c>
      <c r="E257" s="2">
        <f>IFERROR(__xludf.DUMMYFUNCTION("""COMPUTED_VALUE"""),10634.0)</f>
        <v>10634</v>
      </c>
      <c r="F257" s="3">
        <f>IFERROR(__xludf.DUMMYFUNCTION("""COMPUTED_VALUE"""),66902.0)</f>
        <v>66902</v>
      </c>
      <c r="G257" s="2" t="str">
        <f>IFERROR(__xludf.DUMMYFUNCTION("""COMPUTED_VALUE"""),"Asian Power Company Private Limited")</f>
        <v>Asian Power Company Private Limited</v>
      </c>
      <c r="H257" s="2" t="str">
        <f>IFERROR(__xludf.DUMMYFUNCTION("""COMPUTED_VALUE"""),"Baluwatar-4, Kathmandu, Nepal")</f>
        <v>Baluwatar-4, Kathmandu, Nepal</v>
      </c>
      <c r="I257" s="2" t="str">
        <f>IFERROR(__xludf.DUMMYFUNCTION("""COMPUTED_VALUE"""),"27o 55' 00""")</f>
        <v>27o 55' 00"</v>
      </c>
      <c r="J257" s="2" t="str">
        <f>IFERROR(__xludf.DUMMYFUNCTION("""COMPUTED_VALUE"""),"27o 56' 59""")</f>
        <v>27o 56' 59"</v>
      </c>
      <c r="K257" s="2" t="str">
        <f>IFERROR(__xludf.DUMMYFUNCTION("""COMPUTED_VALUE"""),"83o 26' 12""")</f>
        <v>83o 26' 12"</v>
      </c>
      <c r="L257" s="2" t="str">
        <f>IFERROR(__xludf.DUMMYFUNCTION("""COMPUTED_VALUE"""),"83o 37' 20""")</f>
        <v>83o 37' 20"</v>
      </c>
      <c r="M257" s="2"/>
    </row>
    <row r="258">
      <c r="A258" s="2">
        <f>IFERROR(__xludf.DUMMYFUNCTION("""COMPUTED_VALUE"""),257.0)</f>
        <v>257</v>
      </c>
      <c r="B258" s="2" t="str">
        <f>IFERROR(__xludf.DUMMYFUNCTION("""COMPUTED_VALUE"""),"Upper Kodar hydropower Project")</f>
        <v>Upper Kodar hydropower Project</v>
      </c>
      <c r="C258" s="2">
        <f>IFERROR(__xludf.DUMMYFUNCTION("""COMPUTED_VALUE"""),4.5)</f>
        <v>4.5</v>
      </c>
      <c r="D258" s="2" t="str">
        <f>IFERROR(__xludf.DUMMYFUNCTION("""COMPUTED_VALUE"""),"Baddigad")</f>
        <v>Baddigad</v>
      </c>
      <c r="E258" s="2">
        <f>IFERROR(__xludf.DUMMYFUNCTION("""COMPUTED_VALUE"""),10646.0)</f>
        <v>10646</v>
      </c>
      <c r="F258" s="3">
        <f>IFERROR(__xludf.DUMMYFUNCTION("""COMPUTED_VALUE"""),66902.0)</f>
        <v>66902</v>
      </c>
      <c r="G258" s="2" t="str">
        <f>IFERROR(__xludf.DUMMYFUNCTION("""COMPUTED_VALUE"""),"Roshan Karki")</f>
        <v>Roshan Karki</v>
      </c>
      <c r="H258" s="2" t="str">
        <f>IFERROR(__xludf.DUMMYFUNCTION("""COMPUTED_VALUE"""),"Kavrepalanchowk")</f>
        <v>Kavrepalanchowk</v>
      </c>
      <c r="I258" s="2" t="str">
        <f>IFERROR(__xludf.DUMMYFUNCTION("""COMPUTED_VALUE"""),"29o 23' 20""")</f>
        <v>29o 23' 20"</v>
      </c>
      <c r="J258" s="2" t="str">
        <f>IFERROR(__xludf.DUMMYFUNCTION("""COMPUTED_VALUE"""),"29o 24' 11""")</f>
        <v>29o 24' 11"</v>
      </c>
      <c r="K258" s="2" t="str">
        <f>IFERROR(__xludf.DUMMYFUNCTION("""COMPUTED_VALUE"""),"81o 28' 33""")</f>
        <v>81o 28' 33"</v>
      </c>
      <c r="L258" s="2" t="str">
        <f>IFERROR(__xludf.DUMMYFUNCTION("""COMPUTED_VALUE"""),"81o 29' 33""")</f>
        <v>81o 29' 33"</v>
      </c>
      <c r="M258" s="2" t="str">
        <f>IFERROR(__xludf.DUMMYFUNCTION("""COMPUTED_VALUE"""),"Budhiganga (Bajura)")</f>
        <v>Budhiganga (Bajura)</v>
      </c>
    </row>
    <row r="259">
      <c r="A259" s="2">
        <f>IFERROR(__xludf.DUMMYFUNCTION("""COMPUTED_VALUE"""),258.0)</f>
        <v>258</v>
      </c>
      <c r="B259" s="2" t="str">
        <f>IFERROR(__xludf.DUMMYFUNCTION("""COMPUTED_VALUE"""),"Super baddiGad Hydropower Proejc")</f>
        <v>Super baddiGad Hydropower Proejc</v>
      </c>
      <c r="C259" s="2">
        <f>IFERROR(__xludf.DUMMYFUNCTION("""COMPUTED_VALUE"""),4.5)</f>
        <v>4.5</v>
      </c>
      <c r="D259" s="2" t="str">
        <f>IFERROR(__xludf.DUMMYFUNCTION("""COMPUTED_VALUE"""),"Baddigad")</f>
        <v>Baddigad</v>
      </c>
      <c r="E259" s="2">
        <f>IFERROR(__xludf.DUMMYFUNCTION("""COMPUTED_VALUE"""),10647.0)</f>
        <v>10647</v>
      </c>
      <c r="F259" s="3">
        <f>IFERROR(__xludf.DUMMYFUNCTION("""COMPUTED_VALUE"""),66902.0)</f>
        <v>66902</v>
      </c>
      <c r="G259" s="2" t="str">
        <f>IFERROR(__xludf.DUMMYFUNCTION("""COMPUTED_VALUE"""),"Pratikshya Raj Bakhati")</f>
        <v>Pratikshya Raj Bakhati</v>
      </c>
      <c r="H259" s="2" t="str">
        <f>IFERROR(__xludf.DUMMYFUNCTION("""COMPUTED_VALUE"""),"kathmandu-14")</f>
        <v>kathmandu-14</v>
      </c>
      <c r="I259" s="2" t="str">
        <f>IFERROR(__xludf.DUMMYFUNCTION("""COMPUTED_VALUE"""),"29o 33' 34""")</f>
        <v>29o 33' 34"</v>
      </c>
      <c r="J259" s="2" t="str">
        <f>IFERROR(__xludf.DUMMYFUNCTION("""COMPUTED_VALUE"""),"29o 34' 40""")</f>
        <v>29o 34' 40"</v>
      </c>
      <c r="K259" s="2" t="str">
        <f>IFERROR(__xludf.DUMMYFUNCTION("""COMPUTED_VALUE"""),"81o 36' 07""")</f>
        <v>81o 36' 07"</v>
      </c>
      <c r="L259" s="2" t="str">
        <f>IFERROR(__xludf.DUMMYFUNCTION("""COMPUTED_VALUE"""),"81o 37' 36""")</f>
        <v>81o 37' 36"</v>
      </c>
      <c r="M259" s="2" t="str">
        <f>IFERROR(__xludf.DUMMYFUNCTION("""COMPUTED_VALUE"""),"Chhatara (Bajura)")</f>
        <v>Chhatara (Bajura)</v>
      </c>
    </row>
    <row r="260">
      <c r="A260" s="2">
        <f>IFERROR(__xludf.DUMMYFUNCTION("""COMPUTED_VALUE"""),259.0)</f>
        <v>259</v>
      </c>
      <c r="B260" s="2" t="str">
        <f>IFERROR(__xludf.DUMMYFUNCTION("""COMPUTED_VALUE"""),"Sama - Budigandaki Hydropower Project")</f>
        <v>Sama - Budigandaki Hydropower Project</v>
      </c>
      <c r="C260" s="2">
        <f>IFERROR(__xludf.DUMMYFUNCTION("""COMPUTED_VALUE"""),4.3)</f>
        <v>4.3</v>
      </c>
      <c r="D260" s="2" t="str">
        <f>IFERROR(__xludf.DUMMYFUNCTION("""COMPUTED_VALUE"""),"Budhi Gandaki")</f>
        <v>Budhi Gandaki</v>
      </c>
      <c r="E260" s="2">
        <f>IFERROR(__xludf.DUMMYFUNCTION("""COMPUTED_VALUE"""),10648.0)</f>
        <v>10648</v>
      </c>
      <c r="F260" s="3">
        <f>IFERROR(__xludf.DUMMYFUNCTION("""COMPUTED_VALUE"""),66902.0)</f>
        <v>66902</v>
      </c>
      <c r="G260" s="2" t="str">
        <f>IFERROR(__xludf.DUMMYFUNCTION("""COMPUTED_VALUE"""),"Hydro Energy Concern Private Limited")</f>
        <v>Hydro Energy Concern Private Limited</v>
      </c>
      <c r="H260" s="2" t="str">
        <f>IFERROR(__xludf.DUMMYFUNCTION("""COMPUTED_VALUE"""),"Chandole - 4, Kathmandu, Nepal")</f>
        <v>Chandole - 4, Kathmandu, Nepal</v>
      </c>
      <c r="I260" s="2" t="str">
        <f>IFERROR(__xludf.DUMMYFUNCTION("""COMPUTED_VALUE"""),"28o 34' 00""")</f>
        <v>28o 34' 00"</v>
      </c>
      <c r="J260" s="2" t="str">
        <f>IFERROR(__xludf.DUMMYFUNCTION("""COMPUTED_VALUE"""),"28o 36' 00""")</f>
        <v>28o 36' 00"</v>
      </c>
      <c r="K260" s="2" t="str">
        <f>IFERROR(__xludf.DUMMYFUNCTION("""COMPUTED_VALUE"""),"84o 38' 30""")</f>
        <v>84o 38' 30"</v>
      </c>
      <c r="L260" s="2" t="str">
        <f>IFERROR(__xludf.DUMMYFUNCTION("""COMPUTED_VALUE"""),"84o 41' 15""")</f>
        <v>84o 41' 15"</v>
      </c>
      <c r="M260" s="2" t="str">
        <f>IFERROR(__xludf.DUMMYFUNCTION("""COMPUTED_VALUE"""),"Lho,Samagaun (Gorkha)")</f>
        <v>Lho,Samagaun (Gorkha)</v>
      </c>
    </row>
    <row r="261">
      <c r="A261" s="2">
        <f>IFERROR(__xludf.DUMMYFUNCTION("""COMPUTED_VALUE"""),260.0)</f>
        <v>260</v>
      </c>
      <c r="B261" s="2" t="str">
        <f>IFERROR(__xludf.DUMMYFUNCTION("""COMPUTED_VALUE"""),"Super Manang Small Hydropower Project")</f>
        <v>Super Manang Small Hydropower Project</v>
      </c>
      <c r="C261" s="2">
        <f>IFERROR(__xludf.DUMMYFUNCTION("""COMPUTED_VALUE"""),8.0)</f>
        <v>8</v>
      </c>
      <c r="D261" s="2" t="str">
        <f>IFERROR(__xludf.DUMMYFUNCTION("""COMPUTED_VALUE"""),"Marsyangdi")</f>
        <v>Marsyangdi</v>
      </c>
      <c r="E261" s="2">
        <f>IFERROR(__xludf.DUMMYFUNCTION("""COMPUTED_VALUE"""),10655.0)</f>
        <v>10655</v>
      </c>
      <c r="F261" s="3">
        <f>IFERROR(__xludf.DUMMYFUNCTION("""COMPUTED_VALUE"""),66903.0)</f>
        <v>66903</v>
      </c>
      <c r="G261" s="2" t="str">
        <f>IFERROR(__xludf.DUMMYFUNCTION("""COMPUTED_VALUE"""),"Manang Power Limited")</f>
        <v>Manang Power Limited</v>
      </c>
      <c r="H261" s="2" t="str">
        <f>IFERROR(__xludf.DUMMYFUNCTION("""COMPUTED_VALUE"""),"Naxal, Kathmandu, Nepal")</f>
        <v>Naxal, Kathmandu, Nepal</v>
      </c>
      <c r="I261" s="2" t="str">
        <f>IFERROR(__xludf.DUMMYFUNCTION("""COMPUTED_VALUE"""),"28o 38' 23""")</f>
        <v>28o 38' 23"</v>
      </c>
      <c r="J261" s="2" t="str">
        <f>IFERROR(__xludf.DUMMYFUNCTION("""COMPUTED_VALUE"""),"28o 39' 48""")</f>
        <v>28o 39' 48"</v>
      </c>
      <c r="K261" s="2" t="str">
        <f>IFERROR(__xludf.DUMMYFUNCTION("""COMPUTED_VALUE"""),"84o 01' 37""")</f>
        <v>84o 01' 37"</v>
      </c>
      <c r="L261" s="2" t="str">
        <f>IFERROR(__xludf.DUMMYFUNCTION("""COMPUTED_VALUE"""),"84o 04' 40""")</f>
        <v>84o 04' 40"</v>
      </c>
      <c r="M261" s="2" t="str">
        <f>IFERROR(__xludf.DUMMYFUNCTION("""COMPUTED_VALUE"""),"Bhakra,Manang,Tanki Manag (Manang)")</f>
        <v>Bhakra,Manang,Tanki Manag (Manang)</v>
      </c>
    </row>
    <row r="262">
      <c r="A262" s="2">
        <f>IFERROR(__xludf.DUMMYFUNCTION("""COMPUTED_VALUE"""),261.0)</f>
        <v>261</v>
      </c>
      <c r="B262" s="2" t="str">
        <f>IFERROR(__xludf.DUMMYFUNCTION("""COMPUTED_VALUE"""),"Super Siwa Khola - A Hydropower Project")</f>
        <v>Super Siwa Khola - A Hydropower Project</v>
      </c>
      <c r="C262" s="2">
        <f>IFERROR(__xludf.DUMMYFUNCTION("""COMPUTED_VALUE"""),4.94)</f>
        <v>4.94</v>
      </c>
      <c r="D262" s="2" t="str">
        <f>IFERROR(__xludf.DUMMYFUNCTION("""COMPUTED_VALUE"""),"Siwa Khola")</f>
        <v>Siwa Khola</v>
      </c>
      <c r="E262" s="2">
        <f>IFERROR(__xludf.DUMMYFUNCTION("""COMPUTED_VALUE"""),10693.0)</f>
        <v>10693</v>
      </c>
      <c r="F262" s="3">
        <f>IFERROR(__xludf.DUMMYFUNCTION("""COMPUTED_VALUE"""),66903.0)</f>
        <v>66903</v>
      </c>
      <c r="G262" s="2" t="str">
        <f>IFERROR(__xludf.DUMMYFUNCTION("""COMPUTED_VALUE"""),"Himalayan Energy Limited")</f>
        <v>Himalayan Energy Limited</v>
      </c>
      <c r="H262" s="2" t="str">
        <f>IFERROR(__xludf.DUMMYFUNCTION("""COMPUTED_VALUE"""),"KMC-31, Kathmandu")</f>
        <v>KMC-31, Kathmandu</v>
      </c>
      <c r="I262" s="2" t="str">
        <f>IFERROR(__xludf.DUMMYFUNCTION("""COMPUTED_VALUE"""),"27o 31' 40""")</f>
        <v>27o 31' 40"</v>
      </c>
      <c r="J262" s="2" t="str">
        <f>IFERROR(__xludf.DUMMYFUNCTION("""COMPUTED_VALUE"""),"27o 32' 50""")</f>
        <v>27o 32' 50"</v>
      </c>
      <c r="K262" s="2" t="str">
        <f>IFERROR(__xludf.DUMMYFUNCTION("""COMPUTED_VALUE"""),"87o 30' 50""")</f>
        <v>87o 30' 50"</v>
      </c>
      <c r="L262" s="2" t="str">
        <f>IFERROR(__xludf.DUMMYFUNCTION("""COMPUTED_VALUE"""),"87o 32' 01""")</f>
        <v>87o 32' 01"</v>
      </c>
      <c r="M262" s="2" t="str">
        <f>IFERROR(__xludf.DUMMYFUNCTION("""COMPUTED_VALUE"""),"Papung,Nalbu (Taplejung)")</f>
        <v>Papung,Nalbu (Taplejung)</v>
      </c>
    </row>
    <row r="263">
      <c r="A263" s="2">
        <f>IFERROR(__xludf.DUMMYFUNCTION("""COMPUTED_VALUE"""),262.0)</f>
        <v>262</v>
      </c>
      <c r="B263" s="2" t="str">
        <f>IFERROR(__xludf.DUMMYFUNCTION("""COMPUTED_VALUE"""),"Upprt Kodargad Hydropower Project")</f>
        <v>Upprt Kodargad Hydropower Project</v>
      </c>
      <c r="C263" s="2">
        <f>IFERROR(__xludf.DUMMYFUNCTION("""COMPUTED_VALUE"""),4.79)</f>
        <v>4.79</v>
      </c>
      <c r="D263" s="2" t="str">
        <f>IFERROR(__xludf.DUMMYFUNCTION("""COMPUTED_VALUE"""),"Kodar Gad")</f>
        <v>Kodar Gad</v>
      </c>
      <c r="E263" s="2">
        <f>IFERROR(__xludf.DUMMYFUNCTION("""COMPUTED_VALUE"""),10711.0)</f>
        <v>10711</v>
      </c>
      <c r="F263" s="3">
        <f>IFERROR(__xludf.DUMMYFUNCTION("""COMPUTED_VALUE"""),66903.0)</f>
        <v>66903</v>
      </c>
      <c r="G263" s="2" t="str">
        <f>IFERROR(__xludf.DUMMYFUNCTION("""COMPUTED_VALUE"""),"Pinnacle Power Pvt. Ltd")</f>
        <v>Pinnacle Power Pvt. Ltd</v>
      </c>
      <c r="H263" s="2" t="str">
        <f>IFERROR(__xludf.DUMMYFUNCTION("""COMPUTED_VALUE"""),"Lalitpur-4, Bagdol")</f>
        <v>Lalitpur-4, Bagdol</v>
      </c>
      <c r="I263" s="2" t="str">
        <f>IFERROR(__xludf.DUMMYFUNCTION("""COMPUTED_VALUE"""),"29o 23' 08""")</f>
        <v>29o 23' 08"</v>
      </c>
      <c r="J263" s="2" t="str">
        <f>IFERROR(__xludf.DUMMYFUNCTION("""COMPUTED_VALUE"""),"29o 25' 05""")</f>
        <v>29o 25' 05"</v>
      </c>
      <c r="K263" s="2" t="str">
        <f>IFERROR(__xludf.DUMMYFUNCTION("""COMPUTED_VALUE"""),"81o 28' 12""")</f>
        <v>81o 28' 12"</v>
      </c>
      <c r="L263" s="2" t="str">
        <f>IFERROR(__xludf.DUMMYFUNCTION("""COMPUTED_VALUE"""),"81o 30' 25""")</f>
        <v>81o 30' 25"</v>
      </c>
      <c r="M263" s="2" t="str">
        <f>IFERROR(__xludf.DUMMYFUNCTION("""COMPUTED_VALUE"""),"Chhatara (Bajura)")</f>
        <v>Chhatara (Bajura)</v>
      </c>
    </row>
    <row r="264">
      <c r="A264" s="2">
        <f>IFERROR(__xludf.DUMMYFUNCTION("""COMPUTED_VALUE"""),263.0)</f>
        <v>263</v>
      </c>
      <c r="B264" s="2" t="str">
        <f>IFERROR(__xludf.DUMMYFUNCTION("""COMPUTED_VALUE"""),"Sanu Khola Hydropower Project")</f>
        <v>Sanu Khola Hydropower Project</v>
      </c>
      <c r="C264" s="2">
        <f>IFERROR(__xludf.DUMMYFUNCTION("""COMPUTED_VALUE"""),2.57)</f>
        <v>2.57</v>
      </c>
      <c r="D264" s="2" t="str">
        <f>IFERROR(__xludf.DUMMYFUNCTION("""COMPUTED_VALUE"""),"Sanu Khola")</f>
        <v>Sanu Khola</v>
      </c>
      <c r="E264" s="2">
        <f>IFERROR(__xludf.DUMMYFUNCTION("""COMPUTED_VALUE"""),10743.0)</f>
        <v>10743</v>
      </c>
      <c r="F264" s="3">
        <f>IFERROR(__xludf.DUMMYFUNCTION("""COMPUTED_VALUE"""),66904.0)</f>
        <v>66904</v>
      </c>
      <c r="G264" s="2" t="str">
        <f>IFERROR(__xludf.DUMMYFUNCTION("""COMPUTED_VALUE"""),"Bhojpur Siwalaya Power Pvt. Ltd")</f>
        <v>Bhojpur Siwalaya Power Pvt. Ltd</v>
      </c>
      <c r="H264" s="2" t="str">
        <f>IFERROR(__xludf.DUMMYFUNCTION("""COMPUTED_VALUE"""),"Thapathali,, Kathmandu-11, 9851187011")</f>
        <v>Thapathali,, Kathmandu-11, 9851187011</v>
      </c>
      <c r="I264" s="2" t="str">
        <f>IFERROR(__xludf.DUMMYFUNCTION("""COMPUTED_VALUE"""),"27o 24' 05""")</f>
        <v>27o 24' 05"</v>
      </c>
      <c r="J264" s="2" t="str">
        <f>IFERROR(__xludf.DUMMYFUNCTION("""COMPUTED_VALUE"""),"27o 25' 59""")</f>
        <v>27o 25' 59"</v>
      </c>
      <c r="K264" s="2" t="str">
        <f>IFERROR(__xludf.DUMMYFUNCTION("""COMPUTED_VALUE"""),"86o 58' 12""")</f>
        <v>86o 58' 12"</v>
      </c>
      <c r="L264" s="2" t="str">
        <f>IFERROR(__xludf.DUMMYFUNCTION("""COMPUTED_VALUE"""),"86o 59' 02""")</f>
        <v>86o 59' 02"</v>
      </c>
      <c r="M264" s="2" t="str">
        <f>IFERROR(__xludf.DUMMYFUNCTION("""COMPUTED_VALUE"""),"Dobhane (Bhojpur)")</f>
        <v>Dobhane (Bhojpur)</v>
      </c>
    </row>
    <row r="265">
      <c r="A265" s="2">
        <f>IFERROR(__xludf.DUMMYFUNCTION("""COMPUTED_VALUE"""),264.0)</f>
        <v>264</v>
      </c>
      <c r="B265" s="2" t="str">
        <f>IFERROR(__xludf.DUMMYFUNCTION("""COMPUTED_VALUE"""),"Rati Khola Small Hydropower Project")</f>
        <v>Rati Khola Small Hydropower Project</v>
      </c>
      <c r="C265" s="2">
        <f>IFERROR(__xludf.DUMMYFUNCTION("""COMPUTED_VALUE"""),3.0)</f>
        <v>3</v>
      </c>
      <c r="D265" s="2" t="str">
        <f>IFERROR(__xludf.DUMMYFUNCTION("""COMPUTED_VALUE"""),"Rati Khola")</f>
        <v>Rati Khola</v>
      </c>
      <c r="E265" s="2">
        <f>IFERROR(__xludf.DUMMYFUNCTION("""COMPUTED_VALUE"""),10744.0)</f>
        <v>10744</v>
      </c>
      <c r="F265" s="3">
        <f>IFERROR(__xludf.DUMMYFUNCTION("""COMPUTED_VALUE"""),66904.0)</f>
        <v>66904</v>
      </c>
      <c r="G265" s="2" t="str">
        <f>IFERROR(__xludf.DUMMYFUNCTION("""COMPUTED_VALUE"""),"Ratikhola Hydropower Private Limited")</f>
        <v>Ratikhola Hydropower Private Limited</v>
      </c>
      <c r="H265" s="2" t="str">
        <f>IFERROR(__xludf.DUMMYFUNCTION("""COMPUTED_VALUE"""),"Modi RM, Parbat, Gandaki")</f>
        <v>Modi RM, Parbat, Gandaki</v>
      </c>
      <c r="I265" s="2" t="str">
        <f>IFERROR(__xludf.DUMMYFUNCTION("""COMPUTED_VALUE"""),"28o 13' 53""")</f>
        <v>28o 13' 53"</v>
      </c>
      <c r="J265" s="2" t="str">
        <f>IFERROR(__xludf.DUMMYFUNCTION("""COMPUTED_VALUE"""),"28o 15' 30""")</f>
        <v>28o 15' 30"</v>
      </c>
      <c r="K265" s="2" t="str">
        <f>IFERROR(__xludf.DUMMYFUNCTION("""COMPUTED_VALUE"""),"83o 42' 50""")</f>
        <v>83o 42' 50"</v>
      </c>
      <c r="L265" s="2" t="str">
        <f>IFERROR(__xludf.DUMMYFUNCTION("""COMPUTED_VALUE"""),"83o 44' 20""")</f>
        <v>83o 44' 20"</v>
      </c>
      <c r="M265" s="2" t="str">
        <f>IFERROR(__xludf.DUMMYFUNCTION("""COMPUTED_VALUE"""),"Durlung,Tilahar (Parbat)")</f>
        <v>Durlung,Tilahar (Parbat)</v>
      </c>
    </row>
    <row r="266">
      <c r="A266" s="2">
        <f>IFERROR(__xludf.DUMMYFUNCTION("""COMPUTED_VALUE"""),265.0)</f>
        <v>265</v>
      </c>
      <c r="B266" s="2" t="str">
        <f>IFERROR(__xludf.DUMMYFUNCTION("""COMPUTED_VALUE"""),"Taman Khola 1 Hydropower Project")</f>
        <v>Taman Khola 1 Hydropower Project</v>
      </c>
      <c r="C266" s="2">
        <f>IFERROR(__xludf.DUMMYFUNCTION("""COMPUTED_VALUE"""),4.8)</f>
        <v>4.8</v>
      </c>
      <c r="D266" s="2" t="str">
        <f>IFERROR(__xludf.DUMMYFUNCTION("""COMPUTED_VALUE"""),"Taman")</f>
        <v>Taman</v>
      </c>
      <c r="E266" s="2">
        <f>IFERROR(__xludf.DUMMYFUNCTION("""COMPUTED_VALUE"""),10750.0)</f>
        <v>10750</v>
      </c>
      <c r="F266" s="3">
        <f>IFERROR(__xludf.DUMMYFUNCTION("""COMPUTED_VALUE"""),66904.0)</f>
        <v>66904</v>
      </c>
      <c r="G266" s="2" t="str">
        <f>IFERROR(__xludf.DUMMYFUNCTION("""COMPUTED_VALUE"""),"Aaditya Hydropower Private Limited")</f>
        <v>Aaditya Hydropower Private Limited</v>
      </c>
      <c r="H266" s="2" t="str">
        <f>IFERROR(__xludf.DUMMYFUNCTION("""COMPUTED_VALUE"""),"Kathmandu, Nepal")</f>
        <v>Kathmandu, Nepal</v>
      </c>
      <c r="I266" s="2" t="str">
        <f>IFERROR(__xludf.DUMMYFUNCTION("""COMPUTED_VALUE"""),"28o 21' 18""")</f>
        <v>28o 21' 18"</v>
      </c>
      <c r="J266" s="2" t="str">
        <f>IFERROR(__xludf.DUMMYFUNCTION("""COMPUTED_VALUE"""),"28o 22' 30""")</f>
        <v>28o 22' 30"</v>
      </c>
      <c r="K266" s="2" t="str">
        <f>IFERROR(__xludf.DUMMYFUNCTION("""COMPUTED_VALUE"""),"83o 10' 45""")</f>
        <v>83o 10' 45"</v>
      </c>
      <c r="L266" s="2" t="str">
        <f>IFERROR(__xludf.DUMMYFUNCTION("""COMPUTED_VALUE"""),"83o 12' 20""")</f>
        <v>83o 12' 20"</v>
      </c>
      <c r="M266" s="2" t="str">
        <f>IFERROR(__xludf.DUMMYFUNCTION("""COMPUTED_VALUE"""),"Bungadovan,Burtiwang,Khunga (Baglung)")</f>
        <v>Bungadovan,Burtiwang,Khunga (Baglung)</v>
      </c>
    </row>
    <row r="267">
      <c r="A267" s="2">
        <f>IFERROR(__xludf.DUMMYFUNCTION("""COMPUTED_VALUE"""),266.0)</f>
        <v>266</v>
      </c>
      <c r="B267" s="2" t="str">
        <f>IFERROR(__xludf.DUMMYFUNCTION("""COMPUTED_VALUE"""),"Taman Khola 2 Hydropower Project")</f>
        <v>Taman Khola 2 Hydropower Project</v>
      </c>
      <c r="C267" s="2">
        <f>IFERROR(__xludf.DUMMYFUNCTION("""COMPUTED_VALUE"""),4.9)</f>
        <v>4.9</v>
      </c>
      <c r="D267" s="2" t="str">
        <f>IFERROR(__xludf.DUMMYFUNCTION("""COMPUTED_VALUE"""),"Taman")</f>
        <v>Taman</v>
      </c>
      <c r="E267" s="2">
        <f>IFERROR(__xludf.DUMMYFUNCTION("""COMPUTED_VALUE"""),10751.0)</f>
        <v>10751</v>
      </c>
      <c r="F267" s="3">
        <f>IFERROR(__xludf.DUMMYFUNCTION("""COMPUTED_VALUE"""),66904.0)</f>
        <v>66904</v>
      </c>
      <c r="G267" s="2" t="str">
        <f>IFERROR(__xludf.DUMMYFUNCTION("""COMPUTED_VALUE"""),"Aaditya Hydropower Private Limited")</f>
        <v>Aaditya Hydropower Private Limited</v>
      </c>
      <c r="H267" s="2" t="str">
        <f>IFERROR(__xludf.DUMMYFUNCTION("""COMPUTED_VALUE"""),"Kathmandu, Nepal")</f>
        <v>Kathmandu, Nepal</v>
      </c>
      <c r="I267" s="2" t="str">
        <f>IFERROR(__xludf.DUMMYFUNCTION("""COMPUTED_VALUE"""),"28o 22' 31""")</f>
        <v>28o 22' 31"</v>
      </c>
      <c r="J267" s="2" t="str">
        <f>IFERROR(__xludf.DUMMYFUNCTION("""COMPUTED_VALUE"""),"28o 24' 00""")</f>
        <v>28o 24' 00"</v>
      </c>
      <c r="K267" s="2" t="str">
        <f>IFERROR(__xludf.DUMMYFUNCTION("""COMPUTED_VALUE"""),"83o 11' 30""")</f>
        <v>83o 11' 30"</v>
      </c>
      <c r="L267" s="2" t="str">
        <f>IFERROR(__xludf.DUMMYFUNCTION("""COMPUTED_VALUE"""),"83o 12' 20""")</f>
        <v>83o 12' 20"</v>
      </c>
      <c r="M267" s="2" t="str">
        <f>IFERROR(__xludf.DUMMYFUNCTION("""COMPUTED_VALUE"""),"Bungadovan,Khunga (Baglung)")</f>
        <v>Bungadovan,Khunga (Baglung)</v>
      </c>
    </row>
    <row r="268">
      <c r="A268" s="2">
        <f>IFERROR(__xludf.DUMMYFUNCTION("""COMPUTED_VALUE"""),267.0)</f>
        <v>267</v>
      </c>
      <c r="B268" s="2" t="str">
        <f>IFERROR(__xludf.DUMMYFUNCTION("""COMPUTED_VALUE"""),"Phakphok Khola Hydropower Project")</f>
        <v>Phakphok Khola Hydropower Project</v>
      </c>
      <c r="C268" s="2">
        <f>IFERROR(__xludf.DUMMYFUNCTION("""COMPUTED_VALUE"""),4.7)</f>
        <v>4.7</v>
      </c>
      <c r="D268" s="2" t="str">
        <f>IFERROR(__xludf.DUMMYFUNCTION("""COMPUTED_VALUE"""),"Phak Phok Khola")</f>
        <v>Phak Phok Khola</v>
      </c>
      <c r="E268" s="2">
        <f>IFERROR(__xludf.DUMMYFUNCTION("""COMPUTED_VALUE"""),10811.0)</f>
        <v>10811</v>
      </c>
      <c r="F268" s="3">
        <f>IFERROR(__xludf.DUMMYFUNCTION("""COMPUTED_VALUE"""),66905.0)</f>
        <v>66905</v>
      </c>
      <c r="G268" s="2" t="str">
        <f>IFERROR(__xludf.DUMMYFUNCTION("""COMPUTED_VALUE"""),"Wonders Hydel Private Limited")</f>
        <v>Wonders Hydel Private Limited</v>
      </c>
      <c r="H268" s="2" t="str">
        <f>IFERROR(__xludf.DUMMYFUNCTION("""COMPUTED_VALUE"""),"KMC-05, Handigau, Kathmandu")</f>
        <v>KMC-05, Handigau, Kathmandu</v>
      </c>
      <c r="I268" s="2" t="str">
        <f>IFERROR(__xludf.DUMMYFUNCTION("""COMPUTED_VALUE"""),"26o 54' 52""")</f>
        <v>26o 54' 52"</v>
      </c>
      <c r="J268" s="2" t="str">
        <f>IFERROR(__xludf.DUMMYFUNCTION("""COMPUTED_VALUE"""),"26o 56' 44""")</f>
        <v>26o 56' 44"</v>
      </c>
      <c r="K268" s="2" t="str">
        <f>IFERROR(__xludf.DUMMYFUNCTION("""COMPUTED_VALUE"""),"87o 45' 38""")</f>
        <v>87o 45' 38"</v>
      </c>
      <c r="L268" s="2" t="str">
        <f>IFERROR(__xludf.DUMMYFUNCTION("""COMPUTED_VALUE"""),"87o 46' 15""")</f>
        <v>87o 46' 15"</v>
      </c>
      <c r="M268" s="2" t="str">
        <f>IFERROR(__xludf.DUMMYFUNCTION("""COMPUTED_VALUE"""),"Ektappa,Amchok,Phuyatappa,Gajurmukhi,Lumbe (Ilam)")</f>
        <v>Ektappa,Amchok,Phuyatappa,Gajurmukhi,Lumbe (Ilam)</v>
      </c>
    </row>
    <row r="269">
      <c r="A269" s="2">
        <f>IFERROR(__xludf.DUMMYFUNCTION("""COMPUTED_VALUE"""),268.0)</f>
        <v>268</v>
      </c>
      <c r="B269" s="2" t="str">
        <f>IFERROR(__xludf.DUMMYFUNCTION("""COMPUTED_VALUE"""),"Sharada Hydropower Project")</f>
        <v>Sharada Hydropower Project</v>
      </c>
      <c r="C269" s="2">
        <f>IFERROR(__xludf.DUMMYFUNCTION("""COMPUTED_VALUE"""),10.0)</f>
        <v>10</v>
      </c>
      <c r="D269" s="2" t="str">
        <f>IFERROR(__xludf.DUMMYFUNCTION("""COMPUTED_VALUE"""),"Sarada")</f>
        <v>Sarada</v>
      </c>
      <c r="E269" s="2">
        <f>IFERROR(__xludf.DUMMYFUNCTION("""COMPUTED_VALUE"""),10824.0)</f>
        <v>10824</v>
      </c>
      <c r="F269" s="3">
        <f>IFERROR(__xludf.DUMMYFUNCTION("""COMPUTED_VALUE"""),66908.0)</f>
        <v>66908</v>
      </c>
      <c r="G269" s="2" t="str">
        <f>IFERROR(__xludf.DUMMYFUNCTION("""COMPUTED_VALUE"""),"Golden Hydropower Pvt. Ltd")</f>
        <v>Golden Hydropower Pvt. Ltd</v>
      </c>
      <c r="H269" s="2" t="str">
        <f>IFERROR(__xludf.DUMMYFUNCTION("""COMPUTED_VALUE"""),"KMC-05")</f>
        <v>KMC-05</v>
      </c>
      <c r="I269" s="2" t="str">
        <f>IFERROR(__xludf.DUMMYFUNCTION("""COMPUTED_VALUE"""),"28o 16' 20""")</f>
        <v>28o 16' 20"</v>
      </c>
      <c r="J269" s="2" t="str">
        <f>IFERROR(__xludf.DUMMYFUNCTION("""COMPUTED_VALUE"""),"28o 20' 12""")</f>
        <v>28o 20' 12"</v>
      </c>
      <c r="K269" s="2" t="str">
        <f>IFERROR(__xludf.DUMMYFUNCTION("""COMPUTED_VALUE"""),"81o 53' 15""")</f>
        <v>81o 53' 15"</v>
      </c>
      <c r="L269" s="2" t="str">
        <f>IFERROR(__xludf.DUMMYFUNCTION("""COMPUTED_VALUE"""),"82o 00' 00""")</f>
        <v>82o 00' 00"</v>
      </c>
      <c r="M269" s="2" t="str">
        <f>IFERROR(__xludf.DUMMYFUNCTION("""COMPUTED_VALUE"""),"Damachaur (Salyan)")</f>
        <v>Damachaur (Salyan)</v>
      </c>
    </row>
    <row r="270">
      <c r="A270" s="2">
        <f>IFERROR(__xludf.DUMMYFUNCTION("""COMPUTED_VALUE"""),269.0)</f>
        <v>269</v>
      </c>
      <c r="B270" s="2" t="str">
        <f>IFERROR(__xludf.DUMMYFUNCTION("""COMPUTED_VALUE"""),"Super Yoksuwa Khola Hydroelectric Project")</f>
        <v>Super Yoksuwa Khola Hydroelectric Project</v>
      </c>
      <c r="C270" s="2">
        <f>IFERROR(__xludf.DUMMYFUNCTION("""COMPUTED_VALUE"""),2.0)</f>
        <v>2</v>
      </c>
      <c r="D270" s="2" t="str">
        <f>IFERROR(__xludf.DUMMYFUNCTION("""COMPUTED_VALUE"""),"Yoksuwa")</f>
        <v>Yoksuwa</v>
      </c>
      <c r="E270" s="2">
        <f>IFERROR(__xludf.DUMMYFUNCTION("""COMPUTED_VALUE"""),10833.0)</f>
        <v>10833</v>
      </c>
      <c r="F270" s="3">
        <f>IFERROR(__xludf.DUMMYFUNCTION("""COMPUTED_VALUE"""),66908.0)</f>
        <v>66908</v>
      </c>
      <c r="G270" s="2" t="str">
        <f>IFERROR(__xludf.DUMMYFUNCTION("""COMPUTED_VALUE"""),"Himalayan Holdings Private Limited")</f>
        <v>Himalayan Holdings Private Limited</v>
      </c>
      <c r="H270" s="2" t="str">
        <f>IFERROR(__xludf.DUMMYFUNCTION("""COMPUTED_VALUE"""),"Naxal - 01, Kathmandu, Nepal")</f>
        <v>Naxal - 01, Kathmandu, Nepal</v>
      </c>
      <c r="I270" s="2" t="str">
        <f>IFERROR(__xludf.DUMMYFUNCTION("""COMPUTED_VALUE"""),"27o 27' 25""")</f>
        <v>27o 27' 25"</v>
      </c>
      <c r="J270" s="2" t="str">
        <f>IFERROR(__xludf.DUMMYFUNCTION("""COMPUTED_VALUE"""),"27o 28' 25""")</f>
        <v>27o 28' 25"</v>
      </c>
      <c r="K270" s="2" t="str">
        <f>IFERROR(__xludf.DUMMYFUNCTION("""COMPUTED_VALUE"""),"87o 20' 43""")</f>
        <v>87o 20' 43"</v>
      </c>
      <c r="L270" s="2" t="str">
        <f>IFERROR(__xludf.DUMMYFUNCTION("""COMPUTED_VALUE"""),"87o 22' 16""")</f>
        <v>87o 22' 16"</v>
      </c>
      <c r="M270" s="2" t="str">
        <f>IFERROR(__xludf.DUMMYFUNCTION("""COMPUTED_VALUE"""),"Bahrabise Bazar (Sankhuwasabha)")</f>
        <v>Bahrabise Bazar (Sankhuwasabha)</v>
      </c>
    </row>
    <row r="271">
      <c r="A271" s="2">
        <f>IFERROR(__xludf.DUMMYFUNCTION("""COMPUTED_VALUE"""),270.0)</f>
        <v>270</v>
      </c>
      <c r="B271" s="2" t="str">
        <f>IFERROR(__xludf.DUMMYFUNCTION("""COMPUTED_VALUE"""),"Upper Leksuwa Hydropower Project")</f>
        <v>Upper Leksuwa Hydropower Project</v>
      </c>
      <c r="C271" s="2">
        <f>IFERROR(__xludf.DUMMYFUNCTION("""COMPUTED_VALUE"""),4.95)</f>
        <v>4.95</v>
      </c>
      <c r="D271" s="2" t="str">
        <f>IFERROR(__xludf.DUMMYFUNCTION("""COMPUTED_VALUE"""),"Leksuwa")</f>
        <v>Leksuwa</v>
      </c>
      <c r="E271" s="2">
        <f>IFERROR(__xludf.DUMMYFUNCTION("""COMPUTED_VALUE"""),10930.0)</f>
        <v>10930</v>
      </c>
      <c r="F271" s="3">
        <f>IFERROR(__xludf.DUMMYFUNCTION("""COMPUTED_VALUE"""),66909.0)</f>
        <v>66909</v>
      </c>
      <c r="G271" s="2" t="str">
        <f>IFERROR(__xludf.DUMMYFUNCTION("""COMPUTED_VALUE"""),"Build Energy Private Limited")</f>
        <v>Build Energy Private Limited</v>
      </c>
      <c r="H271" s="2" t="str">
        <f>IFERROR(__xludf.DUMMYFUNCTION("""COMPUTED_VALUE"""),"Madhyapur, Thimi, Bhaktapur")</f>
        <v>Madhyapur, Thimi, Bhaktapur</v>
      </c>
      <c r="I271" s="2" t="str">
        <f>IFERROR(__xludf.DUMMYFUNCTION("""COMPUTED_VALUE"""),"27o 40' 18""")</f>
        <v>27o 40' 18"</v>
      </c>
      <c r="J271" s="2" t="str">
        <f>IFERROR(__xludf.DUMMYFUNCTION("""COMPUTED_VALUE"""),"27o 41' 47""")</f>
        <v>27o 41' 47"</v>
      </c>
      <c r="K271" s="2" t="str">
        <f>IFERROR(__xludf.DUMMYFUNCTION("""COMPUTED_VALUE"""),"87o 25' 05""")</f>
        <v>87o 25' 05"</v>
      </c>
      <c r="L271" s="2" t="str">
        <f>IFERROR(__xludf.DUMMYFUNCTION("""COMPUTED_VALUE"""),"87o 27' 20""")</f>
        <v>87o 27' 20"</v>
      </c>
      <c r="M271" s="2" t="str">
        <f>IFERROR(__xludf.DUMMYFUNCTION("""COMPUTED_VALUE"""),"Chepuwa,Pawakhola (Sankhuwasabha)")</f>
        <v>Chepuwa,Pawakhola (Sankhuwasabha)</v>
      </c>
    </row>
    <row r="272">
      <c r="A272" s="2">
        <f>IFERROR(__xludf.DUMMYFUNCTION("""COMPUTED_VALUE"""),271.0)</f>
        <v>271</v>
      </c>
      <c r="B272" s="2" t="str">
        <f>IFERROR(__xludf.DUMMYFUNCTION("""COMPUTED_VALUE"""),"Daha Khola Hydropower Project")</f>
        <v>Daha Khola Hydropower Project</v>
      </c>
      <c r="C272" s="2">
        <f>IFERROR(__xludf.DUMMYFUNCTION("""COMPUTED_VALUE"""),2.85)</f>
        <v>2.85</v>
      </c>
      <c r="D272" s="2" t="str">
        <f>IFERROR(__xludf.DUMMYFUNCTION("""COMPUTED_VALUE"""),"Daha Khola")</f>
        <v>Daha Khola</v>
      </c>
      <c r="E272" s="2">
        <f>IFERROR(__xludf.DUMMYFUNCTION("""COMPUTED_VALUE"""),11012.0)</f>
        <v>11012</v>
      </c>
      <c r="F272" s="3">
        <f>IFERROR(__xludf.DUMMYFUNCTION("""COMPUTED_VALUE"""),66911.0)</f>
        <v>66911</v>
      </c>
      <c r="G272" s="2" t="str">
        <f>IFERROR(__xludf.DUMMYFUNCTION("""COMPUTED_VALUE"""),"GShivaganga hydropower Pvt. Ltd")</f>
        <v>GShivaganga hydropower Pvt. Ltd</v>
      </c>
      <c r="H272" s="2" t="str">
        <f>IFERROR(__xludf.DUMMYFUNCTION("""COMPUTED_VALUE"""),"Nagarjun-1, kathmandu")</f>
        <v>Nagarjun-1, kathmandu</v>
      </c>
      <c r="I272" s="2" t="str">
        <f>IFERROR(__xludf.DUMMYFUNCTION("""COMPUTED_VALUE"""),"28o 52' 44""")</f>
        <v>28o 52' 44"</v>
      </c>
      <c r="J272" s="2" t="str">
        <f>IFERROR(__xludf.DUMMYFUNCTION("""COMPUTED_VALUE"""),"28o 59' 00""")</f>
        <v>28o 59' 00"</v>
      </c>
      <c r="K272" s="2" t="str">
        <f>IFERROR(__xludf.DUMMYFUNCTION("""COMPUTED_VALUE"""),"82o 15' 00""")</f>
        <v>82o 15' 00"</v>
      </c>
      <c r="L272" s="2" t="str">
        <f>IFERROR(__xludf.DUMMYFUNCTION("""COMPUTED_VALUE"""),"82o 17' 23""")</f>
        <v>82o 17' 23"</v>
      </c>
      <c r="M272" s="2" t="str">
        <f>IFERROR(__xludf.DUMMYFUNCTION("""COMPUTED_VALUE"""),"Dajaru (Jajarkot)")</f>
        <v>Dajaru (Jajarkot)</v>
      </c>
    </row>
    <row r="273">
      <c r="A273" s="2">
        <f>IFERROR(__xludf.DUMMYFUNCTION("""COMPUTED_VALUE"""),272.0)</f>
        <v>272</v>
      </c>
      <c r="B273" s="2" t="str">
        <f>IFERROR(__xludf.DUMMYFUNCTION("""COMPUTED_VALUE"""),"Uppermost Neurigad Hydropower Project")</f>
        <v>Uppermost Neurigad Hydropower Project</v>
      </c>
      <c r="C273" s="2">
        <f>IFERROR(__xludf.DUMMYFUNCTION("""COMPUTED_VALUE"""),4.8)</f>
        <v>4.8</v>
      </c>
      <c r="D273" s="2" t="str">
        <f>IFERROR(__xludf.DUMMYFUNCTION("""COMPUTED_VALUE"""),"Neuri Gad")</f>
        <v>Neuri Gad</v>
      </c>
      <c r="E273" s="2">
        <f>IFERROR(__xludf.DUMMYFUNCTION("""COMPUTED_VALUE"""),11013.0)</f>
        <v>11013</v>
      </c>
      <c r="F273" s="3">
        <f>IFERROR(__xludf.DUMMYFUNCTION("""COMPUTED_VALUE"""),66911.0)</f>
        <v>66911</v>
      </c>
      <c r="G273" s="2" t="str">
        <f>IFERROR(__xludf.DUMMYFUNCTION("""COMPUTED_VALUE"""),"Arpan Jalbidyut Pvt. Ltd")</f>
        <v>Arpan Jalbidyut Pvt. Ltd</v>
      </c>
      <c r="H273" s="2" t="str">
        <f>IFERROR(__xludf.DUMMYFUNCTION("""COMPUTED_VALUE"""),"Kathmandu-3")</f>
        <v>Kathmandu-3</v>
      </c>
      <c r="I273" s="2" t="str">
        <f>IFERROR(__xludf.DUMMYFUNCTION("""COMPUTED_VALUE"""),"29o 24' 15""")</f>
        <v>29o 24' 15"</v>
      </c>
      <c r="J273" s="2" t="str">
        <f>IFERROR(__xludf.DUMMYFUNCTION("""COMPUTED_VALUE"""),"29o 25' 03""")</f>
        <v>29o 25' 03"</v>
      </c>
      <c r="K273" s="2" t="str">
        <f>IFERROR(__xludf.DUMMYFUNCTION("""COMPUTED_VALUE"""),"82o 18' 43""")</f>
        <v>82o 18' 43"</v>
      </c>
      <c r="L273" s="2" t="str">
        <f>IFERROR(__xludf.DUMMYFUNCTION("""COMPUTED_VALUE"""),"82o 19' 29""")</f>
        <v>82o 19' 29"</v>
      </c>
      <c r="M273" s="2" t="str">
        <f>IFERROR(__xludf.DUMMYFUNCTION("""COMPUTED_VALUE"""),"Chhumchaur (Jumla)")</f>
        <v>Chhumchaur (Jumla)</v>
      </c>
    </row>
    <row r="274">
      <c r="A274" s="2">
        <f>IFERROR(__xludf.DUMMYFUNCTION("""COMPUTED_VALUE"""),273.0)</f>
        <v>273</v>
      </c>
      <c r="B274" s="2" t="str">
        <f>IFERROR(__xludf.DUMMYFUNCTION("""COMPUTED_VALUE"""),"Tallo Indrawati Hydropower Project")</f>
        <v>Tallo Indrawati Hydropower Project</v>
      </c>
      <c r="C274" s="2">
        <f>IFERROR(__xludf.DUMMYFUNCTION("""COMPUTED_VALUE"""),5.0)</f>
        <v>5</v>
      </c>
      <c r="D274" s="2" t="str">
        <f>IFERROR(__xludf.DUMMYFUNCTION("""COMPUTED_VALUE"""),"Indrawati Khola")</f>
        <v>Indrawati Khola</v>
      </c>
      <c r="E274" s="2">
        <f>IFERROR(__xludf.DUMMYFUNCTION("""COMPUTED_VALUE"""),11035.0)</f>
        <v>11035</v>
      </c>
      <c r="F274" s="3">
        <f>IFERROR(__xludf.DUMMYFUNCTION("""COMPUTED_VALUE"""),66911.0)</f>
        <v>66911</v>
      </c>
      <c r="G274" s="2" t="str">
        <f>IFERROR(__xludf.DUMMYFUNCTION("""COMPUTED_VALUE"""),"Hydro Big Energy Private Limited")</f>
        <v>Hydro Big Energy Private Limited</v>
      </c>
      <c r="H274" s="2" t="str">
        <f>IFERROR(__xludf.DUMMYFUNCTION("""COMPUTED_VALUE"""),"KMC-5, Hadigaun, Kathmandu")</f>
        <v>KMC-5, Hadigaun, Kathmandu</v>
      </c>
      <c r="I274" s="2" t="str">
        <f>IFERROR(__xludf.DUMMYFUNCTION("""COMPUTED_VALUE"""),"27o 45' 30""")</f>
        <v>27o 45' 30"</v>
      </c>
      <c r="J274" s="2" t="str">
        <f>IFERROR(__xludf.DUMMYFUNCTION("""COMPUTED_VALUE"""),"27o 47' 50""")</f>
        <v>27o 47' 50"</v>
      </c>
      <c r="K274" s="2" t="str">
        <f>IFERROR(__xludf.DUMMYFUNCTION("""COMPUTED_VALUE"""),"85o 34' 07""")</f>
        <v>85o 34' 07"</v>
      </c>
      <c r="L274" s="2" t="str">
        <f>IFERROR(__xludf.DUMMYFUNCTION("""COMPUTED_VALUE"""),"85o 36' 07""")</f>
        <v>85o 36' 07"</v>
      </c>
      <c r="M274" s="2" t="str">
        <f>IFERROR(__xludf.DUMMYFUNCTION("""COMPUTED_VALUE"""),"Badegau,Sipa Pokhare,Sikharpur,Bansbari (Sindhupalchok)")</f>
        <v>Badegau,Sipa Pokhare,Sikharpur,Bansbari (Sindhupalchok)</v>
      </c>
    </row>
    <row r="275">
      <c r="A275" s="2">
        <f>IFERROR(__xludf.DUMMYFUNCTION("""COMPUTED_VALUE"""),274.0)</f>
        <v>274</v>
      </c>
      <c r="B275" s="2" t="str">
        <f>IFERROR(__xludf.DUMMYFUNCTION("""COMPUTED_VALUE"""),"Lower Bheri Storage Hydropower Project")</f>
        <v>Lower Bheri Storage Hydropower Project</v>
      </c>
      <c r="C275" s="2">
        <f>IFERROR(__xludf.DUMMYFUNCTION("""COMPUTED_VALUE"""),25.0)</f>
        <v>25</v>
      </c>
      <c r="D275" s="2" t="str">
        <f>IFERROR(__xludf.DUMMYFUNCTION("""COMPUTED_VALUE"""),"Bheri Nadi")</f>
        <v>Bheri Nadi</v>
      </c>
      <c r="E275" s="2">
        <f>IFERROR(__xludf.DUMMYFUNCTION("""COMPUTED_VALUE"""),11038.0)</f>
        <v>11038</v>
      </c>
      <c r="F275" s="3">
        <f>IFERROR(__xludf.DUMMYFUNCTION("""COMPUTED_VALUE"""),66912.0)</f>
        <v>66912</v>
      </c>
      <c r="G275" s="2" t="str">
        <f>IFERROR(__xludf.DUMMYFUNCTION("""COMPUTED_VALUE"""),"Everest Hydropower Pvt. Ltd")</f>
        <v>Everest Hydropower Pvt. Ltd</v>
      </c>
      <c r="H275" s="2" t="str">
        <f>IFERROR(__xludf.DUMMYFUNCTION("""COMPUTED_VALUE"""),"Jadibuti-32, kathmandu")</f>
        <v>Jadibuti-32, kathmandu</v>
      </c>
      <c r="I275" s="2" t="str">
        <f>IFERROR(__xludf.DUMMYFUNCTION("""COMPUTED_VALUE"""),"28o 29' 50""")</f>
        <v>28o 29' 50"</v>
      </c>
      <c r="J275" s="2" t="str">
        <f>IFERROR(__xludf.DUMMYFUNCTION("""COMPUTED_VALUE"""),"28o 40' 50""")</f>
        <v>28o 40' 50"</v>
      </c>
      <c r="K275" s="2" t="str">
        <f>IFERROR(__xludf.DUMMYFUNCTION("""COMPUTED_VALUE"""),"81o 23' 46""")</f>
        <v>81o 23' 46"</v>
      </c>
      <c r="L275" s="2" t="str">
        <f>IFERROR(__xludf.DUMMYFUNCTION("""COMPUTED_VALUE"""),"81o 43' 50""")</f>
        <v>81o 43' 50"</v>
      </c>
      <c r="M275" s="2" t="str">
        <f>IFERROR(__xludf.DUMMYFUNCTION("""COMPUTED_VALUE"""),"Chapre (Surkhet)")</f>
        <v>Chapre (Surkhet)</v>
      </c>
    </row>
    <row r="276">
      <c r="A276" s="2">
        <f>IFERROR(__xludf.DUMMYFUNCTION("""COMPUTED_VALUE"""),275.0)</f>
        <v>275</v>
      </c>
      <c r="B276" s="2" t="str">
        <f>IFERROR(__xludf.DUMMYFUNCTION("""COMPUTED_VALUE"""),"Gurgure Khola peaking Hydropower Project")</f>
        <v>Gurgure Khola peaking Hydropower Project</v>
      </c>
      <c r="C276" s="2">
        <f>IFERROR(__xludf.DUMMYFUNCTION("""COMPUTED_VALUE"""),4.9)</f>
        <v>4.9</v>
      </c>
      <c r="D276" s="2" t="str">
        <f>IFERROR(__xludf.DUMMYFUNCTION("""COMPUTED_VALUE"""),"Gurgure Khola")</f>
        <v>Gurgure Khola</v>
      </c>
      <c r="E276" s="2">
        <f>IFERROR(__xludf.DUMMYFUNCTION("""COMPUTED_VALUE"""),11062.0)</f>
        <v>11062</v>
      </c>
      <c r="F276" s="3">
        <f>IFERROR(__xludf.DUMMYFUNCTION("""COMPUTED_VALUE"""),66912.0)</f>
        <v>66912</v>
      </c>
      <c r="G276" s="2" t="str">
        <f>IFERROR(__xludf.DUMMYFUNCTION("""COMPUTED_VALUE"""),"Power Trade Nepal Pvt. Ltd")</f>
        <v>Power Trade Nepal Pvt. Ltd</v>
      </c>
      <c r="H276" s="2" t="str">
        <f>IFERROR(__xludf.DUMMYFUNCTION("""COMPUTED_VALUE"""),"Kusunti-13, lalitpur")</f>
        <v>Kusunti-13, lalitpur</v>
      </c>
      <c r="I276" s="2" t="str">
        <f>IFERROR(__xludf.DUMMYFUNCTION("""COMPUTED_VALUE"""),"29o 59' 00""")</f>
        <v>29o 59' 00"</v>
      </c>
      <c r="J276" s="2" t="str">
        <f>IFERROR(__xludf.DUMMYFUNCTION("""COMPUTED_VALUE"""),"30o 00' 00""")</f>
        <v>30o 00' 00"</v>
      </c>
      <c r="K276" s="2" t="str">
        <f>IFERROR(__xludf.DUMMYFUNCTION("""COMPUTED_VALUE"""),"81o 44' 20""")</f>
        <v>81o 44' 20"</v>
      </c>
      <c r="L276" s="2" t="str">
        <f>IFERROR(__xludf.DUMMYFUNCTION("""COMPUTED_VALUE"""),"81o 46' 20""")</f>
        <v>81o 46' 20"</v>
      </c>
      <c r="M276" s="2" t="str">
        <f>IFERROR(__xludf.DUMMYFUNCTION("""COMPUTED_VALUE"""),"Kermi (Humla)")</f>
        <v>Kermi (Humla)</v>
      </c>
    </row>
    <row r="277">
      <c r="A277" s="2">
        <f>IFERROR(__xludf.DUMMYFUNCTION("""COMPUTED_VALUE"""),276.0)</f>
        <v>276</v>
      </c>
      <c r="B277" s="2" t="str">
        <f>IFERROR(__xludf.DUMMYFUNCTION("""COMPUTED_VALUE"""),"Wonders Seti Hydropower Project")</f>
        <v>Wonders Seti Hydropower Project</v>
      </c>
      <c r="C277" s="2">
        <f>IFERROR(__xludf.DUMMYFUNCTION("""COMPUTED_VALUE"""),4.98)</f>
        <v>4.98</v>
      </c>
      <c r="D277" s="2" t="str">
        <f>IFERROR(__xludf.DUMMYFUNCTION("""COMPUTED_VALUE"""),"Seti Khola (Gandaki)")</f>
        <v>Seti Khola (Gandaki)</v>
      </c>
      <c r="E277" s="2">
        <f>IFERROR(__xludf.DUMMYFUNCTION("""COMPUTED_VALUE"""),11068.0)</f>
        <v>11068</v>
      </c>
      <c r="F277" s="3">
        <f>IFERROR(__xludf.DUMMYFUNCTION("""COMPUTED_VALUE"""),66912.0)</f>
        <v>66912</v>
      </c>
      <c r="G277" s="2" t="str">
        <f>IFERROR(__xludf.DUMMYFUNCTION("""COMPUTED_VALUE"""),"Hydro Big Energy Private Limited")</f>
        <v>Hydro Big Energy Private Limited</v>
      </c>
      <c r="H277" s="2" t="str">
        <f>IFERROR(__xludf.DUMMYFUNCTION("""COMPUTED_VALUE"""),"KMC-5, Hadigaun, Kathmandu")</f>
        <v>KMC-5, Hadigaun, Kathmandu</v>
      </c>
      <c r="I277" s="2" t="str">
        <f>IFERROR(__xludf.DUMMYFUNCTION("""COMPUTED_VALUE"""),"28o 09' 16""")</f>
        <v>28o 09' 16"</v>
      </c>
      <c r="J277" s="2" t="str">
        <f>IFERROR(__xludf.DUMMYFUNCTION("""COMPUTED_VALUE"""),"28o 10' 35""")</f>
        <v>28o 10' 35"</v>
      </c>
      <c r="K277" s="2" t="str">
        <f>IFERROR(__xludf.DUMMYFUNCTION("""COMPUTED_VALUE"""),"83o 59' 30""")</f>
        <v>83o 59' 30"</v>
      </c>
      <c r="L277" s="2" t="str">
        <f>IFERROR(__xludf.DUMMYFUNCTION("""COMPUTED_VALUE"""),"84o 01' 49""")</f>
        <v>84o 01' 49"</v>
      </c>
      <c r="M277" s="2" t="str">
        <f>IFERROR(__xludf.DUMMYFUNCTION("""COMPUTED_VALUE"""),"Bharatpokhari,Nimalpokhari,Pokhara N.P. (Kaski)")</f>
        <v>Bharatpokhari,Nimalpokhari,Pokhara N.P. (Kaski)</v>
      </c>
    </row>
    <row r="278">
      <c r="A278" s="2">
        <f>IFERROR(__xludf.DUMMYFUNCTION("""COMPUTED_VALUE"""),277.0)</f>
        <v>277</v>
      </c>
      <c r="B278" s="2" t="str">
        <f>IFERROR(__xludf.DUMMYFUNCTION("""COMPUTED_VALUE"""),"Upper Sano Milti Khola Hydropower Project")</f>
        <v>Upper Sano Milti Khola Hydropower Project</v>
      </c>
      <c r="C278" s="2">
        <f>IFERROR(__xludf.DUMMYFUNCTION("""COMPUTED_VALUE"""),3.0)</f>
        <v>3</v>
      </c>
      <c r="D278" s="2" t="str">
        <f>IFERROR(__xludf.DUMMYFUNCTION("""COMPUTED_VALUE"""),"Milti Khola")</f>
        <v>Milti Khola</v>
      </c>
      <c r="E278" s="2">
        <f>IFERROR(__xludf.DUMMYFUNCTION("""COMPUTED_VALUE"""),11146.0)</f>
        <v>11146</v>
      </c>
      <c r="F278" s="3">
        <f>IFERROR(__xludf.DUMMYFUNCTION("""COMPUTED_VALUE"""),66915.0)</f>
        <v>66915</v>
      </c>
      <c r="G278" s="2" t="str">
        <f>IFERROR(__xludf.DUMMYFUNCTION("""COMPUTED_VALUE"""),"Sapsu Energy Private Limited")</f>
        <v>Sapsu Energy Private Limited</v>
      </c>
      <c r="H278" s="2" t="str">
        <f>IFERROR(__xludf.DUMMYFUNCTION("""COMPUTED_VALUE"""),"KMC-07, Kathmandu")</f>
        <v>KMC-07, Kathmandu</v>
      </c>
      <c r="I278" s="2" t="str">
        <f>IFERROR(__xludf.DUMMYFUNCTION("""COMPUTED_VALUE"""),"27o 29' 40""")</f>
        <v>27o 29' 40"</v>
      </c>
      <c r="J278" s="2" t="str">
        <f>IFERROR(__xludf.DUMMYFUNCTION("""COMPUTED_VALUE"""),"27o 30' 30""")</f>
        <v>27o 30' 30"</v>
      </c>
      <c r="K278" s="2" t="str">
        <f>IFERROR(__xludf.DUMMYFUNCTION("""COMPUTED_VALUE"""),"86o 01' 15""")</f>
        <v>86o 01' 15"</v>
      </c>
      <c r="L278" s="2" t="str">
        <f>IFERROR(__xludf.DUMMYFUNCTION("""COMPUTED_VALUE"""),"86o 03' 00""")</f>
        <v>86o 03' 00"</v>
      </c>
      <c r="M278" s="2" t="str">
        <f>IFERROR(__xludf.DUMMYFUNCTION("""COMPUTED_VALUE"""),"Dandakharka,Melung (Dolakha)")</f>
        <v>Dandakharka,Melung (Dolakha)</v>
      </c>
    </row>
    <row r="279">
      <c r="A279" s="2">
        <f>IFERROR(__xludf.DUMMYFUNCTION("""COMPUTED_VALUE"""),278.0)</f>
        <v>278</v>
      </c>
      <c r="B279" s="2" t="str">
        <f>IFERROR(__xludf.DUMMYFUNCTION("""COMPUTED_VALUE"""),"Lower Khudi Khola Hydropower Project")</f>
        <v>Lower Khudi Khola Hydropower Project</v>
      </c>
      <c r="C279" s="2">
        <f>IFERROR(__xludf.DUMMYFUNCTION("""COMPUTED_VALUE"""),4.55)</f>
        <v>4.55</v>
      </c>
      <c r="D279" s="2" t="str">
        <f>IFERROR(__xludf.DUMMYFUNCTION("""COMPUTED_VALUE"""),"Khudi")</f>
        <v>Khudi</v>
      </c>
      <c r="E279" s="2">
        <f>IFERROR(__xludf.DUMMYFUNCTION("""COMPUTED_VALUE"""),11179.0)</f>
        <v>11179</v>
      </c>
      <c r="F279" s="3">
        <f>IFERROR(__xludf.DUMMYFUNCTION("""COMPUTED_VALUE"""),66915.0)</f>
        <v>66915</v>
      </c>
      <c r="G279" s="2" t="str">
        <f>IFERROR(__xludf.DUMMYFUNCTION("""COMPUTED_VALUE"""),"Greenedi Energy Limited")</f>
        <v>Greenedi Energy Limited</v>
      </c>
      <c r="H279" s="2" t="str">
        <f>IFERROR(__xludf.DUMMYFUNCTION("""COMPUTED_VALUE"""),"Pokhara MPC- 10, Kaski")</f>
        <v>Pokhara MPC- 10, Kaski</v>
      </c>
      <c r="I279" s="2" t="str">
        <f>IFERROR(__xludf.DUMMYFUNCTION("""COMPUTED_VALUE"""),"28o 16' 00""")</f>
        <v>28o 16' 00"</v>
      </c>
      <c r="J279" s="2" t="str">
        <f>IFERROR(__xludf.DUMMYFUNCTION("""COMPUTED_VALUE"""),"28o 17' 20""")</f>
        <v>28o 17' 20"</v>
      </c>
      <c r="K279" s="2" t="str">
        <f>IFERROR(__xludf.DUMMYFUNCTION("""COMPUTED_VALUE"""),"84o 20' 49""")</f>
        <v>84o 20' 49"</v>
      </c>
      <c r="L279" s="2" t="str">
        <f>IFERROR(__xludf.DUMMYFUNCTION("""COMPUTED_VALUE"""),"84o 21' 57""")</f>
        <v>84o 21' 57"</v>
      </c>
      <c r="M279" s="2" t="str">
        <f>IFERROR(__xludf.DUMMYFUNCTION("""COMPUTED_VALUE"""),"Khudi,Simpani,Bhulbhule (Lamjung)")</f>
        <v>Khudi,Simpani,Bhulbhule (Lamjung)</v>
      </c>
    </row>
    <row r="280">
      <c r="A280" s="2">
        <f>IFERROR(__xludf.DUMMYFUNCTION("""COMPUTED_VALUE"""),279.0)</f>
        <v>279</v>
      </c>
      <c r="B280" s="2" t="str">
        <f>IFERROR(__xludf.DUMMYFUNCTION("""COMPUTED_VALUE"""),"Tamakoshi V Cascade Hydropower Project")</f>
        <v>Tamakoshi V Cascade Hydropower Project</v>
      </c>
      <c r="C280" s="2">
        <f>IFERROR(__xludf.DUMMYFUNCTION("""COMPUTED_VALUE"""),22.0)</f>
        <v>22</v>
      </c>
      <c r="D280" s="2" t="str">
        <f>IFERROR(__xludf.DUMMYFUNCTION("""COMPUTED_VALUE"""),"Tama Koshi")</f>
        <v>Tama Koshi</v>
      </c>
      <c r="E280" s="2">
        <f>IFERROR(__xludf.DUMMYFUNCTION("""COMPUTED_VALUE"""),11181.0)</f>
        <v>11181</v>
      </c>
      <c r="F280" s="3">
        <f>IFERROR(__xludf.DUMMYFUNCTION("""COMPUTED_VALUE"""),66915.0)</f>
        <v>66915</v>
      </c>
      <c r="G280" s="2" t="str">
        <f>IFERROR(__xludf.DUMMYFUNCTION("""COMPUTED_VALUE"""),"Sharaa Energy Private Limited")</f>
        <v>Sharaa Energy Private Limited</v>
      </c>
      <c r="H280" s="2" t="str">
        <f>IFERROR(__xludf.DUMMYFUNCTION("""COMPUTED_VALUE"""),"KMC-32, Tinkune, Kathmandu")</f>
        <v>KMC-32, Tinkune, Kathmandu</v>
      </c>
      <c r="I280" s="2" t="str">
        <f>IFERROR(__xludf.DUMMYFUNCTION("""COMPUTED_VALUE"""),"27o 44' 05""")</f>
        <v>27o 44' 05"</v>
      </c>
      <c r="J280" s="2" t="str">
        <f>IFERROR(__xludf.DUMMYFUNCTION("""COMPUTED_VALUE"""),"27o 45' 00""")</f>
        <v>27o 45' 00"</v>
      </c>
      <c r="K280" s="2" t="str">
        <f>IFERROR(__xludf.DUMMYFUNCTION("""COMPUTED_VALUE"""),"86o 09' 55""")</f>
        <v>86o 09' 55"</v>
      </c>
      <c r="L280" s="2" t="str">
        <f>IFERROR(__xludf.DUMMYFUNCTION("""COMPUTED_VALUE"""),"86o 11' 18""")</f>
        <v>86o 11' 18"</v>
      </c>
      <c r="M280" s="2" t="str">
        <f>IFERROR(__xludf.DUMMYFUNCTION("""COMPUTED_VALUE"""),"Jhyaku,Laduk,Lamidada (Dolakha)")</f>
        <v>Jhyaku,Laduk,Lamidada (Dolakha)</v>
      </c>
    </row>
    <row r="281">
      <c r="A281" s="2">
        <f>IFERROR(__xludf.DUMMYFUNCTION("""COMPUTED_VALUE"""),280.0)</f>
        <v>280</v>
      </c>
      <c r="B281" s="2" t="str">
        <f>IFERROR(__xludf.DUMMYFUNCTION("""COMPUTED_VALUE"""),"Tamor Mewa - 2 Hydropower Project")</f>
        <v>Tamor Mewa - 2 Hydropower Project</v>
      </c>
      <c r="C281" s="2">
        <f>IFERROR(__xludf.DUMMYFUNCTION("""COMPUTED_VALUE"""),18.5)</f>
        <v>18.5</v>
      </c>
      <c r="D281" s="2" t="str">
        <f>IFERROR(__xludf.DUMMYFUNCTION("""COMPUTED_VALUE"""),"Tamor")</f>
        <v>Tamor</v>
      </c>
      <c r="E281" s="2">
        <f>IFERROR(__xludf.DUMMYFUNCTION("""COMPUTED_VALUE"""),11248.0)</f>
        <v>11248</v>
      </c>
      <c r="F281" s="3">
        <f>IFERROR(__xludf.DUMMYFUNCTION("""COMPUTED_VALUE"""),66916.0)</f>
        <v>66916</v>
      </c>
      <c r="G281" s="2" t="str">
        <f>IFERROR(__xludf.DUMMYFUNCTION("""COMPUTED_VALUE"""),"Green Nepal Infrastructure Development Private Limited")</f>
        <v>Green Nepal Infrastructure Development Private Limited</v>
      </c>
      <c r="H281" s="2" t="str">
        <f>IFERROR(__xludf.DUMMYFUNCTION("""COMPUTED_VALUE"""),"Jhamsikhel-2, Lalitpur")</f>
        <v>Jhamsikhel-2, Lalitpur</v>
      </c>
      <c r="I281" s="2" t="str">
        <f>IFERROR(__xludf.DUMMYFUNCTION("""COMPUTED_VALUE"""),"27o 13' 30""")</f>
        <v>27o 13' 30"</v>
      </c>
      <c r="J281" s="2" t="str">
        <f>IFERROR(__xludf.DUMMYFUNCTION("""COMPUTED_VALUE"""),"27o 20' 00""")</f>
        <v>27o 20' 00"</v>
      </c>
      <c r="K281" s="2" t="str">
        <f>IFERROR(__xludf.DUMMYFUNCTION("""COMPUTED_VALUE"""),"87o 39' 00""")</f>
        <v>87o 39' 00"</v>
      </c>
      <c r="L281" s="2" t="str">
        <f>IFERROR(__xludf.DUMMYFUNCTION("""COMPUTED_VALUE"""),"87o 45' 00""")</f>
        <v>87o 45' 00"</v>
      </c>
      <c r="M281" s="2" t="str">
        <f>IFERROR(__xludf.DUMMYFUNCTION("""COMPUTED_VALUE"""),"Phulbari,Nankholyang,Nidhuradin,Dokhu,Thechambu (Taplejung)")</f>
        <v>Phulbari,Nankholyang,Nidhuradin,Dokhu,Thechambu (Taplejung)</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1" t="str">
        <f>IFERROR(__xludf.DUMMYFUNCTION("IMPORTHTML(""https://www.doed.gov.np/pages/appslthermal/"",""table"",1)"),"S No")</f>
        <v>S No</v>
      </c>
      <c r="B1" s="1" t="str">
        <f>IFERROR(__xludf.DUMMYFUNCTION("""COMPUTED_VALUE"""),"Project")</f>
        <v>Project</v>
      </c>
      <c r="C1" s="1" t="str">
        <f>IFERROR(__xludf.DUMMYFUNCTION("""COMPUTED_VALUE"""),"Capacity (MW)")</f>
        <v>Capacity (MW)</v>
      </c>
      <c r="D1" s="1" t="str">
        <f>IFERROR(__xludf.DUMMYFUNCTION("""COMPUTED_VALUE"""),"Appn No")</f>
        <v>Appn No</v>
      </c>
      <c r="E1" s="1" t="str">
        <f>IFERROR(__xludf.DUMMYFUNCTION("""COMPUTED_VALUE"""),"Appn Date")</f>
        <v>Appn Date</v>
      </c>
      <c r="F1" s="1" t="str">
        <f>IFERROR(__xludf.DUMMYFUNCTION("""COMPUTED_VALUE"""),"Promoter")</f>
        <v>Promoter</v>
      </c>
      <c r="G1" s="1" t="str">
        <f>IFERROR(__xludf.DUMMYFUNCTION("""COMPUTED_VALUE"""),"Address")</f>
        <v>Address</v>
      </c>
      <c r="H1" s="1" t="str">
        <f>IFERROR(__xludf.DUMMYFUNCTION("""COMPUTED_VALUE"""),"Latitiude N")</f>
        <v>Latitiude N</v>
      </c>
      <c r="I1" s="1"/>
      <c r="J1" s="1" t="str">
        <f>IFERROR(__xludf.DUMMYFUNCTION("""COMPUTED_VALUE"""),"Longitude E")</f>
        <v>Longitude E</v>
      </c>
      <c r="K1" s="1"/>
      <c r="L1" s="1" t="str">
        <f>IFERROR(__xludf.DUMMYFUNCTION("""COMPUTED_VALUE"""),"VDC/District")</f>
        <v>VDC/District</v>
      </c>
      <c r="M1" s="1"/>
      <c r="N1" s="1"/>
      <c r="O1" s="1"/>
      <c r="P1" s="1"/>
      <c r="Q1" s="1"/>
      <c r="R1" s="1"/>
      <c r="S1" s="1"/>
      <c r="T1" s="1"/>
      <c r="U1" s="1"/>
      <c r="V1" s="1"/>
      <c r="W1" s="1"/>
      <c r="X1" s="1"/>
      <c r="Y1" s="1"/>
      <c r="Z1" s="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2" t="str">
        <f>IFERROR(__xludf.DUMMYFUNCTION("IMPORTHTML(""https://www.doed.gov.np/pages/appslsolar/"",""table"",1)"),"S No")</f>
        <v>S No</v>
      </c>
      <c r="B1" s="2" t="str">
        <f>IFERROR(__xludf.DUMMYFUNCTION("""COMPUTED_VALUE"""),"Project")</f>
        <v>Project</v>
      </c>
      <c r="C1" s="2" t="str">
        <f>IFERROR(__xludf.DUMMYFUNCTION("""COMPUTED_VALUE"""),"Capacity (MW)")</f>
        <v>Capacity (MW)</v>
      </c>
      <c r="D1" s="2" t="str">
        <f>IFERROR(__xludf.DUMMYFUNCTION("""COMPUTED_VALUE"""),"Appn No")</f>
        <v>Appn No</v>
      </c>
      <c r="E1" s="2" t="str">
        <f>IFERROR(__xludf.DUMMYFUNCTION("""COMPUTED_VALUE"""),"Appn Date")</f>
        <v>Appn Date</v>
      </c>
      <c r="F1" s="2" t="str">
        <f>IFERROR(__xludf.DUMMYFUNCTION("""COMPUTED_VALUE"""),"Promoter")</f>
        <v>Promoter</v>
      </c>
      <c r="G1" s="2" t="str">
        <f>IFERROR(__xludf.DUMMYFUNCTION("""COMPUTED_VALUE"""),"Address")</f>
        <v>Address</v>
      </c>
      <c r="H1" s="2" t="str">
        <f>IFERROR(__xludf.DUMMYFUNCTION("""COMPUTED_VALUE"""),"Latitiude N")</f>
        <v>Latitiude N</v>
      </c>
      <c r="I1" s="2"/>
      <c r="J1" s="2" t="str">
        <f>IFERROR(__xludf.DUMMYFUNCTION("""COMPUTED_VALUE"""),"Longitude E")</f>
        <v>Longitude E</v>
      </c>
      <c r="K1" s="2"/>
      <c r="L1" s="2" t="str">
        <f>IFERROR(__xludf.DUMMYFUNCTION("""COMPUTED_VALUE"""),"VDC/District")</f>
        <v>VDC/District</v>
      </c>
    </row>
    <row r="2">
      <c r="A2" s="2">
        <f>IFERROR(__xludf.DUMMYFUNCTION("""COMPUTED_VALUE"""),1.0)</f>
        <v>1</v>
      </c>
      <c r="B2" s="2" t="str">
        <f>IFERROR(__xludf.DUMMYFUNCTION("""COMPUTED_VALUE"""),"pratappur")</f>
        <v>pratappur</v>
      </c>
      <c r="C2" s="2">
        <f>IFERROR(__xludf.DUMMYFUNCTION("""COMPUTED_VALUE"""),0.0)</f>
        <v>0</v>
      </c>
      <c r="D2" s="2">
        <f>IFERROR(__xludf.DUMMYFUNCTION("""COMPUTED_VALUE"""),4113.0)</f>
        <v>4113</v>
      </c>
      <c r="E2" s="3">
        <f>IFERROR(__xludf.DUMMYFUNCTION("""COMPUTED_VALUE"""),66034.0)</f>
        <v>66034</v>
      </c>
      <c r="F2" s="2" t="str">
        <f>IFERROR(__xludf.DUMMYFUNCTION("""COMPUTED_VALUE"""),"Office of the Municipal Executive,Thakurbaba Municipality")</f>
        <v>Office of the Municipal Executive,Thakurbaba Municipality</v>
      </c>
      <c r="G2" s="2" t="str">
        <f>IFERROR(__xludf.DUMMYFUNCTION("""COMPUTED_VALUE"""),"Sainbar, Bardiya")</f>
        <v>Sainbar, Bardiya</v>
      </c>
      <c r="H2" s="2" t="str">
        <f>IFERROR(__xludf.DUMMYFUNCTION("""COMPUTED_VALUE"""),"28o 27' 56""")</f>
        <v>28o 27' 56"</v>
      </c>
      <c r="I2" s="2" t="str">
        <f>IFERROR(__xludf.DUMMYFUNCTION("""COMPUTED_VALUE"""),"28o 28' 03""")</f>
        <v>28o 28' 03"</v>
      </c>
      <c r="J2" s="2" t="str">
        <f>IFERROR(__xludf.DUMMYFUNCTION("""COMPUTED_VALUE"""),"81o 18' 43""")</f>
        <v>81o 18' 43"</v>
      </c>
      <c r="K2" s="2" t="str">
        <f>IFERROR(__xludf.DUMMYFUNCTION("""COMPUTED_VALUE"""),"81o 18' 47""")</f>
        <v>81o 18' 47"</v>
      </c>
      <c r="L2" s="2"/>
    </row>
    <row r="3">
      <c r="A3" s="2">
        <f>IFERROR(__xludf.DUMMYFUNCTION("""COMPUTED_VALUE"""),2.0)</f>
        <v>2</v>
      </c>
      <c r="B3" s="2" t="str">
        <f>IFERROR(__xludf.DUMMYFUNCTION("""COMPUTED_VALUE"""),"Gwaldubba Solar Energy Project")</f>
        <v>Gwaldubba Solar Energy Project</v>
      </c>
      <c r="C3" s="2">
        <f>IFERROR(__xludf.DUMMYFUNCTION("""COMPUTED_VALUE"""),1.0)</f>
        <v>1</v>
      </c>
      <c r="D3" s="2">
        <f>IFERROR(__xludf.DUMMYFUNCTION("""COMPUTED_VALUE"""),758.0)</f>
        <v>758</v>
      </c>
      <c r="E3" s="3">
        <f>IFERROR(__xludf.DUMMYFUNCTION("""COMPUTED_VALUE"""),66231.0)</f>
        <v>66231</v>
      </c>
      <c r="F3" s="2" t="str">
        <f>IFERROR(__xludf.DUMMYFUNCTION("""COMPUTED_VALUE"""),"Kankai Energy Private Limited (Applicant: Gauradaha Municipality)")</f>
        <v>Kankai Energy Private Limited (Applicant: Gauradaha Municipality)</v>
      </c>
      <c r="G3" s="2" t="str">
        <f>IFERROR(__xludf.DUMMYFUNCTION("""COMPUTED_VALUE"""),"Lzxmi Marg, Damak Municipality, Jhapa")</f>
        <v>Lzxmi Marg, Damak Municipality, Jhapa</v>
      </c>
      <c r="H3" s="2" t="str">
        <f>IFERROR(__xludf.DUMMYFUNCTION("""COMPUTED_VALUE"""),"26o 31' 05""")</f>
        <v>26o 31' 05"</v>
      </c>
      <c r="I3" s="2" t="str">
        <f>IFERROR(__xludf.DUMMYFUNCTION("""COMPUTED_VALUE"""),"26o 31' 10""")</f>
        <v>26o 31' 10"</v>
      </c>
      <c r="J3" s="2" t="str">
        <f>IFERROR(__xludf.DUMMYFUNCTION("""COMPUTED_VALUE"""),"87o 43' 31""")</f>
        <v>87o 43' 31"</v>
      </c>
      <c r="K3" s="2" t="str">
        <f>IFERROR(__xludf.DUMMYFUNCTION("""COMPUTED_VALUE"""),"87o 43' 40""")</f>
        <v>87o 43' 40"</v>
      </c>
      <c r="L3" s="2" t="str">
        <f>IFERROR(__xludf.DUMMYFUNCTION("""COMPUTED_VALUE"""),"Juropani (Jhapa)")</f>
        <v>Juropani (Jhapa)</v>
      </c>
    </row>
    <row r="4">
      <c r="A4" s="2">
        <f>IFERROR(__xludf.DUMMYFUNCTION("""COMPUTED_VALUE"""),3.0)</f>
        <v>3</v>
      </c>
      <c r="B4" s="2" t="str">
        <f>IFERROR(__xludf.DUMMYFUNCTION("""COMPUTED_VALUE"""),"Gadhawa Solar PV Project")</f>
        <v>Gadhawa Solar PV Project</v>
      </c>
      <c r="C4" s="2">
        <f>IFERROR(__xludf.DUMMYFUNCTION("""COMPUTED_VALUE"""),1.0)</f>
        <v>1</v>
      </c>
      <c r="D4" s="2">
        <f>IFERROR(__xludf.DUMMYFUNCTION("""COMPUTED_VALUE"""),4851.0)</f>
        <v>4851</v>
      </c>
      <c r="E4" s="3">
        <f>IFERROR(__xludf.DUMMYFUNCTION("""COMPUTED_VALUE"""),66392.0)</f>
        <v>66392</v>
      </c>
      <c r="F4" s="2" t="str">
        <f>IFERROR(__xludf.DUMMYFUNCTION("""COMPUTED_VALUE"""),"Gadhawa Rural Municipality (Applicant: J.B.N. Surya Urja Private Limited)")</f>
        <v>Gadhawa Rural Municipality (Applicant: J.B.N. Surya Urja Private Limited)</v>
      </c>
      <c r="G4" s="2" t="str">
        <f>IFERROR(__xludf.DUMMYFUNCTION("""COMPUTED_VALUE"""),"Lumbini Province (Applicant Address: Tarkeshower -6, Kathmandu)")</f>
        <v>Lumbini Province (Applicant Address: Tarkeshower -6, Kathmandu)</v>
      </c>
      <c r="H4" s="2" t="str">
        <f>IFERROR(__xludf.DUMMYFUNCTION("""COMPUTED_VALUE"""),"27o 48' 08""")</f>
        <v>27o 48' 08"</v>
      </c>
      <c r="I4" s="2" t="str">
        <f>IFERROR(__xludf.DUMMYFUNCTION("""COMPUTED_VALUE"""),"27o 48' 15""")</f>
        <v>27o 48' 15"</v>
      </c>
      <c r="J4" s="2" t="str">
        <f>IFERROR(__xludf.DUMMYFUNCTION("""COMPUTED_VALUE"""),"82o 33' 00""")</f>
        <v>82o 33' 00"</v>
      </c>
      <c r="K4" s="2" t="str">
        <f>IFERROR(__xludf.DUMMYFUNCTION("""COMPUTED_VALUE"""),"82o 33' 11""")</f>
        <v>82o 33' 11"</v>
      </c>
      <c r="L4" s="2" t="str">
        <f>IFERROR(__xludf.DUMMYFUNCTION("""COMPUTED_VALUE"""),"Gadhawa (Dang)")</f>
        <v>Gadhawa (Dang)</v>
      </c>
    </row>
    <row r="5">
      <c r="A5" s="2">
        <f>IFERROR(__xludf.DUMMYFUNCTION("""COMPUTED_VALUE"""),4.0)</f>
        <v>4</v>
      </c>
      <c r="B5" s="2" t="str">
        <f>IFERROR(__xludf.DUMMYFUNCTION("""COMPUTED_VALUE"""),"Baika Grid Connected Solar Project")</f>
        <v>Baika Grid Connected Solar Project</v>
      </c>
      <c r="C5" s="2">
        <f>IFERROR(__xludf.DUMMYFUNCTION("""COMPUTED_VALUE"""),5.0)</f>
        <v>5</v>
      </c>
      <c r="D5" s="2">
        <f>IFERROR(__xludf.DUMMYFUNCTION("""COMPUTED_VALUE"""),1017.0)</f>
        <v>1017</v>
      </c>
      <c r="E5" s="3">
        <f>IFERROR(__xludf.DUMMYFUNCTION("""COMPUTED_VALUE"""),66596.0)</f>
        <v>66596</v>
      </c>
      <c r="F5" s="2" t="str">
        <f>IFERROR(__xludf.DUMMYFUNCTION("""COMPUTED_VALUE"""),"Vidhyut Utpadan Company Limited")</f>
        <v>Vidhyut Utpadan Company Limited</v>
      </c>
      <c r="G5" s="2" t="str">
        <f>IFERROR(__xludf.DUMMYFUNCTION("""COMPUTED_VALUE"""),"Buddanagar, Kathmandu-10, Nepal")</f>
        <v>Buddanagar, Kathmandu-10, Nepal</v>
      </c>
      <c r="H5" s="2" t="str">
        <f>IFERROR(__xludf.DUMMYFUNCTION("""COMPUTED_VALUE"""),"28o 47' 23""")</f>
        <v>28o 47' 23"</v>
      </c>
      <c r="I5" s="2" t="str">
        <f>IFERROR(__xludf.DUMMYFUNCTION("""COMPUTED_VALUE"""),"28o 47' 42""")</f>
        <v>28o 47' 42"</v>
      </c>
      <c r="J5" s="2" t="str">
        <f>IFERROR(__xludf.DUMMYFUNCTION("""COMPUTED_VALUE"""),"81o 39' 03""")</f>
        <v>81o 39' 03"</v>
      </c>
      <c r="K5" s="2" t="str">
        <f>IFERROR(__xludf.DUMMYFUNCTION("""COMPUTED_VALUE"""),"81o 39' 27""")</f>
        <v>81o 39' 27"</v>
      </c>
      <c r="L5" s="2" t="str">
        <f>IFERROR(__xludf.DUMMYFUNCTION("""COMPUTED_VALUE"""),"Malika,Kal Bhairab,Gauri (Dailekh)")</f>
        <v>Malika,Kal Bhairab,Gauri (Dailekh)</v>
      </c>
    </row>
    <row r="6">
      <c r="A6" s="2">
        <f>IFERROR(__xludf.DUMMYFUNCTION("""COMPUTED_VALUE"""),5.0)</f>
        <v>5</v>
      </c>
      <c r="B6" s="2" t="str">
        <f>IFERROR(__xludf.DUMMYFUNCTION("""COMPUTED_VALUE"""),"Markhu Solar PV Plant")</f>
        <v>Markhu Solar PV Plant</v>
      </c>
      <c r="C6" s="2">
        <f>IFERROR(__xludf.DUMMYFUNCTION("""COMPUTED_VALUE"""),3.84)</f>
        <v>3.84</v>
      </c>
      <c r="D6" s="2">
        <f>IFERROR(__xludf.DUMMYFUNCTION("""COMPUTED_VALUE"""),3092.0)</f>
        <v>3092</v>
      </c>
      <c r="E6" s="3">
        <f>IFERROR(__xludf.DUMMYFUNCTION("""COMPUTED_VALUE"""),66682.0)</f>
        <v>66682</v>
      </c>
      <c r="F6" s="2" t="str">
        <f>IFERROR(__xludf.DUMMYFUNCTION("""COMPUTED_VALUE"""),"Nepal Electrcity Authority")</f>
        <v>Nepal Electrcity Authority</v>
      </c>
      <c r="G6" s="2" t="str">
        <f>IFERROR(__xludf.DUMMYFUNCTION("""COMPUTED_VALUE"""),"Darbarmarg, Kathmandu")</f>
        <v>Darbarmarg, Kathmandu</v>
      </c>
      <c r="H6" s="2" t="str">
        <f>IFERROR(__xludf.DUMMYFUNCTION("""COMPUTED_VALUE"""),"27o 36' 55""")</f>
        <v>27o 36' 55"</v>
      </c>
      <c r="I6" s="2" t="str">
        <f>IFERROR(__xludf.DUMMYFUNCTION("""COMPUTED_VALUE"""),"27o 37' 23""")</f>
        <v>27o 37' 23"</v>
      </c>
      <c r="J6" s="2" t="str">
        <f>IFERROR(__xludf.DUMMYFUNCTION("""COMPUTED_VALUE"""),"85o 08' 57""")</f>
        <v>85o 08' 57"</v>
      </c>
      <c r="K6" s="2" t="str">
        <f>IFERROR(__xludf.DUMMYFUNCTION("""COMPUTED_VALUE"""),"85o 09' 30""")</f>
        <v>85o 09' 30"</v>
      </c>
      <c r="L6" s="2" t="str">
        <f>IFERROR(__xludf.DUMMYFUNCTION("""COMPUTED_VALUE"""),"Chitlang,Markhu (Makawanpur)")</f>
        <v>Chitlang,Markhu (Makawanpur)</v>
      </c>
    </row>
    <row r="7">
      <c r="A7" s="2">
        <f>IFERROR(__xludf.DUMMYFUNCTION("""COMPUTED_VALUE"""),6.0)</f>
        <v>6</v>
      </c>
      <c r="B7" s="2" t="str">
        <f>IFERROR(__xludf.DUMMYFUNCTION("""COMPUTED_VALUE"""),"Dang Solar PV Project")</f>
        <v>Dang Solar PV Project</v>
      </c>
      <c r="C7" s="2">
        <f>IFERROR(__xludf.DUMMYFUNCTION("""COMPUTED_VALUE"""),3.0)</f>
        <v>3</v>
      </c>
      <c r="D7" s="2">
        <f>IFERROR(__xludf.DUMMYFUNCTION("""COMPUTED_VALUE"""),5156.0)</f>
        <v>5156</v>
      </c>
      <c r="E7" s="3">
        <f>IFERROR(__xludf.DUMMYFUNCTION("""COMPUTED_VALUE"""),66749.0)</f>
        <v>66749</v>
      </c>
      <c r="F7" s="2" t="str">
        <f>IFERROR(__xludf.DUMMYFUNCTION("""COMPUTED_VALUE"""),"Gorkha Congenial Energy &amp; Investment Private Limited")</f>
        <v>Gorkha Congenial Energy &amp; Investment Private Limited</v>
      </c>
      <c r="G7" s="2" t="str">
        <f>IFERROR(__xludf.DUMMYFUNCTION("""COMPUTED_VALUE"""),"KMC-11, Thapathali, Kathmandu, C.No. 01-4517898")</f>
        <v>KMC-11, Thapathali, Kathmandu, C.No. 01-4517898</v>
      </c>
      <c r="H7" s="2" t="str">
        <f>IFERROR(__xludf.DUMMYFUNCTION("""COMPUTED_VALUE"""),"27o 50' 24""")</f>
        <v>27o 50' 24"</v>
      </c>
      <c r="I7" s="2" t="str">
        <f>IFERROR(__xludf.DUMMYFUNCTION("""COMPUTED_VALUE"""),"27o 50' 35""")</f>
        <v>27o 50' 35"</v>
      </c>
      <c r="J7" s="2" t="str">
        <f>IFERROR(__xludf.DUMMYFUNCTION("""COMPUTED_VALUE"""),"82o 34' 58""")</f>
        <v>82o 34' 58"</v>
      </c>
      <c r="K7" s="2" t="str">
        <f>IFERROR(__xludf.DUMMYFUNCTION("""COMPUTED_VALUE"""),"82o 35' 20""")</f>
        <v>82o 35' 20"</v>
      </c>
      <c r="L7" s="2"/>
    </row>
    <row r="8">
      <c r="A8" s="2">
        <f>IFERROR(__xludf.DUMMYFUNCTION("""COMPUTED_VALUE"""),7.0)</f>
        <v>7</v>
      </c>
      <c r="B8" s="2" t="str">
        <f>IFERROR(__xludf.DUMMYFUNCTION("""COMPUTED_VALUE"""),"Suryakrishi Saurya Vidyut Aayojana")</f>
        <v>Suryakrishi Saurya Vidyut Aayojana</v>
      </c>
      <c r="C8" s="2">
        <f>IFERROR(__xludf.DUMMYFUNCTION("""COMPUTED_VALUE"""),7.5)</f>
        <v>7.5</v>
      </c>
      <c r="D8" s="2">
        <f>IFERROR(__xludf.DUMMYFUNCTION("""COMPUTED_VALUE"""),5608.0)</f>
        <v>5608</v>
      </c>
      <c r="E8" s="3">
        <f>IFERROR(__xludf.DUMMYFUNCTION("""COMPUTED_VALUE"""),66762.0)</f>
        <v>66762</v>
      </c>
      <c r="F8" s="2" t="str">
        <f>IFERROR(__xludf.DUMMYFUNCTION("""COMPUTED_VALUE"""),"Suryakrishi Urja Private Limited")</f>
        <v>Suryakrishi Urja Private Limited</v>
      </c>
      <c r="G8" s="2" t="str">
        <f>IFERROR(__xludf.DUMMYFUNCTION("""COMPUTED_VALUE"""),"KMC-3, Kathmandu")</f>
        <v>KMC-3, Kathmandu</v>
      </c>
      <c r="H8" s="2" t="str">
        <f>IFERROR(__xludf.DUMMYFUNCTION("""COMPUTED_VALUE"""),"27o 30' 17""")</f>
        <v>27o 30' 17"</v>
      </c>
      <c r="I8" s="2" t="str">
        <f>IFERROR(__xludf.DUMMYFUNCTION("""COMPUTED_VALUE"""),"27o 30' 48""")</f>
        <v>27o 30' 48"</v>
      </c>
      <c r="J8" s="2" t="str">
        <f>IFERROR(__xludf.DUMMYFUNCTION("""COMPUTED_VALUE"""),"84o 15' 38""")</f>
        <v>84o 15' 38"</v>
      </c>
      <c r="K8" s="2" t="str">
        <f>IFERROR(__xludf.DUMMYFUNCTION("""COMPUTED_VALUE"""),"84o 16' 23""")</f>
        <v>84o 16' 23"</v>
      </c>
      <c r="L8" s="2"/>
    </row>
    <row r="9">
      <c r="A9" s="2">
        <f>IFERROR(__xludf.DUMMYFUNCTION("""COMPUTED_VALUE"""),8.0)</f>
        <v>8</v>
      </c>
      <c r="B9" s="2" t="str">
        <f>IFERROR(__xludf.DUMMYFUNCTION("""COMPUTED_VALUE"""),"Solar PV Project in area of Tadi Khola (5MW) Hydropower Proj")</f>
        <v>Solar PV Project in area of Tadi Khola (5MW) Hydropower Proj</v>
      </c>
      <c r="C9" s="2">
        <f>IFERROR(__xludf.DUMMYFUNCTION("""COMPUTED_VALUE"""),0.768)</f>
        <v>0.768</v>
      </c>
      <c r="D9" s="2">
        <f>IFERROR(__xludf.DUMMYFUNCTION("""COMPUTED_VALUE"""),6234.0)</f>
        <v>6234</v>
      </c>
      <c r="E9" s="3">
        <f>IFERROR(__xludf.DUMMYFUNCTION("""COMPUTED_VALUE"""),66784.0)</f>
        <v>66784</v>
      </c>
      <c r="F9" s="2" t="str">
        <f>IFERROR(__xludf.DUMMYFUNCTION("""COMPUTED_VALUE"""),"Tandi Rural Municipality (Promoter:Mountain Energy Nepal Limited)")</f>
        <v>Tandi Rural Municipality (Promoter:Mountain Energy Nepal Limited)</v>
      </c>
      <c r="G9" s="2" t="str">
        <f>IFERROR(__xludf.DUMMYFUNCTION("""COMPUTED_VALUE"""),"Kharanitar, Nuwakot (Sunrise Bizz Park, 3rd Floor, Dillibazar, Kathmandu)")</f>
        <v>Kharanitar, Nuwakot (Sunrise Bizz Park, 3rd Floor, Dillibazar, Kathmandu)</v>
      </c>
      <c r="H9" s="2" t="str">
        <f>IFERROR(__xludf.DUMMYFUNCTION("""COMPUTED_VALUE"""),"27o 55' 19""")</f>
        <v>27o 55' 19"</v>
      </c>
      <c r="I9" s="2" t="str">
        <f>IFERROR(__xludf.DUMMYFUNCTION("""COMPUTED_VALUE"""),"27o 55' 21""")</f>
        <v>27o 55' 21"</v>
      </c>
      <c r="J9" s="2" t="str">
        <f>IFERROR(__xludf.DUMMYFUNCTION("""COMPUTED_VALUE"""),"85o 19' 36""")</f>
        <v>85o 19' 36"</v>
      </c>
      <c r="K9" s="2" t="str">
        <f>IFERROR(__xludf.DUMMYFUNCTION("""COMPUTED_VALUE"""),"85o 19' 38""")</f>
        <v>85o 19' 38"</v>
      </c>
      <c r="L9" s="2" t="str">
        <f>IFERROR(__xludf.DUMMYFUNCTION("""COMPUTED_VALUE"""),"Kharanitar (Nuwakot)")</f>
        <v>Kharanitar (Nuwakot)</v>
      </c>
    </row>
    <row r="10">
      <c r="A10" s="2">
        <f>IFERROR(__xludf.DUMMYFUNCTION("""COMPUTED_VALUE"""),9.0)</f>
        <v>9</v>
      </c>
      <c r="B10" s="2" t="str">
        <f>IFERROR(__xludf.DUMMYFUNCTION("""COMPUTED_VALUE"""),"Loharpatti Saurya PV project")</f>
        <v>Loharpatti Saurya PV project</v>
      </c>
      <c r="C10" s="2">
        <f>IFERROR(__xludf.DUMMYFUNCTION("""COMPUTED_VALUE"""),20.0)</f>
        <v>20</v>
      </c>
      <c r="D10" s="2">
        <f>IFERROR(__xludf.DUMMYFUNCTION("""COMPUTED_VALUE"""),6865.0)</f>
        <v>6865</v>
      </c>
      <c r="E10" s="3">
        <f>IFERROR(__xludf.DUMMYFUNCTION("""COMPUTED_VALUE"""),66809.0)</f>
        <v>66809</v>
      </c>
      <c r="F10" s="2" t="str">
        <f>IFERROR(__xludf.DUMMYFUNCTION("""COMPUTED_VALUE"""),"Prime Solar Private Limited")</f>
        <v>Prime Solar Private Limited</v>
      </c>
      <c r="G10" s="2" t="str">
        <f>IFERROR(__xludf.DUMMYFUNCTION("""COMPUTED_VALUE"""),"Level 5, Saket Complex, Tripureshwor, Ward No. 11, Kathmandu (01-5922976)")</f>
        <v>Level 5, Saket Complex, Tripureshwor, Ward No. 11, Kathmandu (01-5922976)</v>
      </c>
      <c r="H10" s="2" t="str">
        <f>IFERROR(__xludf.DUMMYFUNCTION("""COMPUTED_VALUE"""),"26o 50' 04""")</f>
        <v>26o 50' 04"</v>
      </c>
      <c r="I10" s="2" t="str">
        <f>IFERROR(__xludf.DUMMYFUNCTION("""COMPUTED_VALUE"""),"26o 50' 30""")</f>
        <v>26o 50' 30"</v>
      </c>
      <c r="J10" s="2" t="str">
        <f>IFERROR(__xludf.DUMMYFUNCTION("""COMPUTED_VALUE"""),"85o 52' 54""")</f>
        <v>85o 52' 54"</v>
      </c>
      <c r="K10" s="2" t="str">
        <f>IFERROR(__xludf.DUMMYFUNCTION("""COMPUTED_VALUE"""),"85o 53' 13""")</f>
        <v>85o 53' 13"</v>
      </c>
      <c r="L10" s="2" t="str">
        <f>IFERROR(__xludf.DUMMYFUNCTION("""COMPUTED_VALUE"""),"Dharmapur (Mahottari)")</f>
        <v>Dharmapur (Mahottari)</v>
      </c>
    </row>
    <row r="11">
      <c r="A11" s="2">
        <f>IFERROR(__xludf.DUMMYFUNCTION("""COMPUTED_VALUE"""),10.0)</f>
        <v>10</v>
      </c>
      <c r="B11" s="2" t="str">
        <f>IFERROR(__xludf.DUMMYFUNCTION("""COMPUTED_VALUE"""),"Kapilvastu Saurya Vidyut Aayojana")</f>
        <v>Kapilvastu Saurya Vidyut Aayojana</v>
      </c>
      <c r="C11" s="2">
        <f>IFERROR(__xludf.DUMMYFUNCTION("""COMPUTED_VALUE"""),30.0)</f>
        <v>30</v>
      </c>
      <c r="D11" s="2">
        <f>IFERROR(__xludf.DUMMYFUNCTION("""COMPUTED_VALUE"""),6949.0)</f>
        <v>6949</v>
      </c>
      <c r="E11" s="3">
        <f>IFERROR(__xludf.DUMMYFUNCTION("""COMPUTED_VALUE"""),66812.0)</f>
        <v>66812</v>
      </c>
      <c r="F11" s="2" t="str">
        <f>IFERROR(__xludf.DUMMYFUNCTION("""COMPUTED_VALUE"""),"Prime Power Limited")</f>
        <v>Prime Power Limited</v>
      </c>
      <c r="G11" s="2" t="str">
        <f>IFERROR(__xludf.DUMMYFUNCTION("""COMPUTED_VALUE"""),"Level 5, Saket Complex, Tripureshwor, Ward No. 11, Kathmandu (01-5922976)")</f>
        <v>Level 5, Saket Complex, Tripureshwor, Ward No. 11, Kathmandu (01-5922976)</v>
      </c>
      <c r="H11" s="2" t="str">
        <f>IFERROR(__xludf.DUMMYFUNCTION("""COMPUTED_VALUE"""),"27o 34' 15""")</f>
        <v>27o 34' 15"</v>
      </c>
      <c r="I11" s="2" t="str">
        <f>IFERROR(__xludf.DUMMYFUNCTION("""COMPUTED_VALUE"""),"27o 34' 45""")</f>
        <v>27o 34' 45"</v>
      </c>
      <c r="J11" s="2" t="str">
        <f>IFERROR(__xludf.DUMMYFUNCTION("""COMPUTED_VALUE"""),"82o 49' 22""")</f>
        <v>82o 49' 22"</v>
      </c>
      <c r="K11" s="2" t="str">
        <f>IFERROR(__xludf.DUMMYFUNCTION("""COMPUTED_VALUE"""),"82o 49' 55""")</f>
        <v>82o 49' 55"</v>
      </c>
      <c r="L11" s="2"/>
    </row>
    <row r="12">
      <c r="A12" s="2">
        <f>IFERROR(__xludf.DUMMYFUNCTION("""COMPUTED_VALUE"""),11.0)</f>
        <v>11</v>
      </c>
      <c r="B12" s="2" t="str">
        <f>IFERROR(__xludf.DUMMYFUNCTION("""COMPUTED_VALUE"""),"Banke Captive Solar PV Project")</f>
        <v>Banke Captive Solar PV Project</v>
      </c>
      <c r="C12" s="2">
        <f>IFERROR(__xludf.DUMMYFUNCTION("""COMPUTED_VALUE"""),10.0)</f>
        <v>10</v>
      </c>
      <c r="D12" s="2">
        <f>IFERROR(__xludf.DUMMYFUNCTION("""COMPUTED_VALUE"""),7231.0)</f>
        <v>7231</v>
      </c>
      <c r="E12" s="3">
        <f>IFERROR(__xludf.DUMMYFUNCTION("""COMPUTED_VALUE"""),66819.0)</f>
        <v>66819</v>
      </c>
      <c r="F12" s="2" t="str">
        <f>IFERROR(__xludf.DUMMYFUNCTION("""COMPUTED_VALUE"""),"Jay Ambe Steels Limited")</f>
        <v>Jay Ambe Steels Limited</v>
      </c>
      <c r="G12" s="2" t="str">
        <f>IFERROR(__xludf.DUMMYFUNCTION("""COMPUTED_VALUE"""),"Ambe Complex, 6th Floor, Teku Road, Kathmandu")</f>
        <v>Ambe Complex, 6th Floor, Teku Road, Kathmandu</v>
      </c>
      <c r="H12" s="2" t="str">
        <f>IFERROR(__xludf.DUMMYFUNCTION("""COMPUTED_VALUE"""),"28o 07' 16""")</f>
        <v>28o 07' 16"</v>
      </c>
      <c r="I12" s="2" t="str">
        <f>IFERROR(__xludf.DUMMYFUNCTION("""COMPUTED_VALUE"""),"28o 07' 32""")</f>
        <v>28o 07' 32"</v>
      </c>
      <c r="J12" s="2" t="str">
        <f>IFERROR(__xludf.DUMMYFUNCTION("""COMPUTED_VALUE"""),"81o 37' 39""")</f>
        <v>81o 37' 39"</v>
      </c>
      <c r="K12" s="2" t="str">
        <f>IFERROR(__xludf.DUMMYFUNCTION("""COMPUTED_VALUE"""),"81o 38' 01""")</f>
        <v>81o 38' 01"</v>
      </c>
      <c r="L12" s="2" t="str">
        <f>IFERROR(__xludf.DUMMYFUNCTION("""COMPUTED_VALUE"""),"Belahari,Ganapur (Banke)")</f>
        <v>Belahari,Ganapur (Banke)</v>
      </c>
    </row>
    <row r="13">
      <c r="A13" s="2">
        <f>IFERROR(__xludf.DUMMYFUNCTION("""COMPUTED_VALUE"""),12.0)</f>
        <v>12</v>
      </c>
      <c r="B13" s="2" t="str">
        <f>IFERROR(__xludf.DUMMYFUNCTION("""COMPUTED_VALUE"""),"Kapilvastu Captive Solar Power Plant (with BESS)")</f>
        <v>Kapilvastu Captive Solar Power Plant (with BESS)</v>
      </c>
      <c r="C13" s="2">
        <f>IFERROR(__xludf.DUMMYFUNCTION("""COMPUTED_VALUE"""),20.0)</f>
        <v>20</v>
      </c>
      <c r="D13" s="2">
        <f>IFERROR(__xludf.DUMMYFUNCTION("""COMPUTED_VALUE"""),7240.0)</f>
        <v>7240</v>
      </c>
      <c r="E13" s="3">
        <f>IFERROR(__xludf.DUMMYFUNCTION("""COMPUTED_VALUE"""),66820.0)</f>
        <v>66820</v>
      </c>
      <c r="F13" s="2" t="str">
        <f>IFERROR(__xludf.DUMMYFUNCTION("""COMPUTED_VALUE"""),"Vijayshri Steel Private Limited")</f>
        <v>Vijayshri Steel Private Limited</v>
      </c>
      <c r="G13" s="2" t="str">
        <f>IFERROR(__xludf.DUMMYFUNCTION("""COMPUTED_VALUE"""),"Krishnanagar, Kapilvastu")</f>
        <v>Krishnanagar, Kapilvastu</v>
      </c>
      <c r="H13" s="2" t="str">
        <f>IFERROR(__xludf.DUMMYFUNCTION("""COMPUTED_VALUE"""),"27o 36' 12""")</f>
        <v>27o 36' 12"</v>
      </c>
      <c r="I13" s="2" t="str">
        <f>IFERROR(__xludf.DUMMYFUNCTION("""COMPUTED_VALUE"""),"27o 36' 31""")</f>
        <v>27o 36' 31"</v>
      </c>
      <c r="J13" s="2" t="str">
        <f>IFERROR(__xludf.DUMMYFUNCTION("""COMPUTED_VALUE"""),"82o 51' 56""")</f>
        <v>82o 51' 56"</v>
      </c>
      <c r="K13" s="2" t="str">
        <f>IFERROR(__xludf.DUMMYFUNCTION("""COMPUTED_VALUE"""),"82o 52' 29""")</f>
        <v>82o 52' 29"</v>
      </c>
      <c r="L13" s="2"/>
    </row>
    <row r="14">
      <c r="A14" s="2">
        <f>IFERROR(__xludf.DUMMYFUNCTION("""COMPUTED_VALUE"""),13.0)</f>
        <v>13</v>
      </c>
      <c r="B14" s="2" t="str">
        <f>IFERROR(__xludf.DUMMYFUNCTION("""COMPUTED_VALUE"""),"Gorusinge Saurya Vidyut Aayojana")</f>
        <v>Gorusinge Saurya Vidyut Aayojana</v>
      </c>
      <c r="C14" s="2">
        <f>IFERROR(__xludf.DUMMYFUNCTION("""COMPUTED_VALUE"""),39.6)</f>
        <v>39.6</v>
      </c>
      <c r="D14" s="2">
        <f>IFERROR(__xludf.DUMMYFUNCTION("""COMPUTED_VALUE"""),7358.0)</f>
        <v>7358</v>
      </c>
      <c r="E14" s="3">
        <f>IFERROR(__xludf.DUMMYFUNCTION("""COMPUTED_VALUE"""),66822.0)</f>
        <v>66822</v>
      </c>
      <c r="F14" s="2" t="str">
        <f>IFERROR(__xludf.DUMMYFUNCTION("""COMPUTED_VALUE"""),"Renew Holdings Private Limited")</f>
        <v>Renew Holdings Private Limited</v>
      </c>
      <c r="G14" s="2" t="str">
        <f>IFERROR(__xludf.DUMMYFUNCTION("""COMPUTED_VALUE"""),"Kantipath, Kathmandu, Nepal")</f>
        <v>Kantipath, Kathmandu, Nepal</v>
      </c>
      <c r="H14" s="2" t="str">
        <f>IFERROR(__xludf.DUMMYFUNCTION("""COMPUTED_VALUE"""),"27o 38' 50""")</f>
        <v>27o 38' 50"</v>
      </c>
      <c r="I14" s="2" t="str">
        <f>IFERROR(__xludf.DUMMYFUNCTION("""COMPUTED_VALUE"""),"27o 39' 25""")</f>
        <v>27o 39' 25"</v>
      </c>
      <c r="J14" s="2" t="str">
        <f>IFERROR(__xludf.DUMMYFUNCTION("""COMPUTED_VALUE"""),"82o 59' 30""")</f>
        <v>82o 59' 30"</v>
      </c>
      <c r="K14" s="2" t="str">
        <f>IFERROR(__xludf.DUMMYFUNCTION("""COMPUTED_VALUE"""),"83o 00' 10""")</f>
        <v>83o 00' 10"</v>
      </c>
      <c r="L14" s="2"/>
    </row>
    <row r="15">
      <c r="A15" s="2">
        <f>IFERROR(__xludf.DUMMYFUNCTION("""COMPUTED_VALUE"""),14.0)</f>
        <v>14</v>
      </c>
      <c r="B15" s="2" t="str">
        <f>IFERROR(__xludf.DUMMYFUNCTION("""COMPUTED_VALUE"""),"Sarbottam Steels - Solar PV Project")</f>
        <v>Sarbottam Steels - Solar PV Project</v>
      </c>
      <c r="C15" s="2">
        <f>IFERROR(__xludf.DUMMYFUNCTION("""COMPUTED_VALUE"""),33.0)</f>
        <v>33</v>
      </c>
      <c r="D15" s="2">
        <f>IFERROR(__xludf.DUMMYFUNCTION("""COMPUTED_VALUE"""),7632.0)</f>
        <v>7632</v>
      </c>
      <c r="E15" s="3">
        <f>IFERROR(__xludf.DUMMYFUNCTION("""COMPUTED_VALUE"""),66829.0)</f>
        <v>66829</v>
      </c>
      <c r="F15" s="2" t="str">
        <f>IFERROR(__xludf.DUMMYFUNCTION("""COMPUTED_VALUE"""),"Energy Management Private Limited")</f>
        <v>Energy Management Private Limited</v>
      </c>
      <c r="G15" s="2" t="str">
        <f>IFERROR(__xludf.DUMMYFUNCTION("""COMPUTED_VALUE"""),"KMC-32, Kathmandu")</f>
        <v>KMC-32, Kathmandu</v>
      </c>
      <c r="H15" s="2" t="str">
        <f>IFERROR(__xludf.DUMMYFUNCTION("""COMPUTED_VALUE"""),"27o 05' 40""")</f>
        <v>27o 05' 40"</v>
      </c>
      <c r="I15" s="2" t="str">
        <f>IFERROR(__xludf.DUMMYFUNCTION("""COMPUTED_VALUE"""),"27o 06' 00""")</f>
        <v>27o 06' 00"</v>
      </c>
      <c r="J15" s="2" t="str">
        <f>IFERROR(__xludf.DUMMYFUNCTION("""COMPUTED_VALUE"""),"84o 52' 04""")</f>
        <v>84o 52' 04"</v>
      </c>
      <c r="K15" s="2" t="str">
        <f>IFERROR(__xludf.DUMMYFUNCTION("""COMPUTED_VALUE"""),"84o 52' 30""")</f>
        <v>84o 52' 30"</v>
      </c>
      <c r="L15" s="2" t="str">
        <f>IFERROR(__xludf.DUMMYFUNCTION("""COMPUTED_VALUE"""),"Bagahi,Udayapur Dhursi,Pancharukhi (Parsa)")</f>
        <v>Bagahi,Udayapur Dhursi,Pancharukhi (Parsa)</v>
      </c>
    </row>
    <row r="16">
      <c r="A16" s="2">
        <f>IFERROR(__xludf.DUMMYFUNCTION("""COMPUTED_VALUE"""),15.0)</f>
        <v>15</v>
      </c>
      <c r="B16" s="2" t="str">
        <f>IFERROR(__xludf.DUMMYFUNCTION("""COMPUTED_VALUE"""),"Jagdispur Saurya Vidyut Aayojana")</f>
        <v>Jagdispur Saurya Vidyut Aayojana</v>
      </c>
      <c r="C16" s="2">
        <f>IFERROR(__xludf.DUMMYFUNCTION("""COMPUTED_VALUE"""),10.0)</f>
        <v>10</v>
      </c>
      <c r="D16" s="2">
        <f>IFERROR(__xludf.DUMMYFUNCTION("""COMPUTED_VALUE"""),7635.0)</f>
        <v>7635</v>
      </c>
      <c r="E16" s="3">
        <f>IFERROR(__xludf.DUMMYFUNCTION("""COMPUTED_VALUE"""),66829.0)</f>
        <v>66829</v>
      </c>
      <c r="F16" s="2" t="str">
        <f>IFERROR(__xludf.DUMMYFUNCTION("""COMPUTED_VALUE"""),"Jagdispur Saurya Urja Private Limited")</f>
        <v>Jagdispur Saurya Urja Private Limited</v>
      </c>
      <c r="G16" s="2" t="str">
        <f>IFERROR(__xludf.DUMMYFUNCTION("""COMPUTED_VALUE"""),"Kageswari Manohara, Kathmandu")</f>
        <v>Kageswari Manohara, Kathmandu</v>
      </c>
      <c r="H16" s="2" t="str">
        <f>IFERROR(__xludf.DUMMYFUNCTION("""COMPUTED_VALUE"""),"27o 37' 16""")</f>
        <v>27o 37' 16"</v>
      </c>
      <c r="I16" s="2" t="str">
        <f>IFERROR(__xludf.DUMMYFUNCTION("""COMPUTED_VALUE"""),"27o 37' 34""")</f>
        <v>27o 37' 34"</v>
      </c>
      <c r="J16" s="2" t="str">
        <f>IFERROR(__xludf.DUMMYFUNCTION("""COMPUTED_VALUE"""),"83o 04' 29""")</f>
        <v>83o 04' 29"</v>
      </c>
      <c r="K16" s="2" t="str">
        <f>IFERROR(__xludf.DUMMYFUNCTION("""COMPUTED_VALUE"""),"83o 04' 47""")</f>
        <v>83o 04' 47"</v>
      </c>
      <c r="L16" s="2" t="str">
        <f>IFERROR(__xludf.DUMMYFUNCTION("""COMPUTED_VALUE"""),"Nigalihawa (Kapilbastu)")</f>
        <v>Nigalihawa (Kapilbastu)</v>
      </c>
    </row>
    <row r="17">
      <c r="A17" s="2">
        <f>IFERROR(__xludf.DUMMYFUNCTION("""COMPUTED_VALUE"""),16.0)</f>
        <v>16</v>
      </c>
      <c r="B17" s="2" t="str">
        <f>IFERROR(__xludf.DUMMYFUNCTION("""COMPUTED_VALUE"""),"Saghutar Solar Vidyut Aayojana")</f>
        <v>Saghutar Solar Vidyut Aayojana</v>
      </c>
      <c r="C17" s="2">
        <f>IFERROR(__xludf.DUMMYFUNCTION("""COMPUTED_VALUE"""),5.0)</f>
        <v>5</v>
      </c>
      <c r="D17" s="2">
        <f>IFERROR(__xludf.DUMMYFUNCTION("""COMPUTED_VALUE"""),9858.0)</f>
        <v>9858</v>
      </c>
      <c r="E17" s="3">
        <f>IFERROR(__xludf.DUMMYFUNCTION("""COMPUTED_VALUE"""),66884.0)</f>
        <v>66884</v>
      </c>
      <c r="F17" s="2" t="str">
        <f>IFERROR(__xludf.DUMMYFUNCTION("""COMPUTED_VALUE"""),"Annapurna Clean Energy Private Limited")</f>
        <v>Annapurna Clean Energy Private Limited</v>
      </c>
      <c r="G17" s="2" t="str">
        <f>IFERROR(__xludf.DUMMYFUNCTION("""COMPUTED_VALUE"""),"Madhyapur Thimi - 3, Bhaktapur")</f>
        <v>Madhyapur Thimi - 3, Bhaktapur</v>
      </c>
      <c r="H17" s="2" t="str">
        <f>IFERROR(__xludf.DUMMYFUNCTION("""COMPUTED_VALUE"""),"27o 20' 43""")</f>
        <v>27o 20' 43"</v>
      </c>
      <c r="I17" s="2" t="str">
        <f>IFERROR(__xludf.DUMMYFUNCTION("""COMPUTED_VALUE"""),"27o 20' 59""")</f>
        <v>27o 20' 59"</v>
      </c>
      <c r="J17" s="2" t="str">
        <f>IFERROR(__xludf.DUMMYFUNCTION("""COMPUTED_VALUE"""),"86o 12' 17""")</f>
        <v>86o 12' 17"</v>
      </c>
      <c r="K17" s="2" t="str">
        <f>IFERROR(__xludf.DUMMYFUNCTION("""COMPUTED_VALUE"""),"86o 12' 37""")</f>
        <v>86o 12' 37"</v>
      </c>
      <c r="L17" s="2" t="str">
        <f>IFERROR(__xludf.DUMMYFUNCTION("""COMPUTED_VALUE"""),"Sanghutar (Ramechhap)")</f>
        <v>Sanghutar (Ramechhap)</v>
      </c>
    </row>
    <row r="18">
      <c r="A18" s="2">
        <f>IFERROR(__xludf.DUMMYFUNCTION("""COMPUTED_VALUE"""),17.0)</f>
        <v>17</v>
      </c>
      <c r="B18" s="2" t="str">
        <f>IFERROR(__xludf.DUMMYFUNCTION("""COMPUTED_VALUE"""),"Rakathum Solar Vidyut Aayojana")</f>
        <v>Rakathum Solar Vidyut Aayojana</v>
      </c>
      <c r="C18" s="2">
        <f>IFERROR(__xludf.DUMMYFUNCTION("""COMPUTED_VALUE"""),10.0)</f>
        <v>10</v>
      </c>
      <c r="D18" s="2">
        <f>IFERROR(__xludf.DUMMYFUNCTION("""COMPUTED_VALUE"""),9859.0)</f>
        <v>9859</v>
      </c>
      <c r="E18" s="3">
        <f>IFERROR(__xludf.DUMMYFUNCTION("""COMPUTED_VALUE"""),66884.0)</f>
        <v>66884</v>
      </c>
      <c r="F18" s="2" t="str">
        <f>IFERROR(__xludf.DUMMYFUNCTION("""COMPUTED_VALUE"""),"Annapurna Clean Energy Private Limited")</f>
        <v>Annapurna Clean Energy Private Limited</v>
      </c>
      <c r="G18" s="2" t="str">
        <f>IFERROR(__xludf.DUMMYFUNCTION("""COMPUTED_VALUE"""),"Madhyapur Thimi - 3, Gatthaghar, Bhaktapur")</f>
        <v>Madhyapur Thimi - 3, Gatthaghar, Bhaktapur</v>
      </c>
      <c r="H18" s="2" t="str">
        <f>IFERROR(__xludf.DUMMYFUNCTION("""COMPUTED_VALUE"""),"27o 26' 12""")</f>
        <v>27o 26' 12"</v>
      </c>
      <c r="I18" s="2" t="str">
        <f>IFERROR(__xludf.DUMMYFUNCTION("""COMPUTED_VALUE"""),"27o 26' 35""")</f>
        <v>27o 26' 35"</v>
      </c>
      <c r="J18" s="2" t="str">
        <f>IFERROR(__xludf.DUMMYFUNCTION("""COMPUTED_VALUE"""),"85o 50' 52""")</f>
        <v>85o 50' 52"</v>
      </c>
      <c r="K18" s="2" t="str">
        <f>IFERROR(__xludf.DUMMYFUNCTION("""COMPUTED_VALUE"""),"85o 51' 13""")</f>
        <v>85o 51' 13"</v>
      </c>
      <c r="L18" s="2" t="str">
        <f>IFERROR(__xludf.DUMMYFUNCTION("""COMPUTED_VALUE"""),"Rakathum (Ramechhap)")</f>
        <v>Rakathum (Ramechhap)</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1" t="str">
        <f>IFERROR(__xludf.DUMMYFUNCTION("IMPORTHTML(""https://www.doed.gov.np/pages/appslwind/"",""table"",1)"),"S No")</f>
        <v>S No</v>
      </c>
      <c r="B1" s="1" t="str">
        <f>IFERROR(__xludf.DUMMYFUNCTION("""COMPUTED_VALUE"""),"Project")</f>
        <v>Project</v>
      </c>
      <c r="C1" s="1" t="str">
        <f>IFERROR(__xludf.DUMMYFUNCTION("""COMPUTED_VALUE"""),"Capacity (MW)")</f>
        <v>Capacity (MW)</v>
      </c>
      <c r="D1" s="1" t="str">
        <f>IFERROR(__xludf.DUMMYFUNCTION("""COMPUTED_VALUE"""),"Appn No")</f>
        <v>Appn No</v>
      </c>
      <c r="E1" s="1" t="str">
        <f>IFERROR(__xludf.DUMMYFUNCTION("""COMPUTED_VALUE"""),"Appn Date")</f>
        <v>Appn Date</v>
      </c>
      <c r="F1" s="1" t="str">
        <f>IFERROR(__xludf.DUMMYFUNCTION("""COMPUTED_VALUE"""),"Promoter")</f>
        <v>Promoter</v>
      </c>
      <c r="G1" s="1" t="str">
        <f>IFERROR(__xludf.DUMMYFUNCTION("""COMPUTED_VALUE"""),"Address")</f>
        <v>Address</v>
      </c>
      <c r="H1" s="1" t="str">
        <f>IFERROR(__xludf.DUMMYFUNCTION("""COMPUTED_VALUE"""),"Latitiude N")</f>
        <v>Latitiude N</v>
      </c>
      <c r="I1" s="1"/>
      <c r="J1" s="1" t="str">
        <f>IFERROR(__xludf.DUMMYFUNCTION("""COMPUTED_VALUE"""),"Longitude E")</f>
        <v>Longitude E</v>
      </c>
      <c r="K1" s="1"/>
      <c r="L1" s="1" t="str">
        <f>IFERROR(__xludf.DUMMYFUNCTION("""COMPUTED_VALUE"""),"VDC/District")</f>
        <v>VDC/District</v>
      </c>
      <c r="M1" s="1"/>
      <c r="N1" s="1"/>
      <c r="O1" s="1"/>
      <c r="P1" s="1"/>
      <c r="Q1" s="1"/>
      <c r="R1" s="1"/>
      <c r="S1" s="1"/>
      <c r="T1" s="1"/>
      <c r="U1" s="1"/>
      <c r="V1" s="1"/>
      <c r="W1" s="1"/>
      <c r="X1" s="1"/>
      <c r="Y1" s="1"/>
      <c r="Z1" s="1"/>
    </row>
    <row r="2">
      <c r="A2" s="2">
        <f>IFERROR(__xludf.DUMMYFUNCTION("""COMPUTED_VALUE"""),1.0)</f>
        <v>1</v>
      </c>
      <c r="B2" s="2" t="str">
        <f>IFERROR(__xludf.DUMMYFUNCTION("""COMPUTED_VALUE"""),"1 MW Wind Energy Mini Grid System")</f>
        <v>1 MW Wind Energy Mini Grid System</v>
      </c>
      <c r="C2" s="2">
        <f>IFERROR(__xludf.DUMMYFUNCTION("""COMPUTED_VALUE"""),1.0)</f>
        <v>1</v>
      </c>
      <c r="D2" s="2">
        <f>IFERROR(__xludf.DUMMYFUNCTION("""COMPUTED_VALUE"""),567.0)</f>
        <v>567</v>
      </c>
      <c r="E2" s="3">
        <f>IFERROR(__xludf.DUMMYFUNCTION("""COMPUTED_VALUE"""),64089.0)</f>
        <v>64089</v>
      </c>
      <c r="F2" s="2" t="str">
        <f>IFERROR(__xludf.DUMMYFUNCTION("""COMPUTED_VALUE"""),"Amarjyoti Bayu Urja Users' Committee via Tatopani RM")</f>
        <v>Amarjyoti Bayu Urja Users' Committee via Tatopani RM</v>
      </c>
      <c r="G2" s="2" t="str">
        <f>IFERROR(__xludf.DUMMYFUNCTION("""COMPUTED_VALUE"""),"Tatopani-2, Jumla")</f>
        <v>Tatopani-2, Jumla</v>
      </c>
      <c r="H2" s="2" t="str">
        <f>IFERROR(__xludf.DUMMYFUNCTION("""COMPUTED_VALUE"""),"29o 14' 02""")</f>
        <v>29o 14' 02"</v>
      </c>
      <c r="I2" s="2" t="str">
        <f>IFERROR(__xludf.DUMMYFUNCTION("""COMPUTED_VALUE"""),"29o 14' 09""")</f>
        <v>29o 14' 09"</v>
      </c>
      <c r="J2" s="2" t="str">
        <f>IFERROR(__xludf.DUMMYFUNCTION("""COMPUTED_VALUE"""),"82o 04' 03""")</f>
        <v>82o 04' 03"</v>
      </c>
      <c r="K2" s="2" t="str">
        <f>IFERROR(__xludf.DUMMYFUNCTION("""COMPUTED_VALUE"""),"82o 04' 04""")</f>
        <v>82o 04' 04"</v>
      </c>
      <c r="L2" s="2" t="str">
        <f>IFERROR(__xludf.DUMMYFUNCTION("""COMPUTED_VALUE"""),"Tatopani (Jumla)")</f>
        <v>Tatopani (Jumla)</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1" t="str">
        <f>IFERROR(__xludf.DUMMYFUNCTION("IMPORTHTML(""https://www.doed.gov.np/pages/appslbiomass/"",""table"",1)"),"S No")</f>
        <v>S No</v>
      </c>
      <c r="B1" s="1" t="str">
        <f>IFERROR(__xludf.DUMMYFUNCTION("""COMPUTED_VALUE"""),"Project")</f>
        <v>Project</v>
      </c>
      <c r="C1" s="1" t="str">
        <f>IFERROR(__xludf.DUMMYFUNCTION("""COMPUTED_VALUE"""),"Capacity (MW)")</f>
        <v>Capacity (MW)</v>
      </c>
      <c r="D1" s="1" t="str">
        <f>IFERROR(__xludf.DUMMYFUNCTION("""COMPUTED_VALUE"""),"Appn No")</f>
        <v>Appn No</v>
      </c>
      <c r="E1" s="1" t="str">
        <f>IFERROR(__xludf.DUMMYFUNCTION("""COMPUTED_VALUE"""),"Appn Date")</f>
        <v>Appn Date</v>
      </c>
      <c r="F1" s="1" t="str">
        <f>IFERROR(__xludf.DUMMYFUNCTION("""COMPUTED_VALUE"""),"Promoter")</f>
        <v>Promoter</v>
      </c>
      <c r="G1" s="1" t="str">
        <f>IFERROR(__xludf.DUMMYFUNCTION("""COMPUTED_VALUE"""),"Address")</f>
        <v>Address</v>
      </c>
      <c r="H1" s="1" t="str">
        <f>IFERROR(__xludf.DUMMYFUNCTION("""COMPUTED_VALUE"""),"Latitiude N")</f>
        <v>Latitiude N</v>
      </c>
      <c r="I1" s="1"/>
      <c r="J1" s="1" t="str">
        <f>IFERROR(__xludf.DUMMYFUNCTION("""COMPUTED_VALUE"""),"Longitude E")</f>
        <v>Longitude E</v>
      </c>
      <c r="K1" s="1"/>
      <c r="L1" s="1" t="str">
        <f>IFERROR(__xludf.DUMMYFUNCTION("""COMPUTED_VALUE"""),"VDC/District")</f>
        <v>VDC/District</v>
      </c>
      <c r="M1" s="1"/>
      <c r="N1" s="1"/>
      <c r="O1" s="1"/>
      <c r="P1" s="1"/>
      <c r="Q1" s="1"/>
      <c r="R1" s="1"/>
      <c r="S1" s="1"/>
      <c r="T1" s="1"/>
      <c r="U1" s="1"/>
      <c r="V1" s="1"/>
      <c r="W1" s="1"/>
      <c r="X1" s="1"/>
      <c r="Y1" s="1"/>
      <c r="Z1" s="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4" t="str">
        <f>IFERROR(__xludf.DUMMYFUNCTION("importhtml(""https://www.doed.gov.np/pages/appslcogeneration/"",""table"",1)"),"S No")</f>
        <v>S No</v>
      </c>
      <c r="B1" s="1" t="str">
        <f>IFERROR(__xludf.DUMMYFUNCTION("""COMPUTED_VALUE"""),"Project")</f>
        <v>Project</v>
      </c>
      <c r="C1" s="1" t="str">
        <f>IFERROR(__xludf.DUMMYFUNCTION("""COMPUTED_VALUE"""),"Capacity (MW)")</f>
        <v>Capacity (MW)</v>
      </c>
      <c r="D1" s="1" t="str">
        <f>IFERROR(__xludf.DUMMYFUNCTION("""COMPUTED_VALUE"""),"Appn No")</f>
        <v>Appn No</v>
      </c>
      <c r="E1" s="1" t="str">
        <f>IFERROR(__xludf.DUMMYFUNCTION("""COMPUTED_VALUE"""),"Appn Date")</f>
        <v>Appn Date</v>
      </c>
      <c r="F1" s="1" t="str">
        <f>IFERROR(__xludf.DUMMYFUNCTION("""COMPUTED_VALUE"""),"Promoter")</f>
        <v>Promoter</v>
      </c>
      <c r="G1" s="1" t="str">
        <f>IFERROR(__xludf.DUMMYFUNCTION("""COMPUTED_VALUE"""),"Address")</f>
        <v>Address</v>
      </c>
      <c r="H1" s="1" t="str">
        <f>IFERROR(__xludf.DUMMYFUNCTION("""COMPUTED_VALUE"""),"Latitiude N")</f>
        <v>Latitiude N</v>
      </c>
      <c r="I1" s="1"/>
      <c r="J1" s="1" t="str">
        <f>IFERROR(__xludf.DUMMYFUNCTION("""COMPUTED_VALUE"""),"Longitude E")</f>
        <v>Longitude E</v>
      </c>
      <c r="K1" s="1"/>
      <c r="L1" s="1" t="str">
        <f>IFERROR(__xludf.DUMMYFUNCTION("""COMPUTED_VALUE"""),"VDC/District")</f>
        <v>VDC/District</v>
      </c>
      <c r="M1" s="1"/>
      <c r="N1" s="1"/>
      <c r="O1" s="1"/>
      <c r="P1" s="1"/>
      <c r="Q1" s="1"/>
      <c r="R1" s="1"/>
      <c r="S1" s="1"/>
      <c r="T1" s="1"/>
      <c r="U1" s="1"/>
      <c r="V1" s="1"/>
      <c r="W1" s="1"/>
      <c r="X1" s="1"/>
      <c r="Y1" s="1"/>
      <c r="Z1" s="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2" t="str">
        <f>IFERROR(__xludf.DUMMYFUNCTION("IMPORTHTML(""https://www.doed.gov.np/pages/appsltransmissionline/"",""table"",1)"),"S No")</f>
        <v>S No</v>
      </c>
      <c r="B1" s="2" t="str">
        <f>IFERROR(__xludf.DUMMYFUNCTION("""COMPUTED_VALUE"""),"Project")</f>
        <v>Project</v>
      </c>
      <c r="C1" s="2" t="str">
        <f>IFERROR(__xludf.DUMMYFUNCTION("""COMPUTED_VALUE"""),"Voltage (kV)
Filter: All13233400")</f>
        <v>Voltage (kV)
Filter: All13233400</v>
      </c>
      <c r="D1" s="2" t="str">
        <f>IFERROR(__xludf.DUMMYFUNCTION("""COMPUTED_VALUE"""),"Line Length (km)")</f>
        <v>Line Length (km)</v>
      </c>
      <c r="E1" s="2" t="str">
        <f>IFERROR(__xludf.DUMMYFUNCTION("""COMPUTED_VALUE"""),"Capacity (MW)")</f>
        <v>Capacity (MW)</v>
      </c>
      <c r="F1" s="2" t="str">
        <f>IFERROR(__xludf.DUMMYFUNCTION("""COMPUTED_VALUE"""),"Appn No")</f>
        <v>Appn No</v>
      </c>
      <c r="G1" s="2" t="str">
        <f>IFERROR(__xludf.DUMMYFUNCTION("""COMPUTED_VALUE"""),"Appn Date")</f>
        <v>Appn Date</v>
      </c>
      <c r="H1" s="2" t="str">
        <f>IFERROR(__xludf.DUMMYFUNCTION("""COMPUTED_VALUE"""),"Promoter
Filter: AllAlampu Jalabidhyut Bikas Company P.LtdAnand Solar P.LtdAnnapurna 
Power Company LimitedBarpak-Kerabari Transmission Line P.LtdBhalaudi Khola 
Hydropower CompanyBigu Hydro Venture Pvt.LtdChilime Seti Hydropower Company 
LimitedDhobhan K"&amp;"hola Hydropower LimitedDolti Power Company Ltd.Energy 
Management Pvt.LtdHelio Spark EnergyKarnali Grid Pvt.LtdLe Shangri-La 
Hydropower P.LtdNepal Electricity AuthorityOm Power Company P.LtdRidi Power 
Company Ltd.S.N Energy LimitedSol Power LtdUpper Set"&amp;"i Hydro Limited")</f>
        <v>Promoter
Filter: AllAlampu Jalabidhyut Bikas Company P.LtdAnand Solar P.LtdAnnapurna 
Power Company LimitedBarpak-Kerabari Transmission Line P.LtdBhalaudi Khola 
Hydropower CompanyBigu Hydro Venture Pvt.LtdChilime Seti Hydropower Company 
LimitedDhobhan Khola Hydropower LimitedDolti Power Company Ltd.Energy 
Management Pvt.LtdHelio Spark EnergyKarnali Grid Pvt.LtdLe Shangri-La 
Hydropower P.LtdNepal Electricity AuthorityOm Power Company P.LtdRidi Power 
Company Ltd.S.N Energy LimitedSol Power LtdUpper Seti Hydro Limited</v>
      </c>
      <c r="I1" s="2" t="str">
        <f>IFERROR(__xludf.DUMMYFUNCTION("""COMPUTED_VALUE"""),"Address")</f>
        <v>Address</v>
      </c>
      <c r="J1" s="2" t="str">
        <f>IFERROR(__xludf.DUMMYFUNCTION("""COMPUTED_VALUE"""),"Start Point
Filter: AllBarpak s/sBetan hubKarnali-1 HPP switchyardRespective Switchyard 
of the project Switchyard of Mathillo Seti HPPSwitchyard of Projectswitchyard 
of the project")</f>
        <v>Start Point
Filter: AllBarpak s/sBetan hubKarnali-1 HPP switchyardRespective Switchyard 
of the project Switchyard of Mathillo Seti HPPSwitchyard of Projectswitchyard 
of the project</v>
      </c>
      <c r="K1" s="2" t="str">
        <f>IFERROR(__xludf.DUMMYFUNCTION("""COMPUTED_VALUE"""),"End Point
Filter: AllBafikot s/sBarju s/sBorang s/sDododhara s/sKerabari s/sLahan s/sMaintada 
s/sNEA Amuwa S/SNEA Dailekh S/SNawalpur s/sNew Nepalgunj s/sPahalmanpur s/sSagu 
Khola SwitchyardSagu Khola-1 SwitchyardSarbottam SteelsSardi Khola HPP 
switchy"&amp;"ardSwitchyard of Karuwa Seti HPPSwitchyard of Upper Madi HPP-LiLO at 
MadUpper Seti HPPSwitchyardkailash s/s")</f>
        <v>End Point
Filter: AllBafikot s/sBarju s/sBorang s/sDododhara s/sKerabari s/sLahan s/sMaintada 
s/sNEA Amuwa S/SNEA Dailekh S/SNawalpur s/sNew Nepalgunj s/sPahalmanpur s/sSagu 
Khola SwitchyardSagu Khola-1 SwitchyardSarbottam SteelsSardi Khola HPP 
switchyardSwitchyard of Karuwa Seti HPPSwitchyard of Upper Madi HPP-LiLO at 
MadUpper Seti HPPSwitchyardkailash s/s</v>
      </c>
    </row>
    <row r="2">
      <c r="A2" s="2">
        <f>IFERROR(__xludf.DUMMYFUNCTION("""COMPUTED_VALUE"""),1.0)</f>
        <v>1</v>
      </c>
      <c r="B2" s="2" t="str">
        <f>IFERROR(__xludf.DUMMYFUNCTION("""COMPUTED_VALUE"""),"Padam Khola HEP Transmission Line Project")</f>
        <v>Padam Khola HEP Transmission Line Project</v>
      </c>
      <c r="C2" s="2">
        <f>IFERROR(__xludf.DUMMYFUNCTION("""COMPUTED_VALUE"""),33.0)</f>
        <v>33</v>
      </c>
      <c r="D2" s="2">
        <f>IFERROR(__xludf.DUMMYFUNCTION("""COMPUTED_VALUE"""),17.0)</f>
        <v>17</v>
      </c>
      <c r="E2" s="2">
        <f>IFERROR(__xludf.DUMMYFUNCTION("""COMPUTED_VALUE"""),12.55)</f>
        <v>12.55</v>
      </c>
      <c r="F2" s="2">
        <f>IFERROR(__xludf.DUMMYFUNCTION("""COMPUTED_VALUE"""),7026.0)</f>
        <v>7026</v>
      </c>
      <c r="G2" s="3">
        <f>IFERROR(__xludf.DUMMYFUNCTION("""COMPUTED_VALUE"""),65741.0)</f>
        <v>65741</v>
      </c>
      <c r="H2" s="2" t="str">
        <f>IFERROR(__xludf.DUMMYFUNCTION("""COMPUTED_VALUE"""),"Dolti Power Company Ltd.")</f>
        <v>Dolti Power Company Ltd.</v>
      </c>
      <c r="I2" s="2" t="str">
        <f>IFERROR(__xludf.DUMMYFUNCTION("""COMPUTED_VALUE"""),"Thapagaun Kathmandu")</f>
        <v>Thapagaun Kathmandu</v>
      </c>
      <c r="J2" s="2" t="str">
        <f>IFERROR(__xludf.DUMMYFUNCTION("""COMPUTED_VALUE"""),"Switchyard of Project")</f>
        <v>Switchyard of Project</v>
      </c>
      <c r="K2" s="2" t="str">
        <f>IFERROR(__xludf.DUMMYFUNCTION("""COMPUTED_VALUE"""),"NEA Dailekh S/S")</f>
        <v>NEA Dailekh S/S</v>
      </c>
    </row>
    <row r="3">
      <c r="A3" s="2">
        <f>IFERROR(__xludf.DUMMYFUNCTION("""COMPUTED_VALUE"""),2.0)</f>
        <v>2</v>
      </c>
      <c r="B3" s="2" t="str">
        <f>IFERROR(__xludf.DUMMYFUNCTION("""COMPUTED_VALUE"""),"Grid Connected Butwal Solar Project 33kV Transmission Line Project")</f>
        <v>Grid Connected Butwal Solar Project 33kV Transmission Line Project</v>
      </c>
      <c r="C3" s="2">
        <f>IFERROR(__xludf.DUMMYFUNCTION("""COMPUTED_VALUE"""),33.0)</f>
        <v>33</v>
      </c>
      <c r="D3" s="2">
        <f>IFERROR(__xludf.DUMMYFUNCTION("""COMPUTED_VALUE"""),7.5)</f>
        <v>7.5</v>
      </c>
      <c r="E3" s="2">
        <f>IFERROR(__xludf.DUMMYFUNCTION("""COMPUTED_VALUE"""),8.5)</f>
        <v>8.5</v>
      </c>
      <c r="F3" s="2">
        <f>IFERROR(__xludf.DUMMYFUNCTION("""COMPUTED_VALUE"""),7270.0)</f>
        <v>7270</v>
      </c>
      <c r="G3" s="3">
        <f>IFERROR(__xludf.DUMMYFUNCTION("""COMPUTED_VALUE"""),66175.0)</f>
        <v>66175</v>
      </c>
      <c r="H3" s="2" t="str">
        <f>IFERROR(__xludf.DUMMYFUNCTION("""COMPUTED_VALUE"""),"Ridi Power Company Ltd.")</f>
        <v>Ridi Power Company Ltd.</v>
      </c>
      <c r="I3" s="2" t="str">
        <f>IFERROR(__xludf.DUMMYFUNCTION("""COMPUTED_VALUE"""),"Trade Tower, Thapathali, Kathmandu")</f>
        <v>Trade Tower, Thapathali, Kathmandu</v>
      </c>
      <c r="J3" s="2" t="str">
        <f>IFERROR(__xludf.DUMMYFUNCTION("""COMPUTED_VALUE"""),"switchyard of the project")</f>
        <v>switchyard of the project</v>
      </c>
      <c r="K3" s="2" t="str">
        <f>IFERROR(__xludf.DUMMYFUNCTION("""COMPUTED_VALUE"""),"NEA Amuwa S/S")</f>
        <v>NEA Amuwa S/S</v>
      </c>
    </row>
    <row r="4">
      <c r="A4" s="2">
        <f>IFERROR(__xludf.DUMMYFUNCTION("""COMPUTED_VALUE"""),3.0)</f>
        <v>3</v>
      </c>
      <c r="B4" s="2" t="str">
        <f>IFERROR(__xludf.DUMMYFUNCTION("""COMPUTED_VALUE"""),"Upper Madi 0 -Upper Madi HPPSwitchyard Transmission Line Project")</f>
        <v>Upper Madi 0 -Upper Madi HPPSwitchyard Transmission Line Project</v>
      </c>
      <c r="C4" s="2">
        <f>IFERROR(__xludf.DUMMYFUNCTION("""COMPUTED_VALUE"""),132.0)</f>
        <v>132</v>
      </c>
      <c r="D4" s="2">
        <f>IFERROR(__xludf.DUMMYFUNCTION("""COMPUTED_VALUE"""),14.6)</f>
        <v>14.6</v>
      </c>
      <c r="E4" s="2">
        <f>IFERROR(__xludf.DUMMYFUNCTION("""COMPUTED_VALUE"""),43.0)</f>
        <v>43</v>
      </c>
      <c r="F4" s="2">
        <f>IFERROR(__xludf.DUMMYFUNCTION("""COMPUTED_VALUE"""),1709.0)</f>
        <v>1709</v>
      </c>
      <c r="G4" s="3">
        <f>IFERROR(__xludf.DUMMYFUNCTION("""COMPUTED_VALUE"""),66615.0)</f>
        <v>66615</v>
      </c>
      <c r="H4" s="2" t="str">
        <f>IFERROR(__xludf.DUMMYFUNCTION("""COMPUTED_VALUE"""),"Annapurna Power Company Limited")</f>
        <v>Annapurna Power Company Limited</v>
      </c>
      <c r="I4" s="2" t="str">
        <f>IFERROR(__xludf.DUMMYFUNCTION("""COMPUTED_VALUE"""),"Kathmandu-14")</f>
        <v>Kathmandu-14</v>
      </c>
      <c r="J4" s="2" t="str">
        <f>IFERROR(__xludf.DUMMYFUNCTION("""COMPUTED_VALUE"""),"Respective Switchyard of the project")</f>
        <v>Respective Switchyard of the project</v>
      </c>
      <c r="K4" s="2" t="str">
        <f>IFERROR(__xludf.DUMMYFUNCTION("""COMPUTED_VALUE"""),"Switchyard of Upper Madi HPP-LiLO at Mad")</f>
        <v>Switchyard of Upper Madi HPP-LiLO at Mad</v>
      </c>
    </row>
    <row r="5">
      <c r="A5" s="2">
        <f>IFERROR(__xludf.DUMMYFUNCTION("""COMPUTED_VALUE"""),4.0)</f>
        <v>4</v>
      </c>
      <c r="B5" s="2" t="str">
        <f>IFERROR(__xludf.DUMMYFUNCTION("""COMPUTED_VALUE"""),"Thuligad HPP- Pahalmanpur s/s 33kV Transmission Line project")</f>
        <v>Thuligad HPP- Pahalmanpur s/s 33kV Transmission Line project</v>
      </c>
      <c r="C5" s="2">
        <f>IFERROR(__xludf.DUMMYFUNCTION("""COMPUTED_VALUE"""),33.0)</f>
        <v>33</v>
      </c>
      <c r="D5" s="2">
        <f>IFERROR(__xludf.DUMMYFUNCTION("""COMPUTED_VALUE"""),14.0)</f>
        <v>14</v>
      </c>
      <c r="E5" s="2">
        <f>IFERROR(__xludf.DUMMYFUNCTION("""COMPUTED_VALUE"""),17.0)</f>
        <v>17</v>
      </c>
      <c r="F5" s="2">
        <f>IFERROR(__xludf.DUMMYFUNCTION("""COMPUTED_VALUE"""),2468.0)</f>
        <v>2468</v>
      </c>
      <c r="G5" s="3">
        <f>IFERROR(__xludf.DUMMYFUNCTION("""COMPUTED_VALUE"""),66656.0)</f>
        <v>66656</v>
      </c>
      <c r="H5" s="2" t="str">
        <f>IFERROR(__xludf.DUMMYFUNCTION("""COMPUTED_VALUE"""),"Om Power Company P.Ltd")</f>
        <v>Om Power Company P.Ltd</v>
      </c>
      <c r="I5" s="2" t="str">
        <f>IFERROR(__xludf.DUMMYFUNCTION("""COMPUTED_VALUE"""),"Chandragiri,Kathamandu")</f>
        <v>Chandragiri,Kathamandu</v>
      </c>
      <c r="J5" s="2" t="str">
        <f>IFERROR(__xludf.DUMMYFUNCTION("""COMPUTED_VALUE"""),"Respective Switchyard of the project")</f>
        <v>Respective Switchyard of the project</v>
      </c>
      <c r="K5" s="2" t="str">
        <f>IFERROR(__xludf.DUMMYFUNCTION("""COMPUTED_VALUE"""),"Pahalmanpur s/s")</f>
        <v>Pahalmanpur s/s</v>
      </c>
    </row>
    <row r="6">
      <c r="A6" s="2">
        <f>IFERROR(__xludf.DUMMYFUNCTION("""COMPUTED_VALUE"""),5.0)</f>
        <v>5</v>
      </c>
      <c r="B6" s="2" t="str">
        <f>IFERROR(__xludf.DUMMYFUNCTION("""COMPUTED_VALUE"""),"Dobhan Khola HPP-Borang s/s 132kV Transmission Line Project")</f>
        <v>Dobhan Khola HPP-Borang s/s 132kV Transmission Line Project</v>
      </c>
      <c r="C6" s="2">
        <f>IFERROR(__xludf.DUMMYFUNCTION("""COMPUTED_VALUE"""),132.0)</f>
        <v>132</v>
      </c>
      <c r="D6" s="2">
        <f>IFERROR(__xludf.DUMMYFUNCTION("""COMPUTED_VALUE"""),26.3)</f>
        <v>26.3</v>
      </c>
      <c r="E6" s="2">
        <f>IFERROR(__xludf.DUMMYFUNCTION("""COMPUTED_VALUE"""),24.5)</f>
        <v>24.5</v>
      </c>
      <c r="F6" s="2">
        <f>IFERROR(__xludf.DUMMYFUNCTION("""COMPUTED_VALUE"""),3739.0)</f>
        <v>3739</v>
      </c>
      <c r="G6" s="3">
        <f>IFERROR(__xludf.DUMMYFUNCTION("""COMPUTED_VALUE"""),66702.0)</f>
        <v>66702</v>
      </c>
      <c r="H6" s="2" t="str">
        <f>IFERROR(__xludf.DUMMYFUNCTION("""COMPUTED_VALUE"""),"Dhobhan Khola Hydropower Limited")</f>
        <v>Dhobhan Khola Hydropower Limited</v>
      </c>
      <c r="I6" s="2" t="str">
        <f>IFERROR(__xludf.DUMMYFUNCTION("""COMPUTED_VALUE"""),"Chandol,kathmandu")</f>
        <v>Chandol,kathmandu</v>
      </c>
      <c r="J6" s="2" t="str">
        <f>IFERROR(__xludf.DUMMYFUNCTION("""COMPUTED_VALUE"""),"Respective Switchyard of the project")</f>
        <v>Respective Switchyard of the project</v>
      </c>
      <c r="K6" s="2" t="str">
        <f>IFERROR(__xludf.DUMMYFUNCTION("""COMPUTED_VALUE"""),"Borang s/s")</f>
        <v>Borang s/s</v>
      </c>
    </row>
    <row r="7">
      <c r="A7" s="2">
        <f>IFERROR(__xludf.DUMMYFUNCTION("""COMPUTED_VALUE"""),6.0)</f>
        <v>6</v>
      </c>
      <c r="B7" s="2" t="str">
        <f>IFERROR(__xludf.DUMMYFUNCTION("""COMPUTED_VALUE"""),"Mathillo Seti HPP 132 kV Transmission Line Project")</f>
        <v>Mathillo Seti HPP 132 kV Transmission Line Project</v>
      </c>
      <c r="C7" s="2">
        <f>IFERROR(__xludf.DUMMYFUNCTION("""COMPUTED_VALUE"""),132.0)</f>
        <v>132</v>
      </c>
      <c r="D7" s="2">
        <f>IFERROR(__xludf.DUMMYFUNCTION("""COMPUTED_VALUE"""),5.0)</f>
        <v>5</v>
      </c>
      <c r="E7" s="2">
        <f>IFERROR(__xludf.DUMMYFUNCTION("""COMPUTED_VALUE"""),20.0)</f>
        <v>20</v>
      </c>
      <c r="F7" s="2">
        <f>IFERROR(__xludf.DUMMYFUNCTION("""COMPUTED_VALUE"""),4357.0)</f>
        <v>4357</v>
      </c>
      <c r="G7" s="3">
        <f>IFERROR(__xludf.DUMMYFUNCTION("""COMPUTED_VALUE"""),66722.0)</f>
        <v>66722</v>
      </c>
      <c r="H7" s="2" t="str">
        <f>IFERROR(__xludf.DUMMYFUNCTION("""COMPUTED_VALUE"""),"Upper Seti Hydro Limited")</f>
        <v>Upper Seti Hydro Limited</v>
      </c>
      <c r="I7" s="2" t="str">
        <f>IFERROR(__xludf.DUMMYFUNCTION("""COMPUTED_VALUE"""),"Anamnagar, Kathmandu")</f>
        <v>Anamnagar, Kathmandu</v>
      </c>
      <c r="J7" s="2" t="str">
        <f>IFERROR(__xludf.DUMMYFUNCTION("""COMPUTED_VALUE"""),"Switchyard of Mathillo Seti HPP")</f>
        <v>Switchyard of Mathillo Seti HPP</v>
      </c>
      <c r="K7" s="2" t="str">
        <f>IFERROR(__xludf.DUMMYFUNCTION("""COMPUTED_VALUE"""),"Switchyard of Karuwa Seti HPP")</f>
        <v>Switchyard of Karuwa Seti HPP</v>
      </c>
    </row>
    <row r="8">
      <c r="A8" s="2">
        <f>IFERROR(__xludf.DUMMYFUNCTION("""COMPUTED_VALUE"""),7.0)</f>
        <v>7</v>
      </c>
      <c r="B8" s="2" t="str">
        <f>IFERROR(__xludf.DUMMYFUNCTION("""COMPUTED_VALUE"""),"Barpak-Kerabari 132kV Transmission Line Project")</f>
        <v>Barpak-Kerabari 132kV Transmission Line Project</v>
      </c>
      <c r="C8" s="2">
        <f>IFERROR(__xludf.DUMMYFUNCTION("""COMPUTED_VALUE"""),132.0)</f>
        <v>132</v>
      </c>
      <c r="D8" s="2">
        <f>IFERROR(__xludf.DUMMYFUNCTION("""COMPUTED_VALUE"""),16.0)</f>
        <v>16</v>
      </c>
      <c r="E8" s="2">
        <f>IFERROR(__xludf.DUMMYFUNCTION("""COMPUTED_VALUE"""),95.4)</f>
        <v>95.4</v>
      </c>
      <c r="F8" s="2">
        <f>IFERROR(__xludf.DUMMYFUNCTION("""COMPUTED_VALUE"""),6180.0)</f>
        <v>6180</v>
      </c>
      <c r="G8" s="3">
        <f>IFERROR(__xludf.DUMMYFUNCTION("""COMPUTED_VALUE"""),66781.0)</f>
        <v>66781</v>
      </c>
      <c r="H8" s="2" t="str">
        <f>IFERROR(__xludf.DUMMYFUNCTION("""COMPUTED_VALUE"""),"Barpak-Kerabari Transmission Line P.Ltd")</f>
        <v>Barpak-Kerabari Transmission Line P.Ltd</v>
      </c>
      <c r="I8" s="2" t="str">
        <f>IFERROR(__xludf.DUMMYFUNCTION("""COMPUTED_VALUE"""),"Nagarjuna,kathmandu")</f>
        <v>Nagarjuna,kathmandu</v>
      </c>
      <c r="J8" s="2" t="str">
        <f>IFERROR(__xludf.DUMMYFUNCTION("""COMPUTED_VALUE"""),"Barpak s/s")</f>
        <v>Barpak s/s</v>
      </c>
      <c r="K8" s="2" t="str">
        <f>IFERROR(__xludf.DUMMYFUNCTION("""COMPUTED_VALUE"""),"Kerabari s/s")</f>
        <v>Kerabari s/s</v>
      </c>
    </row>
    <row r="9">
      <c r="A9" s="2">
        <f>IFERROR(__xludf.DUMMYFUNCTION("""COMPUTED_VALUE"""),8.0)</f>
        <v>8</v>
      </c>
      <c r="B9" s="2" t="str">
        <f>IFERROR(__xludf.DUMMYFUNCTION("""COMPUTED_VALUE"""),"Pegu Khola small HPP 33kV Transmission Line Project")</f>
        <v>Pegu Khola small HPP 33kV Transmission Line Project</v>
      </c>
      <c r="C9" s="2">
        <f>IFERROR(__xludf.DUMMYFUNCTION("""COMPUTED_VALUE"""),33.0)</f>
        <v>33</v>
      </c>
      <c r="D9" s="2">
        <f>IFERROR(__xludf.DUMMYFUNCTION("""COMPUTED_VALUE"""),2.0)</f>
        <v>2</v>
      </c>
      <c r="E9" s="2">
        <f>IFERROR(__xludf.DUMMYFUNCTION("""COMPUTED_VALUE"""),5.0)</f>
        <v>5</v>
      </c>
      <c r="F9" s="2">
        <f>IFERROR(__xludf.DUMMYFUNCTION("""COMPUTED_VALUE"""),7068.0)</f>
        <v>7068</v>
      </c>
      <c r="G9" s="3">
        <f>IFERROR(__xludf.DUMMYFUNCTION("""COMPUTED_VALUE"""),66815.0)</f>
        <v>66815</v>
      </c>
      <c r="H9" s="2" t="str">
        <f>IFERROR(__xludf.DUMMYFUNCTION("""COMPUTED_VALUE"""),"Bigu Hydro Venture Pvt.Ltd")</f>
        <v>Bigu Hydro Venture Pvt.Ltd</v>
      </c>
      <c r="I9" s="2" t="str">
        <f>IFERROR(__xludf.DUMMYFUNCTION("""COMPUTED_VALUE"""),"Battisputali,Kathmandu")</f>
        <v>Battisputali,Kathmandu</v>
      </c>
      <c r="J9" s="2" t="str">
        <f>IFERROR(__xludf.DUMMYFUNCTION("""COMPUTED_VALUE"""),"Respective Switchyard of the project")</f>
        <v>Respective Switchyard of the project</v>
      </c>
      <c r="K9" s="2" t="str">
        <f>IFERROR(__xludf.DUMMYFUNCTION("""COMPUTED_VALUE"""),"Sagu Khola Switchyard")</f>
        <v>Sagu Khola Switchyard</v>
      </c>
    </row>
    <row r="10">
      <c r="A10" s="2">
        <f>IFERROR(__xludf.DUMMYFUNCTION("""COMPUTED_VALUE"""),9.0)</f>
        <v>9</v>
      </c>
      <c r="B10" s="2" t="str">
        <f>IFERROR(__xludf.DUMMYFUNCTION("""COMPUTED_VALUE"""),"Mathillo Sagu HPP 33kV Transmission Line Project")</f>
        <v>Mathillo Sagu HPP 33kV Transmission Line Project</v>
      </c>
      <c r="C10" s="2">
        <f>IFERROR(__xludf.DUMMYFUNCTION("""COMPUTED_VALUE"""),33.0)</f>
        <v>33</v>
      </c>
      <c r="D10" s="2">
        <f>IFERROR(__xludf.DUMMYFUNCTION("""COMPUTED_VALUE"""),1.98)</f>
        <v>1.98</v>
      </c>
      <c r="E10" s="2">
        <f>IFERROR(__xludf.DUMMYFUNCTION("""COMPUTED_VALUE"""),10.0)</f>
        <v>10</v>
      </c>
      <c r="F10" s="2">
        <f>IFERROR(__xludf.DUMMYFUNCTION("""COMPUTED_VALUE"""),7069.0)</f>
        <v>7069</v>
      </c>
      <c r="G10" s="3">
        <f>IFERROR(__xludf.DUMMYFUNCTION("""COMPUTED_VALUE"""),66815.0)</f>
        <v>66815</v>
      </c>
      <c r="H10" s="2" t="str">
        <f>IFERROR(__xludf.DUMMYFUNCTION("""COMPUTED_VALUE"""),"Alampu Jalabidhyut Bikas Company P.Ltd")</f>
        <v>Alampu Jalabidhyut Bikas Company P.Ltd</v>
      </c>
      <c r="I10" s="2" t="str">
        <f>IFERROR(__xludf.DUMMYFUNCTION("""COMPUTED_VALUE"""),"Battisputali")</f>
        <v>Battisputali</v>
      </c>
      <c r="J10" s="2" t="str">
        <f>IFERROR(__xludf.DUMMYFUNCTION("""COMPUTED_VALUE"""),"Respective Switchyard of the project")</f>
        <v>Respective Switchyard of the project</v>
      </c>
      <c r="K10" s="2" t="str">
        <f>IFERROR(__xludf.DUMMYFUNCTION("""COMPUTED_VALUE"""),"Sagu Khola-1 Switchyard")</f>
        <v>Sagu Khola-1 Switchyard</v>
      </c>
    </row>
    <row r="11">
      <c r="A11" s="2">
        <f>IFERROR(__xludf.DUMMYFUNCTION("""COMPUTED_VALUE"""),10.0)</f>
        <v>10</v>
      </c>
      <c r="B11" s="2" t="str">
        <f>IFERROR(__xludf.DUMMYFUNCTION("""COMPUTED_VALUE"""),"Bhalaudi Khola HPP 33kV Transmission Line Project")</f>
        <v>Bhalaudi Khola HPP 33kV Transmission Line Project</v>
      </c>
      <c r="C11" s="2">
        <f>IFERROR(__xludf.DUMMYFUNCTION("""COMPUTED_VALUE"""),33.0)</f>
        <v>33</v>
      </c>
      <c r="D11" s="2">
        <f>IFERROR(__xludf.DUMMYFUNCTION("""COMPUTED_VALUE"""),3.7)</f>
        <v>3.7</v>
      </c>
      <c r="E11" s="2">
        <f>IFERROR(__xludf.DUMMYFUNCTION("""COMPUTED_VALUE"""),2.645)</f>
        <v>2.645</v>
      </c>
      <c r="F11" s="2">
        <f>IFERROR(__xludf.DUMMYFUNCTION("""COMPUTED_VALUE"""),7692.0)</f>
        <v>7692</v>
      </c>
      <c r="G11" s="3">
        <f>IFERROR(__xludf.DUMMYFUNCTION("""COMPUTED_VALUE"""),66830.0)</f>
        <v>66830</v>
      </c>
      <c r="H11" s="2" t="str">
        <f>IFERROR(__xludf.DUMMYFUNCTION("""COMPUTED_VALUE"""),"Bhalaudi Khola Hydropower Company")</f>
        <v>Bhalaudi Khola Hydropower Company</v>
      </c>
      <c r="I11" s="2" t="str">
        <f>IFERROR(__xludf.DUMMYFUNCTION("""COMPUTED_VALUE"""),"Banesthali,Kathmandu")</f>
        <v>Banesthali,Kathmandu</v>
      </c>
      <c r="J11" s="2" t="str">
        <f>IFERROR(__xludf.DUMMYFUNCTION("""COMPUTED_VALUE"""),"Respective Switchyard of the project")</f>
        <v>Respective Switchyard of the project</v>
      </c>
      <c r="K11" s="2" t="str">
        <f>IFERROR(__xludf.DUMMYFUNCTION("""COMPUTED_VALUE"""),"Sardi Khola HPP switchyard")</f>
        <v>Sardi Khola HPP switchyard</v>
      </c>
    </row>
    <row r="12">
      <c r="A12" s="2">
        <f>IFERROR(__xludf.DUMMYFUNCTION("""COMPUTED_VALUE"""),11.0)</f>
        <v>11</v>
      </c>
      <c r="B12" s="2" t="str">
        <f>IFERROR(__xludf.DUMMYFUNCTION("""COMPUTED_VALUE"""),"Lahan Helio Solar PV 33kV Transmission line Project")</f>
        <v>Lahan Helio Solar PV 33kV Transmission line Project</v>
      </c>
      <c r="C12" s="2">
        <f>IFERROR(__xludf.DUMMYFUNCTION("""COMPUTED_VALUE"""),33.0)</f>
        <v>33</v>
      </c>
      <c r="D12" s="2">
        <f>IFERROR(__xludf.DUMMYFUNCTION("""COMPUTED_VALUE"""),2.4)</f>
        <v>2.4</v>
      </c>
      <c r="E12" s="2">
        <f>IFERROR(__xludf.DUMMYFUNCTION("""COMPUTED_VALUE"""),10.0)</f>
        <v>10</v>
      </c>
      <c r="F12" s="2">
        <f>IFERROR(__xludf.DUMMYFUNCTION("""COMPUTED_VALUE"""),7844.0)</f>
        <v>7844</v>
      </c>
      <c r="G12" s="3">
        <f>IFERROR(__xludf.DUMMYFUNCTION("""COMPUTED_VALUE"""),66835.0)</f>
        <v>66835</v>
      </c>
      <c r="H12" s="2" t="str">
        <f>IFERROR(__xludf.DUMMYFUNCTION("""COMPUTED_VALUE"""),"Helio Spark Energy")</f>
        <v>Helio Spark Energy</v>
      </c>
      <c r="I12" s="2" t="str">
        <f>IFERROR(__xludf.DUMMYFUNCTION("""COMPUTED_VALUE"""),"Gathaghar")</f>
        <v>Gathaghar</v>
      </c>
      <c r="J12" s="2" t="str">
        <f>IFERROR(__xludf.DUMMYFUNCTION("""COMPUTED_VALUE"""),"Respective Switchyard of the project")</f>
        <v>Respective Switchyard of the project</v>
      </c>
      <c r="K12" s="2" t="str">
        <f>IFERROR(__xludf.DUMMYFUNCTION("""COMPUTED_VALUE"""),"Lahan s/s")</f>
        <v>Lahan s/s</v>
      </c>
    </row>
    <row r="13">
      <c r="A13" s="2">
        <f>IFERROR(__xludf.DUMMYFUNCTION("""COMPUTED_VALUE"""),12.0)</f>
        <v>12</v>
      </c>
      <c r="B13" s="2" t="str">
        <f>IFERROR(__xludf.DUMMYFUNCTION("""COMPUTED_VALUE"""),"Nawalpur Helio Solar PV 33kV Transmission Line Project")</f>
        <v>Nawalpur Helio Solar PV 33kV Transmission Line Project</v>
      </c>
      <c r="C13" s="2">
        <f>IFERROR(__xludf.DUMMYFUNCTION("""COMPUTED_VALUE"""),33.0)</f>
        <v>33</v>
      </c>
      <c r="D13" s="2">
        <f>IFERROR(__xludf.DUMMYFUNCTION("""COMPUTED_VALUE"""),1.9)</f>
        <v>1.9</v>
      </c>
      <c r="E13" s="2">
        <f>IFERROR(__xludf.DUMMYFUNCTION("""COMPUTED_VALUE"""),10.0)</f>
        <v>10</v>
      </c>
      <c r="F13" s="2">
        <f>IFERROR(__xludf.DUMMYFUNCTION("""COMPUTED_VALUE"""),7845.0)</f>
        <v>7845</v>
      </c>
      <c r="G13" s="3">
        <f>IFERROR(__xludf.DUMMYFUNCTION("""COMPUTED_VALUE"""),66835.0)</f>
        <v>66835</v>
      </c>
      <c r="H13" s="2" t="str">
        <f>IFERROR(__xludf.DUMMYFUNCTION("""COMPUTED_VALUE"""),"Helio Spark Energy")</f>
        <v>Helio Spark Energy</v>
      </c>
      <c r="I13" s="2" t="str">
        <f>IFERROR(__xludf.DUMMYFUNCTION("""COMPUTED_VALUE"""),"Gatthaghar -3 Bhaktapur")</f>
        <v>Gatthaghar -3 Bhaktapur</v>
      </c>
      <c r="J13" s="2" t="str">
        <f>IFERROR(__xludf.DUMMYFUNCTION("""COMPUTED_VALUE"""),"Respective Switchyard of the project")</f>
        <v>Respective Switchyard of the project</v>
      </c>
      <c r="K13" s="2" t="str">
        <f>IFERROR(__xludf.DUMMYFUNCTION("""COMPUTED_VALUE"""),"Nawalpur s/s")</f>
        <v>Nawalpur s/s</v>
      </c>
    </row>
    <row r="14">
      <c r="A14" s="2">
        <f>IFERROR(__xludf.DUMMYFUNCTION("""COMPUTED_VALUE"""),13.0)</f>
        <v>13</v>
      </c>
      <c r="B14" s="2" t="str">
        <f>IFERROR(__xludf.DUMMYFUNCTION("""COMPUTED_VALUE"""),"Tumcha -Dododhara 400kV Transmission Line Project")</f>
        <v>Tumcha -Dododhara 400kV Transmission Line Project</v>
      </c>
      <c r="C14" s="2">
        <f>IFERROR(__xludf.DUMMYFUNCTION("""COMPUTED_VALUE"""),400.0)</f>
        <v>400</v>
      </c>
      <c r="D14" s="2">
        <f>IFERROR(__xludf.DUMMYFUNCTION("""COMPUTED_VALUE"""),171.0)</f>
        <v>171</v>
      </c>
      <c r="E14" s="2">
        <f>IFERROR(__xludf.DUMMYFUNCTION("""COMPUTED_VALUE"""),1400.0)</f>
        <v>1400</v>
      </c>
      <c r="F14" s="2">
        <f>IFERROR(__xludf.DUMMYFUNCTION("""COMPUTED_VALUE"""),8233.0)</f>
        <v>8233</v>
      </c>
      <c r="G14" s="3">
        <f>IFERROR(__xludf.DUMMYFUNCTION("""COMPUTED_VALUE"""),66845.0)</f>
        <v>66845</v>
      </c>
      <c r="H14" s="2" t="str">
        <f>IFERROR(__xludf.DUMMYFUNCTION("""COMPUTED_VALUE"""),"Karnali Grid Pvt.Ltd")</f>
        <v>Karnali Grid Pvt.Ltd</v>
      </c>
      <c r="I14" s="2" t="str">
        <f>IFERROR(__xludf.DUMMYFUNCTION("""COMPUTED_VALUE"""),"Kantipath,Kathmandu")</f>
        <v>Kantipath,Kathmandu</v>
      </c>
      <c r="J14" s="2" t="str">
        <f>IFERROR(__xludf.DUMMYFUNCTION("""COMPUTED_VALUE"""),"Karnali-1 HPP switchyard")</f>
        <v>Karnali-1 HPP switchyard</v>
      </c>
      <c r="K14" s="2" t="str">
        <f>IFERROR(__xludf.DUMMYFUNCTION("""COMPUTED_VALUE"""),"Dododhara s/s")</f>
        <v>Dododhara s/s</v>
      </c>
    </row>
    <row r="15">
      <c r="A15" s="2">
        <f>IFERROR(__xludf.DUMMYFUNCTION("""COMPUTED_VALUE"""),14.0)</f>
        <v>14</v>
      </c>
      <c r="B15" s="2" t="str">
        <f>IFERROR(__xludf.DUMMYFUNCTION("""COMPUTED_VALUE"""),"Betan -Maintada 400kV Transmission Line Project")</f>
        <v>Betan -Maintada 400kV Transmission Line Project</v>
      </c>
      <c r="C15" s="2">
        <f>IFERROR(__xludf.DUMMYFUNCTION("""COMPUTED_VALUE"""),400.0)</f>
        <v>400</v>
      </c>
      <c r="D15" s="2">
        <f>IFERROR(__xludf.DUMMYFUNCTION("""COMPUTED_VALUE"""),84.0)</f>
        <v>84</v>
      </c>
      <c r="E15" s="2">
        <f>IFERROR(__xludf.DUMMYFUNCTION("""COMPUTED_VALUE"""),4400.0)</f>
        <v>4400</v>
      </c>
      <c r="F15" s="2">
        <f>IFERROR(__xludf.DUMMYFUNCTION("""COMPUTED_VALUE"""),8780.0)</f>
        <v>8780</v>
      </c>
      <c r="G15" s="3">
        <f>IFERROR(__xludf.DUMMYFUNCTION("""COMPUTED_VALUE"""),66856.0)</f>
        <v>66856</v>
      </c>
      <c r="H15" s="2" t="str">
        <f>IFERROR(__xludf.DUMMYFUNCTION("""COMPUTED_VALUE"""),"Nepal Electricity Authority")</f>
        <v>Nepal Electricity Authority</v>
      </c>
      <c r="I15" s="2" t="str">
        <f>IFERROR(__xludf.DUMMYFUNCTION("""COMPUTED_VALUE"""),"Durbar Marg, Kathmandu 01-4153007")</f>
        <v>Durbar Marg, Kathmandu 01-4153007</v>
      </c>
      <c r="J15" s="2" t="str">
        <f>IFERROR(__xludf.DUMMYFUNCTION("""COMPUTED_VALUE"""),"Betan hub")</f>
        <v>Betan hub</v>
      </c>
      <c r="K15" s="2" t="str">
        <f>IFERROR(__xludf.DUMMYFUNCTION("""COMPUTED_VALUE"""),"Maintada s/s")</f>
        <v>Maintada s/s</v>
      </c>
    </row>
    <row r="16">
      <c r="A16" s="2">
        <f>IFERROR(__xludf.DUMMYFUNCTION("""COMPUTED_VALUE"""),15.0)</f>
        <v>15</v>
      </c>
      <c r="B16" s="2" t="str">
        <f>IFERROR(__xludf.DUMMYFUNCTION("""COMPUTED_VALUE"""),"Sarbottam Steels-Solar PV 33kV Transmission Line Project")</f>
        <v>Sarbottam Steels-Solar PV 33kV Transmission Line Project</v>
      </c>
      <c r="C16" s="2">
        <f>IFERROR(__xludf.DUMMYFUNCTION("""COMPUTED_VALUE"""),33.0)</f>
        <v>33</v>
      </c>
      <c r="D16" s="2">
        <f>IFERROR(__xludf.DUMMYFUNCTION("""COMPUTED_VALUE"""),2.97)</f>
        <v>2.97</v>
      </c>
      <c r="E16" s="2">
        <f>IFERROR(__xludf.DUMMYFUNCTION("""COMPUTED_VALUE"""),33.0)</f>
        <v>33</v>
      </c>
      <c r="F16" s="2">
        <f>IFERROR(__xludf.DUMMYFUNCTION("""COMPUTED_VALUE"""),9246.0)</f>
        <v>9246</v>
      </c>
      <c r="G16" s="3">
        <f>IFERROR(__xludf.DUMMYFUNCTION("""COMPUTED_VALUE"""),66869.0)</f>
        <v>66869</v>
      </c>
      <c r="H16" s="2" t="str">
        <f>IFERROR(__xludf.DUMMYFUNCTION("""COMPUTED_VALUE"""),"Energy Management Pvt.Ltd")</f>
        <v>Energy Management Pvt.Ltd</v>
      </c>
      <c r="I16" s="2" t="str">
        <f>IFERROR(__xludf.DUMMYFUNCTION("""COMPUTED_VALUE"""),"Neupane Tower,Kathmandu")</f>
        <v>Neupane Tower,Kathmandu</v>
      </c>
      <c r="J16" s="2" t="str">
        <f>IFERROR(__xludf.DUMMYFUNCTION("""COMPUTED_VALUE"""),"Respective Switchyard of the project")</f>
        <v>Respective Switchyard of the project</v>
      </c>
      <c r="K16" s="2" t="str">
        <f>IFERROR(__xludf.DUMMYFUNCTION("""COMPUTED_VALUE"""),"Sarbottam Steels")</f>
        <v>Sarbottam Steels</v>
      </c>
    </row>
    <row r="17">
      <c r="A17" s="2">
        <f>IFERROR(__xludf.DUMMYFUNCTION("""COMPUTED_VALUE"""),16.0)</f>
        <v>16</v>
      </c>
      <c r="B17" s="2" t="str">
        <f>IFERROR(__xludf.DUMMYFUNCTION("""COMPUTED_VALUE"""),"Seti Nadi-3 HPP- Kailash 132 kV Transmission Line Project")</f>
        <v>Seti Nadi-3 HPP- Kailash 132 kV Transmission Line Project</v>
      </c>
      <c r="C17" s="2">
        <f>IFERROR(__xludf.DUMMYFUNCTION("""COMPUTED_VALUE"""),132.0)</f>
        <v>132</v>
      </c>
      <c r="D17" s="2">
        <f>IFERROR(__xludf.DUMMYFUNCTION("""COMPUTED_VALUE"""),9.3)</f>
        <v>9.3</v>
      </c>
      <c r="E17" s="2">
        <f>IFERROR(__xludf.DUMMYFUNCTION("""COMPUTED_VALUE"""),86.211)</f>
        <v>86.211</v>
      </c>
      <c r="F17" s="2">
        <f>IFERROR(__xludf.DUMMYFUNCTION("""COMPUTED_VALUE"""),9828.0)</f>
        <v>9828</v>
      </c>
      <c r="G17" s="3">
        <f>IFERROR(__xludf.DUMMYFUNCTION("""COMPUTED_VALUE"""),66883.0)</f>
        <v>66883</v>
      </c>
      <c r="H17" s="2" t="str">
        <f>IFERROR(__xludf.DUMMYFUNCTION("""COMPUTED_VALUE"""),"Chilime Seti Hydropower Company Limited")</f>
        <v>Chilime Seti Hydropower Company Limited</v>
      </c>
      <c r="I17" s="2" t="str">
        <f>IFERROR(__xludf.DUMMYFUNCTION("""COMPUTED_VALUE"""),"kapan Marg")</f>
        <v>kapan Marg</v>
      </c>
      <c r="J17" s="2" t="str">
        <f>IFERROR(__xludf.DUMMYFUNCTION("""COMPUTED_VALUE"""),"Respective Switchyard of the project")</f>
        <v>Respective Switchyard of the project</v>
      </c>
      <c r="K17" s="2" t="str">
        <f>IFERROR(__xludf.DUMMYFUNCTION("""COMPUTED_VALUE"""),"kailash s/s")</f>
        <v>kailash s/s</v>
      </c>
    </row>
    <row r="18">
      <c r="A18" s="2">
        <f>IFERROR(__xludf.DUMMYFUNCTION("""COMPUTED_VALUE"""),17.0)</f>
        <v>17</v>
      </c>
      <c r="B18" s="2" t="str">
        <f>IFERROR(__xludf.DUMMYFUNCTION("""COMPUTED_VALUE"""),"New Nepalgunj Solar PV-New Nepalgunj 33kV Transmission Line Project")</f>
        <v>New Nepalgunj Solar PV-New Nepalgunj 33kV Transmission Line Project</v>
      </c>
      <c r="C18" s="2">
        <f>IFERROR(__xludf.DUMMYFUNCTION("""COMPUTED_VALUE"""),33.0)</f>
        <v>33</v>
      </c>
      <c r="D18" s="2"/>
      <c r="E18" s="2">
        <f>IFERROR(__xludf.DUMMYFUNCTION("""COMPUTED_VALUE"""),30.0)</f>
        <v>30</v>
      </c>
      <c r="F18" s="2">
        <f>IFERROR(__xludf.DUMMYFUNCTION("""COMPUTED_VALUE"""),10454.0)</f>
        <v>10454</v>
      </c>
      <c r="G18" s="3">
        <f>IFERROR(__xludf.DUMMYFUNCTION("""COMPUTED_VALUE"""),66900.0)</f>
        <v>66900</v>
      </c>
      <c r="H18" s="2" t="str">
        <f>IFERROR(__xludf.DUMMYFUNCTION("""COMPUTED_VALUE"""),"Sol Power Ltd")</f>
        <v>Sol Power Ltd</v>
      </c>
      <c r="I18" s="2" t="str">
        <f>IFERROR(__xludf.DUMMYFUNCTION("""COMPUTED_VALUE"""),"Golyan Tower,Baneswhor,Kathmanu")</f>
        <v>Golyan Tower,Baneswhor,Kathmanu</v>
      </c>
      <c r="J18" s="2" t="str">
        <f>IFERROR(__xludf.DUMMYFUNCTION("""COMPUTED_VALUE"""),"Respective Switchyard of the project")</f>
        <v>Respective Switchyard of the project</v>
      </c>
      <c r="K18" s="2" t="str">
        <f>IFERROR(__xludf.DUMMYFUNCTION("""COMPUTED_VALUE"""),"New Nepalgunj s/s")</f>
        <v>New Nepalgunj s/s</v>
      </c>
    </row>
    <row r="19">
      <c r="A19" s="2">
        <f>IFERROR(__xludf.DUMMYFUNCTION("""COMPUTED_VALUE"""),18.0)</f>
        <v>18</v>
      </c>
      <c r="B19" s="2" t="str">
        <f>IFERROR(__xludf.DUMMYFUNCTION("""COMPUTED_VALUE"""),"Anand Barju Solar PV- Barju 33 kV Transmission Line Project")</f>
        <v>Anand Barju Solar PV- Barju 33 kV Transmission Line Project</v>
      </c>
      <c r="C19" s="2">
        <f>IFERROR(__xludf.DUMMYFUNCTION("""COMPUTED_VALUE"""),33.0)</f>
        <v>33</v>
      </c>
      <c r="D19" s="2">
        <f>IFERROR(__xludf.DUMMYFUNCTION("""COMPUTED_VALUE"""),2.71)</f>
        <v>2.71</v>
      </c>
      <c r="E19" s="2">
        <f>IFERROR(__xludf.DUMMYFUNCTION("""COMPUTED_VALUE"""),25.0)</f>
        <v>25</v>
      </c>
      <c r="F19" s="2">
        <f>IFERROR(__xludf.DUMMYFUNCTION("""COMPUTED_VALUE"""),10574.0)</f>
        <v>10574</v>
      </c>
      <c r="G19" s="3">
        <f>IFERROR(__xludf.DUMMYFUNCTION("""COMPUTED_VALUE"""),66901.0)</f>
        <v>66901</v>
      </c>
      <c r="H19" s="2" t="str">
        <f>IFERROR(__xludf.DUMMYFUNCTION("""COMPUTED_VALUE"""),"Anand Solar P.Ltd")</f>
        <v>Anand Solar P.Ltd</v>
      </c>
      <c r="I19" s="2" t="str">
        <f>IFERROR(__xludf.DUMMYFUNCTION("""COMPUTED_VALUE"""),"Buddha Nagar,kathmandu")</f>
        <v>Buddha Nagar,kathmandu</v>
      </c>
      <c r="J19" s="2" t="str">
        <f>IFERROR(__xludf.DUMMYFUNCTION("""COMPUTED_VALUE"""),"Respective Switchyard of the project")</f>
        <v>Respective Switchyard of the project</v>
      </c>
      <c r="K19" s="2" t="str">
        <f>IFERROR(__xludf.DUMMYFUNCTION("""COMPUTED_VALUE"""),"Barju s/s")</f>
        <v>Barju s/s</v>
      </c>
    </row>
    <row r="20">
      <c r="A20" s="2">
        <f>IFERROR(__xludf.DUMMYFUNCTION("""COMPUTED_VALUE"""),19.0)</f>
        <v>19</v>
      </c>
      <c r="B20" s="2" t="str">
        <f>IFERROR(__xludf.DUMMYFUNCTION("""COMPUTED_VALUE"""),"Super Seti HPP-Upper Seti HPP 132 kV Transmission Line Project")</f>
        <v>Super Seti HPP-Upper Seti HPP 132 kV Transmission Line Project</v>
      </c>
      <c r="C20" s="2">
        <f>IFERROR(__xludf.DUMMYFUNCTION("""COMPUTED_VALUE"""),132.0)</f>
        <v>132</v>
      </c>
      <c r="D20" s="2">
        <f>IFERROR(__xludf.DUMMYFUNCTION("""COMPUTED_VALUE"""),3.6)</f>
        <v>3.6</v>
      </c>
      <c r="E20" s="2">
        <f>IFERROR(__xludf.DUMMYFUNCTION("""COMPUTED_VALUE"""),24.0)</f>
        <v>24</v>
      </c>
      <c r="F20" s="2">
        <f>IFERROR(__xludf.DUMMYFUNCTION("""COMPUTED_VALUE"""),10588.0)</f>
        <v>10588</v>
      </c>
      <c r="G20" s="3">
        <f>IFERROR(__xludf.DUMMYFUNCTION("""COMPUTED_VALUE"""),66902.0)</f>
        <v>66902</v>
      </c>
      <c r="H20" s="2" t="str">
        <f>IFERROR(__xludf.DUMMYFUNCTION("""COMPUTED_VALUE"""),"S.N Energy Limited")</f>
        <v>S.N Energy Limited</v>
      </c>
      <c r="I20" s="2" t="str">
        <f>IFERROR(__xludf.DUMMYFUNCTION("""COMPUTED_VALUE"""),"Gyaneshwor,kathmandu")</f>
        <v>Gyaneshwor,kathmandu</v>
      </c>
      <c r="J20" s="2" t="str">
        <f>IFERROR(__xludf.DUMMYFUNCTION("""COMPUTED_VALUE"""),"Respective Switchyard of the project")</f>
        <v>Respective Switchyard of the project</v>
      </c>
      <c r="K20" s="2" t="str">
        <f>IFERROR(__xludf.DUMMYFUNCTION("""COMPUTED_VALUE"""),"Upper Seti HPPSwitchyard")</f>
        <v>Upper Seti HPPSwitchyard</v>
      </c>
    </row>
    <row r="21">
      <c r="A21" s="2">
        <f>IFERROR(__xludf.DUMMYFUNCTION("""COMPUTED_VALUE"""),20.0)</f>
        <v>20</v>
      </c>
      <c r="B21" s="2" t="str">
        <f>IFERROR(__xludf.DUMMYFUNCTION("""COMPUTED_VALUE"""),"Jaldigad HPP-bafikot 132kV Transmission Line Project")</f>
        <v>Jaldigad HPP-bafikot 132kV Transmission Line Project</v>
      </c>
      <c r="C21" s="2">
        <f>IFERROR(__xludf.DUMMYFUNCTION("""COMPUTED_VALUE"""),132.0)</f>
        <v>132</v>
      </c>
      <c r="D21" s="2">
        <f>IFERROR(__xludf.DUMMYFUNCTION("""COMPUTED_VALUE"""),20.5)</f>
        <v>20.5</v>
      </c>
      <c r="E21" s="2">
        <f>IFERROR(__xludf.DUMMYFUNCTION("""COMPUTED_VALUE"""),22.65)</f>
        <v>22.65</v>
      </c>
      <c r="F21" s="2">
        <f>IFERROR(__xludf.DUMMYFUNCTION("""COMPUTED_VALUE"""),10785.0)</f>
        <v>10785</v>
      </c>
      <c r="G21" s="3">
        <f>IFERROR(__xludf.DUMMYFUNCTION("""COMPUTED_VALUE"""),66905.0)</f>
        <v>66905</v>
      </c>
      <c r="H21" s="2" t="str">
        <f>IFERROR(__xludf.DUMMYFUNCTION("""COMPUTED_VALUE"""),"Le Shangri-La Hydropower P.Ltd")</f>
        <v>Le Shangri-La Hydropower P.Ltd</v>
      </c>
      <c r="I21" s="2" t="str">
        <f>IFERROR(__xludf.DUMMYFUNCTION("""COMPUTED_VALUE"""),"Maharajgunj, Kathmandu")</f>
        <v>Maharajgunj, Kathmandu</v>
      </c>
      <c r="J21" s="2" t="str">
        <f>IFERROR(__xludf.DUMMYFUNCTION("""COMPUTED_VALUE"""),"Respective Switchyard of the project")</f>
        <v>Respective Switchyard of the project</v>
      </c>
      <c r="K21" s="2" t="str">
        <f>IFERROR(__xludf.DUMMYFUNCTION("""COMPUTED_VALUE"""),"Bafikot s/s")</f>
        <v>Bafikot s/s</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2" t="str">
        <f>IFERROR(__xludf.DUMMYFUNCTION("IMPORTHTML(""https://www.doed.gov.np/pages/canceled_hydro/"",""table"",1)"),"S No")</f>
        <v>S No</v>
      </c>
      <c r="B1" s="2" t="str">
        <f>IFERROR(__xludf.DUMMYFUNCTION("""COMPUTED_VALUE"""),"Project")</f>
        <v>Project</v>
      </c>
      <c r="C1" s="2" t="str">
        <f>IFERROR(__xludf.DUMMYFUNCTION("""COMPUTED_VALUE"""),"Capacity (MW)")</f>
        <v>Capacity (MW)</v>
      </c>
      <c r="D1" s="2" t="str">
        <f>IFERROR(__xludf.DUMMYFUNCTION("""COMPUTED_VALUE"""),"River")</f>
        <v>River</v>
      </c>
      <c r="E1" s="2" t="str">
        <f>IFERROR(__xludf.DUMMYFUNCTION("""COMPUTED_VALUE"""),"Appn No")</f>
        <v>Appn No</v>
      </c>
      <c r="F1" s="2" t="str">
        <f>IFERROR(__xludf.DUMMYFUNCTION("""COMPUTED_VALUE"""),"Appn Date")</f>
        <v>Appn Date</v>
      </c>
      <c r="G1" s="2" t="str">
        <f>IFERROR(__xludf.DUMMYFUNCTION("""COMPUTED_VALUE"""),"Promoter")</f>
        <v>Promoter</v>
      </c>
      <c r="H1" s="2" t="str">
        <f>IFERROR(__xludf.DUMMYFUNCTION("""COMPUTED_VALUE"""),"Address")</f>
        <v>Address</v>
      </c>
      <c r="I1" s="2" t="str">
        <f>IFERROR(__xludf.DUMMYFUNCTION("""COMPUTED_VALUE"""),"Latitiude N")</f>
        <v>Latitiude N</v>
      </c>
      <c r="J1" s="2"/>
      <c r="K1" s="2" t="str">
        <f>IFERROR(__xludf.DUMMYFUNCTION("""COMPUTED_VALUE"""),"Longitude E")</f>
        <v>Longitude E</v>
      </c>
      <c r="L1" s="2"/>
      <c r="M1" s="2" t="str">
        <f>IFERROR(__xludf.DUMMYFUNCTION("""COMPUTED_VALUE"""),"VDC/District")</f>
        <v>VDC/District</v>
      </c>
    </row>
    <row r="2">
      <c r="A2" s="2">
        <f>IFERROR(__xludf.DUMMYFUNCTION("""COMPUTED_VALUE"""),1.0)</f>
        <v>1</v>
      </c>
      <c r="B2" s="2" t="str">
        <f>IFERROR(__xludf.DUMMYFUNCTION("""COMPUTED_VALUE"""),"Tadi Khola")</f>
        <v>Tadi Khola</v>
      </c>
      <c r="C2" s="2">
        <f>IFERROR(__xludf.DUMMYFUNCTION("""COMPUTED_VALUE"""),4.5)</f>
        <v>4.5</v>
      </c>
      <c r="D2" s="2" t="str">
        <f>IFERROR(__xludf.DUMMYFUNCTION("""COMPUTED_VALUE"""),"Tadi Khola")</f>
        <v>Tadi Khola</v>
      </c>
      <c r="E2" s="2"/>
      <c r="F2" s="2" t="str">
        <f>IFERROR(__xludf.DUMMYFUNCTION("""COMPUTED_VALUE"""),"0000-00-00")</f>
        <v>0000-00-00</v>
      </c>
      <c r="G2" s="2" t="str">
        <f>IFERROR(__xludf.DUMMYFUNCTION("""COMPUTED_VALUE"""),"Harka Bahadur Tamang")</f>
        <v>Harka Bahadur Tamang</v>
      </c>
      <c r="H2" s="2" t="str">
        <f>IFERROR(__xludf.DUMMYFUNCTION("""COMPUTED_VALUE"""),"Kalyanpur VDC, ward no : 6, Nuwakot District")</f>
        <v>Kalyanpur VDC, ward no : 6, Nuwakot District</v>
      </c>
      <c r="I2" s="2" t="str">
        <f>IFERROR(__xludf.DUMMYFUNCTION("""COMPUTED_VALUE"""),"27o 55' 16""")</f>
        <v>27o 55' 16"</v>
      </c>
      <c r="J2" s="2" t="str">
        <f>IFERROR(__xludf.DUMMYFUNCTION("""COMPUTED_VALUE"""),"27o 55' 52""")</f>
        <v>27o 55' 52"</v>
      </c>
      <c r="K2" s="2" t="str">
        <f>IFERROR(__xludf.DUMMYFUNCTION("""COMPUTED_VALUE"""),"85o 22' 53""")</f>
        <v>85o 22' 53"</v>
      </c>
      <c r="L2" s="2" t="str">
        <f>IFERROR(__xludf.DUMMYFUNCTION("""COMPUTED_VALUE"""),"85o 24' 05""")</f>
        <v>85o 24' 05"</v>
      </c>
      <c r="M2" s="2" t="str">
        <f>IFERROR(__xludf.DUMMYFUNCTION("""COMPUTED_VALUE"""),"Samundratar (Nuwakot)")</f>
        <v>Samundratar (Nuwakot)</v>
      </c>
    </row>
    <row r="3">
      <c r="A3" s="2">
        <f>IFERROR(__xludf.DUMMYFUNCTION("""COMPUTED_VALUE"""),2.0)</f>
        <v>2</v>
      </c>
      <c r="B3" s="2" t="str">
        <f>IFERROR(__xludf.DUMMYFUNCTION("""COMPUTED_VALUE"""),"Nupche Khola")</f>
        <v>Nupche Khola</v>
      </c>
      <c r="C3" s="2">
        <f>IFERROR(__xludf.DUMMYFUNCTION("""COMPUTED_VALUE"""),0.9)</f>
        <v>0.9</v>
      </c>
      <c r="D3" s="2"/>
      <c r="E3" s="2"/>
      <c r="F3" s="2" t="str">
        <f>IFERROR(__xludf.DUMMYFUNCTION("""COMPUTED_VALUE"""),"0000-00-00")</f>
        <v>0000-00-00</v>
      </c>
      <c r="G3" s="2" t="str">
        <f>IFERROR(__xludf.DUMMYFUNCTION("""COMPUTED_VALUE"""),"Sangita Dhamala, Tej Kumari Sunuwar")</f>
        <v>Sangita Dhamala, Tej Kumari Sunuwar</v>
      </c>
      <c r="H3" s="2"/>
      <c r="I3" s="2" t="str">
        <f>IFERROR(__xludf.DUMMYFUNCTION("""COMPUTED_VALUE"""),"27o 41' 15""")</f>
        <v>27o 41' 15"</v>
      </c>
      <c r="J3" s="2" t="str">
        <f>IFERROR(__xludf.DUMMYFUNCTION("""COMPUTED_VALUE"""),"27o 43' 50""")</f>
        <v>27o 43' 50"</v>
      </c>
      <c r="K3" s="2" t="str">
        <f>IFERROR(__xludf.DUMMYFUNCTION("""COMPUTED_VALUE"""),"86o 26' 00""")</f>
        <v>86o 26' 00"</v>
      </c>
      <c r="L3" s="2" t="str">
        <f>IFERROR(__xludf.DUMMYFUNCTION("""COMPUTED_VALUE"""),"86o 28' 00""")</f>
        <v>86o 28' 00"</v>
      </c>
      <c r="M3" s="2" t="str">
        <f>IFERROR(__xludf.DUMMYFUNCTION("""COMPUTED_VALUE"""),"Baku,Gudel (Solukhumbu)")</f>
        <v>Baku,Gudel (Solukhumbu)</v>
      </c>
    </row>
    <row r="4">
      <c r="A4" s="2">
        <f>IFERROR(__xludf.DUMMYFUNCTION("""COMPUTED_VALUE"""),3.0)</f>
        <v>3</v>
      </c>
      <c r="B4" s="2" t="str">
        <f>IFERROR(__xludf.DUMMYFUNCTION("""COMPUTED_VALUE"""),"Sirsegad")</f>
        <v>Sirsegad</v>
      </c>
      <c r="C4" s="2">
        <f>IFERROR(__xludf.DUMMYFUNCTION("""COMPUTED_VALUE"""),0.99)</f>
        <v>0.99</v>
      </c>
      <c r="D4" s="2" t="str">
        <f>IFERROR(__xludf.DUMMYFUNCTION("""COMPUTED_VALUE"""),"Sirse Gad")</f>
        <v>Sirse Gad</v>
      </c>
      <c r="E4" s="2"/>
      <c r="F4" s="3">
        <f>IFERROR(__xludf.DUMMYFUNCTION("""COMPUTED_VALUE"""),57848.0)</f>
        <v>57848</v>
      </c>
      <c r="G4" s="2" t="str">
        <f>IFERROR(__xludf.DUMMYFUNCTION("""COMPUTED_VALUE"""),"Mansorowar Powers P Ltd")</f>
        <v>Mansorowar Powers P Ltd</v>
      </c>
      <c r="H4" s="2"/>
      <c r="I4" s="2" t="str">
        <f>IFERROR(__xludf.DUMMYFUNCTION("""COMPUTED_VALUE"""),"00o 00' 00""")</f>
        <v>00o 00' 00"</v>
      </c>
      <c r="J4" s="2" t="str">
        <f>IFERROR(__xludf.DUMMYFUNCTION("""COMPUTED_VALUE"""),"00o 00' 00""")</f>
        <v>00o 00' 00"</v>
      </c>
      <c r="K4" s="2" t="str">
        <f>IFERROR(__xludf.DUMMYFUNCTION("""COMPUTED_VALUE"""),"00o 00' 00""")</f>
        <v>00o 00' 00"</v>
      </c>
      <c r="L4" s="2" t="str">
        <f>IFERROR(__xludf.DUMMYFUNCTION("""COMPUTED_VALUE"""),"00o 00' 00""")</f>
        <v>00o 00' 00"</v>
      </c>
      <c r="M4" s="2" t="str">
        <f>IFERROR(__xludf.DUMMYFUNCTION("""COMPUTED_VALUE"""),"(Dadeldhura)")</f>
        <v>(Dadeldhura)</v>
      </c>
    </row>
    <row r="5">
      <c r="A5" s="2">
        <f>IFERROR(__xludf.DUMMYFUNCTION("""COMPUTED_VALUE"""),4.0)</f>
        <v>4</v>
      </c>
      <c r="B5" s="2" t="str">
        <f>IFERROR(__xludf.DUMMYFUNCTION("""COMPUTED_VALUE"""),"Melamchi")</f>
        <v>Melamchi</v>
      </c>
      <c r="C5" s="2">
        <f>IFERROR(__xludf.DUMMYFUNCTION("""COMPUTED_VALUE"""),9.9)</f>
        <v>9.9</v>
      </c>
      <c r="D5" s="2" t="str">
        <f>IFERROR(__xludf.DUMMYFUNCTION("""COMPUTED_VALUE"""),"Melamchi")</f>
        <v>Melamchi</v>
      </c>
      <c r="E5" s="2"/>
      <c r="F5" s="3">
        <f>IFERROR(__xludf.DUMMYFUNCTION("""COMPUTED_VALUE"""),58243.0)</f>
        <v>58243</v>
      </c>
      <c r="G5" s="2" t="str">
        <f>IFERROR(__xludf.DUMMYFUNCTION("""COMPUTED_VALUE"""),"Sanima Hydropower P Ltd")</f>
        <v>Sanima Hydropower P Ltd</v>
      </c>
      <c r="H5" s="2"/>
      <c r="I5" s="2" t="str">
        <f>IFERROR(__xludf.DUMMYFUNCTION("""COMPUTED_VALUE"""),"27o 58' 10""")</f>
        <v>27o 58' 10"</v>
      </c>
      <c r="J5" s="2" t="str">
        <f>IFERROR(__xludf.DUMMYFUNCTION("""COMPUTED_VALUE"""),"28o 00' 00""")</f>
        <v>28o 00' 00"</v>
      </c>
      <c r="K5" s="2" t="str">
        <f>IFERROR(__xludf.DUMMYFUNCTION("""COMPUTED_VALUE"""),"85o 31' 32""")</f>
        <v>85o 31' 32"</v>
      </c>
      <c r="L5" s="2" t="str">
        <f>IFERROR(__xludf.DUMMYFUNCTION("""COMPUTED_VALUE"""),"85o 32' 30""")</f>
        <v>85o 32' 30"</v>
      </c>
      <c r="M5" s="2" t="str">
        <f>IFERROR(__xludf.DUMMYFUNCTION("""COMPUTED_VALUE"""),"(Sindhupalchok)")</f>
        <v>(Sindhupalchok)</v>
      </c>
    </row>
    <row r="6">
      <c r="A6" s="2">
        <f>IFERROR(__xludf.DUMMYFUNCTION("""COMPUTED_VALUE"""),5.0)</f>
        <v>5</v>
      </c>
      <c r="B6" s="2" t="str">
        <f>IFERROR(__xludf.DUMMYFUNCTION("""COMPUTED_VALUE"""),"Upper Sunkoshi")</f>
        <v>Upper Sunkoshi</v>
      </c>
      <c r="C6" s="2">
        <f>IFERROR(__xludf.DUMMYFUNCTION("""COMPUTED_VALUE"""),1.5)</f>
        <v>1.5</v>
      </c>
      <c r="D6" s="2" t="str">
        <f>IFERROR(__xludf.DUMMYFUNCTION("""COMPUTED_VALUE"""),"Sun Koshi")</f>
        <v>Sun Koshi</v>
      </c>
      <c r="E6" s="2"/>
      <c r="F6" s="3">
        <f>IFERROR(__xludf.DUMMYFUNCTION("""COMPUTED_VALUE"""),59183.0)</f>
        <v>59183</v>
      </c>
      <c r="G6" s="2" t="str">
        <f>IFERROR(__xludf.DUMMYFUNCTION("""COMPUTED_VALUE"""),"Diamond HP PVT LTD")</f>
        <v>Diamond HP PVT LTD</v>
      </c>
      <c r="H6" s="2"/>
      <c r="I6" s="2" t="str">
        <f>IFERROR(__xludf.DUMMYFUNCTION("""COMPUTED_VALUE"""),"27o 45' 30""")</f>
        <v>27o 45' 30"</v>
      </c>
      <c r="J6" s="2" t="str">
        <f>IFERROR(__xludf.DUMMYFUNCTION("""COMPUTED_VALUE"""),"27o 48' 00""")</f>
        <v>27o 48' 00"</v>
      </c>
      <c r="K6" s="2" t="str">
        <f>IFERROR(__xludf.DUMMYFUNCTION("""COMPUTED_VALUE"""),"85o 56' 35""")</f>
        <v>85o 56' 35"</v>
      </c>
      <c r="L6" s="2" t="str">
        <f>IFERROR(__xludf.DUMMYFUNCTION("""COMPUTED_VALUE"""),"86o 00' 00""")</f>
        <v>86o 00' 00"</v>
      </c>
      <c r="M6" s="2" t="str">
        <f>IFERROR(__xludf.DUMMYFUNCTION("""COMPUTED_VALUE"""),"(Sindhupalchok)")</f>
        <v>(Sindhupalchok)</v>
      </c>
    </row>
    <row r="7">
      <c r="A7" s="2">
        <f>IFERROR(__xludf.DUMMYFUNCTION("""COMPUTED_VALUE"""),6.0)</f>
        <v>6</v>
      </c>
      <c r="B7" s="2" t="str">
        <f>IFERROR(__xludf.DUMMYFUNCTION("""COMPUTED_VALUE"""),"Kabeli")</f>
        <v>Kabeli</v>
      </c>
      <c r="C7" s="2">
        <f>IFERROR(__xludf.DUMMYFUNCTION("""COMPUTED_VALUE"""),15.0)</f>
        <v>15</v>
      </c>
      <c r="D7" s="2" t="str">
        <f>IFERROR(__xludf.DUMMYFUNCTION("""COMPUTED_VALUE"""),"Kabeli Khola")</f>
        <v>Kabeli Khola</v>
      </c>
      <c r="E7" s="2"/>
      <c r="F7" s="3">
        <f>IFERROR(__xludf.DUMMYFUNCTION("""COMPUTED_VALUE"""),59360.0)</f>
        <v>59360</v>
      </c>
      <c r="G7" s="2" t="str">
        <f>IFERROR(__xludf.DUMMYFUNCTION("""COMPUTED_VALUE"""),"PowerGen Company P Ltd")</f>
        <v>PowerGen Company P Ltd</v>
      </c>
      <c r="H7" s="2"/>
      <c r="I7" s="2" t="str">
        <f>IFERROR(__xludf.DUMMYFUNCTION("""COMPUTED_VALUE"""),"00o 00' 00""")</f>
        <v>00o 00' 00"</v>
      </c>
      <c r="J7" s="2" t="str">
        <f>IFERROR(__xludf.DUMMYFUNCTION("""COMPUTED_VALUE"""),"00o 00' 00""")</f>
        <v>00o 00' 00"</v>
      </c>
      <c r="K7" s="2" t="str">
        <f>IFERROR(__xludf.DUMMYFUNCTION("""COMPUTED_VALUE"""),"00o 00' 00""")</f>
        <v>00o 00' 00"</v>
      </c>
      <c r="L7" s="2" t="str">
        <f>IFERROR(__xludf.DUMMYFUNCTION("""COMPUTED_VALUE"""),"00o 00' 00""")</f>
        <v>00o 00' 00"</v>
      </c>
      <c r="M7" s="2" t="str">
        <f>IFERROR(__xludf.DUMMYFUNCTION("""COMPUTED_VALUE"""),"(Taplejung)")</f>
        <v>(Taplejung)</v>
      </c>
    </row>
    <row r="8">
      <c r="A8" s="2">
        <f>IFERROR(__xludf.DUMMYFUNCTION("""COMPUTED_VALUE"""),7.0)</f>
        <v>7</v>
      </c>
      <c r="B8" s="2" t="str">
        <f>IFERROR(__xludf.DUMMYFUNCTION("""COMPUTED_VALUE"""),"Duna Khola")</f>
        <v>Duna Khola</v>
      </c>
      <c r="C8" s="2">
        <f>IFERROR(__xludf.DUMMYFUNCTION("""COMPUTED_VALUE"""),7.4)</f>
        <v>7.4</v>
      </c>
      <c r="D8" s="2" t="str">
        <f>IFERROR(__xludf.DUMMYFUNCTION("""COMPUTED_VALUE"""),"Dona Khola")</f>
        <v>Dona Khola</v>
      </c>
      <c r="E8" s="2"/>
      <c r="F8" s="3">
        <f>IFERROR(__xludf.DUMMYFUNCTION("""COMPUTED_VALUE"""),59486.0)</f>
        <v>59486</v>
      </c>
      <c r="G8" s="2" t="str">
        <f>IFERROR(__xludf.DUMMYFUNCTION("""COMPUTED_VALUE"""),"Marsyangdi Group P Ltd")</f>
        <v>Marsyangdi Group P Ltd</v>
      </c>
      <c r="H8" s="2"/>
      <c r="I8" s="2" t="str">
        <f>IFERROR(__xludf.DUMMYFUNCTION("""COMPUTED_VALUE"""),"28o 28' 30""")</f>
        <v>28o 28' 30"</v>
      </c>
      <c r="J8" s="2" t="str">
        <f>IFERROR(__xludf.DUMMYFUNCTION("""COMPUTED_VALUE"""),"28o 31' 30""")</f>
        <v>28o 31' 30"</v>
      </c>
      <c r="K8" s="2" t="str">
        <f>IFERROR(__xludf.DUMMYFUNCTION("""COMPUTED_VALUE"""),"84o 22' 01""")</f>
        <v>84o 22' 01"</v>
      </c>
      <c r="L8" s="2" t="str">
        <f>IFERROR(__xludf.DUMMYFUNCTION("""COMPUTED_VALUE"""),"84o 24' 24""")</f>
        <v>84o 24' 24"</v>
      </c>
      <c r="M8" s="2" t="str">
        <f>IFERROR(__xludf.DUMMYFUNCTION("""COMPUTED_VALUE"""),"(Manang)")</f>
        <v>(Manang)</v>
      </c>
    </row>
    <row r="9">
      <c r="A9" s="2">
        <f>IFERROR(__xludf.DUMMYFUNCTION("""COMPUTED_VALUE"""),8.0)</f>
        <v>8</v>
      </c>
      <c r="B9" s="2" t="str">
        <f>IFERROR(__xludf.DUMMYFUNCTION("""COMPUTED_VALUE"""),"Nyarchang Khola")</f>
        <v>Nyarchang Khola</v>
      </c>
      <c r="C9" s="2">
        <f>IFERROR(__xludf.DUMMYFUNCTION("""COMPUTED_VALUE"""),0.99)</f>
        <v>0.99</v>
      </c>
      <c r="D9" s="2" t="str">
        <f>IFERROR(__xludf.DUMMYFUNCTION("""COMPUTED_VALUE"""),"Nyarchang")</f>
        <v>Nyarchang</v>
      </c>
      <c r="E9" s="2"/>
      <c r="F9" s="3">
        <f>IFERROR(__xludf.DUMMYFUNCTION("""COMPUTED_VALUE"""),59500.0)</f>
        <v>59500</v>
      </c>
      <c r="G9" s="2" t="str">
        <f>IFERROR(__xludf.DUMMYFUNCTION("""COMPUTED_VALUE"""),"Nepal Arthik Sanskritik Byaparik Kendra")</f>
        <v>Nepal Arthik Sanskritik Byaparik Kendra</v>
      </c>
      <c r="H9" s="2"/>
      <c r="I9" s="2" t="str">
        <f>IFERROR(__xludf.DUMMYFUNCTION("""COMPUTED_VALUE"""),"00o 00' 00""")</f>
        <v>00o 00' 00"</v>
      </c>
      <c r="J9" s="2" t="str">
        <f>IFERROR(__xludf.DUMMYFUNCTION("""COMPUTED_VALUE"""),"00o 00' 00""")</f>
        <v>00o 00' 00"</v>
      </c>
      <c r="K9" s="2" t="str">
        <f>IFERROR(__xludf.DUMMYFUNCTION("""COMPUTED_VALUE"""),"00o 00' 00""")</f>
        <v>00o 00' 00"</v>
      </c>
      <c r="L9" s="2" t="str">
        <f>IFERROR(__xludf.DUMMYFUNCTION("""COMPUTED_VALUE"""),"00o 00' 00""")</f>
        <v>00o 00' 00"</v>
      </c>
      <c r="M9" s="2" t="str">
        <f>IFERROR(__xludf.DUMMYFUNCTION("""COMPUTED_VALUE"""),"(Myagdi)")</f>
        <v>(Myagdi)</v>
      </c>
    </row>
    <row r="10">
      <c r="A10" s="2">
        <f>IFERROR(__xludf.DUMMYFUNCTION("""COMPUTED_VALUE"""),9.0)</f>
        <v>9</v>
      </c>
      <c r="B10" s="2" t="str">
        <f>IFERROR(__xludf.DUMMYFUNCTION("""COMPUTED_VALUE"""),"Taangchhahara")</f>
        <v>Taangchhahara</v>
      </c>
      <c r="C10" s="2">
        <f>IFERROR(__xludf.DUMMYFUNCTION("""COMPUTED_VALUE"""),1.13)</f>
        <v>1.13</v>
      </c>
      <c r="D10" s="2" t="str">
        <f>IFERROR(__xludf.DUMMYFUNCTION("""COMPUTED_VALUE"""),"Taangchhahara")</f>
        <v>Taangchhahara</v>
      </c>
      <c r="E10" s="2"/>
      <c r="F10" s="3">
        <f>IFERROR(__xludf.DUMMYFUNCTION("""COMPUTED_VALUE"""),59543.0)</f>
        <v>59543</v>
      </c>
      <c r="G10" s="2" t="str">
        <f>IFERROR(__xludf.DUMMYFUNCTION("""COMPUTED_VALUE"""),"Krshnal Lal Gauchan")</f>
        <v>Krshnal Lal Gauchan</v>
      </c>
      <c r="H10" s="2"/>
      <c r="I10" s="2" t="str">
        <f>IFERROR(__xludf.DUMMYFUNCTION("""COMPUTED_VALUE"""),"28o 39' 40""")</f>
        <v>28o 39' 40"</v>
      </c>
      <c r="J10" s="2" t="str">
        <f>IFERROR(__xludf.DUMMYFUNCTION("""COMPUTED_VALUE"""),"28o 41' 58""")</f>
        <v>28o 41' 58"</v>
      </c>
      <c r="K10" s="2" t="str">
        <f>IFERROR(__xludf.DUMMYFUNCTION("""COMPUTED_VALUE"""),"83o 35' 00""")</f>
        <v>83o 35' 00"</v>
      </c>
      <c r="L10" s="2" t="str">
        <f>IFERROR(__xludf.DUMMYFUNCTION("""COMPUTED_VALUE"""),"83o 37' 16""")</f>
        <v>83o 37' 16"</v>
      </c>
      <c r="M10" s="2" t="str">
        <f>IFERROR(__xludf.DUMMYFUNCTION("""COMPUTED_VALUE"""),"(Mustang)")</f>
        <v>(Mustang)</v>
      </c>
    </row>
    <row r="11">
      <c r="A11" s="2">
        <f>IFERROR(__xludf.DUMMYFUNCTION("""COMPUTED_VALUE"""),10.0)</f>
        <v>10</v>
      </c>
      <c r="B11" s="2" t="str">
        <f>IFERROR(__xludf.DUMMYFUNCTION("""COMPUTED_VALUE"""),"Upper Piluwa")</f>
        <v>Upper Piluwa</v>
      </c>
      <c r="C11" s="2">
        <f>IFERROR(__xludf.DUMMYFUNCTION("""COMPUTED_VALUE"""),4.5)</f>
        <v>4.5</v>
      </c>
      <c r="D11" s="2" t="str">
        <f>IFERROR(__xludf.DUMMYFUNCTION("""COMPUTED_VALUE"""),"Piluwa Khola")</f>
        <v>Piluwa Khola</v>
      </c>
      <c r="E11" s="2"/>
      <c r="F11" s="3">
        <f>IFERROR(__xludf.DUMMYFUNCTION("""COMPUTED_VALUE"""),59575.0)</f>
        <v>59575</v>
      </c>
      <c r="G11" s="2" t="str">
        <f>IFERROR(__xludf.DUMMYFUNCTION("""COMPUTED_VALUE"""),"Upper Piluwa Khola HP co")</f>
        <v>Upper Piluwa Khola HP co</v>
      </c>
      <c r="H11" s="2"/>
      <c r="I11" s="2" t="str">
        <f>IFERROR(__xludf.DUMMYFUNCTION("""COMPUTED_VALUE"""),"27o 13' 30""")</f>
        <v>27o 13' 30"</v>
      </c>
      <c r="J11" s="2" t="str">
        <f>IFERROR(__xludf.DUMMYFUNCTION("""COMPUTED_VALUE"""),"27o 15' 00""")</f>
        <v>27o 15' 00"</v>
      </c>
      <c r="K11" s="2" t="str">
        <f>IFERROR(__xludf.DUMMYFUNCTION("""COMPUTED_VALUE"""),"87o 15' 20""")</f>
        <v>87o 15' 20"</v>
      </c>
      <c r="L11" s="2" t="str">
        <f>IFERROR(__xludf.DUMMYFUNCTION("""COMPUTED_VALUE"""),"87o 17' 50""")</f>
        <v>87o 17' 50"</v>
      </c>
      <c r="M11" s="2" t="str">
        <f>IFERROR(__xludf.DUMMYFUNCTION("""COMPUTED_VALUE"""),"(Sankhuwasabha)")</f>
        <v>(Sankhuwasabha)</v>
      </c>
    </row>
    <row r="12">
      <c r="A12" s="2">
        <f>IFERROR(__xludf.DUMMYFUNCTION("""COMPUTED_VALUE"""),11.0)</f>
        <v>11</v>
      </c>
      <c r="B12" s="2" t="str">
        <f>IFERROR(__xludf.DUMMYFUNCTION("""COMPUTED_VALUE"""),"Upper Khudi Khola")</f>
        <v>Upper Khudi Khola</v>
      </c>
      <c r="C12" s="2">
        <f>IFERROR(__xludf.DUMMYFUNCTION("""COMPUTED_VALUE"""),3.0)</f>
        <v>3</v>
      </c>
      <c r="D12" s="2" t="str">
        <f>IFERROR(__xludf.DUMMYFUNCTION("""COMPUTED_VALUE"""),"Khudi")</f>
        <v>Khudi</v>
      </c>
      <c r="E12" s="2"/>
      <c r="F12" s="3">
        <f>IFERROR(__xludf.DUMMYFUNCTION("""COMPUTED_VALUE"""),59607.0)</f>
        <v>59607</v>
      </c>
      <c r="G12" s="2" t="str">
        <f>IFERROR(__xludf.DUMMYFUNCTION("""COMPUTED_VALUE"""),"Upper Khudi HP Co")</f>
        <v>Upper Khudi HP Co</v>
      </c>
      <c r="H12" s="2"/>
      <c r="I12" s="2" t="str">
        <f>IFERROR(__xludf.DUMMYFUNCTION("""COMPUTED_VALUE"""),"00o 00' 00""")</f>
        <v>00o 00' 00"</v>
      </c>
      <c r="J12" s="2" t="str">
        <f>IFERROR(__xludf.DUMMYFUNCTION("""COMPUTED_VALUE"""),"00o 00' 00""")</f>
        <v>00o 00' 00"</v>
      </c>
      <c r="K12" s="2" t="str">
        <f>IFERROR(__xludf.DUMMYFUNCTION("""COMPUTED_VALUE"""),"00o 00' 00""")</f>
        <v>00o 00' 00"</v>
      </c>
      <c r="L12" s="2" t="str">
        <f>IFERROR(__xludf.DUMMYFUNCTION("""COMPUTED_VALUE"""),"00o 00' 00""")</f>
        <v>00o 00' 00"</v>
      </c>
      <c r="M12" s="2" t="str">
        <f>IFERROR(__xludf.DUMMYFUNCTION("""COMPUTED_VALUE"""),"(Lamjung)")</f>
        <v>(Lamjung)</v>
      </c>
    </row>
    <row r="13">
      <c r="A13" s="2">
        <f>IFERROR(__xludf.DUMMYFUNCTION("""COMPUTED_VALUE"""),12.0)</f>
        <v>12</v>
      </c>
      <c r="B13" s="2" t="str">
        <f>IFERROR(__xludf.DUMMYFUNCTION("""COMPUTED_VALUE"""),"Sanjen")</f>
        <v>Sanjen</v>
      </c>
      <c r="C13" s="2">
        <f>IFERROR(__xludf.DUMMYFUNCTION("""COMPUTED_VALUE"""),6.0)</f>
        <v>6</v>
      </c>
      <c r="D13" s="2" t="str">
        <f>IFERROR(__xludf.DUMMYFUNCTION("""COMPUTED_VALUE"""),"Sanjen")</f>
        <v>Sanjen</v>
      </c>
      <c r="E13" s="2"/>
      <c r="F13" s="3">
        <f>IFERROR(__xludf.DUMMYFUNCTION("""COMPUTED_VALUE"""),59624.0)</f>
        <v>59624</v>
      </c>
      <c r="G13" s="2" t="str">
        <f>IFERROR(__xludf.DUMMYFUNCTION("""COMPUTED_VALUE"""),"Kailash Hydropower P Ltd")</f>
        <v>Kailash Hydropower P Ltd</v>
      </c>
      <c r="H13" s="2"/>
      <c r="I13" s="2" t="str">
        <f>IFERROR(__xludf.DUMMYFUNCTION("""COMPUTED_VALUE"""),"00o 00' 00""")</f>
        <v>00o 00' 00"</v>
      </c>
      <c r="J13" s="2" t="str">
        <f>IFERROR(__xludf.DUMMYFUNCTION("""COMPUTED_VALUE"""),"00o 00' 00""")</f>
        <v>00o 00' 00"</v>
      </c>
      <c r="K13" s="2" t="str">
        <f>IFERROR(__xludf.DUMMYFUNCTION("""COMPUTED_VALUE"""),"00o 00' 00""")</f>
        <v>00o 00' 00"</v>
      </c>
      <c r="L13" s="2" t="str">
        <f>IFERROR(__xludf.DUMMYFUNCTION("""COMPUTED_VALUE"""),"00o 00' 00""")</f>
        <v>00o 00' 00"</v>
      </c>
      <c r="M13" s="2" t="str">
        <f>IFERROR(__xludf.DUMMYFUNCTION("""COMPUTED_VALUE"""),"(Rasuwa)")</f>
        <v>(Rasuwa)</v>
      </c>
    </row>
    <row r="14">
      <c r="A14" s="2">
        <f>IFERROR(__xludf.DUMMYFUNCTION("""COMPUTED_VALUE"""),13.0)</f>
        <v>13</v>
      </c>
      <c r="B14" s="2" t="str">
        <f>IFERROR(__xludf.DUMMYFUNCTION("""COMPUTED_VALUE"""),"Myardi Khola")</f>
        <v>Myardi Khola</v>
      </c>
      <c r="C14" s="2">
        <f>IFERROR(__xludf.DUMMYFUNCTION("""COMPUTED_VALUE"""),4.0)</f>
        <v>4</v>
      </c>
      <c r="D14" s="2" t="str">
        <f>IFERROR(__xludf.DUMMYFUNCTION("""COMPUTED_VALUE"""),"Myardi Khola")</f>
        <v>Myardi Khola</v>
      </c>
      <c r="E14" s="2"/>
      <c r="F14" s="3">
        <f>IFERROR(__xludf.DUMMYFUNCTION("""COMPUTED_VALUE"""),59630.0)</f>
        <v>59630</v>
      </c>
      <c r="G14" s="2" t="str">
        <f>IFERROR(__xludf.DUMMYFUNCTION("""COMPUTED_VALUE"""),"Harkajung Gurung")</f>
        <v>Harkajung Gurung</v>
      </c>
      <c r="H14" s="2"/>
      <c r="I14" s="2" t="str">
        <f>IFERROR(__xludf.DUMMYFUNCTION("""COMPUTED_VALUE"""),"00o 00' 00""")</f>
        <v>00o 00' 00"</v>
      </c>
      <c r="J14" s="2" t="str">
        <f>IFERROR(__xludf.DUMMYFUNCTION("""COMPUTED_VALUE"""),"00o 00' 00""")</f>
        <v>00o 00' 00"</v>
      </c>
      <c r="K14" s="2" t="str">
        <f>IFERROR(__xludf.DUMMYFUNCTION("""COMPUTED_VALUE"""),"00o 00' 00""")</f>
        <v>00o 00' 00"</v>
      </c>
      <c r="L14" s="2" t="str">
        <f>IFERROR(__xludf.DUMMYFUNCTION("""COMPUTED_VALUE"""),"00o 00' 00""")</f>
        <v>00o 00' 00"</v>
      </c>
      <c r="M14" s="2" t="str">
        <f>IFERROR(__xludf.DUMMYFUNCTION("""COMPUTED_VALUE"""),"(Manang)")</f>
        <v>(Manang)</v>
      </c>
    </row>
    <row r="15">
      <c r="A15" s="2">
        <f>IFERROR(__xludf.DUMMYFUNCTION("""COMPUTED_VALUE"""),14.0)</f>
        <v>14</v>
      </c>
      <c r="B15" s="2" t="str">
        <f>IFERROR(__xludf.DUMMYFUNCTION("""COMPUTED_VALUE"""),"Bamdang")</f>
        <v>Bamdang</v>
      </c>
      <c r="C15" s="2">
        <f>IFERROR(__xludf.DUMMYFUNCTION("""COMPUTED_VALUE"""),1.2)</f>
        <v>1.2</v>
      </c>
      <c r="D15" s="2" t="str">
        <f>IFERROR(__xludf.DUMMYFUNCTION("""COMPUTED_VALUE"""),"Bamdang")</f>
        <v>Bamdang</v>
      </c>
      <c r="E15" s="2"/>
      <c r="F15" s="3">
        <f>IFERROR(__xludf.DUMMYFUNCTION("""COMPUTED_VALUE"""),59683.0)</f>
        <v>59683</v>
      </c>
      <c r="G15" s="2" t="str">
        <f>IFERROR(__xludf.DUMMYFUNCTION("""COMPUTED_VALUE"""),"Sai HP Pvt Ltd")</f>
        <v>Sai HP Pvt Ltd</v>
      </c>
      <c r="H15" s="2"/>
      <c r="I15" s="2" t="str">
        <f>IFERROR(__xludf.DUMMYFUNCTION("""COMPUTED_VALUE"""),"28o 09' 26""")</f>
        <v>28o 09' 26"</v>
      </c>
      <c r="J15" s="2" t="str">
        <f>IFERROR(__xludf.DUMMYFUNCTION("""COMPUTED_VALUE"""),"28o 11' 00""")</f>
        <v>28o 11' 00"</v>
      </c>
      <c r="K15" s="2" t="str">
        <f>IFERROR(__xludf.DUMMYFUNCTION("""COMPUTED_VALUE"""),"85o 15' 00""")</f>
        <v>85o 15' 00"</v>
      </c>
      <c r="L15" s="2" t="str">
        <f>IFERROR(__xludf.DUMMYFUNCTION("""COMPUTED_VALUE"""),"85o 18' 50""")</f>
        <v>85o 18' 50"</v>
      </c>
      <c r="M15" s="2" t="str">
        <f>IFERROR(__xludf.DUMMYFUNCTION("""COMPUTED_VALUE"""),"(Rasuwa)")</f>
        <v>(Rasuwa)</v>
      </c>
    </row>
    <row r="16">
      <c r="A16" s="2">
        <f>IFERROR(__xludf.DUMMYFUNCTION("""COMPUTED_VALUE"""),15.0)</f>
        <v>15</v>
      </c>
      <c r="B16" s="2" t="str">
        <f>IFERROR(__xludf.DUMMYFUNCTION("""COMPUTED_VALUE"""),"Uper Melamchi")</f>
        <v>Uper Melamchi</v>
      </c>
      <c r="C16" s="2">
        <f>IFERROR(__xludf.DUMMYFUNCTION("""COMPUTED_VALUE"""),5.0)</f>
        <v>5</v>
      </c>
      <c r="D16" s="2" t="str">
        <f>IFERROR(__xludf.DUMMYFUNCTION("""COMPUTED_VALUE"""),"Melamchi")</f>
        <v>Melamchi</v>
      </c>
      <c r="E16" s="2">
        <f>IFERROR(__xludf.DUMMYFUNCTION("""COMPUTED_VALUE"""),1331.0)</f>
        <v>1331</v>
      </c>
      <c r="F16" s="3">
        <f>IFERROR(__xludf.DUMMYFUNCTION("""COMPUTED_VALUE"""),59740.0)</f>
        <v>59740</v>
      </c>
      <c r="G16" s="2" t="str">
        <f>IFERROR(__xludf.DUMMYFUNCTION("""COMPUTED_VALUE"""),"Sidhivinayak Hydropower Company Pvt. Ltd.")</f>
        <v>Sidhivinayak Hydropower Company Pvt. Ltd.</v>
      </c>
      <c r="H16" s="2" t="str">
        <f>IFERROR(__xludf.DUMMYFUNCTION("""COMPUTED_VALUE"""),"Kumari Gala, athmandu")</f>
        <v>Kumari Gala, athmandu</v>
      </c>
      <c r="I16" s="2" t="str">
        <f>IFERROR(__xludf.DUMMYFUNCTION("""COMPUTED_VALUE"""),"27o 58' 05""")</f>
        <v>27o 58' 05"</v>
      </c>
      <c r="J16" s="2" t="str">
        <f>IFERROR(__xludf.DUMMYFUNCTION("""COMPUTED_VALUE"""),"28o 00' 00""")</f>
        <v>28o 00' 00"</v>
      </c>
      <c r="K16" s="2" t="str">
        <f>IFERROR(__xludf.DUMMYFUNCTION("""COMPUTED_VALUE"""),"85o 33' 03""")</f>
        <v>85o 33' 03"</v>
      </c>
      <c r="L16" s="2" t="str">
        <f>IFERROR(__xludf.DUMMYFUNCTION("""COMPUTED_VALUE"""),"85o 35' 00""")</f>
        <v>85o 35' 00"</v>
      </c>
      <c r="M16" s="2" t="str">
        <f>IFERROR(__xludf.DUMMYFUNCTION("""COMPUTED_VALUE"""),"Haibung (Sindhupalchok)")</f>
        <v>Haibung (Sindhupalchok)</v>
      </c>
    </row>
    <row r="17">
      <c r="A17" s="2">
        <f>IFERROR(__xludf.DUMMYFUNCTION("""COMPUTED_VALUE"""),16.0)</f>
        <v>16</v>
      </c>
      <c r="B17" s="2" t="str">
        <f>IFERROR(__xludf.DUMMYFUNCTION("""COMPUTED_VALUE"""),"Multpurpose Bire Besi(Likhu Khola)")</f>
        <v>Multpurpose Bire Besi(Likhu Khola)</v>
      </c>
      <c r="C17" s="2">
        <f>IFERROR(__xludf.DUMMYFUNCTION("""COMPUTED_VALUE"""),2.5)</f>
        <v>2.5</v>
      </c>
      <c r="D17" s="2" t="str">
        <f>IFERROR(__xludf.DUMMYFUNCTION("""COMPUTED_VALUE"""),"Likhu Khola")</f>
        <v>Likhu Khola</v>
      </c>
      <c r="E17" s="2"/>
      <c r="F17" s="3">
        <f>IFERROR(__xludf.DUMMYFUNCTION("""COMPUTED_VALUE"""),59744.0)</f>
        <v>59744</v>
      </c>
      <c r="G17" s="2" t="str">
        <f>IFERROR(__xludf.DUMMYFUNCTION("""COMPUTED_VALUE"""),"Sarswati Karki Chhetry")</f>
        <v>Sarswati Karki Chhetry</v>
      </c>
      <c r="H17" s="2"/>
      <c r="I17" s="2" t="str">
        <f>IFERROR(__xludf.DUMMYFUNCTION("""COMPUTED_VALUE"""),"27o 23' 14""")</f>
        <v>27o 23' 14"</v>
      </c>
      <c r="J17" s="2" t="str">
        <f>IFERROR(__xludf.DUMMYFUNCTION("""COMPUTED_VALUE"""),"27o 23' 56""")</f>
        <v>27o 23' 56"</v>
      </c>
      <c r="K17" s="2" t="str">
        <f>IFERROR(__xludf.DUMMYFUNCTION("""COMPUTED_VALUE"""),"86o 13' 36""")</f>
        <v>86o 13' 36"</v>
      </c>
      <c r="L17" s="2" t="str">
        <f>IFERROR(__xludf.DUMMYFUNCTION("""COMPUTED_VALUE"""),"86o 13' 54""")</f>
        <v>86o 13' 54"</v>
      </c>
      <c r="M17" s="2" t="str">
        <f>IFERROR(__xludf.DUMMYFUNCTION("""COMPUTED_VALUE"""),"(Ramechhap)")</f>
        <v>(Ramechhap)</v>
      </c>
    </row>
    <row r="18">
      <c r="A18" s="2">
        <f>IFERROR(__xludf.DUMMYFUNCTION("""COMPUTED_VALUE"""),17.0)</f>
        <v>17</v>
      </c>
      <c r="B18" s="2" t="str">
        <f>IFERROR(__xludf.DUMMYFUNCTION("""COMPUTED_VALUE"""),"Upper Arun")</f>
        <v>Upper Arun</v>
      </c>
      <c r="C18" s="2">
        <f>IFERROR(__xludf.DUMMYFUNCTION("""COMPUTED_VALUE"""),335.0)</f>
        <v>335</v>
      </c>
      <c r="D18" s="2" t="str">
        <f>IFERROR(__xludf.DUMMYFUNCTION("""COMPUTED_VALUE"""),"Arun")</f>
        <v>Arun</v>
      </c>
      <c r="E18" s="2"/>
      <c r="F18" s="3">
        <f>IFERROR(__xludf.DUMMYFUNCTION("""COMPUTED_VALUE"""),59751.0)</f>
        <v>59751</v>
      </c>
      <c r="G18" s="2" t="str">
        <f>IFERROR(__xludf.DUMMYFUNCTION("""COMPUTED_VALUE"""),"Larsen &amp; Toubro Ltd")</f>
        <v>Larsen &amp; Toubro Ltd</v>
      </c>
      <c r="H18" s="2"/>
      <c r="I18" s="2" t="str">
        <f>IFERROR(__xludf.DUMMYFUNCTION("""COMPUTED_VALUE"""),"27o 40' 09""")</f>
        <v>27o 40' 09"</v>
      </c>
      <c r="J18" s="2" t="str">
        <f>IFERROR(__xludf.DUMMYFUNCTION("""COMPUTED_VALUE"""),"27o 45' 00""")</f>
        <v>27o 45' 00"</v>
      </c>
      <c r="K18" s="2" t="str">
        <f>IFERROR(__xludf.DUMMYFUNCTION("""COMPUTED_VALUE"""),"87o 20' 48""")</f>
        <v>87o 20' 48"</v>
      </c>
      <c r="L18" s="2" t="str">
        <f>IFERROR(__xludf.DUMMYFUNCTION("""COMPUTED_VALUE"""),"87o 24' 04""")</f>
        <v>87o 24' 04"</v>
      </c>
      <c r="M18" s="2" t="str">
        <f>IFERROR(__xludf.DUMMYFUNCTION("""COMPUTED_VALUE"""),"(Sankhuwasabha)")</f>
        <v>(Sankhuwasabha)</v>
      </c>
    </row>
    <row r="19">
      <c r="A19" s="2">
        <f>IFERROR(__xludf.DUMMYFUNCTION("""COMPUTED_VALUE"""),18.0)</f>
        <v>18</v>
      </c>
      <c r="B19" s="2" t="str">
        <f>IFERROR(__xludf.DUMMYFUNCTION("""COMPUTED_VALUE"""),"Rahughat")</f>
        <v>Rahughat</v>
      </c>
      <c r="C19" s="2">
        <f>IFERROR(__xludf.DUMMYFUNCTION("""COMPUTED_VALUE"""),27.0)</f>
        <v>27</v>
      </c>
      <c r="D19" s="2" t="str">
        <f>IFERROR(__xludf.DUMMYFUNCTION("""COMPUTED_VALUE"""),"Rahughat")</f>
        <v>Rahughat</v>
      </c>
      <c r="E19" s="2"/>
      <c r="F19" s="3">
        <f>IFERROR(__xludf.DUMMYFUNCTION("""COMPUTED_VALUE"""),59753.0)</f>
        <v>59753</v>
      </c>
      <c r="G19" s="2" t="str">
        <f>IFERROR(__xludf.DUMMYFUNCTION("""COMPUTED_VALUE"""),"Kiddy and Mate Consulting P Ltd")</f>
        <v>Kiddy and Mate Consulting P Ltd</v>
      </c>
      <c r="H19" s="2"/>
      <c r="I19" s="2" t="str">
        <f>IFERROR(__xludf.DUMMYFUNCTION("""COMPUTED_VALUE"""),"00o 00' 00""")</f>
        <v>00o 00' 00"</v>
      </c>
      <c r="J19" s="2" t="str">
        <f>IFERROR(__xludf.DUMMYFUNCTION("""COMPUTED_VALUE"""),"00o 00' 00""")</f>
        <v>00o 00' 00"</v>
      </c>
      <c r="K19" s="2" t="str">
        <f>IFERROR(__xludf.DUMMYFUNCTION("""COMPUTED_VALUE"""),"00o 00' 00""")</f>
        <v>00o 00' 00"</v>
      </c>
      <c r="L19" s="2" t="str">
        <f>IFERROR(__xludf.DUMMYFUNCTION("""COMPUTED_VALUE"""),"00o 00' 00""")</f>
        <v>00o 00' 00"</v>
      </c>
      <c r="M19" s="2" t="str">
        <f>IFERROR(__xludf.DUMMYFUNCTION("""COMPUTED_VALUE"""),"(Myagdi)")</f>
        <v>(Myagdi)</v>
      </c>
    </row>
    <row r="20">
      <c r="A20" s="2">
        <f>IFERROR(__xludf.DUMMYFUNCTION("""COMPUTED_VALUE"""),19.0)</f>
        <v>19</v>
      </c>
      <c r="B20" s="2" t="str">
        <f>IFERROR(__xludf.DUMMYFUNCTION("""COMPUTED_VALUE"""),"Thosne Khola")</f>
        <v>Thosne Khola</v>
      </c>
      <c r="C20" s="2">
        <f>IFERROR(__xludf.DUMMYFUNCTION("""COMPUTED_VALUE"""),0.83)</f>
        <v>0.83</v>
      </c>
      <c r="D20" s="2" t="str">
        <f>IFERROR(__xludf.DUMMYFUNCTION("""COMPUTED_VALUE"""),"Thosne")</f>
        <v>Thosne</v>
      </c>
      <c r="E20" s="2"/>
      <c r="F20" s="3">
        <f>IFERROR(__xludf.DUMMYFUNCTION("""COMPUTED_VALUE"""),59765.0)</f>
        <v>59765</v>
      </c>
      <c r="G20" s="2" t="str">
        <f>IFERROR(__xludf.DUMMYFUNCTION("""COMPUTED_VALUE"""),"Sunil Thapa")</f>
        <v>Sunil Thapa</v>
      </c>
      <c r="H20" s="2"/>
      <c r="I20" s="2" t="str">
        <f>IFERROR(__xludf.DUMMYFUNCTION("""COMPUTED_VALUE"""),"27o 30' 40""")</f>
        <v>27o 30' 40"</v>
      </c>
      <c r="J20" s="2" t="str">
        <f>IFERROR(__xludf.DUMMYFUNCTION("""COMPUTED_VALUE"""),"27o 31' 08""")</f>
        <v>27o 31' 08"</v>
      </c>
      <c r="K20" s="2" t="str">
        <f>IFERROR(__xludf.DUMMYFUNCTION("""COMPUTED_VALUE"""),"85o 17' 44""")</f>
        <v>85o 17' 44"</v>
      </c>
      <c r="L20" s="2" t="str">
        <f>IFERROR(__xludf.DUMMYFUNCTION("""COMPUTED_VALUE"""),"85o 19' 06""")</f>
        <v>85o 19' 06"</v>
      </c>
      <c r="M20" s="2" t="str">
        <f>IFERROR(__xludf.DUMMYFUNCTION("""COMPUTED_VALUE"""),"(Lalitpur)")</f>
        <v>(Lalitpur)</v>
      </c>
    </row>
    <row r="21">
      <c r="A21" s="2">
        <f>IFERROR(__xludf.DUMMYFUNCTION("""COMPUTED_VALUE"""),20.0)</f>
        <v>20</v>
      </c>
      <c r="B21" s="2" t="str">
        <f>IFERROR(__xludf.DUMMYFUNCTION("""COMPUTED_VALUE"""),"Kahule Khola")</f>
        <v>Kahule Khola</v>
      </c>
      <c r="C21" s="2">
        <f>IFERROR(__xludf.DUMMYFUNCTION("""COMPUTED_VALUE"""),0.99)</f>
        <v>0.99</v>
      </c>
      <c r="D21" s="2" t="str">
        <f>IFERROR(__xludf.DUMMYFUNCTION("""COMPUTED_VALUE"""),"Kahule")</f>
        <v>Kahule</v>
      </c>
      <c r="E21" s="2"/>
      <c r="F21" s="3">
        <f>IFERROR(__xludf.DUMMYFUNCTION("""COMPUTED_VALUE"""),59773.0)</f>
        <v>59773</v>
      </c>
      <c r="G21" s="2" t="str">
        <f>IFERROR(__xludf.DUMMYFUNCTION("""COMPUTED_VALUE"""),"B.P.Power")</f>
        <v>B.P.Power</v>
      </c>
      <c r="H21" s="2"/>
      <c r="I21" s="2" t="str">
        <f>IFERROR(__xludf.DUMMYFUNCTION("""COMPUTED_VALUE"""),"27o 52' 27""")</f>
        <v>27o 52' 27"</v>
      </c>
      <c r="J21" s="2" t="str">
        <f>IFERROR(__xludf.DUMMYFUNCTION("""COMPUTED_VALUE"""),"27o 52' 42""")</f>
        <v>27o 52' 42"</v>
      </c>
      <c r="K21" s="2" t="str">
        <f>IFERROR(__xludf.DUMMYFUNCTION("""COMPUTED_VALUE"""),"85o 52' 36""")</f>
        <v>85o 52' 36"</v>
      </c>
      <c r="L21" s="2" t="str">
        <f>IFERROR(__xludf.DUMMYFUNCTION("""COMPUTED_VALUE"""),"85o 53' 15""")</f>
        <v>85o 53' 15"</v>
      </c>
      <c r="M21" s="2" t="str">
        <f>IFERROR(__xludf.DUMMYFUNCTION("""COMPUTED_VALUE"""),"(Sindhupalchok)")</f>
        <v>(Sindhupalchok)</v>
      </c>
    </row>
    <row r="22">
      <c r="A22" s="2">
        <f>IFERROR(__xludf.DUMMYFUNCTION("""COMPUTED_VALUE"""),21.0)</f>
        <v>21</v>
      </c>
      <c r="B22" s="2" t="str">
        <f>IFERROR(__xludf.DUMMYFUNCTION("""COMPUTED_VALUE"""),"Baramchi (Upgrading)")</f>
        <v>Baramchi (Upgrading)</v>
      </c>
      <c r="C22" s="2">
        <f>IFERROR(__xludf.DUMMYFUNCTION("""COMPUTED_VALUE"""),3.0)</f>
        <v>3</v>
      </c>
      <c r="D22" s="2" t="str">
        <f>IFERROR(__xludf.DUMMYFUNCTION("""COMPUTED_VALUE"""),"Baramchi")</f>
        <v>Baramchi</v>
      </c>
      <c r="E22" s="2"/>
      <c r="F22" s="3">
        <f>IFERROR(__xludf.DUMMYFUNCTION("""COMPUTED_VALUE"""),59784.0)</f>
        <v>59784</v>
      </c>
      <c r="G22" s="2" t="str">
        <f>IFERROR(__xludf.DUMMYFUNCTION("""COMPUTED_VALUE"""),"Unique Hydel Co")</f>
        <v>Unique Hydel Co</v>
      </c>
      <c r="H22" s="2"/>
      <c r="I22" s="2" t="str">
        <f>IFERROR(__xludf.DUMMYFUNCTION("""COMPUTED_VALUE"""),"00o 00' 00""")</f>
        <v>00o 00' 00"</v>
      </c>
      <c r="J22" s="2" t="str">
        <f>IFERROR(__xludf.DUMMYFUNCTION("""COMPUTED_VALUE"""),"00o 00' 00""")</f>
        <v>00o 00' 00"</v>
      </c>
      <c r="K22" s="2" t="str">
        <f>IFERROR(__xludf.DUMMYFUNCTION("""COMPUTED_VALUE"""),"00o 00' 00""")</f>
        <v>00o 00' 00"</v>
      </c>
      <c r="L22" s="2" t="str">
        <f>IFERROR(__xludf.DUMMYFUNCTION("""COMPUTED_VALUE"""),"00o 00' 00""")</f>
        <v>00o 00' 00"</v>
      </c>
      <c r="M22" s="2" t="str">
        <f>IFERROR(__xludf.DUMMYFUNCTION("""COMPUTED_VALUE"""),"(Sindhupalchok)")</f>
        <v>(Sindhupalchok)</v>
      </c>
    </row>
    <row r="23">
      <c r="A23" s="2">
        <f>IFERROR(__xludf.DUMMYFUNCTION("""COMPUTED_VALUE"""),22.0)</f>
        <v>22</v>
      </c>
      <c r="B23" s="2" t="str">
        <f>IFERROR(__xludf.DUMMYFUNCTION("""COMPUTED_VALUE"""),"Lower Liping")</f>
        <v>Lower Liping</v>
      </c>
      <c r="C23" s="2">
        <f>IFERROR(__xludf.DUMMYFUNCTION("""COMPUTED_VALUE"""),0.979)</f>
        <v>0.979</v>
      </c>
      <c r="D23" s="2" t="str">
        <f>IFERROR(__xludf.DUMMYFUNCTION("""COMPUTED_VALUE"""),"Liping")</f>
        <v>Liping</v>
      </c>
      <c r="E23" s="2"/>
      <c r="F23" s="3">
        <f>IFERROR(__xludf.DUMMYFUNCTION("""COMPUTED_VALUE"""),59784.0)</f>
        <v>59784</v>
      </c>
      <c r="G23" s="2" t="str">
        <f>IFERROR(__xludf.DUMMYFUNCTION("""COMPUTED_VALUE"""),"Radhadevi Parajuli")</f>
        <v>Radhadevi Parajuli</v>
      </c>
      <c r="H23" s="2"/>
      <c r="I23" s="2" t="str">
        <f>IFERROR(__xludf.DUMMYFUNCTION("""COMPUTED_VALUE"""),"27o 56' 42""")</f>
        <v>27o 56' 42"</v>
      </c>
      <c r="J23" s="2" t="str">
        <f>IFERROR(__xludf.DUMMYFUNCTION("""COMPUTED_VALUE"""),"27o 58' 26""")</f>
        <v>27o 58' 26"</v>
      </c>
      <c r="K23" s="2" t="str">
        <f>IFERROR(__xludf.DUMMYFUNCTION("""COMPUTED_VALUE"""),"85o 56' 50""")</f>
        <v>85o 56' 50"</v>
      </c>
      <c r="L23" s="2" t="str">
        <f>IFERROR(__xludf.DUMMYFUNCTION("""COMPUTED_VALUE"""),"85o 57' 57""")</f>
        <v>85o 57' 57"</v>
      </c>
      <c r="M23" s="2" t="str">
        <f>IFERROR(__xludf.DUMMYFUNCTION("""COMPUTED_VALUE"""),"(Sindhupalchok)")</f>
        <v>(Sindhupalchok)</v>
      </c>
    </row>
    <row r="24">
      <c r="A24" s="2">
        <f>IFERROR(__xludf.DUMMYFUNCTION("""COMPUTED_VALUE"""),23.0)</f>
        <v>23</v>
      </c>
      <c r="B24" s="2" t="str">
        <f>IFERROR(__xludf.DUMMYFUNCTION("""COMPUTED_VALUE"""),"Upper Modi")</f>
        <v>Upper Modi</v>
      </c>
      <c r="C24" s="2">
        <f>IFERROR(__xludf.DUMMYFUNCTION("""COMPUTED_VALUE"""),14.0)</f>
        <v>14</v>
      </c>
      <c r="D24" s="2" t="str">
        <f>IFERROR(__xludf.DUMMYFUNCTION("""COMPUTED_VALUE"""),"Modi Khola")</f>
        <v>Modi Khola</v>
      </c>
      <c r="E24" s="2">
        <f>IFERROR(__xludf.DUMMYFUNCTION("""COMPUTED_VALUE"""),2166.0)</f>
        <v>2166</v>
      </c>
      <c r="F24" s="3">
        <f>IFERROR(__xludf.DUMMYFUNCTION("""COMPUTED_VALUE"""),59789.0)</f>
        <v>59789</v>
      </c>
      <c r="G24" s="2" t="str">
        <f>IFERROR(__xludf.DUMMYFUNCTION("""COMPUTED_VALUE"""),"ICTC P Ltd")</f>
        <v>ICTC P Ltd</v>
      </c>
      <c r="H24" s="2"/>
      <c r="I24" s="2" t="str">
        <f>IFERROR(__xludf.DUMMYFUNCTION("""COMPUTED_VALUE"""),"28o 15' 00""")</f>
        <v>28o 15' 00"</v>
      </c>
      <c r="J24" s="2" t="str">
        <f>IFERROR(__xludf.DUMMYFUNCTION("""COMPUTED_VALUE"""),"28o 25' 00""")</f>
        <v>28o 25' 00"</v>
      </c>
      <c r="K24" s="2" t="str">
        <f>IFERROR(__xludf.DUMMYFUNCTION("""COMPUTED_VALUE"""),"83o 42' 00""")</f>
        <v>83o 42' 00"</v>
      </c>
      <c r="L24" s="2" t="str">
        <f>IFERROR(__xludf.DUMMYFUNCTION("""COMPUTED_VALUE"""),"83o 55' 00""")</f>
        <v>83o 55' 00"</v>
      </c>
      <c r="M24" s="2" t="str">
        <f>IFERROR(__xludf.DUMMYFUNCTION("""COMPUTED_VALUE"""),"(Kaski)")</f>
        <v>(Kaski)</v>
      </c>
    </row>
    <row r="25">
      <c r="A25" s="2">
        <f>IFERROR(__xludf.DUMMYFUNCTION("""COMPUTED_VALUE"""),24.0)</f>
        <v>24</v>
      </c>
      <c r="B25" s="2" t="str">
        <f>IFERROR(__xludf.DUMMYFUNCTION("""COMPUTED_VALUE"""),"Khare Khola")</f>
        <v>Khare Khola</v>
      </c>
      <c r="C25" s="2">
        <f>IFERROR(__xludf.DUMMYFUNCTION("""COMPUTED_VALUE"""),14.0)</f>
        <v>14</v>
      </c>
      <c r="D25" s="2" t="str">
        <f>IFERROR(__xludf.DUMMYFUNCTION("""COMPUTED_VALUE"""),"Khare")</f>
        <v>Khare</v>
      </c>
      <c r="E25" s="2"/>
      <c r="F25" s="3">
        <f>IFERROR(__xludf.DUMMYFUNCTION("""COMPUTED_VALUE"""),59793.0)</f>
        <v>59793</v>
      </c>
      <c r="G25" s="2" t="str">
        <f>IFERROR(__xludf.DUMMYFUNCTION("""COMPUTED_VALUE"""),"ICTC P Ltd")</f>
        <v>ICTC P Ltd</v>
      </c>
      <c r="H25" s="2"/>
      <c r="I25" s="2" t="str">
        <f>IFERROR(__xludf.DUMMYFUNCTION("""COMPUTED_VALUE"""),"27o 45' 36""")</f>
        <v>27o 45' 36"</v>
      </c>
      <c r="J25" s="2" t="str">
        <f>IFERROR(__xludf.DUMMYFUNCTION("""COMPUTED_VALUE"""),"27o 48' 00""")</f>
        <v>27o 48' 00"</v>
      </c>
      <c r="K25" s="2" t="str">
        <f>IFERROR(__xludf.DUMMYFUNCTION("""COMPUTED_VALUE"""),"86o 14' 00""")</f>
        <v>86o 14' 00"</v>
      </c>
      <c r="L25" s="2" t="str">
        <f>IFERROR(__xludf.DUMMYFUNCTION("""COMPUTED_VALUE"""),"86o 18' 00""")</f>
        <v>86o 18' 00"</v>
      </c>
      <c r="M25" s="2" t="str">
        <f>IFERROR(__xludf.DUMMYFUNCTION("""COMPUTED_VALUE"""),"(Dolakha)")</f>
        <v>(Dolakha)</v>
      </c>
    </row>
    <row r="26">
      <c r="A26" s="2">
        <f>IFERROR(__xludf.DUMMYFUNCTION("""COMPUTED_VALUE"""),25.0)</f>
        <v>25</v>
      </c>
      <c r="B26" s="2" t="str">
        <f>IFERROR(__xludf.DUMMYFUNCTION("""COMPUTED_VALUE"""),"Baramchi")</f>
        <v>Baramchi</v>
      </c>
      <c r="C26" s="2">
        <f>IFERROR(__xludf.DUMMYFUNCTION("""COMPUTED_VALUE"""),3.0)</f>
        <v>3</v>
      </c>
      <c r="D26" s="2" t="str">
        <f>IFERROR(__xludf.DUMMYFUNCTION("""COMPUTED_VALUE"""),"Baramchi")</f>
        <v>Baramchi</v>
      </c>
      <c r="E26" s="2"/>
      <c r="F26" s="3">
        <f>IFERROR(__xludf.DUMMYFUNCTION("""COMPUTED_VALUE"""),59796.0)</f>
        <v>59796</v>
      </c>
      <c r="G26" s="2" t="str">
        <f>IFERROR(__xludf.DUMMYFUNCTION("""COMPUTED_VALUE"""),"Govinda Sharma Pokharel")</f>
        <v>Govinda Sharma Pokharel</v>
      </c>
      <c r="H26" s="2"/>
      <c r="I26" s="2" t="str">
        <f>IFERROR(__xludf.DUMMYFUNCTION("""COMPUTED_VALUE"""),"00o 00' 00""")</f>
        <v>00o 00' 00"</v>
      </c>
      <c r="J26" s="2" t="str">
        <f>IFERROR(__xludf.DUMMYFUNCTION("""COMPUTED_VALUE"""),"00o 00' 00""")</f>
        <v>00o 00' 00"</v>
      </c>
      <c r="K26" s="2" t="str">
        <f>IFERROR(__xludf.DUMMYFUNCTION("""COMPUTED_VALUE"""),"00o 00' 00""")</f>
        <v>00o 00' 00"</v>
      </c>
      <c r="L26" s="2" t="str">
        <f>IFERROR(__xludf.DUMMYFUNCTION("""COMPUTED_VALUE"""),"00o 00' 00""")</f>
        <v>00o 00' 00"</v>
      </c>
      <c r="M26" s="2" t="str">
        <f>IFERROR(__xludf.DUMMYFUNCTION("""COMPUTED_VALUE"""),"(Sindhupalchok)")</f>
        <v>(Sindhupalchok)</v>
      </c>
    </row>
    <row r="27">
      <c r="A27" s="2">
        <f>IFERROR(__xludf.DUMMYFUNCTION("""COMPUTED_VALUE"""),26.0)</f>
        <v>26</v>
      </c>
      <c r="B27" s="2" t="str">
        <f>IFERROR(__xludf.DUMMYFUNCTION("""COMPUTED_VALUE"""),"Sailang 1 P")</f>
        <v>Sailang 1 P</v>
      </c>
      <c r="C27" s="2">
        <f>IFERROR(__xludf.DUMMYFUNCTION("""COMPUTED_VALUE"""),0.983)</f>
        <v>0.983</v>
      </c>
      <c r="D27" s="2" t="str">
        <f>IFERROR(__xludf.DUMMYFUNCTION("""COMPUTED_VALUE"""),"Sailang")</f>
        <v>Sailang</v>
      </c>
      <c r="E27" s="2"/>
      <c r="F27" s="3">
        <f>IFERROR(__xludf.DUMMYFUNCTION("""COMPUTED_VALUE"""),59796.0)</f>
        <v>59796</v>
      </c>
      <c r="G27" s="2" t="str">
        <f>IFERROR(__xludf.DUMMYFUNCTION("""COMPUTED_VALUE"""),"Anil Ghising")</f>
        <v>Anil Ghising</v>
      </c>
      <c r="H27" s="2"/>
      <c r="I27" s="2" t="str">
        <f>IFERROR(__xludf.DUMMYFUNCTION("""COMPUTED_VALUE"""),"27o 36' 06""")</f>
        <v>27o 36' 06"</v>
      </c>
      <c r="J27" s="2" t="str">
        <f>IFERROR(__xludf.DUMMYFUNCTION("""COMPUTED_VALUE"""),"27o 37' 14""")</f>
        <v>27o 37' 14"</v>
      </c>
      <c r="K27" s="2" t="str">
        <f>IFERROR(__xludf.DUMMYFUNCTION("""COMPUTED_VALUE"""),"85o 52' 47""")</f>
        <v>85o 52' 47"</v>
      </c>
      <c r="L27" s="2" t="str">
        <f>IFERROR(__xludf.DUMMYFUNCTION("""COMPUTED_VALUE"""),"85o 55' 16""")</f>
        <v>85o 55' 16"</v>
      </c>
      <c r="M27" s="2" t="str">
        <f>IFERROR(__xludf.DUMMYFUNCTION("""COMPUTED_VALUE"""),"(Dolakha)")</f>
        <v>(Dolakha)</v>
      </c>
    </row>
    <row r="28">
      <c r="A28" s="2">
        <f>IFERROR(__xludf.DUMMYFUNCTION("""COMPUTED_VALUE"""),27.0)</f>
        <v>27</v>
      </c>
      <c r="B28" s="2" t="str">
        <f>IFERROR(__xludf.DUMMYFUNCTION("""COMPUTED_VALUE"""),"Chheda")</f>
        <v>Chheda</v>
      </c>
      <c r="C28" s="2">
        <f>IFERROR(__xludf.DUMMYFUNCTION("""COMPUTED_VALUE"""),5.0)</f>
        <v>5</v>
      </c>
      <c r="D28" s="2" t="str">
        <f>IFERROR(__xludf.DUMMYFUNCTION("""COMPUTED_VALUE"""),"Chheda")</f>
        <v>Chheda</v>
      </c>
      <c r="E28" s="2"/>
      <c r="F28" s="3">
        <f>IFERROR(__xludf.DUMMYFUNCTION("""COMPUTED_VALUE"""),59796.0)</f>
        <v>59796</v>
      </c>
      <c r="G28" s="2" t="str">
        <f>IFERROR(__xludf.DUMMYFUNCTION("""COMPUTED_VALUE"""),"Makalu Energy")</f>
        <v>Makalu Energy</v>
      </c>
      <c r="H28" s="2"/>
      <c r="I28" s="2" t="str">
        <f>IFERROR(__xludf.DUMMYFUNCTION("""COMPUTED_VALUE"""),"28o 43' 42""")</f>
        <v>28o 43' 42"</v>
      </c>
      <c r="J28" s="2" t="str">
        <f>IFERROR(__xludf.DUMMYFUNCTION("""COMPUTED_VALUE"""),"28o 45' 39""")</f>
        <v>28o 45' 39"</v>
      </c>
      <c r="K28" s="2" t="str">
        <f>IFERROR(__xludf.DUMMYFUNCTION("""COMPUTED_VALUE"""),"82o 02' 04""")</f>
        <v>82o 02' 04"</v>
      </c>
      <c r="L28" s="2" t="str">
        <f>IFERROR(__xludf.DUMMYFUNCTION("""COMPUTED_VALUE"""),"82o 03' 45""")</f>
        <v>82o 03' 45"</v>
      </c>
      <c r="M28" s="2" t="str">
        <f>IFERROR(__xludf.DUMMYFUNCTION("""COMPUTED_VALUE"""),"(Jajarkot)")</f>
        <v>(Jajarkot)</v>
      </c>
    </row>
    <row r="29">
      <c r="A29" s="2">
        <f>IFERROR(__xludf.DUMMYFUNCTION("""COMPUTED_VALUE"""),28.0)</f>
        <v>28</v>
      </c>
      <c r="B29" s="2" t="str">
        <f>IFERROR(__xludf.DUMMYFUNCTION("""COMPUTED_VALUE"""),"Upper Phalanku Khola")</f>
        <v>Upper Phalanku Khola</v>
      </c>
      <c r="C29" s="2">
        <f>IFERROR(__xludf.DUMMYFUNCTION("""COMPUTED_VALUE"""),2.0)</f>
        <v>2</v>
      </c>
      <c r="D29" s="2" t="str">
        <f>IFERROR(__xludf.DUMMYFUNCTION("""COMPUTED_VALUE"""),"Phalankhu Khola")</f>
        <v>Phalankhu Khola</v>
      </c>
      <c r="E29" s="2"/>
      <c r="F29" s="3">
        <f>IFERROR(__xludf.DUMMYFUNCTION("""COMPUTED_VALUE"""),59805.0)</f>
        <v>59805</v>
      </c>
      <c r="G29" s="2" t="str">
        <f>IFERROR(__xludf.DUMMYFUNCTION("""COMPUTED_VALUE"""),"Bishama Rimal")</f>
        <v>Bishama Rimal</v>
      </c>
      <c r="H29" s="2"/>
      <c r="I29" s="2" t="str">
        <f>IFERROR(__xludf.DUMMYFUNCTION("""COMPUTED_VALUE"""),"28o 00' 47""")</f>
        <v>28o 00' 47"</v>
      </c>
      <c r="J29" s="2" t="str">
        <f>IFERROR(__xludf.DUMMYFUNCTION("""COMPUTED_VALUE"""),"28o 02' 09""")</f>
        <v>28o 02' 09"</v>
      </c>
      <c r="K29" s="2" t="str">
        <f>IFERROR(__xludf.DUMMYFUNCTION("""COMPUTED_VALUE"""),"85o 15' 45""")</f>
        <v>85o 15' 45"</v>
      </c>
      <c r="L29" s="2" t="str">
        <f>IFERROR(__xludf.DUMMYFUNCTION("""COMPUTED_VALUE"""),"85o 20' 00""")</f>
        <v>85o 20' 00"</v>
      </c>
      <c r="M29" s="2" t="str">
        <f>IFERROR(__xludf.DUMMYFUNCTION("""COMPUTED_VALUE"""),"(Rasuwa)")</f>
        <v>(Rasuwa)</v>
      </c>
    </row>
    <row r="30">
      <c r="A30" s="2">
        <f>IFERROR(__xludf.DUMMYFUNCTION("""COMPUTED_VALUE"""),29.0)</f>
        <v>29</v>
      </c>
      <c r="B30" s="2" t="str">
        <f>IFERROR(__xludf.DUMMYFUNCTION("""COMPUTED_VALUE"""),"Phalanku Khola")</f>
        <v>Phalanku Khola</v>
      </c>
      <c r="C30" s="2">
        <f>IFERROR(__xludf.DUMMYFUNCTION("""COMPUTED_VALUE"""),3.5)</f>
        <v>3.5</v>
      </c>
      <c r="D30" s="2" t="str">
        <f>IFERROR(__xludf.DUMMYFUNCTION("""COMPUTED_VALUE"""),"Phalankhu Khola")</f>
        <v>Phalankhu Khola</v>
      </c>
      <c r="E30" s="2"/>
      <c r="F30" s="3">
        <f>IFERROR(__xludf.DUMMYFUNCTION("""COMPUTED_VALUE"""),59807.0)</f>
        <v>59807</v>
      </c>
      <c r="G30" s="2" t="str">
        <f>IFERROR(__xludf.DUMMYFUNCTION("""COMPUTED_VALUE"""),"Makalu Energy Development Co. P. Ltd.")</f>
        <v>Makalu Energy Development Co. P. Ltd.</v>
      </c>
      <c r="H30" s="2"/>
      <c r="I30" s="2" t="str">
        <f>IFERROR(__xludf.DUMMYFUNCTION("""COMPUTED_VALUE"""),"28o 00' 24""")</f>
        <v>28o 00' 24"</v>
      </c>
      <c r="J30" s="2" t="str">
        <f>IFERROR(__xludf.DUMMYFUNCTION("""COMPUTED_VALUE"""),"28o 01' 21""")</f>
        <v>28o 01' 21"</v>
      </c>
      <c r="K30" s="2" t="str">
        <f>IFERROR(__xludf.DUMMYFUNCTION("""COMPUTED_VALUE"""),"85o 16' 12""")</f>
        <v>85o 16' 12"</v>
      </c>
      <c r="L30" s="2" t="str">
        <f>IFERROR(__xludf.DUMMYFUNCTION("""COMPUTED_VALUE"""),"85o 17' 15""")</f>
        <v>85o 17' 15"</v>
      </c>
      <c r="M30" s="2" t="str">
        <f>IFERROR(__xludf.DUMMYFUNCTION("""COMPUTED_VALUE"""),"(Rasuwa)")</f>
        <v>(Rasuwa)</v>
      </c>
    </row>
    <row r="31">
      <c r="A31" s="2">
        <f>IFERROR(__xludf.DUMMYFUNCTION("""COMPUTED_VALUE"""),30.0)</f>
        <v>30</v>
      </c>
      <c r="B31" s="2" t="str">
        <f>IFERROR(__xludf.DUMMYFUNCTION("""COMPUTED_VALUE"""),"Simbuwa Khola")</f>
        <v>Simbuwa Khola</v>
      </c>
      <c r="C31" s="2">
        <f>IFERROR(__xludf.DUMMYFUNCTION("""COMPUTED_VALUE"""),33.0)</f>
        <v>33</v>
      </c>
      <c r="D31" s="2" t="str">
        <f>IFERROR(__xludf.DUMMYFUNCTION("""COMPUTED_VALUE"""),"Simbuwa Khola")</f>
        <v>Simbuwa Khola</v>
      </c>
      <c r="E31" s="2"/>
      <c r="F31" s="3">
        <f>IFERROR(__xludf.DUMMYFUNCTION("""COMPUTED_VALUE"""),59821.0)</f>
        <v>59821</v>
      </c>
      <c r="G31" s="2" t="str">
        <f>IFERROR(__xludf.DUMMYFUNCTION("""COMPUTED_VALUE"""),"Yamuna Hydropower P Ltd")</f>
        <v>Yamuna Hydropower P Ltd</v>
      </c>
      <c r="H31" s="2"/>
      <c r="I31" s="2" t="str">
        <f>IFERROR(__xludf.DUMMYFUNCTION("""COMPUTED_VALUE"""),"27o 30' 00""")</f>
        <v>27o 30' 00"</v>
      </c>
      <c r="J31" s="2" t="str">
        <f>IFERROR(__xludf.DUMMYFUNCTION("""COMPUTED_VALUE"""),"27o 33' 00""")</f>
        <v>27o 33' 00"</v>
      </c>
      <c r="K31" s="2" t="str">
        <f>IFERROR(__xludf.DUMMYFUNCTION("""COMPUTED_VALUE"""),"87o 46' 00""")</f>
        <v>87o 46' 00"</v>
      </c>
      <c r="L31" s="2" t="str">
        <f>IFERROR(__xludf.DUMMYFUNCTION("""COMPUTED_VALUE"""),"87o 52' 00""")</f>
        <v>87o 52' 00"</v>
      </c>
      <c r="M31" s="2" t="str">
        <f>IFERROR(__xludf.DUMMYFUNCTION("""COMPUTED_VALUE"""),"(Taplejung)")</f>
        <v>(Taplejung)</v>
      </c>
    </row>
    <row r="32">
      <c r="A32" s="2">
        <f>IFERROR(__xludf.DUMMYFUNCTION("""COMPUTED_VALUE"""),31.0)</f>
        <v>31</v>
      </c>
      <c r="B32" s="2" t="str">
        <f>IFERROR(__xludf.DUMMYFUNCTION("""COMPUTED_VALUE"""),"Kabeli Khola")</f>
        <v>Kabeli Khola</v>
      </c>
      <c r="C32" s="2">
        <f>IFERROR(__xludf.DUMMYFUNCTION("""COMPUTED_VALUE"""),18.0)</f>
        <v>18</v>
      </c>
      <c r="D32" s="2" t="str">
        <f>IFERROR(__xludf.DUMMYFUNCTION("""COMPUTED_VALUE"""),"Kabeli Khola")</f>
        <v>Kabeli Khola</v>
      </c>
      <c r="E32" s="2"/>
      <c r="F32" s="3">
        <f>IFERROR(__xludf.DUMMYFUNCTION("""COMPUTED_VALUE"""),59822.0)</f>
        <v>59822</v>
      </c>
      <c r="G32" s="2" t="str">
        <f>IFERROR(__xludf.DUMMYFUNCTION("""COMPUTED_VALUE"""),"Sabal Hydropower P Ltd")</f>
        <v>Sabal Hydropower P Ltd</v>
      </c>
      <c r="H32" s="2"/>
      <c r="I32" s="2" t="str">
        <f>IFERROR(__xludf.DUMMYFUNCTION("""COMPUTED_VALUE"""),"27o 15' 00""")</f>
        <v>27o 15' 00"</v>
      </c>
      <c r="J32" s="2" t="str">
        <f>IFERROR(__xludf.DUMMYFUNCTION("""COMPUTED_VALUE"""),"27o 18' 30""")</f>
        <v>27o 18' 30"</v>
      </c>
      <c r="K32" s="2" t="str">
        <f>IFERROR(__xludf.DUMMYFUNCTION("""COMPUTED_VALUE"""),"87o 42' 00""")</f>
        <v>87o 42' 00"</v>
      </c>
      <c r="L32" s="2" t="str">
        <f>IFERROR(__xludf.DUMMYFUNCTION("""COMPUTED_VALUE"""),"87o 52' 10""")</f>
        <v>87o 52' 10"</v>
      </c>
      <c r="M32" s="2" t="str">
        <f>IFERROR(__xludf.DUMMYFUNCTION("""COMPUTED_VALUE"""),"(Taplejung)")</f>
        <v>(Taplejung)</v>
      </c>
    </row>
    <row r="33">
      <c r="A33" s="2">
        <f>IFERROR(__xludf.DUMMYFUNCTION("""COMPUTED_VALUE"""),32.0)</f>
        <v>32</v>
      </c>
      <c r="B33" s="2" t="str">
        <f>IFERROR(__xludf.DUMMYFUNCTION("""COMPUTED_VALUE"""),"Budhi Ganga")</f>
        <v>Budhi Ganga</v>
      </c>
      <c r="C33" s="2">
        <f>IFERROR(__xludf.DUMMYFUNCTION("""COMPUTED_VALUE"""),20.0)</f>
        <v>20</v>
      </c>
      <c r="D33" s="2" t="str">
        <f>IFERROR(__xludf.DUMMYFUNCTION("""COMPUTED_VALUE"""),"Budhi Ganga")</f>
        <v>Budhi Ganga</v>
      </c>
      <c r="E33" s="2">
        <f>IFERROR(__xludf.DUMMYFUNCTION("""COMPUTED_VALUE"""),1520.0)</f>
        <v>1520</v>
      </c>
      <c r="F33" s="3">
        <f>IFERROR(__xludf.DUMMYFUNCTION("""COMPUTED_VALUE"""),59824.0)</f>
        <v>59824</v>
      </c>
      <c r="G33" s="2" t="str">
        <f>IFERROR(__xludf.DUMMYFUNCTION("""COMPUTED_VALUE"""),"Ramaroshan Hydropower Development Pvt. Ltd.")</f>
        <v>Ramaroshan Hydropower Development Pvt. Ltd.</v>
      </c>
      <c r="H33" s="2" t="str">
        <f>IFERROR(__xludf.DUMMYFUNCTION("""COMPUTED_VALUE"""),"New Baneshwor Kathmandu Te 9851088565")</f>
        <v>New Baneshwor Kathmandu Te 9851088565</v>
      </c>
      <c r="I33" s="2" t="str">
        <f>IFERROR(__xludf.DUMMYFUNCTION("""COMPUTED_VALUE"""),"29o 15' 30""")</f>
        <v>29o 15' 30"</v>
      </c>
      <c r="J33" s="2" t="str">
        <f>IFERROR(__xludf.DUMMYFUNCTION("""COMPUTED_VALUE"""),"29o 18' 35""")</f>
        <v>29o 18' 35"</v>
      </c>
      <c r="K33" s="2" t="str">
        <f>IFERROR(__xludf.DUMMYFUNCTION("""COMPUTED_VALUE"""),"81o 14' 00""")</f>
        <v>81o 14' 00"</v>
      </c>
      <c r="L33" s="2" t="str">
        <f>IFERROR(__xludf.DUMMYFUNCTION("""COMPUTED_VALUE"""),"81o 17' 50""")</f>
        <v>81o 17' 50"</v>
      </c>
      <c r="M33" s="2" t="str">
        <f>IFERROR(__xludf.DUMMYFUNCTION("""COMPUTED_VALUE"""),"Hatikot,Mashtanamdali (Achham)")</f>
        <v>Hatikot,Mashtanamdali (Achham)</v>
      </c>
    </row>
    <row r="34">
      <c r="A34" s="2">
        <f>IFERROR(__xludf.DUMMYFUNCTION("""COMPUTED_VALUE"""),33.0)</f>
        <v>33</v>
      </c>
      <c r="B34" s="2" t="str">
        <f>IFERROR(__xludf.DUMMYFUNCTION("""COMPUTED_VALUE"""),"Timbu Khola")</f>
        <v>Timbu Khola</v>
      </c>
      <c r="C34" s="2">
        <f>IFERROR(__xludf.DUMMYFUNCTION("""COMPUTED_VALUE"""),0.191)</f>
        <v>0.191</v>
      </c>
      <c r="D34" s="2" t="str">
        <f>IFERROR(__xludf.DUMMYFUNCTION("""COMPUTED_VALUE"""),"Timbu")</f>
        <v>Timbu</v>
      </c>
      <c r="E34" s="2"/>
      <c r="F34" s="3">
        <f>IFERROR(__xludf.DUMMYFUNCTION("""COMPUTED_VALUE"""),59835.0)</f>
        <v>59835</v>
      </c>
      <c r="G34" s="2" t="str">
        <f>IFERROR(__xludf.DUMMYFUNCTION("""COMPUTED_VALUE"""),"Nurbu Sherpa")</f>
        <v>Nurbu Sherpa</v>
      </c>
      <c r="H34" s="2"/>
      <c r="I34" s="2" t="str">
        <f>IFERROR(__xludf.DUMMYFUNCTION("""COMPUTED_VALUE"""),"27o 56' 05""")</f>
        <v>27o 56' 05"</v>
      </c>
      <c r="J34" s="2" t="str">
        <f>IFERROR(__xludf.DUMMYFUNCTION("""COMPUTED_VALUE"""),"27o 57' 02""")</f>
        <v>27o 57' 02"</v>
      </c>
      <c r="K34" s="2" t="str">
        <f>IFERROR(__xludf.DUMMYFUNCTION("""COMPUTED_VALUE"""),"85o 34' 05""")</f>
        <v>85o 34' 05"</v>
      </c>
      <c r="L34" s="2" t="str">
        <f>IFERROR(__xludf.DUMMYFUNCTION("""COMPUTED_VALUE"""),"85o 34' 50""")</f>
        <v>85o 34' 50"</v>
      </c>
      <c r="M34" s="2" t="str">
        <f>IFERROR(__xludf.DUMMYFUNCTION("""COMPUTED_VALUE"""),"(Sindhupalchok)")</f>
        <v>(Sindhupalchok)</v>
      </c>
    </row>
    <row r="35">
      <c r="A35" s="2">
        <f>IFERROR(__xludf.DUMMYFUNCTION("""COMPUTED_VALUE"""),34.0)</f>
        <v>34</v>
      </c>
      <c r="B35" s="2" t="str">
        <f>IFERROR(__xludf.DUMMYFUNCTION("""COMPUTED_VALUE"""),"Khorunga Khola")</f>
        <v>Khorunga Khola</v>
      </c>
      <c r="C35" s="2">
        <f>IFERROR(__xludf.DUMMYFUNCTION("""COMPUTED_VALUE"""),5.0)</f>
        <v>5</v>
      </c>
      <c r="D35" s="2" t="str">
        <f>IFERROR(__xludf.DUMMYFUNCTION("""COMPUTED_VALUE"""),"Khoranga Khola")</f>
        <v>Khoranga Khola</v>
      </c>
      <c r="E35" s="2"/>
      <c r="F35" s="3">
        <f>IFERROR(__xludf.DUMMYFUNCTION("""COMPUTED_VALUE"""),59835.0)</f>
        <v>59835</v>
      </c>
      <c r="G35" s="2" t="str">
        <f>IFERROR(__xludf.DUMMYFUNCTION("""COMPUTED_VALUE"""),"Singh Bahini Bidhut P. Ltd")</f>
        <v>Singh Bahini Bidhut P. Ltd</v>
      </c>
      <c r="H35" s="2"/>
      <c r="I35" s="2" t="str">
        <f>IFERROR(__xludf.DUMMYFUNCTION("""COMPUTED_VALUE"""),"27o 06' 00""")</f>
        <v>27o 06' 00"</v>
      </c>
      <c r="J35" s="2" t="str">
        <f>IFERROR(__xludf.DUMMYFUNCTION("""COMPUTED_VALUE"""),"27o 07' 30""")</f>
        <v>27o 07' 30"</v>
      </c>
      <c r="K35" s="2" t="str">
        <f>IFERROR(__xludf.DUMMYFUNCTION("""COMPUTED_VALUE"""),"87o 34' 00""")</f>
        <v>87o 34' 00"</v>
      </c>
      <c r="L35" s="2" t="str">
        <f>IFERROR(__xludf.DUMMYFUNCTION("""COMPUTED_VALUE"""),"87o 37' 30""")</f>
        <v>87o 37' 30"</v>
      </c>
      <c r="M35" s="2" t="str">
        <f>IFERROR(__xludf.DUMMYFUNCTION("""COMPUTED_VALUE"""),"(Terhathum)")</f>
        <v>(Terhathum)</v>
      </c>
    </row>
    <row r="36">
      <c r="A36" s="2">
        <f>IFERROR(__xludf.DUMMYFUNCTION("""COMPUTED_VALUE"""),35.0)</f>
        <v>35</v>
      </c>
      <c r="B36" s="2" t="str">
        <f>IFERROR(__xludf.DUMMYFUNCTION("""COMPUTED_VALUE"""),"Lower Seti")</f>
        <v>Lower Seti</v>
      </c>
      <c r="C36" s="2">
        <f>IFERROR(__xludf.DUMMYFUNCTION("""COMPUTED_VALUE"""),100.0)</f>
        <v>100</v>
      </c>
      <c r="D36" s="2" t="str">
        <f>IFERROR(__xludf.DUMMYFUNCTION("""COMPUTED_VALUE"""),"West Seti")</f>
        <v>West Seti</v>
      </c>
      <c r="E36" s="2">
        <f>IFERROR(__xludf.DUMMYFUNCTION("""COMPUTED_VALUE"""),2670.0)</f>
        <v>2670</v>
      </c>
      <c r="F36" s="3">
        <f>IFERROR(__xludf.DUMMYFUNCTION("""COMPUTED_VALUE"""),59842.0)</f>
        <v>59842</v>
      </c>
      <c r="G36" s="2" t="str">
        <f>IFERROR(__xludf.DUMMYFUNCTION("""COMPUTED_VALUE"""),"Abir Constructions P Ltd")</f>
        <v>Abir Constructions P Ltd</v>
      </c>
      <c r="H36" s="2"/>
      <c r="I36" s="2" t="str">
        <f>IFERROR(__xludf.DUMMYFUNCTION("""COMPUTED_VALUE"""),"29o 09' 00""")</f>
        <v>29o 09' 00"</v>
      </c>
      <c r="J36" s="2" t="str">
        <f>IFERROR(__xludf.DUMMYFUNCTION("""COMPUTED_VALUE"""),"29o 16' 00""")</f>
        <v>29o 16' 00"</v>
      </c>
      <c r="K36" s="2" t="str">
        <f>IFERROR(__xludf.DUMMYFUNCTION("""COMPUTED_VALUE"""),"80o 53' 00""")</f>
        <v>80o 53' 00"</v>
      </c>
      <c r="L36" s="2" t="str">
        <f>IFERROR(__xludf.DUMMYFUNCTION("""COMPUTED_VALUE"""),"81o 04' 00""")</f>
        <v>81o 04' 00"</v>
      </c>
      <c r="M36" s="2" t="str">
        <f>IFERROR(__xludf.DUMMYFUNCTION("""COMPUTED_VALUE"""),"(Doti)")</f>
        <v>(Doti)</v>
      </c>
    </row>
    <row r="37">
      <c r="A37" s="2">
        <f>IFERROR(__xludf.DUMMYFUNCTION("""COMPUTED_VALUE"""),36.0)</f>
        <v>36</v>
      </c>
      <c r="B37" s="2" t="str">
        <f>IFERROR(__xludf.DUMMYFUNCTION("""COMPUTED_VALUE"""),"Seti Baulagad (SR3)")</f>
        <v>Seti Baulagad (SR3)</v>
      </c>
      <c r="C37" s="2">
        <f>IFERROR(__xludf.DUMMYFUNCTION("""COMPUTED_VALUE"""),80.0)</f>
        <v>80</v>
      </c>
      <c r="D37" s="2" t="str">
        <f>IFERROR(__xludf.DUMMYFUNCTION("""COMPUTED_VALUE"""),"West Seti")</f>
        <v>West Seti</v>
      </c>
      <c r="E37" s="2"/>
      <c r="F37" s="3">
        <f>IFERROR(__xludf.DUMMYFUNCTION("""COMPUTED_VALUE"""),59846.0)</f>
        <v>59846</v>
      </c>
      <c r="G37" s="2" t="str">
        <f>IFERROR(__xludf.DUMMYFUNCTION("""COMPUTED_VALUE"""),"Avanti Feeds p Ltd")</f>
        <v>Avanti Feeds p Ltd</v>
      </c>
      <c r="H37" s="2"/>
      <c r="I37" s="2" t="str">
        <f>IFERROR(__xludf.DUMMYFUNCTION("""COMPUTED_VALUE"""),"29o 30' 00""")</f>
        <v>29o 30' 00"</v>
      </c>
      <c r="J37" s="2" t="str">
        <f>IFERROR(__xludf.DUMMYFUNCTION("""COMPUTED_VALUE"""),"29o 34' 00""")</f>
        <v>29o 34' 00"</v>
      </c>
      <c r="K37" s="2" t="str">
        <f>IFERROR(__xludf.DUMMYFUNCTION("""COMPUTED_VALUE"""),"81o 05' 00""")</f>
        <v>81o 05' 00"</v>
      </c>
      <c r="L37" s="2" t="str">
        <f>IFERROR(__xludf.DUMMYFUNCTION("""COMPUTED_VALUE"""),"81o 14' 00""")</f>
        <v>81o 14' 00"</v>
      </c>
      <c r="M37" s="2" t="str">
        <f>IFERROR(__xludf.DUMMYFUNCTION("""COMPUTED_VALUE"""),"(Bajhang)")</f>
        <v>(Bajhang)</v>
      </c>
    </row>
    <row r="38">
      <c r="A38" s="2">
        <f>IFERROR(__xludf.DUMMYFUNCTION("""COMPUTED_VALUE"""),37.0)</f>
        <v>37</v>
      </c>
      <c r="B38" s="2" t="str">
        <f>IFERROR(__xludf.DUMMYFUNCTION("""COMPUTED_VALUE"""),"Karnali (KR-7)")</f>
        <v>Karnali (KR-7)</v>
      </c>
      <c r="C38" s="2">
        <f>IFERROR(__xludf.DUMMYFUNCTION("""COMPUTED_VALUE"""),100.0)</f>
        <v>100</v>
      </c>
      <c r="D38" s="2" t="str">
        <f>IFERROR(__xludf.DUMMYFUNCTION("""COMPUTED_VALUE"""),"Karnali")</f>
        <v>Karnali</v>
      </c>
      <c r="E38" s="2"/>
      <c r="F38" s="3">
        <f>IFERROR(__xludf.DUMMYFUNCTION("""COMPUTED_VALUE"""),59846.0)</f>
        <v>59846</v>
      </c>
      <c r="G38" s="2" t="str">
        <f>IFERROR(__xludf.DUMMYFUNCTION("""COMPUTED_VALUE"""),"Vijai Electricals P Ltd")</f>
        <v>Vijai Electricals P Ltd</v>
      </c>
      <c r="H38" s="2"/>
      <c r="I38" s="2" t="str">
        <f>IFERROR(__xludf.DUMMYFUNCTION("""COMPUTED_VALUE"""),"28o 52' 00""")</f>
        <v>28o 52' 00"</v>
      </c>
      <c r="J38" s="2" t="str">
        <f>IFERROR(__xludf.DUMMYFUNCTION("""COMPUTED_VALUE"""),"28o 55' 00""")</f>
        <v>28o 55' 00"</v>
      </c>
      <c r="K38" s="2" t="str">
        <f>IFERROR(__xludf.DUMMYFUNCTION("""COMPUTED_VALUE"""),"81o 20' 00""")</f>
        <v>81o 20' 00"</v>
      </c>
      <c r="L38" s="2" t="str">
        <f>IFERROR(__xludf.DUMMYFUNCTION("""COMPUTED_VALUE"""),"81o 27' 00""")</f>
        <v>81o 27' 00"</v>
      </c>
      <c r="M38" s="2" t="str">
        <f>IFERROR(__xludf.DUMMYFUNCTION("""COMPUTED_VALUE"""),"(Achham)")</f>
        <v>(Achham)</v>
      </c>
    </row>
    <row r="39">
      <c r="A39" s="2">
        <f>IFERROR(__xludf.DUMMYFUNCTION("""COMPUTED_VALUE"""),38.0)</f>
        <v>38</v>
      </c>
      <c r="B39" s="2" t="str">
        <f>IFERROR(__xludf.DUMMYFUNCTION("""COMPUTED_VALUE"""),"Tila")</f>
        <v>Tila</v>
      </c>
      <c r="C39" s="2">
        <f>IFERROR(__xludf.DUMMYFUNCTION("""COMPUTED_VALUE"""),300.0)</f>
        <v>300</v>
      </c>
      <c r="D39" s="2" t="str">
        <f>IFERROR(__xludf.DUMMYFUNCTION("""COMPUTED_VALUE"""),"Tila")</f>
        <v>Tila</v>
      </c>
      <c r="E39" s="2"/>
      <c r="F39" s="3">
        <f>IFERROR(__xludf.DUMMYFUNCTION("""COMPUTED_VALUE"""),59849.0)</f>
        <v>59849</v>
      </c>
      <c r="G39" s="2" t="str">
        <f>IFERROR(__xludf.DUMMYFUNCTION("""COMPUTED_VALUE"""),"Tila Hydropower Co. Pvt. Ltd")</f>
        <v>Tila Hydropower Co. Pvt. Ltd</v>
      </c>
      <c r="H39" s="2"/>
      <c r="I39" s="2" t="str">
        <f>IFERROR(__xludf.DUMMYFUNCTION("""COMPUTED_VALUE"""),"29o 05' 00""")</f>
        <v>29o 05' 00"</v>
      </c>
      <c r="J39" s="2" t="str">
        <f>IFERROR(__xludf.DUMMYFUNCTION("""COMPUTED_VALUE"""),"29o 10' 00""")</f>
        <v>29o 10' 00"</v>
      </c>
      <c r="K39" s="2" t="str">
        <f>IFERROR(__xludf.DUMMYFUNCTION("""COMPUTED_VALUE"""),"81o 35' 00""")</f>
        <v>81o 35' 00"</v>
      </c>
      <c r="L39" s="2" t="str">
        <f>IFERROR(__xludf.DUMMYFUNCTION("""COMPUTED_VALUE"""),"81o 52' 20""")</f>
        <v>81o 52' 20"</v>
      </c>
      <c r="M39" s="2" t="str">
        <f>IFERROR(__xludf.DUMMYFUNCTION("""COMPUTED_VALUE"""),"(Kalikot)")</f>
        <v>(Kalikot)</v>
      </c>
    </row>
    <row r="40">
      <c r="A40" s="2">
        <f>IFERROR(__xludf.DUMMYFUNCTION("""COMPUTED_VALUE"""),39.0)</f>
        <v>39</v>
      </c>
      <c r="B40" s="2" t="str">
        <f>IFERROR(__xludf.DUMMYFUNCTION("""COMPUTED_VALUE"""),"Seti Sorage ( SR6)")</f>
        <v>Seti Sorage ( SR6)</v>
      </c>
      <c r="C40" s="2">
        <f>IFERROR(__xludf.DUMMYFUNCTION("""COMPUTED_VALUE"""),600.0)</f>
        <v>600</v>
      </c>
      <c r="D40" s="2" t="str">
        <f>IFERROR(__xludf.DUMMYFUNCTION("""COMPUTED_VALUE"""),"West Seti")</f>
        <v>West Seti</v>
      </c>
      <c r="E40" s="2"/>
      <c r="F40" s="3">
        <f>IFERROR(__xludf.DUMMYFUNCTION("""COMPUTED_VALUE"""),59850.0)</f>
        <v>59850</v>
      </c>
      <c r="G40" s="2" t="str">
        <f>IFERROR(__xludf.DUMMYFUNCTION("""COMPUTED_VALUE"""),"S B S Holding P Ltd")</f>
        <v>S B S Holding P Ltd</v>
      </c>
      <c r="H40" s="2"/>
      <c r="I40" s="2" t="str">
        <f>IFERROR(__xludf.DUMMYFUNCTION("""COMPUTED_VALUE"""),"29o 05' 00""")</f>
        <v>29o 05' 00"</v>
      </c>
      <c r="J40" s="2" t="str">
        <f>IFERROR(__xludf.DUMMYFUNCTION("""COMPUTED_VALUE"""),"29o 07' 00""")</f>
        <v>29o 07' 00"</v>
      </c>
      <c r="K40" s="2" t="str">
        <f>IFERROR(__xludf.DUMMYFUNCTION("""COMPUTED_VALUE"""),"81o 05' 00""")</f>
        <v>81o 05' 00"</v>
      </c>
      <c r="L40" s="2" t="str">
        <f>IFERROR(__xludf.DUMMYFUNCTION("""COMPUTED_VALUE"""),"81o 17' 00""")</f>
        <v>81o 17' 00"</v>
      </c>
      <c r="M40" s="2" t="str">
        <f>IFERROR(__xludf.DUMMYFUNCTION("""COMPUTED_VALUE"""),"(Doti)")</f>
        <v>(Doti)</v>
      </c>
    </row>
    <row r="41">
      <c r="A41" s="2">
        <f>IFERROR(__xludf.DUMMYFUNCTION("""COMPUTED_VALUE"""),40.0)</f>
        <v>40</v>
      </c>
      <c r="B41" s="2" t="str">
        <f>IFERROR(__xludf.DUMMYFUNCTION("""COMPUTED_VALUE"""),"Singate Khola")</f>
        <v>Singate Khola</v>
      </c>
      <c r="C41" s="2">
        <f>IFERROR(__xludf.DUMMYFUNCTION("""COMPUTED_VALUE"""),6.4)</f>
        <v>6.4</v>
      </c>
      <c r="D41" s="2" t="str">
        <f>IFERROR(__xludf.DUMMYFUNCTION("""COMPUTED_VALUE"""),"Singate")</f>
        <v>Singate</v>
      </c>
      <c r="E41" s="2"/>
      <c r="F41" s="3">
        <f>IFERROR(__xludf.DUMMYFUNCTION("""COMPUTED_VALUE"""),59852.0)</f>
        <v>59852</v>
      </c>
      <c r="G41" s="2" t="str">
        <f>IFERROR(__xludf.DUMMYFUNCTION("""COMPUTED_VALUE"""),"ICTC P Ltd")</f>
        <v>ICTC P Ltd</v>
      </c>
      <c r="H41" s="2"/>
      <c r="I41" s="2" t="str">
        <f>IFERROR(__xludf.DUMMYFUNCTION("""COMPUTED_VALUE"""),"00o 00' 00""")</f>
        <v>00o 00' 00"</v>
      </c>
      <c r="J41" s="2" t="str">
        <f>IFERROR(__xludf.DUMMYFUNCTION("""COMPUTED_VALUE"""),"00o 00' 00""")</f>
        <v>00o 00' 00"</v>
      </c>
      <c r="K41" s="2" t="str">
        <f>IFERROR(__xludf.DUMMYFUNCTION("""COMPUTED_VALUE"""),"00o 00' 00""")</f>
        <v>00o 00' 00"</v>
      </c>
      <c r="L41" s="2" t="str">
        <f>IFERROR(__xludf.DUMMYFUNCTION("""COMPUTED_VALUE"""),"00o 00' 00""")</f>
        <v>00o 00' 00"</v>
      </c>
      <c r="M41" s="2" t="str">
        <f>IFERROR(__xludf.DUMMYFUNCTION("""COMPUTED_VALUE"""),"(Dolakha)")</f>
        <v>(Dolakha)</v>
      </c>
    </row>
    <row r="42">
      <c r="A42" s="2">
        <f>IFERROR(__xludf.DUMMYFUNCTION("""COMPUTED_VALUE"""),41.0)</f>
        <v>41</v>
      </c>
      <c r="B42" s="2" t="str">
        <f>IFERROR(__xludf.DUMMYFUNCTION("""COMPUTED_VALUE"""),"Rati Khola")</f>
        <v>Rati Khola</v>
      </c>
      <c r="C42" s="2">
        <f>IFERROR(__xludf.DUMMYFUNCTION("""COMPUTED_VALUE"""),0.67)</f>
        <v>0.67</v>
      </c>
      <c r="D42" s="2" t="str">
        <f>IFERROR(__xludf.DUMMYFUNCTION("""COMPUTED_VALUE"""),"Rati")</f>
        <v>Rati</v>
      </c>
      <c r="E42" s="2"/>
      <c r="F42" s="3">
        <f>IFERROR(__xludf.DUMMYFUNCTION("""COMPUTED_VALUE"""),59857.0)</f>
        <v>59857</v>
      </c>
      <c r="G42" s="2" t="str">
        <f>IFERROR(__xludf.DUMMYFUNCTION("""COMPUTED_VALUE"""),"Devendra Upreti")</f>
        <v>Devendra Upreti</v>
      </c>
      <c r="H42" s="2"/>
      <c r="I42" s="2" t="str">
        <f>IFERROR(__xludf.DUMMYFUNCTION("""COMPUTED_VALUE"""),"28o 15' 00""")</f>
        <v>28o 15' 00"</v>
      </c>
      <c r="J42" s="2" t="str">
        <f>IFERROR(__xludf.DUMMYFUNCTION("""COMPUTED_VALUE"""),"28o 17' 00""")</f>
        <v>28o 17' 00"</v>
      </c>
      <c r="K42" s="2" t="str">
        <f>IFERROR(__xludf.DUMMYFUNCTION("""COMPUTED_VALUE"""),"87o 43' 00""")</f>
        <v>87o 43' 00"</v>
      </c>
      <c r="L42" s="2" t="str">
        <f>IFERROR(__xludf.DUMMYFUNCTION("""COMPUTED_VALUE"""),"87o 47' 00""")</f>
        <v>87o 47' 00"</v>
      </c>
      <c r="M42" s="2" t="str">
        <f>IFERROR(__xludf.DUMMYFUNCTION("""COMPUTED_VALUE"""),"(Parbat)")</f>
        <v>(Parbat)</v>
      </c>
    </row>
    <row r="43">
      <c r="A43" s="2">
        <f>IFERROR(__xludf.DUMMYFUNCTION("""COMPUTED_VALUE"""),42.0)</f>
        <v>42</v>
      </c>
      <c r="B43" s="2" t="str">
        <f>IFERROR(__xludf.DUMMYFUNCTION("""COMPUTED_VALUE"""),"Mewa Khola")</f>
        <v>Mewa Khola</v>
      </c>
      <c r="C43" s="2">
        <f>IFERROR(__xludf.DUMMYFUNCTION("""COMPUTED_VALUE"""),10.0)</f>
        <v>10</v>
      </c>
      <c r="D43" s="2" t="str">
        <f>IFERROR(__xludf.DUMMYFUNCTION("""COMPUTED_VALUE"""),"Mewa Khola")</f>
        <v>Mewa Khola</v>
      </c>
      <c r="E43" s="2"/>
      <c r="F43" s="3">
        <f>IFERROR(__xludf.DUMMYFUNCTION("""COMPUTED_VALUE"""),59861.0)</f>
        <v>59861</v>
      </c>
      <c r="G43" s="2" t="str">
        <f>IFERROR(__xludf.DUMMYFUNCTION("""COMPUTED_VALUE"""),"Sabal Hydropower P Ltd")</f>
        <v>Sabal Hydropower P Ltd</v>
      </c>
      <c r="H43" s="2"/>
      <c r="I43" s="2" t="str">
        <f>IFERROR(__xludf.DUMMYFUNCTION("""COMPUTED_VALUE"""),"27o 24' 08""")</f>
        <v>27o 24' 08"</v>
      </c>
      <c r="J43" s="2" t="str">
        <f>IFERROR(__xludf.DUMMYFUNCTION("""COMPUTED_VALUE"""),"27o 26' 52""")</f>
        <v>27o 26' 52"</v>
      </c>
      <c r="K43" s="2" t="str">
        <f>IFERROR(__xludf.DUMMYFUNCTION("""COMPUTED_VALUE"""),"87o 36' 58""")</f>
        <v>87o 36' 58"</v>
      </c>
      <c r="L43" s="2" t="str">
        <f>IFERROR(__xludf.DUMMYFUNCTION("""COMPUTED_VALUE"""),"87o 37' 05""")</f>
        <v>87o 37' 05"</v>
      </c>
      <c r="M43" s="2" t="str">
        <f>IFERROR(__xludf.DUMMYFUNCTION("""COMPUTED_VALUE"""),"(Taplejung)")</f>
        <v>(Taplejung)</v>
      </c>
    </row>
    <row r="44">
      <c r="A44" s="2">
        <f>IFERROR(__xludf.DUMMYFUNCTION("""COMPUTED_VALUE"""),43.0)</f>
        <v>43</v>
      </c>
      <c r="B44" s="2" t="str">
        <f>IFERROR(__xludf.DUMMYFUNCTION("""COMPUTED_VALUE"""),"Upper Modi A")</f>
        <v>Upper Modi A</v>
      </c>
      <c r="C44" s="2">
        <f>IFERROR(__xludf.DUMMYFUNCTION("""COMPUTED_VALUE"""),42.0)</f>
        <v>42</v>
      </c>
      <c r="D44" s="2" t="str">
        <f>IFERROR(__xludf.DUMMYFUNCTION("""COMPUTED_VALUE"""),"Modi Khola")</f>
        <v>Modi Khola</v>
      </c>
      <c r="E44" s="2">
        <f>IFERROR(__xludf.DUMMYFUNCTION("""COMPUTED_VALUE"""),2838.0)</f>
        <v>2838</v>
      </c>
      <c r="F44" s="3">
        <f>IFERROR(__xludf.DUMMYFUNCTION("""COMPUTED_VALUE"""),59861.0)</f>
        <v>59861</v>
      </c>
      <c r="G44" s="2" t="str">
        <f>IFERROR(__xludf.DUMMYFUNCTION("""COMPUTED_VALUE"""),"Kiddy and Mate Consulting P Ltd")</f>
        <v>Kiddy and Mate Consulting P Ltd</v>
      </c>
      <c r="H44" s="2"/>
      <c r="I44" s="2" t="str">
        <f>IFERROR(__xludf.DUMMYFUNCTION("""COMPUTED_VALUE"""),"28o 20' 00""")</f>
        <v>28o 20' 00"</v>
      </c>
      <c r="J44" s="2" t="str">
        <f>IFERROR(__xludf.DUMMYFUNCTION("""COMPUTED_VALUE"""),"28o 24' 06""")</f>
        <v>28o 24' 06"</v>
      </c>
      <c r="K44" s="2" t="str">
        <f>IFERROR(__xludf.DUMMYFUNCTION("""COMPUTED_VALUE"""),"83o 46' 53""")</f>
        <v>83o 46' 53"</v>
      </c>
      <c r="L44" s="2" t="str">
        <f>IFERROR(__xludf.DUMMYFUNCTION("""COMPUTED_VALUE"""),"83o 50' 00""")</f>
        <v>83o 50' 00"</v>
      </c>
      <c r="M44" s="2" t="str">
        <f>IFERROR(__xludf.DUMMYFUNCTION("""COMPUTED_VALUE"""),"(Kaski)")</f>
        <v>(Kaski)</v>
      </c>
    </row>
    <row r="45">
      <c r="A45" s="2">
        <f>IFERROR(__xludf.DUMMYFUNCTION("""COMPUTED_VALUE"""),44.0)</f>
        <v>44</v>
      </c>
      <c r="B45" s="2" t="str">
        <f>IFERROR(__xludf.DUMMYFUNCTION("""COMPUTED_VALUE"""),"Jhumsa Khola")</f>
        <v>Jhumsa Khola</v>
      </c>
      <c r="C45" s="2">
        <f>IFERROR(__xludf.DUMMYFUNCTION("""COMPUTED_VALUE"""),2.895)</f>
        <v>2.895</v>
      </c>
      <c r="D45" s="2" t="str">
        <f>IFERROR(__xludf.DUMMYFUNCTION("""COMPUTED_VALUE"""),"Jhumsa")</f>
        <v>Jhumsa</v>
      </c>
      <c r="E45" s="2"/>
      <c r="F45" s="3">
        <f>IFERROR(__xludf.DUMMYFUNCTION("""COMPUTED_VALUE"""),59867.0)</f>
        <v>59867</v>
      </c>
      <c r="G45" s="2" t="str">
        <f>IFERROR(__xludf.DUMMYFUNCTION("""COMPUTED_VALUE"""),"Durga P Upreti")</f>
        <v>Durga P Upreti</v>
      </c>
      <c r="H45" s="2"/>
      <c r="I45" s="2" t="str">
        <f>IFERROR(__xludf.DUMMYFUNCTION("""COMPUTED_VALUE"""),"27o 40' 00""")</f>
        <v>27o 40' 00"</v>
      </c>
      <c r="J45" s="2" t="str">
        <f>IFERROR(__xludf.DUMMYFUNCTION("""COMPUTED_VALUE"""),"27o 44' 30""")</f>
        <v>27o 44' 30"</v>
      </c>
      <c r="K45" s="2" t="str">
        <f>IFERROR(__xludf.DUMMYFUNCTION("""COMPUTED_VALUE"""),"83o 35' 30""")</f>
        <v>83o 35' 30"</v>
      </c>
      <c r="L45" s="2" t="str">
        <f>IFERROR(__xludf.DUMMYFUNCTION("""COMPUTED_VALUE"""),"83o 37' 30""")</f>
        <v>83o 37' 30"</v>
      </c>
      <c r="M45" s="2" t="str">
        <f>IFERROR(__xludf.DUMMYFUNCTION("""COMPUTED_VALUE"""),"(Palpa)")</f>
        <v>(Palpa)</v>
      </c>
    </row>
    <row r="46">
      <c r="A46" s="2">
        <f>IFERROR(__xludf.DUMMYFUNCTION("""COMPUTED_VALUE"""),45.0)</f>
        <v>45</v>
      </c>
      <c r="B46" s="2" t="str">
        <f>IFERROR(__xludf.DUMMYFUNCTION("""COMPUTED_VALUE"""),"Jhumsa")</f>
        <v>Jhumsa</v>
      </c>
      <c r="C46" s="2">
        <f>IFERROR(__xludf.DUMMYFUNCTION("""COMPUTED_VALUE"""),2.57)</f>
        <v>2.57</v>
      </c>
      <c r="D46" s="2" t="str">
        <f>IFERROR(__xludf.DUMMYFUNCTION("""COMPUTED_VALUE"""),"Jhumsa")</f>
        <v>Jhumsa</v>
      </c>
      <c r="E46" s="2"/>
      <c r="F46" s="3">
        <f>IFERROR(__xludf.DUMMYFUNCTION("""COMPUTED_VALUE"""),59867.0)</f>
        <v>59867</v>
      </c>
      <c r="G46" s="2" t="str">
        <f>IFERROR(__xludf.DUMMYFUNCTION("""COMPUTED_VALUE"""),"Nava Budda HP P Ltd")</f>
        <v>Nava Budda HP P Ltd</v>
      </c>
      <c r="H46" s="2"/>
      <c r="I46" s="2" t="str">
        <f>IFERROR(__xludf.DUMMYFUNCTION("""COMPUTED_VALUE"""),"27o 34' 33""")</f>
        <v>27o 34' 33"</v>
      </c>
      <c r="J46" s="2" t="str">
        <f>IFERROR(__xludf.DUMMYFUNCTION("""COMPUTED_VALUE"""),"27o 45' 00""")</f>
        <v>27o 45' 00"</v>
      </c>
      <c r="K46" s="2" t="str">
        <f>IFERROR(__xludf.DUMMYFUNCTION("""COMPUTED_VALUE"""),"83o 30' 26""")</f>
        <v>83o 30' 26"</v>
      </c>
      <c r="L46" s="2" t="str">
        <f>IFERROR(__xludf.DUMMYFUNCTION("""COMPUTED_VALUE"""),"83o 34' 00""")</f>
        <v>83o 34' 00"</v>
      </c>
      <c r="M46" s="2" t="str">
        <f>IFERROR(__xludf.DUMMYFUNCTION("""COMPUTED_VALUE"""),"Dobhan (Palpa)")</f>
        <v>Dobhan (Palpa)</v>
      </c>
    </row>
    <row r="47">
      <c r="A47" s="2">
        <f>IFERROR(__xludf.DUMMYFUNCTION("""COMPUTED_VALUE"""),46.0)</f>
        <v>46</v>
      </c>
      <c r="B47" s="2" t="str">
        <f>IFERROR(__xludf.DUMMYFUNCTION("""COMPUTED_VALUE"""),"Rahughat")</f>
        <v>Rahughat</v>
      </c>
      <c r="C47" s="2">
        <f>IFERROR(__xludf.DUMMYFUNCTION("""COMPUTED_VALUE"""),27.0)</f>
        <v>27</v>
      </c>
      <c r="D47" s="2" t="str">
        <f>IFERROR(__xludf.DUMMYFUNCTION("""COMPUTED_VALUE"""),"Rahughat")</f>
        <v>Rahughat</v>
      </c>
      <c r="E47" s="2"/>
      <c r="F47" s="3">
        <f>IFERROR(__xludf.DUMMYFUNCTION("""COMPUTED_VALUE"""),59872.0)</f>
        <v>59872</v>
      </c>
      <c r="G47" s="2" t="str">
        <f>IFERROR(__xludf.DUMMYFUNCTION("""COMPUTED_VALUE"""),"C G Energy Infrastructure P Ltd")</f>
        <v>C G Energy Infrastructure P Ltd</v>
      </c>
      <c r="H47" s="2"/>
      <c r="I47" s="2" t="str">
        <f>IFERROR(__xludf.DUMMYFUNCTION("""COMPUTED_VALUE"""),"00o 00' 00""")</f>
        <v>00o 00' 00"</v>
      </c>
      <c r="J47" s="2" t="str">
        <f>IFERROR(__xludf.DUMMYFUNCTION("""COMPUTED_VALUE"""),"00o 00' 00""")</f>
        <v>00o 00' 00"</v>
      </c>
      <c r="K47" s="2" t="str">
        <f>IFERROR(__xludf.DUMMYFUNCTION("""COMPUTED_VALUE"""),"00o 00' 00""")</f>
        <v>00o 00' 00"</v>
      </c>
      <c r="L47" s="2" t="str">
        <f>IFERROR(__xludf.DUMMYFUNCTION("""COMPUTED_VALUE"""),"00o 00' 00""")</f>
        <v>00o 00' 00"</v>
      </c>
      <c r="M47" s="2" t="str">
        <f>IFERROR(__xludf.DUMMYFUNCTION("""COMPUTED_VALUE"""),"(Myagdi)")</f>
        <v>(Myagdi)</v>
      </c>
    </row>
    <row r="48">
      <c r="A48" s="2">
        <f>IFERROR(__xludf.DUMMYFUNCTION("""COMPUTED_VALUE"""),47.0)</f>
        <v>47</v>
      </c>
      <c r="B48" s="2" t="str">
        <f>IFERROR(__xludf.DUMMYFUNCTION("""COMPUTED_VALUE"""),"Fenlun khola")</f>
        <v>Fenlun khola</v>
      </c>
      <c r="C48" s="2">
        <f>IFERROR(__xludf.DUMMYFUNCTION("""COMPUTED_VALUE"""),0.984)</f>
        <v>0.984</v>
      </c>
      <c r="D48" s="2" t="str">
        <f>IFERROR(__xludf.DUMMYFUNCTION("""COMPUTED_VALUE"""),"Fenlun")</f>
        <v>Fenlun</v>
      </c>
      <c r="E48" s="2"/>
      <c r="F48" s="3">
        <f>IFERROR(__xludf.DUMMYFUNCTION("""COMPUTED_VALUE"""),59877.0)</f>
        <v>59877</v>
      </c>
      <c r="G48" s="2" t="str">
        <f>IFERROR(__xludf.DUMMYFUNCTION("""COMPUTED_VALUE"""),"Jit hydraopower P Ltd")</f>
        <v>Jit hydraopower P Ltd</v>
      </c>
      <c r="H48" s="2"/>
      <c r="I48" s="2" t="str">
        <f>IFERROR(__xludf.DUMMYFUNCTION("""COMPUTED_VALUE"""),"28o 12' 22""")</f>
        <v>28o 12' 22"</v>
      </c>
      <c r="J48" s="2" t="str">
        <f>IFERROR(__xludf.DUMMYFUNCTION("""COMPUTED_VALUE"""),"28o 14' 44""")</f>
        <v>28o 14' 44"</v>
      </c>
      <c r="K48" s="2" t="str">
        <f>IFERROR(__xludf.DUMMYFUNCTION("""COMPUTED_VALUE"""),"85o 22' 32""")</f>
        <v>85o 22' 32"</v>
      </c>
      <c r="L48" s="2" t="str">
        <f>IFERROR(__xludf.DUMMYFUNCTION("""COMPUTED_VALUE"""),"85o 24' 22""")</f>
        <v>85o 24' 22"</v>
      </c>
      <c r="M48" s="2" t="str">
        <f>IFERROR(__xludf.DUMMYFUNCTION("""COMPUTED_VALUE"""),"(Rasuwa)")</f>
        <v>(Rasuwa)</v>
      </c>
    </row>
    <row r="49">
      <c r="A49" s="2">
        <f>IFERROR(__xludf.DUMMYFUNCTION("""COMPUTED_VALUE"""),48.0)</f>
        <v>48</v>
      </c>
      <c r="B49" s="2" t="str">
        <f>IFERROR(__xludf.DUMMYFUNCTION("""COMPUTED_VALUE"""),"Bheri Storage(BR5)")</f>
        <v>Bheri Storage(BR5)</v>
      </c>
      <c r="C49" s="2">
        <f>IFERROR(__xludf.DUMMYFUNCTION("""COMPUTED_VALUE"""),1269.0)</f>
        <v>1269</v>
      </c>
      <c r="D49" s="2" t="str">
        <f>IFERROR(__xludf.DUMMYFUNCTION("""COMPUTED_VALUE"""),"Bheri")</f>
        <v>Bheri</v>
      </c>
      <c r="E49" s="2"/>
      <c r="F49" s="3">
        <f>IFERROR(__xludf.DUMMYFUNCTION("""COMPUTED_VALUE"""),59877.0)</f>
        <v>59877</v>
      </c>
      <c r="G49" s="2" t="str">
        <f>IFERROR(__xludf.DUMMYFUNCTION("""COMPUTED_VALUE"""),"KSK Electricity Financing India P Ltd")</f>
        <v>KSK Electricity Financing India P Ltd</v>
      </c>
      <c r="H49" s="2"/>
      <c r="I49" s="2" t="str">
        <f>IFERROR(__xludf.DUMMYFUNCTION("""COMPUTED_VALUE"""),"28o 25' 00""")</f>
        <v>28o 25' 00"</v>
      </c>
      <c r="J49" s="2" t="str">
        <f>IFERROR(__xludf.DUMMYFUNCTION("""COMPUTED_VALUE"""),"28o 29' 00""")</f>
        <v>28o 29' 00"</v>
      </c>
      <c r="K49" s="2" t="str">
        <f>IFERROR(__xludf.DUMMYFUNCTION("""COMPUTED_VALUE"""),"81o 55' 02""")</f>
        <v>81o 55' 02"</v>
      </c>
      <c r="L49" s="2" t="str">
        <f>IFERROR(__xludf.DUMMYFUNCTION("""COMPUTED_VALUE"""),"82o 00' 00""")</f>
        <v>82o 00' 00"</v>
      </c>
      <c r="M49" s="2" t="str">
        <f>IFERROR(__xludf.DUMMYFUNCTION("""COMPUTED_VALUE"""),"(Jajarkot)")</f>
        <v>(Jajarkot)</v>
      </c>
    </row>
    <row r="50">
      <c r="A50" s="2">
        <f>IFERROR(__xludf.DUMMYFUNCTION("""COMPUTED_VALUE"""),49.0)</f>
        <v>49</v>
      </c>
      <c r="B50" s="2" t="str">
        <f>IFERROR(__xludf.DUMMYFUNCTION("""COMPUTED_VALUE"""),"Panpu")</f>
        <v>Panpu</v>
      </c>
      <c r="C50" s="2">
        <f>IFERROR(__xludf.DUMMYFUNCTION("""COMPUTED_VALUE"""),0.985)</f>
        <v>0.985</v>
      </c>
      <c r="D50" s="2" t="str">
        <f>IFERROR(__xludf.DUMMYFUNCTION("""COMPUTED_VALUE"""),"Panpu Khola")</f>
        <v>Panpu Khola</v>
      </c>
      <c r="E50" s="2"/>
      <c r="F50" s="3">
        <f>IFERROR(__xludf.DUMMYFUNCTION("""COMPUTED_VALUE"""),59879.0)</f>
        <v>59879</v>
      </c>
      <c r="G50" s="2" t="str">
        <f>IFERROR(__xludf.DUMMYFUNCTION("""COMPUTED_VALUE"""),"Nilgiri Energy")</f>
        <v>Nilgiri Energy</v>
      </c>
      <c r="H50" s="2"/>
      <c r="I50" s="2" t="str">
        <f>IFERROR(__xludf.DUMMYFUNCTION("""COMPUTED_VALUE"""),"28o 38' 15""")</f>
        <v>28o 38' 15"</v>
      </c>
      <c r="J50" s="2" t="str">
        <f>IFERROR(__xludf.DUMMYFUNCTION("""COMPUTED_VALUE"""),"28o 38' 58""")</f>
        <v>28o 38' 58"</v>
      </c>
      <c r="K50" s="2" t="str">
        <f>IFERROR(__xludf.DUMMYFUNCTION("""COMPUTED_VALUE"""),"83o 38' 16""")</f>
        <v>83o 38' 16"</v>
      </c>
      <c r="L50" s="2" t="str">
        <f>IFERROR(__xludf.DUMMYFUNCTION("""COMPUTED_VALUE"""),"83o 44' 20""")</f>
        <v>83o 44' 20"</v>
      </c>
      <c r="M50" s="2" t="str">
        <f>IFERROR(__xludf.DUMMYFUNCTION("""COMPUTED_VALUE"""),"(Mustang)")</f>
        <v>(Mustang)</v>
      </c>
    </row>
    <row r="51">
      <c r="A51" s="2">
        <f>IFERROR(__xludf.DUMMYFUNCTION("""COMPUTED_VALUE"""),50.0)</f>
        <v>50</v>
      </c>
      <c r="B51" s="2" t="str">
        <f>IFERROR(__xludf.DUMMYFUNCTION("""COMPUTED_VALUE"""),"Tila")</f>
        <v>Tila</v>
      </c>
      <c r="C51" s="2">
        <f>IFERROR(__xludf.DUMMYFUNCTION("""COMPUTED_VALUE"""),471.0)</f>
        <v>471</v>
      </c>
      <c r="D51" s="2" t="str">
        <f>IFERROR(__xludf.DUMMYFUNCTION("""COMPUTED_VALUE"""),"Tila")</f>
        <v>Tila</v>
      </c>
      <c r="E51" s="2"/>
      <c r="F51" s="3">
        <f>IFERROR(__xludf.DUMMYFUNCTION("""COMPUTED_VALUE"""),59883.0)</f>
        <v>59883</v>
      </c>
      <c r="G51" s="2" t="str">
        <f>IFERROR(__xludf.DUMMYFUNCTION("""COMPUTED_VALUE"""),"Larsen &amp; Toubro Ltd")</f>
        <v>Larsen &amp; Toubro Ltd</v>
      </c>
      <c r="H51" s="2"/>
      <c r="I51" s="2" t="str">
        <f>IFERROR(__xludf.DUMMYFUNCTION("""COMPUTED_VALUE"""),"29o 05' 00""")</f>
        <v>29o 05' 00"</v>
      </c>
      <c r="J51" s="2" t="str">
        <f>IFERROR(__xludf.DUMMYFUNCTION("""COMPUTED_VALUE"""),"29o 12' 30""")</f>
        <v>29o 12' 30"</v>
      </c>
      <c r="K51" s="2" t="str">
        <f>IFERROR(__xludf.DUMMYFUNCTION("""COMPUTED_VALUE"""),"81o 35' 00""")</f>
        <v>81o 35' 00"</v>
      </c>
      <c r="L51" s="2" t="str">
        <f>IFERROR(__xludf.DUMMYFUNCTION("""COMPUTED_VALUE"""),"81o 50' 00""")</f>
        <v>81o 50' 00"</v>
      </c>
      <c r="M51" s="2" t="str">
        <f>IFERROR(__xludf.DUMMYFUNCTION("""COMPUTED_VALUE"""),"(Kalikot)")</f>
        <v>(Kalikot)</v>
      </c>
    </row>
    <row r="52">
      <c r="A52" s="2">
        <f>IFERROR(__xludf.DUMMYFUNCTION("""COMPUTED_VALUE"""),51.0)</f>
        <v>51</v>
      </c>
      <c r="B52" s="2" t="str">
        <f>IFERROR(__xludf.DUMMYFUNCTION("""COMPUTED_VALUE"""),"Ghyang Khola")</f>
        <v>Ghyang Khola</v>
      </c>
      <c r="C52" s="2">
        <f>IFERROR(__xludf.DUMMYFUNCTION("""COMPUTED_VALUE"""),0.76)</f>
        <v>0.76</v>
      </c>
      <c r="D52" s="2" t="str">
        <f>IFERROR(__xludf.DUMMYFUNCTION("""COMPUTED_VALUE"""),"Ghyang")</f>
        <v>Ghyang</v>
      </c>
      <c r="E52" s="2"/>
      <c r="F52" s="3">
        <f>IFERROR(__xludf.DUMMYFUNCTION("""COMPUTED_VALUE"""),59884.0)</f>
        <v>59884</v>
      </c>
      <c r="G52" s="2" t="str">
        <f>IFERROR(__xludf.DUMMYFUNCTION("""COMPUTED_VALUE"""),"Muna shrestha")</f>
        <v>Muna shrestha</v>
      </c>
      <c r="H52" s="2"/>
      <c r="I52" s="2" t="str">
        <f>IFERROR(__xludf.DUMMYFUNCTION("""COMPUTED_VALUE"""),"27o 33' 12""")</f>
        <v>27o 33' 12"</v>
      </c>
      <c r="J52" s="2" t="str">
        <f>IFERROR(__xludf.DUMMYFUNCTION("""COMPUTED_VALUE"""),"27o 34' 05""")</f>
        <v>27o 34' 05"</v>
      </c>
      <c r="K52" s="2" t="str">
        <f>IFERROR(__xludf.DUMMYFUNCTION("""COMPUTED_VALUE"""),"86o 03' 27""")</f>
        <v>86o 03' 27"</v>
      </c>
      <c r="L52" s="2" t="str">
        <f>IFERROR(__xludf.DUMMYFUNCTION("""COMPUTED_VALUE"""),"86o 05' 16""")</f>
        <v>86o 05' 16"</v>
      </c>
      <c r="M52" s="2" t="str">
        <f>IFERROR(__xludf.DUMMYFUNCTION("""COMPUTED_VALUE"""),"(Dolakha)")</f>
        <v>(Dolakha)</v>
      </c>
    </row>
    <row r="53">
      <c r="A53" s="2">
        <f>IFERROR(__xludf.DUMMYFUNCTION("""COMPUTED_VALUE"""),52.0)</f>
        <v>52</v>
      </c>
      <c r="B53" s="2" t="str">
        <f>IFERROR(__xludf.DUMMYFUNCTION("""COMPUTED_VALUE"""),"Ghiche Khola")</f>
        <v>Ghiche Khola</v>
      </c>
      <c r="C53" s="2">
        <f>IFERROR(__xludf.DUMMYFUNCTION("""COMPUTED_VALUE"""),0.6)</f>
        <v>0.6</v>
      </c>
      <c r="D53" s="2" t="str">
        <f>IFERROR(__xludf.DUMMYFUNCTION("""COMPUTED_VALUE"""),"Ghiche")</f>
        <v>Ghiche</v>
      </c>
      <c r="E53" s="2"/>
      <c r="F53" s="3">
        <f>IFERROR(__xludf.DUMMYFUNCTION("""COMPUTED_VALUE"""),59885.0)</f>
        <v>59885</v>
      </c>
      <c r="G53" s="2" t="str">
        <f>IFERROR(__xludf.DUMMYFUNCTION("""COMPUTED_VALUE"""),"Nabin Prakash Shrestha")</f>
        <v>Nabin Prakash Shrestha</v>
      </c>
      <c r="H53" s="2"/>
      <c r="I53" s="2" t="str">
        <f>IFERROR(__xludf.DUMMYFUNCTION("""COMPUTED_VALUE"""),"00o 00' 00""")</f>
        <v>00o 00' 00"</v>
      </c>
      <c r="J53" s="2" t="str">
        <f>IFERROR(__xludf.DUMMYFUNCTION("""COMPUTED_VALUE"""),"00o 00' 00""")</f>
        <v>00o 00' 00"</v>
      </c>
      <c r="K53" s="2" t="str">
        <f>IFERROR(__xludf.DUMMYFUNCTION("""COMPUTED_VALUE"""),"00o 00' 00""")</f>
        <v>00o 00' 00"</v>
      </c>
      <c r="L53" s="2" t="str">
        <f>IFERROR(__xludf.DUMMYFUNCTION("""COMPUTED_VALUE"""),"00o 00' 00""")</f>
        <v>00o 00' 00"</v>
      </c>
      <c r="M53" s="2" t="str">
        <f>IFERROR(__xludf.DUMMYFUNCTION("""COMPUTED_VALUE"""),"(Sindhupalchok)")</f>
        <v>(Sindhupalchok)</v>
      </c>
    </row>
    <row r="54">
      <c r="A54" s="2">
        <f>IFERROR(__xludf.DUMMYFUNCTION("""COMPUTED_VALUE"""),53.0)</f>
        <v>53</v>
      </c>
      <c r="B54" s="2" t="str">
        <f>IFERROR(__xludf.DUMMYFUNCTION("""COMPUTED_VALUE"""),"Lower Bagmati")</f>
        <v>Lower Bagmati</v>
      </c>
      <c r="C54" s="2">
        <f>IFERROR(__xludf.DUMMYFUNCTION("""COMPUTED_VALUE"""),5.0)</f>
        <v>5</v>
      </c>
      <c r="D54" s="2" t="str">
        <f>IFERROR(__xludf.DUMMYFUNCTION("""COMPUTED_VALUE"""),"Bagmati")</f>
        <v>Bagmati</v>
      </c>
      <c r="E54" s="2"/>
      <c r="F54" s="3">
        <f>IFERROR(__xludf.DUMMYFUNCTION("""COMPUTED_VALUE"""),59888.0)</f>
        <v>59888</v>
      </c>
      <c r="G54" s="2" t="str">
        <f>IFERROR(__xludf.DUMMYFUNCTION("""COMPUTED_VALUE"""),"Binit Mani Upadya")</f>
        <v>Binit Mani Upadya</v>
      </c>
      <c r="H54" s="2"/>
      <c r="I54" s="2" t="str">
        <f>IFERROR(__xludf.DUMMYFUNCTION("""COMPUTED_VALUE"""),"27o 28' 50""")</f>
        <v>27o 28' 50"</v>
      </c>
      <c r="J54" s="2" t="str">
        <f>IFERROR(__xludf.DUMMYFUNCTION("""COMPUTED_VALUE"""),"27o 30' 18""")</f>
        <v>27o 30' 18"</v>
      </c>
      <c r="K54" s="2" t="str">
        <f>IFERROR(__xludf.DUMMYFUNCTION("""COMPUTED_VALUE"""),"85o 13' 50""")</f>
        <v>85o 13' 50"</v>
      </c>
      <c r="L54" s="2" t="str">
        <f>IFERROR(__xludf.DUMMYFUNCTION("""COMPUTED_VALUE"""),"85o 15' 20""")</f>
        <v>85o 15' 20"</v>
      </c>
      <c r="M54" s="2" t="str">
        <f>IFERROR(__xludf.DUMMYFUNCTION("""COMPUTED_VALUE"""),"(Makawanpur)")</f>
        <v>(Makawanpur)</v>
      </c>
    </row>
    <row r="55">
      <c r="A55" s="2">
        <f>IFERROR(__xludf.DUMMYFUNCTION("""COMPUTED_VALUE"""),54.0)</f>
        <v>54</v>
      </c>
      <c r="B55" s="2" t="str">
        <f>IFERROR(__xludf.DUMMYFUNCTION("""COMPUTED_VALUE"""),"Milti Khola A1")</f>
        <v>Milti Khola A1</v>
      </c>
      <c r="C55" s="2">
        <f>IFERROR(__xludf.DUMMYFUNCTION("""COMPUTED_VALUE"""),0.099)</f>
        <v>0.099</v>
      </c>
      <c r="D55" s="2" t="str">
        <f>IFERROR(__xludf.DUMMYFUNCTION("""COMPUTED_VALUE"""),"Milti")</f>
        <v>Milti</v>
      </c>
      <c r="E55" s="2"/>
      <c r="F55" s="3">
        <f>IFERROR(__xludf.DUMMYFUNCTION("""COMPUTED_VALUE"""),59897.0)</f>
        <v>59897</v>
      </c>
      <c r="G55" s="2" t="str">
        <f>IFERROR(__xludf.DUMMYFUNCTION("""COMPUTED_VALUE"""),"Angkipa Sherpa")</f>
        <v>Angkipa Sherpa</v>
      </c>
      <c r="H55" s="2"/>
      <c r="I55" s="2" t="str">
        <f>IFERROR(__xludf.DUMMYFUNCTION("""COMPUTED_VALUE"""),"27o 30' 06""")</f>
        <v>27o 30' 06"</v>
      </c>
      <c r="J55" s="2" t="str">
        <f>IFERROR(__xludf.DUMMYFUNCTION("""COMPUTED_VALUE"""),"27o 30' 08""")</f>
        <v>27o 30' 08"</v>
      </c>
      <c r="K55" s="2" t="str">
        <f>IFERROR(__xludf.DUMMYFUNCTION("""COMPUTED_VALUE"""),"85o 00' 30""")</f>
        <v>85o 00' 30"</v>
      </c>
      <c r="L55" s="2" t="str">
        <f>IFERROR(__xludf.DUMMYFUNCTION("""COMPUTED_VALUE"""),"85o 02' 27""")</f>
        <v>85o 02' 27"</v>
      </c>
      <c r="M55" s="2" t="str">
        <f>IFERROR(__xludf.DUMMYFUNCTION("""COMPUTED_VALUE"""),"(Ramechhap)")</f>
        <v>(Ramechhap)</v>
      </c>
    </row>
    <row r="56">
      <c r="A56" s="2">
        <f>IFERROR(__xludf.DUMMYFUNCTION("""COMPUTED_VALUE"""),55.0)</f>
        <v>55</v>
      </c>
      <c r="B56" s="2" t="str">
        <f>IFERROR(__xludf.DUMMYFUNCTION("""COMPUTED_VALUE"""),"Lower Daraundi")</f>
        <v>Lower Daraundi</v>
      </c>
      <c r="C56" s="2">
        <f>IFERROR(__xludf.DUMMYFUNCTION("""COMPUTED_VALUE"""),3.0)</f>
        <v>3</v>
      </c>
      <c r="D56" s="2" t="str">
        <f>IFERROR(__xludf.DUMMYFUNCTION("""COMPUTED_VALUE"""),"Daraundi")</f>
        <v>Daraundi</v>
      </c>
      <c r="E56" s="2"/>
      <c r="F56" s="3">
        <f>IFERROR(__xludf.DUMMYFUNCTION("""COMPUTED_VALUE"""),59899.0)</f>
        <v>59899</v>
      </c>
      <c r="G56" s="2" t="str">
        <f>IFERROR(__xludf.DUMMYFUNCTION("""COMPUTED_VALUE"""),"Basanta Karki")</f>
        <v>Basanta Karki</v>
      </c>
      <c r="H56" s="2"/>
      <c r="I56" s="2" t="str">
        <f>IFERROR(__xludf.DUMMYFUNCTION("""COMPUTED_VALUE"""),"28o 02' 30""")</f>
        <v>28o 02' 30"</v>
      </c>
      <c r="J56" s="2" t="str">
        <f>IFERROR(__xludf.DUMMYFUNCTION("""COMPUTED_VALUE"""),"28o 06' 27""")</f>
        <v>28o 06' 27"</v>
      </c>
      <c r="K56" s="2" t="str">
        <f>IFERROR(__xludf.DUMMYFUNCTION("""COMPUTED_VALUE"""),"84o 38' 10""")</f>
        <v>84o 38' 10"</v>
      </c>
      <c r="L56" s="2" t="str">
        <f>IFERROR(__xludf.DUMMYFUNCTION("""COMPUTED_VALUE"""),"84o 40' 19""")</f>
        <v>84o 40' 19"</v>
      </c>
      <c r="M56" s="2" t="str">
        <f>IFERROR(__xludf.DUMMYFUNCTION("""COMPUTED_VALUE"""),"(Gorkha)")</f>
        <v>(Gorkha)</v>
      </c>
    </row>
    <row r="57">
      <c r="A57" s="2">
        <f>IFERROR(__xludf.DUMMYFUNCTION("""COMPUTED_VALUE"""),56.0)</f>
        <v>56</v>
      </c>
      <c r="B57" s="2" t="str">
        <f>IFERROR(__xludf.DUMMYFUNCTION("""COMPUTED_VALUE"""),"Yangadeli Khola")</f>
        <v>Yangadeli Khola</v>
      </c>
      <c r="C57" s="2">
        <f>IFERROR(__xludf.DUMMYFUNCTION("""COMPUTED_VALUE"""),2.73)</f>
        <v>2.73</v>
      </c>
      <c r="D57" s="2" t="str">
        <f>IFERROR(__xludf.DUMMYFUNCTION("""COMPUTED_VALUE"""),"Yandeli")</f>
        <v>Yandeli</v>
      </c>
      <c r="E57" s="2"/>
      <c r="F57" s="3">
        <f>IFERROR(__xludf.DUMMYFUNCTION("""COMPUTED_VALUE"""),59899.0)</f>
        <v>59899</v>
      </c>
      <c r="G57" s="2" t="str">
        <f>IFERROR(__xludf.DUMMYFUNCTION("""COMPUTED_VALUE"""),"Shikhar Hydropower P. Ltd.")</f>
        <v>Shikhar Hydropower P. Ltd.</v>
      </c>
      <c r="H57" s="2"/>
      <c r="I57" s="2" t="str">
        <f>IFERROR(__xludf.DUMMYFUNCTION("""COMPUTED_VALUE"""),"27o 21' 32""")</f>
        <v>27o 21' 32"</v>
      </c>
      <c r="J57" s="2" t="str">
        <f>IFERROR(__xludf.DUMMYFUNCTION("""COMPUTED_VALUE"""),"27o 22' 39""")</f>
        <v>27o 22' 39"</v>
      </c>
      <c r="K57" s="2" t="str">
        <f>IFERROR(__xludf.DUMMYFUNCTION("""COMPUTED_VALUE"""),"87o 30' 45""")</f>
        <v>87o 30' 45"</v>
      </c>
      <c r="L57" s="2" t="str">
        <f>IFERROR(__xludf.DUMMYFUNCTION("""COMPUTED_VALUE"""),"87o 33' 30""")</f>
        <v>87o 33' 30"</v>
      </c>
      <c r="M57" s="2" t="str">
        <f>IFERROR(__xludf.DUMMYFUNCTION("""COMPUTED_VALUE"""),"(Taplejung)")</f>
        <v>(Taplejung)</v>
      </c>
    </row>
    <row r="58">
      <c r="A58" s="2">
        <f>IFERROR(__xludf.DUMMYFUNCTION("""COMPUTED_VALUE"""),57.0)</f>
        <v>57</v>
      </c>
      <c r="B58" s="2" t="str">
        <f>IFERROR(__xludf.DUMMYFUNCTION("""COMPUTED_VALUE"""),"Seti Talkot")</f>
        <v>Seti Talkot</v>
      </c>
      <c r="C58" s="2">
        <f>IFERROR(__xludf.DUMMYFUNCTION("""COMPUTED_VALUE"""),73.0)</f>
        <v>73</v>
      </c>
      <c r="D58" s="2" t="str">
        <f>IFERROR(__xludf.DUMMYFUNCTION("""COMPUTED_VALUE"""),"West Seti")</f>
        <v>West Seti</v>
      </c>
      <c r="E58" s="2"/>
      <c r="F58" s="3">
        <f>IFERROR(__xludf.DUMMYFUNCTION("""COMPUTED_VALUE"""),59899.0)</f>
        <v>59899</v>
      </c>
      <c r="G58" s="2" t="str">
        <f>IFERROR(__xludf.DUMMYFUNCTION("""COMPUTED_VALUE"""),"H2O Hydropower P Ltd")</f>
        <v>H2O Hydropower P Ltd</v>
      </c>
      <c r="H58" s="2"/>
      <c r="I58" s="2" t="str">
        <f>IFERROR(__xludf.DUMMYFUNCTION("""COMPUTED_VALUE"""),"29o 36' 13""")</f>
        <v>29o 36' 13"</v>
      </c>
      <c r="J58" s="2" t="str">
        <f>IFERROR(__xludf.DUMMYFUNCTION("""COMPUTED_VALUE"""),"29o 41' 51""")</f>
        <v>29o 41' 51"</v>
      </c>
      <c r="K58" s="2" t="str">
        <f>IFERROR(__xludf.DUMMYFUNCTION("""COMPUTED_VALUE"""),"81o 16' 43""")</f>
        <v>81o 16' 43"</v>
      </c>
      <c r="L58" s="2" t="str">
        <f>IFERROR(__xludf.DUMMYFUNCTION("""COMPUTED_VALUE"""),"81o 20' 26""")</f>
        <v>81o 20' 26"</v>
      </c>
      <c r="M58" s="2" t="str">
        <f>IFERROR(__xludf.DUMMYFUNCTION("""COMPUTED_VALUE"""),"(Bajhang)")</f>
        <v>(Bajhang)</v>
      </c>
    </row>
    <row r="59">
      <c r="A59" s="2">
        <f>IFERROR(__xludf.DUMMYFUNCTION("""COMPUTED_VALUE"""),58.0)</f>
        <v>58</v>
      </c>
      <c r="B59" s="2" t="str">
        <f>IFERROR(__xludf.DUMMYFUNCTION("""COMPUTED_VALUE"""),"Upper Marsyangdi-1")</f>
        <v>Upper Marsyangdi-1</v>
      </c>
      <c r="C59" s="2">
        <f>IFERROR(__xludf.DUMMYFUNCTION("""COMPUTED_VALUE"""),100.0)</f>
        <v>100</v>
      </c>
      <c r="D59" s="2" t="str">
        <f>IFERROR(__xludf.DUMMYFUNCTION("""COMPUTED_VALUE"""),"Marsyangdi")</f>
        <v>Marsyangdi</v>
      </c>
      <c r="E59" s="2"/>
      <c r="F59" s="3">
        <f>IFERROR(__xludf.DUMMYFUNCTION("""COMPUTED_VALUE"""),59900.0)</f>
        <v>59900</v>
      </c>
      <c r="G59" s="2" t="str">
        <f>IFERROR(__xludf.DUMMYFUNCTION("""COMPUTED_VALUE"""),"Multi modal Developers P Ltd")</f>
        <v>Multi modal Developers P Ltd</v>
      </c>
      <c r="H59" s="2"/>
      <c r="I59" s="2" t="str">
        <f>IFERROR(__xludf.DUMMYFUNCTION("""COMPUTED_VALUE"""),"28o 19' 08""")</f>
        <v>28o 19' 08"</v>
      </c>
      <c r="J59" s="2" t="str">
        <f>IFERROR(__xludf.DUMMYFUNCTION("""COMPUTED_VALUE"""),"28o 23' 06""")</f>
        <v>28o 23' 06"</v>
      </c>
      <c r="K59" s="2" t="str">
        <f>IFERROR(__xludf.DUMMYFUNCTION("""COMPUTED_VALUE"""),"84o 23' 20""")</f>
        <v>84o 23' 20"</v>
      </c>
      <c r="L59" s="2" t="str">
        <f>IFERROR(__xludf.DUMMYFUNCTION("""COMPUTED_VALUE"""),"84o 25' 27""")</f>
        <v>84o 25' 27"</v>
      </c>
      <c r="M59" s="2" t="str">
        <f>IFERROR(__xludf.DUMMYFUNCTION("""COMPUTED_VALUE"""),"(Lamjung)")</f>
        <v>(Lamjung)</v>
      </c>
    </row>
    <row r="60">
      <c r="A60" s="2">
        <f>IFERROR(__xludf.DUMMYFUNCTION("""COMPUTED_VALUE"""),59.0)</f>
        <v>59</v>
      </c>
      <c r="B60" s="2" t="str">
        <f>IFERROR(__xludf.DUMMYFUNCTION("""COMPUTED_VALUE"""),"SanguKhola")</f>
        <v>SanguKhola</v>
      </c>
      <c r="C60" s="2">
        <f>IFERROR(__xludf.DUMMYFUNCTION("""COMPUTED_VALUE"""),3.5)</f>
        <v>3.5</v>
      </c>
      <c r="D60" s="2" t="str">
        <f>IFERROR(__xludf.DUMMYFUNCTION("""COMPUTED_VALUE"""),"Sagu")</f>
        <v>Sagu</v>
      </c>
      <c r="E60" s="2"/>
      <c r="F60" s="3">
        <f>IFERROR(__xludf.DUMMYFUNCTION("""COMPUTED_VALUE"""),59904.0)</f>
        <v>59904</v>
      </c>
      <c r="G60" s="2" t="str">
        <f>IFERROR(__xludf.DUMMYFUNCTION("""COMPUTED_VALUE"""),"Komal Karki")</f>
        <v>Komal Karki</v>
      </c>
      <c r="H60" s="2"/>
      <c r="I60" s="2" t="str">
        <f>IFERROR(__xludf.DUMMYFUNCTION("""COMPUTED_VALUE"""),"27o 46' 00""")</f>
        <v>27o 46' 00"</v>
      </c>
      <c r="J60" s="2" t="str">
        <f>IFERROR(__xludf.DUMMYFUNCTION("""COMPUTED_VALUE"""),"27o 50' 39""")</f>
        <v>27o 50' 39"</v>
      </c>
      <c r="K60" s="2" t="str">
        <f>IFERROR(__xludf.DUMMYFUNCTION("""COMPUTED_VALUE"""),"86o 05' 00""")</f>
        <v>86o 05' 00"</v>
      </c>
      <c r="L60" s="2" t="str">
        <f>IFERROR(__xludf.DUMMYFUNCTION("""COMPUTED_VALUE"""),"86o 08' 16""")</f>
        <v>86o 08' 16"</v>
      </c>
      <c r="M60" s="2" t="str">
        <f>IFERROR(__xludf.DUMMYFUNCTION("""COMPUTED_VALUE"""),"(Dolakha)")</f>
        <v>(Dolakha)</v>
      </c>
    </row>
    <row r="61">
      <c r="A61" s="2">
        <f>IFERROR(__xludf.DUMMYFUNCTION("""COMPUTED_VALUE"""),60.0)</f>
        <v>60</v>
      </c>
      <c r="B61" s="2" t="str">
        <f>IFERROR(__xludf.DUMMYFUNCTION("""COMPUTED_VALUE"""),"Kabeli B")</f>
        <v>Kabeli B</v>
      </c>
      <c r="C61" s="2">
        <f>IFERROR(__xludf.DUMMYFUNCTION("""COMPUTED_VALUE"""),35.0)</f>
        <v>35</v>
      </c>
      <c r="D61" s="2" t="str">
        <f>IFERROR(__xludf.DUMMYFUNCTION("""COMPUTED_VALUE"""),"Kabeli Khola")</f>
        <v>Kabeli Khola</v>
      </c>
      <c r="E61" s="2"/>
      <c r="F61" s="3">
        <f>IFERROR(__xludf.DUMMYFUNCTION("""COMPUTED_VALUE"""),59911.0)</f>
        <v>59911</v>
      </c>
      <c r="G61" s="2" t="str">
        <f>IFERROR(__xludf.DUMMYFUNCTION("""COMPUTED_VALUE"""),"BPC Services Limited")</f>
        <v>BPC Services Limited</v>
      </c>
      <c r="H61" s="2"/>
      <c r="I61" s="2" t="str">
        <f>IFERROR(__xludf.DUMMYFUNCTION("""COMPUTED_VALUE"""),"27o 15' 50""")</f>
        <v>27o 15' 50"</v>
      </c>
      <c r="J61" s="2" t="str">
        <f>IFERROR(__xludf.DUMMYFUNCTION("""COMPUTED_VALUE"""),"27o 18' 30""")</f>
        <v>27o 18' 30"</v>
      </c>
      <c r="K61" s="2" t="str">
        <f>IFERROR(__xludf.DUMMYFUNCTION("""COMPUTED_VALUE"""),"87o 45' 50""")</f>
        <v>87o 45' 50"</v>
      </c>
      <c r="L61" s="2" t="str">
        <f>IFERROR(__xludf.DUMMYFUNCTION("""COMPUTED_VALUE"""),"87o 51' 59""")</f>
        <v>87o 51' 59"</v>
      </c>
      <c r="M61" s="2" t="str">
        <f>IFERROR(__xludf.DUMMYFUNCTION("""COMPUTED_VALUE"""),"(Taplejung)")</f>
        <v>(Taplejung)</v>
      </c>
    </row>
    <row r="62">
      <c r="A62" s="2">
        <f>IFERROR(__xludf.DUMMYFUNCTION("""COMPUTED_VALUE"""),61.0)</f>
        <v>61</v>
      </c>
      <c r="B62" s="2" t="str">
        <f>IFERROR(__xludf.DUMMYFUNCTION("""COMPUTED_VALUE"""),"Karnali")</f>
        <v>Karnali</v>
      </c>
      <c r="C62" s="2">
        <f>IFERROR(__xludf.DUMMYFUNCTION("""COMPUTED_VALUE"""),100.0)</f>
        <v>100</v>
      </c>
      <c r="D62" s="2" t="str">
        <f>IFERROR(__xludf.DUMMYFUNCTION("""COMPUTED_VALUE"""),"Karnali")</f>
        <v>Karnali</v>
      </c>
      <c r="E62" s="2"/>
      <c r="F62" s="3">
        <f>IFERROR(__xludf.DUMMYFUNCTION("""COMPUTED_VALUE"""),59911.0)</f>
        <v>59911</v>
      </c>
      <c r="G62" s="2" t="str">
        <f>IFERROR(__xludf.DUMMYFUNCTION("""COMPUTED_VALUE"""),"D- Power Solutions P Ltd")</f>
        <v>D- Power Solutions P Ltd</v>
      </c>
      <c r="H62" s="2"/>
      <c r="I62" s="2" t="str">
        <f>IFERROR(__xludf.DUMMYFUNCTION("""COMPUTED_VALUE"""),"00o 00' 00""")</f>
        <v>00o 00' 00"</v>
      </c>
      <c r="J62" s="2" t="str">
        <f>IFERROR(__xludf.DUMMYFUNCTION("""COMPUTED_VALUE"""),"00o 00' 00""")</f>
        <v>00o 00' 00"</v>
      </c>
      <c r="K62" s="2" t="str">
        <f>IFERROR(__xludf.DUMMYFUNCTION("""COMPUTED_VALUE"""),"00o 00' 00""")</f>
        <v>00o 00' 00"</v>
      </c>
      <c r="L62" s="2" t="str">
        <f>IFERROR(__xludf.DUMMYFUNCTION("""COMPUTED_VALUE"""),"00o 00' 00""")</f>
        <v>00o 00' 00"</v>
      </c>
      <c r="M62" s="2" t="str">
        <f>IFERROR(__xludf.DUMMYFUNCTION("""COMPUTED_VALUE"""),"(Kalikot)")</f>
        <v>(Kalikot)</v>
      </c>
    </row>
    <row r="63">
      <c r="A63" s="2">
        <f>IFERROR(__xludf.DUMMYFUNCTION("""COMPUTED_VALUE"""),62.0)</f>
        <v>62</v>
      </c>
      <c r="B63" s="2" t="str">
        <f>IFERROR(__xludf.DUMMYFUNCTION("""COMPUTED_VALUE"""),"Rolwaling")</f>
        <v>Rolwaling</v>
      </c>
      <c r="C63" s="2">
        <f>IFERROR(__xludf.DUMMYFUNCTION("""COMPUTED_VALUE"""),9.0)</f>
        <v>9</v>
      </c>
      <c r="D63" s="2" t="str">
        <f>IFERROR(__xludf.DUMMYFUNCTION("""COMPUTED_VALUE"""),"Rolwaling")</f>
        <v>Rolwaling</v>
      </c>
      <c r="E63" s="2">
        <f>IFERROR(__xludf.DUMMYFUNCTION("""COMPUTED_VALUE"""),4233.0)</f>
        <v>4233</v>
      </c>
      <c r="F63" s="3">
        <f>IFERROR(__xludf.DUMMYFUNCTION("""COMPUTED_VALUE"""),59911.0)</f>
        <v>59911</v>
      </c>
      <c r="G63" s="2" t="str">
        <f>IFERROR(__xludf.DUMMYFUNCTION("""COMPUTED_VALUE"""),"Krishna Kanta Panthi")</f>
        <v>Krishna Kanta Panthi</v>
      </c>
      <c r="H63" s="2" t="str">
        <f>IFERROR(__xludf.DUMMYFUNCTION("""COMPUTED_VALUE"""),"Bhanbhane2 Gulmi Phone no 016216596")</f>
        <v>Bhanbhane2 Gulmi Phone no 016216596</v>
      </c>
      <c r="I63" s="2" t="str">
        <f>IFERROR(__xludf.DUMMYFUNCTION("""COMPUTED_VALUE"""),"27o 53' 00""")</f>
        <v>27o 53' 00"</v>
      </c>
      <c r="J63" s="2" t="str">
        <f>IFERROR(__xludf.DUMMYFUNCTION("""COMPUTED_VALUE"""),"27o 55' 15""")</f>
        <v>27o 55' 15"</v>
      </c>
      <c r="K63" s="2" t="str">
        <f>IFERROR(__xludf.DUMMYFUNCTION("""COMPUTED_VALUE"""),"86o 16' 20""")</f>
        <v>86o 16' 20"</v>
      </c>
      <c r="L63" s="2" t="str">
        <f>IFERROR(__xludf.DUMMYFUNCTION("""COMPUTED_VALUE"""),"86o 20' 30""")</f>
        <v>86o 20' 30"</v>
      </c>
      <c r="M63" s="2" t="str">
        <f>IFERROR(__xludf.DUMMYFUNCTION("""COMPUTED_VALUE"""),"Gauri Sankar,Lamabagar (Dolakha)")</f>
        <v>Gauri Sankar,Lamabagar (Dolakha)</v>
      </c>
    </row>
    <row r="64">
      <c r="A64" s="2">
        <f>IFERROR(__xludf.DUMMYFUNCTION("""COMPUTED_VALUE"""),63.0)</f>
        <v>63</v>
      </c>
      <c r="B64" s="2" t="str">
        <f>IFERROR(__xludf.DUMMYFUNCTION("""COMPUTED_VALUE"""),"Kabeli C")</f>
        <v>Kabeli C</v>
      </c>
      <c r="C64" s="2">
        <f>IFERROR(__xludf.DUMMYFUNCTION("""COMPUTED_VALUE"""),32.0)</f>
        <v>32</v>
      </c>
      <c r="D64" s="2" t="str">
        <f>IFERROR(__xludf.DUMMYFUNCTION("""COMPUTED_VALUE"""),"Kabeli Khola")</f>
        <v>Kabeli Khola</v>
      </c>
      <c r="E64" s="2"/>
      <c r="F64" s="3">
        <f>IFERROR(__xludf.DUMMYFUNCTION("""COMPUTED_VALUE"""),59912.0)</f>
        <v>59912</v>
      </c>
      <c r="G64" s="2" t="str">
        <f>IFERROR(__xludf.DUMMYFUNCTION("""COMPUTED_VALUE"""),"BPC Services Limited")</f>
        <v>BPC Services Limited</v>
      </c>
      <c r="H64" s="2"/>
      <c r="I64" s="2" t="str">
        <f>IFERROR(__xludf.DUMMYFUNCTION("""COMPUTED_VALUE"""),"27o 18' 30""")</f>
        <v>27o 18' 30"</v>
      </c>
      <c r="J64" s="2" t="str">
        <f>IFERROR(__xludf.DUMMYFUNCTION("""COMPUTED_VALUE"""),"27o 22' 30""")</f>
        <v>27o 22' 30"</v>
      </c>
      <c r="K64" s="2" t="str">
        <f>IFERROR(__xludf.DUMMYFUNCTION("""COMPUTED_VALUE"""),"87o 51' 00""")</f>
        <v>87o 51' 00"</v>
      </c>
      <c r="L64" s="2" t="str">
        <f>IFERROR(__xludf.DUMMYFUNCTION("""COMPUTED_VALUE"""),"87o 52' 30""")</f>
        <v>87o 52' 30"</v>
      </c>
      <c r="M64" s="2" t="str">
        <f>IFERROR(__xludf.DUMMYFUNCTION("""COMPUTED_VALUE"""),"(Taplejung)")</f>
        <v>(Taplejung)</v>
      </c>
    </row>
    <row r="65">
      <c r="A65" s="2">
        <f>IFERROR(__xludf.DUMMYFUNCTION("""COMPUTED_VALUE"""),64.0)</f>
        <v>64</v>
      </c>
      <c r="B65" s="2" t="str">
        <f>IFERROR(__xludf.DUMMYFUNCTION("""COMPUTED_VALUE"""),"Tila-3")</f>
        <v>Tila-3</v>
      </c>
      <c r="C65" s="2">
        <f>IFERROR(__xludf.DUMMYFUNCTION("""COMPUTED_VALUE"""),112.0)</f>
        <v>112</v>
      </c>
      <c r="D65" s="2" t="str">
        <f>IFERROR(__xludf.DUMMYFUNCTION("""COMPUTED_VALUE"""),"Tila")</f>
        <v>Tila</v>
      </c>
      <c r="E65" s="2"/>
      <c r="F65" s="3">
        <f>IFERROR(__xludf.DUMMYFUNCTION("""COMPUTED_VALUE"""),59914.0)</f>
        <v>59914</v>
      </c>
      <c r="G65" s="2" t="str">
        <f>IFERROR(__xludf.DUMMYFUNCTION("""COMPUTED_VALUE"""),"Nepal Electricity Authority")</f>
        <v>Nepal Electricity Authority</v>
      </c>
      <c r="H65" s="2"/>
      <c r="I65" s="2" t="str">
        <f>IFERROR(__xludf.DUMMYFUNCTION("""COMPUTED_VALUE"""),"29o 06' 01""")</f>
        <v>29o 06' 01"</v>
      </c>
      <c r="J65" s="2" t="str">
        <f>IFERROR(__xludf.DUMMYFUNCTION("""COMPUTED_VALUE"""),"29o 09' 16""")</f>
        <v>29o 09' 16"</v>
      </c>
      <c r="K65" s="2" t="str">
        <f>IFERROR(__xludf.DUMMYFUNCTION("""COMPUTED_VALUE"""),"81o 42' 36""")</f>
        <v>81o 42' 36"</v>
      </c>
      <c r="L65" s="2" t="str">
        <f>IFERROR(__xludf.DUMMYFUNCTION("""COMPUTED_VALUE"""),"81o 47' 10""")</f>
        <v>81o 47' 10"</v>
      </c>
      <c r="M65" s="2" t="str">
        <f>IFERROR(__xludf.DUMMYFUNCTION("""COMPUTED_VALUE"""),"(Kalikot)")</f>
        <v>(Kalikot)</v>
      </c>
    </row>
    <row r="66">
      <c r="A66" s="2">
        <f>IFERROR(__xludf.DUMMYFUNCTION("""COMPUTED_VALUE"""),65.0)</f>
        <v>65</v>
      </c>
      <c r="B66" s="2" t="str">
        <f>IFERROR(__xludf.DUMMYFUNCTION("""COMPUTED_VALUE"""),"IsuwaKhola")</f>
        <v>IsuwaKhola</v>
      </c>
      <c r="C66" s="2">
        <f>IFERROR(__xludf.DUMMYFUNCTION("""COMPUTED_VALUE"""),4.5)</f>
        <v>4.5</v>
      </c>
      <c r="D66" s="2" t="str">
        <f>IFERROR(__xludf.DUMMYFUNCTION("""COMPUTED_VALUE"""),"Isuwa Khola")</f>
        <v>Isuwa Khola</v>
      </c>
      <c r="E66" s="2"/>
      <c r="F66" s="3">
        <f>IFERROR(__xludf.DUMMYFUNCTION("""COMPUTED_VALUE"""),59915.0)</f>
        <v>59915</v>
      </c>
      <c r="G66" s="2" t="str">
        <f>IFERROR(__xludf.DUMMYFUNCTION("""COMPUTED_VALUE"""),"Bibash Shrestha")</f>
        <v>Bibash Shrestha</v>
      </c>
      <c r="H66" s="2"/>
      <c r="I66" s="2" t="str">
        <f>IFERROR(__xludf.DUMMYFUNCTION("""COMPUTED_VALUE"""),"27o 32' 26""")</f>
        <v>27o 32' 26"</v>
      </c>
      <c r="J66" s="2" t="str">
        <f>IFERROR(__xludf.DUMMYFUNCTION("""COMPUTED_VALUE"""),"27o 35' 00""")</f>
        <v>27o 35' 00"</v>
      </c>
      <c r="K66" s="2" t="str">
        <f>IFERROR(__xludf.DUMMYFUNCTION("""COMPUTED_VALUE"""),"87o 13' 20""")</f>
        <v>87o 13' 20"</v>
      </c>
      <c r="L66" s="2" t="str">
        <f>IFERROR(__xludf.DUMMYFUNCTION("""COMPUTED_VALUE"""),"87o 15' 00""")</f>
        <v>87o 15' 00"</v>
      </c>
      <c r="M66" s="2" t="str">
        <f>IFERROR(__xludf.DUMMYFUNCTION("""COMPUTED_VALUE"""),"(Sankhuwasabha)")</f>
        <v>(Sankhuwasabha)</v>
      </c>
    </row>
    <row r="67">
      <c r="A67" s="2">
        <f>IFERROR(__xludf.DUMMYFUNCTION("""COMPUTED_VALUE"""),66.0)</f>
        <v>66</v>
      </c>
      <c r="B67" s="2" t="str">
        <f>IFERROR(__xludf.DUMMYFUNCTION("""COMPUTED_VALUE"""),"Lower Pati khola")</f>
        <v>Lower Pati khola</v>
      </c>
      <c r="C67" s="2">
        <f>IFERROR(__xludf.DUMMYFUNCTION("""COMPUTED_VALUE"""),0.48)</f>
        <v>0.48</v>
      </c>
      <c r="D67" s="2" t="str">
        <f>IFERROR(__xludf.DUMMYFUNCTION("""COMPUTED_VALUE"""),"Pati")</f>
        <v>Pati</v>
      </c>
      <c r="E67" s="2"/>
      <c r="F67" s="3">
        <f>IFERROR(__xludf.DUMMYFUNCTION("""COMPUTED_VALUE"""),59918.0)</f>
        <v>59918</v>
      </c>
      <c r="G67" s="2" t="str">
        <f>IFERROR(__xludf.DUMMYFUNCTION("""COMPUTED_VALUE"""),"Unified Hydropower")</f>
        <v>Unified Hydropower</v>
      </c>
      <c r="H67" s="2"/>
      <c r="I67" s="2" t="str">
        <f>IFERROR(__xludf.DUMMYFUNCTION("""COMPUTED_VALUE"""),"28o 16' 00""")</f>
        <v>28o 16' 00"</v>
      </c>
      <c r="J67" s="2" t="str">
        <f>IFERROR(__xludf.DUMMYFUNCTION("""COMPUTED_VALUE"""),"28o 17' 20""")</f>
        <v>28o 17' 20"</v>
      </c>
      <c r="K67" s="2" t="str">
        <f>IFERROR(__xludf.DUMMYFUNCTION("""COMPUTED_VALUE"""),"83o 43' 33""")</f>
        <v>83o 43' 33"</v>
      </c>
      <c r="L67" s="2" t="str">
        <f>IFERROR(__xludf.DUMMYFUNCTION("""COMPUTED_VALUE"""),"83o 44' 15""")</f>
        <v>83o 44' 15"</v>
      </c>
      <c r="M67" s="2" t="str">
        <f>IFERROR(__xludf.DUMMYFUNCTION("""COMPUTED_VALUE"""),"(Parbat)")</f>
        <v>(Parbat)</v>
      </c>
    </row>
    <row r="68">
      <c r="A68" s="2">
        <f>IFERROR(__xludf.DUMMYFUNCTION("""COMPUTED_VALUE"""),67.0)</f>
        <v>67</v>
      </c>
      <c r="B68" s="2" t="str">
        <f>IFERROR(__xludf.DUMMYFUNCTION("""COMPUTED_VALUE"""),"Upper Chameliya A")</f>
        <v>Upper Chameliya A</v>
      </c>
      <c r="C68" s="2">
        <f>IFERROR(__xludf.DUMMYFUNCTION("""COMPUTED_VALUE"""),18.5)</f>
        <v>18.5</v>
      </c>
      <c r="D68" s="2" t="str">
        <f>IFERROR(__xludf.DUMMYFUNCTION("""COMPUTED_VALUE"""),"Chameliya Khola")</f>
        <v>Chameliya Khola</v>
      </c>
      <c r="E68" s="2"/>
      <c r="F68" s="3">
        <f>IFERROR(__xludf.DUMMYFUNCTION("""COMPUTED_VALUE"""),59918.0)</f>
        <v>59918</v>
      </c>
      <c r="G68" s="2" t="str">
        <f>IFERROR(__xludf.DUMMYFUNCTION("""COMPUTED_VALUE"""),"Power Link P Ltd")</f>
        <v>Power Link P Ltd</v>
      </c>
      <c r="H68" s="2"/>
      <c r="I68" s="2" t="str">
        <f>IFERROR(__xludf.DUMMYFUNCTION("""COMPUTED_VALUE"""),"29o 44' 44""")</f>
        <v>29o 44' 44"</v>
      </c>
      <c r="J68" s="2" t="str">
        <f>IFERROR(__xludf.DUMMYFUNCTION("""COMPUTED_VALUE"""),"29o 46' 14""")</f>
        <v>29o 46' 14"</v>
      </c>
      <c r="K68" s="2" t="str">
        <f>IFERROR(__xludf.DUMMYFUNCTION("""COMPUTED_VALUE"""),"80o 45' 00""")</f>
        <v>80o 45' 00"</v>
      </c>
      <c r="L68" s="2" t="str">
        <f>IFERROR(__xludf.DUMMYFUNCTION("""COMPUTED_VALUE"""),"80o 49' 18""")</f>
        <v>80o 49' 18"</v>
      </c>
      <c r="M68" s="2" t="str">
        <f>IFERROR(__xludf.DUMMYFUNCTION("""COMPUTED_VALUE"""),"(Darchula)")</f>
        <v>(Darchula)</v>
      </c>
    </row>
    <row r="69">
      <c r="A69" s="2">
        <f>IFERROR(__xludf.DUMMYFUNCTION("""COMPUTED_VALUE"""),68.0)</f>
        <v>68</v>
      </c>
      <c r="B69" s="2" t="str">
        <f>IFERROR(__xludf.DUMMYFUNCTION("""COMPUTED_VALUE"""),"Upper Chameliya B")</f>
        <v>Upper Chameliya B</v>
      </c>
      <c r="C69" s="2">
        <f>IFERROR(__xludf.DUMMYFUNCTION("""COMPUTED_VALUE"""),6.0)</f>
        <v>6</v>
      </c>
      <c r="D69" s="2" t="str">
        <f>IFERROR(__xludf.DUMMYFUNCTION("""COMPUTED_VALUE"""),"Chameliya Khola")</f>
        <v>Chameliya Khola</v>
      </c>
      <c r="E69" s="2"/>
      <c r="F69" s="3">
        <f>IFERROR(__xludf.DUMMYFUNCTION("""COMPUTED_VALUE"""),59918.0)</f>
        <v>59918</v>
      </c>
      <c r="G69" s="2" t="str">
        <f>IFERROR(__xludf.DUMMYFUNCTION("""COMPUTED_VALUE"""),"Power Link P Ltd")</f>
        <v>Power Link P Ltd</v>
      </c>
      <c r="H69" s="2"/>
      <c r="I69" s="2" t="str">
        <f>IFERROR(__xludf.DUMMYFUNCTION("""COMPUTED_VALUE"""),"29o 42' 30""")</f>
        <v>29o 42' 30"</v>
      </c>
      <c r="J69" s="2" t="str">
        <f>IFERROR(__xludf.DUMMYFUNCTION("""COMPUTED_VALUE"""),"29o 45' 00""")</f>
        <v>29o 45' 00"</v>
      </c>
      <c r="K69" s="2" t="str">
        <f>IFERROR(__xludf.DUMMYFUNCTION("""COMPUTED_VALUE"""),"80o 42' 30""")</f>
        <v>80o 42' 30"</v>
      </c>
      <c r="L69" s="2" t="str">
        <f>IFERROR(__xludf.DUMMYFUNCTION("""COMPUTED_VALUE"""),"80o 45' 00""")</f>
        <v>80o 45' 00"</v>
      </c>
      <c r="M69" s="2" t="str">
        <f>IFERROR(__xludf.DUMMYFUNCTION("""COMPUTED_VALUE"""),"(Darchula)")</f>
        <v>(Darchula)</v>
      </c>
    </row>
    <row r="70">
      <c r="A70" s="2">
        <f>IFERROR(__xludf.DUMMYFUNCTION("""COMPUTED_VALUE"""),69.0)</f>
        <v>69</v>
      </c>
      <c r="B70" s="2" t="str">
        <f>IFERROR(__xludf.DUMMYFUNCTION("""COMPUTED_VALUE"""),"Upper Pati khola")</f>
        <v>Upper Pati khola</v>
      </c>
      <c r="C70" s="2">
        <f>IFERROR(__xludf.DUMMYFUNCTION("""COMPUTED_VALUE"""),0.5)</f>
        <v>0.5</v>
      </c>
      <c r="D70" s="2" t="str">
        <f>IFERROR(__xludf.DUMMYFUNCTION("""COMPUTED_VALUE"""),"Pati")</f>
        <v>Pati</v>
      </c>
      <c r="E70" s="2"/>
      <c r="F70" s="3">
        <f>IFERROR(__xludf.DUMMYFUNCTION("""COMPUTED_VALUE"""),59918.0)</f>
        <v>59918</v>
      </c>
      <c r="G70" s="2" t="str">
        <f>IFERROR(__xludf.DUMMYFUNCTION("""COMPUTED_VALUE"""),"Unified Hydropower")</f>
        <v>Unified Hydropower</v>
      </c>
      <c r="H70" s="2"/>
      <c r="I70" s="2" t="str">
        <f>IFERROR(__xludf.DUMMYFUNCTION("""COMPUTED_VALUE"""),"28o 17' 30""")</f>
        <v>28o 17' 30"</v>
      </c>
      <c r="J70" s="2" t="str">
        <f>IFERROR(__xludf.DUMMYFUNCTION("""COMPUTED_VALUE"""),"28o 18' 00""")</f>
        <v>28o 18' 00"</v>
      </c>
      <c r="K70" s="2" t="str">
        <f>IFERROR(__xludf.DUMMYFUNCTION("""COMPUTED_VALUE"""),"83o 41' 45""")</f>
        <v>83o 41' 45"</v>
      </c>
      <c r="L70" s="2" t="str">
        <f>IFERROR(__xludf.DUMMYFUNCTION("""COMPUTED_VALUE"""),"83o 42' 30""")</f>
        <v>83o 42' 30"</v>
      </c>
      <c r="M70" s="2" t="str">
        <f>IFERROR(__xludf.DUMMYFUNCTION("""COMPUTED_VALUE"""),"(Parbat)")</f>
        <v>(Parbat)</v>
      </c>
    </row>
    <row r="71">
      <c r="A71" s="2">
        <f>IFERROR(__xludf.DUMMYFUNCTION("""COMPUTED_VALUE"""),70.0)</f>
        <v>70</v>
      </c>
      <c r="B71" s="2" t="str">
        <f>IFERROR(__xludf.DUMMYFUNCTION("""COMPUTED_VALUE"""),"Uper Chameliya B")</f>
        <v>Uper Chameliya B</v>
      </c>
      <c r="C71" s="2">
        <f>IFERROR(__xludf.DUMMYFUNCTION("""COMPUTED_VALUE"""),6.0)</f>
        <v>6</v>
      </c>
      <c r="D71" s="2" t="str">
        <f>IFERROR(__xludf.DUMMYFUNCTION("""COMPUTED_VALUE"""),"Chameliya Khola")</f>
        <v>Chameliya Khola</v>
      </c>
      <c r="E71" s="2">
        <f>IFERROR(__xludf.DUMMYFUNCTION("""COMPUTED_VALUE"""),4297.0)</f>
        <v>4297</v>
      </c>
      <c r="F71" s="3">
        <f>IFERROR(__xludf.DUMMYFUNCTION("""COMPUTED_VALUE"""),59918.0)</f>
        <v>59918</v>
      </c>
      <c r="G71" s="2" t="str">
        <f>IFERROR(__xludf.DUMMYFUNCTION("""COMPUTED_VALUE"""),"Tilotama Hamal rishna Bahadur Shrestha Kama Maharjan amal Bahadur Malla")</f>
        <v>Tilotama Hamal rishna Bahadur Shrestha Kama Maharjan amal Bahadur Malla</v>
      </c>
      <c r="H71" s="2" t="str">
        <f>IFERROR(__xludf.DUMMYFUNCTION("""COMPUTED_VALUE"""),"athmandu-13")</f>
        <v>athmandu-13</v>
      </c>
      <c r="I71" s="2" t="str">
        <f>IFERROR(__xludf.DUMMYFUNCTION("""COMPUTED_VALUE"""),"29o 42' 30""")</f>
        <v>29o 42' 30"</v>
      </c>
      <c r="J71" s="2" t="str">
        <f>IFERROR(__xludf.DUMMYFUNCTION("""COMPUTED_VALUE"""),"29o 45' 00""")</f>
        <v>29o 45' 00"</v>
      </c>
      <c r="K71" s="2" t="str">
        <f>IFERROR(__xludf.DUMMYFUNCTION("""COMPUTED_VALUE"""),"80o 42' 30""")</f>
        <v>80o 42' 30"</v>
      </c>
      <c r="L71" s="2" t="str">
        <f>IFERROR(__xludf.DUMMYFUNCTION("""COMPUTED_VALUE"""),"80o 45' 00""")</f>
        <v>80o 45' 00"</v>
      </c>
      <c r="M71" s="2" t="str">
        <f>IFERROR(__xludf.DUMMYFUNCTION("""COMPUTED_VALUE"""),"Seri,Latinath,Tapoban (Darchula)")</f>
        <v>Seri,Latinath,Tapoban (Darchula)</v>
      </c>
    </row>
    <row r="72">
      <c r="A72" s="2">
        <f>IFERROR(__xludf.DUMMYFUNCTION("""COMPUTED_VALUE"""),71.0)</f>
        <v>71</v>
      </c>
      <c r="B72" s="2" t="str">
        <f>IFERROR(__xludf.DUMMYFUNCTION("""COMPUTED_VALUE"""),"Saru Khola")</f>
        <v>Saru Khola</v>
      </c>
      <c r="C72" s="2">
        <f>IFERROR(__xludf.DUMMYFUNCTION("""COMPUTED_VALUE"""),4.0)</f>
        <v>4</v>
      </c>
      <c r="D72" s="2" t="str">
        <f>IFERROR(__xludf.DUMMYFUNCTION("""COMPUTED_VALUE"""),"Saru Khola")</f>
        <v>Saru Khola</v>
      </c>
      <c r="E72" s="2"/>
      <c r="F72" s="3">
        <f>IFERROR(__xludf.DUMMYFUNCTION("""COMPUTED_VALUE"""),59924.0)</f>
        <v>59924</v>
      </c>
      <c r="G72" s="2" t="str">
        <f>IFERROR(__xludf.DUMMYFUNCTION("""COMPUTED_VALUE"""),"Dharma Dhoj Parajuli")</f>
        <v>Dharma Dhoj Parajuli</v>
      </c>
      <c r="H72" s="2"/>
      <c r="I72" s="2" t="str">
        <f>IFERROR(__xludf.DUMMYFUNCTION("""COMPUTED_VALUE"""),"28o 45' 35""")</f>
        <v>28o 45' 35"</v>
      </c>
      <c r="J72" s="2" t="str">
        <f>IFERROR(__xludf.DUMMYFUNCTION("""COMPUTED_VALUE"""),"28o 47' 52""")</f>
        <v>28o 47' 52"</v>
      </c>
      <c r="K72" s="2" t="str">
        <f>IFERROR(__xludf.DUMMYFUNCTION("""COMPUTED_VALUE"""),"82o 03' 46""")</f>
        <v>82o 03' 46"</v>
      </c>
      <c r="L72" s="2" t="str">
        <f>IFERROR(__xludf.DUMMYFUNCTION("""COMPUTED_VALUE"""),"82o 07' 30""")</f>
        <v>82o 07' 30"</v>
      </c>
      <c r="M72" s="2" t="str">
        <f>IFERROR(__xludf.DUMMYFUNCTION("""COMPUTED_VALUE"""),"(Jajarkot)")</f>
        <v>(Jajarkot)</v>
      </c>
    </row>
    <row r="73">
      <c r="A73" s="2">
        <f>IFERROR(__xludf.DUMMYFUNCTION("""COMPUTED_VALUE"""),72.0)</f>
        <v>72</v>
      </c>
      <c r="B73" s="2" t="str">
        <f>IFERROR(__xludf.DUMMYFUNCTION("""COMPUTED_VALUE"""),"Karnali-7A")</f>
        <v>Karnali-7A</v>
      </c>
      <c r="C73" s="2">
        <f>IFERROR(__xludf.DUMMYFUNCTION("""COMPUTED_VALUE"""),250.0)</f>
        <v>250</v>
      </c>
      <c r="D73" s="2" t="str">
        <f>IFERROR(__xludf.DUMMYFUNCTION("""COMPUTED_VALUE"""),"Karnali")</f>
        <v>Karnali</v>
      </c>
      <c r="E73" s="2"/>
      <c r="F73" s="3">
        <f>IFERROR(__xludf.DUMMYFUNCTION("""COMPUTED_VALUE"""),59924.0)</f>
        <v>59924</v>
      </c>
      <c r="G73" s="2" t="str">
        <f>IFERROR(__xludf.DUMMYFUNCTION("""COMPUTED_VALUE"""),"Bhilwara Energy Limited")</f>
        <v>Bhilwara Energy Limited</v>
      </c>
      <c r="H73" s="2" t="str">
        <f>IFERROR(__xludf.DUMMYFUNCTION("""COMPUTED_VALUE"""),"Noida-201301, NCR-Delhi (India) Tel: 91-120-2541810, Fax: 
91-120-2531648/2531745")</f>
        <v>Noida-201301, NCR-Delhi (India) Tel: 91-120-2541810, Fax: 
91-120-2531648/2531745</v>
      </c>
      <c r="I73" s="2" t="str">
        <f>IFERROR(__xludf.DUMMYFUNCTION("""COMPUTED_VALUE"""),"28o 54' 00""")</f>
        <v>28o 54' 00"</v>
      </c>
      <c r="J73" s="2" t="str">
        <f>IFERROR(__xludf.DUMMYFUNCTION("""COMPUTED_VALUE"""),"28o 55' 00""")</f>
        <v>28o 55' 00"</v>
      </c>
      <c r="K73" s="2" t="str">
        <f>IFERROR(__xludf.DUMMYFUNCTION("""COMPUTED_VALUE"""),"81o 15' 47""")</f>
        <v>81o 15' 47"</v>
      </c>
      <c r="L73" s="2" t="str">
        <f>IFERROR(__xludf.DUMMYFUNCTION("""COMPUTED_VALUE"""),"81o 17' 00""")</f>
        <v>81o 17' 00"</v>
      </c>
      <c r="M73" s="2" t="str">
        <f>IFERROR(__xludf.DUMMYFUNCTION("""COMPUTED_VALUE"""),"(Achham)")</f>
        <v>(Achham)</v>
      </c>
    </row>
    <row r="74">
      <c r="A74" s="2">
        <f>IFERROR(__xludf.DUMMYFUNCTION("""COMPUTED_VALUE"""),73.0)</f>
        <v>73</v>
      </c>
      <c r="B74" s="2" t="str">
        <f>IFERROR(__xludf.DUMMYFUNCTION("""COMPUTED_VALUE"""),"Upper Trishuli-2A")</f>
        <v>Upper Trishuli-2A</v>
      </c>
      <c r="C74" s="2">
        <f>IFERROR(__xludf.DUMMYFUNCTION("""COMPUTED_VALUE"""),229.0)</f>
        <v>229</v>
      </c>
      <c r="D74" s="2" t="str">
        <f>IFERROR(__xludf.DUMMYFUNCTION("""COMPUTED_VALUE"""),"Trishuli")</f>
        <v>Trishuli</v>
      </c>
      <c r="E74" s="2"/>
      <c r="F74" s="3">
        <f>IFERROR(__xludf.DUMMYFUNCTION("""COMPUTED_VALUE"""),59924.0)</f>
        <v>59924</v>
      </c>
      <c r="G74" s="2" t="str">
        <f>IFERROR(__xludf.DUMMYFUNCTION("""COMPUTED_VALUE"""),"Bhilwara Energy Limited")</f>
        <v>Bhilwara Energy Limited</v>
      </c>
      <c r="H74" s="2" t="str">
        <f>IFERROR(__xludf.DUMMYFUNCTION("""COMPUTED_VALUE"""),"Noida-201301, NCR-Delhi (India) Tel: 91-120-2541810, Fax: 
91-120-2531648/2531745")</f>
        <v>Noida-201301, NCR-Delhi (India) Tel: 91-120-2541810, Fax: 
91-120-2531648/2531745</v>
      </c>
      <c r="I74" s="2" t="str">
        <f>IFERROR(__xludf.DUMMYFUNCTION("""COMPUTED_VALUE"""),"28o 04' 00""")</f>
        <v>28o 04' 00"</v>
      </c>
      <c r="J74" s="2" t="str">
        <f>IFERROR(__xludf.DUMMYFUNCTION("""COMPUTED_VALUE"""),"28o 07' 00""")</f>
        <v>28o 07' 00"</v>
      </c>
      <c r="K74" s="2" t="str">
        <f>IFERROR(__xludf.DUMMYFUNCTION("""COMPUTED_VALUE"""),"85o 12' 00""")</f>
        <v>85o 12' 00"</v>
      </c>
      <c r="L74" s="2" t="str">
        <f>IFERROR(__xludf.DUMMYFUNCTION("""COMPUTED_VALUE"""),"85o 17' 02""")</f>
        <v>85o 17' 02"</v>
      </c>
      <c r="M74" s="2" t="str">
        <f>IFERROR(__xludf.DUMMYFUNCTION("""COMPUTED_VALUE"""),"(Rasuwa)")</f>
        <v>(Rasuwa)</v>
      </c>
    </row>
    <row r="75">
      <c r="A75" s="2">
        <f>IFERROR(__xludf.DUMMYFUNCTION("""COMPUTED_VALUE"""),74.0)</f>
        <v>74</v>
      </c>
      <c r="B75" s="2" t="str">
        <f>IFERROR(__xludf.DUMMYFUNCTION("""COMPUTED_VALUE"""),"Lower Hewa Khola")</f>
        <v>Lower Hewa Khola</v>
      </c>
      <c r="C75" s="2">
        <f>IFERROR(__xludf.DUMMYFUNCTION("""COMPUTED_VALUE"""),1.5)</f>
        <v>1.5</v>
      </c>
      <c r="D75" s="2" t="str">
        <f>IFERROR(__xludf.DUMMYFUNCTION("""COMPUTED_VALUE"""),"Hewa Khola")</f>
        <v>Hewa Khola</v>
      </c>
      <c r="E75" s="2"/>
      <c r="F75" s="3">
        <f>IFERROR(__xludf.DUMMYFUNCTION("""COMPUTED_VALUE"""),59927.0)</f>
        <v>59927</v>
      </c>
      <c r="G75" s="2" t="str">
        <f>IFERROR(__xludf.DUMMYFUNCTION("""COMPUTED_VALUE"""),"Maiya Kumari Nyaupane")</f>
        <v>Maiya Kumari Nyaupane</v>
      </c>
      <c r="H75" s="2"/>
      <c r="I75" s="2" t="str">
        <f>IFERROR(__xludf.DUMMYFUNCTION("""COMPUTED_VALUE"""),"27o 17' 33""")</f>
        <v>27o 17' 33"</v>
      </c>
      <c r="J75" s="2" t="str">
        <f>IFERROR(__xludf.DUMMYFUNCTION("""COMPUTED_VALUE"""),"27o 19' 12""")</f>
        <v>27o 19' 12"</v>
      </c>
      <c r="K75" s="2" t="str">
        <f>IFERROR(__xludf.DUMMYFUNCTION("""COMPUTED_VALUE"""),"87o 15' 25""")</f>
        <v>87o 15' 25"</v>
      </c>
      <c r="L75" s="2" t="str">
        <f>IFERROR(__xludf.DUMMYFUNCTION("""COMPUTED_VALUE"""),"87o 19' 00""")</f>
        <v>87o 19' 00"</v>
      </c>
      <c r="M75" s="2" t="str">
        <f>IFERROR(__xludf.DUMMYFUNCTION("""COMPUTED_VALUE"""),"(Sankhuwasabha)")</f>
        <v>(Sankhuwasabha)</v>
      </c>
    </row>
    <row r="76">
      <c r="A76" s="2">
        <f>IFERROR(__xludf.DUMMYFUNCTION("""COMPUTED_VALUE"""),75.0)</f>
        <v>75</v>
      </c>
      <c r="B76" s="2" t="str">
        <f>IFERROR(__xludf.DUMMYFUNCTION("""COMPUTED_VALUE"""),"Milti Khola A2")</f>
        <v>Milti Khola A2</v>
      </c>
      <c r="C76" s="2">
        <f>IFERROR(__xludf.DUMMYFUNCTION("""COMPUTED_VALUE"""),0.099)</f>
        <v>0.099</v>
      </c>
      <c r="D76" s="2" t="str">
        <f>IFERROR(__xludf.DUMMYFUNCTION("""COMPUTED_VALUE"""),"Milti")</f>
        <v>Milti</v>
      </c>
      <c r="E76" s="2"/>
      <c r="F76" s="3">
        <f>IFERROR(__xludf.DUMMYFUNCTION("""COMPUTED_VALUE"""),59928.0)</f>
        <v>59928</v>
      </c>
      <c r="G76" s="2" t="str">
        <f>IFERROR(__xludf.DUMMYFUNCTION("""COMPUTED_VALUE"""),"Ram Bahadur Tamang")</f>
        <v>Ram Bahadur Tamang</v>
      </c>
      <c r="H76" s="2"/>
      <c r="I76" s="2" t="str">
        <f>IFERROR(__xludf.DUMMYFUNCTION("""COMPUTED_VALUE"""),"27o 29' 47""")</f>
        <v>27o 29' 47"</v>
      </c>
      <c r="J76" s="2" t="str">
        <f>IFERROR(__xludf.DUMMYFUNCTION("""COMPUTED_VALUE"""),"27o 30' 02""")</f>
        <v>27o 30' 02"</v>
      </c>
      <c r="K76" s="2" t="str">
        <f>IFERROR(__xludf.DUMMYFUNCTION("""COMPUTED_VALUE"""),"86o 02' 26""")</f>
        <v>86o 02' 26"</v>
      </c>
      <c r="L76" s="2" t="str">
        <f>IFERROR(__xludf.DUMMYFUNCTION("""COMPUTED_VALUE"""),"86o 05' 00""")</f>
        <v>86o 05' 00"</v>
      </c>
      <c r="M76" s="2" t="str">
        <f>IFERROR(__xludf.DUMMYFUNCTION("""COMPUTED_VALUE"""),"(Ramechhap)")</f>
        <v>(Ramechhap)</v>
      </c>
    </row>
    <row r="77">
      <c r="A77" s="2">
        <f>IFERROR(__xludf.DUMMYFUNCTION("""COMPUTED_VALUE"""),76.0)</f>
        <v>76</v>
      </c>
      <c r="B77" s="2" t="str">
        <f>IFERROR(__xludf.DUMMYFUNCTION("""COMPUTED_VALUE"""),"Khani Khola")</f>
        <v>Khani Khola</v>
      </c>
      <c r="C77" s="2">
        <f>IFERROR(__xludf.DUMMYFUNCTION("""COMPUTED_VALUE"""),3.5)</f>
        <v>3.5</v>
      </c>
      <c r="D77" s="2" t="str">
        <f>IFERROR(__xludf.DUMMYFUNCTION("""COMPUTED_VALUE"""),"Khani Khola")</f>
        <v>Khani Khola</v>
      </c>
      <c r="E77" s="2"/>
      <c r="F77" s="3">
        <f>IFERROR(__xludf.DUMMYFUNCTION("""COMPUTED_VALUE"""),59928.0)</f>
        <v>59928</v>
      </c>
      <c r="G77" s="2" t="str">
        <f>IFERROR(__xludf.DUMMYFUNCTION("""COMPUTED_VALUE"""),"Kopila Kunwar")</f>
        <v>Kopila Kunwar</v>
      </c>
      <c r="H77" s="2"/>
      <c r="I77" s="2" t="str">
        <f>IFERROR(__xludf.DUMMYFUNCTION("""COMPUTED_VALUE"""),"27o 46' 24""")</f>
        <v>27o 46' 24"</v>
      </c>
      <c r="J77" s="2" t="str">
        <f>IFERROR(__xludf.DUMMYFUNCTION("""COMPUTED_VALUE"""),"27o 50' 00""")</f>
        <v>27o 50' 00"</v>
      </c>
      <c r="K77" s="2" t="str">
        <f>IFERROR(__xludf.DUMMYFUNCTION("""COMPUTED_VALUE"""),"86o 17' 24""")</f>
        <v>86o 17' 24"</v>
      </c>
      <c r="L77" s="2" t="str">
        <f>IFERROR(__xludf.DUMMYFUNCTION("""COMPUTED_VALUE"""),"86o 21' 40""")</f>
        <v>86o 21' 40"</v>
      </c>
      <c r="M77" s="2" t="str">
        <f>IFERROR(__xludf.DUMMYFUNCTION("""COMPUTED_VALUE"""),"(Dolakha)")</f>
        <v>(Dolakha)</v>
      </c>
    </row>
    <row r="78">
      <c r="A78" s="2">
        <f>IFERROR(__xludf.DUMMYFUNCTION("""COMPUTED_VALUE"""),77.0)</f>
        <v>77</v>
      </c>
      <c r="B78" s="2" t="str">
        <f>IFERROR(__xludf.DUMMYFUNCTION("""COMPUTED_VALUE"""),"Chameliya")</f>
        <v>Chameliya</v>
      </c>
      <c r="C78" s="2">
        <f>IFERROR(__xludf.DUMMYFUNCTION("""COMPUTED_VALUE"""),40.0)</f>
        <v>40</v>
      </c>
      <c r="D78" s="2" t="str">
        <f>IFERROR(__xludf.DUMMYFUNCTION("""COMPUTED_VALUE"""),"Chameliya Khola")</f>
        <v>Chameliya Khola</v>
      </c>
      <c r="E78" s="2">
        <f>IFERROR(__xludf.DUMMYFUNCTION("""COMPUTED_VALUE"""),4425.0)</f>
        <v>4425</v>
      </c>
      <c r="F78" s="3">
        <f>IFERROR(__xludf.DUMMYFUNCTION("""COMPUTED_VALUE"""),59928.0)</f>
        <v>59928</v>
      </c>
      <c r="G78" s="2" t="str">
        <f>IFERROR(__xludf.DUMMYFUNCTION("""COMPUTED_VALUE"""),"Tripura Energy Nepal P Ltd")</f>
        <v>Tripura Energy Nepal P Ltd</v>
      </c>
      <c r="H78" s="2"/>
      <c r="I78" s="2" t="str">
        <f>IFERROR(__xludf.DUMMYFUNCTION("""COMPUTED_VALUE"""),"29o 43' 30""")</f>
        <v>29o 43' 30"</v>
      </c>
      <c r="J78" s="2" t="str">
        <f>IFERROR(__xludf.DUMMYFUNCTION("""COMPUTED_VALUE"""),"29o 47' 16""")</f>
        <v>29o 47' 16"</v>
      </c>
      <c r="K78" s="2" t="str">
        <f>IFERROR(__xludf.DUMMYFUNCTION("""COMPUTED_VALUE"""),"80o 43' 34""")</f>
        <v>80o 43' 34"</v>
      </c>
      <c r="L78" s="2" t="str">
        <f>IFERROR(__xludf.DUMMYFUNCTION("""COMPUTED_VALUE"""),"80o 50' 00""")</f>
        <v>80o 50' 00"</v>
      </c>
      <c r="M78" s="2" t="str">
        <f>IFERROR(__xludf.DUMMYFUNCTION("""COMPUTED_VALUE"""),"(Darchula)")</f>
        <v>(Darchula)</v>
      </c>
    </row>
    <row r="79">
      <c r="A79" s="2">
        <f>IFERROR(__xludf.DUMMYFUNCTION("""COMPUTED_VALUE"""),78.0)</f>
        <v>78</v>
      </c>
      <c r="B79" s="2" t="str">
        <f>IFERROR(__xludf.DUMMYFUNCTION("""COMPUTED_VALUE"""),"Seti ( SR3)")</f>
        <v>Seti ( SR3)</v>
      </c>
      <c r="C79" s="2">
        <f>IFERROR(__xludf.DUMMYFUNCTION("""COMPUTED_VALUE"""),100.0)</f>
        <v>100</v>
      </c>
      <c r="D79" s="2" t="str">
        <f>IFERROR(__xludf.DUMMYFUNCTION("""COMPUTED_VALUE"""),"West Seti")</f>
        <v>West Seti</v>
      </c>
      <c r="E79" s="2"/>
      <c r="F79" s="3">
        <f>IFERROR(__xludf.DUMMYFUNCTION("""COMPUTED_VALUE"""),59929.0)</f>
        <v>59929</v>
      </c>
      <c r="G79" s="2" t="str">
        <f>IFERROR(__xludf.DUMMYFUNCTION("""COMPUTED_VALUE"""),"Bhilwara Energy limited")</f>
        <v>Bhilwara Energy limited</v>
      </c>
      <c r="H79" s="2"/>
      <c r="I79" s="2" t="str">
        <f>IFERROR(__xludf.DUMMYFUNCTION("""COMPUTED_VALUE"""),"29o 29' 45""")</f>
        <v>29o 29' 45"</v>
      </c>
      <c r="J79" s="2" t="str">
        <f>IFERROR(__xludf.DUMMYFUNCTION("""COMPUTED_VALUE"""),"29o 33' 11""")</f>
        <v>29o 33' 11"</v>
      </c>
      <c r="K79" s="2" t="str">
        <f>IFERROR(__xludf.DUMMYFUNCTION("""COMPUTED_VALUE"""),"81o 06' 14""")</f>
        <v>81o 06' 14"</v>
      </c>
      <c r="L79" s="2" t="str">
        <f>IFERROR(__xludf.DUMMYFUNCTION("""COMPUTED_VALUE"""),"81o 12' 46""")</f>
        <v>81o 12' 46"</v>
      </c>
      <c r="M79" s="2" t="str">
        <f>IFERROR(__xludf.DUMMYFUNCTION("""COMPUTED_VALUE"""),"(Bajhang)")</f>
        <v>(Bajhang)</v>
      </c>
    </row>
    <row r="80">
      <c r="A80" s="2">
        <f>IFERROR(__xludf.DUMMYFUNCTION("""COMPUTED_VALUE"""),79.0)</f>
        <v>79</v>
      </c>
      <c r="B80" s="2" t="str">
        <f>IFERROR(__xludf.DUMMYFUNCTION("""COMPUTED_VALUE"""),"Modi-Kusma")</f>
        <v>Modi-Kusma</v>
      </c>
      <c r="C80" s="2">
        <f>IFERROR(__xludf.DUMMYFUNCTION("""COMPUTED_VALUE"""),10.0)</f>
        <v>10</v>
      </c>
      <c r="D80" s="2" t="str">
        <f>IFERROR(__xludf.DUMMYFUNCTION("""COMPUTED_VALUE"""),"Modi Khola")</f>
        <v>Modi Khola</v>
      </c>
      <c r="E80" s="2"/>
      <c r="F80" s="3">
        <f>IFERROR(__xludf.DUMMYFUNCTION("""COMPUTED_VALUE"""),59932.0)</f>
        <v>59932</v>
      </c>
      <c r="G80" s="2" t="str">
        <f>IFERROR(__xludf.DUMMYFUNCTION("""COMPUTED_VALUE"""),"Amar Deep Hydropower P Ltd")</f>
        <v>Amar Deep Hydropower P Ltd</v>
      </c>
      <c r="H80" s="2"/>
      <c r="I80" s="2" t="str">
        <f>IFERROR(__xludf.DUMMYFUNCTION("""COMPUTED_VALUE"""),"00o 00' 00""")</f>
        <v>00o 00' 00"</v>
      </c>
      <c r="J80" s="2" t="str">
        <f>IFERROR(__xludf.DUMMYFUNCTION("""COMPUTED_VALUE"""),"00o 00' 00""")</f>
        <v>00o 00' 00"</v>
      </c>
      <c r="K80" s="2" t="str">
        <f>IFERROR(__xludf.DUMMYFUNCTION("""COMPUTED_VALUE"""),"00o 00' 00""")</f>
        <v>00o 00' 00"</v>
      </c>
      <c r="L80" s="2" t="str">
        <f>IFERROR(__xludf.DUMMYFUNCTION("""COMPUTED_VALUE"""),"00o 00' 00""")</f>
        <v>00o 00' 00"</v>
      </c>
      <c r="M80" s="2" t="str">
        <f>IFERROR(__xludf.DUMMYFUNCTION("""COMPUTED_VALUE"""),"(Parbat)")</f>
        <v>(Parbat)</v>
      </c>
    </row>
    <row r="81">
      <c r="A81" s="2">
        <f>IFERROR(__xludf.DUMMYFUNCTION("""COMPUTED_VALUE"""),80.0)</f>
        <v>80</v>
      </c>
      <c r="B81" s="2" t="str">
        <f>IFERROR(__xludf.DUMMYFUNCTION("""COMPUTED_VALUE"""),"Thuli Gad")</f>
        <v>Thuli Gad</v>
      </c>
      <c r="C81" s="2">
        <f>IFERROR(__xludf.DUMMYFUNCTION("""COMPUTED_VALUE"""),6.4)</f>
        <v>6.4</v>
      </c>
      <c r="D81" s="2" t="str">
        <f>IFERROR(__xludf.DUMMYFUNCTION("""COMPUTED_VALUE"""),"Thuli gad")</f>
        <v>Thuli gad</v>
      </c>
      <c r="E81" s="2"/>
      <c r="F81" s="3">
        <f>IFERROR(__xludf.DUMMYFUNCTION("""COMPUTED_VALUE"""),59934.0)</f>
        <v>59934</v>
      </c>
      <c r="G81" s="2" t="str">
        <f>IFERROR(__xludf.DUMMYFUNCTION("""COMPUTED_VALUE"""),"Sipika Pandey")</f>
        <v>Sipika Pandey</v>
      </c>
      <c r="H81" s="2"/>
      <c r="I81" s="2" t="str">
        <f>IFERROR(__xludf.DUMMYFUNCTION("""COMPUTED_VALUE"""),"00o 00' 00""")</f>
        <v>00o 00' 00"</v>
      </c>
      <c r="J81" s="2" t="str">
        <f>IFERROR(__xludf.DUMMYFUNCTION("""COMPUTED_VALUE"""),"00o 00' 00""")</f>
        <v>00o 00' 00"</v>
      </c>
      <c r="K81" s="2" t="str">
        <f>IFERROR(__xludf.DUMMYFUNCTION("""COMPUTED_VALUE"""),"00o 00' 00""")</f>
        <v>00o 00' 00"</v>
      </c>
      <c r="L81" s="2" t="str">
        <f>IFERROR(__xludf.DUMMYFUNCTION("""COMPUTED_VALUE"""),"00o 00' 00""")</f>
        <v>00o 00' 00"</v>
      </c>
      <c r="M81" s="2" t="str">
        <f>IFERROR(__xludf.DUMMYFUNCTION("""COMPUTED_VALUE"""),"(Doti)")</f>
        <v>(Doti)</v>
      </c>
    </row>
    <row r="82">
      <c r="A82" s="2">
        <f>IFERROR(__xludf.DUMMYFUNCTION("""COMPUTED_VALUE"""),81.0)</f>
        <v>81</v>
      </c>
      <c r="B82" s="2" t="str">
        <f>IFERROR(__xludf.DUMMYFUNCTION("""COMPUTED_VALUE"""),"Thuli gad")</f>
        <v>Thuli gad</v>
      </c>
      <c r="C82" s="2">
        <f>IFERROR(__xludf.DUMMYFUNCTION("""COMPUTED_VALUE"""),5.0)</f>
        <v>5</v>
      </c>
      <c r="D82" s="2" t="str">
        <f>IFERROR(__xludf.DUMMYFUNCTION("""COMPUTED_VALUE"""),"Thuli gad")</f>
        <v>Thuli gad</v>
      </c>
      <c r="E82" s="2"/>
      <c r="F82" s="3">
        <f>IFERROR(__xludf.DUMMYFUNCTION("""COMPUTED_VALUE"""),59934.0)</f>
        <v>59934</v>
      </c>
      <c r="G82" s="2" t="str">
        <f>IFERROR(__xludf.DUMMYFUNCTION("""COMPUTED_VALUE"""),"Annapurna Power (P.) Ltd.")</f>
        <v>Annapurna Power (P.) Ltd.</v>
      </c>
      <c r="H82" s="2"/>
      <c r="I82" s="2" t="str">
        <f>IFERROR(__xludf.DUMMYFUNCTION("""COMPUTED_VALUE"""),"29o 00' 00""")</f>
        <v>29o 00' 00"</v>
      </c>
      <c r="J82" s="2" t="str">
        <f>IFERROR(__xludf.DUMMYFUNCTION("""COMPUTED_VALUE"""),"29o 07' 30""")</f>
        <v>29o 07' 30"</v>
      </c>
      <c r="K82" s="2" t="str">
        <f>IFERROR(__xludf.DUMMYFUNCTION("""COMPUTED_VALUE"""),"80o 37' 30""")</f>
        <v>80o 37' 30"</v>
      </c>
      <c r="L82" s="2" t="str">
        <f>IFERROR(__xludf.DUMMYFUNCTION("""COMPUTED_VALUE"""),"80o 42' 30""")</f>
        <v>80o 42' 30"</v>
      </c>
      <c r="M82" s="2" t="str">
        <f>IFERROR(__xludf.DUMMYFUNCTION("""COMPUTED_VALUE"""),"(Doti)")</f>
        <v>(Doti)</v>
      </c>
    </row>
    <row r="83">
      <c r="A83" s="2">
        <f>IFERROR(__xludf.DUMMYFUNCTION("""COMPUTED_VALUE"""),82.0)</f>
        <v>82</v>
      </c>
      <c r="B83" s="2" t="str">
        <f>IFERROR(__xludf.DUMMYFUNCTION("""COMPUTED_VALUE"""),"Karnali-4")</f>
        <v>Karnali-4</v>
      </c>
      <c r="C83" s="2">
        <f>IFERROR(__xludf.DUMMYFUNCTION("""COMPUTED_VALUE"""),166.0)</f>
        <v>166</v>
      </c>
      <c r="D83" s="2" t="str">
        <f>IFERROR(__xludf.DUMMYFUNCTION("""COMPUTED_VALUE"""),"Karnali")</f>
        <v>Karnali</v>
      </c>
      <c r="E83" s="2"/>
      <c r="F83" s="3">
        <f>IFERROR(__xludf.DUMMYFUNCTION("""COMPUTED_VALUE"""),59938.0)</f>
        <v>59938</v>
      </c>
      <c r="G83" s="2" t="str">
        <f>IFERROR(__xludf.DUMMYFUNCTION("""COMPUTED_VALUE"""),"Bhilwara Energy Limited")</f>
        <v>Bhilwara Energy Limited</v>
      </c>
      <c r="H83" s="2" t="str">
        <f>IFERROR(__xludf.DUMMYFUNCTION("""COMPUTED_VALUE"""),"Noida-201301, NCR-Delhi (India) Tel: 91-120-2541810, Fax: 
91-120-2531648/2531745")</f>
        <v>Noida-201301, NCR-Delhi (India) Tel: 91-120-2541810, Fax: 
91-120-2531648/2531745</v>
      </c>
      <c r="I83" s="2" t="str">
        <f>IFERROR(__xludf.DUMMYFUNCTION("""COMPUTED_VALUE"""),"29o 34' 00""")</f>
        <v>29o 34' 00"</v>
      </c>
      <c r="J83" s="2" t="str">
        <f>IFERROR(__xludf.DUMMYFUNCTION("""COMPUTED_VALUE"""),"29o 38' 00""")</f>
        <v>29o 38' 00"</v>
      </c>
      <c r="K83" s="2" t="str">
        <f>IFERROR(__xludf.DUMMYFUNCTION("""COMPUTED_VALUE"""),"81o 47' 00""")</f>
        <v>81o 47' 00"</v>
      </c>
      <c r="L83" s="2" t="str">
        <f>IFERROR(__xludf.DUMMYFUNCTION("""COMPUTED_VALUE"""),"81o 50' 00""")</f>
        <v>81o 50' 00"</v>
      </c>
      <c r="M83" s="2" t="str">
        <f>IFERROR(__xludf.DUMMYFUNCTION("""COMPUTED_VALUE"""),"(Humla)")</f>
        <v>(Humla)</v>
      </c>
    </row>
    <row r="84">
      <c r="A84" s="2">
        <f>IFERROR(__xludf.DUMMYFUNCTION("""COMPUTED_VALUE"""),83.0)</f>
        <v>83</v>
      </c>
      <c r="B84" s="2" t="str">
        <f>IFERROR(__xludf.DUMMYFUNCTION("""COMPUTED_VALUE"""),"Tauthali Khola")</f>
        <v>Tauthali Khola</v>
      </c>
      <c r="C84" s="2">
        <f>IFERROR(__xludf.DUMMYFUNCTION("""COMPUTED_VALUE"""),0.55)</f>
        <v>0.55</v>
      </c>
      <c r="D84" s="2" t="str">
        <f>IFERROR(__xludf.DUMMYFUNCTION("""COMPUTED_VALUE"""),"Tauthali")</f>
        <v>Tauthali</v>
      </c>
      <c r="E84" s="2"/>
      <c r="F84" s="3">
        <f>IFERROR(__xludf.DUMMYFUNCTION("""COMPUTED_VALUE"""),59941.0)</f>
        <v>59941</v>
      </c>
      <c r="G84" s="2" t="str">
        <f>IFERROR(__xludf.DUMMYFUNCTION("""COMPUTED_VALUE"""),"Devendra Upreti")</f>
        <v>Devendra Upreti</v>
      </c>
      <c r="H84" s="2"/>
      <c r="I84" s="2" t="str">
        <f>IFERROR(__xludf.DUMMYFUNCTION("""COMPUTED_VALUE"""),"27o 43' 13""")</f>
        <v>27o 43' 13"</v>
      </c>
      <c r="J84" s="2" t="str">
        <f>IFERROR(__xludf.DUMMYFUNCTION("""COMPUTED_VALUE"""),"27o 45' 15""")</f>
        <v>27o 45' 15"</v>
      </c>
      <c r="K84" s="2" t="str">
        <f>IFERROR(__xludf.DUMMYFUNCTION("""COMPUTED_VALUE"""),"85o 51' 10""")</f>
        <v>85o 51' 10"</v>
      </c>
      <c r="L84" s="2" t="str">
        <f>IFERROR(__xludf.DUMMYFUNCTION("""COMPUTED_VALUE"""),"85o 53' 40""")</f>
        <v>85o 53' 40"</v>
      </c>
      <c r="M84" s="2" t="str">
        <f>IFERROR(__xludf.DUMMYFUNCTION("""COMPUTED_VALUE"""),"(Sindhupalchok)")</f>
        <v>(Sindhupalchok)</v>
      </c>
    </row>
    <row r="85">
      <c r="A85" s="2">
        <f>IFERROR(__xludf.DUMMYFUNCTION("""COMPUTED_VALUE"""),84.0)</f>
        <v>84</v>
      </c>
      <c r="B85" s="2" t="str">
        <f>IFERROR(__xludf.DUMMYFUNCTION("""COMPUTED_VALUE"""),"Ruru Banchu")</f>
        <v>Ruru Banchu</v>
      </c>
      <c r="C85" s="2">
        <f>IFERROR(__xludf.DUMMYFUNCTION("""COMPUTED_VALUE"""),6.0)</f>
        <v>6</v>
      </c>
      <c r="D85" s="2" t="str">
        <f>IFERROR(__xludf.DUMMYFUNCTION("""COMPUTED_VALUE"""),"Rurubanchu Khola")</f>
        <v>Rurubanchu Khola</v>
      </c>
      <c r="E85" s="2"/>
      <c r="F85" s="3">
        <f>IFERROR(__xludf.DUMMYFUNCTION("""COMPUTED_VALUE"""),59946.0)</f>
        <v>59946</v>
      </c>
      <c r="G85" s="2" t="str">
        <f>IFERROR(__xludf.DUMMYFUNCTION("""COMPUTED_VALUE"""),"Raju Gauchan")</f>
        <v>Raju Gauchan</v>
      </c>
      <c r="H85" s="2"/>
      <c r="I85" s="2" t="str">
        <f>IFERROR(__xludf.DUMMYFUNCTION("""COMPUTED_VALUE"""),"29o 05' 00""")</f>
        <v>29o 05' 00"</v>
      </c>
      <c r="J85" s="2" t="str">
        <f>IFERROR(__xludf.DUMMYFUNCTION("""COMPUTED_VALUE"""),"29o 06' 42""")</f>
        <v>29o 06' 42"</v>
      </c>
      <c r="K85" s="2" t="str">
        <f>IFERROR(__xludf.DUMMYFUNCTION("""COMPUTED_VALUE"""),"81o 45' 00""")</f>
        <v>81o 45' 00"</v>
      </c>
      <c r="L85" s="2" t="str">
        <f>IFERROR(__xludf.DUMMYFUNCTION("""COMPUTED_VALUE"""),"81o 48' 38""")</f>
        <v>81o 48' 38"</v>
      </c>
      <c r="M85" s="2" t="str">
        <f>IFERROR(__xludf.DUMMYFUNCTION("""COMPUTED_VALUE"""),"(Kalikot)")</f>
        <v>(Kalikot)</v>
      </c>
    </row>
    <row r="86">
      <c r="A86" s="2">
        <f>IFERROR(__xludf.DUMMYFUNCTION("""COMPUTED_VALUE"""),85.0)</f>
        <v>85</v>
      </c>
      <c r="B86" s="2" t="str">
        <f>IFERROR(__xludf.DUMMYFUNCTION("""COMPUTED_VALUE"""),"Karnali Gutu (KR-7)")</f>
        <v>Karnali Gutu (KR-7)</v>
      </c>
      <c r="C86" s="2">
        <f>IFERROR(__xludf.DUMMYFUNCTION("""COMPUTED_VALUE"""),184.0)</f>
        <v>184</v>
      </c>
      <c r="D86" s="2" t="str">
        <f>IFERROR(__xludf.DUMMYFUNCTION("""COMPUTED_VALUE"""),"Karnali")</f>
        <v>Karnali</v>
      </c>
      <c r="E86" s="2"/>
      <c r="F86" s="3">
        <f>IFERROR(__xludf.DUMMYFUNCTION("""COMPUTED_VALUE"""),59946.0)</f>
        <v>59946</v>
      </c>
      <c r="G86" s="2" t="str">
        <f>IFERROR(__xludf.DUMMYFUNCTION("""COMPUTED_VALUE"""),"GMR Energy Ltd")</f>
        <v>GMR Energy Ltd</v>
      </c>
      <c r="H86" s="2"/>
      <c r="I86" s="2" t="str">
        <f>IFERROR(__xludf.DUMMYFUNCTION("""COMPUTED_VALUE"""),"00o 00' 00""")</f>
        <v>00o 00' 00"</v>
      </c>
      <c r="J86" s="2" t="str">
        <f>IFERROR(__xludf.DUMMYFUNCTION("""COMPUTED_VALUE"""),"00o 00' 00""")</f>
        <v>00o 00' 00"</v>
      </c>
      <c r="K86" s="2" t="str">
        <f>IFERROR(__xludf.DUMMYFUNCTION("""COMPUTED_VALUE"""),"00o 00' 00""")</f>
        <v>00o 00' 00"</v>
      </c>
      <c r="L86" s="2" t="str">
        <f>IFERROR(__xludf.DUMMYFUNCTION("""COMPUTED_VALUE"""),"00o 00' 00""")</f>
        <v>00o 00' 00"</v>
      </c>
      <c r="M86" s="2" t="str">
        <f>IFERROR(__xludf.DUMMYFUNCTION("""COMPUTED_VALUE"""),"(Dailekh)")</f>
        <v>(Dailekh)</v>
      </c>
    </row>
    <row r="87">
      <c r="A87" s="2">
        <f>IFERROR(__xludf.DUMMYFUNCTION("""COMPUTED_VALUE"""),86.0)</f>
        <v>86</v>
      </c>
      <c r="B87" s="2" t="str">
        <f>IFERROR(__xludf.DUMMYFUNCTION("""COMPUTED_VALUE"""),"Ruru Banchu")</f>
        <v>Ruru Banchu</v>
      </c>
      <c r="C87" s="2">
        <f>IFERROR(__xludf.DUMMYFUNCTION("""COMPUTED_VALUE"""),16.0)</f>
        <v>16</v>
      </c>
      <c r="D87" s="2" t="str">
        <f>IFERROR(__xludf.DUMMYFUNCTION("""COMPUTED_VALUE"""),"Ruru")</f>
        <v>Ruru</v>
      </c>
      <c r="E87" s="2"/>
      <c r="F87" s="3">
        <f>IFERROR(__xludf.DUMMYFUNCTION("""COMPUTED_VALUE"""),59946.0)</f>
        <v>59946</v>
      </c>
      <c r="G87" s="2" t="str">
        <f>IFERROR(__xludf.DUMMYFUNCTION("""COMPUTED_VALUE"""),"Him Urja P Ltd")</f>
        <v>Him Urja P Ltd</v>
      </c>
      <c r="H87" s="2"/>
      <c r="I87" s="2" t="str">
        <f>IFERROR(__xludf.DUMMYFUNCTION("""COMPUTED_VALUE"""),"29o 05' 30""")</f>
        <v>29o 05' 30"</v>
      </c>
      <c r="J87" s="2" t="str">
        <f>IFERROR(__xludf.DUMMYFUNCTION("""COMPUTED_VALUE"""),"29o 06' 33""")</f>
        <v>29o 06' 33"</v>
      </c>
      <c r="K87" s="2" t="str">
        <f>IFERROR(__xludf.DUMMYFUNCTION("""COMPUTED_VALUE"""),"80o 45' 00""")</f>
        <v>80o 45' 00"</v>
      </c>
      <c r="L87" s="2" t="str">
        <f>IFERROR(__xludf.DUMMYFUNCTION("""COMPUTED_VALUE"""),"81o 47' 30""")</f>
        <v>81o 47' 30"</v>
      </c>
      <c r="M87" s="2" t="str">
        <f>IFERROR(__xludf.DUMMYFUNCTION("""COMPUTED_VALUE"""),"(Kalikot)")</f>
        <v>(Kalikot)</v>
      </c>
    </row>
    <row r="88">
      <c r="A88" s="2">
        <f>IFERROR(__xludf.DUMMYFUNCTION("""COMPUTED_VALUE"""),87.0)</f>
        <v>87</v>
      </c>
      <c r="B88" s="2" t="str">
        <f>IFERROR(__xludf.DUMMYFUNCTION("""COMPUTED_VALUE"""),"TiLa")</f>
        <v>TiLa</v>
      </c>
      <c r="C88" s="2">
        <f>IFERROR(__xludf.DUMMYFUNCTION("""COMPUTED_VALUE"""),500.0)</f>
        <v>500</v>
      </c>
      <c r="D88" s="2" t="str">
        <f>IFERROR(__xludf.DUMMYFUNCTION("""COMPUTED_VALUE"""),"Tila")</f>
        <v>Tila</v>
      </c>
      <c r="E88" s="2"/>
      <c r="F88" s="3">
        <f>IFERROR(__xludf.DUMMYFUNCTION("""COMPUTED_VALUE"""),59946.0)</f>
        <v>59946</v>
      </c>
      <c r="G88" s="2" t="str">
        <f>IFERROR(__xludf.DUMMYFUNCTION("""COMPUTED_VALUE"""),"GMR Energy Ltd")</f>
        <v>GMR Energy Ltd</v>
      </c>
      <c r="H88" s="2"/>
      <c r="I88" s="2" t="str">
        <f>IFERROR(__xludf.DUMMYFUNCTION("""COMPUTED_VALUE"""),"29o 00' 00""")</f>
        <v>29o 00' 00"</v>
      </c>
      <c r="J88" s="2" t="str">
        <f>IFERROR(__xludf.DUMMYFUNCTION("""COMPUTED_VALUE"""),"29o 10' 00""")</f>
        <v>29o 10' 00"</v>
      </c>
      <c r="K88" s="2" t="str">
        <f>IFERROR(__xludf.DUMMYFUNCTION("""COMPUTED_VALUE"""),"81o 30' 00""")</f>
        <v>81o 30' 00"</v>
      </c>
      <c r="L88" s="2" t="str">
        <f>IFERROR(__xludf.DUMMYFUNCTION("""COMPUTED_VALUE"""),"81o 45' 00""")</f>
        <v>81o 45' 00"</v>
      </c>
      <c r="M88" s="2" t="str">
        <f>IFERROR(__xludf.DUMMYFUNCTION("""COMPUTED_VALUE"""),"(Kalikot)")</f>
        <v>(Kalikot)</v>
      </c>
    </row>
    <row r="89">
      <c r="A89" s="2">
        <f>IFERROR(__xludf.DUMMYFUNCTION("""COMPUTED_VALUE"""),88.0)</f>
        <v>88</v>
      </c>
      <c r="B89" s="2" t="str">
        <f>IFERROR(__xludf.DUMMYFUNCTION("""COMPUTED_VALUE"""),"Ruru Banchu-Upper")</f>
        <v>Ruru Banchu-Upper</v>
      </c>
      <c r="C89" s="2">
        <f>IFERROR(__xludf.DUMMYFUNCTION("""COMPUTED_VALUE"""),16.0)</f>
        <v>16</v>
      </c>
      <c r="D89" s="2" t="str">
        <f>IFERROR(__xludf.DUMMYFUNCTION("""COMPUTED_VALUE"""),"Ruru")</f>
        <v>Ruru</v>
      </c>
      <c r="E89" s="2"/>
      <c r="F89" s="3">
        <f>IFERROR(__xludf.DUMMYFUNCTION("""COMPUTED_VALUE"""),59948.0)</f>
        <v>59948</v>
      </c>
      <c r="G89" s="2" t="str">
        <f>IFERROR(__xludf.DUMMYFUNCTION("""COMPUTED_VALUE"""),"Bhuban Chand Thakuri")</f>
        <v>Bhuban Chand Thakuri</v>
      </c>
      <c r="H89" s="2"/>
      <c r="I89" s="2" t="str">
        <f>IFERROR(__xludf.DUMMYFUNCTION("""COMPUTED_VALUE"""),"29o 05' 00""")</f>
        <v>29o 05' 00"</v>
      </c>
      <c r="J89" s="2" t="str">
        <f>IFERROR(__xludf.DUMMYFUNCTION("""COMPUTED_VALUE"""),"29o 06' 40""")</f>
        <v>29o 06' 40"</v>
      </c>
      <c r="K89" s="2" t="str">
        <f>IFERROR(__xludf.DUMMYFUNCTION("""COMPUTED_VALUE"""),"81o 48' 40""")</f>
        <v>81o 48' 40"</v>
      </c>
      <c r="L89" s="2" t="str">
        <f>IFERROR(__xludf.DUMMYFUNCTION("""COMPUTED_VALUE"""),"81o 51' 41""")</f>
        <v>81o 51' 41"</v>
      </c>
      <c r="M89" s="2" t="str">
        <f>IFERROR(__xludf.DUMMYFUNCTION("""COMPUTED_VALUE"""),"(Kalikot)")</f>
        <v>(Kalikot)</v>
      </c>
    </row>
    <row r="90">
      <c r="A90" s="2">
        <f>IFERROR(__xludf.DUMMYFUNCTION("""COMPUTED_VALUE"""),89.0)</f>
        <v>89</v>
      </c>
      <c r="B90" s="2" t="str">
        <f>IFERROR(__xludf.DUMMYFUNCTION("""COMPUTED_VALUE"""),"Bhurundi Khola")</f>
        <v>Bhurundi Khola</v>
      </c>
      <c r="C90" s="2">
        <f>IFERROR(__xludf.DUMMYFUNCTION("""COMPUTED_VALUE"""),5.0)</f>
        <v>5</v>
      </c>
      <c r="D90" s="2" t="str">
        <f>IFERROR(__xludf.DUMMYFUNCTION("""COMPUTED_VALUE"""),"Bhurundi Khola")</f>
        <v>Bhurundi Khola</v>
      </c>
      <c r="E90" s="2"/>
      <c r="F90" s="3">
        <f>IFERROR(__xludf.DUMMYFUNCTION("""COMPUTED_VALUE"""),59949.0)</f>
        <v>59949</v>
      </c>
      <c r="G90" s="2" t="str">
        <f>IFERROR(__xludf.DUMMYFUNCTION("""COMPUTED_VALUE"""),"Gopi Kr Kharel")</f>
        <v>Gopi Kr Kharel</v>
      </c>
      <c r="H90" s="2"/>
      <c r="I90" s="2" t="str">
        <f>IFERROR(__xludf.DUMMYFUNCTION("""COMPUTED_VALUE"""),"28o 18' 27""")</f>
        <v>28o 18' 27"</v>
      </c>
      <c r="J90" s="2" t="str">
        <f>IFERROR(__xludf.DUMMYFUNCTION("""COMPUTED_VALUE"""),"28o 19' 32""")</f>
        <v>28o 19' 32"</v>
      </c>
      <c r="K90" s="2" t="str">
        <f>IFERROR(__xludf.DUMMYFUNCTION("""COMPUTED_VALUE"""),"83o 45' 00""")</f>
        <v>83o 45' 00"</v>
      </c>
      <c r="L90" s="2" t="str">
        <f>IFERROR(__xludf.DUMMYFUNCTION("""COMPUTED_VALUE"""),"83o 46' 32""")</f>
        <v>83o 46' 32"</v>
      </c>
      <c r="M90" s="2" t="str">
        <f>IFERROR(__xludf.DUMMYFUNCTION("""COMPUTED_VALUE"""),"(Parbat)")</f>
        <v>(Parbat)</v>
      </c>
    </row>
    <row r="91">
      <c r="A91" s="2">
        <f>IFERROR(__xludf.DUMMYFUNCTION("""COMPUTED_VALUE"""),90.0)</f>
        <v>90</v>
      </c>
      <c r="B91" s="2" t="str">
        <f>IFERROR(__xludf.DUMMYFUNCTION("""COMPUTED_VALUE"""),"Bhurundi Khola")</f>
        <v>Bhurundi Khola</v>
      </c>
      <c r="C91" s="2">
        <f>IFERROR(__xludf.DUMMYFUNCTION("""COMPUTED_VALUE"""),2.15)</f>
        <v>2.15</v>
      </c>
      <c r="D91" s="2" t="str">
        <f>IFERROR(__xludf.DUMMYFUNCTION("""COMPUTED_VALUE"""),"Bhurundi Khola")</f>
        <v>Bhurundi Khola</v>
      </c>
      <c r="E91" s="2"/>
      <c r="F91" s="3">
        <f>IFERROR(__xludf.DUMMYFUNCTION("""COMPUTED_VALUE"""),59954.0)</f>
        <v>59954</v>
      </c>
      <c r="G91" s="2" t="str">
        <f>IFERROR(__xludf.DUMMYFUNCTION("""COMPUTED_VALUE"""),"Panchase HP Co")</f>
        <v>Panchase HP Co</v>
      </c>
      <c r="H91" s="2"/>
      <c r="I91" s="2" t="str">
        <f>IFERROR(__xludf.DUMMYFUNCTION("""COMPUTED_VALUE"""),"28o 18' 10""")</f>
        <v>28o 18' 10"</v>
      </c>
      <c r="J91" s="2" t="str">
        <f>IFERROR(__xludf.DUMMYFUNCTION("""COMPUTED_VALUE"""),"28o 20' 00""")</f>
        <v>28o 20' 00"</v>
      </c>
      <c r="K91" s="2" t="str">
        <f>IFERROR(__xludf.DUMMYFUNCTION("""COMPUTED_VALUE"""),"83o 44' 41""")</f>
        <v>83o 44' 41"</v>
      </c>
      <c r="L91" s="2" t="str">
        <f>IFERROR(__xludf.DUMMYFUNCTION("""COMPUTED_VALUE"""),"83o 46' 50""")</f>
        <v>83o 46' 50"</v>
      </c>
      <c r="M91" s="2" t="str">
        <f>IFERROR(__xludf.DUMMYFUNCTION("""COMPUTED_VALUE"""),"(Parbat)")</f>
        <v>(Parbat)</v>
      </c>
    </row>
    <row r="92">
      <c r="A92" s="2">
        <f>IFERROR(__xludf.DUMMYFUNCTION("""COMPUTED_VALUE"""),91.0)</f>
        <v>91</v>
      </c>
      <c r="B92" s="2" t="str">
        <f>IFERROR(__xludf.DUMMYFUNCTION("""COMPUTED_VALUE"""),"Karmu (Ghatte) Khola")</f>
        <v>Karmu (Ghatte) Khola</v>
      </c>
      <c r="C92" s="2">
        <f>IFERROR(__xludf.DUMMYFUNCTION("""COMPUTED_VALUE"""),1.5)</f>
        <v>1.5</v>
      </c>
      <c r="D92" s="2" t="str">
        <f>IFERROR(__xludf.DUMMYFUNCTION("""COMPUTED_VALUE"""),"Karmu (Ghatte)")</f>
        <v>Karmu (Ghatte)</v>
      </c>
      <c r="E92" s="2"/>
      <c r="F92" s="3">
        <f>IFERROR(__xludf.DUMMYFUNCTION("""COMPUTED_VALUE"""),59954.0)</f>
        <v>59954</v>
      </c>
      <c r="G92" s="2" t="str">
        <f>IFERROR(__xludf.DUMMYFUNCTION("""COMPUTED_VALUE"""),"Garishankar Kharekhola Hydropower")</f>
        <v>Garishankar Kharekhola Hydropower</v>
      </c>
      <c r="H92" s="2"/>
      <c r="I92" s="2" t="str">
        <f>IFERROR(__xludf.DUMMYFUNCTION("""COMPUTED_VALUE"""),"27o 46' 26""")</f>
        <v>27o 46' 26"</v>
      </c>
      <c r="J92" s="2" t="str">
        <f>IFERROR(__xludf.DUMMYFUNCTION("""COMPUTED_VALUE"""),"27o 47' 32""")</f>
        <v>27o 47' 32"</v>
      </c>
      <c r="K92" s="2" t="str">
        <f>IFERROR(__xludf.DUMMYFUNCTION("""COMPUTED_VALUE"""),"86o 17' 24""")</f>
        <v>86o 17' 24"</v>
      </c>
      <c r="L92" s="2" t="str">
        <f>IFERROR(__xludf.DUMMYFUNCTION("""COMPUTED_VALUE"""),"86o 18' 38""")</f>
        <v>86o 18' 38"</v>
      </c>
      <c r="M92" s="2" t="str">
        <f>IFERROR(__xludf.DUMMYFUNCTION("""COMPUTED_VALUE"""),"(Dolakha)")</f>
        <v>(Dolakha)</v>
      </c>
    </row>
    <row r="93">
      <c r="A93" s="2">
        <f>IFERROR(__xludf.DUMMYFUNCTION("""COMPUTED_VALUE"""),92.0)</f>
        <v>92</v>
      </c>
      <c r="B93" s="2" t="str">
        <f>IFERROR(__xludf.DUMMYFUNCTION("""COMPUTED_VALUE"""),"Rati Khola")</f>
        <v>Rati Khola</v>
      </c>
      <c r="C93" s="2">
        <f>IFERROR(__xludf.DUMMYFUNCTION("""COMPUTED_VALUE"""),1.1)</f>
        <v>1.1</v>
      </c>
      <c r="D93" s="2" t="str">
        <f>IFERROR(__xludf.DUMMYFUNCTION("""COMPUTED_VALUE"""),"Rati")</f>
        <v>Rati</v>
      </c>
      <c r="E93" s="2"/>
      <c r="F93" s="3">
        <f>IFERROR(__xludf.DUMMYFUNCTION("""COMPUTED_VALUE"""),59954.0)</f>
        <v>59954</v>
      </c>
      <c r="G93" s="2" t="str">
        <f>IFERROR(__xludf.DUMMYFUNCTION("""COMPUTED_VALUE"""),"Parbat HP Co")</f>
        <v>Parbat HP Co</v>
      </c>
      <c r="H93" s="2"/>
      <c r="I93" s="2" t="str">
        <f>IFERROR(__xludf.DUMMYFUNCTION("""COMPUTED_VALUE"""),"00o 00' 00""")</f>
        <v>00o 00' 00"</v>
      </c>
      <c r="J93" s="2" t="str">
        <f>IFERROR(__xludf.DUMMYFUNCTION("""COMPUTED_VALUE"""),"00o 00' 00""")</f>
        <v>00o 00' 00"</v>
      </c>
      <c r="K93" s="2" t="str">
        <f>IFERROR(__xludf.DUMMYFUNCTION("""COMPUTED_VALUE"""),"00o 00' 00""")</f>
        <v>00o 00' 00"</v>
      </c>
      <c r="L93" s="2" t="str">
        <f>IFERROR(__xludf.DUMMYFUNCTION("""COMPUTED_VALUE"""),"00o 00' 00""")</f>
        <v>00o 00' 00"</v>
      </c>
      <c r="M93" s="2" t="str">
        <f>IFERROR(__xludf.DUMMYFUNCTION("""COMPUTED_VALUE"""),"(Kaski)")</f>
        <v>(Kaski)</v>
      </c>
    </row>
    <row r="94">
      <c r="A94" s="2">
        <f>IFERROR(__xludf.DUMMYFUNCTION("""COMPUTED_VALUE"""),93.0)</f>
        <v>93</v>
      </c>
      <c r="B94" s="2" t="str">
        <f>IFERROR(__xludf.DUMMYFUNCTION("""COMPUTED_VALUE"""),"Middle Naugad")</f>
        <v>Middle Naugad</v>
      </c>
      <c r="C94" s="2">
        <f>IFERROR(__xludf.DUMMYFUNCTION("""COMPUTED_VALUE"""),4.3)</f>
        <v>4.3</v>
      </c>
      <c r="D94" s="2" t="str">
        <f>IFERROR(__xludf.DUMMYFUNCTION("""COMPUTED_VALUE"""),"Naugad")</f>
        <v>Naugad</v>
      </c>
      <c r="E94" s="2"/>
      <c r="F94" s="3">
        <f>IFERROR(__xludf.DUMMYFUNCTION("""COMPUTED_VALUE"""),59954.0)</f>
        <v>59954</v>
      </c>
      <c r="G94" s="2" t="str">
        <f>IFERROR(__xludf.DUMMYFUNCTION("""COMPUTED_VALUE"""),"Sarda Power Company")</f>
        <v>Sarda Power Company</v>
      </c>
      <c r="H94" s="2"/>
      <c r="I94" s="2" t="str">
        <f>IFERROR(__xludf.DUMMYFUNCTION("""COMPUTED_VALUE"""),"29o 43' 27""")</f>
        <v>29o 43' 27"</v>
      </c>
      <c r="J94" s="2" t="str">
        <f>IFERROR(__xludf.DUMMYFUNCTION("""COMPUTED_VALUE"""),"29o 44' 31""")</f>
        <v>29o 44' 31"</v>
      </c>
      <c r="K94" s="2" t="str">
        <f>IFERROR(__xludf.DUMMYFUNCTION("""COMPUTED_VALUE"""),"80o 36' 25""")</f>
        <v>80o 36' 25"</v>
      </c>
      <c r="L94" s="2" t="str">
        <f>IFERROR(__xludf.DUMMYFUNCTION("""COMPUTED_VALUE"""),"80o 39' 31""")</f>
        <v>80o 39' 31"</v>
      </c>
      <c r="M94" s="2" t="str">
        <f>IFERROR(__xludf.DUMMYFUNCTION("""COMPUTED_VALUE"""),"(Darchula)")</f>
        <v>(Darchula)</v>
      </c>
    </row>
    <row r="95">
      <c r="A95" s="2">
        <f>IFERROR(__xludf.DUMMYFUNCTION("""COMPUTED_VALUE"""),94.0)</f>
        <v>94</v>
      </c>
      <c r="B95" s="2" t="str">
        <f>IFERROR(__xludf.DUMMYFUNCTION("""COMPUTED_VALUE"""),"Nyadi")</f>
        <v>Nyadi</v>
      </c>
      <c r="C95" s="2">
        <f>IFERROR(__xludf.DUMMYFUNCTION("""COMPUTED_VALUE"""),7.1)</f>
        <v>7.1</v>
      </c>
      <c r="D95" s="2" t="str">
        <f>IFERROR(__xludf.DUMMYFUNCTION("""COMPUTED_VALUE"""),"Nyadi")</f>
        <v>Nyadi</v>
      </c>
      <c r="E95" s="2"/>
      <c r="F95" s="3">
        <f>IFERROR(__xludf.DUMMYFUNCTION("""COMPUTED_VALUE"""),59955.0)</f>
        <v>59955</v>
      </c>
      <c r="G95" s="2" t="str">
        <f>IFERROR(__xludf.DUMMYFUNCTION("""COMPUTED_VALUE"""),"Independent Power Company (Nepal) P Ltd")</f>
        <v>Independent Power Company (Nepal) P Ltd</v>
      </c>
      <c r="H95" s="2"/>
      <c r="I95" s="2" t="str">
        <f>IFERROR(__xludf.DUMMYFUNCTION("""COMPUTED_VALUE"""),"00o 00' 00""")</f>
        <v>00o 00' 00"</v>
      </c>
      <c r="J95" s="2" t="str">
        <f>IFERROR(__xludf.DUMMYFUNCTION("""COMPUTED_VALUE"""),"00o 00' 00""")</f>
        <v>00o 00' 00"</v>
      </c>
      <c r="K95" s="2" t="str">
        <f>IFERROR(__xludf.DUMMYFUNCTION("""COMPUTED_VALUE"""),"00o 00' 00""")</f>
        <v>00o 00' 00"</v>
      </c>
      <c r="L95" s="2" t="str">
        <f>IFERROR(__xludf.DUMMYFUNCTION("""COMPUTED_VALUE"""),"00o 00' 00""")</f>
        <v>00o 00' 00"</v>
      </c>
      <c r="M95" s="2" t="str">
        <f>IFERROR(__xludf.DUMMYFUNCTION("""COMPUTED_VALUE"""),"(Lamjung)")</f>
        <v>(Lamjung)</v>
      </c>
    </row>
    <row r="96">
      <c r="A96" s="2">
        <f>IFERROR(__xludf.DUMMYFUNCTION("""COMPUTED_VALUE"""),95.0)</f>
        <v>95</v>
      </c>
      <c r="B96" s="2" t="str">
        <f>IFERROR(__xludf.DUMMYFUNCTION("""COMPUTED_VALUE"""),"Shyar")</f>
        <v>Shyar</v>
      </c>
      <c r="C96" s="2">
        <f>IFERROR(__xludf.DUMMYFUNCTION("""COMPUTED_VALUE"""),8.7)</f>
        <v>8.7</v>
      </c>
      <c r="D96" s="2" t="str">
        <f>IFERROR(__xludf.DUMMYFUNCTION("""COMPUTED_VALUE"""),"Shyar")</f>
        <v>Shyar</v>
      </c>
      <c r="E96" s="2"/>
      <c r="F96" s="3">
        <f>IFERROR(__xludf.DUMMYFUNCTION("""COMPUTED_VALUE"""),59955.0)</f>
        <v>59955</v>
      </c>
      <c r="G96" s="2" t="str">
        <f>IFERROR(__xludf.DUMMYFUNCTION("""COMPUTED_VALUE"""),"Independent Power Company (Nepal) P Ltd")</f>
        <v>Independent Power Company (Nepal) P Ltd</v>
      </c>
      <c r="H96" s="2"/>
      <c r="I96" s="2" t="str">
        <f>IFERROR(__xludf.DUMMYFUNCTION("""COMPUTED_VALUE"""),"00o 00' 00""")</f>
        <v>00o 00' 00"</v>
      </c>
      <c r="J96" s="2" t="str">
        <f>IFERROR(__xludf.DUMMYFUNCTION("""COMPUTED_VALUE"""),"00o 00' 00""")</f>
        <v>00o 00' 00"</v>
      </c>
      <c r="K96" s="2" t="str">
        <f>IFERROR(__xludf.DUMMYFUNCTION("""COMPUTED_VALUE"""),"00o 00' 00""")</f>
        <v>00o 00' 00"</v>
      </c>
      <c r="L96" s="2" t="str">
        <f>IFERROR(__xludf.DUMMYFUNCTION("""COMPUTED_VALUE"""),"00o 00' 00""")</f>
        <v>00o 00' 00"</v>
      </c>
      <c r="M96" s="2" t="str">
        <f>IFERROR(__xludf.DUMMYFUNCTION("""COMPUTED_VALUE"""),"(Gorkha)")</f>
        <v>(Gorkha)</v>
      </c>
    </row>
    <row r="97">
      <c r="A97" s="2">
        <f>IFERROR(__xludf.DUMMYFUNCTION("""COMPUTED_VALUE"""),96.0)</f>
        <v>96</v>
      </c>
      <c r="B97" s="2" t="str">
        <f>IFERROR(__xludf.DUMMYFUNCTION("""COMPUTED_VALUE"""),"Upper Bheri")</f>
        <v>Upper Bheri</v>
      </c>
      <c r="C97" s="2">
        <f>IFERROR(__xludf.DUMMYFUNCTION("""COMPUTED_VALUE"""),80.0)</f>
        <v>80</v>
      </c>
      <c r="D97" s="2" t="str">
        <f>IFERROR(__xludf.DUMMYFUNCTION("""COMPUTED_VALUE"""),"Bheri")</f>
        <v>Bheri</v>
      </c>
      <c r="E97" s="2"/>
      <c r="F97" s="3">
        <f>IFERROR(__xludf.DUMMYFUNCTION("""COMPUTED_VALUE"""),59956.0)</f>
        <v>59956</v>
      </c>
      <c r="G97" s="2" t="str">
        <f>IFERROR(__xludf.DUMMYFUNCTION("""COMPUTED_VALUE"""),"Him Urja P Ltd")</f>
        <v>Him Urja P Ltd</v>
      </c>
      <c r="H97" s="2"/>
      <c r="I97" s="2" t="str">
        <f>IFERROR(__xludf.DUMMYFUNCTION("""COMPUTED_VALUE"""),"28o 51' 40""")</f>
        <v>28o 51' 40"</v>
      </c>
      <c r="J97" s="2" t="str">
        <f>IFERROR(__xludf.DUMMYFUNCTION("""COMPUTED_VALUE"""),"28o 59' 45""")</f>
        <v>28o 59' 45"</v>
      </c>
      <c r="K97" s="2" t="str">
        <f>IFERROR(__xludf.DUMMYFUNCTION("""COMPUTED_VALUE"""),"82o 26' 00""")</f>
        <v>82o 26' 00"</v>
      </c>
      <c r="L97" s="2" t="str">
        <f>IFERROR(__xludf.DUMMYFUNCTION("""COMPUTED_VALUE"""),"82o 34' 25""")</f>
        <v>82o 34' 25"</v>
      </c>
      <c r="M97" s="2" t="str">
        <f>IFERROR(__xludf.DUMMYFUNCTION("""COMPUTED_VALUE"""),"(Jajarkot)")</f>
        <v>(Jajarkot)</v>
      </c>
    </row>
    <row r="98">
      <c r="A98" s="2">
        <f>IFERROR(__xludf.DUMMYFUNCTION("""COMPUTED_VALUE"""),97.0)</f>
        <v>97</v>
      </c>
      <c r="B98" s="2" t="str">
        <f>IFERROR(__xludf.DUMMYFUNCTION("""COMPUTED_VALUE"""),"Chhilung")</f>
        <v>Chhilung</v>
      </c>
      <c r="C98" s="2">
        <f>IFERROR(__xludf.DUMMYFUNCTION("""COMPUTED_VALUE"""),8.0)</f>
        <v>8</v>
      </c>
      <c r="D98" s="2" t="str">
        <f>IFERROR(__xludf.DUMMYFUNCTION("""COMPUTED_VALUE"""),"Chhilung")</f>
        <v>Chhilung</v>
      </c>
      <c r="E98" s="2"/>
      <c r="F98" s="3">
        <f>IFERROR(__xludf.DUMMYFUNCTION("""COMPUTED_VALUE"""),59956.0)</f>
        <v>59956</v>
      </c>
      <c r="G98" s="2" t="str">
        <f>IFERROR(__xludf.DUMMYFUNCTION("""COMPUTED_VALUE"""),"Independent Power Company (Nepal) P Ltd")</f>
        <v>Independent Power Company (Nepal) P Ltd</v>
      </c>
      <c r="H98" s="2"/>
      <c r="I98" s="2" t="str">
        <f>IFERROR(__xludf.DUMMYFUNCTION("""COMPUTED_VALUE"""),"00o 00' 00""")</f>
        <v>00o 00' 00"</v>
      </c>
      <c r="J98" s="2" t="str">
        <f>IFERROR(__xludf.DUMMYFUNCTION("""COMPUTED_VALUE"""),"00o 00' 00""")</f>
        <v>00o 00' 00"</v>
      </c>
      <c r="K98" s="2" t="str">
        <f>IFERROR(__xludf.DUMMYFUNCTION("""COMPUTED_VALUE"""),"00o 00' 00""")</f>
        <v>00o 00' 00"</v>
      </c>
      <c r="L98" s="2" t="str">
        <f>IFERROR(__xludf.DUMMYFUNCTION("""COMPUTED_VALUE"""),"00o 00' 00""")</f>
        <v>00o 00' 00"</v>
      </c>
      <c r="M98" s="2" t="str">
        <f>IFERROR(__xludf.DUMMYFUNCTION("""COMPUTED_VALUE"""),"(Gorkha)")</f>
        <v>(Gorkha)</v>
      </c>
    </row>
    <row r="99">
      <c r="A99" s="2">
        <f>IFERROR(__xludf.DUMMYFUNCTION("""COMPUTED_VALUE"""),98.0)</f>
        <v>98</v>
      </c>
      <c r="B99" s="2" t="str">
        <f>IFERROR(__xludf.DUMMYFUNCTION("""COMPUTED_VALUE"""),"Upper Kailash")</f>
        <v>Upper Kailash</v>
      </c>
      <c r="C99" s="2">
        <f>IFERROR(__xludf.DUMMYFUNCTION("""COMPUTED_VALUE"""),2.8)</f>
        <v>2.8</v>
      </c>
      <c r="D99" s="2" t="str">
        <f>IFERROR(__xludf.DUMMYFUNCTION("""COMPUTED_VALUE"""),"Kailash Khola")</f>
        <v>Kailash Khola</v>
      </c>
      <c r="E99" s="2"/>
      <c r="F99" s="3">
        <f>IFERROR(__xludf.DUMMYFUNCTION("""COMPUTED_VALUE"""),59956.0)</f>
        <v>59956</v>
      </c>
      <c r="G99" s="2" t="str">
        <f>IFERROR(__xludf.DUMMYFUNCTION("""COMPUTED_VALUE"""),"Lalita Shrestha")</f>
        <v>Lalita Shrestha</v>
      </c>
      <c r="H99" s="2"/>
      <c r="I99" s="2" t="str">
        <f>IFERROR(__xludf.DUMMYFUNCTION("""COMPUTED_VALUE"""),"29o 00' 00""")</f>
        <v>29o 00' 00"</v>
      </c>
      <c r="J99" s="2" t="str">
        <f>IFERROR(__xludf.DUMMYFUNCTION("""COMPUTED_VALUE"""),"29o 00' 00""")</f>
        <v>29o 00' 00"</v>
      </c>
      <c r="K99" s="2" t="str">
        <f>IFERROR(__xludf.DUMMYFUNCTION("""COMPUTED_VALUE"""),"81o 15' 55""")</f>
        <v>81o 15' 55"</v>
      </c>
      <c r="L99" s="2" t="str">
        <f>IFERROR(__xludf.DUMMYFUNCTION("""COMPUTED_VALUE"""),"81o 18' 00""")</f>
        <v>81o 18' 00"</v>
      </c>
      <c r="M99" s="2" t="str">
        <f>IFERROR(__xludf.DUMMYFUNCTION("""COMPUTED_VALUE"""),"(Achham)")</f>
        <v>(Achham)</v>
      </c>
    </row>
    <row r="100">
      <c r="A100" s="2">
        <f>IFERROR(__xludf.DUMMYFUNCTION("""COMPUTED_VALUE"""),99.0)</f>
        <v>99</v>
      </c>
      <c r="B100" s="2" t="str">
        <f>IFERROR(__xludf.DUMMYFUNCTION("""COMPUTED_VALUE"""),"Kailash-1")</f>
        <v>Kailash-1</v>
      </c>
      <c r="C100" s="2">
        <f>IFERROR(__xludf.DUMMYFUNCTION("""COMPUTED_VALUE"""),2.8)</f>
        <v>2.8</v>
      </c>
      <c r="D100" s="2" t="str">
        <f>IFERROR(__xludf.DUMMYFUNCTION("""COMPUTED_VALUE"""),"Kailash Khola")</f>
        <v>Kailash Khola</v>
      </c>
      <c r="E100" s="2">
        <f>IFERROR(__xludf.DUMMYFUNCTION("""COMPUTED_VALUE"""),4713.0)</f>
        <v>4713</v>
      </c>
      <c r="F100" s="3">
        <f>IFERROR(__xludf.DUMMYFUNCTION("""COMPUTED_VALUE"""),59956.0)</f>
        <v>59956</v>
      </c>
      <c r="G100" s="2" t="str">
        <f>IFERROR(__xludf.DUMMYFUNCTION("""COMPUTED_VALUE"""),"Bhakta Thakulla")</f>
        <v>Bhakta Thakulla</v>
      </c>
      <c r="H100" s="2"/>
      <c r="I100" s="2" t="str">
        <f>IFERROR(__xludf.DUMMYFUNCTION("""COMPUTED_VALUE"""),"29o 09' 15""")</f>
        <v>29o 09' 15"</v>
      </c>
      <c r="J100" s="2" t="str">
        <f>IFERROR(__xludf.DUMMYFUNCTION("""COMPUTED_VALUE"""),"29o 11' 10""")</f>
        <v>29o 11' 10"</v>
      </c>
      <c r="K100" s="2" t="str">
        <f>IFERROR(__xludf.DUMMYFUNCTION("""COMPUTED_VALUE"""),"81o 12' 30""")</f>
        <v>81o 12' 30"</v>
      </c>
      <c r="L100" s="2" t="str">
        <f>IFERROR(__xludf.DUMMYFUNCTION("""COMPUTED_VALUE"""),"81o 15' 00""")</f>
        <v>81o 15' 00"</v>
      </c>
      <c r="M100" s="2" t="str">
        <f>IFERROR(__xludf.DUMMYFUNCTION("""COMPUTED_VALUE"""),"(Achham)")</f>
        <v>(Achham)</v>
      </c>
    </row>
    <row r="101">
      <c r="A101" s="2">
        <f>IFERROR(__xludf.DUMMYFUNCTION("""COMPUTED_VALUE"""),100.0)</f>
        <v>100</v>
      </c>
      <c r="B101" s="2" t="str">
        <f>IFERROR(__xludf.DUMMYFUNCTION("""COMPUTED_VALUE"""),"Ghyang Khola")</f>
        <v>Ghyang Khola</v>
      </c>
      <c r="C101" s="2">
        <f>IFERROR(__xludf.DUMMYFUNCTION("""COMPUTED_VALUE"""),0.99)</f>
        <v>0.99</v>
      </c>
      <c r="D101" s="2" t="str">
        <f>IFERROR(__xludf.DUMMYFUNCTION("""COMPUTED_VALUE"""),"Ghyang")</f>
        <v>Ghyang</v>
      </c>
      <c r="E101" s="2"/>
      <c r="F101" s="3">
        <f>IFERROR(__xludf.DUMMYFUNCTION("""COMPUTED_VALUE"""),59961.0)</f>
        <v>59961</v>
      </c>
      <c r="G101" s="2" t="str">
        <f>IFERROR(__xludf.DUMMYFUNCTION("""COMPUTED_VALUE"""),"Fistel Energy Dev,Bimal Prasad Sharma")</f>
        <v>Fistel Energy Dev,Bimal Prasad Sharma</v>
      </c>
      <c r="H101" s="2"/>
      <c r="I101" s="2" t="str">
        <f>IFERROR(__xludf.DUMMYFUNCTION("""COMPUTED_VALUE"""),"27o 32' 48""")</f>
        <v>27o 32' 48"</v>
      </c>
      <c r="J101" s="2" t="str">
        <f>IFERROR(__xludf.DUMMYFUNCTION("""COMPUTED_VALUE"""),"27o 34' 24""")</f>
        <v>27o 34' 24"</v>
      </c>
      <c r="K101" s="2" t="str">
        <f>IFERROR(__xludf.DUMMYFUNCTION("""COMPUTED_VALUE"""),"86o 02' 56""")</f>
        <v>86o 02' 56"</v>
      </c>
      <c r="L101" s="2" t="str">
        <f>IFERROR(__xludf.DUMMYFUNCTION("""COMPUTED_VALUE"""),"86o 05' 20""")</f>
        <v>86o 05' 20"</v>
      </c>
      <c r="M101" s="2" t="str">
        <f>IFERROR(__xludf.DUMMYFUNCTION("""COMPUTED_VALUE"""),"(Dolakha)")</f>
        <v>(Dolakha)</v>
      </c>
    </row>
    <row r="102">
      <c r="A102" s="2">
        <f>IFERROR(__xludf.DUMMYFUNCTION("""COMPUTED_VALUE"""),101.0)</f>
        <v>101</v>
      </c>
      <c r="B102" s="2" t="str">
        <f>IFERROR(__xludf.DUMMYFUNCTION("""COMPUTED_VALUE"""),"Lower Kali Gandaki")</f>
        <v>Lower Kali Gandaki</v>
      </c>
      <c r="C102" s="2">
        <f>IFERROR(__xludf.DUMMYFUNCTION("""COMPUTED_VALUE"""),90.47)</f>
        <v>90.47</v>
      </c>
      <c r="D102" s="2" t="str">
        <f>IFERROR(__xludf.DUMMYFUNCTION("""COMPUTED_VALUE"""),"Kali Gandaki")</f>
        <v>Kali Gandaki</v>
      </c>
      <c r="E102" s="2"/>
      <c r="F102" s="3">
        <f>IFERROR(__xludf.DUMMYFUNCTION("""COMPUTED_VALUE"""),59965.0)</f>
        <v>59965</v>
      </c>
      <c r="G102" s="2" t="str">
        <f>IFERROR(__xludf.DUMMYFUNCTION("""COMPUTED_VALUE"""),"Delta Energy P Ltd")</f>
        <v>Delta Energy P Ltd</v>
      </c>
      <c r="H102" s="2"/>
      <c r="I102" s="2" t="str">
        <f>IFERROR(__xludf.DUMMYFUNCTION("""COMPUTED_VALUE"""),"28o 26' 16""")</f>
        <v>28o 26' 16"</v>
      </c>
      <c r="J102" s="2" t="str">
        <f>IFERROR(__xludf.DUMMYFUNCTION("""COMPUTED_VALUE"""),"28o 30' 00""")</f>
        <v>28o 30' 00"</v>
      </c>
      <c r="K102" s="2" t="str">
        <f>IFERROR(__xludf.DUMMYFUNCTION("""COMPUTED_VALUE"""),"83o 36' 22""")</f>
        <v>83o 36' 22"</v>
      </c>
      <c r="L102" s="2" t="str">
        <f>IFERROR(__xludf.DUMMYFUNCTION("""COMPUTED_VALUE"""),"83o 38' 49""")</f>
        <v>83o 38' 49"</v>
      </c>
      <c r="M102" s="2" t="str">
        <f>IFERROR(__xludf.DUMMYFUNCTION("""COMPUTED_VALUE"""),"(Syangja)")</f>
        <v>(Syangja)</v>
      </c>
    </row>
    <row r="103">
      <c r="A103" s="2">
        <f>IFERROR(__xludf.DUMMYFUNCTION("""COMPUTED_VALUE"""),102.0)</f>
        <v>102</v>
      </c>
      <c r="B103" s="2" t="str">
        <f>IFERROR(__xludf.DUMMYFUNCTION("""COMPUTED_VALUE"""),"Ruru Khola")</f>
        <v>Ruru Khola</v>
      </c>
      <c r="C103" s="2">
        <f>IFERROR(__xludf.DUMMYFUNCTION("""COMPUTED_VALUE"""),11.0)</f>
        <v>11</v>
      </c>
      <c r="D103" s="2" t="str">
        <f>IFERROR(__xludf.DUMMYFUNCTION("""COMPUTED_VALUE"""),"Ruru")</f>
        <v>Ruru</v>
      </c>
      <c r="E103" s="2"/>
      <c r="F103" s="3">
        <f>IFERROR(__xludf.DUMMYFUNCTION("""COMPUTED_VALUE"""),59966.0)</f>
        <v>59966</v>
      </c>
      <c r="G103" s="2" t="str">
        <f>IFERROR(__xludf.DUMMYFUNCTION("""COMPUTED_VALUE"""),"South Asia Power P Ltd")</f>
        <v>South Asia Power P Ltd</v>
      </c>
      <c r="H103" s="2"/>
      <c r="I103" s="2" t="str">
        <f>IFERROR(__xludf.DUMMYFUNCTION("""COMPUTED_VALUE"""),"00o 00' 00""")</f>
        <v>00o 00' 00"</v>
      </c>
      <c r="J103" s="2" t="str">
        <f>IFERROR(__xludf.DUMMYFUNCTION("""COMPUTED_VALUE"""),"00o 00' 00""")</f>
        <v>00o 00' 00"</v>
      </c>
      <c r="K103" s="2" t="str">
        <f>IFERROR(__xludf.DUMMYFUNCTION("""COMPUTED_VALUE"""),"00o 00' 00""")</f>
        <v>00o 00' 00"</v>
      </c>
      <c r="L103" s="2" t="str">
        <f>IFERROR(__xludf.DUMMYFUNCTION("""COMPUTED_VALUE"""),"00o 00' 00""")</f>
        <v>00o 00' 00"</v>
      </c>
      <c r="M103" s="2" t="str">
        <f>IFERROR(__xludf.DUMMYFUNCTION("""COMPUTED_VALUE"""),"(Gulmi)")</f>
        <v>(Gulmi)</v>
      </c>
    </row>
    <row r="104">
      <c r="A104" s="2">
        <f>IFERROR(__xludf.DUMMYFUNCTION("""COMPUTED_VALUE"""),103.0)</f>
        <v>103</v>
      </c>
      <c r="B104" s="2" t="str">
        <f>IFERROR(__xludf.DUMMYFUNCTION("""COMPUTED_VALUE"""),"Lambu Khola")</f>
        <v>Lambu Khola</v>
      </c>
      <c r="C104" s="2">
        <f>IFERROR(__xludf.DUMMYFUNCTION("""COMPUTED_VALUE"""),2.843)</f>
        <v>2.843</v>
      </c>
      <c r="D104" s="2" t="str">
        <f>IFERROR(__xludf.DUMMYFUNCTION("""COMPUTED_VALUE"""),"Lambu")</f>
        <v>Lambu</v>
      </c>
      <c r="E104" s="2"/>
      <c r="F104" s="3">
        <f>IFERROR(__xludf.DUMMYFUNCTION("""COMPUTED_VALUE"""),59966.0)</f>
        <v>59966</v>
      </c>
      <c r="G104" s="2" t="str">
        <f>IFERROR(__xludf.DUMMYFUNCTION("""COMPUTED_VALUE"""),"Yangya Prasad Subedi")</f>
        <v>Yangya Prasad Subedi</v>
      </c>
      <c r="H104" s="2"/>
      <c r="I104" s="2" t="str">
        <f>IFERROR(__xludf.DUMMYFUNCTION("""COMPUTED_VALUE"""),"27o 05' 00""")</f>
        <v>27o 05' 00"</v>
      </c>
      <c r="J104" s="2" t="str">
        <f>IFERROR(__xludf.DUMMYFUNCTION("""COMPUTED_VALUE"""),"27o 06' 22""")</f>
        <v>27o 06' 22"</v>
      </c>
      <c r="K104" s="2" t="str">
        <f>IFERROR(__xludf.DUMMYFUNCTION("""COMPUTED_VALUE"""),"87o 27' 00""")</f>
        <v>87o 27' 00"</v>
      </c>
      <c r="L104" s="2" t="str">
        <f>IFERROR(__xludf.DUMMYFUNCTION("""COMPUTED_VALUE"""),"87o 27' 50""")</f>
        <v>87o 27' 50"</v>
      </c>
      <c r="M104" s="2" t="str">
        <f>IFERROR(__xludf.DUMMYFUNCTION("""COMPUTED_VALUE"""),"(Terhathum)")</f>
        <v>(Terhathum)</v>
      </c>
    </row>
    <row r="105">
      <c r="A105" s="2">
        <f>IFERROR(__xludf.DUMMYFUNCTION("""COMPUTED_VALUE"""),104.0)</f>
        <v>104</v>
      </c>
      <c r="B105" s="2" t="str">
        <f>IFERROR(__xludf.DUMMYFUNCTION("""COMPUTED_VALUE"""),"Upper Sunkoshi")</f>
        <v>Upper Sunkoshi</v>
      </c>
      <c r="C105" s="2">
        <f>IFERROR(__xludf.DUMMYFUNCTION("""COMPUTED_VALUE"""),3.0)</f>
        <v>3</v>
      </c>
      <c r="D105" s="2" t="str">
        <f>IFERROR(__xludf.DUMMYFUNCTION("""COMPUTED_VALUE"""),"Sun Koshi")</f>
        <v>Sun Koshi</v>
      </c>
      <c r="E105" s="2"/>
      <c r="F105" s="3">
        <f>IFERROR(__xludf.DUMMYFUNCTION("""COMPUTED_VALUE"""),59971.0)</f>
        <v>59971</v>
      </c>
      <c r="G105" s="2" t="str">
        <f>IFERROR(__xludf.DUMMYFUNCTION("""COMPUTED_VALUE"""),"Sweta Dhungana, Maya D Bhattarai &amp; Radhadevi Parajuli")</f>
        <v>Sweta Dhungana, Maya D Bhattarai &amp; Radhadevi Parajuli</v>
      </c>
      <c r="H105" s="2"/>
      <c r="I105" s="2" t="str">
        <f>IFERROR(__xludf.DUMMYFUNCTION("""COMPUTED_VALUE"""),"27o 45' 12""")</f>
        <v>27o 45' 12"</v>
      </c>
      <c r="J105" s="2" t="str">
        <f>IFERROR(__xludf.DUMMYFUNCTION("""COMPUTED_VALUE"""),"27o 46' 10""")</f>
        <v>27o 46' 10"</v>
      </c>
      <c r="K105" s="2" t="str">
        <f>IFERROR(__xludf.DUMMYFUNCTION("""COMPUTED_VALUE"""),"85o 57' 55""")</f>
        <v>85o 57' 55"</v>
      </c>
      <c r="L105" s="2" t="str">
        <f>IFERROR(__xludf.DUMMYFUNCTION("""COMPUTED_VALUE"""),"85o 59' 51""")</f>
        <v>85o 59' 51"</v>
      </c>
      <c r="M105" s="2" t="str">
        <f>IFERROR(__xludf.DUMMYFUNCTION("""COMPUTED_VALUE"""),"(Sindhupalchok)")</f>
        <v>(Sindhupalchok)</v>
      </c>
    </row>
    <row r="106">
      <c r="A106" s="2">
        <f>IFERROR(__xludf.DUMMYFUNCTION("""COMPUTED_VALUE"""),105.0)</f>
        <v>105</v>
      </c>
      <c r="B106" s="2" t="str">
        <f>IFERROR(__xludf.DUMMYFUNCTION("""COMPUTED_VALUE"""),"Upper Marsyangdi")</f>
        <v>Upper Marsyangdi</v>
      </c>
      <c r="C106" s="2">
        <f>IFERROR(__xludf.DUMMYFUNCTION("""COMPUTED_VALUE"""),80.0)</f>
        <v>80</v>
      </c>
      <c r="D106" s="2" t="str">
        <f>IFERROR(__xludf.DUMMYFUNCTION("""COMPUTED_VALUE"""),"Marsyangdi")</f>
        <v>Marsyangdi</v>
      </c>
      <c r="E106" s="2"/>
      <c r="F106" s="3">
        <f>IFERROR(__xludf.DUMMYFUNCTION("""COMPUTED_VALUE"""),59974.0)</f>
        <v>59974</v>
      </c>
      <c r="G106" s="2" t="str">
        <f>IFERROR(__xludf.DUMMYFUNCTION("""COMPUTED_VALUE"""),"Chandra B Adhikari")</f>
        <v>Chandra B Adhikari</v>
      </c>
      <c r="H106" s="2"/>
      <c r="I106" s="2" t="str">
        <f>IFERROR(__xludf.DUMMYFUNCTION("""COMPUTED_VALUE"""),"28o 30' 05""")</f>
        <v>28o 30' 05"</v>
      </c>
      <c r="J106" s="2" t="str">
        <f>IFERROR(__xludf.DUMMYFUNCTION("""COMPUTED_VALUE"""),"28o 32' 30""")</f>
        <v>28o 32' 30"</v>
      </c>
      <c r="K106" s="2" t="str">
        <f>IFERROR(__xludf.DUMMYFUNCTION("""COMPUTED_VALUE"""),"84o 20' 18""")</f>
        <v>84o 20' 18"</v>
      </c>
      <c r="L106" s="2" t="str">
        <f>IFERROR(__xludf.DUMMYFUNCTION("""COMPUTED_VALUE"""),"84o 22' 00""")</f>
        <v>84o 22' 00"</v>
      </c>
      <c r="M106" s="2" t="str">
        <f>IFERROR(__xludf.DUMMYFUNCTION("""COMPUTED_VALUE"""),"(Manang)")</f>
        <v>(Manang)</v>
      </c>
    </row>
    <row r="107">
      <c r="A107" s="2">
        <f>IFERROR(__xludf.DUMMYFUNCTION("""COMPUTED_VALUE"""),106.0)</f>
        <v>106</v>
      </c>
      <c r="B107" s="2" t="str">
        <f>IFERROR(__xludf.DUMMYFUNCTION("""COMPUTED_VALUE"""),"Maiwa Khola")</f>
        <v>Maiwa Khola</v>
      </c>
      <c r="C107" s="2">
        <f>IFERROR(__xludf.DUMMYFUNCTION("""COMPUTED_VALUE"""),4.84)</f>
        <v>4.84</v>
      </c>
      <c r="D107" s="2" t="str">
        <f>IFERROR(__xludf.DUMMYFUNCTION("""COMPUTED_VALUE"""),"Maiwa")</f>
        <v>Maiwa</v>
      </c>
      <c r="E107" s="2"/>
      <c r="F107" s="3">
        <f>IFERROR(__xludf.DUMMYFUNCTION("""COMPUTED_VALUE"""),59978.0)</f>
        <v>59978</v>
      </c>
      <c r="G107" s="2" t="str">
        <f>IFERROR(__xludf.DUMMYFUNCTION("""COMPUTED_VALUE"""),"Sudan Limbu")</f>
        <v>Sudan Limbu</v>
      </c>
      <c r="H107" s="2"/>
      <c r="I107" s="2" t="str">
        <f>IFERROR(__xludf.DUMMYFUNCTION("""COMPUTED_VALUE"""),"27o 21' 32""")</f>
        <v>27o 21' 32"</v>
      </c>
      <c r="J107" s="2" t="str">
        <f>IFERROR(__xludf.DUMMYFUNCTION("""COMPUTED_VALUE"""),"27o 22' 40""")</f>
        <v>27o 22' 40"</v>
      </c>
      <c r="K107" s="2" t="str">
        <f>IFERROR(__xludf.DUMMYFUNCTION("""COMPUTED_VALUE"""),"87o 33' 35""")</f>
        <v>87o 33' 35"</v>
      </c>
      <c r="L107" s="2" t="str">
        <f>IFERROR(__xludf.DUMMYFUNCTION("""COMPUTED_VALUE"""),"87o 37' 30""")</f>
        <v>87o 37' 30"</v>
      </c>
      <c r="M107" s="2" t="str">
        <f>IFERROR(__xludf.DUMMYFUNCTION("""COMPUTED_VALUE"""),"(Taplejung)")</f>
        <v>(Taplejung)</v>
      </c>
    </row>
    <row r="108">
      <c r="A108" s="2">
        <f>IFERROR(__xludf.DUMMYFUNCTION("""COMPUTED_VALUE"""),107.0)</f>
        <v>107</v>
      </c>
      <c r="B108" s="2" t="str">
        <f>IFERROR(__xludf.DUMMYFUNCTION("""COMPUTED_VALUE"""),"Tila-2A")</f>
        <v>Tila-2A</v>
      </c>
      <c r="C108" s="2">
        <f>IFERROR(__xludf.DUMMYFUNCTION("""COMPUTED_VALUE"""),112.0)</f>
        <v>112</v>
      </c>
      <c r="D108" s="2" t="str">
        <f>IFERROR(__xludf.DUMMYFUNCTION("""COMPUTED_VALUE"""),"Tila")</f>
        <v>Tila</v>
      </c>
      <c r="E108" s="2"/>
      <c r="F108" s="3">
        <f>IFERROR(__xludf.DUMMYFUNCTION("""COMPUTED_VALUE"""),59980.0)</f>
        <v>59980</v>
      </c>
      <c r="G108" s="2" t="str">
        <f>IFERROR(__xludf.DUMMYFUNCTION("""COMPUTED_VALUE"""),"Nepal Electricity Authority")</f>
        <v>Nepal Electricity Authority</v>
      </c>
      <c r="H108" s="2"/>
      <c r="I108" s="2" t="str">
        <f>IFERROR(__xludf.DUMMYFUNCTION("""COMPUTED_VALUE"""),"29o 07' 05""")</f>
        <v>29o 07' 05"</v>
      </c>
      <c r="J108" s="2" t="str">
        <f>IFERROR(__xludf.DUMMYFUNCTION("""COMPUTED_VALUE"""),"29o 10' 00""")</f>
        <v>29o 10' 00"</v>
      </c>
      <c r="K108" s="2" t="str">
        <f>IFERROR(__xludf.DUMMYFUNCTION("""COMPUTED_VALUE"""),"81o 47' 10""")</f>
        <v>81o 47' 10"</v>
      </c>
      <c r="L108" s="2" t="str">
        <f>IFERROR(__xludf.DUMMYFUNCTION("""COMPUTED_VALUE"""),"81o 51' 12""")</f>
        <v>81o 51' 12"</v>
      </c>
      <c r="M108" s="2" t="str">
        <f>IFERROR(__xludf.DUMMYFUNCTION("""COMPUTED_VALUE"""),"(Kalikot)")</f>
        <v>(Kalikot)</v>
      </c>
    </row>
    <row r="109">
      <c r="A109" s="2">
        <f>IFERROR(__xludf.DUMMYFUNCTION("""COMPUTED_VALUE"""),108.0)</f>
        <v>108</v>
      </c>
      <c r="B109" s="2" t="str">
        <f>IFERROR(__xludf.DUMMYFUNCTION("""COMPUTED_VALUE"""),"Trisuli Ganga")</f>
        <v>Trisuli Ganga</v>
      </c>
      <c r="C109" s="2">
        <f>IFERROR(__xludf.DUMMYFUNCTION("""COMPUTED_VALUE"""),9.9)</f>
        <v>9.9</v>
      </c>
      <c r="D109" s="2" t="str">
        <f>IFERROR(__xludf.DUMMYFUNCTION("""COMPUTED_VALUE"""),"Trishuli")</f>
        <v>Trishuli</v>
      </c>
      <c r="E109" s="2"/>
      <c r="F109" s="3">
        <f>IFERROR(__xludf.DUMMYFUNCTION("""COMPUTED_VALUE"""),59980.0)</f>
        <v>59980</v>
      </c>
      <c r="G109" s="2" t="str">
        <f>IFERROR(__xludf.DUMMYFUNCTION("""COMPUTED_VALUE"""),"Swoyambhu Energy Development P Ltd")</f>
        <v>Swoyambhu Energy Development P Ltd</v>
      </c>
      <c r="H109" s="2"/>
      <c r="I109" s="2" t="str">
        <f>IFERROR(__xludf.DUMMYFUNCTION("""COMPUTED_VALUE"""),"28o 08' 00""")</f>
        <v>28o 08' 00"</v>
      </c>
      <c r="J109" s="2" t="str">
        <f>IFERROR(__xludf.DUMMYFUNCTION("""COMPUTED_VALUE"""),"28o 09' 00""")</f>
        <v>28o 09' 00"</v>
      </c>
      <c r="K109" s="2" t="str">
        <f>IFERROR(__xludf.DUMMYFUNCTION("""COMPUTED_VALUE"""),"85o 18' 00""")</f>
        <v>85o 18' 00"</v>
      </c>
      <c r="L109" s="2" t="str">
        <f>IFERROR(__xludf.DUMMYFUNCTION("""COMPUTED_VALUE"""),"85o 21' 00""")</f>
        <v>85o 21' 00"</v>
      </c>
      <c r="M109" s="2" t="str">
        <f>IFERROR(__xludf.DUMMYFUNCTION("""COMPUTED_VALUE"""),"(Rasuwa)")</f>
        <v>(Rasuwa)</v>
      </c>
    </row>
    <row r="110">
      <c r="A110" s="2">
        <f>IFERROR(__xludf.DUMMYFUNCTION("""COMPUTED_VALUE"""),109.0)</f>
        <v>109</v>
      </c>
      <c r="B110" s="2" t="str">
        <f>IFERROR(__xludf.DUMMYFUNCTION("""COMPUTED_VALUE"""),"kunjo Small Hydropower Project")</f>
        <v>kunjo Small Hydropower Project</v>
      </c>
      <c r="C110" s="2">
        <f>IFERROR(__xludf.DUMMYFUNCTION("""COMPUTED_VALUE"""),2.7)</f>
        <v>2.7</v>
      </c>
      <c r="D110" s="2" t="str">
        <f>IFERROR(__xludf.DUMMYFUNCTION("""COMPUTED_VALUE"""),"Panpu Khola")</f>
        <v>Panpu Khola</v>
      </c>
      <c r="E110" s="2"/>
      <c r="F110" s="3">
        <f>IFERROR(__xludf.DUMMYFUNCTION("""COMPUTED_VALUE"""),59985.0)</f>
        <v>59985</v>
      </c>
      <c r="G110" s="2" t="str">
        <f>IFERROR(__xludf.DUMMYFUNCTION("""COMPUTED_VALUE"""),"Subash Gauchan")</f>
        <v>Subash Gauchan</v>
      </c>
      <c r="H110" s="2"/>
      <c r="I110" s="2" t="str">
        <f>IFERROR(__xludf.DUMMYFUNCTION("""COMPUTED_VALUE"""),"28o 37' 58""")</f>
        <v>28o 37' 58"</v>
      </c>
      <c r="J110" s="2" t="str">
        <f>IFERROR(__xludf.DUMMYFUNCTION("""COMPUTED_VALUE"""),"28o 40' 00""")</f>
        <v>28o 40' 00"</v>
      </c>
      <c r="K110" s="2" t="str">
        <f>IFERROR(__xludf.DUMMYFUNCTION("""COMPUTED_VALUE"""),"83o 37' 18""")</f>
        <v>83o 37' 18"</v>
      </c>
      <c r="L110" s="2" t="str">
        <f>IFERROR(__xludf.DUMMYFUNCTION("""COMPUTED_VALUE"""),"83o 40' 00""")</f>
        <v>83o 40' 00"</v>
      </c>
      <c r="M110" s="2" t="str">
        <f>IFERROR(__xludf.DUMMYFUNCTION("""COMPUTED_VALUE"""),",Kunjo (Mustang)")</f>
        <v>,Kunjo (Mustang)</v>
      </c>
    </row>
    <row r="111">
      <c r="A111" s="2">
        <f>IFERROR(__xludf.DUMMYFUNCTION("""COMPUTED_VALUE"""),110.0)</f>
        <v>110</v>
      </c>
      <c r="B111" s="2" t="str">
        <f>IFERROR(__xludf.DUMMYFUNCTION("""COMPUTED_VALUE"""),"Jhumsa")</f>
        <v>Jhumsa</v>
      </c>
      <c r="C111" s="2">
        <f>IFERROR(__xludf.DUMMYFUNCTION("""COMPUTED_VALUE"""),5.0)</f>
        <v>5</v>
      </c>
      <c r="D111" s="2" t="str">
        <f>IFERROR(__xludf.DUMMYFUNCTION("""COMPUTED_VALUE"""),"Jhumsa")</f>
        <v>Jhumsa</v>
      </c>
      <c r="E111" s="2"/>
      <c r="F111" s="3">
        <f>IFERROR(__xludf.DUMMYFUNCTION("""COMPUTED_VALUE"""),59988.0)</f>
        <v>59988</v>
      </c>
      <c r="G111" s="2" t="str">
        <f>IFERROR(__xludf.DUMMYFUNCTION("""COMPUTED_VALUE"""),"Nitesh Shrestha")</f>
        <v>Nitesh Shrestha</v>
      </c>
      <c r="H111" s="2"/>
      <c r="I111" s="2" t="str">
        <f>IFERROR(__xludf.DUMMYFUNCTION("""COMPUTED_VALUE"""),"27o 42' 30""")</f>
        <v>27o 42' 30"</v>
      </c>
      <c r="J111" s="2" t="str">
        <f>IFERROR(__xludf.DUMMYFUNCTION("""COMPUTED_VALUE"""),"27o 43' 40""")</f>
        <v>27o 43' 40"</v>
      </c>
      <c r="K111" s="2" t="str">
        <f>IFERROR(__xludf.DUMMYFUNCTION("""COMPUTED_VALUE"""),"83o 32' 45""")</f>
        <v>83o 32' 45"</v>
      </c>
      <c r="L111" s="2" t="str">
        <f>IFERROR(__xludf.DUMMYFUNCTION("""COMPUTED_VALUE"""),"83o 35' 00""")</f>
        <v>83o 35' 00"</v>
      </c>
      <c r="M111" s="2" t="str">
        <f>IFERROR(__xludf.DUMMYFUNCTION("""COMPUTED_VALUE"""),"(Palpa)")</f>
        <v>(Palpa)</v>
      </c>
    </row>
    <row r="112">
      <c r="A112" s="2">
        <f>IFERROR(__xludf.DUMMYFUNCTION("""COMPUTED_VALUE"""),111.0)</f>
        <v>111</v>
      </c>
      <c r="B112" s="2" t="str">
        <f>IFERROR(__xludf.DUMMYFUNCTION("""COMPUTED_VALUE"""),"Solu High Head")</f>
        <v>Solu High Head</v>
      </c>
      <c r="C112" s="2">
        <f>IFERROR(__xludf.DUMMYFUNCTION("""COMPUTED_VALUE"""),45.0)</f>
        <v>45</v>
      </c>
      <c r="D112" s="2" t="str">
        <f>IFERROR(__xludf.DUMMYFUNCTION("""COMPUTED_VALUE"""),"Solu Khola")</f>
        <v>Solu Khola</v>
      </c>
      <c r="E112" s="2"/>
      <c r="F112" s="3">
        <f>IFERROR(__xludf.DUMMYFUNCTION("""COMPUTED_VALUE"""),59989.0)</f>
        <v>59989</v>
      </c>
      <c r="G112" s="2" t="str">
        <f>IFERROR(__xludf.DUMMYFUNCTION("""COMPUTED_VALUE"""),"Nepal Jalbidyut Bikash Co. P. Ltd")</f>
        <v>Nepal Jalbidyut Bikash Co. P. Ltd</v>
      </c>
      <c r="H112" s="2"/>
      <c r="I112" s="2" t="str">
        <f>IFERROR(__xludf.DUMMYFUNCTION("""COMPUTED_VALUE"""),"27o 21' 36""")</f>
        <v>27o 21' 36"</v>
      </c>
      <c r="J112" s="2" t="str">
        <f>IFERROR(__xludf.DUMMYFUNCTION("""COMPUTED_VALUE"""),"27o 25' 24""")</f>
        <v>27o 25' 24"</v>
      </c>
      <c r="K112" s="2" t="str">
        <f>IFERROR(__xludf.DUMMYFUNCTION("""COMPUTED_VALUE"""),"86o 36' 54""")</f>
        <v>86o 36' 54"</v>
      </c>
      <c r="L112" s="2" t="str">
        <f>IFERROR(__xludf.DUMMYFUNCTION("""COMPUTED_VALUE"""),"86o 41' 12""")</f>
        <v>86o 41' 12"</v>
      </c>
      <c r="M112" s="2" t="str">
        <f>IFERROR(__xludf.DUMMYFUNCTION("""COMPUTED_VALUE"""),"(Solukhumbu)")</f>
        <v>(Solukhumbu)</v>
      </c>
    </row>
    <row r="113">
      <c r="A113" s="2">
        <f>IFERROR(__xludf.DUMMYFUNCTION("""COMPUTED_VALUE"""),112.0)</f>
        <v>112</v>
      </c>
      <c r="B113" s="2" t="str">
        <f>IFERROR(__xludf.DUMMYFUNCTION("""COMPUTED_VALUE"""),"Rurubanchu")</f>
        <v>Rurubanchu</v>
      </c>
      <c r="C113" s="2">
        <f>IFERROR(__xludf.DUMMYFUNCTION("""COMPUTED_VALUE"""),5.0)</f>
        <v>5</v>
      </c>
      <c r="D113" s="2" t="str">
        <f>IFERROR(__xludf.DUMMYFUNCTION("""COMPUTED_VALUE"""),"Rurubanchu Khola")</f>
        <v>Rurubanchu Khola</v>
      </c>
      <c r="E113" s="2"/>
      <c r="F113" s="3">
        <f>IFERROR(__xludf.DUMMYFUNCTION("""COMPUTED_VALUE"""),59989.0)</f>
        <v>59989</v>
      </c>
      <c r="G113" s="2" t="str">
        <f>IFERROR(__xludf.DUMMYFUNCTION("""COMPUTED_VALUE"""),"Ameli Hydropower")</f>
        <v>Ameli Hydropower</v>
      </c>
      <c r="H113" s="2"/>
      <c r="I113" s="2" t="str">
        <f>IFERROR(__xludf.DUMMYFUNCTION("""COMPUTED_VALUE"""),"29o 05' 30""")</f>
        <v>29o 05' 30"</v>
      </c>
      <c r="J113" s="2" t="str">
        <f>IFERROR(__xludf.DUMMYFUNCTION("""COMPUTED_VALUE"""),"29o 06' 27""")</f>
        <v>29o 06' 27"</v>
      </c>
      <c r="K113" s="2" t="str">
        <f>IFERROR(__xludf.DUMMYFUNCTION("""COMPUTED_VALUE"""),"81o 45' 41""")</f>
        <v>81o 45' 41"</v>
      </c>
      <c r="L113" s="2" t="str">
        <f>IFERROR(__xludf.DUMMYFUNCTION("""COMPUTED_VALUE"""),"81o 47' 27""")</f>
        <v>81o 47' 27"</v>
      </c>
      <c r="M113" s="2" t="str">
        <f>IFERROR(__xludf.DUMMYFUNCTION("""COMPUTED_VALUE"""),"(Kalikot)")</f>
        <v>(Kalikot)</v>
      </c>
    </row>
    <row r="114">
      <c r="A114" s="2">
        <f>IFERROR(__xludf.DUMMYFUNCTION("""COMPUTED_VALUE"""),113.0)</f>
        <v>113</v>
      </c>
      <c r="B114" s="2" t="str">
        <f>IFERROR(__xludf.DUMMYFUNCTION("""COMPUTED_VALUE"""),"Tamor")</f>
        <v>Tamor</v>
      </c>
      <c r="C114" s="2">
        <f>IFERROR(__xludf.DUMMYFUNCTION("""COMPUTED_VALUE"""),40.5)</f>
        <v>40.5</v>
      </c>
      <c r="D114" s="2" t="str">
        <f>IFERROR(__xludf.DUMMYFUNCTION("""COMPUTED_VALUE"""),"Tamor")</f>
        <v>Tamor</v>
      </c>
      <c r="E114" s="2"/>
      <c r="F114" s="3">
        <f>IFERROR(__xludf.DUMMYFUNCTION("""COMPUTED_VALUE"""),59990.0)</f>
        <v>59990</v>
      </c>
      <c r="G114" s="2" t="str">
        <f>IFERROR(__xludf.DUMMYFUNCTION("""COMPUTED_VALUE"""),"Sangrila Energy Ltd")</f>
        <v>Sangrila Energy Ltd</v>
      </c>
      <c r="H114" s="2"/>
      <c r="I114" s="2" t="str">
        <f>IFERROR(__xludf.DUMMYFUNCTION("""COMPUTED_VALUE"""),"27o 00' 00""")</f>
        <v>27o 00' 00"</v>
      </c>
      <c r="J114" s="2" t="str">
        <f>IFERROR(__xludf.DUMMYFUNCTION("""COMPUTED_VALUE"""),"27o 11' 30""")</f>
        <v>27o 11' 30"</v>
      </c>
      <c r="K114" s="2" t="str">
        <f>IFERROR(__xludf.DUMMYFUNCTION("""COMPUTED_VALUE"""),"87o 31' 15""")</f>
        <v>87o 31' 15"</v>
      </c>
      <c r="L114" s="2" t="str">
        <f>IFERROR(__xludf.DUMMYFUNCTION("""COMPUTED_VALUE"""),"87o 43' 10""")</f>
        <v>87o 43' 10"</v>
      </c>
      <c r="M114" s="2" t="str">
        <f>IFERROR(__xludf.DUMMYFUNCTION("""COMPUTED_VALUE"""),"(Panchthar)")</f>
        <v>(Panchthar)</v>
      </c>
    </row>
    <row r="115">
      <c r="A115" s="2">
        <f>IFERROR(__xludf.DUMMYFUNCTION("""COMPUTED_VALUE"""),114.0)</f>
        <v>114</v>
      </c>
      <c r="B115" s="2" t="str">
        <f>IFERROR(__xludf.DUMMYFUNCTION("""COMPUTED_VALUE"""),"Chameliya")</f>
        <v>Chameliya</v>
      </c>
      <c r="C115" s="2">
        <f>IFERROR(__xludf.DUMMYFUNCTION("""COMPUTED_VALUE"""),9.925)</f>
        <v>9.925</v>
      </c>
      <c r="D115" s="2" t="str">
        <f>IFERROR(__xludf.DUMMYFUNCTION("""COMPUTED_VALUE"""),"Chameliya Khola")</f>
        <v>Chameliya Khola</v>
      </c>
      <c r="E115" s="2">
        <f>IFERROR(__xludf.DUMMYFUNCTION("""COMPUTED_VALUE"""),5100.0)</f>
        <v>5100</v>
      </c>
      <c r="F115" s="2" t="str">
        <f>IFERROR(__xludf.DUMMYFUNCTION("""COMPUTED_VALUE"""),"2064-03-32")</f>
        <v>2064-03-32</v>
      </c>
      <c r="G115" s="2" t="str">
        <f>IFERROR(__xludf.DUMMYFUNCTION("""COMPUTED_VALUE"""),"Tila Bahadur Rawal Bhakta Thakula")</f>
        <v>Tila Bahadur Rawal Bhakta Thakula</v>
      </c>
      <c r="H115" s="2" t="str">
        <f>IFERROR(__xludf.DUMMYFUNCTION("""COMPUTED_VALUE"""),"Tel 9851029034")</f>
        <v>Tel 9851029034</v>
      </c>
      <c r="I115" s="2" t="str">
        <f>IFERROR(__xludf.DUMMYFUNCTION("""COMPUTED_VALUE"""),"29o 49' 30""")</f>
        <v>29o 49' 30"</v>
      </c>
      <c r="J115" s="2" t="str">
        <f>IFERROR(__xludf.DUMMYFUNCTION("""COMPUTED_VALUE"""),"29o 51' 30""")</f>
        <v>29o 51' 30"</v>
      </c>
      <c r="K115" s="2" t="str">
        <f>IFERROR(__xludf.DUMMYFUNCTION("""COMPUTED_VALUE"""),"80o 52' 30""")</f>
        <v>80o 52' 30"</v>
      </c>
      <c r="L115" s="2" t="str">
        <f>IFERROR(__xludf.DUMMYFUNCTION("""COMPUTED_VALUE"""),"80o 54' 30""")</f>
        <v>80o 54' 30"</v>
      </c>
      <c r="M115" s="2" t="str">
        <f>IFERROR(__xludf.DUMMYFUNCTION("""COMPUTED_VALUE"""),"Ghusa (Darchula)")</f>
        <v>Ghusa (Darchula)</v>
      </c>
    </row>
    <row r="116">
      <c r="A116" s="2">
        <f>IFERROR(__xludf.DUMMYFUNCTION("""COMPUTED_VALUE"""),115.0)</f>
        <v>115</v>
      </c>
      <c r="B116" s="2" t="str">
        <f>IFERROR(__xludf.DUMMYFUNCTION("""COMPUTED_VALUE"""),"Mathillo Sardi Khola")</f>
        <v>Mathillo Sardi Khola</v>
      </c>
      <c r="C116" s="2">
        <f>IFERROR(__xludf.DUMMYFUNCTION("""COMPUTED_VALUE"""),0.099)</f>
        <v>0.099</v>
      </c>
      <c r="D116" s="2" t="str">
        <f>IFERROR(__xludf.DUMMYFUNCTION("""COMPUTED_VALUE"""),"Sardi")</f>
        <v>Sardi</v>
      </c>
      <c r="E116" s="2"/>
      <c r="F116" s="3">
        <f>IFERROR(__xludf.DUMMYFUNCTION("""COMPUTED_VALUE"""),59994.0)</f>
        <v>59994</v>
      </c>
      <c r="G116" s="2" t="str">
        <f>IFERROR(__xludf.DUMMYFUNCTION("""COMPUTED_VALUE"""),"Ramesh Nath Sharma")</f>
        <v>Ramesh Nath Sharma</v>
      </c>
      <c r="H116" s="2"/>
      <c r="I116" s="2" t="str">
        <f>IFERROR(__xludf.DUMMYFUNCTION("""COMPUTED_VALUE"""),"28o 22' 00""")</f>
        <v>28o 22' 00"</v>
      </c>
      <c r="J116" s="2" t="str">
        <f>IFERROR(__xludf.DUMMYFUNCTION("""COMPUTED_VALUE"""),"28o 24' 00""")</f>
        <v>28o 24' 00"</v>
      </c>
      <c r="K116" s="2" t="str">
        <f>IFERROR(__xludf.DUMMYFUNCTION("""COMPUTED_VALUE"""),"84o 01' 00""")</f>
        <v>84o 01' 00"</v>
      </c>
      <c r="L116" s="2" t="str">
        <f>IFERROR(__xludf.DUMMYFUNCTION("""COMPUTED_VALUE"""),"84o 04' 00""")</f>
        <v>84o 04' 00"</v>
      </c>
      <c r="M116" s="2" t="str">
        <f>IFERROR(__xludf.DUMMYFUNCTION("""COMPUTED_VALUE"""),"(Kaski)")</f>
        <v>(Kaski)</v>
      </c>
    </row>
    <row r="117">
      <c r="A117" s="2">
        <f>IFERROR(__xludf.DUMMYFUNCTION("""COMPUTED_VALUE"""),116.0)</f>
        <v>116</v>
      </c>
      <c r="B117" s="2" t="str">
        <f>IFERROR(__xludf.DUMMYFUNCTION("""COMPUTED_VALUE"""),"Nalsyaugad")</f>
        <v>Nalsyaugad</v>
      </c>
      <c r="C117" s="2">
        <f>IFERROR(__xludf.DUMMYFUNCTION("""COMPUTED_VALUE"""),18.0)</f>
        <v>18</v>
      </c>
      <c r="D117" s="2" t="str">
        <f>IFERROR(__xludf.DUMMYFUNCTION("""COMPUTED_VALUE"""),"Nalsyagu Gad")</f>
        <v>Nalsyagu Gad</v>
      </c>
      <c r="E117" s="2"/>
      <c r="F117" s="3">
        <f>IFERROR(__xludf.DUMMYFUNCTION("""COMPUTED_VALUE"""),59998.0)</f>
        <v>59998</v>
      </c>
      <c r="G117" s="2" t="str">
        <f>IFERROR(__xludf.DUMMYFUNCTION("""COMPUTED_VALUE"""),"Jal Urja P Ltd")</f>
        <v>Jal Urja P Ltd</v>
      </c>
      <c r="H117" s="2"/>
      <c r="I117" s="2" t="str">
        <f>IFERROR(__xludf.DUMMYFUNCTION("""COMPUTED_VALUE"""),"28o 47' 55""")</f>
        <v>28o 47' 55"</v>
      </c>
      <c r="J117" s="2" t="str">
        <f>IFERROR(__xludf.DUMMYFUNCTION("""COMPUTED_VALUE"""),"28o 52' 15""")</f>
        <v>28o 52' 15"</v>
      </c>
      <c r="K117" s="2" t="str">
        <f>IFERROR(__xludf.DUMMYFUNCTION("""COMPUTED_VALUE"""),"82o 16' 55""")</f>
        <v>82o 16' 55"</v>
      </c>
      <c r="L117" s="2" t="str">
        <f>IFERROR(__xludf.DUMMYFUNCTION("""COMPUTED_VALUE"""),"82o 18' 38""")</f>
        <v>82o 18' 38"</v>
      </c>
      <c r="M117" s="2" t="str">
        <f>IFERROR(__xludf.DUMMYFUNCTION("""COMPUTED_VALUE"""),"(Jajarkot)")</f>
        <v>(Jajarkot)</v>
      </c>
    </row>
    <row r="118">
      <c r="A118" s="2">
        <f>IFERROR(__xludf.DUMMYFUNCTION("""COMPUTED_VALUE"""),117.0)</f>
        <v>117</v>
      </c>
      <c r="B118" s="2" t="str">
        <f>IFERROR(__xludf.DUMMYFUNCTION("""COMPUTED_VALUE"""),"Super Madi")</f>
        <v>Super Madi</v>
      </c>
      <c r="C118" s="2">
        <f>IFERROR(__xludf.DUMMYFUNCTION("""COMPUTED_VALUE"""),4.4)</f>
        <v>4.4</v>
      </c>
      <c r="D118" s="2" t="str">
        <f>IFERROR(__xludf.DUMMYFUNCTION("""COMPUTED_VALUE"""),"Madi Khola")</f>
        <v>Madi Khola</v>
      </c>
      <c r="E118" s="2"/>
      <c r="F118" s="3">
        <f>IFERROR(__xludf.DUMMYFUNCTION("""COMPUTED_VALUE"""),60000.0)</f>
        <v>60000</v>
      </c>
      <c r="G118" s="2" t="str">
        <f>IFERROR(__xludf.DUMMYFUNCTION("""COMPUTED_VALUE"""),"Indravati Panchpokhari Power Dev. &amp; Ser.")</f>
        <v>Indravati Panchpokhari Power Dev. &amp; Ser.</v>
      </c>
      <c r="H118" s="2"/>
      <c r="I118" s="2" t="str">
        <f>IFERROR(__xludf.DUMMYFUNCTION("""COMPUTED_VALUE"""),"00o 00' 00""")</f>
        <v>00o 00' 00"</v>
      </c>
      <c r="J118" s="2" t="str">
        <f>IFERROR(__xludf.DUMMYFUNCTION("""COMPUTED_VALUE"""),"00o 00' 00""")</f>
        <v>00o 00' 00"</v>
      </c>
      <c r="K118" s="2" t="str">
        <f>IFERROR(__xludf.DUMMYFUNCTION("""COMPUTED_VALUE"""),"00o 00' 00""")</f>
        <v>00o 00' 00"</v>
      </c>
      <c r="L118" s="2" t="str">
        <f>IFERROR(__xludf.DUMMYFUNCTION("""COMPUTED_VALUE"""),"00o 00' 00""")</f>
        <v>00o 00' 00"</v>
      </c>
      <c r="M118" s="2" t="str">
        <f>IFERROR(__xludf.DUMMYFUNCTION("""COMPUTED_VALUE"""),"(Kaski)")</f>
        <v>(Kaski)</v>
      </c>
    </row>
    <row r="119">
      <c r="A119" s="2">
        <f>IFERROR(__xludf.DUMMYFUNCTION("""COMPUTED_VALUE"""),118.0)</f>
        <v>118</v>
      </c>
      <c r="B119" s="2" t="str">
        <f>IFERROR(__xludf.DUMMYFUNCTION("""COMPUTED_VALUE"""),"Madi-2")</f>
        <v>Madi-2</v>
      </c>
      <c r="C119" s="2">
        <f>IFERROR(__xludf.DUMMYFUNCTION("""COMPUTED_VALUE"""),16.0)</f>
        <v>16</v>
      </c>
      <c r="D119" s="2" t="str">
        <f>IFERROR(__xludf.DUMMYFUNCTION("""COMPUTED_VALUE"""),"Madi Khola")</f>
        <v>Madi Khola</v>
      </c>
      <c r="E119" s="2"/>
      <c r="F119" s="3">
        <f>IFERROR(__xludf.DUMMYFUNCTION("""COMPUTED_VALUE"""),60007.0)</f>
        <v>60007</v>
      </c>
      <c r="G119" s="2" t="str">
        <f>IFERROR(__xludf.DUMMYFUNCTION("""COMPUTED_VALUE"""),"Annapurna Bidyut P Ltd")</f>
        <v>Annapurna Bidyut P Ltd</v>
      </c>
      <c r="H119" s="2"/>
      <c r="I119" s="2" t="str">
        <f>IFERROR(__xludf.DUMMYFUNCTION("""COMPUTED_VALUE"""),"00o 00' 00""")</f>
        <v>00o 00' 00"</v>
      </c>
      <c r="J119" s="2" t="str">
        <f>IFERROR(__xludf.DUMMYFUNCTION("""COMPUTED_VALUE"""),"00o 00' 00""")</f>
        <v>00o 00' 00"</v>
      </c>
      <c r="K119" s="2" t="str">
        <f>IFERROR(__xludf.DUMMYFUNCTION("""COMPUTED_VALUE"""),"00o 00' 00""")</f>
        <v>00o 00' 00"</v>
      </c>
      <c r="L119" s="2" t="str">
        <f>IFERROR(__xludf.DUMMYFUNCTION("""COMPUTED_VALUE"""),"00o 00' 00""")</f>
        <v>00o 00' 00"</v>
      </c>
      <c r="M119" s="2" t="str">
        <f>IFERROR(__xludf.DUMMYFUNCTION("""COMPUTED_VALUE"""),"(Kaski)")</f>
        <v>(Kaski)</v>
      </c>
    </row>
    <row r="120">
      <c r="A120" s="2">
        <f>IFERROR(__xludf.DUMMYFUNCTION("""COMPUTED_VALUE"""),119.0)</f>
        <v>119</v>
      </c>
      <c r="B120" s="2" t="str">
        <f>IFERROR(__xludf.DUMMYFUNCTION("""COMPUTED_VALUE"""),"Upper RawaKhola-1")</f>
        <v>Upper RawaKhola-1</v>
      </c>
      <c r="C120" s="2">
        <f>IFERROR(__xludf.DUMMYFUNCTION("""COMPUTED_VALUE"""),2.803)</f>
        <v>2.803</v>
      </c>
      <c r="D120" s="2" t="str">
        <f>IFERROR(__xludf.DUMMYFUNCTION("""COMPUTED_VALUE"""),"Rawa Khola")</f>
        <v>Rawa Khola</v>
      </c>
      <c r="E120" s="2"/>
      <c r="F120" s="3">
        <f>IFERROR(__xludf.DUMMYFUNCTION("""COMPUTED_VALUE"""),60008.0)</f>
        <v>60008</v>
      </c>
      <c r="G120" s="2" t="str">
        <f>IFERROR(__xludf.DUMMYFUNCTION("""COMPUTED_VALUE"""),"Jayashowr Rai et al.")</f>
        <v>Jayashowr Rai et al.</v>
      </c>
      <c r="H120" s="2"/>
      <c r="I120" s="2" t="str">
        <f>IFERROR(__xludf.DUMMYFUNCTION("""COMPUTED_VALUE"""),"27o 18' 53""")</f>
        <v>27o 18' 53"</v>
      </c>
      <c r="J120" s="2" t="str">
        <f>IFERROR(__xludf.DUMMYFUNCTION("""COMPUTED_VALUE"""),"27o 21' 07""")</f>
        <v>27o 21' 07"</v>
      </c>
      <c r="K120" s="2" t="str">
        <f>IFERROR(__xludf.DUMMYFUNCTION("""COMPUTED_VALUE"""),"86o 46' 52""")</f>
        <v>86o 46' 52"</v>
      </c>
      <c r="L120" s="2" t="str">
        <f>IFERROR(__xludf.DUMMYFUNCTION("""COMPUTED_VALUE"""),"86o 50' 37""")</f>
        <v>86o 50' 37"</v>
      </c>
      <c r="M120" s="2" t="str">
        <f>IFERROR(__xludf.DUMMYFUNCTION("""COMPUTED_VALUE"""),"()")</f>
        <v>()</v>
      </c>
    </row>
    <row r="121">
      <c r="A121" s="2">
        <f>IFERROR(__xludf.DUMMYFUNCTION("""COMPUTED_VALUE"""),120.0)</f>
        <v>120</v>
      </c>
      <c r="B121" s="2" t="str">
        <f>IFERROR(__xludf.DUMMYFUNCTION("""COMPUTED_VALUE"""),"TapKhola")</f>
        <v>TapKhola</v>
      </c>
      <c r="C121" s="2">
        <f>IFERROR(__xludf.DUMMYFUNCTION("""COMPUTED_VALUE"""),4.954)</f>
        <v>4.954</v>
      </c>
      <c r="D121" s="2" t="str">
        <f>IFERROR(__xludf.DUMMYFUNCTION("""COMPUTED_VALUE"""),"Tap")</f>
        <v>Tap</v>
      </c>
      <c r="E121" s="2"/>
      <c r="F121" s="3">
        <f>IFERROR(__xludf.DUMMYFUNCTION("""COMPUTED_VALUE"""),60008.0)</f>
        <v>60008</v>
      </c>
      <c r="G121" s="2" t="str">
        <f>IFERROR(__xludf.DUMMYFUNCTION("""COMPUTED_VALUE"""),"Tank Rai, Bharat Prasad Dhalkal, Kamala Rai")</f>
        <v>Tank Rai, Bharat Prasad Dhalkal, Kamala Rai</v>
      </c>
      <c r="H121" s="2"/>
      <c r="I121" s="2" t="str">
        <f>IFERROR(__xludf.DUMMYFUNCTION("""COMPUTED_VALUE"""),"27o 17' 00""")</f>
        <v>27o 17' 00"</v>
      </c>
      <c r="J121" s="2" t="str">
        <f>IFERROR(__xludf.DUMMYFUNCTION("""COMPUTED_VALUE"""),"27o 19' 30""")</f>
        <v>27o 19' 30"</v>
      </c>
      <c r="K121" s="2" t="str">
        <f>IFERROR(__xludf.DUMMYFUNCTION("""COMPUTED_VALUE"""),"86o 46' 10""")</f>
        <v>86o 46' 10"</v>
      </c>
      <c r="L121" s="2" t="str">
        <f>IFERROR(__xludf.DUMMYFUNCTION("""COMPUTED_VALUE"""),"86o 54' 20""")</f>
        <v>86o 54' 20"</v>
      </c>
      <c r="M121" s="2" t="str">
        <f>IFERROR(__xludf.DUMMYFUNCTION("""COMPUTED_VALUE"""),"(Khotang)")</f>
        <v>(Khotang)</v>
      </c>
    </row>
    <row r="122">
      <c r="A122" s="2">
        <f>IFERROR(__xludf.DUMMYFUNCTION("""COMPUTED_VALUE"""),121.0)</f>
        <v>121</v>
      </c>
      <c r="B122" s="2" t="str">
        <f>IFERROR(__xludf.DUMMYFUNCTION("""COMPUTED_VALUE"""),"Mathillo Charange")</f>
        <v>Mathillo Charange</v>
      </c>
      <c r="C122" s="2">
        <f>IFERROR(__xludf.DUMMYFUNCTION("""COMPUTED_VALUE"""),0.5)</f>
        <v>0.5</v>
      </c>
      <c r="D122" s="2" t="str">
        <f>IFERROR(__xludf.DUMMYFUNCTION("""COMPUTED_VALUE"""),"Charange")</f>
        <v>Charange</v>
      </c>
      <c r="E122" s="2"/>
      <c r="F122" s="3">
        <f>IFERROR(__xludf.DUMMYFUNCTION("""COMPUTED_VALUE"""),60008.0)</f>
        <v>60008</v>
      </c>
      <c r="G122" s="2" t="str">
        <f>IFERROR(__xludf.DUMMYFUNCTION("""COMPUTED_VALUE"""),"Dorje Lama")</f>
        <v>Dorje Lama</v>
      </c>
      <c r="H122" s="2"/>
      <c r="I122" s="2" t="str">
        <f>IFERROR(__xludf.DUMMYFUNCTION("""COMPUTED_VALUE"""),"27o 40' 30""")</f>
        <v>27o 40' 30"</v>
      </c>
      <c r="J122" s="2" t="str">
        <f>IFERROR(__xludf.DUMMYFUNCTION("""COMPUTED_VALUE"""),"27o 41' 41""")</f>
        <v>27o 41' 41"</v>
      </c>
      <c r="K122" s="2" t="str">
        <f>IFERROR(__xludf.DUMMYFUNCTION("""COMPUTED_VALUE"""),"85o 59' 15""")</f>
        <v>85o 59' 15"</v>
      </c>
      <c r="L122" s="2" t="str">
        <f>IFERROR(__xludf.DUMMYFUNCTION("""COMPUTED_VALUE"""),"86o 00' 23""")</f>
        <v>86o 00' 23"</v>
      </c>
      <c r="M122" s="2" t="str">
        <f>IFERROR(__xludf.DUMMYFUNCTION("""COMPUTED_VALUE"""),"(Dolakha)")</f>
        <v>(Dolakha)</v>
      </c>
    </row>
    <row r="123">
      <c r="A123" s="2">
        <f>IFERROR(__xludf.DUMMYFUNCTION("""COMPUTED_VALUE"""),122.0)</f>
        <v>122</v>
      </c>
      <c r="B123" s="2" t="str">
        <f>IFERROR(__xludf.DUMMYFUNCTION("""COMPUTED_VALUE"""),"Upper Indrawati - 2A")</f>
        <v>Upper Indrawati - 2A</v>
      </c>
      <c r="C123" s="2">
        <f>IFERROR(__xludf.DUMMYFUNCTION("""COMPUTED_VALUE"""),0.998)</f>
        <v>0.998</v>
      </c>
      <c r="D123" s="2" t="str">
        <f>IFERROR(__xludf.DUMMYFUNCTION("""COMPUTED_VALUE"""),"Indrawati Khola")</f>
        <v>Indrawati Khola</v>
      </c>
      <c r="E123" s="2"/>
      <c r="F123" s="3">
        <f>IFERROR(__xludf.DUMMYFUNCTION("""COMPUTED_VALUE"""),60009.0)</f>
        <v>60009</v>
      </c>
      <c r="G123" s="2" t="str">
        <f>IFERROR(__xludf.DUMMYFUNCTION("""COMPUTED_VALUE"""),"Om krishna Shrestha")</f>
        <v>Om krishna Shrestha</v>
      </c>
      <c r="H123" s="2"/>
      <c r="I123" s="2" t="str">
        <f>IFERROR(__xludf.DUMMYFUNCTION("""COMPUTED_VALUE"""),"27o 26' 15""")</f>
        <v>27o 26' 15"</v>
      </c>
      <c r="J123" s="2" t="str">
        <f>IFERROR(__xludf.DUMMYFUNCTION("""COMPUTED_VALUE"""),"27o 58' 30""")</f>
        <v>27o 58' 30"</v>
      </c>
      <c r="K123" s="2" t="str">
        <f>IFERROR(__xludf.DUMMYFUNCTION("""COMPUTED_VALUE"""),"85o 37' 30""")</f>
        <v>85o 37' 30"</v>
      </c>
      <c r="L123" s="2" t="str">
        <f>IFERROR(__xludf.DUMMYFUNCTION("""COMPUTED_VALUE"""),"85o 39' 30""")</f>
        <v>85o 39' 30"</v>
      </c>
      <c r="M123" s="2" t="str">
        <f>IFERROR(__xludf.DUMMYFUNCTION("""COMPUTED_VALUE"""),"(Sindhupalchok)")</f>
        <v>(Sindhupalchok)</v>
      </c>
    </row>
    <row r="124">
      <c r="A124" s="2">
        <f>IFERROR(__xludf.DUMMYFUNCTION("""COMPUTED_VALUE"""),123.0)</f>
        <v>123</v>
      </c>
      <c r="B124" s="2" t="str">
        <f>IFERROR(__xludf.DUMMYFUNCTION("""COMPUTED_VALUE"""),"Super Budhi Gandaki")</f>
        <v>Super Budhi Gandaki</v>
      </c>
      <c r="C124" s="2">
        <f>IFERROR(__xludf.DUMMYFUNCTION("""COMPUTED_VALUE"""),85.0)</f>
        <v>85</v>
      </c>
      <c r="D124" s="2" t="str">
        <f>IFERROR(__xludf.DUMMYFUNCTION("""COMPUTED_VALUE"""),"Budhi Gandaki")</f>
        <v>Budhi Gandaki</v>
      </c>
      <c r="E124" s="2">
        <f>IFERROR(__xludf.DUMMYFUNCTION("""COMPUTED_VALUE"""),220.0)</f>
        <v>220</v>
      </c>
      <c r="F124" s="3">
        <f>IFERROR(__xludf.DUMMYFUNCTION("""COMPUTED_VALUE"""),60012.0)</f>
        <v>60012</v>
      </c>
      <c r="G124" s="2" t="str">
        <f>IFERROR(__xludf.DUMMYFUNCTION("""COMPUTED_VALUE"""),"Prashant Shali Panta changed to Super Budhigandaki h p C p Ltd")</f>
        <v>Prashant Shali Panta changed to Super Budhigandaki h p C p Ltd</v>
      </c>
      <c r="H124" s="2" t="str">
        <f>IFERROR(__xludf.DUMMYFUNCTION("""COMPUTED_VALUE"""),"New Baneswor, Kathmandu Tel : 4480251")</f>
        <v>New Baneswor, Kathmandu Tel : 4480251</v>
      </c>
      <c r="I124" s="2" t="str">
        <f>IFERROR(__xludf.DUMMYFUNCTION("""COMPUTED_VALUE"""),"28o 30' 43""")</f>
        <v>28o 30' 43"</v>
      </c>
      <c r="J124" s="2" t="str">
        <f>IFERROR(__xludf.DUMMYFUNCTION("""COMPUTED_VALUE"""),"28o 34' 04""")</f>
        <v>28o 34' 04"</v>
      </c>
      <c r="K124" s="2" t="str">
        <f>IFERROR(__xludf.DUMMYFUNCTION("""COMPUTED_VALUE"""),"84o 45' 00""")</f>
        <v>84o 45' 00"</v>
      </c>
      <c r="L124" s="2" t="str">
        <f>IFERROR(__xludf.DUMMYFUNCTION("""COMPUTED_VALUE"""),"84o 50' 53""")</f>
        <v>84o 50' 53"</v>
      </c>
      <c r="M124" s="2" t="str">
        <f>IFERROR(__xludf.DUMMYFUNCTION("""COMPUTED_VALUE"""),",Lho,Prok (Gorkha)")</f>
        <v>,Lho,Prok (Gorkha)</v>
      </c>
    </row>
    <row r="125">
      <c r="A125" s="2">
        <f>IFERROR(__xludf.DUMMYFUNCTION("""COMPUTED_VALUE"""),124.0)</f>
        <v>124</v>
      </c>
      <c r="B125" s="2" t="str">
        <f>IFERROR(__xludf.DUMMYFUNCTION("""COMPUTED_VALUE"""),"Molung Khola")</f>
        <v>Molung Khola</v>
      </c>
      <c r="C125" s="2">
        <f>IFERROR(__xludf.DUMMYFUNCTION("""COMPUTED_VALUE"""),4.44)</f>
        <v>4.44</v>
      </c>
      <c r="D125" s="2" t="str">
        <f>IFERROR(__xludf.DUMMYFUNCTION("""COMPUTED_VALUE"""),"Molung")</f>
        <v>Molung</v>
      </c>
      <c r="E125" s="2"/>
      <c r="F125" s="3">
        <f>IFERROR(__xludf.DUMMYFUNCTION("""COMPUTED_VALUE"""),60013.0)</f>
        <v>60013</v>
      </c>
      <c r="G125" s="2" t="str">
        <f>IFERROR(__xludf.DUMMYFUNCTION("""COMPUTED_VALUE"""),"Krishna Kumar Shah")</f>
        <v>Krishna Kumar Shah</v>
      </c>
      <c r="H125" s="2"/>
      <c r="I125" s="2" t="str">
        <f>IFERROR(__xludf.DUMMYFUNCTION("""COMPUTED_VALUE"""),"27o 15' 00""")</f>
        <v>27o 15' 00"</v>
      </c>
      <c r="J125" s="2" t="str">
        <f>IFERROR(__xludf.DUMMYFUNCTION("""COMPUTED_VALUE"""),"27o 20' 00""")</f>
        <v>27o 20' 00"</v>
      </c>
      <c r="K125" s="2" t="str">
        <f>IFERROR(__xludf.DUMMYFUNCTION("""COMPUTED_VALUE"""),"86o 25' 00""")</f>
        <v>86o 25' 00"</v>
      </c>
      <c r="L125" s="2" t="str">
        <f>IFERROR(__xludf.DUMMYFUNCTION("""COMPUTED_VALUE"""),"86o 27' 30""")</f>
        <v>86o 27' 30"</v>
      </c>
      <c r="M125" s="2" t="str">
        <f>IFERROR(__xludf.DUMMYFUNCTION("""COMPUTED_VALUE"""),"(Okhaldhunga)")</f>
        <v>(Okhaldhunga)</v>
      </c>
    </row>
    <row r="126">
      <c r="A126" s="2">
        <f>IFERROR(__xludf.DUMMYFUNCTION("""COMPUTED_VALUE"""),125.0)</f>
        <v>125</v>
      </c>
      <c r="B126" s="2" t="str">
        <f>IFERROR(__xludf.DUMMYFUNCTION("""COMPUTED_VALUE"""),"Setikhola")</f>
        <v>Setikhola</v>
      </c>
      <c r="C126" s="2">
        <f>IFERROR(__xludf.DUMMYFUNCTION("""COMPUTED_VALUE"""),12.0)</f>
        <v>12</v>
      </c>
      <c r="D126" s="2" t="str">
        <f>IFERROR(__xludf.DUMMYFUNCTION("""COMPUTED_VALUE"""),"West Seti")</f>
        <v>West Seti</v>
      </c>
      <c r="E126" s="2"/>
      <c r="F126" s="3">
        <f>IFERROR(__xludf.DUMMYFUNCTION("""COMPUTED_VALUE"""),60014.0)</f>
        <v>60014</v>
      </c>
      <c r="G126" s="2" t="str">
        <f>IFERROR(__xludf.DUMMYFUNCTION("""COMPUTED_VALUE"""),"IL&amp;FS Nepal Infrastructure Development Company")</f>
        <v>IL&amp;FS Nepal Infrastructure Development Company</v>
      </c>
      <c r="H126" s="2" t="str">
        <f>IFERROR(__xludf.DUMMYFUNCTION("""COMPUTED_VALUE"""),"Balkhu -14 , Tekusi, Kathmandu")</f>
        <v>Balkhu -14 , Tekusi, Kathmandu</v>
      </c>
      <c r="I126" s="2" t="str">
        <f>IFERROR(__xludf.DUMMYFUNCTION("""COMPUTED_VALUE"""),"29o 26' 41""")</f>
        <v>29o 26' 41"</v>
      </c>
      <c r="J126" s="2" t="str">
        <f>IFERROR(__xludf.DUMMYFUNCTION("""COMPUTED_VALUE"""),"29o 30' 00""")</f>
        <v>29o 30' 00"</v>
      </c>
      <c r="K126" s="2" t="str">
        <f>IFERROR(__xludf.DUMMYFUNCTION("""COMPUTED_VALUE"""),"80o 56' 53""")</f>
        <v>80o 56' 53"</v>
      </c>
      <c r="L126" s="2" t="str">
        <f>IFERROR(__xludf.DUMMYFUNCTION("""COMPUTED_VALUE"""),"81o 03' 13""")</f>
        <v>81o 03' 13"</v>
      </c>
      <c r="M126" s="2" t="str">
        <f>IFERROR(__xludf.DUMMYFUNCTION("""COMPUTED_VALUE"""),"(Bajhang)")</f>
        <v>(Bajhang)</v>
      </c>
    </row>
    <row r="127">
      <c r="A127" s="2">
        <f>IFERROR(__xludf.DUMMYFUNCTION("""COMPUTED_VALUE"""),126.0)</f>
        <v>126</v>
      </c>
      <c r="B127" s="2" t="str">
        <f>IFERROR(__xludf.DUMMYFUNCTION("""COMPUTED_VALUE"""),"Badi Gad Khola")</f>
        <v>Badi Gad Khola</v>
      </c>
      <c r="C127" s="2">
        <f>IFERROR(__xludf.DUMMYFUNCTION("""COMPUTED_VALUE"""),30.0)</f>
        <v>30</v>
      </c>
      <c r="D127" s="2" t="str">
        <f>IFERROR(__xludf.DUMMYFUNCTION("""COMPUTED_VALUE"""),"Badigad")</f>
        <v>Badigad</v>
      </c>
      <c r="E127" s="2"/>
      <c r="F127" s="3">
        <f>IFERROR(__xludf.DUMMYFUNCTION("""COMPUTED_VALUE"""),60015.0)</f>
        <v>60015</v>
      </c>
      <c r="G127" s="2" t="str">
        <f>IFERROR(__xludf.DUMMYFUNCTION("""COMPUTED_VALUE"""),"PMG Engineering Consulting P Ltd")</f>
        <v>PMG Engineering Consulting P Ltd</v>
      </c>
      <c r="H127" s="2"/>
      <c r="I127" s="2" t="str">
        <f>IFERROR(__xludf.DUMMYFUNCTION("""COMPUTED_VALUE"""),"27o 57' 32""")</f>
        <v>27o 57' 32"</v>
      </c>
      <c r="J127" s="2" t="str">
        <f>IFERROR(__xludf.DUMMYFUNCTION("""COMPUTED_VALUE"""),"28o 02' 08""")</f>
        <v>28o 02' 08"</v>
      </c>
      <c r="K127" s="2" t="str">
        <f>IFERROR(__xludf.DUMMYFUNCTION("""COMPUTED_VALUE"""),"83o 24' 36""")</f>
        <v>83o 24' 36"</v>
      </c>
      <c r="L127" s="2" t="str">
        <f>IFERROR(__xludf.DUMMYFUNCTION("""COMPUTED_VALUE"""),"83o 26' 36""")</f>
        <v>83o 26' 36"</v>
      </c>
      <c r="M127" s="2" t="str">
        <f>IFERROR(__xludf.DUMMYFUNCTION("""COMPUTED_VALUE"""),"(Gulmi)")</f>
        <v>(Gulmi)</v>
      </c>
    </row>
    <row r="128">
      <c r="A128" s="2">
        <f>IFERROR(__xludf.DUMMYFUNCTION("""COMPUTED_VALUE"""),127.0)</f>
        <v>127</v>
      </c>
      <c r="B128" s="2" t="str">
        <f>IFERROR(__xludf.DUMMYFUNCTION("""COMPUTED_VALUE"""),"Seti Khola")</f>
        <v>Seti Khola</v>
      </c>
      <c r="C128" s="2">
        <f>IFERROR(__xludf.DUMMYFUNCTION("""COMPUTED_VALUE"""),5.0)</f>
        <v>5</v>
      </c>
      <c r="D128" s="2" t="str">
        <f>IFERROR(__xludf.DUMMYFUNCTION("""COMPUTED_VALUE"""),"Seti Khola")</f>
        <v>Seti Khola</v>
      </c>
      <c r="E128" s="2"/>
      <c r="F128" s="3">
        <f>IFERROR(__xludf.DUMMYFUNCTION("""COMPUTED_VALUE"""),60015.0)</f>
        <v>60015</v>
      </c>
      <c r="G128" s="2" t="str">
        <f>IFERROR(__xludf.DUMMYFUNCTION("""COMPUTED_VALUE"""),"P.M.G. Engineering Consultancy")</f>
        <v>P.M.G. Engineering Consultancy</v>
      </c>
      <c r="H128" s="2"/>
      <c r="I128" s="2" t="str">
        <f>IFERROR(__xludf.DUMMYFUNCTION("""COMPUTED_VALUE"""),"28o 00' 20""")</f>
        <v>28o 00' 20"</v>
      </c>
      <c r="J128" s="2" t="str">
        <f>IFERROR(__xludf.DUMMYFUNCTION("""COMPUTED_VALUE"""),"28o 02' 24""")</f>
        <v>28o 02' 24"</v>
      </c>
      <c r="K128" s="2" t="str">
        <f>IFERROR(__xludf.DUMMYFUNCTION("""COMPUTED_VALUE"""),"83o 38' 17""")</f>
        <v>83o 38' 17"</v>
      </c>
      <c r="L128" s="2" t="str">
        <f>IFERROR(__xludf.DUMMYFUNCTION("""COMPUTED_VALUE"""),"83o 39' 09""")</f>
        <v>83o 39' 09"</v>
      </c>
      <c r="M128" s="2" t="str">
        <f>IFERROR(__xludf.DUMMYFUNCTION("""COMPUTED_VALUE"""),"(Kaski)")</f>
        <v>(Kaski)</v>
      </c>
    </row>
    <row r="129">
      <c r="A129" s="2">
        <f>IFERROR(__xludf.DUMMYFUNCTION("""COMPUTED_VALUE"""),128.0)</f>
        <v>128</v>
      </c>
      <c r="B129" s="2" t="str">
        <f>IFERROR(__xludf.DUMMYFUNCTION("""COMPUTED_VALUE"""),"Madi-2")</f>
        <v>Madi-2</v>
      </c>
      <c r="C129" s="2">
        <f>IFERROR(__xludf.DUMMYFUNCTION("""COMPUTED_VALUE"""),16.0)</f>
        <v>16</v>
      </c>
      <c r="D129" s="2" t="str">
        <f>IFERROR(__xludf.DUMMYFUNCTION("""COMPUTED_VALUE"""),"Madi Khola")</f>
        <v>Madi Khola</v>
      </c>
      <c r="E129" s="2"/>
      <c r="F129" s="3">
        <f>IFERROR(__xludf.DUMMYFUNCTION("""COMPUTED_VALUE"""),60015.0)</f>
        <v>60015</v>
      </c>
      <c r="G129" s="2" t="str">
        <f>IFERROR(__xludf.DUMMYFUNCTION("""COMPUTED_VALUE"""),"Mountain Energy Nepal P Ltd")</f>
        <v>Mountain Energy Nepal P Ltd</v>
      </c>
      <c r="H129" s="2"/>
      <c r="I129" s="2" t="str">
        <f>IFERROR(__xludf.DUMMYFUNCTION("""COMPUTED_VALUE"""),"00o 00' 00""")</f>
        <v>00o 00' 00"</v>
      </c>
      <c r="J129" s="2" t="str">
        <f>IFERROR(__xludf.DUMMYFUNCTION("""COMPUTED_VALUE"""),"00o 00' 00""")</f>
        <v>00o 00' 00"</v>
      </c>
      <c r="K129" s="2" t="str">
        <f>IFERROR(__xludf.DUMMYFUNCTION("""COMPUTED_VALUE"""),"00o 00' 00""")</f>
        <v>00o 00' 00"</v>
      </c>
      <c r="L129" s="2" t="str">
        <f>IFERROR(__xludf.DUMMYFUNCTION("""COMPUTED_VALUE"""),"00o 00' 00""")</f>
        <v>00o 00' 00"</v>
      </c>
      <c r="M129" s="2" t="str">
        <f>IFERROR(__xludf.DUMMYFUNCTION("""COMPUTED_VALUE"""),"(Kaski)")</f>
        <v>(Kaski)</v>
      </c>
    </row>
    <row r="130">
      <c r="A130" s="2">
        <f>IFERROR(__xludf.DUMMYFUNCTION("""COMPUTED_VALUE"""),129.0)</f>
        <v>129</v>
      </c>
      <c r="B130" s="2" t="str">
        <f>IFERROR(__xludf.DUMMYFUNCTION("""COMPUTED_VALUE"""),"Middle Mai Khola")</f>
        <v>Middle Mai Khola</v>
      </c>
      <c r="C130" s="2">
        <f>IFERROR(__xludf.DUMMYFUNCTION("""COMPUTED_VALUE"""),4.0)</f>
        <v>4</v>
      </c>
      <c r="D130" s="2" t="str">
        <f>IFERROR(__xludf.DUMMYFUNCTION("""COMPUTED_VALUE"""),"Mai Khola")</f>
        <v>Mai Khola</v>
      </c>
      <c r="E130" s="2"/>
      <c r="F130" s="3">
        <f>IFERROR(__xludf.DUMMYFUNCTION("""COMPUTED_VALUE"""),60015.0)</f>
        <v>60015</v>
      </c>
      <c r="G130" s="2" t="str">
        <f>IFERROR(__xludf.DUMMYFUNCTION("""COMPUTED_VALUE"""),"Harati Hydropower P. Ltd.")</f>
        <v>Harati Hydropower P. Ltd.</v>
      </c>
      <c r="H130" s="2"/>
      <c r="I130" s="2" t="str">
        <f>IFERROR(__xludf.DUMMYFUNCTION("""COMPUTED_VALUE"""),"26o 53' 00""")</f>
        <v>26o 53' 00"</v>
      </c>
      <c r="J130" s="2" t="str">
        <f>IFERROR(__xludf.DUMMYFUNCTION("""COMPUTED_VALUE"""),"26o 55' 30""")</f>
        <v>26o 55' 30"</v>
      </c>
      <c r="K130" s="2" t="str">
        <f>IFERROR(__xludf.DUMMYFUNCTION("""COMPUTED_VALUE"""),"87o 56' 38""")</f>
        <v>87o 56' 38"</v>
      </c>
      <c r="L130" s="2" t="str">
        <f>IFERROR(__xludf.DUMMYFUNCTION("""COMPUTED_VALUE"""),"87o 57' 30""")</f>
        <v>87o 57' 30"</v>
      </c>
      <c r="M130" s="2" t="str">
        <f>IFERROR(__xludf.DUMMYFUNCTION("""COMPUTED_VALUE"""),"(Ilam)")</f>
        <v>(Ilam)</v>
      </c>
    </row>
    <row r="131">
      <c r="A131" s="2">
        <f>IFERROR(__xludf.DUMMYFUNCTION("""COMPUTED_VALUE"""),130.0)</f>
        <v>130</v>
      </c>
      <c r="B131" s="2" t="str">
        <f>IFERROR(__xludf.DUMMYFUNCTION("""COMPUTED_VALUE"""),"Upper Deu Mai Khola")</f>
        <v>Upper Deu Mai Khola</v>
      </c>
      <c r="C131" s="2">
        <f>IFERROR(__xludf.DUMMYFUNCTION("""COMPUTED_VALUE"""),3.7)</f>
        <v>3.7</v>
      </c>
      <c r="D131" s="2" t="str">
        <f>IFERROR(__xludf.DUMMYFUNCTION("""COMPUTED_VALUE"""),"Deu Mai")</f>
        <v>Deu Mai</v>
      </c>
      <c r="E131" s="2"/>
      <c r="F131" s="3">
        <f>IFERROR(__xludf.DUMMYFUNCTION("""COMPUTED_VALUE"""),60020.0)</f>
        <v>60020</v>
      </c>
      <c r="G131" s="2" t="str">
        <f>IFERROR(__xludf.DUMMYFUNCTION("""COMPUTED_VALUE"""),"Krishna P Sapkota")</f>
        <v>Krishna P Sapkota</v>
      </c>
      <c r="H131" s="2"/>
      <c r="I131" s="2" t="str">
        <f>IFERROR(__xludf.DUMMYFUNCTION("""COMPUTED_VALUE"""),"26o 54' 40""")</f>
        <v>26o 54' 40"</v>
      </c>
      <c r="J131" s="2" t="str">
        <f>IFERROR(__xludf.DUMMYFUNCTION("""COMPUTED_VALUE"""),"26o 57' 50""")</f>
        <v>26o 57' 50"</v>
      </c>
      <c r="K131" s="2" t="str">
        <f>IFERROR(__xludf.DUMMYFUNCTION("""COMPUTED_VALUE"""),"87o 46' 15""")</f>
        <v>87o 46' 15"</v>
      </c>
      <c r="L131" s="2" t="str">
        <f>IFERROR(__xludf.DUMMYFUNCTION("""COMPUTED_VALUE"""),"87o 48' 55""")</f>
        <v>87o 48' 55"</v>
      </c>
      <c r="M131" s="2" t="str">
        <f>IFERROR(__xludf.DUMMYFUNCTION("""COMPUTED_VALUE"""),"(Ilam)")</f>
        <v>(Ilam)</v>
      </c>
    </row>
    <row r="132">
      <c r="A132" s="2">
        <f>IFERROR(__xludf.DUMMYFUNCTION("""COMPUTED_VALUE"""),131.0)</f>
        <v>131</v>
      </c>
      <c r="B132" s="2" t="str">
        <f>IFERROR(__xludf.DUMMYFUNCTION("""COMPUTED_VALUE"""),"Tamakoshi")</f>
        <v>Tamakoshi</v>
      </c>
      <c r="C132" s="2">
        <f>IFERROR(__xludf.DUMMYFUNCTION("""COMPUTED_VALUE"""),24.0)</f>
        <v>24</v>
      </c>
      <c r="D132" s="2" t="str">
        <f>IFERROR(__xludf.DUMMYFUNCTION("""COMPUTED_VALUE"""),"Tama Koshi")</f>
        <v>Tama Koshi</v>
      </c>
      <c r="E132" s="2"/>
      <c r="F132" s="3">
        <f>IFERROR(__xludf.DUMMYFUNCTION("""COMPUTED_VALUE"""),60021.0)</f>
        <v>60021</v>
      </c>
      <c r="G132" s="2" t="str">
        <f>IFERROR(__xludf.DUMMYFUNCTION("""COMPUTED_VALUE"""),"Pradimna Man Kayastha")</f>
        <v>Pradimna Man Kayastha</v>
      </c>
      <c r="H132" s="2"/>
      <c r="I132" s="2" t="str">
        <f>IFERROR(__xludf.DUMMYFUNCTION("""COMPUTED_VALUE"""),"00o 00' 00""")</f>
        <v>00o 00' 00"</v>
      </c>
      <c r="J132" s="2" t="str">
        <f>IFERROR(__xludf.DUMMYFUNCTION("""COMPUTED_VALUE"""),"00o 00' 00""")</f>
        <v>00o 00' 00"</v>
      </c>
      <c r="K132" s="2" t="str">
        <f>IFERROR(__xludf.DUMMYFUNCTION("""COMPUTED_VALUE"""),"00o 00' 00""")</f>
        <v>00o 00' 00"</v>
      </c>
      <c r="L132" s="2" t="str">
        <f>IFERROR(__xludf.DUMMYFUNCTION("""COMPUTED_VALUE"""),"00o 00' 00""")</f>
        <v>00o 00' 00"</v>
      </c>
      <c r="M132" s="2" t="str">
        <f>IFERROR(__xludf.DUMMYFUNCTION("""COMPUTED_VALUE"""),"(Dolakha)")</f>
        <v>(Dolakha)</v>
      </c>
    </row>
    <row r="133">
      <c r="A133" s="2">
        <f>IFERROR(__xludf.DUMMYFUNCTION("""COMPUTED_VALUE"""),132.0)</f>
        <v>132</v>
      </c>
      <c r="B133" s="2" t="str">
        <f>IFERROR(__xludf.DUMMYFUNCTION("""COMPUTED_VALUE"""),"Chepe Khola")</f>
        <v>Chepe Khola</v>
      </c>
      <c r="C133" s="2">
        <f>IFERROR(__xludf.DUMMYFUNCTION("""COMPUTED_VALUE"""),4.0)</f>
        <v>4</v>
      </c>
      <c r="D133" s="2" t="str">
        <f>IFERROR(__xludf.DUMMYFUNCTION("""COMPUTED_VALUE"""),"Chepe Khola")</f>
        <v>Chepe Khola</v>
      </c>
      <c r="E133" s="2"/>
      <c r="F133" s="3">
        <f>IFERROR(__xludf.DUMMYFUNCTION("""COMPUTED_VALUE"""),60022.0)</f>
        <v>60022</v>
      </c>
      <c r="G133" s="2" t="str">
        <f>IFERROR(__xludf.DUMMYFUNCTION("""COMPUTED_VALUE"""),"Pradip Pande")</f>
        <v>Pradip Pande</v>
      </c>
      <c r="H133" s="2"/>
      <c r="I133" s="2" t="str">
        <f>IFERROR(__xludf.DUMMYFUNCTION("""COMPUTED_VALUE"""),"28o 08' 13""")</f>
        <v>28o 08' 13"</v>
      </c>
      <c r="J133" s="2" t="str">
        <f>IFERROR(__xludf.DUMMYFUNCTION("""COMPUTED_VALUE"""),"28o 08' 38""")</f>
        <v>28o 08' 38"</v>
      </c>
      <c r="K133" s="2" t="str">
        <f>IFERROR(__xludf.DUMMYFUNCTION("""COMPUTED_VALUE"""),"84o 34' 36""")</f>
        <v>84o 34' 36"</v>
      </c>
      <c r="L133" s="2" t="str">
        <f>IFERROR(__xludf.DUMMYFUNCTION("""COMPUTED_VALUE"""),"84o 35' 45""")</f>
        <v>84o 35' 45"</v>
      </c>
      <c r="M133" s="2" t="str">
        <f>IFERROR(__xludf.DUMMYFUNCTION("""COMPUTED_VALUE"""),"(Lamjung)")</f>
        <v>(Lamjung)</v>
      </c>
    </row>
    <row r="134">
      <c r="A134" s="2">
        <f>IFERROR(__xludf.DUMMYFUNCTION("""COMPUTED_VALUE"""),133.0)</f>
        <v>133</v>
      </c>
      <c r="B134" s="2" t="str">
        <f>IFERROR(__xludf.DUMMYFUNCTION("""COMPUTED_VALUE"""),"Upper Sunkoshi")</f>
        <v>Upper Sunkoshi</v>
      </c>
      <c r="C134" s="2">
        <f>IFERROR(__xludf.DUMMYFUNCTION("""COMPUTED_VALUE"""),2.2)</f>
        <v>2.2</v>
      </c>
      <c r="D134" s="2" t="str">
        <f>IFERROR(__xludf.DUMMYFUNCTION("""COMPUTED_VALUE"""),"Sun Koshi")</f>
        <v>Sun Koshi</v>
      </c>
      <c r="E134" s="2"/>
      <c r="F134" s="3">
        <f>IFERROR(__xludf.DUMMYFUNCTION("""COMPUTED_VALUE"""),60022.0)</f>
        <v>60022</v>
      </c>
      <c r="G134" s="2" t="str">
        <f>IFERROR(__xludf.DUMMYFUNCTION("""COMPUTED_VALUE"""),"Sanima HP")</f>
        <v>Sanima HP</v>
      </c>
      <c r="H134" s="2"/>
      <c r="I134" s="2" t="str">
        <f>IFERROR(__xludf.DUMMYFUNCTION("""COMPUTED_VALUE"""),"00o 00' 00""")</f>
        <v>00o 00' 00"</v>
      </c>
      <c r="J134" s="2" t="str">
        <f>IFERROR(__xludf.DUMMYFUNCTION("""COMPUTED_VALUE"""),"00o 00' 00""")</f>
        <v>00o 00' 00"</v>
      </c>
      <c r="K134" s="2" t="str">
        <f>IFERROR(__xludf.DUMMYFUNCTION("""COMPUTED_VALUE"""),"00o 00' 00""")</f>
        <v>00o 00' 00"</v>
      </c>
      <c r="L134" s="2" t="str">
        <f>IFERROR(__xludf.DUMMYFUNCTION("""COMPUTED_VALUE"""),"00o 00' 00""")</f>
        <v>00o 00' 00"</v>
      </c>
      <c r="M134" s="2" t="str">
        <f>IFERROR(__xludf.DUMMYFUNCTION("""COMPUTED_VALUE"""),"(Sindhupalchok)")</f>
        <v>(Sindhupalchok)</v>
      </c>
    </row>
    <row r="135">
      <c r="A135" s="2">
        <f>IFERROR(__xludf.DUMMYFUNCTION("""COMPUTED_VALUE"""),134.0)</f>
        <v>134</v>
      </c>
      <c r="B135" s="2" t="str">
        <f>IFERROR(__xludf.DUMMYFUNCTION("""COMPUTED_VALUE"""),"Lower Arun")</f>
        <v>Lower Arun</v>
      </c>
      <c r="C135" s="2">
        <f>IFERROR(__xludf.DUMMYFUNCTION("""COMPUTED_VALUE"""),308.0)</f>
        <v>308</v>
      </c>
      <c r="D135" s="2" t="str">
        <f>IFERROR(__xludf.DUMMYFUNCTION("""COMPUTED_VALUE"""),"Arun")</f>
        <v>Arun</v>
      </c>
      <c r="E135" s="2"/>
      <c r="F135" s="3">
        <f>IFERROR(__xludf.DUMMYFUNCTION("""COMPUTED_VALUE"""),60024.0)</f>
        <v>60024</v>
      </c>
      <c r="G135" s="2" t="str">
        <f>IFERROR(__xludf.DUMMYFUNCTION("""COMPUTED_VALUE"""),"L N J Power Venture Ltd")</f>
        <v>L N J Power Venture Ltd</v>
      </c>
      <c r="H135" s="2"/>
      <c r="I135" s="2" t="str">
        <f>IFERROR(__xludf.DUMMYFUNCTION("""COMPUTED_VALUE"""),"00o 00' 00""")</f>
        <v>00o 00' 00"</v>
      </c>
      <c r="J135" s="2" t="str">
        <f>IFERROR(__xludf.DUMMYFUNCTION("""COMPUTED_VALUE"""),"00o 00' 00""")</f>
        <v>00o 00' 00"</v>
      </c>
      <c r="K135" s="2" t="str">
        <f>IFERROR(__xludf.DUMMYFUNCTION("""COMPUTED_VALUE"""),"00o 00' 00""")</f>
        <v>00o 00' 00"</v>
      </c>
      <c r="L135" s="2" t="str">
        <f>IFERROR(__xludf.DUMMYFUNCTION("""COMPUTED_VALUE"""),"00o 00' 00""")</f>
        <v>00o 00' 00"</v>
      </c>
      <c r="M135" s="2" t="str">
        <f>IFERROR(__xludf.DUMMYFUNCTION("""COMPUTED_VALUE"""),"(Sankhuwasabha)")</f>
        <v>(Sankhuwasabha)</v>
      </c>
    </row>
    <row r="136">
      <c r="A136" s="2">
        <f>IFERROR(__xludf.DUMMYFUNCTION("""COMPUTED_VALUE"""),135.0)</f>
        <v>135</v>
      </c>
      <c r="B136" s="2" t="str">
        <f>IFERROR(__xludf.DUMMYFUNCTION("""COMPUTED_VALUE"""),"Upper Trishuli-2B")</f>
        <v>Upper Trishuli-2B</v>
      </c>
      <c r="C136" s="2">
        <f>IFERROR(__xludf.DUMMYFUNCTION("""COMPUTED_VALUE"""),102.0)</f>
        <v>102</v>
      </c>
      <c r="D136" s="2" t="str">
        <f>IFERROR(__xludf.DUMMYFUNCTION("""COMPUTED_VALUE"""),"Trishuli")</f>
        <v>Trishuli</v>
      </c>
      <c r="E136" s="2"/>
      <c r="F136" s="3">
        <f>IFERROR(__xludf.DUMMYFUNCTION("""COMPUTED_VALUE"""),60025.0)</f>
        <v>60025</v>
      </c>
      <c r="G136" s="2" t="str">
        <f>IFERROR(__xludf.DUMMYFUNCTION("""COMPUTED_VALUE"""),"Engineering Marketing Concern")</f>
        <v>Engineering Marketing Concern</v>
      </c>
      <c r="H136" s="2" t="str">
        <f>IFERROR(__xludf.DUMMYFUNCTION("""COMPUTED_VALUE"""),"GPO Box 328, Kathmandu, Nepal")</f>
        <v>GPO Box 328, Kathmandu, Nepal</v>
      </c>
      <c r="I136" s="2" t="str">
        <f>IFERROR(__xludf.DUMMYFUNCTION("""COMPUTED_VALUE"""),"28o 06' 00""")</f>
        <v>28o 06' 00"</v>
      </c>
      <c r="J136" s="2" t="str">
        <f>IFERROR(__xludf.DUMMYFUNCTION("""COMPUTED_VALUE"""),"28o 10' 00""")</f>
        <v>28o 10' 00"</v>
      </c>
      <c r="K136" s="2" t="str">
        <f>IFERROR(__xludf.DUMMYFUNCTION("""COMPUTED_VALUE"""),"85o 17' 35""")</f>
        <v>85o 17' 35"</v>
      </c>
      <c r="L136" s="2" t="str">
        <f>IFERROR(__xludf.DUMMYFUNCTION("""COMPUTED_VALUE"""),"85o 21' 00""")</f>
        <v>85o 21' 00"</v>
      </c>
      <c r="M136" s="2" t="str">
        <f>IFERROR(__xludf.DUMMYFUNCTION("""COMPUTED_VALUE"""),"(Rasuwa)")</f>
        <v>(Rasuwa)</v>
      </c>
    </row>
    <row r="137">
      <c r="A137" s="2">
        <f>IFERROR(__xludf.DUMMYFUNCTION("""COMPUTED_VALUE"""),136.0)</f>
        <v>136</v>
      </c>
      <c r="B137" s="2" t="str">
        <f>IFERROR(__xludf.DUMMYFUNCTION("""COMPUTED_VALUE"""),"Upper Naugad")</f>
        <v>Upper Naugad</v>
      </c>
      <c r="C137" s="2">
        <f>IFERROR(__xludf.DUMMYFUNCTION("""COMPUTED_VALUE"""),5.0)</f>
        <v>5</v>
      </c>
      <c r="D137" s="2" t="str">
        <f>IFERROR(__xludf.DUMMYFUNCTION("""COMPUTED_VALUE"""),"Naugad")</f>
        <v>Naugad</v>
      </c>
      <c r="E137" s="2"/>
      <c r="F137" s="3">
        <f>IFERROR(__xludf.DUMMYFUNCTION("""COMPUTED_VALUE"""),60026.0)</f>
        <v>60026</v>
      </c>
      <c r="G137" s="2" t="str">
        <f>IFERROR(__xludf.DUMMYFUNCTION("""COMPUTED_VALUE"""),"Ripoo M. Power Company")</f>
        <v>Ripoo M. Power Company</v>
      </c>
      <c r="H137" s="2"/>
      <c r="I137" s="2" t="str">
        <f>IFERROR(__xludf.DUMMYFUNCTION("""COMPUTED_VALUE"""),"29o 43' 13""")</f>
        <v>29o 43' 13"</v>
      </c>
      <c r="J137" s="2" t="str">
        <f>IFERROR(__xludf.DUMMYFUNCTION("""COMPUTED_VALUE"""),"29o 43' 51""")</f>
        <v>29o 43' 51"</v>
      </c>
      <c r="K137" s="2" t="str">
        <f>IFERROR(__xludf.DUMMYFUNCTION("""COMPUTED_VALUE"""),"80o 38' 25""")</f>
        <v>80o 38' 25"</v>
      </c>
      <c r="L137" s="2" t="str">
        <f>IFERROR(__xludf.DUMMYFUNCTION("""COMPUTED_VALUE"""),"80o 40' 18""")</f>
        <v>80o 40' 18"</v>
      </c>
      <c r="M137" s="2" t="str">
        <f>IFERROR(__xludf.DUMMYFUNCTION("""COMPUTED_VALUE"""),"(Darchula)")</f>
        <v>(Darchula)</v>
      </c>
    </row>
    <row r="138">
      <c r="A138" s="2">
        <f>IFERROR(__xludf.DUMMYFUNCTION("""COMPUTED_VALUE"""),137.0)</f>
        <v>137</v>
      </c>
      <c r="B138" s="2" t="str">
        <f>IFERROR(__xludf.DUMMYFUNCTION("""COMPUTED_VALUE"""),"Lower Surnya Gad")</f>
        <v>Lower Surnya Gad</v>
      </c>
      <c r="C138" s="2">
        <f>IFERROR(__xludf.DUMMYFUNCTION("""COMPUTED_VALUE"""),5.0)</f>
        <v>5</v>
      </c>
      <c r="D138" s="2" t="str">
        <f>IFERROR(__xludf.DUMMYFUNCTION("""COMPUTED_VALUE"""),"Surnaya Gad")</f>
        <v>Surnaya Gad</v>
      </c>
      <c r="E138" s="2">
        <f>IFERROR(__xludf.DUMMYFUNCTION("""COMPUTED_VALUE"""),379.0)</f>
        <v>379</v>
      </c>
      <c r="F138" s="3">
        <f>IFERROR(__xludf.DUMMYFUNCTION("""COMPUTED_VALUE"""),60026.0)</f>
        <v>60026</v>
      </c>
      <c r="G138" s="2" t="str">
        <f>IFERROR(__xludf.DUMMYFUNCTION("""COMPUTED_VALUE"""),"Dharm Bdr Chand")</f>
        <v>Dharm Bdr Chand</v>
      </c>
      <c r="H138" s="2"/>
      <c r="I138" s="2" t="str">
        <f>IFERROR(__xludf.DUMMYFUNCTION("""COMPUTED_VALUE"""),"29o 18' 45""")</f>
        <v>29o 18' 45"</v>
      </c>
      <c r="J138" s="2" t="str">
        <f>IFERROR(__xludf.DUMMYFUNCTION("""COMPUTED_VALUE"""),"29o 20' 50""")</f>
        <v>29o 20' 50"</v>
      </c>
      <c r="K138" s="2" t="str">
        <f>IFERROR(__xludf.DUMMYFUNCTION("""COMPUTED_VALUE"""),"80o 20' 00""")</f>
        <v>80o 20' 00"</v>
      </c>
      <c r="L138" s="2" t="str">
        <f>IFERROR(__xludf.DUMMYFUNCTION("""COMPUTED_VALUE"""),"80o 22' 30""")</f>
        <v>80o 22' 30"</v>
      </c>
      <c r="M138" s="2" t="str">
        <f>IFERROR(__xludf.DUMMYFUNCTION("""COMPUTED_VALUE"""),"(Baitadi)")</f>
        <v>(Baitadi)</v>
      </c>
    </row>
    <row r="139">
      <c r="A139" s="2">
        <f>IFERROR(__xludf.DUMMYFUNCTION("""COMPUTED_VALUE"""),138.0)</f>
        <v>138</v>
      </c>
      <c r="B139" s="2" t="str">
        <f>IFERROR(__xludf.DUMMYFUNCTION("""COMPUTED_VALUE"""),"Rudi Khola")</f>
        <v>Rudi Khola</v>
      </c>
      <c r="C139" s="2">
        <f>IFERROR(__xludf.DUMMYFUNCTION("""COMPUTED_VALUE"""),0.099)</f>
        <v>0.099</v>
      </c>
      <c r="D139" s="2" t="str">
        <f>IFERROR(__xludf.DUMMYFUNCTION("""COMPUTED_VALUE"""),"Rudi Khola")</f>
        <v>Rudi Khola</v>
      </c>
      <c r="E139" s="2"/>
      <c r="F139" s="3">
        <f>IFERROR(__xludf.DUMMYFUNCTION("""COMPUTED_VALUE"""),60028.0)</f>
        <v>60028</v>
      </c>
      <c r="G139" s="2" t="str">
        <f>IFERROR(__xludf.DUMMYFUNCTION("""COMPUTED_VALUE"""),"Dhan Prasad Lamichhane")</f>
        <v>Dhan Prasad Lamichhane</v>
      </c>
      <c r="H139" s="2"/>
      <c r="I139" s="2" t="str">
        <f>IFERROR(__xludf.DUMMYFUNCTION("""COMPUTED_VALUE"""),"00o 00' 00""")</f>
        <v>00o 00' 00"</v>
      </c>
      <c r="J139" s="2" t="str">
        <f>IFERROR(__xludf.DUMMYFUNCTION("""COMPUTED_VALUE"""),"00o 00' 00""")</f>
        <v>00o 00' 00"</v>
      </c>
      <c r="K139" s="2" t="str">
        <f>IFERROR(__xludf.DUMMYFUNCTION("""COMPUTED_VALUE"""),"00o 00' 00""")</f>
        <v>00o 00' 00"</v>
      </c>
      <c r="L139" s="2" t="str">
        <f>IFERROR(__xludf.DUMMYFUNCTION("""COMPUTED_VALUE"""),"00o 00' 00""")</f>
        <v>00o 00' 00"</v>
      </c>
      <c r="M139" s="2" t="str">
        <f>IFERROR(__xludf.DUMMYFUNCTION("""COMPUTED_VALUE"""),"(Lamjung)")</f>
        <v>(Lamjung)</v>
      </c>
    </row>
    <row r="140">
      <c r="A140" s="2">
        <f>IFERROR(__xludf.DUMMYFUNCTION("""COMPUTED_VALUE"""),139.0)</f>
        <v>139</v>
      </c>
      <c r="B140" s="2" t="str">
        <f>IFERROR(__xludf.DUMMYFUNCTION("""COMPUTED_VALUE"""),"Higher Indrawati I")</f>
        <v>Higher Indrawati I</v>
      </c>
      <c r="C140" s="2">
        <f>IFERROR(__xludf.DUMMYFUNCTION("""COMPUTED_VALUE"""),3.8)</f>
        <v>3.8</v>
      </c>
      <c r="D140" s="2" t="str">
        <f>IFERROR(__xludf.DUMMYFUNCTION("""COMPUTED_VALUE"""),"Indrawati Khola")</f>
        <v>Indrawati Khola</v>
      </c>
      <c r="E140" s="2"/>
      <c r="F140" s="3">
        <f>IFERROR(__xludf.DUMMYFUNCTION("""COMPUTED_VALUE"""),60029.0)</f>
        <v>60029</v>
      </c>
      <c r="G140" s="2" t="str">
        <f>IFERROR(__xludf.DUMMYFUNCTION("""COMPUTED_VALUE"""),"Laxman Udara, Bhola Babu Adhikari Laxmi P Shrestha &amp; Renuka pradhan")</f>
        <v>Laxman Udara, Bhola Babu Adhikari Laxmi P Shrestha &amp; Renuka pradhan</v>
      </c>
      <c r="H140" s="2"/>
      <c r="I140" s="2" t="str">
        <f>IFERROR(__xludf.DUMMYFUNCTION("""COMPUTED_VALUE"""),"27o 56' 30""")</f>
        <v>27o 56' 30"</v>
      </c>
      <c r="J140" s="2" t="str">
        <f>IFERROR(__xludf.DUMMYFUNCTION("""COMPUTED_VALUE"""),"27o 59' 10""")</f>
        <v>27o 59' 10"</v>
      </c>
      <c r="K140" s="2" t="str">
        <f>IFERROR(__xludf.DUMMYFUNCTION("""COMPUTED_VALUE"""),"85o 37' 30""")</f>
        <v>85o 37' 30"</v>
      </c>
      <c r="L140" s="2" t="str">
        <f>IFERROR(__xludf.DUMMYFUNCTION("""COMPUTED_VALUE"""),"85o 39' 10""")</f>
        <v>85o 39' 10"</v>
      </c>
      <c r="M140" s="2" t="str">
        <f>IFERROR(__xludf.DUMMYFUNCTION("""COMPUTED_VALUE"""),"(Sindhupalchok)")</f>
        <v>(Sindhupalchok)</v>
      </c>
    </row>
    <row r="141">
      <c r="A141" s="2">
        <f>IFERROR(__xludf.DUMMYFUNCTION("""COMPUTED_VALUE"""),140.0)</f>
        <v>140</v>
      </c>
      <c r="B141" s="2" t="str">
        <f>IFERROR(__xludf.DUMMYFUNCTION("""COMPUTED_VALUE"""),"Ghat Ganga")</f>
        <v>Ghat Ganga</v>
      </c>
      <c r="C141" s="2">
        <f>IFERROR(__xludf.DUMMYFUNCTION("""COMPUTED_VALUE"""),24.0)</f>
        <v>24</v>
      </c>
      <c r="D141" s="2" t="str">
        <f>IFERROR(__xludf.DUMMYFUNCTION("""COMPUTED_VALUE"""),"Ghat Ganga")</f>
        <v>Ghat Ganga</v>
      </c>
      <c r="E141" s="2"/>
      <c r="F141" s="3">
        <f>IFERROR(__xludf.DUMMYFUNCTION("""COMPUTED_VALUE"""),60035.0)</f>
        <v>60035</v>
      </c>
      <c r="G141" s="2" t="str">
        <f>IFERROR(__xludf.DUMMYFUNCTION("""COMPUTED_VALUE"""),"Him Urja P Ltd")</f>
        <v>Him Urja P Ltd</v>
      </c>
      <c r="H141" s="2"/>
      <c r="I141" s="2" t="str">
        <f>IFERROR(__xludf.DUMMYFUNCTION("""COMPUTED_VALUE"""),"29o 41' 00""")</f>
        <v>29o 41' 00"</v>
      </c>
      <c r="J141" s="2" t="str">
        <f>IFERROR(__xludf.DUMMYFUNCTION("""COMPUTED_VALUE"""),"29o 44' 01""")</f>
        <v>29o 44' 01"</v>
      </c>
      <c r="K141" s="2" t="str">
        <f>IFERROR(__xludf.DUMMYFUNCTION("""COMPUTED_VALUE"""),"81o 19' 52""")</f>
        <v>81o 19' 52"</v>
      </c>
      <c r="L141" s="2" t="str">
        <f>IFERROR(__xludf.DUMMYFUNCTION("""COMPUTED_VALUE"""),"81o 22' 57""")</f>
        <v>81o 22' 57"</v>
      </c>
      <c r="M141" s="2" t="str">
        <f>IFERROR(__xludf.DUMMYFUNCTION("""COMPUTED_VALUE"""),"(Bajhang)")</f>
        <v>(Bajhang)</v>
      </c>
    </row>
    <row r="142">
      <c r="A142" s="2">
        <f>IFERROR(__xludf.DUMMYFUNCTION("""COMPUTED_VALUE"""),141.0)</f>
        <v>141</v>
      </c>
      <c r="B142" s="2" t="str">
        <f>IFERROR(__xludf.DUMMYFUNCTION("""COMPUTED_VALUE"""),"Andheri Khola")</f>
        <v>Andheri Khola</v>
      </c>
      <c r="C142" s="2">
        <f>IFERROR(__xludf.DUMMYFUNCTION("""COMPUTED_VALUE"""),0.99)</f>
        <v>0.99</v>
      </c>
      <c r="D142" s="2" t="str">
        <f>IFERROR(__xludf.DUMMYFUNCTION("""COMPUTED_VALUE"""),"Andheri Khola")</f>
        <v>Andheri Khola</v>
      </c>
      <c r="E142" s="2"/>
      <c r="F142" s="3">
        <f>IFERROR(__xludf.DUMMYFUNCTION("""COMPUTED_VALUE"""),60042.0)</f>
        <v>60042</v>
      </c>
      <c r="G142" s="2" t="str">
        <f>IFERROR(__xludf.DUMMYFUNCTION("""COMPUTED_VALUE"""),"Shankarnath Upreti")</f>
        <v>Shankarnath Upreti</v>
      </c>
      <c r="H142" s="2"/>
      <c r="I142" s="2" t="str">
        <f>IFERROR(__xludf.DUMMYFUNCTION("""COMPUTED_VALUE"""),"27o 35' 00""")</f>
        <v>27o 35' 00"</v>
      </c>
      <c r="J142" s="2" t="str">
        <f>IFERROR(__xludf.DUMMYFUNCTION("""COMPUTED_VALUE"""),"27o 36' 44""")</f>
        <v>27o 36' 44"</v>
      </c>
      <c r="K142" s="2" t="str">
        <f>IFERROR(__xludf.DUMMYFUNCTION("""COMPUTED_VALUE"""),"86o 02' 30""")</f>
        <v>86o 02' 30"</v>
      </c>
      <c r="L142" s="2" t="str">
        <f>IFERROR(__xludf.DUMMYFUNCTION("""COMPUTED_VALUE"""),"86o 05' 00""")</f>
        <v>86o 05' 00"</v>
      </c>
      <c r="M142" s="2" t="str">
        <f>IFERROR(__xludf.DUMMYFUNCTION("""COMPUTED_VALUE"""),"(Dolakha)")</f>
        <v>(Dolakha)</v>
      </c>
    </row>
    <row r="143">
      <c r="A143" s="2">
        <f>IFERROR(__xludf.DUMMYFUNCTION("""COMPUTED_VALUE"""),142.0)</f>
        <v>142</v>
      </c>
      <c r="B143" s="2" t="str">
        <f>IFERROR(__xludf.DUMMYFUNCTION("""COMPUTED_VALUE"""),"Tamor-Mewa")</f>
        <v>Tamor-Mewa</v>
      </c>
      <c r="C143" s="2">
        <f>IFERROR(__xludf.DUMMYFUNCTION("""COMPUTED_VALUE"""),101.0)</f>
        <v>101</v>
      </c>
      <c r="D143" s="2" t="str">
        <f>IFERROR(__xludf.DUMMYFUNCTION("""COMPUTED_VALUE"""),"Tamor")</f>
        <v>Tamor</v>
      </c>
      <c r="E143" s="2"/>
      <c r="F143" s="3">
        <f>IFERROR(__xludf.DUMMYFUNCTION("""COMPUTED_VALUE"""),60043.0)</f>
        <v>60043</v>
      </c>
      <c r="G143" s="2" t="str">
        <f>IFERROR(__xludf.DUMMYFUNCTION("""COMPUTED_VALUE"""),"Imex International Nepal")</f>
        <v>Imex International Nepal</v>
      </c>
      <c r="H143" s="2"/>
      <c r="I143" s="2" t="str">
        <f>IFERROR(__xludf.DUMMYFUNCTION("""COMPUTED_VALUE"""),"00o 00' 00""")</f>
        <v>00o 00' 00"</v>
      </c>
      <c r="J143" s="2" t="str">
        <f>IFERROR(__xludf.DUMMYFUNCTION("""COMPUTED_VALUE"""),"00o 00' 00""")</f>
        <v>00o 00' 00"</v>
      </c>
      <c r="K143" s="2" t="str">
        <f>IFERROR(__xludf.DUMMYFUNCTION("""COMPUTED_VALUE"""),"00o 00' 00""")</f>
        <v>00o 00' 00"</v>
      </c>
      <c r="L143" s="2" t="str">
        <f>IFERROR(__xludf.DUMMYFUNCTION("""COMPUTED_VALUE"""),"00o 00' 00""")</f>
        <v>00o 00' 00"</v>
      </c>
      <c r="M143" s="2" t="str">
        <f>IFERROR(__xludf.DUMMYFUNCTION("""COMPUTED_VALUE"""),"(Taplejung)")</f>
        <v>(Taplejung)</v>
      </c>
    </row>
    <row r="144">
      <c r="A144" s="2">
        <f>IFERROR(__xludf.DUMMYFUNCTION("""COMPUTED_VALUE"""),143.0)</f>
        <v>143</v>
      </c>
      <c r="B144" s="2" t="str">
        <f>IFERROR(__xludf.DUMMYFUNCTION("""COMPUTED_VALUE"""),"Solu khola")</f>
        <v>Solu khola</v>
      </c>
      <c r="C144" s="2">
        <f>IFERROR(__xludf.DUMMYFUNCTION("""COMPUTED_VALUE"""),0.996)</f>
        <v>0.996</v>
      </c>
      <c r="D144" s="2" t="str">
        <f>IFERROR(__xludf.DUMMYFUNCTION("""COMPUTED_VALUE"""),"Solu Khola")</f>
        <v>Solu Khola</v>
      </c>
      <c r="E144" s="2"/>
      <c r="F144" s="3">
        <f>IFERROR(__xludf.DUMMYFUNCTION("""COMPUTED_VALUE"""),60047.0)</f>
        <v>60047</v>
      </c>
      <c r="G144" s="2" t="str">
        <f>IFERROR(__xludf.DUMMYFUNCTION("""COMPUTED_VALUE"""),"Mahesh Prasad Pokhrel")</f>
        <v>Mahesh Prasad Pokhrel</v>
      </c>
      <c r="H144" s="2"/>
      <c r="I144" s="2" t="str">
        <f>IFERROR(__xludf.DUMMYFUNCTION("""COMPUTED_VALUE"""),"27o 26' 50""")</f>
        <v>27o 26' 50"</v>
      </c>
      <c r="J144" s="2" t="str">
        <f>IFERROR(__xludf.DUMMYFUNCTION("""COMPUTED_VALUE"""),"27o 29' 12""")</f>
        <v>27o 29' 12"</v>
      </c>
      <c r="K144" s="2" t="str">
        <f>IFERROR(__xludf.DUMMYFUNCTION("""COMPUTED_VALUE"""),"86o 32' 43""")</f>
        <v>86o 32' 43"</v>
      </c>
      <c r="L144" s="2" t="str">
        <f>IFERROR(__xludf.DUMMYFUNCTION("""COMPUTED_VALUE"""),"86o 35' 00""")</f>
        <v>86o 35' 00"</v>
      </c>
      <c r="M144" s="2" t="str">
        <f>IFERROR(__xludf.DUMMYFUNCTION("""COMPUTED_VALUE"""),"(Solukhumbu)")</f>
        <v>(Solukhumbu)</v>
      </c>
    </row>
    <row r="145">
      <c r="A145" s="2">
        <f>IFERROR(__xludf.DUMMYFUNCTION("""COMPUTED_VALUE"""),144.0)</f>
        <v>144</v>
      </c>
      <c r="B145" s="2" t="str">
        <f>IFERROR(__xludf.DUMMYFUNCTION("""COMPUTED_VALUE"""),"Sanjen")</f>
        <v>Sanjen</v>
      </c>
      <c r="C145" s="2">
        <f>IFERROR(__xludf.DUMMYFUNCTION("""COMPUTED_VALUE"""),17.0)</f>
        <v>17</v>
      </c>
      <c r="D145" s="2" t="str">
        <f>IFERROR(__xludf.DUMMYFUNCTION("""COMPUTED_VALUE"""),"Sanjen")</f>
        <v>Sanjen</v>
      </c>
      <c r="E145" s="2"/>
      <c r="F145" s="3">
        <f>IFERROR(__xludf.DUMMYFUNCTION("""COMPUTED_VALUE"""),60053.0)</f>
        <v>60053</v>
      </c>
      <c r="G145" s="2" t="str">
        <f>IFERROR(__xludf.DUMMYFUNCTION("""COMPUTED_VALUE"""),"Bishnu R Adhikari")</f>
        <v>Bishnu R Adhikari</v>
      </c>
      <c r="H145" s="2"/>
      <c r="I145" s="2" t="str">
        <f>IFERROR(__xludf.DUMMYFUNCTION("""COMPUTED_VALUE"""),"00o 00' 00""")</f>
        <v>00o 00' 00"</v>
      </c>
      <c r="J145" s="2" t="str">
        <f>IFERROR(__xludf.DUMMYFUNCTION("""COMPUTED_VALUE"""),"00o 00' 00""")</f>
        <v>00o 00' 00"</v>
      </c>
      <c r="K145" s="2" t="str">
        <f>IFERROR(__xludf.DUMMYFUNCTION("""COMPUTED_VALUE"""),"00o 00' 00""")</f>
        <v>00o 00' 00"</v>
      </c>
      <c r="L145" s="2" t="str">
        <f>IFERROR(__xludf.DUMMYFUNCTION("""COMPUTED_VALUE"""),"00o 00' 00""")</f>
        <v>00o 00' 00"</v>
      </c>
      <c r="M145" s="2" t="str">
        <f>IFERROR(__xludf.DUMMYFUNCTION("""COMPUTED_VALUE"""),"(Rasuwa)")</f>
        <v>(Rasuwa)</v>
      </c>
    </row>
    <row r="146">
      <c r="A146" s="2">
        <f>IFERROR(__xludf.DUMMYFUNCTION("""COMPUTED_VALUE"""),145.0)</f>
        <v>145</v>
      </c>
      <c r="B146" s="2" t="str">
        <f>IFERROR(__xludf.DUMMYFUNCTION("""COMPUTED_VALUE"""),"Mai Khola- B")</f>
        <v>Mai Khola- B</v>
      </c>
      <c r="C146" s="2">
        <f>IFERROR(__xludf.DUMMYFUNCTION("""COMPUTED_VALUE"""),3.0)</f>
        <v>3</v>
      </c>
      <c r="D146" s="2" t="str">
        <f>IFERROR(__xludf.DUMMYFUNCTION("""COMPUTED_VALUE"""),"Mai Khola")</f>
        <v>Mai Khola</v>
      </c>
      <c r="E146" s="2"/>
      <c r="F146" s="3">
        <f>IFERROR(__xludf.DUMMYFUNCTION("""COMPUTED_VALUE"""),60053.0)</f>
        <v>60053</v>
      </c>
      <c r="G146" s="2" t="str">
        <f>IFERROR(__xludf.DUMMYFUNCTION("""COMPUTED_VALUE"""),"Manju Gupta")</f>
        <v>Manju Gupta</v>
      </c>
      <c r="H146" s="2"/>
      <c r="I146" s="2" t="str">
        <f>IFERROR(__xludf.DUMMYFUNCTION("""COMPUTED_VALUE"""),"26o 53' 09""")</f>
        <v>26o 53' 09"</v>
      </c>
      <c r="J146" s="2" t="str">
        <f>IFERROR(__xludf.DUMMYFUNCTION("""COMPUTED_VALUE"""),"26o 55' 14""")</f>
        <v>26o 55' 14"</v>
      </c>
      <c r="K146" s="2" t="str">
        <f>IFERROR(__xludf.DUMMYFUNCTION("""COMPUTED_VALUE"""),"87o 56' 38""")</f>
        <v>87o 56' 38"</v>
      </c>
      <c r="L146" s="2" t="str">
        <f>IFERROR(__xludf.DUMMYFUNCTION("""COMPUTED_VALUE"""),"87o 57' 30""")</f>
        <v>87o 57' 30"</v>
      </c>
      <c r="M146" s="2" t="str">
        <f>IFERROR(__xludf.DUMMYFUNCTION("""COMPUTED_VALUE"""),"(Ilam)")</f>
        <v>(Ilam)</v>
      </c>
    </row>
    <row r="147">
      <c r="A147" s="2">
        <f>IFERROR(__xludf.DUMMYFUNCTION("""COMPUTED_VALUE"""),146.0)</f>
        <v>146</v>
      </c>
      <c r="B147" s="2" t="str">
        <f>IFERROR(__xludf.DUMMYFUNCTION("""COMPUTED_VALUE"""),"Seti Dulegauda")</f>
        <v>Seti Dulegauda</v>
      </c>
      <c r="C147" s="2">
        <f>IFERROR(__xludf.DUMMYFUNCTION("""COMPUTED_VALUE"""),4.0)</f>
        <v>4</v>
      </c>
      <c r="D147" s="2" t="str">
        <f>IFERROR(__xludf.DUMMYFUNCTION("""COMPUTED_VALUE"""),"Seti Khola")</f>
        <v>Seti Khola</v>
      </c>
      <c r="E147" s="2"/>
      <c r="F147" s="3">
        <f>IFERROR(__xludf.DUMMYFUNCTION("""COMPUTED_VALUE"""),60061.0)</f>
        <v>60061</v>
      </c>
      <c r="G147" s="2" t="str">
        <f>IFERROR(__xludf.DUMMYFUNCTION("""COMPUTED_VALUE"""),"Santa Raj Batas")</f>
        <v>Santa Raj Batas</v>
      </c>
      <c r="H147" s="2"/>
      <c r="I147" s="2" t="str">
        <f>IFERROR(__xludf.DUMMYFUNCTION("""COMPUTED_VALUE"""),"00o 00' 00""")</f>
        <v>00o 00' 00"</v>
      </c>
      <c r="J147" s="2" t="str">
        <f>IFERROR(__xludf.DUMMYFUNCTION("""COMPUTED_VALUE"""),"00o 00' 00""")</f>
        <v>00o 00' 00"</v>
      </c>
      <c r="K147" s="2" t="str">
        <f>IFERROR(__xludf.DUMMYFUNCTION("""COMPUTED_VALUE"""),"00o 00' 00""")</f>
        <v>00o 00' 00"</v>
      </c>
      <c r="L147" s="2" t="str">
        <f>IFERROR(__xludf.DUMMYFUNCTION("""COMPUTED_VALUE"""),"00o 00' 00""")</f>
        <v>00o 00' 00"</v>
      </c>
      <c r="M147" s="2" t="str">
        <f>IFERROR(__xludf.DUMMYFUNCTION("""COMPUTED_VALUE"""),"(Tanahu)")</f>
        <v>(Tanahu)</v>
      </c>
    </row>
    <row r="148">
      <c r="A148" s="2">
        <f>IFERROR(__xludf.DUMMYFUNCTION("""COMPUTED_VALUE"""),147.0)</f>
        <v>147</v>
      </c>
      <c r="B148" s="2" t="str">
        <f>IFERROR(__xludf.DUMMYFUNCTION("""COMPUTED_VALUE"""),"Ruwa Khola")</f>
        <v>Ruwa Khola</v>
      </c>
      <c r="C148" s="2">
        <f>IFERROR(__xludf.DUMMYFUNCTION("""COMPUTED_VALUE"""),0.998)</f>
        <v>0.998</v>
      </c>
      <c r="D148" s="2" t="str">
        <f>IFERROR(__xludf.DUMMYFUNCTION("""COMPUTED_VALUE"""),"Ruwa")</f>
        <v>Ruwa</v>
      </c>
      <c r="E148" s="2"/>
      <c r="F148" s="3">
        <f>IFERROR(__xludf.DUMMYFUNCTION("""COMPUTED_VALUE"""),60062.0)</f>
        <v>60062</v>
      </c>
      <c r="G148" s="2" t="str">
        <f>IFERROR(__xludf.DUMMYFUNCTION("""COMPUTED_VALUE"""),"Tripura Energy P Ltd")</f>
        <v>Tripura Energy P Ltd</v>
      </c>
      <c r="H148" s="2"/>
      <c r="I148" s="2" t="str">
        <f>IFERROR(__xludf.DUMMYFUNCTION("""COMPUTED_VALUE"""),"29o 16' 23""")</f>
        <v>29o 16' 23"</v>
      </c>
      <c r="J148" s="2" t="str">
        <f>IFERROR(__xludf.DUMMYFUNCTION("""COMPUTED_VALUE"""),"29o 18' 11""")</f>
        <v>29o 18' 11"</v>
      </c>
      <c r="K148" s="2" t="str">
        <f>IFERROR(__xludf.DUMMYFUNCTION("""COMPUTED_VALUE"""),"80o 39' 18""")</f>
        <v>80o 39' 18"</v>
      </c>
      <c r="L148" s="2" t="str">
        <f>IFERROR(__xludf.DUMMYFUNCTION("""COMPUTED_VALUE"""),"80o 40' 00""")</f>
        <v>80o 40' 00"</v>
      </c>
      <c r="M148" s="2" t="str">
        <f>IFERROR(__xludf.DUMMYFUNCTION("""COMPUTED_VALUE"""),"(Dadeldhura)")</f>
        <v>(Dadeldhura)</v>
      </c>
    </row>
    <row r="149">
      <c r="A149" s="2">
        <f>IFERROR(__xludf.DUMMYFUNCTION("""COMPUTED_VALUE"""),148.0)</f>
        <v>148</v>
      </c>
      <c r="B149" s="2" t="str">
        <f>IFERROR(__xludf.DUMMYFUNCTION("""COMPUTED_VALUE"""),"Hotan Bran")</f>
        <v>Hotan Bran</v>
      </c>
      <c r="C149" s="2">
        <f>IFERROR(__xludf.DUMMYFUNCTION("""COMPUTED_VALUE"""),0.998)</f>
        <v>0.998</v>
      </c>
      <c r="D149" s="2" t="str">
        <f>IFERROR(__xludf.DUMMYFUNCTION("""COMPUTED_VALUE"""),"Hotan Bran")</f>
        <v>Hotan Bran</v>
      </c>
      <c r="E149" s="2"/>
      <c r="F149" s="3">
        <f>IFERROR(__xludf.DUMMYFUNCTION("""COMPUTED_VALUE"""),60062.0)</f>
        <v>60062</v>
      </c>
      <c r="G149" s="2" t="str">
        <f>IFERROR(__xludf.DUMMYFUNCTION("""COMPUTED_VALUE"""),"Him Urja, Surendra Sah")</f>
        <v>Him Urja, Surendra Sah</v>
      </c>
      <c r="H149" s="2"/>
      <c r="I149" s="2" t="str">
        <f>IFERROR(__xludf.DUMMYFUNCTION("""COMPUTED_VALUE"""),"27o 58' 57""")</f>
        <v>27o 58' 57"</v>
      </c>
      <c r="J149" s="2" t="str">
        <f>IFERROR(__xludf.DUMMYFUNCTION("""COMPUTED_VALUE"""),"27o 59' 48""")</f>
        <v>27o 59' 48"</v>
      </c>
      <c r="K149" s="2" t="str">
        <f>IFERROR(__xludf.DUMMYFUNCTION("""COMPUTED_VALUE"""),"85o 39' 24""")</f>
        <v>85o 39' 24"</v>
      </c>
      <c r="L149" s="2" t="str">
        <f>IFERROR(__xludf.DUMMYFUNCTION("""COMPUTED_VALUE"""),"85o 40' 16""")</f>
        <v>85o 40' 16"</v>
      </c>
      <c r="M149" s="2" t="str">
        <f>IFERROR(__xludf.DUMMYFUNCTION("""COMPUTED_VALUE"""),"(Sindhupalchok)")</f>
        <v>(Sindhupalchok)</v>
      </c>
    </row>
    <row r="150">
      <c r="A150" s="2">
        <f>IFERROR(__xludf.DUMMYFUNCTION("""COMPUTED_VALUE"""),149.0)</f>
        <v>149</v>
      </c>
      <c r="B150" s="2" t="str">
        <f>IFERROR(__xludf.DUMMYFUNCTION("""COMPUTED_VALUE"""),"Sayali Gad")</f>
        <v>Sayali Gad</v>
      </c>
      <c r="C150" s="2">
        <f>IFERROR(__xludf.DUMMYFUNCTION("""COMPUTED_VALUE"""),0.998)</f>
        <v>0.998</v>
      </c>
      <c r="D150" s="2" t="str">
        <f>IFERROR(__xludf.DUMMYFUNCTION("""COMPUTED_VALUE"""),"Sayali Gad")</f>
        <v>Sayali Gad</v>
      </c>
      <c r="E150" s="2"/>
      <c r="F150" s="3">
        <f>IFERROR(__xludf.DUMMYFUNCTION("""COMPUTED_VALUE"""),60064.0)</f>
        <v>60064</v>
      </c>
      <c r="G150" s="2" t="str">
        <f>IFERROR(__xludf.DUMMYFUNCTION("""COMPUTED_VALUE"""),"Abhisek Singh")</f>
        <v>Abhisek Singh</v>
      </c>
      <c r="H150" s="2"/>
      <c r="I150" s="2" t="str">
        <f>IFERROR(__xludf.DUMMYFUNCTION("""COMPUTED_VALUE"""),"29o 21' 50""")</f>
        <v>29o 21' 50"</v>
      </c>
      <c r="J150" s="2" t="str">
        <f>IFERROR(__xludf.DUMMYFUNCTION("""COMPUTED_VALUE"""),"29o 23' 29""")</f>
        <v>29o 23' 29"</v>
      </c>
      <c r="K150" s="2" t="str">
        <f>IFERROR(__xludf.DUMMYFUNCTION("""COMPUTED_VALUE"""),"80o 58' 05""")</f>
        <v>80o 58' 05"</v>
      </c>
      <c r="L150" s="2" t="str">
        <f>IFERROR(__xludf.DUMMYFUNCTION("""COMPUTED_VALUE"""),"81o 01' 34""")</f>
        <v>81o 01' 34"</v>
      </c>
      <c r="M150" s="2" t="str">
        <f>IFERROR(__xludf.DUMMYFUNCTION("""COMPUTED_VALUE"""),"(Doti)")</f>
        <v>(Doti)</v>
      </c>
    </row>
    <row r="151">
      <c r="A151" s="2">
        <f>IFERROR(__xludf.DUMMYFUNCTION("""COMPUTED_VALUE"""),150.0)</f>
        <v>150</v>
      </c>
      <c r="B151" s="2" t="str">
        <f>IFERROR(__xludf.DUMMYFUNCTION("""COMPUTED_VALUE"""),"Banchelidada")</f>
        <v>Banchelidada</v>
      </c>
      <c r="C151" s="2">
        <f>IFERROR(__xludf.DUMMYFUNCTION("""COMPUTED_VALUE"""),0.998)</f>
        <v>0.998</v>
      </c>
      <c r="D151" s="2" t="str">
        <f>IFERROR(__xludf.DUMMYFUNCTION("""COMPUTED_VALUE"""),"Banchelidada")</f>
        <v>Banchelidada</v>
      </c>
      <c r="E151" s="2"/>
      <c r="F151" s="3">
        <f>IFERROR(__xludf.DUMMYFUNCTION("""COMPUTED_VALUE"""),60067.0)</f>
        <v>60067</v>
      </c>
      <c r="G151" s="2" t="str">
        <f>IFERROR(__xludf.DUMMYFUNCTION("""COMPUTED_VALUE"""),"Puranchand Thakuri")</f>
        <v>Puranchand Thakuri</v>
      </c>
      <c r="H151" s="2"/>
      <c r="I151" s="2" t="str">
        <f>IFERROR(__xludf.DUMMYFUNCTION("""COMPUTED_VALUE"""),"27o 58' 38""")</f>
        <v>27o 58' 38"</v>
      </c>
      <c r="J151" s="2" t="str">
        <f>IFERROR(__xludf.DUMMYFUNCTION("""COMPUTED_VALUE"""),"27o 59' 09""")</f>
        <v>27o 59' 09"</v>
      </c>
      <c r="K151" s="2" t="str">
        <f>IFERROR(__xludf.DUMMYFUNCTION("""COMPUTED_VALUE"""),"85o 38' 38""")</f>
        <v>85o 38' 38"</v>
      </c>
      <c r="L151" s="2" t="str">
        <f>IFERROR(__xludf.DUMMYFUNCTION("""COMPUTED_VALUE"""),"85o 39' 24""")</f>
        <v>85o 39' 24"</v>
      </c>
      <c r="M151" s="2" t="str">
        <f>IFERROR(__xludf.DUMMYFUNCTION("""COMPUTED_VALUE"""),"(Sindhupalchok)")</f>
        <v>(Sindhupalchok)</v>
      </c>
    </row>
    <row r="152">
      <c r="A152" s="2">
        <f>IFERROR(__xludf.DUMMYFUNCTION("""COMPUTED_VALUE"""),151.0)</f>
        <v>151</v>
      </c>
      <c r="B152" s="2" t="str">
        <f>IFERROR(__xludf.DUMMYFUNCTION("""COMPUTED_VALUE"""),"Feda Khola")</f>
        <v>Feda Khola</v>
      </c>
      <c r="C152" s="2">
        <f>IFERROR(__xludf.DUMMYFUNCTION("""COMPUTED_VALUE"""),0.983)</f>
        <v>0.983</v>
      </c>
      <c r="D152" s="2" t="str">
        <f>IFERROR(__xludf.DUMMYFUNCTION("""COMPUTED_VALUE"""),"Pheda")</f>
        <v>Pheda</v>
      </c>
      <c r="E152" s="2"/>
      <c r="F152" s="3">
        <f>IFERROR(__xludf.DUMMYFUNCTION("""COMPUTED_VALUE"""),60070.0)</f>
        <v>60070</v>
      </c>
      <c r="G152" s="2" t="str">
        <f>IFERROR(__xludf.DUMMYFUNCTION("""COMPUTED_VALUE"""),"Sanu Kanchha Ghising")</f>
        <v>Sanu Kanchha Ghising</v>
      </c>
      <c r="H152" s="2"/>
      <c r="I152" s="2" t="str">
        <f>IFERROR(__xludf.DUMMYFUNCTION("""COMPUTED_VALUE"""),"27o 36' 40""")</f>
        <v>27o 36' 40"</v>
      </c>
      <c r="J152" s="2" t="str">
        <f>IFERROR(__xludf.DUMMYFUNCTION("""COMPUTED_VALUE"""),"27o 38' 53""")</f>
        <v>27o 38' 53"</v>
      </c>
      <c r="K152" s="2" t="str">
        <f>IFERROR(__xludf.DUMMYFUNCTION("""COMPUTED_VALUE"""),"85o 53' 07""")</f>
        <v>85o 53' 07"</v>
      </c>
      <c r="L152" s="2" t="str">
        <f>IFERROR(__xludf.DUMMYFUNCTION("""COMPUTED_VALUE"""),"85o 55' 00""")</f>
        <v>85o 55' 00"</v>
      </c>
      <c r="M152" s="2" t="str">
        <f>IFERROR(__xludf.DUMMYFUNCTION("""COMPUTED_VALUE"""),"(Dolakha)")</f>
        <v>(Dolakha)</v>
      </c>
    </row>
    <row r="153">
      <c r="A153" s="2">
        <f>IFERROR(__xludf.DUMMYFUNCTION("""COMPUTED_VALUE"""),152.0)</f>
        <v>152</v>
      </c>
      <c r="B153" s="2" t="str">
        <f>IFERROR(__xludf.DUMMYFUNCTION("""COMPUTED_VALUE"""),"Sailang 2 P")</f>
        <v>Sailang 2 P</v>
      </c>
      <c r="C153" s="2">
        <f>IFERROR(__xludf.DUMMYFUNCTION("""COMPUTED_VALUE"""),0.979)</f>
        <v>0.979</v>
      </c>
      <c r="D153" s="2" t="str">
        <f>IFERROR(__xludf.DUMMYFUNCTION("""COMPUTED_VALUE"""),"Sailang")</f>
        <v>Sailang</v>
      </c>
      <c r="E153" s="2"/>
      <c r="F153" s="3">
        <f>IFERROR(__xludf.DUMMYFUNCTION("""COMPUTED_VALUE"""),60070.0)</f>
        <v>60070</v>
      </c>
      <c r="G153" s="2" t="str">
        <f>IFERROR(__xludf.DUMMYFUNCTION("""COMPUTED_VALUE"""),"Ganesh Ghising")</f>
        <v>Ganesh Ghising</v>
      </c>
      <c r="H153" s="2"/>
      <c r="I153" s="2" t="str">
        <f>IFERROR(__xludf.DUMMYFUNCTION("""COMPUTED_VALUE"""),"27o 35' 00""")</f>
        <v>27o 35' 00"</v>
      </c>
      <c r="J153" s="2" t="str">
        <f>IFERROR(__xludf.DUMMYFUNCTION("""COMPUTED_VALUE"""),"27o 36' 40""")</f>
        <v>27o 36' 40"</v>
      </c>
      <c r="K153" s="2" t="str">
        <f>IFERROR(__xludf.DUMMYFUNCTION("""COMPUTED_VALUE"""),"85o 55' 19""")</f>
        <v>85o 55' 19"</v>
      </c>
      <c r="L153" s="2" t="str">
        <f>IFERROR(__xludf.DUMMYFUNCTION("""COMPUTED_VALUE"""),"85o 56' 53""")</f>
        <v>85o 56' 53"</v>
      </c>
      <c r="M153" s="2" t="str">
        <f>IFERROR(__xludf.DUMMYFUNCTION("""COMPUTED_VALUE"""),"(Dolakha)")</f>
        <v>(Dolakha)</v>
      </c>
    </row>
    <row r="154">
      <c r="A154" s="2">
        <f>IFERROR(__xludf.DUMMYFUNCTION("""COMPUTED_VALUE"""),153.0)</f>
        <v>153</v>
      </c>
      <c r="B154" s="2" t="str">
        <f>IFERROR(__xludf.DUMMYFUNCTION("""COMPUTED_VALUE"""),"Lapsi khola")</f>
        <v>Lapsi khola</v>
      </c>
      <c r="C154" s="2">
        <f>IFERROR(__xludf.DUMMYFUNCTION("""COMPUTED_VALUE"""),0.998)</f>
        <v>0.998</v>
      </c>
      <c r="D154" s="2" t="str">
        <f>IFERROR(__xludf.DUMMYFUNCTION("""COMPUTED_VALUE"""),"Lapsi")</f>
        <v>Lapsi</v>
      </c>
      <c r="E154" s="2"/>
      <c r="F154" s="3">
        <f>IFERROR(__xludf.DUMMYFUNCTION("""COMPUTED_VALUE"""),60071.0)</f>
        <v>60071</v>
      </c>
      <c r="G154" s="2" t="str">
        <f>IFERROR(__xludf.DUMMYFUNCTION("""COMPUTED_VALUE"""),"Usha Silwal/ Pratiksha Shah")</f>
        <v>Usha Silwal/ Pratiksha Shah</v>
      </c>
      <c r="H154" s="2"/>
      <c r="I154" s="2" t="str">
        <f>IFERROR(__xludf.DUMMYFUNCTION("""COMPUTED_VALUE"""),"27o 52' 30""")</f>
        <v>27o 52' 30"</v>
      </c>
      <c r="J154" s="2" t="str">
        <f>IFERROR(__xludf.DUMMYFUNCTION("""COMPUTED_VALUE"""),"27o 53' 16""")</f>
        <v>27o 53' 16"</v>
      </c>
      <c r="K154" s="2" t="str">
        <f>IFERROR(__xludf.DUMMYFUNCTION("""COMPUTED_VALUE"""),"85o 37' 03""")</f>
        <v>85o 37' 03"</v>
      </c>
      <c r="L154" s="2" t="str">
        <f>IFERROR(__xludf.DUMMYFUNCTION("""COMPUTED_VALUE"""),"85o 38' 57""")</f>
        <v>85o 38' 57"</v>
      </c>
      <c r="M154" s="2" t="str">
        <f>IFERROR(__xludf.DUMMYFUNCTION("""COMPUTED_VALUE"""),"(Sindhupalchok)")</f>
        <v>(Sindhupalchok)</v>
      </c>
    </row>
    <row r="155">
      <c r="A155" s="2">
        <f>IFERROR(__xludf.DUMMYFUNCTION("""COMPUTED_VALUE"""),154.0)</f>
        <v>154</v>
      </c>
      <c r="B155" s="2" t="str">
        <f>IFERROR(__xludf.DUMMYFUNCTION("""COMPUTED_VALUE"""),"Kogate Khola")</f>
        <v>Kogate Khola</v>
      </c>
      <c r="C155" s="2">
        <f>IFERROR(__xludf.DUMMYFUNCTION("""COMPUTED_VALUE"""),0.998)</f>
        <v>0.998</v>
      </c>
      <c r="D155" s="2" t="str">
        <f>IFERROR(__xludf.DUMMYFUNCTION("""COMPUTED_VALUE"""),"Kogate")</f>
        <v>Kogate</v>
      </c>
      <c r="E155" s="2"/>
      <c r="F155" s="3">
        <f>IFERROR(__xludf.DUMMYFUNCTION("""COMPUTED_VALUE"""),60077.0)</f>
        <v>60077</v>
      </c>
      <c r="G155" s="2" t="str">
        <f>IFERROR(__xludf.DUMMYFUNCTION("""COMPUTED_VALUE"""),"Arjun Prasad/ Surya Prasad")</f>
        <v>Arjun Prasad/ Surya Prasad</v>
      </c>
      <c r="H155" s="2"/>
      <c r="I155" s="2" t="str">
        <f>IFERROR(__xludf.DUMMYFUNCTION("""COMPUTED_VALUE"""),"27o 31' 48""")</f>
        <v>27o 31' 48"</v>
      </c>
      <c r="J155" s="2" t="str">
        <f>IFERROR(__xludf.DUMMYFUNCTION("""COMPUTED_VALUE"""),"27o 32' 30""")</f>
        <v>27o 32' 30"</v>
      </c>
      <c r="K155" s="2" t="str">
        <f>IFERROR(__xludf.DUMMYFUNCTION("""COMPUTED_VALUE"""),"85o 12' 16""")</f>
        <v>85o 12' 16"</v>
      </c>
      <c r="L155" s="2" t="str">
        <f>IFERROR(__xludf.DUMMYFUNCTION("""COMPUTED_VALUE"""),"85o 16' 15""")</f>
        <v>85o 16' 15"</v>
      </c>
      <c r="M155" s="2" t="str">
        <f>IFERROR(__xludf.DUMMYFUNCTION("""COMPUTED_VALUE"""),"(Makawanpur)")</f>
        <v>(Makawanpur)</v>
      </c>
    </row>
    <row r="156">
      <c r="A156" s="2">
        <f>IFERROR(__xludf.DUMMYFUNCTION("""COMPUTED_VALUE"""),155.0)</f>
        <v>155</v>
      </c>
      <c r="B156" s="2" t="str">
        <f>IFERROR(__xludf.DUMMYFUNCTION("""COMPUTED_VALUE"""),"Daraudi Khola")</f>
        <v>Daraudi Khola</v>
      </c>
      <c r="C156" s="2">
        <f>IFERROR(__xludf.DUMMYFUNCTION("""COMPUTED_VALUE"""),1.5)</f>
        <v>1.5</v>
      </c>
      <c r="D156" s="2" t="str">
        <f>IFERROR(__xludf.DUMMYFUNCTION("""COMPUTED_VALUE"""),"Daraundi")</f>
        <v>Daraundi</v>
      </c>
      <c r="E156" s="2"/>
      <c r="F156" s="3">
        <f>IFERROR(__xludf.DUMMYFUNCTION("""COMPUTED_VALUE"""),60080.0)</f>
        <v>60080</v>
      </c>
      <c r="G156" s="2" t="str">
        <f>IFERROR(__xludf.DUMMYFUNCTION("""COMPUTED_VALUE"""),"Diamond HP PVT LTD")</f>
        <v>Diamond HP PVT LTD</v>
      </c>
      <c r="H156" s="2"/>
      <c r="I156" s="2" t="str">
        <f>IFERROR(__xludf.DUMMYFUNCTION("""COMPUTED_VALUE"""),"28o 03' 14""")</f>
        <v>28o 03' 14"</v>
      </c>
      <c r="J156" s="2" t="str">
        <f>IFERROR(__xludf.DUMMYFUNCTION("""COMPUTED_VALUE"""),"28o 05' 56""")</f>
        <v>28o 05' 56"</v>
      </c>
      <c r="K156" s="2" t="str">
        <f>IFERROR(__xludf.DUMMYFUNCTION("""COMPUTED_VALUE"""),"84o 39' 04""")</f>
        <v>84o 39' 04"</v>
      </c>
      <c r="L156" s="2" t="str">
        <f>IFERROR(__xludf.DUMMYFUNCTION("""COMPUTED_VALUE"""),"84o 39' 51""")</f>
        <v>84o 39' 51"</v>
      </c>
      <c r="M156" s="2" t="str">
        <f>IFERROR(__xludf.DUMMYFUNCTION("""COMPUTED_VALUE"""),"(Gorkha)")</f>
        <v>(Gorkha)</v>
      </c>
    </row>
    <row r="157">
      <c r="A157" s="2">
        <f>IFERROR(__xludf.DUMMYFUNCTION("""COMPUTED_VALUE"""),156.0)</f>
        <v>156</v>
      </c>
      <c r="B157" s="2" t="str">
        <f>IFERROR(__xludf.DUMMYFUNCTION("""COMPUTED_VALUE"""),"Dailekh")</f>
        <v>Dailekh</v>
      </c>
      <c r="C157" s="2">
        <f>IFERROR(__xludf.DUMMYFUNCTION("""COMPUTED_VALUE"""),5.0)</f>
        <v>5</v>
      </c>
      <c r="D157" s="2" t="str">
        <f>IFERROR(__xludf.DUMMYFUNCTION("""COMPUTED_VALUE"""),"Dailekh")</f>
        <v>Dailekh</v>
      </c>
      <c r="E157" s="2"/>
      <c r="F157" s="3">
        <f>IFERROR(__xludf.DUMMYFUNCTION("""COMPUTED_VALUE"""),60091.0)</f>
        <v>60091</v>
      </c>
      <c r="G157" s="2"/>
      <c r="H157" s="2"/>
      <c r="I157" s="2" t="str">
        <f>IFERROR(__xludf.DUMMYFUNCTION("""COMPUTED_VALUE"""),"00o 00' 00""")</f>
        <v>00o 00' 00"</v>
      </c>
      <c r="J157" s="2" t="str">
        <f>IFERROR(__xludf.DUMMYFUNCTION("""COMPUTED_VALUE"""),"00o 00' 00""")</f>
        <v>00o 00' 00"</v>
      </c>
      <c r="K157" s="2" t="str">
        <f>IFERROR(__xludf.DUMMYFUNCTION("""COMPUTED_VALUE"""),"00o 00' 00""")</f>
        <v>00o 00' 00"</v>
      </c>
      <c r="L157" s="2" t="str">
        <f>IFERROR(__xludf.DUMMYFUNCTION("""COMPUTED_VALUE"""),"00o 00' 00""")</f>
        <v>00o 00' 00"</v>
      </c>
      <c r="M157" s="2" t="str">
        <f>IFERROR(__xludf.DUMMYFUNCTION("""COMPUTED_VALUE"""),"(Dailekh)")</f>
        <v>(Dailekh)</v>
      </c>
    </row>
    <row r="158">
      <c r="A158" s="2">
        <f>IFERROR(__xludf.DUMMYFUNCTION("""COMPUTED_VALUE"""),157.0)</f>
        <v>157</v>
      </c>
      <c r="B158" s="2" t="str">
        <f>IFERROR(__xludf.DUMMYFUNCTION("""COMPUTED_VALUE"""),"Budhi Gandaki")</f>
        <v>Budhi Gandaki</v>
      </c>
      <c r="C158" s="2">
        <f>IFERROR(__xludf.DUMMYFUNCTION("""COMPUTED_VALUE"""),600.0)</f>
        <v>600</v>
      </c>
      <c r="D158" s="2" t="str">
        <f>IFERROR(__xludf.DUMMYFUNCTION("""COMPUTED_VALUE"""),"Budhi Gandaki")</f>
        <v>Budhi Gandaki</v>
      </c>
      <c r="E158" s="2"/>
      <c r="F158" s="3">
        <f>IFERROR(__xludf.DUMMYFUNCTION("""COMPUTED_VALUE"""),60092.0)</f>
        <v>60092</v>
      </c>
      <c r="G158" s="2" t="str">
        <f>IFERROR(__xludf.DUMMYFUNCTION("""COMPUTED_VALUE"""),"Athena Projects P Ltd")</f>
        <v>Athena Projects P Ltd</v>
      </c>
      <c r="H158" s="2"/>
      <c r="I158" s="2" t="str">
        <f>IFERROR(__xludf.DUMMYFUNCTION("""COMPUTED_VALUE"""),"27o 47' 30""")</f>
        <v>27o 47' 30"</v>
      </c>
      <c r="J158" s="2" t="str">
        <f>IFERROR(__xludf.DUMMYFUNCTION("""COMPUTED_VALUE"""),"28o 05' 00""")</f>
        <v>28o 05' 00"</v>
      </c>
      <c r="K158" s="2" t="str">
        <f>IFERROR(__xludf.DUMMYFUNCTION("""COMPUTED_VALUE"""),"84o 42' 30""")</f>
        <v>84o 42' 30"</v>
      </c>
      <c r="L158" s="2" t="str">
        <f>IFERROR(__xludf.DUMMYFUNCTION("""COMPUTED_VALUE"""),"84o 55' 00""")</f>
        <v>84o 55' 00"</v>
      </c>
      <c r="M158" s="2" t="str">
        <f>IFERROR(__xludf.DUMMYFUNCTION("""COMPUTED_VALUE"""),"(Gorkha)")</f>
        <v>(Gorkha)</v>
      </c>
    </row>
    <row r="159">
      <c r="A159" s="2">
        <f>IFERROR(__xludf.DUMMYFUNCTION("""COMPUTED_VALUE"""),158.0)</f>
        <v>158</v>
      </c>
      <c r="B159" s="2" t="str">
        <f>IFERROR(__xludf.DUMMYFUNCTION("""COMPUTED_VALUE"""),"Tadi Khola")</f>
        <v>Tadi Khola</v>
      </c>
      <c r="C159" s="2">
        <f>IFERROR(__xludf.DUMMYFUNCTION("""COMPUTED_VALUE"""),3.9)</f>
        <v>3.9</v>
      </c>
      <c r="D159" s="2" t="str">
        <f>IFERROR(__xludf.DUMMYFUNCTION("""COMPUTED_VALUE"""),"Tadi Khola")</f>
        <v>Tadi Khola</v>
      </c>
      <c r="E159" s="2"/>
      <c r="F159" s="3">
        <f>IFERROR(__xludf.DUMMYFUNCTION("""COMPUTED_VALUE"""),60104.0)</f>
        <v>60104</v>
      </c>
      <c r="G159" s="2" t="str">
        <f>IFERROR(__xludf.DUMMYFUNCTION("""COMPUTED_VALUE"""),"Nepal Power Co Pvt Ltd")</f>
        <v>Nepal Power Co Pvt Ltd</v>
      </c>
      <c r="H159" s="2"/>
      <c r="I159" s="2" t="str">
        <f>IFERROR(__xludf.DUMMYFUNCTION("""COMPUTED_VALUE"""),"27o 56' 45""")</f>
        <v>27o 56' 45"</v>
      </c>
      <c r="J159" s="2" t="str">
        <f>IFERROR(__xludf.DUMMYFUNCTION("""COMPUTED_VALUE"""),"27o 57' 40""")</f>
        <v>27o 57' 40"</v>
      </c>
      <c r="K159" s="2" t="str">
        <f>IFERROR(__xludf.DUMMYFUNCTION("""COMPUTED_VALUE"""),"85o 23' 17""")</f>
        <v>85o 23' 17"</v>
      </c>
      <c r="L159" s="2" t="str">
        <f>IFERROR(__xludf.DUMMYFUNCTION("""COMPUTED_VALUE"""),"85o 24' 29""")</f>
        <v>85o 24' 29"</v>
      </c>
      <c r="M159" s="2" t="str">
        <f>IFERROR(__xludf.DUMMYFUNCTION("""COMPUTED_VALUE"""),"(Nuwakot)")</f>
        <v>(Nuwakot)</v>
      </c>
    </row>
    <row r="160">
      <c r="A160" s="2">
        <f>IFERROR(__xludf.DUMMYFUNCTION("""COMPUTED_VALUE"""),159.0)</f>
        <v>159</v>
      </c>
      <c r="B160" s="2" t="str">
        <f>IFERROR(__xludf.DUMMYFUNCTION("""COMPUTED_VALUE"""),"Melamchi")</f>
        <v>Melamchi</v>
      </c>
      <c r="C160" s="2">
        <f>IFERROR(__xludf.DUMMYFUNCTION("""COMPUTED_VALUE"""),5.0)</f>
        <v>5</v>
      </c>
      <c r="D160" s="2" t="str">
        <f>IFERROR(__xludf.DUMMYFUNCTION("""COMPUTED_VALUE"""),"Melamchi")</f>
        <v>Melamchi</v>
      </c>
      <c r="E160" s="2"/>
      <c r="F160" s="3">
        <f>IFERROR(__xludf.DUMMYFUNCTION("""COMPUTED_VALUE"""),60106.0)</f>
        <v>60106</v>
      </c>
      <c r="G160" s="2" t="str">
        <f>IFERROR(__xludf.DUMMYFUNCTION("""COMPUTED_VALUE"""),"Siddhi Binayak HP Co")</f>
        <v>Siddhi Binayak HP Co</v>
      </c>
      <c r="H160" s="2"/>
      <c r="I160" s="2" t="str">
        <f>IFERROR(__xludf.DUMMYFUNCTION("""COMPUTED_VALUE"""),"27o 58' 05""")</f>
        <v>27o 58' 05"</v>
      </c>
      <c r="J160" s="2" t="str">
        <f>IFERROR(__xludf.DUMMYFUNCTION("""COMPUTED_VALUE"""),"28o 01' 13""")</f>
        <v>28o 01' 13"</v>
      </c>
      <c r="K160" s="2" t="str">
        <f>IFERROR(__xludf.DUMMYFUNCTION("""COMPUTED_VALUE"""),"85o 33' 03""")</f>
        <v>85o 33' 03"</v>
      </c>
      <c r="L160" s="2" t="str">
        <f>IFERROR(__xludf.DUMMYFUNCTION("""COMPUTED_VALUE"""),"85o 35' 00""")</f>
        <v>85o 35' 00"</v>
      </c>
      <c r="M160" s="2" t="str">
        <f>IFERROR(__xludf.DUMMYFUNCTION("""COMPUTED_VALUE"""),"(Sindhupalchok)")</f>
        <v>(Sindhupalchok)</v>
      </c>
    </row>
    <row r="161">
      <c r="A161" s="2">
        <f>IFERROR(__xludf.DUMMYFUNCTION("""COMPUTED_VALUE"""),160.0)</f>
        <v>160</v>
      </c>
      <c r="B161" s="2" t="str">
        <f>IFERROR(__xludf.DUMMYFUNCTION("""COMPUTED_VALUE"""),"Phalebas Kaligandaki")</f>
        <v>Phalebas Kaligandaki</v>
      </c>
      <c r="C161" s="2">
        <f>IFERROR(__xludf.DUMMYFUNCTION("""COMPUTED_VALUE"""),40.0)</f>
        <v>40</v>
      </c>
      <c r="D161" s="2" t="str">
        <f>IFERROR(__xludf.DUMMYFUNCTION("""COMPUTED_VALUE"""),"Kali Gandaki")</f>
        <v>Kali Gandaki</v>
      </c>
      <c r="E161" s="2"/>
      <c r="F161" s="3">
        <f>IFERROR(__xludf.DUMMYFUNCTION("""COMPUTED_VALUE"""),60110.0)</f>
        <v>60110</v>
      </c>
      <c r="G161" s="2" t="str">
        <f>IFERROR(__xludf.DUMMYFUNCTION("""COMPUTED_VALUE"""),"Mata Baishnodevi Hydropower P Ltd")</f>
        <v>Mata Baishnodevi Hydropower P Ltd</v>
      </c>
      <c r="H161" s="2"/>
      <c r="I161" s="2" t="str">
        <f>IFERROR(__xludf.DUMMYFUNCTION("""COMPUTED_VALUE"""),"28o 07' 30""")</f>
        <v>28o 07' 30"</v>
      </c>
      <c r="J161" s="2" t="str">
        <f>IFERROR(__xludf.DUMMYFUNCTION("""COMPUTED_VALUE"""),"28o 12' 30""")</f>
        <v>28o 12' 30"</v>
      </c>
      <c r="K161" s="2" t="str">
        <f>IFERROR(__xludf.DUMMYFUNCTION("""COMPUTED_VALUE"""),"83o 37' 30""")</f>
        <v>83o 37' 30"</v>
      </c>
      <c r="L161" s="2" t="str">
        <f>IFERROR(__xludf.DUMMYFUNCTION("""COMPUTED_VALUE"""),"83o 40' 00""")</f>
        <v>83o 40' 00"</v>
      </c>
      <c r="M161" s="2" t="str">
        <f>IFERROR(__xludf.DUMMYFUNCTION("""COMPUTED_VALUE"""),"(Parbat)")</f>
        <v>(Parbat)</v>
      </c>
    </row>
    <row r="162">
      <c r="A162" s="2">
        <f>IFERROR(__xludf.DUMMYFUNCTION("""COMPUTED_VALUE"""),161.0)</f>
        <v>161</v>
      </c>
      <c r="B162" s="2" t="str">
        <f>IFERROR(__xludf.DUMMYFUNCTION("""COMPUTED_VALUE"""),"Karnali Tamara")</f>
        <v>Karnali Tamara</v>
      </c>
      <c r="C162" s="2">
        <f>IFERROR(__xludf.DUMMYFUNCTION("""COMPUTED_VALUE"""),300.0)</f>
        <v>300</v>
      </c>
      <c r="D162" s="2" t="str">
        <f>IFERROR(__xludf.DUMMYFUNCTION("""COMPUTED_VALUE"""),"Karnali")</f>
        <v>Karnali</v>
      </c>
      <c r="E162" s="2"/>
      <c r="F162" s="3">
        <f>IFERROR(__xludf.DUMMYFUNCTION("""COMPUTED_VALUE"""),60112.0)</f>
        <v>60112</v>
      </c>
      <c r="G162" s="2" t="str">
        <f>IFERROR(__xludf.DUMMYFUNCTION("""COMPUTED_VALUE"""),"ICTC Energy P Ltd")</f>
        <v>ICTC Energy P Ltd</v>
      </c>
      <c r="H162" s="2" t="str">
        <f>IFERROR(__xludf.DUMMYFUNCTION("""COMPUTED_VALUE"""),"GPO Box: 660,Kathmandu, Tel: 4434895")</f>
        <v>GPO Box: 660,Kathmandu, Tel: 4434895</v>
      </c>
      <c r="I162" s="2" t="str">
        <f>IFERROR(__xludf.DUMMYFUNCTION("""COMPUTED_VALUE"""),"29o 34' 41""")</f>
        <v>29o 34' 41"</v>
      </c>
      <c r="J162" s="2" t="str">
        <f>IFERROR(__xludf.DUMMYFUNCTION("""COMPUTED_VALUE"""),"29o 41' 09""")</f>
        <v>29o 41' 09"</v>
      </c>
      <c r="K162" s="2" t="str">
        <f>IFERROR(__xludf.DUMMYFUNCTION("""COMPUTED_VALUE"""),"81o 45' 48""")</f>
        <v>81o 45' 48"</v>
      </c>
      <c r="L162" s="2" t="str">
        <f>IFERROR(__xludf.DUMMYFUNCTION("""COMPUTED_VALUE"""),"81o 56' 19""")</f>
        <v>81o 56' 19"</v>
      </c>
      <c r="M162" s="2" t="str">
        <f>IFERROR(__xludf.DUMMYFUNCTION("""COMPUTED_VALUE"""),"(Mugu)")</f>
        <v>(Mugu)</v>
      </c>
    </row>
    <row r="163">
      <c r="A163" s="2">
        <f>IFERROR(__xludf.DUMMYFUNCTION("""COMPUTED_VALUE"""),162.0)</f>
        <v>162</v>
      </c>
      <c r="B163" s="2" t="str">
        <f>IFERROR(__xludf.DUMMYFUNCTION("""COMPUTED_VALUE"""),"Khimti Khola-Second")</f>
        <v>Khimti Khola-Second</v>
      </c>
      <c r="C163" s="2">
        <f>IFERROR(__xludf.DUMMYFUNCTION("""COMPUTED_VALUE"""),2.7)</f>
        <v>2.7</v>
      </c>
      <c r="D163" s="2" t="str">
        <f>IFERROR(__xludf.DUMMYFUNCTION("""COMPUTED_VALUE"""),"Khimti Khola")</f>
        <v>Khimti Khola</v>
      </c>
      <c r="E163" s="2"/>
      <c r="F163" s="3">
        <f>IFERROR(__xludf.DUMMYFUNCTION("""COMPUTED_VALUE"""),60112.0)</f>
        <v>60112</v>
      </c>
      <c r="G163" s="2" t="str">
        <f>IFERROR(__xludf.DUMMYFUNCTION("""COMPUTED_VALUE"""),"Himalaya Energy Development Company Pvt. Ltd")</f>
        <v>Himalaya Energy Development Company Pvt. Ltd</v>
      </c>
      <c r="H163" s="2" t="str">
        <f>IFERROR(__xludf.DUMMYFUNCTION("""COMPUTED_VALUE"""),"G.P.O. Box: 10429 Ph: 4487793")</f>
        <v>G.P.O. Box: 10429 Ph: 4487793</v>
      </c>
      <c r="I163" s="2" t="str">
        <f>IFERROR(__xludf.DUMMYFUNCTION("""COMPUTED_VALUE"""),"27o 38' 20""")</f>
        <v>27o 38' 20"</v>
      </c>
      <c r="J163" s="2" t="str">
        <f>IFERROR(__xludf.DUMMYFUNCTION("""COMPUTED_VALUE"""),"27o 39' 55""")</f>
        <v>27o 39' 55"</v>
      </c>
      <c r="K163" s="2" t="str">
        <f>IFERROR(__xludf.DUMMYFUNCTION("""COMPUTED_VALUE"""),"86o 18' 10""")</f>
        <v>86o 18' 10"</v>
      </c>
      <c r="L163" s="2" t="str">
        <f>IFERROR(__xludf.DUMMYFUNCTION("""COMPUTED_VALUE"""),"86o 20' 10""")</f>
        <v>86o 20' 10"</v>
      </c>
      <c r="M163" s="2" t="str">
        <f>IFERROR(__xludf.DUMMYFUNCTION("""COMPUTED_VALUE"""),"(Dolakha)")</f>
        <v>(Dolakha)</v>
      </c>
    </row>
    <row r="164">
      <c r="A164" s="2">
        <f>IFERROR(__xludf.DUMMYFUNCTION("""COMPUTED_VALUE"""),163.0)</f>
        <v>163</v>
      </c>
      <c r="B164" s="2" t="str">
        <f>IFERROR(__xludf.DUMMYFUNCTION("""COMPUTED_VALUE"""),"Bamdang")</f>
        <v>Bamdang</v>
      </c>
      <c r="C164" s="2">
        <f>IFERROR(__xludf.DUMMYFUNCTION("""COMPUTED_VALUE"""),3.0)</f>
        <v>3</v>
      </c>
      <c r="D164" s="2" t="str">
        <f>IFERROR(__xludf.DUMMYFUNCTION("""COMPUTED_VALUE"""),"Bamdang")</f>
        <v>Bamdang</v>
      </c>
      <c r="E164" s="2"/>
      <c r="F164" s="3">
        <f>IFERROR(__xludf.DUMMYFUNCTION("""COMPUTED_VALUE"""),60113.0)</f>
        <v>60113</v>
      </c>
      <c r="G164" s="2" t="str">
        <f>IFERROR(__xludf.DUMMYFUNCTION("""COMPUTED_VALUE"""),"Gatalang Community Development Society")</f>
        <v>Gatalang Community Development Society</v>
      </c>
      <c r="H164" s="2" t="str">
        <f>IFERROR(__xludf.DUMMYFUNCTION("""COMPUTED_VALUE"""),"Gatalang Community Development Society")</f>
        <v>Gatalang Community Development Society</v>
      </c>
      <c r="I164" s="2" t="str">
        <f>IFERROR(__xludf.DUMMYFUNCTION("""COMPUTED_VALUE"""),"00o 00' 00""")</f>
        <v>00o 00' 00"</v>
      </c>
      <c r="J164" s="2" t="str">
        <f>IFERROR(__xludf.DUMMYFUNCTION("""COMPUTED_VALUE"""),"00o 00' 00""")</f>
        <v>00o 00' 00"</v>
      </c>
      <c r="K164" s="2" t="str">
        <f>IFERROR(__xludf.DUMMYFUNCTION("""COMPUTED_VALUE"""),"00o 00' 00""")</f>
        <v>00o 00' 00"</v>
      </c>
      <c r="L164" s="2" t="str">
        <f>IFERROR(__xludf.DUMMYFUNCTION("""COMPUTED_VALUE"""),"00o 00' 00""")</f>
        <v>00o 00' 00"</v>
      </c>
      <c r="M164" s="2" t="str">
        <f>IFERROR(__xludf.DUMMYFUNCTION("""COMPUTED_VALUE"""),"(Rasuwa)")</f>
        <v>(Rasuwa)</v>
      </c>
    </row>
    <row r="165">
      <c r="A165" s="2">
        <f>IFERROR(__xludf.DUMMYFUNCTION("""COMPUTED_VALUE"""),164.0)</f>
        <v>164</v>
      </c>
      <c r="B165" s="2" t="str">
        <f>IFERROR(__xludf.DUMMYFUNCTION("""COMPUTED_VALUE"""),"Tamaoshi -Khimti")</f>
        <v>Tamaoshi -Khimti</v>
      </c>
      <c r="C165" s="2">
        <f>IFERROR(__xludf.DUMMYFUNCTION("""COMPUTED_VALUE"""),81.0)</f>
        <v>81</v>
      </c>
      <c r="D165" s="2" t="str">
        <f>IFERROR(__xludf.DUMMYFUNCTION("""COMPUTED_VALUE"""),"Tama Koshi")</f>
        <v>Tama Koshi</v>
      </c>
      <c r="E165" s="2"/>
      <c r="F165" s="3">
        <f>IFERROR(__xludf.DUMMYFUNCTION("""COMPUTED_VALUE"""),60116.0)</f>
        <v>60116</v>
      </c>
      <c r="G165" s="2" t="str">
        <f>IFERROR(__xludf.DUMMYFUNCTION("""COMPUTED_VALUE"""),"North East Power Project P LTd")</f>
        <v>North East Power Project P LTd</v>
      </c>
      <c r="H165" s="2"/>
      <c r="I165" s="2" t="str">
        <f>IFERROR(__xludf.DUMMYFUNCTION("""COMPUTED_VALUE"""),"00o 00' 00""")</f>
        <v>00o 00' 00"</v>
      </c>
      <c r="J165" s="2" t="str">
        <f>IFERROR(__xludf.DUMMYFUNCTION("""COMPUTED_VALUE"""),"00o 00' 00""")</f>
        <v>00o 00' 00"</v>
      </c>
      <c r="K165" s="2" t="str">
        <f>IFERROR(__xludf.DUMMYFUNCTION("""COMPUTED_VALUE"""),"00o 00' 00""")</f>
        <v>00o 00' 00"</v>
      </c>
      <c r="L165" s="2" t="str">
        <f>IFERROR(__xludf.DUMMYFUNCTION("""COMPUTED_VALUE"""),"00o 00' 00""")</f>
        <v>00o 00' 00"</v>
      </c>
      <c r="M165" s="2" t="str">
        <f>IFERROR(__xludf.DUMMYFUNCTION("""COMPUTED_VALUE"""),"(Ramechhap)")</f>
        <v>(Ramechhap)</v>
      </c>
    </row>
    <row r="166">
      <c r="A166" s="2">
        <f>IFERROR(__xludf.DUMMYFUNCTION("""COMPUTED_VALUE"""),165.0)</f>
        <v>165</v>
      </c>
      <c r="B166" s="2" t="str">
        <f>IFERROR(__xludf.DUMMYFUNCTION("""COMPUTED_VALUE"""),"Likhu Khola")</f>
        <v>Likhu Khola</v>
      </c>
      <c r="C166" s="2">
        <f>IFERROR(__xludf.DUMMYFUNCTION("""COMPUTED_VALUE"""),5.0)</f>
        <v>5</v>
      </c>
      <c r="D166" s="2" t="str">
        <f>IFERROR(__xludf.DUMMYFUNCTION("""COMPUTED_VALUE"""),"Likhu Khola")</f>
        <v>Likhu Khola</v>
      </c>
      <c r="E166" s="2"/>
      <c r="F166" s="3">
        <f>IFERROR(__xludf.DUMMYFUNCTION("""COMPUTED_VALUE"""),60116.0)</f>
        <v>60116</v>
      </c>
      <c r="G166" s="2" t="str">
        <f>IFERROR(__xludf.DUMMYFUNCTION("""COMPUTED_VALUE"""),"Nilganga HP Co P Ltd")</f>
        <v>Nilganga HP Co P Ltd</v>
      </c>
      <c r="H166" s="2"/>
      <c r="I166" s="2" t="str">
        <f>IFERROR(__xludf.DUMMYFUNCTION("""COMPUTED_VALUE"""),"27o 25' 34""")</f>
        <v>27o 25' 34"</v>
      </c>
      <c r="J166" s="2" t="str">
        <f>IFERROR(__xludf.DUMMYFUNCTION("""COMPUTED_VALUE"""),"27o 26' 32""")</f>
        <v>27o 26' 32"</v>
      </c>
      <c r="K166" s="2" t="str">
        <f>IFERROR(__xludf.DUMMYFUNCTION("""COMPUTED_VALUE"""),"86o 15' 09""")</f>
        <v>86o 15' 09"</v>
      </c>
      <c r="L166" s="2" t="str">
        <f>IFERROR(__xludf.DUMMYFUNCTION("""COMPUTED_VALUE"""),"86o 15' 45""")</f>
        <v>86o 15' 45"</v>
      </c>
      <c r="M166" s="2" t="str">
        <f>IFERROR(__xludf.DUMMYFUNCTION("""COMPUTED_VALUE"""),"(Ramechhap)")</f>
        <v>(Ramechhap)</v>
      </c>
    </row>
    <row r="167">
      <c r="A167" s="2">
        <f>IFERROR(__xludf.DUMMYFUNCTION("""COMPUTED_VALUE"""),166.0)</f>
        <v>166</v>
      </c>
      <c r="B167" s="2" t="str">
        <f>IFERROR(__xludf.DUMMYFUNCTION("""COMPUTED_VALUE"""),"Likhu Khola")</f>
        <v>Likhu Khola</v>
      </c>
      <c r="C167" s="2">
        <f>IFERROR(__xludf.DUMMYFUNCTION("""COMPUTED_VALUE"""),4.0)</f>
        <v>4</v>
      </c>
      <c r="D167" s="2" t="str">
        <f>IFERROR(__xludf.DUMMYFUNCTION("""COMPUTED_VALUE"""),"Likhu Khola")</f>
        <v>Likhu Khola</v>
      </c>
      <c r="E167" s="2"/>
      <c r="F167" s="3">
        <f>IFERROR(__xludf.DUMMYFUNCTION("""COMPUTED_VALUE"""),60116.0)</f>
        <v>60116</v>
      </c>
      <c r="G167" s="2" t="str">
        <f>IFERROR(__xludf.DUMMYFUNCTION("""COMPUTED_VALUE"""),"Motilal Dugad")</f>
        <v>Motilal Dugad</v>
      </c>
      <c r="H167" s="2"/>
      <c r="I167" s="2" t="str">
        <f>IFERROR(__xludf.DUMMYFUNCTION("""COMPUTED_VALUE"""),"27o 39' 00""")</f>
        <v>27o 39' 00"</v>
      </c>
      <c r="J167" s="2" t="str">
        <f>IFERROR(__xludf.DUMMYFUNCTION("""COMPUTED_VALUE"""),"27o 40' 35""")</f>
        <v>27o 40' 35"</v>
      </c>
      <c r="K167" s="2" t="str">
        <f>IFERROR(__xludf.DUMMYFUNCTION("""COMPUTED_VALUE"""),"86o 27' 00""")</f>
        <v>86o 27' 00"</v>
      </c>
      <c r="L167" s="2" t="str">
        <f>IFERROR(__xludf.DUMMYFUNCTION("""COMPUTED_VALUE"""),"86o 27' 45""")</f>
        <v>86o 27' 45"</v>
      </c>
      <c r="M167" s="2" t="str">
        <f>IFERROR(__xludf.DUMMYFUNCTION("""COMPUTED_VALUE"""),"(Ramechhap)")</f>
        <v>(Ramechhap)</v>
      </c>
    </row>
    <row r="168">
      <c r="A168" s="2">
        <f>IFERROR(__xludf.DUMMYFUNCTION("""COMPUTED_VALUE"""),167.0)</f>
        <v>167</v>
      </c>
      <c r="B168" s="2" t="str">
        <f>IFERROR(__xludf.DUMMYFUNCTION("""COMPUTED_VALUE"""),"Mathillo Bhairabkund Khola")</f>
        <v>Mathillo Bhairabkund Khola</v>
      </c>
      <c r="C168" s="2">
        <f>IFERROR(__xludf.DUMMYFUNCTION("""COMPUTED_VALUE"""),0.965)</f>
        <v>0.965</v>
      </c>
      <c r="D168" s="2" t="str">
        <f>IFERROR(__xludf.DUMMYFUNCTION("""COMPUTED_VALUE"""),"Bhairab Kund")</f>
        <v>Bhairab Kund</v>
      </c>
      <c r="E168" s="2"/>
      <c r="F168" s="3">
        <f>IFERROR(__xludf.DUMMYFUNCTION("""COMPUTED_VALUE"""),60117.0)</f>
        <v>60117</v>
      </c>
      <c r="G168" s="2" t="str">
        <f>IFERROR(__xludf.DUMMYFUNCTION("""COMPUTED_VALUE"""),"Arjun Bahadur Thapa")</f>
        <v>Arjun Bahadur Thapa</v>
      </c>
      <c r="H168" s="2"/>
      <c r="I168" s="2" t="str">
        <f>IFERROR(__xludf.DUMMYFUNCTION("""COMPUTED_VALUE"""),"27o 56' 33""")</f>
        <v>27o 56' 33"</v>
      </c>
      <c r="J168" s="2" t="str">
        <f>IFERROR(__xludf.DUMMYFUNCTION("""COMPUTED_VALUE"""),"27o 57' 39""")</f>
        <v>27o 57' 39"</v>
      </c>
      <c r="K168" s="2" t="str">
        <f>IFERROR(__xludf.DUMMYFUNCTION("""COMPUTED_VALUE"""),"85o 54' 45""")</f>
        <v>85o 54' 45"</v>
      </c>
      <c r="L168" s="2" t="str">
        <f>IFERROR(__xludf.DUMMYFUNCTION("""COMPUTED_VALUE"""),"85o 55' 45""")</f>
        <v>85o 55' 45"</v>
      </c>
      <c r="M168" s="2" t="str">
        <f>IFERROR(__xludf.DUMMYFUNCTION("""COMPUTED_VALUE"""),"(Sindhupalchok)")</f>
        <v>(Sindhupalchok)</v>
      </c>
    </row>
    <row r="169">
      <c r="A169" s="2">
        <f>IFERROR(__xludf.DUMMYFUNCTION("""COMPUTED_VALUE"""),168.0)</f>
        <v>168</v>
      </c>
      <c r="B169" s="2" t="str">
        <f>IFERROR(__xludf.DUMMYFUNCTION("""COMPUTED_VALUE"""),"Upper Kaligandaki")</f>
        <v>Upper Kaligandaki</v>
      </c>
      <c r="C169" s="2">
        <f>IFERROR(__xludf.DUMMYFUNCTION("""COMPUTED_VALUE"""),30.0)</f>
        <v>30</v>
      </c>
      <c r="D169" s="2" t="str">
        <f>IFERROR(__xludf.DUMMYFUNCTION("""COMPUTED_VALUE"""),"Kali Gandaki")</f>
        <v>Kali Gandaki</v>
      </c>
      <c r="E169" s="2"/>
      <c r="F169" s="3">
        <f>IFERROR(__xludf.DUMMYFUNCTION("""COMPUTED_VALUE"""),60117.0)</f>
        <v>60117</v>
      </c>
      <c r="G169" s="2" t="str">
        <f>IFERROR(__xludf.DUMMYFUNCTION("""COMPUTED_VALUE"""),"Mata Manakamana Water Energy Co. P Ltd.")</f>
        <v>Mata Manakamana Water Energy Co. P Ltd.</v>
      </c>
      <c r="H169" s="2"/>
      <c r="I169" s="2" t="str">
        <f>IFERROR(__xludf.DUMMYFUNCTION("""COMPUTED_VALUE"""),"28o 26' 33""")</f>
        <v>28o 26' 33"</v>
      </c>
      <c r="J169" s="2" t="str">
        <f>IFERROR(__xludf.DUMMYFUNCTION("""COMPUTED_VALUE"""),"28o 30' 00""")</f>
        <v>28o 30' 00"</v>
      </c>
      <c r="K169" s="2" t="str">
        <f>IFERROR(__xludf.DUMMYFUNCTION("""COMPUTED_VALUE"""),"83o 36' 40""")</f>
        <v>83o 36' 40"</v>
      </c>
      <c r="L169" s="2" t="str">
        <f>IFERROR(__xludf.DUMMYFUNCTION("""COMPUTED_VALUE"""),"83o 40' 00""")</f>
        <v>83o 40' 00"</v>
      </c>
      <c r="M169" s="2" t="str">
        <f>IFERROR(__xludf.DUMMYFUNCTION("""COMPUTED_VALUE"""),"(Myagdi)")</f>
        <v>(Myagdi)</v>
      </c>
    </row>
    <row r="170">
      <c r="A170" s="2">
        <f>IFERROR(__xludf.DUMMYFUNCTION("""COMPUTED_VALUE"""),169.0)</f>
        <v>169</v>
      </c>
      <c r="B170" s="2" t="str">
        <f>IFERROR(__xludf.DUMMYFUNCTION("""COMPUTED_VALUE"""),"Mathillo Khimti 2")</f>
        <v>Mathillo Khimti 2</v>
      </c>
      <c r="C170" s="2">
        <f>IFERROR(__xludf.DUMMYFUNCTION("""COMPUTED_VALUE"""),1.0)</f>
        <v>1</v>
      </c>
      <c r="D170" s="2" t="str">
        <f>IFERROR(__xludf.DUMMYFUNCTION("""COMPUTED_VALUE"""),"Khimti Khola")</f>
        <v>Khimti Khola</v>
      </c>
      <c r="E170" s="2"/>
      <c r="F170" s="3">
        <f>IFERROR(__xludf.DUMMYFUNCTION("""COMPUTED_VALUE"""),60117.0)</f>
        <v>60117</v>
      </c>
      <c r="G170" s="2" t="str">
        <f>IFERROR(__xludf.DUMMYFUNCTION("""COMPUTED_VALUE"""),"Global Power Associates P Ltd")</f>
        <v>Global Power Associates P Ltd</v>
      </c>
      <c r="H170" s="2"/>
      <c r="I170" s="2" t="str">
        <f>IFERROR(__xludf.DUMMYFUNCTION("""COMPUTED_VALUE"""),"27o 41' 22""")</f>
        <v>27o 41' 22"</v>
      </c>
      <c r="J170" s="2" t="str">
        <f>IFERROR(__xludf.DUMMYFUNCTION("""COMPUTED_VALUE"""),"27o 41' 32""")</f>
        <v>27o 41' 32"</v>
      </c>
      <c r="K170" s="2" t="str">
        <f>IFERROR(__xludf.DUMMYFUNCTION("""COMPUTED_VALUE"""),"86o 20' 21""")</f>
        <v>86o 20' 21"</v>
      </c>
      <c r="L170" s="2" t="str">
        <f>IFERROR(__xludf.DUMMYFUNCTION("""COMPUTED_VALUE"""),"86o 21' 12""")</f>
        <v>86o 21' 12"</v>
      </c>
      <c r="M170" s="2" t="str">
        <f>IFERROR(__xludf.DUMMYFUNCTION("""COMPUTED_VALUE"""),"(Dolakha)")</f>
        <v>(Dolakha)</v>
      </c>
    </row>
    <row r="171">
      <c r="A171" s="2">
        <f>IFERROR(__xludf.DUMMYFUNCTION("""COMPUTED_VALUE"""),170.0)</f>
        <v>170</v>
      </c>
      <c r="B171" s="2" t="str">
        <f>IFERROR(__xludf.DUMMYFUNCTION("""COMPUTED_VALUE"""),"Middle Myagdi")</f>
        <v>Middle Myagdi</v>
      </c>
      <c r="C171" s="2">
        <f>IFERROR(__xludf.DUMMYFUNCTION("""COMPUTED_VALUE"""),32.0)</f>
        <v>32</v>
      </c>
      <c r="D171" s="2" t="str">
        <f>IFERROR(__xludf.DUMMYFUNCTION("""COMPUTED_VALUE"""),"Myagdi Khola")</f>
        <v>Myagdi Khola</v>
      </c>
      <c r="E171" s="2"/>
      <c r="F171" s="3">
        <f>IFERROR(__xludf.DUMMYFUNCTION("""COMPUTED_VALUE"""),60117.0)</f>
        <v>60117</v>
      </c>
      <c r="G171" s="2" t="str">
        <f>IFERROR(__xludf.DUMMYFUNCTION("""COMPUTED_VALUE"""),"Mayawati Hydropower Co. P Ltd")</f>
        <v>Mayawati Hydropower Co. P Ltd</v>
      </c>
      <c r="H171" s="2"/>
      <c r="I171" s="2" t="str">
        <f>IFERROR(__xludf.DUMMYFUNCTION("""COMPUTED_VALUE"""),"28o 23' 45""")</f>
        <v>28o 23' 45"</v>
      </c>
      <c r="J171" s="2" t="str">
        <f>IFERROR(__xludf.DUMMYFUNCTION("""COMPUTED_VALUE"""),"28o 27' 30""")</f>
        <v>28o 27' 30"</v>
      </c>
      <c r="K171" s="2" t="str">
        <f>IFERROR(__xludf.DUMMYFUNCTION("""COMPUTED_VALUE"""),"83o 22' 30""")</f>
        <v>83o 22' 30"</v>
      </c>
      <c r="L171" s="2" t="str">
        <f>IFERROR(__xludf.DUMMYFUNCTION("""COMPUTED_VALUE"""),"83o 26' 45""")</f>
        <v>83o 26' 45"</v>
      </c>
      <c r="M171" s="2" t="str">
        <f>IFERROR(__xludf.DUMMYFUNCTION("""COMPUTED_VALUE"""),"(Myagdi)")</f>
        <v>(Myagdi)</v>
      </c>
    </row>
    <row r="172">
      <c r="A172" s="2">
        <f>IFERROR(__xludf.DUMMYFUNCTION("""COMPUTED_VALUE"""),171.0)</f>
        <v>171</v>
      </c>
      <c r="B172" s="2" t="str">
        <f>IFERROR(__xludf.DUMMYFUNCTION("""COMPUTED_VALUE"""),"Upper Mewa A")</f>
        <v>Upper Mewa A</v>
      </c>
      <c r="C172" s="2">
        <f>IFERROR(__xludf.DUMMYFUNCTION("""COMPUTED_VALUE"""),5.2)</f>
        <v>5.2</v>
      </c>
      <c r="D172" s="2" t="str">
        <f>IFERROR(__xludf.DUMMYFUNCTION("""COMPUTED_VALUE"""),"Mewa Khola")</f>
        <v>Mewa Khola</v>
      </c>
      <c r="E172" s="2">
        <f>IFERROR(__xludf.DUMMYFUNCTION("""COMPUTED_VALUE"""),1124.0)</f>
        <v>1124</v>
      </c>
      <c r="F172" s="3">
        <f>IFERROR(__xludf.DUMMYFUNCTION("""COMPUTED_VALUE"""),60117.0)</f>
        <v>60117</v>
      </c>
      <c r="G172" s="2" t="str">
        <f>IFERROR(__xludf.DUMMYFUNCTION("""COMPUTED_VALUE"""),"Shiva Gauri Hydropower Pv. Ltd.")</f>
        <v>Shiva Gauri Hydropower Pv. Ltd.</v>
      </c>
      <c r="H172" s="2" t="str">
        <f>IFERROR(__xludf.DUMMYFUNCTION("""COMPUTED_VALUE"""),"Po Box no 8975 EPC 1350 Kathmandu")</f>
        <v>Po Box no 8975 EPC 1350 Kathmandu</v>
      </c>
      <c r="I172" s="2" t="str">
        <f>IFERROR(__xludf.DUMMYFUNCTION("""COMPUTED_VALUE"""),"27o 28' 03""")</f>
        <v>27o 28' 03"</v>
      </c>
      <c r="J172" s="2" t="str">
        <f>IFERROR(__xludf.DUMMYFUNCTION("""COMPUTED_VALUE"""),"27o 30' 00""")</f>
        <v>27o 30' 00"</v>
      </c>
      <c r="K172" s="2" t="str">
        <f>IFERROR(__xludf.DUMMYFUNCTION("""COMPUTED_VALUE"""),"87o 36' 25""")</f>
        <v>87o 36' 25"</v>
      </c>
      <c r="L172" s="2" t="str">
        <f>IFERROR(__xludf.DUMMYFUNCTION("""COMPUTED_VALUE"""),"87o 38' 03""")</f>
        <v>87o 38' 03"</v>
      </c>
      <c r="M172" s="2" t="str">
        <f>IFERROR(__xludf.DUMMYFUNCTION("""COMPUTED_VALUE"""),"Papung,Nalbu,Sanwa (Taplejung)")</f>
        <v>Papung,Nalbu,Sanwa (Taplejung)</v>
      </c>
    </row>
    <row r="173">
      <c r="A173" s="2">
        <f>IFERROR(__xludf.DUMMYFUNCTION("""COMPUTED_VALUE"""),172.0)</f>
        <v>172</v>
      </c>
      <c r="B173" s="2" t="str">
        <f>IFERROR(__xludf.DUMMYFUNCTION("""COMPUTED_VALUE"""),"Ghunsa-2")</f>
        <v>Ghunsa-2</v>
      </c>
      <c r="C173" s="2">
        <f>IFERROR(__xludf.DUMMYFUNCTION("""COMPUTED_VALUE"""),32.1)</f>
        <v>32.1</v>
      </c>
      <c r="D173" s="2" t="str">
        <f>IFERROR(__xludf.DUMMYFUNCTION("""COMPUTED_VALUE"""),"Ghunsa Khola")</f>
        <v>Ghunsa Khola</v>
      </c>
      <c r="E173" s="2"/>
      <c r="F173" s="3">
        <f>IFERROR(__xludf.DUMMYFUNCTION("""COMPUTED_VALUE"""),60118.0)</f>
        <v>60118</v>
      </c>
      <c r="G173" s="2" t="str">
        <f>IFERROR(__xludf.DUMMYFUNCTION("""COMPUTED_VALUE"""),"Bimal K Kedia &amp; Kriti Tiwari")</f>
        <v>Bimal K Kedia &amp; Kriti Tiwari</v>
      </c>
      <c r="H173" s="2"/>
      <c r="I173" s="2" t="str">
        <f>IFERROR(__xludf.DUMMYFUNCTION("""COMPUTED_VALUE"""),"27o 36' 07""")</f>
        <v>27o 36' 07"</v>
      </c>
      <c r="J173" s="2" t="str">
        <f>IFERROR(__xludf.DUMMYFUNCTION("""COMPUTED_VALUE"""),"27o 40' 00""")</f>
        <v>27o 40' 00"</v>
      </c>
      <c r="K173" s="2" t="str">
        <f>IFERROR(__xludf.DUMMYFUNCTION("""COMPUTED_VALUE"""),"87o 51' 40""")</f>
        <v>87o 51' 40"</v>
      </c>
      <c r="L173" s="2" t="str">
        <f>IFERROR(__xludf.DUMMYFUNCTION("""COMPUTED_VALUE"""),"88o 00' 00""")</f>
        <v>88o 00' 00"</v>
      </c>
      <c r="M173" s="2" t="str">
        <f>IFERROR(__xludf.DUMMYFUNCTION("""COMPUTED_VALUE"""),"(Taplejung)")</f>
        <v>(Taplejung)</v>
      </c>
    </row>
    <row r="174">
      <c r="A174" s="2">
        <f>IFERROR(__xludf.DUMMYFUNCTION("""COMPUTED_VALUE"""),173.0)</f>
        <v>173</v>
      </c>
      <c r="B174" s="2" t="str">
        <f>IFERROR(__xludf.DUMMYFUNCTION("""COMPUTED_VALUE"""),"Indravati Panchpokhari Khola")</f>
        <v>Indravati Panchpokhari Khola</v>
      </c>
      <c r="C174" s="2">
        <f>IFERROR(__xludf.DUMMYFUNCTION("""COMPUTED_VALUE"""),4.1)</f>
        <v>4.1</v>
      </c>
      <c r="D174" s="2" t="str">
        <f>IFERROR(__xludf.DUMMYFUNCTION("""COMPUTED_VALUE"""),"Indrawati Khola")</f>
        <v>Indrawati Khola</v>
      </c>
      <c r="E174" s="2"/>
      <c r="F174" s="3">
        <f>IFERROR(__xludf.DUMMYFUNCTION("""COMPUTED_VALUE"""),60118.0)</f>
        <v>60118</v>
      </c>
      <c r="G174" s="2" t="str">
        <f>IFERROR(__xludf.DUMMYFUNCTION("""COMPUTED_VALUE"""),"Indravati Panchpokhari Power Dev. &amp; Ser.")</f>
        <v>Indravati Panchpokhari Power Dev. &amp; Ser.</v>
      </c>
      <c r="H174" s="2"/>
      <c r="I174" s="2" t="str">
        <f>IFERROR(__xludf.DUMMYFUNCTION("""COMPUTED_VALUE"""),"27o 58' 20""")</f>
        <v>27o 58' 20"</v>
      </c>
      <c r="J174" s="2" t="str">
        <f>IFERROR(__xludf.DUMMYFUNCTION("""COMPUTED_VALUE"""),"27o 59' 50""")</f>
        <v>27o 59' 50"</v>
      </c>
      <c r="K174" s="2" t="str">
        <f>IFERROR(__xludf.DUMMYFUNCTION("""COMPUTED_VALUE"""),"85o 38' 24""")</f>
        <v>85o 38' 24"</v>
      </c>
      <c r="L174" s="2" t="str">
        <f>IFERROR(__xludf.DUMMYFUNCTION("""COMPUTED_VALUE"""),"85o 40' 45""")</f>
        <v>85o 40' 45"</v>
      </c>
      <c r="M174" s="2" t="str">
        <f>IFERROR(__xludf.DUMMYFUNCTION("""COMPUTED_VALUE"""),"(Sindhupalchok)")</f>
        <v>(Sindhupalchok)</v>
      </c>
    </row>
    <row r="175">
      <c r="A175" s="2">
        <f>IFERROR(__xludf.DUMMYFUNCTION("""COMPUTED_VALUE"""),174.0)</f>
        <v>174</v>
      </c>
      <c r="B175" s="2" t="str">
        <f>IFERROR(__xludf.DUMMYFUNCTION("""COMPUTED_VALUE"""),"Tamor-1")</f>
        <v>Tamor-1</v>
      </c>
      <c r="C175" s="2">
        <f>IFERROR(__xludf.DUMMYFUNCTION("""COMPUTED_VALUE"""),11.6)</f>
        <v>11.6</v>
      </c>
      <c r="D175" s="2" t="str">
        <f>IFERROR(__xludf.DUMMYFUNCTION("""COMPUTED_VALUE"""),"Tamor")</f>
        <v>Tamor</v>
      </c>
      <c r="E175" s="2"/>
      <c r="F175" s="3">
        <f>IFERROR(__xludf.DUMMYFUNCTION("""COMPUTED_VALUE"""),60118.0)</f>
        <v>60118</v>
      </c>
      <c r="G175" s="2" t="str">
        <f>IFERROR(__xludf.DUMMYFUNCTION("""COMPUTED_VALUE"""),"Bimal K Kedia")</f>
        <v>Bimal K Kedia</v>
      </c>
      <c r="H175" s="2"/>
      <c r="I175" s="2" t="str">
        <f>IFERROR(__xludf.DUMMYFUNCTION("""COMPUTED_VALUE"""),"27o 37' 12""")</f>
        <v>27o 37' 12"</v>
      </c>
      <c r="J175" s="2" t="str">
        <f>IFERROR(__xludf.DUMMYFUNCTION("""COMPUTED_VALUE"""),"27o 40' 00""")</f>
        <v>27o 40' 00"</v>
      </c>
      <c r="K175" s="2" t="str">
        <f>IFERROR(__xludf.DUMMYFUNCTION("""COMPUTED_VALUE"""),"87o 45' 00""")</f>
        <v>87o 45' 00"</v>
      </c>
      <c r="L175" s="2" t="str">
        <f>IFERROR(__xludf.DUMMYFUNCTION("""COMPUTED_VALUE"""),"87o 50' 00""")</f>
        <v>87o 50' 00"</v>
      </c>
      <c r="M175" s="2" t="str">
        <f>IFERROR(__xludf.DUMMYFUNCTION("""COMPUTED_VALUE"""),"(Taplejung)")</f>
        <v>(Taplejung)</v>
      </c>
    </row>
    <row r="176">
      <c r="A176" s="2">
        <f>IFERROR(__xludf.DUMMYFUNCTION("""COMPUTED_VALUE"""),175.0)</f>
        <v>175</v>
      </c>
      <c r="B176" s="2" t="str">
        <f>IFERROR(__xludf.DUMMYFUNCTION("""COMPUTED_VALUE"""),"Simbuwa-3")</f>
        <v>Simbuwa-3</v>
      </c>
      <c r="C176" s="2">
        <f>IFERROR(__xludf.DUMMYFUNCTION("""COMPUTED_VALUE"""),11.8)</f>
        <v>11.8</v>
      </c>
      <c r="D176" s="2" t="str">
        <f>IFERROR(__xludf.DUMMYFUNCTION("""COMPUTED_VALUE"""),"Simbuwa Khola")</f>
        <v>Simbuwa Khola</v>
      </c>
      <c r="E176" s="2"/>
      <c r="F176" s="3">
        <f>IFERROR(__xludf.DUMMYFUNCTION("""COMPUTED_VALUE"""),60118.0)</f>
        <v>60118</v>
      </c>
      <c r="G176" s="2" t="str">
        <f>IFERROR(__xludf.DUMMYFUNCTION("""COMPUTED_VALUE"""),"Bimal K Kedia")</f>
        <v>Bimal K Kedia</v>
      </c>
      <c r="H176" s="2"/>
      <c r="I176" s="2" t="str">
        <f>IFERROR(__xludf.DUMMYFUNCTION("""COMPUTED_VALUE"""),"27o 30' 00""")</f>
        <v>27o 30' 00"</v>
      </c>
      <c r="J176" s="2" t="str">
        <f>IFERROR(__xludf.DUMMYFUNCTION("""COMPUTED_VALUE"""),"27o 32' 17""")</f>
        <v>27o 32' 17"</v>
      </c>
      <c r="K176" s="2" t="str">
        <f>IFERROR(__xludf.DUMMYFUNCTION("""COMPUTED_VALUE"""),"87o 48' 01""")</f>
        <v>87o 48' 01"</v>
      </c>
      <c r="L176" s="2" t="str">
        <f>IFERROR(__xludf.DUMMYFUNCTION("""COMPUTED_VALUE"""),"87o 51' 48""")</f>
        <v>87o 51' 48"</v>
      </c>
      <c r="M176" s="2" t="str">
        <f>IFERROR(__xludf.DUMMYFUNCTION("""COMPUTED_VALUE"""),"(Taplejung)")</f>
        <v>(Taplejung)</v>
      </c>
    </row>
    <row r="177">
      <c r="A177" s="2">
        <f>IFERROR(__xludf.DUMMYFUNCTION("""COMPUTED_VALUE"""),176.0)</f>
        <v>176</v>
      </c>
      <c r="B177" s="2" t="str">
        <f>IFERROR(__xludf.DUMMYFUNCTION("""COMPUTED_VALUE"""),"Simbuwa Khola")</f>
        <v>Simbuwa Khola</v>
      </c>
      <c r="C177" s="2">
        <f>IFERROR(__xludf.DUMMYFUNCTION("""COMPUTED_VALUE"""),9.0)</f>
        <v>9</v>
      </c>
      <c r="D177" s="2" t="str">
        <f>IFERROR(__xludf.DUMMYFUNCTION("""COMPUTED_VALUE"""),"Simbuwa Khola")</f>
        <v>Simbuwa Khola</v>
      </c>
      <c r="E177" s="2"/>
      <c r="F177" s="3">
        <f>IFERROR(__xludf.DUMMYFUNCTION("""COMPUTED_VALUE"""),60118.0)</f>
        <v>60118</v>
      </c>
      <c r="G177" s="2" t="str">
        <f>IFERROR(__xludf.DUMMYFUNCTION("""COMPUTED_VALUE"""),"Bimal Kr Kediya")</f>
        <v>Bimal Kr Kediya</v>
      </c>
      <c r="H177" s="2"/>
      <c r="I177" s="2" t="str">
        <f>IFERROR(__xludf.DUMMYFUNCTION("""COMPUTED_VALUE"""),"27o 30' 00""")</f>
        <v>27o 30' 00"</v>
      </c>
      <c r="J177" s="2" t="str">
        <f>IFERROR(__xludf.DUMMYFUNCTION("""COMPUTED_VALUE"""),"27o 35' 00""")</f>
        <v>27o 35' 00"</v>
      </c>
      <c r="K177" s="2" t="str">
        <f>IFERROR(__xludf.DUMMYFUNCTION("""COMPUTED_VALUE"""),"87o 54' 50""")</f>
        <v>87o 54' 50"</v>
      </c>
      <c r="L177" s="2" t="str">
        <f>IFERROR(__xludf.DUMMYFUNCTION("""COMPUTED_VALUE"""),"88o 00' 00""")</f>
        <v>88o 00' 00"</v>
      </c>
      <c r="M177" s="2" t="str">
        <f>IFERROR(__xludf.DUMMYFUNCTION("""COMPUTED_VALUE"""),"(Taplejung)")</f>
        <v>(Taplejung)</v>
      </c>
    </row>
    <row r="178">
      <c r="A178" s="2">
        <f>IFERROR(__xludf.DUMMYFUNCTION("""COMPUTED_VALUE"""),177.0)</f>
        <v>177</v>
      </c>
      <c r="B178" s="2" t="str">
        <f>IFERROR(__xludf.DUMMYFUNCTION("""COMPUTED_VALUE"""),"Ghunsa-1")</f>
        <v>Ghunsa-1</v>
      </c>
      <c r="C178" s="2">
        <f>IFERROR(__xludf.DUMMYFUNCTION("""COMPUTED_VALUE"""),28.0)</f>
        <v>28</v>
      </c>
      <c r="D178" s="2" t="str">
        <f>IFERROR(__xludf.DUMMYFUNCTION("""COMPUTED_VALUE"""),"Ghunsa Khola")</f>
        <v>Ghunsa Khola</v>
      </c>
      <c r="E178" s="2"/>
      <c r="F178" s="3">
        <f>IFERROR(__xludf.DUMMYFUNCTION("""COMPUTED_VALUE"""),60118.0)</f>
        <v>60118</v>
      </c>
      <c r="G178" s="2" t="str">
        <f>IFERROR(__xludf.DUMMYFUNCTION("""COMPUTED_VALUE"""),"Bimal K Kedia &amp; Ayush Raj Tiwari")</f>
        <v>Bimal K Kedia &amp; Ayush Raj Tiwari</v>
      </c>
      <c r="H178" s="2"/>
      <c r="I178" s="2" t="str">
        <f>IFERROR(__xludf.DUMMYFUNCTION("""COMPUTED_VALUE"""),"27o 30' 00""")</f>
        <v>27o 30' 00"</v>
      </c>
      <c r="J178" s="2" t="str">
        <f>IFERROR(__xludf.DUMMYFUNCTION("""COMPUTED_VALUE"""),"27o 35' 00""")</f>
        <v>27o 35' 00"</v>
      </c>
      <c r="K178" s="2" t="str">
        <f>IFERROR(__xludf.DUMMYFUNCTION("""COMPUTED_VALUE"""),"87o 48' 01""")</f>
        <v>87o 48' 01"</v>
      </c>
      <c r="L178" s="2" t="str">
        <f>IFERROR(__xludf.DUMMYFUNCTION("""COMPUTED_VALUE"""),"87o 55' 00""")</f>
        <v>87o 55' 00"</v>
      </c>
      <c r="M178" s="2" t="str">
        <f>IFERROR(__xludf.DUMMYFUNCTION("""COMPUTED_VALUE"""),"(Taplejung)")</f>
        <v>(Taplejung)</v>
      </c>
    </row>
    <row r="179">
      <c r="A179" s="2">
        <f>IFERROR(__xludf.DUMMYFUNCTION("""COMPUTED_VALUE"""),178.0)</f>
        <v>178</v>
      </c>
      <c r="B179" s="2" t="str">
        <f>IFERROR(__xludf.DUMMYFUNCTION("""COMPUTED_VALUE"""),"Daram Khola")</f>
        <v>Daram Khola</v>
      </c>
      <c r="C179" s="2">
        <f>IFERROR(__xludf.DUMMYFUNCTION("""COMPUTED_VALUE"""),3.26)</f>
        <v>3.26</v>
      </c>
      <c r="D179" s="2" t="str">
        <f>IFERROR(__xludf.DUMMYFUNCTION("""COMPUTED_VALUE"""),"Daram")</f>
        <v>Daram</v>
      </c>
      <c r="E179" s="2"/>
      <c r="F179" s="3">
        <f>IFERROR(__xludf.DUMMYFUNCTION("""COMPUTED_VALUE"""),60118.0)</f>
        <v>60118</v>
      </c>
      <c r="G179" s="2" t="str">
        <f>IFERROR(__xludf.DUMMYFUNCTION("""COMPUTED_VALUE"""),"Paramount Power Com")</f>
        <v>Paramount Power Com</v>
      </c>
      <c r="H179" s="2"/>
      <c r="I179" s="2" t="str">
        <f>IFERROR(__xludf.DUMMYFUNCTION("""COMPUTED_VALUE"""),"28o 11' 21""")</f>
        <v>28o 11' 21"</v>
      </c>
      <c r="J179" s="2" t="str">
        <f>IFERROR(__xludf.DUMMYFUNCTION("""COMPUTED_VALUE"""),"28o 12' 00""")</f>
        <v>28o 12' 00"</v>
      </c>
      <c r="K179" s="2" t="str">
        <f>IFERROR(__xludf.DUMMYFUNCTION("""COMPUTED_VALUE"""),"83o 21' 32""")</f>
        <v>83o 21' 32"</v>
      </c>
      <c r="L179" s="2" t="str">
        <f>IFERROR(__xludf.DUMMYFUNCTION("""COMPUTED_VALUE"""),"83o 22' 43""")</f>
        <v>83o 22' 43"</v>
      </c>
      <c r="M179" s="2" t="str">
        <f>IFERROR(__xludf.DUMMYFUNCTION("""COMPUTED_VALUE"""),"(Baglung)")</f>
        <v>(Baglung)</v>
      </c>
    </row>
    <row r="180">
      <c r="A180" s="2">
        <f>IFERROR(__xludf.DUMMYFUNCTION("""COMPUTED_VALUE"""),179.0)</f>
        <v>179</v>
      </c>
      <c r="B180" s="2" t="str">
        <f>IFERROR(__xludf.DUMMYFUNCTION("""COMPUTED_VALUE"""),"Rolwaling")</f>
        <v>Rolwaling</v>
      </c>
      <c r="C180" s="2">
        <f>IFERROR(__xludf.DUMMYFUNCTION("""COMPUTED_VALUE"""),30.0)</f>
        <v>30</v>
      </c>
      <c r="D180" s="2" t="str">
        <f>IFERROR(__xludf.DUMMYFUNCTION("""COMPUTED_VALUE"""),"Rolwaling")</f>
        <v>Rolwaling</v>
      </c>
      <c r="E180" s="2"/>
      <c r="F180" s="3">
        <f>IFERROR(__xludf.DUMMYFUNCTION("""COMPUTED_VALUE"""),60118.0)</f>
        <v>60118</v>
      </c>
      <c r="G180" s="2" t="str">
        <f>IFERROR(__xludf.DUMMYFUNCTION("""COMPUTED_VALUE"""),"Ramesh Sharma")</f>
        <v>Ramesh Sharma</v>
      </c>
      <c r="H180" s="2"/>
      <c r="I180" s="2" t="str">
        <f>IFERROR(__xludf.DUMMYFUNCTION("""COMPUTED_VALUE"""),"00o 00' 00""")</f>
        <v>00o 00' 00"</v>
      </c>
      <c r="J180" s="2" t="str">
        <f>IFERROR(__xludf.DUMMYFUNCTION("""COMPUTED_VALUE"""),"00o 00' 00""")</f>
        <v>00o 00' 00"</v>
      </c>
      <c r="K180" s="2" t="str">
        <f>IFERROR(__xludf.DUMMYFUNCTION("""COMPUTED_VALUE"""),"00o 00' 00""")</f>
        <v>00o 00' 00"</v>
      </c>
      <c r="L180" s="2" t="str">
        <f>IFERROR(__xludf.DUMMYFUNCTION("""COMPUTED_VALUE"""),"00o 00' 00""")</f>
        <v>00o 00' 00"</v>
      </c>
      <c r="M180" s="2" t="str">
        <f>IFERROR(__xludf.DUMMYFUNCTION("""COMPUTED_VALUE"""),"(Dolakha)")</f>
        <v>(Dolakha)</v>
      </c>
    </row>
    <row r="181">
      <c r="A181" s="2">
        <f>IFERROR(__xludf.DUMMYFUNCTION("""COMPUTED_VALUE"""),180.0)</f>
        <v>180</v>
      </c>
      <c r="B181" s="2" t="str">
        <f>IFERROR(__xludf.DUMMYFUNCTION("""COMPUTED_VALUE"""),"Simbuwa-2")</f>
        <v>Simbuwa-2</v>
      </c>
      <c r="C181" s="2">
        <f>IFERROR(__xludf.DUMMYFUNCTION("""COMPUTED_VALUE"""),9.5)</f>
        <v>9.5</v>
      </c>
      <c r="D181" s="2" t="str">
        <f>IFERROR(__xludf.DUMMYFUNCTION("""COMPUTED_VALUE"""),"Simbuwa Khola")</f>
        <v>Simbuwa Khola</v>
      </c>
      <c r="E181" s="2"/>
      <c r="F181" s="3">
        <f>IFERROR(__xludf.DUMMYFUNCTION("""COMPUTED_VALUE"""),60118.0)</f>
        <v>60118</v>
      </c>
      <c r="G181" s="2" t="str">
        <f>IFERROR(__xludf.DUMMYFUNCTION("""COMPUTED_VALUE"""),"Bimal K Kedia")</f>
        <v>Bimal K Kedia</v>
      </c>
      <c r="H181" s="2"/>
      <c r="I181" s="2" t="str">
        <f>IFERROR(__xludf.DUMMYFUNCTION("""COMPUTED_VALUE"""),"27o 30' 00""")</f>
        <v>27o 30' 00"</v>
      </c>
      <c r="J181" s="2" t="str">
        <f>IFERROR(__xludf.DUMMYFUNCTION("""COMPUTED_VALUE"""),"27o 33' 53""")</f>
        <v>27o 33' 53"</v>
      </c>
      <c r="K181" s="2" t="str">
        <f>IFERROR(__xludf.DUMMYFUNCTION("""COMPUTED_VALUE"""),"87o 51' 57""")</f>
        <v>87o 51' 57"</v>
      </c>
      <c r="L181" s="2" t="str">
        <f>IFERROR(__xludf.DUMMYFUNCTION("""COMPUTED_VALUE"""),"87o 55' 18""")</f>
        <v>87o 55' 18"</v>
      </c>
      <c r="M181" s="2" t="str">
        <f>IFERROR(__xludf.DUMMYFUNCTION("""COMPUTED_VALUE"""),"(Taplejung)")</f>
        <v>(Taplejung)</v>
      </c>
    </row>
    <row r="182">
      <c r="A182" s="2">
        <f>IFERROR(__xludf.DUMMYFUNCTION("""COMPUTED_VALUE"""),181.0)</f>
        <v>181</v>
      </c>
      <c r="B182" s="2" t="str">
        <f>IFERROR(__xludf.DUMMYFUNCTION("""COMPUTED_VALUE"""),"Kimathanka Arun")</f>
        <v>Kimathanka Arun</v>
      </c>
      <c r="C182" s="2">
        <f>IFERROR(__xludf.DUMMYFUNCTION("""COMPUTED_VALUE"""),30.0)</f>
        <v>30</v>
      </c>
      <c r="D182" s="2" t="str">
        <f>IFERROR(__xludf.DUMMYFUNCTION("""COMPUTED_VALUE"""),"Arun")</f>
        <v>Arun</v>
      </c>
      <c r="E182" s="2"/>
      <c r="F182" s="3">
        <f>IFERROR(__xludf.DUMMYFUNCTION("""COMPUTED_VALUE"""),60119.0)</f>
        <v>60119</v>
      </c>
      <c r="G182" s="2" t="str">
        <f>IFERROR(__xludf.DUMMYFUNCTION("""COMPUTED_VALUE"""),"Kimathanka Hydropower P Ltd")</f>
        <v>Kimathanka Hydropower P Ltd</v>
      </c>
      <c r="H182" s="2"/>
      <c r="I182" s="2" t="str">
        <f>IFERROR(__xludf.DUMMYFUNCTION("""COMPUTED_VALUE"""),"27o 45' 00""")</f>
        <v>27o 45' 00"</v>
      </c>
      <c r="J182" s="2" t="str">
        <f>IFERROR(__xludf.DUMMYFUNCTION("""COMPUTED_VALUE"""),"27o 49' 44""")</f>
        <v>27o 49' 44"</v>
      </c>
      <c r="K182" s="2" t="str">
        <f>IFERROR(__xludf.DUMMYFUNCTION("""COMPUTED_VALUE"""),"87o 24' 24""")</f>
        <v>87o 24' 24"</v>
      </c>
      <c r="L182" s="2" t="str">
        <f>IFERROR(__xludf.DUMMYFUNCTION("""COMPUTED_VALUE"""),"87o 27' 25""")</f>
        <v>87o 27' 25"</v>
      </c>
      <c r="M182" s="2" t="str">
        <f>IFERROR(__xludf.DUMMYFUNCTION("""COMPUTED_VALUE"""),"(Sankhuwasabha)")</f>
        <v>(Sankhuwasabha)</v>
      </c>
    </row>
    <row r="183">
      <c r="A183" s="2">
        <f>IFERROR(__xludf.DUMMYFUNCTION("""COMPUTED_VALUE"""),182.0)</f>
        <v>182</v>
      </c>
      <c r="B183" s="2" t="str">
        <f>IFERROR(__xludf.DUMMYFUNCTION("""COMPUTED_VALUE"""),"Nisti khola")</f>
        <v>Nisti khola</v>
      </c>
      <c r="C183" s="2">
        <f>IFERROR(__xludf.DUMMYFUNCTION("""COMPUTED_VALUE"""),0.4)</f>
        <v>0.4</v>
      </c>
      <c r="D183" s="2" t="str">
        <f>IFERROR(__xludf.DUMMYFUNCTION("""COMPUTED_VALUE"""),"Nisti Khola")</f>
        <v>Nisti Khola</v>
      </c>
      <c r="E183" s="2"/>
      <c r="F183" s="3">
        <f>IFERROR(__xludf.DUMMYFUNCTION("""COMPUTED_VALUE"""),60119.0)</f>
        <v>60119</v>
      </c>
      <c r="G183" s="2" t="str">
        <f>IFERROR(__xludf.DUMMYFUNCTION("""COMPUTED_VALUE"""),"Bhuk bahadur Thapa")</f>
        <v>Bhuk bahadur Thapa</v>
      </c>
      <c r="H183" s="2"/>
      <c r="I183" s="2" t="str">
        <f>IFERROR(__xludf.DUMMYFUNCTION("""COMPUTED_VALUE"""),"00o 00' 00""")</f>
        <v>00o 00' 00"</v>
      </c>
      <c r="J183" s="2" t="str">
        <f>IFERROR(__xludf.DUMMYFUNCTION("""COMPUTED_VALUE"""),"00o 00' 00""")</f>
        <v>00o 00' 00"</v>
      </c>
      <c r="K183" s="2" t="str">
        <f>IFERROR(__xludf.DUMMYFUNCTION("""COMPUTED_VALUE"""),"00o 00' 00""")</f>
        <v>00o 00' 00"</v>
      </c>
      <c r="L183" s="2" t="str">
        <f>IFERROR(__xludf.DUMMYFUNCTION("""COMPUTED_VALUE"""),"00o 00' 00""")</f>
        <v>00o 00' 00"</v>
      </c>
      <c r="M183" s="2" t="str">
        <f>IFERROR(__xludf.DUMMYFUNCTION("""COMPUTED_VALUE"""),"(Palpa)")</f>
        <v>(Palpa)</v>
      </c>
    </row>
    <row r="184">
      <c r="A184" s="2">
        <f>IFERROR(__xludf.DUMMYFUNCTION("""COMPUTED_VALUE"""),183.0)</f>
        <v>183</v>
      </c>
      <c r="B184" s="2" t="str">
        <f>IFERROR(__xludf.DUMMYFUNCTION("""COMPUTED_VALUE"""),"Budhi Gandaki-Arket")</f>
        <v>Budhi Gandaki-Arket</v>
      </c>
      <c r="C184" s="2">
        <f>IFERROR(__xludf.DUMMYFUNCTION("""COMPUTED_VALUE"""),110.0)</f>
        <v>110</v>
      </c>
      <c r="D184" s="2" t="str">
        <f>IFERROR(__xludf.DUMMYFUNCTION("""COMPUTED_VALUE"""),"Budhi Gandaki")</f>
        <v>Budhi Gandaki</v>
      </c>
      <c r="E184" s="2"/>
      <c r="F184" s="3">
        <f>IFERROR(__xludf.DUMMYFUNCTION("""COMPUTED_VALUE"""),60119.0)</f>
        <v>60119</v>
      </c>
      <c r="G184" s="2" t="str">
        <f>IFERROR(__xludf.DUMMYFUNCTION("""COMPUTED_VALUE"""),"Maytas Infra Ltd")</f>
        <v>Maytas Infra Ltd</v>
      </c>
      <c r="H184" s="2"/>
      <c r="I184" s="2" t="str">
        <f>IFERROR(__xludf.DUMMYFUNCTION("""COMPUTED_VALUE"""),"28o 05' 08""")</f>
        <v>28o 05' 08"</v>
      </c>
      <c r="J184" s="2" t="str">
        <f>IFERROR(__xludf.DUMMYFUNCTION("""COMPUTED_VALUE"""),"28o 13' 17""")</f>
        <v>28o 13' 17"</v>
      </c>
      <c r="K184" s="2" t="str">
        <f>IFERROR(__xludf.DUMMYFUNCTION("""COMPUTED_VALUE"""),"84o 50' 00""")</f>
        <v>84o 50' 00"</v>
      </c>
      <c r="L184" s="2" t="str">
        <f>IFERROR(__xludf.DUMMYFUNCTION("""COMPUTED_VALUE"""),"84o 53' 21""")</f>
        <v>84o 53' 21"</v>
      </c>
      <c r="M184" s="2" t="str">
        <f>IFERROR(__xludf.DUMMYFUNCTION("""COMPUTED_VALUE"""),"(Gorkha)")</f>
        <v>(Gorkha)</v>
      </c>
    </row>
    <row r="185">
      <c r="A185" s="2">
        <f>IFERROR(__xludf.DUMMYFUNCTION("""COMPUTED_VALUE"""),184.0)</f>
        <v>184</v>
      </c>
      <c r="B185" s="2" t="str">
        <f>IFERROR(__xludf.DUMMYFUNCTION("""COMPUTED_VALUE"""),"Dudhkoshi-3")</f>
        <v>Dudhkoshi-3</v>
      </c>
      <c r="C185" s="2">
        <f>IFERROR(__xludf.DUMMYFUNCTION("""COMPUTED_VALUE"""),150.0)</f>
        <v>150</v>
      </c>
      <c r="D185" s="2" t="str">
        <f>IFERROR(__xludf.DUMMYFUNCTION("""COMPUTED_VALUE"""),"Dudh Koshi")</f>
        <v>Dudh Koshi</v>
      </c>
      <c r="E185" s="2"/>
      <c r="F185" s="3">
        <f>IFERROR(__xludf.DUMMYFUNCTION("""COMPUTED_VALUE"""),60119.0)</f>
        <v>60119</v>
      </c>
      <c r="G185" s="2" t="str">
        <f>IFERROR(__xludf.DUMMYFUNCTION("""COMPUTED_VALUE"""),"Kasargod Power Corporation Limited")</f>
        <v>Kasargod Power Corporation Limited</v>
      </c>
      <c r="H185" s="2" t="str">
        <f>IFERROR(__xludf.DUMMYFUNCTION("""COMPUTED_VALUE"""),"Bare Village. Mylatti Post, Kasargod District. Kerala-671319, India")</f>
        <v>Bare Village. Mylatti Post, Kasargod District. Kerala-671319, India</v>
      </c>
      <c r="I185" s="2" t="str">
        <f>IFERROR(__xludf.DUMMYFUNCTION("""COMPUTED_VALUE"""),"27o 26' 28""")</f>
        <v>27o 26' 28"</v>
      </c>
      <c r="J185" s="2" t="str">
        <f>IFERROR(__xludf.DUMMYFUNCTION("""COMPUTED_VALUE"""),"27o 33' 30""")</f>
        <v>27o 33' 30"</v>
      </c>
      <c r="K185" s="2" t="str">
        <f>IFERROR(__xludf.DUMMYFUNCTION("""COMPUTED_VALUE"""),"86o 39' 42""")</f>
        <v>86o 39' 42"</v>
      </c>
      <c r="L185" s="2" t="str">
        <f>IFERROR(__xludf.DUMMYFUNCTION("""COMPUTED_VALUE"""),"86o 43' 36""")</f>
        <v>86o 43' 36"</v>
      </c>
      <c r="M185" s="2" t="str">
        <f>IFERROR(__xludf.DUMMYFUNCTION("""COMPUTED_VALUE"""),"(Solukhumbu)")</f>
        <v>(Solukhumbu)</v>
      </c>
    </row>
    <row r="186">
      <c r="A186" s="2">
        <f>IFERROR(__xludf.DUMMYFUNCTION("""COMPUTED_VALUE"""),185.0)</f>
        <v>185</v>
      </c>
      <c r="B186" s="2" t="str">
        <f>IFERROR(__xludf.DUMMYFUNCTION("""COMPUTED_VALUE"""),"Tamor-2")</f>
        <v>Tamor-2</v>
      </c>
      <c r="C186" s="2">
        <f>IFERROR(__xludf.DUMMYFUNCTION("""COMPUTED_VALUE"""),26.0)</f>
        <v>26</v>
      </c>
      <c r="D186" s="2" t="str">
        <f>IFERROR(__xludf.DUMMYFUNCTION("""COMPUTED_VALUE"""),"Tamor")</f>
        <v>Tamor</v>
      </c>
      <c r="E186" s="2"/>
      <c r="F186" s="3">
        <f>IFERROR(__xludf.DUMMYFUNCTION("""COMPUTED_VALUE"""),60119.0)</f>
        <v>60119</v>
      </c>
      <c r="G186" s="2" t="str">
        <f>IFERROR(__xludf.DUMMYFUNCTION("""COMPUTED_VALUE"""),"Bimal K Kedia &amp;Samudra Tiwari")</f>
        <v>Bimal K Kedia &amp;Samudra Tiwari</v>
      </c>
      <c r="H186" s="2"/>
      <c r="I186" s="2" t="str">
        <f>IFERROR(__xludf.DUMMYFUNCTION("""COMPUTED_VALUE"""),"27o 30' 10""")</f>
        <v>27o 30' 10"</v>
      </c>
      <c r="J186" s="2" t="str">
        <f>IFERROR(__xludf.DUMMYFUNCTION("""COMPUTED_VALUE"""),"27o 37' 10""")</f>
        <v>27o 37' 10"</v>
      </c>
      <c r="K186" s="2" t="str">
        <f>IFERROR(__xludf.DUMMYFUNCTION("""COMPUTED_VALUE"""),"87o 45' 00""")</f>
        <v>87o 45' 00"</v>
      </c>
      <c r="L186" s="2" t="str">
        <f>IFERROR(__xludf.DUMMYFUNCTION("""COMPUTED_VALUE"""),"87o 50' 00""")</f>
        <v>87o 50' 00"</v>
      </c>
      <c r="M186" s="2" t="str">
        <f>IFERROR(__xludf.DUMMYFUNCTION("""COMPUTED_VALUE"""),"(Taplejung)")</f>
        <v>(Taplejung)</v>
      </c>
    </row>
    <row r="187">
      <c r="A187" s="2">
        <f>IFERROR(__xludf.DUMMYFUNCTION("""COMPUTED_VALUE"""),186.0)</f>
        <v>186</v>
      </c>
      <c r="B187" s="2" t="str">
        <f>IFERROR(__xludf.DUMMYFUNCTION("""COMPUTED_VALUE"""),"Budhi Gandaki-Uiya")</f>
        <v>Budhi Gandaki-Uiya</v>
      </c>
      <c r="C187" s="2">
        <f>IFERROR(__xludf.DUMMYFUNCTION("""COMPUTED_VALUE"""),105.0)</f>
        <v>105</v>
      </c>
      <c r="D187" s="2" t="str">
        <f>IFERROR(__xludf.DUMMYFUNCTION("""COMPUTED_VALUE"""),"Budhi Gandaki")</f>
        <v>Budhi Gandaki</v>
      </c>
      <c r="E187" s="2"/>
      <c r="F187" s="3">
        <f>IFERROR(__xludf.DUMMYFUNCTION("""COMPUTED_VALUE"""),60119.0)</f>
        <v>60119</v>
      </c>
      <c r="G187" s="2" t="str">
        <f>IFERROR(__xludf.DUMMYFUNCTION("""COMPUTED_VALUE"""),"Parasnath Greenland P Ltd")</f>
        <v>Parasnath Greenland P Ltd</v>
      </c>
      <c r="H187" s="2"/>
      <c r="I187" s="2" t="str">
        <f>IFERROR(__xludf.DUMMYFUNCTION("""COMPUTED_VALUE"""),"28o 13' 37""")</f>
        <v>28o 13' 37"</v>
      </c>
      <c r="J187" s="2" t="str">
        <f>IFERROR(__xludf.DUMMYFUNCTION("""COMPUTED_VALUE"""),"28o 18' 24""")</f>
        <v>28o 18' 24"</v>
      </c>
      <c r="K187" s="2" t="str">
        <f>IFERROR(__xludf.DUMMYFUNCTION("""COMPUTED_VALUE"""),"84o 52' 06""")</f>
        <v>84o 52' 06"</v>
      </c>
      <c r="L187" s="2" t="str">
        <f>IFERROR(__xludf.DUMMYFUNCTION("""COMPUTED_VALUE"""),"84o 55' 00""")</f>
        <v>84o 55' 00"</v>
      </c>
      <c r="M187" s="2" t="str">
        <f>IFERROR(__xludf.DUMMYFUNCTION("""COMPUTED_VALUE"""),"(Gorkha)")</f>
        <v>(Gorkha)</v>
      </c>
    </row>
    <row r="188">
      <c r="A188" s="2">
        <f>IFERROR(__xludf.DUMMYFUNCTION("""COMPUTED_VALUE"""),187.0)</f>
        <v>187</v>
      </c>
      <c r="B188" s="2" t="str">
        <f>IFERROR(__xludf.DUMMYFUNCTION("""COMPUTED_VALUE"""),"Seti Dulegauda")</f>
        <v>Seti Dulegauda</v>
      </c>
      <c r="C188" s="2">
        <f>IFERROR(__xludf.DUMMYFUNCTION("""COMPUTED_VALUE"""),4.0)</f>
        <v>4</v>
      </c>
      <c r="D188" s="2" t="str">
        <f>IFERROR(__xludf.DUMMYFUNCTION("""COMPUTED_VALUE"""),"Seti Khola")</f>
        <v>Seti Khola</v>
      </c>
      <c r="E188" s="2"/>
      <c r="F188" s="3">
        <f>IFERROR(__xludf.DUMMYFUNCTION("""COMPUTED_VALUE"""),60120.0)</f>
        <v>60120</v>
      </c>
      <c r="G188" s="2" t="str">
        <f>IFERROR(__xludf.DUMMYFUNCTION("""COMPUTED_VALUE"""),"Santa Raj Batas")</f>
        <v>Santa Raj Batas</v>
      </c>
      <c r="H188" s="2"/>
      <c r="I188" s="2" t="str">
        <f>IFERROR(__xludf.DUMMYFUNCTION("""COMPUTED_VALUE"""),"00o 00' 00""")</f>
        <v>00o 00' 00"</v>
      </c>
      <c r="J188" s="2" t="str">
        <f>IFERROR(__xludf.DUMMYFUNCTION("""COMPUTED_VALUE"""),"00o 00' 00""")</f>
        <v>00o 00' 00"</v>
      </c>
      <c r="K188" s="2" t="str">
        <f>IFERROR(__xludf.DUMMYFUNCTION("""COMPUTED_VALUE"""),"00o 00' 00""")</f>
        <v>00o 00' 00"</v>
      </c>
      <c r="L188" s="2" t="str">
        <f>IFERROR(__xludf.DUMMYFUNCTION("""COMPUTED_VALUE"""),"00o 00' 00""")</f>
        <v>00o 00' 00"</v>
      </c>
      <c r="M188" s="2" t="str">
        <f>IFERROR(__xludf.DUMMYFUNCTION("""COMPUTED_VALUE"""),"(Tanahu)")</f>
        <v>(Tanahu)</v>
      </c>
    </row>
    <row r="189">
      <c r="A189" s="2">
        <f>IFERROR(__xludf.DUMMYFUNCTION("""COMPUTED_VALUE"""),188.0)</f>
        <v>188</v>
      </c>
      <c r="B189" s="2" t="str">
        <f>IFERROR(__xludf.DUMMYFUNCTION("""COMPUTED_VALUE"""),"Banganga")</f>
        <v>Banganga</v>
      </c>
      <c r="C189" s="2">
        <f>IFERROR(__xludf.DUMMYFUNCTION("""COMPUTED_VALUE"""),0.99)</f>
        <v>0.99</v>
      </c>
      <c r="D189" s="2" t="str">
        <f>IFERROR(__xludf.DUMMYFUNCTION("""COMPUTED_VALUE"""),"Banganga")</f>
        <v>Banganga</v>
      </c>
      <c r="E189" s="2"/>
      <c r="F189" s="3">
        <f>IFERROR(__xludf.DUMMYFUNCTION("""COMPUTED_VALUE"""),60120.0)</f>
        <v>60120</v>
      </c>
      <c r="G189" s="2" t="str">
        <f>IFERROR(__xludf.DUMMYFUNCTION("""COMPUTED_VALUE"""),"Ramesh Jung Shah")</f>
        <v>Ramesh Jung Shah</v>
      </c>
      <c r="H189" s="2"/>
      <c r="I189" s="2" t="str">
        <f>IFERROR(__xludf.DUMMYFUNCTION("""COMPUTED_VALUE"""),"27o 48' 47""")</f>
        <v>27o 48' 47"</v>
      </c>
      <c r="J189" s="2" t="str">
        <f>IFERROR(__xludf.DUMMYFUNCTION("""COMPUTED_VALUE"""),"27o 49' 50""")</f>
        <v>27o 49' 50"</v>
      </c>
      <c r="K189" s="2" t="str">
        <f>IFERROR(__xludf.DUMMYFUNCTION("""COMPUTED_VALUE"""),"83o 11' 50""")</f>
        <v>83o 11' 50"</v>
      </c>
      <c r="L189" s="2" t="str">
        <f>IFERROR(__xludf.DUMMYFUNCTION("""COMPUTED_VALUE"""),"83o 12' 40""")</f>
        <v>83o 12' 40"</v>
      </c>
      <c r="M189" s="2" t="str">
        <f>IFERROR(__xludf.DUMMYFUNCTION("""COMPUTED_VALUE"""),"(Arghakhanchi)")</f>
        <v>(Arghakhanchi)</v>
      </c>
    </row>
    <row r="190">
      <c r="A190" s="2">
        <f>IFERROR(__xludf.DUMMYFUNCTION("""COMPUTED_VALUE"""),189.0)</f>
        <v>189</v>
      </c>
      <c r="B190" s="2" t="str">
        <f>IFERROR(__xludf.DUMMYFUNCTION("""COMPUTED_VALUE"""),"Lower Arun")</f>
        <v>Lower Arun</v>
      </c>
      <c r="C190" s="2">
        <f>IFERROR(__xludf.DUMMYFUNCTION("""COMPUTED_VALUE"""),308.0)</f>
        <v>308</v>
      </c>
      <c r="D190" s="2" t="str">
        <f>IFERROR(__xludf.DUMMYFUNCTION("""COMPUTED_VALUE"""),"Arun")</f>
        <v>Arun</v>
      </c>
      <c r="E190" s="2"/>
      <c r="F190" s="3">
        <f>IFERROR(__xludf.DUMMYFUNCTION("""COMPUTED_VALUE"""),60120.0)</f>
        <v>60120</v>
      </c>
      <c r="G190" s="2" t="str">
        <f>IFERROR(__xludf.DUMMYFUNCTION("""COMPUTED_VALUE"""),"Jindal Steel And Power Ltd")</f>
        <v>Jindal Steel And Power Ltd</v>
      </c>
      <c r="H190" s="2"/>
      <c r="I190" s="2" t="str">
        <f>IFERROR(__xludf.DUMMYFUNCTION("""COMPUTED_VALUE"""),"00o 00' 00""")</f>
        <v>00o 00' 00"</v>
      </c>
      <c r="J190" s="2" t="str">
        <f>IFERROR(__xludf.DUMMYFUNCTION("""COMPUTED_VALUE"""),"00o 00' 00""")</f>
        <v>00o 00' 00"</v>
      </c>
      <c r="K190" s="2" t="str">
        <f>IFERROR(__xludf.DUMMYFUNCTION("""COMPUTED_VALUE"""),"00o 00' 00""")</f>
        <v>00o 00' 00"</v>
      </c>
      <c r="L190" s="2" t="str">
        <f>IFERROR(__xludf.DUMMYFUNCTION("""COMPUTED_VALUE"""),"00o 00' 00""")</f>
        <v>00o 00' 00"</v>
      </c>
      <c r="M190" s="2" t="str">
        <f>IFERROR(__xludf.DUMMYFUNCTION("""COMPUTED_VALUE"""),"(Sankhuwasabha)")</f>
        <v>(Sankhuwasabha)</v>
      </c>
    </row>
    <row r="191">
      <c r="A191" s="2">
        <f>IFERROR(__xludf.DUMMYFUNCTION("""COMPUTED_VALUE"""),190.0)</f>
        <v>190</v>
      </c>
      <c r="B191" s="2" t="str">
        <f>IFERROR(__xludf.DUMMYFUNCTION("""COMPUTED_VALUE"""),"Modi-Lower")</f>
        <v>Modi-Lower</v>
      </c>
      <c r="C191" s="2">
        <f>IFERROR(__xludf.DUMMYFUNCTION("""COMPUTED_VALUE"""),10.0)</f>
        <v>10</v>
      </c>
      <c r="D191" s="2" t="str">
        <f>IFERROR(__xludf.DUMMYFUNCTION("""COMPUTED_VALUE"""),"Modi Khola")</f>
        <v>Modi Khola</v>
      </c>
      <c r="E191" s="2"/>
      <c r="F191" s="3">
        <f>IFERROR(__xludf.DUMMYFUNCTION("""COMPUTED_VALUE"""),60121.0)</f>
        <v>60121</v>
      </c>
      <c r="G191" s="2" t="str">
        <f>IFERROR(__xludf.DUMMYFUNCTION("""COMPUTED_VALUE"""),"United Modi Hydropower P Ltd")</f>
        <v>United Modi Hydropower P Ltd</v>
      </c>
      <c r="H191" s="2"/>
      <c r="I191" s="2" t="str">
        <f>IFERROR(__xludf.DUMMYFUNCTION("""COMPUTED_VALUE"""),"00o 00' 00""")</f>
        <v>00o 00' 00"</v>
      </c>
      <c r="J191" s="2" t="str">
        <f>IFERROR(__xludf.DUMMYFUNCTION("""COMPUTED_VALUE"""),"00o 00' 00""")</f>
        <v>00o 00' 00"</v>
      </c>
      <c r="K191" s="2" t="str">
        <f>IFERROR(__xludf.DUMMYFUNCTION("""COMPUTED_VALUE"""),"00o 00' 00""")</f>
        <v>00o 00' 00"</v>
      </c>
      <c r="L191" s="2" t="str">
        <f>IFERROR(__xludf.DUMMYFUNCTION("""COMPUTED_VALUE"""),"00o 00' 00""")</f>
        <v>00o 00' 00"</v>
      </c>
      <c r="M191" s="2" t="str">
        <f>IFERROR(__xludf.DUMMYFUNCTION("""COMPUTED_VALUE"""),"(Parbat)")</f>
        <v>(Parbat)</v>
      </c>
    </row>
    <row r="192">
      <c r="A192" s="2">
        <f>IFERROR(__xludf.DUMMYFUNCTION("""COMPUTED_VALUE"""),191.0)</f>
        <v>191</v>
      </c>
      <c r="B192" s="2" t="str">
        <f>IFERROR(__xludf.DUMMYFUNCTION("""COMPUTED_VALUE"""),"Upper Myagdi A")</f>
        <v>Upper Myagdi A</v>
      </c>
      <c r="C192" s="2">
        <f>IFERROR(__xludf.DUMMYFUNCTION("""COMPUTED_VALUE"""),12.0)</f>
        <v>12</v>
      </c>
      <c r="D192" s="2" t="str">
        <f>IFERROR(__xludf.DUMMYFUNCTION("""COMPUTED_VALUE"""),"Myagdi Khola")</f>
        <v>Myagdi Khola</v>
      </c>
      <c r="E192" s="2"/>
      <c r="F192" s="3">
        <f>IFERROR(__xludf.DUMMYFUNCTION("""COMPUTED_VALUE"""),60124.0)</f>
        <v>60124</v>
      </c>
      <c r="G192" s="2" t="str">
        <f>IFERROR(__xludf.DUMMYFUNCTION("""COMPUTED_VALUE"""),"Sayapatri Hydropower P Ltd")</f>
        <v>Sayapatri Hydropower P Ltd</v>
      </c>
      <c r="H192" s="2"/>
      <c r="I192" s="2" t="str">
        <f>IFERROR(__xludf.DUMMYFUNCTION("""COMPUTED_VALUE"""),"28o 27' 30""")</f>
        <v>28o 27' 30"</v>
      </c>
      <c r="J192" s="2" t="str">
        <f>IFERROR(__xludf.DUMMYFUNCTION("""COMPUTED_VALUE"""),"28o 30' 00""")</f>
        <v>28o 30' 00"</v>
      </c>
      <c r="K192" s="2" t="str">
        <f>IFERROR(__xludf.DUMMYFUNCTION("""COMPUTED_VALUE"""),"83o 21' 30""")</f>
        <v>83o 21' 30"</v>
      </c>
      <c r="L192" s="2" t="str">
        <f>IFERROR(__xludf.DUMMYFUNCTION("""COMPUTED_VALUE"""),"83o 23' 15""")</f>
        <v>83o 23' 15"</v>
      </c>
      <c r="M192" s="2" t="str">
        <f>IFERROR(__xludf.DUMMYFUNCTION("""COMPUTED_VALUE"""),"(Myagdi)")</f>
        <v>(Myagdi)</v>
      </c>
    </row>
    <row r="193">
      <c r="A193" s="2">
        <f>IFERROR(__xludf.DUMMYFUNCTION("""COMPUTED_VALUE"""),192.0)</f>
        <v>192</v>
      </c>
      <c r="B193" s="2" t="str">
        <f>IFERROR(__xludf.DUMMYFUNCTION("""COMPUTED_VALUE"""),"Midle Arun")</f>
        <v>Midle Arun</v>
      </c>
      <c r="C193" s="2">
        <f>IFERROR(__xludf.DUMMYFUNCTION("""COMPUTED_VALUE"""),40.0)</f>
        <v>40</v>
      </c>
      <c r="D193" s="2" t="str">
        <f>IFERROR(__xludf.DUMMYFUNCTION("""COMPUTED_VALUE"""),"Arun")</f>
        <v>Arun</v>
      </c>
      <c r="E193" s="2"/>
      <c r="F193" s="3">
        <f>IFERROR(__xludf.DUMMYFUNCTION("""COMPUTED_VALUE"""),60124.0)</f>
        <v>60124</v>
      </c>
      <c r="G193" s="2" t="str">
        <f>IFERROR(__xludf.DUMMYFUNCTION("""COMPUTED_VALUE"""),"Guna raj Ghimire")</f>
        <v>Guna raj Ghimire</v>
      </c>
      <c r="H193" s="2"/>
      <c r="I193" s="2" t="str">
        <f>IFERROR(__xludf.DUMMYFUNCTION("""COMPUTED_VALUE"""),"27o 35' 40""")</f>
        <v>27o 35' 40"</v>
      </c>
      <c r="J193" s="2" t="str">
        <f>IFERROR(__xludf.DUMMYFUNCTION("""COMPUTED_VALUE"""),"27o 40' 00""")</f>
        <v>27o 40' 00"</v>
      </c>
      <c r="K193" s="2" t="str">
        <f>IFERROR(__xludf.DUMMYFUNCTION("""COMPUTED_VALUE"""),"87o 20' 00""")</f>
        <v>87o 20' 00"</v>
      </c>
      <c r="L193" s="2" t="str">
        <f>IFERROR(__xludf.DUMMYFUNCTION("""COMPUTED_VALUE"""),"87o 23' 00""")</f>
        <v>87o 23' 00"</v>
      </c>
      <c r="M193" s="2" t="str">
        <f>IFERROR(__xludf.DUMMYFUNCTION("""COMPUTED_VALUE"""),"(Sankhuwasabha)")</f>
        <v>(Sankhuwasabha)</v>
      </c>
    </row>
    <row r="194">
      <c r="A194" s="2">
        <f>IFERROR(__xludf.DUMMYFUNCTION("""COMPUTED_VALUE"""),193.0)</f>
        <v>193</v>
      </c>
      <c r="B194" s="2" t="str">
        <f>IFERROR(__xludf.DUMMYFUNCTION("""COMPUTED_VALUE"""),"Bheri-Rimna")</f>
        <v>Bheri-Rimna</v>
      </c>
      <c r="C194" s="2">
        <f>IFERROR(__xludf.DUMMYFUNCTION("""COMPUTED_VALUE"""),133.0)</f>
        <v>133</v>
      </c>
      <c r="D194" s="2" t="str">
        <f>IFERROR(__xludf.DUMMYFUNCTION("""COMPUTED_VALUE"""),"Bheri")</f>
        <v>Bheri</v>
      </c>
      <c r="E194" s="2"/>
      <c r="F194" s="3">
        <f>IFERROR(__xludf.DUMMYFUNCTION("""COMPUTED_VALUE"""),60125.0)</f>
        <v>60125</v>
      </c>
      <c r="G194" s="2" t="str">
        <f>IFERROR(__xludf.DUMMYFUNCTION("""COMPUTED_VALUE"""),"Total Management Services")</f>
        <v>Total Management Services</v>
      </c>
      <c r="H194" s="2"/>
      <c r="I194" s="2" t="str">
        <f>IFERROR(__xludf.DUMMYFUNCTION("""COMPUTED_VALUE"""),"28o 40' 32""")</f>
        <v>28o 40' 32"</v>
      </c>
      <c r="J194" s="2" t="str">
        <f>IFERROR(__xludf.DUMMYFUNCTION("""COMPUTED_VALUE"""),"28o 43' 24""")</f>
        <v>28o 43' 24"</v>
      </c>
      <c r="K194" s="2" t="str">
        <f>IFERROR(__xludf.DUMMYFUNCTION("""COMPUTED_VALUE"""),"82o 15' 00""")</f>
        <v>82o 15' 00"</v>
      </c>
      <c r="L194" s="2" t="str">
        <f>IFERROR(__xludf.DUMMYFUNCTION("""COMPUTED_VALUE"""),"82o 17' 30""")</f>
        <v>82o 17' 30"</v>
      </c>
      <c r="M194" s="2" t="str">
        <f>IFERROR(__xludf.DUMMYFUNCTION("""COMPUTED_VALUE"""),"(Jajarkot)")</f>
        <v>(Jajarkot)</v>
      </c>
    </row>
    <row r="195">
      <c r="A195" s="2">
        <f>IFERROR(__xludf.DUMMYFUNCTION("""COMPUTED_VALUE"""),194.0)</f>
        <v>194</v>
      </c>
      <c r="B195" s="2" t="str">
        <f>IFERROR(__xludf.DUMMYFUNCTION("""COMPUTED_VALUE"""),"Dudh Khola")</f>
        <v>Dudh Khola</v>
      </c>
      <c r="C195" s="2">
        <f>IFERROR(__xludf.DUMMYFUNCTION("""COMPUTED_VALUE"""),8.0)</f>
        <v>8</v>
      </c>
      <c r="D195" s="2" t="str">
        <f>IFERROR(__xludf.DUMMYFUNCTION("""COMPUTED_VALUE"""),"Dudh Khola")</f>
        <v>Dudh Khola</v>
      </c>
      <c r="E195" s="2"/>
      <c r="F195" s="3">
        <f>IFERROR(__xludf.DUMMYFUNCTION("""COMPUTED_VALUE"""),60125.0)</f>
        <v>60125</v>
      </c>
      <c r="G195" s="2" t="str">
        <f>IFERROR(__xludf.DUMMYFUNCTION("""COMPUTED_VALUE"""),"Pioneer Hydro P Ltd")</f>
        <v>Pioneer Hydro P Ltd</v>
      </c>
      <c r="H195" s="2"/>
      <c r="I195" s="2" t="str">
        <f>IFERROR(__xludf.DUMMYFUNCTION("""COMPUTED_VALUE"""),"00o 00' 00""")</f>
        <v>00o 00' 00"</v>
      </c>
      <c r="J195" s="2" t="str">
        <f>IFERROR(__xludf.DUMMYFUNCTION("""COMPUTED_VALUE"""),"00o 00' 00""")</f>
        <v>00o 00' 00"</v>
      </c>
      <c r="K195" s="2" t="str">
        <f>IFERROR(__xludf.DUMMYFUNCTION("""COMPUTED_VALUE"""),"00o 00' 00""")</f>
        <v>00o 00' 00"</v>
      </c>
      <c r="L195" s="2" t="str">
        <f>IFERROR(__xludf.DUMMYFUNCTION("""COMPUTED_VALUE"""),"00o 00' 00""")</f>
        <v>00o 00' 00"</v>
      </c>
      <c r="M195" s="2" t="str">
        <f>IFERROR(__xludf.DUMMYFUNCTION("""COMPUTED_VALUE"""),"(Manang)")</f>
        <v>(Manang)</v>
      </c>
    </row>
    <row r="196">
      <c r="A196" s="2">
        <f>IFERROR(__xludf.DUMMYFUNCTION("""COMPUTED_VALUE"""),195.0)</f>
        <v>195</v>
      </c>
      <c r="B196" s="2" t="str">
        <f>IFERROR(__xludf.DUMMYFUNCTION("""COMPUTED_VALUE"""),"Sera / Uttar Ganga Khola")</f>
        <v>Sera / Uttar Ganga Khola</v>
      </c>
      <c r="C196" s="2">
        <f>IFERROR(__xludf.DUMMYFUNCTION("""COMPUTED_VALUE"""),0.95)</f>
        <v>0.95</v>
      </c>
      <c r="D196" s="2" t="str">
        <f>IFERROR(__xludf.DUMMYFUNCTION("""COMPUTED_VALUE"""),"Uttar Ganga")</f>
        <v>Uttar Ganga</v>
      </c>
      <c r="E196" s="2"/>
      <c r="F196" s="3">
        <f>IFERROR(__xludf.DUMMYFUNCTION("""COMPUTED_VALUE"""),60125.0)</f>
        <v>60125</v>
      </c>
      <c r="G196" s="2" t="str">
        <f>IFERROR(__xludf.DUMMYFUNCTION("""COMPUTED_VALUE"""),"Ras Budha")</f>
        <v>Ras Budha</v>
      </c>
      <c r="H196" s="2"/>
      <c r="I196" s="2" t="str">
        <f>IFERROR(__xludf.DUMMYFUNCTION("""COMPUTED_VALUE"""),"00o 00' 00""")</f>
        <v>00o 00' 00"</v>
      </c>
      <c r="J196" s="2" t="str">
        <f>IFERROR(__xludf.DUMMYFUNCTION("""COMPUTED_VALUE"""),"00o 00' 00""")</f>
        <v>00o 00' 00"</v>
      </c>
      <c r="K196" s="2" t="str">
        <f>IFERROR(__xludf.DUMMYFUNCTION("""COMPUTED_VALUE"""),"00o 00' 00""")</f>
        <v>00o 00' 00"</v>
      </c>
      <c r="L196" s="2" t="str">
        <f>IFERROR(__xludf.DUMMYFUNCTION("""COMPUTED_VALUE"""),"00o 00' 00""")</f>
        <v>00o 00' 00"</v>
      </c>
      <c r="M196" s="2" t="str">
        <f>IFERROR(__xludf.DUMMYFUNCTION("""COMPUTED_VALUE"""),"(Rukum)")</f>
        <v>(Rukum)</v>
      </c>
    </row>
    <row r="197">
      <c r="A197" s="2">
        <f>IFERROR(__xludf.DUMMYFUNCTION("""COMPUTED_VALUE"""),196.0)</f>
        <v>196</v>
      </c>
      <c r="B197" s="2" t="str">
        <f>IFERROR(__xludf.DUMMYFUNCTION("""COMPUTED_VALUE"""),"Upper Sawane Khola-A")</f>
        <v>Upper Sawane Khola-A</v>
      </c>
      <c r="C197" s="2">
        <f>IFERROR(__xludf.DUMMYFUNCTION("""COMPUTED_VALUE"""),1.5)</f>
        <v>1.5</v>
      </c>
      <c r="D197" s="2" t="str">
        <f>IFERROR(__xludf.DUMMYFUNCTION("""COMPUTED_VALUE"""),"Sawane")</f>
        <v>Sawane</v>
      </c>
      <c r="E197" s="2"/>
      <c r="F197" s="3">
        <f>IFERROR(__xludf.DUMMYFUNCTION("""COMPUTED_VALUE"""),60125.0)</f>
        <v>60125</v>
      </c>
      <c r="G197" s="2" t="str">
        <f>IFERROR(__xludf.DUMMYFUNCTION("""COMPUTED_VALUE"""),"Krishna Prasad Shrestha")</f>
        <v>Krishna Prasad Shrestha</v>
      </c>
      <c r="H197" s="2"/>
      <c r="I197" s="2" t="str">
        <f>IFERROR(__xludf.DUMMYFUNCTION("""COMPUTED_VALUE"""),"28o 11' 15""")</f>
        <v>28o 11' 15"</v>
      </c>
      <c r="J197" s="2" t="str">
        <f>IFERROR(__xludf.DUMMYFUNCTION("""COMPUTED_VALUE"""),"28o 18' 15""")</f>
        <v>28o 18' 15"</v>
      </c>
      <c r="K197" s="2" t="str">
        <f>IFERROR(__xludf.DUMMYFUNCTION("""COMPUTED_VALUE"""),"83o 16' 45""")</f>
        <v>83o 16' 45"</v>
      </c>
      <c r="L197" s="2" t="str">
        <f>IFERROR(__xludf.DUMMYFUNCTION("""COMPUTED_VALUE"""),"83o 18' 15""")</f>
        <v>83o 18' 15"</v>
      </c>
      <c r="M197" s="2" t="str">
        <f>IFERROR(__xludf.DUMMYFUNCTION("""COMPUTED_VALUE"""),"(Baglung)")</f>
        <v>(Baglung)</v>
      </c>
    </row>
    <row r="198">
      <c r="A198" s="2">
        <f>IFERROR(__xludf.DUMMYFUNCTION("""COMPUTED_VALUE"""),197.0)</f>
        <v>197</v>
      </c>
      <c r="B198" s="2" t="str">
        <f>IFERROR(__xludf.DUMMYFUNCTION("""COMPUTED_VALUE"""),"Lipin Khola")</f>
        <v>Lipin Khola</v>
      </c>
      <c r="C198" s="2">
        <f>IFERROR(__xludf.DUMMYFUNCTION("""COMPUTED_VALUE"""),0.633)</f>
        <v>0.633</v>
      </c>
      <c r="D198" s="2" t="str">
        <f>IFERROR(__xludf.DUMMYFUNCTION("""COMPUTED_VALUE"""),"Liping")</f>
        <v>Liping</v>
      </c>
      <c r="E198" s="2"/>
      <c r="F198" s="3">
        <f>IFERROR(__xludf.DUMMYFUNCTION("""COMPUTED_VALUE"""),60125.0)</f>
        <v>60125</v>
      </c>
      <c r="G198" s="2" t="str">
        <f>IFERROR(__xludf.DUMMYFUNCTION("""COMPUTED_VALUE"""),"Shiv Shrestha")</f>
        <v>Shiv Shrestha</v>
      </c>
      <c r="H198" s="2"/>
      <c r="I198" s="2" t="str">
        <f>IFERROR(__xludf.DUMMYFUNCTION("""COMPUTED_VALUE"""),"27o 58' 06""")</f>
        <v>27o 58' 06"</v>
      </c>
      <c r="J198" s="2" t="str">
        <f>IFERROR(__xludf.DUMMYFUNCTION("""COMPUTED_VALUE"""),"27o 58' 32""")</f>
        <v>27o 58' 32"</v>
      </c>
      <c r="K198" s="2" t="str">
        <f>IFERROR(__xludf.DUMMYFUNCTION("""COMPUTED_VALUE"""),"85o 57' 10""")</f>
        <v>85o 57' 10"</v>
      </c>
      <c r="L198" s="2" t="str">
        <f>IFERROR(__xludf.DUMMYFUNCTION("""COMPUTED_VALUE"""),"85o 57' 44""")</f>
        <v>85o 57' 44"</v>
      </c>
      <c r="M198" s="2" t="str">
        <f>IFERROR(__xludf.DUMMYFUNCTION("""COMPUTED_VALUE"""),"(Sindhupalchok)")</f>
        <v>(Sindhupalchok)</v>
      </c>
    </row>
    <row r="199">
      <c r="A199" s="2">
        <f>IFERROR(__xludf.DUMMYFUNCTION("""COMPUTED_VALUE"""),198.0)</f>
        <v>198</v>
      </c>
      <c r="B199" s="2" t="str">
        <f>IFERROR(__xludf.DUMMYFUNCTION("""COMPUTED_VALUE"""),"Kawadi Khola")</f>
        <v>Kawadi Khola</v>
      </c>
      <c r="C199" s="2">
        <f>IFERROR(__xludf.DUMMYFUNCTION("""COMPUTED_VALUE"""),5.0)</f>
        <v>5</v>
      </c>
      <c r="D199" s="2" t="str">
        <f>IFERROR(__xludf.DUMMYFUNCTION("""COMPUTED_VALUE"""),"Kawadi Khola")</f>
        <v>Kawadi Khola</v>
      </c>
      <c r="E199" s="2"/>
      <c r="F199" s="3">
        <f>IFERROR(__xludf.DUMMYFUNCTION("""COMPUTED_VALUE"""),60125.0)</f>
        <v>60125</v>
      </c>
      <c r="G199" s="2" t="str">
        <f>IFERROR(__xludf.DUMMYFUNCTION("""COMPUTED_VALUE"""),"Annapurna Power (P.) Ltd.")</f>
        <v>Annapurna Power (P.) Ltd.</v>
      </c>
      <c r="H199" s="2"/>
      <c r="I199" s="2" t="str">
        <f>IFERROR(__xludf.DUMMYFUNCTION("""COMPUTED_VALUE"""),"29o 00' 00""")</f>
        <v>29o 00' 00"</v>
      </c>
      <c r="J199" s="2" t="str">
        <f>IFERROR(__xludf.DUMMYFUNCTION("""COMPUTED_VALUE"""),"29o 07' 30""")</f>
        <v>29o 07' 30"</v>
      </c>
      <c r="K199" s="2" t="str">
        <f>IFERROR(__xludf.DUMMYFUNCTION("""COMPUTED_VALUE"""),"80o 37' 30""")</f>
        <v>80o 37' 30"</v>
      </c>
      <c r="L199" s="2" t="str">
        <f>IFERROR(__xludf.DUMMYFUNCTION("""COMPUTED_VALUE"""),"80o 42' 30""")</f>
        <v>80o 42' 30"</v>
      </c>
      <c r="M199" s="2" t="str">
        <f>IFERROR(__xludf.DUMMYFUNCTION("""COMPUTED_VALUE"""),"(Doti)")</f>
        <v>(Doti)</v>
      </c>
    </row>
    <row r="200">
      <c r="A200" s="2">
        <f>IFERROR(__xludf.DUMMYFUNCTION("""COMPUTED_VALUE"""),199.0)</f>
        <v>199</v>
      </c>
      <c r="B200" s="2" t="str">
        <f>IFERROR(__xludf.DUMMYFUNCTION("""COMPUTED_VALUE"""),"Madhya Banganga")</f>
        <v>Madhya Banganga</v>
      </c>
      <c r="C200" s="2">
        <f>IFERROR(__xludf.DUMMYFUNCTION("""COMPUTED_VALUE"""),0.99)</f>
        <v>0.99</v>
      </c>
      <c r="D200" s="2" t="str">
        <f>IFERROR(__xludf.DUMMYFUNCTION("""COMPUTED_VALUE"""),"Banganga")</f>
        <v>Banganga</v>
      </c>
      <c r="E200" s="2"/>
      <c r="F200" s="3">
        <f>IFERROR(__xludf.DUMMYFUNCTION("""COMPUTED_VALUE"""),60125.0)</f>
        <v>60125</v>
      </c>
      <c r="G200" s="2" t="str">
        <f>IFERROR(__xludf.DUMMYFUNCTION("""COMPUTED_VALUE"""),"Abhani Hydroelectric")</f>
        <v>Abhani Hydroelectric</v>
      </c>
      <c r="H200" s="2"/>
      <c r="I200" s="2" t="str">
        <f>IFERROR(__xludf.DUMMYFUNCTION("""COMPUTED_VALUE"""),"27o 49' 47""")</f>
        <v>27o 49' 47"</v>
      </c>
      <c r="J200" s="2" t="str">
        <f>IFERROR(__xludf.DUMMYFUNCTION("""COMPUTED_VALUE"""),"27o 50' 21""")</f>
        <v>27o 50' 21"</v>
      </c>
      <c r="K200" s="2" t="str">
        <f>IFERROR(__xludf.DUMMYFUNCTION("""COMPUTED_VALUE"""),"83o 10' 18""")</f>
        <v>83o 10' 18"</v>
      </c>
      <c r="L200" s="2" t="str">
        <f>IFERROR(__xludf.DUMMYFUNCTION("""COMPUTED_VALUE"""),"83o 11' 49""")</f>
        <v>83o 11' 49"</v>
      </c>
      <c r="M200" s="2" t="str">
        <f>IFERROR(__xludf.DUMMYFUNCTION("""COMPUTED_VALUE"""),"(Arghakhanchi)")</f>
        <v>(Arghakhanchi)</v>
      </c>
    </row>
    <row r="201">
      <c r="A201" s="2">
        <f>IFERROR(__xludf.DUMMYFUNCTION("""COMPUTED_VALUE"""),200.0)</f>
        <v>200</v>
      </c>
      <c r="B201" s="2" t="str">
        <f>IFERROR(__xludf.DUMMYFUNCTION("""COMPUTED_VALUE"""),"Maiwa Khola")</f>
        <v>Maiwa Khola</v>
      </c>
      <c r="C201" s="2">
        <f>IFERROR(__xludf.DUMMYFUNCTION("""COMPUTED_VALUE"""),4.7)</f>
        <v>4.7</v>
      </c>
      <c r="D201" s="2" t="str">
        <f>IFERROR(__xludf.DUMMYFUNCTION("""COMPUTED_VALUE"""),"Maiwa")</f>
        <v>Maiwa</v>
      </c>
      <c r="E201" s="2"/>
      <c r="F201" s="3">
        <f>IFERROR(__xludf.DUMMYFUNCTION("""COMPUTED_VALUE"""),60125.0)</f>
        <v>60125</v>
      </c>
      <c r="G201" s="2" t="str">
        <f>IFERROR(__xludf.DUMMYFUNCTION("""COMPUTED_VALUE"""),"Ashok Kr Shah, Sudan Limbu &amp; Pavan Kr Bistha")</f>
        <v>Ashok Kr Shah, Sudan Limbu &amp; Pavan Kr Bistha</v>
      </c>
      <c r="H201" s="2"/>
      <c r="I201" s="2" t="str">
        <f>IFERROR(__xludf.DUMMYFUNCTION("""COMPUTED_VALUE"""),"27o 22' 21""")</f>
        <v>27o 22' 21"</v>
      </c>
      <c r="J201" s="2" t="str">
        <f>IFERROR(__xludf.DUMMYFUNCTION("""COMPUTED_VALUE"""),"27o 24' 45""")</f>
        <v>27o 24' 45"</v>
      </c>
      <c r="K201" s="2" t="str">
        <f>IFERROR(__xludf.DUMMYFUNCTION("""COMPUTED_VALUE"""),"87o 31' 13""")</f>
        <v>87o 31' 13"</v>
      </c>
      <c r="L201" s="2" t="str">
        <f>IFERROR(__xludf.DUMMYFUNCTION("""COMPUTED_VALUE"""),"87o 33' 30""")</f>
        <v>87o 33' 30"</v>
      </c>
      <c r="M201" s="2" t="str">
        <f>IFERROR(__xludf.DUMMYFUNCTION("""COMPUTED_VALUE"""),"(Taplejung)")</f>
        <v>(Taplejung)</v>
      </c>
    </row>
    <row r="202">
      <c r="A202" s="2">
        <f>IFERROR(__xludf.DUMMYFUNCTION("""COMPUTED_VALUE"""),201.0)</f>
        <v>201</v>
      </c>
      <c r="B202" s="2" t="str">
        <f>IFERROR(__xludf.DUMMYFUNCTION("""COMPUTED_VALUE"""),"Tila")</f>
        <v>Tila</v>
      </c>
      <c r="C202" s="2">
        <f>IFERROR(__xludf.DUMMYFUNCTION("""COMPUTED_VALUE"""),35.0)</f>
        <v>35</v>
      </c>
      <c r="D202" s="2" t="str">
        <f>IFERROR(__xludf.DUMMYFUNCTION("""COMPUTED_VALUE"""),"Tila")</f>
        <v>Tila</v>
      </c>
      <c r="E202" s="2"/>
      <c r="F202" s="3">
        <f>IFERROR(__xludf.DUMMYFUNCTION("""COMPUTED_VALUE"""),60128.0)</f>
        <v>60128</v>
      </c>
      <c r="G202" s="2" t="str">
        <f>IFERROR(__xludf.DUMMYFUNCTION("""COMPUTED_VALUE"""),"Sourabh Guragain &amp;Kaiash Chandra Goyal")</f>
        <v>Sourabh Guragain &amp;Kaiash Chandra Goyal</v>
      </c>
      <c r="H202" s="2"/>
      <c r="I202" s="2" t="str">
        <f>IFERROR(__xludf.DUMMYFUNCTION("""COMPUTED_VALUE"""),"29o 07' 10""")</f>
        <v>29o 07' 10"</v>
      </c>
      <c r="J202" s="2" t="str">
        <f>IFERROR(__xludf.DUMMYFUNCTION("""COMPUTED_VALUE"""),"29o 09' 45""")</f>
        <v>29o 09' 45"</v>
      </c>
      <c r="K202" s="2" t="str">
        <f>IFERROR(__xludf.DUMMYFUNCTION("""COMPUTED_VALUE"""),"81o 47' 15""")</f>
        <v>81o 47' 15"</v>
      </c>
      <c r="L202" s="2" t="str">
        <f>IFERROR(__xludf.DUMMYFUNCTION("""COMPUTED_VALUE"""),"81o 50' 00""")</f>
        <v>81o 50' 00"</v>
      </c>
      <c r="M202" s="2" t="str">
        <f>IFERROR(__xludf.DUMMYFUNCTION("""COMPUTED_VALUE"""),"(Kalikot)")</f>
        <v>(Kalikot)</v>
      </c>
    </row>
    <row r="203">
      <c r="A203" s="2">
        <f>IFERROR(__xludf.DUMMYFUNCTION("""COMPUTED_VALUE"""),202.0)</f>
        <v>202</v>
      </c>
      <c r="B203" s="2" t="str">
        <f>IFERROR(__xludf.DUMMYFUNCTION("""COMPUTED_VALUE"""),"Mai A")</f>
        <v>Mai A</v>
      </c>
      <c r="C203" s="2">
        <f>IFERROR(__xludf.DUMMYFUNCTION("""COMPUTED_VALUE"""),3.2)</f>
        <v>3.2</v>
      </c>
      <c r="D203" s="2" t="str">
        <f>IFERROR(__xludf.DUMMYFUNCTION("""COMPUTED_VALUE"""),"Mai Khola")</f>
        <v>Mai Khola</v>
      </c>
      <c r="E203" s="2"/>
      <c r="F203" s="3">
        <f>IFERROR(__xludf.DUMMYFUNCTION("""COMPUTED_VALUE"""),60128.0)</f>
        <v>60128</v>
      </c>
      <c r="G203" s="2" t="str">
        <f>IFERROR(__xludf.DUMMYFUNCTION("""COMPUTED_VALUE"""),"Prakash Paudel")</f>
        <v>Prakash Paudel</v>
      </c>
      <c r="H203" s="2"/>
      <c r="I203" s="2" t="str">
        <f>IFERROR(__xludf.DUMMYFUNCTION("""COMPUTED_VALUE"""),"26o 57' 30""")</f>
        <v>26o 57' 30"</v>
      </c>
      <c r="J203" s="2" t="str">
        <f>IFERROR(__xludf.DUMMYFUNCTION("""COMPUTED_VALUE"""),"27o 00' 00""")</f>
        <v>27o 00' 00"</v>
      </c>
      <c r="K203" s="2" t="str">
        <f>IFERROR(__xludf.DUMMYFUNCTION("""COMPUTED_VALUE"""),"87o 57' 20""")</f>
        <v>87o 57' 20"</v>
      </c>
      <c r="L203" s="2" t="str">
        <f>IFERROR(__xludf.DUMMYFUNCTION("""COMPUTED_VALUE"""),"87o 59' 00""")</f>
        <v>87o 59' 00"</v>
      </c>
      <c r="M203" s="2" t="str">
        <f>IFERROR(__xludf.DUMMYFUNCTION("""COMPUTED_VALUE"""),"(Ilam)")</f>
        <v>(Ilam)</v>
      </c>
    </row>
    <row r="204">
      <c r="A204" s="2">
        <f>IFERROR(__xludf.DUMMYFUNCTION("""COMPUTED_VALUE"""),203.0)</f>
        <v>203</v>
      </c>
      <c r="B204" s="2" t="str">
        <f>IFERROR(__xludf.DUMMYFUNCTION("""COMPUTED_VALUE"""),"Kinja")</f>
        <v>Kinja</v>
      </c>
      <c r="C204" s="2">
        <f>IFERROR(__xludf.DUMMYFUNCTION("""COMPUTED_VALUE"""),1.0)</f>
        <v>1</v>
      </c>
      <c r="D204" s="2" t="str">
        <f>IFERROR(__xludf.DUMMYFUNCTION("""COMPUTED_VALUE"""),"Kinja")</f>
        <v>Kinja</v>
      </c>
      <c r="E204" s="2"/>
      <c r="F204" s="3">
        <f>IFERROR(__xludf.DUMMYFUNCTION("""COMPUTED_VALUE"""),60128.0)</f>
        <v>60128</v>
      </c>
      <c r="G204" s="2" t="str">
        <f>IFERROR(__xludf.DUMMYFUNCTION("""COMPUTED_VALUE"""),"Indra Jit Karki")</f>
        <v>Indra Jit Karki</v>
      </c>
      <c r="H204" s="2"/>
      <c r="I204" s="2" t="str">
        <f>IFERROR(__xludf.DUMMYFUNCTION("""COMPUTED_VALUE"""),"27o 34' 00""")</f>
        <v>27o 34' 00"</v>
      </c>
      <c r="J204" s="2" t="str">
        <f>IFERROR(__xludf.DUMMYFUNCTION("""COMPUTED_VALUE"""),"27o 35' 08""")</f>
        <v>27o 35' 08"</v>
      </c>
      <c r="K204" s="2" t="str">
        <f>IFERROR(__xludf.DUMMYFUNCTION("""COMPUTED_VALUE"""),"86o 24' 10""")</f>
        <v>86o 24' 10"</v>
      </c>
      <c r="L204" s="2" t="str">
        <f>IFERROR(__xludf.DUMMYFUNCTION("""COMPUTED_VALUE"""),"86o 25' 58""")</f>
        <v>86o 25' 58"</v>
      </c>
      <c r="M204" s="2" t="str">
        <f>IFERROR(__xludf.DUMMYFUNCTION("""COMPUTED_VALUE"""),"(Solukhumbu)")</f>
        <v>(Solukhumbu)</v>
      </c>
    </row>
    <row r="205">
      <c r="A205" s="2">
        <f>IFERROR(__xludf.DUMMYFUNCTION("""COMPUTED_VALUE"""),204.0)</f>
        <v>204</v>
      </c>
      <c r="B205" s="2" t="str">
        <f>IFERROR(__xludf.DUMMYFUNCTION("""COMPUTED_VALUE"""),"Lower Tila")</f>
        <v>Lower Tila</v>
      </c>
      <c r="C205" s="2">
        <f>IFERROR(__xludf.DUMMYFUNCTION("""COMPUTED_VALUE"""),50.0)</f>
        <v>50</v>
      </c>
      <c r="D205" s="2" t="str">
        <f>IFERROR(__xludf.DUMMYFUNCTION("""COMPUTED_VALUE"""),"Tila")</f>
        <v>Tila</v>
      </c>
      <c r="E205" s="2"/>
      <c r="F205" s="3">
        <f>IFERROR(__xludf.DUMMYFUNCTION("""COMPUTED_VALUE"""),60128.0)</f>
        <v>60128</v>
      </c>
      <c r="G205" s="2" t="str">
        <f>IFERROR(__xludf.DUMMYFUNCTION("""COMPUTED_VALUE"""),"Bhogendra Sharma Guragai &amp; Shrawan Kumar Goyal")</f>
        <v>Bhogendra Sharma Guragai &amp; Shrawan Kumar Goyal</v>
      </c>
      <c r="H205" s="2"/>
      <c r="I205" s="2" t="str">
        <f>IFERROR(__xludf.DUMMYFUNCTION("""COMPUTED_VALUE"""),"29o 06' 30""")</f>
        <v>29o 06' 30"</v>
      </c>
      <c r="J205" s="2" t="str">
        <f>IFERROR(__xludf.DUMMYFUNCTION("""COMPUTED_VALUE"""),"29o 09' 21""")</f>
        <v>29o 09' 21"</v>
      </c>
      <c r="K205" s="2" t="str">
        <f>IFERROR(__xludf.DUMMYFUNCTION("""COMPUTED_VALUE"""),"81o 45' 00""")</f>
        <v>81o 45' 00"</v>
      </c>
      <c r="L205" s="2" t="str">
        <f>IFERROR(__xludf.DUMMYFUNCTION("""COMPUTED_VALUE"""),"81o 47' 08""")</f>
        <v>81o 47' 08"</v>
      </c>
      <c r="M205" s="2" t="str">
        <f>IFERROR(__xludf.DUMMYFUNCTION("""COMPUTED_VALUE"""),"(Kalikot)")</f>
        <v>(Kalikot)</v>
      </c>
    </row>
    <row r="206">
      <c r="A206" s="2">
        <f>IFERROR(__xludf.DUMMYFUNCTION("""COMPUTED_VALUE"""),205.0)</f>
        <v>205</v>
      </c>
      <c r="B206" s="2" t="str">
        <f>IFERROR(__xludf.DUMMYFUNCTION("""COMPUTED_VALUE"""),"Chhetigad")</f>
        <v>Chhetigad</v>
      </c>
      <c r="C206" s="2">
        <f>IFERROR(__xludf.DUMMYFUNCTION("""COMPUTED_VALUE"""),24.0)</f>
        <v>24</v>
      </c>
      <c r="D206" s="2" t="str">
        <f>IFERROR(__xludf.DUMMYFUNCTION("""COMPUTED_VALUE"""),"Chhetigad")</f>
        <v>Chhetigad</v>
      </c>
      <c r="E206" s="2">
        <f>IFERROR(__xludf.DUMMYFUNCTION("""COMPUTED_VALUE"""),1522.0)</f>
        <v>1522</v>
      </c>
      <c r="F206" s="3">
        <f>IFERROR(__xludf.DUMMYFUNCTION("""COMPUTED_VALUE"""),60128.0)</f>
        <v>60128</v>
      </c>
      <c r="G206" s="2" t="str">
        <f>IFERROR(__xludf.DUMMYFUNCTION("""COMPUTED_VALUE"""),"Sunkhola Hydropower P Ltd")</f>
        <v>Sunkhola Hydropower P Ltd</v>
      </c>
      <c r="H206" s="2"/>
      <c r="I206" s="2" t="str">
        <f>IFERROR(__xludf.DUMMYFUNCTION("""COMPUTED_VALUE"""),"29o 47' 10""")</f>
        <v>29o 47' 10"</v>
      </c>
      <c r="J206" s="2" t="str">
        <f>IFERROR(__xludf.DUMMYFUNCTION("""COMPUTED_VALUE"""),"29o 49' 48""")</f>
        <v>29o 49' 48"</v>
      </c>
      <c r="K206" s="2" t="str">
        <f>IFERROR(__xludf.DUMMYFUNCTION("""COMPUTED_VALUE"""),"80o 51' 40""")</f>
        <v>80o 51' 40"</v>
      </c>
      <c r="L206" s="2" t="str">
        <f>IFERROR(__xludf.DUMMYFUNCTION("""COMPUTED_VALUE"""),"80o 54' 27""")</f>
        <v>80o 54' 27"</v>
      </c>
      <c r="M206" s="2" t="str">
        <f>IFERROR(__xludf.DUMMYFUNCTION("""COMPUTED_VALUE"""),"(Darchula)")</f>
        <v>(Darchula)</v>
      </c>
    </row>
    <row r="207">
      <c r="A207" s="2">
        <f>IFERROR(__xludf.DUMMYFUNCTION("""COMPUTED_VALUE"""),206.0)</f>
        <v>206</v>
      </c>
      <c r="B207" s="2" t="str">
        <f>IFERROR(__xludf.DUMMYFUNCTION("""COMPUTED_VALUE"""),"Bajhang Seti")</f>
        <v>Bajhang Seti</v>
      </c>
      <c r="C207" s="2">
        <f>IFERROR(__xludf.DUMMYFUNCTION("""COMPUTED_VALUE"""),75.0)</f>
        <v>75</v>
      </c>
      <c r="D207" s="2" t="str">
        <f>IFERROR(__xludf.DUMMYFUNCTION("""COMPUTED_VALUE"""),"West Seti")</f>
        <v>West Seti</v>
      </c>
      <c r="E207" s="2">
        <f>IFERROR(__xludf.DUMMYFUNCTION("""COMPUTED_VALUE"""),1523.0)</f>
        <v>1523</v>
      </c>
      <c r="F207" s="3">
        <f>IFERROR(__xludf.DUMMYFUNCTION("""COMPUTED_VALUE"""),60128.0)</f>
        <v>60128</v>
      </c>
      <c r="G207" s="2" t="str">
        <f>IFERROR(__xludf.DUMMYFUNCTION("""COMPUTED_VALUE"""),"Prudential Hydropower P Ltd")</f>
        <v>Prudential Hydropower P Ltd</v>
      </c>
      <c r="H207" s="2"/>
      <c r="I207" s="2" t="str">
        <f>IFERROR(__xludf.DUMMYFUNCTION("""COMPUTED_VALUE"""),"29o 30' 00""")</f>
        <v>29o 30' 00"</v>
      </c>
      <c r="J207" s="2" t="str">
        <f>IFERROR(__xludf.DUMMYFUNCTION("""COMPUTED_VALUE"""),"29o 36' 26""")</f>
        <v>29o 36' 26"</v>
      </c>
      <c r="K207" s="2" t="str">
        <f>IFERROR(__xludf.DUMMYFUNCTION("""COMPUTED_VALUE"""),"81o 09' 15""")</f>
        <v>81o 09' 15"</v>
      </c>
      <c r="L207" s="2" t="str">
        <f>IFERROR(__xludf.DUMMYFUNCTION("""COMPUTED_VALUE"""),"81o 18' 04""")</f>
        <v>81o 18' 04"</v>
      </c>
      <c r="M207" s="2" t="str">
        <f>IFERROR(__xludf.DUMMYFUNCTION("""COMPUTED_VALUE"""),"(Bajhang)")</f>
        <v>(Bajhang)</v>
      </c>
    </row>
    <row r="208">
      <c r="A208" s="2">
        <f>IFERROR(__xludf.DUMMYFUNCTION("""COMPUTED_VALUE"""),207.0)</f>
        <v>207</v>
      </c>
      <c r="B208" s="2" t="str">
        <f>IFERROR(__xludf.DUMMYFUNCTION("""COMPUTED_VALUE"""),"Balephi")</f>
        <v>Balephi</v>
      </c>
      <c r="C208" s="2">
        <f>IFERROR(__xludf.DUMMYFUNCTION("""COMPUTED_VALUE"""),10.0)</f>
        <v>10</v>
      </c>
      <c r="D208" s="2" t="str">
        <f>IFERROR(__xludf.DUMMYFUNCTION("""COMPUTED_VALUE"""),"Balephi")</f>
        <v>Balephi</v>
      </c>
      <c r="E208" s="2">
        <f>IFERROR(__xludf.DUMMYFUNCTION("""COMPUTED_VALUE"""),1511.0)</f>
        <v>1511</v>
      </c>
      <c r="F208" s="3">
        <f>IFERROR(__xludf.DUMMYFUNCTION("""COMPUTED_VALUE"""),60128.0)</f>
        <v>60128</v>
      </c>
      <c r="G208" s="2" t="str">
        <f>IFERROR(__xludf.DUMMYFUNCTION("""COMPUTED_VALUE"""),"Bharat Guragain")</f>
        <v>Bharat Guragain</v>
      </c>
      <c r="H208" s="2" t="str">
        <f>IFERROR(__xludf.DUMMYFUNCTION("""COMPUTED_VALUE"""),"Mareate VDC Ward no 9 Dhankuta")</f>
        <v>Mareate VDC Ward no 9 Dhankuta</v>
      </c>
      <c r="I208" s="2" t="str">
        <f>IFERROR(__xludf.DUMMYFUNCTION("""COMPUTED_VALUE"""),"27o 42' 25""")</f>
        <v>27o 42' 25"</v>
      </c>
      <c r="J208" s="2" t="str">
        <f>IFERROR(__xludf.DUMMYFUNCTION("""COMPUTED_VALUE"""),"27o 46' 30""")</f>
        <v>27o 46' 30"</v>
      </c>
      <c r="K208" s="2" t="str">
        <f>IFERROR(__xludf.DUMMYFUNCTION("""COMPUTED_VALUE"""),"85o 45' 55""")</f>
        <v>85o 45' 55"</v>
      </c>
      <c r="L208" s="2" t="str">
        <f>IFERROR(__xludf.DUMMYFUNCTION("""COMPUTED_VALUE"""),"85o 47' 45""")</f>
        <v>85o 47' 45"</v>
      </c>
      <c r="M208" s="2" t="str">
        <f>IFERROR(__xludf.DUMMYFUNCTION("""COMPUTED_VALUE"""),"Kubhinde,Kadambas,Ikhu (Sindhupalchok)")</f>
        <v>Kubhinde,Kadambas,Ikhu (Sindhupalchok)</v>
      </c>
    </row>
    <row r="209">
      <c r="A209" s="2">
        <f>IFERROR(__xludf.DUMMYFUNCTION("""COMPUTED_VALUE"""),208.0)</f>
        <v>208</v>
      </c>
      <c r="B209" s="2" t="str">
        <f>IFERROR(__xludf.DUMMYFUNCTION("""COMPUTED_VALUE"""),"Khaireni- Seti")</f>
        <v>Khaireni- Seti</v>
      </c>
      <c r="C209" s="2">
        <f>IFERROR(__xludf.DUMMYFUNCTION("""COMPUTED_VALUE"""),42.0)</f>
        <v>42</v>
      </c>
      <c r="D209" s="2" t="str">
        <f>IFERROR(__xludf.DUMMYFUNCTION("""COMPUTED_VALUE"""),"Seti Khola")</f>
        <v>Seti Khola</v>
      </c>
      <c r="E209" s="2"/>
      <c r="F209" s="3">
        <f>IFERROR(__xludf.DUMMYFUNCTION("""COMPUTED_VALUE"""),60130.0)</f>
        <v>60130</v>
      </c>
      <c r="G209" s="2" t="str">
        <f>IFERROR(__xludf.DUMMYFUNCTION("""COMPUTED_VALUE"""),"CG Energy Infrastructure P Ltd")</f>
        <v>CG Energy Infrastructure P Ltd</v>
      </c>
      <c r="H209" s="2"/>
      <c r="I209" s="2" t="str">
        <f>IFERROR(__xludf.DUMMYFUNCTION("""COMPUTED_VALUE"""),"00o 00' 00""")</f>
        <v>00o 00' 00"</v>
      </c>
      <c r="J209" s="2" t="str">
        <f>IFERROR(__xludf.DUMMYFUNCTION("""COMPUTED_VALUE"""),"00o 00' 00""")</f>
        <v>00o 00' 00"</v>
      </c>
      <c r="K209" s="2" t="str">
        <f>IFERROR(__xludf.DUMMYFUNCTION("""COMPUTED_VALUE"""),"00o 00' 00""")</f>
        <v>00o 00' 00"</v>
      </c>
      <c r="L209" s="2" t="str">
        <f>IFERROR(__xludf.DUMMYFUNCTION("""COMPUTED_VALUE"""),"00o 00' 00""")</f>
        <v>00o 00' 00"</v>
      </c>
      <c r="M209" s="2" t="str">
        <f>IFERROR(__xludf.DUMMYFUNCTION("""COMPUTED_VALUE"""),"(Tanahu)")</f>
        <v>(Tanahu)</v>
      </c>
    </row>
    <row r="210">
      <c r="A210" s="2">
        <f>IFERROR(__xludf.DUMMYFUNCTION("""COMPUTED_VALUE"""),209.0)</f>
        <v>209</v>
      </c>
      <c r="B210" s="2" t="str">
        <f>IFERROR(__xludf.DUMMYFUNCTION("""COMPUTED_VALUE"""),"Ankhu Khola")</f>
        <v>Ankhu Khola</v>
      </c>
      <c r="C210" s="2">
        <f>IFERROR(__xludf.DUMMYFUNCTION("""COMPUTED_VALUE"""),5.0)</f>
        <v>5</v>
      </c>
      <c r="D210" s="2" t="str">
        <f>IFERROR(__xludf.DUMMYFUNCTION("""COMPUTED_VALUE"""),"Ankhu Khola")</f>
        <v>Ankhu Khola</v>
      </c>
      <c r="E210" s="2"/>
      <c r="F210" s="3">
        <f>IFERROR(__xludf.DUMMYFUNCTION("""COMPUTED_VALUE"""),60130.0)</f>
        <v>60130</v>
      </c>
      <c r="G210" s="2" t="str">
        <f>IFERROR(__xludf.DUMMYFUNCTION("""COMPUTED_VALUE"""),"Viddya Devi Agrawal")</f>
        <v>Viddya Devi Agrawal</v>
      </c>
      <c r="H210" s="2"/>
      <c r="I210" s="2" t="str">
        <f>IFERROR(__xludf.DUMMYFUNCTION("""COMPUTED_VALUE"""),"28o 04' 43""")</f>
        <v>28o 04' 43"</v>
      </c>
      <c r="J210" s="2" t="str">
        <f>IFERROR(__xludf.DUMMYFUNCTION("""COMPUTED_VALUE"""),"28o 07' 24""")</f>
        <v>28o 07' 24"</v>
      </c>
      <c r="K210" s="2" t="str">
        <f>IFERROR(__xludf.DUMMYFUNCTION("""COMPUTED_VALUE"""),"84o 59' 35""")</f>
        <v>84o 59' 35"</v>
      </c>
      <c r="L210" s="2" t="str">
        <f>IFERROR(__xludf.DUMMYFUNCTION("""COMPUTED_VALUE"""),"85o 01' 04""")</f>
        <v>85o 01' 04"</v>
      </c>
      <c r="M210" s="2" t="str">
        <f>IFERROR(__xludf.DUMMYFUNCTION("""COMPUTED_VALUE"""),"(Dhading)")</f>
        <v>(Dhading)</v>
      </c>
    </row>
    <row r="211">
      <c r="A211" s="2">
        <f>IFERROR(__xludf.DUMMYFUNCTION("""COMPUTED_VALUE"""),210.0)</f>
        <v>210</v>
      </c>
      <c r="B211" s="2" t="str">
        <f>IFERROR(__xludf.DUMMYFUNCTION("""COMPUTED_VALUE"""),"Lower Balephi-Second")</f>
        <v>Lower Balephi-Second</v>
      </c>
      <c r="C211" s="2">
        <f>IFERROR(__xludf.DUMMYFUNCTION("""COMPUTED_VALUE"""),10.0)</f>
        <v>10</v>
      </c>
      <c r="D211" s="2" t="str">
        <f>IFERROR(__xludf.DUMMYFUNCTION("""COMPUTED_VALUE"""),"Balephi")</f>
        <v>Balephi</v>
      </c>
      <c r="E211" s="2"/>
      <c r="F211" s="3">
        <f>IFERROR(__xludf.DUMMYFUNCTION("""COMPUTED_VALUE"""),60131.0)</f>
        <v>60131</v>
      </c>
      <c r="G211" s="2" t="str">
        <f>IFERROR(__xludf.DUMMYFUNCTION("""COMPUTED_VALUE"""),"Bharat Guragai")</f>
        <v>Bharat Guragai</v>
      </c>
      <c r="H211" s="2"/>
      <c r="I211" s="2" t="str">
        <f>IFERROR(__xludf.DUMMYFUNCTION("""COMPUTED_VALUE"""),"00o 00' 00""")</f>
        <v>00o 00' 00"</v>
      </c>
      <c r="J211" s="2" t="str">
        <f>IFERROR(__xludf.DUMMYFUNCTION("""COMPUTED_VALUE"""),"00o 00' 00""")</f>
        <v>00o 00' 00"</v>
      </c>
      <c r="K211" s="2" t="str">
        <f>IFERROR(__xludf.DUMMYFUNCTION("""COMPUTED_VALUE"""),"00o 00' 00""")</f>
        <v>00o 00' 00"</v>
      </c>
      <c r="L211" s="2" t="str">
        <f>IFERROR(__xludf.DUMMYFUNCTION("""COMPUTED_VALUE"""),"00o 00' 00""")</f>
        <v>00o 00' 00"</v>
      </c>
      <c r="M211" s="2" t="str">
        <f>IFERROR(__xludf.DUMMYFUNCTION("""COMPUTED_VALUE"""),"(Sindhupalchok)")</f>
        <v>(Sindhupalchok)</v>
      </c>
    </row>
    <row r="212">
      <c r="A212" s="2">
        <f>IFERROR(__xludf.DUMMYFUNCTION("""COMPUTED_VALUE"""),211.0)</f>
        <v>211</v>
      </c>
      <c r="B212" s="2" t="str">
        <f>IFERROR(__xludf.DUMMYFUNCTION("""COMPUTED_VALUE"""),"Ghwang Khola")</f>
        <v>Ghwang Khola</v>
      </c>
      <c r="C212" s="2">
        <f>IFERROR(__xludf.DUMMYFUNCTION("""COMPUTED_VALUE"""),0.633)</f>
        <v>0.633</v>
      </c>
      <c r="D212" s="2" t="str">
        <f>IFERROR(__xludf.DUMMYFUNCTION("""COMPUTED_VALUE"""),"Ghwang")</f>
        <v>Ghwang</v>
      </c>
      <c r="E212" s="2"/>
      <c r="F212" s="3">
        <f>IFERROR(__xludf.DUMMYFUNCTION("""COMPUTED_VALUE"""),60131.0)</f>
        <v>60131</v>
      </c>
      <c r="G212" s="2" t="str">
        <f>IFERROR(__xludf.DUMMYFUNCTION("""COMPUTED_VALUE"""),"Gelje Lama")</f>
        <v>Gelje Lama</v>
      </c>
      <c r="H212" s="2"/>
      <c r="I212" s="2" t="str">
        <f>IFERROR(__xludf.DUMMYFUNCTION("""COMPUTED_VALUE"""),"27o 41' 29""")</f>
        <v>27o 41' 29"</v>
      </c>
      <c r="J212" s="2" t="str">
        <f>IFERROR(__xludf.DUMMYFUNCTION("""COMPUTED_VALUE"""),"27o 42' 02""")</f>
        <v>27o 42' 02"</v>
      </c>
      <c r="K212" s="2" t="str">
        <f>IFERROR(__xludf.DUMMYFUNCTION("""COMPUTED_VALUE"""),"86o 21' 03""")</f>
        <v>86o 21' 03"</v>
      </c>
      <c r="L212" s="2" t="str">
        <f>IFERROR(__xludf.DUMMYFUNCTION("""COMPUTED_VALUE"""),"86o 22' 04""")</f>
        <v>86o 22' 04"</v>
      </c>
      <c r="M212" s="2" t="str">
        <f>IFERROR(__xludf.DUMMYFUNCTION("""COMPUTED_VALUE"""),"(Ramechhap)")</f>
        <v>(Ramechhap)</v>
      </c>
    </row>
    <row r="213">
      <c r="A213" s="2">
        <f>IFERROR(__xludf.DUMMYFUNCTION("""COMPUTED_VALUE"""),212.0)</f>
        <v>212</v>
      </c>
      <c r="B213" s="2" t="str">
        <f>IFERROR(__xludf.DUMMYFUNCTION("""COMPUTED_VALUE"""),"Super Seti")</f>
        <v>Super Seti</v>
      </c>
      <c r="C213" s="2">
        <f>IFERROR(__xludf.DUMMYFUNCTION("""COMPUTED_VALUE"""),6.1)</f>
        <v>6.1</v>
      </c>
      <c r="D213" s="2" t="str">
        <f>IFERROR(__xludf.DUMMYFUNCTION("""COMPUTED_VALUE"""),"Seti Khola")</f>
        <v>Seti Khola</v>
      </c>
      <c r="E213" s="2">
        <f>IFERROR(__xludf.DUMMYFUNCTION("""COMPUTED_VALUE"""),1545.0)</f>
        <v>1545</v>
      </c>
      <c r="F213" s="3">
        <f>IFERROR(__xludf.DUMMYFUNCTION("""COMPUTED_VALUE"""),60131.0)</f>
        <v>60131</v>
      </c>
      <c r="G213" s="2" t="str">
        <f>IFERROR(__xludf.DUMMYFUNCTION("""COMPUTED_VALUE"""),"Rambha Sing Rathaur")</f>
        <v>Rambha Sing Rathaur</v>
      </c>
      <c r="H213" s="2" t="str">
        <f>IFERROR(__xludf.DUMMYFUNCTION("""COMPUTED_VALUE"""),"Nepalgunj-11 Banke")</f>
        <v>Nepalgunj-11 Banke</v>
      </c>
      <c r="I213" s="2" t="str">
        <f>IFERROR(__xludf.DUMMYFUNCTION("""COMPUTED_VALUE"""),"28o 25' 00""")</f>
        <v>28o 25' 00"</v>
      </c>
      <c r="J213" s="2" t="str">
        <f>IFERROR(__xludf.DUMMYFUNCTION("""COMPUTED_VALUE"""),"28o 28' 10""")</f>
        <v>28o 28' 10"</v>
      </c>
      <c r="K213" s="2" t="str">
        <f>IFERROR(__xludf.DUMMYFUNCTION("""COMPUTED_VALUE"""),"83o 59' 22""")</f>
        <v>83o 59' 22"</v>
      </c>
      <c r="L213" s="2" t="str">
        <f>IFERROR(__xludf.DUMMYFUNCTION("""COMPUTED_VALUE"""),"84o 00' 00""")</f>
        <v>84o 00' 00"</v>
      </c>
      <c r="M213" s="2" t="str">
        <f>IFERROR(__xludf.DUMMYFUNCTION("""COMPUTED_VALUE"""),"Begnas (Kaski)")</f>
        <v>Begnas (Kaski)</v>
      </c>
    </row>
    <row r="214">
      <c r="A214" s="2">
        <f>IFERROR(__xludf.DUMMYFUNCTION("""COMPUTED_VALUE"""),213.0)</f>
        <v>213</v>
      </c>
      <c r="B214" s="2" t="str">
        <f>IFERROR(__xludf.DUMMYFUNCTION("""COMPUTED_VALUE"""),"Upper Thoppal Khola")</f>
        <v>Upper Thoppal Khola</v>
      </c>
      <c r="C214" s="2">
        <f>IFERROR(__xludf.DUMMYFUNCTION("""COMPUTED_VALUE"""),1.2)</f>
        <v>1.2</v>
      </c>
      <c r="D214" s="2" t="str">
        <f>IFERROR(__xludf.DUMMYFUNCTION("""COMPUTED_VALUE"""),"Thoppal")</f>
        <v>Thoppal</v>
      </c>
      <c r="E214" s="2"/>
      <c r="F214" s="3">
        <f>IFERROR(__xludf.DUMMYFUNCTION("""COMPUTED_VALUE"""),60132.0)</f>
        <v>60132</v>
      </c>
      <c r="G214" s="2" t="str">
        <f>IFERROR(__xludf.DUMMYFUNCTION("""COMPUTED_VALUE"""),"Ram Seti HP Dev co")</f>
        <v>Ram Seti HP Dev co</v>
      </c>
      <c r="H214" s="2"/>
      <c r="I214" s="2" t="str">
        <f>IFERROR(__xludf.DUMMYFUNCTION("""COMPUTED_VALUE"""),"27o 54' 29""")</f>
        <v>27o 54' 29"</v>
      </c>
      <c r="J214" s="2" t="str">
        <f>IFERROR(__xludf.DUMMYFUNCTION("""COMPUTED_VALUE"""),"27o 56' 06""")</f>
        <v>27o 56' 06"</v>
      </c>
      <c r="K214" s="2" t="str">
        <f>IFERROR(__xludf.DUMMYFUNCTION("""COMPUTED_VALUE"""),"84o 54' 15""")</f>
        <v>84o 54' 15"</v>
      </c>
      <c r="L214" s="2" t="str">
        <f>IFERROR(__xludf.DUMMYFUNCTION("""COMPUTED_VALUE"""),"84o 56' 41""")</f>
        <v>84o 56' 41"</v>
      </c>
      <c r="M214" s="2" t="str">
        <f>IFERROR(__xludf.DUMMYFUNCTION("""COMPUTED_VALUE"""),"(Dhading)")</f>
        <v>(Dhading)</v>
      </c>
    </row>
    <row r="215">
      <c r="A215" s="2">
        <f>IFERROR(__xludf.DUMMYFUNCTION("""COMPUTED_VALUE"""),214.0)</f>
        <v>214</v>
      </c>
      <c r="B215" s="2" t="str">
        <f>IFERROR(__xludf.DUMMYFUNCTION("""COMPUTED_VALUE"""),"Jhumsa Khola Small")</f>
        <v>Jhumsa Khola Small</v>
      </c>
      <c r="C215" s="2">
        <f>IFERROR(__xludf.DUMMYFUNCTION("""COMPUTED_VALUE"""),2.276)</f>
        <v>2.276</v>
      </c>
      <c r="D215" s="2" t="str">
        <f>IFERROR(__xludf.DUMMYFUNCTION("""COMPUTED_VALUE"""),"Jhumsa")</f>
        <v>Jhumsa</v>
      </c>
      <c r="E215" s="2"/>
      <c r="F215" s="3">
        <f>IFERROR(__xludf.DUMMYFUNCTION("""COMPUTED_VALUE"""),60133.0)</f>
        <v>60133</v>
      </c>
      <c r="G215" s="2" t="str">
        <f>IFERROR(__xludf.DUMMYFUNCTION("""COMPUTED_VALUE"""),"Namabuddha Hydropower Pvt. Ltd.")</f>
        <v>Namabuddha Hydropower Pvt. Ltd.</v>
      </c>
      <c r="H215" s="2"/>
      <c r="I215" s="2" t="str">
        <f>IFERROR(__xludf.DUMMYFUNCTION("""COMPUTED_VALUE"""),"27o 34' 33""")</f>
        <v>27o 34' 33"</v>
      </c>
      <c r="J215" s="2" t="str">
        <f>IFERROR(__xludf.DUMMYFUNCTION("""COMPUTED_VALUE"""),"27o 45' 00""")</f>
        <v>27o 45' 00"</v>
      </c>
      <c r="K215" s="2" t="str">
        <f>IFERROR(__xludf.DUMMYFUNCTION("""COMPUTED_VALUE"""),"83o 30' 26""")</f>
        <v>83o 30' 26"</v>
      </c>
      <c r="L215" s="2" t="str">
        <f>IFERROR(__xludf.DUMMYFUNCTION("""COMPUTED_VALUE"""),"83o 34' 00""")</f>
        <v>83o 34' 00"</v>
      </c>
      <c r="M215" s="2" t="str">
        <f>IFERROR(__xludf.DUMMYFUNCTION("""COMPUTED_VALUE"""),"(Palpa)")</f>
        <v>(Palpa)</v>
      </c>
    </row>
    <row r="216">
      <c r="A216" s="2">
        <f>IFERROR(__xludf.DUMMYFUNCTION("""COMPUTED_VALUE"""),215.0)</f>
        <v>215</v>
      </c>
      <c r="B216" s="2" t="str">
        <f>IFERROR(__xludf.DUMMYFUNCTION("""COMPUTED_VALUE"""),"Pelma Khola")</f>
        <v>Pelma Khola</v>
      </c>
      <c r="C216" s="2">
        <f>IFERROR(__xludf.DUMMYFUNCTION("""COMPUTED_VALUE"""),10.0)</f>
        <v>10</v>
      </c>
      <c r="D216" s="2" t="str">
        <f>IFERROR(__xludf.DUMMYFUNCTION("""COMPUTED_VALUE"""),"Pelma")</f>
        <v>Pelma</v>
      </c>
      <c r="E216" s="2"/>
      <c r="F216" s="3">
        <f>IFERROR(__xludf.DUMMYFUNCTION("""COMPUTED_VALUE"""),60133.0)</f>
        <v>60133</v>
      </c>
      <c r="G216" s="2" t="str">
        <f>IFERROR(__xludf.DUMMYFUNCTION("""COMPUTED_VALUE"""),"United Pelma Hydropower P Ltd")</f>
        <v>United Pelma Hydropower P Ltd</v>
      </c>
      <c r="H216" s="2"/>
      <c r="I216" s="2" t="str">
        <f>IFERROR(__xludf.DUMMYFUNCTION("""COMPUTED_VALUE"""),"28o 38' 03""")</f>
        <v>28o 38' 03"</v>
      </c>
      <c r="J216" s="2" t="str">
        <f>IFERROR(__xludf.DUMMYFUNCTION("""COMPUTED_VALUE"""),"28o 41' 37""")</f>
        <v>28o 41' 37"</v>
      </c>
      <c r="K216" s="2" t="str">
        <f>IFERROR(__xludf.DUMMYFUNCTION("""COMPUTED_VALUE"""),"82o 45' 42""")</f>
        <v>82o 45' 42"</v>
      </c>
      <c r="L216" s="2" t="str">
        <f>IFERROR(__xludf.DUMMYFUNCTION("""COMPUTED_VALUE"""),"82o 49' 43""")</f>
        <v>82o 49' 43"</v>
      </c>
      <c r="M216" s="2" t="str">
        <f>IFERROR(__xludf.DUMMYFUNCTION("""COMPUTED_VALUE"""),"(Rukum)")</f>
        <v>(Rukum)</v>
      </c>
    </row>
    <row r="217">
      <c r="A217" s="2">
        <f>IFERROR(__xludf.DUMMYFUNCTION("""COMPUTED_VALUE"""),216.0)</f>
        <v>216</v>
      </c>
      <c r="B217" s="2" t="str">
        <f>IFERROR(__xludf.DUMMYFUNCTION("""COMPUTED_VALUE"""),"Badigad B")</f>
        <v>Badigad B</v>
      </c>
      <c r="C217" s="2">
        <f>IFERROR(__xludf.DUMMYFUNCTION("""COMPUTED_VALUE"""),5.0)</f>
        <v>5</v>
      </c>
      <c r="D217" s="2" t="str">
        <f>IFERROR(__xludf.DUMMYFUNCTION("""COMPUTED_VALUE"""),"Badigad")</f>
        <v>Badigad</v>
      </c>
      <c r="E217" s="2"/>
      <c r="F217" s="3">
        <f>IFERROR(__xludf.DUMMYFUNCTION("""COMPUTED_VALUE"""),60133.0)</f>
        <v>60133</v>
      </c>
      <c r="G217" s="2" t="str">
        <f>IFERROR(__xludf.DUMMYFUNCTION("""COMPUTED_VALUE"""),"Gajadhar Sapkota")</f>
        <v>Gajadhar Sapkota</v>
      </c>
      <c r="H217" s="2"/>
      <c r="I217" s="2" t="str">
        <f>IFERROR(__xludf.DUMMYFUNCTION("""COMPUTED_VALUE"""),"28o 16' 41""")</f>
        <v>28o 16' 41"</v>
      </c>
      <c r="J217" s="2" t="str">
        <f>IFERROR(__xludf.DUMMYFUNCTION("""COMPUTED_VALUE"""),"28o 19' 03""")</f>
        <v>28o 19' 03"</v>
      </c>
      <c r="K217" s="2" t="str">
        <f>IFERROR(__xludf.DUMMYFUNCTION("""COMPUTED_VALUE"""),"83o 10' 45""")</f>
        <v>83o 10' 45"</v>
      </c>
      <c r="L217" s="2" t="str">
        <f>IFERROR(__xludf.DUMMYFUNCTION("""COMPUTED_VALUE"""),"83o 11' 05""")</f>
        <v>83o 11' 05"</v>
      </c>
      <c r="M217" s="2" t="str">
        <f>IFERROR(__xludf.DUMMYFUNCTION("""COMPUTED_VALUE"""),"(Baglung)")</f>
        <v>(Baglung)</v>
      </c>
    </row>
    <row r="218">
      <c r="A218" s="2">
        <f>IFERROR(__xludf.DUMMYFUNCTION("""COMPUTED_VALUE"""),217.0)</f>
        <v>217</v>
      </c>
      <c r="B218" s="2" t="str">
        <f>IFERROR(__xludf.DUMMYFUNCTION("""COMPUTED_VALUE"""),"Sani Bheri")</f>
        <v>Sani Bheri</v>
      </c>
      <c r="C218" s="2">
        <f>IFERROR(__xludf.DUMMYFUNCTION("""COMPUTED_VALUE"""),20.0)</f>
        <v>20</v>
      </c>
      <c r="D218" s="2" t="str">
        <f>IFERROR(__xludf.DUMMYFUNCTION("""COMPUTED_VALUE"""),"Sani Bheri")</f>
        <v>Sani Bheri</v>
      </c>
      <c r="E218" s="2">
        <f>IFERROR(__xludf.DUMMYFUNCTION("""COMPUTED_VALUE"""),1574.0)</f>
        <v>1574</v>
      </c>
      <c r="F218" s="3">
        <f>IFERROR(__xludf.DUMMYFUNCTION("""COMPUTED_VALUE"""),60133.0)</f>
        <v>60133</v>
      </c>
      <c r="G218" s="2" t="str">
        <f>IFERROR(__xludf.DUMMYFUNCTION("""COMPUTED_VALUE"""),"United Sani Bheri Hydropower P Ltd")</f>
        <v>United Sani Bheri Hydropower P Ltd</v>
      </c>
      <c r="H218" s="2" t="str">
        <f>IFERROR(__xludf.DUMMYFUNCTION("""COMPUTED_VALUE"""),"Marpha House, Anamnagar, Kathmandu, Kathmandu, Phone 014770245")</f>
        <v>Marpha House, Anamnagar, Kathmandu, Kathmandu, Phone 014770245</v>
      </c>
      <c r="I218" s="2" t="str">
        <f>IFERROR(__xludf.DUMMYFUNCTION("""COMPUTED_VALUE"""),"28o 39' 30""")</f>
        <v>28o 39' 30"</v>
      </c>
      <c r="J218" s="2" t="str">
        <f>IFERROR(__xludf.DUMMYFUNCTION("""COMPUTED_VALUE"""),"28o 40' 48""")</f>
        <v>28o 40' 48"</v>
      </c>
      <c r="K218" s="2" t="str">
        <f>IFERROR(__xludf.DUMMYFUNCTION("""COMPUTED_VALUE"""),"82o 38' 56""")</f>
        <v>82o 38' 56"</v>
      </c>
      <c r="L218" s="2" t="str">
        <f>IFERROR(__xludf.DUMMYFUNCTION("""COMPUTED_VALUE"""),"82o 42' 30""")</f>
        <v>82o 42' 30"</v>
      </c>
      <c r="M218" s="2" t="str">
        <f>IFERROR(__xludf.DUMMYFUNCTION("""COMPUTED_VALUE"""),"(Rukum)")</f>
        <v>(Rukum)</v>
      </c>
    </row>
    <row r="219">
      <c r="A219" s="2">
        <f>IFERROR(__xludf.DUMMYFUNCTION("""COMPUTED_VALUE"""),218.0)</f>
        <v>218</v>
      </c>
      <c r="B219" s="2" t="str">
        <f>IFERROR(__xludf.DUMMYFUNCTION("""COMPUTED_VALUE"""),"Tadi Khola")</f>
        <v>Tadi Khola</v>
      </c>
      <c r="C219" s="2">
        <f>IFERROR(__xludf.DUMMYFUNCTION("""COMPUTED_VALUE"""),0.99)</f>
        <v>0.99</v>
      </c>
      <c r="D219" s="2" t="str">
        <f>IFERROR(__xludf.DUMMYFUNCTION("""COMPUTED_VALUE"""),"Tadi Khola")</f>
        <v>Tadi Khola</v>
      </c>
      <c r="E219" s="2"/>
      <c r="F219" s="3">
        <f>IFERROR(__xludf.DUMMYFUNCTION("""COMPUTED_VALUE"""),60135.0)</f>
        <v>60135</v>
      </c>
      <c r="G219" s="2" t="str">
        <f>IFERROR(__xludf.DUMMYFUNCTION("""COMPUTED_VALUE"""),"Ranjina Adhikari")</f>
        <v>Ranjina Adhikari</v>
      </c>
      <c r="H219" s="2"/>
      <c r="I219" s="2" t="str">
        <f>IFERROR(__xludf.DUMMYFUNCTION("""COMPUTED_VALUE"""),"27o 58' 25""")</f>
        <v>27o 58' 25"</v>
      </c>
      <c r="J219" s="2" t="str">
        <f>IFERROR(__xludf.DUMMYFUNCTION("""COMPUTED_VALUE"""),"27o 59' 03""")</f>
        <v>27o 59' 03"</v>
      </c>
      <c r="K219" s="2" t="str">
        <f>IFERROR(__xludf.DUMMYFUNCTION("""COMPUTED_VALUE"""),"85o 26' 21""")</f>
        <v>85o 26' 21"</v>
      </c>
      <c r="L219" s="2" t="str">
        <f>IFERROR(__xludf.DUMMYFUNCTION("""COMPUTED_VALUE"""),"85o 27' 00""")</f>
        <v>85o 27' 00"</v>
      </c>
      <c r="M219" s="2" t="str">
        <f>IFERROR(__xludf.DUMMYFUNCTION("""COMPUTED_VALUE"""),"(Nuwakot)")</f>
        <v>(Nuwakot)</v>
      </c>
    </row>
    <row r="220">
      <c r="A220" s="2">
        <f>IFERROR(__xludf.DUMMYFUNCTION("""COMPUTED_VALUE"""),219.0)</f>
        <v>219</v>
      </c>
      <c r="B220" s="2" t="str">
        <f>IFERROR(__xludf.DUMMYFUNCTION("""COMPUTED_VALUE"""),"Lower Bheri")</f>
        <v>Lower Bheri</v>
      </c>
      <c r="C220" s="2">
        <f>IFERROR(__xludf.DUMMYFUNCTION("""COMPUTED_VALUE"""),30.0)</f>
        <v>30</v>
      </c>
      <c r="D220" s="2" t="str">
        <f>IFERROR(__xludf.DUMMYFUNCTION("""COMPUTED_VALUE"""),"Bheri")</f>
        <v>Bheri</v>
      </c>
      <c r="E220" s="2"/>
      <c r="F220" s="3">
        <f>IFERROR(__xludf.DUMMYFUNCTION("""COMPUTED_VALUE"""),60137.0)</f>
        <v>60137</v>
      </c>
      <c r="G220" s="2" t="str">
        <f>IFERROR(__xludf.DUMMYFUNCTION("""COMPUTED_VALUE"""),"Impact Capital Nepal Pvt. Ltd.,")</f>
        <v>Impact Capital Nepal Pvt. Ltd.,</v>
      </c>
      <c r="H220" s="2" t="str">
        <f>IFERROR(__xludf.DUMMYFUNCTION("""COMPUTED_VALUE"""),"P.O.box 8975, EPC 1365 , Phone 01-5544736")</f>
        <v>P.O.box 8975, EPC 1365 , Phone 01-5544736</v>
      </c>
      <c r="I220" s="2" t="str">
        <f>IFERROR(__xludf.DUMMYFUNCTION("""COMPUTED_VALUE"""),"28o 59' 20""")</f>
        <v>28o 59' 20"</v>
      </c>
      <c r="J220" s="2" t="str">
        <f>IFERROR(__xludf.DUMMYFUNCTION("""COMPUTED_VALUE"""),"29o 03' 10""")</f>
        <v>29o 03' 10"</v>
      </c>
      <c r="K220" s="2" t="str">
        <f>IFERROR(__xludf.DUMMYFUNCTION("""COMPUTED_VALUE"""),"82o 32' 30""")</f>
        <v>82o 32' 30"</v>
      </c>
      <c r="L220" s="2" t="str">
        <f>IFERROR(__xludf.DUMMYFUNCTION("""COMPUTED_VALUE"""),"82o 35' 00""")</f>
        <v>82o 35' 00"</v>
      </c>
      <c r="M220" s="2" t="str">
        <f>IFERROR(__xludf.DUMMYFUNCTION("""COMPUTED_VALUE"""),"Kalika (Dolpa)")</f>
        <v>Kalika (Dolpa)</v>
      </c>
    </row>
    <row r="221">
      <c r="A221" s="2">
        <f>IFERROR(__xludf.DUMMYFUNCTION("""COMPUTED_VALUE"""),220.0)</f>
        <v>220</v>
      </c>
      <c r="B221" s="2" t="str">
        <f>IFERROR(__xludf.DUMMYFUNCTION("""COMPUTED_VALUE"""),"Kali Sapta Gandaki")</f>
        <v>Kali Sapta Gandaki</v>
      </c>
      <c r="C221" s="2">
        <f>IFERROR(__xludf.DUMMYFUNCTION("""COMPUTED_VALUE"""),47.65)</f>
        <v>47.65</v>
      </c>
      <c r="D221" s="2" t="str">
        <f>IFERROR(__xludf.DUMMYFUNCTION("""COMPUTED_VALUE"""),"Kali Gandaki")</f>
        <v>Kali Gandaki</v>
      </c>
      <c r="E221" s="2"/>
      <c r="F221" s="3">
        <f>IFERROR(__xludf.DUMMYFUNCTION("""COMPUTED_VALUE"""),60137.0)</f>
        <v>60137</v>
      </c>
      <c r="G221" s="2" t="str">
        <f>IFERROR(__xludf.DUMMYFUNCTION("""COMPUTED_VALUE"""),"Mata Jagadamba Hydropower P Ltd")</f>
        <v>Mata Jagadamba Hydropower P Ltd</v>
      </c>
      <c r="H221" s="2"/>
      <c r="I221" s="2" t="str">
        <f>IFERROR(__xludf.DUMMYFUNCTION("""COMPUTED_VALUE"""),"27o 41' 30""")</f>
        <v>27o 41' 30"</v>
      </c>
      <c r="J221" s="2" t="str">
        <f>IFERROR(__xludf.DUMMYFUNCTION("""COMPUTED_VALUE"""),"27o 46' 00""")</f>
        <v>27o 46' 00"</v>
      </c>
      <c r="K221" s="2" t="str">
        <f>IFERROR(__xludf.DUMMYFUNCTION("""COMPUTED_VALUE"""),"84o 19' 00""")</f>
        <v>84o 19' 00"</v>
      </c>
      <c r="L221" s="2" t="str">
        <f>IFERROR(__xludf.DUMMYFUNCTION("""COMPUTED_VALUE"""),"85o 21' 30""")</f>
        <v>85o 21' 30"</v>
      </c>
      <c r="M221" s="2" t="str">
        <f>IFERROR(__xludf.DUMMYFUNCTION("""COMPUTED_VALUE"""),"(Nawalparasi)")</f>
        <v>(Nawalparasi)</v>
      </c>
    </row>
    <row r="222">
      <c r="A222" s="2">
        <f>IFERROR(__xludf.DUMMYFUNCTION("""COMPUTED_VALUE"""),221.0)</f>
        <v>221</v>
      </c>
      <c r="B222" s="2" t="str">
        <f>IFERROR(__xludf.DUMMYFUNCTION("""COMPUTED_VALUE"""),"Ankhu Khola")</f>
        <v>Ankhu Khola</v>
      </c>
      <c r="C222" s="2">
        <f>IFERROR(__xludf.DUMMYFUNCTION("""COMPUTED_VALUE"""),5.0)</f>
        <v>5</v>
      </c>
      <c r="D222" s="2" t="str">
        <f>IFERROR(__xludf.DUMMYFUNCTION("""COMPUTED_VALUE"""),"Ankhu Khola")</f>
        <v>Ankhu Khola</v>
      </c>
      <c r="E222" s="2"/>
      <c r="F222" s="3">
        <f>IFERROR(__xludf.DUMMYFUNCTION("""COMPUTED_VALUE"""),60138.0)</f>
        <v>60138</v>
      </c>
      <c r="G222" s="2" t="str">
        <f>IFERROR(__xludf.DUMMYFUNCTION("""COMPUTED_VALUE"""),"Bidhya Silwal")</f>
        <v>Bidhya Silwal</v>
      </c>
      <c r="H222" s="2"/>
      <c r="I222" s="2" t="str">
        <f>IFERROR(__xludf.DUMMYFUNCTION("""COMPUTED_VALUE"""),"27o 58' 19""")</f>
        <v>27o 58' 19"</v>
      </c>
      <c r="J222" s="2" t="str">
        <f>IFERROR(__xludf.DUMMYFUNCTION("""COMPUTED_VALUE"""),"27o 59' 24""")</f>
        <v>27o 59' 24"</v>
      </c>
      <c r="K222" s="2" t="str">
        <f>IFERROR(__xludf.DUMMYFUNCTION("""COMPUTED_VALUE"""),"84o 46' 58""")</f>
        <v>84o 46' 58"</v>
      </c>
      <c r="L222" s="2" t="str">
        <f>IFERROR(__xludf.DUMMYFUNCTION("""COMPUTED_VALUE"""),"84o 49' 36""")</f>
        <v>84o 49' 36"</v>
      </c>
      <c r="M222" s="2" t="str">
        <f>IFERROR(__xludf.DUMMYFUNCTION("""COMPUTED_VALUE"""),"(Dhading)")</f>
        <v>(Dhading)</v>
      </c>
    </row>
    <row r="223">
      <c r="A223" s="2">
        <f>IFERROR(__xludf.DUMMYFUNCTION("""COMPUTED_VALUE"""),222.0)</f>
        <v>222</v>
      </c>
      <c r="B223" s="2" t="str">
        <f>IFERROR(__xludf.DUMMYFUNCTION("""COMPUTED_VALUE"""),"Suri Khola")</f>
        <v>Suri Khola</v>
      </c>
      <c r="C223" s="2">
        <f>IFERROR(__xludf.DUMMYFUNCTION("""COMPUTED_VALUE"""),2.0)</f>
        <v>2</v>
      </c>
      <c r="D223" s="2" t="str">
        <f>IFERROR(__xludf.DUMMYFUNCTION("""COMPUTED_VALUE"""),"Suri")</f>
        <v>Suri</v>
      </c>
      <c r="E223" s="2"/>
      <c r="F223" s="3">
        <f>IFERROR(__xludf.DUMMYFUNCTION("""COMPUTED_VALUE"""),60138.0)</f>
        <v>60138</v>
      </c>
      <c r="G223" s="2" t="str">
        <f>IFERROR(__xludf.DUMMYFUNCTION("""COMPUTED_VALUE"""),"GT sunrise HP")</f>
        <v>GT sunrise HP</v>
      </c>
      <c r="H223" s="2"/>
      <c r="I223" s="2" t="str">
        <f>IFERROR(__xludf.DUMMYFUNCTION("""COMPUTED_VALUE"""),"27o 44' 10""")</f>
        <v>27o 44' 10"</v>
      </c>
      <c r="J223" s="2" t="str">
        <f>IFERROR(__xludf.DUMMYFUNCTION("""COMPUTED_VALUE"""),"27o 45' 16""")</f>
        <v>27o 45' 16"</v>
      </c>
      <c r="K223" s="2" t="str">
        <f>IFERROR(__xludf.DUMMYFUNCTION("""COMPUTED_VALUE"""),"86o 13' 06""")</f>
        <v>86o 13' 06"</v>
      </c>
      <c r="L223" s="2" t="str">
        <f>IFERROR(__xludf.DUMMYFUNCTION("""COMPUTED_VALUE"""),"86o 16' 00""")</f>
        <v>86o 16' 00"</v>
      </c>
      <c r="M223" s="2" t="str">
        <f>IFERROR(__xludf.DUMMYFUNCTION("""COMPUTED_VALUE"""),"(Dolakha)")</f>
        <v>(Dolakha)</v>
      </c>
    </row>
    <row r="224">
      <c r="A224" s="2">
        <f>IFERROR(__xludf.DUMMYFUNCTION("""COMPUTED_VALUE"""),223.0)</f>
        <v>223</v>
      </c>
      <c r="B224" s="2" t="str">
        <f>IFERROR(__xludf.DUMMYFUNCTION("""COMPUTED_VALUE"""),"Ghatte Khola ThadoKhola")</f>
        <v>Ghatte Khola ThadoKhola</v>
      </c>
      <c r="C224" s="2">
        <f>IFERROR(__xludf.DUMMYFUNCTION("""COMPUTED_VALUE"""),2.0)</f>
        <v>2</v>
      </c>
      <c r="D224" s="2" t="str">
        <f>IFERROR(__xludf.DUMMYFUNCTION("""COMPUTED_VALUE"""),"Ghatte Khola")</f>
        <v>Ghatte Khola</v>
      </c>
      <c r="E224" s="2"/>
      <c r="F224" s="3">
        <f>IFERROR(__xludf.DUMMYFUNCTION("""COMPUTED_VALUE"""),60138.0)</f>
        <v>60138</v>
      </c>
      <c r="G224" s="2" t="str">
        <f>IFERROR(__xludf.DUMMYFUNCTION("""COMPUTED_VALUE"""),"GT Sunrise HP")</f>
        <v>GT Sunrise HP</v>
      </c>
      <c r="H224" s="2"/>
      <c r="I224" s="2" t="str">
        <f>IFERROR(__xludf.DUMMYFUNCTION("""COMPUTED_VALUE"""),"27o 46' 27""")</f>
        <v>27o 46' 27"</v>
      </c>
      <c r="J224" s="2" t="str">
        <f>IFERROR(__xludf.DUMMYFUNCTION("""COMPUTED_VALUE"""),"27o 48' 14""")</f>
        <v>27o 48' 14"</v>
      </c>
      <c r="K224" s="2" t="str">
        <f>IFERROR(__xludf.DUMMYFUNCTION("""COMPUTED_VALUE"""),"86o 17' 17""")</f>
        <v>86o 17' 17"</v>
      </c>
      <c r="L224" s="2" t="str">
        <f>IFERROR(__xludf.DUMMYFUNCTION("""COMPUTED_VALUE"""),"86o 18' 29""")</f>
        <v>86o 18' 29"</v>
      </c>
      <c r="M224" s="2" t="str">
        <f>IFERROR(__xludf.DUMMYFUNCTION("""COMPUTED_VALUE"""),"(Dolakha)")</f>
        <v>(Dolakha)</v>
      </c>
    </row>
    <row r="225">
      <c r="A225" s="2">
        <f>IFERROR(__xludf.DUMMYFUNCTION("""COMPUTED_VALUE"""),224.0)</f>
        <v>224</v>
      </c>
      <c r="B225" s="2" t="str">
        <f>IFERROR(__xludf.DUMMYFUNCTION("""COMPUTED_VALUE"""),"Chhaldi Khola SHP")</f>
        <v>Chhaldi Khola SHP</v>
      </c>
      <c r="C225" s="2">
        <f>IFERROR(__xludf.DUMMYFUNCTION("""COMPUTED_VALUE"""),0.99)</f>
        <v>0.99</v>
      </c>
      <c r="D225" s="2" t="str">
        <f>IFERROR(__xludf.DUMMYFUNCTION("""COMPUTED_VALUE"""),"Chhaldi")</f>
        <v>Chhaldi</v>
      </c>
      <c r="E225" s="2"/>
      <c r="F225" s="3">
        <f>IFERROR(__xludf.DUMMYFUNCTION("""COMPUTED_VALUE"""),60138.0)</f>
        <v>60138</v>
      </c>
      <c r="G225" s="2" t="str">
        <f>IFERROR(__xludf.DUMMYFUNCTION("""COMPUTED_VALUE"""),"Pramod Timilsina")</f>
        <v>Pramod Timilsina</v>
      </c>
      <c r="H225" s="2"/>
      <c r="I225" s="2" t="str">
        <f>IFERROR(__xludf.DUMMYFUNCTION("""COMPUTED_VALUE"""),"28o 07' 00""")</f>
        <v>28o 07' 00"</v>
      </c>
      <c r="J225" s="2" t="str">
        <f>IFERROR(__xludf.DUMMYFUNCTION("""COMPUTED_VALUE"""),"28o 08' 00""")</f>
        <v>28o 08' 00"</v>
      </c>
      <c r="K225" s="2" t="str">
        <f>IFERROR(__xludf.DUMMYFUNCTION("""COMPUTED_VALUE"""),"83o 15' 45""")</f>
        <v>83o 15' 45"</v>
      </c>
      <c r="L225" s="2" t="str">
        <f>IFERROR(__xludf.DUMMYFUNCTION("""COMPUTED_VALUE"""),"83o 20' 00""")</f>
        <v>83o 20' 00"</v>
      </c>
      <c r="M225" s="2" t="str">
        <f>IFERROR(__xludf.DUMMYFUNCTION("""COMPUTED_VALUE"""),"Hastichaur,Arkhale,Badagaun,Paralmi (Gulmi)")</f>
        <v>Hastichaur,Arkhale,Badagaun,Paralmi (Gulmi)</v>
      </c>
    </row>
    <row r="226">
      <c r="A226" s="2">
        <f>IFERROR(__xludf.DUMMYFUNCTION("""COMPUTED_VALUE"""),225.0)</f>
        <v>225</v>
      </c>
      <c r="B226" s="2" t="str">
        <f>IFERROR(__xludf.DUMMYFUNCTION("""COMPUTED_VALUE"""),"Sipring Khola")</f>
        <v>Sipring Khola</v>
      </c>
      <c r="C226" s="2">
        <f>IFERROR(__xludf.DUMMYFUNCTION("""COMPUTED_VALUE"""),0.99)</f>
        <v>0.99</v>
      </c>
      <c r="D226" s="2" t="str">
        <f>IFERROR(__xludf.DUMMYFUNCTION("""COMPUTED_VALUE"""),"Sipring")</f>
        <v>Sipring</v>
      </c>
      <c r="E226" s="2"/>
      <c r="F226" s="3">
        <f>IFERROR(__xludf.DUMMYFUNCTION("""COMPUTED_VALUE"""),60138.0)</f>
        <v>60138</v>
      </c>
      <c r="G226" s="2" t="str">
        <f>IFERROR(__xludf.DUMMYFUNCTION("""COMPUTED_VALUE"""),"Bharat Prasad Pande")</f>
        <v>Bharat Prasad Pande</v>
      </c>
      <c r="H226" s="2"/>
      <c r="I226" s="2" t="str">
        <f>IFERROR(__xludf.DUMMYFUNCTION("""COMPUTED_VALUE"""),"27o 48' 38""")</f>
        <v>27o 48' 38"</v>
      </c>
      <c r="J226" s="2" t="str">
        <f>IFERROR(__xludf.DUMMYFUNCTION("""COMPUTED_VALUE"""),"27o 50' 00""")</f>
        <v>27o 50' 00"</v>
      </c>
      <c r="K226" s="2" t="str">
        <f>IFERROR(__xludf.DUMMYFUNCTION("""COMPUTED_VALUE"""),"86o 13' 48""")</f>
        <v>86o 13' 48"</v>
      </c>
      <c r="L226" s="2" t="str">
        <f>IFERROR(__xludf.DUMMYFUNCTION("""COMPUTED_VALUE"""),"86o 15' 00""")</f>
        <v>86o 15' 00"</v>
      </c>
      <c r="M226" s="2" t="str">
        <f>IFERROR(__xludf.DUMMYFUNCTION("""COMPUTED_VALUE"""),"(Dolakha)")</f>
        <v>(Dolakha)</v>
      </c>
    </row>
    <row r="227">
      <c r="A227" s="2">
        <f>IFERROR(__xludf.DUMMYFUNCTION("""COMPUTED_VALUE"""),226.0)</f>
        <v>226</v>
      </c>
      <c r="B227" s="2" t="str">
        <f>IFERROR(__xludf.DUMMYFUNCTION("""COMPUTED_VALUE"""),"KhaniKhola")</f>
        <v>KhaniKhola</v>
      </c>
      <c r="C227" s="2">
        <f>IFERROR(__xludf.DUMMYFUNCTION("""COMPUTED_VALUE"""),3.0)</f>
        <v>3</v>
      </c>
      <c r="D227" s="2" t="str">
        <f>IFERROR(__xludf.DUMMYFUNCTION("""COMPUTED_VALUE"""),"Khani Khola")</f>
        <v>Khani Khola</v>
      </c>
      <c r="E227" s="2"/>
      <c r="F227" s="3">
        <f>IFERROR(__xludf.DUMMYFUNCTION("""COMPUTED_VALUE"""),60138.0)</f>
        <v>60138</v>
      </c>
      <c r="G227" s="2" t="str">
        <f>IFERROR(__xludf.DUMMYFUNCTION("""COMPUTED_VALUE"""),"Thaneshor Banjade")</f>
        <v>Thaneshor Banjade</v>
      </c>
      <c r="H227" s="2"/>
      <c r="I227" s="2" t="str">
        <f>IFERROR(__xludf.DUMMYFUNCTION("""COMPUTED_VALUE"""),"27o 48' 00""")</f>
        <v>27o 48' 00"</v>
      </c>
      <c r="J227" s="2" t="str">
        <f>IFERROR(__xludf.DUMMYFUNCTION("""COMPUTED_VALUE"""),"27o 49' 47""")</f>
        <v>27o 49' 47"</v>
      </c>
      <c r="K227" s="2" t="str">
        <f>IFERROR(__xludf.DUMMYFUNCTION("""COMPUTED_VALUE"""),"86o 17' 17""")</f>
        <v>86o 17' 17"</v>
      </c>
      <c r="L227" s="2" t="str">
        <f>IFERROR(__xludf.DUMMYFUNCTION("""COMPUTED_VALUE"""),"86o 20' 27""")</f>
        <v>86o 20' 27"</v>
      </c>
      <c r="M227" s="2" t="str">
        <f>IFERROR(__xludf.DUMMYFUNCTION("""COMPUTED_VALUE"""),"(Dolakha)")</f>
        <v>(Dolakha)</v>
      </c>
    </row>
    <row r="228">
      <c r="A228" s="2">
        <f>IFERROR(__xludf.DUMMYFUNCTION("""COMPUTED_VALUE"""),227.0)</f>
        <v>227</v>
      </c>
      <c r="B228" s="2" t="str">
        <f>IFERROR(__xludf.DUMMYFUNCTION("""COMPUTED_VALUE"""),"Bagmati")</f>
        <v>Bagmati</v>
      </c>
      <c r="C228" s="2">
        <f>IFERROR(__xludf.DUMMYFUNCTION("""COMPUTED_VALUE"""),130.0)</f>
        <v>130</v>
      </c>
      <c r="D228" s="2" t="str">
        <f>IFERROR(__xludf.DUMMYFUNCTION("""COMPUTED_VALUE"""),"Bagmati")</f>
        <v>Bagmati</v>
      </c>
      <c r="E228" s="2"/>
      <c r="F228" s="3">
        <f>IFERROR(__xludf.DUMMYFUNCTION("""COMPUTED_VALUE"""),60142.0)</f>
        <v>60142</v>
      </c>
      <c r="G228" s="2" t="str">
        <f>IFERROR(__xludf.DUMMYFUNCTION("""COMPUTED_VALUE"""),"Multi Infrastructure Development Company P Ltd")</f>
        <v>Multi Infrastructure Development Company P Ltd</v>
      </c>
      <c r="H228" s="2"/>
      <c r="I228" s="2" t="str">
        <f>IFERROR(__xludf.DUMMYFUNCTION("""COMPUTED_VALUE"""),"00o 00' 00""")</f>
        <v>00o 00' 00"</v>
      </c>
      <c r="J228" s="2" t="str">
        <f>IFERROR(__xludf.DUMMYFUNCTION("""COMPUTED_VALUE"""),"00o 00' 00""")</f>
        <v>00o 00' 00"</v>
      </c>
      <c r="K228" s="2" t="str">
        <f>IFERROR(__xludf.DUMMYFUNCTION("""COMPUTED_VALUE"""),"00o 00' 00""")</f>
        <v>00o 00' 00"</v>
      </c>
      <c r="L228" s="2" t="str">
        <f>IFERROR(__xludf.DUMMYFUNCTION("""COMPUTED_VALUE"""),"00o 00' 00""")</f>
        <v>00o 00' 00"</v>
      </c>
      <c r="M228" s="2" t="str">
        <f>IFERROR(__xludf.DUMMYFUNCTION("""COMPUTED_VALUE"""),"(Lalitpur)")</f>
        <v>(Lalitpur)</v>
      </c>
    </row>
    <row r="229">
      <c r="A229" s="2">
        <f>IFERROR(__xludf.DUMMYFUNCTION("""COMPUTED_VALUE"""),228.0)</f>
        <v>228</v>
      </c>
      <c r="B229" s="2" t="str">
        <f>IFERROR(__xludf.DUMMYFUNCTION("""COMPUTED_VALUE"""),"Sangu Khola")</f>
        <v>Sangu Khola</v>
      </c>
      <c r="C229" s="2">
        <f>IFERROR(__xludf.DUMMYFUNCTION("""COMPUTED_VALUE"""),0.99)</f>
        <v>0.99</v>
      </c>
      <c r="D229" s="2" t="str">
        <f>IFERROR(__xludf.DUMMYFUNCTION("""COMPUTED_VALUE"""),"Sagu")</f>
        <v>Sagu</v>
      </c>
      <c r="E229" s="2"/>
      <c r="F229" s="3">
        <f>IFERROR(__xludf.DUMMYFUNCTION("""COMPUTED_VALUE"""),60142.0)</f>
        <v>60142</v>
      </c>
      <c r="G229" s="2" t="str">
        <f>IFERROR(__xludf.DUMMYFUNCTION("""COMPUTED_VALUE"""),"Balanand Siwakoti")</f>
        <v>Balanand Siwakoti</v>
      </c>
      <c r="H229" s="2"/>
      <c r="I229" s="2" t="str">
        <f>IFERROR(__xludf.DUMMYFUNCTION("""COMPUTED_VALUE"""),"27o 47' 30""")</f>
        <v>27o 47' 30"</v>
      </c>
      <c r="J229" s="2" t="str">
        <f>IFERROR(__xludf.DUMMYFUNCTION("""COMPUTED_VALUE"""),"27o 49' 43""")</f>
        <v>27o 49' 43"</v>
      </c>
      <c r="K229" s="2" t="str">
        <f>IFERROR(__xludf.DUMMYFUNCTION("""COMPUTED_VALUE"""),"86o 05' 10""")</f>
        <v>86o 05' 10"</v>
      </c>
      <c r="L229" s="2" t="str">
        <f>IFERROR(__xludf.DUMMYFUNCTION("""COMPUTED_VALUE"""),"86o 07' 25""")</f>
        <v>86o 07' 25"</v>
      </c>
      <c r="M229" s="2" t="str">
        <f>IFERROR(__xludf.DUMMYFUNCTION("""COMPUTED_VALUE"""),"(Dolakha)")</f>
        <v>(Dolakha)</v>
      </c>
    </row>
    <row r="230">
      <c r="A230" s="2">
        <f>IFERROR(__xludf.DUMMYFUNCTION("""COMPUTED_VALUE"""),229.0)</f>
        <v>229</v>
      </c>
      <c r="B230" s="2" t="str">
        <f>IFERROR(__xludf.DUMMYFUNCTION("""COMPUTED_VALUE"""),"Lower Kisedi Khola")</f>
        <v>Lower Kisedi Khola</v>
      </c>
      <c r="C230" s="2">
        <f>IFERROR(__xludf.DUMMYFUNCTION("""COMPUTED_VALUE"""),0.811)</f>
        <v>0.811</v>
      </c>
      <c r="D230" s="2" t="str">
        <f>IFERROR(__xludf.DUMMYFUNCTION("""COMPUTED_VALUE"""),"Kisedi Khola")</f>
        <v>Kisedi Khola</v>
      </c>
      <c r="E230" s="2"/>
      <c r="F230" s="3">
        <f>IFERROR(__xludf.DUMMYFUNCTION("""COMPUTED_VALUE"""),60146.0)</f>
        <v>60146</v>
      </c>
      <c r="G230" s="2" t="str">
        <f>IFERROR(__xludf.DUMMYFUNCTION("""COMPUTED_VALUE"""),"Bikash Ranabhat")</f>
        <v>Bikash Ranabhat</v>
      </c>
      <c r="H230" s="2"/>
      <c r="I230" s="2" t="str">
        <f>IFERROR(__xludf.DUMMYFUNCTION("""COMPUTED_VALUE"""),"28o 11' 22""")</f>
        <v>28o 11' 22"</v>
      </c>
      <c r="J230" s="2" t="str">
        <f>IFERROR(__xludf.DUMMYFUNCTION("""COMPUTED_VALUE"""),"28o 12' 30""")</f>
        <v>28o 12' 30"</v>
      </c>
      <c r="K230" s="2" t="str">
        <f>IFERROR(__xludf.DUMMYFUNCTION("""COMPUTED_VALUE"""),"84o 28' 05""")</f>
        <v>84o 28' 05"</v>
      </c>
      <c r="L230" s="2" t="str">
        <f>IFERROR(__xludf.DUMMYFUNCTION("""COMPUTED_VALUE"""),"84o 31' 02""")</f>
        <v>84o 31' 02"</v>
      </c>
      <c r="M230" s="2" t="str">
        <f>IFERROR(__xludf.DUMMYFUNCTION("""COMPUTED_VALUE"""),"(Lamjung)")</f>
        <v>(Lamjung)</v>
      </c>
    </row>
    <row r="231">
      <c r="A231" s="2">
        <f>IFERROR(__xludf.DUMMYFUNCTION("""COMPUTED_VALUE"""),230.0)</f>
        <v>230</v>
      </c>
      <c r="B231" s="2" t="str">
        <f>IFERROR(__xludf.DUMMYFUNCTION("""COMPUTED_VALUE"""),"Ankhu Khola")</f>
        <v>Ankhu Khola</v>
      </c>
      <c r="C231" s="2">
        <f>IFERROR(__xludf.DUMMYFUNCTION("""COMPUTED_VALUE"""),5.0)</f>
        <v>5</v>
      </c>
      <c r="D231" s="2" t="str">
        <f>IFERROR(__xludf.DUMMYFUNCTION("""COMPUTED_VALUE"""),"Ankhu Khola")</f>
        <v>Ankhu Khola</v>
      </c>
      <c r="E231" s="2"/>
      <c r="F231" s="3">
        <f>IFERROR(__xludf.DUMMYFUNCTION("""COMPUTED_VALUE"""),60146.0)</f>
        <v>60146</v>
      </c>
      <c r="G231" s="2" t="str">
        <f>IFERROR(__xludf.DUMMYFUNCTION("""COMPUTED_VALUE"""),"Forecast Consultancy Ser. P ltd")</f>
        <v>Forecast Consultancy Ser. P ltd</v>
      </c>
      <c r="H231" s="2"/>
      <c r="I231" s="2" t="str">
        <f>IFERROR(__xludf.DUMMYFUNCTION("""COMPUTED_VALUE"""),"27o 58' 00""")</f>
        <v>27o 58' 00"</v>
      </c>
      <c r="J231" s="2" t="str">
        <f>IFERROR(__xludf.DUMMYFUNCTION("""COMPUTED_VALUE"""),"28o 00' 00""")</f>
        <v>28o 00' 00"</v>
      </c>
      <c r="K231" s="2" t="str">
        <f>IFERROR(__xludf.DUMMYFUNCTION("""COMPUTED_VALUE"""),"84o 46' 00""")</f>
        <v>84o 46' 00"</v>
      </c>
      <c r="L231" s="2" t="str">
        <f>IFERROR(__xludf.DUMMYFUNCTION("""COMPUTED_VALUE"""),"84o 52' 00""")</f>
        <v>84o 52' 00"</v>
      </c>
      <c r="M231" s="2" t="str">
        <f>IFERROR(__xludf.DUMMYFUNCTION("""COMPUTED_VALUE"""),"(Dhading)")</f>
        <v>(Dhading)</v>
      </c>
    </row>
    <row r="232">
      <c r="A232" s="2">
        <f>IFERROR(__xludf.DUMMYFUNCTION("""COMPUTED_VALUE"""),231.0)</f>
        <v>231</v>
      </c>
      <c r="B232" s="2" t="str">
        <f>IFERROR(__xludf.DUMMYFUNCTION("""COMPUTED_VALUE"""),"Upper Kisedi Khola")</f>
        <v>Upper Kisedi Khola</v>
      </c>
      <c r="C232" s="2">
        <f>IFERROR(__xludf.DUMMYFUNCTION("""COMPUTED_VALUE"""),0.201)</f>
        <v>0.201</v>
      </c>
      <c r="D232" s="2" t="str">
        <f>IFERROR(__xludf.DUMMYFUNCTION("""COMPUTED_VALUE"""),"Kisedi Khola")</f>
        <v>Kisedi Khola</v>
      </c>
      <c r="E232" s="2"/>
      <c r="F232" s="3">
        <f>IFERROR(__xludf.DUMMYFUNCTION("""COMPUTED_VALUE"""),60146.0)</f>
        <v>60146</v>
      </c>
      <c r="G232" s="2" t="str">
        <f>IFERROR(__xludf.DUMMYFUNCTION("""COMPUTED_VALUE"""),"Piyush Malakar")</f>
        <v>Piyush Malakar</v>
      </c>
      <c r="H232" s="2"/>
      <c r="I232" s="2" t="str">
        <f>IFERROR(__xludf.DUMMYFUNCTION("""COMPUTED_VALUE"""),"28o 11' 22""")</f>
        <v>28o 11' 22"</v>
      </c>
      <c r="J232" s="2" t="str">
        <f>IFERROR(__xludf.DUMMYFUNCTION("""COMPUTED_VALUE"""),"28o 12' 30""")</f>
        <v>28o 12' 30"</v>
      </c>
      <c r="K232" s="2" t="str">
        <f>IFERROR(__xludf.DUMMYFUNCTION("""COMPUTED_VALUE"""),"84o 31' 02""")</f>
        <v>84o 31' 02"</v>
      </c>
      <c r="L232" s="2" t="str">
        <f>IFERROR(__xludf.DUMMYFUNCTION("""COMPUTED_VALUE"""),"84o 32' 30""")</f>
        <v>84o 32' 30"</v>
      </c>
      <c r="M232" s="2" t="str">
        <f>IFERROR(__xludf.DUMMYFUNCTION("""COMPUTED_VALUE"""),"(Lamjung)")</f>
        <v>(Lamjung)</v>
      </c>
    </row>
    <row r="233">
      <c r="A233" s="2">
        <f>IFERROR(__xludf.DUMMYFUNCTION("""COMPUTED_VALUE"""),232.0)</f>
        <v>232</v>
      </c>
      <c r="B233" s="2" t="str">
        <f>IFERROR(__xludf.DUMMYFUNCTION("""COMPUTED_VALUE"""),"Dolti Khola")</f>
        <v>Dolti Khola</v>
      </c>
      <c r="C233" s="2">
        <f>IFERROR(__xludf.DUMMYFUNCTION("""COMPUTED_VALUE"""),0.6)</f>
        <v>0.6</v>
      </c>
      <c r="D233" s="2" t="str">
        <f>IFERROR(__xludf.DUMMYFUNCTION("""COMPUTED_VALUE"""),"Dolti")</f>
        <v>Dolti</v>
      </c>
      <c r="E233" s="2"/>
      <c r="F233" s="3">
        <f>IFERROR(__xludf.DUMMYFUNCTION("""COMPUTED_VALUE"""),60147.0)</f>
        <v>60147</v>
      </c>
      <c r="G233" s="2" t="str">
        <f>IFERROR(__xludf.DUMMYFUNCTION("""COMPUTED_VALUE"""),"Nar Bhadur Pakhrin")</f>
        <v>Nar Bhadur Pakhrin</v>
      </c>
      <c r="H233" s="2" t="str">
        <f>IFERROR(__xludf.DUMMYFUNCTION("""COMPUTED_VALUE"""),"ph 9841544815,049421201 ChariKot")</f>
        <v>ph 9841544815,049421201 ChariKot</v>
      </c>
      <c r="I233" s="2" t="str">
        <f>IFERROR(__xludf.DUMMYFUNCTION("""COMPUTED_VALUE"""),"27o 40' 48""")</f>
        <v>27o 40' 48"</v>
      </c>
      <c r="J233" s="2" t="str">
        <f>IFERROR(__xludf.DUMMYFUNCTION("""COMPUTED_VALUE"""),"27o 41' 45""")</f>
        <v>27o 41' 45"</v>
      </c>
      <c r="K233" s="2" t="str">
        <f>IFERROR(__xludf.DUMMYFUNCTION("""COMPUTED_VALUE"""),"86o 04' 15""")</f>
        <v>86o 04' 15"</v>
      </c>
      <c r="L233" s="2" t="str">
        <f>IFERROR(__xludf.DUMMYFUNCTION("""COMPUTED_VALUE"""),"86o 06' 13""")</f>
        <v>86o 06' 13"</v>
      </c>
      <c r="M233" s="2" t="str">
        <f>IFERROR(__xludf.DUMMYFUNCTION("""COMPUTED_VALUE"""),"(Dolakha)")</f>
        <v>(Dolakha)</v>
      </c>
    </row>
    <row r="234">
      <c r="A234" s="2">
        <f>IFERROR(__xludf.DUMMYFUNCTION("""COMPUTED_VALUE"""),233.0)</f>
        <v>233</v>
      </c>
      <c r="B234" s="2" t="str">
        <f>IFERROR(__xludf.DUMMYFUNCTION("""COMPUTED_VALUE"""),"Kalanga")</f>
        <v>Kalanga</v>
      </c>
      <c r="C234" s="2">
        <f>IFERROR(__xludf.DUMMYFUNCTION("""COMPUTED_VALUE"""),6.4)</f>
        <v>6.4</v>
      </c>
      <c r="D234" s="2" t="str">
        <f>IFERROR(__xludf.DUMMYFUNCTION("""COMPUTED_VALUE"""),"Kalanga Gad")</f>
        <v>Kalanga Gad</v>
      </c>
      <c r="E234" s="2"/>
      <c r="F234" s="3">
        <f>IFERROR(__xludf.DUMMYFUNCTION("""COMPUTED_VALUE"""),60147.0)</f>
        <v>60147</v>
      </c>
      <c r="G234" s="2" t="str">
        <f>IFERROR(__xludf.DUMMYFUNCTION("""COMPUTED_VALUE"""),"Sanigad Hydro P Ltd")</f>
        <v>Sanigad Hydro P Ltd</v>
      </c>
      <c r="H234" s="2"/>
      <c r="I234" s="2" t="str">
        <f>IFERROR(__xludf.DUMMYFUNCTION("""COMPUTED_VALUE"""),"29o 34' 43""")</f>
        <v>29o 34' 43"</v>
      </c>
      <c r="J234" s="2" t="str">
        <f>IFERROR(__xludf.DUMMYFUNCTION("""COMPUTED_VALUE"""),"29o 40' 00""")</f>
        <v>29o 40' 00"</v>
      </c>
      <c r="K234" s="2" t="str">
        <f>IFERROR(__xludf.DUMMYFUNCTION("""COMPUTED_VALUE"""),"80o 52' 30""")</f>
        <v>80o 52' 30"</v>
      </c>
      <c r="L234" s="2" t="str">
        <f>IFERROR(__xludf.DUMMYFUNCTION("""COMPUTED_VALUE"""),"80o 59' 24""")</f>
        <v>80o 59' 24"</v>
      </c>
      <c r="M234" s="2" t="str">
        <f>IFERROR(__xludf.DUMMYFUNCTION("""COMPUTED_VALUE"""),"(Bajhang)")</f>
        <v>(Bajhang)</v>
      </c>
    </row>
    <row r="235">
      <c r="A235" s="2">
        <f>IFERROR(__xludf.DUMMYFUNCTION("""COMPUTED_VALUE"""),234.0)</f>
        <v>234</v>
      </c>
      <c r="B235" s="2" t="str">
        <f>IFERROR(__xludf.DUMMYFUNCTION("""COMPUTED_VALUE"""),"KhaniKhola")</f>
        <v>KhaniKhola</v>
      </c>
      <c r="C235" s="2">
        <f>IFERROR(__xludf.DUMMYFUNCTION("""COMPUTED_VALUE"""),3.0)</f>
        <v>3</v>
      </c>
      <c r="D235" s="2" t="str">
        <f>IFERROR(__xludf.DUMMYFUNCTION("""COMPUTED_VALUE"""),"Khani Khola")</f>
        <v>Khani Khola</v>
      </c>
      <c r="E235" s="2"/>
      <c r="F235" s="3">
        <f>IFERROR(__xludf.DUMMYFUNCTION("""COMPUTED_VALUE"""),60147.0)</f>
        <v>60147</v>
      </c>
      <c r="G235" s="2" t="str">
        <f>IFERROR(__xludf.DUMMYFUNCTION("""COMPUTED_VALUE"""),"GT sunrise HP")</f>
        <v>GT sunrise HP</v>
      </c>
      <c r="H235" s="2"/>
      <c r="I235" s="2" t="str">
        <f>IFERROR(__xludf.DUMMYFUNCTION("""COMPUTED_VALUE"""),"27o 47' 17""")</f>
        <v>27o 47' 17"</v>
      </c>
      <c r="J235" s="2" t="str">
        <f>IFERROR(__xludf.DUMMYFUNCTION("""COMPUTED_VALUE"""),"27o 48' 43""")</f>
        <v>27o 48' 43"</v>
      </c>
      <c r="K235" s="2" t="str">
        <f>IFERROR(__xludf.DUMMYFUNCTION("""COMPUTED_VALUE"""),"86o 17' 25""")</f>
        <v>86o 17' 25"</v>
      </c>
      <c r="L235" s="2" t="str">
        <f>IFERROR(__xludf.DUMMYFUNCTION("""COMPUTED_VALUE"""),"86o 19' 00""")</f>
        <v>86o 19' 00"</v>
      </c>
      <c r="M235" s="2" t="str">
        <f>IFERROR(__xludf.DUMMYFUNCTION("""COMPUTED_VALUE"""),"(Dolakha)")</f>
        <v>(Dolakha)</v>
      </c>
    </row>
    <row r="236">
      <c r="A236" s="2">
        <f>IFERROR(__xludf.DUMMYFUNCTION("""COMPUTED_VALUE"""),235.0)</f>
        <v>235</v>
      </c>
      <c r="B236" s="2" t="str">
        <f>IFERROR(__xludf.DUMMYFUNCTION("""COMPUTED_VALUE"""),"Likhu Khola")</f>
        <v>Likhu Khola</v>
      </c>
      <c r="C236" s="2">
        <f>IFERROR(__xludf.DUMMYFUNCTION("""COMPUTED_VALUE"""),5.0)</f>
        <v>5</v>
      </c>
      <c r="D236" s="2" t="str">
        <f>IFERROR(__xludf.DUMMYFUNCTION("""COMPUTED_VALUE"""),"Likhu Khola")</f>
        <v>Likhu Khola</v>
      </c>
      <c r="E236" s="2"/>
      <c r="F236" s="3">
        <f>IFERROR(__xludf.DUMMYFUNCTION("""COMPUTED_VALUE"""),60149.0)</f>
        <v>60149</v>
      </c>
      <c r="G236" s="2" t="str">
        <f>IFERROR(__xludf.DUMMYFUNCTION("""COMPUTED_VALUE"""),"Watt &amp; Volt P Ltd")</f>
        <v>Watt &amp; Volt P Ltd</v>
      </c>
      <c r="H236" s="2"/>
      <c r="I236" s="2" t="str">
        <f>IFERROR(__xludf.DUMMYFUNCTION("""COMPUTED_VALUE"""),"27o 28' 28""")</f>
        <v>27o 28' 28"</v>
      </c>
      <c r="J236" s="2" t="str">
        <f>IFERROR(__xludf.DUMMYFUNCTION("""COMPUTED_VALUE"""),"27o 31' 32""")</f>
        <v>27o 31' 32"</v>
      </c>
      <c r="K236" s="2" t="str">
        <f>IFERROR(__xludf.DUMMYFUNCTION("""COMPUTED_VALUE"""),"86o 17' 19""")</f>
        <v>86o 17' 19"</v>
      </c>
      <c r="L236" s="2" t="str">
        <f>IFERROR(__xludf.DUMMYFUNCTION("""COMPUTED_VALUE"""),"86o 21' 25""")</f>
        <v>86o 21' 25"</v>
      </c>
      <c r="M236" s="2" t="str">
        <f>IFERROR(__xludf.DUMMYFUNCTION("""COMPUTED_VALUE"""),"(Ramechhap)")</f>
        <v>(Ramechhap)</v>
      </c>
    </row>
    <row r="237">
      <c r="A237" s="2">
        <f>IFERROR(__xludf.DUMMYFUNCTION("""COMPUTED_VALUE"""),236.0)</f>
        <v>236</v>
      </c>
      <c r="B237" s="2" t="str">
        <f>IFERROR(__xludf.DUMMYFUNCTION("""COMPUTED_VALUE"""),"Lower Balephi II")</f>
        <v>Lower Balephi II</v>
      </c>
      <c r="C237" s="2">
        <f>IFERROR(__xludf.DUMMYFUNCTION("""COMPUTED_VALUE"""),4.9)</f>
        <v>4.9</v>
      </c>
      <c r="D237" s="2" t="str">
        <f>IFERROR(__xludf.DUMMYFUNCTION("""COMPUTED_VALUE"""),"Balephi")</f>
        <v>Balephi</v>
      </c>
      <c r="E237" s="2"/>
      <c r="F237" s="3">
        <f>IFERROR(__xludf.DUMMYFUNCTION("""COMPUTED_VALUE"""),60150.0)</f>
        <v>60150</v>
      </c>
      <c r="G237" s="2" t="str">
        <f>IFERROR(__xludf.DUMMYFUNCTION("""COMPUTED_VALUE"""),"Triton Power P ltd (Yagey P Subedi")</f>
        <v>Triton Power P ltd (Yagey P Subedi</v>
      </c>
      <c r="H237" s="2"/>
      <c r="I237" s="2" t="str">
        <f>IFERROR(__xludf.DUMMYFUNCTION("""COMPUTED_VALUE"""),"27o 44' 40""")</f>
        <v>27o 44' 40"</v>
      </c>
      <c r="J237" s="2" t="str">
        <f>IFERROR(__xludf.DUMMYFUNCTION("""COMPUTED_VALUE"""),"27o 46' 54""")</f>
        <v>27o 46' 54"</v>
      </c>
      <c r="K237" s="2" t="str">
        <f>IFERROR(__xludf.DUMMYFUNCTION("""COMPUTED_VALUE"""),"85o 45' 48""")</f>
        <v>85o 45' 48"</v>
      </c>
      <c r="L237" s="2" t="str">
        <f>IFERROR(__xludf.DUMMYFUNCTION("""COMPUTED_VALUE"""),"85o 47' 09""")</f>
        <v>85o 47' 09"</v>
      </c>
      <c r="M237" s="2" t="str">
        <f>IFERROR(__xludf.DUMMYFUNCTION("""COMPUTED_VALUE"""),"(Sindhupalchok)")</f>
        <v>(Sindhupalchok)</v>
      </c>
    </row>
    <row r="238">
      <c r="A238" s="2">
        <f>IFERROR(__xludf.DUMMYFUNCTION("""COMPUTED_VALUE"""),237.0)</f>
        <v>237</v>
      </c>
      <c r="B238" s="2" t="str">
        <f>IFERROR(__xludf.DUMMYFUNCTION("""COMPUTED_VALUE"""),"Karnali Muti- Purpose")</f>
        <v>Karnali Muti- Purpose</v>
      </c>
      <c r="C238" s="2">
        <f>IFERROR(__xludf.DUMMYFUNCTION("""COMPUTED_VALUE"""),10800.0)</f>
        <v>10800</v>
      </c>
      <c r="D238" s="2" t="str">
        <f>IFERROR(__xludf.DUMMYFUNCTION("""COMPUTED_VALUE"""),"Karnali")</f>
        <v>Karnali</v>
      </c>
      <c r="E238" s="2"/>
      <c r="F238" s="3">
        <f>IFERROR(__xludf.DUMMYFUNCTION("""COMPUTED_VALUE"""),60150.0)</f>
        <v>60150</v>
      </c>
      <c r="G238" s="2" t="str">
        <f>IFERROR(__xludf.DUMMYFUNCTION("""COMPUTED_VALUE"""),"Mukti Shree P Ltd")</f>
        <v>Mukti Shree P Ltd</v>
      </c>
      <c r="H238" s="2"/>
      <c r="I238" s="2" t="str">
        <f>IFERROR(__xludf.DUMMYFUNCTION("""COMPUTED_VALUE"""),"28o 30' 00""")</f>
        <v>28o 30' 00"</v>
      </c>
      <c r="J238" s="2" t="str">
        <f>IFERROR(__xludf.DUMMYFUNCTION("""COMPUTED_VALUE"""),"29o 00' 00""")</f>
        <v>29o 00' 00"</v>
      </c>
      <c r="K238" s="2" t="str">
        <f>IFERROR(__xludf.DUMMYFUNCTION("""COMPUTED_VALUE"""),"80o 58' 00""")</f>
        <v>80o 58' 00"</v>
      </c>
      <c r="L238" s="2" t="str">
        <f>IFERROR(__xludf.DUMMYFUNCTION("""COMPUTED_VALUE"""),"81o 37' 30""")</f>
        <v>81o 37' 30"</v>
      </c>
      <c r="M238" s="2" t="str">
        <f>IFERROR(__xludf.DUMMYFUNCTION("""COMPUTED_VALUE"""),"(Kailali)")</f>
        <v>(Kailali)</v>
      </c>
    </row>
    <row r="239">
      <c r="A239" s="2">
        <f>IFERROR(__xludf.DUMMYFUNCTION("""COMPUTED_VALUE"""),238.0)</f>
        <v>238</v>
      </c>
      <c r="B239" s="2" t="str">
        <f>IFERROR(__xludf.DUMMYFUNCTION("""COMPUTED_VALUE"""),"Upper Phawa")</f>
        <v>Upper Phawa</v>
      </c>
      <c r="C239" s="2">
        <f>IFERROR(__xludf.DUMMYFUNCTION("""COMPUTED_VALUE"""),0.938)</f>
        <v>0.938</v>
      </c>
      <c r="D239" s="2" t="str">
        <f>IFERROR(__xludf.DUMMYFUNCTION("""COMPUTED_VALUE"""),"Phawa Khola")</f>
        <v>Phawa Khola</v>
      </c>
      <c r="E239" s="2"/>
      <c r="F239" s="3">
        <f>IFERROR(__xludf.DUMMYFUNCTION("""COMPUTED_VALUE"""),60151.0)</f>
        <v>60151</v>
      </c>
      <c r="G239" s="2" t="str">
        <f>IFERROR(__xludf.DUMMYFUNCTION("""COMPUTED_VALUE"""),"Umesh Adhikari")</f>
        <v>Umesh Adhikari</v>
      </c>
      <c r="H239" s="2"/>
      <c r="I239" s="2" t="str">
        <f>IFERROR(__xludf.DUMMYFUNCTION("""COMPUTED_VALUE"""),"27o 21' 15""")</f>
        <v>27o 21' 15"</v>
      </c>
      <c r="J239" s="2" t="str">
        <f>IFERROR(__xludf.DUMMYFUNCTION("""COMPUTED_VALUE"""),"27o 25' 00""")</f>
        <v>27o 25' 00"</v>
      </c>
      <c r="K239" s="2" t="str">
        <f>IFERROR(__xludf.DUMMYFUNCTION("""COMPUTED_VALUE"""),"87o 46' 05""")</f>
        <v>87o 46' 05"</v>
      </c>
      <c r="L239" s="2" t="str">
        <f>IFERROR(__xludf.DUMMYFUNCTION("""COMPUTED_VALUE"""),"87o 48' 31""")</f>
        <v>87o 48' 31"</v>
      </c>
      <c r="M239" s="2" t="str">
        <f>IFERROR(__xludf.DUMMYFUNCTION("""COMPUTED_VALUE"""),"(Taplejung)")</f>
        <v>(Taplejung)</v>
      </c>
    </row>
    <row r="240">
      <c r="A240" s="2">
        <f>IFERROR(__xludf.DUMMYFUNCTION("""COMPUTED_VALUE"""),239.0)</f>
        <v>239</v>
      </c>
      <c r="B240" s="2" t="str">
        <f>IFERROR(__xludf.DUMMYFUNCTION("""COMPUTED_VALUE"""),"Kalnga Gad")</f>
        <v>Kalnga Gad</v>
      </c>
      <c r="C240" s="2">
        <f>IFERROR(__xludf.DUMMYFUNCTION("""COMPUTED_VALUE"""),8.0)</f>
        <v>8</v>
      </c>
      <c r="D240" s="2" t="str">
        <f>IFERROR(__xludf.DUMMYFUNCTION("""COMPUTED_VALUE"""),"Kalnga Gad")</f>
        <v>Kalnga Gad</v>
      </c>
      <c r="E240" s="2"/>
      <c r="F240" s="3">
        <f>IFERROR(__xludf.DUMMYFUNCTION("""COMPUTED_VALUE"""),60151.0)</f>
        <v>60151</v>
      </c>
      <c r="G240" s="2" t="str">
        <f>IFERROR(__xludf.DUMMYFUNCTION("""COMPUTED_VALUE"""),"Salik Ram Ghimire")</f>
        <v>Salik Ram Ghimire</v>
      </c>
      <c r="H240" s="2"/>
      <c r="I240" s="2" t="str">
        <f>IFERROR(__xludf.DUMMYFUNCTION("""COMPUTED_VALUE"""),"00o 00' 00""")</f>
        <v>00o 00' 00"</v>
      </c>
      <c r="J240" s="2" t="str">
        <f>IFERROR(__xludf.DUMMYFUNCTION("""COMPUTED_VALUE"""),"00o 00' 00""")</f>
        <v>00o 00' 00"</v>
      </c>
      <c r="K240" s="2" t="str">
        <f>IFERROR(__xludf.DUMMYFUNCTION("""COMPUTED_VALUE"""),"00o 00' 00""")</f>
        <v>00o 00' 00"</v>
      </c>
      <c r="L240" s="2" t="str">
        <f>IFERROR(__xludf.DUMMYFUNCTION("""COMPUTED_VALUE"""),"00o 00' 00""")</f>
        <v>00o 00' 00"</v>
      </c>
      <c r="M240" s="2" t="str">
        <f>IFERROR(__xludf.DUMMYFUNCTION("""COMPUTED_VALUE"""),"(Bajhang)")</f>
        <v>(Bajhang)</v>
      </c>
    </row>
    <row r="241">
      <c r="A241" s="2">
        <f>IFERROR(__xludf.DUMMYFUNCTION("""COMPUTED_VALUE"""),240.0)</f>
        <v>240</v>
      </c>
      <c r="B241" s="2" t="str">
        <f>IFERROR(__xludf.DUMMYFUNCTION("""COMPUTED_VALUE"""),"Sailun Khola")</f>
        <v>Sailun Khola</v>
      </c>
      <c r="C241" s="2">
        <f>IFERROR(__xludf.DUMMYFUNCTION("""COMPUTED_VALUE"""),0.8)</f>
        <v>0.8</v>
      </c>
      <c r="D241" s="2" t="str">
        <f>IFERROR(__xludf.DUMMYFUNCTION("""COMPUTED_VALUE"""),"Sailung")</f>
        <v>Sailung</v>
      </c>
      <c r="E241" s="2"/>
      <c r="F241" s="3">
        <f>IFERROR(__xludf.DUMMYFUNCTION("""COMPUTED_VALUE"""),60151.0)</f>
        <v>60151</v>
      </c>
      <c r="G241" s="2" t="str">
        <f>IFERROR(__xludf.DUMMYFUNCTION("""COMPUTED_VALUE"""),"Anand Pradhan")</f>
        <v>Anand Pradhan</v>
      </c>
      <c r="H241" s="2"/>
      <c r="I241" s="2" t="str">
        <f>IFERROR(__xludf.DUMMYFUNCTION("""COMPUTED_VALUE"""),"27o 35' 58""")</f>
        <v>27o 35' 58"</v>
      </c>
      <c r="J241" s="2" t="str">
        <f>IFERROR(__xludf.DUMMYFUNCTION("""COMPUTED_VALUE"""),"27o 38' 40""")</f>
        <v>27o 38' 40"</v>
      </c>
      <c r="K241" s="2" t="str">
        <f>IFERROR(__xludf.DUMMYFUNCTION("""COMPUTED_VALUE"""),"85o 52' 32""")</f>
        <v>85o 52' 32"</v>
      </c>
      <c r="L241" s="2" t="str">
        <f>IFERROR(__xludf.DUMMYFUNCTION("""COMPUTED_VALUE"""),"85o 55' 00""")</f>
        <v>85o 55' 00"</v>
      </c>
      <c r="M241" s="2" t="str">
        <f>IFERROR(__xludf.DUMMYFUNCTION("""COMPUTED_VALUE"""),"(Dolakha)")</f>
        <v>(Dolakha)</v>
      </c>
    </row>
    <row r="242">
      <c r="A242" s="2">
        <f>IFERROR(__xludf.DUMMYFUNCTION("""COMPUTED_VALUE"""),241.0)</f>
        <v>241</v>
      </c>
      <c r="B242" s="2" t="str">
        <f>IFERROR(__xludf.DUMMYFUNCTION("""COMPUTED_VALUE"""),"Middle Phawa")</f>
        <v>Middle Phawa</v>
      </c>
      <c r="C242" s="2">
        <f>IFERROR(__xludf.DUMMYFUNCTION("""COMPUTED_VALUE"""),0.835)</f>
        <v>0.835</v>
      </c>
      <c r="D242" s="2" t="str">
        <f>IFERROR(__xludf.DUMMYFUNCTION("""COMPUTED_VALUE"""),"Phawa Khola")</f>
        <v>Phawa Khola</v>
      </c>
      <c r="E242" s="2"/>
      <c r="F242" s="3">
        <f>IFERROR(__xludf.DUMMYFUNCTION("""COMPUTED_VALUE"""),60151.0)</f>
        <v>60151</v>
      </c>
      <c r="G242" s="2" t="str">
        <f>IFERROR(__xludf.DUMMYFUNCTION("""COMPUTED_VALUE"""),"Kabin Dahal")</f>
        <v>Kabin Dahal</v>
      </c>
      <c r="H242" s="2"/>
      <c r="I242" s="2" t="str">
        <f>IFERROR(__xludf.DUMMYFUNCTION("""COMPUTED_VALUE"""),"27o 19' 08""")</f>
        <v>27o 19' 08"</v>
      </c>
      <c r="J242" s="2" t="str">
        <f>IFERROR(__xludf.DUMMYFUNCTION("""COMPUTED_VALUE"""),"27o 21' 12""")</f>
        <v>27o 21' 12"</v>
      </c>
      <c r="K242" s="2" t="str">
        <f>IFERROR(__xludf.DUMMYFUNCTION("""COMPUTED_VALUE"""),"87o 45' 47""")</f>
        <v>87o 45' 47"</v>
      </c>
      <c r="L242" s="2" t="str">
        <f>IFERROR(__xludf.DUMMYFUNCTION("""COMPUTED_VALUE"""),"87o 47' 35""")</f>
        <v>87o 47' 35"</v>
      </c>
      <c r="M242" s="2" t="str">
        <f>IFERROR(__xludf.DUMMYFUNCTION("""COMPUTED_VALUE"""),"(Taplejung)")</f>
        <v>(Taplejung)</v>
      </c>
    </row>
    <row r="243">
      <c r="A243" s="2">
        <f>IFERROR(__xludf.DUMMYFUNCTION("""COMPUTED_VALUE"""),242.0)</f>
        <v>242</v>
      </c>
      <c r="B243" s="2" t="str">
        <f>IFERROR(__xludf.DUMMYFUNCTION("""COMPUTED_VALUE"""),"Upper Rasuwa Bhotekoshi")</f>
        <v>Upper Rasuwa Bhotekoshi</v>
      </c>
      <c r="C243" s="2">
        <f>IFERROR(__xludf.DUMMYFUNCTION("""COMPUTED_VALUE"""),5.0)</f>
        <v>5</v>
      </c>
      <c r="D243" s="2" t="str">
        <f>IFERROR(__xludf.DUMMYFUNCTION("""COMPUTED_VALUE"""),"Bhote Koshi")</f>
        <v>Bhote Koshi</v>
      </c>
      <c r="E243" s="2"/>
      <c r="F243" s="3">
        <f>IFERROR(__xludf.DUMMYFUNCTION("""COMPUTED_VALUE"""),60153.0)</f>
        <v>60153</v>
      </c>
      <c r="G243" s="2" t="str">
        <f>IFERROR(__xludf.DUMMYFUNCTION("""COMPUTED_VALUE"""),"Pratit Nepal Ink P. Ltd")</f>
        <v>Pratit Nepal Ink P. Ltd</v>
      </c>
      <c r="H243" s="2"/>
      <c r="I243" s="2" t="str">
        <f>IFERROR(__xludf.DUMMYFUNCTION("""COMPUTED_VALUE"""),"28o 14' 31""")</f>
        <v>28o 14' 31"</v>
      </c>
      <c r="J243" s="2" t="str">
        <f>IFERROR(__xludf.DUMMYFUNCTION("""COMPUTED_VALUE"""),"28o 16' 39""")</f>
        <v>28o 16' 39"</v>
      </c>
      <c r="K243" s="2" t="str">
        <f>IFERROR(__xludf.DUMMYFUNCTION("""COMPUTED_VALUE"""),"85o 21' 00""")</f>
        <v>85o 21' 00"</v>
      </c>
      <c r="L243" s="2" t="str">
        <f>IFERROR(__xludf.DUMMYFUNCTION("""COMPUTED_VALUE"""),"85o 23' 10""")</f>
        <v>85o 23' 10"</v>
      </c>
      <c r="M243" s="2" t="str">
        <f>IFERROR(__xludf.DUMMYFUNCTION("""COMPUTED_VALUE"""),"(Rasuwa)")</f>
        <v>(Rasuwa)</v>
      </c>
    </row>
    <row r="244">
      <c r="A244" s="2">
        <f>IFERROR(__xludf.DUMMYFUNCTION("""COMPUTED_VALUE"""),243.0)</f>
        <v>243</v>
      </c>
      <c r="B244" s="2" t="str">
        <f>IFERROR(__xludf.DUMMYFUNCTION("""COMPUTED_VALUE"""),"Manahari Khola")</f>
        <v>Manahari Khola</v>
      </c>
      <c r="C244" s="2">
        <f>IFERROR(__xludf.DUMMYFUNCTION("""COMPUTED_VALUE"""),6.0)</f>
        <v>6</v>
      </c>
      <c r="D244" s="2" t="str">
        <f>IFERROR(__xludf.DUMMYFUNCTION("""COMPUTED_VALUE"""),"Manahari")</f>
        <v>Manahari</v>
      </c>
      <c r="E244" s="2"/>
      <c r="F244" s="3">
        <f>IFERROR(__xludf.DUMMYFUNCTION("""COMPUTED_VALUE"""),60153.0)</f>
        <v>60153</v>
      </c>
      <c r="G244" s="2" t="str">
        <f>IFERROR(__xludf.DUMMYFUNCTION("""COMPUTED_VALUE"""),"Parbati Prasai &amp; Sunit Pokharel")</f>
        <v>Parbati Prasai &amp; Sunit Pokharel</v>
      </c>
      <c r="H244" s="2"/>
      <c r="I244" s="2" t="str">
        <f>IFERROR(__xludf.DUMMYFUNCTION("""COMPUTED_VALUE"""),"00o 00' 00""")</f>
        <v>00o 00' 00"</v>
      </c>
      <c r="J244" s="2" t="str">
        <f>IFERROR(__xludf.DUMMYFUNCTION("""COMPUTED_VALUE"""),"00o 00' 00""")</f>
        <v>00o 00' 00"</v>
      </c>
      <c r="K244" s="2" t="str">
        <f>IFERROR(__xludf.DUMMYFUNCTION("""COMPUTED_VALUE"""),"00o 00' 00""")</f>
        <v>00o 00' 00"</v>
      </c>
      <c r="L244" s="2" t="str">
        <f>IFERROR(__xludf.DUMMYFUNCTION("""COMPUTED_VALUE"""),"00o 00' 00""")</f>
        <v>00o 00' 00"</v>
      </c>
      <c r="M244" s="2" t="str">
        <f>IFERROR(__xludf.DUMMYFUNCTION("""COMPUTED_VALUE"""),"(Makawanpur)")</f>
        <v>(Makawanpur)</v>
      </c>
    </row>
    <row r="245">
      <c r="A245" s="2">
        <f>IFERROR(__xludf.DUMMYFUNCTION("""COMPUTED_VALUE"""),244.0)</f>
        <v>244</v>
      </c>
      <c r="B245" s="2" t="str">
        <f>IFERROR(__xludf.DUMMYFUNCTION("""COMPUTED_VALUE"""),"Marsyangdi -Trisuli")</f>
        <v>Marsyangdi -Trisuli</v>
      </c>
      <c r="C245" s="2">
        <f>IFERROR(__xludf.DUMMYFUNCTION("""COMPUTED_VALUE"""),50.0)</f>
        <v>50</v>
      </c>
      <c r="D245" s="2" t="str">
        <f>IFERROR(__xludf.DUMMYFUNCTION("""COMPUTED_VALUE"""),"Marsyangdi")</f>
        <v>Marsyangdi</v>
      </c>
      <c r="E245" s="2"/>
      <c r="F245" s="3">
        <f>IFERROR(__xludf.DUMMYFUNCTION("""COMPUTED_VALUE"""),60154.0)</f>
        <v>60154</v>
      </c>
      <c r="G245" s="2" t="str">
        <f>IFERROR(__xludf.DUMMYFUNCTION("""COMPUTED_VALUE"""),"Jaleswor Hydropower P. Ltd")</f>
        <v>Jaleswor Hydropower P. Ltd</v>
      </c>
      <c r="H245" s="2"/>
      <c r="I245" s="2" t="str">
        <f>IFERROR(__xludf.DUMMYFUNCTION("""COMPUTED_VALUE"""),"00o 00' 00""")</f>
        <v>00o 00' 00"</v>
      </c>
      <c r="J245" s="2" t="str">
        <f>IFERROR(__xludf.DUMMYFUNCTION("""COMPUTED_VALUE"""),"00o 00' 00""")</f>
        <v>00o 00' 00"</v>
      </c>
      <c r="K245" s="2" t="str">
        <f>IFERROR(__xludf.DUMMYFUNCTION("""COMPUTED_VALUE"""),"00o 00' 00""")</f>
        <v>00o 00' 00"</v>
      </c>
      <c r="L245" s="2" t="str">
        <f>IFERROR(__xludf.DUMMYFUNCTION("""COMPUTED_VALUE"""),"00o 00' 00""")</f>
        <v>00o 00' 00"</v>
      </c>
      <c r="M245" s="2" t="str">
        <f>IFERROR(__xludf.DUMMYFUNCTION("""COMPUTED_VALUE"""),"(Chitwan)")</f>
        <v>(Chitwan)</v>
      </c>
    </row>
    <row r="246">
      <c r="A246" s="2">
        <f>IFERROR(__xludf.DUMMYFUNCTION("""COMPUTED_VALUE"""),245.0)</f>
        <v>245</v>
      </c>
      <c r="B246" s="2" t="str">
        <f>IFERROR(__xludf.DUMMYFUNCTION("""COMPUTED_VALUE"""),"Machha Khola-2")</f>
        <v>Machha Khola-2</v>
      </c>
      <c r="C246" s="2">
        <f>IFERROR(__xludf.DUMMYFUNCTION("""COMPUTED_VALUE"""),16.5)</f>
        <v>16.5</v>
      </c>
      <c r="D246" s="2" t="str">
        <f>IFERROR(__xludf.DUMMYFUNCTION("""COMPUTED_VALUE"""),"Machha Khola")</f>
        <v>Machha Khola</v>
      </c>
      <c r="E246" s="2"/>
      <c r="F246" s="3">
        <f>IFERROR(__xludf.DUMMYFUNCTION("""COMPUTED_VALUE"""),60154.0)</f>
        <v>60154</v>
      </c>
      <c r="G246" s="2" t="str">
        <f>IFERROR(__xludf.DUMMYFUNCTION("""COMPUTED_VALUE"""),"Multi- Dimensional Hydropower P Ltd")</f>
        <v>Multi- Dimensional Hydropower P Ltd</v>
      </c>
      <c r="H246" s="2"/>
      <c r="I246" s="2" t="str">
        <f>IFERROR(__xludf.DUMMYFUNCTION("""COMPUTED_VALUE"""),"00o 00' 00""")</f>
        <v>00o 00' 00"</v>
      </c>
      <c r="J246" s="2" t="str">
        <f>IFERROR(__xludf.DUMMYFUNCTION("""COMPUTED_VALUE"""),"00o 00' 00""")</f>
        <v>00o 00' 00"</v>
      </c>
      <c r="K246" s="2" t="str">
        <f>IFERROR(__xludf.DUMMYFUNCTION("""COMPUTED_VALUE"""),"00o 00' 00""")</f>
        <v>00o 00' 00"</v>
      </c>
      <c r="L246" s="2" t="str">
        <f>IFERROR(__xludf.DUMMYFUNCTION("""COMPUTED_VALUE"""),"00o 00' 00""")</f>
        <v>00o 00' 00"</v>
      </c>
      <c r="M246" s="2" t="str">
        <f>IFERROR(__xludf.DUMMYFUNCTION("""COMPUTED_VALUE"""),"(Gorkha)")</f>
        <v>(Gorkha)</v>
      </c>
    </row>
    <row r="247">
      <c r="A247" s="2">
        <f>IFERROR(__xludf.DUMMYFUNCTION("""COMPUTED_VALUE"""),246.0)</f>
        <v>246</v>
      </c>
      <c r="B247" s="2" t="str">
        <f>IFERROR(__xludf.DUMMYFUNCTION("""COMPUTED_VALUE"""),"Kaligandaki Tail")</f>
        <v>Kaligandaki Tail</v>
      </c>
      <c r="C247" s="2">
        <f>IFERROR(__xludf.DUMMYFUNCTION("""COMPUTED_VALUE"""),45.0)</f>
        <v>45</v>
      </c>
      <c r="D247" s="2" t="str">
        <f>IFERROR(__xludf.DUMMYFUNCTION("""COMPUTED_VALUE"""),"Kali Gandaki")</f>
        <v>Kali Gandaki</v>
      </c>
      <c r="E247" s="2"/>
      <c r="F247" s="3">
        <f>IFERROR(__xludf.DUMMYFUNCTION("""COMPUTED_VALUE"""),60155.0)</f>
        <v>60155</v>
      </c>
      <c r="G247" s="2" t="str">
        <f>IFERROR(__xludf.DUMMYFUNCTION("""COMPUTED_VALUE"""),"Public Consulting Engineering P Ltd")</f>
        <v>Public Consulting Engineering P Ltd</v>
      </c>
      <c r="H247" s="2"/>
      <c r="I247" s="2" t="str">
        <f>IFERROR(__xludf.DUMMYFUNCTION("""COMPUTED_VALUE"""),"27o 30' 55""")</f>
        <v>27o 30' 55"</v>
      </c>
      <c r="J247" s="2" t="str">
        <f>IFERROR(__xludf.DUMMYFUNCTION("""COMPUTED_VALUE"""),"27o 33' 29""")</f>
        <v>27o 33' 29"</v>
      </c>
      <c r="K247" s="2" t="str">
        <f>IFERROR(__xludf.DUMMYFUNCTION("""COMPUTED_VALUE"""),"86o 20' 00""")</f>
        <v>86o 20' 00"</v>
      </c>
      <c r="L247" s="2" t="str">
        <f>IFERROR(__xludf.DUMMYFUNCTION("""COMPUTED_VALUE"""),"86o 22' 57""")</f>
        <v>86o 22' 57"</v>
      </c>
      <c r="M247" s="2" t="str">
        <f>IFERROR(__xludf.DUMMYFUNCTION("""COMPUTED_VALUE"""),"(Nawalparasi)")</f>
        <v>(Nawalparasi)</v>
      </c>
    </row>
    <row r="248">
      <c r="A248" s="2">
        <f>IFERROR(__xludf.DUMMYFUNCTION("""COMPUTED_VALUE"""),247.0)</f>
        <v>247</v>
      </c>
      <c r="B248" s="2" t="str">
        <f>IFERROR(__xludf.DUMMYFUNCTION("""COMPUTED_VALUE"""),"Chulepu Khola")</f>
        <v>Chulepu Khola</v>
      </c>
      <c r="C248" s="2">
        <f>IFERROR(__xludf.DUMMYFUNCTION("""COMPUTED_VALUE"""),3.5)</f>
        <v>3.5</v>
      </c>
      <c r="D248" s="2" t="str">
        <f>IFERROR(__xludf.DUMMYFUNCTION("""COMPUTED_VALUE"""),"ChulepuKhola")</f>
        <v>ChulepuKhola</v>
      </c>
      <c r="E248" s="2"/>
      <c r="F248" s="3">
        <f>IFERROR(__xludf.DUMMYFUNCTION("""COMPUTED_VALUE"""),60156.0)</f>
        <v>60156</v>
      </c>
      <c r="G248" s="2" t="str">
        <f>IFERROR(__xludf.DUMMYFUNCTION("""COMPUTED_VALUE"""),"Sakti Urja Bikas C Plt")</f>
        <v>Sakti Urja Bikas C Plt</v>
      </c>
      <c r="H248" s="2"/>
      <c r="I248" s="2" t="str">
        <f>IFERROR(__xludf.DUMMYFUNCTION("""COMPUTED_VALUE"""),"27o 27' 28""")</f>
        <v>27o 27' 28"</v>
      </c>
      <c r="J248" s="2" t="str">
        <f>IFERROR(__xludf.DUMMYFUNCTION("""COMPUTED_VALUE"""),"27o 30' 00""")</f>
        <v>27o 30' 00"</v>
      </c>
      <c r="K248" s="2" t="str">
        <f>IFERROR(__xludf.DUMMYFUNCTION("""COMPUTED_VALUE"""),"86o 16' 15""")</f>
        <v>86o 16' 15"</v>
      </c>
      <c r="L248" s="2" t="str">
        <f>IFERROR(__xludf.DUMMYFUNCTION("""COMPUTED_VALUE"""),"86o 19' 18""")</f>
        <v>86o 19' 18"</v>
      </c>
      <c r="M248" s="2" t="str">
        <f>IFERROR(__xludf.DUMMYFUNCTION("""COMPUTED_VALUE"""),"(Ramechhap)")</f>
        <v>(Ramechhap)</v>
      </c>
    </row>
    <row r="249">
      <c r="A249" s="2">
        <f>IFERROR(__xludf.DUMMYFUNCTION("""COMPUTED_VALUE"""),248.0)</f>
        <v>248</v>
      </c>
      <c r="B249" s="2" t="str">
        <f>IFERROR(__xludf.DUMMYFUNCTION("""COMPUTED_VALUE"""),"Phalaku Khola")</f>
        <v>Phalaku Khola</v>
      </c>
      <c r="C249" s="2">
        <f>IFERROR(__xludf.DUMMYFUNCTION("""COMPUTED_VALUE"""),2.25)</f>
        <v>2.25</v>
      </c>
      <c r="D249" s="2" t="str">
        <f>IFERROR(__xludf.DUMMYFUNCTION("""COMPUTED_VALUE"""),"Phalankhu Khola")</f>
        <v>Phalankhu Khola</v>
      </c>
      <c r="E249" s="2"/>
      <c r="F249" s="3">
        <f>IFERROR(__xludf.DUMMYFUNCTION("""COMPUTED_VALUE"""),60156.0)</f>
        <v>60156</v>
      </c>
      <c r="G249" s="2" t="str">
        <f>IFERROR(__xludf.DUMMYFUNCTION("""COMPUTED_VALUE"""),"Phalanku Khola Biddyut Bikas Co")</f>
        <v>Phalanku Khola Biddyut Bikas Co</v>
      </c>
      <c r="H249" s="2"/>
      <c r="I249" s="2" t="str">
        <f>IFERROR(__xludf.DUMMYFUNCTION("""COMPUTED_VALUE"""),"27o 58' 07""")</f>
        <v>27o 58' 07"</v>
      </c>
      <c r="J249" s="2" t="str">
        <f>IFERROR(__xludf.DUMMYFUNCTION("""COMPUTED_VALUE"""),"27o 58' 39""")</f>
        <v>27o 58' 39"</v>
      </c>
      <c r="K249" s="2" t="str">
        <f>IFERROR(__xludf.DUMMYFUNCTION("""COMPUTED_VALUE"""),"85o 13' 13""")</f>
        <v>85o 13' 13"</v>
      </c>
      <c r="L249" s="2" t="str">
        <f>IFERROR(__xludf.DUMMYFUNCTION("""COMPUTED_VALUE"""),"85o 14' 29""")</f>
        <v>85o 14' 29"</v>
      </c>
      <c r="M249" s="2" t="str">
        <f>IFERROR(__xludf.DUMMYFUNCTION("""COMPUTED_VALUE"""),"(Nuwakot)")</f>
        <v>(Nuwakot)</v>
      </c>
    </row>
    <row r="250">
      <c r="A250" s="2">
        <f>IFERROR(__xludf.DUMMYFUNCTION("""COMPUTED_VALUE"""),249.0)</f>
        <v>249</v>
      </c>
      <c r="B250" s="2" t="str">
        <f>IFERROR(__xludf.DUMMYFUNCTION("""COMPUTED_VALUE"""),"Khagdal Khola")</f>
        <v>Khagdal Khola</v>
      </c>
      <c r="C250" s="2">
        <f>IFERROR(__xludf.DUMMYFUNCTION("""COMPUTED_VALUE"""),0.366)</f>
        <v>0.366</v>
      </c>
      <c r="D250" s="2" t="str">
        <f>IFERROR(__xludf.DUMMYFUNCTION("""COMPUTED_VALUE"""),"Khagdal Khola")</f>
        <v>Khagdal Khola</v>
      </c>
      <c r="E250" s="2"/>
      <c r="F250" s="3">
        <f>IFERROR(__xludf.DUMMYFUNCTION("""COMPUTED_VALUE"""),60157.0)</f>
        <v>60157</v>
      </c>
      <c r="G250" s="2" t="str">
        <f>IFERROR(__xludf.DUMMYFUNCTION("""COMPUTED_VALUE"""),"Bimala Pandit")</f>
        <v>Bimala Pandit</v>
      </c>
      <c r="H250" s="2"/>
      <c r="I250" s="2" t="str">
        <f>IFERROR(__xludf.DUMMYFUNCTION("""COMPUTED_VALUE"""),"27o 47' 49""")</f>
        <v>27o 47' 49"</v>
      </c>
      <c r="J250" s="2" t="str">
        <f>IFERROR(__xludf.DUMMYFUNCTION("""COMPUTED_VALUE"""),"27o 48' 49""")</f>
        <v>27o 48' 49"</v>
      </c>
      <c r="K250" s="2" t="str">
        <f>IFERROR(__xludf.DUMMYFUNCTION("""COMPUTED_VALUE"""),"85o 53' 38""")</f>
        <v>85o 53' 38"</v>
      </c>
      <c r="L250" s="2" t="str">
        <f>IFERROR(__xludf.DUMMYFUNCTION("""COMPUTED_VALUE"""),"85o 55' 00""")</f>
        <v>85o 55' 00"</v>
      </c>
      <c r="M250" s="2" t="str">
        <f>IFERROR(__xludf.DUMMYFUNCTION("""COMPUTED_VALUE"""),"(Sindhupalchok)")</f>
        <v>(Sindhupalchok)</v>
      </c>
    </row>
    <row r="251">
      <c r="A251" s="2">
        <f>IFERROR(__xludf.DUMMYFUNCTION("""COMPUTED_VALUE"""),250.0)</f>
        <v>250</v>
      </c>
      <c r="B251" s="2" t="str">
        <f>IFERROR(__xludf.DUMMYFUNCTION("""COMPUTED_VALUE"""),"Mahavir Bhurundi Khola")</f>
        <v>Mahavir Bhurundi Khola</v>
      </c>
      <c r="C251" s="2">
        <f>IFERROR(__xludf.DUMMYFUNCTION("""COMPUTED_VALUE"""),0.5)</f>
        <v>0.5</v>
      </c>
      <c r="D251" s="2" t="str">
        <f>IFERROR(__xludf.DUMMYFUNCTION("""COMPUTED_VALUE"""),"Bhurundi Khola")</f>
        <v>Bhurundi Khola</v>
      </c>
      <c r="E251" s="2"/>
      <c r="F251" s="3">
        <f>IFERROR(__xludf.DUMMYFUNCTION("""COMPUTED_VALUE"""),60157.0)</f>
        <v>60157</v>
      </c>
      <c r="G251" s="2" t="str">
        <f>IFERROR(__xludf.DUMMYFUNCTION("""COMPUTED_VALUE"""),"Shekhar Raj Upreti")</f>
        <v>Shekhar Raj Upreti</v>
      </c>
      <c r="H251" s="2"/>
      <c r="I251" s="2" t="str">
        <f>IFERROR(__xludf.DUMMYFUNCTION("""COMPUTED_VALUE"""),"28o 19' 32""")</f>
        <v>28o 19' 32"</v>
      </c>
      <c r="J251" s="2" t="str">
        <f>IFERROR(__xludf.DUMMYFUNCTION("""COMPUTED_VALUE"""),"28o 22' 09""")</f>
        <v>28o 22' 09"</v>
      </c>
      <c r="K251" s="2" t="str">
        <f>IFERROR(__xludf.DUMMYFUNCTION("""COMPUTED_VALUE"""),"83o 43' 27""")</f>
        <v>83o 43' 27"</v>
      </c>
      <c r="L251" s="2" t="str">
        <f>IFERROR(__xludf.DUMMYFUNCTION("""COMPUTED_VALUE"""),"83o 45' 00""")</f>
        <v>83o 45' 00"</v>
      </c>
      <c r="M251" s="2" t="str">
        <f>IFERROR(__xludf.DUMMYFUNCTION("""COMPUTED_VALUE"""),"(Parbat)")</f>
        <v>(Parbat)</v>
      </c>
    </row>
    <row r="252">
      <c r="A252" s="2">
        <f>IFERROR(__xludf.DUMMYFUNCTION("""COMPUTED_VALUE"""),251.0)</f>
        <v>251</v>
      </c>
      <c r="B252" s="2" t="str">
        <f>IFERROR(__xludf.DUMMYFUNCTION("""COMPUTED_VALUE"""),"Khagdal Khola")</f>
        <v>Khagdal Khola</v>
      </c>
      <c r="C252" s="2">
        <f>IFERROR(__xludf.DUMMYFUNCTION("""COMPUTED_VALUE"""),0.85)</f>
        <v>0.85</v>
      </c>
      <c r="D252" s="2" t="str">
        <f>IFERROR(__xludf.DUMMYFUNCTION("""COMPUTED_VALUE"""),"Khagdal Khola")</f>
        <v>Khagdal Khola</v>
      </c>
      <c r="E252" s="2"/>
      <c r="F252" s="3">
        <f>IFERROR(__xludf.DUMMYFUNCTION("""COMPUTED_VALUE"""),60158.0)</f>
        <v>60158</v>
      </c>
      <c r="G252" s="2" t="str">
        <f>IFERROR(__xludf.DUMMYFUNCTION("""COMPUTED_VALUE"""),"Indra Prasad Neupane")</f>
        <v>Indra Prasad Neupane</v>
      </c>
      <c r="H252" s="2"/>
      <c r="I252" s="2" t="str">
        <f>IFERROR(__xludf.DUMMYFUNCTION("""COMPUTED_VALUE"""),"27o 47' 50""")</f>
        <v>27o 47' 50"</v>
      </c>
      <c r="J252" s="2" t="str">
        <f>IFERROR(__xludf.DUMMYFUNCTION("""COMPUTED_VALUE"""),"27o 49' 49""")</f>
        <v>27o 49' 49"</v>
      </c>
      <c r="K252" s="2" t="str">
        <f>IFERROR(__xludf.DUMMYFUNCTION("""COMPUTED_VALUE"""),"85o 52' 30""")</f>
        <v>85o 52' 30"</v>
      </c>
      <c r="L252" s="2" t="str">
        <f>IFERROR(__xludf.DUMMYFUNCTION("""COMPUTED_VALUE"""),"85o 56' 15""")</f>
        <v>85o 56' 15"</v>
      </c>
      <c r="M252" s="2" t="str">
        <f>IFERROR(__xludf.DUMMYFUNCTION("""COMPUTED_VALUE"""),"(Sindhupalchok)")</f>
        <v>(Sindhupalchok)</v>
      </c>
    </row>
    <row r="253">
      <c r="A253" s="2">
        <f>IFERROR(__xludf.DUMMYFUNCTION("""COMPUTED_VALUE"""),252.0)</f>
        <v>252</v>
      </c>
      <c r="B253" s="2" t="str">
        <f>IFERROR(__xludf.DUMMYFUNCTION("""COMPUTED_VALUE"""),"Jyamire Khola")</f>
        <v>Jyamire Khola</v>
      </c>
      <c r="C253" s="2">
        <f>IFERROR(__xludf.DUMMYFUNCTION("""COMPUTED_VALUE"""),0.7)</f>
        <v>0.7</v>
      </c>
      <c r="D253" s="2" t="str">
        <f>IFERROR(__xludf.DUMMYFUNCTION("""COMPUTED_VALUE"""),"Jyamire")</f>
        <v>Jyamire</v>
      </c>
      <c r="E253" s="2"/>
      <c r="F253" s="3">
        <f>IFERROR(__xludf.DUMMYFUNCTION("""COMPUTED_VALUE"""),60161.0)</f>
        <v>60161</v>
      </c>
      <c r="G253" s="2" t="str">
        <f>IFERROR(__xludf.DUMMYFUNCTION("""COMPUTED_VALUE"""),"Balistha Hydropower P Ltd")</f>
        <v>Balistha Hydropower P Ltd</v>
      </c>
      <c r="H253" s="2"/>
      <c r="I253" s="2" t="str">
        <f>IFERROR(__xludf.DUMMYFUNCTION("""COMPUTED_VALUE"""),"27o 31' 00""")</f>
        <v>27o 31' 00"</v>
      </c>
      <c r="J253" s="2" t="str">
        <f>IFERROR(__xludf.DUMMYFUNCTION("""COMPUTED_VALUE"""),"27o 32' 30""")</f>
        <v>27o 32' 30"</v>
      </c>
      <c r="K253" s="2" t="str">
        <f>IFERROR(__xludf.DUMMYFUNCTION("""COMPUTED_VALUE"""),"85o 07' 00""")</f>
        <v>85o 07' 00"</v>
      </c>
      <c r="L253" s="2" t="str">
        <f>IFERROR(__xludf.DUMMYFUNCTION("""COMPUTED_VALUE"""),"85o 08' 00""")</f>
        <v>85o 08' 00"</v>
      </c>
      <c r="M253" s="2" t="str">
        <f>IFERROR(__xludf.DUMMYFUNCTION("""COMPUTED_VALUE"""),"(Makawanpur)")</f>
        <v>(Makawanpur)</v>
      </c>
    </row>
    <row r="254">
      <c r="A254" s="2">
        <f>IFERROR(__xludf.DUMMYFUNCTION("""COMPUTED_VALUE"""),253.0)</f>
        <v>253</v>
      </c>
      <c r="B254" s="2" t="str">
        <f>IFERROR(__xludf.DUMMYFUNCTION("""COMPUTED_VALUE"""),"Upper Bhotekoshi A")</f>
        <v>Upper Bhotekoshi A</v>
      </c>
      <c r="C254" s="2">
        <f>IFERROR(__xludf.DUMMYFUNCTION("""COMPUTED_VALUE"""),18.0)</f>
        <v>18</v>
      </c>
      <c r="D254" s="2" t="str">
        <f>IFERROR(__xludf.DUMMYFUNCTION("""COMPUTED_VALUE"""),"Bhote Koshi")</f>
        <v>Bhote Koshi</v>
      </c>
      <c r="E254" s="2"/>
      <c r="F254" s="3">
        <f>IFERROR(__xludf.DUMMYFUNCTION("""COMPUTED_VALUE"""),60161.0)</f>
        <v>60161</v>
      </c>
      <c r="G254" s="2" t="str">
        <f>IFERROR(__xludf.DUMMYFUNCTION("""COMPUTED_VALUE"""),"Bimalnath Pande")</f>
        <v>Bimalnath Pande</v>
      </c>
      <c r="H254" s="2" t="str">
        <f>IFERROR(__xludf.DUMMYFUNCTION("""COMPUTED_VALUE"""),"Dilli Bazar Kathmandu")</f>
        <v>Dilli Bazar Kathmandu</v>
      </c>
      <c r="I254" s="2" t="str">
        <f>IFERROR(__xludf.DUMMYFUNCTION("""COMPUTED_VALUE"""),"27o 56' 31""")</f>
        <v>27o 56' 31"</v>
      </c>
      <c r="J254" s="2" t="str">
        <f>IFERROR(__xludf.DUMMYFUNCTION("""COMPUTED_VALUE"""),"27o 59' 21""")</f>
        <v>27o 59' 21"</v>
      </c>
      <c r="K254" s="2" t="str">
        <f>IFERROR(__xludf.DUMMYFUNCTION("""COMPUTED_VALUE"""),"85o 55' 00""")</f>
        <v>85o 55' 00"</v>
      </c>
      <c r="L254" s="2" t="str">
        <f>IFERROR(__xludf.DUMMYFUNCTION("""COMPUTED_VALUE"""),"85o 58' 21""")</f>
        <v>85o 58' 21"</v>
      </c>
      <c r="M254" s="2" t="str">
        <f>IFERROR(__xludf.DUMMYFUNCTION("""COMPUTED_VALUE"""),"Tatopani (Sindhupalchok)")</f>
        <v>Tatopani (Sindhupalchok)</v>
      </c>
    </row>
    <row r="255">
      <c r="A255" s="2">
        <f>IFERROR(__xludf.DUMMYFUNCTION("""COMPUTED_VALUE"""),254.0)</f>
        <v>254</v>
      </c>
      <c r="B255" s="2" t="str">
        <f>IFERROR(__xludf.DUMMYFUNCTION("""COMPUTED_VALUE"""),"Upper Siban")</f>
        <v>Upper Siban</v>
      </c>
      <c r="C255" s="2">
        <f>IFERROR(__xludf.DUMMYFUNCTION("""COMPUTED_VALUE"""),0.939)</f>
        <v>0.939</v>
      </c>
      <c r="D255" s="2" t="str">
        <f>IFERROR(__xludf.DUMMYFUNCTION("""COMPUTED_VALUE"""),"Siban")</f>
        <v>Siban</v>
      </c>
      <c r="E255" s="2"/>
      <c r="F255" s="3">
        <f>IFERROR(__xludf.DUMMYFUNCTION("""COMPUTED_VALUE"""),60161.0)</f>
        <v>60161</v>
      </c>
      <c r="G255" s="2" t="str">
        <f>IFERROR(__xludf.DUMMYFUNCTION("""COMPUTED_VALUE"""),"Sanjay Shrestha")</f>
        <v>Sanjay Shrestha</v>
      </c>
      <c r="H255" s="2"/>
      <c r="I255" s="2" t="str">
        <f>IFERROR(__xludf.DUMMYFUNCTION("""COMPUTED_VALUE"""),"28o 16' 22""")</f>
        <v>28o 16' 22"</v>
      </c>
      <c r="J255" s="2" t="str">
        <f>IFERROR(__xludf.DUMMYFUNCTION("""COMPUTED_VALUE"""),"28o 17' 30""")</f>
        <v>28o 17' 30"</v>
      </c>
      <c r="K255" s="2" t="str">
        <f>IFERROR(__xludf.DUMMYFUNCTION("""COMPUTED_VALUE"""),"82o 30' 41""")</f>
        <v>82o 30' 41"</v>
      </c>
      <c r="L255" s="2" t="str">
        <f>IFERROR(__xludf.DUMMYFUNCTION("""COMPUTED_VALUE"""),"82o 33' 00""")</f>
        <v>82o 33' 00"</v>
      </c>
      <c r="M255" s="2" t="str">
        <f>IFERROR(__xludf.DUMMYFUNCTION("""COMPUTED_VALUE"""),"(Rolpa)")</f>
        <v>(Rolpa)</v>
      </c>
    </row>
    <row r="256">
      <c r="A256" s="2">
        <f>IFERROR(__xludf.DUMMYFUNCTION("""COMPUTED_VALUE"""),255.0)</f>
        <v>255</v>
      </c>
      <c r="B256" s="2" t="str">
        <f>IFERROR(__xludf.DUMMYFUNCTION("""COMPUTED_VALUE"""),"Middle Lungri")</f>
        <v>Middle Lungri</v>
      </c>
      <c r="C256" s="2">
        <f>IFERROR(__xludf.DUMMYFUNCTION("""COMPUTED_VALUE"""),0.997)</f>
        <v>0.997</v>
      </c>
      <c r="D256" s="2" t="str">
        <f>IFERROR(__xludf.DUMMYFUNCTION("""COMPUTED_VALUE"""),"Lungri")</f>
        <v>Lungri</v>
      </c>
      <c r="E256" s="2"/>
      <c r="F256" s="3">
        <f>IFERROR(__xludf.DUMMYFUNCTION("""COMPUTED_VALUE"""),60161.0)</f>
        <v>60161</v>
      </c>
      <c r="G256" s="2" t="str">
        <f>IFERROR(__xludf.DUMMYFUNCTION("""COMPUTED_VALUE"""),"Rajani Malla")</f>
        <v>Rajani Malla</v>
      </c>
      <c r="H256" s="2"/>
      <c r="I256" s="2" t="str">
        <f>IFERROR(__xludf.DUMMYFUNCTION("""COMPUTED_VALUE"""),"28o 16' 31""")</f>
        <v>28o 16' 31"</v>
      </c>
      <c r="J256" s="2" t="str">
        <f>IFERROR(__xludf.DUMMYFUNCTION("""COMPUTED_VALUE"""),"28o 19' 14""")</f>
        <v>28o 19' 14"</v>
      </c>
      <c r="K256" s="2" t="str">
        <f>IFERROR(__xludf.DUMMYFUNCTION("""COMPUTED_VALUE"""),"82o 45' 23""")</f>
        <v>82o 45' 23"</v>
      </c>
      <c r="L256" s="2" t="str">
        <f>IFERROR(__xludf.DUMMYFUNCTION("""COMPUTED_VALUE"""),"82o 46' 36""")</f>
        <v>82o 46' 36"</v>
      </c>
      <c r="M256" s="2" t="str">
        <f>IFERROR(__xludf.DUMMYFUNCTION("""COMPUTED_VALUE"""),"(Rolpa)")</f>
        <v>(Rolpa)</v>
      </c>
    </row>
    <row r="257">
      <c r="A257" s="2">
        <f>IFERROR(__xludf.DUMMYFUNCTION("""COMPUTED_VALUE"""),256.0)</f>
        <v>256</v>
      </c>
      <c r="B257" s="2" t="str">
        <f>IFERROR(__xludf.DUMMYFUNCTION("""COMPUTED_VALUE"""),"Phagam Khola")</f>
        <v>Phagam Khola</v>
      </c>
      <c r="C257" s="2">
        <f>IFERROR(__xludf.DUMMYFUNCTION("""COMPUTED_VALUE"""),0.77)</f>
        <v>0.77</v>
      </c>
      <c r="D257" s="2" t="str">
        <f>IFERROR(__xludf.DUMMYFUNCTION("""COMPUTED_VALUE"""),"Phagam")</f>
        <v>Phagam</v>
      </c>
      <c r="E257" s="2"/>
      <c r="F257" s="3">
        <f>IFERROR(__xludf.DUMMYFUNCTION("""COMPUTED_VALUE"""),60161.0)</f>
        <v>60161</v>
      </c>
      <c r="G257" s="2" t="str">
        <f>IFERROR(__xludf.DUMMYFUNCTION("""COMPUTED_VALUE"""),"Akash Malla")</f>
        <v>Akash Malla</v>
      </c>
      <c r="H257" s="2"/>
      <c r="I257" s="2" t="str">
        <f>IFERROR(__xludf.DUMMYFUNCTION("""COMPUTED_VALUE"""),"28o 15' 00""")</f>
        <v>28o 15' 00"</v>
      </c>
      <c r="J257" s="2" t="str">
        <f>IFERROR(__xludf.DUMMYFUNCTION("""COMPUTED_VALUE"""),"28o 17' 30""")</f>
        <v>28o 17' 30"</v>
      </c>
      <c r="K257" s="2" t="str">
        <f>IFERROR(__xludf.DUMMYFUNCTION("""COMPUTED_VALUE"""),"82o 43' 53""")</f>
        <v>82o 43' 53"</v>
      </c>
      <c r="L257" s="2" t="str">
        <f>IFERROR(__xludf.DUMMYFUNCTION("""COMPUTED_VALUE"""),"82o 45' 24""")</f>
        <v>82o 45' 24"</v>
      </c>
      <c r="M257" s="2" t="str">
        <f>IFERROR(__xludf.DUMMYFUNCTION("""COMPUTED_VALUE"""),"(Rolpa)")</f>
        <v>(Rolpa)</v>
      </c>
    </row>
    <row r="258">
      <c r="A258" s="2">
        <f>IFERROR(__xludf.DUMMYFUNCTION("""COMPUTED_VALUE"""),257.0)</f>
        <v>257</v>
      </c>
      <c r="B258" s="2" t="str">
        <f>IFERROR(__xludf.DUMMYFUNCTION("""COMPUTED_VALUE"""),"Dodhare Khola")</f>
        <v>Dodhare Khola</v>
      </c>
      <c r="C258" s="2">
        <f>IFERROR(__xludf.DUMMYFUNCTION("""COMPUTED_VALUE"""),0.795)</f>
        <v>0.795</v>
      </c>
      <c r="D258" s="2" t="str">
        <f>IFERROR(__xludf.DUMMYFUNCTION("""COMPUTED_VALUE"""),"Dodhare")</f>
        <v>Dodhare</v>
      </c>
      <c r="E258" s="2"/>
      <c r="F258" s="3">
        <f>IFERROR(__xludf.DUMMYFUNCTION("""COMPUTED_VALUE"""),60161.0)</f>
        <v>60161</v>
      </c>
      <c r="G258" s="2" t="str">
        <f>IFERROR(__xludf.DUMMYFUNCTION("""COMPUTED_VALUE"""),"Balistha Hydropower P Ltd")</f>
        <v>Balistha Hydropower P Ltd</v>
      </c>
      <c r="H258" s="2"/>
      <c r="I258" s="2" t="str">
        <f>IFERROR(__xludf.DUMMYFUNCTION("""COMPUTED_VALUE"""),"27o 33' 30""")</f>
        <v>27o 33' 30"</v>
      </c>
      <c r="J258" s="2" t="str">
        <f>IFERROR(__xludf.DUMMYFUNCTION("""COMPUTED_VALUE"""),"27o 35' 05""")</f>
        <v>27o 35' 05"</v>
      </c>
      <c r="K258" s="2" t="str">
        <f>IFERROR(__xludf.DUMMYFUNCTION("""COMPUTED_VALUE"""),"85o 12' 45""")</f>
        <v>85o 12' 45"</v>
      </c>
      <c r="L258" s="2" t="str">
        <f>IFERROR(__xludf.DUMMYFUNCTION("""COMPUTED_VALUE"""),"85o 14' 00""")</f>
        <v>85o 14' 00"</v>
      </c>
      <c r="M258" s="2" t="str">
        <f>IFERROR(__xludf.DUMMYFUNCTION("""COMPUTED_VALUE"""),"(Makawanpur)")</f>
        <v>(Makawanpur)</v>
      </c>
    </row>
    <row r="259">
      <c r="A259" s="2">
        <f>IFERROR(__xludf.DUMMYFUNCTION("""COMPUTED_VALUE"""),258.0)</f>
        <v>258</v>
      </c>
      <c r="B259" s="2" t="str">
        <f>IFERROR(__xludf.DUMMYFUNCTION("""COMPUTED_VALUE"""),"Likhu V")</f>
        <v>Likhu V</v>
      </c>
      <c r="C259" s="2">
        <f>IFERROR(__xludf.DUMMYFUNCTION("""COMPUTED_VALUE"""),24.0)</f>
        <v>24</v>
      </c>
      <c r="D259" s="2" t="str">
        <f>IFERROR(__xludf.DUMMYFUNCTION("""COMPUTED_VALUE"""),"Likhu Khola")</f>
        <v>Likhu Khola</v>
      </c>
      <c r="E259" s="2"/>
      <c r="F259" s="3">
        <f>IFERROR(__xludf.DUMMYFUNCTION("""COMPUTED_VALUE"""),60161.0)</f>
        <v>60161</v>
      </c>
      <c r="G259" s="2" t="str">
        <f>IFERROR(__xludf.DUMMYFUNCTION("""COMPUTED_VALUE"""),"New Vision Hydropower P Ltd")</f>
        <v>New Vision Hydropower P Ltd</v>
      </c>
      <c r="H259" s="2"/>
      <c r="I259" s="2" t="str">
        <f>IFERROR(__xludf.DUMMYFUNCTION("""COMPUTED_VALUE"""),"00o 00' 00""")</f>
        <v>00o 00' 00"</v>
      </c>
      <c r="J259" s="2" t="str">
        <f>IFERROR(__xludf.DUMMYFUNCTION("""COMPUTED_VALUE"""),"00o 00' 00""")</f>
        <v>00o 00' 00"</v>
      </c>
      <c r="K259" s="2" t="str">
        <f>IFERROR(__xludf.DUMMYFUNCTION("""COMPUTED_VALUE"""),"00o 00' 00""")</f>
        <v>00o 00' 00"</v>
      </c>
      <c r="L259" s="2" t="str">
        <f>IFERROR(__xludf.DUMMYFUNCTION("""COMPUTED_VALUE"""),"00o 00' 00""")</f>
        <v>00o 00' 00"</v>
      </c>
      <c r="M259" s="2" t="str">
        <f>IFERROR(__xludf.DUMMYFUNCTION("""COMPUTED_VALUE"""),"(Ramechhap)")</f>
        <v>(Ramechhap)</v>
      </c>
    </row>
    <row r="260">
      <c r="A260" s="2">
        <f>IFERROR(__xludf.DUMMYFUNCTION("""COMPUTED_VALUE"""),259.0)</f>
        <v>259</v>
      </c>
      <c r="B260" s="2" t="str">
        <f>IFERROR(__xludf.DUMMYFUNCTION("""COMPUTED_VALUE"""),"Upper Lungri")</f>
        <v>Upper Lungri</v>
      </c>
      <c r="C260" s="2">
        <f>IFERROR(__xludf.DUMMYFUNCTION("""COMPUTED_VALUE"""),0.975)</f>
        <v>0.975</v>
      </c>
      <c r="D260" s="2" t="str">
        <f>IFERROR(__xludf.DUMMYFUNCTION("""COMPUTED_VALUE"""),"Lungri")</f>
        <v>Lungri</v>
      </c>
      <c r="E260" s="2"/>
      <c r="F260" s="3">
        <f>IFERROR(__xludf.DUMMYFUNCTION("""COMPUTED_VALUE"""),60161.0)</f>
        <v>60161</v>
      </c>
      <c r="G260" s="2" t="str">
        <f>IFERROR(__xludf.DUMMYFUNCTION("""COMPUTED_VALUE"""),"Suju Malla")</f>
        <v>Suju Malla</v>
      </c>
      <c r="H260" s="2"/>
      <c r="I260" s="2" t="str">
        <f>IFERROR(__xludf.DUMMYFUNCTION("""COMPUTED_VALUE"""),"28o 19' 14""")</f>
        <v>28o 19' 14"</v>
      </c>
      <c r="J260" s="2" t="str">
        <f>IFERROR(__xludf.DUMMYFUNCTION("""COMPUTED_VALUE"""),"28o 22' 30""")</f>
        <v>28o 22' 30"</v>
      </c>
      <c r="K260" s="2" t="str">
        <f>IFERROR(__xludf.DUMMYFUNCTION("""COMPUTED_VALUE"""),"82o 46' 36""")</f>
        <v>82o 46' 36"</v>
      </c>
      <c r="L260" s="2" t="str">
        <f>IFERROR(__xludf.DUMMYFUNCTION("""COMPUTED_VALUE"""),"82o 49' 00""")</f>
        <v>82o 49' 00"</v>
      </c>
      <c r="M260" s="2" t="str">
        <f>IFERROR(__xludf.DUMMYFUNCTION("""COMPUTED_VALUE"""),"(Rolpa)")</f>
        <v>(Rolpa)</v>
      </c>
    </row>
    <row r="261">
      <c r="A261" s="2">
        <f>IFERROR(__xludf.DUMMYFUNCTION("""COMPUTED_VALUE"""),260.0)</f>
        <v>260</v>
      </c>
      <c r="B261" s="2" t="str">
        <f>IFERROR(__xludf.DUMMYFUNCTION("""COMPUTED_VALUE"""),"Kisedi Khola")</f>
        <v>Kisedi Khola</v>
      </c>
      <c r="C261" s="2">
        <f>IFERROR(__xludf.DUMMYFUNCTION("""COMPUTED_VALUE"""),0.75)</f>
        <v>0.75</v>
      </c>
      <c r="D261" s="2" t="str">
        <f>IFERROR(__xludf.DUMMYFUNCTION("""COMPUTED_VALUE"""),"Kisedi Khola")</f>
        <v>Kisedi Khola</v>
      </c>
      <c r="E261" s="2"/>
      <c r="F261" s="3">
        <f>IFERROR(__xludf.DUMMYFUNCTION("""COMPUTED_VALUE"""),60161.0)</f>
        <v>60161</v>
      </c>
      <c r="G261" s="2" t="str">
        <f>IFERROR(__xludf.DUMMYFUNCTION("""COMPUTED_VALUE"""),"Jagdish Babu Shrestha")</f>
        <v>Jagdish Babu Shrestha</v>
      </c>
      <c r="H261" s="2"/>
      <c r="I261" s="2" t="str">
        <f>IFERROR(__xludf.DUMMYFUNCTION("""COMPUTED_VALUE"""),"28o 10' 30""")</f>
        <v>28o 10' 30"</v>
      </c>
      <c r="J261" s="2" t="str">
        <f>IFERROR(__xludf.DUMMYFUNCTION("""COMPUTED_VALUE"""),"28o 14' 00""")</f>
        <v>28o 14' 00"</v>
      </c>
      <c r="K261" s="2" t="str">
        <f>IFERROR(__xludf.DUMMYFUNCTION("""COMPUTED_VALUE"""),"84o 28' 30""")</f>
        <v>84o 28' 30"</v>
      </c>
      <c r="L261" s="2" t="str">
        <f>IFERROR(__xludf.DUMMYFUNCTION("""COMPUTED_VALUE"""),"84o 31' 00""")</f>
        <v>84o 31' 00"</v>
      </c>
      <c r="M261" s="2" t="str">
        <f>IFERROR(__xludf.DUMMYFUNCTION("""COMPUTED_VALUE"""),"(Lamjung)")</f>
        <v>(Lamjung)</v>
      </c>
    </row>
    <row r="262">
      <c r="A262" s="2">
        <f>IFERROR(__xludf.DUMMYFUNCTION("""COMPUTED_VALUE"""),261.0)</f>
        <v>261</v>
      </c>
      <c r="B262" s="2" t="str">
        <f>IFERROR(__xludf.DUMMYFUNCTION("""COMPUTED_VALUE"""),"Mudi Khola")</f>
        <v>Mudi Khola</v>
      </c>
      <c r="C262" s="2">
        <f>IFERROR(__xludf.DUMMYFUNCTION("""COMPUTED_VALUE"""),1.0)</f>
        <v>1</v>
      </c>
      <c r="D262" s="2" t="str">
        <f>IFERROR(__xludf.DUMMYFUNCTION("""COMPUTED_VALUE"""),"Mudi Khola")</f>
        <v>Mudi Khola</v>
      </c>
      <c r="E262" s="2"/>
      <c r="F262" s="3">
        <f>IFERROR(__xludf.DUMMYFUNCTION("""COMPUTED_VALUE"""),60162.0)</f>
        <v>60162</v>
      </c>
      <c r="G262" s="2" t="str">
        <f>IFERROR(__xludf.DUMMYFUNCTION("""COMPUTED_VALUE"""),"Bhim Lal Gautam")</f>
        <v>Bhim Lal Gautam</v>
      </c>
      <c r="H262" s="2"/>
      <c r="I262" s="2" t="str">
        <f>IFERROR(__xludf.DUMMYFUNCTION("""COMPUTED_VALUE"""),"28o 31' 19""")</f>
        <v>28o 31' 19"</v>
      </c>
      <c r="J262" s="2" t="str">
        <f>IFERROR(__xludf.DUMMYFUNCTION("""COMPUTED_VALUE"""),"28o 34' 06""")</f>
        <v>28o 34' 06"</v>
      </c>
      <c r="K262" s="2" t="str">
        <f>IFERROR(__xludf.DUMMYFUNCTION("""COMPUTED_VALUE"""),"83o 19' 23""")</f>
        <v>83o 19' 23"</v>
      </c>
      <c r="L262" s="2" t="str">
        <f>IFERROR(__xludf.DUMMYFUNCTION("""COMPUTED_VALUE"""),"83o 21' 44""")</f>
        <v>83o 21' 44"</v>
      </c>
      <c r="M262" s="2" t="str">
        <f>IFERROR(__xludf.DUMMYFUNCTION("""COMPUTED_VALUE"""),"(Myagdi)")</f>
        <v>(Myagdi)</v>
      </c>
    </row>
    <row r="263">
      <c r="A263" s="2">
        <f>IFERROR(__xludf.DUMMYFUNCTION("""COMPUTED_VALUE"""),262.0)</f>
        <v>262</v>
      </c>
      <c r="B263" s="2" t="str">
        <f>IFERROR(__xludf.DUMMYFUNCTION("""COMPUTED_VALUE"""),"Super Hewa")</f>
        <v>Super Hewa</v>
      </c>
      <c r="C263" s="2">
        <f>IFERROR(__xludf.DUMMYFUNCTION("""COMPUTED_VALUE"""),0.99)</f>
        <v>0.99</v>
      </c>
      <c r="D263" s="2" t="str">
        <f>IFERROR(__xludf.DUMMYFUNCTION("""COMPUTED_VALUE"""),"Hewa Khola")</f>
        <v>Hewa Khola</v>
      </c>
      <c r="E263" s="2"/>
      <c r="F263" s="3">
        <f>IFERROR(__xludf.DUMMYFUNCTION("""COMPUTED_VALUE"""),60162.0)</f>
        <v>60162</v>
      </c>
      <c r="G263" s="2" t="str">
        <f>IFERROR(__xludf.DUMMYFUNCTION("""COMPUTED_VALUE"""),"Dayanidhi Guragai")</f>
        <v>Dayanidhi Guragai</v>
      </c>
      <c r="H263" s="2"/>
      <c r="I263" s="2" t="str">
        <f>IFERROR(__xludf.DUMMYFUNCTION("""COMPUTED_VALUE"""),"27o 21' 02""")</f>
        <v>27o 21' 02"</v>
      </c>
      <c r="J263" s="2" t="str">
        <f>IFERROR(__xludf.DUMMYFUNCTION("""COMPUTED_VALUE"""),"27o 22' 20""")</f>
        <v>27o 22' 20"</v>
      </c>
      <c r="K263" s="2" t="str">
        <f>IFERROR(__xludf.DUMMYFUNCTION("""COMPUTED_VALUE"""),"87o 21' 48""")</f>
        <v>87o 21' 48"</v>
      </c>
      <c r="L263" s="2" t="str">
        <f>IFERROR(__xludf.DUMMYFUNCTION("""COMPUTED_VALUE"""),"87o 25' 00""")</f>
        <v>87o 25' 00"</v>
      </c>
      <c r="M263" s="2" t="str">
        <f>IFERROR(__xludf.DUMMYFUNCTION("""COMPUTED_VALUE"""),"(Sankhuwasabha)")</f>
        <v>(Sankhuwasabha)</v>
      </c>
    </row>
    <row r="264">
      <c r="A264" s="2">
        <f>IFERROR(__xludf.DUMMYFUNCTION("""COMPUTED_VALUE"""),263.0)</f>
        <v>263</v>
      </c>
      <c r="B264" s="2" t="str">
        <f>IFERROR(__xludf.DUMMYFUNCTION("""COMPUTED_VALUE"""),"Bagar Khola")</f>
        <v>Bagar Khola</v>
      </c>
      <c r="C264" s="2">
        <f>IFERROR(__xludf.DUMMYFUNCTION("""COMPUTED_VALUE"""),4.32)</f>
        <v>4.32</v>
      </c>
      <c r="D264" s="2" t="str">
        <f>IFERROR(__xludf.DUMMYFUNCTION("""COMPUTED_VALUE"""),"Bagar Khola")</f>
        <v>Bagar Khola</v>
      </c>
      <c r="E264" s="2"/>
      <c r="F264" s="3">
        <f>IFERROR(__xludf.DUMMYFUNCTION("""COMPUTED_VALUE"""),60165.0)</f>
        <v>60165</v>
      </c>
      <c r="G264" s="2" t="str">
        <f>IFERROR(__xludf.DUMMYFUNCTION("""COMPUTED_VALUE"""),"Tundi ConstructionCo. P. Ltd.")</f>
        <v>Tundi ConstructionCo. P. Ltd.</v>
      </c>
      <c r="H264" s="2"/>
      <c r="I264" s="2" t="str">
        <f>IFERROR(__xludf.DUMMYFUNCTION("""COMPUTED_VALUE"""),"28o 28' 15""")</f>
        <v>28o 28' 15"</v>
      </c>
      <c r="J264" s="2" t="str">
        <f>IFERROR(__xludf.DUMMYFUNCTION("""COMPUTED_VALUE"""),"28o 30' 00""")</f>
        <v>28o 30' 00"</v>
      </c>
      <c r="K264" s="2" t="str">
        <f>IFERROR(__xludf.DUMMYFUNCTION("""COMPUTED_VALUE"""),"83o 31' 00""")</f>
        <v>83o 31' 00"</v>
      </c>
      <c r="L264" s="2" t="str">
        <f>IFERROR(__xludf.DUMMYFUNCTION("""COMPUTED_VALUE"""),"83o 32' 50""")</f>
        <v>83o 32' 50"</v>
      </c>
      <c r="M264" s="2" t="str">
        <f>IFERROR(__xludf.DUMMYFUNCTION("""COMPUTED_VALUE"""),"(Myagdi)")</f>
        <v>(Myagdi)</v>
      </c>
    </row>
    <row r="265">
      <c r="A265" s="2">
        <f>IFERROR(__xludf.DUMMYFUNCTION("""COMPUTED_VALUE"""),264.0)</f>
        <v>264</v>
      </c>
      <c r="B265" s="2" t="str">
        <f>IFERROR(__xludf.DUMMYFUNCTION("""COMPUTED_VALUE"""),"Khortar Khola")</f>
        <v>Khortar Khola</v>
      </c>
      <c r="C265" s="2">
        <f>IFERROR(__xludf.DUMMYFUNCTION("""COMPUTED_VALUE"""),1.5)</f>
        <v>1.5</v>
      </c>
      <c r="D265" s="2" t="str">
        <f>IFERROR(__xludf.DUMMYFUNCTION("""COMPUTED_VALUE"""),"Manahari")</f>
        <v>Manahari</v>
      </c>
      <c r="E265" s="2">
        <f>IFERROR(__xludf.DUMMYFUNCTION("""COMPUTED_VALUE"""),1588.0)</f>
        <v>1588</v>
      </c>
      <c r="F265" s="3">
        <f>IFERROR(__xludf.DUMMYFUNCTION("""COMPUTED_VALUE"""),60165.0)</f>
        <v>60165</v>
      </c>
      <c r="G265" s="2" t="str">
        <f>IFERROR(__xludf.DUMMYFUNCTION("""COMPUTED_VALUE"""),"Tundi ConstructionCo. P. Ltd.")</f>
        <v>Tundi ConstructionCo. P. Ltd.</v>
      </c>
      <c r="H265" s="2" t="str">
        <f>IFERROR(__xludf.DUMMYFUNCTION("""COMPUTED_VALUE"""),"Sanepa-3, Lalitpur Tel 5555573")</f>
        <v>Sanepa-3, Lalitpur Tel 5555573</v>
      </c>
      <c r="I265" s="2" t="str">
        <f>IFERROR(__xludf.DUMMYFUNCTION("""COMPUTED_VALUE"""),"27o 26' 45""")</f>
        <v>27o 26' 45"</v>
      </c>
      <c r="J265" s="2" t="str">
        <f>IFERROR(__xludf.DUMMYFUNCTION("""COMPUTED_VALUE"""),"27o 29' 30""")</f>
        <v>27o 29' 30"</v>
      </c>
      <c r="K265" s="2" t="str">
        <f>IFERROR(__xludf.DUMMYFUNCTION("""COMPUTED_VALUE"""),"85o 07' 30""")</f>
        <v>85o 07' 30"</v>
      </c>
      <c r="L265" s="2" t="str">
        <f>IFERROR(__xludf.DUMMYFUNCTION("""COMPUTED_VALUE"""),"85o 09' 38""")</f>
        <v>85o 09' 38"</v>
      </c>
      <c r="M265" s="2" t="str">
        <f>IFERROR(__xludf.DUMMYFUNCTION("""COMPUTED_VALUE"""),"(Makawanpur)")</f>
        <v>(Makawanpur)</v>
      </c>
    </row>
    <row r="266">
      <c r="A266" s="2">
        <f>IFERROR(__xludf.DUMMYFUNCTION("""COMPUTED_VALUE"""),265.0)</f>
        <v>265</v>
      </c>
      <c r="B266" s="2" t="str">
        <f>IFERROR(__xludf.DUMMYFUNCTION("""COMPUTED_VALUE"""),"Bhujung Uttar Kanya")</f>
        <v>Bhujung Uttar Kanya</v>
      </c>
      <c r="C266" s="2">
        <f>IFERROR(__xludf.DUMMYFUNCTION("""COMPUTED_VALUE"""),5.0)</f>
        <v>5</v>
      </c>
      <c r="D266" s="2" t="str">
        <f>IFERROR(__xludf.DUMMYFUNCTION("""COMPUTED_VALUE"""),"Bhujung")</f>
        <v>Bhujung</v>
      </c>
      <c r="E266" s="2"/>
      <c r="F266" s="3">
        <f>IFERROR(__xludf.DUMMYFUNCTION("""COMPUTED_VALUE"""),60168.0)</f>
        <v>60168</v>
      </c>
      <c r="G266" s="2" t="str">
        <f>IFERROR(__xludf.DUMMYFUNCTION("""COMPUTED_VALUE"""),"Sankarlal Vaidya")</f>
        <v>Sankarlal Vaidya</v>
      </c>
      <c r="H266" s="2"/>
      <c r="I266" s="2" t="str">
        <f>IFERROR(__xludf.DUMMYFUNCTION("""COMPUTED_VALUE"""),"28o 15' 00""")</f>
        <v>28o 15' 00"</v>
      </c>
      <c r="J266" s="2" t="str">
        <f>IFERROR(__xludf.DUMMYFUNCTION("""COMPUTED_VALUE"""),"28o 19' 15""")</f>
        <v>28o 19' 15"</v>
      </c>
      <c r="K266" s="2" t="str">
        <f>IFERROR(__xludf.DUMMYFUNCTION("""COMPUTED_VALUE"""),"84o 15' 00""")</f>
        <v>84o 15' 00"</v>
      </c>
      <c r="L266" s="2" t="str">
        <f>IFERROR(__xludf.DUMMYFUNCTION("""COMPUTED_VALUE"""),"84o 19' 00""")</f>
        <v>84o 19' 00"</v>
      </c>
      <c r="M266" s="2" t="str">
        <f>IFERROR(__xludf.DUMMYFUNCTION("""COMPUTED_VALUE"""),"(Lamjung)")</f>
        <v>(Lamjung)</v>
      </c>
    </row>
    <row r="267">
      <c r="A267" s="2">
        <f>IFERROR(__xludf.DUMMYFUNCTION("""COMPUTED_VALUE"""),266.0)</f>
        <v>266</v>
      </c>
      <c r="B267" s="2" t="str">
        <f>IFERROR(__xludf.DUMMYFUNCTION("""COMPUTED_VALUE"""),"Bhujung")</f>
        <v>Bhujung</v>
      </c>
      <c r="C267" s="2">
        <f>IFERROR(__xludf.DUMMYFUNCTION("""COMPUTED_VALUE"""),3.3)</f>
        <v>3.3</v>
      </c>
      <c r="D267" s="2" t="str">
        <f>IFERROR(__xludf.DUMMYFUNCTION("""COMPUTED_VALUE"""),"Bhujung")</f>
        <v>Bhujung</v>
      </c>
      <c r="E267" s="2"/>
      <c r="F267" s="3">
        <f>IFERROR(__xludf.DUMMYFUNCTION("""COMPUTED_VALUE"""),60168.0)</f>
        <v>60168</v>
      </c>
      <c r="G267" s="2" t="str">
        <f>IFERROR(__xludf.DUMMYFUNCTION("""COMPUTED_VALUE"""),"Sankarlal Vaidya")</f>
        <v>Sankarlal Vaidya</v>
      </c>
      <c r="H267" s="2"/>
      <c r="I267" s="2" t="str">
        <f>IFERROR(__xludf.DUMMYFUNCTION("""COMPUTED_VALUE"""),"28o 19' 20""")</f>
        <v>28o 19' 20"</v>
      </c>
      <c r="J267" s="2" t="str">
        <f>IFERROR(__xludf.DUMMYFUNCTION("""COMPUTED_VALUE"""),"28o 21' 30""")</f>
        <v>28o 21' 30"</v>
      </c>
      <c r="K267" s="2" t="str">
        <f>IFERROR(__xludf.DUMMYFUNCTION("""COMPUTED_VALUE"""),"84o 15' 00""")</f>
        <v>84o 15' 00"</v>
      </c>
      <c r="L267" s="2" t="str">
        <f>IFERROR(__xludf.DUMMYFUNCTION("""COMPUTED_VALUE"""),"84o 16' 30""")</f>
        <v>84o 16' 30"</v>
      </c>
      <c r="M267" s="2" t="str">
        <f>IFERROR(__xludf.DUMMYFUNCTION("""COMPUTED_VALUE"""),"(Lamjung)")</f>
        <v>(Lamjung)</v>
      </c>
    </row>
    <row r="268">
      <c r="A268" s="2">
        <f>IFERROR(__xludf.DUMMYFUNCTION("""COMPUTED_VALUE"""),267.0)</f>
        <v>267</v>
      </c>
      <c r="B268" s="2" t="str">
        <f>IFERROR(__xludf.DUMMYFUNCTION("""COMPUTED_VALUE"""),"Lower Badigad")</f>
        <v>Lower Badigad</v>
      </c>
      <c r="C268" s="2">
        <f>IFERROR(__xludf.DUMMYFUNCTION("""COMPUTED_VALUE"""),16.0)</f>
        <v>16</v>
      </c>
      <c r="D268" s="2" t="str">
        <f>IFERROR(__xludf.DUMMYFUNCTION("""COMPUTED_VALUE"""),"Badigad")</f>
        <v>Badigad</v>
      </c>
      <c r="E268" s="2"/>
      <c r="F268" s="3">
        <f>IFERROR(__xludf.DUMMYFUNCTION("""COMPUTED_VALUE"""),60168.0)</f>
        <v>60168</v>
      </c>
      <c r="G268" s="2" t="str">
        <f>IFERROR(__xludf.DUMMYFUNCTION("""COMPUTED_VALUE"""),"Shivam Hydropower P Ltd &amp; Gajadhar Sapkota")</f>
        <v>Shivam Hydropower P Ltd &amp; Gajadhar Sapkota</v>
      </c>
      <c r="H268" s="2"/>
      <c r="I268" s="2" t="str">
        <f>IFERROR(__xludf.DUMMYFUNCTION("""COMPUTED_VALUE"""),"27o 57' 52""")</f>
        <v>27o 57' 52"</v>
      </c>
      <c r="J268" s="2" t="str">
        <f>IFERROR(__xludf.DUMMYFUNCTION("""COMPUTED_VALUE"""),"28o 00' 47""")</f>
        <v>28o 00' 47"</v>
      </c>
      <c r="K268" s="2" t="str">
        <f>IFERROR(__xludf.DUMMYFUNCTION("""COMPUTED_VALUE"""),"83o 26' 03""")</f>
        <v>83o 26' 03"</v>
      </c>
      <c r="L268" s="2" t="str">
        <f>IFERROR(__xludf.DUMMYFUNCTION("""COMPUTED_VALUE"""),"83o 28' 56""")</f>
        <v>83o 28' 56"</v>
      </c>
      <c r="M268" s="2" t="str">
        <f>IFERROR(__xludf.DUMMYFUNCTION("""COMPUTED_VALUE"""),"(gulmi)")</f>
        <v>(gulmi)</v>
      </c>
    </row>
    <row r="269">
      <c r="A269" s="2">
        <f>IFERROR(__xludf.DUMMYFUNCTION("""COMPUTED_VALUE"""),268.0)</f>
        <v>268</v>
      </c>
      <c r="B269" s="2" t="str">
        <f>IFERROR(__xludf.DUMMYFUNCTION("""COMPUTED_VALUE"""),"Upper Iwa Khola-A")</f>
        <v>Upper Iwa Khola-A</v>
      </c>
      <c r="C269" s="2">
        <f>IFERROR(__xludf.DUMMYFUNCTION("""COMPUTED_VALUE"""),6.0)</f>
        <v>6</v>
      </c>
      <c r="D269" s="2" t="str">
        <f>IFERROR(__xludf.DUMMYFUNCTION("""COMPUTED_VALUE"""),"Iwa Khola")</f>
        <v>Iwa Khola</v>
      </c>
      <c r="E269" s="2"/>
      <c r="F269" s="3">
        <f>IFERROR(__xludf.DUMMYFUNCTION("""COMPUTED_VALUE"""),60168.0)</f>
        <v>60168</v>
      </c>
      <c r="G269" s="2" t="str">
        <f>IFERROR(__xludf.DUMMYFUNCTION("""COMPUTED_VALUE"""),"Gongotri Hydropower P Ltd")</f>
        <v>Gongotri Hydropower P Ltd</v>
      </c>
      <c r="H269" s="2"/>
      <c r="I269" s="2" t="str">
        <f>IFERROR(__xludf.DUMMYFUNCTION("""COMPUTED_VALUE"""),"27o 16' 24""")</f>
        <v>27o 16' 24"</v>
      </c>
      <c r="J269" s="2" t="str">
        <f>IFERROR(__xludf.DUMMYFUNCTION("""COMPUTED_VALUE"""),"27o 19' 40""")</f>
        <v>27o 19' 40"</v>
      </c>
      <c r="K269" s="2" t="str">
        <f>IFERROR(__xludf.DUMMYFUNCTION("""COMPUTED_VALUE"""),"87o 55' 45""")</f>
        <v>87o 55' 45"</v>
      </c>
      <c r="L269" s="2" t="str">
        <f>IFERROR(__xludf.DUMMYFUNCTION("""COMPUTED_VALUE"""),"88o 00' 00""")</f>
        <v>88o 00' 00"</v>
      </c>
      <c r="M269" s="2" t="str">
        <f>IFERROR(__xludf.DUMMYFUNCTION("""COMPUTED_VALUE"""),"(Taplejung)")</f>
        <v>(Taplejung)</v>
      </c>
    </row>
    <row r="270">
      <c r="A270" s="2">
        <f>IFERROR(__xludf.DUMMYFUNCTION("""COMPUTED_VALUE"""),269.0)</f>
        <v>269</v>
      </c>
      <c r="B270" s="2" t="str">
        <f>IFERROR(__xludf.DUMMYFUNCTION("""COMPUTED_VALUE"""),"Marsyangdi-Bagarchhap")</f>
        <v>Marsyangdi-Bagarchhap</v>
      </c>
      <c r="C270" s="2">
        <f>IFERROR(__xludf.DUMMYFUNCTION("""COMPUTED_VALUE"""),60.0)</f>
        <v>60</v>
      </c>
      <c r="D270" s="2" t="str">
        <f>IFERROR(__xludf.DUMMYFUNCTION("""COMPUTED_VALUE"""),"Marsyangdi")</f>
        <v>Marsyangdi</v>
      </c>
      <c r="E270" s="2"/>
      <c r="F270" s="3">
        <f>IFERROR(__xludf.DUMMYFUNCTION("""COMPUTED_VALUE"""),60168.0)</f>
        <v>60168</v>
      </c>
      <c r="G270" s="2" t="str">
        <f>IFERROR(__xludf.DUMMYFUNCTION("""COMPUTED_VALUE"""),"Energy Development Services P Ltd")</f>
        <v>Energy Development Services P Ltd</v>
      </c>
      <c r="H270" s="2"/>
      <c r="I270" s="2" t="str">
        <f>IFERROR(__xludf.DUMMYFUNCTION("""COMPUTED_VALUE"""),"28o 31' 00""")</f>
        <v>28o 31' 00"</v>
      </c>
      <c r="J270" s="2" t="str">
        <f>IFERROR(__xludf.DUMMYFUNCTION("""COMPUTED_VALUE"""),"28o 32' 15""")</f>
        <v>28o 32' 15"</v>
      </c>
      <c r="K270" s="2" t="str">
        <f>IFERROR(__xludf.DUMMYFUNCTION("""COMPUTED_VALUE"""),"84o 18' 30""")</f>
        <v>84o 18' 30"</v>
      </c>
      <c r="L270" s="2" t="str">
        <f>IFERROR(__xludf.DUMMYFUNCTION("""COMPUTED_VALUE"""),"84o 22' 15""")</f>
        <v>84o 22' 15"</v>
      </c>
      <c r="M270" s="2" t="str">
        <f>IFERROR(__xludf.DUMMYFUNCTION("""COMPUTED_VALUE"""),"(Manang)")</f>
        <v>(Manang)</v>
      </c>
    </row>
    <row r="271">
      <c r="A271" s="2">
        <f>IFERROR(__xludf.DUMMYFUNCTION("""COMPUTED_VALUE"""),270.0)</f>
        <v>270</v>
      </c>
      <c r="B271" s="2" t="str">
        <f>IFERROR(__xludf.DUMMYFUNCTION("""COMPUTED_VALUE"""),"Shyam Khola")</f>
        <v>Shyam Khola</v>
      </c>
      <c r="C271" s="2">
        <f>IFERROR(__xludf.DUMMYFUNCTION("""COMPUTED_VALUE"""),0.99)</f>
        <v>0.99</v>
      </c>
      <c r="D271" s="2" t="str">
        <f>IFERROR(__xludf.DUMMYFUNCTION("""COMPUTED_VALUE"""),"Shyam")</f>
        <v>Shyam</v>
      </c>
      <c r="E271" s="2"/>
      <c r="F271" s="3">
        <f>IFERROR(__xludf.DUMMYFUNCTION("""COMPUTED_VALUE"""),60170.0)</f>
        <v>60170</v>
      </c>
      <c r="G271" s="2" t="str">
        <f>IFERROR(__xludf.DUMMYFUNCTION("""COMPUTED_VALUE"""),"Prabha Dhungel Pokhrel")</f>
        <v>Prabha Dhungel Pokhrel</v>
      </c>
      <c r="H271" s="2"/>
      <c r="I271" s="2" t="str">
        <f>IFERROR(__xludf.DUMMYFUNCTION("""COMPUTED_VALUE"""),"27o 19' 02""")</f>
        <v>27o 19' 02"</v>
      </c>
      <c r="J271" s="2" t="str">
        <f>IFERROR(__xludf.DUMMYFUNCTION("""COMPUTED_VALUE"""),"27o 20' 20""")</f>
        <v>27o 20' 20"</v>
      </c>
      <c r="K271" s="2" t="str">
        <f>IFERROR(__xludf.DUMMYFUNCTION("""COMPUTED_VALUE"""),"87o 04' 15""")</f>
        <v>87o 04' 15"</v>
      </c>
      <c r="L271" s="2" t="str">
        <f>IFERROR(__xludf.DUMMYFUNCTION("""COMPUTED_VALUE"""),"87o 05' 13""")</f>
        <v>87o 05' 13"</v>
      </c>
      <c r="M271" s="2" t="str">
        <f>IFERROR(__xludf.DUMMYFUNCTION("""COMPUTED_VALUE"""),"(Bhojpur)")</f>
        <v>(Bhojpur)</v>
      </c>
    </row>
    <row r="272">
      <c r="A272" s="2">
        <f>IFERROR(__xludf.DUMMYFUNCTION("""COMPUTED_VALUE"""),271.0)</f>
        <v>271</v>
      </c>
      <c r="B272" s="2" t="str">
        <f>IFERROR(__xludf.DUMMYFUNCTION("""COMPUTED_VALUE"""),"Labdi Khola")</f>
        <v>Labdi Khola</v>
      </c>
      <c r="C272" s="2">
        <f>IFERROR(__xludf.DUMMYFUNCTION("""COMPUTED_VALUE"""),0.99)</f>
        <v>0.99</v>
      </c>
      <c r="D272" s="2" t="str">
        <f>IFERROR(__xludf.DUMMYFUNCTION("""COMPUTED_VALUE"""),"Labdi")</f>
        <v>Labdi</v>
      </c>
      <c r="E272" s="2"/>
      <c r="F272" s="3">
        <f>IFERROR(__xludf.DUMMYFUNCTION("""COMPUTED_VALUE"""),60170.0)</f>
        <v>60170</v>
      </c>
      <c r="G272" s="2" t="str">
        <f>IFERROR(__xludf.DUMMYFUNCTION("""COMPUTED_VALUE"""),"Gajadhar Sapkota")</f>
        <v>Gajadhar Sapkota</v>
      </c>
      <c r="H272" s="2"/>
      <c r="I272" s="2" t="str">
        <f>IFERROR(__xludf.DUMMYFUNCTION("""COMPUTED_VALUE"""),"28o 12' 30""")</f>
        <v>28o 12' 30"</v>
      </c>
      <c r="J272" s="2" t="str">
        <f>IFERROR(__xludf.DUMMYFUNCTION("""COMPUTED_VALUE"""),"28o 15' 00""")</f>
        <v>28o 15' 00"</v>
      </c>
      <c r="K272" s="2" t="str">
        <f>IFERROR(__xludf.DUMMYFUNCTION("""COMPUTED_VALUE"""),"83o 15' 00""")</f>
        <v>83o 15' 00"</v>
      </c>
      <c r="L272" s="2" t="str">
        <f>IFERROR(__xludf.DUMMYFUNCTION("""COMPUTED_VALUE"""),"83o 17' 30""")</f>
        <v>83o 17' 30"</v>
      </c>
      <c r="M272" s="2" t="str">
        <f>IFERROR(__xludf.DUMMYFUNCTION("""COMPUTED_VALUE"""),"(Baglung)")</f>
        <v>(Baglung)</v>
      </c>
    </row>
    <row r="273">
      <c r="A273" s="2">
        <f>IFERROR(__xludf.DUMMYFUNCTION("""COMPUTED_VALUE"""),272.0)</f>
        <v>272</v>
      </c>
      <c r="B273" s="2" t="str">
        <f>IFERROR(__xludf.DUMMYFUNCTION("""COMPUTED_VALUE"""),"Judhum Khola")</f>
        <v>Judhum Khola</v>
      </c>
      <c r="C273" s="2">
        <f>IFERROR(__xludf.DUMMYFUNCTION("""COMPUTED_VALUE"""),0.98)</f>
        <v>0.98</v>
      </c>
      <c r="D273" s="2" t="str">
        <f>IFERROR(__xludf.DUMMYFUNCTION("""COMPUTED_VALUE"""),"Judhum")</f>
        <v>Judhum</v>
      </c>
      <c r="E273" s="2"/>
      <c r="F273" s="3">
        <f>IFERROR(__xludf.DUMMYFUNCTION("""COMPUTED_VALUE"""),60170.0)</f>
        <v>60170</v>
      </c>
      <c r="G273" s="2" t="str">
        <f>IFERROR(__xludf.DUMMYFUNCTION("""COMPUTED_VALUE"""),"Sunil Lal joshi")</f>
        <v>Sunil Lal joshi</v>
      </c>
      <c r="H273" s="2"/>
      <c r="I273" s="2" t="str">
        <f>IFERROR(__xludf.DUMMYFUNCTION("""COMPUTED_VALUE"""),"28o 13' 15""")</f>
        <v>28o 13' 15"</v>
      </c>
      <c r="J273" s="2" t="str">
        <f>IFERROR(__xludf.DUMMYFUNCTION("""COMPUTED_VALUE"""),"28o 13' 16""")</f>
        <v>28o 13' 16"</v>
      </c>
      <c r="K273" s="2" t="str">
        <f>IFERROR(__xludf.DUMMYFUNCTION("""COMPUTED_VALUE"""),"82o 43' 52""")</f>
        <v>82o 43' 52"</v>
      </c>
      <c r="L273" s="2" t="str">
        <f>IFERROR(__xludf.DUMMYFUNCTION("""COMPUTED_VALUE"""),"82o 46' 27""")</f>
        <v>82o 46' 27"</v>
      </c>
      <c r="M273" s="2" t="str">
        <f>IFERROR(__xludf.DUMMYFUNCTION("""COMPUTED_VALUE"""),"(Rolpa)")</f>
        <v>(Rolpa)</v>
      </c>
    </row>
    <row r="274">
      <c r="A274" s="2">
        <f>IFERROR(__xludf.DUMMYFUNCTION("""COMPUTED_VALUE"""),273.0)</f>
        <v>273</v>
      </c>
      <c r="B274" s="2" t="str">
        <f>IFERROR(__xludf.DUMMYFUNCTION("""COMPUTED_VALUE"""),"Nisti khola")</f>
        <v>Nisti khola</v>
      </c>
      <c r="C274" s="2">
        <f>IFERROR(__xludf.DUMMYFUNCTION("""COMPUTED_VALUE"""),0.95)</f>
        <v>0.95</v>
      </c>
      <c r="D274" s="2" t="str">
        <f>IFERROR(__xludf.DUMMYFUNCTION("""COMPUTED_VALUE"""),"Nisti Khola")</f>
        <v>Nisti Khola</v>
      </c>
      <c r="E274" s="2"/>
      <c r="F274" s="3">
        <f>IFERROR(__xludf.DUMMYFUNCTION("""COMPUTED_VALUE"""),60170.0)</f>
        <v>60170</v>
      </c>
      <c r="G274" s="2" t="str">
        <f>IFERROR(__xludf.DUMMYFUNCTION("""COMPUTED_VALUE"""),"Arun Manadhar")</f>
        <v>Arun Manadhar</v>
      </c>
      <c r="H274" s="2"/>
      <c r="I274" s="2" t="str">
        <f>IFERROR(__xludf.DUMMYFUNCTION("""COMPUTED_VALUE"""),"27o 27' 00""")</f>
        <v>27o 27' 00"</v>
      </c>
      <c r="J274" s="2" t="str">
        <f>IFERROR(__xludf.DUMMYFUNCTION("""COMPUTED_VALUE"""),"27o 30' 00""")</f>
        <v>27o 30' 00"</v>
      </c>
      <c r="K274" s="2" t="str">
        <f>IFERROR(__xludf.DUMMYFUNCTION("""COMPUTED_VALUE"""),"87o 05' 00""")</f>
        <v>87o 05' 00"</v>
      </c>
      <c r="L274" s="2" t="str">
        <f>IFERROR(__xludf.DUMMYFUNCTION("""COMPUTED_VALUE"""),"87o 37' 00""")</f>
        <v>87o 37' 00"</v>
      </c>
      <c r="M274" s="2" t="str">
        <f>IFERROR(__xludf.DUMMYFUNCTION("""COMPUTED_VALUE"""),"(Gulmi)")</f>
        <v>(Gulmi)</v>
      </c>
    </row>
    <row r="275">
      <c r="A275" s="2">
        <f>IFERROR(__xludf.DUMMYFUNCTION("""COMPUTED_VALUE"""),274.0)</f>
        <v>274</v>
      </c>
      <c r="B275" s="2" t="str">
        <f>IFERROR(__xludf.DUMMYFUNCTION("""COMPUTED_VALUE"""),"Shyam Khola")</f>
        <v>Shyam Khola</v>
      </c>
      <c r="C275" s="2">
        <f>IFERROR(__xludf.DUMMYFUNCTION("""COMPUTED_VALUE"""),0.98)</f>
        <v>0.98</v>
      </c>
      <c r="D275" s="2" t="str">
        <f>IFERROR(__xludf.DUMMYFUNCTION("""COMPUTED_VALUE"""),"Shyam")</f>
        <v>Shyam</v>
      </c>
      <c r="E275" s="2">
        <f>IFERROR(__xludf.DUMMYFUNCTION("""COMPUTED_VALUE"""),1632.0)</f>
        <v>1632</v>
      </c>
      <c r="F275" s="3">
        <f>IFERROR(__xludf.DUMMYFUNCTION("""COMPUTED_VALUE"""),60170.0)</f>
        <v>60170</v>
      </c>
      <c r="G275" s="2" t="str">
        <f>IFERROR(__xludf.DUMMYFUNCTION("""COMPUTED_VALUE"""),"Ayasta Pokhrel")</f>
        <v>Ayasta Pokhrel</v>
      </c>
      <c r="H275" s="2" t="str">
        <f>IFERROR(__xludf.DUMMYFUNCTION("""COMPUTED_VALUE"""),"Bijayapur VDC-14, Dharan")</f>
        <v>Bijayapur VDC-14, Dharan</v>
      </c>
      <c r="I275" s="2" t="str">
        <f>IFERROR(__xludf.DUMMYFUNCTION("""COMPUTED_VALUE"""),"27o 20' 20""")</f>
        <v>27o 20' 20"</v>
      </c>
      <c r="J275" s="2" t="str">
        <f>IFERROR(__xludf.DUMMYFUNCTION("""COMPUTED_VALUE"""),"27o 21' 17""")</f>
        <v>27o 21' 17"</v>
      </c>
      <c r="K275" s="2" t="str">
        <f>IFERROR(__xludf.DUMMYFUNCTION("""COMPUTED_VALUE"""),"87o 04' 15""")</f>
        <v>87o 04' 15"</v>
      </c>
      <c r="L275" s="2" t="str">
        <f>IFERROR(__xludf.DUMMYFUNCTION("""COMPUTED_VALUE"""),"87o 05' 04""")</f>
        <v>87o 05' 04"</v>
      </c>
      <c r="M275" s="2" t="str">
        <f>IFERROR(__xludf.DUMMYFUNCTION("""COMPUTED_VALUE"""),"Keemalung (Bhojpur)")</f>
        <v>Keemalung (Bhojpur)</v>
      </c>
    </row>
    <row r="276">
      <c r="A276" s="2">
        <f>IFERROR(__xludf.DUMMYFUNCTION("""COMPUTED_VALUE"""),275.0)</f>
        <v>275</v>
      </c>
      <c r="B276" s="2" t="str">
        <f>IFERROR(__xludf.DUMMYFUNCTION("""COMPUTED_VALUE"""),"Dona S")</f>
        <v>Dona S</v>
      </c>
      <c r="C276" s="2">
        <f>IFERROR(__xludf.DUMMYFUNCTION("""COMPUTED_VALUE"""),3.27)</f>
        <v>3.27</v>
      </c>
      <c r="D276" s="2" t="str">
        <f>IFERROR(__xludf.DUMMYFUNCTION("""COMPUTED_VALUE"""),"Dona Khola")</f>
        <v>Dona Khola</v>
      </c>
      <c r="E276" s="2"/>
      <c r="F276" s="3">
        <f>IFERROR(__xludf.DUMMYFUNCTION("""COMPUTED_VALUE"""),60171.0)</f>
        <v>60171</v>
      </c>
      <c r="G276" s="2" t="str">
        <f>IFERROR(__xludf.DUMMYFUNCTION("""COMPUTED_VALUE"""),"Bir Bdr Ghale &amp; Karma S. Wangchu Lama")</f>
        <v>Bir Bdr Ghale &amp; Karma S. Wangchu Lama</v>
      </c>
      <c r="H276" s="2"/>
      <c r="I276" s="2" t="str">
        <f>IFERROR(__xludf.DUMMYFUNCTION("""COMPUTED_VALUE"""),"28o 30' 30""")</f>
        <v>28o 30' 30"</v>
      </c>
      <c r="J276" s="2" t="str">
        <f>IFERROR(__xludf.DUMMYFUNCTION("""COMPUTED_VALUE"""),"28o 31' 30""")</f>
        <v>28o 31' 30"</v>
      </c>
      <c r="K276" s="2" t="str">
        <f>IFERROR(__xludf.DUMMYFUNCTION("""COMPUTED_VALUE"""),"84o 21' 40""")</f>
        <v>84o 21' 40"</v>
      </c>
      <c r="L276" s="2" t="str">
        <f>IFERROR(__xludf.DUMMYFUNCTION("""COMPUTED_VALUE"""),"84o 24' 30""")</f>
        <v>84o 24' 30"</v>
      </c>
      <c r="M276" s="2" t="str">
        <f>IFERROR(__xludf.DUMMYFUNCTION("""COMPUTED_VALUE"""),"(Manang)")</f>
        <v>(Manang)</v>
      </c>
    </row>
    <row r="277">
      <c r="A277" s="2">
        <f>IFERROR(__xludf.DUMMYFUNCTION("""COMPUTED_VALUE"""),276.0)</f>
        <v>276</v>
      </c>
      <c r="B277" s="2" t="str">
        <f>IFERROR(__xludf.DUMMYFUNCTION("""COMPUTED_VALUE"""),"Gola Arun")</f>
        <v>Gola Arun</v>
      </c>
      <c r="C277" s="2">
        <f>IFERROR(__xludf.DUMMYFUNCTION("""COMPUTED_VALUE"""),90.0)</f>
        <v>90</v>
      </c>
      <c r="D277" s="2" t="str">
        <f>IFERROR(__xludf.DUMMYFUNCTION("""COMPUTED_VALUE"""),"Arun")</f>
        <v>Arun</v>
      </c>
      <c r="E277" s="2"/>
      <c r="F277" s="3">
        <f>IFERROR(__xludf.DUMMYFUNCTION("""COMPUTED_VALUE"""),60171.0)</f>
        <v>60171</v>
      </c>
      <c r="G277" s="2" t="str">
        <f>IFERROR(__xludf.DUMMYFUNCTION("""COMPUTED_VALUE"""),"Kamet Agrofarms Pvt Ltd")</f>
        <v>Kamet Agrofarms Pvt Ltd</v>
      </c>
      <c r="H277" s="2"/>
      <c r="I277" s="2" t="str">
        <f>IFERROR(__xludf.DUMMYFUNCTION("""COMPUTED_VALUE"""),"27o 34' 00""")</f>
        <v>27o 34' 00"</v>
      </c>
      <c r="J277" s="2" t="str">
        <f>IFERROR(__xludf.DUMMYFUNCTION("""COMPUTED_VALUE"""),"27o 40' 00""")</f>
        <v>27o 40' 00"</v>
      </c>
      <c r="K277" s="2" t="str">
        <f>IFERROR(__xludf.DUMMYFUNCTION("""COMPUTED_VALUE"""),"87o 18' 00""")</f>
        <v>87o 18' 00"</v>
      </c>
      <c r="L277" s="2" t="str">
        <f>IFERROR(__xludf.DUMMYFUNCTION("""COMPUTED_VALUE"""),"87o 25' 00""")</f>
        <v>87o 25' 00"</v>
      </c>
      <c r="M277" s="2" t="str">
        <f>IFERROR(__xludf.DUMMYFUNCTION("""COMPUTED_VALUE"""),"(Sankhuwasabha)")</f>
        <v>(Sankhuwasabha)</v>
      </c>
    </row>
    <row r="278">
      <c r="A278" s="2">
        <f>IFERROR(__xludf.DUMMYFUNCTION("""COMPUTED_VALUE"""),277.0)</f>
        <v>277</v>
      </c>
      <c r="B278" s="2" t="str">
        <f>IFERROR(__xludf.DUMMYFUNCTION("""COMPUTED_VALUE"""),"Chhupchun Khola")</f>
        <v>Chhupchun Khola</v>
      </c>
      <c r="C278" s="2">
        <f>IFERROR(__xludf.DUMMYFUNCTION("""COMPUTED_VALUE"""),1.75)</f>
        <v>1.75</v>
      </c>
      <c r="D278" s="2" t="str">
        <f>IFERROR(__xludf.DUMMYFUNCTION("""COMPUTED_VALUE"""),"Chhupchun")</f>
        <v>Chhupchun</v>
      </c>
      <c r="E278" s="2"/>
      <c r="F278" s="3">
        <f>IFERROR(__xludf.DUMMYFUNCTION("""COMPUTED_VALUE"""),60171.0)</f>
        <v>60171</v>
      </c>
      <c r="G278" s="2" t="str">
        <f>IFERROR(__xludf.DUMMYFUNCTION("""COMPUTED_VALUE"""),"Sunil Raj Ojha (Ronga Hydropower Company Ltd)")</f>
        <v>Sunil Raj Ojha (Ronga Hydropower Company Ltd)</v>
      </c>
      <c r="H278" s="2" t="str">
        <f>IFERROR(__xludf.DUMMYFUNCTION("""COMPUTED_VALUE"""),"Manmaiju-6, Kathmandu")</f>
        <v>Manmaiju-6, Kathmandu</v>
      </c>
      <c r="I278" s="2" t="str">
        <f>IFERROR(__xludf.DUMMYFUNCTION("""COMPUTED_VALUE"""),"28o 13' 00""")</f>
        <v>28o 13' 00"</v>
      </c>
      <c r="J278" s="2" t="str">
        <f>IFERROR(__xludf.DUMMYFUNCTION("""COMPUTED_VALUE"""),"28o 14' 25""")</f>
        <v>28o 14' 25"</v>
      </c>
      <c r="K278" s="2" t="str">
        <f>IFERROR(__xludf.DUMMYFUNCTION("""COMPUTED_VALUE"""),"85o 15' 50""")</f>
        <v>85o 15' 50"</v>
      </c>
      <c r="L278" s="2" t="str">
        <f>IFERROR(__xludf.DUMMYFUNCTION("""COMPUTED_VALUE"""),"85o 17' 05""")</f>
        <v>85o 17' 05"</v>
      </c>
      <c r="M278" s="2" t="str">
        <f>IFERROR(__xludf.DUMMYFUNCTION("""COMPUTED_VALUE"""),"(Rasuwa)")</f>
        <v>(Rasuwa)</v>
      </c>
    </row>
    <row r="279">
      <c r="A279" s="2">
        <f>IFERROR(__xludf.DUMMYFUNCTION("""COMPUTED_VALUE"""),278.0)</f>
        <v>278</v>
      </c>
      <c r="B279" s="2" t="str">
        <f>IFERROR(__xludf.DUMMYFUNCTION("""COMPUTED_VALUE"""),"Upper Tinau Khola")</f>
        <v>Upper Tinau Khola</v>
      </c>
      <c r="C279" s="2">
        <f>IFERROR(__xludf.DUMMYFUNCTION("""COMPUTED_VALUE"""),0.999)</f>
        <v>0.999</v>
      </c>
      <c r="D279" s="2" t="str">
        <f>IFERROR(__xludf.DUMMYFUNCTION("""COMPUTED_VALUE"""),"Tinau")</f>
        <v>Tinau</v>
      </c>
      <c r="E279" s="2"/>
      <c r="F279" s="3">
        <f>IFERROR(__xludf.DUMMYFUNCTION("""COMPUTED_VALUE"""),60171.0)</f>
        <v>60171</v>
      </c>
      <c r="G279" s="2" t="str">
        <f>IFERROR(__xludf.DUMMYFUNCTION("""COMPUTED_VALUE"""),"Dipak Acharya / Bharatmani Paudel / Rudra Prasad dahal")</f>
        <v>Dipak Acharya / Bharatmani Paudel / Rudra Prasad dahal</v>
      </c>
      <c r="H279" s="2"/>
      <c r="I279" s="2" t="str">
        <f>IFERROR(__xludf.DUMMYFUNCTION("""COMPUTED_VALUE"""),"27o 46' 00""")</f>
        <v>27o 46' 00"</v>
      </c>
      <c r="J279" s="2" t="str">
        <f>IFERROR(__xludf.DUMMYFUNCTION("""COMPUTED_VALUE"""),"27o 46' 32""")</f>
        <v>27o 46' 32"</v>
      </c>
      <c r="K279" s="2" t="str">
        <f>IFERROR(__xludf.DUMMYFUNCTION("""COMPUTED_VALUE"""),"83o 31' 24""")</f>
        <v>83o 31' 24"</v>
      </c>
      <c r="L279" s="2" t="str">
        <f>IFERROR(__xludf.DUMMYFUNCTION("""COMPUTED_VALUE"""),"83o 32' 36""")</f>
        <v>83o 32' 36"</v>
      </c>
      <c r="M279" s="2" t="str">
        <f>IFERROR(__xludf.DUMMYFUNCTION("""COMPUTED_VALUE"""),"(Palpa)")</f>
        <v>(Palpa)</v>
      </c>
    </row>
    <row r="280">
      <c r="A280" s="2">
        <f>IFERROR(__xludf.DUMMYFUNCTION("""COMPUTED_VALUE"""),279.0)</f>
        <v>279</v>
      </c>
      <c r="B280" s="2" t="str">
        <f>IFERROR(__xludf.DUMMYFUNCTION("""COMPUTED_VALUE"""),"Kimathanka Arun")</f>
        <v>Kimathanka Arun</v>
      </c>
      <c r="C280" s="2">
        <f>IFERROR(__xludf.DUMMYFUNCTION("""COMPUTED_VALUE"""),95.0)</f>
        <v>95</v>
      </c>
      <c r="D280" s="2" t="str">
        <f>IFERROR(__xludf.DUMMYFUNCTION("""COMPUTED_VALUE"""),"Arun")</f>
        <v>Arun</v>
      </c>
      <c r="E280" s="2"/>
      <c r="F280" s="3">
        <f>IFERROR(__xludf.DUMMYFUNCTION("""COMPUTED_VALUE"""),60171.0)</f>
        <v>60171</v>
      </c>
      <c r="G280" s="2" t="str">
        <f>IFERROR(__xludf.DUMMYFUNCTION("""COMPUTED_VALUE"""),"Sankosh Agro Farms P. Ltd")</f>
        <v>Sankosh Agro Farms P. Ltd</v>
      </c>
      <c r="H280" s="2"/>
      <c r="I280" s="2" t="str">
        <f>IFERROR(__xludf.DUMMYFUNCTION("""COMPUTED_VALUE"""),"27o 44' 45""")</f>
        <v>27o 44' 45"</v>
      </c>
      <c r="J280" s="2" t="str">
        <f>IFERROR(__xludf.DUMMYFUNCTION("""COMPUTED_VALUE"""),"27o 50' 00""")</f>
        <v>27o 50' 00"</v>
      </c>
      <c r="K280" s="2" t="str">
        <f>IFERROR(__xludf.DUMMYFUNCTION("""COMPUTED_VALUE"""),"87o 24' 00""")</f>
        <v>87o 24' 00"</v>
      </c>
      <c r="L280" s="2" t="str">
        <f>IFERROR(__xludf.DUMMYFUNCTION("""COMPUTED_VALUE"""),"87o 28' 00""")</f>
        <v>87o 28' 00"</v>
      </c>
      <c r="M280" s="2" t="str">
        <f>IFERROR(__xludf.DUMMYFUNCTION("""COMPUTED_VALUE"""),"(Sankhuwasabha)")</f>
        <v>(Sankhuwasabha)</v>
      </c>
    </row>
    <row r="281">
      <c r="A281" s="2">
        <f>IFERROR(__xludf.DUMMYFUNCTION("""COMPUTED_VALUE"""),280.0)</f>
        <v>280</v>
      </c>
      <c r="B281" s="2" t="str">
        <f>IFERROR(__xludf.DUMMYFUNCTION("""COMPUTED_VALUE"""),"Upper Mudi")</f>
        <v>Upper Mudi</v>
      </c>
      <c r="C281" s="2">
        <f>IFERROR(__xludf.DUMMYFUNCTION("""COMPUTED_VALUE"""),1.0)</f>
        <v>1</v>
      </c>
      <c r="D281" s="2" t="str">
        <f>IFERROR(__xludf.DUMMYFUNCTION("""COMPUTED_VALUE"""),"Mudi Khola")</f>
        <v>Mudi Khola</v>
      </c>
      <c r="E281" s="2"/>
      <c r="F281" s="3">
        <f>IFERROR(__xludf.DUMMYFUNCTION("""COMPUTED_VALUE"""),60171.0)</f>
        <v>60171</v>
      </c>
      <c r="G281" s="2" t="str">
        <f>IFERROR(__xludf.DUMMYFUNCTION("""COMPUTED_VALUE"""),"Dand Pani Gautam")</f>
        <v>Dand Pani Gautam</v>
      </c>
      <c r="H281" s="2"/>
      <c r="I281" s="2" t="str">
        <f>IFERROR(__xludf.DUMMYFUNCTION("""COMPUTED_VALUE"""),"28o 33' 00""")</f>
        <v>28o 33' 00"</v>
      </c>
      <c r="J281" s="2" t="str">
        <f>IFERROR(__xludf.DUMMYFUNCTION("""COMPUTED_VALUE"""),"28o 35' 00""")</f>
        <v>28o 35' 00"</v>
      </c>
      <c r="K281" s="2" t="str">
        <f>IFERROR(__xludf.DUMMYFUNCTION("""COMPUTED_VALUE"""),"83o 16' 28""")</f>
        <v>83o 16' 28"</v>
      </c>
      <c r="L281" s="2" t="str">
        <f>IFERROR(__xludf.DUMMYFUNCTION("""COMPUTED_VALUE"""),"83o 19' 30""")</f>
        <v>83o 19' 30"</v>
      </c>
      <c r="M281" s="2" t="str">
        <f>IFERROR(__xludf.DUMMYFUNCTION("""COMPUTED_VALUE"""),"(Myagdi)")</f>
        <v>(Myagdi)</v>
      </c>
    </row>
    <row r="282">
      <c r="A282" s="2">
        <f>IFERROR(__xludf.DUMMYFUNCTION("""COMPUTED_VALUE"""),281.0)</f>
        <v>281</v>
      </c>
      <c r="B282" s="2" t="str">
        <f>IFERROR(__xludf.DUMMYFUNCTION("""COMPUTED_VALUE"""),"Jogimara Trishuli")</f>
        <v>Jogimara Trishuli</v>
      </c>
      <c r="C282" s="2">
        <f>IFERROR(__xludf.DUMMYFUNCTION("""COMPUTED_VALUE"""),240.0)</f>
        <v>240</v>
      </c>
      <c r="D282" s="2" t="str">
        <f>IFERROR(__xludf.DUMMYFUNCTION("""COMPUTED_VALUE"""),"Trishuli")</f>
        <v>Trishuli</v>
      </c>
      <c r="E282" s="2"/>
      <c r="F282" s="3">
        <f>IFERROR(__xludf.DUMMYFUNCTION("""COMPUTED_VALUE"""),60172.0)</f>
        <v>60172</v>
      </c>
      <c r="G282" s="2" t="str">
        <f>IFERROR(__xludf.DUMMYFUNCTION("""COMPUTED_VALUE"""),"Haramosh Agro Farms P Ltd")</f>
        <v>Haramosh Agro Farms P Ltd</v>
      </c>
      <c r="H282" s="2"/>
      <c r="I282" s="2" t="str">
        <f>IFERROR(__xludf.DUMMYFUNCTION("""COMPUTED_VALUE"""),"27o 47' 30""")</f>
        <v>27o 47' 30"</v>
      </c>
      <c r="J282" s="2" t="str">
        <f>IFERROR(__xludf.DUMMYFUNCTION("""COMPUTED_VALUE"""),"27o 51' 52""")</f>
        <v>27o 51' 52"</v>
      </c>
      <c r="K282" s="2" t="str">
        <f>IFERROR(__xludf.DUMMYFUNCTION("""COMPUTED_VALUE"""),"84o 38' 25""")</f>
        <v>84o 38' 25"</v>
      </c>
      <c r="L282" s="2" t="str">
        <f>IFERROR(__xludf.DUMMYFUNCTION("""COMPUTED_VALUE"""),"84o 47' 30""")</f>
        <v>84o 47' 30"</v>
      </c>
      <c r="M282" s="2" t="str">
        <f>IFERROR(__xludf.DUMMYFUNCTION("""COMPUTED_VALUE"""),"(Gorkha)")</f>
        <v>(Gorkha)</v>
      </c>
    </row>
    <row r="283">
      <c r="A283" s="2">
        <f>IFERROR(__xludf.DUMMYFUNCTION("""COMPUTED_VALUE"""),282.0)</f>
        <v>282</v>
      </c>
      <c r="B283" s="2" t="str">
        <f>IFERROR(__xludf.DUMMYFUNCTION("""COMPUTED_VALUE"""),"Budhi Gandaki-4(Bihi)")</f>
        <v>Budhi Gandaki-4(Bihi)</v>
      </c>
      <c r="C283" s="2">
        <f>IFERROR(__xludf.DUMMYFUNCTION("""COMPUTED_VALUE"""),270.0)</f>
        <v>270</v>
      </c>
      <c r="D283" s="2" t="str">
        <f>IFERROR(__xludf.DUMMYFUNCTION("""COMPUTED_VALUE"""),"Budhi Gandaki")</f>
        <v>Budhi Gandaki</v>
      </c>
      <c r="E283" s="2"/>
      <c r="F283" s="3">
        <f>IFERROR(__xludf.DUMMYFUNCTION("""COMPUTED_VALUE"""),60172.0)</f>
        <v>60172</v>
      </c>
      <c r="G283" s="2" t="str">
        <f>IFERROR(__xludf.DUMMYFUNCTION("""COMPUTED_VALUE"""),"Dunagiri Agro Farms P Ltd")</f>
        <v>Dunagiri Agro Farms P Ltd</v>
      </c>
      <c r="H283" s="2"/>
      <c r="I283" s="2" t="str">
        <f>IFERROR(__xludf.DUMMYFUNCTION("""COMPUTED_VALUE"""),"28o 30' 00""")</f>
        <v>28o 30' 00"</v>
      </c>
      <c r="J283" s="2" t="str">
        <f>IFERROR(__xludf.DUMMYFUNCTION("""COMPUTED_VALUE"""),"28o 36' 26""")</f>
        <v>28o 36' 26"</v>
      </c>
      <c r="K283" s="2" t="str">
        <f>IFERROR(__xludf.DUMMYFUNCTION("""COMPUTED_VALUE"""),"84o 50' 00""")</f>
        <v>84o 50' 00"</v>
      </c>
      <c r="L283" s="2" t="str">
        <f>IFERROR(__xludf.DUMMYFUNCTION("""COMPUTED_VALUE"""),"84o 55' 00""")</f>
        <v>84o 55' 00"</v>
      </c>
      <c r="M283" s="2" t="str">
        <f>IFERROR(__xludf.DUMMYFUNCTION("""COMPUTED_VALUE"""),"(Gorkha)")</f>
        <v>(Gorkha)</v>
      </c>
    </row>
    <row r="284">
      <c r="A284" s="2">
        <f>IFERROR(__xludf.DUMMYFUNCTION("""COMPUTED_VALUE"""),283.0)</f>
        <v>283</v>
      </c>
      <c r="B284" s="2" t="str">
        <f>IFERROR(__xludf.DUMMYFUNCTION("""COMPUTED_VALUE"""),"Super Myagdi")</f>
        <v>Super Myagdi</v>
      </c>
      <c r="C284" s="2">
        <f>IFERROR(__xludf.DUMMYFUNCTION("""COMPUTED_VALUE"""),6.2)</f>
        <v>6.2</v>
      </c>
      <c r="D284" s="2" t="str">
        <f>IFERROR(__xludf.DUMMYFUNCTION("""COMPUTED_VALUE"""),"Myagdi Khola")</f>
        <v>Myagdi Khola</v>
      </c>
      <c r="E284" s="2"/>
      <c r="F284" s="3">
        <f>IFERROR(__xludf.DUMMYFUNCTION("""COMPUTED_VALUE"""),60172.0)</f>
        <v>60172</v>
      </c>
      <c r="G284" s="2" t="str">
        <f>IFERROR(__xludf.DUMMYFUNCTION("""COMPUTED_VALUE"""),"Ignite Power P Ltd")</f>
        <v>Ignite Power P Ltd</v>
      </c>
      <c r="H284" s="2"/>
      <c r="I284" s="2" t="str">
        <f>IFERROR(__xludf.DUMMYFUNCTION("""COMPUTED_VALUE"""),"28o 29' 14""")</f>
        <v>28o 29' 14"</v>
      </c>
      <c r="J284" s="2" t="str">
        <f>IFERROR(__xludf.DUMMYFUNCTION("""COMPUTED_VALUE"""),"28o 31' 56""")</f>
        <v>28o 31' 56"</v>
      </c>
      <c r="K284" s="2" t="str">
        <f>IFERROR(__xludf.DUMMYFUNCTION("""COMPUTED_VALUE"""),"83o 20' 45""")</f>
        <v>83o 20' 45"</v>
      </c>
      <c r="L284" s="2" t="str">
        <f>IFERROR(__xludf.DUMMYFUNCTION("""COMPUTED_VALUE"""),"83o 22' 30""")</f>
        <v>83o 22' 30"</v>
      </c>
      <c r="M284" s="2" t="str">
        <f>IFERROR(__xludf.DUMMYFUNCTION("""COMPUTED_VALUE"""),"(Doti)")</f>
        <v>(Doti)</v>
      </c>
    </row>
    <row r="285">
      <c r="A285" s="2">
        <f>IFERROR(__xludf.DUMMYFUNCTION("""COMPUTED_VALUE"""),284.0)</f>
        <v>284</v>
      </c>
      <c r="B285" s="2" t="str">
        <f>IFERROR(__xludf.DUMMYFUNCTION("""COMPUTED_VALUE"""),"Sun Koshi-Indrawati Diversion")</f>
        <v>Sun Koshi-Indrawati Diversion</v>
      </c>
      <c r="C285" s="2">
        <f>IFERROR(__xludf.DUMMYFUNCTION("""COMPUTED_VALUE"""),92.0)</f>
        <v>92</v>
      </c>
      <c r="D285" s="2" t="str">
        <f>IFERROR(__xludf.DUMMYFUNCTION("""COMPUTED_VALUE"""),"Sun Koshi")</f>
        <v>Sun Koshi</v>
      </c>
      <c r="E285" s="2"/>
      <c r="F285" s="3">
        <f>IFERROR(__xludf.DUMMYFUNCTION("""COMPUTED_VALUE"""),60174.0)</f>
        <v>60174</v>
      </c>
      <c r="G285" s="2" t="str">
        <f>IFERROR(__xludf.DUMMYFUNCTION("""COMPUTED_VALUE"""),"Sunrise Hydropower P Ltd")</f>
        <v>Sunrise Hydropower P Ltd</v>
      </c>
      <c r="H285" s="2"/>
      <c r="I285" s="2" t="str">
        <f>IFERROR(__xludf.DUMMYFUNCTION("""COMPUTED_VALUE"""),"27o 37' 30""")</f>
        <v>27o 37' 30"</v>
      </c>
      <c r="J285" s="2" t="str">
        <f>IFERROR(__xludf.DUMMYFUNCTION("""COMPUTED_VALUE"""),"27o 42' 30""")</f>
        <v>27o 42' 30"</v>
      </c>
      <c r="K285" s="2" t="str">
        <f>IFERROR(__xludf.DUMMYFUNCTION("""COMPUTED_VALUE"""),"85o 37' 30""")</f>
        <v>85o 37' 30"</v>
      </c>
      <c r="L285" s="2" t="str">
        <f>IFERROR(__xludf.DUMMYFUNCTION("""COMPUTED_VALUE"""),"85o 40' 00""")</f>
        <v>85o 40' 00"</v>
      </c>
      <c r="M285" s="2" t="str">
        <f>IFERROR(__xludf.DUMMYFUNCTION("""COMPUTED_VALUE"""),"(Sindhupalchok)")</f>
        <v>(Sindhupalchok)</v>
      </c>
    </row>
    <row r="286">
      <c r="A286" s="2">
        <f>IFERROR(__xludf.DUMMYFUNCTION("""COMPUTED_VALUE"""),285.0)</f>
        <v>285</v>
      </c>
      <c r="B286" s="2" t="str">
        <f>IFERROR(__xludf.DUMMYFUNCTION("""COMPUTED_VALUE"""),"Siwa Khola")</f>
        <v>Siwa Khola</v>
      </c>
      <c r="C286" s="2">
        <f>IFERROR(__xludf.DUMMYFUNCTION("""COMPUTED_VALUE"""),0.95)</f>
        <v>0.95</v>
      </c>
      <c r="D286" s="2" t="str">
        <f>IFERROR(__xludf.DUMMYFUNCTION("""COMPUTED_VALUE"""),"Siwa Khola")</f>
        <v>Siwa Khola</v>
      </c>
      <c r="E286" s="2"/>
      <c r="F286" s="3">
        <f>IFERROR(__xludf.DUMMYFUNCTION("""COMPUTED_VALUE"""),60174.0)</f>
        <v>60174</v>
      </c>
      <c r="G286" s="2" t="str">
        <f>IFERROR(__xludf.DUMMYFUNCTION("""COMPUTED_VALUE"""),"Padam Sundar Palungwala")</f>
        <v>Padam Sundar Palungwala</v>
      </c>
      <c r="H286" s="2"/>
      <c r="I286" s="2" t="str">
        <f>IFERROR(__xludf.DUMMYFUNCTION("""COMPUTED_VALUE"""),"27o 27' 00""")</f>
        <v>27o 27' 00"</v>
      </c>
      <c r="J286" s="2" t="str">
        <f>IFERROR(__xludf.DUMMYFUNCTION("""COMPUTED_VALUE"""),"27o 30' 00""")</f>
        <v>27o 30' 00"</v>
      </c>
      <c r="K286" s="2" t="str">
        <f>IFERROR(__xludf.DUMMYFUNCTION("""COMPUTED_VALUE"""),"87o 05' 00""")</f>
        <v>87o 05' 00"</v>
      </c>
      <c r="L286" s="2" t="str">
        <f>IFERROR(__xludf.DUMMYFUNCTION("""COMPUTED_VALUE"""),"87o 37' 03""")</f>
        <v>87o 37' 03"</v>
      </c>
      <c r="M286" s="2" t="str">
        <f>IFERROR(__xludf.DUMMYFUNCTION("""COMPUTED_VALUE"""),"(Taplejung)")</f>
        <v>(Taplejung)</v>
      </c>
    </row>
    <row r="287">
      <c r="A287" s="2">
        <f>IFERROR(__xludf.DUMMYFUNCTION("""COMPUTED_VALUE"""),286.0)</f>
        <v>286</v>
      </c>
      <c r="B287" s="2" t="str">
        <f>IFERROR(__xludf.DUMMYFUNCTION("""COMPUTED_VALUE"""),"Balephi-A")</f>
        <v>Balephi-A</v>
      </c>
      <c r="C287" s="2">
        <f>IFERROR(__xludf.DUMMYFUNCTION("""COMPUTED_VALUE"""),6.5)</f>
        <v>6.5</v>
      </c>
      <c r="D287" s="2" t="str">
        <f>IFERROR(__xludf.DUMMYFUNCTION("""COMPUTED_VALUE"""),"Balephi")</f>
        <v>Balephi</v>
      </c>
      <c r="E287" s="2"/>
      <c r="F287" s="3">
        <f>IFERROR(__xludf.DUMMYFUNCTION("""COMPUTED_VALUE"""),60174.0)</f>
        <v>60174</v>
      </c>
      <c r="G287" s="2" t="str">
        <f>IFERROR(__xludf.DUMMYFUNCTION("""COMPUTED_VALUE"""),"Indrayani Power P Ltd")</f>
        <v>Indrayani Power P Ltd</v>
      </c>
      <c r="H287" s="2"/>
      <c r="I287" s="2" t="str">
        <f>IFERROR(__xludf.DUMMYFUNCTION("""COMPUTED_VALUE"""),"27o 56' 54""")</f>
        <v>27o 56' 54"</v>
      </c>
      <c r="J287" s="2" t="str">
        <f>IFERROR(__xludf.DUMMYFUNCTION("""COMPUTED_VALUE"""),"27o 59' 02""")</f>
        <v>27o 59' 02"</v>
      </c>
      <c r="K287" s="2" t="str">
        <f>IFERROR(__xludf.DUMMYFUNCTION("""COMPUTED_VALUE"""),"85o 46' 50""")</f>
        <v>85o 46' 50"</v>
      </c>
      <c r="L287" s="2" t="str">
        <f>IFERROR(__xludf.DUMMYFUNCTION("""COMPUTED_VALUE"""),"85o 48' 30""")</f>
        <v>85o 48' 30"</v>
      </c>
      <c r="M287" s="2" t="str">
        <f>IFERROR(__xludf.DUMMYFUNCTION("""COMPUTED_VALUE"""),"(Sindhupalchok)")</f>
        <v>(Sindhupalchok)</v>
      </c>
    </row>
    <row r="288">
      <c r="A288" s="2">
        <f>IFERROR(__xludf.DUMMYFUNCTION("""COMPUTED_VALUE"""),287.0)</f>
        <v>287</v>
      </c>
      <c r="B288" s="2" t="str">
        <f>IFERROR(__xludf.DUMMYFUNCTION("""COMPUTED_VALUE"""),"Gauseragad")</f>
        <v>Gauseragad</v>
      </c>
      <c r="C288" s="2">
        <f>IFERROR(__xludf.DUMMYFUNCTION("""COMPUTED_VALUE"""),1.6)</f>
        <v>1.6</v>
      </c>
      <c r="D288" s="2" t="str">
        <f>IFERROR(__xludf.DUMMYFUNCTION("""COMPUTED_VALUE"""),"Gauseragad")</f>
        <v>Gauseragad</v>
      </c>
      <c r="E288" s="2"/>
      <c r="F288" s="3">
        <f>IFERROR(__xludf.DUMMYFUNCTION("""COMPUTED_VALUE"""),60175.0)</f>
        <v>60175</v>
      </c>
      <c r="G288" s="2" t="str">
        <f>IFERROR(__xludf.DUMMYFUNCTION("""COMPUTED_VALUE"""),"Mekh Bdr Sapkota")</f>
        <v>Mekh Bdr Sapkota</v>
      </c>
      <c r="H288" s="2"/>
      <c r="I288" s="2" t="str">
        <f>IFERROR(__xludf.DUMMYFUNCTION("""COMPUTED_VALUE"""),"29o 01' 43""")</f>
        <v>29o 01' 43"</v>
      </c>
      <c r="J288" s="2" t="str">
        <f>IFERROR(__xludf.DUMMYFUNCTION("""COMPUTED_VALUE"""),"29o 02' 56""")</f>
        <v>29o 02' 56"</v>
      </c>
      <c r="K288" s="2" t="str">
        <f>IFERROR(__xludf.DUMMYFUNCTION("""COMPUTED_VALUE"""),"80o 43' 28""")</f>
        <v>80o 43' 28"</v>
      </c>
      <c r="L288" s="2" t="str">
        <f>IFERROR(__xludf.DUMMYFUNCTION("""COMPUTED_VALUE"""),"80o 45' 00""")</f>
        <v>80o 45' 00"</v>
      </c>
      <c r="M288" s="2" t="str">
        <f>IFERROR(__xludf.DUMMYFUNCTION("""COMPUTED_VALUE"""),"(Doti)")</f>
        <v>(Doti)</v>
      </c>
    </row>
    <row r="289">
      <c r="A289" s="2">
        <f>IFERROR(__xludf.DUMMYFUNCTION("""COMPUTED_VALUE"""),288.0)</f>
        <v>288</v>
      </c>
      <c r="B289" s="2" t="str">
        <f>IFERROR(__xludf.DUMMYFUNCTION("""COMPUTED_VALUE"""),"Thuligad")</f>
        <v>Thuligad</v>
      </c>
      <c r="C289" s="2">
        <f>IFERROR(__xludf.DUMMYFUNCTION("""COMPUTED_VALUE"""),9.0)</f>
        <v>9</v>
      </c>
      <c r="D289" s="2" t="str">
        <f>IFERROR(__xludf.DUMMYFUNCTION("""COMPUTED_VALUE"""),"Thuli Gad")</f>
        <v>Thuli Gad</v>
      </c>
      <c r="E289" s="2"/>
      <c r="F289" s="3">
        <f>IFERROR(__xludf.DUMMYFUNCTION("""COMPUTED_VALUE"""),60177.0)</f>
        <v>60177</v>
      </c>
      <c r="G289" s="2" t="str">
        <f>IFERROR(__xludf.DUMMYFUNCTION("""COMPUTED_VALUE"""),"Newlumbini Enterprises P Ltd")</f>
        <v>Newlumbini Enterprises P Ltd</v>
      </c>
      <c r="H289" s="2"/>
      <c r="I289" s="2" t="str">
        <f>IFERROR(__xludf.DUMMYFUNCTION("""COMPUTED_VALUE"""),"28o 55' 19""")</f>
        <v>28o 55' 19"</v>
      </c>
      <c r="J289" s="2" t="str">
        <f>IFERROR(__xludf.DUMMYFUNCTION("""COMPUTED_VALUE"""),"28o 59' 05""")</f>
        <v>28o 59' 05"</v>
      </c>
      <c r="K289" s="2" t="str">
        <f>IFERROR(__xludf.DUMMYFUNCTION("""COMPUTED_VALUE"""),"80o 47' 04""")</f>
        <v>80o 47' 04"</v>
      </c>
      <c r="L289" s="2" t="str">
        <f>IFERROR(__xludf.DUMMYFUNCTION("""COMPUTED_VALUE"""),"80o 51' 22""")</f>
        <v>80o 51' 22"</v>
      </c>
      <c r="M289" s="2" t="str">
        <f>IFERROR(__xludf.DUMMYFUNCTION("""COMPUTED_VALUE"""),"(Myagdi)")</f>
        <v>(Myagdi)</v>
      </c>
    </row>
    <row r="290">
      <c r="A290" s="2">
        <f>IFERROR(__xludf.DUMMYFUNCTION("""COMPUTED_VALUE"""),289.0)</f>
        <v>289</v>
      </c>
      <c r="B290" s="2" t="str">
        <f>IFERROR(__xludf.DUMMYFUNCTION("""COMPUTED_VALUE"""),"Labdi Khola")</f>
        <v>Labdi Khola</v>
      </c>
      <c r="C290" s="2">
        <f>IFERROR(__xludf.DUMMYFUNCTION("""COMPUTED_VALUE"""),0.9)</f>
        <v>0.9</v>
      </c>
      <c r="D290" s="2" t="str">
        <f>IFERROR(__xludf.DUMMYFUNCTION("""COMPUTED_VALUE"""),"Labdi")</f>
        <v>Labdi</v>
      </c>
      <c r="E290" s="2"/>
      <c r="F290" s="3">
        <f>IFERROR(__xludf.DUMMYFUNCTION("""COMPUTED_VALUE"""),60177.0)</f>
        <v>60177</v>
      </c>
      <c r="G290" s="2" t="str">
        <f>IFERROR(__xludf.DUMMYFUNCTION("""COMPUTED_VALUE"""),"Dor Bahadur Chhantyal")</f>
        <v>Dor Bahadur Chhantyal</v>
      </c>
      <c r="H290" s="2"/>
      <c r="I290" s="2" t="str">
        <f>IFERROR(__xludf.DUMMYFUNCTION("""COMPUTED_VALUE"""),"28o 12' 30""")</f>
        <v>28o 12' 30"</v>
      </c>
      <c r="J290" s="2" t="str">
        <f>IFERROR(__xludf.DUMMYFUNCTION("""COMPUTED_VALUE"""),"28o 15' 00""")</f>
        <v>28o 15' 00"</v>
      </c>
      <c r="K290" s="2" t="str">
        <f>IFERROR(__xludf.DUMMYFUNCTION("""COMPUTED_VALUE"""),"83o 15' 00""")</f>
        <v>83o 15' 00"</v>
      </c>
      <c r="L290" s="2" t="str">
        <f>IFERROR(__xludf.DUMMYFUNCTION("""COMPUTED_VALUE"""),"83o 17' 30""")</f>
        <v>83o 17' 30"</v>
      </c>
      <c r="M290" s="2" t="str">
        <f>IFERROR(__xludf.DUMMYFUNCTION("""COMPUTED_VALUE"""),"(Baglung)")</f>
        <v>(Baglung)</v>
      </c>
    </row>
    <row r="291">
      <c r="A291" s="2">
        <f>IFERROR(__xludf.DUMMYFUNCTION("""COMPUTED_VALUE"""),290.0)</f>
        <v>290</v>
      </c>
      <c r="B291" s="2" t="str">
        <f>IFERROR(__xludf.DUMMYFUNCTION("""COMPUTED_VALUE"""),"Gaddigad")</f>
        <v>Gaddigad</v>
      </c>
      <c r="C291" s="2">
        <f>IFERROR(__xludf.DUMMYFUNCTION("""COMPUTED_VALUE"""),2.0)</f>
        <v>2</v>
      </c>
      <c r="D291" s="2" t="str">
        <f>IFERROR(__xludf.DUMMYFUNCTION("""COMPUTED_VALUE"""),"Gaddi Gad")</f>
        <v>Gaddi Gad</v>
      </c>
      <c r="E291" s="2"/>
      <c r="F291" s="3">
        <f>IFERROR(__xludf.DUMMYFUNCTION("""COMPUTED_VALUE"""),60177.0)</f>
        <v>60177</v>
      </c>
      <c r="G291" s="2" t="str">
        <f>IFERROR(__xludf.DUMMYFUNCTION("""COMPUTED_VALUE"""),"Kedarbabu Sapkota")</f>
        <v>Kedarbabu Sapkota</v>
      </c>
      <c r="H291" s="2"/>
      <c r="I291" s="2" t="str">
        <f>IFERROR(__xludf.DUMMYFUNCTION("""COMPUTED_VALUE"""),"29o 11' 00""")</f>
        <v>29o 11' 00"</v>
      </c>
      <c r="J291" s="2" t="str">
        <f>IFERROR(__xludf.DUMMYFUNCTION("""COMPUTED_VALUE"""),"29o 13' 30""")</f>
        <v>29o 13' 30"</v>
      </c>
      <c r="K291" s="2" t="str">
        <f>IFERROR(__xludf.DUMMYFUNCTION("""COMPUTED_VALUE"""),"81o 01' 00""")</f>
        <v>81o 01' 00"</v>
      </c>
      <c r="L291" s="2" t="str">
        <f>IFERROR(__xludf.DUMMYFUNCTION("""COMPUTED_VALUE"""),"81o 04' 30""")</f>
        <v>81o 04' 30"</v>
      </c>
      <c r="M291" s="2" t="str">
        <f>IFERROR(__xludf.DUMMYFUNCTION("""COMPUTED_VALUE"""),"(Doti)")</f>
        <v>(Doti)</v>
      </c>
    </row>
    <row r="292">
      <c r="A292" s="2">
        <f>IFERROR(__xludf.DUMMYFUNCTION("""COMPUTED_VALUE"""),291.0)</f>
        <v>291</v>
      </c>
      <c r="B292" s="2" t="str">
        <f>IFERROR(__xludf.DUMMYFUNCTION("""COMPUTED_VALUE"""),"Midim")</f>
        <v>Midim</v>
      </c>
      <c r="C292" s="2">
        <f>IFERROR(__xludf.DUMMYFUNCTION("""COMPUTED_VALUE"""),3.0)</f>
        <v>3</v>
      </c>
      <c r="D292" s="2" t="str">
        <f>IFERROR(__xludf.DUMMYFUNCTION("""COMPUTED_VALUE"""),"Midim Khola")</f>
        <v>Midim Khola</v>
      </c>
      <c r="E292" s="2"/>
      <c r="F292" s="3">
        <f>IFERROR(__xludf.DUMMYFUNCTION("""COMPUTED_VALUE"""),60178.0)</f>
        <v>60178</v>
      </c>
      <c r="G292" s="2" t="str">
        <f>IFERROR(__xludf.DUMMYFUNCTION("""COMPUTED_VALUE"""),"Ambika Kafle")</f>
        <v>Ambika Kafle</v>
      </c>
      <c r="H292" s="2"/>
      <c r="I292" s="2" t="str">
        <f>IFERROR(__xludf.DUMMYFUNCTION("""COMPUTED_VALUE"""),"28o 12' 16""")</f>
        <v>28o 12' 16"</v>
      </c>
      <c r="J292" s="2" t="str">
        <f>IFERROR(__xludf.DUMMYFUNCTION("""COMPUTED_VALUE"""),"28o 14' 58""")</f>
        <v>28o 14' 58"</v>
      </c>
      <c r="K292" s="2" t="str">
        <f>IFERROR(__xludf.DUMMYFUNCTION("""COMPUTED_VALUE"""),"84o 15' 45""")</f>
        <v>84o 15' 45"</v>
      </c>
      <c r="L292" s="2" t="str">
        <f>IFERROR(__xludf.DUMMYFUNCTION("""COMPUTED_VALUE"""),"84o 17' 08""")</f>
        <v>84o 17' 08"</v>
      </c>
      <c r="M292" s="2" t="str">
        <f>IFERROR(__xludf.DUMMYFUNCTION("""COMPUTED_VALUE"""),"(Lamjung)")</f>
        <v>(Lamjung)</v>
      </c>
    </row>
    <row r="293">
      <c r="A293" s="2">
        <f>IFERROR(__xludf.DUMMYFUNCTION("""COMPUTED_VALUE"""),292.0)</f>
        <v>292</v>
      </c>
      <c r="B293" s="2" t="str">
        <f>IFERROR(__xludf.DUMMYFUNCTION("""COMPUTED_VALUE"""),"Babiodand")</f>
        <v>Babiodand</v>
      </c>
      <c r="C293" s="2">
        <f>IFERROR(__xludf.DUMMYFUNCTION("""COMPUTED_VALUE"""),0.995)</f>
        <v>0.995</v>
      </c>
      <c r="D293" s="2" t="str">
        <f>IFERROR(__xludf.DUMMYFUNCTION("""COMPUTED_VALUE"""),"Babiodand")</f>
        <v>Babiodand</v>
      </c>
      <c r="E293" s="2"/>
      <c r="F293" s="3">
        <f>IFERROR(__xludf.DUMMYFUNCTION("""COMPUTED_VALUE"""),60178.0)</f>
        <v>60178</v>
      </c>
      <c r="G293" s="2" t="str">
        <f>IFERROR(__xludf.DUMMYFUNCTION("""COMPUTED_VALUE"""),"Kumar Dhwoj Karki")</f>
        <v>Kumar Dhwoj Karki</v>
      </c>
      <c r="H293" s="2"/>
      <c r="I293" s="2" t="str">
        <f>IFERROR(__xludf.DUMMYFUNCTION("""COMPUTED_VALUE"""),"27o 46' 41""")</f>
        <v>27o 46' 41"</v>
      </c>
      <c r="J293" s="2" t="str">
        <f>IFERROR(__xludf.DUMMYFUNCTION("""COMPUTED_VALUE"""),"27o 47' 00""")</f>
        <v>27o 47' 00"</v>
      </c>
      <c r="K293" s="2" t="str">
        <f>IFERROR(__xludf.DUMMYFUNCTION("""COMPUTED_VALUE"""),"86o 11' 47""")</f>
        <v>86o 11' 47"</v>
      </c>
      <c r="L293" s="2" t="str">
        <f>IFERROR(__xludf.DUMMYFUNCTION("""COMPUTED_VALUE"""),"86o 12' 12""")</f>
        <v>86o 12' 12"</v>
      </c>
      <c r="M293" s="2" t="str">
        <f>IFERROR(__xludf.DUMMYFUNCTION("""COMPUTED_VALUE"""),"(Dolakha)")</f>
        <v>(Dolakha)</v>
      </c>
    </row>
    <row r="294">
      <c r="A294" s="2">
        <f>IFERROR(__xludf.DUMMYFUNCTION("""COMPUTED_VALUE"""),293.0)</f>
        <v>293</v>
      </c>
      <c r="B294" s="2" t="str">
        <f>IFERROR(__xludf.DUMMYFUNCTION("""COMPUTED_VALUE"""),"Budhi Ganga")</f>
        <v>Budhi Ganga</v>
      </c>
      <c r="C294" s="2">
        <f>IFERROR(__xludf.DUMMYFUNCTION("""COMPUTED_VALUE"""),6.0)</f>
        <v>6</v>
      </c>
      <c r="D294" s="2" t="str">
        <f>IFERROR(__xludf.DUMMYFUNCTION("""COMPUTED_VALUE"""),"Budhi Ganga")</f>
        <v>Budhi Ganga</v>
      </c>
      <c r="E294" s="2"/>
      <c r="F294" s="3">
        <f>IFERROR(__xludf.DUMMYFUNCTION("""COMPUTED_VALUE"""),60178.0)</f>
        <v>60178</v>
      </c>
      <c r="G294" s="2" t="str">
        <f>IFERROR(__xludf.DUMMYFUNCTION("""COMPUTED_VALUE"""),"Budhiganga Power Co. P Ltd")</f>
        <v>Budhiganga Power Co. P Ltd</v>
      </c>
      <c r="H294" s="2"/>
      <c r="I294" s="2" t="str">
        <f>IFERROR(__xludf.DUMMYFUNCTION("""COMPUTED_VALUE"""),"29o 08' 30""")</f>
        <v>29o 08' 30"</v>
      </c>
      <c r="J294" s="2" t="str">
        <f>IFERROR(__xludf.DUMMYFUNCTION("""COMPUTED_VALUE"""),"29o 12' 30""")</f>
        <v>29o 12' 30"</v>
      </c>
      <c r="K294" s="2" t="str">
        <f>IFERROR(__xludf.DUMMYFUNCTION("""COMPUTED_VALUE"""),"81o 10' 30""")</f>
        <v>81o 10' 30"</v>
      </c>
      <c r="L294" s="2" t="str">
        <f>IFERROR(__xludf.DUMMYFUNCTION("""COMPUTED_VALUE"""),"81o 13' 30""")</f>
        <v>81o 13' 30"</v>
      </c>
      <c r="M294" s="2" t="str">
        <f>IFERROR(__xludf.DUMMYFUNCTION("""COMPUTED_VALUE"""),"(Achham)")</f>
        <v>(Achham)</v>
      </c>
    </row>
    <row r="295">
      <c r="A295" s="2">
        <f>IFERROR(__xludf.DUMMYFUNCTION("""COMPUTED_VALUE"""),294.0)</f>
        <v>294</v>
      </c>
      <c r="B295" s="2" t="str">
        <f>IFERROR(__xludf.DUMMYFUNCTION("""COMPUTED_VALUE"""),"Super Iwa Khola")</f>
        <v>Super Iwa Khola</v>
      </c>
      <c r="C295" s="2">
        <f>IFERROR(__xludf.DUMMYFUNCTION("""COMPUTED_VALUE"""),1.7)</f>
        <v>1.7</v>
      </c>
      <c r="D295" s="2" t="str">
        <f>IFERROR(__xludf.DUMMYFUNCTION("""COMPUTED_VALUE"""),"Iwa Khola")</f>
        <v>Iwa Khola</v>
      </c>
      <c r="E295" s="2"/>
      <c r="F295" s="3">
        <f>IFERROR(__xludf.DUMMYFUNCTION("""COMPUTED_VALUE"""),60179.0)</f>
        <v>60179</v>
      </c>
      <c r="G295" s="2" t="str">
        <f>IFERROR(__xludf.DUMMYFUNCTION("""COMPUTED_VALUE"""),"Gangotri HP")</f>
        <v>Gangotri HP</v>
      </c>
      <c r="H295" s="2"/>
      <c r="I295" s="2" t="str">
        <f>IFERROR(__xludf.DUMMYFUNCTION("""COMPUTED_VALUE"""),"27o 19' 14""")</f>
        <v>27o 19' 14"</v>
      </c>
      <c r="J295" s="2" t="str">
        <f>IFERROR(__xludf.DUMMYFUNCTION("""COMPUTED_VALUE"""),"27o 21' 57""")</f>
        <v>27o 21' 57"</v>
      </c>
      <c r="K295" s="2" t="str">
        <f>IFERROR(__xludf.DUMMYFUNCTION("""COMPUTED_VALUE"""),"88o 00' 00""")</f>
        <v>88o 00' 00"</v>
      </c>
      <c r="L295" s="2" t="str">
        <f>IFERROR(__xludf.DUMMYFUNCTION("""COMPUTED_VALUE"""),"88o 01' 51""")</f>
        <v>88o 01' 51"</v>
      </c>
      <c r="M295" s="2" t="str">
        <f>IFERROR(__xludf.DUMMYFUNCTION("""COMPUTED_VALUE"""),"(Taplejung)")</f>
        <v>(Taplejung)</v>
      </c>
    </row>
    <row r="296">
      <c r="A296" s="2">
        <f>IFERROR(__xludf.DUMMYFUNCTION("""COMPUTED_VALUE"""),295.0)</f>
        <v>295</v>
      </c>
      <c r="B296" s="2" t="str">
        <f>IFERROR(__xludf.DUMMYFUNCTION("""COMPUTED_VALUE"""),"Hugdi Khola")</f>
        <v>Hugdi Khola</v>
      </c>
      <c r="C296" s="2">
        <f>IFERROR(__xludf.DUMMYFUNCTION("""COMPUTED_VALUE"""),3.0)</f>
        <v>3</v>
      </c>
      <c r="D296" s="2" t="str">
        <f>IFERROR(__xludf.DUMMYFUNCTION("""COMPUTED_VALUE"""),"Hugdi")</f>
        <v>Hugdi</v>
      </c>
      <c r="E296" s="2"/>
      <c r="F296" s="3">
        <f>IFERROR(__xludf.DUMMYFUNCTION("""COMPUTED_VALUE"""),60179.0)</f>
        <v>60179</v>
      </c>
      <c r="G296" s="2" t="str">
        <f>IFERROR(__xludf.DUMMYFUNCTION("""COMPUTED_VALUE"""),"Urmila Kharel")</f>
        <v>Urmila Kharel</v>
      </c>
      <c r="H296" s="2"/>
      <c r="I296" s="2" t="str">
        <f>IFERROR(__xludf.DUMMYFUNCTION("""COMPUTED_VALUE"""),"28o 03' 16""")</f>
        <v>28o 03' 16"</v>
      </c>
      <c r="J296" s="2" t="str">
        <f>IFERROR(__xludf.DUMMYFUNCTION("""COMPUTED_VALUE"""),"28o 05' 00""")</f>
        <v>28o 05' 00"</v>
      </c>
      <c r="K296" s="2" t="str">
        <f>IFERROR(__xludf.DUMMYFUNCTION("""COMPUTED_VALUE"""),"83o 20' 55""")</f>
        <v>83o 20' 55"</v>
      </c>
      <c r="L296" s="2" t="str">
        <f>IFERROR(__xludf.DUMMYFUNCTION("""COMPUTED_VALUE"""),"83o 23' 17""")</f>
        <v>83o 23' 17"</v>
      </c>
      <c r="M296" s="2" t="str">
        <f>IFERROR(__xludf.DUMMYFUNCTION("""COMPUTED_VALUE"""),"(Gulmi)")</f>
        <v>(Gulmi)</v>
      </c>
    </row>
    <row r="297">
      <c r="A297" s="2">
        <f>IFERROR(__xludf.DUMMYFUNCTION("""COMPUTED_VALUE"""),296.0)</f>
        <v>296</v>
      </c>
      <c r="B297" s="2" t="str">
        <f>IFERROR(__xludf.DUMMYFUNCTION("""COMPUTED_VALUE"""),"Nikas Khola")</f>
        <v>Nikas Khola</v>
      </c>
      <c r="C297" s="2">
        <f>IFERROR(__xludf.DUMMYFUNCTION("""COMPUTED_VALUE"""),0.437)</f>
        <v>0.437</v>
      </c>
      <c r="D297" s="2" t="str">
        <f>IFERROR(__xludf.DUMMYFUNCTION("""COMPUTED_VALUE"""),"Nikas")</f>
        <v>Nikas</v>
      </c>
      <c r="E297" s="2"/>
      <c r="F297" s="3">
        <f>IFERROR(__xludf.DUMMYFUNCTION("""COMPUTED_VALUE"""),60181.0)</f>
        <v>60181</v>
      </c>
      <c r="G297" s="2" t="str">
        <f>IFERROR(__xludf.DUMMYFUNCTION("""COMPUTED_VALUE"""),"Bheri Multi purpose Cooperative Ltd")</f>
        <v>Bheri Multi purpose Cooperative Ltd</v>
      </c>
      <c r="H297" s="2"/>
      <c r="I297" s="2" t="str">
        <f>IFERROR(__xludf.DUMMYFUNCTION("""COMPUTED_VALUE"""),"28o 32' 15""")</f>
        <v>28o 32' 15"</v>
      </c>
      <c r="J297" s="2" t="str">
        <f>IFERROR(__xludf.DUMMYFUNCTION("""COMPUTED_VALUE"""),"28o 33' 00""")</f>
        <v>28o 33' 00"</v>
      </c>
      <c r="K297" s="2" t="str">
        <f>IFERROR(__xludf.DUMMYFUNCTION("""COMPUTED_VALUE"""),"81o 35' 15""")</f>
        <v>81o 35' 15"</v>
      </c>
      <c r="L297" s="2" t="str">
        <f>IFERROR(__xludf.DUMMYFUNCTION("""COMPUTED_VALUE"""),"81o 36' 00""")</f>
        <v>81o 36' 00"</v>
      </c>
      <c r="M297" s="2" t="str">
        <f>IFERROR(__xludf.DUMMYFUNCTION("""COMPUTED_VALUE"""),"(Surkhet)")</f>
        <v>(Surkhet)</v>
      </c>
    </row>
    <row r="298">
      <c r="A298" s="2">
        <f>IFERROR(__xludf.DUMMYFUNCTION("""COMPUTED_VALUE"""),297.0)</f>
        <v>297</v>
      </c>
      <c r="B298" s="2" t="str">
        <f>IFERROR(__xludf.DUMMYFUNCTION("""COMPUTED_VALUE"""),"Gumu Khola")</f>
        <v>Gumu Khola</v>
      </c>
      <c r="C298" s="2">
        <f>IFERROR(__xludf.DUMMYFUNCTION("""COMPUTED_VALUE"""),0.5)</f>
        <v>0.5</v>
      </c>
      <c r="D298" s="2" t="str">
        <f>IFERROR(__xludf.DUMMYFUNCTION("""COMPUTED_VALUE"""),"Gumu Khola")</f>
        <v>Gumu Khola</v>
      </c>
      <c r="E298" s="2"/>
      <c r="F298" s="3">
        <f>IFERROR(__xludf.DUMMYFUNCTION("""COMPUTED_VALUE"""),60181.0)</f>
        <v>60181</v>
      </c>
      <c r="G298" s="2" t="str">
        <f>IFERROR(__xludf.DUMMYFUNCTION("""COMPUTED_VALUE"""),"Bijay Kumar Tamang")</f>
        <v>Bijay Kumar Tamang</v>
      </c>
      <c r="H298" s="2"/>
      <c r="I298" s="2" t="str">
        <f>IFERROR(__xludf.DUMMYFUNCTION("""COMPUTED_VALUE"""),"27o 42' 30""")</f>
        <v>27o 42' 30"</v>
      </c>
      <c r="J298" s="2" t="str">
        <f>IFERROR(__xludf.DUMMYFUNCTION("""COMPUTED_VALUE"""),"27o 44' 00""")</f>
        <v>27o 44' 00"</v>
      </c>
      <c r="K298" s="2" t="str">
        <f>IFERROR(__xludf.DUMMYFUNCTION("""COMPUTED_VALUE"""),"86o 06' 00""")</f>
        <v>86o 06' 00"</v>
      </c>
      <c r="L298" s="2" t="str">
        <f>IFERROR(__xludf.DUMMYFUNCTION("""COMPUTED_VALUE"""),"86o 09' 00""")</f>
        <v>86o 09' 00"</v>
      </c>
      <c r="M298" s="2" t="str">
        <f>IFERROR(__xludf.DUMMYFUNCTION("""COMPUTED_VALUE"""),"(Dolakha)")</f>
        <v>(Dolakha)</v>
      </c>
    </row>
    <row r="299">
      <c r="A299" s="2">
        <f>IFERROR(__xludf.DUMMYFUNCTION("""COMPUTED_VALUE"""),298.0)</f>
        <v>298</v>
      </c>
      <c r="B299" s="2" t="str">
        <f>IFERROR(__xludf.DUMMYFUNCTION("""COMPUTED_VALUE"""),"Yambling")</f>
        <v>Yambling</v>
      </c>
      <c r="C299" s="2">
        <f>IFERROR(__xludf.DUMMYFUNCTION("""COMPUTED_VALUE"""),0.7)</f>
        <v>0.7</v>
      </c>
      <c r="D299" s="2" t="str">
        <f>IFERROR(__xludf.DUMMYFUNCTION("""COMPUTED_VALUE"""),"Yambling")</f>
        <v>Yambling</v>
      </c>
      <c r="E299" s="2"/>
      <c r="F299" s="3">
        <f>IFERROR(__xludf.DUMMYFUNCTION("""COMPUTED_VALUE"""),60186.0)</f>
        <v>60186</v>
      </c>
      <c r="G299" s="2" t="str">
        <f>IFERROR(__xludf.DUMMYFUNCTION("""COMPUTED_VALUE"""),"Maila Tamang")</f>
        <v>Maila Tamang</v>
      </c>
      <c r="H299" s="2"/>
      <c r="I299" s="2" t="str">
        <f>IFERROR(__xludf.DUMMYFUNCTION("""COMPUTED_VALUE"""),"27o 56' 31""")</f>
        <v>27o 56' 31"</v>
      </c>
      <c r="J299" s="2" t="str">
        <f>IFERROR(__xludf.DUMMYFUNCTION("""COMPUTED_VALUE"""),"27o 57' 36""")</f>
        <v>27o 57' 36"</v>
      </c>
      <c r="K299" s="2" t="str">
        <f>IFERROR(__xludf.DUMMYFUNCTION("""COMPUTED_VALUE"""),"85o 47' 26""")</f>
        <v>85o 47' 26"</v>
      </c>
      <c r="L299" s="2" t="str">
        <f>IFERROR(__xludf.DUMMYFUNCTION("""COMPUTED_VALUE"""),"85o 49' 15""")</f>
        <v>85o 49' 15"</v>
      </c>
      <c r="M299" s="2" t="str">
        <f>IFERROR(__xludf.DUMMYFUNCTION("""COMPUTED_VALUE"""),"(Sindhupalchok)")</f>
        <v>(Sindhupalchok)</v>
      </c>
    </row>
    <row r="300">
      <c r="A300" s="2">
        <f>IFERROR(__xludf.DUMMYFUNCTION("""COMPUTED_VALUE"""),299.0)</f>
        <v>299</v>
      </c>
      <c r="B300" s="2" t="str">
        <f>IFERROR(__xludf.DUMMYFUNCTION("""COMPUTED_VALUE"""),"Upper Siprin khola")</f>
        <v>Upper Siprin khola</v>
      </c>
      <c r="C300" s="2">
        <f>IFERROR(__xludf.DUMMYFUNCTION("""COMPUTED_VALUE"""),1.0)</f>
        <v>1</v>
      </c>
      <c r="D300" s="2" t="str">
        <f>IFERROR(__xludf.DUMMYFUNCTION("""COMPUTED_VALUE"""),"Sipring")</f>
        <v>Sipring</v>
      </c>
      <c r="E300" s="2"/>
      <c r="F300" s="3">
        <f>IFERROR(__xludf.DUMMYFUNCTION("""COMPUTED_VALUE"""),60186.0)</f>
        <v>60186</v>
      </c>
      <c r="G300" s="2" t="str">
        <f>IFERROR(__xludf.DUMMYFUNCTION("""COMPUTED_VALUE"""),"Natures Conservation P Ltd")</f>
        <v>Natures Conservation P Ltd</v>
      </c>
      <c r="H300" s="2"/>
      <c r="I300" s="2" t="str">
        <f>IFERROR(__xludf.DUMMYFUNCTION("""COMPUTED_VALUE"""),"27o 49' 50""")</f>
        <v>27o 49' 50"</v>
      </c>
      <c r="J300" s="2" t="str">
        <f>IFERROR(__xludf.DUMMYFUNCTION("""COMPUTED_VALUE"""),"27o 52' 50""")</f>
        <v>27o 52' 50"</v>
      </c>
      <c r="K300" s="2" t="str">
        <f>IFERROR(__xludf.DUMMYFUNCTION("""COMPUTED_VALUE"""),"86o 15' 19""")</f>
        <v>86o 15' 19"</v>
      </c>
      <c r="L300" s="2" t="str">
        <f>IFERROR(__xludf.DUMMYFUNCTION("""COMPUTED_VALUE"""),"86o 17' 30""")</f>
        <v>86o 17' 30"</v>
      </c>
      <c r="M300" s="2" t="str">
        <f>IFERROR(__xludf.DUMMYFUNCTION("""COMPUTED_VALUE"""),"(Dolakha)")</f>
        <v>(Dolakha)</v>
      </c>
    </row>
    <row r="301">
      <c r="A301" s="2">
        <f>IFERROR(__xludf.DUMMYFUNCTION("""COMPUTED_VALUE"""),300.0)</f>
        <v>300</v>
      </c>
      <c r="B301" s="2" t="str">
        <f>IFERROR(__xludf.DUMMYFUNCTION("""COMPUTED_VALUE"""),"Ghatte Khola")</f>
        <v>Ghatte Khola</v>
      </c>
      <c r="C301" s="2">
        <f>IFERROR(__xludf.DUMMYFUNCTION("""COMPUTED_VALUE"""),0.43)</f>
        <v>0.43</v>
      </c>
      <c r="D301" s="2" t="str">
        <f>IFERROR(__xludf.DUMMYFUNCTION("""COMPUTED_VALUE"""),"Ghatte Khola")</f>
        <v>Ghatte Khola</v>
      </c>
      <c r="E301" s="2"/>
      <c r="F301" s="3">
        <f>IFERROR(__xludf.DUMMYFUNCTION("""COMPUTED_VALUE"""),60186.0)</f>
        <v>60186</v>
      </c>
      <c r="G301" s="2" t="str">
        <f>IFERROR(__xludf.DUMMYFUNCTION("""COMPUTED_VALUE"""),"Phupra Lama")</f>
        <v>Phupra Lama</v>
      </c>
      <c r="H301" s="2"/>
      <c r="I301" s="2" t="str">
        <f>IFERROR(__xludf.DUMMYFUNCTION("""COMPUTED_VALUE"""),"27o 53' 15""")</f>
        <v>27o 53' 15"</v>
      </c>
      <c r="J301" s="2" t="str">
        <f>IFERROR(__xludf.DUMMYFUNCTION("""COMPUTED_VALUE"""),"27o 53' 47""")</f>
        <v>27o 53' 47"</v>
      </c>
      <c r="K301" s="2" t="str">
        <f>IFERROR(__xludf.DUMMYFUNCTION("""COMPUTED_VALUE"""),"85o 45' 00""")</f>
        <v>85o 45' 00"</v>
      </c>
      <c r="L301" s="2" t="str">
        <f>IFERROR(__xludf.DUMMYFUNCTION("""COMPUTED_VALUE"""),"85o 45' 44""")</f>
        <v>85o 45' 44"</v>
      </c>
      <c r="M301" s="2" t="str">
        <f>IFERROR(__xludf.DUMMYFUNCTION("""COMPUTED_VALUE"""),"(Sindhupalchok)")</f>
        <v>(Sindhupalchok)</v>
      </c>
    </row>
    <row r="302">
      <c r="A302" s="2">
        <f>IFERROR(__xludf.DUMMYFUNCTION("""COMPUTED_VALUE"""),301.0)</f>
        <v>301</v>
      </c>
      <c r="B302" s="2" t="str">
        <f>IFERROR(__xludf.DUMMYFUNCTION("""COMPUTED_VALUE"""),"Ramgad")</f>
        <v>Ramgad</v>
      </c>
      <c r="C302" s="2">
        <f>IFERROR(__xludf.DUMMYFUNCTION("""COMPUTED_VALUE"""),0.987)</f>
        <v>0.987</v>
      </c>
      <c r="D302" s="2" t="str">
        <f>IFERROR(__xludf.DUMMYFUNCTION("""COMPUTED_VALUE"""),"Ram Gad")</f>
        <v>Ram Gad</v>
      </c>
      <c r="E302" s="2"/>
      <c r="F302" s="3">
        <f>IFERROR(__xludf.DUMMYFUNCTION("""COMPUTED_VALUE"""),60186.0)</f>
        <v>60186</v>
      </c>
      <c r="G302" s="2" t="str">
        <f>IFERROR(__xludf.DUMMYFUNCTION("""COMPUTED_VALUE"""),"Ambika Kumari Bogati")</f>
        <v>Ambika Kumari Bogati</v>
      </c>
      <c r="H302" s="2"/>
      <c r="I302" s="2" t="str">
        <f>IFERROR(__xludf.DUMMYFUNCTION("""COMPUTED_VALUE"""),"28o 54' 53""")</f>
        <v>28o 54' 53"</v>
      </c>
      <c r="J302" s="2" t="str">
        <f>IFERROR(__xludf.DUMMYFUNCTION("""COMPUTED_VALUE"""),"28o 57' 30""")</f>
        <v>28o 57' 30"</v>
      </c>
      <c r="K302" s="2" t="str">
        <f>IFERROR(__xludf.DUMMYFUNCTION("""COMPUTED_VALUE"""),"81o 28' 55""")</f>
        <v>81o 28' 55"</v>
      </c>
      <c r="L302" s="2" t="str">
        <f>IFERROR(__xludf.DUMMYFUNCTION("""COMPUTED_VALUE"""),"81o 32' 55""")</f>
        <v>81o 32' 55"</v>
      </c>
      <c r="M302" s="2" t="str">
        <f>IFERROR(__xludf.DUMMYFUNCTION("""COMPUTED_VALUE"""),"(Dailekh)")</f>
        <v>(Dailekh)</v>
      </c>
    </row>
    <row r="303">
      <c r="A303" s="2">
        <f>IFERROR(__xludf.DUMMYFUNCTION("""COMPUTED_VALUE"""),302.0)</f>
        <v>302</v>
      </c>
      <c r="B303" s="2" t="str">
        <f>IFERROR(__xludf.DUMMYFUNCTION("""COMPUTED_VALUE"""),"Sot Khola")</f>
        <v>Sot Khola</v>
      </c>
      <c r="C303" s="2">
        <f>IFERROR(__xludf.DUMMYFUNCTION("""COMPUTED_VALUE"""),0.99)</f>
        <v>0.99</v>
      </c>
      <c r="D303" s="2" t="str">
        <f>IFERROR(__xludf.DUMMYFUNCTION("""COMPUTED_VALUE"""),"Soti Khola")</f>
        <v>Soti Khola</v>
      </c>
      <c r="E303" s="2"/>
      <c r="F303" s="3">
        <f>IFERROR(__xludf.DUMMYFUNCTION("""COMPUTED_VALUE"""),60186.0)</f>
        <v>60186</v>
      </c>
      <c r="G303" s="2" t="str">
        <f>IFERROR(__xludf.DUMMYFUNCTION("""COMPUTED_VALUE"""),"Basant sharma")</f>
        <v>Basant sharma</v>
      </c>
      <c r="H303" s="2"/>
      <c r="I303" s="2" t="str">
        <f>IFERROR(__xludf.DUMMYFUNCTION("""COMPUTED_VALUE"""),"00o 00' 00""")</f>
        <v>00o 00' 00"</v>
      </c>
      <c r="J303" s="2" t="str">
        <f>IFERROR(__xludf.DUMMYFUNCTION("""COMPUTED_VALUE"""),"00o 00' 00""")</f>
        <v>00o 00' 00"</v>
      </c>
      <c r="K303" s="2" t="str">
        <f>IFERROR(__xludf.DUMMYFUNCTION("""COMPUTED_VALUE"""),"00o 00' 00""")</f>
        <v>00o 00' 00"</v>
      </c>
      <c r="L303" s="2" t="str">
        <f>IFERROR(__xludf.DUMMYFUNCTION("""COMPUTED_VALUE"""),"00o 00' 00""")</f>
        <v>00o 00' 00"</v>
      </c>
      <c r="M303" s="2" t="str">
        <f>IFERROR(__xludf.DUMMYFUNCTION("""COMPUTED_VALUE"""),"(Surkhet)")</f>
        <v>(Surkhet)</v>
      </c>
    </row>
    <row r="304">
      <c r="A304" s="2">
        <f>IFERROR(__xludf.DUMMYFUNCTION("""COMPUTED_VALUE"""),303.0)</f>
        <v>303</v>
      </c>
      <c r="B304" s="2" t="str">
        <f>IFERROR(__xludf.DUMMYFUNCTION("""COMPUTED_VALUE"""),"Tumling Sabha")</f>
        <v>Tumling Sabha</v>
      </c>
      <c r="C304" s="2">
        <f>IFERROR(__xludf.DUMMYFUNCTION("""COMPUTED_VALUE"""),15.0)</f>
        <v>15</v>
      </c>
      <c r="D304" s="2" t="str">
        <f>IFERROR(__xludf.DUMMYFUNCTION("""COMPUTED_VALUE"""),"Sabha Khola")</f>
        <v>Sabha Khola</v>
      </c>
      <c r="E304" s="2">
        <f>IFERROR(__xludf.DUMMYFUNCTION("""COMPUTED_VALUE"""),1825.0)</f>
        <v>1825</v>
      </c>
      <c r="F304" s="3">
        <f>IFERROR(__xludf.DUMMYFUNCTION("""COMPUTED_VALUE"""),60186.0)</f>
        <v>60186</v>
      </c>
      <c r="G304" s="2" t="str">
        <f>IFERROR(__xludf.DUMMYFUNCTION("""COMPUTED_VALUE"""),"Shivamm Hydropower Pvt. Ltd.")</f>
        <v>Shivamm Hydropower Pvt. Ltd.</v>
      </c>
      <c r="H304" s="2"/>
      <c r="I304" s="2" t="str">
        <f>IFERROR(__xludf.DUMMYFUNCTION("""COMPUTED_VALUE"""),"27o 18' 52""")</f>
        <v>27o 18' 52"</v>
      </c>
      <c r="J304" s="2" t="str">
        <f>IFERROR(__xludf.DUMMYFUNCTION("""COMPUTED_VALUE"""),"27o 22' 09""")</f>
        <v>27o 22' 09"</v>
      </c>
      <c r="K304" s="2" t="str">
        <f>IFERROR(__xludf.DUMMYFUNCTION("""COMPUTED_VALUE"""),"87o 15' 00""")</f>
        <v>87o 15' 00"</v>
      </c>
      <c r="L304" s="2" t="str">
        <f>IFERROR(__xludf.DUMMYFUNCTION("""COMPUTED_VALUE"""),"87o 17' 52""")</f>
        <v>87o 17' 52"</v>
      </c>
      <c r="M304" s="2" t="str">
        <f>IFERROR(__xludf.DUMMYFUNCTION("""COMPUTED_VALUE"""),"Bana,Syabun,Dhupu,Manakamana (Sankhuwasabha)")</f>
        <v>Bana,Syabun,Dhupu,Manakamana (Sankhuwasabha)</v>
      </c>
    </row>
    <row r="305">
      <c r="A305" s="2">
        <f>IFERROR(__xludf.DUMMYFUNCTION("""COMPUTED_VALUE"""),304.0)</f>
        <v>304</v>
      </c>
      <c r="B305" s="2" t="str">
        <f>IFERROR(__xludf.DUMMYFUNCTION("""COMPUTED_VALUE"""),"Takparang")</f>
        <v>Takparang</v>
      </c>
      <c r="C305" s="2">
        <f>IFERROR(__xludf.DUMMYFUNCTION("""COMPUTED_VALUE"""),0.35)</f>
        <v>0.35</v>
      </c>
      <c r="D305" s="2" t="str">
        <f>IFERROR(__xludf.DUMMYFUNCTION("""COMPUTED_VALUE"""),"Takparang")</f>
        <v>Takparang</v>
      </c>
      <c r="E305" s="2"/>
      <c r="F305" s="3">
        <f>IFERROR(__xludf.DUMMYFUNCTION("""COMPUTED_VALUE"""),60188.0)</f>
        <v>60188</v>
      </c>
      <c r="G305" s="2" t="str">
        <f>IFERROR(__xludf.DUMMYFUNCTION("""COMPUTED_VALUE"""),"Ratna Bahadur Lama")</f>
        <v>Ratna Bahadur Lama</v>
      </c>
      <c r="H305" s="2"/>
      <c r="I305" s="2" t="str">
        <f>IFERROR(__xludf.DUMMYFUNCTION("""COMPUTED_VALUE"""),"27o 53' 55""")</f>
        <v>27o 53' 55"</v>
      </c>
      <c r="J305" s="2" t="str">
        <f>IFERROR(__xludf.DUMMYFUNCTION("""COMPUTED_VALUE"""),"27o 55' 00""")</f>
        <v>27o 55' 00"</v>
      </c>
      <c r="K305" s="2" t="str">
        <f>IFERROR(__xludf.DUMMYFUNCTION("""COMPUTED_VALUE"""),"85o 45' 00""")</f>
        <v>85o 45' 00"</v>
      </c>
      <c r="L305" s="2" t="str">
        <f>IFERROR(__xludf.DUMMYFUNCTION("""COMPUTED_VALUE"""),"85o 46' 13""")</f>
        <v>85o 46' 13"</v>
      </c>
      <c r="M305" s="2" t="str">
        <f>IFERROR(__xludf.DUMMYFUNCTION("""COMPUTED_VALUE"""),"(Sindhupalchok)")</f>
        <v>(Sindhupalchok)</v>
      </c>
    </row>
    <row r="306">
      <c r="A306" s="2">
        <f>IFERROR(__xludf.DUMMYFUNCTION("""COMPUTED_VALUE"""),305.0)</f>
        <v>305</v>
      </c>
      <c r="B306" s="2" t="str">
        <f>IFERROR(__xludf.DUMMYFUNCTION("""COMPUTED_VALUE"""),"Shyauliban Khola")</f>
        <v>Shyauliban Khola</v>
      </c>
      <c r="C306" s="2">
        <f>IFERROR(__xludf.DUMMYFUNCTION("""COMPUTED_VALUE"""),0.99)</f>
        <v>0.99</v>
      </c>
      <c r="D306" s="2" t="str">
        <f>IFERROR(__xludf.DUMMYFUNCTION("""COMPUTED_VALUE"""),"Shyauliban")</f>
        <v>Shyauliban</v>
      </c>
      <c r="E306" s="2"/>
      <c r="F306" s="3">
        <f>IFERROR(__xludf.DUMMYFUNCTION("""COMPUTED_VALUE"""),60188.0)</f>
        <v>60188</v>
      </c>
      <c r="G306" s="2" t="str">
        <f>IFERROR(__xludf.DUMMYFUNCTION("""COMPUTED_VALUE"""),"Basant Sharma")</f>
        <v>Basant Sharma</v>
      </c>
      <c r="H306" s="2"/>
      <c r="I306" s="2" t="str">
        <f>IFERROR(__xludf.DUMMYFUNCTION("""COMPUTED_VALUE"""),"28o 15' 00""")</f>
        <v>28o 15' 00"</v>
      </c>
      <c r="J306" s="2" t="str">
        <f>IFERROR(__xludf.DUMMYFUNCTION("""COMPUTED_VALUE"""),"28o 17' 30""")</f>
        <v>28o 17' 30"</v>
      </c>
      <c r="K306" s="2" t="str">
        <f>IFERROR(__xludf.DUMMYFUNCTION("""COMPUTED_VALUE"""),"82o 55' 00""")</f>
        <v>82o 55' 00"</v>
      </c>
      <c r="L306" s="2" t="str">
        <f>IFERROR(__xludf.DUMMYFUNCTION("""COMPUTED_VALUE"""),"82o 57' 30""")</f>
        <v>82o 57' 30"</v>
      </c>
      <c r="M306" s="2" t="str">
        <f>IFERROR(__xludf.DUMMYFUNCTION("""COMPUTED_VALUE"""),"(Pyuthan)")</f>
        <v>(Pyuthan)</v>
      </c>
    </row>
    <row r="307">
      <c r="A307" s="2">
        <f>IFERROR(__xludf.DUMMYFUNCTION("""COMPUTED_VALUE"""),306.0)</f>
        <v>306</v>
      </c>
      <c r="B307" s="2" t="str">
        <f>IFERROR(__xludf.DUMMYFUNCTION("""COMPUTED_VALUE"""),"Thabang Khola")</f>
        <v>Thabang Khola</v>
      </c>
      <c r="C307" s="2">
        <f>IFERROR(__xludf.DUMMYFUNCTION("""COMPUTED_VALUE"""),0.999)</f>
        <v>0.999</v>
      </c>
      <c r="D307" s="2" t="str">
        <f>IFERROR(__xludf.DUMMYFUNCTION("""COMPUTED_VALUE"""),"Thabang")</f>
        <v>Thabang</v>
      </c>
      <c r="E307" s="2"/>
      <c r="F307" s="3">
        <f>IFERROR(__xludf.DUMMYFUNCTION("""COMPUTED_VALUE"""),60188.0)</f>
        <v>60188</v>
      </c>
      <c r="G307" s="2" t="str">
        <f>IFERROR(__xludf.DUMMYFUNCTION("""COMPUTED_VALUE"""),"Basant Sharma")</f>
        <v>Basant Sharma</v>
      </c>
      <c r="H307" s="2"/>
      <c r="I307" s="2" t="str">
        <f>IFERROR(__xludf.DUMMYFUNCTION("""COMPUTED_VALUE"""),"00o 00' 00""")</f>
        <v>00o 00' 00"</v>
      </c>
      <c r="J307" s="2" t="str">
        <f>IFERROR(__xludf.DUMMYFUNCTION("""COMPUTED_VALUE"""),"00o 00' 00""")</f>
        <v>00o 00' 00"</v>
      </c>
      <c r="K307" s="2" t="str">
        <f>IFERROR(__xludf.DUMMYFUNCTION("""COMPUTED_VALUE"""),"00o 00' 00""")</f>
        <v>00o 00' 00"</v>
      </c>
      <c r="L307" s="2" t="str">
        <f>IFERROR(__xludf.DUMMYFUNCTION("""COMPUTED_VALUE"""),"00o 00' 00""")</f>
        <v>00o 00' 00"</v>
      </c>
      <c r="M307" s="2" t="str">
        <f>IFERROR(__xludf.DUMMYFUNCTION("""COMPUTED_VALUE"""),"(Rukum)")</f>
        <v>(Rukum)</v>
      </c>
    </row>
    <row r="308">
      <c r="A308" s="2">
        <f>IFERROR(__xludf.DUMMYFUNCTION("""COMPUTED_VALUE"""),307.0)</f>
        <v>307</v>
      </c>
      <c r="B308" s="2" t="str">
        <f>IFERROR(__xludf.DUMMYFUNCTION("""COMPUTED_VALUE"""),"Phagam Khola")</f>
        <v>Phagam Khola</v>
      </c>
      <c r="C308" s="2">
        <f>IFERROR(__xludf.DUMMYFUNCTION("""COMPUTED_VALUE"""),0.77)</f>
        <v>0.77</v>
      </c>
      <c r="D308" s="2" t="str">
        <f>IFERROR(__xludf.DUMMYFUNCTION("""COMPUTED_VALUE"""),"Phagam")</f>
        <v>Phagam</v>
      </c>
      <c r="E308" s="2"/>
      <c r="F308" s="3">
        <f>IFERROR(__xludf.DUMMYFUNCTION("""COMPUTED_VALUE"""),60188.0)</f>
        <v>60188</v>
      </c>
      <c r="G308" s="2" t="str">
        <f>IFERROR(__xludf.DUMMYFUNCTION("""COMPUTED_VALUE"""),"Vijay Malla")</f>
        <v>Vijay Malla</v>
      </c>
      <c r="H308" s="2"/>
      <c r="I308" s="2" t="str">
        <f>IFERROR(__xludf.DUMMYFUNCTION("""COMPUTED_VALUE"""),"28o 15' 00""")</f>
        <v>28o 15' 00"</v>
      </c>
      <c r="J308" s="2" t="str">
        <f>IFERROR(__xludf.DUMMYFUNCTION("""COMPUTED_VALUE"""),"28o 17' 30""")</f>
        <v>28o 17' 30"</v>
      </c>
      <c r="K308" s="2" t="str">
        <f>IFERROR(__xludf.DUMMYFUNCTION("""COMPUTED_VALUE"""),"82o 43' 53""")</f>
        <v>82o 43' 53"</v>
      </c>
      <c r="L308" s="2" t="str">
        <f>IFERROR(__xludf.DUMMYFUNCTION("""COMPUTED_VALUE"""),"82o 45' 24""")</f>
        <v>82o 45' 24"</v>
      </c>
      <c r="M308" s="2" t="str">
        <f>IFERROR(__xludf.DUMMYFUNCTION("""COMPUTED_VALUE"""),"(Rolpa)")</f>
        <v>(Rolpa)</v>
      </c>
    </row>
    <row r="309">
      <c r="A309" s="2">
        <f>IFERROR(__xludf.DUMMYFUNCTION("""COMPUTED_VALUE"""),308.0)</f>
        <v>308</v>
      </c>
      <c r="B309" s="2" t="str">
        <f>IFERROR(__xludf.DUMMYFUNCTION("""COMPUTED_VALUE"""),"Upper Hewa I")</f>
        <v>Upper Hewa I</v>
      </c>
      <c r="C309" s="2">
        <f>IFERROR(__xludf.DUMMYFUNCTION("""COMPUTED_VALUE"""),2.5)</f>
        <v>2.5</v>
      </c>
      <c r="D309" s="2" t="str">
        <f>IFERROR(__xludf.DUMMYFUNCTION("""COMPUTED_VALUE"""),"Hewa Khola")</f>
        <v>Hewa Khola</v>
      </c>
      <c r="E309" s="2"/>
      <c r="F309" s="3">
        <f>IFERROR(__xludf.DUMMYFUNCTION("""COMPUTED_VALUE"""),60188.0)</f>
        <v>60188</v>
      </c>
      <c r="G309" s="2" t="str">
        <f>IFERROR(__xludf.DUMMYFUNCTION("""COMPUTED_VALUE"""),"Sumitra Khatri")</f>
        <v>Sumitra Khatri</v>
      </c>
      <c r="H309" s="2"/>
      <c r="I309" s="2" t="str">
        <f>IFERROR(__xludf.DUMMYFUNCTION("""COMPUTED_VALUE"""),"27o 20' 56""")</f>
        <v>27o 20' 56"</v>
      </c>
      <c r="J309" s="2" t="str">
        <f>IFERROR(__xludf.DUMMYFUNCTION("""COMPUTED_VALUE"""),"27o 22' 23""")</f>
        <v>27o 22' 23"</v>
      </c>
      <c r="K309" s="2" t="str">
        <f>IFERROR(__xludf.DUMMYFUNCTION("""COMPUTED_VALUE"""),"87o 22' 08""")</f>
        <v>87o 22' 08"</v>
      </c>
      <c r="L309" s="2" t="str">
        <f>IFERROR(__xludf.DUMMYFUNCTION("""COMPUTED_VALUE"""),"87o 24' 14""")</f>
        <v>87o 24' 14"</v>
      </c>
      <c r="M309" s="2" t="str">
        <f>IFERROR(__xludf.DUMMYFUNCTION("""COMPUTED_VALUE"""),"(Sankhuwasabha)")</f>
        <v>(Sankhuwasabha)</v>
      </c>
    </row>
    <row r="310">
      <c r="A310" s="2">
        <f>IFERROR(__xludf.DUMMYFUNCTION("""COMPUTED_VALUE"""),309.0)</f>
        <v>309</v>
      </c>
      <c r="B310" s="2" t="str">
        <f>IFERROR(__xludf.DUMMYFUNCTION("""COMPUTED_VALUE"""),"Chino")</f>
        <v>Chino</v>
      </c>
      <c r="C310" s="2">
        <f>IFERROR(__xludf.DUMMYFUNCTION("""COMPUTED_VALUE"""),0.998)</f>
        <v>0.998</v>
      </c>
      <c r="D310" s="2" t="str">
        <f>IFERROR(__xludf.DUMMYFUNCTION("""COMPUTED_VALUE"""),"Chino")</f>
        <v>Chino</v>
      </c>
      <c r="E310" s="2"/>
      <c r="F310" s="3">
        <f>IFERROR(__xludf.DUMMYFUNCTION("""COMPUTED_VALUE"""),60189.0)</f>
        <v>60189</v>
      </c>
      <c r="G310" s="2" t="str">
        <f>IFERROR(__xludf.DUMMYFUNCTION("""COMPUTED_VALUE"""),"Bir Bahadur Ghale/Karma Sherpa/Lama")</f>
        <v>Bir Bahadur Ghale/Karma Sherpa/Lama</v>
      </c>
      <c r="H310" s="2"/>
      <c r="I310" s="2" t="str">
        <f>IFERROR(__xludf.DUMMYFUNCTION("""COMPUTED_VALUE"""),"28o 32' 15""")</f>
        <v>28o 32' 15"</v>
      </c>
      <c r="J310" s="2" t="str">
        <f>IFERROR(__xludf.DUMMYFUNCTION("""COMPUTED_VALUE"""),"28o 33' 30""")</f>
        <v>28o 33' 30"</v>
      </c>
      <c r="K310" s="2" t="str">
        <f>IFERROR(__xludf.DUMMYFUNCTION("""COMPUTED_VALUE"""),"84o 19' 00""")</f>
        <v>84o 19' 00"</v>
      </c>
      <c r="L310" s="2" t="str">
        <f>IFERROR(__xludf.DUMMYFUNCTION("""COMPUTED_VALUE"""),"84o 21' 00""")</f>
        <v>84o 21' 00"</v>
      </c>
      <c r="M310" s="2" t="str">
        <f>IFERROR(__xludf.DUMMYFUNCTION("""COMPUTED_VALUE"""),"(Manang)")</f>
        <v>(Manang)</v>
      </c>
    </row>
    <row r="311">
      <c r="A311" s="2">
        <f>IFERROR(__xludf.DUMMYFUNCTION("""COMPUTED_VALUE"""),310.0)</f>
        <v>310</v>
      </c>
      <c r="B311" s="2" t="str">
        <f>IFERROR(__xludf.DUMMYFUNCTION("""COMPUTED_VALUE"""),"Nisti khola")</f>
        <v>Nisti khola</v>
      </c>
      <c r="C311" s="2">
        <f>IFERROR(__xludf.DUMMYFUNCTION("""COMPUTED_VALUE"""),0.99)</f>
        <v>0.99</v>
      </c>
      <c r="D311" s="2" t="str">
        <f>IFERROR(__xludf.DUMMYFUNCTION("""COMPUTED_VALUE"""),"Nisti Khola")</f>
        <v>Nisti Khola</v>
      </c>
      <c r="E311" s="2"/>
      <c r="F311" s="3">
        <f>IFERROR(__xludf.DUMMYFUNCTION("""COMPUTED_VALUE"""),60189.0)</f>
        <v>60189</v>
      </c>
      <c r="G311" s="2" t="str">
        <f>IFERROR(__xludf.DUMMYFUNCTION("""COMPUTED_VALUE"""),"Dr. Chandraprasad Pokhrel/ Damodar Bhusal")</f>
        <v>Dr. Chandraprasad Pokhrel/ Damodar Bhusal</v>
      </c>
      <c r="H311" s="2"/>
      <c r="I311" s="2" t="str">
        <f>IFERROR(__xludf.DUMMYFUNCTION("""COMPUTED_VALUE"""),"28o 12' 30""")</f>
        <v>28o 12' 30"</v>
      </c>
      <c r="J311" s="2" t="str">
        <f>IFERROR(__xludf.DUMMYFUNCTION("""COMPUTED_VALUE"""),"28o 13' 45""")</f>
        <v>28o 13' 45"</v>
      </c>
      <c r="K311" s="2" t="str">
        <f>IFERROR(__xludf.DUMMYFUNCTION("""COMPUTED_VALUE"""),"83o 12' 55""")</f>
        <v>83o 12' 55"</v>
      </c>
      <c r="L311" s="2" t="str">
        <f>IFERROR(__xludf.DUMMYFUNCTION("""COMPUTED_VALUE"""),"83o 15' 00""")</f>
        <v>83o 15' 00"</v>
      </c>
      <c r="M311" s="2" t="str">
        <f>IFERROR(__xludf.DUMMYFUNCTION("""COMPUTED_VALUE"""),"(Gulmi)")</f>
        <v>(Gulmi)</v>
      </c>
    </row>
    <row r="312">
      <c r="A312" s="2">
        <f>IFERROR(__xludf.DUMMYFUNCTION("""COMPUTED_VALUE"""),311.0)</f>
        <v>311</v>
      </c>
      <c r="B312" s="2" t="str">
        <f>IFERROR(__xludf.DUMMYFUNCTION("""COMPUTED_VALUE"""),"Middle Sabha")</f>
        <v>Middle Sabha</v>
      </c>
      <c r="C312" s="2">
        <f>IFERROR(__xludf.DUMMYFUNCTION("""COMPUTED_VALUE"""),10.0)</f>
        <v>10</v>
      </c>
      <c r="D312" s="2" t="str">
        <f>IFERROR(__xludf.DUMMYFUNCTION("""COMPUTED_VALUE"""),"Sabha Khola")</f>
        <v>Sabha Khola</v>
      </c>
      <c r="E312" s="2">
        <f>IFERROR(__xludf.DUMMYFUNCTION("""COMPUTED_VALUE"""),1865.0)</f>
        <v>1865</v>
      </c>
      <c r="F312" s="3">
        <f>IFERROR(__xludf.DUMMYFUNCTION("""COMPUTED_VALUE"""),60189.0)</f>
        <v>60189</v>
      </c>
      <c r="G312" s="2" t="str">
        <f>IFERROR(__xludf.DUMMYFUNCTION("""COMPUTED_VALUE"""),"Shibam Hydropower")</f>
        <v>Shibam Hydropower</v>
      </c>
      <c r="H312" s="2" t="str">
        <f>IFERROR(__xludf.DUMMYFUNCTION("""COMPUTED_VALUE"""),"kathmandu")</f>
        <v>kathmandu</v>
      </c>
      <c r="I312" s="2" t="str">
        <f>IFERROR(__xludf.DUMMYFUNCTION("""COMPUTED_VALUE"""),"27o 20' 49""")</f>
        <v>27o 20' 49"</v>
      </c>
      <c r="J312" s="2" t="str">
        <f>IFERROR(__xludf.DUMMYFUNCTION("""COMPUTED_VALUE"""),"27o 25' 00""")</f>
        <v>27o 25' 00"</v>
      </c>
      <c r="K312" s="2" t="str">
        <f>IFERROR(__xludf.DUMMYFUNCTION("""COMPUTED_VALUE"""),"87o 15' 00""")</f>
        <v>87o 15' 00"</v>
      </c>
      <c r="L312" s="2" t="str">
        <f>IFERROR(__xludf.DUMMYFUNCTION("""COMPUTED_VALUE"""),"87o 20' 00""")</f>
        <v>87o 20' 00"</v>
      </c>
      <c r="M312" s="2" t="str">
        <f>IFERROR(__xludf.DUMMYFUNCTION("""COMPUTED_VALUE"""),"(Sankhuwasabha)")</f>
        <v>(Sankhuwasabha)</v>
      </c>
    </row>
    <row r="313">
      <c r="A313" s="2">
        <f>IFERROR(__xludf.DUMMYFUNCTION("""COMPUTED_VALUE"""),312.0)</f>
        <v>312</v>
      </c>
      <c r="B313" s="2" t="str">
        <f>IFERROR(__xludf.DUMMYFUNCTION("""COMPUTED_VALUE"""),"Mid Molung")</f>
        <v>Mid Molung</v>
      </c>
      <c r="C313" s="2">
        <f>IFERROR(__xludf.DUMMYFUNCTION("""COMPUTED_VALUE"""),2.5)</f>
        <v>2.5</v>
      </c>
      <c r="D313" s="2" t="str">
        <f>IFERROR(__xludf.DUMMYFUNCTION("""COMPUTED_VALUE"""),"Molung")</f>
        <v>Molung</v>
      </c>
      <c r="E313" s="2">
        <f>IFERROR(__xludf.DUMMYFUNCTION("""COMPUTED_VALUE"""),1862.0)</f>
        <v>1862</v>
      </c>
      <c r="F313" s="3">
        <f>IFERROR(__xludf.DUMMYFUNCTION("""COMPUTED_VALUE"""),60189.0)</f>
        <v>60189</v>
      </c>
      <c r="G313" s="2" t="str">
        <f>IFERROR(__xludf.DUMMYFUNCTION("""COMPUTED_VALUE"""),"Prakash Adhikari")</f>
        <v>Prakash Adhikari</v>
      </c>
      <c r="H313" s="2" t="str">
        <f>IFERROR(__xludf.DUMMYFUNCTION("""COMPUTED_VALUE"""),"Swayambhu kathmandu Tel 9841336888")</f>
        <v>Swayambhu kathmandu Tel 9841336888</v>
      </c>
      <c r="I313" s="2" t="str">
        <f>IFERROR(__xludf.DUMMYFUNCTION("""COMPUTED_VALUE"""),"27o 14' 15""")</f>
        <v>27o 14' 15"</v>
      </c>
      <c r="J313" s="2" t="str">
        <f>IFERROR(__xludf.DUMMYFUNCTION("""COMPUTED_VALUE"""),"27o 16' 00""")</f>
        <v>27o 16' 00"</v>
      </c>
      <c r="K313" s="2" t="str">
        <f>IFERROR(__xludf.DUMMYFUNCTION("""COMPUTED_VALUE"""),"86o 25' 00""")</f>
        <v>86o 25' 00"</v>
      </c>
      <c r="L313" s="2" t="str">
        <f>IFERROR(__xludf.DUMMYFUNCTION("""COMPUTED_VALUE"""),"86o 27' 00""")</f>
        <v>86o 27' 00"</v>
      </c>
      <c r="M313" s="2" t="str">
        <f>IFERROR(__xludf.DUMMYFUNCTION("""COMPUTED_VALUE"""),"Mulkharka (Okhaldhunga)")</f>
        <v>Mulkharka (Okhaldhunga)</v>
      </c>
    </row>
    <row r="314">
      <c r="A314" s="2">
        <f>IFERROR(__xludf.DUMMYFUNCTION("""COMPUTED_VALUE"""),313.0)</f>
        <v>313</v>
      </c>
      <c r="B314" s="2" t="str">
        <f>IFERROR(__xludf.DUMMYFUNCTION("""COMPUTED_VALUE"""),"Rukumgad")</f>
        <v>Rukumgad</v>
      </c>
      <c r="C314" s="2">
        <f>IFERROR(__xludf.DUMMYFUNCTION("""COMPUTED_VALUE"""),0.995)</f>
        <v>0.995</v>
      </c>
      <c r="D314" s="2" t="str">
        <f>IFERROR(__xludf.DUMMYFUNCTION("""COMPUTED_VALUE"""),"Rukum Gad")</f>
        <v>Rukum Gad</v>
      </c>
      <c r="E314" s="2"/>
      <c r="F314" s="3">
        <f>IFERROR(__xludf.DUMMYFUNCTION("""COMPUTED_VALUE"""),60190.0)</f>
        <v>60190</v>
      </c>
      <c r="G314" s="2" t="str">
        <f>IFERROR(__xludf.DUMMYFUNCTION("""COMPUTED_VALUE"""),"Basant Sharma")</f>
        <v>Basant Sharma</v>
      </c>
      <c r="H314" s="2"/>
      <c r="I314" s="2" t="str">
        <f>IFERROR(__xludf.DUMMYFUNCTION("""COMPUTED_VALUE"""),"00o 00' 00""")</f>
        <v>00o 00' 00"</v>
      </c>
      <c r="J314" s="2" t="str">
        <f>IFERROR(__xludf.DUMMYFUNCTION("""COMPUTED_VALUE"""),"00o 00' 00""")</f>
        <v>00o 00' 00"</v>
      </c>
      <c r="K314" s="2" t="str">
        <f>IFERROR(__xludf.DUMMYFUNCTION("""COMPUTED_VALUE"""),"00o 00' 00""")</f>
        <v>00o 00' 00"</v>
      </c>
      <c r="L314" s="2" t="str">
        <f>IFERROR(__xludf.DUMMYFUNCTION("""COMPUTED_VALUE"""),"00o 00' 00""")</f>
        <v>00o 00' 00"</v>
      </c>
      <c r="M314" s="2" t="str">
        <f>IFERROR(__xludf.DUMMYFUNCTION("""COMPUTED_VALUE"""),"(Rukum)")</f>
        <v>(Rukum)</v>
      </c>
    </row>
    <row r="315">
      <c r="A315" s="2">
        <f>IFERROR(__xludf.DUMMYFUNCTION("""COMPUTED_VALUE"""),314.0)</f>
        <v>314</v>
      </c>
      <c r="B315" s="2" t="str">
        <f>IFERROR(__xludf.DUMMYFUNCTION("""COMPUTED_VALUE"""),"Dotigad")</f>
        <v>Dotigad</v>
      </c>
      <c r="C315" s="2">
        <f>IFERROR(__xludf.DUMMYFUNCTION("""COMPUTED_VALUE"""),0.922)</f>
        <v>0.922</v>
      </c>
      <c r="D315" s="2" t="str">
        <f>IFERROR(__xludf.DUMMYFUNCTION("""COMPUTED_VALUE"""),"Doti Gad")</f>
        <v>Doti Gad</v>
      </c>
      <c r="E315" s="2"/>
      <c r="F315" s="3">
        <f>IFERROR(__xludf.DUMMYFUNCTION("""COMPUTED_VALUE"""),60190.0)</f>
        <v>60190</v>
      </c>
      <c r="G315" s="2" t="str">
        <f>IFERROR(__xludf.DUMMYFUNCTION("""COMPUTED_VALUE"""),"Kuber Mani Nepal / Tilak Joshi")</f>
        <v>Kuber Mani Nepal / Tilak Joshi</v>
      </c>
      <c r="H315" s="2"/>
      <c r="I315" s="2" t="str">
        <f>IFERROR(__xludf.DUMMYFUNCTION("""COMPUTED_VALUE"""),"29o 16' 27""")</f>
        <v>29o 16' 27"</v>
      </c>
      <c r="J315" s="2" t="str">
        <f>IFERROR(__xludf.DUMMYFUNCTION("""COMPUTED_VALUE"""),"29o 17' 22""")</f>
        <v>29o 17' 22"</v>
      </c>
      <c r="K315" s="2" t="str">
        <f>IFERROR(__xludf.DUMMYFUNCTION("""COMPUTED_VALUE"""),"80o 32' 05""")</f>
        <v>80o 32' 05"</v>
      </c>
      <c r="L315" s="2" t="str">
        <f>IFERROR(__xludf.DUMMYFUNCTION("""COMPUTED_VALUE"""),"80o 32' 41""")</f>
        <v>80o 32' 41"</v>
      </c>
      <c r="M315" s="2" t="str">
        <f>IFERROR(__xludf.DUMMYFUNCTION("""COMPUTED_VALUE"""),"(Dadeldhura)")</f>
        <v>(Dadeldhura)</v>
      </c>
    </row>
    <row r="316">
      <c r="A316" s="2">
        <f>IFERROR(__xludf.DUMMYFUNCTION("""COMPUTED_VALUE"""),315.0)</f>
        <v>315</v>
      </c>
      <c r="B316" s="2" t="str">
        <f>IFERROR(__xludf.DUMMYFUNCTION("""COMPUTED_VALUE"""),"Baruwa Khola")</f>
        <v>Baruwa Khola</v>
      </c>
      <c r="C316" s="2">
        <f>IFERROR(__xludf.DUMMYFUNCTION("""COMPUTED_VALUE"""),0.99)</f>
        <v>0.99</v>
      </c>
      <c r="D316" s="2" t="str">
        <f>IFERROR(__xludf.DUMMYFUNCTION("""COMPUTED_VALUE"""),"Baruwa")</f>
        <v>Baruwa</v>
      </c>
      <c r="E316" s="2"/>
      <c r="F316" s="3">
        <f>IFERROR(__xludf.DUMMYFUNCTION("""COMPUTED_VALUE"""),60192.0)</f>
        <v>60192</v>
      </c>
      <c r="G316" s="2" t="str">
        <f>IFERROR(__xludf.DUMMYFUNCTION("""COMPUTED_VALUE"""),"Arun Kumar Deo")</f>
        <v>Arun Kumar Deo</v>
      </c>
      <c r="H316" s="2"/>
      <c r="I316" s="2" t="str">
        <f>IFERROR(__xludf.DUMMYFUNCTION("""COMPUTED_VALUE"""),"26o 52' 30""")</f>
        <v>26o 52' 30"</v>
      </c>
      <c r="J316" s="2" t="str">
        <f>IFERROR(__xludf.DUMMYFUNCTION("""COMPUTED_VALUE"""),"26o 55' 00""")</f>
        <v>26o 55' 00"</v>
      </c>
      <c r="K316" s="2" t="str">
        <f>IFERROR(__xludf.DUMMYFUNCTION("""COMPUTED_VALUE"""),"86o 40' 30""")</f>
        <v>86o 40' 30"</v>
      </c>
      <c r="L316" s="2" t="str">
        <f>IFERROR(__xludf.DUMMYFUNCTION("""COMPUTED_VALUE"""),"86o 42' 30""")</f>
        <v>86o 42' 30"</v>
      </c>
      <c r="M316" s="2" t="str">
        <f>IFERROR(__xludf.DUMMYFUNCTION("""COMPUTED_VALUE"""),"(Udayapur)")</f>
        <v>(Udayapur)</v>
      </c>
    </row>
    <row r="317">
      <c r="A317" s="2">
        <f>IFERROR(__xludf.DUMMYFUNCTION("""COMPUTED_VALUE"""),316.0)</f>
        <v>316</v>
      </c>
      <c r="B317" s="2" t="str">
        <f>IFERROR(__xludf.DUMMYFUNCTION("""COMPUTED_VALUE"""),"Phadke Khola")</f>
        <v>Phadke Khola</v>
      </c>
      <c r="C317" s="2">
        <f>IFERROR(__xludf.DUMMYFUNCTION("""COMPUTED_VALUE"""),0.96)</f>
        <v>0.96</v>
      </c>
      <c r="D317" s="2" t="str">
        <f>IFERROR(__xludf.DUMMYFUNCTION("""COMPUTED_VALUE"""),"Phadke")</f>
        <v>Phadke</v>
      </c>
      <c r="E317" s="2"/>
      <c r="F317" s="3">
        <f>IFERROR(__xludf.DUMMYFUNCTION("""COMPUTED_VALUE"""),60192.0)</f>
        <v>60192</v>
      </c>
      <c r="G317" s="2" t="str">
        <f>IFERROR(__xludf.DUMMYFUNCTION("""COMPUTED_VALUE"""),"Ram Kumar")</f>
        <v>Ram Kumar</v>
      </c>
      <c r="H317" s="2"/>
      <c r="I317" s="2" t="str">
        <f>IFERROR(__xludf.DUMMYFUNCTION("""COMPUTED_VALUE"""),"27o 31' 25""")</f>
        <v>27o 31' 25"</v>
      </c>
      <c r="J317" s="2" t="str">
        <f>IFERROR(__xludf.DUMMYFUNCTION("""COMPUTED_VALUE"""),"27o 32' 06""")</f>
        <v>27o 32' 06"</v>
      </c>
      <c r="K317" s="2" t="str">
        <f>IFERROR(__xludf.DUMMYFUNCTION("""COMPUTED_VALUE"""),"86o 03' 24""")</f>
        <v>86o 03' 24"</v>
      </c>
      <c r="L317" s="2" t="str">
        <f>IFERROR(__xludf.DUMMYFUNCTION("""COMPUTED_VALUE"""),"86o 05' 03""")</f>
        <v>86o 05' 03"</v>
      </c>
      <c r="M317" s="2" t="str">
        <f>IFERROR(__xludf.DUMMYFUNCTION("""COMPUTED_VALUE"""),"(Dolakha)")</f>
        <v>(Dolakha)</v>
      </c>
    </row>
    <row r="318">
      <c r="A318" s="2">
        <f>IFERROR(__xludf.DUMMYFUNCTION("""COMPUTED_VALUE"""),317.0)</f>
        <v>317</v>
      </c>
      <c r="B318" s="2" t="str">
        <f>IFERROR(__xludf.DUMMYFUNCTION("""COMPUTED_VALUE"""),"Suti Khola")</f>
        <v>Suti Khola</v>
      </c>
      <c r="C318" s="2">
        <f>IFERROR(__xludf.DUMMYFUNCTION("""COMPUTED_VALUE"""),0.996)</f>
        <v>0.996</v>
      </c>
      <c r="D318" s="2" t="str">
        <f>IFERROR(__xludf.DUMMYFUNCTION("""COMPUTED_VALUE"""),"Suti")</f>
        <v>Suti</v>
      </c>
      <c r="E318" s="2"/>
      <c r="F318" s="3">
        <f>IFERROR(__xludf.DUMMYFUNCTION("""COMPUTED_VALUE"""),60192.0)</f>
        <v>60192</v>
      </c>
      <c r="G318" s="2" t="str">
        <f>IFERROR(__xludf.DUMMYFUNCTION("""COMPUTED_VALUE"""),"Gun Raj Gurung / Bir Bahadur Ghale")</f>
        <v>Gun Raj Gurung / Bir Bahadur Ghale</v>
      </c>
      <c r="H318" s="2"/>
      <c r="I318" s="2" t="str">
        <f>IFERROR(__xludf.DUMMYFUNCTION("""COMPUTED_VALUE"""),"28o 35' 40""")</f>
        <v>28o 35' 40"</v>
      </c>
      <c r="J318" s="2" t="str">
        <f>IFERROR(__xludf.DUMMYFUNCTION("""COMPUTED_VALUE"""),"28o 37' 45""")</f>
        <v>28o 37' 45"</v>
      </c>
      <c r="K318" s="2" t="str">
        <f>IFERROR(__xludf.DUMMYFUNCTION("""COMPUTED_VALUE"""),"84o 23' 30""")</f>
        <v>84o 23' 30"</v>
      </c>
      <c r="L318" s="2" t="str">
        <f>IFERROR(__xludf.DUMMYFUNCTION("""COMPUTED_VALUE"""),"84o 26' 00""")</f>
        <v>84o 26' 00"</v>
      </c>
      <c r="M318" s="2" t="str">
        <f>IFERROR(__xludf.DUMMYFUNCTION("""COMPUTED_VALUE"""),"(Manang)")</f>
        <v>(Manang)</v>
      </c>
    </row>
    <row r="319">
      <c r="A319" s="2">
        <f>IFERROR(__xludf.DUMMYFUNCTION("""COMPUTED_VALUE"""),318.0)</f>
        <v>318</v>
      </c>
      <c r="B319" s="2" t="str">
        <f>IFERROR(__xludf.DUMMYFUNCTION("""COMPUTED_VALUE"""),"Rasuwa Khola")</f>
        <v>Rasuwa Khola</v>
      </c>
      <c r="C319" s="2">
        <f>IFERROR(__xludf.DUMMYFUNCTION("""COMPUTED_VALUE"""),0.9)</f>
        <v>0.9</v>
      </c>
      <c r="D319" s="2" t="str">
        <f>IFERROR(__xludf.DUMMYFUNCTION("""COMPUTED_VALUE"""),"Rasuwa")</f>
        <v>Rasuwa</v>
      </c>
      <c r="E319" s="2"/>
      <c r="F319" s="3">
        <f>IFERROR(__xludf.DUMMYFUNCTION("""COMPUTED_VALUE"""),60192.0)</f>
        <v>60192</v>
      </c>
      <c r="G319" s="2" t="str">
        <f>IFERROR(__xludf.DUMMYFUNCTION("""COMPUTED_VALUE"""),"Rambha Kumar Deo")</f>
        <v>Rambha Kumar Deo</v>
      </c>
      <c r="H319" s="2"/>
      <c r="I319" s="2" t="str">
        <f>IFERROR(__xludf.DUMMYFUNCTION("""COMPUTED_VALUE"""),"26o 58' 10""")</f>
        <v>26o 58' 10"</v>
      </c>
      <c r="J319" s="2" t="str">
        <f>IFERROR(__xludf.DUMMYFUNCTION("""COMPUTED_VALUE"""),"27o 00' 00""")</f>
        <v>27o 00' 00"</v>
      </c>
      <c r="K319" s="2" t="str">
        <f>IFERROR(__xludf.DUMMYFUNCTION("""COMPUTED_VALUE"""),"86o 38' 00""")</f>
        <v>86o 38' 00"</v>
      </c>
      <c r="L319" s="2" t="str">
        <f>IFERROR(__xludf.DUMMYFUNCTION("""COMPUTED_VALUE"""),"86o 41' 00""")</f>
        <v>86o 41' 00"</v>
      </c>
      <c r="M319" s="2" t="str">
        <f>IFERROR(__xludf.DUMMYFUNCTION("""COMPUTED_VALUE"""),"(Udayapur)")</f>
        <v>(Udayapur)</v>
      </c>
    </row>
    <row r="320">
      <c r="A320" s="2">
        <f>IFERROR(__xludf.DUMMYFUNCTION("""COMPUTED_VALUE"""),319.0)</f>
        <v>319</v>
      </c>
      <c r="B320" s="2" t="str">
        <f>IFERROR(__xludf.DUMMYFUNCTION("""COMPUTED_VALUE"""),"Super Khimti")</f>
        <v>Super Khimti</v>
      </c>
      <c r="C320" s="2">
        <f>IFERROR(__xludf.DUMMYFUNCTION("""COMPUTED_VALUE"""),0.975)</f>
        <v>0.975</v>
      </c>
      <c r="D320" s="2" t="str">
        <f>IFERROR(__xludf.DUMMYFUNCTION("""COMPUTED_VALUE"""),"Khimti Khola")</f>
        <v>Khimti Khola</v>
      </c>
      <c r="E320" s="2"/>
      <c r="F320" s="3">
        <f>IFERROR(__xludf.DUMMYFUNCTION("""COMPUTED_VALUE"""),60195.0)</f>
        <v>60195</v>
      </c>
      <c r="G320" s="2" t="str">
        <f>IFERROR(__xludf.DUMMYFUNCTION("""COMPUTED_VALUE"""),"Jyoti Pradhan")</f>
        <v>Jyoti Pradhan</v>
      </c>
      <c r="H320" s="2"/>
      <c r="I320" s="2" t="str">
        <f>IFERROR(__xludf.DUMMYFUNCTION("""COMPUTED_VALUE"""),"27o 41' 46""")</f>
        <v>27o 41' 46"</v>
      </c>
      <c r="J320" s="2" t="str">
        <f>IFERROR(__xludf.DUMMYFUNCTION("""COMPUTED_VALUE"""),"27o 43' 06""")</f>
        <v>27o 43' 06"</v>
      </c>
      <c r="K320" s="2" t="str">
        <f>IFERROR(__xludf.DUMMYFUNCTION("""COMPUTED_VALUE"""),"86o 21' 13""")</f>
        <v>86o 21' 13"</v>
      </c>
      <c r="L320" s="2" t="str">
        <f>IFERROR(__xludf.DUMMYFUNCTION("""COMPUTED_VALUE"""),"86o 22' 10""")</f>
        <v>86o 22' 10"</v>
      </c>
      <c r="M320" s="2" t="str">
        <f>IFERROR(__xludf.DUMMYFUNCTION("""COMPUTED_VALUE"""),"(Dolakha)")</f>
        <v>(Dolakha)</v>
      </c>
    </row>
    <row r="321">
      <c r="A321" s="2">
        <f>IFERROR(__xludf.DUMMYFUNCTION("""COMPUTED_VALUE"""),320.0)</f>
        <v>320</v>
      </c>
      <c r="B321" s="2" t="str">
        <f>IFERROR(__xludf.DUMMYFUNCTION("""COMPUTED_VALUE"""),"Sisuwa Khola")</f>
        <v>Sisuwa Khola</v>
      </c>
      <c r="C321" s="2">
        <f>IFERROR(__xludf.DUMMYFUNCTION("""COMPUTED_VALUE"""),4.539)</f>
        <v>4.539</v>
      </c>
      <c r="D321" s="2" t="str">
        <f>IFERROR(__xludf.DUMMYFUNCTION("""COMPUTED_VALUE"""),"Sisuwa")</f>
        <v>Sisuwa</v>
      </c>
      <c r="E321" s="2"/>
      <c r="F321" s="3">
        <f>IFERROR(__xludf.DUMMYFUNCTION("""COMPUTED_VALUE"""),60196.0)</f>
        <v>60196</v>
      </c>
      <c r="G321" s="2" t="str">
        <f>IFERROR(__xludf.DUMMYFUNCTION("""COMPUTED_VALUE"""),"Khampalung HP C")</f>
        <v>Khampalung HP C</v>
      </c>
      <c r="H321" s="2" t="str">
        <f>IFERROR(__xludf.DUMMYFUNCTION("""COMPUTED_VALUE"""),"Battisputali Kathmandu Tel 9841303859")</f>
        <v>Battisputali Kathmandu Tel 9841303859</v>
      </c>
      <c r="I321" s="2" t="str">
        <f>IFERROR(__xludf.DUMMYFUNCTION("""COMPUTED_VALUE"""),"27o 28' 07""")</f>
        <v>27o 28' 07"</v>
      </c>
      <c r="J321" s="2" t="str">
        <f>IFERROR(__xludf.DUMMYFUNCTION("""COMPUTED_VALUE"""),"27o 28' 52""")</f>
        <v>27o 28' 52"</v>
      </c>
      <c r="K321" s="2" t="str">
        <f>IFERROR(__xludf.DUMMYFUNCTION("""COMPUTED_VALUE"""),"87o 02' 25""")</f>
        <v>87o 02' 25"</v>
      </c>
      <c r="L321" s="2" t="str">
        <f>IFERROR(__xludf.DUMMYFUNCTION("""COMPUTED_VALUE"""),"87o 05' 18""")</f>
        <v>87o 05' 18"</v>
      </c>
      <c r="M321" s="2" t="str">
        <f>IFERROR(__xludf.DUMMYFUNCTION("""COMPUTED_VALUE"""),"(Sankhuwasabha)")</f>
        <v>(Sankhuwasabha)</v>
      </c>
    </row>
    <row r="322">
      <c r="A322" s="2">
        <f>IFERROR(__xludf.DUMMYFUNCTION("""COMPUTED_VALUE"""),321.0)</f>
        <v>321</v>
      </c>
      <c r="B322" s="2" t="str">
        <f>IFERROR(__xludf.DUMMYFUNCTION("""COMPUTED_VALUE"""),"Tadi Khola")</f>
        <v>Tadi Khola</v>
      </c>
      <c r="C322" s="2">
        <f>IFERROR(__xludf.DUMMYFUNCTION("""COMPUTED_VALUE"""),4.8)</f>
        <v>4.8</v>
      </c>
      <c r="D322" s="2" t="str">
        <f>IFERROR(__xludf.DUMMYFUNCTION("""COMPUTED_VALUE"""),"Tadi Khola")</f>
        <v>Tadi Khola</v>
      </c>
      <c r="E322" s="2"/>
      <c r="F322" s="3">
        <f>IFERROR(__xludf.DUMMYFUNCTION("""COMPUTED_VALUE"""),60196.0)</f>
        <v>60196</v>
      </c>
      <c r="G322" s="2" t="str">
        <f>IFERROR(__xludf.DUMMYFUNCTION("""COMPUTED_VALUE"""),"Nepal Power Co. P L")</f>
        <v>Nepal Power Co. P L</v>
      </c>
      <c r="H322" s="2"/>
      <c r="I322" s="2" t="str">
        <f>IFERROR(__xludf.DUMMYFUNCTION("""COMPUTED_VALUE"""),"27o 58' 25""")</f>
        <v>27o 58' 25"</v>
      </c>
      <c r="J322" s="2" t="str">
        <f>IFERROR(__xludf.DUMMYFUNCTION("""COMPUTED_VALUE"""),"27o 59' 31""")</f>
        <v>27o 59' 31"</v>
      </c>
      <c r="K322" s="2" t="str">
        <f>IFERROR(__xludf.DUMMYFUNCTION("""COMPUTED_VALUE"""),"85o 26' 10""")</f>
        <v>85o 26' 10"</v>
      </c>
      <c r="L322" s="2" t="str">
        <f>IFERROR(__xludf.DUMMYFUNCTION("""COMPUTED_VALUE"""),"85o 27' 30""")</f>
        <v>85o 27' 30"</v>
      </c>
      <c r="M322" s="2" t="str">
        <f>IFERROR(__xludf.DUMMYFUNCTION("""COMPUTED_VALUE"""),"(Nuwakot)")</f>
        <v>(Nuwakot)</v>
      </c>
    </row>
    <row r="323">
      <c r="A323" s="2">
        <f>IFERROR(__xludf.DUMMYFUNCTION("""COMPUTED_VALUE"""),322.0)</f>
        <v>322</v>
      </c>
      <c r="B323" s="2" t="str">
        <f>IFERROR(__xludf.DUMMYFUNCTION("""COMPUTED_VALUE"""),"Kaligandaki Narchyang")</f>
        <v>Kaligandaki Narchyang</v>
      </c>
      <c r="C323" s="2">
        <f>IFERROR(__xludf.DUMMYFUNCTION("""COMPUTED_VALUE"""),110.0)</f>
        <v>110</v>
      </c>
      <c r="D323" s="2" t="str">
        <f>IFERROR(__xludf.DUMMYFUNCTION("""COMPUTED_VALUE"""),"Kali Gandaki")</f>
        <v>Kali Gandaki</v>
      </c>
      <c r="E323" s="2"/>
      <c r="F323" s="3">
        <f>IFERROR(__xludf.DUMMYFUNCTION("""COMPUTED_VALUE"""),60197.0)</f>
        <v>60197</v>
      </c>
      <c r="G323" s="2" t="str">
        <f>IFERROR(__xludf.DUMMYFUNCTION("""COMPUTED_VALUE"""),"Suhird Raj Ghimire")</f>
        <v>Suhird Raj Ghimire</v>
      </c>
      <c r="H323" s="2"/>
      <c r="I323" s="2" t="str">
        <f>IFERROR(__xludf.DUMMYFUNCTION("""COMPUTED_VALUE"""),"28o 31' 45""")</f>
        <v>28o 31' 45"</v>
      </c>
      <c r="J323" s="2" t="str">
        <f>IFERROR(__xludf.DUMMYFUNCTION("""COMPUTED_VALUE"""),"28o 35' 45""")</f>
        <v>28o 35' 45"</v>
      </c>
      <c r="K323" s="2" t="str">
        <f>IFERROR(__xludf.DUMMYFUNCTION("""COMPUTED_VALUE"""),"83o 40' 00""")</f>
        <v>83o 40' 00"</v>
      </c>
      <c r="L323" s="2" t="str">
        <f>IFERROR(__xludf.DUMMYFUNCTION("""COMPUTED_VALUE"""),"83o 87' 19""")</f>
        <v>83o 87' 19"</v>
      </c>
      <c r="M323" s="2" t="str">
        <f>IFERROR(__xludf.DUMMYFUNCTION("""COMPUTED_VALUE"""),"(Mustang)")</f>
        <v>(Mustang)</v>
      </c>
    </row>
    <row r="324">
      <c r="A324" s="2">
        <f>IFERROR(__xludf.DUMMYFUNCTION("""COMPUTED_VALUE"""),323.0)</f>
        <v>323</v>
      </c>
      <c r="B324" s="2" t="str">
        <f>IFERROR(__xludf.DUMMYFUNCTION("""COMPUTED_VALUE"""),"Likhu-Sunkoshi")</f>
        <v>Likhu-Sunkoshi</v>
      </c>
      <c r="C324" s="2">
        <f>IFERROR(__xludf.DUMMYFUNCTION("""COMPUTED_VALUE"""),12.0)</f>
        <v>12</v>
      </c>
      <c r="D324" s="2" t="str">
        <f>IFERROR(__xludf.DUMMYFUNCTION("""COMPUTED_VALUE"""),"Likhu Khola")</f>
        <v>Likhu Khola</v>
      </c>
      <c r="E324" s="2"/>
      <c r="F324" s="3">
        <f>IFERROR(__xludf.DUMMYFUNCTION("""COMPUTED_VALUE"""),60197.0)</f>
        <v>60197</v>
      </c>
      <c r="G324" s="2" t="str">
        <f>IFERROR(__xludf.DUMMYFUNCTION("""COMPUTED_VALUE"""),"Nepal Power Company P Ltd")</f>
        <v>Nepal Power Company P Ltd</v>
      </c>
      <c r="H324" s="2"/>
      <c r="I324" s="2" t="str">
        <f>IFERROR(__xludf.DUMMYFUNCTION("""COMPUTED_VALUE"""),"27o 15' 00""")</f>
        <v>27o 15' 00"</v>
      </c>
      <c r="J324" s="2" t="str">
        <f>IFERROR(__xludf.DUMMYFUNCTION("""COMPUTED_VALUE"""),"27o 20' 30""")</f>
        <v>27o 20' 30"</v>
      </c>
      <c r="K324" s="2" t="str">
        <f>IFERROR(__xludf.DUMMYFUNCTION("""COMPUTED_VALUE"""),"86o 12' 30""")</f>
        <v>86o 12' 30"</v>
      </c>
      <c r="L324" s="2" t="str">
        <f>IFERROR(__xludf.DUMMYFUNCTION("""COMPUTED_VALUE"""),"86o 17' 00""")</f>
        <v>86o 17' 00"</v>
      </c>
      <c r="M324" s="2" t="str">
        <f>IFERROR(__xludf.DUMMYFUNCTION("""COMPUTED_VALUE"""),"(Ramechhap)")</f>
        <v>(Ramechhap)</v>
      </c>
    </row>
    <row r="325">
      <c r="A325" s="2">
        <f>IFERROR(__xludf.DUMMYFUNCTION("""COMPUTED_VALUE"""),324.0)</f>
        <v>324</v>
      </c>
      <c r="B325" s="2" t="str">
        <f>IFERROR(__xludf.DUMMYFUNCTION("""COMPUTED_VALUE"""),"Lungreli Gad")</f>
        <v>Lungreli Gad</v>
      </c>
      <c r="C325" s="2">
        <f>IFERROR(__xludf.DUMMYFUNCTION("""COMPUTED_VALUE"""),4.66)</f>
        <v>4.66</v>
      </c>
      <c r="D325" s="2" t="str">
        <f>IFERROR(__xludf.DUMMYFUNCTION("""COMPUTED_VALUE"""),"Lungreli Gad")</f>
        <v>Lungreli Gad</v>
      </c>
      <c r="E325" s="2"/>
      <c r="F325" s="3">
        <f>IFERROR(__xludf.DUMMYFUNCTION("""COMPUTED_VALUE"""),60197.0)</f>
        <v>60197</v>
      </c>
      <c r="G325" s="2" t="str">
        <f>IFERROR(__xludf.DUMMYFUNCTION("""COMPUTED_VALUE"""),"Prabha Dhungel Pokharel")</f>
        <v>Prabha Dhungel Pokharel</v>
      </c>
      <c r="H325" s="2" t="str">
        <f>IFERROR(__xludf.DUMMYFUNCTION("""COMPUTED_VALUE"""),"Baneshwor")</f>
        <v>Baneshwor</v>
      </c>
      <c r="I325" s="2" t="str">
        <f>IFERROR(__xludf.DUMMYFUNCTION("""COMPUTED_VALUE"""),"29o 13' 55""")</f>
        <v>29o 13' 55"</v>
      </c>
      <c r="J325" s="2" t="str">
        <f>IFERROR(__xludf.DUMMYFUNCTION("""COMPUTED_VALUE"""),"29o 14' 10""")</f>
        <v>29o 14' 10"</v>
      </c>
      <c r="K325" s="2" t="str">
        <f>IFERROR(__xludf.DUMMYFUNCTION("""COMPUTED_VALUE"""),"81o 09' 50""")</f>
        <v>81o 09' 50"</v>
      </c>
      <c r="L325" s="2" t="str">
        <f>IFERROR(__xludf.DUMMYFUNCTION("""COMPUTED_VALUE"""),"81o 11' 37""")</f>
        <v>81o 11' 37"</v>
      </c>
      <c r="M325" s="2" t="str">
        <f>IFERROR(__xludf.DUMMYFUNCTION("""COMPUTED_VALUE"""),"(Achham)")</f>
        <v>(Achham)</v>
      </c>
    </row>
    <row r="326">
      <c r="A326" s="2">
        <f>IFERROR(__xludf.DUMMYFUNCTION("""COMPUTED_VALUE"""),325.0)</f>
        <v>325</v>
      </c>
      <c r="B326" s="2" t="str">
        <f>IFERROR(__xludf.DUMMYFUNCTION("""COMPUTED_VALUE"""),"Gairagad Khola")</f>
        <v>Gairagad Khola</v>
      </c>
      <c r="C326" s="2">
        <f>IFERROR(__xludf.DUMMYFUNCTION("""COMPUTED_VALUE"""),3.75)</f>
        <v>3.75</v>
      </c>
      <c r="D326" s="2" t="str">
        <f>IFERROR(__xludf.DUMMYFUNCTION("""COMPUTED_VALUE"""),"Gairagad")</f>
        <v>Gairagad</v>
      </c>
      <c r="E326" s="2"/>
      <c r="F326" s="3">
        <f>IFERROR(__xludf.DUMMYFUNCTION("""COMPUTED_VALUE"""),60197.0)</f>
        <v>60197</v>
      </c>
      <c r="G326" s="2" t="str">
        <f>IFERROR(__xludf.DUMMYFUNCTION("""COMPUTED_VALUE"""),"Sudhir Prasad Singh")</f>
        <v>Sudhir Prasad Singh</v>
      </c>
      <c r="H326" s="2" t="str">
        <f>IFERROR(__xludf.DUMMYFUNCTION("""COMPUTED_VALUE"""),"Sudhir Prasad Singh,Koilari VDC Saptari")</f>
        <v>Sudhir Prasad Singh,Koilari VDC Saptari</v>
      </c>
      <c r="I326" s="2" t="str">
        <f>IFERROR(__xludf.DUMMYFUNCTION("""COMPUTED_VALUE"""),"29o 08' 20""")</f>
        <v>29o 08' 20"</v>
      </c>
      <c r="J326" s="2" t="str">
        <f>IFERROR(__xludf.DUMMYFUNCTION("""COMPUTED_VALUE"""),"29o 09' 27""")</f>
        <v>29o 09' 27"</v>
      </c>
      <c r="K326" s="2" t="str">
        <f>IFERROR(__xludf.DUMMYFUNCTION("""COMPUTED_VALUE"""),"81o 09' 51""")</f>
        <v>81o 09' 51"</v>
      </c>
      <c r="L326" s="2" t="str">
        <f>IFERROR(__xludf.DUMMYFUNCTION("""COMPUTED_VALUE"""),"81o 10' 29""")</f>
        <v>81o 10' 29"</v>
      </c>
      <c r="M326" s="2" t="str">
        <f>IFERROR(__xludf.DUMMYFUNCTION("""COMPUTED_VALUE"""),"(Achham)")</f>
        <v>(Achham)</v>
      </c>
    </row>
    <row r="327">
      <c r="A327" s="2">
        <f>IFERROR(__xludf.DUMMYFUNCTION("""COMPUTED_VALUE"""),326.0)</f>
        <v>326</v>
      </c>
      <c r="B327" s="2" t="str">
        <f>IFERROR(__xludf.DUMMYFUNCTION("""COMPUTED_VALUE"""),"Sapta Gandaki")</f>
        <v>Sapta Gandaki</v>
      </c>
      <c r="C327" s="2">
        <f>IFERROR(__xludf.DUMMYFUNCTION("""COMPUTED_VALUE"""),225.0)</f>
        <v>225</v>
      </c>
      <c r="D327" s="2" t="str">
        <f>IFERROR(__xludf.DUMMYFUNCTION("""COMPUTED_VALUE"""),"Narayani")</f>
        <v>Narayani</v>
      </c>
      <c r="E327" s="2"/>
      <c r="F327" s="3">
        <f>IFERROR(__xludf.DUMMYFUNCTION("""COMPUTED_VALUE"""),60197.0)</f>
        <v>60197</v>
      </c>
      <c r="G327" s="2" t="str">
        <f>IFERROR(__xludf.DUMMYFUNCTION("""COMPUTED_VALUE"""),"Jindal Steel and Power P Ltd")</f>
        <v>Jindal Steel and Power P Ltd</v>
      </c>
      <c r="H327" s="2"/>
      <c r="I327" s="2" t="str">
        <f>IFERROR(__xludf.DUMMYFUNCTION("""COMPUTED_VALUE"""),"27o 40' 00""")</f>
        <v>27o 40' 00"</v>
      </c>
      <c r="J327" s="2" t="str">
        <f>IFERROR(__xludf.DUMMYFUNCTION("""COMPUTED_VALUE"""),"27o 41' 00""")</f>
        <v>27o 41' 00"</v>
      </c>
      <c r="K327" s="2" t="str">
        <f>IFERROR(__xludf.DUMMYFUNCTION("""COMPUTED_VALUE"""),"84o 25' 00""")</f>
        <v>84o 25' 00"</v>
      </c>
      <c r="L327" s="2" t="str">
        <f>IFERROR(__xludf.DUMMYFUNCTION("""COMPUTED_VALUE"""),"84o 26' 00""")</f>
        <v>84o 26' 00"</v>
      </c>
      <c r="M327" s="2" t="str">
        <f>IFERROR(__xludf.DUMMYFUNCTION("""COMPUTED_VALUE"""),"(Chitwan)")</f>
        <v>(Chitwan)</v>
      </c>
    </row>
    <row r="328">
      <c r="A328" s="2">
        <f>IFERROR(__xludf.DUMMYFUNCTION("""COMPUTED_VALUE"""),327.0)</f>
        <v>327</v>
      </c>
      <c r="B328" s="2" t="str">
        <f>IFERROR(__xludf.DUMMYFUNCTION("""COMPUTED_VALUE"""),"Markhu Khola")</f>
        <v>Markhu Khola</v>
      </c>
      <c r="C328" s="2">
        <f>IFERROR(__xludf.DUMMYFUNCTION("""COMPUTED_VALUE"""),1.0)</f>
        <v>1</v>
      </c>
      <c r="D328" s="2" t="str">
        <f>IFERROR(__xludf.DUMMYFUNCTION("""COMPUTED_VALUE"""),"Marbu Khola")</f>
        <v>Marbu Khola</v>
      </c>
      <c r="E328" s="2"/>
      <c r="F328" s="3">
        <f>IFERROR(__xludf.DUMMYFUNCTION("""COMPUTED_VALUE"""),60198.0)</f>
        <v>60198</v>
      </c>
      <c r="G328" s="2" t="str">
        <f>IFERROR(__xludf.DUMMYFUNCTION("""COMPUTED_VALUE"""),"Sunil poudel / Rajan Kumar Khatri")</f>
        <v>Sunil poudel / Rajan Kumar Khatri</v>
      </c>
      <c r="H328" s="2"/>
      <c r="I328" s="2" t="str">
        <f>IFERROR(__xludf.DUMMYFUNCTION("""COMPUTED_VALUE"""),"27o 35' 00""")</f>
        <v>27o 35' 00"</v>
      </c>
      <c r="J328" s="2" t="str">
        <f>IFERROR(__xludf.DUMMYFUNCTION("""COMPUTED_VALUE"""),"27o 36' 45""")</f>
        <v>27o 36' 45"</v>
      </c>
      <c r="K328" s="2" t="str">
        <f>IFERROR(__xludf.DUMMYFUNCTION("""COMPUTED_VALUE"""),"86o 26' 35""")</f>
        <v>86o 26' 35"</v>
      </c>
      <c r="L328" s="2" t="str">
        <f>IFERROR(__xludf.DUMMYFUNCTION("""COMPUTED_VALUE"""),"86o 28' 24""")</f>
        <v>86o 28' 24"</v>
      </c>
      <c r="M328" s="2" t="str">
        <f>IFERROR(__xludf.DUMMYFUNCTION("""COMPUTED_VALUE"""),"(Solukhumbu)")</f>
        <v>(Solukhumbu)</v>
      </c>
    </row>
    <row r="329">
      <c r="A329" s="2">
        <f>IFERROR(__xludf.DUMMYFUNCTION("""COMPUTED_VALUE"""),328.0)</f>
        <v>328</v>
      </c>
      <c r="B329" s="2" t="str">
        <f>IFERROR(__xludf.DUMMYFUNCTION("""COMPUTED_VALUE"""),"Upper Mugu Karnali")</f>
        <v>Upper Mugu Karnali</v>
      </c>
      <c r="C329" s="2">
        <f>IFERROR(__xludf.DUMMYFUNCTION("""COMPUTED_VALUE"""),53.07)</f>
        <v>53.07</v>
      </c>
      <c r="D329" s="2" t="str">
        <f>IFERROR(__xludf.DUMMYFUNCTION("""COMPUTED_VALUE"""),"Mugu Karnali")</f>
        <v>Mugu Karnali</v>
      </c>
      <c r="E329" s="2"/>
      <c r="F329" s="3">
        <f>IFERROR(__xludf.DUMMYFUNCTION("""COMPUTED_VALUE"""),60198.0)</f>
        <v>60198</v>
      </c>
      <c r="G329" s="2" t="str">
        <f>IFERROR(__xludf.DUMMYFUNCTION("""COMPUTED_VALUE"""),"Rishi P Subedi")</f>
        <v>Rishi P Subedi</v>
      </c>
      <c r="H329" s="2"/>
      <c r="I329" s="2" t="str">
        <f>IFERROR(__xludf.DUMMYFUNCTION("""COMPUTED_VALUE"""),"29o 32' 16""")</f>
        <v>29o 32' 16"</v>
      </c>
      <c r="J329" s="2" t="str">
        <f>IFERROR(__xludf.DUMMYFUNCTION("""COMPUTED_VALUE"""),"29o 36' 49""")</f>
        <v>29o 36' 49"</v>
      </c>
      <c r="K329" s="2" t="str">
        <f>IFERROR(__xludf.DUMMYFUNCTION("""COMPUTED_VALUE"""),"82o 12' 50""")</f>
        <v>82o 12' 50"</v>
      </c>
      <c r="L329" s="2" t="str">
        <f>IFERROR(__xludf.DUMMYFUNCTION("""COMPUTED_VALUE"""),"82o 22' 54""")</f>
        <v>82o 22' 54"</v>
      </c>
      <c r="M329" s="2" t="str">
        <f>IFERROR(__xludf.DUMMYFUNCTION("""COMPUTED_VALUE"""),"(Mugu)")</f>
        <v>(Mugu)</v>
      </c>
    </row>
    <row r="330">
      <c r="A330" s="2">
        <f>IFERROR(__xludf.DUMMYFUNCTION("""COMPUTED_VALUE"""),329.0)</f>
        <v>329</v>
      </c>
      <c r="B330" s="2" t="str">
        <f>IFERROR(__xludf.DUMMYFUNCTION("""COMPUTED_VALUE"""),"Dobhan Khola")</f>
        <v>Dobhan Khola</v>
      </c>
      <c r="C330" s="2">
        <f>IFERROR(__xludf.DUMMYFUNCTION("""COMPUTED_VALUE"""),10.0)</f>
        <v>10</v>
      </c>
      <c r="D330" s="2" t="str">
        <f>IFERROR(__xludf.DUMMYFUNCTION("""COMPUTED_VALUE"""),"Dobhan")</f>
        <v>Dobhan</v>
      </c>
      <c r="E330" s="2"/>
      <c r="F330" s="3">
        <f>IFERROR(__xludf.DUMMYFUNCTION("""COMPUTED_VALUE"""),60198.0)</f>
        <v>60198</v>
      </c>
      <c r="G330" s="2" t="str">
        <f>IFERROR(__xludf.DUMMYFUNCTION("""COMPUTED_VALUE"""),"Rodhi Hydropower P Ltd")</f>
        <v>Rodhi Hydropower P Ltd</v>
      </c>
      <c r="H330" s="2" t="str">
        <f>IFERROR(__xludf.DUMMYFUNCTION("""COMPUTED_VALUE"""),"Man Bhavan, lalitpur Tel: 9851025655")</f>
        <v>Man Bhavan, lalitpur Tel: 9851025655</v>
      </c>
      <c r="I330" s="2" t="str">
        <f>IFERROR(__xludf.DUMMYFUNCTION("""COMPUTED_VALUE"""),"28o 16' 40""")</f>
        <v>28o 16' 40"</v>
      </c>
      <c r="J330" s="2" t="str">
        <f>IFERROR(__xludf.DUMMYFUNCTION("""COMPUTED_VALUE"""),"28o 17' 50""")</f>
        <v>28o 17' 50"</v>
      </c>
      <c r="K330" s="2" t="str">
        <f>IFERROR(__xludf.DUMMYFUNCTION("""COMPUTED_VALUE"""),"84o 54' 07""")</f>
        <v>84o 54' 07"</v>
      </c>
      <c r="L330" s="2" t="str">
        <f>IFERROR(__xludf.DUMMYFUNCTION("""COMPUTED_VALUE"""),"84o 57' 30""")</f>
        <v>84o 57' 30"</v>
      </c>
      <c r="M330" s="2" t="str">
        <f>IFERROR(__xludf.DUMMYFUNCTION("""COMPUTED_VALUE"""),"(Gorkha)")</f>
        <v>(Gorkha)</v>
      </c>
    </row>
    <row r="331">
      <c r="A331" s="2">
        <f>IFERROR(__xludf.DUMMYFUNCTION("""COMPUTED_VALUE"""),330.0)</f>
        <v>330</v>
      </c>
      <c r="B331" s="2" t="str">
        <f>IFERROR(__xludf.DUMMYFUNCTION("""COMPUTED_VALUE"""),"Upper Solu Khola")</f>
        <v>Upper Solu Khola</v>
      </c>
      <c r="C331" s="2">
        <f>IFERROR(__xludf.DUMMYFUNCTION("""COMPUTED_VALUE"""),0.996)</f>
        <v>0.996</v>
      </c>
      <c r="D331" s="2" t="str">
        <f>IFERROR(__xludf.DUMMYFUNCTION("""COMPUTED_VALUE"""),"Solu Khola")</f>
        <v>Solu Khola</v>
      </c>
      <c r="E331" s="2"/>
      <c r="F331" s="3">
        <f>IFERROR(__xludf.DUMMYFUNCTION("""COMPUTED_VALUE"""),60198.0)</f>
        <v>60198</v>
      </c>
      <c r="G331" s="2" t="str">
        <f>IFERROR(__xludf.DUMMYFUNCTION("""COMPUTED_VALUE"""),"Laxmi Khatiwada")</f>
        <v>Laxmi Khatiwada</v>
      </c>
      <c r="H331" s="2"/>
      <c r="I331" s="2" t="str">
        <f>IFERROR(__xludf.DUMMYFUNCTION("""COMPUTED_VALUE"""),"27o 31' 09""")</f>
        <v>27o 31' 09"</v>
      </c>
      <c r="J331" s="2" t="str">
        <f>IFERROR(__xludf.DUMMYFUNCTION("""COMPUTED_VALUE"""),"27o 32' 56""")</f>
        <v>27o 32' 56"</v>
      </c>
      <c r="K331" s="2" t="str">
        <f>IFERROR(__xludf.DUMMYFUNCTION("""COMPUTED_VALUE"""),"86o 33' 53""")</f>
        <v>86o 33' 53"</v>
      </c>
      <c r="L331" s="2" t="str">
        <f>IFERROR(__xludf.DUMMYFUNCTION("""COMPUTED_VALUE"""),"86o 36' 17""")</f>
        <v>86o 36' 17"</v>
      </c>
      <c r="M331" s="2" t="str">
        <f>IFERROR(__xludf.DUMMYFUNCTION("""COMPUTED_VALUE"""),"(Solukhumbu)")</f>
        <v>(Solukhumbu)</v>
      </c>
    </row>
    <row r="332">
      <c r="A332" s="2">
        <f>IFERROR(__xludf.DUMMYFUNCTION("""COMPUTED_VALUE"""),331.0)</f>
        <v>331</v>
      </c>
      <c r="B332" s="2" t="str">
        <f>IFERROR(__xludf.DUMMYFUNCTION("""COMPUTED_VALUE"""),"Gopi Khola")</f>
        <v>Gopi Khola</v>
      </c>
      <c r="C332" s="2">
        <f>IFERROR(__xludf.DUMMYFUNCTION("""COMPUTED_VALUE"""),1.0)</f>
        <v>1</v>
      </c>
      <c r="D332" s="2" t="str">
        <f>IFERROR(__xludf.DUMMYFUNCTION("""COMPUTED_VALUE"""),"Gopi Khola")</f>
        <v>Gopi Khola</v>
      </c>
      <c r="E332" s="2"/>
      <c r="F332" s="3">
        <f>IFERROR(__xludf.DUMMYFUNCTION("""COMPUTED_VALUE"""),60198.0)</f>
        <v>60198</v>
      </c>
      <c r="G332" s="2" t="str">
        <f>IFERROR(__xludf.DUMMYFUNCTION("""COMPUTED_VALUE"""),"Rajarsi Janak HP P Ltd")</f>
        <v>Rajarsi Janak HP P Ltd</v>
      </c>
      <c r="H332" s="2"/>
      <c r="I332" s="2" t="str">
        <f>IFERROR(__xludf.DUMMYFUNCTION("""COMPUTED_VALUE"""),"27o 36' 22""")</f>
        <v>27o 36' 22"</v>
      </c>
      <c r="J332" s="2" t="str">
        <f>IFERROR(__xludf.DUMMYFUNCTION("""COMPUTED_VALUE"""),"27o 37' 09""")</f>
        <v>27o 37' 09"</v>
      </c>
      <c r="K332" s="2" t="str">
        <f>IFERROR(__xludf.DUMMYFUNCTION("""COMPUTED_VALUE"""),"86o 04' 41""")</f>
        <v>86o 04' 41"</v>
      </c>
      <c r="L332" s="2" t="str">
        <f>IFERROR(__xludf.DUMMYFUNCTION("""COMPUTED_VALUE"""),"86o 05' 54""")</f>
        <v>86o 05' 54"</v>
      </c>
      <c r="M332" s="2" t="str">
        <f>IFERROR(__xludf.DUMMYFUNCTION("""COMPUTED_VALUE"""),"(Dolakha)")</f>
        <v>(Dolakha)</v>
      </c>
    </row>
    <row r="333">
      <c r="A333" s="2">
        <f>IFERROR(__xludf.DUMMYFUNCTION("""COMPUTED_VALUE"""),332.0)</f>
        <v>332</v>
      </c>
      <c r="B333" s="2" t="str">
        <f>IFERROR(__xludf.DUMMYFUNCTION("""COMPUTED_VALUE"""),"Middle Mugu Karnali")</f>
        <v>Middle Mugu Karnali</v>
      </c>
      <c r="C333" s="2">
        <f>IFERROR(__xludf.DUMMYFUNCTION("""COMPUTED_VALUE"""),37.9)</f>
        <v>37.9</v>
      </c>
      <c r="D333" s="2" t="str">
        <f>IFERROR(__xludf.DUMMYFUNCTION("""COMPUTED_VALUE"""),"Mugu Karnali")</f>
        <v>Mugu Karnali</v>
      </c>
      <c r="E333" s="2"/>
      <c r="F333" s="3">
        <f>IFERROR(__xludf.DUMMYFUNCTION("""COMPUTED_VALUE"""),60198.0)</f>
        <v>60198</v>
      </c>
      <c r="G333" s="2" t="str">
        <f>IFERROR(__xludf.DUMMYFUNCTION("""COMPUTED_VALUE"""),"Ram Mani Acharya")</f>
        <v>Ram Mani Acharya</v>
      </c>
      <c r="H333" s="2"/>
      <c r="I333" s="2" t="str">
        <f>IFERROR(__xludf.DUMMYFUNCTION("""COMPUTED_VALUE"""),"29o 34' 03""")</f>
        <v>29o 34' 03"</v>
      </c>
      <c r="J333" s="2" t="str">
        <f>IFERROR(__xludf.DUMMYFUNCTION("""COMPUTED_VALUE"""),"29o 36' 12""")</f>
        <v>29o 36' 12"</v>
      </c>
      <c r="K333" s="2" t="str">
        <f>IFERROR(__xludf.DUMMYFUNCTION("""COMPUTED_VALUE"""),"82o 00' 00""")</f>
        <v>82o 00' 00"</v>
      </c>
      <c r="L333" s="2" t="str">
        <f>IFERROR(__xludf.DUMMYFUNCTION("""COMPUTED_VALUE"""),"82o 10' 00""")</f>
        <v>82o 10' 00"</v>
      </c>
      <c r="M333" s="2" t="str">
        <f>IFERROR(__xludf.DUMMYFUNCTION("""COMPUTED_VALUE"""),"(Mugu)")</f>
        <v>(Mugu)</v>
      </c>
    </row>
    <row r="334">
      <c r="A334" s="2">
        <f>IFERROR(__xludf.DUMMYFUNCTION("""COMPUTED_VALUE"""),333.0)</f>
        <v>333</v>
      </c>
      <c r="B334" s="2" t="str">
        <f>IFERROR(__xludf.DUMMYFUNCTION("""COMPUTED_VALUE"""),"Chyodu Khola")</f>
        <v>Chyodu Khola</v>
      </c>
      <c r="C334" s="2">
        <f>IFERROR(__xludf.DUMMYFUNCTION("""COMPUTED_VALUE"""),0.99)</f>
        <v>0.99</v>
      </c>
      <c r="D334" s="2" t="str">
        <f>IFERROR(__xludf.DUMMYFUNCTION("""COMPUTED_VALUE"""),"Chyodu")</f>
        <v>Chyodu</v>
      </c>
      <c r="E334" s="2"/>
      <c r="F334" s="3">
        <f>IFERROR(__xludf.DUMMYFUNCTION("""COMPUTED_VALUE"""),60199.0)</f>
        <v>60199</v>
      </c>
      <c r="G334" s="2" t="str">
        <f>IFERROR(__xludf.DUMMYFUNCTION("""COMPUTED_VALUE"""),"Anu Mulmi / Parwat Gurung")</f>
        <v>Anu Mulmi / Parwat Gurung</v>
      </c>
      <c r="H334" s="2"/>
      <c r="I334" s="2" t="str">
        <f>IFERROR(__xludf.DUMMYFUNCTION("""COMPUTED_VALUE"""),"27o 56' 00""")</f>
        <v>27o 56' 00"</v>
      </c>
      <c r="J334" s="2" t="str">
        <f>IFERROR(__xludf.DUMMYFUNCTION("""COMPUTED_VALUE"""),"27o 57' 00""")</f>
        <v>27o 57' 00"</v>
      </c>
      <c r="K334" s="2" t="str">
        <f>IFERROR(__xludf.DUMMYFUNCTION("""COMPUTED_VALUE"""),"86o 11' 12""")</f>
        <v>86o 11' 12"</v>
      </c>
      <c r="L334" s="2" t="str">
        <f>IFERROR(__xludf.DUMMYFUNCTION("""COMPUTED_VALUE"""),"86o 12' 52""")</f>
        <v>86o 12' 52"</v>
      </c>
      <c r="M334" s="2" t="str">
        <f>IFERROR(__xludf.DUMMYFUNCTION("""COMPUTED_VALUE"""),"(Dolakha)")</f>
        <v>(Dolakha)</v>
      </c>
    </row>
    <row r="335">
      <c r="A335" s="2">
        <f>IFERROR(__xludf.DUMMYFUNCTION("""COMPUTED_VALUE"""),334.0)</f>
        <v>334</v>
      </c>
      <c r="B335" s="2" t="str">
        <f>IFERROR(__xludf.DUMMYFUNCTION("""COMPUTED_VALUE"""),"Tamor Chuhan Danda")</f>
        <v>Tamor Chuhan Danda</v>
      </c>
      <c r="C335" s="2">
        <f>IFERROR(__xludf.DUMMYFUNCTION("""COMPUTED_VALUE"""),12.0)</f>
        <v>12</v>
      </c>
      <c r="D335" s="2" t="str">
        <f>IFERROR(__xludf.DUMMYFUNCTION("""COMPUTED_VALUE"""),"Tamor")</f>
        <v>Tamor</v>
      </c>
      <c r="E335" s="2"/>
      <c r="F335" s="3">
        <f>IFERROR(__xludf.DUMMYFUNCTION("""COMPUTED_VALUE"""),60199.0)</f>
        <v>60199</v>
      </c>
      <c r="G335" s="2" t="str">
        <f>IFERROR(__xludf.DUMMYFUNCTION("""COMPUTED_VALUE"""),"Bibek Tated, Kuber Mani Nepal")</f>
        <v>Bibek Tated, Kuber Mani Nepal</v>
      </c>
      <c r="H335" s="2"/>
      <c r="I335" s="2" t="str">
        <f>IFERROR(__xludf.DUMMYFUNCTION("""COMPUTED_VALUE"""),"27o 08' 27""")</f>
        <v>27o 08' 27"</v>
      </c>
      <c r="J335" s="2" t="str">
        <f>IFERROR(__xludf.DUMMYFUNCTION("""COMPUTED_VALUE"""),"27o 11' 55""")</f>
        <v>27o 11' 55"</v>
      </c>
      <c r="K335" s="2" t="str">
        <f>IFERROR(__xludf.DUMMYFUNCTION("""COMPUTED_VALUE"""),"87o 40' 36""")</f>
        <v>87o 40' 36"</v>
      </c>
      <c r="L335" s="2" t="str">
        <f>IFERROR(__xludf.DUMMYFUNCTION("""COMPUTED_VALUE"""),"87o 44' 10""")</f>
        <v>87o 44' 10"</v>
      </c>
      <c r="M335" s="2" t="str">
        <f>IFERROR(__xludf.DUMMYFUNCTION("""COMPUTED_VALUE"""),"(Terhathum)")</f>
        <v>(Terhathum)</v>
      </c>
    </row>
    <row r="336">
      <c r="A336" s="2">
        <f>IFERROR(__xludf.DUMMYFUNCTION("""COMPUTED_VALUE"""),335.0)</f>
        <v>335</v>
      </c>
      <c r="B336" s="2" t="str">
        <f>IFERROR(__xludf.DUMMYFUNCTION("""COMPUTED_VALUE"""),"Hidden Tamakoshi")</f>
        <v>Hidden Tamakoshi</v>
      </c>
      <c r="C336" s="2">
        <f>IFERROR(__xludf.DUMMYFUNCTION("""COMPUTED_VALUE"""),4.98)</f>
        <v>4.98</v>
      </c>
      <c r="D336" s="2" t="str">
        <f>IFERROR(__xludf.DUMMYFUNCTION("""COMPUTED_VALUE"""),"Tama Koshi")</f>
        <v>Tama Koshi</v>
      </c>
      <c r="E336" s="2"/>
      <c r="F336" s="3">
        <f>IFERROR(__xludf.DUMMYFUNCTION("""COMPUTED_VALUE"""),60203.0)</f>
        <v>60203</v>
      </c>
      <c r="G336" s="2" t="str">
        <f>IFERROR(__xludf.DUMMYFUNCTION("""COMPUTED_VALUE"""),"Muna Shrestha")</f>
        <v>Muna Shrestha</v>
      </c>
      <c r="H336" s="2" t="str">
        <f>IFERROR(__xludf.DUMMYFUNCTION("""COMPUTED_VALUE"""),"Naya Naikap-9 Kath.")</f>
        <v>Naya Naikap-9 Kath.</v>
      </c>
      <c r="I336" s="2" t="str">
        <f>IFERROR(__xludf.DUMMYFUNCTION("""COMPUTED_VALUE"""),"27o 45' 20""")</f>
        <v>27o 45' 20"</v>
      </c>
      <c r="J336" s="2" t="str">
        <f>IFERROR(__xludf.DUMMYFUNCTION("""COMPUTED_VALUE"""),"27o 49' 10""")</f>
        <v>27o 49' 10"</v>
      </c>
      <c r="K336" s="2" t="str">
        <f>IFERROR(__xludf.DUMMYFUNCTION("""COMPUTED_VALUE"""),"86o 11' 18""")</f>
        <v>86o 11' 18"</v>
      </c>
      <c r="L336" s="2" t="str">
        <f>IFERROR(__xludf.DUMMYFUNCTION("""COMPUTED_VALUE"""),"86o 14' 02""")</f>
        <v>86o 14' 02"</v>
      </c>
      <c r="M336" s="2" t="str">
        <f>IFERROR(__xludf.DUMMYFUNCTION("""COMPUTED_VALUE"""),"(Dolakha)")</f>
        <v>(Dolakha)</v>
      </c>
    </row>
    <row r="337">
      <c r="A337" s="2">
        <f>IFERROR(__xludf.DUMMYFUNCTION("""COMPUTED_VALUE"""),336.0)</f>
        <v>336</v>
      </c>
      <c r="B337" s="2" t="str">
        <f>IFERROR(__xludf.DUMMYFUNCTION("""COMPUTED_VALUE"""),"Upper Rolwaling")</f>
        <v>Upper Rolwaling</v>
      </c>
      <c r="C337" s="2">
        <f>IFERROR(__xludf.DUMMYFUNCTION("""COMPUTED_VALUE"""),4.8)</f>
        <v>4.8</v>
      </c>
      <c r="D337" s="2" t="str">
        <f>IFERROR(__xludf.DUMMYFUNCTION("""COMPUTED_VALUE"""),"Rolwaling")</f>
        <v>Rolwaling</v>
      </c>
      <c r="E337" s="2"/>
      <c r="F337" s="3">
        <f>IFERROR(__xludf.DUMMYFUNCTION("""COMPUTED_VALUE"""),60203.0)</f>
        <v>60203</v>
      </c>
      <c r="G337" s="2" t="str">
        <f>IFERROR(__xludf.DUMMYFUNCTION("""COMPUTED_VALUE"""),"Samyak Consult P Ltd, Gongabu")</f>
        <v>Samyak Consult P Ltd, Gongabu</v>
      </c>
      <c r="H337" s="2"/>
      <c r="I337" s="2" t="str">
        <f>IFERROR(__xludf.DUMMYFUNCTION("""COMPUTED_VALUE"""),"27o 52' 25""")</f>
        <v>27o 52' 25"</v>
      </c>
      <c r="J337" s="2" t="str">
        <f>IFERROR(__xludf.DUMMYFUNCTION("""COMPUTED_VALUE"""),"27o 55' 23""")</f>
        <v>27o 55' 23"</v>
      </c>
      <c r="K337" s="2" t="str">
        <f>IFERROR(__xludf.DUMMYFUNCTION("""COMPUTED_VALUE"""),"86o 20' 00""")</f>
        <v>86o 20' 00"</v>
      </c>
      <c r="L337" s="2" t="str">
        <f>IFERROR(__xludf.DUMMYFUNCTION("""COMPUTED_VALUE"""),"86o 25' 00""")</f>
        <v>86o 25' 00"</v>
      </c>
      <c r="M337" s="2" t="str">
        <f>IFERROR(__xludf.DUMMYFUNCTION("""COMPUTED_VALUE"""),"(Dolakha)")</f>
        <v>(Dolakha)</v>
      </c>
    </row>
    <row r="338">
      <c r="A338" s="2">
        <f>IFERROR(__xludf.DUMMYFUNCTION("""COMPUTED_VALUE"""),337.0)</f>
        <v>337</v>
      </c>
      <c r="B338" s="2" t="str">
        <f>IFERROR(__xludf.DUMMYFUNCTION("""COMPUTED_VALUE"""),"Rapti")</f>
        <v>Rapti</v>
      </c>
      <c r="C338" s="2">
        <f>IFERROR(__xludf.DUMMYFUNCTION("""COMPUTED_VALUE"""),9.0)</f>
        <v>9</v>
      </c>
      <c r="D338" s="2" t="str">
        <f>IFERROR(__xludf.DUMMYFUNCTION("""COMPUTED_VALUE"""),"Rapti")</f>
        <v>Rapti</v>
      </c>
      <c r="E338" s="2"/>
      <c r="F338" s="3">
        <f>IFERROR(__xludf.DUMMYFUNCTION("""COMPUTED_VALUE"""),60204.0)</f>
        <v>60204</v>
      </c>
      <c r="G338" s="2" t="str">
        <f>IFERROR(__xludf.DUMMYFUNCTION("""COMPUTED_VALUE"""),"Vishal Energy P Ltd")</f>
        <v>Vishal Energy P Ltd</v>
      </c>
      <c r="H338" s="2"/>
      <c r="I338" s="2" t="str">
        <f>IFERROR(__xludf.DUMMYFUNCTION("""COMPUTED_VALUE"""),"27o 28' 10""")</f>
        <v>27o 28' 10"</v>
      </c>
      <c r="J338" s="2" t="str">
        <f>IFERROR(__xludf.DUMMYFUNCTION("""COMPUTED_VALUE"""),"27o 30' 33""")</f>
        <v>27o 30' 33"</v>
      </c>
      <c r="K338" s="2" t="str">
        <f>IFERROR(__xludf.DUMMYFUNCTION("""COMPUTED_VALUE"""),"85o 02' 30""")</f>
        <v>85o 02' 30"</v>
      </c>
      <c r="L338" s="2" t="str">
        <f>IFERROR(__xludf.DUMMYFUNCTION("""COMPUTED_VALUE"""),"85o 04' 21""")</f>
        <v>85o 04' 21"</v>
      </c>
      <c r="M338" s="2" t="str">
        <f>IFERROR(__xludf.DUMMYFUNCTION("""COMPUTED_VALUE"""),"(Makawanpur)")</f>
        <v>(Makawanpur)</v>
      </c>
    </row>
    <row r="339">
      <c r="A339" s="2">
        <f>IFERROR(__xludf.DUMMYFUNCTION("""COMPUTED_VALUE"""),338.0)</f>
        <v>338</v>
      </c>
      <c r="B339" s="2" t="str">
        <f>IFERROR(__xludf.DUMMYFUNCTION("""COMPUTED_VALUE"""),"Sapta Koshi Storage")</f>
        <v>Sapta Koshi Storage</v>
      </c>
      <c r="C339" s="2">
        <f>IFERROR(__xludf.DUMMYFUNCTION("""COMPUTED_VALUE"""),3300.0)</f>
        <v>3300</v>
      </c>
      <c r="D339" s="2" t="str">
        <f>IFERROR(__xludf.DUMMYFUNCTION("""COMPUTED_VALUE"""),"Koshi")</f>
        <v>Koshi</v>
      </c>
      <c r="E339" s="2"/>
      <c r="F339" s="3">
        <f>IFERROR(__xludf.DUMMYFUNCTION("""COMPUTED_VALUE"""),60207.0)</f>
        <v>60207</v>
      </c>
      <c r="G339" s="2" t="str">
        <f>IFERROR(__xludf.DUMMYFUNCTION("""COMPUTED_VALUE"""),"Patel Engineering Ltd")</f>
        <v>Patel Engineering Ltd</v>
      </c>
      <c r="H339" s="2"/>
      <c r="I339" s="2" t="str">
        <f>IFERROR(__xludf.DUMMYFUNCTION("""COMPUTED_VALUE"""),"26o 52' 30""")</f>
        <v>26o 52' 30"</v>
      </c>
      <c r="J339" s="2" t="str">
        <f>IFERROR(__xludf.DUMMYFUNCTION("""COMPUTED_VALUE"""),"27o 22' 30""")</f>
        <v>27o 22' 30"</v>
      </c>
      <c r="K339" s="2" t="str">
        <f>IFERROR(__xludf.DUMMYFUNCTION("""COMPUTED_VALUE"""),"86o 22' 30""")</f>
        <v>86o 22' 30"</v>
      </c>
      <c r="L339" s="2" t="str">
        <f>IFERROR(__xludf.DUMMYFUNCTION("""COMPUTED_VALUE"""),"87o 45' 00""")</f>
        <v>87o 45' 00"</v>
      </c>
      <c r="M339" s="2" t="str">
        <f>IFERROR(__xludf.DUMMYFUNCTION("""COMPUTED_VALUE"""),"(Sunsari)")</f>
        <v>(Sunsari)</v>
      </c>
    </row>
    <row r="340">
      <c r="A340" s="2">
        <f>IFERROR(__xludf.DUMMYFUNCTION("""COMPUTED_VALUE"""),339.0)</f>
        <v>339</v>
      </c>
      <c r="B340" s="2" t="str">
        <f>IFERROR(__xludf.DUMMYFUNCTION("""COMPUTED_VALUE"""),"Paung Mewa")</f>
        <v>Paung Mewa</v>
      </c>
      <c r="C340" s="2">
        <f>IFERROR(__xludf.DUMMYFUNCTION("""COMPUTED_VALUE"""),8.39)</f>
        <v>8.39</v>
      </c>
      <c r="D340" s="2" t="str">
        <f>IFERROR(__xludf.DUMMYFUNCTION("""COMPUTED_VALUE"""),"Paung Mewa")</f>
        <v>Paung Mewa</v>
      </c>
      <c r="E340" s="2"/>
      <c r="F340" s="3">
        <f>IFERROR(__xludf.DUMMYFUNCTION("""COMPUTED_VALUE"""),60207.0)</f>
        <v>60207</v>
      </c>
      <c r="G340" s="2" t="str">
        <f>IFERROR(__xludf.DUMMYFUNCTION("""COMPUTED_VALUE"""),"Hydro Kiran P Ltd")</f>
        <v>Hydro Kiran P Ltd</v>
      </c>
      <c r="H340" s="2"/>
      <c r="I340" s="2" t="str">
        <f>IFERROR(__xludf.DUMMYFUNCTION("""COMPUTED_VALUE"""),"27o 30' 00""")</f>
        <v>27o 30' 00"</v>
      </c>
      <c r="J340" s="2" t="str">
        <f>IFERROR(__xludf.DUMMYFUNCTION("""COMPUTED_VALUE"""),"27o 35' 38""")</f>
        <v>27o 35' 38"</v>
      </c>
      <c r="K340" s="2" t="str">
        <f>IFERROR(__xludf.DUMMYFUNCTION("""COMPUTED_VALUE"""),"87o 35' 35""")</f>
        <v>87o 35' 35"</v>
      </c>
      <c r="L340" s="2" t="str">
        <f>IFERROR(__xludf.DUMMYFUNCTION("""COMPUTED_VALUE"""),"87o 38' 40""")</f>
        <v>87o 38' 40"</v>
      </c>
      <c r="M340" s="2" t="str">
        <f>IFERROR(__xludf.DUMMYFUNCTION("""COMPUTED_VALUE"""),"(Taplejung)")</f>
        <v>(Taplejung)</v>
      </c>
    </row>
    <row r="341">
      <c r="A341" s="2">
        <f>IFERROR(__xludf.DUMMYFUNCTION("""COMPUTED_VALUE"""),340.0)</f>
        <v>340</v>
      </c>
      <c r="B341" s="2" t="str">
        <f>IFERROR(__xludf.DUMMYFUNCTION("""COMPUTED_VALUE"""),"Koya Khola")</f>
        <v>Koya Khola</v>
      </c>
      <c r="C341" s="2">
        <f>IFERROR(__xludf.DUMMYFUNCTION("""COMPUTED_VALUE"""),0.99)</f>
        <v>0.99</v>
      </c>
      <c r="D341" s="2" t="str">
        <f>IFERROR(__xludf.DUMMYFUNCTION("""COMPUTED_VALUE"""),"Koya Khola")</f>
        <v>Koya Khola</v>
      </c>
      <c r="E341" s="2"/>
      <c r="F341" s="3">
        <f>IFERROR(__xludf.DUMMYFUNCTION("""COMPUTED_VALUE"""),60207.0)</f>
        <v>60207</v>
      </c>
      <c r="G341" s="2" t="str">
        <f>IFERROR(__xludf.DUMMYFUNCTION("""COMPUTED_VALUE"""),"Khemnath Bhetwal/Yadav K Adhikari/ Sarda Sharma Nepali")</f>
        <v>Khemnath Bhetwal/Yadav K Adhikari/ Sarda Sharma Nepali</v>
      </c>
      <c r="H341" s="2"/>
      <c r="I341" s="2" t="str">
        <f>IFERROR(__xludf.DUMMYFUNCTION("""COMPUTED_VALUE"""),"27o 11' 43""")</f>
        <v>27o 11' 43"</v>
      </c>
      <c r="J341" s="2" t="str">
        <f>IFERROR(__xludf.DUMMYFUNCTION("""COMPUTED_VALUE"""),"27o 12' 55""")</f>
        <v>27o 12' 55"</v>
      </c>
      <c r="K341" s="2" t="str">
        <f>IFERROR(__xludf.DUMMYFUNCTION("""COMPUTED_VALUE"""),"87o 36' 10""")</f>
        <v>87o 36' 10"</v>
      </c>
      <c r="L341" s="2" t="str">
        <f>IFERROR(__xludf.DUMMYFUNCTION("""COMPUTED_VALUE"""),"87o 37' 30""")</f>
        <v>87o 37' 30"</v>
      </c>
      <c r="M341" s="2" t="str">
        <f>IFERROR(__xludf.DUMMYFUNCTION("""COMPUTED_VALUE"""),"(Terhathum)")</f>
        <v>(Terhathum)</v>
      </c>
    </row>
    <row r="342">
      <c r="A342" s="2">
        <f>IFERROR(__xludf.DUMMYFUNCTION("""COMPUTED_VALUE"""),341.0)</f>
        <v>341</v>
      </c>
      <c r="B342" s="2" t="str">
        <f>IFERROR(__xludf.DUMMYFUNCTION("""COMPUTED_VALUE"""),"Karnali (KR-7)")</f>
        <v>Karnali (KR-7)</v>
      </c>
      <c r="C342" s="2">
        <f>IFERROR(__xludf.DUMMYFUNCTION("""COMPUTED_VALUE"""),187.0)</f>
        <v>187</v>
      </c>
      <c r="D342" s="2" t="str">
        <f>IFERROR(__xludf.DUMMYFUNCTION("""COMPUTED_VALUE"""),"Karnali")</f>
        <v>Karnali</v>
      </c>
      <c r="E342" s="2"/>
      <c r="F342" s="3">
        <f>IFERROR(__xludf.DUMMYFUNCTION("""COMPUTED_VALUE"""),60208.0)</f>
        <v>60208</v>
      </c>
      <c r="G342" s="2" t="str">
        <f>IFERROR(__xludf.DUMMYFUNCTION("""COMPUTED_VALUE"""),"Larsen &amp; Toubro Ltd")</f>
        <v>Larsen &amp; Toubro Ltd</v>
      </c>
      <c r="H342" s="2"/>
      <c r="I342" s="2" t="str">
        <f>IFERROR(__xludf.DUMMYFUNCTION("""COMPUTED_VALUE"""),"00o 00' 00""")</f>
        <v>00o 00' 00"</v>
      </c>
      <c r="J342" s="2" t="str">
        <f>IFERROR(__xludf.DUMMYFUNCTION("""COMPUTED_VALUE"""),"00o 00' 00""")</f>
        <v>00o 00' 00"</v>
      </c>
      <c r="K342" s="2" t="str">
        <f>IFERROR(__xludf.DUMMYFUNCTION("""COMPUTED_VALUE"""),"00o 00' 00""")</f>
        <v>00o 00' 00"</v>
      </c>
      <c r="L342" s="2" t="str">
        <f>IFERROR(__xludf.DUMMYFUNCTION("""COMPUTED_VALUE"""),"00o 00' 00""")</f>
        <v>00o 00' 00"</v>
      </c>
      <c r="M342" s="2" t="str">
        <f>IFERROR(__xludf.DUMMYFUNCTION("""COMPUTED_VALUE"""),"(Achham)")</f>
        <v>(Achham)</v>
      </c>
    </row>
    <row r="343">
      <c r="A343" s="2">
        <f>IFERROR(__xludf.DUMMYFUNCTION("""COMPUTED_VALUE"""),342.0)</f>
        <v>342</v>
      </c>
      <c r="B343" s="2" t="str">
        <f>IFERROR(__xludf.DUMMYFUNCTION("""COMPUTED_VALUE"""),"Tawa Khola")</f>
        <v>Tawa Khola</v>
      </c>
      <c r="C343" s="2">
        <f>IFERROR(__xludf.DUMMYFUNCTION("""COMPUTED_VALUE"""),4.13)</f>
        <v>4.13</v>
      </c>
      <c r="D343" s="2" t="str">
        <f>IFERROR(__xludf.DUMMYFUNCTION("""COMPUTED_VALUE"""),"Tawa Khola")</f>
        <v>Tawa Khola</v>
      </c>
      <c r="E343" s="2"/>
      <c r="F343" s="3">
        <f>IFERROR(__xludf.DUMMYFUNCTION("""COMPUTED_VALUE"""),60208.0)</f>
        <v>60208</v>
      </c>
      <c r="G343" s="2" t="str">
        <f>IFERROR(__xludf.DUMMYFUNCTION("""COMPUTED_VALUE"""),"HydroKiran P Ltd")</f>
        <v>HydroKiran P Ltd</v>
      </c>
      <c r="H343" s="2"/>
      <c r="I343" s="2" t="str">
        <f>IFERROR(__xludf.DUMMYFUNCTION("""COMPUTED_VALUE"""),"27o 21' 40""")</f>
        <v>27o 21' 40"</v>
      </c>
      <c r="J343" s="2" t="str">
        <f>IFERROR(__xludf.DUMMYFUNCTION("""COMPUTED_VALUE"""),"27o 23' 23""")</f>
        <v>27o 23' 23"</v>
      </c>
      <c r="K343" s="2" t="str">
        <f>IFERROR(__xludf.DUMMYFUNCTION("""COMPUTED_VALUE"""),"87o 50' 49""")</f>
        <v>87o 50' 49"</v>
      </c>
      <c r="L343" s="2" t="str">
        <f>IFERROR(__xludf.DUMMYFUNCTION("""COMPUTED_VALUE"""),"87o 55' 18""")</f>
        <v>87o 55' 18"</v>
      </c>
      <c r="M343" s="2" t="str">
        <f>IFERROR(__xludf.DUMMYFUNCTION("""COMPUTED_VALUE"""),"(Taplejung)")</f>
        <v>(Taplejung)</v>
      </c>
    </row>
    <row r="344">
      <c r="A344" s="2">
        <f>IFERROR(__xludf.DUMMYFUNCTION("""COMPUTED_VALUE"""),343.0)</f>
        <v>343</v>
      </c>
      <c r="B344" s="2" t="str">
        <f>IFERROR(__xludf.DUMMYFUNCTION("""COMPUTED_VALUE"""),"Chhere Khola")</f>
        <v>Chhere Khola</v>
      </c>
      <c r="C344" s="2">
        <f>IFERROR(__xludf.DUMMYFUNCTION("""COMPUTED_VALUE"""),12.0)</f>
        <v>12</v>
      </c>
      <c r="D344" s="2" t="str">
        <f>IFERROR(__xludf.DUMMYFUNCTION("""COMPUTED_VALUE"""),"Chhere")</f>
        <v>Chhere</v>
      </c>
      <c r="E344" s="2"/>
      <c r="F344" s="3">
        <f>IFERROR(__xludf.DUMMYFUNCTION("""COMPUTED_VALUE"""),60208.0)</f>
        <v>60208</v>
      </c>
      <c r="G344" s="2" t="str">
        <f>IFERROR(__xludf.DUMMYFUNCTION("""COMPUTED_VALUE"""),"Jade Power P Ltd")</f>
        <v>Jade Power P Ltd</v>
      </c>
      <c r="H344" s="2"/>
      <c r="I344" s="2" t="str">
        <f>IFERROR(__xludf.DUMMYFUNCTION("""COMPUTED_VALUE"""),"28o 39' 22""")</f>
        <v>28o 39' 22"</v>
      </c>
      <c r="J344" s="2" t="str">
        <f>IFERROR(__xludf.DUMMYFUNCTION("""COMPUTED_VALUE"""),"28o 45' 00""")</f>
        <v>28o 45' 00"</v>
      </c>
      <c r="K344" s="2" t="str">
        <f>IFERROR(__xludf.DUMMYFUNCTION("""COMPUTED_VALUE"""),"82o 00' 00""")</f>
        <v>82o 00' 00"</v>
      </c>
      <c r="L344" s="2" t="str">
        <f>IFERROR(__xludf.DUMMYFUNCTION("""COMPUTED_VALUE"""),"83o 07' 17""")</f>
        <v>83o 07' 17"</v>
      </c>
      <c r="M344" s="2" t="str">
        <f>IFERROR(__xludf.DUMMYFUNCTION("""COMPUTED_VALUE"""),"(Jajarkot)")</f>
        <v>(Jajarkot)</v>
      </c>
    </row>
    <row r="345">
      <c r="A345" s="2">
        <f>IFERROR(__xludf.DUMMYFUNCTION("""COMPUTED_VALUE"""),344.0)</f>
        <v>344</v>
      </c>
      <c r="B345" s="2" t="str">
        <f>IFERROR(__xludf.DUMMYFUNCTION("""COMPUTED_VALUE"""),"Likhu")</f>
        <v>Likhu</v>
      </c>
      <c r="C345" s="2">
        <f>IFERROR(__xludf.DUMMYFUNCTION("""COMPUTED_VALUE"""),15.0)</f>
        <v>15</v>
      </c>
      <c r="D345" s="2" t="str">
        <f>IFERROR(__xludf.DUMMYFUNCTION("""COMPUTED_VALUE"""),"Likhu Khola")</f>
        <v>Likhu Khola</v>
      </c>
      <c r="E345" s="2">
        <f>IFERROR(__xludf.DUMMYFUNCTION("""COMPUTED_VALUE"""),2047.0)</f>
        <v>2047</v>
      </c>
      <c r="F345" s="3">
        <f>IFERROR(__xludf.DUMMYFUNCTION("""COMPUTED_VALUE"""),60208.0)</f>
        <v>60208</v>
      </c>
      <c r="G345" s="2" t="str">
        <f>IFERROR(__xludf.DUMMYFUNCTION("""COMPUTED_VALUE"""),"Mahesh K Sharda")</f>
        <v>Mahesh K Sharda</v>
      </c>
      <c r="H345" s="2" t="str">
        <f>IFERROR(__xludf.DUMMYFUNCTION("""COMPUTED_VALUE"""),"Kathmandu, P.O.Box. 20690, Phone 4242454, 4242372")</f>
        <v>Kathmandu, P.O.Box. 20690, Phone 4242454, 4242372</v>
      </c>
      <c r="I345" s="2" t="str">
        <f>IFERROR(__xludf.DUMMYFUNCTION("""COMPUTED_VALUE"""),"27o 15' 00""")</f>
        <v>27o 15' 00"</v>
      </c>
      <c r="J345" s="2" t="str">
        <f>IFERROR(__xludf.DUMMYFUNCTION("""COMPUTED_VALUE"""),"27o 17' 16""")</f>
        <v>27o 17' 16"</v>
      </c>
      <c r="K345" s="2" t="str">
        <f>IFERROR(__xludf.DUMMYFUNCTION("""COMPUTED_VALUE"""),"86o 13' 57""")</f>
        <v>86o 13' 57"</v>
      </c>
      <c r="L345" s="2" t="str">
        <f>IFERROR(__xludf.DUMMYFUNCTION("""COMPUTED_VALUE"""),"86o 15' 44""")</f>
        <v>86o 15' 44"</v>
      </c>
      <c r="M345" s="2" t="str">
        <f>IFERROR(__xludf.DUMMYFUNCTION("""COMPUTED_VALUE"""),"(Ramechhap)")</f>
        <v>(Ramechhap)</v>
      </c>
    </row>
    <row r="346">
      <c r="A346" s="2">
        <f>IFERROR(__xludf.DUMMYFUNCTION("""COMPUTED_VALUE"""),345.0)</f>
        <v>345</v>
      </c>
      <c r="B346" s="2" t="str">
        <f>IFERROR(__xludf.DUMMYFUNCTION("""COMPUTED_VALUE"""),"Gandi Gad")</f>
        <v>Gandi Gad</v>
      </c>
      <c r="C346" s="2">
        <f>IFERROR(__xludf.DUMMYFUNCTION("""COMPUTED_VALUE"""),2.0)</f>
        <v>2</v>
      </c>
      <c r="D346" s="2" t="str">
        <f>IFERROR(__xludf.DUMMYFUNCTION("""COMPUTED_VALUE"""),"Gaddi Gad")</f>
        <v>Gaddi Gad</v>
      </c>
      <c r="E346" s="2">
        <f>IFERROR(__xludf.DUMMYFUNCTION("""COMPUTED_VALUE"""),2044.0)</f>
        <v>2044</v>
      </c>
      <c r="F346" s="3">
        <f>IFERROR(__xludf.DUMMYFUNCTION("""COMPUTED_VALUE"""),60208.0)</f>
        <v>60208</v>
      </c>
      <c r="G346" s="2" t="str">
        <f>IFERROR(__xludf.DUMMYFUNCTION("""COMPUTED_VALUE"""),"Pioneer Hydro Pvt. Ltd.")</f>
        <v>Pioneer Hydro Pvt. Ltd.</v>
      </c>
      <c r="H346" s="2" t="str">
        <f>IFERROR(__xludf.DUMMYFUNCTION("""COMPUTED_VALUE"""),"Koteshwor Kathmandu Tel 2012467")</f>
        <v>Koteshwor Kathmandu Tel 2012467</v>
      </c>
      <c r="I346" s="2" t="str">
        <f>IFERROR(__xludf.DUMMYFUNCTION("""COMPUTED_VALUE"""),"29o 11' 00""")</f>
        <v>29o 11' 00"</v>
      </c>
      <c r="J346" s="2" t="str">
        <f>IFERROR(__xludf.DUMMYFUNCTION("""COMPUTED_VALUE"""),"29o 13' 30""")</f>
        <v>29o 13' 30"</v>
      </c>
      <c r="K346" s="2" t="str">
        <f>IFERROR(__xludf.DUMMYFUNCTION("""COMPUTED_VALUE"""),"81o 01' 00""")</f>
        <v>81o 01' 00"</v>
      </c>
      <c r="L346" s="2" t="str">
        <f>IFERROR(__xludf.DUMMYFUNCTION("""COMPUTED_VALUE"""),"81o 04' 30""")</f>
        <v>81o 04' 30"</v>
      </c>
      <c r="M346" s="2" t="str">
        <f>IFERROR(__xludf.DUMMYFUNCTION("""COMPUTED_VALUE"""),"Ladagada (Doti)")</f>
        <v>Ladagada (Doti)</v>
      </c>
    </row>
    <row r="347">
      <c r="A347" s="2">
        <f>IFERROR(__xludf.DUMMYFUNCTION("""COMPUTED_VALUE"""),346.0)</f>
        <v>346</v>
      </c>
      <c r="B347" s="2" t="str">
        <f>IFERROR(__xludf.DUMMYFUNCTION("""COMPUTED_VALUE"""),"Dhaiku Khola")</f>
        <v>Dhaiku Khola</v>
      </c>
      <c r="C347" s="2">
        <f>IFERROR(__xludf.DUMMYFUNCTION("""COMPUTED_VALUE"""),0.974)</f>
        <v>0.974</v>
      </c>
      <c r="D347" s="2" t="str">
        <f>IFERROR(__xludf.DUMMYFUNCTION("""COMPUTED_VALUE"""),"Dhaiku")</f>
        <v>Dhaiku</v>
      </c>
      <c r="E347" s="2"/>
      <c r="F347" s="3">
        <f>IFERROR(__xludf.DUMMYFUNCTION("""COMPUTED_VALUE"""),60211.0)</f>
        <v>60211</v>
      </c>
      <c r="G347" s="2" t="str">
        <f>IFERROR(__xludf.DUMMYFUNCTION("""COMPUTED_VALUE"""),"Research &amp; Dev Group")</f>
        <v>Research &amp; Dev Group</v>
      </c>
      <c r="H347" s="2"/>
      <c r="I347" s="2" t="str">
        <f>IFERROR(__xludf.DUMMYFUNCTION("""COMPUTED_VALUE"""),"28o 35' 00""")</f>
        <v>28o 35' 00"</v>
      </c>
      <c r="J347" s="2" t="str">
        <f>IFERROR(__xludf.DUMMYFUNCTION("""COMPUTED_VALUE"""),"28o 36' 51""")</f>
        <v>28o 36' 51"</v>
      </c>
      <c r="K347" s="2" t="str">
        <f>IFERROR(__xludf.DUMMYFUNCTION("""COMPUTED_VALUE"""),"83o 36' 41""")</f>
        <v>83o 36' 41"</v>
      </c>
      <c r="L347" s="2" t="str">
        <f>IFERROR(__xludf.DUMMYFUNCTION("""COMPUTED_VALUE"""),"83o 39' 06""")</f>
        <v>83o 39' 06"</v>
      </c>
      <c r="M347" s="2" t="str">
        <f>IFERROR(__xludf.DUMMYFUNCTION("""COMPUTED_VALUE"""),"(Mustang)")</f>
        <v>(Mustang)</v>
      </c>
    </row>
    <row r="348">
      <c r="A348" s="2">
        <f>IFERROR(__xludf.DUMMYFUNCTION("""COMPUTED_VALUE"""),347.0)</f>
        <v>347</v>
      </c>
      <c r="B348" s="2" t="str">
        <f>IFERROR(__xludf.DUMMYFUNCTION("""COMPUTED_VALUE"""),"Nisti khola")</f>
        <v>Nisti khola</v>
      </c>
      <c r="C348" s="2">
        <f>IFERROR(__xludf.DUMMYFUNCTION("""COMPUTED_VALUE"""),0.9)</f>
        <v>0.9</v>
      </c>
      <c r="D348" s="2" t="str">
        <f>IFERROR(__xludf.DUMMYFUNCTION("""COMPUTED_VALUE"""),"Nisti Khola")</f>
        <v>Nisti Khola</v>
      </c>
      <c r="E348" s="2"/>
      <c r="F348" s="3">
        <f>IFERROR(__xludf.DUMMYFUNCTION("""COMPUTED_VALUE"""),60211.0)</f>
        <v>60211</v>
      </c>
      <c r="G348" s="2" t="str">
        <f>IFERROR(__xludf.DUMMYFUNCTION("""COMPUTED_VALUE"""),"Madhab Lal Upadhyay")</f>
        <v>Madhab Lal Upadhyay</v>
      </c>
      <c r="H348" s="2"/>
      <c r="I348" s="2" t="str">
        <f>IFERROR(__xludf.DUMMYFUNCTION("""COMPUTED_VALUE"""),"28o 07' 00""")</f>
        <v>28o 07' 00"</v>
      </c>
      <c r="J348" s="2" t="str">
        <f>IFERROR(__xludf.DUMMYFUNCTION("""COMPUTED_VALUE"""),"28o 10' 00""")</f>
        <v>28o 10' 00"</v>
      </c>
      <c r="K348" s="2" t="str">
        <f>IFERROR(__xludf.DUMMYFUNCTION("""COMPUTED_VALUE"""),"83o 15' 00""")</f>
        <v>83o 15' 00"</v>
      </c>
      <c r="L348" s="2" t="str">
        <f>IFERROR(__xludf.DUMMYFUNCTION("""COMPUTED_VALUE"""),"83o 16' 00""")</f>
        <v>83o 16' 00"</v>
      </c>
      <c r="M348" s="2" t="str">
        <f>IFERROR(__xludf.DUMMYFUNCTION("""COMPUTED_VALUE"""),"(Gulmi)")</f>
        <v>(Gulmi)</v>
      </c>
    </row>
    <row r="349">
      <c r="A349" s="2">
        <f>IFERROR(__xludf.DUMMYFUNCTION("""COMPUTED_VALUE"""),348.0)</f>
        <v>348</v>
      </c>
      <c r="B349" s="2" t="str">
        <f>IFERROR(__xludf.DUMMYFUNCTION("""COMPUTED_VALUE"""),"Melamchi")</f>
        <v>Melamchi</v>
      </c>
      <c r="C349" s="2">
        <f>IFERROR(__xludf.DUMMYFUNCTION("""COMPUTED_VALUE"""),10.0)</f>
        <v>10</v>
      </c>
      <c r="D349" s="2" t="str">
        <f>IFERROR(__xludf.DUMMYFUNCTION("""COMPUTED_VALUE"""),"Melamchi")</f>
        <v>Melamchi</v>
      </c>
      <c r="E349" s="2">
        <f>IFERROR(__xludf.DUMMYFUNCTION("""COMPUTED_VALUE"""),2069.0)</f>
        <v>2069</v>
      </c>
      <c r="F349" s="3">
        <f>IFERROR(__xludf.DUMMYFUNCTION("""COMPUTED_VALUE"""),60212.0)</f>
        <v>60212</v>
      </c>
      <c r="G349" s="2" t="str">
        <f>IFERROR(__xludf.DUMMYFUNCTION("""COMPUTED_VALUE"""),"First Power P Ltd")</f>
        <v>First Power P Ltd</v>
      </c>
      <c r="H349" s="2" t="str">
        <f>IFERROR(__xludf.DUMMYFUNCTION("""COMPUTED_VALUE"""),"Kathamndu, Phone 01-4358853, Fax 01-4360406")</f>
        <v>Kathamndu, Phone 01-4358853, Fax 01-4360406</v>
      </c>
      <c r="I349" s="2" t="str">
        <f>IFERROR(__xludf.DUMMYFUNCTION("""COMPUTED_VALUE"""),"28o 00' 00""")</f>
        <v>28o 00' 00"</v>
      </c>
      <c r="J349" s="2" t="str">
        <f>IFERROR(__xludf.DUMMYFUNCTION("""COMPUTED_VALUE"""),"28o 02' 17""")</f>
        <v>28o 02' 17"</v>
      </c>
      <c r="K349" s="2" t="str">
        <f>IFERROR(__xludf.DUMMYFUNCTION("""COMPUTED_VALUE"""),"85o 31' 31""")</f>
        <v>85o 31' 31"</v>
      </c>
      <c r="L349" s="2" t="str">
        <f>IFERROR(__xludf.DUMMYFUNCTION("""COMPUTED_VALUE"""),"85o 32' 44""")</f>
        <v>85o 32' 44"</v>
      </c>
      <c r="M349" s="2" t="str">
        <f>IFERROR(__xludf.DUMMYFUNCTION("""COMPUTED_VALUE"""),"(Sindhupalchok)")</f>
        <v>(Sindhupalchok)</v>
      </c>
    </row>
    <row r="350">
      <c r="A350" s="2">
        <f>IFERROR(__xludf.DUMMYFUNCTION("""COMPUTED_VALUE"""),349.0)</f>
        <v>349</v>
      </c>
      <c r="B350" s="2" t="str">
        <f>IFERROR(__xludf.DUMMYFUNCTION("""COMPUTED_VALUE"""),"Irkhuwa Khola")</f>
        <v>Irkhuwa Khola</v>
      </c>
      <c r="C350" s="2">
        <f>IFERROR(__xludf.DUMMYFUNCTION("""COMPUTED_VALUE"""),0.99)</f>
        <v>0.99</v>
      </c>
      <c r="D350" s="2" t="str">
        <f>IFERROR(__xludf.DUMMYFUNCTION("""COMPUTED_VALUE"""),"Irkhuwa Khola")</f>
        <v>Irkhuwa Khola</v>
      </c>
      <c r="E350" s="2"/>
      <c r="F350" s="3">
        <f>IFERROR(__xludf.DUMMYFUNCTION("""COMPUTED_VALUE"""),60214.0)</f>
        <v>60214</v>
      </c>
      <c r="G350" s="2" t="str">
        <f>IFERROR(__xludf.DUMMYFUNCTION("""COMPUTED_VALUE"""),"Rupendra Bar Dhoj Thapa")</f>
        <v>Rupendra Bar Dhoj Thapa</v>
      </c>
      <c r="H350" s="2"/>
      <c r="I350" s="2" t="str">
        <f>IFERROR(__xludf.DUMMYFUNCTION("""COMPUTED_VALUE"""),"27o 23' 03""")</f>
        <v>27o 23' 03"</v>
      </c>
      <c r="J350" s="2" t="str">
        <f>IFERROR(__xludf.DUMMYFUNCTION("""COMPUTED_VALUE"""),"27o 24' 08""")</f>
        <v>27o 24' 08"</v>
      </c>
      <c r="K350" s="2" t="str">
        <f>IFERROR(__xludf.DUMMYFUNCTION("""COMPUTED_VALUE"""),"87o 00' 36""")</f>
        <v>87o 00' 36"</v>
      </c>
      <c r="L350" s="2" t="str">
        <f>IFERROR(__xludf.DUMMYFUNCTION("""COMPUTED_VALUE"""),"87o 02' 25""")</f>
        <v>87o 02' 25"</v>
      </c>
      <c r="M350" s="2" t="str">
        <f>IFERROR(__xludf.DUMMYFUNCTION("""COMPUTED_VALUE"""),"(Bhojpur)")</f>
        <v>(Bhojpur)</v>
      </c>
    </row>
    <row r="351">
      <c r="A351" s="2">
        <f>IFERROR(__xludf.DUMMYFUNCTION("""COMPUTED_VALUE"""),350.0)</f>
        <v>350</v>
      </c>
      <c r="B351" s="2" t="str">
        <f>IFERROR(__xludf.DUMMYFUNCTION("""COMPUTED_VALUE"""),"Mayun Khola")</f>
        <v>Mayun Khola</v>
      </c>
      <c r="C351" s="2">
        <f>IFERROR(__xludf.DUMMYFUNCTION("""COMPUTED_VALUE"""),0.9)</f>
        <v>0.9</v>
      </c>
      <c r="D351" s="2" t="str">
        <f>IFERROR(__xludf.DUMMYFUNCTION("""COMPUTED_VALUE"""),"Mayun")</f>
        <v>Mayun</v>
      </c>
      <c r="E351" s="2"/>
      <c r="F351" s="3">
        <f>IFERROR(__xludf.DUMMYFUNCTION("""COMPUTED_VALUE"""),60214.0)</f>
        <v>60214</v>
      </c>
      <c r="G351" s="2" t="str">
        <f>IFERROR(__xludf.DUMMYFUNCTION("""COMPUTED_VALUE"""),"Santosh Rimal / Rajesh Shrestha")</f>
        <v>Santosh Rimal / Rajesh Shrestha</v>
      </c>
      <c r="H351" s="2"/>
      <c r="I351" s="2" t="str">
        <f>IFERROR(__xludf.DUMMYFUNCTION("""COMPUTED_VALUE"""),"27o 55' 24""")</f>
        <v>27o 55' 24"</v>
      </c>
      <c r="J351" s="2" t="str">
        <f>IFERROR(__xludf.DUMMYFUNCTION("""COMPUTED_VALUE"""),"27o 56' 20""")</f>
        <v>27o 56' 20"</v>
      </c>
      <c r="K351" s="2" t="str">
        <f>IFERROR(__xludf.DUMMYFUNCTION("""COMPUTED_VALUE"""),"85o 45' 23""")</f>
        <v>85o 45' 23"</v>
      </c>
      <c r="L351" s="2" t="str">
        <f>IFERROR(__xludf.DUMMYFUNCTION("""COMPUTED_VALUE"""),"85o 46' 28""")</f>
        <v>85o 46' 28"</v>
      </c>
      <c r="M351" s="2" t="str">
        <f>IFERROR(__xludf.DUMMYFUNCTION("""COMPUTED_VALUE"""),"(Sindhupalchok)")</f>
        <v>(Sindhupalchok)</v>
      </c>
    </row>
    <row r="352">
      <c r="A352" s="2">
        <f>IFERROR(__xludf.DUMMYFUNCTION("""COMPUTED_VALUE"""),351.0)</f>
        <v>351</v>
      </c>
      <c r="B352" s="2" t="str">
        <f>IFERROR(__xludf.DUMMYFUNCTION("""COMPUTED_VALUE"""),"Shyam Khola")</f>
        <v>Shyam Khola</v>
      </c>
      <c r="C352" s="2">
        <f>IFERROR(__xludf.DUMMYFUNCTION("""COMPUTED_VALUE"""),0.68)</f>
        <v>0.68</v>
      </c>
      <c r="D352" s="2" t="str">
        <f>IFERROR(__xludf.DUMMYFUNCTION("""COMPUTED_VALUE"""),"Shyam")</f>
        <v>Shyam</v>
      </c>
      <c r="E352" s="2"/>
      <c r="F352" s="3">
        <f>IFERROR(__xludf.DUMMYFUNCTION("""COMPUTED_VALUE"""),60214.0)</f>
        <v>60214</v>
      </c>
      <c r="G352" s="2" t="str">
        <f>IFERROR(__xludf.DUMMYFUNCTION("""COMPUTED_VALUE"""),"Netra Bahadur Karki / Dipak Rai/Chandra Prakash Rai/Dharma Raj Rai")</f>
        <v>Netra Bahadur Karki / Dipak Rai/Chandra Prakash Rai/Dharma Raj Rai</v>
      </c>
      <c r="H352" s="2"/>
      <c r="I352" s="2" t="str">
        <f>IFERROR(__xludf.DUMMYFUNCTION("""COMPUTED_VALUE"""),"27o 18' 38""")</f>
        <v>27o 18' 38"</v>
      </c>
      <c r="J352" s="2" t="str">
        <f>IFERROR(__xludf.DUMMYFUNCTION("""COMPUTED_VALUE"""),"27o 20' 33""")</f>
        <v>27o 20' 33"</v>
      </c>
      <c r="K352" s="2" t="str">
        <f>IFERROR(__xludf.DUMMYFUNCTION("""COMPUTED_VALUE"""),"87o 03' 45""")</f>
        <v>87o 03' 45"</v>
      </c>
      <c r="L352" s="2" t="str">
        <f>IFERROR(__xludf.DUMMYFUNCTION("""COMPUTED_VALUE"""),"87o 04' 30""")</f>
        <v>87o 04' 30"</v>
      </c>
      <c r="M352" s="2" t="str">
        <f>IFERROR(__xludf.DUMMYFUNCTION("""COMPUTED_VALUE"""),"(Bhojpur)")</f>
        <v>(Bhojpur)</v>
      </c>
    </row>
    <row r="353">
      <c r="A353" s="2">
        <f>IFERROR(__xludf.DUMMYFUNCTION("""COMPUTED_VALUE"""),352.0)</f>
        <v>352</v>
      </c>
      <c r="B353" s="2" t="str">
        <f>IFERROR(__xludf.DUMMYFUNCTION("""COMPUTED_VALUE"""),"Tinau First")</f>
        <v>Tinau First</v>
      </c>
      <c r="C353" s="2">
        <f>IFERROR(__xludf.DUMMYFUNCTION("""COMPUTED_VALUE"""),0.998)</f>
        <v>0.998</v>
      </c>
      <c r="D353" s="2" t="str">
        <f>IFERROR(__xludf.DUMMYFUNCTION("""COMPUTED_VALUE"""),"Tinau")</f>
        <v>Tinau</v>
      </c>
      <c r="E353" s="2"/>
      <c r="F353" s="3">
        <f>IFERROR(__xludf.DUMMYFUNCTION("""COMPUTED_VALUE"""),60214.0)</f>
        <v>60214</v>
      </c>
      <c r="G353" s="2" t="str">
        <f>IFERROR(__xludf.DUMMYFUNCTION("""COMPUTED_VALUE"""),"Dipak karki / Thaman Bahadur Thapa")</f>
        <v>Dipak karki / Thaman Bahadur Thapa</v>
      </c>
      <c r="H353" s="2"/>
      <c r="I353" s="2" t="str">
        <f>IFERROR(__xludf.DUMMYFUNCTION("""COMPUTED_VALUE"""),"27o 46' 37""")</f>
        <v>27o 46' 37"</v>
      </c>
      <c r="J353" s="2" t="str">
        <f>IFERROR(__xludf.DUMMYFUNCTION("""COMPUTED_VALUE"""),"27o 48' 00""")</f>
        <v>27o 48' 00"</v>
      </c>
      <c r="K353" s="2" t="str">
        <f>IFERROR(__xludf.DUMMYFUNCTION("""COMPUTED_VALUE"""),"83o 31' 23""")</f>
        <v>83o 31' 23"</v>
      </c>
      <c r="L353" s="2" t="str">
        <f>IFERROR(__xludf.DUMMYFUNCTION("""COMPUTED_VALUE"""),"83o 33' 12""")</f>
        <v>83o 33' 12"</v>
      </c>
      <c r="M353" s="2" t="str">
        <f>IFERROR(__xludf.DUMMYFUNCTION("""COMPUTED_VALUE"""),"(Palpa)")</f>
        <v>(Palpa)</v>
      </c>
    </row>
    <row r="354">
      <c r="A354" s="2">
        <f>IFERROR(__xludf.DUMMYFUNCTION("""COMPUTED_VALUE"""),353.0)</f>
        <v>353</v>
      </c>
      <c r="B354" s="2" t="str">
        <f>IFERROR(__xludf.DUMMYFUNCTION("""COMPUTED_VALUE"""),"Ghar Khola")</f>
        <v>Ghar Khola</v>
      </c>
      <c r="C354" s="2">
        <f>IFERROR(__xludf.DUMMYFUNCTION("""COMPUTED_VALUE"""),4.79)</f>
        <v>4.79</v>
      </c>
      <c r="D354" s="2" t="str">
        <f>IFERROR(__xludf.DUMMYFUNCTION("""COMPUTED_VALUE"""),"Ghar")</f>
        <v>Ghar</v>
      </c>
      <c r="E354" s="2"/>
      <c r="F354" s="3">
        <f>IFERROR(__xludf.DUMMYFUNCTION("""COMPUTED_VALUE"""),60214.0)</f>
        <v>60214</v>
      </c>
      <c r="G354" s="2" t="str">
        <f>IFERROR(__xludf.DUMMYFUNCTION("""COMPUTED_VALUE"""),"JV of LG infrastructure Developer PVT &amp; Delta Energy PVT")</f>
        <v>JV of LG infrastructure Developer PVT &amp; Delta Energy PVT</v>
      </c>
      <c r="H354" s="2"/>
      <c r="I354" s="2" t="str">
        <f>IFERROR(__xludf.DUMMYFUNCTION("""COMPUTED_VALUE"""),"28o 25' 00""")</f>
        <v>28o 25' 00"</v>
      </c>
      <c r="J354" s="2" t="str">
        <f>IFERROR(__xludf.DUMMYFUNCTION("""COMPUTED_VALUE"""),"28o 27' 30""")</f>
        <v>28o 27' 30"</v>
      </c>
      <c r="K354" s="2" t="str">
        <f>IFERROR(__xludf.DUMMYFUNCTION("""COMPUTED_VALUE"""),"83o 38' 32""")</f>
        <v>83o 38' 32"</v>
      </c>
      <c r="L354" s="2" t="str">
        <f>IFERROR(__xludf.DUMMYFUNCTION("""COMPUTED_VALUE"""),"83o 42' 30""")</f>
        <v>83o 42' 30"</v>
      </c>
      <c r="M354" s="2" t="str">
        <f>IFERROR(__xludf.DUMMYFUNCTION("""COMPUTED_VALUE"""),"(Myagdi)")</f>
        <v>(Myagdi)</v>
      </c>
    </row>
    <row r="355">
      <c r="A355" s="2">
        <f>IFERROR(__xludf.DUMMYFUNCTION("""COMPUTED_VALUE"""),354.0)</f>
        <v>354</v>
      </c>
      <c r="B355" s="2" t="str">
        <f>IFERROR(__xludf.DUMMYFUNCTION("""COMPUTED_VALUE"""),"Banauti Khola")</f>
        <v>Banauti Khola</v>
      </c>
      <c r="C355" s="2">
        <f>IFERROR(__xludf.DUMMYFUNCTION("""COMPUTED_VALUE"""),0.81)</f>
        <v>0.81</v>
      </c>
      <c r="D355" s="2" t="str">
        <f>IFERROR(__xludf.DUMMYFUNCTION("""COMPUTED_VALUE"""),"Banauti")</f>
        <v>Banauti</v>
      </c>
      <c r="E355" s="2"/>
      <c r="F355" s="3">
        <f>IFERROR(__xludf.DUMMYFUNCTION("""COMPUTED_VALUE"""),60214.0)</f>
        <v>60214</v>
      </c>
      <c r="G355" s="2" t="str">
        <f>IFERROR(__xludf.DUMMYFUNCTION("""COMPUTED_VALUE"""),"Ranjina Khadka")</f>
        <v>Ranjina Khadka</v>
      </c>
      <c r="H355" s="2"/>
      <c r="I355" s="2" t="str">
        <f>IFERROR(__xludf.DUMMYFUNCTION("""COMPUTED_VALUE"""),"27o 26' 45""")</f>
        <v>27o 26' 45"</v>
      </c>
      <c r="J355" s="2" t="str">
        <f>IFERROR(__xludf.DUMMYFUNCTION("""COMPUTED_VALUE"""),"27o 28' 35""")</f>
        <v>27o 28' 35"</v>
      </c>
      <c r="K355" s="2" t="str">
        <f>IFERROR(__xludf.DUMMYFUNCTION("""COMPUTED_VALUE"""),"86o 14' 15""")</f>
        <v>86o 14' 15"</v>
      </c>
      <c r="L355" s="2" t="str">
        <f>IFERROR(__xludf.DUMMYFUNCTION("""COMPUTED_VALUE"""),"86o 16' 00""")</f>
        <v>86o 16' 00"</v>
      </c>
      <c r="M355" s="2" t="str">
        <f>IFERROR(__xludf.DUMMYFUNCTION("""COMPUTED_VALUE"""),"(Ramechhap)")</f>
        <v>(Ramechhap)</v>
      </c>
    </row>
    <row r="356">
      <c r="A356" s="2">
        <f>IFERROR(__xludf.DUMMYFUNCTION("""COMPUTED_VALUE"""),355.0)</f>
        <v>355</v>
      </c>
      <c r="B356" s="2" t="str">
        <f>IFERROR(__xludf.DUMMYFUNCTION("""COMPUTED_VALUE"""),"Sunigadh")</f>
        <v>Sunigadh</v>
      </c>
      <c r="C356" s="2">
        <f>IFERROR(__xludf.DUMMYFUNCTION("""COMPUTED_VALUE"""),5.0)</f>
        <v>5</v>
      </c>
      <c r="D356" s="2" t="str">
        <f>IFERROR(__xludf.DUMMYFUNCTION("""COMPUTED_VALUE"""),"Suni Gad")</f>
        <v>Suni Gad</v>
      </c>
      <c r="E356" s="2"/>
      <c r="F356" s="3">
        <f>IFERROR(__xludf.DUMMYFUNCTION("""COMPUTED_VALUE"""),60215.0)</f>
        <v>60215</v>
      </c>
      <c r="G356" s="2" t="str">
        <f>IFERROR(__xludf.DUMMYFUNCTION("""COMPUTED_VALUE"""),"Punit Kumar Sarada")</f>
        <v>Punit Kumar Sarada</v>
      </c>
      <c r="H356" s="2" t="str">
        <f>IFERROR(__xludf.DUMMYFUNCTION("""COMPUTED_VALUE"""),"Sanihat Biratnagar -2, ph 530935")</f>
        <v>Sanihat Biratnagar -2, ph 530935</v>
      </c>
      <c r="I356" s="2" t="str">
        <f>IFERROR(__xludf.DUMMYFUNCTION("""COMPUTED_VALUE"""),"29o 32' 58""")</f>
        <v>29o 32' 58"</v>
      </c>
      <c r="J356" s="2" t="str">
        <f>IFERROR(__xludf.DUMMYFUNCTION("""COMPUTED_VALUE"""),"29o 36' 02""")</f>
        <v>29o 36' 02"</v>
      </c>
      <c r="K356" s="2" t="str">
        <f>IFERROR(__xludf.DUMMYFUNCTION("""COMPUTED_VALUE"""),"81o 12' 16""")</f>
        <v>81o 12' 16"</v>
      </c>
      <c r="L356" s="2" t="str">
        <f>IFERROR(__xludf.DUMMYFUNCTION("""COMPUTED_VALUE"""),"81o 14' 02""")</f>
        <v>81o 14' 02"</v>
      </c>
      <c r="M356" s="2" t="str">
        <f>IFERROR(__xludf.DUMMYFUNCTION("""COMPUTED_VALUE"""),"(Bajhang)")</f>
        <v>(Bajhang)</v>
      </c>
    </row>
    <row r="357">
      <c r="A357" s="2">
        <f>IFERROR(__xludf.DUMMYFUNCTION("""COMPUTED_VALUE"""),356.0)</f>
        <v>356</v>
      </c>
      <c r="B357" s="2" t="str">
        <f>IFERROR(__xludf.DUMMYFUNCTION("""COMPUTED_VALUE"""),"Giri Khola")</f>
        <v>Giri Khola</v>
      </c>
      <c r="C357" s="2">
        <f>IFERROR(__xludf.DUMMYFUNCTION("""COMPUTED_VALUE"""),8.0)</f>
        <v>8</v>
      </c>
      <c r="D357" s="2" t="str">
        <f>IFERROR(__xludf.DUMMYFUNCTION("""COMPUTED_VALUE"""),"Giri")</f>
        <v>Giri</v>
      </c>
      <c r="E357" s="2"/>
      <c r="F357" s="3">
        <f>IFERROR(__xludf.DUMMYFUNCTION("""COMPUTED_VALUE"""),60215.0)</f>
        <v>60215</v>
      </c>
      <c r="G357" s="2" t="str">
        <f>IFERROR(__xludf.DUMMYFUNCTION("""COMPUTED_VALUE"""),"Anil Kumar Sarda")</f>
        <v>Anil Kumar Sarda</v>
      </c>
      <c r="H357" s="2"/>
      <c r="I357" s="2" t="str">
        <f>IFERROR(__xludf.DUMMYFUNCTION("""COMPUTED_VALUE"""),"29o 11' 10""")</f>
        <v>29o 11' 10"</v>
      </c>
      <c r="J357" s="2" t="str">
        <f>IFERROR(__xludf.DUMMYFUNCTION("""COMPUTED_VALUE"""),"29o 14' 30""")</f>
        <v>29o 14' 30"</v>
      </c>
      <c r="K357" s="2" t="str">
        <f>IFERROR(__xludf.DUMMYFUNCTION("""COMPUTED_VALUE"""),"82o 06' 50""")</f>
        <v>82o 06' 50"</v>
      </c>
      <c r="L357" s="2" t="str">
        <f>IFERROR(__xludf.DUMMYFUNCTION("""COMPUTED_VALUE"""),"82o 11' 30""")</f>
        <v>82o 11' 30"</v>
      </c>
      <c r="M357" s="2" t="str">
        <f>IFERROR(__xludf.DUMMYFUNCTION("""COMPUTED_VALUE"""),"(Jumla)")</f>
        <v>(Jumla)</v>
      </c>
    </row>
    <row r="358">
      <c r="A358" s="2">
        <f>IFERROR(__xludf.DUMMYFUNCTION("""COMPUTED_VALUE"""),357.0)</f>
        <v>357</v>
      </c>
      <c r="B358" s="2" t="str">
        <f>IFERROR(__xludf.DUMMYFUNCTION("""COMPUTED_VALUE"""),"Dikhuwa Khola")</f>
        <v>Dikhuwa Khola</v>
      </c>
      <c r="C358" s="2">
        <f>IFERROR(__xludf.DUMMYFUNCTION("""COMPUTED_VALUE"""),0.3)</f>
        <v>0.3</v>
      </c>
      <c r="D358" s="2" t="str">
        <f>IFERROR(__xludf.DUMMYFUNCTION("""COMPUTED_VALUE"""),"Dikhuwa")</f>
        <v>Dikhuwa</v>
      </c>
      <c r="E358" s="2"/>
      <c r="F358" s="3">
        <f>IFERROR(__xludf.DUMMYFUNCTION("""COMPUTED_VALUE"""),60216.0)</f>
        <v>60216</v>
      </c>
      <c r="G358" s="2"/>
      <c r="H358" s="2"/>
      <c r="I358" s="2" t="str">
        <f>IFERROR(__xludf.DUMMYFUNCTION("""COMPUTED_VALUE"""),"00o 00' 00""")</f>
        <v>00o 00' 00"</v>
      </c>
      <c r="J358" s="2" t="str">
        <f>IFERROR(__xludf.DUMMYFUNCTION("""COMPUTED_VALUE"""),"00o 00' 00""")</f>
        <v>00o 00' 00"</v>
      </c>
      <c r="K358" s="2" t="str">
        <f>IFERROR(__xludf.DUMMYFUNCTION("""COMPUTED_VALUE"""),"00o 00' 00""")</f>
        <v>00o 00' 00"</v>
      </c>
      <c r="L358" s="2" t="str">
        <f>IFERROR(__xludf.DUMMYFUNCTION("""COMPUTED_VALUE"""),"00o 00' 00""")</f>
        <v>00o 00' 00"</v>
      </c>
      <c r="M358" s="2" t="str">
        <f>IFERROR(__xludf.DUMMYFUNCTION("""COMPUTED_VALUE"""),"(Khotang)")</f>
        <v>(Khotang)</v>
      </c>
    </row>
    <row r="359">
      <c r="A359" s="2">
        <f>IFERROR(__xludf.DUMMYFUNCTION("""COMPUTED_VALUE"""),358.0)</f>
        <v>358</v>
      </c>
      <c r="B359" s="2" t="str">
        <f>IFERROR(__xludf.DUMMYFUNCTION("""COMPUTED_VALUE"""),"Puwa - II")</f>
        <v>Puwa - II</v>
      </c>
      <c r="C359" s="2">
        <f>IFERROR(__xludf.DUMMYFUNCTION("""COMPUTED_VALUE"""),0.995)</f>
        <v>0.995</v>
      </c>
      <c r="D359" s="2" t="str">
        <f>IFERROR(__xludf.DUMMYFUNCTION("""COMPUTED_VALUE"""),"Puwa")</f>
        <v>Puwa</v>
      </c>
      <c r="E359" s="2"/>
      <c r="F359" s="3">
        <f>IFERROR(__xludf.DUMMYFUNCTION("""COMPUTED_VALUE"""),60216.0)</f>
        <v>60216</v>
      </c>
      <c r="G359" s="2" t="str">
        <f>IFERROR(__xludf.DUMMYFUNCTION("""COMPUTED_VALUE"""),"Ganga Prasad Joshi")</f>
        <v>Ganga Prasad Joshi</v>
      </c>
      <c r="H359" s="2"/>
      <c r="I359" s="2" t="str">
        <f>IFERROR(__xludf.DUMMYFUNCTION("""COMPUTED_VALUE"""),"26o 59' 47""")</f>
        <v>26o 59' 47"</v>
      </c>
      <c r="J359" s="2" t="str">
        <f>IFERROR(__xludf.DUMMYFUNCTION("""COMPUTED_VALUE"""),"27o 00' 50""")</f>
        <v>27o 00' 50"</v>
      </c>
      <c r="K359" s="2" t="str">
        <f>IFERROR(__xludf.DUMMYFUNCTION("""COMPUTED_VALUE"""),"87o 52' 50""")</f>
        <v>87o 52' 50"</v>
      </c>
      <c r="L359" s="2" t="str">
        <f>IFERROR(__xludf.DUMMYFUNCTION("""COMPUTED_VALUE"""),"87o 54' 10""")</f>
        <v>87o 54' 10"</v>
      </c>
      <c r="M359" s="2" t="str">
        <f>IFERROR(__xludf.DUMMYFUNCTION("""COMPUTED_VALUE"""),"(Ilam)")</f>
        <v>(Ilam)</v>
      </c>
    </row>
    <row r="360">
      <c r="A360" s="2">
        <f>IFERROR(__xludf.DUMMYFUNCTION("""COMPUTED_VALUE"""),359.0)</f>
        <v>359</v>
      </c>
      <c r="B360" s="2" t="str">
        <f>IFERROR(__xludf.DUMMYFUNCTION("""COMPUTED_VALUE"""),"Mailung Khola")</f>
        <v>Mailung Khola</v>
      </c>
      <c r="C360" s="2">
        <f>IFERROR(__xludf.DUMMYFUNCTION("""COMPUTED_VALUE"""),0.99)</f>
        <v>0.99</v>
      </c>
      <c r="D360" s="2" t="str">
        <f>IFERROR(__xludf.DUMMYFUNCTION("""COMPUTED_VALUE"""),"Mailung Khola")</f>
        <v>Mailung Khola</v>
      </c>
      <c r="E360" s="2"/>
      <c r="F360" s="3">
        <f>IFERROR(__xludf.DUMMYFUNCTION("""COMPUTED_VALUE"""),60218.0)</f>
        <v>60218</v>
      </c>
      <c r="G360" s="2" t="str">
        <f>IFERROR(__xludf.DUMMYFUNCTION("""COMPUTED_VALUE"""),"Jiwan Prasad Thanju")</f>
        <v>Jiwan Prasad Thanju</v>
      </c>
      <c r="H360" s="2"/>
      <c r="I360" s="2" t="str">
        <f>IFERROR(__xludf.DUMMYFUNCTION("""COMPUTED_VALUE"""),"28o 04' 18""")</f>
        <v>28o 04' 18"</v>
      </c>
      <c r="J360" s="2" t="str">
        <f>IFERROR(__xludf.DUMMYFUNCTION("""COMPUTED_VALUE"""),"28o 05' 03""")</f>
        <v>28o 05' 03"</v>
      </c>
      <c r="K360" s="2" t="str">
        <f>IFERROR(__xludf.DUMMYFUNCTION("""COMPUTED_VALUE"""),"85o 11' 59""")</f>
        <v>85o 11' 59"</v>
      </c>
      <c r="L360" s="2" t="str">
        <f>IFERROR(__xludf.DUMMYFUNCTION("""COMPUTED_VALUE"""),"85o 12' 50""")</f>
        <v>85o 12' 50"</v>
      </c>
      <c r="M360" s="2" t="str">
        <f>IFERROR(__xludf.DUMMYFUNCTION("""COMPUTED_VALUE"""),"(Rasuwa)")</f>
        <v>(Rasuwa)</v>
      </c>
    </row>
    <row r="361">
      <c r="A361" s="2">
        <f>IFERROR(__xludf.DUMMYFUNCTION("""COMPUTED_VALUE"""),360.0)</f>
        <v>360</v>
      </c>
      <c r="B361" s="2" t="str">
        <f>IFERROR(__xludf.DUMMYFUNCTION("""COMPUTED_VALUE"""),"Gwa Khola")</f>
        <v>Gwa Khola</v>
      </c>
      <c r="C361" s="2">
        <f>IFERROR(__xludf.DUMMYFUNCTION("""COMPUTED_VALUE"""),0.996)</f>
        <v>0.996</v>
      </c>
      <c r="D361" s="2" t="str">
        <f>IFERROR(__xludf.DUMMYFUNCTION("""COMPUTED_VALUE"""),"Gwa")</f>
        <v>Gwa</v>
      </c>
      <c r="E361" s="2"/>
      <c r="F361" s="3">
        <f>IFERROR(__xludf.DUMMYFUNCTION("""COMPUTED_VALUE"""),60218.0)</f>
        <v>60218</v>
      </c>
      <c r="G361" s="2" t="str">
        <f>IFERROR(__xludf.DUMMYFUNCTION("""COMPUTED_VALUE"""),"Gun Raj Gurung / Bir Bahadur Ghale/Home Ghale/Arun Ghale")</f>
        <v>Gun Raj Gurung / Bir Bahadur Ghale/Home Ghale/Arun Ghale</v>
      </c>
      <c r="H361" s="2"/>
      <c r="I361" s="2" t="str">
        <f>IFERROR(__xludf.DUMMYFUNCTION("""COMPUTED_VALUE"""),"28o 32' 30""")</f>
        <v>28o 32' 30"</v>
      </c>
      <c r="J361" s="2" t="str">
        <f>IFERROR(__xludf.DUMMYFUNCTION("""COMPUTED_VALUE"""),"28o 34' 30""")</f>
        <v>28o 34' 30"</v>
      </c>
      <c r="K361" s="2" t="str">
        <f>IFERROR(__xludf.DUMMYFUNCTION("""COMPUTED_VALUE"""),"84o 22' 30""")</f>
        <v>84o 22' 30"</v>
      </c>
      <c r="L361" s="2" t="str">
        <f>IFERROR(__xludf.DUMMYFUNCTION("""COMPUTED_VALUE"""),"84o 25' 00""")</f>
        <v>84o 25' 00"</v>
      </c>
      <c r="M361" s="2" t="str">
        <f>IFERROR(__xludf.DUMMYFUNCTION("""COMPUTED_VALUE"""),"(Manang)")</f>
        <v>(Manang)</v>
      </c>
    </row>
    <row r="362">
      <c r="A362" s="2">
        <f>IFERROR(__xludf.DUMMYFUNCTION("""COMPUTED_VALUE"""),361.0)</f>
        <v>361</v>
      </c>
      <c r="B362" s="2" t="str">
        <f>IFERROR(__xludf.DUMMYFUNCTION("""COMPUTED_VALUE"""),"Mauwa Khola")</f>
        <v>Mauwa Khola</v>
      </c>
      <c r="C362" s="2">
        <f>IFERROR(__xludf.DUMMYFUNCTION("""COMPUTED_VALUE"""),0.99)</f>
        <v>0.99</v>
      </c>
      <c r="D362" s="2" t="str">
        <f>IFERROR(__xludf.DUMMYFUNCTION("""COMPUTED_VALUE"""),"Mauwa")</f>
        <v>Mauwa</v>
      </c>
      <c r="E362" s="2"/>
      <c r="F362" s="3">
        <f>IFERROR(__xludf.DUMMYFUNCTION("""COMPUTED_VALUE"""),60218.0)</f>
        <v>60218</v>
      </c>
      <c r="G362" s="2"/>
      <c r="H362" s="2"/>
      <c r="I362" s="2" t="str">
        <f>IFERROR(__xludf.DUMMYFUNCTION("""COMPUTED_VALUE"""),"27o 23' 25""")</f>
        <v>27o 23' 25"</v>
      </c>
      <c r="J362" s="2" t="str">
        <f>IFERROR(__xludf.DUMMYFUNCTION("""COMPUTED_VALUE"""),"27o 26' 40""")</f>
        <v>27o 26' 40"</v>
      </c>
      <c r="K362" s="2" t="str">
        <f>IFERROR(__xludf.DUMMYFUNCTION("""COMPUTED_VALUE"""),"86o 31' 10""")</f>
        <v>86o 31' 10"</v>
      </c>
      <c r="L362" s="2" t="str">
        <f>IFERROR(__xludf.DUMMYFUNCTION("""COMPUTED_VALUE"""),"86o 33' 20""")</f>
        <v>86o 33' 20"</v>
      </c>
      <c r="M362" s="2" t="str">
        <f>IFERROR(__xludf.DUMMYFUNCTION("""COMPUTED_VALUE"""),"(Taplejung)")</f>
        <v>(Taplejung)</v>
      </c>
    </row>
    <row r="363">
      <c r="A363" s="2">
        <f>IFERROR(__xludf.DUMMYFUNCTION("""COMPUTED_VALUE"""),362.0)</f>
        <v>362</v>
      </c>
      <c r="B363" s="2" t="str">
        <f>IFERROR(__xludf.DUMMYFUNCTION("""COMPUTED_VALUE"""),"Upper Belkhu")</f>
        <v>Upper Belkhu</v>
      </c>
      <c r="C363" s="2">
        <f>IFERROR(__xludf.DUMMYFUNCTION("""COMPUTED_VALUE"""),0.95)</f>
        <v>0.95</v>
      </c>
      <c r="D363" s="2" t="str">
        <f>IFERROR(__xludf.DUMMYFUNCTION("""COMPUTED_VALUE"""),"Belkhu Khola")</f>
        <v>Belkhu Khola</v>
      </c>
      <c r="E363" s="2"/>
      <c r="F363" s="3">
        <f>IFERROR(__xludf.DUMMYFUNCTION("""COMPUTED_VALUE"""),60218.0)</f>
        <v>60218</v>
      </c>
      <c r="G363" s="2" t="str">
        <f>IFERROR(__xludf.DUMMYFUNCTION("""COMPUTED_VALUE"""),"Sweta Ghimire")</f>
        <v>Sweta Ghimire</v>
      </c>
      <c r="H363" s="2"/>
      <c r="I363" s="2" t="str">
        <f>IFERROR(__xludf.DUMMYFUNCTION("""COMPUTED_VALUE"""),"27o 44' 09""")</f>
        <v>27o 44' 09"</v>
      </c>
      <c r="J363" s="2" t="str">
        <f>IFERROR(__xludf.DUMMYFUNCTION("""COMPUTED_VALUE"""),"27o 46' 22""")</f>
        <v>27o 46' 22"</v>
      </c>
      <c r="K363" s="2" t="str">
        <f>IFERROR(__xludf.DUMMYFUNCTION("""COMPUTED_VALUE"""),"84o 55' 51""")</f>
        <v>84o 55' 51"</v>
      </c>
      <c r="L363" s="2" t="str">
        <f>IFERROR(__xludf.DUMMYFUNCTION("""COMPUTED_VALUE"""),"84o 57' 30""")</f>
        <v>84o 57' 30"</v>
      </c>
      <c r="M363" s="2" t="str">
        <f>IFERROR(__xludf.DUMMYFUNCTION("""COMPUTED_VALUE"""),"(Dhading)")</f>
        <v>(Dhading)</v>
      </c>
    </row>
    <row r="364">
      <c r="A364" s="2">
        <f>IFERROR(__xludf.DUMMYFUNCTION("""COMPUTED_VALUE"""),363.0)</f>
        <v>363</v>
      </c>
      <c r="B364" s="2" t="str">
        <f>IFERROR(__xludf.DUMMYFUNCTION("""COMPUTED_VALUE"""),"Lower Lipin Khola")</f>
        <v>Lower Lipin Khola</v>
      </c>
      <c r="C364" s="2">
        <f>IFERROR(__xludf.DUMMYFUNCTION("""COMPUTED_VALUE"""),0.825)</f>
        <v>0.825</v>
      </c>
      <c r="D364" s="2" t="str">
        <f>IFERROR(__xludf.DUMMYFUNCTION("""COMPUTED_VALUE"""),"Liping")</f>
        <v>Liping</v>
      </c>
      <c r="E364" s="2"/>
      <c r="F364" s="3">
        <f>IFERROR(__xludf.DUMMYFUNCTION("""COMPUTED_VALUE"""),60218.0)</f>
        <v>60218</v>
      </c>
      <c r="G364" s="2" t="str">
        <f>IFERROR(__xludf.DUMMYFUNCTION("""COMPUTED_VALUE"""),"Nabin Rayamajhi")</f>
        <v>Nabin Rayamajhi</v>
      </c>
      <c r="H364" s="2"/>
      <c r="I364" s="2" t="str">
        <f>IFERROR(__xludf.DUMMYFUNCTION("""COMPUTED_VALUE"""),"27o 58' 00""")</f>
        <v>27o 58' 00"</v>
      </c>
      <c r="J364" s="2" t="str">
        <f>IFERROR(__xludf.DUMMYFUNCTION("""COMPUTED_VALUE"""),"27o 58' 30""")</f>
        <v>27o 58' 30"</v>
      </c>
      <c r="K364" s="2" t="str">
        <f>IFERROR(__xludf.DUMMYFUNCTION("""COMPUTED_VALUE"""),"85o 57' 10""")</f>
        <v>85o 57' 10"</v>
      </c>
      <c r="L364" s="2" t="str">
        <f>IFERROR(__xludf.DUMMYFUNCTION("""COMPUTED_VALUE"""),"85o 58' 06""")</f>
        <v>85o 58' 06"</v>
      </c>
      <c r="M364" s="2" t="str">
        <f>IFERROR(__xludf.DUMMYFUNCTION("""COMPUTED_VALUE"""),"(Sindhupalchok)")</f>
        <v>(Sindhupalchok)</v>
      </c>
    </row>
    <row r="365">
      <c r="A365" s="2">
        <f>IFERROR(__xludf.DUMMYFUNCTION("""COMPUTED_VALUE"""),364.0)</f>
        <v>364</v>
      </c>
      <c r="B365" s="2" t="str">
        <f>IFERROR(__xludf.DUMMYFUNCTION("""COMPUTED_VALUE"""),"Pegu Khola")</f>
        <v>Pegu Khola</v>
      </c>
      <c r="C365" s="2">
        <f>IFERROR(__xludf.DUMMYFUNCTION("""COMPUTED_VALUE"""),0.8)</f>
        <v>0.8</v>
      </c>
      <c r="D365" s="2" t="str">
        <f>IFERROR(__xludf.DUMMYFUNCTION("""COMPUTED_VALUE"""),"Pegu")</f>
        <v>Pegu</v>
      </c>
      <c r="E365" s="2"/>
      <c r="F365" s="3">
        <f>IFERROR(__xludf.DUMMYFUNCTION("""COMPUTED_VALUE"""),60218.0)</f>
        <v>60218</v>
      </c>
      <c r="G365" s="2" t="str">
        <f>IFERROR(__xludf.DUMMYFUNCTION("""COMPUTED_VALUE"""),"Sabitri Shrestha")</f>
        <v>Sabitri Shrestha</v>
      </c>
      <c r="H365" s="2"/>
      <c r="I365" s="2" t="str">
        <f>IFERROR(__xludf.DUMMYFUNCTION("""COMPUTED_VALUE"""),"27o 48' 48""")</f>
        <v>27o 48' 48"</v>
      </c>
      <c r="J365" s="2" t="str">
        <f>IFERROR(__xludf.DUMMYFUNCTION("""COMPUTED_VALUE"""),"27o 50' 41""")</f>
        <v>27o 50' 41"</v>
      </c>
      <c r="K365" s="2" t="str">
        <f>IFERROR(__xludf.DUMMYFUNCTION("""COMPUTED_VALUE"""),"86o 02' 44""")</f>
        <v>86o 02' 44"</v>
      </c>
      <c r="L365" s="2" t="str">
        <f>IFERROR(__xludf.DUMMYFUNCTION("""COMPUTED_VALUE"""),"86o 06' 15""")</f>
        <v>86o 06' 15"</v>
      </c>
      <c r="M365" s="2" t="str">
        <f>IFERROR(__xludf.DUMMYFUNCTION("""COMPUTED_VALUE"""),"(Dolakha)")</f>
        <v>(Dolakha)</v>
      </c>
    </row>
    <row r="366">
      <c r="A366" s="2">
        <f>IFERROR(__xludf.DUMMYFUNCTION("""COMPUTED_VALUE"""),365.0)</f>
        <v>365</v>
      </c>
      <c r="B366" s="2" t="str">
        <f>IFERROR(__xludf.DUMMYFUNCTION("""COMPUTED_VALUE"""),"Upper Pikhuwa Khola")</f>
        <v>Upper Pikhuwa Khola</v>
      </c>
      <c r="C366" s="2">
        <f>IFERROR(__xludf.DUMMYFUNCTION("""COMPUTED_VALUE"""),0.975)</f>
        <v>0.975</v>
      </c>
      <c r="D366" s="2" t="str">
        <f>IFERROR(__xludf.DUMMYFUNCTION("""COMPUTED_VALUE"""),"Pikhuwa")</f>
        <v>Pikhuwa</v>
      </c>
      <c r="E366" s="2"/>
      <c r="F366" s="3">
        <f>IFERROR(__xludf.DUMMYFUNCTION("""COMPUTED_VALUE"""),60221.0)</f>
        <v>60221</v>
      </c>
      <c r="G366" s="2" t="str">
        <f>IFERROR(__xludf.DUMMYFUNCTION("""COMPUTED_VALUE"""),"Kundan Pokhrel")</f>
        <v>Kundan Pokhrel</v>
      </c>
      <c r="H366" s="2" t="str">
        <f>IFERROR(__xludf.DUMMYFUNCTION("""COMPUTED_VALUE"""),"Dharan - 14, Bijaypur")</f>
        <v>Dharan - 14, Bijaypur</v>
      </c>
      <c r="I366" s="2" t="str">
        <f>IFERROR(__xludf.DUMMYFUNCTION("""COMPUTED_VALUE"""),"27o 11' 59""")</f>
        <v>27o 11' 59"</v>
      </c>
      <c r="J366" s="2" t="str">
        <f>IFERROR(__xludf.DUMMYFUNCTION("""COMPUTED_VALUE"""),"27o 13' 02""")</f>
        <v>27o 13' 02"</v>
      </c>
      <c r="K366" s="2" t="str">
        <f>IFERROR(__xludf.DUMMYFUNCTION("""COMPUTED_VALUE"""),"86o 59' 25""")</f>
        <v>86o 59' 25"</v>
      </c>
      <c r="L366" s="2" t="str">
        <f>IFERROR(__xludf.DUMMYFUNCTION("""COMPUTED_VALUE"""),"87o 00' 00""")</f>
        <v>87o 00' 00"</v>
      </c>
      <c r="M366" s="2" t="str">
        <f>IFERROR(__xludf.DUMMYFUNCTION("""COMPUTED_VALUE"""),"(Bhojpur)")</f>
        <v>(Bhojpur)</v>
      </c>
    </row>
    <row r="367">
      <c r="A367" s="2">
        <f>IFERROR(__xludf.DUMMYFUNCTION("""COMPUTED_VALUE"""),366.0)</f>
        <v>366</v>
      </c>
      <c r="B367" s="2" t="str">
        <f>IFERROR(__xludf.DUMMYFUNCTION("""COMPUTED_VALUE"""),"Upper Saru")</f>
        <v>Upper Saru</v>
      </c>
      <c r="C367" s="2">
        <f>IFERROR(__xludf.DUMMYFUNCTION("""COMPUTED_VALUE"""),0.96)</f>
        <v>0.96</v>
      </c>
      <c r="D367" s="2" t="str">
        <f>IFERROR(__xludf.DUMMYFUNCTION("""COMPUTED_VALUE"""),"Saru Khola")</f>
        <v>Saru Khola</v>
      </c>
      <c r="E367" s="2"/>
      <c r="F367" s="3">
        <f>IFERROR(__xludf.DUMMYFUNCTION("""COMPUTED_VALUE"""),60222.0)</f>
        <v>60222</v>
      </c>
      <c r="G367" s="2" t="str">
        <f>IFERROR(__xludf.DUMMYFUNCTION("""COMPUTED_VALUE"""),"Khadagraj Parajuli")</f>
        <v>Khadagraj Parajuli</v>
      </c>
      <c r="H367" s="2" t="str">
        <f>IFERROR(__xludf.DUMMYFUNCTION("""COMPUTED_VALUE"""),"Ichangu Narayan, kathmandu")</f>
        <v>Ichangu Narayan, kathmandu</v>
      </c>
      <c r="I367" s="2" t="str">
        <f>IFERROR(__xludf.DUMMYFUNCTION("""COMPUTED_VALUE"""),"28o 45' 00""")</f>
        <v>28o 45' 00"</v>
      </c>
      <c r="J367" s="2" t="str">
        <f>IFERROR(__xludf.DUMMYFUNCTION("""COMPUTED_VALUE"""),"28o 48' 48""")</f>
        <v>28o 48' 48"</v>
      </c>
      <c r="K367" s="2" t="str">
        <f>IFERROR(__xludf.DUMMYFUNCTION("""COMPUTED_VALUE"""),"82o 04' 29""")</f>
        <v>82o 04' 29"</v>
      </c>
      <c r="L367" s="2" t="str">
        <f>IFERROR(__xludf.DUMMYFUNCTION("""COMPUTED_VALUE"""),"82o 09' 56""")</f>
        <v>82o 09' 56"</v>
      </c>
      <c r="M367" s="2" t="str">
        <f>IFERROR(__xludf.DUMMYFUNCTION("""COMPUTED_VALUE"""),"(Jajarkot)")</f>
        <v>(Jajarkot)</v>
      </c>
    </row>
    <row r="368">
      <c r="A368" s="2">
        <f>IFERROR(__xludf.DUMMYFUNCTION("""COMPUTED_VALUE"""),367.0)</f>
        <v>367</v>
      </c>
      <c r="B368" s="2" t="str">
        <f>IFERROR(__xludf.DUMMYFUNCTION("""COMPUTED_VALUE"""),"Tamakoshi Jamkitar")</f>
        <v>Tamakoshi Jamkitar</v>
      </c>
      <c r="C368" s="2">
        <f>IFERROR(__xludf.DUMMYFUNCTION("""COMPUTED_VALUE"""),0.98)</f>
        <v>0.98</v>
      </c>
      <c r="D368" s="2" t="str">
        <f>IFERROR(__xludf.DUMMYFUNCTION("""COMPUTED_VALUE"""),"Tama Koshi")</f>
        <v>Tama Koshi</v>
      </c>
      <c r="E368" s="2"/>
      <c r="F368" s="3">
        <f>IFERROR(__xludf.DUMMYFUNCTION("""COMPUTED_VALUE"""),60225.0)</f>
        <v>60225</v>
      </c>
      <c r="G368" s="2" t="str">
        <f>IFERROR(__xludf.DUMMYFUNCTION("""COMPUTED_VALUE"""),"Anand Pradhan")</f>
        <v>Anand Pradhan</v>
      </c>
      <c r="H368" s="2" t="str">
        <f>IFERROR(__xludf.DUMMYFUNCTION("""COMPUTED_VALUE"""),"Dhobighat, Lalitpur")</f>
        <v>Dhobighat, Lalitpur</v>
      </c>
      <c r="I368" s="2" t="str">
        <f>IFERROR(__xludf.DUMMYFUNCTION("""COMPUTED_VALUE"""),"27o 45' 48""")</f>
        <v>27o 45' 48"</v>
      </c>
      <c r="J368" s="2" t="str">
        <f>IFERROR(__xludf.DUMMYFUNCTION("""COMPUTED_VALUE"""),"27o 48' 30""")</f>
        <v>27o 48' 30"</v>
      </c>
      <c r="K368" s="2" t="str">
        <f>IFERROR(__xludf.DUMMYFUNCTION("""COMPUTED_VALUE"""),"86o 03' 22""")</f>
        <v>86o 03' 22"</v>
      </c>
      <c r="L368" s="2" t="str">
        <f>IFERROR(__xludf.DUMMYFUNCTION("""COMPUTED_VALUE"""),"86o 08' 15""")</f>
        <v>86o 08' 15"</v>
      </c>
      <c r="M368" s="2" t="str">
        <f>IFERROR(__xludf.DUMMYFUNCTION("""COMPUTED_VALUE"""),"(Dolakha)")</f>
        <v>(Dolakha)</v>
      </c>
    </row>
    <row r="369">
      <c r="A369" s="2">
        <f>IFERROR(__xludf.DUMMYFUNCTION("""COMPUTED_VALUE"""),368.0)</f>
        <v>368</v>
      </c>
      <c r="B369" s="2" t="str">
        <f>IFERROR(__xludf.DUMMYFUNCTION("""COMPUTED_VALUE"""),"Madi Baddada")</f>
        <v>Madi Baddada</v>
      </c>
      <c r="C369" s="2">
        <f>IFERROR(__xludf.DUMMYFUNCTION("""COMPUTED_VALUE"""),22.0)</f>
        <v>22</v>
      </c>
      <c r="D369" s="2" t="str">
        <f>IFERROR(__xludf.DUMMYFUNCTION("""COMPUTED_VALUE"""),"Madi Khola")</f>
        <v>Madi Khola</v>
      </c>
      <c r="E369" s="2"/>
      <c r="F369" s="3">
        <f>IFERROR(__xludf.DUMMYFUNCTION("""COMPUTED_VALUE"""),60225.0)</f>
        <v>60225</v>
      </c>
      <c r="G369" s="2" t="str">
        <f>IFERROR(__xludf.DUMMYFUNCTION("""COMPUTED_VALUE"""),"Nepal Transhimalayan Energy P Ltd")</f>
        <v>Nepal Transhimalayan Energy P Ltd</v>
      </c>
      <c r="H369" s="2"/>
      <c r="I369" s="2" t="str">
        <f>IFERROR(__xludf.DUMMYFUNCTION("""COMPUTED_VALUE"""),"27o 54' 19""")</f>
        <v>27o 54' 19"</v>
      </c>
      <c r="J369" s="2" t="str">
        <f>IFERROR(__xludf.DUMMYFUNCTION("""COMPUTED_VALUE"""),"27o 59' 48""")</f>
        <v>27o 59' 48"</v>
      </c>
      <c r="K369" s="2" t="str">
        <f>IFERROR(__xludf.DUMMYFUNCTION("""COMPUTED_VALUE"""),"82o 49' 18""")</f>
        <v>82o 49' 18"</v>
      </c>
      <c r="L369" s="2" t="str">
        <f>IFERROR(__xludf.DUMMYFUNCTION("""COMPUTED_VALUE"""),"82o 51' 08""")</f>
        <v>82o 51' 08"</v>
      </c>
      <c r="M369" s="2" t="str">
        <f>IFERROR(__xludf.DUMMYFUNCTION("""COMPUTED_VALUE"""),"(Pyuthan)")</f>
        <v>(Pyuthan)</v>
      </c>
    </row>
    <row r="370">
      <c r="A370" s="2">
        <f>IFERROR(__xludf.DUMMYFUNCTION("""COMPUTED_VALUE"""),369.0)</f>
        <v>369</v>
      </c>
      <c r="B370" s="2" t="str">
        <f>IFERROR(__xludf.DUMMYFUNCTION("""COMPUTED_VALUE"""),"Sapsu khola")</f>
        <v>Sapsu khola</v>
      </c>
      <c r="C370" s="2">
        <f>IFERROR(__xludf.DUMMYFUNCTION("""COMPUTED_VALUE"""),0.95)</f>
        <v>0.95</v>
      </c>
      <c r="D370" s="2" t="str">
        <f>IFERROR(__xludf.DUMMYFUNCTION("""COMPUTED_VALUE"""),"Sapsu")</f>
        <v>Sapsu</v>
      </c>
      <c r="E370" s="2"/>
      <c r="F370" s="3">
        <f>IFERROR(__xludf.DUMMYFUNCTION("""COMPUTED_VALUE"""),60226.0)</f>
        <v>60226</v>
      </c>
      <c r="G370" s="2" t="str">
        <f>IFERROR(__xludf.DUMMYFUNCTION("""COMPUTED_VALUE"""),"Dilli Ram Adhikari")</f>
        <v>Dilli Ram Adhikari</v>
      </c>
      <c r="H370" s="2" t="str">
        <f>IFERROR(__xludf.DUMMYFUNCTION("""COMPUTED_VALUE"""),"Khotang Khalle-8,Ph-2050817,9851073837")</f>
        <v>Khotang Khalle-8,Ph-2050817,9851073837</v>
      </c>
      <c r="I370" s="2" t="str">
        <f>IFERROR(__xludf.DUMMYFUNCTION("""COMPUTED_VALUE"""),"27o 06' 30""")</f>
        <v>27o 06' 30"</v>
      </c>
      <c r="J370" s="2" t="str">
        <f>IFERROR(__xludf.DUMMYFUNCTION("""COMPUTED_VALUE"""),"27o 08' 30""")</f>
        <v>27o 08' 30"</v>
      </c>
      <c r="K370" s="2" t="str">
        <f>IFERROR(__xludf.DUMMYFUNCTION("""COMPUTED_VALUE"""),"86o 43' 37""")</f>
        <v>86o 43' 37"</v>
      </c>
      <c r="L370" s="2" t="str">
        <f>IFERROR(__xludf.DUMMYFUNCTION("""COMPUTED_VALUE"""),"86o 45' 20""")</f>
        <v>86o 45' 20"</v>
      </c>
      <c r="M370" s="2" t="str">
        <f>IFERROR(__xludf.DUMMYFUNCTION("""COMPUTED_VALUE"""),"(Khotang)")</f>
        <v>(Khotang)</v>
      </c>
    </row>
    <row r="371">
      <c r="A371" s="2">
        <f>IFERROR(__xludf.DUMMYFUNCTION("""COMPUTED_VALUE"""),370.0)</f>
        <v>370</v>
      </c>
      <c r="B371" s="2" t="str">
        <f>IFERROR(__xludf.DUMMYFUNCTION("""COMPUTED_VALUE"""),"Gonger Khola")</f>
        <v>Gonger Khola</v>
      </c>
      <c r="C371" s="2">
        <f>IFERROR(__xludf.DUMMYFUNCTION("""COMPUTED_VALUE"""),0.79)</f>
        <v>0.79</v>
      </c>
      <c r="D371" s="2" t="str">
        <f>IFERROR(__xludf.DUMMYFUNCTION("""COMPUTED_VALUE"""),"Gongar")</f>
        <v>Gongar</v>
      </c>
      <c r="E371" s="2"/>
      <c r="F371" s="3">
        <f>IFERROR(__xludf.DUMMYFUNCTION("""COMPUTED_VALUE"""),60227.0)</f>
        <v>60227</v>
      </c>
      <c r="G371" s="2" t="str">
        <f>IFERROR(__xludf.DUMMYFUNCTION("""COMPUTED_VALUE"""),"Basant Karki")</f>
        <v>Basant Karki</v>
      </c>
      <c r="H371" s="2"/>
      <c r="I371" s="2" t="str">
        <f>IFERROR(__xludf.DUMMYFUNCTION("""COMPUTED_VALUE"""),"27o 50' 00""")</f>
        <v>27o 50' 00"</v>
      </c>
      <c r="J371" s="2" t="str">
        <f>IFERROR(__xludf.DUMMYFUNCTION("""COMPUTED_VALUE"""),"27o 51' 49""")</f>
        <v>27o 51' 49"</v>
      </c>
      <c r="K371" s="2" t="str">
        <f>IFERROR(__xludf.DUMMYFUNCTION("""COMPUTED_VALUE"""),"86o 11' 15""")</f>
        <v>86o 11' 15"</v>
      </c>
      <c r="L371" s="2" t="str">
        <f>IFERROR(__xludf.DUMMYFUNCTION("""COMPUTED_VALUE"""),"86o 13' 24""")</f>
        <v>86o 13' 24"</v>
      </c>
      <c r="M371" s="2" t="str">
        <f>IFERROR(__xludf.DUMMYFUNCTION("""COMPUTED_VALUE"""),"(Dolakha)")</f>
        <v>(Dolakha)</v>
      </c>
    </row>
    <row r="372">
      <c r="A372" s="2">
        <f>IFERROR(__xludf.DUMMYFUNCTION("""COMPUTED_VALUE"""),371.0)</f>
        <v>371</v>
      </c>
      <c r="B372" s="2" t="str">
        <f>IFERROR(__xludf.DUMMYFUNCTION("""COMPUTED_VALUE"""),"Barun Khola")</f>
        <v>Barun Khola</v>
      </c>
      <c r="C372" s="2">
        <f>IFERROR(__xludf.DUMMYFUNCTION("""COMPUTED_VALUE"""),4.97)</f>
        <v>4.97</v>
      </c>
      <c r="D372" s="2" t="str">
        <f>IFERROR(__xludf.DUMMYFUNCTION("""COMPUTED_VALUE"""),"Barun Khola")</f>
        <v>Barun Khola</v>
      </c>
      <c r="E372" s="2"/>
      <c r="F372" s="3">
        <f>IFERROR(__xludf.DUMMYFUNCTION("""COMPUTED_VALUE"""),60227.0)</f>
        <v>60227</v>
      </c>
      <c r="G372" s="2" t="str">
        <f>IFERROR(__xludf.DUMMYFUNCTION("""COMPUTED_VALUE"""),"Laughing Budha Power PVT")</f>
        <v>Laughing Budha Power PVT</v>
      </c>
      <c r="H372" s="2" t="str">
        <f>IFERROR(__xludf.DUMMYFUNCTION("""COMPUTED_VALUE"""),"Hadigaun Kathmandu")</f>
        <v>Hadigaun Kathmandu</v>
      </c>
      <c r="I372" s="2" t="str">
        <f>IFERROR(__xludf.DUMMYFUNCTION("""COMPUTED_VALUE"""),"27o 34' 00""")</f>
        <v>27o 34' 00"</v>
      </c>
      <c r="J372" s="2" t="str">
        <f>IFERROR(__xludf.DUMMYFUNCTION("""COMPUTED_VALUE"""),"27o 36' 45""")</f>
        <v>27o 36' 45"</v>
      </c>
      <c r="K372" s="2" t="str">
        <f>IFERROR(__xludf.DUMMYFUNCTION("""COMPUTED_VALUE"""),"87o 21' 04""")</f>
        <v>87o 21' 04"</v>
      </c>
      <c r="L372" s="2" t="str">
        <f>IFERROR(__xludf.DUMMYFUNCTION("""COMPUTED_VALUE"""),"87o 22' 07""")</f>
        <v>87o 22' 07"</v>
      </c>
      <c r="M372" s="2" t="str">
        <f>IFERROR(__xludf.DUMMYFUNCTION("""COMPUTED_VALUE"""),"(Sankhuwasabha)")</f>
        <v>(Sankhuwasabha)</v>
      </c>
    </row>
    <row r="373">
      <c r="A373" s="2">
        <f>IFERROR(__xludf.DUMMYFUNCTION("""COMPUTED_VALUE"""),372.0)</f>
        <v>372</v>
      </c>
      <c r="B373" s="2" t="str">
        <f>IFERROR(__xludf.DUMMYFUNCTION("""COMPUTED_VALUE"""),"Charanawati Khola-A")</f>
        <v>Charanawati Khola-A</v>
      </c>
      <c r="C373" s="2">
        <f>IFERROR(__xludf.DUMMYFUNCTION("""COMPUTED_VALUE"""),0.99)</f>
        <v>0.99</v>
      </c>
      <c r="D373" s="2" t="str">
        <f>IFERROR(__xludf.DUMMYFUNCTION("""COMPUTED_VALUE"""),"Charnawati")</f>
        <v>Charnawati</v>
      </c>
      <c r="E373" s="2"/>
      <c r="F373" s="3">
        <f>IFERROR(__xludf.DUMMYFUNCTION("""COMPUTED_VALUE"""),60227.0)</f>
        <v>60227</v>
      </c>
      <c r="G373" s="2" t="str">
        <f>IFERROR(__xludf.DUMMYFUNCTION("""COMPUTED_VALUE"""),"Bimal Sharma")</f>
        <v>Bimal Sharma</v>
      </c>
      <c r="H373" s="2"/>
      <c r="I373" s="2" t="str">
        <f>IFERROR(__xludf.DUMMYFUNCTION("""COMPUTED_VALUE"""),"27o 31' 55""")</f>
        <v>27o 31' 55"</v>
      </c>
      <c r="J373" s="2" t="str">
        <f>IFERROR(__xludf.DUMMYFUNCTION("""COMPUTED_VALUE"""),"27o 37' 09""")</f>
        <v>27o 37' 09"</v>
      </c>
      <c r="K373" s="2" t="str">
        <f>IFERROR(__xludf.DUMMYFUNCTION("""COMPUTED_VALUE"""),"86o 04' 00""")</f>
        <v>86o 04' 00"</v>
      </c>
      <c r="L373" s="2" t="str">
        <f>IFERROR(__xludf.DUMMYFUNCTION("""COMPUTED_VALUE"""),"86o 05' 55""")</f>
        <v>86o 05' 55"</v>
      </c>
      <c r="M373" s="2" t="str">
        <f>IFERROR(__xludf.DUMMYFUNCTION("""COMPUTED_VALUE"""),"(Dolakha)")</f>
        <v>(Dolakha)</v>
      </c>
    </row>
    <row r="374">
      <c r="A374" s="2">
        <f>IFERROR(__xludf.DUMMYFUNCTION("""COMPUTED_VALUE"""),373.0)</f>
        <v>373</v>
      </c>
      <c r="B374" s="2" t="str">
        <f>IFERROR(__xludf.DUMMYFUNCTION("""COMPUTED_VALUE"""),"Pikhuwa Khola")</f>
        <v>Pikhuwa Khola</v>
      </c>
      <c r="C374" s="2">
        <f>IFERROR(__xludf.DUMMYFUNCTION("""COMPUTED_VALUE"""),1.926)</f>
        <v>1.926</v>
      </c>
      <c r="D374" s="2" t="str">
        <f>IFERROR(__xludf.DUMMYFUNCTION("""COMPUTED_VALUE"""),"Pikhuwa")</f>
        <v>Pikhuwa</v>
      </c>
      <c r="E374" s="2"/>
      <c r="F374" s="3">
        <f>IFERROR(__xludf.DUMMYFUNCTION("""COMPUTED_VALUE"""),60227.0)</f>
        <v>60227</v>
      </c>
      <c r="G374" s="2" t="str">
        <f>IFERROR(__xludf.DUMMYFUNCTION("""COMPUTED_VALUE"""),"Govinda Sharma Pokharel, Sudhir Pd Singha &amp; Keshav P Singhkada")</f>
        <v>Govinda Sharma Pokharel, Sudhir Pd Singha &amp; Keshav P Singhkada</v>
      </c>
      <c r="H374" s="2"/>
      <c r="I374" s="2" t="str">
        <f>IFERROR(__xludf.DUMMYFUNCTION("""COMPUTED_VALUE"""),"27o 10' 25""")</f>
        <v>27o 10' 25"</v>
      </c>
      <c r="J374" s="2" t="str">
        <f>IFERROR(__xludf.DUMMYFUNCTION("""COMPUTED_VALUE"""),"27o 11' 59""")</f>
        <v>27o 11' 59"</v>
      </c>
      <c r="K374" s="2" t="str">
        <f>IFERROR(__xludf.DUMMYFUNCTION("""COMPUTED_VALUE"""),"86o 59' 25""")</f>
        <v>86o 59' 25"</v>
      </c>
      <c r="L374" s="2" t="str">
        <f>IFERROR(__xludf.DUMMYFUNCTION("""COMPUTED_VALUE"""),"87o 01' 35""")</f>
        <v>87o 01' 35"</v>
      </c>
      <c r="M374" s="2" t="str">
        <f>IFERROR(__xludf.DUMMYFUNCTION("""COMPUTED_VALUE"""),"(Bhojpur)")</f>
        <v>(Bhojpur)</v>
      </c>
    </row>
    <row r="375">
      <c r="A375" s="2">
        <f>IFERROR(__xludf.DUMMYFUNCTION("""COMPUTED_VALUE"""),374.0)</f>
        <v>374</v>
      </c>
      <c r="B375" s="2" t="str">
        <f>IFERROR(__xludf.DUMMYFUNCTION("""COMPUTED_VALUE"""),"Thauthau Khola")</f>
        <v>Thauthau Khola</v>
      </c>
      <c r="C375" s="2">
        <f>IFERROR(__xludf.DUMMYFUNCTION("""COMPUTED_VALUE"""),0.77)</f>
        <v>0.77</v>
      </c>
      <c r="D375" s="2" t="str">
        <f>IFERROR(__xludf.DUMMYFUNCTION("""COMPUTED_VALUE"""),"Thauthau")</f>
        <v>Thauthau</v>
      </c>
      <c r="E375" s="2"/>
      <c r="F375" s="3">
        <f>IFERROR(__xludf.DUMMYFUNCTION("""COMPUTED_VALUE"""),60227.0)</f>
        <v>60227</v>
      </c>
      <c r="G375" s="2" t="str">
        <f>IFERROR(__xludf.DUMMYFUNCTION("""COMPUTED_VALUE"""),"Rajesh Sharma")</f>
        <v>Rajesh Sharma</v>
      </c>
      <c r="H375" s="2"/>
      <c r="I375" s="2" t="str">
        <f>IFERROR(__xludf.DUMMYFUNCTION("""COMPUTED_VALUE"""),"27o 52' 10""")</f>
        <v>27o 52' 10"</v>
      </c>
      <c r="J375" s="2" t="str">
        <f>IFERROR(__xludf.DUMMYFUNCTION("""COMPUTED_VALUE"""),"27o 53' 14""")</f>
        <v>27o 53' 14"</v>
      </c>
      <c r="K375" s="2" t="str">
        <f>IFERROR(__xludf.DUMMYFUNCTION("""COMPUTED_VALUE"""),"86o 11' 13""")</f>
        <v>86o 11' 13"</v>
      </c>
      <c r="L375" s="2" t="str">
        <f>IFERROR(__xludf.DUMMYFUNCTION("""COMPUTED_VALUE"""),"86o 13' 33""")</f>
        <v>86o 13' 33"</v>
      </c>
      <c r="M375" s="2" t="str">
        <f>IFERROR(__xludf.DUMMYFUNCTION("""COMPUTED_VALUE"""),"(Dolakha)")</f>
        <v>(Dolakha)</v>
      </c>
    </row>
    <row r="376">
      <c r="A376" s="2">
        <f>IFERROR(__xludf.DUMMYFUNCTION("""COMPUTED_VALUE"""),375.0)</f>
        <v>375</v>
      </c>
      <c r="B376" s="2" t="str">
        <f>IFERROR(__xludf.DUMMYFUNCTION("""COMPUTED_VALUE"""),"Pikhuwa")</f>
        <v>Pikhuwa</v>
      </c>
      <c r="C376" s="2">
        <f>IFERROR(__xludf.DUMMYFUNCTION("""COMPUTED_VALUE"""),1.926)</f>
        <v>1.926</v>
      </c>
      <c r="D376" s="2" t="str">
        <f>IFERROR(__xludf.DUMMYFUNCTION("""COMPUTED_VALUE"""),"Pikhuwa")</f>
        <v>Pikhuwa</v>
      </c>
      <c r="E376" s="2">
        <f>IFERROR(__xludf.DUMMYFUNCTION("""COMPUTED_VALUE"""),2236.0)</f>
        <v>2236</v>
      </c>
      <c r="F376" s="3">
        <f>IFERROR(__xludf.DUMMYFUNCTION("""COMPUTED_VALUE"""),60227.0)</f>
        <v>60227</v>
      </c>
      <c r="G376" s="2" t="str">
        <f>IFERROR(__xludf.DUMMYFUNCTION("""COMPUTED_VALUE"""),"Govinda Sharma Pokhrel, Sudhir Prasad Singh Keshab Prasad Sinhada")</f>
        <v>Govinda Sharma Pokhrel, Sudhir Prasad Singh Keshab Prasad Sinhada</v>
      </c>
      <c r="H376" s="2"/>
      <c r="I376" s="2" t="str">
        <f>IFERROR(__xludf.DUMMYFUNCTION("""COMPUTED_VALUE"""),"27o 10' 25""")</f>
        <v>27o 10' 25"</v>
      </c>
      <c r="J376" s="2" t="str">
        <f>IFERROR(__xludf.DUMMYFUNCTION("""COMPUTED_VALUE"""),"27o 11' 59""")</f>
        <v>27o 11' 59"</v>
      </c>
      <c r="K376" s="2" t="str">
        <f>IFERROR(__xludf.DUMMYFUNCTION("""COMPUTED_VALUE"""),"86o 59' 25""")</f>
        <v>86o 59' 25"</v>
      </c>
      <c r="L376" s="2" t="str">
        <f>IFERROR(__xludf.DUMMYFUNCTION("""COMPUTED_VALUE"""),"87o 01' 35""")</f>
        <v>87o 01' 35"</v>
      </c>
      <c r="M376" s="2" t="str">
        <f>IFERROR(__xludf.DUMMYFUNCTION("""COMPUTED_VALUE"""),"Khawa,Kota (Bhojpur)")</f>
        <v>Khawa,Kota (Bhojpur)</v>
      </c>
    </row>
    <row r="377">
      <c r="A377" s="2">
        <f>IFERROR(__xludf.DUMMYFUNCTION("""COMPUTED_VALUE"""),376.0)</f>
        <v>376</v>
      </c>
      <c r="B377" s="2" t="str">
        <f>IFERROR(__xludf.DUMMYFUNCTION("""COMPUTED_VALUE"""),"Apsuwa Khola")</f>
        <v>Apsuwa Khola</v>
      </c>
      <c r="C377" s="2">
        <f>IFERROR(__xludf.DUMMYFUNCTION("""COMPUTED_VALUE"""),9.8)</f>
        <v>9.8</v>
      </c>
      <c r="D377" s="2" t="str">
        <f>IFERROR(__xludf.DUMMYFUNCTION("""COMPUTED_VALUE"""),"Apsuwa Khola")</f>
        <v>Apsuwa Khola</v>
      </c>
      <c r="E377" s="2"/>
      <c r="F377" s="3">
        <f>IFERROR(__xludf.DUMMYFUNCTION("""COMPUTED_VALUE"""),60228.0)</f>
        <v>60228</v>
      </c>
      <c r="G377" s="2" t="str">
        <f>IFERROR(__xludf.DUMMYFUNCTION("""COMPUTED_VALUE"""),"Ananya Infra P Ltd")</f>
        <v>Ananya Infra P Ltd</v>
      </c>
      <c r="H377" s="2"/>
      <c r="I377" s="2" t="str">
        <f>IFERROR(__xludf.DUMMYFUNCTION("""COMPUTED_VALUE"""),"27o 30' 00""")</f>
        <v>27o 30' 00"</v>
      </c>
      <c r="J377" s="2" t="str">
        <f>IFERROR(__xludf.DUMMYFUNCTION("""COMPUTED_VALUE"""),"27o 35' 00""")</f>
        <v>27o 35' 00"</v>
      </c>
      <c r="K377" s="2" t="str">
        <f>IFERROR(__xludf.DUMMYFUNCTION("""COMPUTED_VALUE"""),"87o 10' 00""")</f>
        <v>87o 10' 00"</v>
      </c>
      <c r="L377" s="2" t="str">
        <f>IFERROR(__xludf.DUMMYFUNCTION("""COMPUTED_VALUE"""),"87o 12' 30""")</f>
        <v>87o 12' 30"</v>
      </c>
      <c r="M377" s="2" t="str">
        <f>IFERROR(__xludf.DUMMYFUNCTION("""COMPUTED_VALUE"""),"(Sankhuwasabha)")</f>
        <v>(Sankhuwasabha)</v>
      </c>
    </row>
    <row r="378">
      <c r="A378" s="2">
        <f>IFERROR(__xludf.DUMMYFUNCTION("""COMPUTED_VALUE"""),377.0)</f>
        <v>377</v>
      </c>
      <c r="B378" s="2" t="str">
        <f>IFERROR(__xludf.DUMMYFUNCTION("""COMPUTED_VALUE"""),"Isuwa Khola")</f>
        <v>Isuwa Khola</v>
      </c>
      <c r="C378" s="2">
        <f>IFERROR(__xludf.DUMMYFUNCTION("""COMPUTED_VALUE"""),9.5)</f>
        <v>9.5</v>
      </c>
      <c r="D378" s="2" t="str">
        <f>IFERROR(__xludf.DUMMYFUNCTION("""COMPUTED_VALUE"""),"Isuwa Khola")</f>
        <v>Isuwa Khola</v>
      </c>
      <c r="E378" s="2"/>
      <c r="F378" s="3">
        <f>IFERROR(__xludf.DUMMYFUNCTION("""COMPUTED_VALUE"""),60228.0)</f>
        <v>60228</v>
      </c>
      <c r="G378" s="2" t="str">
        <f>IFERROR(__xludf.DUMMYFUNCTION("""COMPUTED_VALUE"""),"Sanjaya Power P Ltd")</f>
        <v>Sanjaya Power P Ltd</v>
      </c>
      <c r="H378" s="2"/>
      <c r="I378" s="2" t="str">
        <f>IFERROR(__xludf.DUMMYFUNCTION("""COMPUTED_VALUE"""),"27o 32' 00""")</f>
        <v>27o 32' 00"</v>
      </c>
      <c r="J378" s="2" t="str">
        <f>IFERROR(__xludf.DUMMYFUNCTION("""COMPUTED_VALUE"""),"27o 36' 00""")</f>
        <v>27o 36' 00"</v>
      </c>
      <c r="K378" s="2" t="str">
        <f>IFERROR(__xludf.DUMMYFUNCTION("""COMPUTED_VALUE"""),"87o 12' 30""")</f>
        <v>87o 12' 30"</v>
      </c>
      <c r="L378" s="2" t="str">
        <f>IFERROR(__xludf.DUMMYFUNCTION("""COMPUTED_VALUE"""),"87o 15' 00""")</f>
        <v>87o 15' 00"</v>
      </c>
      <c r="M378" s="2" t="str">
        <f>IFERROR(__xludf.DUMMYFUNCTION("""COMPUTED_VALUE"""),"(Sankhuwasabha)")</f>
        <v>(Sankhuwasabha)</v>
      </c>
    </row>
    <row r="379">
      <c r="A379" s="2">
        <f>IFERROR(__xludf.DUMMYFUNCTION("""COMPUTED_VALUE"""),378.0)</f>
        <v>378</v>
      </c>
      <c r="B379" s="2" t="str">
        <f>IFERROR(__xludf.DUMMYFUNCTION("""COMPUTED_VALUE"""),"Chaurigad")</f>
        <v>Chaurigad</v>
      </c>
      <c r="C379" s="2">
        <f>IFERROR(__xludf.DUMMYFUNCTION("""COMPUTED_VALUE"""),0.922)</f>
        <v>0.922</v>
      </c>
      <c r="D379" s="2" t="str">
        <f>IFERROR(__xludf.DUMMYFUNCTION("""COMPUTED_VALUE"""),"Chaurigad")</f>
        <v>Chaurigad</v>
      </c>
      <c r="E379" s="2"/>
      <c r="F379" s="3">
        <f>IFERROR(__xludf.DUMMYFUNCTION("""COMPUTED_VALUE"""),60228.0)</f>
        <v>60228</v>
      </c>
      <c r="G379" s="2" t="str">
        <f>IFERROR(__xludf.DUMMYFUNCTION("""COMPUTED_VALUE"""),"Sharmila Bhandari / Damayanti")</f>
        <v>Sharmila Bhandari / Damayanti</v>
      </c>
      <c r="H379" s="2"/>
      <c r="I379" s="2" t="str">
        <f>IFERROR(__xludf.DUMMYFUNCTION("""COMPUTED_VALUE"""),"29o 18' 29""")</f>
        <v>29o 18' 29"</v>
      </c>
      <c r="J379" s="2" t="str">
        <f>IFERROR(__xludf.DUMMYFUNCTION("""COMPUTED_VALUE"""),"29o 19' 10""")</f>
        <v>29o 19' 10"</v>
      </c>
      <c r="K379" s="2" t="str">
        <f>IFERROR(__xludf.DUMMYFUNCTION("""COMPUTED_VALUE"""),"80o 30' 45""")</f>
        <v>80o 30' 45"</v>
      </c>
      <c r="L379" s="2" t="str">
        <f>IFERROR(__xludf.DUMMYFUNCTION("""COMPUTED_VALUE"""),"80o 32' 30""")</f>
        <v>80o 32' 30"</v>
      </c>
      <c r="M379" s="2" t="str">
        <f>IFERROR(__xludf.DUMMYFUNCTION("""COMPUTED_VALUE"""),"(Dadeldhura)")</f>
        <v>(Dadeldhura)</v>
      </c>
    </row>
    <row r="380">
      <c r="A380" s="2">
        <f>IFERROR(__xludf.DUMMYFUNCTION("""COMPUTED_VALUE"""),379.0)</f>
        <v>379</v>
      </c>
      <c r="B380" s="2" t="str">
        <f>IFERROR(__xludf.DUMMYFUNCTION("""COMPUTED_VALUE"""),"Down Thuligad")</f>
        <v>Down Thuligad</v>
      </c>
      <c r="C380" s="2">
        <f>IFERROR(__xludf.DUMMYFUNCTION("""COMPUTED_VALUE"""),0.972)</f>
        <v>0.972</v>
      </c>
      <c r="D380" s="2" t="str">
        <f>IFERROR(__xludf.DUMMYFUNCTION("""COMPUTED_VALUE"""),"Thuli gad")</f>
        <v>Thuli gad</v>
      </c>
      <c r="E380" s="2"/>
      <c r="F380" s="3">
        <f>IFERROR(__xludf.DUMMYFUNCTION("""COMPUTED_VALUE"""),60230.0)</f>
        <v>60230</v>
      </c>
      <c r="G380" s="2" t="str">
        <f>IFERROR(__xludf.DUMMYFUNCTION("""COMPUTED_VALUE"""),"Tilak joshi, Kubermani Nepal, Prakash Saud")</f>
        <v>Tilak joshi, Kubermani Nepal, Prakash Saud</v>
      </c>
      <c r="H380" s="2"/>
      <c r="I380" s="2" t="str">
        <f>IFERROR(__xludf.DUMMYFUNCTION("""COMPUTED_VALUE"""),"29o 20' 37""")</f>
        <v>29o 20' 37"</v>
      </c>
      <c r="J380" s="2" t="str">
        <f>IFERROR(__xludf.DUMMYFUNCTION("""COMPUTED_VALUE"""),"29o 21' 45""")</f>
        <v>29o 21' 45"</v>
      </c>
      <c r="K380" s="2" t="str">
        <f>IFERROR(__xludf.DUMMYFUNCTION("""COMPUTED_VALUE"""),"80o 24' 00""")</f>
        <v>80o 24' 00"</v>
      </c>
      <c r="L380" s="2" t="str">
        <f>IFERROR(__xludf.DUMMYFUNCTION("""COMPUTED_VALUE"""),"80o 25' 00""")</f>
        <v>80o 25' 00"</v>
      </c>
      <c r="M380" s="2" t="str">
        <f>IFERROR(__xludf.DUMMYFUNCTION("""COMPUTED_VALUE"""),"(Dadeldhura)")</f>
        <v>(Dadeldhura)</v>
      </c>
    </row>
    <row r="381">
      <c r="A381" s="2">
        <f>IFERROR(__xludf.DUMMYFUNCTION("""COMPUTED_VALUE"""),380.0)</f>
        <v>380</v>
      </c>
      <c r="B381" s="2" t="str">
        <f>IFERROR(__xludf.DUMMYFUNCTION("""COMPUTED_VALUE"""),"Tawa Khola")</f>
        <v>Tawa Khola</v>
      </c>
      <c r="C381" s="2">
        <f>IFERROR(__xludf.DUMMYFUNCTION("""COMPUTED_VALUE"""),0.3)</f>
        <v>0.3</v>
      </c>
      <c r="D381" s="2" t="str">
        <f>IFERROR(__xludf.DUMMYFUNCTION("""COMPUTED_VALUE"""),"Tawa Khola")</f>
        <v>Tawa Khola</v>
      </c>
      <c r="E381" s="2"/>
      <c r="F381" s="3">
        <f>IFERROR(__xludf.DUMMYFUNCTION("""COMPUTED_VALUE"""),60232.0)</f>
        <v>60232</v>
      </c>
      <c r="G381" s="2" t="str">
        <f>IFERROR(__xludf.DUMMYFUNCTION("""COMPUTED_VALUE"""),"Laxmi Kumari Rai")</f>
        <v>Laxmi Kumari Rai</v>
      </c>
      <c r="H381" s="2"/>
      <c r="I381" s="2" t="str">
        <f>IFERROR(__xludf.DUMMYFUNCTION("""COMPUTED_VALUE"""),"27o 08' 37""")</f>
        <v>27o 08' 37"</v>
      </c>
      <c r="J381" s="2" t="str">
        <f>IFERROR(__xludf.DUMMYFUNCTION("""COMPUTED_VALUE"""),"27o 09' 41""")</f>
        <v>27o 09' 41"</v>
      </c>
      <c r="K381" s="2" t="str">
        <f>IFERROR(__xludf.DUMMYFUNCTION("""COMPUTED_VALUE"""),"86o 47' 17""")</f>
        <v>86o 47' 17"</v>
      </c>
      <c r="L381" s="2" t="str">
        <f>IFERROR(__xludf.DUMMYFUNCTION("""COMPUTED_VALUE"""),"86o 49' 47""")</f>
        <v>86o 49' 47"</v>
      </c>
      <c r="M381" s="2" t="str">
        <f>IFERROR(__xludf.DUMMYFUNCTION("""COMPUTED_VALUE"""),"(Khotang)")</f>
        <v>(Khotang)</v>
      </c>
    </row>
    <row r="382">
      <c r="A382" s="2">
        <f>IFERROR(__xludf.DUMMYFUNCTION("""COMPUTED_VALUE"""),381.0)</f>
        <v>381</v>
      </c>
      <c r="B382" s="2" t="str">
        <f>IFERROR(__xludf.DUMMYFUNCTION("""COMPUTED_VALUE"""),"Rawa Khola")</f>
        <v>Rawa Khola</v>
      </c>
      <c r="C382" s="2">
        <f>IFERROR(__xludf.DUMMYFUNCTION("""COMPUTED_VALUE"""),0.4)</f>
        <v>0.4</v>
      </c>
      <c r="D382" s="2" t="str">
        <f>IFERROR(__xludf.DUMMYFUNCTION("""COMPUTED_VALUE"""),"Rawa Khola")</f>
        <v>Rawa Khola</v>
      </c>
      <c r="E382" s="2"/>
      <c r="F382" s="3">
        <f>IFERROR(__xludf.DUMMYFUNCTION("""COMPUTED_VALUE"""),60232.0)</f>
        <v>60232</v>
      </c>
      <c r="G382" s="2" t="str">
        <f>IFERROR(__xludf.DUMMYFUNCTION("""COMPUTED_VALUE"""),"Sharada Dahal")</f>
        <v>Sharada Dahal</v>
      </c>
      <c r="H382" s="2"/>
      <c r="I382" s="2" t="str">
        <f>IFERROR(__xludf.DUMMYFUNCTION("""COMPUTED_VALUE"""),"27o 20' 08""")</f>
        <v>27o 20' 08"</v>
      </c>
      <c r="J382" s="2" t="str">
        <f>IFERROR(__xludf.DUMMYFUNCTION("""COMPUTED_VALUE"""),"27o 23' 47""")</f>
        <v>27o 23' 47"</v>
      </c>
      <c r="K382" s="2" t="str">
        <f>IFERROR(__xludf.DUMMYFUNCTION("""COMPUTED_VALUE"""),"86o 50' 18""")</f>
        <v>86o 50' 18"</v>
      </c>
      <c r="L382" s="2" t="str">
        <f>IFERROR(__xludf.DUMMYFUNCTION("""COMPUTED_VALUE"""),"86o 53' 22""")</f>
        <v>86o 53' 22"</v>
      </c>
      <c r="M382" s="2" t="str">
        <f>IFERROR(__xludf.DUMMYFUNCTION("""COMPUTED_VALUE"""),"(Khotang)")</f>
        <v>(Khotang)</v>
      </c>
    </row>
    <row r="383">
      <c r="A383" s="2">
        <f>IFERROR(__xludf.DUMMYFUNCTION("""COMPUTED_VALUE"""),382.0)</f>
        <v>382</v>
      </c>
      <c r="B383" s="2" t="str">
        <f>IFERROR(__xludf.DUMMYFUNCTION("""COMPUTED_VALUE"""),"Marsyangdi Tail")</f>
        <v>Marsyangdi Tail</v>
      </c>
      <c r="C383" s="2">
        <f>IFERROR(__xludf.DUMMYFUNCTION("""COMPUTED_VALUE"""),15.6)</f>
        <v>15.6</v>
      </c>
      <c r="D383" s="2" t="str">
        <f>IFERROR(__xludf.DUMMYFUNCTION("""COMPUTED_VALUE"""),"Marsyangdi")</f>
        <v>Marsyangdi</v>
      </c>
      <c r="E383" s="2"/>
      <c r="F383" s="3">
        <f>IFERROR(__xludf.DUMMYFUNCTION("""COMPUTED_VALUE"""),60233.0)</f>
        <v>60233</v>
      </c>
      <c r="G383" s="2" t="str">
        <f>IFERROR(__xludf.DUMMYFUNCTION("""COMPUTED_VALUE"""),"Ramesh Adhikari &amp; Rudra P Gautam")</f>
        <v>Ramesh Adhikari &amp; Rudra P Gautam</v>
      </c>
      <c r="H383" s="2"/>
      <c r="I383" s="2" t="str">
        <f>IFERROR(__xludf.DUMMYFUNCTION("""COMPUTED_VALUE"""),"27o 49' 53""")</f>
        <v>27o 49' 53"</v>
      </c>
      <c r="J383" s="2" t="str">
        <f>IFERROR(__xludf.DUMMYFUNCTION("""COMPUTED_VALUE"""),"27o 51' 55""")</f>
        <v>27o 51' 55"</v>
      </c>
      <c r="K383" s="2" t="str">
        <f>IFERROR(__xludf.DUMMYFUNCTION("""COMPUTED_VALUE"""),"87o 31' 31""")</f>
        <v>87o 31' 31"</v>
      </c>
      <c r="L383" s="2" t="str">
        <f>IFERROR(__xludf.DUMMYFUNCTION("""COMPUTED_VALUE"""),"87o 33' 16""")</f>
        <v>87o 33' 16"</v>
      </c>
      <c r="M383" s="2" t="str">
        <f>IFERROR(__xludf.DUMMYFUNCTION("""COMPUTED_VALUE"""),"(Tanahu)")</f>
        <v>(Tanahu)</v>
      </c>
    </row>
    <row r="384">
      <c r="A384" s="2">
        <f>IFERROR(__xludf.DUMMYFUNCTION("""COMPUTED_VALUE"""),383.0)</f>
        <v>383</v>
      </c>
      <c r="B384" s="2" t="str">
        <f>IFERROR(__xludf.DUMMYFUNCTION("""COMPUTED_VALUE"""),"Chunbang Madi Khola")</f>
        <v>Chunbang Madi Khola</v>
      </c>
      <c r="C384" s="2">
        <f>IFERROR(__xludf.DUMMYFUNCTION("""COMPUTED_VALUE"""),0.99)</f>
        <v>0.99</v>
      </c>
      <c r="D384" s="2" t="str">
        <f>IFERROR(__xludf.DUMMYFUNCTION("""COMPUTED_VALUE"""),"Madi Khola")</f>
        <v>Madi Khola</v>
      </c>
      <c r="E384" s="2"/>
      <c r="F384" s="3">
        <f>IFERROR(__xludf.DUMMYFUNCTION("""COMPUTED_VALUE"""),60234.0)</f>
        <v>60234</v>
      </c>
      <c r="G384" s="2" t="str">
        <f>IFERROR(__xludf.DUMMYFUNCTION("""COMPUTED_VALUE"""),"Ramesh Jung Shah")</f>
        <v>Ramesh Jung Shah</v>
      </c>
      <c r="H384" s="2"/>
      <c r="I384" s="2" t="str">
        <f>IFERROR(__xludf.DUMMYFUNCTION("""COMPUTED_VALUE"""),"28o 23' 40""")</f>
        <v>28o 23' 40"</v>
      </c>
      <c r="J384" s="2" t="str">
        <f>IFERROR(__xludf.DUMMYFUNCTION("""COMPUTED_VALUE"""),"28o 28' 15""")</f>
        <v>28o 28' 15"</v>
      </c>
      <c r="K384" s="2" t="str">
        <f>IFERROR(__xludf.DUMMYFUNCTION("""COMPUTED_VALUE"""),"82o 30' 45""")</f>
        <v>82o 30' 45"</v>
      </c>
      <c r="L384" s="2" t="str">
        <f>IFERROR(__xludf.DUMMYFUNCTION("""COMPUTED_VALUE"""),"82o 30' 45""")</f>
        <v>82o 30' 45"</v>
      </c>
      <c r="M384" s="2" t="str">
        <f>IFERROR(__xludf.DUMMYFUNCTION("""COMPUTED_VALUE"""),"(Rolpa)")</f>
        <v>(Rolpa)</v>
      </c>
    </row>
    <row r="385">
      <c r="A385" s="2">
        <f>IFERROR(__xludf.DUMMYFUNCTION("""COMPUTED_VALUE"""),384.0)</f>
        <v>384</v>
      </c>
      <c r="B385" s="2" t="str">
        <f>IFERROR(__xludf.DUMMYFUNCTION("""COMPUTED_VALUE"""),"Badi gad Khola")</f>
        <v>Badi gad Khola</v>
      </c>
      <c r="C385" s="2">
        <f>IFERROR(__xludf.DUMMYFUNCTION("""COMPUTED_VALUE"""),5.0)</f>
        <v>5</v>
      </c>
      <c r="D385" s="2" t="str">
        <f>IFERROR(__xludf.DUMMYFUNCTION("""COMPUTED_VALUE"""),"Badigad")</f>
        <v>Badigad</v>
      </c>
      <c r="E385" s="2"/>
      <c r="F385" s="3">
        <f>IFERROR(__xludf.DUMMYFUNCTION("""COMPUTED_VALUE"""),60234.0)</f>
        <v>60234</v>
      </c>
      <c r="G385" s="2" t="str">
        <f>IFERROR(__xludf.DUMMYFUNCTION("""COMPUTED_VALUE"""),"Madhav Lal Uppadhaya")</f>
        <v>Madhav Lal Uppadhaya</v>
      </c>
      <c r="H385" s="2" t="str">
        <f>IFERROR(__xludf.DUMMYFUNCTION("""COMPUTED_VALUE"""),"Tamghas-6, Gulmi, PH 079520184")</f>
        <v>Tamghas-6, Gulmi, PH 079520184</v>
      </c>
      <c r="I385" s="2" t="str">
        <f>IFERROR(__xludf.DUMMYFUNCTION("""COMPUTED_VALUE"""),"28o 05' 00""")</f>
        <v>28o 05' 00"</v>
      </c>
      <c r="J385" s="2" t="str">
        <f>IFERROR(__xludf.DUMMYFUNCTION("""COMPUTED_VALUE"""),"28o 06' 30""")</f>
        <v>28o 06' 30"</v>
      </c>
      <c r="K385" s="2" t="str">
        <f>IFERROR(__xludf.DUMMYFUNCTION("""COMPUTED_VALUE"""),"83o 19' 30""")</f>
        <v>83o 19' 30"</v>
      </c>
      <c r="L385" s="2" t="str">
        <f>IFERROR(__xludf.DUMMYFUNCTION("""COMPUTED_VALUE"""),"83o 21' 00""")</f>
        <v>83o 21' 00"</v>
      </c>
      <c r="M385" s="2" t="str">
        <f>IFERROR(__xludf.DUMMYFUNCTION("""COMPUTED_VALUE"""),"(Gulmi)")</f>
        <v>(Gulmi)</v>
      </c>
    </row>
    <row r="386">
      <c r="A386" s="2">
        <f>IFERROR(__xludf.DUMMYFUNCTION("""COMPUTED_VALUE"""),385.0)</f>
        <v>385</v>
      </c>
      <c r="B386" s="2" t="str">
        <f>IFERROR(__xludf.DUMMYFUNCTION("""COMPUTED_VALUE"""),"Parvati Kund")</f>
        <v>Parvati Kund</v>
      </c>
      <c r="C386" s="2">
        <f>IFERROR(__xludf.DUMMYFUNCTION("""COMPUTED_VALUE"""),0.46)</f>
        <v>0.46</v>
      </c>
      <c r="D386" s="2" t="str">
        <f>IFERROR(__xludf.DUMMYFUNCTION("""COMPUTED_VALUE"""),"Parvati Kund")</f>
        <v>Parvati Kund</v>
      </c>
      <c r="E386" s="2"/>
      <c r="F386" s="3">
        <f>IFERROR(__xludf.DUMMYFUNCTION("""COMPUTED_VALUE"""),60236.0)</f>
        <v>60236</v>
      </c>
      <c r="G386" s="2" t="str">
        <f>IFERROR(__xludf.DUMMYFUNCTION("""COMPUTED_VALUE"""),"PEEDA")</f>
        <v>PEEDA</v>
      </c>
      <c r="H386" s="2"/>
      <c r="I386" s="2" t="str">
        <f>IFERROR(__xludf.DUMMYFUNCTION("""COMPUTED_VALUE"""),"28o 05' 33""")</f>
        <v>28o 05' 33"</v>
      </c>
      <c r="J386" s="2" t="str">
        <f>IFERROR(__xludf.DUMMYFUNCTION("""COMPUTED_VALUE"""),"28o 06' 20""")</f>
        <v>28o 06' 20"</v>
      </c>
      <c r="K386" s="2" t="str">
        <f>IFERROR(__xludf.DUMMYFUNCTION("""COMPUTED_VALUE"""),"85o 08' 00""")</f>
        <v>85o 08' 00"</v>
      </c>
      <c r="L386" s="2" t="str">
        <f>IFERROR(__xludf.DUMMYFUNCTION("""COMPUTED_VALUE"""),"85o 10' 16""")</f>
        <v>85o 10' 16"</v>
      </c>
      <c r="M386" s="2" t="str">
        <f>IFERROR(__xludf.DUMMYFUNCTION("""COMPUTED_VALUE"""),"(Rasuwa)")</f>
        <v>(Rasuwa)</v>
      </c>
    </row>
    <row r="387">
      <c r="A387" s="2">
        <f>IFERROR(__xludf.DUMMYFUNCTION("""COMPUTED_VALUE"""),386.0)</f>
        <v>386</v>
      </c>
      <c r="B387" s="2" t="str">
        <f>IFERROR(__xludf.DUMMYFUNCTION("""COMPUTED_VALUE"""),"Yaru Khola")</f>
        <v>Yaru Khola</v>
      </c>
      <c r="C387" s="2">
        <f>IFERROR(__xludf.DUMMYFUNCTION("""COMPUTED_VALUE"""),3.92)</f>
        <v>3.92</v>
      </c>
      <c r="D387" s="2" t="str">
        <f>IFERROR(__xludf.DUMMYFUNCTION("""COMPUTED_VALUE"""),"Yaru")</f>
        <v>Yaru</v>
      </c>
      <c r="E387" s="2"/>
      <c r="F387" s="3">
        <f>IFERROR(__xludf.DUMMYFUNCTION("""COMPUTED_VALUE"""),60236.0)</f>
        <v>60236</v>
      </c>
      <c r="G387" s="2" t="str">
        <f>IFERROR(__xludf.DUMMYFUNCTION("""COMPUTED_VALUE"""),"Ashok Sakya")</f>
        <v>Ashok Sakya</v>
      </c>
      <c r="H387" s="2" t="str">
        <f>IFERROR(__xludf.DUMMYFUNCTION("""COMPUTED_VALUE"""),"Lalitpur-16, Nagbahal, Tel 5527980")</f>
        <v>Lalitpur-16, Nagbahal, Tel 5527980</v>
      </c>
      <c r="I387" s="2" t="str">
        <f>IFERROR(__xludf.DUMMYFUNCTION("""COMPUTED_VALUE"""),"28o 19' 27""")</f>
        <v>28o 19' 27"</v>
      </c>
      <c r="J387" s="2" t="str">
        <f>IFERROR(__xludf.DUMMYFUNCTION("""COMPUTED_VALUE"""),"28o 20' 33""")</f>
        <v>28o 20' 33"</v>
      </c>
      <c r="K387" s="2" t="str">
        <f>IFERROR(__xludf.DUMMYFUNCTION("""COMPUTED_VALUE"""),"84o 54' 30""")</f>
        <v>84o 54' 30"</v>
      </c>
      <c r="L387" s="2" t="str">
        <f>IFERROR(__xludf.DUMMYFUNCTION("""COMPUTED_VALUE"""),"84o 56' 33""")</f>
        <v>84o 56' 33"</v>
      </c>
      <c r="M387" s="2" t="str">
        <f>IFERROR(__xludf.DUMMYFUNCTION("""COMPUTED_VALUE"""),"(Gorkha)")</f>
        <v>(Gorkha)</v>
      </c>
    </row>
    <row r="388">
      <c r="A388" s="2">
        <f>IFERROR(__xludf.DUMMYFUNCTION("""COMPUTED_VALUE"""),387.0)</f>
        <v>387</v>
      </c>
      <c r="B388" s="2" t="str">
        <f>IFERROR(__xludf.DUMMYFUNCTION("""COMPUTED_VALUE"""),"Ande Pipal Arun")</f>
        <v>Ande Pipal Arun</v>
      </c>
      <c r="C388" s="2">
        <f>IFERROR(__xludf.DUMMYFUNCTION("""COMPUTED_VALUE"""),1200.0)</f>
        <v>1200</v>
      </c>
      <c r="D388" s="2" t="str">
        <f>IFERROR(__xludf.DUMMYFUNCTION("""COMPUTED_VALUE"""),"Arun")</f>
        <v>Arun</v>
      </c>
      <c r="E388" s="2"/>
      <c r="F388" s="3">
        <f>IFERROR(__xludf.DUMMYFUNCTION("""COMPUTED_VALUE"""),60236.0)</f>
        <v>60236</v>
      </c>
      <c r="G388" s="2" t="str">
        <f>IFERROR(__xludf.DUMMYFUNCTION("""COMPUTED_VALUE"""),"Larsen &amp; Toubro power DevelopmentLtd")</f>
        <v>Larsen &amp; Toubro power DevelopmentLtd</v>
      </c>
      <c r="H388" s="2"/>
      <c r="I388" s="2" t="str">
        <f>IFERROR(__xludf.DUMMYFUNCTION("""COMPUTED_VALUE"""),"27o 35' 00""")</f>
        <v>27o 35' 00"</v>
      </c>
      <c r="J388" s="2" t="str">
        <f>IFERROR(__xludf.DUMMYFUNCTION("""COMPUTED_VALUE"""),"27o 50' 00""")</f>
        <v>27o 50' 00"</v>
      </c>
      <c r="K388" s="2" t="str">
        <f>IFERROR(__xludf.DUMMYFUNCTION("""COMPUTED_VALUE"""),"87o 20' 00""")</f>
        <v>87o 20' 00"</v>
      </c>
      <c r="L388" s="2" t="str">
        <f>IFERROR(__xludf.DUMMYFUNCTION("""COMPUTED_VALUE"""),"87o 30' 00""")</f>
        <v>87o 30' 00"</v>
      </c>
      <c r="M388" s="2" t="str">
        <f>IFERROR(__xludf.DUMMYFUNCTION("""COMPUTED_VALUE"""),"(Sankhuwasabha)")</f>
        <v>(Sankhuwasabha)</v>
      </c>
    </row>
    <row r="389">
      <c r="A389" s="2">
        <f>IFERROR(__xludf.DUMMYFUNCTION("""COMPUTED_VALUE"""),388.0)</f>
        <v>388</v>
      </c>
      <c r="B389" s="2" t="str">
        <f>IFERROR(__xludf.DUMMYFUNCTION("""COMPUTED_VALUE"""),"Chhahare Khola")</f>
        <v>Chhahare Khola</v>
      </c>
      <c r="C389" s="2">
        <f>IFERROR(__xludf.DUMMYFUNCTION("""COMPUTED_VALUE"""),1.0)</f>
        <v>1</v>
      </c>
      <c r="D389" s="2" t="str">
        <f>IFERROR(__xludf.DUMMYFUNCTION("""COMPUTED_VALUE"""),"Chhahare")</f>
        <v>Chhahare</v>
      </c>
      <c r="E389" s="2"/>
      <c r="F389" s="3">
        <f>IFERROR(__xludf.DUMMYFUNCTION("""COMPUTED_VALUE"""),60236.0)</f>
        <v>60236</v>
      </c>
      <c r="G389" s="2" t="str">
        <f>IFERROR(__xludf.DUMMYFUNCTION("""COMPUTED_VALUE"""),"Ramraman Bhaskar, Rijan Mainali")</f>
        <v>Ramraman Bhaskar, Rijan Mainali</v>
      </c>
      <c r="H389" s="2"/>
      <c r="I389" s="2" t="str">
        <f>IFERROR(__xludf.DUMMYFUNCTION("""COMPUTED_VALUE"""),"28o 25' 27""")</f>
        <v>28o 25' 27"</v>
      </c>
      <c r="J389" s="2" t="str">
        <f>IFERROR(__xludf.DUMMYFUNCTION("""COMPUTED_VALUE"""),"28o 26' 54""")</f>
        <v>28o 26' 54"</v>
      </c>
      <c r="K389" s="2" t="str">
        <f>IFERROR(__xludf.DUMMYFUNCTION("""COMPUTED_VALUE"""),"84o 23' 46""")</f>
        <v>84o 23' 46"</v>
      </c>
      <c r="L389" s="2" t="str">
        <f>IFERROR(__xludf.DUMMYFUNCTION("""COMPUTED_VALUE"""),"84o 25' 00""")</f>
        <v>84o 25' 00"</v>
      </c>
      <c r="M389" s="2" t="str">
        <f>IFERROR(__xludf.DUMMYFUNCTION("""COMPUTED_VALUE"""),"(Lamjung)")</f>
        <v>(Lamjung)</v>
      </c>
    </row>
    <row r="390">
      <c r="A390" s="2">
        <f>IFERROR(__xludf.DUMMYFUNCTION("""COMPUTED_VALUE"""),389.0)</f>
        <v>389</v>
      </c>
      <c r="B390" s="2" t="str">
        <f>IFERROR(__xludf.DUMMYFUNCTION("""COMPUTED_VALUE"""),"Karnali Chisapani")</f>
        <v>Karnali Chisapani</v>
      </c>
      <c r="C390" s="2">
        <f>IFERROR(__xludf.DUMMYFUNCTION("""COMPUTED_VALUE"""),10800.0)</f>
        <v>10800</v>
      </c>
      <c r="D390" s="2" t="str">
        <f>IFERROR(__xludf.DUMMYFUNCTION("""COMPUTED_VALUE"""),"Karnali")</f>
        <v>Karnali</v>
      </c>
      <c r="E390" s="2"/>
      <c r="F390" s="3">
        <f>IFERROR(__xludf.DUMMYFUNCTION("""COMPUTED_VALUE"""),60236.0)</f>
        <v>60236</v>
      </c>
      <c r="G390" s="2" t="str">
        <f>IFERROR(__xludf.DUMMYFUNCTION("""COMPUTED_VALUE"""),"Gilt Hydro Nepal P Ltd")</f>
        <v>Gilt Hydro Nepal P Ltd</v>
      </c>
      <c r="H390" s="2"/>
      <c r="I390" s="2" t="str">
        <f>IFERROR(__xludf.DUMMYFUNCTION("""COMPUTED_VALUE"""),"28o 35' 00""")</f>
        <v>28o 35' 00"</v>
      </c>
      <c r="J390" s="2" t="str">
        <f>IFERROR(__xludf.DUMMYFUNCTION("""COMPUTED_VALUE"""),"29o 40' 00""")</f>
        <v>29o 40' 00"</v>
      </c>
      <c r="K390" s="2" t="str">
        <f>IFERROR(__xludf.DUMMYFUNCTION("""COMPUTED_VALUE"""),"80o 45' 00""")</f>
        <v>80o 45' 00"</v>
      </c>
      <c r="L390" s="2" t="str">
        <f>IFERROR(__xludf.DUMMYFUNCTION("""COMPUTED_VALUE"""),"81o 40' 00""")</f>
        <v>81o 40' 00"</v>
      </c>
      <c r="M390" s="2" t="str">
        <f>IFERROR(__xludf.DUMMYFUNCTION("""COMPUTED_VALUE"""),"(Kailali)")</f>
        <v>(Kailali)</v>
      </c>
    </row>
    <row r="391">
      <c r="A391" s="2">
        <f>IFERROR(__xludf.DUMMYFUNCTION("""COMPUTED_VALUE"""),390.0)</f>
        <v>390</v>
      </c>
      <c r="B391" s="2" t="str">
        <f>IFERROR(__xludf.DUMMYFUNCTION("""COMPUTED_VALUE"""),"Chokan Lingam")</f>
        <v>Chokan Lingam</v>
      </c>
      <c r="C391" s="2">
        <f>IFERROR(__xludf.DUMMYFUNCTION("""COMPUTED_VALUE"""),520.0)</f>
        <v>520</v>
      </c>
      <c r="D391" s="2" t="str">
        <f>IFERROR(__xludf.DUMMYFUNCTION("""COMPUTED_VALUE"""),"Arun")</f>
        <v>Arun</v>
      </c>
      <c r="E391" s="2"/>
      <c r="F391" s="3">
        <f>IFERROR(__xludf.DUMMYFUNCTION("""COMPUTED_VALUE"""),60236.0)</f>
        <v>60236</v>
      </c>
      <c r="G391" s="2" t="str">
        <f>IFERROR(__xludf.DUMMYFUNCTION("""COMPUTED_VALUE"""),"Larsen &amp; Toubro power DevelopmentLtd")</f>
        <v>Larsen &amp; Toubro power DevelopmentLtd</v>
      </c>
      <c r="H391" s="2"/>
      <c r="I391" s="2" t="str">
        <f>IFERROR(__xludf.DUMMYFUNCTION("""COMPUTED_VALUE"""),"27o 44' 00""")</f>
        <v>27o 44' 00"</v>
      </c>
      <c r="J391" s="2" t="str">
        <f>IFERROR(__xludf.DUMMYFUNCTION("""COMPUTED_VALUE"""),"27o 50' 00""")</f>
        <v>27o 50' 00"</v>
      </c>
      <c r="K391" s="2" t="str">
        <f>IFERROR(__xludf.DUMMYFUNCTION("""COMPUTED_VALUE"""),"87o 23' 35""")</f>
        <v>87o 23' 35"</v>
      </c>
      <c r="L391" s="2" t="str">
        <f>IFERROR(__xludf.DUMMYFUNCTION("""COMPUTED_VALUE"""),"87o 30' 00""")</f>
        <v>87o 30' 00"</v>
      </c>
      <c r="M391" s="2" t="str">
        <f>IFERROR(__xludf.DUMMYFUNCTION("""COMPUTED_VALUE"""),"(Sankhuwasabha)")</f>
        <v>(Sankhuwasabha)</v>
      </c>
    </row>
    <row r="392">
      <c r="A392" s="2">
        <f>IFERROR(__xludf.DUMMYFUNCTION("""COMPUTED_VALUE"""),391.0)</f>
        <v>391</v>
      </c>
      <c r="B392" s="2" t="str">
        <f>IFERROR(__xludf.DUMMYFUNCTION("""COMPUTED_VALUE"""),"Lunsun Pepuwa")</f>
        <v>Lunsun Pepuwa</v>
      </c>
      <c r="C392" s="2">
        <f>IFERROR(__xludf.DUMMYFUNCTION("""COMPUTED_VALUE"""),300.0)</f>
        <v>300</v>
      </c>
      <c r="D392" s="2" t="str">
        <f>IFERROR(__xludf.DUMMYFUNCTION("""COMPUTED_VALUE"""),"Arun")</f>
        <v>Arun</v>
      </c>
      <c r="E392" s="2"/>
      <c r="F392" s="2" t="str">
        <f>IFERROR(__xludf.DUMMYFUNCTION("""COMPUTED_VALUE"""),"2064-11-31")</f>
        <v>2064-11-31</v>
      </c>
      <c r="G392" s="2" t="str">
        <f>IFERROR(__xludf.DUMMYFUNCTION("""COMPUTED_VALUE"""),"Larsen &amp; Toubro power DevelopmentLtd")</f>
        <v>Larsen &amp; Toubro power DevelopmentLtd</v>
      </c>
      <c r="H392" s="2"/>
      <c r="I392" s="2" t="str">
        <f>IFERROR(__xludf.DUMMYFUNCTION("""COMPUTED_VALUE"""),"27o 34' 00""")</f>
        <v>27o 34' 00"</v>
      </c>
      <c r="J392" s="2" t="str">
        <f>IFERROR(__xludf.DUMMYFUNCTION("""COMPUTED_VALUE"""),"27o 39' 00""")</f>
        <v>27o 39' 00"</v>
      </c>
      <c r="K392" s="2" t="str">
        <f>IFERROR(__xludf.DUMMYFUNCTION("""COMPUTED_VALUE"""),"87o 18' 58""")</f>
        <v>87o 18' 58"</v>
      </c>
      <c r="L392" s="2" t="str">
        <f>IFERROR(__xludf.DUMMYFUNCTION("""COMPUTED_VALUE"""),"87o 25' 00""")</f>
        <v>87o 25' 00"</v>
      </c>
      <c r="M392" s="2" t="str">
        <f>IFERROR(__xludf.DUMMYFUNCTION("""COMPUTED_VALUE"""),"(Sankhuwasabha)")</f>
        <v>(Sankhuwasabha)</v>
      </c>
    </row>
    <row r="393">
      <c r="A393" s="2">
        <f>IFERROR(__xludf.DUMMYFUNCTION("""COMPUTED_VALUE"""),392.0)</f>
        <v>392</v>
      </c>
      <c r="B393" s="2" t="str">
        <f>IFERROR(__xludf.DUMMYFUNCTION("""COMPUTED_VALUE"""),"Sarada Khola")</f>
        <v>Sarada Khola</v>
      </c>
      <c r="C393" s="2">
        <f>IFERROR(__xludf.DUMMYFUNCTION("""COMPUTED_VALUE"""),0.96)</f>
        <v>0.96</v>
      </c>
      <c r="D393" s="2" t="str">
        <f>IFERROR(__xludf.DUMMYFUNCTION("""COMPUTED_VALUE"""),"Sharada")</f>
        <v>Sharada</v>
      </c>
      <c r="E393" s="2"/>
      <c r="F393" s="3">
        <f>IFERROR(__xludf.DUMMYFUNCTION("""COMPUTED_VALUE"""),60237.0)</f>
        <v>60237</v>
      </c>
      <c r="G393" s="2" t="str">
        <f>IFERROR(__xludf.DUMMYFUNCTION("""COMPUTED_VALUE"""),"Topendra Kumar Sharma")</f>
        <v>Topendra Kumar Sharma</v>
      </c>
      <c r="H393" s="2"/>
      <c r="I393" s="2" t="str">
        <f>IFERROR(__xludf.DUMMYFUNCTION("""COMPUTED_VALUE"""),"28o 16' 00""")</f>
        <v>28o 16' 00"</v>
      </c>
      <c r="J393" s="2" t="str">
        <f>IFERROR(__xludf.DUMMYFUNCTION("""COMPUTED_VALUE"""),"28o 20' 33""")</f>
        <v>28o 20' 33"</v>
      </c>
      <c r="K393" s="2" t="str">
        <f>IFERROR(__xludf.DUMMYFUNCTION("""COMPUTED_VALUE"""),"81o 54' 00""")</f>
        <v>81o 54' 00"</v>
      </c>
      <c r="L393" s="2" t="str">
        <f>IFERROR(__xludf.DUMMYFUNCTION("""COMPUTED_VALUE"""),"81o 56' 30""")</f>
        <v>81o 56' 30"</v>
      </c>
      <c r="M393" s="2" t="str">
        <f>IFERROR(__xludf.DUMMYFUNCTION("""COMPUTED_VALUE"""),"(Salyan)")</f>
        <v>(Salyan)</v>
      </c>
    </row>
    <row r="394">
      <c r="A394" s="2">
        <f>IFERROR(__xludf.DUMMYFUNCTION("""COMPUTED_VALUE"""),393.0)</f>
        <v>393</v>
      </c>
      <c r="B394" s="2" t="str">
        <f>IFERROR(__xludf.DUMMYFUNCTION("""COMPUTED_VALUE"""),"Ghor Khola")</f>
        <v>Ghor Khola</v>
      </c>
      <c r="C394" s="2">
        <f>IFERROR(__xludf.DUMMYFUNCTION("""COMPUTED_VALUE"""),0.6)</f>
        <v>0.6</v>
      </c>
      <c r="D394" s="2" t="str">
        <f>IFERROR(__xludf.DUMMYFUNCTION("""COMPUTED_VALUE"""),"Ghor")</f>
        <v>Ghor</v>
      </c>
      <c r="E394" s="2"/>
      <c r="F394" s="3">
        <f>IFERROR(__xludf.DUMMYFUNCTION("""COMPUTED_VALUE"""),60237.0)</f>
        <v>60237</v>
      </c>
      <c r="G394" s="2" t="str">
        <f>IFERROR(__xludf.DUMMYFUNCTION("""COMPUTED_VALUE"""),"Sabitri Shrestha")</f>
        <v>Sabitri Shrestha</v>
      </c>
      <c r="H394" s="2"/>
      <c r="I394" s="2" t="str">
        <f>IFERROR(__xludf.DUMMYFUNCTION("""COMPUTED_VALUE"""),"28o 10' 29""")</f>
        <v>28o 10' 29"</v>
      </c>
      <c r="J394" s="2" t="str">
        <f>IFERROR(__xludf.DUMMYFUNCTION("""COMPUTED_VALUE"""),"28o 11' 35""")</f>
        <v>28o 11' 35"</v>
      </c>
      <c r="K394" s="2" t="str">
        <f>IFERROR(__xludf.DUMMYFUNCTION("""COMPUTED_VALUE"""),"82o 34' 30""")</f>
        <v>82o 34' 30"</v>
      </c>
      <c r="L394" s="2" t="str">
        <f>IFERROR(__xludf.DUMMYFUNCTION("""COMPUTED_VALUE"""),"82o 41' 09""")</f>
        <v>82o 41' 09"</v>
      </c>
      <c r="M394" s="2" t="str">
        <f>IFERROR(__xludf.DUMMYFUNCTION("""COMPUTED_VALUE"""),"(Pyuthan)")</f>
        <v>(Pyuthan)</v>
      </c>
    </row>
    <row r="395">
      <c r="A395" s="2">
        <f>IFERROR(__xludf.DUMMYFUNCTION("""COMPUTED_VALUE"""),394.0)</f>
        <v>394</v>
      </c>
      <c r="B395" s="2" t="str">
        <f>IFERROR(__xludf.DUMMYFUNCTION("""COMPUTED_VALUE"""),"Rapti Khola")</f>
        <v>Rapti Khola</v>
      </c>
      <c r="C395" s="2">
        <f>IFERROR(__xludf.DUMMYFUNCTION("""COMPUTED_VALUE"""),0.998)</f>
        <v>0.998</v>
      </c>
      <c r="D395" s="2" t="str">
        <f>IFERROR(__xludf.DUMMYFUNCTION("""COMPUTED_VALUE"""),"Rapti")</f>
        <v>Rapti</v>
      </c>
      <c r="E395" s="2"/>
      <c r="F395" s="3">
        <f>IFERROR(__xludf.DUMMYFUNCTION("""COMPUTED_VALUE"""),60237.0)</f>
        <v>60237</v>
      </c>
      <c r="G395" s="2" t="str">
        <f>IFERROR(__xludf.DUMMYFUNCTION("""COMPUTED_VALUE"""),"Shashikala Shrestha")</f>
        <v>Shashikala Shrestha</v>
      </c>
      <c r="H395" s="2"/>
      <c r="I395" s="2" t="str">
        <f>IFERROR(__xludf.DUMMYFUNCTION("""COMPUTED_VALUE"""),"27o 30' 00""")</f>
        <v>27o 30' 00"</v>
      </c>
      <c r="J395" s="2" t="str">
        <f>IFERROR(__xludf.DUMMYFUNCTION("""COMPUTED_VALUE"""),"27o 30' 53""")</f>
        <v>27o 30' 53"</v>
      </c>
      <c r="K395" s="2" t="str">
        <f>IFERROR(__xludf.DUMMYFUNCTION("""COMPUTED_VALUE"""),"85o 03' 09""")</f>
        <v>85o 03' 09"</v>
      </c>
      <c r="L395" s="2" t="str">
        <f>IFERROR(__xludf.DUMMYFUNCTION("""COMPUTED_VALUE"""),"85o 04' 51""")</f>
        <v>85o 04' 51"</v>
      </c>
      <c r="M395" s="2" t="str">
        <f>IFERROR(__xludf.DUMMYFUNCTION("""COMPUTED_VALUE"""),"(Makawanpur)")</f>
        <v>(Makawanpur)</v>
      </c>
    </row>
    <row r="396">
      <c r="A396" s="2">
        <f>IFERROR(__xludf.DUMMYFUNCTION("""COMPUTED_VALUE"""),395.0)</f>
        <v>395</v>
      </c>
      <c r="B396" s="2" t="str">
        <f>IFERROR(__xludf.DUMMYFUNCTION("""COMPUTED_VALUE"""),"Dhanbang Khola")</f>
        <v>Dhanbang Khola</v>
      </c>
      <c r="C396" s="2">
        <f>IFERROR(__xludf.DUMMYFUNCTION("""COMPUTED_VALUE"""),0.6)</f>
        <v>0.6</v>
      </c>
      <c r="D396" s="2" t="str">
        <f>IFERROR(__xludf.DUMMYFUNCTION("""COMPUTED_VALUE"""),"Dhanbang")</f>
        <v>Dhanbang</v>
      </c>
      <c r="E396" s="2"/>
      <c r="F396" s="3">
        <f>IFERROR(__xludf.DUMMYFUNCTION("""COMPUTED_VALUE"""),60237.0)</f>
        <v>60237</v>
      </c>
      <c r="G396" s="2" t="str">
        <f>IFERROR(__xludf.DUMMYFUNCTION("""COMPUTED_VALUE"""),"Umesh Adhikari")</f>
        <v>Umesh Adhikari</v>
      </c>
      <c r="H396" s="2"/>
      <c r="I396" s="2" t="str">
        <f>IFERROR(__xludf.DUMMYFUNCTION("""COMPUTED_VALUE"""),"28o 08' 54""")</f>
        <v>28o 08' 54"</v>
      </c>
      <c r="J396" s="2" t="str">
        <f>IFERROR(__xludf.DUMMYFUNCTION("""COMPUTED_VALUE"""),"28o 10' 29""")</f>
        <v>28o 10' 29"</v>
      </c>
      <c r="K396" s="2" t="str">
        <f>IFERROR(__xludf.DUMMYFUNCTION("""COMPUTED_VALUE"""),"82o 40' 00""")</f>
        <v>82o 40' 00"</v>
      </c>
      <c r="L396" s="2" t="str">
        <f>IFERROR(__xludf.DUMMYFUNCTION("""COMPUTED_VALUE"""),"82o 42' 30""")</f>
        <v>82o 42' 30"</v>
      </c>
      <c r="M396" s="2" t="str">
        <f>IFERROR(__xludf.DUMMYFUNCTION("""COMPUTED_VALUE"""),"(Pyuthan)")</f>
        <v>(Pyuthan)</v>
      </c>
    </row>
    <row r="397">
      <c r="A397" s="2">
        <f>IFERROR(__xludf.DUMMYFUNCTION("""COMPUTED_VALUE"""),396.0)</f>
        <v>396</v>
      </c>
      <c r="B397" s="2" t="str">
        <f>IFERROR(__xludf.DUMMYFUNCTION("""COMPUTED_VALUE"""),"Pipaltar Roshi")</f>
        <v>Pipaltar Roshi</v>
      </c>
      <c r="C397" s="2">
        <f>IFERROR(__xludf.DUMMYFUNCTION("""COMPUTED_VALUE"""),0.97)</f>
        <v>0.97</v>
      </c>
      <c r="D397" s="2" t="str">
        <f>IFERROR(__xludf.DUMMYFUNCTION("""COMPUTED_VALUE"""),"Roshi")</f>
        <v>Roshi</v>
      </c>
      <c r="E397" s="2"/>
      <c r="F397" s="3">
        <f>IFERROR(__xludf.DUMMYFUNCTION("""COMPUTED_VALUE"""),60239.0)</f>
        <v>60239</v>
      </c>
      <c r="G397" s="2" t="str">
        <f>IFERROR(__xludf.DUMMYFUNCTION("""COMPUTED_VALUE"""),"Roshi Pipaltar Nirman Sewa")</f>
        <v>Roshi Pipaltar Nirman Sewa</v>
      </c>
      <c r="H397" s="2"/>
      <c r="I397" s="2" t="str">
        <f>IFERROR(__xludf.DUMMYFUNCTION("""COMPUTED_VALUE"""),"27o 30' 30""")</f>
        <v>27o 30' 30"</v>
      </c>
      <c r="J397" s="2" t="str">
        <f>IFERROR(__xludf.DUMMYFUNCTION("""COMPUTED_VALUE"""),"27o 31' 30""")</f>
        <v>27o 31' 30"</v>
      </c>
      <c r="K397" s="2" t="str">
        <f>IFERROR(__xludf.DUMMYFUNCTION("""COMPUTED_VALUE"""),"85o 36' 15""")</f>
        <v>85o 36' 15"</v>
      </c>
      <c r="L397" s="2" t="str">
        <f>IFERROR(__xludf.DUMMYFUNCTION("""COMPUTED_VALUE"""),"85o 38' 40""")</f>
        <v>85o 38' 40"</v>
      </c>
      <c r="M397" s="2" t="str">
        <f>IFERROR(__xludf.DUMMYFUNCTION("""COMPUTED_VALUE"""),"(Kabhrepalanchok)")</f>
        <v>(Kabhrepalanchok)</v>
      </c>
    </row>
    <row r="398">
      <c r="A398" s="2">
        <f>IFERROR(__xludf.DUMMYFUNCTION("""COMPUTED_VALUE"""),397.0)</f>
        <v>397</v>
      </c>
      <c r="B398" s="2" t="str">
        <f>IFERROR(__xludf.DUMMYFUNCTION("""COMPUTED_VALUE"""),"Saspu Khola")</f>
        <v>Saspu Khola</v>
      </c>
      <c r="C398" s="2">
        <f>IFERROR(__xludf.DUMMYFUNCTION("""COMPUTED_VALUE"""),4.01)</f>
        <v>4.01</v>
      </c>
      <c r="D398" s="2" t="str">
        <f>IFERROR(__xludf.DUMMYFUNCTION("""COMPUTED_VALUE"""),"Saspu")</f>
        <v>Saspu</v>
      </c>
      <c r="E398" s="2"/>
      <c r="F398" s="3">
        <f>IFERROR(__xludf.DUMMYFUNCTION("""COMPUTED_VALUE"""),60239.0)</f>
        <v>60239</v>
      </c>
      <c r="G398" s="2" t="str">
        <f>IFERROR(__xludf.DUMMYFUNCTION("""COMPUTED_VALUE"""),"Bhisan Babu Rai Lapyang")</f>
        <v>Bhisan Babu Rai Lapyang</v>
      </c>
      <c r="H398" s="2" t="str">
        <f>IFERROR(__xludf.DUMMYFUNCTION("""COMPUTED_VALUE"""),"Khotang")</f>
        <v>Khotang</v>
      </c>
      <c r="I398" s="2" t="str">
        <f>IFERROR(__xludf.DUMMYFUNCTION("""COMPUTED_VALUE"""),"27o 06' 00""")</f>
        <v>27o 06' 00"</v>
      </c>
      <c r="J398" s="2" t="str">
        <f>IFERROR(__xludf.DUMMYFUNCTION("""COMPUTED_VALUE"""),"27o 08' 30""")</f>
        <v>27o 08' 30"</v>
      </c>
      <c r="K398" s="2" t="str">
        <f>IFERROR(__xludf.DUMMYFUNCTION("""COMPUTED_VALUE"""),"86o 43' 00""")</f>
        <v>86o 43' 00"</v>
      </c>
      <c r="L398" s="2" t="str">
        <f>IFERROR(__xludf.DUMMYFUNCTION("""COMPUTED_VALUE"""),"86o 45' 15""")</f>
        <v>86o 45' 15"</v>
      </c>
      <c r="M398" s="2" t="str">
        <f>IFERROR(__xludf.DUMMYFUNCTION("""COMPUTED_VALUE"""),"(Khotang)")</f>
        <v>(Khotang)</v>
      </c>
    </row>
    <row r="399">
      <c r="A399" s="2">
        <f>IFERROR(__xludf.DUMMYFUNCTION("""COMPUTED_VALUE"""),398.0)</f>
        <v>398</v>
      </c>
      <c r="B399" s="2" t="str">
        <f>IFERROR(__xludf.DUMMYFUNCTION("""COMPUTED_VALUE"""),"Lower Modi-2")</f>
        <v>Lower Modi-2</v>
      </c>
      <c r="C399" s="2">
        <f>IFERROR(__xludf.DUMMYFUNCTION("""COMPUTED_VALUE"""),5.0)</f>
        <v>5</v>
      </c>
      <c r="D399" s="2" t="str">
        <f>IFERROR(__xludf.DUMMYFUNCTION("""COMPUTED_VALUE"""),"Modi Khola")</f>
        <v>Modi Khola</v>
      </c>
      <c r="E399" s="2"/>
      <c r="F399" s="3">
        <f>IFERROR(__xludf.DUMMYFUNCTION("""COMPUTED_VALUE"""),60239.0)</f>
        <v>60239</v>
      </c>
      <c r="G399" s="2" t="str">
        <f>IFERROR(__xludf.DUMMYFUNCTION("""COMPUTED_VALUE"""),"Diwakar Baidhya")</f>
        <v>Diwakar Baidhya</v>
      </c>
      <c r="H399" s="2"/>
      <c r="I399" s="2" t="str">
        <f>IFERROR(__xludf.DUMMYFUNCTION("""COMPUTED_VALUE"""),"28o 12' 41""")</f>
        <v>28o 12' 41"</v>
      </c>
      <c r="J399" s="2" t="str">
        <f>IFERROR(__xludf.DUMMYFUNCTION("""COMPUTED_VALUE"""),"28o 14' 30""")</f>
        <v>28o 14' 30"</v>
      </c>
      <c r="K399" s="2" t="str">
        <f>IFERROR(__xludf.DUMMYFUNCTION("""COMPUTED_VALUE"""),"83o 40' 52""")</f>
        <v>83o 40' 52"</v>
      </c>
      <c r="L399" s="2" t="str">
        <f>IFERROR(__xludf.DUMMYFUNCTION("""COMPUTED_VALUE"""),"83o 42' 43""")</f>
        <v>83o 42' 43"</v>
      </c>
      <c r="M399" s="2" t="str">
        <f>IFERROR(__xludf.DUMMYFUNCTION("""COMPUTED_VALUE"""),"(Parbat)")</f>
        <v>(Parbat)</v>
      </c>
    </row>
    <row r="400">
      <c r="A400" s="2">
        <f>IFERROR(__xludf.DUMMYFUNCTION("""COMPUTED_VALUE"""),399.0)</f>
        <v>399</v>
      </c>
      <c r="B400" s="2" t="str">
        <f>IFERROR(__xludf.DUMMYFUNCTION("""COMPUTED_VALUE"""),"MiddleThuligad")</f>
        <v>MiddleThuligad</v>
      </c>
      <c r="C400" s="2">
        <f>IFERROR(__xludf.DUMMYFUNCTION("""COMPUTED_VALUE"""),3.0)</f>
        <v>3</v>
      </c>
      <c r="D400" s="2" t="str">
        <f>IFERROR(__xludf.DUMMYFUNCTION("""COMPUTED_VALUE"""),"Thuli gad")</f>
        <v>Thuli gad</v>
      </c>
      <c r="E400" s="2">
        <f>IFERROR(__xludf.DUMMYFUNCTION("""COMPUTED_VALUE"""),2444.0)</f>
        <v>2444</v>
      </c>
      <c r="F400" s="3">
        <f>IFERROR(__xludf.DUMMYFUNCTION("""COMPUTED_VALUE"""),60240.0)</f>
        <v>60240</v>
      </c>
      <c r="G400" s="2" t="str">
        <f>IFERROR(__xludf.DUMMYFUNCTION("""COMPUTED_VALUE"""),"Phani Raj Nepal Tiak Raj Joshi Anil Rajbhandari")</f>
        <v>Phani Raj Nepal Tiak Raj Joshi Anil Rajbhandari</v>
      </c>
      <c r="H400" s="2" t="str">
        <f>IFERROR(__xludf.DUMMYFUNCTION("""COMPUTED_VALUE"""),"PO Box no 11039 Kathmandu Tel 984138032")</f>
        <v>PO Box no 11039 Kathmandu Tel 984138032</v>
      </c>
      <c r="I400" s="2" t="str">
        <f>IFERROR(__xludf.DUMMYFUNCTION("""COMPUTED_VALUE"""),"29o 00' 16""")</f>
        <v>29o 00' 16"</v>
      </c>
      <c r="J400" s="2" t="str">
        <f>IFERROR(__xludf.DUMMYFUNCTION("""COMPUTED_VALUE"""),"29o 01' 13""")</f>
        <v>29o 01' 13"</v>
      </c>
      <c r="K400" s="2" t="str">
        <f>IFERROR(__xludf.DUMMYFUNCTION("""COMPUTED_VALUE"""),"80o 40' 50""")</f>
        <v>80o 40' 50"</v>
      </c>
      <c r="L400" s="2" t="str">
        <f>IFERROR(__xludf.DUMMYFUNCTION("""COMPUTED_VALUE"""),"80o 44' 20""")</f>
        <v>80o 44' 20"</v>
      </c>
      <c r="M400" s="2" t="str">
        <f>IFERROR(__xludf.DUMMYFUNCTION("""COMPUTED_VALUE"""),"Nirali,Barchhen (Doti) Nigali (Kailali)")</f>
        <v>Nirali,Barchhen (Doti) Nigali (Kailali)</v>
      </c>
    </row>
    <row r="401">
      <c r="A401" s="2">
        <f>IFERROR(__xludf.DUMMYFUNCTION("""COMPUTED_VALUE"""),400.0)</f>
        <v>400</v>
      </c>
      <c r="B401" s="2" t="str">
        <f>IFERROR(__xludf.DUMMYFUNCTION("""COMPUTED_VALUE"""),"BhoteKoshi Rasuwa")</f>
        <v>BhoteKoshi Rasuwa</v>
      </c>
      <c r="C401" s="2">
        <f>IFERROR(__xludf.DUMMYFUNCTION("""COMPUTED_VALUE"""),20.0)</f>
        <v>20</v>
      </c>
      <c r="D401" s="2" t="str">
        <f>IFERROR(__xludf.DUMMYFUNCTION("""COMPUTED_VALUE"""),"Bhote koshi")</f>
        <v>Bhote koshi</v>
      </c>
      <c r="E401" s="2"/>
      <c r="F401" s="3">
        <f>IFERROR(__xludf.DUMMYFUNCTION("""COMPUTED_VALUE"""),60241.0)</f>
        <v>60241</v>
      </c>
      <c r="G401" s="2" t="str">
        <f>IFERROR(__xludf.DUMMYFUNCTION("""COMPUTED_VALUE"""),"Anil Shrestha")</f>
        <v>Anil Shrestha</v>
      </c>
      <c r="H401" s="2"/>
      <c r="I401" s="2" t="str">
        <f>IFERROR(__xludf.DUMMYFUNCTION("""COMPUTED_VALUE"""),"28o 10' 30""")</f>
        <v>28o 10' 30"</v>
      </c>
      <c r="J401" s="2" t="str">
        <f>IFERROR(__xludf.DUMMYFUNCTION("""COMPUTED_VALUE"""),"28o 15' 00""")</f>
        <v>28o 15' 00"</v>
      </c>
      <c r="K401" s="2" t="str">
        <f>IFERROR(__xludf.DUMMYFUNCTION("""COMPUTED_VALUE"""),"85o 20' 20""")</f>
        <v>85o 20' 20"</v>
      </c>
      <c r="L401" s="2" t="str">
        <f>IFERROR(__xludf.DUMMYFUNCTION("""COMPUTED_VALUE"""),"85o 22' 30""")</f>
        <v>85o 22' 30"</v>
      </c>
      <c r="M401" s="2" t="str">
        <f>IFERROR(__xludf.DUMMYFUNCTION("""COMPUTED_VALUE"""),"(Rasuwa)")</f>
        <v>(Rasuwa)</v>
      </c>
    </row>
    <row r="402">
      <c r="A402" s="2">
        <f>IFERROR(__xludf.DUMMYFUNCTION("""COMPUTED_VALUE"""),401.0)</f>
        <v>401</v>
      </c>
      <c r="B402" s="2" t="str">
        <f>IFERROR(__xludf.DUMMYFUNCTION("""COMPUTED_VALUE"""),"Lower Daram Khola HPP")</f>
        <v>Lower Daram Khola HPP</v>
      </c>
      <c r="C402" s="2">
        <f>IFERROR(__xludf.DUMMYFUNCTION("""COMPUTED_VALUE"""),2.6)</f>
        <v>2.6</v>
      </c>
      <c r="D402" s="2" t="str">
        <f>IFERROR(__xludf.DUMMYFUNCTION("""COMPUTED_VALUE"""),"Daram")</f>
        <v>Daram</v>
      </c>
      <c r="E402" s="2">
        <f>IFERROR(__xludf.DUMMYFUNCTION("""COMPUTED_VALUE"""),543.0)</f>
        <v>543</v>
      </c>
      <c r="F402" s="3">
        <f>IFERROR(__xludf.DUMMYFUNCTION("""COMPUTED_VALUE"""),60241.0)</f>
        <v>60241</v>
      </c>
      <c r="G402" s="2" t="str">
        <f>IFERROR(__xludf.DUMMYFUNCTION("""COMPUTED_VALUE"""),"Bikash Shrestha")</f>
        <v>Bikash Shrestha</v>
      </c>
      <c r="H402" s="2" t="str">
        <f>IFERROR(__xludf.DUMMYFUNCTION("""COMPUTED_VALUE"""),"Gongbu, Kathmandu, Tel: 4352506")</f>
        <v>Gongbu, Kathmandu, Tel: 4352506</v>
      </c>
      <c r="I402" s="2" t="str">
        <f>IFERROR(__xludf.DUMMYFUNCTION("""COMPUTED_VALUE"""),"28o 11' 00""")</f>
        <v>28o 11' 00"</v>
      </c>
      <c r="J402" s="2" t="str">
        <f>IFERROR(__xludf.DUMMYFUNCTION("""COMPUTED_VALUE"""),"28o 12' 00""")</f>
        <v>28o 12' 00"</v>
      </c>
      <c r="K402" s="2" t="str">
        <f>IFERROR(__xludf.DUMMYFUNCTION("""COMPUTED_VALUE"""),"83o 16' 30""")</f>
        <v>83o 16' 30"</v>
      </c>
      <c r="L402" s="2" t="str">
        <f>IFERROR(__xludf.DUMMYFUNCTION("""COMPUTED_VALUE"""),"83o 19' 00""")</f>
        <v>83o 19' 00"</v>
      </c>
      <c r="M402" s="2" t="str">
        <f>IFERROR(__xludf.DUMMYFUNCTION("""COMPUTED_VALUE"""),"Righa (Baglung)")</f>
        <v>Righa (Baglung)</v>
      </c>
    </row>
    <row r="403">
      <c r="A403" s="2">
        <f>IFERROR(__xludf.DUMMYFUNCTION("""COMPUTED_VALUE"""),402.0)</f>
        <v>402</v>
      </c>
      <c r="B403" s="2" t="str">
        <f>IFERROR(__xludf.DUMMYFUNCTION("""COMPUTED_VALUE"""),"Middla Iwa")</f>
        <v>Middla Iwa</v>
      </c>
      <c r="C403" s="2">
        <f>IFERROR(__xludf.DUMMYFUNCTION("""COMPUTED_VALUE"""),0.96)</f>
        <v>0.96</v>
      </c>
      <c r="D403" s="2" t="str">
        <f>IFERROR(__xludf.DUMMYFUNCTION("""COMPUTED_VALUE"""),"Iwa Khola")</f>
        <v>Iwa Khola</v>
      </c>
      <c r="E403" s="2"/>
      <c r="F403" s="3">
        <f>IFERROR(__xludf.DUMMYFUNCTION("""COMPUTED_VALUE"""),60243.0)</f>
        <v>60243</v>
      </c>
      <c r="G403" s="2" t="str">
        <f>IFERROR(__xludf.DUMMYFUNCTION("""COMPUTED_VALUE"""),"Gokul Shrestha")</f>
        <v>Gokul Shrestha</v>
      </c>
      <c r="H403" s="2"/>
      <c r="I403" s="2" t="str">
        <f>IFERROR(__xludf.DUMMYFUNCTION("""COMPUTED_VALUE"""),"27o 16' 33""")</f>
        <v>27o 16' 33"</v>
      </c>
      <c r="J403" s="2" t="str">
        <f>IFERROR(__xludf.DUMMYFUNCTION("""COMPUTED_VALUE"""),"27o 20' 00""")</f>
        <v>27o 20' 00"</v>
      </c>
      <c r="K403" s="2" t="str">
        <f>IFERROR(__xludf.DUMMYFUNCTION("""COMPUTED_VALUE"""),"87o 15' 00""")</f>
        <v>87o 15' 00"</v>
      </c>
      <c r="L403" s="2" t="str">
        <f>IFERROR(__xludf.DUMMYFUNCTION("""COMPUTED_VALUE"""),"87o 20' 20""")</f>
        <v>87o 20' 20"</v>
      </c>
      <c r="M403" s="2" t="str">
        <f>IFERROR(__xludf.DUMMYFUNCTION("""COMPUTED_VALUE"""),"(Taplejung)")</f>
        <v>(Taplejung)</v>
      </c>
    </row>
    <row r="404">
      <c r="A404" s="2">
        <f>IFERROR(__xludf.DUMMYFUNCTION("""COMPUTED_VALUE"""),403.0)</f>
        <v>403</v>
      </c>
      <c r="B404" s="2" t="str">
        <f>IFERROR(__xludf.DUMMYFUNCTION("""COMPUTED_VALUE"""),"Khani Khola")</f>
        <v>Khani Khola</v>
      </c>
      <c r="C404" s="2">
        <f>IFERROR(__xludf.DUMMYFUNCTION("""COMPUTED_VALUE"""),0.99)</f>
        <v>0.99</v>
      </c>
      <c r="D404" s="2" t="str">
        <f>IFERROR(__xludf.DUMMYFUNCTION("""COMPUTED_VALUE"""),"Khani Khola")</f>
        <v>Khani Khola</v>
      </c>
      <c r="E404" s="2"/>
      <c r="F404" s="3">
        <f>IFERROR(__xludf.DUMMYFUNCTION("""COMPUTED_VALUE"""),60243.0)</f>
        <v>60243</v>
      </c>
      <c r="G404" s="2" t="str">
        <f>IFERROR(__xludf.DUMMYFUNCTION("""COMPUTED_VALUE"""),"Ramesh Jung Shah")</f>
        <v>Ramesh Jung Shah</v>
      </c>
      <c r="H404" s="2"/>
      <c r="I404" s="2" t="str">
        <f>IFERROR(__xludf.DUMMYFUNCTION("""COMPUTED_VALUE"""),"27o 27' 42""")</f>
        <v>27o 27' 42"</v>
      </c>
      <c r="J404" s="2" t="str">
        <f>IFERROR(__xludf.DUMMYFUNCTION("""COMPUTED_VALUE"""),"27o 28' 38""")</f>
        <v>27o 28' 38"</v>
      </c>
      <c r="K404" s="2" t="str">
        <f>IFERROR(__xludf.DUMMYFUNCTION("""COMPUTED_VALUE"""),"85o 15' 31""")</f>
        <v>85o 15' 31"</v>
      </c>
      <c r="L404" s="2" t="str">
        <f>IFERROR(__xludf.DUMMYFUNCTION("""COMPUTED_VALUE"""),"85o 16' 32""")</f>
        <v>85o 16' 32"</v>
      </c>
      <c r="M404" s="2" t="str">
        <f>IFERROR(__xludf.DUMMYFUNCTION("""COMPUTED_VALUE"""),"(Lalitpur)")</f>
        <v>(Lalitpur)</v>
      </c>
    </row>
    <row r="405">
      <c r="A405" s="2">
        <f>IFERROR(__xludf.DUMMYFUNCTION("""COMPUTED_VALUE"""),404.0)</f>
        <v>404</v>
      </c>
      <c r="B405" s="2" t="str">
        <f>IFERROR(__xludf.DUMMYFUNCTION("""COMPUTED_VALUE"""),"Tawa Khola")</f>
        <v>Tawa Khola</v>
      </c>
      <c r="C405" s="2">
        <f>IFERROR(__xludf.DUMMYFUNCTION("""COMPUTED_VALUE"""),0.96)</f>
        <v>0.96</v>
      </c>
      <c r="D405" s="2" t="str">
        <f>IFERROR(__xludf.DUMMYFUNCTION("""COMPUTED_VALUE"""),"Tawa Khola")</f>
        <v>Tawa Khola</v>
      </c>
      <c r="E405" s="2"/>
      <c r="F405" s="3">
        <f>IFERROR(__xludf.DUMMYFUNCTION("""COMPUTED_VALUE"""),60243.0)</f>
        <v>60243</v>
      </c>
      <c r="G405" s="2" t="str">
        <f>IFERROR(__xludf.DUMMYFUNCTION("""COMPUTED_VALUE"""),"Ijan Kumar Baral")</f>
        <v>Ijan Kumar Baral</v>
      </c>
      <c r="H405" s="2"/>
      <c r="I405" s="2" t="str">
        <f>IFERROR(__xludf.DUMMYFUNCTION("""COMPUTED_VALUE"""),"27o 21' 23""")</f>
        <v>27o 21' 23"</v>
      </c>
      <c r="J405" s="2" t="str">
        <f>IFERROR(__xludf.DUMMYFUNCTION("""COMPUTED_VALUE"""),"27o 25' 00""")</f>
        <v>27o 25' 00"</v>
      </c>
      <c r="K405" s="2" t="str">
        <f>IFERROR(__xludf.DUMMYFUNCTION("""COMPUTED_VALUE"""),"87o 51' 33""")</f>
        <v>87o 51' 33"</v>
      </c>
      <c r="L405" s="2" t="str">
        <f>IFERROR(__xludf.DUMMYFUNCTION("""COMPUTED_VALUE"""),"87o 55' 48""")</f>
        <v>87o 55' 48"</v>
      </c>
      <c r="M405" s="2" t="str">
        <f>IFERROR(__xludf.DUMMYFUNCTION("""COMPUTED_VALUE"""),"(Taplejung)")</f>
        <v>(Taplejung)</v>
      </c>
    </row>
    <row r="406">
      <c r="A406" s="2">
        <f>IFERROR(__xludf.DUMMYFUNCTION("""COMPUTED_VALUE"""),405.0)</f>
        <v>405</v>
      </c>
      <c r="B406" s="2" t="str">
        <f>IFERROR(__xludf.DUMMYFUNCTION("""COMPUTED_VALUE"""),"Super Khare Khola")</f>
        <v>Super Khare Khola</v>
      </c>
      <c r="C406" s="2">
        <f>IFERROR(__xludf.DUMMYFUNCTION("""COMPUTED_VALUE"""),0.995)</f>
        <v>0.995</v>
      </c>
      <c r="D406" s="2" t="str">
        <f>IFERROR(__xludf.DUMMYFUNCTION("""COMPUTED_VALUE"""),"Khare")</f>
        <v>Khare</v>
      </c>
      <c r="E406" s="2"/>
      <c r="F406" s="3">
        <f>IFERROR(__xludf.DUMMYFUNCTION("""COMPUTED_VALUE"""),60248.0)</f>
        <v>60248</v>
      </c>
      <c r="G406" s="2" t="str">
        <f>IFERROR(__xludf.DUMMYFUNCTION("""COMPUTED_VALUE"""),"Majindra Lama")</f>
        <v>Majindra Lama</v>
      </c>
      <c r="H406" s="2"/>
      <c r="I406" s="2" t="str">
        <f>IFERROR(__xludf.DUMMYFUNCTION("""COMPUTED_VALUE"""),"27o 46' 05""")</f>
        <v>27o 46' 05"</v>
      </c>
      <c r="J406" s="2" t="str">
        <f>IFERROR(__xludf.DUMMYFUNCTION("""COMPUTED_VALUE"""),"27o 49' 50""")</f>
        <v>27o 49' 50"</v>
      </c>
      <c r="K406" s="2" t="str">
        <f>IFERROR(__xludf.DUMMYFUNCTION("""COMPUTED_VALUE"""),"86o 17' 00""")</f>
        <v>86o 17' 00"</v>
      </c>
      <c r="L406" s="2" t="str">
        <f>IFERROR(__xludf.DUMMYFUNCTION("""COMPUTED_VALUE"""),"86o 21' 00""")</f>
        <v>86o 21' 00"</v>
      </c>
      <c r="M406" s="2" t="str">
        <f>IFERROR(__xludf.DUMMYFUNCTION("""COMPUTED_VALUE"""),"(Dolakha)")</f>
        <v>(Dolakha)</v>
      </c>
    </row>
    <row r="407">
      <c r="A407" s="2">
        <f>IFERROR(__xludf.DUMMYFUNCTION("""COMPUTED_VALUE"""),406.0)</f>
        <v>406</v>
      </c>
      <c r="B407" s="2" t="str">
        <f>IFERROR(__xludf.DUMMYFUNCTION("""COMPUTED_VALUE"""),"Chaurigad")</f>
        <v>Chaurigad</v>
      </c>
      <c r="C407" s="2">
        <f>IFERROR(__xludf.DUMMYFUNCTION("""COMPUTED_VALUE"""),0.96)</f>
        <v>0.96</v>
      </c>
      <c r="D407" s="2" t="str">
        <f>IFERROR(__xludf.DUMMYFUNCTION("""COMPUTED_VALUE"""),"Chaurigad")</f>
        <v>Chaurigad</v>
      </c>
      <c r="E407" s="2"/>
      <c r="F407" s="3">
        <f>IFERROR(__xludf.DUMMYFUNCTION("""COMPUTED_VALUE"""),60249.0)</f>
        <v>60249</v>
      </c>
      <c r="G407" s="2" t="str">
        <f>IFERROR(__xludf.DUMMYFUNCTION("""COMPUTED_VALUE"""),"Ramesh Joshi, Prakash Saud,Hitesh Kapadi,Shyam Bhandari")</f>
        <v>Ramesh Joshi, Prakash Saud,Hitesh Kapadi,Shyam Bhandari</v>
      </c>
      <c r="H407" s="2"/>
      <c r="I407" s="2" t="str">
        <f>IFERROR(__xludf.DUMMYFUNCTION("""COMPUTED_VALUE"""),"29o 18' 31""")</f>
        <v>29o 18' 31"</v>
      </c>
      <c r="J407" s="2" t="str">
        <f>IFERROR(__xludf.DUMMYFUNCTION("""COMPUTED_VALUE"""),"29o 19' 11""")</f>
        <v>29o 19' 11"</v>
      </c>
      <c r="K407" s="2" t="str">
        <f>IFERROR(__xludf.DUMMYFUNCTION("""COMPUTED_VALUE"""),"80o 29' 10""")</f>
        <v>80o 29' 10"</v>
      </c>
      <c r="L407" s="2" t="str">
        <f>IFERROR(__xludf.DUMMYFUNCTION("""COMPUTED_VALUE"""),"80o 30' 58""")</f>
        <v>80o 30' 58"</v>
      </c>
      <c r="M407" s="2" t="str">
        <f>IFERROR(__xludf.DUMMYFUNCTION("""COMPUTED_VALUE"""),"(Dadeldhura)")</f>
        <v>(Dadeldhura)</v>
      </c>
    </row>
    <row r="408">
      <c r="A408" s="2">
        <f>IFERROR(__xludf.DUMMYFUNCTION("""COMPUTED_VALUE"""),407.0)</f>
        <v>407</v>
      </c>
      <c r="B408" s="2" t="str">
        <f>IFERROR(__xludf.DUMMYFUNCTION("""COMPUTED_VALUE"""),"Chakhel Khola")</f>
        <v>Chakhel Khola</v>
      </c>
      <c r="C408" s="2">
        <f>IFERROR(__xludf.DUMMYFUNCTION("""COMPUTED_VALUE"""),0.5)</f>
        <v>0.5</v>
      </c>
      <c r="D408" s="2" t="str">
        <f>IFERROR(__xludf.DUMMYFUNCTION("""COMPUTED_VALUE"""),"Chakhel")</f>
        <v>Chakhel</v>
      </c>
      <c r="E408" s="2"/>
      <c r="F408" s="3">
        <f>IFERROR(__xludf.DUMMYFUNCTION("""COMPUTED_VALUE"""),60249.0)</f>
        <v>60249</v>
      </c>
      <c r="G408" s="2" t="str">
        <f>IFERROR(__xludf.DUMMYFUNCTION("""COMPUTED_VALUE"""),"Champa Kumari baruwal")</f>
        <v>Champa Kumari baruwal</v>
      </c>
      <c r="H408" s="2"/>
      <c r="I408" s="2" t="str">
        <f>IFERROR(__xludf.DUMMYFUNCTION("""COMPUTED_VALUE"""),"27o 34' 00""")</f>
        <v>27o 34' 00"</v>
      </c>
      <c r="J408" s="2" t="str">
        <f>IFERROR(__xludf.DUMMYFUNCTION("""COMPUTED_VALUE"""),"27o 37' 00""")</f>
        <v>27o 37' 00"</v>
      </c>
      <c r="K408" s="2" t="str">
        <f>IFERROR(__xludf.DUMMYFUNCTION("""COMPUTED_VALUE"""),"85o 10' 00""")</f>
        <v>85o 10' 00"</v>
      </c>
      <c r="L408" s="2" t="str">
        <f>IFERROR(__xludf.DUMMYFUNCTION("""COMPUTED_VALUE"""),"85o 10' 12""")</f>
        <v>85o 10' 12"</v>
      </c>
      <c r="M408" s="2" t="str">
        <f>IFERROR(__xludf.DUMMYFUNCTION("""COMPUTED_VALUE"""),"(Makawanpur)")</f>
        <v>(Makawanpur)</v>
      </c>
    </row>
    <row r="409">
      <c r="A409" s="2">
        <f>IFERROR(__xludf.DUMMYFUNCTION("""COMPUTED_VALUE"""),408.0)</f>
        <v>408</v>
      </c>
      <c r="B409" s="2" t="str">
        <f>IFERROR(__xludf.DUMMYFUNCTION("""COMPUTED_VALUE"""),"Gasali Khola")</f>
        <v>Gasali Khola</v>
      </c>
      <c r="C409" s="2">
        <f>IFERROR(__xludf.DUMMYFUNCTION("""COMPUTED_VALUE"""),1.0)</f>
        <v>1</v>
      </c>
      <c r="D409" s="2" t="str">
        <f>IFERROR(__xludf.DUMMYFUNCTION("""COMPUTED_VALUE"""),"Gasali")</f>
        <v>Gasali</v>
      </c>
      <c r="E409" s="2"/>
      <c r="F409" s="3">
        <f>IFERROR(__xludf.DUMMYFUNCTION("""COMPUTED_VALUE"""),60250.0)</f>
        <v>60250</v>
      </c>
      <c r="G409" s="2" t="str">
        <f>IFERROR(__xludf.DUMMYFUNCTION("""COMPUTED_VALUE"""),"Kumari Lama")</f>
        <v>Kumari Lama</v>
      </c>
      <c r="H409" s="2"/>
      <c r="I409" s="2" t="str">
        <f>IFERROR(__xludf.DUMMYFUNCTION("""COMPUTED_VALUE"""),"28o 04' 44""")</f>
        <v>28o 04' 44"</v>
      </c>
      <c r="J409" s="2" t="str">
        <f>IFERROR(__xludf.DUMMYFUNCTION("""COMPUTED_VALUE"""),"28o 05' 36""")</f>
        <v>28o 05' 36"</v>
      </c>
      <c r="K409" s="2" t="str">
        <f>IFERROR(__xludf.DUMMYFUNCTION("""COMPUTED_VALUE"""),"84o 59' 50""")</f>
        <v>84o 59' 50"</v>
      </c>
      <c r="L409" s="2" t="str">
        <f>IFERROR(__xludf.DUMMYFUNCTION("""COMPUTED_VALUE"""),"85o 01' 41""")</f>
        <v>85o 01' 41"</v>
      </c>
      <c r="M409" s="2" t="str">
        <f>IFERROR(__xludf.DUMMYFUNCTION("""COMPUTED_VALUE"""),"(Dhading)")</f>
        <v>(Dhading)</v>
      </c>
    </row>
    <row r="410">
      <c r="A410" s="2">
        <f>IFERROR(__xludf.DUMMYFUNCTION("""COMPUTED_VALUE"""),409.0)</f>
        <v>409</v>
      </c>
      <c r="B410" s="2" t="str">
        <f>IFERROR(__xludf.DUMMYFUNCTION("""COMPUTED_VALUE"""),"Tiplung Khola")</f>
        <v>Tiplung Khola</v>
      </c>
      <c r="C410" s="2">
        <f>IFERROR(__xludf.DUMMYFUNCTION("""COMPUTED_VALUE"""),0.99)</f>
        <v>0.99</v>
      </c>
      <c r="D410" s="2" t="str">
        <f>IFERROR(__xludf.DUMMYFUNCTION("""COMPUTED_VALUE"""),"Tiplung Khola")</f>
        <v>Tiplung Khola</v>
      </c>
      <c r="E410" s="2"/>
      <c r="F410" s="3">
        <f>IFERROR(__xludf.DUMMYFUNCTION("""COMPUTED_VALUE"""),60250.0)</f>
        <v>60250</v>
      </c>
      <c r="G410" s="2" t="str">
        <f>IFERROR(__xludf.DUMMYFUNCTION("""COMPUTED_VALUE"""),"Rajkumar Khadka")</f>
        <v>Rajkumar Khadka</v>
      </c>
      <c r="H410" s="2"/>
      <c r="I410" s="2" t="str">
        <f>IFERROR(__xludf.DUMMYFUNCTION("""COMPUTED_VALUE"""),"27o 26' 26""")</f>
        <v>27o 26' 26"</v>
      </c>
      <c r="J410" s="2" t="str">
        <f>IFERROR(__xludf.DUMMYFUNCTION("""COMPUTED_VALUE"""),"27o 26' 57""")</f>
        <v>27o 26' 57"</v>
      </c>
      <c r="K410" s="2" t="str">
        <f>IFERROR(__xludf.DUMMYFUNCTION("""COMPUTED_VALUE"""),"87o 06' 17""")</f>
        <v>87o 06' 17"</v>
      </c>
      <c r="L410" s="2" t="str">
        <f>IFERROR(__xludf.DUMMYFUNCTION("""COMPUTED_VALUE"""),"87o 07' 30""")</f>
        <v>87o 07' 30"</v>
      </c>
      <c r="M410" s="2" t="str">
        <f>IFERROR(__xludf.DUMMYFUNCTION("""COMPUTED_VALUE"""),"(Ramechhap)")</f>
        <v>(Ramechhap)</v>
      </c>
    </row>
    <row r="411">
      <c r="A411" s="2">
        <f>IFERROR(__xludf.DUMMYFUNCTION("""COMPUTED_VALUE"""),410.0)</f>
        <v>410</v>
      </c>
      <c r="B411" s="2" t="str">
        <f>IFERROR(__xludf.DUMMYFUNCTION("""COMPUTED_VALUE"""),"Gonger Khola")</f>
        <v>Gonger Khola</v>
      </c>
      <c r="C411" s="2">
        <f>IFERROR(__xludf.DUMMYFUNCTION("""COMPUTED_VALUE"""),0.55)</f>
        <v>0.55</v>
      </c>
      <c r="D411" s="2" t="str">
        <f>IFERROR(__xludf.DUMMYFUNCTION("""COMPUTED_VALUE"""),"Gongar")</f>
        <v>Gongar</v>
      </c>
      <c r="E411" s="2"/>
      <c r="F411" s="3">
        <f>IFERROR(__xludf.DUMMYFUNCTION("""COMPUTED_VALUE"""),60251.0)</f>
        <v>60251</v>
      </c>
      <c r="G411" s="2" t="str">
        <f>IFERROR(__xludf.DUMMYFUNCTION("""COMPUTED_VALUE"""),"Reasearch and Development Group/Sunil Thapa")</f>
        <v>Reasearch and Development Group/Sunil Thapa</v>
      </c>
      <c r="H411" s="2"/>
      <c r="I411" s="2" t="str">
        <f>IFERROR(__xludf.DUMMYFUNCTION("""COMPUTED_VALUE"""),"27o 50' 00""")</f>
        <v>27o 50' 00"</v>
      </c>
      <c r="J411" s="2" t="str">
        <f>IFERROR(__xludf.DUMMYFUNCTION("""COMPUTED_VALUE"""),"27o 51' 17""")</f>
        <v>27o 51' 17"</v>
      </c>
      <c r="K411" s="2" t="str">
        <f>IFERROR(__xludf.DUMMYFUNCTION("""COMPUTED_VALUE"""),"86o 11' 30""")</f>
        <v>86o 11' 30"</v>
      </c>
      <c r="L411" s="2" t="str">
        <f>IFERROR(__xludf.DUMMYFUNCTION("""COMPUTED_VALUE"""),"86o 12' 45""")</f>
        <v>86o 12' 45"</v>
      </c>
      <c r="M411" s="2" t="str">
        <f>IFERROR(__xludf.DUMMYFUNCTION("""COMPUTED_VALUE"""),"(Dolakha)")</f>
        <v>(Dolakha)</v>
      </c>
    </row>
    <row r="412">
      <c r="A412" s="2">
        <f>IFERROR(__xludf.DUMMYFUNCTION("""COMPUTED_VALUE"""),411.0)</f>
        <v>411</v>
      </c>
      <c r="B412" s="2" t="str">
        <f>IFERROR(__xludf.DUMMYFUNCTION("""COMPUTED_VALUE"""),"Bhalu Khola")</f>
        <v>Bhalu Khola</v>
      </c>
      <c r="C412" s="2">
        <f>IFERROR(__xludf.DUMMYFUNCTION("""COMPUTED_VALUE"""),3.56)</f>
        <v>3.56</v>
      </c>
      <c r="D412" s="2" t="str">
        <f>IFERROR(__xludf.DUMMYFUNCTION("""COMPUTED_VALUE"""),"Bhalu")</f>
        <v>Bhalu</v>
      </c>
      <c r="E412" s="2">
        <f>IFERROR(__xludf.DUMMYFUNCTION("""COMPUTED_VALUE"""),2564.0)</f>
        <v>2564</v>
      </c>
      <c r="F412" s="3">
        <f>IFERROR(__xludf.DUMMYFUNCTION("""COMPUTED_VALUE"""),60251.0)</f>
        <v>60251</v>
      </c>
      <c r="G412" s="2" t="str">
        <f>IFERROR(__xludf.DUMMYFUNCTION("""COMPUTED_VALUE"""),"Nepal Top Hydro Pvt Ltd")</f>
        <v>Nepal Top Hydro Pvt Ltd</v>
      </c>
      <c r="H412" s="2" t="str">
        <f>IFERROR(__xludf.DUMMYFUNCTION("""COMPUTED_VALUE"""),"New Road Kathmandu Tel 9841396135")</f>
        <v>New Road Kathmandu Tel 9841396135</v>
      </c>
      <c r="I412" s="2" t="str">
        <f>IFERROR(__xludf.DUMMYFUNCTION("""COMPUTED_VALUE"""),"28o 20' 15""")</f>
        <v>28o 20' 15"</v>
      </c>
      <c r="J412" s="2" t="str">
        <f>IFERROR(__xludf.DUMMYFUNCTION("""COMPUTED_VALUE"""),"28o 21' 33""")</f>
        <v>28o 21' 33"</v>
      </c>
      <c r="K412" s="2" t="str">
        <f>IFERROR(__xludf.DUMMYFUNCTION("""COMPUTED_VALUE"""),"84o 52' 00""")</f>
        <v>84o 52' 00"</v>
      </c>
      <c r="L412" s="2" t="str">
        <f>IFERROR(__xludf.DUMMYFUNCTION("""COMPUTED_VALUE"""),"84o 54' 05""")</f>
        <v>84o 54' 05"</v>
      </c>
      <c r="M412" s="2" t="str">
        <f>IFERROR(__xludf.DUMMYFUNCTION("""COMPUTED_VALUE"""),"Sirdibas (Gorkha)")</f>
        <v>Sirdibas (Gorkha)</v>
      </c>
    </row>
    <row r="413">
      <c r="A413" s="2">
        <f>IFERROR(__xludf.DUMMYFUNCTION("""COMPUTED_VALUE"""),412.0)</f>
        <v>412</v>
      </c>
      <c r="B413" s="2" t="str">
        <f>IFERROR(__xludf.DUMMYFUNCTION("""COMPUTED_VALUE"""),"Yaru Khola")</f>
        <v>Yaru Khola</v>
      </c>
      <c r="C413" s="2">
        <f>IFERROR(__xludf.DUMMYFUNCTION("""COMPUTED_VALUE"""),6.0)</f>
        <v>6</v>
      </c>
      <c r="D413" s="2" t="str">
        <f>IFERROR(__xludf.DUMMYFUNCTION("""COMPUTED_VALUE"""),"Yaru")</f>
        <v>Yaru</v>
      </c>
      <c r="E413" s="2">
        <f>IFERROR(__xludf.DUMMYFUNCTION("""COMPUTED_VALUE"""),2568.0)</f>
        <v>2568</v>
      </c>
      <c r="F413" s="3">
        <f>IFERROR(__xludf.DUMMYFUNCTION("""COMPUTED_VALUE"""),60251.0)</f>
        <v>60251</v>
      </c>
      <c r="G413" s="2" t="str">
        <f>IFERROR(__xludf.DUMMYFUNCTION("""COMPUTED_VALUE"""),"Research and Devlopment Group")</f>
        <v>Research and Devlopment Group</v>
      </c>
      <c r="H413" s="2" t="str">
        <f>IFERROR(__xludf.DUMMYFUNCTION("""COMPUTED_VALUE"""),"P.O.Box 10910, Kathmandu Phone 01-4784759")</f>
        <v>P.O.Box 10910, Kathmandu Phone 01-4784759</v>
      </c>
      <c r="I413" s="2" t="str">
        <f>IFERROR(__xludf.DUMMYFUNCTION("""COMPUTED_VALUE"""),"28o 19' 23""")</f>
        <v>28o 19' 23"</v>
      </c>
      <c r="J413" s="2" t="str">
        <f>IFERROR(__xludf.DUMMYFUNCTION("""COMPUTED_VALUE"""),"28o 20' 28""")</f>
        <v>28o 20' 28"</v>
      </c>
      <c r="K413" s="2" t="str">
        <f>IFERROR(__xludf.DUMMYFUNCTION("""COMPUTED_VALUE"""),"84o 24' 27""")</f>
        <v>84o 24' 27"</v>
      </c>
      <c r="L413" s="2" t="str">
        <f>IFERROR(__xludf.DUMMYFUNCTION("""COMPUTED_VALUE"""),"84o 56' 18""")</f>
        <v>84o 56' 18"</v>
      </c>
      <c r="M413" s="2" t="str">
        <f>IFERROR(__xludf.DUMMYFUNCTION("""COMPUTED_VALUE"""),"Kerauja (Gorkha)")</f>
        <v>Kerauja (Gorkha)</v>
      </c>
    </row>
    <row r="414">
      <c r="A414" s="2">
        <f>IFERROR(__xludf.DUMMYFUNCTION("""COMPUTED_VALUE"""),413.0)</f>
        <v>413</v>
      </c>
      <c r="B414" s="2" t="str">
        <f>IFERROR(__xludf.DUMMYFUNCTION("""COMPUTED_VALUE"""),"Lower Chameliya Gad")</f>
        <v>Lower Chameliya Gad</v>
      </c>
      <c r="C414" s="2">
        <f>IFERROR(__xludf.DUMMYFUNCTION("""COMPUTED_VALUE"""),10.0)</f>
        <v>10</v>
      </c>
      <c r="D414" s="2" t="str">
        <f>IFERROR(__xludf.DUMMYFUNCTION("""COMPUTED_VALUE"""),"Chameliya Khola")</f>
        <v>Chameliya Khola</v>
      </c>
      <c r="E414" s="2"/>
      <c r="F414" s="3">
        <f>IFERROR(__xludf.DUMMYFUNCTION("""COMPUTED_VALUE"""),60253.0)</f>
        <v>60253</v>
      </c>
      <c r="G414" s="2" t="str">
        <f>IFERROR(__xludf.DUMMYFUNCTION("""COMPUTED_VALUE"""),"Guru P Neupane")</f>
        <v>Guru P Neupane</v>
      </c>
      <c r="H414" s="2"/>
      <c r="I414" s="2" t="str">
        <f>IFERROR(__xludf.DUMMYFUNCTION("""COMPUTED_VALUE"""),"28o 40' 41""")</f>
        <v>28o 40' 41"</v>
      </c>
      <c r="J414" s="2" t="str">
        <f>IFERROR(__xludf.DUMMYFUNCTION("""COMPUTED_VALUE"""),"28o 41' 49""")</f>
        <v>28o 41' 49"</v>
      </c>
      <c r="K414" s="2" t="str">
        <f>IFERROR(__xludf.DUMMYFUNCTION("""COMPUTED_VALUE"""),"80o 36' 31""")</f>
        <v>80o 36' 31"</v>
      </c>
      <c r="L414" s="2" t="str">
        <f>IFERROR(__xludf.DUMMYFUNCTION("""COMPUTED_VALUE"""),"80o 37' 59""")</f>
        <v>80o 37' 59"</v>
      </c>
      <c r="M414" s="2" t="str">
        <f>IFERROR(__xludf.DUMMYFUNCTION("""COMPUTED_VALUE"""),"(Darchula)")</f>
        <v>(Darchula)</v>
      </c>
    </row>
    <row r="415">
      <c r="A415" s="2">
        <f>IFERROR(__xludf.DUMMYFUNCTION("""COMPUTED_VALUE"""),414.0)</f>
        <v>414</v>
      </c>
      <c r="B415" s="2" t="str">
        <f>IFERROR(__xludf.DUMMYFUNCTION("""COMPUTED_VALUE"""),"Kulasaingad")</f>
        <v>Kulasaingad</v>
      </c>
      <c r="C415" s="2">
        <f>IFERROR(__xludf.DUMMYFUNCTION("""COMPUTED_VALUE"""),0.98)</f>
        <v>0.98</v>
      </c>
      <c r="D415" s="2" t="str">
        <f>IFERROR(__xludf.DUMMYFUNCTION("""COMPUTED_VALUE"""),"Kulasaingad")</f>
        <v>Kulasaingad</v>
      </c>
      <c r="E415" s="2"/>
      <c r="F415" s="3">
        <f>IFERROR(__xludf.DUMMYFUNCTION("""COMPUTED_VALUE"""),60253.0)</f>
        <v>60253</v>
      </c>
      <c r="G415" s="2" t="str">
        <f>IFERROR(__xludf.DUMMYFUNCTION("""COMPUTED_VALUE"""),"Chet Prasad Baral")</f>
        <v>Chet Prasad Baral</v>
      </c>
      <c r="H415" s="2"/>
      <c r="I415" s="2" t="str">
        <f>IFERROR(__xludf.DUMMYFUNCTION("""COMPUTED_VALUE"""),"29o 16' 57""")</f>
        <v>29o 16' 57"</v>
      </c>
      <c r="J415" s="2" t="str">
        <f>IFERROR(__xludf.DUMMYFUNCTION("""COMPUTED_VALUE"""),"29o 17' 55""")</f>
        <v>29o 17' 55"</v>
      </c>
      <c r="K415" s="2" t="str">
        <f>IFERROR(__xludf.DUMMYFUNCTION("""COMPUTED_VALUE"""),"81o 02' 41""")</f>
        <v>81o 02' 41"</v>
      </c>
      <c r="L415" s="2" t="str">
        <f>IFERROR(__xludf.DUMMYFUNCTION("""COMPUTED_VALUE"""),"81o 03' 34""")</f>
        <v>81o 03' 34"</v>
      </c>
      <c r="M415" s="2" t="str">
        <f>IFERROR(__xludf.DUMMYFUNCTION("""COMPUTED_VALUE"""),"(Doti)")</f>
        <v>(Doti)</v>
      </c>
    </row>
    <row r="416">
      <c r="A416" s="2">
        <f>IFERROR(__xludf.DUMMYFUNCTION("""COMPUTED_VALUE"""),415.0)</f>
        <v>415</v>
      </c>
      <c r="B416" s="2" t="str">
        <f>IFERROR(__xludf.DUMMYFUNCTION("""COMPUTED_VALUE"""),"Gongar Khola")</f>
        <v>Gongar Khola</v>
      </c>
      <c r="C416" s="2">
        <f>IFERROR(__xludf.DUMMYFUNCTION("""COMPUTED_VALUE"""),0.99)</f>
        <v>0.99</v>
      </c>
      <c r="D416" s="2" t="str">
        <f>IFERROR(__xludf.DUMMYFUNCTION("""COMPUTED_VALUE"""),"Gongar")</f>
        <v>Gongar</v>
      </c>
      <c r="E416" s="2"/>
      <c r="F416" s="3">
        <f>IFERROR(__xludf.DUMMYFUNCTION("""COMPUTED_VALUE"""),60254.0)</f>
        <v>60254</v>
      </c>
      <c r="G416" s="2" t="str">
        <f>IFERROR(__xludf.DUMMYFUNCTION("""COMPUTED_VALUE"""),"Bhimeshowr Energy and Development Company P. Ltd")</f>
        <v>Bhimeshowr Energy and Development Company P. Ltd</v>
      </c>
      <c r="H416" s="2"/>
      <c r="I416" s="2" t="str">
        <f>IFERROR(__xludf.DUMMYFUNCTION("""COMPUTED_VALUE"""),"27o 50' 00""")</f>
        <v>27o 50' 00"</v>
      </c>
      <c r="J416" s="2" t="str">
        <f>IFERROR(__xludf.DUMMYFUNCTION("""COMPUTED_VALUE"""),"27o 51' 08""")</f>
        <v>27o 51' 08"</v>
      </c>
      <c r="K416" s="2" t="str">
        <f>IFERROR(__xludf.DUMMYFUNCTION("""COMPUTED_VALUE"""),"86o 11' 53""")</f>
        <v>86o 11' 53"</v>
      </c>
      <c r="L416" s="2" t="str">
        <f>IFERROR(__xludf.DUMMYFUNCTION("""COMPUTED_VALUE"""),"86o 13' 26""")</f>
        <v>86o 13' 26"</v>
      </c>
      <c r="M416" s="2" t="str">
        <f>IFERROR(__xludf.DUMMYFUNCTION("""COMPUTED_VALUE"""),"(Dolakha)")</f>
        <v>(Dolakha)</v>
      </c>
    </row>
    <row r="417">
      <c r="A417" s="2">
        <f>IFERROR(__xludf.DUMMYFUNCTION("""COMPUTED_VALUE"""),416.0)</f>
        <v>416</v>
      </c>
      <c r="B417" s="2" t="str">
        <f>IFERROR(__xludf.DUMMYFUNCTION("""COMPUTED_VALUE"""),"Tuwa Khola")</f>
        <v>Tuwa Khola</v>
      </c>
      <c r="C417" s="2">
        <f>IFERROR(__xludf.DUMMYFUNCTION("""COMPUTED_VALUE"""),0.85)</f>
        <v>0.85</v>
      </c>
      <c r="D417" s="2" t="str">
        <f>IFERROR(__xludf.DUMMYFUNCTION("""COMPUTED_VALUE"""),"Tuwa")</f>
        <v>Tuwa</v>
      </c>
      <c r="E417" s="2"/>
      <c r="F417" s="3">
        <f>IFERROR(__xludf.DUMMYFUNCTION("""COMPUTED_VALUE"""),60254.0)</f>
        <v>60254</v>
      </c>
      <c r="G417" s="2" t="str">
        <f>IFERROR(__xludf.DUMMYFUNCTION("""COMPUTED_VALUE"""),"Nabin Prakash Sharma")</f>
        <v>Nabin Prakash Sharma</v>
      </c>
      <c r="H417" s="2"/>
      <c r="I417" s="2" t="str">
        <f>IFERROR(__xludf.DUMMYFUNCTION("""COMPUTED_VALUE"""),"27o 02' 57""")</f>
        <v>27o 02' 57"</v>
      </c>
      <c r="J417" s="2" t="str">
        <f>IFERROR(__xludf.DUMMYFUNCTION("""COMPUTED_VALUE"""),"27o 03' 44""")</f>
        <v>27o 03' 44"</v>
      </c>
      <c r="K417" s="2" t="str">
        <f>IFERROR(__xludf.DUMMYFUNCTION("""COMPUTED_VALUE"""),"86o 46' 16""")</f>
        <v>86o 46' 16"</v>
      </c>
      <c r="L417" s="2" t="str">
        <f>IFERROR(__xludf.DUMMYFUNCTION("""COMPUTED_VALUE"""),"86o 47' 54""")</f>
        <v>86o 47' 54"</v>
      </c>
      <c r="M417" s="2" t="str">
        <f>IFERROR(__xludf.DUMMYFUNCTION("""COMPUTED_VALUE"""),"(Khotang)")</f>
        <v>(Khotang)</v>
      </c>
    </row>
    <row r="418">
      <c r="A418" s="2">
        <f>IFERROR(__xludf.DUMMYFUNCTION("""COMPUTED_VALUE"""),417.0)</f>
        <v>417</v>
      </c>
      <c r="B418" s="2" t="str">
        <f>IFERROR(__xludf.DUMMYFUNCTION("""COMPUTED_VALUE"""),"Daraundi Khola")</f>
        <v>Daraundi Khola</v>
      </c>
      <c r="C418" s="2">
        <f>IFERROR(__xludf.DUMMYFUNCTION("""COMPUTED_VALUE"""),1.0)</f>
        <v>1</v>
      </c>
      <c r="D418" s="2" t="str">
        <f>IFERROR(__xludf.DUMMYFUNCTION("""COMPUTED_VALUE"""),"Daraundi")</f>
        <v>Daraundi</v>
      </c>
      <c r="E418" s="2"/>
      <c r="F418" s="3">
        <f>IFERROR(__xludf.DUMMYFUNCTION("""COMPUTED_VALUE"""),60254.0)</f>
        <v>60254</v>
      </c>
      <c r="G418" s="2" t="str">
        <f>IFERROR(__xludf.DUMMYFUNCTION("""COMPUTED_VALUE"""),"Ramraman Bhaskar, Rijan Mainali")</f>
        <v>Ramraman Bhaskar, Rijan Mainali</v>
      </c>
      <c r="H418" s="2"/>
      <c r="I418" s="2" t="str">
        <f>IFERROR(__xludf.DUMMYFUNCTION("""COMPUTED_VALUE"""),"28o 13' 24""")</f>
        <v>28o 13' 24"</v>
      </c>
      <c r="J418" s="2" t="str">
        <f>IFERROR(__xludf.DUMMYFUNCTION("""COMPUTED_VALUE"""),"28o 15' 00""")</f>
        <v>28o 15' 00"</v>
      </c>
      <c r="K418" s="2" t="str">
        <f>IFERROR(__xludf.DUMMYFUNCTION("""COMPUTED_VALUE"""),"84o 43' 45""")</f>
        <v>84o 43' 45"</v>
      </c>
      <c r="L418" s="2" t="str">
        <f>IFERROR(__xludf.DUMMYFUNCTION("""COMPUTED_VALUE"""),"84o 44' 39""")</f>
        <v>84o 44' 39"</v>
      </c>
      <c r="M418" s="2" t="str">
        <f>IFERROR(__xludf.DUMMYFUNCTION("""COMPUTED_VALUE"""),"(Gorkha)")</f>
        <v>(Gorkha)</v>
      </c>
    </row>
    <row r="419">
      <c r="A419" s="2">
        <f>IFERROR(__xludf.DUMMYFUNCTION("""COMPUTED_VALUE"""),418.0)</f>
        <v>418</v>
      </c>
      <c r="B419" s="2" t="str">
        <f>IFERROR(__xludf.DUMMYFUNCTION("""COMPUTED_VALUE"""),"Likhu-3")</f>
        <v>Likhu-3</v>
      </c>
      <c r="C419" s="2">
        <f>IFERROR(__xludf.DUMMYFUNCTION("""COMPUTED_VALUE"""),31.0)</f>
        <v>31</v>
      </c>
      <c r="D419" s="2" t="str">
        <f>IFERROR(__xludf.DUMMYFUNCTION("""COMPUTED_VALUE"""),"Likhu Khola")</f>
        <v>Likhu Khola</v>
      </c>
      <c r="E419" s="2"/>
      <c r="F419" s="3">
        <f>IFERROR(__xludf.DUMMYFUNCTION("""COMPUTED_VALUE"""),60256.0)</f>
        <v>60256</v>
      </c>
      <c r="G419" s="2" t="str">
        <f>IFERROR(__xludf.DUMMYFUNCTION("""COMPUTED_VALUE"""),"Mount Everest Nepal Power Development Co. P Ltd")</f>
        <v>Mount Everest Nepal Power Development Co. P Ltd</v>
      </c>
      <c r="H419" s="2"/>
      <c r="I419" s="2" t="str">
        <f>IFERROR(__xludf.DUMMYFUNCTION("""COMPUTED_VALUE"""),"27o 22' 45""")</f>
        <v>27o 22' 45"</v>
      </c>
      <c r="J419" s="2" t="str">
        <f>IFERROR(__xludf.DUMMYFUNCTION("""COMPUTED_VALUE"""),"27o 25' 00""")</f>
        <v>27o 25' 00"</v>
      </c>
      <c r="K419" s="2" t="str">
        <f>IFERROR(__xludf.DUMMYFUNCTION("""COMPUTED_VALUE"""),"86o 13' 00""")</f>
        <v>86o 13' 00"</v>
      </c>
      <c r="L419" s="2" t="str">
        <f>IFERROR(__xludf.DUMMYFUNCTION("""COMPUTED_VALUE"""),"86o 15' 00""")</f>
        <v>86o 15' 00"</v>
      </c>
      <c r="M419" s="2" t="str">
        <f>IFERROR(__xludf.DUMMYFUNCTION("""COMPUTED_VALUE"""),"(Ramechhap)")</f>
        <v>(Ramechhap)</v>
      </c>
    </row>
    <row r="420">
      <c r="A420" s="2">
        <f>IFERROR(__xludf.DUMMYFUNCTION("""COMPUTED_VALUE"""),419.0)</f>
        <v>419</v>
      </c>
      <c r="B420" s="2" t="str">
        <f>IFERROR(__xludf.DUMMYFUNCTION("""COMPUTED_VALUE"""),"Tilpung Khola")</f>
        <v>Tilpung Khola</v>
      </c>
      <c r="C420" s="2">
        <f>IFERROR(__xludf.DUMMYFUNCTION("""COMPUTED_VALUE"""),0.99)</f>
        <v>0.99</v>
      </c>
      <c r="D420" s="2" t="str">
        <f>IFERROR(__xludf.DUMMYFUNCTION("""COMPUTED_VALUE"""),"Tilpung")</f>
        <v>Tilpung</v>
      </c>
      <c r="E420" s="2"/>
      <c r="F420" s="3">
        <f>IFERROR(__xludf.DUMMYFUNCTION("""COMPUTED_VALUE"""),60257.0)</f>
        <v>60257</v>
      </c>
      <c r="G420" s="2" t="str">
        <f>IFERROR(__xludf.DUMMYFUNCTION("""COMPUTED_VALUE"""),"Rajkumar Khadka")</f>
        <v>Rajkumar Khadka</v>
      </c>
      <c r="H420" s="2"/>
      <c r="I420" s="2" t="str">
        <f>IFERROR(__xludf.DUMMYFUNCTION("""COMPUTED_VALUE"""),"27o 26' 26""")</f>
        <v>27o 26' 26"</v>
      </c>
      <c r="J420" s="2" t="str">
        <f>IFERROR(__xludf.DUMMYFUNCTION("""COMPUTED_VALUE"""),"27o 26' 57""")</f>
        <v>27o 26' 57"</v>
      </c>
      <c r="K420" s="2" t="str">
        <f>IFERROR(__xludf.DUMMYFUNCTION("""COMPUTED_VALUE"""),"87o 06' 17""")</f>
        <v>87o 06' 17"</v>
      </c>
      <c r="L420" s="2" t="str">
        <f>IFERROR(__xludf.DUMMYFUNCTION("""COMPUTED_VALUE"""),"87o 07' 30""")</f>
        <v>87o 07' 30"</v>
      </c>
      <c r="M420" s="2" t="str">
        <f>IFERROR(__xludf.DUMMYFUNCTION("""COMPUTED_VALUE"""),"(Ramechhap)")</f>
        <v>(Ramechhap)</v>
      </c>
    </row>
    <row r="421">
      <c r="A421" s="2">
        <f>IFERROR(__xludf.DUMMYFUNCTION("""COMPUTED_VALUE"""),420.0)</f>
        <v>420</v>
      </c>
      <c r="B421" s="2" t="str">
        <f>IFERROR(__xludf.DUMMYFUNCTION("""COMPUTED_VALUE"""),"Dodhare Khola")</f>
        <v>Dodhare Khola</v>
      </c>
      <c r="C421" s="2">
        <f>IFERROR(__xludf.DUMMYFUNCTION("""COMPUTED_VALUE"""),0.98)</f>
        <v>0.98</v>
      </c>
      <c r="D421" s="2" t="str">
        <f>IFERROR(__xludf.DUMMYFUNCTION("""COMPUTED_VALUE"""),"Dodhare")</f>
        <v>Dodhare</v>
      </c>
      <c r="E421" s="2"/>
      <c r="F421" s="3">
        <f>IFERROR(__xludf.DUMMYFUNCTION("""COMPUTED_VALUE"""),60258.0)</f>
        <v>60258</v>
      </c>
      <c r="G421" s="2" t="str">
        <f>IFERROR(__xludf.DUMMYFUNCTION("""COMPUTED_VALUE"""),"Tara Sharma")</f>
        <v>Tara Sharma</v>
      </c>
      <c r="H421" s="2"/>
      <c r="I421" s="2" t="str">
        <f>IFERROR(__xludf.DUMMYFUNCTION("""COMPUTED_VALUE"""),"27o 33' 00""")</f>
        <v>27o 33' 00"</v>
      </c>
      <c r="J421" s="2" t="str">
        <f>IFERROR(__xludf.DUMMYFUNCTION("""COMPUTED_VALUE"""),"27o 34' 32""")</f>
        <v>27o 34' 32"</v>
      </c>
      <c r="K421" s="2" t="str">
        <f>IFERROR(__xludf.DUMMYFUNCTION("""COMPUTED_VALUE"""),"85o 12' 46""")</f>
        <v>85o 12' 46"</v>
      </c>
      <c r="L421" s="2" t="str">
        <f>IFERROR(__xludf.DUMMYFUNCTION("""COMPUTED_VALUE"""),"85o 13' 42""")</f>
        <v>85o 13' 42"</v>
      </c>
      <c r="M421" s="2" t="str">
        <f>IFERROR(__xludf.DUMMYFUNCTION("""COMPUTED_VALUE"""),"(Makawanpur)")</f>
        <v>(Makawanpur)</v>
      </c>
    </row>
    <row r="422">
      <c r="A422" s="2">
        <f>IFERROR(__xludf.DUMMYFUNCTION("""COMPUTED_VALUE"""),421.0)</f>
        <v>421</v>
      </c>
      <c r="B422" s="2" t="str">
        <f>IFERROR(__xludf.DUMMYFUNCTION("""COMPUTED_VALUE"""),"Chulepu Khola")</f>
        <v>Chulepu Khola</v>
      </c>
      <c r="C422" s="2">
        <f>IFERROR(__xludf.DUMMYFUNCTION("""COMPUTED_VALUE"""),0.95)</f>
        <v>0.95</v>
      </c>
      <c r="D422" s="2" t="str">
        <f>IFERROR(__xludf.DUMMYFUNCTION("""COMPUTED_VALUE"""),"ChulepuKhola")</f>
        <v>ChulepuKhola</v>
      </c>
      <c r="E422" s="2"/>
      <c r="F422" s="3">
        <f>IFERROR(__xludf.DUMMYFUNCTION("""COMPUTED_VALUE"""),60260.0)</f>
        <v>60260</v>
      </c>
      <c r="G422" s="2" t="str">
        <f>IFERROR(__xludf.DUMMYFUNCTION("""COMPUTED_VALUE"""),"Chandeswori Mahadev Khola HPC")</f>
        <v>Chandeswori Mahadev Khola HPC</v>
      </c>
      <c r="H422" s="2"/>
      <c r="I422" s="2" t="str">
        <f>IFERROR(__xludf.DUMMYFUNCTION("""COMPUTED_VALUE"""),"27o 28' 52""")</f>
        <v>27o 28' 52"</v>
      </c>
      <c r="J422" s="2" t="str">
        <f>IFERROR(__xludf.DUMMYFUNCTION("""COMPUTED_VALUE"""),"27o 30' 00""")</f>
        <v>27o 30' 00"</v>
      </c>
      <c r="K422" s="2" t="str">
        <f>IFERROR(__xludf.DUMMYFUNCTION("""COMPUTED_VALUE"""),"86o 16' 16""")</f>
        <v>86o 16' 16"</v>
      </c>
      <c r="L422" s="2" t="str">
        <f>IFERROR(__xludf.DUMMYFUNCTION("""COMPUTED_VALUE"""),"86o 18' 02""")</f>
        <v>86o 18' 02"</v>
      </c>
      <c r="M422" s="2" t="str">
        <f>IFERROR(__xludf.DUMMYFUNCTION("""COMPUTED_VALUE"""),"(Ramechhap)")</f>
        <v>(Ramechhap)</v>
      </c>
    </row>
    <row r="423">
      <c r="A423" s="2">
        <f>IFERROR(__xludf.DUMMYFUNCTION("""COMPUTED_VALUE"""),422.0)</f>
        <v>422</v>
      </c>
      <c r="B423" s="2" t="str">
        <f>IFERROR(__xludf.DUMMYFUNCTION("""COMPUTED_VALUE"""),"Upper Thoppal Khola")</f>
        <v>Upper Thoppal Khola</v>
      </c>
      <c r="C423" s="2">
        <f>IFERROR(__xludf.DUMMYFUNCTION("""COMPUTED_VALUE"""),0.811)</f>
        <v>0.811</v>
      </c>
      <c r="D423" s="2" t="str">
        <f>IFERROR(__xludf.DUMMYFUNCTION("""COMPUTED_VALUE"""),"Thoppal")</f>
        <v>Thoppal</v>
      </c>
      <c r="E423" s="2"/>
      <c r="F423" s="3">
        <f>IFERROR(__xludf.DUMMYFUNCTION("""COMPUTED_VALUE"""),60260.0)</f>
        <v>60260</v>
      </c>
      <c r="G423" s="2" t="str">
        <f>IFERROR(__xludf.DUMMYFUNCTION("""COMPUTED_VALUE"""),"Upper Thoppal Khola HPC")</f>
        <v>Upper Thoppal Khola HPC</v>
      </c>
      <c r="H423" s="2"/>
      <c r="I423" s="2" t="str">
        <f>IFERROR(__xludf.DUMMYFUNCTION("""COMPUTED_VALUE"""),"27o 54' 13""")</f>
        <v>27o 54' 13"</v>
      </c>
      <c r="J423" s="2" t="str">
        <f>IFERROR(__xludf.DUMMYFUNCTION("""COMPUTED_VALUE"""),"27o 56' 38""")</f>
        <v>27o 56' 38"</v>
      </c>
      <c r="K423" s="2" t="str">
        <f>IFERROR(__xludf.DUMMYFUNCTION("""COMPUTED_VALUE"""),"84o 53' 31""")</f>
        <v>84o 53' 31"</v>
      </c>
      <c r="L423" s="2" t="str">
        <f>IFERROR(__xludf.DUMMYFUNCTION("""COMPUTED_VALUE"""),"84o 57' 10""")</f>
        <v>84o 57' 10"</v>
      </c>
      <c r="M423" s="2" t="str">
        <f>IFERROR(__xludf.DUMMYFUNCTION("""COMPUTED_VALUE"""),"(Dhading)")</f>
        <v>(Dhading)</v>
      </c>
    </row>
    <row r="424">
      <c r="A424" s="2">
        <f>IFERROR(__xludf.DUMMYFUNCTION("""COMPUTED_VALUE"""),423.0)</f>
        <v>423</v>
      </c>
      <c r="B424" s="2" t="str">
        <f>IFERROR(__xludf.DUMMYFUNCTION("""COMPUTED_VALUE"""),"Budhi Gandaki (Laputhumi)")</f>
        <v>Budhi Gandaki (Laputhumi)</v>
      </c>
      <c r="C424" s="2">
        <f>IFERROR(__xludf.DUMMYFUNCTION("""COMPUTED_VALUE"""),145.0)</f>
        <v>145</v>
      </c>
      <c r="D424" s="2" t="str">
        <f>IFERROR(__xludf.DUMMYFUNCTION("""COMPUTED_VALUE"""),"Budhi Gandaki")</f>
        <v>Budhi Gandaki</v>
      </c>
      <c r="E424" s="2"/>
      <c r="F424" s="3">
        <f>IFERROR(__xludf.DUMMYFUNCTION("""COMPUTED_VALUE"""),60260.0)</f>
        <v>60260</v>
      </c>
      <c r="G424" s="2" t="str">
        <f>IFERROR(__xludf.DUMMYFUNCTION("""COMPUTED_VALUE"""),"CG Energy Infrastructure P Ltd")</f>
        <v>CG Energy Infrastructure P Ltd</v>
      </c>
      <c r="H424" s="2"/>
      <c r="I424" s="2" t="str">
        <f>IFERROR(__xludf.DUMMYFUNCTION("""COMPUTED_VALUE"""),"28o 06' 57""")</f>
        <v>28o 06' 57"</v>
      </c>
      <c r="J424" s="2" t="str">
        <f>IFERROR(__xludf.DUMMYFUNCTION("""COMPUTED_VALUE"""),"28o 11' 50""")</f>
        <v>28o 11' 50"</v>
      </c>
      <c r="K424" s="2" t="str">
        <f>IFERROR(__xludf.DUMMYFUNCTION("""COMPUTED_VALUE"""),"84o 53' 09""")</f>
        <v>84o 53' 09"</v>
      </c>
      <c r="L424" s="2" t="str">
        <f>IFERROR(__xludf.DUMMYFUNCTION("""COMPUTED_VALUE"""),"85o 50' 00""")</f>
        <v>85o 50' 00"</v>
      </c>
      <c r="M424" s="2" t="str">
        <f>IFERROR(__xludf.DUMMYFUNCTION("""COMPUTED_VALUE"""),"(Gorkha)")</f>
        <v>(Gorkha)</v>
      </c>
    </row>
    <row r="425">
      <c r="A425" s="2">
        <f>IFERROR(__xludf.DUMMYFUNCTION("""COMPUTED_VALUE"""),424.0)</f>
        <v>424</v>
      </c>
      <c r="B425" s="2" t="str">
        <f>IFERROR(__xludf.DUMMYFUNCTION("""COMPUTED_VALUE"""),"Jagadulla Khola-2")</f>
        <v>Jagadulla Khola-2</v>
      </c>
      <c r="C425" s="2">
        <f>IFERROR(__xludf.DUMMYFUNCTION("""COMPUTED_VALUE"""),35.84)</f>
        <v>35.84</v>
      </c>
      <c r="D425" s="2" t="str">
        <f>IFERROR(__xludf.DUMMYFUNCTION("""COMPUTED_VALUE"""),"Jagadulla")</f>
        <v>Jagadulla</v>
      </c>
      <c r="E425" s="2"/>
      <c r="F425" s="5">
        <f>IFERROR(__xludf.DUMMYFUNCTION("""COMPUTED_VALUE"""),60242.0)</f>
        <v>60242</v>
      </c>
      <c r="G425" s="2" t="str">
        <f>IFERROR(__xludf.DUMMYFUNCTION("""COMPUTED_VALUE"""),"Rara Trading Co P Ltd")</f>
        <v>Rara Trading Co P Ltd</v>
      </c>
      <c r="H425" s="2"/>
      <c r="I425" s="2" t="str">
        <f>IFERROR(__xludf.DUMMYFUNCTION("""COMPUTED_VALUE"""),"28o 58' 34""")</f>
        <v>28o 58' 34"</v>
      </c>
      <c r="J425" s="2" t="str">
        <f>IFERROR(__xludf.DUMMYFUNCTION("""COMPUTED_VALUE"""),"29o 03' 38""")</f>
        <v>29o 03' 38"</v>
      </c>
      <c r="K425" s="2" t="str">
        <f>IFERROR(__xludf.DUMMYFUNCTION("""COMPUTED_VALUE"""),"82o 31' 16""")</f>
        <v>82o 31' 16"</v>
      </c>
      <c r="L425" s="2" t="str">
        <f>IFERROR(__xludf.DUMMYFUNCTION("""COMPUTED_VALUE"""),"82o 35' 00""")</f>
        <v>82o 35' 00"</v>
      </c>
      <c r="M425" s="2" t="str">
        <f>IFERROR(__xludf.DUMMYFUNCTION("""COMPUTED_VALUE"""),"(Dolpa)")</f>
        <v>(Dolpa)</v>
      </c>
    </row>
    <row r="426">
      <c r="A426" s="2">
        <f>IFERROR(__xludf.DUMMYFUNCTION("""COMPUTED_VALUE"""),425.0)</f>
        <v>425</v>
      </c>
      <c r="B426" s="2" t="str">
        <f>IFERROR(__xludf.DUMMYFUNCTION("""COMPUTED_VALUE"""),"Gajuri Trishuli HPP")</f>
        <v>Gajuri Trishuli HPP</v>
      </c>
      <c r="C426" s="2">
        <f>IFERROR(__xludf.DUMMYFUNCTION("""COMPUTED_VALUE"""),45.0)</f>
        <v>45</v>
      </c>
      <c r="D426" s="2" t="str">
        <f>IFERROR(__xludf.DUMMYFUNCTION("""COMPUTED_VALUE"""),"Trishuli")</f>
        <v>Trishuli</v>
      </c>
      <c r="E426" s="2">
        <f>IFERROR(__xludf.DUMMYFUNCTION("""COMPUTED_VALUE"""),3057.0)</f>
        <v>3057</v>
      </c>
      <c r="F426" s="2" t="str">
        <f>IFERROR(__xludf.DUMMYFUNCTION("""COMPUTED_VALUE"""),"2065-00-11")</f>
        <v>2065-00-11</v>
      </c>
      <c r="G426" s="2" t="str">
        <f>IFERROR(__xludf.DUMMYFUNCTION("""COMPUTED_VALUE"""),"Kamdhenu Jalvidyut Pvt Ltd")</f>
        <v>Kamdhenu Jalvidyut Pvt Ltd</v>
      </c>
      <c r="H426" s="2" t="str">
        <f>IFERROR(__xludf.DUMMYFUNCTION("""COMPUTED_VALUE"""),"Kathmandu-10, Baneswar")</f>
        <v>Kathmandu-10, Baneswar</v>
      </c>
      <c r="I426" s="2" t="str">
        <f>IFERROR(__xludf.DUMMYFUNCTION("""COMPUTED_VALUE"""),"27o 47' 42""")</f>
        <v>27o 47' 42"</v>
      </c>
      <c r="J426" s="2" t="str">
        <f>IFERROR(__xludf.DUMMYFUNCTION("""COMPUTED_VALUE"""),"27o 49' 15""")</f>
        <v>27o 49' 15"</v>
      </c>
      <c r="K426" s="2" t="str">
        <f>IFERROR(__xludf.DUMMYFUNCTION("""COMPUTED_VALUE"""),"84o 52' 30""")</f>
        <v>84o 52' 30"</v>
      </c>
      <c r="L426" s="2" t="str">
        <f>IFERROR(__xludf.DUMMYFUNCTION("""COMPUTED_VALUE"""),"85o 00' 00""")</f>
        <v>85o 00' 00"</v>
      </c>
      <c r="M426" s="2" t="str">
        <f>IFERROR(__xludf.DUMMYFUNCTION("""COMPUTED_VALUE"""),"Baireni,Gajuri,Kalleri,Kumpur,Pida (Dhading)")</f>
        <v>Baireni,Gajuri,Kalleri,Kumpur,Pida (Dhading)</v>
      </c>
    </row>
    <row r="427">
      <c r="A427" s="2">
        <f>IFERROR(__xludf.DUMMYFUNCTION("""COMPUTED_VALUE"""),426.0)</f>
        <v>426</v>
      </c>
      <c r="B427" s="2" t="str">
        <f>IFERROR(__xludf.DUMMYFUNCTION("""COMPUTED_VALUE"""),"Sarada Khola")</f>
        <v>Sarada Khola</v>
      </c>
      <c r="C427" s="2">
        <f>IFERROR(__xludf.DUMMYFUNCTION("""COMPUTED_VALUE"""),4.4)</f>
        <v>4.4</v>
      </c>
      <c r="D427" s="2" t="str">
        <f>IFERROR(__xludf.DUMMYFUNCTION("""COMPUTED_VALUE"""),"Sharada")</f>
        <v>Sharada</v>
      </c>
      <c r="E427" s="2">
        <f>IFERROR(__xludf.DUMMYFUNCTION("""COMPUTED_VALUE"""),2675.0)</f>
        <v>2675</v>
      </c>
      <c r="F427" s="3">
        <f>IFERROR(__xludf.DUMMYFUNCTION("""COMPUTED_VALUE"""),60272.0)</f>
        <v>60272</v>
      </c>
      <c r="G427" s="2" t="str">
        <f>IFERROR(__xludf.DUMMYFUNCTION("""COMPUTED_VALUE"""),"Rapti Sarada Hydropower Pvt. Ltd")</f>
        <v>Rapti Sarada Hydropower Pvt. Ltd</v>
      </c>
      <c r="H427" s="2" t="str">
        <f>IFERROR(__xludf.DUMMYFUNCTION("""COMPUTED_VALUE"""),"Sanepa, Lalitpur Tel 5544508")</f>
        <v>Sanepa, Lalitpur Tel 5544508</v>
      </c>
      <c r="I427" s="2" t="str">
        <f>IFERROR(__xludf.DUMMYFUNCTION("""COMPUTED_VALUE"""),"28o 21' 54""")</f>
        <v>28o 21' 54"</v>
      </c>
      <c r="J427" s="2" t="str">
        <f>IFERROR(__xludf.DUMMYFUNCTION("""COMPUTED_VALUE"""),"28o 26' 21""")</f>
        <v>28o 26' 21"</v>
      </c>
      <c r="K427" s="2" t="str">
        <f>IFERROR(__xludf.DUMMYFUNCTION("""COMPUTED_VALUE"""),"82o 10' 24""")</f>
        <v>82o 10' 24"</v>
      </c>
      <c r="L427" s="2" t="str">
        <f>IFERROR(__xludf.DUMMYFUNCTION("""COMPUTED_VALUE"""),"82o 16' 00""")</f>
        <v>82o 16' 00"</v>
      </c>
      <c r="M427" s="2" t="str">
        <f>IFERROR(__xludf.DUMMYFUNCTION("""COMPUTED_VALUE"""),"Bajh Kanda,Dandagaun (Salyan)")</f>
        <v>Bajh Kanda,Dandagaun (Salyan)</v>
      </c>
    </row>
    <row r="428">
      <c r="A428" s="2">
        <f>IFERROR(__xludf.DUMMYFUNCTION("""COMPUTED_VALUE"""),427.0)</f>
        <v>427</v>
      </c>
      <c r="B428" s="2" t="str">
        <f>IFERROR(__xludf.DUMMYFUNCTION("""COMPUTED_VALUE"""),"Larke Jalmarang SMP")</f>
        <v>Larke Jalmarang SMP</v>
      </c>
      <c r="C428" s="2">
        <f>IFERROR(__xludf.DUMMYFUNCTION("""COMPUTED_VALUE"""),5.0)</f>
        <v>5</v>
      </c>
      <c r="D428" s="2" t="str">
        <f>IFERROR(__xludf.DUMMYFUNCTION("""COMPUTED_VALUE"""),"Larke Jalmarang")</f>
        <v>Larke Jalmarang</v>
      </c>
      <c r="E428" s="2"/>
      <c r="F428" s="3">
        <f>IFERROR(__xludf.DUMMYFUNCTION("""COMPUTED_VALUE"""),60273.0)</f>
        <v>60273</v>
      </c>
      <c r="G428" s="2" t="str">
        <f>IFERROR(__xludf.DUMMYFUNCTION("""COMPUTED_VALUE"""),"Centre for Power Dev &amp; Service P ltd,")</f>
        <v>Centre for Power Dev &amp; Service P ltd,</v>
      </c>
      <c r="H428" s="2"/>
      <c r="I428" s="2" t="str">
        <f>IFERROR(__xludf.DUMMYFUNCTION("""COMPUTED_VALUE"""),"27o 56' 55""")</f>
        <v>27o 56' 55"</v>
      </c>
      <c r="J428" s="2" t="str">
        <f>IFERROR(__xludf.DUMMYFUNCTION("""COMPUTED_VALUE"""),"27o 58' 35""")</f>
        <v>27o 58' 35"</v>
      </c>
      <c r="K428" s="2" t="str">
        <f>IFERROR(__xludf.DUMMYFUNCTION("""COMPUTED_VALUE"""),"85o 37' 40""")</f>
        <v>85o 37' 40"</v>
      </c>
      <c r="L428" s="2" t="str">
        <f>IFERROR(__xludf.DUMMYFUNCTION("""COMPUTED_VALUE"""),"85o 38' 55""")</f>
        <v>85o 38' 55"</v>
      </c>
      <c r="M428" s="2" t="str">
        <f>IFERROR(__xludf.DUMMYFUNCTION("""COMPUTED_VALUE"""),"(Sindhupalchok)")</f>
        <v>(Sindhupalchok)</v>
      </c>
    </row>
    <row r="429">
      <c r="A429" s="2">
        <f>IFERROR(__xludf.DUMMYFUNCTION("""COMPUTED_VALUE"""),428.0)</f>
        <v>428</v>
      </c>
      <c r="B429" s="2" t="str">
        <f>IFERROR(__xludf.DUMMYFUNCTION("""COMPUTED_VALUE"""),"Indravati Thanohaldhap S")</f>
        <v>Indravati Thanohaldhap S</v>
      </c>
      <c r="C429" s="2">
        <f>IFERROR(__xludf.DUMMYFUNCTION("""COMPUTED_VALUE"""),5.4)</f>
        <v>5.4</v>
      </c>
      <c r="D429" s="2" t="str">
        <f>IFERROR(__xludf.DUMMYFUNCTION("""COMPUTED_VALUE"""),"Indrawati Khola")</f>
        <v>Indrawati Khola</v>
      </c>
      <c r="E429" s="2"/>
      <c r="F429" s="3">
        <f>IFERROR(__xludf.DUMMYFUNCTION("""COMPUTED_VALUE"""),60273.0)</f>
        <v>60273</v>
      </c>
      <c r="G429" s="2" t="str">
        <f>IFERROR(__xludf.DUMMYFUNCTION("""COMPUTED_VALUE"""),"Centre for Power Dev &amp; Service P ltd,")</f>
        <v>Centre for Power Dev &amp; Service P ltd,</v>
      </c>
      <c r="H429" s="2"/>
      <c r="I429" s="2" t="str">
        <f>IFERROR(__xludf.DUMMYFUNCTION("""COMPUTED_VALUE"""),"27o 55' 10""")</f>
        <v>27o 55' 10"</v>
      </c>
      <c r="J429" s="2" t="str">
        <f>IFERROR(__xludf.DUMMYFUNCTION("""COMPUTED_VALUE"""),"27o 57' 00""")</f>
        <v>27o 57' 00"</v>
      </c>
      <c r="K429" s="2" t="str">
        <f>IFERROR(__xludf.DUMMYFUNCTION("""COMPUTED_VALUE"""),"85o 37' 50""")</f>
        <v>85o 37' 50"</v>
      </c>
      <c r="L429" s="2" t="str">
        <f>IFERROR(__xludf.DUMMYFUNCTION("""COMPUTED_VALUE"""),"85o 38' 40""")</f>
        <v>85o 38' 40"</v>
      </c>
      <c r="M429" s="2" t="str">
        <f>IFERROR(__xludf.DUMMYFUNCTION("""COMPUTED_VALUE"""),"(Sindhupalchok)")</f>
        <v>(Sindhupalchok)</v>
      </c>
    </row>
    <row r="430">
      <c r="A430" s="2">
        <f>IFERROR(__xludf.DUMMYFUNCTION("""COMPUTED_VALUE"""),429.0)</f>
        <v>429</v>
      </c>
      <c r="B430" s="2" t="str">
        <f>IFERROR(__xludf.DUMMYFUNCTION("""COMPUTED_VALUE"""),"Upper Daraundi A")</f>
        <v>Upper Daraundi A</v>
      </c>
      <c r="C430" s="2">
        <f>IFERROR(__xludf.DUMMYFUNCTION("""COMPUTED_VALUE"""),1.0)</f>
        <v>1</v>
      </c>
      <c r="D430" s="2" t="str">
        <f>IFERROR(__xludf.DUMMYFUNCTION("""COMPUTED_VALUE"""),"Daraundi")</f>
        <v>Daraundi</v>
      </c>
      <c r="E430" s="2"/>
      <c r="F430" s="3">
        <f>IFERROR(__xludf.DUMMYFUNCTION("""COMPUTED_VALUE"""),60275.0)</f>
        <v>60275</v>
      </c>
      <c r="G430" s="2" t="str">
        <f>IFERROR(__xludf.DUMMYFUNCTION("""COMPUTED_VALUE"""),"Jit hydraopower P Ltd,Jitman Lama")</f>
        <v>Jit hydraopower P Ltd,Jitman Lama</v>
      </c>
      <c r="H430" s="2"/>
      <c r="I430" s="2" t="str">
        <f>IFERROR(__xludf.DUMMYFUNCTION("""COMPUTED_VALUE"""),"28o 15' 00""")</f>
        <v>28o 15' 00"</v>
      </c>
      <c r="J430" s="2" t="str">
        <f>IFERROR(__xludf.DUMMYFUNCTION("""COMPUTED_VALUE"""),"28o 16' 15""")</f>
        <v>28o 16' 15"</v>
      </c>
      <c r="K430" s="2" t="str">
        <f>IFERROR(__xludf.DUMMYFUNCTION("""COMPUTED_VALUE"""),"84o 43' 17""")</f>
        <v>84o 43' 17"</v>
      </c>
      <c r="L430" s="2" t="str">
        <f>IFERROR(__xludf.DUMMYFUNCTION("""COMPUTED_VALUE"""),"84o 44' 40""")</f>
        <v>84o 44' 40"</v>
      </c>
      <c r="M430" s="2" t="str">
        <f>IFERROR(__xludf.DUMMYFUNCTION("""COMPUTED_VALUE"""),"(Gorkha)")</f>
        <v>(Gorkha)</v>
      </c>
    </row>
    <row r="431">
      <c r="A431" s="2">
        <f>IFERROR(__xludf.DUMMYFUNCTION("""COMPUTED_VALUE"""),430.0)</f>
        <v>430</v>
      </c>
      <c r="B431" s="2" t="str">
        <f>IFERROR(__xludf.DUMMYFUNCTION("""COMPUTED_VALUE"""),"Chhedigmo Khola")</f>
        <v>Chhedigmo Khola</v>
      </c>
      <c r="C431" s="2">
        <f>IFERROR(__xludf.DUMMYFUNCTION("""COMPUTED_VALUE"""),0.46)</f>
        <v>0.46</v>
      </c>
      <c r="D431" s="2" t="str">
        <f>IFERROR(__xludf.DUMMYFUNCTION("""COMPUTED_VALUE"""),"Chhedingmo")</f>
        <v>Chhedingmo</v>
      </c>
      <c r="E431" s="2"/>
      <c r="F431" s="3">
        <f>IFERROR(__xludf.DUMMYFUNCTION("""COMPUTED_VALUE"""),60276.0)</f>
        <v>60276</v>
      </c>
      <c r="G431" s="2" t="str">
        <f>IFERROR(__xludf.DUMMYFUNCTION("""COMPUTED_VALUE"""),"Galtang Community Dev society")</f>
        <v>Galtang Community Dev society</v>
      </c>
      <c r="H431" s="2"/>
      <c r="I431" s="2" t="str">
        <f>IFERROR(__xludf.DUMMYFUNCTION("""COMPUTED_VALUE"""),"28o 05' 33""")</f>
        <v>28o 05' 33"</v>
      </c>
      <c r="J431" s="2" t="str">
        <f>IFERROR(__xludf.DUMMYFUNCTION("""COMPUTED_VALUE"""),"28o 06' 20""")</f>
        <v>28o 06' 20"</v>
      </c>
      <c r="K431" s="2" t="str">
        <f>IFERROR(__xludf.DUMMYFUNCTION("""COMPUTED_VALUE"""),"85o 08' 00""")</f>
        <v>85o 08' 00"</v>
      </c>
      <c r="L431" s="2" t="str">
        <f>IFERROR(__xludf.DUMMYFUNCTION("""COMPUTED_VALUE"""),"85o 10' 16""")</f>
        <v>85o 10' 16"</v>
      </c>
      <c r="M431" s="2" t="str">
        <f>IFERROR(__xludf.DUMMYFUNCTION("""COMPUTED_VALUE"""),"(Rasuwa)")</f>
        <v>(Rasuwa)</v>
      </c>
    </row>
    <row r="432">
      <c r="A432" s="2">
        <f>IFERROR(__xludf.DUMMYFUNCTION("""COMPUTED_VALUE"""),431.0)</f>
        <v>431</v>
      </c>
      <c r="B432" s="2" t="str">
        <f>IFERROR(__xludf.DUMMYFUNCTION("""COMPUTED_VALUE"""),"Upper Handi Khola - 3")</f>
        <v>Upper Handi Khola - 3</v>
      </c>
      <c r="C432" s="2">
        <f>IFERROR(__xludf.DUMMYFUNCTION("""COMPUTED_VALUE"""),0.998)</f>
        <v>0.998</v>
      </c>
      <c r="D432" s="2" t="str">
        <f>IFERROR(__xludf.DUMMYFUNCTION("""COMPUTED_VALUE"""),"Hadi")</f>
        <v>Hadi</v>
      </c>
      <c r="E432" s="2"/>
      <c r="F432" s="3">
        <f>IFERROR(__xludf.DUMMYFUNCTION("""COMPUTED_VALUE"""),60276.0)</f>
        <v>60276</v>
      </c>
      <c r="G432" s="2" t="str">
        <f>IFERROR(__xludf.DUMMYFUNCTION("""COMPUTED_VALUE"""),"Manju Kumari Shrestha")</f>
        <v>Manju Kumari Shrestha</v>
      </c>
      <c r="H432" s="2"/>
      <c r="I432" s="2" t="str">
        <f>IFERROR(__xludf.DUMMYFUNCTION("""COMPUTED_VALUE"""),"27o 55' 58""")</f>
        <v>27o 55' 58"</v>
      </c>
      <c r="J432" s="2" t="str">
        <f>IFERROR(__xludf.DUMMYFUNCTION("""COMPUTED_VALUE"""),"27o 56' 45""")</f>
        <v>27o 56' 45"</v>
      </c>
      <c r="K432" s="2" t="str">
        <f>IFERROR(__xludf.DUMMYFUNCTION("""COMPUTED_VALUE"""),"85o 40' 56""")</f>
        <v>85o 40' 56"</v>
      </c>
      <c r="L432" s="2" t="str">
        <f>IFERROR(__xludf.DUMMYFUNCTION("""COMPUTED_VALUE"""),"85o 42' 33""")</f>
        <v>85o 42' 33"</v>
      </c>
      <c r="M432" s="2" t="str">
        <f>IFERROR(__xludf.DUMMYFUNCTION("""COMPUTED_VALUE"""),"(Sindhupalchok)")</f>
        <v>(Sindhupalchok)</v>
      </c>
    </row>
    <row r="433">
      <c r="A433" s="2">
        <f>IFERROR(__xludf.DUMMYFUNCTION("""COMPUTED_VALUE"""),432.0)</f>
        <v>432</v>
      </c>
      <c r="B433" s="2" t="str">
        <f>IFERROR(__xludf.DUMMYFUNCTION("""COMPUTED_VALUE"""),"Trishuli Khola")</f>
        <v>Trishuli Khola</v>
      </c>
      <c r="C433" s="2">
        <f>IFERROR(__xludf.DUMMYFUNCTION("""COMPUTED_VALUE"""),0.98)</f>
        <v>0.98</v>
      </c>
      <c r="D433" s="2" t="str">
        <f>IFERROR(__xludf.DUMMYFUNCTION("""COMPUTED_VALUE"""),"Trishuli")</f>
        <v>Trishuli</v>
      </c>
      <c r="E433" s="2"/>
      <c r="F433" s="3">
        <f>IFERROR(__xludf.DUMMYFUNCTION("""COMPUTED_VALUE"""),60276.0)</f>
        <v>60276</v>
      </c>
      <c r="G433" s="2" t="str">
        <f>IFERROR(__xludf.DUMMYFUNCTION("""COMPUTED_VALUE"""),"Bharat Prasad Adhikari")</f>
        <v>Bharat Prasad Adhikari</v>
      </c>
      <c r="H433" s="2"/>
      <c r="I433" s="2" t="str">
        <f>IFERROR(__xludf.DUMMYFUNCTION("""COMPUTED_VALUE"""),"28o 05' 57""")</f>
        <v>28o 05' 57"</v>
      </c>
      <c r="J433" s="2" t="str">
        <f>IFERROR(__xludf.DUMMYFUNCTION("""COMPUTED_VALUE"""),"28o 07' 24""")</f>
        <v>28o 07' 24"</v>
      </c>
      <c r="K433" s="2" t="str">
        <f>IFERROR(__xludf.DUMMYFUNCTION("""COMPUTED_VALUE"""),"85o 17' 42""")</f>
        <v>85o 17' 42"</v>
      </c>
      <c r="L433" s="2" t="str">
        <f>IFERROR(__xludf.DUMMYFUNCTION("""COMPUTED_VALUE"""),"85o 19' 24""")</f>
        <v>85o 19' 24"</v>
      </c>
      <c r="M433" s="2" t="str">
        <f>IFERROR(__xludf.DUMMYFUNCTION("""COMPUTED_VALUE"""),"(Rasuwa)")</f>
        <v>(Rasuwa)</v>
      </c>
    </row>
    <row r="434">
      <c r="A434" s="2">
        <f>IFERROR(__xludf.DUMMYFUNCTION("""COMPUTED_VALUE"""),433.0)</f>
        <v>433</v>
      </c>
      <c r="B434" s="2" t="str">
        <f>IFERROR(__xludf.DUMMYFUNCTION("""COMPUTED_VALUE"""),"Budhiganga")</f>
        <v>Budhiganga</v>
      </c>
      <c r="C434" s="2">
        <f>IFERROR(__xludf.DUMMYFUNCTION("""COMPUTED_VALUE"""),1.0)</f>
        <v>1</v>
      </c>
      <c r="D434" s="2" t="str">
        <f>IFERROR(__xludf.DUMMYFUNCTION("""COMPUTED_VALUE"""),"Budhi Ganga")</f>
        <v>Budhi Ganga</v>
      </c>
      <c r="E434" s="2"/>
      <c r="F434" s="3">
        <f>IFERROR(__xludf.DUMMYFUNCTION("""COMPUTED_VALUE"""),60277.0)</f>
        <v>60277</v>
      </c>
      <c r="G434" s="2" t="str">
        <f>IFERROR(__xludf.DUMMYFUNCTION("""COMPUTED_VALUE"""),"Prasad Padhya")</f>
        <v>Prasad Padhya</v>
      </c>
      <c r="H434" s="2"/>
      <c r="I434" s="2" t="str">
        <f>IFERROR(__xludf.DUMMYFUNCTION("""COMPUTED_VALUE"""),"29o 25' 00""")</f>
        <v>29o 25' 00"</v>
      </c>
      <c r="J434" s="2" t="str">
        <f>IFERROR(__xludf.DUMMYFUNCTION("""COMPUTED_VALUE"""),"29o 28' 17""")</f>
        <v>29o 28' 17"</v>
      </c>
      <c r="K434" s="2" t="str">
        <f>IFERROR(__xludf.DUMMYFUNCTION("""COMPUTED_VALUE"""),"81o 25' 00""")</f>
        <v>81o 25' 00"</v>
      </c>
      <c r="L434" s="2" t="str">
        <f>IFERROR(__xludf.DUMMYFUNCTION("""COMPUTED_VALUE"""),"81o 27' 47""")</f>
        <v>81o 27' 47"</v>
      </c>
      <c r="M434" s="2" t="str">
        <f>IFERROR(__xludf.DUMMYFUNCTION("""COMPUTED_VALUE"""),"(Bajura)")</f>
        <v>(Bajura)</v>
      </c>
    </row>
    <row r="435">
      <c r="A435" s="2">
        <f>IFERROR(__xludf.DUMMYFUNCTION("""COMPUTED_VALUE"""),434.0)</f>
        <v>434</v>
      </c>
      <c r="B435" s="2" t="str">
        <f>IFERROR(__xludf.DUMMYFUNCTION("""COMPUTED_VALUE"""),"Upper Molun Khola")</f>
        <v>Upper Molun Khola</v>
      </c>
      <c r="C435" s="2">
        <f>IFERROR(__xludf.DUMMYFUNCTION("""COMPUTED_VALUE"""),0.99)</f>
        <v>0.99</v>
      </c>
      <c r="D435" s="2" t="str">
        <f>IFERROR(__xludf.DUMMYFUNCTION("""COMPUTED_VALUE"""),"Molun")</f>
        <v>Molun</v>
      </c>
      <c r="E435" s="2"/>
      <c r="F435" s="3">
        <f>IFERROR(__xludf.DUMMYFUNCTION("""COMPUTED_VALUE"""),60279.0)</f>
        <v>60279</v>
      </c>
      <c r="G435" s="2" t="str">
        <f>IFERROR(__xludf.DUMMYFUNCTION("""COMPUTED_VALUE"""),"Ram Bahadur Karki")</f>
        <v>Ram Bahadur Karki</v>
      </c>
      <c r="H435" s="2"/>
      <c r="I435" s="2" t="str">
        <f>IFERROR(__xludf.DUMMYFUNCTION("""COMPUTED_VALUE"""),"27o 21' 26""")</f>
        <v>27o 21' 26"</v>
      </c>
      <c r="J435" s="2" t="str">
        <f>IFERROR(__xludf.DUMMYFUNCTION("""COMPUTED_VALUE"""),"27o 23' 11""")</f>
        <v>27o 23' 11"</v>
      </c>
      <c r="K435" s="2" t="str">
        <f>IFERROR(__xludf.DUMMYFUNCTION("""COMPUTED_VALUE"""),"86o 25' 00""")</f>
        <v>86o 25' 00"</v>
      </c>
      <c r="L435" s="2" t="str">
        <f>IFERROR(__xludf.DUMMYFUNCTION("""COMPUTED_VALUE"""),"86o 26' 22""")</f>
        <v>86o 26' 22"</v>
      </c>
      <c r="M435" s="2" t="str">
        <f>IFERROR(__xludf.DUMMYFUNCTION("""COMPUTED_VALUE"""),"(Okhaldhunga)")</f>
        <v>(Okhaldhunga)</v>
      </c>
    </row>
    <row r="436">
      <c r="A436" s="2">
        <f>IFERROR(__xludf.DUMMYFUNCTION("""COMPUTED_VALUE"""),435.0)</f>
        <v>435</v>
      </c>
      <c r="B436" s="2" t="str">
        <f>IFERROR(__xludf.DUMMYFUNCTION("""COMPUTED_VALUE"""),"Milti Khola-1")</f>
        <v>Milti Khola-1</v>
      </c>
      <c r="C436" s="2">
        <f>IFERROR(__xludf.DUMMYFUNCTION("""COMPUTED_VALUE"""),0.332)</f>
        <v>0.332</v>
      </c>
      <c r="D436" s="2" t="str">
        <f>IFERROR(__xludf.DUMMYFUNCTION("""COMPUTED_VALUE"""),"Milti")</f>
        <v>Milti</v>
      </c>
      <c r="E436" s="2">
        <f>IFERROR(__xludf.DUMMYFUNCTION("""COMPUTED_VALUE"""),2811.0)</f>
        <v>2811</v>
      </c>
      <c r="F436" s="3">
        <f>IFERROR(__xludf.DUMMYFUNCTION("""COMPUTED_VALUE"""),60283.0)</f>
        <v>60283</v>
      </c>
      <c r="G436" s="2" t="str">
        <f>IFERROR(__xludf.DUMMYFUNCTION("""COMPUTED_VALUE"""),"Young Sherpa Construction Company Pvt. Ltd.")</f>
        <v>Young Sherpa Construction Company Pvt. Ltd.</v>
      </c>
      <c r="H436" s="2" t="str">
        <f>IFERROR(__xludf.DUMMYFUNCTION("""COMPUTED_VALUE"""),"Pushpa Nagar Marg, Kathmandu, Tel: 01-4464039, Fax: 01-4481912, P.O. Box: 
20337")</f>
        <v>Pushpa Nagar Marg, Kathmandu, Tel: 01-4464039, Fax: 01-4481912, P.O. Box: 
20337</v>
      </c>
      <c r="I436" s="2" t="str">
        <f>IFERROR(__xludf.DUMMYFUNCTION("""COMPUTED_VALUE"""),"27o 29' 02""")</f>
        <v>27o 29' 02"</v>
      </c>
      <c r="J436" s="2" t="str">
        <f>IFERROR(__xludf.DUMMYFUNCTION("""COMPUTED_VALUE"""),"27o 30' 36""")</f>
        <v>27o 30' 36"</v>
      </c>
      <c r="K436" s="2" t="str">
        <f>IFERROR(__xludf.DUMMYFUNCTION("""COMPUTED_VALUE"""),"86o 00' 32""")</f>
        <v>86o 00' 32"</v>
      </c>
      <c r="L436" s="2" t="str">
        <f>IFERROR(__xludf.DUMMYFUNCTION("""COMPUTED_VALUE"""),"86o 01' 45""")</f>
        <v>86o 01' 45"</v>
      </c>
      <c r="M436" s="2"/>
    </row>
    <row r="437">
      <c r="A437" s="2">
        <f>IFERROR(__xludf.DUMMYFUNCTION("""COMPUTED_VALUE"""),436.0)</f>
        <v>436</v>
      </c>
      <c r="B437" s="2" t="str">
        <f>IFERROR(__xludf.DUMMYFUNCTION("""COMPUTED_VALUE"""),"Upper Sharada Khola")</f>
        <v>Upper Sharada Khola</v>
      </c>
      <c r="C437" s="2">
        <f>IFERROR(__xludf.DUMMYFUNCTION("""COMPUTED_VALUE"""),4.0)</f>
        <v>4</v>
      </c>
      <c r="D437" s="2" t="str">
        <f>IFERROR(__xludf.DUMMYFUNCTION("""COMPUTED_VALUE"""),"Sharada")</f>
        <v>Sharada</v>
      </c>
      <c r="E437" s="2"/>
      <c r="F437" s="3">
        <f>IFERROR(__xludf.DUMMYFUNCTION("""COMPUTED_VALUE"""),60284.0)</f>
        <v>60284</v>
      </c>
      <c r="G437" s="2" t="str">
        <f>IFERROR(__xludf.DUMMYFUNCTION("""COMPUTED_VALUE"""),"Pioneer Hydro Pvt. Ltd.")</f>
        <v>Pioneer Hydro Pvt. Ltd.</v>
      </c>
      <c r="H437" s="2"/>
      <c r="I437" s="2" t="str">
        <f>IFERROR(__xludf.DUMMYFUNCTION("""COMPUTED_VALUE"""),"28o 23' 49""")</f>
        <v>28o 23' 49"</v>
      </c>
      <c r="J437" s="2" t="str">
        <f>IFERROR(__xludf.DUMMYFUNCTION("""COMPUTED_VALUE"""),"28o 26' 19""")</f>
        <v>28o 26' 19"</v>
      </c>
      <c r="K437" s="2" t="str">
        <f>IFERROR(__xludf.DUMMYFUNCTION("""COMPUTED_VALUE"""),"82o 11' 28""")</f>
        <v>82o 11' 28"</v>
      </c>
      <c r="L437" s="2" t="str">
        <f>IFERROR(__xludf.DUMMYFUNCTION("""COMPUTED_VALUE"""),"82o 13' 30""")</f>
        <v>82o 13' 30"</v>
      </c>
      <c r="M437" s="2" t="str">
        <f>IFERROR(__xludf.DUMMYFUNCTION("""COMPUTED_VALUE"""),"(Salyan)")</f>
        <v>(Salyan)</v>
      </c>
    </row>
    <row r="438">
      <c r="A438" s="2">
        <f>IFERROR(__xludf.DUMMYFUNCTION("""COMPUTED_VALUE"""),437.0)</f>
        <v>437</v>
      </c>
      <c r="B438" s="2" t="str">
        <f>IFERROR(__xludf.DUMMYFUNCTION("""COMPUTED_VALUE"""),"Tangchahara Khola")</f>
        <v>Tangchahara Khola</v>
      </c>
      <c r="C438" s="2">
        <f>IFERROR(__xludf.DUMMYFUNCTION("""COMPUTED_VALUE"""),0.099)</f>
        <v>0.099</v>
      </c>
      <c r="D438" s="2" t="str">
        <f>IFERROR(__xludf.DUMMYFUNCTION("""COMPUTED_VALUE"""),"Tangchahara")</f>
        <v>Tangchahara</v>
      </c>
      <c r="E438" s="2"/>
      <c r="F438" s="3">
        <f>IFERROR(__xludf.DUMMYFUNCTION("""COMPUTED_VALUE"""),60285.0)</f>
        <v>60285</v>
      </c>
      <c r="G438" s="2" t="str">
        <f>IFERROR(__xludf.DUMMYFUNCTION("""COMPUTED_VALUE"""),"Anil Kumar Jha")</f>
        <v>Anil Kumar Jha</v>
      </c>
      <c r="H438" s="2"/>
      <c r="I438" s="2" t="str">
        <f>IFERROR(__xludf.DUMMYFUNCTION("""COMPUTED_VALUE"""),"28o 39' 51""")</f>
        <v>28o 39' 51"</v>
      </c>
      <c r="J438" s="2" t="str">
        <f>IFERROR(__xludf.DUMMYFUNCTION("""COMPUTED_VALUE"""),"28o 41' 14""")</f>
        <v>28o 41' 14"</v>
      </c>
      <c r="K438" s="2" t="str">
        <f>IFERROR(__xludf.DUMMYFUNCTION("""COMPUTED_VALUE"""),"83o 35' 00""")</f>
        <v>83o 35' 00"</v>
      </c>
      <c r="L438" s="2" t="str">
        <f>IFERROR(__xludf.DUMMYFUNCTION("""COMPUTED_VALUE"""),"83o 35' 59""")</f>
        <v>83o 35' 59"</v>
      </c>
      <c r="M438" s="2" t="str">
        <f>IFERROR(__xludf.DUMMYFUNCTION("""COMPUTED_VALUE"""),"(Mustang)")</f>
        <v>(Mustang)</v>
      </c>
    </row>
    <row r="439">
      <c r="A439" s="2">
        <f>IFERROR(__xludf.DUMMYFUNCTION("""COMPUTED_VALUE"""),438.0)</f>
        <v>438</v>
      </c>
      <c r="B439" s="2" t="str">
        <f>IFERROR(__xludf.DUMMYFUNCTION("""COMPUTED_VALUE"""),"Timbu Khola")</f>
        <v>Timbu Khola</v>
      </c>
      <c r="C439" s="2">
        <f>IFERROR(__xludf.DUMMYFUNCTION("""COMPUTED_VALUE"""),0.31)</f>
        <v>0.31</v>
      </c>
      <c r="D439" s="2" t="str">
        <f>IFERROR(__xludf.DUMMYFUNCTION("""COMPUTED_VALUE"""),"Timbu")</f>
        <v>Timbu</v>
      </c>
      <c r="E439" s="2"/>
      <c r="F439" s="3">
        <f>IFERROR(__xludf.DUMMYFUNCTION("""COMPUTED_VALUE"""),60285.0)</f>
        <v>60285</v>
      </c>
      <c r="G439" s="2" t="str">
        <f>IFERROR(__xludf.DUMMYFUNCTION("""COMPUTED_VALUE"""),"Nima Sherpa")</f>
        <v>Nima Sherpa</v>
      </c>
      <c r="H439" s="2"/>
      <c r="I439" s="2" t="str">
        <f>IFERROR(__xludf.DUMMYFUNCTION("""COMPUTED_VALUE"""),"27o 56' 45""")</f>
        <v>27o 56' 45"</v>
      </c>
      <c r="J439" s="2" t="str">
        <f>IFERROR(__xludf.DUMMYFUNCTION("""COMPUTED_VALUE"""),"27o 57' 02""")</f>
        <v>27o 57' 02"</v>
      </c>
      <c r="K439" s="2" t="str">
        <f>IFERROR(__xludf.DUMMYFUNCTION("""COMPUTED_VALUE"""),"85o 34' 05""")</f>
        <v>85o 34' 05"</v>
      </c>
      <c r="L439" s="2" t="str">
        <f>IFERROR(__xludf.DUMMYFUNCTION("""COMPUTED_VALUE"""),"85o 34' 50""")</f>
        <v>85o 34' 50"</v>
      </c>
      <c r="M439" s="2" t="str">
        <f>IFERROR(__xludf.DUMMYFUNCTION("""COMPUTED_VALUE"""),"(Sindhupalchok)")</f>
        <v>(Sindhupalchok)</v>
      </c>
    </row>
    <row r="440">
      <c r="A440" s="2">
        <f>IFERROR(__xludf.DUMMYFUNCTION("""COMPUTED_VALUE"""),439.0)</f>
        <v>439</v>
      </c>
      <c r="B440" s="2" t="str">
        <f>IFERROR(__xludf.DUMMYFUNCTION("""COMPUTED_VALUE"""),"Middle Balephi")</f>
        <v>Middle Balephi</v>
      </c>
      <c r="C440" s="2">
        <f>IFERROR(__xludf.DUMMYFUNCTION("""COMPUTED_VALUE"""),1.0)</f>
        <v>1</v>
      </c>
      <c r="D440" s="2" t="str">
        <f>IFERROR(__xludf.DUMMYFUNCTION("""COMPUTED_VALUE"""),"Balephi")</f>
        <v>Balephi</v>
      </c>
      <c r="E440" s="2"/>
      <c r="F440" s="3">
        <f>IFERROR(__xludf.DUMMYFUNCTION("""COMPUTED_VALUE"""),60285.0)</f>
        <v>60285</v>
      </c>
      <c r="G440" s="2" t="str">
        <f>IFERROR(__xludf.DUMMYFUNCTION("""COMPUTED_VALUE"""),"Surendradhar Sigdel")</f>
        <v>Surendradhar Sigdel</v>
      </c>
      <c r="H440" s="2"/>
      <c r="I440" s="2" t="str">
        <f>IFERROR(__xludf.DUMMYFUNCTION("""COMPUTED_VALUE"""),"27o 49' 00""")</f>
        <v>27o 49' 00"</v>
      </c>
      <c r="J440" s="2" t="str">
        <f>IFERROR(__xludf.DUMMYFUNCTION("""COMPUTED_VALUE"""),"27o 50' 48""")</f>
        <v>27o 50' 48"</v>
      </c>
      <c r="K440" s="2" t="str">
        <f>IFERROR(__xludf.DUMMYFUNCTION("""COMPUTED_VALUE"""),"85o 45' 00""")</f>
        <v>85o 45' 00"</v>
      </c>
      <c r="L440" s="2" t="str">
        <f>IFERROR(__xludf.DUMMYFUNCTION("""COMPUTED_VALUE"""),"85o 46' 30""")</f>
        <v>85o 46' 30"</v>
      </c>
      <c r="M440" s="2" t="str">
        <f>IFERROR(__xludf.DUMMYFUNCTION("""COMPUTED_VALUE"""),"(Sindhupalchok)")</f>
        <v>(Sindhupalchok)</v>
      </c>
    </row>
    <row r="441">
      <c r="A441" s="2">
        <f>IFERROR(__xludf.DUMMYFUNCTION("""COMPUTED_VALUE"""),440.0)</f>
        <v>440</v>
      </c>
      <c r="B441" s="2" t="str">
        <f>IFERROR(__xludf.DUMMYFUNCTION("""COMPUTED_VALUE"""),"Lower Nigure Khola")</f>
        <v>Lower Nigure Khola</v>
      </c>
      <c r="C441" s="2">
        <f>IFERROR(__xludf.DUMMYFUNCTION("""COMPUTED_VALUE"""),0.998)</f>
        <v>0.998</v>
      </c>
      <c r="D441" s="2" t="str">
        <f>IFERROR(__xludf.DUMMYFUNCTION("""COMPUTED_VALUE"""),"Nigure")</f>
        <v>Nigure</v>
      </c>
      <c r="E441" s="2"/>
      <c r="F441" s="3">
        <f>IFERROR(__xludf.DUMMYFUNCTION("""COMPUTED_VALUE"""),60287.0)</f>
        <v>60287</v>
      </c>
      <c r="G441" s="2" t="str">
        <f>IFERROR(__xludf.DUMMYFUNCTION("""COMPUTED_VALUE"""),"Pranjal Dahal, Hastman Rai, Ramesh Neupane, Amit Neupane")</f>
        <v>Pranjal Dahal, Hastman Rai, Ramesh Neupane, Amit Neupane</v>
      </c>
      <c r="H441" s="2"/>
      <c r="I441" s="2" t="str">
        <f>IFERROR(__xludf.DUMMYFUNCTION("""COMPUTED_VALUE"""),"27o 17' 30""")</f>
        <v>27o 17' 30"</v>
      </c>
      <c r="J441" s="2" t="str">
        <f>IFERROR(__xludf.DUMMYFUNCTION("""COMPUTED_VALUE"""),"27o 41' 45""")</f>
        <v>27o 41' 45"</v>
      </c>
      <c r="K441" s="2" t="str">
        <f>IFERROR(__xludf.DUMMYFUNCTION("""COMPUTED_VALUE"""),"87o 12' 30""")</f>
        <v>87o 12' 30"</v>
      </c>
      <c r="L441" s="2" t="str">
        <f>IFERROR(__xludf.DUMMYFUNCTION("""COMPUTED_VALUE"""),"87o 14' 20""")</f>
        <v>87o 14' 20"</v>
      </c>
      <c r="M441" s="2" t="str">
        <f>IFERROR(__xludf.DUMMYFUNCTION("""COMPUTED_VALUE"""),"(Sankhuwasabha)")</f>
        <v>(Sankhuwasabha)</v>
      </c>
    </row>
    <row r="442">
      <c r="A442" s="2">
        <f>IFERROR(__xludf.DUMMYFUNCTION("""COMPUTED_VALUE"""),441.0)</f>
        <v>441</v>
      </c>
      <c r="B442" s="2" t="str">
        <f>IFERROR(__xludf.DUMMYFUNCTION("""COMPUTED_VALUE"""),"Upper Ghatte Khola")</f>
        <v>Upper Ghatte Khola</v>
      </c>
      <c r="C442" s="2">
        <f>IFERROR(__xludf.DUMMYFUNCTION("""COMPUTED_VALUE"""),0.95)</f>
        <v>0.95</v>
      </c>
      <c r="D442" s="2" t="str">
        <f>IFERROR(__xludf.DUMMYFUNCTION("""COMPUTED_VALUE"""),"Ghatte Khola")</f>
        <v>Ghatte Khola</v>
      </c>
      <c r="E442" s="2"/>
      <c r="F442" s="3">
        <f>IFERROR(__xludf.DUMMYFUNCTION("""COMPUTED_VALUE"""),60287.0)</f>
        <v>60287</v>
      </c>
      <c r="G442" s="2" t="str">
        <f>IFERROR(__xludf.DUMMYFUNCTION("""COMPUTED_VALUE"""),"Krishna Bahadur Thapa")</f>
        <v>Krishna Bahadur Thapa</v>
      </c>
      <c r="H442" s="2"/>
      <c r="I442" s="2" t="str">
        <f>IFERROR(__xludf.DUMMYFUNCTION("""COMPUTED_VALUE"""),"27o 40' 50""")</f>
        <v>27o 40' 50"</v>
      </c>
      <c r="J442" s="2" t="str">
        <f>IFERROR(__xludf.DUMMYFUNCTION("""COMPUTED_VALUE"""),"27o 42' 30""")</f>
        <v>27o 42' 30"</v>
      </c>
      <c r="K442" s="2" t="str">
        <f>IFERROR(__xludf.DUMMYFUNCTION("""COMPUTED_VALUE"""),"85o 57' 30""")</f>
        <v>85o 57' 30"</v>
      </c>
      <c r="L442" s="2" t="str">
        <f>IFERROR(__xludf.DUMMYFUNCTION("""COMPUTED_VALUE"""),"86o 00' 00""")</f>
        <v>86o 00' 00"</v>
      </c>
      <c r="M442" s="2" t="str">
        <f>IFERROR(__xludf.DUMMYFUNCTION("""COMPUTED_VALUE"""),"(Dolakha)")</f>
        <v>(Dolakha)</v>
      </c>
    </row>
    <row r="443">
      <c r="A443" s="2">
        <f>IFERROR(__xludf.DUMMYFUNCTION("""COMPUTED_VALUE"""),442.0)</f>
        <v>442</v>
      </c>
      <c r="B443" s="2" t="str">
        <f>IFERROR(__xludf.DUMMYFUNCTION("""COMPUTED_VALUE"""),"Aankhu Khola")</f>
        <v>Aankhu Khola</v>
      </c>
      <c r="C443" s="2">
        <f>IFERROR(__xludf.DUMMYFUNCTION("""COMPUTED_VALUE"""),6.0)</f>
        <v>6</v>
      </c>
      <c r="D443" s="2" t="str">
        <f>IFERROR(__xludf.DUMMYFUNCTION("""COMPUTED_VALUE"""),"Ankhu Khola")</f>
        <v>Ankhu Khola</v>
      </c>
      <c r="E443" s="2"/>
      <c r="F443" s="3">
        <f>IFERROR(__xludf.DUMMYFUNCTION("""COMPUTED_VALUE"""),60287.0)</f>
        <v>60287</v>
      </c>
      <c r="G443" s="2" t="str">
        <f>IFERROR(__xludf.DUMMYFUNCTION("""COMPUTED_VALUE"""),"Gayasuli Hydropower company")</f>
        <v>Gayasuli Hydropower company</v>
      </c>
      <c r="H443" s="2"/>
      <c r="I443" s="2" t="str">
        <f>IFERROR(__xludf.DUMMYFUNCTION("""COMPUTED_VALUE"""),"28o 07' 26""")</f>
        <v>28o 07' 26"</v>
      </c>
      <c r="J443" s="2" t="str">
        <f>IFERROR(__xludf.DUMMYFUNCTION("""COMPUTED_VALUE"""),"28o 09' 55""")</f>
        <v>28o 09' 55"</v>
      </c>
      <c r="K443" s="2" t="str">
        <f>IFERROR(__xludf.DUMMYFUNCTION("""COMPUTED_VALUE"""),"85o 01' 05""")</f>
        <v>85o 01' 05"</v>
      </c>
      <c r="L443" s="2" t="str">
        <f>IFERROR(__xludf.DUMMYFUNCTION("""COMPUTED_VALUE"""),"85o 03' 31""")</f>
        <v>85o 03' 31"</v>
      </c>
      <c r="M443" s="2" t="str">
        <f>IFERROR(__xludf.DUMMYFUNCTION("""COMPUTED_VALUE"""),"(Dhading)")</f>
        <v>(Dhading)</v>
      </c>
    </row>
    <row r="444">
      <c r="A444" s="2">
        <f>IFERROR(__xludf.DUMMYFUNCTION("""COMPUTED_VALUE"""),443.0)</f>
        <v>443</v>
      </c>
      <c r="B444" s="2" t="str">
        <f>IFERROR(__xludf.DUMMYFUNCTION("""COMPUTED_VALUE"""),"Borang Khola")</f>
        <v>Borang Khola</v>
      </c>
      <c r="C444" s="2">
        <f>IFERROR(__xludf.DUMMYFUNCTION("""COMPUTED_VALUE"""),0.995)</f>
        <v>0.995</v>
      </c>
      <c r="D444" s="2" t="str">
        <f>IFERROR(__xludf.DUMMYFUNCTION("""COMPUTED_VALUE"""),"Borang")</f>
        <v>Borang</v>
      </c>
      <c r="E444" s="2"/>
      <c r="F444" s="3">
        <f>IFERROR(__xludf.DUMMYFUNCTION("""COMPUTED_VALUE"""),60289.0)</f>
        <v>60289</v>
      </c>
      <c r="G444" s="2" t="str">
        <f>IFERROR(__xludf.DUMMYFUNCTION("""COMPUTED_VALUE"""),"Prakash Timilsina")</f>
        <v>Prakash Timilsina</v>
      </c>
      <c r="H444" s="2"/>
      <c r="I444" s="2" t="str">
        <f>IFERROR(__xludf.DUMMYFUNCTION("""COMPUTED_VALUE"""),"28o 08' 49""")</f>
        <v>28o 08' 49"</v>
      </c>
      <c r="J444" s="2" t="str">
        <f>IFERROR(__xludf.DUMMYFUNCTION("""COMPUTED_VALUE"""),"28o 09' 23""")</f>
        <v>28o 09' 23"</v>
      </c>
      <c r="K444" s="2" t="str">
        <f>IFERROR(__xludf.DUMMYFUNCTION("""COMPUTED_VALUE"""),"85o 02' 38""")</f>
        <v>85o 02' 38"</v>
      </c>
      <c r="L444" s="2" t="str">
        <f>IFERROR(__xludf.DUMMYFUNCTION("""COMPUTED_VALUE"""),"85o 03' 49""")</f>
        <v>85o 03' 49"</v>
      </c>
      <c r="M444" s="2" t="str">
        <f>IFERROR(__xludf.DUMMYFUNCTION("""COMPUTED_VALUE"""),"(Dhading)")</f>
        <v>(Dhading)</v>
      </c>
    </row>
    <row r="445">
      <c r="A445" s="2">
        <f>IFERROR(__xludf.DUMMYFUNCTION("""COMPUTED_VALUE"""),444.0)</f>
        <v>444</v>
      </c>
      <c r="B445" s="2" t="str">
        <f>IFERROR(__xludf.DUMMYFUNCTION("""COMPUTED_VALUE"""),"North Ankhu")</f>
        <v>North Ankhu</v>
      </c>
      <c r="C445" s="2">
        <f>IFERROR(__xludf.DUMMYFUNCTION("""COMPUTED_VALUE"""),5.0)</f>
        <v>5</v>
      </c>
      <c r="D445" s="2" t="str">
        <f>IFERROR(__xludf.DUMMYFUNCTION("""COMPUTED_VALUE"""),"Ankhu Khola")</f>
        <v>Ankhu Khola</v>
      </c>
      <c r="E445" s="2">
        <f>IFERROR(__xludf.DUMMYFUNCTION("""COMPUTED_VALUE"""),2867.0)</f>
        <v>2867</v>
      </c>
      <c r="F445" s="3">
        <f>IFERROR(__xludf.DUMMYFUNCTION("""COMPUTED_VALUE"""),60289.0)</f>
        <v>60289</v>
      </c>
      <c r="G445" s="2" t="str">
        <f>IFERROR(__xludf.DUMMYFUNCTION("""COMPUTED_VALUE"""),"Binamra Silwal")</f>
        <v>Binamra Silwal</v>
      </c>
      <c r="H445" s="2"/>
      <c r="I445" s="2" t="str">
        <f>IFERROR(__xludf.DUMMYFUNCTION("""COMPUTED_VALUE"""),"28o 09' 55""")</f>
        <v>28o 09' 55"</v>
      </c>
      <c r="J445" s="2" t="str">
        <f>IFERROR(__xludf.DUMMYFUNCTION("""COMPUTED_VALUE"""),"28o 11' 29""")</f>
        <v>28o 11' 29"</v>
      </c>
      <c r="K445" s="2" t="str">
        <f>IFERROR(__xludf.DUMMYFUNCTION("""COMPUTED_VALUE"""),"85o 03' 02""")</f>
        <v>85o 03' 02"</v>
      </c>
      <c r="L445" s="2" t="str">
        <f>IFERROR(__xludf.DUMMYFUNCTION("""COMPUTED_VALUE"""),"85o 04' 27""")</f>
        <v>85o 04' 27"</v>
      </c>
      <c r="M445" s="2" t="str">
        <f>IFERROR(__xludf.DUMMYFUNCTION("""COMPUTED_VALUE"""),"(Dhading)")</f>
        <v>(Dhading)</v>
      </c>
    </row>
    <row r="446">
      <c r="A446" s="2">
        <f>IFERROR(__xludf.DUMMYFUNCTION("""COMPUTED_VALUE"""),445.0)</f>
        <v>445</v>
      </c>
      <c r="B446" s="2" t="str">
        <f>IFERROR(__xludf.DUMMYFUNCTION("""COMPUTED_VALUE"""),"Dudh Koshi-I")</f>
        <v>Dudh Koshi-I</v>
      </c>
      <c r="C446" s="2">
        <f>IFERROR(__xludf.DUMMYFUNCTION("""COMPUTED_VALUE"""),425.0)</f>
        <v>425</v>
      </c>
      <c r="D446" s="2" t="str">
        <f>IFERROR(__xludf.DUMMYFUNCTION("""COMPUTED_VALUE"""),"Dudh Koshi")</f>
        <v>Dudh Koshi</v>
      </c>
      <c r="E446" s="2"/>
      <c r="F446" s="3">
        <f>IFERROR(__xludf.DUMMYFUNCTION("""COMPUTED_VALUE"""),60290.0)</f>
        <v>60290</v>
      </c>
      <c r="G446" s="2" t="str">
        <f>IFERROR(__xludf.DUMMYFUNCTION("""COMPUTED_VALUE"""),"Lenus Power Ltd")</f>
        <v>Lenus Power Ltd</v>
      </c>
      <c r="H446" s="2" t="str">
        <f>IFERROR(__xludf.DUMMYFUNCTION("""COMPUTED_VALUE"""),"Connaught Place, New Delhi-110001, Tel: 41523700")</f>
        <v>Connaught Place, New Delhi-110001, Tel: 41523700</v>
      </c>
      <c r="I446" s="2" t="str">
        <f>IFERROR(__xludf.DUMMYFUNCTION("""COMPUTED_VALUE"""),"27o 28' 00""")</f>
        <v>27o 28' 00"</v>
      </c>
      <c r="J446" s="2" t="str">
        <f>IFERROR(__xludf.DUMMYFUNCTION("""COMPUTED_VALUE"""),"27o 37' 00""")</f>
        <v>27o 37' 00"</v>
      </c>
      <c r="K446" s="2" t="str">
        <f>IFERROR(__xludf.DUMMYFUNCTION("""COMPUTED_VALUE"""),"86o 41' 00""")</f>
        <v>86o 41' 00"</v>
      </c>
      <c r="L446" s="2" t="str">
        <f>IFERROR(__xludf.DUMMYFUNCTION("""COMPUTED_VALUE"""),"86o 44' 00""")</f>
        <v>86o 44' 00"</v>
      </c>
      <c r="M446" s="2" t="str">
        <f>IFERROR(__xludf.DUMMYFUNCTION("""COMPUTED_VALUE"""),"Chaurikharka (Solukhumbu)")</f>
        <v>Chaurikharka (Solukhumbu)</v>
      </c>
    </row>
    <row r="447">
      <c r="A447" s="2">
        <f>IFERROR(__xludf.DUMMYFUNCTION("""COMPUTED_VALUE"""),446.0)</f>
        <v>446</v>
      </c>
      <c r="B447" s="2" t="str">
        <f>IFERROR(__xludf.DUMMYFUNCTION("""COMPUTED_VALUE"""),"Middle Tamakoshi")</f>
        <v>Middle Tamakoshi</v>
      </c>
      <c r="C447" s="2">
        <f>IFERROR(__xludf.DUMMYFUNCTION("""COMPUTED_VALUE"""),15.0)</f>
        <v>15</v>
      </c>
      <c r="D447" s="2" t="str">
        <f>IFERROR(__xludf.DUMMYFUNCTION("""COMPUTED_VALUE"""),"Tama Koshi")</f>
        <v>Tama Koshi</v>
      </c>
      <c r="E447" s="2"/>
      <c r="F447" s="3">
        <f>IFERROR(__xludf.DUMMYFUNCTION("""COMPUTED_VALUE"""),60290.0)</f>
        <v>60290</v>
      </c>
      <c r="G447" s="2" t="str">
        <f>IFERROR(__xludf.DUMMYFUNCTION("""COMPUTED_VALUE"""),"Manasalu Hydropower P. Ltd.")</f>
        <v>Manasalu Hydropower P. Ltd.</v>
      </c>
      <c r="H447" s="2"/>
      <c r="I447" s="2" t="str">
        <f>IFERROR(__xludf.DUMMYFUNCTION("""COMPUTED_VALUE"""),"27o 40' 00""")</f>
        <v>27o 40' 00"</v>
      </c>
      <c r="J447" s="2" t="str">
        <f>IFERROR(__xludf.DUMMYFUNCTION("""COMPUTED_VALUE"""),"27o 45' 29""")</f>
        <v>27o 45' 29"</v>
      </c>
      <c r="K447" s="2" t="str">
        <f>IFERROR(__xludf.DUMMYFUNCTION("""COMPUTED_VALUE"""),"86o 05' 00""")</f>
        <v>86o 05' 00"</v>
      </c>
      <c r="L447" s="2" t="str">
        <f>IFERROR(__xludf.DUMMYFUNCTION("""COMPUTED_VALUE"""),"86o 11' 00""")</f>
        <v>86o 11' 00"</v>
      </c>
      <c r="M447" s="2" t="str">
        <f>IFERROR(__xludf.DUMMYFUNCTION("""COMPUTED_VALUE"""),"(Dolakha)")</f>
        <v>(Dolakha)</v>
      </c>
    </row>
    <row r="448">
      <c r="A448" s="2">
        <f>IFERROR(__xludf.DUMMYFUNCTION("""COMPUTED_VALUE"""),447.0)</f>
        <v>447</v>
      </c>
      <c r="B448" s="2" t="str">
        <f>IFERROR(__xludf.DUMMYFUNCTION("""COMPUTED_VALUE"""),"Dudh Koshi-II")</f>
        <v>Dudh Koshi-II</v>
      </c>
      <c r="C448" s="2">
        <f>IFERROR(__xludf.DUMMYFUNCTION("""COMPUTED_VALUE"""),300.0)</f>
        <v>300</v>
      </c>
      <c r="D448" s="2" t="str">
        <f>IFERROR(__xludf.DUMMYFUNCTION("""COMPUTED_VALUE"""),"Dudh Koshi")</f>
        <v>Dudh Koshi</v>
      </c>
      <c r="E448" s="2"/>
      <c r="F448" s="3">
        <f>IFERROR(__xludf.DUMMYFUNCTION("""COMPUTED_VALUE"""),60290.0)</f>
        <v>60290</v>
      </c>
      <c r="G448" s="2" t="str">
        <f>IFERROR(__xludf.DUMMYFUNCTION("""COMPUTED_VALUE"""),"Lenus Power Ltd")</f>
        <v>Lenus Power Ltd</v>
      </c>
      <c r="H448" s="2" t="str">
        <f>IFERROR(__xludf.DUMMYFUNCTION("""COMPUTED_VALUE"""),"Connaught Place, New Delhi-110001, Tel: 41523700")</f>
        <v>Connaught Place, New Delhi-110001, Tel: 41523700</v>
      </c>
      <c r="I448" s="2" t="str">
        <f>IFERROR(__xludf.DUMMYFUNCTION("""COMPUTED_VALUE"""),"27o 37' 00""")</f>
        <v>27o 37' 00"</v>
      </c>
      <c r="J448" s="2" t="str">
        <f>IFERROR(__xludf.DUMMYFUNCTION("""COMPUTED_VALUE"""),"27o 42' 00""")</f>
        <v>27o 42' 00"</v>
      </c>
      <c r="K448" s="2" t="str">
        <f>IFERROR(__xludf.DUMMYFUNCTION("""COMPUTED_VALUE"""),"86o 41' 00""")</f>
        <v>86o 41' 00"</v>
      </c>
      <c r="L448" s="2" t="str">
        <f>IFERROR(__xludf.DUMMYFUNCTION("""COMPUTED_VALUE"""),"86o 44' 00""")</f>
        <v>86o 44' 00"</v>
      </c>
      <c r="M448" s="2" t="str">
        <f>IFERROR(__xludf.DUMMYFUNCTION("""COMPUTED_VALUE"""),"Chaurikharka (Solukhumbu)")</f>
        <v>Chaurikharka (Solukhumbu)</v>
      </c>
    </row>
    <row r="449">
      <c r="A449" s="2">
        <f>IFERROR(__xludf.DUMMYFUNCTION("""COMPUTED_VALUE"""),448.0)</f>
        <v>448</v>
      </c>
      <c r="B449" s="2" t="str">
        <f>IFERROR(__xludf.DUMMYFUNCTION("""COMPUTED_VALUE"""),"Arun-II")</f>
        <v>Arun-II</v>
      </c>
      <c r="C449" s="2">
        <f>IFERROR(__xludf.DUMMYFUNCTION("""COMPUTED_VALUE"""),1300.0)</f>
        <v>1300</v>
      </c>
      <c r="D449" s="2" t="str">
        <f>IFERROR(__xludf.DUMMYFUNCTION("""COMPUTED_VALUE"""),"Arun")</f>
        <v>Arun</v>
      </c>
      <c r="E449" s="2"/>
      <c r="F449" s="3">
        <f>IFERROR(__xludf.DUMMYFUNCTION("""COMPUTED_VALUE"""),60290.0)</f>
        <v>60290</v>
      </c>
      <c r="G449" s="2" t="str">
        <f>IFERROR(__xludf.DUMMYFUNCTION("""COMPUTED_VALUE"""),"Serida Power Ltd")</f>
        <v>Serida Power Ltd</v>
      </c>
      <c r="H449" s="2" t="str">
        <f>IFERROR(__xludf.DUMMYFUNCTION("""COMPUTED_VALUE"""),"Connaught Place, New Delhi-110001, Tel: 41523700")</f>
        <v>Connaught Place, New Delhi-110001, Tel: 41523700</v>
      </c>
      <c r="I449" s="2" t="str">
        <f>IFERROR(__xludf.DUMMYFUNCTION("""COMPUTED_VALUE"""),"27o 36' 00""")</f>
        <v>27o 36' 00"</v>
      </c>
      <c r="J449" s="2" t="str">
        <f>IFERROR(__xludf.DUMMYFUNCTION("""COMPUTED_VALUE"""),"27o 44' 00""")</f>
        <v>27o 44' 00"</v>
      </c>
      <c r="K449" s="2" t="str">
        <f>IFERROR(__xludf.DUMMYFUNCTION("""COMPUTED_VALUE"""),"87o 24' 00""")</f>
        <v>87o 24' 00"</v>
      </c>
      <c r="L449" s="2" t="str">
        <f>IFERROR(__xludf.DUMMYFUNCTION("""COMPUTED_VALUE"""),"87o 25' 00""")</f>
        <v>87o 25' 00"</v>
      </c>
      <c r="M449" s="2" t="str">
        <f>IFERROR(__xludf.DUMMYFUNCTION("""COMPUTED_VALUE"""),"Keemathnka (Sankhuwasabha)")</f>
        <v>Keemathnka (Sankhuwasabha)</v>
      </c>
    </row>
    <row r="450">
      <c r="A450" s="2">
        <f>IFERROR(__xludf.DUMMYFUNCTION("""COMPUTED_VALUE"""),449.0)</f>
        <v>449</v>
      </c>
      <c r="B450" s="2" t="str">
        <f>IFERROR(__xludf.DUMMYFUNCTION("""COMPUTED_VALUE"""),"Upper Phawa Khola")</f>
        <v>Upper Phawa Khola</v>
      </c>
      <c r="C450" s="2">
        <f>IFERROR(__xludf.DUMMYFUNCTION("""COMPUTED_VALUE"""),2.98)</f>
        <v>2.98</v>
      </c>
      <c r="D450" s="2" t="str">
        <f>IFERROR(__xludf.DUMMYFUNCTION("""COMPUTED_VALUE"""),"Phawa Khola")</f>
        <v>Phawa Khola</v>
      </c>
      <c r="E450" s="2"/>
      <c r="F450" s="3">
        <f>IFERROR(__xludf.DUMMYFUNCTION("""COMPUTED_VALUE"""),60292.0)</f>
        <v>60292</v>
      </c>
      <c r="G450" s="2" t="str">
        <f>IFERROR(__xludf.DUMMYFUNCTION("""COMPUTED_VALUE"""),"Qantum Energy")</f>
        <v>Qantum Energy</v>
      </c>
      <c r="H450" s="2"/>
      <c r="I450" s="2" t="str">
        <f>IFERROR(__xludf.DUMMYFUNCTION("""COMPUTED_VALUE"""),"27o 18' 40""")</f>
        <v>27o 18' 40"</v>
      </c>
      <c r="J450" s="2" t="str">
        <f>IFERROR(__xludf.DUMMYFUNCTION("""COMPUTED_VALUE"""),"27o 21' 05""")</f>
        <v>27o 21' 05"</v>
      </c>
      <c r="K450" s="2" t="str">
        <f>IFERROR(__xludf.DUMMYFUNCTION("""COMPUTED_VALUE"""),"87o 45' 00""")</f>
        <v>87o 45' 00"</v>
      </c>
      <c r="L450" s="2" t="str">
        <f>IFERROR(__xludf.DUMMYFUNCTION("""COMPUTED_VALUE"""),"87o 47' 20""")</f>
        <v>87o 47' 20"</v>
      </c>
      <c r="M450" s="2" t="str">
        <f>IFERROR(__xludf.DUMMYFUNCTION("""COMPUTED_VALUE"""),"(Taplejung)")</f>
        <v>(Taplejung)</v>
      </c>
    </row>
    <row r="451">
      <c r="A451" s="2">
        <f>IFERROR(__xludf.DUMMYFUNCTION("""COMPUTED_VALUE"""),450.0)</f>
        <v>450</v>
      </c>
      <c r="B451" s="2" t="str">
        <f>IFERROR(__xludf.DUMMYFUNCTION("""COMPUTED_VALUE"""),"Super Kabeli")</f>
        <v>Super Kabeli</v>
      </c>
      <c r="C451" s="2">
        <f>IFERROR(__xludf.DUMMYFUNCTION("""COMPUTED_VALUE"""),6.8)</f>
        <v>6.8</v>
      </c>
      <c r="D451" s="2" t="str">
        <f>IFERROR(__xludf.DUMMYFUNCTION("""COMPUTED_VALUE"""),"Kabeli Khola")</f>
        <v>Kabeli Khola</v>
      </c>
      <c r="E451" s="2"/>
      <c r="F451" s="3">
        <f>IFERROR(__xludf.DUMMYFUNCTION("""COMPUTED_VALUE"""),60292.0)</f>
        <v>60292</v>
      </c>
      <c r="G451" s="2" t="str">
        <f>IFERROR(__xludf.DUMMYFUNCTION("""COMPUTED_VALUE"""),"Quantum Energy P. Ltd")</f>
        <v>Quantum Energy P. Ltd</v>
      </c>
      <c r="H451" s="2" t="str">
        <f>IFERROR(__xludf.DUMMYFUNCTION("""COMPUTED_VALUE"""),"Lalitpur- 22, Nepal")</f>
        <v>Lalitpur- 22, Nepal</v>
      </c>
      <c r="I451" s="2" t="str">
        <f>IFERROR(__xludf.DUMMYFUNCTION("""COMPUTED_VALUE"""),"27o 24' 52""")</f>
        <v>27o 24' 52"</v>
      </c>
      <c r="J451" s="2" t="str">
        <f>IFERROR(__xludf.DUMMYFUNCTION("""COMPUTED_VALUE"""),"27o 28' 22""")</f>
        <v>27o 28' 22"</v>
      </c>
      <c r="K451" s="2" t="str">
        <f>IFERROR(__xludf.DUMMYFUNCTION("""COMPUTED_VALUE"""),"87o 51' 55""")</f>
        <v>87o 51' 55"</v>
      </c>
      <c r="L451" s="2" t="str">
        <f>IFERROR(__xludf.DUMMYFUNCTION("""COMPUTED_VALUE"""),"87o 54' 40""")</f>
        <v>87o 54' 40"</v>
      </c>
      <c r="M451" s="2" t="str">
        <f>IFERROR(__xludf.DUMMYFUNCTION("""COMPUTED_VALUE"""),"(Taplejung)")</f>
        <v>(Taplejung)</v>
      </c>
    </row>
    <row r="452">
      <c r="A452" s="2">
        <f>IFERROR(__xludf.DUMMYFUNCTION("""COMPUTED_VALUE"""),451.0)</f>
        <v>451</v>
      </c>
      <c r="B452" s="2" t="str">
        <f>IFERROR(__xludf.DUMMYFUNCTION("""COMPUTED_VALUE"""),"Machha Khola")</f>
        <v>Machha Khola</v>
      </c>
      <c r="C452" s="2">
        <f>IFERROR(__xludf.DUMMYFUNCTION("""COMPUTED_VALUE"""),0.995)</f>
        <v>0.995</v>
      </c>
      <c r="D452" s="2" t="str">
        <f>IFERROR(__xludf.DUMMYFUNCTION("""COMPUTED_VALUE"""),"Machha Khola")</f>
        <v>Machha Khola</v>
      </c>
      <c r="E452" s="2"/>
      <c r="F452" s="3">
        <f>IFERROR(__xludf.DUMMYFUNCTION("""COMPUTED_VALUE"""),60292.0)</f>
        <v>60292</v>
      </c>
      <c r="G452" s="2" t="str">
        <f>IFERROR(__xludf.DUMMYFUNCTION("""COMPUTED_VALUE"""),"Misan HPP")</f>
        <v>Misan HPP</v>
      </c>
      <c r="H452" s="2"/>
      <c r="I452" s="2" t="str">
        <f>IFERROR(__xludf.DUMMYFUNCTION("""COMPUTED_VALUE"""),"28o 12' 23""")</f>
        <v>28o 12' 23"</v>
      </c>
      <c r="J452" s="2" t="str">
        <f>IFERROR(__xludf.DUMMYFUNCTION("""COMPUTED_VALUE"""),"28o 14' 02""")</f>
        <v>28o 14' 02"</v>
      </c>
      <c r="K452" s="2" t="str">
        <f>IFERROR(__xludf.DUMMYFUNCTION("""COMPUTED_VALUE"""),"84o 49' 00""")</f>
        <v>84o 49' 00"</v>
      </c>
      <c r="L452" s="2" t="str">
        <f>IFERROR(__xludf.DUMMYFUNCTION("""COMPUTED_VALUE"""),"84o 53' 07""")</f>
        <v>84o 53' 07"</v>
      </c>
      <c r="M452" s="2" t="str">
        <f>IFERROR(__xludf.DUMMYFUNCTION("""COMPUTED_VALUE"""),"(Gorkha)")</f>
        <v>(Gorkha)</v>
      </c>
    </row>
    <row r="453">
      <c r="A453" s="2">
        <f>IFERROR(__xludf.DUMMYFUNCTION("""COMPUTED_VALUE"""),452.0)</f>
        <v>452</v>
      </c>
      <c r="B453" s="2" t="str">
        <f>IFERROR(__xludf.DUMMYFUNCTION("""COMPUTED_VALUE"""),"Upper Surnaya gad")</f>
        <v>Upper Surnaya gad</v>
      </c>
      <c r="C453" s="2">
        <f>IFERROR(__xludf.DUMMYFUNCTION("""COMPUTED_VALUE"""),5.0)</f>
        <v>5</v>
      </c>
      <c r="D453" s="2" t="str">
        <f>IFERROR(__xludf.DUMMYFUNCTION("""COMPUTED_VALUE"""),"Surnaya Gad")</f>
        <v>Surnaya Gad</v>
      </c>
      <c r="E453" s="2"/>
      <c r="F453" s="3">
        <f>IFERROR(__xludf.DUMMYFUNCTION("""COMPUTED_VALUE"""),60292.0)</f>
        <v>60292</v>
      </c>
      <c r="G453" s="2" t="str">
        <f>IFERROR(__xludf.DUMMYFUNCTION("""COMPUTED_VALUE"""),"Kedar Karki, Bharatmani Paudyal and others")</f>
        <v>Kedar Karki, Bharatmani Paudyal and others</v>
      </c>
      <c r="H453" s="2"/>
      <c r="I453" s="2" t="str">
        <f>IFERROR(__xludf.DUMMYFUNCTION("""COMPUTED_VALUE"""),"29o 26' 08""")</f>
        <v>29o 26' 08"</v>
      </c>
      <c r="J453" s="2" t="str">
        <f>IFERROR(__xludf.DUMMYFUNCTION("""COMPUTED_VALUE"""),"29o 27' 30""")</f>
        <v>29o 27' 30"</v>
      </c>
      <c r="K453" s="2" t="str">
        <f>IFERROR(__xludf.DUMMYFUNCTION("""COMPUTED_VALUE"""),"80o 30' 15""")</f>
        <v>80o 30' 15"</v>
      </c>
      <c r="L453" s="2" t="str">
        <f>IFERROR(__xludf.DUMMYFUNCTION("""COMPUTED_VALUE"""),"80o 32' 20""")</f>
        <v>80o 32' 20"</v>
      </c>
      <c r="M453" s="2" t="str">
        <f>IFERROR(__xludf.DUMMYFUNCTION("""COMPUTED_VALUE"""),"(Baitadi)")</f>
        <v>(Baitadi)</v>
      </c>
    </row>
    <row r="454">
      <c r="A454" s="2">
        <f>IFERROR(__xludf.DUMMYFUNCTION("""COMPUTED_VALUE"""),453.0)</f>
        <v>453</v>
      </c>
      <c r="B454" s="2" t="str">
        <f>IFERROR(__xludf.DUMMYFUNCTION("""COMPUTED_VALUE"""),"Malla Khola")</f>
        <v>Malla Khola</v>
      </c>
      <c r="C454" s="2">
        <f>IFERROR(__xludf.DUMMYFUNCTION("""COMPUTED_VALUE"""),0.99)</f>
        <v>0.99</v>
      </c>
      <c r="D454" s="2" t="str">
        <f>IFERROR(__xludf.DUMMYFUNCTION("""COMPUTED_VALUE"""),"Malla")</f>
        <v>Malla</v>
      </c>
      <c r="E454" s="2"/>
      <c r="F454" s="3">
        <f>IFERROR(__xludf.DUMMYFUNCTION("""COMPUTED_VALUE"""),60293.0)</f>
        <v>60293</v>
      </c>
      <c r="G454" s="2" t="str">
        <f>IFERROR(__xludf.DUMMYFUNCTION("""COMPUTED_VALUE"""),"Prasad Upadhya")</f>
        <v>Prasad Upadhya</v>
      </c>
      <c r="H454" s="2"/>
      <c r="I454" s="2" t="str">
        <f>IFERROR(__xludf.DUMMYFUNCTION("""COMPUTED_VALUE"""),"29o 18' 35""")</f>
        <v>29o 18' 35"</v>
      </c>
      <c r="J454" s="2" t="str">
        <f>IFERROR(__xludf.DUMMYFUNCTION("""COMPUTED_VALUE"""),"29o 21' 35""")</f>
        <v>29o 21' 35"</v>
      </c>
      <c r="K454" s="2" t="str">
        <f>IFERROR(__xludf.DUMMYFUNCTION("""COMPUTED_VALUE"""),"81o 22' 22""")</f>
        <v>81o 22' 22"</v>
      </c>
      <c r="L454" s="2" t="str">
        <f>IFERROR(__xludf.DUMMYFUNCTION("""COMPUTED_VALUE"""),"81o 25' 37""")</f>
        <v>81o 25' 37"</v>
      </c>
      <c r="M454" s="2" t="str">
        <f>IFERROR(__xludf.DUMMYFUNCTION("""COMPUTED_VALUE"""),"(Bajura)")</f>
        <v>(Bajura)</v>
      </c>
    </row>
    <row r="455">
      <c r="A455" s="2">
        <f>IFERROR(__xludf.DUMMYFUNCTION("""COMPUTED_VALUE"""),454.0)</f>
        <v>454</v>
      </c>
      <c r="B455" s="2" t="str">
        <f>IFERROR(__xludf.DUMMYFUNCTION("""COMPUTED_VALUE"""),"Sarada Khola")</f>
        <v>Sarada Khola</v>
      </c>
      <c r="C455" s="2">
        <f>IFERROR(__xludf.DUMMYFUNCTION("""COMPUTED_VALUE"""),0.99)</f>
        <v>0.99</v>
      </c>
      <c r="D455" s="2" t="str">
        <f>IFERROR(__xludf.DUMMYFUNCTION("""COMPUTED_VALUE"""),"Sharada")</f>
        <v>Sharada</v>
      </c>
      <c r="E455" s="2"/>
      <c r="F455" s="3">
        <f>IFERROR(__xludf.DUMMYFUNCTION("""COMPUTED_VALUE"""),60293.0)</f>
        <v>60293</v>
      </c>
      <c r="G455" s="2" t="str">
        <f>IFERROR(__xludf.DUMMYFUNCTION("""COMPUTED_VALUE"""),"Purna Kumari Rokka")</f>
        <v>Purna Kumari Rokka</v>
      </c>
      <c r="H455" s="2"/>
      <c r="I455" s="2" t="str">
        <f>IFERROR(__xludf.DUMMYFUNCTION("""COMPUTED_VALUE"""),"28o 16' 09""")</f>
        <v>28o 16' 09"</v>
      </c>
      <c r="J455" s="2" t="str">
        <f>IFERROR(__xludf.DUMMYFUNCTION("""COMPUTED_VALUE"""),"28o 18' 30""")</f>
        <v>28o 18' 30"</v>
      </c>
      <c r="K455" s="2" t="str">
        <f>IFERROR(__xludf.DUMMYFUNCTION("""COMPUTED_VALUE"""),"81o 54' 29""")</f>
        <v>81o 54' 29"</v>
      </c>
      <c r="L455" s="2" t="str">
        <f>IFERROR(__xludf.DUMMYFUNCTION("""COMPUTED_VALUE"""),"81o 56' 51""")</f>
        <v>81o 56' 51"</v>
      </c>
      <c r="M455" s="2" t="str">
        <f>IFERROR(__xludf.DUMMYFUNCTION("""COMPUTED_VALUE"""),"(Salyan)")</f>
        <v>(Salyan)</v>
      </c>
    </row>
    <row r="456">
      <c r="A456" s="2">
        <f>IFERROR(__xludf.DUMMYFUNCTION("""COMPUTED_VALUE"""),455.0)</f>
        <v>455</v>
      </c>
      <c r="B456" s="2" t="str">
        <f>IFERROR(__xludf.DUMMYFUNCTION("""COMPUTED_VALUE"""),"Marsyangdi Chipla")</f>
        <v>Marsyangdi Chipla</v>
      </c>
      <c r="C456" s="2">
        <f>IFERROR(__xludf.DUMMYFUNCTION("""COMPUTED_VALUE"""),55.5)</f>
        <v>55.5</v>
      </c>
      <c r="D456" s="2" t="str">
        <f>IFERROR(__xludf.DUMMYFUNCTION("""COMPUTED_VALUE"""),"Marsyangdi")</f>
        <v>Marsyangdi</v>
      </c>
      <c r="E456" s="2"/>
      <c r="F456" s="3">
        <f>IFERROR(__xludf.DUMMYFUNCTION("""COMPUTED_VALUE"""),60296.0)</f>
        <v>60296</v>
      </c>
      <c r="G456" s="2" t="str">
        <f>IFERROR(__xludf.DUMMYFUNCTION("""COMPUTED_VALUE"""),"Manakamana Trade International (P) Ltd")</f>
        <v>Manakamana Trade International (P) Ltd</v>
      </c>
      <c r="H456" s="2" t="str">
        <f>IFERROR(__xludf.DUMMYFUNCTION("""COMPUTED_VALUE"""),"GPO Box 12064, New Baneswor, Kathmandu.")</f>
        <v>GPO Box 12064, New Baneswor, Kathmandu.</v>
      </c>
      <c r="I456" s="2" t="str">
        <f>IFERROR(__xludf.DUMMYFUNCTION("""COMPUTED_VALUE"""),"28o 23' 50""")</f>
        <v>28o 23' 50"</v>
      </c>
      <c r="J456" s="2" t="str">
        <f>IFERROR(__xludf.DUMMYFUNCTION("""COMPUTED_VALUE"""),"28o 26' 45""")</f>
        <v>28o 26' 45"</v>
      </c>
      <c r="K456" s="2" t="str">
        <f>IFERROR(__xludf.DUMMYFUNCTION("""COMPUTED_VALUE"""),"84o 22' 00""")</f>
        <v>84o 22' 00"</v>
      </c>
      <c r="L456" s="2" t="str">
        <f>IFERROR(__xludf.DUMMYFUNCTION("""COMPUTED_VALUE"""),"84o 25' 10""")</f>
        <v>84o 25' 10"</v>
      </c>
      <c r="M456" s="2" t="str">
        <f>IFERROR(__xludf.DUMMYFUNCTION("""COMPUTED_VALUE"""),"(Lamjung)")</f>
        <v>(Lamjung)</v>
      </c>
    </row>
    <row r="457">
      <c r="A457" s="2">
        <f>IFERROR(__xludf.DUMMYFUNCTION("""COMPUTED_VALUE"""),456.0)</f>
        <v>456</v>
      </c>
      <c r="B457" s="2" t="str">
        <f>IFERROR(__xludf.DUMMYFUNCTION("""COMPUTED_VALUE"""),"Middle Hewa")</f>
        <v>Middle Hewa</v>
      </c>
      <c r="C457" s="2">
        <f>IFERROR(__xludf.DUMMYFUNCTION("""COMPUTED_VALUE"""),3.8)</f>
        <v>3.8</v>
      </c>
      <c r="D457" s="2" t="str">
        <f>IFERROR(__xludf.DUMMYFUNCTION("""COMPUTED_VALUE"""),"Hewa Khola")</f>
        <v>Hewa Khola</v>
      </c>
      <c r="E457" s="2"/>
      <c r="F457" s="3">
        <f>IFERROR(__xludf.DUMMYFUNCTION("""COMPUTED_VALUE"""),60296.0)</f>
        <v>60296</v>
      </c>
      <c r="G457" s="2" t="str">
        <f>IFERROR(__xludf.DUMMYFUNCTION("""COMPUTED_VALUE"""),"Ghanaraj Limbu")</f>
        <v>Ghanaraj Limbu</v>
      </c>
      <c r="H457" s="2"/>
      <c r="I457" s="2" t="str">
        <f>IFERROR(__xludf.DUMMYFUNCTION("""COMPUTED_VALUE"""),"27o 09' 40""")</f>
        <v>27o 09' 40"</v>
      </c>
      <c r="J457" s="2" t="str">
        <f>IFERROR(__xludf.DUMMYFUNCTION("""COMPUTED_VALUE"""),"27o 10' 40""")</f>
        <v>27o 10' 40"</v>
      </c>
      <c r="K457" s="2" t="str">
        <f>IFERROR(__xludf.DUMMYFUNCTION("""COMPUTED_VALUE"""),"87o 46' 15""")</f>
        <v>87o 46' 15"</v>
      </c>
      <c r="L457" s="2" t="str">
        <f>IFERROR(__xludf.DUMMYFUNCTION("""COMPUTED_VALUE"""),"87o 47' 45""")</f>
        <v>87o 47' 45"</v>
      </c>
      <c r="M457" s="2" t="str">
        <f>IFERROR(__xludf.DUMMYFUNCTION("""COMPUTED_VALUE"""),"(Panchthar)")</f>
        <v>(Panchthar)</v>
      </c>
    </row>
    <row r="458">
      <c r="A458" s="2">
        <f>IFERROR(__xludf.DUMMYFUNCTION("""COMPUTED_VALUE"""),457.0)</f>
        <v>457</v>
      </c>
      <c r="B458" s="2" t="str">
        <f>IFERROR(__xludf.DUMMYFUNCTION("""COMPUTED_VALUE"""),"Tadi Khola")</f>
        <v>Tadi Khola</v>
      </c>
      <c r="C458" s="2">
        <f>IFERROR(__xludf.DUMMYFUNCTION("""COMPUTED_VALUE"""),3.0)</f>
        <v>3</v>
      </c>
      <c r="D458" s="2" t="str">
        <f>IFERROR(__xludf.DUMMYFUNCTION("""COMPUTED_VALUE"""),"Tadi Khola")</f>
        <v>Tadi Khola</v>
      </c>
      <c r="E458" s="2"/>
      <c r="F458" s="3">
        <f>IFERROR(__xludf.DUMMYFUNCTION("""COMPUTED_VALUE"""),60297.0)</f>
        <v>60297</v>
      </c>
      <c r="G458" s="2" t="str">
        <f>IFERROR(__xludf.DUMMYFUNCTION("""COMPUTED_VALUE"""),"Goodwill Energy Hydropower Company Pvt. Ltd.")</f>
        <v>Goodwill Energy Hydropower Company Pvt. Ltd.</v>
      </c>
      <c r="H458" s="2" t="str">
        <f>IFERROR(__xludf.DUMMYFUNCTION("""COMPUTED_VALUE"""),"Kathmandu, Phone 9851091288")</f>
        <v>Kathmandu, Phone 9851091288</v>
      </c>
      <c r="I458" s="2" t="str">
        <f>IFERROR(__xludf.DUMMYFUNCTION("""COMPUTED_VALUE"""),"27o 54' 30""")</f>
        <v>27o 54' 30"</v>
      </c>
      <c r="J458" s="2" t="str">
        <f>IFERROR(__xludf.DUMMYFUNCTION("""COMPUTED_VALUE"""),"27o 55' 24""")</f>
        <v>27o 55' 24"</v>
      </c>
      <c r="K458" s="2" t="str">
        <f>IFERROR(__xludf.DUMMYFUNCTION("""COMPUTED_VALUE"""),"85o 16' 43""")</f>
        <v>85o 16' 43"</v>
      </c>
      <c r="L458" s="2" t="str">
        <f>IFERROR(__xludf.DUMMYFUNCTION("""COMPUTED_VALUE"""),"85o 19' 10""")</f>
        <v>85o 19' 10"</v>
      </c>
      <c r="M458" s="2" t="str">
        <f>IFERROR(__xludf.DUMMYFUNCTION("""COMPUTED_VALUE"""),"(Nuwakot)")</f>
        <v>(Nuwakot)</v>
      </c>
    </row>
    <row r="459">
      <c r="A459" s="2">
        <f>IFERROR(__xludf.DUMMYFUNCTION("""COMPUTED_VALUE"""),458.0)</f>
        <v>458</v>
      </c>
      <c r="B459" s="2" t="str">
        <f>IFERROR(__xludf.DUMMYFUNCTION("""COMPUTED_VALUE"""),"Istul Khola")</f>
        <v>Istul Khola</v>
      </c>
      <c r="C459" s="2">
        <f>IFERROR(__xludf.DUMMYFUNCTION("""COMPUTED_VALUE"""),0.99)</f>
        <v>0.99</v>
      </c>
      <c r="D459" s="2" t="str">
        <f>IFERROR(__xludf.DUMMYFUNCTION("""COMPUTED_VALUE"""),"Istul")</f>
        <v>Istul</v>
      </c>
      <c r="E459" s="2"/>
      <c r="F459" s="3">
        <f>IFERROR(__xludf.DUMMYFUNCTION("""COMPUTED_VALUE"""),60297.0)</f>
        <v>60297</v>
      </c>
      <c r="G459" s="2" t="str">
        <f>IFERROR(__xludf.DUMMYFUNCTION("""COMPUTED_VALUE"""),"Nasala Shakya")</f>
        <v>Nasala Shakya</v>
      </c>
      <c r="H459" s="2"/>
      <c r="I459" s="2" t="str">
        <f>IFERROR(__xludf.DUMMYFUNCTION("""COMPUTED_VALUE"""),"28o 04' 11""")</f>
        <v>28o 04' 11"</v>
      </c>
      <c r="J459" s="2" t="str">
        <f>IFERROR(__xludf.DUMMYFUNCTION("""COMPUTED_VALUE"""),"28o 06' 00""")</f>
        <v>28o 06' 00"</v>
      </c>
      <c r="K459" s="2" t="str">
        <f>IFERROR(__xludf.DUMMYFUNCTION("""COMPUTED_VALUE"""),"84o 45' 00""")</f>
        <v>84o 45' 00"</v>
      </c>
      <c r="L459" s="2" t="str">
        <f>IFERROR(__xludf.DUMMYFUNCTION("""COMPUTED_VALUE"""),"84o 46' 00""")</f>
        <v>84o 46' 00"</v>
      </c>
      <c r="M459" s="2" t="str">
        <f>IFERROR(__xludf.DUMMYFUNCTION("""COMPUTED_VALUE"""),"(Gorkha)")</f>
        <v>(Gorkha)</v>
      </c>
    </row>
    <row r="460">
      <c r="A460" s="2">
        <f>IFERROR(__xludf.DUMMYFUNCTION("""COMPUTED_VALUE"""),459.0)</f>
        <v>459</v>
      </c>
      <c r="B460" s="2" t="str">
        <f>IFERROR(__xludf.DUMMYFUNCTION("""COMPUTED_VALUE"""),"Mistri Khola")</f>
        <v>Mistri Khola</v>
      </c>
      <c r="C460" s="2">
        <f>IFERROR(__xludf.DUMMYFUNCTION("""COMPUTED_VALUE"""),0.96)</f>
        <v>0.96</v>
      </c>
      <c r="D460" s="2" t="str">
        <f>IFERROR(__xludf.DUMMYFUNCTION("""COMPUTED_VALUE"""),"Mistri")</f>
        <v>Mistri</v>
      </c>
      <c r="E460" s="2"/>
      <c r="F460" s="3">
        <f>IFERROR(__xludf.DUMMYFUNCTION("""COMPUTED_VALUE"""),60297.0)</f>
        <v>60297</v>
      </c>
      <c r="G460" s="2" t="str">
        <f>IFERROR(__xludf.DUMMYFUNCTION("""COMPUTED_VALUE"""),"Shiblal Paudel")</f>
        <v>Shiblal Paudel</v>
      </c>
      <c r="H460" s="2"/>
      <c r="I460" s="2" t="str">
        <f>IFERROR(__xludf.DUMMYFUNCTION("""COMPUTED_VALUE"""),"28o 32' 15""")</f>
        <v>28o 32' 15"</v>
      </c>
      <c r="J460" s="2" t="str">
        <f>IFERROR(__xludf.DUMMYFUNCTION("""COMPUTED_VALUE"""),"28o 33' 34""")</f>
        <v>28o 33' 34"</v>
      </c>
      <c r="K460" s="2" t="str">
        <f>IFERROR(__xludf.DUMMYFUNCTION("""COMPUTED_VALUE"""),"83o 40' 00""")</f>
        <v>83o 40' 00"</v>
      </c>
      <c r="L460" s="2" t="str">
        <f>IFERROR(__xludf.DUMMYFUNCTION("""COMPUTED_VALUE"""),"83o 41' 37""")</f>
        <v>83o 41' 37"</v>
      </c>
      <c r="M460" s="2" t="str">
        <f>IFERROR(__xludf.DUMMYFUNCTION("""COMPUTED_VALUE"""),"(Myagdi)")</f>
        <v>(Myagdi)</v>
      </c>
    </row>
    <row r="461">
      <c r="A461" s="2">
        <f>IFERROR(__xludf.DUMMYFUNCTION("""COMPUTED_VALUE"""),460.0)</f>
        <v>460</v>
      </c>
      <c r="B461" s="2" t="str">
        <f>IFERROR(__xludf.DUMMYFUNCTION("""COMPUTED_VALUE"""),"Lower Bagmati")</f>
        <v>Lower Bagmati</v>
      </c>
      <c r="C461" s="2">
        <f>IFERROR(__xludf.DUMMYFUNCTION("""COMPUTED_VALUE"""),23.0)</f>
        <v>23</v>
      </c>
      <c r="D461" s="2" t="str">
        <f>IFERROR(__xludf.DUMMYFUNCTION("""COMPUTED_VALUE"""),"Bagmati")</f>
        <v>Bagmati</v>
      </c>
      <c r="E461" s="2"/>
      <c r="F461" s="3">
        <f>IFERROR(__xludf.DUMMYFUNCTION("""COMPUTED_VALUE"""),60297.0)</f>
        <v>60297</v>
      </c>
      <c r="G461" s="2" t="str">
        <f>IFERROR(__xludf.DUMMYFUNCTION("""COMPUTED_VALUE"""),"Interkraft Nepal AS")</f>
        <v>Interkraft Nepal AS</v>
      </c>
      <c r="H461" s="2" t="str">
        <f>IFERROR(__xludf.DUMMYFUNCTION("""COMPUTED_VALUE"""),"POB 12058 Kathmandu, Nepal")</f>
        <v>POB 12058 Kathmandu, Nepal</v>
      </c>
      <c r="I461" s="2" t="str">
        <f>IFERROR(__xludf.DUMMYFUNCTION("""COMPUTED_VALUE"""),"27o 20' 40""")</f>
        <v>27o 20' 40"</v>
      </c>
      <c r="J461" s="2" t="str">
        <f>IFERROR(__xludf.DUMMYFUNCTION("""COMPUTED_VALUE"""),"27o 36' 00""")</f>
        <v>27o 36' 00"</v>
      </c>
      <c r="K461" s="2" t="str">
        <f>IFERROR(__xludf.DUMMYFUNCTION("""COMPUTED_VALUE"""),"85o 15' 55""")</f>
        <v>85o 15' 55"</v>
      </c>
      <c r="L461" s="2" t="str">
        <f>IFERROR(__xludf.DUMMYFUNCTION("""COMPUTED_VALUE"""),"85o 24' 00""")</f>
        <v>85o 24' 00"</v>
      </c>
      <c r="M461" s="2" t="str">
        <f>IFERROR(__xludf.DUMMYFUNCTION("""COMPUTED_VALUE"""),"(Lalitpur)")</f>
        <v>(Lalitpur)</v>
      </c>
    </row>
    <row r="462">
      <c r="A462" s="2">
        <f>IFERROR(__xludf.DUMMYFUNCTION("""COMPUTED_VALUE"""),461.0)</f>
        <v>461</v>
      </c>
      <c r="B462" s="2" t="str">
        <f>IFERROR(__xludf.DUMMYFUNCTION("""COMPUTED_VALUE"""),"Gad Khola")</f>
        <v>Gad Khola</v>
      </c>
      <c r="C462" s="2">
        <f>IFERROR(__xludf.DUMMYFUNCTION("""COMPUTED_VALUE"""),0.99)</f>
        <v>0.99</v>
      </c>
      <c r="D462" s="2" t="str">
        <f>IFERROR(__xludf.DUMMYFUNCTION("""COMPUTED_VALUE"""),"Gad")</f>
        <v>Gad</v>
      </c>
      <c r="E462" s="2"/>
      <c r="F462" s="3">
        <f>IFERROR(__xludf.DUMMYFUNCTION("""COMPUTED_VALUE"""),60297.0)</f>
        <v>60297</v>
      </c>
      <c r="G462" s="2" t="str">
        <f>IFERROR(__xludf.DUMMYFUNCTION("""COMPUTED_VALUE"""),"Purna Kumari Rokka")</f>
        <v>Purna Kumari Rokka</v>
      </c>
      <c r="H462" s="2"/>
      <c r="I462" s="2" t="str">
        <f>IFERROR(__xludf.DUMMYFUNCTION("""COMPUTED_VALUE"""),"28o 56' 32""")</f>
        <v>28o 56' 32"</v>
      </c>
      <c r="J462" s="2" t="str">
        <f>IFERROR(__xludf.DUMMYFUNCTION("""COMPUTED_VALUE"""),"28o 57' 30""")</f>
        <v>28o 57' 30"</v>
      </c>
      <c r="K462" s="2" t="str">
        <f>IFERROR(__xludf.DUMMYFUNCTION("""COMPUTED_VALUE"""),"81o 56' 32""")</f>
        <v>81o 56' 32"</v>
      </c>
      <c r="L462" s="2" t="str">
        <f>IFERROR(__xludf.DUMMYFUNCTION("""COMPUTED_VALUE"""),"81o 57' 30""")</f>
        <v>81o 57' 30"</v>
      </c>
      <c r="M462" s="2" t="str">
        <f>IFERROR(__xludf.DUMMYFUNCTION("""COMPUTED_VALUE"""),"(Jajarkot)")</f>
        <v>(Jajarkot)</v>
      </c>
    </row>
    <row r="463">
      <c r="A463" s="2">
        <f>IFERROR(__xludf.DUMMYFUNCTION("""COMPUTED_VALUE"""),462.0)</f>
        <v>462</v>
      </c>
      <c r="B463" s="2" t="str">
        <f>IFERROR(__xludf.DUMMYFUNCTION("""COMPUTED_VALUE"""),"Lukarban Khola")</f>
        <v>Lukarban Khola</v>
      </c>
      <c r="C463" s="2">
        <f>IFERROR(__xludf.DUMMYFUNCTION("""COMPUTED_VALUE"""),0.96)</f>
        <v>0.96</v>
      </c>
      <c r="D463" s="2" t="str">
        <f>IFERROR(__xludf.DUMMYFUNCTION("""COMPUTED_VALUE"""),"Lukarban")</f>
        <v>Lukarban</v>
      </c>
      <c r="E463" s="2"/>
      <c r="F463" s="3">
        <f>IFERROR(__xludf.DUMMYFUNCTION("""COMPUTED_VALUE"""),60297.0)</f>
        <v>60297</v>
      </c>
      <c r="G463" s="2" t="str">
        <f>IFERROR(__xludf.DUMMYFUNCTION("""COMPUTED_VALUE"""),"Ram Prasad Bhandari / Gajadhar Sapkota")</f>
        <v>Ram Prasad Bhandari / Gajadhar Sapkota</v>
      </c>
      <c r="H463" s="2"/>
      <c r="I463" s="2" t="str">
        <f>IFERROR(__xludf.DUMMYFUNCTION("""COMPUTED_VALUE"""),"28o 21' 00""")</f>
        <v>28o 21' 00"</v>
      </c>
      <c r="J463" s="2" t="str">
        <f>IFERROR(__xludf.DUMMYFUNCTION("""COMPUTED_VALUE"""),"28o 21' 15""")</f>
        <v>28o 21' 15"</v>
      </c>
      <c r="K463" s="2" t="str">
        <f>IFERROR(__xludf.DUMMYFUNCTION("""COMPUTED_VALUE"""),"83o 12' 30""")</f>
        <v>83o 12' 30"</v>
      </c>
      <c r="L463" s="2" t="str">
        <f>IFERROR(__xludf.DUMMYFUNCTION("""COMPUTED_VALUE"""),"83o 15' 00""")</f>
        <v>83o 15' 00"</v>
      </c>
      <c r="M463" s="2" t="str">
        <f>IFERROR(__xludf.DUMMYFUNCTION("""COMPUTED_VALUE"""),"(Baglung)")</f>
        <v>(Baglung)</v>
      </c>
    </row>
    <row r="464">
      <c r="A464" s="2">
        <f>IFERROR(__xludf.DUMMYFUNCTION("""COMPUTED_VALUE"""),463.0)</f>
        <v>463</v>
      </c>
      <c r="B464" s="2" t="str">
        <f>IFERROR(__xludf.DUMMYFUNCTION("""COMPUTED_VALUE"""),"Lankhuwa Khola")</f>
        <v>Lankhuwa Khola</v>
      </c>
      <c r="C464" s="2">
        <f>IFERROR(__xludf.DUMMYFUNCTION("""COMPUTED_VALUE"""),0.99)</f>
        <v>0.99</v>
      </c>
      <c r="D464" s="2" t="str">
        <f>IFERROR(__xludf.DUMMYFUNCTION("""COMPUTED_VALUE"""),"Lankhuwa")</f>
        <v>Lankhuwa</v>
      </c>
      <c r="E464" s="2"/>
      <c r="F464" s="3">
        <f>IFERROR(__xludf.DUMMYFUNCTION("""COMPUTED_VALUE"""),60298.0)</f>
        <v>60298</v>
      </c>
      <c r="G464" s="2" t="str">
        <f>IFERROR(__xludf.DUMMYFUNCTION("""COMPUTED_VALUE"""),"Jit Bahadur Karki")</f>
        <v>Jit Bahadur Karki</v>
      </c>
      <c r="H464" s="2"/>
      <c r="I464" s="2" t="str">
        <f>IFERROR(__xludf.DUMMYFUNCTION("""COMPUTED_VALUE"""),"27o 26' 29""")</f>
        <v>27o 26' 29"</v>
      </c>
      <c r="J464" s="2" t="str">
        <f>IFERROR(__xludf.DUMMYFUNCTION("""COMPUTED_VALUE"""),"27o 28' 40""")</f>
        <v>27o 28' 40"</v>
      </c>
      <c r="K464" s="2" t="str">
        <f>IFERROR(__xludf.DUMMYFUNCTION("""COMPUTED_VALUE"""),"87o 16' 57""")</f>
        <v>87o 16' 57"</v>
      </c>
      <c r="L464" s="2" t="str">
        <f>IFERROR(__xludf.DUMMYFUNCTION("""COMPUTED_VALUE"""),"87o 19' 25""")</f>
        <v>87o 19' 25"</v>
      </c>
      <c r="M464" s="2" t="str">
        <f>IFERROR(__xludf.DUMMYFUNCTION("""COMPUTED_VALUE"""),"(Sankhuwasabha)")</f>
        <v>(Sankhuwasabha)</v>
      </c>
    </row>
    <row r="465">
      <c r="A465" s="2">
        <f>IFERROR(__xludf.DUMMYFUNCTION("""COMPUTED_VALUE"""),464.0)</f>
        <v>464</v>
      </c>
      <c r="B465" s="2" t="str">
        <f>IFERROR(__xludf.DUMMYFUNCTION("""COMPUTED_VALUE"""),"Surnaya Gad")</f>
        <v>Surnaya Gad</v>
      </c>
      <c r="C465" s="2">
        <f>IFERROR(__xludf.DUMMYFUNCTION("""COMPUTED_VALUE"""),5.0)</f>
        <v>5</v>
      </c>
      <c r="D465" s="2" t="str">
        <f>IFERROR(__xludf.DUMMYFUNCTION("""COMPUTED_VALUE"""),"Surnaya Gad")</f>
        <v>Surnaya Gad</v>
      </c>
      <c r="E465" s="2"/>
      <c r="F465" s="3">
        <f>IFERROR(__xludf.DUMMYFUNCTION("""COMPUTED_VALUE"""),60298.0)</f>
        <v>60298</v>
      </c>
      <c r="G465" s="2" t="str">
        <f>IFERROR(__xludf.DUMMYFUNCTION("""COMPUTED_VALUE"""),"Yagya Prasad Subedi, Gokarna Pande, Dipak Acharya, Dipak Sharma")</f>
        <v>Yagya Prasad Subedi, Gokarna Pande, Dipak Acharya, Dipak Sharma</v>
      </c>
      <c r="H465" s="2" t="str">
        <f>IFERROR(__xludf.DUMMYFUNCTION("""COMPUTED_VALUE"""),"Buddhanagar Baneswor Kathmandu")</f>
        <v>Buddhanagar Baneswor Kathmandu</v>
      </c>
      <c r="I465" s="2" t="str">
        <f>IFERROR(__xludf.DUMMYFUNCTION("""COMPUTED_VALUE"""),"29o 22' 47""")</f>
        <v>29o 22' 47"</v>
      </c>
      <c r="J465" s="2" t="str">
        <f>IFERROR(__xludf.DUMMYFUNCTION("""COMPUTED_VALUE"""),"29o 23' 51""")</f>
        <v>29o 23' 51"</v>
      </c>
      <c r="K465" s="2" t="str">
        <f>IFERROR(__xludf.DUMMYFUNCTION("""COMPUTED_VALUE"""),"80o 25' 33""")</f>
        <v>80o 25' 33"</v>
      </c>
      <c r="L465" s="2" t="str">
        <f>IFERROR(__xludf.DUMMYFUNCTION("""COMPUTED_VALUE"""),"80o 27' 20""")</f>
        <v>80o 27' 20"</v>
      </c>
      <c r="M465" s="2" t="str">
        <f>IFERROR(__xludf.DUMMYFUNCTION("""COMPUTED_VALUE"""),"Melauli (Baitadi) Dewal Dibyapur (Dadeldhura)")</f>
        <v>Melauli (Baitadi) Dewal Dibyapur (Dadeldhura)</v>
      </c>
    </row>
    <row r="466">
      <c r="A466" s="2">
        <f>IFERROR(__xludf.DUMMYFUNCTION("""COMPUTED_VALUE"""),465.0)</f>
        <v>465</v>
      </c>
      <c r="B466" s="2" t="str">
        <f>IFERROR(__xludf.DUMMYFUNCTION("""COMPUTED_VALUE"""),"Mardi Khola")</f>
        <v>Mardi Khola</v>
      </c>
      <c r="C466" s="2">
        <f>IFERROR(__xludf.DUMMYFUNCTION("""COMPUTED_VALUE"""),2.0)</f>
        <v>2</v>
      </c>
      <c r="D466" s="2" t="str">
        <f>IFERROR(__xludf.DUMMYFUNCTION("""COMPUTED_VALUE"""),"Mardi")</f>
        <v>Mardi</v>
      </c>
      <c r="E466" s="2"/>
      <c r="F466" s="3">
        <f>IFERROR(__xludf.DUMMYFUNCTION("""COMPUTED_VALUE"""),60299.0)</f>
        <v>60299</v>
      </c>
      <c r="G466" s="2" t="str">
        <f>IFERROR(__xludf.DUMMYFUNCTION("""COMPUTED_VALUE"""),"Idi Mardi Hydropower")</f>
        <v>Idi Mardi Hydropower</v>
      </c>
      <c r="H466" s="2"/>
      <c r="I466" s="2" t="str">
        <f>IFERROR(__xludf.DUMMYFUNCTION("""COMPUTED_VALUE"""),"28o 21' 00""")</f>
        <v>28o 21' 00"</v>
      </c>
      <c r="J466" s="2" t="str">
        <f>IFERROR(__xludf.DUMMYFUNCTION("""COMPUTED_VALUE"""),"28o 26' 00""")</f>
        <v>28o 26' 00"</v>
      </c>
      <c r="K466" s="2" t="str">
        <f>IFERROR(__xludf.DUMMYFUNCTION("""COMPUTED_VALUE"""),"83o 51' 00""")</f>
        <v>83o 51' 00"</v>
      </c>
      <c r="L466" s="2" t="str">
        <f>IFERROR(__xludf.DUMMYFUNCTION("""COMPUTED_VALUE"""),"83o 55' 00""")</f>
        <v>83o 55' 00"</v>
      </c>
      <c r="M466" s="2" t="str">
        <f>IFERROR(__xludf.DUMMYFUNCTION("""COMPUTED_VALUE"""),"(Kaski)")</f>
        <v>(Kaski)</v>
      </c>
    </row>
    <row r="467">
      <c r="A467" s="2">
        <f>IFERROR(__xludf.DUMMYFUNCTION("""COMPUTED_VALUE"""),466.0)</f>
        <v>466</v>
      </c>
      <c r="B467" s="2" t="str">
        <f>IFERROR(__xludf.DUMMYFUNCTION("""COMPUTED_VALUE"""),"Tatopani")</f>
        <v>Tatopani</v>
      </c>
      <c r="C467" s="2">
        <f>IFERROR(__xludf.DUMMYFUNCTION("""COMPUTED_VALUE"""),7.0)</f>
        <v>7</v>
      </c>
      <c r="D467" s="2" t="str">
        <f>IFERROR(__xludf.DUMMYFUNCTION("""COMPUTED_VALUE"""),"Tatopani")</f>
        <v>Tatopani</v>
      </c>
      <c r="E467" s="2"/>
      <c r="F467" s="3">
        <f>IFERROR(__xludf.DUMMYFUNCTION("""COMPUTED_VALUE"""),60299.0)</f>
        <v>60299</v>
      </c>
      <c r="G467" s="2" t="str">
        <f>IFERROR(__xludf.DUMMYFUNCTION("""COMPUTED_VALUE"""),"North Hydrolink P. Ltd")</f>
        <v>North Hydrolink P. Ltd</v>
      </c>
      <c r="H467" s="2" t="str">
        <f>IFERROR(__xludf.DUMMYFUNCTION("""COMPUTED_VALUE"""),"Koteswor, Kathamndu")</f>
        <v>Koteswor, Kathamndu</v>
      </c>
      <c r="I467" s="2" t="str">
        <f>IFERROR(__xludf.DUMMYFUNCTION("""COMPUTED_VALUE"""),"28o 11' 29""")</f>
        <v>28o 11' 29"</v>
      </c>
      <c r="J467" s="2" t="str">
        <f>IFERROR(__xludf.DUMMYFUNCTION("""COMPUTED_VALUE"""),"28o 13' 42""")</f>
        <v>28o 13' 42"</v>
      </c>
      <c r="K467" s="2" t="str">
        <f>IFERROR(__xludf.DUMMYFUNCTION("""COMPUTED_VALUE"""),"85o 03' 35""")</f>
        <v>85o 03' 35"</v>
      </c>
      <c r="L467" s="2" t="str">
        <f>IFERROR(__xludf.DUMMYFUNCTION("""COMPUTED_VALUE"""),"85o 04' 38""")</f>
        <v>85o 04' 38"</v>
      </c>
      <c r="M467" s="2" t="str">
        <f>IFERROR(__xludf.DUMMYFUNCTION("""COMPUTED_VALUE"""),"(Dhading)")</f>
        <v>(Dhading)</v>
      </c>
    </row>
    <row r="468">
      <c r="A468" s="2">
        <f>IFERROR(__xludf.DUMMYFUNCTION("""COMPUTED_VALUE"""),467.0)</f>
        <v>467</v>
      </c>
      <c r="B468" s="2" t="str">
        <f>IFERROR(__xludf.DUMMYFUNCTION("""COMPUTED_VALUE"""),"Tatopani Khola")</f>
        <v>Tatopani Khola</v>
      </c>
      <c r="C468" s="2">
        <f>IFERROR(__xludf.DUMMYFUNCTION("""COMPUTED_VALUE"""),7.0)</f>
        <v>7</v>
      </c>
      <c r="D468" s="2" t="str">
        <f>IFERROR(__xludf.DUMMYFUNCTION("""COMPUTED_VALUE"""),"Tatopani")</f>
        <v>Tatopani</v>
      </c>
      <c r="E468" s="2">
        <f>IFERROR(__xludf.DUMMYFUNCTION("""COMPUTED_VALUE"""),3015.0)</f>
        <v>3015</v>
      </c>
      <c r="F468" s="3">
        <f>IFERROR(__xludf.DUMMYFUNCTION("""COMPUTED_VALUE"""),60299.0)</f>
        <v>60299</v>
      </c>
      <c r="G468" s="2" t="str">
        <f>IFERROR(__xludf.DUMMYFUNCTION("""COMPUTED_VALUE"""),"North Hydrolink Pvt ltd")</f>
        <v>North Hydrolink Pvt ltd</v>
      </c>
      <c r="H468" s="2" t="str">
        <f>IFERROR(__xludf.DUMMYFUNCTION("""COMPUTED_VALUE"""),"Koteshwor Kathmandu")</f>
        <v>Koteshwor Kathmandu</v>
      </c>
      <c r="I468" s="2" t="str">
        <f>IFERROR(__xludf.DUMMYFUNCTION("""COMPUTED_VALUE"""),"28o 11' 29""")</f>
        <v>28o 11' 29"</v>
      </c>
      <c r="J468" s="2" t="str">
        <f>IFERROR(__xludf.DUMMYFUNCTION("""COMPUTED_VALUE"""),"28o 13' 42""")</f>
        <v>28o 13' 42"</v>
      </c>
      <c r="K468" s="2" t="str">
        <f>IFERROR(__xludf.DUMMYFUNCTION("""COMPUTED_VALUE"""),"85o 03' 35""")</f>
        <v>85o 03' 35"</v>
      </c>
      <c r="L468" s="2" t="str">
        <f>IFERROR(__xludf.DUMMYFUNCTION("""COMPUTED_VALUE"""),"85o 04' 38""")</f>
        <v>85o 04' 38"</v>
      </c>
      <c r="M468" s="2" t="str">
        <f>IFERROR(__xludf.DUMMYFUNCTION("""COMPUTED_VALUE"""),"Lapa,Tipling (Dhading)")</f>
        <v>Lapa,Tipling (Dhading)</v>
      </c>
    </row>
    <row r="469">
      <c r="A469" s="2">
        <f>IFERROR(__xludf.DUMMYFUNCTION("""COMPUTED_VALUE"""),468.0)</f>
        <v>468</v>
      </c>
      <c r="B469" s="2" t="str">
        <f>IFERROR(__xludf.DUMMYFUNCTION("""COMPUTED_VALUE"""),"Bhawil Khola")</f>
        <v>Bhawil Khola</v>
      </c>
      <c r="C469" s="2">
        <f>IFERROR(__xludf.DUMMYFUNCTION("""COMPUTED_VALUE"""),7.0)</f>
        <v>7</v>
      </c>
      <c r="D469" s="2" t="str">
        <f>IFERROR(__xludf.DUMMYFUNCTION("""COMPUTED_VALUE"""),"Bhawil")</f>
        <v>Bhawil</v>
      </c>
      <c r="E469" s="2"/>
      <c r="F469" s="3">
        <f>IFERROR(__xludf.DUMMYFUNCTION("""COMPUTED_VALUE"""),60300.0)</f>
        <v>60300</v>
      </c>
      <c r="G469" s="2" t="str">
        <f>IFERROR(__xludf.DUMMYFUNCTION("""COMPUTED_VALUE"""),"Tipling Range Hydropower Company")</f>
        <v>Tipling Range Hydropower Company</v>
      </c>
      <c r="H469" s="2"/>
      <c r="I469" s="2" t="str">
        <f>IFERROR(__xludf.DUMMYFUNCTION("""COMPUTED_VALUE"""),"28o 13' 00""")</f>
        <v>28o 13' 00"</v>
      </c>
      <c r="J469" s="2" t="str">
        <f>IFERROR(__xludf.DUMMYFUNCTION("""COMPUTED_VALUE"""),"28o 22' 29""")</f>
        <v>28o 22' 29"</v>
      </c>
      <c r="K469" s="2" t="str">
        <f>IFERROR(__xludf.DUMMYFUNCTION("""COMPUTED_VALUE"""),"85o 04' 38""")</f>
        <v>85o 04' 38"</v>
      </c>
      <c r="L469" s="2" t="str">
        <f>IFERROR(__xludf.DUMMYFUNCTION("""COMPUTED_VALUE"""),"85o 07' 22""")</f>
        <v>85o 07' 22"</v>
      </c>
      <c r="M469" s="2" t="str">
        <f>IFERROR(__xludf.DUMMYFUNCTION("""COMPUTED_VALUE"""),"(Dhading)")</f>
        <v>(Dhading)</v>
      </c>
    </row>
    <row r="470">
      <c r="A470" s="2">
        <f>IFERROR(__xludf.DUMMYFUNCTION("""COMPUTED_VALUE"""),469.0)</f>
        <v>469</v>
      </c>
      <c r="B470" s="2" t="str">
        <f>IFERROR(__xludf.DUMMYFUNCTION("""COMPUTED_VALUE"""),"Bhabil Khola")</f>
        <v>Bhabil Khola</v>
      </c>
      <c r="C470" s="2">
        <f>IFERROR(__xludf.DUMMYFUNCTION("""COMPUTED_VALUE"""),7.0)</f>
        <v>7</v>
      </c>
      <c r="D470" s="2" t="str">
        <f>IFERROR(__xludf.DUMMYFUNCTION("""COMPUTED_VALUE"""),"Bhabil Khola")</f>
        <v>Bhabil Khola</v>
      </c>
      <c r="E470" s="2"/>
      <c r="F470" s="3">
        <f>IFERROR(__xludf.DUMMYFUNCTION("""COMPUTED_VALUE"""),60300.0)</f>
        <v>60300</v>
      </c>
      <c r="G470" s="2" t="str">
        <f>IFERROR(__xludf.DUMMYFUNCTION("""COMPUTED_VALUE"""),"Tipling Range hydropower Company L.td")</f>
        <v>Tipling Range hydropower Company L.td</v>
      </c>
      <c r="H470" s="2" t="str">
        <f>IFERROR(__xludf.DUMMYFUNCTION("""COMPUTED_VALUE"""),"Ph : 9851008410")</f>
        <v>Ph : 9851008410</v>
      </c>
      <c r="I470" s="2" t="str">
        <f>IFERROR(__xludf.DUMMYFUNCTION("""COMPUTED_VALUE"""),"28o 11' 29""")</f>
        <v>28o 11' 29"</v>
      </c>
      <c r="J470" s="2" t="str">
        <f>IFERROR(__xludf.DUMMYFUNCTION("""COMPUTED_VALUE"""),"28o 13' 00""")</f>
        <v>28o 13' 00"</v>
      </c>
      <c r="K470" s="2" t="str">
        <f>IFERROR(__xludf.DUMMYFUNCTION("""COMPUTED_VALUE"""),"85o 04' 38""")</f>
        <v>85o 04' 38"</v>
      </c>
      <c r="L470" s="2" t="str">
        <f>IFERROR(__xludf.DUMMYFUNCTION("""COMPUTED_VALUE"""),"85o 07' 22""")</f>
        <v>85o 07' 22"</v>
      </c>
      <c r="M470" s="2" t="str">
        <f>IFERROR(__xludf.DUMMYFUNCTION("""COMPUTED_VALUE"""),"(Dhading)")</f>
        <v>(Dhading)</v>
      </c>
    </row>
    <row r="471">
      <c r="A471" s="2">
        <f>IFERROR(__xludf.DUMMYFUNCTION("""COMPUTED_VALUE"""),470.0)</f>
        <v>470</v>
      </c>
      <c r="B471" s="2" t="str">
        <f>IFERROR(__xludf.DUMMYFUNCTION("""COMPUTED_VALUE"""),"Lower Ankhu")</f>
        <v>Lower Ankhu</v>
      </c>
      <c r="C471" s="2">
        <f>IFERROR(__xludf.DUMMYFUNCTION("""COMPUTED_VALUE"""),0.95)</f>
        <v>0.95</v>
      </c>
      <c r="D471" s="2" t="str">
        <f>IFERROR(__xludf.DUMMYFUNCTION("""COMPUTED_VALUE"""),"Ankhu Khola")</f>
        <v>Ankhu Khola</v>
      </c>
      <c r="E471" s="2"/>
      <c r="F471" s="3">
        <f>IFERROR(__xludf.DUMMYFUNCTION("""COMPUTED_VALUE"""),60300.0)</f>
        <v>60300</v>
      </c>
      <c r="G471" s="2" t="str">
        <f>IFERROR(__xludf.DUMMYFUNCTION("""COMPUTED_VALUE"""),"Chhand Man Tamang")</f>
        <v>Chhand Man Tamang</v>
      </c>
      <c r="H471" s="2"/>
      <c r="I471" s="2" t="str">
        <f>IFERROR(__xludf.DUMMYFUNCTION("""COMPUTED_VALUE"""),"28o 02' 30""")</f>
        <v>28o 02' 30"</v>
      </c>
      <c r="J471" s="2" t="str">
        <f>IFERROR(__xludf.DUMMYFUNCTION("""COMPUTED_VALUE"""),"28o 04' 10""")</f>
        <v>28o 04' 10"</v>
      </c>
      <c r="K471" s="2" t="str">
        <f>IFERROR(__xludf.DUMMYFUNCTION("""COMPUTED_VALUE"""),"84o 58' 00""")</f>
        <v>84o 58' 00"</v>
      </c>
      <c r="L471" s="2" t="str">
        <f>IFERROR(__xludf.DUMMYFUNCTION("""COMPUTED_VALUE"""),"84o 59' 45""")</f>
        <v>84o 59' 45"</v>
      </c>
      <c r="M471" s="2" t="str">
        <f>IFERROR(__xludf.DUMMYFUNCTION("""COMPUTED_VALUE"""),"(Dhading)")</f>
        <v>(Dhading)</v>
      </c>
    </row>
    <row r="472">
      <c r="A472" s="2">
        <f>IFERROR(__xludf.DUMMYFUNCTION("""COMPUTED_VALUE"""),471.0)</f>
        <v>471</v>
      </c>
      <c r="B472" s="2" t="str">
        <f>IFERROR(__xludf.DUMMYFUNCTION("""COMPUTED_VALUE"""),"Adha Khola")</f>
        <v>Adha Khola</v>
      </c>
      <c r="C472" s="2">
        <f>IFERROR(__xludf.DUMMYFUNCTION("""COMPUTED_VALUE"""),5.0)</f>
        <v>5</v>
      </c>
      <c r="D472" s="2" t="str">
        <f>IFERROR(__xludf.DUMMYFUNCTION("""COMPUTED_VALUE"""),"Adha")</f>
        <v>Adha</v>
      </c>
      <c r="E472" s="2"/>
      <c r="F472" s="3">
        <f>IFERROR(__xludf.DUMMYFUNCTION("""COMPUTED_VALUE"""),60300.0)</f>
        <v>60300</v>
      </c>
      <c r="G472" s="2" t="str">
        <f>IFERROR(__xludf.DUMMYFUNCTION("""COMPUTED_VALUE"""),"Sertung Power Developer Company")</f>
        <v>Sertung Power Developer Company</v>
      </c>
      <c r="H472" s="2"/>
      <c r="I472" s="2" t="str">
        <f>IFERROR(__xludf.DUMMYFUNCTION("""COMPUTED_VALUE"""),"28o 09' 23""")</f>
        <v>28o 09' 23"</v>
      </c>
      <c r="J472" s="2" t="str">
        <f>IFERROR(__xludf.DUMMYFUNCTION("""COMPUTED_VALUE"""),"28o 11' 29""")</f>
        <v>28o 11' 29"</v>
      </c>
      <c r="K472" s="2" t="str">
        <f>IFERROR(__xludf.DUMMYFUNCTION("""COMPUTED_VALUE"""),"85o 04' 27""")</f>
        <v>85o 04' 27"</v>
      </c>
      <c r="L472" s="2" t="str">
        <f>IFERROR(__xludf.DUMMYFUNCTION("""COMPUTED_VALUE"""),"85o 07' 49""")</f>
        <v>85o 07' 49"</v>
      </c>
      <c r="M472" s="2" t="str">
        <f>IFERROR(__xludf.DUMMYFUNCTION("""COMPUTED_VALUE"""),"(Dhading)")</f>
        <v>(Dhading)</v>
      </c>
    </row>
    <row r="473">
      <c r="A473" s="2">
        <f>IFERROR(__xludf.DUMMYFUNCTION("""COMPUTED_VALUE"""),472.0)</f>
        <v>472</v>
      </c>
      <c r="B473" s="2" t="str">
        <f>IFERROR(__xludf.DUMMYFUNCTION("""COMPUTED_VALUE"""),"Lower Tinau")</f>
        <v>Lower Tinau</v>
      </c>
      <c r="C473" s="2">
        <f>IFERROR(__xludf.DUMMYFUNCTION("""COMPUTED_VALUE"""),0.975)</f>
        <v>0.975</v>
      </c>
      <c r="D473" s="2" t="str">
        <f>IFERROR(__xludf.DUMMYFUNCTION("""COMPUTED_VALUE"""),"Tinau")</f>
        <v>Tinau</v>
      </c>
      <c r="E473" s="2"/>
      <c r="F473" s="3">
        <f>IFERROR(__xludf.DUMMYFUNCTION("""COMPUTED_VALUE"""),60301.0)</f>
        <v>60301</v>
      </c>
      <c r="G473" s="2" t="str">
        <f>IFERROR(__xludf.DUMMYFUNCTION("""COMPUTED_VALUE"""),"Nikita Malla")</f>
        <v>Nikita Malla</v>
      </c>
      <c r="H473" s="2"/>
      <c r="I473" s="2" t="str">
        <f>IFERROR(__xludf.DUMMYFUNCTION("""COMPUTED_VALUE"""),"27o 44' 38""")</f>
        <v>27o 44' 38"</v>
      </c>
      <c r="J473" s="2" t="str">
        <f>IFERROR(__xludf.DUMMYFUNCTION("""COMPUTED_VALUE"""),"27o 44' 54""")</f>
        <v>27o 44' 54"</v>
      </c>
      <c r="K473" s="2" t="str">
        <f>IFERROR(__xludf.DUMMYFUNCTION("""COMPUTED_VALUE"""),"83o 27' 54""")</f>
        <v>83o 27' 54"</v>
      </c>
      <c r="L473" s="2" t="str">
        <f>IFERROR(__xludf.DUMMYFUNCTION("""COMPUTED_VALUE"""),"83o 29' 49""")</f>
        <v>83o 29' 49"</v>
      </c>
      <c r="M473" s="2" t="str">
        <f>IFERROR(__xludf.DUMMYFUNCTION("""COMPUTED_VALUE"""),"(Palpa)")</f>
        <v>(Palpa)</v>
      </c>
    </row>
    <row r="474">
      <c r="A474" s="2">
        <f>IFERROR(__xludf.DUMMYFUNCTION("""COMPUTED_VALUE"""),473.0)</f>
        <v>473</v>
      </c>
      <c r="B474" s="2" t="str">
        <f>IFERROR(__xludf.DUMMYFUNCTION("""COMPUTED_VALUE"""),"Lower Dhansi")</f>
        <v>Lower Dhansi</v>
      </c>
      <c r="C474" s="2">
        <f>IFERROR(__xludf.DUMMYFUNCTION("""COMPUTED_VALUE"""),0.65)</f>
        <v>0.65</v>
      </c>
      <c r="D474" s="2" t="str">
        <f>IFERROR(__xludf.DUMMYFUNCTION("""COMPUTED_VALUE"""),"Dhansi")</f>
        <v>Dhansi</v>
      </c>
      <c r="E474" s="2"/>
      <c r="F474" s="3">
        <f>IFERROR(__xludf.DUMMYFUNCTION("""COMPUTED_VALUE"""),60301.0)</f>
        <v>60301</v>
      </c>
      <c r="G474" s="2" t="str">
        <f>IFERROR(__xludf.DUMMYFUNCTION("""COMPUTED_VALUE"""),"Anand Pradhan")</f>
        <v>Anand Pradhan</v>
      </c>
      <c r="H474" s="2"/>
      <c r="I474" s="2" t="str">
        <f>IFERROR(__xludf.DUMMYFUNCTION("""COMPUTED_VALUE"""),"28o 18' 36""")</f>
        <v>28o 18' 36"</v>
      </c>
      <c r="J474" s="2" t="str">
        <f>IFERROR(__xludf.DUMMYFUNCTION("""COMPUTED_VALUE"""),"28o 20' 46""")</f>
        <v>28o 20' 46"</v>
      </c>
      <c r="K474" s="2" t="str">
        <f>IFERROR(__xludf.DUMMYFUNCTION("""COMPUTED_VALUE"""),"82o 36' 09""")</f>
        <v>82o 36' 09"</v>
      </c>
      <c r="L474" s="2" t="str">
        <f>IFERROR(__xludf.DUMMYFUNCTION("""COMPUTED_VALUE"""),"82o 37' 59""")</f>
        <v>82o 37' 59"</v>
      </c>
      <c r="M474" s="2" t="str">
        <f>IFERROR(__xludf.DUMMYFUNCTION("""COMPUTED_VALUE"""),"(Rolpa)")</f>
        <v>(Rolpa)</v>
      </c>
    </row>
    <row r="475">
      <c r="A475" s="2">
        <f>IFERROR(__xludf.DUMMYFUNCTION("""COMPUTED_VALUE"""),474.0)</f>
        <v>474</v>
      </c>
      <c r="B475" s="2" t="str">
        <f>IFERROR(__xludf.DUMMYFUNCTION("""COMPUTED_VALUE"""),"Timbu")</f>
        <v>Timbu</v>
      </c>
      <c r="C475" s="2">
        <f>IFERROR(__xludf.DUMMYFUNCTION("""COMPUTED_VALUE"""),50.0)</f>
        <v>50</v>
      </c>
      <c r="D475" s="2" t="str">
        <f>IFERROR(__xludf.DUMMYFUNCTION("""COMPUTED_VALUE"""),"Timbu")</f>
        <v>Timbu</v>
      </c>
      <c r="E475" s="2"/>
      <c r="F475" s="3">
        <f>IFERROR(__xludf.DUMMYFUNCTION("""COMPUTED_VALUE"""),60303.0)</f>
        <v>60303</v>
      </c>
      <c r="G475" s="2" t="str">
        <f>IFERROR(__xludf.DUMMYFUNCTION("""COMPUTED_VALUE"""),"Interkraft Nepal AS")</f>
        <v>Interkraft Nepal AS</v>
      </c>
      <c r="H475" s="2" t="str">
        <f>IFERROR(__xludf.DUMMYFUNCTION("""COMPUTED_VALUE"""),"POB 12058 Kathmandu, Nepal")</f>
        <v>POB 12058 Kathmandu, Nepal</v>
      </c>
      <c r="I475" s="2" t="str">
        <f>IFERROR(__xludf.DUMMYFUNCTION("""COMPUTED_VALUE"""),"27o 56' 54""")</f>
        <v>27o 56' 54"</v>
      </c>
      <c r="J475" s="2" t="str">
        <f>IFERROR(__xludf.DUMMYFUNCTION("""COMPUTED_VALUE"""),"28o 00' 57""")</f>
        <v>28o 00' 57"</v>
      </c>
      <c r="K475" s="2" t="str">
        <f>IFERROR(__xludf.DUMMYFUNCTION("""COMPUTED_VALUE"""),"85o 30' 54""")</f>
        <v>85o 30' 54"</v>
      </c>
      <c r="L475" s="2" t="str">
        <f>IFERROR(__xludf.DUMMYFUNCTION("""COMPUTED_VALUE"""),"85o 50' 00""")</f>
        <v>85o 50' 00"</v>
      </c>
      <c r="M475" s="2" t="str">
        <f>IFERROR(__xludf.DUMMYFUNCTION("""COMPUTED_VALUE"""),"(Sindhupalchok)")</f>
        <v>(Sindhupalchok)</v>
      </c>
    </row>
    <row r="476">
      <c r="A476" s="2">
        <f>IFERROR(__xludf.DUMMYFUNCTION("""COMPUTED_VALUE"""),475.0)</f>
        <v>475</v>
      </c>
      <c r="B476" s="2" t="str">
        <f>IFERROR(__xludf.DUMMYFUNCTION("""COMPUTED_VALUE"""),"Lungri Khola")</f>
        <v>Lungri Khola</v>
      </c>
      <c r="C476" s="2">
        <f>IFERROR(__xludf.DUMMYFUNCTION("""COMPUTED_VALUE"""),5.0)</f>
        <v>5</v>
      </c>
      <c r="D476" s="2" t="str">
        <f>IFERROR(__xludf.DUMMYFUNCTION("""COMPUTED_VALUE"""),"Lungri")</f>
        <v>Lungri</v>
      </c>
      <c r="E476" s="2"/>
      <c r="F476" s="3">
        <f>IFERROR(__xludf.DUMMYFUNCTION("""COMPUTED_VALUE"""),60306.0)</f>
        <v>60306</v>
      </c>
      <c r="G476" s="2" t="str">
        <f>IFERROR(__xludf.DUMMYFUNCTION("""COMPUTED_VALUE"""),"Century construction")</f>
        <v>Century construction</v>
      </c>
      <c r="H476" s="2"/>
      <c r="I476" s="2" t="str">
        <f>IFERROR(__xludf.DUMMYFUNCTION("""COMPUTED_VALUE"""),"28o 19' 20""")</f>
        <v>28o 19' 20"</v>
      </c>
      <c r="J476" s="2" t="str">
        <f>IFERROR(__xludf.DUMMYFUNCTION("""COMPUTED_VALUE"""),"28o 22' 30""")</f>
        <v>28o 22' 30"</v>
      </c>
      <c r="K476" s="2" t="str">
        <f>IFERROR(__xludf.DUMMYFUNCTION("""COMPUTED_VALUE"""),"82o 46' 00""")</f>
        <v>82o 46' 00"</v>
      </c>
      <c r="L476" s="2" t="str">
        <f>IFERROR(__xludf.DUMMYFUNCTION("""COMPUTED_VALUE"""),"82o 49' 05""")</f>
        <v>82o 49' 05"</v>
      </c>
      <c r="M476" s="2" t="str">
        <f>IFERROR(__xludf.DUMMYFUNCTION("""COMPUTED_VALUE"""),"(Rolpa)")</f>
        <v>(Rolpa)</v>
      </c>
    </row>
    <row r="477">
      <c r="A477" s="2">
        <f>IFERROR(__xludf.DUMMYFUNCTION("""COMPUTED_VALUE"""),476.0)</f>
        <v>476</v>
      </c>
      <c r="B477" s="2" t="str">
        <f>IFERROR(__xludf.DUMMYFUNCTION("""COMPUTED_VALUE"""),"Yaksuwa Khola")</f>
        <v>Yaksuwa Khola</v>
      </c>
      <c r="C477" s="2">
        <f>IFERROR(__xludf.DUMMYFUNCTION("""COMPUTED_VALUE"""),0.995)</f>
        <v>0.995</v>
      </c>
      <c r="D477" s="2" t="str">
        <f>IFERROR(__xludf.DUMMYFUNCTION("""COMPUTED_VALUE"""),"Yaksuwa")</f>
        <v>Yaksuwa</v>
      </c>
      <c r="E477" s="2"/>
      <c r="F477" s="3">
        <f>IFERROR(__xludf.DUMMYFUNCTION("""COMPUTED_VALUE"""),60307.0)</f>
        <v>60307</v>
      </c>
      <c r="G477" s="2" t="str">
        <f>IFERROR(__xludf.DUMMYFUNCTION("""COMPUTED_VALUE"""),"Yadav Adhikari, Kumar katuwal, Dinesh Sth.,Dipak Acharya")</f>
        <v>Yadav Adhikari, Kumar katuwal, Dinesh Sth.,Dipak Acharya</v>
      </c>
      <c r="H477" s="2"/>
      <c r="I477" s="2" t="str">
        <f>IFERROR(__xludf.DUMMYFUNCTION("""COMPUTED_VALUE"""),"27o 25' 57""")</f>
        <v>27o 25' 57"</v>
      </c>
      <c r="J477" s="2" t="str">
        <f>IFERROR(__xludf.DUMMYFUNCTION("""COMPUTED_VALUE"""),"27o 28' 08""")</f>
        <v>27o 28' 08"</v>
      </c>
      <c r="K477" s="2" t="str">
        <f>IFERROR(__xludf.DUMMYFUNCTION("""COMPUTED_VALUE"""),"87o 19' 26""")</f>
        <v>87o 19' 26"</v>
      </c>
      <c r="L477" s="2" t="str">
        <f>IFERROR(__xludf.DUMMYFUNCTION("""COMPUTED_VALUE"""),"87o 21' 15""")</f>
        <v>87o 21' 15"</v>
      </c>
      <c r="M477" s="2" t="str">
        <f>IFERROR(__xludf.DUMMYFUNCTION("""COMPUTED_VALUE"""),"(Sankhuwasabha)")</f>
        <v>(Sankhuwasabha)</v>
      </c>
    </row>
    <row r="478">
      <c r="A478" s="2">
        <f>IFERROR(__xludf.DUMMYFUNCTION("""COMPUTED_VALUE"""),477.0)</f>
        <v>477</v>
      </c>
      <c r="B478" s="2" t="str">
        <f>IFERROR(__xludf.DUMMYFUNCTION("""COMPUTED_VALUE"""),"Kaligandaki")</f>
        <v>Kaligandaki</v>
      </c>
      <c r="C478" s="2">
        <f>IFERROR(__xludf.DUMMYFUNCTION("""COMPUTED_VALUE"""),9.8)</f>
        <v>9.8</v>
      </c>
      <c r="D478" s="2" t="str">
        <f>IFERROR(__xludf.DUMMYFUNCTION("""COMPUTED_VALUE"""),"Kali Gandaki")</f>
        <v>Kali Gandaki</v>
      </c>
      <c r="E478" s="2"/>
      <c r="F478" s="3">
        <f>IFERROR(__xludf.DUMMYFUNCTION("""COMPUTED_VALUE"""),60307.0)</f>
        <v>60307</v>
      </c>
      <c r="G478" s="2" t="str">
        <f>IFERROR(__xludf.DUMMYFUNCTION("""COMPUTED_VALUE"""),"Manang Trade Links P.Ltd")</f>
        <v>Manang Trade Links P.Ltd</v>
      </c>
      <c r="H478" s="2" t="str">
        <f>IFERROR(__xludf.DUMMYFUNCTION("""COMPUTED_VALUE"""),"Naxal, Sanogaucharan, Kathmandu Ph 4441131")</f>
        <v>Naxal, Sanogaucharan, Kathmandu Ph 4441131</v>
      </c>
      <c r="I478" s="2" t="str">
        <f>IFERROR(__xludf.DUMMYFUNCTION("""COMPUTED_VALUE"""),"28o 12' 30""")</f>
        <v>28o 12' 30"</v>
      </c>
      <c r="J478" s="2" t="str">
        <f>IFERROR(__xludf.DUMMYFUNCTION("""COMPUTED_VALUE"""),"28o 15' 12""")</f>
        <v>28o 15' 12"</v>
      </c>
      <c r="K478" s="2" t="str">
        <f>IFERROR(__xludf.DUMMYFUNCTION("""COMPUTED_VALUE"""),"83o 37' 21""")</f>
        <v>83o 37' 21"</v>
      </c>
      <c r="L478" s="2" t="str">
        <f>IFERROR(__xludf.DUMMYFUNCTION("""COMPUTED_VALUE"""),"83o 41' 03""")</f>
        <v>83o 41' 03"</v>
      </c>
      <c r="M478" s="2" t="str">
        <f>IFERROR(__xludf.DUMMYFUNCTION("""COMPUTED_VALUE"""),"(Baglung)")</f>
        <v>(Baglung)</v>
      </c>
    </row>
    <row r="479">
      <c r="A479" s="2">
        <f>IFERROR(__xludf.DUMMYFUNCTION("""COMPUTED_VALUE"""),478.0)</f>
        <v>478</v>
      </c>
      <c r="B479" s="2" t="str">
        <f>IFERROR(__xludf.DUMMYFUNCTION("""COMPUTED_VALUE"""),"Machhapuchhre Seti")</f>
        <v>Machhapuchhre Seti</v>
      </c>
      <c r="C479" s="2">
        <f>IFERROR(__xludf.DUMMYFUNCTION("""COMPUTED_VALUE"""),10.0)</f>
        <v>10</v>
      </c>
      <c r="D479" s="2" t="str">
        <f>IFERROR(__xludf.DUMMYFUNCTION("""COMPUTED_VALUE"""),"Seti Khola")</f>
        <v>Seti Khola</v>
      </c>
      <c r="E479" s="2"/>
      <c r="F479" s="3">
        <f>IFERROR(__xludf.DUMMYFUNCTION("""COMPUTED_VALUE"""),60307.0)</f>
        <v>60307</v>
      </c>
      <c r="G479" s="2" t="str">
        <f>IFERROR(__xludf.DUMMYFUNCTION("""COMPUTED_VALUE"""),"Amardeep Hydropower P. Ltd")</f>
        <v>Amardeep Hydropower P. Ltd</v>
      </c>
      <c r="H479" s="2" t="str">
        <f>IFERROR(__xludf.DUMMYFUNCTION("""COMPUTED_VALUE"""),"Kathmandu - 24, Wotu. Ph : 9851000384")</f>
        <v>Kathmandu - 24, Wotu. Ph : 9851000384</v>
      </c>
      <c r="I479" s="2" t="str">
        <f>IFERROR(__xludf.DUMMYFUNCTION("""COMPUTED_VALUE"""),"28o 17' 56""")</f>
        <v>28o 17' 56"</v>
      </c>
      <c r="J479" s="2" t="str">
        <f>IFERROR(__xludf.DUMMYFUNCTION("""COMPUTED_VALUE"""),"28o 21' 45""")</f>
        <v>28o 21' 45"</v>
      </c>
      <c r="K479" s="2" t="str">
        <f>IFERROR(__xludf.DUMMYFUNCTION("""COMPUTED_VALUE"""),"83o 56' 55""")</f>
        <v>83o 56' 55"</v>
      </c>
      <c r="L479" s="2" t="str">
        <f>IFERROR(__xludf.DUMMYFUNCTION("""COMPUTED_VALUE"""),"83o 58' 10""")</f>
        <v>83o 58' 10"</v>
      </c>
      <c r="M479" s="2" t="str">
        <f>IFERROR(__xludf.DUMMYFUNCTION("""COMPUTED_VALUE"""),"(Kaski)")</f>
        <v>(Kaski)</v>
      </c>
    </row>
    <row r="480">
      <c r="A480" s="2">
        <f>IFERROR(__xludf.DUMMYFUNCTION("""COMPUTED_VALUE"""),479.0)</f>
        <v>479</v>
      </c>
      <c r="B480" s="2" t="str">
        <f>IFERROR(__xludf.DUMMYFUNCTION("""COMPUTED_VALUE"""),"Malung Khola")</f>
        <v>Malung Khola</v>
      </c>
      <c r="C480" s="2">
        <f>IFERROR(__xludf.DUMMYFUNCTION("""COMPUTED_VALUE"""),0.99)</f>
        <v>0.99</v>
      </c>
      <c r="D480" s="2" t="str">
        <f>IFERROR(__xludf.DUMMYFUNCTION("""COMPUTED_VALUE"""),"Malung")</f>
        <v>Malung</v>
      </c>
      <c r="E480" s="2"/>
      <c r="F480" s="3">
        <f>IFERROR(__xludf.DUMMYFUNCTION("""COMPUTED_VALUE"""),60307.0)</f>
        <v>60307</v>
      </c>
      <c r="G480" s="2" t="str">
        <f>IFERROR(__xludf.DUMMYFUNCTION("""COMPUTED_VALUE"""),"Ishwori Prasad Adhikari")</f>
        <v>Ishwori Prasad Adhikari</v>
      </c>
      <c r="H480" s="2"/>
      <c r="I480" s="2" t="str">
        <f>IFERROR(__xludf.DUMMYFUNCTION("""COMPUTED_VALUE"""),"27o 13' 50""")</f>
        <v>27o 13' 50"</v>
      </c>
      <c r="J480" s="2" t="str">
        <f>IFERROR(__xludf.DUMMYFUNCTION("""COMPUTED_VALUE"""),"27o 15' 10""")</f>
        <v>27o 15' 10"</v>
      </c>
      <c r="K480" s="2" t="str">
        <f>IFERROR(__xludf.DUMMYFUNCTION("""COMPUTED_VALUE"""),"86o 24' 10""")</f>
        <v>86o 24' 10"</v>
      </c>
      <c r="L480" s="2" t="str">
        <f>IFERROR(__xludf.DUMMYFUNCTION("""COMPUTED_VALUE"""),"86o 26' 10""")</f>
        <v>86o 26' 10"</v>
      </c>
      <c r="M480" s="2" t="str">
        <f>IFERROR(__xludf.DUMMYFUNCTION("""COMPUTED_VALUE"""),"(Okhaldhunga)")</f>
        <v>(Okhaldhunga)</v>
      </c>
    </row>
    <row r="481">
      <c r="A481" s="2">
        <f>IFERROR(__xludf.DUMMYFUNCTION("""COMPUTED_VALUE"""),480.0)</f>
        <v>480</v>
      </c>
      <c r="B481" s="2" t="str">
        <f>IFERROR(__xludf.DUMMYFUNCTION("""COMPUTED_VALUE"""),"Kirinche Khola")</f>
        <v>Kirinche Khola</v>
      </c>
      <c r="C481" s="2">
        <f>IFERROR(__xludf.DUMMYFUNCTION("""COMPUTED_VALUE"""),2.1)</f>
        <v>2.1</v>
      </c>
      <c r="D481" s="2" t="str">
        <f>IFERROR(__xludf.DUMMYFUNCTION("""COMPUTED_VALUE"""),"Kirinche")</f>
        <v>Kirinche</v>
      </c>
      <c r="E481" s="2"/>
      <c r="F481" s="3">
        <f>IFERROR(__xludf.DUMMYFUNCTION("""COMPUTED_VALUE"""),60308.0)</f>
        <v>60308</v>
      </c>
      <c r="G481" s="2" t="str">
        <f>IFERROR(__xludf.DUMMYFUNCTION("""COMPUTED_VALUE"""),"Lekh Nath Khaniya, Swaminath Prasad Teli")</f>
        <v>Lekh Nath Khaniya, Swaminath Prasad Teli</v>
      </c>
      <c r="H481" s="2"/>
      <c r="I481" s="2" t="str">
        <f>IFERROR(__xludf.DUMMYFUNCTION("""COMPUTED_VALUE"""),"28o 09' 30""")</f>
        <v>28o 09' 30"</v>
      </c>
      <c r="J481" s="2" t="str">
        <f>IFERROR(__xludf.DUMMYFUNCTION("""COMPUTED_VALUE"""),"28o 10' 45""")</f>
        <v>28o 10' 45"</v>
      </c>
      <c r="K481" s="2" t="str">
        <f>IFERROR(__xludf.DUMMYFUNCTION("""COMPUTED_VALUE"""),"84o 21' 22""")</f>
        <v>84o 21' 22"</v>
      </c>
      <c r="L481" s="2" t="str">
        <f>IFERROR(__xludf.DUMMYFUNCTION("""COMPUTED_VALUE"""),"84o 22' 55""")</f>
        <v>84o 22' 55"</v>
      </c>
      <c r="M481" s="2" t="str">
        <f>IFERROR(__xludf.DUMMYFUNCTION("""COMPUTED_VALUE"""),"(Lamjung)")</f>
        <v>(Lamjung)</v>
      </c>
    </row>
    <row r="482">
      <c r="A482" s="2">
        <f>IFERROR(__xludf.DUMMYFUNCTION("""COMPUTED_VALUE"""),481.0)</f>
        <v>481</v>
      </c>
      <c r="B482" s="2" t="str">
        <f>IFERROR(__xludf.DUMMYFUNCTION("""COMPUTED_VALUE"""),"Kimron Khola")</f>
        <v>Kimron Khola</v>
      </c>
      <c r="C482" s="2">
        <f>IFERROR(__xludf.DUMMYFUNCTION("""COMPUTED_VALUE"""),4.0)</f>
        <v>4</v>
      </c>
      <c r="D482" s="2" t="str">
        <f>IFERROR(__xludf.DUMMYFUNCTION("""COMPUTED_VALUE"""),"Kimron")</f>
        <v>Kimron</v>
      </c>
      <c r="E482" s="2"/>
      <c r="F482" s="3">
        <f>IFERROR(__xludf.DUMMYFUNCTION("""COMPUTED_VALUE"""),60308.0)</f>
        <v>60308</v>
      </c>
      <c r="G482" s="2" t="str">
        <f>IFERROR(__xludf.DUMMYFUNCTION("""COMPUTED_VALUE"""),"Kimron Hydropower")</f>
        <v>Kimron Hydropower</v>
      </c>
      <c r="H482" s="2"/>
      <c r="I482" s="2" t="str">
        <f>IFERROR(__xludf.DUMMYFUNCTION("""COMPUTED_VALUE"""),"28o 23' 00""")</f>
        <v>28o 23' 00"</v>
      </c>
      <c r="J482" s="2" t="str">
        <f>IFERROR(__xludf.DUMMYFUNCTION("""COMPUTED_VALUE"""),"28o 26' 00""")</f>
        <v>28o 26' 00"</v>
      </c>
      <c r="K482" s="2" t="str">
        <f>IFERROR(__xludf.DUMMYFUNCTION("""COMPUTED_VALUE"""),"83o 45' 00""")</f>
        <v>83o 45' 00"</v>
      </c>
      <c r="L482" s="2" t="str">
        <f>IFERROR(__xludf.DUMMYFUNCTION("""COMPUTED_VALUE"""),"83o 50' 30""")</f>
        <v>83o 50' 30"</v>
      </c>
      <c r="M482" s="2" t="str">
        <f>IFERROR(__xludf.DUMMYFUNCTION("""COMPUTED_VALUE"""),"(Kaski)")</f>
        <v>(Kaski)</v>
      </c>
    </row>
    <row r="483">
      <c r="A483" s="2">
        <f>IFERROR(__xludf.DUMMYFUNCTION("""COMPUTED_VALUE"""),482.0)</f>
        <v>482</v>
      </c>
      <c r="B483" s="2" t="str">
        <f>IFERROR(__xludf.DUMMYFUNCTION("""COMPUTED_VALUE"""),"Kichhe Khola")</f>
        <v>Kichhe Khola</v>
      </c>
      <c r="C483" s="2">
        <f>IFERROR(__xludf.DUMMYFUNCTION("""COMPUTED_VALUE"""),1.8)</f>
        <v>1.8</v>
      </c>
      <c r="D483" s="2" t="str">
        <f>IFERROR(__xludf.DUMMYFUNCTION("""COMPUTED_VALUE"""),"Kichhe")</f>
        <v>Kichhe</v>
      </c>
      <c r="E483" s="2"/>
      <c r="F483" s="3">
        <f>IFERROR(__xludf.DUMMYFUNCTION("""COMPUTED_VALUE"""),60310.0)</f>
        <v>60310</v>
      </c>
      <c r="G483" s="2" t="str">
        <f>IFERROR(__xludf.DUMMYFUNCTION("""COMPUTED_VALUE"""),"Annapurna Renewal Energy")</f>
        <v>Annapurna Renewal Energy</v>
      </c>
      <c r="H483" s="2"/>
      <c r="I483" s="2" t="str">
        <f>IFERROR(__xludf.DUMMYFUNCTION("""COMPUTED_VALUE"""),"28o 18' 50""")</f>
        <v>28o 18' 50"</v>
      </c>
      <c r="J483" s="2" t="str">
        <f>IFERROR(__xludf.DUMMYFUNCTION("""COMPUTED_VALUE"""),"28o 19' 34""")</f>
        <v>28o 19' 34"</v>
      </c>
      <c r="K483" s="2" t="str">
        <f>IFERROR(__xludf.DUMMYFUNCTION("""COMPUTED_VALUE"""),"84o 18' 20""")</f>
        <v>84o 18' 20"</v>
      </c>
      <c r="L483" s="2" t="str">
        <f>IFERROR(__xludf.DUMMYFUNCTION("""COMPUTED_VALUE"""),"84o 20' 11""")</f>
        <v>84o 20' 11"</v>
      </c>
      <c r="M483" s="2" t="str">
        <f>IFERROR(__xludf.DUMMYFUNCTION("""COMPUTED_VALUE"""),"(Lamjung)")</f>
        <v>(Lamjung)</v>
      </c>
    </row>
    <row r="484">
      <c r="A484" s="2">
        <f>IFERROR(__xludf.DUMMYFUNCTION("""COMPUTED_VALUE"""),483.0)</f>
        <v>483</v>
      </c>
      <c r="B484" s="2" t="str">
        <f>IFERROR(__xludf.DUMMYFUNCTION("""COMPUTED_VALUE"""),"Suni gad")</f>
        <v>Suni gad</v>
      </c>
      <c r="C484" s="2">
        <f>IFERROR(__xludf.DUMMYFUNCTION("""COMPUTED_VALUE"""),4.8)</f>
        <v>4.8</v>
      </c>
      <c r="D484" s="2" t="str">
        <f>IFERROR(__xludf.DUMMYFUNCTION("""COMPUTED_VALUE"""),"Suni Gad")</f>
        <v>Suni Gad</v>
      </c>
      <c r="E484" s="2">
        <f>IFERROR(__xludf.DUMMYFUNCTION("""COMPUTED_VALUE"""),3139.0)</f>
        <v>3139</v>
      </c>
      <c r="F484" s="3">
        <f>IFERROR(__xludf.DUMMYFUNCTION("""COMPUTED_VALUE"""),60310.0)</f>
        <v>60310</v>
      </c>
      <c r="G484" s="2" t="str">
        <f>IFERROR(__xludf.DUMMYFUNCTION("""COMPUTED_VALUE"""),"Hydro Home")</f>
        <v>Hydro Home</v>
      </c>
      <c r="H484" s="2"/>
      <c r="I484" s="2" t="str">
        <f>IFERROR(__xludf.DUMMYFUNCTION("""COMPUTED_VALUE"""),"29o 33' 24""")</f>
        <v>29o 33' 24"</v>
      </c>
      <c r="J484" s="2" t="str">
        <f>IFERROR(__xludf.DUMMYFUNCTION("""COMPUTED_VALUE"""),"29o 40' 00""")</f>
        <v>29o 40' 00"</v>
      </c>
      <c r="K484" s="2" t="str">
        <f>IFERROR(__xludf.DUMMYFUNCTION("""COMPUTED_VALUE"""),"81o 11' 45""")</f>
        <v>81o 11' 45"</v>
      </c>
      <c r="L484" s="2" t="str">
        <f>IFERROR(__xludf.DUMMYFUNCTION("""COMPUTED_VALUE"""),"81o 14' 14""")</f>
        <v>81o 14' 14"</v>
      </c>
      <c r="M484" s="2" t="str">
        <f>IFERROR(__xludf.DUMMYFUNCTION("""COMPUTED_VALUE"""),"(Bajhang)")</f>
        <v>(Bajhang)</v>
      </c>
    </row>
    <row r="485">
      <c r="A485" s="2">
        <f>IFERROR(__xludf.DUMMYFUNCTION("""COMPUTED_VALUE"""),484.0)</f>
        <v>484</v>
      </c>
      <c r="B485" s="2" t="str">
        <f>IFERROR(__xludf.DUMMYFUNCTION("""COMPUTED_VALUE"""),"Lapa Khola")</f>
        <v>Lapa Khola</v>
      </c>
      <c r="C485" s="2">
        <f>IFERROR(__xludf.DUMMYFUNCTION("""COMPUTED_VALUE"""),0.95)</f>
        <v>0.95</v>
      </c>
      <c r="D485" s="2" t="str">
        <f>IFERROR(__xludf.DUMMYFUNCTION("""COMPUTED_VALUE"""),"Lapa")</f>
        <v>Lapa</v>
      </c>
      <c r="E485" s="2"/>
      <c r="F485" s="3">
        <f>IFERROR(__xludf.DUMMYFUNCTION("""COMPUTED_VALUE"""),60311.0)</f>
        <v>60311</v>
      </c>
      <c r="G485" s="2" t="str">
        <f>IFERROR(__xludf.DUMMYFUNCTION("""COMPUTED_VALUE"""),"Damber Tamang")</f>
        <v>Damber Tamang</v>
      </c>
      <c r="H485" s="2"/>
      <c r="I485" s="2" t="str">
        <f>IFERROR(__xludf.DUMMYFUNCTION("""COMPUTED_VALUE"""),"28o 09' 30""")</f>
        <v>28o 09' 30"</v>
      </c>
      <c r="J485" s="2" t="str">
        <f>IFERROR(__xludf.DUMMYFUNCTION("""COMPUTED_VALUE"""),"28o 12' 30""")</f>
        <v>28o 12' 30"</v>
      </c>
      <c r="K485" s="2" t="str">
        <f>IFERROR(__xludf.DUMMYFUNCTION("""COMPUTED_VALUE"""),"85o 00' 00""")</f>
        <v>85o 00' 00"</v>
      </c>
      <c r="L485" s="2" t="str">
        <f>IFERROR(__xludf.DUMMYFUNCTION("""COMPUTED_VALUE"""),"85o 03' 00""")</f>
        <v>85o 03' 00"</v>
      </c>
      <c r="M485" s="2" t="str">
        <f>IFERROR(__xludf.DUMMYFUNCTION("""COMPUTED_VALUE"""),"(Dhading)")</f>
        <v>(Dhading)</v>
      </c>
    </row>
    <row r="486">
      <c r="A486" s="2">
        <f>IFERROR(__xludf.DUMMYFUNCTION("""COMPUTED_VALUE"""),485.0)</f>
        <v>485</v>
      </c>
      <c r="B486" s="2" t="str">
        <f>IFERROR(__xludf.DUMMYFUNCTION("""COMPUTED_VALUE"""),"Aankhukhola")</f>
        <v>Aankhukhola</v>
      </c>
      <c r="C486" s="2">
        <f>IFERROR(__xludf.DUMMYFUNCTION("""COMPUTED_VALUE"""),18.0)</f>
        <v>18</v>
      </c>
      <c r="D486" s="2" t="str">
        <f>IFERROR(__xludf.DUMMYFUNCTION("""COMPUTED_VALUE"""),"Ankhu Khola")</f>
        <v>Ankhu Khola</v>
      </c>
      <c r="E486" s="2"/>
      <c r="F486" s="3">
        <f>IFERROR(__xludf.DUMMYFUNCTION("""COMPUTED_VALUE"""),60311.0)</f>
        <v>60311</v>
      </c>
      <c r="G486" s="2" t="str">
        <f>IFERROR(__xludf.DUMMYFUNCTION("""COMPUTED_VALUE"""),"Crystal Product P. Ltd")</f>
        <v>Crystal Product P. Ltd</v>
      </c>
      <c r="H486" s="2" t="str">
        <f>IFERROR(__xludf.DUMMYFUNCTION("""COMPUTED_VALUE"""),"PO Box 3738 , Balaju, Kathmandu, Nepal")</f>
        <v>PO Box 3738 , Balaju, Kathmandu, Nepal</v>
      </c>
      <c r="I486" s="2" t="str">
        <f>IFERROR(__xludf.DUMMYFUNCTION("""COMPUTED_VALUE"""),"28o 00' 00""")</f>
        <v>28o 00' 00"</v>
      </c>
      <c r="J486" s="2" t="str">
        <f>IFERROR(__xludf.DUMMYFUNCTION("""COMPUTED_VALUE"""),"28o 02' 26""")</f>
        <v>28o 02' 26"</v>
      </c>
      <c r="K486" s="2" t="str">
        <f>IFERROR(__xludf.DUMMYFUNCTION("""COMPUTED_VALUE"""),"84o 54' 16""")</f>
        <v>84o 54' 16"</v>
      </c>
      <c r="L486" s="2" t="str">
        <f>IFERROR(__xludf.DUMMYFUNCTION("""COMPUTED_VALUE"""),"84o 58' 27""")</f>
        <v>84o 58' 27"</v>
      </c>
      <c r="M486" s="2" t="str">
        <f>IFERROR(__xludf.DUMMYFUNCTION("""COMPUTED_VALUE"""),"(Dhading)")</f>
        <v>(Dhading)</v>
      </c>
    </row>
    <row r="487">
      <c r="A487" s="2">
        <f>IFERROR(__xludf.DUMMYFUNCTION("""COMPUTED_VALUE"""),486.0)</f>
        <v>486</v>
      </c>
      <c r="B487" s="2" t="str">
        <f>IFERROR(__xludf.DUMMYFUNCTION("""COMPUTED_VALUE"""),"Dhaiju Khola")</f>
        <v>Dhaiju Khola</v>
      </c>
      <c r="C487" s="2">
        <f>IFERROR(__xludf.DUMMYFUNCTION("""COMPUTED_VALUE"""),2.5)</f>
        <v>2.5</v>
      </c>
      <c r="D487" s="2" t="str">
        <f>IFERROR(__xludf.DUMMYFUNCTION("""COMPUTED_VALUE"""),"Dhaiju")</f>
        <v>Dhaiju</v>
      </c>
      <c r="E487" s="2"/>
      <c r="F487" s="3">
        <f>IFERROR(__xludf.DUMMYFUNCTION("""COMPUTED_VALUE"""),60312.0)</f>
        <v>60312</v>
      </c>
      <c r="G487" s="2" t="str">
        <f>IFERROR(__xludf.DUMMYFUNCTION("""COMPUTED_VALUE"""),"Jomsom Hydropower Pvt. Ltd")</f>
        <v>Jomsom Hydropower Pvt. Ltd</v>
      </c>
      <c r="H487" s="2"/>
      <c r="I487" s="2" t="str">
        <f>IFERROR(__xludf.DUMMYFUNCTION("""COMPUTED_VALUE"""),"27o 59' 30""")</f>
        <v>27o 59' 30"</v>
      </c>
      <c r="J487" s="2" t="str">
        <f>IFERROR(__xludf.DUMMYFUNCTION("""COMPUTED_VALUE"""),"28o 37' 30""")</f>
        <v>28o 37' 30"</v>
      </c>
      <c r="K487" s="2" t="str">
        <f>IFERROR(__xludf.DUMMYFUNCTION("""COMPUTED_VALUE"""),"83o 36' 30""")</f>
        <v>83o 36' 30"</v>
      </c>
      <c r="L487" s="2" t="str">
        <f>IFERROR(__xludf.DUMMYFUNCTION("""COMPUTED_VALUE"""),"83o 39' 30""")</f>
        <v>83o 39' 30"</v>
      </c>
      <c r="M487" s="2" t="str">
        <f>IFERROR(__xludf.DUMMYFUNCTION("""COMPUTED_VALUE"""),"(Mustang)")</f>
        <v>(Mustang)</v>
      </c>
    </row>
    <row r="488">
      <c r="A488" s="2">
        <f>IFERROR(__xludf.DUMMYFUNCTION("""COMPUTED_VALUE"""),487.0)</f>
        <v>487</v>
      </c>
      <c r="B488" s="2" t="str">
        <f>IFERROR(__xludf.DUMMYFUNCTION("""COMPUTED_VALUE"""),"Golan Khola")</f>
        <v>Golan Khola</v>
      </c>
      <c r="C488" s="2">
        <f>IFERROR(__xludf.DUMMYFUNCTION("""COMPUTED_VALUE"""),0.4)</f>
        <v>0.4</v>
      </c>
      <c r="D488" s="2" t="str">
        <f>IFERROR(__xludf.DUMMYFUNCTION("""COMPUTED_VALUE"""),"Golan")</f>
        <v>Golan</v>
      </c>
      <c r="E488" s="2"/>
      <c r="F488" s="3">
        <f>IFERROR(__xludf.DUMMYFUNCTION("""COMPUTED_VALUE"""),60317.0)</f>
        <v>60317</v>
      </c>
      <c r="G488" s="2" t="str">
        <f>IFERROR(__xludf.DUMMYFUNCTION("""COMPUTED_VALUE"""),"Narayan Laxmi Nyupani")</f>
        <v>Narayan Laxmi Nyupani</v>
      </c>
      <c r="H488" s="2"/>
      <c r="I488" s="2" t="str">
        <f>IFERROR(__xludf.DUMMYFUNCTION("""COMPUTED_VALUE"""),"27o 37' 00""")</f>
        <v>27o 37' 00"</v>
      </c>
      <c r="J488" s="2" t="str">
        <f>IFERROR(__xludf.DUMMYFUNCTION("""COMPUTED_VALUE"""),"27o 38' 30""")</f>
        <v>27o 38' 30"</v>
      </c>
      <c r="K488" s="2" t="str">
        <f>IFERROR(__xludf.DUMMYFUNCTION("""COMPUTED_VALUE"""),"85o 52' 30""")</f>
        <v>85o 52' 30"</v>
      </c>
      <c r="L488" s="2" t="str">
        <f>IFERROR(__xludf.DUMMYFUNCTION("""COMPUTED_VALUE"""),"85o 53' 00""")</f>
        <v>85o 53' 00"</v>
      </c>
      <c r="M488" s="2" t="str">
        <f>IFERROR(__xludf.DUMMYFUNCTION("""COMPUTED_VALUE"""),"(Sindhupalchok)")</f>
        <v>(Sindhupalchok)</v>
      </c>
    </row>
    <row r="489">
      <c r="A489" s="2">
        <f>IFERROR(__xludf.DUMMYFUNCTION("""COMPUTED_VALUE"""),488.0)</f>
        <v>488</v>
      </c>
      <c r="B489" s="2" t="str">
        <f>IFERROR(__xludf.DUMMYFUNCTION("""COMPUTED_VALUE"""),"Sailung Khola")</f>
        <v>Sailung Khola</v>
      </c>
      <c r="C489" s="2">
        <f>IFERROR(__xludf.DUMMYFUNCTION("""COMPUTED_VALUE"""),0.6)</f>
        <v>0.6</v>
      </c>
      <c r="D489" s="2" t="str">
        <f>IFERROR(__xludf.DUMMYFUNCTION("""COMPUTED_VALUE"""),"Sailung")</f>
        <v>Sailung</v>
      </c>
      <c r="E489" s="2"/>
      <c r="F489" s="3">
        <f>IFERROR(__xludf.DUMMYFUNCTION("""COMPUTED_VALUE"""),60317.0)</f>
        <v>60317</v>
      </c>
      <c r="G489" s="2" t="str">
        <f>IFERROR(__xludf.DUMMYFUNCTION("""COMPUTED_VALUE"""),"Narayan Laxmi Nyupani")</f>
        <v>Narayan Laxmi Nyupani</v>
      </c>
      <c r="H489" s="2"/>
      <c r="I489" s="2" t="str">
        <f>IFERROR(__xludf.DUMMYFUNCTION("""COMPUTED_VALUE"""),"27o 36' 00""")</f>
        <v>27o 36' 00"</v>
      </c>
      <c r="J489" s="2" t="str">
        <f>IFERROR(__xludf.DUMMYFUNCTION("""COMPUTED_VALUE"""),"27o 37' 06""")</f>
        <v>27o 37' 06"</v>
      </c>
      <c r="K489" s="2" t="str">
        <f>IFERROR(__xludf.DUMMYFUNCTION("""COMPUTED_VALUE"""),"85o 53' 00""")</f>
        <v>85o 53' 00"</v>
      </c>
      <c r="L489" s="2" t="str">
        <f>IFERROR(__xludf.DUMMYFUNCTION("""COMPUTED_VALUE"""),"85o 55' 40""")</f>
        <v>85o 55' 40"</v>
      </c>
      <c r="M489" s="2" t="str">
        <f>IFERROR(__xludf.DUMMYFUNCTION("""COMPUTED_VALUE"""),"(Ramechhap)")</f>
        <v>(Ramechhap)</v>
      </c>
    </row>
    <row r="490">
      <c r="A490" s="2">
        <f>IFERROR(__xludf.DUMMYFUNCTION("""COMPUTED_VALUE"""),489.0)</f>
        <v>489</v>
      </c>
      <c r="B490" s="2" t="str">
        <f>IFERROR(__xludf.DUMMYFUNCTION("""COMPUTED_VALUE"""),"Pheda Khola")</f>
        <v>Pheda Khola</v>
      </c>
      <c r="C490" s="2">
        <f>IFERROR(__xludf.DUMMYFUNCTION("""COMPUTED_VALUE"""),0.8)</f>
        <v>0.8</v>
      </c>
      <c r="D490" s="2" t="str">
        <f>IFERROR(__xludf.DUMMYFUNCTION("""COMPUTED_VALUE"""),"Pheda")</f>
        <v>Pheda</v>
      </c>
      <c r="E490" s="2"/>
      <c r="F490" s="3">
        <f>IFERROR(__xludf.DUMMYFUNCTION("""COMPUTED_VALUE"""),60317.0)</f>
        <v>60317</v>
      </c>
      <c r="G490" s="2" t="str">
        <f>IFERROR(__xludf.DUMMYFUNCTION("""COMPUTED_VALUE"""),"Narayan Laxmi Nyupani")</f>
        <v>Narayan Laxmi Nyupani</v>
      </c>
      <c r="H490" s="2"/>
      <c r="I490" s="2" t="str">
        <f>IFERROR(__xludf.DUMMYFUNCTION("""COMPUTED_VALUE"""),"27o 36' 50""")</f>
        <v>27o 36' 50"</v>
      </c>
      <c r="J490" s="2" t="str">
        <f>IFERROR(__xludf.DUMMYFUNCTION("""COMPUTED_VALUE"""),"27o 38' 27""")</f>
        <v>27o 38' 27"</v>
      </c>
      <c r="K490" s="2" t="str">
        <f>IFERROR(__xludf.DUMMYFUNCTION("""COMPUTED_VALUE"""),"85o 53' 10""")</f>
        <v>85o 53' 10"</v>
      </c>
      <c r="L490" s="2" t="str">
        <f>IFERROR(__xludf.DUMMYFUNCTION("""COMPUTED_VALUE"""),"85o 55' 00""")</f>
        <v>85o 55' 00"</v>
      </c>
      <c r="M490" s="2" t="str">
        <f>IFERROR(__xludf.DUMMYFUNCTION("""COMPUTED_VALUE"""),"(Dolakha)")</f>
        <v>(Dolakha)</v>
      </c>
    </row>
    <row r="491">
      <c r="A491" s="2">
        <f>IFERROR(__xludf.DUMMYFUNCTION("""COMPUTED_VALUE"""),490.0)</f>
        <v>490</v>
      </c>
      <c r="B491" s="2" t="str">
        <f>IFERROR(__xludf.DUMMYFUNCTION("""COMPUTED_VALUE"""),"Waphal Khola")</f>
        <v>Waphal Khola</v>
      </c>
      <c r="C491" s="2">
        <f>IFERROR(__xludf.DUMMYFUNCTION("""COMPUTED_VALUE"""),0.8)</f>
        <v>0.8</v>
      </c>
      <c r="D491" s="2" t="str">
        <f>IFERROR(__xludf.DUMMYFUNCTION("""COMPUTED_VALUE"""),"Waphal")</f>
        <v>Waphal</v>
      </c>
      <c r="E491" s="2"/>
      <c r="F491" s="3">
        <f>IFERROR(__xludf.DUMMYFUNCTION("""COMPUTED_VALUE"""),60317.0)</f>
        <v>60317</v>
      </c>
      <c r="G491" s="2" t="str">
        <f>IFERROR(__xludf.DUMMYFUNCTION("""COMPUTED_VALUE"""),"Narayan Laxmi Nyupani")</f>
        <v>Narayan Laxmi Nyupani</v>
      </c>
      <c r="H491" s="2"/>
      <c r="I491" s="2" t="str">
        <f>IFERROR(__xludf.DUMMYFUNCTION("""COMPUTED_VALUE"""),"27o 37' 05""")</f>
        <v>27o 37' 05"</v>
      </c>
      <c r="J491" s="2" t="str">
        <f>IFERROR(__xludf.DUMMYFUNCTION("""COMPUTED_VALUE"""),"27o 38' 30""")</f>
        <v>27o 38' 30"</v>
      </c>
      <c r="K491" s="2" t="str">
        <f>IFERROR(__xludf.DUMMYFUNCTION("""COMPUTED_VALUE"""),"85o 53' 10""")</f>
        <v>85o 53' 10"</v>
      </c>
      <c r="L491" s="2" t="str">
        <f>IFERROR(__xludf.DUMMYFUNCTION("""COMPUTED_VALUE"""),"85o 55' 00""")</f>
        <v>85o 55' 00"</v>
      </c>
      <c r="M491" s="2" t="str">
        <f>IFERROR(__xludf.DUMMYFUNCTION("""COMPUTED_VALUE"""),"(Kabhrepalanchok)")</f>
        <v>(Kabhrepalanchok)</v>
      </c>
    </row>
    <row r="492">
      <c r="A492" s="2">
        <f>IFERROR(__xludf.DUMMYFUNCTION("""COMPUTED_VALUE"""),491.0)</f>
        <v>491</v>
      </c>
      <c r="B492" s="2" t="str">
        <f>IFERROR(__xludf.DUMMYFUNCTION("""COMPUTED_VALUE"""),"Golan Khola")</f>
        <v>Golan Khola</v>
      </c>
      <c r="C492" s="2">
        <f>IFERROR(__xludf.DUMMYFUNCTION("""COMPUTED_VALUE"""),0.4)</f>
        <v>0.4</v>
      </c>
      <c r="D492" s="2" t="str">
        <f>IFERROR(__xludf.DUMMYFUNCTION("""COMPUTED_VALUE"""),"Golan")</f>
        <v>Golan</v>
      </c>
      <c r="E492" s="2"/>
      <c r="F492" s="3">
        <f>IFERROR(__xludf.DUMMYFUNCTION("""COMPUTED_VALUE"""),60317.0)</f>
        <v>60317</v>
      </c>
      <c r="G492" s="2" t="str">
        <f>IFERROR(__xludf.DUMMYFUNCTION("""COMPUTED_VALUE"""),"Narayan Laxmi Neupane")</f>
        <v>Narayan Laxmi Neupane</v>
      </c>
      <c r="H492" s="2"/>
      <c r="I492" s="2" t="str">
        <f>IFERROR(__xludf.DUMMYFUNCTION("""COMPUTED_VALUE"""),"27o 37' 00""")</f>
        <v>27o 37' 00"</v>
      </c>
      <c r="J492" s="2" t="str">
        <f>IFERROR(__xludf.DUMMYFUNCTION("""COMPUTED_VALUE"""),"27o 38' 30""")</f>
        <v>27o 38' 30"</v>
      </c>
      <c r="K492" s="2" t="str">
        <f>IFERROR(__xludf.DUMMYFUNCTION("""COMPUTED_VALUE"""),"85o 52' 30""")</f>
        <v>85o 52' 30"</v>
      </c>
      <c r="L492" s="2" t="str">
        <f>IFERROR(__xludf.DUMMYFUNCTION("""COMPUTED_VALUE"""),"85o 53' 00""")</f>
        <v>85o 53' 00"</v>
      </c>
      <c r="M492" s="2" t="str">
        <f>IFERROR(__xludf.DUMMYFUNCTION("""COMPUTED_VALUE"""),"(Sindhupalchok)")</f>
        <v>(Sindhupalchok)</v>
      </c>
    </row>
    <row r="493">
      <c r="A493" s="2">
        <f>IFERROR(__xludf.DUMMYFUNCTION("""COMPUTED_VALUE"""),492.0)</f>
        <v>492</v>
      </c>
      <c r="B493" s="2" t="str">
        <f>IFERROR(__xludf.DUMMYFUNCTION("""COMPUTED_VALUE"""),"Upper Chisan")</f>
        <v>Upper Chisan</v>
      </c>
      <c r="C493" s="2">
        <f>IFERROR(__xludf.DUMMYFUNCTION("""COMPUTED_VALUE"""),4.78)</f>
        <v>4.78</v>
      </c>
      <c r="D493" s="2" t="str">
        <f>IFERROR(__xludf.DUMMYFUNCTION("""COMPUTED_VALUE"""),"Chisang")</f>
        <v>Chisang</v>
      </c>
      <c r="E493" s="2"/>
      <c r="F493" s="3">
        <f>IFERROR(__xludf.DUMMYFUNCTION("""COMPUTED_VALUE"""),60318.0)</f>
        <v>60318</v>
      </c>
      <c r="G493" s="2" t="str">
        <f>IFERROR(__xludf.DUMMYFUNCTION("""COMPUTED_VALUE"""),"Bojini Company")</f>
        <v>Bojini Company</v>
      </c>
      <c r="H493" s="2"/>
      <c r="I493" s="2" t="str">
        <f>IFERROR(__xludf.DUMMYFUNCTION("""COMPUTED_VALUE"""),"26o 48' 14""")</f>
        <v>26o 48' 14"</v>
      </c>
      <c r="J493" s="2" t="str">
        <f>IFERROR(__xludf.DUMMYFUNCTION("""COMPUTED_VALUE"""),"26o 57' 14""")</f>
        <v>26o 57' 14"</v>
      </c>
      <c r="K493" s="2" t="str">
        <f>IFERROR(__xludf.DUMMYFUNCTION("""COMPUTED_VALUE"""),"87o 29' 36""")</f>
        <v>87o 29' 36"</v>
      </c>
      <c r="L493" s="2" t="str">
        <f>IFERROR(__xludf.DUMMYFUNCTION("""COMPUTED_VALUE"""),"87o 31' 24""")</f>
        <v>87o 31' 24"</v>
      </c>
      <c r="M493" s="2" t="str">
        <f>IFERROR(__xludf.DUMMYFUNCTION("""COMPUTED_VALUE"""),"(Morang)")</f>
        <v>(Morang)</v>
      </c>
    </row>
    <row r="494">
      <c r="A494" s="2">
        <f>IFERROR(__xludf.DUMMYFUNCTION("""COMPUTED_VALUE"""),493.0)</f>
        <v>493</v>
      </c>
      <c r="B494" s="2" t="str">
        <f>IFERROR(__xludf.DUMMYFUNCTION("""COMPUTED_VALUE"""),"Lower Chisan")</f>
        <v>Lower Chisan</v>
      </c>
      <c r="C494" s="2">
        <f>IFERROR(__xludf.DUMMYFUNCTION("""COMPUTED_VALUE"""),3.16)</f>
        <v>3.16</v>
      </c>
      <c r="D494" s="2" t="str">
        <f>IFERROR(__xludf.DUMMYFUNCTION("""COMPUTED_VALUE"""),"Chisang")</f>
        <v>Chisang</v>
      </c>
      <c r="E494" s="2"/>
      <c r="F494" s="3">
        <f>IFERROR(__xludf.DUMMYFUNCTION("""COMPUTED_VALUE"""),60318.0)</f>
        <v>60318</v>
      </c>
      <c r="G494" s="2" t="str">
        <f>IFERROR(__xludf.DUMMYFUNCTION("""COMPUTED_VALUE"""),"River Falls Hydropower")</f>
        <v>River Falls Hydropower</v>
      </c>
      <c r="H494" s="2"/>
      <c r="I494" s="2" t="str">
        <f>IFERROR(__xludf.DUMMYFUNCTION("""COMPUTED_VALUE"""),"26o 46' 16""")</f>
        <v>26o 46' 16"</v>
      </c>
      <c r="J494" s="2" t="str">
        <f>IFERROR(__xludf.DUMMYFUNCTION("""COMPUTED_VALUE"""),"26o 48' 14""")</f>
        <v>26o 48' 14"</v>
      </c>
      <c r="K494" s="2" t="str">
        <f>IFERROR(__xludf.DUMMYFUNCTION("""COMPUTED_VALUE"""),"87o 29' 36""")</f>
        <v>87o 29' 36"</v>
      </c>
      <c r="L494" s="2" t="str">
        <f>IFERROR(__xludf.DUMMYFUNCTION("""COMPUTED_VALUE"""),"87o 31' 24""")</f>
        <v>87o 31' 24"</v>
      </c>
      <c r="M494" s="2" t="str">
        <f>IFERROR(__xludf.DUMMYFUNCTION("""COMPUTED_VALUE"""),"(Morang)")</f>
        <v>(Morang)</v>
      </c>
    </row>
    <row r="495">
      <c r="A495" s="2">
        <f>IFERROR(__xludf.DUMMYFUNCTION("""COMPUTED_VALUE"""),494.0)</f>
        <v>494</v>
      </c>
      <c r="B495" s="2" t="str">
        <f>IFERROR(__xludf.DUMMYFUNCTION("""COMPUTED_VALUE"""),"Lower Haluwa Khola")</f>
        <v>Lower Haluwa Khola</v>
      </c>
      <c r="C495" s="2">
        <f>IFERROR(__xludf.DUMMYFUNCTION("""COMPUTED_VALUE"""),0.315)</f>
        <v>0.315</v>
      </c>
      <c r="D495" s="2" t="str">
        <f>IFERROR(__xludf.DUMMYFUNCTION("""COMPUTED_VALUE"""),"Haluwa")</f>
        <v>Haluwa</v>
      </c>
      <c r="E495" s="2"/>
      <c r="F495" s="3">
        <f>IFERROR(__xludf.DUMMYFUNCTION("""COMPUTED_VALUE"""),60319.0)</f>
        <v>60319</v>
      </c>
      <c r="G495" s="2" t="str">
        <f>IFERROR(__xludf.DUMMYFUNCTION("""COMPUTED_VALUE"""),"Orient Consult P. Ltd.")</f>
        <v>Orient Consult P. Ltd.</v>
      </c>
      <c r="H495" s="2"/>
      <c r="I495" s="2" t="str">
        <f>IFERROR(__xludf.DUMMYFUNCTION("""COMPUTED_VALUE"""),"27o 30' 00""")</f>
        <v>27o 30' 00"</v>
      </c>
      <c r="J495" s="2" t="str">
        <f>IFERROR(__xludf.DUMMYFUNCTION("""COMPUTED_VALUE"""),"27o 30' 53""")</f>
        <v>27o 30' 53"</v>
      </c>
      <c r="K495" s="2" t="str">
        <f>IFERROR(__xludf.DUMMYFUNCTION("""COMPUTED_VALUE"""),"86o 08' 01""")</f>
        <v>86o 08' 01"</v>
      </c>
      <c r="L495" s="2" t="str">
        <f>IFERROR(__xludf.DUMMYFUNCTION("""COMPUTED_VALUE"""),"86o 10' 12""")</f>
        <v>86o 10' 12"</v>
      </c>
      <c r="M495" s="2" t="str">
        <f>IFERROR(__xludf.DUMMYFUNCTION("""COMPUTED_VALUE"""),"(Dolakha)")</f>
        <v>(Dolakha)</v>
      </c>
    </row>
    <row r="496">
      <c r="A496" s="2">
        <f>IFERROR(__xludf.DUMMYFUNCTION("""COMPUTED_VALUE"""),495.0)</f>
        <v>495</v>
      </c>
      <c r="B496" s="2" t="str">
        <f>IFERROR(__xludf.DUMMYFUNCTION("""COMPUTED_VALUE"""),"Seti Trishuli Reservoir Project")</f>
        <v>Seti Trishuli Reservoir Project</v>
      </c>
      <c r="C496" s="2">
        <f>IFERROR(__xludf.DUMMYFUNCTION("""COMPUTED_VALUE"""),128.0)</f>
        <v>128</v>
      </c>
      <c r="D496" s="2" t="str">
        <f>IFERROR(__xludf.DUMMYFUNCTION("""COMPUTED_VALUE"""),"Seti Khola")</f>
        <v>Seti Khola</v>
      </c>
      <c r="E496" s="2"/>
      <c r="F496" s="3">
        <f>IFERROR(__xludf.DUMMYFUNCTION("""COMPUTED_VALUE"""),60319.0)</f>
        <v>60319</v>
      </c>
      <c r="G496" s="2" t="str">
        <f>IFERROR(__xludf.DUMMYFUNCTION("""COMPUTED_VALUE"""),"Nepal Electricity Authority")</f>
        <v>Nepal Electricity Authority</v>
      </c>
      <c r="H496" s="2"/>
      <c r="I496" s="2" t="str">
        <f>IFERROR(__xludf.DUMMYFUNCTION("""COMPUTED_VALUE"""),"27o 48' 55""")</f>
        <v>27o 48' 55"</v>
      </c>
      <c r="J496" s="2" t="str">
        <f>IFERROR(__xludf.DUMMYFUNCTION("""COMPUTED_VALUE"""),"27o 58' 30""")</f>
        <v>27o 58' 30"</v>
      </c>
      <c r="K496" s="2" t="str">
        <f>IFERROR(__xludf.DUMMYFUNCTION("""COMPUTED_VALUE"""),"84o 16' 25""")</f>
        <v>84o 16' 25"</v>
      </c>
      <c r="L496" s="2" t="str">
        <f>IFERROR(__xludf.DUMMYFUNCTION("""COMPUTED_VALUE"""),"84o 28' 35""")</f>
        <v>84o 28' 35"</v>
      </c>
      <c r="M496" s="2" t="str">
        <f>IFERROR(__xludf.DUMMYFUNCTION("""COMPUTED_VALUE"""),"(Tanahu)")</f>
        <v>(Tanahu)</v>
      </c>
    </row>
    <row r="497">
      <c r="A497" s="2">
        <f>IFERROR(__xludf.DUMMYFUNCTION("""COMPUTED_VALUE"""),496.0)</f>
        <v>496</v>
      </c>
      <c r="B497" s="2" t="str">
        <f>IFERROR(__xludf.DUMMYFUNCTION("""COMPUTED_VALUE"""),"Manakamana Daraundi")</f>
        <v>Manakamana Daraundi</v>
      </c>
      <c r="C497" s="2">
        <f>IFERROR(__xludf.DUMMYFUNCTION("""COMPUTED_VALUE"""),5.0)</f>
        <v>5</v>
      </c>
      <c r="D497" s="2" t="str">
        <f>IFERROR(__xludf.DUMMYFUNCTION("""COMPUTED_VALUE"""),"Daraundi")</f>
        <v>Daraundi</v>
      </c>
      <c r="E497" s="2"/>
      <c r="F497" s="3">
        <f>IFERROR(__xludf.DUMMYFUNCTION("""COMPUTED_VALUE"""),60319.0)</f>
        <v>60319</v>
      </c>
      <c r="G497" s="2" t="str">
        <f>IFERROR(__xludf.DUMMYFUNCTION("""COMPUTED_VALUE"""),"Sangita Saha, Naresh Neupane")</f>
        <v>Sangita Saha, Naresh Neupane</v>
      </c>
      <c r="H497" s="2"/>
      <c r="I497" s="2" t="str">
        <f>IFERROR(__xludf.DUMMYFUNCTION("""COMPUTED_VALUE"""),"27o 55' 00""")</f>
        <v>27o 55' 00"</v>
      </c>
      <c r="J497" s="2" t="str">
        <f>IFERROR(__xludf.DUMMYFUNCTION("""COMPUTED_VALUE"""),"27o 57' 30""")</f>
        <v>27o 57' 30"</v>
      </c>
      <c r="K497" s="2" t="str">
        <f>IFERROR(__xludf.DUMMYFUNCTION("""COMPUTED_VALUE"""),"84o 32' 30""")</f>
        <v>84o 32' 30"</v>
      </c>
      <c r="L497" s="2" t="str">
        <f>IFERROR(__xludf.DUMMYFUNCTION("""COMPUTED_VALUE"""),"84o 33' 58""")</f>
        <v>84o 33' 58"</v>
      </c>
      <c r="M497" s="2" t="str">
        <f>IFERROR(__xludf.DUMMYFUNCTION("""COMPUTED_VALUE"""),"(Gorkha)")</f>
        <v>(Gorkha)</v>
      </c>
    </row>
    <row r="498">
      <c r="A498" s="2">
        <f>IFERROR(__xludf.DUMMYFUNCTION("""COMPUTED_VALUE"""),497.0)</f>
        <v>497</v>
      </c>
      <c r="B498" s="2" t="str">
        <f>IFERROR(__xludf.DUMMYFUNCTION("""COMPUTED_VALUE"""),"Khyadar-Dukan Khola")</f>
        <v>Khyadar-Dukan Khola</v>
      </c>
      <c r="C498" s="2">
        <f>IFERROR(__xludf.DUMMYFUNCTION("""COMPUTED_VALUE"""),0.982)</f>
        <v>0.982</v>
      </c>
      <c r="D498" s="2" t="str">
        <f>IFERROR(__xludf.DUMMYFUNCTION("""COMPUTED_VALUE"""),"Khyadar-Dukan")</f>
        <v>Khyadar-Dukan</v>
      </c>
      <c r="E498" s="2"/>
      <c r="F498" s="3">
        <f>IFERROR(__xludf.DUMMYFUNCTION("""COMPUTED_VALUE"""),60319.0)</f>
        <v>60319</v>
      </c>
      <c r="G498" s="2" t="str">
        <f>IFERROR(__xludf.DUMMYFUNCTION("""COMPUTED_VALUE"""),"Marka Tamang")</f>
        <v>Marka Tamang</v>
      </c>
      <c r="H498" s="2"/>
      <c r="I498" s="2" t="str">
        <f>IFERROR(__xludf.DUMMYFUNCTION("""COMPUTED_VALUE"""),"28o 09' 27""")</f>
        <v>28o 09' 27"</v>
      </c>
      <c r="J498" s="2" t="str">
        <f>IFERROR(__xludf.DUMMYFUNCTION("""COMPUTED_VALUE"""),"28o 10' 00""")</f>
        <v>28o 10' 00"</v>
      </c>
      <c r="K498" s="2" t="str">
        <f>IFERROR(__xludf.DUMMYFUNCTION("""COMPUTED_VALUE"""),"85o 03' 02""")</f>
        <v>85o 03' 02"</v>
      </c>
      <c r="L498" s="2" t="str">
        <f>IFERROR(__xludf.DUMMYFUNCTION("""COMPUTED_VALUE"""),"85o 04' 51""")</f>
        <v>85o 04' 51"</v>
      </c>
      <c r="M498" s="2" t="str">
        <f>IFERROR(__xludf.DUMMYFUNCTION("""COMPUTED_VALUE"""),"(Dhading)")</f>
        <v>(Dhading)</v>
      </c>
    </row>
    <row r="499">
      <c r="A499" s="2">
        <f>IFERROR(__xludf.DUMMYFUNCTION("""COMPUTED_VALUE"""),498.0)</f>
        <v>498</v>
      </c>
      <c r="B499" s="2" t="str">
        <f>IFERROR(__xludf.DUMMYFUNCTION("""COMPUTED_VALUE"""),"Chamaliya Gad")</f>
        <v>Chamaliya Gad</v>
      </c>
      <c r="C499" s="2">
        <f>IFERROR(__xludf.DUMMYFUNCTION("""COMPUTED_VALUE"""),10.0)</f>
        <v>10</v>
      </c>
      <c r="D499" s="2" t="str">
        <f>IFERROR(__xludf.DUMMYFUNCTION("""COMPUTED_VALUE"""),"Chameliya Khola")</f>
        <v>Chameliya Khola</v>
      </c>
      <c r="E499" s="2"/>
      <c r="F499" s="3">
        <f>IFERROR(__xludf.DUMMYFUNCTION("""COMPUTED_VALUE"""),60321.0)</f>
        <v>60321</v>
      </c>
      <c r="G499" s="2" t="str">
        <f>IFERROR(__xludf.DUMMYFUNCTION("""COMPUTED_VALUE"""),"Satish Neuapne")</f>
        <v>Satish Neuapne</v>
      </c>
      <c r="H499" s="2" t="str">
        <f>IFERROR(__xludf.DUMMYFUNCTION("""COMPUTED_VALUE"""),"Kathamndu - 34, New Baneshwor")</f>
        <v>Kathamndu - 34, New Baneshwor</v>
      </c>
      <c r="I499" s="2" t="str">
        <f>IFERROR(__xludf.DUMMYFUNCTION("""COMPUTED_VALUE"""),"29o 34' 30""")</f>
        <v>29o 34' 30"</v>
      </c>
      <c r="J499" s="2" t="str">
        <f>IFERROR(__xludf.DUMMYFUNCTION("""COMPUTED_VALUE"""),"29o 39' 30""")</f>
        <v>29o 39' 30"</v>
      </c>
      <c r="K499" s="2" t="str">
        <f>IFERROR(__xludf.DUMMYFUNCTION("""COMPUTED_VALUE"""),"80o 24' 00""")</f>
        <v>80o 24' 00"</v>
      </c>
      <c r="L499" s="2" t="str">
        <f>IFERROR(__xludf.DUMMYFUNCTION("""COMPUTED_VALUE"""),"80o 31' 00""")</f>
        <v>80o 31' 00"</v>
      </c>
      <c r="M499" s="2" t="str">
        <f>IFERROR(__xludf.DUMMYFUNCTION("""COMPUTED_VALUE"""),"(Baitadi)")</f>
        <v>(Baitadi)</v>
      </c>
    </row>
    <row r="500">
      <c r="A500" s="2">
        <f>IFERROR(__xludf.DUMMYFUNCTION("""COMPUTED_VALUE"""),499.0)</f>
        <v>499</v>
      </c>
      <c r="B500" s="2" t="str">
        <f>IFERROR(__xludf.DUMMYFUNCTION("""COMPUTED_VALUE"""),"Chomron Khola")</f>
        <v>Chomron Khola</v>
      </c>
      <c r="C500" s="2">
        <f>IFERROR(__xludf.DUMMYFUNCTION("""COMPUTED_VALUE"""),5.0)</f>
        <v>5</v>
      </c>
      <c r="D500" s="2" t="str">
        <f>IFERROR(__xludf.DUMMYFUNCTION("""COMPUTED_VALUE"""),"Chomron")</f>
        <v>Chomron</v>
      </c>
      <c r="E500" s="2"/>
      <c r="F500" s="3">
        <f>IFERROR(__xludf.DUMMYFUNCTION("""COMPUTED_VALUE"""),60321.0)</f>
        <v>60321</v>
      </c>
      <c r="G500" s="2" t="str">
        <f>IFERROR(__xludf.DUMMYFUNCTION("""COMPUTED_VALUE"""),"Pokhara Power")</f>
        <v>Pokhara Power</v>
      </c>
      <c r="H500" s="2"/>
      <c r="I500" s="2" t="str">
        <f>IFERROR(__xludf.DUMMYFUNCTION("""COMPUTED_VALUE"""),"28o 25' 57""")</f>
        <v>28o 25' 57"</v>
      </c>
      <c r="J500" s="2" t="str">
        <f>IFERROR(__xludf.DUMMYFUNCTION("""COMPUTED_VALUE"""),"28o 29' 03""")</f>
        <v>28o 29' 03"</v>
      </c>
      <c r="K500" s="2" t="str">
        <f>IFERROR(__xludf.DUMMYFUNCTION("""COMPUTED_VALUE"""),"83o 47' 44""")</f>
        <v>83o 47' 44"</v>
      </c>
      <c r="L500" s="2" t="str">
        <f>IFERROR(__xludf.DUMMYFUNCTION("""COMPUTED_VALUE"""),"83o 50' 11""")</f>
        <v>83o 50' 11"</v>
      </c>
      <c r="M500" s="2" t="str">
        <f>IFERROR(__xludf.DUMMYFUNCTION("""COMPUTED_VALUE"""),"(Kaski)")</f>
        <v>(Kaski)</v>
      </c>
    </row>
    <row r="501">
      <c r="A501" s="2">
        <f>IFERROR(__xludf.DUMMYFUNCTION("""COMPUTED_VALUE"""),500.0)</f>
        <v>500</v>
      </c>
      <c r="B501" s="2" t="str">
        <f>IFERROR(__xludf.DUMMYFUNCTION("""COMPUTED_VALUE"""),"Pheme Khola")</f>
        <v>Pheme Khola</v>
      </c>
      <c r="C501" s="2">
        <f>IFERROR(__xludf.DUMMYFUNCTION("""COMPUTED_VALUE"""),0.95)</f>
        <v>0.95</v>
      </c>
      <c r="D501" s="2" t="str">
        <f>IFERROR(__xludf.DUMMYFUNCTION("""COMPUTED_VALUE"""),"Pheme")</f>
        <v>Pheme</v>
      </c>
      <c r="E501" s="2"/>
      <c r="F501" s="3">
        <f>IFERROR(__xludf.DUMMYFUNCTION("""COMPUTED_VALUE"""),60321.0)</f>
        <v>60321</v>
      </c>
      <c r="G501" s="2" t="str">
        <f>IFERROR(__xludf.DUMMYFUNCTION("""COMPUTED_VALUE"""),"Soyambu Energy Development P. Ltd.")</f>
        <v>Soyambu Energy Development P. Ltd.</v>
      </c>
      <c r="H501" s="2"/>
      <c r="I501" s="2" t="str">
        <f>IFERROR(__xludf.DUMMYFUNCTION("""COMPUTED_VALUE"""),"27o 08' 00""")</f>
        <v>27o 08' 00"</v>
      </c>
      <c r="J501" s="2" t="str">
        <f>IFERROR(__xludf.DUMMYFUNCTION("""COMPUTED_VALUE"""),"27o 10' 15""")</f>
        <v>27o 10' 15"</v>
      </c>
      <c r="K501" s="2" t="str">
        <f>IFERROR(__xludf.DUMMYFUNCTION("""COMPUTED_VALUE"""),"87o 46' 30""")</f>
        <v>87o 46' 30"</v>
      </c>
      <c r="L501" s="2" t="str">
        <f>IFERROR(__xludf.DUMMYFUNCTION("""COMPUTED_VALUE"""),"87o 49' 00""")</f>
        <v>87o 49' 00"</v>
      </c>
      <c r="M501" s="2" t="str">
        <f>IFERROR(__xludf.DUMMYFUNCTION("""COMPUTED_VALUE"""),"(Panchthar)")</f>
        <v>(Panchthar)</v>
      </c>
    </row>
    <row r="502">
      <c r="A502" s="2">
        <f>IFERROR(__xludf.DUMMYFUNCTION("""COMPUTED_VALUE"""),501.0)</f>
        <v>501</v>
      </c>
      <c r="B502" s="2" t="str">
        <f>IFERROR(__xludf.DUMMYFUNCTION("""COMPUTED_VALUE"""),"Karnalai Chisapani Storage")</f>
        <v>Karnalai Chisapani Storage</v>
      </c>
      <c r="C502" s="2">
        <f>IFERROR(__xludf.DUMMYFUNCTION("""COMPUTED_VALUE"""),10800.0)</f>
        <v>10800</v>
      </c>
      <c r="D502" s="2" t="str">
        <f>IFERROR(__xludf.DUMMYFUNCTION("""COMPUTED_VALUE"""),"Karnali")</f>
        <v>Karnali</v>
      </c>
      <c r="E502" s="2"/>
      <c r="F502" s="3">
        <f>IFERROR(__xludf.DUMMYFUNCTION("""COMPUTED_VALUE"""),60321.0)</f>
        <v>60321</v>
      </c>
      <c r="G502" s="2" t="str">
        <f>IFERROR(__xludf.DUMMYFUNCTION("""COMPUTED_VALUE"""),"Jindal Steel &amp; Power Limited")</f>
        <v>Jindal Steel &amp; Power Limited</v>
      </c>
      <c r="H502" s="2" t="str">
        <f>IFERROR(__xludf.DUMMYFUNCTION("""COMPUTED_VALUE"""),"Bhikaji Cama Place, New Delhi-110066")</f>
        <v>Bhikaji Cama Place, New Delhi-110066</v>
      </c>
      <c r="I502" s="2" t="str">
        <f>IFERROR(__xludf.DUMMYFUNCTION("""COMPUTED_VALUE"""),"00o 00' 00""")</f>
        <v>00o 00' 00"</v>
      </c>
      <c r="J502" s="2" t="str">
        <f>IFERROR(__xludf.DUMMYFUNCTION("""COMPUTED_VALUE"""),"00o 00' 00""")</f>
        <v>00o 00' 00"</v>
      </c>
      <c r="K502" s="2" t="str">
        <f>IFERROR(__xludf.DUMMYFUNCTION("""COMPUTED_VALUE"""),"00o 00' 00""")</f>
        <v>00o 00' 00"</v>
      </c>
      <c r="L502" s="2" t="str">
        <f>IFERROR(__xludf.DUMMYFUNCTION("""COMPUTED_VALUE"""),"00o 00' 00""")</f>
        <v>00o 00' 00"</v>
      </c>
      <c r="M502" s="2" t="str">
        <f>IFERROR(__xludf.DUMMYFUNCTION("""COMPUTED_VALUE"""),"(Kailali)")</f>
        <v>(Kailali)</v>
      </c>
    </row>
    <row r="503">
      <c r="A503" s="2">
        <f>IFERROR(__xludf.DUMMYFUNCTION("""COMPUTED_VALUE"""),502.0)</f>
        <v>502</v>
      </c>
      <c r="B503" s="2" t="str">
        <f>IFERROR(__xludf.DUMMYFUNCTION("""COMPUTED_VALUE"""),"Melamchi Khola")</f>
        <v>Melamchi Khola</v>
      </c>
      <c r="C503" s="2">
        <f>IFERROR(__xludf.DUMMYFUNCTION("""COMPUTED_VALUE"""),0.8)</f>
        <v>0.8</v>
      </c>
      <c r="D503" s="2" t="str">
        <f>IFERROR(__xludf.DUMMYFUNCTION("""COMPUTED_VALUE"""),"Melamchi")</f>
        <v>Melamchi</v>
      </c>
      <c r="E503" s="2"/>
      <c r="F503" s="3">
        <f>IFERROR(__xludf.DUMMYFUNCTION("""COMPUTED_VALUE"""),60321.0)</f>
        <v>60321</v>
      </c>
      <c r="G503" s="2" t="str">
        <f>IFERROR(__xludf.DUMMYFUNCTION("""COMPUTED_VALUE"""),"Kami Sherpa")</f>
        <v>Kami Sherpa</v>
      </c>
      <c r="H503" s="2"/>
      <c r="I503" s="2" t="str">
        <f>IFERROR(__xludf.DUMMYFUNCTION("""COMPUTED_VALUE"""),"00o 00' 00""")</f>
        <v>00o 00' 00"</v>
      </c>
      <c r="J503" s="2" t="str">
        <f>IFERROR(__xludf.DUMMYFUNCTION("""COMPUTED_VALUE"""),"00o 00' 00""")</f>
        <v>00o 00' 00"</v>
      </c>
      <c r="K503" s="2" t="str">
        <f>IFERROR(__xludf.DUMMYFUNCTION("""COMPUTED_VALUE"""),"00o 00' 00""")</f>
        <v>00o 00' 00"</v>
      </c>
      <c r="L503" s="2" t="str">
        <f>IFERROR(__xludf.DUMMYFUNCTION("""COMPUTED_VALUE"""),"00o 00' 00""")</f>
        <v>00o 00' 00"</v>
      </c>
      <c r="M503" s="2" t="str">
        <f>IFERROR(__xludf.DUMMYFUNCTION("""COMPUTED_VALUE"""),"(Sindhupalchok)")</f>
        <v>(Sindhupalchok)</v>
      </c>
    </row>
    <row r="504">
      <c r="A504" s="2">
        <f>IFERROR(__xludf.DUMMYFUNCTION("""COMPUTED_VALUE"""),503.0)</f>
        <v>503</v>
      </c>
      <c r="B504" s="2" t="str">
        <f>IFERROR(__xludf.DUMMYFUNCTION("""COMPUTED_VALUE"""),"Tila - I")</f>
        <v>Tila - I</v>
      </c>
      <c r="C504" s="2">
        <f>IFERROR(__xludf.DUMMYFUNCTION("""COMPUTED_VALUE"""),485.0)</f>
        <v>485</v>
      </c>
      <c r="D504" s="2" t="str">
        <f>IFERROR(__xludf.DUMMYFUNCTION("""COMPUTED_VALUE"""),"Tila")</f>
        <v>Tila</v>
      </c>
      <c r="E504" s="2"/>
      <c r="F504" s="3">
        <f>IFERROR(__xludf.DUMMYFUNCTION("""COMPUTED_VALUE"""),60322.0)</f>
        <v>60322</v>
      </c>
      <c r="G504" s="2" t="str">
        <f>IFERROR(__xludf.DUMMYFUNCTION("""COMPUTED_VALUE"""),"Butwal Power Company")</f>
        <v>Butwal Power Company</v>
      </c>
      <c r="H504" s="2" t="str">
        <f>IFERROR(__xludf.DUMMYFUNCTION("""COMPUTED_VALUE"""),"Budhha Nagar Ph : 4781776, 4784026 Fax: 4780994")</f>
        <v>Budhha Nagar Ph : 4781776, 4784026 Fax: 4780994</v>
      </c>
      <c r="I504" s="2" t="str">
        <f>IFERROR(__xludf.DUMMYFUNCTION("""COMPUTED_VALUE"""),"29o 06' 06""")</f>
        <v>29o 06' 06"</v>
      </c>
      <c r="J504" s="2" t="str">
        <f>IFERROR(__xludf.DUMMYFUNCTION("""COMPUTED_VALUE"""),"29o 08' 54""")</f>
        <v>29o 08' 54"</v>
      </c>
      <c r="K504" s="2" t="str">
        <f>IFERROR(__xludf.DUMMYFUNCTION("""COMPUTED_VALUE"""),"81o 34' 59""")</f>
        <v>81o 34' 59"</v>
      </c>
      <c r="L504" s="2" t="str">
        <f>IFERROR(__xludf.DUMMYFUNCTION("""COMPUTED_VALUE"""),"81o 44' 30""")</f>
        <v>81o 44' 30"</v>
      </c>
      <c r="M504" s="2" t="str">
        <f>IFERROR(__xludf.DUMMYFUNCTION("""COMPUTED_VALUE"""),"(Kalikot)")</f>
        <v>(Kalikot)</v>
      </c>
    </row>
    <row r="505">
      <c r="A505" s="2">
        <f>IFERROR(__xludf.DUMMYFUNCTION("""COMPUTED_VALUE"""),504.0)</f>
        <v>504</v>
      </c>
      <c r="B505" s="2" t="str">
        <f>IFERROR(__xludf.DUMMYFUNCTION("""COMPUTED_VALUE"""),"Langdi Khola")</f>
        <v>Langdi Khola</v>
      </c>
      <c r="C505" s="2">
        <f>IFERROR(__xludf.DUMMYFUNCTION("""COMPUTED_VALUE"""),0.993)</f>
        <v>0.993</v>
      </c>
      <c r="D505" s="2" t="str">
        <f>IFERROR(__xludf.DUMMYFUNCTION("""COMPUTED_VALUE"""),"Langdi")</f>
        <v>Langdi</v>
      </c>
      <c r="E505" s="2"/>
      <c r="F505" s="3">
        <f>IFERROR(__xludf.DUMMYFUNCTION("""COMPUTED_VALUE"""),60322.0)</f>
        <v>60322</v>
      </c>
      <c r="G505" s="2" t="str">
        <f>IFERROR(__xludf.DUMMYFUNCTION("""COMPUTED_VALUE"""),"Dipesh Raj Duwadi")</f>
        <v>Dipesh Raj Duwadi</v>
      </c>
      <c r="H505" s="2"/>
      <c r="I505" s="2" t="str">
        <f>IFERROR(__xludf.DUMMYFUNCTION("""COMPUTED_VALUE"""),"28o 11' 55""")</f>
        <v>28o 11' 55"</v>
      </c>
      <c r="J505" s="2" t="str">
        <f>IFERROR(__xludf.DUMMYFUNCTION("""COMPUTED_VALUE"""),"28o 14' 06""")</f>
        <v>28o 14' 06"</v>
      </c>
      <c r="K505" s="2" t="str">
        <f>IFERROR(__xludf.DUMMYFUNCTION("""COMPUTED_VALUE"""),"84o 34' 37""")</f>
        <v>84o 34' 37"</v>
      </c>
      <c r="L505" s="2" t="str">
        <f>IFERROR(__xludf.DUMMYFUNCTION("""COMPUTED_VALUE"""),"84o 35' 27""")</f>
        <v>84o 35' 27"</v>
      </c>
      <c r="M505" s="2" t="str">
        <f>IFERROR(__xludf.DUMMYFUNCTION("""COMPUTED_VALUE"""),"(Lamjung)")</f>
        <v>(Lamjung)</v>
      </c>
    </row>
    <row r="506">
      <c r="A506" s="2">
        <f>IFERROR(__xludf.DUMMYFUNCTION("""COMPUTED_VALUE"""),505.0)</f>
        <v>505</v>
      </c>
      <c r="B506" s="2" t="str">
        <f>IFERROR(__xludf.DUMMYFUNCTION("""COMPUTED_VALUE"""),"Tila - II")</f>
        <v>Tila - II</v>
      </c>
      <c r="C506" s="2">
        <f>IFERROR(__xludf.DUMMYFUNCTION("""COMPUTED_VALUE"""),480.0)</f>
        <v>480</v>
      </c>
      <c r="D506" s="2" t="str">
        <f>IFERROR(__xludf.DUMMYFUNCTION("""COMPUTED_VALUE"""),"Tila")</f>
        <v>Tila</v>
      </c>
      <c r="E506" s="2"/>
      <c r="F506" s="3">
        <f>IFERROR(__xludf.DUMMYFUNCTION("""COMPUTED_VALUE"""),60322.0)</f>
        <v>60322</v>
      </c>
      <c r="G506" s="2" t="str">
        <f>IFERROR(__xludf.DUMMYFUNCTION("""COMPUTED_VALUE"""),"Butwal Power Company")</f>
        <v>Butwal Power Company</v>
      </c>
      <c r="H506" s="2" t="str">
        <f>IFERROR(__xludf.DUMMYFUNCTION("""COMPUTED_VALUE"""),"Budhha Nagar Ph : 4781776, 4784026 Fax: 4780994")</f>
        <v>Budhha Nagar Ph : 4781776, 4784026 Fax: 4780994</v>
      </c>
      <c r="I506" s="2" t="str">
        <f>IFERROR(__xludf.DUMMYFUNCTION("""COMPUTED_VALUE"""),"29o 05' 30""")</f>
        <v>29o 05' 30"</v>
      </c>
      <c r="J506" s="2" t="str">
        <f>IFERROR(__xludf.DUMMYFUNCTION("""COMPUTED_VALUE"""),"29o 10' 00""")</f>
        <v>29o 10' 00"</v>
      </c>
      <c r="K506" s="2" t="str">
        <f>IFERROR(__xludf.DUMMYFUNCTION("""COMPUTED_VALUE"""),"81o 44' 30""")</f>
        <v>81o 44' 30"</v>
      </c>
      <c r="L506" s="2" t="str">
        <f>IFERROR(__xludf.DUMMYFUNCTION("""COMPUTED_VALUE"""),"81o 51' 00""")</f>
        <v>81o 51' 00"</v>
      </c>
      <c r="M506" s="2" t="str">
        <f>IFERROR(__xludf.DUMMYFUNCTION("""COMPUTED_VALUE"""),"(Kalikot)")</f>
        <v>(Kalikot)</v>
      </c>
    </row>
    <row r="507">
      <c r="A507" s="2">
        <f>IFERROR(__xludf.DUMMYFUNCTION("""COMPUTED_VALUE"""),506.0)</f>
        <v>506</v>
      </c>
      <c r="B507" s="2" t="str">
        <f>IFERROR(__xludf.DUMMYFUNCTION("""COMPUTED_VALUE"""),"Lower Ankhu")</f>
        <v>Lower Ankhu</v>
      </c>
      <c r="C507" s="2">
        <f>IFERROR(__xludf.DUMMYFUNCTION("""COMPUTED_VALUE"""),2.4)</f>
        <v>2.4</v>
      </c>
      <c r="D507" s="2" t="str">
        <f>IFERROR(__xludf.DUMMYFUNCTION("""COMPUTED_VALUE"""),"Ankhu Khola")</f>
        <v>Ankhu Khola</v>
      </c>
      <c r="E507" s="2"/>
      <c r="F507" s="3">
        <f>IFERROR(__xludf.DUMMYFUNCTION("""COMPUTED_VALUE"""),60325.0)</f>
        <v>60325</v>
      </c>
      <c r="G507" s="2" t="str">
        <f>IFERROR(__xludf.DUMMYFUNCTION("""COMPUTED_VALUE"""),"Chhantaman Tamang")</f>
        <v>Chhantaman Tamang</v>
      </c>
      <c r="H507" s="2"/>
      <c r="I507" s="2" t="str">
        <f>IFERROR(__xludf.DUMMYFUNCTION("""COMPUTED_VALUE"""),"28o 02' 30""")</f>
        <v>28o 02' 30"</v>
      </c>
      <c r="J507" s="2" t="str">
        <f>IFERROR(__xludf.DUMMYFUNCTION("""COMPUTED_VALUE"""),"28o 04' 10""")</f>
        <v>28o 04' 10"</v>
      </c>
      <c r="K507" s="2" t="str">
        <f>IFERROR(__xludf.DUMMYFUNCTION("""COMPUTED_VALUE"""),"84o 58' 00""")</f>
        <v>84o 58' 00"</v>
      </c>
      <c r="L507" s="2" t="str">
        <f>IFERROR(__xludf.DUMMYFUNCTION("""COMPUTED_VALUE"""),"84o 59' 45""")</f>
        <v>84o 59' 45"</v>
      </c>
      <c r="M507" s="2" t="str">
        <f>IFERROR(__xludf.DUMMYFUNCTION("""COMPUTED_VALUE"""),"(Dhading)")</f>
        <v>(Dhading)</v>
      </c>
    </row>
    <row r="508">
      <c r="A508" s="2">
        <f>IFERROR(__xludf.DUMMYFUNCTION("""COMPUTED_VALUE"""),507.0)</f>
        <v>507</v>
      </c>
      <c r="B508" s="2" t="str">
        <f>IFERROR(__xludf.DUMMYFUNCTION("""COMPUTED_VALUE"""),"Maste Khola")</f>
        <v>Maste Khola</v>
      </c>
      <c r="C508" s="2">
        <f>IFERROR(__xludf.DUMMYFUNCTION("""COMPUTED_VALUE"""),0.8)</f>
        <v>0.8</v>
      </c>
      <c r="D508" s="2" t="str">
        <f>IFERROR(__xludf.DUMMYFUNCTION("""COMPUTED_VALUE"""),"Maste")</f>
        <v>Maste</v>
      </c>
      <c r="E508" s="2"/>
      <c r="F508" s="3">
        <f>IFERROR(__xludf.DUMMYFUNCTION("""COMPUTED_VALUE"""),60325.0)</f>
        <v>60325</v>
      </c>
      <c r="G508" s="2" t="str">
        <f>IFERROR(__xludf.DUMMYFUNCTION("""COMPUTED_VALUE"""),"Trimurti Hydropower")</f>
        <v>Trimurti Hydropower</v>
      </c>
      <c r="H508" s="2"/>
      <c r="I508" s="2" t="str">
        <f>IFERROR(__xludf.DUMMYFUNCTION("""COMPUTED_VALUE"""),"00o 00' 00""")</f>
        <v>00o 00' 00"</v>
      </c>
      <c r="J508" s="2" t="str">
        <f>IFERROR(__xludf.DUMMYFUNCTION("""COMPUTED_VALUE"""),"00o 00' 00""")</f>
        <v>00o 00' 00"</v>
      </c>
      <c r="K508" s="2" t="str">
        <f>IFERROR(__xludf.DUMMYFUNCTION("""COMPUTED_VALUE"""),"00o 00' 00""")</f>
        <v>00o 00' 00"</v>
      </c>
      <c r="L508" s="2" t="str">
        <f>IFERROR(__xludf.DUMMYFUNCTION("""COMPUTED_VALUE"""),"00o 00' 00""")</f>
        <v>00o 00' 00"</v>
      </c>
      <c r="M508" s="2" t="str">
        <f>IFERROR(__xludf.DUMMYFUNCTION("""COMPUTED_VALUE"""),"(Dhading)")</f>
        <v>(Dhading)</v>
      </c>
    </row>
    <row r="509">
      <c r="A509" s="2">
        <f>IFERROR(__xludf.DUMMYFUNCTION("""COMPUTED_VALUE"""),508.0)</f>
        <v>508</v>
      </c>
      <c r="B509" s="2" t="str">
        <f>IFERROR(__xludf.DUMMYFUNCTION("""COMPUTED_VALUE"""),"Daraundi Nadi")</f>
        <v>Daraundi Nadi</v>
      </c>
      <c r="C509" s="2">
        <f>IFERROR(__xludf.DUMMYFUNCTION("""COMPUTED_VALUE"""),5.0)</f>
        <v>5</v>
      </c>
      <c r="D509" s="2" t="str">
        <f>IFERROR(__xludf.DUMMYFUNCTION("""COMPUTED_VALUE"""),"Daraundi")</f>
        <v>Daraundi</v>
      </c>
      <c r="E509" s="2"/>
      <c r="F509" s="3">
        <f>IFERROR(__xludf.DUMMYFUNCTION("""COMPUTED_VALUE"""),60325.0)</f>
        <v>60325</v>
      </c>
      <c r="G509" s="2" t="str">
        <f>IFERROR(__xludf.DUMMYFUNCTION("""COMPUTED_VALUE"""),"Ganga KC")</f>
        <v>Ganga KC</v>
      </c>
      <c r="H509" s="2"/>
      <c r="I509" s="2" t="str">
        <f>IFERROR(__xludf.DUMMYFUNCTION("""COMPUTED_VALUE"""),"27o 54' 40""")</f>
        <v>27o 54' 40"</v>
      </c>
      <c r="J509" s="2" t="str">
        <f>IFERROR(__xludf.DUMMYFUNCTION("""COMPUTED_VALUE"""),"27o 57' 45""")</f>
        <v>27o 57' 45"</v>
      </c>
      <c r="K509" s="2" t="str">
        <f>IFERROR(__xludf.DUMMYFUNCTION("""COMPUTED_VALUE"""),"84o 32' 30""")</f>
        <v>84o 32' 30"</v>
      </c>
      <c r="L509" s="2" t="str">
        <f>IFERROR(__xludf.DUMMYFUNCTION("""COMPUTED_VALUE"""),"84o 33' 42""")</f>
        <v>84o 33' 42"</v>
      </c>
      <c r="M509" s="2" t="str">
        <f>IFERROR(__xludf.DUMMYFUNCTION("""COMPUTED_VALUE"""),"(Gorkha)")</f>
        <v>(Gorkha)</v>
      </c>
    </row>
    <row r="510">
      <c r="A510" s="2">
        <f>IFERROR(__xludf.DUMMYFUNCTION("""COMPUTED_VALUE"""),509.0)</f>
        <v>509</v>
      </c>
      <c r="B510" s="2" t="str">
        <f>IFERROR(__xludf.DUMMYFUNCTION("""COMPUTED_VALUE"""),"Upper Arun")</f>
        <v>Upper Arun</v>
      </c>
      <c r="C510" s="2">
        <f>IFERROR(__xludf.DUMMYFUNCTION("""COMPUTED_VALUE"""),335.0)</f>
        <v>335</v>
      </c>
      <c r="D510" s="2" t="str">
        <f>IFERROR(__xludf.DUMMYFUNCTION("""COMPUTED_VALUE"""),"Arun")</f>
        <v>Arun</v>
      </c>
      <c r="E510" s="2"/>
      <c r="F510" s="3">
        <f>IFERROR(__xludf.DUMMYFUNCTION("""COMPUTED_VALUE"""),60325.0)</f>
        <v>60325</v>
      </c>
      <c r="G510" s="2" t="str">
        <f>IFERROR(__xludf.DUMMYFUNCTION("""COMPUTED_VALUE"""),"AES (India) Pvt. Ltd")</f>
        <v>AES (India) Pvt. Ltd</v>
      </c>
      <c r="H510" s="2" t="str">
        <f>IFERROR(__xludf.DUMMYFUNCTION("""COMPUTED_VALUE"""),"Gurgaon-122002 Harayana, India Tel +91-1249300300.")</f>
        <v>Gurgaon-122002 Harayana, India Tel +91-1249300300.</v>
      </c>
      <c r="I510" s="2" t="str">
        <f>IFERROR(__xludf.DUMMYFUNCTION("""COMPUTED_VALUE"""),"27o 10' 34""")</f>
        <v>27o 10' 34"</v>
      </c>
      <c r="J510" s="2" t="str">
        <f>IFERROR(__xludf.DUMMYFUNCTION("""COMPUTED_VALUE"""),"27o 45' 00""")</f>
        <v>27o 45' 00"</v>
      </c>
      <c r="K510" s="2" t="str">
        <f>IFERROR(__xludf.DUMMYFUNCTION("""COMPUTED_VALUE"""),"87o 21' 52""")</f>
        <v>87o 21' 52"</v>
      </c>
      <c r="L510" s="2" t="str">
        <f>IFERROR(__xludf.DUMMYFUNCTION("""COMPUTED_VALUE"""),"87o 25' 32""")</f>
        <v>87o 25' 32"</v>
      </c>
      <c r="M510" s="2" t="str">
        <f>IFERROR(__xludf.DUMMYFUNCTION("""COMPUTED_VALUE"""),"(Sankhuwasabha)")</f>
        <v>(Sankhuwasabha)</v>
      </c>
    </row>
    <row r="511">
      <c r="A511" s="2">
        <f>IFERROR(__xludf.DUMMYFUNCTION("""COMPUTED_VALUE"""),510.0)</f>
        <v>510</v>
      </c>
      <c r="B511" s="2" t="str">
        <f>IFERROR(__xludf.DUMMYFUNCTION("""COMPUTED_VALUE"""),"Lisne Khola")</f>
        <v>Lisne Khola</v>
      </c>
      <c r="C511" s="2">
        <f>IFERROR(__xludf.DUMMYFUNCTION("""COMPUTED_VALUE"""),0.887)</f>
        <v>0.887</v>
      </c>
      <c r="D511" s="2" t="str">
        <f>IFERROR(__xludf.DUMMYFUNCTION("""COMPUTED_VALUE"""),"Lisne")</f>
        <v>Lisne</v>
      </c>
      <c r="E511" s="2">
        <f>IFERROR(__xludf.DUMMYFUNCTION("""COMPUTED_VALUE"""),3263.0)</f>
        <v>3263</v>
      </c>
      <c r="F511" s="3">
        <f>IFERROR(__xludf.DUMMYFUNCTION("""COMPUTED_VALUE"""),60325.0)</f>
        <v>60325</v>
      </c>
      <c r="G511" s="2" t="str">
        <f>IFERROR(__xludf.DUMMYFUNCTION("""COMPUTED_VALUE"""),"Dil Bdr. Tamang")</f>
        <v>Dil Bdr. Tamang</v>
      </c>
      <c r="H511" s="2"/>
      <c r="I511" s="2" t="str">
        <f>IFERROR(__xludf.DUMMYFUNCTION("""COMPUTED_VALUE"""),"28o 07' 47""")</f>
        <v>28o 07' 47"</v>
      </c>
      <c r="J511" s="2" t="str">
        <f>IFERROR(__xludf.DUMMYFUNCTION("""COMPUTED_VALUE"""),"28o 08' 53""")</f>
        <v>28o 08' 53"</v>
      </c>
      <c r="K511" s="2" t="str">
        <f>IFERROR(__xludf.DUMMYFUNCTION("""COMPUTED_VALUE"""),"85o 02' 25""")</f>
        <v>85o 02' 25"</v>
      </c>
      <c r="L511" s="2" t="str">
        <f>IFERROR(__xludf.DUMMYFUNCTION("""COMPUTED_VALUE"""),"85o 04' 15""")</f>
        <v>85o 04' 15"</v>
      </c>
      <c r="M511" s="2" t="str">
        <f>IFERROR(__xludf.DUMMYFUNCTION("""COMPUTED_VALUE"""),"(Dhading)")</f>
        <v>(Dhading)</v>
      </c>
    </row>
    <row r="512">
      <c r="A512" s="2">
        <f>IFERROR(__xludf.DUMMYFUNCTION("""COMPUTED_VALUE"""),511.0)</f>
        <v>511</v>
      </c>
      <c r="B512" s="2" t="str">
        <f>IFERROR(__xludf.DUMMYFUNCTION("""COMPUTED_VALUE"""),"Low Head Kaligandaki")</f>
        <v>Low Head Kaligandaki</v>
      </c>
      <c r="C512" s="2">
        <f>IFERROR(__xludf.DUMMYFUNCTION("""COMPUTED_VALUE"""),8.0)</f>
        <v>8</v>
      </c>
      <c r="D512" s="2" t="str">
        <f>IFERROR(__xludf.DUMMYFUNCTION("""COMPUTED_VALUE"""),"Kali Gandaki")</f>
        <v>Kali Gandaki</v>
      </c>
      <c r="E512" s="2"/>
      <c r="F512" s="3">
        <f>IFERROR(__xludf.DUMMYFUNCTION("""COMPUTED_VALUE"""),60326.0)</f>
        <v>60326</v>
      </c>
      <c r="G512" s="2" t="str">
        <f>IFERROR(__xludf.DUMMYFUNCTION("""COMPUTED_VALUE"""),"Jade Power P. Ltd")</f>
        <v>Jade Power P. Ltd</v>
      </c>
      <c r="H512" s="2" t="str">
        <f>IFERROR(__xludf.DUMMYFUNCTION("""COMPUTED_VALUE"""),"Thapathali, Kathmandu. Ph : 4247237")</f>
        <v>Thapathali, Kathmandu. Ph : 4247237</v>
      </c>
      <c r="I512" s="2" t="str">
        <f>IFERROR(__xludf.DUMMYFUNCTION("""COMPUTED_VALUE"""),"28o 15' 12""")</f>
        <v>28o 15' 12"</v>
      </c>
      <c r="J512" s="2" t="str">
        <f>IFERROR(__xludf.DUMMYFUNCTION("""COMPUTED_VALUE"""),"28o 17' 30""")</f>
        <v>28o 17' 30"</v>
      </c>
      <c r="K512" s="2" t="str">
        <f>IFERROR(__xludf.DUMMYFUNCTION("""COMPUTED_VALUE"""),"83o 35' 32""")</f>
        <v>83o 35' 32"</v>
      </c>
      <c r="L512" s="2" t="str">
        <f>IFERROR(__xludf.DUMMYFUNCTION("""COMPUTED_VALUE"""),"83o 37' 30""")</f>
        <v>83o 37' 30"</v>
      </c>
      <c r="M512" s="2" t="str">
        <f>IFERROR(__xludf.DUMMYFUNCTION("""COMPUTED_VALUE"""),"(Baglung)")</f>
        <v>(Baglung)</v>
      </c>
    </row>
    <row r="513">
      <c r="A513" s="2">
        <f>IFERROR(__xludf.DUMMYFUNCTION("""COMPUTED_VALUE"""),512.0)</f>
        <v>512</v>
      </c>
      <c r="B513" s="2" t="str">
        <f>IFERROR(__xludf.DUMMYFUNCTION("""COMPUTED_VALUE"""),"Marsysngdi Tail")</f>
        <v>Marsysngdi Tail</v>
      </c>
      <c r="C513" s="2">
        <f>IFERROR(__xludf.DUMMYFUNCTION("""COMPUTED_VALUE"""),21.0)</f>
        <v>21</v>
      </c>
      <c r="D513" s="2" t="str">
        <f>IFERROR(__xludf.DUMMYFUNCTION("""COMPUTED_VALUE"""),"Marsyangdi")</f>
        <v>Marsyangdi</v>
      </c>
      <c r="E513" s="2"/>
      <c r="F513" s="2" t="str">
        <f>IFERROR(__xludf.DUMMYFUNCTION("""COMPUTED_VALUE"""),"2065-02-29")</f>
        <v>2065-02-29</v>
      </c>
      <c r="G513" s="2" t="str">
        <f>IFERROR(__xludf.DUMMYFUNCTION("""COMPUTED_VALUE"""),"Pralasi Hydrpower Company P. Ltd.")</f>
        <v>Pralasi Hydrpower Company P. Ltd.</v>
      </c>
      <c r="H513" s="2" t="str">
        <f>IFERROR(__xludf.DUMMYFUNCTION("""COMPUTED_VALUE"""),"Pralasi Hydrpower Company P. Ltd.")</f>
        <v>Pralasi Hydrpower Company P. Ltd.</v>
      </c>
      <c r="I513" s="2" t="str">
        <f>IFERROR(__xludf.DUMMYFUNCTION("""COMPUTED_VALUE"""),"27o 49' 58""")</f>
        <v>27o 49' 58"</v>
      </c>
      <c r="J513" s="2" t="str">
        <f>IFERROR(__xludf.DUMMYFUNCTION("""COMPUTED_VALUE"""),"27o 52' 25""")</f>
        <v>27o 52' 25"</v>
      </c>
      <c r="K513" s="2" t="str">
        <f>IFERROR(__xludf.DUMMYFUNCTION("""COMPUTED_VALUE"""),"84o 32' 02""")</f>
        <v>84o 32' 02"</v>
      </c>
      <c r="L513" s="2" t="str">
        <f>IFERROR(__xludf.DUMMYFUNCTION("""COMPUTED_VALUE"""),"84o 33' 39""")</f>
        <v>84o 33' 39"</v>
      </c>
      <c r="M513" s="2" t="str">
        <f>IFERROR(__xludf.DUMMYFUNCTION("""COMPUTED_VALUE"""),"(Gorkha)")</f>
        <v>(Gorkha)</v>
      </c>
    </row>
    <row r="514">
      <c r="A514" s="2">
        <f>IFERROR(__xludf.DUMMYFUNCTION("""COMPUTED_VALUE"""),513.0)</f>
        <v>513</v>
      </c>
      <c r="B514" s="2" t="str">
        <f>IFERROR(__xludf.DUMMYFUNCTION("""COMPUTED_VALUE"""),"Sabha Khola")</f>
        <v>Sabha Khola</v>
      </c>
      <c r="C514" s="2">
        <f>IFERROR(__xludf.DUMMYFUNCTION("""COMPUTED_VALUE"""),0.995)</f>
        <v>0.995</v>
      </c>
      <c r="D514" s="2" t="str">
        <f>IFERROR(__xludf.DUMMYFUNCTION("""COMPUTED_VALUE"""),"Sabha Khola")</f>
        <v>Sabha Khola</v>
      </c>
      <c r="E514" s="2">
        <f>IFERROR(__xludf.DUMMYFUNCTION("""COMPUTED_VALUE"""),3500.0)</f>
        <v>3500</v>
      </c>
      <c r="F514" s="2" t="str">
        <f>IFERROR(__xludf.DUMMYFUNCTION("""COMPUTED_VALUE"""),"2065-02-29")</f>
        <v>2065-02-29</v>
      </c>
      <c r="G514" s="2" t="str">
        <f>IFERROR(__xludf.DUMMYFUNCTION("""COMPUTED_VALUE"""),"Adesh Shakya, Kedar Karki, Dipak Sharma")</f>
        <v>Adesh Shakya, Kedar Karki, Dipak Sharma</v>
      </c>
      <c r="H514" s="2" t="str">
        <f>IFERROR(__xludf.DUMMYFUNCTION("""COMPUTED_VALUE"""),"VDC-3,5,7, Sankhuwasabha")</f>
        <v>VDC-3,5,7, Sankhuwasabha</v>
      </c>
      <c r="I514" s="2" t="str">
        <f>IFERROR(__xludf.DUMMYFUNCTION("""COMPUTED_VALUE"""),"27o 25' 29""")</f>
        <v>27o 25' 29"</v>
      </c>
      <c r="J514" s="2" t="str">
        <f>IFERROR(__xludf.DUMMYFUNCTION("""COMPUTED_VALUE"""),"27o 28' 05""")</f>
        <v>27o 28' 05"</v>
      </c>
      <c r="K514" s="2" t="str">
        <f>IFERROR(__xludf.DUMMYFUNCTION("""COMPUTED_VALUE"""),"87o 23' 41""")</f>
        <v>87o 23' 41"</v>
      </c>
      <c r="L514" s="2" t="str">
        <f>IFERROR(__xludf.DUMMYFUNCTION("""COMPUTED_VALUE"""),"87o 25' 10""")</f>
        <v>87o 25' 10"</v>
      </c>
      <c r="M514" s="2" t="str">
        <f>IFERROR(__xludf.DUMMYFUNCTION("""COMPUTED_VALUE"""),"Sabha Pokhari (Sankhuwasabha)")</f>
        <v>Sabha Pokhari (Sankhuwasabha)</v>
      </c>
    </row>
    <row r="515">
      <c r="A515" s="2">
        <f>IFERROR(__xludf.DUMMYFUNCTION("""COMPUTED_VALUE"""),514.0)</f>
        <v>514</v>
      </c>
      <c r="B515" s="2" t="str">
        <f>IFERROR(__xludf.DUMMYFUNCTION("""COMPUTED_VALUE"""),"Deku Khola")</f>
        <v>Deku Khola</v>
      </c>
      <c r="C515" s="2">
        <f>IFERROR(__xludf.DUMMYFUNCTION("""COMPUTED_VALUE"""),2.9)</f>
        <v>2.9</v>
      </c>
      <c r="D515" s="2" t="str">
        <f>IFERROR(__xludf.DUMMYFUNCTION("""COMPUTED_VALUE"""),"Deku")</f>
        <v>Deku</v>
      </c>
      <c r="E515" s="2"/>
      <c r="F515" s="2" t="str">
        <f>IFERROR(__xludf.DUMMYFUNCTION("""COMPUTED_VALUE"""),"2065-02-30")</f>
        <v>2065-02-30</v>
      </c>
      <c r="G515" s="2" t="str">
        <f>IFERROR(__xludf.DUMMYFUNCTION("""COMPUTED_VALUE"""),"GCE group")</f>
        <v>GCE group</v>
      </c>
      <c r="H515" s="2"/>
      <c r="I515" s="2" t="str">
        <f>IFERROR(__xludf.DUMMYFUNCTION("""COMPUTED_VALUE"""),"27o 35' 00""")</f>
        <v>27o 35' 00"</v>
      </c>
      <c r="J515" s="2" t="str">
        <f>IFERROR(__xludf.DUMMYFUNCTION("""COMPUTED_VALUE"""),"27o 36' 05""")</f>
        <v>27o 36' 05"</v>
      </c>
      <c r="K515" s="2" t="str">
        <f>IFERROR(__xludf.DUMMYFUNCTION("""COMPUTED_VALUE"""),"86o 39' 05""")</f>
        <v>86o 39' 05"</v>
      </c>
      <c r="L515" s="2" t="str">
        <f>IFERROR(__xludf.DUMMYFUNCTION("""COMPUTED_VALUE"""),"86o 40' 55""")</f>
        <v>86o 40' 55"</v>
      </c>
      <c r="M515" s="2" t="str">
        <f>IFERROR(__xludf.DUMMYFUNCTION("""COMPUTED_VALUE"""),"(Solukhumbu)")</f>
        <v>(Solukhumbu)</v>
      </c>
    </row>
    <row r="516">
      <c r="A516" s="2">
        <f>IFERROR(__xludf.DUMMYFUNCTION("""COMPUTED_VALUE"""),515.0)</f>
        <v>515</v>
      </c>
      <c r="B516" s="2" t="str">
        <f>IFERROR(__xludf.DUMMYFUNCTION("""COMPUTED_VALUE"""),"Handi Khola")</f>
        <v>Handi Khola</v>
      </c>
      <c r="C516" s="2">
        <f>IFERROR(__xludf.DUMMYFUNCTION("""COMPUTED_VALUE"""),4.5)</f>
        <v>4.5</v>
      </c>
      <c r="D516" s="2" t="str">
        <f>IFERROR(__xludf.DUMMYFUNCTION("""COMPUTED_VALUE"""),"Handi Khola")</f>
        <v>Handi Khola</v>
      </c>
      <c r="E516" s="2"/>
      <c r="F516" s="2" t="str">
        <f>IFERROR(__xludf.DUMMYFUNCTION("""COMPUTED_VALUE"""),"2065-02-30")</f>
        <v>2065-02-30</v>
      </c>
      <c r="G516" s="2" t="str">
        <f>IFERROR(__xludf.DUMMYFUNCTION("""COMPUTED_VALUE"""),"Dankshinkali Mai Power Company")</f>
        <v>Dankshinkali Mai Power Company</v>
      </c>
      <c r="H516" s="2"/>
      <c r="I516" s="2" t="str">
        <f>IFERROR(__xludf.DUMMYFUNCTION("""COMPUTED_VALUE"""),"27o 54' 16""")</f>
        <v>27o 54' 16"</v>
      </c>
      <c r="J516" s="2" t="str">
        <f>IFERROR(__xludf.DUMMYFUNCTION("""COMPUTED_VALUE"""),"27o 55' 51""")</f>
        <v>27o 55' 51"</v>
      </c>
      <c r="K516" s="2" t="str">
        <f>IFERROR(__xludf.DUMMYFUNCTION("""COMPUTED_VALUE"""),"85o 37' 30""")</f>
        <v>85o 37' 30"</v>
      </c>
      <c r="L516" s="2" t="str">
        <f>IFERROR(__xludf.DUMMYFUNCTION("""COMPUTED_VALUE"""),"85o 38' 59""")</f>
        <v>85o 38' 59"</v>
      </c>
      <c r="M516" s="2" t="str">
        <f>IFERROR(__xludf.DUMMYFUNCTION("""COMPUTED_VALUE"""),"(Sindhupalchok)")</f>
        <v>(Sindhupalchok)</v>
      </c>
    </row>
    <row r="517">
      <c r="A517" s="2">
        <f>IFERROR(__xludf.DUMMYFUNCTION("""COMPUTED_VALUE"""),516.0)</f>
        <v>516</v>
      </c>
      <c r="B517" s="2" t="str">
        <f>IFERROR(__xludf.DUMMYFUNCTION("""COMPUTED_VALUE"""),"Madi Ishaneswor Reservoir Project")</f>
        <v>Madi Ishaneswor Reservoir Project</v>
      </c>
      <c r="C517" s="2">
        <f>IFERROR(__xludf.DUMMYFUNCTION("""COMPUTED_VALUE"""),86.0)</f>
        <v>86</v>
      </c>
      <c r="D517" s="2" t="str">
        <f>IFERROR(__xludf.DUMMYFUNCTION("""COMPUTED_VALUE"""),"Madi Khola")</f>
        <v>Madi Khola</v>
      </c>
      <c r="E517" s="2"/>
      <c r="F517" s="2" t="str">
        <f>IFERROR(__xludf.DUMMYFUNCTION("""COMPUTED_VALUE"""),"2065-02-31")</f>
        <v>2065-02-31</v>
      </c>
      <c r="G517" s="2" t="str">
        <f>IFERROR(__xludf.DUMMYFUNCTION("""COMPUTED_VALUE"""),"Nepal electricity Authority")</f>
        <v>Nepal electricity Authority</v>
      </c>
      <c r="H517" s="2"/>
      <c r="I517" s="2" t="str">
        <f>IFERROR(__xludf.DUMMYFUNCTION("""COMPUTED_VALUE"""),"28o 09' 00""")</f>
        <v>28o 09' 00"</v>
      </c>
      <c r="J517" s="2" t="str">
        <f>IFERROR(__xludf.DUMMYFUNCTION("""COMPUTED_VALUE"""),"28o 14' 00""")</f>
        <v>28o 14' 00"</v>
      </c>
      <c r="K517" s="2" t="str">
        <f>IFERROR(__xludf.DUMMYFUNCTION("""COMPUTED_VALUE"""),"84o 07' 30""")</f>
        <v>84o 07' 30"</v>
      </c>
      <c r="L517" s="2" t="str">
        <f>IFERROR(__xludf.DUMMYFUNCTION("""COMPUTED_VALUE"""),"84o 15' 00""")</f>
        <v>84o 15' 00"</v>
      </c>
      <c r="M517" s="2" t="str">
        <f>IFERROR(__xludf.DUMMYFUNCTION("""COMPUTED_VALUE"""),"(Lamjung)")</f>
        <v>(Lamjung)</v>
      </c>
    </row>
    <row r="518">
      <c r="A518" s="2">
        <f>IFERROR(__xludf.DUMMYFUNCTION("""COMPUTED_VALUE"""),517.0)</f>
        <v>517</v>
      </c>
      <c r="B518" s="2" t="str">
        <f>IFERROR(__xludf.DUMMYFUNCTION("""COMPUTED_VALUE"""),"Dundare Khola")</f>
        <v>Dundare Khola</v>
      </c>
      <c r="C518" s="2">
        <f>IFERROR(__xludf.DUMMYFUNCTION("""COMPUTED_VALUE"""),0.099)</f>
        <v>0.099</v>
      </c>
      <c r="D518" s="2" t="str">
        <f>IFERROR(__xludf.DUMMYFUNCTION("""COMPUTED_VALUE"""),"Dundare")</f>
        <v>Dundare</v>
      </c>
      <c r="E518" s="2"/>
      <c r="F518" s="3">
        <f>IFERROR(__xludf.DUMMYFUNCTION("""COMPUTED_VALUE"""),60328.0)</f>
        <v>60328</v>
      </c>
      <c r="G518" s="2" t="str">
        <f>IFERROR(__xludf.DUMMYFUNCTION("""COMPUTED_VALUE"""),"Pashupati Environmental Engineering Power Co. P. Ltd.")</f>
        <v>Pashupati Environmental Engineering Power Co. P. Ltd.</v>
      </c>
      <c r="H518" s="2"/>
      <c r="I518" s="2" t="str">
        <f>IFERROR(__xludf.DUMMYFUNCTION("""COMPUTED_VALUE"""),"00o 00' 00""")</f>
        <v>00o 00' 00"</v>
      </c>
      <c r="J518" s="2" t="str">
        <f>IFERROR(__xludf.DUMMYFUNCTION("""COMPUTED_VALUE"""),"00o 00' 00""")</f>
        <v>00o 00' 00"</v>
      </c>
      <c r="K518" s="2" t="str">
        <f>IFERROR(__xludf.DUMMYFUNCTION("""COMPUTED_VALUE"""),"00o 00' 00""")</f>
        <v>00o 00' 00"</v>
      </c>
      <c r="L518" s="2" t="str">
        <f>IFERROR(__xludf.DUMMYFUNCTION("""COMPUTED_VALUE"""),"00o 00' 00""")</f>
        <v>00o 00' 00"</v>
      </c>
      <c r="M518" s="2" t="str">
        <f>IFERROR(__xludf.DUMMYFUNCTION("""COMPUTED_VALUE"""),"(Gorkha)")</f>
        <v>(Gorkha)</v>
      </c>
    </row>
    <row r="519">
      <c r="A519" s="2">
        <f>IFERROR(__xludf.DUMMYFUNCTION("""COMPUTED_VALUE"""),518.0)</f>
        <v>518</v>
      </c>
      <c r="B519" s="2" t="str">
        <f>IFERROR(__xludf.DUMMYFUNCTION("""COMPUTED_VALUE"""),"Sailigad")</f>
        <v>Sailigad</v>
      </c>
      <c r="C519" s="2">
        <f>IFERROR(__xludf.DUMMYFUNCTION("""COMPUTED_VALUE"""),0.96)</f>
        <v>0.96</v>
      </c>
      <c r="D519" s="2" t="str">
        <f>IFERROR(__xludf.DUMMYFUNCTION("""COMPUTED_VALUE"""),"Sailigad")</f>
        <v>Sailigad</v>
      </c>
      <c r="E519" s="2"/>
      <c r="F519" s="3">
        <f>IFERROR(__xludf.DUMMYFUNCTION("""COMPUTED_VALUE"""),60329.0)</f>
        <v>60329</v>
      </c>
      <c r="G519" s="2" t="str">
        <f>IFERROR(__xludf.DUMMYFUNCTION("""COMPUTED_VALUE"""),"Shyun Hydro P. Ltd.")</f>
        <v>Shyun Hydro P. Ltd.</v>
      </c>
      <c r="H519" s="2"/>
      <c r="I519" s="2" t="str">
        <f>IFERROR(__xludf.DUMMYFUNCTION("""COMPUTED_VALUE"""),"29o 22' 30""")</f>
        <v>29o 22' 30"</v>
      </c>
      <c r="J519" s="2" t="str">
        <f>IFERROR(__xludf.DUMMYFUNCTION("""COMPUTED_VALUE"""),"29o 24' 22""")</f>
        <v>29o 24' 22"</v>
      </c>
      <c r="K519" s="2" t="str">
        <f>IFERROR(__xludf.DUMMYFUNCTION("""COMPUTED_VALUE"""),"81o 00' 00""")</f>
        <v>81o 00' 00"</v>
      </c>
      <c r="L519" s="2" t="str">
        <f>IFERROR(__xludf.DUMMYFUNCTION("""COMPUTED_VALUE"""),"81o 05' 00""")</f>
        <v>81o 05' 00"</v>
      </c>
      <c r="M519" s="2" t="str">
        <f>IFERROR(__xludf.DUMMYFUNCTION("""COMPUTED_VALUE"""),"(Doti)")</f>
        <v>(Doti)</v>
      </c>
    </row>
    <row r="520">
      <c r="A520" s="2">
        <f>IFERROR(__xludf.DUMMYFUNCTION("""COMPUTED_VALUE"""),519.0)</f>
        <v>519</v>
      </c>
      <c r="B520" s="2" t="str">
        <f>IFERROR(__xludf.DUMMYFUNCTION("""COMPUTED_VALUE"""),"Upper AandhiKhola")</f>
        <v>Upper AandhiKhola</v>
      </c>
      <c r="C520" s="2">
        <f>IFERROR(__xludf.DUMMYFUNCTION("""COMPUTED_VALUE"""),6.0)</f>
        <v>6</v>
      </c>
      <c r="D520" s="2" t="str">
        <f>IFERROR(__xludf.DUMMYFUNCTION("""COMPUTED_VALUE"""),"Andhi Khola")</f>
        <v>Andhi Khola</v>
      </c>
      <c r="E520" s="2"/>
      <c r="F520" s="3">
        <f>IFERROR(__xludf.DUMMYFUNCTION("""COMPUTED_VALUE"""),60334.0)</f>
        <v>60334</v>
      </c>
      <c r="G520" s="2" t="str">
        <f>IFERROR(__xludf.DUMMYFUNCTION("""COMPUTED_VALUE"""),"Patikari Power Private Limited")</f>
        <v>Patikari Power Private Limited</v>
      </c>
      <c r="H520" s="2" t="str">
        <f>IFERROR(__xludf.DUMMYFUNCTION("""COMPUTED_VALUE"""),"15 Bhikaji Cama Place. New Delhi - 110066. Tel : 91-11-46529700 Fax : 
91-11-46529744/45")</f>
        <v>15 Bhikaji Cama Place. New Delhi - 110066. Tel : 91-11-46529700 Fax : 
91-11-46529744/45</v>
      </c>
      <c r="I520" s="2" t="str">
        <f>IFERROR(__xludf.DUMMYFUNCTION("""COMPUTED_VALUE"""),"27o 57' 06""")</f>
        <v>27o 57' 06"</v>
      </c>
      <c r="J520" s="2" t="str">
        <f>IFERROR(__xludf.DUMMYFUNCTION("""COMPUTED_VALUE"""),"27o 58' 02""")</f>
        <v>27o 58' 02"</v>
      </c>
      <c r="K520" s="2" t="str">
        <f>IFERROR(__xludf.DUMMYFUNCTION("""COMPUTED_VALUE"""),"83o 41' 20""")</f>
        <v>83o 41' 20"</v>
      </c>
      <c r="L520" s="2" t="str">
        <f>IFERROR(__xludf.DUMMYFUNCTION("""COMPUTED_VALUE"""),"83o 42' 17""")</f>
        <v>83o 42' 17"</v>
      </c>
      <c r="M520" s="2" t="str">
        <f>IFERROR(__xludf.DUMMYFUNCTION("""COMPUTED_VALUE"""),"(Syangja)")</f>
        <v>(Syangja)</v>
      </c>
    </row>
    <row r="521">
      <c r="A521" s="2">
        <f>IFERROR(__xludf.DUMMYFUNCTION("""COMPUTED_VALUE"""),520.0)</f>
        <v>520</v>
      </c>
      <c r="B521" s="2" t="str">
        <f>IFERROR(__xludf.DUMMYFUNCTION("""COMPUTED_VALUE"""),"Mid Bagmati")</f>
        <v>Mid Bagmati</v>
      </c>
      <c r="C521" s="2">
        <f>IFERROR(__xludf.DUMMYFUNCTION("""COMPUTED_VALUE"""),4.9)</f>
        <v>4.9</v>
      </c>
      <c r="D521" s="2" t="str">
        <f>IFERROR(__xludf.DUMMYFUNCTION("""COMPUTED_VALUE"""),"Bagmati")</f>
        <v>Bagmati</v>
      </c>
      <c r="E521" s="2"/>
      <c r="F521" s="3">
        <f>IFERROR(__xludf.DUMMYFUNCTION("""COMPUTED_VALUE"""),60334.0)</f>
        <v>60334</v>
      </c>
      <c r="G521" s="2" t="str">
        <f>IFERROR(__xludf.DUMMYFUNCTION("""COMPUTED_VALUE"""),"Bojini Company")</f>
        <v>Bojini Company</v>
      </c>
      <c r="H521" s="2"/>
      <c r="I521" s="2" t="str">
        <f>IFERROR(__xludf.DUMMYFUNCTION("""COMPUTED_VALUE"""),"27o 21' 41""")</f>
        <v>27o 21' 41"</v>
      </c>
      <c r="J521" s="2" t="str">
        <f>IFERROR(__xludf.DUMMYFUNCTION("""COMPUTED_VALUE"""),"27o 24' 24""")</f>
        <v>27o 24' 24"</v>
      </c>
      <c r="K521" s="2" t="str">
        <f>IFERROR(__xludf.DUMMYFUNCTION("""COMPUTED_VALUE"""),"85o 26' 44""")</f>
        <v>85o 26' 44"</v>
      </c>
      <c r="L521" s="2" t="str">
        <f>IFERROR(__xludf.DUMMYFUNCTION("""COMPUTED_VALUE"""),"85o 29' 10""")</f>
        <v>85o 29' 10"</v>
      </c>
      <c r="M521" s="2" t="str">
        <f>IFERROR(__xludf.DUMMYFUNCTION("""COMPUTED_VALUE"""),"(Makawanpur)")</f>
        <v>(Makawanpur)</v>
      </c>
    </row>
    <row r="522">
      <c r="A522" s="2">
        <f>IFERROR(__xludf.DUMMYFUNCTION("""COMPUTED_VALUE"""),521.0)</f>
        <v>521</v>
      </c>
      <c r="B522" s="2" t="str">
        <f>IFERROR(__xludf.DUMMYFUNCTION("""COMPUTED_VALUE"""),"Kirinche")</f>
        <v>Kirinche</v>
      </c>
      <c r="C522" s="2">
        <f>IFERROR(__xludf.DUMMYFUNCTION("""COMPUTED_VALUE"""),0.675)</f>
        <v>0.675</v>
      </c>
      <c r="D522" s="2" t="str">
        <f>IFERROR(__xludf.DUMMYFUNCTION("""COMPUTED_VALUE"""),"Kirinche")</f>
        <v>Kirinche</v>
      </c>
      <c r="E522" s="2"/>
      <c r="F522" s="3">
        <f>IFERROR(__xludf.DUMMYFUNCTION("""COMPUTED_VALUE"""),60336.0)</f>
        <v>60336</v>
      </c>
      <c r="G522" s="2" t="str">
        <f>IFERROR(__xludf.DUMMYFUNCTION("""COMPUTED_VALUE"""),"Gita Karki")</f>
        <v>Gita Karki</v>
      </c>
      <c r="H522" s="2"/>
      <c r="I522" s="2" t="str">
        <f>IFERROR(__xludf.DUMMYFUNCTION("""COMPUTED_VALUE"""),"28o 10' 36""")</f>
        <v>28o 10' 36"</v>
      </c>
      <c r="J522" s="2" t="str">
        <f>IFERROR(__xludf.DUMMYFUNCTION("""COMPUTED_VALUE"""),"28o 10' 57""")</f>
        <v>28o 10' 57"</v>
      </c>
      <c r="K522" s="2" t="str">
        <f>IFERROR(__xludf.DUMMYFUNCTION("""COMPUTED_VALUE"""),"84o 20' 31""")</f>
        <v>84o 20' 31"</v>
      </c>
      <c r="L522" s="2" t="str">
        <f>IFERROR(__xludf.DUMMYFUNCTION("""COMPUTED_VALUE"""),"84o 21' 20""")</f>
        <v>84o 21' 20"</v>
      </c>
      <c r="M522" s="2" t="str">
        <f>IFERROR(__xludf.DUMMYFUNCTION("""COMPUTED_VALUE"""),"(Lamjung)")</f>
        <v>(Lamjung)</v>
      </c>
    </row>
    <row r="523">
      <c r="A523" s="2">
        <f>IFERROR(__xludf.DUMMYFUNCTION("""COMPUTED_VALUE"""),522.0)</f>
        <v>522</v>
      </c>
      <c r="B523" s="2" t="str">
        <f>IFERROR(__xludf.DUMMYFUNCTION("""COMPUTED_VALUE"""),"Seti Nadi")</f>
        <v>Seti Nadi</v>
      </c>
      <c r="C523" s="2">
        <f>IFERROR(__xludf.DUMMYFUNCTION("""COMPUTED_VALUE"""),20.0)</f>
        <v>20</v>
      </c>
      <c r="D523" s="2" t="str">
        <f>IFERROR(__xludf.DUMMYFUNCTION("""COMPUTED_VALUE"""),"West Seti")</f>
        <v>West Seti</v>
      </c>
      <c r="E523" s="2">
        <f>IFERROR(__xludf.DUMMYFUNCTION("""COMPUTED_VALUE"""),3650.0)</f>
        <v>3650</v>
      </c>
      <c r="F523" s="3">
        <f>IFERROR(__xludf.DUMMYFUNCTION("""COMPUTED_VALUE"""),60336.0)</f>
        <v>60336</v>
      </c>
      <c r="G523" s="2" t="str">
        <f>IFERROR(__xludf.DUMMYFUNCTION("""COMPUTED_VALUE"""),"Dinupratap Pande, Dipendra Kumar Adhikari, Ram Bahadur serchan, Ram Bahadur 
Aryal")</f>
        <v>Dinupratap Pande, Dipendra Kumar Adhikari, Ram Bahadur serchan, Ram Bahadur 
Aryal</v>
      </c>
      <c r="H523" s="2"/>
      <c r="I523" s="2" t="str">
        <f>IFERROR(__xludf.DUMMYFUNCTION("""COMPUTED_VALUE"""),"29o 27' 30""")</f>
        <v>29o 27' 30"</v>
      </c>
      <c r="J523" s="2" t="str">
        <f>IFERROR(__xludf.DUMMYFUNCTION("""COMPUTED_VALUE"""),"29o 31' 00""")</f>
        <v>29o 31' 00"</v>
      </c>
      <c r="K523" s="2" t="str">
        <f>IFERROR(__xludf.DUMMYFUNCTION("""COMPUTED_VALUE"""),"80o 58' 05""")</f>
        <v>80o 58' 05"</v>
      </c>
      <c r="L523" s="2" t="str">
        <f>IFERROR(__xludf.DUMMYFUNCTION("""COMPUTED_VALUE"""),"81o 05' 00""")</f>
        <v>81o 05' 00"</v>
      </c>
      <c r="M523" s="2" t="str">
        <f>IFERROR(__xludf.DUMMYFUNCTION("""COMPUTED_VALUE"""),"(Bajhang)")</f>
        <v>(Bajhang)</v>
      </c>
    </row>
    <row r="524">
      <c r="A524" s="2">
        <f>IFERROR(__xludf.DUMMYFUNCTION("""COMPUTED_VALUE"""),523.0)</f>
        <v>523</v>
      </c>
      <c r="B524" s="2" t="str">
        <f>IFERROR(__xludf.DUMMYFUNCTION("""COMPUTED_VALUE"""),"Lungri Khola")</f>
        <v>Lungri Khola</v>
      </c>
      <c r="C524" s="2">
        <f>IFERROR(__xludf.DUMMYFUNCTION("""COMPUTED_VALUE"""),5.0)</f>
        <v>5</v>
      </c>
      <c r="D524" s="2" t="str">
        <f>IFERROR(__xludf.DUMMYFUNCTION("""COMPUTED_VALUE"""),"Lungri")</f>
        <v>Lungri</v>
      </c>
      <c r="E524" s="2">
        <f>IFERROR(__xludf.DUMMYFUNCTION("""COMPUTED_VALUE"""),3669.0)</f>
        <v>3669</v>
      </c>
      <c r="F524" s="3">
        <f>IFERROR(__xludf.DUMMYFUNCTION("""COMPUTED_VALUE"""),60338.0)</f>
        <v>60338</v>
      </c>
      <c r="G524" s="2" t="str">
        <f>IFERROR(__xludf.DUMMYFUNCTION("""COMPUTED_VALUE"""),"Mutishree Pvt Ltd")</f>
        <v>Mutishree Pvt Ltd</v>
      </c>
      <c r="H524" s="2" t="str">
        <f>IFERROR(__xludf.DUMMYFUNCTION("""COMPUTED_VALUE"""),"PO Box no 12557, Tel 4268572")</f>
        <v>PO Box no 12557, Tel 4268572</v>
      </c>
      <c r="I524" s="2" t="str">
        <f>IFERROR(__xludf.DUMMYFUNCTION("""COMPUTED_VALUE"""),"28o 12' 42""")</f>
        <v>28o 12' 42"</v>
      </c>
      <c r="J524" s="2" t="str">
        <f>IFERROR(__xludf.DUMMYFUNCTION("""COMPUTED_VALUE"""),"28o 15' 00""")</f>
        <v>28o 15' 00"</v>
      </c>
      <c r="K524" s="2" t="str">
        <f>IFERROR(__xludf.DUMMYFUNCTION("""COMPUTED_VALUE"""),"82o 41' 45""")</f>
        <v>82o 41' 45"</v>
      </c>
      <c r="L524" s="2" t="str">
        <f>IFERROR(__xludf.DUMMYFUNCTION("""COMPUTED_VALUE"""),"82o 44' 12""")</f>
        <v>82o 44' 12"</v>
      </c>
      <c r="M524" s="2" t="str">
        <f>IFERROR(__xludf.DUMMYFUNCTION("""COMPUTED_VALUE"""),"Budagaun,Mijhing (Rolpa)")</f>
        <v>Budagaun,Mijhing (Rolpa)</v>
      </c>
    </row>
    <row r="525">
      <c r="A525" s="2">
        <f>IFERROR(__xludf.DUMMYFUNCTION("""COMPUTED_VALUE"""),524.0)</f>
        <v>524</v>
      </c>
      <c r="B525" s="2" t="str">
        <f>IFERROR(__xludf.DUMMYFUNCTION("""COMPUTED_VALUE"""),"Sagu Khola")</f>
        <v>Sagu Khola</v>
      </c>
      <c r="C525" s="2">
        <f>IFERROR(__xludf.DUMMYFUNCTION("""COMPUTED_VALUE"""),5.0)</f>
        <v>5</v>
      </c>
      <c r="D525" s="2" t="str">
        <f>IFERROR(__xludf.DUMMYFUNCTION("""COMPUTED_VALUE"""),"Sagu")</f>
        <v>Sagu</v>
      </c>
      <c r="E525" s="2"/>
      <c r="F525" s="3">
        <f>IFERROR(__xludf.DUMMYFUNCTION("""COMPUTED_VALUE"""),60339.0)</f>
        <v>60339</v>
      </c>
      <c r="G525" s="2" t="str">
        <f>IFERROR(__xludf.DUMMYFUNCTION("""COMPUTED_VALUE"""),"Radhika Thapa")</f>
        <v>Radhika Thapa</v>
      </c>
      <c r="H525" s="2"/>
      <c r="I525" s="2" t="str">
        <f>IFERROR(__xludf.DUMMYFUNCTION("""COMPUTED_VALUE"""),"27o 35' 00""")</f>
        <v>27o 35' 00"</v>
      </c>
      <c r="J525" s="2" t="str">
        <f>IFERROR(__xludf.DUMMYFUNCTION("""COMPUTED_VALUE"""),"27o 36' 41""")</f>
        <v>27o 36' 41"</v>
      </c>
      <c r="K525" s="2" t="str">
        <f>IFERROR(__xludf.DUMMYFUNCTION("""COMPUTED_VALUE"""),"86o 13' 48""")</f>
        <v>86o 13' 48"</v>
      </c>
      <c r="L525" s="2" t="str">
        <f>IFERROR(__xludf.DUMMYFUNCTION("""COMPUTED_VALUE"""),"86o 18' 05""")</f>
        <v>86o 18' 05"</v>
      </c>
      <c r="M525" s="2" t="str">
        <f>IFERROR(__xludf.DUMMYFUNCTION("""COMPUTED_VALUE"""),"(Dolakha)")</f>
        <v>(Dolakha)</v>
      </c>
    </row>
    <row r="526">
      <c r="A526" s="2">
        <f>IFERROR(__xludf.DUMMYFUNCTION("""COMPUTED_VALUE"""),525.0)</f>
        <v>525</v>
      </c>
      <c r="B526" s="2" t="str">
        <f>IFERROR(__xludf.DUMMYFUNCTION("""COMPUTED_VALUE"""),"Upper Khimti")</f>
        <v>Upper Khimti</v>
      </c>
      <c r="C526" s="2">
        <f>IFERROR(__xludf.DUMMYFUNCTION("""COMPUTED_VALUE"""),3.0)</f>
        <v>3</v>
      </c>
      <c r="D526" s="2" t="str">
        <f>IFERROR(__xludf.DUMMYFUNCTION("""COMPUTED_VALUE"""),"Khimti Khola")</f>
        <v>Khimti Khola</v>
      </c>
      <c r="E526" s="2"/>
      <c r="F526" s="3">
        <f>IFERROR(__xludf.DUMMYFUNCTION("""COMPUTED_VALUE"""),60341.0)</f>
        <v>60341</v>
      </c>
      <c r="G526" s="2" t="str">
        <f>IFERROR(__xludf.DUMMYFUNCTION("""COMPUTED_VALUE"""),"Ridi Hydropower")</f>
        <v>Ridi Hydropower</v>
      </c>
      <c r="H526" s="2"/>
      <c r="I526" s="2" t="str">
        <f>IFERROR(__xludf.DUMMYFUNCTION("""COMPUTED_VALUE"""),"27o 35' 40""")</f>
        <v>27o 35' 40"</v>
      </c>
      <c r="J526" s="2" t="str">
        <f>IFERROR(__xludf.DUMMYFUNCTION("""COMPUTED_VALUE"""),"27o 36' 35""")</f>
        <v>27o 36' 35"</v>
      </c>
      <c r="K526" s="2" t="str">
        <f>IFERROR(__xludf.DUMMYFUNCTION("""COMPUTED_VALUE"""),"86o 16' 05""")</f>
        <v>86o 16' 05"</v>
      </c>
      <c r="L526" s="2" t="str">
        <f>IFERROR(__xludf.DUMMYFUNCTION("""COMPUTED_VALUE"""),"87o 17' 44""")</f>
        <v>87o 17' 44"</v>
      </c>
      <c r="M526" s="2" t="str">
        <f>IFERROR(__xludf.DUMMYFUNCTION("""COMPUTED_VALUE"""),"(Ramechhap)")</f>
        <v>(Ramechhap)</v>
      </c>
    </row>
    <row r="527">
      <c r="A527" s="2">
        <f>IFERROR(__xludf.DUMMYFUNCTION("""COMPUTED_VALUE"""),526.0)</f>
        <v>526</v>
      </c>
      <c r="B527" s="2" t="str">
        <f>IFERROR(__xludf.DUMMYFUNCTION("""COMPUTED_VALUE"""),"Dudhkoshi - 4")</f>
        <v>Dudhkoshi - 4</v>
      </c>
      <c r="C527" s="2">
        <f>IFERROR(__xludf.DUMMYFUNCTION("""COMPUTED_VALUE"""),197.0)</f>
        <v>197</v>
      </c>
      <c r="D527" s="2" t="str">
        <f>IFERROR(__xludf.DUMMYFUNCTION("""COMPUTED_VALUE"""),"Dudh Koshi")</f>
        <v>Dudh Koshi</v>
      </c>
      <c r="E527" s="2">
        <f>IFERROR(__xludf.DUMMYFUNCTION("""COMPUTED_VALUE"""),3729.0)</f>
        <v>3729</v>
      </c>
      <c r="F527" s="3">
        <f>IFERROR(__xludf.DUMMYFUNCTION("""COMPUTED_VALUE"""),60342.0)</f>
        <v>60342</v>
      </c>
      <c r="G527" s="2" t="str">
        <f>IFERROR(__xludf.DUMMYFUNCTION("""COMPUTED_VALUE"""),"Jindal Power Limited")</f>
        <v>Jindal Power Limited</v>
      </c>
      <c r="H527" s="2" t="str">
        <f>IFERROR(__xludf.DUMMYFUNCTION("""COMPUTED_VALUE"""),"12 Bhikaji Cama Place. New Delhi - 110066, INDIA")</f>
        <v>12 Bhikaji Cama Place. New Delhi - 110066, INDIA</v>
      </c>
      <c r="I527" s="2" t="str">
        <f>IFERROR(__xludf.DUMMYFUNCTION("""COMPUTED_VALUE"""),"27o 28' 06""")</f>
        <v>27o 28' 06"</v>
      </c>
      <c r="J527" s="2" t="str">
        <f>IFERROR(__xludf.DUMMYFUNCTION("""COMPUTED_VALUE"""),"27o 33' 15""")</f>
        <v>27o 33' 15"</v>
      </c>
      <c r="K527" s="2" t="str">
        <f>IFERROR(__xludf.DUMMYFUNCTION("""COMPUTED_VALUE"""),"86o 40' 00""")</f>
        <v>86o 40' 00"</v>
      </c>
      <c r="L527" s="2" t="str">
        <f>IFERROR(__xludf.DUMMYFUNCTION("""COMPUTED_VALUE"""),"86o 45' 00""")</f>
        <v>86o 45' 00"</v>
      </c>
      <c r="M527" s="2" t="str">
        <f>IFERROR(__xludf.DUMMYFUNCTION("""COMPUTED_VALUE"""),"Chaurikharka (Solukhumbu)")</f>
        <v>Chaurikharka (Solukhumbu)</v>
      </c>
    </row>
    <row r="528">
      <c r="A528" s="2">
        <f>IFERROR(__xludf.DUMMYFUNCTION("""COMPUTED_VALUE"""),527.0)</f>
        <v>527</v>
      </c>
      <c r="B528" s="2" t="str">
        <f>IFERROR(__xludf.DUMMYFUNCTION("""COMPUTED_VALUE"""),"Dudhkoshi - 1")</f>
        <v>Dudhkoshi - 1</v>
      </c>
      <c r="C528" s="2">
        <f>IFERROR(__xludf.DUMMYFUNCTION("""COMPUTED_VALUE"""),108.0)</f>
        <v>108</v>
      </c>
      <c r="D528" s="2" t="str">
        <f>IFERROR(__xludf.DUMMYFUNCTION("""COMPUTED_VALUE"""),"Dudh Koshi")</f>
        <v>Dudh Koshi</v>
      </c>
      <c r="E528" s="2">
        <f>IFERROR(__xludf.DUMMYFUNCTION("""COMPUTED_VALUE"""),3726.0)</f>
        <v>3726</v>
      </c>
      <c r="F528" s="3">
        <f>IFERROR(__xludf.DUMMYFUNCTION("""COMPUTED_VALUE"""),60342.0)</f>
        <v>60342</v>
      </c>
      <c r="G528" s="2" t="str">
        <f>IFERROR(__xludf.DUMMYFUNCTION("""COMPUTED_VALUE"""),"Jindal Power Limited")</f>
        <v>Jindal Power Limited</v>
      </c>
      <c r="H528" s="2" t="str">
        <f>IFERROR(__xludf.DUMMYFUNCTION("""COMPUTED_VALUE"""),"12 Bhikaji Cama Place. New Delhi - 110066, INDIA")</f>
        <v>12 Bhikaji Cama Place. New Delhi - 110066, INDIA</v>
      </c>
      <c r="I528" s="2" t="str">
        <f>IFERROR(__xludf.DUMMYFUNCTION("""COMPUTED_VALUE"""),"27o 43' 00""")</f>
        <v>27o 43' 00"</v>
      </c>
      <c r="J528" s="2" t="str">
        <f>IFERROR(__xludf.DUMMYFUNCTION("""COMPUTED_VALUE"""),"27o 45' 58""")</f>
        <v>27o 45' 58"</v>
      </c>
      <c r="K528" s="2" t="str">
        <f>IFERROR(__xludf.DUMMYFUNCTION("""COMPUTED_VALUE"""),"86o 40' 00""")</f>
        <v>86o 40' 00"</v>
      </c>
      <c r="L528" s="2" t="str">
        <f>IFERROR(__xludf.DUMMYFUNCTION("""COMPUTED_VALUE"""),"86o 45' 00""")</f>
        <v>86o 45' 00"</v>
      </c>
      <c r="M528" s="2" t="str">
        <f>IFERROR(__xludf.DUMMYFUNCTION("""COMPUTED_VALUE"""),"Chaulakharka(Waula),Mabe(Pawai),Baku (Solukhumbu)")</f>
        <v>Chaulakharka(Waula),Mabe(Pawai),Baku (Solukhumbu)</v>
      </c>
    </row>
    <row r="529">
      <c r="A529" s="2">
        <f>IFERROR(__xludf.DUMMYFUNCTION("""COMPUTED_VALUE"""),528.0)</f>
        <v>528</v>
      </c>
      <c r="B529" s="2" t="str">
        <f>IFERROR(__xludf.DUMMYFUNCTION("""COMPUTED_VALUE"""),"Dudhkoshi - 2")</f>
        <v>Dudhkoshi - 2</v>
      </c>
      <c r="C529" s="2">
        <f>IFERROR(__xludf.DUMMYFUNCTION("""COMPUTED_VALUE"""),213.0)</f>
        <v>213</v>
      </c>
      <c r="D529" s="2" t="str">
        <f>IFERROR(__xludf.DUMMYFUNCTION("""COMPUTED_VALUE"""),"Dudh Koshi")</f>
        <v>Dudh Koshi</v>
      </c>
      <c r="E529" s="2">
        <f>IFERROR(__xludf.DUMMYFUNCTION("""COMPUTED_VALUE"""),3727.0)</f>
        <v>3727</v>
      </c>
      <c r="F529" s="3">
        <f>IFERROR(__xludf.DUMMYFUNCTION("""COMPUTED_VALUE"""),60342.0)</f>
        <v>60342</v>
      </c>
      <c r="G529" s="2" t="str">
        <f>IFERROR(__xludf.DUMMYFUNCTION("""COMPUTED_VALUE"""),"Jindal Power Limited")</f>
        <v>Jindal Power Limited</v>
      </c>
      <c r="H529" s="2" t="str">
        <f>IFERROR(__xludf.DUMMYFUNCTION("""COMPUTED_VALUE"""),"12 Bhikaji Cama Place. New Delhi - 110066, INDIA")</f>
        <v>12 Bhikaji Cama Place. New Delhi - 110066, INDIA</v>
      </c>
      <c r="I529" s="2" t="str">
        <f>IFERROR(__xludf.DUMMYFUNCTION("""COMPUTED_VALUE"""),"27o 39' 45""")</f>
        <v>27o 39' 45"</v>
      </c>
      <c r="J529" s="2" t="str">
        <f>IFERROR(__xludf.DUMMYFUNCTION("""COMPUTED_VALUE"""),"27o 39' 45""")</f>
        <v>27o 39' 45"</v>
      </c>
      <c r="K529" s="2" t="str">
        <f>IFERROR(__xludf.DUMMYFUNCTION("""COMPUTED_VALUE"""),"86o 40' 00""")</f>
        <v>86o 40' 00"</v>
      </c>
      <c r="L529" s="2" t="str">
        <f>IFERROR(__xludf.DUMMYFUNCTION("""COMPUTED_VALUE"""),"86o 45' 00""")</f>
        <v>86o 45' 00"</v>
      </c>
      <c r="M529" s="2" t="str">
        <f>IFERROR(__xludf.DUMMYFUNCTION("""COMPUTED_VALUE"""),"Jubing,Takasindu (Solukhumbu)")</f>
        <v>Jubing,Takasindu (Solukhumbu)</v>
      </c>
    </row>
    <row r="530">
      <c r="A530" s="2">
        <f>IFERROR(__xludf.DUMMYFUNCTION("""COMPUTED_VALUE"""),529.0)</f>
        <v>529</v>
      </c>
      <c r="B530" s="2" t="str">
        <f>IFERROR(__xludf.DUMMYFUNCTION("""COMPUTED_VALUE"""),"Dudhkoshi - 3")</f>
        <v>Dudhkoshi - 3</v>
      </c>
      <c r="C530" s="2">
        <f>IFERROR(__xludf.DUMMYFUNCTION("""COMPUTED_VALUE"""),280.0)</f>
        <v>280</v>
      </c>
      <c r="D530" s="2" t="str">
        <f>IFERROR(__xludf.DUMMYFUNCTION("""COMPUTED_VALUE"""),"Dudh Koshi")</f>
        <v>Dudh Koshi</v>
      </c>
      <c r="E530" s="2">
        <f>IFERROR(__xludf.DUMMYFUNCTION("""COMPUTED_VALUE"""),3728.0)</f>
        <v>3728</v>
      </c>
      <c r="F530" s="3">
        <f>IFERROR(__xludf.DUMMYFUNCTION("""COMPUTED_VALUE"""),60342.0)</f>
        <v>60342</v>
      </c>
      <c r="G530" s="2" t="str">
        <f>IFERROR(__xludf.DUMMYFUNCTION("""COMPUTED_VALUE"""),"Jindal Power Limited")</f>
        <v>Jindal Power Limited</v>
      </c>
      <c r="H530" s="2" t="str">
        <f>IFERROR(__xludf.DUMMYFUNCTION("""COMPUTED_VALUE"""),"12 Bhikaji Cama Place. New Delhi - 110066, INDIA")</f>
        <v>12 Bhikaji Cama Place. New Delhi - 110066, INDIA</v>
      </c>
      <c r="I530" s="2" t="str">
        <f>IFERROR(__xludf.DUMMYFUNCTION("""COMPUTED_VALUE"""),"27o 33' 31""")</f>
        <v>27o 33' 31"</v>
      </c>
      <c r="J530" s="2" t="str">
        <f>IFERROR(__xludf.DUMMYFUNCTION("""COMPUTED_VALUE"""),"27o 39' 38""")</f>
        <v>27o 39' 38"</v>
      </c>
      <c r="K530" s="2" t="str">
        <f>IFERROR(__xludf.DUMMYFUNCTION("""COMPUTED_VALUE"""),"86o 40' 00""")</f>
        <v>86o 40' 00"</v>
      </c>
      <c r="L530" s="2" t="str">
        <f>IFERROR(__xludf.DUMMYFUNCTION("""COMPUTED_VALUE"""),"86o 45' 00""")</f>
        <v>86o 45' 00"</v>
      </c>
      <c r="M530" s="2" t="str">
        <f>IFERROR(__xludf.DUMMYFUNCTION("""COMPUTED_VALUE"""),"Chaurikharka (Solukhumbu)")</f>
        <v>Chaurikharka (Solukhumbu)</v>
      </c>
    </row>
    <row r="531">
      <c r="A531" s="2">
        <f>IFERROR(__xludf.DUMMYFUNCTION("""COMPUTED_VALUE"""),530.0)</f>
        <v>530</v>
      </c>
      <c r="B531" s="2" t="str">
        <f>IFERROR(__xludf.DUMMYFUNCTION("""COMPUTED_VALUE"""),"Dotigad")</f>
        <v>Dotigad</v>
      </c>
      <c r="C531" s="2">
        <f>IFERROR(__xludf.DUMMYFUNCTION("""COMPUTED_VALUE"""),0.9)</f>
        <v>0.9</v>
      </c>
      <c r="D531" s="2" t="str">
        <f>IFERROR(__xludf.DUMMYFUNCTION("""COMPUTED_VALUE"""),"Doti Gad")</f>
        <v>Doti Gad</v>
      </c>
      <c r="E531" s="2"/>
      <c r="F531" s="3">
        <f>IFERROR(__xludf.DUMMYFUNCTION("""COMPUTED_VALUE"""),60344.0)</f>
        <v>60344</v>
      </c>
      <c r="G531" s="2" t="str">
        <f>IFERROR(__xludf.DUMMYFUNCTION("""COMPUTED_VALUE"""),"Santosh Rimal &amp; Rajesh Shrestha")</f>
        <v>Santosh Rimal &amp; Rajesh Shrestha</v>
      </c>
      <c r="H531" s="2"/>
      <c r="I531" s="2" t="str">
        <f>IFERROR(__xludf.DUMMYFUNCTION("""COMPUTED_VALUE"""),"29o 17' 00""")</f>
        <v>29o 17' 00"</v>
      </c>
      <c r="J531" s="2" t="str">
        <f>IFERROR(__xludf.DUMMYFUNCTION("""COMPUTED_VALUE"""),"29o 18' 18""")</f>
        <v>29o 18' 18"</v>
      </c>
      <c r="K531" s="2" t="str">
        <f>IFERROR(__xludf.DUMMYFUNCTION("""COMPUTED_VALUE"""),"80o 30' 57""")</f>
        <v>80o 30' 57"</v>
      </c>
      <c r="L531" s="2" t="str">
        <f>IFERROR(__xludf.DUMMYFUNCTION("""COMPUTED_VALUE"""),"80o 32' 30""")</f>
        <v>80o 32' 30"</v>
      </c>
      <c r="M531" s="2" t="str">
        <f>IFERROR(__xludf.DUMMYFUNCTION("""COMPUTED_VALUE"""),"(Dadeldhura)")</f>
        <v>(Dadeldhura)</v>
      </c>
    </row>
    <row r="532">
      <c r="A532" s="2">
        <f>IFERROR(__xludf.DUMMYFUNCTION("""COMPUTED_VALUE"""),531.0)</f>
        <v>531</v>
      </c>
      <c r="B532" s="2" t="str">
        <f>IFERROR(__xludf.DUMMYFUNCTION("""COMPUTED_VALUE"""),"Menchet Khola")</f>
        <v>Menchet Khola</v>
      </c>
      <c r="C532" s="2">
        <f>IFERROR(__xludf.DUMMYFUNCTION("""COMPUTED_VALUE"""),3.0)</f>
        <v>3</v>
      </c>
      <c r="D532" s="2" t="str">
        <f>IFERROR(__xludf.DUMMYFUNCTION("""COMPUTED_VALUE"""),"Menchet")</f>
        <v>Menchet</v>
      </c>
      <c r="E532" s="2"/>
      <c r="F532" s="3">
        <f>IFERROR(__xludf.DUMMYFUNCTION("""COMPUTED_VALUE"""),60348.0)</f>
        <v>60348</v>
      </c>
      <c r="G532" s="2" t="str">
        <f>IFERROR(__xludf.DUMMYFUNCTION("""COMPUTED_VALUE"""),"Tikaman Tamang, Tika Bahadur Tamang")</f>
        <v>Tikaman Tamang, Tika Bahadur Tamang</v>
      </c>
      <c r="H532" s="2"/>
      <c r="I532" s="2" t="str">
        <f>IFERROR(__xludf.DUMMYFUNCTION("""COMPUTED_VALUE"""),"28o 11' 05""")</f>
        <v>28o 11' 05"</v>
      </c>
      <c r="J532" s="2" t="str">
        <f>IFERROR(__xludf.DUMMYFUNCTION("""COMPUTED_VALUE"""),"28o 12' 10""")</f>
        <v>28o 12' 10"</v>
      </c>
      <c r="K532" s="2" t="str">
        <f>IFERROR(__xludf.DUMMYFUNCTION("""COMPUTED_VALUE"""),"85o 04' 05""")</f>
        <v>85o 04' 05"</v>
      </c>
      <c r="L532" s="2" t="str">
        <f>IFERROR(__xludf.DUMMYFUNCTION("""COMPUTED_VALUE"""),"85o 06' 00""")</f>
        <v>85o 06' 00"</v>
      </c>
      <c r="M532" s="2" t="str">
        <f>IFERROR(__xludf.DUMMYFUNCTION("""COMPUTED_VALUE"""),"(Dhading)")</f>
        <v>(Dhading)</v>
      </c>
    </row>
    <row r="533">
      <c r="A533" s="2">
        <f>IFERROR(__xludf.DUMMYFUNCTION("""COMPUTED_VALUE"""),532.0)</f>
        <v>532</v>
      </c>
      <c r="B533" s="2" t="str">
        <f>IFERROR(__xludf.DUMMYFUNCTION("""COMPUTED_VALUE"""),"Dogaira Gad")</f>
        <v>Dogaira Gad</v>
      </c>
      <c r="C533" s="2">
        <f>IFERROR(__xludf.DUMMYFUNCTION("""COMPUTED_VALUE"""),0.98)</f>
        <v>0.98</v>
      </c>
      <c r="D533" s="2" t="str">
        <f>IFERROR(__xludf.DUMMYFUNCTION("""COMPUTED_VALUE"""),"Dogaira Gad")</f>
        <v>Dogaira Gad</v>
      </c>
      <c r="E533" s="2"/>
      <c r="F533" s="3">
        <f>IFERROR(__xludf.DUMMYFUNCTION("""COMPUTED_VALUE"""),60348.0)</f>
        <v>60348</v>
      </c>
      <c r="G533" s="2" t="str">
        <f>IFERROR(__xludf.DUMMYFUNCTION("""COMPUTED_VALUE"""),"Shyun Hydro P. Ltd.")</f>
        <v>Shyun Hydro P. Ltd.</v>
      </c>
      <c r="H533" s="2"/>
      <c r="I533" s="2" t="str">
        <f>IFERROR(__xludf.DUMMYFUNCTION("""COMPUTED_VALUE"""),"29o 38' 25""")</f>
        <v>29o 38' 25"</v>
      </c>
      <c r="J533" s="2" t="str">
        <f>IFERROR(__xludf.DUMMYFUNCTION("""COMPUTED_VALUE"""),"29o 42' 56""")</f>
        <v>29o 42' 56"</v>
      </c>
      <c r="K533" s="2" t="str">
        <f>IFERROR(__xludf.DUMMYFUNCTION("""COMPUTED_VALUE"""),"81o 19' 38""")</f>
        <v>81o 19' 38"</v>
      </c>
      <c r="L533" s="2" t="str">
        <f>IFERROR(__xludf.DUMMYFUNCTION("""COMPUTED_VALUE"""),"81o 25' 00""")</f>
        <v>81o 25' 00"</v>
      </c>
      <c r="M533" s="2" t="str">
        <f>IFERROR(__xludf.DUMMYFUNCTION("""COMPUTED_VALUE"""),"(Bajhang)")</f>
        <v>(Bajhang)</v>
      </c>
    </row>
    <row r="534">
      <c r="A534" s="2">
        <f>IFERROR(__xludf.DUMMYFUNCTION("""COMPUTED_VALUE"""),533.0)</f>
        <v>533</v>
      </c>
      <c r="B534" s="2" t="str">
        <f>IFERROR(__xludf.DUMMYFUNCTION("""COMPUTED_VALUE"""),"Gorken Khola")</f>
        <v>Gorken Khola</v>
      </c>
      <c r="C534" s="2">
        <f>IFERROR(__xludf.DUMMYFUNCTION("""COMPUTED_VALUE"""),5.0)</f>
        <v>5</v>
      </c>
      <c r="D534" s="2" t="str">
        <f>IFERROR(__xludf.DUMMYFUNCTION("""COMPUTED_VALUE"""),"Gorken")</f>
        <v>Gorken</v>
      </c>
      <c r="E534" s="2"/>
      <c r="F534" s="3">
        <f>IFERROR(__xludf.DUMMYFUNCTION("""COMPUTED_VALUE"""),60348.0)</f>
        <v>60348</v>
      </c>
      <c r="G534" s="2" t="str">
        <f>IFERROR(__xludf.DUMMYFUNCTION("""COMPUTED_VALUE"""),"Gomb Ghale")</f>
        <v>Gomb Ghale</v>
      </c>
      <c r="H534" s="2"/>
      <c r="I534" s="2" t="str">
        <f>IFERROR(__xludf.DUMMYFUNCTION("""COMPUTED_VALUE"""),"28o 10' 00""")</f>
        <v>28o 10' 00"</v>
      </c>
      <c r="J534" s="2" t="str">
        <f>IFERROR(__xludf.DUMMYFUNCTION("""COMPUTED_VALUE"""),"28o 12' 10""")</f>
        <v>28o 12' 10"</v>
      </c>
      <c r="K534" s="2" t="str">
        <f>IFERROR(__xludf.DUMMYFUNCTION("""COMPUTED_VALUE"""),"85o 05' 54""")</f>
        <v>85o 05' 54"</v>
      </c>
      <c r="L534" s="2" t="str">
        <f>IFERROR(__xludf.DUMMYFUNCTION("""COMPUTED_VALUE"""),"85o 08' 20""")</f>
        <v>85o 08' 20"</v>
      </c>
      <c r="M534" s="2" t="str">
        <f>IFERROR(__xludf.DUMMYFUNCTION("""COMPUTED_VALUE"""),"(Dhading)")</f>
        <v>(Dhading)</v>
      </c>
    </row>
    <row r="535">
      <c r="A535" s="2">
        <f>IFERROR(__xludf.DUMMYFUNCTION("""COMPUTED_VALUE"""),534.0)</f>
        <v>534</v>
      </c>
      <c r="B535" s="2" t="str">
        <f>IFERROR(__xludf.DUMMYFUNCTION("""COMPUTED_VALUE"""),"Juilygad")</f>
        <v>Juilygad</v>
      </c>
      <c r="C535" s="2">
        <f>IFERROR(__xludf.DUMMYFUNCTION("""COMPUTED_VALUE"""),0.43)</f>
        <v>0.43</v>
      </c>
      <c r="D535" s="2" t="str">
        <f>IFERROR(__xludf.DUMMYFUNCTION("""COMPUTED_VALUE"""),"Juilygad")</f>
        <v>Juilygad</v>
      </c>
      <c r="E535" s="2"/>
      <c r="F535" s="3">
        <f>IFERROR(__xludf.DUMMYFUNCTION("""COMPUTED_VALUE"""),60348.0)</f>
        <v>60348</v>
      </c>
      <c r="G535" s="2" t="str">
        <f>IFERROR(__xludf.DUMMYFUNCTION("""COMPUTED_VALUE"""),"Hemant Devi Malla")</f>
        <v>Hemant Devi Malla</v>
      </c>
      <c r="H535" s="2"/>
      <c r="I535" s="2" t="str">
        <f>IFERROR(__xludf.DUMMYFUNCTION("""COMPUTED_VALUE"""),"29o 28' 24""")</f>
        <v>29o 28' 24"</v>
      </c>
      <c r="J535" s="2" t="str">
        <f>IFERROR(__xludf.DUMMYFUNCTION("""COMPUTED_VALUE"""),"29o 30' 00""")</f>
        <v>29o 30' 00"</v>
      </c>
      <c r="K535" s="2" t="str">
        <f>IFERROR(__xludf.DUMMYFUNCTION("""COMPUTED_VALUE"""),"80o 58' 45""")</f>
        <v>80o 58' 45"</v>
      </c>
      <c r="L535" s="2" t="str">
        <f>IFERROR(__xludf.DUMMYFUNCTION("""COMPUTED_VALUE"""),"81o 00' 00""")</f>
        <v>81o 00' 00"</v>
      </c>
      <c r="M535" s="2" t="str">
        <f>IFERROR(__xludf.DUMMYFUNCTION("""COMPUTED_VALUE"""),"(Bajhang)")</f>
        <v>(Bajhang)</v>
      </c>
    </row>
    <row r="536">
      <c r="A536" s="2">
        <f>IFERROR(__xludf.DUMMYFUNCTION("""COMPUTED_VALUE"""),535.0)</f>
        <v>535</v>
      </c>
      <c r="B536" s="2" t="str">
        <f>IFERROR(__xludf.DUMMYFUNCTION("""COMPUTED_VALUE"""),"Upper Ghat ganga")</f>
        <v>Upper Ghat ganga</v>
      </c>
      <c r="C536" s="2">
        <f>IFERROR(__xludf.DUMMYFUNCTION("""COMPUTED_VALUE"""),9.64)</f>
        <v>9.64</v>
      </c>
      <c r="D536" s="2" t="str">
        <f>IFERROR(__xludf.DUMMYFUNCTION("""COMPUTED_VALUE"""),"Ghat Ganga")</f>
        <v>Ghat Ganga</v>
      </c>
      <c r="E536" s="2"/>
      <c r="F536" s="3">
        <f>IFERROR(__xludf.DUMMYFUNCTION("""COMPUTED_VALUE"""),60348.0)</f>
        <v>60348</v>
      </c>
      <c r="G536" s="2" t="str">
        <f>IFERROR(__xludf.DUMMYFUNCTION("""COMPUTED_VALUE"""),"Ghatganga Hydropower P. Ltd")</f>
        <v>Ghatganga Hydropower P. Ltd</v>
      </c>
      <c r="H536" s="2" t="str">
        <f>IFERROR(__xludf.DUMMYFUNCTION("""COMPUTED_VALUE"""),"Lalitpur, Ward No 2, nepal")</f>
        <v>Lalitpur, Ward No 2, nepal</v>
      </c>
      <c r="I536" s="2" t="str">
        <f>IFERROR(__xludf.DUMMYFUNCTION("""COMPUTED_VALUE"""),"29o 43' 13""")</f>
        <v>29o 43' 13"</v>
      </c>
      <c r="J536" s="2" t="str">
        <f>IFERROR(__xludf.DUMMYFUNCTION("""COMPUTED_VALUE"""),"29o 46' 42""")</f>
        <v>29o 46' 42"</v>
      </c>
      <c r="K536" s="2" t="str">
        <f>IFERROR(__xludf.DUMMYFUNCTION("""COMPUTED_VALUE"""),"81o 20' 52""")</f>
        <v>81o 20' 52"</v>
      </c>
      <c r="L536" s="2" t="str">
        <f>IFERROR(__xludf.DUMMYFUNCTION("""COMPUTED_VALUE"""),"81o 25' 00""")</f>
        <v>81o 25' 00"</v>
      </c>
      <c r="M536" s="2" t="str">
        <f>IFERROR(__xludf.DUMMYFUNCTION("""COMPUTED_VALUE"""),"(Bajhang)")</f>
        <v>(Bajhang)</v>
      </c>
    </row>
    <row r="537">
      <c r="A537" s="2">
        <f>IFERROR(__xludf.DUMMYFUNCTION("""COMPUTED_VALUE"""),536.0)</f>
        <v>536</v>
      </c>
      <c r="B537" s="2" t="str">
        <f>IFERROR(__xludf.DUMMYFUNCTION("""COMPUTED_VALUE"""),"Talkotigad")</f>
        <v>Talkotigad</v>
      </c>
      <c r="C537" s="2">
        <f>IFERROR(__xludf.DUMMYFUNCTION("""COMPUTED_VALUE"""),0.84)</f>
        <v>0.84</v>
      </c>
      <c r="D537" s="2" t="str">
        <f>IFERROR(__xludf.DUMMYFUNCTION("""COMPUTED_VALUE"""),"Talkoti Gad")</f>
        <v>Talkoti Gad</v>
      </c>
      <c r="E537" s="2"/>
      <c r="F537" s="3">
        <f>IFERROR(__xludf.DUMMYFUNCTION("""COMPUTED_VALUE"""),60348.0)</f>
        <v>60348</v>
      </c>
      <c r="G537" s="2" t="str">
        <f>IFERROR(__xludf.DUMMYFUNCTION("""COMPUTED_VALUE"""),"Narayan Bdr. Singh")</f>
        <v>Narayan Bdr. Singh</v>
      </c>
      <c r="H537" s="2"/>
      <c r="I537" s="2" t="str">
        <f>IFERROR(__xludf.DUMMYFUNCTION("""COMPUTED_VALUE"""),"29o 35' 21""")</f>
        <v>29o 35' 21"</v>
      </c>
      <c r="J537" s="2" t="str">
        <f>IFERROR(__xludf.DUMMYFUNCTION("""COMPUTED_VALUE"""),"29o 36' 35""")</f>
        <v>29o 36' 35"</v>
      </c>
      <c r="K537" s="2" t="str">
        <f>IFERROR(__xludf.DUMMYFUNCTION("""COMPUTED_VALUE"""),"81o 17' 55""")</f>
        <v>81o 17' 55"</v>
      </c>
      <c r="L537" s="2" t="str">
        <f>IFERROR(__xludf.DUMMYFUNCTION("""COMPUTED_VALUE"""),"81o 21' 03""")</f>
        <v>81o 21' 03"</v>
      </c>
      <c r="M537" s="2" t="str">
        <f>IFERROR(__xludf.DUMMYFUNCTION("""COMPUTED_VALUE"""),"(Bajhang)")</f>
        <v>(Bajhang)</v>
      </c>
    </row>
    <row r="538">
      <c r="A538" s="2">
        <f>IFERROR(__xludf.DUMMYFUNCTION("""COMPUTED_VALUE"""),537.0)</f>
        <v>537</v>
      </c>
      <c r="B538" s="2" t="str">
        <f>IFERROR(__xludf.DUMMYFUNCTION("""COMPUTED_VALUE"""),"Sailung Khola")</f>
        <v>Sailung Khola</v>
      </c>
      <c r="C538" s="2">
        <f>IFERROR(__xludf.DUMMYFUNCTION("""COMPUTED_VALUE"""),3.35)</f>
        <v>3.35</v>
      </c>
      <c r="D538" s="2" t="str">
        <f>IFERROR(__xludf.DUMMYFUNCTION("""COMPUTED_VALUE"""),"Sailung")</f>
        <v>Sailung</v>
      </c>
      <c r="E538" s="2"/>
      <c r="F538" s="3">
        <f>IFERROR(__xludf.DUMMYFUNCTION("""COMPUTED_VALUE"""),60349.0)</f>
        <v>60349</v>
      </c>
      <c r="G538" s="2" t="str">
        <f>IFERROR(__xludf.DUMMYFUNCTION("""COMPUTED_VALUE"""),"Stupa Hydropower")</f>
        <v>Stupa Hydropower</v>
      </c>
      <c r="H538" s="2"/>
      <c r="I538" s="2" t="str">
        <f>IFERROR(__xludf.DUMMYFUNCTION("""COMPUTED_VALUE"""),"27o 35' 25""")</f>
        <v>27o 35' 25"</v>
      </c>
      <c r="J538" s="2" t="str">
        <f>IFERROR(__xludf.DUMMYFUNCTION("""COMPUTED_VALUE"""),"27o 38' 30""")</f>
        <v>27o 38' 30"</v>
      </c>
      <c r="K538" s="2" t="str">
        <f>IFERROR(__xludf.DUMMYFUNCTION("""COMPUTED_VALUE"""),"85o 53' 10""")</f>
        <v>85o 53' 10"</v>
      </c>
      <c r="L538" s="2" t="str">
        <f>IFERROR(__xludf.DUMMYFUNCTION("""COMPUTED_VALUE"""),"85o 55' 00""")</f>
        <v>85o 55' 00"</v>
      </c>
      <c r="M538" s="2" t="str">
        <f>IFERROR(__xludf.DUMMYFUNCTION("""COMPUTED_VALUE"""),"(Dolakha)")</f>
        <v>(Dolakha)</v>
      </c>
    </row>
    <row r="539">
      <c r="A539" s="2">
        <f>IFERROR(__xludf.DUMMYFUNCTION("""COMPUTED_VALUE"""),538.0)</f>
        <v>538</v>
      </c>
      <c r="B539" s="2" t="str">
        <f>IFERROR(__xludf.DUMMYFUNCTION("""COMPUTED_VALUE"""),"Junrimba")</f>
        <v>Junrimba</v>
      </c>
      <c r="C539" s="2">
        <f>IFERROR(__xludf.DUMMYFUNCTION("""COMPUTED_VALUE"""),0.95)</f>
        <v>0.95</v>
      </c>
      <c r="D539" s="2" t="str">
        <f>IFERROR(__xludf.DUMMYFUNCTION("""COMPUTED_VALUE"""),"Jurimba")</f>
        <v>Jurimba</v>
      </c>
      <c r="E539" s="2"/>
      <c r="F539" s="3">
        <f>IFERROR(__xludf.DUMMYFUNCTION("""COMPUTED_VALUE"""),60349.0)</f>
        <v>60349</v>
      </c>
      <c r="G539" s="2" t="str">
        <f>IFERROR(__xludf.DUMMYFUNCTION("""COMPUTED_VALUE"""),"Syombu Energy Development P. Ltd.")</f>
        <v>Syombu Energy Development P. Ltd.</v>
      </c>
      <c r="H539" s="2"/>
      <c r="I539" s="2" t="str">
        <f>IFERROR(__xludf.DUMMYFUNCTION("""COMPUTED_VALUE"""),"27o 53' 50""")</f>
        <v>27o 53' 50"</v>
      </c>
      <c r="J539" s="2" t="str">
        <f>IFERROR(__xludf.DUMMYFUNCTION("""COMPUTED_VALUE"""),"27o 57' 05""")</f>
        <v>27o 57' 05"</v>
      </c>
      <c r="K539" s="2" t="str">
        <f>IFERROR(__xludf.DUMMYFUNCTION("""COMPUTED_VALUE"""),"85o 52' 55""")</f>
        <v>85o 52' 55"</v>
      </c>
      <c r="L539" s="2" t="str">
        <f>IFERROR(__xludf.DUMMYFUNCTION("""COMPUTED_VALUE"""),"85o 56' 35""")</f>
        <v>85o 56' 35"</v>
      </c>
      <c r="M539" s="2" t="str">
        <f>IFERROR(__xludf.DUMMYFUNCTION("""COMPUTED_VALUE"""),"(Sindhupalchok)")</f>
        <v>(Sindhupalchok)</v>
      </c>
    </row>
    <row r="540">
      <c r="A540" s="2">
        <f>IFERROR(__xludf.DUMMYFUNCTION("""COMPUTED_VALUE"""),539.0)</f>
        <v>539</v>
      </c>
      <c r="B540" s="2" t="str">
        <f>IFERROR(__xludf.DUMMYFUNCTION("""COMPUTED_VALUE"""),"Phalankhu 3")</f>
        <v>Phalankhu 3</v>
      </c>
      <c r="C540" s="2">
        <f>IFERROR(__xludf.DUMMYFUNCTION("""COMPUTED_VALUE"""),2.4)</f>
        <v>2.4</v>
      </c>
      <c r="D540" s="2" t="str">
        <f>IFERROR(__xludf.DUMMYFUNCTION("""COMPUTED_VALUE"""),"Phalankhu Khola")</f>
        <v>Phalankhu Khola</v>
      </c>
      <c r="E540" s="2"/>
      <c r="F540" s="3">
        <f>IFERROR(__xludf.DUMMYFUNCTION("""COMPUTED_VALUE"""),60349.0)</f>
        <v>60349</v>
      </c>
      <c r="G540" s="2" t="str">
        <f>IFERROR(__xludf.DUMMYFUNCTION("""COMPUTED_VALUE"""),"Mandavi Hydropower")</f>
        <v>Mandavi Hydropower</v>
      </c>
      <c r="H540" s="2"/>
      <c r="I540" s="2" t="str">
        <f>IFERROR(__xludf.DUMMYFUNCTION("""COMPUTED_VALUE"""),"27o 58' 07""")</f>
        <v>27o 58' 07"</v>
      </c>
      <c r="J540" s="2" t="str">
        <f>IFERROR(__xludf.DUMMYFUNCTION("""COMPUTED_VALUE"""),"27o 58' 49""")</f>
        <v>27o 58' 49"</v>
      </c>
      <c r="K540" s="2" t="str">
        <f>IFERROR(__xludf.DUMMYFUNCTION("""COMPUTED_VALUE"""),"85o 13' 02""")</f>
        <v>85o 13' 02"</v>
      </c>
      <c r="L540" s="2" t="str">
        <f>IFERROR(__xludf.DUMMYFUNCTION("""COMPUTED_VALUE"""),"85o 15' 17""")</f>
        <v>85o 15' 17"</v>
      </c>
      <c r="M540" s="2" t="str">
        <f>IFERROR(__xludf.DUMMYFUNCTION("""COMPUTED_VALUE"""),"(Nuwakot)")</f>
        <v>(Nuwakot)</v>
      </c>
    </row>
    <row r="541">
      <c r="A541" s="2">
        <f>IFERROR(__xludf.DUMMYFUNCTION("""COMPUTED_VALUE"""),540.0)</f>
        <v>540</v>
      </c>
      <c r="B541" s="2" t="str">
        <f>IFERROR(__xludf.DUMMYFUNCTION("""COMPUTED_VALUE"""),"Belkhu baireni")</f>
        <v>Belkhu baireni</v>
      </c>
      <c r="C541" s="2">
        <f>IFERROR(__xludf.DUMMYFUNCTION("""COMPUTED_VALUE"""),1.5)</f>
        <v>1.5</v>
      </c>
      <c r="D541" s="2" t="str">
        <f>IFERROR(__xludf.DUMMYFUNCTION("""COMPUTED_VALUE"""),"Belkhu Khola")</f>
        <v>Belkhu Khola</v>
      </c>
      <c r="E541" s="2"/>
      <c r="F541" s="3">
        <f>IFERROR(__xludf.DUMMYFUNCTION("""COMPUTED_VALUE"""),60349.0)</f>
        <v>60349</v>
      </c>
      <c r="G541" s="2" t="str">
        <f>IFERROR(__xludf.DUMMYFUNCTION("""COMPUTED_VALUE"""),"Navin Manandhar")</f>
        <v>Navin Manandhar</v>
      </c>
      <c r="H541" s="2"/>
      <c r="I541" s="2" t="str">
        <f>IFERROR(__xludf.DUMMYFUNCTION("""COMPUTED_VALUE"""),"27o 46' 50""")</f>
        <v>27o 46' 50"</v>
      </c>
      <c r="J541" s="2" t="str">
        <f>IFERROR(__xludf.DUMMYFUNCTION("""COMPUTED_VALUE"""),"27o 48' 40""")</f>
        <v>27o 48' 40"</v>
      </c>
      <c r="K541" s="2" t="str">
        <f>IFERROR(__xludf.DUMMYFUNCTION("""COMPUTED_VALUE"""),"84o 56' 10""")</f>
        <v>84o 56' 10"</v>
      </c>
      <c r="L541" s="2" t="str">
        <f>IFERROR(__xludf.DUMMYFUNCTION("""COMPUTED_VALUE"""),"84o 57' 16""")</f>
        <v>84o 57' 16"</v>
      </c>
      <c r="M541" s="2" t="str">
        <f>IFERROR(__xludf.DUMMYFUNCTION("""COMPUTED_VALUE"""),"(Dhading)")</f>
        <v>(Dhading)</v>
      </c>
    </row>
    <row r="542">
      <c r="A542" s="2">
        <f>IFERROR(__xludf.DUMMYFUNCTION("""COMPUTED_VALUE"""),541.0)</f>
        <v>541</v>
      </c>
      <c r="B542" s="2" t="str">
        <f>IFERROR(__xludf.DUMMYFUNCTION("""COMPUTED_VALUE"""),"Lapse")</f>
        <v>Lapse</v>
      </c>
      <c r="C542" s="2">
        <f>IFERROR(__xludf.DUMMYFUNCTION("""COMPUTED_VALUE"""),0.5)</f>
        <v>0.5</v>
      </c>
      <c r="D542" s="2" t="str">
        <f>IFERROR(__xludf.DUMMYFUNCTION("""COMPUTED_VALUE"""),"Lapse")</f>
        <v>Lapse</v>
      </c>
      <c r="E542" s="2"/>
      <c r="F542" s="3">
        <f>IFERROR(__xludf.DUMMYFUNCTION("""COMPUTED_VALUE"""),60350.0)</f>
        <v>60350</v>
      </c>
      <c r="G542" s="2" t="str">
        <f>IFERROR(__xludf.DUMMYFUNCTION("""COMPUTED_VALUE"""),"Binod Kumar Shrestha &amp; Chetanath Nepal &amp; Mahesh Lal Shrestha")</f>
        <v>Binod Kumar Shrestha &amp; Chetanath Nepal &amp; Mahesh Lal Shrestha</v>
      </c>
      <c r="H542" s="2"/>
      <c r="I542" s="2" t="str">
        <f>IFERROR(__xludf.DUMMYFUNCTION("""COMPUTED_VALUE"""),"27o 52' 10""")</f>
        <v>27o 52' 10"</v>
      </c>
      <c r="J542" s="2" t="str">
        <f>IFERROR(__xludf.DUMMYFUNCTION("""COMPUTED_VALUE"""),"27o 52' 30""")</f>
        <v>27o 52' 30"</v>
      </c>
      <c r="K542" s="2" t="str">
        <f>IFERROR(__xludf.DUMMYFUNCTION("""COMPUTED_VALUE"""),"85o 37' 20""")</f>
        <v>85o 37' 20"</v>
      </c>
      <c r="L542" s="2" t="str">
        <f>IFERROR(__xludf.DUMMYFUNCTION("""COMPUTED_VALUE"""),"85o 37' 30""")</f>
        <v>85o 37' 30"</v>
      </c>
      <c r="M542" s="2" t="str">
        <f>IFERROR(__xludf.DUMMYFUNCTION("""COMPUTED_VALUE"""),"(Sindhupalchok)")</f>
        <v>(Sindhupalchok)</v>
      </c>
    </row>
    <row r="543">
      <c r="A543" s="2">
        <f>IFERROR(__xludf.DUMMYFUNCTION("""COMPUTED_VALUE"""),542.0)</f>
        <v>542</v>
      </c>
      <c r="B543" s="2" t="str">
        <f>IFERROR(__xludf.DUMMYFUNCTION("""COMPUTED_VALUE"""),"Palun")</f>
        <v>Palun</v>
      </c>
      <c r="C543" s="2">
        <f>IFERROR(__xludf.DUMMYFUNCTION("""COMPUTED_VALUE"""),1.0)</f>
        <v>1</v>
      </c>
      <c r="D543" s="2" t="str">
        <f>IFERROR(__xludf.DUMMYFUNCTION("""COMPUTED_VALUE"""),"Palun Khola")</f>
        <v>Palun Khola</v>
      </c>
      <c r="E543" s="2"/>
      <c r="F543" s="3">
        <f>IFERROR(__xludf.DUMMYFUNCTION("""COMPUTED_VALUE"""),60353.0)</f>
        <v>60353</v>
      </c>
      <c r="G543" s="2" t="str">
        <f>IFERROR(__xludf.DUMMYFUNCTION("""COMPUTED_VALUE"""),"Dol Raj Sharma")</f>
        <v>Dol Raj Sharma</v>
      </c>
      <c r="H543" s="2"/>
      <c r="I543" s="2" t="str">
        <f>IFERROR(__xludf.DUMMYFUNCTION("""COMPUTED_VALUE"""),"27o 37' 30""")</f>
        <v>27o 37' 30"</v>
      </c>
      <c r="J543" s="2" t="str">
        <f>IFERROR(__xludf.DUMMYFUNCTION("""COMPUTED_VALUE"""),"27o 38' 30""")</f>
        <v>27o 38' 30"</v>
      </c>
      <c r="K543" s="2" t="str">
        <f>IFERROR(__xludf.DUMMYFUNCTION("""COMPUTED_VALUE"""),"85o 05' 30""")</f>
        <v>85o 05' 30"</v>
      </c>
      <c r="L543" s="2" t="str">
        <f>IFERROR(__xludf.DUMMYFUNCTION("""COMPUTED_VALUE"""),"85o 08' 30""")</f>
        <v>85o 08' 30"</v>
      </c>
      <c r="M543" s="2" t="str">
        <f>IFERROR(__xludf.DUMMYFUNCTION("""COMPUTED_VALUE"""),"(Makawanpur)")</f>
        <v>(Makawanpur)</v>
      </c>
    </row>
    <row r="544">
      <c r="A544" s="2">
        <f>IFERROR(__xludf.DUMMYFUNCTION("""COMPUTED_VALUE"""),543.0)</f>
        <v>543</v>
      </c>
      <c r="B544" s="2" t="str">
        <f>IFERROR(__xludf.DUMMYFUNCTION("""COMPUTED_VALUE"""),"Bojyan")</f>
        <v>Bojyan</v>
      </c>
      <c r="C544" s="2">
        <f>IFERROR(__xludf.DUMMYFUNCTION("""COMPUTED_VALUE"""),0.827)</f>
        <v>0.827</v>
      </c>
      <c r="D544" s="2" t="str">
        <f>IFERROR(__xludf.DUMMYFUNCTION("""COMPUTED_VALUE"""),"Bojyan")</f>
        <v>Bojyan</v>
      </c>
      <c r="E544" s="2"/>
      <c r="F544" s="3">
        <f>IFERROR(__xludf.DUMMYFUNCTION("""COMPUTED_VALUE"""),60355.0)</f>
        <v>60355</v>
      </c>
      <c r="G544" s="2" t="str">
        <f>IFERROR(__xludf.DUMMYFUNCTION("""COMPUTED_VALUE"""),"Nikita Malla")</f>
        <v>Nikita Malla</v>
      </c>
      <c r="H544" s="2"/>
      <c r="I544" s="2" t="str">
        <f>IFERROR(__xludf.DUMMYFUNCTION("""COMPUTED_VALUE"""),"28o 15' 00""")</f>
        <v>28o 15' 00"</v>
      </c>
      <c r="J544" s="2" t="str">
        <f>IFERROR(__xludf.DUMMYFUNCTION("""COMPUTED_VALUE"""),"28o 16' 31""")</f>
        <v>28o 16' 31"</v>
      </c>
      <c r="K544" s="2" t="str">
        <f>IFERROR(__xludf.DUMMYFUNCTION("""COMPUTED_VALUE"""),"82o 45' 23""")</f>
        <v>82o 45' 23"</v>
      </c>
      <c r="L544" s="2" t="str">
        <f>IFERROR(__xludf.DUMMYFUNCTION("""COMPUTED_VALUE"""),"82o 48' 08""")</f>
        <v>82o 48' 08"</v>
      </c>
      <c r="M544" s="2" t="str">
        <f>IFERROR(__xludf.DUMMYFUNCTION("""COMPUTED_VALUE"""),"(Rolpa)")</f>
        <v>(Rolpa)</v>
      </c>
    </row>
    <row r="545">
      <c r="A545" s="2">
        <f>IFERROR(__xludf.DUMMYFUNCTION("""COMPUTED_VALUE"""),544.0)</f>
        <v>544</v>
      </c>
      <c r="B545" s="2" t="str">
        <f>IFERROR(__xludf.DUMMYFUNCTION("""COMPUTED_VALUE"""),"Siban")</f>
        <v>Siban</v>
      </c>
      <c r="C545" s="2">
        <f>IFERROR(__xludf.DUMMYFUNCTION("""COMPUTED_VALUE"""),0.939)</f>
        <v>0.939</v>
      </c>
      <c r="D545" s="2" t="str">
        <f>IFERROR(__xludf.DUMMYFUNCTION("""COMPUTED_VALUE"""),"Siban")</f>
        <v>Siban</v>
      </c>
      <c r="E545" s="2"/>
      <c r="F545" s="3">
        <f>IFERROR(__xludf.DUMMYFUNCTION("""COMPUTED_VALUE"""),60355.0)</f>
        <v>60355</v>
      </c>
      <c r="G545" s="2" t="str">
        <f>IFERROR(__xludf.DUMMYFUNCTION("""COMPUTED_VALUE"""),"Kopila Kunwar")</f>
        <v>Kopila Kunwar</v>
      </c>
      <c r="H545" s="2"/>
      <c r="I545" s="2" t="str">
        <f>IFERROR(__xludf.DUMMYFUNCTION("""COMPUTED_VALUE"""),"28o 16' 22""")</f>
        <v>28o 16' 22"</v>
      </c>
      <c r="J545" s="2" t="str">
        <f>IFERROR(__xludf.DUMMYFUNCTION("""COMPUTED_VALUE"""),"28o 17' 30""")</f>
        <v>28o 17' 30"</v>
      </c>
      <c r="K545" s="2" t="str">
        <f>IFERROR(__xludf.DUMMYFUNCTION("""COMPUTED_VALUE"""),"82o 30' 41""")</f>
        <v>82o 30' 41"</v>
      </c>
      <c r="L545" s="2" t="str">
        <f>IFERROR(__xludf.DUMMYFUNCTION("""COMPUTED_VALUE"""),"82o 33' 08""")</f>
        <v>82o 33' 08"</v>
      </c>
      <c r="M545" s="2" t="str">
        <f>IFERROR(__xludf.DUMMYFUNCTION("""COMPUTED_VALUE"""),"(Rolpa)")</f>
        <v>(Rolpa)</v>
      </c>
    </row>
    <row r="546">
      <c r="A546" s="2">
        <f>IFERROR(__xludf.DUMMYFUNCTION("""COMPUTED_VALUE"""),545.0)</f>
        <v>545</v>
      </c>
      <c r="B546" s="2" t="str">
        <f>IFERROR(__xludf.DUMMYFUNCTION("""COMPUTED_VALUE"""),"Kwaligau")</f>
        <v>Kwaligau</v>
      </c>
      <c r="C546" s="2">
        <f>IFERROR(__xludf.DUMMYFUNCTION("""COMPUTED_VALUE"""),0.6)</f>
        <v>0.6</v>
      </c>
      <c r="D546" s="2" t="str">
        <f>IFERROR(__xludf.DUMMYFUNCTION("""COMPUTED_VALUE"""),"Kwaligau")</f>
        <v>Kwaligau</v>
      </c>
      <c r="E546" s="2"/>
      <c r="F546" s="3">
        <f>IFERROR(__xludf.DUMMYFUNCTION("""COMPUTED_VALUE"""),60355.0)</f>
        <v>60355</v>
      </c>
      <c r="G546" s="2" t="str">
        <f>IFERROR(__xludf.DUMMYFUNCTION("""COMPUTED_VALUE"""),"Umesh Adhikari")</f>
        <v>Umesh Adhikari</v>
      </c>
      <c r="H546" s="2"/>
      <c r="I546" s="2" t="str">
        <f>IFERROR(__xludf.DUMMYFUNCTION("""COMPUTED_VALUE"""),"28o 15' 00""")</f>
        <v>28o 15' 00"</v>
      </c>
      <c r="J546" s="2" t="str">
        <f>IFERROR(__xludf.DUMMYFUNCTION("""COMPUTED_VALUE"""),"28o 17' 30""")</f>
        <v>28o 17' 30"</v>
      </c>
      <c r="K546" s="2" t="str">
        <f>IFERROR(__xludf.DUMMYFUNCTION("""COMPUTED_VALUE"""),"82o 42' 57""")</f>
        <v>82o 42' 57"</v>
      </c>
      <c r="L546" s="2" t="str">
        <f>IFERROR(__xludf.DUMMYFUNCTION("""COMPUTED_VALUE"""),"82o 43' 53""")</f>
        <v>82o 43' 53"</v>
      </c>
      <c r="M546" s="2" t="str">
        <f>IFERROR(__xludf.DUMMYFUNCTION("""COMPUTED_VALUE"""),"(Rolpa)")</f>
        <v>(Rolpa)</v>
      </c>
    </row>
    <row r="547">
      <c r="A547" s="2">
        <f>IFERROR(__xludf.DUMMYFUNCTION("""COMPUTED_VALUE"""),546.0)</f>
        <v>546</v>
      </c>
      <c r="B547" s="2" t="str">
        <f>IFERROR(__xludf.DUMMYFUNCTION("""COMPUTED_VALUE"""),"Lungri")</f>
        <v>Lungri</v>
      </c>
      <c r="C547" s="2">
        <f>IFERROR(__xludf.DUMMYFUNCTION("""COMPUTED_VALUE"""),0.975)</f>
        <v>0.975</v>
      </c>
      <c r="D547" s="2" t="str">
        <f>IFERROR(__xludf.DUMMYFUNCTION("""COMPUTED_VALUE"""),"Lungri")</f>
        <v>Lungri</v>
      </c>
      <c r="E547" s="2"/>
      <c r="F547" s="3">
        <f>IFERROR(__xludf.DUMMYFUNCTION("""COMPUTED_VALUE"""),60355.0)</f>
        <v>60355</v>
      </c>
      <c r="G547" s="2" t="str">
        <f>IFERROR(__xludf.DUMMYFUNCTION("""COMPUTED_VALUE"""),"Basanta Karki")</f>
        <v>Basanta Karki</v>
      </c>
      <c r="H547" s="2"/>
      <c r="I547" s="2" t="str">
        <f>IFERROR(__xludf.DUMMYFUNCTION("""COMPUTED_VALUE"""),"28o 19' 14""")</f>
        <v>28o 19' 14"</v>
      </c>
      <c r="J547" s="2" t="str">
        <f>IFERROR(__xludf.DUMMYFUNCTION("""COMPUTED_VALUE"""),"28o 22' 30""")</f>
        <v>28o 22' 30"</v>
      </c>
      <c r="K547" s="2" t="str">
        <f>IFERROR(__xludf.DUMMYFUNCTION("""COMPUTED_VALUE"""),"82o 46' 36""")</f>
        <v>82o 46' 36"</v>
      </c>
      <c r="L547" s="2" t="str">
        <f>IFERROR(__xludf.DUMMYFUNCTION("""COMPUTED_VALUE"""),"82o 49' 00""")</f>
        <v>82o 49' 00"</v>
      </c>
      <c r="M547" s="2" t="str">
        <f>IFERROR(__xludf.DUMMYFUNCTION("""COMPUTED_VALUE"""),"(Rolpa)")</f>
        <v>(Rolpa)</v>
      </c>
    </row>
    <row r="548">
      <c r="A548" s="2">
        <f>IFERROR(__xludf.DUMMYFUNCTION("""COMPUTED_VALUE"""),547.0)</f>
        <v>547</v>
      </c>
      <c r="B548" s="2" t="str">
        <f>IFERROR(__xludf.DUMMYFUNCTION("""COMPUTED_VALUE"""),"Judhun")</f>
        <v>Judhun</v>
      </c>
      <c r="C548" s="2">
        <f>IFERROR(__xludf.DUMMYFUNCTION("""COMPUTED_VALUE"""),0.98)</f>
        <v>0.98</v>
      </c>
      <c r="D548" s="2" t="str">
        <f>IFERROR(__xludf.DUMMYFUNCTION("""COMPUTED_VALUE"""),"Judhun")</f>
        <v>Judhun</v>
      </c>
      <c r="E548" s="2"/>
      <c r="F548" s="3">
        <f>IFERROR(__xludf.DUMMYFUNCTION("""COMPUTED_VALUE"""),60355.0)</f>
        <v>60355</v>
      </c>
      <c r="G548" s="2" t="str">
        <f>IFERROR(__xludf.DUMMYFUNCTION("""COMPUTED_VALUE"""),"Urbashi Malla")</f>
        <v>Urbashi Malla</v>
      </c>
      <c r="H548" s="2"/>
      <c r="I548" s="2" t="str">
        <f>IFERROR(__xludf.DUMMYFUNCTION("""COMPUTED_VALUE"""),"28o 13' 16""")</f>
        <v>28o 13' 16"</v>
      </c>
      <c r="J548" s="2" t="str">
        <f>IFERROR(__xludf.DUMMYFUNCTION("""COMPUTED_VALUE"""),"28o 15' 00""")</f>
        <v>28o 15' 00"</v>
      </c>
      <c r="K548" s="2" t="str">
        <f>IFERROR(__xludf.DUMMYFUNCTION("""COMPUTED_VALUE"""),"82o 43' 52""")</f>
        <v>82o 43' 52"</v>
      </c>
      <c r="L548" s="2" t="str">
        <f>IFERROR(__xludf.DUMMYFUNCTION("""COMPUTED_VALUE"""),"82o 46' 37""")</f>
        <v>82o 46' 37"</v>
      </c>
      <c r="M548" s="2" t="str">
        <f>IFERROR(__xludf.DUMMYFUNCTION("""COMPUTED_VALUE"""),"(Rolpa)")</f>
        <v>(Rolpa)</v>
      </c>
    </row>
    <row r="549">
      <c r="A549" s="2">
        <f>IFERROR(__xludf.DUMMYFUNCTION("""COMPUTED_VALUE"""),548.0)</f>
        <v>548</v>
      </c>
      <c r="B549" s="2" t="str">
        <f>IFERROR(__xludf.DUMMYFUNCTION("""COMPUTED_VALUE"""),"Lungri")</f>
        <v>Lungri</v>
      </c>
      <c r="C549" s="2">
        <f>IFERROR(__xludf.DUMMYFUNCTION("""COMPUTED_VALUE"""),0.997)</f>
        <v>0.997</v>
      </c>
      <c r="D549" s="2" t="str">
        <f>IFERROR(__xludf.DUMMYFUNCTION("""COMPUTED_VALUE"""),"Lungri")</f>
        <v>Lungri</v>
      </c>
      <c r="E549" s="2"/>
      <c r="F549" s="3">
        <f>IFERROR(__xludf.DUMMYFUNCTION("""COMPUTED_VALUE"""),60355.0)</f>
        <v>60355</v>
      </c>
      <c r="G549" s="2" t="str">
        <f>IFERROR(__xludf.DUMMYFUNCTION("""COMPUTED_VALUE"""),"Kabin Dahal")</f>
        <v>Kabin Dahal</v>
      </c>
      <c r="H549" s="2"/>
      <c r="I549" s="2" t="str">
        <f>IFERROR(__xludf.DUMMYFUNCTION("""COMPUTED_VALUE"""),"28o 16' 31""")</f>
        <v>28o 16' 31"</v>
      </c>
      <c r="J549" s="2" t="str">
        <f>IFERROR(__xludf.DUMMYFUNCTION("""COMPUTED_VALUE"""),"28o 19' 14""")</f>
        <v>28o 19' 14"</v>
      </c>
      <c r="K549" s="2" t="str">
        <f>IFERROR(__xludf.DUMMYFUNCTION("""COMPUTED_VALUE"""),"82o 45' 23""")</f>
        <v>82o 45' 23"</v>
      </c>
      <c r="L549" s="2" t="str">
        <f>IFERROR(__xludf.DUMMYFUNCTION("""COMPUTED_VALUE"""),"82o 46' 36""")</f>
        <v>82o 46' 36"</v>
      </c>
      <c r="M549" s="2" t="str">
        <f>IFERROR(__xludf.DUMMYFUNCTION("""COMPUTED_VALUE"""),"(Rolpa)")</f>
        <v>(Rolpa)</v>
      </c>
    </row>
    <row r="550">
      <c r="A550" s="2">
        <f>IFERROR(__xludf.DUMMYFUNCTION("""COMPUTED_VALUE"""),549.0)</f>
        <v>549</v>
      </c>
      <c r="B550" s="2" t="str">
        <f>IFERROR(__xludf.DUMMYFUNCTION("""COMPUTED_VALUE"""),"Tinker Khola")</f>
        <v>Tinker Khola</v>
      </c>
      <c r="C550" s="2">
        <f>IFERROR(__xludf.DUMMYFUNCTION("""COMPUTED_VALUE"""),10.0)</f>
        <v>10</v>
      </c>
      <c r="D550" s="2" t="str">
        <f>IFERROR(__xludf.DUMMYFUNCTION("""COMPUTED_VALUE"""),"Tinker")</f>
        <v>Tinker</v>
      </c>
      <c r="E550" s="2"/>
      <c r="F550" s="3">
        <f>IFERROR(__xludf.DUMMYFUNCTION("""COMPUTED_VALUE"""),60356.0)</f>
        <v>60356</v>
      </c>
      <c r="G550" s="2" t="str">
        <f>IFERROR(__xludf.DUMMYFUNCTION("""COMPUTED_VALUE"""),"IL&amp;FS Nepal Infrastructure Deevelopment Company")</f>
        <v>IL&amp;FS Nepal Infrastructure Deevelopment Company</v>
      </c>
      <c r="H550" s="2" t="str">
        <f>IFERROR(__xludf.DUMMYFUNCTION("""COMPUTED_VALUE"""),"Balkhu -14 , Tekusi, Kathmandu")</f>
        <v>Balkhu -14 , Tekusi, Kathmandu</v>
      </c>
      <c r="I550" s="2" t="str">
        <f>IFERROR(__xludf.DUMMYFUNCTION("""COMPUTED_VALUE"""),"30o 06' 45""")</f>
        <v>30o 06' 45"</v>
      </c>
      <c r="J550" s="2" t="str">
        <f>IFERROR(__xludf.DUMMYFUNCTION("""COMPUTED_VALUE"""),"30o 07' 05""")</f>
        <v>30o 07' 05"</v>
      </c>
      <c r="K550" s="2" t="str">
        <f>IFERROR(__xludf.DUMMYFUNCTION("""COMPUTED_VALUE"""),"80o 51' 49""")</f>
        <v>80o 51' 49"</v>
      </c>
      <c r="L550" s="2" t="str">
        <f>IFERROR(__xludf.DUMMYFUNCTION("""COMPUTED_VALUE"""),"80o 54' 20""")</f>
        <v>80o 54' 20"</v>
      </c>
      <c r="M550" s="2" t="str">
        <f>IFERROR(__xludf.DUMMYFUNCTION("""COMPUTED_VALUE"""),"(Darchula)")</f>
        <v>(Darchula)</v>
      </c>
    </row>
    <row r="551">
      <c r="A551" s="2">
        <f>IFERROR(__xludf.DUMMYFUNCTION("""COMPUTED_VALUE"""),550.0)</f>
        <v>550</v>
      </c>
      <c r="B551" s="2" t="str">
        <f>IFERROR(__xludf.DUMMYFUNCTION("""COMPUTED_VALUE"""),"Rahagad S")</f>
        <v>Rahagad S</v>
      </c>
      <c r="C551" s="2">
        <f>IFERROR(__xludf.DUMMYFUNCTION("""COMPUTED_VALUE"""),6.0)</f>
        <v>6</v>
      </c>
      <c r="D551" s="2" t="str">
        <f>IFERROR(__xludf.DUMMYFUNCTION("""COMPUTED_VALUE"""),"Rahagad")</f>
        <v>Rahagad</v>
      </c>
      <c r="E551" s="2"/>
      <c r="F551" s="3">
        <f>IFERROR(__xludf.DUMMYFUNCTION("""COMPUTED_VALUE"""),60356.0)</f>
        <v>60356</v>
      </c>
      <c r="G551" s="2" t="str">
        <f>IFERROR(__xludf.DUMMYFUNCTION("""COMPUTED_VALUE"""),"Rupa Bhattarai, Anita Dahal, Madhu Karki, Binita Shrestha")</f>
        <v>Rupa Bhattarai, Anita Dahal, Madhu Karki, Binita Shrestha</v>
      </c>
      <c r="H551" s="2"/>
      <c r="I551" s="2" t="str">
        <f>IFERROR(__xludf.DUMMYFUNCTION("""COMPUTED_VALUE"""),"29o 05' 45""")</f>
        <v>29o 05' 45"</v>
      </c>
      <c r="J551" s="2" t="str">
        <f>IFERROR(__xludf.DUMMYFUNCTION("""COMPUTED_VALUE"""),"29o 06' 46""")</f>
        <v>29o 06' 46"</v>
      </c>
      <c r="K551" s="2" t="str">
        <f>IFERROR(__xludf.DUMMYFUNCTION("""COMPUTED_VALUE"""),"87o 44' 37""")</f>
        <v>87o 44' 37"</v>
      </c>
      <c r="L551" s="2" t="str">
        <f>IFERROR(__xludf.DUMMYFUNCTION("""COMPUTED_VALUE"""),"87o 45' 41""")</f>
        <v>87o 45' 41"</v>
      </c>
      <c r="M551" s="2" t="str">
        <f>IFERROR(__xludf.DUMMYFUNCTION("""COMPUTED_VALUE"""),"(Kalikot)")</f>
        <v>(Kalikot)</v>
      </c>
    </row>
    <row r="552">
      <c r="A552" s="2">
        <f>IFERROR(__xludf.DUMMYFUNCTION("""COMPUTED_VALUE"""),551.0)</f>
        <v>551</v>
      </c>
      <c r="B552" s="2" t="str">
        <f>IFERROR(__xludf.DUMMYFUNCTION("""COMPUTED_VALUE"""),"Tampakhola")</f>
        <v>Tampakhola</v>
      </c>
      <c r="C552" s="2">
        <f>IFERROR(__xludf.DUMMYFUNCTION("""COMPUTED_VALUE"""),16.0)</f>
        <v>16</v>
      </c>
      <c r="D552" s="2" t="str">
        <f>IFERROR(__xludf.DUMMYFUNCTION("""COMPUTED_VALUE"""),"Tampa")</f>
        <v>Tampa</v>
      </c>
      <c r="E552" s="2"/>
      <c r="F552" s="3">
        <f>IFERROR(__xludf.DUMMYFUNCTION("""COMPUTED_VALUE"""),60356.0)</f>
        <v>60356</v>
      </c>
      <c r="G552" s="2" t="str">
        <f>IFERROR(__xludf.DUMMYFUNCTION("""COMPUTED_VALUE"""),"IL&amp;FS Nepal Infrastructure Development Company")</f>
        <v>IL&amp;FS Nepal Infrastructure Development Company</v>
      </c>
      <c r="H552" s="2" t="str">
        <f>IFERROR(__xludf.DUMMYFUNCTION("""COMPUTED_VALUE"""),"Balkhu -14 , Tekusi, Kathmandu")</f>
        <v>Balkhu -14 , Tekusi, Kathmandu</v>
      </c>
      <c r="I552" s="2" t="str">
        <f>IFERROR(__xludf.DUMMYFUNCTION("""COMPUTED_VALUE"""),"30o 00' 00""")</f>
        <v>30o 00' 00"</v>
      </c>
      <c r="J552" s="2" t="str">
        <f>IFERROR(__xludf.DUMMYFUNCTION("""COMPUTED_VALUE"""),"30o 02' 11""")</f>
        <v>30o 02' 11"</v>
      </c>
      <c r="K552" s="2" t="str">
        <f>IFERROR(__xludf.DUMMYFUNCTION("""COMPUTED_VALUE"""),"80o 45' 00""")</f>
        <v>80o 45' 00"</v>
      </c>
      <c r="L552" s="2" t="str">
        <f>IFERROR(__xludf.DUMMYFUNCTION("""COMPUTED_VALUE"""),"80o 50' 00""")</f>
        <v>80o 50' 00"</v>
      </c>
      <c r="M552" s="2" t="str">
        <f>IFERROR(__xludf.DUMMYFUNCTION("""COMPUTED_VALUE"""),"(Darchula)")</f>
        <v>(Darchula)</v>
      </c>
    </row>
    <row r="553">
      <c r="A553" s="2">
        <f>IFERROR(__xludf.DUMMYFUNCTION("""COMPUTED_VALUE"""),552.0)</f>
        <v>552</v>
      </c>
      <c r="B553" s="2" t="str">
        <f>IFERROR(__xludf.DUMMYFUNCTION("""COMPUTED_VALUE"""),"Mai")</f>
        <v>Mai</v>
      </c>
      <c r="C553" s="2">
        <f>IFERROR(__xludf.DUMMYFUNCTION("""COMPUTED_VALUE"""),0.9)</f>
        <v>0.9</v>
      </c>
      <c r="D553" s="2" t="str">
        <f>IFERROR(__xludf.DUMMYFUNCTION("""COMPUTED_VALUE"""),"Mai Khola")</f>
        <v>Mai Khola</v>
      </c>
      <c r="E553" s="2"/>
      <c r="F553" s="3">
        <f>IFERROR(__xludf.DUMMYFUNCTION("""COMPUTED_VALUE"""),60356.0)</f>
        <v>60356</v>
      </c>
      <c r="G553" s="2" t="str">
        <f>IFERROR(__xludf.DUMMYFUNCTION("""COMPUTED_VALUE"""),"Raj Kumar Lama")</f>
        <v>Raj Kumar Lama</v>
      </c>
      <c r="H553" s="2"/>
      <c r="I553" s="2" t="str">
        <f>IFERROR(__xludf.DUMMYFUNCTION("""COMPUTED_VALUE"""),"26o 59' 14""")</f>
        <v>26o 59' 14"</v>
      </c>
      <c r="J553" s="2" t="str">
        <f>IFERROR(__xludf.DUMMYFUNCTION("""COMPUTED_VALUE"""),"27o 00' 34""")</f>
        <v>27o 00' 34"</v>
      </c>
      <c r="K553" s="2" t="str">
        <f>IFERROR(__xludf.DUMMYFUNCTION("""COMPUTED_VALUE"""),"87o 57' 30""")</f>
        <v>87o 57' 30"</v>
      </c>
      <c r="L553" s="2" t="str">
        <f>IFERROR(__xludf.DUMMYFUNCTION("""COMPUTED_VALUE"""),"87o 58' 39""")</f>
        <v>87o 58' 39"</v>
      </c>
      <c r="M553" s="2" t="str">
        <f>IFERROR(__xludf.DUMMYFUNCTION("""COMPUTED_VALUE"""),"(Ilam)")</f>
        <v>(Ilam)</v>
      </c>
    </row>
    <row r="554">
      <c r="A554" s="2">
        <f>IFERROR(__xludf.DUMMYFUNCTION("""COMPUTED_VALUE"""),553.0)</f>
        <v>553</v>
      </c>
      <c r="B554" s="2" t="str">
        <f>IFERROR(__xludf.DUMMYFUNCTION("""COMPUTED_VALUE"""),"Myagdi- 2")</f>
        <v>Myagdi- 2</v>
      </c>
      <c r="C554" s="2">
        <f>IFERROR(__xludf.DUMMYFUNCTION("""COMPUTED_VALUE"""),27.0)</f>
        <v>27</v>
      </c>
      <c r="D554" s="2" t="str">
        <f>IFERROR(__xludf.DUMMYFUNCTION("""COMPUTED_VALUE"""),"Myagdi Khola")</f>
        <v>Myagdi Khola</v>
      </c>
      <c r="E554" s="2"/>
      <c r="F554" s="3">
        <f>IFERROR(__xludf.DUMMYFUNCTION("""COMPUTED_VALUE"""),60356.0)</f>
        <v>60356</v>
      </c>
      <c r="G554" s="2" t="str">
        <f>IFERROR(__xludf.DUMMYFUNCTION("""COMPUTED_VALUE"""),"IL&amp;FS Nepal Infrastructure Development Company")</f>
        <v>IL&amp;FS Nepal Infrastructure Development Company</v>
      </c>
      <c r="H554" s="2" t="str">
        <f>IFERROR(__xludf.DUMMYFUNCTION("""COMPUTED_VALUE"""),"Balkhu -14 , Tekusi, Kathmandu")</f>
        <v>Balkhu -14 , Tekusi, Kathmandu</v>
      </c>
      <c r="I554" s="2" t="str">
        <f>IFERROR(__xludf.DUMMYFUNCTION("""COMPUTED_VALUE"""),"28o 24' 08""")</f>
        <v>28o 24' 08"</v>
      </c>
      <c r="J554" s="2" t="str">
        <f>IFERROR(__xludf.DUMMYFUNCTION("""COMPUTED_VALUE"""),"28o 27' 55""")</f>
        <v>28o 27' 55"</v>
      </c>
      <c r="K554" s="2" t="str">
        <f>IFERROR(__xludf.DUMMYFUNCTION("""COMPUTED_VALUE"""),"83o 22' 30""")</f>
        <v>83o 22' 30"</v>
      </c>
      <c r="L554" s="2" t="str">
        <f>IFERROR(__xludf.DUMMYFUNCTION("""COMPUTED_VALUE"""),"83o 24' 27""")</f>
        <v>83o 24' 27"</v>
      </c>
      <c r="M554" s="2" t="str">
        <f>IFERROR(__xludf.DUMMYFUNCTION("""COMPUTED_VALUE"""),"(Myagdi)")</f>
        <v>(Myagdi)</v>
      </c>
    </row>
    <row r="555">
      <c r="A555" s="2">
        <f>IFERROR(__xludf.DUMMYFUNCTION("""COMPUTED_VALUE"""),554.0)</f>
        <v>554</v>
      </c>
      <c r="B555" s="2" t="str">
        <f>IFERROR(__xludf.DUMMYFUNCTION("""COMPUTED_VALUE"""),"Khorunga")</f>
        <v>Khorunga</v>
      </c>
      <c r="C555" s="2">
        <f>IFERROR(__xludf.DUMMYFUNCTION("""COMPUTED_VALUE"""),0.999)</f>
        <v>0.999</v>
      </c>
      <c r="D555" s="2" t="str">
        <f>IFERROR(__xludf.DUMMYFUNCTION("""COMPUTED_VALUE"""),"Khoranga Khola")</f>
        <v>Khoranga Khola</v>
      </c>
      <c r="E555" s="2"/>
      <c r="F555" s="3">
        <f>IFERROR(__xludf.DUMMYFUNCTION("""COMPUTED_VALUE"""),60356.0)</f>
        <v>60356</v>
      </c>
      <c r="G555" s="2" t="str">
        <f>IFERROR(__xludf.DUMMYFUNCTION("""COMPUTED_VALUE"""),"Singha Bahini Bidhyut P. Ltd.")</f>
        <v>Singha Bahini Bidhyut P. Ltd.</v>
      </c>
      <c r="H555" s="2"/>
      <c r="I555" s="2" t="str">
        <f>IFERROR(__xludf.DUMMYFUNCTION("""COMPUTED_VALUE"""),"27o 06' 30""")</f>
        <v>27o 06' 30"</v>
      </c>
      <c r="J555" s="2" t="str">
        <f>IFERROR(__xludf.DUMMYFUNCTION("""COMPUTED_VALUE"""),"27o 07' 30""")</f>
        <v>27o 07' 30"</v>
      </c>
      <c r="K555" s="2" t="str">
        <f>IFERROR(__xludf.DUMMYFUNCTION("""COMPUTED_VALUE"""),"87o 34' 00""")</f>
        <v>87o 34' 00"</v>
      </c>
      <c r="L555" s="2" t="str">
        <f>IFERROR(__xludf.DUMMYFUNCTION("""COMPUTED_VALUE"""),"87o 35' 30""")</f>
        <v>87o 35' 30"</v>
      </c>
      <c r="M555" s="2" t="str">
        <f>IFERROR(__xludf.DUMMYFUNCTION("""COMPUTED_VALUE"""),"(Terhathum)")</f>
        <v>(Terhathum)</v>
      </c>
    </row>
    <row r="556">
      <c r="A556" s="2">
        <f>IFERROR(__xludf.DUMMYFUNCTION("""COMPUTED_VALUE"""),555.0)</f>
        <v>555</v>
      </c>
      <c r="B556" s="2" t="str">
        <f>IFERROR(__xludf.DUMMYFUNCTION("""COMPUTED_VALUE"""),"RathiKhola")</f>
        <v>RathiKhola</v>
      </c>
      <c r="C556" s="2">
        <f>IFERROR(__xludf.DUMMYFUNCTION("""COMPUTED_VALUE"""),8.0)</f>
        <v>8</v>
      </c>
      <c r="D556" s="2" t="str">
        <f>IFERROR(__xludf.DUMMYFUNCTION("""COMPUTED_VALUE"""),"Rathi")</f>
        <v>Rathi</v>
      </c>
      <c r="E556" s="2"/>
      <c r="F556" s="3">
        <f>IFERROR(__xludf.DUMMYFUNCTION("""COMPUTED_VALUE"""),60356.0)</f>
        <v>60356</v>
      </c>
      <c r="G556" s="2" t="str">
        <f>IFERROR(__xludf.DUMMYFUNCTION("""COMPUTED_VALUE"""),"IL&amp;FS Nepal Infrastructure Deevelopment Company")</f>
        <v>IL&amp;FS Nepal Infrastructure Deevelopment Company</v>
      </c>
      <c r="H556" s="2" t="str">
        <f>IFERROR(__xludf.DUMMYFUNCTION("""COMPUTED_VALUE"""),"Balkhu -14 , Tekusi, Kathmandu")</f>
        <v>Balkhu -14 , Tekusi, Kathmandu</v>
      </c>
      <c r="I556" s="2" t="str">
        <f>IFERROR(__xludf.DUMMYFUNCTION("""COMPUTED_VALUE"""),"29o 55' 00""")</f>
        <v>29o 55' 00"</v>
      </c>
      <c r="J556" s="2" t="str">
        <f>IFERROR(__xludf.DUMMYFUNCTION("""COMPUTED_VALUE"""),"29o 57' 50""")</f>
        <v>29o 57' 50"</v>
      </c>
      <c r="K556" s="2" t="str">
        <f>IFERROR(__xludf.DUMMYFUNCTION("""COMPUTED_VALUE"""),"80o 39' 30""")</f>
        <v>80o 39' 30"</v>
      </c>
      <c r="L556" s="2" t="str">
        <f>IFERROR(__xludf.DUMMYFUNCTION("""COMPUTED_VALUE"""),"80o 41' 00""")</f>
        <v>80o 41' 00"</v>
      </c>
      <c r="M556" s="2" t="str">
        <f>IFERROR(__xludf.DUMMYFUNCTION("""COMPUTED_VALUE"""),"(Darchula)")</f>
        <v>(Darchula)</v>
      </c>
    </row>
    <row r="557">
      <c r="A557" s="2">
        <f>IFERROR(__xludf.DUMMYFUNCTION("""COMPUTED_VALUE"""),556.0)</f>
        <v>556</v>
      </c>
      <c r="B557" s="2" t="str">
        <f>IFERROR(__xludf.DUMMYFUNCTION("""COMPUTED_VALUE"""),"Phatankhola")</f>
        <v>Phatankhola</v>
      </c>
      <c r="C557" s="2">
        <f>IFERROR(__xludf.DUMMYFUNCTION("""COMPUTED_VALUE"""),12.0)</f>
        <v>12</v>
      </c>
      <c r="D557" s="2" t="str">
        <f>IFERROR(__xludf.DUMMYFUNCTION("""COMPUTED_VALUE"""),"Phatan")</f>
        <v>Phatan</v>
      </c>
      <c r="E557" s="2"/>
      <c r="F557" s="3">
        <f>IFERROR(__xludf.DUMMYFUNCTION("""COMPUTED_VALUE"""),60356.0)</f>
        <v>60356</v>
      </c>
      <c r="G557" s="2" t="str">
        <f>IFERROR(__xludf.DUMMYFUNCTION("""COMPUTED_VALUE"""),"IL&amp;FS Nepal Infrastructure Development Company")</f>
        <v>IL&amp;FS Nepal Infrastructure Development Company</v>
      </c>
      <c r="H557" s="2" t="str">
        <f>IFERROR(__xludf.DUMMYFUNCTION("""COMPUTED_VALUE"""),"Balkhu -14 , Tekusi, Kathmandu")</f>
        <v>Balkhu -14 , Tekusi, Kathmandu</v>
      </c>
      <c r="I557" s="2" t="str">
        <f>IFERROR(__xludf.DUMMYFUNCTION("""COMPUTED_VALUE"""),"29o 56' 28""")</f>
        <v>29o 56' 28"</v>
      </c>
      <c r="J557" s="2" t="str">
        <f>IFERROR(__xludf.DUMMYFUNCTION("""COMPUTED_VALUE"""),"29o 58' 40""")</f>
        <v>29o 58' 40"</v>
      </c>
      <c r="K557" s="2" t="str">
        <f>IFERROR(__xludf.DUMMYFUNCTION("""COMPUTED_VALUE"""),"80o 40' 58""")</f>
        <v>80o 40' 58"</v>
      </c>
      <c r="L557" s="2" t="str">
        <f>IFERROR(__xludf.DUMMYFUNCTION("""COMPUTED_VALUE"""),"80o 42' 35""")</f>
        <v>80o 42' 35"</v>
      </c>
      <c r="M557" s="2" t="str">
        <f>IFERROR(__xludf.DUMMYFUNCTION("""COMPUTED_VALUE"""),"(Darchula)")</f>
        <v>(Darchula)</v>
      </c>
    </row>
    <row r="558">
      <c r="A558" s="2">
        <f>IFERROR(__xludf.DUMMYFUNCTION("""COMPUTED_VALUE"""),557.0)</f>
        <v>557</v>
      </c>
      <c r="B558" s="2" t="str">
        <f>IFERROR(__xludf.DUMMYFUNCTION("""COMPUTED_VALUE"""),"Tamorkhola")</f>
        <v>Tamorkhola</v>
      </c>
      <c r="C558" s="2">
        <f>IFERROR(__xludf.DUMMYFUNCTION("""COMPUTED_VALUE"""),500.0)</f>
        <v>500</v>
      </c>
      <c r="D558" s="2" t="str">
        <f>IFERROR(__xludf.DUMMYFUNCTION("""COMPUTED_VALUE"""),"Tamor")</f>
        <v>Tamor</v>
      </c>
      <c r="E558" s="2"/>
      <c r="F558" s="3">
        <f>IFERROR(__xludf.DUMMYFUNCTION("""COMPUTED_VALUE"""),60356.0)</f>
        <v>60356</v>
      </c>
      <c r="G558" s="2" t="str">
        <f>IFERROR(__xludf.DUMMYFUNCTION("""COMPUTED_VALUE"""),"Hillsdale Group Inc")</f>
        <v>Hillsdale Group Inc</v>
      </c>
      <c r="H558" s="2" t="str">
        <f>IFERROR(__xludf.DUMMYFUNCTION("""COMPUTED_VALUE"""),"415 Alfred Street, Alexandria, VA 22314, USA Ph: (703) 489-5437")</f>
        <v>415 Alfred Street, Alexandria, VA 22314, USA Ph: (703) 489-5437</v>
      </c>
      <c r="I558" s="2" t="str">
        <f>IFERROR(__xludf.DUMMYFUNCTION("""COMPUTED_VALUE"""),"26o 58' 13""")</f>
        <v>26o 58' 13"</v>
      </c>
      <c r="J558" s="2" t="str">
        <f>IFERROR(__xludf.DUMMYFUNCTION("""COMPUTED_VALUE"""),"27o 00' 00""")</f>
        <v>27o 00' 00"</v>
      </c>
      <c r="K558" s="2" t="str">
        <f>IFERROR(__xludf.DUMMYFUNCTION("""COMPUTED_VALUE"""),"87o 29' 05""")</f>
        <v>87o 29' 05"</v>
      </c>
      <c r="L558" s="2" t="str">
        <f>IFERROR(__xludf.DUMMYFUNCTION("""COMPUTED_VALUE"""),"87o 30' 48""")</f>
        <v>87o 30' 48"</v>
      </c>
      <c r="M558" s="2" t="str">
        <f>IFERROR(__xludf.DUMMYFUNCTION("""COMPUTED_VALUE"""),"(Panchthar)")</f>
        <v>(Panchthar)</v>
      </c>
    </row>
    <row r="559">
      <c r="A559" s="2">
        <f>IFERROR(__xludf.DUMMYFUNCTION("""COMPUTED_VALUE"""),558.0)</f>
        <v>558</v>
      </c>
      <c r="B559" s="2" t="str">
        <f>IFERROR(__xludf.DUMMYFUNCTION("""COMPUTED_VALUE"""),"Marankhola")</f>
        <v>Marankhola</v>
      </c>
      <c r="C559" s="2">
        <f>IFERROR(__xludf.DUMMYFUNCTION("""COMPUTED_VALUE"""),2.7)</f>
        <v>2.7</v>
      </c>
      <c r="D559" s="2" t="str">
        <f>IFERROR(__xludf.DUMMYFUNCTION("""COMPUTED_VALUE"""),"Maran")</f>
        <v>Maran</v>
      </c>
      <c r="E559" s="2"/>
      <c r="F559" s="3">
        <f>IFERROR(__xludf.DUMMYFUNCTION("""COMPUTED_VALUE"""),60356.0)</f>
        <v>60356</v>
      </c>
      <c r="G559" s="2" t="str">
        <f>IFERROR(__xludf.DUMMYFUNCTION("""COMPUTED_VALUE"""),"IL&amp;FS Nepal Infrastructure Development Company")</f>
        <v>IL&amp;FS Nepal Infrastructure Development Company</v>
      </c>
      <c r="H559" s="2" t="str">
        <f>IFERROR(__xludf.DUMMYFUNCTION("""COMPUTED_VALUE"""),"Balkhu -14 , Tekusi, Kathmandu")</f>
        <v>Balkhu -14 , Tekusi, Kathmandu</v>
      </c>
      <c r="I559" s="2" t="str">
        <f>IFERROR(__xludf.DUMMYFUNCTION("""COMPUTED_VALUE"""),"28o 27' 15""")</f>
        <v>28o 27' 15"</v>
      </c>
      <c r="J559" s="2" t="str">
        <f>IFERROR(__xludf.DUMMYFUNCTION("""COMPUTED_VALUE"""),"28o 30' 00""")</f>
        <v>28o 30' 00"</v>
      </c>
      <c r="K559" s="2" t="str">
        <f>IFERROR(__xludf.DUMMYFUNCTION("""COMPUTED_VALUE"""),"83o 22' 50""")</f>
        <v>83o 22' 50"</v>
      </c>
      <c r="L559" s="2" t="str">
        <f>IFERROR(__xludf.DUMMYFUNCTION("""COMPUTED_VALUE"""),"83o 25' 00""")</f>
        <v>83o 25' 00"</v>
      </c>
      <c r="M559" s="2" t="str">
        <f>IFERROR(__xludf.DUMMYFUNCTION("""COMPUTED_VALUE"""),"(Myagdi)")</f>
        <v>(Myagdi)</v>
      </c>
    </row>
    <row r="560">
      <c r="A560" s="2">
        <f>IFERROR(__xludf.DUMMYFUNCTION("""COMPUTED_VALUE"""),559.0)</f>
        <v>559</v>
      </c>
      <c r="B560" s="2" t="str">
        <f>IFERROR(__xludf.DUMMYFUNCTION("""COMPUTED_VALUE"""),"Syan")</f>
        <v>Syan</v>
      </c>
      <c r="C560" s="2">
        <f>IFERROR(__xludf.DUMMYFUNCTION("""COMPUTED_VALUE"""),0.9)</f>
        <v>0.9</v>
      </c>
      <c r="D560" s="2" t="str">
        <f>IFERROR(__xludf.DUMMYFUNCTION("""COMPUTED_VALUE"""),"Syan")</f>
        <v>Syan</v>
      </c>
      <c r="E560" s="2"/>
      <c r="F560" s="3">
        <f>IFERROR(__xludf.DUMMYFUNCTION("""COMPUTED_VALUE"""),60356.0)</f>
        <v>60356</v>
      </c>
      <c r="G560" s="2" t="str">
        <f>IFERROR(__xludf.DUMMYFUNCTION("""COMPUTED_VALUE"""),"Hydro Support P. Ltd.")</f>
        <v>Hydro Support P. Ltd.</v>
      </c>
      <c r="H560" s="2"/>
      <c r="I560" s="2" t="str">
        <f>IFERROR(__xludf.DUMMYFUNCTION("""COMPUTED_VALUE"""),"28o 45' 00""")</f>
        <v>28o 45' 00"</v>
      </c>
      <c r="J560" s="2" t="str">
        <f>IFERROR(__xludf.DUMMYFUNCTION("""COMPUTED_VALUE"""),"28o 48' 05""")</f>
        <v>28o 48' 05"</v>
      </c>
      <c r="K560" s="2" t="str">
        <f>IFERROR(__xludf.DUMMYFUNCTION("""COMPUTED_VALUE"""),"83o 40' 00""")</f>
        <v>83o 40' 00"</v>
      </c>
      <c r="L560" s="2" t="str">
        <f>IFERROR(__xludf.DUMMYFUNCTION("""COMPUTED_VALUE"""),"83o 42' 47""")</f>
        <v>83o 42' 47"</v>
      </c>
      <c r="M560" s="2" t="str">
        <f>IFERROR(__xludf.DUMMYFUNCTION("""COMPUTED_VALUE"""),"(Mustang)")</f>
        <v>(Mustang)</v>
      </c>
    </row>
    <row r="561">
      <c r="A561" s="2">
        <f>IFERROR(__xludf.DUMMYFUNCTION("""COMPUTED_VALUE"""),560.0)</f>
        <v>560</v>
      </c>
      <c r="B561" s="2" t="str">
        <f>IFERROR(__xludf.DUMMYFUNCTION("""COMPUTED_VALUE"""),"Naigad Sanibheri")</f>
        <v>Naigad Sanibheri</v>
      </c>
      <c r="C561" s="2">
        <f>IFERROR(__xludf.DUMMYFUNCTION("""COMPUTED_VALUE"""),20.16)</f>
        <v>20.16</v>
      </c>
      <c r="D561" s="2" t="str">
        <f>IFERROR(__xludf.DUMMYFUNCTION("""COMPUTED_VALUE"""),"Sani Bheri")</f>
        <v>Sani Bheri</v>
      </c>
      <c r="E561" s="2"/>
      <c r="F561" s="3">
        <f>IFERROR(__xludf.DUMMYFUNCTION("""COMPUTED_VALUE"""),60358.0)</f>
        <v>60358</v>
      </c>
      <c r="G561" s="2" t="str">
        <f>IFERROR(__xludf.DUMMYFUNCTION("""COMPUTED_VALUE"""),"Bishnu Ghartimagar")</f>
        <v>Bishnu Ghartimagar</v>
      </c>
      <c r="H561" s="2" t="str">
        <f>IFERROR(__xludf.DUMMYFUNCTION("""COMPUTED_VALUE"""),"Satdobato, Lalitpur Tel : 5522884")</f>
        <v>Satdobato, Lalitpur Tel : 5522884</v>
      </c>
      <c r="I561" s="2" t="str">
        <f>IFERROR(__xludf.DUMMYFUNCTION("""COMPUTED_VALUE"""),"28o 39' 35""")</f>
        <v>28o 39' 35"</v>
      </c>
      <c r="J561" s="2" t="str">
        <f>IFERROR(__xludf.DUMMYFUNCTION("""COMPUTED_VALUE"""),"28o 40' 35""")</f>
        <v>28o 40' 35"</v>
      </c>
      <c r="K561" s="2" t="str">
        <f>IFERROR(__xludf.DUMMYFUNCTION("""COMPUTED_VALUE"""),"82o 38' 53""")</f>
        <v>82o 38' 53"</v>
      </c>
      <c r="L561" s="2" t="str">
        <f>IFERROR(__xludf.DUMMYFUNCTION("""COMPUTED_VALUE"""),"82o 38' 53""")</f>
        <v>82o 38' 53"</v>
      </c>
      <c r="M561" s="2" t="str">
        <f>IFERROR(__xludf.DUMMYFUNCTION("""COMPUTED_VALUE"""),"(Rukum)")</f>
        <v>(Rukum)</v>
      </c>
    </row>
    <row r="562">
      <c r="A562" s="2">
        <f>IFERROR(__xludf.DUMMYFUNCTION("""COMPUTED_VALUE"""),561.0)</f>
        <v>561</v>
      </c>
      <c r="B562" s="2" t="str">
        <f>IFERROR(__xludf.DUMMYFUNCTION("""COMPUTED_VALUE"""),"Jum Khola")</f>
        <v>Jum Khola</v>
      </c>
      <c r="C562" s="2">
        <f>IFERROR(__xludf.DUMMYFUNCTION("""COMPUTED_VALUE"""),4.2)</f>
        <v>4.2</v>
      </c>
      <c r="D562" s="2" t="str">
        <f>IFERROR(__xludf.DUMMYFUNCTION("""COMPUTED_VALUE"""),"Jum")</f>
        <v>Jum</v>
      </c>
      <c r="E562" s="2"/>
      <c r="F562" s="3">
        <f>IFERROR(__xludf.DUMMYFUNCTION("""COMPUTED_VALUE"""),60358.0)</f>
        <v>60358</v>
      </c>
      <c r="G562" s="2" t="str">
        <f>IFERROR(__xludf.DUMMYFUNCTION("""COMPUTED_VALUE"""),"Hari Shankar Shrestha")</f>
        <v>Hari Shankar Shrestha</v>
      </c>
      <c r="H562" s="2"/>
      <c r="I562" s="2" t="str">
        <f>IFERROR(__xludf.DUMMYFUNCTION("""COMPUTED_VALUE"""),"27o 56' 16""")</f>
        <v>27o 56' 16"</v>
      </c>
      <c r="J562" s="2" t="str">
        <f>IFERROR(__xludf.DUMMYFUNCTION("""COMPUTED_VALUE"""),"27o 58' 23""")</f>
        <v>27o 58' 23"</v>
      </c>
      <c r="K562" s="2" t="str">
        <f>IFERROR(__xludf.DUMMYFUNCTION("""COMPUTED_VALUE"""),"86o 12' 47""")</f>
        <v>86o 12' 47"</v>
      </c>
      <c r="L562" s="2" t="str">
        <f>IFERROR(__xludf.DUMMYFUNCTION("""COMPUTED_VALUE"""),"86o 15' 00""")</f>
        <v>86o 15' 00"</v>
      </c>
      <c r="M562" s="2" t="str">
        <f>IFERROR(__xludf.DUMMYFUNCTION("""COMPUTED_VALUE"""),"(Dolakha)")</f>
        <v>(Dolakha)</v>
      </c>
    </row>
    <row r="563">
      <c r="A563" s="2">
        <f>IFERROR(__xludf.DUMMYFUNCTION("""COMPUTED_VALUE"""),562.0)</f>
        <v>562</v>
      </c>
      <c r="B563" s="2" t="str">
        <f>IFERROR(__xludf.DUMMYFUNCTION("""COMPUTED_VALUE"""),"Bhrundi Khola SHP")</f>
        <v>Bhrundi Khola SHP</v>
      </c>
      <c r="C563" s="2">
        <f>IFERROR(__xludf.DUMMYFUNCTION("""COMPUTED_VALUE"""),500.0)</f>
        <v>500</v>
      </c>
      <c r="D563" s="2" t="str">
        <f>IFERROR(__xludf.DUMMYFUNCTION("""COMPUTED_VALUE"""),"Bhurundi Khola")</f>
        <v>Bhurundi Khola</v>
      </c>
      <c r="E563" s="2">
        <f>IFERROR(__xludf.DUMMYFUNCTION("""COMPUTED_VALUE"""),7.0)</f>
        <v>7</v>
      </c>
      <c r="F563" s="3">
        <f>IFERROR(__xludf.DUMMYFUNCTION("""COMPUTED_VALUE"""),60358.0)</f>
        <v>60358</v>
      </c>
      <c r="G563" s="2" t="str">
        <f>IFERROR(__xludf.DUMMYFUNCTION("""COMPUTED_VALUE"""),"Shakhar Raj Upreti")</f>
        <v>Shakhar Raj Upreti</v>
      </c>
      <c r="H563" s="2" t="str">
        <f>IFERROR(__xludf.DUMMYFUNCTION("""COMPUTED_VALUE"""),"Battisputali-9, Kathmandu")</f>
        <v>Battisputali-9, Kathmandu</v>
      </c>
      <c r="I563" s="2" t="str">
        <f>IFERROR(__xludf.DUMMYFUNCTION("""COMPUTED_VALUE"""),"28o 19' 32""")</f>
        <v>28o 19' 32"</v>
      </c>
      <c r="J563" s="2" t="str">
        <f>IFERROR(__xludf.DUMMYFUNCTION("""COMPUTED_VALUE"""),"28o 22' 09""")</f>
        <v>28o 22' 09"</v>
      </c>
      <c r="K563" s="2" t="str">
        <f>IFERROR(__xludf.DUMMYFUNCTION("""COMPUTED_VALUE"""),"83o 43' 27""")</f>
        <v>83o 43' 27"</v>
      </c>
      <c r="L563" s="2" t="str">
        <f>IFERROR(__xludf.DUMMYFUNCTION("""COMPUTED_VALUE"""),"83o 45' 00""")</f>
        <v>83o 45' 00"</v>
      </c>
      <c r="M563" s="2" t="str">
        <f>IFERROR(__xludf.DUMMYFUNCTION("""COMPUTED_VALUE"""),"Dangsing (Kaski)")</f>
        <v>Dangsing (Kaski)</v>
      </c>
    </row>
    <row r="564">
      <c r="A564" s="2">
        <f>IFERROR(__xludf.DUMMYFUNCTION("""COMPUTED_VALUE"""),563.0)</f>
        <v>563</v>
      </c>
      <c r="B564" s="2" t="str">
        <f>IFERROR(__xludf.DUMMYFUNCTION("""COMPUTED_VALUE"""),"Bheri Nadi")</f>
        <v>Bheri Nadi</v>
      </c>
      <c r="C564" s="2">
        <f>IFERROR(__xludf.DUMMYFUNCTION("""COMPUTED_VALUE"""),29.0)</f>
        <v>29</v>
      </c>
      <c r="D564" s="2" t="str">
        <f>IFERROR(__xludf.DUMMYFUNCTION("""COMPUTED_VALUE"""),"Bheri")</f>
        <v>Bheri</v>
      </c>
      <c r="E564" s="2"/>
      <c r="F564" s="3">
        <f>IFERROR(__xludf.DUMMYFUNCTION("""COMPUTED_VALUE"""),60359.0)</f>
        <v>60359</v>
      </c>
      <c r="G564" s="2" t="str">
        <f>IFERROR(__xludf.DUMMYFUNCTION("""COMPUTED_VALUE"""),"Bheri Nadi Hydropower P. Ltd")</f>
        <v>Bheri Nadi Hydropower P. Ltd</v>
      </c>
      <c r="H564" s="2" t="str">
        <f>IFERROR(__xludf.DUMMYFUNCTION("""COMPUTED_VALUE"""),"Thulo Bharyang, Swambhu -15, GPO 19554 Ph : 4672598, 4672599")</f>
        <v>Thulo Bharyang, Swambhu -15, GPO 19554 Ph : 4672598, 4672599</v>
      </c>
      <c r="I564" s="2" t="str">
        <f>IFERROR(__xludf.DUMMYFUNCTION("""COMPUTED_VALUE"""),"28o 57' 30""")</f>
        <v>28o 57' 30"</v>
      </c>
      <c r="J564" s="2" t="str">
        <f>IFERROR(__xludf.DUMMYFUNCTION("""COMPUTED_VALUE"""),"29o 07' 30""")</f>
        <v>29o 07' 30"</v>
      </c>
      <c r="K564" s="2" t="str">
        <f>IFERROR(__xludf.DUMMYFUNCTION("""COMPUTED_VALUE"""),"82o 30' 00""")</f>
        <v>82o 30' 00"</v>
      </c>
      <c r="L564" s="2" t="str">
        <f>IFERROR(__xludf.DUMMYFUNCTION("""COMPUTED_VALUE"""),"82o 40' 00""")</f>
        <v>82o 40' 00"</v>
      </c>
      <c r="M564" s="2" t="str">
        <f>IFERROR(__xludf.DUMMYFUNCTION("""COMPUTED_VALUE"""),"(Dolpa)")</f>
        <v>(Dolpa)</v>
      </c>
    </row>
    <row r="565">
      <c r="A565" s="2">
        <f>IFERROR(__xludf.DUMMYFUNCTION("""COMPUTED_VALUE"""),564.0)</f>
        <v>564</v>
      </c>
      <c r="B565" s="2" t="str">
        <f>IFERROR(__xludf.DUMMYFUNCTION("""COMPUTED_VALUE"""),"Kaligandaki")</f>
        <v>Kaligandaki</v>
      </c>
      <c r="C565" s="2">
        <f>IFERROR(__xludf.DUMMYFUNCTION("""COMPUTED_VALUE"""),38.0)</f>
        <v>38</v>
      </c>
      <c r="D565" s="2" t="str">
        <f>IFERROR(__xludf.DUMMYFUNCTION("""COMPUTED_VALUE"""),"Kali Gandaki")</f>
        <v>Kali Gandaki</v>
      </c>
      <c r="E565" s="2"/>
      <c r="F565" s="3">
        <f>IFERROR(__xludf.DUMMYFUNCTION("""COMPUTED_VALUE"""),60359.0)</f>
        <v>60359</v>
      </c>
      <c r="G565" s="2" t="str">
        <f>IFERROR(__xludf.DUMMYFUNCTION("""COMPUTED_VALUE"""),"Kaligandaki Kota Hydropower P. Ltd")</f>
        <v>Kaligandaki Kota Hydropower P. Ltd</v>
      </c>
      <c r="H565" s="2" t="str">
        <f>IFERROR(__xludf.DUMMYFUNCTION("""COMPUTED_VALUE"""),"Thulo Bharyang, Swambhu -15, GPO 19554 Ph : 4672598, 4672599")</f>
        <v>Thulo Bharyang, Swambhu -15, GPO 19554 Ph : 4672598, 4672599</v>
      </c>
      <c r="I565" s="2" t="str">
        <f>IFERROR(__xludf.DUMMYFUNCTION("""COMPUTED_VALUE"""),"27o 47' 04""")</f>
        <v>27o 47' 04"</v>
      </c>
      <c r="J565" s="2" t="str">
        <f>IFERROR(__xludf.DUMMYFUNCTION("""COMPUTED_VALUE"""),"27o 50' 57""")</f>
        <v>27o 50' 57"</v>
      </c>
      <c r="K565" s="2" t="str">
        <f>IFERROR(__xludf.DUMMYFUNCTION("""COMPUTED_VALUE"""),"84o 15' 00""")</f>
        <v>84o 15' 00"</v>
      </c>
      <c r="L565" s="2" t="str">
        <f>IFERROR(__xludf.DUMMYFUNCTION("""COMPUTED_VALUE"""),"84o 19' 30""")</f>
        <v>84o 19' 30"</v>
      </c>
      <c r="M565" s="2" t="str">
        <f>IFERROR(__xludf.DUMMYFUNCTION("""COMPUTED_VALUE"""),"(Nawalparasi)")</f>
        <v>(Nawalparasi)</v>
      </c>
    </row>
    <row r="566">
      <c r="A566" s="2">
        <f>IFERROR(__xludf.DUMMYFUNCTION("""COMPUTED_VALUE"""),565.0)</f>
        <v>565</v>
      </c>
      <c r="B566" s="2" t="str">
        <f>IFERROR(__xludf.DUMMYFUNCTION("""COMPUTED_VALUE"""),"Ghatte Khola")</f>
        <v>Ghatte Khola</v>
      </c>
      <c r="C566" s="2">
        <f>IFERROR(__xludf.DUMMYFUNCTION("""COMPUTED_VALUE"""),0.99)</f>
        <v>0.99</v>
      </c>
      <c r="D566" s="2" t="str">
        <f>IFERROR(__xludf.DUMMYFUNCTION("""COMPUTED_VALUE"""),"Ghatte Khola")</f>
        <v>Ghatte Khola</v>
      </c>
      <c r="E566" s="2"/>
      <c r="F566" s="3">
        <f>IFERROR(__xludf.DUMMYFUNCTION("""COMPUTED_VALUE"""),60359.0)</f>
        <v>60359</v>
      </c>
      <c r="G566" s="2" t="str">
        <f>IFERROR(__xludf.DUMMYFUNCTION("""COMPUTED_VALUE"""),"Narayan Laxmi Nyupane")</f>
        <v>Narayan Laxmi Nyupane</v>
      </c>
      <c r="H566" s="2"/>
      <c r="I566" s="2" t="str">
        <f>IFERROR(__xludf.DUMMYFUNCTION("""COMPUTED_VALUE"""),"00o 00' 00""")</f>
        <v>00o 00' 00"</v>
      </c>
      <c r="J566" s="2" t="str">
        <f>IFERROR(__xludf.DUMMYFUNCTION("""COMPUTED_VALUE"""),"00o 00' 00""")</f>
        <v>00o 00' 00"</v>
      </c>
      <c r="K566" s="2" t="str">
        <f>IFERROR(__xludf.DUMMYFUNCTION("""COMPUTED_VALUE"""),"00o 00' 00""")</f>
        <v>00o 00' 00"</v>
      </c>
      <c r="L566" s="2" t="str">
        <f>IFERROR(__xludf.DUMMYFUNCTION("""COMPUTED_VALUE"""),"00o 00' 00""")</f>
        <v>00o 00' 00"</v>
      </c>
      <c r="M566" s="2" t="str">
        <f>IFERROR(__xludf.DUMMYFUNCTION("""COMPUTED_VALUE"""),"(Kabhrepalanchok)")</f>
        <v>(Kabhrepalanchok)</v>
      </c>
    </row>
    <row r="567">
      <c r="A567" s="2">
        <f>IFERROR(__xludf.DUMMYFUNCTION("""COMPUTED_VALUE"""),566.0)</f>
        <v>566</v>
      </c>
      <c r="B567" s="2" t="str">
        <f>IFERROR(__xludf.DUMMYFUNCTION("""COMPUTED_VALUE"""),"Tarapkhola")</f>
        <v>Tarapkhola</v>
      </c>
      <c r="C567" s="2">
        <f>IFERROR(__xludf.DUMMYFUNCTION("""COMPUTED_VALUE"""),13.5)</f>
        <v>13.5</v>
      </c>
      <c r="D567" s="2" t="str">
        <f>IFERROR(__xludf.DUMMYFUNCTION("""COMPUTED_VALUE"""),"Tarap")</f>
        <v>Tarap</v>
      </c>
      <c r="E567" s="2"/>
      <c r="F567" s="3">
        <f>IFERROR(__xludf.DUMMYFUNCTION("""COMPUTED_VALUE"""),60359.0)</f>
        <v>60359</v>
      </c>
      <c r="G567" s="2" t="str">
        <f>IFERROR(__xludf.DUMMYFUNCTION("""COMPUTED_VALUE"""),"Tarapkhola Hydropower P. Ltd")</f>
        <v>Tarapkhola Hydropower P. Ltd</v>
      </c>
      <c r="H567" s="2" t="str">
        <f>IFERROR(__xludf.DUMMYFUNCTION("""COMPUTED_VALUE"""),"Thulo Bharyang, Swambhu -15, GPO 19554 Ph : 4672598, 4672599")</f>
        <v>Thulo Bharyang, Swambhu -15, GPO 19554 Ph : 4672598, 4672599</v>
      </c>
      <c r="I567" s="2" t="str">
        <f>IFERROR(__xludf.DUMMYFUNCTION("""COMPUTED_VALUE"""),"28o 52' 30""")</f>
        <v>28o 52' 30"</v>
      </c>
      <c r="J567" s="2" t="str">
        <f>IFERROR(__xludf.DUMMYFUNCTION("""COMPUTED_VALUE"""),"28o 57' 30""")</f>
        <v>28o 57' 30"</v>
      </c>
      <c r="K567" s="2" t="str">
        <f>IFERROR(__xludf.DUMMYFUNCTION("""COMPUTED_VALUE"""),"83o 00' 00""")</f>
        <v>83o 00' 00"</v>
      </c>
      <c r="L567" s="2" t="str">
        <f>IFERROR(__xludf.DUMMYFUNCTION("""COMPUTED_VALUE"""),"83o 05' 00""")</f>
        <v>83o 05' 00"</v>
      </c>
      <c r="M567" s="2" t="str">
        <f>IFERROR(__xludf.DUMMYFUNCTION("""COMPUTED_VALUE"""),"(Dolpa)")</f>
        <v>(Dolpa)</v>
      </c>
    </row>
    <row r="568">
      <c r="A568" s="2">
        <f>IFERROR(__xludf.DUMMYFUNCTION("""COMPUTED_VALUE"""),567.0)</f>
        <v>567</v>
      </c>
      <c r="B568" s="2" t="str">
        <f>IFERROR(__xludf.DUMMYFUNCTION("""COMPUTED_VALUE"""),"Chuchumgad")</f>
        <v>Chuchumgad</v>
      </c>
      <c r="C568" s="2">
        <f>IFERROR(__xludf.DUMMYFUNCTION("""COMPUTED_VALUE"""),8.0)</f>
        <v>8</v>
      </c>
      <c r="D568" s="2" t="str">
        <f>IFERROR(__xludf.DUMMYFUNCTION("""COMPUTED_VALUE"""),"Chuchumgad")</f>
        <v>Chuchumgad</v>
      </c>
      <c r="E568" s="2">
        <f>IFERROR(__xludf.DUMMYFUNCTION("""COMPUTED_VALUE"""),35.0)</f>
        <v>35</v>
      </c>
      <c r="F568" s="3">
        <f>IFERROR(__xludf.DUMMYFUNCTION("""COMPUTED_VALUE"""),60359.0)</f>
        <v>60359</v>
      </c>
      <c r="G568" s="2" t="str">
        <f>IFERROR(__xludf.DUMMYFUNCTION("""COMPUTED_VALUE"""),"Chhumchumgad Hydropower")</f>
        <v>Chhumchumgad Hydropower</v>
      </c>
      <c r="H568" s="2" t="str">
        <f>IFERROR(__xludf.DUMMYFUNCTION("""COMPUTED_VALUE"""),"Swoyambhu -15, GPO 19554 Ph : 4672598, 4672599")</f>
        <v>Swoyambhu -15, GPO 19554 Ph : 4672598, 4672599</v>
      </c>
      <c r="I568" s="2" t="str">
        <f>IFERROR(__xludf.DUMMYFUNCTION("""COMPUTED_VALUE"""),"29o 47' 15""")</f>
        <v>29o 47' 15"</v>
      </c>
      <c r="J568" s="2" t="str">
        <f>IFERROR(__xludf.DUMMYFUNCTION("""COMPUTED_VALUE"""),"29o 50' 45""")</f>
        <v>29o 50' 45"</v>
      </c>
      <c r="K568" s="2" t="str">
        <f>IFERROR(__xludf.DUMMYFUNCTION("""COMPUTED_VALUE"""),"80o 49' 27""")</f>
        <v>80o 49' 27"</v>
      </c>
      <c r="L568" s="2" t="str">
        <f>IFERROR(__xludf.DUMMYFUNCTION("""COMPUTED_VALUE"""),"80o 51' 17""")</f>
        <v>80o 51' 17"</v>
      </c>
      <c r="M568" s="2" t="str">
        <f>IFERROR(__xludf.DUMMYFUNCTION("""COMPUTED_VALUE"""),"(Darchula)")</f>
        <v>(Darchula)</v>
      </c>
    </row>
    <row r="569">
      <c r="A569" s="2">
        <f>IFERROR(__xludf.DUMMYFUNCTION("""COMPUTED_VALUE"""),568.0)</f>
        <v>568</v>
      </c>
      <c r="B569" s="2" t="str">
        <f>IFERROR(__xludf.DUMMYFUNCTION("""COMPUTED_VALUE"""),"Hahan Khola")</f>
        <v>Hahan Khola</v>
      </c>
      <c r="C569" s="2">
        <f>IFERROR(__xludf.DUMMYFUNCTION("""COMPUTED_VALUE"""),0.5)</f>
        <v>0.5</v>
      </c>
      <c r="D569" s="2" t="str">
        <f>IFERROR(__xludf.DUMMYFUNCTION("""COMPUTED_VALUE"""),"Hahan")</f>
        <v>Hahan</v>
      </c>
      <c r="E569" s="2"/>
      <c r="F569" s="3">
        <f>IFERROR(__xludf.DUMMYFUNCTION("""COMPUTED_VALUE"""),60360.0)</f>
        <v>60360</v>
      </c>
      <c r="G569" s="2" t="str">
        <f>IFERROR(__xludf.DUMMYFUNCTION("""COMPUTED_VALUE"""),"Ram Bdr. Tamang")</f>
        <v>Ram Bdr. Tamang</v>
      </c>
      <c r="H569" s="2"/>
      <c r="I569" s="2" t="str">
        <f>IFERROR(__xludf.DUMMYFUNCTION("""COMPUTED_VALUE"""),"28o 06' 45""")</f>
        <v>28o 06' 45"</v>
      </c>
      <c r="J569" s="2" t="str">
        <f>IFERROR(__xludf.DUMMYFUNCTION("""COMPUTED_VALUE"""),"28o 08' 23""")</f>
        <v>28o 08' 23"</v>
      </c>
      <c r="K569" s="2" t="str">
        <f>IFERROR(__xludf.DUMMYFUNCTION("""COMPUTED_VALUE"""),"84o 49' 09""")</f>
        <v>84o 49' 09"</v>
      </c>
      <c r="L569" s="2" t="str">
        <f>IFERROR(__xludf.DUMMYFUNCTION("""COMPUTED_VALUE"""),"84o 50' 16""")</f>
        <v>84o 50' 16"</v>
      </c>
      <c r="M569" s="2" t="str">
        <f>IFERROR(__xludf.DUMMYFUNCTION("""COMPUTED_VALUE"""),"(Gorkha)")</f>
        <v>(Gorkha)</v>
      </c>
    </row>
    <row r="570">
      <c r="A570" s="2">
        <f>IFERROR(__xludf.DUMMYFUNCTION("""COMPUTED_VALUE"""),569.0)</f>
        <v>569</v>
      </c>
      <c r="B570" s="2" t="str">
        <f>IFERROR(__xludf.DUMMYFUNCTION("""COMPUTED_VALUE"""),"Thulo Khola")</f>
        <v>Thulo Khola</v>
      </c>
      <c r="C570" s="2">
        <f>IFERROR(__xludf.DUMMYFUNCTION("""COMPUTED_VALUE"""),4.92)</f>
        <v>4.92</v>
      </c>
      <c r="D570" s="2" t="str">
        <f>IFERROR(__xludf.DUMMYFUNCTION("""COMPUTED_VALUE"""),"Thulo")</f>
        <v>Thulo</v>
      </c>
      <c r="E570" s="2"/>
      <c r="F570" s="3">
        <f>IFERROR(__xludf.DUMMYFUNCTION("""COMPUTED_VALUE"""),60360.0)</f>
        <v>60360</v>
      </c>
      <c r="G570" s="2" t="str">
        <f>IFERROR(__xludf.DUMMYFUNCTION("""COMPUTED_VALUE"""),"Saurav Bhattarai, Vijaya Shrestha")</f>
        <v>Saurav Bhattarai, Vijaya Shrestha</v>
      </c>
      <c r="H570" s="2"/>
      <c r="I570" s="2" t="str">
        <f>IFERROR(__xludf.DUMMYFUNCTION("""COMPUTED_VALUE"""),"28o 31' 30""")</f>
        <v>28o 31' 30"</v>
      </c>
      <c r="J570" s="2" t="str">
        <f>IFERROR(__xludf.DUMMYFUNCTION("""COMPUTED_VALUE"""),"28o 35' 00""")</f>
        <v>28o 35' 00"</v>
      </c>
      <c r="K570" s="2" t="str">
        <f>IFERROR(__xludf.DUMMYFUNCTION("""COMPUTED_VALUE"""),"83o 29' 24""")</f>
        <v>83o 29' 24"</v>
      </c>
      <c r="L570" s="2" t="str">
        <f>IFERROR(__xludf.DUMMYFUNCTION("""COMPUTED_VALUE"""),"83o 33' 44""")</f>
        <v>83o 33' 44"</v>
      </c>
      <c r="M570" s="2" t="str">
        <f>IFERROR(__xludf.DUMMYFUNCTION("""COMPUTED_VALUE"""),"(Myagdi)")</f>
        <v>(Myagdi)</v>
      </c>
    </row>
    <row r="571">
      <c r="A571" s="2">
        <f>IFERROR(__xludf.DUMMYFUNCTION("""COMPUTED_VALUE"""),570.0)</f>
        <v>570</v>
      </c>
      <c r="B571" s="2" t="str">
        <f>IFERROR(__xludf.DUMMYFUNCTION("""COMPUTED_VALUE"""),"Dapcha Roshi")</f>
        <v>Dapcha Roshi</v>
      </c>
      <c r="C571" s="2">
        <f>IFERROR(__xludf.DUMMYFUNCTION("""COMPUTED_VALUE"""),3.0)</f>
        <v>3</v>
      </c>
      <c r="D571" s="2" t="str">
        <f>IFERROR(__xludf.DUMMYFUNCTION("""COMPUTED_VALUE"""),"Roshi")</f>
        <v>Roshi</v>
      </c>
      <c r="E571" s="2"/>
      <c r="F571" s="3">
        <f>IFERROR(__xludf.DUMMYFUNCTION("""COMPUTED_VALUE"""),60360.0)</f>
        <v>60360</v>
      </c>
      <c r="G571" s="2" t="str">
        <f>IFERROR(__xludf.DUMMYFUNCTION("""COMPUTED_VALUE"""),"L.K. Power pvt ltd")</f>
        <v>L.K. Power pvt ltd</v>
      </c>
      <c r="H571" s="2"/>
      <c r="I571" s="2" t="str">
        <f>IFERROR(__xludf.DUMMYFUNCTION("""COMPUTED_VALUE"""),"27o 30' 00""")</f>
        <v>27o 30' 00"</v>
      </c>
      <c r="J571" s="2" t="str">
        <f>IFERROR(__xludf.DUMMYFUNCTION("""COMPUTED_VALUE"""),"27o 31' 30""")</f>
        <v>27o 31' 30"</v>
      </c>
      <c r="K571" s="2" t="str">
        <f>IFERROR(__xludf.DUMMYFUNCTION("""COMPUTED_VALUE"""),"85o 42' 00""")</f>
        <v>85o 42' 00"</v>
      </c>
      <c r="L571" s="2" t="str">
        <f>IFERROR(__xludf.DUMMYFUNCTION("""COMPUTED_VALUE"""),"85o 43' 27""")</f>
        <v>85o 43' 27"</v>
      </c>
      <c r="M571" s="2" t="str">
        <f>IFERROR(__xludf.DUMMYFUNCTION("""COMPUTED_VALUE"""),"(Kabhrepalanchok)")</f>
        <v>(Kabhrepalanchok)</v>
      </c>
    </row>
    <row r="572">
      <c r="A572" s="2">
        <f>IFERROR(__xludf.DUMMYFUNCTION("""COMPUTED_VALUE"""),571.0)</f>
        <v>571</v>
      </c>
      <c r="B572" s="2" t="str">
        <f>IFERROR(__xludf.DUMMYFUNCTION("""COMPUTED_VALUE"""),"Nuwa Khola")</f>
        <v>Nuwa Khola</v>
      </c>
      <c r="C572" s="2">
        <f>IFERROR(__xludf.DUMMYFUNCTION("""COMPUTED_VALUE"""),1.48)</f>
        <v>1.48</v>
      </c>
      <c r="D572" s="2" t="str">
        <f>IFERROR(__xludf.DUMMYFUNCTION("""COMPUTED_VALUE"""),"Nuwa")</f>
        <v>Nuwa</v>
      </c>
      <c r="E572" s="2"/>
      <c r="F572" s="3">
        <f>IFERROR(__xludf.DUMMYFUNCTION("""COMPUTED_VALUE"""),60360.0)</f>
        <v>60360</v>
      </c>
      <c r="G572" s="2" t="str">
        <f>IFERROR(__xludf.DUMMYFUNCTION("""COMPUTED_VALUE"""),"Kalpana Kumari Shrestha")</f>
        <v>Kalpana Kumari Shrestha</v>
      </c>
      <c r="H572" s="2"/>
      <c r="I572" s="2" t="str">
        <f>IFERROR(__xludf.DUMMYFUNCTION("""COMPUTED_VALUE"""),"27o 29' 03""")</f>
        <v>27o 29' 03"</v>
      </c>
      <c r="J572" s="2" t="str">
        <f>IFERROR(__xludf.DUMMYFUNCTION("""COMPUTED_VALUE"""),"27o 30' 00""")</f>
        <v>27o 30' 00"</v>
      </c>
      <c r="K572" s="2" t="str">
        <f>IFERROR(__xludf.DUMMYFUNCTION("""COMPUTED_VALUE"""),"87o 43' 07""")</f>
        <v>87o 43' 07"</v>
      </c>
      <c r="L572" s="2" t="str">
        <f>IFERROR(__xludf.DUMMYFUNCTION("""COMPUTED_VALUE"""),"87o 44' 47""")</f>
        <v>87o 44' 47"</v>
      </c>
      <c r="M572" s="2" t="str">
        <f>IFERROR(__xludf.DUMMYFUNCTION("""COMPUTED_VALUE"""),"(Taplejung)")</f>
        <v>(Taplejung)</v>
      </c>
    </row>
    <row r="573">
      <c r="A573" s="2">
        <f>IFERROR(__xludf.DUMMYFUNCTION("""COMPUTED_VALUE"""),572.0)</f>
        <v>572</v>
      </c>
      <c r="B573" s="2" t="str">
        <f>IFERROR(__xludf.DUMMYFUNCTION("""COMPUTED_VALUE"""),"Sisne Khola")</f>
        <v>Sisne Khola</v>
      </c>
      <c r="C573" s="2">
        <f>IFERROR(__xludf.DUMMYFUNCTION("""COMPUTED_VALUE"""),1.65)</f>
        <v>1.65</v>
      </c>
      <c r="D573" s="2" t="str">
        <f>IFERROR(__xludf.DUMMYFUNCTION("""COMPUTED_VALUE"""),"Sisne Khola")</f>
        <v>Sisne Khola</v>
      </c>
      <c r="E573" s="2"/>
      <c r="F573" s="3">
        <f>IFERROR(__xludf.DUMMYFUNCTION("""COMPUTED_VALUE"""),60360.0)</f>
        <v>60360</v>
      </c>
      <c r="G573" s="2" t="str">
        <f>IFERROR(__xludf.DUMMYFUNCTION("""COMPUTED_VALUE"""),"Ranjita Panthi")</f>
        <v>Ranjita Panthi</v>
      </c>
      <c r="H573" s="2"/>
      <c r="I573" s="2" t="str">
        <f>IFERROR(__xludf.DUMMYFUNCTION("""COMPUTED_VALUE"""),"27o 24' 20""")</f>
        <v>27o 24' 20"</v>
      </c>
      <c r="J573" s="2" t="str">
        <f>IFERROR(__xludf.DUMMYFUNCTION("""COMPUTED_VALUE"""),"27o 25' 47""")</f>
        <v>27o 25' 47"</v>
      </c>
      <c r="K573" s="2" t="str">
        <f>IFERROR(__xludf.DUMMYFUNCTION("""COMPUTED_VALUE"""),"87o 42' 07""")</f>
        <v>87o 42' 07"</v>
      </c>
      <c r="L573" s="2" t="str">
        <f>IFERROR(__xludf.DUMMYFUNCTION("""COMPUTED_VALUE"""),"87o 44' 15""")</f>
        <v>87o 44' 15"</v>
      </c>
      <c r="M573" s="2" t="str">
        <f>IFERROR(__xludf.DUMMYFUNCTION("""COMPUTED_VALUE"""),"(Taplejung)")</f>
        <v>(Taplejung)</v>
      </c>
    </row>
    <row r="574">
      <c r="A574" s="2">
        <f>IFERROR(__xludf.DUMMYFUNCTION("""COMPUTED_VALUE"""),573.0)</f>
        <v>573</v>
      </c>
      <c r="B574" s="2" t="str">
        <f>IFERROR(__xludf.DUMMYFUNCTION("""COMPUTED_VALUE"""),"Lower Solu")</f>
        <v>Lower Solu</v>
      </c>
      <c r="C574" s="2">
        <f>IFERROR(__xludf.DUMMYFUNCTION("""COMPUTED_VALUE"""),40.0)</f>
        <v>40</v>
      </c>
      <c r="D574" s="2" t="str">
        <f>IFERROR(__xludf.DUMMYFUNCTION("""COMPUTED_VALUE"""),"Solu Khola")</f>
        <v>Solu Khola</v>
      </c>
      <c r="E574" s="2"/>
      <c r="F574" s="3">
        <f>IFERROR(__xludf.DUMMYFUNCTION("""COMPUTED_VALUE"""),60362.0)</f>
        <v>60362</v>
      </c>
      <c r="G574" s="2" t="str">
        <f>IFERROR(__xludf.DUMMYFUNCTION("""COMPUTED_VALUE"""),"V.C. Hydropower Company Pvt. Ltd")</f>
        <v>V.C. Hydropower Company Pvt. Ltd</v>
      </c>
      <c r="H574" s="2" t="str">
        <f>IFERROR(__xludf.DUMMYFUNCTION("""COMPUTED_VALUE"""),"Koteswor 35, Kathmandu")</f>
        <v>Koteswor 35, Kathmandu</v>
      </c>
      <c r="I574" s="2" t="str">
        <f>IFERROR(__xludf.DUMMYFUNCTION("""COMPUTED_VALUE"""),"27o 25' 00""")</f>
        <v>27o 25' 00"</v>
      </c>
      <c r="J574" s="2" t="str">
        <f>IFERROR(__xludf.DUMMYFUNCTION("""COMPUTED_VALUE"""),"27o 27' 00""")</f>
        <v>27o 27' 00"</v>
      </c>
      <c r="K574" s="2" t="str">
        <f>IFERROR(__xludf.DUMMYFUNCTION("""COMPUTED_VALUE"""),"86o 33' 45""")</f>
        <v>86o 33' 45"</v>
      </c>
      <c r="L574" s="2" t="str">
        <f>IFERROR(__xludf.DUMMYFUNCTION("""COMPUTED_VALUE"""),"86o 37' 35""")</f>
        <v>86o 37' 35"</v>
      </c>
      <c r="M574" s="2" t="str">
        <f>IFERROR(__xludf.DUMMYFUNCTION("""COMPUTED_VALUE"""),"(Solukhumbu)")</f>
        <v>(Solukhumbu)</v>
      </c>
    </row>
    <row r="575">
      <c r="A575" s="2">
        <f>IFERROR(__xludf.DUMMYFUNCTION("""COMPUTED_VALUE"""),574.0)</f>
        <v>574</v>
      </c>
      <c r="B575" s="2" t="str">
        <f>IFERROR(__xludf.DUMMYFUNCTION("""COMPUTED_VALUE"""),"Langtang Khola")</f>
        <v>Langtang Khola</v>
      </c>
      <c r="C575" s="2">
        <f>IFERROR(__xludf.DUMMYFUNCTION("""COMPUTED_VALUE"""),9.5)</f>
        <v>9.5</v>
      </c>
      <c r="D575" s="2" t="str">
        <f>IFERROR(__xludf.DUMMYFUNCTION("""COMPUTED_VALUE"""),"Langtang")</f>
        <v>Langtang</v>
      </c>
      <c r="E575" s="2"/>
      <c r="F575" s="3">
        <f>IFERROR(__xludf.DUMMYFUNCTION("""COMPUTED_VALUE"""),60362.0)</f>
        <v>60362</v>
      </c>
      <c r="G575" s="2" t="str">
        <f>IFERROR(__xludf.DUMMYFUNCTION("""COMPUTED_VALUE"""),"Lantang Hydroelctric Development Company P. Ltd.")</f>
        <v>Lantang Hydroelctric Development Company P. Ltd.</v>
      </c>
      <c r="H575" s="2"/>
      <c r="I575" s="2" t="str">
        <f>IFERROR(__xludf.DUMMYFUNCTION("""COMPUTED_VALUE"""),"28o 08' 52""")</f>
        <v>28o 08' 52"</v>
      </c>
      <c r="J575" s="2" t="str">
        <f>IFERROR(__xludf.DUMMYFUNCTION("""COMPUTED_VALUE"""),"28o 10' 15""")</f>
        <v>28o 10' 15"</v>
      </c>
      <c r="K575" s="2" t="str">
        <f>IFERROR(__xludf.DUMMYFUNCTION("""COMPUTED_VALUE"""),"85o 20' 25""")</f>
        <v>85o 20' 25"</v>
      </c>
      <c r="L575" s="2" t="str">
        <f>IFERROR(__xludf.DUMMYFUNCTION("""COMPUTED_VALUE"""),"85o 25' 33""")</f>
        <v>85o 25' 33"</v>
      </c>
      <c r="M575" s="2" t="str">
        <f>IFERROR(__xludf.DUMMYFUNCTION("""COMPUTED_VALUE"""),"(Rasuwa)")</f>
        <v>(Rasuwa)</v>
      </c>
    </row>
    <row r="576">
      <c r="A576" s="2">
        <f>IFERROR(__xludf.DUMMYFUNCTION("""COMPUTED_VALUE"""),575.0)</f>
        <v>575</v>
      </c>
      <c r="B576" s="2" t="str">
        <f>IFERROR(__xludf.DUMMYFUNCTION("""COMPUTED_VALUE"""),"Panahagad Khola")</f>
        <v>Panahagad Khola</v>
      </c>
      <c r="C576" s="2">
        <f>IFERROR(__xludf.DUMMYFUNCTION("""COMPUTED_VALUE"""),0.984)</f>
        <v>0.984</v>
      </c>
      <c r="D576" s="2" t="str">
        <f>IFERROR(__xludf.DUMMYFUNCTION("""COMPUTED_VALUE"""),"Panahagad")</f>
        <v>Panahagad</v>
      </c>
      <c r="E576" s="2"/>
      <c r="F576" s="3">
        <f>IFERROR(__xludf.DUMMYFUNCTION("""COMPUTED_VALUE"""),60364.0)</f>
        <v>60364</v>
      </c>
      <c r="G576" s="2" t="str">
        <f>IFERROR(__xludf.DUMMYFUNCTION("""COMPUTED_VALUE"""),"Dev Raj Khanal")</f>
        <v>Dev Raj Khanal</v>
      </c>
      <c r="H576" s="2"/>
      <c r="I576" s="2" t="str">
        <f>IFERROR(__xludf.DUMMYFUNCTION("""COMPUTED_VALUE"""),"28o 05' 22""")</f>
        <v>28o 05' 22"</v>
      </c>
      <c r="J576" s="2" t="str">
        <f>IFERROR(__xludf.DUMMYFUNCTION("""COMPUTED_VALUE"""),"28o 06' 36""")</f>
        <v>28o 06' 36"</v>
      </c>
      <c r="K576" s="2" t="str">
        <f>IFERROR(__xludf.DUMMYFUNCTION("""COMPUTED_VALUE"""),"83o 10' 00""")</f>
        <v>83o 10' 00"</v>
      </c>
      <c r="L576" s="2" t="str">
        <f>IFERROR(__xludf.DUMMYFUNCTION("""COMPUTED_VALUE"""),"83o 13' 34""")</f>
        <v>83o 13' 34"</v>
      </c>
      <c r="M576" s="2" t="str">
        <f>IFERROR(__xludf.DUMMYFUNCTION("""COMPUTED_VALUE"""),"(Gulmi)")</f>
        <v>(Gulmi)</v>
      </c>
    </row>
    <row r="577">
      <c r="A577" s="2">
        <f>IFERROR(__xludf.DUMMYFUNCTION("""COMPUTED_VALUE"""),576.0)</f>
        <v>576</v>
      </c>
      <c r="B577" s="2" t="str">
        <f>IFERROR(__xludf.DUMMYFUNCTION("""COMPUTED_VALUE"""),"Panahagad")</f>
        <v>Panahagad</v>
      </c>
      <c r="C577" s="2">
        <f>IFERROR(__xludf.DUMMYFUNCTION("""COMPUTED_VALUE"""),0.984)</f>
        <v>0.984</v>
      </c>
      <c r="D577" s="2" t="str">
        <f>IFERROR(__xludf.DUMMYFUNCTION("""COMPUTED_VALUE"""),"Panahagad")</f>
        <v>Panahagad</v>
      </c>
      <c r="E577" s="2">
        <f>IFERROR(__xludf.DUMMYFUNCTION("""COMPUTED_VALUE"""),233.0)</f>
        <v>233</v>
      </c>
      <c r="F577" s="3">
        <f>IFERROR(__xludf.DUMMYFUNCTION("""COMPUTED_VALUE"""),60364.0)</f>
        <v>60364</v>
      </c>
      <c r="G577" s="2" t="str">
        <f>IFERROR(__xludf.DUMMYFUNCTION("""COMPUTED_VALUE"""),"Dev Raj Khanal")</f>
        <v>Dev Raj Khanal</v>
      </c>
      <c r="H577" s="2"/>
      <c r="I577" s="2" t="str">
        <f>IFERROR(__xludf.DUMMYFUNCTION("""COMPUTED_VALUE"""),"28o 05' 22""")</f>
        <v>28o 05' 22"</v>
      </c>
      <c r="J577" s="2" t="str">
        <f>IFERROR(__xludf.DUMMYFUNCTION("""COMPUTED_VALUE"""),"28o 06' 38""")</f>
        <v>28o 06' 38"</v>
      </c>
      <c r="K577" s="2" t="str">
        <f>IFERROR(__xludf.DUMMYFUNCTION("""COMPUTED_VALUE"""),"83o 10' 00""")</f>
        <v>83o 10' 00"</v>
      </c>
      <c r="L577" s="2" t="str">
        <f>IFERROR(__xludf.DUMMYFUNCTION("""COMPUTED_VALUE"""),"83o 13' 34""")</f>
        <v>83o 13' 34"</v>
      </c>
      <c r="M577" s="2" t="str">
        <f>IFERROR(__xludf.DUMMYFUNCTION("""COMPUTED_VALUE"""),"Neta (Gulmi)")</f>
        <v>Neta (Gulmi)</v>
      </c>
    </row>
    <row r="578">
      <c r="A578" s="2">
        <f>IFERROR(__xludf.DUMMYFUNCTION("""COMPUTED_VALUE"""),577.0)</f>
        <v>577</v>
      </c>
      <c r="B578" s="2" t="str">
        <f>IFERROR(__xludf.DUMMYFUNCTION("""COMPUTED_VALUE"""),"Badi gad")</f>
        <v>Badi gad</v>
      </c>
      <c r="C578" s="2">
        <f>IFERROR(__xludf.DUMMYFUNCTION("""COMPUTED_VALUE"""),9.0)</f>
        <v>9</v>
      </c>
      <c r="D578" s="2" t="str">
        <f>IFERROR(__xludf.DUMMYFUNCTION("""COMPUTED_VALUE"""),"Badigad")</f>
        <v>Badigad</v>
      </c>
      <c r="E578" s="2">
        <f>IFERROR(__xludf.DUMMYFUNCTION("""COMPUTED_VALUE"""),270.0)</f>
        <v>270</v>
      </c>
      <c r="F578" s="3">
        <f>IFERROR(__xludf.DUMMYFUNCTION("""COMPUTED_VALUE"""),60369.0)</f>
        <v>60369</v>
      </c>
      <c r="G578" s="2" t="str">
        <f>IFERROR(__xludf.DUMMYFUNCTION("""COMPUTED_VALUE"""),"Muktishree pvt. Ltd.")</f>
        <v>Muktishree pvt. Ltd.</v>
      </c>
      <c r="H578" s="2" t="str">
        <f>IFERROR(__xludf.DUMMYFUNCTION("""COMPUTED_VALUE"""),"GPO Box 12557, Kathmandu&lt; Nepal. Phone : 4268572 Fax :4268571")</f>
        <v>GPO Box 12557, Kathmandu&lt; Nepal. Phone : 4268572 Fax :4268571</v>
      </c>
      <c r="I578" s="2" t="str">
        <f>IFERROR(__xludf.DUMMYFUNCTION("""COMPUTED_VALUE"""),"29o 30' 25""")</f>
        <v>29o 30' 25"</v>
      </c>
      <c r="J578" s="2" t="str">
        <f>IFERROR(__xludf.DUMMYFUNCTION("""COMPUTED_VALUE"""),"29o 31' 37""")</f>
        <v>29o 31' 37"</v>
      </c>
      <c r="K578" s="2" t="str">
        <f>IFERROR(__xludf.DUMMYFUNCTION("""COMPUTED_VALUE"""),"81o 36' 49""")</f>
        <v>81o 36' 49"</v>
      </c>
      <c r="L578" s="2" t="str">
        <f>IFERROR(__xludf.DUMMYFUNCTION("""COMPUTED_VALUE"""),"81o 39' 11""")</f>
        <v>81o 39' 11"</v>
      </c>
      <c r="M578" s="2" t="str">
        <f>IFERROR(__xludf.DUMMYFUNCTION("""COMPUTED_VALUE"""),"Kolti,Martadi (Bajura)")</f>
        <v>Kolti,Martadi (Bajura)</v>
      </c>
    </row>
    <row r="579">
      <c r="A579" s="2">
        <f>IFERROR(__xludf.DUMMYFUNCTION("""COMPUTED_VALUE"""),578.0)</f>
        <v>578</v>
      </c>
      <c r="B579" s="2" t="str">
        <f>IFERROR(__xludf.DUMMYFUNCTION("""COMPUTED_VALUE"""),"Sarada Khola")</f>
        <v>Sarada Khola</v>
      </c>
      <c r="C579" s="2">
        <f>IFERROR(__xludf.DUMMYFUNCTION("""COMPUTED_VALUE"""),4.0)</f>
        <v>4</v>
      </c>
      <c r="D579" s="2" t="str">
        <f>IFERROR(__xludf.DUMMYFUNCTION("""COMPUTED_VALUE"""),"Sharada")</f>
        <v>Sharada</v>
      </c>
      <c r="E579" s="2"/>
      <c r="F579" s="3">
        <f>IFERROR(__xludf.DUMMYFUNCTION("""COMPUTED_VALUE"""),60371.0)</f>
        <v>60371</v>
      </c>
      <c r="G579" s="2" t="str">
        <f>IFERROR(__xludf.DUMMYFUNCTION("""COMPUTED_VALUE"""),"Anil sarada")</f>
        <v>Anil sarada</v>
      </c>
      <c r="H579" s="2"/>
      <c r="I579" s="2" t="str">
        <f>IFERROR(__xludf.DUMMYFUNCTION("""COMPUTED_VALUE"""),"28o 16' 50""")</f>
        <v>28o 16' 50"</v>
      </c>
      <c r="J579" s="2" t="str">
        <f>IFERROR(__xludf.DUMMYFUNCTION("""COMPUTED_VALUE"""),"28o 20' 00""")</f>
        <v>28o 20' 00"</v>
      </c>
      <c r="K579" s="2" t="str">
        <f>IFERROR(__xludf.DUMMYFUNCTION("""COMPUTED_VALUE"""),"82o 13' 00""")</f>
        <v>82o 13' 00"</v>
      </c>
      <c r="L579" s="2" t="str">
        <f>IFERROR(__xludf.DUMMYFUNCTION("""COMPUTED_VALUE"""),"82o 14' 10""")</f>
        <v>82o 14' 10"</v>
      </c>
      <c r="M579" s="2" t="str">
        <f>IFERROR(__xludf.DUMMYFUNCTION("""COMPUTED_VALUE"""),"(Salyan)")</f>
        <v>(Salyan)</v>
      </c>
    </row>
    <row r="580">
      <c r="A580" s="2">
        <f>IFERROR(__xludf.DUMMYFUNCTION("""COMPUTED_VALUE"""),579.0)</f>
        <v>579</v>
      </c>
      <c r="B580" s="2" t="str">
        <f>IFERROR(__xludf.DUMMYFUNCTION("""COMPUTED_VALUE"""),"Dudhkosi-3")</f>
        <v>Dudhkosi-3</v>
      </c>
      <c r="C580" s="2">
        <f>IFERROR(__xludf.DUMMYFUNCTION("""COMPUTED_VALUE"""),450.0)</f>
        <v>450</v>
      </c>
      <c r="D580" s="2" t="str">
        <f>IFERROR(__xludf.DUMMYFUNCTION("""COMPUTED_VALUE"""),"Dudh Koshi")</f>
        <v>Dudh Koshi</v>
      </c>
      <c r="E580" s="2"/>
      <c r="F580" s="3">
        <f>IFERROR(__xludf.DUMMYFUNCTION("""COMPUTED_VALUE"""),60371.0)</f>
        <v>60371</v>
      </c>
      <c r="G580" s="2" t="str">
        <f>IFERROR(__xludf.DUMMYFUNCTION("""COMPUTED_VALUE"""),"Patel Energy Works P Ltd")</f>
        <v>Patel Energy Works P Ltd</v>
      </c>
      <c r="H580" s="2" t="str">
        <f>IFERROR(__xludf.DUMMYFUNCTION("""COMPUTED_VALUE"""),"Jageshwari (W) , Munbai - 400102, India")</f>
        <v>Jageshwari (W) , Munbai - 400102, India</v>
      </c>
      <c r="I580" s="2" t="str">
        <f>IFERROR(__xludf.DUMMYFUNCTION("""COMPUTED_VALUE"""),"27o 25' 00""")</f>
        <v>27o 25' 00"</v>
      </c>
      <c r="J580" s="2" t="str">
        <f>IFERROR(__xludf.DUMMYFUNCTION("""COMPUTED_VALUE"""),"27o 35' 00""")</f>
        <v>27o 35' 00"</v>
      </c>
      <c r="K580" s="2" t="str">
        <f>IFERROR(__xludf.DUMMYFUNCTION("""COMPUTED_VALUE"""),"86o 40' 00""")</f>
        <v>86o 40' 00"</v>
      </c>
      <c r="L580" s="2" t="str">
        <f>IFERROR(__xludf.DUMMYFUNCTION("""COMPUTED_VALUE"""),"86o 42' 00""")</f>
        <v>86o 42' 00"</v>
      </c>
      <c r="M580" s="2" t="str">
        <f>IFERROR(__xludf.DUMMYFUNCTION("""COMPUTED_VALUE"""),"(Solukhumbu)")</f>
        <v>(Solukhumbu)</v>
      </c>
    </row>
    <row r="581">
      <c r="A581" s="2">
        <f>IFERROR(__xludf.DUMMYFUNCTION("""COMPUTED_VALUE"""),580.0)</f>
        <v>580</v>
      </c>
      <c r="B581" s="2" t="str">
        <f>IFERROR(__xludf.DUMMYFUNCTION("""COMPUTED_VALUE"""),"Bhudhu Ganaga")</f>
        <v>Bhudhu Ganaga</v>
      </c>
      <c r="C581" s="2">
        <f>IFERROR(__xludf.DUMMYFUNCTION("""COMPUTED_VALUE"""),5.0)</f>
        <v>5</v>
      </c>
      <c r="D581" s="2" t="str">
        <f>IFERROR(__xludf.DUMMYFUNCTION("""COMPUTED_VALUE"""),"Budhi Ganga")</f>
        <v>Budhi Ganga</v>
      </c>
      <c r="E581" s="2"/>
      <c r="F581" s="3">
        <f>IFERROR(__xludf.DUMMYFUNCTION("""COMPUTED_VALUE"""),60371.0)</f>
        <v>60371</v>
      </c>
      <c r="G581" s="2" t="str">
        <f>IFERROR(__xludf.DUMMYFUNCTION("""COMPUTED_VALUE"""),"Mahesh Sarada")</f>
        <v>Mahesh Sarada</v>
      </c>
      <c r="H581" s="2"/>
      <c r="I581" s="2" t="str">
        <f>IFERROR(__xludf.DUMMYFUNCTION("""COMPUTED_VALUE"""),"29o 25' 00""")</f>
        <v>29o 25' 00"</v>
      </c>
      <c r="J581" s="2" t="str">
        <f>IFERROR(__xludf.DUMMYFUNCTION("""COMPUTED_VALUE"""),"29o 28' 30""")</f>
        <v>29o 28' 30"</v>
      </c>
      <c r="K581" s="2" t="str">
        <f>IFERROR(__xludf.DUMMYFUNCTION("""COMPUTED_VALUE"""),"81o 26' 00""")</f>
        <v>81o 26' 00"</v>
      </c>
      <c r="L581" s="2" t="str">
        <f>IFERROR(__xludf.DUMMYFUNCTION("""COMPUTED_VALUE"""),"81o 27' 30""")</f>
        <v>81o 27' 30"</v>
      </c>
      <c r="M581" s="2" t="str">
        <f>IFERROR(__xludf.DUMMYFUNCTION("""COMPUTED_VALUE"""),"(Bajura)")</f>
        <v>(Bajura)</v>
      </c>
    </row>
    <row r="582">
      <c r="A582" s="2">
        <f>IFERROR(__xludf.DUMMYFUNCTION("""COMPUTED_VALUE"""),581.0)</f>
        <v>581</v>
      </c>
      <c r="B582" s="2" t="str">
        <f>IFERROR(__xludf.DUMMYFUNCTION("""COMPUTED_VALUE"""),"Dudhkosi-2")</f>
        <v>Dudhkosi-2</v>
      </c>
      <c r="C582" s="2">
        <f>IFERROR(__xludf.DUMMYFUNCTION("""COMPUTED_VALUE"""),250.0)</f>
        <v>250</v>
      </c>
      <c r="D582" s="2" t="str">
        <f>IFERROR(__xludf.DUMMYFUNCTION("""COMPUTED_VALUE"""),"Dudh Koshi")</f>
        <v>Dudh Koshi</v>
      </c>
      <c r="E582" s="2"/>
      <c r="F582" s="3">
        <f>IFERROR(__xludf.DUMMYFUNCTION("""COMPUTED_VALUE"""),60371.0)</f>
        <v>60371</v>
      </c>
      <c r="G582" s="2" t="str">
        <f>IFERROR(__xludf.DUMMYFUNCTION("""COMPUTED_VALUE"""),"Patel Energy Operations P Ltd")</f>
        <v>Patel Energy Operations P Ltd</v>
      </c>
      <c r="H582" s="2" t="str">
        <f>IFERROR(__xludf.DUMMYFUNCTION("""COMPUTED_VALUE"""),"Jageshwari (W) , Munbai - 400102, India")</f>
        <v>Jageshwari (W) , Munbai - 400102, India</v>
      </c>
      <c r="I582" s="2" t="str">
        <f>IFERROR(__xludf.DUMMYFUNCTION("""COMPUTED_VALUE"""),"27o 20' 00""")</f>
        <v>27o 20' 00"</v>
      </c>
      <c r="J582" s="2" t="str">
        <f>IFERROR(__xludf.DUMMYFUNCTION("""COMPUTED_VALUE"""),"27o 30' 00""")</f>
        <v>27o 30' 00"</v>
      </c>
      <c r="K582" s="2" t="str">
        <f>IFERROR(__xludf.DUMMYFUNCTION("""COMPUTED_VALUE"""),"86o 40' 00""")</f>
        <v>86o 40' 00"</v>
      </c>
      <c r="L582" s="2" t="str">
        <f>IFERROR(__xludf.DUMMYFUNCTION("""COMPUTED_VALUE"""),"86o 45' 00""")</f>
        <v>86o 45' 00"</v>
      </c>
      <c r="M582" s="2" t="str">
        <f>IFERROR(__xludf.DUMMYFUNCTION("""COMPUTED_VALUE"""),"(Solukhumbu)")</f>
        <v>(Solukhumbu)</v>
      </c>
    </row>
    <row r="583">
      <c r="A583" s="2">
        <f>IFERROR(__xludf.DUMMYFUNCTION("""COMPUTED_VALUE"""),582.0)</f>
        <v>582</v>
      </c>
      <c r="B583" s="2" t="str">
        <f>IFERROR(__xludf.DUMMYFUNCTION("""COMPUTED_VALUE"""),"Dhasta Khore Khola")</f>
        <v>Dhasta Khore Khola</v>
      </c>
      <c r="C583" s="2">
        <f>IFERROR(__xludf.DUMMYFUNCTION("""COMPUTED_VALUE"""),0.303)</f>
        <v>0.303</v>
      </c>
      <c r="D583" s="2" t="str">
        <f>IFERROR(__xludf.DUMMYFUNCTION("""COMPUTED_VALUE"""),"Dhasta Khore")</f>
        <v>Dhasta Khore</v>
      </c>
      <c r="E583" s="2"/>
      <c r="F583" s="3">
        <f>IFERROR(__xludf.DUMMYFUNCTION("""COMPUTED_VALUE"""),60371.0)</f>
        <v>60371</v>
      </c>
      <c r="G583" s="2" t="str">
        <f>IFERROR(__xludf.DUMMYFUNCTION("""COMPUTED_VALUE"""),"Ramalit Pun &amp; Tam Bdr. Purja")</f>
        <v>Ramalit Pun &amp; Tam Bdr. Purja</v>
      </c>
      <c r="H583" s="2"/>
      <c r="I583" s="2" t="str">
        <f>IFERROR(__xludf.DUMMYFUNCTION("""COMPUTED_VALUE"""),"28o 26' 06""")</f>
        <v>28o 26' 06"</v>
      </c>
      <c r="J583" s="2" t="str">
        <f>IFERROR(__xludf.DUMMYFUNCTION("""COMPUTED_VALUE"""),"28o 27' 30""")</f>
        <v>28o 27' 30"</v>
      </c>
      <c r="K583" s="2" t="str">
        <f>IFERROR(__xludf.DUMMYFUNCTION("""COMPUTED_VALUE"""),"86o 41' 00""")</f>
        <v>86o 41' 00"</v>
      </c>
      <c r="L583" s="2" t="str">
        <f>IFERROR(__xludf.DUMMYFUNCTION("""COMPUTED_VALUE"""),"86o 42' 55""")</f>
        <v>86o 42' 55"</v>
      </c>
      <c r="M583" s="2" t="str">
        <f>IFERROR(__xludf.DUMMYFUNCTION("""COMPUTED_VALUE"""),"(Myagdi)")</f>
        <v>(Myagdi)</v>
      </c>
    </row>
    <row r="584">
      <c r="A584" s="2">
        <f>IFERROR(__xludf.DUMMYFUNCTION("""COMPUTED_VALUE"""),583.0)</f>
        <v>583</v>
      </c>
      <c r="B584" s="2" t="str">
        <f>IFERROR(__xludf.DUMMYFUNCTION("""COMPUTED_VALUE"""),"Budhigandaki")</f>
        <v>Budhigandaki</v>
      </c>
      <c r="C584" s="2">
        <f>IFERROR(__xludf.DUMMYFUNCTION("""COMPUTED_VALUE"""),10.4)</f>
        <v>10.4</v>
      </c>
      <c r="D584" s="2" t="str">
        <f>IFERROR(__xludf.DUMMYFUNCTION("""COMPUTED_VALUE"""),"Budhi Gandaki")</f>
        <v>Budhi Gandaki</v>
      </c>
      <c r="E584" s="2"/>
      <c r="F584" s="3">
        <f>IFERROR(__xludf.DUMMYFUNCTION("""COMPUTED_VALUE"""),60371.0)</f>
        <v>60371</v>
      </c>
      <c r="G584" s="2" t="str">
        <f>IFERROR(__xludf.DUMMYFUNCTION("""COMPUTED_VALUE"""),"Perfect Energy development P. Ltd")</f>
        <v>Perfect Energy development P. Ltd</v>
      </c>
      <c r="H584" s="2"/>
      <c r="I584" s="2" t="str">
        <f>IFERROR(__xludf.DUMMYFUNCTION("""COMPUTED_VALUE"""),"28o 26' 25""")</f>
        <v>28o 26' 25"</v>
      </c>
      <c r="J584" s="2" t="str">
        <f>IFERROR(__xludf.DUMMYFUNCTION("""COMPUTED_VALUE"""),"28o 29' 59""")</f>
        <v>28o 29' 59"</v>
      </c>
      <c r="K584" s="2" t="str">
        <f>IFERROR(__xludf.DUMMYFUNCTION("""COMPUTED_VALUE"""),"84o 51' 45""")</f>
        <v>84o 51' 45"</v>
      </c>
      <c r="L584" s="2" t="str">
        <f>IFERROR(__xludf.DUMMYFUNCTION("""COMPUTED_VALUE"""),"84o 54' 30""")</f>
        <v>84o 54' 30"</v>
      </c>
      <c r="M584" s="2" t="str">
        <f>IFERROR(__xludf.DUMMYFUNCTION("""COMPUTED_VALUE"""),"(Gorkha)")</f>
        <v>(Gorkha)</v>
      </c>
    </row>
    <row r="585">
      <c r="A585" s="2">
        <f>IFERROR(__xludf.DUMMYFUNCTION("""COMPUTED_VALUE"""),584.0)</f>
        <v>584</v>
      </c>
      <c r="B585" s="2" t="str">
        <f>IFERROR(__xludf.DUMMYFUNCTION("""COMPUTED_VALUE"""),"Leguwa Khola")</f>
        <v>Leguwa Khola</v>
      </c>
      <c r="C585" s="2">
        <f>IFERROR(__xludf.DUMMYFUNCTION("""COMPUTED_VALUE"""),0.5)</f>
        <v>0.5</v>
      </c>
      <c r="D585" s="2" t="str">
        <f>IFERROR(__xludf.DUMMYFUNCTION("""COMPUTED_VALUE"""),"Leguwa")</f>
        <v>Leguwa</v>
      </c>
      <c r="E585" s="2"/>
      <c r="F585" s="3">
        <f>IFERROR(__xludf.DUMMYFUNCTION("""COMPUTED_VALUE"""),60372.0)</f>
        <v>60372</v>
      </c>
      <c r="G585" s="2" t="str">
        <f>IFERROR(__xludf.DUMMYFUNCTION("""COMPUTED_VALUE"""),"Leguwa Jal Vidydut Co. P. Ltd.")</f>
        <v>Leguwa Jal Vidydut Co. P. Ltd.</v>
      </c>
      <c r="H585" s="2"/>
      <c r="I585" s="2" t="str">
        <f>IFERROR(__xludf.DUMMYFUNCTION("""COMPUTED_VALUE"""),"27o 09' 28""")</f>
        <v>27o 09' 28"</v>
      </c>
      <c r="J585" s="2" t="str">
        <f>IFERROR(__xludf.DUMMYFUNCTION("""COMPUTED_VALUE"""),"27o 10' 16""")</f>
        <v>27o 10' 16"</v>
      </c>
      <c r="K585" s="2" t="str">
        <f>IFERROR(__xludf.DUMMYFUNCTION("""COMPUTED_VALUE"""),"87o 22' 04""")</f>
        <v>87o 22' 04"</v>
      </c>
      <c r="L585" s="2" t="str">
        <f>IFERROR(__xludf.DUMMYFUNCTION("""COMPUTED_VALUE"""),"87o 23' 26""")</f>
        <v>87o 23' 26"</v>
      </c>
      <c r="M585" s="2" t="str">
        <f>IFERROR(__xludf.DUMMYFUNCTION("""COMPUTED_VALUE"""),"(Dhankuta)")</f>
        <v>(Dhankuta)</v>
      </c>
    </row>
    <row r="586">
      <c r="A586" s="2">
        <f>IFERROR(__xludf.DUMMYFUNCTION("""COMPUTED_VALUE"""),585.0)</f>
        <v>585</v>
      </c>
      <c r="B586" s="2" t="str">
        <f>IFERROR(__xludf.DUMMYFUNCTION("""COMPUTED_VALUE"""),"Chhaldi Khola")</f>
        <v>Chhaldi Khola</v>
      </c>
      <c r="C586" s="2">
        <f>IFERROR(__xludf.DUMMYFUNCTION("""COMPUTED_VALUE"""),0.95)</f>
        <v>0.95</v>
      </c>
      <c r="D586" s="2" t="str">
        <f>IFERROR(__xludf.DUMMYFUNCTION("""COMPUTED_VALUE"""),"Chhaldi")</f>
        <v>Chhaldi</v>
      </c>
      <c r="E586" s="2"/>
      <c r="F586" s="3">
        <f>IFERROR(__xludf.DUMMYFUNCTION("""COMPUTED_VALUE"""),60372.0)</f>
        <v>60372</v>
      </c>
      <c r="G586" s="2" t="str">
        <f>IFERROR(__xludf.DUMMYFUNCTION("""COMPUTED_VALUE"""),"Bhubaneshwor")</f>
        <v>Bhubaneshwor</v>
      </c>
      <c r="H586" s="2"/>
      <c r="I586" s="2" t="str">
        <f>IFERROR(__xludf.DUMMYFUNCTION("""COMPUTED_VALUE"""),"28o 07' 00""")</f>
        <v>28o 07' 00"</v>
      </c>
      <c r="J586" s="2" t="str">
        <f>IFERROR(__xludf.DUMMYFUNCTION("""COMPUTED_VALUE"""),"28o 07' 20""")</f>
        <v>28o 07' 20"</v>
      </c>
      <c r="K586" s="2" t="str">
        <f>IFERROR(__xludf.DUMMYFUNCTION("""COMPUTED_VALUE"""),"83o 15' 20""")</f>
        <v>83o 15' 20"</v>
      </c>
      <c r="L586" s="2" t="str">
        <f>IFERROR(__xludf.DUMMYFUNCTION("""COMPUTED_VALUE"""),"83o 19' 40""")</f>
        <v>83o 19' 40"</v>
      </c>
      <c r="M586" s="2" t="str">
        <f>IFERROR(__xludf.DUMMYFUNCTION("""COMPUTED_VALUE"""),"(Gulmi)")</f>
        <v>(Gulmi)</v>
      </c>
    </row>
    <row r="587">
      <c r="A587" s="2">
        <f>IFERROR(__xludf.DUMMYFUNCTION("""COMPUTED_VALUE"""),586.0)</f>
        <v>586</v>
      </c>
      <c r="B587" s="2" t="str">
        <f>IFERROR(__xludf.DUMMYFUNCTION("""COMPUTED_VALUE"""),"Rudrabeni-Badigaad")</f>
        <v>Rudrabeni-Badigaad</v>
      </c>
      <c r="C587" s="2">
        <f>IFERROR(__xludf.DUMMYFUNCTION("""COMPUTED_VALUE"""),9.0)</f>
        <v>9</v>
      </c>
      <c r="D587" s="2" t="str">
        <f>IFERROR(__xludf.DUMMYFUNCTION("""COMPUTED_VALUE"""),"Badigad")</f>
        <v>Badigad</v>
      </c>
      <c r="E587" s="2"/>
      <c r="F587" s="3">
        <f>IFERROR(__xludf.DUMMYFUNCTION("""COMPUTED_VALUE"""),60372.0)</f>
        <v>60372</v>
      </c>
      <c r="G587" s="2" t="str">
        <f>IFERROR(__xludf.DUMMYFUNCTION("""COMPUTED_VALUE"""),"Rudrabeni Badigad Hydropower P. Ltd.")</f>
        <v>Rudrabeni Badigad Hydropower P. Ltd.</v>
      </c>
      <c r="H587" s="2"/>
      <c r="I587" s="2" t="str">
        <f>IFERROR(__xludf.DUMMYFUNCTION("""COMPUTED_VALUE"""),"27o 58' 23""")</f>
        <v>27o 58' 23"</v>
      </c>
      <c r="J587" s="2" t="str">
        <f>IFERROR(__xludf.DUMMYFUNCTION("""COMPUTED_VALUE"""),"28o 01' 10""")</f>
        <v>28o 01' 10"</v>
      </c>
      <c r="K587" s="2" t="str">
        <f>IFERROR(__xludf.DUMMYFUNCTION("""COMPUTED_VALUE"""),"83o 26' 10""")</f>
        <v>83o 26' 10"</v>
      </c>
      <c r="L587" s="2" t="str">
        <f>IFERROR(__xludf.DUMMYFUNCTION("""COMPUTED_VALUE"""),"83o 28' 55""")</f>
        <v>83o 28' 55"</v>
      </c>
      <c r="M587" s="2" t="str">
        <f>IFERROR(__xludf.DUMMYFUNCTION("""COMPUTED_VALUE"""),"(Gulmi)")</f>
        <v>(Gulmi)</v>
      </c>
    </row>
    <row r="588">
      <c r="A588" s="2">
        <f>IFERROR(__xludf.DUMMYFUNCTION("""COMPUTED_VALUE"""),587.0)</f>
        <v>587</v>
      </c>
      <c r="B588" s="2" t="str">
        <f>IFERROR(__xludf.DUMMYFUNCTION("""COMPUTED_VALUE"""),"Leguwa Khola SHP")</f>
        <v>Leguwa Khola SHP</v>
      </c>
      <c r="C588" s="2">
        <f>IFERROR(__xludf.DUMMYFUNCTION("""COMPUTED_VALUE"""),0.5)</f>
        <v>0.5</v>
      </c>
      <c r="D588" s="2" t="str">
        <f>IFERROR(__xludf.DUMMYFUNCTION("""COMPUTED_VALUE"""),"Leguwa")</f>
        <v>Leguwa</v>
      </c>
      <c r="E588" s="2">
        <f>IFERROR(__xludf.DUMMYFUNCTION("""COMPUTED_VALUE"""),318.0)</f>
        <v>318</v>
      </c>
      <c r="F588" s="3">
        <f>IFERROR(__xludf.DUMMYFUNCTION("""COMPUTED_VALUE"""),60372.0)</f>
        <v>60372</v>
      </c>
      <c r="G588" s="2" t="str">
        <f>IFERROR(__xludf.DUMMYFUNCTION("""COMPUTED_VALUE"""),"Leguwa Jal bidhut Co. P. Ltd.")</f>
        <v>Leguwa Jal bidhut Co. P. Ltd.</v>
      </c>
      <c r="H588" s="2"/>
      <c r="I588" s="2" t="str">
        <f>IFERROR(__xludf.DUMMYFUNCTION("""COMPUTED_VALUE"""),"27o 09' 28""")</f>
        <v>27o 09' 28"</v>
      </c>
      <c r="J588" s="2" t="str">
        <f>IFERROR(__xludf.DUMMYFUNCTION("""COMPUTED_VALUE"""),"27o 10' 16""")</f>
        <v>27o 10' 16"</v>
      </c>
      <c r="K588" s="2" t="str">
        <f>IFERROR(__xludf.DUMMYFUNCTION("""COMPUTED_VALUE"""),"87o 22' 04""")</f>
        <v>87o 22' 04"</v>
      </c>
      <c r="L588" s="2" t="str">
        <f>IFERROR(__xludf.DUMMYFUNCTION("""COMPUTED_VALUE"""),"87o 23' 26""")</f>
        <v>87o 23' 26"</v>
      </c>
      <c r="M588" s="2" t="str">
        <f>IFERROR(__xludf.DUMMYFUNCTION("""COMPUTED_VALUE"""),"Marek Kataharl (Dhankuta)")</f>
        <v>Marek Kataharl (Dhankuta)</v>
      </c>
    </row>
    <row r="589">
      <c r="A589" s="2">
        <f>IFERROR(__xludf.DUMMYFUNCTION("""COMPUTED_VALUE"""),588.0)</f>
        <v>588</v>
      </c>
      <c r="B589" s="2" t="str">
        <f>IFERROR(__xludf.DUMMYFUNCTION("""COMPUTED_VALUE"""),"Chhaldi Khola SHP")</f>
        <v>Chhaldi Khola SHP</v>
      </c>
      <c r="C589" s="2">
        <f>IFERROR(__xludf.DUMMYFUNCTION("""COMPUTED_VALUE"""),0.95)</f>
        <v>0.95</v>
      </c>
      <c r="D589" s="2" t="str">
        <f>IFERROR(__xludf.DUMMYFUNCTION("""COMPUTED_VALUE"""),"Chhaldi")</f>
        <v>Chhaldi</v>
      </c>
      <c r="E589" s="2">
        <f>IFERROR(__xludf.DUMMYFUNCTION("""COMPUTED_VALUE"""),327.0)</f>
        <v>327</v>
      </c>
      <c r="F589" s="3">
        <f>IFERROR(__xludf.DUMMYFUNCTION("""COMPUTED_VALUE"""),60372.0)</f>
        <v>60372</v>
      </c>
      <c r="G589" s="2" t="str">
        <f>IFERROR(__xludf.DUMMYFUNCTION("""COMPUTED_VALUE"""),"Bhuwaneshwor")</f>
        <v>Bhuwaneshwor</v>
      </c>
      <c r="H589" s="2"/>
      <c r="I589" s="2" t="str">
        <f>IFERROR(__xludf.DUMMYFUNCTION("""COMPUTED_VALUE"""),"28o 07' 00""")</f>
        <v>28o 07' 00"</v>
      </c>
      <c r="J589" s="2" t="str">
        <f>IFERROR(__xludf.DUMMYFUNCTION("""COMPUTED_VALUE"""),"28o 07' 20""")</f>
        <v>28o 07' 20"</v>
      </c>
      <c r="K589" s="2" t="str">
        <f>IFERROR(__xludf.DUMMYFUNCTION("""COMPUTED_VALUE"""),"83o 15' 20""")</f>
        <v>83o 15' 20"</v>
      </c>
      <c r="L589" s="2" t="str">
        <f>IFERROR(__xludf.DUMMYFUNCTION("""COMPUTED_VALUE"""),"83o 15' 40""")</f>
        <v>83o 15' 40"</v>
      </c>
      <c r="M589" s="2" t="str">
        <f>IFERROR(__xludf.DUMMYFUNCTION("""COMPUTED_VALUE"""),"Paralmi (Gulmi)")</f>
        <v>Paralmi (Gulmi)</v>
      </c>
    </row>
    <row r="590">
      <c r="A590" s="2">
        <f>IFERROR(__xludf.DUMMYFUNCTION("""COMPUTED_VALUE"""),589.0)</f>
        <v>589</v>
      </c>
      <c r="B590" s="2" t="str">
        <f>IFERROR(__xludf.DUMMYFUNCTION("""COMPUTED_VALUE"""),"Siurung Khola")</f>
        <v>Siurung Khola</v>
      </c>
      <c r="C590" s="2">
        <f>IFERROR(__xludf.DUMMYFUNCTION("""COMPUTED_VALUE"""),0.24)</f>
        <v>0.24</v>
      </c>
      <c r="D590" s="2" t="str">
        <f>IFERROR(__xludf.DUMMYFUNCTION("""COMPUTED_VALUE"""),"Siurung")</f>
        <v>Siurung</v>
      </c>
      <c r="E590" s="2"/>
      <c r="F590" s="3">
        <f>IFERROR(__xludf.DUMMYFUNCTION("""COMPUTED_VALUE"""),60373.0)</f>
        <v>60373</v>
      </c>
      <c r="G590" s="2" t="str">
        <f>IFERROR(__xludf.DUMMYFUNCTION("""COMPUTED_VALUE"""),"Siurung Khola Hydropower Co. P. Ltd.")</f>
        <v>Siurung Khola Hydropower Co. P. Ltd.</v>
      </c>
      <c r="H590" s="2" t="str">
        <f>IFERROR(__xludf.DUMMYFUNCTION("""COMPUTED_VALUE"""),"KMC-16, Kathmandu, P.O. Box: 12611, Ph: 9741046236")</f>
        <v>KMC-16, Kathmandu, P.O. Box: 12611, Ph: 9741046236</v>
      </c>
      <c r="I590" s="2" t="str">
        <f>IFERROR(__xludf.DUMMYFUNCTION("""COMPUTED_VALUE"""),"28o 18' 58""")</f>
        <v>28o 18' 58"</v>
      </c>
      <c r="J590" s="2" t="str">
        <f>IFERROR(__xludf.DUMMYFUNCTION("""COMPUTED_VALUE"""),"28o 19' 31""")</f>
        <v>28o 19' 31"</v>
      </c>
      <c r="K590" s="2" t="str">
        <f>IFERROR(__xludf.DUMMYFUNCTION("""COMPUTED_VALUE"""),"84o 22' 37""")</f>
        <v>84o 22' 37"</v>
      </c>
      <c r="L590" s="2" t="str">
        <f>IFERROR(__xludf.DUMMYFUNCTION("""COMPUTED_VALUE"""),"84o 24' 05""")</f>
        <v>84o 24' 05"</v>
      </c>
      <c r="M590" s="2" t="str">
        <f>IFERROR(__xludf.DUMMYFUNCTION("""COMPUTED_VALUE"""),"(Lamjung)")</f>
        <v>(Lamjung)</v>
      </c>
    </row>
    <row r="591">
      <c r="A591" s="2">
        <f>IFERROR(__xludf.DUMMYFUNCTION("""COMPUTED_VALUE"""),590.0)</f>
        <v>590</v>
      </c>
      <c r="B591" s="2" t="str">
        <f>IFERROR(__xludf.DUMMYFUNCTION("""COMPUTED_VALUE"""),"Gandigad")</f>
        <v>Gandigad</v>
      </c>
      <c r="C591" s="2">
        <f>IFERROR(__xludf.DUMMYFUNCTION("""COMPUTED_VALUE"""),1.0)</f>
        <v>1</v>
      </c>
      <c r="D591" s="2" t="str">
        <f>IFERROR(__xludf.DUMMYFUNCTION("""COMPUTED_VALUE"""),"Gandi Gad")</f>
        <v>Gandi Gad</v>
      </c>
      <c r="E591" s="2"/>
      <c r="F591" s="3">
        <f>IFERROR(__xludf.DUMMYFUNCTION("""COMPUTED_VALUE"""),60374.0)</f>
        <v>60374</v>
      </c>
      <c r="G591" s="2" t="str">
        <f>IFERROR(__xludf.DUMMYFUNCTION("""COMPUTED_VALUE"""),"Birendra Bdr. Aer")</f>
        <v>Birendra Bdr. Aer</v>
      </c>
      <c r="H591" s="2"/>
      <c r="I591" s="2" t="str">
        <f>IFERROR(__xludf.DUMMYFUNCTION("""COMPUTED_VALUE"""),"00o 00' 00""")</f>
        <v>00o 00' 00"</v>
      </c>
      <c r="J591" s="2" t="str">
        <f>IFERROR(__xludf.DUMMYFUNCTION("""COMPUTED_VALUE"""),"00o 00' 00""")</f>
        <v>00o 00' 00"</v>
      </c>
      <c r="K591" s="2" t="str">
        <f>IFERROR(__xludf.DUMMYFUNCTION("""COMPUTED_VALUE"""),"00o 00' 00""")</f>
        <v>00o 00' 00"</v>
      </c>
      <c r="L591" s="2" t="str">
        <f>IFERROR(__xludf.DUMMYFUNCTION("""COMPUTED_VALUE"""),"00o 00' 00""")</f>
        <v>00o 00' 00"</v>
      </c>
      <c r="M591" s="2" t="str">
        <f>IFERROR(__xludf.DUMMYFUNCTION("""COMPUTED_VALUE"""),"(Baitadi)")</f>
        <v>(Baitadi)</v>
      </c>
    </row>
    <row r="592">
      <c r="A592" s="2">
        <f>IFERROR(__xludf.DUMMYFUNCTION("""COMPUTED_VALUE"""),591.0)</f>
        <v>591</v>
      </c>
      <c r="B592" s="2" t="str">
        <f>IFERROR(__xludf.DUMMYFUNCTION("""COMPUTED_VALUE"""),"Nuwakot Khola")</f>
        <v>Nuwakot Khola</v>
      </c>
      <c r="C592" s="2">
        <f>IFERROR(__xludf.DUMMYFUNCTION("""COMPUTED_VALUE"""),0.91)</f>
        <v>0.91</v>
      </c>
      <c r="D592" s="2" t="str">
        <f>IFERROR(__xludf.DUMMYFUNCTION("""COMPUTED_VALUE"""),"Nuwakot")</f>
        <v>Nuwakot</v>
      </c>
      <c r="E592" s="2"/>
      <c r="F592" s="3">
        <f>IFERROR(__xludf.DUMMYFUNCTION("""COMPUTED_VALUE"""),60374.0)</f>
        <v>60374</v>
      </c>
      <c r="G592" s="2" t="str">
        <f>IFERROR(__xludf.DUMMYFUNCTION("""COMPUTED_VALUE"""),"Prabha Sharma Pokhrel/Manjula Singh/Uma Neupane")</f>
        <v>Prabha Sharma Pokhrel/Manjula Singh/Uma Neupane</v>
      </c>
      <c r="H592" s="2"/>
      <c r="I592" s="2" t="str">
        <f>IFERROR(__xludf.DUMMYFUNCTION("""COMPUTED_VALUE"""),"28o 35' 50""")</f>
        <v>28o 35' 50"</v>
      </c>
      <c r="J592" s="2" t="str">
        <f>IFERROR(__xludf.DUMMYFUNCTION("""COMPUTED_VALUE"""),"28o 36' 41""")</f>
        <v>28o 36' 41"</v>
      </c>
      <c r="K592" s="2" t="str">
        <f>IFERROR(__xludf.DUMMYFUNCTION("""COMPUTED_VALUE"""),"82o 24' 42""")</f>
        <v>82o 24' 42"</v>
      </c>
      <c r="L592" s="2" t="str">
        <f>IFERROR(__xludf.DUMMYFUNCTION("""COMPUTED_VALUE"""),"82o 26' 53""")</f>
        <v>82o 26' 53"</v>
      </c>
      <c r="M592" s="2" t="str">
        <f>IFERROR(__xludf.DUMMYFUNCTION("""COMPUTED_VALUE"""),"(Rukum)")</f>
        <v>(Rukum)</v>
      </c>
    </row>
    <row r="593">
      <c r="A593" s="2">
        <f>IFERROR(__xludf.DUMMYFUNCTION("""COMPUTED_VALUE"""),592.0)</f>
        <v>592</v>
      </c>
      <c r="B593" s="2" t="str">
        <f>IFERROR(__xludf.DUMMYFUNCTION("""COMPUTED_VALUE"""),"Sankhu Khola")</f>
        <v>Sankhu Khola</v>
      </c>
      <c r="C593" s="2">
        <f>IFERROR(__xludf.DUMMYFUNCTION("""COMPUTED_VALUE"""),0.97)</f>
        <v>0.97</v>
      </c>
      <c r="D593" s="2" t="str">
        <f>IFERROR(__xludf.DUMMYFUNCTION("""COMPUTED_VALUE"""),"Sankhu")</f>
        <v>Sankhu</v>
      </c>
      <c r="E593" s="2"/>
      <c r="F593" s="3">
        <f>IFERROR(__xludf.DUMMYFUNCTION("""COMPUTED_VALUE"""),60374.0)</f>
        <v>60374</v>
      </c>
      <c r="G593" s="2" t="str">
        <f>IFERROR(__xludf.DUMMYFUNCTION("""COMPUTED_VALUE"""),"Prabha Sharma Pokhrel/Manjula Singh/Raju Simkhada")</f>
        <v>Prabha Sharma Pokhrel/Manjula Singh/Raju Simkhada</v>
      </c>
      <c r="H593" s="2"/>
      <c r="I593" s="2" t="str">
        <f>IFERROR(__xludf.DUMMYFUNCTION("""COMPUTED_VALUE"""),"28o 35' 56""")</f>
        <v>28o 35' 56"</v>
      </c>
      <c r="J593" s="2" t="str">
        <f>IFERROR(__xludf.DUMMYFUNCTION("""COMPUTED_VALUE"""),"28o 37' 01""")</f>
        <v>28o 37' 01"</v>
      </c>
      <c r="K593" s="2" t="str">
        <f>IFERROR(__xludf.DUMMYFUNCTION("""COMPUTED_VALUE"""),"82o 26' 53""")</f>
        <v>82o 26' 53"</v>
      </c>
      <c r="L593" s="2" t="str">
        <f>IFERROR(__xludf.DUMMYFUNCTION("""COMPUTED_VALUE"""),"82o 28' 49""")</f>
        <v>82o 28' 49"</v>
      </c>
      <c r="M593" s="2" t="str">
        <f>IFERROR(__xludf.DUMMYFUNCTION("""COMPUTED_VALUE"""),"(Rukum)")</f>
        <v>(Rukum)</v>
      </c>
    </row>
    <row r="594">
      <c r="A594" s="2">
        <f>IFERROR(__xludf.DUMMYFUNCTION("""COMPUTED_VALUE"""),593.0)</f>
        <v>593</v>
      </c>
      <c r="B594" s="2" t="str">
        <f>IFERROR(__xludf.DUMMYFUNCTION("""COMPUTED_VALUE"""),"Upper Daraundi")</f>
        <v>Upper Daraundi</v>
      </c>
      <c r="C594" s="2">
        <f>IFERROR(__xludf.DUMMYFUNCTION("""COMPUTED_VALUE"""),2.4)</f>
        <v>2.4</v>
      </c>
      <c r="D594" s="2" t="str">
        <f>IFERROR(__xludf.DUMMYFUNCTION("""COMPUTED_VALUE"""),"Daraundi")</f>
        <v>Daraundi</v>
      </c>
      <c r="E594" s="2"/>
      <c r="F594" s="3">
        <f>IFERROR(__xludf.DUMMYFUNCTION("""COMPUTED_VALUE"""),60376.0)</f>
        <v>60376</v>
      </c>
      <c r="G594" s="2" t="str">
        <f>IFERROR(__xludf.DUMMYFUNCTION("""COMPUTED_VALUE"""),"Jit hydropower")</f>
        <v>Jit hydropower</v>
      </c>
      <c r="H594" s="2" t="str">
        <f>IFERROR(__xludf.DUMMYFUNCTION("""COMPUTED_VALUE"""),"P.O.Box. 9292, Kathmandu, Phone 9851015956")</f>
        <v>P.O.Box. 9292, Kathmandu, Phone 9851015956</v>
      </c>
      <c r="I594" s="2" t="str">
        <f>IFERROR(__xludf.DUMMYFUNCTION("""COMPUTED_VALUE"""),"28o 15' 00""")</f>
        <v>28o 15' 00"</v>
      </c>
      <c r="J594" s="2" t="str">
        <f>IFERROR(__xludf.DUMMYFUNCTION("""COMPUTED_VALUE"""),"28o 16' 15""")</f>
        <v>28o 16' 15"</v>
      </c>
      <c r="K594" s="2" t="str">
        <f>IFERROR(__xludf.DUMMYFUNCTION("""COMPUTED_VALUE"""),"84o 43' 17""")</f>
        <v>84o 43' 17"</v>
      </c>
      <c r="L594" s="2" t="str">
        <f>IFERROR(__xludf.DUMMYFUNCTION("""COMPUTED_VALUE"""),"84o 44' 40""")</f>
        <v>84o 44' 40"</v>
      </c>
      <c r="M594" s="2" t="str">
        <f>IFERROR(__xludf.DUMMYFUNCTION("""COMPUTED_VALUE"""),"Ghyalchok (Gorkha)")</f>
        <v>Ghyalchok (Gorkha)</v>
      </c>
    </row>
    <row r="595">
      <c r="A595" s="2">
        <f>IFERROR(__xludf.DUMMYFUNCTION("""COMPUTED_VALUE"""),594.0)</f>
        <v>594</v>
      </c>
      <c r="B595" s="2" t="str">
        <f>IFERROR(__xludf.DUMMYFUNCTION("""COMPUTED_VALUE"""),"Paraiuli Khola-2")</f>
        <v>Paraiuli Khola-2</v>
      </c>
      <c r="C595" s="2">
        <f>IFERROR(__xludf.DUMMYFUNCTION("""COMPUTED_VALUE"""),0.998)</f>
        <v>0.998</v>
      </c>
      <c r="D595" s="2" t="str">
        <f>IFERROR(__xludf.DUMMYFUNCTION("""COMPUTED_VALUE"""),"Parajuli Khola")</f>
        <v>Parajuli Khola</v>
      </c>
      <c r="E595" s="2"/>
      <c r="F595" s="3">
        <f>IFERROR(__xludf.DUMMYFUNCTION("""COMPUTED_VALUE"""),60376.0)</f>
        <v>60376</v>
      </c>
      <c r="G595" s="2" t="str">
        <f>IFERROR(__xludf.DUMMYFUNCTION("""COMPUTED_VALUE"""),"Rara Hydropower Development Co.")</f>
        <v>Rara Hydropower Development Co.</v>
      </c>
      <c r="H595" s="2" t="str">
        <f>IFERROR(__xludf.DUMMYFUNCTION("""COMPUTED_VALUE"""),"Mangalbazaar, Laltipur, Ph: 01-5009160, 9841505699")</f>
        <v>Mangalbazaar, Laltipur, Ph: 01-5009160, 9841505699</v>
      </c>
      <c r="I595" s="2" t="str">
        <f>IFERROR(__xludf.DUMMYFUNCTION("""COMPUTED_VALUE"""),"28o 42' 12""")</f>
        <v>28o 42' 12"</v>
      </c>
      <c r="J595" s="2" t="str">
        <f>IFERROR(__xludf.DUMMYFUNCTION("""COMPUTED_VALUE"""),"28o 43' 36""")</f>
        <v>28o 43' 36"</v>
      </c>
      <c r="K595" s="2" t="str">
        <f>IFERROR(__xludf.DUMMYFUNCTION("""COMPUTED_VALUE"""),"81o 41' 09""")</f>
        <v>81o 41' 09"</v>
      </c>
      <c r="L595" s="2" t="str">
        <f>IFERROR(__xludf.DUMMYFUNCTION("""COMPUTED_VALUE"""),"81o 42' 46""")</f>
        <v>81o 42' 46"</v>
      </c>
      <c r="M595" s="2" t="str">
        <f>IFERROR(__xludf.DUMMYFUNCTION("""COMPUTED_VALUE"""),"(Dailekh)")</f>
        <v>(Dailekh)</v>
      </c>
    </row>
    <row r="596">
      <c r="A596" s="2">
        <f>IFERROR(__xludf.DUMMYFUNCTION("""COMPUTED_VALUE"""),595.0)</f>
        <v>595</v>
      </c>
      <c r="B596" s="2" t="str">
        <f>IFERROR(__xludf.DUMMYFUNCTION("""COMPUTED_VALUE"""),"Lohore Khola")</f>
        <v>Lohore Khola</v>
      </c>
      <c r="C596" s="2">
        <f>IFERROR(__xludf.DUMMYFUNCTION("""COMPUTED_VALUE"""),4.8)</f>
        <v>4.8</v>
      </c>
      <c r="D596" s="2" t="str">
        <f>IFERROR(__xludf.DUMMYFUNCTION("""COMPUTED_VALUE"""),"Lohore Khola")</f>
        <v>Lohore Khola</v>
      </c>
      <c r="E596" s="2"/>
      <c r="F596" s="3">
        <f>IFERROR(__xludf.DUMMYFUNCTION("""COMPUTED_VALUE"""),60376.0)</f>
        <v>60376</v>
      </c>
      <c r="G596" s="2" t="str">
        <f>IFERROR(__xludf.DUMMYFUNCTION("""COMPUTED_VALUE"""),"Birendra K.C., Ambar B. Thapa, Haribairagi Dahal, Dipak Acharya")</f>
        <v>Birendra K.C., Ambar B. Thapa, Haribairagi Dahal, Dipak Acharya</v>
      </c>
      <c r="H596" s="2"/>
      <c r="I596" s="2" t="str">
        <f>IFERROR(__xludf.DUMMYFUNCTION("""COMPUTED_VALUE"""),"28o 45' 30""")</f>
        <v>28o 45' 30"</v>
      </c>
      <c r="J596" s="2" t="str">
        <f>IFERROR(__xludf.DUMMYFUNCTION("""COMPUTED_VALUE"""),"28o 48' 04""")</f>
        <v>28o 48' 04"</v>
      </c>
      <c r="K596" s="2" t="str">
        <f>IFERROR(__xludf.DUMMYFUNCTION("""COMPUTED_VALUE"""),"81o 39' 02""")</f>
        <v>81o 39' 02"</v>
      </c>
      <c r="L596" s="2" t="str">
        <f>IFERROR(__xludf.DUMMYFUNCTION("""COMPUTED_VALUE"""),"81o 41' 25""")</f>
        <v>81o 41' 25"</v>
      </c>
      <c r="M596" s="2" t="str">
        <f>IFERROR(__xludf.DUMMYFUNCTION("""COMPUTED_VALUE"""),"(Dailekh)")</f>
        <v>(Dailekh)</v>
      </c>
    </row>
    <row r="597">
      <c r="A597" s="2">
        <f>IFERROR(__xludf.DUMMYFUNCTION("""COMPUTED_VALUE"""),596.0)</f>
        <v>596</v>
      </c>
      <c r="B597" s="2" t="str">
        <f>IFERROR(__xludf.DUMMYFUNCTION("""COMPUTED_VALUE"""),"Luma Khola")</f>
        <v>Luma Khola</v>
      </c>
      <c r="C597" s="2">
        <f>IFERROR(__xludf.DUMMYFUNCTION("""COMPUTED_VALUE"""),4.0)</f>
        <v>4</v>
      </c>
      <c r="D597" s="2" t="str">
        <f>IFERROR(__xludf.DUMMYFUNCTION("""COMPUTED_VALUE"""),"Luma")</f>
        <v>Luma</v>
      </c>
      <c r="E597" s="2"/>
      <c r="F597" s="3">
        <f>IFERROR(__xludf.DUMMYFUNCTION("""COMPUTED_VALUE"""),60376.0)</f>
        <v>60376</v>
      </c>
      <c r="G597" s="2" t="str">
        <f>IFERROR(__xludf.DUMMYFUNCTION("""COMPUTED_VALUE"""),"Muktishree")</f>
        <v>Muktishree</v>
      </c>
      <c r="H597" s="2"/>
      <c r="I597" s="2" t="str">
        <f>IFERROR(__xludf.DUMMYFUNCTION("""COMPUTED_VALUE"""),"29o 34' 23""")</f>
        <v>29o 34' 23"</v>
      </c>
      <c r="J597" s="2" t="str">
        <f>IFERROR(__xludf.DUMMYFUNCTION("""COMPUTED_VALUE"""),"29o 36' 31""")</f>
        <v>29o 36' 31"</v>
      </c>
      <c r="K597" s="2" t="str">
        <f>IFERROR(__xludf.DUMMYFUNCTION("""COMPUTED_VALUE"""),"82o 08' 02""")</f>
        <v>82o 08' 02"</v>
      </c>
      <c r="L597" s="2" t="str">
        <f>IFERROR(__xludf.DUMMYFUNCTION("""COMPUTED_VALUE"""),"82o 11' 49""")</f>
        <v>82o 11' 49"</v>
      </c>
      <c r="M597" s="2" t="str">
        <f>IFERROR(__xludf.DUMMYFUNCTION("""COMPUTED_VALUE"""),"(Mugu)")</f>
        <v>(Mugu)</v>
      </c>
    </row>
    <row r="598">
      <c r="A598" s="2">
        <f>IFERROR(__xludf.DUMMYFUNCTION("""COMPUTED_VALUE"""),597.0)</f>
        <v>597</v>
      </c>
      <c r="B598" s="2" t="str">
        <f>IFERROR(__xludf.DUMMYFUNCTION("""COMPUTED_VALUE"""),"Dudhkunda")</f>
        <v>Dudhkunda</v>
      </c>
      <c r="C598" s="2">
        <f>IFERROR(__xludf.DUMMYFUNCTION("""COMPUTED_VALUE"""),6.0)</f>
        <v>6</v>
      </c>
      <c r="D598" s="2" t="str">
        <f>IFERROR(__xludf.DUMMYFUNCTION("""COMPUTED_VALUE"""),"Dudhunda")</f>
        <v>Dudhunda</v>
      </c>
      <c r="E598" s="2">
        <f>IFERROR(__xludf.DUMMYFUNCTION("""COMPUTED_VALUE"""),382.0)</f>
        <v>382</v>
      </c>
      <c r="F598" s="3">
        <f>IFERROR(__xludf.DUMMYFUNCTION("""COMPUTED_VALUE"""),60377.0)</f>
        <v>60377</v>
      </c>
      <c r="G598" s="2" t="str">
        <f>IFERROR(__xludf.DUMMYFUNCTION("""COMPUTED_VALUE"""),"Pugajen Sherpa,")</f>
        <v>Pugajen Sherpa,</v>
      </c>
      <c r="H598" s="2" t="str">
        <f>IFERROR(__xludf.DUMMYFUNCTION("""COMPUTED_VALUE"""),"Baudha Kathmandu Tel 9851106680")</f>
        <v>Baudha Kathmandu Tel 9851106680</v>
      </c>
      <c r="I598" s="2" t="str">
        <f>IFERROR(__xludf.DUMMYFUNCTION("""COMPUTED_VALUE"""),"27o 33' 24""")</f>
        <v>27o 33' 24"</v>
      </c>
      <c r="J598" s="2" t="str">
        <f>IFERROR(__xludf.DUMMYFUNCTION("""COMPUTED_VALUE"""),"27o 37' 51""")</f>
        <v>27o 37' 51"</v>
      </c>
      <c r="K598" s="2" t="str">
        <f>IFERROR(__xludf.DUMMYFUNCTION("""COMPUTED_VALUE"""),"86o 34' 25""")</f>
        <v>86o 34' 25"</v>
      </c>
      <c r="L598" s="2" t="str">
        <f>IFERROR(__xludf.DUMMYFUNCTION("""COMPUTED_VALUE"""),"86o 37' 00""")</f>
        <v>86o 37' 00"</v>
      </c>
      <c r="M598" s="2" t="str">
        <f>IFERROR(__xludf.DUMMYFUNCTION("""COMPUTED_VALUE"""),"Beni,Takasindu (Solukhumbu)")</f>
        <v>Beni,Takasindu (Solukhumbu)</v>
      </c>
    </row>
    <row r="599">
      <c r="A599" s="2">
        <f>IFERROR(__xludf.DUMMYFUNCTION("""COMPUTED_VALUE"""),598.0)</f>
        <v>598</v>
      </c>
      <c r="B599" s="2" t="str">
        <f>IFERROR(__xludf.DUMMYFUNCTION("""COMPUTED_VALUE"""),"Upper Piluwa")</f>
        <v>Upper Piluwa</v>
      </c>
      <c r="C599" s="2">
        <f>IFERROR(__xludf.DUMMYFUNCTION("""COMPUTED_VALUE"""),0.996)</f>
        <v>0.996</v>
      </c>
      <c r="D599" s="2" t="str">
        <f>IFERROR(__xludf.DUMMYFUNCTION("""COMPUTED_VALUE"""),"Piluwa Khola")</f>
        <v>Piluwa Khola</v>
      </c>
      <c r="E599" s="2"/>
      <c r="F599" s="3">
        <f>IFERROR(__xludf.DUMMYFUNCTION("""COMPUTED_VALUE"""),60378.0)</f>
        <v>60378</v>
      </c>
      <c r="G599" s="2" t="str">
        <f>IFERROR(__xludf.DUMMYFUNCTION("""COMPUTED_VALUE"""),"Shankar Narayan Linthep")</f>
        <v>Shankar Narayan Linthep</v>
      </c>
      <c r="H599" s="2"/>
      <c r="I599" s="2" t="str">
        <f>IFERROR(__xludf.DUMMYFUNCTION("""COMPUTED_VALUE"""),"27o 17' 40""")</f>
        <v>27o 17' 40"</v>
      </c>
      <c r="J599" s="2" t="str">
        <f>IFERROR(__xludf.DUMMYFUNCTION("""COMPUTED_VALUE"""),"27o 18' 01""")</f>
        <v>27o 18' 01"</v>
      </c>
      <c r="K599" s="2" t="str">
        <f>IFERROR(__xludf.DUMMYFUNCTION("""COMPUTED_VALUE"""),"87o 23' 18""")</f>
        <v>87o 23' 18"</v>
      </c>
      <c r="L599" s="2" t="str">
        <f>IFERROR(__xludf.DUMMYFUNCTION("""COMPUTED_VALUE"""),"87o 24' 21""")</f>
        <v>87o 24' 21"</v>
      </c>
      <c r="M599" s="2" t="str">
        <f>IFERROR(__xludf.DUMMYFUNCTION("""COMPUTED_VALUE"""),"(Sankhuwasabha)")</f>
        <v>(Sankhuwasabha)</v>
      </c>
    </row>
    <row r="600">
      <c r="A600" s="2">
        <f>IFERROR(__xludf.DUMMYFUNCTION("""COMPUTED_VALUE"""),599.0)</f>
        <v>599</v>
      </c>
      <c r="B600" s="2" t="str">
        <f>IFERROR(__xludf.DUMMYFUNCTION("""COMPUTED_VALUE"""),"Hewa Khola")</f>
        <v>Hewa Khola</v>
      </c>
      <c r="C600" s="2">
        <f>IFERROR(__xludf.DUMMYFUNCTION("""COMPUTED_VALUE"""),0.964)</f>
        <v>0.964</v>
      </c>
      <c r="D600" s="2" t="str">
        <f>IFERROR(__xludf.DUMMYFUNCTION("""COMPUTED_VALUE"""),"Hewa Khola")</f>
        <v>Hewa Khola</v>
      </c>
      <c r="E600" s="2"/>
      <c r="F600" s="3">
        <f>IFERROR(__xludf.DUMMYFUNCTION("""COMPUTED_VALUE"""),60380.0)</f>
        <v>60380</v>
      </c>
      <c r="G600" s="2" t="str">
        <f>IFERROR(__xludf.DUMMYFUNCTION("""COMPUTED_VALUE"""),"Tek Bdr. Kambang")</f>
        <v>Tek Bdr. Kambang</v>
      </c>
      <c r="H600" s="2"/>
      <c r="I600" s="2" t="str">
        <f>IFERROR(__xludf.DUMMYFUNCTION("""COMPUTED_VALUE"""),"27o 10' 55""")</f>
        <v>27o 10' 55"</v>
      </c>
      <c r="J600" s="2" t="str">
        <f>IFERROR(__xludf.DUMMYFUNCTION("""COMPUTED_VALUE"""),"27o 11' 22""")</f>
        <v>27o 11' 22"</v>
      </c>
      <c r="K600" s="2" t="str">
        <f>IFERROR(__xludf.DUMMYFUNCTION("""COMPUTED_VALUE"""),"87o 53' 58""")</f>
        <v>87o 53' 58"</v>
      </c>
      <c r="L600" s="2" t="str">
        <f>IFERROR(__xludf.DUMMYFUNCTION("""COMPUTED_VALUE"""),"87o 55' 42""")</f>
        <v>87o 55' 42"</v>
      </c>
      <c r="M600" s="2" t="str">
        <f>IFERROR(__xludf.DUMMYFUNCTION("""COMPUTED_VALUE"""),"(Panchthar)")</f>
        <v>(Panchthar)</v>
      </c>
    </row>
    <row r="601">
      <c r="A601" s="2">
        <f>IFERROR(__xludf.DUMMYFUNCTION("""COMPUTED_VALUE"""),600.0)</f>
        <v>600</v>
      </c>
      <c r="B601" s="2" t="str">
        <f>IFERROR(__xludf.DUMMYFUNCTION("""COMPUTED_VALUE"""),"Ridi Khola - 1")</f>
        <v>Ridi Khola - 1</v>
      </c>
      <c r="C601" s="2">
        <f>IFERROR(__xludf.DUMMYFUNCTION("""COMPUTED_VALUE"""),0.99)</f>
        <v>0.99</v>
      </c>
      <c r="D601" s="2" t="str">
        <f>IFERROR(__xludf.DUMMYFUNCTION("""COMPUTED_VALUE"""),"Ridi")</f>
        <v>Ridi</v>
      </c>
      <c r="E601" s="2"/>
      <c r="F601" s="3">
        <f>IFERROR(__xludf.DUMMYFUNCTION("""COMPUTED_VALUE"""),60381.0)</f>
        <v>60381</v>
      </c>
      <c r="G601" s="2" t="str">
        <f>IFERROR(__xludf.DUMMYFUNCTION("""COMPUTED_VALUE"""),"Khodaija and Hajara National Dev. Hydropower P Ltd")</f>
        <v>Khodaija and Hajara National Dev. Hydropower P Ltd</v>
      </c>
      <c r="H601" s="2" t="str">
        <f>IFERROR(__xludf.DUMMYFUNCTION("""COMPUTED_VALUE"""),"Birpur -9, Kapilvastu")</f>
        <v>Birpur -9, Kapilvastu</v>
      </c>
      <c r="I601" s="2" t="str">
        <f>IFERROR(__xludf.DUMMYFUNCTION("""COMPUTED_VALUE"""),"27o 55' 30""")</f>
        <v>27o 55' 30"</v>
      </c>
      <c r="J601" s="2" t="str">
        <f>IFERROR(__xludf.DUMMYFUNCTION("""COMPUTED_VALUE"""),"27o 57' 05""")</f>
        <v>27o 57' 05"</v>
      </c>
      <c r="K601" s="2" t="str">
        <f>IFERROR(__xludf.DUMMYFUNCTION("""COMPUTED_VALUE"""),"83o 18' 30""")</f>
        <v>83o 18' 30"</v>
      </c>
      <c r="L601" s="2" t="str">
        <f>IFERROR(__xludf.DUMMYFUNCTION("""COMPUTED_VALUE"""),"83o 21' 00""")</f>
        <v>83o 21' 00"</v>
      </c>
      <c r="M601" s="2" t="str">
        <f>IFERROR(__xludf.DUMMYFUNCTION("""COMPUTED_VALUE"""),"(Palpa)")</f>
        <v>(Palpa)</v>
      </c>
    </row>
    <row r="602">
      <c r="A602" s="2">
        <f>IFERROR(__xludf.DUMMYFUNCTION("""COMPUTED_VALUE"""),601.0)</f>
        <v>601</v>
      </c>
      <c r="B602" s="2" t="str">
        <f>IFERROR(__xludf.DUMMYFUNCTION("""COMPUTED_VALUE"""),"Upper Daraundi-1")</f>
        <v>Upper Daraundi-1</v>
      </c>
      <c r="C602" s="2">
        <f>IFERROR(__xludf.DUMMYFUNCTION("""COMPUTED_VALUE"""),4.0)</f>
        <v>4</v>
      </c>
      <c r="D602" s="2" t="str">
        <f>IFERROR(__xludf.DUMMYFUNCTION("""COMPUTED_VALUE"""),"Daraundi")</f>
        <v>Daraundi</v>
      </c>
      <c r="E602" s="2"/>
      <c r="F602" s="3">
        <f>IFERROR(__xludf.DUMMYFUNCTION("""COMPUTED_VALUE"""),60383.0)</f>
        <v>60383</v>
      </c>
      <c r="G602" s="2" t="str">
        <f>IFERROR(__xludf.DUMMYFUNCTION("""COMPUTED_VALUE"""),"Ramraman Bhaskar, Rijan Mainali")</f>
        <v>Ramraman Bhaskar, Rijan Mainali</v>
      </c>
      <c r="H602" s="2"/>
      <c r="I602" s="2" t="str">
        <f>IFERROR(__xludf.DUMMYFUNCTION("""COMPUTED_VALUE"""),"28o 13' 24""")</f>
        <v>28o 13' 24"</v>
      </c>
      <c r="J602" s="2" t="str">
        <f>IFERROR(__xludf.DUMMYFUNCTION("""COMPUTED_VALUE"""),"28o 15' 00""")</f>
        <v>28o 15' 00"</v>
      </c>
      <c r="K602" s="2" t="str">
        <f>IFERROR(__xludf.DUMMYFUNCTION("""COMPUTED_VALUE"""),"84o 43' 35""")</f>
        <v>84o 43' 35"</v>
      </c>
      <c r="L602" s="2" t="str">
        <f>IFERROR(__xludf.DUMMYFUNCTION("""COMPUTED_VALUE"""),"84o 44' 39""")</f>
        <v>84o 44' 39"</v>
      </c>
      <c r="M602" s="2" t="str">
        <f>IFERROR(__xludf.DUMMYFUNCTION("""COMPUTED_VALUE"""),"(Gorkha)")</f>
        <v>(Gorkha)</v>
      </c>
    </row>
    <row r="603">
      <c r="A603" s="2">
        <f>IFERROR(__xludf.DUMMYFUNCTION("""COMPUTED_VALUE"""),602.0)</f>
        <v>602</v>
      </c>
      <c r="B603" s="2" t="str">
        <f>IFERROR(__xludf.DUMMYFUNCTION("""COMPUTED_VALUE"""),"Upper Dudhkoshi")</f>
        <v>Upper Dudhkoshi</v>
      </c>
      <c r="C603" s="2">
        <f>IFERROR(__xludf.DUMMYFUNCTION("""COMPUTED_VALUE"""),10.5)</f>
        <v>10.5</v>
      </c>
      <c r="D603" s="2" t="str">
        <f>IFERROR(__xludf.DUMMYFUNCTION("""COMPUTED_VALUE"""),"Dudh Koshi")</f>
        <v>Dudh Koshi</v>
      </c>
      <c r="E603" s="2"/>
      <c r="F603" s="3">
        <f>IFERROR(__xludf.DUMMYFUNCTION("""COMPUTED_VALUE"""),60383.0)</f>
        <v>60383</v>
      </c>
      <c r="G603" s="2" t="str">
        <f>IFERROR(__xludf.DUMMYFUNCTION("""COMPUTED_VALUE"""),"Perfect Energy development P. Ltd")</f>
        <v>Perfect Energy development P. Ltd</v>
      </c>
      <c r="H603" s="2"/>
      <c r="I603" s="2" t="str">
        <f>IFERROR(__xludf.DUMMYFUNCTION("""COMPUTED_VALUE"""),"27o 45' 00""")</f>
        <v>27o 45' 00"</v>
      </c>
      <c r="J603" s="2" t="str">
        <f>IFERROR(__xludf.DUMMYFUNCTION("""COMPUTED_VALUE"""),"27o 50' 00""")</f>
        <v>27o 50' 00"</v>
      </c>
      <c r="K603" s="2" t="str">
        <f>IFERROR(__xludf.DUMMYFUNCTION("""COMPUTED_VALUE"""),"86o 40' 00""")</f>
        <v>86o 40' 00"</v>
      </c>
      <c r="L603" s="2" t="str">
        <f>IFERROR(__xludf.DUMMYFUNCTION("""COMPUTED_VALUE"""),"86o 45' 00""")</f>
        <v>86o 45' 00"</v>
      </c>
      <c r="M603" s="2" t="str">
        <f>IFERROR(__xludf.DUMMYFUNCTION("""COMPUTED_VALUE"""),"(Solukhumbu)")</f>
        <v>(Solukhumbu)</v>
      </c>
    </row>
    <row r="604">
      <c r="A604" s="2">
        <f>IFERROR(__xludf.DUMMYFUNCTION("""COMPUTED_VALUE"""),603.0)</f>
        <v>603</v>
      </c>
      <c r="B604" s="2" t="str">
        <f>IFERROR(__xludf.DUMMYFUNCTION("""COMPUTED_VALUE"""),"Leguwa-2")</f>
        <v>Leguwa-2</v>
      </c>
      <c r="C604" s="2">
        <f>IFERROR(__xludf.DUMMYFUNCTION("""COMPUTED_VALUE"""),0.429)</f>
        <v>0.429</v>
      </c>
      <c r="D604" s="2" t="str">
        <f>IFERROR(__xludf.DUMMYFUNCTION("""COMPUTED_VALUE"""),"Leguwa")</f>
        <v>Leguwa</v>
      </c>
      <c r="E604" s="2"/>
      <c r="F604" s="3">
        <f>IFERROR(__xludf.DUMMYFUNCTION("""COMPUTED_VALUE"""),60384.0)</f>
        <v>60384</v>
      </c>
      <c r="G604" s="2" t="str">
        <f>IFERROR(__xludf.DUMMYFUNCTION("""COMPUTED_VALUE"""),"Anup K.C.")</f>
        <v>Anup K.C.</v>
      </c>
      <c r="H604" s="2"/>
      <c r="I604" s="2" t="str">
        <f>IFERROR(__xludf.DUMMYFUNCTION("""COMPUTED_VALUE"""),"27o 09' 08""")</f>
        <v>27o 09' 08"</v>
      </c>
      <c r="J604" s="2" t="str">
        <f>IFERROR(__xludf.DUMMYFUNCTION("""COMPUTED_VALUE"""),"27o 10' 37""")</f>
        <v>27o 10' 37"</v>
      </c>
      <c r="K604" s="2" t="str">
        <f>IFERROR(__xludf.DUMMYFUNCTION("""COMPUTED_VALUE"""),"87o 22' 30""")</f>
        <v>87o 22' 30"</v>
      </c>
      <c r="L604" s="2" t="str">
        <f>IFERROR(__xludf.DUMMYFUNCTION("""COMPUTED_VALUE"""),"87o 23' 36""")</f>
        <v>87o 23' 36"</v>
      </c>
      <c r="M604" s="2" t="str">
        <f>IFERROR(__xludf.DUMMYFUNCTION("""COMPUTED_VALUE"""),"Marek Kataharl (Dhankuta)")</f>
        <v>Marek Kataharl (Dhankuta)</v>
      </c>
    </row>
    <row r="605">
      <c r="A605" s="2">
        <f>IFERROR(__xludf.DUMMYFUNCTION("""COMPUTED_VALUE"""),604.0)</f>
        <v>604</v>
      </c>
      <c r="B605" s="2" t="str">
        <f>IFERROR(__xludf.DUMMYFUNCTION("""COMPUTED_VALUE"""),"Leguwa -2")</f>
        <v>Leguwa -2</v>
      </c>
      <c r="C605" s="2">
        <f>IFERROR(__xludf.DUMMYFUNCTION("""COMPUTED_VALUE"""),0.429)</f>
        <v>0.429</v>
      </c>
      <c r="D605" s="2" t="str">
        <f>IFERROR(__xludf.DUMMYFUNCTION("""COMPUTED_VALUE"""),"Leguwa")</f>
        <v>Leguwa</v>
      </c>
      <c r="E605" s="2">
        <f>IFERROR(__xludf.DUMMYFUNCTION("""COMPUTED_VALUE"""),484.0)</f>
        <v>484</v>
      </c>
      <c r="F605" s="3">
        <f>IFERROR(__xludf.DUMMYFUNCTION("""COMPUTED_VALUE"""),60384.0)</f>
        <v>60384</v>
      </c>
      <c r="G605" s="2" t="str">
        <f>IFERROR(__xludf.DUMMYFUNCTION("""COMPUTED_VALUE"""),"Anup K. C.")</f>
        <v>Anup K. C.</v>
      </c>
      <c r="H605" s="2"/>
      <c r="I605" s="2" t="str">
        <f>IFERROR(__xludf.DUMMYFUNCTION("""COMPUTED_VALUE"""),"27o 09' 08""")</f>
        <v>27o 09' 08"</v>
      </c>
      <c r="J605" s="2" t="str">
        <f>IFERROR(__xludf.DUMMYFUNCTION("""COMPUTED_VALUE"""),"27o 10' 37""")</f>
        <v>27o 10' 37"</v>
      </c>
      <c r="K605" s="2" t="str">
        <f>IFERROR(__xludf.DUMMYFUNCTION("""COMPUTED_VALUE"""),"87o 22' 30""")</f>
        <v>87o 22' 30"</v>
      </c>
      <c r="L605" s="2" t="str">
        <f>IFERROR(__xludf.DUMMYFUNCTION("""COMPUTED_VALUE"""),"87o 23' 36""")</f>
        <v>87o 23' 36"</v>
      </c>
      <c r="M605" s="2" t="str">
        <f>IFERROR(__xludf.DUMMYFUNCTION("""COMPUTED_VALUE"""),"Salme (Nuwakot)")</f>
        <v>Salme (Nuwakot)</v>
      </c>
    </row>
    <row r="606">
      <c r="A606" s="2">
        <f>IFERROR(__xludf.DUMMYFUNCTION("""COMPUTED_VALUE"""),605.0)</f>
        <v>605</v>
      </c>
      <c r="B606" s="2" t="str">
        <f>IFERROR(__xludf.DUMMYFUNCTION("""COMPUTED_VALUE"""),"Dudhkoshi Medium")</f>
        <v>Dudhkoshi Medium</v>
      </c>
      <c r="C606" s="2">
        <f>IFERROR(__xludf.DUMMYFUNCTION("""COMPUTED_VALUE"""),102.0)</f>
        <v>102</v>
      </c>
      <c r="D606" s="2" t="str">
        <f>IFERROR(__xludf.DUMMYFUNCTION("""COMPUTED_VALUE"""),"Dudh Koshi")</f>
        <v>Dudh Koshi</v>
      </c>
      <c r="E606" s="2"/>
      <c r="F606" s="3">
        <f>IFERROR(__xludf.DUMMYFUNCTION("""COMPUTED_VALUE"""),60385.0)</f>
        <v>60385</v>
      </c>
      <c r="G606" s="2" t="str">
        <f>IFERROR(__xludf.DUMMYFUNCTION("""COMPUTED_VALUE"""),"Kesang Diki Lama (Landmark mine Research Co.Pvt.Ltd)")</f>
        <v>Kesang Diki Lama (Landmark mine Research Co.Pvt.Ltd)</v>
      </c>
      <c r="H606" s="2" t="str">
        <f>IFERROR(__xludf.DUMMYFUNCTION("""COMPUTED_VALUE"""),"Lalitpur-4, Ph : 5525184, 9841401196")</f>
        <v>Lalitpur-4, Ph : 5525184, 9841401196</v>
      </c>
      <c r="I606" s="2" t="str">
        <f>IFERROR(__xludf.DUMMYFUNCTION("""COMPUTED_VALUE"""),"27o 40' 00""")</f>
        <v>27o 40' 00"</v>
      </c>
      <c r="J606" s="2" t="str">
        <f>IFERROR(__xludf.DUMMYFUNCTION("""COMPUTED_VALUE"""),"27o 42' 22""")</f>
        <v>27o 42' 22"</v>
      </c>
      <c r="K606" s="2" t="str">
        <f>IFERROR(__xludf.DUMMYFUNCTION("""COMPUTED_VALUE"""),"86o 41' 44""")</f>
        <v>86o 41' 44"</v>
      </c>
      <c r="L606" s="2" t="str">
        <f>IFERROR(__xludf.DUMMYFUNCTION("""COMPUTED_VALUE"""),"86o 43' 36""")</f>
        <v>86o 43' 36"</v>
      </c>
      <c r="M606" s="2" t="str">
        <f>IFERROR(__xludf.DUMMYFUNCTION("""COMPUTED_VALUE"""),"(Solukhumbu)")</f>
        <v>(Solukhumbu)</v>
      </c>
    </row>
    <row r="607">
      <c r="A607" s="2">
        <f>IFERROR(__xludf.DUMMYFUNCTION("""COMPUTED_VALUE"""),606.0)</f>
        <v>606</v>
      </c>
      <c r="B607" s="2" t="str">
        <f>IFERROR(__xludf.DUMMYFUNCTION("""COMPUTED_VALUE"""),"Bheri-4 HPP")</f>
        <v>Bheri-4 HPP</v>
      </c>
      <c r="C607" s="2">
        <f>IFERROR(__xludf.DUMMYFUNCTION("""COMPUTED_VALUE"""),668.0)</f>
        <v>668</v>
      </c>
      <c r="D607" s="2" t="str">
        <f>IFERROR(__xludf.DUMMYFUNCTION("""COMPUTED_VALUE"""),"Bheri")</f>
        <v>Bheri</v>
      </c>
      <c r="E607" s="2">
        <f>IFERROR(__xludf.DUMMYFUNCTION("""COMPUTED_VALUE"""),504.0)</f>
        <v>504</v>
      </c>
      <c r="F607" s="3">
        <f>IFERROR(__xludf.DUMMYFUNCTION("""COMPUTED_VALUE"""),60385.0)</f>
        <v>60385</v>
      </c>
      <c r="G607" s="2" t="str">
        <f>IFERROR(__xludf.DUMMYFUNCTION("""COMPUTED_VALUE"""),"Moserbaer Hydroelectric Power Limited")</f>
        <v>Moserbaer Hydroelectric Power Limited</v>
      </c>
      <c r="H607" s="2" t="str">
        <f>IFERROR(__xludf.DUMMYFUNCTION("""COMPUTED_VALUE"""),"43B, Okhla Industrial Estate,New Delhi-110020, India")</f>
        <v>43B, Okhla Industrial Estate,New Delhi-110020, India</v>
      </c>
      <c r="I607" s="2" t="str">
        <f>IFERROR(__xludf.DUMMYFUNCTION("""COMPUTED_VALUE"""),"28o 36' 30""")</f>
        <v>28o 36' 30"</v>
      </c>
      <c r="J607" s="2" t="str">
        <f>IFERROR(__xludf.DUMMYFUNCTION("""COMPUTED_VALUE"""),"28o 43' 45""")</f>
        <v>28o 43' 45"</v>
      </c>
      <c r="K607" s="2" t="str">
        <f>IFERROR(__xludf.DUMMYFUNCTION("""COMPUTED_VALUE"""),"82o 01' 45""")</f>
        <v>82o 01' 45"</v>
      </c>
      <c r="L607" s="2" t="str">
        <f>IFERROR(__xludf.DUMMYFUNCTION("""COMPUTED_VALUE"""),"82o 17' 30""")</f>
        <v>82o 17' 30"</v>
      </c>
      <c r="M607" s="2" t="str">
        <f>IFERROR(__xludf.DUMMYFUNCTION("""COMPUTED_VALUE"""),"Bhoor (Jajarkot)")</f>
        <v>Bhoor (Jajarkot)</v>
      </c>
    </row>
    <row r="608">
      <c r="A608" s="2">
        <f>IFERROR(__xludf.DUMMYFUNCTION("""COMPUTED_VALUE"""),607.0)</f>
        <v>607</v>
      </c>
      <c r="B608" s="2" t="str">
        <f>IFERROR(__xludf.DUMMYFUNCTION("""COMPUTED_VALUE"""),"Tarapkhola")</f>
        <v>Tarapkhola</v>
      </c>
      <c r="C608" s="2">
        <f>IFERROR(__xludf.DUMMYFUNCTION("""COMPUTED_VALUE"""),15.0)</f>
        <v>15</v>
      </c>
      <c r="D608" s="2" t="str">
        <f>IFERROR(__xludf.DUMMYFUNCTION("""COMPUTED_VALUE"""),"Tarap")</f>
        <v>Tarap</v>
      </c>
      <c r="E608" s="2"/>
      <c r="F608" s="3">
        <f>IFERROR(__xludf.DUMMYFUNCTION("""COMPUTED_VALUE"""),60386.0)</f>
        <v>60386</v>
      </c>
      <c r="G608" s="2" t="str">
        <f>IFERROR(__xludf.DUMMYFUNCTION("""COMPUTED_VALUE"""),"Mihitra Hydropower P. Ltd.")</f>
        <v>Mihitra Hydropower P. Ltd.</v>
      </c>
      <c r="H608" s="2"/>
      <c r="I608" s="2" t="str">
        <f>IFERROR(__xludf.DUMMYFUNCTION("""COMPUTED_VALUE"""),"28o 53' 46""")</f>
        <v>28o 53' 46"</v>
      </c>
      <c r="J608" s="2" t="str">
        <f>IFERROR(__xludf.DUMMYFUNCTION("""COMPUTED_VALUE"""),"28o 56' 00""")</f>
        <v>28o 56' 00"</v>
      </c>
      <c r="K608" s="2" t="str">
        <f>IFERROR(__xludf.DUMMYFUNCTION("""COMPUTED_VALUE"""),"83o 01' 30""")</f>
        <v>83o 01' 30"</v>
      </c>
      <c r="L608" s="2" t="str">
        <f>IFERROR(__xludf.DUMMYFUNCTION("""COMPUTED_VALUE"""),"83o 03' 21""")</f>
        <v>83o 03' 21"</v>
      </c>
      <c r="M608" s="2" t="str">
        <f>IFERROR(__xludf.DUMMYFUNCTION("""COMPUTED_VALUE"""),"(Dolpa)")</f>
        <v>(Dolpa)</v>
      </c>
    </row>
    <row r="609">
      <c r="A609" s="2">
        <f>IFERROR(__xludf.DUMMYFUNCTION("""COMPUTED_VALUE"""),608.0)</f>
        <v>608</v>
      </c>
      <c r="B609" s="2" t="str">
        <f>IFERROR(__xludf.DUMMYFUNCTION("""COMPUTED_VALUE"""),"Muglu Khola")</f>
        <v>Muglu Khola</v>
      </c>
      <c r="C609" s="2">
        <f>IFERROR(__xludf.DUMMYFUNCTION("""COMPUTED_VALUE"""),4.38)</f>
        <v>4.38</v>
      </c>
      <c r="D609" s="2" t="str">
        <f>IFERROR(__xludf.DUMMYFUNCTION("""COMPUTED_VALUE"""),"Muglu")</f>
        <v>Muglu</v>
      </c>
      <c r="E609" s="2"/>
      <c r="F609" s="3">
        <f>IFERROR(__xludf.DUMMYFUNCTION("""COMPUTED_VALUE"""),60386.0)</f>
        <v>60386</v>
      </c>
      <c r="G609" s="2" t="str">
        <f>IFERROR(__xludf.DUMMYFUNCTION("""COMPUTED_VALUE"""),"Prabha Sh Pokhrel, Manjula Singh, Dawa Sherpa, Keshab Pd Sinkhada")</f>
        <v>Prabha Sh Pokhrel, Manjula Singh, Dawa Sherpa, Keshab Pd Sinkhada</v>
      </c>
      <c r="H609" s="2"/>
      <c r="I609" s="2" t="str">
        <f>IFERROR(__xludf.DUMMYFUNCTION("""COMPUTED_VALUE"""),"28o 35' 56""")</f>
        <v>28o 35' 56"</v>
      </c>
      <c r="J609" s="2" t="str">
        <f>IFERROR(__xludf.DUMMYFUNCTION("""COMPUTED_VALUE"""),"28o 37' 01""")</f>
        <v>28o 37' 01"</v>
      </c>
      <c r="K609" s="2" t="str">
        <f>IFERROR(__xludf.DUMMYFUNCTION("""COMPUTED_VALUE"""),"82o 26' 53""")</f>
        <v>82o 26' 53"</v>
      </c>
      <c r="L609" s="2" t="str">
        <f>IFERROR(__xludf.DUMMYFUNCTION("""COMPUTED_VALUE"""),"82o 28' 49""")</f>
        <v>82o 28' 49"</v>
      </c>
      <c r="M609" s="2" t="str">
        <f>IFERROR(__xludf.DUMMYFUNCTION("""COMPUTED_VALUE"""),"(Rukum)")</f>
        <v>(Rukum)</v>
      </c>
    </row>
    <row r="610">
      <c r="A610" s="2">
        <f>IFERROR(__xludf.DUMMYFUNCTION("""COMPUTED_VALUE"""),609.0)</f>
        <v>609</v>
      </c>
      <c r="B610" s="2" t="str">
        <f>IFERROR(__xludf.DUMMYFUNCTION("""COMPUTED_VALUE"""),"Setinadi")</f>
        <v>Setinadi</v>
      </c>
      <c r="C610" s="2">
        <f>IFERROR(__xludf.DUMMYFUNCTION("""COMPUTED_VALUE"""),30.0)</f>
        <v>30</v>
      </c>
      <c r="D610" s="2" t="str">
        <f>IFERROR(__xludf.DUMMYFUNCTION("""COMPUTED_VALUE"""),"Seti Khola")</f>
        <v>Seti Khola</v>
      </c>
      <c r="E610" s="2"/>
      <c r="F610" s="3">
        <f>IFERROR(__xludf.DUMMYFUNCTION("""COMPUTED_VALUE"""),60386.0)</f>
        <v>60386</v>
      </c>
      <c r="G610" s="2" t="str">
        <f>IFERROR(__xludf.DUMMYFUNCTION("""COMPUTED_VALUE"""),"Kabya Hydro Power P. Ltd.")</f>
        <v>Kabya Hydro Power P. Ltd.</v>
      </c>
      <c r="H610" s="2"/>
      <c r="I610" s="2" t="str">
        <f>IFERROR(__xludf.DUMMYFUNCTION("""COMPUTED_VALUE"""),"27o 47' 00""")</f>
        <v>27o 47' 00"</v>
      </c>
      <c r="J610" s="2" t="str">
        <f>IFERROR(__xludf.DUMMYFUNCTION("""COMPUTED_VALUE"""),"27o 51' 47""")</f>
        <v>27o 51' 47"</v>
      </c>
      <c r="K610" s="2" t="str">
        <f>IFERROR(__xludf.DUMMYFUNCTION("""COMPUTED_VALUE"""),"84o 22' 33""")</f>
        <v>84o 22' 33"</v>
      </c>
      <c r="L610" s="2" t="str">
        <f>IFERROR(__xludf.DUMMYFUNCTION("""COMPUTED_VALUE"""),"84o 26' 15""")</f>
        <v>84o 26' 15"</v>
      </c>
      <c r="M610" s="2" t="str">
        <f>IFERROR(__xludf.DUMMYFUNCTION("""COMPUTED_VALUE"""),"(Tanahu)")</f>
        <v>(Tanahu)</v>
      </c>
    </row>
    <row r="611">
      <c r="A611" s="2">
        <f>IFERROR(__xludf.DUMMYFUNCTION("""COMPUTED_VALUE"""),610.0)</f>
        <v>610</v>
      </c>
      <c r="B611" s="2" t="str">
        <f>IFERROR(__xludf.DUMMYFUNCTION("""COMPUTED_VALUE"""),"KR - 2")</f>
        <v>KR - 2</v>
      </c>
      <c r="C611" s="2">
        <f>IFERROR(__xludf.DUMMYFUNCTION("""COMPUTED_VALUE"""),40.0)</f>
        <v>40</v>
      </c>
      <c r="D611" s="2" t="str">
        <f>IFERROR(__xludf.DUMMYFUNCTION("""COMPUTED_VALUE"""),"Karnali")</f>
        <v>Karnali</v>
      </c>
      <c r="E611" s="2"/>
      <c r="F611" s="3">
        <f>IFERROR(__xludf.DUMMYFUNCTION("""COMPUTED_VALUE"""),60386.0)</f>
        <v>60386</v>
      </c>
      <c r="G611" s="2" t="str">
        <f>IFERROR(__xludf.DUMMYFUNCTION("""COMPUTED_VALUE"""),"Koshal Raj Regmi")</f>
        <v>Koshal Raj Regmi</v>
      </c>
      <c r="H611" s="2"/>
      <c r="I611" s="2" t="str">
        <f>IFERROR(__xludf.DUMMYFUNCTION("""COMPUTED_VALUE"""),"28o 58' 00""")</f>
        <v>28o 58' 00"</v>
      </c>
      <c r="J611" s="2" t="str">
        <f>IFERROR(__xludf.DUMMYFUNCTION("""COMPUTED_VALUE"""),"29o 05' 00""")</f>
        <v>29o 05' 00"</v>
      </c>
      <c r="K611" s="2" t="str">
        <f>IFERROR(__xludf.DUMMYFUNCTION("""COMPUTED_VALUE"""),"81o 24' 35""")</f>
        <v>81o 24' 35"</v>
      </c>
      <c r="L611" s="2" t="str">
        <f>IFERROR(__xludf.DUMMYFUNCTION("""COMPUTED_VALUE"""),"81o 30' 00""")</f>
        <v>81o 30' 00"</v>
      </c>
      <c r="M611" s="2" t="str">
        <f>IFERROR(__xludf.DUMMYFUNCTION("""COMPUTED_VALUE"""),"(Dailekh)")</f>
        <v>(Dailekh)</v>
      </c>
    </row>
    <row r="612">
      <c r="A612" s="2">
        <f>IFERROR(__xludf.DUMMYFUNCTION("""COMPUTED_VALUE"""),611.0)</f>
        <v>611</v>
      </c>
      <c r="B612" s="2" t="str">
        <f>IFERROR(__xludf.DUMMYFUNCTION("""COMPUTED_VALUE"""),"Bihi-Budhigandaki")</f>
        <v>Bihi-Budhigandaki</v>
      </c>
      <c r="C612" s="2">
        <f>IFERROR(__xludf.DUMMYFUNCTION("""COMPUTED_VALUE"""),44.0)</f>
        <v>44</v>
      </c>
      <c r="D612" s="2" t="str">
        <f>IFERROR(__xludf.DUMMYFUNCTION("""COMPUTED_VALUE"""),"Budhi Gandaki")</f>
        <v>Budhi Gandaki</v>
      </c>
      <c r="E612" s="2"/>
      <c r="F612" s="3">
        <f>IFERROR(__xludf.DUMMYFUNCTION("""COMPUTED_VALUE"""),60387.0)</f>
        <v>60387</v>
      </c>
      <c r="G612" s="2" t="str">
        <f>IFERROR(__xludf.DUMMYFUNCTION("""COMPUTED_VALUE"""),"Paiyu Khola Power Company (P) Ltd")</f>
        <v>Paiyu Khola Power Company (P) Ltd</v>
      </c>
      <c r="H612" s="2" t="str">
        <f>IFERROR(__xludf.DUMMYFUNCTION("""COMPUTED_VALUE"""),"Banasthali, Kathmandu.")</f>
        <v>Banasthali, Kathmandu.</v>
      </c>
      <c r="I612" s="2" t="str">
        <f>IFERROR(__xludf.DUMMYFUNCTION("""COMPUTED_VALUE"""),"28o 26' 25""")</f>
        <v>28o 26' 25"</v>
      </c>
      <c r="J612" s="2" t="str">
        <f>IFERROR(__xludf.DUMMYFUNCTION("""COMPUTED_VALUE"""),"28o 30' 00""")</f>
        <v>28o 30' 00"</v>
      </c>
      <c r="K612" s="2" t="str">
        <f>IFERROR(__xludf.DUMMYFUNCTION("""COMPUTED_VALUE"""),"84o 51' 12""")</f>
        <v>84o 51' 12"</v>
      </c>
      <c r="L612" s="2" t="str">
        <f>IFERROR(__xludf.DUMMYFUNCTION("""COMPUTED_VALUE"""),"84o 55' 00""")</f>
        <v>84o 55' 00"</v>
      </c>
      <c r="M612" s="2" t="str">
        <f>IFERROR(__xludf.DUMMYFUNCTION("""COMPUTED_VALUE"""),"(Gorkha)")</f>
        <v>(Gorkha)</v>
      </c>
    </row>
    <row r="613">
      <c r="A613" s="2">
        <f>IFERROR(__xludf.DUMMYFUNCTION("""COMPUTED_VALUE"""),612.0)</f>
        <v>612</v>
      </c>
      <c r="B613" s="2" t="str">
        <f>IFERROR(__xludf.DUMMYFUNCTION("""COMPUTED_VALUE"""),"RaradahaKhola Pumped Storage")</f>
        <v>RaradahaKhola Pumped Storage</v>
      </c>
      <c r="C613" s="2">
        <f>IFERROR(__xludf.DUMMYFUNCTION("""COMPUTED_VALUE"""),9.4)</f>
        <v>9.4</v>
      </c>
      <c r="D613" s="2" t="str">
        <f>IFERROR(__xludf.DUMMYFUNCTION("""COMPUTED_VALUE"""),"Raradaha")</f>
        <v>Raradaha</v>
      </c>
      <c r="E613" s="2"/>
      <c r="F613" s="3">
        <f>IFERROR(__xludf.DUMMYFUNCTION("""COMPUTED_VALUE"""),60387.0)</f>
        <v>60387</v>
      </c>
      <c r="G613" s="2" t="str">
        <f>IFERROR(__xludf.DUMMYFUNCTION("""COMPUTED_VALUE"""),"Prabha Pokhrel, Manjula Singh")</f>
        <v>Prabha Pokhrel, Manjula Singh</v>
      </c>
      <c r="H613" s="2"/>
      <c r="I613" s="2" t="str">
        <f>IFERROR(__xludf.DUMMYFUNCTION("""COMPUTED_VALUE"""),"29o 30' 00""")</f>
        <v>29o 30' 00"</v>
      </c>
      <c r="J613" s="2" t="str">
        <f>IFERROR(__xludf.DUMMYFUNCTION("""COMPUTED_VALUE"""),"29o 34' 48""")</f>
        <v>29o 34' 48"</v>
      </c>
      <c r="K613" s="2" t="str">
        <f>IFERROR(__xludf.DUMMYFUNCTION("""COMPUTED_VALUE"""),"82o 01' 40""")</f>
        <v>82o 01' 40"</v>
      </c>
      <c r="L613" s="2" t="str">
        <f>IFERROR(__xludf.DUMMYFUNCTION("""COMPUTED_VALUE"""),"82o 10' 00""")</f>
        <v>82o 10' 00"</v>
      </c>
      <c r="M613" s="2" t="str">
        <f>IFERROR(__xludf.DUMMYFUNCTION("""COMPUTED_VALUE"""),"(Mugu)")</f>
        <v>(Mugu)</v>
      </c>
    </row>
    <row r="614">
      <c r="A614" s="2">
        <f>IFERROR(__xludf.DUMMYFUNCTION("""COMPUTED_VALUE"""),613.0)</f>
        <v>613</v>
      </c>
      <c r="B614" s="2" t="str">
        <f>IFERROR(__xludf.DUMMYFUNCTION("""COMPUTED_VALUE"""),"Kaligandaki Typlian")</f>
        <v>Kaligandaki Typlian</v>
      </c>
      <c r="C614" s="2">
        <f>IFERROR(__xludf.DUMMYFUNCTION("""COMPUTED_VALUE"""),67.7)</f>
        <v>67.7</v>
      </c>
      <c r="D614" s="2" t="str">
        <f>IFERROR(__xludf.DUMMYFUNCTION("""COMPUTED_VALUE"""),"Kali Gandaki")</f>
        <v>Kali Gandaki</v>
      </c>
      <c r="E614" s="2"/>
      <c r="F614" s="3">
        <f>IFERROR(__xludf.DUMMYFUNCTION("""COMPUTED_VALUE"""),60387.0)</f>
        <v>60387</v>
      </c>
      <c r="G614" s="2" t="str">
        <f>IFERROR(__xludf.DUMMYFUNCTION("""COMPUTED_VALUE"""),"IL&amp;FS Nepal Infrastructure Development Company")</f>
        <v>IL&amp;FS Nepal Infrastructure Development Company</v>
      </c>
      <c r="H614" s="2" t="str">
        <f>IFERROR(__xludf.DUMMYFUNCTION("""COMPUTED_VALUE"""),"Balkhu -14 , Tekusi, Kathmandu")</f>
        <v>Balkhu -14 , Tekusi, Kathmandu</v>
      </c>
      <c r="I614" s="2" t="str">
        <f>IFERROR(__xludf.DUMMYFUNCTION("""COMPUTED_VALUE"""),"28o 22' 30""")</f>
        <v>28o 22' 30"</v>
      </c>
      <c r="J614" s="2" t="str">
        <f>IFERROR(__xludf.DUMMYFUNCTION("""COMPUTED_VALUE"""),"28o 26' 40""")</f>
        <v>28o 26' 40"</v>
      </c>
      <c r="K614" s="2" t="str">
        <f>IFERROR(__xludf.DUMMYFUNCTION("""COMPUTED_VALUE"""),"83o 33' 40""")</f>
        <v>83o 33' 40"</v>
      </c>
      <c r="L614" s="2" t="str">
        <f>IFERROR(__xludf.DUMMYFUNCTION("""COMPUTED_VALUE"""),"83o 37' 30""")</f>
        <v>83o 37' 30"</v>
      </c>
      <c r="M614" s="2" t="str">
        <f>IFERROR(__xludf.DUMMYFUNCTION("""COMPUTED_VALUE"""),"(Myagdi)")</f>
        <v>(Myagdi)</v>
      </c>
    </row>
    <row r="615">
      <c r="A615" s="2">
        <f>IFERROR(__xludf.DUMMYFUNCTION("""COMPUTED_VALUE"""),614.0)</f>
        <v>614</v>
      </c>
      <c r="B615" s="2" t="str">
        <f>IFERROR(__xludf.DUMMYFUNCTION("""COMPUTED_VALUE"""),"Khani Khola")</f>
        <v>Khani Khola</v>
      </c>
      <c r="C615" s="2">
        <f>IFERROR(__xludf.DUMMYFUNCTION("""COMPUTED_VALUE"""),0.56)</f>
        <v>0.56</v>
      </c>
      <c r="D615" s="2" t="str">
        <f>IFERROR(__xludf.DUMMYFUNCTION("""COMPUTED_VALUE"""),"Khani Khola")</f>
        <v>Khani Khola</v>
      </c>
      <c r="E615" s="2"/>
      <c r="F615" s="3">
        <f>IFERROR(__xludf.DUMMYFUNCTION("""COMPUTED_VALUE"""),60387.0)</f>
        <v>60387</v>
      </c>
      <c r="G615" s="2" t="str">
        <f>IFERROR(__xludf.DUMMYFUNCTION("""COMPUTED_VALUE"""),"Champa Kumari Baruwal")</f>
        <v>Champa Kumari Baruwal</v>
      </c>
      <c r="H615" s="2"/>
      <c r="I615" s="2" t="str">
        <f>IFERROR(__xludf.DUMMYFUNCTION("""COMPUTED_VALUE"""),"27o 30' 00""")</f>
        <v>27o 30' 00"</v>
      </c>
      <c r="J615" s="2" t="str">
        <f>IFERROR(__xludf.DUMMYFUNCTION("""COMPUTED_VALUE"""),"27o 31' 38""")</f>
        <v>27o 31' 38"</v>
      </c>
      <c r="K615" s="2" t="str">
        <f>IFERROR(__xludf.DUMMYFUNCTION("""COMPUTED_VALUE"""),"85o 48' 41""")</f>
        <v>85o 48' 41"</v>
      </c>
      <c r="L615" s="2" t="str">
        <f>IFERROR(__xludf.DUMMYFUNCTION("""COMPUTED_VALUE"""),"85o 51' 44""")</f>
        <v>85o 51' 44"</v>
      </c>
      <c r="M615" s="2" t="str">
        <f>IFERROR(__xludf.DUMMYFUNCTION("""COMPUTED_VALUE"""),"(Kabhrepalanchok)")</f>
        <v>(Kabhrepalanchok)</v>
      </c>
    </row>
    <row r="616">
      <c r="A616" s="2">
        <f>IFERROR(__xludf.DUMMYFUNCTION("""COMPUTED_VALUE"""),615.0)</f>
        <v>615</v>
      </c>
      <c r="B616" s="2" t="str">
        <f>IFERROR(__xludf.DUMMYFUNCTION("""COMPUTED_VALUE"""),"Syarpu Dah")</f>
        <v>Syarpu Dah</v>
      </c>
      <c r="C616" s="2">
        <f>IFERROR(__xludf.DUMMYFUNCTION("""COMPUTED_VALUE"""),7.164)</f>
        <v>7.164</v>
      </c>
      <c r="D616" s="2" t="str">
        <f>IFERROR(__xludf.DUMMYFUNCTION("""COMPUTED_VALUE"""),"Syarpudaha")</f>
        <v>Syarpudaha</v>
      </c>
      <c r="E616" s="2"/>
      <c r="F616" s="3">
        <f>IFERROR(__xludf.DUMMYFUNCTION("""COMPUTED_VALUE"""),60387.0)</f>
        <v>60387</v>
      </c>
      <c r="G616" s="2" t="str">
        <f>IFERROR(__xludf.DUMMYFUNCTION("""COMPUTED_VALUE"""),"Prabha Dhungel, Manjula Singh")</f>
        <v>Prabha Dhungel, Manjula Singh</v>
      </c>
      <c r="H616" s="2"/>
      <c r="I616" s="2" t="str">
        <f>IFERROR(__xludf.DUMMYFUNCTION("""COMPUTED_VALUE"""),"28o 40' 26""")</f>
        <v>28o 40' 26"</v>
      </c>
      <c r="J616" s="2" t="str">
        <f>IFERROR(__xludf.DUMMYFUNCTION("""COMPUTED_VALUE"""),"28o 42' 30""")</f>
        <v>28o 42' 30"</v>
      </c>
      <c r="K616" s="2" t="str">
        <f>IFERROR(__xludf.DUMMYFUNCTION("""COMPUTED_VALUE"""),"82o 28' 22""")</f>
        <v>82o 28' 22"</v>
      </c>
      <c r="L616" s="2" t="str">
        <f>IFERROR(__xludf.DUMMYFUNCTION("""COMPUTED_VALUE"""),"82o 30' 00""")</f>
        <v>82o 30' 00"</v>
      </c>
      <c r="M616" s="2" t="str">
        <f>IFERROR(__xludf.DUMMYFUNCTION("""COMPUTED_VALUE"""),"(Rukum)")</f>
        <v>(Rukum)</v>
      </c>
    </row>
    <row r="617">
      <c r="A617" s="2">
        <f>IFERROR(__xludf.DUMMYFUNCTION("""COMPUTED_VALUE"""),616.0)</f>
        <v>616</v>
      </c>
      <c r="B617" s="2" t="str">
        <f>IFERROR(__xludf.DUMMYFUNCTION("""COMPUTED_VALUE"""),"Syarpudha")</f>
        <v>Syarpudha</v>
      </c>
      <c r="C617" s="2">
        <f>IFERROR(__xludf.DUMMYFUNCTION("""COMPUTED_VALUE"""),5.0)</f>
        <v>5</v>
      </c>
      <c r="D617" s="2"/>
      <c r="E617" s="2">
        <f>IFERROR(__xludf.DUMMYFUNCTION("""COMPUTED_VALUE"""),556.0)</f>
        <v>556</v>
      </c>
      <c r="F617" s="3">
        <f>IFERROR(__xludf.DUMMYFUNCTION("""COMPUTED_VALUE"""),60387.0)</f>
        <v>60387</v>
      </c>
      <c r="G617" s="2" t="str">
        <f>IFERROR(__xludf.DUMMYFUNCTION("""COMPUTED_VALUE"""),"Prabha Pokhrel ,Manjula Singh")</f>
        <v>Prabha Pokhrel ,Manjula Singh</v>
      </c>
      <c r="H617" s="2" t="str">
        <f>IFERROR(__xludf.DUMMYFUNCTION("""COMPUTED_VALUE"""),"Kathmandu")</f>
        <v>Kathmandu</v>
      </c>
      <c r="I617" s="2" t="str">
        <f>IFERROR(__xludf.DUMMYFUNCTION("""COMPUTED_VALUE"""),"28o 40' 26""")</f>
        <v>28o 40' 26"</v>
      </c>
      <c r="J617" s="2" t="str">
        <f>IFERROR(__xludf.DUMMYFUNCTION("""COMPUTED_VALUE"""),"28o 42' 30""")</f>
        <v>28o 42' 30"</v>
      </c>
      <c r="K617" s="2" t="str">
        <f>IFERROR(__xludf.DUMMYFUNCTION("""COMPUTED_VALUE"""),"82o 28' 22""")</f>
        <v>82o 28' 22"</v>
      </c>
      <c r="L617" s="2" t="str">
        <f>IFERROR(__xludf.DUMMYFUNCTION("""COMPUTED_VALUE"""),"82o 30' 00""")</f>
        <v>82o 30' 00"</v>
      </c>
      <c r="M617" s="2" t="str">
        <f>IFERROR(__xludf.DUMMYFUNCTION("""COMPUTED_VALUE"""),"Bapsekot (Rukum)")</f>
        <v>Bapsekot (Rukum)</v>
      </c>
    </row>
    <row r="618">
      <c r="A618" s="2">
        <f>IFERROR(__xludf.DUMMYFUNCTION("""COMPUTED_VALUE"""),617.0)</f>
        <v>617</v>
      </c>
      <c r="B618" s="2" t="str">
        <f>IFERROR(__xludf.DUMMYFUNCTION("""COMPUTED_VALUE"""),"Duli Khola")</f>
        <v>Duli Khola</v>
      </c>
      <c r="C618" s="2">
        <f>IFERROR(__xludf.DUMMYFUNCTION("""COMPUTED_VALUE"""),0.978)</f>
        <v>0.978</v>
      </c>
      <c r="D618" s="2" t="str">
        <f>IFERROR(__xludf.DUMMYFUNCTION("""COMPUTED_VALUE"""),"Duli")</f>
        <v>Duli</v>
      </c>
      <c r="E618" s="2"/>
      <c r="F618" s="2" t="str">
        <f>IFERROR(__xludf.DUMMYFUNCTION("""COMPUTED_VALUE"""),"2065-04-31")</f>
        <v>2065-04-31</v>
      </c>
      <c r="G618" s="2" t="str">
        <f>IFERROR(__xludf.DUMMYFUNCTION("""COMPUTED_VALUE"""),"Prabha Sharma Pokhrel/Manjula Singh/Raju Simkhada")</f>
        <v>Prabha Sharma Pokhrel/Manjula Singh/Raju Simkhada</v>
      </c>
      <c r="H618" s="2"/>
      <c r="I618" s="2" t="str">
        <f>IFERROR(__xludf.DUMMYFUNCTION("""COMPUTED_VALUE"""),"28o 40' 08""")</f>
        <v>28o 40' 08"</v>
      </c>
      <c r="J618" s="2" t="str">
        <f>IFERROR(__xludf.DUMMYFUNCTION("""COMPUTED_VALUE"""),"28o 41' 53""")</f>
        <v>28o 41' 53"</v>
      </c>
      <c r="K618" s="2" t="str">
        <f>IFERROR(__xludf.DUMMYFUNCTION("""COMPUTED_VALUE"""),"82o 26' 58""")</f>
        <v>82o 26' 58"</v>
      </c>
      <c r="L618" s="2" t="str">
        <f>IFERROR(__xludf.DUMMYFUNCTION("""COMPUTED_VALUE"""),"82o 27' 53""")</f>
        <v>82o 27' 53"</v>
      </c>
      <c r="M618" s="2" t="str">
        <f>IFERROR(__xludf.DUMMYFUNCTION("""COMPUTED_VALUE"""),"(Rukum)")</f>
        <v>(Rukum)</v>
      </c>
    </row>
    <row r="619">
      <c r="A619" s="2">
        <f>IFERROR(__xludf.DUMMYFUNCTION("""COMPUTED_VALUE"""),618.0)</f>
        <v>618</v>
      </c>
      <c r="B619" s="2" t="str">
        <f>IFERROR(__xludf.DUMMYFUNCTION("""COMPUTED_VALUE"""),"Trishuli")</f>
        <v>Trishuli</v>
      </c>
      <c r="C619" s="2">
        <f>IFERROR(__xludf.DUMMYFUNCTION("""COMPUTED_VALUE"""),70.0)</f>
        <v>70</v>
      </c>
      <c r="D619" s="2" t="str">
        <f>IFERROR(__xludf.DUMMYFUNCTION("""COMPUTED_VALUE"""),"Trishuli")</f>
        <v>Trishuli</v>
      </c>
      <c r="E619" s="2">
        <f>IFERROR(__xludf.DUMMYFUNCTION("""COMPUTED_VALUE"""),561.0)</f>
        <v>561</v>
      </c>
      <c r="F619" s="2" t="str">
        <f>IFERROR(__xludf.DUMMYFUNCTION("""COMPUTED_VALUE"""),"2065-04-31")</f>
        <v>2065-04-31</v>
      </c>
      <c r="G619" s="2" t="str">
        <f>IFERROR(__xludf.DUMMYFUNCTION("""COMPUTED_VALUE"""),"Y &amp; K Hydropower P. Ltd.")</f>
        <v>Y &amp; K Hydropower P. Ltd.</v>
      </c>
      <c r="H619" s="2"/>
      <c r="I619" s="2" t="str">
        <f>IFERROR(__xludf.DUMMYFUNCTION("""COMPUTED_VALUE"""),"27o 45' 00""")</f>
        <v>27o 45' 00"</v>
      </c>
      <c r="J619" s="2" t="str">
        <f>IFERROR(__xludf.DUMMYFUNCTION("""COMPUTED_VALUE"""),"27o 50' 16""")</f>
        <v>27o 50' 16"</v>
      </c>
      <c r="K619" s="2" t="str">
        <f>IFERROR(__xludf.DUMMYFUNCTION("""COMPUTED_VALUE"""),"84o 25' 30""")</f>
        <v>84o 25' 30"</v>
      </c>
      <c r="L619" s="2" t="str">
        <f>IFERROR(__xludf.DUMMYFUNCTION("""COMPUTED_VALUE"""),"84o 32' 30""")</f>
        <v>84o 32' 30"</v>
      </c>
      <c r="M619" s="2" t="str">
        <f>IFERROR(__xludf.DUMMYFUNCTION("""COMPUTED_VALUE"""),"(Tanahu)")</f>
        <v>(Tanahu)</v>
      </c>
    </row>
    <row r="620">
      <c r="A620" s="2">
        <f>IFERROR(__xludf.DUMMYFUNCTION("""COMPUTED_VALUE"""),619.0)</f>
        <v>619</v>
      </c>
      <c r="B620" s="2" t="str">
        <f>IFERROR(__xludf.DUMMYFUNCTION("""COMPUTED_VALUE"""),"Aphal Khola")</f>
        <v>Aphal Khola</v>
      </c>
      <c r="C620" s="2">
        <f>IFERROR(__xludf.DUMMYFUNCTION("""COMPUTED_VALUE"""),0.995)</f>
        <v>0.995</v>
      </c>
      <c r="D620" s="2" t="str">
        <f>IFERROR(__xludf.DUMMYFUNCTION("""COMPUTED_VALUE"""),"Aphal")</f>
        <v>Aphal</v>
      </c>
      <c r="E620" s="2"/>
      <c r="F620" s="3">
        <f>IFERROR(__xludf.DUMMYFUNCTION("""COMPUTED_VALUE"""),60389.0)</f>
        <v>60389</v>
      </c>
      <c r="G620" s="2" t="str">
        <f>IFERROR(__xludf.DUMMYFUNCTION("""COMPUTED_VALUE"""),"Mission Hydropower P. Ltd.")</f>
        <v>Mission Hydropower P. Ltd.</v>
      </c>
      <c r="H620" s="2"/>
      <c r="I620" s="2" t="str">
        <f>IFERROR(__xludf.DUMMYFUNCTION("""COMPUTED_VALUE"""),"28o 03' 35""")</f>
        <v>28o 03' 35"</v>
      </c>
      <c r="J620" s="2" t="str">
        <f>IFERROR(__xludf.DUMMYFUNCTION("""COMPUTED_VALUE"""),"28o 05' 00""")</f>
        <v>28o 05' 00"</v>
      </c>
      <c r="K620" s="2" t="str">
        <f>IFERROR(__xludf.DUMMYFUNCTION("""COMPUTED_VALUE"""),"84o 57' 25""")</f>
        <v>84o 57' 25"</v>
      </c>
      <c r="L620" s="2" t="str">
        <f>IFERROR(__xludf.DUMMYFUNCTION("""COMPUTED_VALUE"""),"84o 59' 15""")</f>
        <v>84o 59' 15"</v>
      </c>
      <c r="M620" s="2" t="str">
        <f>IFERROR(__xludf.DUMMYFUNCTION("""COMPUTED_VALUE"""),"(Dhading)")</f>
        <v>(Dhading)</v>
      </c>
    </row>
    <row r="621">
      <c r="A621" s="2">
        <f>IFERROR(__xludf.DUMMYFUNCTION("""COMPUTED_VALUE"""),620.0)</f>
        <v>620</v>
      </c>
      <c r="B621" s="2" t="str">
        <f>IFERROR(__xludf.DUMMYFUNCTION("""COMPUTED_VALUE"""),"Pegu Khola")</f>
        <v>Pegu Khola</v>
      </c>
      <c r="C621" s="2">
        <f>IFERROR(__xludf.DUMMYFUNCTION("""COMPUTED_VALUE"""),0.8)</f>
        <v>0.8</v>
      </c>
      <c r="D621" s="2" t="str">
        <f>IFERROR(__xludf.DUMMYFUNCTION("""COMPUTED_VALUE"""),"Pegu")</f>
        <v>Pegu</v>
      </c>
      <c r="E621" s="2"/>
      <c r="F621" s="3">
        <f>IFERROR(__xludf.DUMMYFUNCTION("""COMPUTED_VALUE"""),60389.0)</f>
        <v>60389</v>
      </c>
      <c r="G621" s="2" t="str">
        <f>IFERROR(__xludf.DUMMYFUNCTION("""COMPUTED_VALUE"""),"Rajesh Sharma")</f>
        <v>Rajesh Sharma</v>
      </c>
      <c r="H621" s="2"/>
      <c r="I621" s="2" t="str">
        <f>IFERROR(__xludf.DUMMYFUNCTION("""COMPUTED_VALUE"""),"27o 48' 48""")</f>
        <v>27o 48' 48"</v>
      </c>
      <c r="J621" s="2" t="str">
        <f>IFERROR(__xludf.DUMMYFUNCTION("""COMPUTED_VALUE"""),"27o 50' 41""")</f>
        <v>27o 50' 41"</v>
      </c>
      <c r="K621" s="2" t="str">
        <f>IFERROR(__xludf.DUMMYFUNCTION("""COMPUTED_VALUE"""),"86o 02' 44""")</f>
        <v>86o 02' 44"</v>
      </c>
      <c r="L621" s="2" t="str">
        <f>IFERROR(__xludf.DUMMYFUNCTION("""COMPUTED_VALUE"""),"86o 06' 15""")</f>
        <v>86o 06' 15"</v>
      </c>
      <c r="M621" s="2" t="str">
        <f>IFERROR(__xludf.DUMMYFUNCTION("""COMPUTED_VALUE"""),"(Dolakha)")</f>
        <v>(Dolakha)</v>
      </c>
    </row>
    <row r="622">
      <c r="A622" s="2">
        <f>IFERROR(__xludf.DUMMYFUNCTION("""COMPUTED_VALUE"""),621.0)</f>
        <v>621</v>
      </c>
      <c r="B622" s="2" t="str">
        <f>IFERROR(__xludf.DUMMYFUNCTION("""COMPUTED_VALUE"""),"Rapti")</f>
        <v>Rapti</v>
      </c>
      <c r="C622" s="2">
        <f>IFERROR(__xludf.DUMMYFUNCTION("""COMPUTED_VALUE"""),2.185)</f>
        <v>2.185</v>
      </c>
      <c r="D622" s="2" t="str">
        <f>IFERROR(__xludf.DUMMYFUNCTION("""COMPUTED_VALUE"""),"Rapti")</f>
        <v>Rapti</v>
      </c>
      <c r="E622" s="2"/>
      <c r="F622" s="3">
        <f>IFERROR(__xludf.DUMMYFUNCTION("""COMPUTED_VALUE"""),60389.0)</f>
        <v>60389</v>
      </c>
      <c r="G622" s="2" t="str">
        <f>IFERROR(__xludf.DUMMYFUNCTION("""COMPUTED_VALUE"""),"Sireen Hydropower Pvt. Ltd")</f>
        <v>Sireen Hydropower Pvt. Ltd</v>
      </c>
      <c r="H622" s="2"/>
      <c r="I622" s="2" t="str">
        <f>IFERROR(__xludf.DUMMYFUNCTION("""COMPUTED_VALUE"""),"27o 30' 04""")</f>
        <v>27o 30' 04"</v>
      </c>
      <c r="J622" s="2" t="str">
        <f>IFERROR(__xludf.DUMMYFUNCTION("""COMPUTED_VALUE"""),"27o 30' 53""")</f>
        <v>27o 30' 53"</v>
      </c>
      <c r="K622" s="2" t="str">
        <f>IFERROR(__xludf.DUMMYFUNCTION("""COMPUTED_VALUE"""),"85o 03' 09""")</f>
        <v>85o 03' 09"</v>
      </c>
      <c r="L622" s="2" t="str">
        <f>IFERROR(__xludf.DUMMYFUNCTION("""COMPUTED_VALUE"""),"85o 04' 51""")</f>
        <v>85o 04' 51"</v>
      </c>
      <c r="M622" s="2" t="str">
        <f>IFERROR(__xludf.DUMMYFUNCTION("""COMPUTED_VALUE"""),"(Makawanpur)")</f>
        <v>(Makawanpur)</v>
      </c>
    </row>
    <row r="623">
      <c r="A623" s="2">
        <f>IFERROR(__xludf.DUMMYFUNCTION("""COMPUTED_VALUE"""),622.0)</f>
        <v>622</v>
      </c>
      <c r="B623" s="2" t="str">
        <f>IFERROR(__xludf.DUMMYFUNCTION("""COMPUTED_VALUE"""),"Hahan Khola")</f>
        <v>Hahan Khola</v>
      </c>
      <c r="C623" s="2">
        <f>IFERROR(__xludf.DUMMYFUNCTION("""COMPUTED_VALUE"""),0.5)</f>
        <v>0.5</v>
      </c>
      <c r="D623" s="2" t="str">
        <f>IFERROR(__xludf.DUMMYFUNCTION("""COMPUTED_VALUE"""),"Hahan")</f>
        <v>Hahan</v>
      </c>
      <c r="E623" s="2"/>
      <c r="F623" s="3">
        <f>IFERROR(__xludf.DUMMYFUNCTION("""COMPUTED_VALUE"""),60389.0)</f>
        <v>60389</v>
      </c>
      <c r="G623" s="2" t="str">
        <f>IFERROR(__xludf.DUMMYFUNCTION("""COMPUTED_VALUE"""),"Mission Hydropower P. Ltd.")</f>
        <v>Mission Hydropower P. Ltd.</v>
      </c>
      <c r="H623" s="2"/>
      <c r="I623" s="2" t="str">
        <f>IFERROR(__xludf.DUMMYFUNCTION("""COMPUTED_VALUE"""),"28o 06' 45""")</f>
        <v>28o 06' 45"</v>
      </c>
      <c r="J623" s="2" t="str">
        <f>IFERROR(__xludf.DUMMYFUNCTION("""COMPUTED_VALUE"""),"28o 08' 23""")</f>
        <v>28o 08' 23"</v>
      </c>
      <c r="K623" s="2" t="str">
        <f>IFERROR(__xludf.DUMMYFUNCTION("""COMPUTED_VALUE"""),"84o 59' 09""")</f>
        <v>84o 59' 09"</v>
      </c>
      <c r="L623" s="2" t="str">
        <f>IFERROR(__xludf.DUMMYFUNCTION("""COMPUTED_VALUE"""),"85o 01' 06""")</f>
        <v>85o 01' 06"</v>
      </c>
      <c r="M623" s="2" t="str">
        <f>IFERROR(__xludf.DUMMYFUNCTION("""COMPUTED_VALUE"""),"(Dhading)")</f>
        <v>(Dhading)</v>
      </c>
    </row>
    <row r="624">
      <c r="A624" s="2">
        <f>IFERROR(__xludf.DUMMYFUNCTION("""COMPUTED_VALUE"""),623.0)</f>
        <v>623</v>
      </c>
      <c r="B624" s="2" t="str">
        <f>IFERROR(__xludf.DUMMYFUNCTION("""COMPUTED_VALUE"""),"Pegu Khola SHP")</f>
        <v>Pegu Khola SHP</v>
      </c>
      <c r="C624" s="2">
        <f>IFERROR(__xludf.DUMMYFUNCTION("""COMPUTED_VALUE"""),0.8)</f>
        <v>0.8</v>
      </c>
      <c r="D624" s="2" t="str">
        <f>IFERROR(__xludf.DUMMYFUNCTION("""COMPUTED_VALUE"""),"Pegu")</f>
        <v>Pegu</v>
      </c>
      <c r="E624" s="2">
        <f>IFERROR(__xludf.DUMMYFUNCTION("""COMPUTED_VALUE"""),577.0)</f>
        <v>577</v>
      </c>
      <c r="F624" s="3">
        <f>IFERROR(__xludf.DUMMYFUNCTION("""COMPUTED_VALUE"""),60389.0)</f>
        <v>60389</v>
      </c>
      <c r="G624" s="2" t="str">
        <f>IFERROR(__xludf.DUMMYFUNCTION("""COMPUTED_VALUE"""),"Rajesh Sharma")</f>
        <v>Rajesh Sharma</v>
      </c>
      <c r="H624" s="2"/>
      <c r="I624" s="2" t="str">
        <f>IFERROR(__xludf.DUMMYFUNCTION("""COMPUTED_VALUE"""),"27o 48' 48""")</f>
        <v>27o 48' 48"</v>
      </c>
      <c r="J624" s="2" t="str">
        <f>IFERROR(__xludf.DUMMYFUNCTION("""COMPUTED_VALUE"""),"27o 50' 41""")</f>
        <v>27o 50' 41"</v>
      </c>
      <c r="K624" s="2" t="str">
        <f>IFERROR(__xludf.DUMMYFUNCTION("""COMPUTED_VALUE"""),"86o 02' 44""")</f>
        <v>86o 02' 44"</v>
      </c>
      <c r="L624" s="2" t="str">
        <f>IFERROR(__xludf.DUMMYFUNCTION("""COMPUTED_VALUE"""),"86o 06' 15""")</f>
        <v>86o 06' 15"</v>
      </c>
      <c r="M624" s="2" t="str">
        <f>IFERROR(__xludf.DUMMYFUNCTION("""COMPUTED_VALUE"""),"Bigu (Dolakha)")</f>
        <v>Bigu (Dolakha)</v>
      </c>
    </row>
    <row r="625">
      <c r="A625" s="2">
        <f>IFERROR(__xludf.DUMMYFUNCTION("""COMPUTED_VALUE"""),624.0)</f>
        <v>624</v>
      </c>
      <c r="B625" s="2" t="str">
        <f>IFERROR(__xludf.DUMMYFUNCTION("""COMPUTED_VALUE"""),"Trishulinadi")</f>
        <v>Trishulinadi</v>
      </c>
      <c r="C625" s="2">
        <f>IFERROR(__xludf.DUMMYFUNCTION("""COMPUTED_VALUE"""),60.0)</f>
        <v>60</v>
      </c>
      <c r="D625" s="2" t="str">
        <f>IFERROR(__xludf.DUMMYFUNCTION("""COMPUTED_VALUE"""),"Trishuli")</f>
        <v>Trishuli</v>
      </c>
      <c r="E625" s="2"/>
      <c r="F625" s="3">
        <f>IFERROR(__xludf.DUMMYFUNCTION("""COMPUTED_VALUE"""),60390.0)</f>
        <v>60390</v>
      </c>
      <c r="G625" s="2" t="str">
        <f>IFERROR(__xludf.DUMMYFUNCTION("""COMPUTED_VALUE"""),"Yashwini Hydropower")</f>
        <v>Yashwini Hydropower</v>
      </c>
      <c r="H625" s="2" t="str">
        <f>IFERROR(__xludf.DUMMYFUNCTION("""COMPUTED_VALUE"""),"Satdobato, Lalitpur-15")</f>
        <v>Satdobato, Lalitpur-15</v>
      </c>
      <c r="I625" s="2" t="str">
        <f>IFERROR(__xludf.DUMMYFUNCTION("""COMPUTED_VALUE"""),"27o 50' 00""")</f>
        <v>27o 50' 00"</v>
      </c>
      <c r="J625" s="2" t="str">
        <f>IFERROR(__xludf.DUMMYFUNCTION("""COMPUTED_VALUE"""),"27o 51' 00""")</f>
        <v>27o 51' 00"</v>
      </c>
      <c r="K625" s="2" t="str">
        <f>IFERROR(__xludf.DUMMYFUNCTION("""COMPUTED_VALUE"""),"84o 32' 30""")</f>
        <v>84o 32' 30"</v>
      </c>
      <c r="L625" s="2" t="str">
        <f>IFERROR(__xludf.DUMMYFUNCTION("""COMPUTED_VALUE"""),"84o 40' 00""")</f>
        <v>84o 40' 00"</v>
      </c>
      <c r="M625" s="2" t="str">
        <f>IFERROR(__xludf.DUMMYFUNCTION("""COMPUTED_VALUE"""),"(Tanahu)")</f>
        <v>(Tanahu)</v>
      </c>
    </row>
    <row r="626">
      <c r="A626" s="2">
        <f>IFERROR(__xludf.DUMMYFUNCTION("""COMPUTED_VALUE"""),625.0)</f>
        <v>625</v>
      </c>
      <c r="B626" s="2" t="str">
        <f>IFERROR(__xludf.DUMMYFUNCTION("""COMPUTED_VALUE"""),"Uttarganga")</f>
        <v>Uttarganga</v>
      </c>
      <c r="C626" s="2">
        <f>IFERROR(__xludf.DUMMYFUNCTION("""COMPUTED_VALUE"""),13.2)</f>
        <v>13.2</v>
      </c>
      <c r="D626" s="2" t="str">
        <f>IFERROR(__xludf.DUMMYFUNCTION("""COMPUTED_VALUE"""),"Uttar Ganga")</f>
        <v>Uttar Ganga</v>
      </c>
      <c r="E626" s="2"/>
      <c r="F626" s="3">
        <f>IFERROR(__xludf.DUMMYFUNCTION("""COMPUTED_VALUE"""),60390.0)</f>
        <v>60390</v>
      </c>
      <c r="G626" s="2" t="str">
        <f>IFERROR(__xludf.DUMMYFUNCTION("""COMPUTED_VALUE"""),"Model City and Technology Development")</f>
        <v>Model City and Technology Development</v>
      </c>
      <c r="H626" s="2"/>
      <c r="I626" s="2" t="str">
        <f>IFERROR(__xludf.DUMMYFUNCTION("""COMPUTED_VALUE"""),"28o 35' 06""")</f>
        <v>28o 35' 06"</v>
      </c>
      <c r="J626" s="2" t="str">
        <f>IFERROR(__xludf.DUMMYFUNCTION("""COMPUTED_VALUE"""),"28o 36' 05""")</f>
        <v>28o 36' 05"</v>
      </c>
      <c r="K626" s="2" t="str">
        <f>IFERROR(__xludf.DUMMYFUNCTION("""COMPUTED_VALUE"""),"82o 45' 00""")</f>
        <v>82o 45' 00"</v>
      </c>
      <c r="L626" s="2" t="str">
        <f>IFERROR(__xludf.DUMMYFUNCTION("""COMPUTED_VALUE"""),"82o 50' 00""")</f>
        <v>82o 50' 00"</v>
      </c>
      <c r="M626" s="2" t="str">
        <f>IFERROR(__xludf.DUMMYFUNCTION("""COMPUTED_VALUE"""),"(Rukum)")</f>
        <v>(Rukum)</v>
      </c>
    </row>
    <row r="627">
      <c r="A627" s="2">
        <f>IFERROR(__xludf.DUMMYFUNCTION("""COMPUTED_VALUE"""),626.0)</f>
        <v>626</v>
      </c>
      <c r="B627" s="2" t="str">
        <f>IFERROR(__xludf.DUMMYFUNCTION("""COMPUTED_VALUE"""),"Balephi")</f>
        <v>Balephi</v>
      </c>
      <c r="C627" s="2">
        <f>IFERROR(__xludf.DUMMYFUNCTION("""COMPUTED_VALUE"""),4.8)</f>
        <v>4.8</v>
      </c>
      <c r="D627" s="2" t="str">
        <f>IFERROR(__xludf.DUMMYFUNCTION("""COMPUTED_VALUE"""),"Balephi")</f>
        <v>Balephi</v>
      </c>
      <c r="E627" s="2"/>
      <c r="F627" s="3">
        <f>IFERROR(__xludf.DUMMYFUNCTION("""COMPUTED_VALUE"""),60391.0)</f>
        <v>60391</v>
      </c>
      <c r="G627" s="2" t="str">
        <f>IFERROR(__xludf.DUMMYFUNCTION("""COMPUTED_VALUE"""),"River Connect Hydropower Pvt Ltd")</f>
        <v>River Connect Hydropower Pvt Ltd</v>
      </c>
      <c r="H627" s="2"/>
      <c r="I627" s="2" t="str">
        <f>IFERROR(__xludf.DUMMYFUNCTION("""COMPUTED_VALUE"""),"27o 53' 30""")</f>
        <v>27o 53' 30"</v>
      </c>
      <c r="J627" s="2" t="str">
        <f>IFERROR(__xludf.DUMMYFUNCTION("""COMPUTED_VALUE"""),"27o 55' 00""")</f>
        <v>27o 55' 00"</v>
      </c>
      <c r="K627" s="2" t="str">
        <f>IFERROR(__xludf.DUMMYFUNCTION("""COMPUTED_VALUE"""),"85o 45' 30""")</f>
        <v>85o 45' 30"</v>
      </c>
      <c r="L627" s="2" t="str">
        <f>IFERROR(__xludf.DUMMYFUNCTION("""COMPUTED_VALUE"""),"85o 46' 45""")</f>
        <v>85o 46' 45"</v>
      </c>
      <c r="M627" s="2" t="str">
        <f>IFERROR(__xludf.DUMMYFUNCTION("""COMPUTED_VALUE"""),"(Sindhupalchok)")</f>
        <v>(Sindhupalchok)</v>
      </c>
    </row>
    <row r="628">
      <c r="A628" s="2">
        <f>IFERROR(__xludf.DUMMYFUNCTION("""COMPUTED_VALUE"""),627.0)</f>
        <v>627</v>
      </c>
      <c r="B628" s="2" t="str">
        <f>IFERROR(__xludf.DUMMYFUNCTION("""COMPUTED_VALUE"""),"Rolwaling khola")</f>
        <v>Rolwaling khola</v>
      </c>
      <c r="C628" s="2">
        <f>IFERROR(__xludf.DUMMYFUNCTION("""COMPUTED_VALUE"""),4.88)</f>
        <v>4.88</v>
      </c>
      <c r="D628" s="2" t="str">
        <f>IFERROR(__xludf.DUMMYFUNCTION("""COMPUTED_VALUE"""),"Rolwaling")</f>
        <v>Rolwaling</v>
      </c>
      <c r="E628" s="2"/>
      <c r="F628" s="3">
        <f>IFERROR(__xludf.DUMMYFUNCTION("""COMPUTED_VALUE"""),60391.0)</f>
        <v>60391</v>
      </c>
      <c r="G628" s="2" t="str">
        <f>IFERROR(__xludf.DUMMYFUNCTION("""COMPUTED_VALUE"""),"River Connect Hydropower Pvt Ltd")</f>
        <v>River Connect Hydropower Pvt Ltd</v>
      </c>
      <c r="H628" s="2"/>
      <c r="I628" s="2" t="str">
        <f>IFERROR(__xludf.DUMMYFUNCTION("""COMPUTED_VALUE"""),"27o 52' 00""")</f>
        <v>27o 52' 00"</v>
      </c>
      <c r="J628" s="2" t="str">
        <f>IFERROR(__xludf.DUMMYFUNCTION("""COMPUTED_VALUE"""),"27o 53' 35""")</f>
        <v>27o 53' 35"</v>
      </c>
      <c r="K628" s="2" t="str">
        <f>IFERROR(__xludf.DUMMYFUNCTION("""COMPUTED_VALUE"""),"86o 13' 25""")</f>
        <v>86o 13' 25"</v>
      </c>
      <c r="L628" s="2" t="str">
        <f>IFERROR(__xludf.DUMMYFUNCTION("""COMPUTED_VALUE"""),"86o 15' 09""")</f>
        <v>86o 15' 09"</v>
      </c>
      <c r="M628" s="2" t="str">
        <f>IFERROR(__xludf.DUMMYFUNCTION("""COMPUTED_VALUE"""),"(Dolakha)")</f>
        <v>(Dolakha)</v>
      </c>
    </row>
    <row r="629">
      <c r="A629" s="2">
        <f>IFERROR(__xludf.DUMMYFUNCTION("""COMPUTED_VALUE"""),628.0)</f>
        <v>628</v>
      </c>
      <c r="B629" s="2" t="str">
        <f>IFERROR(__xludf.DUMMYFUNCTION("""COMPUTED_VALUE"""),"Muwa Khola")</f>
        <v>Muwa Khola</v>
      </c>
      <c r="C629" s="2">
        <f>IFERROR(__xludf.DUMMYFUNCTION("""COMPUTED_VALUE"""),0.723)</f>
        <v>0.723</v>
      </c>
      <c r="D629" s="2" t="str">
        <f>IFERROR(__xludf.DUMMYFUNCTION("""COMPUTED_VALUE"""),"Muwa")</f>
        <v>Muwa</v>
      </c>
      <c r="E629" s="2"/>
      <c r="F629" s="3">
        <f>IFERROR(__xludf.DUMMYFUNCTION("""COMPUTED_VALUE"""),60392.0)</f>
        <v>60392</v>
      </c>
      <c r="G629" s="2" t="str">
        <f>IFERROR(__xludf.DUMMYFUNCTION("""COMPUTED_VALUE"""),"Tek Bdr. Kambang &amp; Ganesh Prasad Subba")</f>
        <v>Tek Bdr. Kambang &amp; Ganesh Prasad Subba</v>
      </c>
      <c r="H629" s="2"/>
      <c r="I629" s="2" t="str">
        <f>IFERROR(__xludf.DUMMYFUNCTION("""COMPUTED_VALUE"""),"27o 09' 44""")</f>
        <v>27o 09' 44"</v>
      </c>
      <c r="J629" s="2" t="str">
        <f>IFERROR(__xludf.DUMMYFUNCTION("""COMPUTED_VALUE"""),"27o 10' 50""")</f>
        <v>27o 10' 50"</v>
      </c>
      <c r="K629" s="2" t="str">
        <f>IFERROR(__xludf.DUMMYFUNCTION("""COMPUTED_VALUE"""),"87o 53' 43""")</f>
        <v>87o 53' 43"</v>
      </c>
      <c r="L629" s="2" t="str">
        <f>IFERROR(__xludf.DUMMYFUNCTION("""COMPUTED_VALUE"""),"87o 54' 38""")</f>
        <v>87o 54' 38"</v>
      </c>
      <c r="M629" s="2" t="str">
        <f>IFERROR(__xludf.DUMMYFUNCTION("""COMPUTED_VALUE"""),"(Panchthar)")</f>
        <v>(Panchthar)</v>
      </c>
    </row>
    <row r="630">
      <c r="A630" s="2">
        <f>IFERROR(__xludf.DUMMYFUNCTION("""COMPUTED_VALUE"""),629.0)</f>
        <v>629</v>
      </c>
      <c r="B630" s="2" t="str">
        <f>IFERROR(__xludf.DUMMYFUNCTION("""COMPUTED_VALUE"""),"Upper Machhakhola")</f>
        <v>Upper Machhakhola</v>
      </c>
      <c r="C630" s="2">
        <f>IFERROR(__xludf.DUMMYFUNCTION("""COMPUTED_VALUE"""),9.98)</f>
        <v>9.98</v>
      </c>
      <c r="D630" s="2" t="str">
        <f>IFERROR(__xludf.DUMMYFUNCTION("""COMPUTED_VALUE"""),"Machha Khola")</f>
        <v>Machha Khola</v>
      </c>
      <c r="E630" s="2">
        <f>IFERROR(__xludf.DUMMYFUNCTION("""COMPUTED_VALUE"""),619.0)</f>
        <v>619</v>
      </c>
      <c r="F630" s="3">
        <f>IFERROR(__xludf.DUMMYFUNCTION("""COMPUTED_VALUE"""),60392.0)</f>
        <v>60392</v>
      </c>
      <c r="G630" s="2" t="str">
        <f>IFERROR(__xludf.DUMMYFUNCTION("""COMPUTED_VALUE"""),"Sindhujwala Hydropower P. Ltd")</f>
        <v>Sindhujwala Hydropower P. Ltd</v>
      </c>
      <c r="H630" s="2" t="str">
        <f>IFERROR(__xludf.DUMMYFUNCTION("""COMPUTED_VALUE"""),"Shantinagar Kathamndu, ph : 6916485")</f>
        <v>Shantinagar Kathamndu, ph : 6916485</v>
      </c>
      <c r="I630" s="2" t="str">
        <f>IFERROR(__xludf.DUMMYFUNCTION("""COMPUTED_VALUE"""),"28o 12' 23""")</f>
        <v>28o 12' 23"</v>
      </c>
      <c r="J630" s="2" t="str">
        <f>IFERROR(__xludf.DUMMYFUNCTION("""COMPUTED_VALUE"""),"28o 15' 00""")</f>
        <v>28o 15' 00"</v>
      </c>
      <c r="K630" s="2" t="str">
        <f>IFERROR(__xludf.DUMMYFUNCTION("""COMPUTED_VALUE"""),"84o 47' 30""")</f>
        <v>84o 47' 30"</v>
      </c>
      <c r="L630" s="2" t="str">
        <f>IFERROR(__xludf.DUMMYFUNCTION("""COMPUTED_VALUE"""),"84o 50' 10""")</f>
        <v>84o 50' 10"</v>
      </c>
      <c r="M630" s="2" t="str">
        <f>IFERROR(__xludf.DUMMYFUNCTION("""COMPUTED_VALUE"""),"(Gorkha)")</f>
        <v>(Gorkha)</v>
      </c>
    </row>
    <row r="631">
      <c r="A631" s="2">
        <f>IFERROR(__xludf.DUMMYFUNCTION("""COMPUTED_VALUE"""),630.0)</f>
        <v>630</v>
      </c>
      <c r="B631" s="2" t="str">
        <f>IFERROR(__xludf.DUMMYFUNCTION("""COMPUTED_VALUE"""),"Muwa Khola SHP")</f>
        <v>Muwa Khola SHP</v>
      </c>
      <c r="C631" s="2">
        <f>IFERROR(__xludf.DUMMYFUNCTION("""COMPUTED_VALUE"""),0.723)</f>
        <v>0.723</v>
      </c>
      <c r="D631" s="2" t="str">
        <f>IFERROR(__xludf.DUMMYFUNCTION("""COMPUTED_VALUE"""),"Muwa")</f>
        <v>Muwa</v>
      </c>
      <c r="E631" s="2">
        <f>IFERROR(__xludf.DUMMYFUNCTION("""COMPUTED_VALUE"""),626.0)</f>
        <v>626</v>
      </c>
      <c r="F631" s="3">
        <f>IFERROR(__xludf.DUMMYFUNCTION("""COMPUTED_VALUE"""),60392.0)</f>
        <v>60392</v>
      </c>
      <c r="G631" s="2" t="str">
        <f>IFERROR(__xludf.DUMMYFUNCTION("""COMPUTED_VALUE"""),"Tek Bahadur Kambang &amp; Ganesh Prasad Subba")</f>
        <v>Tek Bahadur Kambang &amp; Ganesh Prasad Subba</v>
      </c>
      <c r="H631" s="2"/>
      <c r="I631" s="2" t="str">
        <f>IFERROR(__xludf.DUMMYFUNCTION("""COMPUTED_VALUE"""),"27o 09' 44""")</f>
        <v>27o 09' 44"</v>
      </c>
      <c r="J631" s="2" t="str">
        <f>IFERROR(__xludf.DUMMYFUNCTION("""COMPUTED_VALUE"""),"27o 10' 50""")</f>
        <v>27o 10' 50"</v>
      </c>
      <c r="K631" s="2" t="str">
        <f>IFERROR(__xludf.DUMMYFUNCTION("""COMPUTED_VALUE"""),"87o 53' 43""")</f>
        <v>87o 53' 43"</v>
      </c>
      <c r="L631" s="2" t="str">
        <f>IFERROR(__xludf.DUMMYFUNCTION("""COMPUTED_VALUE"""),"87o 54' 38""")</f>
        <v>87o 54' 38"</v>
      </c>
      <c r="M631" s="2" t="str">
        <f>IFERROR(__xludf.DUMMYFUNCTION("""COMPUTED_VALUE"""),"Sidin,Prangbung (Panchthar)")</f>
        <v>Sidin,Prangbung (Panchthar)</v>
      </c>
    </row>
    <row r="632">
      <c r="A632" s="2">
        <f>IFERROR(__xludf.DUMMYFUNCTION("""COMPUTED_VALUE"""),631.0)</f>
        <v>631</v>
      </c>
      <c r="B632" s="2" t="str">
        <f>IFERROR(__xludf.DUMMYFUNCTION("""COMPUTED_VALUE"""),"Uttaganaga-Nisi Hydropower Project")</f>
        <v>Uttaganaga-Nisi Hydropower Project</v>
      </c>
      <c r="C632" s="2">
        <f>IFERROR(__xludf.DUMMYFUNCTION("""COMPUTED_VALUE"""),300.0)</f>
        <v>300</v>
      </c>
      <c r="D632" s="2" t="str">
        <f>IFERROR(__xludf.DUMMYFUNCTION("""COMPUTED_VALUE"""),"Uttar Ganga")</f>
        <v>Uttar Ganga</v>
      </c>
      <c r="E632" s="2"/>
      <c r="F632" s="3">
        <f>IFERROR(__xludf.DUMMYFUNCTION("""COMPUTED_VALUE"""),60393.0)</f>
        <v>60393</v>
      </c>
      <c r="G632" s="2" t="str">
        <f>IFERROR(__xludf.DUMMYFUNCTION("""COMPUTED_VALUE"""),"AES (India) Pvt. Ltd &amp; CG Energy Infrastructure P. Ltd")</f>
        <v>AES (India) Pvt. Ltd &amp; CG Energy Infrastructure P. Ltd</v>
      </c>
      <c r="H632" s="2" t="str">
        <f>IFERROR(__xludf.DUMMYFUNCTION("""COMPUTED_VALUE"""),"Gurgaon-122002 Harayana, India Tel +91-1249300300")</f>
        <v>Gurgaon-122002 Harayana, India Tel +91-1249300300</v>
      </c>
      <c r="I632" s="2" t="str">
        <f>IFERROR(__xludf.DUMMYFUNCTION("""COMPUTED_VALUE"""),"28o 23' 26""")</f>
        <v>28o 23' 26"</v>
      </c>
      <c r="J632" s="2" t="str">
        <f>IFERROR(__xludf.DUMMYFUNCTION("""COMPUTED_VALUE"""),"28o 30' 45""")</f>
        <v>28o 30' 45"</v>
      </c>
      <c r="K632" s="2" t="str">
        <f>IFERROR(__xludf.DUMMYFUNCTION("""COMPUTED_VALUE"""),"82o 57' 30""")</f>
        <v>82o 57' 30"</v>
      </c>
      <c r="L632" s="2" t="str">
        <f>IFERROR(__xludf.DUMMYFUNCTION("""COMPUTED_VALUE"""),"83o 02' 18""")</f>
        <v>83o 02' 18"</v>
      </c>
      <c r="M632" s="2" t="str">
        <f>IFERROR(__xludf.DUMMYFUNCTION("""COMPUTED_VALUE"""),"(Baglung )")</f>
        <v>(Baglung )</v>
      </c>
    </row>
    <row r="633">
      <c r="A633" s="2">
        <f>IFERROR(__xludf.DUMMYFUNCTION("""COMPUTED_VALUE"""),632.0)</f>
        <v>632</v>
      </c>
      <c r="B633" s="2" t="str">
        <f>IFERROR(__xludf.DUMMYFUNCTION("""COMPUTED_VALUE"""),"Middle Humla Karnali")</f>
        <v>Middle Humla Karnali</v>
      </c>
      <c r="C633" s="2">
        <f>IFERROR(__xludf.DUMMYFUNCTION("""COMPUTED_VALUE"""),95.0)</f>
        <v>95</v>
      </c>
      <c r="D633" s="2" t="str">
        <f>IFERROR(__xludf.DUMMYFUNCTION("""COMPUTED_VALUE"""),"Humla Karnali")</f>
        <v>Humla Karnali</v>
      </c>
      <c r="E633" s="2"/>
      <c r="F633" s="3">
        <f>IFERROR(__xludf.DUMMYFUNCTION("""COMPUTED_VALUE"""),60393.0)</f>
        <v>60393</v>
      </c>
      <c r="G633" s="2" t="str">
        <f>IFERROR(__xludf.DUMMYFUNCTION("""COMPUTED_VALUE"""),"Samridhi Hydropower Company Pvt Ltd(Lal Bahadur Thapa, Mrs. Shobha Aryal 
Baral, Ashok Budhathoki)")</f>
        <v>Samridhi Hydropower Company Pvt Ltd(Lal Bahadur Thapa, Mrs. Shobha Aryal 
Baral, Ashok Budhathoki)</v>
      </c>
      <c r="H633" s="2" t="str">
        <f>IFERROR(__xludf.DUMMYFUNCTION("""COMPUTED_VALUE"""),"Kathmandu-9, Phone : 9851095497, Ph : 4433200, Lalitpur-14, 9851009953")</f>
        <v>Kathmandu-9, Phone : 9851095497, Ph : 4433200, Lalitpur-14, 9851009953</v>
      </c>
      <c r="I633" s="2" t="str">
        <f>IFERROR(__xludf.DUMMYFUNCTION("""COMPUTED_VALUE"""),"29o 46' 29""")</f>
        <v>29o 46' 29"</v>
      </c>
      <c r="J633" s="2" t="str">
        <f>IFERROR(__xludf.DUMMYFUNCTION("""COMPUTED_VALUE"""),"29o 50' 49""")</f>
        <v>29o 50' 49"</v>
      </c>
      <c r="K633" s="2" t="str">
        <f>IFERROR(__xludf.DUMMYFUNCTION("""COMPUTED_VALUE"""),"81o 52' 44""")</f>
        <v>81o 52' 44"</v>
      </c>
      <c r="L633" s="2" t="str">
        <f>IFERROR(__xludf.DUMMYFUNCTION("""COMPUTED_VALUE"""),"81o 56' 48""")</f>
        <v>81o 56' 48"</v>
      </c>
      <c r="M633" s="2" t="str">
        <f>IFERROR(__xludf.DUMMYFUNCTION("""COMPUTED_VALUE"""),"(Humla)")</f>
        <v>(Humla)</v>
      </c>
    </row>
    <row r="634">
      <c r="A634" s="2">
        <f>IFERROR(__xludf.DUMMYFUNCTION("""COMPUTED_VALUE"""),633.0)</f>
        <v>633</v>
      </c>
      <c r="B634" s="2" t="str">
        <f>IFERROR(__xludf.DUMMYFUNCTION("""COMPUTED_VALUE"""),"Nalsyagu gad Storage")</f>
        <v>Nalsyagu gad Storage</v>
      </c>
      <c r="C634" s="2">
        <f>IFERROR(__xludf.DUMMYFUNCTION("""COMPUTED_VALUE"""),300.0)</f>
        <v>300</v>
      </c>
      <c r="D634" s="2" t="str">
        <f>IFERROR(__xludf.DUMMYFUNCTION("""COMPUTED_VALUE"""),"Nalsyagu gad")</f>
        <v>Nalsyagu gad</v>
      </c>
      <c r="E634" s="2"/>
      <c r="F634" s="3">
        <f>IFERROR(__xludf.DUMMYFUNCTION("""COMPUTED_VALUE"""),60393.0)</f>
        <v>60393</v>
      </c>
      <c r="G634" s="2" t="str">
        <f>IFERROR(__xludf.DUMMYFUNCTION("""COMPUTED_VALUE"""),"AES (India) Pvt. Ltd &amp; CG Energy Infrastructure P. Ltd")</f>
        <v>AES (India) Pvt. Ltd &amp; CG Energy Infrastructure P. Ltd</v>
      </c>
      <c r="H634" s="2" t="str">
        <f>IFERROR(__xludf.DUMMYFUNCTION("""COMPUTED_VALUE"""),"Gurgaon-122002 Harayana, India Tel +91-1249300300")</f>
        <v>Gurgaon-122002 Harayana, India Tel +91-1249300300</v>
      </c>
      <c r="I634" s="2" t="str">
        <f>IFERROR(__xludf.DUMMYFUNCTION("""COMPUTED_VALUE"""),"28o 47' 29""")</f>
        <v>28o 47' 29"</v>
      </c>
      <c r="J634" s="2" t="str">
        <f>IFERROR(__xludf.DUMMYFUNCTION("""COMPUTED_VALUE"""),"28o 54' 15""")</f>
        <v>28o 54' 15"</v>
      </c>
      <c r="K634" s="2" t="str">
        <f>IFERROR(__xludf.DUMMYFUNCTION("""COMPUTED_VALUE"""),"82o 17' 15""")</f>
        <v>82o 17' 15"</v>
      </c>
      <c r="L634" s="2" t="str">
        <f>IFERROR(__xludf.DUMMYFUNCTION("""COMPUTED_VALUE"""),"82o 17' 55""")</f>
        <v>82o 17' 55"</v>
      </c>
      <c r="M634" s="2" t="str">
        <f>IFERROR(__xludf.DUMMYFUNCTION("""COMPUTED_VALUE"""),"(Jajarkot)")</f>
        <v>(Jajarkot)</v>
      </c>
    </row>
    <row r="635">
      <c r="A635" s="2">
        <f>IFERROR(__xludf.DUMMYFUNCTION("""COMPUTED_VALUE"""),634.0)</f>
        <v>634</v>
      </c>
      <c r="B635" s="2" t="str">
        <f>IFERROR(__xludf.DUMMYFUNCTION("""COMPUTED_VALUE"""),"Uttarganga Diversion")</f>
        <v>Uttarganga Diversion</v>
      </c>
      <c r="C635" s="2">
        <f>IFERROR(__xludf.DUMMYFUNCTION("""COMPUTED_VALUE"""),300.0)</f>
        <v>300</v>
      </c>
      <c r="D635" s="2" t="str">
        <f>IFERROR(__xludf.DUMMYFUNCTION("""COMPUTED_VALUE"""),"Uttar Ganga")</f>
        <v>Uttar Ganga</v>
      </c>
      <c r="E635" s="2"/>
      <c r="F635" s="3">
        <f>IFERROR(__xludf.DUMMYFUNCTION("""COMPUTED_VALUE"""),60393.0)</f>
        <v>60393</v>
      </c>
      <c r="G635" s="2" t="str">
        <f>IFERROR(__xludf.DUMMYFUNCTION("""COMPUTED_VALUE"""),"Bheri Nadi Hydropower P. Ltd")</f>
        <v>Bheri Nadi Hydropower P. Ltd</v>
      </c>
      <c r="H635" s="2" t="str">
        <f>IFERROR(__xludf.DUMMYFUNCTION("""COMPUTED_VALUE"""),"Thulo Bharyang, Swambhu -15, GPO 19554 Ph : 4672598, 4672599")</f>
        <v>Thulo Bharyang, Swambhu -15, GPO 19554 Ph : 4672598, 4672599</v>
      </c>
      <c r="I635" s="2" t="str">
        <f>IFERROR(__xludf.DUMMYFUNCTION("""COMPUTED_VALUE"""),"28o 22' 30""")</f>
        <v>28o 22' 30"</v>
      </c>
      <c r="J635" s="2" t="str">
        <f>IFERROR(__xludf.DUMMYFUNCTION("""COMPUTED_VALUE"""),"28o 32' 00""")</f>
        <v>28o 32' 00"</v>
      </c>
      <c r="K635" s="2" t="str">
        <f>IFERROR(__xludf.DUMMYFUNCTION("""COMPUTED_VALUE"""),"82o 56' 00""")</f>
        <v>82o 56' 00"</v>
      </c>
      <c r="L635" s="2" t="str">
        <f>IFERROR(__xludf.DUMMYFUNCTION("""COMPUTED_VALUE"""),"83o 07' 30""")</f>
        <v>83o 07' 30"</v>
      </c>
      <c r="M635" s="2" t="str">
        <f>IFERROR(__xludf.DUMMYFUNCTION("""COMPUTED_VALUE"""),"(Baglung )")</f>
        <v>(Baglung )</v>
      </c>
    </row>
    <row r="636">
      <c r="A636" s="2">
        <f>IFERROR(__xludf.DUMMYFUNCTION("""COMPUTED_VALUE"""),635.0)</f>
        <v>635</v>
      </c>
      <c r="B636" s="2" t="str">
        <f>IFERROR(__xludf.DUMMYFUNCTION("""COMPUTED_VALUE"""),"Niwa Khola")</f>
        <v>Niwa Khola</v>
      </c>
      <c r="C636" s="2">
        <f>IFERROR(__xludf.DUMMYFUNCTION("""COMPUTED_VALUE"""),0.642)</f>
        <v>0.642</v>
      </c>
      <c r="D636" s="2" t="str">
        <f>IFERROR(__xludf.DUMMYFUNCTION("""COMPUTED_VALUE"""),"Niwa Khola")</f>
        <v>Niwa Khola</v>
      </c>
      <c r="E636" s="2"/>
      <c r="F636" s="3">
        <f>IFERROR(__xludf.DUMMYFUNCTION("""COMPUTED_VALUE"""),60395.0)</f>
        <v>60395</v>
      </c>
      <c r="G636" s="2" t="str">
        <f>IFERROR(__xludf.DUMMYFUNCTION("""COMPUTED_VALUE"""),"Tek Bdr. Kambang &amp; Ganesh Prasad Subba")</f>
        <v>Tek Bdr. Kambang &amp; Ganesh Prasad Subba</v>
      </c>
      <c r="H636" s="2"/>
      <c r="I636" s="2" t="str">
        <f>IFERROR(__xludf.DUMMYFUNCTION("""COMPUTED_VALUE"""),"27o 11' 05""")</f>
        <v>27o 11' 05"</v>
      </c>
      <c r="J636" s="2" t="str">
        <f>IFERROR(__xludf.DUMMYFUNCTION("""COMPUTED_VALUE"""),"27o 12' 03""")</f>
        <v>27o 12' 03"</v>
      </c>
      <c r="K636" s="2" t="str">
        <f>IFERROR(__xludf.DUMMYFUNCTION("""COMPUTED_VALUE"""),"87o 53' 06""")</f>
        <v>87o 53' 06"</v>
      </c>
      <c r="L636" s="2" t="str">
        <f>IFERROR(__xludf.DUMMYFUNCTION("""COMPUTED_VALUE"""),"87o 54' 23""")</f>
        <v>87o 54' 23"</v>
      </c>
      <c r="M636" s="2" t="str">
        <f>IFERROR(__xludf.DUMMYFUNCTION("""COMPUTED_VALUE"""),"(Panchthar)")</f>
        <v>(Panchthar)</v>
      </c>
    </row>
    <row r="637">
      <c r="A637" s="2">
        <f>IFERROR(__xludf.DUMMYFUNCTION("""COMPUTED_VALUE"""),636.0)</f>
        <v>636</v>
      </c>
      <c r="B637" s="2" t="str">
        <f>IFERROR(__xludf.DUMMYFUNCTION("""COMPUTED_VALUE"""),"Suligaad")</f>
        <v>Suligaad</v>
      </c>
      <c r="C637" s="2">
        <f>IFERROR(__xludf.DUMMYFUNCTION("""COMPUTED_VALUE"""),55.0)</f>
        <v>55</v>
      </c>
      <c r="D637" s="2" t="str">
        <f>IFERROR(__xludf.DUMMYFUNCTION("""COMPUTED_VALUE"""),"Suli Gad")</f>
        <v>Suli Gad</v>
      </c>
      <c r="E637" s="2"/>
      <c r="F637" s="3">
        <f>IFERROR(__xludf.DUMMYFUNCTION("""COMPUTED_VALUE"""),60397.0)</f>
        <v>60397</v>
      </c>
      <c r="G637" s="2" t="str">
        <f>IFERROR(__xludf.DUMMYFUNCTION("""COMPUTED_VALUE"""),"Paiyu Khola Power Company (P) Ltd")</f>
        <v>Paiyu Khola Power Company (P) Ltd</v>
      </c>
      <c r="H637" s="2" t="str">
        <f>IFERROR(__xludf.DUMMYFUNCTION("""COMPUTED_VALUE"""),"Banasthali, Kathmandu.")</f>
        <v>Banasthali, Kathmandu.</v>
      </c>
      <c r="I637" s="2" t="str">
        <f>IFERROR(__xludf.DUMMYFUNCTION("""COMPUTED_VALUE"""),"28o 05' 52""")</f>
        <v>28o 05' 52"</v>
      </c>
      <c r="J637" s="2" t="str">
        <f>IFERROR(__xludf.DUMMYFUNCTION("""COMPUTED_VALUE"""),"29o 05' 52""")</f>
        <v>29o 05' 52"</v>
      </c>
      <c r="K637" s="2" t="str">
        <f>IFERROR(__xludf.DUMMYFUNCTION("""COMPUTED_VALUE"""),"82o 53' 00""")</f>
        <v>82o 53' 00"</v>
      </c>
      <c r="L637" s="2" t="str">
        <f>IFERROR(__xludf.DUMMYFUNCTION("""COMPUTED_VALUE"""),"82o 55' 00""")</f>
        <v>82o 55' 00"</v>
      </c>
      <c r="M637" s="2" t="str">
        <f>IFERROR(__xludf.DUMMYFUNCTION("""COMPUTED_VALUE"""),"(Dolpa)")</f>
        <v>(Dolpa)</v>
      </c>
    </row>
    <row r="638">
      <c r="A638" s="2">
        <f>IFERROR(__xludf.DUMMYFUNCTION("""COMPUTED_VALUE"""),637.0)</f>
        <v>637</v>
      </c>
      <c r="B638" s="2" t="str">
        <f>IFERROR(__xludf.DUMMYFUNCTION("""COMPUTED_VALUE"""),"Lowa Khola")</f>
        <v>Lowa Khola</v>
      </c>
      <c r="C638" s="2">
        <f>IFERROR(__xludf.DUMMYFUNCTION("""COMPUTED_VALUE"""),0.984)</f>
        <v>0.984</v>
      </c>
      <c r="D638" s="2" t="str">
        <f>IFERROR(__xludf.DUMMYFUNCTION("""COMPUTED_VALUE"""),"Lowa")</f>
        <v>Lowa</v>
      </c>
      <c r="E638" s="2"/>
      <c r="F638" s="3">
        <f>IFERROR(__xludf.DUMMYFUNCTION("""COMPUTED_VALUE"""),60397.0)</f>
        <v>60397</v>
      </c>
      <c r="G638" s="2" t="str">
        <f>IFERROR(__xludf.DUMMYFUNCTION("""COMPUTED_VALUE"""),"Ganesh Pd. Subba, Ram Kumar Mabo &amp; Tek Bdr. Kambang")</f>
        <v>Ganesh Pd. Subba, Ram Kumar Mabo &amp; Tek Bdr. Kambang</v>
      </c>
      <c r="H638" s="2"/>
      <c r="I638" s="2" t="str">
        <f>IFERROR(__xludf.DUMMYFUNCTION("""COMPUTED_VALUE"""),"27o 27' 00""")</f>
        <v>27o 27' 00"</v>
      </c>
      <c r="J638" s="2" t="str">
        <f>IFERROR(__xludf.DUMMYFUNCTION("""COMPUTED_VALUE"""),"27o 27' 50""")</f>
        <v>27o 27' 50"</v>
      </c>
      <c r="K638" s="2" t="str">
        <f>IFERROR(__xludf.DUMMYFUNCTION("""COMPUTED_VALUE"""),"87o 34' 49""")</f>
        <v>87o 34' 49"</v>
      </c>
      <c r="L638" s="2" t="str">
        <f>IFERROR(__xludf.DUMMYFUNCTION("""COMPUTED_VALUE"""),"87o 37' 00""")</f>
        <v>87o 37' 00"</v>
      </c>
      <c r="M638" s="2" t="str">
        <f>IFERROR(__xludf.DUMMYFUNCTION("""COMPUTED_VALUE"""),"(Taplejung)")</f>
        <v>(Taplejung)</v>
      </c>
    </row>
    <row r="639">
      <c r="A639" s="2">
        <f>IFERROR(__xludf.DUMMYFUNCTION("""COMPUTED_VALUE"""),638.0)</f>
        <v>638</v>
      </c>
      <c r="B639" s="2" t="str">
        <f>IFERROR(__xludf.DUMMYFUNCTION("""COMPUTED_VALUE"""),"Jum Khola")</f>
        <v>Jum Khola</v>
      </c>
      <c r="C639" s="2">
        <f>IFERROR(__xludf.DUMMYFUNCTION("""COMPUTED_VALUE"""),0.995)</f>
        <v>0.995</v>
      </c>
      <c r="D639" s="2" t="str">
        <f>IFERROR(__xludf.DUMMYFUNCTION("""COMPUTED_VALUE"""),"Jum")</f>
        <v>Jum</v>
      </c>
      <c r="E639" s="2"/>
      <c r="F639" s="3">
        <f>IFERROR(__xludf.DUMMYFUNCTION("""COMPUTED_VALUE"""),60398.0)</f>
        <v>60398</v>
      </c>
      <c r="G639" s="2" t="str">
        <f>IFERROR(__xludf.DUMMYFUNCTION("""COMPUTED_VALUE"""),"Ashish Dahal &amp; Santosh Bhattarai")</f>
        <v>Ashish Dahal &amp; Santosh Bhattarai</v>
      </c>
      <c r="H639" s="2"/>
      <c r="I639" s="2" t="str">
        <f>IFERROR(__xludf.DUMMYFUNCTION("""COMPUTED_VALUE"""),"27o 57' 20""")</f>
        <v>27o 57' 20"</v>
      </c>
      <c r="J639" s="2" t="str">
        <f>IFERROR(__xludf.DUMMYFUNCTION("""COMPUTED_VALUE"""),"27o 58' 33""")</f>
        <v>27o 58' 33"</v>
      </c>
      <c r="K639" s="2" t="str">
        <f>IFERROR(__xludf.DUMMYFUNCTION("""COMPUTED_VALUE"""),"88o 13' 01""")</f>
        <v>88o 13' 01"</v>
      </c>
      <c r="L639" s="2" t="str">
        <f>IFERROR(__xludf.DUMMYFUNCTION("""COMPUTED_VALUE"""),"88o 15' 00""")</f>
        <v>88o 15' 00"</v>
      </c>
      <c r="M639" s="2" t="str">
        <f>IFERROR(__xludf.DUMMYFUNCTION("""COMPUTED_VALUE"""),"(Dolakha)")</f>
        <v>(Dolakha)</v>
      </c>
    </row>
    <row r="640">
      <c r="A640" s="2">
        <f>IFERROR(__xludf.DUMMYFUNCTION("""COMPUTED_VALUE"""),639.0)</f>
        <v>639</v>
      </c>
      <c r="B640" s="2" t="str">
        <f>IFERROR(__xludf.DUMMYFUNCTION("""COMPUTED_VALUE"""),"Handi Khola")</f>
        <v>Handi Khola</v>
      </c>
      <c r="C640" s="2">
        <f>IFERROR(__xludf.DUMMYFUNCTION("""COMPUTED_VALUE"""),5.0)</f>
        <v>5</v>
      </c>
      <c r="D640" s="2" t="str">
        <f>IFERROR(__xludf.DUMMYFUNCTION("""COMPUTED_VALUE"""),"Handi Khola")</f>
        <v>Handi Khola</v>
      </c>
      <c r="E640" s="2">
        <f>IFERROR(__xludf.DUMMYFUNCTION("""COMPUTED_VALUE"""),714.0)</f>
        <v>714</v>
      </c>
      <c r="F640" s="3">
        <f>IFERROR(__xludf.DUMMYFUNCTION("""COMPUTED_VALUE"""),60398.0)</f>
        <v>60398</v>
      </c>
      <c r="G640" s="2" t="str">
        <f>IFERROR(__xludf.DUMMYFUNCTION("""COMPUTED_VALUE"""),"Shisir Baiba, Babu Ram Paudyal, Somar Bamjan")</f>
        <v>Shisir Baiba, Babu Ram Paudyal, Somar Bamjan</v>
      </c>
      <c r="H640" s="2"/>
      <c r="I640" s="2" t="str">
        <f>IFERROR(__xludf.DUMMYFUNCTION("""COMPUTED_VALUE"""),"27o 54' 12""")</f>
        <v>27o 54' 12"</v>
      </c>
      <c r="J640" s="2" t="str">
        <f>IFERROR(__xludf.DUMMYFUNCTION("""COMPUTED_VALUE"""),"27o 55' 30""")</f>
        <v>27o 55' 30"</v>
      </c>
      <c r="K640" s="2" t="str">
        <f>IFERROR(__xludf.DUMMYFUNCTION("""COMPUTED_VALUE"""),"85o 37' 45""")</f>
        <v>85o 37' 45"</v>
      </c>
      <c r="L640" s="2" t="str">
        <f>IFERROR(__xludf.DUMMYFUNCTION("""COMPUTED_VALUE"""),"85o 39' 40""")</f>
        <v>85o 39' 40"</v>
      </c>
      <c r="M640" s="2" t="str">
        <f>IFERROR(__xludf.DUMMYFUNCTION("""COMPUTED_VALUE"""),"Thampal Dhap (Sindhupalchok)")</f>
        <v>Thampal Dhap (Sindhupalchok)</v>
      </c>
    </row>
    <row r="641">
      <c r="A641" s="2">
        <f>IFERROR(__xludf.DUMMYFUNCTION("""COMPUTED_VALUE"""),640.0)</f>
        <v>640</v>
      </c>
      <c r="B641" s="2" t="str">
        <f>IFERROR(__xludf.DUMMYFUNCTION("""COMPUTED_VALUE"""),"Jum Khola SHP")</f>
        <v>Jum Khola SHP</v>
      </c>
      <c r="C641" s="2">
        <f>IFERROR(__xludf.DUMMYFUNCTION("""COMPUTED_VALUE"""),0.995)</f>
        <v>0.995</v>
      </c>
      <c r="D641" s="2" t="str">
        <f>IFERROR(__xludf.DUMMYFUNCTION("""COMPUTED_VALUE"""),"Jum")</f>
        <v>Jum</v>
      </c>
      <c r="E641" s="2">
        <f>IFERROR(__xludf.DUMMYFUNCTION("""COMPUTED_VALUE"""),720.0)</f>
        <v>720</v>
      </c>
      <c r="F641" s="3">
        <f>IFERROR(__xludf.DUMMYFUNCTION("""COMPUTED_VALUE"""),60398.0)</f>
        <v>60398</v>
      </c>
      <c r="G641" s="2" t="str">
        <f>IFERROR(__xludf.DUMMYFUNCTION("""COMPUTED_VALUE"""),"Aashis Dahal &amp; Santosh Bhattarai")</f>
        <v>Aashis Dahal &amp; Santosh Bhattarai</v>
      </c>
      <c r="H641" s="2"/>
      <c r="I641" s="2" t="str">
        <f>IFERROR(__xludf.DUMMYFUNCTION("""COMPUTED_VALUE"""),"27o 57' 20""")</f>
        <v>27o 57' 20"</v>
      </c>
      <c r="J641" s="2" t="str">
        <f>IFERROR(__xludf.DUMMYFUNCTION("""COMPUTED_VALUE"""),"27o 58' 33""")</f>
        <v>27o 58' 33"</v>
      </c>
      <c r="K641" s="2" t="str">
        <f>IFERROR(__xludf.DUMMYFUNCTION("""COMPUTED_VALUE"""),"88o 13' 01""")</f>
        <v>88o 13' 01"</v>
      </c>
      <c r="L641" s="2" t="str">
        <f>IFERROR(__xludf.DUMMYFUNCTION("""COMPUTED_VALUE"""),"88o 15' 00""")</f>
        <v>88o 15' 00"</v>
      </c>
      <c r="M641" s="2" t="str">
        <f>IFERROR(__xludf.DUMMYFUNCTION("""COMPUTED_VALUE"""),"Lamabagar (Dolakha)")</f>
        <v>Lamabagar (Dolakha)</v>
      </c>
    </row>
    <row r="642">
      <c r="A642" s="2">
        <f>IFERROR(__xludf.DUMMYFUNCTION("""COMPUTED_VALUE"""),641.0)</f>
        <v>641</v>
      </c>
      <c r="B642" s="2" t="str">
        <f>IFERROR(__xludf.DUMMYFUNCTION("""COMPUTED_VALUE"""),"Mailun Khola")</f>
        <v>Mailun Khola</v>
      </c>
      <c r="C642" s="2">
        <f>IFERROR(__xludf.DUMMYFUNCTION("""COMPUTED_VALUE"""),1.0)</f>
        <v>1</v>
      </c>
      <c r="D642" s="2" t="str">
        <f>IFERROR(__xludf.DUMMYFUNCTION("""COMPUTED_VALUE"""),"Mailung Khola")</f>
        <v>Mailung Khola</v>
      </c>
      <c r="E642" s="2"/>
      <c r="F642" s="3">
        <f>IFERROR(__xludf.DUMMYFUNCTION("""COMPUTED_VALUE"""),60399.0)</f>
        <v>60399</v>
      </c>
      <c r="G642" s="2" t="str">
        <f>IFERROR(__xludf.DUMMYFUNCTION("""COMPUTED_VALUE"""),"Gopi Krishna Kharel")</f>
        <v>Gopi Krishna Kharel</v>
      </c>
      <c r="H642" s="2"/>
      <c r="I642" s="2" t="str">
        <f>IFERROR(__xludf.DUMMYFUNCTION("""COMPUTED_VALUE"""),"28o 10' 34""")</f>
        <v>28o 10' 34"</v>
      </c>
      <c r="J642" s="2" t="str">
        <f>IFERROR(__xludf.DUMMYFUNCTION("""COMPUTED_VALUE"""),"28o 13' 15""")</f>
        <v>28o 13' 15"</v>
      </c>
      <c r="K642" s="2" t="str">
        <f>IFERROR(__xludf.DUMMYFUNCTION("""COMPUTED_VALUE"""),"85o 10' 54""")</f>
        <v>85o 10' 54"</v>
      </c>
      <c r="L642" s="2" t="str">
        <f>IFERROR(__xludf.DUMMYFUNCTION("""COMPUTED_VALUE"""),"85o 13' 21""")</f>
        <v>85o 13' 21"</v>
      </c>
      <c r="M642" s="2" t="str">
        <f>IFERROR(__xludf.DUMMYFUNCTION("""COMPUTED_VALUE"""),"(Rasuwa)")</f>
        <v>(Rasuwa)</v>
      </c>
    </row>
    <row r="643">
      <c r="A643" s="2">
        <f>IFERROR(__xludf.DUMMYFUNCTION("""COMPUTED_VALUE"""),642.0)</f>
        <v>642</v>
      </c>
      <c r="B643" s="2" t="str">
        <f>IFERROR(__xludf.DUMMYFUNCTION("""COMPUTED_VALUE"""),"Jum Khola")</f>
        <v>Jum Khola</v>
      </c>
      <c r="C643" s="2">
        <f>IFERROR(__xludf.DUMMYFUNCTION("""COMPUTED_VALUE"""),0.985)</f>
        <v>0.985</v>
      </c>
      <c r="D643" s="2" t="str">
        <f>IFERROR(__xludf.DUMMYFUNCTION("""COMPUTED_VALUE"""),"JumKhola")</f>
        <v>JumKhola</v>
      </c>
      <c r="E643" s="2"/>
      <c r="F643" s="3">
        <f>IFERROR(__xludf.DUMMYFUNCTION("""COMPUTED_VALUE"""),60400.0)</f>
        <v>60400</v>
      </c>
      <c r="G643" s="2" t="str">
        <f>IFERROR(__xludf.DUMMYFUNCTION("""COMPUTED_VALUE"""),"Yubaraj Basnet, Mahesh Basnet")</f>
        <v>Yubaraj Basnet, Mahesh Basnet</v>
      </c>
      <c r="H643" s="2"/>
      <c r="I643" s="2" t="str">
        <f>IFERROR(__xludf.DUMMYFUNCTION("""COMPUTED_VALUE"""),"27o 57' 21""")</f>
        <v>27o 57' 21"</v>
      </c>
      <c r="J643" s="2" t="str">
        <f>IFERROR(__xludf.DUMMYFUNCTION("""COMPUTED_VALUE"""),"27o 58' 32""")</f>
        <v>27o 58' 32"</v>
      </c>
      <c r="K643" s="2" t="str">
        <f>IFERROR(__xludf.DUMMYFUNCTION("""COMPUTED_VALUE"""),"88o 13' 00""")</f>
        <v>88o 13' 00"</v>
      </c>
      <c r="L643" s="2" t="str">
        <f>IFERROR(__xludf.DUMMYFUNCTION("""COMPUTED_VALUE"""),"88o 15' 00""")</f>
        <v>88o 15' 00"</v>
      </c>
      <c r="M643" s="2"/>
    </row>
    <row r="644">
      <c r="A644" s="2">
        <f>IFERROR(__xludf.DUMMYFUNCTION("""COMPUTED_VALUE"""),643.0)</f>
        <v>643</v>
      </c>
      <c r="B644" s="2" t="str">
        <f>IFERROR(__xludf.DUMMYFUNCTION("""COMPUTED_VALUE"""),"Upper Pelma")</f>
        <v>Upper Pelma</v>
      </c>
      <c r="C644" s="2">
        <f>IFERROR(__xludf.DUMMYFUNCTION("""COMPUTED_VALUE"""),12.0)</f>
        <v>12</v>
      </c>
      <c r="D644" s="2" t="str">
        <f>IFERROR(__xludf.DUMMYFUNCTION("""COMPUTED_VALUE"""),"Pelma")</f>
        <v>Pelma</v>
      </c>
      <c r="E644" s="2"/>
      <c r="F644" s="3">
        <f>IFERROR(__xludf.DUMMYFUNCTION("""COMPUTED_VALUE"""),60406.0)</f>
        <v>60406</v>
      </c>
      <c r="G644" s="2" t="str">
        <f>IFERROR(__xludf.DUMMYFUNCTION("""COMPUTED_VALUE"""),"Tarapkhola Hydropower P. Ltd")</f>
        <v>Tarapkhola Hydropower P. Ltd</v>
      </c>
      <c r="H644" s="2" t="str">
        <f>IFERROR(__xludf.DUMMYFUNCTION("""COMPUTED_VALUE"""),"GPO 19554, Swoyambhu, Kathmandu, Ph: 4672598, 4672599")</f>
        <v>GPO 19554, Swoyambhu, Kathmandu, Ph: 4672598, 4672599</v>
      </c>
      <c r="I644" s="2" t="str">
        <f>IFERROR(__xludf.DUMMYFUNCTION("""COMPUTED_VALUE"""),"28o 38' 55""")</f>
        <v>28o 38' 55"</v>
      </c>
      <c r="J644" s="2" t="str">
        <f>IFERROR(__xludf.DUMMYFUNCTION("""COMPUTED_VALUE"""),"28o 42' 38""")</f>
        <v>28o 42' 38"</v>
      </c>
      <c r="K644" s="2" t="str">
        <f>IFERROR(__xludf.DUMMYFUNCTION("""COMPUTED_VALUE"""),"82o 52' 01""")</f>
        <v>82o 52' 01"</v>
      </c>
      <c r="L644" s="2" t="str">
        <f>IFERROR(__xludf.DUMMYFUNCTION("""COMPUTED_VALUE"""),"82o 58' 00""")</f>
        <v>82o 58' 00"</v>
      </c>
      <c r="M644" s="2"/>
    </row>
    <row r="645">
      <c r="A645" s="2">
        <f>IFERROR(__xludf.DUMMYFUNCTION("""COMPUTED_VALUE"""),644.0)</f>
        <v>644</v>
      </c>
      <c r="B645" s="2" t="str">
        <f>IFERROR(__xludf.DUMMYFUNCTION("""COMPUTED_VALUE"""),"Ghustung Khola")</f>
        <v>Ghustung Khola</v>
      </c>
      <c r="C645" s="2">
        <f>IFERROR(__xludf.DUMMYFUNCTION("""COMPUTED_VALUE"""),10.0)</f>
        <v>10</v>
      </c>
      <c r="D645" s="2" t="str">
        <f>IFERROR(__xludf.DUMMYFUNCTION("""COMPUTED_VALUE"""),"Ghusrung")</f>
        <v>Ghusrung</v>
      </c>
      <c r="E645" s="2"/>
      <c r="F645" s="3">
        <f>IFERROR(__xludf.DUMMYFUNCTION("""COMPUTED_VALUE"""),60406.0)</f>
        <v>60406</v>
      </c>
      <c r="G645" s="2" t="str">
        <f>IFERROR(__xludf.DUMMYFUNCTION("""COMPUTED_VALUE"""),"Kaligandaki Kota Hydropower P. Ltd")</f>
        <v>Kaligandaki Kota Hydropower P. Ltd</v>
      </c>
      <c r="H645" s="2" t="str">
        <f>IFERROR(__xludf.DUMMYFUNCTION("""COMPUTED_VALUE"""),"GPO 19554, Swoyambhu, Kathmandu, Ph: 4672598, 4672599")</f>
        <v>GPO 19554, Swoyambhu, Kathmandu, Ph: 4672598, 4672599</v>
      </c>
      <c r="I645" s="2" t="str">
        <f>IFERROR(__xludf.DUMMYFUNCTION("""COMPUTED_VALUE"""),"28o 37' 42""")</f>
        <v>28o 37' 42"</v>
      </c>
      <c r="J645" s="2" t="str">
        <f>IFERROR(__xludf.DUMMYFUNCTION("""COMPUTED_VALUE"""),"28o 39' 20""")</f>
        <v>28o 39' 20"</v>
      </c>
      <c r="K645" s="2" t="str">
        <f>IFERROR(__xludf.DUMMYFUNCTION("""COMPUTED_VALUE"""),"82o 56' 13""")</f>
        <v>82o 56' 13"</v>
      </c>
      <c r="L645" s="2" t="str">
        <f>IFERROR(__xludf.DUMMYFUNCTION("""COMPUTED_VALUE"""),"82o 59' 15""")</f>
        <v>82o 59' 15"</v>
      </c>
      <c r="M645" s="2" t="str">
        <f>IFERROR(__xludf.DUMMYFUNCTION("""COMPUTED_VALUE"""),"Hukam,Ranmamekot (Rukum)")</f>
        <v>Hukam,Ranmamekot (Rukum)</v>
      </c>
    </row>
    <row r="646">
      <c r="A646" s="2">
        <f>IFERROR(__xludf.DUMMYFUNCTION("""COMPUTED_VALUE"""),645.0)</f>
        <v>645</v>
      </c>
      <c r="B646" s="2" t="str">
        <f>IFERROR(__xludf.DUMMYFUNCTION("""COMPUTED_VALUE"""),"Marsyangdi")</f>
        <v>Marsyangdi</v>
      </c>
      <c r="C646" s="2">
        <f>IFERROR(__xludf.DUMMYFUNCTION("""COMPUTED_VALUE"""),50.0)</f>
        <v>50</v>
      </c>
      <c r="D646" s="2" t="str">
        <f>IFERROR(__xludf.DUMMYFUNCTION("""COMPUTED_VALUE"""),"Marsyangdi")</f>
        <v>Marsyangdi</v>
      </c>
      <c r="E646" s="2"/>
      <c r="F646" s="3">
        <f>IFERROR(__xludf.DUMMYFUNCTION("""COMPUTED_VALUE"""),60406.0)</f>
        <v>60406</v>
      </c>
      <c r="G646" s="2" t="str">
        <f>IFERROR(__xludf.DUMMYFUNCTION("""COMPUTED_VALUE"""),"Rajendra Bhakta Shrestha &amp; Pushkar Dewan")</f>
        <v>Rajendra Bhakta Shrestha &amp; Pushkar Dewan</v>
      </c>
      <c r="H646" s="2" t="str">
        <f>IFERROR(__xludf.DUMMYFUNCTION("""COMPUTED_VALUE"""),"299, Madhyamarg, Budhhanagar, Kathmandu, Nepal. Ph : 9851099257, 4783532, 
4782765")</f>
        <v>299, Madhyamarg, Budhhanagar, Kathmandu, Nepal. Ph : 9851099257, 4783532, 
4782765</v>
      </c>
      <c r="I646" s="2" t="str">
        <f>IFERROR(__xludf.DUMMYFUNCTION("""COMPUTED_VALUE"""),"28o 05' 12""")</f>
        <v>28o 05' 12"</v>
      </c>
      <c r="J646" s="2" t="str">
        <f>IFERROR(__xludf.DUMMYFUNCTION("""COMPUTED_VALUE"""),"28o 07' 16""")</f>
        <v>28o 07' 16"</v>
      </c>
      <c r="K646" s="2" t="str">
        <f>IFERROR(__xludf.DUMMYFUNCTION("""COMPUTED_VALUE"""),"84o 25' 41""")</f>
        <v>84o 25' 41"</v>
      </c>
      <c r="L646" s="2" t="str">
        <f>IFERROR(__xludf.DUMMYFUNCTION("""COMPUTED_VALUE"""),"84o 27' 37""")</f>
        <v>84o 27' 37"</v>
      </c>
      <c r="M646" s="2" t="str">
        <f>IFERROR(__xludf.DUMMYFUNCTION("""COMPUTED_VALUE"""),"Archalbot (Lamjung)")</f>
        <v>Archalbot (Lamjung)</v>
      </c>
    </row>
    <row r="647">
      <c r="A647" s="2">
        <f>IFERROR(__xludf.DUMMYFUNCTION("""COMPUTED_VALUE"""),646.0)</f>
        <v>646</v>
      </c>
      <c r="B647" s="2" t="str">
        <f>IFERROR(__xludf.DUMMYFUNCTION("""COMPUTED_VALUE"""),"Khagdal Khola")</f>
        <v>Khagdal Khola</v>
      </c>
      <c r="C647" s="2">
        <f>IFERROR(__xludf.DUMMYFUNCTION("""COMPUTED_VALUE"""),0.367)</f>
        <v>0.367</v>
      </c>
      <c r="D647" s="2" t="str">
        <f>IFERROR(__xludf.DUMMYFUNCTION("""COMPUTED_VALUE"""),"Khagdal Khola")</f>
        <v>Khagdal Khola</v>
      </c>
      <c r="E647" s="2"/>
      <c r="F647" s="3">
        <f>IFERROR(__xludf.DUMMYFUNCTION("""COMPUTED_VALUE"""),60406.0)</f>
        <v>60406</v>
      </c>
      <c r="G647" s="2" t="str">
        <f>IFERROR(__xludf.DUMMYFUNCTION("""COMPUTED_VALUE"""),"Suman Khatri")</f>
        <v>Suman Khatri</v>
      </c>
      <c r="H647" s="2"/>
      <c r="I647" s="2" t="str">
        <f>IFERROR(__xludf.DUMMYFUNCTION("""COMPUTED_VALUE"""),"27o 47' 49""")</f>
        <v>27o 47' 49"</v>
      </c>
      <c r="J647" s="2" t="str">
        <f>IFERROR(__xludf.DUMMYFUNCTION("""COMPUTED_VALUE"""),"27o 48' 49""")</f>
        <v>27o 48' 49"</v>
      </c>
      <c r="K647" s="2" t="str">
        <f>IFERROR(__xludf.DUMMYFUNCTION("""COMPUTED_VALUE"""),"85o 53' 38""")</f>
        <v>85o 53' 38"</v>
      </c>
      <c r="L647" s="2" t="str">
        <f>IFERROR(__xludf.DUMMYFUNCTION("""COMPUTED_VALUE"""),"85o 55' 00""")</f>
        <v>85o 55' 00"</v>
      </c>
      <c r="M647" s="2"/>
    </row>
    <row r="648">
      <c r="A648" s="2">
        <f>IFERROR(__xludf.DUMMYFUNCTION("""COMPUTED_VALUE"""),647.0)</f>
        <v>647</v>
      </c>
      <c r="B648" s="2" t="str">
        <f>IFERROR(__xludf.DUMMYFUNCTION("""COMPUTED_VALUE"""),"Lower Pelma")</f>
        <v>Lower Pelma</v>
      </c>
      <c r="C648" s="2">
        <f>IFERROR(__xludf.DUMMYFUNCTION("""COMPUTED_VALUE"""),10.0)</f>
        <v>10</v>
      </c>
      <c r="D648" s="2" t="str">
        <f>IFERROR(__xludf.DUMMYFUNCTION("""COMPUTED_VALUE"""),"Pelma")</f>
        <v>Pelma</v>
      </c>
      <c r="E648" s="2"/>
      <c r="F648" s="3">
        <f>IFERROR(__xludf.DUMMYFUNCTION("""COMPUTED_VALUE"""),60406.0)</f>
        <v>60406</v>
      </c>
      <c r="G648" s="2" t="str">
        <f>IFERROR(__xludf.DUMMYFUNCTION("""COMPUTED_VALUE"""),"Chhumchumgad Hydropower")</f>
        <v>Chhumchumgad Hydropower</v>
      </c>
      <c r="H648" s="2" t="str">
        <f>IFERROR(__xludf.DUMMYFUNCTION("""COMPUTED_VALUE"""),"GPO 19554, Swoyambhu, Kathmandu, Ph: 4672598, 4672599")</f>
        <v>GPO 19554, Swoyambhu, Kathmandu, Ph: 4672598, 4672599</v>
      </c>
      <c r="I648" s="2" t="str">
        <f>IFERROR(__xludf.DUMMYFUNCTION("""COMPUTED_VALUE"""),"28o 39' 50""")</f>
        <v>28o 39' 50"</v>
      </c>
      <c r="J648" s="2" t="str">
        <f>IFERROR(__xludf.DUMMYFUNCTION("""COMPUTED_VALUE"""),"28o 41' 05""")</f>
        <v>28o 41' 05"</v>
      </c>
      <c r="K648" s="2" t="str">
        <f>IFERROR(__xludf.DUMMYFUNCTION("""COMPUTED_VALUE"""),"82o 48' 10""")</f>
        <v>82o 48' 10"</v>
      </c>
      <c r="L648" s="2" t="str">
        <f>IFERROR(__xludf.DUMMYFUNCTION("""COMPUTED_VALUE"""),"82o 52' 00""")</f>
        <v>82o 52' 00"</v>
      </c>
      <c r="M648" s="2" t="str">
        <f>IFERROR(__xludf.DUMMYFUNCTION("""COMPUTED_VALUE"""),"Ranmamekot,Hukam (Rukum)")</f>
        <v>Ranmamekot,Hukam (Rukum)</v>
      </c>
    </row>
    <row r="649">
      <c r="A649" s="2">
        <f>IFERROR(__xludf.DUMMYFUNCTION("""COMPUTED_VALUE"""),648.0)</f>
        <v>648</v>
      </c>
      <c r="B649" s="2" t="str">
        <f>IFERROR(__xludf.DUMMYFUNCTION("""COMPUTED_VALUE"""),"Middle Pelma")</f>
        <v>Middle Pelma</v>
      </c>
      <c r="C649" s="2">
        <f>IFERROR(__xludf.DUMMYFUNCTION("""COMPUTED_VALUE"""),11.0)</f>
        <v>11</v>
      </c>
      <c r="D649" s="2"/>
      <c r="E649" s="2"/>
      <c r="F649" s="3">
        <f>IFERROR(__xludf.DUMMYFUNCTION("""COMPUTED_VALUE"""),60406.0)</f>
        <v>60406</v>
      </c>
      <c r="G649" s="2" t="str">
        <f>IFERROR(__xludf.DUMMYFUNCTION("""COMPUTED_VALUE"""),"Tarapkhola Hydropower P. Ltd")</f>
        <v>Tarapkhola Hydropower P. Ltd</v>
      </c>
      <c r="H649" s="2" t="str">
        <f>IFERROR(__xludf.DUMMYFUNCTION("""COMPUTED_VALUE"""),"GPO 19554, Swoyambhu, Kathmandu, Ph: 4672598, 4672599")</f>
        <v>GPO 19554, Swoyambhu, Kathmandu, Ph: 4672598, 4672599</v>
      </c>
      <c r="I649" s="2" t="str">
        <f>IFERROR(__xludf.DUMMYFUNCTION("""COMPUTED_VALUE"""),"28o 38' 45""")</f>
        <v>28o 38' 45"</v>
      </c>
      <c r="J649" s="2" t="str">
        <f>IFERROR(__xludf.DUMMYFUNCTION("""COMPUTED_VALUE"""),"28o 40' 55""")</f>
        <v>28o 40' 55"</v>
      </c>
      <c r="K649" s="2" t="str">
        <f>IFERROR(__xludf.DUMMYFUNCTION("""COMPUTED_VALUE"""),"82o 52' 01""")</f>
        <v>82o 52' 01"</v>
      </c>
      <c r="L649" s="2" t="str">
        <f>IFERROR(__xludf.DUMMYFUNCTION("""COMPUTED_VALUE"""),"82o 56' 13""")</f>
        <v>82o 56' 13"</v>
      </c>
      <c r="M649" s="2"/>
    </row>
    <row r="650">
      <c r="A650" s="2">
        <f>IFERROR(__xludf.DUMMYFUNCTION("""COMPUTED_VALUE"""),649.0)</f>
        <v>649</v>
      </c>
      <c r="B650" s="2" t="str">
        <f>IFERROR(__xludf.DUMMYFUNCTION("""COMPUTED_VALUE"""),"Ranma")</f>
        <v>Ranma</v>
      </c>
      <c r="C650" s="2">
        <f>IFERROR(__xludf.DUMMYFUNCTION("""COMPUTED_VALUE"""),11.0)</f>
        <v>11</v>
      </c>
      <c r="D650" s="2" t="str">
        <f>IFERROR(__xludf.DUMMYFUNCTION("""COMPUTED_VALUE"""),"Ranma")</f>
        <v>Ranma</v>
      </c>
      <c r="E650" s="2"/>
      <c r="F650" s="3">
        <f>IFERROR(__xludf.DUMMYFUNCTION("""COMPUTED_VALUE"""),60406.0)</f>
        <v>60406</v>
      </c>
      <c r="G650" s="2" t="str">
        <f>IFERROR(__xludf.DUMMYFUNCTION("""COMPUTED_VALUE"""),"Chhumchumgad Hydropower")</f>
        <v>Chhumchumgad Hydropower</v>
      </c>
      <c r="H650" s="2" t="str">
        <f>IFERROR(__xludf.DUMMYFUNCTION("""COMPUTED_VALUE"""),"GPO 19554, Swoyambhu, Kathmandu, Ph: 4672598, 4672599")</f>
        <v>GPO 19554, Swoyambhu, Kathmandu, Ph: 4672598, 4672599</v>
      </c>
      <c r="I650" s="2" t="str">
        <f>IFERROR(__xludf.DUMMYFUNCTION("""COMPUTED_VALUE"""),"28o 41' 06""")</f>
        <v>28o 41' 06"</v>
      </c>
      <c r="J650" s="2" t="str">
        <f>IFERROR(__xludf.DUMMYFUNCTION("""COMPUTED_VALUE"""),"28o 44' 20""")</f>
        <v>28o 44' 20"</v>
      </c>
      <c r="K650" s="2" t="str">
        <f>IFERROR(__xludf.DUMMYFUNCTION("""COMPUTED_VALUE"""),"82o 51' 15""")</f>
        <v>82o 51' 15"</v>
      </c>
      <c r="L650" s="2" t="str">
        <f>IFERROR(__xludf.DUMMYFUNCTION("""COMPUTED_VALUE"""),"82o 52' 00""")</f>
        <v>82o 52' 00"</v>
      </c>
      <c r="M650" s="2"/>
    </row>
    <row r="651">
      <c r="A651" s="2">
        <f>IFERROR(__xludf.DUMMYFUNCTION("""COMPUTED_VALUE"""),650.0)</f>
        <v>650</v>
      </c>
      <c r="B651" s="2" t="str">
        <f>IFERROR(__xludf.DUMMYFUNCTION("""COMPUTED_VALUE"""),"Sisne Khola")</f>
        <v>Sisne Khola</v>
      </c>
      <c r="C651" s="2">
        <f>IFERROR(__xludf.DUMMYFUNCTION("""COMPUTED_VALUE"""),10.0)</f>
        <v>10</v>
      </c>
      <c r="D651" s="2" t="str">
        <f>IFERROR(__xludf.DUMMYFUNCTION("""COMPUTED_VALUE"""),"Sisne Khola")</f>
        <v>Sisne Khola</v>
      </c>
      <c r="E651" s="2"/>
      <c r="F651" s="3">
        <f>IFERROR(__xludf.DUMMYFUNCTION("""COMPUTED_VALUE"""),60406.0)</f>
        <v>60406</v>
      </c>
      <c r="G651" s="2" t="str">
        <f>IFERROR(__xludf.DUMMYFUNCTION("""COMPUTED_VALUE"""),"Kaligandaki Kota Hydropower P. Ltd")</f>
        <v>Kaligandaki Kota Hydropower P. Ltd</v>
      </c>
      <c r="H651" s="2"/>
      <c r="I651" s="2" t="str">
        <f>IFERROR(__xludf.DUMMYFUNCTION("""COMPUTED_VALUE"""),"28o 40' 15""")</f>
        <v>28o 40' 15"</v>
      </c>
      <c r="J651" s="2" t="str">
        <f>IFERROR(__xludf.DUMMYFUNCTION("""COMPUTED_VALUE"""),"28o 44' 40""")</f>
        <v>28o 44' 40"</v>
      </c>
      <c r="K651" s="2" t="str">
        <f>IFERROR(__xludf.DUMMYFUNCTION("""COMPUTED_VALUE"""),"82o 40' 00""")</f>
        <v>82o 40' 00"</v>
      </c>
      <c r="L651" s="2" t="str">
        <f>IFERROR(__xludf.DUMMYFUNCTION("""COMPUTED_VALUE"""),"82o 42' 30""")</f>
        <v>82o 42' 30"</v>
      </c>
      <c r="M651" s="2" t="str">
        <f>IFERROR(__xludf.DUMMYFUNCTION("""COMPUTED_VALUE"""),"Jang,Pwang,Kanda (Rukum)")</f>
        <v>Jang,Pwang,Kanda (Rukum)</v>
      </c>
    </row>
    <row r="652">
      <c r="A652" s="2">
        <f>IFERROR(__xludf.DUMMYFUNCTION("""COMPUTED_VALUE"""),651.0)</f>
        <v>651</v>
      </c>
      <c r="B652" s="2" t="str">
        <f>IFERROR(__xludf.DUMMYFUNCTION("""COMPUTED_VALUE"""),"Loti Karnali")</f>
        <v>Loti Karnali</v>
      </c>
      <c r="C652" s="2">
        <f>IFERROR(__xludf.DUMMYFUNCTION("""COMPUTED_VALUE"""),51.0)</f>
        <v>51</v>
      </c>
      <c r="D652" s="2" t="str">
        <f>IFERROR(__xludf.DUMMYFUNCTION("""COMPUTED_VALUE"""),"Karnali")</f>
        <v>Karnali</v>
      </c>
      <c r="E652" s="2"/>
      <c r="F652" s="3">
        <f>IFERROR(__xludf.DUMMYFUNCTION("""COMPUTED_VALUE"""),60406.0)</f>
        <v>60406</v>
      </c>
      <c r="G652" s="2" t="str">
        <f>IFERROR(__xludf.DUMMYFUNCTION("""COMPUTED_VALUE"""),"Sunkhola Hydropowe P Ltd")</f>
        <v>Sunkhola Hydropowe P Ltd</v>
      </c>
      <c r="H652" s="2" t="str">
        <f>IFERROR(__xludf.DUMMYFUNCTION("""COMPUTED_VALUE"""),"Tribeni Complex, Putalisadak, Kathamndu. Ph ; 4224074, Fax : 4266133")</f>
        <v>Tribeni Complex, Putalisadak, Kathamndu. Ph ; 4224074, Fax : 4266133</v>
      </c>
      <c r="I652" s="2" t="str">
        <f>IFERROR(__xludf.DUMMYFUNCTION("""COMPUTED_VALUE"""),"29o 40' 00""")</f>
        <v>29o 40' 00"</v>
      </c>
      <c r="J652" s="2" t="str">
        <f>IFERROR(__xludf.DUMMYFUNCTION("""COMPUTED_VALUE"""),"29o 45' 20""")</f>
        <v>29o 45' 20"</v>
      </c>
      <c r="K652" s="2" t="str">
        <f>IFERROR(__xludf.DUMMYFUNCTION("""COMPUTED_VALUE"""),"81o 57' 20""")</f>
        <v>81o 57' 20"</v>
      </c>
      <c r="L652" s="2" t="str">
        <f>IFERROR(__xludf.DUMMYFUNCTION("""COMPUTED_VALUE"""),"82o 05' 00""")</f>
        <v>82o 05' 00"</v>
      </c>
      <c r="M652" s="2" t="str">
        <f>IFERROR(__xludf.DUMMYFUNCTION("""COMPUTED_VALUE"""),"Bargaun (Humla) Dolphu (Mugu)")</f>
        <v>Bargaun (Humla) Dolphu (Mugu)</v>
      </c>
    </row>
    <row r="653">
      <c r="A653" s="2">
        <f>IFERROR(__xludf.DUMMYFUNCTION("""COMPUTED_VALUE"""),652.0)</f>
        <v>652</v>
      </c>
      <c r="B653" s="2" t="str">
        <f>IFERROR(__xludf.DUMMYFUNCTION("""COMPUTED_VALUE"""),"Shobha Rukum Gad")</f>
        <v>Shobha Rukum Gad</v>
      </c>
      <c r="C653" s="2">
        <f>IFERROR(__xludf.DUMMYFUNCTION("""COMPUTED_VALUE"""),3.2)</f>
        <v>3.2</v>
      </c>
      <c r="D653" s="2" t="str">
        <f>IFERROR(__xludf.DUMMYFUNCTION("""COMPUTED_VALUE"""),"Shobha Rukum")</f>
        <v>Shobha Rukum</v>
      </c>
      <c r="E653" s="2">
        <f>IFERROR(__xludf.DUMMYFUNCTION("""COMPUTED_VALUE"""),849.0)</f>
        <v>849</v>
      </c>
      <c r="F653" s="3">
        <f>IFERROR(__xludf.DUMMYFUNCTION("""COMPUTED_VALUE"""),60406.0)</f>
        <v>60406</v>
      </c>
      <c r="G653" s="2" t="str">
        <f>IFERROR(__xludf.DUMMYFUNCTION("""COMPUTED_VALUE"""),"Kamal Construction")</f>
        <v>Kamal Construction</v>
      </c>
      <c r="H653" s="2"/>
      <c r="I653" s="2" t="str">
        <f>IFERROR(__xludf.DUMMYFUNCTION("""COMPUTED_VALUE"""),"28o 35' 24""")</f>
        <v>28o 35' 24"</v>
      </c>
      <c r="J653" s="2" t="str">
        <f>IFERROR(__xludf.DUMMYFUNCTION("""COMPUTED_VALUE"""),"28o 37' 54""")</f>
        <v>28o 37' 54"</v>
      </c>
      <c r="K653" s="2" t="str">
        <f>IFERROR(__xludf.DUMMYFUNCTION("""COMPUTED_VALUE"""),"82o 37' 12""")</f>
        <v>82o 37' 12"</v>
      </c>
      <c r="L653" s="2" t="str">
        <f>IFERROR(__xludf.DUMMYFUNCTION("""COMPUTED_VALUE"""),"82o 38' 34""")</f>
        <v>82o 38' 34"</v>
      </c>
      <c r="M653" s="2" t="str">
        <f>IFERROR(__xludf.DUMMYFUNCTION("""COMPUTED_VALUE"""),"Sobha (Rukum)")</f>
        <v>Sobha (Rukum)</v>
      </c>
    </row>
    <row r="654">
      <c r="A654" s="2">
        <f>IFERROR(__xludf.DUMMYFUNCTION("""COMPUTED_VALUE"""),653.0)</f>
        <v>653</v>
      </c>
      <c r="B654" s="2" t="str">
        <f>IFERROR(__xludf.DUMMYFUNCTION("""COMPUTED_VALUE"""),"Bhaise Khola")</f>
        <v>Bhaise Khola</v>
      </c>
      <c r="C654" s="2">
        <f>IFERROR(__xludf.DUMMYFUNCTION("""COMPUTED_VALUE"""),0.995)</f>
        <v>0.995</v>
      </c>
      <c r="D654" s="2" t="str">
        <f>IFERROR(__xludf.DUMMYFUNCTION("""COMPUTED_VALUE"""),"Bhaise Khola")</f>
        <v>Bhaise Khola</v>
      </c>
      <c r="E654" s="2"/>
      <c r="F654" s="3">
        <f>IFERROR(__xludf.DUMMYFUNCTION("""COMPUTED_VALUE"""),60407.0)</f>
        <v>60407</v>
      </c>
      <c r="G654" s="2" t="str">
        <f>IFERROR(__xludf.DUMMYFUNCTION("""COMPUTED_VALUE"""),"Avani Hydrotech P Ltd")</f>
        <v>Avani Hydrotech P Ltd</v>
      </c>
      <c r="H654" s="2"/>
      <c r="I654" s="2" t="str">
        <f>IFERROR(__xludf.DUMMYFUNCTION("""COMPUTED_VALUE"""),"27o 53' 57""")</f>
        <v>27o 53' 57"</v>
      </c>
      <c r="J654" s="2" t="str">
        <f>IFERROR(__xludf.DUMMYFUNCTION("""COMPUTED_VALUE"""),"27o 54' 41""")</f>
        <v>27o 54' 41"</v>
      </c>
      <c r="K654" s="2" t="str">
        <f>IFERROR(__xludf.DUMMYFUNCTION("""COMPUTED_VALUE"""),"86o 11' 21""")</f>
        <v>86o 11' 21"</v>
      </c>
      <c r="L654" s="2" t="str">
        <f>IFERROR(__xludf.DUMMYFUNCTION("""COMPUTED_VALUE"""),"86o 13' 32""")</f>
        <v>86o 13' 32"</v>
      </c>
      <c r="M654" s="2" t="str">
        <f>IFERROR(__xludf.DUMMYFUNCTION("""COMPUTED_VALUE"""),"Alampu (Dolakha)")</f>
        <v>Alampu (Dolakha)</v>
      </c>
    </row>
    <row r="655">
      <c r="A655" s="2">
        <f>IFERROR(__xludf.DUMMYFUNCTION("""COMPUTED_VALUE"""),654.0)</f>
        <v>654</v>
      </c>
      <c r="B655" s="2" t="str">
        <f>IFERROR(__xludf.DUMMYFUNCTION("""COMPUTED_VALUE"""),"Apsuwa Khola SHP")</f>
        <v>Apsuwa Khola SHP</v>
      </c>
      <c r="C655" s="2">
        <f>IFERROR(__xludf.DUMMYFUNCTION("""COMPUTED_VALUE"""),1.0)</f>
        <v>1</v>
      </c>
      <c r="D655" s="2" t="str">
        <f>IFERROR(__xludf.DUMMYFUNCTION("""COMPUTED_VALUE"""),"Apsuwa Khola")</f>
        <v>Apsuwa Khola</v>
      </c>
      <c r="E655" s="2">
        <f>IFERROR(__xludf.DUMMYFUNCTION("""COMPUTED_VALUE"""),905.0)</f>
        <v>905</v>
      </c>
      <c r="F655" s="3">
        <f>IFERROR(__xludf.DUMMYFUNCTION("""COMPUTED_VALUE"""),60410.0)</f>
        <v>60410</v>
      </c>
      <c r="G655" s="2" t="str">
        <f>IFERROR(__xludf.DUMMYFUNCTION("""COMPUTED_VALUE"""),"Sabitri Upreti &amp; Sanjeev Prasad Shah")</f>
        <v>Sabitri Upreti &amp; Sanjeev Prasad Shah</v>
      </c>
      <c r="H655" s="2" t="str">
        <f>IFERROR(__xludf.DUMMYFUNCTION("""COMPUTED_VALUE"""),"KMC-33, Kathmandu &amp; Tulasiyahi Jabdi-8, Dhanusa")</f>
        <v>KMC-33, Kathmandu &amp; Tulasiyahi Jabdi-8, Dhanusa</v>
      </c>
      <c r="I655" s="2" t="str">
        <f>IFERROR(__xludf.DUMMYFUNCTION("""COMPUTED_VALUE"""),"27o 30' 57""")</f>
        <v>27o 30' 57"</v>
      </c>
      <c r="J655" s="2" t="str">
        <f>IFERROR(__xludf.DUMMYFUNCTION("""COMPUTED_VALUE"""),"27o 33' 14""")</f>
        <v>27o 33' 14"</v>
      </c>
      <c r="K655" s="2" t="str">
        <f>IFERROR(__xludf.DUMMYFUNCTION("""COMPUTED_VALUE"""),"87o 12' 30""")</f>
        <v>87o 12' 30"</v>
      </c>
      <c r="L655" s="2" t="str">
        <f>IFERROR(__xludf.DUMMYFUNCTION("""COMPUTED_VALUE"""),"87o 14' 13""")</f>
        <v>87o 14' 13"</v>
      </c>
      <c r="M655" s="2" t="str">
        <f>IFERROR(__xludf.DUMMYFUNCTION("""COMPUTED_VALUE"""),"Diding,Makalu,Num,Yafu (Sankhuwasabha)")</f>
        <v>Diding,Makalu,Num,Yafu (Sankhuwasabha)</v>
      </c>
    </row>
    <row r="656">
      <c r="A656" s="2">
        <f>IFERROR(__xludf.DUMMYFUNCTION("""COMPUTED_VALUE"""),655.0)</f>
        <v>655</v>
      </c>
      <c r="B656" s="2" t="str">
        <f>IFERROR(__xludf.DUMMYFUNCTION("""COMPUTED_VALUE"""),"Budhi Ganga")</f>
        <v>Budhi Ganga</v>
      </c>
      <c r="C656" s="2">
        <f>IFERROR(__xludf.DUMMYFUNCTION("""COMPUTED_VALUE"""),1.0)</f>
        <v>1</v>
      </c>
      <c r="D656" s="2" t="str">
        <f>IFERROR(__xludf.DUMMYFUNCTION("""COMPUTED_VALUE"""),"Budhi Ganga")</f>
        <v>Budhi Ganga</v>
      </c>
      <c r="E656" s="2">
        <f>IFERROR(__xludf.DUMMYFUNCTION("""COMPUTED_VALUE"""),906.0)</f>
        <v>906</v>
      </c>
      <c r="F656" s="3">
        <f>IFERROR(__xludf.DUMMYFUNCTION("""COMPUTED_VALUE"""),60410.0)</f>
        <v>60410</v>
      </c>
      <c r="G656" s="2" t="str">
        <f>IFERROR(__xludf.DUMMYFUNCTION("""COMPUTED_VALUE"""),"Sabitri Upreti &amp; Sanjeev Prasad Shah")</f>
        <v>Sabitri Upreti &amp; Sanjeev Prasad Shah</v>
      </c>
      <c r="H656" s="2" t="str">
        <f>IFERROR(__xludf.DUMMYFUNCTION("""COMPUTED_VALUE"""),"KMC-33, Kathmandu &amp; Tulasiyahi Jabdi-8, Dhanusa")</f>
        <v>KMC-33, Kathmandu &amp; Tulasiyahi Jabdi-8, Dhanusa</v>
      </c>
      <c r="I656" s="2" t="str">
        <f>IFERROR(__xludf.DUMMYFUNCTION("""COMPUTED_VALUE"""),"29o 19' 07""")</f>
        <v>29o 19' 07"</v>
      </c>
      <c r="J656" s="2" t="str">
        <f>IFERROR(__xludf.DUMMYFUNCTION("""COMPUTED_VALUE"""),"29o 22' 20""")</f>
        <v>29o 22' 20"</v>
      </c>
      <c r="K656" s="2" t="str">
        <f>IFERROR(__xludf.DUMMYFUNCTION("""COMPUTED_VALUE"""),"81o 18' 07""")</f>
        <v>81o 18' 07"</v>
      </c>
      <c r="L656" s="2" t="str">
        <f>IFERROR(__xludf.DUMMYFUNCTION("""COMPUTED_VALUE"""),"81o 21' 27""")</f>
        <v>81o 21' 27"</v>
      </c>
      <c r="M656" s="2" t="str">
        <f>IFERROR(__xludf.DUMMYFUNCTION("""COMPUTED_VALUE"""),"Barhabise,Kailashmandau,Kuldeumadau (Bajura)")</f>
        <v>Barhabise,Kailashmandau,Kuldeumadau (Bajura)</v>
      </c>
    </row>
    <row r="657">
      <c r="A657" s="2">
        <f>IFERROR(__xludf.DUMMYFUNCTION("""COMPUTED_VALUE"""),656.0)</f>
        <v>656</v>
      </c>
      <c r="B657" s="2" t="str">
        <f>IFERROR(__xludf.DUMMYFUNCTION("""COMPUTED_VALUE"""),"Inkhu")</f>
        <v>Inkhu</v>
      </c>
      <c r="C657" s="2">
        <f>IFERROR(__xludf.DUMMYFUNCTION("""COMPUTED_VALUE"""),14.0)</f>
        <v>14</v>
      </c>
      <c r="D657" s="2" t="str">
        <f>IFERROR(__xludf.DUMMYFUNCTION("""COMPUTED_VALUE"""),"Inkhu")</f>
        <v>Inkhu</v>
      </c>
      <c r="E657" s="2"/>
      <c r="F657" s="3">
        <f>IFERROR(__xludf.DUMMYFUNCTION("""COMPUTED_VALUE"""),60411.0)</f>
        <v>60411</v>
      </c>
      <c r="G657" s="2" t="str">
        <f>IFERROR(__xludf.DUMMYFUNCTION("""COMPUTED_VALUE"""),"Proton Energy (Pvt.) Ltd")</f>
        <v>Proton Energy (Pvt.) Ltd</v>
      </c>
      <c r="H657" s="2" t="str">
        <f>IFERROR(__xludf.DUMMYFUNCTION("""COMPUTED_VALUE"""),"Lalitpur 23")</f>
        <v>Lalitpur 23</v>
      </c>
      <c r="I657" s="2" t="str">
        <f>IFERROR(__xludf.DUMMYFUNCTION("""COMPUTED_VALUE"""),"27o 34' 00""")</f>
        <v>27o 34' 00"</v>
      </c>
      <c r="J657" s="2" t="str">
        <f>IFERROR(__xludf.DUMMYFUNCTION("""COMPUTED_VALUE"""),"27o 38' 00""")</f>
        <v>27o 38' 00"</v>
      </c>
      <c r="K657" s="2" t="str">
        <f>IFERROR(__xludf.DUMMYFUNCTION("""COMPUTED_VALUE"""),"86o 45' 00""")</f>
        <v>86o 45' 00"</v>
      </c>
      <c r="L657" s="2" t="str">
        <f>IFERROR(__xludf.DUMMYFUNCTION("""COMPUTED_VALUE"""),"86o 49' 00""")</f>
        <v>86o 49' 00"</v>
      </c>
      <c r="M657" s="2"/>
    </row>
    <row r="658">
      <c r="A658" s="2">
        <f>IFERROR(__xludf.DUMMYFUNCTION("""COMPUTED_VALUE"""),657.0)</f>
        <v>657</v>
      </c>
      <c r="B658" s="2" t="str">
        <f>IFERROR(__xludf.DUMMYFUNCTION("""COMPUTED_VALUE"""),"Upper Karuwa")</f>
        <v>Upper Karuwa</v>
      </c>
      <c r="C658" s="2">
        <f>IFERROR(__xludf.DUMMYFUNCTION("""COMPUTED_VALUE"""),20.0)</f>
        <v>20</v>
      </c>
      <c r="D658" s="2" t="str">
        <f>IFERROR(__xludf.DUMMYFUNCTION("""COMPUTED_VALUE"""),"Seti Khola")</f>
        <v>Seti Khola</v>
      </c>
      <c r="E658" s="2"/>
      <c r="F658" s="3">
        <f>IFERROR(__xludf.DUMMYFUNCTION("""COMPUTED_VALUE"""),60411.0)</f>
        <v>60411</v>
      </c>
      <c r="G658" s="2" t="str">
        <f>IFERROR(__xludf.DUMMYFUNCTION("""COMPUTED_VALUE"""),"Nilgiri Power Company (Pvt.) Ltd")</f>
        <v>Nilgiri Power Company (Pvt.) Ltd</v>
      </c>
      <c r="H658" s="2" t="str">
        <f>IFERROR(__xludf.DUMMYFUNCTION("""COMPUTED_VALUE"""),"Pokhara-7, Kaski")</f>
        <v>Pokhara-7, Kaski</v>
      </c>
      <c r="I658" s="2" t="str">
        <f>IFERROR(__xludf.DUMMYFUNCTION("""COMPUTED_VALUE"""),"28o 24' 30""")</f>
        <v>28o 24' 30"</v>
      </c>
      <c r="J658" s="2" t="str">
        <f>IFERROR(__xludf.DUMMYFUNCTION("""COMPUTED_VALUE"""),"28o 26' 30""")</f>
        <v>28o 26' 30"</v>
      </c>
      <c r="K658" s="2" t="str">
        <f>IFERROR(__xludf.DUMMYFUNCTION("""COMPUTED_VALUE"""),"83o 58' 00""")</f>
        <v>83o 58' 00"</v>
      </c>
      <c r="L658" s="2" t="str">
        <f>IFERROR(__xludf.DUMMYFUNCTION("""COMPUTED_VALUE"""),"84o 00' 00""")</f>
        <v>84o 00' 00"</v>
      </c>
      <c r="M658" s="2"/>
    </row>
    <row r="659">
      <c r="A659" s="2">
        <f>IFERROR(__xludf.DUMMYFUNCTION("""COMPUTED_VALUE"""),658.0)</f>
        <v>658</v>
      </c>
      <c r="B659" s="2" t="str">
        <f>IFERROR(__xludf.DUMMYFUNCTION("""COMPUTED_VALUE"""),"Upper Karauwa")</f>
        <v>Upper Karauwa</v>
      </c>
      <c r="C659" s="2">
        <f>IFERROR(__xludf.DUMMYFUNCTION("""COMPUTED_VALUE"""),20.0)</f>
        <v>20</v>
      </c>
      <c r="D659" s="2" t="str">
        <f>IFERROR(__xludf.DUMMYFUNCTION("""COMPUTED_VALUE"""),"Karauwa")</f>
        <v>Karauwa</v>
      </c>
      <c r="E659" s="2">
        <f>IFERROR(__xludf.DUMMYFUNCTION("""COMPUTED_VALUE"""),539.0)</f>
        <v>539</v>
      </c>
      <c r="F659" s="3">
        <f>IFERROR(__xludf.DUMMYFUNCTION("""COMPUTED_VALUE"""),60411.0)</f>
        <v>60411</v>
      </c>
      <c r="G659" s="2" t="str">
        <f>IFERROR(__xludf.DUMMYFUNCTION("""COMPUTED_VALUE"""),"Nilgiri Power Company (Pvt.) Ltd.")</f>
        <v>Nilgiri Power Company (Pvt.) Ltd.</v>
      </c>
      <c r="H659" s="2" t="str">
        <f>IFERROR(__xludf.DUMMYFUNCTION("""COMPUTED_VALUE"""),"Pokhara-7, Kaski")</f>
        <v>Pokhara-7, Kaski</v>
      </c>
      <c r="I659" s="2" t="str">
        <f>IFERROR(__xludf.DUMMYFUNCTION("""COMPUTED_VALUE"""),"28o 24' 30""")</f>
        <v>28o 24' 30"</v>
      </c>
      <c r="J659" s="2" t="str">
        <f>IFERROR(__xludf.DUMMYFUNCTION("""COMPUTED_VALUE"""),"28o 26' 30""")</f>
        <v>28o 26' 30"</v>
      </c>
      <c r="K659" s="2" t="str">
        <f>IFERROR(__xludf.DUMMYFUNCTION("""COMPUTED_VALUE"""),"83o 58' 00""")</f>
        <v>83o 58' 00"</v>
      </c>
      <c r="L659" s="2" t="str">
        <f>IFERROR(__xludf.DUMMYFUNCTION("""COMPUTED_VALUE"""),"84o 00' 00""")</f>
        <v>84o 00' 00"</v>
      </c>
      <c r="M659" s="2" t="str">
        <f>IFERROR(__xludf.DUMMYFUNCTION("""COMPUTED_VALUE"""),"Machhapuchchhre (Kaski)")</f>
        <v>Machhapuchchhre (Kaski)</v>
      </c>
    </row>
    <row r="660">
      <c r="A660" s="2">
        <f>IFERROR(__xludf.DUMMYFUNCTION("""COMPUTED_VALUE"""),659.0)</f>
        <v>659</v>
      </c>
      <c r="B660" s="2" t="str">
        <f>IFERROR(__xludf.DUMMYFUNCTION("""COMPUTED_VALUE"""),"Luja Khola")</f>
        <v>Luja Khola</v>
      </c>
      <c r="C660" s="2">
        <f>IFERROR(__xludf.DUMMYFUNCTION("""COMPUTED_VALUE"""),5.0)</f>
        <v>5</v>
      </c>
      <c r="D660" s="2" t="str">
        <f>IFERROR(__xludf.DUMMYFUNCTION("""COMPUTED_VALUE"""),"Luja Khola")</f>
        <v>Luja Khola</v>
      </c>
      <c r="E660" s="2">
        <f>IFERROR(__xludf.DUMMYFUNCTION("""COMPUTED_VALUE"""),932.0)</f>
        <v>932</v>
      </c>
      <c r="F660" s="3">
        <f>IFERROR(__xludf.DUMMYFUNCTION("""COMPUTED_VALUE"""),60411.0)</f>
        <v>60411</v>
      </c>
      <c r="G660" s="2" t="str">
        <f>IFERROR(__xludf.DUMMYFUNCTION("""COMPUTED_VALUE"""),"Sanjaya Bhaskar, Nalina Chitrakar")</f>
        <v>Sanjaya Bhaskar, Nalina Chitrakar</v>
      </c>
      <c r="H660" s="2"/>
      <c r="I660" s="2" t="str">
        <f>IFERROR(__xludf.DUMMYFUNCTION("""COMPUTED_VALUE"""),"27o 38' 55""")</f>
        <v>27o 38' 55"</v>
      </c>
      <c r="J660" s="2" t="str">
        <f>IFERROR(__xludf.DUMMYFUNCTION("""COMPUTED_VALUE"""),"27o 40' 33""")</f>
        <v>27o 40' 33"</v>
      </c>
      <c r="K660" s="2" t="str">
        <f>IFERROR(__xludf.DUMMYFUNCTION("""COMPUTED_VALUE"""),"86o 41' 07""")</f>
        <v>86o 41' 07"</v>
      </c>
      <c r="L660" s="2" t="str">
        <f>IFERROR(__xludf.DUMMYFUNCTION("""COMPUTED_VALUE"""),"86o 42' 45""")</f>
        <v>86o 42' 45"</v>
      </c>
      <c r="M660" s="2" t="str">
        <f>IFERROR(__xludf.DUMMYFUNCTION("""COMPUTED_VALUE"""),"Chaurikharka,Takasindu (Solukhumbu)")</f>
        <v>Chaurikharka,Takasindu (Solukhumbu)</v>
      </c>
    </row>
    <row r="661">
      <c r="A661" s="2">
        <f>IFERROR(__xludf.DUMMYFUNCTION("""COMPUTED_VALUE"""),660.0)</f>
        <v>660</v>
      </c>
      <c r="B661" s="2" t="str">
        <f>IFERROR(__xludf.DUMMYFUNCTION("""COMPUTED_VALUE"""),"Sepli Khola")</f>
        <v>Sepli Khola</v>
      </c>
      <c r="C661" s="2">
        <f>IFERROR(__xludf.DUMMYFUNCTION("""COMPUTED_VALUE"""),5.0)</f>
        <v>5</v>
      </c>
      <c r="D661" s="2" t="str">
        <f>IFERROR(__xludf.DUMMYFUNCTION("""COMPUTED_VALUE"""),"Sepli Khola")</f>
        <v>Sepli Khola</v>
      </c>
      <c r="E661" s="2">
        <f>IFERROR(__xludf.DUMMYFUNCTION("""COMPUTED_VALUE"""),937.0)</f>
        <v>937</v>
      </c>
      <c r="F661" s="3">
        <f>IFERROR(__xludf.DUMMYFUNCTION("""COMPUTED_VALUE"""),60411.0)</f>
        <v>60411</v>
      </c>
      <c r="G661" s="2" t="str">
        <f>IFERROR(__xludf.DUMMYFUNCTION("""COMPUTED_VALUE"""),"Indira Devi Upadyaya, Abhinaw bhattarai")</f>
        <v>Indira Devi Upadyaya, Abhinaw bhattarai</v>
      </c>
      <c r="H661" s="2" t="str">
        <f>IFERROR(__xludf.DUMMYFUNCTION("""COMPUTED_VALUE"""),"Battisputali")</f>
        <v>Battisputali</v>
      </c>
      <c r="I661" s="2" t="str">
        <f>IFERROR(__xludf.DUMMYFUNCTION("""COMPUTED_VALUE"""),"27o 22' 37""")</f>
        <v>27o 22' 37"</v>
      </c>
      <c r="J661" s="2" t="str">
        <f>IFERROR(__xludf.DUMMYFUNCTION("""COMPUTED_VALUE"""),"27o 24' 14""")</f>
        <v>27o 24' 14"</v>
      </c>
      <c r="K661" s="2" t="str">
        <f>IFERROR(__xludf.DUMMYFUNCTION("""COMPUTED_VALUE"""),"86o 26' 37""")</f>
        <v>86o 26' 37"</v>
      </c>
      <c r="L661" s="2" t="str">
        <f>IFERROR(__xludf.DUMMYFUNCTION("""COMPUTED_VALUE"""),"86o 30' 00""")</f>
        <v>86o 30' 00"</v>
      </c>
      <c r="M661" s="2" t="str">
        <f>IFERROR(__xludf.DUMMYFUNCTION("""COMPUTED_VALUE"""),"Jantarkhani,Patle,Ragadeep (Okhaldhunga)")</f>
        <v>Jantarkhani,Patle,Ragadeep (Okhaldhunga)</v>
      </c>
    </row>
    <row r="662">
      <c r="A662" s="2">
        <f>IFERROR(__xludf.DUMMYFUNCTION("""COMPUTED_VALUE"""),661.0)</f>
        <v>661</v>
      </c>
      <c r="B662" s="2" t="str">
        <f>IFERROR(__xludf.DUMMYFUNCTION("""COMPUTED_VALUE"""),"Hongukhola")</f>
        <v>Hongukhola</v>
      </c>
      <c r="C662" s="2">
        <f>IFERROR(__xludf.DUMMYFUNCTION("""COMPUTED_VALUE"""),19.0)</f>
        <v>19</v>
      </c>
      <c r="D662" s="2" t="str">
        <f>IFERROR(__xludf.DUMMYFUNCTION("""COMPUTED_VALUE"""),"Hongu Khola")</f>
        <v>Hongu Khola</v>
      </c>
      <c r="E662" s="2">
        <f>IFERROR(__xludf.DUMMYFUNCTION("""COMPUTED_VALUE"""),949.0)</f>
        <v>949</v>
      </c>
      <c r="F662" s="3">
        <f>IFERROR(__xludf.DUMMYFUNCTION("""COMPUTED_VALUE"""),60411.0)</f>
        <v>60411</v>
      </c>
      <c r="G662" s="2" t="str">
        <f>IFERROR(__xludf.DUMMYFUNCTION("""COMPUTED_VALUE"""),"Proton Energy (Pvt.) Ltd.")</f>
        <v>Proton Energy (Pvt.) Ltd.</v>
      </c>
      <c r="H662" s="2" t="str">
        <f>IFERROR(__xludf.DUMMYFUNCTION("""COMPUTED_VALUE"""),"Lalitpur")</f>
        <v>Lalitpur</v>
      </c>
      <c r="I662" s="2" t="str">
        <f>IFERROR(__xludf.DUMMYFUNCTION("""COMPUTED_VALUE"""),"27o 30' 00""")</f>
        <v>27o 30' 00"</v>
      </c>
      <c r="J662" s="2" t="str">
        <f>IFERROR(__xludf.DUMMYFUNCTION("""COMPUTED_VALUE"""),"27o 35' 00""")</f>
        <v>27o 35' 00"</v>
      </c>
      <c r="K662" s="2" t="str">
        <f>IFERROR(__xludf.DUMMYFUNCTION("""COMPUTED_VALUE"""),"86o 50' 00""")</f>
        <v>86o 50' 00"</v>
      </c>
      <c r="L662" s="2" t="str">
        <f>IFERROR(__xludf.DUMMYFUNCTION("""COMPUTED_VALUE"""),"86o 55' 00""")</f>
        <v>86o 55' 00"</v>
      </c>
      <c r="M662" s="2" t="str">
        <f>IFERROR(__xludf.DUMMYFUNCTION("""COMPUTED_VALUE"""),"Bung (Solukhumbu)")</f>
        <v>Bung (Solukhumbu)</v>
      </c>
    </row>
    <row r="663">
      <c r="A663" s="2">
        <f>IFERROR(__xludf.DUMMYFUNCTION("""COMPUTED_VALUE"""),662.0)</f>
        <v>662</v>
      </c>
      <c r="B663" s="2" t="str">
        <f>IFERROR(__xludf.DUMMYFUNCTION("""COMPUTED_VALUE"""),"Inkhu Khola")</f>
        <v>Inkhu Khola</v>
      </c>
      <c r="C663" s="2">
        <f>IFERROR(__xludf.DUMMYFUNCTION("""COMPUTED_VALUE"""),14.0)</f>
        <v>14</v>
      </c>
      <c r="D663" s="2" t="str">
        <f>IFERROR(__xludf.DUMMYFUNCTION("""COMPUTED_VALUE"""),"Inkhu")</f>
        <v>Inkhu</v>
      </c>
      <c r="E663" s="2">
        <f>IFERROR(__xludf.DUMMYFUNCTION("""COMPUTED_VALUE"""),951.0)</f>
        <v>951</v>
      </c>
      <c r="F663" s="3">
        <f>IFERROR(__xludf.DUMMYFUNCTION("""COMPUTED_VALUE"""),60411.0)</f>
        <v>60411</v>
      </c>
      <c r="G663" s="2" t="str">
        <f>IFERROR(__xludf.DUMMYFUNCTION("""COMPUTED_VALUE"""),"Proton Energy Pvt. Ltd.")</f>
        <v>Proton Energy Pvt. Ltd.</v>
      </c>
      <c r="H663" s="2" t="str">
        <f>IFERROR(__xludf.DUMMYFUNCTION("""COMPUTED_VALUE"""),"Lalitpur")</f>
        <v>Lalitpur</v>
      </c>
      <c r="I663" s="2" t="str">
        <f>IFERROR(__xludf.DUMMYFUNCTION("""COMPUTED_VALUE"""),"27o 34' 00""")</f>
        <v>27o 34' 00"</v>
      </c>
      <c r="J663" s="2" t="str">
        <f>IFERROR(__xludf.DUMMYFUNCTION("""COMPUTED_VALUE"""),"27o 38' 00""")</f>
        <v>27o 38' 00"</v>
      </c>
      <c r="K663" s="2" t="str">
        <f>IFERROR(__xludf.DUMMYFUNCTION("""COMPUTED_VALUE"""),"86o 45' 00""")</f>
        <v>86o 45' 00"</v>
      </c>
      <c r="L663" s="2" t="str">
        <f>IFERROR(__xludf.DUMMYFUNCTION("""COMPUTED_VALUE"""),"86o 49' 00""")</f>
        <v>86o 49' 00"</v>
      </c>
      <c r="M663" s="2" t="str">
        <f>IFERROR(__xludf.DUMMYFUNCTION("""COMPUTED_VALUE"""),"Bung,Baku (Solukhumbu)")</f>
        <v>Bung,Baku (Solukhumbu)</v>
      </c>
    </row>
    <row r="664">
      <c r="A664" s="2">
        <f>IFERROR(__xludf.DUMMYFUNCTION("""COMPUTED_VALUE"""),663.0)</f>
        <v>663</v>
      </c>
      <c r="B664" s="2" t="str">
        <f>IFERROR(__xludf.DUMMYFUNCTION("""COMPUTED_VALUE"""),"Tadi KLhola")</f>
        <v>Tadi KLhola</v>
      </c>
      <c r="C664" s="2">
        <f>IFERROR(__xludf.DUMMYFUNCTION("""COMPUTED_VALUE"""),5.0)</f>
        <v>5</v>
      </c>
      <c r="D664" s="2" t="str">
        <f>IFERROR(__xludf.DUMMYFUNCTION("""COMPUTED_VALUE"""),"Tadi Khola")</f>
        <v>Tadi Khola</v>
      </c>
      <c r="E664" s="2">
        <f>IFERROR(__xludf.DUMMYFUNCTION("""COMPUTED_VALUE"""),957.0)</f>
        <v>957</v>
      </c>
      <c r="F664" s="3">
        <f>IFERROR(__xludf.DUMMYFUNCTION("""COMPUTED_VALUE"""),60412.0)</f>
        <v>60412</v>
      </c>
      <c r="G664" s="2" t="str">
        <f>IFERROR(__xludf.DUMMYFUNCTION("""COMPUTED_VALUE"""),"Marpha hydroelectirc company pvt. Ltd")</f>
        <v>Marpha hydroelectirc company pvt. Ltd</v>
      </c>
      <c r="H664" s="2"/>
      <c r="I664" s="2" t="str">
        <f>IFERROR(__xludf.DUMMYFUNCTION("""COMPUTED_VALUE"""),"28o 00' 40""")</f>
        <v>28o 00' 40"</v>
      </c>
      <c r="J664" s="2" t="str">
        <f>IFERROR(__xludf.DUMMYFUNCTION("""COMPUTED_VALUE"""),"28o 58' 30""")</f>
        <v>28o 58' 30"</v>
      </c>
      <c r="K664" s="2" t="str">
        <f>IFERROR(__xludf.DUMMYFUNCTION("""COMPUTED_VALUE"""),"85o 26' 30""")</f>
        <v>85o 26' 30"</v>
      </c>
      <c r="L664" s="2" t="str">
        <f>IFERROR(__xludf.DUMMYFUNCTION("""COMPUTED_VALUE"""),"85o 27' 30""")</f>
        <v>85o 27' 30"</v>
      </c>
      <c r="M664" s="2" t="str">
        <f>IFERROR(__xludf.DUMMYFUNCTION("""COMPUTED_VALUE"""),"Dhyangphedi (Nuwakot)")</f>
        <v>Dhyangphedi (Nuwakot)</v>
      </c>
    </row>
    <row r="665">
      <c r="A665" s="2">
        <f>IFERROR(__xludf.DUMMYFUNCTION("""COMPUTED_VALUE"""),664.0)</f>
        <v>664</v>
      </c>
      <c r="B665" s="2" t="str">
        <f>IFERROR(__xludf.DUMMYFUNCTION("""COMPUTED_VALUE"""),"Chhimti Khola")</f>
        <v>Chhimti Khola</v>
      </c>
      <c r="C665" s="2">
        <f>IFERROR(__xludf.DUMMYFUNCTION("""COMPUTED_VALUE"""),3.3)</f>
        <v>3.3</v>
      </c>
      <c r="D665" s="2" t="str">
        <f>IFERROR(__xludf.DUMMYFUNCTION("""COMPUTED_VALUE"""),"Chhimti")</f>
        <v>Chhimti</v>
      </c>
      <c r="E665" s="2">
        <f>IFERROR(__xludf.DUMMYFUNCTION("""COMPUTED_VALUE"""),965.0)</f>
        <v>965</v>
      </c>
      <c r="F665" s="3">
        <f>IFERROR(__xludf.DUMMYFUNCTION("""COMPUTED_VALUE"""),60412.0)</f>
        <v>60412</v>
      </c>
      <c r="G665" s="2" t="str">
        <f>IFERROR(__xludf.DUMMYFUNCTION("""COMPUTED_VALUE"""),"Himali Hydropower Developmnet pvt ltd")</f>
        <v>Himali Hydropower Developmnet pvt ltd</v>
      </c>
      <c r="H665" s="2"/>
      <c r="I665" s="2" t="str">
        <f>IFERROR(__xludf.DUMMYFUNCTION("""COMPUTED_VALUE"""),"27o 58' 35""")</f>
        <v>27o 58' 35"</v>
      </c>
      <c r="J665" s="2" t="str">
        <f>IFERROR(__xludf.DUMMYFUNCTION("""COMPUTED_VALUE"""),"27o 59' 10""")</f>
        <v>27o 59' 10"</v>
      </c>
      <c r="K665" s="2" t="str">
        <f>IFERROR(__xludf.DUMMYFUNCTION("""COMPUTED_VALUE"""),"85o 38' 52""")</f>
        <v>85o 38' 52"</v>
      </c>
      <c r="L665" s="2" t="str">
        <f>IFERROR(__xludf.DUMMYFUNCTION("""COMPUTED_VALUE"""),"85o 40' 40""")</f>
        <v>85o 40' 40"</v>
      </c>
      <c r="M665" s="2" t="str">
        <f>IFERROR(__xludf.DUMMYFUNCTION("""COMPUTED_VALUE"""),"Bhotang (Sindhupalchok)")</f>
        <v>Bhotang (Sindhupalchok)</v>
      </c>
    </row>
    <row r="666">
      <c r="A666" s="2">
        <f>IFERROR(__xludf.DUMMYFUNCTION("""COMPUTED_VALUE"""),665.0)</f>
        <v>665</v>
      </c>
      <c r="B666" s="2" t="str">
        <f>IFERROR(__xludf.DUMMYFUNCTION("""COMPUTED_VALUE"""),"Lumbdin Khola")</f>
        <v>Lumbdin Khola</v>
      </c>
      <c r="C666" s="2">
        <f>IFERROR(__xludf.DUMMYFUNCTION("""COMPUTED_VALUE"""),7.0)</f>
        <v>7</v>
      </c>
      <c r="D666" s="2"/>
      <c r="E666" s="2"/>
      <c r="F666" s="3">
        <f>IFERROR(__xludf.DUMMYFUNCTION("""COMPUTED_VALUE"""),60413.0)</f>
        <v>60413</v>
      </c>
      <c r="G666" s="2" t="str">
        <f>IFERROR(__xludf.DUMMYFUNCTION("""COMPUTED_VALUE"""),"Photon Energy Pvt Ltd")</f>
        <v>Photon Energy Pvt Ltd</v>
      </c>
      <c r="H666" s="2" t="str">
        <f>IFERROR(__xludf.DUMMYFUNCTION("""COMPUTED_VALUE"""),"Kathmandu-32")</f>
        <v>Kathmandu-32</v>
      </c>
      <c r="I666" s="2" t="str">
        <f>IFERROR(__xludf.DUMMYFUNCTION("""COMPUTED_VALUE"""),"27o 39' 24""")</f>
        <v>27o 39' 24"</v>
      </c>
      <c r="J666" s="2" t="str">
        <f>IFERROR(__xludf.DUMMYFUNCTION("""COMPUTED_VALUE"""),"27o 41' 36""")</f>
        <v>27o 41' 36"</v>
      </c>
      <c r="K666" s="2" t="str">
        <f>IFERROR(__xludf.DUMMYFUNCTION("""COMPUTED_VALUE"""),"86o 40' 30""")</f>
        <v>86o 40' 30"</v>
      </c>
      <c r="L666" s="2" t="str">
        <f>IFERROR(__xludf.DUMMYFUNCTION("""COMPUTED_VALUE"""),"86o 43' 00""")</f>
        <v>86o 43' 00"</v>
      </c>
      <c r="M666" s="2" t="str">
        <f>IFERROR(__xludf.DUMMYFUNCTION("""COMPUTED_VALUE"""),"Chaurikharka (Solukhumbu)")</f>
        <v>Chaurikharka (Solukhumbu)</v>
      </c>
    </row>
    <row r="667">
      <c r="A667" s="2">
        <f>IFERROR(__xludf.DUMMYFUNCTION("""COMPUTED_VALUE"""),666.0)</f>
        <v>666</v>
      </c>
      <c r="B667" s="2" t="str">
        <f>IFERROR(__xludf.DUMMYFUNCTION("""COMPUTED_VALUE"""),"Dashdhunga")</f>
        <v>Dashdhunga</v>
      </c>
      <c r="C667" s="2">
        <f>IFERROR(__xludf.DUMMYFUNCTION("""COMPUTED_VALUE"""),220.0)</f>
        <v>220</v>
      </c>
      <c r="D667" s="2" t="str">
        <f>IFERROR(__xludf.DUMMYFUNCTION("""COMPUTED_VALUE"""),"Trishuli")</f>
        <v>Trishuli</v>
      </c>
      <c r="E667" s="2"/>
      <c r="F667" s="3">
        <f>IFERROR(__xludf.DUMMYFUNCTION("""COMPUTED_VALUE"""),60413.0)</f>
        <v>60413</v>
      </c>
      <c r="G667" s="2" t="str">
        <f>IFERROR(__xludf.DUMMYFUNCTION("""COMPUTED_VALUE"""),"Dasdhunga Hydropower Private Limited")</f>
        <v>Dasdhunga Hydropower Private Limited</v>
      </c>
      <c r="H667" s="2" t="str">
        <f>IFERROR(__xludf.DUMMYFUNCTION("""COMPUTED_VALUE"""),"G.P.O. Box : 7061. Ph : 4474187")</f>
        <v>G.P.O. Box : 7061. Ph : 4474187</v>
      </c>
      <c r="I667" s="2" t="str">
        <f>IFERROR(__xludf.DUMMYFUNCTION("""COMPUTED_VALUE"""),"27o 45' 00""")</f>
        <v>27o 45' 00"</v>
      </c>
      <c r="J667" s="2" t="str">
        <f>IFERROR(__xludf.DUMMYFUNCTION("""COMPUTED_VALUE"""),"27o 51' 00""")</f>
        <v>27o 51' 00"</v>
      </c>
      <c r="K667" s="2" t="str">
        <f>IFERROR(__xludf.DUMMYFUNCTION("""COMPUTED_VALUE"""),"84o 25' 00""")</f>
        <v>84o 25' 00"</v>
      </c>
      <c r="L667" s="2" t="str">
        <f>IFERROR(__xludf.DUMMYFUNCTION("""COMPUTED_VALUE"""),"84o 34' 00""")</f>
        <v>84o 34' 00"</v>
      </c>
      <c r="M667" s="2"/>
    </row>
    <row r="668">
      <c r="A668" s="2">
        <f>IFERROR(__xludf.DUMMYFUNCTION("""COMPUTED_VALUE"""),667.0)</f>
        <v>667</v>
      </c>
      <c r="B668" s="2" t="str">
        <f>IFERROR(__xludf.DUMMYFUNCTION("""COMPUTED_VALUE"""),"Rauje Khola")</f>
        <v>Rauje Khola</v>
      </c>
      <c r="C668" s="2">
        <f>IFERROR(__xludf.DUMMYFUNCTION("""COMPUTED_VALUE"""),4.54)</f>
        <v>4.54</v>
      </c>
      <c r="D668" s="2" t="str">
        <f>IFERROR(__xludf.DUMMYFUNCTION("""COMPUTED_VALUE"""),"Rauje Khola")</f>
        <v>Rauje Khola</v>
      </c>
      <c r="E668" s="2">
        <f>IFERROR(__xludf.DUMMYFUNCTION("""COMPUTED_VALUE"""),986.0)</f>
        <v>986</v>
      </c>
      <c r="F668" s="3">
        <f>IFERROR(__xludf.DUMMYFUNCTION("""COMPUTED_VALUE"""),60413.0)</f>
        <v>60413</v>
      </c>
      <c r="G668" s="2" t="str">
        <f>IFERROR(__xludf.DUMMYFUNCTION("""COMPUTED_VALUE"""),"Photon Energy pvt. Ltd")</f>
        <v>Photon Energy pvt. Ltd</v>
      </c>
      <c r="H668" s="2"/>
      <c r="I668" s="2" t="str">
        <f>IFERROR(__xludf.DUMMYFUNCTION("""COMPUTED_VALUE"""),"27o 36' 45""")</f>
        <v>27o 36' 45"</v>
      </c>
      <c r="J668" s="2" t="str">
        <f>IFERROR(__xludf.DUMMYFUNCTION("""COMPUTED_VALUE"""),"27o 38' 25""")</f>
        <v>27o 38' 25"</v>
      </c>
      <c r="K668" s="2" t="str">
        <f>IFERROR(__xludf.DUMMYFUNCTION("""COMPUTED_VALUE"""),"86o 40' 30""")</f>
        <v>86o 40' 30"</v>
      </c>
      <c r="L668" s="2" t="str">
        <f>IFERROR(__xludf.DUMMYFUNCTION("""COMPUTED_VALUE"""),"86o 42' 20""")</f>
        <v>86o 42' 20"</v>
      </c>
      <c r="M668" s="2" t="str">
        <f>IFERROR(__xludf.DUMMYFUNCTION("""COMPUTED_VALUE"""),"Takasindu (Solukhumbu)")</f>
        <v>Takasindu (Solukhumbu)</v>
      </c>
    </row>
    <row r="669">
      <c r="A669" s="2">
        <f>IFERROR(__xludf.DUMMYFUNCTION("""COMPUTED_VALUE"""),668.0)</f>
        <v>668</v>
      </c>
      <c r="B669" s="2" t="str">
        <f>IFERROR(__xludf.DUMMYFUNCTION("""COMPUTED_VALUE"""),"Khalte Khola")</f>
        <v>Khalte Khola</v>
      </c>
      <c r="C669" s="2">
        <f>IFERROR(__xludf.DUMMYFUNCTION("""COMPUTED_VALUE"""),1.0)</f>
        <v>1</v>
      </c>
      <c r="D669" s="2" t="str">
        <f>IFERROR(__xludf.DUMMYFUNCTION("""COMPUTED_VALUE"""),"Khalte Khola")</f>
        <v>Khalte Khola</v>
      </c>
      <c r="E669" s="2"/>
      <c r="F669" s="3">
        <f>IFERROR(__xludf.DUMMYFUNCTION("""COMPUTED_VALUE"""),60417.0)</f>
        <v>60417</v>
      </c>
      <c r="G669" s="2" t="str">
        <f>IFERROR(__xludf.DUMMYFUNCTION("""COMPUTED_VALUE"""),"Surendra Dhar sigdel")</f>
        <v>Surendra Dhar sigdel</v>
      </c>
      <c r="H669" s="2"/>
      <c r="I669" s="2" t="str">
        <f>IFERROR(__xludf.DUMMYFUNCTION("""COMPUTED_VALUE"""),"28o 05' 50""")</f>
        <v>28o 05' 50"</v>
      </c>
      <c r="J669" s="2" t="str">
        <f>IFERROR(__xludf.DUMMYFUNCTION("""COMPUTED_VALUE"""),"28o 07' 30""")</f>
        <v>28o 07' 30"</v>
      </c>
      <c r="K669" s="2" t="str">
        <f>IFERROR(__xludf.DUMMYFUNCTION("""COMPUTED_VALUE"""),"84o 10' 00""")</f>
        <v>84o 10' 00"</v>
      </c>
      <c r="L669" s="2" t="str">
        <f>IFERROR(__xludf.DUMMYFUNCTION("""COMPUTED_VALUE"""),"84o 15' 00""")</f>
        <v>84o 15' 00"</v>
      </c>
      <c r="M669" s="2" t="str">
        <f>IFERROR(__xludf.DUMMYFUNCTION("""COMPUTED_VALUE"""),"Arba Vijaya (Kaski) Ambukhaireni (Tanahu)")</f>
        <v>Arba Vijaya (Kaski) Ambukhaireni (Tanahu)</v>
      </c>
    </row>
    <row r="670">
      <c r="A670" s="2">
        <f>IFERROR(__xludf.DUMMYFUNCTION("""COMPUTED_VALUE"""),669.0)</f>
        <v>669</v>
      </c>
      <c r="B670" s="2" t="str">
        <f>IFERROR(__xludf.DUMMYFUNCTION("""COMPUTED_VALUE"""),"Ghami Khola")</f>
        <v>Ghami Khola</v>
      </c>
      <c r="C670" s="2">
        <f>IFERROR(__xludf.DUMMYFUNCTION("""COMPUTED_VALUE"""),4.0)</f>
        <v>4</v>
      </c>
      <c r="D670" s="2" t="str">
        <f>IFERROR(__xludf.DUMMYFUNCTION("""COMPUTED_VALUE"""),"Ghami")</f>
        <v>Ghami</v>
      </c>
      <c r="E670" s="2">
        <f>IFERROR(__xludf.DUMMYFUNCTION("""COMPUTED_VALUE"""),1004.0)</f>
        <v>1004</v>
      </c>
      <c r="F670" s="3">
        <f>IFERROR(__xludf.DUMMYFUNCTION("""COMPUTED_VALUE"""),60417.0)</f>
        <v>60417</v>
      </c>
      <c r="G670" s="2" t="str">
        <f>IFERROR(__xludf.DUMMYFUNCTION("""COMPUTED_VALUE"""),"Lomangthang Hydropower Pvt. Ltd")</f>
        <v>Lomangthang Hydropower Pvt. Ltd</v>
      </c>
      <c r="H670" s="2"/>
      <c r="I670" s="2" t="str">
        <f>IFERROR(__xludf.DUMMYFUNCTION("""COMPUTED_VALUE"""),"29o 00' 50""")</f>
        <v>29o 00' 50"</v>
      </c>
      <c r="J670" s="2" t="str">
        <f>IFERROR(__xludf.DUMMYFUNCTION("""COMPUTED_VALUE"""),"29o 04' 00""")</f>
        <v>29o 04' 00"</v>
      </c>
      <c r="K670" s="2" t="str">
        <f>IFERROR(__xludf.DUMMYFUNCTION("""COMPUTED_VALUE"""),"83o 50' 00""")</f>
        <v>83o 50' 00"</v>
      </c>
      <c r="L670" s="2" t="str">
        <f>IFERROR(__xludf.DUMMYFUNCTION("""COMPUTED_VALUE"""),"83o 54' 50""")</f>
        <v>83o 54' 50"</v>
      </c>
      <c r="M670" s="2" t="str">
        <f>IFERROR(__xludf.DUMMYFUNCTION("""COMPUTED_VALUE"""),"Dhami (Mustang)")</f>
        <v>Dhami (Mustang)</v>
      </c>
    </row>
    <row r="671">
      <c r="A671" s="2">
        <f>IFERROR(__xludf.DUMMYFUNCTION("""COMPUTED_VALUE"""),670.0)</f>
        <v>670</v>
      </c>
      <c r="B671" s="2" t="str">
        <f>IFERROR(__xludf.DUMMYFUNCTION("""COMPUTED_VALUE"""),"Bhabil Khola")</f>
        <v>Bhabil Khola</v>
      </c>
      <c r="C671" s="2">
        <f>IFERROR(__xludf.DUMMYFUNCTION("""COMPUTED_VALUE"""),0.795)</f>
        <v>0.795</v>
      </c>
      <c r="D671" s="2" t="str">
        <f>IFERROR(__xludf.DUMMYFUNCTION("""COMPUTED_VALUE"""),"Bhabil Khola")</f>
        <v>Bhabil Khola</v>
      </c>
      <c r="E671" s="2"/>
      <c r="F671" s="3">
        <f>IFERROR(__xludf.DUMMYFUNCTION("""COMPUTED_VALUE"""),60418.0)</f>
        <v>60418</v>
      </c>
      <c r="G671" s="2" t="str">
        <f>IFERROR(__xludf.DUMMYFUNCTION("""COMPUTED_VALUE"""),"Bhabil Hydropower P Ltd")</f>
        <v>Bhabil Hydropower P Ltd</v>
      </c>
      <c r="H671" s="2"/>
      <c r="I671" s="2" t="str">
        <f>IFERROR(__xludf.DUMMYFUNCTION("""COMPUTED_VALUE"""),"28o 10' 32""")</f>
        <v>28o 10' 32"</v>
      </c>
      <c r="J671" s="2" t="str">
        <f>IFERROR(__xludf.DUMMYFUNCTION("""COMPUTED_VALUE"""),"28o 12' 10""")</f>
        <v>28o 12' 10"</v>
      </c>
      <c r="K671" s="2" t="str">
        <f>IFERROR(__xludf.DUMMYFUNCTION("""COMPUTED_VALUE"""),"85o 05' 18""")</f>
        <v>85o 05' 18"</v>
      </c>
      <c r="L671" s="2" t="str">
        <f>IFERROR(__xludf.DUMMYFUNCTION("""COMPUTED_VALUE"""),"85o 07' 07""")</f>
        <v>85o 07' 07"</v>
      </c>
      <c r="M671" s="2" t="str">
        <f>IFERROR(__xludf.DUMMYFUNCTION("""COMPUTED_VALUE"""),"Aginchok (Dhading)")</f>
        <v>Aginchok (Dhading)</v>
      </c>
    </row>
    <row r="672">
      <c r="A672" s="2">
        <f>IFERROR(__xludf.DUMMYFUNCTION("""COMPUTED_VALUE"""),671.0)</f>
        <v>671</v>
      </c>
      <c r="B672" s="2" t="str">
        <f>IFERROR(__xludf.DUMMYFUNCTION("""COMPUTED_VALUE"""),"Mailun Khola")</f>
        <v>Mailun Khola</v>
      </c>
      <c r="C672" s="2">
        <f>IFERROR(__xludf.DUMMYFUNCTION("""COMPUTED_VALUE"""),0.997)</f>
        <v>0.997</v>
      </c>
      <c r="D672" s="2" t="str">
        <f>IFERROR(__xludf.DUMMYFUNCTION("""COMPUTED_VALUE"""),"Mailung Khola")</f>
        <v>Mailung Khola</v>
      </c>
      <c r="E672" s="2"/>
      <c r="F672" s="3">
        <f>IFERROR(__xludf.DUMMYFUNCTION("""COMPUTED_VALUE"""),60418.0)</f>
        <v>60418</v>
      </c>
      <c r="G672" s="2" t="str">
        <f>IFERROR(__xludf.DUMMYFUNCTION("""COMPUTED_VALUE"""),"Bhabil Hydropower P Ltd")</f>
        <v>Bhabil Hydropower P Ltd</v>
      </c>
      <c r="H672" s="2"/>
      <c r="I672" s="2" t="str">
        <f>IFERROR(__xludf.DUMMYFUNCTION("""COMPUTED_VALUE"""),"28o 08' 55""")</f>
        <v>28o 08' 55"</v>
      </c>
      <c r="J672" s="2" t="str">
        <f>IFERROR(__xludf.DUMMYFUNCTION("""COMPUTED_VALUE"""),"28o 12' 44""")</f>
        <v>28o 12' 44"</v>
      </c>
      <c r="K672" s="2" t="str">
        <f>IFERROR(__xludf.DUMMYFUNCTION("""COMPUTED_VALUE"""),"85o 11' 37""")</f>
        <v>85o 11' 37"</v>
      </c>
      <c r="L672" s="2" t="str">
        <f>IFERROR(__xludf.DUMMYFUNCTION("""COMPUTED_VALUE"""),"85o 13' 11""")</f>
        <v>85o 13' 11"</v>
      </c>
      <c r="M672" s="2" t="str">
        <f>IFERROR(__xludf.DUMMYFUNCTION("""COMPUTED_VALUE"""),"Aginchok (Dhading)")</f>
        <v>Aginchok (Dhading)</v>
      </c>
    </row>
    <row r="673">
      <c r="A673" s="2">
        <f>IFERROR(__xludf.DUMMYFUNCTION("""COMPUTED_VALUE"""),672.0)</f>
        <v>672</v>
      </c>
      <c r="B673" s="2" t="str">
        <f>IFERROR(__xludf.DUMMYFUNCTION("""COMPUTED_VALUE"""),"Ilep Tatopani Khola")</f>
        <v>Ilep Tatopani Khola</v>
      </c>
      <c r="C673" s="2">
        <f>IFERROR(__xludf.DUMMYFUNCTION("""COMPUTED_VALUE"""),0.555)</f>
        <v>0.555</v>
      </c>
      <c r="D673" s="2"/>
      <c r="E673" s="2"/>
      <c r="F673" s="3">
        <f>IFERROR(__xludf.DUMMYFUNCTION("""COMPUTED_VALUE"""),60418.0)</f>
        <v>60418</v>
      </c>
      <c r="G673" s="2" t="str">
        <f>IFERROR(__xludf.DUMMYFUNCTION("""COMPUTED_VALUE"""),"Bhabil Hydropower P Ltd")</f>
        <v>Bhabil Hydropower P Ltd</v>
      </c>
      <c r="H673" s="2"/>
      <c r="I673" s="2" t="str">
        <f>IFERROR(__xludf.DUMMYFUNCTION("""COMPUTED_VALUE"""),"28o 11' 05""")</f>
        <v>28o 11' 05"</v>
      </c>
      <c r="J673" s="2" t="str">
        <f>IFERROR(__xludf.DUMMYFUNCTION("""COMPUTED_VALUE"""),"28o 13' 40""")</f>
        <v>28o 13' 40"</v>
      </c>
      <c r="K673" s="2" t="str">
        <f>IFERROR(__xludf.DUMMYFUNCTION("""COMPUTED_VALUE"""),"85o 03' 27""")</f>
        <v>85o 03' 27"</v>
      </c>
      <c r="L673" s="2" t="str">
        <f>IFERROR(__xludf.DUMMYFUNCTION("""COMPUTED_VALUE"""),"85o 05' 00""")</f>
        <v>85o 05' 00"</v>
      </c>
      <c r="M673" s="2" t="str">
        <f>IFERROR(__xludf.DUMMYFUNCTION("""COMPUTED_VALUE"""),"Aginchok (Dhading)")</f>
        <v>Aginchok (Dhading)</v>
      </c>
    </row>
    <row r="674">
      <c r="A674" s="2">
        <f>IFERROR(__xludf.DUMMYFUNCTION("""COMPUTED_VALUE"""),673.0)</f>
        <v>673</v>
      </c>
      <c r="B674" s="2" t="str">
        <f>IFERROR(__xludf.DUMMYFUNCTION("""COMPUTED_VALUE"""),"Lapa Khola")</f>
        <v>Lapa Khola</v>
      </c>
      <c r="C674" s="2">
        <f>IFERROR(__xludf.DUMMYFUNCTION("""COMPUTED_VALUE"""),0.995)</f>
        <v>0.995</v>
      </c>
      <c r="D674" s="2" t="str">
        <f>IFERROR(__xludf.DUMMYFUNCTION("""COMPUTED_VALUE"""),"Lapa")</f>
        <v>Lapa</v>
      </c>
      <c r="E674" s="2">
        <f>IFERROR(__xludf.DUMMYFUNCTION("""COMPUTED_VALUE"""),1041.0)</f>
        <v>1041</v>
      </c>
      <c r="F674" s="3">
        <f>IFERROR(__xludf.DUMMYFUNCTION("""COMPUTED_VALUE"""),60418.0)</f>
        <v>60418</v>
      </c>
      <c r="G674" s="2" t="str">
        <f>IFERROR(__xludf.DUMMYFUNCTION("""COMPUTED_VALUE"""),"Bhabil Hydropower P Ltd")</f>
        <v>Bhabil Hydropower P Ltd</v>
      </c>
      <c r="H674" s="2"/>
      <c r="I674" s="2" t="str">
        <f>IFERROR(__xludf.DUMMYFUNCTION("""COMPUTED_VALUE"""),"28o 09' 28""")</f>
        <v>28o 09' 28"</v>
      </c>
      <c r="J674" s="2" t="str">
        <f>IFERROR(__xludf.DUMMYFUNCTION("""COMPUTED_VALUE"""),"28o 11' 05""")</f>
        <v>28o 11' 05"</v>
      </c>
      <c r="K674" s="2" t="str">
        <f>IFERROR(__xludf.DUMMYFUNCTION("""COMPUTED_VALUE"""),"85o 01' 31""")</f>
        <v>85o 01' 31"</v>
      </c>
      <c r="L674" s="2" t="str">
        <f>IFERROR(__xludf.DUMMYFUNCTION("""COMPUTED_VALUE"""),"85o 03' 29""")</f>
        <v>85o 03' 29"</v>
      </c>
      <c r="M674" s="2" t="str">
        <f>IFERROR(__xludf.DUMMYFUNCTION("""COMPUTED_VALUE"""),"Aginchok (Dhading)")</f>
        <v>Aginchok (Dhading)</v>
      </c>
    </row>
    <row r="675">
      <c r="A675" s="2">
        <f>IFERROR(__xludf.DUMMYFUNCTION("""COMPUTED_VALUE"""),674.0)</f>
        <v>674</v>
      </c>
      <c r="B675" s="2" t="str">
        <f>IFERROR(__xludf.DUMMYFUNCTION("""COMPUTED_VALUE"""),"Pikhuwa Khola")</f>
        <v>Pikhuwa Khola</v>
      </c>
      <c r="C675" s="2">
        <f>IFERROR(__xludf.DUMMYFUNCTION("""COMPUTED_VALUE"""),0.981)</f>
        <v>0.981</v>
      </c>
      <c r="D675" s="2" t="str">
        <f>IFERROR(__xludf.DUMMYFUNCTION("""COMPUTED_VALUE"""),"Pikhuwa")</f>
        <v>Pikhuwa</v>
      </c>
      <c r="E675" s="2"/>
      <c r="F675" s="3">
        <f>IFERROR(__xludf.DUMMYFUNCTION("""COMPUTED_VALUE"""),60419.0)</f>
        <v>60419</v>
      </c>
      <c r="G675" s="2" t="str">
        <f>IFERROR(__xludf.DUMMYFUNCTION("""COMPUTED_VALUE"""),"Bikram Bista, Govinda Bdr Karki, Dinesh Devkota")</f>
        <v>Bikram Bista, Govinda Bdr Karki, Dinesh Devkota</v>
      </c>
      <c r="H675" s="2"/>
      <c r="I675" s="2" t="str">
        <f>IFERROR(__xludf.DUMMYFUNCTION("""COMPUTED_VALUE"""),"27o 06' 35""")</f>
        <v>27o 06' 35"</v>
      </c>
      <c r="J675" s="2" t="str">
        <f>IFERROR(__xludf.DUMMYFUNCTION("""COMPUTED_VALUE"""),"27o 08' 02""")</f>
        <v>27o 08' 02"</v>
      </c>
      <c r="K675" s="2" t="str">
        <f>IFERROR(__xludf.DUMMYFUNCTION("""COMPUTED_VALUE"""),"87o 01' 51""")</f>
        <v>87o 01' 51"</v>
      </c>
      <c r="L675" s="2" t="str">
        <f>IFERROR(__xludf.DUMMYFUNCTION("""COMPUTED_VALUE"""),"87o 05' 30""")</f>
        <v>87o 05' 30"</v>
      </c>
      <c r="M675" s="2" t="str">
        <f>IFERROR(__xludf.DUMMYFUNCTION("""COMPUTED_VALUE"""),"Aamtep (Bhojpur)")</f>
        <v>Aamtep (Bhojpur)</v>
      </c>
    </row>
    <row r="676">
      <c r="A676" s="2">
        <f>IFERROR(__xludf.DUMMYFUNCTION("""COMPUTED_VALUE"""),675.0)</f>
        <v>675</v>
      </c>
      <c r="B676" s="2" t="str">
        <f>IFERROR(__xludf.DUMMYFUNCTION("""COMPUTED_VALUE"""),"Dudhkoshi(Khotang)")</f>
        <v>Dudhkoshi(Khotang)</v>
      </c>
      <c r="C676" s="2">
        <f>IFERROR(__xludf.DUMMYFUNCTION("""COMPUTED_VALUE"""),300.0)</f>
        <v>300</v>
      </c>
      <c r="D676" s="2" t="str">
        <f>IFERROR(__xludf.DUMMYFUNCTION("""COMPUTED_VALUE"""),"Dudh Koshi")</f>
        <v>Dudh Koshi</v>
      </c>
      <c r="E676" s="2"/>
      <c r="F676" s="3">
        <f>IFERROR(__xludf.DUMMYFUNCTION("""COMPUTED_VALUE"""),60419.0)</f>
        <v>60419</v>
      </c>
      <c r="G676" s="2" t="str">
        <f>IFERROR(__xludf.DUMMYFUNCTION("""COMPUTED_VALUE"""),"AES (India) Pvt. Ltd &amp; CG Energy Infrastructure P. Ltd")</f>
        <v>AES (India) Pvt. Ltd &amp; CG Energy Infrastructure P. Ltd</v>
      </c>
      <c r="H676" s="2" t="str">
        <f>IFERROR(__xludf.DUMMYFUNCTION("""COMPUTED_VALUE"""),"Gurgaon-122002 Harayana, India Tel +91-1249300300")</f>
        <v>Gurgaon-122002 Harayana, India Tel +91-1249300300</v>
      </c>
      <c r="I676" s="2" t="str">
        <f>IFERROR(__xludf.DUMMYFUNCTION("""COMPUTED_VALUE"""),"27o 05' 00""")</f>
        <v>27o 05' 00"</v>
      </c>
      <c r="J676" s="2" t="str">
        <f>IFERROR(__xludf.DUMMYFUNCTION("""COMPUTED_VALUE"""),"27o 20' 00""")</f>
        <v>27o 20' 00"</v>
      </c>
      <c r="K676" s="2" t="str">
        <f>IFERROR(__xludf.DUMMYFUNCTION("""COMPUTED_VALUE"""),"86o 37' 00""")</f>
        <v>86o 37' 00"</v>
      </c>
      <c r="L676" s="2" t="str">
        <f>IFERROR(__xludf.DUMMYFUNCTION("""COMPUTED_VALUE"""),"86o 42' 00""")</f>
        <v>86o 42' 00"</v>
      </c>
      <c r="M676" s="2"/>
    </row>
    <row r="677">
      <c r="A677" s="2">
        <f>IFERROR(__xludf.DUMMYFUNCTION("""COMPUTED_VALUE"""),676.0)</f>
        <v>676</v>
      </c>
      <c r="B677" s="2" t="str">
        <f>IFERROR(__xludf.DUMMYFUNCTION("""COMPUTED_VALUE"""),"Dhaune Sani Bheri")</f>
        <v>Dhaune Sani Bheri</v>
      </c>
      <c r="C677" s="2">
        <f>IFERROR(__xludf.DUMMYFUNCTION("""COMPUTED_VALUE"""),12.8)</f>
        <v>12.8</v>
      </c>
      <c r="D677" s="2" t="str">
        <f>IFERROR(__xludf.DUMMYFUNCTION("""COMPUTED_VALUE"""),"Sani Bheri")</f>
        <v>Sani Bheri</v>
      </c>
      <c r="E677" s="2"/>
      <c r="F677" s="3">
        <f>IFERROR(__xludf.DUMMYFUNCTION("""COMPUTED_VALUE"""),60419.0)</f>
        <v>60419</v>
      </c>
      <c r="G677" s="2" t="str">
        <f>IFERROR(__xludf.DUMMYFUNCTION("""COMPUTED_VALUE"""),"Suman Subedi")</f>
        <v>Suman Subedi</v>
      </c>
      <c r="H677" s="2" t="str">
        <f>IFERROR(__xludf.DUMMYFUNCTION("""COMPUTED_VALUE"""),"Kalimati, Kathmandu. Phone : 4277471")</f>
        <v>Kalimati, Kathmandu. Phone : 4277471</v>
      </c>
      <c r="I677" s="2" t="str">
        <f>IFERROR(__xludf.DUMMYFUNCTION("""COMPUTED_VALUE"""),"28o 37' 30""")</f>
        <v>28o 37' 30"</v>
      </c>
      <c r="J677" s="2" t="str">
        <f>IFERROR(__xludf.DUMMYFUNCTION("""COMPUTED_VALUE"""),"28o 38' 21""")</f>
        <v>28o 38' 21"</v>
      </c>
      <c r="K677" s="2" t="str">
        <f>IFERROR(__xludf.DUMMYFUNCTION("""COMPUTED_VALUE"""),"82o 32' 30""")</f>
        <v>82o 32' 30"</v>
      </c>
      <c r="L677" s="2" t="str">
        <f>IFERROR(__xludf.DUMMYFUNCTION("""COMPUTED_VALUE"""),"82o 37' 12""")</f>
        <v>82o 37' 12"</v>
      </c>
      <c r="M677" s="2"/>
    </row>
    <row r="678">
      <c r="A678" s="2">
        <f>IFERROR(__xludf.DUMMYFUNCTION("""COMPUTED_VALUE"""),677.0)</f>
        <v>677</v>
      </c>
      <c r="B678" s="2" t="str">
        <f>IFERROR(__xludf.DUMMYFUNCTION("""COMPUTED_VALUE"""),"Upper Khorunga Khola SHP")</f>
        <v>Upper Khorunga Khola SHP</v>
      </c>
      <c r="C678" s="2">
        <f>IFERROR(__xludf.DUMMYFUNCTION("""COMPUTED_VALUE"""),0.995)</f>
        <v>0.995</v>
      </c>
      <c r="D678" s="2" t="str">
        <f>IFERROR(__xludf.DUMMYFUNCTION("""COMPUTED_VALUE"""),"Khoranga Khola")</f>
        <v>Khoranga Khola</v>
      </c>
      <c r="E678" s="2">
        <f>IFERROR(__xludf.DUMMYFUNCTION("""COMPUTED_VALUE"""),1101.0)</f>
        <v>1101</v>
      </c>
      <c r="F678" s="3">
        <f>IFERROR(__xludf.DUMMYFUNCTION("""COMPUTED_VALUE"""),60421.0)</f>
        <v>60421</v>
      </c>
      <c r="G678" s="2" t="str">
        <f>IFERROR(__xludf.DUMMYFUNCTION("""COMPUTED_VALUE"""),"Lachhuman Tiwari /Bhupati Lal Shrestha")</f>
        <v>Lachhuman Tiwari /Bhupati Lal Shrestha</v>
      </c>
      <c r="H678" s="2" t="str">
        <f>IFERROR(__xludf.DUMMYFUNCTION("""COMPUTED_VALUE"""),"Tel: 026-630129, 460202, 9742005075/9852045395")</f>
        <v>Tel: 026-630129, 460202, 9742005075/9852045395</v>
      </c>
      <c r="I678" s="2" t="str">
        <f>IFERROR(__xludf.DUMMYFUNCTION("""COMPUTED_VALUE"""),"27o 11' 45""")</f>
        <v>27o 11' 45"</v>
      </c>
      <c r="J678" s="2" t="str">
        <f>IFERROR(__xludf.DUMMYFUNCTION("""COMPUTED_VALUE"""),"27o 12' 53""")</f>
        <v>27o 12' 53"</v>
      </c>
      <c r="K678" s="2" t="str">
        <f>IFERROR(__xludf.DUMMYFUNCTION("""COMPUTED_VALUE"""),"87o 31' 51""")</f>
        <v>87o 31' 51"</v>
      </c>
      <c r="L678" s="2" t="str">
        <f>IFERROR(__xludf.DUMMYFUNCTION("""COMPUTED_VALUE"""),"87o 32' 30""")</f>
        <v>87o 32' 30"</v>
      </c>
      <c r="M678" s="2" t="str">
        <f>IFERROR(__xludf.DUMMYFUNCTION("""COMPUTED_VALUE"""),"Morahang,Oyabjung (Terhathum)")</f>
        <v>Morahang,Oyabjung (Terhathum)</v>
      </c>
    </row>
    <row r="679">
      <c r="A679" s="2">
        <f>IFERROR(__xludf.DUMMYFUNCTION("""COMPUTED_VALUE"""),678.0)</f>
        <v>678</v>
      </c>
      <c r="B679" s="2" t="str">
        <f>IFERROR(__xludf.DUMMYFUNCTION("""COMPUTED_VALUE"""),"Pokali Khola")</f>
        <v>Pokali Khola</v>
      </c>
      <c r="C679" s="2">
        <f>IFERROR(__xludf.DUMMYFUNCTION("""COMPUTED_VALUE"""),4.94)</f>
        <v>4.94</v>
      </c>
      <c r="D679" s="2" t="str">
        <f>IFERROR(__xludf.DUMMYFUNCTION("""COMPUTED_VALUE"""),"Pokali")</f>
        <v>Pokali</v>
      </c>
      <c r="E679" s="2">
        <f>IFERROR(__xludf.DUMMYFUNCTION("""COMPUTED_VALUE"""),1115.0)</f>
        <v>1115</v>
      </c>
      <c r="F679" s="3">
        <f>IFERROR(__xludf.DUMMYFUNCTION("""COMPUTED_VALUE"""),60423.0)</f>
        <v>60423</v>
      </c>
      <c r="G679" s="2" t="str">
        <f>IFERROR(__xludf.DUMMYFUNCTION("""COMPUTED_VALUE"""),"Namrata Upadyaya")</f>
        <v>Namrata Upadyaya</v>
      </c>
      <c r="H679" s="2"/>
      <c r="I679" s="2" t="str">
        <f>IFERROR(__xludf.DUMMYFUNCTION("""COMPUTED_VALUE"""),"00o 00' 00""")</f>
        <v>00o 00' 00"</v>
      </c>
      <c r="J679" s="2" t="str">
        <f>IFERROR(__xludf.DUMMYFUNCTION("""COMPUTED_VALUE"""),"00o 00' 00""")</f>
        <v>00o 00' 00"</v>
      </c>
      <c r="K679" s="2" t="str">
        <f>IFERROR(__xludf.DUMMYFUNCTION("""COMPUTED_VALUE"""),"00o 00' 00""")</f>
        <v>00o 00' 00"</v>
      </c>
      <c r="L679" s="2" t="str">
        <f>IFERROR(__xludf.DUMMYFUNCTION("""COMPUTED_VALUE"""),"00o 00' 00""")</f>
        <v>00o 00' 00"</v>
      </c>
      <c r="M679" s="2" t="str">
        <f>IFERROR(__xludf.DUMMYFUNCTION("""COMPUTED_VALUE"""),"Pokli (Okhaldhunga)")</f>
        <v>Pokli (Okhaldhunga)</v>
      </c>
    </row>
    <row r="680">
      <c r="A680" s="2">
        <f>IFERROR(__xludf.DUMMYFUNCTION("""COMPUTED_VALUE"""),679.0)</f>
        <v>679</v>
      </c>
      <c r="B680" s="2" t="str">
        <f>IFERROR(__xludf.DUMMYFUNCTION("""COMPUTED_VALUE"""),"Tuda Gad SHp")</f>
        <v>Tuda Gad SHp</v>
      </c>
      <c r="C680" s="2">
        <f>IFERROR(__xludf.DUMMYFUNCTION("""COMPUTED_VALUE"""),0.71)</f>
        <v>0.71</v>
      </c>
      <c r="D680" s="2" t="str">
        <f>IFERROR(__xludf.DUMMYFUNCTION("""COMPUTED_VALUE"""),"Tuda Gad SHP")</f>
        <v>Tuda Gad SHP</v>
      </c>
      <c r="E680" s="2">
        <f>IFERROR(__xludf.DUMMYFUNCTION("""COMPUTED_VALUE"""),1116.0)</f>
        <v>1116</v>
      </c>
      <c r="F680" s="3">
        <f>IFERROR(__xludf.DUMMYFUNCTION("""COMPUTED_VALUE"""),60423.0)</f>
        <v>60423</v>
      </c>
      <c r="G680" s="2" t="str">
        <f>IFERROR(__xludf.DUMMYFUNCTION("""COMPUTED_VALUE"""),"Chhatr Bahadur Malla")</f>
        <v>Chhatr Bahadur Malla</v>
      </c>
      <c r="H680" s="2" t="str">
        <f>IFERROR(__xludf.DUMMYFUNCTION("""COMPUTED_VALUE"""),"Ghangal-6, Doti")</f>
        <v>Ghangal-6, Doti</v>
      </c>
      <c r="I680" s="2" t="str">
        <f>IFERROR(__xludf.DUMMYFUNCTION("""COMPUTED_VALUE"""),"29o 06' 00""")</f>
        <v>29o 06' 00"</v>
      </c>
      <c r="J680" s="2" t="str">
        <f>IFERROR(__xludf.DUMMYFUNCTION("""COMPUTED_VALUE"""),"29o 06' 50""")</f>
        <v>29o 06' 50"</v>
      </c>
      <c r="K680" s="2" t="str">
        <f>IFERROR(__xludf.DUMMYFUNCTION("""COMPUTED_VALUE"""),"81o 00' 10""")</f>
        <v>81o 00' 10"</v>
      </c>
      <c r="L680" s="2" t="str">
        <f>IFERROR(__xludf.DUMMYFUNCTION("""COMPUTED_VALUE"""),"81o 02' 30""")</f>
        <v>81o 02' 30"</v>
      </c>
      <c r="M680" s="2" t="str">
        <f>IFERROR(__xludf.DUMMYFUNCTION("""COMPUTED_VALUE"""),"Chagara Chautara,Gaguda,Satphari (Doti)")</f>
        <v>Chagara Chautara,Gaguda,Satphari (Doti)</v>
      </c>
    </row>
    <row r="681">
      <c r="A681" s="2">
        <f>IFERROR(__xludf.DUMMYFUNCTION("""COMPUTED_VALUE"""),680.0)</f>
        <v>680</v>
      </c>
      <c r="B681" s="2" t="str">
        <f>IFERROR(__xludf.DUMMYFUNCTION("""COMPUTED_VALUE"""),"Biregada SHP")</f>
        <v>Biregada SHP</v>
      </c>
      <c r="C681" s="2">
        <f>IFERROR(__xludf.DUMMYFUNCTION("""COMPUTED_VALUE"""),0.655)</f>
        <v>0.655</v>
      </c>
      <c r="D681" s="2" t="str">
        <f>IFERROR(__xludf.DUMMYFUNCTION("""COMPUTED_VALUE"""),"Biregada")</f>
        <v>Biregada</v>
      </c>
      <c r="E681" s="2">
        <f>IFERROR(__xludf.DUMMYFUNCTION("""COMPUTED_VALUE"""),1117.0)</f>
        <v>1117</v>
      </c>
      <c r="F681" s="3">
        <f>IFERROR(__xludf.DUMMYFUNCTION("""COMPUTED_VALUE"""),60423.0)</f>
        <v>60423</v>
      </c>
      <c r="G681" s="2" t="str">
        <f>IFERROR(__xludf.DUMMYFUNCTION("""COMPUTED_VALUE"""),"Chhatr Bahadur Malla")</f>
        <v>Chhatr Bahadur Malla</v>
      </c>
      <c r="H681" s="2" t="str">
        <f>IFERROR(__xludf.DUMMYFUNCTION("""COMPUTED_VALUE"""),"Ghangal-6, Doti")</f>
        <v>Ghangal-6, Doti</v>
      </c>
      <c r="I681" s="2" t="str">
        <f>IFERROR(__xludf.DUMMYFUNCTION("""COMPUTED_VALUE"""),"00o 00' 00""")</f>
        <v>00o 00' 00"</v>
      </c>
      <c r="J681" s="2" t="str">
        <f>IFERROR(__xludf.DUMMYFUNCTION("""COMPUTED_VALUE"""),"00o 00' 00""")</f>
        <v>00o 00' 00"</v>
      </c>
      <c r="K681" s="2" t="str">
        <f>IFERROR(__xludf.DUMMYFUNCTION("""COMPUTED_VALUE"""),"00o 00' 00""")</f>
        <v>00o 00' 00"</v>
      </c>
      <c r="L681" s="2" t="str">
        <f>IFERROR(__xludf.DUMMYFUNCTION("""COMPUTED_VALUE"""),"00o 00' 00""")</f>
        <v>00o 00' 00"</v>
      </c>
      <c r="M681" s="2" t="str">
        <f>IFERROR(__xludf.DUMMYFUNCTION("""COMPUTED_VALUE"""),"Simchaur (Doti)")</f>
        <v>Simchaur (Doti)</v>
      </c>
    </row>
    <row r="682">
      <c r="A682" s="2">
        <f>IFERROR(__xludf.DUMMYFUNCTION("""COMPUTED_VALUE"""),681.0)</f>
        <v>681</v>
      </c>
      <c r="B682" s="2" t="str">
        <f>IFERROR(__xludf.DUMMYFUNCTION("""COMPUTED_VALUE"""),"Chagaun hola")</f>
        <v>Chagaun hola</v>
      </c>
      <c r="C682" s="2">
        <f>IFERROR(__xludf.DUMMYFUNCTION("""COMPUTED_VALUE"""),1.5)</f>
        <v>1.5</v>
      </c>
      <c r="D682" s="2" t="str">
        <f>IFERROR(__xludf.DUMMYFUNCTION("""COMPUTED_VALUE"""),"Chagaun")</f>
        <v>Chagaun</v>
      </c>
      <c r="E682" s="2">
        <f>IFERROR(__xludf.DUMMYFUNCTION("""COMPUTED_VALUE"""),1121.0)</f>
        <v>1121</v>
      </c>
      <c r="F682" s="3">
        <f>IFERROR(__xludf.DUMMYFUNCTION("""COMPUTED_VALUE"""),60424.0)</f>
        <v>60424</v>
      </c>
      <c r="G682" s="2" t="str">
        <f>IFERROR(__xludf.DUMMYFUNCTION("""COMPUTED_VALUE"""),"Hevitet Power Company Pvt. td")</f>
        <v>Hevitet Power Company Pvt. td</v>
      </c>
      <c r="H682" s="2" t="str">
        <f>IFERROR(__xludf.DUMMYFUNCTION("""COMPUTED_VALUE"""),"PO Box 3557 athmandu Te 496819")</f>
        <v>PO Box 3557 athmandu Te 496819</v>
      </c>
      <c r="I682" s="2" t="str">
        <f>IFERROR(__xludf.DUMMYFUNCTION("""COMPUTED_VALUE"""),"27o 50' 25""")</f>
        <v>27o 50' 25"</v>
      </c>
      <c r="J682" s="2" t="str">
        <f>IFERROR(__xludf.DUMMYFUNCTION("""COMPUTED_VALUE"""),"27o 51' 26""")</f>
        <v>27o 51' 26"</v>
      </c>
      <c r="K682" s="2" t="str">
        <f>IFERROR(__xludf.DUMMYFUNCTION("""COMPUTED_VALUE"""),"85o 23' 42""")</f>
        <v>85o 23' 42"</v>
      </c>
      <c r="L682" s="2" t="str">
        <f>IFERROR(__xludf.DUMMYFUNCTION("""COMPUTED_VALUE"""),"85o 25' 00""")</f>
        <v>85o 25' 00"</v>
      </c>
      <c r="M682" s="2" t="str">
        <f>IFERROR(__xludf.DUMMYFUNCTION("""COMPUTED_VALUE"""),"Chhap,Sikre,Likhu,Talakhu (Nuwakot)")</f>
        <v>Chhap,Sikre,Likhu,Talakhu (Nuwakot)</v>
      </c>
    </row>
    <row r="683">
      <c r="A683" s="2">
        <f>IFERROR(__xludf.DUMMYFUNCTION("""COMPUTED_VALUE"""),682.0)</f>
        <v>682</v>
      </c>
      <c r="B683" s="2" t="str">
        <f>IFERROR(__xludf.DUMMYFUNCTION("""COMPUTED_VALUE"""),"Tilicho Pumped Storage")</f>
        <v>Tilicho Pumped Storage</v>
      </c>
      <c r="C683" s="2">
        <f>IFERROR(__xludf.DUMMYFUNCTION("""COMPUTED_VALUE"""),25.0)</f>
        <v>25</v>
      </c>
      <c r="D683" s="2"/>
      <c r="E683" s="2">
        <f>IFERROR(__xludf.DUMMYFUNCTION("""COMPUTED_VALUE"""),1144.0)</f>
        <v>1144</v>
      </c>
      <c r="F683" s="3">
        <f>IFERROR(__xludf.DUMMYFUNCTION("""COMPUTED_VALUE"""),60425.0)</f>
        <v>60425</v>
      </c>
      <c r="G683" s="2" t="str">
        <f>IFERROR(__xludf.DUMMYFUNCTION("""COMPUTED_VALUE"""),"Gaurav Agrawal")</f>
        <v>Gaurav Agrawal</v>
      </c>
      <c r="H683" s="2"/>
      <c r="I683" s="2" t="str">
        <f>IFERROR(__xludf.DUMMYFUNCTION("""COMPUTED_VALUE"""),"28o 39' 02""")</f>
        <v>28o 39' 02"</v>
      </c>
      <c r="J683" s="2" t="str">
        <f>IFERROR(__xludf.DUMMYFUNCTION("""COMPUTED_VALUE"""),"28o 44' 01""")</f>
        <v>28o 44' 01"</v>
      </c>
      <c r="K683" s="2" t="str">
        <f>IFERROR(__xludf.DUMMYFUNCTION("""COMPUTED_VALUE"""),"83o 48' 00""")</f>
        <v>83o 48' 00"</v>
      </c>
      <c r="L683" s="2" t="str">
        <f>IFERROR(__xludf.DUMMYFUNCTION("""COMPUTED_VALUE"""),"84o 02' 16""")</f>
        <v>84o 02' 16"</v>
      </c>
      <c r="M683" s="2" t="str">
        <f>IFERROR(__xludf.DUMMYFUNCTION("""COMPUTED_VALUE"""),"Manang (Manang)")</f>
        <v>Manang (Manang)</v>
      </c>
    </row>
    <row r="684">
      <c r="A684" s="2">
        <f>IFERROR(__xludf.DUMMYFUNCTION("""COMPUTED_VALUE"""),683.0)</f>
        <v>683</v>
      </c>
      <c r="B684" s="2" t="str">
        <f>IFERROR(__xludf.DUMMYFUNCTION("""COMPUTED_VALUE"""),"Tsho Rolpa Pumped Storage")</f>
        <v>Tsho Rolpa Pumped Storage</v>
      </c>
      <c r="C684" s="2">
        <f>IFERROR(__xludf.DUMMYFUNCTION("""COMPUTED_VALUE"""),200.0)</f>
        <v>200</v>
      </c>
      <c r="D684" s="2"/>
      <c r="E684" s="2">
        <f>IFERROR(__xludf.DUMMYFUNCTION("""COMPUTED_VALUE"""),1145.0)</f>
        <v>1145</v>
      </c>
      <c r="F684" s="3">
        <f>IFERROR(__xludf.DUMMYFUNCTION("""COMPUTED_VALUE"""),60425.0)</f>
        <v>60425</v>
      </c>
      <c r="G684" s="2" t="str">
        <f>IFERROR(__xludf.DUMMYFUNCTION("""COMPUTED_VALUE"""),"Shaktikumar Golyan")</f>
        <v>Shaktikumar Golyan</v>
      </c>
      <c r="H684" s="2"/>
      <c r="I684" s="2" t="str">
        <f>IFERROR(__xludf.DUMMYFUNCTION("""COMPUTED_VALUE"""),"27o 55' 40""")</f>
        <v>27o 55' 40"</v>
      </c>
      <c r="J684" s="2" t="str">
        <f>IFERROR(__xludf.DUMMYFUNCTION("""COMPUTED_VALUE"""),"27o 57' 30""")</f>
        <v>27o 57' 30"</v>
      </c>
      <c r="K684" s="2" t="str">
        <f>IFERROR(__xludf.DUMMYFUNCTION("""COMPUTED_VALUE"""),"86o 21' 53""")</f>
        <v>86o 21' 53"</v>
      </c>
      <c r="L684" s="2" t="str">
        <f>IFERROR(__xludf.DUMMYFUNCTION("""COMPUTED_VALUE"""),"86o 30' 00""")</f>
        <v>86o 30' 00"</v>
      </c>
      <c r="M684" s="2" t="str">
        <f>IFERROR(__xludf.DUMMYFUNCTION("""COMPUTED_VALUE"""),"Lamabagar (Dolakha)")</f>
        <v>Lamabagar (Dolakha)</v>
      </c>
    </row>
    <row r="685">
      <c r="A685" s="2">
        <f>IFERROR(__xludf.DUMMYFUNCTION("""COMPUTED_VALUE"""),684.0)</f>
        <v>684</v>
      </c>
      <c r="B685" s="2" t="str">
        <f>IFERROR(__xludf.DUMMYFUNCTION("""COMPUTED_VALUE"""),"Lohore")</f>
        <v>Lohore</v>
      </c>
      <c r="C685" s="2">
        <f>IFERROR(__xludf.DUMMYFUNCTION("""COMPUTED_VALUE"""),15.0)</f>
        <v>15</v>
      </c>
      <c r="D685" s="2" t="str">
        <f>IFERROR(__xludf.DUMMYFUNCTION("""COMPUTED_VALUE"""),"Lohore Khola")</f>
        <v>Lohore Khola</v>
      </c>
      <c r="E685" s="2">
        <f>IFERROR(__xludf.DUMMYFUNCTION("""COMPUTED_VALUE"""),1156.0)</f>
        <v>1156</v>
      </c>
      <c r="F685" s="3">
        <f>IFERROR(__xludf.DUMMYFUNCTION("""COMPUTED_VALUE"""),60427.0)</f>
        <v>60427</v>
      </c>
      <c r="G685" s="2" t="str">
        <f>IFERROR(__xludf.DUMMYFUNCTION("""COMPUTED_VALUE"""),"Rita Dhungana Lata Bhattarai")</f>
        <v>Rita Dhungana Lata Bhattarai</v>
      </c>
      <c r="H685" s="2" t="str">
        <f>IFERROR(__xludf.DUMMYFUNCTION("""COMPUTED_VALUE"""),"GO Box 11280 Kathmandu Tel 4376993")</f>
        <v>GO Box 11280 Kathmandu Tel 4376993</v>
      </c>
      <c r="I685" s="2" t="str">
        <f>IFERROR(__xludf.DUMMYFUNCTION("""COMPUTED_VALUE"""),"28o 45' 30""")</f>
        <v>28o 45' 30"</v>
      </c>
      <c r="J685" s="2" t="str">
        <f>IFERROR(__xludf.DUMMYFUNCTION("""COMPUTED_VALUE"""),"28o 48' 10""")</f>
        <v>28o 48' 10"</v>
      </c>
      <c r="K685" s="2" t="str">
        <f>IFERROR(__xludf.DUMMYFUNCTION("""COMPUTED_VALUE"""),"81o 39' 00""")</f>
        <v>81o 39' 00"</v>
      </c>
      <c r="L685" s="2" t="str">
        <f>IFERROR(__xludf.DUMMYFUNCTION("""COMPUTED_VALUE"""),"81o 41' 25""")</f>
        <v>81o 41' 25"</v>
      </c>
      <c r="M685" s="2" t="str">
        <f>IFERROR(__xludf.DUMMYFUNCTION("""COMPUTED_VALUE"""),"Belpata,Kal Bhairab,Gauri,Dada Parajul (Dailekh)")</f>
        <v>Belpata,Kal Bhairab,Gauri,Dada Parajul (Dailekh)</v>
      </c>
    </row>
    <row r="686">
      <c r="A686" s="2">
        <f>IFERROR(__xludf.DUMMYFUNCTION("""COMPUTED_VALUE"""),685.0)</f>
        <v>685</v>
      </c>
      <c r="B686" s="2" t="str">
        <f>IFERROR(__xludf.DUMMYFUNCTION("""COMPUTED_VALUE"""),"Khankhun Khola SHP")</f>
        <v>Khankhun Khola SHP</v>
      </c>
      <c r="C686" s="2">
        <f>IFERROR(__xludf.DUMMYFUNCTION("""COMPUTED_VALUE"""),0.9)</f>
        <v>0.9</v>
      </c>
      <c r="D686" s="2" t="str">
        <f>IFERROR(__xludf.DUMMYFUNCTION("""COMPUTED_VALUE"""),"Khankhun")</f>
        <v>Khankhun</v>
      </c>
      <c r="E686" s="2">
        <f>IFERROR(__xludf.DUMMYFUNCTION("""COMPUTED_VALUE"""),1163.0)</f>
        <v>1163</v>
      </c>
      <c r="F686" s="3">
        <f>IFERROR(__xludf.DUMMYFUNCTION("""COMPUTED_VALUE"""),60427.0)</f>
        <v>60427</v>
      </c>
      <c r="G686" s="2" t="str">
        <f>IFERROR(__xludf.DUMMYFUNCTION("""COMPUTED_VALUE"""),"Krishna Raj Dulal")</f>
        <v>Krishna Raj Dulal</v>
      </c>
      <c r="H686" s="2" t="str">
        <f>IFERROR(__xludf.DUMMYFUNCTION("""COMPUTED_VALUE"""),"Talakhu, Nuwakot-4")</f>
        <v>Talakhu, Nuwakot-4</v>
      </c>
      <c r="I686" s="2" t="str">
        <f>IFERROR(__xludf.DUMMYFUNCTION("""COMPUTED_VALUE"""),"27o 50' 48""")</f>
        <v>27o 50' 48"</v>
      </c>
      <c r="J686" s="2" t="str">
        <f>IFERROR(__xludf.DUMMYFUNCTION("""COMPUTED_VALUE"""),"27o 51' 17""")</f>
        <v>27o 51' 17"</v>
      </c>
      <c r="K686" s="2" t="str">
        <f>IFERROR(__xludf.DUMMYFUNCTION("""COMPUTED_VALUE"""),"85o 25' 22""")</f>
        <v>85o 25' 22"</v>
      </c>
      <c r="L686" s="2" t="str">
        <f>IFERROR(__xludf.DUMMYFUNCTION("""COMPUTED_VALUE"""),"85o 27' 00""")</f>
        <v>85o 27' 00"</v>
      </c>
      <c r="M686" s="2" t="str">
        <f>IFERROR(__xludf.DUMMYFUNCTION("""COMPUTED_VALUE"""),"Talakhu (Nuwakot)")</f>
        <v>Talakhu (Nuwakot)</v>
      </c>
    </row>
    <row r="687">
      <c r="A687" s="2">
        <f>IFERROR(__xludf.DUMMYFUNCTION("""COMPUTED_VALUE"""),686.0)</f>
        <v>686</v>
      </c>
      <c r="B687" s="2" t="str">
        <f>IFERROR(__xludf.DUMMYFUNCTION("""COMPUTED_VALUE"""),"Upper Tuda Gad")</f>
        <v>Upper Tuda Gad</v>
      </c>
      <c r="C687" s="2">
        <f>IFERROR(__xludf.DUMMYFUNCTION("""COMPUTED_VALUE"""),6.3)</f>
        <v>6.3</v>
      </c>
      <c r="D687" s="2"/>
      <c r="E687" s="2">
        <f>IFERROR(__xludf.DUMMYFUNCTION("""COMPUTED_VALUE"""),1167.0)</f>
        <v>1167</v>
      </c>
      <c r="F687" s="3">
        <f>IFERROR(__xludf.DUMMYFUNCTION("""COMPUTED_VALUE"""),60427.0)</f>
        <v>60427</v>
      </c>
      <c r="G687" s="2" t="str">
        <f>IFERROR(__xludf.DUMMYFUNCTION("""COMPUTED_VALUE"""),"Sudoor Paschim Water &amp; Energy P. Ltd.")</f>
        <v>Sudoor Paschim Water &amp; Energy P. Ltd.</v>
      </c>
      <c r="H687" s="2"/>
      <c r="I687" s="2" t="str">
        <f>IFERROR(__xludf.DUMMYFUNCTION("""COMPUTED_VALUE"""),"29o 05' 20""")</f>
        <v>29o 05' 20"</v>
      </c>
      <c r="J687" s="2" t="str">
        <f>IFERROR(__xludf.DUMMYFUNCTION("""COMPUTED_VALUE"""),"29o 06' 50""")</f>
        <v>29o 06' 50"</v>
      </c>
      <c r="K687" s="2" t="str">
        <f>IFERROR(__xludf.DUMMYFUNCTION("""COMPUTED_VALUE"""),"81o 01' 36""")</f>
        <v>81o 01' 36"</v>
      </c>
      <c r="L687" s="2" t="str">
        <f>IFERROR(__xludf.DUMMYFUNCTION("""COMPUTED_VALUE"""),"81o 04' 10""")</f>
        <v>81o 04' 10"</v>
      </c>
      <c r="M687" s="2" t="str">
        <f>IFERROR(__xludf.DUMMYFUNCTION("""COMPUTED_VALUE"""),"Chagara Chautara,Gaguda (Doti)")</f>
        <v>Chagara Chautara,Gaguda (Doti)</v>
      </c>
    </row>
    <row r="688">
      <c r="A688" s="2">
        <f>IFERROR(__xludf.DUMMYFUNCTION("""COMPUTED_VALUE"""),687.0)</f>
        <v>687</v>
      </c>
      <c r="B688" s="2" t="str">
        <f>IFERROR(__xludf.DUMMYFUNCTION("""COMPUTED_VALUE"""),"Dhunge Khola SHP")</f>
        <v>Dhunge Khola SHP</v>
      </c>
      <c r="C688" s="2">
        <f>IFERROR(__xludf.DUMMYFUNCTION("""COMPUTED_VALUE"""),0.78)</f>
        <v>0.78</v>
      </c>
      <c r="D688" s="2" t="str">
        <f>IFERROR(__xludf.DUMMYFUNCTION("""COMPUTED_VALUE"""),"Dhunge Khola")</f>
        <v>Dhunge Khola</v>
      </c>
      <c r="E688" s="2">
        <f>IFERROR(__xludf.DUMMYFUNCTION("""COMPUTED_VALUE"""),1168.0)</f>
        <v>1168</v>
      </c>
      <c r="F688" s="3">
        <f>IFERROR(__xludf.DUMMYFUNCTION("""COMPUTED_VALUE"""),60427.0)</f>
        <v>60427</v>
      </c>
      <c r="G688" s="2" t="str">
        <f>IFERROR(__xludf.DUMMYFUNCTION("""COMPUTED_VALUE"""),"Rajani Malla")</f>
        <v>Rajani Malla</v>
      </c>
      <c r="H688" s="2" t="str">
        <f>IFERROR(__xludf.DUMMYFUNCTION("""COMPUTED_VALUE"""),"Butwal, Rupendahi")</f>
        <v>Butwal, Rupendahi</v>
      </c>
      <c r="I688" s="2" t="str">
        <f>IFERROR(__xludf.DUMMYFUNCTION("""COMPUTED_VALUE"""),"27o 37' 14""")</f>
        <v>27o 37' 14"</v>
      </c>
      <c r="J688" s="2" t="str">
        <f>IFERROR(__xludf.DUMMYFUNCTION("""COMPUTED_VALUE"""),"27o 40' 00""")</f>
        <v>27o 40' 00"</v>
      </c>
      <c r="K688" s="2" t="str">
        <f>IFERROR(__xludf.DUMMYFUNCTION("""COMPUTED_VALUE"""),"86o 16' 49""")</f>
        <v>86o 16' 49"</v>
      </c>
      <c r="L688" s="2" t="str">
        <f>IFERROR(__xludf.DUMMYFUNCTION("""COMPUTED_VALUE"""),"86o 18' 36""")</f>
        <v>86o 18' 36"</v>
      </c>
      <c r="M688" s="2" t="str">
        <f>IFERROR(__xludf.DUMMYFUNCTION("""COMPUTED_VALUE"""),"Syama (Dolakha)")</f>
        <v>Syama (Dolakha)</v>
      </c>
    </row>
    <row r="689">
      <c r="A689" s="2">
        <f>IFERROR(__xludf.DUMMYFUNCTION("""COMPUTED_VALUE"""),688.0)</f>
        <v>688</v>
      </c>
      <c r="B689" s="2" t="str">
        <f>IFERROR(__xludf.DUMMYFUNCTION("""COMPUTED_VALUE"""),"Pegu Khola SHP")</f>
        <v>Pegu Khola SHP</v>
      </c>
      <c r="C689" s="2">
        <f>IFERROR(__xludf.DUMMYFUNCTION("""COMPUTED_VALUE"""),0.8)</f>
        <v>0.8</v>
      </c>
      <c r="D689" s="2" t="str">
        <f>IFERROR(__xludf.DUMMYFUNCTION("""COMPUTED_VALUE"""),"Pegu")</f>
        <v>Pegu</v>
      </c>
      <c r="E689" s="2">
        <f>IFERROR(__xludf.DUMMYFUNCTION("""COMPUTED_VALUE"""),1169.0)</f>
        <v>1169</v>
      </c>
      <c r="F689" s="3">
        <f>IFERROR(__xludf.DUMMYFUNCTION("""COMPUTED_VALUE"""),60427.0)</f>
        <v>60427</v>
      </c>
      <c r="G689" s="2" t="str">
        <f>IFERROR(__xludf.DUMMYFUNCTION("""COMPUTED_VALUE"""),"Tulsi Devi Malla")</f>
        <v>Tulsi Devi Malla</v>
      </c>
      <c r="H689" s="2" t="str">
        <f>IFERROR(__xludf.DUMMYFUNCTION("""COMPUTED_VALUE"""),"Butwal, Rupendahi")</f>
        <v>Butwal, Rupendahi</v>
      </c>
      <c r="I689" s="2" t="str">
        <f>IFERROR(__xludf.DUMMYFUNCTION("""COMPUTED_VALUE"""),"27o 48' 48""")</f>
        <v>27o 48' 48"</v>
      </c>
      <c r="J689" s="2" t="str">
        <f>IFERROR(__xludf.DUMMYFUNCTION("""COMPUTED_VALUE"""),"27o 50' 41""")</f>
        <v>27o 50' 41"</v>
      </c>
      <c r="K689" s="2" t="str">
        <f>IFERROR(__xludf.DUMMYFUNCTION("""COMPUTED_VALUE"""),"86o 02' 44""")</f>
        <v>86o 02' 44"</v>
      </c>
      <c r="L689" s="2" t="str">
        <f>IFERROR(__xludf.DUMMYFUNCTION("""COMPUTED_VALUE"""),"86o 06' 15""")</f>
        <v>86o 06' 15"</v>
      </c>
      <c r="M689" s="2" t="str">
        <f>IFERROR(__xludf.DUMMYFUNCTION("""COMPUTED_VALUE"""),"Bigu (Dolakha)")</f>
        <v>Bigu (Dolakha)</v>
      </c>
    </row>
    <row r="690">
      <c r="A690" s="2">
        <f>IFERROR(__xludf.DUMMYFUNCTION("""COMPUTED_VALUE"""),689.0)</f>
        <v>689</v>
      </c>
      <c r="B690" s="2" t="str">
        <f>IFERROR(__xludf.DUMMYFUNCTION("""COMPUTED_VALUE"""),"Upper Kathe SHP")</f>
        <v>Upper Kathe SHP</v>
      </c>
      <c r="C690" s="2">
        <f>IFERROR(__xludf.DUMMYFUNCTION("""COMPUTED_VALUE"""),1.0)</f>
        <v>1</v>
      </c>
      <c r="D690" s="2" t="str">
        <f>IFERROR(__xludf.DUMMYFUNCTION("""COMPUTED_VALUE"""),"Kathe")</f>
        <v>Kathe</v>
      </c>
      <c r="E690" s="2">
        <f>IFERROR(__xludf.DUMMYFUNCTION("""COMPUTED_VALUE"""),1176.0)</f>
        <v>1176</v>
      </c>
      <c r="F690" s="3">
        <f>IFERROR(__xludf.DUMMYFUNCTION("""COMPUTED_VALUE"""),60428.0)</f>
        <v>60428</v>
      </c>
      <c r="G690" s="2" t="str">
        <f>IFERROR(__xludf.DUMMYFUNCTION("""COMPUTED_VALUE"""),"United Kathe Hydropower P. Ltd.")</f>
        <v>United Kathe Hydropower P. Ltd.</v>
      </c>
      <c r="H690" s="2" t="str">
        <f>IFERROR(__xludf.DUMMYFUNCTION("""COMPUTED_VALUE"""),"BYS Complex, BID, Balaju, Kathmandu, Tel: 01-4350147, 4350984, Fax: 
01-4350379")</f>
        <v>BYS Complex, BID, Balaju, Kathmandu, Tel: 01-4350147, 4350984, Fax: 
01-4350379</v>
      </c>
      <c r="I690" s="2" t="str">
        <f>IFERROR(__xludf.DUMMYFUNCTION("""COMPUTED_VALUE"""),"28o 15' 34""")</f>
        <v>28o 15' 34"</v>
      </c>
      <c r="J690" s="2" t="str">
        <f>IFERROR(__xludf.DUMMYFUNCTION("""COMPUTED_VALUE"""),"28o 15' 56""")</f>
        <v>28o 15' 56"</v>
      </c>
      <c r="K690" s="2" t="str">
        <f>IFERROR(__xludf.DUMMYFUNCTION("""COMPUTED_VALUE"""),"83o 32' 48""")</f>
        <v>83o 32' 48"</v>
      </c>
      <c r="L690" s="2" t="str">
        <f>IFERROR(__xludf.DUMMYFUNCTION("""COMPUTED_VALUE"""),"83o 34' 22""")</f>
        <v>83o 34' 22"</v>
      </c>
      <c r="M690" s="2" t="str">
        <f>IFERROR(__xludf.DUMMYFUNCTION("""COMPUTED_VALUE"""),"Bhakuride,Palakot,Tityang (Baglung)")</f>
        <v>Bhakuride,Palakot,Tityang (Baglung)</v>
      </c>
    </row>
    <row r="691">
      <c r="A691" s="2">
        <f>IFERROR(__xludf.DUMMYFUNCTION("""COMPUTED_VALUE"""),690.0)</f>
        <v>690</v>
      </c>
      <c r="B691" s="2" t="str">
        <f>IFERROR(__xludf.DUMMYFUNCTION("""COMPUTED_VALUE"""),"Deuta Khola SHP")</f>
        <v>Deuta Khola SHP</v>
      </c>
      <c r="C691" s="2">
        <f>IFERROR(__xludf.DUMMYFUNCTION("""COMPUTED_VALUE"""),0.6)</f>
        <v>0.6</v>
      </c>
      <c r="D691" s="2" t="str">
        <f>IFERROR(__xludf.DUMMYFUNCTION("""COMPUTED_VALUE"""),"Deuta")</f>
        <v>Deuta</v>
      </c>
      <c r="E691" s="2">
        <f>IFERROR(__xludf.DUMMYFUNCTION("""COMPUTED_VALUE"""),1177.0)</f>
        <v>1177</v>
      </c>
      <c r="F691" s="3">
        <f>IFERROR(__xludf.DUMMYFUNCTION("""COMPUTED_VALUE"""),60428.0)</f>
        <v>60428</v>
      </c>
      <c r="G691" s="2" t="str">
        <f>IFERROR(__xludf.DUMMYFUNCTION("""COMPUTED_VALUE"""),"Dutta Bahadur Basnet")</f>
        <v>Dutta Bahadur Basnet</v>
      </c>
      <c r="H691" s="2" t="str">
        <f>IFERROR(__xludf.DUMMYFUNCTION("""COMPUTED_VALUE"""),"Ward no. 3, Shova VDC, Rukum")</f>
        <v>Ward no. 3, Shova VDC, Rukum</v>
      </c>
      <c r="I691" s="2" t="str">
        <f>IFERROR(__xludf.DUMMYFUNCTION("""COMPUTED_VALUE"""),"28o 40' 00""")</f>
        <v>28o 40' 00"</v>
      </c>
      <c r="J691" s="2" t="str">
        <f>IFERROR(__xludf.DUMMYFUNCTION("""COMPUTED_VALUE"""),"28o 41' 53""")</f>
        <v>28o 41' 53"</v>
      </c>
      <c r="K691" s="2" t="str">
        <f>IFERROR(__xludf.DUMMYFUNCTION("""COMPUTED_VALUE"""),"82o 21' 00""")</f>
        <v>82o 21' 00"</v>
      </c>
      <c r="L691" s="2" t="str">
        <f>IFERROR(__xludf.DUMMYFUNCTION("""COMPUTED_VALUE"""),"82o 22' 30""")</f>
        <v>82o 22' 30"</v>
      </c>
      <c r="M691" s="2" t="str">
        <f>IFERROR(__xludf.DUMMYFUNCTION("""COMPUTED_VALUE"""),"Garayala (Rukum)")</f>
        <v>Garayala (Rukum)</v>
      </c>
    </row>
    <row r="692">
      <c r="A692" s="2">
        <f>IFERROR(__xludf.DUMMYFUNCTION("""COMPUTED_VALUE"""),691.0)</f>
        <v>691</v>
      </c>
      <c r="B692" s="2" t="str">
        <f>IFERROR(__xludf.DUMMYFUNCTION("""COMPUTED_VALUE"""),"Lapsi Khola ""A"" SHP")</f>
        <v>Lapsi Khola "A" SHP</v>
      </c>
      <c r="C692" s="2">
        <f>IFERROR(__xludf.DUMMYFUNCTION("""COMPUTED_VALUE"""),0.998)</f>
        <v>0.998</v>
      </c>
      <c r="D692" s="2" t="str">
        <f>IFERROR(__xludf.DUMMYFUNCTION("""COMPUTED_VALUE"""),"Lapsi")</f>
        <v>Lapsi</v>
      </c>
      <c r="E692" s="2">
        <f>IFERROR(__xludf.DUMMYFUNCTION("""COMPUTED_VALUE"""),1179.0)</f>
        <v>1179</v>
      </c>
      <c r="F692" s="3">
        <f>IFERROR(__xludf.DUMMYFUNCTION("""COMPUTED_VALUE"""),60428.0)</f>
        <v>60428</v>
      </c>
      <c r="G692" s="2" t="str">
        <f>IFERROR(__xludf.DUMMYFUNCTION("""COMPUTED_VALUE"""),"Mahesh Shrestha, Chandra Bikram Silawal, Usha Silawal, Manju Kumari Shrestha")</f>
        <v>Mahesh Shrestha, Chandra Bikram Silawal, Usha Silawal, Manju Kumari Shrestha</v>
      </c>
      <c r="H692" s="2" t="str">
        <f>IFERROR(__xludf.DUMMYFUNCTION("""COMPUTED_VALUE"""),"Bhotenamlang VDC, Sindhupalchowk &amp; Hetauda Municipality-2, Makawanpur")</f>
        <v>Bhotenamlang VDC, Sindhupalchowk &amp; Hetauda Municipality-2, Makawanpur</v>
      </c>
      <c r="I692" s="2" t="str">
        <f>IFERROR(__xludf.DUMMYFUNCTION("""COMPUTED_VALUE"""),"27o 52' 30""")</f>
        <v>27o 52' 30"</v>
      </c>
      <c r="J692" s="2" t="str">
        <f>IFERROR(__xludf.DUMMYFUNCTION("""COMPUTED_VALUE"""),"27o 53' 16""")</f>
        <v>27o 53' 16"</v>
      </c>
      <c r="K692" s="2" t="str">
        <f>IFERROR(__xludf.DUMMYFUNCTION("""COMPUTED_VALUE"""),"85o 37' 03""")</f>
        <v>85o 37' 03"</v>
      </c>
      <c r="L692" s="2" t="str">
        <f>IFERROR(__xludf.DUMMYFUNCTION("""COMPUTED_VALUE"""),"85o 38' 57""")</f>
        <v>85o 38' 57"</v>
      </c>
      <c r="M692" s="2" t="str">
        <f>IFERROR(__xludf.DUMMYFUNCTION("""COMPUTED_VALUE"""),"Bhote Namlang,Langarche (Sindhupalchok)")</f>
        <v>Bhote Namlang,Langarche (Sindhupalchok)</v>
      </c>
    </row>
    <row r="693">
      <c r="A693" s="2">
        <f>IFERROR(__xludf.DUMMYFUNCTION("""COMPUTED_VALUE"""),692.0)</f>
        <v>692</v>
      </c>
      <c r="B693" s="2" t="str">
        <f>IFERROR(__xludf.DUMMYFUNCTION("""COMPUTED_VALUE"""),"Super Balephi 'A'")</f>
        <v>Super Balephi 'A'</v>
      </c>
      <c r="C693" s="2">
        <f>IFERROR(__xludf.DUMMYFUNCTION("""COMPUTED_VALUE"""),9.7)</f>
        <v>9.7</v>
      </c>
      <c r="D693" s="2" t="str">
        <f>IFERROR(__xludf.DUMMYFUNCTION("""COMPUTED_VALUE"""),"Balephi")</f>
        <v>Balephi</v>
      </c>
      <c r="E693" s="2">
        <f>IFERROR(__xludf.DUMMYFUNCTION("""COMPUTED_VALUE"""),1185.0)</f>
        <v>1185</v>
      </c>
      <c r="F693" s="3">
        <f>IFERROR(__xludf.DUMMYFUNCTION("""COMPUTED_VALUE"""),60428.0)</f>
        <v>60428</v>
      </c>
      <c r="G693" s="2" t="str">
        <f>IFERROR(__xludf.DUMMYFUNCTION("""COMPUTED_VALUE"""),"Umesh Kasaju")</f>
        <v>Umesh Kasaju</v>
      </c>
      <c r="H693" s="2" t="str">
        <f>IFERROR(__xludf.DUMMYFUNCTION("""COMPUTED_VALUE"""),"Sindhupalchowk")</f>
        <v>Sindhupalchowk</v>
      </c>
      <c r="I693" s="2" t="str">
        <f>IFERROR(__xludf.DUMMYFUNCTION("""COMPUTED_VALUE"""),"28o 01' 25""")</f>
        <v>28o 01' 25"</v>
      </c>
      <c r="J693" s="2" t="str">
        <f>IFERROR(__xludf.DUMMYFUNCTION("""COMPUTED_VALUE"""),"28o 03' 10""")</f>
        <v>28o 03' 10"</v>
      </c>
      <c r="K693" s="2" t="str">
        <f>IFERROR(__xludf.DUMMYFUNCTION("""COMPUTED_VALUE"""),"85o 46' 05""")</f>
        <v>85o 46' 05"</v>
      </c>
      <c r="L693" s="2" t="str">
        <f>IFERROR(__xludf.DUMMYFUNCTION("""COMPUTED_VALUE"""),"85o 47' 20""")</f>
        <v>85o 47' 20"</v>
      </c>
      <c r="M693" s="2"/>
    </row>
    <row r="694">
      <c r="A694" s="2">
        <f>IFERROR(__xludf.DUMMYFUNCTION("""COMPUTED_VALUE"""),693.0)</f>
        <v>693</v>
      </c>
      <c r="B694" s="2" t="str">
        <f>IFERROR(__xludf.DUMMYFUNCTION("""COMPUTED_VALUE"""),"Budhi Ganga")</f>
        <v>Budhi Ganga</v>
      </c>
      <c r="C694" s="2">
        <f>IFERROR(__xludf.DUMMYFUNCTION("""COMPUTED_VALUE"""),5.0)</f>
        <v>5</v>
      </c>
      <c r="D694" s="2"/>
      <c r="E694" s="2">
        <f>IFERROR(__xludf.DUMMYFUNCTION("""COMPUTED_VALUE"""),1192.0)</f>
        <v>1192</v>
      </c>
      <c r="F694" s="3">
        <f>IFERROR(__xludf.DUMMYFUNCTION("""COMPUTED_VALUE"""),60431.0)</f>
        <v>60431</v>
      </c>
      <c r="G694" s="2" t="str">
        <f>IFERROR(__xludf.DUMMYFUNCTION("""COMPUTED_VALUE"""),"Ambika Kafle")</f>
        <v>Ambika Kafle</v>
      </c>
      <c r="H694" s="2"/>
      <c r="I694" s="2" t="str">
        <f>IFERROR(__xludf.DUMMYFUNCTION("""COMPUTED_VALUE"""),"29o 19' 20""")</f>
        <v>29o 19' 20"</v>
      </c>
      <c r="J694" s="2" t="str">
        <f>IFERROR(__xludf.DUMMYFUNCTION("""COMPUTED_VALUE"""),"29o 22' 00""")</f>
        <v>29o 22' 00"</v>
      </c>
      <c r="K694" s="2" t="str">
        <f>IFERROR(__xludf.DUMMYFUNCTION("""COMPUTED_VALUE"""),"81o 15' 00""")</f>
        <v>81o 15' 00"</v>
      </c>
      <c r="L694" s="2" t="str">
        <f>IFERROR(__xludf.DUMMYFUNCTION("""COMPUTED_VALUE"""),"81o 20' 00""")</f>
        <v>81o 20' 00"</v>
      </c>
      <c r="M694" s="2" t="str">
        <f>IFERROR(__xludf.DUMMYFUNCTION("""COMPUTED_VALUE"""),"Chhatara,Kailashmandau (Bajura)")</f>
        <v>Chhatara,Kailashmandau (Bajura)</v>
      </c>
    </row>
    <row r="695">
      <c r="A695" s="2">
        <f>IFERROR(__xludf.DUMMYFUNCTION("""COMPUTED_VALUE"""),694.0)</f>
        <v>694</v>
      </c>
      <c r="B695" s="2" t="str">
        <f>IFERROR(__xludf.DUMMYFUNCTION("""COMPUTED_VALUE"""),"Perun Khola")</f>
        <v>Perun Khola</v>
      </c>
      <c r="C695" s="2">
        <f>IFERROR(__xludf.DUMMYFUNCTION("""COMPUTED_VALUE"""),1.5)</f>
        <v>1.5</v>
      </c>
      <c r="D695" s="2"/>
      <c r="E695" s="2">
        <f>IFERROR(__xludf.DUMMYFUNCTION("""COMPUTED_VALUE"""),1194.0)</f>
        <v>1194</v>
      </c>
      <c r="F695" s="3">
        <f>IFERROR(__xludf.DUMMYFUNCTION("""COMPUTED_VALUE"""),60431.0)</f>
        <v>60431</v>
      </c>
      <c r="G695" s="2" t="str">
        <f>IFERROR(__xludf.DUMMYFUNCTION("""COMPUTED_VALUE"""),"Dendi Sherpa gumdel, phone no 9741158970")</f>
        <v>Dendi Sherpa gumdel, phone no 9741158970</v>
      </c>
      <c r="H695" s="2" t="str">
        <f>IFERROR(__xludf.DUMMYFUNCTION("""COMPUTED_VALUE"""),"Phone No 9741158970")</f>
        <v>Phone No 9741158970</v>
      </c>
      <c r="I695" s="2" t="str">
        <f>IFERROR(__xludf.DUMMYFUNCTION("""COMPUTED_VALUE"""),"27o 37' 01""")</f>
        <v>27o 37' 01"</v>
      </c>
      <c r="J695" s="2" t="str">
        <f>IFERROR(__xludf.DUMMYFUNCTION("""COMPUTED_VALUE"""),"27o 38' 02""")</f>
        <v>27o 38' 02"</v>
      </c>
      <c r="K695" s="2" t="str">
        <f>IFERROR(__xludf.DUMMYFUNCTION("""COMPUTED_VALUE"""),"86o 25' 00""")</f>
        <v>86o 25' 00"</v>
      </c>
      <c r="L695" s="2" t="str">
        <f>IFERROR(__xludf.DUMMYFUNCTION("""COMPUTED_VALUE"""),"86o 26' 25""")</f>
        <v>86o 26' 25"</v>
      </c>
      <c r="M695" s="2" t="str">
        <f>IFERROR(__xludf.DUMMYFUNCTION("""COMPUTED_VALUE"""),"Gumdel (Ramechhap)")</f>
        <v>Gumdel (Ramechhap)</v>
      </c>
    </row>
    <row r="696">
      <c r="A696" s="2">
        <f>IFERROR(__xludf.DUMMYFUNCTION("""COMPUTED_VALUE"""),695.0)</f>
        <v>695</v>
      </c>
      <c r="B696" s="2" t="str">
        <f>IFERROR(__xludf.DUMMYFUNCTION("""COMPUTED_VALUE"""),"Lower Handi Khola")</f>
        <v>Lower Handi Khola</v>
      </c>
      <c r="C696" s="2">
        <f>IFERROR(__xludf.DUMMYFUNCTION("""COMPUTED_VALUE"""),2.9)</f>
        <v>2.9</v>
      </c>
      <c r="D696" s="2" t="str">
        <f>IFERROR(__xludf.DUMMYFUNCTION("""COMPUTED_VALUE"""),"Handi Khola")</f>
        <v>Handi Khola</v>
      </c>
      <c r="E696" s="2">
        <f>IFERROR(__xludf.DUMMYFUNCTION("""COMPUTED_VALUE"""),1196.0)</f>
        <v>1196</v>
      </c>
      <c r="F696" s="3">
        <f>IFERROR(__xludf.DUMMYFUNCTION("""COMPUTED_VALUE"""),60431.0)</f>
        <v>60431</v>
      </c>
      <c r="G696" s="2" t="str">
        <f>IFERROR(__xludf.DUMMYFUNCTION("""COMPUTED_VALUE"""),"Lower Handi Khola Sahakari Sana Jalbidhut Aayojana")</f>
        <v>Lower Handi Khola Sahakari Sana Jalbidhut Aayojana</v>
      </c>
      <c r="H696" s="2"/>
      <c r="I696" s="2" t="str">
        <f>IFERROR(__xludf.DUMMYFUNCTION("""COMPUTED_VALUE"""),"27o 54' 20""")</f>
        <v>27o 54' 20"</v>
      </c>
      <c r="J696" s="2" t="str">
        <f>IFERROR(__xludf.DUMMYFUNCTION("""COMPUTED_VALUE"""),"27o 55' 20""")</f>
        <v>27o 55' 20"</v>
      </c>
      <c r="K696" s="2" t="str">
        <f>IFERROR(__xludf.DUMMYFUNCTION("""COMPUTED_VALUE"""),"85o 37' 40""")</f>
        <v>85o 37' 40"</v>
      </c>
      <c r="L696" s="2" t="str">
        <f>IFERROR(__xludf.DUMMYFUNCTION("""COMPUTED_VALUE"""),"85o 39' 45""")</f>
        <v>85o 39' 45"</v>
      </c>
      <c r="M696" s="2" t="str">
        <f>IFERROR(__xludf.DUMMYFUNCTION("""COMPUTED_VALUE"""),"Thampal Dhap (Sindhupalchok)")</f>
        <v>Thampal Dhap (Sindhupalchok)</v>
      </c>
    </row>
    <row r="697">
      <c r="A697" s="2">
        <f>IFERROR(__xludf.DUMMYFUNCTION("""COMPUTED_VALUE"""),696.0)</f>
        <v>696</v>
      </c>
      <c r="B697" s="2" t="str">
        <f>IFERROR(__xludf.DUMMYFUNCTION("""COMPUTED_VALUE"""),"Upper Indrawati SHP")</f>
        <v>Upper Indrawati SHP</v>
      </c>
      <c r="C697" s="2">
        <f>IFERROR(__xludf.DUMMYFUNCTION("""COMPUTED_VALUE"""),1.0)</f>
        <v>1</v>
      </c>
      <c r="D697" s="2" t="str">
        <f>IFERROR(__xludf.DUMMYFUNCTION("""COMPUTED_VALUE"""),"Indrawati Khola")</f>
        <v>Indrawati Khola</v>
      </c>
      <c r="E697" s="2">
        <f>IFERROR(__xludf.DUMMYFUNCTION("""COMPUTED_VALUE"""),1211.0)</f>
        <v>1211</v>
      </c>
      <c r="F697" s="3">
        <f>IFERROR(__xludf.DUMMYFUNCTION("""COMPUTED_VALUE"""),60433.0)</f>
        <v>60433</v>
      </c>
      <c r="G697" s="2" t="str">
        <f>IFERROR(__xludf.DUMMYFUNCTION("""COMPUTED_VALUE"""),"Helambu Hydropower P. Ltd.")</f>
        <v>Helambu Hydropower P. Ltd.</v>
      </c>
      <c r="H697" s="2" t="str">
        <f>IFERROR(__xludf.DUMMYFUNCTION("""COMPUTED_VALUE"""),"Jorpati-4, Kathmandu, Ph: 9851035885")</f>
        <v>Jorpati-4, Kathmandu, Ph: 9851035885</v>
      </c>
      <c r="I697" s="2" t="str">
        <f>IFERROR(__xludf.DUMMYFUNCTION("""COMPUTED_VALUE"""),"27o 54' 46""")</f>
        <v>27o 54' 46"</v>
      </c>
      <c r="J697" s="2" t="str">
        <f>IFERROR(__xludf.DUMMYFUNCTION("""COMPUTED_VALUE"""),"27o 56' 57""")</f>
        <v>27o 56' 57"</v>
      </c>
      <c r="K697" s="2" t="str">
        <f>IFERROR(__xludf.DUMMYFUNCTION("""COMPUTED_VALUE"""),"85o 37' 44""")</f>
        <v>85o 37' 44"</v>
      </c>
      <c r="L697" s="2" t="str">
        <f>IFERROR(__xludf.DUMMYFUNCTION("""COMPUTED_VALUE"""),"85o 38' 37""")</f>
        <v>85o 38' 37"</v>
      </c>
      <c r="M697" s="2" t="str">
        <f>IFERROR(__xludf.DUMMYFUNCTION("""COMPUTED_VALUE"""),"Baruwa,Thampal Dhap,Thanpalkot (Sindhupalchok)")</f>
        <v>Baruwa,Thampal Dhap,Thanpalkot (Sindhupalchok)</v>
      </c>
    </row>
    <row r="698">
      <c r="A698" s="2">
        <f>IFERROR(__xludf.DUMMYFUNCTION("""COMPUTED_VALUE"""),697.0)</f>
        <v>697</v>
      </c>
      <c r="B698" s="2" t="str">
        <f>IFERROR(__xludf.DUMMYFUNCTION("""COMPUTED_VALUE"""),"Ringur Khola SHP")</f>
        <v>Ringur Khola SHP</v>
      </c>
      <c r="C698" s="2">
        <f>IFERROR(__xludf.DUMMYFUNCTION("""COMPUTED_VALUE"""),0.45)</f>
        <v>0.45</v>
      </c>
      <c r="D698" s="2" t="str">
        <f>IFERROR(__xludf.DUMMYFUNCTION("""COMPUTED_VALUE"""),"Ringur")</f>
        <v>Ringur</v>
      </c>
      <c r="E698" s="2">
        <f>IFERROR(__xludf.DUMMYFUNCTION("""COMPUTED_VALUE"""),1217.0)</f>
        <v>1217</v>
      </c>
      <c r="F698" s="3">
        <f>IFERROR(__xludf.DUMMYFUNCTION("""COMPUTED_VALUE"""),60433.0)</f>
        <v>60433</v>
      </c>
      <c r="G698" s="2" t="str">
        <f>IFERROR(__xludf.DUMMYFUNCTION("""COMPUTED_VALUE"""),"Khamasung Tamang")</f>
        <v>Khamasung Tamang</v>
      </c>
      <c r="H698" s="2" t="str">
        <f>IFERROR(__xludf.DUMMYFUNCTION("""COMPUTED_VALUE"""),"Helambu-8, Sindhupalchowk")</f>
        <v>Helambu-8, Sindhupalchowk</v>
      </c>
      <c r="I698" s="2" t="str">
        <f>IFERROR(__xludf.DUMMYFUNCTION("""COMPUTED_VALUE"""),"27o 57' 04""")</f>
        <v>27o 57' 04"</v>
      </c>
      <c r="J698" s="2" t="str">
        <f>IFERROR(__xludf.DUMMYFUNCTION("""COMPUTED_VALUE"""),"27o 57' 40""")</f>
        <v>27o 57' 40"</v>
      </c>
      <c r="K698" s="2" t="str">
        <f>IFERROR(__xludf.DUMMYFUNCTION("""COMPUTED_VALUE"""),"85o 32' 48""")</f>
        <v>85o 32' 48"</v>
      </c>
      <c r="L698" s="2" t="str">
        <f>IFERROR(__xludf.DUMMYFUNCTION("""COMPUTED_VALUE"""),"85o 34' 00""")</f>
        <v>85o 34' 00"</v>
      </c>
      <c r="M698" s="2"/>
    </row>
    <row r="699">
      <c r="A699" s="2">
        <f>IFERROR(__xludf.DUMMYFUNCTION("""COMPUTED_VALUE"""),698.0)</f>
        <v>698</v>
      </c>
      <c r="B699" s="2" t="str">
        <f>IFERROR(__xludf.DUMMYFUNCTION("""COMPUTED_VALUE"""),"Sindhu Khola SHP")</f>
        <v>Sindhu Khola SHP</v>
      </c>
      <c r="C699" s="2">
        <f>IFERROR(__xludf.DUMMYFUNCTION("""COMPUTED_VALUE"""),0.65)</f>
        <v>0.65</v>
      </c>
      <c r="D699" s="2" t="str">
        <f>IFERROR(__xludf.DUMMYFUNCTION("""COMPUTED_VALUE"""),"Sindhu")</f>
        <v>Sindhu</v>
      </c>
      <c r="E699" s="2">
        <f>IFERROR(__xludf.DUMMYFUNCTION("""COMPUTED_VALUE"""),1220.0)</f>
        <v>1220</v>
      </c>
      <c r="F699" s="3">
        <f>IFERROR(__xludf.DUMMYFUNCTION("""COMPUTED_VALUE"""),60435.0)</f>
        <v>60435</v>
      </c>
      <c r="G699" s="2" t="str">
        <f>IFERROR(__xludf.DUMMYFUNCTION("""COMPUTED_VALUE"""),"Ashok Chaulagain")</f>
        <v>Ashok Chaulagain</v>
      </c>
      <c r="H699" s="2" t="str">
        <f>IFERROR(__xludf.DUMMYFUNCTION("""COMPUTED_VALUE"""),"Bhotechaur-1, Sindhupalchowk")</f>
        <v>Bhotechaur-1, Sindhupalchowk</v>
      </c>
      <c r="I699" s="2" t="str">
        <f>IFERROR(__xludf.DUMMYFUNCTION("""COMPUTED_VALUE"""),"27o 49' 17""")</f>
        <v>27o 49' 17"</v>
      </c>
      <c r="J699" s="2" t="str">
        <f>IFERROR(__xludf.DUMMYFUNCTION("""COMPUTED_VALUE"""),"27o 49' 52""")</f>
        <v>27o 49' 52"</v>
      </c>
      <c r="K699" s="2" t="str">
        <f>IFERROR(__xludf.DUMMYFUNCTION("""COMPUTED_VALUE"""),"85o 28' 36""")</f>
        <v>85o 28' 36"</v>
      </c>
      <c r="L699" s="2" t="str">
        <f>IFERROR(__xludf.DUMMYFUNCTION("""COMPUTED_VALUE"""),"85o 29' 32""")</f>
        <v>85o 29' 32"</v>
      </c>
      <c r="M699" s="2" t="str">
        <f>IFERROR(__xludf.DUMMYFUNCTION("""COMPUTED_VALUE"""),"Haibung,Thakani (Sindhupalchok)")</f>
        <v>Haibung,Thakani (Sindhupalchok)</v>
      </c>
    </row>
    <row r="700">
      <c r="A700" s="2">
        <f>IFERROR(__xludf.DUMMYFUNCTION("""COMPUTED_VALUE"""),699.0)</f>
        <v>699</v>
      </c>
      <c r="B700" s="2" t="str">
        <f>IFERROR(__xludf.DUMMYFUNCTION("""COMPUTED_VALUE"""),"Rahagad SHP")</f>
        <v>Rahagad SHP</v>
      </c>
      <c r="C700" s="2">
        <f>IFERROR(__xludf.DUMMYFUNCTION("""COMPUTED_VALUE"""),1.0)</f>
        <v>1</v>
      </c>
      <c r="D700" s="2" t="str">
        <f>IFERROR(__xludf.DUMMYFUNCTION("""COMPUTED_VALUE"""),"Rahagad")</f>
        <v>Rahagad</v>
      </c>
      <c r="E700" s="2">
        <f>IFERROR(__xludf.DUMMYFUNCTION("""COMPUTED_VALUE"""),1221.0)</f>
        <v>1221</v>
      </c>
      <c r="F700" s="3">
        <f>IFERROR(__xludf.DUMMYFUNCTION("""COMPUTED_VALUE"""),60435.0)</f>
        <v>60435</v>
      </c>
      <c r="G700" s="2" t="str">
        <f>IFERROR(__xludf.DUMMYFUNCTION("""COMPUTED_VALUE"""),"Kiran Bogati")</f>
        <v>Kiran Bogati</v>
      </c>
      <c r="H700" s="2" t="str">
        <f>IFERROR(__xludf.DUMMYFUNCTION("""COMPUTED_VALUE"""),"Bageshwori-2, Nepalgunj, Ph: 9841461307, 01-4335486")</f>
        <v>Bageshwori-2, Nepalgunj, Ph: 9841461307, 01-4335486</v>
      </c>
      <c r="I700" s="2" t="str">
        <f>IFERROR(__xludf.DUMMYFUNCTION("""COMPUTED_VALUE"""),"29o 07' 07""")</f>
        <v>29o 07' 07"</v>
      </c>
      <c r="J700" s="2" t="str">
        <f>IFERROR(__xludf.DUMMYFUNCTION("""COMPUTED_VALUE"""),"29o 12' 17""")</f>
        <v>29o 12' 17"</v>
      </c>
      <c r="K700" s="2" t="str">
        <f>IFERROR(__xludf.DUMMYFUNCTION("""COMPUTED_VALUE"""),"81o 31' 28""")</f>
        <v>81o 31' 28"</v>
      </c>
      <c r="L700" s="2" t="str">
        <f>IFERROR(__xludf.DUMMYFUNCTION("""COMPUTED_VALUE"""),"81o 35' 00""")</f>
        <v>81o 35' 00"</v>
      </c>
      <c r="M700" s="2" t="str">
        <f>IFERROR(__xludf.DUMMYFUNCTION("""COMPUTED_VALUE"""),"Lalutantikot,Mumrakot (Kalikot)")</f>
        <v>Lalutantikot,Mumrakot (Kalikot)</v>
      </c>
    </row>
    <row r="701">
      <c r="A701" s="2">
        <f>IFERROR(__xludf.DUMMYFUNCTION("""COMPUTED_VALUE"""),700.0)</f>
        <v>700</v>
      </c>
      <c r="B701" s="2" t="str">
        <f>IFERROR(__xludf.DUMMYFUNCTION("""COMPUTED_VALUE"""),"Miwaje - Batase")</f>
        <v>Miwaje - Batase</v>
      </c>
      <c r="C701" s="2">
        <f>IFERROR(__xludf.DUMMYFUNCTION("""COMPUTED_VALUE"""),6.0)</f>
        <v>6</v>
      </c>
      <c r="D701" s="2"/>
      <c r="E701" s="2">
        <f>IFERROR(__xludf.DUMMYFUNCTION("""COMPUTED_VALUE"""),1227.0)</f>
        <v>1227</v>
      </c>
      <c r="F701" s="3">
        <f>IFERROR(__xludf.DUMMYFUNCTION("""COMPUTED_VALUE"""),60435.0)</f>
        <v>60435</v>
      </c>
      <c r="G701" s="2" t="str">
        <f>IFERROR(__xludf.DUMMYFUNCTION("""COMPUTED_VALUE"""),"Kumari Power Co. Pvt. Ltd.")</f>
        <v>Kumari Power Co. Pvt. Ltd.</v>
      </c>
      <c r="H701" s="2"/>
      <c r="I701" s="2" t="str">
        <f>IFERROR(__xludf.DUMMYFUNCTION("""COMPUTED_VALUE"""),"28o 24' 00""")</f>
        <v>28o 24' 00"</v>
      </c>
      <c r="J701" s="2" t="str">
        <f>IFERROR(__xludf.DUMMYFUNCTION("""COMPUTED_VALUE"""),"28o 29' 00""")</f>
        <v>28o 29' 00"</v>
      </c>
      <c r="K701" s="2" t="str">
        <f>IFERROR(__xludf.DUMMYFUNCTION("""COMPUTED_VALUE"""),"84o 00' 00""")</f>
        <v>84o 00' 00"</v>
      </c>
      <c r="L701" s="2" t="str">
        <f>IFERROR(__xludf.DUMMYFUNCTION("""COMPUTED_VALUE"""),"84o 02' 15""")</f>
        <v>84o 02' 15"</v>
      </c>
      <c r="M701" s="2" t="str">
        <f>IFERROR(__xludf.DUMMYFUNCTION("""COMPUTED_VALUE"""),"Machhapuchchhre (Kaski)")</f>
        <v>Machhapuchchhre (Kaski)</v>
      </c>
    </row>
    <row r="702">
      <c r="A702" s="2">
        <f>IFERROR(__xludf.DUMMYFUNCTION("""COMPUTED_VALUE"""),701.0)</f>
        <v>701</v>
      </c>
      <c r="B702" s="2" t="str">
        <f>IFERROR(__xludf.DUMMYFUNCTION("""COMPUTED_VALUE"""),"Seti Nadi SHP")</f>
        <v>Seti Nadi SHP</v>
      </c>
      <c r="C702" s="2">
        <f>IFERROR(__xludf.DUMMYFUNCTION("""COMPUTED_VALUE"""),1.0)</f>
        <v>1</v>
      </c>
      <c r="D702" s="2" t="str">
        <f>IFERROR(__xludf.DUMMYFUNCTION("""COMPUTED_VALUE"""),"Seti Khola")</f>
        <v>Seti Khola</v>
      </c>
      <c r="E702" s="2">
        <f>IFERROR(__xludf.DUMMYFUNCTION("""COMPUTED_VALUE"""),1248.0)</f>
        <v>1248</v>
      </c>
      <c r="F702" s="3">
        <f>IFERROR(__xludf.DUMMYFUNCTION("""COMPUTED_VALUE"""),60437.0)</f>
        <v>60437</v>
      </c>
      <c r="G702" s="2" t="str">
        <f>IFERROR(__xludf.DUMMYFUNCTION("""COMPUTED_VALUE"""),"Sanjeev Prasad Shah &amp; Manu Thakuri")</f>
        <v>Sanjeev Prasad Shah &amp; Manu Thakuri</v>
      </c>
      <c r="H702" s="2" t="str">
        <f>IFERROR(__xludf.DUMMYFUNCTION("""COMPUTED_VALUE"""),"Tulasiyahi Jabi-8, Dhanusa &amp; Dumakibas-9, Nawalparasi Ph: 01-6911637")</f>
        <v>Tulasiyahi Jabi-8, Dhanusa &amp; Dumakibas-9, Nawalparasi Ph: 01-6911637</v>
      </c>
      <c r="I702" s="2" t="str">
        <f>IFERROR(__xludf.DUMMYFUNCTION("""COMPUTED_VALUE"""),"28o 22' 32""")</f>
        <v>28o 22' 32"</v>
      </c>
      <c r="J702" s="2" t="str">
        <f>IFERROR(__xludf.DUMMYFUNCTION("""COMPUTED_VALUE"""),"28o 24' 30""")</f>
        <v>28o 24' 30"</v>
      </c>
      <c r="K702" s="2" t="str">
        <f>IFERROR(__xludf.DUMMYFUNCTION("""COMPUTED_VALUE"""),"83o 56' 50""")</f>
        <v>83o 56' 50"</v>
      </c>
      <c r="L702" s="2" t="str">
        <f>IFERROR(__xludf.DUMMYFUNCTION("""COMPUTED_VALUE"""),"83o 59' 24""")</f>
        <v>83o 59' 24"</v>
      </c>
      <c r="M702" s="2" t="str">
        <f>IFERROR(__xludf.DUMMYFUNCTION("""COMPUTED_VALUE"""),"Machhapuchchhre,Sardikhola (Kaski)")</f>
        <v>Machhapuchchhre,Sardikhola (Kaski)</v>
      </c>
    </row>
    <row r="703">
      <c r="A703" s="2">
        <f>IFERROR(__xludf.DUMMYFUNCTION("""COMPUTED_VALUE"""),702.0)</f>
        <v>702</v>
      </c>
      <c r="B703" s="2" t="str">
        <f>IFERROR(__xludf.DUMMYFUNCTION("""COMPUTED_VALUE"""),"Karnali Chisapani")</f>
        <v>Karnali Chisapani</v>
      </c>
      <c r="C703" s="2">
        <f>IFERROR(__xludf.DUMMYFUNCTION("""COMPUTED_VALUE"""),10800.0)</f>
        <v>10800</v>
      </c>
      <c r="D703" s="2" t="str">
        <f>IFERROR(__xludf.DUMMYFUNCTION("""COMPUTED_VALUE"""),"Karnali")</f>
        <v>Karnali</v>
      </c>
      <c r="E703" s="2">
        <f>IFERROR(__xludf.DUMMYFUNCTION("""COMPUTED_VALUE"""),1254.0)</f>
        <v>1254</v>
      </c>
      <c r="F703" s="3">
        <f>IFERROR(__xludf.DUMMYFUNCTION("""COMPUTED_VALUE"""),60437.0)</f>
        <v>60437</v>
      </c>
      <c r="G703" s="2" t="str">
        <f>IFERROR(__xludf.DUMMYFUNCTION("""COMPUTED_VALUE"""),"Athena Infraprojects Private Limited")</f>
        <v>Athena Infraprojects Private Limited</v>
      </c>
      <c r="H703" s="2"/>
      <c r="I703" s="2" t="str">
        <f>IFERROR(__xludf.DUMMYFUNCTION("""COMPUTED_VALUE"""),"29o 35' 00""")</f>
        <v>29o 35' 00"</v>
      </c>
      <c r="J703" s="2" t="str">
        <f>IFERROR(__xludf.DUMMYFUNCTION("""COMPUTED_VALUE"""),"29o 40' 00""")</f>
        <v>29o 40' 00"</v>
      </c>
      <c r="K703" s="2" t="str">
        <f>IFERROR(__xludf.DUMMYFUNCTION("""COMPUTED_VALUE"""),"80o 45' 00""")</f>
        <v>80o 45' 00"</v>
      </c>
      <c r="L703" s="2" t="str">
        <f>IFERROR(__xludf.DUMMYFUNCTION("""COMPUTED_VALUE"""),"81o 40' 00""")</f>
        <v>81o 40' 00"</v>
      </c>
      <c r="M703" s="2"/>
    </row>
    <row r="704">
      <c r="A704" s="2">
        <f>IFERROR(__xludf.DUMMYFUNCTION("""COMPUTED_VALUE"""),703.0)</f>
        <v>703</v>
      </c>
      <c r="B704" s="2" t="str">
        <f>IFERROR(__xludf.DUMMYFUNCTION("""COMPUTED_VALUE"""),"Simbuwa-3")</f>
        <v>Simbuwa-3</v>
      </c>
      <c r="C704" s="2">
        <f>IFERROR(__xludf.DUMMYFUNCTION("""COMPUTED_VALUE"""),11.0)</f>
        <v>11</v>
      </c>
      <c r="D704" s="2"/>
      <c r="E704" s="2">
        <f>IFERROR(__xludf.DUMMYFUNCTION("""COMPUTED_VALUE"""),1263.0)</f>
        <v>1263</v>
      </c>
      <c r="F704" s="3">
        <f>IFERROR(__xludf.DUMMYFUNCTION("""COMPUTED_VALUE"""),60437.0)</f>
        <v>60437</v>
      </c>
      <c r="G704" s="2" t="str">
        <f>IFERROR(__xludf.DUMMYFUNCTION("""COMPUTED_VALUE"""),"Rajesh Kumar Kedia, Indudewi Sharma")</f>
        <v>Rajesh Kumar Kedia, Indudewi Sharma</v>
      </c>
      <c r="H704" s="2"/>
      <c r="I704" s="2" t="str">
        <f>IFERROR(__xludf.DUMMYFUNCTION("""COMPUTED_VALUE"""),"27o 30' 00""")</f>
        <v>27o 30' 00"</v>
      </c>
      <c r="J704" s="2" t="str">
        <f>IFERROR(__xludf.DUMMYFUNCTION("""COMPUTED_VALUE"""),"27o 32' 17""")</f>
        <v>27o 32' 17"</v>
      </c>
      <c r="K704" s="2" t="str">
        <f>IFERROR(__xludf.DUMMYFUNCTION("""COMPUTED_VALUE"""),"87o 48' 01""")</f>
        <v>87o 48' 01"</v>
      </c>
      <c r="L704" s="2" t="str">
        <f>IFERROR(__xludf.DUMMYFUNCTION("""COMPUTED_VALUE"""),"87o 51' 48""")</f>
        <v>87o 51' 48"</v>
      </c>
      <c r="M704" s="2" t="str">
        <f>IFERROR(__xludf.DUMMYFUNCTION("""COMPUTED_VALUE"""),"Tapethok (Taplejung)")</f>
        <v>Tapethok (Taplejung)</v>
      </c>
    </row>
    <row r="705">
      <c r="A705" s="2">
        <f>IFERROR(__xludf.DUMMYFUNCTION("""COMPUTED_VALUE"""),704.0)</f>
        <v>704</v>
      </c>
      <c r="B705" s="2" t="str">
        <f>IFERROR(__xludf.DUMMYFUNCTION("""COMPUTED_VALUE"""),"Simbuwa-1")</f>
        <v>Simbuwa-1</v>
      </c>
      <c r="C705" s="2">
        <f>IFERROR(__xludf.DUMMYFUNCTION("""COMPUTED_VALUE"""),7.6)</f>
        <v>7.6</v>
      </c>
      <c r="D705" s="2"/>
      <c r="E705" s="2">
        <f>IFERROR(__xludf.DUMMYFUNCTION("""COMPUTED_VALUE"""),1264.0)</f>
        <v>1264</v>
      </c>
      <c r="F705" s="3">
        <f>IFERROR(__xludf.DUMMYFUNCTION("""COMPUTED_VALUE"""),60437.0)</f>
        <v>60437</v>
      </c>
      <c r="G705" s="2" t="str">
        <f>IFERROR(__xludf.DUMMYFUNCTION("""COMPUTED_VALUE"""),"Suman Kedia, Umadevi Rajbhat")</f>
        <v>Suman Kedia, Umadevi Rajbhat</v>
      </c>
      <c r="H705" s="2"/>
      <c r="I705" s="2" t="str">
        <f>IFERROR(__xludf.DUMMYFUNCTION("""COMPUTED_VALUE"""),"27o 30' 00""")</f>
        <v>27o 30' 00"</v>
      </c>
      <c r="J705" s="2" t="str">
        <f>IFERROR(__xludf.DUMMYFUNCTION("""COMPUTED_VALUE"""),"27o 35' 00""")</f>
        <v>27o 35' 00"</v>
      </c>
      <c r="K705" s="2" t="str">
        <f>IFERROR(__xludf.DUMMYFUNCTION("""COMPUTED_VALUE"""),"87o 54' 50""")</f>
        <v>87o 54' 50"</v>
      </c>
      <c r="L705" s="2" t="str">
        <f>IFERROR(__xludf.DUMMYFUNCTION("""COMPUTED_VALUE"""),"88o 00' 00""")</f>
        <v>88o 00' 00"</v>
      </c>
      <c r="M705" s="2" t="str">
        <f>IFERROR(__xludf.DUMMYFUNCTION("""COMPUTED_VALUE"""),"Tapethok (Taplejung)")</f>
        <v>Tapethok (Taplejung)</v>
      </c>
    </row>
    <row r="706">
      <c r="A706" s="2">
        <f>IFERROR(__xludf.DUMMYFUNCTION("""COMPUTED_VALUE"""),705.0)</f>
        <v>705</v>
      </c>
      <c r="B706" s="2" t="str">
        <f>IFERROR(__xludf.DUMMYFUNCTION("""COMPUTED_VALUE"""),"Tamor-1")</f>
        <v>Tamor-1</v>
      </c>
      <c r="C706" s="2">
        <f>IFERROR(__xludf.DUMMYFUNCTION("""COMPUTED_VALUE"""),10.7)</f>
        <v>10.7</v>
      </c>
      <c r="D706" s="2"/>
      <c r="E706" s="2">
        <f>IFERROR(__xludf.DUMMYFUNCTION("""COMPUTED_VALUE"""),1265.0)</f>
        <v>1265</v>
      </c>
      <c r="F706" s="3">
        <f>IFERROR(__xludf.DUMMYFUNCTION("""COMPUTED_VALUE"""),60437.0)</f>
        <v>60437</v>
      </c>
      <c r="G706" s="2" t="str">
        <f>IFERROR(__xludf.DUMMYFUNCTION("""COMPUTED_VALUE"""),"Kabita Kedia, Krishna Devi Tiwari")</f>
        <v>Kabita Kedia, Krishna Devi Tiwari</v>
      </c>
      <c r="H706" s="2"/>
      <c r="I706" s="2" t="str">
        <f>IFERROR(__xludf.DUMMYFUNCTION("""COMPUTED_VALUE"""),"27o 37' 12""")</f>
        <v>27o 37' 12"</v>
      </c>
      <c r="J706" s="2" t="str">
        <f>IFERROR(__xludf.DUMMYFUNCTION("""COMPUTED_VALUE"""),"27o 40' 00""")</f>
        <v>27o 40' 00"</v>
      </c>
      <c r="K706" s="2" t="str">
        <f>IFERROR(__xludf.DUMMYFUNCTION("""COMPUTED_VALUE"""),"87o 45' 00""")</f>
        <v>87o 45' 00"</v>
      </c>
      <c r="L706" s="2" t="str">
        <f>IFERROR(__xludf.DUMMYFUNCTION("""COMPUTED_VALUE"""),"87o 50' 00""")</f>
        <v>87o 50' 00"</v>
      </c>
      <c r="M706" s="2" t="str">
        <f>IFERROR(__xludf.DUMMYFUNCTION("""COMPUTED_VALUE"""),"Lelep (Taplejung)")</f>
        <v>Lelep (Taplejung)</v>
      </c>
    </row>
    <row r="707">
      <c r="A707" s="2">
        <f>IFERROR(__xludf.DUMMYFUNCTION("""COMPUTED_VALUE"""),706.0)</f>
        <v>706</v>
      </c>
      <c r="B707" s="2" t="str">
        <f>IFERROR(__xludf.DUMMYFUNCTION("""COMPUTED_VALUE"""),"Simbuwa-2")</f>
        <v>Simbuwa-2</v>
      </c>
      <c r="C707" s="2">
        <f>IFERROR(__xludf.DUMMYFUNCTION("""COMPUTED_VALUE"""),8.9)</f>
        <v>8.9</v>
      </c>
      <c r="D707" s="2"/>
      <c r="E707" s="2">
        <f>IFERROR(__xludf.DUMMYFUNCTION("""COMPUTED_VALUE"""),1266.0)</f>
        <v>1266</v>
      </c>
      <c r="F707" s="3">
        <f>IFERROR(__xludf.DUMMYFUNCTION("""COMPUTED_VALUE"""),60437.0)</f>
        <v>60437</v>
      </c>
      <c r="G707" s="2" t="str">
        <f>IFERROR(__xludf.DUMMYFUNCTION("""COMPUTED_VALUE"""),"Suresh Kumar Kedia, Anand Ranabhat")</f>
        <v>Suresh Kumar Kedia, Anand Ranabhat</v>
      </c>
      <c r="H707" s="2"/>
      <c r="I707" s="2" t="str">
        <f>IFERROR(__xludf.DUMMYFUNCTION("""COMPUTED_VALUE"""),"27o 30' 00""")</f>
        <v>27o 30' 00"</v>
      </c>
      <c r="J707" s="2" t="str">
        <f>IFERROR(__xludf.DUMMYFUNCTION("""COMPUTED_VALUE"""),"27o 33' 53""")</f>
        <v>27o 33' 53"</v>
      </c>
      <c r="K707" s="2" t="str">
        <f>IFERROR(__xludf.DUMMYFUNCTION("""COMPUTED_VALUE"""),"87o 51' 57""")</f>
        <v>87o 51' 57"</v>
      </c>
      <c r="L707" s="2" t="str">
        <f>IFERROR(__xludf.DUMMYFUNCTION("""COMPUTED_VALUE"""),"87o 55' 18""")</f>
        <v>87o 55' 18"</v>
      </c>
      <c r="M707" s="2"/>
    </row>
    <row r="708">
      <c r="A708" s="2">
        <f>IFERROR(__xludf.DUMMYFUNCTION("""COMPUTED_VALUE"""),707.0)</f>
        <v>707</v>
      </c>
      <c r="B708" s="2" t="str">
        <f>IFERROR(__xludf.DUMMYFUNCTION("""COMPUTED_VALUE"""),"Phaphok Khola")</f>
        <v>Phaphok Khola</v>
      </c>
      <c r="C708" s="2">
        <f>IFERROR(__xludf.DUMMYFUNCTION("""COMPUTED_VALUE"""),2.9)</f>
        <v>2.9</v>
      </c>
      <c r="D708" s="2" t="str">
        <f>IFERROR(__xludf.DUMMYFUNCTION("""COMPUTED_VALUE"""),"Phaphok Khola")</f>
        <v>Phaphok Khola</v>
      </c>
      <c r="E708" s="2">
        <f>IFERROR(__xludf.DUMMYFUNCTION("""COMPUTED_VALUE"""),1267.0)</f>
        <v>1267</v>
      </c>
      <c r="F708" s="3">
        <f>IFERROR(__xludf.DUMMYFUNCTION("""COMPUTED_VALUE"""),60437.0)</f>
        <v>60437</v>
      </c>
      <c r="G708" s="2" t="str">
        <f>IFERROR(__xludf.DUMMYFUNCTION("""COMPUTED_VALUE"""),"East Nepal Power Company Pvt Ltd.")</f>
        <v>East Nepal Power Company Pvt Ltd.</v>
      </c>
      <c r="H708" s="2" t="str">
        <f>IFERROR(__xludf.DUMMYFUNCTION("""COMPUTED_VALUE"""),"Pulchowk-3, Lalitpur Tel 9852042912")</f>
        <v>Pulchowk-3, Lalitpur Tel 9852042912</v>
      </c>
      <c r="I708" s="2" t="str">
        <f>IFERROR(__xludf.DUMMYFUNCTION("""COMPUTED_VALUE"""),"26o 54' 40""")</f>
        <v>26o 54' 40"</v>
      </c>
      <c r="J708" s="2" t="str">
        <f>IFERROR(__xludf.DUMMYFUNCTION("""COMPUTED_VALUE"""),"26o 56' 35""")</f>
        <v>26o 56' 35"</v>
      </c>
      <c r="K708" s="2" t="str">
        <f>IFERROR(__xludf.DUMMYFUNCTION("""COMPUTED_VALUE"""),"87o 45' 00""")</f>
        <v>87o 45' 00"</v>
      </c>
      <c r="L708" s="2" t="str">
        <f>IFERROR(__xludf.DUMMYFUNCTION("""COMPUTED_VALUE"""),"87o 46' 15""")</f>
        <v>87o 46' 15"</v>
      </c>
      <c r="M708" s="2" t="str">
        <f>IFERROR(__xludf.DUMMYFUNCTION("""COMPUTED_VALUE"""),"Lumbe (Ilam)")</f>
        <v>Lumbe (Ilam)</v>
      </c>
    </row>
    <row r="709">
      <c r="A709" s="2">
        <f>IFERROR(__xludf.DUMMYFUNCTION("""COMPUTED_VALUE"""),708.0)</f>
        <v>708</v>
      </c>
      <c r="B709" s="2" t="str">
        <f>IFERROR(__xludf.DUMMYFUNCTION("""COMPUTED_VALUE"""),"Lohore Khola HPP")</f>
        <v>Lohore Khola HPP</v>
      </c>
      <c r="C709" s="2">
        <f>IFERROR(__xludf.DUMMYFUNCTION("""COMPUTED_VALUE"""),3.95)</f>
        <v>3.95</v>
      </c>
      <c r="D709" s="2" t="str">
        <f>IFERROR(__xludf.DUMMYFUNCTION("""COMPUTED_VALUE"""),"Lohore Khola")</f>
        <v>Lohore Khola</v>
      </c>
      <c r="E709" s="2">
        <f>IFERROR(__xludf.DUMMYFUNCTION("""COMPUTED_VALUE"""),1225.0)</f>
        <v>1225</v>
      </c>
      <c r="F709" s="3">
        <f>IFERROR(__xludf.DUMMYFUNCTION("""COMPUTED_VALUE"""),60445.0)</f>
        <v>60445</v>
      </c>
      <c r="G709" s="2" t="str">
        <f>IFERROR(__xludf.DUMMYFUNCTION("""COMPUTED_VALUE"""),"Malla and Ghatane Multipurpose Hydropower Company")</f>
        <v>Malla and Ghatane Multipurpose Hydropower Company</v>
      </c>
      <c r="H709" s="2" t="str">
        <f>IFERROR(__xludf.DUMMYFUNCTION("""COMPUTED_VALUE"""),"Kupandole, Lalitpur Tel: 9841488723")</f>
        <v>Kupandole, Lalitpur Tel: 9841488723</v>
      </c>
      <c r="I709" s="2" t="str">
        <f>IFERROR(__xludf.DUMMYFUNCTION("""COMPUTED_VALUE"""),"28o 47' 30""")</f>
        <v>28o 47' 30"</v>
      </c>
      <c r="J709" s="2" t="str">
        <f>IFERROR(__xludf.DUMMYFUNCTION("""COMPUTED_VALUE"""),"28o 49' 15""")</f>
        <v>28o 49' 15"</v>
      </c>
      <c r="K709" s="2" t="str">
        <f>IFERROR(__xludf.DUMMYFUNCTION("""COMPUTED_VALUE"""),"81o 41' 11""")</f>
        <v>81o 41' 11"</v>
      </c>
      <c r="L709" s="2" t="str">
        <f>IFERROR(__xludf.DUMMYFUNCTION("""COMPUTED_VALUE"""),"81o 44' 27""")</f>
        <v>81o 44' 27"</v>
      </c>
      <c r="M709" s="2" t="str">
        <f>IFERROR(__xludf.DUMMYFUNCTION("""COMPUTED_VALUE"""),"Bindhyabasini,Bada Bhairab,Kal Bhairab,Lakuri,Belpata,Gauri,Narayan 
(Dailekh)")</f>
        <v>Bindhyabasini,Bada Bhairab,Kal Bhairab,Lakuri,Belpata,Gauri,Narayan 
(Dailekh)</v>
      </c>
    </row>
    <row r="710">
      <c r="A710" s="2">
        <f>IFERROR(__xludf.DUMMYFUNCTION("""COMPUTED_VALUE"""),709.0)</f>
        <v>709</v>
      </c>
      <c r="B710" s="2" t="str">
        <f>IFERROR(__xludf.DUMMYFUNCTION("""COMPUTED_VALUE"""),"Induwa Khola")</f>
        <v>Induwa Khola</v>
      </c>
      <c r="C710" s="2">
        <f>IFERROR(__xludf.DUMMYFUNCTION("""COMPUTED_VALUE"""),1.0)</f>
        <v>1</v>
      </c>
      <c r="D710" s="2" t="str">
        <f>IFERROR(__xludf.DUMMYFUNCTION("""COMPUTED_VALUE"""),"Induwa")</f>
        <v>Induwa</v>
      </c>
      <c r="E710" s="2">
        <f>IFERROR(__xludf.DUMMYFUNCTION("""COMPUTED_VALUE"""),1274.0)</f>
        <v>1274</v>
      </c>
      <c r="F710" s="3">
        <f>IFERROR(__xludf.DUMMYFUNCTION("""COMPUTED_VALUE"""),60445.0)</f>
        <v>60445</v>
      </c>
      <c r="G710" s="2" t="str">
        <f>IFERROR(__xludf.DUMMYFUNCTION("""COMPUTED_VALUE"""),"Bibas Shrestha")</f>
        <v>Bibas Shrestha</v>
      </c>
      <c r="H710" s="2"/>
      <c r="I710" s="2" t="str">
        <f>IFERROR(__xludf.DUMMYFUNCTION("""COMPUTED_VALUE"""),"27o 31' 20""")</f>
        <v>27o 31' 20"</v>
      </c>
      <c r="J710" s="2" t="str">
        <f>IFERROR(__xludf.DUMMYFUNCTION("""COMPUTED_VALUE"""),"27o 34' 00""")</f>
        <v>27o 34' 00"</v>
      </c>
      <c r="K710" s="2" t="str">
        <f>IFERROR(__xludf.DUMMYFUNCTION("""COMPUTED_VALUE"""),"87o 18' 56""")</f>
        <v>87o 18' 56"</v>
      </c>
      <c r="L710" s="2" t="str">
        <f>IFERROR(__xludf.DUMMYFUNCTION("""COMPUTED_VALUE"""),"87o 22' 27""")</f>
        <v>87o 22' 27"</v>
      </c>
      <c r="M710" s="2" t="str">
        <f>IFERROR(__xludf.DUMMYFUNCTION("""COMPUTED_VALUE"""),"Pawakhola (Sankhuwasabha)")</f>
        <v>Pawakhola (Sankhuwasabha)</v>
      </c>
    </row>
    <row r="711">
      <c r="A711" s="2">
        <f>IFERROR(__xludf.DUMMYFUNCTION("""COMPUTED_VALUE"""),710.0)</f>
        <v>710</v>
      </c>
      <c r="B711" s="2" t="str">
        <f>IFERROR(__xludf.DUMMYFUNCTION("""COMPUTED_VALUE"""),"Upper Isuwa Khola SHP")</f>
        <v>Upper Isuwa Khola SHP</v>
      </c>
      <c r="C711" s="2">
        <f>IFERROR(__xludf.DUMMYFUNCTION("""COMPUTED_VALUE"""),1.0)</f>
        <v>1</v>
      </c>
      <c r="D711" s="2" t="str">
        <f>IFERROR(__xludf.DUMMYFUNCTION("""COMPUTED_VALUE"""),"Isuwa Khola")</f>
        <v>Isuwa Khola</v>
      </c>
      <c r="E711" s="2">
        <f>IFERROR(__xludf.DUMMYFUNCTION("""COMPUTED_VALUE"""),1275.0)</f>
        <v>1275</v>
      </c>
      <c r="F711" s="3">
        <f>IFERROR(__xludf.DUMMYFUNCTION("""COMPUTED_VALUE"""),60445.0)</f>
        <v>60445</v>
      </c>
      <c r="G711" s="2" t="str">
        <f>IFERROR(__xludf.DUMMYFUNCTION("""COMPUTED_VALUE"""),"Bibas Shrestha")</f>
        <v>Bibas Shrestha</v>
      </c>
      <c r="H711" s="2"/>
      <c r="I711" s="2" t="str">
        <f>IFERROR(__xludf.DUMMYFUNCTION("""COMPUTED_VALUE"""),"27o 34' 55""")</f>
        <v>27o 34' 55"</v>
      </c>
      <c r="J711" s="2" t="str">
        <f>IFERROR(__xludf.DUMMYFUNCTION("""COMPUTED_VALUE"""),"27o 38' 30""")</f>
        <v>27o 38' 30"</v>
      </c>
      <c r="K711" s="2" t="str">
        <f>IFERROR(__xludf.DUMMYFUNCTION("""COMPUTED_VALUE"""),"87o 10' 00""")</f>
        <v>87o 10' 00"</v>
      </c>
      <c r="L711" s="2" t="str">
        <f>IFERROR(__xludf.DUMMYFUNCTION("""COMPUTED_VALUE"""),"87o 14' 00""")</f>
        <v>87o 14' 00"</v>
      </c>
      <c r="M711" s="2" t="str">
        <f>IFERROR(__xludf.DUMMYFUNCTION("""COMPUTED_VALUE"""),"Makalu (Sankhuwasabha)")</f>
        <v>Makalu (Sankhuwasabha)</v>
      </c>
    </row>
    <row r="712">
      <c r="A712" s="2">
        <f>IFERROR(__xludf.DUMMYFUNCTION("""COMPUTED_VALUE"""),711.0)</f>
        <v>711</v>
      </c>
      <c r="B712" s="2" t="str">
        <f>IFERROR(__xludf.DUMMYFUNCTION("""COMPUTED_VALUE"""),"Mahadev Khola Lower A SHP")</f>
        <v>Mahadev Khola Lower A SHP</v>
      </c>
      <c r="C712" s="2">
        <f>IFERROR(__xludf.DUMMYFUNCTION("""COMPUTED_VALUE"""),0.5)</f>
        <v>0.5</v>
      </c>
      <c r="D712" s="2" t="str">
        <f>IFERROR(__xludf.DUMMYFUNCTION("""COMPUTED_VALUE"""),"Mahadev")</f>
        <v>Mahadev</v>
      </c>
      <c r="E712" s="2">
        <f>IFERROR(__xludf.DUMMYFUNCTION("""COMPUTED_VALUE"""),1286.0)</f>
        <v>1286</v>
      </c>
      <c r="F712" s="3">
        <f>IFERROR(__xludf.DUMMYFUNCTION("""COMPUTED_VALUE"""),60447.0)</f>
        <v>60447</v>
      </c>
      <c r="G712" s="2" t="str">
        <f>IFERROR(__xludf.DUMMYFUNCTION("""COMPUTED_VALUE"""),"Binod Kumar Shrestha &amp; Team")</f>
        <v>Binod Kumar Shrestha &amp; Team</v>
      </c>
      <c r="H712" s="2"/>
      <c r="I712" s="2" t="str">
        <f>IFERROR(__xludf.DUMMYFUNCTION("""COMPUTED_VALUE"""),"28o 53' 32""")</f>
        <v>28o 53' 32"</v>
      </c>
      <c r="J712" s="2" t="str">
        <f>IFERROR(__xludf.DUMMYFUNCTION("""COMPUTED_VALUE"""),"28o 55' 18""")</f>
        <v>28o 55' 18"</v>
      </c>
      <c r="K712" s="2" t="str">
        <f>IFERROR(__xludf.DUMMYFUNCTION("""COMPUTED_VALUE"""),"85o 39' 09""")</f>
        <v>85o 39' 09"</v>
      </c>
      <c r="L712" s="2" t="str">
        <f>IFERROR(__xludf.DUMMYFUNCTION("""COMPUTED_VALUE"""),"85o 40' 58""")</f>
        <v>85o 40' 58"</v>
      </c>
      <c r="M712" s="2" t="str">
        <f>IFERROR(__xludf.DUMMYFUNCTION("""COMPUTED_VALUE"""),"Bhote Namlang,Thampal Dhap (Sindhupalchok)")</f>
        <v>Bhote Namlang,Thampal Dhap (Sindhupalchok)</v>
      </c>
    </row>
    <row r="713">
      <c r="A713" s="2">
        <f>IFERROR(__xludf.DUMMYFUNCTION("""COMPUTED_VALUE"""),712.0)</f>
        <v>712</v>
      </c>
      <c r="B713" s="2" t="str">
        <f>IFERROR(__xludf.DUMMYFUNCTION("""COMPUTED_VALUE"""),"Upper Mewa-A HPP")</f>
        <v>Upper Mewa-A HPP</v>
      </c>
      <c r="C713" s="2">
        <f>IFERROR(__xludf.DUMMYFUNCTION("""COMPUTED_VALUE"""),9.8)</f>
        <v>9.8</v>
      </c>
      <c r="D713" s="2" t="str">
        <f>IFERROR(__xludf.DUMMYFUNCTION("""COMPUTED_VALUE"""),"Mewa Khola")</f>
        <v>Mewa Khola</v>
      </c>
      <c r="E713" s="2">
        <f>IFERROR(__xludf.DUMMYFUNCTION("""COMPUTED_VALUE"""),1294.0)</f>
        <v>1294</v>
      </c>
      <c r="F713" s="3">
        <f>IFERROR(__xludf.DUMMYFUNCTION("""COMPUTED_VALUE"""),60448.0)</f>
        <v>60448</v>
      </c>
      <c r="G713" s="2" t="str">
        <f>IFERROR(__xludf.DUMMYFUNCTION("""COMPUTED_VALUE"""),"Subhas Pradhan, Namgya Gombo Bhote, Radha Acharya Pande")</f>
        <v>Subhas Pradhan, Namgya Gombo Bhote, Radha Acharya Pande</v>
      </c>
      <c r="H713" s="2" t="str">
        <f>IFERROR(__xludf.DUMMYFUNCTION("""COMPUTED_VALUE"""),"GPO Box: 12756, Kathmandu Tel: 9851038091")</f>
        <v>GPO Box: 12756, Kathmandu Tel: 9851038091</v>
      </c>
      <c r="I713" s="2" t="str">
        <f>IFERROR(__xludf.DUMMYFUNCTION("""COMPUTED_VALUE"""),"27o 33' 26""")</f>
        <v>27o 33' 26"</v>
      </c>
      <c r="J713" s="2" t="str">
        <f>IFERROR(__xludf.DUMMYFUNCTION("""COMPUTED_VALUE"""),"27o 35' 00""")</f>
        <v>27o 35' 00"</v>
      </c>
      <c r="K713" s="2" t="str">
        <f>IFERROR(__xludf.DUMMYFUNCTION("""COMPUTED_VALUE"""),"87o 35' 00""")</f>
        <v>87o 35' 00"</v>
      </c>
      <c r="L713" s="2" t="str">
        <f>IFERROR(__xludf.DUMMYFUNCTION("""COMPUTED_VALUE"""),"87o 37' 40""")</f>
        <v>87o 37' 40"</v>
      </c>
      <c r="M713" s="2" t="str">
        <f>IFERROR(__xludf.DUMMYFUNCTION("""COMPUTED_VALUE"""),"Papung (Taplejung)")</f>
        <v>Papung (Taplejung)</v>
      </c>
    </row>
    <row r="714">
      <c r="A714" s="2">
        <f>IFERROR(__xludf.DUMMYFUNCTION("""COMPUTED_VALUE"""),713.0)</f>
        <v>713</v>
      </c>
      <c r="B714" s="2" t="str">
        <f>IFERROR(__xludf.DUMMYFUNCTION("""COMPUTED_VALUE"""),"Mewakhola")</f>
        <v>Mewakhola</v>
      </c>
      <c r="C714" s="2">
        <f>IFERROR(__xludf.DUMMYFUNCTION("""COMPUTED_VALUE"""),8.0)</f>
        <v>8</v>
      </c>
      <c r="D714" s="2"/>
      <c r="E714" s="2">
        <f>IFERROR(__xludf.DUMMYFUNCTION("""COMPUTED_VALUE"""),1294.0)</f>
        <v>1294</v>
      </c>
      <c r="F714" s="3">
        <f>IFERROR(__xludf.DUMMYFUNCTION("""COMPUTED_VALUE"""),60448.0)</f>
        <v>60448</v>
      </c>
      <c r="G714" s="2" t="str">
        <f>IFERROR(__xludf.DUMMYFUNCTION("""COMPUTED_VALUE"""),"Subash Pradhan, Fikkal Ilam. Chirinjiwi Bista, Pathari-1, Morang, Dinesh 
Devkota")</f>
        <v>Subash Pradhan, Fikkal Ilam. Chirinjiwi Bista, Pathari-1, Morang, Dinesh 
Devkota</v>
      </c>
      <c r="H714" s="2" t="str">
        <f>IFERROR(__xludf.DUMMYFUNCTION("""COMPUTED_VALUE"""),"Gaikhur-9, Gorkha")</f>
        <v>Gaikhur-9, Gorkha</v>
      </c>
      <c r="I714" s="2" t="str">
        <f>IFERROR(__xludf.DUMMYFUNCTION("""COMPUTED_VALUE"""),"27o 30' 00""")</f>
        <v>27o 30' 00"</v>
      </c>
      <c r="J714" s="2" t="str">
        <f>IFERROR(__xludf.DUMMYFUNCTION("""COMPUTED_VALUE"""),"27o 33' 36""")</f>
        <v>27o 33' 36"</v>
      </c>
      <c r="K714" s="2" t="str">
        <f>IFERROR(__xludf.DUMMYFUNCTION("""COMPUTED_VALUE"""),"87o 33' 36""")</f>
        <v>87o 33' 36"</v>
      </c>
      <c r="L714" s="2" t="str">
        <f>IFERROR(__xludf.DUMMYFUNCTION("""COMPUTED_VALUE"""),"87o 36' 25""")</f>
        <v>87o 36' 25"</v>
      </c>
      <c r="M714" s="2"/>
    </row>
    <row r="715">
      <c r="A715" s="2">
        <f>IFERROR(__xludf.DUMMYFUNCTION("""COMPUTED_VALUE"""),714.0)</f>
        <v>714</v>
      </c>
      <c r="B715" s="2" t="str">
        <f>IFERROR(__xludf.DUMMYFUNCTION("""COMPUTED_VALUE"""),"Upper Mewa-B HPP")</f>
        <v>Upper Mewa-B HPP</v>
      </c>
      <c r="C715" s="2">
        <f>IFERROR(__xludf.DUMMYFUNCTION("""COMPUTED_VALUE"""),8.0)</f>
        <v>8</v>
      </c>
      <c r="D715" s="2" t="str">
        <f>IFERROR(__xludf.DUMMYFUNCTION("""COMPUTED_VALUE"""),"Mewa Khola")</f>
        <v>Mewa Khola</v>
      </c>
      <c r="E715" s="2">
        <f>IFERROR(__xludf.DUMMYFUNCTION("""COMPUTED_VALUE"""),1295.0)</f>
        <v>1295</v>
      </c>
      <c r="F715" s="3">
        <f>IFERROR(__xludf.DUMMYFUNCTION("""COMPUTED_VALUE"""),60448.0)</f>
        <v>60448</v>
      </c>
      <c r="G715" s="2" t="str">
        <f>IFERROR(__xludf.DUMMYFUNCTION("""COMPUTED_VALUE"""),"Subhas Pradhan, Chiranjibi Bista, Dinesh Devkota")</f>
        <v>Subhas Pradhan, Chiranjibi Bista, Dinesh Devkota</v>
      </c>
      <c r="H715" s="2" t="str">
        <f>IFERROR(__xludf.DUMMYFUNCTION("""COMPUTED_VALUE"""),"GPO Box: 12756, Kathmandu Tel:021-555073")</f>
        <v>GPO Box: 12756, Kathmandu Tel:021-555073</v>
      </c>
      <c r="I715" s="2" t="str">
        <f>IFERROR(__xludf.DUMMYFUNCTION("""COMPUTED_VALUE"""),"27o 30' 00""")</f>
        <v>27o 30' 00"</v>
      </c>
      <c r="J715" s="2" t="str">
        <f>IFERROR(__xludf.DUMMYFUNCTION("""COMPUTED_VALUE"""),"27o 33' 36""")</f>
        <v>27o 33' 36"</v>
      </c>
      <c r="K715" s="2" t="str">
        <f>IFERROR(__xludf.DUMMYFUNCTION("""COMPUTED_VALUE"""),"87o 36' 25""")</f>
        <v>87o 36' 25"</v>
      </c>
      <c r="L715" s="2" t="str">
        <f>IFERROR(__xludf.DUMMYFUNCTION("""COMPUTED_VALUE"""),"87o 37' 49""")</f>
        <v>87o 37' 49"</v>
      </c>
      <c r="M715" s="2" t="str">
        <f>IFERROR(__xludf.DUMMYFUNCTION("""COMPUTED_VALUE"""),"Papung (Taplejung)")</f>
        <v>Papung (Taplejung)</v>
      </c>
    </row>
    <row r="716">
      <c r="A716" s="2">
        <f>IFERROR(__xludf.DUMMYFUNCTION("""COMPUTED_VALUE"""),715.0)</f>
        <v>715</v>
      </c>
      <c r="B716" s="2" t="str">
        <f>IFERROR(__xludf.DUMMYFUNCTION("""COMPUTED_VALUE"""),"Middle Hongu Khola SHP")</f>
        <v>Middle Hongu Khola SHP</v>
      </c>
      <c r="C716" s="2">
        <f>IFERROR(__xludf.DUMMYFUNCTION("""COMPUTED_VALUE"""),1.0)</f>
        <v>1</v>
      </c>
      <c r="D716" s="2" t="str">
        <f>IFERROR(__xludf.DUMMYFUNCTION("""COMPUTED_VALUE"""),"Hongu Khola")</f>
        <v>Hongu Khola</v>
      </c>
      <c r="E716" s="2">
        <f>IFERROR(__xludf.DUMMYFUNCTION("""COMPUTED_VALUE"""),1296.0)</f>
        <v>1296</v>
      </c>
      <c r="F716" s="3">
        <f>IFERROR(__xludf.DUMMYFUNCTION("""COMPUTED_VALUE"""),60448.0)</f>
        <v>60448</v>
      </c>
      <c r="G716" s="2" t="str">
        <f>IFERROR(__xludf.DUMMYFUNCTION("""COMPUTED_VALUE"""),"Photon Energy P. Ltd.")</f>
        <v>Photon Energy P. Ltd.</v>
      </c>
      <c r="H716" s="2"/>
      <c r="I716" s="2" t="str">
        <f>IFERROR(__xludf.DUMMYFUNCTION("""COMPUTED_VALUE"""),"27o 28' 00""")</f>
        <v>27o 28' 00"</v>
      </c>
      <c r="J716" s="2" t="str">
        <f>IFERROR(__xludf.DUMMYFUNCTION("""COMPUTED_VALUE"""),"27o 32' 00""")</f>
        <v>27o 32' 00"</v>
      </c>
      <c r="K716" s="2" t="str">
        <f>IFERROR(__xludf.DUMMYFUNCTION("""COMPUTED_VALUE"""),"86o 46' 00""")</f>
        <v>86o 46' 00"</v>
      </c>
      <c r="L716" s="2" t="str">
        <f>IFERROR(__xludf.DUMMYFUNCTION("""COMPUTED_VALUE"""),"86o 52' 00""")</f>
        <v>86o 52' 00"</v>
      </c>
      <c r="M716" s="2" t="str">
        <f>IFERROR(__xludf.DUMMYFUNCTION("""COMPUTED_VALUE"""),"Bung,Sautang (Solukhumbu)")</f>
        <v>Bung,Sautang (Solukhumbu)</v>
      </c>
    </row>
    <row r="717">
      <c r="A717" s="2">
        <f>IFERROR(__xludf.DUMMYFUNCTION("""COMPUTED_VALUE"""),716.0)</f>
        <v>716</v>
      </c>
      <c r="B717" s="2" t="str">
        <f>IFERROR(__xludf.DUMMYFUNCTION("""COMPUTED_VALUE"""),"Middle Inkhuwa Khola SHP")</f>
        <v>Middle Inkhuwa Khola SHP</v>
      </c>
      <c r="C717" s="2">
        <f>IFERROR(__xludf.DUMMYFUNCTION("""COMPUTED_VALUE"""),1.0)</f>
        <v>1</v>
      </c>
      <c r="D717" s="2" t="str">
        <f>IFERROR(__xludf.DUMMYFUNCTION("""COMPUTED_VALUE"""),"Inkhuwa")</f>
        <v>Inkhuwa</v>
      </c>
      <c r="E717" s="2">
        <f>IFERROR(__xludf.DUMMYFUNCTION("""COMPUTED_VALUE"""),1297.0)</f>
        <v>1297</v>
      </c>
      <c r="F717" s="3">
        <f>IFERROR(__xludf.DUMMYFUNCTION("""COMPUTED_VALUE"""),60448.0)</f>
        <v>60448</v>
      </c>
      <c r="G717" s="2" t="str">
        <f>IFERROR(__xludf.DUMMYFUNCTION("""COMPUTED_VALUE"""),"Photon Energy P. Ltd.")</f>
        <v>Photon Energy P. Ltd.</v>
      </c>
      <c r="H717" s="2"/>
      <c r="I717" s="2" t="str">
        <f>IFERROR(__xludf.DUMMYFUNCTION("""COMPUTED_VALUE"""),"27o 31' 00""")</f>
        <v>27o 31' 00"</v>
      </c>
      <c r="J717" s="2" t="str">
        <f>IFERROR(__xludf.DUMMYFUNCTION("""COMPUTED_VALUE"""),"27o 35' 00""")</f>
        <v>27o 35' 00"</v>
      </c>
      <c r="K717" s="2" t="str">
        <f>IFERROR(__xludf.DUMMYFUNCTION("""COMPUTED_VALUE"""),"86o 45' 00""")</f>
        <v>86o 45' 00"</v>
      </c>
      <c r="L717" s="2" t="str">
        <f>IFERROR(__xludf.DUMMYFUNCTION("""COMPUTED_VALUE"""),"86o 48' 00""")</f>
        <v>86o 48' 00"</v>
      </c>
      <c r="M717" s="2" t="str">
        <f>IFERROR(__xludf.DUMMYFUNCTION("""COMPUTED_VALUE"""),"Bung,Gudel,Sautang (Solukhumbu)")</f>
        <v>Bung,Gudel,Sautang (Solukhumbu)</v>
      </c>
    </row>
    <row r="718">
      <c r="A718" s="2">
        <f>IFERROR(__xludf.DUMMYFUNCTION("""COMPUTED_VALUE"""),717.0)</f>
        <v>717</v>
      </c>
      <c r="B718" s="2" t="str">
        <f>IFERROR(__xludf.DUMMYFUNCTION("""COMPUTED_VALUE"""),"Manjo Khola SHP")</f>
        <v>Manjo Khola SHP</v>
      </c>
      <c r="C718" s="2">
        <f>IFERROR(__xludf.DUMMYFUNCTION("""COMPUTED_VALUE"""),1.0)</f>
        <v>1</v>
      </c>
      <c r="D718" s="2" t="str">
        <f>IFERROR(__xludf.DUMMYFUNCTION("""COMPUTED_VALUE"""),"Manjo")</f>
        <v>Manjo</v>
      </c>
      <c r="E718" s="2">
        <f>IFERROR(__xludf.DUMMYFUNCTION("""COMPUTED_VALUE"""),1298.0)</f>
        <v>1298</v>
      </c>
      <c r="F718" s="3">
        <f>IFERROR(__xludf.DUMMYFUNCTION("""COMPUTED_VALUE"""),60448.0)</f>
        <v>60448</v>
      </c>
      <c r="G718" s="2" t="str">
        <f>IFERROR(__xludf.DUMMYFUNCTION("""COMPUTED_VALUE"""),"Photon Energy P. Ltd.")</f>
        <v>Photon Energy P. Ltd.</v>
      </c>
      <c r="H718" s="2"/>
      <c r="I718" s="2" t="str">
        <f>IFERROR(__xludf.DUMMYFUNCTION("""COMPUTED_VALUE"""),"27o 45' 00""")</f>
        <v>27o 45' 00"</v>
      </c>
      <c r="J718" s="2" t="str">
        <f>IFERROR(__xludf.DUMMYFUNCTION("""COMPUTED_VALUE"""),"27o 48' 00""")</f>
        <v>27o 48' 00"</v>
      </c>
      <c r="K718" s="2" t="str">
        <f>IFERROR(__xludf.DUMMYFUNCTION("""COMPUTED_VALUE"""),"86o 42' 00""")</f>
        <v>86o 42' 00"</v>
      </c>
      <c r="L718" s="2" t="str">
        <f>IFERROR(__xludf.DUMMYFUNCTION("""COMPUTED_VALUE"""),"86o 45' 00""")</f>
        <v>86o 45' 00"</v>
      </c>
      <c r="M718" s="2" t="str">
        <f>IFERROR(__xludf.DUMMYFUNCTION("""COMPUTED_VALUE"""),"Chaurikharka (Solukhumbu)")</f>
        <v>Chaurikharka (Solukhumbu)</v>
      </c>
    </row>
    <row r="719">
      <c r="A719" s="2">
        <f>IFERROR(__xludf.DUMMYFUNCTION("""COMPUTED_VALUE"""),718.0)</f>
        <v>718</v>
      </c>
      <c r="B719" s="2" t="str">
        <f>IFERROR(__xludf.DUMMYFUNCTION("""COMPUTED_VALUE"""),"Ghore Sadhu")</f>
        <v>Ghore Sadhu</v>
      </c>
      <c r="C719" s="2">
        <f>IFERROR(__xludf.DUMMYFUNCTION("""COMPUTED_VALUE"""),6.0)</f>
        <v>6</v>
      </c>
      <c r="D719" s="2"/>
      <c r="E719" s="2">
        <f>IFERROR(__xludf.DUMMYFUNCTION("""COMPUTED_VALUE"""),1334.0)</f>
        <v>1334</v>
      </c>
      <c r="F719" s="3">
        <f>IFERROR(__xludf.DUMMYFUNCTION("""COMPUTED_VALUE"""),60451.0)</f>
        <v>60451</v>
      </c>
      <c r="G719" s="2" t="str">
        <f>IFERROR(__xludf.DUMMYFUNCTION("""COMPUTED_VALUE"""),"Kumari Power Co. Pvt. Ltd.")</f>
        <v>Kumari Power Co. Pvt. Ltd.</v>
      </c>
      <c r="H719" s="2"/>
      <c r="I719" s="2" t="str">
        <f>IFERROR(__xludf.DUMMYFUNCTION("""COMPUTED_VALUE"""),"28o 26' 00""")</f>
        <v>28o 26' 00"</v>
      </c>
      <c r="J719" s="2" t="str">
        <f>IFERROR(__xludf.DUMMYFUNCTION("""COMPUTED_VALUE"""),"28o 29' 00""")</f>
        <v>28o 29' 00"</v>
      </c>
      <c r="K719" s="2" t="str">
        <f>IFERROR(__xludf.DUMMYFUNCTION("""COMPUTED_VALUE"""),"83o 58' 00""")</f>
        <v>83o 58' 00"</v>
      </c>
      <c r="L719" s="2" t="str">
        <f>IFERROR(__xludf.DUMMYFUNCTION("""COMPUTED_VALUE"""),"84o 00' 00""")</f>
        <v>84o 00' 00"</v>
      </c>
      <c r="M719" s="2" t="str">
        <f>IFERROR(__xludf.DUMMYFUNCTION("""COMPUTED_VALUE"""),"Machhapuchchhre (Kaski)")</f>
        <v>Machhapuchchhre (Kaski)</v>
      </c>
    </row>
    <row r="720">
      <c r="A720" s="2">
        <f>IFERROR(__xludf.DUMMYFUNCTION("""COMPUTED_VALUE"""),719.0)</f>
        <v>719</v>
      </c>
      <c r="B720" s="2" t="str">
        <f>IFERROR(__xludf.DUMMYFUNCTION("""COMPUTED_VALUE"""),"Handi Khola")</f>
        <v>Handi Khola</v>
      </c>
      <c r="C720" s="2">
        <f>IFERROR(__xludf.DUMMYFUNCTION("""COMPUTED_VALUE"""),5.0)</f>
        <v>5</v>
      </c>
      <c r="D720" s="2"/>
      <c r="E720" s="2">
        <f>IFERROR(__xludf.DUMMYFUNCTION("""COMPUTED_VALUE"""),1514.0)</f>
        <v>1514</v>
      </c>
      <c r="F720" s="3">
        <f>IFERROR(__xludf.DUMMYFUNCTION("""COMPUTED_VALUE"""),60451.0)</f>
        <v>60451</v>
      </c>
      <c r="G720" s="2" t="str">
        <f>IFERROR(__xludf.DUMMYFUNCTION("""COMPUTED_VALUE"""),"Sonam Jangbu Serpa")</f>
        <v>Sonam Jangbu Serpa</v>
      </c>
      <c r="H720" s="2"/>
      <c r="I720" s="2" t="str">
        <f>IFERROR(__xludf.DUMMYFUNCTION("""COMPUTED_VALUE"""),"27o 54' 15""")</f>
        <v>27o 54' 15"</v>
      </c>
      <c r="J720" s="2" t="str">
        <f>IFERROR(__xludf.DUMMYFUNCTION("""COMPUTED_VALUE"""),"27o 55' 57""")</f>
        <v>27o 55' 57"</v>
      </c>
      <c r="K720" s="2" t="str">
        <f>IFERROR(__xludf.DUMMYFUNCTION("""COMPUTED_VALUE"""),"85o 37' 40""")</f>
        <v>85o 37' 40"</v>
      </c>
      <c r="L720" s="2" t="str">
        <f>IFERROR(__xludf.DUMMYFUNCTION("""COMPUTED_VALUE"""),"85o 39' 36""")</f>
        <v>85o 39' 36"</v>
      </c>
      <c r="M720" s="2" t="str">
        <f>IFERROR(__xludf.DUMMYFUNCTION("""COMPUTED_VALUE"""),"Baruwa,Thampal Dhap (Sindhupalchok)")</f>
        <v>Baruwa,Thampal Dhap (Sindhupalchok)</v>
      </c>
    </row>
    <row r="721">
      <c r="A721" s="2">
        <f>IFERROR(__xludf.DUMMYFUNCTION("""COMPUTED_VALUE"""),720.0)</f>
        <v>720</v>
      </c>
      <c r="B721" s="2" t="str">
        <f>IFERROR(__xludf.DUMMYFUNCTION("""COMPUTED_VALUE"""),"Lun Khola SHP")</f>
        <v>Lun Khola SHP</v>
      </c>
      <c r="C721" s="2">
        <f>IFERROR(__xludf.DUMMYFUNCTION("""COMPUTED_VALUE"""),1.0)</f>
        <v>1</v>
      </c>
      <c r="D721" s="2" t="str">
        <f>IFERROR(__xludf.DUMMYFUNCTION("""COMPUTED_VALUE"""),"Lun")</f>
        <v>Lun</v>
      </c>
      <c r="E721" s="2">
        <f>IFERROR(__xludf.DUMMYFUNCTION("""COMPUTED_VALUE"""),1344.0)</f>
        <v>1344</v>
      </c>
      <c r="F721" s="3">
        <f>IFERROR(__xludf.DUMMYFUNCTION("""COMPUTED_VALUE"""),60452.0)</f>
        <v>60452</v>
      </c>
      <c r="G721" s="2" t="str">
        <f>IFERROR(__xludf.DUMMYFUNCTION("""COMPUTED_VALUE"""),"Tara Sharma")</f>
        <v>Tara Sharma</v>
      </c>
      <c r="H721" s="2" t="str">
        <f>IFERROR(__xludf.DUMMYFUNCTION("""COMPUTED_VALUE"""),"Ph: 4355474")</f>
        <v>Ph: 4355474</v>
      </c>
      <c r="I721" s="2" t="str">
        <f>IFERROR(__xludf.DUMMYFUNCTION("""COMPUTED_VALUE"""),"28o 11' 20""")</f>
        <v>28o 11' 20"</v>
      </c>
      <c r="J721" s="2" t="str">
        <f>IFERROR(__xludf.DUMMYFUNCTION("""COMPUTED_VALUE"""),"28o 14' 00""")</f>
        <v>28o 14' 00"</v>
      </c>
      <c r="K721" s="2" t="str">
        <f>IFERROR(__xludf.DUMMYFUNCTION("""COMPUTED_VALUE"""),"80o 50' 00""")</f>
        <v>80o 50' 00"</v>
      </c>
      <c r="L721" s="2" t="str">
        <f>IFERROR(__xludf.DUMMYFUNCTION("""COMPUTED_VALUE"""),"80o 54' 00""")</f>
        <v>80o 54' 00"</v>
      </c>
      <c r="M721" s="2" t="str">
        <f>IFERROR(__xludf.DUMMYFUNCTION("""COMPUTED_VALUE"""),"Damri,Lung,Ligha,Phopli (Pyuthan)")</f>
        <v>Damri,Lung,Ligha,Phopli (Pyuthan)</v>
      </c>
    </row>
    <row r="722">
      <c r="A722" s="2">
        <f>IFERROR(__xludf.DUMMYFUNCTION("""COMPUTED_VALUE"""),721.0)</f>
        <v>721</v>
      </c>
      <c r="B722" s="2" t="str">
        <f>IFERROR(__xludf.DUMMYFUNCTION("""COMPUTED_VALUE"""),"Roshi Khola")</f>
        <v>Roshi Khola</v>
      </c>
      <c r="C722" s="2">
        <f>IFERROR(__xludf.DUMMYFUNCTION("""COMPUTED_VALUE"""),1.67)</f>
        <v>1.67</v>
      </c>
      <c r="D722" s="2" t="str">
        <f>IFERROR(__xludf.DUMMYFUNCTION("""COMPUTED_VALUE"""),"Roshi")</f>
        <v>Roshi</v>
      </c>
      <c r="E722" s="2">
        <f>IFERROR(__xludf.DUMMYFUNCTION("""COMPUTED_VALUE"""),1527.0)</f>
        <v>1527</v>
      </c>
      <c r="F722" s="3">
        <f>IFERROR(__xludf.DUMMYFUNCTION("""COMPUTED_VALUE"""),60452.0)</f>
        <v>60452</v>
      </c>
      <c r="G722" s="2" t="str">
        <f>IFERROR(__xludf.DUMMYFUNCTION("""COMPUTED_VALUE"""),"Dharma Lal Tamang, Chandra Bahadur Lama, Balaram Lama, Ratna Bahadur Lama")</f>
        <v>Dharma Lal Tamang, Chandra Bahadur Lama, Balaram Lama, Ratna Bahadur Lama</v>
      </c>
      <c r="H722" s="2"/>
      <c r="I722" s="2" t="str">
        <f>IFERROR(__xludf.DUMMYFUNCTION("""COMPUTED_VALUE"""),"27o 30' 00""")</f>
        <v>27o 30' 00"</v>
      </c>
      <c r="J722" s="2" t="str">
        <f>IFERROR(__xludf.DUMMYFUNCTION("""COMPUTED_VALUE"""),"27o 32' 30""")</f>
        <v>27o 32' 30"</v>
      </c>
      <c r="K722" s="2" t="str">
        <f>IFERROR(__xludf.DUMMYFUNCTION("""COMPUTED_VALUE"""),"85o 35' 00""")</f>
        <v>85o 35' 00"</v>
      </c>
      <c r="L722" s="2" t="str">
        <f>IFERROR(__xludf.DUMMYFUNCTION("""COMPUTED_VALUE"""),"85o 37' 30""")</f>
        <v>85o 37' 30"</v>
      </c>
      <c r="M722" s="2"/>
    </row>
    <row r="723">
      <c r="A723" s="2">
        <f>IFERROR(__xludf.DUMMYFUNCTION("""COMPUTED_VALUE"""),722.0)</f>
        <v>722</v>
      </c>
      <c r="B723" s="2" t="str">
        <f>IFERROR(__xludf.DUMMYFUNCTION("""COMPUTED_VALUE"""),"Mimiban")</f>
        <v>Mimiban</v>
      </c>
      <c r="C723" s="2">
        <f>IFERROR(__xludf.DUMMYFUNCTION("""COMPUTED_VALUE"""),52.0)</f>
        <v>52</v>
      </c>
      <c r="D723" s="2"/>
      <c r="E723" s="2">
        <f>IFERROR(__xludf.DUMMYFUNCTION("""COMPUTED_VALUE"""),1345.0)</f>
        <v>1345</v>
      </c>
      <c r="F723" s="3">
        <f>IFERROR(__xludf.DUMMYFUNCTION("""COMPUTED_VALUE"""),60453.0)</f>
        <v>60453</v>
      </c>
      <c r="G723" s="2" t="str">
        <f>IFERROR(__xludf.DUMMYFUNCTION("""COMPUTED_VALUE"""),"Power Asia")</f>
        <v>Power Asia</v>
      </c>
      <c r="H723" s="2" t="str">
        <f>IFERROR(__xludf.DUMMYFUNCTION("""COMPUTED_VALUE"""),"Kathmandu")</f>
        <v>Kathmandu</v>
      </c>
      <c r="I723" s="2" t="str">
        <f>IFERROR(__xludf.DUMMYFUNCTION("""COMPUTED_VALUE"""),"29o 44' 00""")</f>
        <v>29o 44' 00"</v>
      </c>
      <c r="J723" s="2" t="str">
        <f>IFERROR(__xludf.DUMMYFUNCTION("""COMPUTED_VALUE"""),"29o 45' 25""")</f>
        <v>29o 45' 25"</v>
      </c>
      <c r="K723" s="2" t="str">
        <f>IFERROR(__xludf.DUMMYFUNCTION("""COMPUTED_VALUE"""),"82o 05' 00""")</f>
        <v>82o 05' 00"</v>
      </c>
      <c r="L723" s="2" t="str">
        <f>IFERROR(__xludf.DUMMYFUNCTION("""COMPUTED_VALUE"""),"82o 10' 00""")</f>
        <v>82o 10' 00"</v>
      </c>
      <c r="M723" s="2"/>
    </row>
    <row r="724">
      <c r="A724" s="2">
        <f>IFERROR(__xludf.DUMMYFUNCTION("""COMPUTED_VALUE"""),723.0)</f>
        <v>723</v>
      </c>
      <c r="B724" s="2" t="str">
        <f>IFERROR(__xludf.DUMMYFUNCTION("""COMPUTED_VALUE"""),"Dar Khola SHP")</f>
        <v>Dar Khola SHP</v>
      </c>
      <c r="C724" s="2">
        <f>IFERROR(__xludf.DUMMYFUNCTION("""COMPUTED_VALUE"""),0.97)</f>
        <v>0.97</v>
      </c>
      <c r="D724" s="2" t="str">
        <f>IFERROR(__xludf.DUMMYFUNCTION("""COMPUTED_VALUE"""),"Dar Khola")</f>
        <v>Dar Khola</v>
      </c>
      <c r="E724" s="2">
        <f>IFERROR(__xludf.DUMMYFUNCTION("""COMPUTED_VALUE"""),1365.0)</f>
        <v>1365</v>
      </c>
      <c r="F724" s="3">
        <f>IFERROR(__xludf.DUMMYFUNCTION("""COMPUTED_VALUE"""),60454.0)</f>
        <v>60454</v>
      </c>
      <c r="G724" s="2" t="str">
        <f>IFERROR(__xludf.DUMMYFUNCTION("""COMPUTED_VALUE"""),"Ignite Power P. Ltd.")</f>
        <v>Ignite Power P. Ltd.</v>
      </c>
      <c r="H724" s="2"/>
      <c r="I724" s="2" t="str">
        <f>IFERROR(__xludf.DUMMYFUNCTION("""COMPUTED_VALUE"""),"28o 29' 45""")</f>
        <v>28o 29' 45"</v>
      </c>
      <c r="J724" s="2" t="str">
        <f>IFERROR(__xludf.DUMMYFUNCTION("""COMPUTED_VALUE"""),"28o 30' 35""")</f>
        <v>28o 30' 35"</v>
      </c>
      <c r="K724" s="2" t="str">
        <f>IFERROR(__xludf.DUMMYFUNCTION("""COMPUTED_VALUE"""),"83o 20' 00""")</f>
        <v>83o 20' 00"</v>
      </c>
      <c r="L724" s="2" t="str">
        <f>IFERROR(__xludf.DUMMYFUNCTION("""COMPUTED_VALUE"""),"83o 21' 15""")</f>
        <v>83o 21' 15"</v>
      </c>
      <c r="M724" s="2" t="str">
        <f>IFERROR(__xludf.DUMMYFUNCTION("""COMPUTED_VALUE"""),"Takam (Myagdi)")</f>
        <v>Takam (Myagdi)</v>
      </c>
    </row>
    <row r="725">
      <c r="A725" s="2">
        <f>IFERROR(__xludf.DUMMYFUNCTION("""COMPUTED_VALUE"""),724.0)</f>
        <v>724</v>
      </c>
      <c r="B725" s="2" t="str">
        <f>IFERROR(__xludf.DUMMYFUNCTION("""COMPUTED_VALUE"""),"Middle Lotikarnali")</f>
        <v>Middle Lotikarnali</v>
      </c>
      <c r="C725" s="2">
        <f>IFERROR(__xludf.DUMMYFUNCTION("""COMPUTED_VALUE"""),52.0)</f>
        <v>52</v>
      </c>
      <c r="D725" s="2"/>
      <c r="E725" s="2">
        <f>IFERROR(__xludf.DUMMYFUNCTION("""COMPUTED_VALUE"""),1370.0)</f>
        <v>1370</v>
      </c>
      <c r="F725" s="3">
        <f>IFERROR(__xludf.DUMMYFUNCTION("""COMPUTED_VALUE"""),60454.0)</f>
        <v>60454</v>
      </c>
      <c r="G725" s="2" t="str">
        <f>IFERROR(__xludf.DUMMYFUNCTION("""COMPUTED_VALUE"""),"World Power Pvt Ltd")</f>
        <v>World Power Pvt Ltd</v>
      </c>
      <c r="H725" s="2" t="str">
        <f>IFERROR(__xludf.DUMMYFUNCTION("""COMPUTED_VALUE"""),"GPO Box: 8974, Kathmandu Tel: 4782765")</f>
        <v>GPO Box: 8974, Kathmandu Tel: 4782765</v>
      </c>
      <c r="I725" s="2" t="str">
        <f>IFERROR(__xludf.DUMMYFUNCTION("""COMPUTED_VALUE"""),"29o 45' 25""")</f>
        <v>29o 45' 25"</v>
      </c>
      <c r="J725" s="2" t="str">
        <f>IFERROR(__xludf.DUMMYFUNCTION("""COMPUTED_VALUE"""),"29o 49' 35""")</f>
        <v>29o 49' 35"</v>
      </c>
      <c r="K725" s="2" t="str">
        <f>IFERROR(__xludf.DUMMYFUNCTION("""COMPUTED_VALUE"""),"82o 05' 00""")</f>
        <v>82o 05' 00"</v>
      </c>
      <c r="L725" s="2" t="str">
        <f>IFERROR(__xludf.DUMMYFUNCTION("""COMPUTED_VALUE"""),"82o 06' 23""")</f>
        <v>82o 06' 23"</v>
      </c>
      <c r="M725" s="2" t="str">
        <f>IFERROR(__xludf.DUMMYFUNCTION("""COMPUTED_VALUE"""),"Mimi (Humla)")</f>
        <v>Mimi (Humla)</v>
      </c>
    </row>
    <row r="726">
      <c r="A726" s="2">
        <f>IFERROR(__xludf.DUMMYFUNCTION("""COMPUTED_VALUE"""),725.0)</f>
        <v>725</v>
      </c>
      <c r="B726" s="2" t="str">
        <f>IFERROR(__xludf.DUMMYFUNCTION("""COMPUTED_VALUE"""),"Mugu Nadi")</f>
        <v>Mugu Nadi</v>
      </c>
      <c r="C726" s="2">
        <f>IFERROR(__xludf.DUMMYFUNCTION("""COMPUTED_VALUE"""),15.0)</f>
        <v>15</v>
      </c>
      <c r="D726" s="2" t="str">
        <f>IFERROR(__xludf.DUMMYFUNCTION("""COMPUTED_VALUE"""),"Mugu Nadi")</f>
        <v>Mugu Nadi</v>
      </c>
      <c r="E726" s="2">
        <f>IFERROR(__xludf.DUMMYFUNCTION("""COMPUTED_VALUE"""),1375.0)</f>
        <v>1375</v>
      </c>
      <c r="F726" s="3">
        <f>IFERROR(__xludf.DUMMYFUNCTION("""COMPUTED_VALUE"""),60454.0)</f>
        <v>60454</v>
      </c>
      <c r="G726" s="2" t="str">
        <f>IFERROR(__xludf.DUMMYFUNCTION("""COMPUTED_VALUE"""),"Mugu Power P. Ltd.")</f>
        <v>Mugu Power P. Ltd.</v>
      </c>
      <c r="H726" s="2" t="str">
        <f>IFERROR(__xludf.DUMMYFUNCTION("""COMPUTED_VALUE"""),"Kathmandu-13, Kathmandu, Nepal")</f>
        <v>Kathmandu-13, Kathmandu, Nepal</v>
      </c>
      <c r="I726" s="2" t="str">
        <f>IFERROR(__xludf.DUMMYFUNCTION("""COMPUTED_VALUE"""),"29o 35' 00""")</f>
        <v>29o 35' 00"</v>
      </c>
      <c r="J726" s="2" t="str">
        <f>IFERROR(__xludf.DUMMYFUNCTION("""COMPUTED_VALUE"""),"29o 39' 00""")</f>
        <v>29o 39' 00"</v>
      </c>
      <c r="K726" s="2" t="str">
        <f>IFERROR(__xludf.DUMMYFUNCTION("""COMPUTED_VALUE"""),"82o 25' 00""")</f>
        <v>82o 25' 00"</v>
      </c>
      <c r="L726" s="2" t="str">
        <f>IFERROR(__xludf.DUMMYFUNCTION("""COMPUTED_VALUE"""),"82o 30' 00""")</f>
        <v>82o 30' 00"</v>
      </c>
      <c r="M726" s="2"/>
    </row>
    <row r="727">
      <c r="A727" s="2">
        <f>IFERROR(__xludf.DUMMYFUNCTION("""COMPUTED_VALUE"""),726.0)</f>
        <v>726</v>
      </c>
      <c r="B727" s="2" t="str">
        <f>IFERROR(__xludf.DUMMYFUNCTION("""COMPUTED_VALUE"""),"chuwa khola")</f>
        <v>chuwa khola</v>
      </c>
      <c r="C727" s="2">
        <f>IFERROR(__xludf.DUMMYFUNCTION("""COMPUTED_VALUE"""),15.0)</f>
        <v>15</v>
      </c>
      <c r="D727" s="2" t="str">
        <f>IFERROR(__xludf.DUMMYFUNCTION("""COMPUTED_VALUE"""),"Chuwa Khola")</f>
        <v>Chuwa Khola</v>
      </c>
      <c r="E727" s="2">
        <f>IFERROR(__xludf.DUMMYFUNCTION("""COMPUTED_VALUE"""),1376.0)</f>
        <v>1376</v>
      </c>
      <c r="F727" s="3">
        <f>IFERROR(__xludf.DUMMYFUNCTION("""COMPUTED_VALUE"""),60454.0)</f>
        <v>60454</v>
      </c>
      <c r="G727" s="2" t="str">
        <f>IFERROR(__xludf.DUMMYFUNCTION("""COMPUTED_VALUE"""),"Namja Power P. Ltd.")</f>
        <v>Namja Power P. Ltd.</v>
      </c>
      <c r="H727" s="2"/>
      <c r="I727" s="2" t="str">
        <f>IFERROR(__xludf.DUMMYFUNCTION("""COMPUTED_VALUE"""),"29o 55' 00""")</f>
        <v>29o 55' 00"</v>
      </c>
      <c r="J727" s="2" t="str">
        <f>IFERROR(__xludf.DUMMYFUNCTION("""COMPUTED_VALUE"""),"29o 59' 00""")</f>
        <v>29o 59' 00"</v>
      </c>
      <c r="K727" s="2" t="str">
        <f>IFERROR(__xludf.DUMMYFUNCTION("""COMPUTED_VALUE"""),"81o 51' 00""")</f>
        <v>81o 51' 00"</v>
      </c>
      <c r="L727" s="2" t="str">
        <f>IFERROR(__xludf.DUMMYFUNCTION("""COMPUTED_VALUE"""),"81o 57' 00""")</f>
        <v>81o 57' 00"</v>
      </c>
      <c r="M727" s="2"/>
    </row>
    <row r="728">
      <c r="A728" s="2">
        <f>IFERROR(__xludf.DUMMYFUNCTION("""COMPUTED_VALUE"""),727.0)</f>
        <v>727</v>
      </c>
      <c r="B728" s="2" t="str">
        <f>IFERROR(__xludf.DUMMYFUNCTION("""COMPUTED_VALUE"""),"Middle Likhu")</f>
        <v>Middle Likhu</v>
      </c>
      <c r="C728" s="2">
        <f>IFERROR(__xludf.DUMMYFUNCTION("""COMPUTED_VALUE"""),7.0)</f>
        <v>7</v>
      </c>
      <c r="D728" s="2"/>
      <c r="E728" s="2">
        <f>IFERROR(__xludf.DUMMYFUNCTION("""COMPUTED_VALUE"""),1377.0)</f>
        <v>1377</v>
      </c>
      <c r="F728" s="3">
        <f>IFERROR(__xludf.DUMMYFUNCTION("""COMPUTED_VALUE"""),60454.0)</f>
        <v>60454</v>
      </c>
      <c r="G728" s="2" t="str">
        <f>IFERROR(__xludf.DUMMYFUNCTION("""COMPUTED_VALUE"""),"Coastal Power P. Ltd.")</f>
        <v>Coastal Power P. Ltd.</v>
      </c>
      <c r="H728" s="2" t="str">
        <f>IFERROR(__xludf.DUMMYFUNCTION("""COMPUTED_VALUE"""),"Kathmandu-13")</f>
        <v>Kathmandu-13</v>
      </c>
      <c r="I728" s="2" t="str">
        <f>IFERROR(__xludf.DUMMYFUNCTION("""COMPUTED_VALUE"""),"27o 24' 30""")</f>
        <v>27o 24' 30"</v>
      </c>
      <c r="J728" s="2" t="str">
        <f>IFERROR(__xludf.DUMMYFUNCTION("""COMPUTED_VALUE"""),"27o 27' 30""")</f>
        <v>27o 27' 30"</v>
      </c>
      <c r="K728" s="2" t="str">
        <f>IFERROR(__xludf.DUMMYFUNCTION("""COMPUTED_VALUE"""),"86o 14' 30""")</f>
        <v>86o 14' 30"</v>
      </c>
      <c r="L728" s="2" t="str">
        <f>IFERROR(__xludf.DUMMYFUNCTION("""COMPUTED_VALUE"""),"86o 17' 00""")</f>
        <v>86o 17' 00"</v>
      </c>
      <c r="M728" s="2"/>
    </row>
    <row r="729">
      <c r="A729" s="2">
        <f>IFERROR(__xludf.DUMMYFUNCTION("""COMPUTED_VALUE"""),728.0)</f>
        <v>728</v>
      </c>
      <c r="B729" s="2" t="str">
        <f>IFERROR(__xludf.DUMMYFUNCTION("""COMPUTED_VALUE"""),"Manahari Khola SHP")</f>
        <v>Manahari Khola SHP</v>
      </c>
      <c r="C729" s="2">
        <f>IFERROR(__xludf.DUMMYFUNCTION("""COMPUTED_VALUE"""),0.98)</f>
        <v>0.98</v>
      </c>
      <c r="D729" s="2" t="str">
        <f>IFERROR(__xludf.DUMMYFUNCTION("""COMPUTED_VALUE"""),"Manahari")</f>
        <v>Manahari</v>
      </c>
      <c r="E729" s="2">
        <f>IFERROR(__xludf.DUMMYFUNCTION("""COMPUTED_VALUE"""),1384.0)</f>
        <v>1384</v>
      </c>
      <c r="F729" s="3">
        <f>IFERROR(__xludf.DUMMYFUNCTION("""COMPUTED_VALUE"""),60455.0)</f>
        <v>60455</v>
      </c>
      <c r="G729" s="2" t="str">
        <f>IFERROR(__xludf.DUMMYFUNCTION("""COMPUTED_VALUE"""),"Bidhya Devi Agrawal")</f>
        <v>Bidhya Devi Agrawal</v>
      </c>
      <c r="H729" s="2"/>
      <c r="I729" s="2" t="str">
        <f>IFERROR(__xludf.DUMMYFUNCTION("""COMPUTED_VALUE"""),"27o 32' 46""")</f>
        <v>27o 32' 46"</v>
      </c>
      <c r="J729" s="2" t="str">
        <f>IFERROR(__xludf.DUMMYFUNCTION("""COMPUTED_VALUE"""),"27o 33' 45""")</f>
        <v>27o 33' 45"</v>
      </c>
      <c r="K729" s="2" t="str">
        <f>IFERROR(__xludf.DUMMYFUNCTION("""COMPUTED_VALUE"""),"85o 00' 00""")</f>
        <v>85o 00' 00"</v>
      </c>
      <c r="L729" s="2" t="str">
        <f>IFERROR(__xludf.DUMMYFUNCTION("""COMPUTED_VALUE"""),"85o 01' 28""")</f>
        <v>85o 01' 28"</v>
      </c>
      <c r="M729" s="2" t="str">
        <f>IFERROR(__xludf.DUMMYFUNCTION("""COMPUTED_VALUE"""),"Namtar (Makawanpur)")</f>
        <v>Namtar (Makawanpur)</v>
      </c>
    </row>
    <row r="730">
      <c r="A730" s="2">
        <f>IFERROR(__xludf.DUMMYFUNCTION("""COMPUTED_VALUE"""),729.0)</f>
        <v>729</v>
      </c>
      <c r="B730" s="2" t="str">
        <f>IFERROR(__xludf.DUMMYFUNCTION("""COMPUTED_VALUE"""),"Chuwa khola")</f>
        <v>Chuwa khola</v>
      </c>
      <c r="C730" s="2">
        <f>IFERROR(__xludf.DUMMYFUNCTION("""COMPUTED_VALUE"""),51.0)</f>
        <v>51</v>
      </c>
      <c r="D730" s="2" t="str">
        <f>IFERROR(__xludf.DUMMYFUNCTION("""COMPUTED_VALUE"""),"Chuwa Khola")</f>
        <v>Chuwa Khola</v>
      </c>
      <c r="E730" s="2">
        <f>IFERROR(__xludf.DUMMYFUNCTION("""COMPUTED_VALUE"""),1401.0)</f>
        <v>1401</v>
      </c>
      <c r="F730" s="3">
        <f>IFERROR(__xludf.DUMMYFUNCTION("""COMPUTED_VALUE"""),60456.0)</f>
        <v>60456</v>
      </c>
      <c r="G730" s="2" t="str">
        <f>IFERROR(__xludf.DUMMYFUNCTION("""COMPUTED_VALUE"""),"Tek Bahadur Gurung")</f>
        <v>Tek Bahadur Gurung</v>
      </c>
      <c r="H730" s="2"/>
      <c r="I730" s="2" t="str">
        <f>IFERROR(__xludf.DUMMYFUNCTION("""COMPUTED_VALUE"""),"29o 56' 15""")</f>
        <v>29o 56' 15"</v>
      </c>
      <c r="J730" s="2" t="str">
        <f>IFERROR(__xludf.DUMMYFUNCTION("""COMPUTED_VALUE"""),"29o 59' 00""")</f>
        <v>29o 59' 00"</v>
      </c>
      <c r="K730" s="2" t="str">
        <f>IFERROR(__xludf.DUMMYFUNCTION("""COMPUTED_VALUE"""),"81o 51' 27""")</f>
        <v>81o 51' 27"</v>
      </c>
      <c r="L730" s="2" t="str">
        <f>IFERROR(__xludf.DUMMYFUNCTION("""COMPUTED_VALUE"""),"81o 59' 00""")</f>
        <v>81o 59' 00"</v>
      </c>
      <c r="M730" s="2"/>
    </row>
    <row r="731">
      <c r="A731" s="2">
        <f>IFERROR(__xludf.DUMMYFUNCTION("""COMPUTED_VALUE"""),730.0)</f>
        <v>730</v>
      </c>
      <c r="B731" s="2" t="str">
        <f>IFERROR(__xludf.DUMMYFUNCTION("""COMPUTED_VALUE"""),"Thabang Khola SHP")</f>
        <v>Thabang Khola SHP</v>
      </c>
      <c r="C731" s="2">
        <f>IFERROR(__xludf.DUMMYFUNCTION("""COMPUTED_VALUE"""),1.0)</f>
        <v>1</v>
      </c>
      <c r="D731" s="2" t="str">
        <f>IFERROR(__xludf.DUMMYFUNCTION("""COMPUTED_VALUE"""),"Thabang")</f>
        <v>Thabang</v>
      </c>
      <c r="E731" s="2">
        <f>IFERROR(__xludf.DUMMYFUNCTION("""COMPUTED_VALUE"""),1389.0)</f>
        <v>1389</v>
      </c>
      <c r="F731" s="3">
        <f>IFERROR(__xludf.DUMMYFUNCTION("""COMPUTED_VALUE"""),60457.0)</f>
        <v>60457</v>
      </c>
      <c r="G731" s="2" t="str">
        <f>IFERROR(__xludf.DUMMYFUNCTION("""COMPUTED_VALUE"""),"Harka Bdr. Roka")</f>
        <v>Harka Bdr. Roka</v>
      </c>
      <c r="H731" s="2" t="str">
        <f>IFERROR(__xludf.DUMMYFUNCTION("""COMPUTED_VALUE"""),"Tel: 9841396470")</f>
        <v>Tel: 9841396470</v>
      </c>
      <c r="I731" s="2" t="str">
        <f>IFERROR(__xludf.DUMMYFUNCTION("""COMPUTED_VALUE"""),"00o 00' 00""")</f>
        <v>00o 00' 00"</v>
      </c>
      <c r="J731" s="2" t="str">
        <f>IFERROR(__xludf.DUMMYFUNCTION("""COMPUTED_VALUE"""),"00o 00' 00""")</f>
        <v>00o 00' 00"</v>
      </c>
      <c r="K731" s="2" t="str">
        <f>IFERROR(__xludf.DUMMYFUNCTION("""COMPUTED_VALUE"""),"00o 00' 00""")</f>
        <v>00o 00' 00"</v>
      </c>
      <c r="L731" s="2" t="str">
        <f>IFERROR(__xludf.DUMMYFUNCTION("""COMPUTED_VALUE"""),"00o 00' 00""")</f>
        <v>00o 00' 00"</v>
      </c>
      <c r="M731" s="2" t="str">
        <f>IFERROR(__xludf.DUMMYFUNCTION("""COMPUTED_VALUE"""),"Mahat (Rukum)")</f>
        <v>Mahat (Rukum)</v>
      </c>
    </row>
    <row r="732">
      <c r="A732" s="2">
        <f>IFERROR(__xludf.DUMMYFUNCTION("""COMPUTED_VALUE"""),731.0)</f>
        <v>731</v>
      </c>
      <c r="B732" s="2" t="str">
        <f>IFERROR(__xludf.DUMMYFUNCTION("""COMPUTED_VALUE"""),"Idi Khola SHP")</f>
        <v>Idi Khola SHP</v>
      </c>
      <c r="C732" s="2">
        <f>IFERROR(__xludf.DUMMYFUNCTION("""COMPUTED_VALUE"""),1.0)</f>
        <v>1</v>
      </c>
      <c r="D732" s="2" t="str">
        <f>IFERROR(__xludf.DUMMYFUNCTION("""COMPUTED_VALUE"""),"Idi Khola")</f>
        <v>Idi Khola</v>
      </c>
      <c r="E732" s="2">
        <f>IFERROR(__xludf.DUMMYFUNCTION("""COMPUTED_VALUE"""),1421.0)</f>
        <v>1421</v>
      </c>
      <c r="F732" s="3">
        <f>IFERROR(__xludf.DUMMYFUNCTION("""COMPUTED_VALUE"""),60459.0)</f>
        <v>60459</v>
      </c>
      <c r="G732" s="2" t="str">
        <f>IFERROR(__xludf.DUMMYFUNCTION("""COMPUTED_VALUE"""),"Rajeshwor Acharya")</f>
        <v>Rajeshwor Acharya</v>
      </c>
      <c r="H732" s="2"/>
      <c r="I732" s="2" t="str">
        <f>IFERROR(__xludf.DUMMYFUNCTION("""COMPUTED_VALUE"""),"28o 13' 03""")</f>
        <v>28o 13' 03"</v>
      </c>
      <c r="J732" s="2" t="str">
        <f>IFERROR(__xludf.DUMMYFUNCTION("""COMPUTED_VALUE"""),"28o 14' 50""")</f>
        <v>28o 14' 50"</v>
      </c>
      <c r="K732" s="2" t="str">
        <f>IFERROR(__xludf.DUMMYFUNCTION("""COMPUTED_VALUE"""),"84o 06' 04""")</f>
        <v>84o 06' 04"</v>
      </c>
      <c r="L732" s="2" t="str">
        <f>IFERROR(__xludf.DUMMYFUNCTION("""COMPUTED_VALUE"""),"84o 06' 50""")</f>
        <v>84o 06' 50"</v>
      </c>
      <c r="M732" s="2" t="str">
        <f>IFERROR(__xludf.DUMMYFUNCTION("""COMPUTED_VALUE"""),"Saimrang (Kaski)")</f>
        <v>Saimrang (Kaski)</v>
      </c>
    </row>
    <row r="733">
      <c r="A733" s="2">
        <f>IFERROR(__xludf.DUMMYFUNCTION("""COMPUTED_VALUE"""),732.0)</f>
        <v>732</v>
      </c>
      <c r="B733" s="2" t="str">
        <f>IFERROR(__xludf.DUMMYFUNCTION("""COMPUTED_VALUE"""),"Nupche Likhu")</f>
        <v>Nupche Likhu</v>
      </c>
      <c r="C733" s="2">
        <f>IFERROR(__xludf.DUMMYFUNCTION("""COMPUTED_VALUE"""),20.0)</f>
        <v>20</v>
      </c>
      <c r="D733" s="2"/>
      <c r="E733" s="2">
        <f>IFERROR(__xludf.DUMMYFUNCTION("""COMPUTED_VALUE"""),1425.0)</f>
        <v>1425</v>
      </c>
      <c r="F733" s="3">
        <f>IFERROR(__xludf.DUMMYFUNCTION("""COMPUTED_VALUE"""),60459.0)</f>
        <v>60459</v>
      </c>
      <c r="G733" s="2" t="str">
        <f>IFERROR(__xludf.DUMMYFUNCTION("""COMPUTED_VALUE"""),"Durga Devi Khatri")</f>
        <v>Durga Devi Khatri</v>
      </c>
      <c r="H733" s="2" t="str">
        <f>IFERROR(__xludf.DUMMYFUNCTION("""COMPUTED_VALUE"""),"Bamti Bhandar-3, Ramechhap")</f>
        <v>Bamti Bhandar-3, Ramechhap</v>
      </c>
      <c r="I733" s="2" t="str">
        <f>IFERROR(__xludf.DUMMYFUNCTION("""COMPUTED_VALUE"""),"27o 41' 02""")</f>
        <v>27o 41' 02"</v>
      </c>
      <c r="J733" s="2" t="str">
        <f>IFERROR(__xludf.DUMMYFUNCTION("""COMPUTED_VALUE"""),"27o 43' 47""")</f>
        <v>27o 43' 47"</v>
      </c>
      <c r="K733" s="2" t="str">
        <f>IFERROR(__xludf.DUMMYFUNCTION("""COMPUTED_VALUE"""),"86o 26' 31""")</f>
        <v>86o 26' 31"</v>
      </c>
      <c r="L733" s="2" t="str">
        <f>IFERROR(__xludf.DUMMYFUNCTION("""COMPUTED_VALUE"""),"86o 30' 00""")</f>
        <v>86o 30' 00"</v>
      </c>
      <c r="M733" s="2"/>
    </row>
    <row r="734">
      <c r="A734" s="2">
        <f>IFERROR(__xludf.DUMMYFUNCTION("""COMPUTED_VALUE"""),733.0)</f>
        <v>733</v>
      </c>
      <c r="B734" s="2" t="str">
        <f>IFERROR(__xludf.DUMMYFUNCTION("""COMPUTED_VALUE"""),"Bhaise Khola SHP")</f>
        <v>Bhaise Khola SHP</v>
      </c>
      <c r="C734" s="2">
        <f>IFERROR(__xludf.DUMMYFUNCTION("""COMPUTED_VALUE"""),0.976)</f>
        <v>0.976</v>
      </c>
      <c r="D734" s="2" t="str">
        <f>IFERROR(__xludf.DUMMYFUNCTION("""COMPUTED_VALUE"""),"Bhaise Khola")</f>
        <v>Bhaise Khola</v>
      </c>
      <c r="E734" s="2">
        <f>IFERROR(__xludf.DUMMYFUNCTION("""COMPUTED_VALUE"""),1431.0)</f>
        <v>1431</v>
      </c>
      <c r="F734" s="3">
        <f>IFERROR(__xludf.DUMMYFUNCTION("""COMPUTED_VALUE"""),60465.0)</f>
        <v>60465</v>
      </c>
      <c r="G734" s="2" t="str">
        <f>IFERROR(__xludf.DUMMYFUNCTION("""COMPUTED_VALUE"""),"Anu Niraula &amp; Ghalendra Basnet")</f>
        <v>Anu Niraula &amp; Ghalendra Basnet</v>
      </c>
      <c r="H734" s="2"/>
      <c r="I734" s="2" t="str">
        <f>IFERROR(__xludf.DUMMYFUNCTION("""COMPUTED_VALUE"""),"27o 53' 28""")</f>
        <v>27o 53' 28"</v>
      </c>
      <c r="J734" s="2" t="str">
        <f>IFERROR(__xludf.DUMMYFUNCTION("""COMPUTED_VALUE"""),"27o 55' 00""")</f>
        <v>27o 55' 00"</v>
      </c>
      <c r="K734" s="2" t="str">
        <f>IFERROR(__xludf.DUMMYFUNCTION("""COMPUTED_VALUE"""),"86o 07' 28""")</f>
        <v>86o 07' 28"</v>
      </c>
      <c r="L734" s="2" t="str">
        <f>IFERROR(__xludf.DUMMYFUNCTION("""COMPUTED_VALUE"""),"86o 09' 22""")</f>
        <v>86o 09' 22"</v>
      </c>
      <c r="M734" s="2" t="str">
        <f>IFERROR(__xludf.DUMMYFUNCTION("""COMPUTED_VALUE"""),"Lamabagar (Dolakha)")</f>
        <v>Lamabagar (Dolakha)</v>
      </c>
    </row>
    <row r="735">
      <c r="A735" s="2">
        <f>IFERROR(__xludf.DUMMYFUNCTION("""COMPUTED_VALUE"""),734.0)</f>
        <v>734</v>
      </c>
      <c r="B735" s="2" t="str">
        <f>IFERROR(__xludf.DUMMYFUNCTION("""COMPUTED_VALUE"""),"Tamor-Amarpur")</f>
        <v>Tamor-Amarpur</v>
      </c>
      <c r="C735" s="2">
        <f>IFERROR(__xludf.DUMMYFUNCTION("""COMPUTED_VALUE"""),30.0)</f>
        <v>30</v>
      </c>
      <c r="D735" s="2"/>
      <c r="E735" s="2">
        <f>IFERROR(__xludf.DUMMYFUNCTION("""COMPUTED_VALUE"""),1436.0)</f>
        <v>1436</v>
      </c>
      <c r="F735" s="3">
        <f>IFERROR(__xludf.DUMMYFUNCTION("""COMPUTED_VALUE"""),60465.0)</f>
        <v>60465</v>
      </c>
      <c r="G735" s="2" t="str">
        <f>IFERROR(__xludf.DUMMYFUNCTION("""COMPUTED_VALUE"""),"Faktalung Hydropower Company P. Ltd.")</f>
        <v>Faktalung Hydropower Company P. Ltd.</v>
      </c>
      <c r="H735" s="2"/>
      <c r="I735" s="2" t="str">
        <f>IFERROR(__xludf.DUMMYFUNCTION("""COMPUTED_VALUE"""),"27o 15' 00""")</f>
        <v>27o 15' 00"</v>
      </c>
      <c r="J735" s="2" t="str">
        <f>IFERROR(__xludf.DUMMYFUNCTION("""COMPUTED_VALUE"""),"27o 17' 42""")</f>
        <v>27o 17' 42"</v>
      </c>
      <c r="K735" s="2" t="str">
        <f>IFERROR(__xludf.DUMMYFUNCTION("""COMPUTED_VALUE"""),"87o 40' 00""")</f>
        <v>87o 40' 00"</v>
      </c>
      <c r="L735" s="2" t="str">
        <f>IFERROR(__xludf.DUMMYFUNCTION("""COMPUTED_VALUE"""),"87o 42' 25""")</f>
        <v>87o 42' 25"</v>
      </c>
      <c r="M735" s="2" t="str">
        <f>IFERROR(__xludf.DUMMYFUNCTION("""COMPUTED_VALUE"""),"Ambarpur (Panchthar)")</f>
        <v>Ambarpur (Panchthar)</v>
      </c>
    </row>
    <row r="736">
      <c r="A736" s="2">
        <f>IFERROR(__xludf.DUMMYFUNCTION("""COMPUTED_VALUE"""),735.0)</f>
        <v>735</v>
      </c>
      <c r="B736" s="2" t="str">
        <f>IFERROR(__xludf.DUMMYFUNCTION("""COMPUTED_VALUE"""),"Upper Pikhuwa Khola SHP")</f>
        <v>Upper Pikhuwa Khola SHP</v>
      </c>
      <c r="C736" s="2">
        <f>IFERROR(__xludf.DUMMYFUNCTION("""COMPUTED_VALUE"""),1.0)</f>
        <v>1</v>
      </c>
      <c r="D736" s="2" t="str">
        <f>IFERROR(__xludf.DUMMYFUNCTION("""COMPUTED_VALUE"""),"Pikhuwa")</f>
        <v>Pikhuwa</v>
      </c>
      <c r="E736" s="2">
        <f>IFERROR(__xludf.DUMMYFUNCTION("""COMPUTED_VALUE"""),1455.0)</f>
        <v>1455</v>
      </c>
      <c r="F736" s="3">
        <f>IFERROR(__xludf.DUMMYFUNCTION("""COMPUTED_VALUE"""),60468.0)</f>
        <v>60468</v>
      </c>
      <c r="G736" s="2" t="str">
        <f>IFERROR(__xludf.DUMMYFUNCTION("""COMPUTED_VALUE"""),"Bishnu Kumar Rai")</f>
        <v>Bishnu Kumar Rai</v>
      </c>
      <c r="H736" s="2" t="str">
        <f>IFERROR(__xludf.DUMMYFUNCTION("""COMPUTED_VALUE"""),"Tel: 9852050099")</f>
        <v>Tel: 9852050099</v>
      </c>
      <c r="I736" s="2" t="str">
        <f>IFERROR(__xludf.DUMMYFUNCTION("""COMPUTED_VALUE"""),"27o 13' 35""")</f>
        <v>27o 13' 35"</v>
      </c>
      <c r="J736" s="2" t="str">
        <f>IFERROR(__xludf.DUMMYFUNCTION("""COMPUTED_VALUE"""),"27o 16' 49""")</f>
        <v>27o 16' 49"</v>
      </c>
      <c r="K736" s="2" t="str">
        <f>IFERROR(__xludf.DUMMYFUNCTION("""COMPUTED_VALUE"""),"86o 57' 26""")</f>
        <v>86o 57' 26"</v>
      </c>
      <c r="L736" s="2" t="str">
        <f>IFERROR(__xludf.DUMMYFUNCTION("""COMPUTED_VALUE"""),"87o 00' 00""")</f>
        <v>87o 00' 00"</v>
      </c>
      <c r="M736" s="2" t="str">
        <f>IFERROR(__xludf.DUMMYFUNCTION("""COMPUTED_VALUE"""),"Gupteshwor (Bhojpur)")</f>
        <v>Gupteshwor (Bhojpur)</v>
      </c>
    </row>
    <row r="737">
      <c r="A737" s="2">
        <f>IFERROR(__xludf.DUMMYFUNCTION("""COMPUTED_VALUE"""),736.0)</f>
        <v>736</v>
      </c>
      <c r="B737" s="2" t="str">
        <f>IFERROR(__xludf.DUMMYFUNCTION("""COMPUTED_VALUE"""),"Upper Rawa Khola SHP")</f>
        <v>Upper Rawa Khola SHP</v>
      </c>
      <c r="C737" s="2">
        <f>IFERROR(__xludf.DUMMYFUNCTION("""COMPUTED_VALUE"""),1.0)</f>
        <v>1</v>
      </c>
      <c r="D737" s="2" t="str">
        <f>IFERROR(__xludf.DUMMYFUNCTION("""COMPUTED_VALUE"""),"Rawa Khola")</f>
        <v>Rawa Khola</v>
      </c>
      <c r="E737" s="2">
        <f>IFERROR(__xludf.DUMMYFUNCTION("""COMPUTED_VALUE"""),1476.0)</f>
        <v>1476</v>
      </c>
      <c r="F737" s="3">
        <f>IFERROR(__xludf.DUMMYFUNCTION("""COMPUTED_VALUE"""),60468.0)</f>
        <v>60468</v>
      </c>
      <c r="G737" s="2" t="str">
        <f>IFERROR(__xludf.DUMMYFUNCTION("""COMPUTED_VALUE"""),"Tanka Prasad Panta")</f>
        <v>Tanka Prasad Panta</v>
      </c>
      <c r="H737" s="2" t="str">
        <f>IFERROR(__xludf.DUMMYFUNCTION("""COMPUTED_VALUE"""),"Tel: 9851060186")</f>
        <v>Tel: 9851060186</v>
      </c>
      <c r="I737" s="2" t="str">
        <f>IFERROR(__xludf.DUMMYFUNCTION("""COMPUTED_VALUE"""),"00o 00' 00""")</f>
        <v>00o 00' 00"</v>
      </c>
      <c r="J737" s="2" t="str">
        <f>IFERROR(__xludf.DUMMYFUNCTION("""COMPUTED_VALUE"""),"00o 00' 00""")</f>
        <v>00o 00' 00"</v>
      </c>
      <c r="K737" s="2" t="str">
        <f>IFERROR(__xludf.DUMMYFUNCTION("""COMPUTED_VALUE"""),"00o 00' 00""")</f>
        <v>00o 00' 00"</v>
      </c>
      <c r="L737" s="2" t="str">
        <f>IFERROR(__xludf.DUMMYFUNCTION("""COMPUTED_VALUE"""),"00o 00' 00""")</f>
        <v>00o 00' 00"</v>
      </c>
      <c r="M737" s="2"/>
    </row>
    <row r="738">
      <c r="A738" s="2">
        <f>IFERROR(__xludf.DUMMYFUNCTION("""COMPUTED_VALUE"""),737.0)</f>
        <v>737</v>
      </c>
      <c r="B738" s="2" t="str">
        <f>IFERROR(__xludf.DUMMYFUNCTION("""COMPUTED_VALUE"""),"Sapsu Khola")</f>
        <v>Sapsu Khola</v>
      </c>
      <c r="C738" s="2">
        <f>IFERROR(__xludf.DUMMYFUNCTION("""COMPUTED_VALUE"""),1.0)</f>
        <v>1</v>
      </c>
      <c r="D738" s="2" t="str">
        <f>IFERROR(__xludf.DUMMYFUNCTION("""COMPUTED_VALUE"""),"Sapsu")</f>
        <v>Sapsu</v>
      </c>
      <c r="E738" s="2">
        <f>IFERROR(__xludf.DUMMYFUNCTION("""COMPUTED_VALUE"""),1476.0)</f>
        <v>1476</v>
      </c>
      <c r="F738" s="3">
        <f>IFERROR(__xludf.DUMMYFUNCTION("""COMPUTED_VALUE"""),60468.0)</f>
        <v>60468</v>
      </c>
      <c r="G738" s="2" t="str">
        <f>IFERROR(__xludf.DUMMYFUNCTION("""COMPUTED_VALUE"""),"Bishnu Kumar Rai")</f>
        <v>Bishnu Kumar Rai</v>
      </c>
      <c r="H738" s="2" t="str">
        <f>IFERROR(__xludf.DUMMYFUNCTION("""COMPUTED_VALUE"""),"Tel: 9852050099")</f>
        <v>Tel: 9852050099</v>
      </c>
      <c r="I738" s="2" t="str">
        <f>IFERROR(__xludf.DUMMYFUNCTION("""COMPUTED_VALUE"""),"00o 00' 00""")</f>
        <v>00o 00' 00"</v>
      </c>
      <c r="J738" s="2" t="str">
        <f>IFERROR(__xludf.DUMMYFUNCTION("""COMPUTED_VALUE"""),"00o 00' 00""")</f>
        <v>00o 00' 00"</v>
      </c>
      <c r="K738" s="2" t="str">
        <f>IFERROR(__xludf.DUMMYFUNCTION("""COMPUTED_VALUE"""),"00o 00' 00""")</f>
        <v>00o 00' 00"</v>
      </c>
      <c r="L738" s="2" t="str">
        <f>IFERROR(__xludf.DUMMYFUNCTION("""COMPUTED_VALUE"""),"00o 00' 00""")</f>
        <v>00o 00' 00"</v>
      </c>
      <c r="M738" s="2"/>
    </row>
    <row r="739">
      <c r="A739" s="2">
        <f>IFERROR(__xludf.DUMMYFUNCTION("""COMPUTED_VALUE"""),738.0)</f>
        <v>738</v>
      </c>
      <c r="B739" s="2" t="str">
        <f>IFERROR(__xludf.DUMMYFUNCTION("""COMPUTED_VALUE"""),"Humal Karnali")</f>
        <v>Humal Karnali</v>
      </c>
      <c r="C739" s="2">
        <f>IFERROR(__xludf.DUMMYFUNCTION("""COMPUTED_VALUE"""),5.0)</f>
        <v>5</v>
      </c>
      <c r="D739" s="2"/>
      <c r="E739" s="2">
        <f>IFERROR(__xludf.DUMMYFUNCTION("""COMPUTED_VALUE"""),1488.0)</f>
        <v>1488</v>
      </c>
      <c r="F739" s="3">
        <f>IFERROR(__xludf.DUMMYFUNCTION("""COMPUTED_VALUE"""),60469.0)</f>
        <v>60469</v>
      </c>
      <c r="G739" s="2" t="str">
        <f>IFERROR(__xludf.DUMMYFUNCTION("""COMPUTED_VALUE"""),"Century Hydropower Company")</f>
        <v>Century Hydropower Company</v>
      </c>
      <c r="H739" s="2"/>
      <c r="I739" s="2" t="str">
        <f>IFERROR(__xludf.DUMMYFUNCTION("""COMPUTED_VALUE"""),"29o 56' 53""")</f>
        <v>29o 56' 53"</v>
      </c>
      <c r="J739" s="2" t="str">
        <f>IFERROR(__xludf.DUMMYFUNCTION("""COMPUTED_VALUE"""),"30o 00' 00""")</f>
        <v>30o 00' 00"</v>
      </c>
      <c r="K739" s="2" t="str">
        <f>IFERROR(__xludf.DUMMYFUNCTION("""COMPUTED_VALUE"""),"81o 46' 09""")</f>
        <v>81o 46' 09"</v>
      </c>
      <c r="L739" s="2" t="str">
        <f>IFERROR(__xludf.DUMMYFUNCTION("""COMPUTED_VALUE"""),"81o 49' 47""")</f>
        <v>81o 49' 47"</v>
      </c>
      <c r="M739" s="2"/>
    </row>
    <row r="740">
      <c r="A740" s="2">
        <f>IFERROR(__xludf.DUMMYFUNCTION("""COMPUTED_VALUE"""),739.0)</f>
        <v>739</v>
      </c>
      <c r="B740" s="2" t="str">
        <f>IFERROR(__xludf.DUMMYFUNCTION("""COMPUTED_VALUE"""),"Rauje Khola")</f>
        <v>Rauje Khola</v>
      </c>
      <c r="C740" s="2">
        <f>IFERROR(__xludf.DUMMYFUNCTION("""COMPUTED_VALUE"""),3.0)</f>
        <v>3</v>
      </c>
      <c r="D740" s="2"/>
      <c r="E740" s="2">
        <f>IFERROR(__xludf.DUMMYFUNCTION("""COMPUTED_VALUE"""),1508.0)</f>
        <v>1508</v>
      </c>
      <c r="F740" s="3">
        <f>IFERROR(__xludf.DUMMYFUNCTION("""COMPUTED_VALUE"""),60470.0)</f>
        <v>60470</v>
      </c>
      <c r="G740" s="2" t="str">
        <f>IFERROR(__xludf.DUMMYFUNCTION("""COMPUTED_VALUE"""),"Cemat Power Developmnet Company")</f>
        <v>Cemat Power Developmnet Company</v>
      </c>
      <c r="H740" s="2"/>
      <c r="I740" s="2" t="str">
        <f>IFERROR(__xludf.DUMMYFUNCTION("""COMPUTED_VALUE"""),"00o 00' 00""")</f>
        <v>00o 00' 00"</v>
      </c>
      <c r="J740" s="2" t="str">
        <f>IFERROR(__xludf.DUMMYFUNCTION("""COMPUTED_VALUE"""),"00o 00' 00""")</f>
        <v>00o 00' 00"</v>
      </c>
      <c r="K740" s="2" t="str">
        <f>IFERROR(__xludf.DUMMYFUNCTION("""COMPUTED_VALUE"""),"00o 00' 00""")</f>
        <v>00o 00' 00"</v>
      </c>
      <c r="L740" s="2" t="str">
        <f>IFERROR(__xludf.DUMMYFUNCTION("""COMPUTED_VALUE"""),"00o 00' 00""")</f>
        <v>00o 00' 00"</v>
      </c>
      <c r="M740" s="2" t="str">
        <f>IFERROR(__xludf.DUMMYFUNCTION("""COMPUTED_VALUE"""),"Takasindu,Chaurikharka,Jubing (Solukhumbu)")</f>
        <v>Takasindu,Chaurikharka,Jubing (Solukhumbu)</v>
      </c>
    </row>
    <row r="741">
      <c r="A741" s="2">
        <f>IFERROR(__xludf.DUMMYFUNCTION("""COMPUTED_VALUE"""),740.0)</f>
        <v>740</v>
      </c>
      <c r="B741" s="2" t="str">
        <f>IFERROR(__xludf.DUMMYFUNCTION("""COMPUTED_VALUE"""),"Timbu Khola SHP")</f>
        <v>Timbu Khola SHP</v>
      </c>
      <c r="C741" s="2">
        <f>IFERROR(__xludf.DUMMYFUNCTION("""COMPUTED_VALUE"""),0.7)</f>
        <v>0.7</v>
      </c>
      <c r="D741" s="2" t="str">
        <f>IFERROR(__xludf.DUMMYFUNCTION("""COMPUTED_VALUE"""),"Timbu")</f>
        <v>Timbu</v>
      </c>
      <c r="E741" s="2">
        <f>IFERROR(__xludf.DUMMYFUNCTION("""COMPUTED_VALUE"""),1517.0)</f>
        <v>1517</v>
      </c>
      <c r="F741" s="3">
        <f>IFERROR(__xludf.DUMMYFUNCTION("""COMPUTED_VALUE"""),60470.0)</f>
        <v>60470</v>
      </c>
      <c r="G741" s="2" t="str">
        <f>IFERROR(__xludf.DUMMYFUNCTION("""COMPUTED_VALUE"""),"Danwan Lama")</f>
        <v>Danwan Lama</v>
      </c>
      <c r="H741" s="2" t="str">
        <f>IFERROR(__xludf.DUMMYFUNCTION("""COMPUTED_VALUE"""),"Helambu-4, Sindhupalchowk")</f>
        <v>Helambu-4, Sindhupalchowk</v>
      </c>
      <c r="I741" s="2" t="str">
        <f>IFERROR(__xludf.DUMMYFUNCTION("""COMPUTED_VALUE"""),"00o 00' 00""")</f>
        <v>00o 00' 00"</v>
      </c>
      <c r="J741" s="2" t="str">
        <f>IFERROR(__xludf.DUMMYFUNCTION("""COMPUTED_VALUE"""),"00o 00' 00""")</f>
        <v>00o 00' 00"</v>
      </c>
      <c r="K741" s="2" t="str">
        <f>IFERROR(__xludf.DUMMYFUNCTION("""COMPUTED_VALUE"""),"00o 00' 00""")</f>
        <v>00o 00' 00"</v>
      </c>
      <c r="L741" s="2" t="str">
        <f>IFERROR(__xludf.DUMMYFUNCTION("""COMPUTED_VALUE"""),"00o 00' 00""")</f>
        <v>00o 00' 00"</v>
      </c>
      <c r="M741" s="2"/>
    </row>
    <row r="742">
      <c r="A742" s="2">
        <f>IFERROR(__xludf.DUMMYFUNCTION("""COMPUTED_VALUE"""),741.0)</f>
        <v>741</v>
      </c>
      <c r="B742" s="2" t="str">
        <f>IFERROR(__xludf.DUMMYFUNCTION("""COMPUTED_VALUE"""),"Super Seti")</f>
        <v>Super Seti</v>
      </c>
      <c r="C742" s="2">
        <f>IFERROR(__xludf.DUMMYFUNCTION("""COMPUTED_VALUE"""),51.0)</f>
        <v>51</v>
      </c>
      <c r="D742" s="2"/>
      <c r="E742" s="2">
        <f>IFERROR(__xludf.DUMMYFUNCTION("""COMPUTED_VALUE"""),1519.0)</f>
        <v>1519</v>
      </c>
      <c r="F742" s="3">
        <f>IFERROR(__xludf.DUMMYFUNCTION("""COMPUTED_VALUE"""),60470.0)</f>
        <v>60470</v>
      </c>
      <c r="G742" s="2" t="str">
        <f>IFERROR(__xludf.DUMMYFUNCTION("""COMPUTED_VALUE"""),"Karma Bahadur Gurung, Power Works Pvt. Ltd.")</f>
        <v>Karma Bahadur Gurung, Power Works Pvt. Ltd.</v>
      </c>
      <c r="H742" s="2" t="str">
        <f>IFERROR(__xludf.DUMMYFUNCTION("""COMPUTED_VALUE"""),"Phone 01-4416277, 9502001234 ( Karma Gurung)")</f>
        <v>Phone 01-4416277, 9502001234 ( Karma Gurung)</v>
      </c>
      <c r="I742" s="2" t="str">
        <f>IFERROR(__xludf.DUMMYFUNCTION("""COMPUTED_VALUE"""),"29o 50' 00""")</f>
        <v>29o 50' 00"</v>
      </c>
      <c r="J742" s="2" t="str">
        <f>IFERROR(__xludf.DUMMYFUNCTION("""COMPUTED_VALUE"""),"29o 52' 40""")</f>
        <v>29o 52' 40"</v>
      </c>
      <c r="K742" s="2" t="str">
        <f>IFERROR(__xludf.DUMMYFUNCTION("""COMPUTED_VALUE"""),"81o 10' 00""")</f>
        <v>81o 10' 00"</v>
      </c>
      <c r="L742" s="2" t="str">
        <f>IFERROR(__xludf.DUMMYFUNCTION("""COMPUTED_VALUE"""),"81o 15' 00""")</f>
        <v>81o 15' 00"</v>
      </c>
      <c r="M742" s="2" t="str">
        <f>IFERROR(__xludf.DUMMYFUNCTION("""COMPUTED_VALUE"""),"Kanda (Bajhang)")</f>
        <v>Kanda (Bajhang)</v>
      </c>
    </row>
    <row r="743">
      <c r="A743" s="2">
        <f>IFERROR(__xludf.DUMMYFUNCTION("""COMPUTED_VALUE"""),742.0)</f>
        <v>742</v>
      </c>
      <c r="B743" s="2" t="str">
        <f>IFERROR(__xludf.DUMMYFUNCTION("""COMPUTED_VALUE"""),"Bagmati - 3")</f>
        <v>Bagmati - 3</v>
      </c>
      <c r="C743" s="2">
        <f>IFERROR(__xludf.DUMMYFUNCTION("""COMPUTED_VALUE"""),8.0)</f>
        <v>8</v>
      </c>
      <c r="D743" s="2"/>
      <c r="E743" s="2">
        <f>IFERROR(__xludf.DUMMYFUNCTION("""COMPUTED_VALUE"""),1525.0)</f>
        <v>1525</v>
      </c>
      <c r="F743" s="3">
        <f>IFERROR(__xludf.DUMMYFUNCTION("""COMPUTED_VALUE"""),60472.0)</f>
        <v>60472</v>
      </c>
      <c r="G743" s="2" t="str">
        <f>IFERROR(__xludf.DUMMYFUNCTION("""COMPUTED_VALUE"""),"Aameli Hydropower Pvt. Ltd.")</f>
        <v>Aameli Hydropower Pvt. Ltd.</v>
      </c>
      <c r="H743" s="2" t="str">
        <f>IFERROR(__xludf.DUMMYFUNCTION("""COMPUTED_VALUE"""),"Imadol - 5 Lalitpur")</f>
        <v>Imadol - 5 Lalitpur</v>
      </c>
      <c r="I743" s="2" t="str">
        <f>IFERROR(__xludf.DUMMYFUNCTION("""COMPUTED_VALUE"""),"27o 27' 20""")</f>
        <v>27o 27' 20"</v>
      </c>
      <c r="J743" s="2" t="str">
        <f>IFERROR(__xludf.DUMMYFUNCTION("""COMPUTED_VALUE"""),"27o 29' 35""")</f>
        <v>27o 29' 35"</v>
      </c>
      <c r="K743" s="2" t="str">
        <f>IFERROR(__xludf.DUMMYFUNCTION("""COMPUTED_VALUE"""),"85o 13' 58""")</f>
        <v>85o 13' 58"</v>
      </c>
      <c r="L743" s="2" t="str">
        <f>IFERROR(__xludf.DUMMYFUNCTION("""COMPUTED_VALUE"""),"85o 15' 55""")</f>
        <v>85o 15' 55"</v>
      </c>
      <c r="M743" s="2" t="str">
        <f>IFERROR(__xludf.DUMMYFUNCTION("""COMPUTED_VALUE"""),"Malta (Lalitpur)")</f>
        <v>Malta (Lalitpur)</v>
      </c>
    </row>
    <row r="744">
      <c r="A744" s="2">
        <f>IFERROR(__xludf.DUMMYFUNCTION("""COMPUTED_VALUE"""),743.0)</f>
        <v>743</v>
      </c>
      <c r="B744" s="2" t="str">
        <f>IFERROR(__xludf.DUMMYFUNCTION("""COMPUTED_VALUE"""),"Jyari Khola")</f>
        <v>Jyari Khola</v>
      </c>
      <c r="C744" s="2">
        <f>IFERROR(__xludf.DUMMYFUNCTION("""COMPUTED_VALUE"""),0.988)</f>
        <v>0.988</v>
      </c>
      <c r="D744" s="2" t="str">
        <f>IFERROR(__xludf.DUMMYFUNCTION("""COMPUTED_VALUE"""),"Jyari")</f>
        <v>Jyari</v>
      </c>
      <c r="E744" s="2">
        <f>IFERROR(__xludf.DUMMYFUNCTION("""COMPUTED_VALUE"""),1538.0)</f>
        <v>1538</v>
      </c>
      <c r="F744" s="3">
        <f>IFERROR(__xludf.DUMMYFUNCTION("""COMPUTED_VALUE"""),60473.0)</f>
        <v>60473</v>
      </c>
      <c r="G744" s="2" t="str">
        <f>IFERROR(__xludf.DUMMYFUNCTION("""COMPUTED_VALUE"""),"Udhav Prasad Nepal")</f>
        <v>Udhav Prasad Nepal</v>
      </c>
      <c r="H744" s="2" t="str">
        <f>IFERROR(__xludf.DUMMYFUNCTION("""COMPUTED_VALUE"""),"Ph: 9851026988")</f>
        <v>Ph: 9851026988</v>
      </c>
      <c r="I744" s="2" t="str">
        <f>IFERROR(__xludf.DUMMYFUNCTION("""COMPUTED_VALUE"""),"27o 44' 31""")</f>
        <v>27o 44' 31"</v>
      </c>
      <c r="J744" s="2" t="str">
        <f>IFERROR(__xludf.DUMMYFUNCTION("""COMPUTED_VALUE"""),"27o 46' 06""")</f>
        <v>27o 46' 06"</v>
      </c>
      <c r="K744" s="2" t="str">
        <f>IFERROR(__xludf.DUMMYFUNCTION("""COMPUTED_VALUE"""),"85o 39' 08""")</f>
        <v>85o 39' 08"</v>
      </c>
      <c r="L744" s="2" t="str">
        <f>IFERROR(__xludf.DUMMYFUNCTION("""COMPUTED_VALUE"""),"85o 41' 30""")</f>
        <v>85o 41' 30"</v>
      </c>
      <c r="M744" s="2" t="str">
        <f>IFERROR(__xludf.DUMMYFUNCTION("""COMPUTED_VALUE"""),"Sanusiruwari (Sindhupalchok)")</f>
        <v>Sanusiruwari (Sindhupalchok)</v>
      </c>
    </row>
    <row r="745">
      <c r="A745" s="2">
        <f>IFERROR(__xludf.DUMMYFUNCTION("""COMPUTED_VALUE"""),744.0)</f>
        <v>744</v>
      </c>
      <c r="B745" s="2" t="str">
        <f>IFERROR(__xludf.DUMMYFUNCTION("""COMPUTED_VALUE"""),"Andhi Khola Storage")</f>
        <v>Andhi Khola Storage</v>
      </c>
      <c r="C745" s="2">
        <f>IFERROR(__xludf.DUMMYFUNCTION("""COMPUTED_VALUE"""),96.0)</f>
        <v>96</v>
      </c>
      <c r="D745" s="2" t="str">
        <f>IFERROR(__xludf.DUMMYFUNCTION("""COMPUTED_VALUE"""),"Andhi Khola")</f>
        <v>Andhi Khola</v>
      </c>
      <c r="E745" s="2">
        <f>IFERROR(__xludf.DUMMYFUNCTION("""COMPUTED_VALUE"""),1533.0)</f>
        <v>1533</v>
      </c>
      <c r="F745" s="3">
        <f>IFERROR(__xludf.DUMMYFUNCTION("""COMPUTED_VALUE"""),60474.0)</f>
        <v>60474</v>
      </c>
      <c r="G745" s="2" t="str">
        <f>IFERROR(__xludf.DUMMYFUNCTION("""COMPUTED_VALUE"""),"Consolidated Power Pvt. Ltd.")</f>
        <v>Consolidated Power Pvt. Ltd.</v>
      </c>
      <c r="H745" s="2" t="str">
        <f>IFERROR(__xludf.DUMMYFUNCTION("""COMPUTED_VALUE"""),"87, Gurju Marg, Dilli Bajar, Kathmandu, Phone 01-4421214")</f>
        <v>87, Gurju Marg, Dilli Bajar, Kathmandu, Phone 01-4421214</v>
      </c>
      <c r="I745" s="2" t="str">
        <f>IFERROR(__xludf.DUMMYFUNCTION("""COMPUTED_VALUE"""),"28o 05' 00""")</f>
        <v>28o 05' 00"</v>
      </c>
      <c r="J745" s="2" t="str">
        <f>IFERROR(__xludf.DUMMYFUNCTION("""COMPUTED_VALUE"""),"28o 10' 00""")</f>
        <v>28o 10' 00"</v>
      </c>
      <c r="K745" s="2" t="str">
        <f>IFERROR(__xludf.DUMMYFUNCTION("""COMPUTED_VALUE"""),"83o 47' 30""")</f>
        <v>83o 47' 30"</v>
      </c>
      <c r="L745" s="2" t="str">
        <f>IFERROR(__xludf.DUMMYFUNCTION("""COMPUTED_VALUE"""),"83o 52' 30""")</f>
        <v>83o 52' 30"</v>
      </c>
      <c r="M745" s="2"/>
    </row>
    <row r="746">
      <c r="A746" s="2">
        <f>IFERROR(__xludf.DUMMYFUNCTION("""COMPUTED_VALUE"""),745.0)</f>
        <v>745</v>
      </c>
      <c r="B746" s="2" t="str">
        <f>IFERROR(__xludf.DUMMYFUNCTION("""COMPUTED_VALUE"""),"Madi Khola")</f>
        <v>Madi Khola</v>
      </c>
      <c r="C746" s="2">
        <f>IFERROR(__xludf.DUMMYFUNCTION("""COMPUTED_VALUE"""),4.7)</f>
        <v>4.7</v>
      </c>
      <c r="D746" s="2"/>
      <c r="E746" s="2">
        <f>IFERROR(__xludf.DUMMYFUNCTION("""COMPUTED_VALUE"""),1567.0)</f>
        <v>1567</v>
      </c>
      <c r="F746" s="3">
        <f>IFERROR(__xludf.DUMMYFUNCTION("""COMPUTED_VALUE"""),60475.0)</f>
        <v>60475</v>
      </c>
      <c r="G746" s="2" t="str">
        <f>IFERROR(__xludf.DUMMYFUNCTION("""COMPUTED_VALUE"""),"Peoples Hydropower")</f>
        <v>Peoples Hydropower</v>
      </c>
      <c r="H746" s="2"/>
      <c r="I746" s="2" t="str">
        <f>IFERROR(__xludf.DUMMYFUNCTION("""COMPUTED_VALUE"""),"28o 18' 00""")</f>
        <v>28o 18' 00"</v>
      </c>
      <c r="J746" s="2" t="str">
        <f>IFERROR(__xludf.DUMMYFUNCTION("""COMPUTED_VALUE"""),"28o 21' 50""")</f>
        <v>28o 21' 50"</v>
      </c>
      <c r="K746" s="2" t="str">
        <f>IFERROR(__xludf.DUMMYFUNCTION("""COMPUTED_VALUE"""),"83o 34' 20""")</f>
        <v>83o 34' 20"</v>
      </c>
      <c r="L746" s="2" t="str">
        <f>IFERROR(__xludf.DUMMYFUNCTION("""COMPUTED_VALUE"""),"83o 36' 10""")</f>
        <v>83o 36' 10"</v>
      </c>
      <c r="M746" s="2"/>
    </row>
    <row r="747">
      <c r="A747" s="2">
        <f>IFERROR(__xludf.DUMMYFUNCTION("""COMPUTED_VALUE"""),746.0)</f>
        <v>746</v>
      </c>
      <c r="B747" s="2" t="str">
        <f>IFERROR(__xludf.DUMMYFUNCTION("""COMPUTED_VALUE"""),"Adha Khola SHP")</f>
        <v>Adha Khola SHP</v>
      </c>
      <c r="C747" s="2">
        <f>IFERROR(__xludf.DUMMYFUNCTION("""COMPUTED_VALUE"""),0.998)</f>
        <v>0.998</v>
      </c>
      <c r="D747" s="2" t="str">
        <f>IFERROR(__xludf.DUMMYFUNCTION("""COMPUTED_VALUE"""),"Adha")</f>
        <v>Adha</v>
      </c>
      <c r="E747" s="2">
        <f>IFERROR(__xludf.DUMMYFUNCTION("""COMPUTED_VALUE"""),1568.0)</f>
        <v>1568</v>
      </c>
      <c r="F747" s="3">
        <f>IFERROR(__xludf.DUMMYFUNCTION("""COMPUTED_VALUE"""),60475.0)</f>
        <v>60475</v>
      </c>
      <c r="G747" s="2" t="str">
        <f>IFERROR(__xludf.DUMMYFUNCTION("""COMPUTED_VALUE"""),"Naresh/Tejman/Silal/Tika/Napni Tamang")</f>
        <v>Naresh/Tejman/Silal/Tika/Napni Tamang</v>
      </c>
      <c r="H747" s="2"/>
      <c r="I747" s="2" t="str">
        <f>IFERROR(__xludf.DUMMYFUNCTION("""COMPUTED_VALUE"""),"28o 09' 27""")</f>
        <v>28o 09' 27"</v>
      </c>
      <c r="J747" s="2" t="str">
        <f>IFERROR(__xludf.DUMMYFUNCTION("""COMPUTED_VALUE"""),"28o 11' 40""")</f>
        <v>28o 11' 40"</v>
      </c>
      <c r="K747" s="2" t="str">
        <f>IFERROR(__xludf.DUMMYFUNCTION("""COMPUTED_VALUE"""),"85o 05' 00""")</f>
        <v>85o 05' 00"</v>
      </c>
      <c r="L747" s="2" t="str">
        <f>IFERROR(__xludf.DUMMYFUNCTION("""COMPUTED_VALUE"""),"85o 06' 40""")</f>
        <v>85o 06' 40"</v>
      </c>
      <c r="M747" s="2" t="str">
        <f>IFERROR(__xludf.DUMMYFUNCTION("""COMPUTED_VALUE"""),"Sirtung (Dhading)")</f>
        <v>Sirtung (Dhading)</v>
      </c>
    </row>
    <row r="748">
      <c r="A748" s="2">
        <f>IFERROR(__xludf.DUMMYFUNCTION("""COMPUTED_VALUE"""),747.0)</f>
        <v>747</v>
      </c>
      <c r="B748" s="2" t="str">
        <f>IFERROR(__xludf.DUMMYFUNCTION("""COMPUTED_VALUE"""),"Upper Naugad SHP")</f>
        <v>Upper Naugad SHP</v>
      </c>
      <c r="C748" s="2">
        <f>IFERROR(__xludf.DUMMYFUNCTION("""COMPUTED_VALUE"""),1.0)</f>
        <v>1</v>
      </c>
      <c r="D748" s="2" t="str">
        <f>IFERROR(__xludf.DUMMYFUNCTION("""COMPUTED_VALUE"""),"Naugad")</f>
        <v>Naugad</v>
      </c>
      <c r="E748" s="2">
        <f>IFERROR(__xludf.DUMMYFUNCTION("""COMPUTED_VALUE"""),1595.0)</f>
        <v>1595</v>
      </c>
      <c r="F748" s="3">
        <f>IFERROR(__xludf.DUMMYFUNCTION("""COMPUTED_VALUE"""),60476.0)</f>
        <v>60476</v>
      </c>
      <c r="G748" s="2" t="str">
        <f>IFERROR(__xludf.DUMMYFUNCTION("""COMPUTED_VALUE"""),"Power Works P. Ltd.")</f>
        <v>Power Works P. Ltd.</v>
      </c>
      <c r="H748" s="2" t="str">
        <f>IFERROR(__xludf.DUMMYFUNCTION("""COMPUTED_VALUE"""),"Ph: 4416277")</f>
        <v>Ph: 4416277</v>
      </c>
      <c r="I748" s="2" t="str">
        <f>IFERROR(__xludf.DUMMYFUNCTION("""COMPUTED_VALUE"""),"29o 45' 53""")</f>
        <v>29o 45' 53"</v>
      </c>
      <c r="J748" s="2" t="str">
        <f>IFERROR(__xludf.DUMMYFUNCTION("""COMPUTED_VALUE"""),"29o 48' 00""")</f>
        <v>29o 48' 00"</v>
      </c>
      <c r="K748" s="2" t="str">
        <f>IFERROR(__xludf.DUMMYFUNCTION("""COMPUTED_VALUE"""),"80o 38' 50""")</f>
        <v>80o 38' 50"</v>
      </c>
      <c r="L748" s="2" t="str">
        <f>IFERROR(__xludf.DUMMYFUNCTION("""COMPUTED_VALUE"""),"80o 41' 10""")</f>
        <v>80o 41' 10"</v>
      </c>
      <c r="M748" s="2" t="str">
        <f>IFERROR(__xludf.DUMMYFUNCTION("""COMPUTED_VALUE"""),"Khar,Sipti (Darchula)")</f>
        <v>Khar,Sipti (Darchula)</v>
      </c>
    </row>
    <row r="749">
      <c r="A749" s="2">
        <f>IFERROR(__xludf.DUMMYFUNCTION("""COMPUTED_VALUE"""),748.0)</f>
        <v>748</v>
      </c>
      <c r="B749" s="2" t="str">
        <f>IFERROR(__xludf.DUMMYFUNCTION("""COMPUTED_VALUE"""),"Mahare Khola SHP")</f>
        <v>Mahare Khola SHP</v>
      </c>
      <c r="C749" s="2">
        <f>IFERROR(__xludf.DUMMYFUNCTION("""COMPUTED_VALUE"""),1.0)</f>
        <v>1</v>
      </c>
      <c r="D749" s="2" t="str">
        <f>IFERROR(__xludf.DUMMYFUNCTION("""COMPUTED_VALUE"""),"Mahare")</f>
        <v>Mahare</v>
      </c>
      <c r="E749" s="2">
        <f>IFERROR(__xludf.DUMMYFUNCTION("""COMPUTED_VALUE"""),1609.0)</f>
        <v>1609</v>
      </c>
      <c r="F749" s="3">
        <f>IFERROR(__xludf.DUMMYFUNCTION("""COMPUTED_VALUE"""),60477.0)</f>
        <v>60477</v>
      </c>
      <c r="G749" s="2" t="str">
        <f>IFERROR(__xludf.DUMMYFUNCTION("""COMPUTED_VALUE"""),"Budhi Prasad Bastola")</f>
        <v>Budhi Prasad Bastola</v>
      </c>
      <c r="H749" s="2" t="str">
        <f>IFERROR(__xludf.DUMMYFUNCTION("""COMPUTED_VALUE"""),"Ph: 9846038678")</f>
        <v>Ph: 9846038678</v>
      </c>
      <c r="I749" s="2" t="str">
        <f>IFERROR(__xludf.DUMMYFUNCTION("""COMPUTED_VALUE"""),"28o 09' 22""")</f>
        <v>28o 09' 22"</v>
      </c>
      <c r="J749" s="2" t="str">
        <f>IFERROR(__xludf.DUMMYFUNCTION("""COMPUTED_VALUE"""),"28o 12' 45""")</f>
        <v>28o 12' 45"</v>
      </c>
      <c r="K749" s="2" t="str">
        <f>IFERROR(__xludf.DUMMYFUNCTION("""COMPUTED_VALUE"""),"84o 01' 10""")</f>
        <v>84o 01' 10"</v>
      </c>
      <c r="L749" s="2" t="str">
        <f>IFERROR(__xludf.DUMMYFUNCTION("""COMPUTED_VALUE"""),"84o 02' 45""")</f>
        <v>84o 02' 45"</v>
      </c>
      <c r="M749" s="2" t="str">
        <f>IFERROR(__xludf.DUMMYFUNCTION("""COMPUTED_VALUE"""),"Lekhnath (Kaski)")</f>
        <v>Lekhnath (Kaski)</v>
      </c>
    </row>
    <row r="750">
      <c r="A750" s="2">
        <f>IFERROR(__xludf.DUMMYFUNCTION("""COMPUTED_VALUE"""),749.0)</f>
        <v>749</v>
      </c>
      <c r="B750" s="2" t="str">
        <f>IFERROR(__xludf.DUMMYFUNCTION("""COMPUTED_VALUE"""),"Bagadi Khola SHP")</f>
        <v>Bagadi Khola SHP</v>
      </c>
      <c r="C750" s="2">
        <f>IFERROR(__xludf.DUMMYFUNCTION("""COMPUTED_VALUE"""),0.9)</f>
        <v>0.9</v>
      </c>
      <c r="D750" s="2" t="str">
        <f>IFERROR(__xludf.DUMMYFUNCTION("""COMPUTED_VALUE"""),"Bagadi")</f>
        <v>Bagadi</v>
      </c>
      <c r="E750" s="2">
        <f>IFERROR(__xludf.DUMMYFUNCTION("""COMPUTED_VALUE"""),1610.0)</f>
        <v>1610</v>
      </c>
      <c r="F750" s="3">
        <f>IFERROR(__xludf.DUMMYFUNCTION("""COMPUTED_VALUE"""),60477.0)</f>
        <v>60477</v>
      </c>
      <c r="G750" s="2" t="str">
        <f>IFERROR(__xludf.DUMMYFUNCTION("""COMPUTED_VALUE"""),"Budhi Prasad Bastola")</f>
        <v>Budhi Prasad Bastola</v>
      </c>
      <c r="H750" s="2" t="str">
        <f>IFERROR(__xludf.DUMMYFUNCTION("""COMPUTED_VALUE"""),"Ph: 9846038678")</f>
        <v>Ph: 9846038678</v>
      </c>
      <c r="I750" s="2" t="str">
        <f>IFERROR(__xludf.DUMMYFUNCTION("""COMPUTED_VALUE"""),"28o 09' 10""")</f>
        <v>28o 09' 10"</v>
      </c>
      <c r="J750" s="2" t="str">
        <f>IFERROR(__xludf.DUMMYFUNCTION("""COMPUTED_VALUE"""),"28o 10' 30""")</f>
        <v>28o 10' 30"</v>
      </c>
      <c r="K750" s="2" t="str">
        <f>IFERROR(__xludf.DUMMYFUNCTION("""COMPUTED_VALUE"""),"84o 03' 10""")</f>
        <v>84o 03' 10"</v>
      </c>
      <c r="L750" s="2" t="str">
        <f>IFERROR(__xludf.DUMMYFUNCTION("""COMPUTED_VALUE"""),"84o 03' 40""")</f>
        <v>84o 03' 40"</v>
      </c>
      <c r="M750" s="2" t="str">
        <f>IFERROR(__xludf.DUMMYFUNCTION("""COMPUTED_VALUE"""),"Lekhnath (Kaski)")</f>
        <v>Lekhnath (Kaski)</v>
      </c>
    </row>
    <row r="751">
      <c r="A751" s="2">
        <f>IFERROR(__xludf.DUMMYFUNCTION("""COMPUTED_VALUE"""),750.0)</f>
        <v>750</v>
      </c>
      <c r="B751" s="2" t="str">
        <f>IFERROR(__xludf.DUMMYFUNCTION("""COMPUTED_VALUE"""),"Gwar Khola SHP")</f>
        <v>Gwar Khola SHP</v>
      </c>
      <c r="C751" s="2">
        <f>IFERROR(__xludf.DUMMYFUNCTION("""COMPUTED_VALUE"""),1.0)</f>
        <v>1</v>
      </c>
      <c r="D751" s="2" t="str">
        <f>IFERROR(__xludf.DUMMYFUNCTION("""COMPUTED_VALUE"""),"Gwar")</f>
        <v>Gwar</v>
      </c>
      <c r="E751" s="2">
        <f>IFERROR(__xludf.DUMMYFUNCTION("""COMPUTED_VALUE"""),1613.0)</f>
        <v>1613</v>
      </c>
      <c r="F751" s="3">
        <f>IFERROR(__xludf.DUMMYFUNCTION("""COMPUTED_VALUE"""),60477.0)</f>
        <v>60477</v>
      </c>
      <c r="G751" s="2" t="str">
        <f>IFERROR(__xludf.DUMMYFUNCTION("""COMPUTED_VALUE"""),"Sonapur Cements P. Ltd.")</f>
        <v>Sonapur Cements P. Ltd.</v>
      </c>
      <c r="H751" s="2"/>
      <c r="I751" s="2" t="str">
        <f>IFERROR(__xludf.DUMMYFUNCTION("""COMPUTED_VALUE"""),"00o 00' 00""")</f>
        <v>00o 00' 00"</v>
      </c>
      <c r="J751" s="2" t="str">
        <f>IFERROR(__xludf.DUMMYFUNCTION("""COMPUTED_VALUE"""),"00o 00' 00""")</f>
        <v>00o 00' 00"</v>
      </c>
      <c r="K751" s="2" t="str">
        <f>IFERROR(__xludf.DUMMYFUNCTION("""COMPUTED_VALUE"""),"00o 00' 00""")</f>
        <v>00o 00' 00"</v>
      </c>
      <c r="L751" s="2" t="str">
        <f>IFERROR(__xludf.DUMMYFUNCTION("""COMPUTED_VALUE"""),"00o 00' 00""")</f>
        <v>00o 00' 00"</v>
      </c>
      <c r="M751" s="2" t="str">
        <f>IFERROR(__xludf.DUMMYFUNCTION("""COMPUTED_VALUE"""),"Halwar (Dang)")</f>
        <v>Halwar (Dang)</v>
      </c>
    </row>
    <row r="752">
      <c r="A752" s="2">
        <f>IFERROR(__xludf.DUMMYFUNCTION("""COMPUTED_VALUE"""),751.0)</f>
        <v>751</v>
      </c>
      <c r="B752" s="2" t="str">
        <f>IFERROR(__xludf.DUMMYFUNCTION("""COMPUTED_VALUE"""),"Nar Khola")</f>
        <v>Nar Khola</v>
      </c>
      <c r="C752" s="2">
        <f>IFERROR(__xludf.DUMMYFUNCTION("""COMPUTED_VALUE"""),9.6)</f>
        <v>9.6</v>
      </c>
      <c r="D752" s="2" t="str">
        <f>IFERROR(__xludf.DUMMYFUNCTION("""COMPUTED_VALUE"""),"Nar Khola")</f>
        <v>Nar Khola</v>
      </c>
      <c r="E752" s="2">
        <f>IFERROR(__xludf.DUMMYFUNCTION("""COMPUTED_VALUE"""),1615.0)</f>
        <v>1615</v>
      </c>
      <c r="F752" s="3">
        <f>IFERROR(__xludf.DUMMYFUNCTION("""COMPUTED_VALUE"""),60477.0)</f>
        <v>60477</v>
      </c>
      <c r="G752" s="2" t="str">
        <f>IFERROR(__xludf.DUMMYFUNCTION("""COMPUTED_VALUE"""),"Panch Gurung, Netra Bahadur Karki, Suresh Chandra Devekota, Umesh Jung 
Thapa Magar")</f>
        <v>Panch Gurung, Netra Bahadur Karki, Suresh Chandra Devekota, Umesh Jung 
Thapa Magar</v>
      </c>
      <c r="H752" s="2" t="str">
        <f>IFERROR(__xludf.DUMMYFUNCTION("""COMPUTED_VALUE"""),"P. O.Box 12756, Kathmandu, Phone 015010505, 9851094710")</f>
        <v>P. O.Box 12756, Kathmandu, Phone 015010505, 9851094710</v>
      </c>
      <c r="I752" s="2" t="str">
        <f>IFERROR(__xludf.DUMMYFUNCTION("""COMPUTED_VALUE"""),"28o 38' 00""")</f>
        <v>28o 38' 00"</v>
      </c>
      <c r="J752" s="2" t="str">
        <f>IFERROR(__xludf.DUMMYFUNCTION("""COMPUTED_VALUE"""),"28o 40' 07""")</f>
        <v>28o 40' 07"</v>
      </c>
      <c r="K752" s="2" t="str">
        <f>IFERROR(__xludf.DUMMYFUNCTION("""COMPUTED_VALUE"""),"84o 13' 30""")</f>
        <v>84o 13' 30"</v>
      </c>
      <c r="L752" s="2" t="str">
        <f>IFERROR(__xludf.DUMMYFUNCTION("""COMPUTED_VALUE"""),"84o 15' 00""")</f>
        <v>84o 15' 00"</v>
      </c>
      <c r="M752" s="2" t="str">
        <f>IFERROR(__xludf.DUMMYFUNCTION("""COMPUTED_VALUE"""),"Nar (Manang)")</f>
        <v>Nar (Manang)</v>
      </c>
    </row>
    <row r="753">
      <c r="A753" s="2">
        <f>IFERROR(__xludf.DUMMYFUNCTION("""COMPUTED_VALUE"""),752.0)</f>
        <v>752</v>
      </c>
      <c r="B753" s="2" t="str">
        <f>IFERROR(__xludf.DUMMYFUNCTION("""COMPUTED_VALUE"""),"Mewa Khola - C")</f>
        <v>Mewa Khola - C</v>
      </c>
      <c r="C753" s="2">
        <f>IFERROR(__xludf.DUMMYFUNCTION("""COMPUTED_VALUE"""),5.0)</f>
        <v>5</v>
      </c>
      <c r="D753" s="2"/>
      <c r="E753" s="2">
        <f>IFERROR(__xludf.DUMMYFUNCTION("""COMPUTED_VALUE"""),1637.0)</f>
        <v>1637</v>
      </c>
      <c r="F753" s="3">
        <f>IFERROR(__xludf.DUMMYFUNCTION("""COMPUTED_VALUE"""),60481.0)</f>
        <v>60481</v>
      </c>
      <c r="G753" s="2" t="str">
        <f>IFERROR(__xludf.DUMMYFUNCTION("""COMPUTED_VALUE"""),"Ashok Kumar Shah, Shobha Khadka and Radha Acyarya Pande")</f>
        <v>Ashok Kumar Shah, Shobha Khadka and Radha Acyarya Pande</v>
      </c>
      <c r="H753" s="2" t="str">
        <f>IFERROR(__xludf.DUMMYFUNCTION("""COMPUTED_VALUE"""),"P.O.Box 12756, Kathmandu")</f>
        <v>P.O.Box 12756, Kathmandu</v>
      </c>
      <c r="I753" s="2" t="str">
        <f>IFERROR(__xludf.DUMMYFUNCTION("""COMPUTED_VALUE"""),"27o 26' 52""")</f>
        <v>27o 26' 52"</v>
      </c>
      <c r="J753" s="2" t="str">
        <f>IFERROR(__xludf.DUMMYFUNCTION("""COMPUTED_VALUE"""),"27o 28' 30""")</f>
        <v>27o 28' 30"</v>
      </c>
      <c r="K753" s="2" t="str">
        <f>IFERROR(__xludf.DUMMYFUNCTION("""COMPUTED_VALUE"""),"87o 36' 34""")</f>
        <v>87o 36' 34"</v>
      </c>
      <c r="L753" s="2" t="str">
        <f>IFERROR(__xludf.DUMMYFUNCTION("""COMPUTED_VALUE"""),"87o 37' 26""")</f>
        <v>87o 37' 26"</v>
      </c>
      <c r="M753" s="2" t="str">
        <f>IFERROR(__xludf.DUMMYFUNCTION("""COMPUTED_VALUE"""),"Sanwa (Taplejung)")</f>
        <v>Sanwa (Taplejung)</v>
      </c>
    </row>
    <row r="754">
      <c r="A754" s="2">
        <f>IFERROR(__xludf.DUMMYFUNCTION("""COMPUTED_VALUE"""),753.0)</f>
        <v>753</v>
      </c>
      <c r="B754" s="2" t="str">
        <f>IFERROR(__xludf.DUMMYFUNCTION("""COMPUTED_VALUE"""),"Lower Sunkoshi")</f>
        <v>Lower Sunkoshi</v>
      </c>
      <c r="C754" s="2">
        <f>IFERROR(__xludf.DUMMYFUNCTION("""COMPUTED_VALUE"""),25.0)</f>
        <v>25</v>
      </c>
      <c r="D754" s="2"/>
      <c r="E754" s="2">
        <f>IFERROR(__xludf.DUMMYFUNCTION("""COMPUTED_VALUE"""),1692.0)</f>
        <v>1692</v>
      </c>
      <c r="F754" s="3">
        <f>IFERROR(__xludf.DUMMYFUNCTION("""COMPUTED_VALUE"""),60484.0)</f>
        <v>60484</v>
      </c>
      <c r="G754" s="2" t="str">
        <f>IFERROR(__xludf.DUMMYFUNCTION("""COMPUTED_VALUE"""),"Bisnu Mani Acharya")</f>
        <v>Bisnu Mani Acharya</v>
      </c>
      <c r="H754" s="2" t="str">
        <f>IFERROR(__xludf.DUMMYFUNCTION("""COMPUTED_VALUE"""),"Bodegaun, Sindhupalchok, Phone 9841493274")</f>
        <v>Bodegaun, Sindhupalchok, Phone 9841493274</v>
      </c>
      <c r="I754" s="2" t="str">
        <f>IFERROR(__xludf.DUMMYFUNCTION("""COMPUTED_VALUE"""),"27o 39' 30""")</f>
        <v>27o 39' 30"</v>
      </c>
      <c r="J754" s="2" t="str">
        <f>IFERROR(__xludf.DUMMYFUNCTION("""COMPUTED_VALUE"""),"27o 43' 40""")</f>
        <v>27o 43' 40"</v>
      </c>
      <c r="K754" s="2" t="str">
        <f>IFERROR(__xludf.DUMMYFUNCTION("""COMPUTED_VALUE"""),"85o 43' 07""")</f>
        <v>85o 43' 07"</v>
      </c>
      <c r="L754" s="2" t="str">
        <f>IFERROR(__xludf.DUMMYFUNCTION("""COMPUTED_VALUE"""),"85o 46' 52""")</f>
        <v>85o 46' 52"</v>
      </c>
      <c r="M754" s="2" t="str">
        <f>IFERROR(__xludf.DUMMYFUNCTION("""COMPUTED_VALUE"""),"Kadambas,Sangachok,Yamanadanda (Sindhupalchok)")</f>
        <v>Kadambas,Sangachok,Yamanadanda (Sindhupalchok)</v>
      </c>
    </row>
    <row r="755">
      <c r="A755" s="2">
        <f>IFERROR(__xludf.DUMMYFUNCTION("""COMPUTED_VALUE"""),754.0)</f>
        <v>754</v>
      </c>
      <c r="B755" s="2" t="str">
        <f>IFERROR(__xludf.DUMMYFUNCTION("""COMPUTED_VALUE"""),"Somdang")</f>
        <v>Somdang</v>
      </c>
      <c r="C755" s="2">
        <f>IFERROR(__xludf.DUMMYFUNCTION("""COMPUTED_VALUE"""),0.5)</f>
        <v>0.5</v>
      </c>
      <c r="D755" s="2"/>
      <c r="E755" s="2">
        <f>IFERROR(__xludf.DUMMYFUNCTION("""COMPUTED_VALUE"""),1694.0)</f>
        <v>1694</v>
      </c>
      <c r="F755" s="3">
        <f>IFERROR(__xludf.DUMMYFUNCTION("""COMPUTED_VALUE"""),60485.0)</f>
        <v>60485</v>
      </c>
      <c r="G755" s="2" t="str">
        <f>IFERROR(__xludf.DUMMYFUNCTION("""COMPUTED_VALUE"""),"Sanjay Lama, Parwati Prasai")</f>
        <v>Sanjay Lama, Parwati Prasai</v>
      </c>
      <c r="H755" s="2" t="str">
        <f>IFERROR(__xludf.DUMMYFUNCTION("""COMPUTED_VALUE"""),"Gatlang Rasuwa, Phone 9741020713 ( Sanjay Lama)")</f>
        <v>Gatlang Rasuwa, Phone 9741020713 ( Sanjay Lama)</v>
      </c>
      <c r="I755" s="2" t="str">
        <f>IFERROR(__xludf.DUMMYFUNCTION("""COMPUTED_VALUE"""),"28o 13' 15""")</f>
        <v>28o 13' 15"</v>
      </c>
      <c r="J755" s="2" t="str">
        <f>IFERROR(__xludf.DUMMYFUNCTION("""COMPUTED_VALUE"""),"28o 14' 13""")</f>
        <v>28o 14' 13"</v>
      </c>
      <c r="K755" s="2" t="str">
        <f>IFERROR(__xludf.DUMMYFUNCTION("""COMPUTED_VALUE"""),"85o 10' 54""")</f>
        <v>85o 10' 54"</v>
      </c>
      <c r="L755" s="2" t="str">
        <f>IFERROR(__xludf.DUMMYFUNCTION("""COMPUTED_VALUE"""),"85o 12' 08""")</f>
        <v>85o 12' 08"</v>
      </c>
      <c r="M755" s="2" t="str">
        <f>IFERROR(__xludf.DUMMYFUNCTION("""COMPUTED_VALUE"""),"Gatlang (Rasuwa)")</f>
        <v>Gatlang (Rasuwa)</v>
      </c>
    </row>
    <row r="756">
      <c r="A756" s="2">
        <f>IFERROR(__xludf.DUMMYFUNCTION("""COMPUTED_VALUE"""),755.0)</f>
        <v>755</v>
      </c>
      <c r="B756" s="2" t="str">
        <f>IFERROR(__xludf.DUMMYFUNCTION("""COMPUTED_VALUE"""),"Chepe Khola - 2")</f>
        <v>Chepe Khola - 2</v>
      </c>
      <c r="C756" s="2">
        <f>IFERROR(__xludf.DUMMYFUNCTION("""COMPUTED_VALUE"""),0.99)</f>
        <v>0.99</v>
      </c>
      <c r="D756" s="2"/>
      <c r="E756" s="2">
        <f>IFERROR(__xludf.DUMMYFUNCTION("""COMPUTED_VALUE"""),1696.0)</f>
        <v>1696</v>
      </c>
      <c r="F756" s="3">
        <f>IFERROR(__xludf.DUMMYFUNCTION("""COMPUTED_VALUE"""),60485.0)</f>
        <v>60485</v>
      </c>
      <c r="G756" s="2" t="str">
        <f>IFERROR(__xludf.DUMMYFUNCTION("""COMPUTED_VALUE"""),"Kolki Hydropower Pvt. Ltd.")</f>
        <v>Kolki Hydropower Pvt. Ltd.</v>
      </c>
      <c r="H756" s="2" t="str">
        <f>IFERROR(__xludf.DUMMYFUNCTION("""COMPUTED_VALUE"""),"Banasthali Kathmandu")</f>
        <v>Banasthali Kathmandu</v>
      </c>
      <c r="I756" s="2" t="str">
        <f>IFERROR(__xludf.DUMMYFUNCTION("""COMPUTED_VALUE"""),"28o 07' 20""")</f>
        <v>28o 07' 20"</v>
      </c>
      <c r="J756" s="2" t="str">
        <f>IFERROR(__xludf.DUMMYFUNCTION("""COMPUTED_VALUE"""),"28o 08' 10""")</f>
        <v>28o 08' 10"</v>
      </c>
      <c r="K756" s="2" t="str">
        <f>IFERROR(__xludf.DUMMYFUNCTION("""COMPUTED_VALUE"""),"84o 33' 00""")</f>
        <v>84o 33' 00"</v>
      </c>
      <c r="L756" s="2" t="str">
        <f>IFERROR(__xludf.DUMMYFUNCTION("""COMPUTED_VALUE"""),"84o 34' 51""")</f>
        <v>84o 34' 51"</v>
      </c>
      <c r="M756" s="2" t="str">
        <f>IFERROR(__xludf.DUMMYFUNCTION("""COMPUTED_VALUE"""),"Kolki (Lamjung)")</f>
        <v>Kolki (Lamjung)</v>
      </c>
    </row>
    <row r="757">
      <c r="A757" s="2">
        <f>IFERROR(__xludf.DUMMYFUNCTION("""COMPUTED_VALUE"""),756.0)</f>
        <v>756</v>
      </c>
      <c r="B757" s="2" t="str">
        <f>IFERROR(__xludf.DUMMYFUNCTION("""COMPUTED_VALUE"""),"Chepe Khola-2 SHP")</f>
        <v>Chepe Khola-2 SHP</v>
      </c>
      <c r="C757" s="2">
        <f>IFERROR(__xludf.DUMMYFUNCTION("""COMPUTED_VALUE"""),6.4)</f>
        <v>6.4</v>
      </c>
      <c r="D757" s="2" t="str">
        <f>IFERROR(__xludf.DUMMYFUNCTION("""COMPUTED_VALUE"""),"Chepe Khola")</f>
        <v>Chepe Khola</v>
      </c>
      <c r="E757" s="2">
        <f>IFERROR(__xludf.DUMMYFUNCTION("""COMPUTED_VALUE"""),1696.0)</f>
        <v>1696</v>
      </c>
      <c r="F757" s="3">
        <f>IFERROR(__xludf.DUMMYFUNCTION("""COMPUTED_VALUE"""),60485.0)</f>
        <v>60485</v>
      </c>
      <c r="G757" s="2" t="str">
        <f>IFERROR(__xludf.DUMMYFUNCTION("""COMPUTED_VALUE"""),"Kolki Hydropower Company (P.) Ltd.")</f>
        <v>Kolki Hydropower Company (P.) Ltd.</v>
      </c>
      <c r="H757" s="2" t="str">
        <f>IFERROR(__xludf.DUMMYFUNCTION("""COMPUTED_VALUE"""),"KMC-16, Banasthali, Kathmandu, Ph: 4356773")</f>
        <v>KMC-16, Banasthali, Kathmandu, Ph: 4356773</v>
      </c>
      <c r="I757" s="2" t="str">
        <f>IFERROR(__xludf.DUMMYFUNCTION("""COMPUTED_VALUE"""),"28o 07' 20""")</f>
        <v>28o 07' 20"</v>
      </c>
      <c r="J757" s="2" t="str">
        <f>IFERROR(__xludf.DUMMYFUNCTION("""COMPUTED_VALUE"""),"28o 08' 10""")</f>
        <v>28o 08' 10"</v>
      </c>
      <c r="K757" s="2" t="str">
        <f>IFERROR(__xludf.DUMMYFUNCTION("""COMPUTED_VALUE"""),"84o 33' 00""")</f>
        <v>84o 33' 00"</v>
      </c>
      <c r="L757" s="2" t="str">
        <f>IFERROR(__xludf.DUMMYFUNCTION("""COMPUTED_VALUE"""),"84o 34' 51""")</f>
        <v>84o 34' 51"</v>
      </c>
      <c r="M757" s="2" t="str">
        <f>IFERROR(__xludf.DUMMYFUNCTION("""COMPUTED_VALUE"""),"Kolki (Lamjung)")</f>
        <v>Kolki (Lamjung)</v>
      </c>
    </row>
    <row r="758">
      <c r="A758" s="2">
        <f>IFERROR(__xludf.DUMMYFUNCTION("""COMPUTED_VALUE"""),757.0)</f>
        <v>757</v>
      </c>
      <c r="B758" s="2" t="str">
        <f>IFERROR(__xludf.DUMMYFUNCTION("""COMPUTED_VALUE"""),"Phu Khola")</f>
        <v>Phu Khola</v>
      </c>
      <c r="C758" s="2">
        <f>IFERROR(__xludf.DUMMYFUNCTION("""COMPUTED_VALUE"""),6.0)</f>
        <v>6</v>
      </c>
      <c r="D758" s="2"/>
      <c r="E758" s="2">
        <f>IFERROR(__xludf.DUMMYFUNCTION("""COMPUTED_VALUE"""),1699.0)</f>
        <v>1699</v>
      </c>
      <c r="F758" s="3">
        <f>IFERROR(__xludf.DUMMYFUNCTION("""COMPUTED_VALUE"""),60485.0)</f>
        <v>60485</v>
      </c>
      <c r="G758" s="2" t="str">
        <f>IFERROR(__xludf.DUMMYFUNCTION("""COMPUTED_VALUE"""),"Umesh Jang Thapa Magar, Yubraj Karki, Ram Kumari Gurung and Nilam Gurung")</f>
        <v>Umesh Jang Thapa Magar, Yubraj Karki, Ram Kumari Gurung and Nilam Gurung</v>
      </c>
      <c r="H758" s="2" t="str">
        <f>IFERROR(__xludf.DUMMYFUNCTION("""COMPUTED_VALUE"""),"P.O. Box 12756")</f>
        <v>P.O. Box 12756</v>
      </c>
      <c r="I758" s="2" t="str">
        <f>IFERROR(__xludf.DUMMYFUNCTION("""COMPUTED_VALUE"""),"28o 40' 07""")</f>
        <v>28o 40' 07"</v>
      </c>
      <c r="J758" s="2" t="str">
        <f>IFERROR(__xludf.DUMMYFUNCTION("""COMPUTED_VALUE"""),"28o 42' 17""")</f>
        <v>28o 42' 17"</v>
      </c>
      <c r="K758" s="2" t="str">
        <f>IFERROR(__xludf.DUMMYFUNCTION("""COMPUTED_VALUE"""),"84o 13' 45""")</f>
        <v>84o 13' 45"</v>
      </c>
      <c r="L758" s="2" t="str">
        <f>IFERROR(__xludf.DUMMYFUNCTION("""COMPUTED_VALUE"""),"84o 15' 35""")</f>
        <v>84o 15' 35"</v>
      </c>
      <c r="M758" s="2" t="str">
        <f>IFERROR(__xludf.DUMMYFUNCTION("""COMPUTED_VALUE"""),"Fu (Manang)")</f>
        <v>Fu (Manang)</v>
      </c>
    </row>
    <row r="759">
      <c r="A759" s="2">
        <f>IFERROR(__xludf.DUMMYFUNCTION("""COMPUTED_VALUE"""),758.0)</f>
        <v>758</v>
      </c>
      <c r="B759" s="2" t="str">
        <f>IFERROR(__xludf.DUMMYFUNCTION("""COMPUTED_VALUE"""),"Tangchhahara")</f>
        <v>Tangchhahara</v>
      </c>
      <c r="C759" s="2">
        <f>IFERROR(__xludf.DUMMYFUNCTION("""COMPUTED_VALUE"""),0.5)</f>
        <v>0.5</v>
      </c>
      <c r="D759" s="2"/>
      <c r="E759" s="2">
        <f>IFERROR(__xludf.DUMMYFUNCTION("""COMPUTED_VALUE"""),1709.0)</f>
        <v>1709</v>
      </c>
      <c r="F759" s="3">
        <f>IFERROR(__xludf.DUMMYFUNCTION("""COMPUTED_VALUE"""),60487.0)</f>
        <v>60487</v>
      </c>
      <c r="G759" s="2" t="str">
        <f>IFERROR(__xludf.DUMMYFUNCTION("""COMPUTED_VALUE"""),"Usha Gauchan")</f>
        <v>Usha Gauchan</v>
      </c>
      <c r="H759" s="2" t="str">
        <f>IFERROR(__xludf.DUMMYFUNCTION("""COMPUTED_VALUE"""),"P.O.Box 683, Kathmandu, Phone 9851031202")</f>
        <v>P.O.Box 683, Kathmandu, Phone 9851031202</v>
      </c>
      <c r="I759" s="2" t="str">
        <f>IFERROR(__xludf.DUMMYFUNCTION("""COMPUTED_VALUE"""),"28o 39' 51""")</f>
        <v>28o 39' 51"</v>
      </c>
      <c r="J759" s="2" t="str">
        <f>IFERROR(__xludf.DUMMYFUNCTION("""COMPUTED_VALUE"""),"28o 41' 14""")</f>
        <v>28o 41' 14"</v>
      </c>
      <c r="K759" s="2" t="str">
        <f>IFERROR(__xludf.DUMMYFUNCTION("""COMPUTED_VALUE"""),"83o 35' 00""")</f>
        <v>83o 35' 00"</v>
      </c>
      <c r="L759" s="2" t="str">
        <f>IFERROR(__xludf.DUMMYFUNCTION("""COMPUTED_VALUE"""),"83o 35' 59""")</f>
        <v>83o 35' 59"</v>
      </c>
      <c r="M759" s="2" t="str">
        <f>IFERROR(__xludf.DUMMYFUNCTION("""COMPUTED_VALUE"""),"Kowang (Mustang)")</f>
        <v>Kowang (Mustang)</v>
      </c>
    </row>
    <row r="760">
      <c r="A760" s="2">
        <f>IFERROR(__xludf.DUMMYFUNCTION("""COMPUTED_VALUE"""),759.0)</f>
        <v>759</v>
      </c>
      <c r="B760" s="2" t="str">
        <f>IFERROR(__xludf.DUMMYFUNCTION("""COMPUTED_VALUE"""),"Super Malun")</f>
        <v>Super Malun</v>
      </c>
      <c r="C760" s="2">
        <f>IFERROR(__xludf.DUMMYFUNCTION("""COMPUTED_VALUE"""),0.89)</f>
        <v>0.89</v>
      </c>
      <c r="D760" s="2"/>
      <c r="E760" s="2">
        <f>IFERROR(__xludf.DUMMYFUNCTION("""COMPUTED_VALUE"""),1719.0)</f>
        <v>1719</v>
      </c>
      <c r="F760" s="3">
        <f>IFERROR(__xludf.DUMMYFUNCTION("""COMPUTED_VALUE"""),60487.0)</f>
        <v>60487</v>
      </c>
      <c r="G760" s="2" t="str">
        <f>IFERROR(__xludf.DUMMYFUNCTION("""COMPUTED_VALUE"""),"Suresh Kumar Shrestha")</f>
        <v>Suresh Kumar Shrestha</v>
      </c>
      <c r="H760" s="2" t="str">
        <f>IFERROR(__xludf.DUMMYFUNCTION("""COMPUTED_VALUE"""),"Okhalthunga")</f>
        <v>Okhalthunga</v>
      </c>
      <c r="I760" s="2" t="str">
        <f>IFERROR(__xludf.DUMMYFUNCTION("""COMPUTED_VALUE"""),"27o 24' 16""")</f>
        <v>27o 24' 16"</v>
      </c>
      <c r="J760" s="2" t="str">
        <f>IFERROR(__xludf.DUMMYFUNCTION("""COMPUTED_VALUE"""),"27o 27' 31""")</f>
        <v>27o 27' 31"</v>
      </c>
      <c r="K760" s="2" t="str">
        <f>IFERROR(__xludf.DUMMYFUNCTION("""COMPUTED_VALUE"""),"86o 22' 58""")</f>
        <v>86o 22' 58"</v>
      </c>
      <c r="L760" s="2" t="str">
        <f>IFERROR(__xludf.DUMMYFUNCTION("""COMPUTED_VALUE"""),"86o 26' 00""")</f>
        <v>86o 26' 00"</v>
      </c>
      <c r="M760" s="2" t="str">
        <f>IFERROR(__xludf.DUMMYFUNCTION("""COMPUTED_VALUE"""),"Khijifalate,Patle (Okhaldhunga)")</f>
        <v>Khijifalate,Patle (Okhaldhunga)</v>
      </c>
    </row>
    <row r="761">
      <c r="A761" s="2">
        <f>IFERROR(__xludf.DUMMYFUNCTION("""COMPUTED_VALUE"""),760.0)</f>
        <v>760</v>
      </c>
      <c r="B761" s="2" t="str">
        <f>IFERROR(__xludf.DUMMYFUNCTION("""COMPUTED_VALUE"""),"Jhutre Khola")</f>
        <v>Jhutre Khola</v>
      </c>
      <c r="C761" s="2">
        <f>IFERROR(__xludf.DUMMYFUNCTION("""COMPUTED_VALUE"""),0.346)</f>
        <v>0.346</v>
      </c>
      <c r="D761" s="2"/>
      <c r="E761" s="2">
        <f>IFERROR(__xludf.DUMMYFUNCTION("""COMPUTED_VALUE"""),1725.0)</f>
        <v>1725</v>
      </c>
      <c r="F761" s="3">
        <f>IFERROR(__xludf.DUMMYFUNCTION("""COMPUTED_VALUE"""),60488.0)</f>
        <v>60488</v>
      </c>
      <c r="G761" s="2" t="str">
        <f>IFERROR(__xludf.DUMMYFUNCTION("""COMPUTED_VALUE"""),"Dalmaya Tamang, Lalita Udas")</f>
        <v>Dalmaya Tamang, Lalita Udas</v>
      </c>
      <c r="H761" s="2"/>
      <c r="I761" s="2" t="str">
        <f>IFERROR(__xludf.DUMMYFUNCTION("""COMPUTED_VALUE"""),"26o 56' 30""")</f>
        <v>26o 56' 30"</v>
      </c>
      <c r="J761" s="2" t="str">
        <f>IFERROR(__xludf.DUMMYFUNCTION("""COMPUTED_VALUE"""),"26o 57' 45""")</f>
        <v>26o 57' 45"</v>
      </c>
      <c r="K761" s="2" t="str">
        <f>IFERROR(__xludf.DUMMYFUNCTION("""COMPUTED_VALUE"""),"87o 53' 00""")</f>
        <v>87o 53' 00"</v>
      </c>
      <c r="L761" s="2" t="str">
        <f>IFERROR(__xludf.DUMMYFUNCTION("""COMPUTED_VALUE"""),"87o 54' 30""")</f>
        <v>87o 54' 30"</v>
      </c>
      <c r="M761" s="2" t="str">
        <f>IFERROR(__xludf.DUMMYFUNCTION("""COMPUTED_VALUE"""),"Shantidanda (Ilam)")</f>
        <v>Shantidanda (Ilam)</v>
      </c>
    </row>
    <row r="762">
      <c r="A762" s="2">
        <f>IFERROR(__xludf.DUMMYFUNCTION("""COMPUTED_VALUE"""),761.0)</f>
        <v>761</v>
      </c>
      <c r="B762" s="2" t="str">
        <f>IFERROR(__xludf.DUMMYFUNCTION("""COMPUTED_VALUE"""),"Karphok Khola")</f>
        <v>Karphok Khola</v>
      </c>
      <c r="C762" s="2">
        <f>IFERROR(__xludf.DUMMYFUNCTION("""COMPUTED_VALUE"""),0.674)</f>
        <v>0.674</v>
      </c>
      <c r="D762" s="2"/>
      <c r="E762" s="2">
        <f>IFERROR(__xludf.DUMMYFUNCTION("""COMPUTED_VALUE"""),1726.0)</f>
        <v>1726</v>
      </c>
      <c r="F762" s="3">
        <f>IFERROR(__xludf.DUMMYFUNCTION("""COMPUTED_VALUE"""),60488.0)</f>
        <v>60488</v>
      </c>
      <c r="G762" s="2" t="str">
        <f>IFERROR(__xludf.DUMMYFUNCTION("""COMPUTED_VALUE"""),"Gita Chaudhari, Renuka Pradhan")</f>
        <v>Gita Chaudhari, Renuka Pradhan</v>
      </c>
      <c r="H762" s="2"/>
      <c r="I762" s="2" t="str">
        <f>IFERROR(__xludf.DUMMYFUNCTION("""COMPUTED_VALUE"""),"26o 51' 00""")</f>
        <v>26o 51' 00"</v>
      </c>
      <c r="J762" s="2" t="str">
        <f>IFERROR(__xludf.DUMMYFUNCTION("""COMPUTED_VALUE"""),"26o 52' 00""")</f>
        <v>26o 52' 00"</v>
      </c>
      <c r="K762" s="2" t="str">
        <f>IFERROR(__xludf.DUMMYFUNCTION("""COMPUTED_VALUE"""),"87o 54' 49""")</f>
        <v>87o 54' 49"</v>
      </c>
      <c r="L762" s="2" t="str">
        <f>IFERROR(__xludf.DUMMYFUNCTION("""COMPUTED_VALUE"""),"87o 55' 50""")</f>
        <v>87o 55' 50"</v>
      </c>
      <c r="M762" s="2"/>
    </row>
    <row r="763">
      <c r="A763" s="2">
        <f>IFERROR(__xludf.DUMMYFUNCTION("""COMPUTED_VALUE"""),762.0)</f>
        <v>762</v>
      </c>
      <c r="B763" s="2" t="str">
        <f>IFERROR(__xludf.DUMMYFUNCTION("""COMPUTED_VALUE"""),"Ghatte Khola")</f>
        <v>Ghatte Khola</v>
      </c>
      <c r="C763" s="2">
        <f>IFERROR(__xludf.DUMMYFUNCTION("""COMPUTED_VALUE"""),0.419)</f>
        <v>0.419</v>
      </c>
      <c r="D763" s="2"/>
      <c r="E763" s="2">
        <f>IFERROR(__xludf.DUMMYFUNCTION("""COMPUTED_VALUE"""),1727.0)</f>
        <v>1727</v>
      </c>
      <c r="F763" s="3">
        <f>IFERROR(__xludf.DUMMYFUNCTION("""COMPUTED_VALUE"""),60488.0)</f>
        <v>60488</v>
      </c>
      <c r="G763" s="2" t="str">
        <f>IFERROR(__xludf.DUMMYFUNCTION("""COMPUTED_VALUE"""),"Renuka Shrestha, Pratima Shakya")</f>
        <v>Renuka Shrestha, Pratima Shakya</v>
      </c>
      <c r="H763" s="2"/>
      <c r="I763" s="2" t="str">
        <f>IFERROR(__xludf.DUMMYFUNCTION("""COMPUTED_VALUE"""),"26o 54' 15""")</f>
        <v>26o 54' 15"</v>
      </c>
      <c r="J763" s="2" t="str">
        <f>IFERROR(__xludf.DUMMYFUNCTION("""COMPUTED_VALUE"""),"26o 55' 30""")</f>
        <v>26o 55' 30"</v>
      </c>
      <c r="K763" s="2" t="str">
        <f>IFERROR(__xludf.DUMMYFUNCTION("""COMPUTED_VALUE"""),"87o 53' 00""")</f>
        <v>87o 53' 00"</v>
      </c>
      <c r="L763" s="2" t="str">
        <f>IFERROR(__xludf.DUMMYFUNCTION("""COMPUTED_VALUE"""),"87o 55' 00""")</f>
        <v>87o 55' 00"</v>
      </c>
      <c r="M763" s="2" t="str">
        <f>IFERROR(__xludf.DUMMYFUNCTION("""COMPUTED_VALUE"""),"Sangrumba (Ilam)")</f>
        <v>Sangrumba (Ilam)</v>
      </c>
    </row>
    <row r="764">
      <c r="A764" s="2">
        <f>IFERROR(__xludf.DUMMYFUNCTION("""COMPUTED_VALUE"""),763.0)</f>
        <v>763</v>
      </c>
      <c r="B764" s="2" t="str">
        <f>IFERROR(__xludf.DUMMYFUNCTION("""COMPUTED_VALUE"""),"Hadi SHP")</f>
        <v>Hadi SHP</v>
      </c>
      <c r="C764" s="2">
        <f>IFERROR(__xludf.DUMMYFUNCTION("""COMPUTED_VALUE"""),0.99)</f>
        <v>0.99</v>
      </c>
      <c r="D764" s="2" t="str">
        <f>IFERROR(__xludf.DUMMYFUNCTION("""COMPUTED_VALUE"""),"Hadi")</f>
        <v>Hadi</v>
      </c>
      <c r="E764" s="2">
        <f>IFERROR(__xludf.DUMMYFUNCTION("""COMPUTED_VALUE"""),1728.0)</f>
        <v>1728</v>
      </c>
      <c r="F764" s="3">
        <f>IFERROR(__xludf.DUMMYFUNCTION("""COMPUTED_VALUE"""),60488.0)</f>
        <v>60488</v>
      </c>
      <c r="G764" s="2" t="str">
        <f>IFERROR(__xludf.DUMMYFUNCTION("""COMPUTED_VALUE"""),"Arjun Marasini")</f>
        <v>Arjun Marasini</v>
      </c>
      <c r="H764" s="2" t="str">
        <f>IFERROR(__xludf.DUMMYFUNCTION("""COMPUTED_VALUE"""),"Kalanki, Kathmandu, Ph: 016203262, 9841323720")</f>
        <v>Kalanki, Kathmandu, Ph: 016203262, 9841323720</v>
      </c>
      <c r="I764" s="2" t="str">
        <f>IFERROR(__xludf.DUMMYFUNCTION("""COMPUTED_VALUE"""),"27o 46' 52""")</f>
        <v>27o 46' 52"</v>
      </c>
      <c r="J764" s="2" t="str">
        <f>IFERROR(__xludf.DUMMYFUNCTION("""COMPUTED_VALUE"""),"27o 47' 57""")</f>
        <v>27o 47' 57"</v>
      </c>
      <c r="K764" s="2" t="str">
        <f>IFERROR(__xludf.DUMMYFUNCTION("""COMPUTED_VALUE"""),"85o 57' 39""")</f>
        <v>85o 57' 39"</v>
      </c>
      <c r="L764" s="2" t="str">
        <f>IFERROR(__xludf.DUMMYFUNCTION("""COMPUTED_VALUE"""),"85o 59' 36""")</f>
        <v>85o 59' 36"</v>
      </c>
      <c r="M764" s="2" t="str">
        <f>IFERROR(__xludf.DUMMYFUNCTION("""COMPUTED_VALUE"""),"Ghorthali,Karthali (Sindhupalchok)")</f>
        <v>Ghorthali,Karthali (Sindhupalchok)</v>
      </c>
    </row>
    <row r="765">
      <c r="A765" s="2">
        <f>IFERROR(__xludf.DUMMYFUNCTION("""COMPUTED_VALUE"""),764.0)</f>
        <v>764</v>
      </c>
      <c r="B765" s="2" t="str">
        <f>IFERROR(__xludf.DUMMYFUNCTION("""COMPUTED_VALUE"""),"Hadi Khola")</f>
        <v>Hadi Khola</v>
      </c>
      <c r="C765" s="2">
        <f>IFERROR(__xludf.DUMMYFUNCTION("""COMPUTED_VALUE"""),0.99)</f>
        <v>0.99</v>
      </c>
      <c r="D765" s="2"/>
      <c r="E765" s="2">
        <f>IFERROR(__xludf.DUMMYFUNCTION("""COMPUTED_VALUE"""),1728.0)</f>
        <v>1728</v>
      </c>
      <c r="F765" s="3">
        <f>IFERROR(__xludf.DUMMYFUNCTION("""COMPUTED_VALUE"""),60488.0)</f>
        <v>60488</v>
      </c>
      <c r="G765" s="2" t="str">
        <f>IFERROR(__xludf.DUMMYFUNCTION("""COMPUTED_VALUE"""),"Arjun Marasini")</f>
        <v>Arjun Marasini</v>
      </c>
      <c r="H765" s="2" t="str">
        <f>IFERROR(__xludf.DUMMYFUNCTION("""COMPUTED_VALUE"""),"Banganga-2, Kapilbastu, Phone 9841323720")</f>
        <v>Banganga-2, Kapilbastu, Phone 9841323720</v>
      </c>
      <c r="I765" s="2" t="str">
        <f>IFERROR(__xludf.DUMMYFUNCTION("""COMPUTED_VALUE"""),"27o 46' 52""")</f>
        <v>27o 46' 52"</v>
      </c>
      <c r="J765" s="2" t="str">
        <f>IFERROR(__xludf.DUMMYFUNCTION("""COMPUTED_VALUE"""),"27o 47' 57""")</f>
        <v>27o 47' 57"</v>
      </c>
      <c r="K765" s="2" t="str">
        <f>IFERROR(__xludf.DUMMYFUNCTION("""COMPUTED_VALUE"""),"85o 57' 39""")</f>
        <v>85o 57' 39"</v>
      </c>
      <c r="L765" s="2" t="str">
        <f>IFERROR(__xludf.DUMMYFUNCTION("""COMPUTED_VALUE"""),"85o 59' 36""")</f>
        <v>85o 59' 36"</v>
      </c>
      <c r="M765" s="2" t="str">
        <f>IFERROR(__xludf.DUMMYFUNCTION("""COMPUTED_VALUE"""),"Ghorthali,Karthali (Sindhupalchok)")</f>
        <v>Ghorthali,Karthali (Sindhupalchok)</v>
      </c>
    </row>
    <row r="766">
      <c r="A766" s="2">
        <f>IFERROR(__xludf.DUMMYFUNCTION("""COMPUTED_VALUE"""),765.0)</f>
        <v>765</v>
      </c>
      <c r="B766" s="2" t="str">
        <f>IFERROR(__xludf.DUMMYFUNCTION("""COMPUTED_VALUE"""),"Tila IV")</f>
        <v>Tila IV</v>
      </c>
      <c r="C766" s="2">
        <f>IFERROR(__xludf.DUMMYFUNCTION("""COMPUTED_VALUE"""),89.0)</f>
        <v>89</v>
      </c>
      <c r="D766" s="2"/>
      <c r="E766" s="2">
        <f>IFERROR(__xludf.DUMMYFUNCTION("""COMPUTED_VALUE"""),1742.0)</f>
        <v>1742</v>
      </c>
      <c r="F766" s="3">
        <f>IFERROR(__xludf.DUMMYFUNCTION("""COMPUTED_VALUE"""),60489.0)</f>
        <v>60489</v>
      </c>
      <c r="G766" s="2" t="str">
        <f>IFERROR(__xludf.DUMMYFUNCTION("""COMPUTED_VALUE"""),"Bhuwaneswori Hydropower Pvt. Ltd.")</f>
        <v>Bhuwaneswori Hydropower Pvt. Ltd.</v>
      </c>
      <c r="H766" s="2" t="str">
        <f>IFERROR(__xludf.DUMMYFUNCTION("""COMPUTED_VALUE"""),"Naxal Kathmandu, Phone 01-4418896, 9851030527")</f>
        <v>Naxal Kathmandu, Phone 01-4418896, 9851030527</v>
      </c>
      <c r="I766" s="2" t="str">
        <f>IFERROR(__xludf.DUMMYFUNCTION("""COMPUTED_VALUE"""),"29o 09' 00""")</f>
        <v>29o 09' 00"</v>
      </c>
      <c r="J766" s="2" t="str">
        <f>IFERROR(__xludf.DUMMYFUNCTION("""COMPUTED_VALUE"""),"29o 15' 00""")</f>
        <v>29o 15' 00"</v>
      </c>
      <c r="K766" s="2" t="str">
        <f>IFERROR(__xludf.DUMMYFUNCTION("""COMPUTED_VALUE"""),"81o 52' 30""")</f>
        <v>81o 52' 30"</v>
      </c>
      <c r="L766" s="2" t="str">
        <f>IFERROR(__xludf.DUMMYFUNCTION("""COMPUTED_VALUE"""),"82o 00' 00""")</f>
        <v>82o 00' 00"</v>
      </c>
      <c r="M766" s="2" t="str">
        <f>IFERROR(__xludf.DUMMYFUNCTION("""COMPUTED_VALUE"""),"Ranchuli (Kalikot)")</f>
        <v>Ranchuli (Kalikot)</v>
      </c>
    </row>
    <row r="767">
      <c r="A767" s="2">
        <f>IFERROR(__xludf.DUMMYFUNCTION("""COMPUTED_VALUE"""),766.0)</f>
        <v>766</v>
      </c>
      <c r="B767" s="2" t="str">
        <f>IFERROR(__xludf.DUMMYFUNCTION("""COMPUTED_VALUE"""),"Chhape Khola")</f>
        <v>Chhape Khola</v>
      </c>
      <c r="C767" s="2">
        <f>IFERROR(__xludf.DUMMYFUNCTION("""COMPUTED_VALUE"""),0.561)</f>
        <v>0.561</v>
      </c>
      <c r="D767" s="2"/>
      <c r="E767" s="2">
        <f>IFERROR(__xludf.DUMMYFUNCTION("""COMPUTED_VALUE"""),1754.0)</f>
        <v>1754</v>
      </c>
      <c r="F767" s="3">
        <f>IFERROR(__xludf.DUMMYFUNCTION("""COMPUTED_VALUE"""),60489.0)</f>
        <v>60489</v>
      </c>
      <c r="G767" s="2" t="str">
        <f>IFERROR(__xludf.DUMMYFUNCTION("""COMPUTED_VALUE"""),"Dinesh Pratap Rana, Narayan Panthi")</f>
        <v>Dinesh Pratap Rana, Narayan Panthi</v>
      </c>
      <c r="H767" s="2" t="str">
        <f>IFERROR(__xludf.DUMMYFUNCTION("""COMPUTED_VALUE"""),"Butwal Rupendehi, Phone 9747034304, 9847078280, 9847078281")</f>
        <v>Butwal Rupendehi, Phone 9747034304, 9847078280, 9847078281</v>
      </c>
      <c r="I767" s="2" t="str">
        <f>IFERROR(__xludf.DUMMYFUNCTION("""COMPUTED_VALUE"""),"27o 58' 40""")</f>
        <v>27o 58' 40"</v>
      </c>
      <c r="J767" s="2" t="str">
        <f>IFERROR(__xludf.DUMMYFUNCTION("""COMPUTED_VALUE"""),"28o 00' 00""")</f>
        <v>28o 00' 00"</v>
      </c>
      <c r="K767" s="2" t="str">
        <f>IFERROR(__xludf.DUMMYFUNCTION("""COMPUTED_VALUE"""),"81o 57' 30""")</f>
        <v>81o 57' 30"</v>
      </c>
      <c r="L767" s="2" t="str">
        <f>IFERROR(__xludf.DUMMYFUNCTION("""COMPUTED_VALUE"""),"81o 59' 00""")</f>
        <v>81o 59' 00"</v>
      </c>
      <c r="M767" s="2" t="str">
        <f>IFERROR(__xludf.DUMMYFUNCTION("""COMPUTED_VALUE"""),"Bijuli (Pyuthan)")</f>
        <v>Bijuli (Pyuthan)</v>
      </c>
    </row>
    <row r="768">
      <c r="A768" s="2">
        <f>IFERROR(__xludf.DUMMYFUNCTION("""COMPUTED_VALUE"""),767.0)</f>
        <v>767</v>
      </c>
      <c r="B768" s="2" t="str">
        <f>IFERROR(__xludf.DUMMYFUNCTION("""COMPUTED_VALUE"""),"Jhimruk I")</f>
        <v>Jhimruk I</v>
      </c>
      <c r="C768" s="2">
        <f>IFERROR(__xludf.DUMMYFUNCTION("""COMPUTED_VALUE"""),5.0)</f>
        <v>5</v>
      </c>
      <c r="D768" s="2"/>
      <c r="E768" s="2">
        <f>IFERROR(__xludf.DUMMYFUNCTION("""COMPUTED_VALUE"""),1755.0)</f>
        <v>1755</v>
      </c>
      <c r="F768" s="3">
        <f>IFERROR(__xludf.DUMMYFUNCTION("""COMPUTED_VALUE"""),60489.0)</f>
        <v>60489</v>
      </c>
      <c r="G768" s="2" t="str">
        <f>IFERROR(__xludf.DUMMYFUNCTION("""COMPUTED_VALUE"""),"Dinesh Pratap Rana, Narayan Panthi")</f>
        <v>Dinesh Pratap Rana, Narayan Panthi</v>
      </c>
      <c r="H768" s="2" t="str">
        <f>IFERROR(__xludf.DUMMYFUNCTION("""COMPUTED_VALUE"""),"Butwal Rupendehi, Phone 9747034304, 9847078280, 9847078281")</f>
        <v>Butwal Rupendehi, Phone 9747034304, 9847078280, 9847078281</v>
      </c>
      <c r="I768" s="2" t="str">
        <f>IFERROR(__xludf.DUMMYFUNCTION("""COMPUTED_VALUE"""),"28o 00' 00""")</f>
        <v>28o 00' 00"</v>
      </c>
      <c r="J768" s="2" t="str">
        <f>IFERROR(__xludf.DUMMYFUNCTION("""COMPUTED_VALUE"""),"28o 01' 29""")</f>
        <v>28o 01' 29"</v>
      </c>
      <c r="K768" s="2" t="str">
        <f>IFERROR(__xludf.DUMMYFUNCTION("""COMPUTED_VALUE"""),"82o 57' 45""")</f>
        <v>82o 57' 45"</v>
      </c>
      <c r="L768" s="2" t="str">
        <f>IFERROR(__xludf.DUMMYFUNCTION("""COMPUTED_VALUE"""),"82o 59' 00""")</f>
        <v>82o 59' 00"</v>
      </c>
      <c r="M768" s="2" t="str">
        <f>IFERROR(__xludf.DUMMYFUNCTION("""COMPUTED_VALUE"""),"Baraula (Pyuthan)")</f>
        <v>Baraula (Pyuthan)</v>
      </c>
    </row>
    <row r="769">
      <c r="A769" s="2">
        <f>IFERROR(__xludf.DUMMYFUNCTION("""COMPUTED_VALUE"""),768.0)</f>
        <v>768</v>
      </c>
      <c r="B769" s="2" t="str">
        <f>IFERROR(__xludf.DUMMYFUNCTION("""COMPUTED_VALUE"""),"Sunkoshi-3 Storage")</f>
        <v>Sunkoshi-3 Storage</v>
      </c>
      <c r="C769" s="2">
        <f>IFERROR(__xludf.DUMMYFUNCTION("""COMPUTED_VALUE"""),536.0)</f>
        <v>536</v>
      </c>
      <c r="D769" s="2"/>
      <c r="E769" s="2">
        <f>IFERROR(__xludf.DUMMYFUNCTION("""COMPUTED_VALUE"""),1774.0)</f>
        <v>1774</v>
      </c>
      <c r="F769" s="3">
        <f>IFERROR(__xludf.DUMMYFUNCTION("""COMPUTED_VALUE"""),60490.0)</f>
        <v>60490</v>
      </c>
      <c r="G769" s="2" t="str">
        <f>IFERROR(__xludf.DUMMYFUNCTION("""COMPUTED_VALUE"""),"Classic Hydropower Pvt. Ltd.")</f>
        <v>Classic Hydropower Pvt. Ltd.</v>
      </c>
      <c r="H769" s="2" t="str">
        <f>IFERROR(__xludf.DUMMYFUNCTION("""COMPUTED_VALUE"""),"63, Ring Road, Lajpat Nagar, New Delhi, India")</f>
        <v>63, Ring Road, Lajpat Nagar, New Delhi, India</v>
      </c>
      <c r="I769" s="2" t="str">
        <f>IFERROR(__xludf.DUMMYFUNCTION("""COMPUTED_VALUE"""),"27o 30' 00""")</f>
        <v>27o 30' 00"</v>
      </c>
      <c r="J769" s="2" t="str">
        <f>IFERROR(__xludf.DUMMYFUNCTION("""COMPUTED_VALUE"""),"27o 45' 00""")</f>
        <v>27o 45' 00"</v>
      </c>
      <c r="K769" s="2" t="str">
        <f>IFERROR(__xludf.DUMMYFUNCTION("""COMPUTED_VALUE"""),"85o 37' 30""")</f>
        <v>85o 37' 30"</v>
      </c>
      <c r="L769" s="2" t="str">
        <f>IFERROR(__xludf.DUMMYFUNCTION("""COMPUTED_VALUE"""),"85o 48' 30""")</f>
        <v>85o 48' 30"</v>
      </c>
      <c r="M769" s="2" t="str">
        <f>IFERROR(__xludf.DUMMYFUNCTION("""COMPUTED_VALUE"""),"Birtadhourali,Bolde Fediche (Kavrepalanchok)")</f>
        <v>Birtadhourali,Bolde Fediche (Kavrepalanchok)</v>
      </c>
    </row>
    <row r="770">
      <c r="A770" s="2">
        <f>IFERROR(__xludf.DUMMYFUNCTION("""COMPUTED_VALUE"""),769.0)</f>
        <v>769</v>
      </c>
      <c r="B770" s="2" t="str">
        <f>IFERROR(__xludf.DUMMYFUNCTION("""COMPUTED_VALUE"""),"Ikadi Gad")</f>
        <v>Ikadi Gad</v>
      </c>
      <c r="C770" s="2">
        <f>IFERROR(__xludf.DUMMYFUNCTION("""COMPUTED_VALUE"""),1.0)</f>
        <v>1</v>
      </c>
      <c r="D770" s="2"/>
      <c r="E770" s="2">
        <f>IFERROR(__xludf.DUMMYFUNCTION("""COMPUTED_VALUE"""),1778.0)</f>
        <v>1778</v>
      </c>
      <c r="F770" s="3">
        <f>IFERROR(__xludf.DUMMYFUNCTION("""COMPUTED_VALUE"""),60490.0)</f>
        <v>60490</v>
      </c>
      <c r="G770" s="2" t="str">
        <f>IFERROR(__xludf.DUMMYFUNCTION("""COMPUTED_VALUE"""),"Malika Bajura Hydropower Pvt. Ltd. ( Hikmat Bahadur Shah")</f>
        <v>Malika Bajura Hydropower Pvt. Ltd. ( Hikmat Bahadur Shah</v>
      </c>
      <c r="H770" s="2" t="str">
        <f>IFERROR(__xludf.DUMMYFUNCTION("""COMPUTED_VALUE"""),"Dhangadhi Kailali")</f>
        <v>Dhangadhi Kailali</v>
      </c>
      <c r="I770" s="2" t="str">
        <f>IFERROR(__xludf.DUMMYFUNCTION("""COMPUTED_VALUE"""),"29o 18' 38""")</f>
        <v>29o 18' 38"</v>
      </c>
      <c r="J770" s="2" t="str">
        <f>IFERROR(__xludf.DUMMYFUNCTION("""COMPUTED_VALUE"""),"29o 20' 12""")</f>
        <v>29o 20' 12"</v>
      </c>
      <c r="K770" s="2" t="str">
        <f>IFERROR(__xludf.DUMMYFUNCTION("""COMPUTED_VALUE"""),"81o 15' 37""")</f>
        <v>81o 15' 37"</v>
      </c>
      <c r="L770" s="2" t="str">
        <f>IFERROR(__xludf.DUMMYFUNCTION("""COMPUTED_VALUE"""),"81o 16' 23""")</f>
        <v>81o 16' 23"</v>
      </c>
      <c r="M770" s="2" t="str">
        <f>IFERROR(__xludf.DUMMYFUNCTION("""COMPUTED_VALUE"""),"Jayabageswori (Bajura)")</f>
        <v>Jayabageswori (Bajura)</v>
      </c>
    </row>
    <row r="771">
      <c r="A771" s="2">
        <f>IFERROR(__xludf.DUMMYFUNCTION("""COMPUTED_VALUE"""),770.0)</f>
        <v>770</v>
      </c>
      <c r="B771" s="2" t="str">
        <f>IFERROR(__xludf.DUMMYFUNCTION("""COMPUTED_VALUE"""),"Middle Naugad")</f>
        <v>Middle Naugad</v>
      </c>
      <c r="C771" s="2">
        <f>IFERROR(__xludf.DUMMYFUNCTION("""COMPUTED_VALUE"""),1.0)</f>
        <v>1</v>
      </c>
      <c r="D771" s="2"/>
      <c r="E771" s="2">
        <f>IFERROR(__xludf.DUMMYFUNCTION("""COMPUTED_VALUE"""),1788.0)</f>
        <v>1788</v>
      </c>
      <c r="F771" s="3">
        <f>IFERROR(__xludf.DUMMYFUNCTION("""COMPUTED_VALUE"""),60491.0)</f>
        <v>60491</v>
      </c>
      <c r="G771" s="2" t="str">
        <f>IFERROR(__xludf.DUMMYFUNCTION("""COMPUTED_VALUE"""),"Bahadur Singh Dhami")</f>
        <v>Bahadur Singh Dhami</v>
      </c>
      <c r="H771" s="2" t="str">
        <f>IFERROR(__xludf.DUMMYFUNCTION("""COMPUTED_VALUE"""),"Dhuligada - 8 Darchula")</f>
        <v>Dhuligada - 8 Darchula</v>
      </c>
      <c r="I771" s="2" t="str">
        <f>IFERROR(__xludf.DUMMYFUNCTION("""COMPUTED_VALUE"""),"29o 43' 27""")</f>
        <v>29o 43' 27"</v>
      </c>
      <c r="J771" s="2" t="str">
        <f>IFERROR(__xludf.DUMMYFUNCTION("""COMPUTED_VALUE"""),"29o 44' 31""")</f>
        <v>29o 44' 31"</v>
      </c>
      <c r="K771" s="2" t="str">
        <f>IFERROR(__xludf.DUMMYFUNCTION("""COMPUTED_VALUE"""),"80o 36' 25""")</f>
        <v>80o 36' 25"</v>
      </c>
      <c r="L771" s="2" t="str">
        <f>IFERROR(__xludf.DUMMYFUNCTION("""COMPUTED_VALUE"""),"80o 39' 31""")</f>
        <v>80o 39' 31"</v>
      </c>
      <c r="M771" s="2" t="str">
        <f>IFERROR(__xludf.DUMMYFUNCTION("""COMPUTED_VALUE"""),"Dethala,Dhuligada (Darchula)")</f>
        <v>Dethala,Dhuligada (Darchula)</v>
      </c>
    </row>
    <row r="772">
      <c r="A772" s="2">
        <f>IFERROR(__xludf.DUMMYFUNCTION("""COMPUTED_VALUE"""),771.0)</f>
        <v>771</v>
      </c>
      <c r="B772" s="2" t="str">
        <f>IFERROR(__xludf.DUMMYFUNCTION("""COMPUTED_VALUE"""),"Kordali Gad Hydropower Project")</f>
        <v>Kordali Gad Hydropower Project</v>
      </c>
      <c r="C772" s="2">
        <f>IFERROR(__xludf.DUMMYFUNCTION("""COMPUTED_VALUE"""),3.0)</f>
        <v>3</v>
      </c>
      <c r="D772" s="2" t="str">
        <f>IFERROR(__xludf.DUMMYFUNCTION("""COMPUTED_VALUE"""),"Kodar Gad")</f>
        <v>Kodar Gad</v>
      </c>
      <c r="E772" s="2">
        <f>IFERROR(__xludf.DUMMYFUNCTION("""COMPUTED_VALUE"""),1789.0)</f>
        <v>1789</v>
      </c>
      <c r="F772" s="3">
        <f>IFERROR(__xludf.DUMMYFUNCTION("""COMPUTED_VALUE"""),60491.0)</f>
        <v>60491</v>
      </c>
      <c r="G772" s="2" t="str">
        <f>IFERROR(__xludf.DUMMYFUNCTION("""COMPUTED_VALUE"""),"Malika Bajura Hydropower Pvt. Ltd")</f>
        <v>Malika Bajura Hydropower Pvt. Ltd</v>
      </c>
      <c r="H772" s="2" t="str">
        <f>IFERROR(__xludf.DUMMYFUNCTION("""COMPUTED_VALUE"""),"Dhangadi Kailali")</f>
        <v>Dhangadi Kailali</v>
      </c>
      <c r="I772" s="2" t="str">
        <f>IFERROR(__xludf.DUMMYFUNCTION("""COMPUTED_VALUE"""),"29o 23' 00""")</f>
        <v>29o 23' 00"</v>
      </c>
      <c r="J772" s="2" t="str">
        <f>IFERROR(__xludf.DUMMYFUNCTION("""COMPUTED_VALUE"""),"29o 25' 00""")</f>
        <v>29o 25' 00"</v>
      </c>
      <c r="K772" s="2" t="str">
        <f>IFERROR(__xludf.DUMMYFUNCTION("""COMPUTED_VALUE"""),"81o 25' 58""")</f>
        <v>81o 25' 58"</v>
      </c>
      <c r="L772" s="2" t="str">
        <f>IFERROR(__xludf.DUMMYFUNCTION("""COMPUTED_VALUE"""),"81o 28' 03""")</f>
        <v>81o 28' 03"</v>
      </c>
      <c r="M772" s="2" t="str">
        <f>IFERROR(__xludf.DUMMYFUNCTION("""COMPUTED_VALUE"""),"Budhiganga (Bajura)")</f>
        <v>Budhiganga (Bajura)</v>
      </c>
    </row>
    <row r="773">
      <c r="A773" s="2">
        <f>IFERROR(__xludf.DUMMYFUNCTION("""COMPUTED_VALUE"""),772.0)</f>
        <v>772</v>
      </c>
      <c r="B773" s="2" t="str">
        <f>IFERROR(__xludf.DUMMYFUNCTION("""COMPUTED_VALUE"""),"Marin Khola SHP")</f>
        <v>Marin Khola SHP</v>
      </c>
      <c r="C773" s="2">
        <f>IFERROR(__xludf.DUMMYFUNCTION("""COMPUTED_VALUE"""),1.0)</f>
        <v>1</v>
      </c>
      <c r="D773" s="2" t="str">
        <f>IFERROR(__xludf.DUMMYFUNCTION("""COMPUTED_VALUE"""),"Marin")</f>
        <v>Marin</v>
      </c>
      <c r="E773" s="2">
        <f>IFERROR(__xludf.DUMMYFUNCTION("""COMPUTED_VALUE"""),1806.0)</f>
        <v>1806</v>
      </c>
      <c r="F773" s="3">
        <f>IFERROR(__xludf.DUMMYFUNCTION("""COMPUTED_VALUE"""),60494.0)</f>
        <v>60494</v>
      </c>
      <c r="G773" s="2" t="str">
        <f>IFERROR(__xludf.DUMMYFUNCTION("""COMPUTED_VALUE"""),"Jaya Kumar Upadhyaya, Rabi Singh, Kishore Shrestha,Uma Karki,")</f>
        <v>Jaya Kumar Upadhyaya, Rabi Singh, Kishore Shrestha,Uma Karki,</v>
      </c>
      <c r="H773" s="2" t="str">
        <f>IFERROR(__xludf.DUMMYFUNCTION("""COMPUTED_VALUE"""),"Shantinagar, Kathmandu, Ph: 4108585")</f>
        <v>Shantinagar, Kathmandu, Ph: 4108585</v>
      </c>
      <c r="I773" s="2" t="str">
        <f>IFERROR(__xludf.DUMMYFUNCTION("""COMPUTED_VALUE"""),"00o 00' 00""")</f>
        <v>00o 00' 00"</v>
      </c>
      <c r="J773" s="2" t="str">
        <f>IFERROR(__xludf.DUMMYFUNCTION("""COMPUTED_VALUE"""),"00o 00' 00""")</f>
        <v>00o 00' 00"</v>
      </c>
      <c r="K773" s="2" t="str">
        <f>IFERROR(__xludf.DUMMYFUNCTION("""COMPUTED_VALUE"""),"00o 00' 00""")</f>
        <v>00o 00' 00"</v>
      </c>
      <c r="L773" s="2" t="str">
        <f>IFERROR(__xludf.DUMMYFUNCTION("""COMPUTED_VALUE"""),"00o 00' 00""")</f>
        <v>00o 00' 00"</v>
      </c>
      <c r="M773" s="2" t="str">
        <f>IFERROR(__xludf.DUMMYFUNCTION("""COMPUTED_VALUE"""),"Amale,Bhadrakali,Dadiguransh (Sindhuli)")</f>
        <v>Amale,Bhadrakali,Dadiguransh (Sindhuli)</v>
      </c>
    </row>
    <row r="774">
      <c r="A774" s="2">
        <f>IFERROR(__xludf.DUMMYFUNCTION("""COMPUTED_VALUE"""),773.0)</f>
        <v>773</v>
      </c>
      <c r="B774" s="2" t="str">
        <f>IFERROR(__xludf.DUMMYFUNCTION("""COMPUTED_VALUE"""),"Sanigad")</f>
        <v>Sanigad</v>
      </c>
      <c r="C774" s="2">
        <f>IFERROR(__xludf.DUMMYFUNCTION("""COMPUTED_VALUE"""),5.7)</f>
        <v>5.7</v>
      </c>
      <c r="D774" s="2"/>
      <c r="E774" s="2">
        <f>IFERROR(__xludf.DUMMYFUNCTION("""COMPUTED_VALUE"""),1815.0)</f>
        <v>1815</v>
      </c>
      <c r="F774" s="3">
        <f>IFERROR(__xludf.DUMMYFUNCTION("""COMPUTED_VALUE"""),60494.0)</f>
        <v>60494</v>
      </c>
      <c r="G774" s="2" t="str">
        <f>IFERROR(__xludf.DUMMYFUNCTION("""COMPUTED_VALUE"""),"Ohm Kumari Shah, Kumar Bahadur Maharjan, Mina KC, Shanti Kumari Singh")</f>
        <v>Ohm Kumari Shah, Kumar Bahadur Maharjan, Mina KC, Shanti Kumari Singh</v>
      </c>
      <c r="H774" s="2" t="str">
        <f>IFERROR(__xludf.DUMMYFUNCTION("""COMPUTED_VALUE"""),"Sukedhara, Kathmandu")</f>
        <v>Sukedhara, Kathmandu</v>
      </c>
      <c r="I774" s="2" t="str">
        <f>IFERROR(__xludf.DUMMYFUNCTION("""COMPUTED_VALUE"""),"29o 34' 43""")</f>
        <v>29o 34' 43"</v>
      </c>
      <c r="J774" s="2" t="str">
        <f>IFERROR(__xludf.DUMMYFUNCTION("""COMPUTED_VALUE"""),"29o 40' 48""")</f>
        <v>29o 40' 48"</v>
      </c>
      <c r="K774" s="2" t="str">
        <f>IFERROR(__xludf.DUMMYFUNCTION("""COMPUTED_VALUE"""),"80o 48' 51""")</f>
        <v>80o 48' 51"</v>
      </c>
      <c r="L774" s="2" t="str">
        <f>IFERROR(__xludf.DUMMYFUNCTION("""COMPUTED_VALUE"""),"80o 52' 10""")</f>
        <v>80o 52' 10"</v>
      </c>
      <c r="M774" s="2"/>
    </row>
    <row r="775">
      <c r="A775" s="2">
        <f>IFERROR(__xludf.DUMMYFUNCTION("""COMPUTED_VALUE"""),774.0)</f>
        <v>774</v>
      </c>
      <c r="B775" s="2" t="str">
        <f>IFERROR(__xludf.DUMMYFUNCTION("""COMPUTED_VALUE"""),"Kalanga Khola")</f>
        <v>Kalanga Khola</v>
      </c>
      <c r="C775" s="2">
        <f>IFERROR(__xludf.DUMMYFUNCTION("""COMPUTED_VALUE"""),8.0)</f>
        <v>8</v>
      </c>
      <c r="D775" s="2"/>
      <c r="E775" s="2">
        <f>IFERROR(__xludf.DUMMYFUNCTION("""COMPUTED_VALUE"""),1816.0)</f>
        <v>1816</v>
      </c>
      <c r="F775" s="3">
        <f>IFERROR(__xludf.DUMMYFUNCTION("""COMPUTED_VALUE"""),60494.0)</f>
        <v>60494</v>
      </c>
      <c r="G775" s="2" t="str">
        <f>IFERROR(__xludf.DUMMYFUNCTION("""COMPUTED_VALUE"""),"Birendra Bahadur Malla, Sangita Lama, Rajya Laxmi Malla Dhakal, Mina KC, 
Shanti Kumari Singh")</f>
        <v>Birendra Bahadur Malla, Sangita Lama, Rajya Laxmi Malla Dhakal, Mina KC, 
Shanti Kumari Singh</v>
      </c>
      <c r="H775" s="2" t="str">
        <f>IFERROR(__xludf.DUMMYFUNCTION("""COMPUTED_VALUE"""),"Sukedhara Kathmandu")</f>
        <v>Sukedhara Kathmandu</v>
      </c>
      <c r="I775" s="2" t="str">
        <f>IFERROR(__xludf.DUMMYFUNCTION("""COMPUTED_VALUE"""),"29o 30' 00""")</f>
        <v>29o 30' 00"</v>
      </c>
      <c r="J775" s="2" t="str">
        <f>IFERROR(__xludf.DUMMYFUNCTION("""COMPUTED_VALUE"""),"29o 35' 00""")</f>
        <v>29o 35' 00"</v>
      </c>
      <c r="K775" s="2" t="str">
        <f>IFERROR(__xludf.DUMMYFUNCTION("""COMPUTED_VALUE"""),"80o 50' 45""")</f>
        <v>80o 50' 45"</v>
      </c>
      <c r="L775" s="2" t="str">
        <f>IFERROR(__xludf.DUMMYFUNCTION("""COMPUTED_VALUE"""),"80o 54' 45""")</f>
        <v>80o 54' 45"</v>
      </c>
      <c r="M775" s="2"/>
    </row>
    <row r="776">
      <c r="A776" s="2">
        <f>IFERROR(__xludf.DUMMYFUNCTION("""COMPUTED_VALUE"""),775.0)</f>
        <v>775</v>
      </c>
      <c r="B776" s="2" t="str">
        <f>IFERROR(__xludf.DUMMYFUNCTION("""COMPUTED_VALUE"""),"Phagam Khola")</f>
        <v>Phagam Khola</v>
      </c>
      <c r="C776" s="2">
        <f>IFERROR(__xludf.DUMMYFUNCTION("""COMPUTED_VALUE"""),0.99)</f>
        <v>0.99</v>
      </c>
      <c r="D776" s="2"/>
      <c r="E776" s="2">
        <f>IFERROR(__xludf.DUMMYFUNCTION("""COMPUTED_VALUE"""),1820.0)</f>
        <v>1820</v>
      </c>
      <c r="F776" s="3">
        <f>IFERROR(__xludf.DUMMYFUNCTION("""COMPUTED_VALUE"""),60494.0)</f>
        <v>60494</v>
      </c>
      <c r="G776" s="2" t="str">
        <f>IFERROR(__xludf.DUMMYFUNCTION("""COMPUTED_VALUE"""),"Khodaija &amp; Hajara National Development Hydropower Pvt. Ltd.")</f>
        <v>Khodaija &amp; Hajara National Development Hydropower Pvt. Ltd.</v>
      </c>
      <c r="H776" s="2" t="str">
        <f>IFERROR(__xludf.DUMMYFUNCTION("""COMPUTED_VALUE"""),"Birpur 9 Kapilbastu, Phone 9847042945")</f>
        <v>Birpur 9 Kapilbastu, Phone 9847042945</v>
      </c>
      <c r="I776" s="2" t="str">
        <f>IFERROR(__xludf.DUMMYFUNCTION("""COMPUTED_VALUE"""),"28o 15' 00""")</f>
        <v>28o 15' 00"</v>
      </c>
      <c r="J776" s="2" t="str">
        <f>IFERROR(__xludf.DUMMYFUNCTION("""COMPUTED_VALUE"""),"28o 17' 30""")</f>
        <v>28o 17' 30"</v>
      </c>
      <c r="K776" s="2" t="str">
        <f>IFERROR(__xludf.DUMMYFUNCTION("""COMPUTED_VALUE"""),"82o 43' 40""")</f>
        <v>82o 43' 40"</v>
      </c>
      <c r="L776" s="2" t="str">
        <f>IFERROR(__xludf.DUMMYFUNCTION("""COMPUTED_VALUE"""),"82o 45' 25""")</f>
        <v>82o 45' 25"</v>
      </c>
      <c r="M776" s="2"/>
    </row>
    <row r="777">
      <c r="A777" s="2">
        <f>IFERROR(__xludf.DUMMYFUNCTION("""COMPUTED_VALUE"""),776.0)</f>
        <v>776</v>
      </c>
      <c r="B777" s="2" t="str">
        <f>IFERROR(__xludf.DUMMYFUNCTION("""COMPUTED_VALUE"""),"Indrawati Badegaun")</f>
        <v>Indrawati Badegaun</v>
      </c>
      <c r="C777" s="2">
        <f>IFERROR(__xludf.DUMMYFUNCTION("""COMPUTED_VALUE"""),5.0)</f>
        <v>5</v>
      </c>
      <c r="D777" s="2" t="str">
        <f>IFERROR(__xludf.DUMMYFUNCTION("""COMPUTED_VALUE"""),"Indrawati Khola")</f>
        <v>Indrawati Khola</v>
      </c>
      <c r="E777" s="2">
        <f>IFERROR(__xludf.DUMMYFUNCTION("""COMPUTED_VALUE"""),1402.0)</f>
        <v>1402</v>
      </c>
      <c r="F777" s="3">
        <f>IFERROR(__xludf.DUMMYFUNCTION("""COMPUTED_VALUE"""),60495.0)</f>
        <v>60495</v>
      </c>
      <c r="G777" s="2" t="str">
        <f>IFERROR(__xludf.DUMMYFUNCTION("""COMPUTED_VALUE"""),"Ashok Chaulagain Vishnumani Acharya Prabal Sharma Pratima Shrestha Ram 
Bahadur Gharti")</f>
        <v>Ashok Chaulagain Vishnumani Acharya Prabal Sharma Pratima Shrestha Ram 
Bahadur Gharti</v>
      </c>
      <c r="H777" s="2" t="str">
        <f>IFERROR(__xludf.DUMMYFUNCTION("""COMPUTED_VALUE"""),"KMC-4 Tel 9741065638")</f>
        <v>KMC-4 Tel 9741065638</v>
      </c>
      <c r="I777" s="2" t="str">
        <f>IFERROR(__xludf.DUMMYFUNCTION("""COMPUTED_VALUE"""),"27o 45' 53""")</f>
        <v>27o 45' 53"</v>
      </c>
      <c r="J777" s="2" t="str">
        <f>IFERROR(__xludf.DUMMYFUNCTION("""COMPUTED_VALUE"""),"27o 47' 45""")</f>
        <v>27o 47' 45"</v>
      </c>
      <c r="K777" s="2" t="str">
        <f>IFERROR(__xludf.DUMMYFUNCTION("""COMPUTED_VALUE"""),"85o 34' 30""")</f>
        <v>85o 34' 30"</v>
      </c>
      <c r="L777" s="2" t="str">
        <f>IFERROR(__xludf.DUMMYFUNCTION("""COMPUTED_VALUE"""),"85o 35' 45""")</f>
        <v>85o 35' 45"</v>
      </c>
      <c r="M777" s="2" t="str">
        <f>IFERROR(__xludf.DUMMYFUNCTION("""COMPUTED_VALUE"""),"Badegau,Sikharpur,Barhabise,Fatakshila,Sipa Pokhare (Sindhupalchok)")</f>
        <v>Badegau,Sikharpur,Barhabise,Fatakshila,Sipa Pokhare (Sindhupalchok)</v>
      </c>
    </row>
    <row r="778">
      <c r="A778" s="2">
        <f>IFERROR(__xludf.DUMMYFUNCTION("""COMPUTED_VALUE"""),777.0)</f>
        <v>777</v>
      </c>
      <c r="B778" s="2" t="str">
        <f>IFERROR(__xludf.DUMMYFUNCTION("""COMPUTED_VALUE"""),"Upper Kali Gandaki")</f>
        <v>Upper Kali Gandaki</v>
      </c>
      <c r="C778" s="2">
        <f>IFERROR(__xludf.DUMMYFUNCTION("""COMPUTED_VALUE"""),49.702)</f>
        <v>49.702</v>
      </c>
      <c r="D778" s="2"/>
      <c r="E778" s="2">
        <f>IFERROR(__xludf.DUMMYFUNCTION("""COMPUTED_VALUE"""),1835.0)</f>
        <v>1835</v>
      </c>
      <c r="F778" s="3">
        <f>IFERROR(__xludf.DUMMYFUNCTION("""COMPUTED_VALUE"""),60495.0)</f>
        <v>60495</v>
      </c>
      <c r="G778" s="2" t="str">
        <f>IFERROR(__xludf.DUMMYFUNCTION("""COMPUTED_VALUE"""),"Galeshwor Hydropower Company Pvt. Ltd.")</f>
        <v>Galeshwor Hydropower Company Pvt. Ltd.</v>
      </c>
      <c r="H778" s="2" t="str">
        <f>IFERROR(__xludf.DUMMYFUNCTION("""COMPUTED_VALUE"""),"Tripureshwor, Kathmandu, Phone 9858020104, 9841564781")</f>
        <v>Tripureshwor, Kathmandu, Phone 9858020104, 9841564781</v>
      </c>
      <c r="I778" s="2" t="str">
        <f>IFERROR(__xludf.DUMMYFUNCTION("""COMPUTED_VALUE"""),"28o 22' 32""")</f>
        <v>28o 22' 32"</v>
      </c>
      <c r="J778" s="2" t="str">
        <f>IFERROR(__xludf.DUMMYFUNCTION("""COMPUTED_VALUE"""),"28o 25' 53""")</f>
        <v>28o 25' 53"</v>
      </c>
      <c r="K778" s="2" t="str">
        <f>IFERROR(__xludf.DUMMYFUNCTION("""COMPUTED_VALUE"""),"83o 34' 19""")</f>
        <v>83o 34' 19"</v>
      </c>
      <c r="L778" s="2" t="str">
        <f>IFERROR(__xludf.DUMMYFUNCTION("""COMPUTED_VALUE"""),"83o 37' 43""")</f>
        <v>83o 37' 43"</v>
      </c>
      <c r="M778" s="2" t="str">
        <f>IFERROR(__xludf.DUMMYFUNCTION("""COMPUTED_VALUE"""),"Rakhu Bhagawati (Myagdi)")</f>
        <v>Rakhu Bhagawati (Myagdi)</v>
      </c>
    </row>
    <row r="779">
      <c r="A779" s="2">
        <f>IFERROR(__xludf.DUMMYFUNCTION("""COMPUTED_VALUE"""),778.0)</f>
        <v>778</v>
      </c>
      <c r="B779" s="2" t="str">
        <f>IFERROR(__xludf.DUMMYFUNCTION("""COMPUTED_VALUE"""),"Lower Akhuwa")</f>
        <v>Lower Akhuwa</v>
      </c>
      <c r="C779" s="2">
        <f>IFERROR(__xludf.DUMMYFUNCTION("""COMPUTED_VALUE"""),0.875)</f>
        <v>0.875</v>
      </c>
      <c r="D779" s="2"/>
      <c r="E779" s="2">
        <f>IFERROR(__xludf.DUMMYFUNCTION("""COMPUTED_VALUE"""),1844.0)</f>
        <v>1844</v>
      </c>
      <c r="F779" s="3">
        <f>IFERROR(__xludf.DUMMYFUNCTION("""COMPUTED_VALUE"""),60495.0)</f>
        <v>60495</v>
      </c>
      <c r="G779" s="2" t="str">
        <f>IFERROR(__xludf.DUMMYFUNCTION("""COMPUTED_VALUE"""),"Manisha Subedi")</f>
        <v>Manisha Subedi</v>
      </c>
      <c r="H779" s="2" t="str">
        <f>IFERROR(__xludf.DUMMYFUNCTION("""COMPUTED_VALUE"""),"Biratnagar, Morang")</f>
        <v>Biratnagar, Morang</v>
      </c>
      <c r="I779" s="2" t="str">
        <f>IFERROR(__xludf.DUMMYFUNCTION("""COMPUTED_VALUE"""),"27o 05' 00""")</f>
        <v>27o 05' 00"</v>
      </c>
      <c r="J779" s="2" t="str">
        <f>IFERROR(__xludf.DUMMYFUNCTION("""COMPUTED_VALUE"""),"27o 07' 54""")</f>
        <v>27o 07' 54"</v>
      </c>
      <c r="K779" s="2" t="str">
        <f>IFERROR(__xludf.DUMMYFUNCTION("""COMPUTED_VALUE"""),"87o 05' 27""")</f>
        <v>87o 05' 27"</v>
      </c>
      <c r="L779" s="2" t="str">
        <f>IFERROR(__xludf.DUMMYFUNCTION("""COMPUTED_VALUE"""),"87o 07' 15""")</f>
        <v>87o 07' 15"</v>
      </c>
      <c r="M779" s="2"/>
    </row>
    <row r="780">
      <c r="A780" s="2">
        <f>IFERROR(__xludf.DUMMYFUNCTION("""COMPUTED_VALUE"""),779.0)</f>
        <v>779</v>
      </c>
      <c r="B780" s="2" t="str">
        <f>IFERROR(__xludf.DUMMYFUNCTION("""COMPUTED_VALUE"""),"Sera Khola SHP")</f>
        <v>Sera Khola SHP</v>
      </c>
      <c r="C780" s="2">
        <f>IFERROR(__xludf.DUMMYFUNCTION("""COMPUTED_VALUE"""),0.72)</f>
        <v>0.72</v>
      </c>
      <c r="D780" s="2" t="str">
        <f>IFERROR(__xludf.DUMMYFUNCTION("""COMPUTED_VALUE"""),"Sera")</f>
        <v>Sera</v>
      </c>
      <c r="E780" s="2">
        <f>IFERROR(__xludf.DUMMYFUNCTION("""COMPUTED_VALUE"""),1845.0)</f>
        <v>1845</v>
      </c>
      <c r="F780" s="3">
        <f>IFERROR(__xludf.DUMMYFUNCTION("""COMPUTED_VALUE"""),60495.0)</f>
        <v>60495</v>
      </c>
      <c r="G780" s="2" t="str">
        <f>IFERROR(__xludf.DUMMYFUNCTION("""COMPUTED_VALUE"""),"Juna Pradhan")</f>
        <v>Juna Pradhan</v>
      </c>
      <c r="H780" s="2" t="str">
        <f>IFERROR(__xludf.DUMMYFUNCTION("""COMPUTED_VALUE"""),"New Baneshwor, Kathmandu")</f>
        <v>New Baneshwor, Kathmandu</v>
      </c>
      <c r="I780" s="2" t="str">
        <f>IFERROR(__xludf.DUMMYFUNCTION("""COMPUTED_VALUE"""),"27o 10' 23""")</f>
        <v>27o 10' 23"</v>
      </c>
      <c r="J780" s="2" t="str">
        <f>IFERROR(__xludf.DUMMYFUNCTION("""COMPUTED_VALUE"""),"27o 12' 30""")</f>
        <v>27o 12' 30"</v>
      </c>
      <c r="K780" s="2" t="str">
        <f>IFERROR(__xludf.DUMMYFUNCTION("""COMPUTED_VALUE"""),"87o 00' 37""")</f>
        <v>87o 00' 37"</v>
      </c>
      <c r="L780" s="2" t="str">
        <f>IFERROR(__xludf.DUMMYFUNCTION("""COMPUTED_VALUE"""),"87o 01' 59""")</f>
        <v>87o 01' 59"</v>
      </c>
      <c r="M780" s="2" t="str">
        <f>IFERROR(__xludf.DUMMYFUNCTION("""COMPUTED_VALUE"""),"Bhojpur,Bokhim,Kota,Siddheswor (Bhojpur)")</f>
        <v>Bhojpur,Bokhim,Kota,Siddheswor (Bhojpur)</v>
      </c>
    </row>
    <row r="781">
      <c r="A781" s="2">
        <f>IFERROR(__xludf.DUMMYFUNCTION("""COMPUTED_VALUE"""),780.0)</f>
        <v>780</v>
      </c>
      <c r="B781" s="2" t="str">
        <f>IFERROR(__xludf.DUMMYFUNCTION("""COMPUTED_VALUE"""),"Sera Khola")</f>
        <v>Sera Khola</v>
      </c>
      <c r="C781" s="2">
        <f>IFERROR(__xludf.DUMMYFUNCTION("""COMPUTED_VALUE"""),0.72)</f>
        <v>0.72</v>
      </c>
      <c r="D781" s="2"/>
      <c r="E781" s="2">
        <f>IFERROR(__xludf.DUMMYFUNCTION("""COMPUTED_VALUE"""),1845.0)</f>
        <v>1845</v>
      </c>
      <c r="F781" s="3">
        <f>IFERROR(__xludf.DUMMYFUNCTION("""COMPUTED_VALUE"""),60495.0)</f>
        <v>60495</v>
      </c>
      <c r="G781" s="2" t="str">
        <f>IFERROR(__xludf.DUMMYFUNCTION("""COMPUTED_VALUE"""),"Juna Pradhan")</f>
        <v>Juna Pradhan</v>
      </c>
      <c r="H781" s="2" t="str">
        <f>IFERROR(__xludf.DUMMYFUNCTION("""COMPUTED_VALUE"""),"New Baneswor Kathmandu")</f>
        <v>New Baneswor Kathmandu</v>
      </c>
      <c r="I781" s="2" t="str">
        <f>IFERROR(__xludf.DUMMYFUNCTION("""COMPUTED_VALUE"""),"27o 10' 23""")</f>
        <v>27o 10' 23"</v>
      </c>
      <c r="J781" s="2" t="str">
        <f>IFERROR(__xludf.DUMMYFUNCTION("""COMPUTED_VALUE"""),"27o 12' 30""")</f>
        <v>27o 12' 30"</v>
      </c>
      <c r="K781" s="2" t="str">
        <f>IFERROR(__xludf.DUMMYFUNCTION("""COMPUTED_VALUE"""),"87o 00' 37""")</f>
        <v>87o 00' 37"</v>
      </c>
      <c r="L781" s="2" t="str">
        <f>IFERROR(__xludf.DUMMYFUNCTION("""COMPUTED_VALUE"""),"87o 01' 59""")</f>
        <v>87o 01' 59"</v>
      </c>
      <c r="M781" s="2"/>
    </row>
    <row r="782">
      <c r="A782" s="2">
        <f>IFERROR(__xludf.DUMMYFUNCTION("""COMPUTED_VALUE"""),781.0)</f>
        <v>781</v>
      </c>
      <c r="B782" s="2" t="str">
        <f>IFERROR(__xludf.DUMMYFUNCTION("""COMPUTED_VALUE"""),"Akhuwa Khola")</f>
        <v>Akhuwa Khola</v>
      </c>
      <c r="C782" s="2">
        <f>IFERROR(__xludf.DUMMYFUNCTION("""COMPUTED_VALUE"""),0.7)</f>
        <v>0.7</v>
      </c>
      <c r="D782" s="2"/>
      <c r="E782" s="2">
        <f>IFERROR(__xludf.DUMMYFUNCTION("""COMPUTED_VALUE"""),1846.0)</f>
        <v>1846</v>
      </c>
      <c r="F782" s="3">
        <f>IFERROR(__xludf.DUMMYFUNCTION("""COMPUTED_VALUE"""),60495.0)</f>
        <v>60495</v>
      </c>
      <c r="G782" s="2" t="str">
        <f>IFERROR(__xludf.DUMMYFUNCTION("""COMPUTED_VALUE"""),"Manisha Subedi")</f>
        <v>Manisha Subedi</v>
      </c>
      <c r="H782" s="2" t="str">
        <f>IFERROR(__xludf.DUMMYFUNCTION("""COMPUTED_VALUE"""),"Biratnagar, Morang")</f>
        <v>Biratnagar, Morang</v>
      </c>
      <c r="I782" s="2" t="str">
        <f>IFERROR(__xludf.DUMMYFUNCTION("""COMPUTED_VALUE"""),"27o 07' 54""")</f>
        <v>27o 07' 54"</v>
      </c>
      <c r="J782" s="2" t="str">
        <f>IFERROR(__xludf.DUMMYFUNCTION("""COMPUTED_VALUE"""),"27o 10' 47""")</f>
        <v>27o 10' 47"</v>
      </c>
      <c r="K782" s="2" t="str">
        <f>IFERROR(__xludf.DUMMYFUNCTION("""COMPUTED_VALUE"""),"87o 03' 39""")</f>
        <v>87o 03' 39"</v>
      </c>
      <c r="L782" s="2" t="str">
        <f>IFERROR(__xludf.DUMMYFUNCTION("""COMPUTED_VALUE"""),"87o 05' 36""")</f>
        <v>87o 05' 36"</v>
      </c>
      <c r="M782" s="2"/>
    </row>
    <row r="783">
      <c r="A783" s="2">
        <f>IFERROR(__xludf.DUMMYFUNCTION("""COMPUTED_VALUE"""),782.0)</f>
        <v>782</v>
      </c>
      <c r="B783" s="2" t="str">
        <f>IFERROR(__xludf.DUMMYFUNCTION("""COMPUTED_VALUE"""),"Pikhuwa Lower")</f>
        <v>Pikhuwa Lower</v>
      </c>
      <c r="C783" s="2">
        <f>IFERROR(__xludf.DUMMYFUNCTION("""COMPUTED_VALUE"""),0.99)</f>
        <v>0.99</v>
      </c>
      <c r="D783" s="2" t="str">
        <f>IFERROR(__xludf.DUMMYFUNCTION("""COMPUTED_VALUE"""),"Pikhuwa")</f>
        <v>Pikhuwa</v>
      </c>
      <c r="E783" s="2">
        <f>IFERROR(__xludf.DUMMYFUNCTION("""COMPUTED_VALUE"""),1847.0)</f>
        <v>1847</v>
      </c>
      <c r="F783" s="3">
        <f>IFERROR(__xludf.DUMMYFUNCTION("""COMPUTED_VALUE"""),60495.0)</f>
        <v>60495</v>
      </c>
      <c r="G783" s="2" t="str">
        <f>IFERROR(__xludf.DUMMYFUNCTION("""COMPUTED_VALUE"""),"Ganga Rana")</f>
        <v>Ganga Rana</v>
      </c>
      <c r="H783" s="2" t="str">
        <f>IFERROR(__xludf.DUMMYFUNCTION("""COMPUTED_VALUE"""),"Gajehada - 7 Kapilbastu")</f>
        <v>Gajehada - 7 Kapilbastu</v>
      </c>
      <c r="I783" s="2" t="str">
        <f>IFERROR(__xludf.DUMMYFUNCTION("""COMPUTED_VALUE"""),"27o 03' 44""")</f>
        <v>27o 03' 44"</v>
      </c>
      <c r="J783" s="2" t="str">
        <f>IFERROR(__xludf.DUMMYFUNCTION("""COMPUTED_VALUE"""),"27o 06' 35""")</f>
        <v>27o 06' 35"</v>
      </c>
      <c r="K783" s="2" t="str">
        <f>IFERROR(__xludf.DUMMYFUNCTION("""COMPUTED_VALUE"""),"87o 05' 00""")</f>
        <v>87o 05' 00"</v>
      </c>
      <c r="L783" s="2" t="str">
        <f>IFERROR(__xludf.DUMMYFUNCTION("""COMPUTED_VALUE"""),"87o 10' 00""")</f>
        <v>87o 10' 00"</v>
      </c>
      <c r="M783" s="2"/>
    </row>
    <row r="784">
      <c r="A784" s="2">
        <f>IFERROR(__xludf.DUMMYFUNCTION("""COMPUTED_VALUE"""),783.0)</f>
        <v>783</v>
      </c>
      <c r="B784" s="2" t="str">
        <f>IFERROR(__xludf.DUMMYFUNCTION("""COMPUTED_VALUE"""),"Budhi Ganga")</f>
        <v>Budhi Ganga</v>
      </c>
      <c r="C784" s="2">
        <f>IFERROR(__xludf.DUMMYFUNCTION("""COMPUTED_VALUE"""),1.0)</f>
        <v>1</v>
      </c>
      <c r="D784" s="2"/>
      <c r="E784" s="2">
        <f>IFERROR(__xludf.DUMMYFUNCTION("""COMPUTED_VALUE"""),1851.0)</f>
        <v>1851</v>
      </c>
      <c r="F784" s="3">
        <f>IFERROR(__xludf.DUMMYFUNCTION("""COMPUTED_VALUE"""),60496.0)</f>
        <v>60496</v>
      </c>
      <c r="G784" s="2" t="str">
        <f>IFERROR(__xludf.DUMMYFUNCTION("""COMPUTED_VALUE"""),"Sumit Sigdel")</f>
        <v>Sumit Sigdel</v>
      </c>
      <c r="H784" s="2" t="str">
        <f>IFERROR(__xludf.DUMMYFUNCTION("""COMPUTED_VALUE"""),"Dhapasi, Kathmandu, Phone 01-4354767")</f>
        <v>Dhapasi, Kathmandu, Phone 01-4354767</v>
      </c>
      <c r="I784" s="2" t="str">
        <f>IFERROR(__xludf.DUMMYFUNCTION("""COMPUTED_VALUE"""),"29o 23' 22""")</f>
        <v>29o 23' 22"</v>
      </c>
      <c r="J784" s="2" t="str">
        <f>IFERROR(__xludf.DUMMYFUNCTION("""COMPUTED_VALUE"""),"29o 23' 25""")</f>
        <v>29o 23' 25"</v>
      </c>
      <c r="K784" s="2" t="str">
        <f>IFERROR(__xludf.DUMMYFUNCTION("""COMPUTED_VALUE"""),"81o 22' 20""")</f>
        <v>81o 22' 20"</v>
      </c>
      <c r="L784" s="2" t="str">
        <f>IFERROR(__xludf.DUMMYFUNCTION("""COMPUTED_VALUE"""),"81o 28' 00""")</f>
        <v>81o 28' 00"</v>
      </c>
      <c r="M784" s="2" t="str">
        <f>IFERROR(__xludf.DUMMYFUNCTION("""COMPUTED_VALUE"""),"Atichaur,Bramhatola,Budhiganga,Kailashmandau (Bajura)")</f>
        <v>Atichaur,Bramhatola,Budhiganga,Kailashmandau (Bajura)</v>
      </c>
    </row>
    <row r="785">
      <c r="A785" s="2">
        <f>IFERROR(__xludf.DUMMYFUNCTION("""COMPUTED_VALUE"""),784.0)</f>
        <v>784</v>
      </c>
      <c r="B785" s="2" t="str">
        <f>IFERROR(__xludf.DUMMYFUNCTION("""COMPUTED_VALUE"""),"Hangraya Khola")</f>
        <v>Hangraya Khola</v>
      </c>
      <c r="C785" s="2">
        <f>IFERROR(__xludf.DUMMYFUNCTION("""COMPUTED_VALUE"""),0.999)</f>
        <v>0.999</v>
      </c>
      <c r="D785" s="2"/>
      <c r="E785" s="2">
        <f>IFERROR(__xludf.DUMMYFUNCTION("""COMPUTED_VALUE"""),1857.0)</f>
        <v>1857</v>
      </c>
      <c r="F785" s="3">
        <f>IFERROR(__xludf.DUMMYFUNCTION("""COMPUTED_VALUE"""),60496.0)</f>
        <v>60496</v>
      </c>
      <c r="G785" s="2" t="str">
        <f>IFERROR(__xludf.DUMMYFUNCTION("""COMPUTED_VALUE"""),"Juna Pradhan")</f>
        <v>Juna Pradhan</v>
      </c>
      <c r="H785" s="2" t="str">
        <f>IFERROR(__xludf.DUMMYFUNCTION("""COMPUTED_VALUE"""),"New Baneswor Kathmandu")</f>
        <v>New Baneswor Kathmandu</v>
      </c>
      <c r="I785" s="2" t="str">
        <f>IFERROR(__xludf.DUMMYFUNCTION("""COMPUTED_VALUE"""),"27o 06' 42""")</f>
        <v>27o 06' 42"</v>
      </c>
      <c r="J785" s="2" t="str">
        <f>IFERROR(__xludf.DUMMYFUNCTION("""COMPUTED_VALUE"""),"27o 10' 00""")</f>
        <v>27o 10' 00"</v>
      </c>
      <c r="K785" s="2" t="str">
        <f>IFERROR(__xludf.DUMMYFUNCTION("""COMPUTED_VALUE"""),"87o 09' 41""")</f>
        <v>87o 09' 41"</v>
      </c>
      <c r="L785" s="2" t="str">
        <f>IFERROR(__xludf.DUMMYFUNCTION("""COMPUTED_VALUE"""),"87o 12' 52""")</f>
        <v>87o 12' 52"</v>
      </c>
      <c r="M785" s="2" t="str">
        <f>IFERROR(__xludf.DUMMYFUNCTION("""COMPUTED_VALUE"""),"Changre,Yaku,Tiwari Bhanjyang,Sano Dumba (Bhojpur)")</f>
        <v>Changre,Yaku,Tiwari Bhanjyang,Sano Dumba (Bhojpur)</v>
      </c>
    </row>
    <row r="786">
      <c r="A786" s="2">
        <f>IFERROR(__xludf.DUMMYFUNCTION("""COMPUTED_VALUE"""),785.0)</f>
        <v>785</v>
      </c>
      <c r="B786" s="2" t="str">
        <f>IFERROR(__xludf.DUMMYFUNCTION("""COMPUTED_VALUE"""),"Gyalthun Khola")</f>
        <v>Gyalthun Khola</v>
      </c>
      <c r="C786" s="2">
        <f>IFERROR(__xludf.DUMMYFUNCTION("""COMPUTED_VALUE"""),0.99)</f>
        <v>0.99</v>
      </c>
      <c r="D786" s="2" t="str">
        <f>IFERROR(__xludf.DUMMYFUNCTION("""COMPUTED_VALUE"""),"Gyalthun")</f>
        <v>Gyalthun</v>
      </c>
      <c r="E786" s="2">
        <f>IFERROR(__xludf.DUMMYFUNCTION("""COMPUTED_VALUE"""),1862.0)</f>
        <v>1862</v>
      </c>
      <c r="F786" s="3">
        <f>IFERROR(__xludf.DUMMYFUNCTION("""COMPUTED_VALUE"""),60496.0)</f>
        <v>60496</v>
      </c>
      <c r="G786" s="2" t="str">
        <f>IFERROR(__xludf.DUMMYFUNCTION("""COMPUTED_VALUE"""),"Gopini Lamichhane, ......")</f>
        <v>Gopini Lamichhane, ......</v>
      </c>
      <c r="H786" s="2" t="str">
        <f>IFERROR(__xludf.DUMMYFUNCTION("""COMPUTED_VALUE"""),"Mahankal -8 Sindhupalchok, Phone 9841734851")</f>
        <v>Mahankal -8 Sindhupalchok, Phone 9841734851</v>
      </c>
      <c r="I786" s="2" t="str">
        <f>IFERROR(__xludf.DUMMYFUNCTION("""COMPUTED_VALUE"""),"27o 53' 03""")</f>
        <v>27o 53' 03"</v>
      </c>
      <c r="J786" s="2" t="str">
        <f>IFERROR(__xludf.DUMMYFUNCTION("""COMPUTED_VALUE"""),"27o 53' 33""")</f>
        <v>27o 53' 33"</v>
      </c>
      <c r="K786" s="2" t="str">
        <f>IFERROR(__xludf.DUMMYFUNCTION("""COMPUTED_VALUE"""),"85o 30' 41""")</f>
        <v>85o 30' 41"</v>
      </c>
      <c r="L786" s="2" t="str">
        <f>IFERROR(__xludf.DUMMYFUNCTION("""COMPUTED_VALUE"""),"85o 31' 40""")</f>
        <v>85o 31' 40"</v>
      </c>
      <c r="M786" s="2" t="str">
        <f>IFERROR(__xludf.DUMMYFUNCTION("""COMPUTED_VALUE"""),"Mahankal (Sindhupalchok)")</f>
        <v>Mahankal (Sindhupalchok)</v>
      </c>
    </row>
    <row r="787">
      <c r="A787" s="2">
        <f>IFERROR(__xludf.DUMMYFUNCTION("""COMPUTED_VALUE"""),786.0)</f>
        <v>786</v>
      </c>
      <c r="B787" s="2" t="str">
        <f>IFERROR(__xludf.DUMMYFUNCTION("""COMPUTED_VALUE"""),"Talamaran Khola")</f>
        <v>Talamaran Khola</v>
      </c>
      <c r="C787" s="2">
        <f>IFERROR(__xludf.DUMMYFUNCTION("""COMPUTED_VALUE"""),0.995)</f>
        <v>0.995</v>
      </c>
      <c r="D787" s="2" t="str">
        <f>IFERROR(__xludf.DUMMYFUNCTION("""COMPUTED_VALUE"""),"Talamaran")</f>
        <v>Talamaran</v>
      </c>
      <c r="E787" s="2">
        <f>IFERROR(__xludf.DUMMYFUNCTION("""COMPUTED_VALUE"""),1863.0)</f>
        <v>1863</v>
      </c>
      <c r="F787" s="3">
        <f>IFERROR(__xludf.DUMMYFUNCTION("""COMPUTED_VALUE"""),60496.0)</f>
        <v>60496</v>
      </c>
      <c r="G787" s="2" t="str">
        <f>IFERROR(__xludf.DUMMYFUNCTION("""COMPUTED_VALUE"""),"Jayanti Shrestha, ......")</f>
        <v>Jayanti Shrestha, ......</v>
      </c>
      <c r="H787" s="2" t="str">
        <f>IFERROR(__xludf.DUMMYFUNCTION("""COMPUTED_VALUE"""),"Kathmandu, Phone 9841246266, 01-4375019")</f>
        <v>Kathmandu, Phone 9841246266, 01-4375019</v>
      </c>
      <c r="I787" s="2" t="str">
        <f>IFERROR(__xludf.DUMMYFUNCTION("""COMPUTED_VALUE"""),"27o 51' 35""")</f>
        <v>27o 51' 35"</v>
      </c>
      <c r="J787" s="2" t="str">
        <f>IFERROR(__xludf.DUMMYFUNCTION("""COMPUTED_VALUE"""),"27o 52' 12""")</f>
        <v>27o 52' 12"</v>
      </c>
      <c r="K787" s="2" t="str">
        <f>IFERROR(__xludf.DUMMYFUNCTION("""COMPUTED_VALUE"""),"85o 30' 18""")</f>
        <v>85o 30' 18"</v>
      </c>
      <c r="L787" s="2" t="str">
        <f>IFERROR(__xludf.DUMMYFUNCTION("""COMPUTED_VALUE"""),"85o 32' 03""")</f>
        <v>85o 32' 03"</v>
      </c>
      <c r="M787" s="2" t="str">
        <f>IFERROR(__xludf.DUMMYFUNCTION("""COMPUTED_VALUE"""),"Taramarang,Mahankal (Sindhupalchok)")</f>
        <v>Taramarang,Mahankal (Sindhupalchok)</v>
      </c>
    </row>
    <row r="788">
      <c r="A788" s="2">
        <f>IFERROR(__xludf.DUMMYFUNCTION("""COMPUTED_VALUE"""),787.0)</f>
        <v>787</v>
      </c>
      <c r="B788" s="2" t="str">
        <f>IFERROR(__xludf.DUMMYFUNCTION("""COMPUTED_VALUE"""),"Bharyanbhurun Khola")</f>
        <v>Bharyanbhurun Khola</v>
      </c>
      <c r="C788" s="2">
        <f>IFERROR(__xludf.DUMMYFUNCTION("""COMPUTED_VALUE"""),0.9)</f>
        <v>0.9</v>
      </c>
      <c r="D788" s="2"/>
      <c r="E788" s="2">
        <f>IFERROR(__xludf.DUMMYFUNCTION("""COMPUTED_VALUE"""),1866.0)</f>
        <v>1866</v>
      </c>
      <c r="F788" s="3">
        <f>IFERROR(__xludf.DUMMYFUNCTION("""COMPUTED_VALUE"""),60496.0)</f>
        <v>60496</v>
      </c>
      <c r="G788" s="2" t="str">
        <f>IFERROR(__xludf.DUMMYFUNCTION("""COMPUTED_VALUE"""),"Sustainable Energfy Development Group Pvt. Ltd.")</f>
        <v>Sustainable Energfy Development Group Pvt. Ltd.</v>
      </c>
      <c r="H788" s="2" t="str">
        <f>IFERROR(__xludf.DUMMYFUNCTION("""COMPUTED_VALUE"""),"Jhamsikhel Lalitpur, Phone 01-5552889")</f>
        <v>Jhamsikhel Lalitpur, Phone 01-5552889</v>
      </c>
      <c r="I788" s="2" t="str">
        <f>IFERROR(__xludf.DUMMYFUNCTION("""COMPUTED_VALUE"""),"27o 56' 15""")</f>
        <v>27o 56' 15"</v>
      </c>
      <c r="J788" s="2" t="str">
        <f>IFERROR(__xludf.DUMMYFUNCTION("""COMPUTED_VALUE"""),"27o 58' 30""")</f>
        <v>27o 58' 30"</v>
      </c>
      <c r="K788" s="2" t="str">
        <f>IFERROR(__xludf.DUMMYFUNCTION("""COMPUTED_VALUE"""),"85o 00' 00""")</f>
        <v>85o 00' 00"</v>
      </c>
      <c r="L788" s="2" t="str">
        <f>IFERROR(__xludf.DUMMYFUNCTION("""COMPUTED_VALUE"""),"85o 02' 30""")</f>
        <v>85o 02' 30"</v>
      </c>
      <c r="M788" s="2" t="str">
        <f>IFERROR(__xludf.DUMMYFUNCTION("""COMPUTED_VALUE"""),"Samari (Nuwakot)")</f>
        <v>Samari (Nuwakot)</v>
      </c>
    </row>
    <row r="789">
      <c r="A789" s="2">
        <f>IFERROR(__xludf.DUMMYFUNCTION("""COMPUTED_VALUE"""),788.0)</f>
        <v>788</v>
      </c>
      <c r="B789" s="2" t="str">
        <f>IFERROR(__xludf.DUMMYFUNCTION("""COMPUTED_VALUE"""),"Midim Khola")</f>
        <v>Midim Khola</v>
      </c>
      <c r="C789" s="2">
        <f>IFERROR(__xludf.DUMMYFUNCTION("""COMPUTED_VALUE"""),1.0)</f>
        <v>1</v>
      </c>
      <c r="D789" s="2"/>
      <c r="E789" s="2">
        <f>IFERROR(__xludf.DUMMYFUNCTION("""COMPUTED_VALUE"""),1867.0)</f>
        <v>1867</v>
      </c>
      <c r="F789" s="3">
        <f>IFERROR(__xludf.DUMMYFUNCTION("""COMPUTED_VALUE"""),60496.0)</f>
        <v>60496</v>
      </c>
      <c r="G789" s="2" t="str">
        <f>IFERROR(__xludf.DUMMYFUNCTION("""COMPUTED_VALUE"""),"Sustainable Energy Development Pvt. Ltd.")</f>
        <v>Sustainable Energy Development Pvt. Ltd.</v>
      </c>
      <c r="H789" s="2" t="str">
        <f>IFERROR(__xludf.DUMMYFUNCTION("""COMPUTED_VALUE"""),"Jhamsikhel, Lalitpur, Phone 01-5552889")</f>
        <v>Jhamsikhel, Lalitpur, Phone 01-5552889</v>
      </c>
      <c r="I789" s="2" t="str">
        <f>IFERROR(__xludf.DUMMYFUNCTION("""COMPUTED_VALUE"""),"28o 12' 16""")</f>
        <v>28o 12' 16"</v>
      </c>
      <c r="J789" s="2" t="str">
        <f>IFERROR(__xludf.DUMMYFUNCTION("""COMPUTED_VALUE"""),"28o 15' 08""")</f>
        <v>28o 15' 08"</v>
      </c>
      <c r="K789" s="2" t="str">
        <f>IFERROR(__xludf.DUMMYFUNCTION("""COMPUTED_VALUE"""),"84o 15' 45""")</f>
        <v>84o 15' 45"</v>
      </c>
      <c r="L789" s="2" t="str">
        <f>IFERROR(__xludf.DUMMYFUNCTION("""COMPUTED_VALUE"""),"84o 17' 08""")</f>
        <v>84o 17' 08"</v>
      </c>
      <c r="M789" s="2" t="str">
        <f>IFERROR(__xludf.DUMMYFUNCTION("""COMPUTED_VALUE"""),"Maling (Lamjung)")</f>
        <v>Maling (Lamjung)</v>
      </c>
    </row>
    <row r="790">
      <c r="A790" s="2">
        <f>IFERROR(__xludf.DUMMYFUNCTION("""COMPUTED_VALUE"""),789.0)</f>
        <v>789</v>
      </c>
      <c r="B790" s="2" t="str">
        <f>IFERROR(__xludf.DUMMYFUNCTION("""COMPUTED_VALUE"""),"Lower Hewa Khola 1")</f>
        <v>Lower Hewa Khola 1</v>
      </c>
      <c r="C790" s="2">
        <f>IFERROR(__xludf.DUMMYFUNCTION("""COMPUTED_VALUE"""),0.95)</f>
        <v>0.95</v>
      </c>
      <c r="D790" s="2" t="str">
        <f>IFERROR(__xludf.DUMMYFUNCTION("""COMPUTED_VALUE"""),"Hewa Khola")</f>
        <v>Hewa Khola</v>
      </c>
      <c r="E790" s="2">
        <f>IFERROR(__xludf.DUMMYFUNCTION("""COMPUTED_VALUE"""),1870.0)</f>
        <v>1870</v>
      </c>
      <c r="F790" s="3">
        <f>IFERROR(__xludf.DUMMYFUNCTION("""COMPUTED_VALUE"""),60496.0)</f>
        <v>60496</v>
      </c>
      <c r="G790" s="2" t="str">
        <f>IFERROR(__xludf.DUMMYFUNCTION("""COMPUTED_VALUE"""),"Keshav Ghimire")</f>
        <v>Keshav Ghimire</v>
      </c>
      <c r="H790" s="2" t="str">
        <f>IFERROR(__xludf.DUMMYFUNCTION("""COMPUTED_VALUE"""),"Jaljala,-7 Sankhuwasabha, Phone 9742013793")</f>
        <v>Jaljala,-7 Sankhuwasabha, Phone 9742013793</v>
      </c>
      <c r="I790" s="2" t="str">
        <f>IFERROR(__xludf.DUMMYFUNCTION("""COMPUTED_VALUE"""),"27o 18' 21""")</f>
        <v>27o 18' 21"</v>
      </c>
      <c r="J790" s="2" t="str">
        <f>IFERROR(__xludf.DUMMYFUNCTION("""COMPUTED_VALUE"""),"27o 19' 25""")</f>
        <v>27o 19' 25"</v>
      </c>
      <c r="K790" s="2" t="str">
        <f>IFERROR(__xludf.DUMMYFUNCTION("""COMPUTED_VALUE"""),"87o 18' 00""")</f>
        <v>87o 18' 00"</v>
      </c>
      <c r="L790" s="2" t="str">
        <f>IFERROR(__xludf.DUMMYFUNCTION("""COMPUTED_VALUE"""),"87o 20' 00""")</f>
        <v>87o 20' 00"</v>
      </c>
      <c r="M790" s="2" t="str">
        <f>IFERROR(__xludf.DUMMYFUNCTION("""COMPUTED_VALUE"""),"Chainpur,Jaljala,Bala (Sankhuwasabha)")</f>
        <v>Chainpur,Jaljala,Bala (Sankhuwasabha)</v>
      </c>
    </row>
    <row r="791">
      <c r="A791" s="2">
        <f>IFERROR(__xludf.DUMMYFUNCTION("""COMPUTED_VALUE"""),790.0)</f>
        <v>790</v>
      </c>
      <c r="B791" s="2" t="str">
        <f>IFERROR(__xludf.DUMMYFUNCTION("""COMPUTED_VALUE"""),"Super Karnali")</f>
        <v>Super Karnali</v>
      </c>
      <c r="C791" s="2">
        <f>IFERROR(__xludf.DUMMYFUNCTION("""COMPUTED_VALUE"""),1.0)</f>
        <v>1</v>
      </c>
      <c r="D791" s="2"/>
      <c r="E791" s="2">
        <f>IFERROR(__xludf.DUMMYFUNCTION("""COMPUTED_VALUE"""),1877.0)</f>
        <v>1877</v>
      </c>
      <c r="F791" s="3">
        <f>IFERROR(__xludf.DUMMYFUNCTION("""COMPUTED_VALUE"""),60497.0)</f>
        <v>60497</v>
      </c>
      <c r="G791" s="2" t="str">
        <f>IFERROR(__xludf.DUMMYFUNCTION("""COMPUTED_VALUE"""),"Smriti Rajkarnikar")</f>
        <v>Smriti Rajkarnikar</v>
      </c>
      <c r="H791" s="2" t="str">
        <f>IFERROR(__xludf.DUMMYFUNCTION("""COMPUTED_VALUE"""),"Naxsal, Kathmandu, Phone 9851107366")</f>
        <v>Naxsal, Kathmandu, Phone 9851107366</v>
      </c>
      <c r="I791" s="2" t="str">
        <f>IFERROR(__xludf.DUMMYFUNCTION("""COMPUTED_VALUE"""),"29o 15' 00""")</f>
        <v>29o 15' 00"</v>
      </c>
      <c r="J791" s="2" t="str">
        <f>IFERROR(__xludf.DUMMYFUNCTION("""COMPUTED_VALUE"""),"29o 17' 30""")</f>
        <v>29o 17' 30"</v>
      </c>
      <c r="K791" s="2" t="str">
        <f>IFERROR(__xludf.DUMMYFUNCTION("""COMPUTED_VALUE"""),"81o 40' 00""")</f>
        <v>81o 40' 00"</v>
      </c>
      <c r="L791" s="2" t="str">
        <f>IFERROR(__xludf.DUMMYFUNCTION("""COMPUTED_VALUE"""),"81o 45' 00""")</f>
        <v>81o 45' 00"</v>
      </c>
      <c r="M791" s="2" t="str">
        <f>IFERROR(__xludf.DUMMYFUNCTION("""COMPUTED_VALUE"""),"Nanikot,Sipkhana,Ramanakot (Kalikot)")</f>
        <v>Nanikot,Sipkhana,Ramanakot (Kalikot)</v>
      </c>
    </row>
    <row r="792">
      <c r="A792" s="2">
        <f>IFERROR(__xludf.DUMMYFUNCTION("""COMPUTED_VALUE"""),791.0)</f>
        <v>791</v>
      </c>
      <c r="B792" s="2" t="str">
        <f>IFERROR(__xludf.DUMMYFUNCTION("""COMPUTED_VALUE"""),"Khani Khola")</f>
        <v>Khani Khola</v>
      </c>
      <c r="C792" s="2">
        <f>IFERROR(__xludf.DUMMYFUNCTION("""COMPUTED_VALUE"""),0.56)</f>
        <v>0.56</v>
      </c>
      <c r="D792" s="2" t="str">
        <f>IFERROR(__xludf.DUMMYFUNCTION("""COMPUTED_VALUE"""),"Khani Khola")</f>
        <v>Khani Khola</v>
      </c>
      <c r="E792" s="2">
        <f>IFERROR(__xludf.DUMMYFUNCTION("""COMPUTED_VALUE"""),1892.0)</f>
        <v>1892</v>
      </c>
      <c r="F792" s="3">
        <f>IFERROR(__xludf.DUMMYFUNCTION("""COMPUTED_VALUE"""),60498.0)</f>
        <v>60498</v>
      </c>
      <c r="G792" s="2" t="str">
        <f>IFERROR(__xludf.DUMMYFUNCTION("""COMPUTED_VALUE"""),"Champa Kumari Baruwal")</f>
        <v>Champa Kumari Baruwal</v>
      </c>
      <c r="H792" s="2" t="str">
        <f>IFERROR(__xludf.DUMMYFUNCTION("""COMPUTED_VALUE"""),"Thokarpa, 5 Sindhupalchok")</f>
        <v>Thokarpa, 5 Sindhupalchok</v>
      </c>
      <c r="I792" s="2" t="str">
        <f>IFERROR(__xludf.DUMMYFUNCTION("""COMPUTED_VALUE"""),"27o 30' 00""")</f>
        <v>27o 30' 00"</v>
      </c>
      <c r="J792" s="2" t="str">
        <f>IFERROR(__xludf.DUMMYFUNCTION("""COMPUTED_VALUE"""),"27o 31' 38""")</f>
        <v>27o 31' 38"</v>
      </c>
      <c r="K792" s="2" t="str">
        <f>IFERROR(__xludf.DUMMYFUNCTION("""COMPUTED_VALUE"""),"85o 51' 44""")</f>
        <v>85o 51' 44"</v>
      </c>
      <c r="L792" s="2" t="str">
        <f>IFERROR(__xludf.DUMMYFUNCTION("""COMPUTED_VALUE"""),"85o 55' 00""")</f>
        <v>85o 55' 00"</v>
      </c>
      <c r="M792" s="2" t="str">
        <f>IFERROR(__xludf.DUMMYFUNCTION("""COMPUTED_VALUE"""),"Gunsi Bhadaure (Ramechhap)")</f>
        <v>Gunsi Bhadaure (Ramechhap)</v>
      </c>
    </row>
    <row r="793">
      <c r="A793" s="2">
        <f>IFERROR(__xludf.DUMMYFUNCTION("""COMPUTED_VALUE"""),792.0)</f>
        <v>792</v>
      </c>
      <c r="B793" s="2" t="str">
        <f>IFERROR(__xludf.DUMMYFUNCTION("""COMPUTED_VALUE"""),"Balephi B")</f>
        <v>Balephi B</v>
      </c>
      <c r="C793" s="2">
        <f>IFERROR(__xludf.DUMMYFUNCTION("""COMPUTED_VALUE"""),5.0)</f>
        <v>5</v>
      </c>
      <c r="D793" s="2" t="str">
        <f>IFERROR(__xludf.DUMMYFUNCTION("""COMPUTED_VALUE"""),"Balephi")</f>
        <v>Balephi</v>
      </c>
      <c r="E793" s="2">
        <f>IFERROR(__xludf.DUMMYFUNCTION("""COMPUTED_VALUE"""),1895.0)</f>
        <v>1895</v>
      </c>
      <c r="F793" s="3">
        <f>IFERROR(__xludf.DUMMYFUNCTION("""COMPUTED_VALUE"""),60498.0)</f>
        <v>60498</v>
      </c>
      <c r="G793" s="2" t="str">
        <f>IFERROR(__xludf.DUMMYFUNCTION("""COMPUTED_VALUE"""),"Umesh Kasaju, Mohan Prasad Nepal")</f>
        <v>Umesh Kasaju, Mohan Prasad Nepal</v>
      </c>
      <c r="H793" s="2" t="str">
        <f>IFERROR(__xludf.DUMMYFUNCTION("""COMPUTED_VALUE"""),"New Baneswor, Kathmandu Phone 01-4466899 ( Umesh)")</f>
        <v>New Baneswor, Kathmandu Phone 01-4466899 ( Umesh)</v>
      </c>
      <c r="I793" s="2" t="str">
        <f>IFERROR(__xludf.DUMMYFUNCTION("""COMPUTED_VALUE"""),"27o 46' 55""")</f>
        <v>27o 46' 55"</v>
      </c>
      <c r="J793" s="2" t="str">
        <f>IFERROR(__xludf.DUMMYFUNCTION("""COMPUTED_VALUE"""),"27o 49' 30""")</f>
        <v>27o 49' 30"</v>
      </c>
      <c r="K793" s="2" t="str">
        <f>IFERROR(__xludf.DUMMYFUNCTION("""COMPUTED_VALUE"""),"85o 45' 00""")</f>
        <v>85o 45' 00"</v>
      </c>
      <c r="L793" s="2" t="str">
        <f>IFERROR(__xludf.DUMMYFUNCTION("""COMPUTED_VALUE"""),"85o 46' 30""")</f>
        <v>85o 46' 30"</v>
      </c>
      <c r="M793" s="2" t="str">
        <f>IFERROR(__xludf.DUMMYFUNCTION("""COMPUTED_VALUE"""),"Batase (Sindhupalchok)")</f>
        <v>Batase (Sindhupalchok)</v>
      </c>
    </row>
    <row r="794">
      <c r="A794" s="2">
        <f>IFERROR(__xludf.DUMMYFUNCTION("""COMPUTED_VALUE"""),793.0)</f>
        <v>793</v>
      </c>
      <c r="B794" s="2" t="str">
        <f>IFERROR(__xludf.DUMMYFUNCTION("""COMPUTED_VALUE"""),"Rolwalin Khola")</f>
        <v>Rolwalin Khola</v>
      </c>
      <c r="C794" s="2">
        <f>IFERROR(__xludf.DUMMYFUNCTION("""COMPUTED_VALUE"""),50.0)</f>
        <v>50</v>
      </c>
      <c r="D794" s="2" t="str">
        <f>IFERROR(__xludf.DUMMYFUNCTION("""COMPUTED_VALUE"""),"Rolwaling")</f>
        <v>Rolwaling</v>
      </c>
      <c r="E794" s="2">
        <f>IFERROR(__xludf.DUMMYFUNCTION("""COMPUTED_VALUE"""),1906.0)</f>
        <v>1906</v>
      </c>
      <c r="F794" s="3">
        <f>IFERROR(__xludf.DUMMYFUNCTION("""COMPUTED_VALUE"""),60499.0)</f>
        <v>60499</v>
      </c>
      <c r="G794" s="2" t="str">
        <f>IFERROR(__xludf.DUMMYFUNCTION("""COMPUTED_VALUE"""),"Future Energy Pvt. Ltd.")</f>
        <v>Future Energy Pvt. Ltd.</v>
      </c>
      <c r="H794" s="2" t="str">
        <f>IFERROR(__xludf.DUMMYFUNCTION("""COMPUTED_VALUE"""),"Tripureswor Kathmandu, Phone 01-4261677, 4261699")</f>
        <v>Tripureswor Kathmandu, Phone 01-4261677, 4261699</v>
      </c>
      <c r="I794" s="2" t="str">
        <f>IFERROR(__xludf.DUMMYFUNCTION("""COMPUTED_VALUE"""),"27o 49' 06""")</f>
        <v>27o 49' 06"</v>
      </c>
      <c r="J794" s="2" t="str">
        <f>IFERROR(__xludf.DUMMYFUNCTION("""COMPUTED_VALUE"""),"27o 54' 00""")</f>
        <v>27o 54' 00"</v>
      </c>
      <c r="K794" s="2" t="str">
        <f>IFERROR(__xludf.DUMMYFUNCTION("""COMPUTED_VALUE"""),"86o 13' 30""")</f>
        <v>86o 13' 30"</v>
      </c>
      <c r="L794" s="2" t="str">
        <f>IFERROR(__xludf.DUMMYFUNCTION("""COMPUTED_VALUE"""),"86o 16' 12""")</f>
        <v>86o 16' 12"</v>
      </c>
      <c r="M794" s="2" t="str">
        <f>IFERROR(__xludf.DUMMYFUNCTION("""COMPUTED_VALUE"""),"Gauri Sankar (Dolakha)")</f>
        <v>Gauri Sankar (Dolakha)</v>
      </c>
    </row>
    <row r="795">
      <c r="A795" s="2">
        <f>IFERROR(__xludf.DUMMYFUNCTION("""COMPUTED_VALUE"""),794.0)</f>
        <v>794</v>
      </c>
      <c r="B795" s="2" t="str">
        <f>IFERROR(__xludf.DUMMYFUNCTION("""COMPUTED_VALUE"""),"Wamitaksar Daram Khola")</f>
        <v>Wamitaksar Daram Khola</v>
      </c>
      <c r="C795" s="2">
        <f>IFERROR(__xludf.DUMMYFUNCTION("""COMPUTED_VALUE"""),2.5)</f>
        <v>2.5</v>
      </c>
      <c r="D795" s="2" t="str">
        <f>IFERROR(__xludf.DUMMYFUNCTION("""COMPUTED_VALUE"""),"Daram")</f>
        <v>Daram</v>
      </c>
      <c r="E795" s="2">
        <f>IFERROR(__xludf.DUMMYFUNCTION("""COMPUTED_VALUE"""),1913.0)</f>
        <v>1913</v>
      </c>
      <c r="F795" s="3">
        <f>IFERROR(__xludf.DUMMYFUNCTION("""COMPUTED_VALUE"""),60499.0)</f>
        <v>60499</v>
      </c>
      <c r="G795" s="2" t="str">
        <f>IFERROR(__xludf.DUMMYFUNCTION("""COMPUTED_VALUE"""),"Dharmendra Kumar Malla")</f>
        <v>Dharmendra Kumar Malla</v>
      </c>
      <c r="H795" s="2" t="str">
        <f>IFERROR(__xludf.DUMMYFUNCTION("""COMPUTED_VALUE"""),"Bamitaksar Gulmi, Phone 01-6914281, 9847129468")</f>
        <v>Bamitaksar Gulmi, Phone 01-6914281, 9847129468</v>
      </c>
      <c r="I795" s="2" t="str">
        <f>IFERROR(__xludf.DUMMYFUNCTION("""COMPUTED_VALUE"""),"28o 11' 05""")</f>
        <v>28o 11' 05"</v>
      </c>
      <c r="J795" s="2" t="str">
        <f>IFERROR(__xludf.DUMMYFUNCTION("""COMPUTED_VALUE"""),"28o 12' 00""")</f>
        <v>28o 12' 00"</v>
      </c>
      <c r="K795" s="2" t="str">
        <f>IFERROR(__xludf.DUMMYFUNCTION("""COMPUTED_VALUE"""),"83o 16' 30""")</f>
        <v>83o 16' 30"</v>
      </c>
      <c r="L795" s="2" t="str">
        <f>IFERROR(__xludf.DUMMYFUNCTION("""COMPUTED_VALUE"""),"83o 19' 20""")</f>
        <v>83o 19' 20"</v>
      </c>
      <c r="M795" s="2" t="str">
        <f>IFERROR(__xludf.DUMMYFUNCTION("""COMPUTED_VALUE"""),"Bami (Gulmi)")</f>
        <v>Bami (Gulmi)</v>
      </c>
    </row>
    <row r="796">
      <c r="A796" s="2">
        <f>IFERROR(__xludf.DUMMYFUNCTION("""COMPUTED_VALUE"""),795.0)</f>
        <v>795</v>
      </c>
      <c r="B796" s="2" t="str">
        <f>IFERROR(__xludf.DUMMYFUNCTION("""COMPUTED_VALUE"""),"GAUMUL")</f>
        <v>GAUMUL</v>
      </c>
      <c r="C796" s="2">
        <f>IFERROR(__xludf.DUMMYFUNCTION("""COMPUTED_VALUE"""),1.0)</f>
        <v>1</v>
      </c>
      <c r="D796" s="2"/>
      <c r="E796" s="2">
        <f>IFERROR(__xludf.DUMMYFUNCTION("""COMPUTED_VALUE"""),1914.0)</f>
        <v>1914</v>
      </c>
      <c r="F796" s="3">
        <f>IFERROR(__xludf.DUMMYFUNCTION("""COMPUTED_VALUE"""),60499.0)</f>
        <v>60499</v>
      </c>
      <c r="G796" s="2" t="str">
        <f>IFERROR(__xludf.DUMMYFUNCTION("""COMPUTED_VALUE"""),"Sagar Shahi")</f>
        <v>Sagar Shahi</v>
      </c>
      <c r="H796" s="2" t="str">
        <f>IFERROR(__xludf.DUMMYFUNCTION("""COMPUTED_VALUE"""),"Bajura, Phone 9741068978, 9801112006")</f>
        <v>Bajura, Phone 9741068978, 9801112006</v>
      </c>
      <c r="I796" s="2" t="str">
        <f>IFERROR(__xludf.DUMMYFUNCTION("""COMPUTED_VALUE"""),"29o 28' 30""")</f>
        <v>29o 28' 30"</v>
      </c>
      <c r="J796" s="2" t="str">
        <f>IFERROR(__xludf.DUMMYFUNCTION("""COMPUTED_VALUE"""),"29o 31' 00""")</f>
        <v>29o 31' 00"</v>
      </c>
      <c r="K796" s="2" t="str">
        <f>IFERROR(__xludf.DUMMYFUNCTION("""COMPUTED_VALUE"""),"82o 25' 00""")</f>
        <v>82o 25' 00"</v>
      </c>
      <c r="L796" s="2" t="str">
        <f>IFERROR(__xludf.DUMMYFUNCTION("""COMPUTED_VALUE"""),"82o 27' 00""")</f>
        <v>82o 27' 00"</v>
      </c>
      <c r="M796" s="2" t="str">
        <f>IFERROR(__xludf.DUMMYFUNCTION("""COMPUTED_VALUE"""),"Jugada (Bajura)")</f>
        <v>Jugada (Bajura)</v>
      </c>
    </row>
    <row r="797">
      <c r="A797" s="2">
        <f>IFERROR(__xludf.DUMMYFUNCTION("""COMPUTED_VALUE"""),796.0)</f>
        <v>796</v>
      </c>
      <c r="B797" s="2" t="str">
        <f>IFERROR(__xludf.DUMMYFUNCTION("""COMPUTED_VALUE"""),"Lambu Khola Small")</f>
        <v>Lambu Khola Small</v>
      </c>
      <c r="C797" s="2">
        <f>IFERROR(__xludf.DUMMYFUNCTION("""COMPUTED_VALUE"""),0.9)</f>
        <v>0.9</v>
      </c>
      <c r="D797" s="2"/>
      <c r="E797" s="2">
        <f>IFERROR(__xludf.DUMMYFUNCTION("""COMPUTED_VALUE"""),1915.0)</f>
        <v>1915</v>
      </c>
      <c r="F797" s="3">
        <f>IFERROR(__xludf.DUMMYFUNCTION("""COMPUTED_VALUE"""),60499.0)</f>
        <v>60499</v>
      </c>
      <c r="G797" s="2" t="str">
        <f>IFERROR(__xludf.DUMMYFUNCTION("""COMPUTED_VALUE"""),"Mobin Gurung")</f>
        <v>Mobin Gurung</v>
      </c>
      <c r="H797" s="2" t="str">
        <f>IFERROR(__xludf.DUMMYFUNCTION("""COMPUTED_VALUE"""),"P.O.Box 8974, EPC 021 Baneswor Kathmandu, Phone 01-4782765")</f>
        <v>P.O.Box 8974, EPC 021 Baneswor Kathmandu, Phone 01-4782765</v>
      </c>
      <c r="I797" s="2" t="str">
        <f>IFERROR(__xludf.DUMMYFUNCTION("""COMPUTED_VALUE"""),"27o 05' 17""")</f>
        <v>27o 05' 17"</v>
      </c>
      <c r="J797" s="2" t="str">
        <f>IFERROR(__xludf.DUMMYFUNCTION("""COMPUTED_VALUE"""),"27o 06' 11""")</f>
        <v>27o 06' 11"</v>
      </c>
      <c r="K797" s="2" t="str">
        <f>IFERROR(__xludf.DUMMYFUNCTION("""COMPUTED_VALUE"""),"87o 27' 50""")</f>
        <v>87o 27' 50"</v>
      </c>
      <c r="L797" s="2" t="str">
        <f>IFERROR(__xludf.DUMMYFUNCTION("""COMPUTED_VALUE"""),"87o 30' 51""")</f>
        <v>87o 30' 51"</v>
      </c>
      <c r="M797" s="2" t="str">
        <f>IFERROR(__xludf.DUMMYFUNCTION("""COMPUTED_VALUE"""),"Sudap,Okhare (Terhathum)")</f>
        <v>Sudap,Okhare (Terhathum)</v>
      </c>
    </row>
    <row r="798">
      <c r="A798" s="2">
        <f>IFERROR(__xludf.DUMMYFUNCTION("""COMPUTED_VALUE"""),797.0)</f>
        <v>797</v>
      </c>
      <c r="B798" s="2" t="str">
        <f>IFERROR(__xludf.DUMMYFUNCTION("""COMPUTED_VALUE"""),"Phasku Magha")</f>
        <v>Phasku Magha</v>
      </c>
      <c r="C798" s="2">
        <f>IFERROR(__xludf.DUMMYFUNCTION("""COMPUTED_VALUE"""),0.99)</f>
        <v>0.99</v>
      </c>
      <c r="D798" s="2"/>
      <c r="E798" s="2">
        <f>IFERROR(__xludf.DUMMYFUNCTION("""COMPUTED_VALUE"""),1927.0)</f>
        <v>1927</v>
      </c>
      <c r="F798" s="3">
        <f>IFERROR(__xludf.DUMMYFUNCTION("""COMPUTED_VALUE"""),60502.0)</f>
        <v>60502</v>
      </c>
      <c r="G798" s="2" t="str">
        <f>IFERROR(__xludf.DUMMYFUNCTION("""COMPUTED_VALUE"""),"Babita Gautam")</f>
        <v>Babita Gautam</v>
      </c>
      <c r="H798" s="2" t="str">
        <f>IFERROR(__xludf.DUMMYFUNCTION("""COMPUTED_VALUE"""),"Tanahu Gandaki")</f>
        <v>Tanahu Gandaki</v>
      </c>
      <c r="I798" s="2" t="str">
        <f>IFERROR(__xludf.DUMMYFUNCTION("""COMPUTED_VALUE"""),"27o 37' 06""")</f>
        <v>27o 37' 06"</v>
      </c>
      <c r="J798" s="2" t="str">
        <f>IFERROR(__xludf.DUMMYFUNCTION("""COMPUTED_VALUE"""),"27o 38' 45""")</f>
        <v>27o 38' 45"</v>
      </c>
      <c r="K798" s="2" t="str">
        <f>IFERROR(__xludf.DUMMYFUNCTION("""COMPUTED_VALUE"""),"85o 59' 49""")</f>
        <v>85o 59' 49"</v>
      </c>
      <c r="L798" s="2" t="str">
        <f>IFERROR(__xludf.DUMMYFUNCTION("""COMPUTED_VALUE"""),"86o 03' 14""")</f>
        <v>86o 03' 14"</v>
      </c>
      <c r="M798" s="2" t="str">
        <f>IFERROR(__xludf.DUMMYFUNCTION("""COMPUTED_VALUE"""),"Fasku,Katakuti,Magapauwa (Dolakha)")</f>
        <v>Fasku,Katakuti,Magapauwa (Dolakha)</v>
      </c>
    </row>
    <row r="799">
      <c r="A799" s="2">
        <f>IFERROR(__xludf.DUMMYFUNCTION("""COMPUTED_VALUE"""),798.0)</f>
        <v>798</v>
      </c>
      <c r="B799" s="2" t="str">
        <f>IFERROR(__xludf.DUMMYFUNCTION("""COMPUTED_VALUE"""),"Upper Hugdi 'A'")</f>
        <v>Upper Hugdi 'A'</v>
      </c>
      <c r="C799" s="2">
        <f>IFERROR(__xludf.DUMMYFUNCTION("""COMPUTED_VALUE"""),0.8)</f>
        <v>0.8</v>
      </c>
      <c r="D799" s="2"/>
      <c r="E799" s="2">
        <f>IFERROR(__xludf.DUMMYFUNCTION("""COMPUTED_VALUE"""),1938.0)</f>
        <v>1938</v>
      </c>
      <c r="F799" s="3">
        <f>IFERROR(__xludf.DUMMYFUNCTION("""COMPUTED_VALUE"""),60502.0)</f>
        <v>60502</v>
      </c>
      <c r="G799" s="2" t="str">
        <f>IFERROR(__xludf.DUMMYFUNCTION("""COMPUTED_VALUE"""),"B.S.B. Energy Pvt. Ltd.")</f>
        <v>B.S.B. Energy Pvt. Ltd.</v>
      </c>
      <c r="H799" s="2" t="str">
        <f>IFERROR(__xludf.DUMMYFUNCTION("""COMPUTED_VALUE"""),"Pokhara, Kaski, Phone 061-530028")</f>
        <v>Pokhara, Kaski, Phone 061-530028</v>
      </c>
      <c r="I799" s="2" t="str">
        <f>IFERROR(__xludf.DUMMYFUNCTION("""COMPUTED_VALUE"""),"28o 06' 13""")</f>
        <v>28o 06' 13"</v>
      </c>
      <c r="J799" s="2" t="str">
        <f>IFERROR(__xludf.DUMMYFUNCTION("""COMPUTED_VALUE"""),"28o 07' 44""")</f>
        <v>28o 07' 44"</v>
      </c>
      <c r="K799" s="2" t="str">
        <f>IFERROR(__xludf.DUMMYFUNCTION("""COMPUTED_VALUE"""),"83o 24' 50""")</f>
        <v>83o 24' 50"</v>
      </c>
      <c r="L799" s="2" t="str">
        <f>IFERROR(__xludf.DUMMYFUNCTION("""COMPUTED_VALUE"""),"83o 25' 40""")</f>
        <v>83o 25' 40"</v>
      </c>
      <c r="M799" s="2" t="str">
        <f>IFERROR(__xludf.DUMMYFUNCTION("""COMPUTED_VALUE"""),"Harewa,Shantipur (Gulmi)")</f>
        <v>Harewa,Shantipur (Gulmi)</v>
      </c>
    </row>
    <row r="800">
      <c r="A800" s="2">
        <f>IFERROR(__xludf.DUMMYFUNCTION("""COMPUTED_VALUE"""),799.0)</f>
        <v>799</v>
      </c>
      <c r="B800" s="2" t="str">
        <f>IFERROR(__xludf.DUMMYFUNCTION("""COMPUTED_VALUE"""),"Yankhuwa Khola 'A'")</f>
        <v>Yankhuwa Khola 'A'</v>
      </c>
      <c r="C800" s="2">
        <f>IFERROR(__xludf.DUMMYFUNCTION("""COMPUTED_VALUE"""),0.65)</f>
        <v>0.65</v>
      </c>
      <c r="D800" s="2" t="str">
        <f>IFERROR(__xludf.DUMMYFUNCTION("""COMPUTED_VALUE"""),"Yankhuwa")</f>
        <v>Yankhuwa</v>
      </c>
      <c r="E800" s="2">
        <f>IFERROR(__xludf.DUMMYFUNCTION("""COMPUTED_VALUE"""),1943.0)</f>
        <v>1943</v>
      </c>
      <c r="F800" s="3">
        <f>IFERROR(__xludf.DUMMYFUNCTION("""COMPUTED_VALUE"""),60504.0)</f>
        <v>60504</v>
      </c>
      <c r="G800" s="2" t="str">
        <f>IFERROR(__xludf.DUMMYFUNCTION("""COMPUTED_VALUE"""),"Tulashi Dhakal, Yogrendra Khatri")</f>
        <v>Tulashi Dhakal, Yogrendra Khatri</v>
      </c>
      <c r="H800" s="2" t="str">
        <f>IFERROR(__xludf.DUMMYFUNCTION("""COMPUTED_VALUE"""),"Bhojpur")</f>
        <v>Bhojpur</v>
      </c>
      <c r="I800" s="2" t="str">
        <f>IFERROR(__xludf.DUMMYFUNCTION("""COMPUTED_VALUE"""),"27o 15' 08""")</f>
        <v>27o 15' 08"</v>
      </c>
      <c r="J800" s="2" t="str">
        <f>IFERROR(__xludf.DUMMYFUNCTION("""COMPUTED_VALUE"""),"27o 16' 38""")</f>
        <v>27o 16' 38"</v>
      </c>
      <c r="K800" s="2" t="str">
        <f>IFERROR(__xludf.DUMMYFUNCTION("""COMPUTED_VALUE"""),"87o 08' 29""")</f>
        <v>87o 08' 29"</v>
      </c>
      <c r="L800" s="2" t="str">
        <f>IFERROR(__xludf.DUMMYFUNCTION("""COMPUTED_VALUE"""),"87o 08' 42""")</f>
        <v>87o 08' 42"</v>
      </c>
      <c r="M800" s="2" t="str">
        <f>IFERROR(__xludf.DUMMYFUNCTION("""COMPUTED_VALUE"""),"Boya (Bhojpur)")</f>
        <v>Boya (Bhojpur)</v>
      </c>
    </row>
    <row r="801">
      <c r="A801" s="2">
        <f>IFERROR(__xludf.DUMMYFUNCTION("""COMPUTED_VALUE"""),800.0)</f>
        <v>800</v>
      </c>
      <c r="B801" s="2" t="str">
        <f>IFERROR(__xludf.DUMMYFUNCTION("""COMPUTED_VALUE"""),"Yankhuwa Khola")</f>
        <v>Yankhuwa Khola</v>
      </c>
      <c r="C801" s="2">
        <f>IFERROR(__xludf.DUMMYFUNCTION("""COMPUTED_VALUE"""),0.65)</f>
        <v>0.65</v>
      </c>
      <c r="D801" s="2" t="str">
        <f>IFERROR(__xludf.DUMMYFUNCTION("""COMPUTED_VALUE"""),"Yankhuwa")</f>
        <v>Yankhuwa</v>
      </c>
      <c r="E801" s="2">
        <f>IFERROR(__xludf.DUMMYFUNCTION("""COMPUTED_VALUE"""),1944.0)</f>
        <v>1944</v>
      </c>
      <c r="F801" s="3">
        <f>IFERROR(__xludf.DUMMYFUNCTION("""COMPUTED_VALUE"""),60504.0)</f>
        <v>60504</v>
      </c>
      <c r="G801" s="2" t="str">
        <f>IFERROR(__xludf.DUMMYFUNCTION("""COMPUTED_VALUE"""),"Tulashi Dhakal, Yogendra Khatri")</f>
        <v>Tulashi Dhakal, Yogendra Khatri</v>
      </c>
      <c r="H801" s="2" t="str">
        <f>IFERROR(__xludf.DUMMYFUNCTION("""COMPUTED_VALUE"""),"Bhojpur")</f>
        <v>Bhojpur</v>
      </c>
      <c r="I801" s="2" t="str">
        <f>IFERROR(__xludf.DUMMYFUNCTION("""COMPUTED_VALUE"""),"27o 15' 08""")</f>
        <v>27o 15' 08"</v>
      </c>
      <c r="J801" s="2" t="str">
        <f>IFERROR(__xludf.DUMMYFUNCTION("""COMPUTED_VALUE"""),"27o 16' 13""")</f>
        <v>27o 16' 13"</v>
      </c>
      <c r="K801" s="2" t="str">
        <f>IFERROR(__xludf.DUMMYFUNCTION("""COMPUTED_VALUE"""),"87o 08' 42""")</f>
        <v>87o 08' 42"</v>
      </c>
      <c r="L801" s="2" t="str">
        <f>IFERROR(__xludf.DUMMYFUNCTION("""COMPUTED_VALUE"""),"87o 12' 30""")</f>
        <v>87o 12' 30"</v>
      </c>
      <c r="M801" s="2" t="str">
        <f>IFERROR(__xludf.DUMMYFUNCTION("""COMPUTED_VALUE"""),"Yangpang (Bhojpur)")</f>
        <v>Yangpang (Bhojpur)</v>
      </c>
    </row>
    <row r="802">
      <c r="A802" s="2">
        <f>IFERROR(__xludf.DUMMYFUNCTION("""COMPUTED_VALUE"""),801.0)</f>
        <v>801</v>
      </c>
      <c r="B802" s="2" t="str">
        <f>IFERROR(__xludf.DUMMYFUNCTION("""COMPUTED_VALUE"""),"Jhimruk Khola SHP")</f>
        <v>Jhimruk Khola SHP</v>
      </c>
      <c r="C802" s="2">
        <f>IFERROR(__xludf.DUMMYFUNCTION("""COMPUTED_VALUE"""),0.93)</f>
        <v>0.93</v>
      </c>
      <c r="D802" s="2" t="str">
        <f>IFERROR(__xludf.DUMMYFUNCTION("""COMPUTED_VALUE"""),"Jhimruk")</f>
        <v>Jhimruk</v>
      </c>
      <c r="E802" s="2">
        <f>IFERROR(__xludf.DUMMYFUNCTION("""COMPUTED_VALUE"""),1949.0)</f>
        <v>1949</v>
      </c>
      <c r="F802" s="3">
        <f>IFERROR(__xludf.DUMMYFUNCTION("""COMPUTED_VALUE"""),60504.0)</f>
        <v>60504</v>
      </c>
      <c r="G802" s="2" t="str">
        <f>IFERROR(__xludf.DUMMYFUNCTION("""COMPUTED_VALUE"""),"Dilli Raj Bhusal, Narayan Chand")</f>
        <v>Dilli Raj Bhusal, Narayan Chand</v>
      </c>
      <c r="H802" s="2" t="str">
        <f>IFERROR(__xludf.DUMMYFUNCTION("""COMPUTED_VALUE"""),"Tamghas-1 Gulmi,")</f>
        <v>Tamghas-1 Gulmi,</v>
      </c>
      <c r="I802" s="2" t="str">
        <f>IFERROR(__xludf.DUMMYFUNCTION("""COMPUTED_VALUE"""),"28o 14' 03""")</f>
        <v>28o 14' 03"</v>
      </c>
      <c r="J802" s="2" t="str">
        <f>IFERROR(__xludf.DUMMYFUNCTION("""COMPUTED_VALUE"""),"28o 16' 11""")</f>
        <v>28o 16' 11"</v>
      </c>
      <c r="K802" s="2" t="str">
        <f>IFERROR(__xludf.DUMMYFUNCTION("""COMPUTED_VALUE"""),"83o 01' 17""")</f>
        <v>83o 01' 17"</v>
      </c>
      <c r="L802" s="2" t="str">
        <f>IFERROR(__xludf.DUMMYFUNCTION("""COMPUTED_VALUE"""),"83o 03' 06""")</f>
        <v>83o 03' 06"</v>
      </c>
      <c r="M802" s="2" t="str">
        <f>IFERROR(__xludf.DUMMYFUNCTION("""COMPUTED_VALUE"""),"Akhra,Rajbara (Pyuthan)")</f>
        <v>Akhra,Rajbara (Pyuthan)</v>
      </c>
    </row>
    <row r="803">
      <c r="A803" s="2">
        <f>IFERROR(__xludf.DUMMYFUNCTION("""COMPUTED_VALUE"""),802.0)</f>
        <v>802</v>
      </c>
      <c r="B803" s="2" t="str">
        <f>IFERROR(__xludf.DUMMYFUNCTION("""COMPUTED_VALUE"""),"Machhapuchhre Seti Khola")</f>
        <v>Machhapuchhre Seti Khola</v>
      </c>
      <c r="C803" s="2">
        <f>IFERROR(__xludf.DUMMYFUNCTION("""COMPUTED_VALUE"""),1.0)</f>
        <v>1</v>
      </c>
      <c r="D803" s="2" t="str">
        <f>IFERROR(__xludf.DUMMYFUNCTION("""COMPUTED_VALUE"""),"Seti Khola")</f>
        <v>Seti Khola</v>
      </c>
      <c r="E803" s="2">
        <f>IFERROR(__xludf.DUMMYFUNCTION("""COMPUTED_VALUE"""),1950.0)</f>
        <v>1950</v>
      </c>
      <c r="F803" s="3">
        <f>IFERROR(__xludf.DUMMYFUNCTION("""COMPUTED_VALUE"""),60504.0)</f>
        <v>60504</v>
      </c>
      <c r="G803" s="2" t="str">
        <f>IFERROR(__xludf.DUMMYFUNCTION("""COMPUTED_VALUE"""),"Sraddha Gurung")</f>
        <v>Sraddha Gurung</v>
      </c>
      <c r="H803" s="2" t="str">
        <f>IFERROR(__xludf.DUMMYFUNCTION("""COMPUTED_VALUE"""),"Rupendehi, Phone 9803607980")</f>
        <v>Rupendehi, Phone 9803607980</v>
      </c>
      <c r="I803" s="2" t="str">
        <f>IFERROR(__xludf.DUMMYFUNCTION("""COMPUTED_VALUE"""),"28o 21' 55""")</f>
        <v>28o 21' 55"</v>
      </c>
      <c r="J803" s="2" t="str">
        <f>IFERROR(__xludf.DUMMYFUNCTION("""COMPUTED_VALUE"""),"28o 24' 26""")</f>
        <v>28o 24' 26"</v>
      </c>
      <c r="K803" s="2" t="str">
        <f>IFERROR(__xludf.DUMMYFUNCTION("""COMPUTED_VALUE"""),"83o 56' 56""")</f>
        <v>83o 56' 56"</v>
      </c>
      <c r="L803" s="2" t="str">
        <f>IFERROR(__xludf.DUMMYFUNCTION("""COMPUTED_VALUE"""),"83o 59' 24""")</f>
        <v>83o 59' 24"</v>
      </c>
      <c r="M803" s="2" t="str">
        <f>IFERROR(__xludf.DUMMYFUNCTION("""COMPUTED_VALUE"""),"Machhapuchchhre,Sardikhola (Kaski)")</f>
        <v>Machhapuchchhre,Sardikhola (Kaski)</v>
      </c>
    </row>
    <row r="804">
      <c r="A804" s="2">
        <f>IFERROR(__xludf.DUMMYFUNCTION("""COMPUTED_VALUE"""),803.0)</f>
        <v>803</v>
      </c>
      <c r="B804" s="2" t="str">
        <f>IFERROR(__xludf.DUMMYFUNCTION("""COMPUTED_VALUE"""),"Lower Lun khola")</f>
        <v>Lower Lun khola</v>
      </c>
      <c r="C804" s="2">
        <f>IFERROR(__xludf.DUMMYFUNCTION("""COMPUTED_VALUE"""),0.96)</f>
        <v>0.96</v>
      </c>
      <c r="D804" s="2"/>
      <c r="E804" s="2">
        <f>IFERROR(__xludf.DUMMYFUNCTION("""COMPUTED_VALUE"""),1951.0)</f>
        <v>1951</v>
      </c>
      <c r="F804" s="3">
        <f>IFERROR(__xludf.DUMMYFUNCTION("""COMPUTED_VALUE"""),60504.0)</f>
        <v>60504</v>
      </c>
      <c r="G804" s="2" t="str">
        <f>IFERROR(__xludf.DUMMYFUNCTION("""COMPUTED_VALUE"""),"Sandesh Shah")</f>
        <v>Sandesh Shah</v>
      </c>
      <c r="H804" s="2" t="str">
        <f>IFERROR(__xludf.DUMMYFUNCTION("""COMPUTED_VALUE"""),"Phone 01-6635110")</f>
        <v>Phone 01-6635110</v>
      </c>
      <c r="I804" s="2" t="str">
        <f>IFERROR(__xludf.DUMMYFUNCTION("""COMPUTED_VALUE"""),"28o 08' 51""")</f>
        <v>28o 08' 51"</v>
      </c>
      <c r="J804" s="2" t="str">
        <f>IFERROR(__xludf.DUMMYFUNCTION("""COMPUTED_VALUE"""),"28o 10' 41""")</f>
        <v>28o 10' 41"</v>
      </c>
      <c r="K804" s="2" t="str">
        <f>IFERROR(__xludf.DUMMYFUNCTION("""COMPUTED_VALUE"""),"82o 52' 30""")</f>
        <v>82o 52' 30"</v>
      </c>
      <c r="L804" s="2" t="str">
        <f>IFERROR(__xludf.DUMMYFUNCTION("""COMPUTED_VALUE"""),"82o 55' 00""")</f>
        <v>82o 55' 00"</v>
      </c>
      <c r="M804" s="2" t="str">
        <f>IFERROR(__xludf.DUMMYFUNCTION("""COMPUTED_VALUE"""),"Lung (Pyuthan)")</f>
        <v>Lung (Pyuthan)</v>
      </c>
    </row>
    <row r="805">
      <c r="A805" s="2">
        <f>IFERROR(__xludf.DUMMYFUNCTION("""COMPUTED_VALUE"""),804.0)</f>
        <v>804</v>
      </c>
      <c r="B805" s="2" t="str">
        <f>IFERROR(__xludf.DUMMYFUNCTION("""COMPUTED_VALUE"""),"Sunkoshi Storage-2 HPP")</f>
        <v>Sunkoshi Storage-2 HPP</v>
      </c>
      <c r="C805" s="2">
        <f>IFERROR(__xludf.DUMMYFUNCTION("""COMPUTED_VALUE"""),1100.0)</f>
        <v>1100</v>
      </c>
      <c r="D805" s="2" t="str">
        <f>IFERROR(__xludf.DUMMYFUNCTION("""COMPUTED_VALUE"""),"Sun Koshi")</f>
        <v>Sun Koshi</v>
      </c>
      <c r="E805" s="2">
        <f>IFERROR(__xludf.DUMMYFUNCTION("""COMPUTED_VALUE"""),1958.0)</f>
        <v>1958</v>
      </c>
      <c r="F805" s="3">
        <f>IFERROR(__xludf.DUMMYFUNCTION("""COMPUTED_VALUE"""),60504.0)</f>
        <v>60504</v>
      </c>
      <c r="G805" s="2" t="str">
        <f>IFERROR(__xludf.DUMMYFUNCTION("""COMPUTED_VALUE"""),"Rastriya Jalshakti Pvt Ltd")</f>
        <v>Rastriya Jalshakti Pvt Ltd</v>
      </c>
      <c r="H805" s="2" t="str">
        <f>IFERROR(__xludf.DUMMYFUNCTION("""COMPUTED_VALUE"""),"GPO Box; 3468, Kathmandu")</f>
        <v>GPO Box; 3468, Kathmandu</v>
      </c>
      <c r="I805" s="2" t="str">
        <f>IFERROR(__xludf.DUMMYFUNCTION("""COMPUTED_VALUE"""),"27o 12' 30""")</f>
        <v>27o 12' 30"</v>
      </c>
      <c r="J805" s="2" t="str">
        <f>IFERROR(__xludf.DUMMYFUNCTION("""COMPUTED_VALUE"""),"27o 27' 30""")</f>
        <v>27o 27' 30"</v>
      </c>
      <c r="K805" s="2" t="str">
        <f>IFERROR(__xludf.DUMMYFUNCTION("""COMPUTED_VALUE"""),"85o 50' 00""")</f>
        <v>85o 50' 00"</v>
      </c>
      <c r="L805" s="2" t="str">
        <f>IFERROR(__xludf.DUMMYFUNCTION("""COMPUTED_VALUE"""),"86o 12' 30""")</f>
        <v>86o 12' 30"</v>
      </c>
      <c r="M805" s="2" t="str">
        <f>IFERROR(__xludf.DUMMYFUNCTION("""COMPUTED_VALUE"""),"Rampur (Ramechhap) Bitijor Bagaincha (Sindhuli)")</f>
        <v>Rampur (Ramechhap) Bitijor Bagaincha (Sindhuli)</v>
      </c>
    </row>
    <row r="806">
      <c r="A806" s="2">
        <f>IFERROR(__xludf.DUMMYFUNCTION("""COMPUTED_VALUE"""),805.0)</f>
        <v>805</v>
      </c>
      <c r="B806" s="2" t="str">
        <f>IFERROR(__xludf.DUMMYFUNCTION("""COMPUTED_VALUE"""),"Syanban")</f>
        <v>Syanban</v>
      </c>
      <c r="C806" s="2">
        <f>IFERROR(__xludf.DUMMYFUNCTION("""COMPUTED_VALUE"""),25.0)</f>
        <v>25</v>
      </c>
      <c r="D806" s="2"/>
      <c r="E806" s="2">
        <f>IFERROR(__xludf.DUMMYFUNCTION("""COMPUTED_VALUE"""),1959.0)</f>
        <v>1959</v>
      </c>
      <c r="F806" s="3">
        <f>IFERROR(__xludf.DUMMYFUNCTION("""COMPUTED_VALUE"""),60504.0)</f>
        <v>60504</v>
      </c>
      <c r="G806" s="2" t="str">
        <f>IFERROR(__xludf.DUMMYFUNCTION("""COMPUTED_VALUE"""),"Energy Infrastructure Devlopment Pvt. Ltd.")</f>
        <v>Energy Infrastructure Devlopment Pvt. Ltd.</v>
      </c>
      <c r="H806" s="2" t="str">
        <f>IFERROR(__xludf.DUMMYFUNCTION("""COMPUTED_VALUE"""),"Kathmandu, Phone 01-4442049")</f>
        <v>Kathmandu, Phone 01-4442049</v>
      </c>
      <c r="I806" s="2" t="str">
        <f>IFERROR(__xludf.DUMMYFUNCTION("""COMPUTED_VALUE"""),"29o 50' 04""")</f>
        <v>29o 50' 04"</v>
      </c>
      <c r="J806" s="2" t="str">
        <f>IFERROR(__xludf.DUMMYFUNCTION("""COMPUTED_VALUE"""),"29o 55' 00""")</f>
        <v>29o 55' 00"</v>
      </c>
      <c r="K806" s="2" t="str">
        <f>IFERROR(__xludf.DUMMYFUNCTION("""COMPUTED_VALUE"""),"81o 15' 40""")</f>
        <v>81o 15' 40"</v>
      </c>
      <c r="L806" s="2" t="str">
        <f>IFERROR(__xludf.DUMMYFUNCTION("""COMPUTED_VALUE"""),"81o 20' 00""")</f>
        <v>81o 20' 00"</v>
      </c>
      <c r="M806" s="2" t="str">
        <f>IFERROR(__xludf.DUMMYFUNCTION("""COMPUTED_VALUE"""),"Kanda (Bajhang)")</f>
        <v>Kanda (Bajhang)</v>
      </c>
    </row>
    <row r="807">
      <c r="A807" s="2">
        <f>IFERROR(__xludf.DUMMYFUNCTION("""COMPUTED_VALUE"""),806.0)</f>
        <v>806</v>
      </c>
      <c r="B807" s="2" t="str">
        <f>IFERROR(__xludf.DUMMYFUNCTION("""COMPUTED_VALUE"""),"Upper Iduwa Khola")</f>
        <v>Upper Iduwa Khola</v>
      </c>
      <c r="C807" s="2">
        <f>IFERROR(__xludf.DUMMYFUNCTION("""COMPUTED_VALUE"""),0.987)</f>
        <v>0.987</v>
      </c>
      <c r="D807" s="2"/>
      <c r="E807" s="2">
        <f>IFERROR(__xludf.DUMMYFUNCTION("""COMPUTED_VALUE"""),1961.0)</f>
        <v>1961</v>
      </c>
      <c r="F807" s="3">
        <f>IFERROR(__xludf.DUMMYFUNCTION("""COMPUTED_VALUE"""),60504.0)</f>
        <v>60504</v>
      </c>
      <c r="G807" s="2" t="str">
        <f>IFERROR(__xludf.DUMMYFUNCTION("""COMPUTED_VALUE"""),"Tirth Bahadur Parajuli")</f>
        <v>Tirth Bahadur Parajuli</v>
      </c>
      <c r="H807" s="2" t="str">
        <f>IFERROR(__xludf.DUMMYFUNCTION("""COMPUTED_VALUE"""),"Pathibhara 4, Sankhuwasabha")</f>
        <v>Pathibhara 4, Sankhuwasabha</v>
      </c>
      <c r="I807" s="2" t="str">
        <f>IFERROR(__xludf.DUMMYFUNCTION("""COMPUTED_VALUE"""),"27o 31' 21""")</f>
        <v>27o 31' 21"</v>
      </c>
      <c r="J807" s="2" t="str">
        <f>IFERROR(__xludf.DUMMYFUNCTION("""COMPUTED_VALUE"""),"27o 32' 25""")</f>
        <v>27o 32' 25"</v>
      </c>
      <c r="K807" s="2" t="str">
        <f>IFERROR(__xludf.DUMMYFUNCTION("""COMPUTED_VALUE"""),"87o 22' 16""")</f>
        <v>87o 22' 16"</v>
      </c>
      <c r="L807" s="2" t="str">
        <f>IFERROR(__xludf.DUMMYFUNCTION("""COMPUTED_VALUE"""),"87o 24' 32""")</f>
        <v>87o 24' 32"</v>
      </c>
      <c r="M807" s="2" t="str">
        <f>IFERROR(__xludf.DUMMYFUNCTION("""COMPUTED_VALUE"""),"Num (Sankhuwasabha)")</f>
        <v>Num (Sankhuwasabha)</v>
      </c>
    </row>
    <row r="808">
      <c r="A808" s="2">
        <f>IFERROR(__xludf.DUMMYFUNCTION("""COMPUTED_VALUE"""),807.0)</f>
        <v>807</v>
      </c>
      <c r="B808" s="2" t="str">
        <f>IFERROR(__xludf.DUMMYFUNCTION("""COMPUTED_VALUE"""),"Lower Iduwa Khola")</f>
        <v>Lower Iduwa Khola</v>
      </c>
      <c r="C808" s="2">
        <f>IFERROR(__xludf.DUMMYFUNCTION("""COMPUTED_VALUE"""),0.994)</f>
        <v>0.994</v>
      </c>
      <c r="D808" s="2"/>
      <c r="E808" s="2">
        <f>IFERROR(__xludf.DUMMYFUNCTION("""COMPUTED_VALUE"""),1962.0)</f>
        <v>1962</v>
      </c>
      <c r="F808" s="3">
        <f>IFERROR(__xludf.DUMMYFUNCTION("""COMPUTED_VALUE"""),60504.0)</f>
        <v>60504</v>
      </c>
      <c r="G808" s="2" t="str">
        <f>IFERROR(__xludf.DUMMYFUNCTION("""COMPUTED_VALUE"""),"Jit Kumar Karki, Bimal Parajuli")</f>
        <v>Jit Kumar Karki, Bimal Parajuli</v>
      </c>
      <c r="H808" s="2" t="str">
        <f>IFERROR(__xludf.DUMMYFUNCTION("""COMPUTED_VALUE"""),"Sankhuwasabha")</f>
        <v>Sankhuwasabha</v>
      </c>
      <c r="I808" s="2" t="str">
        <f>IFERROR(__xludf.DUMMYFUNCTION("""COMPUTED_VALUE"""),"27o 32' 09""")</f>
        <v>27o 32' 09"</v>
      </c>
      <c r="J808" s="2" t="str">
        <f>IFERROR(__xludf.DUMMYFUNCTION("""COMPUTED_VALUE"""),"27o 33' 30""")</f>
        <v>27o 33' 30"</v>
      </c>
      <c r="K808" s="2" t="str">
        <f>IFERROR(__xludf.DUMMYFUNCTION("""COMPUTED_VALUE"""),"87o 18' 58""")</f>
        <v>87o 18' 58"</v>
      </c>
      <c r="L808" s="2" t="str">
        <f>IFERROR(__xludf.DUMMYFUNCTION("""COMPUTED_VALUE"""),"87o 20' 16""")</f>
        <v>87o 20' 16"</v>
      </c>
      <c r="M808" s="2" t="str">
        <f>IFERROR(__xludf.DUMMYFUNCTION("""COMPUTED_VALUE"""),"Num (Sankhuwasabha)")</f>
        <v>Num (Sankhuwasabha)</v>
      </c>
    </row>
    <row r="809">
      <c r="A809" s="2">
        <f>IFERROR(__xludf.DUMMYFUNCTION("""COMPUTED_VALUE"""),808.0)</f>
        <v>808</v>
      </c>
      <c r="B809" s="2" t="str">
        <f>IFERROR(__xludf.DUMMYFUNCTION("""COMPUTED_VALUE"""),"Garjan Khola SHP")</f>
        <v>Garjan Khola SHP</v>
      </c>
      <c r="C809" s="2">
        <f>IFERROR(__xludf.DUMMYFUNCTION("""COMPUTED_VALUE"""),0.55)</f>
        <v>0.55</v>
      </c>
      <c r="D809" s="2" t="str">
        <f>IFERROR(__xludf.DUMMYFUNCTION("""COMPUTED_VALUE"""),"Garjan")</f>
        <v>Garjan</v>
      </c>
      <c r="E809" s="2">
        <f>IFERROR(__xludf.DUMMYFUNCTION("""COMPUTED_VALUE"""),1969.0)</f>
        <v>1969</v>
      </c>
      <c r="F809" s="3">
        <f>IFERROR(__xludf.DUMMYFUNCTION("""COMPUTED_VALUE"""),60505.0)</f>
        <v>60505</v>
      </c>
      <c r="G809" s="2" t="str">
        <f>IFERROR(__xludf.DUMMYFUNCTION("""COMPUTED_VALUE"""),"Purna Bahadur Shrestha &amp; Saroj Shrestha")</f>
        <v>Purna Bahadur Shrestha &amp; Saroj Shrestha</v>
      </c>
      <c r="H809" s="2" t="str">
        <f>IFERROR(__xludf.DUMMYFUNCTION("""COMPUTED_VALUE"""),"Bhamtibhandar-3 &amp; Chuchure-5, Ph: 048-690473, 9741051164")</f>
        <v>Bhamtibhandar-3 &amp; Chuchure-5, Ph: 048-690473, 9741051164</v>
      </c>
      <c r="I809" s="2" t="str">
        <f>IFERROR(__xludf.DUMMYFUNCTION("""COMPUTED_VALUE"""),"27o 38' 40""")</f>
        <v>27o 38' 40"</v>
      </c>
      <c r="J809" s="2" t="str">
        <f>IFERROR(__xludf.DUMMYFUNCTION("""COMPUTED_VALUE"""),"27o 39' 24""")</f>
        <v>27o 39' 24"</v>
      </c>
      <c r="K809" s="2" t="str">
        <f>IFERROR(__xludf.DUMMYFUNCTION("""COMPUTED_VALUE"""),"86o 19' 22""")</f>
        <v>86o 19' 22"</v>
      </c>
      <c r="L809" s="2" t="str">
        <f>IFERROR(__xludf.DUMMYFUNCTION("""COMPUTED_VALUE"""),"86o 21' 04""")</f>
        <v>86o 21' 04"</v>
      </c>
      <c r="M809" s="2" t="str">
        <f>IFERROR(__xludf.DUMMYFUNCTION("""COMPUTED_VALUE"""),"Chuchure (Ramechhap)")</f>
        <v>Chuchure (Ramechhap)</v>
      </c>
    </row>
    <row r="810">
      <c r="A810" s="2">
        <f>IFERROR(__xludf.DUMMYFUNCTION("""COMPUTED_VALUE"""),809.0)</f>
        <v>809</v>
      </c>
      <c r="B810" s="2" t="str">
        <f>IFERROR(__xludf.DUMMYFUNCTION("""COMPUTED_VALUE"""),"Garjang Khola")</f>
        <v>Garjang Khola</v>
      </c>
      <c r="C810" s="2">
        <f>IFERROR(__xludf.DUMMYFUNCTION("""COMPUTED_VALUE"""),0.55)</f>
        <v>0.55</v>
      </c>
      <c r="D810" s="2"/>
      <c r="E810" s="2">
        <f>IFERROR(__xludf.DUMMYFUNCTION("""COMPUTED_VALUE"""),1969.0)</f>
        <v>1969</v>
      </c>
      <c r="F810" s="3">
        <f>IFERROR(__xludf.DUMMYFUNCTION("""COMPUTED_VALUE"""),60505.0)</f>
        <v>60505</v>
      </c>
      <c r="G810" s="2" t="str">
        <f>IFERROR(__xludf.DUMMYFUNCTION("""COMPUTED_VALUE"""),"Purn Bahadur Shrestha, Saroj Shrestha")</f>
        <v>Purn Bahadur Shrestha, Saroj Shrestha</v>
      </c>
      <c r="H810" s="2" t="str">
        <f>IFERROR(__xludf.DUMMYFUNCTION("""COMPUTED_VALUE"""),"Ramechhap")</f>
        <v>Ramechhap</v>
      </c>
      <c r="I810" s="2" t="str">
        <f>IFERROR(__xludf.DUMMYFUNCTION("""COMPUTED_VALUE"""),"27o 38' 40""")</f>
        <v>27o 38' 40"</v>
      </c>
      <c r="J810" s="2" t="str">
        <f>IFERROR(__xludf.DUMMYFUNCTION("""COMPUTED_VALUE"""),"27o 39' 24""")</f>
        <v>27o 39' 24"</v>
      </c>
      <c r="K810" s="2" t="str">
        <f>IFERROR(__xludf.DUMMYFUNCTION("""COMPUTED_VALUE"""),"86o 19' 22""")</f>
        <v>86o 19' 22"</v>
      </c>
      <c r="L810" s="2" t="str">
        <f>IFERROR(__xludf.DUMMYFUNCTION("""COMPUTED_VALUE"""),"86o 21' 04""")</f>
        <v>86o 21' 04"</v>
      </c>
      <c r="M810" s="2" t="str">
        <f>IFERROR(__xludf.DUMMYFUNCTION("""COMPUTED_VALUE"""),"Chuchure (Ramechhap)")</f>
        <v>Chuchure (Ramechhap)</v>
      </c>
    </row>
    <row r="811">
      <c r="A811" s="2">
        <f>IFERROR(__xludf.DUMMYFUNCTION("""COMPUTED_VALUE"""),810.0)</f>
        <v>810</v>
      </c>
      <c r="B811" s="2" t="str">
        <f>IFERROR(__xludf.DUMMYFUNCTION("""COMPUTED_VALUE"""),"Upper Trishuli Khola")</f>
        <v>Upper Trishuli Khola</v>
      </c>
      <c r="C811" s="2">
        <f>IFERROR(__xludf.DUMMYFUNCTION("""COMPUTED_VALUE"""),3.0)</f>
        <v>3</v>
      </c>
      <c r="D811" s="2" t="str">
        <f>IFERROR(__xludf.DUMMYFUNCTION("""COMPUTED_VALUE"""),"Trishuli")</f>
        <v>Trishuli</v>
      </c>
      <c r="E811" s="2">
        <f>IFERROR(__xludf.DUMMYFUNCTION("""COMPUTED_VALUE"""),1989.0)</f>
        <v>1989</v>
      </c>
      <c r="F811" s="3">
        <f>IFERROR(__xludf.DUMMYFUNCTION("""COMPUTED_VALUE"""),60508.0)</f>
        <v>60508</v>
      </c>
      <c r="G811" s="2" t="str">
        <f>IFERROR(__xludf.DUMMYFUNCTION("""COMPUTED_VALUE"""),"River Connect Hydropower Pvt Ltd")</f>
        <v>River Connect Hydropower Pvt Ltd</v>
      </c>
      <c r="H811" s="2"/>
      <c r="I811" s="2" t="str">
        <f>IFERROR(__xludf.DUMMYFUNCTION("""COMPUTED_VALUE"""),"28o 04' 40""")</f>
        <v>28o 04' 40"</v>
      </c>
      <c r="J811" s="2" t="str">
        <f>IFERROR(__xludf.DUMMYFUNCTION("""COMPUTED_VALUE"""),"28o 06' 30""")</f>
        <v>28o 06' 30"</v>
      </c>
      <c r="K811" s="2" t="str">
        <f>IFERROR(__xludf.DUMMYFUNCTION("""COMPUTED_VALUE"""),"85o 19' 24""")</f>
        <v>85o 19' 24"</v>
      </c>
      <c r="L811" s="2" t="str">
        <f>IFERROR(__xludf.DUMMYFUNCTION("""COMPUTED_VALUE"""),"85o 22' 00""")</f>
        <v>85o 22' 00"</v>
      </c>
      <c r="M811" s="2" t="str">
        <f>IFERROR(__xludf.DUMMYFUNCTION("""COMPUTED_VALUE"""),"Dhunche (Rasuwa)")</f>
        <v>Dhunche (Rasuwa)</v>
      </c>
    </row>
    <row r="812">
      <c r="A812" s="2">
        <f>IFERROR(__xludf.DUMMYFUNCTION("""COMPUTED_VALUE"""),811.0)</f>
        <v>811</v>
      </c>
      <c r="B812" s="2" t="str">
        <f>IFERROR(__xludf.DUMMYFUNCTION("""COMPUTED_VALUE"""),"Super Bagmati")</f>
        <v>Super Bagmati</v>
      </c>
      <c r="C812" s="2">
        <f>IFERROR(__xludf.DUMMYFUNCTION("""COMPUTED_VALUE"""),0.4)</f>
        <v>0.4</v>
      </c>
      <c r="D812" s="2" t="str">
        <f>IFERROR(__xludf.DUMMYFUNCTION("""COMPUTED_VALUE"""),"Bagmati")</f>
        <v>Bagmati</v>
      </c>
      <c r="E812" s="2">
        <f>IFERROR(__xludf.DUMMYFUNCTION("""COMPUTED_VALUE"""),2002.0)</f>
        <v>2002</v>
      </c>
      <c r="F812" s="3">
        <f>IFERROR(__xludf.DUMMYFUNCTION("""COMPUTED_VALUE"""),60509.0)</f>
        <v>60509</v>
      </c>
      <c r="G812" s="2" t="str">
        <f>IFERROR(__xludf.DUMMYFUNCTION("""COMPUTED_VALUE"""),"Super Dordi Hydropower Company (P.) Ltd.")</f>
        <v>Super Dordi Hydropower Company (P.) Ltd.</v>
      </c>
      <c r="H812" s="2" t="str">
        <f>IFERROR(__xludf.DUMMYFUNCTION("""COMPUTED_VALUE"""),"KMC-4, Chandol, Kathmandu")</f>
        <v>KMC-4, Chandol, Kathmandu</v>
      </c>
      <c r="I812" s="2" t="str">
        <f>IFERROR(__xludf.DUMMYFUNCTION("""COMPUTED_VALUE"""),"27o 46' 28""")</f>
        <v>27o 46' 28"</v>
      </c>
      <c r="J812" s="2" t="str">
        <f>IFERROR(__xludf.DUMMYFUNCTION("""COMPUTED_VALUE"""),"27o 47' 44""")</f>
        <v>27o 47' 44"</v>
      </c>
      <c r="K812" s="2" t="str">
        <f>IFERROR(__xludf.DUMMYFUNCTION("""COMPUTED_VALUE"""),"08o 52' 51""")</f>
        <v>08o 52' 51"</v>
      </c>
      <c r="L812" s="2" t="str">
        <f>IFERROR(__xludf.DUMMYFUNCTION("""COMPUTED_VALUE"""),"85o 24' 38""")</f>
        <v>85o 24' 38"</v>
      </c>
      <c r="M812" s="2" t="str">
        <f>IFERROR(__xludf.DUMMYFUNCTION("""COMPUTED_VALUE"""),"Sundarijal (Kathmandu)")</f>
        <v>Sundarijal (Kathmandu)</v>
      </c>
    </row>
    <row r="813">
      <c r="A813" s="2">
        <f>IFERROR(__xludf.DUMMYFUNCTION("""COMPUTED_VALUE"""),812.0)</f>
        <v>812</v>
      </c>
      <c r="B813" s="2" t="str">
        <f>IFERROR(__xludf.DUMMYFUNCTION("""COMPUTED_VALUE"""),"Super Bagmati Small")</f>
        <v>Super Bagmati Small</v>
      </c>
      <c r="C813" s="2">
        <f>IFERROR(__xludf.DUMMYFUNCTION("""COMPUTED_VALUE"""),0.4)</f>
        <v>0.4</v>
      </c>
      <c r="D813" s="2"/>
      <c r="E813" s="2">
        <f>IFERROR(__xludf.DUMMYFUNCTION("""COMPUTED_VALUE"""),2002.0)</f>
        <v>2002</v>
      </c>
      <c r="F813" s="3">
        <f>IFERROR(__xludf.DUMMYFUNCTION("""COMPUTED_VALUE"""),60509.0)</f>
        <v>60509</v>
      </c>
      <c r="G813" s="2" t="str">
        <f>IFERROR(__xludf.DUMMYFUNCTION("""COMPUTED_VALUE"""),"Super Dordi Hydropower Company Pvt. Ltd.")</f>
        <v>Super Dordi Hydropower Company Pvt. Ltd.</v>
      </c>
      <c r="H813" s="2" t="str">
        <f>IFERROR(__xludf.DUMMYFUNCTION("""COMPUTED_VALUE"""),"Kathmandu, Phone 9741169637")</f>
        <v>Kathmandu, Phone 9741169637</v>
      </c>
      <c r="I813" s="2" t="str">
        <f>IFERROR(__xludf.DUMMYFUNCTION("""COMPUTED_VALUE"""),"27o 46' 28""")</f>
        <v>27o 46' 28"</v>
      </c>
      <c r="J813" s="2" t="str">
        <f>IFERROR(__xludf.DUMMYFUNCTION("""COMPUTED_VALUE"""),"27o 47' 44""")</f>
        <v>27o 47' 44"</v>
      </c>
      <c r="K813" s="2" t="str">
        <f>IFERROR(__xludf.DUMMYFUNCTION("""COMPUTED_VALUE"""),"85o 24' 38""")</f>
        <v>85o 24' 38"</v>
      </c>
      <c r="L813" s="2" t="str">
        <f>IFERROR(__xludf.DUMMYFUNCTION("""COMPUTED_VALUE"""),"85o 25' 51""")</f>
        <v>85o 25' 51"</v>
      </c>
      <c r="M813" s="2" t="str">
        <f>IFERROR(__xludf.DUMMYFUNCTION("""COMPUTED_VALUE"""),"Sundarijal (Kathmandu)")</f>
        <v>Sundarijal (Kathmandu)</v>
      </c>
    </row>
    <row r="814">
      <c r="A814" s="2">
        <f>IFERROR(__xludf.DUMMYFUNCTION("""COMPUTED_VALUE"""),813.0)</f>
        <v>813</v>
      </c>
      <c r="B814" s="2" t="str">
        <f>IFERROR(__xludf.DUMMYFUNCTION("""COMPUTED_VALUE"""),"Nagmati Khola SHP")</f>
        <v>Nagmati Khola SHP</v>
      </c>
      <c r="C814" s="2">
        <f>IFERROR(__xludf.DUMMYFUNCTION("""COMPUTED_VALUE"""),0.5)</f>
        <v>0.5</v>
      </c>
      <c r="D814" s="2" t="str">
        <f>IFERROR(__xludf.DUMMYFUNCTION("""COMPUTED_VALUE"""),"Nagmati")</f>
        <v>Nagmati</v>
      </c>
      <c r="E814" s="2">
        <f>IFERROR(__xludf.DUMMYFUNCTION("""COMPUTED_VALUE"""),2003.0)</f>
        <v>2003</v>
      </c>
      <c r="F814" s="3">
        <f>IFERROR(__xludf.DUMMYFUNCTION("""COMPUTED_VALUE"""),60509.0)</f>
        <v>60509</v>
      </c>
      <c r="G814" s="2" t="str">
        <f>IFERROR(__xludf.DUMMYFUNCTION("""COMPUTED_VALUE"""),"Indra Kumar Maharjan")</f>
        <v>Indra Kumar Maharjan</v>
      </c>
      <c r="H814" s="2" t="str">
        <f>IFERROR(__xludf.DUMMYFUNCTION("""COMPUTED_VALUE"""),"Harisiddhi-5, Lalitpur")</f>
        <v>Harisiddhi-5, Lalitpur</v>
      </c>
      <c r="I814" s="2" t="str">
        <f>IFERROR(__xludf.DUMMYFUNCTION("""COMPUTED_VALUE"""),"27o 46' 17""")</f>
        <v>27o 46' 17"</v>
      </c>
      <c r="J814" s="2" t="str">
        <f>IFERROR(__xludf.DUMMYFUNCTION("""COMPUTED_VALUE"""),"27o 47' 30""")</f>
        <v>27o 47' 30"</v>
      </c>
      <c r="K814" s="2" t="str">
        <f>IFERROR(__xludf.DUMMYFUNCTION("""COMPUTED_VALUE"""),"85o 25' 55""")</f>
        <v>85o 25' 55"</v>
      </c>
      <c r="L814" s="2" t="str">
        <f>IFERROR(__xludf.DUMMYFUNCTION("""COMPUTED_VALUE"""),"85o 27' 03""")</f>
        <v>85o 27' 03"</v>
      </c>
      <c r="M814" s="2" t="str">
        <f>IFERROR(__xludf.DUMMYFUNCTION("""COMPUTED_VALUE"""),"Sundarijal (Kathmandu)")</f>
        <v>Sundarijal (Kathmandu)</v>
      </c>
    </row>
    <row r="815">
      <c r="A815" s="2">
        <f>IFERROR(__xludf.DUMMYFUNCTION("""COMPUTED_VALUE"""),814.0)</f>
        <v>814</v>
      </c>
      <c r="B815" s="2" t="str">
        <f>IFERROR(__xludf.DUMMYFUNCTION("""COMPUTED_VALUE"""),"Nagmati Khola")</f>
        <v>Nagmati Khola</v>
      </c>
      <c r="C815" s="2">
        <f>IFERROR(__xludf.DUMMYFUNCTION("""COMPUTED_VALUE"""),0.5)</f>
        <v>0.5</v>
      </c>
      <c r="D815" s="2"/>
      <c r="E815" s="2">
        <f>IFERROR(__xludf.DUMMYFUNCTION("""COMPUTED_VALUE"""),2003.0)</f>
        <v>2003</v>
      </c>
      <c r="F815" s="3">
        <f>IFERROR(__xludf.DUMMYFUNCTION("""COMPUTED_VALUE"""),60509.0)</f>
        <v>60509</v>
      </c>
      <c r="G815" s="2" t="str">
        <f>IFERROR(__xludf.DUMMYFUNCTION("""COMPUTED_VALUE"""),"Indra Kumar Maharjan")</f>
        <v>Indra Kumar Maharjan</v>
      </c>
      <c r="H815" s="2" t="str">
        <f>IFERROR(__xludf.DUMMYFUNCTION("""COMPUTED_VALUE"""),"Lalitpur, Phone 9841251514")</f>
        <v>Lalitpur, Phone 9841251514</v>
      </c>
      <c r="I815" s="2" t="str">
        <f>IFERROR(__xludf.DUMMYFUNCTION("""COMPUTED_VALUE"""),"27o 46' 17""")</f>
        <v>27o 46' 17"</v>
      </c>
      <c r="J815" s="2" t="str">
        <f>IFERROR(__xludf.DUMMYFUNCTION("""COMPUTED_VALUE"""),"27o 47' 30""")</f>
        <v>27o 47' 30"</v>
      </c>
      <c r="K815" s="2" t="str">
        <f>IFERROR(__xludf.DUMMYFUNCTION("""COMPUTED_VALUE"""),"85o 25' 55""")</f>
        <v>85o 25' 55"</v>
      </c>
      <c r="L815" s="2" t="str">
        <f>IFERROR(__xludf.DUMMYFUNCTION("""COMPUTED_VALUE"""),"85o 27' 03""")</f>
        <v>85o 27' 03"</v>
      </c>
      <c r="M815" s="2" t="str">
        <f>IFERROR(__xludf.DUMMYFUNCTION("""COMPUTED_VALUE"""),"Sundarijal (Kathmandu)")</f>
        <v>Sundarijal (Kathmandu)</v>
      </c>
    </row>
    <row r="816">
      <c r="A816" s="2">
        <f>IFERROR(__xludf.DUMMYFUNCTION("""COMPUTED_VALUE"""),815.0)</f>
        <v>815</v>
      </c>
      <c r="B816" s="2" t="str">
        <f>IFERROR(__xludf.DUMMYFUNCTION("""COMPUTED_VALUE"""),"Sanni Gad")</f>
        <v>Sanni Gad</v>
      </c>
      <c r="C816" s="2">
        <f>IFERROR(__xludf.DUMMYFUNCTION("""COMPUTED_VALUE"""),1.0)</f>
        <v>1</v>
      </c>
      <c r="D816" s="2"/>
      <c r="E816" s="2">
        <f>IFERROR(__xludf.DUMMYFUNCTION("""COMPUTED_VALUE"""),2022.0)</f>
        <v>2022</v>
      </c>
      <c r="F816" s="3">
        <f>IFERROR(__xludf.DUMMYFUNCTION("""COMPUTED_VALUE"""),60509.0)</f>
        <v>60509</v>
      </c>
      <c r="G816" s="2" t="str">
        <f>IFERROR(__xludf.DUMMYFUNCTION("""COMPUTED_VALUE"""),"Mahabir Bam")</f>
        <v>Mahabir Bam</v>
      </c>
      <c r="H816" s="2" t="str">
        <f>IFERROR(__xludf.DUMMYFUNCTION("""COMPUTED_VALUE"""),"Mehalmudi -4, Kalikot")</f>
        <v>Mehalmudi -4, Kalikot</v>
      </c>
      <c r="I816" s="2" t="str">
        <f>IFERROR(__xludf.DUMMYFUNCTION("""COMPUTED_VALUE"""),"29o 14' 10""")</f>
        <v>29o 14' 10"</v>
      </c>
      <c r="J816" s="2" t="str">
        <f>IFERROR(__xludf.DUMMYFUNCTION("""COMPUTED_VALUE"""),"29o 15' 40""")</f>
        <v>29o 15' 40"</v>
      </c>
      <c r="K816" s="2" t="str">
        <f>IFERROR(__xludf.DUMMYFUNCTION("""COMPUTED_VALUE"""),"81o 35' 55""")</f>
        <v>81o 35' 55"</v>
      </c>
      <c r="L816" s="2" t="str">
        <f>IFERROR(__xludf.DUMMYFUNCTION("""COMPUTED_VALUE"""),"81o 37' 20""")</f>
        <v>81o 37' 20"</v>
      </c>
      <c r="M816" s="2" t="str">
        <f>IFERROR(__xludf.DUMMYFUNCTION("""COMPUTED_VALUE"""),"Mehal Mudi (Kalikot)")</f>
        <v>Mehal Mudi (Kalikot)</v>
      </c>
    </row>
    <row r="817">
      <c r="A817" s="2">
        <f>IFERROR(__xludf.DUMMYFUNCTION("""COMPUTED_VALUE"""),816.0)</f>
        <v>816</v>
      </c>
      <c r="B817" s="2" t="str">
        <f>IFERROR(__xludf.DUMMYFUNCTION("""COMPUTED_VALUE"""),"Phasku khola")</f>
        <v>Phasku khola</v>
      </c>
      <c r="C817" s="2">
        <f>IFERROR(__xludf.DUMMYFUNCTION("""COMPUTED_VALUE"""),0.99)</f>
        <v>0.99</v>
      </c>
      <c r="D817" s="2"/>
      <c r="E817" s="2">
        <f>IFERROR(__xludf.DUMMYFUNCTION("""COMPUTED_VALUE"""),2037.0)</f>
        <v>2037</v>
      </c>
      <c r="F817" s="3">
        <f>IFERROR(__xludf.DUMMYFUNCTION("""COMPUTED_VALUE"""),60511.0)</f>
        <v>60511</v>
      </c>
      <c r="G817" s="2" t="str">
        <f>IFERROR(__xludf.DUMMYFUNCTION("""COMPUTED_VALUE"""),"Jagdip Prasad Upadhyaya")</f>
        <v>Jagdip Prasad Upadhyaya</v>
      </c>
      <c r="H817" s="2" t="str">
        <f>IFERROR(__xludf.DUMMYFUNCTION("""COMPUTED_VALUE"""),"Phone 9841255375")</f>
        <v>Phone 9841255375</v>
      </c>
      <c r="I817" s="2" t="str">
        <f>IFERROR(__xludf.DUMMYFUNCTION("""COMPUTED_VALUE"""),"27o 37' 30""")</f>
        <v>27o 37' 30"</v>
      </c>
      <c r="J817" s="2" t="str">
        <f>IFERROR(__xludf.DUMMYFUNCTION("""COMPUTED_VALUE"""),"27o 38' 10""")</f>
        <v>27o 38' 10"</v>
      </c>
      <c r="K817" s="2" t="str">
        <f>IFERROR(__xludf.DUMMYFUNCTION("""COMPUTED_VALUE"""),"86o 01' 20""")</f>
        <v>86o 01' 20"</v>
      </c>
      <c r="L817" s="2" t="str">
        <f>IFERROR(__xludf.DUMMYFUNCTION("""COMPUTED_VALUE"""),"86o 02' 35""")</f>
        <v>86o 02' 35"</v>
      </c>
      <c r="M817" s="2" t="str">
        <f>IFERROR(__xludf.DUMMYFUNCTION("""COMPUTED_VALUE"""),"Fasku (Dolakha)")</f>
        <v>Fasku (Dolakha)</v>
      </c>
    </row>
    <row r="818">
      <c r="A818" s="2">
        <f>IFERROR(__xludf.DUMMYFUNCTION("""COMPUTED_VALUE"""),817.0)</f>
        <v>817</v>
      </c>
      <c r="B818" s="2" t="str">
        <f>IFERROR(__xludf.DUMMYFUNCTION("""COMPUTED_VALUE"""),"Balephi Khola")</f>
        <v>Balephi Khola</v>
      </c>
      <c r="C818" s="2">
        <f>IFERROR(__xludf.DUMMYFUNCTION("""COMPUTED_VALUE"""),5.0)</f>
        <v>5</v>
      </c>
      <c r="D818" s="2" t="str">
        <f>IFERROR(__xludf.DUMMYFUNCTION("""COMPUTED_VALUE"""),"Balephi")</f>
        <v>Balephi</v>
      </c>
      <c r="E818" s="2">
        <f>IFERROR(__xludf.DUMMYFUNCTION("""COMPUTED_VALUE"""),2038.0)</f>
        <v>2038</v>
      </c>
      <c r="F818" s="3">
        <f>IFERROR(__xludf.DUMMYFUNCTION("""COMPUTED_VALUE"""),60511.0)</f>
        <v>60511</v>
      </c>
      <c r="G818" s="2" t="str">
        <f>IFERROR(__xludf.DUMMYFUNCTION("""COMPUTED_VALUE"""),"Jagadip Prasad Upadhyaya")</f>
        <v>Jagadip Prasad Upadhyaya</v>
      </c>
      <c r="H818" s="2" t="str">
        <f>IFERROR(__xludf.DUMMYFUNCTION("""COMPUTED_VALUE"""),"Kathmandu, Phone 9841255375")</f>
        <v>Kathmandu, Phone 9841255375</v>
      </c>
      <c r="I818" s="2" t="str">
        <f>IFERROR(__xludf.DUMMYFUNCTION("""COMPUTED_VALUE"""),"27o 46' 55""")</f>
        <v>27o 46' 55"</v>
      </c>
      <c r="J818" s="2" t="str">
        <f>IFERROR(__xludf.DUMMYFUNCTION("""COMPUTED_VALUE"""),"27o 49' 30""")</f>
        <v>27o 49' 30"</v>
      </c>
      <c r="K818" s="2" t="str">
        <f>IFERROR(__xludf.DUMMYFUNCTION("""COMPUTED_VALUE"""),"85o 45' 00""")</f>
        <v>85o 45' 00"</v>
      </c>
      <c r="L818" s="2" t="str">
        <f>IFERROR(__xludf.DUMMYFUNCTION("""COMPUTED_VALUE"""),"85o 46' 30""")</f>
        <v>85o 46' 30"</v>
      </c>
      <c r="M818" s="2" t="str">
        <f>IFERROR(__xludf.DUMMYFUNCTION("""COMPUTED_VALUE"""),"Batase (Sindhupalchok)")</f>
        <v>Batase (Sindhupalchok)</v>
      </c>
    </row>
    <row r="819">
      <c r="A819" s="2">
        <f>IFERROR(__xludf.DUMMYFUNCTION("""COMPUTED_VALUE"""),818.0)</f>
        <v>818</v>
      </c>
      <c r="B819" s="2" t="str">
        <f>IFERROR(__xludf.DUMMYFUNCTION("""COMPUTED_VALUE"""),"Jyagdi Khola")</f>
        <v>Jyagdi Khola</v>
      </c>
      <c r="C819" s="2">
        <f>IFERROR(__xludf.DUMMYFUNCTION("""COMPUTED_VALUE"""),3.935)</f>
        <v>3.935</v>
      </c>
      <c r="D819" s="2"/>
      <c r="E819" s="2">
        <f>IFERROR(__xludf.DUMMYFUNCTION("""COMPUTED_VALUE"""),2046.0)</f>
        <v>2046</v>
      </c>
      <c r="F819" s="3">
        <f>IFERROR(__xludf.DUMMYFUNCTION("""COMPUTED_VALUE"""),60512.0)</f>
        <v>60512</v>
      </c>
      <c r="G819" s="2" t="str">
        <f>IFERROR(__xludf.DUMMYFUNCTION("""COMPUTED_VALUE"""),"Jyagdi Khola Hydropower Company pvt. Ltd.")</f>
        <v>Jyagdi Khola Hydropower Company pvt. Ltd.</v>
      </c>
      <c r="H819" s="2" t="str">
        <f>IFERROR(__xludf.DUMMYFUNCTION("""COMPUTED_VALUE"""),"Ratnpur-4, Shyanja")</f>
        <v>Ratnpur-4, Shyanja</v>
      </c>
      <c r="I819" s="2" t="str">
        <f>IFERROR(__xludf.DUMMYFUNCTION("""COMPUTED_VALUE"""),"27o 53' 35""")</f>
        <v>27o 53' 35"</v>
      </c>
      <c r="J819" s="2" t="str">
        <f>IFERROR(__xludf.DUMMYFUNCTION("""COMPUTED_VALUE"""),"27o 56' 21""")</f>
        <v>27o 56' 21"</v>
      </c>
      <c r="K819" s="2" t="str">
        <f>IFERROR(__xludf.DUMMYFUNCTION("""COMPUTED_VALUE"""),"83o 50' 30""")</f>
        <v>83o 50' 30"</v>
      </c>
      <c r="L819" s="2" t="str">
        <f>IFERROR(__xludf.DUMMYFUNCTION("""COMPUTED_VALUE"""),"83o 52' 30""")</f>
        <v>83o 52' 30"</v>
      </c>
      <c r="M819" s="2" t="str">
        <f>IFERROR(__xludf.DUMMYFUNCTION("""COMPUTED_VALUE"""),"Malengkot,Ratnapur,Sekham (Syangja)")</f>
        <v>Malengkot,Ratnapur,Sekham (Syangja)</v>
      </c>
    </row>
    <row r="820">
      <c r="A820" s="2">
        <f>IFERROR(__xludf.DUMMYFUNCTION("""COMPUTED_VALUE"""),819.0)</f>
        <v>819</v>
      </c>
      <c r="B820" s="2" t="str">
        <f>IFERROR(__xludf.DUMMYFUNCTION("""COMPUTED_VALUE"""),"Dhabe Small Hydroelectric Project")</f>
        <v>Dhabe Small Hydroelectric Project</v>
      </c>
      <c r="C820" s="2">
        <f>IFERROR(__xludf.DUMMYFUNCTION("""COMPUTED_VALUE"""),3.0)</f>
        <v>3</v>
      </c>
      <c r="D820" s="2" t="str">
        <f>IFERROR(__xludf.DUMMYFUNCTION("""COMPUTED_VALUE"""),"Jama")</f>
        <v>Jama</v>
      </c>
      <c r="E820" s="2">
        <f>IFERROR(__xludf.DUMMYFUNCTION("""COMPUTED_VALUE"""),2051.0)</f>
        <v>2051</v>
      </c>
      <c r="F820" s="3">
        <f>IFERROR(__xludf.DUMMYFUNCTION("""COMPUTED_VALUE"""),60512.0)</f>
        <v>60512</v>
      </c>
      <c r="G820" s="2" t="str">
        <f>IFERROR(__xludf.DUMMYFUNCTION("""COMPUTED_VALUE"""),"Gokarna Bahadur Ghartimagar")</f>
        <v>Gokarna Bahadur Ghartimagar</v>
      </c>
      <c r="H820" s="2" t="str">
        <f>IFERROR(__xludf.DUMMYFUNCTION("""COMPUTED_VALUE"""),"Pokhara-5 Rukum Phone no 993880803 9741113694")</f>
        <v>Pokhara-5 Rukum Phone no 993880803 9741113694</v>
      </c>
      <c r="I820" s="2" t="str">
        <f>IFERROR(__xludf.DUMMYFUNCTION("""COMPUTED_VALUE"""),"28o 38' 02""")</f>
        <v>28o 38' 02"</v>
      </c>
      <c r="J820" s="2" t="str">
        <f>IFERROR(__xludf.DUMMYFUNCTION("""COMPUTED_VALUE"""),"28o 39' 12""")</f>
        <v>28o 39' 12"</v>
      </c>
      <c r="K820" s="2" t="str">
        <f>IFERROR(__xludf.DUMMYFUNCTION("""COMPUTED_VALUE"""),"82o 31' 01""")</f>
        <v>82o 31' 01"</v>
      </c>
      <c r="L820" s="2" t="str">
        <f>IFERROR(__xludf.DUMMYFUNCTION("""COMPUTED_VALUE"""),"82o 32' 03""")</f>
        <v>82o 32' 03"</v>
      </c>
      <c r="M820" s="2" t="str">
        <f>IFERROR(__xludf.DUMMYFUNCTION("""COMPUTED_VALUE"""),"Syalaphakha (Rukum)")</f>
        <v>Syalaphakha (Rukum)</v>
      </c>
    </row>
    <row r="821">
      <c r="A821" s="2">
        <f>IFERROR(__xludf.DUMMYFUNCTION("""COMPUTED_VALUE"""),820.0)</f>
        <v>820</v>
      </c>
      <c r="B821" s="2" t="str">
        <f>IFERROR(__xludf.DUMMYFUNCTION("""COMPUTED_VALUE"""),"Dumai Small")</f>
        <v>Dumai Small</v>
      </c>
      <c r="C821" s="2">
        <f>IFERROR(__xludf.DUMMYFUNCTION("""COMPUTED_VALUE"""),5.0)</f>
        <v>5</v>
      </c>
      <c r="D821" s="2"/>
      <c r="E821" s="2">
        <f>IFERROR(__xludf.DUMMYFUNCTION("""COMPUTED_VALUE"""),2052.0)</f>
        <v>2052</v>
      </c>
      <c r="F821" s="3">
        <f>IFERROR(__xludf.DUMMYFUNCTION("""COMPUTED_VALUE"""),60512.0)</f>
        <v>60512</v>
      </c>
      <c r="G821" s="2" t="str">
        <f>IFERROR(__xludf.DUMMYFUNCTION("""COMPUTED_VALUE"""),"Gokarn Bahadur Gharti Magar")</f>
        <v>Gokarn Bahadur Gharti Magar</v>
      </c>
      <c r="H821" s="2" t="str">
        <f>IFERROR(__xludf.DUMMYFUNCTION("""COMPUTED_VALUE"""),"Pokhara 5 Rukum, Phone 9847852573")</f>
        <v>Pokhara 5 Rukum, Phone 9847852573</v>
      </c>
      <c r="I821" s="2" t="str">
        <f>IFERROR(__xludf.DUMMYFUNCTION("""COMPUTED_VALUE"""),"28o 27' 52""")</f>
        <v>28o 27' 52"</v>
      </c>
      <c r="J821" s="2" t="str">
        <f>IFERROR(__xludf.DUMMYFUNCTION("""COMPUTED_VALUE"""),"28o 36' 59""")</f>
        <v>28o 36' 59"</v>
      </c>
      <c r="K821" s="2" t="str">
        <f>IFERROR(__xludf.DUMMYFUNCTION("""COMPUTED_VALUE"""),"82o 34' 73""")</f>
        <v>82o 34' 73"</v>
      </c>
      <c r="L821" s="2" t="str">
        <f>IFERROR(__xludf.DUMMYFUNCTION("""COMPUTED_VALUE"""),"82o 35' 00""")</f>
        <v>82o 35' 00"</v>
      </c>
      <c r="M821" s="2" t="str">
        <f>IFERROR(__xludf.DUMMYFUNCTION("""COMPUTED_VALUE"""),"Sobha (Rukum)")</f>
        <v>Sobha (Rukum)</v>
      </c>
    </row>
    <row r="822">
      <c r="A822" s="2">
        <f>IFERROR(__xludf.DUMMYFUNCTION("""COMPUTED_VALUE"""),821.0)</f>
        <v>821</v>
      </c>
      <c r="B822" s="2" t="str">
        <f>IFERROR(__xludf.DUMMYFUNCTION("""COMPUTED_VALUE"""),"Tamor")</f>
        <v>Tamor</v>
      </c>
      <c r="C822" s="2">
        <f>IFERROR(__xludf.DUMMYFUNCTION("""COMPUTED_VALUE"""),10.0)</f>
        <v>10</v>
      </c>
      <c r="D822" s="2" t="str">
        <f>IFERROR(__xludf.DUMMYFUNCTION("""COMPUTED_VALUE"""),"Tamor")</f>
        <v>Tamor</v>
      </c>
      <c r="E822" s="2">
        <f>IFERROR(__xludf.DUMMYFUNCTION("""COMPUTED_VALUE"""),2053.0)</f>
        <v>2053</v>
      </c>
      <c r="F822" s="3">
        <f>IFERROR(__xludf.DUMMYFUNCTION("""COMPUTED_VALUE"""),60512.0)</f>
        <v>60512</v>
      </c>
      <c r="G822" s="2" t="str">
        <f>IFERROR(__xludf.DUMMYFUNCTION("""COMPUTED_VALUE"""),"Dolaha Nirman Comany Pvt. Ltd")</f>
        <v>Dolaha Nirman Comany Pvt. Ltd</v>
      </c>
      <c r="H822" s="2"/>
      <c r="I822" s="2" t="str">
        <f>IFERROR(__xludf.DUMMYFUNCTION("""COMPUTED_VALUE"""),"26o 54' 30""")</f>
        <v>26o 54' 30"</v>
      </c>
      <c r="J822" s="2" t="str">
        <f>IFERROR(__xludf.DUMMYFUNCTION("""COMPUTED_VALUE"""),"26o 56' 41""")</f>
        <v>26o 56' 41"</v>
      </c>
      <c r="K822" s="2" t="str">
        <f>IFERROR(__xludf.DUMMYFUNCTION("""COMPUTED_VALUE"""),"87o 17' 50""")</f>
        <v>87o 17' 50"</v>
      </c>
      <c r="L822" s="2" t="str">
        <f>IFERROR(__xludf.DUMMYFUNCTION("""COMPUTED_VALUE"""),"87o 21' 50""")</f>
        <v>87o 21' 50"</v>
      </c>
      <c r="M822" s="2" t="str">
        <f>IFERROR(__xludf.DUMMYFUNCTION("""COMPUTED_VALUE"""),"Budi Morang,Mahabharat (Dhankuta)")</f>
        <v>Budi Morang,Mahabharat (Dhankuta)</v>
      </c>
    </row>
    <row r="823">
      <c r="A823" s="2">
        <f>IFERROR(__xludf.DUMMYFUNCTION("""COMPUTED_VALUE"""),822.0)</f>
        <v>822</v>
      </c>
      <c r="B823" s="2" t="str">
        <f>IFERROR(__xludf.DUMMYFUNCTION("""COMPUTED_VALUE"""),"Lapse Khola Hydropower Project")</f>
        <v>Lapse Khola Hydropower Project</v>
      </c>
      <c r="C823" s="2">
        <f>IFERROR(__xludf.DUMMYFUNCTION("""COMPUTED_VALUE"""),5.0)</f>
        <v>5</v>
      </c>
      <c r="D823" s="2" t="str">
        <f>IFERROR(__xludf.DUMMYFUNCTION("""COMPUTED_VALUE"""),"Lapse")</f>
        <v>Lapse</v>
      </c>
      <c r="E823" s="2">
        <f>IFERROR(__xludf.DUMMYFUNCTION("""COMPUTED_VALUE"""),2055.0)</f>
        <v>2055</v>
      </c>
      <c r="F823" s="3">
        <f>IFERROR(__xludf.DUMMYFUNCTION("""COMPUTED_VALUE"""),60512.0)</f>
        <v>60512</v>
      </c>
      <c r="G823" s="2" t="str">
        <f>IFERROR(__xludf.DUMMYFUNCTION("""COMPUTED_VALUE"""),"Pancha Bahadur Gurung")</f>
        <v>Pancha Bahadur Gurung</v>
      </c>
      <c r="H823" s="2" t="str">
        <f>IFERROR(__xludf.DUMMYFUNCTION("""COMPUTED_VALUE"""),"Dharapani-3 Manang Tel 9803662972")</f>
        <v>Dharapani-3 Manang Tel 9803662972</v>
      </c>
      <c r="I823" s="2" t="str">
        <f>IFERROR(__xludf.DUMMYFUNCTION("""COMPUTED_VALUE"""),"28o 40' 07""")</f>
        <v>28o 40' 07"</v>
      </c>
      <c r="J823" s="2" t="str">
        <f>IFERROR(__xludf.DUMMYFUNCTION("""COMPUTED_VALUE"""),"28o 42' 50""")</f>
        <v>28o 42' 50"</v>
      </c>
      <c r="K823" s="2" t="str">
        <f>IFERROR(__xludf.DUMMYFUNCTION("""COMPUTED_VALUE"""),"84o 12' 00""")</f>
        <v>84o 12' 00"</v>
      </c>
      <c r="L823" s="2" t="str">
        <f>IFERROR(__xludf.DUMMYFUNCTION("""COMPUTED_VALUE"""),"84o 13' 45""")</f>
        <v>84o 13' 45"</v>
      </c>
      <c r="M823" s="2" t="str">
        <f>IFERROR(__xludf.DUMMYFUNCTION("""COMPUTED_VALUE"""),"Nar (Manang)")</f>
        <v>Nar (Manang)</v>
      </c>
    </row>
    <row r="824">
      <c r="A824" s="2">
        <f>IFERROR(__xludf.DUMMYFUNCTION("""COMPUTED_VALUE"""),823.0)</f>
        <v>823</v>
      </c>
      <c r="B824" s="2" t="str">
        <f>IFERROR(__xludf.DUMMYFUNCTION("""COMPUTED_VALUE"""),"Puma SHP")</f>
        <v>Puma SHP</v>
      </c>
      <c r="C824" s="2">
        <f>IFERROR(__xludf.DUMMYFUNCTION("""COMPUTED_VALUE"""),0.995)</f>
        <v>0.995</v>
      </c>
      <c r="D824" s="2" t="str">
        <f>IFERROR(__xludf.DUMMYFUNCTION("""COMPUTED_VALUE"""),"Puma")</f>
        <v>Puma</v>
      </c>
      <c r="E824" s="2">
        <f>IFERROR(__xludf.DUMMYFUNCTION("""COMPUTED_VALUE"""),2114.0)</f>
        <v>2114</v>
      </c>
      <c r="F824" s="3">
        <f>IFERROR(__xludf.DUMMYFUNCTION("""COMPUTED_VALUE"""),60517.0)</f>
        <v>60517</v>
      </c>
      <c r="G824" s="2" t="str">
        <f>IFERROR(__xludf.DUMMYFUNCTION("""COMPUTED_VALUE"""),"Gorkarna Bahadur Gharti")</f>
        <v>Gorkarna Bahadur Gharti</v>
      </c>
      <c r="H824" s="2">
        <f>IFERROR(__xludf.DUMMYFUNCTION("""COMPUTED_VALUE"""),9.841113694E9)</f>
        <v>9841113694</v>
      </c>
      <c r="I824" s="2" t="str">
        <f>IFERROR(__xludf.DUMMYFUNCTION("""COMPUTED_VALUE"""),"28o 38' 45""")</f>
        <v>28o 38' 45"</v>
      </c>
      <c r="J824" s="2" t="str">
        <f>IFERROR(__xludf.DUMMYFUNCTION("""COMPUTED_VALUE"""),"28o 40' 08""")</f>
        <v>28o 40' 08"</v>
      </c>
      <c r="K824" s="2" t="str">
        <f>IFERROR(__xludf.DUMMYFUNCTION("""COMPUTED_VALUE"""),"82o 32' 51""")</f>
        <v>82o 32' 51"</v>
      </c>
      <c r="L824" s="2" t="str">
        <f>IFERROR(__xludf.DUMMYFUNCTION("""COMPUTED_VALUE"""),"82o 34' 12""")</f>
        <v>82o 34' 12"</v>
      </c>
      <c r="M824" s="2" t="str">
        <f>IFERROR(__xludf.DUMMYFUNCTION("""COMPUTED_VALUE"""),"Pipal (Rukum)")</f>
        <v>Pipal (Rukum)</v>
      </c>
    </row>
    <row r="825">
      <c r="A825" s="2">
        <f>IFERROR(__xludf.DUMMYFUNCTION("""COMPUTED_VALUE"""),824.0)</f>
        <v>824</v>
      </c>
      <c r="B825" s="2" t="str">
        <f>IFERROR(__xludf.DUMMYFUNCTION("""COMPUTED_VALUE"""),"Dhaka Dhading")</f>
        <v>Dhaka Dhading</v>
      </c>
      <c r="C825" s="2">
        <f>IFERROR(__xludf.DUMMYFUNCTION("""COMPUTED_VALUE"""),0.995)</f>
        <v>0.995</v>
      </c>
      <c r="D825" s="2" t="str">
        <f>IFERROR(__xludf.DUMMYFUNCTION("""COMPUTED_VALUE"""),"Chiura Gad")</f>
        <v>Chiura Gad</v>
      </c>
      <c r="E825" s="2">
        <f>IFERROR(__xludf.DUMMYFUNCTION("""COMPUTED_VALUE"""),2115.0)</f>
        <v>2115</v>
      </c>
      <c r="F825" s="3">
        <f>IFERROR(__xludf.DUMMYFUNCTION("""COMPUTED_VALUE"""),60517.0)</f>
        <v>60517</v>
      </c>
      <c r="G825" s="2" t="str">
        <f>IFERROR(__xludf.DUMMYFUNCTION("""COMPUTED_VALUE"""),"Gorkarna Bahadur Gharti")</f>
        <v>Gorkarna Bahadur Gharti</v>
      </c>
      <c r="H825" s="2">
        <f>IFERROR(__xludf.DUMMYFUNCTION("""COMPUTED_VALUE"""),9.841113694E9)</f>
        <v>9841113694</v>
      </c>
      <c r="I825" s="2" t="str">
        <f>IFERROR(__xludf.DUMMYFUNCTION("""COMPUTED_VALUE"""),"28o 37' 43""")</f>
        <v>28o 37' 43"</v>
      </c>
      <c r="J825" s="2" t="str">
        <f>IFERROR(__xludf.DUMMYFUNCTION("""COMPUTED_VALUE"""),"28o 38' 53""")</f>
        <v>28o 38' 53"</v>
      </c>
      <c r="K825" s="2" t="str">
        <f>IFERROR(__xludf.DUMMYFUNCTION("""COMPUTED_VALUE"""),"82o 34' 12""")</f>
        <v>82o 34' 12"</v>
      </c>
      <c r="L825" s="2" t="str">
        <f>IFERROR(__xludf.DUMMYFUNCTION("""COMPUTED_VALUE"""),"82o 36' 32""")</f>
        <v>82o 36' 32"</v>
      </c>
      <c r="M825" s="2" t="str">
        <f>IFERROR(__xludf.DUMMYFUNCTION("""COMPUTED_VALUE"""),"Pokhara (Rukum)")</f>
        <v>Pokhara (Rukum)</v>
      </c>
    </row>
    <row r="826">
      <c r="A826" s="2">
        <f>IFERROR(__xludf.DUMMYFUNCTION("""COMPUTED_VALUE"""),825.0)</f>
        <v>825</v>
      </c>
      <c r="B826" s="2" t="str">
        <f>IFERROR(__xludf.DUMMYFUNCTION("""COMPUTED_VALUE"""),"Deu SHP")</f>
        <v>Deu SHP</v>
      </c>
      <c r="C826" s="2">
        <f>IFERROR(__xludf.DUMMYFUNCTION("""COMPUTED_VALUE"""),0.995)</f>
        <v>0.995</v>
      </c>
      <c r="D826" s="2" t="str">
        <f>IFERROR(__xludf.DUMMYFUNCTION("""COMPUTED_VALUE"""),"Deu Mai")</f>
        <v>Deu Mai</v>
      </c>
      <c r="E826" s="2">
        <f>IFERROR(__xludf.DUMMYFUNCTION("""COMPUTED_VALUE"""),2116.0)</f>
        <v>2116</v>
      </c>
      <c r="F826" s="3">
        <f>IFERROR(__xludf.DUMMYFUNCTION("""COMPUTED_VALUE"""),60517.0)</f>
        <v>60517</v>
      </c>
      <c r="G826" s="2" t="str">
        <f>IFERROR(__xludf.DUMMYFUNCTION("""COMPUTED_VALUE"""),"Gorkarna Bahadur Gharti")</f>
        <v>Gorkarna Bahadur Gharti</v>
      </c>
      <c r="H826" s="2">
        <f>IFERROR(__xludf.DUMMYFUNCTION("""COMPUTED_VALUE"""),9.841113694E9)</f>
        <v>9841113694</v>
      </c>
      <c r="I826" s="2" t="str">
        <f>IFERROR(__xludf.DUMMYFUNCTION("""COMPUTED_VALUE"""),"28o 37' 43""")</f>
        <v>28o 37' 43"</v>
      </c>
      <c r="J826" s="2" t="str">
        <f>IFERROR(__xludf.DUMMYFUNCTION("""COMPUTED_VALUE"""),"28o 38' 53""")</f>
        <v>28o 38' 53"</v>
      </c>
      <c r="K826" s="2" t="str">
        <f>IFERROR(__xludf.DUMMYFUNCTION("""COMPUTED_VALUE"""),"82o 36' 32""")</f>
        <v>82o 36' 32"</v>
      </c>
      <c r="L826" s="2" t="str">
        <f>IFERROR(__xludf.DUMMYFUNCTION("""COMPUTED_VALUE"""),"82o 37' 09""")</f>
        <v>82o 37' 09"</v>
      </c>
      <c r="M826" s="2" t="str">
        <f>IFERROR(__xludf.DUMMYFUNCTION("""COMPUTED_VALUE"""),"Syalaphakha (Rukum)")</f>
        <v>Syalaphakha (Rukum)</v>
      </c>
    </row>
    <row r="827">
      <c r="A827" s="2">
        <f>IFERROR(__xludf.DUMMYFUNCTION("""COMPUTED_VALUE"""),826.0)</f>
        <v>826</v>
      </c>
      <c r="B827" s="2" t="str">
        <f>IFERROR(__xludf.DUMMYFUNCTION("""COMPUTED_VALUE"""),"Tuban SHP")</f>
        <v>Tuban SHP</v>
      </c>
      <c r="C827" s="2">
        <f>IFERROR(__xludf.DUMMYFUNCTION("""COMPUTED_VALUE"""),0.995)</f>
        <v>0.995</v>
      </c>
      <c r="D827" s="2" t="str">
        <f>IFERROR(__xludf.DUMMYFUNCTION("""COMPUTED_VALUE"""),"Tuban")</f>
        <v>Tuban</v>
      </c>
      <c r="E827" s="2">
        <f>IFERROR(__xludf.DUMMYFUNCTION("""COMPUTED_VALUE"""),2117.0)</f>
        <v>2117</v>
      </c>
      <c r="F827" s="3">
        <f>IFERROR(__xludf.DUMMYFUNCTION("""COMPUTED_VALUE"""),60517.0)</f>
        <v>60517</v>
      </c>
      <c r="G827" s="2" t="str">
        <f>IFERROR(__xludf.DUMMYFUNCTION("""COMPUTED_VALUE"""),"Gorkarna Bahadur Gharti")</f>
        <v>Gorkarna Bahadur Gharti</v>
      </c>
      <c r="H827" s="2"/>
      <c r="I827" s="2" t="str">
        <f>IFERROR(__xludf.DUMMYFUNCTION("""COMPUTED_VALUE"""),"28o 40' 17""")</f>
        <v>28o 40' 17"</v>
      </c>
      <c r="J827" s="2" t="str">
        <f>IFERROR(__xludf.DUMMYFUNCTION("""COMPUTED_VALUE"""),"28o 41' 22""")</f>
        <v>28o 41' 22"</v>
      </c>
      <c r="K827" s="2" t="str">
        <f>IFERROR(__xludf.DUMMYFUNCTION("""COMPUTED_VALUE"""),"82o 39' 35""")</f>
        <v>82o 39' 35"</v>
      </c>
      <c r="L827" s="2" t="str">
        <f>IFERROR(__xludf.DUMMYFUNCTION("""COMPUTED_VALUE"""),"82o 49' 48""")</f>
        <v>82o 49' 48"</v>
      </c>
      <c r="M827" s="2" t="str">
        <f>IFERROR(__xludf.DUMMYFUNCTION("""COMPUTED_VALUE"""),"Pwang (Rukum)")</f>
        <v>Pwang (Rukum)</v>
      </c>
    </row>
    <row r="828">
      <c r="A828" s="2">
        <f>IFERROR(__xludf.DUMMYFUNCTION("""COMPUTED_VALUE"""),827.0)</f>
        <v>827</v>
      </c>
      <c r="B828" s="2" t="str">
        <f>IFERROR(__xludf.DUMMYFUNCTION("""COMPUTED_VALUE"""),"Daram Khola-1")</f>
        <v>Daram Khola-1</v>
      </c>
      <c r="C828" s="2">
        <f>IFERROR(__xludf.DUMMYFUNCTION("""COMPUTED_VALUE"""),0.99)</f>
        <v>0.99</v>
      </c>
      <c r="D828" s="2" t="str">
        <f>IFERROR(__xludf.DUMMYFUNCTION("""COMPUTED_VALUE"""),"Daram")</f>
        <v>Daram</v>
      </c>
      <c r="E828" s="2">
        <f>IFERROR(__xludf.DUMMYFUNCTION("""COMPUTED_VALUE"""),2119.0)</f>
        <v>2119</v>
      </c>
      <c r="F828" s="3">
        <f>IFERROR(__xludf.DUMMYFUNCTION("""COMPUTED_VALUE"""),60517.0)</f>
        <v>60517</v>
      </c>
      <c r="G828" s="2" t="str">
        <f>IFERROR(__xludf.DUMMYFUNCTION("""COMPUTED_VALUE"""),"Ram Prasad Kandel")</f>
        <v>Ram Prasad Kandel</v>
      </c>
      <c r="H828" s="2"/>
      <c r="I828" s="2" t="str">
        <f>IFERROR(__xludf.DUMMYFUNCTION("""COMPUTED_VALUE"""),"28o 11' 30""")</f>
        <v>28o 11' 30"</v>
      </c>
      <c r="J828" s="2" t="str">
        <f>IFERROR(__xludf.DUMMYFUNCTION("""COMPUTED_VALUE"""),"28o 12' 30""")</f>
        <v>28o 12' 30"</v>
      </c>
      <c r="K828" s="2" t="str">
        <f>IFERROR(__xludf.DUMMYFUNCTION("""COMPUTED_VALUE"""),"83o 22' 00""")</f>
        <v>83o 22' 00"</v>
      </c>
      <c r="L828" s="2" t="str">
        <f>IFERROR(__xludf.DUMMYFUNCTION("""COMPUTED_VALUE"""),"83o 23' 18""")</f>
        <v>83o 23' 18"</v>
      </c>
      <c r="M828" s="2" t="str">
        <f>IFERROR(__xludf.DUMMYFUNCTION("""COMPUTED_VALUE"""),"Bungtang,Salme (Nuwakot)")</f>
        <v>Bungtang,Salme (Nuwakot)</v>
      </c>
    </row>
    <row r="829">
      <c r="A829" s="2">
        <f>IFERROR(__xludf.DUMMYFUNCTION("""COMPUTED_VALUE"""),828.0)</f>
        <v>828</v>
      </c>
      <c r="B829" s="2" t="str">
        <f>IFERROR(__xludf.DUMMYFUNCTION("""COMPUTED_VALUE"""),"Rasuwa SHP")</f>
        <v>Rasuwa SHP</v>
      </c>
      <c r="C829" s="2">
        <f>IFERROR(__xludf.DUMMYFUNCTION("""COMPUTED_VALUE"""),0.98)</f>
        <v>0.98</v>
      </c>
      <c r="D829" s="2" t="str">
        <f>IFERROR(__xludf.DUMMYFUNCTION("""COMPUTED_VALUE"""),"Rasuwa")</f>
        <v>Rasuwa</v>
      </c>
      <c r="E829" s="2">
        <f>IFERROR(__xludf.DUMMYFUNCTION("""COMPUTED_VALUE"""),2134.0)</f>
        <v>2134</v>
      </c>
      <c r="F829" s="3">
        <f>IFERROR(__xludf.DUMMYFUNCTION("""COMPUTED_VALUE"""),60517.0)</f>
        <v>60517</v>
      </c>
      <c r="G829" s="2" t="str">
        <f>IFERROR(__xludf.DUMMYFUNCTION("""COMPUTED_VALUE"""),"Bidur basnet")</f>
        <v>Bidur basnet</v>
      </c>
      <c r="H829" s="2">
        <f>IFERROR(__xludf.DUMMYFUNCTION("""COMPUTED_VALUE"""),9.851042897E9)</f>
        <v>9851042897</v>
      </c>
      <c r="I829" s="2" t="str">
        <f>IFERROR(__xludf.DUMMYFUNCTION("""COMPUTED_VALUE"""),"26o 01' 00""")</f>
        <v>26o 01' 00"</v>
      </c>
      <c r="J829" s="2" t="str">
        <f>IFERROR(__xludf.DUMMYFUNCTION("""COMPUTED_VALUE"""),"26o 05' 30""")</f>
        <v>26o 05' 30"</v>
      </c>
      <c r="K829" s="2" t="str">
        <f>IFERROR(__xludf.DUMMYFUNCTION("""COMPUTED_VALUE"""),"86o 41' 30""")</f>
        <v>86o 41' 30"</v>
      </c>
      <c r="L829" s="2" t="str">
        <f>IFERROR(__xludf.DUMMYFUNCTION("""COMPUTED_VALUE"""),"86o 45' 00""")</f>
        <v>86o 45' 00"</v>
      </c>
      <c r="M829" s="2" t="str">
        <f>IFERROR(__xludf.DUMMYFUNCTION("""COMPUTED_VALUE"""),"Laphagau (Udayapur)")</f>
        <v>Laphagau (Udayapur)</v>
      </c>
    </row>
    <row r="830">
      <c r="A830" s="2">
        <f>IFERROR(__xludf.DUMMYFUNCTION("""COMPUTED_VALUE"""),829.0)</f>
        <v>829</v>
      </c>
      <c r="B830" s="2" t="str">
        <f>IFERROR(__xludf.DUMMYFUNCTION("""COMPUTED_VALUE"""),"Gasali SHP")</f>
        <v>Gasali SHP</v>
      </c>
      <c r="C830" s="2">
        <f>IFERROR(__xludf.DUMMYFUNCTION("""COMPUTED_VALUE"""),1.0)</f>
        <v>1</v>
      </c>
      <c r="D830" s="2" t="str">
        <f>IFERROR(__xludf.DUMMYFUNCTION("""COMPUTED_VALUE"""),"Gasali")</f>
        <v>Gasali</v>
      </c>
      <c r="E830" s="2">
        <f>IFERROR(__xludf.DUMMYFUNCTION("""COMPUTED_VALUE"""),2136.0)</f>
        <v>2136</v>
      </c>
      <c r="F830" s="3">
        <f>IFERROR(__xludf.DUMMYFUNCTION("""COMPUTED_VALUE"""),60518.0)</f>
        <v>60518</v>
      </c>
      <c r="G830" s="2" t="str">
        <f>IFERROR(__xludf.DUMMYFUNCTION("""COMPUTED_VALUE"""),"Binod Devkota")</f>
        <v>Binod Devkota</v>
      </c>
      <c r="H830" s="2"/>
      <c r="I830" s="2" t="str">
        <f>IFERROR(__xludf.DUMMYFUNCTION("""COMPUTED_VALUE"""),"28o 05' 00""")</f>
        <v>28o 05' 00"</v>
      </c>
      <c r="J830" s="2" t="str">
        <f>IFERROR(__xludf.DUMMYFUNCTION("""COMPUTED_VALUE"""),"28o 06' 20""")</f>
        <v>28o 06' 20"</v>
      </c>
      <c r="K830" s="2" t="str">
        <f>IFERROR(__xludf.DUMMYFUNCTION("""COMPUTED_VALUE"""),"85o 00' 50""")</f>
        <v>85o 00' 50"</v>
      </c>
      <c r="L830" s="2" t="str">
        <f>IFERROR(__xludf.DUMMYFUNCTION("""COMPUTED_VALUE"""),"85o 03' 40""")</f>
        <v>85o 03' 40"</v>
      </c>
      <c r="M830" s="2" t="str">
        <f>IFERROR(__xludf.DUMMYFUNCTION("""COMPUTED_VALUE"""),"Jharlang (Dhading)")</f>
        <v>Jharlang (Dhading)</v>
      </c>
    </row>
    <row r="831">
      <c r="A831" s="2">
        <f>IFERROR(__xludf.DUMMYFUNCTION("""COMPUTED_VALUE"""),830.0)</f>
        <v>830</v>
      </c>
      <c r="B831" s="2" t="str">
        <f>IFERROR(__xludf.DUMMYFUNCTION("""COMPUTED_VALUE"""),"Siwa Khola Small")</f>
        <v>Siwa Khola Small</v>
      </c>
      <c r="C831" s="2">
        <f>IFERROR(__xludf.DUMMYFUNCTION("""COMPUTED_VALUE"""),0.965)</f>
        <v>0.965</v>
      </c>
      <c r="D831" s="2" t="str">
        <f>IFERROR(__xludf.DUMMYFUNCTION("""COMPUTED_VALUE"""),"Siwa Khola")</f>
        <v>Siwa Khola</v>
      </c>
      <c r="E831" s="2">
        <f>IFERROR(__xludf.DUMMYFUNCTION("""COMPUTED_VALUE"""),2137.0)</f>
        <v>2137</v>
      </c>
      <c r="F831" s="3">
        <f>IFERROR(__xludf.DUMMYFUNCTION("""COMPUTED_VALUE"""),60518.0)</f>
        <v>60518</v>
      </c>
      <c r="G831" s="2" t="str">
        <f>IFERROR(__xludf.DUMMYFUNCTION("""COMPUTED_VALUE"""),"Chitra Kumari Thansuhang")</f>
        <v>Chitra Kumari Thansuhang</v>
      </c>
      <c r="H831" s="2" t="str">
        <f>IFERROR(__xludf.DUMMYFUNCTION("""COMPUTED_VALUE"""),"Koteswor Kathmandu, Phone 9841280290")</f>
        <v>Koteswor Kathmandu, Phone 9841280290</v>
      </c>
      <c r="I831" s="2" t="str">
        <f>IFERROR(__xludf.DUMMYFUNCTION("""COMPUTED_VALUE"""),"27o 29' 22""")</f>
        <v>27o 29' 22"</v>
      </c>
      <c r="J831" s="2" t="str">
        <f>IFERROR(__xludf.DUMMYFUNCTION("""COMPUTED_VALUE"""),"27o 29' 54""")</f>
        <v>27o 29' 54"</v>
      </c>
      <c r="K831" s="2" t="str">
        <f>IFERROR(__xludf.DUMMYFUNCTION("""COMPUTED_VALUE"""),"87o 35' 20""")</f>
        <v>87o 35' 20"</v>
      </c>
      <c r="L831" s="2" t="str">
        <f>IFERROR(__xludf.DUMMYFUNCTION("""COMPUTED_VALUE"""),"87o 35' 56""")</f>
        <v>87o 35' 56"</v>
      </c>
      <c r="M831" s="2" t="str">
        <f>IFERROR(__xludf.DUMMYFUNCTION("""COMPUTED_VALUE"""),"Nalbu,Papung (Taplejung)")</f>
        <v>Nalbu,Papung (Taplejung)</v>
      </c>
    </row>
    <row r="832">
      <c r="A832" s="2">
        <f>IFERROR(__xludf.DUMMYFUNCTION("""COMPUTED_VALUE"""),831.0)</f>
        <v>831</v>
      </c>
      <c r="B832" s="2" t="str">
        <f>IFERROR(__xludf.DUMMYFUNCTION("""COMPUTED_VALUE"""),"Lower Madi")</f>
        <v>Lower Madi</v>
      </c>
      <c r="C832" s="2">
        <f>IFERROR(__xludf.DUMMYFUNCTION("""COMPUTED_VALUE"""),1.0)</f>
        <v>1</v>
      </c>
      <c r="D832" s="2"/>
      <c r="E832" s="2">
        <f>IFERROR(__xludf.DUMMYFUNCTION("""COMPUTED_VALUE"""),2143.0)</f>
        <v>2143</v>
      </c>
      <c r="F832" s="3">
        <f>IFERROR(__xludf.DUMMYFUNCTION("""COMPUTED_VALUE"""),60518.0)</f>
        <v>60518</v>
      </c>
      <c r="G832" s="2" t="str">
        <f>IFERROR(__xludf.DUMMYFUNCTION("""COMPUTED_VALUE"""),"Ambika Kafle")</f>
        <v>Ambika Kafle</v>
      </c>
      <c r="H832" s="2" t="str">
        <f>IFERROR(__xludf.DUMMYFUNCTION("""COMPUTED_VALUE"""),"Dhapasi Kathmandu, Phone 01-4354767")</f>
        <v>Dhapasi Kathmandu, Phone 01-4354767</v>
      </c>
      <c r="I832" s="2" t="str">
        <f>IFERROR(__xludf.DUMMYFUNCTION("""COMPUTED_VALUE"""),"28o 01' 15""")</f>
        <v>28o 01' 15"</v>
      </c>
      <c r="J832" s="2" t="str">
        <f>IFERROR(__xludf.DUMMYFUNCTION("""COMPUTED_VALUE"""),"28o 04' 00""")</f>
        <v>28o 04' 00"</v>
      </c>
      <c r="K832" s="2" t="str">
        <f>IFERROR(__xludf.DUMMYFUNCTION("""COMPUTED_VALUE"""),"82o 46' 15""")</f>
        <v>82o 46' 15"</v>
      </c>
      <c r="L832" s="2" t="str">
        <f>IFERROR(__xludf.DUMMYFUNCTION("""COMPUTED_VALUE"""),"82o 49' 00""")</f>
        <v>82o 49' 00"</v>
      </c>
      <c r="M832" s="2" t="str">
        <f>IFERROR(__xludf.DUMMYFUNCTION("""COMPUTED_VALUE"""),"Naya Gaun,Tiram (Pyuthan)")</f>
        <v>Naya Gaun,Tiram (Pyuthan)</v>
      </c>
    </row>
    <row r="833">
      <c r="A833" s="2">
        <f>IFERROR(__xludf.DUMMYFUNCTION("""COMPUTED_VALUE"""),832.0)</f>
        <v>832</v>
      </c>
      <c r="B833" s="2" t="str">
        <f>IFERROR(__xludf.DUMMYFUNCTION("""COMPUTED_VALUE"""),"Kabeli Khola")</f>
        <v>Kabeli Khola</v>
      </c>
      <c r="C833" s="2">
        <f>IFERROR(__xludf.DUMMYFUNCTION("""COMPUTED_VALUE"""),5.0)</f>
        <v>5</v>
      </c>
      <c r="D833" s="2"/>
      <c r="E833" s="2">
        <f>IFERROR(__xludf.DUMMYFUNCTION("""COMPUTED_VALUE"""),2148.0)</f>
        <v>2148</v>
      </c>
      <c r="F833" s="3">
        <f>IFERROR(__xludf.DUMMYFUNCTION("""COMPUTED_VALUE"""),60518.0)</f>
        <v>60518</v>
      </c>
      <c r="G833" s="2" t="str">
        <f>IFERROR(__xludf.DUMMYFUNCTION("""COMPUTED_VALUE"""),"Jay Kumar Limbu, Ram Kumar Iwaram")</f>
        <v>Jay Kumar Limbu, Ram Kumar Iwaram</v>
      </c>
      <c r="H833" s="2" t="str">
        <f>IFERROR(__xludf.DUMMYFUNCTION("""COMPUTED_VALUE"""),"P.O.Box 24697")</f>
        <v>P.O.Box 24697</v>
      </c>
      <c r="I833" s="2" t="str">
        <f>IFERROR(__xludf.DUMMYFUNCTION("""COMPUTED_VALUE"""),"27o 26' 00""")</f>
        <v>27o 26' 00"</v>
      </c>
      <c r="J833" s="2" t="str">
        <f>IFERROR(__xludf.DUMMYFUNCTION("""COMPUTED_VALUE"""),"27o 29' 00""")</f>
        <v>27o 29' 00"</v>
      </c>
      <c r="K833" s="2" t="str">
        <f>IFERROR(__xludf.DUMMYFUNCTION("""COMPUTED_VALUE"""),"87o 54' 50""")</f>
        <v>87o 54' 50"</v>
      </c>
      <c r="L833" s="2" t="str">
        <f>IFERROR(__xludf.DUMMYFUNCTION("""COMPUTED_VALUE"""),"87o 59' 00""")</f>
        <v>87o 59' 00"</v>
      </c>
      <c r="M833" s="2" t="str">
        <f>IFERROR(__xludf.DUMMYFUNCTION("""COMPUTED_VALUE"""),"Yamfudin (Taplejung)")</f>
        <v>Yamfudin (Taplejung)</v>
      </c>
    </row>
    <row r="834">
      <c r="A834" s="2">
        <f>IFERROR(__xludf.DUMMYFUNCTION("""COMPUTED_VALUE"""),833.0)</f>
        <v>833</v>
      </c>
      <c r="B834" s="2" t="str">
        <f>IFERROR(__xludf.DUMMYFUNCTION("""COMPUTED_VALUE"""),"Koyapraque Khola Small")</f>
        <v>Koyapraque Khola Small</v>
      </c>
      <c r="C834" s="2">
        <f>IFERROR(__xludf.DUMMYFUNCTION("""COMPUTED_VALUE"""),0.88)</f>
        <v>0.88</v>
      </c>
      <c r="D834" s="2"/>
      <c r="E834" s="2">
        <f>IFERROR(__xludf.DUMMYFUNCTION("""COMPUTED_VALUE"""),2161.0)</f>
        <v>2161</v>
      </c>
      <c r="F834" s="3">
        <f>IFERROR(__xludf.DUMMYFUNCTION("""COMPUTED_VALUE"""),60519.0)</f>
        <v>60519</v>
      </c>
      <c r="G834" s="2" t="str">
        <f>IFERROR(__xludf.DUMMYFUNCTION("""COMPUTED_VALUE"""),"Dronachal Hydropower Project Co. Pvt. Ltd.")</f>
        <v>Dronachal Hydropower Project Co. Pvt. Ltd.</v>
      </c>
      <c r="H834" s="2" t="str">
        <f>IFERROR(__xludf.DUMMYFUNCTION("""COMPUTED_VALUE"""),"Sanepa Lalitpur, Phone 01-5522297")</f>
        <v>Sanepa Lalitpur, Phone 01-5522297</v>
      </c>
      <c r="I834" s="2" t="str">
        <f>IFERROR(__xludf.DUMMYFUNCTION("""COMPUTED_VALUE"""),"28o 24' 56""")</f>
        <v>28o 24' 56"</v>
      </c>
      <c r="J834" s="2" t="str">
        <f>IFERROR(__xludf.DUMMYFUNCTION("""COMPUTED_VALUE"""),"28o 25' 22""")</f>
        <v>28o 25' 22"</v>
      </c>
      <c r="K834" s="2" t="str">
        <f>IFERROR(__xludf.DUMMYFUNCTION("""COMPUTED_VALUE"""),"84o 24' 29""")</f>
        <v>84o 24' 29"</v>
      </c>
      <c r="L834" s="2" t="str">
        <f>IFERROR(__xludf.DUMMYFUNCTION("""COMPUTED_VALUE"""),"84o 25' 11""")</f>
        <v>84o 25' 11"</v>
      </c>
      <c r="M834" s="2" t="str">
        <f>IFERROR(__xludf.DUMMYFUNCTION("""COMPUTED_VALUE"""),"Ghermu (Lamjung)")</f>
        <v>Ghermu (Lamjung)</v>
      </c>
    </row>
    <row r="835">
      <c r="A835" s="2">
        <f>IFERROR(__xludf.DUMMYFUNCTION("""COMPUTED_VALUE"""),834.0)</f>
        <v>834</v>
      </c>
      <c r="B835" s="2" t="str">
        <f>IFERROR(__xludf.DUMMYFUNCTION("""COMPUTED_VALUE"""),"Manasiya Laukeswor Khola")</f>
        <v>Manasiya Laukeswor Khola</v>
      </c>
      <c r="C835" s="2">
        <f>IFERROR(__xludf.DUMMYFUNCTION("""COMPUTED_VALUE"""),1.0)</f>
        <v>1</v>
      </c>
      <c r="D835" s="2"/>
      <c r="E835" s="2">
        <f>IFERROR(__xludf.DUMMYFUNCTION("""COMPUTED_VALUE"""),2168.0)</f>
        <v>2168</v>
      </c>
      <c r="F835" s="3">
        <f>IFERROR(__xludf.DUMMYFUNCTION("""COMPUTED_VALUE"""),60519.0)</f>
        <v>60519</v>
      </c>
      <c r="G835" s="2" t="str">
        <f>IFERROR(__xludf.DUMMYFUNCTION("""COMPUTED_VALUE"""),"Santosh Kumar Pahari,")</f>
        <v>Santosh Kumar Pahari,</v>
      </c>
      <c r="H835" s="2" t="str">
        <f>IFERROR(__xludf.DUMMYFUNCTION("""COMPUTED_VALUE"""),"Nawal Parasi")</f>
        <v>Nawal Parasi</v>
      </c>
      <c r="I835" s="2" t="str">
        <f>IFERROR(__xludf.DUMMYFUNCTION("""COMPUTED_VALUE"""),"00o 00' 00""")</f>
        <v>00o 00' 00"</v>
      </c>
      <c r="J835" s="2" t="str">
        <f>IFERROR(__xludf.DUMMYFUNCTION("""COMPUTED_VALUE"""),"00o 00' 00""")</f>
        <v>00o 00' 00"</v>
      </c>
      <c r="K835" s="2" t="str">
        <f>IFERROR(__xludf.DUMMYFUNCTION("""COMPUTED_VALUE"""),"00o 00' 00""")</f>
        <v>00o 00' 00"</v>
      </c>
      <c r="L835" s="2" t="str">
        <f>IFERROR(__xludf.DUMMYFUNCTION("""COMPUTED_VALUE"""),"00o 00' 00""")</f>
        <v>00o 00' 00"</v>
      </c>
      <c r="M835" s="2" t="str">
        <f>IFERROR(__xludf.DUMMYFUNCTION("""COMPUTED_VALUE"""),"Sunwal (Nawalparasi) Gothadi (Palpa) Devadaha (Rupandehi)")</f>
        <v>Sunwal (Nawalparasi) Gothadi (Palpa) Devadaha (Rupandehi)</v>
      </c>
    </row>
    <row r="836">
      <c r="A836" s="2">
        <f>IFERROR(__xludf.DUMMYFUNCTION("""COMPUTED_VALUE"""),835.0)</f>
        <v>835</v>
      </c>
      <c r="B836" s="2" t="str">
        <f>IFERROR(__xludf.DUMMYFUNCTION("""COMPUTED_VALUE"""),"Semaliya Argaliya")</f>
        <v>Semaliya Argaliya</v>
      </c>
      <c r="C836" s="2">
        <f>IFERROR(__xludf.DUMMYFUNCTION("""COMPUTED_VALUE"""),1.0)</f>
        <v>1</v>
      </c>
      <c r="D836" s="2"/>
      <c r="E836" s="2">
        <f>IFERROR(__xludf.DUMMYFUNCTION("""COMPUTED_VALUE"""),2169.0)</f>
        <v>2169</v>
      </c>
      <c r="F836" s="3">
        <f>IFERROR(__xludf.DUMMYFUNCTION("""COMPUTED_VALUE"""),60519.0)</f>
        <v>60519</v>
      </c>
      <c r="G836" s="2" t="str">
        <f>IFERROR(__xludf.DUMMYFUNCTION("""COMPUTED_VALUE"""),"Santosh KumarPahari")</f>
        <v>Santosh KumarPahari</v>
      </c>
      <c r="H836" s="2" t="str">
        <f>IFERROR(__xludf.DUMMYFUNCTION("""COMPUTED_VALUE"""),"Nawal Parasi")</f>
        <v>Nawal Parasi</v>
      </c>
      <c r="I836" s="2" t="str">
        <f>IFERROR(__xludf.DUMMYFUNCTION("""COMPUTED_VALUE"""),"00o 00' 00""")</f>
        <v>00o 00' 00"</v>
      </c>
      <c r="J836" s="2" t="str">
        <f>IFERROR(__xludf.DUMMYFUNCTION("""COMPUTED_VALUE"""),"00o 00' 00""")</f>
        <v>00o 00' 00"</v>
      </c>
      <c r="K836" s="2" t="str">
        <f>IFERROR(__xludf.DUMMYFUNCTION("""COMPUTED_VALUE"""),"00o 00' 00""")</f>
        <v>00o 00' 00"</v>
      </c>
      <c r="L836" s="2" t="str">
        <f>IFERROR(__xludf.DUMMYFUNCTION("""COMPUTED_VALUE"""),"00o 00' 00""")</f>
        <v>00o 00' 00"</v>
      </c>
      <c r="M836" s="2" t="str">
        <f>IFERROR(__xludf.DUMMYFUNCTION("""COMPUTED_VALUE"""),"Benimanipur (Nawalparasi) Gothadi (Palpa)")</f>
        <v>Benimanipur (Nawalparasi) Gothadi (Palpa)</v>
      </c>
    </row>
    <row r="837">
      <c r="A837" s="2">
        <f>IFERROR(__xludf.DUMMYFUNCTION("""COMPUTED_VALUE"""),836.0)</f>
        <v>836</v>
      </c>
      <c r="B837" s="2" t="str">
        <f>IFERROR(__xludf.DUMMYFUNCTION("""COMPUTED_VALUE"""),"Belari Khora Ghat Ghirling Khola")</f>
        <v>Belari Khora Ghat Ghirling Khola</v>
      </c>
      <c r="C837" s="2">
        <f>IFERROR(__xludf.DUMMYFUNCTION("""COMPUTED_VALUE"""),1.0)</f>
        <v>1</v>
      </c>
      <c r="D837" s="2"/>
      <c r="E837" s="2">
        <f>IFERROR(__xludf.DUMMYFUNCTION("""COMPUTED_VALUE"""),2170.0)</f>
        <v>2170</v>
      </c>
      <c r="F837" s="3">
        <f>IFERROR(__xludf.DUMMYFUNCTION("""COMPUTED_VALUE"""),60519.0)</f>
        <v>60519</v>
      </c>
      <c r="G837" s="2" t="str">
        <f>IFERROR(__xludf.DUMMYFUNCTION("""COMPUTED_VALUE"""),"Santosh Kumar Pahari")</f>
        <v>Santosh Kumar Pahari</v>
      </c>
      <c r="H837" s="2" t="str">
        <f>IFERROR(__xludf.DUMMYFUNCTION("""COMPUTED_VALUE"""),"Nawalparasi")</f>
        <v>Nawalparasi</v>
      </c>
      <c r="I837" s="2" t="str">
        <f>IFERROR(__xludf.DUMMYFUNCTION("""COMPUTED_VALUE"""),"00o 00' 00""")</f>
        <v>00o 00' 00"</v>
      </c>
      <c r="J837" s="2" t="str">
        <f>IFERROR(__xludf.DUMMYFUNCTION("""COMPUTED_VALUE"""),"00o 00' 00""")</f>
        <v>00o 00' 00"</v>
      </c>
      <c r="K837" s="2" t="str">
        <f>IFERROR(__xludf.DUMMYFUNCTION("""COMPUTED_VALUE"""),"00o 00' 00""")</f>
        <v>00o 00' 00"</v>
      </c>
      <c r="L837" s="2" t="str">
        <f>IFERROR(__xludf.DUMMYFUNCTION("""COMPUTED_VALUE"""),"00o 00' 00""")</f>
        <v>00o 00' 00"</v>
      </c>
      <c r="M837" s="2" t="str">
        <f>IFERROR(__xludf.DUMMYFUNCTION("""COMPUTED_VALUE"""),"Sunwal (Nawalparasi)")</f>
        <v>Sunwal (Nawalparasi)</v>
      </c>
    </row>
    <row r="838">
      <c r="A838" s="2">
        <f>IFERROR(__xludf.DUMMYFUNCTION("""COMPUTED_VALUE"""),837.0)</f>
        <v>837</v>
      </c>
      <c r="B838" s="2" t="str">
        <f>IFERROR(__xludf.DUMMYFUNCTION("""COMPUTED_VALUE"""),"Nupche Khola")</f>
        <v>Nupche Khola</v>
      </c>
      <c r="C838" s="2">
        <f>IFERROR(__xludf.DUMMYFUNCTION("""COMPUTED_VALUE"""),0.9)</f>
        <v>0.9</v>
      </c>
      <c r="D838" s="2" t="str">
        <f>IFERROR(__xludf.DUMMYFUNCTION("""COMPUTED_VALUE"""),"Nupche")</f>
        <v>Nupche</v>
      </c>
      <c r="E838" s="2">
        <f>IFERROR(__xludf.DUMMYFUNCTION("""COMPUTED_VALUE"""),2172.0)</f>
        <v>2172</v>
      </c>
      <c r="F838" s="3">
        <f>IFERROR(__xludf.DUMMYFUNCTION("""COMPUTED_VALUE"""),60519.0)</f>
        <v>60519</v>
      </c>
      <c r="G838" s="2" t="str">
        <f>IFERROR(__xludf.DUMMYFUNCTION("""COMPUTED_VALUE"""),"Tej Kumari Sunuwar")</f>
        <v>Tej Kumari Sunuwar</v>
      </c>
      <c r="H838" s="2"/>
      <c r="I838" s="2" t="str">
        <f>IFERROR(__xludf.DUMMYFUNCTION("""COMPUTED_VALUE"""),"27o 41' 15""")</f>
        <v>27o 41' 15"</v>
      </c>
      <c r="J838" s="2" t="str">
        <f>IFERROR(__xludf.DUMMYFUNCTION("""COMPUTED_VALUE"""),"27o 43' 50""")</f>
        <v>27o 43' 50"</v>
      </c>
      <c r="K838" s="2" t="str">
        <f>IFERROR(__xludf.DUMMYFUNCTION("""COMPUTED_VALUE"""),"86o 26' 00""")</f>
        <v>86o 26' 00"</v>
      </c>
      <c r="L838" s="2" t="str">
        <f>IFERROR(__xludf.DUMMYFUNCTION("""COMPUTED_VALUE"""),"86o 28' 00""")</f>
        <v>86o 28' 00"</v>
      </c>
      <c r="M838" s="2" t="str">
        <f>IFERROR(__xludf.DUMMYFUNCTION("""COMPUTED_VALUE"""),"Gumdel (Ramechhap)")</f>
        <v>Gumdel (Ramechhap)</v>
      </c>
    </row>
    <row r="839">
      <c r="A839" s="2">
        <f>IFERROR(__xludf.DUMMYFUNCTION("""COMPUTED_VALUE"""),838.0)</f>
        <v>838</v>
      </c>
      <c r="B839" s="2" t="str">
        <f>IFERROR(__xludf.DUMMYFUNCTION("""COMPUTED_VALUE"""),"Hadi SHP")</f>
        <v>Hadi SHP</v>
      </c>
      <c r="C839" s="2">
        <f>IFERROR(__xludf.DUMMYFUNCTION("""COMPUTED_VALUE"""),0.99)</f>
        <v>0.99</v>
      </c>
      <c r="D839" s="2" t="str">
        <f>IFERROR(__xludf.DUMMYFUNCTION("""COMPUTED_VALUE"""),"Hadi")</f>
        <v>Hadi</v>
      </c>
      <c r="E839" s="2">
        <f>IFERROR(__xludf.DUMMYFUNCTION("""COMPUTED_VALUE"""),2192.0)</f>
        <v>2192</v>
      </c>
      <c r="F839" s="3">
        <f>IFERROR(__xludf.DUMMYFUNCTION("""COMPUTED_VALUE"""),60519.0)</f>
        <v>60519</v>
      </c>
      <c r="G839" s="2" t="str">
        <f>IFERROR(__xludf.DUMMYFUNCTION("""COMPUTED_VALUE"""),"Bhim Prasad Prajuli")</f>
        <v>Bhim Prasad Prajuli</v>
      </c>
      <c r="H839" s="2">
        <f>IFERROR(__xludf.DUMMYFUNCTION("""COMPUTED_VALUE"""),9.741019659E9)</f>
        <v>9741019659</v>
      </c>
      <c r="I839" s="2" t="str">
        <f>IFERROR(__xludf.DUMMYFUNCTION("""COMPUTED_VALUE"""),"27o 46' 45""")</f>
        <v>27o 46' 45"</v>
      </c>
      <c r="J839" s="2" t="str">
        <f>IFERROR(__xludf.DUMMYFUNCTION("""COMPUTED_VALUE"""),"27o 48' 00""")</f>
        <v>27o 48' 00"</v>
      </c>
      <c r="K839" s="2" t="str">
        <f>IFERROR(__xludf.DUMMYFUNCTION("""COMPUTED_VALUE"""),"85o 57' 35""")</f>
        <v>85o 57' 35"</v>
      </c>
      <c r="L839" s="2" t="str">
        <f>IFERROR(__xludf.DUMMYFUNCTION("""COMPUTED_VALUE"""),"85o 59' 15""")</f>
        <v>85o 59' 15"</v>
      </c>
      <c r="M839" s="2" t="str">
        <f>IFERROR(__xludf.DUMMYFUNCTION("""COMPUTED_VALUE"""),"Karthali (Sindhupalchok)")</f>
        <v>Karthali (Sindhupalchok)</v>
      </c>
    </row>
    <row r="840">
      <c r="A840" s="2">
        <f>IFERROR(__xludf.DUMMYFUNCTION("""COMPUTED_VALUE"""),839.0)</f>
        <v>839</v>
      </c>
      <c r="B840" s="2" t="str">
        <f>IFERROR(__xludf.DUMMYFUNCTION("""COMPUTED_VALUE"""),"Thuli Bheri")</f>
        <v>Thuli Bheri</v>
      </c>
      <c r="C840" s="2">
        <f>IFERROR(__xludf.DUMMYFUNCTION("""COMPUTED_VALUE"""),4.8)</f>
        <v>4.8</v>
      </c>
      <c r="D840" s="2"/>
      <c r="E840" s="2">
        <f>IFERROR(__xludf.DUMMYFUNCTION("""COMPUTED_VALUE"""),2197.0)</f>
        <v>2197</v>
      </c>
      <c r="F840" s="3">
        <f>IFERROR(__xludf.DUMMYFUNCTION("""COMPUTED_VALUE"""),60521.0)</f>
        <v>60521</v>
      </c>
      <c r="G840" s="2" t="str">
        <f>IFERROR(__xludf.DUMMYFUNCTION("""COMPUTED_VALUE"""),"Prakash Hydropower Nepal Pvt. Ltd.")</f>
        <v>Prakash Hydropower Nepal Pvt. Ltd.</v>
      </c>
      <c r="H840" s="2" t="str">
        <f>IFERROR(__xludf.DUMMYFUNCTION("""COMPUTED_VALUE"""),"Lalitpur, Phone 9841775016")</f>
        <v>Lalitpur, Phone 9841775016</v>
      </c>
      <c r="I840" s="2" t="str">
        <f>IFERROR(__xludf.DUMMYFUNCTION("""COMPUTED_VALUE"""),"28o 57' 30""")</f>
        <v>28o 57' 30"</v>
      </c>
      <c r="J840" s="2" t="str">
        <f>IFERROR(__xludf.DUMMYFUNCTION("""COMPUTED_VALUE"""),"29o 00' 00""")</f>
        <v>29o 00' 00"</v>
      </c>
      <c r="K840" s="2" t="str">
        <f>IFERROR(__xludf.DUMMYFUNCTION("""COMPUTED_VALUE"""),"82o 37' 40""")</f>
        <v>82o 37' 40"</v>
      </c>
      <c r="L840" s="2" t="str">
        <f>IFERROR(__xludf.DUMMYFUNCTION("""COMPUTED_VALUE"""),"82o 41' 50""")</f>
        <v>82o 41' 50"</v>
      </c>
      <c r="M840" s="2" t="str">
        <f>IFERROR(__xludf.DUMMYFUNCTION("""COMPUTED_VALUE"""),"Sunhoo,Kalika (Dolpa)")</f>
        <v>Sunhoo,Kalika (Dolpa)</v>
      </c>
    </row>
    <row r="841">
      <c r="A841" s="2">
        <f>IFERROR(__xludf.DUMMYFUNCTION("""COMPUTED_VALUE"""),840.0)</f>
        <v>840</v>
      </c>
      <c r="B841" s="2" t="str">
        <f>IFERROR(__xludf.DUMMYFUNCTION("""COMPUTED_VALUE"""),"Baidhyanath")</f>
        <v>Baidhyanath</v>
      </c>
      <c r="C841" s="2">
        <f>IFERROR(__xludf.DUMMYFUNCTION("""COMPUTED_VALUE"""),1.0)</f>
        <v>1</v>
      </c>
      <c r="D841" s="2"/>
      <c r="E841" s="2">
        <f>IFERROR(__xludf.DUMMYFUNCTION("""COMPUTED_VALUE"""),2202.0)</f>
        <v>2202</v>
      </c>
      <c r="F841" s="3">
        <f>IFERROR(__xludf.DUMMYFUNCTION("""COMPUTED_VALUE"""),60521.0)</f>
        <v>60521</v>
      </c>
      <c r="G841" s="2" t="str">
        <f>IFERROR(__xludf.DUMMYFUNCTION("""COMPUTED_VALUE"""),"Tikaram Sapkota, Bisnu Prasad Khanal, Naresh Dhakal")</f>
        <v>Tikaram Sapkota, Bisnu Prasad Khanal, Naresh Dhakal</v>
      </c>
      <c r="H841" s="2" t="str">
        <f>IFERROR(__xludf.DUMMYFUNCTION("""COMPUTED_VALUE"""),"Kathmandu-4")</f>
        <v>Kathmandu-4</v>
      </c>
      <c r="I841" s="2" t="str">
        <f>IFERROR(__xludf.DUMMYFUNCTION("""COMPUTED_VALUE"""),"26o 55' 05""")</f>
        <v>26o 55' 05"</v>
      </c>
      <c r="J841" s="2" t="str">
        <f>IFERROR(__xludf.DUMMYFUNCTION("""COMPUTED_VALUE"""),"26o 57' 15""")</f>
        <v>26o 57' 15"</v>
      </c>
      <c r="K841" s="2" t="str">
        <f>IFERROR(__xludf.DUMMYFUNCTION("""COMPUTED_VALUE"""),"86o 32' 48""")</f>
        <v>86o 32' 48"</v>
      </c>
      <c r="L841" s="2" t="str">
        <f>IFERROR(__xludf.DUMMYFUNCTION("""COMPUTED_VALUE"""),"86o 34' 52""")</f>
        <v>86o 34' 52"</v>
      </c>
      <c r="M841" s="2" t="str">
        <f>IFERROR(__xludf.DUMMYFUNCTION("""COMPUTED_VALUE"""),"Dumre,Pachchawati,Valaya Danda (Udayapur)")</f>
        <v>Dumre,Pachchawati,Valaya Danda (Udayapur)</v>
      </c>
    </row>
    <row r="842">
      <c r="A842" s="2">
        <f>IFERROR(__xludf.DUMMYFUNCTION("""COMPUTED_VALUE"""),841.0)</f>
        <v>841</v>
      </c>
      <c r="B842" s="2" t="str">
        <f>IFERROR(__xludf.DUMMYFUNCTION("""COMPUTED_VALUE"""),"Thakur Khola Small")</f>
        <v>Thakur Khola Small</v>
      </c>
      <c r="C842" s="2">
        <f>IFERROR(__xludf.DUMMYFUNCTION("""COMPUTED_VALUE"""),3.98)</f>
        <v>3.98</v>
      </c>
      <c r="D842" s="2" t="str">
        <f>IFERROR(__xludf.DUMMYFUNCTION("""COMPUTED_VALUE"""),"Thakur Khola")</f>
        <v>Thakur Khola</v>
      </c>
      <c r="E842" s="2">
        <f>IFERROR(__xludf.DUMMYFUNCTION("""COMPUTED_VALUE"""),2207.0)</f>
        <v>2207</v>
      </c>
      <c r="F842" s="3">
        <f>IFERROR(__xludf.DUMMYFUNCTION("""COMPUTED_VALUE"""),60521.0)</f>
        <v>60521</v>
      </c>
      <c r="G842" s="2" t="str">
        <f>IFERROR(__xludf.DUMMYFUNCTION("""COMPUTED_VALUE"""),"Ranga Lal Gurung")</f>
        <v>Ranga Lal Gurung</v>
      </c>
      <c r="H842" s="2" t="str">
        <f>IFERROR(__xludf.DUMMYFUNCTION("""COMPUTED_VALUE"""),"P.O.Box 19036, Kathmandu")</f>
        <v>P.O.Box 19036, Kathmandu</v>
      </c>
      <c r="I842" s="2" t="str">
        <f>IFERROR(__xludf.DUMMYFUNCTION("""COMPUTED_VALUE"""),"27o 02' 00""")</f>
        <v>27o 02' 00"</v>
      </c>
      <c r="J842" s="2" t="str">
        <f>IFERROR(__xludf.DUMMYFUNCTION("""COMPUTED_VALUE"""),"27o 04' 20""")</f>
        <v>27o 04' 20"</v>
      </c>
      <c r="K842" s="2" t="str">
        <f>IFERROR(__xludf.DUMMYFUNCTION("""COMPUTED_VALUE"""),"86o 13' 05""")</f>
        <v>86o 13' 05"</v>
      </c>
      <c r="L842" s="2" t="str">
        <f>IFERROR(__xludf.DUMMYFUNCTION("""COMPUTED_VALUE"""),"86o 14' 20""")</f>
        <v>86o 14' 20"</v>
      </c>
      <c r="M842" s="2" t="str">
        <f>IFERROR(__xludf.DUMMYFUNCTION("""COMPUTED_VALUE"""),"Arun Thakur,Jinakhu,Sirthouli (Sindhuli)")</f>
        <v>Arun Thakur,Jinakhu,Sirthouli (Sindhuli)</v>
      </c>
    </row>
    <row r="843">
      <c r="A843" s="2">
        <f>IFERROR(__xludf.DUMMYFUNCTION("""COMPUTED_VALUE"""),842.0)</f>
        <v>842</v>
      </c>
      <c r="B843" s="2" t="str">
        <f>IFERROR(__xludf.DUMMYFUNCTION("""COMPUTED_VALUE"""),"Idi Khola")</f>
        <v>Idi Khola</v>
      </c>
      <c r="C843" s="2">
        <f>IFERROR(__xludf.DUMMYFUNCTION("""COMPUTED_VALUE"""),3.2)</f>
        <v>3.2</v>
      </c>
      <c r="D843" s="2"/>
      <c r="E843" s="2">
        <f>IFERROR(__xludf.DUMMYFUNCTION("""COMPUTED_VALUE"""),2215.0)</f>
        <v>2215</v>
      </c>
      <c r="F843" s="3">
        <f>IFERROR(__xludf.DUMMYFUNCTION("""COMPUTED_VALUE"""),60523.0)</f>
        <v>60523</v>
      </c>
      <c r="G843" s="2" t="str">
        <f>IFERROR(__xludf.DUMMYFUNCTION("""COMPUTED_VALUE"""),"Idi Khola Energy Pvt. Ltd.")</f>
        <v>Idi Khola Energy Pvt. Ltd.</v>
      </c>
      <c r="H843" s="2" t="str">
        <f>IFERROR(__xludf.DUMMYFUNCTION("""COMPUTED_VALUE"""),"Pokhara, Kaski")</f>
        <v>Pokhara, Kaski</v>
      </c>
      <c r="I843" s="2" t="str">
        <f>IFERROR(__xludf.DUMMYFUNCTION("""COMPUTED_VALUE"""),"28o 13' 20""")</f>
        <v>28o 13' 20"</v>
      </c>
      <c r="J843" s="2" t="str">
        <f>IFERROR(__xludf.DUMMYFUNCTION("""COMPUTED_VALUE"""),"28o 14' 35""")</f>
        <v>28o 14' 35"</v>
      </c>
      <c r="K843" s="2" t="str">
        <f>IFERROR(__xludf.DUMMYFUNCTION("""COMPUTED_VALUE"""),"84o 06' 25""")</f>
        <v>84o 06' 25"</v>
      </c>
      <c r="L843" s="2" t="str">
        <f>IFERROR(__xludf.DUMMYFUNCTION("""COMPUTED_VALUE"""),"84o 07' 28""")</f>
        <v>84o 07' 28"</v>
      </c>
      <c r="M843" s="2" t="str">
        <f>IFERROR(__xludf.DUMMYFUNCTION("""COMPUTED_VALUE"""),"Saimrang (Kaski)")</f>
        <v>Saimrang (Kaski)</v>
      </c>
    </row>
    <row r="844">
      <c r="A844" s="2">
        <f>IFERROR(__xludf.DUMMYFUNCTION("""COMPUTED_VALUE"""),843.0)</f>
        <v>843</v>
      </c>
      <c r="B844" s="2" t="str">
        <f>IFERROR(__xludf.DUMMYFUNCTION("""COMPUTED_VALUE"""),"Ankhu Khola Small")</f>
        <v>Ankhu Khola Small</v>
      </c>
      <c r="C844" s="2">
        <f>IFERROR(__xludf.DUMMYFUNCTION("""COMPUTED_VALUE"""),14.72)</f>
        <v>14.72</v>
      </c>
      <c r="D844" s="2" t="str">
        <f>IFERROR(__xludf.DUMMYFUNCTION("""COMPUTED_VALUE"""),"Ankhu Khola")</f>
        <v>Ankhu Khola</v>
      </c>
      <c r="E844" s="2">
        <f>IFERROR(__xludf.DUMMYFUNCTION("""COMPUTED_VALUE"""),2221.0)</f>
        <v>2221</v>
      </c>
      <c r="F844" s="3">
        <f>IFERROR(__xludf.DUMMYFUNCTION("""COMPUTED_VALUE"""),60523.0)</f>
        <v>60523</v>
      </c>
      <c r="G844" s="2" t="str">
        <f>IFERROR(__xludf.DUMMYFUNCTION("""COMPUTED_VALUE"""),"Cherung Tamang, Kasman Tamang, Narman Tamang, Tika Bahadur Tamang")</f>
        <v>Cherung Tamang, Kasman Tamang, Narman Tamang, Tika Bahadur Tamang</v>
      </c>
      <c r="H844" s="2" t="str">
        <f>IFERROR(__xludf.DUMMYFUNCTION("""COMPUTED_VALUE"""),"Dhading, Phone 9841936670 ( Cherung Tamang)")</f>
        <v>Dhading, Phone 9841936670 ( Cherung Tamang)</v>
      </c>
      <c r="I844" s="2" t="str">
        <f>IFERROR(__xludf.DUMMYFUNCTION("""COMPUTED_VALUE"""),"28o 10' 00""")</f>
        <v>28o 10' 00"</v>
      </c>
      <c r="J844" s="2" t="str">
        <f>IFERROR(__xludf.DUMMYFUNCTION("""COMPUTED_VALUE"""),"28o 11' 46""")</f>
        <v>28o 11' 46"</v>
      </c>
      <c r="K844" s="2" t="str">
        <f>IFERROR(__xludf.DUMMYFUNCTION("""COMPUTED_VALUE"""),"85o 02' 55""")</f>
        <v>85o 02' 55"</v>
      </c>
      <c r="L844" s="2" t="str">
        <f>IFERROR(__xludf.DUMMYFUNCTION("""COMPUTED_VALUE"""),"85o 04' 47""")</f>
        <v>85o 04' 47"</v>
      </c>
      <c r="M844" s="2" t="str">
        <f>IFERROR(__xludf.DUMMYFUNCTION("""COMPUTED_VALUE"""),"Lapa (Dhading)")</f>
        <v>Lapa (Dhading)</v>
      </c>
    </row>
    <row r="845">
      <c r="A845" s="2">
        <f>IFERROR(__xludf.DUMMYFUNCTION("""COMPUTED_VALUE"""),844.0)</f>
        <v>844</v>
      </c>
      <c r="B845" s="2" t="str">
        <f>IFERROR(__xludf.DUMMYFUNCTION("""COMPUTED_VALUE"""),"Ritun Khola")</f>
        <v>Ritun Khola</v>
      </c>
      <c r="C845" s="2">
        <f>IFERROR(__xludf.DUMMYFUNCTION("""COMPUTED_VALUE"""),0.99)</f>
        <v>0.99</v>
      </c>
      <c r="D845" s="2"/>
      <c r="E845" s="2">
        <f>IFERROR(__xludf.DUMMYFUNCTION("""COMPUTED_VALUE"""),2224.0)</f>
        <v>2224</v>
      </c>
      <c r="F845" s="3">
        <f>IFERROR(__xludf.DUMMYFUNCTION("""COMPUTED_VALUE"""),60523.0)</f>
        <v>60523</v>
      </c>
      <c r="G845" s="2" t="str">
        <f>IFERROR(__xludf.DUMMYFUNCTION("""COMPUTED_VALUE"""),"Tek Nath Acharya")</f>
        <v>Tek Nath Acharya</v>
      </c>
      <c r="H845" s="2" t="str">
        <f>IFERROR(__xludf.DUMMYFUNCTION("""COMPUTED_VALUE"""),"Dhanakuta, Phone 9851001359")</f>
        <v>Dhanakuta, Phone 9851001359</v>
      </c>
      <c r="I845" s="2" t="str">
        <f>IFERROR(__xludf.DUMMYFUNCTION("""COMPUTED_VALUE"""),"28o 24' 34""")</f>
        <v>28o 24' 34"</v>
      </c>
      <c r="J845" s="2" t="str">
        <f>IFERROR(__xludf.DUMMYFUNCTION("""COMPUTED_VALUE"""),"28o 25' 00""")</f>
        <v>28o 25' 00"</v>
      </c>
      <c r="K845" s="2" t="str">
        <f>IFERROR(__xludf.DUMMYFUNCTION("""COMPUTED_VALUE"""),"83o 21' 25""")</f>
        <v>83o 21' 25"</v>
      </c>
      <c r="L845" s="2" t="str">
        <f>IFERROR(__xludf.DUMMYFUNCTION("""COMPUTED_VALUE"""),"83o 23' 25""")</f>
        <v>83o 23' 25"</v>
      </c>
      <c r="M845" s="2" t="str">
        <f>IFERROR(__xludf.DUMMYFUNCTION("""COMPUTED_VALUE"""),"Devisthan,Niskot (Myagdi)")</f>
        <v>Devisthan,Niskot (Myagdi)</v>
      </c>
    </row>
    <row r="846">
      <c r="A846" s="2">
        <f>IFERROR(__xludf.DUMMYFUNCTION("""COMPUTED_VALUE"""),845.0)</f>
        <v>845</v>
      </c>
      <c r="B846" s="2" t="str">
        <f>IFERROR(__xludf.DUMMYFUNCTION("""COMPUTED_VALUE"""),"Gogani Gad")</f>
        <v>Gogani Gad</v>
      </c>
      <c r="C846" s="2">
        <f>IFERROR(__xludf.DUMMYFUNCTION("""COMPUTED_VALUE"""),0.75)</f>
        <v>0.75</v>
      </c>
      <c r="D846" s="2"/>
      <c r="E846" s="2">
        <f>IFERROR(__xludf.DUMMYFUNCTION("""COMPUTED_VALUE"""),2225.0)</f>
        <v>2225</v>
      </c>
      <c r="F846" s="3">
        <f>IFERROR(__xludf.DUMMYFUNCTION("""COMPUTED_VALUE"""),60523.0)</f>
        <v>60523</v>
      </c>
      <c r="G846" s="2" t="str">
        <f>IFERROR(__xludf.DUMMYFUNCTION("""COMPUTED_VALUE"""),"Rabindra Raj Joshi")</f>
        <v>Rabindra Raj Joshi</v>
      </c>
      <c r="H846" s="2" t="str">
        <f>IFERROR(__xludf.DUMMYFUNCTION("""COMPUTED_VALUE"""),"Doti")</f>
        <v>Doti</v>
      </c>
      <c r="I846" s="2" t="str">
        <f>IFERROR(__xludf.DUMMYFUNCTION("""COMPUTED_VALUE"""),"00o 00' 00""")</f>
        <v>00o 00' 00"</v>
      </c>
      <c r="J846" s="2" t="str">
        <f>IFERROR(__xludf.DUMMYFUNCTION("""COMPUTED_VALUE"""),"00o 00' 00""")</f>
        <v>00o 00' 00"</v>
      </c>
      <c r="K846" s="2" t="str">
        <f>IFERROR(__xludf.DUMMYFUNCTION("""COMPUTED_VALUE"""),"00o 00' 00""")</f>
        <v>00o 00' 00"</v>
      </c>
      <c r="L846" s="2" t="str">
        <f>IFERROR(__xludf.DUMMYFUNCTION("""COMPUTED_VALUE"""),"00o 00' 00""")</f>
        <v>00o 00' 00"</v>
      </c>
      <c r="M846" s="2" t="str">
        <f>IFERROR(__xludf.DUMMYFUNCTION("""COMPUTED_VALUE"""),"Saraswotinagar (Doti)")</f>
        <v>Saraswotinagar (Doti)</v>
      </c>
    </row>
    <row r="847">
      <c r="A847" s="2">
        <f>IFERROR(__xludf.DUMMYFUNCTION("""COMPUTED_VALUE"""),846.0)</f>
        <v>846</v>
      </c>
      <c r="B847" s="2" t="str">
        <f>IFERROR(__xludf.DUMMYFUNCTION("""COMPUTED_VALUE"""),"Lower Karnali")</f>
        <v>Lower Karnali</v>
      </c>
      <c r="C847" s="2">
        <f>IFERROR(__xludf.DUMMYFUNCTION("""COMPUTED_VALUE"""),1.0)</f>
        <v>1</v>
      </c>
      <c r="D847" s="2" t="str">
        <f>IFERROR(__xludf.DUMMYFUNCTION("""COMPUTED_VALUE"""),"Karnali")</f>
        <v>Karnali</v>
      </c>
      <c r="E847" s="2">
        <f>IFERROR(__xludf.DUMMYFUNCTION("""COMPUTED_VALUE"""),2229.0)</f>
        <v>2229</v>
      </c>
      <c r="F847" s="3">
        <f>IFERROR(__xludf.DUMMYFUNCTION("""COMPUTED_VALUE"""),60524.0)</f>
        <v>60524</v>
      </c>
      <c r="G847" s="2" t="str">
        <f>IFERROR(__xludf.DUMMYFUNCTION("""COMPUTED_VALUE"""),"Nanu Kafle")</f>
        <v>Nanu Kafle</v>
      </c>
      <c r="H847" s="2" t="str">
        <f>IFERROR(__xludf.DUMMYFUNCTION("""COMPUTED_VALUE"""),"Dolkha")</f>
        <v>Dolkha</v>
      </c>
      <c r="I847" s="2" t="str">
        <f>IFERROR(__xludf.DUMMYFUNCTION("""COMPUTED_VALUE"""),"28o 55' 00""")</f>
        <v>28o 55' 00"</v>
      </c>
      <c r="J847" s="2" t="str">
        <f>IFERROR(__xludf.DUMMYFUNCTION("""COMPUTED_VALUE"""),"28o 57' 30""")</f>
        <v>28o 57' 30"</v>
      </c>
      <c r="K847" s="2" t="str">
        <f>IFERROR(__xludf.DUMMYFUNCTION("""COMPUTED_VALUE"""),"81o 00' 00""")</f>
        <v>81o 00' 00"</v>
      </c>
      <c r="L847" s="2" t="str">
        <f>IFERROR(__xludf.DUMMYFUNCTION("""COMPUTED_VALUE"""),"81o 01' 15""")</f>
        <v>81o 01' 15"</v>
      </c>
      <c r="M847" s="2" t="str">
        <f>IFERROR(__xludf.DUMMYFUNCTION("""COMPUTED_VALUE"""),"Lagaam (Surkhet)")</f>
        <v>Lagaam (Surkhet)</v>
      </c>
    </row>
    <row r="848">
      <c r="A848" s="2">
        <f>IFERROR(__xludf.DUMMYFUNCTION("""COMPUTED_VALUE"""),847.0)</f>
        <v>847</v>
      </c>
      <c r="B848" s="2" t="str">
        <f>IFERROR(__xludf.DUMMYFUNCTION("""COMPUTED_VALUE"""),"Mudhe-Sikri Khola SHP")</f>
        <v>Mudhe-Sikri Khola SHP</v>
      </c>
      <c r="C848" s="2">
        <f>IFERROR(__xludf.DUMMYFUNCTION("""COMPUTED_VALUE"""),0.2)</f>
        <v>0.2</v>
      </c>
      <c r="D848" s="2" t="str">
        <f>IFERROR(__xludf.DUMMYFUNCTION("""COMPUTED_VALUE"""),"Mudhe Sikri")</f>
        <v>Mudhe Sikri</v>
      </c>
      <c r="E848" s="2">
        <f>IFERROR(__xludf.DUMMYFUNCTION("""COMPUTED_VALUE"""),2239.0)</f>
        <v>2239</v>
      </c>
      <c r="F848" s="3">
        <f>IFERROR(__xludf.DUMMYFUNCTION("""COMPUTED_VALUE"""),60524.0)</f>
        <v>60524</v>
      </c>
      <c r="G848" s="2" t="str">
        <f>IFERROR(__xludf.DUMMYFUNCTION("""COMPUTED_VALUE"""),"Dronachhal Hydropower Company Pvt Ltd")</f>
        <v>Dronachhal Hydropower Company Pvt Ltd</v>
      </c>
      <c r="H848" s="2" t="str">
        <f>IFERROR(__xludf.DUMMYFUNCTION("""COMPUTED_VALUE"""),"Sanepa Lalitpur, Tel: 01-5522297,9841262907")</f>
        <v>Sanepa Lalitpur, Tel: 01-5522297,9841262907</v>
      </c>
      <c r="I848" s="2" t="str">
        <f>IFERROR(__xludf.DUMMYFUNCTION("""COMPUTED_VALUE"""),"27o 36' 14""")</f>
        <v>27o 36' 14"</v>
      </c>
      <c r="J848" s="2" t="str">
        <f>IFERROR(__xludf.DUMMYFUNCTION("""COMPUTED_VALUE"""),"27o 37' 21""")</f>
        <v>27o 37' 21"</v>
      </c>
      <c r="K848" s="2" t="str">
        <f>IFERROR(__xludf.DUMMYFUNCTION("""COMPUTED_VALUE"""),"86o 12' 09""")</f>
        <v>86o 12' 09"</v>
      </c>
      <c r="L848" s="2" t="str">
        <f>IFERROR(__xludf.DUMMYFUNCTION("""COMPUTED_VALUE"""),"86o 13' 40""")</f>
        <v>86o 13' 40"</v>
      </c>
      <c r="M848" s="2" t="str">
        <f>IFERROR(__xludf.DUMMYFUNCTION("""COMPUTED_VALUE"""),"Jiri (Dolakha)")</f>
        <v>Jiri (Dolakha)</v>
      </c>
    </row>
    <row r="849">
      <c r="A849" s="2">
        <f>IFERROR(__xludf.DUMMYFUNCTION("""COMPUTED_VALUE"""),848.0)</f>
        <v>848</v>
      </c>
      <c r="B849" s="2" t="str">
        <f>IFERROR(__xludf.DUMMYFUNCTION("""COMPUTED_VALUE"""),"Upper Buku Khola")</f>
        <v>Upper Buku Khola</v>
      </c>
      <c r="C849" s="2">
        <f>IFERROR(__xludf.DUMMYFUNCTION("""COMPUTED_VALUE"""),1.0)</f>
        <v>1</v>
      </c>
      <c r="D849" s="2" t="str">
        <f>IFERROR(__xludf.DUMMYFUNCTION("""COMPUTED_VALUE"""),"Buku")</f>
        <v>Buku</v>
      </c>
      <c r="E849" s="2">
        <f>IFERROR(__xludf.DUMMYFUNCTION("""COMPUTED_VALUE"""),2248.0)</f>
        <v>2248</v>
      </c>
      <c r="F849" s="3">
        <f>IFERROR(__xludf.DUMMYFUNCTION("""COMPUTED_VALUE"""),60526.0)</f>
        <v>60526</v>
      </c>
      <c r="G849" s="2" t="str">
        <f>IFERROR(__xludf.DUMMYFUNCTION("""COMPUTED_VALUE"""),"Pratap Gurung")</f>
        <v>Pratap Gurung</v>
      </c>
      <c r="H849" s="2" t="str">
        <f>IFERROR(__xludf.DUMMYFUNCTION("""COMPUTED_VALUE"""),"Pohra-9 Kaski")</f>
        <v>Pohra-9 Kaski</v>
      </c>
      <c r="I849" s="2" t="str">
        <f>IFERROR(__xludf.DUMMYFUNCTION("""COMPUTED_VALUE"""),"27o 30' 00""")</f>
        <v>27o 30' 00"</v>
      </c>
      <c r="J849" s="2" t="str">
        <f>IFERROR(__xludf.DUMMYFUNCTION("""COMPUTED_VALUE"""),"27o 31' 49""")</f>
        <v>27o 31' 49"</v>
      </c>
      <c r="K849" s="2" t="str">
        <f>IFERROR(__xludf.DUMMYFUNCTION("""COMPUTED_VALUE"""),"86o 22' 38""")</f>
        <v>86o 22' 38"</v>
      </c>
      <c r="L849" s="2" t="str">
        <f>IFERROR(__xludf.DUMMYFUNCTION("""COMPUTED_VALUE"""),"86o 25' 00""")</f>
        <v>86o 25' 00"</v>
      </c>
      <c r="M849" s="2" t="str">
        <f>IFERROR(__xludf.DUMMYFUNCTION("""COMPUTED_VALUE"""),"Goli (Solukhumbu)")</f>
        <v>Goli (Solukhumbu)</v>
      </c>
    </row>
    <row r="850">
      <c r="A850" s="2">
        <f>IFERROR(__xludf.DUMMYFUNCTION("""COMPUTED_VALUE"""),849.0)</f>
        <v>849</v>
      </c>
      <c r="B850" s="2" t="str">
        <f>IFERROR(__xludf.DUMMYFUNCTION("""COMPUTED_VALUE"""),"Upper Tadi Khola HPP")</f>
        <v>Upper Tadi Khola HPP</v>
      </c>
      <c r="C850" s="2">
        <f>IFERROR(__xludf.DUMMYFUNCTION("""COMPUTED_VALUE"""),7.5)</f>
        <v>7.5</v>
      </c>
      <c r="D850" s="2" t="str">
        <f>IFERROR(__xludf.DUMMYFUNCTION("""COMPUTED_VALUE"""),"Tadi Khola")</f>
        <v>Tadi Khola</v>
      </c>
      <c r="E850" s="2">
        <f>IFERROR(__xludf.DUMMYFUNCTION("""COMPUTED_VALUE"""),2256.0)</f>
        <v>2256</v>
      </c>
      <c r="F850" s="3">
        <f>IFERROR(__xludf.DUMMYFUNCTION("""COMPUTED_VALUE"""),60526.0)</f>
        <v>60526</v>
      </c>
      <c r="G850" s="2" t="str">
        <f>IFERROR(__xludf.DUMMYFUNCTION("""COMPUTED_VALUE"""),"Rita Gautam, Samden Sherpa")</f>
        <v>Rita Gautam, Samden Sherpa</v>
      </c>
      <c r="H850" s="2" t="str">
        <f>IFERROR(__xludf.DUMMYFUNCTION("""COMPUTED_VALUE"""),"Kathmandu")</f>
        <v>Kathmandu</v>
      </c>
      <c r="I850" s="2" t="str">
        <f>IFERROR(__xludf.DUMMYFUNCTION("""COMPUTED_VALUE"""),"28o 00' 42""")</f>
        <v>28o 00' 42"</v>
      </c>
      <c r="J850" s="2" t="str">
        <f>IFERROR(__xludf.DUMMYFUNCTION("""COMPUTED_VALUE"""),"28o 02' 05""")</f>
        <v>28o 02' 05"</v>
      </c>
      <c r="K850" s="2" t="str">
        <f>IFERROR(__xludf.DUMMYFUNCTION("""COMPUTED_VALUE"""),"85o 27' 16""")</f>
        <v>85o 27' 16"</v>
      </c>
      <c r="L850" s="2" t="str">
        <f>IFERROR(__xludf.DUMMYFUNCTION("""COMPUTED_VALUE"""),"85o 28' 29""")</f>
        <v>85o 28' 29"</v>
      </c>
      <c r="M850" s="2" t="str">
        <f>IFERROR(__xludf.DUMMYFUNCTION("""COMPUTED_VALUE"""),"Dhyangphedi (Nuwakot)")</f>
        <v>Dhyangphedi (Nuwakot)</v>
      </c>
    </row>
    <row r="851">
      <c r="A851" s="2">
        <f>IFERROR(__xludf.DUMMYFUNCTION("""COMPUTED_VALUE"""),850.0)</f>
        <v>850</v>
      </c>
      <c r="B851" s="2" t="str">
        <f>IFERROR(__xludf.DUMMYFUNCTION("""COMPUTED_VALUE"""),"Garpa Khola")</f>
        <v>Garpa Khola</v>
      </c>
      <c r="C851" s="2">
        <f>IFERROR(__xludf.DUMMYFUNCTION("""COMPUTED_VALUE"""),0.75)</f>
        <v>0.75</v>
      </c>
      <c r="D851" s="2"/>
      <c r="E851" s="2">
        <f>IFERROR(__xludf.DUMMYFUNCTION("""COMPUTED_VALUE"""),2259.0)</f>
        <v>2259</v>
      </c>
      <c r="F851" s="3">
        <f>IFERROR(__xludf.DUMMYFUNCTION("""COMPUTED_VALUE"""),60526.0)</f>
        <v>60526</v>
      </c>
      <c r="G851" s="2" t="str">
        <f>IFERROR(__xludf.DUMMYFUNCTION("""COMPUTED_VALUE"""),"Sonapur Cement Pvt. Ltd.")</f>
        <v>Sonapur Cement Pvt. Ltd.</v>
      </c>
      <c r="H851" s="2" t="str">
        <f>IFERROR(__xludf.DUMMYFUNCTION("""COMPUTED_VALUE"""),"Battisputali, Kathmandu, Phone 9851066050, 01-4255570")</f>
        <v>Battisputali, Kathmandu, Phone 9851066050, 01-4255570</v>
      </c>
      <c r="I851" s="2" t="str">
        <f>IFERROR(__xludf.DUMMYFUNCTION("""COMPUTED_VALUE"""),"00o 00' 00""")</f>
        <v>00o 00' 00"</v>
      </c>
      <c r="J851" s="2" t="str">
        <f>IFERROR(__xludf.DUMMYFUNCTION("""COMPUTED_VALUE"""),"00o 00' 00""")</f>
        <v>00o 00' 00"</v>
      </c>
      <c r="K851" s="2" t="str">
        <f>IFERROR(__xludf.DUMMYFUNCTION("""COMPUTED_VALUE"""),"00o 00' 00""")</f>
        <v>00o 00' 00"</v>
      </c>
      <c r="L851" s="2" t="str">
        <f>IFERROR(__xludf.DUMMYFUNCTION("""COMPUTED_VALUE"""),"00o 00' 00""")</f>
        <v>00o 00' 00"</v>
      </c>
      <c r="M851" s="2" t="str">
        <f>IFERROR(__xludf.DUMMYFUNCTION("""COMPUTED_VALUE"""),"Harjang (Rolpa)")</f>
        <v>Harjang (Rolpa)</v>
      </c>
    </row>
    <row r="852">
      <c r="A852" s="2">
        <f>IFERROR(__xludf.DUMMYFUNCTION("""COMPUTED_VALUE"""),851.0)</f>
        <v>851</v>
      </c>
      <c r="B852" s="2" t="str">
        <f>IFERROR(__xludf.DUMMYFUNCTION("""COMPUTED_VALUE"""),"Upper Badigad Khola")</f>
        <v>Upper Badigad Khola</v>
      </c>
      <c r="C852" s="2">
        <f>IFERROR(__xludf.DUMMYFUNCTION("""COMPUTED_VALUE"""),0.9)</f>
        <v>0.9</v>
      </c>
      <c r="D852" s="2" t="str">
        <f>IFERROR(__xludf.DUMMYFUNCTION("""COMPUTED_VALUE"""),"Badigad")</f>
        <v>Badigad</v>
      </c>
      <c r="E852" s="2">
        <f>IFERROR(__xludf.DUMMYFUNCTION("""COMPUTED_VALUE"""),2282.0)</f>
        <v>2282</v>
      </c>
      <c r="F852" s="3">
        <f>IFERROR(__xludf.DUMMYFUNCTION("""COMPUTED_VALUE"""),60527.0)</f>
        <v>60527</v>
      </c>
      <c r="G852" s="2" t="str">
        <f>IFERROR(__xludf.DUMMYFUNCTION("""COMPUTED_VALUE"""),"Pramesh pokhrel, Akash Regmi")</f>
        <v>Pramesh pokhrel, Akash Regmi</v>
      </c>
      <c r="H852" s="2" t="str">
        <f>IFERROR(__xludf.DUMMYFUNCTION("""COMPUTED_VALUE"""),"P.O.Box 10728 Phone 9841762563 ( Pramesh)")</f>
        <v>P.O.Box 10728 Phone 9841762563 ( Pramesh)</v>
      </c>
      <c r="I852" s="2" t="str">
        <f>IFERROR(__xludf.DUMMYFUNCTION("""COMPUTED_VALUE"""),"28o 12' 17""")</f>
        <v>28o 12' 17"</v>
      </c>
      <c r="J852" s="2" t="str">
        <f>IFERROR(__xludf.DUMMYFUNCTION("""COMPUTED_VALUE"""),"28o 13' 20""")</f>
        <v>28o 13' 20"</v>
      </c>
      <c r="K852" s="2" t="str">
        <f>IFERROR(__xludf.DUMMYFUNCTION("""COMPUTED_VALUE"""),"83o 14' 12""")</f>
        <v>83o 14' 12"</v>
      </c>
      <c r="L852" s="2" t="str">
        <f>IFERROR(__xludf.DUMMYFUNCTION("""COMPUTED_VALUE"""),"83o 15' 35""")</f>
        <v>83o 15' 35"</v>
      </c>
      <c r="M852" s="2" t="str">
        <f>IFERROR(__xludf.DUMMYFUNCTION("""COMPUTED_VALUE"""),"Paudi Amarahi (Gulmi)")</f>
        <v>Paudi Amarahi (Gulmi)</v>
      </c>
    </row>
    <row r="853">
      <c r="A853" s="2">
        <f>IFERROR(__xludf.DUMMYFUNCTION("""COMPUTED_VALUE"""),852.0)</f>
        <v>852</v>
      </c>
      <c r="B853" s="2" t="str">
        <f>IFERROR(__xludf.DUMMYFUNCTION("""COMPUTED_VALUE"""),"Golche")</f>
        <v>Golche</v>
      </c>
      <c r="C853" s="2">
        <f>IFERROR(__xludf.DUMMYFUNCTION("""COMPUTED_VALUE"""),0.43)</f>
        <v>0.43</v>
      </c>
      <c r="D853" s="2"/>
      <c r="E853" s="2">
        <f>IFERROR(__xludf.DUMMYFUNCTION("""COMPUTED_VALUE"""),2285.0)</f>
        <v>2285</v>
      </c>
      <c r="F853" s="3">
        <f>IFERROR(__xludf.DUMMYFUNCTION("""COMPUTED_VALUE"""),60528.0)</f>
        <v>60528</v>
      </c>
      <c r="G853" s="2" t="str">
        <f>IFERROR(__xludf.DUMMYFUNCTION("""COMPUTED_VALUE"""),"Phurba Lama, Chandra Bahadur Lama")</f>
        <v>Phurba Lama, Chandra Bahadur Lama</v>
      </c>
      <c r="H853" s="2"/>
      <c r="I853" s="2" t="str">
        <f>IFERROR(__xludf.DUMMYFUNCTION("""COMPUTED_VALUE"""),"27o 53' 15""")</f>
        <v>27o 53' 15"</v>
      </c>
      <c r="J853" s="2" t="str">
        <f>IFERROR(__xludf.DUMMYFUNCTION("""COMPUTED_VALUE"""),"27o 53' 47""")</f>
        <v>27o 53' 47"</v>
      </c>
      <c r="K853" s="2" t="str">
        <f>IFERROR(__xludf.DUMMYFUNCTION("""COMPUTED_VALUE"""),"85o 45' 00""")</f>
        <v>85o 45' 00"</v>
      </c>
      <c r="L853" s="2" t="str">
        <f>IFERROR(__xludf.DUMMYFUNCTION("""COMPUTED_VALUE"""),"85o 45' 44""")</f>
        <v>85o 45' 44"</v>
      </c>
      <c r="M853" s="2" t="str">
        <f>IFERROR(__xludf.DUMMYFUNCTION("""COMPUTED_VALUE"""),"Golche (Sindhupalchok)")</f>
        <v>Golche (Sindhupalchok)</v>
      </c>
    </row>
    <row r="854">
      <c r="A854" s="2">
        <f>IFERROR(__xludf.DUMMYFUNCTION("""COMPUTED_VALUE"""),853.0)</f>
        <v>853</v>
      </c>
      <c r="B854" s="2" t="str">
        <f>IFERROR(__xludf.DUMMYFUNCTION("""COMPUTED_VALUE"""),"Sotre Khola")</f>
        <v>Sotre Khola</v>
      </c>
      <c r="C854" s="2">
        <f>IFERROR(__xludf.DUMMYFUNCTION("""COMPUTED_VALUE"""),0.4)</f>
        <v>0.4</v>
      </c>
      <c r="D854" s="2"/>
      <c r="E854" s="2">
        <f>IFERROR(__xludf.DUMMYFUNCTION("""COMPUTED_VALUE"""),2291.0)</f>
        <v>2291</v>
      </c>
      <c r="F854" s="3">
        <f>IFERROR(__xludf.DUMMYFUNCTION("""COMPUTED_VALUE"""),60528.0)</f>
        <v>60528</v>
      </c>
      <c r="G854" s="2" t="str">
        <f>IFERROR(__xludf.DUMMYFUNCTION("""COMPUTED_VALUE"""),"Jata Pokhari Hydropower Co. Pvt. Ltd.")</f>
        <v>Jata Pokhari Hydropower Co. Pvt. Ltd.</v>
      </c>
      <c r="H854" s="2" t="str">
        <f>IFERROR(__xludf.DUMMYFUNCTION("""COMPUTED_VALUE"""),"Mandikatar Kathmandu, Phone 01-4481988")</f>
        <v>Mandikatar Kathmandu, Phone 01-4481988</v>
      </c>
      <c r="I854" s="2" t="str">
        <f>IFERROR(__xludf.DUMMYFUNCTION("""COMPUTED_VALUE"""),"27o 35' 00""")</f>
        <v>27o 35' 00"</v>
      </c>
      <c r="J854" s="2" t="str">
        <f>IFERROR(__xludf.DUMMYFUNCTION("""COMPUTED_VALUE"""),"27o 36' 05""")</f>
        <v>27o 36' 05"</v>
      </c>
      <c r="K854" s="2" t="str">
        <f>IFERROR(__xludf.DUMMYFUNCTION("""COMPUTED_VALUE"""),"86o 17' 25""")</f>
        <v>86o 17' 25"</v>
      </c>
      <c r="L854" s="2" t="str">
        <f>IFERROR(__xludf.DUMMYFUNCTION("""COMPUTED_VALUE"""),"86o 17' 45""")</f>
        <v>86o 17' 45"</v>
      </c>
      <c r="M854" s="2" t="str">
        <f>IFERROR(__xludf.DUMMYFUNCTION("""COMPUTED_VALUE"""),"Those (Ramechhap)")</f>
        <v>Those (Ramechhap)</v>
      </c>
    </row>
    <row r="855">
      <c r="A855" s="2">
        <f>IFERROR(__xludf.DUMMYFUNCTION("""COMPUTED_VALUE"""),854.0)</f>
        <v>854</v>
      </c>
      <c r="B855" s="2" t="str">
        <f>IFERROR(__xludf.DUMMYFUNCTION("""COMPUTED_VALUE"""),"Namche Bhotekoshi")</f>
        <v>Namche Bhotekoshi</v>
      </c>
      <c r="C855" s="2">
        <f>IFERROR(__xludf.DUMMYFUNCTION("""COMPUTED_VALUE"""),5.0)</f>
        <v>5</v>
      </c>
      <c r="D855" s="2"/>
      <c r="E855" s="2">
        <f>IFERROR(__xludf.DUMMYFUNCTION("""COMPUTED_VALUE"""),2299.0)</f>
        <v>2299</v>
      </c>
      <c r="F855" s="3">
        <f>IFERROR(__xludf.DUMMYFUNCTION("""COMPUTED_VALUE"""),60528.0)</f>
        <v>60528</v>
      </c>
      <c r="G855" s="2" t="str">
        <f>IFERROR(__xludf.DUMMYFUNCTION("""COMPUTED_VALUE"""),"Vishal Energy Pvt. Ltd")</f>
        <v>Vishal Energy Pvt. Ltd</v>
      </c>
      <c r="H855" s="2" t="str">
        <f>IFERROR(__xludf.DUMMYFUNCTION("""COMPUTED_VALUE"""),"Kathmandu, Phone 9851050130, 01-4218590")</f>
        <v>Kathmandu, Phone 9851050130, 01-4218590</v>
      </c>
      <c r="I855" s="2" t="str">
        <f>IFERROR(__xludf.DUMMYFUNCTION("""COMPUTED_VALUE"""),"27o 46' 46""")</f>
        <v>27o 46' 46"</v>
      </c>
      <c r="J855" s="2" t="str">
        <f>IFERROR(__xludf.DUMMYFUNCTION("""COMPUTED_VALUE"""),"27o 48' 40""")</f>
        <v>27o 48' 40"</v>
      </c>
      <c r="K855" s="2" t="str">
        <f>IFERROR(__xludf.DUMMYFUNCTION("""COMPUTED_VALUE"""),"86o 41' 07""")</f>
        <v>86o 41' 07"</v>
      </c>
      <c r="L855" s="2" t="str">
        <f>IFERROR(__xludf.DUMMYFUNCTION("""COMPUTED_VALUE"""),"86o 43' 34""")</f>
        <v>86o 43' 34"</v>
      </c>
      <c r="M855" s="2" t="str">
        <f>IFERROR(__xludf.DUMMYFUNCTION("""COMPUTED_VALUE"""),"Namche (Solukhumbu)")</f>
        <v>Namche (Solukhumbu)</v>
      </c>
    </row>
    <row r="856">
      <c r="A856" s="2">
        <f>IFERROR(__xludf.DUMMYFUNCTION("""COMPUTED_VALUE"""),855.0)</f>
        <v>855</v>
      </c>
      <c r="B856" s="2" t="str">
        <f>IFERROR(__xludf.DUMMYFUNCTION("""COMPUTED_VALUE"""),"Tadi Khola")</f>
        <v>Tadi Khola</v>
      </c>
      <c r="C856" s="2">
        <f>IFERROR(__xludf.DUMMYFUNCTION("""COMPUTED_VALUE"""),3.0)</f>
        <v>3</v>
      </c>
      <c r="D856" s="2" t="str">
        <f>IFERROR(__xludf.DUMMYFUNCTION("""COMPUTED_VALUE"""),"Tadi Khola")</f>
        <v>Tadi Khola</v>
      </c>
      <c r="E856" s="2">
        <f>IFERROR(__xludf.DUMMYFUNCTION("""COMPUTED_VALUE"""),2310.0)</f>
        <v>2310</v>
      </c>
      <c r="F856" s="3">
        <f>IFERROR(__xludf.DUMMYFUNCTION("""COMPUTED_VALUE"""),60530.0)</f>
        <v>60530</v>
      </c>
      <c r="G856" s="2" t="str">
        <f>IFERROR(__xludf.DUMMYFUNCTION("""COMPUTED_VALUE"""),"Lakpa Sherpa")</f>
        <v>Lakpa Sherpa</v>
      </c>
      <c r="H856" s="2" t="str">
        <f>IFERROR(__xludf.DUMMYFUNCTION("""COMPUTED_VALUE"""),"Taksindu VDC-9 Solukhumbu Tel 9841283361")</f>
        <v>Taksindu VDC-9 Solukhumbu Tel 9841283361</v>
      </c>
      <c r="I856" s="2" t="str">
        <f>IFERROR(__xludf.DUMMYFUNCTION("""COMPUTED_VALUE"""),"27o 55' 00""")</f>
        <v>27o 55' 00"</v>
      </c>
      <c r="J856" s="2" t="str">
        <f>IFERROR(__xludf.DUMMYFUNCTION("""COMPUTED_VALUE"""),"27o 55' 56""")</f>
        <v>27o 55' 56"</v>
      </c>
      <c r="K856" s="2" t="str">
        <f>IFERROR(__xludf.DUMMYFUNCTION("""COMPUTED_VALUE"""),"85o 19' 15""")</f>
        <v>85o 19' 15"</v>
      </c>
      <c r="L856" s="2" t="str">
        <f>IFERROR(__xludf.DUMMYFUNCTION("""COMPUTED_VALUE"""),"85o 21' 08""")</f>
        <v>85o 21' 08"</v>
      </c>
      <c r="M856" s="2" t="str">
        <f>IFERROR(__xludf.DUMMYFUNCTION("""COMPUTED_VALUE"""),"Thaprek,Ralukadevi,Kharanitar,Sundaradevi (Nuwakot)")</f>
        <v>Thaprek,Ralukadevi,Kharanitar,Sundaradevi (Nuwakot)</v>
      </c>
    </row>
    <row r="857">
      <c r="A857" s="2">
        <f>IFERROR(__xludf.DUMMYFUNCTION("""COMPUTED_VALUE"""),856.0)</f>
        <v>856</v>
      </c>
      <c r="B857" s="2" t="str">
        <f>IFERROR(__xludf.DUMMYFUNCTION("""COMPUTED_VALUE"""),"Khimti Khola")</f>
        <v>Khimti Khola</v>
      </c>
      <c r="C857" s="2">
        <f>IFERROR(__xludf.DUMMYFUNCTION("""COMPUTED_VALUE"""),5.0)</f>
        <v>5</v>
      </c>
      <c r="D857" s="2" t="str">
        <f>IFERROR(__xludf.DUMMYFUNCTION("""COMPUTED_VALUE"""),"Khimti Khola")</f>
        <v>Khimti Khola</v>
      </c>
      <c r="E857" s="2">
        <f>IFERROR(__xludf.DUMMYFUNCTION("""COMPUTED_VALUE"""),2314.0)</f>
        <v>2314</v>
      </c>
      <c r="F857" s="3">
        <f>IFERROR(__xludf.DUMMYFUNCTION("""COMPUTED_VALUE"""),60530.0)</f>
        <v>60530</v>
      </c>
      <c r="G857" s="2" t="str">
        <f>IFERROR(__xludf.DUMMYFUNCTION("""COMPUTED_VALUE"""),"Lima Adhikari Lata Bhattarai")</f>
        <v>Lima Adhikari Lata Bhattarai</v>
      </c>
      <c r="H857" s="2" t="str">
        <f>IFERROR(__xludf.DUMMYFUNCTION("""COMPUTED_VALUE"""),"GPO Box no 11280 Kathmandu Tel 4376993")</f>
        <v>GPO Box no 11280 Kathmandu Tel 4376993</v>
      </c>
      <c r="I857" s="2" t="str">
        <f>IFERROR(__xludf.DUMMYFUNCTION("""COMPUTED_VALUE"""),"27o 34' 15""")</f>
        <v>27o 34' 15"</v>
      </c>
      <c r="J857" s="2" t="str">
        <f>IFERROR(__xludf.DUMMYFUNCTION("""COMPUTED_VALUE"""),"27o 35' 13""")</f>
        <v>27o 35' 13"</v>
      </c>
      <c r="K857" s="2" t="str">
        <f>IFERROR(__xludf.DUMMYFUNCTION("""COMPUTED_VALUE"""),"86o 11' 53""")</f>
        <v>86o 11' 53"</v>
      </c>
      <c r="L857" s="2" t="str">
        <f>IFERROR(__xludf.DUMMYFUNCTION("""COMPUTED_VALUE"""),"86o 14' 05""")</f>
        <v>86o 14' 05"</v>
      </c>
      <c r="M857" s="2" t="str">
        <f>IFERROR(__xludf.DUMMYFUNCTION("""COMPUTED_VALUE"""),"Jiri,Thulopatal (Dolakha) Rasanalu (Ramechhap)")</f>
        <v>Jiri,Thulopatal (Dolakha) Rasanalu (Ramechhap)</v>
      </c>
    </row>
    <row r="858">
      <c r="A858" s="2">
        <f>IFERROR(__xludf.DUMMYFUNCTION("""COMPUTED_VALUE"""),857.0)</f>
        <v>857</v>
      </c>
      <c r="B858" s="2" t="str">
        <f>IFERROR(__xludf.DUMMYFUNCTION("""COMPUTED_VALUE"""),"Mawa Khola SHP")</f>
        <v>Mawa Khola SHP</v>
      </c>
      <c r="C858" s="2">
        <f>IFERROR(__xludf.DUMMYFUNCTION("""COMPUTED_VALUE"""),0.9)</f>
        <v>0.9</v>
      </c>
      <c r="D858" s="2" t="str">
        <f>IFERROR(__xludf.DUMMYFUNCTION("""COMPUTED_VALUE"""),"Mawa")</f>
        <v>Mawa</v>
      </c>
      <c r="E858" s="2">
        <f>IFERROR(__xludf.DUMMYFUNCTION("""COMPUTED_VALUE"""),2368.0)</f>
        <v>2368</v>
      </c>
      <c r="F858" s="3">
        <f>IFERROR(__xludf.DUMMYFUNCTION("""COMPUTED_VALUE"""),60533.0)</f>
        <v>60533</v>
      </c>
      <c r="G858" s="2" t="str">
        <f>IFERROR(__xludf.DUMMYFUNCTION("""COMPUTED_VALUE"""),"Kavita Khadka, Manju Devi Subedi Ambika Dahal")</f>
        <v>Kavita Khadka, Manju Devi Subedi Ambika Dahal</v>
      </c>
      <c r="H858" s="2" t="str">
        <f>IFERROR(__xludf.DUMMYFUNCTION("""COMPUTED_VALUE"""),"Ilam")</f>
        <v>Ilam</v>
      </c>
      <c r="I858" s="2" t="str">
        <f>IFERROR(__xludf.DUMMYFUNCTION("""COMPUTED_VALUE"""),"26o 45' 00""")</f>
        <v>26o 45' 00"</v>
      </c>
      <c r="J858" s="2" t="str">
        <f>IFERROR(__xludf.DUMMYFUNCTION("""COMPUTED_VALUE"""),"26o 47' 30""")</f>
        <v>26o 47' 30"</v>
      </c>
      <c r="K858" s="2" t="str">
        <f>IFERROR(__xludf.DUMMYFUNCTION("""COMPUTED_VALUE"""),"87o 41' 34""")</f>
        <v>87o 41' 34"</v>
      </c>
      <c r="L858" s="2" t="str">
        <f>IFERROR(__xludf.DUMMYFUNCTION("""COMPUTED_VALUE"""),"87o 42' 30""")</f>
        <v>87o 42' 30"</v>
      </c>
      <c r="M858" s="2" t="str">
        <f>IFERROR(__xludf.DUMMYFUNCTION("""COMPUTED_VALUE"""),"Bajho (Ilam)")</f>
        <v>Bajho (Ilam)</v>
      </c>
    </row>
    <row r="859">
      <c r="A859" s="2">
        <f>IFERROR(__xludf.DUMMYFUNCTION("""COMPUTED_VALUE"""),858.0)</f>
        <v>858</v>
      </c>
      <c r="B859" s="2" t="str">
        <f>IFERROR(__xludf.DUMMYFUNCTION("""COMPUTED_VALUE"""),"Ratuwa Khola SHP")</f>
        <v>Ratuwa Khola SHP</v>
      </c>
      <c r="C859" s="2">
        <f>IFERROR(__xludf.DUMMYFUNCTION("""COMPUTED_VALUE"""),0.9)</f>
        <v>0.9</v>
      </c>
      <c r="D859" s="2" t="str">
        <f>IFERROR(__xludf.DUMMYFUNCTION("""COMPUTED_VALUE"""),"Ratuwa")</f>
        <v>Ratuwa</v>
      </c>
      <c r="E859" s="2">
        <f>IFERROR(__xludf.DUMMYFUNCTION("""COMPUTED_VALUE"""),2369.0)</f>
        <v>2369</v>
      </c>
      <c r="F859" s="3">
        <f>IFERROR(__xludf.DUMMYFUNCTION("""COMPUTED_VALUE"""),60533.0)</f>
        <v>60533</v>
      </c>
      <c r="G859" s="2" t="str">
        <f>IFERROR(__xludf.DUMMYFUNCTION("""COMPUTED_VALUE"""),"Kavita Khadka, Manju Devi Subedi Ambika Dahal")</f>
        <v>Kavita Khadka, Manju Devi Subedi Ambika Dahal</v>
      </c>
      <c r="H859" s="2" t="str">
        <f>IFERROR(__xludf.DUMMYFUNCTION("""COMPUTED_VALUE"""),"Ilam")</f>
        <v>Ilam</v>
      </c>
      <c r="I859" s="2" t="str">
        <f>IFERROR(__xludf.DUMMYFUNCTION("""COMPUTED_VALUE"""),"26o 43' 40""")</f>
        <v>26o 43' 40"</v>
      </c>
      <c r="J859" s="2" t="str">
        <f>IFERROR(__xludf.DUMMYFUNCTION("""COMPUTED_VALUE"""),"26o 47' 30""")</f>
        <v>26o 47' 30"</v>
      </c>
      <c r="K859" s="2" t="str">
        <f>IFERROR(__xludf.DUMMYFUNCTION("""COMPUTED_VALUE"""),"87o 42' 30""")</f>
        <v>87o 42' 30"</v>
      </c>
      <c r="L859" s="2" t="str">
        <f>IFERROR(__xludf.DUMMYFUNCTION("""COMPUTED_VALUE"""),"87o 44' 36""")</f>
        <v>87o 44' 36"</v>
      </c>
      <c r="M859" s="2" t="str">
        <f>IFERROR(__xludf.DUMMYFUNCTION("""COMPUTED_VALUE"""),"Bajho (Ilam)")</f>
        <v>Bajho (Ilam)</v>
      </c>
    </row>
    <row r="860">
      <c r="A860" s="2">
        <f>IFERROR(__xludf.DUMMYFUNCTION("""COMPUTED_VALUE"""),859.0)</f>
        <v>859</v>
      </c>
      <c r="B860" s="2" t="str">
        <f>IFERROR(__xludf.DUMMYFUNCTION("""COMPUTED_VALUE"""),"Lah Small")</f>
        <v>Lah Small</v>
      </c>
      <c r="C860" s="2">
        <f>IFERROR(__xludf.DUMMYFUNCTION("""COMPUTED_VALUE"""),1.0)</f>
        <v>1</v>
      </c>
      <c r="D860" s="2"/>
      <c r="E860" s="2">
        <f>IFERROR(__xludf.DUMMYFUNCTION("""COMPUTED_VALUE"""),2373.0)</f>
        <v>2373</v>
      </c>
      <c r="F860" s="3">
        <f>IFERROR(__xludf.DUMMYFUNCTION("""COMPUTED_VALUE"""),60533.0)</f>
        <v>60533</v>
      </c>
      <c r="G860" s="2" t="str">
        <f>IFERROR(__xludf.DUMMYFUNCTION("""COMPUTED_VALUE"""),"Gopal Sharma, Gokarn Bahadur Gharti Magar, Sangarachana Wagle")</f>
        <v>Gopal Sharma, Gokarn Bahadur Gharti Magar, Sangarachana Wagle</v>
      </c>
      <c r="H860" s="2" t="str">
        <f>IFERROR(__xludf.DUMMYFUNCTION("""COMPUTED_VALUE"""),"Salyan, Phone 97411087828 (Gopal)")</f>
        <v>Salyan, Phone 97411087828 (Gopal)</v>
      </c>
      <c r="I860" s="2" t="str">
        <f>IFERROR(__xludf.DUMMYFUNCTION("""COMPUTED_VALUE"""),"28o 34' 36""")</f>
        <v>28o 34' 36"</v>
      </c>
      <c r="J860" s="2" t="str">
        <f>IFERROR(__xludf.DUMMYFUNCTION("""COMPUTED_VALUE"""),"28o 35' 40""")</f>
        <v>28o 35' 40"</v>
      </c>
      <c r="K860" s="2" t="str">
        <f>IFERROR(__xludf.DUMMYFUNCTION("""COMPUTED_VALUE"""),"82o 26' 04""")</f>
        <v>82o 26' 04"</v>
      </c>
      <c r="L860" s="2" t="str">
        <f>IFERROR(__xludf.DUMMYFUNCTION("""COMPUTED_VALUE"""),"82o 26' 35""")</f>
        <v>82o 26' 35"</v>
      </c>
      <c r="M860" s="2" t="str">
        <f>IFERROR(__xludf.DUMMYFUNCTION("""COMPUTED_VALUE"""),"Bhalakachha (Rukum)")</f>
        <v>Bhalakachha (Rukum)</v>
      </c>
    </row>
    <row r="861">
      <c r="A861" s="2">
        <f>IFERROR(__xludf.DUMMYFUNCTION("""COMPUTED_VALUE"""),860.0)</f>
        <v>860</v>
      </c>
      <c r="B861" s="2" t="str">
        <f>IFERROR(__xludf.DUMMYFUNCTION("""COMPUTED_VALUE"""),"Chhapra Small")</f>
        <v>Chhapra Small</v>
      </c>
      <c r="C861" s="2">
        <f>IFERROR(__xludf.DUMMYFUNCTION("""COMPUTED_VALUE"""),1.0)</f>
        <v>1</v>
      </c>
      <c r="D861" s="2" t="str">
        <f>IFERROR(__xludf.DUMMYFUNCTION("""COMPUTED_VALUE"""),"Chhapra")</f>
        <v>Chhapra</v>
      </c>
      <c r="E861" s="2">
        <f>IFERROR(__xludf.DUMMYFUNCTION("""COMPUTED_VALUE"""),2374.0)</f>
        <v>2374</v>
      </c>
      <c r="F861" s="3">
        <f>IFERROR(__xludf.DUMMYFUNCTION("""COMPUTED_VALUE"""),60533.0)</f>
        <v>60533</v>
      </c>
      <c r="G861" s="2" t="str">
        <f>IFERROR(__xludf.DUMMYFUNCTION("""COMPUTED_VALUE"""),"Gopal Sharma, Gokarn Bahadur Gharti Magar, Sangarachana Wagle")</f>
        <v>Gopal Sharma, Gokarn Bahadur Gharti Magar, Sangarachana Wagle</v>
      </c>
      <c r="H861" s="2" t="str">
        <f>IFERROR(__xludf.DUMMYFUNCTION("""COMPUTED_VALUE"""),"Salyan, Phone 9741087828")</f>
        <v>Salyan, Phone 9741087828</v>
      </c>
      <c r="I861" s="2" t="str">
        <f>IFERROR(__xludf.DUMMYFUNCTION("""COMPUTED_VALUE"""),"28o 39' 39""")</f>
        <v>28o 39' 39"</v>
      </c>
      <c r="J861" s="2" t="str">
        <f>IFERROR(__xludf.DUMMYFUNCTION("""COMPUTED_VALUE"""),"28o 41' 17""")</f>
        <v>28o 41' 17"</v>
      </c>
      <c r="K861" s="2" t="str">
        <f>IFERROR(__xludf.DUMMYFUNCTION("""COMPUTED_VALUE"""),"82o 30' 40""")</f>
        <v>82o 30' 40"</v>
      </c>
      <c r="L861" s="2" t="str">
        <f>IFERROR(__xludf.DUMMYFUNCTION("""COMPUTED_VALUE"""),"82o 31' 18""")</f>
        <v>82o 31' 18"</v>
      </c>
      <c r="M861" s="2" t="str">
        <f>IFERROR(__xludf.DUMMYFUNCTION("""COMPUTED_VALUE"""),"Bapsekot (Rukum)")</f>
        <v>Bapsekot (Rukum)</v>
      </c>
    </row>
    <row r="862">
      <c r="A862" s="2">
        <f>IFERROR(__xludf.DUMMYFUNCTION("""COMPUTED_VALUE"""),861.0)</f>
        <v>861</v>
      </c>
      <c r="B862" s="2" t="str">
        <f>IFERROR(__xludf.DUMMYFUNCTION("""COMPUTED_VALUE"""),"Duli Small")</f>
        <v>Duli Small</v>
      </c>
      <c r="C862" s="2">
        <f>IFERROR(__xludf.DUMMYFUNCTION("""COMPUTED_VALUE"""),1.0)</f>
        <v>1</v>
      </c>
      <c r="D862" s="2"/>
      <c r="E862" s="2">
        <f>IFERROR(__xludf.DUMMYFUNCTION("""COMPUTED_VALUE"""),2375.0)</f>
        <v>2375</v>
      </c>
      <c r="F862" s="3">
        <f>IFERROR(__xludf.DUMMYFUNCTION("""COMPUTED_VALUE"""),60533.0)</f>
        <v>60533</v>
      </c>
      <c r="G862" s="2" t="str">
        <f>IFERROR(__xludf.DUMMYFUNCTION("""COMPUTED_VALUE"""),"Gopal Sharma, Gokarn Bahadur Gharti Magar, Sangrachana Wagle")</f>
        <v>Gopal Sharma, Gokarn Bahadur Gharti Magar, Sangrachana Wagle</v>
      </c>
      <c r="H862" s="2" t="str">
        <f>IFERROR(__xludf.DUMMYFUNCTION("""COMPUTED_VALUE"""),"Salyan, Phone 9741087828")</f>
        <v>Salyan, Phone 9741087828</v>
      </c>
      <c r="I862" s="2" t="str">
        <f>IFERROR(__xludf.DUMMYFUNCTION("""COMPUTED_VALUE"""),"28o 40' 11""")</f>
        <v>28o 40' 11"</v>
      </c>
      <c r="J862" s="2" t="str">
        <f>IFERROR(__xludf.DUMMYFUNCTION("""COMPUTED_VALUE"""),"28o 42' 10""")</f>
        <v>28o 42' 10"</v>
      </c>
      <c r="K862" s="2" t="str">
        <f>IFERROR(__xludf.DUMMYFUNCTION("""COMPUTED_VALUE"""),"82o 26' 17""")</f>
        <v>82o 26' 17"</v>
      </c>
      <c r="L862" s="2" t="str">
        <f>IFERROR(__xludf.DUMMYFUNCTION("""COMPUTED_VALUE"""),"82o 28' 20""")</f>
        <v>82o 28' 20"</v>
      </c>
      <c r="M862" s="2" t="str">
        <f>IFERROR(__xludf.DUMMYFUNCTION("""COMPUTED_VALUE"""),"Duli (Rukum)")</f>
        <v>Duli (Rukum)</v>
      </c>
    </row>
    <row r="863">
      <c r="A863" s="2">
        <f>IFERROR(__xludf.DUMMYFUNCTION("""COMPUTED_VALUE"""),862.0)</f>
        <v>862</v>
      </c>
      <c r="B863" s="2" t="str">
        <f>IFERROR(__xludf.DUMMYFUNCTION("""COMPUTED_VALUE"""),"Sakhu Small")</f>
        <v>Sakhu Small</v>
      </c>
      <c r="C863" s="2">
        <f>IFERROR(__xludf.DUMMYFUNCTION("""COMPUTED_VALUE"""),1.0)</f>
        <v>1</v>
      </c>
      <c r="D863" s="2" t="str">
        <f>IFERROR(__xludf.DUMMYFUNCTION("""COMPUTED_VALUE"""),"sankhu")</f>
        <v>sankhu</v>
      </c>
      <c r="E863" s="2">
        <f>IFERROR(__xludf.DUMMYFUNCTION("""COMPUTED_VALUE"""),2376.0)</f>
        <v>2376</v>
      </c>
      <c r="F863" s="3">
        <f>IFERROR(__xludf.DUMMYFUNCTION("""COMPUTED_VALUE"""),60533.0)</f>
        <v>60533</v>
      </c>
      <c r="G863" s="2" t="str">
        <f>IFERROR(__xludf.DUMMYFUNCTION("""COMPUTED_VALUE"""),"Gopal Sharma, Gokarn Bahadur Gharti Magar, Sangarachana Wagle")</f>
        <v>Gopal Sharma, Gokarn Bahadur Gharti Magar, Sangarachana Wagle</v>
      </c>
      <c r="H863" s="2" t="str">
        <f>IFERROR(__xludf.DUMMYFUNCTION("""COMPUTED_VALUE"""),"Salyan, Phone 9741087828 ( Gopal)")</f>
        <v>Salyan, Phone 9741087828 ( Gopal)</v>
      </c>
      <c r="I863" s="2" t="str">
        <f>IFERROR(__xludf.DUMMYFUNCTION("""COMPUTED_VALUE"""),"28o 36' 06""")</f>
        <v>28o 36' 06"</v>
      </c>
      <c r="J863" s="2" t="str">
        <f>IFERROR(__xludf.DUMMYFUNCTION("""COMPUTED_VALUE"""),"28o 36' 56""")</f>
        <v>28o 36' 56"</v>
      </c>
      <c r="K863" s="2" t="str">
        <f>IFERROR(__xludf.DUMMYFUNCTION("""COMPUTED_VALUE"""),"82o 26' 25""")</f>
        <v>82o 26' 25"</v>
      </c>
      <c r="L863" s="2" t="str">
        <f>IFERROR(__xludf.DUMMYFUNCTION("""COMPUTED_VALUE"""),"82o 28' 42""")</f>
        <v>82o 28' 42"</v>
      </c>
      <c r="M863" s="2" t="str">
        <f>IFERROR(__xludf.DUMMYFUNCTION("""COMPUTED_VALUE"""),"Bhalakachha (Rukum)")</f>
        <v>Bhalakachha (Rukum)</v>
      </c>
    </row>
    <row r="864">
      <c r="A864" s="2">
        <f>IFERROR(__xludf.DUMMYFUNCTION("""COMPUTED_VALUE"""),863.0)</f>
        <v>863</v>
      </c>
      <c r="B864" s="2" t="str">
        <f>IFERROR(__xludf.DUMMYFUNCTION("""COMPUTED_VALUE"""),"Khorunga Khola HPP")</f>
        <v>Khorunga Khola HPP</v>
      </c>
      <c r="C864" s="2">
        <f>IFERROR(__xludf.DUMMYFUNCTION("""COMPUTED_VALUE"""),0.999)</f>
        <v>0.999</v>
      </c>
      <c r="D864" s="2" t="str">
        <f>IFERROR(__xludf.DUMMYFUNCTION("""COMPUTED_VALUE"""),"Khoranga Khola")</f>
        <v>Khoranga Khola</v>
      </c>
      <c r="E864" s="2">
        <f>IFERROR(__xludf.DUMMYFUNCTION("""COMPUTED_VALUE"""),2380.0)</f>
        <v>2380</v>
      </c>
      <c r="F864" s="3">
        <f>IFERROR(__xludf.DUMMYFUNCTION("""COMPUTED_VALUE"""),60534.0)</f>
        <v>60534</v>
      </c>
      <c r="G864" s="2" t="str">
        <f>IFERROR(__xludf.DUMMYFUNCTION("""COMPUTED_VALUE"""),"Singh Bahini Electric Pvt Ltd")</f>
        <v>Singh Bahini Electric Pvt Ltd</v>
      </c>
      <c r="H864" s="2" t="str">
        <f>IFERROR(__xludf.DUMMYFUNCTION("""COMPUTED_VALUE"""),"PO BOX: 7117 Kathmandu, Tel: 026-460268")</f>
        <v>PO BOX: 7117 Kathmandu, Tel: 026-460268</v>
      </c>
      <c r="I864" s="2" t="str">
        <f>IFERROR(__xludf.DUMMYFUNCTION("""COMPUTED_VALUE"""),"00o 00' 00""")</f>
        <v>00o 00' 00"</v>
      </c>
      <c r="J864" s="2" t="str">
        <f>IFERROR(__xludf.DUMMYFUNCTION("""COMPUTED_VALUE"""),"00o 00' 00""")</f>
        <v>00o 00' 00"</v>
      </c>
      <c r="K864" s="2" t="str">
        <f>IFERROR(__xludf.DUMMYFUNCTION("""COMPUTED_VALUE"""),"00o 00' 00""")</f>
        <v>00o 00' 00"</v>
      </c>
      <c r="L864" s="2" t="str">
        <f>IFERROR(__xludf.DUMMYFUNCTION("""COMPUTED_VALUE"""),"00o 00' 00""")</f>
        <v>00o 00' 00"</v>
      </c>
      <c r="M864" s="2" t="str">
        <f>IFERROR(__xludf.DUMMYFUNCTION("""COMPUTED_VALUE"""),"Jaljale,Tamfula (Terhathum)")</f>
        <v>Jaljale,Tamfula (Terhathum)</v>
      </c>
    </row>
    <row r="865">
      <c r="A865" s="2">
        <f>IFERROR(__xludf.DUMMYFUNCTION("""COMPUTED_VALUE"""),864.0)</f>
        <v>864</v>
      </c>
      <c r="B865" s="2" t="str">
        <f>IFERROR(__xludf.DUMMYFUNCTION("""COMPUTED_VALUE"""),"Roshi Khola")</f>
        <v>Roshi Khola</v>
      </c>
      <c r="C865" s="2">
        <f>IFERROR(__xludf.DUMMYFUNCTION("""COMPUTED_VALUE"""),5.0)</f>
        <v>5</v>
      </c>
      <c r="D865" s="2" t="str">
        <f>IFERROR(__xludf.DUMMYFUNCTION("""COMPUTED_VALUE"""),"Roshi")</f>
        <v>Roshi</v>
      </c>
      <c r="E865" s="2">
        <f>IFERROR(__xludf.DUMMYFUNCTION("""COMPUTED_VALUE"""),2383.0)</f>
        <v>2383</v>
      </c>
      <c r="F865" s="3">
        <f>IFERROR(__xludf.DUMMYFUNCTION("""COMPUTED_VALUE"""),60534.0)</f>
        <v>60534</v>
      </c>
      <c r="G865" s="2" t="str">
        <f>IFERROR(__xludf.DUMMYFUNCTION("""COMPUTED_VALUE"""),"Om Energy Pvt. Ltd.")</f>
        <v>Om Energy Pvt. Ltd.</v>
      </c>
      <c r="H865" s="2" t="str">
        <f>IFERROR(__xludf.DUMMYFUNCTION("""COMPUTED_VALUE"""),"Putalisadak, Kathmandu")</f>
        <v>Putalisadak, Kathmandu</v>
      </c>
      <c r="I865" s="2" t="str">
        <f>IFERROR(__xludf.DUMMYFUNCTION("""COMPUTED_VALUE"""),"27o 26' 09""")</f>
        <v>27o 26' 09"</v>
      </c>
      <c r="J865" s="2" t="str">
        <f>IFERROR(__xludf.DUMMYFUNCTION("""COMPUTED_VALUE"""),"27o 29' 06""")</f>
        <v>27o 29' 06"</v>
      </c>
      <c r="K865" s="2" t="str">
        <f>IFERROR(__xludf.DUMMYFUNCTION("""COMPUTED_VALUE"""),"85o 45' 00""")</f>
        <v>85o 45' 00"</v>
      </c>
      <c r="L865" s="2" t="str">
        <f>IFERROR(__xludf.DUMMYFUNCTION("""COMPUTED_VALUE"""),"85o 48' 37""")</f>
        <v>85o 48' 37"</v>
      </c>
      <c r="M865" s="2" t="str">
        <f>IFERROR(__xludf.DUMMYFUNCTION("""COMPUTED_VALUE"""),"Machchhegaun (Kavrepalanchok)")</f>
        <v>Machchhegaun (Kavrepalanchok)</v>
      </c>
    </row>
    <row r="866">
      <c r="A866" s="2">
        <f>IFERROR(__xludf.DUMMYFUNCTION("""COMPUTED_VALUE"""),865.0)</f>
        <v>865</v>
      </c>
      <c r="B866" s="2" t="str">
        <f>IFERROR(__xludf.DUMMYFUNCTION("""COMPUTED_VALUE"""),"Deumai Gajurmukhi Khola HPP")</f>
        <v>Deumai Gajurmukhi Khola HPP</v>
      </c>
      <c r="C866" s="2">
        <f>IFERROR(__xludf.DUMMYFUNCTION("""COMPUTED_VALUE"""),5.0)</f>
        <v>5</v>
      </c>
      <c r="D866" s="2" t="str">
        <f>IFERROR(__xludf.DUMMYFUNCTION("""COMPUTED_VALUE"""),"Deumai Gajurmukhi Khola")</f>
        <v>Deumai Gajurmukhi Khola</v>
      </c>
      <c r="E866" s="2">
        <f>IFERROR(__xludf.DUMMYFUNCTION("""COMPUTED_VALUE"""),2384.0)</f>
        <v>2384</v>
      </c>
      <c r="F866" s="3">
        <f>IFERROR(__xludf.DUMMYFUNCTION("""COMPUTED_VALUE"""),60534.0)</f>
        <v>60534</v>
      </c>
      <c r="G866" s="2" t="str">
        <f>IFERROR(__xludf.DUMMYFUNCTION("""COMPUTED_VALUE"""),"Krishna Prasad Dahal, Manima Sharma Neupane")</f>
        <v>Krishna Prasad Dahal, Manima Sharma Neupane</v>
      </c>
      <c r="H866" s="2" t="str">
        <f>IFERROR(__xludf.DUMMYFUNCTION("""COMPUTED_VALUE"""),"Sankhuwasabha , Morang")</f>
        <v>Sankhuwasabha , Morang</v>
      </c>
      <c r="I866" s="2" t="str">
        <f>IFERROR(__xludf.DUMMYFUNCTION("""COMPUTED_VALUE"""),"26o 56' 30""")</f>
        <v>26o 56' 30"</v>
      </c>
      <c r="J866" s="2" t="str">
        <f>IFERROR(__xludf.DUMMYFUNCTION("""COMPUTED_VALUE"""),"26o 57' 30""")</f>
        <v>26o 57' 30"</v>
      </c>
      <c r="K866" s="2" t="str">
        <f>IFERROR(__xludf.DUMMYFUNCTION("""COMPUTED_VALUE"""),"87o 47' 30""")</f>
        <v>87o 47' 30"</v>
      </c>
      <c r="L866" s="2" t="str">
        <f>IFERROR(__xludf.DUMMYFUNCTION("""COMPUTED_VALUE"""),"87o 50' 45""")</f>
        <v>87o 50' 45"</v>
      </c>
      <c r="M866" s="2" t="str">
        <f>IFERROR(__xludf.DUMMYFUNCTION("""COMPUTED_VALUE"""),"Mangalbare,Ektappa (Ilam)")</f>
        <v>Mangalbare,Ektappa (Ilam)</v>
      </c>
    </row>
    <row r="867">
      <c r="A867" s="2">
        <f>IFERROR(__xludf.DUMMYFUNCTION("""COMPUTED_VALUE"""),866.0)</f>
        <v>866</v>
      </c>
      <c r="B867" s="2" t="str">
        <f>IFERROR(__xludf.DUMMYFUNCTION("""COMPUTED_VALUE"""),"Idi Khola HPP")</f>
        <v>Idi Khola HPP</v>
      </c>
      <c r="C867" s="2">
        <f>IFERROR(__xludf.DUMMYFUNCTION("""COMPUTED_VALUE"""),0.995)</f>
        <v>0.995</v>
      </c>
      <c r="D867" s="2" t="str">
        <f>IFERROR(__xludf.DUMMYFUNCTION("""COMPUTED_VALUE"""),"Idi Khola")</f>
        <v>Idi Khola</v>
      </c>
      <c r="E867" s="2">
        <f>IFERROR(__xludf.DUMMYFUNCTION("""COMPUTED_VALUE"""),2386.0)</f>
        <v>2386</v>
      </c>
      <c r="F867" s="3">
        <f>IFERROR(__xludf.DUMMYFUNCTION("""COMPUTED_VALUE"""),60534.0)</f>
        <v>60534</v>
      </c>
      <c r="G867" s="2" t="str">
        <f>IFERROR(__xludf.DUMMYFUNCTION("""COMPUTED_VALUE"""),"Idi Khola Energy Pvt Ltd")</f>
        <v>Idi Khola Energy Pvt Ltd</v>
      </c>
      <c r="H867" s="2" t="str">
        <f>IFERROR(__xludf.DUMMYFUNCTION("""COMPUTED_VALUE"""),"Pokhra, Kaski")</f>
        <v>Pokhra, Kaski</v>
      </c>
      <c r="I867" s="2" t="str">
        <f>IFERROR(__xludf.DUMMYFUNCTION("""COMPUTED_VALUE"""),"28o 13' 20""")</f>
        <v>28o 13' 20"</v>
      </c>
      <c r="J867" s="2" t="str">
        <f>IFERROR(__xludf.DUMMYFUNCTION("""COMPUTED_VALUE"""),"28o 14' 35""")</f>
        <v>28o 14' 35"</v>
      </c>
      <c r="K867" s="2" t="str">
        <f>IFERROR(__xludf.DUMMYFUNCTION("""COMPUTED_VALUE"""),"84o 06' 25""")</f>
        <v>84o 06' 25"</v>
      </c>
      <c r="L867" s="2" t="str">
        <f>IFERROR(__xludf.DUMMYFUNCTION("""COMPUTED_VALUE"""),"84o 07' 28""")</f>
        <v>84o 07' 28"</v>
      </c>
      <c r="M867" s="2" t="str">
        <f>IFERROR(__xludf.DUMMYFUNCTION("""COMPUTED_VALUE"""),"Saimrang,Thumakodada (Kaski)")</f>
        <v>Saimrang,Thumakodada (Kaski)</v>
      </c>
    </row>
    <row r="868">
      <c r="A868" s="2">
        <f>IFERROR(__xludf.DUMMYFUNCTION("""COMPUTED_VALUE"""),867.0)</f>
        <v>867</v>
      </c>
      <c r="B868" s="2" t="str">
        <f>IFERROR(__xludf.DUMMYFUNCTION("""COMPUTED_VALUE"""),"Kolfu Khola HPP")</f>
        <v>Kolfu Khola HPP</v>
      </c>
      <c r="C868" s="2">
        <f>IFERROR(__xludf.DUMMYFUNCTION("""COMPUTED_VALUE"""),0.9)</f>
        <v>0.9</v>
      </c>
      <c r="D868" s="2" t="str">
        <f>IFERROR(__xludf.DUMMYFUNCTION("""COMPUTED_VALUE"""),"Kolpu")</f>
        <v>Kolpu</v>
      </c>
      <c r="E868" s="2">
        <f>IFERROR(__xludf.DUMMYFUNCTION("""COMPUTED_VALUE"""),2387.0)</f>
        <v>2387</v>
      </c>
      <c r="F868" s="3">
        <f>IFERROR(__xludf.DUMMYFUNCTION("""COMPUTED_VALUE"""),60534.0)</f>
        <v>60534</v>
      </c>
      <c r="G868" s="2" t="str">
        <f>IFERROR(__xludf.DUMMYFUNCTION("""COMPUTED_VALUE"""),"Rukma Kumar Dhungana , Ram Krishna Acharya")</f>
        <v>Rukma Kumar Dhungana , Ram Krishna Acharya</v>
      </c>
      <c r="H868" s="2" t="str">
        <f>IFERROR(__xludf.DUMMYFUNCTION("""COMPUTED_VALUE"""),"Jiing-4 Nuwakot, Kevalpur-8 Dhading")</f>
        <v>Jiing-4 Nuwakot, Kevalpur-8 Dhading</v>
      </c>
      <c r="I868" s="2" t="str">
        <f>IFERROR(__xludf.DUMMYFUNCTION("""COMPUTED_VALUE"""),"27o 46' 30""")</f>
        <v>27o 46' 30"</v>
      </c>
      <c r="J868" s="2" t="str">
        <f>IFERROR(__xludf.DUMMYFUNCTION("""COMPUTED_VALUE"""),"27o 47' 30""")</f>
        <v>27o 47' 30"</v>
      </c>
      <c r="K868" s="2" t="str">
        <f>IFERROR(__xludf.DUMMYFUNCTION("""COMPUTED_VALUE"""),"85o 04' 30""")</f>
        <v>85o 04' 30"</v>
      </c>
      <c r="L868" s="2" t="str">
        <f>IFERROR(__xludf.DUMMYFUNCTION("""COMPUTED_VALUE"""),"85o 07' 30""")</f>
        <v>85o 07' 30"</v>
      </c>
      <c r="M868" s="2" t="str">
        <f>IFERROR(__xludf.DUMMYFUNCTION("""COMPUTED_VALUE"""),"Kebalpur (Dhading) Kumari (Nuwakot)")</f>
        <v>Kebalpur (Dhading) Kumari (Nuwakot)</v>
      </c>
    </row>
    <row r="869">
      <c r="A869" s="2">
        <f>IFERROR(__xludf.DUMMYFUNCTION("""COMPUTED_VALUE"""),868.0)</f>
        <v>868</v>
      </c>
      <c r="B869" s="2" t="str">
        <f>IFERROR(__xludf.DUMMYFUNCTION("""COMPUTED_VALUE"""),"Falakhu Khola SHP")</f>
        <v>Falakhu Khola SHP</v>
      </c>
      <c r="C869" s="2">
        <f>IFERROR(__xludf.DUMMYFUNCTION("""COMPUTED_VALUE"""),5.0)</f>
        <v>5</v>
      </c>
      <c r="D869" s="2" t="str">
        <f>IFERROR(__xludf.DUMMYFUNCTION("""COMPUTED_VALUE"""),"Falakhu Khola")</f>
        <v>Falakhu Khola</v>
      </c>
      <c r="E869" s="2">
        <f>IFERROR(__xludf.DUMMYFUNCTION("""COMPUTED_VALUE"""),2395.0)</f>
        <v>2395</v>
      </c>
      <c r="F869" s="3">
        <f>IFERROR(__xludf.DUMMYFUNCTION("""COMPUTED_VALUE"""),60534.0)</f>
        <v>60534</v>
      </c>
      <c r="G869" s="2" t="str">
        <f>IFERROR(__xludf.DUMMYFUNCTION("""COMPUTED_VALUE"""),"Raju Galan Tamang, Ganesh Bahadur Thing Tamang")</f>
        <v>Raju Galan Tamang, Ganesh Bahadur Thing Tamang</v>
      </c>
      <c r="H869" s="2" t="str">
        <f>IFERROR(__xludf.DUMMYFUNCTION("""COMPUTED_VALUE"""),"Bhorle-5, Rasuwa , 9841319384,9851106270")</f>
        <v>Bhorle-5, Rasuwa , 9841319384,9851106270</v>
      </c>
      <c r="I869" s="2" t="str">
        <f>IFERROR(__xludf.DUMMYFUNCTION("""COMPUTED_VALUE"""),"27o 57' 30""")</f>
        <v>27o 57' 30"</v>
      </c>
      <c r="J869" s="2" t="str">
        <f>IFERROR(__xludf.DUMMYFUNCTION("""COMPUTED_VALUE"""),"28o 00' 00""")</f>
        <v>28o 00' 00"</v>
      </c>
      <c r="K869" s="2" t="str">
        <f>IFERROR(__xludf.DUMMYFUNCTION("""COMPUTED_VALUE"""),"85o 14' 27""")</f>
        <v>85o 14' 27"</v>
      </c>
      <c r="L869" s="2" t="str">
        <f>IFERROR(__xludf.DUMMYFUNCTION("""COMPUTED_VALUE"""),"85o 16' 51""")</f>
        <v>85o 16' 51"</v>
      </c>
      <c r="M869" s="2" t="str">
        <f>IFERROR(__xludf.DUMMYFUNCTION("""COMPUTED_VALUE"""),"Bhorle (Rasuwa)")</f>
        <v>Bhorle (Rasuwa)</v>
      </c>
    </row>
    <row r="870">
      <c r="A870" s="2">
        <f>IFERROR(__xludf.DUMMYFUNCTION("""COMPUTED_VALUE"""),869.0)</f>
        <v>869</v>
      </c>
      <c r="B870" s="2" t="str">
        <f>IFERROR(__xludf.DUMMYFUNCTION("""COMPUTED_VALUE"""),"Badigd Bagaha SHP")</f>
        <v>Badigd Bagaha SHP</v>
      </c>
      <c r="C870" s="2">
        <f>IFERROR(__xludf.DUMMYFUNCTION("""COMPUTED_VALUE"""),0.3)</f>
        <v>0.3</v>
      </c>
      <c r="D870" s="2" t="str">
        <f>IFERROR(__xludf.DUMMYFUNCTION("""COMPUTED_VALUE"""),"Badigad")</f>
        <v>Badigad</v>
      </c>
      <c r="E870" s="2">
        <f>IFERROR(__xludf.DUMMYFUNCTION("""COMPUTED_VALUE"""),2411.0)</f>
        <v>2411</v>
      </c>
      <c r="F870" s="3">
        <f>IFERROR(__xludf.DUMMYFUNCTION("""COMPUTED_VALUE"""),60535.0)</f>
        <v>60535</v>
      </c>
      <c r="G870" s="2" t="str">
        <f>IFERROR(__xludf.DUMMYFUNCTION("""COMPUTED_VALUE"""),"Kajiman Gauchan")</f>
        <v>Kajiman Gauchan</v>
      </c>
      <c r="H870" s="2">
        <f>IFERROR(__xludf.DUMMYFUNCTION("""COMPUTED_VALUE"""),9.851070202E9)</f>
        <v>9851070202</v>
      </c>
      <c r="I870" s="2" t="str">
        <f>IFERROR(__xludf.DUMMYFUNCTION("""COMPUTED_VALUE"""),"28o 14' 35""")</f>
        <v>28o 14' 35"</v>
      </c>
      <c r="J870" s="2" t="str">
        <f>IFERROR(__xludf.DUMMYFUNCTION("""COMPUTED_VALUE"""),"28o 15' 40""")</f>
        <v>28o 15' 40"</v>
      </c>
      <c r="K870" s="2" t="str">
        <f>IFERROR(__xludf.DUMMYFUNCTION("""COMPUTED_VALUE"""),"83o 11' 45""")</f>
        <v>83o 11' 45"</v>
      </c>
      <c r="L870" s="2" t="str">
        <f>IFERROR(__xludf.DUMMYFUNCTION("""COMPUTED_VALUE"""),"83o 13' 10""")</f>
        <v>83o 13' 10"</v>
      </c>
      <c r="M870" s="2" t="str">
        <f>IFERROR(__xludf.DUMMYFUNCTION("""COMPUTED_VALUE"""),"Neta (Gulmi)")</f>
        <v>Neta (Gulmi)</v>
      </c>
    </row>
    <row r="871">
      <c r="A871" s="2">
        <f>IFERROR(__xludf.DUMMYFUNCTION("""COMPUTED_VALUE"""),870.0)</f>
        <v>870</v>
      </c>
      <c r="B871" s="2" t="str">
        <f>IFERROR(__xludf.DUMMYFUNCTION("""COMPUTED_VALUE"""),"Humla Karnali-A HPP")</f>
        <v>Humla Karnali-A HPP</v>
      </c>
      <c r="C871" s="2">
        <f>IFERROR(__xludf.DUMMYFUNCTION("""COMPUTED_VALUE"""),290.0)</f>
        <v>290</v>
      </c>
      <c r="D871" s="2" t="str">
        <f>IFERROR(__xludf.DUMMYFUNCTION("""COMPUTED_VALUE"""),"Humla Karnali")</f>
        <v>Humla Karnali</v>
      </c>
      <c r="E871" s="2">
        <f>IFERROR(__xludf.DUMMYFUNCTION("""COMPUTED_VALUE"""),2415.0)</f>
        <v>2415</v>
      </c>
      <c r="F871" s="3">
        <f>IFERROR(__xludf.DUMMYFUNCTION("""COMPUTED_VALUE"""),60535.0)</f>
        <v>60535</v>
      </c>
      <c r="G871" s="2" t="str">
        <f>IFERROR(__xludf.DUMMYFUNCTION("""COMPUTED_VALUE"""),"Hula Karnali Power Company Pvt Ltd")</f>
        <v>Hula Karnali Power Company Pvt Ltd</v>
      </c>
      <c r="H871" s="2" t="str">
        <f>IFERROR(__xludf.DUMMYFUNCTION("""COMPUTED_VALUE"""),"Kumaripati-20 aitpur.Tel: 9851021759")</f>
        <v>Kumaripati-20 aitpur.Tel: 9851021759</v>
      </c>
      <c r="I871" s="2" t="str">
        <f>IFERROR(__xludf.DUMMYFUNCTION("""COMPUTED_VALUE"""),"29o 40' 00""")</f>
        <v>29o 40' 00"</v>
      </c>
      <c r="J871" s="2" t="str">
        <f>IFERROR(__xludf.DUMMYFUNCTION("""COMPUTED_VALUE"""),"29o 47' 15""")</f>
        <v>29o 47' 15"</v>
      </c>
      <c r="K871" s="2" t="str">
        <f>IFERROR(__xludf.DUMMYFUNCTION("""COMPUTED_VALUE"""),"81o 56' 15""")</f>
        <v>81o 56' 15"</v>
      </c>
      <c r="L871" s="2" t="str">
        <f>IFERROR(__xludf.DUMMYFUNCTION("""COMPUTED_VALUE"""),"82o 02' 00""")</f>
        <v>82o 02' 00"</v>
      </c>
      <c r="M871" s="2" t="str">
        <f>IFERROR(__xludf.DUMMYFUNCTION("""COMPUTED_VALUE"""),"Gothi,Jaur (Humla)")</f>
        <v>Gothi,Jaur (Humla)</v>
      </c>
    </row>
    <row r="872">
      <c r="A872" s="2">
        <f>IFERROR(__xludf.DUMMYFUNCTION("""COMPUTED_VALUE"""),871.0)</f>
        <v>871</v>
      </c>
      <c r="B872" s="2" t="str">
        <f>IFERROR(__xludf.DUMMYFUNCTION("""COMPUTED_VALUE"""),"Manahari Khoa HPP")</f>
        <v>Manahari Khoa HPP</v>
      </c>
      <c r="C872" s="2">
        <f>IFERROR(__xludf.DUMMYFUNCTION("""COMPUTED_VALUE"""),15.0)</f>
        <v>15</v>
      </c>
      <c r="D872" s="2" t="str">
        <f>IFERROR(__xludf.DUMMYFUNCTION("""COMPUTED_VALUE"""),"Manahari")</f>
        <v>Manahari</v>
      </c>
      <c r="E872" s="2">
        <f>IFERROR(__xludf.DUMMYFUNCTION("""COMPUTED_VALUE"""),2462.0)</f>
        <v>2462</v>
      </c>
      <c r="F872" s="3">
        <f>IFERROR(__xludf.DUMMYFUNCTION("""COMPUTED_VALUE"""),60538.0)</f>
        <v>60538</v>
      </c>
      <c r="G872" s="2" t="str">
        <f>IFERROR(__xludf.DUMMYFUNCTION("""COMPUTED_VALUE"""),"Indradhanush Power Product Pvt Ltd")</f>
        <v>Indradhanush Power Product Pvt Ltd</v>
      </c>
      <c r="H872" s="2" t="str">
        <f>IFERROR(__xludf.DUMMYFUNCTION("""COMPUTED_VALUE"""),"Kathmandu, PO Box: 23892 Tel; 01-2325110")</f>
        <v>Kathmandu, PO Box: 23892 Tel; 01-2325110</v>
      </c>
      <c r="I872" s="2" t="str">
        <f>IFERROR(__xludf.DUMMYFUNCTION("""COMPUTED_VALUE"""),"27o 34' 25""")</f>
        <v>27o 34' 25"</v>
      </c>
      <c r="J872" s="2" t="str">
        <f>IFERROR(__xludf.DUMMYFUNCTION("""COMPUTED_VALUE"""),"27o 40' 00""")</f>
        <v>27o 40' 00"</v>
      </c>
      <c r="K872" s="2" t="str">
        <f>IFERROR(__xludf.DUMMYFUNCTION("""COMPUTED_VALUE"""),"84o 42' 30""")</f>
        <v>84o 42' 30"</v>
      </c>
      <c r="L872" s="2" t="str">
        <f>IFERROR(__xludf.DUMMYFUNCTION("""COMPUTED_VALUE"""),"84o 45' 00""")</f>
        <v>84o 45' 00"</v>
      </c>
      <c r="M872" s="2" t="str">
        <f>IFERROR(__xludf.DUMMYFUNCTION("""COMPUTED_VALUE"""),"Sarikhet Palase (Makawanpur)")</f>
        <v>Sarikhet Palase (Makawanpur)</v>
      </c>
    </row>
    <row r="873">
      <c r="A873" s="2">
        <f>IFERROR(__xludf.DUMMYFUNCTION("""COMPUTED_VALUE"""),872.0)</f>
        <v>872</v>
      </c>
      <c r="B873" s="2" t="str">
        <f>IFERROR(__xludf.DUMMYFUNCTION("""COMPUTED_VALUE"""),"Lothar Khola HPP")</f>
        <v>Lothar Khola HPP</v>
      </c>
      <c r="C873" s="2">
        <f>IFERROR(__xludf.DUMMYFUNCTION("""COMPUTED_VALUE"""),11.0)</f>
        <v>11</v>
      </c>
      <c r="D873" s="2" t="str">
        <f>IFERROR(__xludf.DUMMYFUNCTION("""COMPUTED_VALUE"""),"Lothar")</f>
        <v>Lothar</v>
      </c>
      <c r="E873" s="2">
        <f>IFERROR(__xludf.DUMMYFUNCTION("""COMPUTED_VALUE"""),2641.0)</f>
        <v>2641</v>
      </c>
      <c r="F873" s="3">
        <f>IFERROR(__xludf.DUMMYFUNCTION("""COMPUTED_VALUE"""),60538.0)</f>
        <v>60538</v>
      </c>
      <c r="G873" s="2" t="str">
        <f>IFERROR(__xludf.DUMMYFUNCTION("""COMPUTED_VALUE"""),"Indra Dhanush Power products pvt Ltd")</f>
        <v>Indra Dhanush Power products pvt Ltd</v>
      </c>
      <c r="H873" s="2" t="str">
        <f>IFERROR(__xludf.DUMMYFUNCTION("""COMPUTED_VALUE"""),"Kathmandu, PO Box: 23892 Tel; 01-2325110")</f>
        <v>Kathmandu, PO Box: 23892 Tel; 01-2325110</v>
      </c>
      <c r="I873" s="2" t="str">
        <f>IFERROR(__xludf.DUMMYFUNCTION("""COMPUTED_VALUE"""),"27o 31' 04""")</f>
        <v>27o 31' 04"</v>
      </c>
      <c r="J873" s="2" t="str">
        <f>IFERROR(__xludf.DUMMYFUNCTION("""COMPUTED_VALUE"""),"27o 35' 00""")</f>
        <v>27o 35' 00"</v>
      </c>
      <c r="K873" s="2" t="str">
        <f>IFERROR(__xludf.DUMMYFUNCTION("""COMPUTED_VALUE"""),"84o 47' 30""")</f>
        <v>84o 47' 30"</v>
      </c>
      <c r="L873" s="2" t="str">
        <f>IFERROR(__xludf.DUMMYFUNCTION("""COMPUTED_VALUE"""),"84o 55' 38""")</f>
        <v>84o 55' 38"</v>
      </c>
      <c r="M873" s="2" t="str">
        <f>IFERROR(__xludf.DUMMYFUNCTION("""COMPUTED_VALUE"""),"Kankada (Makawanpur)")</f>
        <v>Kankada (Makawanpur)</v>
      </c>
    </row>
    <row r="874">
      <c r="A874" s="2">
        <f>IFERROR(__xludf.DUMMYFUNCTION("""COMPUTED_VALUE"""),873.0)</f>
        <v>873</v>
      </c>
      <c r="B874" s="2" t="str">
        <f>IFERROR(__xludf.DUMMYFUNCTION("""COMPUTED_VALUE"""),"Phasku Khola HPP")</f>
        <v>Phasku Khola HPP</v>
      </c>
      <c r="C874" s="2">
        <f>IFERROR(__xludf.DUMMYFUNCTION("""COMPUTED_VALUE"""),0.96)</f>
        <v>0.96</v>
      </c>
      <c r="D874" s="2" t="str">
        <f>IFERROR(__xludf.DUMMYFUNCTION("""COMPUTED_VALUE"""),"Phasku Khola")</f>
        <v>Phasku Khola</v>
      </c>
      <c r="E874" s="2">
        <f>IFERROR(__xludf.DUMMYFUNCTION("""COMPUTED_VALUE"""),2643.0)</f>
        <v>2643</v>
      </c>
      <c r="F874" s="3">
        <f>IFERROR(__xludf.DUMMYFUNCTION("""COMPUTED_VALUE"""),60538.0)</f>
        <v>60538</v>
      </c>
      <c r="G874" s="2" t="str">
        <f>IFERROR(__xludf.DUMMYFUNCTION("""COMPUTED_VALUE"""),"Mohan Bahadur Basnet")</f>
        <v>Mohan Bahadur Basnet</v>
      </c>
      <c r="H874" s="2" t="str">
        <f>IFERROR(__xludf.DUMMYFUNCTION("""COMPUTED_VALUE"""),"Bhimeswar Munucipality-9 Dolkha")</f>
        <v>Bhimeswar Munucipality-9 Dolkha</v>
      </c>
      <c r="I874" s="2" t="str">
        <f>IFERROR(__xludf.DUMMYFUNCTION("""COMPUTED_VALUE"""),"27o 37' 23""")</f>
        <v>27o 37' 23"</v>
      </c>
      <c r="J874" s="2" t="str">
        <f>IFERROR(__xludf.DUMMYFUNCTION("""COMPUTED_VALUE"""),"27o 37' 48""")</f>
        <v>27o 37' 48"</v>
      </c>
      <c r="K874" s="2" t="str">
        <f>IFERROR(__xludf.DUMMYFUNCTION("""COMPUTED_VALUE"""),"86o 00' 30""")</f>
        <v>86o 00' 30"</v>
      </c>
      <c r="L874" s="2" t="str">
        <f>IFERROR(__xludf.DUMMYFUNCTION("""COMPUTED_VALUE"""),"86o 02' 40""")</f>
        <v>86o 02' 40"</v>
      </c>
      <c r="M874" s="2" t="str">
        <f>IFERROR(__xludf.DUMMYFUNCTION("""COMPUTED_VALUE"""),"Katakuti (Dolakha)")</f>
        <v>Katakuti (Dolakha)</v>
      </c>
    </row>
    <row r="875">
      <c r="A875" s="2">
        <f>IFERROR(__xludf.DUMMYFUNCTION("""COMPUTED_VALUE"""),874.0)</f>
        <v>874</v>
      </c>
      <c r="B875" s="2" t="str">
        <f>IFERROR(__xludf.DUMMYFUNCTION("""COMPUTED_VALUE"""),"Madi KholaHPP")</f>
        <v>Madi KholaHPP</v>
      </c>
      <c r="C875" s="2">
        <f>IFERROR(__xludf.DUMMYFUNCTION("""COMPUTED_VALUE"""),1.0)</f>
        <v>1</v>
      </c>
      <c r="D875" s="2" t="str">
        <f>IFERROR(__xludf.DUMMYFUNCTION("""COMPUTED_VALUE"""),"Madi Khola")</f>
        <v>Madi Khola</v>
      </c>
      <c r="E875" s="2">
        <f>IFERROR(__xludf.DUMMYFUNCTION("""COMPUTED_VALUE"""),2467.0)</f>
        <v>2467</v>
      </c>
      <c r="F875" s="3">
        <f>IFERROR(__xludf.DUMMYFUNCTION("""COMPUTED_VALUE"""),60539.0)</f>
        <v>60539</v>
      </c>
      <c r="G875" s="2" t="str">
        <f>IFERROR(__xludf.DUMMYFUNCTION("""COMPUTED_VALUE"""),"Tara Sharma")</f>
        <v>Tara Sharma</v>
      </c>
      <c r="H875" s="2" t="str">
        <f>IFERROR(__xludf.DUMMYFUNCTION("""COMPUTED_VALUE"""),"Dhading")</f>
        <v>Dhading</v>
      </c>
      <c r="I875" s="2" t="str">
        <f>IFERROR(__xludf.DUMMYFUNCTION("""COMPUTED_VALUE"""),"28o 07' 30""")</f>
        <v>28o 07' 30"</v>
      </c>
      <c r="J875" s="2" t="str">
        <f>IFERROR(__xludf.DUMMYFUNCTION("""COMPUTED_VALUE"""),"28o 10' 00""")</f>
        <v>28o 10' 00"</v>
      </c>
      <c r="K875" s="2" t="str">
        <f>IFERROR(__xludf.DUMMYFUNCTION("""COMPUTED_VALUE"""),"82o 42' 30""")</f>
        <v>82o 42' 30"</v>
      </c>
      <c r="L875" s="2" t="str">
        <f>IFERROR(__xludf.DUMMYFUNCTION("""COMPUTED_VALUE"""),"82o 45' 00""")</f>
        <v>82o 45' 00"</v>
      </c>
      <c r="M875" s="2" t="str">
        <f>IFERROR(__xludf.DUMMYFUNCTION("""COMPUTED_VALUE"""),"Bhingri,Belwaspur,Barjiwang (Pyuthan)")</f>
        <v>Bhingri,Belwaspur,Barjiwang (Pyuthan)</v>
      </c>
    </row>
    <row r="876">
      <c r="A876" s="2">
        <f>IFERROR(__xludf.DUMMYFUNCTION("""COMPUTED_VALUE"""),875.0)</f>
        <v>875</v>
      </c>
      <c r="B876" s="2" t="str">
        <f>IFERROR(__xludf.DUMMYFUNCTION("""COMPUTED_VALUE"""),"Upper Lantang HPP")</f>
        <v>Upper Lantang HPP</v>
      </c>
      <c r="C876" s="2">
        <f>IFERROR(__xludf.DUMMYFUNCTION("""COMPUTED_VALUE"""),5.0)</f>
        <v>5</v>
      </c>
      <c r="D876" s="2" t="str">
        <f>IFERROR(__xludf.DUMMYFUNCTION("""COMPUTED_VALUE"""),"Langtang")</f>
        <v>Langtang</v>
      </c>
      <c r="E876" s="2">
        <f>IFERROR(__xludf.DUMMYFUNCTION("""COMPUTED_VALUE"""),2476.0)</f>
        <v>2476</v>
      </c>
      <c r="F876" s="3">
        <f>IFERROR(__xludf.DUMMYFUNCTION("""COMPUTED_VALUE"""),60542.0)</f>
        <v>60542</v>
      </c>
      <c r="G876" s="2" t="str">
        <f>IFERROR(__xludf.DUMMYFUNCTION("""COMPUTED_VALUE"""),"Jyotshna Shrestha")</f>
        <v>Jyotshna Shrestha</v>
      </c>
      <c r="H876" s="2" t="str">
        <f>IFERROR(__xludf.DUMMYFUNCTION("""COMPUTED_VALUE"""),"Kathmandu Mun icipality-1, Naxal Tel: 9841339263")</f>
        <v>Kathmandu Mun icipality-1, Naxal Tel: 9841339263</v>
      </c>
      <c r="I876" s="2" t="str">
        <f>IFERROR(__xludf.DUMMYFUNCTION("""COMPUTED_VALUE"""),"28o 09' 20""")</f>
        <v>28o 09' 20"</v>
      </c>
      <c r="J876" s="2" t="str">
        <f>IFERROR(__xludf.DUMMYFUNCTION("""COMPUTED_VALUE"""),"28o 12' 26""")</f>
        <v>28o 12' 26"</v>
      </c>
      <c r="K876" s="2" t="str">
        <f>IFERROR(__xludf.DUMMYFUNCTION("""COMPUTED_VALUE"""),"85o 25' 36""")</f>
        <v>85o 25' 36"</v>
      </c>
      <c r="L876" s="2" t="str">
        <f>IFERROR(__xludf.DUMMYFUNCTION("""COMPUTED_VALUE"""),"85o 28' 37""")</f>
        <v>85o 28' 37"</v>
      </c>
      <c r="M876" s="2" t="str">
        <f>IFERROR(__xludf.DUMMYFUNCTION("""COMPUTED_VALUE"""),"Langtang (Rasuwa)")</f>
        <v>Langtang (Rasuwa)</v>
      </c>
    </row>
    <row r="877">
      <c r="A877" s="2">
        <f>IFERROR(__xludf.DUMMYFUNCTION("""COMPUTED_VALUE"""),876.0)</f>
        <v>876</v>
      </c>
      <c r="B877" s="2" t="str">
        <f>IFERROR(__xludf.DUMMYFUNCTION("""COMPUTED_VALUE"""),"Super Marsyangdi HPP")</f>
        <v>Super Marsyangdi HPP</v>
      </c>
      <c r="C877" s="2">
        <f>IFERROR(__xludf.DUMMYFUNCTION("""COMPUTED_VALUE"""),10.0)</f>
        <v>10</v>
      </c>
      <c r="D877" s="2" t="str">
        <f>IFERROR(__xludf.DUMMYFUNCTION("""COMPUTED_VALUE"""),"Marsyangdi")</f>
        <v>Marsyangdi</v>
      </c>
      <c r="E877" s="2">
        <f>IFERROR(__xludf.DUMMYFUNCTION("""COMPUTED_VALUE"""),2478.0)</f>
        <v>2478</v>
      </c>
      <c r="F877" s="3">
        <f>IFERROR(__xludf.DUMMYFUNCTION("""COMPUTED_VALUE"""),60542.0)</f>
        <v>60542</v>
      </c>
      <c r="G877" s="2" t="str">
        <f>IFERROR(__xludf.DUMMYFUNCTION("""COMPUTED_VALUE"""),"Trans Energy Pvt Ltd")</f>
        <v>Trans Energy Pvt Ltd</v>
      </c>
      <c r="H877" s="2" t="str">
        <f>IFERROR(__xludf.DUMMYFUNCTION("""COMPUTED_VALUE"""),"GPO Box; 2989, Tel: 01-2001033")</f>
        <v>GPO Box; 2989, Tel: 01-2001033</v>
      </c>
      <c r="I877" s="2" t="str">
        <f>IFERROR(__xludf.DUMMYFUNCTION("""COMPUTED_VALUE"""),"27o 48' 30""")</f>
        <v>27o 48' 30"</v>
      </c>
      <c r="J877" s="2" t="str">
        <f>IFERROR(__xludf.DUMMYFUNCTION("""COMPUTED_VALUE"""),"27o 52' 30""")</f>
        <v>27o 52' 30"</v>
      </c>
      <c r="K877" s="2" t="str">
        <f>IFERROR(__xludf.DUMMYFUNCTION("""COMPUTED_VALUE"""),"84o 30' 00""")</f>
        <v>84o 30' 00"</v>
      </c>
      <c r="L877" s="2" t="str">
        <f>IFERROR(__xludf.DUMMYFUNCTION("""COMPUTED_VALUE"""),"84o 33' 30""")</f>
        <v>84o 33' 30"</v>
      </c>
      <c r="M877" s="2" t="str">
        <f>IFERROR(__xludf.DUMMYFUNCTION("""COMPUTED_VALUE"""),"Chandi Bhanjyang (Chitawan) Manakamana (Gorkha) Ambukhaireni (Tanahu)")</f>
        <v>Chandi Bhanjyang (Chitawan) Manakamana (Gorkha) Ambukhaireni (Tanahu)</v>
      </c>
    </row>
    <row r="878">
      <c r="A878" s="2">
        <f>IFERROR(__xludf.DUMMYFUNCTION("""COMPUTED_VALUE"""),877.0)</f>
        <v>877</v>
      </c>
      <c r="B878" s="2" t="str">
        <f>IFERROR(__xludf.DUMMYFUNCTION("""COMPUTED_VALUE"""),"Kalabandi Khola")</f>
        <v>Kalabandi Khola</v>
      </c>
      <c r="C878" s="2">
        <f>IFERROR(__xludf.DUMMYFUNCTION("""COMPUTED_VALUE"""),1.4)</f>
        <v>1.4</v>
      </c>
      <c r="D878" s="2" t="str">
        <f>IFERROR(__xludf.DUMMYFUNCTION("""COMPUTED_VALUE"""),"Kalabandi")</f>
        <v>Kalabandi</v>
      </c>
      <c r="E878" s="2">
        <f>IFERROR(__xludf.DUMMYFUNCTION("""COMPUTED_VALUE"""),2482.0)</f>
        <v>2482</v>
      </c>
      <c r="F878" s="3">
        <f>IFERROR(__xludf.DUMMYFUNCTION("""COMPUTED_VALUE"""),60542.0)</f>
        <v>60542</v>
      </c>
      <c r="G878" s="2" t="str">
        <f>IFERROR(__xludf.DUMMYFUNCTION("""COMPUTED_VALUE"""),"NCC Tunneling Nepal Pvt. Ltd.")</f>
        <v>NCC Tunneling Nepal Pvt. Ltd.</v>
      </c>
      <c r="H878" s="2" t="str">
        <f>IFERROR(__xludf.DUMMYFUNCTION("""COMPUTED_VALUE"""),"Lalitpur")</f>
        <v>Lalitpur</v>
      </c>
      <c r="I878" s="2" t="str">
        <f>IFERROR(__xludf.DUMMYFUNCTION("""COMPUTED_VALUE"""),"28o 20' 06""")</f>
        <v>28o 20' 06"</v>
      </c>
      <c r="J878" s="2" t="str">
        <f>IFERROR(__xludf.DUMMYFUNCTION("""COMPUTED_VALUE"""),"28o 21' 11""")</f>
        <v>28o 21' 11"</v>
      </c>
      <c r="K878" s="2" t="str">
        <f>IFERROR(__xludf.DUMMYFUNCTION("""COMPUTED_VALUE"""),"84o 06' 07""")</f>
        <v>84o 06' 07"</v>
      </c>
      <c r="L878" s="2" t="str">
        <f>IFERROR(__xludf.DUMMYFUNCTION("""COMPUTED_VALUE"""),"84o 09' 10""")</f>
        <v>84o 09' 10"</v>
      </c>
      <c r="M878" s="2" t="str">
        <f>IFERROR(__xludf.DUMMYFUNCTION("""COMPUTED_VALUE"""),"Namarjung (Kaski)")</f>
        <v>Namarjung (Kaski)</v>
      </c>
    </row>
    <row r="879">
      <c r="A879" s="2">
        <f>IFERROR(__xludf.DUMMYFUNCTION("""COMPUTED_VALUE"""),878.0)</f>
        <v>878</v>
      </c>
      <c r="B879" s="2" t="str">
        <f>IFERROR(__xludf.DUMMYFUNCTION("""COMPUTED_VALUE"""),"Kanwari Khola")</f>
        <v>Kanwari Khola</v>
      </c>
      <c r="C879" s="2">
        <f>IFERROR(__xludf.DUMMYFUNCTION("""COMPUTED_VALUE"""),7.7)</f>
        <v>7.7</v>
      </c>
      <c r="D879" s="2" t="str">
        <f>IFERROR(__xludf.DUMMYFUNCTION("""COMPUTED_VALUE"""),"Kanwari")</f>
        <v>Kanwari</v>
      </c>
      <c r="E879" s="2">
        <f>IFERROR(__xludf.DUMMYFUNCTION("""COMPUTED_VALUE"""),5571.0)</f>
        <v>5571</v>
      </c>
      <c r="F879" s="3">
        <f>IFERROR(__xludf.DUMMYFUNCTION("""COMPUTED_VALUE"""),60542.0)</f>
        <v>60542</v>
      </c>
      <c r="G879" s="2" t="str">
        <f>IFERROR(__xludf.DUMMYFUNCTION("""COMPUTED_VALUE"""),"AVCO Hydropower Company Pvt. LTd.")</f>
        <v>AVCO Hydropower Company Pvt. LTd.</v>
      </c>
      <c r="H879" s="2" t="str">
        <f>IFERROR(__xludf.DUMMYFUNCTION("""COMPUTED_VALUE"""),"Maharajgunj Kathmandu Tel 9851026088")</f>
        <v>Maharajgunj Kathmandu Tel 9851026088</v>
      </c>
      <c r="I879" s="2" t="str">
        <f>IFERROR(__xludf.DUMMYFUNCTION("""COMPUTED_VALUE"""),"29o 35' 00""")</f>
        <v>29o 35' 00"</v>
      </c>
      <c r="J879" s="2" t="str">
        <f>IFERROR(__xludf.DUMMYFUNCTION("""COMPUTED_VALUE"""),"29o 40' 00""")</f>
        <v>29o 40' 00"</v>
      </c>
      <c r="K879" s="2" t="str">
        <f>IFERROR(__xludf.DUMMYFUNCTION("""COMPUTED_VALUE"""),"81o 40' 00""")</f>
        <v>81o 40' 00"</v>
      </c>
      <c r="L879" s="2" t="str">
        <f>IFERROR(__xludf.DUMMYFUNCTION("""COMPUTED_VALUE"""),"81o 45' 00""")</f>
        <v>81o 45' 00"</v>
      </c>
      <c r="M879" s="2" t="str">
        <f>IFERROR(__xludf.DUMMYFUNCTION("""COMPUTED_VALUE"""),"Bichhiya (Bajura)")</f>
        <v>Bichhiya (Bajura)</v>
      </c>
    </row>
    <row r="880">
      <c r="A880" s="2">
        <f>IFERROR(__xludf.DUMMYFUNCTION("""COMPUTED_VALUE"""),879.0)</f>
        <v>879</v>
      </c>
      <c r="B880" s="2" t="str">
        <f>IFERROR(__xludf.DUMMYFUNCTION("""COMPUTED_VALUE"""),"Chameiya (Ghusa) HPP")</f>
        <v>Chameiya (Ghusa) HPP</v>
      </c>
      <c r="C880" s="2">
        <f>IFERROR(__xludf.DUMMYFUNCTION("""COMPUTED_VALUE"""),80.0)</f>
        <v>80</v>
      </c>
      <c r="D880" s="2" t="str">
        <f>IFERROR(__xludf.DUMMYFUNCTION("""COMPUTED_VALUE"""),"Chameliya Khola")</f>
        <v>Chameliya Khola</v>
      </c>
      <c r="E880" s="2">
        <f>IFERROR(__xludf.DUMMYFUNCTION("""COMPUTED_VALUE"""),2521.0)</f>
        <v>2521</v>
      </c>
      <c r="F880" s="3">
        <f>IFERROR(__xludf.DUMMYFUNCTION("""COMPUTED_VALUE"""),60545.0)</f>
        <v>60545</v>
      </c>
      <c r="G880" s="2" t="str">
        <f>IFERROR(__xludf.DUMMYFUNCTION("""COMPUTED_VALUE"""),"Trishakti Urja Pvt Ltd")</f>
        <v>Trishakti Urja Pvt Ltd</v>
      </c>
      <c r="H880" s="2" t="str">
        <f>IFERROR(__xludf.DUMMYFUNCTION("""COMPUTED_VALUE"""),"Baneswar-34 Kathmandu")</f>
        <v>Baneswar-34 Kathmandu</v>
      </c>
      <c r="I880" s="2" t="str">
        <f>IFERROR(__xludf.DUMMYFUNCTION("""COMPUTED_VALUE"""),"29o 47' 00""")</f>
        <v>29o 47' 00"</v>
      </c>
      <c r="J880" s="2" t="str">
        <f>IFERROR(__xludf.DUMMYFUNCTION("""COMPUTED_VALUE"""),"29o 50' 00""")</f>
        <v>29o 50' 00"</v>
      </c>
      <c r="K880" s="2" t="str">
        <f>IFERROR(__xludf.DUMMYFUNCTION("""COMPUTED_VALUE"""),"80o 48' 49""")</f>
        <v>80o 48' 49"</v>
      </c>
      <c r="L880" s="2" t="str">
        <f>IFERROR(__xludf.DUMMYFUNCTION("""COMPUTED_VALUE"""),"80o 53' 00""")</f>
        <v>80o 53' 00"</v>
      </c>
      <c r="M880" s="2" t="str">
        <f>IFERROR(__xludf.DUMMYFUNCTION("""COMPUTED_VALUE"""),"Ghusa,Khandeswori (Darchula)")</f>
        <v>Ghusa,Khandeswori (Darchula)</v>
      </c>
    </row>
    <row r="881">
      <c r="A881" s="2">
        <f>IFERROR(__xludf.DUMMYFUNCTION("""COMPUTED_VALUE"""),880.0)</f>
        <v>880</v>
      </c>
      <c r="B881" s="2" t="str">
        <f>IFERROR(__xludf.DUMMYFUNCTION("""COMPUTED_VALUE"""),"Iwa Khola SHP")</f>
        <v>Iwa Khola SHP</v>
      </c>
      <c r="C881" s="2">
        <f>IFERROR(__xludf.DUMMYFUNCTION("""COMPUTED_VALUE"""),0.995)</f>
        <v>0.995</v>
      </c>
      <c r="D881" s="2" t="str">
        <f>IFERROR(__xludf.DUMMYFUNCTION("""COMPUTED_VALUE"""),"Iwa Khola")</f>
        <v>Iwa Khola</v>
      </c>
      <c r="E881" s="2">
        <f>IFERROR(__xludf.DUMMYFUNCTION("""COMPUTED_VALUE"""),2535.0)</f>
        <v>2535</v>
      </c>
      <c r="F881" s="3">
        <f>IFERROR(__xludf.DUMMYFUNCTION("""COMPUTED_VALUE"""),60545.0)</f>
        <v>60545</v>
      </c>
      <c r="G881" s="2" t="str">
        <f>IFERROR(__xludf.DUMMYFUNCTION("""COMPUTED_VALUE"""),"Angu Pant &amp; Meghana Gurung")</f>
        <v>Angu Pant &amp; Meghana Gurung</v>
      </c>
      <c r="H881" s="2"/>
      <c r="I881" s="2" t="str">
        <f>IFERROR(__xludf.DUMMYFUNCTION("""COMPUTED_VALUE"""),"27o 20' 00""")</f>
        <v>27o 20' 00"</v>
      </c>
      <c r="J881" s="2" t="str">
        <f>IFERROR(__xludf.DUMMYFUNCTION("""COMPUTED_VALUE"""),"27o 24' 00""")</f>
        <v>27o 24' 00"</v>
      </c>
      <c r="K881" s="2" t="str">
        <f>IFERROR(__xludf.DUMMYFUNCTION("""COMPUTED_VALUE"""),"88o 00' 00""")</f>
        <v>88o 00' 00"</v>
      </c>
      <c r="L881" s="2" t="str">
        <f>IFERROR(__xludf.DUMMYFUNCTION("""COMPUTED_VALUE"""),"88o 03' 00""")</f>
        <v>88o 03' 00"</v>
      </c>
      <c r="M881" s="2" t="str">
        <f>IFERROR(__xludf.DUMMYFUNCTION("""COMPUTED_VALUE"""),"Falaicha (Panchthar)")</f>
        <v>Falaicha (Panchthar)</v>
      </c>
    </row>
    <row r="882">
      <c r="A882" s="2">
        <f>IFERROR(__xludf.DUMMYFUNCTION("""COMPUTED_VALUE"""),881.0)</f>
        <v>881</v>
      </c>
      <c r="B882" s="2" t="str">
        <f>IFERROR(__xludf.DUMMYFUNCTION("""COMPUTED_VALUE"""),"Mewa Khola SHP")</f>
        <v>Mewa Khola SHP</v>
      </c>
      <c r="C882" s="2">
        <f>IFERROR(__xludf.DUMMYFUNCTION("""COMPUTED_VALUE"""),0.995)</f>
        <v>0.995</v>
      </c>
      <c r="D882" s="2" t="str">
        <f>IFERROR(__xludf.DUMMYFUNCTION("""COMPUTED_VALUE"""),"Mewa Khola")</f>
        <v>Mewa Khola</v>
      </c>
      <c r="E882" s="2">
        <f>IFERROR(__xludf.DUMMYFUNCTION("""COMPUTED_VALUE"""),2536.0)</f>
        <v>2536</v>
      </c>
      <c r="F882" s="3">
        <f>IFERROR(__xludf.DUMMYFUNCTION("""COMPUTED_VALUE"""),60545.0)</f>
        <v>60545</v>
      </c>
      <c r="G882" s="2" t="str">
        <f>IFERROR(__xludf.DUMMYFUNCTION("""COMPUTED_VALUE"""),"Angu Pant &amp; Meghana Gurung")</f>
        <v>Angu Pant &amp; Meghana Gurung</v>
      </c>
      <c r="H882" s="2"/>
      <c r="I882" s="2" t="str">
        <f>IFERROR(__xludf.DUMMYFUNCTION("""COMPUTED_VALUE"""),"02o 36' 00""")</f>
        <v>02o 36' 00"</v>
      </c>
      <c r="J882" s="2" t="str">
        <f>IFERROR(__xludf.DUMMYFUNCTION("""COMPUTED_VALUE"""),"27o 32' 00""")</f>
        <v>27o 32' 00"</v>
      </c>
      <c r="K882" s="2" t="str">
        <f>IFERROR(__xludf.DUMMYFUNCTION("""COMPUTED_VALUE"""),"87o 35' 00""")</f>
        <v>87o 35' 00"</v>
      </c>
      <c r="L882" s="2" t="str">
        <f>IFERROR(__xludf.DUMMYFUNCTION("""COMPUTED_VALUE"""),"87o 39' 00""")</f>
        <v>87o 39' 00"</v>
      </c>
      <c r="M882" s="2" t="str">
        <f>IFERROR(__xludf.DUMMYFUNCTION("""COMPUTED_VALUE"""),"Papung (Taplejung)")</f>
        <v>Papung (Taplejung)</v>
      </c>
    </row>
    <row r="883">
      <c r="A883" s="2">
        <f>IFERROR(__xludf.DUMMYFUNCTION("""COMPUTED_VALUE"""),882.0)</f>
        <v>882</v>
      </c>
      <c r="B883" s="2" t="str">
        <f>IFERROR(__xludf.DUMMYFUNCTION("""COMPUTED_VALUE"""),"Lower Chirkhuwa")</f>
        <v>Lower Chirkhuwa</v>
      </c>
      <c r="C883" s="2">
        <f>IFERROR(__xludf.DUMMYFUNCTION("""COMPUTED_VALUE"""),5.0)</f>
        <v>5</v>
      </c>
      <c r="D883" s="2" t="str">
        <f>IFERROR(__xludf.DUMMYFUNCTION("""COMPUTED_VALUE"""),"Chirkhuwa")</f>
        <v>Chirkhuwa</v>
      </c>
      <c r="E883" s="2">
        <f>IFERROR(__xludf.DUMMYFUNCTION("""COMPUTED_VALUE"""),2540.0)</f>
        <v>2540</v>
      </c>
      <c r="F883" s="3">
        <f>IFERROR(__xludf.DUMMYFUNCTION("""COMPUTED_VALUE"""),60545.0)</f>
        <v>60545</v>
      </c>
      <c r="G883" s="2" t="str">
        <f>IFERROR(__xludf.DUMMYFUNCTION("""COMPUTED_VALUE"""),"Chirkhwa Hydropower P. Ltd")</f>
        <v>Chirkhwa Hydropower P. Ltd</v>
      </c>
      <c r="H883" s="2" t="str">
        <f>IFERROR(__xludf.DUMMYFUNCTION("""COMPUTED_VALUE"""),"P.O. Box No. 5565 Kathmandu Phone no: 9841209736 , 4288945")</f>
        <v>P.O. Box No. 5565 Kathmandu Phone no: 9841209736 , 4288945</v>
      </c>
      <c r="I883" s="2" t="str">
        <f>IFERROR(__xludf.DUMMYFUNCTION("""COMPUTED_VALUE"""),"27o 22' 30""")</f>
        <v>27o 22' 30"</v>
      </c>
      <c r="J883" s="2" t="str">
        <f>IFERROR(__xludf.DUMMYFUNCTION("""COMPUTED_VALUE"""),"27o 23' 45""")</f>
        <v>27o 23' 45"</v>
      </c>
      <c r="K883" s="2" t="str">
        <f>IFERROR(__xludf.DUMMYFUNCTION("""COMPUTED_VALUE"""),"87o 06' 30""")</f>
        <v>87o 06' 30"</v>
      </c>
      <c r="L883" s="2" t="str">
        <f>IFERROR(__xludf.DUMMYFUNCTION("""COMPUTED_VALUE"""),"87o 08' 30""")</f>
        <v>87o 08' 30"</v>
      </c>
      <c r="M883" s="2" t="str">
        <f>IFERROR(__xludf.DUMMYFUNCTION("""COMPUTED_VALUE"""),"Mulpani,Nepaledada (Bhojpur)")</f>
        <v>Mulpani,Nepaledada (Bhojpur)</v>
      </c>
    </row>
    <row r="884">
      <c r="A884" s="2">
        <f>IFERROR(__xludf.DUMMYFUNCTION("""COMPUTED_VALUE"""),883.0)</f>
        <v>883</v>
      </c>
      <c r="B884" s="2" t="str">
        <f>IFERROR(__xludf.DUMMYFUNCTION("""COMPUTED_VALUE"""),"Yangma Khola")</f>
        <v>Yangma Khola</v>
      </c>
      <c r="C884" s="2">
        <f>IFERROR(__xludf.DUMMYFUNCTION("""COMPUTED_VALUE"""),9.5)</f>
        <v>9.5</v>
      </c>
      <c r="D884" s="2" t="str">
        <f>IFERROR(__xludf.DUMMYFUNCTION("""COMPUTED_VALUE"""),"Yangma Khola")</f>
        <v>Yangma Khola</v>
      </c>
      <c r="E884" s="2">
        <f>IFERROR(__xludf.DUMMYFUNCTION("""COMPUTED_VALUE"""),2570.0)</f>
        <v>2570</v>
      </c>
      <c r="F884" s="3">
        <f>IFERROR(__xludf.DUMMYFUNCTION("""COMPUTED_VALUE"""),60546.0)</f>
        <v>60546</v>
      </c>
      <c r="G884" s="2" t="str">
        <f>IFERROR(__xludf.DUMMYFUNCTION("""COMPUTED_VALUE"""),"Evco Holding and Investment Group Pvt Ltd")</f>
        <v>Evco Holding and Investment Group Pvt Ltd</v>
      </c>
      <c r="H884" s="2" t="str">
        <f>IFERROR(__xludf.DUMMYFUNCTION("""COMPUTED_VALUE"""),"Kathmandu Tel: 9851077600")</f>
        <v>Kathmandu Tel: 9851077600</v>
      </c>
      <c r="I884" s="2" t="str">
        <f>IFERROR(__xludf.DUMMYFUNCTION("""COMPUTED_VALUE"""),"27o 41' 00""")</f>
        <v>27o 41' 00"</v>
      </c>
      <c r="J884" s="2" t="str">
        <f>IFERROR(__xludf.DUMMYFUNCTION("""COMPUTED_VALUE"""),"00o 00' 00""")</f>
        <v>00o 00' 00"</v>
      </c>
      <c r="K884" s="2" t="str">
        <f>IFERROR(__xludf.DUMMYFUNCTION("""COMPUTED_VALUE"""),"87o 49' 00""")</f>
        <v>87o 49' 00"</v>
      </c>
      <c r="L884" s="2" t="str">
        <f>IFERROR(__xludf.DUMMYFUNCTION("""COMPUTED_VALUE"""),"00o 00' 00""")</f>
        <v>00o 00' 00"</v>
      </c>
      <c r="M884" s="2" t="str">
        <f>IFERROR(__xludf.DUMMYFUNCTION("""COMPUTED_VALUE"""),"Olangchung (Taplejung)")</f>
        <v>Olangchung (Taplejung)</v>
      </c>
    </row>
    <row r="885">
      <c r="A885" s="2">
        <f>IFERROR(__xludf.DUMMYFUNCTION("""COMPUTED_VALUE"""),884.0)</f>
        <v>884</v>
      </c>
      <c r="B885" s="2" t="str">
        <f>IFERROR(__xludf.DUMMYFUNCTION("""COMPUTED_VALUE"""),"Wachinle Khola")</f>
        <v>Wachinle Khola</v>
      </c>
      <c r="C885" s="2">
        <f>IFERROR(__xludf.DUMMYFUNCTION("""COMPUTED_VALUE"""),0.995)</f>
        <v>0.995</v>
      </c>
      <c r="D885" s="2" t="str">
        <f>IFERROR(__xludf.DUMMYFUNCTION("""COMPUTED_VALUE"""),"Wachmgle Khola")</f>
        <v>Wachmgle Khola</v>
      </c>
      <c r="E885" s="2">
        <f>IFERROR(__xludf.DUMMYFUNCTION("""COMPUTED_VALUE"""),2591.0)</f>
        <v>2591</v>
      </c>
      <c r="F885" s="3">
        <f>IFERROR(__xludf.DUMMYFUNCTION("""COMPUTED_VALUE"""),60547.0)</f>
        <v>60547</v>
      </c>
      <c r="G885" s="2" t="str">
        <f>IFERROR(__xludf.DUMMYFUNCTION("""COMPUTED_VALUE"""),"Narjung Rai")</f>
        <v>Narjung Rai</v>
      </c>
      <c r="H885" s="2" t="str">
        <f>IFERROR(__xludf.DUMMYFUNCTION("""COMPUTED_VALUE"""),"Khawa VDC-9 Bhojpur Te:9841496693")</f>
        <v>Khawa VDC-9 Bhojpur Te:9841496693</v>
      </c>
      <c r="I885" s="2" t="str">
        <f>IFERROR(__xludf.DUMMYFUNCTION("""COMPUTED_VALUE"""),"27o 10' 45""")</f>
        <v>27o 10' 45"</v>
      </c>
      <c r="J885" s="2" t="str">
        <f>IFERROR(__xludf.DUMMYFUNCTION("""COMPUTED_VALUE"""),"27o 12' 30""")</f>
        <v>27o 12' 30"</v>
      </c>
      <c r="K885" s="2" t="str">
        <f>IFERROR(__xludf.DUMMYFUNCTION("""COMPUTED_VALUE"""),"86o 57' 30""")</f>
        <v>86o 57' 30"</v>
      </c>
      <c r="L885" s="2" t="str">
        <f>IFERROR(__xludf.DUMMYFUNCTION("""COMPUTED_VALUE"""),"87o 00' 00""")</f>
        <v>87o 00' 00"</v>
      </c>
      <c r="M885" s="2" t="str">
        <f>IFERROR(__xludf.DUMMYFUNCTION("""COMPUTED_VALUE"""),"Khawa (Bhojpur)")</f>
        <v>Khawa (Bhojpur)</v>
      </c>
    </row>
    <row r="886">
      <c r="A886" s="2">
        <f>IFERROR(__xludf.DUMMYFUNCTION("""COMPUTED_VALUE"""),885.0)</f>
        <v>885</v>
      </c>
      <c r="B886" s="2" t="str">
        <f>IFERROR(__xludf.DUMMYFUNCTION("""COMPUTED_VALUE"""),"Wachingle Khola SHP")</f>
        <v>Wachingle Khola SHP</v>
      </c>
      <c r="C886" s="2">
        <f>IFERROR(__xludf.DUMMYFUNCTION("""COMPUTED_VALUE"""),0.995)</f>
        <v>0.995</v>
      </c>
      <c r="D886" s="2" t="str">
        <f>IFERROR(__xludf.DUMMYFUNCTION("""COMPUTED_VALUE"""),"Wachingle Khola")</f>
        <v>Wachingle Khola</v>
      </c>
      <c r="E886" s="2">
        <f>IFERROR(__xludf.DUMMYFUNCTION("""COMPUTED_VALUE"""),2591.0)</f>
        <v>2591</v>
      </c>
      <c r="F886" s="3">
        <f>IFERROR(__xludf.DUMMYFUNCTION("""COMPUTED_VALUE"""),60547.0)</f>
        <v>60547</v>
      </c>
      <c r="G886" s="2" t="str">
        <f>IFERROR(__xludf.DUMMYFUNCTION("""COMPUTED_VALUE"""),"Naresh Jung Rai")</f>
        <v>Naresh Jung Rai</v>
      </c>
      <c r="H886" s="2" t="str">
        <f>IFERROR(__xludf.DUMMYFUNCTION("""COMPUTED_VALUE"""),"Khaba-9, Bhojpur Tel: 9841496693")</f>
        <v>Khaba-9, Bhojpur Tel: 9841496693</v>
      </c>
      <c r="I886" s="2" t="str">
        <f>IFERROR(__xludf.DUMMYFUNCTION("""COMPUTED_VALUE"""),"27o 10' 45""")</f>
        <v>27o 10' 45"</v>
      </c>
      <c r="J886" s="2" t="str">
        <f>IFERROR(__xludf.DUMMYFUNCTION("""COMPUTED_VALUE"""),"27o 12' 30""")</f>
        <v>27o 12' 30"</v>
      </c>
      <c r="K886" s="2" t="str">
        <f>IFERROR(__xludf.DUMMYFUNCTION("""COMPUTED_VALUE"""),"86o 57' 30""")</f>
        <v>86o 57' 30"</v>
      </c>
      <c r="L886" s="2" t="str">
        <f>IFERROR(__xludf.DUMMYFUNCTION("""COMPUTED_VALUE"""),"87o 00' 00""")</f>
        <v>87o 00' 00"</v>
      </c>
      <c r="M886" s="2" t="str">
        <f>IFERROR(__xludf.DUMMYFUNCTION("""COMPUTED_VALUE"""),"Khawa (Bhojpur)")</f>
        <v>Khawa (Bhojpur)</v>
      </c>
    </row>
    <row r="887">
      <c r="A887" s="2">
        <f>IFERROR(__xludf.DUMMYFUNCTION("""COMPUTED_VALUE"""),886.0)</f>
        <v>886</v>
      </c>
      <c r="B887" s="2" t="str">
        <f>IFERROR(__xludf.DUMMYFUNCTION("""COMPUTED_VALUE"""),"Bhin Khola HPP")</f>
        <v>Bhin Khola HPP</v>
      </c>
      <c r="C887" s="2">
        <f>IFERROR(__xludf.DUMMYFUNCTION("""COMPUTED_VALUE"""),0.99)</f>
        <v>0.99</v>
      </c>
      <c r="D887" s="2" t="str">
        <f>IFERROR(__xludf.DUMMYFUNCTION("""COMPUTED_VALUE"""),"Bhin Khola")</f>
        <v>Bhin Khola</v>
      </c>
      <c r="E887" s="2">
        <f>IFERROR(__xludf.DUMMYFUNCTION("""COMPUTED_VALUE"""),2610.0)</f>
        <v>2610</v>
      </c>
      <c r="F887" s="3">
        <f>IFERROR(__xludf.DUMMYFUNCTION("""COMPUTED_VALUE"""),60547.0)</f>
        <v>60547</v>
      </c>
      <c r="G887" s="2" t="str">
        <f>IFERROR(__xludf.DUMMYFUNCTION("""COMPUTED_VALUE"""),"Gyanu Tamang Raujan Maharjan")</f>
        <v>Gyanu Tamang Raujan Maharjan</v>
      </c>
      <c r="H887" s="6">
        <f>IFERROR(__xludf.DUMMYFUNCTION("""COMPUTED_VALUE"""),9.84194369998416E19)</f>
        <v>9.84194E+19</v>
      </c>
      <c r="I887" s="2" t="str">
        <f>IFERROR(__xludf.DUMMYFUNCTION("""COMPUTED_VALUE"""),"28o 16' 40""")</f>
        <v>28o 16' 40"</v>
      </c>
      <c r="J887" s="2" t="str">
        <f>IFERROR(__xludf.DUMMYFUNCTION("""COMPUTED_VALUE"""),"28o 17' 50""")</f>
        <v>28o 17' 50"</v>
      </c>
      <c r="K887" s="2" t="str">
        <f>IFERROR(__xludf.DUMMYFUNCTION("""COMPUTED_VALUE"""),"83o 10' 50""")</f>
        <v>83o 10' 50"</v>
      </c>
      <c r="L887" s="2" t="str">
        <f>IFERROR(__xludf.DUMMYFUNCTION("""COMPUTED_VALUE"""),"83o 12' 15""")</f>
        <v>83o 12' 15"</v>
      </c>
      <c r="M887" s="2" t="str">
        <f>IFERROR(__xludf.DUMMYFUNCTION("""COMPUTED_VALUE"""),"Bhinggithe (Baglung)")</f>
        <v>Bhinggithe (Baglung)</v>
      </c>
    </row>
    <row r="888">
      <c r="A888" s="2">
        <f>IFERROR(__xludf.DUMMYFUNCTION("""COMPUTED_VALUE"""),887.0)</f>
        <v>887</v>
      </c>
      <c r="B888" s="2" t="str">
        <f>IFERROR(__xludf.DUMMYFUNCTION("""COMPUTED_VALUE"""),"Bijaypur Khola")</f>
        <v>Bijaypur Khola</v>
      </c>
      <c r="C888" s="2">
        <f>IFERROR(__xludf.DUMMYFUNCTION("""COMPUTED_VALUE"""),1.0)</f>
        <v>1</v>
      </c>
      <c r="D888" s="2" t="str">
        <f>IFERROR(__xludf.DUMMYFUNCTION("""COMPUTED_VALUE"""),"Bijaypur")</f>
        <v>Bijaypur</v>
      </c>
      <c r="E888" s="2">
        <f>IFERROR(__xludf.DUMMYFUNCTION("""COMPUTED_VALUE"""),2617.0)</f>
        <v>2617</v>
      </c>
      <c r="F888" s="3">
        <f>IFERROR(__xludf.DUMMYFUNCTION("""COMPUTED_VALUE"""),60548.0)</f>
        <v>60548</v>
      </c>
      <c r="G888" s="2" t="str">
        <f>IFERROR(__xludf.DUMMYFUNCTION("""COMPUTED_VALUE"""),"Budhi prasad Bastola")</f>
        <v>Budhi prasad Bastola</v>
      </c>
      <c r="H888" s="2" t="str">
        <f>IFERROR(__xludf.DUMMYFUNCTION("""COMPUTED_VALUE"""),"Lekhnath-8,Kaski 9846038678")</f>
        <v>Lekhnath-8,Kaski 9846038678</v>
      </c>
      <c r="I888" s="2" t="str">
        <f>IFERROR(__xludf.DUMMYFUNCTION("""COMPUTED_VALUE"""),"28o 09' 15""")</f>
        <v>28o 09' 15"</v>
      </c>
      <c r="J888" s="2" t="str">
        <f>IFERROR(__xludf.DUMMYFUNCTION("""COMPUTED_VALUE"""),"28o 10' 35""")</f>
        <v>28o 10' 35"</v>
      </c>
      <c r="K888" s="2" t="str">
        <f>IFERROR(__xludf.DUMMYFUNCTION("""COMPUTED_VALUE"""),"84o 01' 40""")</f>
        <v>84o 01' 40"</v>
      </c>
      <c r="L888" s="2" t="str">
        <f>IFERROR(__xludf.DUMMYFUNCTION("""COMPUTED_VALUE"""),"84o 02' 20""")</f>
        <v>84o 02' 20"</v>
      </c>
      <c r="M888" s="2" t="str">
        <f>IFERROR(__xludf.DUMMYFUNCTION("""COMPUTED_VALUE"""),"Lekhnath (Kaski)")</f>
        <v>Lekhnath (Kaski)</v>
      </c>
    </row>
    <row r="889">
      <c r="A889" s="2">
        <f>IFERROR(__xludf.DUMMYFUNCTION("""COMPUTED_VALUE"""),888.0)</f>
        <v>888</v>
      </c>
      <c r="B889" s="2" t="str">
        <f>IFERROR(__xludf.DUMMYFUNCTION("""COMPUTED_VALUE"""),"Petare Khola")</f>
        <v>Petare Khola</v>
      </c>
      <c r="C889" s="2">
        <f>IFERROR(__xludf.DUMMYFUNCTION("""COMPUTED_VALUE"""),0.985)</f>
        <v>0.985</v>
      </c>
      <c r="D889" s="2"/>
      <c r="E889" s="2">
        <f>IFERROR(__xludf.DUMMYFUNCTION("""COMPUTED_VALUE"""),2618.0)</f>
        <v>2618</v>
      </c>
      <c r="F889" s="3">
        <f>IFERROR(__xludf.DUMMYFUNCTION("""COMPUTED_VALUE"""),60548.0)</f>
        <v>60548</v>
      </c>
      <c r="G889" s="2" t="str">
        <f>IFERROR(__xludf.DUMMYFUNCTION("""COMPUTED_VALUE"""),"Chetnath Dhungana")</f>
        <v>Chetnath Dhungana</v>
      </c>
      <c r="H889" s="2" t="str">
        <f>IFERROR(__xludf.DUMMYFUNCTION("""COMPUTED_VALUE"""),"Kiranchok VDC-3 Dading")</f>
        <v>Kiranchok VDC-3 Dading</v>
      </c>
      <c r="I889" s="2" t="str">
        <f>IFERROR(__xludf.DUMMYFUNCTION("""COMPUTED_VALUE"""),"00o 00' 00""")</f>
        <v>00o 00' 00"</v>
      </c>
      <c r="J889" s="2" t="str">
        <f>IFERROR(__xludf.DUMMYFUNCTION("""COMPUTED_VALUE"""),"00o 00' 00""")</f>
        <v>00o 00' 00"</v>
      </c>
      <c r="K889" s="2" t="str">
        <f>IFERROR(__xludf.DUMMYFUNCTION("""COMPUTED_VALUE"""),"00o 00' 00""")</f>
        <v>00o 00' 00"</v>
      </c>
      <c r="L889" s="2" t="str">
        <f>IFERROR(__xludf.DUMMYFUNCTION("""COMPUTED_VALUE"""),"00o 00' 00""")</f>
        <v>00o 00' 00"</v>
      </c>
      <c r="M889" s="2" t="str">
        <f>IFERROR(__xludf.DUMMYFUNCTION("""COMPUTED_VALUE"""),"Kiranchok (Dhading)")</f>
        <v>Kiranchok (Dhading)</v>
      </c>
    </row>
    <row r="890">
      <c r="A890" s="2">
        <f>IFERROR(__xludf.DUMMYFUNCTION("""COMPUTED_VALUE"""),889.0)</f>
        <v>889</v>
      </c>
      <c r="B890" s="2" t="str">
        <f>IFERROR(__xludf.DUMMYFUNCTION("""COMPUTED_VALUE"""),"Somdang Khola HPP")</f>
        <v>Somdang Khola HPP</v>
      </c>
      <c r="C890" s="2">
        <f>IFERROR(__xludf.DUMMYFUNCTION("""COMPUTED_VALUE"""),0.997)</f>
        <v>0.997</v>
      </c>
      <c r="D890" s="2" t="str">
        <f>IFERROR(__xludf.DUMMYFUNCTION("""COMPUTED_VALUE"""),"Somdang")</f>
        <v>Somdang</v>
      </c>
      <c r="E890" s="2">
        <f>IFERROR(__xludf.DUMMYFUNCTION("""COMPUTED_VALUE"""),2623.0)</f>
        <v>2623</v>
      </c>
      <c r="F890" s="3">
        <f>IFERROR(__xludf.DUMMYFUNCTION("""COMPUTED_VALUE"""),60548.0)</f>
        <v>60548</v>
      </c>
      <c r="G890" s="2" t="str">
        <f>IFERROR(__xludf.DUMMYFUNCTION("""COMPUTED_VALUE"""),"Sanjay lama,Chhebang Dorje Tamang")</f>
        <v>Sanjay lama,Chhebang Dorje Tamang</v>
      </c>
      <c r="H890" s="2" t="str">
        <f>IFERROR(__xludf.DUMMYFUNCTION("""COMPUTED_VALUE"""),"Gatang VDC Rasuwa")</f>
        <v>Gatang VDC Rasuwa</v>
      </c>
      <c r="I890" s="2" t="str">
        <f>IFERROR(__xludf.DUMMYFUNCTION("""COMPUTED_VALUE"""),"28o 08' 55""")</f>
        <v>28o 08' 55"</v>
      </c>
      <c r="J890" s="2" t="str">
        <f>IFERROR(__xludf.DUMMYFUNCTION("""COMPUTED_VALUE"""),"28o 12' 43""")</f>
        <v>28o 12' 43"</v>
      </c>
      <c r="K890" s="2" t="str">
        <f>IFERROR(__xludf.DUMMYFUNCTION("""COMPUTED_VALUE"""),"85o 12' 13""")</f>
        <v>85o 12' 13"</v>
      </c>
      <c r="L890" s="2" t="str">
        <f>IFERROR(__xludf.DUMMYFUNCTION("""COMPUTED_VALUE"""),"85o 13' 11""")</f>
        <v>85o 13' 11"</v>
      </c>
      <c r="M890" s="2" t="str">
        <f>IFERROR(__xludf.DUMMYFUNCTION("""COMPUTED_VALUE"""),"Tipling (Dhading) Gatlang (Rasuwa)")</f>
        <v>Tipling (Dhading) Gatlang (Rasuwa)</v>
      </c>
    </row>
    <row r="891">
      <c r="A891" s="2">
        <f>IFERROR(__xludf.DUMMYFUNCTION("""COMPUTED_VALUE"""),890.0)</f>
        <v>890</v>
      </c>
      <c r="B891" s="2" t="str">
        <f>IFERROR(__xludf.DUMMYFUNCTION("""COMPUTED_VALUE"""),"Nilgiri Khola")</f>
        <v>Nilgiri Khola</v>
      </c>
      <c r="C891" s="2">
        <f>IFERROR(__xludf.DUMMYFUNCTION("""COMPUTED_VALUE"""),5.0)</f>
        <v>5</v>
      </c>
      <c r="D891" s="2"/>
      <c r="E891" s="2">
        <f>IFERROR(__xludf.DUMMYFUNCTION("""COMPUTED_VALUE"""),2633.0)</f>
        <v>2633</v>
      </c>
      <c r="F891" s="3">
        <f>IFERROR(__xludf.DUMMYFUNCTION("""COMPUTED_VALUE"""),60548.0)</f>
        <v>60548</v>
      </c>
      <c r="G891" s="2" t="str">
        <f>IFERROR(__xludf.DUMMYFUNCTION("""COMPUTED_VALUE"""),"Subarnjung Rayamajhi Ram Shrestha Kamal Prasad Bashyal")</f>
        <v>Subarnjung Rayamajhi Ram Shrestha Kamal Prasad Bashyal</v>
      </c>
      <c r="H891" s="2" t="str">
        <f>IFERROR(__xludf.DUMMYFUNCTION("""COMPUTED_VALUE"""),"Kathmandu Phone 9849050341 9849026282 9849045697")</f>
        <v>Kathmandu Phone 9849050341 9849026282 9849045697</v>
      </c>
      <c r="I891" s="2" t="str">
        <f>IFERROR(__xludf.DUMMYFUNCTION("""COMPUTED_VALUE"""),"28o 36' 00""")</f>
        <v>28o 36' 00"</v>
      </c>
      <c r="J891" s="2" t="str">
        <f>IFERROR(__xludf.DUMMYFUNCTION("""COMPUTED_VALUE"""),"28o 38' 29""")</f>
        <v>28o 38' 29"</v>
      </c>
      <c r="K891" s="2" t="str">
        <f>IFERROR(__xludf.DUMMYFUNCTION("""COMPUTED_VALUE"""),"83o 45' 00""")</f>
        <v>83o 45' 00"</v>
      </c>
      <c r="L891" s="2" t="str">
        <f>IFERROR(__xludf.DUMMYFUNCTION("""COMPUTED_VALUE"""),"83o 47' 08""")</f>
        <v>83o 47' 08"</v>
      </c>
      <c r="M891" s="2" t="str">
        <f>IFERROR(__xludf.DUMMYFUNCTION("""COMPUTED_VALUE"""),"Narchyang (Myagdi)")</f>
        <v>Narchyang (Myagdi)</v>
      </c>
    </row>
    <row r="892">
      <c r="A892" s="2">
        <f>IFERROR(__xludf.DUMMYFUNCTION("""COMPUTED_VALUE"""),891.0)</f>
        <v>891</v>
      </c>
      <c r="B892" s="2" t="str">
        <f>IFERROR(__xludf.DUMMYFUNCTION("""COMPUTED_VALUE"""),"Langtang HPP")</f>
        <v>Langtang HPP</v>
      </c>
      <c r="C892" s="2">
        <f>IFERROR(__xludf.DUMMYFUNCTION("""COMPUTED_VALUE"""),1.0)</f>
        <v>1</v>
      </c>
      <c r="D892" s="2" t="str">
        <f>IFERROR(__xludf.DUMMYFUNCTION("""COMPUTED_VALUE"""),"Langtang")</f>
        <v>Langtang</v>
      </c>
      <c r="E892" s="2">
        <f>IFERROR(__xludf.DUMMYFUNCTION("""COMPUTED_VALUE"""),2641.0)</f>
        <v>2641</v>
      </c>
      <c r="F892" s="3">
        <f>IFERROR(__xludf.DUMMYFUNCTION("""COMPUTED_VALUE"""),60549.0)</f>
        <v>60549</v>
      </c>
      <c r="G892" s="2" t="str">
        <f>IFERROR(__xludf.DUMMYFUNCTION("""COMPUTED_VALUE"""),"Trans Energy Pvt Ltd")</f>
        <v>Trans Energy Pvt Ltd</v>
      </c>
      <c r="H892" s="2" t="str">
        <f>IFERROR(__xludf.DUMMYFUNCTION("""COMPUTED_VALUE"""),"Kathmandu, 01-4432107")</f>
        <v>Kathmandu, 01-4432107</v>
      </c>
      <c r="I892" s="2" t="str">
        <f>IFERROR(__xludf.DUMMYFUNCTION("""COMPUTED_VALUE"""),"28o 08' 00""")</f>
        <v>28o 08' 00"</v>
      </c>
      <c r="J892" s="2" t="str">
        <f>IFERROR(__xludf.DUMMYFUNCTION("""COMPUTED_VALUE"""),"28o 10' 00""")</f>
        <v>28o 10' 00"</v>
      </c>
      <c r="K892" s="2" t="str">
        <f>IFERROR(__xludf.DUMMYFUNCTION("""COMPUTED_VALUE"""),"85o 20' 00""")</f>
        <v>85o 20' 00"</v>
      </c>
      <c r="L892" s="2" t="str">
        <f>IFERROR(__xludf.DUMMYFUNCTION("""COMPUTED_VALUE"""),"85o 25' 00""")</f>
        <v>85o 25' 00"</v>
      </c>
      <c r="M892" s="2" t="str">
        <f>IFERROR(__xludf.DUMMYFUNCTION("""COMPUTED_VALUE"""),"Briddhim,Syafru (Rasuwa)")</f>
        <v>Briddhim,Syafru (Rasuwa)</v>
      </c>
    </row>
    <row r="893">
      <c r="A893" s="2">
        <f>IFERROR(__xludf.DUMMYFUNCTION("""COMPUTED_VALUE"""),892.0)</f>
        <v>892</v>
      </c>
      <c r="B893" s="2" t="str">
        <f>IFERROR(__xludf.DUMMYFUNCTION("""COMPUTED_VALUE"""),"Belkhu Khola")</f>
        <v>Belkhu Khola</v>
      </c>
      <c r="C893" s="2">
        <f>IFERROR(__xludf.DUMMYFUNCTION("""COMPUTED_VALUE"""),1.0)</f>
        <v>1</v>
      </c>
      <c r="D893" s="2"/>
      <c r="E893" s="2">
        <f>IFERROR(__xludf.DUMMYFUNCTION("""COMPUTED_VALUE"""),2642.0)</f>
        <v>2642</v>
      </c>
      <c r="F893" s="3">
        <f>IFERROR(__xludf.DUMMYFUNCTION("""COMPUTED_VALUE"""),60549.0)</f>
        <v>60549</v>
      </c>
      <c r="G893" s="2" t="str">
        <f>IFERROR(__xludf.DUMMYFUNCTION("""COMPUTED_VALUE"""),"Ram Prasad Rijal")</f>
        <v>Ram Prasad Rijal</v>
      </c>
      <c r="H893" s="2" t="str">
        <f>IFERROR(__xludf.DUMMYFUNCTION("""COMPUTED_VALUE"""),"Kalanki Kathmandu")</f>
        <v>Kalanki Kathmandu</v>
      </c>
      <c r="I893" s="2" t="str">
        <f>IFERROR(__xludf.DUMMYFUNCTION("""COMPUTED_VALUE"""),"00o 00' 00""")</f>
        <v>00o 00' 00"</v>
      </c>
      <c r="J893" s="2" t="str">
        <f>IFERROR(__xludf.DUMMYFUNCTION("""COMPUTED_VALUE"""),"00o 00' 00""")</f>
        <v>00o 00' 00"</v>
      </c>
      <c r="K893" s="2" t="str">
        <f>IFERROR(__xludf.DUMMYFUNCTION("""COMPUTED_VALUE"""),"00o 00' 00""")</f>
        <v>00o 00' 00"</v>
      </c>
      <c r="L893" s="2" t="str">
        <f>IFERROR(__xludf.DUMMYFUNCTION("""COMPUTED_VALUE"""),"00o 00' 00""")</f>
        <v>00o 00' 00"</v>
      </c>
      <c r="M893" s="2" t="str">
        <f>IFERROR(__xludf.DUMMYFUNCTION("""COMPUTED_VALUE"""),"Baireni,Pida (Dhading)")</f>
        <v>Baireni,Pida (Dhading)</v>
      </c>
    </row>
    <row r="894">
      <c r="A894" s="2">
        <f>IFERROR(__xludf.DUMMYFUNCTION("""COMPUTED_VALUE"""),893.0)</f>
        <v>893</v>
      </c>
      <c r="B894" s="2" t="str">
        <f>IFERROR(__xludf.DUMMYFUNCTION("""COMPUTED_VALUE"""),"Gomati Khola SHP")</f>
        <v>Gomati Khola SHP</v>
      </c>
      <c r="C894" s="2">
        <f>IFERROR(__xludf.DUMMYFUNCTION("""COMPUTED_VALUE"""),0.75)</f>
        <v>0.75</v>
      </c>
      <c r="D894" s="2" t="str">
        <f>IFERROR(__xludf.DUMMYFUNCTION("""COMPUTED_VALUE"""),"Gomati")</f>
        <v>Gomati</v>
      </c>
      <c r="E894" s="2">
        <f>IFERROR(__xludf.DUMMYFUNCTION("""COMPUTED_VALUE"""),2667.0)</f>
        <v>2667</v>
      </c>
      <c r="F894" s="3">
        <f>IFERROR(__xludf.DUMMYFUNCTION("""COMPUTED_VALUE"""),60550.0)</f>
        <v>60550</v>
      </c>
      <c r="G894" s="2" t="str">
        <f>IFERROR(__xludf.DUMMYFUNCTION("""COMPUTED_VALUE"""),"Shyam Sundar Tayal")</f>
        <v>Shyam Sundar Tayal</v>
      </c>
      <c r="H894" s="2" t="str">
        <f>IFERROR(__xludf.DUMMYFUNCTION("""COMPUTED_VALUE"""),"Jhapa")</f>
        <v>Jhapa</v>
      </c>
      <c r="I894" s="2" t="str">
        <f>IFERROR(__xludf.DUMMYFUNCTION("""COMPUTED_VALUE"""),"00o 00' 00""")</f>
        <v>00o 00' 00"</v>
      </c>
      <c r="J894" s="2" t="str">
        <f>IFERROR(__xludf.DUMMYFUNCTION("""COMPUTED_VALUE"""),"00o 00' 00""")</f>
        <v>00o 00' 00"</v>
      </c>
      <c r="K894" s="2" t="str">
        <f>IFERROR(__xludf.DUMMYFUNCTION("""COMPUTED_VALUE"""),"00o 00' 00""")</f>
        <v>00o 00' 00"</v>
      </c>
      <c r="L894" s="2" t="str">
        <f>IFERROR(__xludf.DUMMYFUNCTION("""COMPUTED_VALUE"""),"00o 00' 00""")</f>
        <v>00o 00' 00"</v>
      </c>
      <c r="M894" s="2" t="str">
        <f>IFERROR(__xludf.DUMMYFUNCTION("""COMPUTED_VALUE"""),"Saraswotinagar (Doti)")</f>
        <v>Saraswotinagar (Doti)</v>
      </c>
    </row>
    <row r="895">
      <c r="A895" s="2">
        <f>IFERROR(__xludf.DUMMYFUNCTION("""COMPUTED_VALUE"""),894.0)</f>
        <v>894</v>
      </c>
      <c r="B895" s="2" t="str">
        <f>IFERROR(__xludf.DUMMYFUNCTION("""COMPUTED_VALUE"""),"Kintan Khola HPP")</f>
        <v>Kintan Khola HPP</v>
      </c>
      <c r="C895" s="2">
        <f>IFERROR(__xludf.DUMMYFUNCTION("""COMPUTED_VALUE"""),0.99)</f>
        <v>0.99</v>
      </c>
      <c r="D895" s="2" t="str">
        <f>IFERROR(__xludf.DUMMYFUNCTION("""COMPUTED_VALUE"""),"Kintang Khola")</f>
        <v>Kintang Khola</v>
      </c>
      <c r="E895" s="2">
        <f>IFERROR(__xludf.DUMMYFUNCTION("""COMPUTED_VALUE"""),2668.0)</f>
        <v>2668</v>
      </c>
      <c r="F895" s="3">
        <f>IFERROR(__xludf.DUMMYFUNCTION("""COMPUTED_VALUE"""),60550.0)</f>
        <v>60550</v>
      </c>
      <c r="G895" s="2" t="str">
        <f>IFERROR(__xludf.DUMMYFUNCTION("""COMPUTED_VALUE"""),"Amit Adhikari")</f>
        <v>Amit Adhikari</v>
      </c>
      <c r="H895" s="2" t="str">
        <f>IFERROR(__xludf.DUMMYFUNCTION("""COMPUTED_VALUE"""),"Dhading")</f>
        <v>Dhading</v>
      </c>
      <c r="I895" s="2" t="str">
        <f>IFERROR(__xludf.DUMMYFUNCTION("""COMPUTED_VALUE"""),"28o 00' 57""")</f>
        <v>28o 00' 57"</v>
      </c>
      <c r="J895" s="2" t="str">
        <f>IFERROR(__xludf.DUMMYFUNCTION("""COMPUTED_VALUE"""),"28o 02' 10""")</f>
        <v>28o 02' 10"</v>
      </c>
      <c r="K895" s="2" t="str">
        <f>IFERROR(__xludf.DUMMYFUNCTION("""COMPUTED_VALUE"""),"84o 57' 30""")</f>
        <v>84o 57' 30"</v>
      </c>
      <c r="L895" s="2" t="str">
        <f>IFERROR(__xludf.DUMMYFUNCTION("""COMPUTED_VALUE"""),"85o 01' 36""")</f>
        <v>85o 01' 36"</v>
      </c>
      <c r="M895" s="2" t="str">
        <f>IFERROR(__xludf.DUMMYFUNCTION("""COMPUTED_VALUE"""),"Marpak,Satyadevi (Dhading)")</f>
        <v>Marpak,Satyadevi (Dhading)</v>
      </c>
    </row>
    <row r="896">
      <c r="A896" s="2">
        <f>IFERROR(__xludf.DUMMYFUNCTION("""COMPUTED_VALUE"""),895.0)</f>
        <v>895</v>
      </c>
      <c r="B896" s="2" t="str">
        <f>IFERROR(__xludf.DUMMYFUNCTION("""COMPUTED_VALUE"""),"Lapang-2 HPP")</f>
        <v>Lapang-2 HPP</v>
      </c>
      <c r="C896" s="2">
        <f>IFERROR(__xludf.DUMMYFUNCTION("""COMPUTED_VALUE"""),0.2)</f>
        <v>0.2</v>
      </c>
      <c r="D896" s="2"/>
      <c r="E896" s="2">
        <f>IFERROR(__xludf.DUMMYFUNCTION("""COMPUTED_VALUE"""),2669.0)</f>
        <v>2669</v>
      </c>
      <c r="F896" s="3">
        <f>IFERROR(__xludf.DUMMYFUNCTION("""COMPUTED_VALUE"""),60550.0)</f>
        <v>60550</v>
      </c>
      <c r="G896" s="2" t="str">
        <f>IFERROR(__xludf.DUMMYFUNCTION("""COMPUTED_VALUE"""),"Prakash Timilsina")</f>
        <v>Prakash Timilsina</v>
      </c>
      <c r="H896" s="2" t="str">
        <f>IFERROR(__xludf.DUMMYFUNCTION("""COMPUTED_VALUE"""),"Nalang--6 , Dhading")</f>
        <v>Nalang--6 , Dhading</v>
      </c>
      <c r="I896" s="2" t="str">
        <f>IFERROR(__xludf.DUMMYFUNCTION("""COMPUTED_VALUE"""),"28o 00' 00""")</f>
        <v>28o 00' 00"</v>
      </c>
      <c r="J896" s="2" t="str">
        <f>IFERROR(__xludf.DUMMYFUNCTION("""COMPUTED_VALUE"""),"28o 00' 15""")</f>
        <v>28o 00' 15"</v>
      </c>
      <c r="K896" s="2" t="str">
        <f>IFERROR(__xludf.DUMMYFUNCTION("""COMPUTED_VALUE"""),"84o 56' 07""")</f>
        <v>84o 56' 07"</v>
      </c>
      <c r="L896" s="2" t="str">
        <f>IFERROR(__xludf.DUMMYFUNCTION("""COMPUTED_VALUE"""),"84o 56' 56""")</f>
        <v>84o 56' 56"</v>
      </c>
      <c r="M896" s="2"/>
    </row>
    <row r="897">
      <c r="A897" s="2">
        <f>IFERROR(__xludf.DUMMYFUNCTION("""COMPUTED_VALUE"""),896.0)</f>
        <v>896</v>
      </c>
      <c r="B897" s="2" t="str">
        <f>IFERROR(__xludf.DUMMYFUNCTION("""COMPUTED_VALUE"""),"Mai Energy HPP")</f>
        <v>Mai Energy HPP</v>
      </c>
      <c r="C897" s="2">
        <f>IFERROR(__xludf.DUMMYFUNCTION("""COMPUTED_VALUE"""),15.0)</f>
        <v>15</v>
      </c>
      <c r="D897" s="2" t="str">
        <f>IFERROR(__xludf.DUMMYFUNCTION("""COMPUTED_VALUE"""),"Mai Khola")</f>
        <v>Mai Khola</v>
      </c>
      <c r="E897" s="2">
        <f>IFERROR(__xludf.DUMMYFUNCTION("""COMPUTED_VALUE"""),2671.0)</f>
        <v>2671</v>
      </c>
      <c r="F897" s="3">
        <f>IFERROR(__xludf.DUMMYFUNCTION("""COMPUTED_VALUE"""),60550.0)</f>
        <v>60550</v>
      </c>
      <c r="G897" s="2" t="str">
        <f>IFERROR(__xludf.DUMMYFUNCTION("""COMPUTED_VALUE"""),"River Mount Hydropower Developoment Pvt Ltd")</f>
        <v>River Mount Hydropower Developoment Pvt Ltd</v>
      </c>
      <c r="H897" s="2" t="str">
        <f>IFERROR(__xludf.DUMMYFUNCTION("""COMPUTED_VALUE"""),"Kathmandu, Tel: 4460612")</f>
        <v>Kathmandu, Tel: 4460612</v>
      </c>
      <c r="I897" s="2" t="str">
        <f>IFERROR(__xludf.DUMMYFUNCTION("""COMPUTED_VALUE"""),"26o 47' 04""")</f>
        <v>26o 47' 04"</v>
      </c>
      <c r="J897" s="2" t="str">
        <f>IFERROR(__xludf.DUMMYFUNCTION("""COMPUTED_VALUE"""),"26o 51' 15""")</f>
        <v>26o 51' 15"</v>
      </c>
      <c r="K897" s="2" t="str">
        <f>IFERROR(__xludf.DUMMYFUNCTION("""COMPUTED_VALUE"""),"87o 45' 52""")</f>
        <v>87o 45' 52"</v>
      </c>
      <c r="L897" s="2" t="str">
        <f>IFERROR(__xludf.DUMMYFUNCTION("""COMPUTED_VALUE"""),"87o 52' 00""")</f>
        <v>87o 52' 00"</v>
      </c>
      <c r="M897" s="2" t="str">
        <f>IFERROR(__xludf.DUMMYFUNCTION("""COMPUTED_VALUE"""),"Danabari (Ilam)")</f>
        <v>Danabari (Ilam)</v>
      </c>
    </row>
    <row r="898">
      <c r="A898" s="2">
        <f>IFERROR(__xludf.DUMMYFUNCTION("""COMPUTED_VALUE"""),897.0)</f>
        <v>897</v>
      </c>
      <c r="B898" s="2" t="str">
        <f>IFERROR(__xludf.DUMMYFUNCTION("""COMPUTED_VALUE"""),"Ghanteswar Jwalawan HPP")</f>
        <v>Ghanteswar Jwalawan HPP</v>
      </c>
      <c r="C898" s="2">
        <f>IFERROR(__xludf.DUMMYFUNCTION("""COMPUTED_VALUE"""),0.75)</f>
        <v>0.75</v>
      </c>
      <c r="D898" s="2"/>
      <c r="E898" s="2">
        <f>IFERROR(__xludf.DUMMYFUNCTION("""COMPUTED_VALUE"""),2677.0)</f>
        <v>2677</v>
      </c>
      <c r="F898" s="3">
        <f>IFERROR(__xludf.DUMMYFUNCTION("""COMPUTED_VALUE"""),60552.0)</f>
        <v>60552</v>
      </c>
      <c r="G898" s="2" t="str">
        <f>IFERROR(__xludf.DUMMYFUNCTION("""COMPUTED_VALUE"""),"Ambika Sharma")</f>
        <v>Ambika Sharma</v>
      </c>
      <c r="H898" s="2" t="str">
        <f>IFERROR(__xludf.DUMMYFUNCTION("""COMPUTED_VALUE"""),"Kathmandu ,Tel:9841968745")</f>
        <v>Kathmandu ,Tel:9841968745</v>
      </c>
      <c r="I898" s="2" t="str">
        <f>IFERROR(__xludf.DUMMYFUNCTION("""COMPUTED_VALUE"""),"00o 00' 00""")</f>
        <v>00o 00' 00"</v>
      </c>
      <c r="J898" s="2" t="str">
        <f>IFERROR(__xludf.DUMMYFUNCTION("""COMPUTED_VALUE"""),"00o 00' 00""")</f>
        <v>00o 00' 00"</v>
      </c>
      <c r="K898" s="2" t="str">
        <f>IFERROR(__xludf.DUMMYFUNCTION("""COMPUTED_VALUE"""),"00o 00' 00""")</f>
        <v>00o 00' 00"</v>
      </c>
      <c r="L898" s="2" t="str">
        <f>IFERROR(__xludf.DUMMYFUNCTION("""COMPUTED_VALUE"""),"00o 00' 00""")</f>
        <v>00o 00' 00"</v>
      </c>
      <c r="M898" s="2" t="str">
        <f>IFERROR(__xludf.DUMMYFUNCTION("""COMPUTED_VALUE"""),"Ghanteswor (Doti)")</f>
        <v>Ghanteswor (Doti)</v>
      </c>
    </row>
    <row r="899">
      <c r="A899" s="2">
        <f>IFERROR(__xludf.DUMMYFUNCTION("""COMPUTED_VALUE"""),898.0)</f>
        <v>898</v>
      </c>
      <c r="B899" s="2" t="str">
        <f>IFERROR(__xludf.DUMMYFUNCTION("""COMPUTED_VALUE"""),"Marsyangdi-Trishuli Inter-Basin HPP")</f>
        <v>Marsyangdi-Trishuli Inter-Basin HPP</v>
      </c>
      <c r="C899" s="2">
        <f>IFERROR(__xludf.DUMMYFUNCTION("""COMPUTED_VALUE"""),50.0)</f>
        <v>50</v>
      </c>
      <c r="D899" s="2" t="str">
        <f>IFERROR(__xludf.DUMMYFUNCTION("""COMPUTED_VALUE"""),"Marsyangdi /Trishuli")</f>
        <v>Marsyangdi /Trishuli</v>
      </c>
      <c r="E899" s="2">
        <f>IFERROR(__xludf.DUMMYFUNCTION("""COMPUTED_VALUE"""),2682.0)</f>
        <v>2682</v>
      </c>
      <c r="F899" s="3">
        <f>IFERROR(__xludf.DUMMYFUNCTION("""COMPUTED_VALUE"""),60552.0)</f>
        <v>60552</v>
      </c>
      <c r="G899" s="2" t="str">
        <f>IFERROR(__xludf.DUMMYFUNCTION("""COMPUTED_VALUE"""),"Galeswar Hydropower Company Pvt Ltd")</f>
        <v>Galeswar Hydropower Company Pvt Ltd</v>
      </c>
      <c r="H899" s="2" t="str">
        <f>IFERROR(__xludf.DUMMYFUNCTION("""COMPUTED_VALUE"""),"Kathmandu, Tel: 9858020104, 9841564781")</f>
        <v>Kathmandu, Tel: 9858020104, 9841564781</v>
      </c>
      <c r="I899" s="2" t="str">
        <f>IFERROR(__xludf.DUMMYFUNCTION("""COMPUTED_VALUE"""),"27o 48' 19""")</f>
        <v>27o 48' 19"</v>
      </c>
      <c r="J899" s="2" t="str">
        <f>IFERROR(__xludf.DUMMYFUNCTION("""COMPUTED_VALUE"""),"27o 52' 30""")</f>
        <v>27o 52' 30"</v>
      </c>
      <c r="K899" s="2" t="str">
        <f>IFERROR(__xludf.DUMMYFUNCTION("""COMPUTED_VALUE"""),"84o 27' 30""")</f>
        <v>84o 27' 30"</v>
      </c>
      <c r="L899" s="2" t="str">
        <f>IFERROR(__xludf.DUMMYFUNCTION("""COMPUTED_VALUE"""),"84o 33' 39""")</f>
        <v>84o 33' 39"</v>
      </c>
      <c r="M899" s="2" t="str">
        <f>IFERROR(__xludf.DUMMYFUNCTION("""COMPUTED_VALUE"""),"Ambukhaireni,Chhimkeswori (Tanahu)")</f>
        <v>Ambukhaireni,Chhimkeswori (Tanahu)</v>
      </c>
    </row>
    <row r="900">
      <c r="A900" s="2">
        <f>IFERROR(__xludf.DUMMYFUNCTION("""COMPUTED_VALUE"""),899.0)</f>
        <v>899</v>
      </c>
      <c r="B900" s="2" t="str">
        <f>IFERROR(__xludf.DUMMYFUNCTION("""COMPUTED_VALUE"""),"Ankhu Khola HPP")</f>
        <v>Ankhu Khola HPP</v>
      </c>
      <c r="C900" s="2">
        <f>IFERROR(__xludf.DUMMYFUNCTION("""COMPUTED_VALUE"""),0.9)</f>
        <v>0.9</v>
      </c>
      <c r="D900" s="2" t="str">
        <f>IFERROR(__xludf.DUMMYFUNCTION("""COMPUTED_VALUE"""),"Ankhu Khola")</f>
        <v>Ankhu Khola</v>
      </c>
      <c r="E900" s="2">
        <f>IFERROR(__xludf.DUMMYFUNCTION("""COMPUTED_VALUE"""),2701.0)</f>
        <v>2701</v>
      </c>
      <c r="F900" s="3">
        <f>IFERROR(__xludf.DUMMYFUNCTION("""COMPUTED_VALUE"""),60553.0)</f>
        <v>60553</v>
      </c>
      <c r="G900" s="2" t="str">
        <f>IFERROR(__xludf.DUMMYFUNCTION("""COMPUTED_VALUE"""),"Forecast Consultancy Services Pvt Ltd")</f>
        <v>Forecast Consultancy Services Pvt Ltd</v>
      </c>
      <c r="H900" s="2" t="str">
        <f>IFERROR(__xludf.DUMMYFUNCTION("""COMPUTED_VALUE"""),"Kathmandu")</f>
        <v>Kathmandu</v>
      </c>
      <c r="I900" s="2" t="str">
        <f>IFERROR(__xludf.DUMMYFUNCTION("""COMPUTED_VALUE"""),"27o 59' 24""")</f>
        <v>27o 59' 24"</v>
      </c>
      <c r="J900" s="2" t="str">
        <f>IFERROR(__xludf.DUMMYFUNCTION("""COMPUTED_VALUE"""),"28o 00' 00""")</f>
        <v>28o 00' 00"</v>
      </c>
      <c r="K900" s="2" t="str">
        <f>IFERROR(__xludf.DUMMYFUNCTION("""COMPUTED_VALUE"""),"84o 49' 30""")</f>
        <v>84o 49' 30"</v>
      </c>
      <c r="L900" s="2" t="str">
        <f>IFERROR(__xludf.DUMMYFUNCTION("""COMPUTED_VALUE"""),"84o 54' 25""")</f>
        <v>84o 54' 25"</v>
      </c>
      <c r="M900" s="2" t="str">
        <f>IFERROR(__xludf.DUMMYFUNCTION("""COMPUTED_VALUE"""),"Jyamaruk,Tripureswor (Dhading)")</f>
        <v>Jyamaruk,Tripureswor (Dhading)</v>
      </c>
    </row>
    <row r="901">
      <c r="A901" s="2">
        <f>IFERROR(__xludf.DUMMYFUNCTION("""COMPUTED_VALUE"""),900.0)</f>
        <v>900</v>
      </c>
      <c r="B901" s="2" t="str">
        <f>IFERROR(__xludf.DUMMYFUNCTION("""COMPUTED_VALUE"""),"Upper Lamtang Khola HPP")</f>
        <v>Upper Lamtang Khola HPP</v>
      </c>
      <c r="C901" s="2">
        <f>IFERROR(__xludf.DUMMYFUNCTION("""COMPUTED_VALUE"""),5.0)</f>
        <v>5</v>
      </c>
      <c r="D901" s="2" t="str">
        <f>IFERROR(__xludf.DUMMYFUNCTION("""COMPUTED_VALUE"""),"Langtang")</f>
        <v>Langtang</v>
      </c>
      <c r="E901" s="2">
        <f>IFERROR(__xludf.DUMMYFUNCTION("""COMPUTED_VALUE"""),2712.0)</f>
        <v>2712</v>
      </c>
      <c r="F901" s="3">
        <f>IFERROR(__xludf.DUMMYFUNCTION("""COMPUTED_VALUE"""),60553.0)</f>
        <v>60553</v>
      </c>
      <c r="G901" s="2" t="str">
        <f>IFERROR(__xludf.DUMMYFUNCTION("""COMPUTED_VALUE"""),"Lima Adhikari,Lata Bhattarai, Vijaya Laxmi Joshi")</f>
        <v>Lima Adhikari,Lata Bhattarai, Vijaya Laxmi Joshi</v>
      </c>
      <c r="H901" s="2" t="str">
        <f>IFERROR(__xludf.DUMMYFUNCTION("""COMPUTED_VALUE"""),"Tel: 01-4371852,4376993")</f>
        <v>Tel: 01-4371852,4376993</v>
      </c>
      <c r="I901" s="2" t="str">
        <f>IFERROR(__xludf.DUMMYFUNCTION("""COMPUTED_VALUE"""),"28o 08' 45""")</f>
        <v>28o 08' 45"</v>
      </c>
      <c r="J901" s="2" t="str">
        <f>IFERROR(__xludf.DUMMYFUNCTION("""COMPUTED_VALUE"""),"28o 13' 10""")</f>
        <v>28o 13' 10"</v>
      </c>
      <c r="K901" s="2" t="str">
        <f>IFERROR(__xludf.DUMMYFUNCTION("""COMPUTED_VALUE"""),"85o 25' 35""")</f>
        <v>85o 25' 35"</v>
      </c>
      <c r="L901" s="2" t="str">
        <f>IFERROR(__xludf.DUMMYFUNCTION("""COMPUTED_VALUE"""),"85o 28' 15""")</f>
        <v>85o 28' 15"</v>
      </c>
      <c r="M901" s="2" t="str">
        <f>IFERROR(__xludf.DUMMYFUNCTION("""COMPUTED_VALUE"""),"Langtang,Briddhim (Rasuwa)")</f>
        <v>Langtang,Briddhim (Rasuwa)</v>
      </c>
    </row>
    <row r="902">
      <c r="A902" s="2">
        <f>IFERROR(__xludf.DUMMYFUNCTION("""COMPUTED_VALUE"""),901.0)</f>
        <v>901</v>
      </c>
      <c r="B902" s="2" t="str">
        <f>IFERROR(__xludf.DUMMYFUNCTION("""COMPUTED_VALUE"""),"Trishuli Khola")</f>
        <v>Trishuli Khola</v>
      </c>
      <c r="C902" s="2">
        <f>IFERROR(__xludf.DUMMYFUNCTION("""COMPUTED_VALUE"""),1.0)</f>
        <v>1</v>
      </c>
      <c r="D902" s="2" t="str">
        <f>IFERROR(__xludf.DUMMYFUNCTION("""COMPUTED_VALUE"""),"Trishuli")</f>
        <v>Trishuli</v>
      </c>
      <c r="E902" s="2">
        <f>IFERROR(__xludf.DUMMYFUNCTION("""COMPUTED_VALUE"""),2773.0)</f>
        <v>2773</v>
      </c>
      <c r="F902" s="3">
        <f>IFERROR(__xludf.DUMMYFUNCTION("""COMPUTED_VALUE"""),60553.0)</f>
        <v>60553</v>
      </c>
      <c r="G902" s="2" t="str">
        <f>IFERROR(__xludf.DUMMYFUNCTION("""COMPUTED_VALUE"""),"Deepa kafle")</f>
        <v>Deepa kafle</v>
      </c>
      <c r="H902" s="2" t="str">
        <f>IFERROR(__xludf.DUMMYFUNCTION("""COMPUTED_VALUE"""),"Kathmandu Mun icipality-11")</f>
        <v>Kathmandu Mun icipality-11</v>
      </c>
      <c r="I902" s="2" t="str">
        <f>IFERROR(__xludf.DUMMYFUNCTION("""COMPUTED_VALUE"""),"28o 05' 00""")</f>
        <v>28o 05' 00"</v>
      </c>
      <c r="J902" s="2" t="str">
        <f>IFERROR(__xludf.DUMMYFUNCTION("""COMPUTED_VALUE"""),"28o 08' 15""")</f>
        <v>28o 08' 15"</v>
      </c>
      <c r="K902" s="2" t="str">
        <f>IFERROR(__xludf.DUMMYFUNCTION("""COMPUTED_VALUE"""),"85o 18' 00""")</f>
        <v>85o 18' 00"</v>
      </c>
      <c r="L902" s="2" t="str">
        <f>IFERROR(__xludf.DUMMYFUNCTION("""COMPUTED_VALUE"""),"85o 20' 00""")</f>
        <v>85o 20' 00"</v>
      </c>
      <c r="M902" s="2" t="str">
        <f>IFERROR(__xludf.DUMMYFUNCTION("""COMPUTED_VALUE"""),"Dhunche (Rasuwa)")</f>
        <v>Dhunche (Rasuwa)</v>
      </c>
    </row>
    <row r="903">
      <c r="A903" s="2">
        <f>IFERROR(__xludf.DUMMYFUNCTION("""COMPUTED_VALUE"""),902.0)</f>
        <v>902</v>
      </c>
      <c r="B903" s="2" t="str">
        <f>IFERROR(__xludf.DUMMYFUNCTION("""COMPUTED_VALUE"""),"Dinla Khola SHP")</f>
        <v>Dinla Khola SHP</v>
      </c>
      <c r="C903" s="2">
        <f>IFERROR(__xludf.DUMMYFUNCTION("""COMPUTED_VALUE"""),0.9)</f>
        <v>0.9</v>
      </c>
      <c r="D903" s="2" t="str">
        <f>IFERROR(__xludf.DUMMYFUNCTION("""COMPUTED_VALUE"""),"Dinla")</f>
        <v>Dinla</v>
      </c>
      <c r="E903" s="2">
        <f>IFERROR(__xludf.DUMMYFUNCTION("""COMPUTED_VALUE"""),2905.0)</f>
        <v>2905</v>
      </c>
      <c r="F903" s="3">
        <f>IFERROR(__xludf.DUMMYFUNCTION("""COMPUTED_VALUE"""),60553.0)</f>
        <v>60553</v>
      </c>
      <c r="G903" s="2" t="str">
        <f>IFERROR(__xludf.DUMMYFUNCTION("""COMPUTED_VALUE"""),"Dinanath Dahal, Sharda Sharma Nepal")</f>
        <v>Dinanath Dahal, Sharda Sharma Nepal</v>
      </c>
      <c r="H903" s="2" t="str">
        <f>IFERROR(__xludf.DUMMYFUNCTION("""COMPUTED_VALUE"""),"Madirambeni VDC-2 , Sankhuwasabha")</f>
        <v>Madirambeni VDC-2 , Sankhuwasabha</v>
      </c>
      <c r="I903" s="2" t="str">
        <f>IFERROR(__xludf.DUMMYFUNCTION("""COMPUTED_VALUE"""),"27o 25' 00""")</f>
        <v>27o 25' 00"</v>
      </c>
      <c r="J903" s="2" t="str">
        <f>IFERROR(__xludf.DUMMYFUNCTION("""COMPUTED_VALUE"""),"27o 27' 16""")</f>
        <v>27o 27' 16"</v>
      </c>
      <c r="K903" s="2" t="str">
        <f>IFERROR(__xludf.DUMMYFUNCTION("""COMPUTED_VALUE"""),"87o 22' 35""")</f>
        <v>87o 22' 35"</v>
      </c>
      <c r="L903" s="2" t="str">
        <f>IFERROR(__xludf.DUMMYFUNCTION("""COMPUTED_VALUE"""),"87o 23' 28""")</f>
        <v>87o 23' 28"</v>
      </c>
      <c r="M903" s="2" t="str">
        <f>IFERROR(__xludf.DUMMYFUNCTION("""COMPUTED_VALUE"""),"Sabha Pokhari (Sankhuwasabha)")</f>
        <v>Sabha Pokhari (Sankhuwasabha)</v>
      </c>
    </row>
    <row r="904">
      <c r="A904" s="2">
        <f>IFERROR(__xludf.DUMMYFUNCTION("""COMPUTED_VALUE"""),903.0)</f>
        <v>903</v>
      </c>
      <c r="B904" s="2" t="str">
        <f>IFERROR(__xludf.DUMMYFUNCTION("""COMPUTED_VALUE"""),"Nisti Khola Mini Hydro Project")</f>
        <v>Nisti Khola Mini Hydro Project</v>
      </c>
      <c r="C904" s="2">
        <f>IFERROR(__xludf.DUMMYFUNCTION("""COMPUTED_VALUE"""),0.938)</f>
        <v>0.938</v>
      </c>
      <c r="D904" s="2" t="str">
        <f>IFERROR(__xludf.DUMMYFUNCTION("""COMPUTED_VALUE"""),"Nisti Khola")</f>
        <v>Nisti Khola</v>
      </c>
      <c r="E904" s="2">
        <f>IFERROR(__xludf.DUMMYFUNCTION("""COMPUTED_VALUE"""),2755.0)</f>
        <v>2755</v>
      </c>
      <c r="F904" s="3">
        <f>IFERROR(__xludf.DUMMYFUNCTION("""COMPUTED_VALUE"""),60555.0)</f>
        <v>60555</v>
      </c>
      <c r="G904" s="2" t="str">
        <f>IFERROR(__xludf.DUMMYFUNCTION("""COMPUTED_VALUE"""),"Tulsi Bahadur Raymajhi")</f>
        <v>Tulsi Bahadur Raymajhi</v>
      </c>
      <c r="H904" s="2" t="str">
        <f>IFERROR(__xludf.DUMMYFUNCTION("""COMPUTED_VALUE"""),"GPO Box; 8973, Tel: 01-6914281,9747024195")</f>
        <v>GPO Box; 8973, Tel: 01-6914281,9747024195</v>
      </c>
      <c r="I904" s="2" t="str">
        <f>IFERROR(__xludf.DUMMYFUNCTION("""COMPUTED_VALUE"""),"28o 07' 00""")</f>
        <v>28o 07' 00"</v>
      </c>
      <c r="J904" s="2" t="str">
        <f>IFERROR(__xludf.DUMMYFUNCTION("""COMPUTED_VALUE"""),"28o 08' 38""")</f>
        <v>28o 08' 38"</v>
      </c>
      <c r="K904" s="2" t="str">
        <f>IFERROR(__xludf.DUMMYFUNCTION("""COMPUTED_VALUE"""),"83o 15' 00""")</f>
        <v>83o 15' 00"</v>
      </c>
      <c r="L904" s="2" t="str">
        <f>IFERROR(__xludf.DUMMYFUNCTION("""COMPUTED_VALUE"""),"83o 16' 38""")</f>
        <v>83o 16' 38"</v>
      </c>
      <c r="M904" s="2" t="str">
        <f>IFERROR(__xludf.DUMMYFUNCTION("""COMPUTED_VALUE"""),"Badagaun (Gulmi)")</f>
        <v>Badagaun (Gulmi)</v>
      </c>
    </row>
    <row r="905">
      <c r="A905" s="2">
        <f>IFERROR(__xludf.DUMMYFUNCTION("""COMPUTED_VALUE"""),904.0)</f>
        <v>904</v>
      </c>
      <c r="B905" s="2" t="str">
        <f>IFERROR(__xludf.DUMMYFUNCTION("""COMPUTED_VALUE"""),"Garjan Khola SHP")</f>
        <v>Garjan Khola SHP</v>
      </c>
      <c r="C905" s="2">
        <f>IFERROR(__xludf.DUMMYFUNCTION("""COMPUTED_VALUE"""),1.25)</f>
        <v>1.25</v>
      </c>
      <c r="D905" s="2" t="str">
        <f>IFERROR(__xludf.DUMMYFUNCTION("""COMPUTED_VALUE"""),"Garjan")</f>
        <v>Garjan</v>
      </c>
      <c r="E905" s="2">
        <f>IFERROR(__xludf.DUMMYFUNCTION("""COMPUTED_VALUE"""),2766.0)</f>
        <v>2766</v>
      </c>
      <c r="F905" s="3">
        <f>IFERROR(__xludf.DUMMYFUNCTION("""COMPUTED_VALUE"""),60557.0)</f>
        <v>60557</v>
      </c>
      <c r="G905" s="2" t="str">
        <f>IFERROR(__xludf.DUMMYFUNCTION("""COMPUTED_VALUE"""),"Sishkali Power Pvt Ltd")</f>
        <v>Sishkali Power Pvt Ltd</v>
      </c>
      <c r="H905" s="2" t="str">
        <f>IFERROR(__xludf.DUMMYFUNCTION("""COMPUTED_VALUE"""),"PO BOX: 9106 Kathmandu")</f>
        <v>PO BOX: 9106 Kathmandu</v>
      </c>
      <c r="I905" s="2" t="str">
        <f>IFERROR(__xludf.DUMMYFUNCTION("""COMPUTED_VALUE"""),"27o 38' 30""")</f>
        <v>27o 38' 30"</v>
      </c>
      <c r="J905" s="2" t="str">
        <f>IFERROR(__xludf.DUMMYFUNCTION("""COMPUTED_VALUE"""),"27o 38' 42""")</f>
        <v>27o 38' 42"</v>
      </c>
      <c r="K905" s="2" t="str">
        <f>IFERROR(__xludf.DUMMYFUNCTION("""COMPUTED_VALUE"""),"86o 19' 05""")</f>
        <v>86o 19' 05"</v>
      </c>
      <c r="L905" s="2" t="str">
        <f>IFERROR(__xludf.DUMMYFUNCTION("""COMPUTED_VALUE"""),"86o 20' 42""")</f>
        <v>86o 20' 42"</v>
      </c>
      <c r="M905" s="2" t="str">
        <f>IFERROR(__xludf.DUMMYFUNCTION("""COMPUTED_VALUE"""),"Chuchure (Ramechhap)")</f>
        <v>Chuchure (Ramechhap)</v>
      </c>
    </row>
    <row r="906">
      <c r="A906" s="2">
        <f>IFERROR(__xludf.DUMMYFUNCTION("""COMPUTED_VALUE"""),905.0)</f>
        <v>905</v>
      </c>
      <c r="B906" s="2" t="str">
        <f>IFERROR(__xludf.DUMMYFUNCTION("""COMPUTED_VALUE"""),"Upper Lantan Khola HPP")</f>
        <v>Upper Lantan Khola HPP</v>
      </c>
      <c r="C906" s="2">
        <f>IFERROR(__xludf.DUMMYFUNCTION("""COMPUTED_VALUE"""),1.0)</f>
        <v>1</v>
      </c>
      <c r="D906" s="2" t="str">
        <f>IFERROR(__xludf.DUMMYFUNCTION("""COMPUTED_VALUE"""),"Langtang")</f>
        <v>Langtang</v>
      </c>
      <c r="E906" s="2">
        <f>IFERROR(__xludf.DUMMYFUNCTION("""COMPUTED_VALUE"""),2774.0)</f>
        <v>2774</v>
      </c>
      <c r="F906" s="3">
        <f>IFERROR(__xludf.DUMMYFUNCTION("""COMPUTED_VALUE"""),60557.0)</f>
        <v>60557</v>
      </c>
      <c r="G906" s="2" t="str">
        <f>IFERROR(__xludf.DUMMYFUNCTION("""COMPUTED_VALUE"""),"Trans Energy Pvt Ltd")</f>
        <v>Trans Energy Pvt Ltd</v>
      </c>
      <c r="H906" s="2" t="str">
        <f>IFERROR(__xludf.DUMMYFUNCTION("""COMPUTED_VALUE"""),"Kathmandu, Tel: 4432107")</f>
        <v>Kathmandu, Tel: 4432107</v>
      </c>
      <c r="I906" s="2" t="str">
        <f>IFERROR(__xludf.DUMMYFUNCTION("""COMPUTED_VALUE"""),"28o 08' 00""")</f>
        <v>28o 08' 00"</v>
      </c>
      <c r="J906" s="2" t="str">
        <f>IFERROR(__xludf.DUMMYFUNCTION("""COMPUTED_VALUE"""),"28o 13' 00""")</f>
        <v>28o 13' 00"</v>
      </c>
      <c r="K906" s="2" t="str">
        <f>IFERROR(__xludf.DUMMYFUNCTION("""COMPUTED_VALUE"""),"85o 25' 00""")</f>
        <v>85o 25' 00"</v>
      </c>
      <c r="L906" s="2" t="str">
        <f>IFERROR(__xludf.DUMMYFUNCTION("""COMPUTED_VALUE"""),"85o 30' 00""")</f>
        <v>85o 30' 00"</v>
      </c>
      <c r="M906" s="2" t="str">
        <f>IFERROR(__xludf.DUMMYFUNCTION("""COMPUTED_VALUE"""),"Briddhim,Langtang,Timure (Rasuwa)")</f>
        <v>Briddhim,Langtang,Timure (Rasuwa)</v>
      </c>
    </row>
    <row r="907">
      <c r="A907" s="2">
        <f>IFERROR(__xludf.DUMMYFUNCTION("""COMPUTED_VALUE"""),906.0)</f>
        <v>906</v>
      </c>
      <c r="B907" s="2" t="str">
        <f>IFERROR(__xludf.DUMMYFUNCTION("""COMPUTED_VALUE"""),"Maili Khola")</f>
        <v>Maili Khola</v>
      </c>
      <c r="C907" s="2">
        <f>IFERROR(__xludf.DUMMYFUNCTION("""COMPUTED_VALUE"""),0.5)</f>
        <v>0.5</v>
      </c>
      <c r="D907" s="2" t="str">
        <f>IFERROR(__xludf.DUMMYFUNCTION("""COMPUTED_VALUE"""),"Maili Khoa")</f>
        <v>Maili Khoa</v>
      </c>
      <c r="E907" s="2">
        <f>IFERROR(__xludf.DUMMYFUNCTION("""COMPUTED_VALUE"""),2776.0)</f>
        <v>2776</v>
      </c>
      <c r="F907" s="3">
        <f>IFERROR(__xludf.DUMMYFUNCTION("""COMPUTED_VALUE"""),60557.0)</f>
        <v>60557</v>
      </c>
      <c r="G907" s="2" t="str">
        <f>IFERROR(__xludf.DUMMYFUNCTION("""COMPUTED_VALUE"""),"Pradip Kumar Sunuwar")</f>
        <v>Pradip Kumar Sunuwar</v>
      </c>
      <c r="H907" s="2" t="str">
        <f>IFERROR(__xludf.DUMMYFUNCTION("""COMPUTED_VALUE"""),"Khijifalate-2, Okhaldhunga")</f>
        <v>Khijifalate-2, Okhaldhunga</v>
      </c>
      <c r="I907" s="2" t="str">
        <f>IFERROR(__xludf.DUMMYFUNCTION("""COMPUTED_VALUE"""),"00o 00' 00""")</f>
        <v>00o 00' 00"</v>
      </c>
      <c r="J907" s="2" t="str">
        <f>IFERROR(__xludf.DUMMYFUNCTION("""COMPUTED_VALUE"""),"00o 00' 00""")</f>
        <v>00o 00' 00"</v>
      </c>
      <c r="K907" s="2" t="str">
        <f>IFERROR(__xludf.DUMMYFUNCTION("""COMPUTED_VALUE"""),"00o 00' 00""")</f>
        <v>00o 00' 00"</v>
      </c>
      <c r="L907" s="2" t="str">
        <f>IFERROR(__xludf.DUMMYFUNCTION("""COMPUTED_VALUE"""),"00o 00' 00""")</f>
        <v>00o 00' 00"</v>
      </c>
      <c r="M907" s="2" t="str">
        <f>IFERROR(__xludf.DUMMYFUNCTION("""COMPUTED_VALUE"""),"Bhussinga (Okhaldhunga)")</f>
        <v>Bhussinga (Okhaldhunga)</v>
      </c>
    </row>
    <row r="908">
      <c r="A908" s="2">
        <f>IFERROR(__xludf.DUMMYFUNCTION("""COMPUTED_VALUE"""),907.0)</f>
        <v>907</v>
      </c>
      <c r="B908" s="2" t="str">
        <f>IFERROR(__xludf.DUMMYFUNCTION("""COMPUTED_VALUE"""),"Chadaha Khola HPP")</f>
        <v>Chadaha Khola HPP</v>
      </c>
      <c r="C908" s="2">
        <f>IFERROR(__xludf.DUMMYFUNCTION("""COMPUTED_VALUE"""),0.99)</f>
        <v>0.99</v>
      </c>
      <c r="D908" s="2" t="str">
        <f>IFERROR(__xludf.DUMMYFUNCTION("""COMPUTED_VALUE"""),"Chadaha")</f>
        <v>Chadaha</v>
      </c>
      <c r="E908" s="2">
        <f>IFERROR(__xludf.DUMMYFUNCTION("""COMPUTED_VALUE"""),2796.0)</f>
        <v>2796</v>
      </c>
      <c r="F908" s="3">
        <f>IFERROR(__xludf.DUMMYFUNCTION("""COMPUTED_VALUE"""),60559.0)</f>
        <v>60559</v>
      </c>
      <c r="G908" s="2" t="str">
        <f>IFERROR(__xludf.DUMMYFUNCTION("""COMPUTED_VALUE"""),"Yubraj Basnet")</f>
        <v>Yubraj Basnet</v>
      </c>
      <c r="H908" s="2" t="str">
        <f>IFERROR(__xludf.DUMMYFUNCTION("""COMPUTED_VALUE"""),"Kaseni VDC, Morang")</f>
        <v>Kaseni VDC, Morang</v>
      </c>
      <c r="I908" s="2" t="str">
        <f>IFERROR(__xludf.DUMMYFUNCTION("""COMPUTED_VALUE"""),"27o 05' 46""")</f>
        <v>27o 05' 46"</v>
      </c>
      <c r="J908" s="2" t="str">
        <f>IFERROR(__xludf.DUMMYFUNCTION("""COMPUTED_VALUE"""),"27o 07' 30""")</f>
        <v>27o 07' 30"</v>
      </c>
      <c r="K908" s="2" t="str">
        <f>IFERROR(__xludf.DUMMYFUNCTION("""COMPUTED_VALUE"""),"86o 00' 25""")</f>
        <v>86o 00' 25"</v>
      </c>
      <c r="L908" s="2" t="str">
        <f>IFERROR(__xludf.DUMMYFUNCTION("""COMPUTED_VALUE"""),"86o 02' 12""")</f>
        <v>86o 02' 12"</v>
      </c>
      <c r="M908" s="2" t="str">
        <f>IFERROR(__xludf.DUMMYFUNCTION("""COMPUTED_VALUE"""),"Belghari (Sindhuli)")</f>
        <v>Belghari (Sindhuli)</v>
      </c>
    </row>
    <row r="909">
      <c r="A909" s="2">
        <f>IFERROR(__xludf.DUMMYFUNCTION("""COMPUTED_VALUE"""),908.0)</f>
        <v>908</v>
      </c>
      <c r="B909" s="2" t="str">
        <f>IFERROR(__xludf.DUMMYFUNCTION("""COMPUTED_VALUE"""),"Belkhu Khola SHP")</f>
        <v>Belkhu Khola SHP</v>
      </c>
      <c r="C909" s="2">
        <f>IFERROR(__xludf.DUMMYFUNCTION("""COMPUTED_VALUE"""),0.85)</f>
        <v>0.85</v>
      </c>
      <c r="D909" s="2" t="str">
        <f>IFERROR(__xludf.DUMMYFUNCTION("""COMPUTED_VALUE"""),"Belkhu Khola")</f>
        <v>Belkhu Khola</v>
      </c>
      <c r="E909" s="2">
        <f>IFERROR(__xludf.DUMMYFUNCTION("""COMPUTED_VALUE"""),2803.0)</f>
        <v>2803</v>
      </c>
      <c r="F909" s="3">
        <f>IFERROR(__xludf.DUMMYFUNCTION("""COMPUTED_VALUE"""),60559.0)</f>
        <v>60559</v>
      </c>
      <c r="G909" s="2" t="str">
        <f>IFERROR(__xludf.DUMMYFUNCTION("""COMPUTED_VALUE"""),"Ram Prasad Bidari, Kishor Khatiwada")</f>
        <v>Ram Prasad Bidari, Kishor Khatiwada</v>
      </c>
      <c r="H909" s="2" t="str">
        <f>IFERROR(__xludf.DUMMYFUNCTION("""COMPUTED_VALUE"""),"Thakre-3, Dhading")</f>
        <v>Thakre-3, Dhading</v>
      </c>
      <c r="I909" s="2" t="str">
        <f>IFERROR(__xludf.DUMMYFUNCTION("""COMPUTED_VALUE"""),"27o 47' 39""")</f>
        <v>27o 47' 39"</v>
      </c>
      <c r="J909" s="2" t="str">
        <f>IFERROR(__xludf.DUMMYFUNCTION("""COMPUTED_VALUE"""),"27o 48' 32""")</f>
        <v>27o 48' 32"</v>
      </c>
      <c r="K909" s="2" t="str">
        <f>IFERROR(__xludf.DUMMYFUNCTION("""COMPUTED_VALUE"""),"84o 56' 24""")</f>
        <v>84o 56' 24"</v>
      </c>
      <c r="L909" s="2" t="str">
        <f>IFERROR(__xludf.DUMMYFUNCTION("""COMPUTED_VALUE"""),"84o 57' 24""")</f>
        <v>84o 57' 24"</v>
      </c>
      <c r="M909" s="2" t="str">
        <f>IFERROR(__xludf.DUMMYFUNCTION("""COMPUTED_VALUE"""),"Pida,Baireni (Dhading)")</f>
        <v>Pida,Baireni (Dhading)</v>
      </c>
    </row>
    <row r="910">
      <c r="A910" s="2">
        <f>IFERROR(__xludf.DUMMYFUNCTION("""COMPUTED_VALUE"""),909.0)</f>
        <v>909</v>
      </c>
      <c r="B910" s="2" t="str">
        <f>IFERROR(__xludf.DUMMYFUNCTION("""COMPUTED_VALUE"""),"Marsyangdi-Syage HPP")</f>
        <v>Marsyangdi-Syage HPP</v>
      </c>
      <c r="C910" s="2">
        <f>IFERROR(__xludf.DUMMYFUNCTION("""COMPUTED_VALUE"""),20.0)</f>
        <v>20</v>
      </c>
      <c r="D910" s="2" t="str">
        <f>IFERROR(__xludf.DUMMYFUNCTION("""COMPUTED_VALUE"""),"Marsyangdi")</f>
        <v>Marsyangdi</v>
      </c>
      <c r="E910" s="2">
        <f>IFERROR(__xludf.DUMMYFUNCTION("""COMPUTED_VALUE"""),2805.0)</f>
        <v>2805</v>
      </c>
      <c r="F910" s="3">
        <f>IFERROR(__xludf.DUMMYFUNCTION("""COMPUTED_VALUE"""),60559.0)</f>
        <v>60559</v>
      </c>
      <c r="G910" s="2" t="str">
        <f>IFERROR(__xludf.DUMMYFUNCTION("""COMPUTED_VALUE"""),"Power Works Pvt Ltd")</f>
        <v>Power Works Pvt Ltd</v>
      </c>
      <c r="H910" s="2" t="str">
        <f>IFERROR(__xludf.DUMMYFUNCTION("""COMPUTED_VALUE"""),"Kathmandu ,Tel:4416277")</f>
        <v>Kathmandu ,Tel:4416277</v>
      </c>
      <c r="I910" s="2" t="str">
        <f>IFERROR(__xludf.DUMMYFUNCTION("""COMPUTED_VALUE"""),"28o 22' 25""")</f>
        <v>28o 22' 25"</v>
      </c>
      <c r="J910" s="2" t="str">
        <f>IFERROR(__xludf.DUMMYFUNCTION("""COMPUTED_VALUE"""),"28o 23' 50""")</f>
        <v>28o 23' 50"</v>
      </c>
      <c r="K910" s="2" t="str">
        <f>IFERROR(__xludf.DUMMYFUNCTION("""COMPUTED_VALUE"""),"84o 23' 12""")</f>
        <v>84o 23' 12"</v>
      </c>
      <c r="L910" s="2" t="str">
        <f>IFERROR(__xludf.DUMMYFUNCTION("""COMPUTED_VALUE"""),"84o 25' 00""")</f>
        <v>84o 25' 00"</v>
      </c>
      <c r="M910" s="2" t="str">
        <f>IFERROR(__xludf.DUMMYFUNCTION("""COMPUTED_VALUE"""),"Ghermu,Taghring (Lamjung)")</f>
        <v>Ghermu,Taghring (Lamjung)</v>
      </c>
    </row>
    <row r="911">
      <c r="A911" s="2">
        <f>IFERROR(__xludf.DUMMYFUNCTION("""COMPUTED_VALUE"""),910.0)</f>
        <v>910</v>
      </c>
      <c r="B911" s="2" t="str">
        <f>IFERROR(__xludf.DUMMYFUNCTION("""COMPUTED_VALUE"""),"Budhi Gandaki HPP")</f>
        <v>Budhi Gandaki HPP</v>
      </c>
      <c r="C911" s="2">
        <f>IFERROR(__xludf.DUMMYFUNCTION("""COMPUTED_VALUE"""),495.0)</f>
        <v>495</v>
      </c>
      <c r="D911" s="2" t="str">
        <f>IFERROR(__xludf.DUMMYFUNCTION("""COMPUTED_VALUE"""),"Budhi Gandaki")</f>
        <v>Budhi Gandaki</v>
      </c>
      <c r="E911" s="2">
        <f>IFERROR(__xludf.DUMMYFUNCTION("""COMPUTED_VALUE"""),2814.0)</f>
        <v>2814</v>
      </c>
      <c r="F911" s="3">
        <f>IFERROR(__xludf.DUMMYFUNCTION("""COMPUTED_VALUE"""),60560.0)</f>
        <v>60560</v>
      </c>
      <c r="G911" s="2" t="str">
        <f>IFERROR(__xludf.DUMMYFUNCTION("""COMPUTED_VALUE"""),"The Gilt Hydro Nepal Ltd")</f>
        <v>The Gilt Hydro Nepal Ltd</v>
      </c>
      <c r="H911" s="2" t="str">
        <f>IFERROR(__xludf.DUMMYFUNCTION("""COMPUTED_VALUE"""),"Kathmandu, Tel: 9851038673, 4436747")</f>
        <v>Kathmandu, Tel: 9851038673, 4436747</v>
      </c>
      <c r="I911" s="2" t="str">
        <f>IFERROR(__xludf.DUMMYFUNCTION("""COMPUTED_VALUE"""),"27o 48' 00""")</f>
        <v>27o 48' 00"</v>
      </c>
      <c r="J911" s="2" t="str">
        <f>IFERROR(__xludf.DUMMYFUNCTION("""COMPUTED_VALUE"""),"28o 06' 00""")</f>
        <v>28o 06' 00"</v>
      </c>
      <c r="K911" s="2" t="str">
        <f>IFERROR(__xludf.DUMMYFUNCTION("""COMPUTED_VALUE"""),"84o 42' 00""")</f>
        <v>84o 42' 00"</v>
      </c>
      <c r="L911" s="2" t="str">
        <f>IFERROR(__xludf.DUMMYFUNCTION("""COMPUTED_VALUE"""),"84o 56' 00""")</f>
        <v>84o 56' 00"</v>
      </c>
      <c r="M911" s="2" t="str">
        <f>IFERROR(__xludf.DUMMYFUNCTION("""COMPUTED_VALUE"""),"Benighat,Salyantar,Salang,Maidi,Jyamaruk,Chainpur (Dhading) 
Borlang,Darbhung,Dhawa,Ghyalchok,Tandrang (Gorkha)")</f>
        <v>Benighat,Salyantar,Salang,Maidi,Jyamaruk,Chainpur (Dhading) 
Borlang,Darbhung,Dhawa,Ghyalchok,Tandrang (Gorkha)</v>
      </c>
    </row>
    <row r="912">
      <c r="A912" s="2">
        <f>IFERROR(__xludf.DUMMYFUNCTION("""COMPUTED_VALUE"""),911.0)</f>
        <v>911</v>
      </c>
      <c r="B912" s="2" t="str">
        <f>IFERROR(__xludf.DUMMYFUNCTION("""COMPUTED_VALUE"""),"Dabi Khola SHP")</f>
        <v>Dabi Khola SHP</v>
      </c>
      <c r="C912" s="2">
        <f>IFERROR(__xludf.DUMMYFUNCTION("""COMPUTED_VALUE"""),0.8)</f>
        <v>0.8</v>
      </c>
      <c r="D912" s="2" t="str">
        <f>IFERROR(__xludf.DUMMYFUNCTION("""COMPUTED_VALUE"""),"Dabi Khola")</f>
        <v>Dabi Khola</v>
      </c>
      <c r="E912" s="2">
        <f>IFERROR(__xludf.DUMMYFUNCTION("""COMPUTED_VALUE"""),2852.0)</f>
        <v>2852</v>
      </c>
      <c r="F912" s="3">
        <f>IFERROR(__xludf.DUMMYFUNCTION("""COMPUTED_VALUE"""),60561.0)</f>
        <v>60561</v>
      </c>
      <c r="G912" s="2" t="str">
        <f>IFERROR(__xludf.DUMMYFUNCTION("""COMPUTED_VALUE"""),"Sumiran Energy Co. Ltd")</f>
        <v>Sumiran Energy Co. Ltd</v>
      </c>
      <c r="H912" s="2" t="str">
        <f>IFERROR(__xludf.DUMMYFUNCTION("""COMPUTED_VALUE"""),"Kathmandu ,Tel:01-44783532 Fax: 977-1-44782765")</f>
        <v>Kathmandu ,Tel:01-44783532 Fax: 977-1-44782765</v>
      </c>
      <c r="I912" s="2" t="str">
        <f>IFERROR(__xludf.DUMMYFUNCTION("""COMPUTED_VALUE"""),"27o 45' 00""")</f>
        <v>27o 45' 00"</v>
      </c>
      <c r="J912" s="2" t="str">
        <f>IFERROR(__xludf.DUMMYFUNCTION("""COMPUTED_VALUE"""),"27o 47' 00""")</f>
        <v>27o 47' 00"</v>
      </c>
      <c r="K912" s="2" t="str">
        <f>IFERROR(__xludf.DUMMYFUNCTION("""COMPUTED_VALUE"""),"85o 52' 00""")</f>
        <v>85o 52' 00"</v>
      </c>
      <c r="L912" s="2" t="str">
        <f>IFERROR(__xludf.DUMMYFUNCTION("""COMPUTED_VALUE"""),"85o 54' 30""")</f>
        <v>85o 54' 30"</v>
      </c>
      <c r="M912" s="2" t="str">
        <f>IFERROR(__xludf.DUMMYFUNCTION("""COMPUTED_VALUE"""),"Ghuskun,Tekanpur (Sindhupalchok)")</f>
        <v>Ghuskun,Tekanpur (Sindhupalchok)</v>
      </c>
    </row>
    <row r="913">
      <c r="A913" s="2">
        <f>IFERROR(__xludf.DUMMYFUNCTION("""COMPUTED_VALUE"""),912.0)</f>
        <v>912</v>
      </c>
      <c r="B913" s="2" t="str">
        <f>IFERROR(__xludf.DUMMYFUNCTION("""COMPUTED_VALUE"""),"Kinja Khola SHP")</f>
        <v>Kinja Khola SHP</v>
      </c>
      <c r="C913" s="2">
        <f>IFERROR(__xludf.DUMMYFUNCTION("""COMPUTED_VALUE"""),0.834)</f>
        <v>0.834</v>
      </c>
      <c r="D913" s="2" t="str">
        <f>IFERROR(__xludf.DUMMYFUNCTION("""COMPUTED_VALUE"""),"Kinja")</f>
        <v>Kinja</v>
      </c>
      <c r="E913" s="2">
        <f>IFERROR(__xludf.DUMMYFUNCTION("""COMPUTED_VALUE"""),2856.0)</f>
        <v>2856</v>
      </c>
      <c r="F913" s="3">
        <f>IFERROR(__xludf.DUMMYFUNCTION("""COMPUTED_VALUE"""),60561.0)</f>
        <v>60561</v>
      </c>
      <c r="G913" s="2" t="str">
        <f>IFERROR(__xludf.DUMMYFUNCTION("""COMPUTED_VALUE"""),"Laxman Udas")</f>
        <v>Laxman Udas</v>
      </c>
      <c r="H913" s="2" t="str">
        <f>IFERROR(__xludf.DUMMYFUNCTION("""COMPUTED_VALUE"""),"Purano Dabli, Bhojpur Tel: 4472683,9851040900")</f>
        <v>Purano Dabli, Bhojpur Tel: 4472683,9851040900</v>
      </c>
      <c r="I913" s="2" t="str">
        <f>IFERROR(__xludf.DUMMYFUNCTION("""COMPUTED_VALUE"""),"27o 34' 00""")</f>
        <v>27o 34' 00"</v>
      </c>
      <c r="J913" s="2" t="str">
        <f>IFERROR(__xludf.DUMMYFUNCTION("""COMPUTED_VALUE"""),"27o 35' 05""")</f>
        <v>27o 35' 05"</v>
      </c>
      <c r="K913" s="2" t="str">
        <f>IFERROR(__xludf.DUMMYFUNCTION("""COMPUTED_VALUE"""),"86o 24' 43""")</f>
        <v>86o 24' 43"</v>
      </c>
      <c r="L913" s="2" t="str">
        <f>IFERROR(__xludf.DUMMYFUNCTION("""COMPUTED_VALUE"""),"86o 26' 35""")</f>
        <v>86o 26' 35"</v>
      </c>
      <c r="M913" s="2" t="str">
        <f>IFERROR(__xludf.DUMMYFUNCTION("""COMPUTED_VALUE"""),"Chaulakharka(Waula),Bhakanje (Solukhumbu)")</f>
        <v>Chaulakharka(Waula),Bhakanje (Solukhumbu)</v>
      </c>
    </row>
    <row r="914">
      <c r="A914" s="2">
        <f>IFERROR(__xludf.DUMMYFUNCTION("""COMPUTED_VALUE"""),913.0)</f>
        <v>913</v>
      </c>
      <c r="B914" s="2" t="str">
        <f>IFERROR(__xludf.DUMMYFUNCTION("""COMPUTED_VALUE"""),"Marbu Khola SHP")</f>
        <v>Marbu Khola SHP</v>
      </c>
      <c r="C914" s="2">
        <f>IFERROR(__xludf.DUMMYFUNCTION("""COMPUTED_VALUE"""),0.898)</f>
        <v>0.898</v>
      </c>
      <c r="D914" s="2" t="str">
        <f>IFERROR(__xludf.DUMMYFUNCTION("""COMPUTED_VALUE"""),"Marbu Khola")</f>
        <v>Marbu Khola</v>
      </c>
      <c r="E914" s="2">
        <f>IFERROR(__xludf.DUMMYFUNCTION("""COMPUTED_VALUE"""),2857.0)</f>
        <v>2857</v>
      </c>
      <c r="F914" s="3">
        <f>IFERROR(__xludf.DUMMYFUNCTION("""COMPUTED_VALUE"""),60561.0)</f>
        <v>60561</v>
      </c>
      <c r="G914" s="2" t="str">
        <f>IFERROR(__xludf.DUMMYFUNCTION("""COMPUTED_VALUE"""),"Jemila Shrestha")</f>
        <v>Jemila Shrestha</v>
      </c>
      <c r="H914" s="2" t="str">
        <f>IFERROR(__xludf.DUMMYFUNCTION("""COMPUTED_VALUE"""),"Baneswar Kathmandu, Tel:4498490,9851027500")</f>
        <v>Baneswar Kathmandu, Tel:4498490,9851027500</v>
      </c>
      <c r="I914" s="2" t="str">
        <f>IFERROR(__xludf.DUMMYFUNCTION("""COMPUTED_VALUE"""),"27o 35' 30""")</f>
        <v>27o 35' 30"</v>
      </c>
      <c r="J914" s="2" t="str">
        <f>IFERROR(__xludf.DUMMYFUNCTION("""COMPUTED_VALUE"""),"27o 36' 45""")</f>
        <v>27o 36' 45"</v>
      </c>
      <c r="K914" s="2" t="str">
        <f>IFERROR(__xludf.DUMMYFUNCTION("""COMPUTED_VALUE"""),"86o 25' 55""")</f>
        <v>86o 25' 55"</v>
      </c>
      <c r="L914" s="2" t="str">
        <f>IFERROR(__xludf.DUMMYFUNCTION("""COMPUTED_VALUE"""),"86o 27' 50""")</f>
        <v>86o 27' 50"</v>
      </c>
      <c r="M914" s="2" t="str">
        <f>IFERROR(__xludf.DUMMYFUNCTION("""COMPUTED_VALUE"""),"Bhakanje (Solukhumbu)")</f>
        <v>Bhakanje (Solukhumbu)</v>
      </c>
    </row>
    <row r="915">
      <c r="A915" s="2">
        <f>IFERROR(__xludf.DUMMYFUNCTION("""COMPUTED_VALUE"""),914.0)</f>
        <v>914</v>
      </c>
      <c r="B915" s="2" t="str">
        <f>IFERROR(__xludf.DUMMYFUNCTION("""COMPUTED_VALUE"""),"Khimti-Gwan Khola SHP")</f>
        <v>Khimti-Gwan Khola SHP</v>
      </c>
      <c r="C915" s="2">
        <f>IFERROR(__xludf.DUMMYFUNCTION("""COMPUTED_VALUE"""),0.957)</f>
        <v>0.957</v>
      </c>
      <c r="D915" s="2" t="str">
        <f>IFERROR(__xludf.DUMMYFUNCTION("""COMPUTED_VALUE"""),"Khimti Khola")</f>
        <v>Khimti Khola</v>
      </c>
      <c r="E915" s="2">
        <f>IFERROR(__xludf.DUMMYFUNCTION("""COMPUTED_VALUE"""),2858.0)</f>
        <v>2858</v>
      </c>
      <c r="F915" s="3">
        <f>IFERROR(__xludf.DUMMYFUNCTION("""COMPUTED_VALUE"""),60561.0)</f>
        <v>60561</v>
      </c>
      <c r="G915" s="2" t="str">
        <f>IFERROR(__xludf.DUMMYFUNCTION("""COMPUTED_VALUE"""),"Janardan Krishna Shrestha")</f>
        <v>Janardan Krishna Shrestha</v>
      </c>
      <c r="H915" s="2" t="str">
        <f>IFERROR(__xludf.DUMMYFUNCTION("""COMPUTED_VALUE"""),"Baneswar Kathmandu, Tel:4498490,9851027500")</f>
        <v>Baneswar Kathmandu, Tel:4498490,9851027500</v>
      </c>
      <c r="I915" s="2" t="str">
        <f>IFERROR(__xludf.DUMMYFUNCTION("""COMPUTED_VALUE"""),"27o 40' 00""")</f>
        <v>27o 40' 00"</v>
      </c>
      <c r="J915" s="2" t="str">
        <f>IFERROR(__xludf.DUMMYFUNCTION("""COMPUTED_VALUE"""),"27o 42' 00""")</f>
        <v>27o 42' 00"</v>
      </c>
      <c r="K915" s="2" t="str">
        <f>IFERROR(__xludf.DUMMYFUNCTION("""COMPUTED_VALUE"""),"86o 20' 00""")</f>
        <v>86o 20' 00"</v>
      </c>
      <c r="L915" s="2" t="str">
        <f>IFERROR(__xludf.DUMMYFUNCTION("""COMPUTED_VALUE"""),"86o 22' 00""")</f>
        <v>86o 22' 00"</v>
      </c>
      <c r="M915" s="2" t="str">
        <f>IFERROR(__xludf.DUMMYFUNCTION("""COMPUTED_VALUE"""),"Syama (Dolakha) Chuchure (Ramechhap)")</f>
        <v>Syama (Dolakha) Chuchure (Ramechhap)</v>
      </c>
    </row>
    <row r="916">
      <c r="A916" s="2">
        <f>IFERROR(__xludf.DUMMYFUNCTION("""COMPUTED_VALUE"""),915.0)</f>
        <v>915</v>
      </c>
      <c r="B916" s="2" t="str">
        <f>IFERROR(__xludf.DUMMYFUNCTION("""COMPUTED_VALUE"""),"Raidu Minihydro Project")</f>
        <v>Raidu Minihydro Project</v>
      </c>
      <c r="C916" s="2">
        <f>IFERROR(__xludf.DUMMYFUNCTION("""COMPUTED_VALUE"""),0.934)</f>
        <v>0.934</v>
      </c>
      <c r="D916" s="2" t="str">
        <f>IFERROR(__xludf.DUMMYFUNCTION("""COMPUTED_VALUE"""),"Raidu Khola")</f>
        <v>Raidu Khola</v>
      </c>
      <c r="E916" s="2">
        <f>IFERROR(__xludf.DUMMYFUNCTION("""COMPUTED_VALUE"""),2860.0)</f>
        <v>2860</v>
      </c>
      <c r="F916" s="3">
        <f>IFERROR(__xludf.DUMMYFUNCTION("""COMPUTED_VALUE"""),60561.0)</f>
        <v>60561</v>
      </c>
      <c r="G916" s="2" t="str">
        <f>IFERROR(__xludf.DUMMYFUNCTION("""COMPUTED_VALUE"""),"Lamjung Electricity Development Company Ltd")</f>
        <v>Lamjung Electricity Development Company Ltd</v>
      </c>
      <c r="H916" s="2" t="str">
        <f>IFERROR(__xludf.DUMMYFUNCTION("""COMPUTED_VALUE"""),"Kathmandu ,Tel:01-4414519, Fax: 977-1-4427013")</f>
        <v>Kathmandu ,Tel:01-4414519, Fax: 977-1-4427013</v>
      </c>
      <c r="I916" s="2" t="str">
        <f>IFERROR(__xludf.DUMMYFUNCTION("""COMPUTED_VALUE"""),"28o 21' 53""")</f>
        <v>28o 21' 53"</v>
      </c>
      <c r="J916" s="2" t="str">
        <f>IFERROR(__xludf.DUMMYFUNCTION("""COMPUTED_VALUE"""),"28o 22' 57""")</f>
        <v>28o 22' 57"</v>
      </c>
      <c r="K916" s="2" t="str">
        <f>IFERROR(__xludf.DUMMYFUNCTION("""COMPUTED_VALUE"""),"84o 22' 37""")</f>
        <v>84o 22' 37"</v>
      </c>
      <c r="L916" s="2" t="str">
        <f>IFERROR(__xludf.DUMMYFUNCTION("""COMPUTED_VALUE"""),"84o 24' 20""")</f>
        <v>84o 24' 20"</v>
      </c>
      <c r="M916" s="2" t="str">
        <f>IFERROR(__xludf.DUMMYFUNCTION("""COMPUTED_VALUE"""),"Taghring (Lamjung)")</f>
        <v>Taghring (Lamjung)</v>
      </c>
    </row>
    <row r="917">
      <c r="A917" s="2">
        <f>IFERROR(__xludf.DUMMYFUNCTION("""COMPUTED_VALUE"""),916.0)</f>
        <v>916</v>
      </c>
      <c r="B917" s="2" t="str">
        <f>IFERROR(__xludf.DUMMYFUNCTION("""COMPUTED_VALUE"""),"Belkhu Khola SHP")</f>
        <v>Belkhu Khola SHP</v>
      </c>
      <c r="C917" s="2">
        <f>IFERROR(__xludf.DUMMYFUNCTION("""COMPUTED_VALUE"""),0.99)</f>
        <v>0.99</v>
      </c>
      <c r="D917" s="2" t="str">
        <f>IFERROR(__xludf.DUMMYFUNCTION("""COMPUTED_VALUE"""),"Belkhu Khola")</f>
        <v>Belkhu Khola</v>
      </c>
      <c r="E917" s="2">
        <f>IFERROR(__xludf.DUMMYFUNCTION("""COMPUTED_VALUE"""),2867.0)</f>
        <v>2867</v>
      </c>
      <c r="F917" s="3">
        <f>IFERROR(__xludf.DUMMYFUNCTION("""COMPUTED_VALUE"""),60562.0)</f>
        <v>60562</v>
      </c>
      <c r="G917" s="2" t="str">
        <f>IFERROR(__xludf.DUMMYFUNCTION("""COMPUTED_VALUE"""),"Raj Kumar Adhikari")</f>
        <v>Raj Kumar Adhikari</v>
      </c>
      <c r="H917" s="2" t="str">
        <f>IFERROR(__xludf.DUMMYFUNCTION("""COMPUTED_VALUE"""),"Kiranchok VDC-1Dhading")</f>
        <v>Kiranchok VDC-1Dhading</v>
      </c>
      <c r="I917" s="2" t="str">
        <f>IFERROR(__xludf.DUMMYFUNCTION("""COMPUTED_VALUE"""),"27o 43' 05""")</f>
        <v>27o 43' 05"</v>
      </c>
      <c r="J917" s="2" t="str">
        <f>IFERROR(__xludf.DUMMYFUNCTION("""COMPUTED_VALUE"""),"27o 44' 15""")</f>
        <v>27o 44' 15"</v>
      </c>
      <c r="K917" s="2" t="str">
        <f>IFERROR(__xludf.DUMMYFUNCTION("""COMPUTED_VALUE"""),"84o 57' 18""")</f>
        <v>84o 57' 18"</v>
      </c>
      <c r="L917" s="2" t="str">
        <f>IFERROR(__xludf.DUMMYFUNCTION("""COMPUTED_VALUE"""),"84o 57' 36""")</f>
        <v>84o 57' 36"</v>
      </c>
      <c r="M917" s="2" t="str">
        <f>IFERROR(__xludf.DUMMYFUNCTION("""COMPUTED_VALUE"""),"Kiranchok (Dhading)")</f>
        <v>Kiranchok (Dhading)</v>
      </c>
    </row>
    <row r="918">
      <c r="A918" s="2">
        <f>IFERROR(__xludf.DUMMYFUNCTION("""COMPUTED_VALUE"""),917.0)</f>
        <v>917</v>
      </c>
      <c r="B918" s="2" t="str">
        <f>IFERROR(__xludf.DUMMYFUNCTION("""COMPUTED_VALUE"""),"Thuli Bheri HPP")</f>
        <v>Thuli Bheri HPP</v>
      </c>
      <c r="C918" s="2">
        <f>IFERROR(__xludf.DUMMYFUNCTION("""COMPUTED_VALUE"""),9.65)</f>
        <v>9.65</v>
      </c>
      <c r="D918" s="2" t="str">
        <f>IFERROR(__xludf.DUMMYFUNCTION("""COMPUTED_VALUE"""),"Thuli Bheri")</f>
        <v>Thuli Bheri</v>
      </c>
      <c r="E918" s="2">
        <f>IFERROR(__xludf.DUMMYFUNCTION("""COMPUTED_VALUE"""),2880.0)</f>
        <v>2880</v>
      </c>
      <c r="F918" s="3">
        <f>IFERROR(__xludf.DUMMYFUNCTION("""COMPUTED_VALUE"""),60562.0)</f>
        <v>60562</v>
      </c>
      <c r="G918" s="2" t="str">
        <f>IFERROR(__xludf.DUMMYFUNCTION("""COMPUTED_VALUE"""),"Phoksundo Hydropower Pvt Ltd")</f>
        <v>Phoksundo Hydropower Pvt Ltd</v>
      </c>
      <c r="H918" s="2" t="str">
        <f>IFERROR(__xludf.DUMMYFUNCTION("""COMPUTED_VALUE"""),"Koteswar, Kathmandu Tel:9841775016")</f>
        <v>Koteswar, Kathmandu Tel:9841775016</v>
      </c>
      <c r="I918" s="2" t="str">
        <f>IFERROR(__xludf.DUMMYFUNCTION("""COMPUTED_VALUE"""),"28o 59' 00""")</f>
        <v>28o 59' 00"</v>
      </c>
      <c r="J918" s="2" t="str">
        <f>IFERROR(__xludf.DUMMYFUNCTION("""COMPUTED_VALUE"""),"29o 01' 30""")</f>
        <v>29o 01' 30"</v>
      </c>
      <c r="K918" s="2" t="str">
        <f>IFERROR(__xludf.DUMMYFUNCTION("""COMPUTED_VALUE"""),"82o 41' 50""")</f>
        <v>82o 41' 50"</v>
      </c>
      <c r="L918" s="2" t="str">
        <f>IFERROR(__xludf.DUMMYFUNCTION("""COMPUTED_VALUE"""),"82o 47' 00""")</f>
        <v>82o 47' 00"</v>
      </c>
      <c r="M918" s="2" t="str">
        <f>IFERROR(__xludf.DUMMYFUNCTION("""COMPUTED_VALUE"""),"Sunhoo (Dolpa)")</f>
        <v>Sunhoo (Dolpa)</v>
      </c>
    </row>
    <row r="919">
      <c r="A919" s="2">
        <f>IFERROR(__xludf.DUMMYFUNCTION("""COMPUTED_VALUE"""),918.0)</f>
        <v>918</v>
      </c>
      <c r="B919" s="2" t="str">
        <f>IFERROR(__xludf.DUMMYFUNCTION("""COMPUTED_VALUE"""),"Chhilun Khola SHP")</f>
        <v>Chhilun Khola SHP</v>
      </c>
      <c r="C919" s="2">
        <f>IFERROR(__xludf.DUMMYFUNCTION("""COMPUTED_VALUE"""),0.999)</f>
        <v>0.999</v>
      </c>
      <c r="D919" s="2" t="str">
        <f>IFERROR(__xludf.DUMMYFUNCTION("""COMPUTED_VALUE"""),"Chhilung")</f>
        <v>Chhilung</v>
      </c>
      <c r="E919" s="2">
        <f>IFERROR(__xludf.DUMMYFUNCTION("""COMPUTED_VALUE"""),2888.0)</f>
        <v>2888</v>
      </c>
      <c r="F919" s="3">
        <f>IFERROR(__xludf.DUMMYFUNCTION("""COMPUTED_VALUE"""),60562.0)</f>
        <v>60562</v>
      </c>
      <c r="G919" s="2" t="str">
        <f>IFERROR(__xludf.DUMMYFUNCTION("""COMPUTED_VALUE"""),"Pashupati Environmental Engineering Power Company")</f>
        <v>Pashupati Environmental Engineering Power Company</v>
      </c>
      <c r="H919" s="2" t="str">
        <f>IFERROR(__xludf.DUMMYFUNCTION("""COMPUTED_VALUE"""),"Panajole, Kathmandu")</f>
        <v>Panajole, Kathmandu</v>
      </c>
      <c r="I919" s="2" t="str">
        <f>IFERROR(__xludf.DUMMYFUNCTION("""COMPUTED_VALUE"""),"28o 24' 13""")</f>
        <v>28o 24' 13"</v>
      </c>
      <c r="J919" s="2" t="str">
        <f>IFERROR(__xludf.DUMMYFUNCTION("""COMPUTED_VALUE"""),"28o 26' 29""")</f>
        <v>28o 26' 29"</v>
      </c>
      <c r="K919" s="2" t="str">
        <f>IFERROR(__xludf.DUMMYFUNCTION("""COMPUTED_VALUE"""),"84o 51' 22""")</f>
        <v>84o 51' 22"</v>
      </c>
      <c r="L919" s="2" t="str">
        <f>IFERROR(__xludf.DUMMYFUNCTION("""COMPUTED_VALUE"""),"84o 53' 29""")</f>
        <v>84o 53' 29"</v>
      </c>
      <c r="M919" s="2" t="str">
        <f>IFERROR(__xludf.DUMMYFUNCTION("""COMPUTED_VALUE"""),"Chunchet,Kerauja,Prok (Gorkha)")</f>
        <v>Chunchet,Kerauja,Prok (Gorkha)</v>
      </c>
    </row>
    <row r="920">
      <c r="A920" s="2">
        <f>IFERROR(__xludf.DUMMYFUNCTION("""COMPUTED_VALUE"""),919.0)</f>
        <v>919</v>
      </c>
      <c r="B920" s="2" t="str">
        <f>IFERROR(__xludf.DUMMYFUNCTION("""COMPUTED_VALUE"""),"Kuwadi Khola HPP")</f>
        <v>Kuwadi Khola HPP</v>
      </c>
      <c r="C920" s="2">
        <f>IFERROR(__xludf.DUMMYFUNCTION("""COMPUTED_VALUE"""),30.0)</f>
        <v>30</v>
      </c>
      <c r="D920" s="2" t="str">
        <f>IFERROR(__xludf.DUMMYFUNCTION("""COMPUTED_VALUE"""),"Kuwadi")</f>
        <v>Kuwadi</v>
      </c>
      <c r="E920" s="2">
        <f>IFERROR(__xludf.DUMMYFUNCTION("""COMPUTED_VALUE"""),2706.0)</f>
        <v>2706</v>
      </c>
      <c r="F920" s="3">
        <f>IFERROR(__xludf.DUMMYFUNCTION("""COMPUTED_VALUE"""),60563.0)</f>
        <v>60563</v>
      </c>
      <c r="G920" s="2" t="str">
        <f>IFERROR(__xludf.DUMMYFUNCTION("""COMPUTED_VALUE"""),"Bhuwaneswari Hydropower Pvt Ltd")</f>
        <v>Bhuwaneswari Hydropower Pvt Ltd</v>
      </c>
      <c r="H920" s="2" t="str">
        <f>IFERROR(__xludf.DUMMYFUNCTION("""COMPUTED_VALUE"""),"Naxal, Kathmandu")</f>
        <v>Naxal, Kathmandu</v>
      </c>
      <c r="I920" s="2" t="str">
        <f>IFERROR(__xludf.DUMMYFUNCTION("""COMPUTED_VALUE"""),"29o 36' 16""")</f>
        <v>29o 36' 16"</v>
      </c>
      <c r="J920" s="2" t="str">
        <f>IFERROR(__xludf.DUMMYFUNCTION("""COMPUTED_VALUE"""),"29o 39' 05""")</f>
        <v>29o 39' 05"</v>
      </c>
      <c r="K920" s="2" t="str">
        <f>IFERROR(__xludf.DUMMYFUNCTION("""COMPUTED_VALUE"""),"81o 41' 00""")</f>
        <v>81o 41' 00"</v>
      </c>
      <c r="L920" s="2" t="str">
        <f>IFERROR(__xludf.DUMMYFUNCTION("""COMPUTED_VALUE"""),"81o 45' 00""")</f>
        <v>81o 45' 00"</v>
      </c>
      <c r="M920" s="2" t="str">
        <f>IFERROR(__xludf.DUMMYFUNCTION("""COMPUTED_VALUE"""),"Bichhiya (Bajura)")</f>
        <v>Bichhiya (Bajura)</v>
      </c>
    </row>
    <row r="921">
      <c r="A921" s="2">
        <f>IFERROR(__xludf.DUMMYFUNCTION("""COMPUTED_VALUE"""),920.0)</f>
        <v>920</v>
      </c>
      <c r="B921" s="2" t="str">
        <f>IFERROR(__xludf.DUMMYFUNCTION("""COMPUTED_VALUE"""),"Sun Khola SHP")</f>
        <v>Sun Khola SHP</v>
      </c>
      <c r="C921" s="2">
        <f>IFERROR(__xludf.DUMMYFUNCTION("""COMPUTED_VALUE"""),0.9)</f>
        <v>0.9</v>
      </c>
      <c r="D921" s="2" t="str">
        <f>IFERROR(__xludf.DUMMYFUNCTION("""COMPUTED_VALUE"""),"Sun Khola")</f>
        <v>Sun Khola</v>
      </c>
      <c r="E921" s="2">
        <f>IFERROR(__xludf.DUMMYFUNCTION("""COMPUTED_VALUE"""),2906.0)</f>
        <v>2906</v>
      </c>
      <c r="F921" s="3">
        <f>IFERROR(__xludf.DUMMYFUNCTION("""COMPUTED_VALUE"""),60563.0)</f>
        <v>60563</v>
      </c>
      <c r="G921" s="2" t="str">
        <f>IFERROR(__xludf.DUMMYFUNCTION("""COMPUTED_VALUE"""),"Ashish Dahal, Dayaram Bhattarai, Navin Dahal")</f>
        <v>Ashish Dahal, Dayaram Bhattarai, Navin Dahal</v>
      </c>
      <c r="H921" s="2" t="str">
        <f>IFERROR(__xludf.DUMMYFUNCTION("""COMPUTED_VALUE"""),"Madirambeni VDC-4 , Sankhuwasabha")</f>
        <v>Madirambeni VDC-4 , Sankhuwasabha</v>
      </c>
      <c r="I921" s="2" t="str">
        <f>IFERROR(__xludf.DUMMYFUNCTION("""COMPUTED_VALUE"""),"27o 24' 50""")</f>
        <v>27o 24' 50"</v>
      </c>
      <c r="J921" s="2" t="str">
        <f>IFERROR(__xludf.DUMMYFUNCTION("""COMPUTED_VALUE"""),"27o 25' 06""")</f>
        <v>27o 25' 06"</v>
      </c>
      <c r="K921" s="2" t="str">
        <f>IFERROR(__xludf.DUMMYFUNCTION("""COMPUTED_VALUE"""),"87o 20' 21""")</f>
        <v>87o 20' 21"</v>
      </c>
      <c r="L921" s="2" t="str">
        <f>IFERROR(__xludf.DUMMYFUNCTION("""COMPUTED_VALUE"""),"87o 20' 47""")</f>
        <v>87o 20' 47"</v>
      </c>
      <c r="M921" s="2" t="str">
        <f>IFERROR(__xludf.DUMMYFUNCTION("""COMPUTED_VALUE"""),"Sabha Pokhari (Sankhuwasabha)")</f>
        <v>Sabha Pokhari (Sankhuwasabha)</v>
      </c>
    </row>
    <row r="922">
      <c r="A922" s="2">
        <f>IFERROR(__xludf.DUMMYFUNCTION("""COMPUTED_VALUE"""),921.0)</f>
        <v>921</v>
      </c>
      <c r="B922" s="2" t="str">
        <f>IFERROR(__xludf.DUMMYFUNCTION("""COMPUTED_VALUE"""),"Siddhi Khola SHP")</f>
        <v>Siddhi Khola SHP</v>
      </c>
      <c r="C922" s="2">
        <f>IFERROR(__xludf.DUMMYFUNCTION("""COMPUTED_VALUE"""),0.936)</f>
        <v>0.936</v>
      </c>
      <c r="D922" s="2" t="str">
        <f>IFERROR(__xludf.DUMMYFUNCTION("""COMPUTED_VALUE"""),"Siddhi Khola")</f>
        <v>Siddhi Khola</v>
      </c>
      <c r="E922" s="2">
        <f>IFERROR(__xludf.DUMMYFUNCTION("""COMPUTED_VALUE"""),2910.0)</f>
        <v>2910</v>
      </c>
      <c r="F922" s="3">
        <f>IFERROR(__xludf.DUMMYFUNCTION("""COMPUTED_VALUE"""),60563.0)</f>
        <v>60563</v>
      </c>
      <c r="G922" s="2" t="str">
        <f>IFERROR(__xludf.DUMMYFUNCTION("""COMPUTED_VALUE"""),"Kumari Limbuni")</f>
        <v>Kumari Limbuni</v>
      </c>
      <c r="H922" s="2" t="str">
        <f>IFERROR(__xludf.DUMMYFUNCTION("""COMPUTED_VALUE"""),"Change VDC-4 Taplejung")</f>
        <v>Change VDC-4 Taplejung</v>
      </c>
      <c r="I922" s="2" t="str">
        <f>IFERROR(__xludf.DUMMYFUNCTION("""COMPUTED_VALUE"""),"26o 52' 39""")</f>
        <v>26o 52' 39"</v>
      </c>
      <c r="J922" s="2" t="str">
        <f>IFERROR(__xludf.DUMMYFUNCTION("""COMPUTED_VALUE"""),"26o 54' 19""")</f>
        <v>26o 54' 19"</v>
      </c>
      <c r="K922" s="2" t="str">
        <f>IFERROR(__xludf.DUMMYFUNCTION("""COMPUTED_VALUE"""),"88o 05' 49""")</f>
        <v>88o 05' 49"</v>
      </c>
      <c r="L922" s="2" t="str">
        <f>IFERROR(__xludf.DUMMYFUNCTION("""COMPUTED_VALUE"""),"88o 07' 30""")</f>
        <v>88o 07' 30"</v>
      </c>
      <c r="M922" s="2" t="str">
        <f>IFERROR(__xludf.DUMMYFUNCTION("""COMPUTED_VALUE"""),"Phikal Bazar (Ilam)")</f>
        <v>Phikal Bazar (Ilam)</v>
      </c>
    </row>
    <row r="923">
      <c r="A923" s="2">
        <f>IFERROR(__xludf.DUMMYFUNCTION("""COMPUTED_VALUE"""),922.0)</f>
        <v>922</v>
      </c>
      <c r="B923" s="2" t="str">
        <f>IFERROR(__xludf.DUMMYFUNCTION("""COMPUTED_VALUE"""),"Rudi Khola HPP")</f>
        <v>Rudi Khola HPP</v>
      </c>
      <c r="C923" s="2">
        <f>IFERROR(__xludf.DUMMYFUNCTION("""COMPUTED_VALUE"""),0.995)</f>
        <v>0.995</v>
      </c>
      <c r="D923" s="2" t="str">
        <f>IFERROR(__xludf.DUMMYFUNCTION("""COMPUTED_VALUE"""),"Rudi Khola")</f>
        <v>Rudi Khola</v>
      </c>
      <c r="E923" s="2">
        <f>IFERROR(__xludf.DUMMYFUNCTION("""COMPUTED_VALUE"""),2912.0)</f>
        <v>2912</v>
      </c>
      <c r="F923" s="3">
        <f>IFERROR(__xludf.DUMMYFUNCTION("""COMPUTED_VALUE"""),60563.0)</f>
        <v>60563</v>
      </c>
      <c r="G923" s="2" t="str">
        <f>IFERROR(__xludf.DUMMYFUNCTION("""COMPUTED_VALUE"""),"Tanka Prasad Gurung,Gopal Gurung")</f>
        <v>Tanka Prasad Gurung,Gopal Gurung</v>
      </c>
      <c r="H923" s="2" t="str">
        <f>IFERROR(__xludf.DUMMYFUNCTION("""COMPUTED_VALUE"""),"Pokhra, Kaski Tel: 9846024980, 9804106407")</f>
        <v>Pokhra, Kaski Tel: 9846024980, 9804106407</v>
      </c>
      <c r="I923" s="2" t="str">
        <f>IFERROR(__xludf.DUMMYFUNCTION("""COMPUTED_VALUE"""),"28o 16' 18""")</f>
        <v>28o 16' 18"</v>
      </c>
      <c r="J923" s="2" t="str">
        <f>IFERROR(__xludf.DUMMYFUNCTION("""COMPUTED_VALUE"""),"28o 17' 30""")</f>
        <v>28o 17' 30"</v>
      </c>
      <c r="K923" s="2" t="str">
        <f>IFERROR(__xludf.DUMMYFUNCTION("""COMPUTED_VALUE"""),"84o 11' 25""")</f>
        <v>84o 11' 25"</v>
      </c>
      <c r="L923" s="2" t="str">
        <f>IFERROR(__xludf.DUMMYFUNCTION("""COMPUTED_VALUE"""),"84o 12' 20""")</f>
        <v>84o 12' 20"</v>
      </c>
      <c r="M923" s="2" t="str">
        <f>IFERROR(__xludf.DUMMYFUNCTION("""COMPUTED_VALUE"""),"Pasagaun (Lamjung)")</f>
        <v>Pasagaun (Lamjung)</v>
      </c>
    </row>
    <row r="924">
      <c r="A924" s="2">
        <f>IFERROR(__xludf.DUMMYFUNCTION("""COMPUTED_VALUE"""),923.0)</f>
        <v>923</v>
      </c>
      <c r="B924" s="2" t="str">
        <f>IFERROR(__xludf.DUMMYFUNCTION("""COMPUTED_VALUE"""),"Leguwa Khola SHP")</f>
        <v>Leguwa Khola SHP</v>
      </c>
      <c r="C924" s="2">
        <f>IFERROR(__xludf.DUMMYFUNCTION("""COMPUTED_VALUE"""),0.98)</f>
        <v>0.98</v>
      </c>
      <c r="D924" s="2" t="str">
        <f>IFERROR(__xludf.DUMMYFUNCTION("""COMPUTED_VALUE"""),"Leguwa")</f>
        <v>Leguwa</v>
      </c>
      <c r="E924" s="2">
        <f>IFERROR(__xludf.DUMMYFUNCTION("""COMPUTED_VALUE"""),2924.0)</f>
        <v>2924</v>
      </c>
      <c r="F924" s="3">
        <f>IFERROR(__xludf.DUMMYFUNCTION("""COMPUTED_VALUE"""),60564.0)</f>
        <v>60564</v>
      </c>
      <c r="G924" s="2" t="str">
        <f>IFERROR(__xludf.DUMMYFUNCTION("""COMPUTED_VALUE"""),"Sabina Karki, Jungmani Adhikari")</f>
        <v>Sabina Karki, Jungmani Adhikari</v>
      </c>
      <c r="H924" s="2" t="str">
        <f>IFERROR(__xludf.DUMMYFUNCTION("""COMPUTED_VALUE"""),"Leguwa VDC-8, Dhankuta")</f>
        <v>Leguwa VDC-8, Dhankuta</v>
      </c>
      <c r="I924" s="2" t="str">
        <f>IFERROR(__xludf.DUMMYFUNCTION("""COMPUTED_VALUE"""),"27o 08' 15""")</f>
        <v>27o 08' 15"</v>
      </c>
      <c r="J924" s="2" t="str">
        <f>IFERROR(__xludf.DUMMYFUNCTION("""COMPUTED_VALUE"""),"27o 09' 00""")</f>
        <v>27o 09' 00"</v>
      </c>
      <c r="K924" s="2" t="str">
        <f>IFERROR(__xludf.DUMMYFUNCTION("""COMPUTED_VALUE"""),"87o 17' 30""")</f>
        <v>87o 17' 30"</v>
      </c>
      <c r="L924" s="2" t="str">
        <f>IFERROR(__xludf.DUMMYFUNCTION("""COMPUTED_VALUE"""),"87o 19' 22""")</f>
        <v>87o 19' 22"</v>
      </c>
      <c r="M924" s="2" t="str">
        <f>IFERROR(__xludf.DUMMYFUNCTION("""COMPUTED_VALUE"""),"Chanuwa (Dhankuta)")</f>
        <v>Chanuwa (Dhankuta)</v>
      </c>
    </row>
    <row r="925">
      <c r="A925" s="2">
        <f>IFERROR(__xludf.DUMMYFUNCTION("""COMPUTED_VALUE"""),924.0)</f>
        <v>924</v>
      </c>
      <c r="B925" s="2" t="str">
        <f>IFERROR(__xludf.DUMMYFUNCTION("""COMPUTED_VALUE"""),"Nagmati SHP")</f>
        <v>Nagmati SHP</v>
      </c>
      <c r="C925" s="2">
        <f>IFERROR(__xludf.DUMMYFUNCTION("""COMPUTED_VALUE"""),0.8)</f>
        <v>0.8</v>
      </c>
      <c r="D925" s="2" t="str">
        <f>IFERROR(__xludf.DUMMYFUNCTION("""COMPUTED_VALUE"""),"Nagmati")</f>
        <v>Nagmati</v>
      </c>
      <c r="E925" s="2">
        <f>IFERROR(__xludf.DUMMYFUNCTION("""COMPUTED_VALUE"""),2925.0)</f>
        <v>2925</v>
      </c>
      <c r="F925" s="3">
        <f>IFERROR(__xludf.DUMMYFUNCTION("""COMPUTED_VALUE"""),60564.0)</f>
        <v>60564</v>
      </c>
      <c r="G925" s="2" t="str">
        <f>IFERROR(__xludf.DUMMYFUNCTION("""COMPUTED_VALUE"""),"Drop Fusion Hydropower Company Pvt Ltd")</f>
        <v>Drop Fusion Hydropower Company Pvt Ltd</v>
      </c>
      <c r="H925" s="2" t="str">
        <f>IFERROR(__xludf.DUMMYFUNCTION("""COMPUTED_VALUE"""),"PO Box: 21388, Kathmandu Tel: 4379202")</f>
        <v>PO Box: 21388, Kathmandu Tel: 4379202</v>
      </c>
      <c r="I925" s="2" t="str">
        <f>IFERROR(__xludf.DUMMYFUNCTION("""COMPUTED_VALUE"""),"27o 46' 05""")</f>
        <v>27o 46' 05"</v>
      </c>
      <c r="J925" s="2" t="str">
        <f>IFERROR(__xludf.DUMMYFUNCTION("""COMPUTED_VALUE"""),"27o 47' 10""")</f>
        <v>27o 47' 10"</v>
      </c>
      <c r="K925" s="2" t="str">
        <f>IFERROR(__xludf.DUMMYFUNCTION("""COMPUTED_VALUE"""),"85o 25' 48""")</f>
        <v>85o 25' 48"</v>
      </c>
      <c r="L925" s="2" t="str">
        <f>IFERROR(__xludf.DUMMYFUNCTION("""COMPUTED_VALUE"""),"85o 27' 04""")</f>
        <v>85o 27' 04"</v>
      </c>
      <c r="M925" s="2" t="str">
        <f>IFERROR(__xludf.DUMMYFUNCTION("""COMPUTED_VALUE"""),"Sundarijal (Kathmandu)")</f>
        <v>Sundarijal (Kathmandu)</v>
      </c>
    </row>
    <row r="926">
      <c r="A926" s="2">
        <f>IFERROR(__xludf.DUMMYFUNCTION("""COMPUTED_VALUE"""),925.0)</f>
        <v>925</v>
      </c>
      <c r="B926" s="2" t="str">
        <f>IFERROR(__xludf.DUMMYFUNCTION("""COMPUTED_VALUE"""),"Super Dordi SHP")</f>
        <v>Super Dordi SHP</v>
      </c>
      <c r="C926" s="2">
        <f>IFERROR(__xludf.DUMMYFUNCTION("""COMPUTED_VALUE"""),0.95)</f>
        <v>0.95</v>
      </c>
      <c r="D926" s="2" t="str">
        <f>IFERROR(__xludf.DUMMYFUNCTION("""COMPUTED_VALUE"""),"Dordi")</f>
        <v>Dordi</v>
      </c>
      <c r="E926" s="2">
        <f>IFERROR(__xludf.DUMMYFUNCTION("""COMPUTED_VALUE"""),2938.0)</f>
        <v>2938</v>
      </c>
      <c r="F926" s="3">
        <f>IFERROR(__xludf.DUMMYFUNCTION("""COMPUTED_VALUE"""),60564.0)</f>
        <v>60564</v>
      </c>
      <c r="G926" s="2" t="str">
        <f>IFERROR(__xludf.DUMMYFUNCTION("""COMPUTED_VALUE"""),"Peoples Hydropower Company Pvt Ltd")</f>
        <v>Peoples Hydropower Company Pvt Ltd</v>
      </c>
      <c r="H926" s="2" t="str">
        <f>IFERROR(__xludf.DUMMYFUNCTION("""COMPUTED_VALUE"""),"GPO Box; 14165, KathmanduTel: 01-6222304")</f>
        <v>GPO Box; 14165, KathmanduTel: 01-6222304</v>
      </c>
      <c r="I926" s="2" t="str">
        <f>IFERROR(__xludf.DUMMYFUNCTION("""COMPUTED_VALUE"""),"28o 20' 05""")</f>
        <v>28o 20' 05"</v>
      </c>
      <c r="J926" s="2" t="str">
        <f>IFERROR(__xludf.DUMMYFUNCTION("""COMPUTED_VALUE"""),"28o 22' 18""")</f>
        <v>28o 22' 18"</v>
      </c>
      <c r="K926" s="2" t="str">
        <f>IFERROR(__xludf.DUMMYFUNCTION("""COMPUTED_VALUE"""),"84o 35' 00""")</f>
        <v>84o 35' 00"</v>
      </c>
      <c r="L926" s="2" t="str">
        <f>IFERROR(__xludf.DUMMYFUNCTION("""COMPUTED_VALUE"""),"84o 37' 20""")</f>
        <v>84o 37' 20"</v>
      </c>
      <c r="M926" s="2" t="str">
        <f>IFERROR(__xludf.DUMMYFUNCTION("""COMPUTED_VALUE"""),"Dhodeni (Lamjung)")</f>
        <v>Dhodeni (Lamjung)</v>
      </c>
    </row>
    <row r="927">
      <c r="A927" s="2">
        <f>IFERROR(__xludf.DUMMYFUNCTION("""COMPUTED_VALUE"""),926.0)</f>
        <v>926</v>
      </c>
      <c r="B927" s="2" t="str">
        <f>IFERROR(__xludf.DUMMYFUNCTION("""COMPUTED_VALUE"""),"Upper Solu HPP")</f>
        <v>Upper Solu HPP</v>
      </c>
      <c r="C927" s="2">
        <f>IFERROR(__xludf.DUMMYFUNCTION("""COMPUTED_VALUE"""),6.0)</f>
        <v>6</v>
      </c>
      <c r="D927" s="2" t="str">
        <f>IFERROR(__xludf.DUMMYFUNCTION("""COMPUTED_VALUE"""),"Solu Khola")</f>
        <v>Solu Khola</v>
      </c>
      <c r="E927" s="2">
        <f>IFERROR(__xludf.DUMMYFUNCTION("""COMPUTED_VALUE"""),2951.0)</f>
        <v>2951</v>
      </c>
      <c r="F927" s="3">
        <f>IFERROR(__xludf.DUMMYFUNCTION("""COMPUTED_VALUE"""),60566.0)</f>
        <v>60566</v>
      </c>
      <c r="G927" s="2" t="str">
        <f>IFERROR(__xludf.DUMMYFUNCTION("""COMPUTED_VALUE"""),"Saman Manadhar")</f>
        <v>Saman Manadhar</v>
      </c>
      <c r="H927" s="2" t="str">
        <f>IFERROR(__xludf.DUMMYFUNCTION("""COMPUTED_VALUE"""),"Kathmandu, Tel: 9851026650, 4429533")</f>
        <v>Kathmandu, Tel: 9851026650, 4429533</v>
      </c>
      <c r="I927" s="2" t="str">
        <f>IFERROR(__xludf.DUMMYFUNCTION("""COMPUTED_VALUE"""),"27o 31' 05""")</f>
        <v>27o 31' 05"</v>
      </c>
      <c r="J927" s="2" t="str">
        <f>IFERROR(__xludf.DUMMYFUNCTION("""COMPUTED_VALUE"""),"27o 32' 58""")</f>
        <v>27o 32' 58"</v>
      </c>
      <c r="K927" s="2" t="str">
        <f>IFERROR(__xludf.DUMMYFUNCTION("""COMPUTED_VALUE"""),"86o 33' 56""")</f>
        <v>86o 33' 56"</v>
      </c>
      <c r="L927" s="2" t="str">
        <f>IFERROR(__xludf.DUMMYFUNCTION("""COMPUTED_VALUE"""),"86o 35' 45""")</f>
        <v>86o 35' 45"</v>
      </c>
      <c r="M927" s="2" t="str">
        <f>IFERROR(__xludf.DUMMYFUNCTION("""COMPUTED_VALUE"""),"Gora Khami (Solukhumbu)")</f>
        <v>Gora Khami (Solukhumbu)</v>
      </c>
    </row>
    <row r="928">
      <c r="A928" s="2">
        <f>IFERROR(__xludf.DUMMYFUNCTION("""COMPUTED_VALUE"""),927.0)</f>
        <v>927</v>
      </c>
      <c r="B928" s="2" t="str">
        <f>IFERROR(__xludf.DUMMYFUNCTION("""COMPUTED_VALUE"""),"Upper Sunkosi HPP")</f>
        <v>Upper Sunkosi HPP</v>
      </c>
      <c r="C928" s="2">
        <f>IFERROR(__xludf.DUMMYFUNCTION("""COMPUTED_VALUE"""),5.0)</f>
        <v>5</v>
      </c>
      <c r="D928" s="2" t="str">
        <f>IFERROR(__xludf.DUMMYFUNCTION("""COMPUTED_VALUE"""),"Sun Koshi")</f>
        <v>Sun Koshi</v>
      </c>
      <c r="E928" s="2">
        <f>IFERROR(__xludf.DUMMYFUNCTION("""COMPUTED_VALUE"""),2954.0)</f>
        <v>2954</v>
      </c>
      <c r="F928" s="3">
        <f>IFERROR(__xludf.DUMMYFUNCTION("""COMPUTED_VALUE"""),60566.0)</f>
        <v>60566</v>
      </c>
      <c r="G928" s="2" t="str">
        <f>IFERROR(__xludf.DUMMYFUNCTION("""COMPUTED_VALUE"""),"Navraj Sapkota Bishnumani Acharya")</f>
        <v>Navraj Sapkota Bishnumani Acharya</v>
      </c>
      <c r="H928" s="2" t="str">
        <f>IFERROR(__xludf.DUMMYFUNCTION("""COMPUTED_VALUE"""),"Mahadevsthan-7, Kavrepalanchowk, Tel: 9851018208")</f>
        <v>Mahadevsthan-7, Kavrepalanchowk, Tel: 9851018208</v>
      </c>
      <c r="I928" s="2" t="str">
        <f>IFERROR(__xludf.DUMMYFUNCTION("""COMPUTED_VALUE"""),"27o 45' 25""")</f>
        <v>27o 45' 25"</v>
      </c>
      <c r="J928" s="2" t="str">
        <f>IFERROR(__xludf.DUMMYFUNCTION("""COMPUTED_VALUE"""),"27o 46' 36""")</f>
        <v>27o 46' 36"</v>
      </c>
      <c r="K928" s="2" t="str">
        <f>IFERROR(__xludf.DUMMYFUNCTION("""COMPUTED_VALUE"""),"85o 52' 09""")</f>
        <v>85o 52' 09"</v>
      </c>
      <c r="L928" s="2" t="str">
        <f>IFERROR(__xludf.DUMMYFUNCTION("""COMPUTED_VALUE"""),"85o 53' 35""")</f>
        <v>85o 53' 35"</v>
      </c>
      <c r="M928" s="2" t="str">
        <f>IFERROR(__xludf.DUMMYFUNCTION("""COMPUTED_VALUE"""),"Ramche,Mankha (Sindhupalchok)")</f>
        <v>Ramche,Mankha (Sindhupalchok)</v>
      </c>
    </row>
    <row r="929">
      <c r="A929" s="2">
        <f>IFERROR(__xludf.DUMMYFUNCTION("""COMPUTED_VALUE"""),928.0)</f>
        <v>928</v>
      </c>
      <c r="B929" s="2" t="str">
        <f>IFERROR(__xludf.DUMMYFUNCTION("""COMPUTED_VALUE"""),"Kusuwa Khola HPP")</f>
        <v>Kusuwa Khola HPP</v>
      </c>
      <c r="C929" s="2">
        <f>IFERROR(__xludf.DUMMYFUNCTION("""COMPUTED_VALUE"""),0.96)</f>
        <v>0.96</v>
      </c>
      <c r="D929" s="2" t="str">
        <f>IFERROR(__xludf.DUMMYFUNCTION("""COMPUTED_VALUE"""),"Kusuwa Khola")</f>
        <v>Kusuwa Khola</v>
      </c>
      <c r="E929" s="2">
        <f>IFERROR(__xludf.DUMMYFUNCTION("""COMPUTED_VALUE"""),2957.0)</f>
        <v>2957</v>
      </c>
      <c r="F929" s="3">
        <f>IFERROR(__xludf.DUMMYFUNCTION("""COMPUTED_VALUE"""),60566.0)</f>
        <v>60566</v>
      </c>
      <c r="G929" s="2" t="str">
        <f>IFERROR(__xludf.DUMMYFUNCTION("""COMPUTED_VALUE"""),"Tika Ram Shrestha, Sushila Shrestha")</f>
        <v>Tika Ram Shrestha, Sushila Shrestha</v>
      </c>
      <c r="H929" s="2" t="str">
        <f>IFERROR(__xludf.DUMMYFUNCTION("""COMPUTED_VALUE"""),"Syabun VDC-3, Sankhuwasabha")</f>
        <v>Syabun VDC-3, Sankhuwasabha</v>
      </c>
      <c r="I929" s="2" t="str">
        <f>IFERROR(__xludf.DUMMYFUNCTION("""COMPUTED_VALUE"""),"27o 23' 13""")</f>
        <v>27o 23' 13"</v>
      </c>
      <c r="J929" s="2" t="str">
        <f>IFERROR(__xludf.DUMMYFUNCTION("""COMPUTED_VALUE"""),"27o 24' 13""")</f>
        <v>27o 24' 13"</v>
      </c>
      <c r="K929" s="2" t="str">
        <f>IFERROR(__xludf.DUMMYFUNCTION("""COMPUTED_VALUE"""),"87o 17' 19""")</f>
        <v>87o 17' 19"</v>
      </c>
      <c r="L929" s="2" t="str">
        <f>IFERROR(__xludf.DUMMYFUNCTION("""COMPUTED_VALUE"""),"87o 19' 32""")</f>
        <v>87o 19' 32"</v>
      </c>
      <c r="M929" s="2" t="str">
        <f>IFERROR(__xludf.DUMMYFUNCTION("""COMPUTED_VALUE"""),"Syabun (Sankhuwasabha)")</f>
        <v>Syabun (Sankhuwasabha)</v>
      </c>
    </row>
    <row r="930">
      <c r="A930" s="2">
        <f>IFERROR(__xludf.DUMMYFUNCTION("""COMPUTED_VALUE"""),929.0)</f>
        <v>929</v>
      </c>
      <c r="B930" s="2" t="str">
        <f>IFERROR(__xludf.DUMMYFUNCTION("""COMPUTED_VALUE"""),"Tamor Mewa HPP")</f>
        <v>Tamor Mewa HPP</v>
      </c>
      <c r="C930" s="2">
        <f>IFERROR(__xludf.DUMMYFUNCTION("""COMPUTED_VALUE"""),101.0)</f>
        <v>101</v>
      </c>
      <c r="D930" s="2" t="str">
        <f>IFERROR(__xludf.DUMMYFUNCTION("""COMPUTED_VALUE"""),"Tamor")</f>
        <v>Tamor</v>
      </c>
      <c r="E930" s="2">
        <f>IFERROR(__xludf.DUMMYFUNCTION("""COMPUTED_VALUE"""),3012.0)</f>
        <v>3012</v>
      </c>
      <c r="F930" s="3">
        <f>IFERROR(__xludf.DUMMYFUNCTION("""COMPUTED_VALUE"""),60572.0)</f>
        <v>60572</v>
      </c>
      <c r="G930" s="2" t="str">
        <f>IFERROR(__xludf.DUMMYFUNCTION("""COMPUTED_VALUE"""),"Nepal Electricity Authority")</f>
        <v>Nepal Electricity Authority</v>
      </c>
      <c r="H930" s="2" t="str">
        <f>IFERROR(__xludf.DUMMYFUNCTION("""COMPUTED_VALUE"""),"GPO Box; 1020, KathmanduTel: 01-4225863, Fax: 4227035")</f>
        <v>GPO Box; 1020, KathmanduTel: 01-4225863, Fax: 4227035</v>
      </c>
      <c r="I930" s="2" t="str">
        <f>IFERROR(__xludf.DUMMYFUNCTION("""COMPUTED_VALUE"""),"27o 19' 00""")</f>
        <v>27o 19' 00"</v>
      </c>
      <c r="J930" s="2" t="str">
        <f>IFERROR(__xludf.DUMMYFUNCTION("""COMPUTED_VALUE"""),"27o 25' 00""")</f>
        <v>27o 25' 00"</v>
      </c>
      <c r="K930" s="2" t="str">
        <f>IFERROR(__xludf.DUMMYFUNCTION("""COMPUTED_VALUE"""),"87o 36' 00""")</f>
        <v>87o 36' 00"</v>
      </c>
      <c r="L930" s="2" t="str">
        <f>IFERROR(__xludf.DUMMYFUNCTION("""COMPUTED_VALUE"""),"87o 41' 00""")</f>
        <v>87o 41' 00"</v>
      </c>
      <c r="M930" s="2" t="str">
        <f>IFERROR(__xludf.DUMMYFUNCTION("""COMPUTED_VALUE"""),"Khamlung,Lingtep,Khokling,Liwang,Sawadin,Hangdeva (Taplejung)")</f>
        <v>Khamlung,Lingtep,Khokling,Liwang,Sawadin,Hangdeva (Taplejung)</v>
      </c>
    </row>
    <row r="931">
      <c r="A931" s="2">
        <f>IFERROR(__xludf.DUMMYFUNCTION("""COMPUTED_VALUE"""),930.0)</f>
        <v>930</v>
      </c>
      <c r="B931" s="2" t="str">
        <f>IFERROR(__xludf.DUMMYFUNCTION("""COMPUTED_VALUE"""),"Middle Indrwati HPP")</f>
        <v>Middle Indrwati HPP</v>
      </c>
      <c r="C931" s="2">
        <f>IFERROR(__xludf.DUMMYFUNCTION("""COMPUTED_VALUE"""),5.4)</f>
        <v>5.4</v>
      </c>
      <c r="D931" s="2" t="str">
        <f>IFERROR(__xludf.DUMMYFUNCTION("""COMPUTED_VALUE"""),"Indrawati Khola")</f>
        <v>Indrawati Khola</v>
      </c>
      <c r="E931" s="2">
        <f>IFERROR(__xludf.DUMMYFUNCTION("""COMPUTED_VALUE"""),3017.0)</f>
        <v>3017</v>
      </c>
      <c r="F931" s="3">
        <f>IFERROR(__xludf.DUMMYFUNCTION("""COMPUTED_VALUE"""),60572.0)</f>
        <v>60572</v>
      </c>
      <c r="G931" s="2" t="str">
        <f>IFERROR(__xludf.DUMMYFUNCTION("""COMPUTED_VALUE"""),"Shisir Waiba, Madan Lama")</f>
        <v>Shisir Waiba, Madan Lama</v>
      </c>
      <c r="H931" s="2" t="str">
        <f>IFERROR(__xludf.DUMMYFUNCTION("""COMPUTED_VALUE"""),"Kathmandu ,Tel:9741081384")</f>
        <v>Kathmandu ,Tel:9741081384</v>
      </c>
      <c r="I931" s="2" t="str">
        <f>IFERROR(__xludf.DUMMYFUNCTION("""COMPUTED_VALUE"""),"27o 51' 30""")</f>
        <v>27o 51' 30"</v>
      </c>
      <c r="J931" s="2" t="str">
        <f>IFERROR(__xludf.DUMMYFUNCTION("""COMPUTED_VALUE"""),"27o 55' 09""")</f>
        <v>27o 55' 09"</v>
      </c>
      <c r="K931" s="2" t="str">
        <f>IFERROR(__xludf.DUMMYFUNCTION("""COMPUTED_VALUE"""),"85o 34' 00""")</f>
        <v>85o 34' 00"</v>
      </c>
      <c r="L931" s="2" t="str">
        <f>IFERROR(__xludf.DUMMYFUNCTION("""COMPUTED_VALUE"""),"85o 39' 40""")</f>
        <v>85o 39' 40"</v>
      </c>
      <c r="M931" s="2" t="str">
        <f>IFERROR(__xludf.DUMMYFUNCTION("""COMPUTED_VALUE"""),"Baruwa,Thampal Dhap (Sindhupalchok)")</f>
        <v>Baruwa,Thampal Dhap (Sindhupalchok)</v>
      </c>
    </row>
    <row r="932">
      <c r="A932" s="2">
        <f>IFERROR(__xludf.DUMMYFUNCTION("""COMPUTED_VALUE"""),931.0)</f>
        <v>931</v>
      </c>
      <c r="B932" s="2" t="str">
        <f>IFERROR(__xludf.DUMMYFUNCTION("""COMPUTED_VALUE"""),"Thotneri SHP")</f>
        <v>Thotneri SHP</v>
      </c>
      <c r="C932" s="2">
        <f>IFERROR(__xludf.DUMMYFUNCTION("""COMPUTED_VALUE"""),0.99)</f>
        <v>0.99</v>
      </c>
      <c r="D932" s="2" t="str">
        <f>IFERROR(__xludf.DUMMYFUNCTION("""COMPUTED_VALUE"""),"Thotneri")</f>
        <v>Thotneri</v>
      </c>
      <c r="E932" s="2">
        <f>IFERROR(__xludf.DUMMYFUNCTION("""COMPUTED_VALUE"""),3025.0)</f>
        <v>3025</v>
      </c>
      <c r="F932" s="3">
        <f>IFERROR(__xludf.DUMMYFUNCTION("""COMPUTED_VALUE"""),60573.0)</f>
        <v>60573</v>
      </c>
      <c r="G932" s="2" t="str">
        <f>IFERROR(__xludf.DUMMYFUNCTION("""COMPUTED_VALUE"""),"Jaljala Hydropower Company")</f>
        <v>Jaljala Hydropower Company</v>
      </c>
      <c r="H932" s="2" t="str">
        <f>IFERROR(__xludf.DUMMYFUNCTION("""COMPUTED_VALUE"""),"Pokhra, Kaski Tel: 061-539200")</f>
        <v>Pokhra, Kaski Tel: 061-539200</v>
      </c>
      <c r="I932" s="2" t="str">
        <f>IFERROR(__xludf.DUMMYFUNCTION("""COMPUTED_VALUE"""),"28o 19' 20""")</f>
        <v>28o 19' 20"</v>
      </c>
      <c r="J932" s="2" t="str">
        <f>IFERROR(__xludf.DUMMYFUNCTION("""COMPUTED_VALUE"""),"28o 20' 20""")</f>
        <v>28o 20' 20"</v>
      </c>
      <c r="K932" s="2" t="str">
        <f>IFERROR(__xludf.DUMMYFUNCTION("""COMPUTED_VALUE"""),"83o 35' 40""")</f>
        <v>83o 35' 40"</v>
      </c>
      <c r="L932" s="2" t="str">
        <f>IFERROR(__xludf.DUMMYFUNCTION("""COMPUTED_VALUE"""),"83o 38' 45""")</f>
        <v>83o 38' 45"</v>
      </c>
      <c r="M932" s="2" t="str">
        <f>IFERROR(__xludf.DUMMYFUNCTION("""COMPUTED_VALUE"""),"Salija (Parbat)")</f>
        <v>Salija (Parbat)</v>
      </c>
    </row>
    <row r="933">
      <c r="A933" s="2">
        <f>IFERROR(__xludf.DUMMYFUNCTION("""COMPUTED_VALUE"""),932.0)</f>
        <v>932</v>
      </c>
      <c r="B933" s="2" t="str">
        <f>IFERROR(__xludf.DUMMYFUNCTION("""COMPUTED_VALUE"""),"Syar Khola HPP")</f>
        <v>Syar Khola HPP</v>
      </c>
      <c r="C933" s="2">
        <f>IFERROR(__xludf.DUMMYFUNCTION("""COMPUTED_VALUE"""),5.0)</f>
        <v>5</v>
      </c>
      <c r="D933" s="2" t="str">
        <f>IFERROR(__xludf.DUMMYFUNCTION("""COMPUTED_VALUE"""),"Syar")</f>
        <v>Syar</v>
      </c>
      <c r="E933" s="2">
        <f>IFERROR(__xludf.DUMMYFUNCTION("""COMPUTED_VALUE"""),3029.0)</f>
        <v>3029</v>
      </c>
      <c r="F933" s="3">
        <f>IFERROR(__xludf.DUMMYFUNCTION("""COMPUTED_VALUE"""),60573.0)</f>
        <v>60573</v>
      </c>
      <c r="G933" s="2" t="str">
        <f>IFERROR(__xludf.DUMMYFUNCTION("""COMPUTED_VALUE"""),"yogendra Rai, Usha Thapa, Tek B. Kangbang")</f>
        <v>yogendra Rai, Usha Thapa, Tek B. Kangbang</v>
      </c>
      <c r="H933" s="2" t="str">
        <f>IFERROR(__xludf.DUMMYFUNCTION("""COMPUTED_VALUE"""),"Usha Tapa, Bhimeswar Munucipality-10 Dolkha")</f>
        <v>Usha Tapa, Bhimeswar Munucipality-10 Dolkha</v>
      </c>
      <c r="I933" s="2" t="str">
        <f>IFERROR(__xludf.DUMMYFUNCTION("""COMPUTED_VALUE"""),"28o 25' 00""")</f>
        <v>28o 25' 00"</v>
      </c>
      <c r="J933" s="2" t="str">
        <f>IFERROR(__xludf.DUMMYFUNCTION("""COMPUTED_VALUE"""),"28o 30' 00""")</f>
        <v>28o 30' 00"</v>
      </c>
      <c r="K933" s="2" t="str">
        <f>IFERROR(__xludf.DUMMYFUNCTION("""COMPUTED_VALUE"""),"84o 52' 00""")</f>
        <v>84o 52' 00"</v>
      </c>
      <c r="L933" s="2" t="str">
        <f>IFERROR(__xludf.DUMMYFUNCTION("""COMPUTED_VALUE"""),"85o 00' 00""")</f>
        <v>85o 00' 00"</v>
      </c>
      <c r="M933" s="2" t="str">
        <f>IFERROR(__xludf.DUMMYFUNCTION("""COMPUTED_VALUE"""),"Chunchet (Gorkha)")</f>
        <v>Chunchet (Gorkha)</v>
      </c>
    </row>
    <row r="934">
      <c r="A934" s="2">
        <f>IFERROR(__xludf.DUMMYFUNCTION("""COMPUTED_VALUE"""),933.0)</f>
        <v>933</v>
      </c>
      <c r="B934" s="2" t="str">
        <f>IFERROR(__xludf.DUMMYFUNCTION("""COMPUTED_VALUE"""),"Hanguwa Khola SHP")</f>
        <v>Hanguwa Khola SHP</v>
      </c>
      <c r="C934" s="2">
        <f>IFERROR(__xludf.DUMMYFUNCTION("""COMPUTED_VALUE"""),0.99)</f>
        <v>0.99</v>
      </c>
      <c r="D934" s="2" t="str">
        <f>IFERROR(__xludf.DUMMYFUNCTION("""COMPUTED_VALUE"""),"Hanguwa")</f>
        <v>Hanguwa</v>
      </c>
      <c r="E934" s="2">
        <f>IFERROR(__xludf.DUMMYFUNCTION("""COMPUTED_VALUE"""),3095.0)</f>
        <v>3095</v>
      </c>
      <c r="F934" s="3">
        <f>IFERROR(__xludf.DUMMYFUNCTION("""COMPUTED_VALUE"""),60577.0)</f>
        <v>60577</v>
      </c>
      <c r="G934" s="2" t="str">
        <f>IFERROR(__xludf.DUMMYFUNCTION("""COMPUTED_VALUE"""),"Dal Bahadur Parajuli, Bipin Parajuli")</f>
        <v>Dal Bahadur Parajuli, Bipin Parajuli</v>
      </c>
      <c r="H934" s="2" t="str">
        <f>IFERROR(__xludf.DUMMYFUNCTION("""COMPUTED_VALUE"""),"Num VDC- Sankhuwasabha, Tel: 5555816, 9841379719")</f>
        <v>Num VDC- Sankhuwasabha, Tel: 5555816, 9841379719</v>
      </c>
      <c r="I934" s="2" t="str">
        <f>IFERROR(__xludf.DUMMYFUNCTION("""COMPUTED_VALUE"""),"27o 33' 31""")</f>
        <v>27o 33' 31"</v>
      </c>
      <c r="J934" s="2" t="str">
        <f>IFERROR(__xludf.DUMMYFUNCTION("""COMPUTED_VALUE"""),"27o 34' 28""")</f>
        <v>27o 34' 28"</v>
      </c>
      <c r="K934" s="2" t="str">
        <f>IFERROR(__xludf.DUMMYFUNCTION("""COMPUTED_VALUE"""),"87o 19' 41""")</f>
        <v>87o 19' 41"</v>
      </c>
      <c r="L934" s="2" t="str">
        <f>IFERROR(__xludf.DUMMYFUNCTION("""COMPUTED_VALUE"""),"87o 20' 46""")</f>
        <v>87o 20' 46"</v>
      </c>
      <c r="M934" s="2" t="str">
        <f>IFERROR(__xludf.DUMMYFUNCTION("""COMPUTED_VALUE"""),"Num (Sankhuwasabha)")</f>
        <v>Num (Sankhuwasabha)</v>
      </c>
    </row>
    <row r="935">
      <c r="A935" s="2">
        <f>IFERROR(__xludf.DUMMYFUNCTION("""COMPUTED_VALUE"""),934.0)</f>
        <v>934</v>
      </c>
      <c r="B935" s="2" t="str">
        <f>IFERROR(__xludf.DUMMYFUNCTION("""COMPUTED_VALUE"""),"Lapha Gad SHP")</f>
        <v>Lapha Gad SHP</v>
      </c>
      <c r="C935" s="2">
        <f>IFERROR(__xludf.DUMMYFUNCTION("""COMPUTED_VALUE"""),0.98)</f>
        <v>0.98</v>
      </c>
      <c r="D935" s="2" t="str">
        <f>IFERROR(__xludf.DUMMYFUNCTION("""COMPUTED_VALUE"""),"Laha Gad")</f>
        <v>Laha Gad</v>
      </c>
      <c r="E935" s="2">
        <f>IFERROR(__xludf.DUMMYFUNCTION("""COMPUTED_VALUE"""),3098.0)</f>
        <v>3098</v>
      </c>
      <c r="F935" s="3">
        <f>IFERROR(__xludf.DUMMYFUNCTION("""COMPUTED_VALUE"""),60577.0)</f>
        <v>60577</v>
      </c>
      <c r="G935" s="2" t="str">
        <f>IFERROR(__xludf.DUMMYFUNCTION("""COMPUTED_VALUE"""),"Durga Bahadur Bam , Pawan adhikari")</f>
        <v>Durga Bahadur Bam , Pawan adhikari</v>
      </c>
      <c r="H935" s="2" t="str">
        <f>IFERROR(__xludf.DUMMYFUNCTION("""COMPUTED_VALUE"""),"Kalanki Kathmandu , Tel: 9841242524, 9849046956")</f>
        <v>Kalanki Kathmandu , Tel: 9841242524, 9849046956</v>
      </c>
      <c r="I935" s="2" t="str">
        <f>IFERROR(__xludf.DUMMYFUNCTION("""COMPUTED_VALUE"""),"29o 13' 36""")</f>
        <v>29o 13' 36"</v>
      </c>
      <c r="J935" s="2" t="str">
        <f>IFERROR(__xludf.DUMMYFUNCTION("""COMPUTED_VALUE"""),"29o 16' 00""")</f>
        <v>29o 16' 00"</v>
      </c>
      <c r="K935" s="2" t="str">
        <f>IFERROR(__xludf.DUMMYFUNCTION("""COMPUTED_VALUE"""),"81o 42' 36""")</f>
        <v>81o 42' 36"</v>
      </c>
      <c r="L935" s="2" t="str">
        <f>IFERROR(__xludf.DUMMYFUNCTION("""COMPUTED_VALUE"""),"81o 44' 28""")</f>
        <v>81o 44' 28"</v>
      </c>
      <c r="M935" s="2" t="str">
        <f>IFERROR(__xludf.DUMMYFUNCTION("""COMPUTED_VALUE"""),"Ramanakot,Thirpu,Kheen (Kalikot)")</f>
        <v>Ramanakot,Thirpu,Kheen (Kalikot)</v>
      </c>
    </row>
    <row r="936">
      <c r="A936" s="2">
        <f>IFERROR(__xludf.DUMMYFUNCTION("""COMPUTED_VALUE"""),935.0)</f>
        <v>935</v>
      </c>
      <c r="B936" s="2" t="str">
        <f>IFERROR(__xludf.DUMMYFUNCTION("""COMPUTED_VALUE"""),"Daringal SHP")</f>
        <v>Daringal SHP</v>
      </c>
      <c r="C936" s="2">
        <f>IFERROR(__xludf.DUMMYFUNCTION("""COMPUTED_VALUE"""),0.99)</f>
        <v>0.99</v>
      </c>
      <c r="D936" s="2" t="str">
        <f>IFERROR(__xludf.DUMMYFUNCTION("""COMPUTED_VALUE"""),"Daringal Khola")</f>
        <v>Daringal Khola</v>
      </c>
      <c r="E936" s="2">
        <f>IFERROR(__xludf.DUMMYFUNCTION("""COMPUTED_VALUE"""),3099.0)</f>
        <v>3099</v>
      </c>
      <c r="F936" s="3">
        <f>IFERROR(__xludf.DUMMYFUNCTION("""COMPUTED_VALUE"""),60577.0)</f>
        <v>60577</v>
      </c>
      <c r="G936" s="2" t="str">
        <f>IFERROR(__xludf.DUMMYFUNCTION("""COMPUTED_VALUE"""),"Subha Upreti, Kavita Lamsal")</f>
        <v>Subha Upreti, Kavita Lamsal</v>
      </c>
      <c r="H936" s="2" t="str">
        <f>IFERROR(__xludf.DUMMYFUNCTION("""COMPUTED_VALUE"""),"Kamal Pokhri, Kathmandu, Tel: 4414009")</f>
        <v>Kamal Pokhri, Kathmandu, Tel: 4414009</v>
      </c>
      <c r="I936" s="2" t="str">
        <f>IFERROR(__xludf.DUMMYFUNCTION("""COMPUTED_VALUE"""),"27o 43' 06""")</f>
        <v>27o 43' 06"</v>
      </c>
      <c r="J936" s="2" t="str">
        <f>IFERROR(__xludf.DUMMYFUNCTION("""COMPUTED_VALUE"""),"27o 45' 00""")</f>
        <v>27o 45' 00"</v>
      </c>
      <c r="K936" s="2" t="str">
        <f>IFERROR(__xludf.DUMMYFUNCTION("""COMPUTED_VALUE"""),"84o 53' 54""")</f>
        <v>84o 53' 54"</v>
      </c>
      <c r="L936" s="2" t="str">
        <f>IFERROR(__xludf.DUMMYFUNCTION("""COMPUTED_VALUE"""),"84o 55' 00""")</f>
        <v>84o 55' 00"</v>
      </c>
      <c r="M936" s="2" t="str">
        <f>IFERROR(__xludf.DUMMYFUNCTION("""COMPUTED_VALUE"""),"Pida (Dhading)")</f>
        <v>Pida (Dhading)</v>
      </c>
    </row>
    <row r="937">
      <c r="A937" s="2">
        <f>IFERROR(__xludf.DUMMYFUNCTION("""COMPUTED_VALUE"""),936.0)</f>
        <v>936</v>
      </c>
      <c r="B937" s="2" t="str">
        <f>IFERROR(__xludf.DUMMYFUNCTION("""COMPUTED_VALUE"""),"Jhumsa Khola SHP")</f>
        <v>Jhumsa Khola SHP</v>
      </c>
      <c r="C937" s="2">
        <f>IFERROR(__xludf.DUMMYFUNCTION("""COMPUTED_VALUE"""),0.95)</f>
        <v>0.95</v>
      </c>
      <c r="D937" s="2" t="str">
        <f>IFERROR(__xludf.DUMMYFUNCTION("""COMPUTED_VALUE"""),"Jhumsa")</f>
        <v>Jhumsa</v>
      </c>
      <c r="E937" s="2">
        <f>IFERROR(__xludf.DUMMYFUNCTION("""COMPUTED_VALUE"""),3102.0)</f>
        <v>3102</v>
      </c>
      <c r="F937" s="3">
        <f>IFERROR(__xludf.DUMMYFUNCTION("""COMPUTED_VALUE"""),60577.0)</f>
        <v>60577</v>
      </c>
      <c r="G937" s="2" t="str">
        <f>IFERROR(__xludf.DUMMYFUNCTION("""COMPUTED_VALUE"""),"Srimati Roshni Shrestha")</f>
        <v>Srimati Roshni Shrestha</v>
      </c>
      <c r="H937" s="2" t="str">
        <f>IFERROR(__xludf.DUMMYFUNCTION("""COMPUTED_VALUE"""),"Chahbil Kathmandu")</f>
        <v>Chahbil Kathmandu</v>
      </c>
      <c r="I937" s="2" t="str">
        <f>IFERROR(__xludf.DUMMYFUNCTION("""COMPUTED_VALUE"""),"27o 44' 05""")</f>
        <v>27o 44' 05"</v>
      </c>
      <c r="J937" s="2" t="str">
        <f>IFERROR(__xludf.DUMMYFUNCTION("""COMPUTED_VALUE"""),"27o 45' 25""")</f>
        <v>27o 45' 25"</v>
      </c>
      <c r="K937" s="2" t="str">
        <f>IFERROR(__xludf.DUMMYFUNCTION("""COMPUTED_VALUE"""),"83o 37' 28""")</f>
        <v>83o 37' 28"</v>
      </c>
      <c r="L937" s="2" t="str">
        <f>IFERROR(__xludf.DUMMYFUNCTION("""COMPUTED_VALUE"""),"83o 38' 41""")</f>
        <v>83o 38' 41"</v>
      </c>
      <c r="M937" s="2" t="str">
        <f>IFERROR(__xludf.DUMMYFUNCTION("""COMPUTED_VALUE"""),"Gothadi,Kaseni (Palpa)")</f>
        <v>Gothadi,Kaseni (Palpa)</v>
      </c>
    </row>
    <row r="938">
      <c r="A938" s="2">
        <f>IFERROR(__xludf.DUMMYFUNCTION("""COMPUTED_VALUE"""),937.0)</f>
        <v>937</v>
      </c>
      <c r="B938" s="2" t="str">
        <f>IFERROR(__xludf.DUMMYFUNCTION("""COMPUTED_VALUE"""),"Dinthang Khola SHP")</f>
        <v>Dinthang Khola SHP</v>
      </c>
      <c r="C938" s="2">
        <f>IFERROR(__xludf.DUMMYFUNCTION("""COMPUTED_VALUE"""),0.56)</f>
        <v>0.56</v>
      </c>
      <c r="D938" s="2" t="str">
        <f>IFERROR(__xludf.DUMMYFUNCTION("""COMPUTED_VALUE"""),"Dinthang")</f>
        <v>Dinthang</v>
      </c>
      <c r="E938" s="2">
        <f>IFERROR(__xludf.DUMMYFUNCTION("""COMPUTED_VALUE"""),3104.0)</f>
        <v>3104</v>
      </c>
      <c r="F938" s="3">
        <f>IFERROR(__xludf.DUMMYFUNCTION("""COMPUTED_VALUE"""),60579.0)</f>
        <v>60579</v>
      </c>
      <c r="G938" s="2" t="str">
        <f>IFERROR(__xludf.DUMMYFUNCTION("""COMPUTED_VALUE"""),"Devdhunga Hydropower Company Pvt Ltd")</f>
        <v>Devdhunga Hydropower Company Pvt Ltd</v>
      </c>
      <c r="H938" s="2" t="str">
        <f>IFERROR(__xludf.DUMMYFUNCTION("""COMPUTED_VALUE"""),"Baneswar Kathmandu , Tel: 9851017678")</f>
        <v>Baneswar Kathmandu , Tel: 9851017678</v>
      </c>
      <c r="I938" s="2" t="str">
        <f>IFERROR(__xludf.DUMMYFUNCTION("""COMPUTED_VALUE"""),"27o 51' 18""")</f>
        <v>27o 51' 18"</v>
      </c>
      <c r="J938" s="2" t="str">
        <f>IFERROR(__xludf.DUMMYFUNCTION("""COMPUTED_VALUE"""),"27o 52' 26""")</f>
        <v>27o 52' 26"</v>
      </c>
      <c r="K938" s="2" t="str">
        <f>IFERROR(__xludf.DUMMYFUNCTION("""COMPUTED_VALUE"""),"85o 56' 14""")</f>
        <v>85o 56' 14"</v>
      </c>
      <c r="L938" s="2" t="str">
        <f>IFERROR(__xludf.DUMMYFUNCTION("""COMPUTED_VALUE"""),"85o 57' 26""")</f>
        <v>85o 57' 26"</v>
      </c>
      <c r="M938" s="2" t="str">
        <f>IFERROR(__xludf.DUMMYFUNCTION("""COMPUTED_VALUE"""),"Marbin (Sindhupalchok)")</f>
        <v>Marbin (Sindhupalchok)</v>
      </c>
    </row>
    <row r="939">
      <c r="A939" s="2">
        <f>IFERROR(__xludf.DUMMYFUNCTION("""COMPUTED_VALUE"""),938.0)</f>
        <v>938</v>
      </c>
      <c r="B939" s="2" t="str">
        <f>IFERROR(__xludf.DUMMYFUNCTION("""COMPUTED_VALUE"""),"Matela Khola HEP")</f>
        <v>Matela Khola HEP</v>
      </c>
      <c r="C939" s="2">
        <f>IFERROR(__xludf.DUMMYFUNCTION("""COMPUTED_VALUE"""),0.706)</f>
        <v>0.706</v>
      </c>
      <c r="D939" s="2" t="str">
        <f>IFERROR(__xludf.DUMMYFUNCTION("""COMPUTED_VALUE"""),"Matela Khola")</f>
        <v>Matela Khola</v>
      </c>
      <c r="E939" s="2">
        <f>IFERROR(__xludf.DUMMYFUNCTION("""COMPUTED_VALUE"""),3118.0)</f>
        <v>3118</v>
      </c>
      <c r="F939" s="3">
        <f>IFERROR(__xludf.DUMMYFUNCTION("""COMPUTED_VALUE"""),60579.0)</f>
        <v>60579</v>
      </c>
      <c r="G939" s="2" t="str">
        <f>IFERROR(__xludf.DUMMYFUNCTION("""COMPUTED_VALUE"""),"Horizon Energy Development Company Pvt Ltd")</f>
        <v>Horizon Energy Development Company Pvt Ltd</v>
      </c>
      <c r="H939" s="2" t="str">
        <f>IFERROR(__xludf.DUMMYFUNCTION("""COMPUTED_VALUE"""),"Kathmandu ,Tel:9841488725,9841505699")</f>
        <v>Kathmandu ,Tel:9841488725,9841505699</v>
      </c>
      <c r="I939" s="2" t="str">
        <f>IFERROR(__xludf.DUMMYFUNCTION("""COMPUTED_VALUE"""),"28o 45' 18""")</f>
        <v>28o 45' 18"</v>
      </c>
      <c r="J939" s="2" t="str">
        <f>IFERROR(__xludf.DUMMYFUNCTION("""COMPUTED_VALUE"""),"28o 46' 33""")</f>
        <v>28o 46' 33"</v>
      </c>
      <c r="K939" s="2" t="str">
        <f>IFERROR(__xludf.DUMMYFUNCTION("""COMPUTED_VALUE"""),"81o 40' 33""")</f>
        <v>81o 40' 33"</v>
      </c>
      <c r="L939" s="2" t="str">
        <f>IFERROR(__xludf.DUMMYFUNCTION("""COMPUTED_VALUE"""),"81o 42' 07""")</f>
        <v>81o 42' 07"</v>
      </c>
      <c r="M939" s="2" t="str">
        <f>IFERROR(__xludf.DUMMYFUNCTION("""COMPUTED_VALUE"""),"Dada Parajul (Dailekh)")</f>
        <v>Dada Parajul (Dailekh)</v>
      </c>
    </row>
    <row r="940">
      <c r="A940" s="2">
        <f>IFERROR(__xludf.DUMMYFUNCTION("""COMPUTED_VALUE"""),939.0)</f>
        <v>939</v>
      </c>
      <c r="B940" s="2" t="str">
        <f>IFERROR(__xludf.DUMMYFUNCTION("""COMPUTED_VALUE"""),"Upper Iwa A HPP")</f>
        <v>Upper Iwa A HPP</v>
      </c>
      <c r="C940" s="2">
        <f>IFERROR(__xludf.DUMMYFUNCTION("""COMPUTED_VALUE"""),6.0)</f>
        <v>6</v>
      </c>
      <c r="D940" s="2" t="str">
        <f>IFERROR(__xludf.DUMMYFUNCTION("""COMPUTED_VALUE"""),"Iwa Khola")</f>
        <v>Iwa Khola</v>
      </c>
      <c r="E940" s="2">
        <f>IFERROR(__xludf.DUMMYFUNCTION("""COMPUTED_VALUE"""),3133.0)</f>
        <v>3133</v>
      </c>
      <c r="F940" s="3">
        <f>IFERROR(__xludf.DUMMYFUNCTION("""COMPUTED_VALUE"""),60579.0)</f>
        <v>60579</v>
      </c>
      <c r="G940" s="2" t="str">
        <f>IFERROR(__xludf.DUMMYFUNCTION("""COMPUTED_VALUE"""),"Gangotri Hydropower Pvt Ltd")</f>
        <v>Gangotri Hydropower Pvt Ltd</v>
      </c>
      <c r="H940" s="2" t="str">
        <f>IFERROR(__xludf.DUMMYFUNCTION("""COMPUTED_VALUE"""),"Kathmandu Mun icipality-10")</f>
        <v>Kathmandu Mun icipality-10</v>
      </c>
      <c r="I940" s="2" t="str">
        <f>IFERROR(__xludf.DUMMYFUNCTION("""COMPUTED_VALUE"""),"27o 16' 24""")</f>
        <v>27o 16' 24"</v>
      </c>
      <c r="J940" s="2" t="str">
        <f>IFERROR(__xludf.DUMMYFUNCTION("""COMPUTED_VALUE"""),"27o 19' 40""")</f>
        <v>27o 19' 40"</v>
      </c>
      <c r="K940" s="2" t="str">
        <f>IFERROR(__xludf.DUMMYFUNCTION("""COMPUTED_VALUE"""),"87o 55' 45""")</f>
        <v>87o 55' 45"</v>
      </c>
      <c r="L940" s="2" t="str">
        <f>IFERROR(__xludf.DUMMYFUNCTION("""COMPUTED_VALUE"""),"88o 00' 00""")</f>
        <v>88o 00' 00"</v>
      </c>
      <c r="M940" s="2" t="str">
        <f>IFERROR(__xludf.DUMMYFUNCTION("""COMPUTED_VALUE"""),"Chyangthapu (Panchthar)")</f>
        <v>Chyangthapu (Panchthar)</v>
      </c>
    </row>
    <row r="941">
      <c r="A941" s="2">
        <f>IFERROR(__xludf.DUMMYFUNCTION("""COMPUTED_VALUE"""),940.0)</f>
        <v>940</v>
      </c>
      <c r="B941" s="2" t="str">
        <f>IFERROR(__xludf.DUMMYFUNCTION("""COMPUTED_VALUE"""),"Ghat Ganga HPP")</f>
        <v>Ghat Ganga HPP</v>
      </c>
      <c r="C941" s="2">
        <f>IFERROR(__xludf.DUMMYFUNCTION("""COMPUTED_VALUE"""),9.64)</f>
        <v>9.64</v>
      </c>
      <c r="D941" s="2" t="str">
        <f>IFERROR(__xludf.DUMMYFUNCTION("""COMPUTED_VALUE"""),"Ghat Ganga")</f>
        <v>Ghat Ganga</v>
      </c>
      <c r="E941" s="2">
        <f>IFERROR(__xludf.DUMMYFUNCTION("""COMPUTED_VALUE"""),3134.0)</f>
        <v>3134</v>
      </c>
      <c r="F941" s="3">
        <f>IFERROR(__xludf.DUMMYFUNCTION("""COMPUTED_VALUE"""),60579.0)</f>
        <v>60579</v>
      </c>
      <c r="G941" s="2" t="str">
        <f>IFERROR(__xludf.DUMMYFUNCTION("""COMPUTED_VALUE"""),"Ghatganga Hydropower Pvt Ltd")</f>
        <v>Ghatganga Hydropower Pvt Ltd</v>
      </c>
      <c r="H941" s="2" t="str">
        <f>IFERROR(__xludf.DUMMYFUNCTION("""COMPUTED_VALUE"""),"Kathmandu")</f>
        <v>Kathmandu</v>
      </c>
      <c r="I941" s="2" t="str">
        <f>IFERROR(__xludf.DUMMYFUNCTION("""COMPUTED_VALUE"""),"29o 43' 13""")</f>
        <v>29o 43' 13"</v>
      </c>
      <c r="J941" s="2" t="str">
        <f>IFERROR(__xludf.DUMMYFUNCTION("""COMPUTED_VALUE"""),"29o 46' 42""")</f>
        <v>29o 46' 42"</v>
      </c>
      <c r="K941" s="2" t="str">
        <f>IFERROR(__xludf.DUMMYFUNCTION("""COMPUTED_VALUE"""),"81o 20' 52""")</f>
        <v>81o 20' 52"</v>
      </c>
      <c r="L941" s="2" t="str">
        <f>IFERROR(__xludf.DUMMYFUNCTION("""COMPUTED_VALUE"""),"81o 25' 00""")</f>
        <v>81o 25' 00"</v>
      </c>
      <c r="M941" s="2" t="str">
        <f>IFERROR(__xludf.DUMMYFUNCTION("""COMPUTED_VALUE"""),"Kanda (Bajhang)")</f>
        <v>Kanda (Bajhang)</v>
      </c>
    </row>
    <row r="942">
      <c r="A942" s="2">
        <f>IFERROR(__xludf.DUMMYFUNCTION("""COMPUTED_VALUE"""),941.0)</f>
        <v>941</v>
      </c>
      <c r="B942" s="2" t="str">
        <f>IFERROR(__xludf.DUMMYFUNCTION("""COMPUTED_VALUE"""),"Nakhuwa Khola SHP")</f>
        <v>Nakhuwa Khola SHP</v>
      </c>
      <c r="C942" s="2">
        <f>IFERROR(__xludf.DUMMYFUNCTION("""COMPUTED_VALUE"""),0.95)</f>
        <v>0.95</v>
      </c>
      <c r="D942" s="2" t="str">
        <f>IFERROR(__xludf.DUMMYFUNCTION("""COMPUTED_VALUE"""),"Nakhuwa")</f>
        <v>Nakhuwa</v>
      </c>
      <c r="E942" s="2">
        <f>IFERROR(__xludf.DUMMYFUNCTION("""COMPUTED_VALUE"""),3143.0)</f>
        <v>3143</v>
      </c>
      <c r="F942" s="3">
        <f>IFERROR(__xludf.DUMMYFUNCTION("""COMPUTED_VALUE"""),60580.0)</f>
        <v>60580</v>
      </c>
      <c r="G942" s="2" t="str">
        <f>IFERROR(__xludf.DUMMYFUNCTION("""COMPUTED_VALUE"""),"Kedar Karki,Binod Khatri,S.B. Khatri, Prakash Sharma, Jagdish Karki")</f>
        <v>Kedar Karki,Binod Khatri,S.B. Khatri, Prakash Sharma, Jagdish Karki</v>
      </c>
      <c r="H942" s="2" t="str">
        <f>IFERROR(__xludf.DUMMYFUNCTION("""COMPUTED_VALUE"""),"Binod Khatri, Kathmandu, Tel: 9841292800")</f>
        <v>Binod Khatri, Kathmandu, Tel: 9841292800</v>
      </c>
      <c r="I942" s="2" t="str">
        <f>IFERROR(__xludf.DUMMYFUNCTION("""COMPUTED_VALUE"""),"27o 16' 29""")</f>
        <v>27o 16' 29"</v>
      </c>
      <c r="J942" s="2" t="str">
        <f>IFERROR(__xludf.DUMMYFUNCTION("""COMPUTED_VALUE"""),"27o 17' 20""")</f>
        <v>27o 17' 20"</v>
      </c>
      <c r="K942" s="2" t="str">
        <f>IFERROR(__xludf.DUMMYFUNCTION("""COMPUTED_VALUE"""),"87o 08' 04""")</f>
        <v>87o 08' 04"</v>
      </c>
      <c r="L942" s="2" t="str">
        <f>IFERROR(__xludf.DUMMYFUNCTION("""COMPUTED_VALUE"""),"87o 09' 35""")</f>
        <v>87o 09' 35"</v>
      </c>
      <c r="M942" s="2" t="str">
        <f>IFERROR(__xludf.DUMMYFUNCTION("""COMPUTED_VALUE"""),"Boya,Deurali (Bhojpur)")</f>
        <v>Boya,Deurali (Bhojpur)</v>
      </c>
    </row>
    <row r="943">
      <c r="A943" s="2">
        <f>IFERROR(__xludf.DUMMYFUNCTION("""COMPUTED_VALUE"""),942.0)</f>
        <v>942</v>
      </c>
      <c r="B943" s="2" t="str">
        <f>IFERROR(__xludf.DUMMYFUNCTION("""COMPUTED_VALUE"""),"Bhurundi SHP")</f>
        <v>Bhurundi SHP</v>
      </c>
      <c r="C943" s="2">
        <f>IFERROR(__xludf.DUMMYFUNCTION("""COMPUTED_VALUE"""),0.99)</f>
        <v>0.99</v>
      </c>
      <c r="D943" s="2" t="str">
        <f>IFERROR(__xludf.DUMMYFUNCTION("""COMPUTED_VALUE"""),"Bhurundi Khola")</f>
        <v>Bhurundi Khola</v>
      </c>
      <c r="E943" s="2">
        <f>IFERROR(__xludf.DUMMYFUNCTION("""COMPUTED_VALUE"""),3150.0)</f>
        <v>3150</v>
      </c>
      <c r="F943" s="3">
        <f>IFERROR(__xludf.DUMMYFUNCTION("""COMPUTED_VALUE"""),60580.0)</f>
        <v>60580</v>
      </c>
      <c r="G943" s="2" t="str">
        <f>IFERROR(__xludf.DUMMYFUNCTION("""COMPUTED_VALUE"""),"Ishwori Bhusal")</f>
        <v>Ishwori Bhusal</v>
      </c>
      <c r="H943" s="2" t="str">
        <f>IFERROR(__xludf.DUMMYFUNCTION("""COMPUTED_VALUE"""),"Kalanki Kathmandu , Tel: 9841638646")</f>
        <v>Kalanki Kathmandu , Tel: 9841638646</v>
      </c>
      <c r="I943" s="2" t="str">
        <f>IFERROR(__xludf.DUMMYFUNCTION("""COMPUTED_VALUE"""),"28o 19' 25""")</f>
        <v>28o 19' 25"</v>
      </c>
      <c r="J943" s="2" t="str">
        <f>IFERROR(__xludf.DUMMYFUNCTION("""COMPUTED_VALUE"""),"28o 22' 30""")</f>
        <v>28o 22' 30"</v>
      </c>
      <c r="K943" s="2" t="str">
        <f>IFERROR(__xludf.DUMMYFUNCTION("""COMPUTED_VALUE"""),"83o 44' 30""")</f>
        <v>83o 44' 30"</v>
      </c>
      <c r="L943" s="2" t="str">
        <f>IFERROR(__xludf.DUMMYFUNCTION("""COMPUTED_VALUE"""),"83o 45' 00""")</f>
        <v>83o 45' 00"</v>
      </c>
      <c r="M943" s="2"/>
    </row>
    <row r="944">
      <c r="A944" s="2">
        <f>IFERROR(__xludf.DUMMYFUNCTION("""COMPUTED_VALUE"""),943.0)</f>
        <v>943</v>
      </c>
      <c r="B944" s="2" t="str">
        <f>IFERROR(__xludf.DUMMYFUNCTION("""COMPUTED_VALUE"""),"Mahabir Khola SHP")</f>
        <v>Mahabir Khola SHP</v>
      </c>
      <c r="C944" s="2">
        <f>IFERROR(__xludf.DUMMYFUNCTION("""COMPUTED_VALUE"""),0.9)</f>
        <v>0.9</v>
      </c>
      <c r="D944" s="2" t="str">
        <f>IFERROR(__xludf.DUMMYFUNCTION("""COMPUTED_VALUE"""),"Bhurundi Khola")</f>
        <v>Bhurundi Khola</v>
      </c>
      <c r="E944" s="2">
        <f>IFERROR(__xludf.DUMMYFUNCTION("""COMPUTED_VALUE"""),3151.0)</f>
        <v>3151</v>
      </c>
      <c r="F944" s="3">
        <f>IFERROR(__xludf.DUMMYFUNCTION("""COMPUTED_VALUE"""),60580.0)</f>
        <v>60580</v>
      </c>
      <c r="G944" s="2" t="str">
        <f>IFERROR(__xludf.DUMMYFUNCTION("""COMPUTED_VALUE"""),"Parbat Mines Pvt Ltd")</f>
        <v>Parbat Mines Pvt Ltd</v>
      </c>
      <c r="H944" s="2" t="str">
        <f>IFERROR(__xludf.DUMMYFUNCTION("""COMPUTED_VALUE"""),"Kathmandu-10, Baneswar , Tel: 4282509")</f>
        <v>Kathmandu-10, Baneswar , Tel: 4282509</v>
      </c>
      <c r="I944" s="2" t="str">
        <f>IFERROR(__xludf.DUMMYFUNCTION("""COMPUTED_VALUE"""),"28o 20' 25""")</f>
        <v>28o 20' 25"</v>
      </c>
      <c r="J944" s="2" t="str">
        <f>IFERROR(__xludf.DUMMYFUNCTION("""COMPUTED_VALUE"""),"28o 22' 30""")</f>
        <v>28o 22' 30"</v>
      </c>
      <c r="K944" s="2" t="str">
        <f>IFERROR(__xludf.DUMMYFUNCTION("""COMPUTED_VALUE"""),"83o 41' 15""")</f>
        <v>83o 41' 15"</v>
      </c>
      <c r="L944" s="2" t="str">
        <f>IFERROR(__xludf.DUMMYFUNCTION("""COMPUTED_VALUE"""),"83o 44' 30""")</f>
        <v>83o 44' 30"</v>
      </c>
      <c r="M944" s="2" t="str">
        <f>IFERROR(__xludf.DUMMYFUNCTION("""COMPUTED_VALUE"""),"Bhuk Deurali (Parbat)")</f>
        <v>Bhuk Deurali (Parbat)</v>
      </c>
    </row>
    <row r="945">
      <c r="A945" s="2">
        <f>IFERROR(__xludf.DUMMYFUNCTION("""COMPUTED_VALUE"""),944.0)</f>
        <v>944</v>
      </c>
      <c r="B945" s="2" t="str">
        <f>IFERROR(__xludf.DUMMYFUNCTION("""COMPUTED_VALUE"""),"Middle Humla Karnaki-A HPP")</f>
        <v>Middle Humla Karnaki-A HPP</v>
      </c>
      <c r="C945" s="2">
        <f>IFERROR(__xludf.DUMMYFUNCTION("""COMPUTED_VALUE"""),70.0)</f>
        <v>70</v>
      </c>
      <c r="D945" s="2" t="str">
        <f>IFERROR(__xludf.DUMMYFUNCTION("""COMPUTED_VALUE"""),"Humla Karnali")</f>
        <v>Humla Karnali</v>
      </c>
      <c r="E945" s="2">
        <f>IFERROR(__xludf.DUMMYFUNCTION("""COMPUTED_VALUE"""),3170.0)</f>
        <v>3170</v>
      </c>
      <c r="F945" s="3">
        <f>IFERROR(__xludf.DUMMYFUNCTION("""COMPUTED_VALUE"""),60582.0)</f>
        <v>60582</v>
      </c>
      <c r="G945" s="2" t="str">
        <f>IFERROR(__xludf.DUMMYFUNCTION("""COMPUTED_VALUE"""),"Ganga Hydropower Pvt Ltd")</f>
        <v>Ganga Hydropower Pvt Ltd</v>
      </c>
      <c r="H945" s="2" t="str">
        <f>IFERROR(__xludf.DUMMYFUNCTION("""COMPUTED_VALUE"""),"Budhanagar, Kathmandu Tel: 4782765,4783532")</f>
        <v>Budhanagar, Kathmandu Tel: 4782765,4783532</v>
      </c>
      <c r="I945" s="2" t="str">
        <f>IFERROR(__xludf.DUMMYFUNCTION("""COMPUTED_VALUE"""),"29o 50' 51""")</f>
        <v>29o 50' 51"</v>
      </c>
      <c r="J945" s="2" t="str">
        <f>IFERROR(__xludf.DUMMYFUNCTION("""COMPUTED_VALUE"""),"29o 52' 47""")</f>
        <v>29o 52' 47"</v>
      </c>
      <c r="K945" s="2" t="str">
        <f>IFERROR(__xludf.DUMMYFUNCTION("""COMPUTED_VALUE"""),"81o 51' 33""")</f>
        <v>81o 51' 33"</v>
      </c>
      <c r="L945" s="2" t="str">
        <f>IFERROR(__xludf.DUMMYFUNCTION("""COMPUTED_VALUE"""),"81o 54' 00""")</f>
        <v>81o 54' 00"</v>
      </c>
      <c r="M945" s="2" t="str">
        <f>IFERROR(__xludf.DUMMYFUNCTION("""COMPUTED_VALUE"""),"Kharpunath,Lali,Raya (Humla)")</f>
        <v>Kharpunath,Lali,Raya (Humla)</v>
      </c>
    </row>
    <row r="946">
      <c r="A946" s="2">
        <f>IFERROR(__xludf.DUMMYFUNCTION("""COMPUTED_VALUE"""),945.0)</f>
        <v>945</v>
      </c>
      <c r="B946" s="2" t="str">
        <f>IFERROR(__xludf.DUMMYFUNCTION("""COMPUTED_VALUE"""),"Ropthang Thado Khola HPP")</f>
        <v>Ropthang Thado Khola HPP</v>
      </c>
      <c r="C946" s="2">
        <f>IFERROR(__xludf.DUMMYFUNCTION("""COMPUTED_VALUE"""),3.0)</f>
        <v>3</v>
      </c>
      <c r="D946" s="2" t="str">
        <f>IFERROR(__xludf.DUMMYFUNCTION("""COMPUTED_VALUE"""),"Thado Khola")</f>
        <v>Thado Khola</v>
      </c>
      <c r="E946" s="2">
        <f>IFERROR(__xludf.DUMMYFUNCTION("""COMPUTED_VALUE"""),3184.0)</f>
        <v>3184</v>
      </c>
      <c r="F946" s="3">
        <f>IFERROR(__xludf.DUMMYFUNCTION("""COMPUTED_VALUE"""),60584.0)</f>
        <v>60584</v>
      </c>
      <c r="G946" s="2" t="str">
        <f>IFERROR(__xludf.DUMMYFUNCTION("""COMPUTED_VALUE"""),"Dhan Singh Sherpa , Trikaldhar Tuladhar")</f>
        <v>Dhan Singh Sherpa , Trikaldhar Tuladhar</v>
      </c>
      <c r="H946" s="2" t="str">
        <f>IFERROR(__xludf.DUMMYFUNCTION("""COMPUTED_VALUE"""),"Kathmandu, Dolkha")</f>
        <v>Kathmandu, Dolkha</v>
      </c>
      <c r="I946" s="2" t="str">
        <f>IFERROR(__xludf.DUMMYFUNCTION("""COMPUTED_VALUE"""),"27o 45' 20""")</f>
        <v>27o 45' 20"</v>
      </c>
      <c r="J946" s="2" t="str">
        <f>IFERROR(__xludf.DUMMYFUNCTION("""COMPUTED_VALUE"""),"27o 46' 58""")</f>
        <v>27o 46' 58"</v>
      </c>
      <c r="K946" s="2" t="str">
        <f>IFERROR(__xludf.DUMMYFUNCTION("""COMPUTED_VALUE"""),"86o 18' 00""")</f>
        <v>86o 18' 00"</v>
      </c>
      <c r="L946" s="2" t="str">
        <f>IFERROR(__xludf.DUMMYFUNCTION("""COMPUTED_VALUE"""),"86o 20' 00""")</f>
        <v>86o 20' 00"</v>
      </c>
      <c r="M946" s="2" t="str">
        <f>IFERROR(__xludf.DUMMYFUNCTION("""COMPUTED_VALUE"""),"Marbu (Dolakha)")</f>
        <v>Marbu (Dolakha)</v>
      </c>
    </row>
    <row r="947">
      <c r="A947" s="2">
        <f>IFERROR(__xludf.DUMMYFUNCTION("""COMPUTED_VALUE"""),946.0)</f>
        <v>946</v>
      </c>
      <c r="B947" s="2" t="str">
        <f>IFERROR(__xludf.DUMMYFUNCTION("""COMPUTED_VALUE"""),"Indrawati-2 HPP")</f>
        <v>Indrawati-2 HPP</v>
      </c>
      <c r="C947" s="2">
        <f>IFERROR(__xludf.DUMMYFUNCTION("""COMPUTED_VALUE"""),4.77)</f>
        <v>4.77</v>
      </c>
      <c r="D947" s="2" t="str">
        <f>IFERROR(__xludf.DUMMYFUNCTION("""COMPUTED_VALUE"""),"Indrawati Khola")</f>
        <v>Indrawati Khola</v>
      </c>
      <c r="E947" s="2">
        <f>IFERROR(__xludf.DUMMYFUNCTION("""COMPUTED_VALUE"""),3192.0)</f>
        <v>3192</v>
      </c>
      <c r="F947" s="3">
        <f>IFERROR(__xludf.DUMMYFUNCTION("""COMPUTED_VALUE"""),60584.0)</f>
        <v>60584</v>
      </c>
      <c r="G947" s="2" t="str">
        <f>IFERROR(__xludf.DUMMYFUNCTION("""COMPUTED_VALUE"""),"Renuka Pradhan")</f>
        <v>Renuka Pradhan</v>
      </c>
      <c r="H947" s="2" t="str">
        <f>IFERROR(__xludf.DUMMYFUNCTION("""COMPUTED_VALUE"""),"Chahbil KathmanduTel: 4471589,9851040900")</f>
        <v>Chahbil KathmanduTel: 4471589,9851040900</v>
      </c>
      <c r="I947" s="2" t="str">
        <f>IFERROR(__xludf.DUMMYFUNCTION("""COMPUTED_VALUE"""),"27o 53' 10""")</f>
        <v>27o 53' 10"</v>
      </c>
      <c r="J947" s="2" t="str">
        <f>IFERROR(__xludf.DUMMYFUNCTION("""COMPUTED_VALUE"""),"27o 54' 47""")</f>
        <v>27o 54' 47"</v>
      </c>
      <c r="K947" s="2" t="str">
        <f>IFERROR(__xludf.DUMMYFUNCTION("""COMPUTED_VALUE"""),"85o 36' 30""")</f>
        <v>85o 36' 30"</v>
      </c>
      <c r="L947" s="2" t="str">
        <f>IFERROR(__xludf.DUMMYFUNCTION("""COMPUTED_VALUE"""),"85o 38' 20""")</f>
        <v>85o 38' 20"</v>
      </c>
      <c r="M947" s="2" t="str">
        <f>IFERROR(__xludf.DUMMYFUNCTION("""COMPUTED_VALUE"""),"Bhote Namlang,Thampal Dhap (Sindhupalchok)")</f>
        <v>Bhote Namlang,Thampal Dhap (Sindhupalchok)</v>
      </c>
    </row>
    <row r="948">
      <c r="A948" s="2">
        <f>IFERROR(__xludf.DUMMYFUNCTION("""COMPUTED_VALUE"""),947.0)</f>
        <v>947</v>
      </c>
      <c r="B948" s="2" t="str">
        <f>IFERROR(__xludf.DUMMYFUNCTION("""COMPUTED_VALUE"""),"Kalika Kali HPP")</f>
        <v>Kalika Kali HPP</v>
      </c>
      <c r="C948" s="2">
        <f>IFERROR(__xludf.DUMMYFUNCTION("""COMPUTED_VALUE"""),49.5)</f>
        <v>49.5</v>
      </c>
      <c r="D948" s="2" t="str">
        <f>IFERROR(__xludf.DUMMYFUNCTION("""COMPUTED_VALUE"""),"Kali Gandaki")</f>
        <v>Kali Gandaki</v>
      </c>
      <c r="E948" s="2">
        <f>IFERROR(__xludf.DUMMYFUNCTION("""COMPUTED_VALUE"""),3211.0)</f>
        <v>3211</v>
      </c>
      <c r="F948" s="3">
        <f>IFERROR(__xludf.DUMMYFUNCTION("""COMPUTED_VALUE"""),60586.0)</f>
        <v>60586</v>
      </c>
      <c r="G948" s="2" t="str">
        <f>IFERROR(__xludf.DUMMYFUNCTION("""COMPUTED_VALUE"""),"MaulaKaika Hydropower Company Pvt Ltd")</f>
        <v>MaulaKaika Hydropower Company Pvt Ltd</v>
      </c>
      <c r="H948" s="2" t="str">
        <f>IFERROR(__xludf.DUMMYFUNCTION("""COMPUTED_VALUE"""),"PO Box 2838, Kathamdu")</f>
        <v>PO Box 2838, Kathamdu</v>
      </c>
      <c r="I948" s="2" t="str">
        <f>IFERROR(__xludf.DUMMYFUNCTION("""COMPUTED_VALUE"""),"27o 41' 30""")</f>
        <v>27o 41' 30"</v>
      </c>
      <c r="J948" s="2" t="str">
        <f>IFERROR(__xludf.DUMMYFUNCTION("""COMPUTED_VALUE"""),"27o 46' 00""")</f>
        <v>27o 46' 00"</v>
      </c>
      <c r="K948" s="2" t="str">
        <f>IFERROR(__xludf.DUMMYFUNCTION("""COMPUTED_VALUE"""),"84o 19' 00""")</f>
        <v>84o 19' 00"</v>
      </c>
      <c r="L948" s="2" t="str">
        <f>IFERROR(__xludf.DUMMYFUNCTION("""COMPUTED_VALUE"""),"84o 21' 30""")</f>
        <v>84o 21' 30"</v>
      </c>
      <c r="M948" s="2" t="str">
        <f>IFERROR(__xludf.DUMMYFUNCTION("""COMPUTED_VALUE"""),"Gaidakot (Nawalparasi) Kota (Tanahu)")</f>
        <v>Gaidakot (Nawalparasi) Kota (Tanahu)</v>
      </c>
    </row>
    <row r="949">
      <c r="A949" s="2">
        <f>IFERROR(__xludf.DUMMYFUNCTION("""COMPUTED_VALUE"""),948.0)</f>
        <v>948</v>
      </c>
      <c r="B949" s="2" t="str">
        <f>IFERROR(__xludf.DUMMYFUNCTION("""COMPUTED_VALUE"""),"Khimti Khola")</f>
        <v>Khimti Khola</v>
      </c>
      <c r="C949" s="2">
        <f>IFERROR(__xludf.DUMMYFUNCTION("""COMPUTED_VALUE"""),4.25)</f>
        <v>4.25</v>
      </c>
      <c r="D949" s="2" t="str">
        <f>IFERROR(__xludf.DUMMYFUNCTION("""COMPUTED_VALUE"""),"Khimti Khola")</f>
        <v>Khimti Khola</v>
      </c>
      <c r="E949" s="2">
        <f>IFERROR(__xludf.DUMMYFUNCTION("""COMPUTED_VALUE"""),2082.0)</f>
        <v>2082</v>
      </c>
      <c r="F949" s="3">
        <f>IFERROR(__xludf.DUMMYFUNCTION("""COMPUTED_VALUE"""),60587.0)</f>
        <v>60587</v>
      </c>
      <c r="G949" s="2" t="str">
        <f>IFERROR(__xludf.DUMMYFUNCTION("""COMPUTED_VALUE"""),"Ujyalo Hydro Energy Pvt ltd")</f>
        <v>Ujyalo Hydro Energy Pvt ltd</v>
      </c>
      <c r="H949" s="2" t="str">
        <f>IFERROR(__xludf.DUMMYFUNCTION("""COMPUTED_VALUE"""),"New Baneshwor Kathmandu Tel 01629891")</f>
        <v>New Baneshwor Kathmandu Tel 01629891</v>
      </c>
      <c r="I949" s="2" t="str">
        <f>IFERROR(__xludf.DUMMYFUNCTION("""COMPUTED_VALUE"""),"27o 34' 40""")</f>
        <v>27o 34' 40"</v>
      </c>
      <c r="J949" s="2" t="str">
        <f>IFERROR(__xludf.DUMMYFUNCTION("""COMPUTED_VALUE"""),"27o 35' 20""")</f>
        <v>27o 35' 20"</v>
      </c>
      <c r="K949" s="2" t="str">
        <f>IFERROR(__xludf.DUMMYFUNCTION("""COMPUTED_VALUE"""),"86o 13' 00""")</f>
        <v>86o 13' 00"</v>
      </c>
      <c r="L949" s="2" t="str">
        <f>IFERROR(__xludf.DUMMYFUNCTION("""COMPUTED_VALUE"""),"86o 14' 05""")</f>
        <v>86o 14' 05"</v>
      </c>
      <c r="M949" s="2" t="str">
        <f>IFERROR(__xludf.DUMMYFUNCTION("""COMPUTED_VALUE"""),"Jiri (Dolakha) Rasanalu (Ramechhap)")</f>
        <v>Jiri (Dolakha) Rasanalu (Ramechhap)</v>
      </c>
    </row>
    <row r="950">
      <c r="A950" s="2">
        <f>IFERROR(__xludf.DUMMYFUNCTION("""COMPUTED_VALUE"""),949.0)</f>
        <v>949</v>
      </c>
      <c r="B950" s="2" t="str">
        <f>IFERROR(__xludf.DUMMYFUNCTION("""COMPUTED_VALUE"""),"Tadi Khola HPP")</f>
        <v>Tadi Khola HPP</v>
      </c>
      <c r="C950" s="2">
        <f>IFERROR(__xludf.DUMMYFUNCTION("""COMPUTED_VALUE"""),5.0)</f>
        <v>5</v>
      </c>
      <c r="D950" s="2" t="str">
        <f>IFERROR(__xludf.DUMMYFUNCTION("""COMPUTED_VALUE"""),"Tadi Khola")</f>
        <v>Tadi Khola</v>
      </c>
      <c r="E950" s="2">
        <f>IFERROR(__xludf.DUMMYFUNCTION("""COMPUTED_VALUE"""),3208.0)</f>
        <v>3208</v>
      </c>
      <c r="F950" s="3">
        <f>IFERROR(__xludf.DUMMYFUNCTION("""COMPUTED_VALUE"""),60587.0)</f>
        <v>60587</v>
      </c>
      <c r="G950" s="2" t="str">
        <f>IFERROR(__xludf.DUMMYFUNCTION("""COMPUTED_VALUE"""),"Anil Joshi,Durub Shrestha,Dinesh Khanal, Arun thapa")</f>
        <v>Anil Joshi,Durub Shrestha,Dinesh Khanal, Arun thapa</v>
      </c>
      <c r="H950" s="2" t="str">
        <f>IFERROR(__xludf.DUMMYFUNCTION("""COMPUTED_VALUE"""),"Tel: 9851024262,9851053516,9851083435")</f>
        <v>Tel: 9851024262,9851053516,9851083435</v>
      </c>
      <c r="I950" s="2" t="str">
        <f>IFERROR(__xludf.DUMMYFUNCTION("""COMPUTED_VALUE"""),"27o 55' 24""")</f>
        <v>27o 55' 24"</v>
      </c>
      <c r="J950" s="2" t="str">
        <f>IFERROR(__xludf.DUMMYFUNCTION("""COMPUTED_VALUE"""),"27o 56' 21""")</f>
        <v>27o 56' 21"</v>
      </c>
      <c r="K950" s="2" t="str">
        <f>IFERROR(__xludf.DUMMYFUNCTION("""COMPUTED_VALUE"""),"85o 22' 57""")</f>
        <v>85o 22' 57"</v>
      </c>
      <c r="L950" s="2" t="str">
        <f>IFERROR(__xludf.DUMMYFUNCTION("""COMPUTED_VALUE"""),"85o 23' 42""")</f>
        <v>85o 23' 42"</v>
      </c>
      <c r="M950" s="2" t="str">
        <f>IFERROR(__xludf.DUMMYFUNCTION("""COMPUTED_VALUE"""),"Rautbesi,Samundratar (Nuwakot)")</f>
        <v>Rautbesi,Samundratar (Nuwakot)</v>
      </c>
    </row>
    <row r="951">
      <c r="A951" s="2">
        <f>IFERROR(__xludf.DUMMYFUNCTION("""COMPUTED_VALUE"""),950.0)</f>
        <v>950</v>
      </c>
      <c r="B951" s="2" t="str">
        <f>IFERROR(__xludf.DUMMYFUNCTION("""COMPUTED_VALUE"""),"Mai Khola SHP")</f>
        <v>Mai Khola SHP</v>
      </c>
      <c r="C951" s="2">
        <f>IFERROR(__xludf.DUMMYFUNCTION("""COMPUTED_VALUE"""),0.99)</f>
        <v>0.99</v>
      </c>
      <c r="D951" s="2" t="str">
        <f>IFERROR(__xludf.DUMMYFUNCTION("""COMPUTED_VALUE"""),"Mai Khola")</f>
        <v>Mai Khola</v>
      </c>
      <c r="E951" s="2">
        <f>IFERROR(__xludf.DUMMYFUNCTION("""COMPUTED_VALUE"""),3244.0)</f>
        <v>3244</v>
      </c>
      <c r="F951" s="3">
        <f>IFERROR(__xludf.DUMMYFUNCTION("""COMPUTED_VALUE"""),60589.0)</f>
        <v>60589</v>
      </c>
      <c r="G951" s="2" t="str">
        <f>IFERROR(__xludf.DUMMYFUNCTION("""COMPUTED_VALUE"""),"Chakra B. Niraula, Pushpa B. Khadka")</f>
        <v>Chakra B. Niraula, Pushpa B. Khadka</v>
      </c>
      <c r="H951" s="2" t="str">
        <f>IFERROR(__xludf.DUMMYFUNCTION("""COMPUTED_VALUE"""),"Mangjabuj VDC-6, Panchthar")</f>
        <v>Mangjabuj VDC-6, Panchthar</v>
      </c>
      <c r="I951" s="2" t="str">
        <f>IFERROR(__xludf.DUMMYFUNCTION("""COMPUTED_VALUE"""),"26o 57' 50""")</f>
        <v>26o 57' 50"</v>
      </c>
      <c r="J951" s="2" t="str">
        <f>IFERROR(__xludf.DUMMYFUNCTION("""COMPUTED_VALUE"""),"26o 59' 00""")</f>
        <v>26o 59' 00"</v>
      </c>
      <c r="K951" s="2" t="str">
        <f>IFERROR(__xludf.DUMMYFUNCTION("""COMPUTED_VALUE"""),"87o 57' 30""")</f>
        <v>87o 57' 30"</v>
      </c>
      <c r="L951" s="2" t="str">
        <f>IFERROR(__xludf.DUMMYFUNCTION("""COMPUTED_VALUE"""),"87o 59' 30""")</f>
        <v>87o 59' 30"</v>
      </c>
      <c r="M951" s="2" t="str">
        <f>IFERROR(__xludf.DUMMYFUNCTION("""COMPUTED_VALUE"""),"Pyang (Ilam)")</f>
        <v>Pyang (Ilam)</v>
      </c>
    </row>
    <row r="952">
      <c r="A952" s="2">
        <f>IFERROR(__xludf.DUMMYFUNCTION("""COMPUTED_VALUE"""),951.0)</f>
        <v>951</v>
      </c>
      <c r="B952" s="2" t="str">
        <f>IFERROR(__xludf.DUMMYFUNCTION("""COMPUTED_VALUE"""),"Raudi Khola SHP")</f>
        <v>Raudi Khola SHP</v>
      </c>
      <c r="C952" s="2">
        <f>IFERROR(__xludf.DUMMYFUNCTION("""COMPUTED_VALUE"""),0.995)</f>
        <v>0.995</v>
      </c>
      <c r="D952" s="2" t="str">
        <f>IFERROR(__xludf.DUMMYFUNCTION("""COMPUTED_VALUE"""),"Raudi")</f>
        <v>Raudi</v>
      </c>
      <c r="E952" s="2">
        <f>IFERROR(__xludf.DUMMYFUNCTION("""COMPUTED_VALUE"""),3249.0)</f>
        <v>3249</v>
      </c>
      <c r="F952" s="3">
        <f>IFERROR(__xludf.DUMMYFUNCTION("""COMPUTED_VALUE"""),60589.0)</f>
        <v>60589</v>
      </c>
      <c r="G952" s="2" t="str">
        <f>IFERROR(__xludf.DUMMYFUNCTION("""COMPUTED_VALUE"""),"Bimal Karki,Narayan Bahadur Khatri")</f>
        <v>Bimal Karki,Narayan Bahadur Khatri</v>
      </c>
      <c r="H952" s="2" t="str">
        <f>IFERROR(__xludf.DUMMYFUNCTION("""COMPUTED_VALUE"""),"Narayan B hatri Tel: 9851045719")</f>
        <v>Narayan B hatri Tel: 9851045719</v>
      </c>
      <c r="I952" s="2" t="str">
        <f>IFERROR(__xludf.DUMMYFUNCTION("""COMPUTED_VALUE"""),"28o 11' 06""")</f>
        <v>28o 11' 06"</v>
      </c>
      <c r="J952" s="2" t="str">
        <f>IFERROR(__xludf.DUMMYFUNCTION("""COMPUTED_VALUE"""),"28o 12' 30""")</f>
        <v>28o 12' 30"</v>
      </c>
      <c r="K952" s="2" t="str">
        <f>IFERROR(__xludf.DUMMYFUNCTION("""COMPUTED_VALUE"""),"83o 36' 11""")</f>
        <v>83o 36' 11"</v>
      </c>
      <c r="L952" s="2" t="str">
        <f>IFERROR(__xludf.DUMMYFUNCTION("""COMPUTED_VALUE"""),"83o 36' 17""")</f>
        <v>83o 36' 17"</v>
      </c>
      <c r="M952" s="2" t="str">
        <f>IFERROR(__xludf.DUMMYFUNCTION("""COMPUTED_VALUE"""),"Damek (Baglung)")</f>
        <v>Damek (Baglung)</v>
      </c>
    </row>
    <row r="953">
      <c r="A953" s="2">
        <f>IFERROR(__xludf.DUMMYFUNCTION("""COMPUTED_VALUE"""),952.0)</f>
        <v>952</v>
      </c>
      <c r="B953" s="2" t="str">
        <f>IFERROR(__xludf.DUMMYFUNCTION("""COMPUTED_VALUE"""),"Theule Khola SHP")</f>
        <v>Theule Khola SHP</v>
      </c>
      <c r="C953" s="2">
        <f>IFERROR(__xludf.DUMMYFUNCTION("""COMPUTED_VALUE"""),0.5)</f>
        <v>0.5</v>
      </c>
      <c r="D953" s="2" t="str">
        <f>IFERROR(__xludf.DUMMYFUNCTION("""COMPUTED_VALUE"""),"Theule")</f>
        <v>Theule</v>
      </c>
      <c r="E953" s="2">
        <f>IFERROR(__xludf.DUMMYFUNCTION("""COMPUTED_VALUE"""),3251.0)</f>
        <v>3251</v>
      </c>
      <c r="F953" s="3">
        <f>IFERROR(__xludf.DUMMYFUNCTION("""COMPUTED_VALUE"""),60589.0)</f>
        <v>60589</v>
      </c>
      <c r="G953" s="2" t="str">
        <f>IFERROR(__xludf.DUMMYFUNCTION("""COMPUTED_VALUE"""),"Ganesh B Thapa, Bhim K C")</f>
        <v>Ganesh B Thapa, Bhim K C</v>
      </c>
      <c r="H953" s="2" t="str">
        <f>IFERROR(__xludf.DUMMYFUNCTION("""COMPUTED_VALUE"""),"Bhaunde-9, Baglung")</f>
        <v>Bhaunde-9, Baglung</v>
      </c>
      <c r="I953" s="2" t="str">
        <f>IFERROR(__xludf.DUMMYFUNCTION("""COMPUTED_VALUE"""),"28o 09' 15""")</f>
        <v>28o 09' 15"</v>
      </c>
      <c r="J953" s="2" t="str">
        <f>IFERROR(__xludf.DUMMYFUNCTION("""COMPUTED_VALUE"""),"28o 10' 00""")</f>
        <v>28o 10' 00"</v>
      </c>
      <c r="K953" s="2" t="str">
        <f>IFERROR(__xludf.DUMMYFUNCTION("""COMPUTED_VALUE"""),"83o 34' 35""")</f>
        <v>83o 34' 35"</v>
      </c>
      <c r="L953" s="2" t="str">
        <f>IFERROR(__xludf.DUMMYFUNCTION("""COMPUTED_VALUE"""),"83o 35' 34""")</f>
        <v>83o 35' 34"</v>
      </c>
      <c r="M953" s="2" t="str">
        <f>IFERROR(__xludf.DUMMYFUNCTION("""COMPUTED_VALUE"""),"Paiyunnyap (Baglung)")</f>
        <v>Paiyunnyap (Baglung)</v>
      </c>
    </row>
    <row r="954">
      <c r="A954" s="2">
        <f>IFERROR(__xludf.DUMMYFUNCTION("""COMPUTED_VALUE"""),953.0)</f>
        <v>953</v>
      </c>
      <c r="B954" s="2" t="str">
        <f>IFERROR(__xludf.DUMMYFUNCTION("""COMPUTED_VALUE"""),"Maga Khola SHP")</f>
        <v>Maga Khola SHP</v>
      </c>
      <c r="C954" s="2">
        <f>IFERROR(__xludf.DUMMYFUNCTION("""COMPUTED_VALUE"""),0.504)</f>
        <v>0.504</v>
      </c>
      <c r="D954" s="2" t="str">
        <f>IFERROR(__xludf.DUMMYFUNCTION("""COMPUTED_VALUE"""),"Maga")</f>
        <v>Maga</v>
      </c>
      <c r="E954" s="2">
        <f>IFERROR(__xludf.DUMMYFUNCTION("""COMPUTED_VALUE"""),3288.0)</f>
        <v>3288</v>
      </c>
      <c r="F954" s="3">
        <f>IFERROR(__xludf.DUMMYFUNCTION("""COMPUTED_VALUE"""),60591.0)</f>
        <v>60591</v>
      </c>
      <c r="G954" s="2" t="str">
        <f>IFERROR(__xludf.DUMMYFUNCTION("""COMPUTED_VALUE"""),"Mohan Bahadur Basnet")</f>
        <v>Mohan Bahadur Basnet</v>
      </c>
      <c r="H954" s="2" t="str">
        <f>IFERROR(__xludf.DUMMYFUNCTION("""COMPUTED_VALUE"""),"Bhimeswar Munucipality-9 Dolkha")</f>
        <v>Bhimeswar Munucipality-9 Dolkha</v>
      </c>
      <c r="I954" s="2" t="str">
        <f>IFERROR(__xludf.DUMMYFUNCTION("""COMPUTED_VALUE"""),"27o 37' 30""")</f>
        <v>27o 37' 30"</v>
      </c>
      <c r="J954" s="2" t="str">
        <f>IFERROR(__xludf.DUMMYFUNCTION("""COMPUTED_VALUE"""),"27o 38' 30""")</f>
        <v>27o 38' 30"</v>
      </c>
      <c r="K954" s="2" t="str">
        <f>IFERROR(__xludf.DUMMYFUNCTION("""COMPUTED_VALUE"""),"86o 01' 00""")</f>
        <v>86o 01' 00"</v>
      </c>
      <c r="L954" s="2" t="str">
        <f>IFERROR(__xludf.DUMMYFUNCTION("""COMPUTED_VALUE"""),"86o 02' 30""")</f>
        <v>86o 02' 30"</v>
      </c>
      <c r="M954" s="2" t="str">
        <f>IFERROR(__xludf.DUMMYFUNCTION("""COMPUTED_VALUE"""),"Magapauwa (Dolakha)")</f>
        <v>Magapauwa (Dolakha)</v>
      </c>
    </row>
    <row r="955">
      <c r="A955" s="2">
        <f>IFERROR(__xludf.DUMMYFUNCTION("""COMPUTED_VALUE"""),954.0)</f>
        <v>954</v>
      </c>
      <c r="B955" s="2" t="str">
        <f>IFERROR(__xludf.DUMMYFUNCTION("""COMPUTED_VALUE"""),"Ghatte Khola SHP")</f>
        <v>Ghatte Khola SHP</v>
      </c>
      <c r="C955" s="2">
        <f>IFERROR(__xludf.DUMMYFUNCTION("""COMPUTED_VALUE"""),0.99)</f>
        <v>0.99</v>
      </c>
      <c r="D955" s="2" t="str">
        <f>IFERROR(__xludf.DUMMYFUNCTION("""COMPUTED_VALUE"""),"Ghatte Khola")</f>
        <v>Ghatte Khola</v>
      </c>
      <c r="E955" s="2">
        <f>IFERROR(__xludf.DUMMYFUNCTION("""COMPUTED_VALUE"""),3307.0)</f>
        <v>3307</v>
      </c>
      <c r="F955" s="3">
        <f>IFERROR(__xludf.DUMMYFUNCTION("""COMPUTED_VALUE"""),60592.0)</f>
        <v>60592</v>
      </c>
      <c r="G955" s="2" t="str">
        <f>IFERROR(__xludf.DUMMYFUNCTION("""COMPUTED_VALUE"""),"Shiv Prasad Poudel")</f>
        <v>Shiv Prasad Poudel</v>
      </c>
      <c r="H955" s="2" t="str">
        <f>IFERROR(__xludf.DUMMYFUNCTION("""COMPUTED_VALUE"""),"Bharatpur-9, Chitwan")</f>
        <v>Bharatpur-9, Chitwan</v>
      </c>
      <c r="I955" s="2" t="str">
        <f>IFERROR(__xludf.DUMMYFUNCTION("""COMPUTED_VALUE"""),"27o 45' 00""")</f>
        <v>27o 45' 00"</v>
      </c>
      <c r="J955" s="2" t="str">
        <f>IFERROR(__xludf.DUMMYFUNCTION("""COMPUTED_VALUE"""),"27o 46' 25""")</f>
        <v>27o 46' 25"</v>
      </c>
      <c r="K955" s="2" t="str">
        <f>IFERROR(__xludf.DUMMYFUNCTION("""COMPUTED_VALUE"""),"86o 18' 40""")</f>
        <v>86o 18' 40"</v>
      </c>
      <c r="L955" s="2" t="str">
        <f>IFERROR(__xludf.DUMMYFUNCTION("""COMPUTED_VALUE"""),"86o 20' 00""")</f>
        <v>86o 20' 00"</v>
      </c>
      <c r="M955" s="2" t="str">
        <f>IFERROR(__xludf.DUMMYFUNCTION("""COMPUTED_VALUE"""),"Marbu (Dolakha)")</f>
        <v>Marbu (Dolakha)</v>
      </c>
    </row>
    <row r="956">
      <c r="A956" s="2">
        <f>IFERROR(__xludf.DUMMYFUNCTION("""COMPUTED_VALUE"""),955.0)</f>
        <v>955</v>
      </c>
      <c r="B956" s="2" t="str">
        <f>IFERROR(__xludf.DUMMYFUNCTION("""COMPUTED_VALUE"""),"Dupche Tadi HPP")</f>
        <v>Dupche Tadi HPP</v>
      </c>
      <c r="C956" s="2">
        <f>IFERROR(__xludf.DUMMYFUNCTION("""COMPUTED_VALUE"""),5.0)</f>
        <v>5</v>
      </c>
      <c r="D956" s="2" t="str">
        <f>IFERROR(__xludf.DUMMYFUNCTION("""COMPUTED_VALUE"""),"Tadi Khola")</f>
        <v>Tadi Khola</v>
      </c>
      <c r="E956" s="2">
        <f>IFERROR(__xludf.DUMMYFUNCTION("""COMPUTED_VALUE"""),3328.0)</f>
        <v>3328</v>
      </c>
      <c r="F956" s="3">
        <f>IFERROR(__xludf.DUMMYFUNCTION("""COMPUTED_VALUE"""),60593.0)</f>
        <v>60593</v>
      </c>
      <c r="G956" s="2" t="str">
        <f>IFERROR(__xludf.DUMMYFUNCTION("""COMPUTED_VALUE"""),"Anil joshi")</f>
        <v>Anil joshi</v>
      </c>
      <c r="H956" s="2" t="str">
        <f>IFERROR(__xludf.DUMMYFUNCTION("""COMPUTED_VALUE"""),"KKathmandu-29")</f>
        <v>KKathmandu-29</v>
      </c>
      <c r="I956" s="2" t="str">
        <f>IFERROR(__xludf.DUMMYFUNCTION("""COMPUTED_VALUE"""),"27o 56' 21""")</f>
        <v>27o 56' 21"</v>
      </c>
      <c r="J956" s="2" t="str">
        <f>IFERROR(__xludf.DUMMYFUNCTION("""COMPUTED_VALUE"""),"27o 57' 17""")</f>
        <v>27o 57' 17"</v>
      </c>
      <c r="K956" s="2" t="str">
        <f>IFERROR(__xludf.DUMMYFUNCTION("""COMPUTED_VALUE"""),"85o 22' 45""")</f>
        <v>85o 22' 45"</v>
      </c>
      <c r="L956" s="2" t="str">
        <f>IFERROR(__xludf.DUMMYFUNCTION("""COMPUTED_VALUE"""),"85o 23' 32""")</f>
        <v>85o 23' 32"</v>
      </c>
      <c r="M956" s="2" t="str">
        <f>IFERROR(__xludf.DUMMYFUNCTION("""COMPUTED_VALUE"""),"Rautbesi,Samundratar (Nuwakot)")</f>
        <v>Rautbesi,Samundratar (Nuwakot)</v>
      </c>
    </row>
    <row r="957">
      <c r="A957" s="2">
        <f>IFERROR(__xludf.DUMMYFUNCTION("""COMPUTED_VALUE"""),956.0)</f>
        <v>956</v>
      </c>
      <c r="B957" s="2" t="str">
        <f>IFERROR(__xludf.DUMMYFUNCTION("""COMPUTED_VALUE"""),"Koyuproku Khola SHP")</f>
        <v>Koyuproku Khola SHP</v>
      </c>
      <c r="C957" s="2">
        <f>IFERROR(__xludf.DUMMYFUNCTION("""COMPUTED_VALUE"""),0.65)</f>
        <v>0.65</v>
      </c>
      <c r="D957" s="2" t="str">
        <f>IFERROR(__xludf.DUMMYFUNCTION("""COMPUTED_VALUE"""),"Koyuproku")</f>
        <v>Koyuproku</v>
      </c>
      <c r="E957" s="2">
        <f>IFERROR(__xludf.DUMMYFUNCTION("""COMPUTED_VALUE"""),3339.0)</f>
        <v>3339</v>
      </c>
      <c r="F957" s="3">
        <f>IFERROR(__xludf.DUMMYFUNCTION("""COMPUTED_VALUE"""),60593.0)</f>
        <v>60593</v>
      </c>
      <c r="G957" s="2" t="str">
        <f>IFERROR(__xludf.DUMMYFUNCTION("""COMPUTED_VALUE"""),"Sahasnath Adhikari")</f>
        <v>Sahasnath Adhikari</v>
      </c>
      <c r="H957" s="2" t="str">
        <f>IFERROR(__xludf.DUMMYFUNCTION("""COMPUTED_VALUE"""),"Chandreswar-1 , Lamjung")</f>
        <v>Chandreswar-1 , Lamjung</v>
      </c>
      <c r="I957" s="2" t="str">
        <f>IFERROR(__xludf.DUMMYFUNCTION("""COMPUTED_VALUE"""),"28o 25' 23""")</f>
        <v>28o 25' 23"</v>
      </c>
      <c r="J957" s="2" t="str">
        <f>IFERROR(__xludf.DUMMYFUNCTION("""COMPUTED_VALUE"""),"28o 26' 30""")</f>
        <v>28o 26' 30"</v>
      </c>
      <c r="K957" s="2" t="str">
        <f>IFERROR(__xludf.DUMMYFUNCTION("""COMPUTED_VALUE"""),"84o 25' 11""")</f>
        <v>84o 25' 11"</v>
      </c>
      <c r="L957" s="2" t="str">
        <f>IFERROR(__xludf.DUMMYFUNCTION("""COMPUTED_VALUE"""),"84o 27' 00""")</f>
        <v>84o 27' 00"</v>
      </c>
      <c r="M957" s="2" t="str">
        <f>IFERROR(__xludf.DUMMYFUNCTION("""COMPUTED_VALUE"""),"Ghermu (Lamjung)")</f>
        <v>Ghermu (Lamjung)</v>
      </c>
    </row>
    <row r="958">
      <c r="A958" s="2">
        <f>IFERROR(__xludf.DUMMYFUNCTION("""COMPUTED_VALUE"""),957.0)</f>
        <v>957</v>
      </c>
      <c r="B958" s="2" t="str">
        <f>IFERROR(__xludf.DUMMYFUNCTION("""COMPUTED_VALUE"""),"Nisi Khola HEP-2")</f>
        <v>Nisi Khola HEP-2</v>
      </c>
      <c r="C958" s="2">
        <f>IFERROR(__xludf.DUMMYFUNCTION("""COMPUTED_VALUE"""),4.0)</f>
        <v>4</v>
      </c>
      <c r="D958" s="2" t="str">
        <f>IFERROR(__xludf.DUMMYFUNCTION("""COMPUTED_VALUE"""),"Nisi")</f>
        <v>Nisi</v>
      </c>
      <c r="E958" s="2">
        <f>IFERROR(__xludf.DUMMYFUNCTION("""COMPUTED_VALUE"""),3343.0)</f>
        <v>3343</v>
      </c>
      <c r="F958" s="3">
        <f>IFERROR(__xludf.DUMMYFUNCTION("""COMPUTED_VALUE"""),60593.0)</f>
        <v>60593</v>
      </c>
      <c r="G958" s="2" t="str">
        <f>IFERROR(__xludf.DUMMYFUNCTION("""COMPUTED_VALUE"""),"Prabhu Energy Pvt Ltd")</f>
        <v>Prabhu Energy Pvt Ltd</v>
      </c>
      <c r="H958" s="2" t="str">
        <f>IFERROR(__xludf.DUMMYFUNCTION("""COMPUTED_VALUE"""),"PO Box 5211, Kathmandu")</f>
        <v>PO Box 5211, Kathmandu</v>
      </c>
      <c r="I958" s="2" t="str">
        <f>IFERROR(__xludf.DUMMYFUNCTION("""COMPUTED_VALUE"""),"28o 21' 17""")</f>
        <v>28o 21' 17"</v>
      </c>
      <c r="J958" s="2" t="str">
        <f>IFERROR(__xludf.DUMMYFUNCTION("""COMPUTED_VALUE"""),"28o 23' 16""")</f>
        <v>28o 23' 16"</v>
      </c>
      <c r="K958" s="2" t="str">
        <f>IFERROR(__xludf.DUMMYFUNCTION("""COMPUTED_VALUE"""),"83o 02' 01""")</f>
        <v>83o 02' 01"</v>
      </c>
      <c r="L958" s="2" t="str">
        <f>IFERROR(__xludf.DUMMYFUNCTION("""COMPUTED_VALUE"""),"83o 05' 00""")</f>
        <v>83o 05' 00"</v>
      </c>
      <c r="M958" s="2" t="str">
        <f>IFERROR(__xludf.DUMMYFUNCTION("""COMPUTED_VALUE"""),"Adhikarichaur,Boharagaun,Devisthan,Nisi,Rajkut (Baglung)")</f>
        <v>Adhikarichaur,Boharagaun,Devisthan,Nisi,Rajkut (Baglung)</v>
      </c>
    </row>
    <row r="959">
      <c r="A959" s="2">
        <f>IFERROR(__xludf.DUMMYFUNCTION("""COMPUTED_VALUE"""),958.0)</f>
        <v>958</v>
      </c>
      <c r="B959" s="2" t="str">
        <f>IFERROR(__xludf.DUMMYFUNCTION("""COMPUTED_VALUE"""),"Nisi Khola HEP-3")</f>
        <v>Nisi Khola HEP-3</v>
      </c>
      <c r="C959" s="2">
        <f>IFERROR(__xludf.DUMMYFUNCTION("""COMPUTED_VALUE"""),6.5)</f>
        <v>6.5</v>
      </c>
      <c r="D959" s="2" t="str">
        <f>IFERROR(__xludf.DUMMYFUNCTION("""COMPUTED_VALUE"""),"Nisi")</f>
        <v>Nisi</v>
      </c>
      <c r="E959" s="2">
        <f>IFERROR(__xludf.DUMMYFUNCTION("""COMPUTED_VALUE"""),3345.0)</f>
        <v>3345</v>
      </c>
      <c r="F959" s="3">
        <f>IFERROR(__xludf.DUMMYFUNCTION("""COMPUTED_VALUE"""),60593.0)</f>
        <v>60593</v>
      </c>
      <c r="G959" s="2" t="str">
        <f>IFERROR(__xludf.DUMMYFUNCTION("""COMPUTED_VALUE"""),"Prabhu Energy Pvt Ltd")</f>
        <v>Prabhu Energy Pvt Ltd</v>
      </c>
      <c r="H959" s="2" t="str">
        <f>IFERROR(__xludf.DUMMYFUNCTION("""COMPUTED_VALUE"""),"GPO box:5211, Kathmandu")</f>
        <v>GPO box:5211, Kathmandu</v>
      </c>
      <c r="I959" s="2" t="str">
        <f>IFERROR(__xludf.DUMMYFUNCTION("""COMPUTED_VALUE"""),"28o 23' 16""")</f>
        <v>28o 23' 16"</v>
      </c>
      <c r="J959" s="2" t="str">
        <f>IFERROR(__xludf.DUMMYFUNCTION("""COMPUTED_VALUE"""),"28o 25' 00""")</f>
        <v>28o 25' 00"</v>
      </c>
      <c r="K959" s="2" t="str">
        <f>IFERROR(__xludf.DUMMYFUNCTION("""COMPUTED_VALUE"""),"83o 02' 30""")</f>
        <v>83o 02' 30"</v>
      </c>
      <c r="L959" s="2" t="str">
        <f>IFERROR(__xludf.DUMMYFUNCTION("""COMPUTED_VALUE"""),"83o 59' 00""")</f>
        <v>83o 59' 00"</v>
      </c>
      <c r="M959" s="2" t="str">
        <f>IFERROR(__xludf.DUMMYFUNCTION("""COMPUTED_VALUE"""),"Adhikarichaur,Boharagaun,Devisthan,Nisi,Rajkut (Baglung)")</f>
        <v>Adhikarichaur,Boharagaun,Devisthan,Nisi,Rajkut (Baglung)</v>
      </c>
    </row>
    <row r="960">
      <c r="A960" s="2">
        <f>IFERROR(__xludf.DUMMYFUNCTION("""COMPUTED_VALUE"""),959.0)</f>
        <v>959</v>
      </c>
      <c r="B960" s="2" t="str">
        <f>IFERROR(__xludf.DUMMYFUNCTION("""COMPUTED_VALUE"""),"Pikhuwa Khola HPP")</f>
        <v>Pikhuwa Khola HPP</v>
      </c>
      <c r="C960" s="2">
        <f>IFERROR(__xludf.DUMMYFUNCTION("""COMPUTED_VALUE"""),0.999)</f>
        <v>0.999</v>
      </c>
      <c r="D960" s="2" t="str">
        <f>IFERROR(__xludf.DUMMYFUNCTION("""COMPUTED_VALUE"""),"Pikhuwa")</f>
        <v>Pikhuwa</v>
      </c>
      <c r="E960" s="2">
        <f>IFERROR(__xludf.DUMMYFUNCTION("""COMPUTED_VALUE"""),3356.0)</f>
        <v>3356</v>
      </c>
      <c r="F960" s="3">
        <f>IFERROR(__xludf.DUMMYFUNCTION("""COMPUTED_VALUE"""),60594.0)</f>
        <v>60594</v>
      </c>
      <c r="G960" s="2" t="str">
        <f>IFERROR(__xludf.DUMMYFUNCTION("""COMPUTED_VALUE"""),"Bishnu Kumar Rai")</f>
        <v>Bishnu Kumar Rai</v>
      </c>
      <c r="H960" s="2" t="str">
        <f>IFERROR(__xludf.DUMMYFUNCTION("""COMPUTED_VALUE"""),"Chhinamakhu VDC, Bhojpur, Tel: 9852050099")</f>
        <v>Chhinamakhu VDC, Bhojpur, Tel: 9852050099</v>
      </c>
      <c r="I960" s="2" t="str">
        <f>IFERROR(__xludf.DUMMYFUNCTION("""COMPUTED_VALUE"""),"27o 15' 35""")</f>
        <v>27o 15' 35"</v>
      </c>
      <c r="J960" s="2" t="str">
        <f>IFERROR(__xludf.DUMMYFUNCTION("""COMPUTED_VALUE"""),"27o 16' 25""")</f>
        <v>27o 16' 25"</v>
      </c>
      <c r="K960" s="2" t="str">
        <f>IFERROR(__xludf.DUMMYFUNCTION("""COMPUTED_VALUE"""),"87o 00' 00""")</f>
        <v>87o 00' 00"</v>
      </c>
      <c r="L960" s="2" t="str">
        <f>IFERROR(__xludf.DUMMYFUNCTION("""COMPUTED_VALUE"""),"87o 00' 45""")</f>
        <v>87o 00' 45"</v>
      </c>
      <c r="M960" s="2" t="str">
        <f>IFERROR(__xludf.DUMMYFUNCTION("""COMPUTED_VALUE"""),"Timma (Bhojpur)")</f>
        <v>Timma (Bhojpur)</v>
      </c>
    </row>
    <row r="961">
      <c r="A961" s="2">
        <f>IFERROR(__xludf.DUMMYFUNCTION("""COMPUTED_VALUE"""),960.0)</f>
        <v>960</v>
      </c>
      <c r="B961" s="2" t="str">
        <f>IFERROR(__xludf.DUMMYFUNCTION("""COMPUTED_VALUE"""),"Hinkhuwa Khola HPP")</f>
        <v>Hinkhuwa Khola HPP</v>
      </c>
      <c r="C961" s="2">
        <f>IFERROR(__xludf.DUMMYFUNCTION("""COMPUTED_VALUE"""),0.987)</f>
        <v>0.987</v>
      </c>
      <c r="D961" s="2" t="str">
        <f>IFERROR(__xludf.DUMMYFUNCTION("""COMPUTED_VALUE"""),"hingkhuwa")</f>
        <v>hingkhuwa</v>
      </c>
      <c r="E961" s="2">
        <f>IFERROR(__xludf.DUMMYFUNCTION("""COMPUTED_VALUE"""),3357.0)</f>
        <v>3357</v>
      </c>
      <c r="F961" s="3">
        <f>IFERROR(__xludf.DUMMYFUNCTION("""COMPUTED_VALUE"""),60594.0)</f>
        <v>60594</v>
      </c>
      <c r="G961" s="2" t="str">
        <f>IFERROR(__xludf.DUMMYFUNCTION("""COMPUTED_VALUE"""),"Hari Kumar Rai, Chetnath Nepal")</f>
        <v>Hari Kumar Rai, Chetnath Nepal</v>
      </c>
      <c r="H961" s="2" t="str">
        <f>IFERROR(__xludf.DUMMYFUNCTION("""COMPUTED_VALUE"""),"Chhinamakhu VDC, Bhojpur, Tel: 9852050099, 9741122590")</f>
        <v>Chhinamakhu VDC, Bhojpur, Tel: 9852050099, 9741122590</v>
      </c>
      <c r="I961" s="2" t="str">
        <f>IFERROR(__xludf.DUMMYFUNCTION("""COMPUTED_VALUE"""),"27o 13' 49""")</f>
        <v>27o 13' 49"</v>
      </c>
      <c r="J961" s="2" t="str">
        <f>IFERROR(__xludf.DUMMYFUNCTION("""COMPUTED_VALUE"""),"27o 14' 46""")</f>
        <v>27o 14' 46"</v>
      </c>
      <c r="K961" s="2" t="str">
        <f>IFERROR(__xludf.DUMMYFUNCTION("""COMPUTED_VALUE"""),"86o 57' 28""")</f>
        <v>86o 57' 28"</v>
      </c>
      <c r="L961" s="2" t="str">
        <f>IFERROR(__xludf.DUMMYFUNCTION("""COMPUTED_VALUE"""),"86o 59' 09""")</f>
        <v>86o 59' 09"</v>
      </c>
      <c r="M961" s="2" t="str">
        <f>IFERROR(__xludf.DUMMYFUNCTION("""COMPUTED_VALUE"""),"Chhinamukh (Bhojpur)")</f>
        <v>Chhinamukh (Bhojpur)</v>
      </c>
    </row>
    <row r="962">
      <c r="A962" s="2">
        <f>IFERROR(__xludf.DUMMYFUNCTION("""COMPUTED_VALUE"""),961.0)</f>
        <v>961</v>
      </c>
      <c r="B962" s="2" t="str">
        <f>IFERROR(__xludf.DUMMYFUNCTION("""COMPUTED_VALUE"""),"Pikhuwa Khola HPP")</f>
        <v>Pikhuwa Khola HPP</v>
      </c>
      <c r="C962" s="2">
        <f>IFERROR(__xludf.DUMMYFUNCTION("""COMPUTED_VALUE"""),0.999)</f>
        <v>0.999</v>
      </c>
      <c r="D962" s="2" t="str">
        <f>IFERROR(__xludf.DUMMYFUNCTION("""COMPUTED_VALUE"""),"Pikhuwa")</f>
        <v>Pikhuwa</v>
      </c>
      <c r="E962" s="2">
        <f>IFERROR(__xludf.DUMMYFUNCTION("""COMPUTED_VALUE"""),3366.0)</f>
        <v>3366</v>
      </c>
      <c r="F962" s="3">
        <f>IFERROR(__xludf.DUMMYFUNCTION("""COMPUTED_VALUE"""),60596.0)</f>
        <v>60596</v>
      </c>
      <c r="G962" s="2" t="str">
        <f>IFERROR(__xludf.DUMMYFUNCTION("""COMPUTED_VALUE"""),"Sharmila Rai")</f>
        <v>Sharmila Rai</v>
      </c>
      <c r="H962" s="2" t="str">
        <f>IFERROR(__xludf.DUMMYFUNCTION("""COMPUTED_VALUE"""),"Chhinamakhu VDC, Bhojpur")</f>
        <v>Chhinamakhu VDC, Bhojpur</v>
      </c>
      <c r="I962" s="2" t="str">
        <f>IFERROR(__xludf.DUMMYFUNCTION("""COMPUTED_VALUE"""),"27o 14' 50""")</f>
        <v>27o 14' 50"</v>
      </c>
      <c r="J962" s="2" t="str">
        <f>IFERROR(__xludf.DUMMYFUNCTION("""COMPUTED_VALUE"""),"27o 15' 20""")</f>
        <v>27o 15' 20"</v>
      </c>
      <c r="K962" s="2" t="str">
        <f>IFERROR(__xludf.DUMMYFUNCTION("""COMPUTED_VALUE"""),"86o 58' 30""")</f>
        <v>86o 58' 30"</v>
      </c>
      <c r="L962" s="2" t="str">
        <f>IFERROR(__xludf.DUMMYFUNCTION("""COMPUTED_VALUE"""),"87o 01' 45""")</f>
        <v>87o 01' 45"</v>
      </c>
      <c r="M962" s="2" t="str">
        <f>IFERROR(__xludf.DUMMYFUNCTION("""COMPUTED_VALUE"""),"Gupteshwor,Timma (Bhojpur)")</f>
        <v>Gupteshwor,Timma (Bhojpur)</v>
      </c>
    </row>
    <row r="963">
      <c r="A963" s="2">
        <f>IFERROR(__xludf.DUMMYFUNCTION("""COMPUTED_VALUE"""),962.0)</f>
        <v>962</v>
      </c>
      <c r="B963" s="2" t="str">
        <f>IFERROR(__xludf.DUMMYFUNCTION("""COMPUTED_VALUE"""),"Upper Yanma HPP")</f>
        <v>Upper Yanma HPP</v>
      </c>
      <c r="C963" s="2">
        <f>IFERROR(__xludf.DUMMYFUNCTION("""COMPUTED_VALUE"""),17.5)</f>
        <v>17.5</v>
      </c>
      <c r="D963" s="2" t="str">
        <f>IFERROR(__xludf.DUMMYFUNCTION("""COMPUTED_VALUE"""),"Yangma Khola")</f>
        <v>Yangma Khola</v>
      </c>
      <c r="E963" s="2">
        <f>IFERROR(__xludf.DUMMYFUNCTION("""COMPUTED_VALUE"""),3392.0)</f>
        <v>3392</v>
      </c>
      <c r="F963" s="3">
        <f>IFERROR(__xludf.DUMMYFUNCTION("""COMPUTED_VALUE"""),60597.0)</f>
        <v>60597</v>
      </c>
      <c r="G963" s="2" t="str">
        <f>IFERROR(__xludf.DUMMYFUNCTION("""COMPUTED_VALUE"""),"Ganesh B Thapa, Mitra lal Shrestha, Bimal Karki")</f>
        <v>Ganesh B Thapa, Mitra lal Shrestha, Bimal Karki</v>
      </c>
      <c r="H963" s="2" t="str">
        <f>IFERROR(__xludf.DUMMYFUNCTION("""COMPUTED_VALUE"""),"Bhakunde-9, Baglung")</f>
        <v>Bhakunde-9, Baglung</v>
      </c>
      <c r="I963" s="2" t="str">
        <f>IFERROR(__xludf.DUMMYFUNCTION("""COMPUTED_VALUE"""),"27o 42' 51""")</f>
        <v>27o 42' 51"</v>
      </c>
      <c r="J963" s="2" t="str">
        <f>IFERROR(__xludf.DUMMYFUNCTION("""COMPUTED_VALUE"""),"27o 45' 00""")</f>
        <v>27o 45' 00"</v>
      </c>
      <c r="K963" s="2" t="str">
        <f>IFERROR(__xludf.DUMMYFUNCTION("""COMPUTED_VALUE"""),"87o 50' 00""")</f>
        <v>87o 50' 00"</v>
      </c>
      <c r="L963" s="2" t="str">
        <f>IFERROR(__xludf.DUMMYFUNCTION("""COMPUTED_VALUE"""),"87o 51' 40""")</f>
        <v>87o 51' 40"</v>
      </c>
      <c r="M963" s="2" t="str">
        <f>IFERROR(__xludf.DUMMYFUNCTION("""COMPUTED_VALUE"""),"Olangchung (Taplejung)")</f>
        <v>Olangchung (Taplejung)</v>
      </c>
    </row>
    <row r="964">
      <c r="A964" s="2">
        <f>IFERROR(__xludf.DUMMYFUNCTION("""COMPUTED_VALUE"""),963.0)</f>
        <v>963</v>
      </c>
      <c r="B964" s="2" t="str">
        <f>IFERROR(__xludf.DUMMYFUNCTION("""COMPUTED_VALUE"""),"Hugdi Khola HPP")</f>
        <v>Hugdi Khola HPP</v>
      </c>
      <c r="C964" s="2">
        <f>IFERROR(__xludf.DUMMYFUNCTION("""COMPUTED_VALUE"""),1.0)</f>
        <v>1</v>
      </c>
      <c r="D964" s="2" t="str">
        <f>IFERROR(__xludf.DUMMYFUNCTION("""COMPUTED_VALUE"""),"Hugdi")</f>
        <v>Hugdi</v>
      </c>
      <c r="E964" s="2">
        <f>IFERROR(__xludf.DUMMYFUNCTION("""COMPUTED_VALUE"""),3395.0)</f>
        <v>3395</v>
      </c>
      <c r="F964" s="3">
        <f>IFERROR(__xludf.DUMMYFUNCTION("""COMPUTED_VALUE"""),60597.0)</f>
        <v>60597</v>
      </c>
      <c r="G964" s="2" t="str">
        <f>IFERROR(__xludf.DUMMYFUNCTION("""COMPUTED_VALUE"""),"Sunita Thapa")</f>
        <v>Sunita Thapa</v>
      </c>
      <c r="H964" s="2" t="str">
        <f>IFERROR(__xludf.DUMMYFUNCTION("""COMPUTED_VALUE"""),"Biratnagar, Tel: 5555816")</f>
        <v>Biratnagar, Tel: 5555816</v>
      </c>
      <c r="I964" s="2" t="str">
        <f>IFERROR(__xludf.DUMMYFUNCTION("""COMPUTED_VALUE"""),"28o 03' 00""")</f>
        <v>28o 03' 00"</v>
      </c>
      <c r="J964" s="2" t="str">
        <f>IFERROR(__xludf.DUMMYFUNCTION("""COMPUTED_VALUE"""),"28o 05' 05""")</f>
        <v>28o 05' 05"</v>
      </c>
      <c r="K964" s="2" t="str">
        <f>IFERROR(__xludf.DUMMYFUNCTION("""COMPUTED_VALUE"""),"83o 20' 54""")</f>
        <v>83o 20' 54"</v>
      </c>
      <c r="L964" s="2" t="str">
        <f>IFERROR(__xludf.DUMMYFUNCTION("""COMPUTED_VALUE"""),"83o 23' 21""")</f>
        <v>83o 23' 21"</v>
      </c>
      <c r="M964" s="2" t="str">
        <f>IFERROR(__xludf.DUMMYFUNCTION("""COMPUTED_VALUE"""),"Rupakot (Gulmi)")</f>
        <v>Rupakot (Gulmi)</v>
      </c>
    </row>
    <row r="965">
      <c r="A965" s="2">
        <f>IFERROR(__xludf.DUMMYFUNCTION("""COMPUTED_VALUE"""),964.0)</f>
        <v>964</v>
      </c>
      <c r="B965" s="2" t="str">
        <f>IFERROR(__xludf.DUMMYFUNCTION("""COMPUTED_VALUE"""),"Tewagad HPP")</f>
        <v>Tewagad HPP</v>
      </c>
      <c r="C965" s="2">
        <f>IFERROR(__xludf.DUMMYFUNCTION("""COMPUTED_VALUE"""),0.79)</f>
        <v>0.79</v>
      </c>
      <c r="D965" s="2" t="str">
        <f>IFERROR(__xludf.DUMMYFUNCTION("""COMPUTED_VALUE"""),"Tewa Gad")</f>
        <v>Tewa Gad</v>
      </c>
      <c r="E965" s="2">
        <f>IFERROR(__xludf.DUMMYFUNCTION("""COMPUTED_VALUE"""),3396.0)</f>
        <v>3396</v>
      </c>
      <c r="F965" s="3">
        <f>IFERROR(__xludf.DUMMYFUNCTION("""COMPUTED_VALUE"""),60597.0)</f>
        <v>60597</v>
      </c>
      <c r="G965" s="2" t="str">
        <f>IFERROR(__xludf.DUMMYFUNCTION("""COMPUTED_VALUE"""),"Khaptad Engineering Deveopment Pvt LTD")</f>
        <v>Khaptad Engineering Deveopment Pvt LTD</v>
      </c>
      <c r="H965" s="2" t="str">
        <f>IFERROR(__xludf.DUMMYFUNCTION("""COMPUTED_VALUE"""),"Lalitpur -2, Tel: 9741056656, 091-525581")</f>
        <v>Lalitpur -2, Tel: 9741056656, 091-525581</v>
      </c>
      <c r="I965" s="2" t="str">
        <f>IFERROR(__xludf.DUMMYFUNCTION("""COMPUTED_VALUE"""),"29o 06' 00""")</f>
        <v>29o 06' 00"</v>
      </c>
      <c r="J965" s="2" t="str">
        <f>IFERROR(__xludf.DUMMYFUNCTION("""COMPUTED_VALUE"""),"29o 08' 16""")</f>
        <v>29o 08' 16"</v>
      </c>
      <c r="K965" s="2" t="str">
        <f>IFERROR(__xludf.DUMMYFUNCTION("""COMPUTED_VALUE"""),"80o 41' 20""")</f>
        <v>80o 41' 20"</v>
      </c>
      <c r="L965" s="2" t="str">
        <f>IFERROR(__xludf.DUMMYFUNCTION("""COMPUTED_VALUE"""),"80o 43' 00""")</f>
        <v>80o 43' 00"</v>
      </c>
      <c r="M965" s="2" t="str">
        <f>IFERROR(__xludf.DUMMYFUNCTION("""COMPUTED_VALUE"""),"Saraswotinagar (Doti)")</f>
        <v>Saraswotinagar (Doti)</v>
      </c>
    </row>
    <row r="966">
      <c r="A966" s="2">
        <f>IFERROR(__xludf.DUMMYFUNCTION("""COMPUTED_VALUE"""),965.0)</f>
        <v>965</v>
      </c>
      <c r="B966" s="2" t="str">
        <f>IFERROR(__xludf.DUMMYFUNCTION("""COMPUTED_VALUE"""),"Upper Baramchi HPP")</f>
        <v>Upper Baramchi HPP</v>
      </c>
      <c r="C966" s="2">
        <f>IFERROR(__xludf.DUMMYFUNCTION("""COMPUTED_VALUE"""),0.998)</f>
        <v>0.998</v>
      </c>
      <c r="D966" s="2" t="str">
        <f>IFERROR(__xludf.DUMMYFUNCTION("""COMPUTED_VALUE"""),"Baramchi")</f>
        <v>Baramchi</v>
      </c>
      <c r="E966" s="2">
        <f>IFERROR(__xludf.DUMMYFUNCTION("""COMPUTED_VALUE"""),3400.0)</f>
        <v>3400</v>
      </c>
      <c r="F966" s="3">
        <f>IFERROR(__xludf.DUMMYFUNCTION("""COMPUTED_VALUE"""),60597.0)</f>
        <v>60597</v>
      </c>
      <c r="G966" s="2" t="str">
        <f>IFERROR(__xludf.DUMMYFUNCTION("""COMPUTED_VALUE"""),"Kavita Shrestha")</f>
        <v>Kavita Shrestha</v>
      </c>
      <c r="H966" s="2" t="str">
        <f>IFERROR(__xludf.DUMMYFUNCTION("""COMPUTED_VALUE"""),"Shantinagar, Kathmandu-34, Tel: 01-6916485")</f>
        <v>Shantinagar, Kathmandu-34, Tel: 01-6916485</v>
      </c>
      <c r="I966" s="2" t="str">
        <f>IFERROR(__xludf.DUMMYFUNCTION("""COMPUTED_VALUE"""),"27o 51' 30""")</f>
        <v>27o 51' 30"</v>
      </c>
      <c r="J966" s="2" t="str">
        <f>IFERROR(__xludf.DUMMYFUNCTION("""COMPUTED_VALUE"""),"27o 52' 45""")</f>
        <v>27o 52' 45"</v>
      </c>
      <c r="K966" s="2" t="str">
        <f>IFERROR(__xludf.DUMMYFUNCTION("""COMPUTED_VALUE"""),"85o 48' 00""")</f>
        <v>85o 48' 00"</v>
      </c>
      <c r="L966" s="2" t="str">
        <f>IFERROR(__xludf.DUMMYFUNCTION("""COMPUTED_VALUE"""),"85o 49' 30""")</f>
        <v>85o 49' 30"</v>
      </c>
      <c r="M966" s="2" t="str">
        <f>IFERROR(__xludf.DUMMYFUNCTION("""COMPUTED_VALUE"""),"Baramchi,Hagam (Sindhupalchok)")</f>
        <v>Baramchi,Hagam (Sindhupalchok)</v>
      </c>
    </row>
    <row r="967">
      <c r="A967" s="2">
        <f>IFERROR(__xludf.DUMMYFUNCTION("""COMPUTED_VALUE"""),966.0)</f>
        <v>966</v>
      </c>
      <c r="B967" s="2" t="str">
        <f>IFERROR(__xludf.DUMMYFUNCTION("""COMPUTED_VALUE"""),"Upper Mai HPP")</f>
        <v>Upper Mai HPP</v>
      </c>
      <c r="C967" s="2">
        <f>IFERROR(__xludf.DUMMYFUNCTION("""COMPUTED_VALUE"""),9.98)</f>
        <v>9.98</v>
      </c>
      <c r="D967" s="2" t="str">
        <f>IFERROR(__xludf.DUMMYFUNCTION("""COMPUTED_VALUE"""),"Mai Khola")</f>
        <v>Mai Khola</v>
      </c>
      <c r="E967" s="2">
        <f>IFERROR(__xludf.DUMMYFUNCTION("""COMPUTED_VALUE"""),3327.0)</f>
        <v>3327</v>
      </c>
      <c r="F967" s="3">
        <f>IFERROR(__xludf.DUMMYFUNCTION("""COMPUTED_VALUE"""),60598.0)</f>
        <v>60598</v>
      </c>
      <c r="G967" s="2" t="str">
        <f>IFERROR(__xludf.DUMMYFUNCTION("""COMPUTED_VALUE"""),"Upper Mai Hydro Development Pvt Ltd")</f>
        <v>Upper Mai Hydro Development Pvt Ltd</v>
      </c>
      <c r="H967" s="2" t="str">
        <f>IFERROR(__xludf.DUMMYFUNCTION("""COMPUTED_VALUE"""),"Pulchowk, Lalitpur")</f>
        <v>Pulchowk, Lalitpur</v>
      </c>
      <c r="I967" s="2" t="str">
        <f>IFERROR(__xludf.DUMMYFUNCTION("""COMPUTED_VALUE"""),"27o 01' 21""")</f>
        <v>27o 01' 21"</v>
      </c>
      <c r="J967" s="2" t="str">
        <f>IFERROR(__xludf.DUMMYFUNCTION("""COMPUTED_VALUE"""),"27o 03' 30""")</f>
        <v>27o 03' 30"</v>
      </c>
      <c r="K967" s="2" t="str">
        <f>IFERROR(__xludf.DUMMYFUNCTION("""COMPUTED_VALUE"""),"87o 56' 30""")</f>
        <v>87o 56' 30"</v>
      </c>
      <c r="L967" s="2" t="str">
        <f>IFERROR(__xludf.DUMMYFUNCTION("""COMPUTED_VALUE"""),"87o 58' 00""")</f>
        <v>87o 58' 00"</v>
      </c>
      <c r="M967" s="2" t="str">
        <f>IFERROR(__xludf.DUMMYFUNCTION("""COMPUTED_VALUE"""),"Mabu,Maimajhuwa (Ilam)")</f>
        <v>Mabu,Maimajhuwa (Ilam)</v>
      </c>
    </row>
    <row r="968">
      <c r="A968" s="2">
        <f>IFERROR(__xludf.DUMMYFUNCTION("""COMPUTED_VALUE"""),967.0)</f>
        <v>967</v>
      </c>
      <c r="B968" s="2" t="str">
        <f>IFERROR(__xludf.DUMMYFUNCTION("""COMPUTED_VALUE"""),"Upper Thadikhani HPP")</f>
        <v>Upper Thadikhani HPP</v>
      </c>
      <c r="C968" s="2">
        <f>IFERROR(__xludf.DUMMYFUNCTION("""COMPUTED_VALUE"""),1.0)</f>
        <v>1</v>
      </c>
      <c r="D968" s="2" t="str">
        <f>IFERROR(__xludf.DUMMYFUNCTION("""COMPUTED_VALUE"""),"Thadekhani Khola")</f>
        <v>Thadekhani Khola</v>
      </c>
      <c r="E968" s="2">
        <f>IFERROR(__xludf.DUMMYFUNCTION("""COMPUTED_VALUE"""),3419.0)</f>
        <v>3419</v>
      </c>
      <c r="F968" s="3">
        <f>IFERROR(__xludf.DUMMYFUNCTION("""COMPUTED_VALUE"""),60600.0)</f>
        <v>60600</v>
      </c>
      <c r="G968" s="2" t="str">
        <f>IFERROR(__xludf.DUMMYFUNCTION("""COMPUTED_VALUE"""),"Pradip Sapkota")</f>
        <v>Pradip Sapkota</v>
      </c>
      <c r="H968" s="2" t="str">
        <f>IFERROR(__xludf.DUMMYFUNCTION("""COMPUTED_VALUE"""),"Jyamurkot-8, Myagdi")</f>
        <v>Jyamurkot-8, Myagdi</v>
      </c>
      <c r="I968" s="2" t="str">
        <f>IFERROR(__xludf.DUMMYFUNCTION("""COMPUTED_VALUE"""),"28o 26' 00""")</f>
        <v>28o 26' 00"</v>
      </c>
      <c r="J968" s="2" t="str">
        <f>IFERROR(__xludf.DUMMYFUNCTION("""COMPUTED_VALUE"""),"28o 27' 30""")</f>
        <v>28o 27' 30"</v>
      </c>
      <c r="K968" s="2" t="str">
        <f>IFERROR(__xludf.DUMMYFUNCTION("""COMPUTED_VALUE"""),"83o 27' 30""")</f>
        <v>83o 27' 30"</v>
      </c>
      <c r="L968" s="2" t="str">
        <f>IFERROR(__xludf.DUMMYFUNCTION("""COMPUTED_VALUE"""),"83o 30' 00""")</f>
        <v>83o 30' 00"</v>
      </c>
      <c r="M968" s="2" t="str">
        <f>IFERROR(__xludf.DUMMYFUNCTION("""COMPUTED_VALUE"""),"Pakhapani (Myagdi)")</f>
        <v>Pakhapani (Myagdi)</v>
      </c>
    </row>
    <row r="969">
      <c r="A969" s="2">
        <f>IFERROR(__xludf.DUMMYFUNCTION("""COMPUTED_VALUE"""),968.0)</f>
        <v>968</v>
      </c>
      <c r="B969" s="2" t="str">
        <f>IFERROR(__xludf.DUMMYFUNCTION("""COMPUTED_VALUE"""),"Kali Khoa SHP")</f>
        <v>Kali Khoa SHP</v>
      </c>
      <c r="C969" s="2">
        <f>IFERROR(__xludf.DUMMYFUNCTION("""COMPUTED_VALUE"""),1.0)</f>
        <v>1</v>
      </c>
      <c r="D969" s="2" t="str">
        <f>IFERROR(__xludf.DUMMYFUNCTION("""COMPUTED_VALUE"""),"Kali Khola")</f>
        <v>Kali Khola</v>
      </c>
      <c r="E969" s="2">
        <f>IFERROR(__xludf.DUMMYFUNCTION("""COMPUTED_VALUE"""),3439.0)</f>
        <v>3439</v>
      </c>
      <c r="F969" s="3">
        <f>IFERROR(__xludf.DUMMYFUNCTION("""COMPUTED_VALUE"""),60601.0)</f>
        <v>60601</v>
      </c>
      <c r="G969" s="2" t="str">
        <f>IFERROR(__xludf.DUMMYFUNCTION("""COMPUTED_VALUE"""),"Shambhu Singh Karki")</f>
        <v>Shambhu Singh Karki</v>
      </c>
      <c r="H969" s="2" t="str">
        <f>IFERROR(__xludf.DUMMYFUNCTION("""COMPUTED_VALUE"""),"Palung")</f>
        <v>Palung</v>
      </c>
      <c r="I969" s="2" t="str">
        <f>IFERROR(__xludf.DUMMYFUNCTION("""COMPUTED_VALUE"""),"00o 00' 00""")</f>
        <v>00o 00' 00"</v>
      </c>
      <c r="J969" s="2" t="str">
        <f>IFERROR(__xludf.DUMMYFUNCTION("""COMPUTED_VALUE"""),"00o 00' 00""")</f>
        <v>00o 00' 00"</v>
      </c>
      <c r="K969" s="2" t="str">
        <f>IFERROR(__xludf.DUMMYFUNCTION("""COMPUTED_VALUE"""),"00o 00' 00""")</f>
        <v>00o 00' 00"</v>
      </c>
      <c r="L969" s="2" t="str">
        <f>IFERROR(__xludf.DUMMYFUNCTION("""COMPUTED_VALUE"""),"00o 00' 00""")</f>
        <v>00o 00' 00"</v>
      </c>
      <c r="M969" s="2" t="str">
        <f>IFERROR(__xludf.DUMMYFUNCTION("""COMPUTED_VALUE"""),"Gogane (Makawanpur)")</f>
        <v>Gogane (Makawanpur)</v>
      </c>
    </row>
    <row r="970">
      <c r="A970" s="2">
        <f>IFERROR(__xludf.DUMMYFUNCTION("""COMPUTED_VALUE"""),969.0)</f>
        <v>969</v>
      </c>
      <c r="B970" s="2" t="str">
        <f>IFERROR(__xludf.DUMMYFUNCTION("""COMPUTED_VALUE"""),"Anaya Gad SHP")</f>
        <v>Anaya Gad SHP</v>
      </c>
      <c r="C970" s="2">
        <f>IFERROR(__xludf.DUMMYFUNCTION("""COMPUTED_VALUE"""),0.75)</f>
        <v>0.75</v>
      </c>
      <c r="D970" s="2" t="str">
        <f>IFERROR(__xludf.DUMMYFUNCTION("""COMPUTED_VALUE"""),"Anayagad")</f>
        <v>Anayagad</v>
      </c>
      <c r="E970" s="2">
        <f>IFERROR(__xludf.DUMMYFUNCTION("""COMPUTED_VALUE"""),3442.0)</f>
        <v>3442</v>
      </c>
      <c r="F970" s="3">
        <f>IFERROR(__xludf.DUMMYFUNCTION("""COMPUTED_VALUE"""),60601.0)</f>
        <v>60601</v>
      </c>
      <c r="G970" s="2" t="str">
        <f>IFERROR(__xludf.DUMMYFUNCTION("""COMPUTED_VALUE"""),"Ravindra Raj Joshi")</f>
        <v>Ravindra Raj Joshi</v>
      </c>
      <c r="H970" s="2" t="str">
        <f>IFERROR(__xludf.DUMMYFUNCTION("""COMPUTED_VALUE"""),"Barchhain VDC , Doti")</f>
        <v>Barchhain VDC , Doti</v>
      </c>
      <c r="I970" s="2" t="str">
        <f>IFERROR(__xludf.DUMMYFUNCTION("""COMPUTED_VALUE"""),"00o 00' 00""")</f>
        <v>00o 00' 00"</v>
      </c>
      <c r="J970" s="2" t="str">
        <f>IFERROR(__xludf.DUMMYFUNCTION("""COMPUTED_VALUE"""),"00o 00' 00""")</f>
        <v>00o 00' 00"</v>
      </c>
      <c r="K970" s="2" t="str">
        <f>IFERROR(__xludf.DUMMYFUNCTION("""COMPUTED_VALUE"""),"00o 00' 00""")</f>
        <v>00o 00' 00"</v>
      </c>
      <c r="L970" s="2" t="str">
        <f>IFERROR(__xludf.DUMMYFUNCTION("""COMPUTED_VALUE"""),"00o 00' 00""")</f>
        <v>00o 00' 00"</v>
      </c>
      <c r="M970" s="2" t="str">
        <f>IFERROR(__xludf.DUMMYFUNCTION("""COMPUTED_VALUE"""),"Durgamadau (Doti)")</f>
        <v>Durgamadau (Doti)</v>
      </c>
    </row>
    <row r="971">
      <c r="A971" s="2">
        <f>IFERROR(__xludf.DUMMYFUNCTION("""COMPUTED_VALUE"""),970.0)</f>
        <v>970</v>
      </c>
      <c r="B971" s="2" t="str">
        <f>IFERROR(__xludf.DUMMYFUNCTION("""COMPUTED_VALUE"""),"Layati Khola SHP")</f>
        <v>Layati Khola SHP</v>
      </c>
      <c r="C971" s="2">
        <f>IFERROR(__xludf.DUMMYFUNCTION("""COMPUTED_VALUE"""),0.3)</f>
        <v>0.3</v>
      </c>
      <c r="D971" s="2" t="str">
        <f>IFERROR(__xludf.DUMMYFUNCTION("""COMPUTED_VALUE"""),"Layati")</f>
        <v>Layati</v>
      </c>
      <c r="E971" s="2">
        <f>IFERROR(__xludf.DUMMYFUNCTION("""COMPUTED_VALUE"""),3450.0)</f>
        <v>3450</v>
      </c>
      <c r="F971" s="3">
        <f>IFERROR(__xludf.DUMMYFUNCTION("""COMPUTED_VALUE"""),60603.0)</f>
        <v>60603</v>
      </c>
      <c r="G971" s="2" t="str">
        <f>IFERROR(__xludf.DUMMYFUNCTION("""COMPUTED_VALUE"""),"Kiran sanjayal")</f>
        <v>Kiran sanjayal</v>
      </c>
      <c r="H971" s="2" t="str">
        <f>IFERROR(__xludf.DUMMYFUNCTION("""COMPUTED_VALUE"""),"Barala-2 , Achham Tel: 9741169964")</f>
        <v>Barala-2 , Achham Tel: 9741169964</v>
      </c>
      <c r="I971" s="2" t="str">
        <f>IFERROR(__xludf.DUMMYFUNCTION("""COMPUTED_VALUE"""),"00o 00' 00""")</f>
        <v>00o 00' 00"</v>
      </c>
      <c r="J971" s="2" t="str">
        <f>IFERROR(__xludf.DUMMYFUNCTION("""COMPUTED_VALUE"""),"00o 00' 00""")</f>
        <v>00o 00' 00"</v>
      </c>
      <c r="K971" s="2" t="str">
        <f>IFERROR(__xludf.DUMMYFUNCTION("""COMPUTED_VALUE"""),"00o 00' 00""")</f>
        <v>00o 00' 00"</v>
      </c>
      <c r="L971" s="2" t="str">
        <f>IFERROR(__xludf.DUMMYFUNCTION("""COMPUTED_VALUE"""),"00o 00' 00""")</f>
        <v>00o 00' 00"</v>
      </c>
      <c r="M971" s="2" t="str">
        <f>IFERROR(__xludf.DUMMYFUNCTION("""COMPUTED_VALUE"""),"Binayak,Layati,Kalekanda (Achham)")</f>
        <v>Binayak,Layati,Kalekanda (Achham)</v>
      </c>
    </row>
    <row r="972">
      <c r="A972" s="2">
        <f>IFERROR(__xludf.DUMMYFUNCTION("""COMPUTED_VALUE"""),971.0)</f>
        <v>971</v>
      </c>
      <c r="B972" s="2" t="str">
        <f>IFERROR(__xludf.DUMMYFUNCTION("""COMPUTED_VALUE"""),"Lower Modi HPP")</f>
        <v>Lower Modi HPP</v>
      </c>
      <c r="C972" s="2">
        <f>IFERROR(__xludf.DUMMYFUNCTION("""COMPUTED_VALUE"""),20.0)</f>
        <v>20</v>
      </c>
      <c r="D972" s="2" t="str">
        <f>IFERROR(__xludf.DUMMYFUNCTION("""COMPUTED_VALUE"""),"Modi Khola")</f>
        <v>Modi Khola</v>
      </c>
      <c r="E972" s="2">
        <f>IFERROR(__xludf.DUMMYFUNCTION("""COMPUTED_VALUE"""),3453.0)</f>
        <v>3453</v>
      </c>
      <c r="F972" s="3">
        <f>IFERROR(__xludf.DUMMYFUNCTION("""COMPUTED_VALUE"""),60603.0)</f>
        <v>60603</v>
      </c>
      <c r="G972" s="2" t="str">
        <f>IFERROR(__xludf.DUMMYFUNCTION("""COMPUTED_VALUE"""),"Pashupati Murarka")</f>
        <v>Pashupati Murarka</v>
      </c>
      <c r="H972" s="2" t="str">
        <f>IFERROR(__xludf.DUMMYFUNCTION("""COMPUTED_VALUE"""),"Kathmandu , Tel: 4260810,4260910")</f>
        <v>Kathmandu , Tel: 4260810,4260910</v>
      </c>
      <c r="I972" s="2" t="str">
        <f>IFERROR(__xludf.DUMMYFUNCTION("""COMPUTED_VALUE"""),"28o 14' 08""")</f>
        <v>28o 14' 08"</v>
      </c>
      <c r="J972" s="2" t="str">
        <f>IFERROR(__xludf.DUMMYFUNCTION("""COMPUTED_VALUE"""),"28o 16' 18""")</f>
        <v>28o 16' 18"</v>
      </c>
      <c r="K972" s="2" t="str">
        <f>IFERROR(__xludf.DUMMYFUNCTION("""COMPUTED_VALUE"""),"83o 42' 30""")</f>
        <v>83o 42' 30"</v>
      </c>
      <c r="L972" s="2" t="str">
        <f>IFERROR(__xludf.DUMMYFUNCTION("""COMPUTED_VALUE"""),"83o 44' 43""")</f>
        <v>83o 44' 43"</v>
      </c>
      <c r="M972" s="2" t="str">
        <f>IFERROR(__xludf.DUMMYFUNCTION("""COMPUTED_VALUE"""),"Bajung,Durlung,Chuwa,Tilahar (Parbat)")</f>
        <v>Bajung,Durlung,Chuwa,Tilahar (Parbat)</v>
      </c>
    </row>
    <row r="973">
      <c r="A973" s="2">
        <f>IFERROR(__xludf.DUMMYFUNCTION("""COMPUTED_VALUE"""),972.0)</f>
        <v>972</v>
      </c>
      <c r="B973" s="2" t="str">
        <f>IFERROR(__xludf.DUMMYFUNCTION("""COMPUTED_VALUE"""),"Humde Marsyangdi HPP")</f>
        <v>Humde Marsyangdi HPP</v>
      </c>
      <c r="C973" s="2">
        <f>IFERROR(__xludf.DUMMYFUNCTION("""COMPUTED_VALUE"""),12.0)</f>
        <v>12</v>
      </c>
      <c r="D973" s="2" t="str">
        <f>IFERROR(__xludf.DUMMYFUNCTION("""COMPUTED_VALUE"""),"Marsyangdi")</f>
        <v>Marsyangdi</v>
      </c>
      <c r="E973" s="2">
        <f>IFERROR(__xludf.DUMMYFUNCTION("""COMPUTED_VALUE"""),3457.0)</f>
        <v>3457</v>
      </c>
      <c r="F973" s="3">
        <f>IFERROR(__xludf.DUMMYFUNCTION("""COMPUTED_VALUE"""),60603.0)</f>
        <v>60603</v>
      </c>
      <c r="G973" s="2" t="str">
        <f>IFERROR(__xludf.DUMMYFUNCTION("""COMPUTED_VALUE"""),"Energy Infrastructure Pvt Ltd and Puran Chanda Thakuri")</f>
        <v>Energy Infrastructure Pvt Ltd and Puran Chanda Thakuri</v>
      </c>
      <c r="H973" s="2" t="str">
        <f>IFERROR(__xludf.DUMMYFUNCTION("""COMPUTED_VALUE"""),"Chhetrapati-7, Kathmandu Tel: 4442049,Fax: 4436585")</f>
        <v>Chhetrapati-7, Kathmandu Tel: 4442049,Fax: 4436585</v>
      </c>
      <c r="I973" s="2" t="str">
        <f>IFERROR(__xludf.DUMMYFUNCTION("""COMPUTED_VALUE"""),"28o 36' 35""")</f>
        <v>28o 36' 35"</v>
      </c>
      <c r="J973" s="2" t="str">
        <f>IFERROR(__xludf.DUMMYFUNCTION("""COMPUTED_VALUE"""),"28o 38' 35""")</f>
        <v>28o 38' 35"</v>
      </c>
      <c r="K973" s="2" t="str">
        <f>IFERROR(__xludf.DUMMYFUNCTION("""COMPUTED_VALUE"""),"84o 05' 30""")</f>
        <v>84o 05' 30"</v>
      </c>
      <c r="L973" s="2" t="str">
        <f>IFERROR(__xludf.DUMMYFUNCTION("""COMPUTED_VALUE"""),"84o 09' 14""")</f>
        <v>84o 09' 14"</v>
      </c>
      <c r="M973" s="2" t="str">
        <f>IFERROR(__xludf.DUMMYFUNCTION("""COMPUTED_VALUE"""),"Dhyaru,Manang,Pisng (Manang)")</f>
        <v>Dhyaru,Manang,Pisng (Manang)</v>
      </c>
    </row>
    <row r="974">
      <c r="A974" s="2">
        <f>IFERROR(__xludf.DUMMYFUNCTION("""COMPUTED_VALUE"""),973.0)</f>
        <v>973</v>
      </c>
      <c r="B974" s="2" t="str">
        <f>IFERROR(__xludf.DUMMYFUNCTION("""COMPUTED_VALUE"""),"Lower Jhyari HPP")</f>
        <v>Lower Jhyari HPP</v>
      </c>
      <c r="C974" s="2">
        <f>IFERROR(__xludf.DUMMYFUNCTION("""COMPUTED_VALUE"""),0.8)</f>
        <v>0.8</v>
      </c>
      <c r="D974" s="2" t="str">
        <f>IFERROR(__xludf.DUMMYFUNCTION("""COMPUTED_VALUE"""),"Jhyari Khola")</f>
        <v>Jhyari Khola</v>
      </c>
      <c r="E974" s="2">
        <f>IFERROR(__xludf.DUMMYFUNCTION("""COMPUTED_VALUE"""),3474.0)</f>
        <v>3474</v>
      </c>
      <c r="F974" s="3">
        <f>IFERROR(__xludf.DUMMYFUNCTION("""COMPUTED_VALUE"""),60604.0)</f>
        <v>60604</v>
      </c>
      <c r="G974" s="2" t="str">
        <f>IFERROR(__xludf.DUMMYFUNCTION("""COMPUTED_VALUE"""),"Jhamaknath Nepal, Bishnumani Acharya , Damodar Subedi")</f>
        <v>Jhamaknath Nepal, Bishnumani Acharya , Damodar Subedi</v>
      </c>
      <c r="H974" s="2" t="str">
        <f>IFERROR(__xludf.DUMMYFUNCTION("""COMPUTED_VALUE"""),"Bhimeswar Munucipality-9 Dolkha")</f>
        <v>Bhimeswar Munucipality-9 Dolkha</v>
      </c>
      <c r="I974" s="2" t="str">
        <f>IFERROR(__xludf.DUMMYFUNCTION("""COMPUTED_VALUE"""),"27o 42' 30""")</f>
        <v>27o 42' 30"</v>
      </c>
      <c r="J974" s="2" t="str">
        <f>IFERROR(__xludf.DUMMYFUNCTION("""COMPUTED_VALUE"""),"27o 44' 40""")</f>
        <v>27o 44' 40"</v>
      </c>
      <c r="K974" s="2" t="str">
        <f>IFERROR(__xludf.DUMMYFUNCTION("""COMPUTED_VALUE"""),"85o 40' 15""")</f>
        <v>85o 40' 15"</v>
      </c>
      <c r="L974" s="2" t="str">
        <f>IFERROR(__xludf.DUMMYFUNCTION("""COMPUTED_VALUE"""),"85o 41' 10""")</f>
        <v>85o 41' 10"</v>
      </c>
      <c r="M974" s="2" t="str">
        <f>IFERROR(__xludf.DUMMYFUNCTION("""COMPUTED_VALUE"""),"Bhotsipa (Sindhupalchok)")</f>
        <v>Bhotsipa (Sindhupalchok)</v>
      </c>
    </row>
    <row r="975">
      <c r="A975" s="2">
        <f>IFERROR(__xludf.DUMMYFUNCTION("""COMPUTED_VALUE"""),974.0)</f>
        <v>974</v>
      </c>
      <c r="B975" s="2" t="str">
        <f>IFERROR(__xludf.DUMMYFUNCTION("""COMPUTED_VALUE"""),"Ghilunpa Khola HPP")</f>
        <v>Ghilunpa Khola HPP</v>
      </c>
      <c r="C975" s="2">
        <f>IFERROR(__xludf.DUMMYFUNCTION("""COMPUTED_VALUE"""),7.0)</f>
        <v>7</v>
      </c>
      <c r="D975" s="2" t="str">
        <f>IFERROR(__xludf.DUMMYFUNCTION("""COMPUTED_VALUE"""),"Ghilunpa")</f>
        <v>Ghilunpa</v>
      </c>
      <c r="E975" s="2">
        <f>IFERROR(__xludf.DUMMYFUNCTION("""COMPUTED_VALUE"""),3482.0)</f>
        <v>3482</v>
      </c>
      <c r="F975" s="3">
        <f>IFERROR(__xludf.DUMMYFUNCTION("""COMPUTED_VALUE"""),60604.0)</f>
        <v>60604</v>
      </c>
      <c r="G975" s="2" t="str">
        <f>IFERROR(__xludf.DUMMYFUNCTION("""COMPUTED_VALUE"""),"Prabhu Energy Pvt Ltd")</f>
        <v>Prabhu Energy Pvt Ltd</v>
      </c>
      <c r="H975" s="2" t="str">
        <f>IFERROR(__xludf.DUMMYFUNCTION("""COMPUTED_VALUE"""),"GPO box:5211, Kathmandu")</f>
        <v>GPO box:5211, Kathmandu</v>
      </c>
      <c r="I975" s="2" t="str">
        <f>IFERROR(__xludf.DUMMYFUNCTION("""COMPUTED_VALUE"""),"28o 51' 29""")</f>
        <v>28o 51' 29"</v>
      </c>
      <c r="J975" s="2" t="str">
        <f>IFERROR(__xludf.DUMMYFUNCTION("""COMPUTED_VALUE"""),"28o 55' 00""")</f>
        <v>28o 55' 00"</v>
      </c>
      <c r="K975" s="2" t="str">
        <f>IFERROR(__xludf.DUMMYFUNCTION("""COMPUTED_VALUE"""),"83o 43' 57""")</f>
        <v>83o 43' 57"</v>
      </c>
      <c r="L975" s="2" t="str">
        <f>IFERROR(__xludf.DUMMYFUNCTION("""COMPUTED_VALUE"""),"83o 48' 22""")</f>
        <v>83o 48' 22"</v>
      </c>
      <c r="M975" s="2" t="str">
        <f>IFERROR(__xludf.DUMMYFUNCTION("""COMPUTED_VALUE"""),"Jhong,Jomosom,Kagbeni,Muktinath (Mustang)")</f>
        <v>Jhong,Jomosom,Kagbeni,Muktinath (Mustang)</v>
      </c>
    </row>
    <row r="976">
      <c r="A976" s="2">
        <f>IFERROR(__xludf.DUMMYFUNCTION("""COMPUTED_VALUE"""),975.0)</f>
        <v>975</v>
      </c>
      <c r="B976" s="2" t="str">
        <f>IFERROR(__xludf.DUMMYFUNCTION("""COMPUTED_VALUE"""),"Perung Khola SHP")</f>
        <v>Perung Khola SHP</v>
      </c>
      <c r="C976" s="2">
        <f>IFERROR(__xludf.DUMMYFUNCTION("""COMPUTED_VALUE"""),1.0)</f>
        <v>1</v>
      </c>
      <c r="D976" s="2" t="str">
        <f>IFERROR(__xludf.DUMMYFUNCTION("""COMPUTED_VALUE"""),"Perung Khola")</f>
        <v>Perung Khola</v>
      </c>
      <c r="E976" s="2">
        <f>IFERROR(__xludf.DUMMYFUNCTION("""COMPUTED_VALUE"""),3486.0)</f>
        <v>3486</v>
      </c>
      <c r="F976" s="3">
        <f>IFERROR(__xludf.DUMMYFUNCTION("""COMPUTED_VALUE"""),60605.0)</f>
        <v>60605</v>
      </c>
      <c r="G976" s="2" t="str">
        <f>IFERROR(__xludf.DUMMYFUNCTION("""COMPUTED_VALUE"""),"Shiv Prasad Poudel")</f>
        <v>Shiv Prasad Poudel</v>
      </c>
      <c r="H976" s="2" t="str">
        <f>IFERROR(__xludf.DUMMYFUNCTION("""COMPUTED_VALUE"""),"Bharatpur-9, Chitwan, Tel: 056-693991,9841396470")</f>
        <v>Bharatpur-9, Chitwan, Tel: 056-693991,9841396470</v>
      </c>
      <c r="I976" s="2" t="str">
        <f>IFERROR(__xludf.DUMMYFUNCTION("""COMPUTED_VALUE"""),"27o 36' 56""")</f>
        <v>27o 36' 56"</v>
      </c>
      <c r="J976" s="2" t="str">
        <f>IFERROR(__xludf.DUMMYFUNCTION("""COMPUTED_VALUE"""),"27o 38' 22""")</f>
        <v>27o 38' 22"</v>
      </c>
      <c r="K976" s="2" t="str">
        <f>IFERROR(__xludf.DUMMYFUNCTION("""COMPUTED_VALUE"""),"86o 24' 45""")</f>
        <v>86o 24' 45"</v>
      </c>
      <c r="L976" s="2" t="str">
        <f>IFERROR(__xludf.DUMMYFUNCTION("""COMPUTED_VALUE"""),"86o 26' 32""")</f>
        <v>86o 26' 32"</v>
      </c>
      <c r="M976" s="2" t="str">
        <f>IFERROR(__xludf.DUMMYFUNCTION("""COMPUTED_VALUE"""),"Gumdel (Ramechhap)")</f>
        <v>Gumdel (Ramechhap)</v>
      </c>
    </row>
    <row r="977">
      <c r="A977" s="2">
        <f>IFERROR(__xludf.DUMMYFUNCTION("""COMPUTED_VALUE"""),976.0)</f>
        <v>976</v>
      </c>
      <c r="B977" s="2" t="str">
        <f>IFERROR(__xludf.DUMMYFUNCTION("""COMPUTED_VALUE"""),"Dalsing Khola SHP")</f>
        <v>Dalsing Khola SHP</v>
      </c>
      <c r="C977" s="2">
        <f>IFERROR(__xludf.DUMMYFUNCTION("""COMPUTED_VALUE"""),0.9)</f>
        <v>0.9</v>
      </c>
      <c r="D977" s="2" t="str">
        <f>IFERROR(__xludf.DUMMYFUNCTION("""COMPUTED_VALUE"""),"Dalsing")</f>
        <v>Dalsing</v>
      </c>
      <c r="E977" s="2">
        <f>IFERROR(__xludf.DUMMYFUNCTION("""COMPUTED_VALUE"""),3487.0)</f>
        <v>3487</v>
      </c>
      <c r="F977" s="3">
        <f>IFERROR(__xludf.DUMMYFUNCTION("""COMPUTED_VALUE"""),60605.0)</f>
        <v>60605</v>
      </c>
      <c r="G977" s="2" t="str">
        <f>IFERROR(__xludf.DUMMYFUNCTION("""COMPUTED_VALUE"""),"Sumitra Soti")</f>
        <v>Sumitra Soti</v>
      </c>
      <c r="H977" s="2" t="str">
        <f>IFERROR(__xludf.DUMMYFUNCTION("""COMPUTED_VALUE"""),"Shivnagar-4, Chitwan")</f>
        <v>Shivnagar-4, Chitwan</v>
      </c>
      <c r="I977" s="2" t="str">
        <f>IFERROR(__xludf.DUMMYFUNCTION("""COMPUTED_VALUE"""),"28o 35' 00""")</f>
        <v>28o 35' 00"</v>
      </c>
      <c r="J977" s="2" t="str">
        <f>IFERROR(__xludf.DUMMYFUNCTION("""COMPUTED_VALUE"""),"28o 36' 34""")</f>
        <v>28o 36' 34"</v>
      </c>
      <c r="K977" s="2" t="str">
        <f>IFERROR(__xludf.DUMMYFUNCTION("""COMPUTED_VALUE"""),"83o 11' 34""")</f>
        <v>83o 11' 34"</v>
      </c>
      <c r="L977" s="2" t="str">
        <f>IFERROR(__xludf.DUMMYFUNCTION("""COMPUTED_VALUE"""),"83o 15' 00""")</f>
        <v>83o 15' 00"</v>
      </c>
      <c r="M977" s="2" t="str">
        <f>IFERROR(__xludf.DUMMYFUNCTION("""COMPUTED_VALUE"""),"Gurja (Myagdi)")</f>
        <v>Gurja (Myagdi)</v>
      </c>
    </row>
    <row r="978">
      <c r="A978" s="2">
        <f>IFERROR(__xludf.DUMMYFUNCTION("""COMPUTED_VALUE"""),977.0)</f>
        <v>977</v>
      </c>
      <c r="B978" s="2" t="str">
        <f>IFERROR(__xludf.DUMMYFUNCTION("""COMPUTED_VALUE"""),"Sinkos Khola SHP")</f>
        <v>Sinkos Khola SHP</v>
      </c>
      <c r="C978" s="2">
        <f>IFERROR(__xludf.DUMMYFUNCTION("""COMPUTED_VALUE"""),0.85)</f>
        <v>0.85</v>
      </c>
      <c r="D978" s="2" t="str">
        <f>IFERROR(__xludf.DUMMYFUNCTION("""COMPUTED_VALUE"""),"Sinkos Khola")</f>
        <v>Sinkos Khola</v>
      </c>
      <c r="E978" s="2">
        <f>IFERROR(__xludf.DUMMYFUNCTION("""COMPUTED_VALUE"""),3488.0)</f>
        <v>3488</v>
      </c>
      <c r="F978" s="3">
        <f>IFERROR(__xludf.DUMMYFUNCTION("""COMPUTED_VALUE"""),60605.0)</f>
        <v>60605</v>
      </c>
      <c r="G978" s="2" t="str">
        <f>IFERROR(__xludf.DUMMYFUNCTION("""COMPUTED_VALUE"""),"Sumitra Soti")</f>
        <v>Sumitra Soti</v>
      </c>
      <c r="H978" s="2" t="str">
        <f>IFERROR(__xludf.DUMMYFUNCTION("""COMPUTED_VALUE"""),"Shivnagar-4, Chitwan, Tel: 9845201753")</f>
        <v>Shivnagar-4, Chitwan, Tel: 9845201753</v>
      </c>
      <c r="I978" s="2" t="str">
        <f>IFERROR(__xludf.DUMMYFUNCTION("""COMPUTED_VALUE"""),"28o 32' 39""")</f>
        <v>28o 32' 39"</v>
      </c>
      <c r="J978" s="2" t="str">
        <f>IFERROR(__xludf.DUMMYFUNCTION("""COMPUTED_VALUE"""),"28o 34' 03""")</f>
        <v>28o 34' 03"</v>
      </c>
      <c r="K978" s="2" t="str">
        <f>IFERROR(__xludf.DUMMYFUNCTION("""COMPUTED_VALUE"""),"83o 22' 34""")</f>
        <v>83o 22' 34"</v>
      </c>
      <c r="L978" s="2" t="str">
        <f>IFERROR(__xludf.DUMMYFUNCTION("""COMPUTED_VALUE"""),"83o 25' 00""")</f>
        <v>83o 25' 00"</v>
      </c>
      <c r="M978" s="2" t="str">
        <f>IFERROR(__xludf.DUMMYFUNCTION("""COMPUTED_VALUE"""),"Mudi (Myagdi)")</f>
        <v>Mudi (Myagdi)</v>
      </c>
    </row>
    <row r="979">
      <c r="A979" s="2">
        <f>IFERROR(__xludf.DUMMYFUNCTION("""COMPUTED_VALUE"""),978.0)</f>
        <v>978</v>
      </c>
      <c r="B979" s="2" t="str">
        <f>IFERROR(__xludf.DUMMYFUNCTION("""COMPUTED_VALUE"""),"Middle BelkhuKhoa HPP")</f>
        <v>Middle BelkhuKhoa HPP</v>
      </c>
      <c r="C979" s="2">
        <f>IFERROR(__xludf.DUMMYFUNCTION("""COMPUTED_VALUE"""),0.456)</f>
        <v>0.456</v>
      </c>
      <c r="D979" s="2" t="str">
        <f>IFERROR(__xludf.DUMMYFUNCTION("""COMPUTED_VALUE"""),"Belkhu Khola")</f>
        <v>Belkhu Khola</v>
      </c>
      <c r="E979" s="2">
        <f>IFERROR(__xludf.DUMMYFUNCTION("""COMPUTED_VALUE"""),3495.0)</f>
        <v>3495</v>
      </c>
      <c r="F979" s="3">
        <f>IFERROR(__xludf.DUMMYFUNCTION("""COMPUTED_VALUE"""),60605.0)</f>
        <v>60605</v>
      </c>
      <c r="G979" s="2" t="str">
        <f>IFERROR(__xludf.DUMMYFUNCTION("""COMPUTED_VALUE"""),"Upper Thoppal Khola Hydropower Company Pvt Ltd")</f>
        <v>Upper Thoppal Khola Hydropower Company Pvt Ltd</v>
      </c>
      <c r="H979" s="2" t="str">
        <f>IFERROR(__xludf.DUMMYFUNCTION("""COMPUTED_VALUE"""),"Kathmandu ,Tel:01-4488643, 9841303859")</f>
        <v>Kathmandu ,Tel:01-4488643, 9841303859</v>
      </c>
      <c r="I979" s="2" t="str">
        <f>IFERROR(__xludf.DUMMYFUNCTION("""COMPUTED_VALUE"""),"27o 46' 53""")</f>
        <v>27o 46' 53"</v>
      </c>
      <c r="J979" s="2" t="str">
        <f>IFERROR(__xludf.DUMMYFUNCTION("""COMPUTED_VALUE"""),"27o 48' 04""")</f>
        <v>27o 48' 04"</v>
      </c>
      <c r="K979" s="2" t="str">
        <f>IFERROR(__xludf.DUMMYFUNCTION("""COMPUTED_VALUE"""),"84o 55' 23""")</f>
        <v>84o 55' 23"</v>
      </c>
      <c r="L979" s="2" t="str">
        <f>IFERROR(__xludf.DUMMYFUNCTION("""COMPUTED_VALUE"""),"84o 57' 30""")</f>
        <v>84o 57' 30"</v>
      </c>
      <c r="M979" s="2" t="str">
        <f>IFERROR(__xludf.DUMMYFUNCTION("""COMPUTED_VALUE"""),"Baireni,Pida (Dhading)")</f>
        <v>Baireni,Pida (Dhading)</v>
      </c>
    </row>
    <row r="980">
      <c r="A980" s="2">
        <f>IFERROR(__xludf.DUMMYFUNCTION("""COMPUTED_VALUE"""),979.0)</f>
        <v>979</v>
      </c>
      <c r="B980" s="2" t="str">
        <f>IFERROR(__xludf.DUMMYFUNCTION("""COMPUTED_VALUE"""),"Manjuwa Khola SHP")</f>
        <v>Manjuwa Khola SHP</v>
      </c>
      <c r="C980" s="2">
        <f>IFERROR(__xludf.DUMMYFUNCTION("""COMPUTED_VALUE"""),0.93)</f>
        <v>0.93</v>
      </c>
      <c r="D980" s="2" t="str">
        <f>IFERROR(__xludf.DUMMYFUNCTION("""COMPUTED_VALUE"""),"Manjuwa")</f>
        <v>Manjuwa</v>
      </c>
      <c r="E980" s="2">
        <f>IFERROR(__xludf.DUMMYFUNCTION("""COMPUTED_VALUE"""),3500.0)</f>
        <v>3500</v>
      </c>
      <c r="F980" s="3">
        <f>IFERROR(__xludf.DUMMYFUNCTION("""COMPUTED_VALUE"""),60605.0)</f>
        <v>60605</v>
      </c>
      <c r="G980" s="2" t="str">
        <f>IFERROR(__xludf.DUMMYFUNCTION("""COMPUTED_VALUE"""),"Shubhadra dahal, Amrit Tamang, Dayaram Bhattarai")</f>
        <v>Shubhadra dahal, Amrit Tamang, Dayaram Bhattarai</v>
      </c>
      <c r="H980" s="2" t="str">
        <f>IFERROR(__xludf.DUMMYFUNCTION("""COMPUTED_VALUE"""),"Madibirta VDC-2, Sankhuwasabha")</f>
        <v>Madibirta VDC-2, Sankhuwasabha</v>
      </c>
      <c r="I980" s="2" t="str">
        <f>IFERROR(__xludf.DUMMYFUNCTION("""COMPUTED_VALUE"""),"27o 24' 35""")</f>
        <v>27o 24' 35"</v>
      </c>
      <c r="J980" s="2" t="str">
        <f>IFERROR(__xludf.DUMMYFUNCTION("""COMPUTED_VALUE"""),"27o 25' 50""")</f>
        <v>27o 25' 50"</v>
      </c>
      <c r="K980" s="2" t="str">
        <f>IFERROR(__xludf.DUMMYFUNCTION("""COMPUTED_VALUE"""),"87o 21' 45""")</f>
        <v>87o 21' 45"</v>
      </c>
      <c r="L980" s="2" t="str">
        <f>IFERROR(__xludf.DUMMYFUNCTION("""COMPUTED_VALUE"""),"87o 22' 40""")</f>
        <v>87o 22' 40"</v>
      </c>
      <c r="M980" s="2" t="str">
        <f>IFERROR(__xludf.DUMMYFUNCTION("""COMPUTED_VALUE"""),"Sabha Pokhari (Sankhuwasabha)")</f>
        <v>Sabha Pokhari (Sankhuwasabha)</v>
      </c>
    </row>
    <row r="981">
      <c r="A981" s="2">
        <f>IFERROR(__xludf.DUMMYFUNCTION("""COMPUTED_VALUE"""),980.0)</f>
        <v>980</v>
      </c>
      <c r="B981" s="2" t="str">
        <f>IFERROR(__xludf.DUMMYFUNCTION("""COMPUTED_VALUE"""),"Karphok Khola SHP")</f>
        <v>Karphok Khola SHP</v>
      </c>
      <c r="C981" s="2">
        <f>IFERROR(__xludf.DUMMYFUNCTION("""COMPUTED_VALUE"""),0.469)</f>
        <v>0.469</v>
      </c>
      <c r="D981" s="2" t="str">
        <f>IFERROR(__xludf.DUMMYFUNCTION("""COMPUTED_VALUE"""),"Karphok")</f>
        <v>Karphok</v>
      </c>
      <c r="E981" s="2">
        <f>IFERROR(__xludf.DUMMYFUNCTION("""COMPUTED_VALUE"""),3521.0)</f>
        <v>3521</v>
      </c>
      <c r="F981" s="3">
        <f>IFERROR(__xludf.DUMMYFUNCTION("""COMPUTED_VALUE"""),60606.0)</f>
        <v>60606</v>
      </c>
      <c r="G981" s="2" t="str">
        <f>IFERROR(__xludf.DUMMYFUNCTION("""COMPUTED_VALUE"""),"Gita Chaudhry,Renuka Pradhan")</f>
        <v>Gita Chaudhry,Renuka Pradhan</v>
      </c>
      <c r="H981" s="2" t="str">
        <f>IFERROR(__xludf.DUMMYFUNCTION("""COMPUTED_VALUE"""),"Taksar ,Bhojpur Tel: 4471589")</f>
        <v>Taksar ,Bhojpur Tel: 4471589</v>
      </c>
      <c r="I981" s="2" t="str">
        <f>IFERROR(__xludf.DUMMYFUNCTION("""COMPUTED_VALUE"""),"26o 51' 15""")</f>
        <v>26o 51' 15"</v>
      </c>
      <c r="J981" s="2" t="str">
        <f>IFERROR(__xludf.DUMMYFUNCTION("""COMPUTED_VALUE"""),"26o 52' 30""")</f>
        <v>26o 52' 30"</v>
      </c>
      <c r="K981" s="2" t="str">
        <f>IFERROR(__xludf.DUMMYFUNCTION("""COMPUTED_VALUE"""),"87o 55' 50""")</f>
        <v>87o 55' 50"</v>
      </c>
      <c r="L981" s="2" t="str">
        <f>IFERROR(__xludf.DUMMYFUNCTION("""COMPUTED_VALUE"""),"87o 57' 00""")</f>
        <v>87o 57' 00"</v>
      </c>
      <c r="M981" s="2" t="str">
        <f>IFERROR(__xludf.DUMMYFUNCTION("""COMPUTED_VALUE"""),"Laxmipura,Goduk (Ilam)")</f>
        <v>Laxmipura,Goduk (Ilam)</v>
      </c>
    </row>
    <row r="982">
      <c r="A982" s="2">
        <f>IFERROR(__xludf.DUMMYFUNCTION("""COMPUTED_VALUE"""),981.0)</f>
        <v>981</v>
      </c>
      <c r="B982" s="2" t="str">
        <f>IFERROR(__xludf.DUMMYFUNCTION("""COMPUTED_VALUE"""),"Rate Khola SHP")</f>
        <v>Rate Khola SHP</v>
      </c>
      <c r="C982" s="2">
        <f>IFERROR(__xludf.DUMMYFUNCTION("""COMPUTED_VALUE"""),0.766)</f>
        <v>0.766</v>
      </c>
      <c r="D982" s="2" t="str">
        <f>IFERROR(__xludf.DUMMYFUNCTION("""COMPUTED_VALUE"""),"Rate Khola")</f>
        <v>Rate Khola</v>
      </c>
      <c r="E982" s="2">
        <f>IFERROR(__xludf.DUMMYFUNCTION("""COMPUTED_VALUE"""),3522.0)</f>
        <v>3522</v>
      </c>
      <c r="F982" s="3">
        <f>IFERROR(__xludf.DUMMYFUNCTION("""COMPUTED_VALUE"""),60606.0)</f>
        <v>60606</v>
      </c>
      <c r="G982" s="2" t="str">
        <f>IFERROR(__xludf.DUMMYFUNCTION("""COMPUTED_VALUE"""),"Lalita Udash,Narendra Mahat")</f>
        <v>Lalita Udash,Narendra Mahat</v>
      </c>
      <c r="H982" s="2" t="str">
        <f>IFERROR(__xludf.DUMMYFUNCTION("""COMPUTED_VALUE"""),"Taksar ,Bhojpur Tel: 4472683")</f>
        <v>Taksar ,Bhojpur Tel: 4472683</v>
      </c>
      <c r="I982" s="2" t="str">
        <f>IFERROR(__xludf.DUMMYFUNCTION("""COMPUTED_VALUE"""),"26o 52' 10""")</f>
        <v>26o 52' 10"</v>
      </c>
      <c r="J982" s="2" t="str">
        <f>IFERROR(__xludf.DUMMYFUNCTION("""COMPUTED_VALUE"""),"26o 53' 20""")</f>
        <v>26o 53' 20"</v>
      </c>
      <c r="K982" s="2" t="str">
        <f>IFERROR(__xludf.DUMMYFUNCTION("""COMPUTED_VALUE"""),"87o 51' 57""")</f>
        <v>87o 51' 57"</v>
      </c>
      <c r="L982" s="2" t="str">
        <f>IFERROR(__xludf.DUMMYFUNCTION("""COMPUTED_VALUE"""),"87o 53' 45""")</f>
        <v>87o 53' 45"</v>
      </c>
      <c r="M982" s="2" t="str">
        <f>IFERROR(__xludf.DUMMYFUNCTION("""COMPUTED_VALUE"""),"Sangrumba,Siddhithumka (Ilam)")</f>
        <v>Sangrumba,Siddhithumka (Ilam)</v>
      </c>
    </row>
    <row r="983">
      <c r="A983" s="2">
        <f>IFERROR(__xludf.DUMMYFUNCTION("""COMPUTED_VALUE"""),982.0)</f>
        <v>982</v>
      </c>
      <c r="B983" s="2" t="str">
        <f>IFERROR(__xludf.DUMMYFUNCTION("""COMPUTED_VALUE"""),"Roshi Khola SHP")</f>
        <v>Roshi Khola SHP</v>
      </c>
      <c r="C983" s="2">
        <f>IFERROR(__xludf.DUMMYFUNCTION("""COMPUTED_VALUE"""),0.9)</f>
        <v>0.9</v>
      </c>
      <c r="D983" s="2" t="str">
        <f>IFERROR(__xludf.DUMMYFUNCTION("""COMPUTED_VALUE"""),"Roshi")</f>
        <v>Roshi</v>
      </c>
      <c r="E983" s="2">
        <f>IFERROR(__xludf.DUMMYFUNCTION("""COMPUTED_VALUE"""),3529.0)</f>
        <v>3529</v>
      </c>
      <c r="F983" s="3">
        <f>IFERROR(__xludf.DUMMYFUNCTION("""COMPUTED_VALUE"""),60607.0)</f>
        <v>60607</v>
      </c>
      <c r="G983" s="2" t="str">
        <f>IFERROR(__xludf.DUMMYFUNCTION("""COMPUTED_VALUE"""),"Dawa Lama")</f>
        <v>Dawa Lama</v>
      </c>
      <c r="H983" s="2" t="str">
        <f>IFERROR(__xludf.DUMMYFUNCTION("""COMPUTED_VALUE"""),"Chapi Kathmandu, Tel: 4375466,9841297605")</f>
        <v>Chapi Kathmandu, Tel: 4375466,9841297605</v>
      </c>
      <c r="I983" s="2" t="str">
        <f>IFERROR(__xludf.DUMMYFUNCTION("""COMPUTED_VALUE"""),"27o 33' 35""")</f>
        <v>27o 33' 35"</v>
      </c>
      <c r="J983" s="2" t="str">
        <f>IFERROR(__xludf.DUMMYFUNCTION("""COMPUTED_VALUE"""),"27o 34' 41""")</f>
        <v>27o 34' 41"</v>
      </c>
      <c r="K983" s="2" t="str">
        <f>IFERROR(__xludf.DUMMYFUNCTION("""COMPUTED_VALUE"""),"85o 27' 30""")</f>
        <v>85o 27' 30"</v>
      </c>
      <c r="L983" s="2" t="str">
        <f>IFERROR(__xludf.DUMMYFUNCTION("""COMPUTED_VALUE"""),"85o 29' 37""")</f>
        <v>85o 29' 37"</v>
      </c>
      <c r="M983" s="2" t="str">
        <f>IFERROR(__xludf.DUMMYFUNCTION("""COMPUTED_VALUE"""),"Kalate Bhumidanda,Kushadevi (Kavrepalanchok)")</f>
        <v>Kalate Bhumidanda,Kushadevi (Kavrepalanchok)</v>
      </c>
    </row>
    <row r="984">
      <c r="A984" s="2">
        <f>IFERROR(__xludf.DUMMYFUNCTION("""COMPUTED_VALUE"""),983.0)</f>
        <v>983</v>
      </c>
      <c r="B984" s="2" t="str">
        <f>IFERROR(__xludf.DUMMYFUNCTION("""COMPUTED_VALUE"""),"Upper Hewa SHP")</f>
        <v>Upper Hewa SHP</v>
      </c>
      <c r="C984" s="2">
        <f>IFERROR(__xludf.DUMMYFUNCTION("""COMPUTED_VALUE"""),0.998)</f>
        <v>0.998</v>
      </c>
      <c r="D984" s="2" t="str">
        <f>IFERROR(__xludf.DUMMYFUNCTION("""COMPUTED_VALUE"""),"Hewa Khola")</f>
        <v>Hewa Khola</v>
      </c>
      <c r="E984" s="2">
        <f>IFERROR(__xludf.DUMMYFUNCTION("""COMPUTED_VALUE"""),3538.0)</f>
        <v>3538</v>
      </c>
      <c r="F984" s="3">
        <f>IFERROR(__xludf.DUMMYFUNCTION("""COMPUTED_VALUE"""),60607.0)</f>
        <v>60607</v>
      </c>
      <c r="G984" s="2" t="str">
        <f>IFERROR(__xludf.DUMMYFUNCTION("""COMPUTED_VALUE"""),"Samip Jung Pandey")</f>
        <v>Samip Jung Pandey</v>
      </c>
      <c r="H984" s="2" t="str">
        <f>IFERROR(__xludf.DUMMYFUNCTION("""COMPUTED_VALUE"""),"GPO box:3892, Kathmandu, Tel: 01-4491321")</f>
        <v>GPO box:3892, Kathmandu, Tel: 01-4491321</v>
      </c>
      <c r="I984" s="2" t="str">
        <f>IFERROR(__xludf.DUMMYFUNCTION("""COMPUTED_VALUE"""),"27o 10' 30""")</f>
        <v>27o 10' 30"</v>
      </c>
      <c r="J984" s="2" t="str">
        <f>IFERROR(__xludf.DUMMYFUNCTION("""COMPUTED_VALUE"""),"27o 12' 00""")</f>
        <v>27o 12' 00"</v>
      </c>
      <c r="K984" s="2" t="str">
        <f>IFERROR(__xludf.DUMMYFUNCTION("""COMPUTED_VALUE"""),"87o 51' 00""")</f>
        <v>87o 51' 00"</v>
      </c>
      <c r="L984" s="2" t="str">
        <f>IFERROR(__xludf.DUMMYFUNCTION("""COMPUTED_VALUE"""),"87o 53' 10""")</f>
        <v>87o 53' 10"</v>
      </c>
      <c r="M984" s="2" t="str">
        <f>IFERROR(__xludf.DUMMYFUNCTION("""COMPUTED_VALUE"""),"Yanganam,Sidin (Panchthar)")</f>
        <v>Yanganam,Sidin (Panchthar)</v>
      </c>
    </row>
    <row r="985">
      <c r="A985" s="2">
        <f>IFERROR(__xludf.DUMMYFUNCTION("""COMPUTED_VALUE"""),984.0)</f>
        <v>984</v>
      </c>
      <c r="B985" s="2" t="str">
        <f>IFERROR(__xludf.DUMMYFUNCTION("""COMPUTED_VALUE"""),"Jiri Khola HPP")</f>
        <v>Jiri Khola HPP</v>
      </c>
      <c r="C985" s="2">
        <f>IFERROR(__xludf.DUMMYFUNCTION("""COMPUTED_VALUE"""),2.2)</f>
        <v>2.2</v>
      </c>
      <c r="D985" s="2" t="str">
        <f>IFERROR(__xludf.DUMMYFUNCTION("""COMPUTED_VALUE"""),"Jiri Khola")</f>
        <v>Jiri Khola</v>
      </c>
      <c r="E985" s="2">
        <f>IFERROR(__xludf.DUMMYFUNCTION("""COMPUTED_VALUE"""),3541.0)</f>
        <v>3541</v>
      </c>
      <c r="F985" s="3">
        <f>IFERROR(__xludf.DUMMYFUNCTION("""COMPUTED_VALUE"""),60607.0)</f>
        <v>60607</v>
      </c>
      <c r="G985" s="2" t="str">
        <f>IFERROR(__xludf.DUMMYFUNCTION("""COMPUTED_VALUE"""),"Bojini Company Pvt Ltd")</f>
        <v>Bojini Company Pvt Ltd</v>
      </c>
      <c r="H985" s="2" t="str">
        <f>IFERROR(__xludf.DUMMYFUNCTION("""COMPUTED_VALUE"""),"GPO box:14165, Kathmandu, Tel: 6219566, Fax: 4373020")</f>
        <v>GPO box:14165, Kathmandu, Tel: 6219566, Fax: 4373020</v>
      </c>
      <c r="I985" s="2" t="str">
        <f>IFERROR(__xludf.DUMMYFUNCTION("""COMPUTED_VALUE"""),"27o 35' 06""")</f>
        <v>27o 35' 06"</v>
      </c>
      <c r="J985" s="2" t="str">
        <f>IFERROR(__xludf.DUMMYFUNCTION("""COMPUTED_VALUE"""),"27o 36' 45""")</f>
        <v>27o 36' 45"</v>
      </c>
      <c r="K985" s="2" t="str">
        <f>IFERROR(__xludf.DUMMYFUNCTION("""COMPUTED_VALUE"""),"86o 13' 24""")</f>
        <v>86o 13' 24"</v>
      </c>
      <c r="L985" s="2" t="str">
        <f>IFERROR(__xludf.DUMMYFUNCTION("""COMPUTED_VALUE"""),"86o 14' 00""")</f>
        <v>86o 14' 00"</v>
      </c>
      <c r="M985" s="2" t="str">
        <f>IFERROR(__xludf.DUMMYFUNCTION("""COMPUTED_VALUE"""),"Jiri (Dolakha)")</f>
        <v>Jiri (Dolakha)</v>
      </c>
    </row>
    <row r="986">
      <c r="A986" s="2">
        <f>IFERROR(__xludf.DUMMYFUNCTION("""COMPUTED_VALUE"""),985.0)</f>
        <v>985</v>
      </c>
      <c r="B986" s="2" t="str">
        <f>IFERROR(__xludf.DUMMYFUNCTION("""COMPUTED_VALUE"""),"Lower Parajuli Khola SHP")</f>
        <v>Lower Parajuli Khola SHP</v>
      </c>
      <c r="C986" s="2">
        <f>IFERROR(__xludf.DUMMYFUNCTION("""COMPUTED_VALUE"""),0.918)</f>
        <v>0.918</v>
      </c>
      <c r="D986" s="2" t="str">
        <f>IFERROR(__xludf.DUMMYFUNCTION("""COMPUTED_VALUE"""),"Parajuli Khola")</f>
        <v>Parajuli Khola</v>
      </c>
      <c r="E986" s="2">
        <f>IFERROR(__xludf.DUMMYFUNCTION("""COMPUTED_VALUE"""),3544.0)</f>
        <v>3544</v>
      </c>
      <c r="F986" s="3">
        <f>IFERROR(__xludf.DUMMYFUNCTION("""COMPUTED_VALUE"""),60608.0)</f>
        <v>60608</v>
      </c>
      <c r="G986" s="2" t="str">
        <f>IFERROR(__xludf.DUMMYFUNCTION("""COMPUTED_VALUE"""),"Jwala Sajhedari Hydropower Company Pvt Ltd")</f>
        <v>Jwala Sajhedari Hydropower Company Pvt Ltd</v>
      </c>
      <c r="H986" s="2" t="str">
        <f>IFERROR(__xludf.DUMMYFUNCTION("""COMPUTED_VALUE"""),"Kathmandu , Tel: 9741005931")</f>
        <v>Kathmandu , Tel: 9741005931</v>
      </c>
      <c r="I986" s="2" t="str">
        <f>IFERROR(__xludf.DUMMYFUNCTION("""COMPUTED_VALUE"""),"28o 44' 40""")</f>
        <v>28o 44' 40"</v>
      </c>
      <c r="J986" s="2" t="str">
        <f>IFERROR(__xludf.DUMMYFUNCTION("""COMPUTED_VALUE"""),"28o 46' 25""")</f>
        <v>28o 46' 25"</v>
      </c>
      <c r="K986" s="2" t="str">
        <f>IFERROR(__xludf.DUMMYFUNCTION("""COMPUTED_VALUE"""),"81o 39' 35""")</f>
        <v>81o 39' 35"</v>
      </c>
      <c r="L986" s="2" t="str">
        <f>IFERROR(__xludf.DUMMYFUNCTION("""COMPUTED_VALUE"""),"81o 40' 30""")</f>
        <v>81o 40' 30"</v>
      </c>
      <c r="M986" s="2" t="str">
        <f>IFERROR(__xludf.DUMMYFUNCTION("""COMPUTED_VALUE"""),"Dada Parajul (Dailekh)")</f>
        <v>Dada Parajul (Dailekh)</v>
      </c>
    </row>
    <row r="987">
      <c r="A987" s="2">
        <f>IFERROR(__xludf.DUMMYFUNCTION("""COMPUTED_VALUE"""),986.0)</f>
        <v>986</v>
      </c>
      <c r="B987" s="2" t="str">
        <f>IFERROR(__xludf.DUMMYFUNCTION("""COMPUTED_VALUE"""),"Singati Khoa HPP")</f>
        <v>Singati Khoa HPP</v>
      </c>
      <c r="C987" s="2">
        <f>IFERROR(__xludf.DUMMYFUNCTION("""COMPUTED_VALUE"""),7.0)</f>
        <v>7</v>
      </c>
      <c r="D987" s="2" t="str">
        <f>IFERROR(__xludf.DUMMYFUNCTION("""COMPUTED_VALUE"""),"Singati")</f>
        <v>Singati</v>
      </c>
      <c r="E987" s="2">
        <f>IFERROR(__xludf.DUMMYFUNCTION("""COMPUTED_VALUE"""),3561.0)</f>
        <v>3561</v>
      </c>
      <c r="F987" s="3">
        <f>IFERROR(__xludf.DUMMYFUNCTION("""COMPUTED_VALUE"""),60610.0)</f>
        <v>60610</v>
      </c>
      <c r="G987" s="2" t="str">
        <f>IFERROR(__xludf.DUMMYFUNCTION("""COMPUTED_VALUE"""),"Link International Energy Pvt Ltd")</f>
        <v>Link International Energy Pvt Ltd</v>
      </c>
      <c r="H987" s="2" t="str">
        <f>IFERROR(__xludf.DUMMYFUNCTION("""COMPUTED_VALUE"""),"Kathmandu, Tel: 9851023618,9851015215")</f>
        <v>Kathmandu, Tel: 9851023618,9851015215</v>
      </c>
      <c r="I987" s="2" t="str">
        <f>IFERROR(__xludf.DUMMYFUNCTION("""COMPUTED_VALUE"""),"27o 44' 00""")</f>
        <v>27o 44' 00"</v>
      </c>
      <c r="J987" s="2" t="str">
        <f>IFERROR(__xludf.DUMMYFUNCTION("""COMPUTED_VALUE"""),"27o 46' 54""")</f>
        <v>27o 46' 54"</v>
      </c>
      <c r="K987" s="2" t="str">
        <f>IFERROR(__xludf.DUMMYFUNCTION("""COMPUTED_VALUE"""),"86o 07' 41""")</f>
        <v>86o 07' 41"</v>
      </c>
      <c r="L987" s="2" t="str">
        <f>IFERROR(__xludf.DUMMYFUNCTION("""COMPUTED_VALUE"""),"86o 09' 55""")</f>
        <v>86o 09' 55"</v>
      </c>
      <c r="M987" s="2" t="str">
        <f>IFERROR(__xludf.DUMMYFUNCTION("""COMPUTED_VALUE"""),"Laduk (Dolakha)")</f>
        <v>Laduk (Dolakha)</v>
      </c>
    </row>
    <row r="988">
      <c r="A988" s="2">
        <f>IFERROR(__xludf.DUMMYFUNCTION("""COMPUTED_VALUE"""),987.0)</f>
        <v>987</v>
      </c>
      <c r="B988" s="2" t="str">
        <f>IFERROR(__xludf.DUMMYFUNCTION("""COMPUTED_VALUE"""),"Rupgad SHP")</f>
        <v>Rupgad SHP</v>
      </c>
      <c r="C988" s="2">
        <f>IFERROR(__xludf.DUMMYFUNCTION("""COMPUTED_VALUE"""),0.995)</f>
        <v>0.995</v>
      </c>
      <c r="D988" s="2" t="str">
        <f>IFERROR(__xludf.DUMMYFUNCTION("""COMPUTED_VALUE"""),"Rup Gad")</f>
        <v>Rup Gad</v>
      </c>
      <c r="E988" s="2">
        <f>IFERROR(__xludf.DUMMYFUNCTION("""COMPUTED_VALUE"""),3565.0)</f>
        <v>3565</v>
      </c>
      <c r="F988" s="3">
        <f>IFERROR(__xludf.DUMMYFUNCTION("""COMPUTED_VALUE"""),60610.0)</f>
        <v>60610</v>
      </c>
      <c r="G988" s="2" t="str">
        <f>IFERROR(__xludf.DUMMYFUNCTION("""COMPUTED_VALUE"""),"Gokarna B.G. Magar")</f>
        <v>Gokarna B.G. Magar</v>
      </c>
      <c r="H988" s="2" t="str">
        <f>IFERROR(__xludf.DUMMYFUNCTION("""COMPUTED_VALUE"""),"House No. 1277/23, Kathmandu Tel: 01-4484441,9847852573,9803279921")</f>
        <v>House No. 1277/23, Kathmandu Tel: 01-4484441,9847852573,9803279921</v>
      </c>
      <c r="I988" s="2" t="str">
        <f>IFERROR(__xludf.DUMMYFUNCTION("""COMPUTED_VALUE"""),"28o 55' 24""")</f>
        <v>28o 55' 24"</v>
      </c>
      <c r="J988" s="2" t="str">
        <f>IFERROR(__xludf.DUMMYFUNCTION("""COMPUTED_VALUE"""),"28o 58' 22""")</f>
        <v>28o 58' 22"</v>
      </c>
      <c r="K988" s="2" t="str">
        <f>IFERROR(__xludf.DUMMYFUNCTION("""COMPUTED_VALUE"""),"82o 48' 38""")</f>
        <v>82o 48' 38"</v>
      </c>
      <c r="L988" s="2" t="str">
        <f>IFERROR(__xludf.DUMMYFUNCTION("""COMPUTED_VALUE"""),"82o 51' 04""")</f>
        <v>82o 51' 04"</v>
      </c>
      <c r="M988" s="2" t="str">
        <f>IFERROR(__xludf.DUMMYFUNCTION("""COMPUTED_VALUE"""),"Majhfal (Dolpa)")</f>
        <v>Majhfal (Dolpa)</v>
      </c>
    </row>
    <row r="989">
      <c r="A989" s="2">
        <f>IFERROR(__xludf.DUMMYFUNCTION("""COMPUTED_VALUE"""),988.0)</f>
        <v>988</v>
      </c>
      <c r="B989" s="2" t="str">
        <f>IFERROR(__xludf.DUMMYFUNCTION("""COMPUTED_VALUE"""),"Allo Khla SHP")</f>
        <v>Allo Khla SHP</v>
      </c>
      <c r="C989" s="2">
        <f>IFERROR(__xludf.DUMMYFUNCTION("""COMPUTED_VALUE"""),0.995)</f>
        <v>0.995</v>
      </c>
      <c r="D989" s="2" t="str">
        <f>IFERROR(__xludf.DUMMYFUNCTION("""COMPUTED_VALUE"""),"Allo Khola")</f>
        <v>Allo Khola</v>
      </c>
      <c r="E989" s="2">
        <f>IFERROR(__xludf.DUMMYFUNCTION("""COMPUTED_VALUE"""),3566.0)</f>
        <v>3566</v>
      </c>
      <c r="F989" s="3">
        <f>IFERROR(__xludf.DUMMYFUNCTION("""COMPUTED_VALUE"""),60610.0)</f>
        <v>60610</v>
      </c>
      <c r="G989" s="2" t="str">
        <f>IFERROR(__xludf.DUMMYFUNCTION("""COMPUTED_VALUE"""),"Gokarna B.G. Magar")</f>
        <v>Gokarna B.G. Magar</v>
      </c>
      <c r="H989" s="2" t="str">
        <f>IFERROR(__xludf.DUMMYFUNCTION("""COMPUTED_VALUE"""),"House No. 1277/23, Kathmandu Tel: 01-4484441,9847852573,9803279921")</f>
        <v>House No. 1277/23, Kathmandu Tel: 01-4484441,9847852573,9803279921</v>
      </c>
      <c r="I989" s="2" t="str">
        <f>IFERROR(__xludf.DUMMYFUNCTION("""COMPUTED_VALUE"""),"28o 56' 12""")</f>
        <v>28o 56' 12"</v>
      </c>
      <c r="J989" s="2" t="str">
        <f>IFERROR(__xludf.DUMMYFUNCTION("""COMPUTED_VALUE"""),"28o 58' 38""")</f>
        <v>28o 58' 38"</v>
      </c>
      <c r="K989" s="2" t="str">
        <f>IFERROR(__xludf.DUMMYFUNCTION("""COMPUTED_VALUE"""),"82o 37' 25""")</f>
        <v>82o 37' 25"</v>
      </c>
      <c r="L989" s="2" t="str">
        <f>IFERROR(__xludf.DUMMYFUNCTION("""COMPUTED_VALUE"""),"82o 39' 14""")</f>
        <v>82o 39' 14"</v>
      </c>
      <c r="M989" s="2" t="str">
        <f>IFERROR(__xludf.DUMMYFUNCTION("""COMPUTED_VALUE"""),"Gautamkot (Rukum)")</f>
        <v>Gautamkot (Rukum)</v>
      </c>
    </row>
    <row r="990">
      <c r="A990" s="2">
        <f>IFERROR(__xludf.DUMMYFUNCTION("""COMPUTED_VALUE"""),989.0)</f>
        <v>989</v>
      </c>
      <c r="B990" s="2" t="str">
        <f>IFERROR(__xludf.DUMMYFUNCTION("""COMPUTED_VALUE"""),"Byas gad SHP")</f>
        <v>Byas gad SHP</v>
      </c>
      <c r="C990" s="2">
        <f>IFERROR(__xludf.DUMMYFUNCTION("""COMPUTED_VALUE"""),0.995)</f>
        <v>0.995</v>
      </c>
      <c r="D990" s="2" t="str">
        <f>IFERROR(__xludf.DUMMYFUNCTION("""COMPUTED_VALUE"""),"Byas Gad")</f>
        <v>Byas Gad</v>
      </c>
      <c r="E990" s="2">
        <f>IFERROR(__xludf.DUMMYFUNCTION("""COMPUTED_VALUE"""),3567.0)</f>
        <v>3567</v>
      </c>
      <c r="F990" s="3">
        <f>IFERROR(__xludf.DUMMYFUNCTION("""COMPUTED_VALUE"""),60610.0)</f>
        <v>60610</v>
      </c>
      <c r="G990" s="2" t="str">
        <f>IFERROR(__xludf.DUMMYFUNCTION("""COMPUTED_VALUE"""),"Gokarna B.G. Magar")</f>
        <v>Gokarna B.G. Magar</v>
      </c>
      <c r="H990" s="2" t="str">
        <f>IFERROR(__xludf.DUMMYFUNCTION("""COMPUTED_VALUE"""),"House No. 1277/23, Kathmandu Tel: 01-4484441,9847852573,9803279921")</f>
        <v>House No. 1277/23, Kathmandu Tel: 01-4484441,9847852573,9803279921</v>
      </c>
      <c r="I990" s="2" t="str">
        <f>IFERROR(__xludf.DUMMYFUNCTION("""COMPUTED_VALUE"""),"28o 56' 08""")</f>
        <v>28o 56' 08"</v>
      </c>
      <c r="J990" s="2" t="str">
        <f>IFERROR(__xludf.DUMMYFUNCTION("""COMPUTED_VALUE"""),"28o 57' 12""")</f>
        <v>28o 57' 12"</v>
      </c>
      <c r="K990" s="2" t="str">
        <f>IFERROR(__xludf.DUMMYFUNCTION("""COMPUTED_VALUE"""),"82o 57' 10""")</f>
        <v>82o 57' 10"</v>
      </c>
      <c r="L990" s="2" t="str">
        <f>IFERROR(__xludf.DUMMYFUNCTION("""COMPUTED_VALUE"""),"82o 58' 23""")</f>
        <v>82o 58' 23"</v>
      </c>
      <c r="M990" s="2" t="str">
        <f>IFERROR(__xludf.DUMMYFUNCTION("""COMPUTED_VALUE"""),"Lawan (Dolpa)")</f>
        <v>Lawan (Dolpa)</v>
      </c>
    </row>
    <row r="991">
      <c r="A991" s="2">
        <f>IFERROR(__xludf.DUMMYFUNCTION("""COMPUTED_VALUE"""),990.0)</f>
        <v>990</v>
      </c>
      <c r="B991" s="2" t="str">
        <f>IFERROR(__xludf.DUMMYFUNCTION("""COMPUTED_VALUE"""),"Chu Gad SHP")</f>
        <v>Chu Gad SHP</v>
      </c>
      <c r="C991" s="2">
        <f>IFERROR(__xludf.DUMMYFUNCTION("""COMPUTED_VALUE"""),0.995)</f>
        <v>0.995</v>
      </c>
      <c r="D991" s="2" t="str">
        <f>IFERROR(__xludf.DUMMYFUNCTION("""COMPUTED_VALUE"""),"Chu Gad")</f>
        <v>Chu Gad</v>
      </c>
      <c r="E991" s="2">
        <f>IFERROR(__xludf.DUMMYFUNCTION("""COMPUTED_VALUE"""),3568.0)</f>
        <v>3568</v>
      </c>
      <c r="F991" s="3">
        <f>IFERROR(__xludf.DUMMYFUNCTION("""COMPUTED_VALUE"""),60610.0)</f>
        <v>60610</v>
      </c>
      <c r="G991" s="2" t="str">
        <f>IFERROR(__xludf.DUMMYFUNCTION("""COMPUTED_VALUE"""),"Gokarna B.G. Magar")</f>
        <v>Gokarna B.G. Magar</v>
      </c>
      <c r="H991" s="2" t="str">
        <f>IFERROR(__xludf.DUMMYFUNCTION("""COMPUTED_VALUE"""),"House No. 1277/23, Kathmandu Tel: 01-4484441,9847852573,9803279921")</f>
        <v>House No. 1277/23, Kathmandu Tel: 01-4484441,9847852573,9803279921</v>
      </c>
      <c r="I991" s="2" t="str">
        <f>IFERROR(__xludf.DUMMYFUNCTION("""COMPUTED_VALUE"""),"29o 00' 56""")</f>
        <v>29o 00' 56"</v>
      </c>
      <c r="J991" s="2" t="str">
        <f>IFERROR(__xludf.DUMMYFUNCTION("""COMPUTED_VALUE"""),"29o 03' 14""")</f>
        <v>29o 03' 14"</v>
      </c>
      <c r="K991" s="2" t="str">
        <f>IFERROR(__xludf.DUMMYFUNCTION("""COMPUTED_VALUE"""),"82o 44' 06""")</f>
        <v>82o 44' 06"</v>
      </c>
      <c r="L991" s="2" t="str">
        <f>IFERROR(__xludf.DUMMYFUNCTION("""COMPUTED_VALUE"""),"82o 46' 04""")</f>
        <v>82o 46' 04"</v>
      </c>
      <c r="M991" s="2" t="str">
        <f>IFERROR(__xludf.DUMMYFUNCTION("""COMPUTED_VALUE"""),"Likhu (Dolpa)")</f>
        <v>Likhu (Dolpa)</v>
      </c>
    </row>
    <row r="992">
      <c r="A992" s="2">
        <f>IFERROR(__xludf.DUMMYFUNCTION("""COMPUTED_VALUE"""),991.0)</f>
        <v>991</v>
      </c>
      <c r="B992" s="2" t="str">
        <f>IFERROR(__xludf.DUMMYFUNCTION("""COMPUTED_VALUE"""),"Rai Gad SHP")</f>
        <v>Rai Gad SHP</v>
      </c>
      <c r="C992" s="2">
        <f>IFERROR(__xludf.DUMMYFUNCTION("""COMPUTED_VALUE"""),0.995)</f>
        <v>0.995</v>
      </c>
      <c r="D992" s="2" t="str">
        <f>IFERROR(__xludf.DUMMYFUNCTION("""COMPUTED_VALUE"""),"Raigad")</f>
        <v>Raigad</v>
      </c>
      <c r="E992" s="2">
        <f>IFERROR(__xludf.DUMMYFUNCTION("""COMPUTED_VALUE"""),3569.0)</f>
        <v>3569</v>
      </c>
      <c r="F992" s="3">
        <f>IFERROR(__xludf.DUMMYFUNCTION("""COMPUTED_VALUE"""),60610.0)</f>
        <v>60610</v>
      </c>
      <c r="G992" s="2" t="str">
        <f>IFERROR(__xludf.DUMMYFUNCTION("""COMPUTED_VALUE"""),"Gokarna B.G. Magar")</f>
        <v>Gokarna B.G. Magar</v>
      </c>
      <c r="H992" s="2" t="str">
        <f>IFERROR(__xludf.DUMMYFUNCTION("""COMPUTED_VALUE"""),"House No. 1277/23, Kathmandu Tel: 01-4484441,9847852573,9803279921")</f>
        <v>House No. 1277/23, Kathmandu Tel: 01-4484441,9847852573,9803279921</v>
      </c>
      <c r="I992" s="2" t="str">
        <f>IFERROR(__xludf.DUMMYFUNCTION("""COMPUTED_VALUE"""),"29o 02' 42""")</f>
        <v>29o 02' 42"</v>
      </c>
      <c r="J992" s="2" t="str">
        <f>IFERROR(__xludf.DUMMYFUNCTION("""COMPUTED_VALUE"""),"29o 03' 47""")</f>
        <v>29o 03' 47"</v>
      </c>
      <c r="K992" s="2" t="str">
        <f>IFERROR(__xludf.DUMMYFUNCTION("""COMPUTED_VALUE"""),"82o 29' 06""")</f>
        <v>82o 29' 06"</v>
      </c>
      <c r="L992" s="2" t="str">
        <f>IFERROR(__xludf.DUMMYFUNCTION("""COMPUTED_VALUE"""),"82o 31' 12""")</f>
        <v>82o 31' 12"</v>
      </c>
      <c r="M992" s="2" t="str">
        <f>IFERROR(__xludf.DUMMYFUNCTION("""COMPUTED_VALUE"""),"Narku (Dolpa)")</f>
        <v>Narku (Dolpa)</v>
      </c>
    </row>
    <row r="993">
      <c r="A993" s="2">
        <f>IFERROR(__xludf.DUMMYFUNCTION("""COMPUTED_VALUE"""),992.0)</f>
        <v>992</v>
      </c>
      <c r="B993" s="2" t="str">
        <f>IFERROR(__xludf.DUMMYFUNCTION("""COMPUTED_VALUE"""),"Sisne Khoa SHP")</f>
        <v>Sisne Khoa SHP</v>
      </c>
      <c r="C993" s="2">
        <f>IFERROR(__xludf.DUMMYFUNCTION("""COMPUTED_VALUE"""),0.995)</f>
        <v>0.995</v>
      </c>
      <c r="D993" s="2" t="str">
        <f>IFERROR(__xludf.DUMMYFUNCTION("""COMPUTED_VALUE"""),"Sisne Khola")</f>
        <v>Sisne Khola</v>
      </c>
      <c r="E993" s="2">
        <f>IFERROR(__xludf.DUMMYFUNCTION("""COMPUTED_VALUE"""),3570.0)</f>
        <v>3570</v>
      </c>
      <c r="F993" s="3">
        <f>IFERROR(__xludf.DUMMYFUNCTION("""COMPUTED_VALUE"""),60610.0)</f>
        <v>60610</v>
      </c>
      <c r="G993" s="2" t="str">
        <f>IFERROR(__xludf.DUMMYFUNCTION("""COMPUTED_VALUE"""),"Gokarna B.G. Magar, Gopal P. Niure, Dhan B.G. magar")</f>
        <v>Gokarna B.G. Magar, Gopal P. Niure, Dhan B.G. magar</v>
      </c>
      <c r="H993" s="2" t="str">
        <f>IFERROR(__xludf.DUMMYFUNCTION("""COMPUTED_VALUE"""),"House No. 1277/23, Kathmandu Tel: 9847852573,9803279921")</f>
        <v>House No. 1277/23, Kathmandu Tel: 9847852573,9803279921</v>
      </c>
      <c r="I993" s="2" t="str">
        <f>IFERROR(__xludf.DUMMYFUNCTION("""COMPUTED_VALUE"""),"28o 40' 40""")</f>
        <v>28o 40' 40"</v>
      </c>
      <c r="J993" s="2" t="str">
        <f>IFERROR(__xludf.DUMMYFUNCTION("""COMPUTED_VALUE"""),"28o 43' 02""")</f>
        <v>28o 43' 02"</v>
      </c>
      <c r="K993" s="2" t="str">
        <f>IFERROR(__xludf.DUMMYFUNCTION("""COMPUTED_VALUE"""),"82o 41' 15""")</f>
        <v>82o 41' 15"</v>
      </c>
      <c r="L993" s="2" t="str">
        <f>IFERROR(__xludf.DUMMYFUNCTION("""COMPUTED_VALUE"""),"82o 42' 16""")</f>
        <v>82o 42' 16"</v>
      </c>
      <c r="M993" s="2" t="str">
        <f>IFERROR(__xludf.DUMMYFUNCTION("""COMPUTED_VALUE"""),"Pwang,Sisne (Rukum)")</f>
        <v>Pwang,Sisne (Rukum)</v>
      </c>
    </row>
    <row r="994">
      <c r="A994" s="2">
        <f>IFERROR(__xludf.DUMMYFUNCTION("""COMPUTED_VALUE"""),993.0)</f>
        <v>993</v>
      </c>
      <c r="B994" s="2" t="str">
        <f>IFERROR(__xludf.DUMMYFUNCTION("""COMPUTED_VALUE"""),"Bangadobhan SHP")</f>
        <v>Bangadobhan SHP</v>
      </c>
      <c r="C994" s="2">
        <f>IFERROR(__xludf.DUMMYFUNCTION("""COMPUTED_VALUE"""),0.995)</f>
        <v>0.995</v>
      </c>
      <c r="D994" s="2" t="str">
        <f>IFERROR(__xludf.DUMMYFUNCTION("""COMPUTED_VALUE"""),"Bangadobhan")</f>
        <v>Bangadobhan</v>
      </c>
      <c r="E994" s="2">
        <f>IFERROR(__xludf.DUMMYFUNCTION("""COMPUTED_VALUE"""),3571.0)</f>
        <v>3571</v>
      </c>
      <c r="F994" s="3">
        <f>IFERROR(__xludf.DUMMYFUNCTION("""COMPUTED_VALUE"""),60610.0)</f>
        <v>60610</v>
      </c>
      <c r="G994" s="2" t="str">
        <f>IFERROR(__xludf.DUMMYFUNCTION("""COMPUTED_VALUE"""),"Gokarna B.G. Magar, Gopal P. Niure, Dhan B.G. magar")</f>
        <v>Gokarna B.G. Magar, Gopal P. Niure, Dhan B.G. magar</v>
      </c>
      <c r="H994" s="2" t="str">
        <f>IFERROR(__xludf.DUMMYFUNCTION("""COMPUTED_VALUE"""),"Pokhra-8, Rukum, Tel: 9847852573")</f>
        <v>Pokhra-8, Rukum, Tel: 9847852573</v>
      </c>
      <c r="I994" s="2" t="str">
        <f>IFERROR(__xludf.DUMMYFUNCTION("""COMPUTED_VALUE"""),"28o 21' 49""")</f>
        <v>28o 21' 49"</v>
      </c>
      <c r="J994" s="2" t="str">
        <f>IFERROR(__xludf.DUMMYFUNCTION("""COMPUTED_VALUE"""),"28o 23' 55""")</f>
        <v>28o 23' 55"</v>
      </c>
      <c r="K994" s="2" t="str">
        <f>IFERROR(__xludf.DUMMYFUNCTION("""COMPUTED_VALUE"""),"83o 10' 59""")</f>
        <v>83o 10' 59"</v>
      </c>
      <c r="L994" s="2" t="str">
        <f>IFERROR(__xludf.DUMMYFUNCTION("""COMPUTED_VALUE"""),"83o 12' 14""")</f>
        <v>83o 12' 14"</v>
      </c>
      <c r="M994" s="2" t="str">
        <f>IFERROR(__xludf.DUMMYFUNCTION("""COMPUTED_VALUE"""),"Bungadovan (Baglung)")</f>
        <v>Bungadovan (Baglung)</v>
      </c>
    </row>
    <row r="995">
      <c r="A995" s="2">
        <f>IFERROR(__xludf.DUMMYFUNCTION("""COMPUTED_VALUE"""),994.0)</f>
        <v>994</v>
      </c>
      <c r="B995" s="2" t="str">
        <f>IFERROR(__xludf.DUMMYFUNCTION("""COMPUTED_VALUE"""),"Borang Khola SHP")</f>
        <v>Borang Khola SHP</v>
      </c>
      <c r="C995" s="2">
        <f>IFERROR(__xludf.DUMMYFUNCTION("""COMPUTED_VALUE"""),0.995)</f>
        <v>0.995</v>
      </c>
      <c r="D995" s="2" t="str">
        <f>IFERROR(__xludf.DUMMYFUNCTION("""COMPUTED_VALUE"""),"Borang")</f>
        <v>Borang</v>
      </c>
      <c r="E995" s="2">
        <f>IFERROR(__xludf.DUMMYFUNCTION("""COMPUTED_VALUE"""),3573.0)</f>
        <v>3573</v>
      </c>
      <c r="F995" s="3">
        <f>IFERROR(__xludf.DUMMYFUNCTION("""COMPUTED_VALUE"""),60610.0)</f>
        <v>60610</v>
      </c>
      <c r="G995" s="2" t="str">
        <f>IFERROR(__xludf.DUMMYFUNCTION("""COMPUTED_VALUE"""),"Borang Hydropower Company Pvt Ltd")</f>
        <v>Borang Hydropower Company Pvt Ltd</v>
      </c>
      <c r="H995" s="2" t="str">
        <f>IFERROR(__xludf.DUMMYFUNCTION("""COMPUTED_VALUE"""),"Babarmahal , Kathmandu, Tel: 01-6217005,9841842966")</f>
        <v>Babarmahal , Kathmandu, Tel: 01-6217005,9841842966</v>
      </c>
      <c r="I995" s="2" t="str">
        <f>IFERROR(__xludf.DUMMYFUNCTION("""COMPUTED_VALUE"""),"28o 08' 49""")</f>
        <v>28o 08' 49"</v>
      </c>
      <c r="J995" s="2" t="str">
        <f>IFERROR(__xludf.DUMMYFUNCTION("""COMPUTED_VALUE"""),"28o 09' 23""")</f>
        <v>28o 09' 23"</v>
      </c>
      <c r="K995" s="2" t="str">
        <f>IFERROR(__xludf.DUMMYFUNCTION("""COMPUTED_VALUE"""),"85o 02' 38""")</f>
        <v>85o 02' 38"</v>
      </c>
      <c r="L995" s="2" t="str">
        <f>IFERROR(__xludf.DUMMYFUNCTION("""COMPUTED_VALUE"""),"85o 03' 49""")</f>
        <v>85o 03' 49"</v>
      </c>
      <c r="M995" s="2" t="str">
        <f>IFERROR(__xludf.DUMMYFUNCTION("""COMPUTED_VALUE"""),"Sirtung,Tipling (Dhading)")</f>
        <v>Sirtung,Tipling (Dhading)</v>
      </c>
    </row>
    <row r="996">
      <c r="A996" s="2">
        <f>IFERROR(__xludf.DUMMYFUNCTION("""COMPUTED_VALUE"""),995.0)</f>
        <v>995</v>
      </c>
      <c r="B996" s="2" t="str">
        <f>IFERROR(__xludf.DUMMYFUNCTION("""COMPUTED_VALUE"""),"Bhartola Gad SHP")</f>
        <v>Bhartola Gad SHP</v>
      </c>
      <c r="C996" s="2">
        <f>IFERROR(__xludf.DUMMYFUNCTION("""COMPUTED_VALUE"""),0.61)</f>
        <v>0.61</v>
      </c>
      <c r="D996" s="2" t="str">
        <f>IFERROR(__xludf.DUMMYFUNCTION("""COMPUTED_VALUE"""),"Bhartola")</f>
        <v>Bhartola</v>
      </c>
      <c r="E996" s="2">
        <f>IFERROR(__xludf.DUMMYFUNCTION("""COMPUTED_VALUE"""),3604.0)</f>
        <v>3604</v>
      </c>
      <c r="F996" s="3">
        <f>IFERROR(__xludf.DUMMYFUNCTION("""COMPUTED_VALUE"""),60611.0)</f>
        <v>60611</v>
      </c>
      <c r="G996" s="2" t="str">
        <f>IFERROR(__xludf.DUMMYFUNCTION("""COMPUTED_VALUE"""),"Tikaram K.C. &amp; Kishan Sing Dhami")</f>
        <v>Tikaram K.C. &amp; Kishan Sing Dhami</v>
      </c>
      <c r="H996" s="2" t="str">
        <f>IFERROR(__xludf.DUMMYFUNCTION("""COMPUTED_VALUE"""),"Itahara-8, Morang / Bhagawati-3, Darchula")</f>
        <v>Itahara-8, Morang / Bhagawati-3, Darchula</v>
      </c>
      <c r="I996" s="2" t="str">
        <f>IFERROR(__xludf.DUMMYFUNCTION("""COMPUTED_VALUE"""),"29o 44' 20""")</f>
        <v>29o 44' 20"</v>
      </c>
      <c r="J996" s="2" t="str">
        <f>IFERROR(__xludf.DUMMYFUNCTION("""COMPUTED_VALUE"""),"29o 45' 00""")</f>
        <v>29o 45' 00"</v>
      </c>
      <c r="K996" s="2" t="str">
        <f>IFERROR(__xludf.DUMMYFUNCTION("""COMPUTED_VALUE"""),"80o 26' 30""")</f>
        <v>80o 26' 30"</v>
      </c>
      <c r="L996" s="2" t="str">
        <f>IFERROR(__xludf.DUMMYFUNCTION("""COMPUTED_VALUE"""),"80o 27' 44""")</f>
        <v>80o 27' 44"</v>
      </c>
      <c r="M996" s="2" t="str">
        <f>IFERROR(__xludf.DUMMYFUNCTION("""COMPUTED_VALUE"""),"Bhagabati (Darchula)")</f>
        <v>Bhagabati (Darchula)</v>
      </c>
    </row>
    <row r="997">
      <c r="A997" s="2">
        <f>IFERROR(__xludf.DUMMYFUNCTION("""COMPUTED_VALUE"""),996.0)</f>
        <v>996</v>
      </c>
      <c r="B997" s="2" t="str">
        <f>IFERROR(__xludf.DUMMYFUNCTION("""COMPUTED_VALUE"""),"Dordi SHP")</f>
        <v>Dordi SHP</v>
      </c>
      <c r="C997" s="2">
        <f>IFERROR(__xludf.DUMMYFUNCTION("""COMPUTED_VALUE"""),0.8)</f>
        <v>0.8</v>
      </c>
      <c r="D997" s="2" t="str">
        <f>IFERROR(__xludf.DUMMYFUNCTION("""COMPUTED_VALUE"""),"Dordi")</f>
        <v>Dordi</v>
      </c>
      <c r="E997" s="2">
        <f>IFERROR(__xludf.DUMMYFUNCTION("""COMPUTED_VALUE"""),3605.0)</f>
        <v>3605</v>
      </c>
      <c r="F997" s="3">
        <f>IFERROR(__xludf.DUMMYFUNCTION("""COMPUTED_VALUE"""),60611.0)</f>
        <v>60611</v>
      </c>
      <c r="G997" s="2" t="str">
        <f>IFERROR(__xludf.DUMMYFUNCTION("""COMPUTED_VALUE"""),"Ranjan Raj Mainali")</f>
        <v>Ranjan Raj Mainali</v>
      </c>
      <c r="H997" s="2" t="str">
        <f>IFERROR(__xludf.DUMMYFUNCTION("""COMPUTED_VALUE"""),"KMC-9, Kathmandu, Ph: 9841158681")</f>
        <v>KMC-9, Kathmandu, Ph: 9841158681</v>
      </c>
      <c r="I997" s="2" t="str">
        <f>IFERROR(__xludf.DUMMYFUNCTION("""COMPUTED_VALUE"""),"28o 16' 11""")</f>
        <v>28o 16' 11"</v>
      </c>
      <c r="J997" s="2" t="str">
        <f>IFERROR(__xludf.DUMMYFUNCTION("""COMPUTED_VALUE"""),"28o 16' 45""")</f>
        <v>28o 16' 45"</v>
      </c>
      <c r="K997" s="2" t="str">
        <f>IFERROR(__xludf.DUMMYFUNCTION("""COMPUTED_VALUE"""),"84o 31' 50""")</f>
        <v>84o 31' 50"</v>
      </c>
      <c r="L997" s="2" t="str">
        <f>IFERROR(__xludf.DUMMYFUNCTION("""COMPUTED_VALUE"""),"84o 32' 26""")</f>
        <v>84o 32' 26"</v>
      </c>
      <c r="M997" s="2" t="str">
        <f>IFERROR(__xludf.DUMMYFUNCTION("""COMPUTED_VALUE"""),"Dhodeni (Lamjung)")</f>
        <v>Dhodeni (Lamjung)</v>
      </c>
    </row>
    <row r="998">
      <c r="A998" s="2">
        <f>IFERROR(__xludf.DUMMYFUNCTION("""COMPUTED_VALUE"""),997.0)</f>
        <v>997</v>
      </c>
      <c r="B998" s="2" t="str">
        <f>IFERROR(__xludf.DUMMYFUNCTION("""COMPUTED_VALUE"""),"Upper Tamakoshi -A HPP")</f>
        <v>Upper Tamakoshi -A HPP</v>
      </c>
      <c r="C998" s="2">
        <f>IFERROR(__xludf.DUMMYFUNCTION("""COMPUTED_VALUE"""),45.0)</f>
        <v>45</v>
      </c>
      <c r="D998" s="2" t="str">
        <f>IFERROR(__xludf.DUMMYFUNCTION("""COMPUTED_VALUE"""),"Tama koshi")</f>
        <v>Tama koshi</v>
      </c>
      <c r="E998" s="2">
        <f>IFERROR(__xludf.DUMMYFUNCTION("""COMPUTED_VALUE"""),3612.0)</f>
        <v>3612</v>
      </c>
      <c r="F998" s="3">
        <f>IFERROR(__xludf.DUMMYFUNCTION("""COMPUTED_VALUE"""),60611.0)</f>
        <v>60611</v>
      </c>
      <c r="G998" s="2" t="str">
        <f>IFERROR(__xludf.DUMMYFUNCTION("""COMPUTED_VALUE"""),"Upper Tamakoshi Hydropower Limited")</f>
        <v>Upper Tamakoshi Hydropower Limited</v>
      </c>
      <c r="H998" s="2" t="str">
        <f>IFERROR(__xludf.DUMMYFUNCTION("""COMPUTED_VALUE"""),"GPO box:26070, Kathmandu, Tel: 4421988, Fax: 4412569")</f>
        <v>GPO box:26070, Kathmandu, Tel: 4421988, Fax: 4412569</v>
      </c>
      <c r="I998" s="2" t="str">
        <f>IFERROR(__xludf.DUMMYFUNCTION("""COMPUTED_VALUE"""),"27o 56' 27""")</f>
        <v>27o 56' 27"</v>
      </c>
      <c r="J998" s="2" t="str">
        <f>IFERROR(__xludf.DUMMYFUNCTION("""COMPUTED_VALUE"""),"28o 05' 00""")</f>
        <v>28o 05' 00"</v>
      </c>
      <c r="K998" s="2" t="str">
        <f>IFERROR(__xludf.DUMMYFUNCTION("""COMPUTED_VALUE"""),"86o 08' 40""")</f>
        <v>86o 08' 40"</v>
      </c>
      <c r="L998" s="2" t="str">
        <f>IFERROR(__xludf.DUMMYFUNCTION("""COMPUTED_VALUE"""),"86o 15' 00""")</f>
        <v>86o 15' 00"</v>
      </c>
      <c r="M998" s="2" t="str">
        <f>IFERROR(__xludf.DUMMYFUNCTION("""COMPUTED_VALUE"""),"Lamabagar (Dolakha)")</f>
        <v>Lamabagar (Dolakha)</v>
      </c>
    </row>
    <row r="999">
      <c r="A999" s="2">
        <f>IFERROR(__xludf.DUMMYFUNCTION("""COMPUTED_VALUE"""),998.0)</f>
        <v>998</v>
      </c>
      <c r="B999" s="2" t="str">
        <f>IFERROR(__xludf.DUMMYFUNCTION("""COMPUTED_VALUE"""),"KaliGandaki-2 HPP")</f>
        <v>KaliGandaki-2 HPP</v>
      </c>
      <c r="C999" s="2">
        <f>IFERROR(__xludf.DUMMYFUNCTION("""COMPUTED_VALUE"""),660.0)</f>
        <v>660</v>
      </c>
      <c r="D999" s="2" t="str">
        <f>IFERROR(__xludf.DUMMYFUNCTION("""COMPUTED_VALUE"""),"Kali Gandaki")</f>
        <v>Kali Gandaki</v>
      </c>
      <c r="E999" s="2">
        <f>IFERROR(__xludf.DUMMYFUNCTION("""COMPUTED_VALUE"""),3639.0)</f>
        <v>3639</v>
      </c>
      <c r="F999" s="3">
        <f>IFERROR(__xludf.DUMMYFUNCTION("""COMPUTED_VALUE"""),60613.0)</f>
        <v>60613</v>
      </c>
      <c r="G999" s="2" t="str">
        <f>IFERROR(__xludf.DUMMYFUNCTION("""COMPUTED_VALUE"""),"Muktishree Pvt Ltd")</f>
        <v>Muktishree Pvt Ltd</v>
      </c>
      <c r="H999" s="2" t="str">
        <f>IFERROR(__xludf.DUMMYFUNCTION("""COMPUTED_VALUE"""),"GPO box:12557, Kathmandu, Tel: 4268572, Fax: 4268571")</f>
        <v>GPO box:12557, Kathmandu, Tel: 4268572, Fax: 4268571</v>
      </c>
      <c r="I999" s="2" t="str">
        <f>IFERROR(__xludf.DUMMYFUNCTION("""COMPUTED_VALUE"""),"27o 45' 00""")</f>
        <v>27o 45' 00"</v>
      </c>
      <c r="J999" s="2" t="str">
        <f>IFERROR(__xludf.DUMMYFUNCTION("""COMPUTED_VALUE"""),"27o 56' 30""")</f>
        <v>27o 56' 30"</v>
      </c>
      <c r="K999" s="2" t="str">
        <f>IFERROR(__xludf.DUMMYFUNCTION("""COMPUTED_VALUE"""),"83o 40' 00""")</f>
        <v>83o 40' 00"</v>
      </c>
      <c r="L999" s="2" t="str">
        <f>IFERROR(__xludf.DUMMYFUNCTION("""COMPUTED_VALUE"""),"84o 20' 00""")</f>
        <v>84o 20' 00"</v>
      </c>
      <c r="M999" s="2" t="str">
        <f>IFERROR(__xludf.DUMMYFUNCTION("""COMPUTED_VALUE"""),"Baidi,Devghat,Bhirkot,Kota,Ramjakot,Samung Bhagawati,Sundhara (Tanahu)")</f>
        <v>Baidi,Devghat,Bhirkot,Kota,Ramjakot,Samung Bhagawati,Sundhara (Tanahu)</v>
      </c>
    </row>
    <row r="1000">
      <c r="A1000" s="2">
        <f>IFERROR(__xludf.DUMMYFUNCTION("""COMPUTED_VALUE"""),999.0)</f>
        <v>999</v>
      </c>
      <c r="B1000" s="2" t="str">
        <f>IFERROR(__xludf.DUMMYFUNCTION("""COMPUTED_VALUE"""),"Rahughat HPP")</f>
        <v>Rahughat HPP</v>
      </c>
      <c r="C1000" s="2">
        <f>IFERROR(__xludf.DUMMYFUNCTION("""COMPUTED_VALUE"""),3.96)</f>
        <v>3.96</v>
      </c>
      <c r="D1000" s="2" t="str">
        <f>IFERROR(__xludf.DUMMYFUNCTION("""COMPUTED_VALUE"""),"Rahughat")</f>
        <v>Rahughat</v>
      </c>
      <c r="E1000" s="2">
        <f>IFERROR(__xludf.DUMMYFUNCTION("""COMPUTED_VALUE"""),3640.0)</f>
        <v>3640</v>
      </c>
      <c r="F1000" s="3">
        <f>IFERROR(__xludf.DUMMYFUNCTION("""COMPUTED_VALUE"""),60613.0)</f>
        <v>60613</v>
      </c>
      <c r="G1000" s="2" t="str">
        <f>IFERROR(__xludf.DUMMYFUNCTION("""COMPUTED_VALUE"""),"Mahadev Energy Suppliers")</f>
        <v>Mahadev Energy Suppliers</v>
      </c>
      <c r="H1000" s="2" t="str">
        <f>IFERROR(__xludf.DUMMYFUNCTION("""COMPUTED_VALUE"""),"Kathmandu , Tel: 01-4358545")</f>
        <v>Kathmandu , Tel: 01-4358545</v>
      </c>
      <c r="I1000" s="2" t="str">
        <f>IFERROR(__xludf.DUMMYFUNCTION("""COMPUTED_VALUE"""),"28o 25' 10""")</f>
        <v>28o 25' 10"</v>
      </c>
      <c r="J1000" s="2" t="str">
        <f>IFERROR(__xludf.DUMMYFUNCTION("""COMPUTED_VALUE"""),"28o 28' 10""")</f>
        <v>28o 28' 10"</v>
      </c>
      <c r="K1000" s="2" t="str">
        <f>IFERROR(__xludf.DUMMYFUNCTION("""COMPUTED_VALUE"""),"83o 30' 44""")</f>
        <v>83o 30' 44"</v>
      </c>
      <c r="L1000" s="2" t="str">
        <f>IFERROR(__xludf.DUMMYFUNCTION("""COMPUTED_VALUE"""),"83o 32' 30""")</f>
        <v>83o 32' 30"</v>
      </c>
      <c r="M1000" s="2" t="str">
        <f>IFERROR(__xludf.DUMMYFUNCTION("""COMPUTED_VALUE"""),"Jhin (Myagdi)")</f>
        <v>Jhin (Myagdi)</v>
      </c>
    </row>
    <row r="1001">
      <c r="A1001" s="2">
        <f>IFERROR(__xludf.DUMMYFUNCTION("""COMPUTED_VALUE"""),1000.0)</f>
        <v>1000</v>
      </c>
      <c r="B1001" s="2" t="str">
        <f>IFERROR(__xludf.DUMMYFUNCTION("""COMPUTED_VALUE"""),"Super Lung Khola HPP")</f>
        <v>Super Lung Khola HPP</v>
      </c>
      <c r="C1001" s="2">
        <f>IFERROR(__xludf.DUMMYFUNCTION("""COMPUTED_VALUE"""),3.0)</f>
        <v>3</v>
      </c>
      <c r="D1001" s="2" t="str">
        <f>IFERROR(__xludf.DUMMYFUNCTION("""COMPUTED_VALUE"""),"Lung Khola")</f>
        <v>Lung Khola</v>
      </c>
      <c r="E1001" s="2">
        <f>IFERROR(__xludf.DUMMYFUNCTION("""COMPUTED_VALUE"""),3641.0)</f>
        <v>3641</v>
      </c>
      <c r="F1001" s="3">
        <f>IFERROR(__xludf.DUMMYFUNCTION("""COMPUTED_VALUE"""),60613.0)</f>
        <v>60613</v>
      </c>
      <c r="G1001" s="2" t="str">
        <f>IFERROR(__xludf.DUMMYFUNCTION("""COMPUTED_VALUE"""),"Sumitra Soti, K.P. Kharel, Chitrrekha Sapkota")</f>
        <v>Sumitra Soti, K.P. Kharel, Chitrrekha Sapkota</v>
      </c>
      <c r="H1001" s="2" t="str">
        <f>IFERROR(__xludf.DUMMYFUNCTION("""COMPUTED_VALUE"""),"Shivnagar-4, Chitwan, Tel: 056-693991,9851020270")</f>
        <v>Shivnagar-4, Chitwan, Tel: 056-693991,9851020270</v>
      </c>
      <c r="I1001" s="2" t="str">
        <f>IFERROR(__xludf.DUMMYFUNCTION("""COMPUTED_VALUE"""),"27o 17' 30""")</f>
        <v>27o 17' 30"</v>
      </c>
      <c r="J1001" s="2" t="str">
        <f>IFERROR(__xludf.DUMMYFUNCTION("""COMPUTED_VALUE"""),"28o 15' 00""")</f>
        <v>28o 15' 00"</v>
      </c>
      <c r="K1001" s="2" t="str">
        <f>IFERROR(__xludf.DUMMYFUNCTION("""COMPUTED_VALUE"""),"83o 55' 00""")</f>
        <v>83o 55' 00"</v>
      </c>
      <c r="L1001" s="2" t="str">
        <f>IFERROR(__xludf.DUMMYFUNCTION("""COMPUTED_VALUE"""),"83o 57' 30""")</f>
        <v>83o 57' 30"</v>
      </c>
      <c r="M1001" s="2" t="str">
        <f>IFERROR(__xludf.DUMMYFUNCTION("""COMPUTED_VALUE"""),"Khawang,Liwang,Swaliwang (Pyuthan)")</f>
        <v>Khawang,Liwang,Swaliwang (Pyuthan)</v>
      </c>
    </row>
    <row r="1002">
      <c r="A1002" s="2">
        <f>IFERROR(__xludf.DUMMYFUNCTION("""COMPUTED_VALUE"""),1001.0)</f>
        <v>1001</v>
      </c>
      <c r="B1002" s="2" t="str">
        <f>IFERROR(__xludf.DUMMYFUNCTION("""COMPUTED_VALUE"""),"Jamadi gad SHP")</f>
        <v>Jamadi gad SHP</v>
      </c>
      <c r="C1002" s="2">
        <f>IFERROR(__xludf.DUMMYFUNCTION("""COMPUTED_VALUE"""),1.0)</f>
        <v>1</v>
      </c>
      <c r="D1002" s="2" t="str">
        <f>IFERROR(__xludf.DUMMYFUNCTION("""COMPUTED_VALUE"""),"Jamadi gad")</f>
        <v>Jamadi gad</v>
      </c>
      <c r="E1002" s="2">
        <f>IFERROR(__xludf.DUMMYFUNCTION("""COMPUTED_VALUE"""),3669.0)</f>
        <v>3669</v>
      </c>
      <c r="F1002" s="3">
        <f>IFERROR(__xludf.DUMMYFUNCTION("""COMPUTED_VALUE"""),60617.0)</f>
        <v>60617</v>
      </c>
      <c r="G1002" s="2" t="str">
        <f>IFERROR(__xludf.DUMMYFUNCTION("""COMPUTED_VALUE"""),"Sharda Power Company Pvt Ltd")</f>
        <v>Sharda Power Company Pvt Ltd</v>
      </c>
      <c r="H1002" s="2" t="str">
        <f>IFERROR(__xludf.DUMMYFUNCTION("""COMPUTED_VALUE"""),"Kathmandu , Tel: 9851020631")</f>
        <v>Kathmandu , Tel: 9851020631</v>
      </c>
      <c r="I1002" s="2" t="str">
        <f>IFERROR(__xludf.DUMMYFUNCTION("""COMPUTED_VALUE"""),"29o 37' 30""")</f>
        <v>29o 37' 30"</v>
      </c>
      <c r="J1002" s="2" t="str">
        <f>IFERROR(__xludf.DUMMYFUNCTION("""COMPUTED_VALUE"""),"29o 38' 35""")</f>
        <v>29o 38' 35"</v>
      </c>
      <c r="K1002" s="2" t="str">
        <f>IFERROR(__xludf.DUMMYFUNCTION("""COMPUTED_VALUE"""),"80o 30' 30""")</f>
        <v>80o 30' 30"</v>
      </c>
      <c r="L1002" s="2" t="str">
        <f>IFERROR(__xludf.DUMMYFUNCTION("""COMPUTED_VALUE"""),"80o 32' 44""")</f>
        <v>80o 32' 44"</v>
      </c>
      <c r="M1002" s="2" t="str">
        <f>IFERROR(__xludf.DUMMYFUNCTION("""COMPUTED_VALUE"""),"Gokuleswor (Baitadi)")</f>
        <v>Gokuleswor (Baitadi)</v>
      </c>
    </row>
    <row r="1003">
      <c r="A1003" s="2">
        <f>IFERROR(__xludf.DUMMYFUNCTION("""COMPUTED_VALUE"""),1002.0)</f>
        <v>1002</v>
      </c>
      <c r="B1003" s="2" t="str">
        <f>IFERROR(__xludf.DUMMYFUNCTION("""COMPUTED_VALUE"""),"Upper Badi Gad HPP")</f>
        <v>Upper Badi Gad HPP</v>
      </c>
      <c r="C1003" s="2">
        <f>IFERROR(__xludf.DUMMYFUNCTION("""COMPUTED_VALUE"""),5.0)</f>
        <v>5</v>
      </c>
      <c r="D1003" s="2" t="str">
        <f>IFERROR(__xludf.DUMMYFUNCTION("""COMPUTED_VALUE"""),"Badigad")</f>
        <v>Badigad</v>
      </c>
      <c r="E1003" s="2">
        <f>IFERROR(__xludf.DUMMYFUNCTION("""COMPUTED_VALUE"""),3670.0)</f>
        <v>3670</v>
      </c>
      <c r="F1003" s="3">
        <f>IFERROR(__xludf.DUMMYFUNCTION("""COMPUTED_VALUE"""),60617.0)</f>
        <v>60617</v>
      </c>
      <c r="G1003" s="2" t="str">
        <f>IFERROR(__xludf.DUMMYFUNCTION("""COMPUTED_VALUE"""),"Malika Bajura Hydropower Pvt Ltd")</f>
        <v>Malika Bajura Hydropower Pvt Ltd</v>
      </c>
      <c r="H1003" s="2" t="str">
        <f>IFERROR(__xludf.DUMMYFUNCTION("""COMPUTED_VALUE"""),"Dhangadhi Municipaity-2, Kailali Tel: 091-522730,9841483402")</f>
        <v>Dhangadhi Municipaity-2, Kailali Tel: 091-522730,9841483402</v>
      </c>
      <c r="I1003" s="2" t="str">
        <f>IFERROR(__xludf.DUMMYFUNCTION("""COMPUTED_VALUE"""),"29o 31' 34""")</f>
        <v>29o 31' 34"</v>
      </c>
      <c r="J1003" s="2" t="str">
        <f>IFERROR(__xludf.DUMMYFUNCTION("""COMPUTED_VALUE"""),"29o 35' 16""")</f>
        <v>29o 35' 16"</v>
      </c>
      <c r="K1003" s="2" t="str">
        <f>IFERROR(__xludf.DUMMYFUNCTION("""COMPUTED_VALUE"""),"81o 35' 39""")</f>
        <v>81o 35' 39"</v>
      </c>
      <c r="L1003" s="2" t="str">
        <f>IFERROR(__xludf.DUMMYFUNCTION("""COMPUTED_VALUE"""),"81o 36' 49""")</f>
        <v>81o 36' 49"</v>
      </c>
      <c r="M1003" s="2" t="str">
        <f>IFERROR(__xludf.DUMMYFUNCTION("""COMPUTED_VALUE"""),"Kolti (Bajura)")</f>
        <v>Kolti (Bajura)</v>
      </c>
    </row>
    <row r="1004">
      <c r="A1004" s="2">
        <f>IFERROR(__xludf.DUMMYFUNCTION("""COMPUTED_VALUE"""),1003.0)</f>
        <v>1003</v>
      </c>
      <c r="B1004" s="2" t="str">
        <f>IFERROR(__xludf.DUMMYFUNCTION("""COMPUTED_VALUE"""),"Adha Khola HPP")</f>
        <v>Adha Khola HPP</v>
      </c>
      <c r="C1004" s="2">
        <f>IFERROR(__xludf.DUMMYFUNCTION("""COMPUTED_VALUE"""),6.0)</f>
        <v>6</v>
      </c>
      <c r="D1004" s="2" t="str">
        <f>IFERROR(__xludf.DUMMYFUNCTION("""COMPUTED_VALUE"""),"Adha")</f>
        <v>Adha</v>
      </c>
      <c r="E1004" s="2">
        <f>IFERROR(__xludf.DUMMYFUNCTION("""COMPUTED_VALUE"""),3678.0)</f>
        <v>3678</v>
      </c>
      <c r="F1004" s="3">
        <f>IFERROR(__xludf.DUMMYFUNCTION("""COMPUTED_VALUE"""),60617.0)</f>
        <v>60617</v>
      </c>
      <c r="G1004" s="2" t="str">
        <f>IFERROR(__xludf.DUMMYFUNCTION("""COMPUTED_VALUE"""),"Prakash Baral")</f>
        <v>Prakash Baral</v>
      </c>
      <c r="H1004" s="2" t="str">
        <f>IFERROR(__xludf.DUMMYFUNCTION("""COMPUTED_VALUE"""),"Bhaktipur-8, Sarlahi")</f>
        <v>Bhaktipur-8, Sarlahi</v>
      </c>
      <c r="I1004" s="2" t="str">
        <f>IFERROR(__xludf.DUMMYFUNCTION("""COMPUTED_VALUE"""),"28o 09' 35""")</f>
        <v>28o 09' 35"</v>
      </c>
      <c r="J1004" s="2" t="str">
        <f>IFERROR(__xludf.DUMMYFUNCTION("""COMPUTED_VALUE"""),"28o 11' 46""")</f>
        <v>28o 11' 46"</v>
      </c>
      <c r="K1004" s="2" t="str">
        <f>IFERROR(__xludf.DUMMYFUNCTION("""COMPUTED_VALUE"""),"85o 04' 25""")</f>
        <v>85o 04' 25"</v>
      </c>
      <c r="L1004" s="2" t="str">
        <f>IFERROR(__xludf.DUMMYFUNCTION("""COMPUTED_VALUE"""),"85o 07' 43""")</f>
        <v>85o 07' 43"</v>
      </c>
      <c r="M1004" s="2" t="str">
        <f>IFERROR(__xludf.DUMMYFUNCTION("""COMPUTED_VALUE"""),"Sirtung,Tipling (Dhading)")</f>
        <v>Sirtung,Tipling (Dhading)</v>
      </c>
    </row>
    <row r="1005">
      <c r="A1005" s="2">
        <f>IFERROR(__xludf.DUMMYFUNCTION("""COMPUTED_VALUE"""),1004.0)</f>
        <v>1004</v>
      </c>
      <c r="B1005" s="2" t="str">
        <f>IFERROR(__xludf.DUMMYFUNCTION("""COMPUTED_VALUE"""),"Jamadi gad SHP")</f>
        <v>Jamadi gad SHP</v>
      </c>
      <c r="C1005" s="2">
        <f>IFERROR(__xludf.DUMMYFUNCTION("""COMPUTED_VALUE"""),1.0)</f>
        <v>1</v>
      </c>
      <c r="D1005" s="2" t="str">
        <f>IFERROR(__xludf.DUMMYFUNCTION("""COMPUTED_VALUE"""),"Jamadi gad")</f>
        <v>Jamadi gad</v>
      </c>
      <c r="E1005" s="2">
        <f>IFERROR(__xludf.DUMMYFUNCTION("""COMPUTED_VALUE"""),3684.0)</f>
        <v>3684</v>
      </c>
      <c r="F1005" s="3">
        <f>IFERROR(__xludf.DUMMYFUNCTION("""COMPUTED_VALUE"""),60617.0)</f>
        <v>60617</v>
      </c>
      <c r="G1005" s="2" t="str">
        <f>IFERROR(__xludf.DUMMYFUNCTION("""COMPUTED_VALUE"""),"Ishwari Bista")</f>
        <v>Ishwari Bista</v>
      </c>
      <c r="H1005" s="2" t="str">
        <f>IFERROR(__xludf.DUMMYFUNCTION("""COMPUTED_VALUE"""),"Pipladi VDC-7, Kanchanpur")</f>
        <v>Pipladi VDC-7, Kanchanpur</v>
      </c>
      <c r="I1005" s="2" t="str">
        <f>IFERROR(__xludf.DUMMYFUNCTION("""COMPUTED_VALUE"""),"29o 37' 30""")</f>
        <v>29o 37' 30"</v>
      </c>
      <c r="J1005" s="2" t="str">
        <f>IFERROR(__xludf.DUMMYFUNCTION("""COMPUTED_VALUE"""),"29o 38' 36""")</f>
        <v>29o 38' 36"</v>
      </c>
      <c r="K1005" s="2" t="str">
        <f>IFERROR(__xludf.DUMMYFUNCTION("""COMPUTED_VALUE"""),"80o 32' 30""")</f>
        <v>80o 32' 30"</v>
      </c>
      <c r="L1005" s="2" t="str">
        <f>IFERROR(__xludf.DUMMYFUNCTION("""COMPUTED_VALUE"""),"80o 35' 00""")</f>
        <v>80o 35' 00"</v>
      </c>
      <c r="M1005" s="2" t="str">
        <f>IFERROR(__xludf.DUMMYFUNCTION("""COMPUTED_VALUE"""),"Gokuleswor (Baitadi)")</f>
        <v>Gokuleswor (Baitadi)</v>
      </c>
    </row>
    <row r="1006">
      <c r="A1006" s="2">
        <f>IFERROR(__xludf.DUMMYFUNCTION("""COMPUTED_VALUE"""),1005.0)</f>
        <v>1005</v>
      </c>
      <c r="B1006" s="2" t="str">
        <f>IFERROR(__xludf.DUMMYFUNCTION("""COMPUTED_VALUE"""),"Middle Solu HPP")</f>
        <v>Middle Solu HPP</v>
      </c>
      <c r="C1006" s="2">
        <f>IFERROR(__xludf.DUMMYFUNCTION("""COMPUTED_VALUE"""),10.0)</f>
        <v>10</v>
      </c>
      <c r="D1006" s="2" t="str">
        <f>IFERROR(__xludf.DUMMYFUNCTION("""COMPUTED_VALUE"""),"Solu Khola")</f>
        <v>Solu Khola</v>
      </c>
      <c r="E1006" s="2">
        <f>IFERROR(__xludf.DUMMYFUNCTION("""COMPUTED_VALUE"""),3685.0)</f>
        <v>3685</v>
      </c>
      <c r="F1006" s="3">
        <f>IFERROR(__xludf.DUMMYFUNCTION("""COMPUTED_VALUE"""),60617.0)</f>
        <v>60617</v>
      </c>
      <c r="G1006" s="2" t="str">
        <f>IFERROR(__xludf.DUMMYFUNCTION("""COMPUTED_VALUE"""),"Rapid Power Development Company Pvt Ltd")</f>
        <v>Rapid Power Development Company Pvt Ltd</v>
      </c>
      <c r="H1006" s="2" t="str">
        <f>IFERROR(__xludf.DUMMYFUNCTION("""COMPUTED_VALUE"""),"Baneswar Kathmandu")</f>
        <v>Baneswar Kathmandu</v>
      </c>
      <c r="I1006" s="2" t="str">
        <f>IFERROR(__xludf.DUMMYFUNCTION("""COMPUTED_VALUE"""),"27o 29' 10""")</f>
        <v>27o 29' 10"</v>
      </c>
      <c r="J1006" s="2" t="str">
        <f>IFERROR(__xludf.DUMMYFUNCTION("""COMPUTED_VALUE"""),"27o 31' 17""")</f>
        <v>27o 31' 17"</v>
      </c>
      <c r="K1006" s="2" t="str">
        <f>IFERROR(__xludf.DUMMYFUNCTION("""COMPUTED_VALUE"""),"86o 33' 20""")</f>
        <v>86o 33' 20"</v>
      </c>
      <c r="L1006" s="2" t="str">
        <f>IFERROR(__xludf.DUMMYFUNCTION("""COMPUTED_VALUE"""),"86o 36' 15""")</f>
        <v>86o 36' 15"</v>
      </c>
      <c r="M1006" s="2" t="str">
        <f>IFERROR(__xludf.DUMMYFUNCTION("""COMPUTED_VALUE"""),"Salleri (Solukhumbu)")</f>
        <v>Salleri (Solukhumbu)</v>
      </c>
    </row>
    <row r="1007">
      <c r="A1007" s="2">
        <f>IFERROR(__xludf.DUMMYFUNCTION("""COMPUTED_VALUE"""),1006.0)</f>
        <v>1006</v>
      </c>
      <c r="B1007" s="2" t="str">
        <f>IFERROR(__xludf.DUMMYFUNCTION("""COMPUTED_VALUE"""),"Iwa Khola SHP")</f>
        <v>Iwa Khola SHP</v>
      </c>
      <c r="C1007" s="2">
        <f>IFERROR(__xludf.DUMMYFUNCTION("""COMPUTED_VALUE"""),3.0)</f>
        <v>3</v>
      </c>
      <c r="D1007" s="2" t="str">
        <f>IFERROR(__xludf.DUMMYFUNCTION("""COMPUTED_VALUE"""),"Iwa Khola")</f>
        <v>Iwa Khola</v>
      </c>
      <c r="E1007" s="2">
        <f>IFERROR(__xludf.DUMMYFUNCTION("""COMPUTED_VALUE"""),3690.0)</f>
        <v>3690</v>
      </c>
      <c r="F1007" s="3">
        <f>IFERROR(__xludf.DUMMYFUNCTION("""COMPUTED_VALUE"""),60617.0)</f>
        <v>60617</v>
      </c>
      <c r="G1007" s="2" t="str">
        <f>IFERROR(__xludf.DUMMYFUNCTION("""COMPUTED_VALUE"""),"Ram Kumar Iwaram")</f>
        <v>Ram Kumar Iwaram</v>
      </c>
      <c r="H1007" s="2" t="str">
        <f>IFERROR(__xludf.DUMMYFUNCTION("""COMPUTED_VALUE"""),"GPO box: 24697, Kathmandu")</f>
        <v>GPO box: 24697, Kathmandu</v>
      </c>
      <c r="I1007" s="2" t="str">
        <f>IFERROR(__xludf.DUMMYFUNCTION("""COMPUTED_VALUE"""),"27o 26' 00""")</f>
        <v>27o 26' 00"</v>
      </c>
      <c r="J1007" s="2" t="str">
        <f>IFERROR(__xludf.DUMMYFUNCTION("""COMPUTED_VALUE"""),"27o 29' 15""")</f>
        <v>27o 29' 15"</v>
      </c>
      <c r="K1007" s="2" t="str">
        <f>IFERROR(__xludf.DUMMYFUNCTION("""COMPUTED_VALUE"""),"87o 55' 20""")</f>
        <v>87o 55' 20"</v>
      </c>
      <c r="L1007" s="2" t="str">
        <f>IFERROR(__xludf.DUMMYFUNCTION("""COMPUTED_VALUE"""),"87o 58' 09""")</f>
        <v>87o 58' 09"</v>
      </c>
      <c r="M1007" s="2" t="str">
        <f>IFERROR(__xludf.DUMMYFUNCTION("""COMPUTED_VALUE"""),"Sadewa (Taplejung)")</f>
        <v>Sadewa (Taplejung)</v>
      </c>
    </row>
    <row r="1008">
      <c r="A1008" s="2">
        <f>IFERROR(__xludf.DUMMYFUNCTION("""COMPUTED_VALUE"""),1007.0)</f>
        <v>1007</v>
      </c>
      <c r="B1008" s="2" t="str">
        <f>IFERROR(__xludf.DUMMYFUNCTION("""COMPUTED_VALUE"""),"Thuli Gad HPP")</f>
        <v>Thuli Gad HPP</v>
      </c>
      <c r="C1008" s="2">
        <f>IFERROR(__xludf.DUMMYFUNCTION("""COMPUTED_VALUE"""),7.0)</f>
        <v>7</v>
      </c>
      <c r="D1008" s="2" t="str">
        <f>IFERROR(__xludf.DUMMYFUNCTION("""COMPUTED_VALUE"""),"Thuli Gad")</f>
        <v>Thuli Gad</v>
      </c>
      <c r="E1008" s="2">
        <f>IFERROR(__xludf.DUMMYFUNCTION("""COMPUTED_VALUE"""),3693.0)</f>
        <v>3693</v>
      </c>
      <c r="F1008" s="3">
        <f>IFERROR(__xludf.DUMMYFUNCTION("""COMPUTED_VALUE"""),60617.0)</f>
        <v>60617</v>
      </c>
      <c r="G1008" s="2" t="str">
        <f>IFERROR(__xludf.DUMMYFUNCTION("""COMPUTED_VALUE"""),"Super World Construction Company Pvt Ltd")</f>
        <v>Super World Construction Company Pvt Ltd</v>
      </c>
      <c r="H1008" s="2" t="str">
        <f>IFERROR(__xludf.DUMMYFUNCTION("""COMPUTED_VALUE"""),"Kathmandu , Tel: 9841734540")</f>
        <v>Kathmandu , Tel: 9841734540</v>
      </c>
      <c r="I1008" s="2" t="str">
        <f>IFERROR(__xludf.DUMMYFUNCTION("""COMPUTED_VALUE"""),"28o 55' 20""")</f>
        <v>28o 55' 20"</v>
      </c>
      <c r="J1008" s="2" t="str">
        <f>IFERROR(__xludf.DUMMYFUNCTION("""COMPUTED_VALUE"""),"28o 58' 35""")</f>
        <v>28o 58' 35"</v>
      </c>
      <c r="K1008" s="2" t="str">
        <f>IFERROR(__xludf.DUMMYFUNCTION("""COMPUTED_VALUE"""),"80o 47' 30""")</f>
        <v>80o 47' 30"</v>
      </c>
      <c r="L1008" s="2" t="str">
        <f>IFERROR(__xludf.DUMMYFUNCTION("""COMPUTED_VALUE"""),"80o 52' 30""")</f>
        <v>80o 52' 30"</v>
      </c>
      <c r="M1008" s="2" t="str">
        <f>IFERROR(__xludf.DUMMYFUNCTION("""COMPUTED_VALUE"""),"Barchhen (Doti)")</f>
        <v>Barchhen (Doti)</v>
      </c>
    </row>
    <row r="1009">
      <c r="A1009" s="2">
        <f>IFERROR(__xludf.DUMMYFUNCTION("""COMPUTED_VALUE"""),1008.0)</f>
        <v>1008</v>
      </c>
      <c r="B1009" s="2" t="str">
        <f>IFERROR(__xludf.DUMMYFUNCTION("""COMPUTED_VALUE"""),"Upper Bijaypur Khoa HHP")</f>
        <v>Upper Bijaypur Khoa HHP</v>
      </c>
      <c r="C1009" s="2">
        <f>IFERROR(__xludf.DUMMYFUNCTION("""COMPUTED_VALUE"""),4.0)</f>
        <v>4</v>
      </c>
      <c r="D1009" s="2" t="str">
        <f>IFERROR(__xludf.DUMMYFUNCTION("""COMPUTED_VALUE"""),"Bijaypur")</f>
        <v>Bijaypur</v>
      </c>
      <c r="E1009" s="2">
        <f>IFERROR(__xludf.DUMMYFUNCTION("""COMPUTED_VALUE"""),3715.0)</f>
        <v>3715</v>
      </c>
      <c r="F1009" s="3">
        <f>IFERROR(__xludf.DUMMYFUNCTION("""COMPUTED_VALUE"""),60619.0)</f>
        <v>60619</v>
      </c>
      <c r="G1009" s="2" t="str">
        <f>IFERROR(__xludf.DUMMYFUNCTION("""COMPUTED_VALUE"""),"Ohm Shakti Pvt Ltd")</f>
        <v>Ohm Shakti Pvt Ltd</v>
      </c>
      <c r="H1009" s="2" t="str">
        <f>IFERROR(__xludf.DUMMYFUNCTION("""COMPUTED_VALUE"""),"Lekhnath-5,Kaski 9846026769")</f>
        <v>Lekhnath-5,Kaski 9846026769</v>
      </c>
      <c r="I1009" s="2" t="str">
        <f>IFERROR(__xludf.DUMMYFUNCTION("""COMPUTED_VALUE"""),"28o 11' 29""")</f>
        <v>28o 11' 29"</v>
      </c>
      <c r="J1009" s="2" t="str">
        <f>IFERROR(__xludf.DUMMYFUNCTION("""COMPUTED_VALUE"""),"28o 12' 45""")</f>
        <v>28o 12' 45"</v>
      </c>
      <c r="K1009" s="2" t="str">
        <f>IFERROR(__xludf.DUMMYFUNCTION("""COMPUTED_VALUE"""),"84o 01' 29""")</f>
        <v>84o 01' 29"</v>
      </c>
      <c r="L1009" s="2" t="str">
        <f>IFERROR(__xludf.DUMMYFUNCTION("""COMPUTED_VALUE"""),"84o 02' 01""")</f>
        <v>84o 02' 01"</v>
      </c>
      <c r="M1009" s="2" t="str">
        <f>IFERROR(__xludf.DUMMYFUNCTION("""COMPUTED_VALUE"""),"Lekhnath,Pokhara N.P. (Kaski)")</f>
        <v>Lekhnath,Pokhara N.P. (Kaski)</v>
      </c>
    </row>
    <row r="1010">
      <c r="A1010" s="2">
        <f>IFERROR(__xludf.DUMMYFUNCTION("""COMPUTED_VALUE"""),1009.0)</f>
        <v>1009</v>
      </c>
      <c r="B1010" s="2" t="str">
        <f>IFERROR(__xludf.DUMMYFUNCTION("""COMPUTED_VALUE"""),"Gairi Khola SHP")</f>
        <v>Gairi Khola SHP</v>
      </c>
      <c r="C1010" s="2">
        <f>IFERROR(__xludf.DUMMYFUNCTION("""COMPUTED_VALUE"""),0.7)</f>
        <v>0.7</v>
      </c>
      <c r="D1010" s="2" t="str">
        <f>IFERROR(__xludf.DUMMYFUNCTION("""COMPUTED_VALUE"""),"Gairi Khola")</f>
        <v>Gairi Khola</v>
      </c>
      <c r="E1010" s="2">
        <f>IFERROR(__xludf.DUMMYFUNCTION("""COMPUTED_VALUE"""),3724.0)</f>
        <v>3724</v>
      </c>
      <c r="F1010" s="3">
        <f>IFERROR(__xludf.DUMMYFUNCTION("""COMPUTED_VALUE"""),60619.0)</f>
        <v>60619</v>
      </c>
      <c r="G1010" s="2" t="str">
        <f>IFERROR(__xludf.DUMMYFUNCTION("""COMPUTED_VALUE"""),"Kavita Lamsal, Subha Adhikari")</f>
        <v>Kavita Lamsal, Subha Adhikari</v>
      </c>
      <c r="H1010" s="2" t="str">
        <f>IFERROR(__xludf.DUMMYFUNCTION("""COMPUTED_VALUE"""),"Suryapura VDC, Rupandehi")</f>
        <v>Suryapura VDC, Rupandehi</v>
      </c>
      <c r="I1010" s="2" t="str">
        <f>IFERROR(__xludf.DUMMYFUNCTION("""COMPUTED_VALUE"""),"27o 43' 40""")</f>
        <v>27o 43' 40"</v>
      </c>
      <c r="J1010" s="2" t="str">
        <f>IFERROR(__xludf.DUMMYFUNCTION("""COMPUTED_VALUE"""),"27o 45' 00""")</f>
        <v>27o 45' 00"</v>
      </c>
      <c r="K1010" s="2" t="str">
        <f>IFERROR(__xludf.DUMMYFUNCTION("""COMPUTED_VALUE"""),"84o 53' 51""")</f>
        <v>84o 53' 51"</v>
      </c>
      <c r="L1010" s="2" t="str">
        <f>IFERROR(__xludf.DUMMYFUNCTION("""COMPUTED_VALUE"""),"84o 55' 00""")</f>
        <v>84o 55' 00"</v>
      </c>
      <c r="M1010" s="2" t="str">
        <f>IFERROR(__xludf.DUMMYFUNCTION("""COMPUTED_VALUE"""),"Pida (Dhading)")</f>
        <v>Pida (Dhading)</v>
      </c>
    </row>
    <row r="1011">
      <c r="A1011" s="2">
        <f>IFERROR(__xludf.DUMMYFUNCTION("""COMPUTED_VALUE"""),1010.0)</f>
        <v>1010</v>
      </c>
      <c r="B1011" s="2" t="str">
        <f>IFERROR(__xludf.DUMMYFUNCTION("""COMPUTED_VALUE"""),"Budhi Gandaki HPP")</f>
        <v>Budhi Gandaki HPP</v>
      </c>
      <c r="C1011" s="2">
        <f>IFERROR(__xludf.DUMMYFUNCTION("""COMPUTED_VALUE"""),5.0)</f>
        <v>5</v>
      </c>
      <c r="D1011" s="2" t="str">
        <f>IFERROR(__xludf.DUMMYFUNCTION("""COMPUTED_VALUE"""),"Budhi Ganga")</f>
        <v>Budhi Ganga</v>
      </c>
      <c r="E1011" s="2">
        <f>IFERROR(__xludf.DUMMYFUNCTION("""COMPUTED_VALUE"""),3730.0)</f>
        <v>3730</v>
      </c>
      <c r="F1011" s="3">
        <f>IFERROR(__xludf.DUMMYFUNCTION("""COMPUTED_VALUE"""),60619.0)</f>
        <v>60619</v>
      </c>
      <c r="G1011" s="2" t="str">
        <f>IFERROR(__xludf.DUMMYFUNCTION("""COMPUTED_VALUE"""),"Ujwal Jal Shakti Pvt Ltd")</f>
        <v>Ujwal Jal Shakti Pvt Ltd</v>
      </c>
      <c r="H1011" s="2" t="str">
        <f>IFERROR(__xludf.DUMMYFUNCTION("""COMPUTED_VALUE"""),"Kopundole, Lalitpur, Tel: 9841734540,9749509744")</f>
        <v>Kopundole, Lalitpur, Tel: 9841734540,9749509744</v>
      </c>
      <c r="I1011" s="2" t="str">
        <f>IFERROR(__xludf.DUMMYFUNCTION("""COMPUTED_VALUE"""),"29o 06' 30""")</f>
        <v>29o 06' 30"</v>
      </c>
      <c r="J1011" s="2" t="str">
        <f>IFERROR(__xludf.DUMMYFUNCTION("""COMPUTED_VALUE"""),"29o 08' 30""")</f>
        <v>29o 08' 30"</v>
      </c>
      <c r="K1011" s="2" t="str">
        <f>IFERROR(__xludf.DUMMYFUNCTION("""COMPUTED_VALUE"""),"81o 07' 30""")</f>
        <v>81o 07' 30"</v>
      </c>
      <c r="L1011" s="2" t="str">
        <f>IFERROR(__xludf.DUMMYFUNCTION("""COMPUTED_VALUE"""),"81o 12' 30""")</f>
        <v>81o 12' 30"</v>
      </c>
      <c r="M1011" s="2" t="str">
        <f>IFERROR(__xludf.DUMMYFUNCTION("""COMPUTED_VALUE"""),"Basti (Achham)")</f>
        <v>Basti (Achham)</v>
      </c>
    </row>
    <row r="1012">
      <c r="A1012" s="2">
        <f>IFERROR(__xludf.DUMMYFUNCTION("""COMPUTED_VALUE"""),1011.0)</f>
        <v>1011</v>
      </c>
      <c r="B1012" s="2" t="str">
        <f>IFERROR(__xludf.DUMMYFUNCTION("""COMPUTED_VALUE"""),"Juddi Khola HPP")</f>
        <v>Juddi Khola HPP</v>
      </c>
      <c r="C1012" s="2">
        <f>IFERROR(__xludf.DUMMYFUNCTION("""COMPUTED_VALUE"""),10.0)</f>
        <v>10</v>
      </c>
      <c r="D1012" s="2" t="str">
        <f>IFERROR(__xludf.DUMMYFUNCTION("""COMPUTED_VALUE"""),"Juddi Khola")</f>
        <v>Juddi Khola</v>
      </c>
      <c r="E1012" s="2">
        <f>IFERROR(__xludf.DUMMYFUNCTION("""COMPUTED_VALUE"""),3748.0)</f>
        <v>3748</v>
      </c>
      <c r="F1012" s="3">
        <f>IFERROR(__xludf.DUMMYFUNCTION("""COMPUTED_VALUE"""),60620.0)</f>
        <v>60620</v>
      </c>
      <c r="G1012" s="2" t="str">
        <f>IFERROR(__xludf.DUMMYFUNCTION("""COMPUTED_VALUE"""),"Durga Energy Power Pvt Ltd")</f>
        <v>Durga Energy Power Pvt Ltd</v>
      </c>
      <c r="H1012" s="2" t="str">
        <f>IFERROR(__xludf.DUMMYFUNCTION("""COMPUTED_VALUE"""),"Kathmandu , Tel: 01-2083325,9841483402")</f>
        <v>Kathmandu , Tel: 01-2083325,9841483402</v>
      </c>
      <c r="I1012" s="2" t="str">
        <f>IFERROR(__xludf.DUMMYFUNCTION("""COMPUTED_VALUE"""),"29o 23' 29""")</f>
        <v>29o 23' 29"</v>
      </c>
      <c r="J1012" s="2" t="str">
        <f>IFERROR(__xludf.DUMMYFUNCTION("""COMPUTED_VALUE"""),"29o 25' 31""")</f>
        <v>29o 25' 31"</v>
      </c>
      <c r="K1012" s="2" t="str">
        <f>IFERROR(__xludf.DUMMYFUNCTION("""COMPUTED_VALUE"""),"81o 40' 26""")</f>
        <v>81o 40' 26"</v>
      </c>
      <c r="L1012" s="2" t="str">
        <f>IFERROR(__xludf.DUMMYFUNCTION("""COMPUTED_VALUE"""),"81o 43' 13""")</f>
        <v>81o 43' 13"</v>
      </c>
      <c r="M1012" s="2" t="str">
        <f>IFERROR(__xludf.DUMMYFUNCTION("""COMPUTED_VALUE"""),"Gotree (Bajura)")</f>
        <v>Gotree (Bajura)</v>
      </c>
    </row>
    <row r="1013">
      <c r="A1013" s="2">
        <f>IFERROR(__xludf.DUMMYFUNCTION("""COMPUTED_VALUE"""),1012.0)</f>
        <v>1012</v>
      </c>
      <c r="B1013" s="2" t="str">
        <f>IFERROR(__xludf.DUMMYFUNCTION("""COMPUTED_VALUE"""),"Khani Khola SHP")</f>
        <v>Khani Khola SHP</v>
      </c>
      <c r="C1013" s="2">
        <f>IFERROR(__xludf.DUMMYFUNCTION("""COMPUTED_VALUE"""),0.56)</f>
        <v>0.56</v>
      </c>
      <c r="D1013" s="2" t="str">
        <f>IFERROR(__xludf.DUMMYFUNCTION("""COMPUTED_VALUE"""),"Khani Khola")</f>
        <v>Khani Khola</v>
      </c>
      <c r="E1013" s="2">
        <f>IFERROR(__xludf.DUMMYFUNCTION("""COMPUTED_VALUE"""),3752.0)</f>
        <v>3752</v>
      </c>
      <c r="F1013" s="3">
        <f>IFERROR(__xludf.DUMMYFUNCTION("""COMPUTED_VALUE"""),60620.0)</f>
        <v>60620</v>
      </c>
      <c r="G1013" s="2" t="str">
        <f>IFERROR(__xludf.DUMMYFUNCTION("""COMPUTED_VALUE"""),"Champa Kumari Baruwal")</f>
        <v>Champa Kumari Baruwal</v>
      </c>
      <c r="H1013" s="2" t="str">
        <f>IFERROR(__xludf.DUMMYFUNCTION("""COMPUTED_VALUE"""),"Thokarpa-5, Sindhupalchowk, Tel: 9841555968")</f>
        <v>Thokarpa-5, Sindhupalchowk, Tel: 9841555968</v>
      </c>
      <c r="I1013" s="2" t="str">
        <f>IFERROR(__xludf.DUMMYFUNCTION("""COMPUTED_VALUE"""),"27o 30' 00""")</f>
        <v>27o 30' 00"</v>
      </c>
      <c r="J1013" s="2" t="str">
        <f>IFERROR(__xludf.DUMMYFUNCTION("""COMPUTED_VALUE"""),"27o 32' 00""")</f>
        <v>27o 32' 00"</v>
      </c>
      <c r="K1013" s="2" t="str">
        <f>IFERROR(__xludf.DUMMYFUNCTION("""COMPUTED_VALUE"""),"85o 50' 00""")</f>
        <v>85o 50' 00"</v>
      </c>
      <c r="L1013" s="2" t="str">
        <f>IFERROR(__xludf.DUMMYFUNCTION("""COMPUTED_VALUE"""),"85o 55' 00""")</f>
        <v>85o 55' 00"</v>
      </c>
      <c r="M1013" s="2" t="str">
        <f>IFERROR(__xludf.DUMMYFUNCTION("""COMPUTED_VALUE"""),"Dimipokhari,Hiledevi,Lakhanpur (Ramechhap)")</f>
        <v>Dimipokhari,Hiledevi,Lakhanpur (Ramechhap)</v>
      </c>
    </row>
    <row r="1014">
      <c r="A1014" s="2">
        <f>IFERROR(__xludf.DUMMYFUNCTION("""COMPUTED_VALUE"""),1013.0)</f>
        <v>1013</v>
      </c>
      <c r="B1014" s="2" t="str">
        <f>IFERROR(__xludf.DUMMYFUNCTION("""COMPUTED_VALUE"""),"Myagdi Khola HPP")</f>
        <v>Myagdi Khola HPP</v>
      </c>
      <c r="C1014" s="2">
        <f>IFERROR(__xludf.DUMMYFUNCTION("""COMPUTED_VALUE"""),7.5)</f>
        <v>7.5</v>
      </c>
      <c r="D1014" s="2" t="str">
        <f>IFERROR(__xludf.DUMMYFUNCTION("""COMPUTED_VALUE"""),"Myagdi Khola")</f>
        <v>Myagdi Khola</v>
      </c>
      <c r="E1014" s="2">
        <f>IFERROR(__xludf.DUMMYFUNCTION("""COMPUTED_VALUE"""),3768.0)</f>
        <v>3768</v>
      </c>
      <c r="F1014" s="3">
        <f>IFERROR(__xludf.DUMMYFUNCTION("""COMPUTED_VALUE"""),60621.0)</f>
        <v>60621</v>
      </c>
      <c r="G1014" s="2" t="str">
        <f>IFERROR(__xludf.DUMMYFUNCTION("""COMPUTED_VALUE"""),"Rajbir Hydropower Company Pvt Ltd")</f>
        <v>Rajbir Hydropower Company Pvt Ltd</v>
      </c>
      <c r="H1014" s="2" t="str">
        <f>IFERROR(__xludf.DUMMYFUNCTION("""COMPUTED_VALUE"""),"Arman-6, Myagdi, Tel: 01-5542051")</f>
        <v>Arman-6, Myagdi, Tel: 01-5542051</v>
      </c>
      <c r="I1014" s="2" t="str">
        <f>IFERROR(__xludf.DUMMYFUNCTION("""COMPUTED_VALUE"""),"28o 30' 16""")</f>
        <v>28o 30' 16"</v>
      </c>
      <c r="J1014" s="2" t="str">
        <f>IFERROR(__xludf.DUMMYFUNCTION("""COMPUTED_VALUE"""),"28o 33' 32""")</f>
        <v>28o 33' 32"</v>
      </c>
      <c r="K1014" s="2" t="str">
        <f>IFERROR(__xludf.DUMMYFUNCTION("""COMPUTED_VALUE"""),"83o 20' 00""")</f>
        <v>83o 20' 00"</v>
      </c>
      <c r="L1014" s="2" t="str">
        <f>IFERROR(__xludf.DUMMYFUNCTION("""COMPUTED_VALUE"""),"83o 23' 50""")</f>
        <v>83o 23' 50"</v>
      </c>
      <c r="M1014" s="2" t="str">
        <f>IFERROR(__xludf.DUMMYFUNCTION("""COMPUTED_VALUE"""),"Mudi (Myagdi)")</f>
        <v>Mudi (Myagdi)</v>
      </c>
    </row>
    <row r="1015">
      <c r="A1015" s="2">
        <f>IFERROR(__xludf.DUMMYFUNCTION("""COMPUTED_VALUE"""),1014.0)</f>
        <v>1014</v>
      </c>
      <c r="B1015" s="2" t="str">
        <f>IFERROR(__xludf.DUMMYFUNCTION("""COMPUTED_VALUE"""),"Bhalaudi Khola HPP")</f>
        <v>Bhalaudi Khola HPP</v>
      </c>
      <c r="C1015" s="2">
        <f>IFERROR(__xludf.DUMMYFUNCTION("""COMPUTED_VALUE"""),2.52)</f>
        <v>2.52</v>
      </c>
      <c r="D1015" s="2" t="str">
        <f>IFERROR(__xludf.DUMMYFUNCTION("""COMPUTED_VALUE"""),"Bhalaudi Khola")</f>
        <v>Bhalaudi Khola</v>
      </c>
      <c r="E1015" s="2">
        <f>IFERROR(__xludf.DUMMYFUNCTION("""COMPUTED_VALUE"""),3788.0)</f>
        <v>3788</v>
      </c>
      <c r="F1015" s="3">
        <f>IFERROR(__xludf.DUMMYFUNCTION("""COMPUTED_VALUE"""),60621.0)</f>
        <v>60621</v>
      </c>
      <c r="G1015" s="2" t="str">
        <f>IFERROR(__xludf.DUMMYFUNCTION("""COMPUTED_VALUE"""),"International Hydropower Company Pvt Ltd")</f>
        <v>International Hydropower Company Pvt Ltd</v>
      </c>
      <c r="H1015" s="2" t="str">
        <f>IFERROR(__xludf.DUMMYFUNCTION("""COMPUTED_VALUE"""),"Kathmandu-33, Tel: 9846045205,9856020268")</f>
        <v>Kathmandu-33, Tel: 9846045205,9856020268</v>
      </c>
      <c r="I1015" s="2" t="str">
        <f>IFERROR(__xludf.DUMMYFUNCTION("""COMPUTED_VALUE"""),"28o 22' 33""")</f>
        <v>28o 22' 33"</v>
      </c>
      <c r="J1015" s="2" t="str">
        <f>IFERROR(__xludf.DUMMYFUNCTION("""COMPUTED_VALUE"""),"28o 23' 54""")</f>
        <v>28o 23' 54"</v>
      </c>
      <c r="K1015" s="2" t="str">
        <f>IFERROR(__xludf.DUMMYFUNCTION("""COMPUTED_VALUE"""),"83o 56' 52""")</f>
        <v>83o 56' 52"</v>
      </c>
      <c r="L1015" s="2" t="str">
        <f>IFERROR(__xludf.DUMMYFUNCTION("""COMPUTED_VALUE"""),"83o 58' 26""")</f>
        <v>83o 58' 26"</v>
      </c>
      <c r="M1015" s="2" t="str">
        <f>IFERROR(__xludf.DUMMYFUNCTION("""COMPUTED_VALUE"""),"Machhapuchchhre (Kaski)")</f>
        <v>Machhapuchchhre (Kaski)</v>
      </c>
    </row>
    <row r="1016">
      <c r="A1016" s="2">
        <f>IFERROR(__xludf.DUMMYFUNCTION("""COMPUTED_VALUE"""),1015.0)</f>
        <v>1015</v>
      </c>
      <c r="B1016" s="2" t="str">
        <f>IFERROR(__xludf.DUMMYFUNCTION("""COMPUTED_VALUE"""),"Hewa Khola-A HPP")</f>
        <v>Hewa Khola-A HPP</v>
      </c>
      <c r="C1016" s="2">
        <f>IFERROR(__xludf.DUMMYFUNCTION("""COMPUTED_VALUE"""),5.0)</f>
        <v>5</v>
      </c>
      <c r="D1016" s="2" t="str">
        <f>IFERROR(__xludf.DUMMYFUNCTION("""COMPUTED_VALUE"""),"Hewa Khola")</f>
        <v>Hewa Khola</v>
      </c>
      <c r="E1016" s="2">
        <f>IFERROR(__xludf.DUMMYFUNCTION("""COMPUTED_VALUE"""),3791.0)</f>
        <v>3791</v>
      </c>
      <c r="F1016" s="3">
        <f>IFERROR(__xludf.DUMMYFUNCTION("""COMPUTED_VALUE"""),60624.0)</f>
        <v>60624</v>
      </c>
      <c r="G1016" s="2" t="str">
        <f>IFERROR(__xludf.DUMMYFUNCTION("""COMPUTED_VALUE"""),"Alliance Consult Pvt Ltd")</f>
        <v>Alliance Consult Pvt Ltd</v>
      </c>
      <c r="H1016" s="2" t="str">
        <f>IFERROR(__xludf.DUMMYFUNCTION("""COMPUTED_VALUE"""),"Battisputali, Kathmandu Tel: 01-6916772")</f>
        <v>Battisputali, Kathmandu Tel: 01-6916772</v>
      </c>
      <c r="I1016" s="2" t="str">
        <f>IFERROR(__xludf.DUMMYFUNCTION("""COMPUTED_VALUE"""),"27o 10' 50""")</f>
        <v>27o 10' 50"</v>
      </c>
      <c r="J1016" s="2" t="str">
        <f>IFERROR(__xludf.DUMMYFUNCTION("""COMPUTED_VALUE"""),"27o 11' 50""")</f>
        <v>27o 11' 50"</v>
      </c>
      <c r="K1016" s="2" t="str">
        <f>IFERROR(__xludf.DUMMYFUNCTION("""COMPUTED_VALUE"""),"87o 51' 00""")</f>
        <v>87o 51' 00"</v>
      </c>
      <c r="L1016" s="2" t="str">
        <f>IFERROR(__xludf.DUMMYFUNCTION("""COMPUTED_VALUE"""),"87o 53' 45""")</f>
        <v>87o 53' 45"</v>
      </c>
      <c r="M1016" s="2" t="str">
        <f>IFERROR(__xludf.DUMMYFUNCTION("""COMPUTED_VALUE"""),"Sidin,Yanganam (Panchthar)")</f>
        <v>Sidin,Yanganam (Panchthar)</v>
      </c>
    </row>
    <row r="1017">
      <c r="A1017" s="2">
        <f>IFERROR(__xludf.DUMMYFUNCTION("""COMPUTED_VALUE"""),1016.0)</f>
        <v>1016</v>
      </c>
      <c r="B1017" s="2" t="str">
        <f>IFERROR(__xludf.DUMMYFUNCTION("""COMPUTED_VALUE"""),"Pangarpu Khola SHP")</f>
        <v>Pangarpu Khola SHP</v>
      </c>
      <c r="C1017" s="2">
        <f>IFERROR(__xludf.DUMMYFUNCTION("""COMPUTED_VALUE"""),0.9)</f>
        <v>0.9</v>
      </c>
      <c r="D1017" s="2" t="str">
        <f>IFERROR(__xludf.DUMMYFUNCTION("""COMPUTED_VALUE"""),"Pangarpu")</f>
        <v>Pangarpu</v>
      </c>
      <c r="E1017" s="2">
        <f>IFERROR(__xludf.DUMMYFUNCTION("""COMPUTED_VALUE"""),3792.0)</f>
        <v>3792</v>
      </c>
      <c r="F1017" s="3">
        <f>IFERROR(__xludf.DUMMYFUNCTION("""COMPUTED_VALUE"""),60624.0)</f>
        <v>60624</v>
      </c>
      <c r="G1017" s="2" t="str">
        <f>IFERROR(__xludf.DUMMYFUNCTION("""COMPUTED_VALUE"""),"Sok S. Tamang,P.B. Shrestha, P.S.tamang,J.B.Shrestha")</f>
        <v>Sok S. Tamang,P.B. Shrestha, P.S.tamang,J.B.Shrestha</v>
      </c>
      <c r="H1017" s="2" t="str">
        <f>IFERROR(__xludf.DUMMYFUNCTION("""COMPUTED_VALUE"""),"Jabire-1, Sindhupalchowk")</f>
        <v>Jabire-1, Sindhupalchowk</v>
      </c>
      <c r="I1017" s="2" t="str">
        <f>IFERROR(__xludf.DUMMYFUNCTION("""COMPUTED_VALUE"""),"27o 54' 00""")</f>
        <v>27o 54' 00"</v>
      </c>
      <c r="J1017" s="2" t="str">
        <f>IFERROR(__xludf.DUMMYFUNCTION("""COMPUTED_VALUE"""),"27o 55' 00""")</f>
        <v>27o 55' 00"</v>
      </c>
      <c r="K1017" s="2" t="str">
        <f>IFERROR(__xludf.DUMMYFUNCTION("""COMPUTED_VALUE"""),"85o 46' 30""")</f>
        <v>85o 46' 30"</v>
      </c>
      <c r="L1017" s="2" t="str">
        <f>IFERROR(__xludf.DUMMYFUNCTION("""COMPUTED_VALUE"""),"85o 48' 30""")</f>
        <v>85o 48' 30"</v>
      </c>
      <c r="M1017" s="2" t="str">
        <f>IFERROR(__xludf.DUMMYFUNCTION("""COMPUTED_VALUE"""),"Gumba,Pangtang (Sindhupalchok)")</f>
        <v>Gumba,Pangtang (Sindhupalchok)</v>
      </c>
    </row>
    <row r="1018">
      <c r="A1018" s="2">
        <f>IFERROR(__xludf.DUMMYFUNCTION("""COMPUTED_VALUE"""),1017.0)</f>
        <v>1017</v>
      </c>
      <c r="B1018" s="2" t="str">
        <f>IFERROR(__xludf.DUMMYFUNCTION("""COMPUTED_VALUE"""),"Chhahare Khola SHP")</f>
        <v>Chhahare Khola SHP</v>
      </c>
      <c r="C1018" s="2">
        <f>IFERROR(__xludf.DUMMYFUNCTION("""COMPUTED_VALUE"""),1.0)</f>
        <v>1</v>
      </c>
      <c r="D1018" s="2" t="str">
        <f>IFERROR(__xludf.DUMMYFUNCTION("""COMPUTED_VALUE"""),"Chhahare")</f>
        <v>Chhahare</v>
      </c>
      <c r="E1018" s="2">
        <f>IFERROR(__xludf.DUMMYFUNCTION("""COMPUTED_VALUE"""),3799.0)</f>
        <v>3799</v>
      </c>
      <c r="F1018" s="3">
        <f>IFERROR(__xludf.DUMMYFUNCTION("""COMPUTED_VALUE"""),60624.0)</f>
        <v>60624</v>
      </c>
      <c r="G1018" s="2" t="str">
        <f>IFERROR(__xludf.DUMMYFUNCTION("""COMPUTED_VALUE"""),"Sahasnath Adhikari, Yuvaraj Dhakal, Bansi Hari Koirala")</f>
        <v>Sahasnath Adhikari, Yuvaraj Dhakal, Bansi Hari Koirala</v>
      </c>
      <c r="H1018" s="2" t="str">
        <f>IFERROR(__xludf.DUMMYFUNCTION("""COMPUTED_VALUE"""),"Lamjung, rupandehi")</f>
        <v>Lamjung, rupandehi</v>
      </c>
      <c r="I1018" s="2" t="str">
        <f>IFERROR(__xludf.DUMMYFUNCTION("""COMPUTED_VALUE"""),"28o 26' 45""")</f>
        <v>28o 26' 45"</v>
      </c>
      <c r="J1018" s="2" t="str">
        <f>IFERROR(__xludf.DUMMYFUNCTION("""COMPUTED_VALUE"""),"28o 28' 00""")</f>
        <v>28o 28' 00"</v>
      </c>
      <c r="K1018" s="2" t="str">
        <f>IFERROR(__xludf.DUMMYFUNCTION("""COMPUTED_VALUE"""),"84o 25' 00""")</f>
        <v>84o 25' 00"</v>
      </c>
      <c r="L1018" s="2" t="str">
        <f>IFERROR(__xludf.DUMMYFUNCTION("""COMPUTED_VALUE"""),"84o 26' 22""")</f>
        <v>84o 26' 22"</v>
      </c>
      <c r="M1018" s="2" t="str">
        <f>IFERROR(__xludf.DUMMYFUNCTION("""COMPUTED_VALUE"""),"Ghermu (Lamjung)")</f>
        <v>Ghermu (Lamjung)</v>
      </c>
    </row>
    <row r="1019">
      <c r="A1019" s="2">
        <f>IFERROR(__xludf.DUMMYFUNCTION("""COMPUTED_VALUE"""),1018.0)</f>
        <v>1018</v>
      </c>
      <c r="B1019" s="2" t="str">
        <f>IFERROR(__xludf.DUMMYFUNCTION("""COMPUTED_VALUE"""),"Kawai Chharaha Khola SHP")</f>
        <v>Kawai Chharaha Khola SHP</v>
      </c>
      <c r="C1019" s="2">
        <f>IFERROR(__xludf.DUMMYFUNCTION("""COMPUTED_VALUE"""),0.88)</f>
        <v>0.88</v>
      </c>
      <c r="D1019" s="2" t="str">
        <f>IFERROR(__xludf.DUMMYFUNCTION("""COMPUTED_VALUE"""),"Kawai Chharaha Khola")</f>
        <v>Kawai Chharaha Khola</v>
      </c>
      <c r="E1019" s="2">
        <f>IFERROR(__xludf.DUMMYFUNCTION("""COMPUTED_VALUE"""),3800.0)</f>
        <v>3800</v>
      </c>
      <c r="F1019" s="3">
        <f>IFERROR(__xludf.DUMMYFUNCTION("""COMPUTED_VALUE"""),60624.0)</f>
        <v>60624</v>
      </c>
      <c r="G1019" s="2" t="str">
        <f>IFERROR(__xludf.DUMMYFUNCTION("""COMPUTED_VALUE"""),"Sahasnath Adhikari,Yuvraj Dhakal, Bansi Hari Koiral")</f>
        <v>Sahasnath Adhikari,Yuvraj Dhakal, Bansi Hari Koiral</v>
      </c>
      <c r="H1019" s="2" t="str">
        <f>IFERROR(__xludf.DUMMYFUNCTION("""COMPUTED_VALUE"""),"Lamjung , Rupandehi")</f>
        <v>Lamjung , Rupandehi</v>
      </c>
      <c r="I1019" s="2" t="str">
        <f>IFERROR(__xludf.DUMMYFUNCTION("""COMPUTED_VALUE"""),"28o 28' 00""")</f>
        <v>28o 28' 00"</v>
      </c>
      <c r="J1019" s="2" t="str">
        <f>IFERROR(__xludf.DUMMYFUNCTION("""COMPUTED_VALUE"""),"28o 28' 40""")</f>
        <v>28o 28' 40"</v>
      </c>
      <c r="K1019" s="2" t="str">
        <f>IFERROR(__xludf.DUMMYFUNCTION("""COMPUTED_VALUE"""),"84o 22' 34""")</f>
        <v>84o 22' 34"</v>
      </c>
      <c r="L1019" s="2" t="str">
        <f>IFERROR(__xludf.DUMMYFUNCTION("""COMPUTED_VALUE"""),"84o 24' 00""")</f>
        <v>84o 24' 00"</v>
      </c>
      <c r="M1019" s="2" t="str">
        <f>IFERROR(__xludf.DUMMYFUNCTION("""COMPUTED_VALUE"""),"Ghermu (Lamjung)")</f>
        <v>Ghermu (Lamjung)</v>
      </c>
    </row>
    <row r="1020">
      <c r="A1020" s="2">
        <f>IFERROR(__xludf.DUMMYFUNCTION("""COMPUTED_VALUE"""),1019.0)</f>
        <v>1019</v>
      </c>
      <c r="B1020" s="2" t="str">
        <f>IFERROR(__xludf.DUMMYFUNCTION("""COMPUTED_VALUE"""),"Nyam Nyam Khola SHP")</f>
        <v>Nyam Nyam Khola SHP</v>
      </c>
      <c r="C1020" s="2">
        <f>IFERROR(__xludf.DUMMYFUNCTION("""COMPUTED_VALUE"""),0.8)</f>
        <v>0.8</v>
      </c>
      <c r="D1020" s="2" t="str">
        <f>IFERROR(__xludf.DUMMYFUNCTION("""COMPUTED_VALUE"""),"Nyam Nyam Khola")</f>
        <v>Nyam Nyam Khola</v>
      </c>
      <c r="E1020" s="2">
        <f>IFERROR(__xludf.DUMMYFUNCTION("""COMPUTED_VALUE"""),3812.0)</f>
        <v>3812</v>
      </c>
      <c r="F1020" s="3">
        <f>IFERROR(__xludf.DUMMYFUNCTION("""COMPUTED_VALUE"""),60624.0)</f>
        <v>60624</v>
      </c>
      <c r="G1020" s="2" t="str">
        <f>IFERROR(__xludf.DUMMYFUNCTION("""COMPUTED_VALUE"""),"Dalu Tamang, Seti Gurung")</f>
        <v>Dalu Tamang, Seti Gurung</v>
      </c>
      <c r="H1020" s="2" t="str">
        <f>IFERROR(__xludf.DUMMYFUNCTION("""COMPUTED_VALUE"""),"Dadagaon VDC-8, Rasuwa")</f>
        <v>Dadagaon VDC-8, Rasuwa</v>
      </c>
      <c r="I1020" s="2" t="str">
        <f>IFERROR(__xludf.DUMMYFUNCTION("""COMPUTED_VALUE"""),"28o 04' 20""")</f>
        <v>28o 04' 20"</v>
      </c>
      <c r="J1020" s="2" t="str">
        <f>IFERROR(__xludf.DUMMYFUNCTION("""COMPUTED_VALUE"""),"28o 05' 30""")</f>
        <v>28o 05' 30"</v>
      </c>
      <c r="K1020" s="2" t="str">
        <f>IFERROR(__xludf.DUMMYFUNCTION("""COMPUTED_VALUE"""),"85o 08' 08""")</f>
        <v>85o 08' 08"</v>
      </c>
      <c r="L1020" s="2" t="str">
        <f>IFERROR(__xludf.DUMMYFUNCTION("""COMPUTED_VALUE"""),"85o 10' 46""")</f>
        <v>85o 10' 46"</v>
      </c>
      <c r="M1020" s="2" t="str">
        <f>IFERROR(__xludf.DUMMYFUNCTION("""COMPUTED_VALUE"""),"Dandagoun (Rasuwa)")</f>
        <v>Dandagoun (Rasuwa)</v>
      </c>
    </row>
    <row r="1021">
      <c r="A1021" s="2">
        <f>IFERROR(__xludf.DUMMYFUNCTION("""COMPUTED_VALUE"""),1020.0)</f>
        <v>1020</v>
      </c>
      <c r="B1021" s="2" t="str">
        <f>IFERROR(__xludf.DUMMYFUNCTION("""COMPUTED_VALUE"""),"Manma Karnali HPP")</f>
        <v>Manma Karnali HPP</v>
      </c>
      <c r="C1021" s="2">
        <f>IFERROR(__xludf.DUMMYFUNCTION("""COMPUTED_VALUE"""),175.0)</f>
        <v>175</v>
      </c>
      <c r="D1021" s="2" t="str">
        <f>IFERROR(__xludf.DUMMYFUNCTION("""COMPUTED_VALUE"""),"Karnali")</f>
        <v>Karnali</v>
      </c>
      <c r="E1021" s="2">
        <f>IFERROR(__xludf.DUMMYFUNCTION("""COMPUTED_VALUE"""),3814.0)</f>
        <v>3814</v>
      </c>
      <c r="F1021" s="3">
        <f>IFERROR(__xludf.DUMMYFUNCTION("""COMPUTED_VALUE"""),60624.0)</f>
        <v>60624</v>
      </c>
      <c r="G1021" s="2" t="str">
        <f>IFERROR(__xludf.DUMMYFUNCTION("""COMPUTED_VALUE"""),"Sun Technique Power Pvt Ltd")</f>
        <v>Sun Technique Power Pvt Ltd</v>
      </c>
      <c r="H1021" s="2" t="str">
        <f>IFERROR(__xludf.DUMMYFUNCTION("""COMPUTED_VALUE"""),"Kathmandu , Tel: 9851047597")</f>
        <v>Kathmandu , Tel: 9851047597</v>
      </c>
      <c r="I1021" s="2" t="str">
        <f>IFERROR(__xludf.DUMMYFUNCTION("""COMPUTED_VALUE"""),"29o 05' 00""")</f>
        <v>29o 05' 00"</v>
      </c>
      <c r="J1021" s="2" t="str">
        <f>IFERROR(__xludf.DUMMYFUNCTION("""COMPUTED_VALUE"""),"29o 08' 45""")</f>
        <v>29o 08' 45"</v>
      </c>
      <c r="K1021" s="2" t="str">
        <f>IFERROR(__xludf.DUMMYFUNCTION("""COMPUTED_VALUE"""),"81o 30' 00""")</f>
        <v>81o 30' 00"</v>
      </c>
      <c r="L1021" s="2" t="str">
        <f>IFERROR(__xludf.DUMMYFUNCTION("""COMPUTED_VALUE"""),"81o 35' 00""")</f>
        <v>81o 35' 00"</v>
      </c>
      <c r="M1021" s="2" t="str">
        <f>IFERROR(__xludf.DUMMYFUNCTION("""COMPUTED_VALUE"""),"Pipalkot (Dailekh) Manma (Kalikot)")</f>
        <v>Pipalkot (Dailekh) Manma (Kalikot)</v>
      </c>
    </row>
    <row r="1022">
      <c r="A1022" s="2">
        <f>IFERROR(__xludf.DUMMYFUNCTION("""COMPUTED_VALUE"""),1021.0)</f>
        <v>1021</v>
      </c>
      <c r="B1022" s="2" t="str">
        <f>IFERROR(__xludf.DUMMYFUNCTION("""COMPUTED_VALUE"""),"Lohore Khola SHp")</f>
        <v>Lohore Khola SHp</v>
      </c>
      <c r="C1022" s="2">
        <f>IFERROR(__xludf.DUMMYFUNCTION("""COMPUTED_VALUE"""),0.99)</f>
        <v>0.99</v>
      </c>
      <c r="D1022" s="2" t="str">
        <f>IFERROR(__xludf.DUMMYFUNCTION("""COMPUTED_VALUE"""),"Lohore Khola")</f>
        <v>Lohore Khola</v>
      </c>
      <c r="E1022" s="2">
        <f>IFERROR(__xludf.DUMMYFUNCTION("""COMPUTED_VALUE"""),3819.0)</f>
        <v>3819</v>
      </c>
      <c r="F1022" s="3">
        <f>IFERROR(__xludf.DUMMYFUNCTION("""COMPUTED_VALUE"""),60625.0)</f>
        <v>60625</v>
      </c>
      <c r="G1022" s="2" t="str">
        <f>IFERROR(__xludf.DUMMYFUNCTION("""COMPUTED_VALUE"""),"Netra Kumar Kuikel")</f>
        <v>Netra Kumar Kuikel</v>
      </c>
      <c r="H1022" s="2" t="str">
        <f>IFERROR(__xludf.DUMMYFUNCTION("""COMPUTED_VALUE"""),"Kathmandu , Tel: 9851100414")</f>
        <v>Kathmandu , Tel: 9851100414</v>
      </c>
      <c r="I1022" s="2" t="str">
        <f>IFERROR(__xludf.DUMMYFUNCTION("""COMPUTED_VALUE"""),"00o 00' 00""")</f>
        <v>00o 00' 00"</v>
      </c>
      <c r="J1022" s="2" t="str">
        <f>IFERROR(__xludf.DUMMYFUNCTION("""COMPUTED_VALUE"""),"00o 00' 00""")</f>
        <v>00o 00' 00"</v>
      </c>
      <c r="K1022" s="2" t="str">
        <f>IFERROR(__xludf.DUMMYFUNCTION("""COMPUTED_VALUE"""),"00o 00' 00""")</f>
        <v>00o 00' 00"</v>
      </c>
      <c r="L1022" s="2" t="str">
        <f>IFERROR(__xludf.DUMMYFUNCTION("""COMPUTED_VALUE"""),"00o 00' 00""")</f>
        <v>00o 00' 00"</v>
      </c>
      <c r="M1022" s="2" t="str">
        <f>IFERROR(__xludf.DUMMYFUNCTION("""COMPUTED_VALUE"""),"Nomule (Dailekh)")</f>
        <v>Nomule (Dailekh)</v>
      </c>
    </row>
    <row r="1023">
      <c r="A1023" s="2">
        <f>IFERROR(__xludf.DUMMYFUNCTION("""COMPUTED_VALUE"""),1022.0)</f>
        <v>1022</v>
      </c>
      <c r="B1023" s="2" t="str">
        <f>IFERROR(__xludf.DUMMYFUNCTION("""COMPUTED_VALUE"""),"Lohore Khola-1 HHP")</f>
        <v>Lohore Khola-1 HHP</v>
      </c>
      <c r="C1023" s="2">
        <f>IFERROR(__xludf.DUMMYFUNCTION("""COMPUTED_VALUE"""),0.99)</f>
        <v>0.99</v>
      </c>
      <c r="D1023" s="2" t="str">
        <f>IFERROR(__xludf.DUMMYFUNCTION("""COMPUTED_VALUE"""),"Lohore Khola")</f>
        <v>Lohore Khola</v>
      </c>
      <c r="E1023" s="2">
        <f>IFERROR(__xludf.DUMMYFUNCTION("""COMPUTED_VALUE"""),3820.0)</f>
        <v>3820</v>
      </c>
      <c r="F1023" s="3">
        <f>IFERROR(__xludf.DUMMYFUNCTION("""COMPUTED_VALUE"""),60625.0)</f>
        <v>60625</v>
      </c>
      <c r="G1023" s="2" t="str">
        <f>IFERROR(__xludf.DUMMYFUNCTION("""COMPUTED_VALUE"""),"Netra Kumar Kuikel")</f>
        <v>Netra Kumar Kuikel</v>
      </c>
      <c r="H1023" s="2" t="str">
        <f>IFERROR(__xludf.DUMMYFUNCTION("""COMPUTED_VALUE"""),"Chahbil Kathmandu, Tel: 9851100414")</f>
        <v>Chahbil Kathmandu, Tel: 9851100414</v>
      </c>
      <c r="I1023" s="2" t="str">
        <f>IFERROR(__xludf.DUMMYFUNCTION("""COMPUTED_VALUE"""),"00o 00' 00""")</f>
        <v>00o 00' 00"</v>
      </c>
      <c r="J1023" s="2" t="str">
        <f>IFERROR(__xludf.DUMMYFUNCTION("""COMPUTED_VALUE"""),"00o 00' 00""")</f>
        <v>00o 00' 00"</v>
      </c>
      <c r="K1023" s="2" t="str">
        <f>IFERROR(__xludf.DUMMYFUNCTION("""COMPUTED_VALUE"""),"00o 00' 00""")</f>
        <v>00o 00' 00"</v>
      </c>
      <c r="L1023" s="2" t="str">
        <f>IFERROR(__xludf.DUMMYFUNCTION("""COMPUTED_VALUE"""),"00o 00' 00""")</f>
        <v>00o 00' 00"</v>
      </c>
      <c r="M1023" s="2" t="str">
        <f>IFERROR(__xludf.DUMMYFUNCTION("""COMPUTED_VALUE"""),"Bindhyabasini (Dailekh)")</f>
        <v>Bindhyabasini (Dailekh)</v>
      </c>
    </row>
    <row r="1024">
      <c r="A1024" s="2">
        <f>IFERROR(__xludf.DUMMYFUNCTION("""COMPUTED_VALUE"""),1023.0)</f>
        <v>1023</v>
      </c>
      <c r="B1024" s="2" t="str">
        <f>IFERROR(__xludf.DUMMYFUNCTION("""COMPUTED_VALUE"""),"Ghatte Khola SHP")</f>
        <v>Ghatte Khola SHP</v>
      </c>
      <c r="C1024" s="2">
        <f>IFERROR(__xludf.DUMMYFUNCTION("""COMPUTED_VALUE"""),1.0)</f>
        <v>1</v>
      </c>
      <c r="D1024" s="2" t="str">
        <f>IFERROR(__xludf.DUMMYFUNCTION("""COMPUTED_VALUE"""),"Ghatte Khola")</f>
        <v>Ghatte Khola</v>
      </c>
      <c r="E1024" s="2">
        <f>IFERROR(__xludf.DUMMYFUNCTION("""COMPUTED_VALUE"""),3828.0)</f>
        <v>3828</v>
      </c>
      <c r="F1024" s="3">
        <f>IFERROR(__xludf.DUMMYFUNCTION("""COMPUTED_VALUE"""),60625.0)</f>
        <v>60625</v>
      </c>
      <c r="G1024" s="2" t="str">
        <f>IFERROR(__xludf.DUMMYFUNCTION("""COMPUTED_VALUE"""),"A.P.C. Sherpa, A.Maya.Sherpa,Shreejan Khatri")</f>
        <v>A.P.C. Sherpa, A.Maya.Sherpa,Shreejan Khatri</v>
      </c>
      <c r="H1024" s="2" t="str">
        <f>IFERROR(__xludf.DUMMYFUNCTION("""COMPUTED_VALUE"""),"Dolkha, Ramechhap,Solukhumbu Tel: 01-4484774,9841573676,9851069984")</f>
        <v>Dolkha, Ramechhap,Solukhumbu Tel: 01-4484774,9841573676,9851069984</v>
      </c>
      <c r="I1024" s="2" t="str">
        <f>IFERROR(__xludf.DUMMYFUNCTION("""COMPUTED_VALUE"""),"27o 54' 43""")</f>
        <v>27o 54' 43"</v>
      </c>
      <c r="J1024" s="2" t="str">
        <f>IFERROR(__xludf.DUMMYFUNCTION("""COMPUTED_VALUE"""),"27o 55' 25""")</f>
        <v>27o 55' 25"</v>
      </c>
      <c r="K1024" s="2" t="str">
        <f>IFERROR(__xludf.DUMMYFUNCTION("""COMPUTED_VALUE"""),"86o 11' 13""")</f>
        <v>86o 11' 13"</v>
      </c>
      <c r="L1024" s="2" t="str">
        <f>IFERROR(__xludf.DUMMYFUNCTION("""COMPUTED_VALUE"""),"86o 12' 45""")</f>
        <v>86o 12' 45"</v>
      </c>
      <c r="M1024" s="2" t="str">
        <f>IFERROR(__xludf.DUMMYFUNCTION("""COMPUTED_VALUE"""),"Lamabagar (Dolakha)")</f>
        <v>Lamabagar (Dolakha)</v>
      </c>
    </row>
    <row r="1025">
      <c r="A1025" s="2">
        <f>IFERROR(__xludf.DUMMYFUNCTION("""COMPUTED_VALUE"""),1024.0)</f>
        <v>1024</v>
      </c>
      <c r="B1025" s="2" t="str">
        <f>IFERROR(__xludf.DUMMYFUNCTION("""COMPUTED_VALUE"""),"Midhi Khola SHP")</f>
        <v>Midhi Khola SHP</v>
      </c>
      <c r="C1025" s="2">
        <f>IFERROR(__xludf.DUMMYFUNCTION("""COMPUTED_VALUE"""),0.988)</f>
        <v>0.988</v>
      </c>
      <c r="D1025" s="2" t="str">
        <f>IFERROR(__xludf.DUMMYFUNCTION("""COMPUTED_VALUE"""),"Midhi")</f>
        <v>Midhi</v>
      </c>
      <c r="E1025" s="2">
        <f>IFERROR(__xludf.DUMMYFUNCTION("""COMPUTED_VALUE"""),3831.0)</f>
        <v>3831</v>
      </c>
      <c r="F1025" s="3">
        <f>IFERROR(__xludf.DUMMYFUNCTION("""COMPUTED_VALUE"""),60626.0)</f>
        <v>60626</v>
      </c>
      <c r="G1025" s="2" t="str">
        <f>IFERROR(__xludf.DUMMYFUNCTION("""COMPUTED_VALUE"""),"Tirupati Nirman Sewa and Suppliers")</f>
        <v>Tirupati Nirman Sewa and Suppliers</v>
      </c>
      <c r="H1025" s="2" t="str">
        <f>IFERROR(__xludf.DUMMYFUNCTION("""COMPUTED_VALUE"""),"Nawalparasi, Tel: 9857021658")</f>
        <v>Nawalparasi, Tel: 9857021658</v>
      </c>
      <c r="I1025" s="2" t="str">
        <f>IFERROR(__xludf.DUMMYFUNCTION("""COMPUTED_VALUE"""),"28o 07' 00""")</f>
        <v>28o 07' 00"</v>
      </c>
      <c r="J1025" s="2" t="str">
        <f>IFERROR(__xludf.DUMMYFUNCTION("""COMPUTED_VALUE"""),"28o 08' 30""")</f>
        <v>28o 08' 30"</v>
      </c>
      <c r="K1025" s="2" t="str">
        <f>IFERROR(__xludf.DUMMYFUNCTION("""COMPUTED_VALUE"""),"83o 23' 00""")</f>
        <v>83o 23' 00"</v>
      </c>
      <c r="L1025" s="2" t="str">
        <f>IFERROR(__xludf.DUMMYFUNCTION("""COMPUTED_VALUE"""),"83o 25' 00""")</f>
        <v>83o 25' 00"</v>
      </c>
      <c r="M1025" s="2" t="str">
        <f>IFERROR(__xludf.DUMMYFUNCTION("""COMPUTED_VALUE"""),"Harrachaur (Gulmi)")</f>
        <v>Harrachaur (Gulmi)</v>
      </c>
    </row>
    <row r="1026">
      <c r="A1026" s="2">
        <f>IFERROR(__xludf.DUMMYFUNCTION("""COMPUTED_VALUE"""),1025.0)</f>
        <v>1025</v>
      </c>
      <c r="B1026" s="2" t="str">
        <f>IFERROR(__xludf.DUMMYFUNCTION("""COMPUTED_VALUE"""),"Yamblin Khola SHP")</f>
        <v>Yamblin Khola SHP</v>
      </c>
      <c r="C1026" s="2">
        <f>IFERROR(__xludf.DUMMYFUNCTION("""COMPUTED_VALUE"""),0.998)</f>
        <v>0.998</v>
      </c>
      <c r="D1026" s="2" t="str">
        <f>IFERROR(__xludf.DUMMYFUNCTION("""COMPUTED_VALUE"""),"Yambling")</f>
        <v>Yambling</v>
      </c>
      <c r="E1026" s="2">
        <f>IFERROR(__xludf.DUMMYFUNCTION("""COMPUTED_VALUE"""),3839.0)</f>
        <v>3839</v>
      </c>
      <c r="F1026" s="3">
        <f>IFERROR(__xludf.DUMMYFUNCTION("""COMPUTED_VALUE"""),60626.0)</f>
        <v>60626</v>
      </c>
      <c r="G1026" s="2" t="str">
        <f>IFERROR(__xludf.DUMMYFUNCTION("""COMPUTED_VALUE"""),"Sok S. Tamang,P.B. Shrestha, P.S.tamang,J.B.Shrestha")</f>
        <v>Sok S. Tamang,P.B. Shrestha, P.S.tamang,J.B.Shrestha</v>
      </c>
      <c r="H1026" s="2" t="str">
        <f>IFERROR(__xludf.DUMMYFUNCTION("""COMPUTED_VALUE"""),"Jabire-1, Sindhupalchowk")</f>
        <v>Jabire-1, Sindhupalchowk</v>
      </c>
      <c r="I1026" s="2" t="str">
        <f>IFERROR(__xludf.DUMMYFUNCTION("""COMPUTED_VALUE"""),"27o 56' 20""")</f>
        <v>27o 56' 20"</v>
      </c>
      <c r="J1026" s="2" t="str">
        <f>IFERROR(__xludf.DUMMYFUNCTION("""COMPUTED_VALUE"""),"27o 57' 40""")</f>
        <v>27o 57' 40"</v>
      </c>
      <c r="K1026" s="2" t="str">
        <f>IFERROR(__xludf.DUMMYFUNCTION("""COMPUTED_VALUE"""),"85o 48' 00""")</f>
        <v>85o 48' 00"</v>
      </c>
      <c r="L1026" s="2" t="str">
        <f>IFERROR(__xludf.DUMMYFUNCTION("""COMPUTED_VALUE"""),"85o 49' 40""")</f>
        <v>85o 49' 40"</v>
      </c>
      <c r="M1026" s="2" t="str">
        <f>IFERROR(__xludf.DUMMYFUNCTION("""COMPUTED_VALUE"""),"Gumba (Sindhupalchok)")</f>
        <v>Gumba (Sindhupalchok)</v>
      </c>
    </row>
    <row r="1027">
      <c r="A1027" s="2">
        <f>IFERROR(__xludf.DUMMYFUNCTION("""COMPUTED_VALUE"""),1026.0)</f>
        <v>1026</v>
      </c>
      <c r="B1027" s="2" t="str">
        <f>IFERROR(__xludf.DUMMYFUNCTION("""COMPUTED_VALUE"""),"Jurimba Khola SHP")</f>
        <v>Jurimba Khola SHP</v>
      </c>
      <c r="C1027" s="2">
        <f>IFERROR(__xludf.DUMMYFUNCTION("""COMPUTED_VALUE"""),0.998)</f>
        <v>0.998</v>
      </c>
      <c r="D1027" s="2" t="str">
        <f>IFERROR(__xludf.DUMMYFUNCTION("""COMPUTED_VALUE"""),"Jurimba")</f>
        <v>Jurimba</v>
      </c>
      <c r="E1027" s="2">
        <f>IFERROR(__xludf.DUMMYFUNCTION("""COMPUTED_VALUE"""),3840.0)</f>
        <v>3840</v>
      </c>
      <c r="F1027" s="3">
        <f>IFERROR(__xludf.DUMMYFUNCTION("""COMPUTED_VALUE"""),60626.0)</f>
        <v>60626</v>
      </c>
      <c r="G1027" s="2" t="str">
        <f>IFERROR(__xludf.DUMMYFUNCTION("""COMPUTED_VALUE"""),"Sok S. Tamang,P.B. Shrestha, P.S.tamang,J.B.Shrestha,K.P. Shrestha")</f>
        <v>Sok S. Tamang,P.B. Shrestha, P.S.tamang,J.B.Shrestha,K.P. Shrestha</v>
      </c>
      <c r="H1027" s="2" t="str">
        <f>IFERROR(__xludf.DUMMYFUNCTION("""COMPUTED_VALUE"""),"Jabire-1, Sindhupalchowk")</f>
        <v>Jabire-1, Sindhupalchowk</v>
      </c>
      <c r="I1027" s="2" t="str">
        <f>IFERROR(__xludf.DUMMYFUNCTION("""COMPUTED_VALUE"""),"27o 55' 00""")</f>
        <v>27o 55' 00"</v>
      </c>
      <c r="J1027" s="2" t="str">
        <f>IFERROR(__xludf.DUMMYFUNCTION("""COMPUTED_VALUE"""),"27o 57' 30""")</f>
        <v>27o 57' 30"</v>
      </c>
      <c r="K1027" s="2" t="str">
        <f>IFERROR(__xludf.DUMMYFUNCTION("""COMPUTED_VALUE"""),"85o 53' 00""")</f>
        <v>85o 53' 00"</v>
      </c>
      <c r="L1027" s="2" t="str">
        <f>IFERROR(__xludf.DUMMYFUNCTION("""COMPUTED_VALUE"""),"85o 54' 00""")</f>
        <v>85o 54' 00"</v>
      </c>
      <c r="M1027" s="2" t="str">
        <f>IFERROR(__xludf.DUMMYFUNCTION("""COMPUTED_VALUE"""),"Listi (Sindhupalchok)")</f>
        <v>Listi (Sindhupalchok)</v>
      </c>
    </row>
    <row r="1028">
      <c r="A1028" s="2">
        <f>IFERROR(__xludf.DUMMYFUNCTION("""COMPUTED_VALUE"""),1027.0)</f>
        <v>1027</v>
      </c>
      <c r="B1028" s="2" t="str">
        <f>IFERROR(__xludf.DUMMYFUNCTION("""COMPUTED_VALUE"""),"Super Saptang Khola SHP")</f>
        <v>Super Saptang Khola SHP</v>
      </c>
      <c r="C1028" s="2">
        <f>IFERROR(__xludf.DUMMYFUNCTION("""COMPUTED_VALUE"""),0.988)</f>
        <v>0.988</v>
      </c>
      <c r="D1028" s="2" t="str">
        <f>IFERROR(__xludf.DUMMYFUNCTION("""COMPUTED_VALUE"""),"Saptang")</f>
        <v>Saptang</v>
      </c>
      <c r="E1028" s="2">
        <f>IFERROR(__xludf.DUMMYFUNCTION("""COMPUTED_VALUE"""),3852.0)</f>
        <v>3852</v>
      </c>
      <c r="F1028" s="3">
        <f>IFERROR(__xludf.DUMMYFUNCTION("""COMPUTED_VALUE"""),60626.0)</f>
        <v>60626</v>
      </c>
      <c r="G1028" s="2" t="str">
        <f>IFERROR(__xludf.DUMMYFUNCTION("""COMPUTED_VALUE"""),"Ker Singh Tamang")</f>
        <v>Ker Singh Tamang</v>
      </c>
      <c r="H1028" s="2" t="str">
        <f>IFERROR(__xludf.DUMMYFUNCTION("""COMPUTED_VALUE"""),"Salme-5, Nuwakot, Tel: 9741184149")</f>
        <v>Salme-5, Nuwakot, Tel: 9741184149</v>
      </c>
      <c r="I1028" s="2" t="str">
        <f>IFERROR(__xludf.DUMMYFUNCTION("""COMPUTED_VALUE"""),"28o 02' 00""")</f>
        <v>28o 02' 00"</v>
      </c>
      <c r="J1028" s="2" t="str">
        <f>IFERROR(__xludf.DUMMYFUNCTION("""COMPUTED_VALUE"""),"28o 03' 38""")</f>
        <v>28o 03' 38"</v>
      </c>
      <c r="K1028" s="2" t="str">
        <f>IFERROR(__xludf.DUMMYFUNCTION("""COMPUTED_VALUE"""),"85o 05' 16""")</f>
        <v>85o 05' 16"</v>
      </c>
      <c r="L1028" s="2" t="str">
        <f>IFERROR(__xludf.DUMMYFUNCTION("""COMPUTED_VALUE"""),"85o 07' 43""")</f>
        <v>85o 07' 43"</v>
      </c>
      <c r="M1028" s="2" t="str">
        <f>IFERROR(__xludf.DUMMYFUNCTION("""COMPUTED_VALUE"""),"Salme (Nuwakot)")</f>
        <v>Salme (Nuwakot)</v>
      </c>
    </row>
    <row r="1029">
      <c r="A1029" s="2">
        <f>IFERROR(__xludf.DUMMYFUNCTION("""COMPUTED_VALUE"""),1028.0)</f>
        <v>1028</v>
      </c>
      <c r="B1029" s="2" t="str">
        <f>IFERROR(__xludf.DUMMYFUNCTION("""COMPUTED_VALUE"""),"Middle Saptang")</f>
        <v>Middle Saptang</v>
      </c>
      <c r="C1029" s="2">
        <f>IFERROR(__xludf.DUMMYFUNCTION("""COMPUTED_VALUE"""),0.5)</f>
        <v>0.5</v>
      </c>
      <c r="D1029" s="2" t="str">
        <f>IFERROR(__xludf.DUMMYFUNCTION("""COMPUTED_VALUE"""),"Saptang")</f>
        <v>Saptang</v>
      </c>
      <c r="E1029" s="2">
        <f>IFERROR(__xludf.DUMMYFUNCTION("""COMPUTED_VALUE"""),3853.0)</f>
        <v>3853</v>
      </c>
      <c r="F1029" s="3">
        <f>IFERROR(__xludf.DUMMYFUNCTION("""COMPUTED_VALUE"""),60626.0)</f>
        <v>60626</v>
      </c>
      <c r="G1029" s="2" t="str">
        <f>IFERROR(__xludf.DUMMYFUNCTION("""COMPUTED_VALUE"""),"Dhan Bahadur Ghale")</f>
        <v>Dhan Bahadur Ghale</v>
      </c>
      <c r="H1029" s="2" t="str">
        <f>IFERROR(__xludf.DUMMYFUNCTION("""COMPUTED_VALUE"""),"Salme-2, Nuwakot, Tel: 9841539046")</f>
        <v>Salme-2, Nuwakot, Tel: 9841539046</v>
      </c>
      <c r="I1029" s="2" t="str">
        <f>IFERROR(__xludf.DUMMYFUNCTION("""COMPUTED_VALUE"""),"27o 59' 30""")</f>
        <v>27o 59' 30"</v>
      </c>
      <c r="J1029" s="2" t="str">
        <f>IFERROR(__xludf.DUMMYFUNCTION("""COMPUTED_VALUE"""),"28o 00' 00""")</f>
        <v>28o 00' 00"</v>
      </c>
      <c r="K1029" s="2" t="str">
        <f>IFERROR(__xludf.DUMMYFUNCTION("""COMPUTED_VALUE"""),"85o 06' 40""")</f>
        <v>85o 06' 40"</v>
      </c>
      <c r="L1029" s="2" t="str">
        <f>IFERROR(__xludf.DUMMYFUNCTION("""COMPUTED_VALUE"""),"85o 07' 30""")</f>
        <v>85o 07' 30"</v>
      </c>
      <c r="M1029" s="2" t="str">
        <f>IFERROR(__xludf.DUMMYFUNCTION("""COMPUTED_VALUE"""),"Bungtang (Nuwakot)")</f>
        <v>Bungtang (Nuwakot)</v>
      </c>
    </row>
    <row r="1030">
      <c r="A1030" s="2">
        <f>IFERROR(__xludf.DUMMYFUNCTION("""COMPUTED_VALUE"""),1029.0)</f>
        <v>1029</v>
      </c>
      <c r="B1030" s="2" t="str">
        <f>IFERROR(__xludf.DUMMYFUNCTION("""COMPUTED_VALUE"""),"Lohore Khola HPP")</f>
        <v>Lohore Khola HPP</v>
      </c>
      <c r="C1030" s="2">
        <f>IFERROR(__xludf.DUMMYFUNCTION("""COMPUTED_VALUE"""),4.54)</f>
        <v>4.54</v>
      </c>
      <c r="D1030" s="2" t="str">
        <f>IFERROR(__xludf.DUMMYFUNCTION("""COMPUTED_VALUE"""),"Lohore Khola")</f>
        <v>Lohore Khola</v>
      </c>
      <c r="E1030" s="2">
        <f>IFERROR(__xludf.DUMMYFUNCTION("""COMPUTED_VALUE"""),3860.0)</f>
        <v>3860</v>
      </c>
      <c r="F1030" s="3">
        <f>IFERROR(__xludf.DUMMYFUNCTION("""COMPUTED_VALUE"""),60627.0)</f>
        <v>60627</v>
      </c>
      <c r="G1030" s="2" t="str">
        <f>IFERROR(__xludf.DUMMYFUNCTION("""COMPUTED_VALUE"""),"Horizon Energy Development Company")</f>
        <v>Horizon Energy Development Company</v>
      </c>
      <c r="H1030" s="2" t="str">
        <f>IFERROR(__xludf.DUMMYFUNCTION("""COMPUTED_VALUE"""),"Kalanki-14, Kathmandu Tel: 9003554085")</f>
        <v>Kalanki-14, Kathmandu Tel: 9003554085</v>
      </c>
      <c r="I1030" s="2" t="str">
        <f>IFERROR(__xludf.DUMMYFUNCTION("""COMPUTED_VALUE"""),"28o 48' 40""")</f>
        <v>28o 48' 40"</v>
      </c>
      <c r="J1030" s="2" t="str">
        <f>IFERROR(__xludf.DUMMYFUNCTION("""COMPUTED_VALUE"""),"28o 52' 30""")</f>
        <v>28o 52' 30"</v>
      </c>
      <c r="K1030" s="2" t="str">
        <f>IFERROR(__xludf.DUMMYFUNCTION("""COMPUTED_VALUE"""),"81o 44' 05""")</f>
        <v>81o 44' 05"</v>
      </c>
      <c r="L1030" s="2" t="str">
        <f>IFERROR(__xludf.DUMMYFUNCTION("""COMPUTED_VALUE"""),"81o 46' 58""")</f>
        <v>81o 46' 58"</v>
      </c>
      <c r="M1030" s="2" t="str">
        <f>IFERROR(__xludf.DUMMYFUNCTION("""COMPUTED_VALUE"""),"Chauratha,Bindhyabasini,Narayan,Toli (Dailekh)")</f>
        <v>Chauratha,Bindhyabasini,Narayan,Toli (Dailekh)</v>
      </c>
    </row>
    <row r="1031">
      <c r="A1031" s="2">
        <f>IFERROR(__xludf.DUMMYFUNCTION("""COMPUTED_VALUE"""),1030.0)</f>
        <v>1030</v>
      </c>
      <c r="B1031" s="2" t="str">
        <f>IFERROR(__xludf.DUMMYFUNCTION("""COMPUTED_VALUE"""),"Simlun Khola SHP")</f>
        <v>Simlun Khola SHP</v>
      </c>
      <c r="C1031" s="2">
        <f>IFERROR(__xludf.DUMMYFUNCTION("""COMPUTED_VALUE"""),0.9)</f>
        <v>0.9</v>
      </c>
      <c r="D1031" s="2" t="str">
        <f>IFERROR(__xludf.DUMMYFUNCTION("""COMPUTED_VALUE"""),"Simlun")</f>
        <v>Simlun</v>
      </c>
      <c r="E1031" s="2">
        <f>IFERROR(__xludf.DUMMYFUNCTION("""COMPUTED_VALUE"""),3864.0)</f>
        <v>3864</v>
      </c>
      <c r="F1031" s="3">
        <f>IFERROR(__xludf.DUMMYFUNCTION("""COMPUTED_VALUE"""),60627.0)</f>
        <v>60627</v>
      </c>
      <c r="G1031" s="2" t="str">
        <f>IFERROR(__xludf.DUMMYFUNCTION("""COMPUTED_VALUE"""),"Phurpu Chhiring Tamang,")</f>
        <v>Phurpu Chhiring Tamang,</v>
      </c>
      <c r="H1031" s="2" t="str">
        <f>IFERROR(__xludf.DUMMYFUNCTION("""COMPUTED_VALUE"""),"Thuman VDC-4, Rasuwa")</f>
        <v>Thuman VDC-4, Rasuwa</v>
      </c>
      <c r="I1031" s="2" t="str">
        <f>IFERROR(__xludf.DUMMYFUNCTION("""COMPUTED_VALUE"""),"28o 04' 04""")</f>
        <v>28o 04' 04"</v>
      </c>
      <c r="J1031" s="2" t="str">
        <f>IFERROR(__xludf.DUMMYFUNCTION("""COMPUTED_VALUE"""),"28o 05' 42""")</f>
        <v>28o 05' 42"</v>
      </c>
      <c r="K1031" s="2" t="str">
        <f>IFERROR(__xludf.DUMMYFUNCTION("""COMPUTED_VALUE"""),"85o 04' 06""")</f>
        <v>85o 04' 06"</v>
      </c>
      <c r="L1031" s="2" t="str">
        <f>IFERROR(__xludf.DUMMYFUNCTION("""COMPUTED_VALUE"""),"85o 10' 41""")</f>
        <v>85o 10' 41"</v>
      </c>
      <c r="M1031" s="2" t="str">
        <f>IFERROR(__xludf.DUMMYFUNCTION("""COMPUTED_VALUE"""),"Thuman (Rasuwa)")</f>
        <v>Thuman (Rasuwa)</v>
      </c>
    </row>
    <row r="1032">
      <c r="A1032" s="2">
        <f>IFERROR(__xludf.DUMMYFUNCTION("""COMPUTED_VALUE"""),1031.0)</f>
        <v>1031</v>
      </c>
      <c r="B1032" s="2" t="str">
        <f>IFERROR(__xludf.DUMMYFUNCTION("""COMPUTED_VALUE"""),"Tawa Khola SHP")</f>
        <v>Tawa Khola SHP</v>
      </c>
      <c r="C1032" s="2">
        <f>IFERROR(__xludf.DUMMYFUNCTION("""COMPUTED_VALUE"""),0.914)</f>
        <v>0.914</v>
      </c>
      <c r="D1032" s="2" t="str">
        <f>IFERROR(__xludf.DUMMYFUNCTION("""COMPUTED_VALUE"""),"Tawa Khola")</f>
        <v>Tawa Khola</v>
      </c>
      <c r="E1032" s="2">
        <f>IFERROR(__xludf.DUMMYFUNCTION("""COMPUTED_VALUE"""),3894.0)</f>
        <v>3894</v>
      </c>
      <c r="F1032" s="3">
        <f>IFERROR(__xludf.DUMMYFUNCTION("""COMPUTED_VALUE"""),60631.0)</f>
        <v>60631</v>
      </c>
      <c r="G1032" s="2" t="str">
        <f>IFERROR(__xludf.DUMMYFUNCTION("""COMPUTED_VALUE"""),"Muna Thapa")</f>
        <v>Muna Thapa</v>
      </c>
      <c r="H1032" s="2" t="str">
        <f>IFERROR(__xludf.DUMMYFUNCTION("""COMPUTED_VALUE"""),"Triyuga Municipality-4, 9841500023")</f>
        <v>Triyuga Municipality-4, 9841500023</v>
      </c>
      <c r="I1032" s="2" t="str">
        <f>IFERROR(__xludf.DUMMYFUNCTION("""COMPUTED_VALUE"""),"26o 58' 28""")</f>
        <v>26o 58' 28"</v>
      </c>
      <c r="J1032" s="2" t="str">
        <f>IFERROR(__xludf.DUMMYFUNCTION("""COMPUTED_VALUE"""),"27o 00' 00""")</f>
        <v>27o 00' 00"</v>
      </c>
      <c r="K1032" s="2" t="str">
        <f>IFERROR(__xludf.DUMMYFUNCTION("""COMPUTED_VALUE"""),"86o 31' 04""")</f>
        <v>86o 31' 04"</v>
      </c>
      <c r="L1032" s="2" t="str">
        <f>IFERROR(__xludf.DUMMYFUNCTION("""COMPUTED_VALUE"""),"86o 33' 17""")</f>
        <v>86o 33' 17"</v>
      </c>
      <c r="M1032" s="2" t="str">
        <f>IFERROR(__xludf.DUMMYFUNCTION("""COMPUTED_VALUE"""),"Barai,Tawashree (Udayapur)")</f>
        <v>Barai,Tawashree (Udayapur)</v>
      </c>
    </row>
    <row r="1033">
      <c r="A1033" s="2">
        <f>IFERROR(__xludf.DUMMYFUNCTION("""COMPUTED_VALUE"""),1032.0)</f>
        <v>1032</v>
      </c>
      <c r="B1033" s="2" t="str">
        <f>IFERROR(__xludf.DUMMYFUNCTION("""COMPUTED_VALUE"""),"Birin Khola HPP")</f>
        <v>Birin Khola HPP</v>
      </c>
      <c r="C1033" s="2">
        <f>IFERROR(__xludf.DUMMYFUNCTION("""COMPUTED_VALUE"""),2.3)</f>
        <v>2.3</v>
      </c>
      <c r="D1033" s="2" t="str">
        <f>IFERROR(__xludf.DUMMYFUNCTION("""COMPUTED_VALUE"""),"Birin")</f>
        <v>Birin</v>
      </c>
      <c r="E1033" s="2">
        <f>IFERROR(__xludf.DUMMYFUNCTION("""COMPUTED_VALUE"""),3895.0)</f>
        <v>3895</v>
      </c>
      <c r="F1033" s="3">
        <f>IFERROR(__xludf.DUMMYFUNCTION("""COMPUTED_VALUE"""),60631.0)</f>
        <v>60631</v>
      </c>
      <c r="G1033" s="2" t="str">
        <f>IFERROR(__xludf.DUMMYFUNCTION("""COMPUTED_VALUE"""),"Dolkha Nirman Company")</f>
        <v>Dolkha Nirman Company</v>
      </c>
      <c r="H1033" s="2" t="str">
        <f>IFERROR(__xludf.DUMMYFUNCTION("""COMPUTED_VALUE"""),"GPO box: 13190, Kathmandu, Tel: 2304099, Fax: 4438547")</f>
        <v>GPO box: 13190, Kathmandu, Tel: 2304099, Fax: 4438547</v>
      </c>
      <c r="I1033" s="2" t="str">
        <f>IFERROR(__xludf.DUMMYFUNCTION("""COMPUTED_VALUE"""),"26o 47' 49""")</f>
        <v>26o 47' 49"</v>
      </c>
      <c r="J1033" s="2" t="str">
        <f>IFERROR(__xludf.DUMMYFUNCTION("""COMPUTED_VALUE"""),"26o 51' 04""")</f>
        <v>26o 51' 04"</v>
      </c>
      <c r="K1033" s="2" t="str">
        <f>IFERROR(__xludf.DUMMYFUNCTION("""COMPUTED_VALUE"""),"88o 01' 34""")</f>
        <v>88o 01' 34"</v>
      </c>
      <c r="L1033" s="2" t="str">
        <f>IFERROR(__xludf.DUMMYFUNCTION("""COMPUTED_VALUE"""),"88o 03' 23""")</f>
        <v>88o 03' 23"</v>
      </c>
      <c r="M1033" s="2" t="str">
        <f>IFERROR(__xludf.DUMMYFUNCTION("""COMPUTED_VALUE"""),"Shantipur (Ilam)")</f>
        <v>Shantipur (Ilam)</v>
      </c>
    </row>
    <row r="1034">
      <c r="A1034" s="2">
        <f>IFERROR(__xludf.DUMMYFUNCTION("""COMPUTED_VALUE"""),1033.0)</f>
        <v>1033</v>
      </c>
      <c r="B1034" s="2" t="str">
        <f>IFERROR(__xludf.DUMMYFUNCTION("""COMPUTED_VALUE"""),"Chhedewa Khola SHP")</f>
        <v>Chhedewa Khola SHP</v>
      </c>
      <c r="C1034" s="2">
        <f>IFERROR(__xludf.DUMMYFUNCTION("""COMPUTED_VALUE"""),0.985)</f>
        <v>0.985</v>
      </c>
      <c r="D1034" s="2" t="str">
        <f>IFERROR(__xludf.DUMMYFUNCTION("""COMPUTED_VALUE"""),"Chhedewa")</f>
        <v>Chhedewa</v>
      </c>
      <c r="E1034" s="2">
        <f>IFERROR(__xludf.DUMMYFUNCTION("""COMPUTED_VALUE"""),3900.0)</f>
        <v>3900</v>
      </c>
      <c r="F1034" s="3">
        <f>IFERROR(__xludf.DUMMYFUNCTION("""COMPUTED_VALUE"""),60631.0)</f>
        <v>60631</v>
      </c>
      <c r="G1034" s="2" t="str">
        <f>IFERROR(__xludf.DUMMYFUNCTION("""COMPUTED_VALUE"""),"Suresh Adhikari, T.P. Gurung, O.P. Gurung")</f>
        <v>Suresh Adhikari, T.P. Gurung, O.P. Gurung</v>
      </c>
      <c r="H1034" s="2" t="str">
        <f>IFERROR(__xludf.DUMMYFUNCTION("""COMPUTED_VALUE"""),"Pasgaon-5, Lamjung")</f>
        <v>Pasgaon-5, Lamjung</v>
      </c>
      <c r="I1034" s="2" t="str">
        <f>IFERROR(__xludf.DUMMYFUNCTION("""COMPUTED_VALUE"""),"28o 16' 09""")</f>
        <v>28o 16' 09"</v>
      </c>
      <c r="J1034" s="2" t="str">
        <f>IFERROR(__xludf.DUMMYFUNCTION("""COMPUTED_VALUE"""),"28o 17' 30""")</f>
        <v>28o 17' 30"</v>
      </c>
      <c r="K1034" s="2" t="str">
        <f>IFERROR(__xludf.DUMMYFUNCTION("""COMPUTED_VALUE"""),"84o 12' 30""")</f>
        <v>84o 12' 30"</v>
      </c>
      <c r="L1034" s="2" t="str">
        <f>IFERROR(__xludf.DUMMYFUNCTION("""COMPUTED_VALUE"""),"84o 13' 28""")</f>
        <v>84o 13' 28"</v>
      </c>
      <c r="M1034" s="2" t="str">
        <f>IFERROR(__xludf.DUMMYFUNCTION("""COMPUTED_VALUE"""),"Pasagaun (Lamjung)")</f>
        <v>Pasagaun (Lamjung)</v>
      </c>
    </row>
    <row r="1035">
      <c r="A1035" s="2">
        <f>IFERROR(__xludf.DUMMYFUNCTION("""COMPUTED_VALUE"""),1034.0)</f>
        <v>1034</v>
      </c>
      <c r="B1035" s="2" t="str">
        <f>IFERROR(__xludf.DUMMYFUNCTION("""COMPUTED_VALUE"""),"Yangri Khola HPP")</f>
        <v>Yangri Khola HPP</v>
      </c>
      <c r="C1035" s="2">
        <f>IFERROR(__xludf.DUMMYFUNCTION("""COMPUTED_VALUE"""),2.966)</f>
        <v>2.966</v>
      </c>
      <c r="D1035" s="2" t="str">
        <f>IFERROR(__xludf.DUMMYFUNCTION("""COMPUTED_VALUE"""),"Yangri Khola")</f>
        <v>Yangri Khola</v>
      </c>
      <c r="E1035" s="2">
        <f>IFERROR(__xludf.DUMMYFUNCTION("""COMPUTED_VALUE"""),3909.0)</f>
        <v>3909</v>
      </c>
      <c r="F1035" s="3">
        <f>IFERROR(__xludf.DUMMYFUNCTION("""COMPUTED_VALUE"""),60631.0)</f>
        <v>60631</v>
      </c>
      <c r="G1035" s="2" t="str">
        <f>IFERROR(__xludf.DUMMYFUNCTION("""COMPUTED_VALUE"""),"Helambu Hydropower Company Pvt Ltd")</f>
        <v>Helambu Hydropower Company Pvt Ltd</v>
      </c>
      <c r="H1035" s="2" t="str">
        <f>IFERROR(__xludf.DUMMYFUNCTION("""COMPUTED_VALUE"""),"Jorpati, Kathmandu , Tel: 985135885")</f>
        <v>Jorpati, Kathmandu , Tel: 985135885</v>
      </c>
      <c r="I1035" s="2" t="str">
        <f>IFERROR(__xludf.DUMMYFUNCTION("""COMPUTED_VALUE"""),"27o 00' 00""")</f>
        <v>27o 00' 00"</v>
      </c>
      <c r="J1035" s="2" t="str">
        <f>IFERROR(__xludf.DUMMYFUNCTION("""COMPUTED_VALUE"""),"27o 58' 26""")</f>
        <v>27o 58' 26"</v>
      </c>
      <c r="K1035" s="2" t="str">
        <f>IFERROR(__xludf.DUMMYFUNCTION("""COMPUTED_VALUE"""),"85o 37' 02""")</f>
        <v>85o 37' 02"</v>
      </c>
      <c r="L1035" s="2" t="str">
        <f>IFERROR(__xludf.DUMMYFUNCTION("""COMPUTED_VALUE"""),"85o 38' 15""")</f>
        <v>85o 38' 15"</v>
      </c>
      <c r="M1035" s="2" t="str">
        <f>IFERROR(__xludf.DUMMYFUNCTION("""COMPUTED_VALUE"""),"Baruwa (Sindhupalchok)")</f>
        <v>Baruwa (Sindhupalchok)</v>
      </c>
    </row>
    <row r="1036">
      <c r="A1036" s="2">
        <f>IFERROR(__xludf.DUMMYFUNCTION("""COMPUTED_VALUE"""),1035.0)</f>
        <v>1035</v>
      </c>
      <c r="B1036" s="2" t="str">
        <f>IFERROR(__xludf.DUMMYFUNCTION("""COMPUTED_VALUE"""),"Sunkosi-A Storage HPP")</f>
        <v>Sunkosi-A Storage HPP</v>
      </c>
      <c r="C1036" s="2">
        <f>IFERROR(__xludf.DUMMYFUNCTION("""COMPUTED_VALUE"""),1350.0)</f>
        <v>1350</v>
      </c>
      <c r="D1036" s="2" t="str">
        <f>IFERROR(__xludf.DUMMYFUNCTION("""COMPUTED_VALUE"""),"Sun Koshi")</f>
        <v>Sun Koshi</v>
      </c>
      <c r="E1036" s="2">
        <f>IFERROR(__xludf.DUMMYFUNCTION("""COMPUTED_VALUE"""),3932.0)</f>
        <v>3932</v>
      </c>
      <c r="F1036" s="3">
        <f>IFERROR(__xludf.DUMMYFUNCTION("""COMPUTED_VALUE"""),60632.0)</f>
        <v>60632</v>
      </c>
      <c r="G1036" s="2" t="str">
        <f>IFERROR(__xludf.DUMMYFUNCTION("""COMPUTED_VALUE"""),"Water Creation Pvt Ltd")</f>
        <v>Water Creation Pvt Ltd</v>
      </c>
      <c r="H1036" s="2" t="str">
        <f>IFERROR(__xludf.DUMMYFUNCTION("""COMPUTED_VALUE"""),"Manbhavan-5, Lalitpur Tel: 9841205093")</f>
        <v>Manbhavan-5, Lalitpur Tel: 9841205093</v>
      </c>
      <c r="I1036" s="2" t="str">
        <f>IFERROR(__xludf.DUMMYFUNCTION("""COMPUTED_VALUE"""),"27o 30' 00""")</f>
        <v>27o 30' 00"</v>
      </c>
      <c r="J1036" s="2" t="str">
        <f>IFERROR(__xludf.DUMMYFUNCTION("""COMPUTED_VALUE"""),"27o 42' 30""")</f>
        <v>27o 42' 30"</v>
      </c>
      <c r="K1036" s="2" t="str">
        <f>IFERROR(__xludf.DUMMYFUNCTION("""COMPUTED_VALUE"""),"85o 42' 30""")</f>
        <v>85o 42' 30"</v>
      </c>
      <c r="L1036" s="2" t="str">
        <f>IFERROR(__xludf.DUMMYFUNCTION("""COMPUTED_VALUE"""),"85o 49' 00""")</f>
        <v>85o 49' 00"</v>
      </c>
      <c r="M1036" s="2" t="str">
        <f>IFERROR(__xludf.DUMMYFUNCTION("""COMPUTED_VALUE"""),"Rupatar (Udayapur)")</f>
        <v>Rupatar (Udayapur)</v>
      </c>
    </row>
    <row r="1037">
      <c r="A1037" s="2">
        <f>IFERROR(__xludf.DUMMYFUNCTION("""COMPUTED_VALUE"""),1036.0)</f>
        <v>1036</v>
      </c>
      <c r="B1037" s="2" t="str">
        <f>IFERROR(__xludf.DUMMYFUNCTION("""COMPUTED_VALUE"""),"Upper Bheri Storage")</f>
        <v>Upper Bheri Storage</v>
      </c>
      <c r="C1037" s="2">
        <f>IFERROR(__xludf.DUMMYFUNCTION("""COMPUTED_VALUE"""),400.0)</f>
        <v>400</v>
      </c>
      <c r="D1037" s="2" t="str">
        <f>IFERROR(__xludf.DUMMYFUNCTION("""COMPUTED_VALUE"""),"Bheri")</f>
        <v>Bheri</v>
      </c>
      <c r="E1037" s="2">
        <f>IFERROR(__xludf.DUMMYFUNCTION("""COMPUTED_VALUE"""),3933.0)</f>
        <v>3933</v>
      </c>
      <c r="F1037" s="3">
        <f>IFERROR(__xludf.DUMMYFUNCTION("""COMPUTED_VALUE"""),60634.0)</f>
        <v>60634</v>
      </c>
      <c r="G1037" s="2" t="str">
        <f>IFERROR(__xludf.DUMMYFUNCTION("""COMPUTED_VALUE"""),"Model City and Technology Development Pvt Ltd")</f>
        <v>Model City and Technology Development Pvt Ltd</v>
      </c>
      <c r="H1037" s="2" t="str">
        <f>IFERROR(__xludf.DUMMYFUNCTION("""COMPUTED_VALUE"""),"Kathmandu , Tel: 01-16205656")</f>
        <v>Kathmandu , Tel: 01-16205656</v>
      </c>
      <c r="I1037" s="2" t="str">
        <f>IFERROR(__xludf.DUMMYFUNCTION("""COMPUTED_VALUE"""),"28o 41' 00""")</f>
        <v>28o 41' 00"</v>
      </c>
      <c r="J1037" s="2" t="str">
        <f>IFERROR(__xludf.DUMMYFUNCTION("""COMPUTED_VALUE"""),"28o 42' 30""")</f>
        <v>28o 42' 30"</v>
      </c>
      <c r="K1037" s="2" t="str">
        <f>IFERROR(__xludf.DUMMYFUNCTION("""COMPUTED_VALUE"""),"82o 15' 00""")</f>
        <v>82o 15' 00"</v>
      </c>
      <c r="L1037" s="2" t="str">
        <f>IFERROR(__xludf.DUMMYFUNCTION("""COMPUTED_VALUE"""),"82o 17' 00""")</f>
        <v>82o 17' 00"</v>
      </c>
      <c r="M1037" s="2" t="str">
        <f>IFERROR(__xludf.DUMMYFUNCTION("""COMPUTED_VALUE"""),"Khalanga (Jajarkot)")</f>
        <v>Khalanga (Jajarkot)</v>
      </c>
    </row>
    <row r="1038">
      <c r="A1038" s="2">
        <f>IFERROR(__xludf.DUMMYFUNCTION("""COMPUTED_VALUE"""),1037.0)</f>
        <v>1037</v>
      </c>
      <c r="B1038" s="2" t="str">
        <f>IFERROR(__xludf.DUMMYFUNCTION("""COMPUTED_VALUE"""),"Phakphok Khola SHP")</f>
        <v>Phakphok Khola SHP</v>
      </c>
      <c r="C1038" s="2">
        <f>IFERROR(__xludf.DUMMYFUNCTION("""COMPUTED_VALUE"""),5.0)</f>
        <v>5</v>
      </c>
      <c r="D1038" s="2" t="str">
        <f>IFERROR(__xludf.DUMMYFUNCTION("""COMPUTED_VALUE"""),"Phakphok")</f>
        <v>Phakphok</v>
      </c>
      <c r="E1038" s="2">
        <f>IFERROR(__xludf.DUMMYFUNCTION("""COMPUTED_VALUE"""),3951.0)</f>
        <v>3951</v>
      </c>
      <c r="F1038" s="3">
        <f>IFERROR(__xludf.DUMMYFUNCTION("""COMPUTED_VALUE"""),60634.0)</f>
        <v>60634</v>
      </c>
      <c r="G1038" s="2" t="str">
        <f>IFERROR(__xludf.DUMMYFUNCTION("""COMPUTED_VALUE"""),"Surya Prasad Dulal, Tanka Nath Gajurel")</f>
        <v>Surya Prasad Dulal, Tanka Nath Gajurel</v>
      </c>
      <c r="H1038" s="2" t="str">
        <f>IFERROR(__xludf.DUMMYFUNCTION("""COMPUTED_VALUE"""),"Maipokhri-2, Ilam")</f>
        <v>Maipokhri-2, Ilam</v>
      </c>
      <c r="I1038" s="2" t="str">
        <f>IFERROR(__xludf.DUMMYFUNCTION("""COMPUTED_VALUE"""),"27o 55' 00""")</f>
        <v>27o 55' 00"</v>
      </c>
      <c r="J1038" s="2" t="str">
        <f>IFERROR(__xludf.DUMMYFUNCTION("""COMPUTED_VALUE"""),"27o 56' 40""")</f>
        <v>27o 56' 40"</v>
      </c>
      <c r="K1038" s="2" t="str">
        <f>IFERROR(__xludf.DUMMYFUNCTION("""COMPUTED_VALUE"""),"87o 45' 27""")</f>
        <v>87o 45' 27"</v>
      </c>
      <c r="L1038" s="2" t="str">
        <f>IFERROR(__xludf.DUMMYFUNCTION("""COMPUTED_VALUE"""),"87o 46' 15""")</f>
        <v>87o 46' 15"</v>
      </c>
      <c r="M1038" s="2" t="str">
        <f>IFERROR(__xludf.DUMMYFUNCTION("""COMPUTED_VALUE"""),"Gajurmukhi,Phakphok (Ilam)")</f>
        <v>Gajurmukhi,Phakphok (Ilam)</v>
      </c>
    </row>
    <row r="1039">
      <c r="A1039" s="2">
        <f>IFERROR(__xludf.DUMMYFUNCTION("""COMPUTED_VALUE"""),1038.0)</f>
        <v>1038</v>
      </c>
      <c r="B1039" s="2" t="str">
        <f>IFERROR(__xludf.DUMMYFUNCTION("""COMPUTED_VALUE"""),"Upper Trishui-2A HPP")</f>
        <v>Upper Trishui-2A HPP</v>
      </c>
      <c r="C1039" s="2">
        <f>IFERROR(__xludf.DUMMYFUNCTION("""COMPUTED_VALUE"""),229.0)</f>
        <v>229</v>
      </c>
      <c r="D1039" s="2" t="str">
        <f>IFERROR(__xludf.DUMMYFUNCTION("""COMPUTED_VALUE"""),"Trishuli")</f>
        <v>Trishuli</v>
      </c>
      <c r="E1039" s="2">
        <f>IFERROR(__xludf.DUMMYFUNCTION("""COMPUTED_VALUE"""),3982.0)</f>
        <v>3982</v>
      </c>
      <c r="F1039" s="3">
        <f>IFERROR(__xludf.DUMMYFUNCTION("""COMPUTED_VALUE"""),60636.0)</f>
        <v>60636</v>
      </c>
      <c r="G1039" s="2" t="str">
        <f>IFERROR(__xludf.DUMMYFUNCTION("""COMPUTED_VALUE"""),"Hhydrochina Corporation")</f>
        <v>Hhydrochina Corporation</v>
      </c>
      <c r="H1039" s="2" t="str">
        <f>IFERROR(__xludf.DUMMYFUNCTION("""COMPUTED_VALUE"""),"No.2 Beixiaojie Street Lipukang Dewai Beijing China, Tel: +86-10-5197 5898, 
Fax: +86-10-8208-4665")</f>
        <v>No.2 Beixiaojie Street Lipukang Dewai Beijing China, Tel: +86-10-5197 5898, 
Fax: +86-10-8208-4665</v>
      </c>
      <c r="I1039" s="2" t="str">
        <f>IFERROR(__xludf.DUMMYFUNCTION("""COMPUTED_VALUE"""),"28o 04' 00""")</f>
        <v>28o 04' 00"</v>
      </c>
      <c r="J1039" s="2" t="str">
        <f>IFERROR(__xludf.DUMMYFUNCTION("""COMPUTED_VALUE"""),"28o 07' 00""")</f>
        <v>28o 07' 00"</v>
      </c>
      <c r="K1039" s="2" t="str">
        <f>IFERROR(__xludf.DUMMYFUNCTION("""COMPUTED_VALUE"""),"85o 12' 00""")</f>
        <v>85o 12' 00"</v>
      </c>
      <c r="L1039" s="2" t="str">
        <f>IFERROR(__xludf.DUMMYFUNCTION("""COMPUTED_VALUE"""),"85o 17' 02""")</f>
        <v>85o 17' 02"</v>
      </c>
      <c r="M1039" s="2" t="str">
        <f>IFERROR(__xludf.DUMMYFUNCTION("""COMPUTED_VALUE"""),"Haku (Rasuwa)")</f>
        <v>Haku (Rasuwa)</v>
      </c>
    </row>
    <row r="1040">
      <c r="A1040" s="2">
        <f>IFERROR(__xludf.DUMMYFUNCTION("""COMPUTED_VALUE"""),1039.0)</f>
        <v>1039</v>
      </c>
      <c r="B1040" s="2" t="str">
        <f>IFERROR(__xludf.DUMMYFUNCTION("""COMPUTED_VALUE"""),"Budhi Ganga HPP")</f>
        <v>Budhi Ganga HPP</v>
      </c>
      <c r="C1040" s="2">
        <f>IFERROR(__xludf.DUMMYFUNCTION("""COMPUTED_VALUE"""),9.8)</f>
        <v>9.8</v>
      </c>
      <c r="D1040" s="2" t="str">
        <f>IFERROR(__xludf.DUMMYFUNCTION("""COMPUTED_VALUE"""),"Budhi Ganga")</f>
        <v>Budhi Ganga</v>
      </c>
      <c r="E1040" s="2">
        <f>IFERROR(__xludf.DUMMYFUNCTION("""COMPUTED_VALUE"""),3990.0)</f>
        <v>3990</v>
      </c>
      <c r="F1040" s="3">
        <f>IFERROR(__xludf.DUMMYFUNCTION("""COMPUTED_VALUE"""),60636.0)</f>
        <v>60636</v>
      </c>
      <c r="G1040" s="2" t="str">
        <f>IFERROR(__xludf.DUMMYFUNCTION("""COMPUTED_VALUE"""),"Krishna Prasad Bhandari")</f>
        <v>Krishna Prasad Bhandari</v>
      </c>
      <c r="H1040" s="2" t="str">
        <f>IFERROR(__xludf.DUMMYFUNCTION("""COMPUTED_VALUE"""),"Baneswar Kathmandu , Tel: 9851088293")</f>
        <v>Baneswar Kathmandu , Tel: 9851088293</v>
      </c>
      <c r="I1040" s="2" t="str">
        <f>IFERROR(__xludf.DUMMYFUNCTION("""COMPUTED_VALUE"""),"29o 05' 40""")</f>
        <v>29o 05' 40"</v>
      </c>
      <c r="J1040" s="2" t="str">
        <f>IFERROR(__xludf.DUMMYFUNCTION("""COMPUTED_VALUE"""),"29o 08' 10""")</f>
        <v>29o 08' 10"</v>
      </c>
      <c r="K1040" s="2" t="str">
        <f>IFERROR(__xludf.DUMMYFUNCTION("""COMPUTED_VALUE"""),"81o 06' 08""")</f>
        <v>81o 06' 08"</v>
      </c>
      <c r="L1040" s="2" t="str">
        <f>IFERROR(__xludf.DUMMYFUNCTION("""COMPUTED_VALUE"""),"81o 10' 30""")</f>
        <v>81o 10' 30"</v>
      </c>
      <c r="M1040" s="2" t="str">
        <f>IFERROR(__xludf.DUMMYFUNCTION("""COMPUTED_VALUE"""),"Kuntibandali,Siudi (Achham)")</f>
        <v>Kuntibandali,Siudi (Achham)</v>
      </c>
    </row>
    <row r="1041">
      <c r="A1041" s="2">
        <f>IFERROR(__xludf.DUMMYFUNCTION("""COMPUTED_VALUE"""),1040.0)</f>
        <v>1040</v>
      </c>
      <c r="B1041" s="2" t="str">
        <f>IFERROR(__xludf.DUMMYFUNCTION("""COMPUTED_VALUE"""),"Middle Jurumba Khola")</f>
        <v>Middle Jurumba Khola</v>
      </c>
      <c r="C1041" s="2">
        <f>IFERROR(__xludf.DUMMYFUNCTION("""COMPUTED_VALUE"""),0.998)</f>
        <v>0.998</v>
      </c>
      <c r="D1041" s="2" t="str">
        <f>IFERROR(__xludf.DUMMYFUNCTION("""COMPUTED_VALUE"""),"Jurimba")</f>
        <v>Jurimba</v>
      </c>
      <c r="E1041" s="2">
        <f>IFERROR(__xludf.DUMMYFUNCTION("""COMPUTED_VALUE"""),3998.0)</f>
        <v>3998</v>
      </c>
      <c r="F1041" s="3">
        <f>IFERROR(__xludf.DUMMYFUNCTION("""COMPUTED_VALUE"""),60638.0)</f>
        <v>60638</v>
      </c>
      <c r="G1041" s="2" t="str">
        <f>IFERROR(__xludf.DUMMYFUNCTION("""COMPUTED_VALUE"""),"Churn Prasad shrestha, Pratap Singh Tamang, Sok Singh Tamang, Lal Kanchha 
Tamang")</f>
        <v>Churn Prasad shrestha, Pratap Singh Tamang, Sok Singh Tamang, Lal Kanchha 
Tamang</v>
      </c>
      <c r="H1041" s="2" t="str">
        <f>IFERROR(__xludf.DUMMYFUNCTION("""COMPUTED_VALUE"""),"Sindhupalchok")</f>
        <v>Sindhupalchok</v>
      </c>
      <c r="I1041" s="2" t="str">
        <f>IFERROR(__xludf.DUMMYFUNCTION("""COMPUTED_VALUE"""),"27o 54' 25""")</f>
        <v>27o 54' 25"</v>
      </c>
      <c r="J1041" s="2" t="str">
        <f>IFERROR(__xludf.DUMMYFUNCTION("""COMPUTED_VALUE"""),"27o 55' 35""")</f>
        <v>27o 55' 35"</v>
      </c>
      <c r="K1041" s="2" t="str">
        <f>IFERROR(__xludf.DUMMYFUNCTION("""COMPUTED_VALUE"""),"85o 53' 45""")</f>
        <v>85o 53' 45"</v>
      </c>
      <c r="L1041" s="2" t="str">
        <f>IFERROR(__xludf.DUMMYFUNCTION("""COMPUTED_VALUE"""),"85o 55' 00""")</f>
        <v>85o 55' 00"</v>
      </c>
      <c r="M1041" s="2" t="str">
        <f>IFERROR(__xludf.DUMMYFUNCTION("""COMPUTED_VALUE"""),"Listi (Sindhupalchok)")</f>
        <v>Listi (Sindhupalchok)</v>
      </c>
    </row>
    <row r="1042">
      <c r="A1042" s="2">
        <f>IFERROR(__xludf.DUMMYFUNCTION("""COMPUTED_VALUE"""),1041.0)</f>
        <v>1041</v>
      </c>
      <c r="B1042" s="2" t="str">
        <f>IFERROR(__xludf.DUMMYFUNCTION("""COMPUTED_VALUE"""),"Chhape Khola")</f>
        <v>Chhape Khola</v>
      </c>
      <c r="C1042" s="2">
        <f>IFERROR(__xludf.DUMMYFUNCTION("""COMPUTED_VALUE"""),0.561)</f>
        <v>0.561</v>
      </c>
      <c r="D1042" s="2" t="str">
        <f>IFERROR(__xludf.DUMMYFUNCTION("""COMPUTED_VALUE"""),"Chhape")</f>
        <v>Chhape</v>
      </c>
      <c r="E1042" s="2">
        <f>IFERROR(__xludf.DUMMYFUNCTION("""COMPUTED_VALUE"""),4013.0)</f>
        <v>4013</v>
      </c>
      <c r="F1042" s="3">
        <f>IFERROR(__xludf.DUMMYFUNCTION("""COMPUTED_VALUE"""),60639.0)</f>
        <v>60639</v>
      </c>
      <c r="G1042" s="2" t="str">
        <f>IFERROR(__xludf.DUMMYFUNCTION("""COMPUTED_VALUE"""),"Dinesh Prasad Rana, Narayan Panthi")</f>
        <v>Dinesh Prasad Rana, Narayan Panthi</v>
      </c>
      <c r="H1042" s="2" t="str">
        <f>IFERROR(__xludf.DUMMYFUNCTION("""COMPUTED_VALUE"""),"Phone 9747078280 (Narayan), 9747034304 (Dinesh)")</f>
        <v>Phone 9747078280 (Narayan), 9747034304 (Dinesh)</v>
      </c>
      <c r="I1042" s="2" t="str">
        <f>IFERROR(__xludf.DUMMYFUNCTION("""COMPUTED_VALUE"""),"28o 00' 00""")</f>
        <v>28o 00' 00"</v>
      </c>
      <c r="J1042" s="2" t="str">
        <f>IFERROR(__xludf.DUMMYFUNCTION("""COMPUTED_VALUE"""),"28o 01' 29""")</f>
        <v>28o 01' 29"</v>
      </c>
      <c r="K1042" s="2" t="str">
        <f>IFERROR(__xludf.DUMMYFUNCTION("""COMPUTED_VALUE"""),"82o 57' 45""")</f>
        <v>82o 57' 45"</v>
      </c>
      <c r="L1042" s="2" t="str">
        <f>IFERROR(__xludf.DUMMYFUNCTION("""COMPUTED_VALUE"""),"82o 59' 00""")</f>
        <v>82o 59' 00"</v>
      </c>
      <c r="M1042" s="2" t="str">
        <f>IFERROR(__xludf.DUMMYFUNCTION("""COMPUTED_VALUE"""),"Bijuli (Pyuthan)")</f>
        <v>Bijuli (Pyuthan)</v>
      </c>
    </row>
    <row r="1043">
      <c r="A1043" s="2">
        <f>IFERROR(__xludf.DUMMYFUNCTION("""COMPUTED_VALUE"""),1042.0)</f>
        <v>1042</v>
      </c>
      <c r="B1043" s="2" t="str">
        <f>IFERROR(__xludf.DUMMYFUNCTION("""COMPUTED_VALUE"""),"Tadi Khola")</f>
        <v>Tadi Khola</v>
      </c>
      <c r="C1043" s="2">
        <f>IFERROR(__xludf.DUMMYFUNCTION("""COMPUTED_VALUE"""),0.99)</f>
        <v>0.99</v>
      </c>
      <c r="D1043" s="2" t="str">
        <f>IFERROR(__xludf.DUMMYFUNCTION("""COMPUTED_VALUE"""),"Tadi Khola")</f>
        <v>Tadi Khola</v>
      </c>
      <c r="E1043" s="2">
        <f>IFERROR(__xludf.DUMMYFUNCTION("""COMPUTED_VALUE"""),4018.0)</f>
        <v>4018</v>
      </c>
      <c r="F1043" s="3">
        <f>IFERROR(__xludf.DUMMYFUNCTION("""COMPUTED_VALUE"""),60639.0)</f>
        <v>60639</v>
      </c>
      <c r="G1043" s="2" t="str">
        <f>IFERROR(__xludf.DUMMYFUNCTION("""COMPUTED_VALUE"""),"Samden Serpa, Prahlad Bahadur Pathak")</f>
        <v>Samden Serpa, Prahlad Bahadur Pathak</v>
      </c>
      <c r="H1043" s="2" t="str">
        <f>IFERROR(__xludf.DUMMYFUNCTION("""COMPUTED_VALUE"""),"Nuwakot, Phone 9841205480 (Prahlad)")</f>
        <v>Nuwakot, Phone 9841205480 (Prahlad)</v>
      </c>
      <c r="I1043" s="2" t="str">
        <f>IFERROR(__xludf.DUMMYFUNCTION("""COMPUTED_VALUE"""),"27o 59' 31""")</f>
        <v>27o 59' 31"</v>
      </c>
      <c r="J1043" s="2" t="str">
        <f>IFERROR(__xludf.DUMMYFUNCTION("""COMPUTED_VALUE"""),"28o 00' 40""")</f>
        <v>28o 00' 40"</v>
      </c>
      <c r="K1043" s="2" t="str">
        <f>IFERROR(__xludf.DUMMYFUNCTION("""COMPUTED_VALUE"""),"85o 26' 36""")</f>
        <v>85o 26' 36"</v>
      </c>
      <c r="L1043" s="2" t="str">
        <f>IFERROR(__xludf.DUMMYFUNCTION("""COMPUTED_VALUE"""),"85o 27' 51""")</f>
        <v>85o 27' 51"</v>
      </c>
      <c r="M1043" s="2"/>
    </row>
    <row r="1044">
      <c r="A1044" s="2">
        <f>IFERROR(__xludf.DUMMYFUNCTION("""COMPUTED_VALUE"""),1043.0)</f>
        <v>1043</v>
      </c>
      <c r="B1044" s="2" t="str">
        <f>IFERROR(__xludf.DUMMYFUNCTION("""COMPUTED_VALUE"""),"Kinja")</f>
        <v>Kinja</v>
      </c>
      <c r="C1044" s="2">
        <f>IFERROR(__xludf.DUMMYFUNCTION("""COMPUTED_VALUE"""),1.0)</f>
        <v>1</v>
      </c>
      <c r="D1044" s="2" t="str">
        <f>IFERROR(__xludf.DUMMYFUNCTION("""COMPUTED_VALUE"""),"Kinja")</f>
        <v>Kinja</v>
      </c>
      <c r="E1044" s="2">
        <f>IFERROR(__xludf.DUMMYFUNCTION("""COMPUTED_VALUE"""),4023.0)</f>
        <v>4023</v>
      </c>
      <c r="F1044" s="3">
        <f>IFERROR(__xludf.DUMMYFUNCTION("""COMPUTED_VALUE"""),60640.0)</f>
        <v>60640</v>
      </c>
      <c r="G1044" s="2" t="str">
        <f>IFERROR(__xludf.DUMMYFUNCTION("""COMPUTED_VALUE"""),"Chhonwa Lama, Subas Khatri")</f>
        <v>Chhonwa Lama, Subas Khatri</v>
      </c>
      <c r="H1044" s="2" t="str">
        <f>IFERROR(__xludf.DUMMYFUNCTION("""COMPUTED_VALUE"""),"Bamtibhandar 3, Ramechhap")</f>
        <v>Bamtibhandar 3, Ramechhap</v>
      </c>
      <c r="I1044" s="2" t="str">
        <f>IFERROR(__xludf.DUMMYFUNCTION("""COMPUTED_VALUE"""),"27o 33' 27""")</f>
        <v>27o 33' 27"</v>
      </c>
      <c r="J1044" s="2" t="str">
        <f>IFERROR(__xludf.DUMMYFUNCTION("""COMPUTED_VALUE"""),"27o 34' 32""")</f>
        <v>27o 34' 32"</v>
      </c>
      <c r="K1044" s="2" t="str">
        <f>IFERROR(__xludf.DUMMYFUNCTION("""COMPUTED_VALUE"""),"86o 25' 58""")</f>
        <v>86o 25' 58"</v>
      </c>
      <c r="L1044" s="2" t="str">
        <f>IFERROR(__xludf.DUMMYFUNCTION("""COMPUTED_VALUE"""),"86o 28' 24""")</f>
        <v>86o 28' 24"</v>
      </c>
      <c r="M1044" s="2" t="str">
        <f>IFERROR(__xludf.DUMMYFUNCTION("""COMPUTED_VALUE"""),"Chaulakharka(Waula) (Solukhumbu)")</f>
        <v>Chaulakharka(Waula) (Solukhumbu)</v>
      </c>
    </row>
    <row r="1045">
      <c r="A1045" s="2">
        <f>IFERROR(__xludf.DUMMYFUNCTION("""COMPUTED_VALUE"""),1044.0)</f>
        <v>1044</v>
      </c>
      <c r="B1045" s="2" t="str">
        <f>IFERROR(__xludf.DUMMYFUNCTION("""COMPUTED_VALUE"""),"Bhalaudi Khola")</f>
        <v>Bhalaudi Khola</v>
      </c>
      <c r="C1045" s="2">
        <f>IFERROR(__xludf.DUMMYFUNCTION("""COMPUTED_VALUE"""),0.99)</f>
        <v>0.99</v>
      </c>
      <c r="D1045" s="2"/>
      <c r="E1045" s="2">
        <f>IFERROR(__xludf.DUMMYFUNCTION("""COMPUTED_VALUE"""),4026.0)</f>
        <v>4026</v>
      </c>
      <c r="F1045" s="3">
        <f>IFERROR(__xludf.DUMMYFUNCTION("""COMPUTED_VALUE"""),60640.0)</f>
        <v>60640</v>
      </c>
      <c r="G1045" s="2" t="str">
        <f>IFERROR(__xludf.DUMMYFUNCTION("""COMPUTED_VALUE"""),"Mesh Bahadur Gurung")</f>
        <v>Mesh Bahadur Gurung</v>
      </c>
      <c r="H1045" s="2" t="str">
        <f>IFERROR(__xludf.DUMMYFUNCTION("""COMPUTED_VALUE"""),"Machhapuchhre 4, Kaski")</f>
        <v>Machhapuchhre 4, Kaski</v>
      </c>
      <c r="I1045" s="2" t="str">
        <f>IFERROR(__xludf.DUMMYFUNCTION("""COMPUTED_VALUE"""),"28o 22' 17""")</f>
        <v>28o 22' 17"</v>
      </c>
      <c r="J1045" s="2" t="str">
        <f>IFERROR(__xludf.DUMMYFUNCTION("""COMPUTED_VALUE"""),"28o 23' 53""")</f>
        <v>28o 23' 53"</v>
      </c>
      <c r="K1045" s="2" t="str">
        <f>IFERROR(__xludf.DUMMYFUNCTION("""COMPUTED_VALUE"""),"83o 56' 55""")</f>
        <v>83o 56' 55"</v>
      </c>
      <c r="L1045" s="2" t="str">
        <f>IFERROR(__xludf.DUMMYFUNCTION("""COMPUTED_VALUE"""),"83o 58' 46""")</f>
        <v>83o 58' 46"</v>
      </c>
      <c r="M1045" s="2" t="str">
        <f>IFERROR(__xludf.DUMMYFUNCTION("""COMPUTED_VALUE"""),"Machhapuchchhre (Kaski)")</f>
        <v>Machhapuchchhre (Kaski)</v>
      </c>
    </row>
    <row r="1046">
      <c r="A1046" s="2">
        <f>IFERROR(__xludf.DUMMYFUNCTION("""COMPUTED_VALUE"""),1045.0)</f>
        <v>1045</v>
      </c>
      <c r="B1046" s="2" t="str">
        <f>IFERROR(__xludf.DUMMYFUNCTION("""COMPUTED_VALUE"""),"Bhedigad")</f>
        <v>Bhedigad</v>
      </c>
      <c r="C1046" s="2">
        <f>IFERROR(__xludf.DUMMYFUNCTION("""COMPUTED_VALUE"""),4.5)</f>
        <v>4.5</v>
      </c>
      <c r="D1046" s="2" t="str">
        <f>IFERROR(__xludf.DUMMYFUNCTION("""COMPUTED_VALUE"""),"Bhedi Gad")</f>
        <v>Bhedi Gad</v>
      </c>
      <c r="E1046" s="2">
        <f>IFERROR(__xludf.DUMMYFUNCTION("""COMPUTED_VALUE"""),4030.0)</f>
        <v>4030</v>
      </c>
      <c r="F1046" s="3">
        <f>IFERROR(__xludf.DUMMYFUNCTION("""COMPUTED_VALUE"""),60640.0)</f>
        <v>60640</v>
      </c>
      <c r="G1046" s="2" t="str">
        <f>IFERROR(__xludf.DUMMYFUNCTION("""COMPUTED_VALUE"""),"Him Parbat Karnali Hydropower P. Ltd.")</f>
        <v>Him Parbat Karnali Hydropower P. Ltd.</v>
      </c>
      <c r="H1046" s="2" t="str">
        <f>IFERROR(__xludf.DUMMYFUNCTION("""COMPUTED_VALUE"""),"Nakhipat Lalitpur, Phone 9741175785")</f>
        <v>Nakhipat Lalitpur, Phone 9741175785</v>
      </c>
      <c r="I1046" s="2" t="str">
        <f>IFERROR(__xludf.DUMMYFUNCTION("""COMPUTED_VALUE"""),"29o 56' 53""")</f>
        <v>29o 56' 53"</v>
      </c>
      <c r="J1046" s="2" t="str">
        <f>IFERROR(__xludf.DUMMYFUNCTION("""COMPUTED_VALUE"""),"29o 58' 00""")</f>
        <v>29o 58' 00"</v>
      </c>
      <c r="K1046" s="2" t="str">
        <f>IFERROR(__xludf.DUMMYFUNCTION("""COMPUTED_VALUE"""),"81o 46' 33""")</f>
        <v>81o 46' 33"</v>
      </c>
      <c r="L1046" s="2" t="str">
        <f>IFERROR(__xludf.DUMMYFUNCTION("""COMPUTED_VALUE"""),"81o 48' 25""")</f>
        <v>81o 48' 25"</v>
      </c>
      <c r="M1046" s="2" t="str">
        <f>IFERROR(__xludf.DUMMYFUNCTION("""COMPUTED_VALUE"""),"Syada (Humla)")</f>
        <v>Syada (Humla)</v>
      </c>
    </row>
    <row r="1047">
      <c r="A1047" s="2">
        <f>IFERROR(__xludf.DUMMYFUNCTION("""COMPUTED_VALUE"""),1046.0)</f>
        <v>1046</v>
      </c>
      <c r="B1047" s="2" t="str">
        <f>IFERROR(__xludf.DUMMYFUNCTION("""COMPUTED_VALUE"""),"Churling")</f>
        <v>Churling</v>
      </c>
      <c r="C1047" s="2">
        <f>IFERROR(__xludf.DUMMYFUNCTION("""COMPUTED_VALUE"""),0.75)</f>
        <v>0.75</v>
      </c>
      <c r="D1047" s="2"/>
      <c r="E1047" s="2">
        <f>IFERROR(__xludf.DUMMYFUNCTION("""COMPUTED_VALUE"""),4031.0)</f>
        <v>4031</v>
      </c>
      <c r="F1047" s="3">
        <f>IFERROR(__xludf.DUMMYFUNCTION("""COMPUTED_VALUE"""),60640.0)</f>
        <v>60640</v>
      </c>
      <c r="G1047" s="2" t="str">
        <f>IFERROR(__xludf.DUMMYFUNCTION("""COMPUTED_VALUE"""),"Premraj Sharma")</f>
        <v>Premraj Sharma</v>
      </c>
      <c r="H1047" s="2" t="str">
        <f>IFERROR(__xludf.DUMMYFUNCTION("""COMPUTED_VALUE"""),"Majuwa 2, Sindhuli")</f>
        <v>Majuwa 2, Sindhuli</v>
      </c>
      <c r="I1047" s="2" t="str">
        <f>IFERROR(__xludf.DUMMYFUNCTION("""COMPUTED_VALUE"""),"00o 00' 00""")</f>
        <v>00o 00' 00"</v>
      </c>
      <c r="J1047" s="2" t="str">
        <f>IFERROR(__xludf.DUMMYFUNCTION("""COMPUTED_VALUE"""),"00o 00' 00""")</f>
        <v>00o 00' 00"</v>
      </c>
      <c r="K1047" s="2" t="str">
        <f>IFERROR(__xludf.DUMMYFUNCTION("""COMPUTED_VALUE"""),"00o 00' 00""")</f>
        <v>00o 00' 00"</v>
      </c>
      <c r="L1047" s="2" t="str">
        <f>IFERROR(__xludf.DUMMYFUNCTION("""COMPUTED_VALUE"""),"00o 00' 00""")</f>
        <v>00o 00' 00"</v>
      </c>
      <c r="M1047" s="2" t="str">
        <f>IFERROR(__xludf.DUMMYFUNCTION("""COMPUTED_VALUE"""),"Sarikhet Palase (Makawanpur)")</f>
        <v>Sarikhet Palase (Makawanpur)</v>
      </c>
    </row>
    <row r="1048">
      <c r="A1048" s="2">
        <f>IFERROR(__xludf.DUMMYFUNCTION("""COMPUTED_VALUE"""),1047.0)</f>
        <v>1047</v>
      </c>
      <c r="B1048" s="2" t="str">
        <f>IFERROR(__xludf.DUMMYFUNCTION("""COMPUTED_VALUE"""),"Bhalaudi")</f>
        <v>Bhalaudi</v>
      </c>
      <c r="C1048" s="2">
        <f>IFERROR(__xludf.DUMMYFUNCTION("""COMPUTED_VALUE"""),0.99)</f>
        <v>0.99</v>
      </c>
      <c r="D1048" s="2" t="str">
        <f>IFERROR(__xludf.DUMMYFUNCTION("""COMPUTED_VALUE"""),"Bhalaudi Khola")</f>
        <v>Bhalaudi Khola</v>
      </c>
      <c r="E1048" s="2">
        <f>IFERROR(__xludf.DUMMYFUNCTION("""COMPUTED_VALUE"""),4031.0)</f>
        <v>4031</v>
      </c>
      <c r="F1048" s="3">
        <f>IFERROR(__xludf.DUMMYFUNCTION("""COMPUTED_VALUE"""),60640.0)</f>
        <v>60640</v>
      </c>
      <c r="G1048" s="2" t="str">
        <f>IFERROR(__xludf.DUMMYFUNCTION("""COMPUTED_VALUE"""),"Mesh Bahadur Gurung")</f>
        <v>Mesh Bahadur Gurung</v>
      </c>
      <c r="H1048" s="2" t="str">
        <f>IFERROR(__xludf.DUMMYFUNCTION("""COMPUTED_VALUE"""),"Tel: 9856025709")</f>
        <v>Tel: 9856025709</v>
      </c>
      <c r="I1048" s="2" t="str">
        <f>IFERROR(__xludf.DUMMYFUNCTION("""COMPUTED_VALUE"""),"28o 22' 17""")</f>
        <v>28o 22' 17"</v>
      </c>
      <c r="J1048" s="2" t="str">
        <f>IFERROR(__xludf.DUMMYFUNCTION("""COMPUTED_VALUE"""),"28o 23' 53""")</f>
        <v>28o 23' 53"</v>
      </c>
      <c r="K1048" s="2" t="str">
        <f>IFERROR(__xludf.DUMMYFUNCTION("""COMPUTED_VALUE"""),"83o 56' 55""")</f>
        <v>83o 56' 55"</v>
      </c>
      <c r="L1048" s="2" t="str">
        <f>IFERROR(__xludf.DUMMYFUNCTION("""COMPUTED_VALUE"""),"83o 58' 46""")</f>
        <v>83o 58' 46"</v>
      </c>
      <c r="M1048" s="2" t="str">
        <f>IFERROR(__xludf.DUMMYFUNCTION("""COMPUTED_VALUE"""),"Machhapuchchhre (Kaski)")</f>
        <v>Machhapuchchhre (Kaski)</v>
      </c>
    </row>
    <row r="1049">
      <c r="A1049" s="2">
        <f>IFERROR(__xludf.DUMMYFUNCTION("""COMPUTED_VALUE"""),1048.0)</f>
        <v>1048</v>
      </c>
      <c r="B1049" s="2" t="str">
        <f>IFERROR(__xludf.DUMMYFUNCTION("""COMPUTED_VALUE"""),"Thaklan Sandhi Khola")</f>
        <v>Thaklan Sandhi Khola</v>
      </c>
      <c r="C1049" s="2">
        <f>IFERROR(__xludf.DUMMYFUNCTION("""COMPUTED_VALUE"""),0.934)</f>
        <v>0.934</v>
      </c>
      <c r="D1049" s="2"/>
      <c r="E1049" s="2">
        <f>IFERROR(__xludf.DUMMYFUNCTION("""COMPUTED_VALUE"""),4035.0)</f>
        <v>4035</v>
      </c>
      <c r="F1049" s="3">
        <f>IFERROR(__xludf.DUMMYFUNCTION("""COMPUTED_VALUE"""),60640.0)</f>
        <v>60640</v>
      </c>
      <c r="G1049" s="2" t="str">
        <f>IFERROR(__xludf.DUMMYFUNCTION("""COMPUTED_VALUE"""),"Gita Timilsena")</f>
        <v>Gita Timilsena</v>
      </c>
      <c r="H1049" s="2" t="str">
        <f>IFERROR(__xludf.DUMMYFUNCTION("""COMPUTED_VALUE"""),"Chainpur 8, Chitawan")</f>
        <v>Chainpur 8, Chitawan</v>
      </c>
      <c r="I1049" s="2" t="str">
        <f>IFERROR(__xludf.DUMMYFUNCTION("""COMPUTED_VALUE"""),"27o 45' 00""")</f>
        <v>27o 45' 00"</v>
      </c>
      <c r="J1049" s="2" t="str">
        <f>IFERROR(__xludf.DUMMYFUNCTION("""COMPUTED_VALUE"""),"27o 46' 30""")</f>
        <v>27o 46' 30"</v>
      </c>
      <c r="K1049" s="2" t="str">
        <f>IFERROR(__xludf.DUMMYFUNCTION("""COMPUTED_VALUE"""),"84o 31' 00""")</f>
        <v>84o 31' 00"</v>
      </c>
      <c r="L1049" s="2" t="str">
        <f>IFERROR(__xludf.DUMMYFUNCTION("""COMPUTED_VALUE"""),"84o 33' 30""")</f>
        <v>84o 33' 30"</v>
      </c>
      <c r="M1049" s="2" t="str">
        <f>IFERROR(__xludf.DUMMYFUNCTION("""COMPUTED_VALUE"""),"Dahakhani (Chitawan)")</f>
        <v>Dahakhani (Chitawan)</v>
      </c>
    </row>
    <row r="1050">
      <c r="A1050" s="2">
        <f>IFERROR(__xludf.DUMMYFUNCTION("""COMPUTED_VALUE"""),1049.0)</f>
        <v>1049</v>
      </c>
      <c r="B1050" s="2" t="str">
        <f>IFERROR(__xludf.DUMMYFUNCTION("""COMPUTED_VALUE"""),"Ridi Khola SHP")</f>
        <v>Ridi Khola SHP</v>
      </c>
      <c r="C1050" s="2">
        <f>IFERROR(__xludf.DUMMYFUNCTION("""COMPUTED_VALUE"""),0.99)</f>
        <v>0.99</v>
      </c>
      <c r="D1050" s="2" t="str">
        <f>IFERROR(__xludf.DUMMYFUNCTION("""COMPUTED_VALUE"""),"Ridi")</f>
        <v>Ridi</v>
      </c>
      <c r="E1050" s="2">
        <f>IFERROR(__xludf.DUMMYFUNCTION("""COMPUTED_VALUE"""),4040.0)</f>
        <v>4040</v>
      </c>
      <c r="F1050" s="3">
        <f>IFERROR(__xludf.DUMMYFUNCTION("""COMPUTED_VALUE"""),60641.0)</f>
        <v>60641</v>
      </c>
      <c r="G1050" s="2" t="str">
        <f>IFERROR(__xludf.DUMMYFUNCTION("""COMPUTED_VALUE"""),"Ishwari Gyabali, Khageswar Gautam")</f>
        <v>Ishwari Gyabali, Khageswar Gautam</v>
      </c>
      <c r="H1050" s="2" t="str">
        <f>IFERROR(__xludf.DUMMYFUNCTION("""COMPUTED_VALUE"""),"Thanpati-4 Thorga, Gulmi")</f>
        <v>Thanpati-4 Thorga, Gulmi</v>
      </c>
      <c r="I1050" s="2" t="str">
        <f>IFERROR(__xludf.DUMMYFUNCTION("""COMPUTED_VALUE"""),"00o 00' 00""")</f>
        <v>00o 00' 00"</v>
      </c>
      <c r="J1050" s="2" t="str">
        <f>IFERROR(__xludf.DUMMYFUNCTION("""COMPUTED_VALUE"""),"00o 00' 00""")</f>
        <v>00o 00' 00"</v>
      </c>
      <c r="K1050" s="2" t="str">
        <f>IFERROR(__xludf.DUMMYFUNCTION("""COMPUTED_VALUE"""),"00o 00' 00""")</f>
        <v>00o 00' 00"</v>
      </c>
      <c r="L1050" s="2" t="str">
        <f>IFERROR(__xludf.DUMMYFUNCTION("""COMPUTED_VALUE"""),"00o 00' 00""")</f>
        <v>00o 00' 00"</v>
      </c>
      <c r="M1050" s="2" t="str">
        <f>IFERROR(__xludf.DUMMYFUNCTION("""COMPUTED_VALUE"""),"Daungha,Kharjyang (Gulmi) Siddheshwor,Bhuwanpokhari (Palpa)")</f>
        <v>Daungha,Kharjyang (Gulmi) Siddheshwor,Bhuwanpokhari (Palpa)</v>
      </c>
    </row>
    <row r="1051">
      <c r="A1051" s="2">
        <f>IFERROR(__xludf.DUMMYFUNCTION("""COMPUTED_VALUE"""),1050.0)</f>
        <v>1050</v>
      </c>
      <c r="B1051" s="2" t="str">
        <f>IFERROR(__xludf.DUMMYFUNCTION("""COMPUTED_VALUE"""),"Dhekyu Khola SHP")</f>
        <v>Dhekyu Khola SHP</v>
      </c>
      <c r="C1051" s="2">
        <f>IFERROR(__xludf.DUMMYFUNCTION("""COMPUTED_VALUE"""),1.0)</f>
        <v>1</v>
      </c>
      <c r="D1051" s="2" t="str">
        <f>IFERROR(__xludf.DUMMYFUNCTION("""COMPUTED_VALUE"""),"Dhekyu")</f>
        <v>Dhekyu</v>
      </c>
      <c r="E1051" s="2">
        <f>IFERROR(__xludf.DUMMYFUNCTION("""COMPUTED_VALUE"""),4071.0)</f>
        <v>4071</v>
      </c>
      <c r="F1051" s="3">
        <f>IFERROR(__xludf.DUMMYFUNCTION("""COMPUTED_VALUE"""),60642.0)</f>
        <v>60642</v>
      </c>
      <c r="G1051" s="2" t="str">
        <f>IFERROR(__xludf.DUMMYFUNCTION("""COMPUTED_VALUE"""),"Bishnu Arpan Gurung")</f>
        <v>Bishnu Arpan Gurung</v>
      </c>
      <c r="H1051" s="2" t="str">
        <f>IFERROR(__xludf.DUMMYFUNCTION("""COMPUTED_VALUE"""),"Pokhra Sub Municipal Corporation-2, Kaski Tel: 523397")</f>
        <v>Pokhra Sub Municipal Corporation-2, Kaski Tel: 523397</v>
      </c>
      <c r="I1051" s="2" t="str">
        <f>IFERROR(__xludf.DUMMYFUNCTION("""COMPUTED_VALUE"""),"00o 00' 00""")</f>
        <v>00o 00' 00"</v>
      </c>
      <c r="J1051" s="2" t="str">
        <f>IFERROR(__xludf.DUMMYFUNCTION("""COMPUTED_VALUE"""),"00o 00' 00""")</f>
        <v>00o 00' 00"</v>
      </c>
      <c r="K1051" s="2" t="str">
        <f>IFERROR(__xludf.DUMMYFUNCTION("""COMPUTED_VALUE"""),"00o 00' 00""")</f>
        <v>00o 00' 00"</v>
      </c>
      <c r="L1051" s="2" t="str">
        <f>IFERROR(__xludf.DUMMYFUNCTION("""COMPUTED_VALUE"""),"00o 00' 00""")</f>
        <v>00o 00' 00"</v>
      </c>
      <c r="M1051" s="2" t="str">
        <f>IFERROR(__xludf.DUMMYFUNCTION("""COMPUTED_VALUE"""),"Chhusang (Mustang)")</f>
        <v>Chhusang (Mustang)</v>
      </c>
    </row>
    <row r="1052">
      <c r="A1052" s="2">
        <f>IFERROR(__xludf.DUMMYFUNCTION("""COMPUTED_VALUE"""),1051.0)</f>
        <v>1051</v>
      </c>
      <c r="B1052" s="2" t="str">
        <f>IFERROR(__xludf.DUMMYFUNCTION("""COMPUTED_VALUE"""),"Khimti Khola HPP")</f>
        <v>Khimti Khola HPP</v>
      </c>
      <c r="C1052" s="2">
        <f>IFERROR(__xludf.DUMMYFUNCTION("""COMPUTED_VALUE"""),6.0)</f>
        <v>6</v>
      </c>
      <c r="D1052" s="2" t="str">
        <f>IFERROR(__xludf.DUMMYFUNCTION("""COMPUTED_VALUE"""),"Khimti Khola")</f>
        <v>Khimti Khola</v>
      </c>
      <c r="E1052" s="2">
        <f>IFERROR(__xludf.DUMMYFUNCTION("""COMPUTED_VALUE"""),4085.0)</f>
        <v>4085</v>
      </c>
      <c r="F1052" s="3">
        <f>IFERROR(__xludf.DUMMYFUNCTION("""COMPUTED_VALUE"""),60645.0)</f>
        <v>60645</v>
      </c>
      <c r="G1052" s="2" t="str">
        <f>IFERROR(__xludf.DUMMYFUNCTION("""COMPUTED_VALUE"""),"Radhika Thapa")</f>
        <v>Radhika Thapa</v>
      </c>
      <c r="H1052" s="2" t="str">
        <f>IFERROR(__xludf.DUMMYFUNCTION("""COMPUTED_VALUE"""),"Kuleswar, Kathmandu Tel: 9841727045,01-4283976")</f>
        <v>Kuleswar, Kathmandu Tel: 9841727045,01-4283976</v>
      </c>
      <c r="I1052" s="2" t="str">
        <f>IFERROR(__xludf.DUMMYFUNCTION("""COMPUTED_VALUE"""),"27o 34' 20""")</f>
        <v>27o 34' 20"</v>
      </c>
      <c r="J1052" s="2" t="str">
        <f>IFERROR(__xludf.DUMMYFUNCTION("""COMPUTED_VALUE"""),"27o 35' 00""")</f>
        <v>27o 35' 00"</v>
      </c>
      <c r="K1052" s="2" t="str">
        <f>IFERROR(__xludf.DUMMYFUNCTION("""COMPUTED_VALUE"""),"86o 11' 53""")</f>
        <v>86o 11' 53"</v>
      </c>
      <c r="L1052" s="2" t="str">
        <f>IFERROR(__xludf.DUMMYFUNCTION("""COMPUTED_VALUE"""),"86o 13' 00""")</f>
        <v>86o 13' 00"</v>
      </c>
      <c r="M1052" s="2" t="str">
        <f>IFERROR(__xludf.DUMMYFUNCTION("""COMPUTED_VALUE"""),"Rasanalu (Ramechhap)")</f>
        <v>Rasanalu (Ramechhap)</v>
      </c>
    </row>
    <row r="1053">
      <c r="A1053" s="2">
        <f>IFERROR(__xludf.DUMMYFUNCTION("""COMPUTED_VALUE"""),1052.0)</f>
        <v>1052</v>
      </c>
      <c r="B1053" s="2" t="str">
        <f>IFERROR(__xludf.DUMMYFUNCTION("""COMPUTED_VALUE"""),"Kokhajor Khola SHP")</f>
        <v>Kokhajor Khola SHP</v>
      </c>
      <c r="C1053" s="2">
        <f>IFERROR(__xludf.DUMMYFUNCTION("""COMPUTED_VALUE"""),1.0)</f>
        <v>1</v>
      </c>
      <c r="D1053" s="2" t="str">
        <f>IFERROR(__xludf.DUMMYFUNCTION("""COMPUTED_VALUE"""),"Kokhajor Khola")</f>
        <v>Kokhajor Khola</v>
      </c>
      <c r="E1053" s="2">
        <f>IFERROR(__xludf.DUMMYFUNCTION("""COMPUTED_VALUE"""),4086.0)</f>
        <v>4086</v>
      </c>
      <c r="F1053" s="3">
        <f>IFERROR(__xludf.DUMMYFUNCTION("""COMPUTED_VALUE"""),60645.0)</f>
        <v>60645</v>
      </c>
      <c r="G1053" s="2" t="str">
        <f>IFERROR(__xludf.DUMMYFUNCTION("""COMPUTED_VALUE"""),"Shyam Ghimire, Dhruv Karki, Kumar Dhakal")</f>
        <v>Shyam Ghimire, Dhruv Karki, Kumar Dhakal</v>
      </c>
      <c r="H1053" s="2" t="str">
        <f>IFERROR(__xludf.DUMMYFUNCTION("""COMPUTED_VALUE"""),"Dadhiguranse-2, Sindhuli")</f>
        <v>Dadhiguranse-2, Sindhuli</v>
      </c>
      <c r="I1053" s="2" t="str">
        <f>IFERROR(__xludf.DUMMYFUNCTION("""COMPUTED_VALUE"""),"00o 00' 00""")</f>
        <v>00o 00' 00"</v>
      </c>
      <c r="J1053" s="2" t="str">
        <f>IFERROR(__xludf.DUMMYFUNCTION("""COMPUTED_VALUE"""),"00o 00' 00""")</f>
        <v>00o 00' 00"</v>
      </c>
      <c r="K1053" s="2" t="str">
        <f>IFERROR(__xludf.DUMMYFUNCTION("""COMPUTED_VALUE"""),"00o 00' 00""")</f>
        <v>00o 00' 00"</v>
      </c>
      <c r="L1053" s="2" t="str">
        <f>IFERROR(__xludf.DUMMYFUNCTION("""COMPUTED_VALUE"""),"00o 00' 00""")</f>
        <v>00o 00' 00"</v>
      </c>
      <c r="M1053" s="2" t="str">
        <f>IFERROR(__xludf.DUMMYFUNCTION("""COMPUTED_VALUE"""),"Hariharpur (Sindhuli)")</f>
        <v>Hariharpur (Sindhuli)</v>
      </c>
    </row>
    <row r="1054">
      <c r="A1054" s="2">
        <f>IFERROR(__xludf.DUMMYFUNCTION("""COMPUTED_VALUE"""),1053.0)</f>
        <v>1053</v>
      </c>
      <c r="B1054" s="2" t="str">
        <f>IFERROR(__xludf.DUMMYFUNCTION("""COMPUTED_VALUE"""),"Sunkoshi-C Hydropower Project")</f>
        <v>Sunkoshi-C Hydropower Project</v>
      </c>
      <c r="C1054" s="2">
        <f>IFERROR(__xludf.DUMMYFUNCTION("""COMPUTED_VALUE"""),500.0)</f>
        <v>500</v>
      </c>
      <c r="D1054" s="2" t="str">
        <f>IFERROR(__xludf.DUMMYFUNCTION("""COMPUTED_VALUE"""),"Sun Koshi")</f>
        <v>Sun Koshi</v>
      </c>
      <c r="E1054" s="2">
        <f>IFERROR(__xludf.DUMMYFUNCTION("""COMPUTED_VALUE"""),4088.0)</f>
        <v>4088</v>
      </c>
      <c r="F1054" s="3">
        <f>IFERROR(__xludf.DUMMYFUNCTION("""COMPUTED_VALUE"""),60645.0)</f>
        <v>60645</v>
      </c>
      <c r="G1054" s="2" t="str">
        <f>IFERROR(__xludf.DUMMYFUNCTION("""COMPUTED_VALUE"""),"River Water Power Company Pvt Ltd")</f>
        <v>River Water Power Company Pvt Ltd</v>
      </c>
      <c r="H1054" s="2" t="str">
        <f>IFERROR(__xludf.DUMMYFUNCTION("""COMPUTED_VALUE"""),"Minbhavan Kathmandu, Tel: 9841584310")</f>
        <v>Minbhavan Kathmandu, Tel: 9841584310</v>
      </c>
      <c r="I1054" s="2" t="str">
        <f>IFERROR(__xludf.DUMMYFUNCTION("""COMPUTED_VALUE"""),"27o 05' 03""")</f>
        <v>27o 05' 03"</v>
      </c>
      <c r="J1054" s="2" t="str">
        <f>IFERROR(__xludf.DUMMYFUNCTION("""COMPUTED_VALUE"""),"27o 17' 30""")</f>
        <v>27o 17' 30"</v>
      </c>
      <c r="K1054" s="2" t="str">
        <f>IFERROR(__xludf.DUMMYFUNCTION("""COMPUTED_VALUE"""),"86o 07' 30""")</f>
        <v>86o 07' 30"</v>
      </c>
      <c r="L1054" s="2" t="str">
        <f>IFERROR(__xludf.DUMMYFUNCTION("""COMPUTED_VALUE"""),"86o 32' 30""")</f>
        <v>86o 32' 30"</v>
      </c>
      <c r="M1054" s="2" t="str">
        <f>IFERROR(__xludf.DUMMYFUNCTION("""COMPUTED_VALUE"""),"Madan Kundari (Kavrepalanchok)")</f>
        <v>Madan Kundari (Kavrepalanchok)</v>
      </c>
    </row>
    <row r="1055">
      <c r="A1055" s="2">
        <f>IFERROR(__xludf.DUMMYFUNCTION("""COMPUTED_VALUE"""),1054.0)</f>
        <v>1054</v>
      </c>
      <c r="B1055" s="2" t="str">
        <f>IFERROR(__xludf.DUMMYFUNCTION("""COMPUTED_VALUE"""),"Danakyu Khola SHP")</f>
        <v>Danakyu Khola SHP</v>
      </c>
      <c r="C1055" s="2">
        <f>IFERROR(__xludf.DUMMYFUNCTION("""COMPUTED_VALUE"""),0.99)</f>
        <v>0.99</v>
      </c>
      <c r="D1055" s="2" t="str">
        <f>IFERROR(__xludf.DUMMYFUNCTION("""COMPUTED_VALUE"""),"Danakyu Khola")</f>
        <v>Danakyu Khola</v>
      </c>
      <c r="E1055" s="2">
        <f>IFERROR(__xludf.DUMMYFUNCTION("""COMPUTED_VALUE"""),4090.0)</f>
        <v>4090</v>
      </c>
      <c r="F1055" s="3">
        <f>IFERROR(__xludf.DUMMYFUNCTION("""COMPUTED_VALUE"""),60645.0)</f>
        <v>60645</v>
      </c>
      <c r="G1055" s="2" t="str">
        <f>IFERROR(__xludf.DUMMYFUNCTION("""COMPUTED_VALUE"""),"Koyapro Hydropower Pvt Ltd")</f>
        <v>Koyapro Hydropower Pvt Ltd</v>
      </c>
      <c r="H1055" s="2" t="str">
        <f>IFERROR(__xludf.DUMMYFUNCTION("""COMPUTED_VALUE"""),"Taghring, Lamjung")</f>
        <v>Taghring, Lamjung</v>
      </c>
      <c r="I1055" s="2" t="str">
        <f>IFERROR(__xludf.DUMMYFUNCTION("""COMPUTED_VALUE"""),"28o 30' 00""")</f>
        <v>28o 30' 00"</v>
      </c>
      <c r="J1055" s="2" t="str">
        <f>IFERROR(__xludf.DUMMYFUNCTION("""COMPUTED_VALUE"""),"28o 31' 59""")</f>
        <v>28o 31' 59"</v>
      </c>
      <c r="K1055" s="2" t="str">
        <f>IFERROR(__xludf.DUMMYFUNCTION("""COMPUTED_VALUE"""),"84o 17' 42""")</f>
        <v>84o 17' 42"</v>
      </c>
      <c r="L1055" s="2" t="str">
        <f>IFERROR(__xludf.DUMMYFUNCTION("""COMPUTED_VALUE"""),"84o 19' 20""")</f>
        <v>84o 19' 20"</v>
      </c>
      <c r="M1055" s="2" t="str">
        <f>IFERROR(__xludf.DUMMYFUNCTION("""COMPUTED_VALUE"""),"Taghring (Lamjung)")</f>
        <v>Taghring (Lamjung)</v>
      </c>
    </row>
    <row r="1056">
      <c r="A1056" s="2">
        <f>IFERROR(__xludf.DUMMYFUNCTION("""COMPUTED_VALUE"""),1055.0)</f>
        <v>1055</v>
      </c>
      <c r="B1056" s="2" t="str">
        <f>IFERROR(__xludf.DUMMYFUNCTION("""COMPUTED_VALUE"""),"Gandi gad SHP")</f>
        <v>Gandi gad SHP</v>
      </c>
      <c r="C1056" s="2">
        <f>IFERROR(__xludf.DUMMYFUNCTION("""COMPUTED_VALUE"""),0.3)</f>
        <v>0.3</v>
      </c>
      <c r="D1056" s="2" t="str">
        <f>IFERROR(__xludf.DUMMYFUNCTION("""COMPUTED_VALUE"""),"Gandi gad")</f>
        <v>Gandi gad</v>
      </c>
      <c r="E1056" s="2">
        <f>IFERROR(__xludf.DUMMYFUNCTION("""COMPUTED_VALUE"""),6805.0)</f>
        <v>6805</v>
      </c>
      <c r="F1056" s="3">
        <f>IFERROR(__xludf.DUMMYFUNCTION("""COMPUTED_VALUE"""),60646.0)</f>
        <v>60646</v>
      </c>
      <c r="G1056" s="2" t="str">
        <f>IFERROR(__xludf.DUMMYFUNCTION("""COMPUTED_VALUE"""),"Gopal Khadka, B.M.Pandey,G.M.Shahi,Dipesh Thapa, Kishan Singh Dhami, 
B.Bhattarai, Basant Bagale")</f>
        <v>Gopal Khadka, B.M.Pandey,G.M.Shahi,Dipesh Thapa, Kishan Singh Dhami, 
B.Bhattarai, Basant Bagale</v>
      </c>
      <c r="H1056" s="2" t="str">
        <f>IFERROR(__xludf.DUMMYFUNCTION("""COMPUTED_VALUE"""),"Waling-2, Syangja Tel: 9841306309")</f>
        <v>Waling-2, Syangja Tel: 9841306309</v>
      </c>
      <c r="I1056" s="2" t="str">
        <f>IFERROR(__xludf.DUMMYFUNCTION("""COMPUTED_VALUE"""),"29o 40' 18""")</f>
        <v>29o 40' 18"</v>
      </c>
      <c r="J1056" s="2" t="str">
        <f>IFERROR(__xludf.DUMMYFUNCTION("""COMPUTED_VALUE"""),"29o 41' 34""")</f>
        <v>29o 41' 34"</v>
      </c>
      <c r="K1056" s="2" t="str">
        <f>IFERROR(__xludf.DUMMYFUNCTION("""COMPUTED_VALUE"""),"80o 40' 40""")</f>
        <v>80o 40' 40"</v>
      </c>
      <c r="L1056" s="2" t="str">
        <f>IFERROR(__xludf.DUMMYFUNCTION("""COMPUTED_VALUE"""),"80o 42' 53""")</f>
        <v>80o 42' 53"</v>
      </c>
      <c r="M1056" s="2" t="str">
        <f>IFERROR(__xludf.DUMMYFUNCTION("""COMPUTED_VALUE"""),"Kotpetara (Baitadi)")</f>
        <v>Kotpetara (Baitadi)</v>
      </c>
    </row>
    <row r="1057">
      <c r="A1057" s="2">
        <f>IFERROR(__xludf.DUMMYFUNCTION("""COMPUTED_VALUE"""),1056.0)</f>
        <v>1056</v>
      </c>
      <c r="B1057" s="2" t="str">
        <f>IFERROR(__xludf.DUMMYFUNCTION("""COMPUTED_VALUE"""),"Satghatte Khola SHP")</f>
        <v>Satghatte Khola SHP</v>
      </c>
      <c r="C1057" s="2">
        <f>IFERROR(__xludf.DUMMYFUNCTION("""COMPUTED_VALUE"""),0.105)</f>
        <v>0.105</v>
      </c>
      <c r="D1057" s="2" t="str">
        <f>IFERROR(__xludf.DUMMYFUNCTION("""COMPUTED_VALUE"""),"Satghatte")</f>
        <v>Satghatte</v>
      </c>
      <c r="E1057" s="2">
        <f>IFERROR(__xludf.DUMMYFUNCTION("""COMPUTED_VALUE"""),4111.0)</f>
        <v>4111</v>
      </c>
      <c r="F1057" s="3">
        <f>IFERROR(__xludf.DUMMYFUNCTION("""COMPUTED_VALUE"""),60647.0)</f>
        <v>60647</v>
      </c>
      <c r="G1057" s="2" t="str">
        <f>IFERROR(__xludf.DUMMYFUNCTION("""COMPUTED_VALUE"""),"Third Eye Small Hydropower Company")</f>
        <v>Third Eye Small Hydropower Company</v>
      </c>
      <c r="H1057" s="2" t="str">
        <f>IFERROR(__xludf.DUMMYFUNCTION("""COMPUTED_VALUE"""),"Kathmandu , Tel: 9851067744,9741174592")</f>
        <v>Kathmandu , Tel: 9851067744,9741174592</v>
      </c>
      <c r="I1057" s="2" t="str">
        <f>IFERROR(__xludf.DUMMYFUNCTION("""COMPUTED_VALUE"""),"27o 45' 24""")</f>
        <v>27o 45' 24"</v>
      </c>
      <c r="J1057" s="2" t="str">
        <f>IFERROR(__xludf.DUMMYFUNCTION("""COMPUTED_VALUE"""),"27o 45' 50""")</f>
        <v>27o 45' 50"</v>
      </c>
      <c r="K1057" s="2" t="str">
        <f>IFERROR(__xludf.DUMMYFUNCTION("""COMPUTED_VALUE"""),"85o 27' 03""")</f>
        <v>85o 27' 03"</v>
      </c>
      <c r="L1057" s="2" t="str">
        <f>IFERROR(__xludf.DUMMYFUNCTION("""COMPUTED_VALUE"""),"85o 27' 30""")</f>
        <v>85o 27' 30"</v>
      </c>
      <c r="M1057" s="2" t="str">
        <f>IFERROR(__xludf.DUMMYFUNCTION("""COMPUTED_VALUE"""),"Gagalphedi (Kathmandu)")</f>
        <v>Gagalphedi (Kathmandu)</v>
      </c>
    </row>
    <row r="1058">
      <c r="A1058" s="2">
        <f>IFERROR(__xludf.DUMMYFUNCTION("""COMPUTED_VALUE"""),1057.0)</f>
        <v>1057</v>
      </c>
      <c r="B1058" s="2" t="str">
        <f>IFERROR(__xludf.DUMMYFUNCTION("""COMPUTED_VALUE"""),"Upper Sapsu Khoa SHP")</f>
        <v>Upper Sapsu Khoa SHP</v>
      </c>
      <c r="C1058" s="2">
        <f>IFERROR(__xludf.DUMMYFUNCTION("""COMPUTED_VALUE"""),0.927)</f>
        <v>0.927</v>
      </c>
      <c r="D1058" s="2" t="str">
        <f>IFERROR(__xludf.DUMMYFUNCTION("""COMPUTED_VALUE"""),"Sapsu")</f>
        <v>Sapsu</v>
      </c>
      <c r="E1058" s="2">
        <f>IFERROR(__xludf.DUMMYFUNCTION("""COMPUTED_VALUE"""),4114.0)</f>
        <v>4114</v>
      </c>
      <c r="F1058" s="3">
        <f>IFERROR(__xludf.DUMMYFUNCTION("""COMPUTED_VALUE"""),60647.0)</f>
        <v>60647</v>
      </c>
      <c r="G1058" s="2" t="str">
        <f>IFERROR(__xludf.DUMMYFUNCTION("""COMPUTED_VALUE"""),"Arjun Kumar Rai, Sita Pandey")</f>
        <v>Arjun Kumar Rai, Sita Pandey</v>
      </c>
      <c r="H1058" s="2" t="str">
        <f>IFERROR(__xludf.DUMMYFUNCTION("""COMPUTED_VALUE"""),"Lokanthali, Bhaktapur")</f>
        <v>Lokanthali, Bhaktapur</v>
      </c>
      <c r="I1058" s="2" t="str">
        <f>IFERROR(__xludf.DUMMYFUNCTION("""COMPUTED_VALUE"""),"27o 10' 17""")</f>
        <v>27o 10' 17"</v>
      </c>
      <c r="J1058" s="2" t="str">
        <f>IFERROR(__xludf.DUMMYFUNCTION("""COMPUTED_VALUE"""),"27o 11' 45""")</f>
        <v>27o 11' 45"</v>
      </c>
      <c r="K1058" s="2" t="str">
        <f>IFERROR(__xludf.DUMMYFUNCTION("""COMPUTED_VALUE"""),"86o 49' 30""")</f>
        <v>86o 49' 30"</v>
      </c>
      <c r="L1058" s="2" t="str">
        <f>IFERROR(__xludf.DUMMYFUNCTION("""COMPUTED_VALUE"""),"86o 52' 00""")</f>
        <v>86o 52' 00"</v>
      </c>
      <c r="M1058" s="2" t="str">
        <f>IFERROR(__xludf.DUMMYFUNCTION("""COMPUTED_VALUE"""),"Chyandada (Khotang)")</f>
        <v>Chyandada (Khotang)</v>
      </c>
    </row>
    <row r="1059">
      <c r="A1059" s="2">
        <f>IFERROR(__xludf.DUMMYFUNCTION("""COMPUTED_VALUE"""),1058.0)</f>
        <v>1058</v>
      </c>
      <c r="B1059" s="2" t="str">
        <f>IFERROR(__xludf.DUMMYFUNCTION("""COMPUTED_VALUE"""),"Sabha Khola HPP")</f>
        <v>Sabha Khola HPP</v>
      </c>
      <c r="C1059" s="2">
        <f>IFERROR(__xludf.DUMMYFUNCTION("""COMPUTED_VALUE"""),4.0)</f>
        <v>4</v>
      </c>
      <c r="D1059" s="2" t="str">
        <f>IFERROR(__xludf.DUMMYFUNCTION("""COMPUTED_VALUE"""),"Sabha Khola")</f>
        <v>Sabha Khola</v>
      </c>
      <c r="E1059" s="2">
        <f>IFERROR(__xludf.DUMMYFUNCTION("""COMPUTED_VALUE"""),4133.0)</f>
        <v>4133</v>
      </c>
      <c r="F1059" s="3">
        <f>IFERROR(__xludf.DUMMYFUNCTION("""COMPUTED_VALUE"""),60649.0)</f>
        <v>60649</v>
      </c>
      <c r="G1059" s="2" t="str">
        <f>IFERROR(__xludf.DUMMYFUNCTION("""COMPUTED_VALUE"""),"Ampeak Hydropower Pvt Ltd")</f>
        <v>Ampeak Hydropower Pvt Ltd</v>
      </c>
      <c r="H1059" s="2" t="str">
        <f>IFERROR(__xludf.DUMMYFUNCTION("""COMPUTED_VALUE"""),"GPO Box: 12756, Kathmandu, Tel: 9851047673")</f>
        <v>GPO Box: 12756, Kathmandu, Tel: 9851047673</v>
      </c>
      <c r="I1059" s="2" t="str">
        <f>IFERROR(__xludf.DUMMYFUNCTION("""COMPUTED_VALUE"""),"27o 17' 30""")</f>
        <v>27o 17' 30"</v>
      </c>
      <c r="J1059" s="2" t="str">
        <f>IFERROR(__xludf.DUMMYFUNCTION("""COMPUTED_VALUE"""),"27o 20' 32""")</f>
        <v>27o 20' 32"</v>
      </c>
      <c r="K1059" s="2" t="str">
        <f>IFERROR(__xludf.DUMMYFUNCTION("""COMPUTED_VALUE"""),"87o 10' 55""")</f>
        <v>87o 10' 55"</v>
      </c>
      <c r="L1059" s="2" t="str">
        <f>IFERROR(__xludf.DUMMYFUNCTION("""COMPUTED_VALUE"""),"87o 13' 21""")</f>
        <v>87o 13' 21"</v>
      </c>
      <c r="M1059" s="2" t="str">
        <f>IFERROR(__xludf.DUMMYFUNCTION("""COMPUTED_VALUE"""),"Syabun (Sankhuwasabha)")</f>
        <v>Syabun (Sankhuwasabha)</v>
      </c>
    </row>
    <row r="1060">
      <c r="A1060" s="2">
        <f>IFERROR(__xludf.DUMMYFUNCTION("""COMPUTED_VALUE"""),1059.0)</f>
        <v>1059</v>
      </c>
      <c r="B1060" s="2" t="str">
        <f>IFERROR(__xludf.DUMMYFUNCTION("""COMPUTED_VALUE"""),"Sabha Khola")</f>
        <v>Sabha Khola</v>
      </c>
      <c r="C1060" s="2">
        <f>IFERROR(__xludf.DUMMYFUNCTION("""COMPUTED_VALUE"""),4.0)</f>
        <v>4</v>
      </c>
      <c r="D1060" s="2" t="str">
        <f>IFERROR(__xludf.DUMMYFUNCTION("""COMPUTED_VALUE"""),"Sabha Khola")</f>
        <v>Sabha Khola</v>
      </c>
      <c r="E1060" s="2">
        <f>IFERROR(__xludf.DUMMYFUNCTION("""COMPUTED_VALUE"""),4133.0)</f>
        <v>4133</v>
      </c>
      <c r="F1060" s="3">
        <f>IFERROR(__xludf.DUMMYFUNCTION("""COMPUTED_VALUE"""),60649.0)</f>
        <v>60649</v>
      </c>
      <c r="G1060" s="2" t="str">
        <f>IFERROR(__xludf.DUMMYFUNCTION("""COMPUTED_VALUE"""),"Ampeak Hydropower Pvt. Ltd")</f>
        <v>Ampeak Hydropower Pvt. Ltd</v>
      </c>
      <c r="H1060" s="2" t="str">
        <f>IFERROR(__xludf.DUMMYFUNCTION("""COMPUTED_VALUE"""),"Kupandol Lalitpur")</f>
        <v>Kupandol Lalitpur</v>
      </c>
      <c r="I1060" s="2" t="str">
        <f>IFERROR(__xludf.DUMMYFUNCTION("""COMPUTED_VALUE"""),"27o 17' 30""")</f>
        <v>27o 17' 30"</v>
      </c>
      <c r="J1060" s="2" t="str">
        <f>IFERROR(__xludf.DUMMYFUNCTION("""COMPUTED_VALUE"""),"27o 20' 32""")</f>
        <v>27o 20' 32"</v>
      </c>
      <c r="K1060" s="2" t="str">
        <f>IFERROR(__xludf.DUMMYFUNCTION("""COMPUTED_VALUE"""),"87o 10' 55""")</f>
        <v>87o 10' 55"</v>
      </c>
      <c r="L1060" s="2" t="str">
        <f>IFERROR(__xludf.DUMMYFUNCTION("""COMPUTED_VALUE"""),"87o 13' 21""")</f>
        <v>87o 13' 21"</v>
      </c>
      <c r="M1060" s="2" t="str">
        <f>IFERROR(__xludf.DUMMYFUNCTION("""COMPUTED_VALUE"""),"Bala (Sankhuwasabha)")</f>
        <v>Bala (Sankhuwasabha)</v>
      </c>
    </row>
    <row r="1061">
      <c r="A1061" s="2">
        <f>IFERROR(__xludf.DUMMYFUNCTION("""COMPUTED_VALUE"""),1060.0)</f>
        <v>1060</v>
      </c>
      <c r="B1061" s="2" t="str">
        <f>IFERROR(__xludf.DUMMYFUNCTION("""COMPUTED_VALUE"""),"Hadi Khola HPP")</f>
        <v>Hadi Khola HPP</v>
      </c>
      <c r="C1061" s="2">
        <f>IFERROR(__xludf.DUMMYFUNCTION("""COMPUTED_VALUE"""),1.485)</f>
        <v>1.485</v>
      </c>
      <c r="D1061" s="2" t="str">
        <f>IFERROR(__xludf.DUMMYFUNCTION("""COMPUTED_VALUE"""),"Hadi")</f>
        <v>Hadi</v>
      </c>
      <c r="E1061" s="2">
        <f>IFERROR(__xludf.DUMMYFUNCTION("""COMPUTED_VALUE"""),4147.0)</f>
        <v>4147</v>
      </c>
      <c r="F1061" s="3">
        <f>IFERROR(__xludf.DUMMYFUNCTION("""COMPUTED_VALUE"""),60652.0)</f>
        <v>60652</v>
      </c>
      <c r="G1061" s="2" t="str">
        <f>IFERROR(__xludf.DUMMYFUNCTION("""COMPUTED_VALUE"""),"Shiro Investment Pvt Ltd")</f>
        <v>Shiro Investment Pvt Ltd</v>
      </c>
      <c r="H1061" s="2" t="str">
        <f>IFERROR(__xludf.DUMMYFUNCTION("""COMPUTED_VALUE"""),"Tangal, Kathmandu , Tel: 4421119, 9741026905")</f>
        <v>Tangal, Kathmandu , Tel: 4421119, 9741026905</v>
      </c>
      <c r="I1061" s="2" t="str">
        <f>IFERROR(__xludf.DUMMYFUNCTION("""COMPUTED_VALUE"""),"27o 46' 38""")</f>
        <v>27o 46' 38"</v>
      </c>
      <c r="J1061" s="2" t="str">
        <f>IFERROR(__xludf.DUMMYFUNCTION("""COMPUTED_VALUE"""),"27o 47' 43""")</f>
        <v>27o 47' 43"</v>
      </c>
      <c r="K1061" s="2" t="str">
        <f>IFERROR(__xludf.DUMMYFUNCTION("""COMPUTED_VALUE"""),"85o 57' 35""")</f>
        <v>85o 57' 35"</v>
      </c>
      <c r="L1061" s="2" t="str">
        <f>IFERROR(__xludf.DUMMYFUNCTION("""COMPUTED_VALUE"""),"85o 59' 16""")</f>
        <v>85o 59' 16"</v>
      </c>
      <c r="M1061" s="2" t="str">
        <f>IFERROR(__xludf.DUMMYFUNCTION("""COMPUTED_VALUE"""),"Choukati,Ghorthali,Karthali (Sindhupalchok)")</f>
        <v>Choukati,Ghorthali,Karthali (Sindhupalchok)</v>
      </c>
    </row>
    <row r="1062">
      <c r="A1062" s="2">
        <f>IFERROR(__xludf.DUMMYFUNCTION("""COMPUTED_VALUE"""),1061.0)</f>
        <v>1061</v>
      </c>
      <c r="B1062" s="2" t="str">
        <f>IFERROR(__xludf.DUMMYFUNCTION("""COMPUTED_VALUE"""),"Dariyal Nadi SHP")</f>
        <v>Dariyal Nadi SHP</v>
      </c>
      <c r="C1062" s="2">
        <f>IFERROR(__xludf.DUMMYFUNCTION("""COMPUTED_VALUE"""),0.6)</f>
        <v>0.6</v>
      </c>
      <c r="D1062" s="2" t="str">
        <f>IFERROR(__xludf.DUMMYFUNCTION("""COMPUTED_VALUE"""),"Dariyal Khola")</f>
        <v>Dariyal Khola</v>
      </c>
      <c r="E1062" s="2">
        <f>IFERROR(__xludf.DUMMYFUNCTION("""COMPUTED_VALUE"""),4163.0)</f>
        <v>4163</v>
      </c>
      <c r="F1062" s="3">
        <f>IFERROR(__xludf.DUMMYFUNCTION("""COMPUTED_VALUE"""),60652.0)</f>
        <v>60652</v>
      </c>
      <c r="G1062" s="2" t="str">
        <f>IFERROR(__xludf.DUMMYFUNCTION("""COMPUTED_VALUE"""),"Subha Upreti, Kavita Lamsal")</f>
        <v>Subha Upreti, Kavita Lamsal</v>
      </c>
      <c r="H1062" s="2" t="str">
        <f>IFERROR(__xludf.DUMMYFUNCTION("""COMPUTED_VALUE"""),"Kamal Pokhri, Kathmandu")</f>
        <v>Kamal Pokhri, Kathmandu</v>
      </c>
      <c r="I1062" s="2" t="str">
        <f>IFERROR(__xludf.DUMMYFUNCTION("""COMPUTED_VALUE"""),"27o 45' 00""")</f>
        <v>27o 45' 00"</v>
      </c>
      <c r="J1062" s="2" t="str">
        <f>IFERROR(__xludf.DUMMYFUNCTION("""COMPUTED_VALUE"""),"27o 45' 48""")</f>
        <v>27o 45' 48"</v>
      </c>
      <c r="K1062" s="2" t="str">
        <f>IFERROR(__xludf.DUMMYFUNCTION("""COMPUTED_VALUE"""),"84o 54' 11""")</f>
        <v>84o 54' 11"</v>
      </c>
      <c r="L1062" s="2" t="str">
        <f>IFERROR(__xludf.DUMMYFUNCTION("""COMPUTED_VALUE"""),"84o 55' 19""")</f>
        <v>84o 55' 19"</v>
      </c>
      <c r="M1062" s="2" t="str">
        <f>IFERROR(__xludf.DUMMYFUNCTION("""COMPUTED_VALUE"""),"Pida (Dhading)")</f>
        <v>Pida (Dhading)</v>
      </c>
    </row>
    <row r="1063">
      <c r="A1063" s="2">
        <f>IFERROR(__xludf.DUMMYFUNCTION("""COMPUTED_VALUE"""),1062.0)</f>
        <v>1062</v>
      </c>
      <c r="B1063" s="2" t="str">
        <f>IFERROR(__xludf.DUMMYFUNCTION("""COMPUTED_VALUE"""),"Chulepu Khola SHP")</f>
        <v>Chulepu Khola SHP</v>
      </c>
      <c r="C1063" s="2">
        <f>IFERROR(__xludf.DUMMYFUNCTION("""COMPUTED_VALUE"""),1.0)</f>
        <v>1</v>
      </c>
      <c r="D1063" s="2" t="str">
        <f>IFERROR(__xludf.DUMMYFUNCTION("""COMPUTED_VALUE"""),"Chulepu Khola")</f>
        <v>Chulepu Khola</v>
      </c>
      <c r="E1063" s="2">
        <f>IFERROR(__xludf.DUMMYFUNCTION("""COMPUTED_VALUE"""),4165.0)</f>
        <v>4165</v>
      </c>
      <c r="F1063" s="3">
        <f>IFERROR(__xludf.DUMMYFUNCTION("""COMPUTED_VALUE"""),60652.0)</f>
        <v>60652</v>
      </c>
      <c r="G1063" s="2" t="str">
        <f>IFERROR(__xludf.DUMMYFUNCTION("""COMPUTED_VALUE"""),"Ang Dawa Sherpa, Narayan Khadka")</f>
        <v>Ang Dawa Sherpa, Narayan Khadka</v>
      </c>
      <c r="H1063" s="2" t="str">
        <f>IFERROR(__xludf.DUMMYFUNCTION("""COMPUTED_VALUE"""),"Gupteswar-8, Ramechhap, Tel: 9851069984,9841220554")</f>
        <v>Gupteswar-8, Ramechhap, Tel: 9851069984,9841220554</v>
      </c>
      <c r="I1063" s="2" t="str">
        <f>IFERROR(__xludf.DUMMYFUNCTION("""COMPUTED_VALUE"""),"27o 29' 37""")</f>
        <v>27o 29' 37"</v>
      </c>
      <c r="J1063" s="2" t="str">
        <f>IFERROR(__xludf.DUMMYFUNCTION("""COMPUTED_VALUE"""),"27o 31' 28""")</f>
        <v>27o 31' 28"</v>
      </c>
      <c r="K1063" s="2" t="str">
        <f>IFERROR(__xludf.DUMMYFUNCTION("""COMPUTED_VALUE"""),"86o 15' 40""")</f>
        <v>86o 15' 40"</v>
      </c>
      <c r="L1063" s="2" t="str">
        <f>IFERROR(__xludf.DUMMYFUNCTION("""COMPUTED_VALUE"""),"86o 17' 29""")</f>
        <v>86o 17' 29"</v>
      </c>
      <c r="M1063" s="2" t="str">
        <f>IFERROR(__xludf.DUMMYFUNCTION("""COMPUTED_VALUE"""),"Guptesqor (Ramechhap)")</f>
        <v>Guptesqor (Ramechhap)</v>
      </c>
    </row>
    <row r="1064">
      <c r="A1064" s="2">
        <f>IFERROR(__xludf.DUMMYFUNCTION("""COMPUTED_VALUE"""),1063.0)</f>
        <v>1063</v>
      </c>
      <c r="B1064" s="2" t="str">
        <f>IFERROR(__xludf.DUMMYFUNCTION("""COMPUTED_VALUE"""),"Super Trishuli Ganga Nadi HPP")</f>
        <v>Super Trishuli Ganga Nadi HPP</v>
      </c>
      <c r="C1064" s="2">
        <f>IFERROR(__xludf.DUMMYFUNCTION("""COMPUTED_VALUE"""),10.0)</f>
        <v>10</v>
      </c>
      <c r="D1064" s="2" t="str">
        <f>IFERROR(__xludf.DUMMYFUNCTION("""COMPUTED_VALUE"""),"Trishuli")</f>
        <v>Trishuli</v>
      </c>
      <c r="E1064" s="2">
        <f>IFERROR(__xludf.DUMMYFUNCTION("""COMPUTED_VALUE"""),4174.0)</f>
        <v>4174</v>
      </c>
      <c r="F1064" s="3">
        <f>IFERROR(__xludf.DUMMYFUNCTION("""COMPUTED_VALUE"""),60653.0)</f>
        <v>60653</v>
      </c>
      <c r="G1064" s="2" t="str">
        <f>IFERROR(__xludf.DUMMYFUNCTION("""COMPUTED_VALUE"""),"River Connect Hydropower Pvt Ltd")</f>
        <v>River Connect Hydropower Pvt Ltd</v>
      </c>
      <c r="H1064" s="2" t="str">
        <f>IFERROR(__xludf.DUMMYFUNCTION("""COMPUTED_VALUE"""),"GPO box: 9875, Kathmandu, Tel: 5528414")</f>
        <v>GPO box: 9875, Kathmandu, Tel: 5528414</v>
      </c>
      <c r="I1064" s="2" t="str">
        <f>IFERROR(__xludf.DUMMYFUNCTION("""COMPUTED_VALUE"""),"28o 04' 00""")</f>
        <v>28o 04' 00"</v>
      </c>
      <c r="J1064" s="2" t="str">
        <f>IFERROR(__xludf.DUMMYFUNCTION("""COMPUTED_VALUE"""),"28o 05' 00""")</f>
        <v>28o 05' 00"</v>
      </c>
      <c r="K1064" s="2" t="str">
        <f>IFERROR(__xludf.DUMMYFUNCTION("""COMPUTED_VALUE"""),"85o 12' 17""")</f>
        <v>85o 12' 17"</v>
      </c>
      <c r="L1064" s="2" t="str">
        <f>IFERROR(__xludf.DUMMYFUNCTION("""COMPUTED_VALUE"""),"85o 13' 18""")</f>
        <v>85o 13' 18"</v>
      </c>
      <c r="M1064" s="2" t="str">
        <f>IFERROR(__xludf.DUMMYFUNCTION("""COMPUTED_VALUE"""),"Dandagoun,Haku,Ramche (Rasuwa)")</f>
        <v>Dandagoun,Haku,Ramche (Rasuwa)</v>
      </c>
    </row>
    <row r="1065">
      <c r="A1065" s="2">
        <f>IFERROR(__xludf.DUMMYFUNCTION("""COMPUTED_VALUE"""),1064.0)</f>
        <v>1064</v>
      </c>
      <c r="B1065" s="2" t="str">
        <f>IFERROR(__xludf.DUMMYFUNCTION("""COMPUTED_VALUE"""),"Phanphange Khola SHP")</f>
        <v>Phanphange Khola SHP</v>
      </c>
      <c r="C1065" s="2">
        <f>IFERROR(__xludf.DUMMYFUNCTION("""COMPUTED_VALUE"""),0.2)</f>
        <v>0.2</v>
      </c>
      <c r="D1065" s="2" t="str">
        <f>IFERROR(__xludf.DUMMYFUNCTION("""COMPUTED_VALUE"""),"Phanphange")</f>
        <v>Phanphange</v>
      </c>
      <c r="E1065" s="2">
        <f>IFERROR(__xludf.DUMMYFUNCTION("""COMPUTED_VALUE"""),4189.0)</f>
        <v>4189</v>
      </c>
      <c r="F1065" s="3">
        <f>IFERROR(__xludf.DUMMYFUNCTION("""COMPUTED_VALUE"""),60654.0)</f>
        <v>60654</v>
      </c>
      <c r="G1065" s="2" t="str">
        <f>IFERROR(__xludf.DUMMYFUNCTION("""COMPUTED_VALUE"""),"Rameswari Shrestha")</f>
        <v>Rameswari Shrestha</v>
      </c>
      <c r="H1065" s="2" t="str">
        <f>IFERROR(__xludf.DUMMYFUNCTION("""COMPUTED_VALUE"""),"Barhabise-9, Sindhupalchowk Tel: 4781564")</f>
        <v>Barhabise-9, Sindhupalchowk Tel: 4781564</v>
      </c>
      <c r="I1065" s="2" t="str">
        <f>IFERROR(__xludf.DUMMYFUNCTION("""COMPUTED_VALUE"""),"27o 50' 00""")</f>
        <v>27o 50' 00"</v>
      </c>
      <c r="J1065" s="2" t="str">
        <f>IFERROR(__xludf.DUMMYFUNCTION("""COMPUTED_VALUE"""),"27o 51' 55""")</f>
        <v>27o 51' 55"</v>
      </c>
      <c r="K1065" s="2" t="str">
        <f>IFERROR(__xludf.DUMMYFUNCTION("""COMPUTED_VALUE"""),"85o 52' 30""")</f>
        <v>85o 52' 30"</v>
      </c>
      <c r="L1065" s="2" t="str">
        <f>IFERROR(__xludf.DUMMYFUNCTION("""COMPUTED_VALUE"""),"85o 55' 00""")</f>
        <v>85o 55' 00"</v>
      </c>
      <c r="M1065" s="2" t="str">
        <f>IFERROR(__xludf.DUMMYFUNCTION("""COMPUTED_VALUE"""),"Gati (Sindhupalchok)")</f>
        <v>Gati (Sindhupalchok)</v>
      </c>
    </row>
    <row r="1066">
      <c r="A1066" s="2">
        <f>IFERROR(__xludf.DUMMYFUNCTION("""COMPUTED_VALUE"""),1065.0)</f>
        <v>1065</v>
      </c>
      <c r="B1066" s="2" t="str">
        <f>IFERROR(__xludf.DUMMYFUNCTION("""COMPUTED_VALUE"""),"Andhi Khola Storage Project")</f>
        <v>Andhi Khola Storage Project</v>
      </c>
      <c r="C1066" s="2">
        <f>IFERROR(__xludf.DUMMYFUNCTION("""COMPUTED_VALUE"""),150.0)</f>
        <v>150</v>
      </c>
      <c r="D1066" s="2" t="str">
        <f>IFERROR(__xludf.DUMMYFUNCTION("""COMPUTED_VALUE"""),"Andhi Khola")</f>
        <v>Andhi Khola</v>
      </c>
      <c r="E1066" s="2">
        <f>IFERROR(__xludf.DUMMYFUNCTION("""COMPUTED_VALUE"""),4190.0)</f>
        <v>4190</v>
      </c>
      <c r="F1066" s="3">
        <f>IFERROR(__xludf.DUMMYFUNCTION("""COMPUTED_VALUE"""),60654.0)</f>
        <v>60654</v>
      </c>
      <c r="G1066" s="2" t="str">
        <f>IFERROR(__xludf.DUMMYFUNCTION("""COMPUTED_VALUE"""),"Nepal Everest Power Company, Everest Bank imited")</f>
        <v>Nepal Everest Power Company, Everest Bank imited</v>
      </c>
      <c r="H1066" s="2" t="str">
        <f>IFERROR(__xludf.DUMMYFUNCTION("""COMPUTED_VALUE"""),"Lazimpat Kathmandu, Te: 4444004")</f>
        <v>Lazimpat Kathmandu, Te: 4444004</v>
      </c>
      <c r="I1066" s="2" t="str">
        <f>IFERROR(__xludf.DUMMYFUNCTION("""COMPUTED_VALUE"""),"27o 45' 00""")</f>
        <v>27o 45' 00"</v>
      </c>
      <c r="J1066" s="2" t="str">
        <f>IFERROR(__xludf.DUMMYFUNCTION("""COMPUTED_VALUE"""),"28o 00' 00""")</f>
        <v>28o 00' 00"</v>
      </c>
      <c r="K1066" s="2" t="str">
        <f>IFERROR(__xludf.DUMMYFUNCTION("""COMPUTED_VALUE"""),"83o 30' 00""")</f>
        <v>83o 30' 00"</v>
      </c>
      <c r="L1066" s="2" t="str">
        <f>IFERROR(__xludf.DUMMYFUNCTION("""COMPUTED_VALUE"""),"83o 45' 00""")</f>
        <v>83o 45' 00"</v>
      </c>
      <c r="M1066" s="2" t="str">
        <f>IFERROR(__xludf.DUMMYFUNCTION("""COMPUTED_VALUE"""),"Jagatradevi,Nibuwakharka,Shreekrishna Gandaki,Pelakot (Syangja)")</f>
        <v>Jagatradevi,Nibuwakharka,Shreekrishna Gandaki,Pelakot (Syangja)</v>
      </c>
    </row>
    <row r="1067">
      <c r="A1067" s="2">
        <f>IFERROR(__xludf.DUMMYFUNCTION("""COMPUTED_VALUE"""),1066.0)</f>
        <v>1066</v>
      </c>
      <c r="B1067" s="2" t="str">
        <f>IFERROR(__xludf.DUMMYFUNCTION("""COMPUTED_VALUE"""),"Siuri-Nyadi SHP")</f>
        <v>Siuri-Nyadi SHP</v>
      </c>
      <c r="C1067" s="2">
        <f>IFERROR(__xludf.DUMMYFUNCTION("""COMPUTED_VALUE"""),0.996)</f>
        <v>0.996</v>
      </c>
      <c r="D1067" s="2" t="str">
        <f>IFERROR(__xludf.DUMMYFUNCTION("""COMPUTED_VALUE"""),"Nyadi")</f>
        <v>Nyadi</v>
      </c>
      <c r="E1067" s="2">
        <f>IFERROR(__xludf.DUMMYFUNCTION("""COMPUTED_VALUE"""),4198.0)</f>
        <v>4198</v>
      </c>
      <c r="F1067" s="3">
        <f>IFERROR(__xludf.DUMMYFUNCTION("""COMPUTED_VALUE"""),60655.0)</f>
        <v>60655</v>
      </c>
      <c r="G1067" s="2" t="str">
        <f>IFERROR(__xludf.DUMMYFUNCTION("""COMPUTED_VALUE"""),"Nyadi Hydropower Ltd")</f>
        <v>Nyadi Hydropower Ltd</v>
      </c>
      <c r="H1067" s="2" t="str">
        <f>IFERROR(__xludf.DUMMYFUNCTION("""COMPUTED_VALUE"""),"GPO box: 11728, Kathmandu, Tel: 4781776,Fax: 4780994")</f>
        <v>GPO box: 11728, Kathmandu, Tel: 4781776,Fax: 4780994</v>
      </c>
      <c r="I1067" s="2" t="str">
        <f>IFERROR(__xludf.DUMMYFUNCTION("""COMPUTED_VALUE"""),"28o 19' 05""")</f>
        <v>28o 19' 05"</v>
      </c>
      <c r="J1067" s="2" t="str">
        <f>IFERROR(__xludf.DUMMYFUNCTION("""COMPUTED_VALUE"""),"28o 20' 35""")</f>
        <v>28o 20' 35"</v>
      </c>
      <c r="K1067" s="2" t="str">
        <f>IFERROR(__xludf.DUMMYFUNCTION("""COMPUTED_VALUE"""),"84o 25' 35""")</f>
        <v>84o 25' 35"</v>
      </c>
      <c r="L1067" s="2" t="str">
        <f>IFERROR(__xludf.DUMMYFUNCTION("""COMPUTED_VALUE"""),"84o 27' 45""")</f>
        <v>84o 27' 45"</v>
      </c>
      <c r="M1067" s="2" t="str">
        <f>IFERROR(__xludf.DUMMYFUNCTION("""COMPUTED_VALUE"""),"Bahundada,Bhulbhule (Lamjung)")</f>
        <v>Bahundada,Bhulbhule (Lamjung)</v>
      </c>
    </row>
    <row r="1068">
      <c r="A1068" s="2">
        <f>IFERROR(__xludf.DUMMYFUNCTION("""COMPUTED_VALUE"""),1067.0)</f>
        <v>1067</v>
      </c>
      <c r="B1068" s="2" t="str">
        <f>IFERROR(__xludf.DUMMYFUNCTION("""COMPUTED_VALUE"""),"Ritun Khola SHP")</f>
        <v>Ritun Khola SHP</v>
      </c>
      <c r="C1068" s="2">
        <f>IFERROR(__xludf.DUMMYFUNCTION("""COMPUTED_VALUE"""),0.991)</f>
        <v>0.991</v>
      </c>
      <c r="D1068" s="2" t="str">
        <f>IFERROR(__xludf.DUMMYFUNCTION("""COMPUTED_VALUE"""),"Ritun")</f>
        <v>Ritun</v>
      </c>
      <c r="E1068" s="2">
        <f>IFERROR(__xludf.DUMMYFUNCTION("""COMPUTED_VALUE"""),4199.0)</f>
        <v>4199</v>
      </c>
      <c r="F1068" s="3">
        <f>IFERROR(__xludf.DUMMYFUNCTION("""COMPUTED_VALUE"""),60655.0)</f>
        <v>60655</v>
      </c>
      <c r="G1068" s="2" t="str">
        <f>IFERROR(__xludf.DUMMYFUNCTION("""COMPUTED_VALUE"""),"Tek Nath Acharya")</f>
        <v>Tek Nath Acharya</v>
      </c>
      <c r="H1068" s="2" t="str">
        <f>IFERROR(__xludf.DUMMYFUNCTION("""COMPUTED_VALUE"""),"Parevadin VDC-5, Dhankuta Tel: 9851001359")</f>
        <v>Parevadin VDC-5, Dhankuta Tel: 9851001359</v>
      </c>
      <c r="I1068" s="2" t="str">
        <f>IFERROR(__xludf.DUMMYFUNCTION("""COMPUTED_VALUE"""),"28o 24' 34""")</f>
        <v>28o 24' 34"</v>
      </c>
      <c r="J1068" s="2" t="str">
        <f>IFERROR(__xludf.DUMMYFUNCTION("""COMPUTED_VALUE"""),"28o 25' 00""")</f>
        <v>28o 25' 00"</v>
      </c>
      <c r="K1068" s="2" t="str">
        <f>IFERROR(__xludf.DUMMYFUNCTION("""COMPUTED_VALUE"""),"83o 21' 25""")</f>
        <v>83o 21' 25"</v>
      </c>
      <c r="L1068" s="2" t="str">
        <f>IFERROR(__xludf.DUMMYFUNCTION("""COMPUTED_VALUE"""),"83o 23' 25""")</f>
        <v>83o 23' 25"</v>
      </c>
      <c r="M1068" s="2" t="str">
        <f>IFERROR(__xludf.DUMMYFUNCTION("""COMPUTED_VALUE"""),"Devisthan,Niskot (Myagdi)")</f>
        <v>Devisthan,Niskot (Myagdi)</v>
      </c>
    </row>
    <row r="1069">
      <c r="A1069" s="2">
        <f>IFERROR(__xludf.DUMMYFUNCTION("""COMPUTED_VALUE"""),1068.0)</f>
        <v>1068</v>
      </c>
      <c r="B1069" s="2" t="str">
        <f>IFERROR(__xludf.DUMMYFUNCTION("""COMPUTED_VALUE"""),"Hingkhuwa Khola SHP")</f>
        <v>Hingkhuwa Khola SHP</v>
      </c>
      <c r="C1069" s="2">
        <f>IFERROR(__xludf.DUMMYFUNCTION("""COMPUTED_VALUE"""),0.987)</f>
        <v>0.987</v>
      </c>
      <c r="D1069" s="2" t="str">
        <f>IFERROR(__xludf.DUMMYFUNCTION("""COMPUTED_VALUE"""),"Hingkhuwa")</f>
        <v>Hingkhuwa</v>
      </c>
      <c r="E1069" s="2">
        <f>IFERROR(__xludf.DUMMYFUNCTION("""COMPUTED_VALUE"""),4201.0)</f>
        <v>4201</v>
      </c>
      <c r="F1069" s="3">
        <f>IFERROR(__xludf.DUMMYFUNCTION("""COMPUTED_VALUE"""),60655.0)</f>
        <v>60655</v>
      </c>
      <c r="G1069" s="2" t="str">
        <f>IFERROR(__xludf.DUMMYFUNCTION("""COMPUTED_VALUE"""),"Hari Kumar Rai, Chetnath Nepal")</f>
        <v>Hari Kumar Rai, Chetnath Nepal</v>
      </c>
      <c r="H1069" s="2" t="str">
        <f>IFERROR(__xludf.DUMMYFUNCTION("""COMPUTED_VALUE"""),"Chhinamakhu VDC-9, Bhojpur, Tel: 9842211561, 9741122590")</f>
        <v>Chhinamakhu VDC-9, Bhojpur, Tel: 9842211561, 9741122590</v>
      </c>
      <c r="I1069" s="2" t="str">
        <f>IFERROR(__xludf.DUMMYFUNCTION("""COMPUTED_VALUE"""),"27o 13' 49""")</f>
        <v>27o 13' 49"</v>
      </c>
      <c r="J1069" s="2" t="str">
        <f>IFERROR(__xludf.DUMMYFUNCTION("""COMPUTED_VALUE"""),"27o 14' 46""")</f>
        <v>27o 14' 46"</v>
      </c>
      <c r="K1069" s="2" t="str">
        <f>IFERROR(__xludf.DUMMYFUNCTION("""COMPUTED_VALUE"""),"86o 57' 28""")</f>
        <v>86o 57' 28"</v>
      </c>
      <c r="L1069" s="2" t="str">
        <f>IFERROR(__xludf.DUMMYFUNCTION("""COMPUTED_VALUE"""),"86o 59' 09""")</f>
        <v>86o 59' 09"</v>
      </c>
      <c r="M1069" s="2" t="str">
        <f>IFERROR(__xludf.DUMMYFUNCTION("""COMPUTED_VALUE"""),"Chhinamukh (Bhojpur)")</f>
        <v>Chhinamukh (Bhojpur)</v>
      </c>
    </row>
    <row r="1070">
      <c r="A1070" s="2">
        <f>IFERROR(__xludf.DUMMYFUNCTION("""COMPUTED_VALUE"""),1069.0)</f>
        <v>1069</v>
      </c>
      <c r="B1070" s="2" t="str">
        <f>IFERROR(__xludf.DUMMYFUNCTION("""COMPUTED_VALUE"""),"Thado Khola SHP")</f>
        <v>Thado Khola SHP</v>
      </c>
      <c r="C1070" s="2">
        <f>IFERROR(__xludf.DUMMYFUNCTION("""COMPUTED_VALUE"""),0.998)</f>
        <v>0.998</v>
      </c>
      <c r="D1070" s="2" t="str">
        <f>IFERROR(__xludf.DUMMYFUNCTION("""COMPUTED_VALUE"""),"Thado Khola")</f>
        <v>Thado Khola</v>
      </c>
      <c r="E1070" s="2">
        <f>IFERROR(__xludf.DUMMYFUNCTION("""COMPUTED_VALUE"""),4225.0)</f>
        <v>4225</v>
      </c>
      <c r="F1070" s="3">
        <f>IFERROR(__xludf.DUMMYFUNCTION("""COMPUTED_VALUE"""),60656.0)</f>
        <v>60656</v>
      </c>
      <c r="G1070" s="2" t="str">
        <f>IFERROR(__xludf.DUMMYFUNCTION("""COMPUTED_VALUE"""),"Koyapro Hydropower Pvt Ltd")</f>
        <v>Koyapro Hydropower Pvt Ltd</v>
      </c>
      <c r="H1070" s="2" t="str">
        <f>IFERROR(__xludf.DUMMYFUNCTION("""COMPUTED_VALUE"""),"Taghring, Lamjung")</f>
        <v>Taghring, Lamjung</v>
      </c>
      <c r="I1070" s="2" t="str">
        <f>IFERROR(__xludf.DUMMYFUNCTION("""COMPUTED_VALUE"""),"28o 32' 02""")</f>
        <v>28o 32' 02"</v>
      </c>
      <c r="J1070" s="2" t="str">
        <f>IFERROR(__xludf.DUMMYFUNCTION("""COMPUTED_VALUE"""),"28o 33' 39""")</f>
        <v>28o 33' 39"</v>
      </c>
      <c r="K1070" s="2" t="str">
        <f>IFERROR(__xludf.DUMMYFUNCTION("""COMPUTED_VALUE"""),"84o 12' 05""")</f>
        <v>84o 12' 05"</v>
      </c>
      <c r="L1070" s="2" t="str">
        <f>IFERROR(__xludf.DUMMYFUNCTION("""COMPUTED_VALUE"""),"84o 14' 04""")</f>
        <v>84o 14' 04"</v>
      </c>
      <c r="M1070" s="2" t="str">
        <f>IFERROR(__xludf.DUMMYFUNCTION("""COMPUTED_VALUE"""),"Chame (Manang)")</f>
        <v>Chame (Manang)</v>
      </c>
    </row>
    <row r="1071">
      <c r="A1071" s="2">
        <f>IFERROR(__xludf.DUMMYFUNCTION("""COMPUTED_VALUE"""),1070.0)</f>
        <v>1070</v>
      </c>
      <c r="B1071" s="2" t="str">
        <f>IFERROR(__xludf.DUMMYFUNCTION("""COMPUTED_VALUE"""),"Middle Kabeli HPP")</f>
        <v>Middle Kabeli HPP</v>
      </c>
      <c r="C1071" s="2">
        <f>IFERROR(__xludf.DUMMYFUNCTION("""COMPUTED_VALUE"""),5.0)</f>
        <v>5</v>
      </c>
      <c r="D1071" s="2" t="str">
        <f>IFERROR(__xludf.DUMMYFUNCTION("""COMPUTED_VALUE"""),"Kabeli Khola")</f>
        <v>Kabeli Khola</v>
      </c>
      <c r="E1071" s="2">
        <f>IFERROR(__xludf.DUMMYFUNCTION("""COMPUTED_VALUE"""),4236.0)</f>
        <v>4236</v>
      </c>
      <c r="F1071" s="3">
        <f>IFERROR(__xludf.DUMMYFUNCTION("""COMPUTED_VALUE"""),60657.0)</f>
        <v>60657</v>
      </c>
      <c r="G1071" s="2" t="str">
        <f>IFERROR(__xludf.DUMMYFUNCTION("""COMPUTED_VALUE"""),"Raj Kumar Limbuni")</f>
        <v>Raj Kumar Limbuni</v>
      </c>
      <c r="H1071" s="2" t="str">
        <f>IFERROR(__xludf.DUMMYFUNCTION("""COMPUTED_VALUE"""),"Change VDC-4 Taplejung, Tel: 9841521159")</f>
        <v>Change VDC-4 Taplejung, Tel: 9841521159</v>
      </c>
      <c r="I1071" s="2" t="str">
        <f>IFERROR(__xludf.DUMMYFUNCTION("""COMPUTED_VALUE"""),"27o 21' 30""")</f>
        <v>27o 21' 30"</v>
      </c>
      <c r="J1071" s="2" t="str">
        <f>IFERROR(__xludf.DUMMYFUNCTION("""COMPUTED_VALUE"""),"27o 24' 36""")</f>
        <v>27o 24' 36"</v>
      </c>
      <c r="K1071" s="2" t="str">
        <f>IFERROR(__xludf.DUMMYFUNCTION("""COMPUTED_VALUE"""),"87o 50' 54""")</f>
        <v>87o 50' 54"</v>
      </c>
      <c r="L1071" s="2" t="str">
        <f>IFERROR(__xludf.DUMMYFUNCTION("""COMPUTED_VALUE"""),"87o 52' 55""")</f>
        <v>87o 52' 55"</v>
      </c>
      <c r="M1071" s="2" t="str">
        <f>IFERROR(__xludf.DUMMYFUNCTION("""COMPUTED_VALUE"""),"Paidang,Tellok (Taplejung)")</f>
        <v>Paidang,Tellok (Taplejung)</v>
      </c>
    </row>
    <row r="1072">
      <c r="A1072" s="2">
        <f>IFERROR(__xludf.DUMMYFUNCTION("""COMPUTED_VALUE"""),1071.0)</f>
        <v>1071</v>
      </c>
      <c r="B1072" s="2" t="str">
        <f>IFERROR(__xludf.DUMMYFUNCTION("""COMPUTED_VALUE"""),"Tinau first Khola SHP")</f>
        <v>Tinau first Khola SHP</v>
      </c>
      <c r="C1072" s="2">
        <f>IFERROR(__xludf.DUMMYFUNCTION("""COMPUTED_VALUE"""),0.959)</f>
        <v>0.959</v>
      </c>
      <c r="D1072" s="2" t="str">
        <f>IFERROR(__xludf.DUMMYFUNCTION("""COMPUTED_VALUE"""),"Tinau")</f>
        <v>Tinau</v>
      </c>
      <c r="E1072" s="2">
        <f>IFERROR(__xludf.DUMMYFUNCTION("""COMPUTED_VALUE"""),4238.0)</f>
        <v>4238</v>
      </c>
      <c r="F1072" s="3">
        <f>IFERROR(__xludf.DUMMYFUNCTION("""COMPUTED_VALUE"""),60657.0)</f>
        <v>60657</v>
      </c>
      <c r="G1072" s="2" t="str">
        <f>IFERROR(__xludf.DUMMYFUNCTION("""COMPUTED_VALUE"""),"Dipak Karki,Thaman Aslami Thapa")</f>
        <v>Dipak Karki,Thaman Aslami Thapa</v>
      </c>
      <c r="H1072" s="2" t="str">
        <f>IFERROR(__xludf.DUMMYFUNCTION("""COMPUTED_VALUE"""),"Masyam VDC , Palpa Tel: 9747029516,9747000525")</f>
        <v>Masyam VDC , Palpa Tel: 9747029516,9747000525</v>
      </c>
      <c r="I1072" s="2" t="str">
        <f>IFERROR(__xludf.DUMMYFUNCTION("""COMPUTED_VALUE"""),"27o 46' 05""")</f>
        <v>27o 46' 05"</v>
      </c>
      <c r="J1072" s="2" t="str">
        <f>IFERROR(__xludf.DUMMYFUNCTION("""COMPUTED_VALUE"""),"27o 46' 40""")</f>
        <v>27o 46' 40"</v>
      </c>
      <c r="K1072" s="2" t="str">
        <f>IFERROR(__xludf.DUMMYFUNCTION("""COMPUTED_VALUE"""),"83o 32' 15""")</f>
        <v>83o 32' 15"</v>
      </c>
      <c r="L1072" s="2" t="str">
        <f>IFERROR(__xludf.DUMMYFUNCTION("""COMPUTED_VALUE"""),"83o 33' 00""")</f>
        <v>83o 33' 00"</v>
      </c>
      <c r="M1072" s="2" t="str">
        <f>IFERROR(__xludf.DUMMYFUNCTION("""COMPUTED_VALUE"""),"Koldada,Masyam (Palpa)")</f>
        <v>Koldada,Masyam (Palpa)</v>
      </c>
    </row>
    <row r="1073">
      <c r="A1073" s="2">
        <f>IFERROR(__xludf.DUMMYFUNCTION("""COMPUTED_VALUE"""),1072.0)</f>
        <v>1072</v>
      </c>
      <c r="B1073" s="2" t="str">
        <f>IFERROR(__xludf.DUMMYFUNCTION("""COMPUTED_VALUE"""),"Pegu Khola SHP")</f>
        <v>Pegu Khola SHP</v>
      </c>
      <c r="C1073" s="2">
        <f>IFERROR(__xludf.DUMMYFUNCTION("""COMPUTED_VALUE"""),1.0)</f>
        <v>1</v>
      </c>
      <c r="D1073" s="2" t="str">
        <f>IFERROR(__xludf.DUMMYFUNCTION("""COMPUTED_VALUE"""),"Pegu")</f>
        <v>Pegu</v>
      </c>
      <c r="E1073" s="2">
        <f>IFERROR(__xludf.DUMMYFUNCTION("""COMPUTED_VALUE"""),4250.0)</f>
        <v>4250</v>
      </c>
      <c r="F1073" s="3">
        <f>IFERROR(__xludf.DUMMYFUNCTION("""COMPUTED_VALUE"""),60659.0)</f>
        <v>60659</v>
      </c>
      <c r="G1073" s="2" t="str">
        <f>IFERROR(__xludf.DUMMYFUNCTION("""COMPUTED_VALUE"""),"Ang Dawa Sherpa, Ingma Chhiri Sherpa")</f>
        <v>Ang Dawa Sherpa, Ingma Chhiri Sherpa</v>
      </c>
      <c r="H1073" s="2" t="str">
        <f>IFERROR(__xludf.DUMMYFUNCTION("""COMPUTED_VALUE"""),"Bigu-1, Dolkha Tel: 9841575910,9851069984")</f>
        <v>Bigu-1, Dolkha Tel: 9841575910,9851069984</v>
      </c>
      <c r="I1073" s="2" t="str">
        <f>IFERROR(__xludf.DUMMYFUNCTION("""COMPUTED_VALUE"""),"27o 49' 27""")</f>
        <v>27o 49' 27"</v>
      </c>
      <c r="J1073" s="2" t="str">
        <f>IFERROR(__xludf.DUMMYFUNCTION("""COMPUTED_VALUE"""),"27o 50' 12""")</f>
        <v>27o 50' 12"</v>
      </c>
      <c r="K1073" s="2" t="str">
        <f>IFERROR(__xludf.DUMMYFUNCTION("""COMPUTED_VALUE"""),"86o 03' 19""")</f>
        <v>86o 03' 19"</v>
      </c>
      <c r="L1073" s="2" t="str">
        <f>IFERROR(__xludf.DUMMYFUNCTION("""COMPUTED_VALUE"""),"86o 05' 55""")</f>
        <v>86o 05' 55"</v>
      </c>
      <c r="M1073" s="2" t="str">
        <f>IFERROR(__xludf.DUMMYFUNCTION("""COMPUTED_VALUE"""),"Bigu,Khupachagu (Dolakha)")</f>
        <v>Bigu,Khupachagu (Dolakha)</v>
      </c>
    </row>
    <row r="1074">
      <c r="A1074" s="2">
        <f>IFERROR(__xludf.DUMMYFUNCTION("""COMPUTED_VALUE"""),1073.0)</f>
        <v>1073</v>
      </c>
      <c r="B1074" s="2" t="str">
        <f>IFERROR(__xludf.DUMMYFUNCTION("""COMPUTED_VALUE"""),"Upper Dar Khola SHP")</f>
        <v>Upper Dar Khola SHP</v>
      </c>
      <c r="C1074" s="2">
        <f>IFERROR(__xludf.DUMMYFUNCTION("""COMPUTED_VALUE"""),0.995)</f>
        <v>0.995</v>
      </c>
      <c r="D1074" s="2" t="str">
        <f>IFERROR(__xludf.DUMMYFUNCTION("""COMPUTED_VALUE"""),"Dar Khola")</f>
        <v>Dar Khola</v>
      </c>
      <c r="E1074" s="2">
        <f>IFERROR(__xludf.DUMMYFUNCTION("""COMPUTED_VALUE"""),4251.0)</f>
        <v>4251</v>
      </c>
      <c r="F1074" s="3">
        <f>IFERROR(__xludf.DUMMYFUNCTION("""COMPUTED_VALUE"""),60659.0)</f>
        <v>60659</v>
      </c>
      <c r="G1074" s="2" t="str">
        <f>IFERROR(__xludf.DUMMYFUNCTION("""COMPUTED_VALUE"""),"Sushila Rana")</f>
        <v>Sushila Rana</v>
      </c>
      <c r="H1074" s="2" t="str">
        <f>IFERROR(__xludf.DUMMYFUNCTION("""COMPUTED_VALUE"""),"Piple-1, Myagdi")</f>
        <v>Piple-1, Myagdi</v>
      </c>
      <c r="I1074" s="2" t="str">
        <f>IFERROR(__xludf.DUMMYFUNCTION("""COMPUTED_VALUE"""),"28o 30' 48""")</f>
        <v>28o 30' 48"</v>
      </c>
      <c r="J1074" s="2" t="str">
        <f>IFERROR(__xludf.DUMMYFUNCTION("""COMPUTED_VALUE"""),"28o 31' 53""")</f>
        <v>28o 31' 53"</v>
      </c>
      <c r="K1074" s="2" t="str">
        <f>IFERROR(__xludf.DUMMYFUNCTION("""COMPUTED_VALUE"""),"83o 15' 49""")</f>
        <v>83o 15' 49"</v>
      </c>
      <c r="L1074" s="2" t="str">
        <f>IFERROR(__xludf.DUMMYFUNCTION("""COMPUTED_VALUE"""),"83o 17' 44""")</f>
        <v>83o 17' 44"</v>
      </c>
      <c r="M1074" s="2" t="str">
        <f>IFERROR(__xludf.DUMMYFUNCTION("""COMPUTED_VALUE"""),"Lulang (Myagdi)")</f>
        <v>Lulang (Myagdi)</v>
      </c>
    </row>
    <row r="1075">
      <c r="A1075" s="2">
        <f>IFERROR(__xludf.DUMMYFUNCTION("""COMPUTED_VALUE"""),1074.0)</f>
        <v>1074</v>
      </c>
      <c r="B1075" s="2" t="str">
        <f>IFERROR(__xludf.DUMMYFUNCTION("""COMPUTED_VALUE"""),"Perun Khola HPP")</f>
        <v>Perun Khola HPP</v>
      </c>
      <c r="C1075" s="2">
        <f>IFERROR(__xludf.DUMMYFUNCTION("""COMPUTED_VALUE"""),3.0)</f>
        <v>3</v>
      </c>
      <c r="D1075" s="2" t="str">
        <f>IFERROR(__xludf.DUMMYFUNCTION("""COMPUTED_VALUE"""),"Perun")</f>
        <v>Perun</v>
      </c>
      <c r="E1075" s="2">
        <f>IFERROR(__xludf.DUMMYFUNCTION("""COMPUTED_VALUE"""),6937.0)</f>
        <v>6937</v>
      </c>
      <c r="F1075" s="3">
        <f>IFERROR(__xludf.DUMMYFUNCTION("""COMPUTED_VALUE"""),60659.0)</f>
        <v>60659</v>
      </c>
      <c r="G1075" s="2" t="str">
        <f>IFERROR(__xludf.DUMMYFUNCTION("""COMPUTED_VALUE"""),"Manglam Hydropower Pvt Ltd")</f>
        <v>Manglam Hydropower Pvt Ltd</v>
      </c>
      <c r="H1075" s="2" t="str">
        <f>IFERROR(__xludf.DUMMYFUNCTION("""COMPUTED_VALUE"""),"GPO Box: 485, Kathmandu, Tel: 4225009")</f>
        <v>GPO Box: 485, Kathmandu, Tel: 4225009</v>
      </c>
      <c r="I1075" s="2" t="str">
        <f>IFERROR(__xludf.DUMMYFUNCTION("""COMPUTED_VALUE"""),"27o 36' 00""")</f>
        <v>27o 36' 00"</v>
      </c>
      <c r="J1075" s="2" t="str">
        <f>IFERROR(__xludf.DUMMYFUNCTION("""COMPUTED_VALUE"""),"27o 39' 30""")</f>
        <v>27o 39' 30"</v>
      </c>
      <c r="K1075" s="2" t="str">
        <f>IFERROR(__xludf.DUMMYFUNCTION("""COMPUTED_VALUE"""),"86o 24' 30""")</f>
        <v>86o 24' 30"</v>
      </c>
      <c r="L1075" s="2" t="str">
        <f>IFERROR(__xludf.DUMMYFUNCTION("""COMPUTED_VALUE"""),"86o 26' 30""")</f>
        <v>86o 26' 30"</v>
      </c>
      <c r="M1075" s="2" t="str">
        <f>IFERROR(__xludf.DUMMYFUNCTION("""COMPUTED_VALUE"""),"Gumdel (Ramechhap)")</f>
        <v>Gumdel (Ramechhap)</v>
      </c>
    </row>
    <row r="1076">
      <c r="A1076" s="2">
        <f>IFERROR(__xludf.DUMMYFUNCTION("""COMPUTED_VALUE"""),1075.0)</f>
        <v>1075</v>
      </c>
      <c r="B1076" s="2" t="str">
        <f>IFERROR(__xludf.DUMMYFUNCTION("""COMPUTED_VALUE"""),"Syani Khola SHP")</f>
        <v>Syani Khola SHP</v>
      </c>
      <c r="C1076" s="2">
        <f>IFERROR(__xludf.DUMMYFUNCTION("""COMPUTED_VALUE"""),1.0)</f>
        <v>1</v>
      </c>
      <c r="D1076" s="2" t="str">
        <f>IFERROR(__xludf.DUMMYFUNCTION("""COMPUTED_VALUE"""),"Syani Khola")</f>
        <v>Syani Khola</v>
      </c>
      <c r="E1076" s="2">
        <f>IFERROR(__xludf.DUMMYFUNCTION("""COMPUTED_VALUE"""),4280.0)</f>
        <v>4280</v>
      </c>
      <c r="F1076" s="3">
        <f>IFERROR(__xludf.DUMMYFUNCTION("""COMPUTED_VALUE"""),60660.0)</f>
        <v>60660</v>
      </c>
      <c r="G1076" s="2" t="str">
        <f>IFERROR(__xludf.DUMMYFUNCTION("""COMPUTED_VALUE"""),"Chhabilal Sharma Regmi")</f>
        <v>Chhabilal Sharma Regmi</v>
      </c>
      <c r="H1076" s="2" t="str">
        <f>IFERROR(__xludf.DUMMYFUNCTION("""COMPUTED_VALUE"""),"Paipata VDC-4, Baglung Tel: 4880140,9841256788")</f>
        <v>Paipata VDC-4, Baglung Tel: 4880140,9841256788</v>
      </c>
      <c r="I1076" s="2" t="str">
        <f>IFERROR(__xludf.DUMMYFUNCTION("""COMPUTED_VALUE"""),"28o 31' 25""")</f>
        <v>28o 31' 25"</v>
      </c>
      <c r="J1076" s="2" t="str">
        <f>IFERROR(__xludf.DUMMYFUNCTION("""COMPUTED_VALUE"""),"28o 33' 11""")</f>
        <v>28o 33' 11"</v>
      </c>
      <c r="K1076" s="2" t="str">
        <f>IFERROR(__xludf.DUMMYFUNCTION("""COMPUTED_VALUE"""),"83o 29' 36""")</f>
        <v>83o 29' 36"</v>
      </c>
      <c r="L1076" s="2" t="str">
        <f>IFERROR(__xludf.DUMMYFUNCTION("""COMPUTED_VALUE"""),"83o 30' 54""")</f>
        <v>83o 30' 54"</v>
      </c>
      <c r="M1076" s="2" t="str">
        <f>IFERROR(__xludf.DUMMYFUNCTION("""COMPUTED_VALUE"""),"Kuinemangale (Myagdi)")</f>
        <v>Kuinemangale (Myagdi)</v>
      </c>
    </row>
    <row r="1077">
      <c r="A1077" s="2">
        <f>IFERROR(__xludf.DUMMYFUNCTION("""COMPUTED_VALUE"""),1076.0)</f>
        <v>1076</v>
      </c>
      <c r="B1077" s="2" t="str">
        <f>IFERROR(__xludf.DUMMYFUNCTION("""COMPUTED_VALUE"""),"Phulpin Khola SHP")</f>
        <v>Phulpin Khola SHP</v>
      </c>
      <c r="C1077" s="2">
        <f>IFERROR(__xludf.DUMMYFUNCTION("""COMPUTED_VALUE"""),0.8)</f>
        <v>0.8</v>
      </c>
      <c r="D1077" s="2" t="str">
        <f>IFERROR(__xludf.DUMMYFUNCTION("""COMPUTED_VALUE"""),"Phupin")</f>
        <v>Phupin</v>
      </c>
      <c r="E1077" s="2">
        <f>IFERROR(__xludf.DUMMYFUNCTION("""COMPUTED_VALUE"""),4283.0)</f>
        <v>4283</v>
      </c>
      <c r="F1077" s="3">
        <f>IFERROR(__xludf.DUMMYFUNCTION("""COMPUTED_VALUE"""),60660.0)</f>
        <v>60660</v>
      </c>
      <c r="G1077" s="2" t="str">
        <f>IFERROR(__xludf.DUMMYFUNCTION("""COMPUTED_VALUE"""),"Harihar Kumar Khadka")</f>
        <v>Harihar Kumar Khadka</v>
      </c>
      <c r="H1077" s="2" t="str">
        <f>IFERROR(__xludf.DUMMYFUNCTION("""COMPUTED_VALUE"""),"Lalitpur -10, Jwagal Tel: 01-5528454,9841352119")</f>
        <v>Lalitpur -10, Jwagal Tel: 01-5528454,9841352119</v>
      </c>
      <c r="I1077" s="2" t="str">
        <f>IFERROR(__xludf.DUMMYFUNCTION("""COMPUTED_VALUE"""),"27o 34' 38""")</f>
        <v>27o 34' 38"</v>
      </c>
      <c r="J1077" s="2" t="str">
        <f>IFERROR(__xludf.DUMMYFUNCTION("""COMPUTED_VALUE"""),"27o 35' 28""")</f>
        <v>27o 35' 28"</v>
      </c>
      <c r="K1077" s="2" t="str">
        <f>IFERROR(__xludf.DUMMYFUNCTION("""COMPUTED_VALUE"""),"86o 11' 22""")</f>
        <v>86o 11' 22"</v>
      </c>
      <c r="L1077" s="2" t="str">
        <f>IFERROR(__xludf.DUMMYFUNCTION("""COMPUTED_VALUE"""),"86o 12' 30""")</f>
        <v>86o 12' 30"</v>
      </c>
      <c r="M1077" s="2" t="str">
        <f>IFERROR(__xludf.DUMMYFUNCTION("""COMPUTED_VALUE"""),"Thulopatal (Dolakha)")</f>
        <v>Thulopatal (Dolakha)</v>
      </c>
    </row>
    <row r="1078">
      <c r="A1078" s="2">
        <f>IFERROR(__xludf.DUMMYFUNCTION("""COMPUTED_VALUE"""),1077.0)</f>
        <v>1077</v>
      </c>
      <c r="B1078" s="2" t="str">
        <f>IFERROR(__xludf.DUMMYFUNCTION("""COMPUTED_VALUE"""),"Solu Khola HPP")</f>
        <v>Solu Khola HPP</v>
      </c>
      <c r="C1078" s="2">
        <f>IFERROR(__xludf.DUMMYFUNCTION("""COMPUTED_VALUE"""),49.0)</f>
        <v>49</v>
      </c>
      <c r="D1078" s="2" t="str">
        <f>IFERROR(__xludf.DUMMYFUNCTION("""COMPUTED_VALUE"""),"Solu Khola")</f>
        <v>Solu Khola</v>
      </c>
      <c r="E1078" s="2">
        <f>IFERROR(__xludf.DUMMYFUNCTION("""COMPUTED_VALUE"""),4284.0)</f>
        <v>4284</v>
      </c>
      <c r="F1078" s="3">
        <f>IFERROR(__xludf.DUMMYFUNCTION("""COMPUTED_VALUE"""),60660.0)</f>
        <v>60660</v>
      </c>
      <c r="G1078" s="2" t="str">
        <f>IFERROR(__xludf.DUMMYFUNCTION("""COMPUTED_VALUE"""),"Link International Energy Pvt Ltd")</f>
        <v>Link International Energy Pvt Ltd</v>
      </c>
      <c r="H1078" s="2" t="str">
        <f>IFERROR(__xludf.DUMMYFUNCTION("""COMPUTED_VALUE"""),"Tripureswar, Kathmandu , Tel: 9851023618, 9851015215")</f>
        <v>Tripureswar, Kathmandu , Tel: 9851023618, 9851015215</v>
      </c>
      <c r="I1078" s="2" t="str">
        <f>IFERROR(__xludf.DUMMYFUNCTION("""COMPUTED_VALUE"""),"27o 21' 53""")</f>
        <v>27o 21' 53"</v>
      </c>
      <c r="J1078" s="2" t="str">
        <f>IFERROR(__xludf.DUMMYFUNCTION("""COMPUTED_VALUE"""),"27o 25' 15""")</f>
        <v>27o 25' 15"</v>
      </c>
      <c r="K1078" s="2" t="str">
        <f>IFERROR(__xludf.DUMMYFUNCTION("""COMPUTED_VALUE"""),"86o 36' 50""")</f>
        <v>86o 36' 50"</v>
      </c>
      <c r="L1078" s="2" t="str">
        <f>IFERROR(__xludf.DUMMYFUNCTION("""COMPUTED_VALUE"""),"86o 41' 15""")</f>
        <v>86o 41' 15"</v>
      </c>
      <c r="M1078" s="2" t="str">
        <f>IFERROR(__xludf.DUMMYFUNCTION("""COMPUTED_VALUE"""),"Kagel,Panchan (Solukhumbu)")</f>
        <v>Kagel,Panchan (Solukhumbu)</v>
      </c>
    </row>
    <row r="1079">
      <c r="A1079" s="2">
        <f>IFERROR(__xludf.DUMMYFUNCTION("""COMPUTED_VALUE"""),1078.0)</f>
        <v>1078</v>
      </c>
      <c r="B1079" s="2" t="str">
        <f>IFERROR(__xludf.DUMMYFUNCTION("""COMPUTED_VALUE"""),"Sisa Khola SHP")</f>
        <v>Sisa Khola SHP</v>
      </c>
      <c r="C1079" s="2">
        <f>IFERROR(__xludf.DUMMYFUNCTION("""COMPUTED_VALUE"""),0.9)</f>
        <v>0.9</v>
      </c>
      <c r="D1079" s="2" t="str">
        <f>IFERROR(__xludf.DUMMYFUNCTION("""COMPUTED_VALUE"""),"Sisa")</f>
        <v>Sisa</v>
      </c>
      <c r="E1079" s="2">
        <f>IFERROR(__xludf.DUMMYFUNCTION("""COMPUTED_VALUE"""),4285.0)</f>
        <v>4285</v>
      </c>
      <c r="F1079" s="3">
        <f>IFERROR(__xludf.DUMMYFUNCTION("""COMPUTED_VALUE"""),60660.0)</f>
        <v>60660</v>
      </c>
      <c r="G1079" s="2" t="str">
        <f>IFERROR(__xludf.DUMMYFUNCTION("""COMPUTED_VALUE"""),"Tila ram Basnet")</f>
        <v>Tila ram Basnet</v>
      </c>
      <c r="H1079" s="2" t="str">
        <f>IFERROR(__xludf.DUMMYFUNCTION("""COMPUTED_VALUE"""),"Sijuwa-4, Morang")</f>
        <v>Sijuwa-4, Morang</v>
      </c>
      <c r="I1079" s="2" t="str">
        <f>IFERROR(__xludf.DUMMYFUNCTION("""COMPUTED_VALUE"""),"27o 25' 20""")</f>
        <v>27o 25' 20"</v>
      </c>
      <c r="J1079" s="2" t="str">
        <f>IFERROR(__xludf.DUMMYFUNCTION("""COMPUTED_VALUE"""),"27o 27' 40""")</f>
        <v>27o 27' 40"</v>
      </c>
      <c r="K1079" s="2" t="str">
        <f>IFERROR(__xludf.DUMMYFUNCTION("""COMPUTED_VALUE"""),"86o 30' 00""")</f>
        <v>86o 30' 00"</v>
      </c>
      <c r="L1079" s="2" t="str">
        <f>IFERROR(__xludf.DUMMYFUNCTION("""COMPUTED_VALUE"""),"86o 33' 40""")</f>
        <v>86o 33' 40"</v>
      </c>
      <c r="M1079" s="2" t="str">
        <f>IFERROR(__xludf.DUMMYFUNCTION("""COMPUTED_VALUE"""),"Kuimir (Okhaldhunga)")</f>
        <v>Kuimir (Okhaldhunga)</v>
      </c>
    </row>
    <row r="1080">
      <c r="A1080" s="2">
        <f>IFERROR(__xludf.DUMMYFUNCTION("""COMPUTED_VALUE"""),1079.0)</f>
        <v>1079</v>
      </c>
      <c r="B1080" s="2" t="str">
        <f>IFERROR(__xludf.DUMMYFUNCTION("""COMPUTED_VALUE"""),"Middle SunKoshi SHP")</f>
        <v>Middle SunKoshi SHP</v>
      </c>
      <c r="C1080" s="2">
        <f>IFERROR(__xludf.DUMMYFUNCTION("""COMPUTED_VALUE"""),0.9)</f>
        <v>0.9</v>
      </c>
      <c r="D1080" s="2" t="str">
        <f>IFERROR(__xludf.DUMMYFUNCTION("""COMPUTED_VALUE"""),"Sun Koshi")</f>
        <v>Sun Koshi</v>
      </c>
      <c r="E1080" s="2">
        <f>IFERROR(__xludf.DUMMYFUNCTION("""COMPUTED_VALUE"""),4304.0)</f>
        <v>4304</v>
      </c>
      <c r="F1080" s="3">
        <f>IFERROR(__xludf.DUMMYFUNCTION("""COMPUTED_VALUE"""),60661.0)</f>
        <v>60661</v>
      </c>
      <c r="G1080" s="2" t="str">
        <f>IFERROR(__xludf.DUMMYFUNCTION("""COMPUTED_VALUE"""),"Tila ram Basnet")</f>
        <v>Tila ram Basnet</v>
      </c>
      <c r="H1080" s="2" t="str">
        <f>IFERROR(__xludf.DUMMYFUNCTION("""COMPUTED_VALUE"""),"Sijuwa-4, Morang")</f>
        <v>Sijuwa-4, Morang</v>
      </c>
      <c r="I1080" s="2" t="str">
        <f>IFERROR(__xludf.DUMMYFUNCTION("""COMPUTED_VALUE"""),"27o 46' 54""")</f>
        <v>27o 46' 54"</v>
      </c>
      <c r="J1080" s="2" t="str">
        <f>IFERROR(__xludf.DUMMYFUNCTION("""COMPUTED_VALUE"""),"27o 47' 54""")</f>
        <v>27o 47' 54"</v>
      </c>
      <c r="K1080" s="2" t="str">
        <f>IFERROR(__xludf.DUMMYFUNCTION("""COMPUTED_VALUE"""),"85o 55' 00""")</f>
        <v>85o 55' 00"</v>
      </c>
      <c r="L1080" s="2" t="str">
        <f>IFERROR(__xludf.DUMMYFUNCTION("""COMPUTED_VALUE"""),"85o 56' 03""")</f>
        <v>85o 56' 03"</v>
      </c>
      <c r="M1080" s="2" t="str">
        <f>IFERROR(__xludf.DUMMYFUNCTION("""COMPUTED_VALUE"""),"Choukati,Karthali (Sindhupalchok)")</f>
        <v>Choukati,Karthali (Sindhupalchok)</v>
      </c>
    </row>
    <row r="1081">
      <c r="A1081" s="2">
        <f>IFERROR(__xludf.DUMMYFUNCTION("""COMPUTED_VALUE"""),1080.0)</f>
        <v>1080</v>
      </c>
      <c r="B1081" s="2" t="str">
        <f>IFERROR(__xludf.DUMMYFUNCTION("""COMPUTED_VALUE"""),"Ramgad HPP")</f>
        <v>Ramgad HPP</v>
      </c>
      <c r="C1081" s="2">
        <f>IFERROR(__xludf.DUMMYFUNCTION("""COMPUTED_VALUE"""),2.0)</f>
        <v>2</v>
      </c>
      <c r="D1081" s="2" t="str">
        <f>IFERROR(__xludf.DUMMYFUNCTION("""COMPUTED_VALUE"""),"Ram Gad")</f>
        <v>Ram Gad</v>
      </c>
      <c r="E1081" s="2">
        <f>IFERROR(__xludf.DUMMYFUNCTION("""COMPUTED_VALUE"""),4352.0)</f>
        <v>4352</v>
      </c>
      <c r="F1081" s="3">
        <f>IFERROR(__xludf.DUMMYFUNCTION("""COMPUTED_VALUE"""),60664.0)</f>
        <v>60664</v>
      </c>
      <c r="G1081" s="2" t="str">
        <f>IFERROR(__xludf.DUMMYFUNCTION("""COMPUTED_VALUE"""),"Siddhartha Global Energy International")</f>
        <v>Siddhartha Global Energy International</v>
      </c>
      <c r="H1081" s="2" t="str">
        <f>IFERROR(__xludf.DUMMYFUNCTION("""COMPUTED_VALUE"""),"Kathmandu-11, Tel: 9841147332")</f>
        <v>Kathmandu-11, Tel: 9841147332</v>
      </c>
      <c r="I1081" s="2" t="str">
        <f>IFERROR(__xludf.DUMMYFUNCTION("""COMPUTED_VALUE"""),"28o 55' 31""")</f>
        <v>28o 55' 31"</v>
      </c>
      <c r="J1081" s="2" t="str">
        <f>IFERROR(__xludf.DUMMYFUNCTION("""COMPUTED_VALUE"""),"28o 57' 05""")</f>
        <v>28o 57' 05"</v>
      </c>
      <c r="K1081" s="2" t="str">
        <f>IFERROR(__xludf.DUMMYFUNCTION("""COMPUTED_VALUE"""),"81o 30' 06""")</f>
        <v>81o 30' 06"</v>
      </c>
      <c r="L1081" s="2" t="str">
        <f>IFERROR(__xludf.DUMMYFUNCTION("""COMPUTED_VALUE"""),"81o 32' 05""")</f>
        <v>81o 32' 05"</v>
      </c>
      <c r="M1081" s="2" t="str">
        <f>IFERROR(__xludf.DUMMYFUNCTION("""COMPUTED_VALUE"""),"Santalla (Dailekh)")</f>
        <v>Santalla (Dailekh)</v>
      </c>
    </row>
    <row r="1082">
      <c r="A1082" s="2">
        <f>IFERROR(__xludf.DUMMYFUNCTION("""COMPUTED_VALUE"""),1081.0)</f>
        <v>1081</v>
      </c>
      <c r="B1082" s="2" t="str">
        <f>IFERROR(__xludf.DUMMYFUNCTION("""COMPUTED_VALUE"""),"Palun Khola SHP")</f>
        <v>Palun Khola SHP</v>
      </c>
      <c r="C1082" s="2">
        <f>IFERROR(__xludf.DUMMYFUNCTION("""COMPUTED_VALUE"""),0.9)</f>
        <v>0.9</v>
      </c>
      <c r="D1082" s="2" t="str">
        <f>IFERROR(__xludf.DUMMYFUNCTION("""COMPUTED_VALUE"""),"Palun Khola")</f>
        <v>Palun Khola</v>
      </c>
      <c r="E1082" s="2">
        <f>IFERROR(__xludf.DUMMYFUNCTION("""COMPUTED_VALUE"""),4354.0)</f>
        <v>4354</v>
      </c>
      <c r="F1082" s="3">
        <f>IFERROR(__xludf.DUMMYFUNCTION("""COMPUTED_VALUE"""),60664.0)</f>
        <v>60664</v>
      </c>
      <c r="G1082" s="2" t="str">
        <f>IFERROR(__xludf.DUMMYFUNCTION("""COMPUTED_VALUE"""),"Kiran Prasad Thapa")</f>
        <v>Kiran Prasad Thapa</v>
      </c>
      <c r="H1082" s="2" t="str">
        <f>IFERROR(__xludf.DUMMYFUNCTION("""COMPUTED_VALUE"""),"Rangkhani-9, Baglung")</f>
        <v>Rangkhani-9, Baglung</v>
      </c>
      <c r="I1082" s="2" t="str">
        <f>IFERROR(__xludf.DUMMYFUNCTION("""COMPUTED_VALUE"""),"28o 04' 21""")</f>
        <v>28o 04' 21"</v>
      </c>
      <c r="J1082" s="2" t="str">
        <f>IFERROR(__xludf.DUMMYFUNCTION("""COMPUTED_VALUE"""),"28o 06' 00""")</f>
        <v>28o 06' 00"</v>
      </c>
      <c r="K1082" s="2" t="str">
        <f>IFERROR(__xludf.DUMMYFUNCTION("""COMPUTED_VALUE"""),"83o 33' 45""")</f>
        <v>83o 33' 45"</v>
      </c>
      <c r="L1082" s="2" t="str">
        <f>IFERROR(__xludf.DUMMYFUNCTION("""COMPUTED_VALUE"""),"83o 35' 00""")</f>
        <v>83o 35' 00"</v>
      </c>
      <c r="M1082" s="2" t="str">
        <f>IFERROR(__xludf.DUMMYFUNCTION("""COMPUTED_VALUE"""),"Chhisti (Baglung)")</f>
        <v>Chhisti (Baglung)</v>
      </c>
    </row>
    <row r="1083">
      <c r="A1083" s="2">
        <f>IFERROR(__xludf.DUMMYFUNCTION("""COMPUTED_VALUE"""),1082.0)</f>
        <v>1082</v>
      </c>
      <c r="B1083" s="2" t="str">
        <f>IFERROR(__xludf.DUMMYFUNCTION("""COMPUTED_VALUE"""),"Phenlun Khola SHP")</f>
        <v>Phenlun Khola SHP</v>
      </c>
      <c r="C1083" s="2">
        <f>IFERROR(__xludf.DUMMYFUNCTION("""COMPUTED_VALUE"""),0.9)</f>
        <v>0.9</v>
      </c>
      <c r="D1083" s="2" t="str">
        <f>IFERROR(__xludf.DUMMYFUNCTION("""COMPUTED_VALUE"""),"Phenlun")</f>
        <v>Phenlun</v>
      </c>
      <c r="E1083" s="2">
        <f>IFERROR(__xludf.DUMMYFUNCTION("""COMPUTED_VALUE"""),4356.0)</f>
        <v>4356</v>
      </c>
      <c r="F1083" s="3">
        <f>IFERROR(__xludf.DUMMYFUNCTION("""COMPUTED_VALUE"""),60666.0)</f>
        <v>60666</v>
      </c>
      <c r="G1083" s="2" t="str">
        <f>IFERROR(__xludf.DUMMYFUNCTION("""COMPUTED_VALUE"""),"Narayan Prasad Pandey, Kesav Bahadur Raymajhi")</f>
        <v>Narayan Prasad Pandey, Kesav Bahadur Raymajhi</v>
      </c>
      <c r="H1083" s="2" t="str">
        <f>IFERROR(__xludf.DUMMYFUNCTION("""COMPUTED_VALUE"""),"01-6222304,9841236054,9851035505")</f>
        <v>01-6222304,9841236054,9851035505</v>
      </c>
      <c r="I1083" s="2" t="str">
        <f>IFERROR(__xludf.DUMMYFUNCTION("""COMPUTED_VALUE"""),"28o 13' 20""")</f>
        <v>28o 13' 20"</v>
      </c>
      <c r="J1083" s="2" t="str">
        <f>IFERROR(__xludf.DUMMYFUNCTION("""COMPUTED_VALUE"""),"28o 14' 20""")</f>
        <v>28o 14' 20"</v>
      </c>
      <c r="K1083" s="2" t="str">
        <f>IFERROR(__xludf.DUMMYFUNCTION("""COMPUTED_VALUE"""),"85o 21' 50""")</f>
        <v>85o 21' 50"</v>
      </c>
      <c r="L1083" s="2" t="str">
        <f>IFERROR(__xludf.DUMMYFUNCTION("""COMPUTED_VALUE"""),"85o 23' 43""")</f>
        <v>85o 23' 43"</v>
      </c>
      <c r="M1083" s="2" t="str">
        <f>IFERROR(__xludf.DUMMYFUNCTION("""COMPUTED_VALUE"""),"Timure (Rasuwa)")</f>
        <v>Timure (Rasuwa)</v>
      </c>
    </row>
    <row r="1084">
      <c r="A1084" s="2">
        <f>IFERROR(__xludf.DUMMYFUNCTION("""COMPUTED_VALUE"""),1083.0)</f>
        <v>1083</v>
      </c>
      <c r="B1084" s="2" t="str">
        <f>IFERROR(__xludf.DUMMYFUNCTION("""COMPUTED_VALUE"""),"Langdi Khola")</f>
        <v>Langdi Khola</v>
      </c>
      <c r="C1084" s="2">
        <f>IFERROR(__xludf.DUMMYFUNCTION("""COMPUTED_VALUE"""),2.0)</f>
        <v>2</v>
      </c>
      <c r="D1084" s="2" t="str">
        <f>IFERROR(__xludf.DUMMYFUNCTION("""COMPUTED_VALUE"""),"Langdi")</f>
        <v>Langdi</v>
      </c>
      <c r="E1084" s="2">
        <f>IFERROR(__xludf.DUMMYFUNCTION("""COMPUTED_VALUE"""),4358.0)</f>
        <v>4358</v>
      </c>
      <c r="F1084" s="3">
        <f>IFERROR(__xludf.DUMMYFUNCTION("""COMPUTED_VALUE"""),60666.0)</f>
        <v>60666</v>
      </c>
      <c r="G1084" s="2" t="str">
        <f>IFERROR(__xludf.DUMMYFUNCTION("""COMPUTED_VALUE"""),"Raj Babu Pandey")</f>
        <v>Raj Babu Pandey</v>
      </c>
      <c r="H1084" s="2" t="str">
        <f>IFERROR(__xludf.DUMMYFUNCTION("""COMPUTED_VALUE"""),"Chiti VDC, Lamjung")</f>
        <v>Chiti VDC, Lamjung</v>
      </c>
      <c r="I1084" s="2" t="str">
        <f>IFERROR(__xludf.DUMMYFUNCTION("""COMPUTED_VALUE"""),"28o 10' 16""")</f>
        <v>28o 10' 16"</v>
      </c>
      <c r="J1084" s="2" t="str">
        <f>IFERROR(__xludf.DUMMYFUNCTION("""COMPUTED_VALUE"""),"28o 11' 54""")</f>
        <v>28o 11' 54"</v>
      </c>
      <c r="K1084" s="2" t="str">
        <f>IFERROR(__xludf.DUMMYFUNCTION("""COMPUTED_VALUE"""),"84o 35' 00""")</f>
        <v>84o 35' 00"</v>
      </c>
      <c r="L1084" s="2" t="str">
        <f>IFERROR(__xludf.DUMMYFUNCTION("""COMPUTED_VALUE"""),"84o 37' 00""")</f>
        <v>84o 37' 00"</v>
      </c>
      <c r="M1084" s="2" t="str">
        <f>IFERROR(__xludf.DUMMYFUNCTION("""COMPUTED_VALUE"""),"Bichaur,Ilampokhari (Lamjung)")</f>
        <v>Bichaur,Ilampokhari (Lamjung)</v>
      </c>
    </row>
    <row r="1085">
      <c r="A1085" s="2">
        <f>IFERROR(__xludf.DUMMYFUNCTION("""COMPUTED_VALUE"""),1084.0)</f>
        <v>1084</v>
      </c>
      <c r="B1085" s="2" t="str">
        <f>IFERROR(__xludf.DUMMYFUNCTION("""COMPUTED_VALUE"""),"Mid Sharda SHP")</f>
        <v>Mid Sharda SHP</v>
      </c>
      <c r="C1085" s="2">
        <f>IFERROR(__xludf.DUMMYFUNCTION("""COMPUTED_VALUE"""),0.98)</f>
        <v>0.98</v>
      </c>
      <c r="D1085" s="2" t="str">
        <f>IFERROR(__xludf.DUMMYFUNCTION("""COMPUTED_VALUE"""),"Sharada")</f>
        <v>Sharada</v>
      </c>
      <c r="E1085" s="2">
        <f>IFERROR(__xludf.DUMMYFUNCTION("""COMPUTED_VALUE"""),4365.0)</f>
        <v>4365</v>
      </c>
      <c r="F1085" s="3">
        <f>IFERROR(__xludf.DUMMYFUNCTION("""COMPUTED_VALUE"""),60667.0)</f>
        <v>60667</v>
      </c>
      <c r="G1085" s="2" t="str">
        <f>IFERROR(__xludf.DUMMYFUNCTION("""COMPUTED_VALUE"""),"Ramesh Pd. Neupane, Sushil Poudel, Mahesh Basnet")</f>
        <v>Ramesh Pd. Neupane, Sushil Poudel, Mahesh Basnet</v>
      </c>
      <c r="H1085" s="2" t="str">
        <f>IFERROR(__xludf.DUMMYFUNCTION("""COMPUTED_VALUE"""),"GPO box: 11039, Kathmandu, Tel: 475234,Fax: 4474895")</f>
        <v>GPO box: 11039, Kathmandu, Tel: 475234,Fax: 4474895</v>
      </c>
      <c r="I1085" s="2" t="str">
        <f>IFERROR(__xludf.DUMMYFUNCTION("""COMPUTED_VALUE"""),"28o 24' 08""")</f>
        <v>28o 24' 08"</v>
      </c>
      <c r="J1085" s="2" t="str">
        <f>IFERROR(__xludf.DUMMYFUNCTION("""COMPUTED_VALUE"""),"28o 25' 44""")</f>
        <v>28o 25' 44"</v>
      </c>
      <c r="K1085" s="2" t="str">
        <f>IFERROR(__xludf.DUMMYFUNCTION("""COMPUTED_VALUE"""),"82o 10' 58""")</f>
        <v>82o 10' 58"</v>
      </c>
      <c r="L1085" s="2" t="str">
        <f>IFERROR(__xludf.DUMMYFUNCTION("""COMPUTED_VALUE"""),"82o 11' 06""")</f>
        <v>82o 11' 06"</v>
      </c>
      <c r="M1085" s="2" t="str">
        <f>IFERROR(__xludf.DUMMYFUNCTION("""COMPUTED_VALUE"""),"Dandagaun (Salyan)")</f>
        <v>Dandagaun (Salyan)</v>
      </c>
    </row>
    <row r="1086">
      <c r="A1086" s="2">
        <f>IFERROR(__xludf.DUMMYFUNCTION("""COMPUTED_VALUE"""),1085.0)</f>
        <v>1085</v>
      </c>
      <c r="B1086" s="2" t="str">
        <f>IFERROR(__xludf.DUMMYFUNCTION("""COMPUTED_VALUE"""),"Charnawati Khola HPP")</f>
        <v>Charnawati Khola HPP</v>
      </c>
      <c r="C1086" s="2">
        <f>IFERROR(__xludf.DUMMYFUNCTION("""COMPUTED_VALUE"""),3.52)</f>
        <v>3.52</v>
      </c>
      <c r="D1086" s="2" t="str">
        <f>IFERROR(__xludf.DUMMYFUNCTION("""COMPUTED_VALUE"""),"Charnawati")</f>
        <v>Charnawati</v>
      </c>
      <c r="E1086" s="2">
        <f>IFERROR(__xludf.DUMMYFUNCTION("""COMPUTED_VALUE"""),4377.0)</f>
        <v>4377</v>
      </c>
      <c r="F1086" s="3">
        <f>IFERROR(__xludf.DUMMYFUNCTION("""COMPUTED_VALUE"""),60667.0)</f>
        <v>60667</v>
      </c>
      <c r="G1086" s="2" t="str">
        <f>IFERROR(__xludf.DUMMYFUNCTION("""COMPUTED_VALUE"""),"Nepal Hydrodeveloper Pvt Ltd")</f>
        <v>Nepal Hydrodeveloper Pvt Ltd</v>
      </c>
      <c r="H1086" s="2" t="str">
        <f>IFERROR(__xludf.DUMMYFUNCTION("""COMPUTED_VALUE"""),"Baneswar Kathmandu")</f>
        <v>Baneswar Kathmandu</v>
      </c>
      <c r="I1086" s="2" t="str">
        <f>IFERROR(__xludf.DUMMYFUNCTION("""COMPUTED_VALUE"""),"27o 37' 50""")</f>
        <v>27o 37' 50"</v>
      </c>
      <c r="J1086" s="2" t="str">
        <f>IFERROR(__xludf.DUMMYFUNCTION("""COMPUTED_VALUE"""),"27o 39' 17""")</f>
        <v>27o 39' 17"</v>
      </c>
      <c r="K1086" s="2" t="str">
        <f>IFERROR(__xludf.DUMMYFUNCTION("""COMPUTED_VALUE"""),"86o 01' 03""")</f>
        <v>86o 01' 03"</v>
      </c>
      <c r="L1086" s="2" t="str">
        <f>IFERROR(__xludf.DUMMYFUNCTION("""COMPUTED_VALUE"""),"86o 02' 44""")</f>
        <v>86o 02' 44"</v>
      </c>
      <c r="M1086" s="2" t="str">
        <f>IFERROR(__xludf.DUMMYFUNCTION("""COMPUTED_VALUE"""),"Katakuti (Dolakha)")</f>
        <v>Katakuti (Dolakha)</v>
      </c>
    </row>
    <row r="1087">
      <c r="A1087" s="2">
        <f>IFERROR(__xludf.DUMMYFUNCTION("""COMPUTED_VALUE"""),1086.0)</f>
        <v>1086</v>
      </c>
      <c r="B1087" s="2" t="str">
        <f>IFERROR(__xludf.DUMMYFUNCTION("""COMPUTED_VALUE"""),"Mid Likhu HPP")</f>
        <v>Mid Likhu HPP</v>
      </c>
      <c r="C1087" s="2">
        <f>IFERROR(__xludf.DUMMYFUNCTION("""COMPUTED_VALUE"""),3.2)</f>
        <v>3.2</v>
      </c>
      <c r="D1087" s="2" t="str">
        <f>IFERROR(__xludf.DUMMYFUNCTION("""COMPUTED_VALUE"""),"Likhu Khola")</f>
        <v>Likhu Khola</v>
      </c>
      <c r="E1087" s="2">
        <f>IFERROR(__xludf.DUMMYFUNCTION("""COMPUTED_VALUE"""),4380.0)</f>
        <v>4380</v>
      </c>
      <c r="F1087" s="3">
        <f>IFERROR(__xludf.DUMMYFUNCTION("""COMPUTED_VALUE"""),60667.0)</f>
        <v>60667</v>
      </c>
      <c r="G1087" s="2" t="str">
        <f>IFERROR(__xludf.DUMMYFUNCTION("""COMPUTED_VALUE"""),"Suryodaya Power Pvt Ltd")</f>
        <v>Suryodaya Power Pvt Ltd</v>
      </c>
      <c r="H1087" s="2" t="str">
        <f>IFERROR(__xludf.DUMMYFUNCTION("""COMPUTED_VALUE"""),"GPO box: 11039, Kathmandu, Tel: 475234,Fax: 4474895")</f>
        <v>GPO box: 11039, Kathmandu, Tel: 475234,Fax: 4474895</v>
      </c>
      <c r="I1087" s="2" t="str">
        <f>IFERROR(__xludf.DUMMYFUNCTION("""COMPUTED_VALUE"""),"27o 29' 50""")</f>
        <v>27o 29' 50"</v>
      </c>
      <c r="J1087" s="2" t="str">
        <f>IFERROR(__xludf.DUMMYFUNCTION("""COMPUTED_VALUE"""),"27o 31' 18""")</f>
        <v>27o 31' 18"</v>
      </c>
      <c r="K1087" s="2" t="str">
        <f>IFERROR(__xludf.DUMMYFUNCTION("""COMPUTED_VALUE"""),"86o 19' 43""")</f>
        <v>86o 19' 43"</v>
      </c>
      <c r="L1087" s="2" t="str">
        <f>IFERROR(__xludf.DUMMYFUNCTION("""COMPUTED_VALUE"""),"86o 21' 22""")</f>
        <v>86o 21' 22"</v>
      </c>
      <c r="M1087" s="2" t="str">
        <f>IFERROR(__xludf.DUMMYFUNCTION("""COMPUTED_VALUE"""),"Rawadolu (Okhaldhunga)")</f>
        <v>Rawadolu (Okhaldhunga)</v>
      </c>
    </row>
    <row r="1088">
      <c r="A1088" s="2">
        <f>IFERROR(__xludf.DUMMYFUNCTION("""COMPUTED_VALUE"""),1087.0)</f>
        <v>1087</v>
      </c>
      <c r="B1088" s="2" t="str">
        <f>IFERROR(__xludf.DUMMYFUNCTION("""COMPUTED_VALUE"""),"Chhahare Khola SHP")</f>
        <v>Chhahare Khola SHP</v>
      </c>
      <c r="C1088" s="2">
        <f>IFERROR(__xludf.DUMMYFUNCTION("""COMPUTED_VALUE"""),0.5)</f>
        <v>0.5</v>
      </c>
      <c r="D1088" s="2" t="str">
        <f>IFERROR(__xludf.DUMMYFUNCTION("""COMPUTED_VALUE"""),"Chhahare")</f>
        <v>Chhahare</v>
      </c>
      <c r="E1088" s="2">
        <f>IFERROR(__xludf.DUMMYFUNCTION("""COMPUTED_VALUE"""),4388.0)</f>
        <v>4388</v>
      </c>
      <c r="F1088" s="3">
        <f>IFERROR(__xludf.DUMMYFUNCTION("""COMPUTED_VALUE"""),60667.0)</f>
        <v>60667</v>
      </c>
      <c r="G1088" s="2" t="str">
        <f>IFERROR(__xludf.DUMMYFUNCTION("""COMPUTED_VALUE"""),"Shankar Rimal, Tej Bagadur Lama")</f>
        <v>Shankar Rimal, Tej Bagadur Lama</v>
      </c>
      <c r="H1088" s="2" t="str">
        <f>IFERROR(__xludf.DUMMYFUNCTION("""COMPUTED_VALUE"""),"Madanpur-8, Nuwakot")</f>
        <v>Madanpur-8, Nuwakot</v>
      </c>
      <c r="I1088" s="2" t="str">
        <f>IFERROR(__xludf.DUMMYFUNCTION("""COMPUTED_VALUE"""),"00o 00' 00""")</f>
        <v>00o 00' 00"</v>
      </c>
      <c r="J1088" s="2" t="str">
        <f>IFERROR(__xludf.DUMMYFUNCTION("""COMPUTED_VALUE"""),"00o 00' 00""")</f>
        <v>00o 00' 00"</v>
      </c>
      <c r="K1088" s="2" t="str">
        <f>IFERROR(__xludf.DUMMYFUNCTION("""COMPUTED_VALUE"""),"00o 00' 00""")</f>
        <v>00o 00' 00"</v>
      </c>
      <c r="L1088" s="2" t="str">
        <f>IFERROR(__xludf.DUMMYFUNCTION("""COMPUTED_VALUE"""),"00o 00' 00""")</f>
        <v>00o 00' 00"</v>
      </c>
      <c r="M1088" s="2" t="str">
        <f>IFERROR(__xludf.DUMMYFUNCTION("""COMPUTED_VALUE"""),"Kakani (Nuwakot)")</f>
        <v>Kakani (Nuwakot)</v>
      </c>
    </row>
    <row r="1089">
      <c r="A1089" s="2">
        <f>IFERROR(__xludf.DUMMYFUNCTION("""COMPUTED_VALUE"""),1088.0)</f>
        <v>1088</v>
      </c>
      <c r="B1089" s="2" t="str">
        <f>IFERROR(__xludf.DUMMYFUNCTION("""COMPUTED_VALUE"""),"Upper Piluwa HPP")</f>
        <v>Upper Piluwa HPP</v>
      </c>
      <c r="C1089" s="2">
        <f>IFERROR(__xludf.DUMMYFUNCTION("""COMPUTED_VALUE"""),8.0)</f>
        <v>8</v>
      </c>
      <c r="D1089" s="2" t="str">
        <f>IFERROR(__xludf.DUMMYFUNCTION("""COMPUTED_VALUE"""),"Piluwa Khola")</f>
        <v>Piluwa Khola</v>
      </c>
      <c r="E1089" s="2">
        <f>IFERROR(__xludf.DUMMYFUNCTION("""COMPUTED_VALUE"""),4396.0)</f>
        <v>4396</v>
      </c>
      <c r="F1089" s="3">
        <f>IFERROR(__xludf.DUMMYFUNCTION("""COMPUTED_VALUE"""),60668.0)</f>
        <v>60668</v>
      </c>
      <c r="G1089" s="2" t="str">
        <f>IFERROR(__xludf.DUMMYFUNCTION("""COMPUTED_VALUE"""),"Barun Hydropower Development Company Pvt Ltd")</f>
        <v>Barun Hydropower Development Company Pvt Ltd</v>
      </c>
      <c r="H1089" s="2" t="str">
        <f>IFERROR(__xludf.DUMMYFUNCTION("""COMPUTED_VALUE"""),"GPO Box: 11039, Kathmandu")</f>
        <v>GPO Box: 11039, Kathmandu</v>
      </c>
      <c r="I1089" s="2" t="str">
        <f>IFERROR(__xludf.DUMMYFUNCTION("""COMPUTED_VALUE"""),"27o 17' 35""")</f>
        <v>27o 17' 35"</v>
      </c>
      <c r="J1089" s="2" t="str">
        <f>IFERROR(__xludf.DUMMYFUNCTION("""COMPUTED_VALUE"""),"27o 18' 19""")</f>
        <v>27o 18' 19"</v>
      </c>
      <c r="K1089" s="2" t="str">
        <f>IFERROR(__xludf.DUMMYFUNCTION("""COMPUTED_VALUE"""),"87o 24' 19""")</f>
        <v>87o 24' 19"</v>
      </c>
      <c r="L1089" s="2" t="str">
        <f>IFERROR(__xludf.DUMMYFUNCTION("""COMPUTED_VALUE"""),"87o 26' 35""")</f>
        <v>87o 26' 35"</v>
      </c>
      <c r="M1089" s="2" t="str">
        <f>IFERROR(__xludf.DUMMYFUNCTION("""COMPUTED_VALUE"""),"Mawadin,Nundhaki,Siddhakali (Sankhuwasabha)")</f>
        <v>Mawadin,Nundhaki,Siddhakali (Sankhuwasabha)</v>
      </c>
    </row>
    <row r="1090">
      <c r="A1090" s="2">
        <f>IFERROR(__xludf.DUMMYFUNCTION("""COMPUTED_VALUE"""),1089.0)</f>
        <v>1089</v>
      </c>
      <c r="B1090" s="2" t="str">
        <f>IFERROR(__xludf.DUMMYFUNCTION("""COMPUTED_VALUE"""),"Pikhuwa Khola HPP")</f>
        <v>Pikhuwa Khola HPP</v>
      </c>
      <c r="C1090" s="2">
        <f>IFERROR(__xludf.DUMMYFUNCTION("""COMPUTED_VALUE"""),1.5)</f>
        <v>1.5</v>
      </c>
      <c r="D1090" s="2" t="str">
        <f>IFERROR(__xludf.DUMMYFUNCTION("""COMPUTED_VALUE"""),"Pikhuwa")</f>
        <v>Pikhuwa</v>
      </c>
      <c r="E1090" s="2">
        <f>IFERROR(__xludf.DUMMYFUNCTION("""COMPUTED_VALUE"""),4417.0)</f>
        <v>4417</v>
      </c>
      <c r="F1090" s="3">
        <f>IFERROR(__xludf.DUMMYFUNCTION("""COMPUTED_VALUE"""),60668.0)</f>
        <v>60668</v>
      </c>
      <c r="G1090" s="2" t="str">
        <f>IFERROR(__xludf.DUMMYFUNCTION("""COMPUTED_VALUE"""),"Pawan Securities Limited")</f>
        <v>Pawan Securities Limited</v>
      </c>
      <c r="H1090" s="2" t="str">
        <f>IFERROR(__xludf.DUMMYFUNCTION("""COMPUTED_VALUE"""),"Bishalbazaar, Kathmandu-25 , Tel: 9851022804")</f>
        <v>Bishalbazaar, Kathmandu-25 , Tel: 9851022804</v>
      </c>
      <c r="I1090" s="2" t="str">
        <f>IFERROR(__xludf.DUMMYFUNCTION("""COMPUTED_VALUE"""),"27o 14' 57""")</f>
        <v>27o 14' 57"</v>
      </c>
      <c r="J1090" s="2" t="str">
        <f>IFERROR(__xludf.DUMMYFUNCTION("""COMPUTED_VALUE"""),"27o 16' 13""")</f>
        <v>27o 16' 13"</v>
      </c>
      <c r="K1090" s="2" t="str">
        <f>IFERROR(__xludf.DUMMYFUNCTION("""COMPUTED_VALUE"""),"86o 56' 53""")</f>
        <v>86o 56' 53"</v>
      </c>
      <c r="L1090" s="2" t="str">
        <f>IFERROR(__xludf.DUMMYFUNCTION("""COMPUTED_VALUE"""),"87o 01' 38""")</f>
        <v>87o 01' 38"</v>
      </c>
      <c r="M1090" s="2" t="str">
        <f>IFERROR(__xludf.DUMMYFUNCTION("""COMPUTED_VALUE"""),"Gupteshwor,Timma (Bhojpur)")</f>
        <v>Gupteshwor,Timma (Bhojpur)</v>
      </c>
    </row>
    <row r="1091">
      <c r="A1091" s="2">
        <f>IFERROR(__xludf.DUMMYFUNCTION("""COMPUTED_VALUE"""),1090.0)</f>
        <v>1090</v>
      </c>
      <c r="B1091" s="2" t="str">
        <f>IFERROR(__xludf.DUMMYFUNCTION("""COMPUTED_VALUE"""),"Piluwa Khoa SHP")</f>
        <v>Piluwa Khoa SHP</v>
      </c>
      <c r="C1091" s="2">
        <f>IFERROR(__xludf.DUMMYFUNCTION("""COMPUTED_VALUE"""),0.98)</f>
        <v>0.98</v>
      </c>
      <c r="D1091" s="2" t="str">
        <f>IFERROR(__xludf.DUMMYFUNCTION("""COMPUTED_VALUE"""),"Piluwa Khola")</f>
        <v>Piluwa Khola</v>
      </c>
      <c r="E1091" s="2">
        <f>IFERROR(__xludf.DUMMYFUNCTION("""COMPUTED_VALUE"""),4423.0)</f>
        <v>4423</v>
      </c>
      <c r="F1091" s="3">
        <f>IFERROR(__xludf.DUMMYFUNCTION("""COMPUTED_VALUE"""),60669.0)</f>
        <v>60669</v>
      </c>
      <c r="G1091" s="2" t="str">
        <f>IFERROR(__xludf.DUMMYFUNCTION("""COMPUTED_VALUE"""),"Udip Linthep")</f>
        <v>Udip Linthep</v>
      </c>
      <c r="H1091" s="2" t="str">
        <f>IFERROR(__xludf.DUMMYFUNCTION("""COMPUTED_VALUE"""),"Mawadin VDC-1, Sankhuwasabha")</f>
        <v>Mawadin VDC-1, Sankhuwasabha</v>
      </c>
      <c r="I1091" s="2" t="str">
        <f>IFERROR(__xludf.DUMMYFUNCTION("""COMPUTED_VALUE"""),"27o 17' 40""")</f>
        <v>27o 17' 40"</v>
      </c>
      <c r="J1091" s="2" t="str">
        <f>IFERROR(__xludf.DUMMYFUNCTION("""COMPUTED_VALUE"""),"27o 18' 19""")</f>
        <v>27o 18' 19"</v>
      </c>
      <c r="K1091" s="2" t="str">
        <f>IFERROR(__xludf.DUMMYFUNCTION("""COMPUTED_VALUE"""),"87o 24' 20""")</f>
        <v>87o 24' 20"</v>
      </c>
      <c r="L1091" s="2" t="str">
        <f>IFERROR(__xludf.DUMMYFUNCTION("""COMPUTED_VALUE"""),"87o 26' 20""")</f>
        <v>87o 26' 20"</v>
      </c>
      <c r="M1091" s="2" t="str">
        <f>IFERROR(__xludf.DUMMYFUNCTION("""COMPUTED_VALUE"""),"Siddhakali,Nundhaki (Sankhuwasabha)")</f>
        <v>Siddhakali,Nundhaki (Sankhuwasabha)</v>
      </c>
    </row>
    <row r="1092">
      <c r="A1092" s="2">
        <f>IFERROR(__xludf.DUMMYFUNCTION("""COMPUTED_VALUE"""),1091.0)</f>
        <v>1091</v>
      </c>
      <c r="B1092" s="2" t="str">
        <f>IFERROR(__xludf.DUMMYFUNCTION("""COMPUTED_VALUE"""),"Buku Khola HPP")</f>
        <v>Buku Khola HPP</v>
      </c>
      <c r="C1092" s="2">
        <f>IFERROR(__xludf.DUMMYFUNCTION("""COMPUTED_VALUE"""),4.0)</f>
        <v>4</v>
      </c>
      <c r="D1092" s="2" t="str">
        <f>IFERROR(__xludf.DUMMYFUNCTION("""COMPUTED_VALUE"""),"Buku")</f>
        <v>Buku</v>
      </c>
      <c r="E1092" s="2">
        <f>IFERROR(__xludf.DUMMYFUNCTION("""COMPUTED_VALUE"""),4449.0)</f>
        <v>4449</v>
      </c>
      <c r="F1092" s="3">
        <f>IFERROR(__xludf.DUMMYFUNCTION("""COMPUTED_VALUE"""),60669.0)</f>
        <v>60669</v>
      </c>
      <c r="G1092" s="2" t="str">
        <f>IFERROR(__xludf.DUMMYFUNCTION("""COMPUTED_VALUE"""),"Bhupendra Bahadur basnet, Bhimsen Basnet")</f>
        <v>Bhupendra Bahadur basnet, Bhimsen Basnet</v>
      </c>
      <c r="H1092" s="2" t="str">
        <f>IFERROR(__xludf.DUMMYFUNCTION("""COMPUTED_VALUE"""),"Rawadolu VDC, Okhaldhunga Tel: 9741081922, 9841173579")</f>
        <v>Rawadolu VDC, Okhaldhunga Tel: 9741081922, 9841173579</v>
      </c>
      <c r="I1092" s="2" t="str">
        <f>IFERROR(__xludf.DUMMYFUNCTION("""COMPUTED_VALUE"""),"27o 30' 30""")</f>
        <v>27o 30' 30"</v>
      </c>
      <c r="J1092" s="2" t="str">
        <f>IFERROR(__xludf.DUMMYFUNCTION("""COMPUTED_VALUE"""),"27o 31' 30""")</f>
        <v>27o 31' 30"</v>
      </c>
      <c r="K1092" s="2" t="str">
        <f>IFERROR(__xludf.DUMMYFUNCTION("""COMPUTED_VALUE"""),"86o 21' 10""")</f>
        <v>86o 21' 10"</v>
      </c>
      <c r="L1092" s="2" t="str">
        <f>IFERROR(__xludf.DUMMYFUNCTION("""COMPUTED_VALUE"""),"86o 23' 00""")</f>
        <v>86o 23' 00"</v>
      </c>
      <c r="M1092" s="2" t="str">
        <f>IFERROR(__xludf.DUMMYFUNCTION("""COMPUTED_VALUE"""),"Bhussinga,Rawadolu (Okhaldhunga)")</f>
        <v>Bhussinga,Rawadolu (Okhaldhunga)</v>
      </c>
    </row>
    <row r="1093">
      <c r="A1093" s="2">
        <f>IFERROR(__xludf.DUMMYFUNCTION("""COMPUTED_VALUE"""),1092.0)</f>
        <v>1092</v>
      </c>
      <c r="B1093" s="2" t="str">
        <f>IFERROR(__xludf.DUMMYFUNCTION("""COMPUTED_VALUE"""),"Upper Dona SHP")</f>
        <v>Upper Dona SHP</v>
      </c>
      <c r="C1093" s="2">
        <f>IFERROR(__xludf.DUMMYFUNCTION("""COMPUTED_VALUE"""),0.99)</f>
        <v>0.99</v>
      </c>
      <c r="D1093" s="2" t="str">
        <f>IFERROR(__xludf.DUMMYFUNCTION("""COMPUTED_VALUE"""),"Dona Khola")</f>
        <v>Dona Khola</v>
      </c>
      <c r="E1093" s="2">
        <f>IFERROR(__xludf.DUMMYFUNCTION("""COMPUTED_VALUE"""),4452.0)</f>
        <v>4452</v>
      </c>
      <c r="F1093" s="3">
        <f>IFERROR(__xludf.DUMMYFUNCTION("""COMPUTED_VALUE"""),60670.0)</f>
        <v>60670</v>
      </c>
      <c r="G1093" s="2" t="str">
        <f>IFERROR(__xludf.DUMMYFUNCTION("""COMPUTED_VALUE"""),"Hydro Energy Concern Pvt Ltd")</f>
        <v>Hydro Energy Concern Pvt Ltd</v>
      </c>
      <c r="H1093" s="2" t="str">
        <f>IFERROR(__xludf.DUMMYFUNCTION("""COMPUTED_VALUE"""),"Samakhusi, Kathmandu , GPO Box : 8975, Tel: 4356026")</f>
        <v>Samakhusi, Kathmandu , GPO Box : 8975, Tel: 4356026</v>
      </c>
      <c r="I1093" s="2" t="str">
        <f>IFERROR(__xludf.DUMMYFUNCTION("""COMPUTED_VALUE"""),"28o 31' 00""")</f>
        <v>28o 31' 00"</v>
      </c>
      <c r="J1093" s="2" t="str">
        <f>IFERROR(__xludf.DUMMYFUNCTION("""COMPUTED_VALUE"""),"28o 32' 00""")</f>
        <v>28o 32' 00"</v>
      </c>
      <c r="K1093" s="2" t="str">
        <f>IFERROR(__xludf.DUMMYFUNCTION("""COMPUTED_VALUE"""),"84o 23' 30""")</f>
        <v>84o 23' 30"</v>
      </c>
      <c r="L1093" s="2" t="str">
        <f>IFERROR(__xludf.DUMMYFUNCTION("""COMPUTED_VALUE"""),"84o 27' 15""")</f>
        <v>84o 27' 15"</v>
      </c>
      <c r="M1093" s="2" t="str">
        <f>IFERROR(__xludf.DUMMYFUNCTION("""COMPUTED_VALUE"""),"Dharapani (Manang)")</f>
        <v>Dharapani (Manang)</v>
      </c>
    </row>
    <row r="1094">
      <c r="A1094" s="2">
        <f>IFERROR(__xludf.DUMMYFUNCTION("""COMPUTED_VALUE"""),1093.0)</f>
        <v>1093</v>
      </c>
      <c r="B1094" s="2" t="str">
        <f>IFERROR(__xludf.DUMMYFUNCTION("""COMPUTED_VALUE"""),"Sirse Gad SHP")</f>
        <v>Sirse Gad SHP</v>
      </c>
      <c r="C1094" s="2">
        <f>IFERROR(__xludf.DUMMYFUNCTION("""COMPUTED_VALUE"""),0.99)</f>
        <v>0.99</v>
      </c>
      <c r="D1094" s="2" t="str">
        <f>IFERROR(__xludf.DUMMYFUNCTION("""COMPUTED_VALUE"""),"Sirse Gad")</f>
        <v>Sirse Gad</v>
      </c>
      <c r="E1094" s="2">
        <f>IFERROR(__xludf.DUMMYFUNCTION("""COMPUTED_VALUE"""),4453.0)</f>
        <v>4453</v>
      </c>
      <c r="F1094" s="3">
        <f>IFERROR(__xludf.DUMMYFUNCTION("""COMPUTED_VALUE"""),60670.0)</f>
        <v>60670</v>
      </c>
      <c r="G1094" s="2" t="str">
        <f>IFERROR(__xludf.DUMMYFUNCTION("""COMPUTED_VALUE"""),"Shui Hydro Pvt Ltd")</f>
        <v>Shui Hydro Pvt Ltd</v>
      </c>
      <c r="H1094" s="2" t="str">
        <f>IFERROR(__xludf.DUMMYFUNCTION("""COMPUTED_VALUE"""),"Sukedhara , Kathmandu Tel: 9851058099")</f>
        <v>Sukedhara , Kathmandu Tel: 9851058099</v>
      </c>
      <c r="I1094" s="2" t="str">
        <f>IFERROR(__xludf.DUMMYFUNCTION("""COMPUTED_VALUE"""),"29o 09' 00""")</f>
        <v>29o 09' 00"</v>
      </c>
      <c r="J1094" s="2" t="str">
        <f>IFERROR(__xludf.DUMMYFUNCTION("""COMPUTED_VALUE"""),"29o 11' 00""")</f>
        <v>29o 11' 00"</v>
      </c>
      <c r="K1094" s="2" t="str">
        <f>IFERROR(__xludf.DUMMYFUNCTION("""COMPUTED_VALUE"""),"80o 20' 32""")</f>
        <v>80o 20' 32"</v>
      </c>
      <c r="L1094" s="2" t="str">
        <f>IFERROR(__xludf.DUMMYFUNCTION("""COMPUTED_VALUE"""),"80o 22' 20""")</f>
        <v>80o 22' 20"</v>
      </c>
      <c r="M1094" s="2" t="str">
        <f>IFERROR(__xludf.DUMMYFUNCTION("""COMPUTED_VALUE"""),"Sirsha (Dadeldhura)")</f>
        <v>Sirsha (Dadeldhura)</v>
      </c>
    </row>
    <row r="1095">
      <c r="A1095" s="2">
        <f>IFERROR(__xludf.DUMMYFUNCTION("""COMPUTED_VALUE"""),1094.0)</f>
        <v>1094</v>
      </c>
      <c r="B1095" s="2" t="str">
        <f>IFERROR(__xludf.DUMMYFUNCTION("""COMPUTED_VALUE"""),"Hoyonma Deumai Khola HPP")</f>
        <v>Hoyonma Deumai Khola HPP</v>
      </c>
      <c r="C1095" s="2">
        <f>IFERROR(__xludf.DUMMYFUNCTION("""COMPUTED_VALUE"""),1.762)</f>
        <v>1.762</v>
      </c>
      <c r="D1095" s="2" t="str">
        <f>IFERROR(__xludf.DUMMYFUNCTION("""COMPUTED_VALUE"""),"Hoyonma Khola")</f>
        <v>Hoyonma Khola</v>
      </c>
      <c r="E1095" s="2">
        <f>IFERROR(__xludf.DUMMYFUNCTION("""COMPUTED_VALUE"""),4455.0)</f>
        <v>4455</v>
      </c>
      <c r="F1095" s="3">
        <f>IFERROR(__xludf.DUMMYFUNCTION("""COMPUTED_VALUE"""),60670.0)</f>
        <v>60670</v>
      </c>
      <c r="G1095" s="2" t="str">
        <f>IFERROR(__xludf.DUMMYFUNCTION("""COMPUTED_VALUE"""),"Birendra Bahadur Neupane")</f>
        <v>Birendra Bahadur Neupane</v>
      </c>
      <c r="H1095" s="2" t="str">
        <f>IFERROR(__xludf.DUMMYFUNCTION("""COMPUTED_VALUE"""),"Biratnagar-16, Morang Tel: 9851085922")</f>
        <v>Biratnagar-16, Morang Tel: 9851085922</v>
      </c>
      <c r="I1095" s="2" t="str">
        <f>IFERROR(__xludf.DUMMYFUNCTION("""COMPUTED_VALUE"""),"26o 57' 56""")</f>
        <v>26o 57' 56"</v>
      </c>
      <c r="J1095" s="2" t="str">
        <f>IFERROR(__xludf.DUMMYFUNCTION("""COMPUTED_VALUE"""),"26o 59' 51""")</f>
        <v>26o 59' 51"</v>
      </c>
      <c r="K1095" s="2" t="str">
        <f>IFERROR(__xludf.DUMMYFUNCTION("""COMPUTED_VALUE"""),"87o 48' 30""")</f>
        <v>87o 48' 30"</v>
      </c>
      <c r="L1095" s="2" t="str">
        <f>IFERROR(__xludf.DUMMYFUNCTION("""COMPUTED_VALUE"""),"87o 50' 00""")</f>
        <v>87o 50' 00"</v>
      </c>
      <c r="M1095" s="2" t="str">
        <f>IFERROR(__xludf.DUMMYFUNCTION("""COMPUTED_VALUE"""),"Chameta (Ilam)")</f>
        <v>Chameta (Ilam)</v>
      </c>
    </row>
    <row r="1096">
      <c r="A1096" s="2">
        <f>IFERROR(__xludf.DUMMYFUNCTION("""COMPUTED_VALUE"""),1095.0)</f>
        <v>1095</v>
      </c>
      <c r="B1096" s="2" t="str">
        <f>IFERROR(__xludf.DUMMYFUNCTION("""COMPUTED_VALUE"""),"Andhi Khola Storage Project")</f>
        <v>Andhi Khola Storage Project</v>
      </c>
      <c r="C1096" s="2">
        <f>IFERROR(__xludf.DUMMYFUNCTION("""COMPUTED_VALUE"""),180.0)</f>
        <v>180</v>
      </c>
      <c r="D1096" s="2" t="str">
        <f>IFERROR(__xludf.DUMMYFUNCTION("""COMPUTED_VALUE"""),"Andhi Khola")</f>
        <v>Andhi Khola</v>
      </c>
      <c r="E1096" s="2">
        <f>IFERROR(__xludf.DUMMYFUNCTION("""COMPUTED_VALUE"""),4462.0)</f>
        <v>4462</v>
      </c>
      <c r="F1096" s="3">
        <f>IFERROR(__xludf.DUMMYFUNCTION("""COMPUTED_VALUE"""),60670.0)</f>
        <v>60670</v>
      </c>
      <c r="G1096" s="2" t="str">
        <f>IFERROR(__xludf.DUMMYFUNCTION("""COMPUTED_VALUE"""),"L&amp; T Power Development Limited")</f>
        <v>L&amp; T Power Development Limited</v>
      </c>
      <c r="H1096" s="2" t="str">
        <f>IFERROR(__xludf.DUMMYFUNCTION("""COMPUTED_VALUE"""),"L&amp; T House, Mumbai 400 001 India, Tel: +912267525732, Fax: + 91 22 6752 5844")</f>
        <v>L&amp; T House, Mumbai 400 001 India, Tel: +912267525732, Fax: + 91 22 6752 5844</v>
      </c>
      <c r="I1096" s="2" t="str">
        <f>IFERROR(__xludf.DUMMYFUNCTION("""COMPUTED_VALUE"""),"27o 55' 30""")</f>
        <v>27o 55' 30"</v>
      </c>
      <c r="J1096" s="2" t="str">
        <f>IFERROR(__xludf.DUMMYFUNCTION("""COMPUTED_VALUE"""),"27o 59' 00""")</f>
        <v>27o 59' 00"</v>
      </c>
      <c r="K1096" s="2" t="str">
        <f>IFERROR(__xludf.DUMMYFUNCTION("""COMPUTED_VALUE"""),"83o 35' 30""")</f>
        <v>83o 35' 30"</v>
      </c>
      <c r="L1096" s="2" t="str">
        <f>IFERROR(__xludf.DUMMYFUNCTION("""COMPUTED_VALUE"""),"83o 43' 30""")</f>
        <v>83o 43' 30"</v>
      </c>
      <c r="M1096" s="2" t="str">
        <f>IFERROR(__xludf.DUMMYFUNCTION("""COMPUTED_VALUE"""),"TulsiBhanjyang,Shreekrishna Gandaki,Pakbadi,Nibuwakharka (Syangja)")</f>
        <v>TulsiBhanjyang,Shreekrishna Gandaki,Pakbadi,Nibuwakharka (Syangja)</v>
      </c>
    </row>
    <row r="1097">
      <c r="A1097" s="2">
        <f>IFERROR(__xludf.DUMMYFUNCTION("""COMPUTED_VALUE"""),1096.0)</f>
        <v>1096</v>
      </c>
      <c r="B1097" s="2" t="str">
        <f>IFERROR(__xludf.DUMMYFUNCTION("""COMPUTED_VALUE"""),"Balephi Khola HPP")</f>
        <v>Balephi Khola HPP</v>
      </c>
      <c r="C1097" s="2">
        <f>IFERROR(__xludf.DUMMYFUNCTION("""COMPUTED_VALUE"""),9.98)</f>
        <v>9.98</v>
      </c>
      <c r="D1097" s="2" t="str">
        <f>IFERROR(__xludf.DUMMYFUNCTION("""COMPUTED_VALUE"""),"Balephi")</f>
        <v>Balephi</v>
      </c>
      <c r="E1097" s="2">
        <f>IFERROR(__xludf.DUMMYFUNCTION("""COMPUTED_VALUE"""),4465.0)</f>
        <v>4465</v>
      </c>
      <c r="F1097" s="3">
        <f>IFERROR(__xludf.DUMMYFUNCTION("""COMPUTED_VALUE"""),60670.0)</f>
        <v>60670</v>
      </c>
      <c r="G1097" s="2" t="str">
        <f>IFERROR(__xludf.DUMMYFUNCTION("""COMPUTED_VALUE"""),"Churna Pd. Shrestha, Pratap Singh Tamang")</f>
        <v>Churna Pd. Shrestha, Pratap Singh Tamang</v>
      </c>
      <c r="H1097" s="2" t="str">
        <f>IFERROR(__xludf.DUMMYFUNCTION("""COMPUTED_VALUE"""),"Phulpindanda-2, Sindhupalchowk")</f>
        <v>Phulpindanda-2, Sindhupalchowk</v>
      </c>
      <c r="I1097" s="2" t="str">
        <f>IFERROR(__xludf.DUMMYFUNCTION("""COMPUTED_VALUE"""),"28o 02' 10""")</f>
        <v>28o 02' 10"</v>
      </c>
      <c r="J1097" s="2" t="str">
        <f>IFERROR(__xludf.DUMMYFUNCTION("""COMPUTED_VALUE"""),"28o 04' 30""")</f>
        <v>28o 04' 30"</v>
      </c>
      <c r="K1097" s="2" t="str">
        <f>IFERROR(__xludf.DUMMYFUNCTION("""COMPUTED_VALUE"""),"85o 45' 00""")</f>
        <v>85o 45' 00"</v>
      </c>
      <c r="L1097" s="2" t="str">
        <f>IFERROR(__xludf.DUMMYFUNCTION("""COMPUTED_VALUE"""),"85o 47' 00""")</f>
        <v>85o 47' 00"</v>
      </c>
      <c r="M1097" s="2" t="str">
        <f>IFERROR(__xludf.DUMMYFUNCTION("""COMPUTED_VALUE"""),"Golche,Gumba (Sindhupalchok)")</f>
        <v>Golche,Gumba (Sindhupalchok)</v>
      </c>
    </row>
    <row r="1098">
      <c r="A1098" s="2">
        <f>IFERROR(__xludf.DUMMYFUNCTION("""COMPUTED_VALUE"""),1097.0)</f>
        <v>1097</v>
      </c>
      <c r="B1098" s="2" t="str">
        <f>IFERROR(__xludf.DUMMYFUNCTION("""COMPUTED_VALUE"""),"Mai Khola HPP")</f>
        <v>Mai Khola HPP</v>
      </c>
      <c r="C1098" s="2">
        <f>IFERROR(__xludf.DUMMYFUNCTION("""COMPUTED_VALUE"""),2.5)</f>
        <v>2.5</v>
      </c>
      <c r="D1098" s="2" t="str">
        <f>IFERROR(__xludf.DUMMYFUNCTION("""COMPUTED_VALUE"""),"Mai Khola")</f>
        <v>Mai Khola</v>
      </c>
      <c r="E1098" s="2">
        <f>IFERROR(__xludf.DUMMYFUNCTION("""COMPUTED_VALUE"""),4481.0)</f>
        <v>4481</v>
      </c>
      <c r="F1098" s="3">
        <f>IFERROR(__xludf.DUMMYFUNCTION("""COMPUTED_VALUE"""),60671.0)</f>
        <v>60671</v>
      </c>
      <c r="G1098" s="2" t="str">
        <f>IFERROR(__xludf.DUMMYFUNCTION("""COMPUTED_VALUE"""),"Mahendra Kumar Thapa, Hukum lal Thebe")</f>
        <v>Mahendra Kumar Thapa, Hukum lal Thebe</v>
      </c>
      <c r="H1098" s="2" t="str">
        <f>IFERROR(__xludf.DUMMYFUNCTION("""COMPUTED_VALUE"""),"Ilam Municipality-2, Ilam")</f>
        <v>Ilam Municipality-2, Ilam</v>
      </c>
      <c r="I1098" s="2" t="str">
        <f>IFERROR(__xludf.DUMMYFUNCTION("""COMPUTED_VALUE"""),"26o 55' 20""")</f>
        <v>26o 55' 20"</v>
      </c>
      <c r="J1098" s="2" t="str">
        <f>IFERROR(__xludf.DUMMYFUNCTION("""COMPUTED_VALUE"""),"26o 57' 30""")</f>
        <v>26o 57' 30"</v>
      </c>
      <c r="K1098" s="2" t="str">
        <f>IFERROR(__xludf.DUMMYFUNCTION("""COMPUTED_VALUE"""),"87o 56' 13""")</f>
        <v>87o 56' 13"</v>
      </c>
      <c r="L1098" s="2" t="str">
        <f>IFERROR(__xludf.DUMMYFUNCTION("""COMPUTED_VALUE"""),"87o 57' 34""")</f>
        <v>87o 57' 34"</v>
      </c>
      <c r="M1098" s="2" t="str">
        <f>IFERROR(__xludf.DUMMYFUNCTION("""COMPUTED_VALUE"""),"Barbote,Ilam N.P. (Ilam)")</f>
        <v>Barbote,Ilam N.P. (Ilam)</v>
      </c>
    </row>
    <row r="1099">
      <c r="A1099" s="2">
        <f>IFERROR(__xludf.DUMMYFUNCTION("""COMPUTED_VALUE"""),1098.0)</f>
        <v>1098</v>
      </c>
      <c r="B1099" s="2" t="str">
        <f>IFERROR(__xludf.DUMMYFUNCTION("""COMPUTED_VALUE"""),"Gasali Khola SHP")</f>
        <v>Gasali Khola SHP</v>
      </c>
      <c r="C1099" s="2">
        <f>IFERROR(__xludf.DUMMYFUNCTION("""COMPUTED_VALUE"""),0.997)</f>
        <v>0.997</v>
      </c>
      <c r="D1099" s="2" t="str">
        <f>IFERROR(__xludf.DUMMYFUNCTION("""COMPUTED_VALUE"""),"Gasali")</f>
        <v>Gasali</v>
      </c>
      <c r="E1099" s="2">
        <f>IFERROR(__xludf.DUMMYFUNCTION("""COMPUTED_VALUE"""),4490.0)</f>
        <v>4490</v>
      </c>
      <c r="F1099" s="3">
        <f>IFERROR(__xludf.DUMMYFUNCTION("""COMPUTED_VALUE"""),60673.0)</f>
        <v>60673</v>
      </c>
      <c r="G1099" s="2" t="str">
        <f>IFERROR(__xludf.DUMMYFUNCTION("""COMPUTED_VALUE"""),"Man B. Tamang, Radhika Magar, Sher Bahadur Lama")</f>
        <v>Man B. Tamang, Radhika Magar, Sher Bahadur Lama</v>
      </c>
      <c r="H1099" s="2" t="str">
        <f>IFERROR(__xludf.DUMMYFUNCTION("""COMPUTED_VALUE"""),"Chhopark VDC-6, Gorkha")</f>
        <v>Chhopark VDC-6, Gorkha</v>
      </c>
      <c r="I1099" s="2" t="str">
        <f>IFERROR(__xludf.DUMMYFUNCTION("""COMPUTED_VALUE"""),"28o 04' 11""")</f>
        <v>28o 04' 11"</v>
      </c>
      <c r="J1099" s="2" t="str">
        <f>IFERROR(__xludf.DUMMYFUNCTION("""COMPUTED_VALUE"""),"28o 05' 48""")</f>
        <v>28o 05' 48"</v>
      </c>
      <c r="K1099" s="2" t="str">
        <f>IFERROR(__xludf.DUMMYFUNCTION("""COMPUTED_VALUE"""),"85o 00' 27""")</f>
        <v>85o 00' 27"</v>
      </c>
      <c r="L1099" s="2" t="str">
        <f>IFERROR(__xludf.DUMMYFUNCTION("""COMPUTED_VALUE"""),"85o 03' 40""")</f>
        <v>85o 03' 40"</v>
      </c>
      <c r="M1099" s="2" t="str">
        <f>IFERROR(__xludf.DUMMYFUNCTION("""COMPUTED_VALUE"""),"Jharlang (Dhading)")</f>
        <v>Jharlang (Dhading)</v>
      </c>
    </row>
    <row r="1100">
      <c r="A1100" s="2">
        <f>IFERROR(__xludf.DUMMYFUNCTION("""COMPUTED_VALUE"""),1099.0)</f>
        <v>1099</v>
      </c>
      <c r="B1100" s="2" t="str">
        <f>IFERROR(__xludf.DUMMYFUNCTION("""COMPUTED_VALUE"""),"Nane-Kitu Khola HPP")</f>
        <v>Nane-Kitu Khola HPP</v>
      </c>
      <c r="C1100" s="2">
        <f>IFERROR(__xludf.DUMMYFUNCTION("""COMPUTED_VALUE"""),4.0)</f>
        <v>4</v>
      </c>
      <c r="D1100" s="2" t="str">
        <f>IFERROR(__xludf.DUMMYFUNCTION("""COMPUTED_VALUE"""),"Nane")</f>
        <v>Nane</v>
      </c>
      <c r="E1100" s="2">
        <f>IFERROR(__xludf.DUMMYFUNCTION("""COMPUTED_VALUE"""),4500.0)</f>
        <v>4500</v>
      </c>
      <c r="F1100" s="3">
        <f>IFERROR(__xludf.DUMMYFUNCTION("""COMPUTED_VALUE"""),60673.0)</f>
        <v>60673</v>
      </c>
      <c r="G1100" s="2" t="str">
        <f>IFERROR(__xludf.DUMMYFUNCTION("""COMPUTED_VALUE"""),"Talbarahi Power Company Pvt Ltd")</f>
        <v>Talbarahi Power Company Pvt Ltd</v>
      </c>
      <c r="H1100" s="2" t="str">
        <f>IFERROR(__xludf.DUMMYFUNCTION("""COMPUTED_VALUE"""),"New Road, Pokhra Tel: 061-520618, 9856020266")</f>
        <v>New Road, Pokhra Tel: 061-520618, 9856020266</v>
      </c>
      <c r="I1100" s="2" t="str">
        <f>IFERROR(__xludf.DUMMYFUNCTION("""COMPUTED_VALUE"""),"28o 24' 00""")</f>
        <v>28o 24' 00"</v>
      </c>
      <c r="J1100" s="2" t="str">
        <f>IFERROR(__xludf.DUMMYFUNCTION("""COMPUTED_VALUE"""),"28o 25' 00""")</f>
        <v>28o 25' 00"</v>
      </c>
      <c r="K1100" s="2" t="str">
        <f>IFERROR(__xludf.DUMMYFUNCTION("""COMPUTED_VALUE"""),"83o 58' 20""")</f>
        <v>83o 58' 20"</v>
      </c>
      <c r="L1100" s="2" t="str">
        <f>IFERROR(__xludf.DUMMYFUNCTION("""COMPUTED_VALUE"""),"84o 00' 00""")</f>
        <v>84o 00' 00"</v>
      </c>
      <c r="M1100" s="2" t="str">
        <f>IFERROR(__xludf.DUMMYFUNCTION("""COMPUTED_VALUE"""),"Machhapuchchhre (Kaski)")</f>
        <v>Machhapuchchhre (Kaski)</v>
      </c>
    </row>
    <row r="1101">
      <c r="A1101" s="2">
        <f>IFERROR(__xludf.DUMMYFUNCTION("""COMPUTED_VALUE"""),1100.0)</f>
        <v>1100</v>
      </c>
      <c r="B1101" s="2" t="str">
        <f>IFERROR(__xludf.DUMMYFUNCTION("""COMPUTED_VALUE"""),"Lanhuwa Khola SHP")</f>
        <v>Lanhuwa Khola SHP</v>
      </c>
      <c r="C1101" s="2">
        <f>IFERROR(__xludf.DUMMYFUNCTION("""COMPUTED_VALUE"""),0.98)</f>
        <v>0.98</v>
      </c>
      <c r="D1101" s="2" t="str">
        <f>IFERROR(__xludf.DUMMYFUNCTION("""COMPUTED_VALUE"""),"Lankhuwa")</f>
        <v>Lankhuwa</v>
      </c>
      <c r="E1101" s="2">
        <f>IFERROR(__xludf.DUMMYFUNCTION("""COMPUTED_VALUE"""),4501.0)</f>
        <v>4501</v>
      </c>
      <c r="F1101" s="3">
        <f>IFERROR(__xludf.DUMMYFUNCTION("""COMPUTED_VALUE"""),60673.0)</f>
        <v>60673</v>
      </c>
      <c r="G1101" s="2" t="str">
        <f>IFERROR(__xludf.DUMMYFUNCTION("""COMPUTED_VALUE"""),"P.B. Tamang, Dipa Tamang, Navraj Shrestha, Binod Lama")</f>
        <v>P.B. Tamang, Dipa Tamang, Navraj Shrestha, Binod Lama</v>
      </c>
      <c r="H1101" s="2" t="str">
        <f>IFERROR(__xludf.DUMMYFUNCTION("""COMPUTED_VALUE"""),"Tel: 9851092521, 9841558333")</f>
        <v>Tel: 9851092521, 9841558333</v>
      </c>
      <c r="I1101" s="2" t="str">
        <f>IFERROR(__xludf.DUMMYFUNCTION("""COMPUTED_VALUE"""),"27o 25' 00""")</f>
        <v>27o 25' 00"</v>
      </c>
      <c r="J1101" s="2" t="str">
        <f>IFERROR(__xludf.DUMMYFUNCTION("""COMPUTED_VALUE"""),"27o 26' 29""")</f>
        <v>27o 26' 29"</v>
      </c>
      <c r="K1101" s="2" t="str">
        <f>IFERROR(__xludf.DUMMYFUNCTION("""COMPUTED_VALUE"""),"87o 15' 30""")</f>
        <v>87o 15' 30"</v>
      </c>
      <c r="L1101" s="2" t="str">
        <f>IFERROR(__xludf.DUMMYFUNCTION("""COMPUTED_VALUE"""),"87o 19' 30""")</f>
        <v>87o 19' 30"</v>
      </c>
      <c r="M1101" s="2" t="str">
        <f>IFERROR(__xludf.DUMMYFUNCTION("""COMPUTED_VALUE"""),"Dhupu (Sankhuwasabha)")</f>
        <v>Dhupu (Sankhuwasabha)</v>
      </c>
    </row>
    <row r="1102">
      <c r="A1102" s="2">
        <f>IFERROR(__xludf.DUMMYFUNCTION("""COMPUTED_VALUE"""),1101.0)</f>
        <v>1101</v>
      </c>
      <c r="B1102" s="2" t="str">
        <f>IFERROR(__xludf.DUMMYFUNCTION("""COMPUTED_VALUE"""),"Khewatham-Niwa HPP")</f>
        <v>Khewatham-Niwa HPP</v>
      </c>
      <c r="C1102" s="2">
        <f>IFERROR(__xludf.DUMMYFUNCTION("""COMPUTED_VALUE"""),6.2)</f>
        <v>6.2</v>
      </c>
      <c r="D1102" s="2" t="str">
        <f>IFERROR(__xludf.DUMMYFUNCTION("""COMPUTED_VALUE"""),"Niwa Khola")</f>
        <v>Niwa Khola</v>
      </c>
      <c r="E1102" s="2">
        <f>IFERROR(__xludf.DUMMYFUNCTION("""COMPUTED_VALUE"""),4506.0)</f>
        <v>4506</v>
      </c>
      <c r="F1102" s="3">
        <f>IFERROR(__xludf.DUMMYFUNCTION("""COMPUTED_VALUE"""),60673.0)</f>
        <v>60673</v>
      </c>
      <c r="G1102" s="2" t="str">
        <f>IFERROR(__xludf.DUMMYFUNCTION("""COMPUTED_VALUE"""),"Rambo Hydropower Company Pvt Ltd")</f>
        <v>Rambo Hydropower Company Pvt Ltd</v>
      </c>
      <c r="H1102" s="2" t="str">
        <f>IFERROR(__xludf.DUMMYFUNCTION("""COMPUTED_VALUE"""),"Kathmandu Metropolitan City-32 Ghattekulo House No. 8833 Tel: 477188")</f>
        <v>Kathmandu Metropolitan City-32 Ghattekulo House No. 8833 Tel: 477188</v>
      </c>
      <c r="I1102" s="2" t="str">
        <f>IFERROR(__xludf.DUMMYFUNCTION("""COMPUTED_VALUE"""),"27o 11' 00""")</f>
        <v>27o 11' 00"</v>
      </c>
      <c r="J1102" s="2" t="str">
        <f>IFERROR(__xludf.DUMMYFUNCTION("""COMPUTED_VALUE"""),"27o 12' 15""")</f>
        <v>27o 12' 15"</v>
      </c>
      <c r="K1102" s="2" t="str">
        <f>IFERROR(__xludf.DUMMYFUNCTION("""COMPUTED_VALUE"""),"87o 53' 09""")</f>
        <v>87o 53' 09"</v>
      </c>
      <c r="L1102" s="2" t="str">
        <f>IFERROR(__xludf.DUMMYFUNCTION("""COMPUTED_VALUE"""),"87o 55' 45""")</f>
        <v>87o 55' 45"</v>
      </c>
      <c r="M1102" s="2" t="str">
        <f>IFERROR(__xludf.DUMMYFUNCTION("""COMPUTED_VALUE"""),"Memeng,Ekteen (Panchthar)")</f>
        <v>Memeng,Ekteen (Panchthar)</v>
      </c>
    </row>
    <row r="1103">
      <c r="A1103" s="2">
        <f>IFERROR(__xludf.DUMMYFUNCTION("""COMPUTED_VALUE"""),1102.0)</f>
        <v>1102</v>
      </c>
      <c r="B1103" s="2" t="str">
        <f>IFERROR(__xludf.DUMMYFUNCTION("""COMPUTED_VALUE"""),"Chepe Khola HPP")</f>
        <v>Chepe Khola HPP</v>
      </c>
      <c r="C1103" s="2">
        <f>IFERROR(__xludf.DUMMYFUNCTION("""COMPUTED_VALUE"""),5.0)</f>
        <v>5</v>
      </c>
      <c r="D1103" s="2" t="str">
        <f>IFERROR(__xludf.DUMMYFUNCTION("""COMPUTED_VALUE"""),"Chepe Khola")</f>
        <v>Chepe Khola</v>
      </c>
      <c r="E1103" s="2">
        <f>IFERROR(__xludf.DUMMYFUNCTION("""COMPUTED_VALUE"""),4509.0)</f>
        <v>4509</v>
      </c>
      <c r="F1103" s="3">
        <f>IFERROR(__xludf.DUMMYFUNCTION("""COMPUTED_VALUE"""),60674.0)</f>
        <v>60674</v>
      </c>
      <c r="G1103" s="2" t="str">
        <f>IFERROR(__xludf.DUMMYFUNCTION("""COMPUTED_VALUE"""),"Tilak Bahadur Gautam")</f>
        <v>Tilak Bahadur Gautam</v>
      </c>
      <c r="H1103" s="2" t="str">
        <f>IFERROR(__xludf.DUMMYFUNCTION("""COMPUTED_VALUE"""),"Simpani VDC-9, Lamjung Tel: 8746000227")</f>
        <v>Simpani VDC-9, Lamjung Tel: 8746000227</v>
      </c>
      <c r="I1103" s="2" t="str">
        <f>IFERROR(__xludf.DUMMYFUNCTION("""COMPUTED_VALUE"""),"28o 08' 38""")</f>
        <v>28o 08' 38"</v>
      </c>
      <c r="J1103" s="2" t="str">
        <f>IFERROR(__xludf.DUMMYFUNCTION("""COMPUTED_VALUE"""),"28o 10' 23""")</f>
        <v>28o 10' 23"</v>
      </c>
      <c r="K1103" s="2" t="str">
        <f>IFERROR(__xludf.DUMMYFUNCTION("""COMPUTED_VALUE"""),"84o 35' 00""")</f>
        <v>84o 35' 00"</v>
      </c>
      <c r="L1103" s="2" t="str">
        <f>IFERROR(__xludf.DUMMYFUNCTION("""COMPUTED_VALUE"""),"84o 37' 20""")</f>
        <v>84o 37' 20"</v>
      </c>
      <c r="M1103" s="2" t="str">
        <f>IFERROR(__xludf.DUMMYFUNCTION("""COMPUTED_VALUE"""),"Ilampokhari (Lamjung)")</f>
        <v>Ilampokhari (Lamjung)</v>
      </c>
    </row>
    <row r="1104">
      <c r="A1104" s="2">
        <f>IFERROR(__xludf.DUMMYFUNCTION("""COMPUTED_VALUE"""),1103.0)</f>
        <v>1103</v>
      </c>
      <c r="B1104" s="2" t="str">
        <f>IFERROR(__xludf.DUMMYFUNCTION("""COMPUTED_VALUE"""),"Panah Khola SHP")</f>
        <v>Panah Khola SHP</v>
      </c>
      <c r="C1104" s="2">
        <f>IFERROR(__xludf.DUMMYFUNCTION("""COMPUTED_VALUE"""),0.99)</f>
        <v>0.99</v>
      </c>
      <c r="D1104" s="2" t="str">
        <f>IFERROR(__xludf.DUMMYFUNCTION("""COMPUTED_VALUE"""),"Panah Gad")</f>
        <v>Panah Gad</v>
      </c>
      <c r="E1104" s="2">
        <f>IFERROR(__xludf.DUMMYFUNCTION("""COMPUTED_VALUE"""),4515.0)</f>
        <v>4515</v>
      </c>
      <c r="F1104" s="3">
        <f>IFERROR(__xludf.DUMMYFUNCTION("""COMPUTED_VALUE"""),60674.0)</f>
        <v>60674</v>
      </c>
      <c r="G1104" s="2" t="str">
        <f>IFERROR(__xludf.DUMMYFUNCTION("""COMPUTED_VALUE"""),"Pradip Thapa Magar")</f>
        <v>Pradip Thapa Magar</v>
      </c>
      <c r="H1104" s="2" t="str">
        <f>IFERROR(__xludf.DUMMYFUNCTION("""COMPUTED_VALUE"""),"Hugdisir-8, Baglung")</f>
        <v>Hugdisir-8, Baglung</v>
      </c>
      <c r="I1104" s="2" t="str">
        <f>IFERROR(__xludf.DUMMYFUNCTION("""COMPUTED_VALUE"""),"28o 05' 22""")</f>
        <v>28o 05' 22"</v>
      </c>
      <c r="J1104" s="2" t="str">
        <f>IFERROR(__xludf.DUMMYFUNCTION("""COMPUTED_VALUE"""),"28o 05' 54""")</f>
        <v>28o 05' 54"</v>
      </c>
      <c r="K1104" s="2" t="str">
        <f>IFERROR(__xludf.DUMMYFUNCTION("""COMPUTED_VALUE"""),"83o 09' 54""")</f>
        <v>83o 09' 54"</v>
      </c>
      <c r="L1104" s="2" t="str">
        <f>IFERROR(__xludf.DUMMYFUNCTION("""COMPUTED_VALUE"""),"83o 11' 44""")</f>
        <v>83o 11' 44"</v>
      </c>
      <c r="M1104" s="2" t="str">
        <f>IFERROR(__xludf.DUMMYFUNCTION("""COMPUTED_VALUE"""),"Jaisithok,Ghurkot Nayagaun (Gulmi)")</f>
        <v>Jaisithok,Ghurkot Nayagaun (Gulmi)</v>
      </c>
    </row>
    <row r="1105">
      <c r="A1105" s="2">
        <f>IFERROR(__xludf.DUMMYFUNCTION("""COMPUTED_VALUE"""),1104.0)</f>
        <v>1104</v>
      </c>
      <c r="B1105" s="2" t="str">
        <f>IFERROR(__xludf.DUMMYFUNCTION("""COMPUTED_VALUE"""),"Chirkhuwa Khola SHP")</f>
        <v>Chirkhuwa Khola SHP</v>
      </c>
      <c r="C1105" s="2">
        <f>IFERROR(__xludf.DUMMYFUNCTION("""COMPUTED_VALUE"""),0.95)</f>
        <v>0.95</v>
      </c>
      <c r="D1105" s="2" t="str">
        <f>IFERROR(__xludf.DUMMYFUNCTION("""COMPUTED_VALUE"""),"Chirkhuwa")</f>
        <v>Chirkhuwa</v>
      </c>
      <c r="E1105" s="2">
        <f>IFERROR(__xludf.DUMMYFUNCTION("""COMPUTED_VALUE"""),4521.0)</f>
        <v>4521</v>
      </c>
      <c r="F1105" s="3">
        <f>IFERROR(__xludf.DUMMYFUNCTION("""COMPUTED_VALUE"""),60674.0)</f>
        <v>60674</v>
      </c>
      <c r="G1105" s="2" t="str">
        <f>IFERROR(__xludf.DUMMYFUNCTION("""COMPUTED_VALUE"""),"P.K. Gurung, D.B. Karki, Ganesh Budhathoki, Dipak Rai, S.L. Vaidya, K.N. 
Karki")</f>
        <v>P.K. Gurung, D.B. Karki, Ganesh Budhathoki, Dipak Rai, S.L. Vaidya, K.N. 
Karki</v>
      </c>
      <c r="H1105" s="2" t="str">
        <f>IFERROR(__xludf.DUMMYFUNCTION("""COMPUTED_VALUE"""),"Kulung VDC-1, Bhojpur")</f>
        <v>Kulung VDC-1, Bhojpur</v>
      </c>
      <c r="I1105" s="2" t="str">
        <f>IFERROR(__xludf.DUMMYFUNCTION("""COMPUTED_VALUE"""),"27o 20' 47""")</f>
        <v>27o 20' 47"</v>
      </c>
      <c r="J1105" s="2" t="str">
        <f>IFERROR(__xludf.DUMMYFUNCTION("""COMPUTED_VALUE"""),"27o 21' 37""")</f>
        <v>27o 21' 37"</v>
      </c>
      <c r="K1105" s="2" t="str">
        <f>IFERROR(__xludf.DUMMYFUNCTION("""COMPUTED_VALUE"""),"87o 03' 49""")</f>
        <v>87o 03' 49"</v>
      </c>
      <c r="L1105" s="2" t="str">
        <f>IFERROR(__xludf.DUMMYFUNCTION("""COMPUTED_VALUE"""),"87o 04' 44""")</f>
        <v>87o 04' 44"</v>
      </c>
      <c r="M1105" s="2" t="str">
        <f>IFERROR(__xludf.DUMMYFUNCTION("""COMPUTED_VALUE"""),"Khartimchcha (Bhojpur)")</f>
        <v>Khartimchcha (Bhojpur)</v>
      </c>
    </row>
    <row r="1106">
      <c r="A1106" s="2">
        <f>IFERROR(__xludf.DUMMYFUNCTION("""COMPUTED_VALUE"""),1105.0)</f>
        <v>1105</v>
      </c>
      <c r="B1106" s="2" t="str">
        <f>IFERROR(__xludf.DUMMYFUNCTION("""COMPUTED_VALUE"""),"Chhap Khola SHP")</f>
        <v>Chhap Khola SHP</v>
      </c>
      <c r="C1106" s="2">
        <f>IFERROR(__xludf.DUMMYFUNCTION("""COMPUTED_VALUE"""),0.6)</f>
        <v>0.6</v>
      </c>
      <c r="D1106" s="2" t="str">
        <f>IFERROR(__xludf.DUMMYFUNCTION("""COMPUTED_VALUE"""),"Chhap Khola")</f>
        <v>Chhap Khola</v>
      </c>
      <c r="E1106" s="2">
        <f>IFERROR(__xludf.DUMMYFUNCTION("""COMPUTED_VALUE"""),4537.0)</f>
        <v>4537</v>
      </c>
      <c r="F1106" s="3">
        <f>IFERROR(__xludf.DUMMYFUNCTION("""COMPUTED_VALUE"""),60675.0)</f>
        <v>60675</v>
      </c>
      <c r="G1106" s="2" t="str">
        <f>IFERROR(__xludf.DUMMYFUNCTION("""COMPUTED_VALUE"""),"A.B. Tamang, S.B. Lama , Muisung Tamang")</f>
        <v>A.B. Tamang, S.B. Lama , Muisung Tamang</v>
      </c>
      <c r="H1106" s="2" t="str">
        <f>IFERROR(__xludf.DUMMYFUNCTION("""COMPUTED_VALUE"""),"Satyadevi VDC, Dhading")</f>
        <v>Satyadevi VDC, Dhading</v>
      </c>
      <c r="I1106" s="2" t="str">
        <f>IFERROR(__xludf.DUMMYFUNCTION("""COMPUTED_VALUE"""),"28o 00' 00""")</f>
        <v>28o 00' 00"</v>
      </c>
      <c r="J1106" s="2" t="str">
        <f>IFERROR(__xludf.DUMMYFUNCTION("""COMPUTED_VALUE"""),"28o 01' 00""")</f>
        <v>28o 01' 00"</v>
      </c>
      <c r="K1106" s="2" t="str">
        <f>IFERROR(__xludf.DUMMYFUNCTION("""COMPUTED_VALUE"""),"85o 00' 45""")</f>
        <v>85o 00' 45"</v>
      </c>
      <c r="L1106" s="2" t="str">
        <f>IFERROR(__xludf.DUMMYFUNCTION("""COMPUTED_VALUE"""),"85o 02' 00""")</f>
        <v>85o 02' 00"</v>
      </c>
      <c r="M1106" s="2" t="str">
        <f>IFERROR(__xludf.DUMMYFUNCTION("""COMPUTED_VALUE"""),"Barsunchet (Nuwakot)")</f>
        <v>Barsunchet (Nuwakot)</v>
      </c>
    </row>
    <row r="1107">
      <c r="A1107" s="2">
        <f>IFERROR(__xludf.DUMMYFUNCTION("""COMPUTED_VALUE"""),1106.0)</f>
        <v>1106</v>
      </c>
      <c r="B1107" s="2" t="str">
        <f>IFERROR(__xludf.DUMMYFUNCTION("""COMPUTED_VALUE"""),"Kimtang Khola SHP")</f>
        <v>Kimtang Khola SHP</v>
      </c>
      <c r="C1107" s="2">
        <f>IFERROR(__xludf.DUMMYFUNCTION("""COMPUTED_VALUE"""),0.53)</f>
        <v>0.53</v>
      </c>
      <c r="D1107" s="2" t="str">
        <f>IFERROR(__xludf.DUMMYFUNCTION("""COMPUTED_VALUE"""),"Kintang Khola")</f>
        <v>Kintang Khola</v>
      </c>
      <c r="E1107" s="2">
        <f>IFERROR(__xludf.DUMMYFUNCTION("""COMPUTED_VALUE"""),4538.0)</f>
        <v>4538</v>
      </c>
      <c r="F1107" s="3">
        <f>IFERROR(__xludf.DUMMYFUNCTION("""COMPUTED_VALUE"""),60675.0)</f>
        <v>60675</v>
      </c>
      <c r="G1107" s="2" t="str">
        <f>IFERROR(__xludf.DUMMYFUNCTION("""COMPUTED_VALUE"""),"A.B. Tamang, S.B. Lama , Muisung Tamang")</f>
        <v>A.B. Tamang, S.B. Lama , Muisung Tamang</v>
      </c>
      <c r="H1107" s="2" t="str">
        <f>IFERROR(__xludf.DUMMYFUNCTION("""COMPUTED_VALUE"""),"Satyadevi VDC, Dhading")</f>
        <v>Satyadevi VDC, Dhading</v>
      </c>
      <c r="I1107" s="2" t="str">
        <f>IFERROR(__xludf.DUMMYFUNCTION("""COMPUTED_VALUE"""),"28o 01' 00""")</f>
        <v>28o 01' 00"</v>
      </c>
      <c r="J1107" s="2" t="str">
        <f>IFERROR(__xludf.DUMMYFUNCTION("""COMPUTED_VALUE"""),"28o 03' 30""")</f>
        <v>28o 03' 30"</v>
      </c>
      <c r="K1107" s="2" t="str">
        <f>IFERROR(__xludf.DUMMYFUNCTION("""COMPUTED_VALUE"""),"85o 01' 30""")</f>
        <v>85o 01' 30"</v>
      </c>
      <c r="L1107" s="2" t="str">
        <f>IFERROR(__xludf.DUMMYFUNCTION("""COMPUTED_VALUE"""),"85o 03' 30""")</f>
        <v>85o 03' 30"</v>
      </c>
      <c r="M1107" s="2" t="str">
        <f>IFERROR(__xludf.DUMMYFUNCTION("""COMPUTED_VALUE"""),"Satyadevi (Dhading)")</f>
        <v>Satyadevi (Dhading)</v>
      </c>
    </row>
    <row r="1108">
      <c r="A1108" s="2">
        <f>IFERROR(__xludf.DUMMYFUNCTION("""COMPUTED_VALUE"""),1107.0)</f>
        <v>1107</v>
      </c>
      <c r="B1108" s="2" t="str">
        <f>IFERROR(__xludf.DUMMYFUNCTION("""COMPUTED_VALUE"""),"Mala Gad SHP")</f>
        <v>Mala Gad SHP</v>
      </c>
      <c r="C1108" s="2">
        <f>IFERROR(__xludf.DUMMYFUNCTION("""COMPUTED_VALUE"""),0.99)</f>
        <v>0.99</v>
      </c>
      <c r="D1108" s="2" t="str">
        <f>IFERROR(__xludf.DUMMYFUNCTION("""COMPUTED_VALUE"""),"Mala Gad")</f>
        <v>Mala Gad</v>
      </c>
      <c r="E1108" s="2">
        <f>IFERROR(__xludf.DUMMYFUNCTION("""COMPUTED_VALUE"""),4543.0)</f>
        <v>4543</v>
      </c>
      <c r="F1108" s="3">
        <f>IFERROR(__xludf.DUMMYFUNCTION("""COMPUTED_VALUE"""),60675.0)</f>
        <v>60675</v>
      </c>
      <c r="G1108" s="2" t="str">
        <f>IFERROR(__xludf.DUMMYFUNCTION("""COMPUTED_VALUE"""),"Shree Prasad Upadhyaya")</f>
        <v>Shree Prasad Upadhyaya</v>
      </c>
      <c r="H1108" s="2" t="str">
        <f>IFERROR(__xludf.DUMMYFUNCTION("""COMPUTED_VALUE"""),"Kuldevmandu VDC-8 ,Bajura")</f>
        <v>Kuldevmandu VDC-8 ,Bajura</v>
      </c>
      <c r="I1108" s="2" t="str">
        <f>IFERROR(__xludf.DUMMYFUNCTION("""COMPUTED_VALUE"""),"29o 19' 40""")</f>
        <v>29o 19' 40"</v>
      </c>
      <c r="J1108" s="2" t="str">
        <f>IFERROR(__xludf.DUMMYFUNCTION("""COMPUTED_VALUE"""),"29o 20' 25""")</f>
        <v>29o 20' 25"</v>
      </c>
      <c r="K1108" s="2" t="str">
        <f>IFERROR(__xludf.DUMMYFUNCTION("""COMPUTED_VALUE"""),"81o 20' 30""")</f>
        <v>81o 20' 30"</v>
      </c>
      <c r="L1108" s="2" t="str">
        <f>IFERROR(__xludf.DUMMYFUNCTION("""COMPUTED_VALUE"""),"81o 25' 00""")</f>
        <v>81o 25' 00"</v>
      </c>
      <c r="M1108" s="2" t="str">
        <f>IFERROR(__xludf.DUMMYFUNCTION("""COMPUTED_VALUE"""),"Tolodewal,Kailashmandau (Bajura)")</f>
        <v>Tolodewal,Kailashmandau (Bajura)</v>
      </c>
    </row>
    <row r="1109">
      <c r="A1109" s="2">
        <f>IFERROR(__xludf.DUMMYFUNCTION("""COMPUTED_VALUE"""),1108.0)</f>
        <v>1108</v>
      </c>
      <c r="B1109" s="2" t="str">
        <f>IFERROR(__xludf.DUMMYFUNCTION("""COMPUTED_VALUE"""),"Samuha Gad SHP")</f>
        <v>Samuha Gad SHP</v>
      </c>
      <c r="C1109" s="2">
        <f>IFERROR(__xludf.DUMMYFUNCTION("""COMPUTED_VALUE"""),0.8)</f>
        <v>0.8</v>
      </c>
      <c r="D1109" s="2" t="str">
        <f>IFERROR(__xludf.DUMMYFUNCTION("""COMPUTED_VALUE"""),"Samuha Gad")</f>
        <v>Samuha Gad</v>
      </c>
      <c r="E1109" s="2">
        <f>IFERROR(__xludf.DUMMYFUNCTION("""COMPUTED_VALUE"""),4551.0)</f>
        <v>4551</v>
      </c>
      <c r="F1109" s="3">
        <f>IFERROR(__xludf.DUMMYFUNCTION("""COMPUTED_VALUE"""),60676.0)</f>
        <v>60676</v>
      </c>
      <c r="G1109" s="2" t="str">
        <f>IFERROR(__xludf.DUMMYFUNCTION("""COMPUTED_VALUE"""),"Himansu Singh")</f>
        <v>Himansu Singh</v>
      </c>
      <c r="H1109" s="2" t="str">
        <f>IFERROR(__xludf.DUMMYFUNCTION("""COMPUTED_VALUE"""),"Lamikhal VDC-3, Doti")</f>
        <v>Lamikhal VDC-3, Doti</v>
      </c>
      <c r="I1109" s="2" t="str">
        <f>IFERROR(__xludf.DUMMYFUNCTION("""COMPUTED_VALUE"""),"29o 10' 00""")</f>
        <v>29o 10' 00"</v>
      </c>
      <c r="J1109" s="2" t="str">
        <f>IFERROR(__xludf.DUMMYFUNCTION("""COMPUTED_VALUE"""),"29o 11' 43""")</f>
        <v>29o 11' 43"</v>
      </c>
      <c r="K1109" s="2" t="str">
        <f>IFERROR(__xludf.DUMMYFUNCTION("""COMPUTED_VALUE"""),"80o 54' 26""")</f>
        <v>80o 54' 26"</v>
      </c>
      <c r="L1109" s="2" t="str">
        <f>IFERROR(__xludf.DUMMYFUNCTION("""COMPUTED_VALUE"""),"80o 55' 16""")</f>
        <v>80o 55' 16"</v>
      </c>
      <c r="M1109" s="2" t="str">
        <f>IFERROR(__xludf.DUMMYFUNCTION("""COMPUTED_VALUE"""),"Kapalleki (Doti)")</f>
        <v>Kapalleki (Doti)</v>
      </c>
    </row>
    <row r="1110">
      <c r="A1110" s="2">
        <f>IFERROR(__xludf.DUMMYFUNCTION("""COMPUTED_VALUE"""),1109.0)</f>
        <v>1109</v>
      </c>
      <c r="B1110" s="2" t="str">
        <f>IFERROR(__xludf.DUMMYFUNCTION("""COMPUTED_VALUE"""),"Siwa Khola SHP")</f>
        <v>Siwa Khola SHP</v>
      </c>
      <c r="C1110" s="2">
        <f>IFERROR(__xludf.DUMMYFUNCTION("""COMPUTED_VALUE"""),0.5)</f>
        <v>0.5</v>
      </c>
      <c r="D1110" s="2" t="str">
        <f>IFERROR(__xludf.DUMMYFUNCTION("""COMPUTED_VALUE"""),"Siwa Khola")</f>
        <v>Siwa Khola</v>
      </c>
      <c r="E1110" s="2">
        <f>IFERROR(__xludf.DUMMYFUNCTION("""COMPUTED_VALUE"""),4552.0)</f>
        <v>4552</v>
      </c>
      <c r="F1110" s="3">
        <f>IFERROR(__xludf.DUMMYFUNCTION("""COMPUTED_VALUE"""),60676.0)</f>
        <v>60676</v>
      </c>
      <c r="G1110" s="2" t="str">
        <f>IFERROR(__xludf.DUMMYFUNCTION("""COMPUTED_VALUE"""),"Pritam Kala Gurung")</f>
        <v>Pritam Kala Gurung</v>
      </c>
      <c r="H1110" s="2" t="str">
        <f>IFERROR(__xludf.DUMMYFUNCTION("""COMPUTED_VALUE"""),"Maimjhuwa VDC-7, Ilam")</f>
        <v>Maimjhuwa VDC-7, Ilam</v>
      </c>
      <c r="I1110" s="2" t="str">
        <f>IFERROR(__xludf.DUMMYFUNCTION("""COMPUTED_VALUE"""),"27o 07' 47""")</f>
        <v>27o 07' 47"</v>
      </c>
      <c r="J1110" s="2" t="str">
        <f>IFERROR(__xludf.DUMMYFUNCTION("""COMPUTED_VALUE"""),"27o 08' 10""")</f>
        <v>27o 08' 10"</v>
      </c>
      <c r="K1110" s="2" t="str">
        <f>IFERROR(__xludf.DUMMYFUNCTION("""COMPUTED_VALUE"""),"87o 41' 55""")</f>
        <v>87o 41' 55"</v>
      </c>
      <c r="L1110" s="2" t="str">
        <f>IFERROR(__xludf.DUMMYFUNCTION("""COMPUTED_VALUE"""),"87o 43' 03""")</f>
        <v>87o 43' 03"</v>
      </c>
      <c r="M1110" s="2" t="str">
        <f>IFERROR(__xludf.DUMMYFUNCTION("""COMPUTED_VALUE"""),"Phidim (Panchthar)")</f>
        <v>Phidim (Panchthar)</v>
      </c>
    </row>
    <row r="1111">
      <c r="A1111" s="2">
        <f>IFERROR(__xludf.DUMMYFUNCTION("""COMPUTED_VALUE"""),1110.0)</f>
        <v>1110</v>
      </c>
      <c r="B1111" s="2" t="str">
        <f>IFERROR(__xludf.DUMMYFUNCTION("""COMPUTED_VALUE"""),"Samuha Gad")</f>
        <v>Samuha Gad</v>
      </c>
      <c r="C1111" s="2">
        <f>IFERROR(__xludf.DUMMYFUNCTION("""COMPUTED_VALUE"""),0.9)</f>
        <v>0.9</v>
      </c>
      <c r="D1111" s="2" t="str">
        <f>IFERROR(__xludf.DUMMYFUNCTION("""COMPUTED_VALUE"""),"Samuha Gad")</f>
        <v>Samuha Gad</v>
      </c>
      <c r="E1111" s="2">
        <f>IFERROR(__xludf.DUMMYFUNCTION("""COMPUTED_VALUE"""),4553.0)</f>
        <v>4553</v>
      </c>
      <c r="F1111" s="3">
        <f>IFERROR(__xludf.DUMMYFUNCTION("""COMPUTED_VALUE"""),60676.0)</f>
        <v>60676</v>
      </c>
      <c r="G1111" s="2" t="str">
        <f>IFERROR(__xludf.DUMMYFUNCTION("""COMPUTED_VALUE"""),"Pioneer Architect &amp; Conulting Engineers P. Ltd.")</f>
        <v>Pioneer Architect &amp; Conulting Engineers P. Ltd.</v>
      </c>
      <c r="H1111" s="2">
        <f>IFERROR(__xludf.DUMMYFUNCTION("""COMPUTED_VALUE"""),5549954.0)</f>
        <v>5549954</v>
      </c>
      <c r="I1111" s="2" t="str">
        <f>IFERROR(__xludf.DUMMYFUNCTION("""COMPUTED_VALUE"""),"29o 12' 49""")</f>
        <v>29o 12' 49"</v>
      </c>
      <c r="J1111" s="2" t="str">
        <f>IFERROR(__xludf.DUMMYFUNCTION("""COMPUTED_VALUE"""),"29o 15' 00""")</f>
        <v>29o 15' 00"</v>
      </c>
      <c r="K1111" s="2" t="str">
        <f>IFERROR(__xludf.DUMMYFUNCTION("""COMPUTED_VALUE"""),"80o 54' 25""")</f>
        <v>80o 54' 25"</v>
      </c>
      <c r="L1111" s="2" t="str">
        <f>IFERROR(__xludf.DUMMYFUNCTION("""COMPUTED_VALUE"""),"80o 56' 16""")</f>
        <v>80o 56' 16"</v>
      </c>
      <c r="M1111" s="2" t="str">
        <f>IFERROR(__xludf.DUMMYFUNCTION("""COMPUTED_VALUE"""),"Kapalleki (Doti)")</f>
        <v>Kapalleki (Doti)</v>
      </c>
    </row>
    <row r="1112">
      <c r="A1112" s="2">
        <f>IFERROR(__xludf.DUMMYFUNCTION("""COMPUTED_VALUE"""),1111.0)</f>
        <v>1111</v>
      </c>
      <c r="B1112" s="2" t="str">
        <f>IFERROR(__xludf.DUMMYFUNCTION("""COMPUTED_VALUE"""),"Rigdi Khola")</f>
        <v>Rigdi Khola</v>
      </c>
      <c r="C1112" s="2">
        <f>IFERROR(__xludf.DUMMYFUNCTION("""COMPUTED_VALUE"""),0.532)</f>
        <v>0.532</v>
      </c>
      <c r="D1112" s="2" t="str">
        <f>IFERROR(__xludf.DUMMYFUNCTION("""COMPUTED_VALUE"""),"Rigdi")</f>
        <v>Rigdi</v>
      </c>
      <c r="E1112" s="2">
        <f>IFERROR(__xludf.DUMMYFUNCTION("""COMPUTED_VALUE"""),4591.0)</f>
        <v>4591</v>
      </c>
      <c r="F1112" s="3">
        <f>IFERROR(__xludf.DUMMYFUNCTION("""COMPUTED_VALUE"""),60677.0)</f>
        <v>60677</v>
      </c>
      <c r="G1112" s="2" t="str">
        <f>IFERROR(__xludf.DUMMYFUNCTION("""COMPUTED_VALUE"""),"Allianc Imporium P. Ltd.")</f>
        <v>Allianc Imporium P. Ltd.</v>
      </c>
      <c r="H1112" s="2"/>
      <c r="I1112" s="2" t="str">
        <f>IFERROR(__xludf.DUMMYFUNCTION("""COMPUTED_VALUE"""),"27o 48' 23""")</f>
        <v>27o 48' 23"</v>
      </c>
      <c r="J1112" s="2" t="str">
        <f>IFERROR(__xludf.DUMMYFUNCTION("""COMPUTED_VALUE"""),"27o 49' 16""")</f>
        <v>27o 49' 16"</v>
      </c>
      <c r="K1112" s="2" t="str">
        <f>IFERROR(__xludf.DUMMYFUNCTION("""COMPUTED_VALUE"""),"84o 29' 50""")</f>
        <v>84o 29' 50"</v>
      </c>
      <c r="L1112" s="2" t="str">
        <f>IFERROR(__xludf.DUMMYFUNCTION("""COMPUTED_VALUE"""),"84o 30' 30""")</f>
        <v>84o 30' 30"</v>
      </c>
      <c r="M1112" s="2" t="str">
        <f>IFERROR(__xludf.DUMMYFUNCTION("""COMPUTED_VALUE"""),"Chandi Bhanjyang (Chitawan)")</f>
        <v>Chandi Bhanjyang (Chitawan)</v>
      </c>
    </row>
    <row r="1113">
      <c r="A1113" s="2">
        <f>IFERROR(__xludf.DUMMYFUNCTION("""COMPUTED_VALUE"""),1112.0)</f>
        <v>1112</v>
      </c>
      <c r="B1113" s="2" t="str">
        <f>IFERROR(__xludf.DUMMYFUNCTION("""COMPUTED_VALUE"""),"Sardewa Khola")</f>
        <v>Sardewa Khola</v>
      </c>
      <c r="C1113" s="2">
        <f>IFERROR(__xludf.DUMMYFUNCTION("""COMPUTED_VALUE"""),0.648)</f>
        <v>0.648</v>
      </c>
      <c r="D1113" s="2" t="str">
        <f>IFERROR(__xludf.DUMMYFUNCTION("""COMPUTED_VALUE"""),"Sardewa")</f>
        <v>Sardewa</v>
      </c>
      <c r="E1113" s="2">
        <f>IFERROR(__xludf.DUMMYFUNCTION("""COMPUTED_VALUE"""),4601.0)</f>
        <v>4601</v>
      </c>
      <c r="F1113" s="3">
        <f>IFERROR(__xludf.DUMMYFUNCTION("""COMPUTED_VALUE"""),60680.0)</f>
        <v>60680</v>
      </c>
      <c r="G1113" s="2" t="str">
        <f>IFERROR(__xludf.DUMMYFUNCTION("""COMPUTED_VALUE"""),"Yangya Prasad Pokhrel &amp; others")</f>
        <v>Yangya Prasad Pokhrel &amp; others</v>
      </c>
      <c r="H1113" s="2"/>
      <c r="I1113" s="2" t="str">
        <f>IFERROR(__xludf.DUMMYFUNCTION("""COMPUTED_VALUE"""),"27o 55' 20""")</f>
        <v>27o 55' 20"</v>
      </c>
      <c r="J1113" s="2" t="str">
        <f>IFERROR(__xludf.DUMMYFUNCTION("""COMPUTED_VALUE"""),"27o 56' 30""")</f>
        <v>27o 56' 30"</v>
      </c>
      <c r="K1113" s="2" t="str">
        <f>IFERROR(__xludf.DUMMYFUNCTION("""COMPUTED_VALUE"""),"83o 23' 55""")</f>
        <v>83o 23' 55"</v>
      </c>
      <c r="L1113" s="2" t="str">
        <f>IFERROR(__xludf.DUMMYFUNCTION("""COMPUTED_VALUE"""),"83o 23' 59""")</f>
        <v>83o 23' 59"</v>
      </c>
      <c r="M1113" s="2" t="str">
        <f>IFERROR(__xludf.DUMMYFUNCTION("""COMPUTED_VALUE"""),"Somadi (Palpa)")</f>
        <v>Somadi (Palpa)</v>
      </c>
    </row>
    <row r="1114">
      <c r="A1114" s="2">
        <f>IFERROR(__xludf.DUMMYFUNCTION("""COMPUTED_VALUE"""),1113.0)</f>
        <v>1113</v>
      </c>
      <c r="B1114" s="2" t="str">
        <f>IFERROR(__xludf.DUMMYFUNCTION("""COMPUTED_VALUE"""),"Leguwa Khola SHP")</f>
        <v>Leguwa Khola SHP</v>
      </c>
      <c r="C1114" s="2">
        <f>IFERROR(__xludf.DUMMYFUNCTION("""COMPUTED_VALUE"""),0.7)</f>
        <v>0.7</v>
      </c>
      <c r="D1114" s="2" t="str">
        <f>IFERROR(__xludf.DUMMYFUNCTION("""COMPUTED_VALUE"""),"Leguwa")</f>
        <v>Leguwa</v>
      </c>
      <c r="E1114" s="2">
        <f>IFERROR(__xludf.DUMMYFUNCTION("""COMPUTED_VALUE"""),4609.0)</f>
        <v>4609</v>
      </c>
      <c r="F1114" s="3">
        <f>IFERROR(__xludf.DUMMYFUNCTION("""COMPUTED_VALUE"""),60680.0)</f>
        <v>60680</v>
      </c>
      <c r="G1114" s="2" t="str">
        <f>IFERROR(__xludf.DUMMYFUNCTION("""COMPUTED_VALUE"""),"Gramin Bidhyut Sahakari Sanstha Ltd.")</f>
        <v>Gramin Bidhyut Sahakari Sanstha Ltd.</v>
      </c>
      <c r="H1114" s="2">
        <f>IFERROR(__xludf.DUMMYFUNCTION("""COMPUTED_VALUE"""),9.742005171E9)</f>
        <v>9742005171</v>
      </c>
      <c r="I1114" s="2" t="str">
        <f>IFERROR(__xludf.DUMMYFUNCTION("""COMPUTED_VALUE"""),"27o 08' 00""")</f>
        <v>27o 08' 00"</v>
      </c>
      <c r="J1114" s="2" t="str">
        <f>IFERROR(__xludf.DUMMYFUNCTION("""COMPUTED_VALUE"""),"27o 09' 30""")</f>
        <v>27o 09' 30"</v>
      </c>
      <c r="K1114" s="2" t="str">
        <f>IFERROR(__xludf.DUMMYFUNCTION("""COMPUTED_VALUE"""),"27o 19' 30""")</f>
        <v>27o 19' 30"</v>
      </c>
      <c r="L1114" s="2" t="str">
        <f>IFERROR(__xludf.DUMMYFUNCTION("""COMPUTED_VALUE"""),"27o 21' 00""")</f>
        <v>27o 21' 00"</v>
      </c>
      <c r="M1114" s="2" t="str">
        <f>IFERROR(__xludf.DUMMYFUNCTION("""COMPUTED_VALUE"""),"Marek Kataharl (Dhankuta)")</f>
        <v>Marek Kataharl (Dhankuta)</v>
      </c>
    </row>
    <row r="1115">
      <c r="A1115" s="2">
        <f>IFERROR(__xludf.DUMMYFUNCTION("""COMPUTED_VALUE"""),1114.0)</f>
        <v>1114</v>
      </c>
      <c r="B1115" s="2" t="str">
        <f>IFERROR(__xludf.DUMMYFUNCTION("""COMPUTED_VALUE"""),"Dudhkosi Khotang HPP")</f>
        <v>Dudhkosi Khotang HPP</v>
      </c>
      <c r="C1115" s="2">
        <f>IFERROR(__xludf.DUMMYFUNCTION("""COMPUTED_VALUE"""),300.0)</f>
        <v>300</v>
      </c>
      <c r="D1115" s="2" t="str">
        <f>IFERROR(__xludf.DUMMYFUNCTION("""COMPUTED_VALUE"""),"Dudh koshi")</f>
        <v>Dudh koshi</v>
      </c>
      <c r="E1115" s="2">
        <f>IFERROR(__xludf.DUMMYFUNCTION("""COMPUTED_VALUE"""),4615.0)</f>
        <v>4615</v>
      </c>
      <c r="F1115" s="3">
        <f>IFERROR(__xludf.DUMMYFUNCTION("""COMPUTED_VALUE"""),60682.0)</f>
        <v>60682</v>
      </c>
      <c r="G1115" s="2" t="str">
        <f>IFERROR(__xludf.DUMMYFUNCTION("""COMPUTED_VALUE"""),"AES India Pvt Ltd and CG Energy Infrastructure Pvt Ltd")</f>
        <v>AES India Pvt Ltd and CG Energy Infrastructure Pvt Ltd</v>
      </c>
      <c r="H1115" s="2" t="str">
        <f>IFERROR(__xludf.DUMMYFUNCTION("""COMPUTED_VALUE"""),"Chaudhri House Sanepa-2, Lalitpur , GPO Box: 1073, Kathmandu")</f>
        <v>Chaudhri House Sanepa-2, Lalitpur , GPO Box: 1073, Kathmandu</v>
      </c>
      <c r="I1115" s="2" t="str">
        <f>IFERROR(__xludf.DUMMYFUNCTION("""COMPUTED_VALUE"""),"27o 05' 00""")</f>
        <v>27o 05' 00"</v>
      </c>
      <c r="J1115" s="2" t="str">
        <f>IFERROR(__xludf.DUMMYFUNCTION("""COMPUTED_VALUE"""),"27o 20' 00""")</f>
        <v>27o 20' 00"</v>
      </c>
      <c r="K1115" s="2" t="str">
        <f>IFERROR(__xludf.DUMMYFUNCTION("""COMPUTED_VALUE"""),"86o 37' 04""")</f>
        <v>86o 37' 04"</v>
      </c>
      <c r="L1115" s="2" t="str">
        <f>IFERROR(__xludf.DUMMYFUNCTION("""COMPUTED_VALUE"""),"86o 43' 45""")</f>
        <v>86o 43' 45"</v>
      </c>
      <c r="M1115" s="2" t="str">
        <f>IFERROR(__xludf.DUMMYFUNCTION("""COMPUTED_VALUE"""),"Durchhim,Lamidada (Khotang)")</f>
        <v>Durchhim,Lamidada (Khotang)</v>
      </c>
    </row>
    <row r="1116">
      <c r="A1116" s="2">
        <f>IFERROR(__xludf.DUMMYFUNCTION("""COMPUTED_VALUE"""),1115.0)</f>
        <v>1115</v>
      </c>
      <c r="B1116" s="2" t="str">
        <f>IFERROR(__xludf.DUMMYFUNCTION("""COMPUTED_VALUE"""),"Humla Karnali-B HPP")</f>
        <v>Humla Karnali-B HPP</v>
      </c>
      <c r="C1116" s="2">
        <f>IFERROR(__xludf.DUMMYFUNCTION("""COMPUTED_VALUE"""),20.0)</f>
        <v>20</v>
      </c>
      <c r="D1116" s="2" t="str">
        <f>IFERROR(__xludf.DUMMYFUNCTION("""COMPUTED_VALUE"""),"Humla Karnali")</f>
        <v>Humla Karnali</v>
      </c>
      <c r="E1116" s="2">
        <f>IFERROR(__xludf.DUMMYFUNCTION("""COMPUTED_VALUE"""),4622.0)</f>
        <v>4622</v>
      </c>
      <c r="F1116" s="3">
        <f>IFERROR(__xludf.DUMMYFUNCTION("""COMPUTED_VALUE"""),60682.0)</f>
        <v>60682</v>
      </c>
      <c r="G1116" s="2" t="str">
        <f>IFERROR(__xludf.DUMMYFUNCTION("""COMPUTED_VALUE"""),"Ganga Hydropower Pvt Ltd")</f>
        <v>Ganga Hydropower Pvt Ltd</v>
      </c>
      <c r="H1116" s="2" t="str">
        <f>IFERROR(__xludf.DUMMYFUNCTION("""COMPUTED_VALUE"""),"229, Madhyamarg, Budhanagar, Kathmandu Tel : 9741175785")</f>
        <v>229, Madhyamarg, Budhanagar, Kathmandu Tel : 9741175785</v>
      </c>
      <c r="I1116" s="2" t="str">
        <f>IFERROR(__xludf.DUMMYFUNCTION("""COMPUTED_VALUE"""),"29o 57' 00""")</f>
        <v>29o 57' 00"</v>
      </c>
      <c r="J1116" s="2" t="str">
        <f>IFERROR(__xludf.DUMMYFUNCTION("""COMPUTED_VALUE"""),"30o 00' 00""")</f>
        <v>30o 00' 00"</v>
      </c>
      <c r="K1116" s="2" t="str">
        <f>IFERROR(__xludf.DUMMYFUNCTION("""COMPUTED_VALUE"""),"81o 45' 00""")</f>
        <v>81o 45' 00"</v>
      </c>
      <c r="L1116" s="2" t="str">
        <f>IFERROR(__xludf.DUMMYFUNCTION("""COMPUTED_VALUE"""),"81o 51' 00""")</f>
        <v>81o 51' 00"</v>
      </c>
      <c r="M1116" s="2" t="str">
        <f>IFERROR(__xludf.DUMMYFUNCTION("""COMPUTED_VALUE"""),"Syada,Simikot,Dandafaya (Humla)")</f>
        <v>Syada,Simikot,Dandafaya (Humla)</v>
      </c>
    </row>
    <row r="1117">
      <c r="A1117" s="2">
        <f>IFERROR(__xludf.DUMMYFUNCTION("""COMPUTED_VALUE"""),1116.0)</f>
        <v>1116</v>
      </c>
      <c r="B1117" s="2" t="str">
        <f>IFERROR(__xludf.DUMMYFUNCTION("""COMPUTED_VALUE"""),"Upper Chuwa HPP")</f>
        <v>Upper Chuwa HPP</v>
      </c>
      <c r="C1117" s="2">
        <f>IFERROR(__xludf.DUMMYFUNCTION("""COMPUTED_VALUE"""),10.0)</f>
        <v>10</v>
      </c>
      <c r="D1117" s="2" t="str">
        <f>IFERROR(__xludf.DUMMYFUNCTION("""COMPUTED_VALUE"""),"Chuwa Khola")</f>
        <v>Chuwa Khola</v>
      </c>
      <c r="E1117" s="2">
        <f>IFERROR(__xludf.DUMMYFUNCTION("""COMPUTED_VALUE"""),4623.0)</f>
        <v>4623</v>
      </c>
      <c r="F1117" s="3">
        <f>IFERROR(__xludf.DUMMYFUNCTION("""COMPUTED_VALUE"""),60682.0)</f>
        <v>60682</v>
      </c>
      <c r="G1117" s="2" t="str">
        <f>IFERROR(__xludf.DUMMYFUNCTION("""COMPUTED_VALUE"""),"Him Parvat Karnali Hydropower Pvt Ltd")</f>
        <v>Him Parvat Karnali Hydropower Pvt Ltd</v>
      </c>
      <c r="H1117" s="2" t="str">
        <f>IFERROR(__xludf.DUMMYFUNCTION("""COMPUTED_VALUE"""),"House No. 215, Nakhipot, Lalitpur, Tel: 9741175785")</f>
        <v>House No. 215, Nakhipot, Lalitpur, Tel: 9741175785</v>
      </c>
      <c r="I1117" s="2" t="str">
        <f>IFERROR(__xludf.DUMMYFUNCTION("""COMPUTED_VALUE"""),"29o 56' 45""")</f>
        <v>29o 56' 45"</v>
      </c>
      <c r="J1117" s="2" t="str">
        <f>IFERROR(__xludf.DUMMYFUNCTION("""COMPUTED_VALUE"""),"29o 58' 54""")</f>
        <v>29o 58' 54"</v>
      </c>
      <c r="K1117" s="2" t="str">
        <f>IFERROR(__xludf.DUMMYFUNCTION("""COMPUTED_VALUE"""),"81o 55' 46""")</f>
        <v>81o 55' 46"</v>
      </c>
      <c r="L1117" s="2" t="str">
        <f>IFERROR(__xludf.DUMMYFUNCTION("""COMPUTED_VALUE"""),"81o 59' 00""")</f>
        <v>81o 59' 00"</v>
      </c>
      <c r="M1117" s="2" t="str">
        <f>IFERROR(__xludf.DUMMYFUNCTION("""COMPUTED_VALUE"""),"Kharpunath (Humla)")</f>
        <v>Kharpunath (Humla)</v>
      </c>
    </row>
    <row r="1118">
      <c r="A1118" s="2">
        <f>IFERROR(__xludf.DUMMYFUNCTION("""COMPUTED_VALUE"""),1117.0)</f>
        <v>1117</v>
      </c>
      <c r="B1118" s="2" t="str">
        <f>IFERROR(__xludf.DUMMYFUNCTION("""COMPUTED_VALUE"""),"Gothi Khola HPP")</f>
        <v>Gothi Khola HPP</v>
      </c>
      <c r="C1118" s="2">
        <f>IFERROR(__xludf.DUMMYFUNCTION("""COMPUTED_VALUE"""),10.0)</f>
        <v>10</v>
      </c>
      <c r="D1118" s="2" t="str">
        <f>IFERROR(__xludf.DUMMYFUNCTION("""COMPUTED_VALUE"""),"Gothi")</f>
        <v>Gothi</v>
      </c>
      <c r="E1118" s="2">
        <f>IFERROR(__xludf.DUMMYFUNCTION("""COMPUTED_VALUE"""),4624.0)</f>
        <v>4624</v>
      </c>
      <c r="F1118" s="3">
        <f>IFERROR(__xludf.DUMMYFUNCTION("""COMPUTED_VALUE"""),60682.0)</f>
        <v>60682</v>
      </c>
      <c r="G1118" s="2" t="str">
        <f>IFERROR(__xludf.DUMMYFUNCTION("""COMPUTED_VALUE"""),"Him Parvat Karnali Hydropower Pvt Ltd")</f>
        <v>Him Parvat Karnali Hydropower Pvt Ltd</v>
      </c>
      <c r="H1118" s="2" t="str">
        <f>IFERROR(__xludf.DUMMYFUNCTION("""COMPUTED_VALUE"""),"House No. 215, Nakhipot, Lalitpur, Tel: 9741175785")</f>
        <v>House No. 215, Nakhipot, Lalitpur, Tel: 9741175785</v>
      </c>
      <c r="I1118" s="2" t="str">
        <f>IFERROR(__xludf.DUMMYFUNCTION("""COMPUTED_VALUE"""),"29o 46' 28""")</f>
        <v>29o 46' 28"</v>
      </c>
      <c r="J1118" s="2" t="str">
        <f>IFERROR(__xludf.DUMMYFUNCTION("""COMPUTED_VALUE"""),"29o 50' 48""")</f>
        <v>29o 50' 48"</v>
      </c>
      <c r="K1118" s="2" t="str">
        <f>IFERROR(__xludf.DUMMYFUNCTION("""COMPUTED_VALUE"""),"81o 56' 33""")</f>
        <v>81o 56' 33"</v>
      </c>
      <c r="L1118" s="2" t="str">
        <f>IFERROR(__xludf.DUMMYFUNCTION("""COMPUTED_VALUE"""),"81o 59' 00""")</f>
        <v>81o 59' 00"</v>
      </c>
      <c r="M1118" s="2" t="str">
        <f>IFERROR(__xludf.DUMMYFUNCTION("""COMPUTED_VALUE"""),"Gothi,Saya(Sama),Rodikot (Humla)")</f>
        <v>Gothi,Saya(Sama),Rodikot (Humla)</v>
      </c>
    </row>
    <row r="1119">
      <c r="A1119" s="2">
        <f>IFERROR(__xludf.DUMMYFUNCTION("""COMPUTED_VALUE"""),1118.0)</f>
        <v>1118</v>
      </c>
      <c r="B1119" s="2" t="str">
        <f>IFERROR(__xludf.DUMMYFUNCTION("""COMPUTED_VALUE"""),"West Seti HPP")</f>
        <v>West Seti HPP</v>
      </c>
      <c r="C1119" s="2">
        <f>IFERROR(__xludf.DUMMYFUNCTION("""COMPUTED_VALUE"""),60.0)</f>
        <v>60</v>
      </c>
      <c r="D1119" s="2" t="str">
        <f>IFERROR(__xludf.DUMMYFUNCTION("""COMPUTED_VALUE"""),"West Seti")</f>
        <v>West Seti</v>
      </c>
      <c r="E1119" s="2">
        <f>IFERROR(__xludf.DUMMYFUNCTION("""COMPUTED_VALUE"""),4629.0)</f>
        <v>4629</v>
      </c>
      <c r="F1119" s="3">
        <f>IFERROR(__xludf.DUMMYFUNCTION("""COMPUTED_VALUE"""),60682.0)</f>
        <v>60682</v>
      </c>
      <c r="G1119" s="2" t="str">
        <f>IFERROR(__xludf.DUMMYFUNCTION("""COMPUTED_VALUE"""),"Square Star Inc.")</f>
        <v>Square Star Inc.</v>
      </c>
      <c r="H1119" s="2" t="str">
        <f>IFERROR(__xludf.DUMMYFUNCTION("""COMPUTED_VALUE"""),"Transnet Chambers, P.O.Box: 3444, Road Town, Tortola, British Virgin Island")</f>
        <v>Transnet Chambers, P.O.Box: 3444, Road Town, Tortola, British Virgin Island</v>
      </c>
      <c r="I1119" s="2" t="str">
        <f>IFERROR(__xludf.DUMMYFUNCTION("""COMPUTED_VALUE"""),"29o 37' 00""")</f>
        <v>29o 37' 00"</v>
      </c>
      <c r="J1119" s="2" t="str">
        <f>IFERROR(__xludf.DUMMYFUNCTION("""COMPUTED_VALUE"""),"29o 45' 00""")</f>
        <v>29o 45' 00"</v>
      </c>
      <c r="K1119" s="2" t="str">
        <f>IFERROR(__xludf.DUMMYFUNCTION("""COMPUTED_VALUE"""),"81o 15' 00""")</f>
        <v>81o 15' 00"</v>
      </c>
      <c r="L1119" s="2" t="str">
        <f>IFERROR(__xludf.DUMMYFUNCTION("""COMPUTED_VALUE"""),"82o 23' 00""")</f>
        <v>82o 23' 00"</v>
      </c>
      <c r="M1119" s="2" t="str">
        <f>IFERROR(__xludf.DUMMYFUNCTION("""COMPUTED_VALUE"""),"Banjh (Bajhang)")</f>
        <v>Banjh (Bajhang)</v>
      </c>
    </row>
    <row r="1120">
      <c r="A1120" s="2">
        <f>IFERROR(__xludf.DUMMYFUNCTION("""COMPUTED_VALUE"""),1119.0)</f>
        <v>1119</v>
      </c>
      <c r="B1120" s="2" t="str">
        <f>IFERROR(__xludf.DUMMYFUNCTION("""COMPUTED_VALUE"""),"Toj Khola SHP")</f>
        <v>Toj Khola SHP</v>
      </c>
      <c r="C1120" s="2">
        <f>IFERROR(__xludf.DUMMYFUNCTION("""COMPUTED_VALUE"""),0.99)</f>
        <v>0.99</v>
      </c>
      <c r="D1120" s="2" t="str">
        <f>IFERROR(__xludf.DUMMYFUNCTION("""COMPUTED_VALUE"""),"Toj Khola")</f>
        <v>Toj Khola</v>
      </c>
      <c r="E1120" s="2">
        <f>IFERROR(__xludf.DUMMYFUNCTION("""COMPUTED_VALUE"""),4643.0)</f>
        <v>4643</v>
      </c>
      <c r="F1120" s="3">
        <f>IFERROR(__xludf.DUMMYFUNCTION("""COMPUTED_VALUE"""),60683.0)</f>
        <v>60683</v>
      </c>
      <c r="G1120" s="2" t="str">
        <f>IFERROR(__xludf.DUMMYFUNCTION("""COMPUTED_VALUE"""),"Energy Links P. Ltd.")</f>
        <v>Energy Links P. Ltd.</v>
      </c>
      <c r="H1120" s="2" t="str">
        <f>IFERROR(__xludf.DUMMYFUNCTION("""COMPUTED_VALUE"""),"Ph: 4356587")</f>
        <v>Ph: 4356587</v>
      </c>
      <c r="I1120" s="2" t="str">
        <f>IFERROR(__xludf.DUMMYFUNCTION("""COMPUTED_VALUE"""),"28o 18' 15""")</f>
        <v>28o 18' 15"</v>
      </c>
      <c r="J1120" s="2" t="str">
        <f>IFERROR(__xludf.DUMMYFUNCTION("""COMPUTED_VALUE"""),"28o 20' 13""")</f>
        <v>28o 20' 13"</v>
      </c>
      <c r="K1120" s="2" t="str">
        <f>IFERROR(__xludf.DUMMYFUNCTION("""COMPUTED_VALUE"""),"84o 26' 13""")</f>
        <v>84o 26' 13"</v>
      </c>
      <c r="L1120" s="2" t="str">
        <f>IFERROR(__xludf.DUMMYFUNCTION("""COMPUTED_VALUE"""),"84o 28' 27""")</f>
        <v>84o 28' 27"</v>
      </c>
      <c r="M1120" s="2" t="str">
        <f>IFERROR(__xludf.DUMMYFUNCTION("""COMPUTED_VALUE"""),"Bhulbhule (Lamjung)")</f>
        <v>Bhulbhule (Lamjung)</v>
      </c>
    </row>
    <row r="1121">
      <c r="A1121" s="2">
        <f>IFERROR(__xludf.DUMMYFUNCTION("""COMPUTED_VALUE"""),1120.0)</f>
        <v>1120</v>
      </c>
      <c r="B1121" s="2" t="str">
        <f>IFERROR(__xludf.DUMMYFUNCTION("""COMPUTED_VALUE"""),"Lower Mewa HPP")</f>
        <v>Lower Mewa HPP</v>
      </c>
      <c r="C1121" s="2">
        <f>IFERROR(__xludf.DUMMYFUNCTION("""COMPUTED_VALUE"""),8.0)</f>
        <v>8</v>
      </c>
      <c r="D1121" s="2" t="str">
        <f>IFERROR(__xludf.DUMMYFUNCTION("""COMPUTED_VALUE"""),"Mewa Khola")</f>
        <v>Mewa Khola</v>
      </c>
      <c r="E1121" s="2">
        <f>IFERROR(__xludf.DUMMYFUNCTION("""COMPUTED_VALUE"""),4674.0)</f>
        <v>4674</v>
      </c>
      <c r="F1121" s="3">
        <f>IFERROR(__xludf.DUMMYFUNCTION("""COMPUTED_VALUE"""),60685.0)</f>
        <v>60685</v>
      </c>
      <c r="G1121" s="2" t="str">
        <f>IFERROR(__xludf.DUMMYFUNCTION("""COMPUTED_VALUE"""),"A to Z Energy Pvt Ltd")</f>
        <v>A to Z Energy Pvt Ltd</v>
      </c>
      <c r="H1121" s="2" t="str">
        <f>IFERROR(__xludf.DUMMYFUNCTION("""COMPUTED_VALUE"""),"Thapathali , Kathmandu Tel: 9851051653, 9851042768")</f>
        <v>Thapathali , Kathmandu Tel: 9851051653, 9851042768</v>
      </c>
      <c r="I1121" s="2" t="str">
        <f>IFERROR(__xludf.DUMMYFUNCTION("""COMPUTED_VALUE"""),"27o 25' 00""")</f>
        <v>27o 25' 00"</v>
      </c>
      <c r="J1121" s="2" t="str">
        <f>IFERROR(__xludf.DUMMYFUNCTION("""COMPUTED_VALUE"""),"27o 26' 52""")</f>
        <v>27o 26' 52"</v>
      </c>
      <c r="K1121" s="2" t="str">
        <f>IFERROR(__xludf.DUMMYFUNCTION("""COMPUTED_VALUE"""),"87o 35' 00""")</f>
        <v>87o 35' 00"</v>
      </c>
      <c r="L1121" s="2" t="str">
        <f>IFERROR(__xludf.DUMMYFUNCTION("""COMPUTED_VALUE"""),"87o 40' 00""")</f>
        <v>87o 40' 00"</v>
      </c>
      <c r="M1121" s="2" t="str">
        <f>IFERROR(__xludf.DUMMYFUNCTION("""COMPUTED_VALUE"""),"Liwang,Lingtep (Taplejung)")</f>
        <v>Liwang,Lingtep (Taplejung)</v>
      </c>
    </row>
    <row r="1122">
      <c r="A1122" s="2">
        <f>IFERROR(__xludf.DUMMYFUNCTION("""COMPUTED_VALUE"""),1121.0)</f>
        <v>1121</v>
      </c>
      <c r="B1122" s="2" t="str">
        <f>IFERROR(__xludf.DUMMYFUNCTION("""COMPUTED_VALUE"""),"Lower Mai HPP")</f>
        <v>Lower Mai HPP</v>
      </c>
      <c r="C1122" s="2">
        <f>IFERROR(__xludf.DUMMYFUNCTION("""COMPUTED_VALUE"""),2.0)</f>
        <v>2</v>
      </c>
      <c r="D1122" s="2" t="str">
        <f>IFERROR(__xludf.DUMMYFUNCTION("""COMPUTED_VALUE"""),"Mai Khola")</f>
        <v>Mai Khola</v>
      </c>
      <c r="E1122" s="2">
        <f>IFERROR(__xludf.DUMMYFUNCTION("""COMPUTED_VALUE"""),4675.0)</f>
        <v>4675</v>
      </c>
      <c r="F1122" s="3">
        <f>IFERROR(__xludf.DUMMYFUNCTION("""COMPUTED_VALUE"""),60685.0)</f>
        <v>60685</v>
      </c>
      <c r="G1122" s="2" t="str">
        <f>IFERROR(__xludf.DUMMYFUNCTION("""COMPUTED_VALUE"""),"Surendra Kumar Karki, Ramesh Chandra Pradhan")</f>
        <v>Surendra Kumar Karki, Ramesh Chandra Pradhan</v>
      </c>
      <c r="H1122" s="2" t="str">
        <f>IFERROR(__xludf.DUMMYFUNCTION("""COMPUTED_VALUE"""),"Chahbil, Kathmandu , Tel: 9851051653, 9851042768")</f>
        <v>Chahbil, Kathmandu , Tel: 9851051653, 9851042768</v>
      </c>
      <c r="I1122" s="2" t="str">
        <f>IFERROR(__xludf.DUMMYFUNCTION("""COMPUTED_VALUE"""),"26o 48' 50""")</f>
        <v>26o 48' 50"</v>
      </c>
      <c r="J1122" s="2" t="str">
        <f>IFERROR(__xludf.DUMMYFUNCTION("""COMPUTED_VALUE"""),"26o 50' 00""")</f>
        <v>26o 50' 00"</v>
      </c>
      <c r="K1122" s="2" t="str">
        <f>IFERROR(__xludf.DUMMYFUNCTION("""COMPUTED_VALUE"""),"87o 46' 15""")</f>
        <v>87o 46' 15"</v>
      </c>
      <c r="L1122" s="2" t="str">
        <f>IFERROR(__xludf.DUMMYFUNCTION("""COMPUTED_VALUE"""),"87o 48' 50""")</f>
        <v>87o 48' 50"</v>
      </c>
      <c r="M1122" s="2" t="str">
        <f>IFERROR(__xludf.DUMMYFUNCTION("""COMPUTED_VALUE"""),"Danabari (Ilam)")</f>
        <v>Danabari (Ilam)</v>
      </c>
    </row>
    <row r="1123">
      <c r="A1123" s="2">
        <f>IFERROR(__xludf.DUMMYFUNCTION("""COMPUTED_VALUE"""),1122.0)</f>
        <v>1122</v>
      </c>
      <c r="B1123" s="2" t="str">
        <f>IFERROR(__xludf.DUMMYFUNCTION("""COMPUTED_VALUE"""),"Upper Marbu Khola SHP")</f>
        <v>Upper Marbu Khola SHP</v>
      </c>
      <c r="C1123" s="2">
        <f>IFERROR(__xludf.DUMMYFUNCTION("""COMPUTED_VALUE"""),0.7)</f>
        <v>0.7</v>
      </c>
      <c r="D1123" s="2" t="str">
        <f>IFERROR(__xludf.DUMMYFUNCTION("""COMPUTED_VALUE"""),"Marbu Khola")</f>
        <v>Marbu Khola</v>
      </c>
      <c r="E1123" s="2">
        <f>IFERROR(__xludf.DUMMYFUNCTION("""COMPUTED_VALUE"""),4686.0)</f>
        <v>4686</v>
      </c>
      <c r="F1123" s="3">
        <f>IFERROR(__xludf.DUMMYFUNCTION("""COMPUTED_VALUE"""),60687.0)</f>
        <v>60687</v>
      </c>
      <c r="G1123" s="2" t="str">
        <f>IFERROR(__xludf.DUMMYFUNCTION("""COMPUTED_VALUE"""),"Hakim Bahadur Basnet")</f>
        <v>Hakim Bahadur Basnet</v>
      </c>
      <c r="H1123" s="2" t="str">
        <f>IFERROR(__xludf.DUMMYFUNCTION("""COMPUTED_VALUE"""),"Gumdel, Ramechhap Tel: 9841173579")</f>
        <v>Gumdel, Ramechhap Tel: 9841173579</v>
      </c>
      <c r="I1123" s="2" t="str">
        <f>IFERROR(__xludf.DUMMYFUNCTION("""COMPUTED_VALUE"""),"27o 35' 00""")</f>
        <v>27o 35' 00"</v>
      </c>
      <c r="J1123" s="2" t="str">
        <f>IFERROR(__xludf.DUMMYFUNCTION("""COMPUTED_VALUE"""),"27o 36' 45""")</f>
        <v>27o 36' 45"</v>
      </c>
      <c r="K1123" s="2" t="str">
        <f>IFERROR(__xludf.DUMMYFUNCTION("""COMPUTED_VALUE"""),"86o 27' 45""")</f>
        <v>86o 27' 45"</v>
      </c>
      <c r="L1123" s="2" t="str">
        <f>IFERROR(__xludf.DUMMYFUNCTION("""COMPUTED_VALUE"""),"86o 29' 00""")</f>
        <v>86o 29' 00"</v>
      </c>
      <c r="M1123" s="2" t="str">
        <f>IFERROR(__xludf.DUMMYFUNCTION("""COMPUTED_VALUE"""),"Bhakanje (Solukhumbu)")</f>
        <v>Bhakanje (Solukhumbu)</v>
      </c>
    </row>
    <row r="1124">
      <c r="A1124" s="2">
        <f>IFERROR(__xludf.DUMMYFUNCTION("""COMPUTED_VALUE"""),1123.0)</f>
        <v>1123</v>
      </c>
      <c r="B1124" s="2" t="str">
        <f>IFERROR(__xludf.DUMMYFUNCTION("""COMPUTED_VALUE"""),"Sunsari-Morang Canal based Hydroelectric Project")</f>
        <v>Sunsari-Morang Canal based Hydroelectric Project</v>
      </c>
      <c r="C1124" s="2">
        <f>IFERROR(__xludf.DUMMYFUNCTION("""COMPUTED_VALUE"""),2.9)</f>
        <v>2.9</v>
      </c>
      <c r="D1124" s="2" t="str">
        <f>IFERROR(__xludf.DUMMYFUNCTION("""COMPUTED_VALUE"""),"Saptakoshi")</f>
        <v>Saptakoshi</v>
      </c>
      <c r="E1124" s="2">
        <f>IFERROR(__xludf.DUMMYFUNCTION("""COMPUTED_VALUE"""),4699.0)</f>
        <v>4699</v>
      </c>
      <c r="F1124" s="3">
        <f>IFERROR(__xludf.DUMMYFUNCTION("""COMPUTED_VALUE"""),60688.0)</f>
        <v>60688</v>
      </c>
      <c r="G1124" s="2" t="str">
        <f>IFERROR(__xludf.DUMMYFUNCTION("""COMPUTED_VALUE"""),"Banasi Moktan")</f>
        <v>Banasi Moktan</v>
      </c>
      <c r="H1124" s="2" t="str">
        <f>IFERROR(__xludf.DUMMYFUNCTION("""COMPUTED_VALUE"""),"Dharan-7, GPO Box: 12756, Kathmandu")</f>
        <v>Dharan-7, GPO Box: 12756, Kathmandu</v>
      </c>
      <c r="I1124" s="2" t="str">
        <f>IFERROR(__xludf.DUMMYFUNCTION("""COMPUTED_VALUE"""),"26o 42' 30""")</f>
        <v>26o 42' 30"</v>
      </c>
      <c r="J1124" s="2" t="str">
        <f>IFERROR(__xludf.DUMMYFUNCTION("""COMPUTED_VALUE"""),"26o 45' 00""")</f>
        <v>26o 45' 00"</v>
      </c>
      <c r="K1124" s="2" t="str">
        <f>IFERROR(__xludf.DUMMYFUNCTION("""COMPUTED_VALUE"""),"87o 08' 40""")</f>
        <v>87o 08' 40"</v>
      </c>
      <c r="L1124" s="2" t="str">
        <f>IFERROR(__xludf.DUMMYFUNCTION("""COMPUTED_VALUE"""),"87o 12' 30""")</f>
        <v>87o 12' 30"</v>
      </c>
      <c r="M1124" s="2" t="str">
        <f>IFERROR(__xludf.DUMMYFUNCTION("""COMPUTED_VALUE"""),"Mahendranagar,Bharaul,Barahachhetra (Sunsari)")</f>
        <v>Mahendranagar,Bharaul,Barahachhetra (Sunsari)</v>
      </c>
    </row>
    <row r="1125">
      <c r="A1125" s="2">
        <f>IFERROR(__xludf.DUMMYFUNCTION("""COMPUTED_VALUE"""),1124.0)</f>
        <v>1124</v>
      </c>
      <c r="B1125" s="2" t="str">
        <f>IFERROR(__xludf.DUMMYFUNCTION("""COMPUTED_VALUE"""),"Tepulegad SHP")</f>
        <v>Tepulegad SHP</v>
      </c>
      <c r="C1125" s="2">
        <f>IFERROR(__xludf.DUMMYFUNCTION("""COMPUTED_VALUE"""),0.75)</f>
        <v>0.75</v>
      </c>
      <c r="D1125" s="2" t="str">
        <f>IFERROR(__xludf.DUMMYFUNCTION("""COMPUTED_VALUE"""),"Tepule Gad")</f>
        <v>Tepule Gad</v>
      </c>
      <c r="E1125" s="2">
        <f>IFERROR(__xludf.DUMMYFUNCTION("""COMPUTED_VALUE"""),4720.0)</f>
        <v>4720</v>
      </c>
      <c r="F1125" s="3">
        <f>IFERROR(__xludf.DUMMYFUNCTION("""COMPUTED_VALUE"""),60688.0)</f>
        <v>60688</v>
      </c>
      <c r="G1125" s="2" t="str">
        <f>IFERROR(__xludf.DUMMYFUNCTION("""COMPUTED_VALUE"""),"Save Energy Pvt Ltd")</f>
        <v>Save Energy Pvt Ltd</v>
      </c>
      <c r="H1125" s="2" t="str">
        <f>IFERROR(__xludf.DUMMYFUNCTION("""COMPUTED_VALUE"""),"Kathmandu -10, Tel: 4460923")</f>
        <v>Kathmandu -10, Tel: 4460923</v>
      </c>
      <c r="I1125" s="2" t="str">
        <f>IFERROR(__xludf.DUMMYFUNCTION("""COMPUTED_VALUE"""),"00o 00' 00""")</f>
        <v>00o 00' 00"</v>
      </c>
      <c r="J1125" s="2" t="str">
        <f>IFERROR(__xludf.DUMMYFUNCTION("""COMPUTED_VALUE"""),"00o 00' 00""")</f>
        <v>00o 00' 00"</v>
      </c>
      <c r="K1125" s="2" t="str">
        <f>IFERROR(__xludf.DUMMYFUNCTION("""COMPUTED_VALUE"""),"00o 00' 00""")</f>
        <v>00o 00' 00"</v>
      </c>
      <c r="L1125" s="2" t="str">
        <f>IFERROR(__xludf.DUMMYFUNCTION("""COMPUTED_VALUE"""),"00o 00' 00""")</f>
        <v>00o 00' 00"</v>
      </c>
      <c r="M1125" s="2" t="str">
        <f>IFERROR(__xludf.DUMMYFUNCTION("""COMPUTED_VALUE"""),"Saraswotinagar (Doti)")</f>
        <v>Saraswotinagar (Doti)</v>
      </c>
    </row>
    <row r="1126">
      <c r="A1126" s="2">
        <f>IFERROR(__xludf.DUMMYFUNCTION("""COMPUTED_VALUE"""),1125.0)</f>
        <v>1125</v>
      </c>
      <c r="B1126" s="2" t="str">
        <f>IFERROR(__xludf.DUMMYFUNCTION("""COMPUTED_VALUE"""),"Chepe Khola SHP")</f>
        <v>Chepe Khola SHP</v>
      </c>
      <c r="C1126" s="2">
        <f>IFERROR(__xludf.DUMMYFUNCTION("""COMPUTED_VALUE"""),0.99)</f>
        <v>0.99</v>
      </c>
      <c r="D1126" s="2" t="str">
        <f>IFERROR(__xludf.DUMMYFUNCTION("""COMPUTED_VALUE"""),"Chepe Khola")</f>
        <v>Chepe Khola</v>
      </c>
      <c r="E1126" s="2">
        <f>IFERROR(__xludf.DUMMYFUNCTION("""COMPUTED_VALUE"""),4721.0)</f>
        <v>4721</v>
      </c>
      <c r="F1126" s="3">
        <f>IFERROR(__xludf.DUMMYFUNCTION("""COMPUTED_VALUE"""),60688.0)</f>
        <v>60688</v>
      </c>
      <c r="G1126" s="2" t="str">
        <f>IFERROR(__xludf.DUMMYFUNCTION("""COMPUTED_VALUE"""),"Tila ram Basnet")</f>
        <v>Tila ram Basnet</v>
      </c>
      <c r="H1126" s="2" t="str">
        <f>IFERROR(__xludf.DUMMYFUNCTION("""COMPUTED_VALUE"""),"Sijuwa-4, Morang Tel: 9851085986, 9741141237")</f>
        <v>Sijuwa-4, Morang Tel: 9851085986, 9741141237</v>
      </c>
      <c r="I1126" s="2" t="str">
        <f>IFERROR(__xludf.DUMMYFUNCTION("""COMPUTED_VALUE"""),"28o 08' 49""")</f>
        <v>28o 08' 49"</v>
      </c>
      <c r="J1126" s="2" t="str">
        <f>IFERROR(__xludf.DUMMYFUNCTION("""COMPUTED_VALUE"""),"28o 10' 25""")</f>
        <v>28o 10' 25"</v>
      </c>
      <c r="K1126" s="2" t="str">
        <f>IFERROR(__xludf.DUMMYFUNCTION("""COMPUTED_VALUE"""),"84o 35' 27""")</f>
        <v>84o 35' 27"</v>
      </c>
      <c r="L1126" s="2" t="str">
        <f>IFERROR(__xludf.DUMMYFUNCTION("""COMPUTED_VALUE"""),"84o 37' 15""")</f>
        <v>84o 37' 15"</v>
      </c>
      <c r="M1126" s="2" t="str">
        <f>IFERROR(__xludf.DUMMYFUNCTION("""COMPUTED_VALUE"""),"Hanspur (Gorkha) Ilampokhari (Lamjung)")</f>
        <v>Hanspur (Gorkha) Ilampokhari (Lamjung)</v>
      </c>
    </row>
    <row r="1127">
      <c r="A1127" s="2">
        <f>IFERROR(__xludf.DUMMYFUNCTION("""COMPUTED_VALUE"""),1126.0)</f>
        <v>1126</v>
      </c>
      <c r="B1127" s="2" t="str">
        <f>IFERROR(__xludf.DUMMYFUNCTION("""COMPUTED_VALUE"""),"Ludi Khola SHP")</f>
        <v>Ludi Khola SHP</v>
      </c>
      <c r="C1127" s="2">
        <f>IFERROR(__xludf.DUMMYFUNCTION("""COMPUTED_VALUE"""),0.98)</f>
        <v>0.98</v>
      </c>
      <c r="D1127" s="2" t="str">
        <f>IFERROR(__xludf.DUMMYFUNCTION("""COMPUTED_VALUE"""),"Ludi")</f>
        <v>Ludi</v>
      </c>
      <c r="E1127" s="2">
        <f>IFERROR(__xludf.DUMMYFUNCTION("""COMPUTED_VALUE"""),4733.0)</f>
        <v>4733</v>
      </c>
      <c r="F1127" s="3">
        <f>IFERROR(__xludf.DUMMYFUNCTION("""COMPUTED_VALUE"""),60689.0)</f>
        <v>60689</v>
      </c>
      <c r="G1127" s="2" t="str">
        <f>IFERROR(__xludf.DUMMYFUNCTION("""COMPUTED_VALUE"""),"Dinesh Aryal, Shiv Hari Dulal")</f>
        <v>Dinesh Aryal, Shiv Hari Dulal</v>
      </c>
      <c r="H1127" s="2" t="str">
        <f>IFERROR(__xludf.DUMMYFUNCTION("""COMPUTED_VALUE"""),"Kathmandu Metropolitancity-10, Tel: 9841289769")</f>
        <v>Kathmandu Metropolitancity-10, Tel: 9841289769</v>
      </c>
      <c r="I1127" s="2" t="str">
        <f>IFERROR(__xludf.DUMMYFUNCTION("""COMPUTED_VALUE"""),"27o 56' 13""")</f>
        <v>27o 56' 13"</v>
      </c>
      <c r="J1127" s="2" t="str">
        <f>IFERROR(__xludf.DUMMYFUNCTION("""COMPUTED_VALUE"""),"27o 57' 38""")</f>
        <v>27o 57' 38"</v>
      </c>
      <c r="K1127" s="2" t="str">
        <f>IFERROR(__xludf.DUMMYFUNCTION("""COMPUTED_VALUE"""),"84o 33' 34""")</f>
        <v>84o 33' 34"</v>
      </c>
      <c r="L1127" s="2" t="str">
        <f>IFERROR(__xludf.DUMMYFUNCTION("""COMPUTED_VALUE"""),"84o 35' 55""")</f>
        <v>84o 35' 55"</v>
      </c>
      <c r="M1127" s="2" t="str">
        <f>IFERROR(__xludf.DUMMYFUNCTION("""COMPUTED_VALUE"""),"Bakrang (Gorkha)")</f>
        <v>Bakrang (Gorkha)</v>
      </c>
    </row>
    <row r="1128">
      <c r="A1128" s="2">
        <f>IFERROR(__xludf.DUMMYFUNCTION("""COMPUTED_VALUE"""),1127.0)</f>
        <v>1127</v>
      </c>
      <c r="B1128" s="2" t="str">
        <f>IFERROR(__xludf.DUMMYFUNCTION("""COMPUTED_VALUE"""),"Arun Khola-A Hydropower Project")</f>
        <v>Arun Khola-A Hydropower Project</v>
      </c>
      <c r="C1128" s="2">
        <f>IFERROR(__xludf.DUMMYFUNCTION("""COMPUTED_VALUE"""),5.0)</f>
        <v>5</v>
      </c>
      <c r="D1128" s="2" t="str">
        <f>IFERROR(__xludf.DUMMYFUNCTION("""COMPUTED_VALUE"""),"Arun")</f>
        <v>Arun</v>
      </c>
      <c r="E1128" s="2">
        <f>IFERROR(__xludf.DUMMYFUNCTION("""COMPUTED_VALUE"""),4743.0)</f>
        <v>4743</v>
      </c>
      <c r="F1128" s="3">
        <f>IFERROR(__xludf.DUMMYFUNCTION("""COMPUTED_VALUE"""),60689.0)</f>
        <v>60689</v>
      </c>
      <c r="G1128" s="2" t="str">
        <f>IFERROR(__xludf.DUMMYFUNCTION("""COMPUTED_VALUE"""),"Abiskar Lal Sherestha")</f>
        <v>Abiskar Lal Sherestha</v>
      </c>
      <c r="H1128" s="2" t="str">
        <f>IFERROR(__xludf.DUMMYFUNCTION("""COMPUTED_VALUE"""),"Naya Belhani, Arun Khola, Nawalparasi Tel: 01-2092385")</f>
        <v>Naya Belhani, Arun Khola, Nawalparasi Tel: 01-2092385</v>
      </c>
      <c r="I1128" s="2" t="str">
        <f>IFERROR(__xludf.DUMMYFUNCTION("""COMPUTED_VALUE"""),"27o 40' 45""")</f>
        <v>27o 40' 45"</v>
      </c>
      <c r="J1128" s="2" t="str">
        <f>IFERROR(__xludf.DUMMYFUNCTION("""COMPUTED_VALUE"""),"27o 43' 15""")</f>
        <v>27o 43' 15"</v>
      </c>
      <c r="K1128" s="2" t="str">
        <f>IFERROR(__xludf.DUMMYFUNCTION("""COMPUTED_VALUE"""),"83o 56' 15""")</f>
        <v>83o 56' 15"</v>
      </c>
      <c r="L1128" s="2" t="str">
        <f>IFERROR(__xludf.DUMMYFUNCTION("""COMPUTED_VALUE"""),"83o 57' 45""")</f>
        <v>83o 57' 45"</v>
      </c>
      <c r="M1128" s="2" t="str">
        <f>IFERROR(__xludf.DUMMYFUNCTION("""COMPUTED_VALUE"""),"Rakachuli,Mainaghat,Humsekot (Nawalparasi)")</f>
        <v>Rakachuli,Mainaghat,Humsekot (Nawalparasi)</v>
      </c>
    </row>
    <row r="1129">
      <c r="A1129" s="2">
        <f>IFERROR(__xludf.DUMMYFUNCTION("""COMPUTED_VALUE"""),1128.0)</f>
        <v>1128</v>
      </c>
      <c r="B1129" s="2" t="str">
        <f>IFERROR(__xludf.DUMMYFUNCTION("""COMPUTED_VALUE"""),"Balley Khola SHP")</f>
        <v>Balley Khola SHP</v>
      </c>
      <c r="C1129" s="2">
        <f>IFERROR(__xludf.DUMMYFUNCTION("""COMPUTED_VALUE"""),0.96)</f>
        <v>0.96</v>
      </c>
      <c r="D1129" s="2" t="str">
        <f>IFERROR(__xludf.DUMMYFUNCTION("""COMPUTED_VALUE"""),"Balley Khola")</f>
        <v>Balley Khola</v>
      </c>
      <c r="E1129" s="2">
        <f>IFERROR(__xludf.DUMMYFUNCTION("""COMPUTED_VALUE"""),4745.0)</f>
        <v>4745</v>
      </c>
      <c r="F1129" s="3">
        <f>IFERROR(__xludf.DUMMYFUNCTION("""COMPUTED_VALUE"""),60689.0)</f>
        <v>60689</v>
      </c>
      <c r="G1129" s="2" t="str">
        <f>IFERROR(__xludf.DUMMYFUNCTION("""COMPUTED_VALUE"""),"Brothers Hydropower Pvt Ltd")</f>
        <v>Brothers Hydropower Pvt Ltd</v>
      </c>
      <c r="H1129" s="2" t="str">
        <f>IFERROR(__xludf.DUMMYFUNCTION("""COMPUTED_VALUE"""),"Dhangadhi-3, Kailali Tel: 9851081700")</f>
        <v>Dhangadhi-3, Kailali Tel: 9851081700</v>
      </c>
      <c r="I1129" s="2" t="str">
        <f>IFERROR(__xludf.DUMMYFUNCTION("""COMPUTED_VALUE"""),"29o 10' 57""")</f>
        <v>29o 10' 57"</v>
      </c>
      <c r="J1129" s="2" t="str">
        <f>IFERROR(__xludf.DUMMYFUNCTION("""COMPUTED_VALUE"""),"29o 11' 35""")</f>
        <v>29o 11' 35"</v>
      </c>
      <c r="K1129" s="2" t="str">
        <f>IFERROR(__xludf.DUMMYFUNCTION("""COMPUTED_VALUE"""),"81o 24' 40""")</f>
        <v>81o 24' 40"</v>
      </c>
      <c r="L1129" s="2" t="str">
        <f>IFERROR(__xludf.DUMMYFUNCTION("""COMPUTED_VALUE"""),"81o 25' 49""")</f>
        <v>81o 25' 49"</v>
      </c>
      <c r="M1129" s="2" t="str">
        <f>IFERROR(__xludf.DUMMYFUNCTION("""COMPUTED_VALUE"""),"Tadigaira (Achham)")</f>
        <v>Tadigaira (Achham)</v>
      </c>
    </row>
    <row r="1130">
      <c r="A1130" s="2">
        <f>IFERROR(__xludf.DUMMYFUNCTION("""COMPUTED_VALUE"""),1129.0)</f>
        <v>1129</v>
      </c>
      <c r="B1130" s="2" t="str">
        <f>IFERROR(__xludf.DUMMYFUNCTION("""COMPUTED_VALUE"""),"Kalagad SHP")</f>
        <v>Kalagad SHP</v>
      </c>
      <c r="C1130" s="2">
        <f>IFERROR(__xludf.DUMMYFUNCTION("""COMPUTED_VALUE"""),0.98)</f>
        <v>0.98</v>
      </c>
      <c r="D1130" s="2" t="str">
        <f>IFERROR(__xludf.DUMMYFUNCTION("""COMPUTED_VALUE"""),"Kala Gad")</f>
        <v>Kala Gad</v>
      </c>
      <c r="E1130" s="2">
        <f>IFERROR(__xludf.DUMMYFUNCTION("""COMPUTED_VALUE"""),4746.0)</f>
        <v>4746</v>
      </c>
      <c r="F1130" s="3">
        <f>IFERROR(__xludf.DUMMYFUNCTION("""COMPUTED_VALUE"""),60689.0)</f>
        <v>60689</v>
      </c>
      <c r="G1130" s="2" t="str">
        <f>IFERROR(__xludf.DUMMYFUNCTION("""COMPUTED_VALUE"""),"Brothers Hydropower Pvt Ltd")</f>
        <v>Brothers Hydropower Pvt Ltd</v>
      </c>
      <c r="H1130" s="2" t="str">
        <f>IFERROR(__xludf.DUMMYFUNCTION("""COMPUTED_VALUE"""),"Dhangadhi-3, Kailali")</f>
        <v>Dhangadhi-3, Kailali</v>
      </c>
      <c r="I1130" s="2" t="str">
        <f>IFERROR(__xludf.DUMMYFUNCTION("""COMPUTED_VALUE"""),"29o 12' 57""")</f>
        <v>29o 12' 57"</v>
      </c>
      <c r="J1130" s="2" t="str">
        <f>IFERROR(__xludf.DUMMYFUNCTION("""COMPUTED_VALUE"""),"29o 13' 28""")</f>
        <v>29o 13' 28"</v>
      </c>
      <c r="K1130" s="2" t="str">
        <f>IFERROR(__xludf.DUMMYFUNCTION("""COMPUTED_VALUE"""),"80o 51' 17""")</f>
        <v>80o 51' 17"</v>
      </c>
      <c r="L1130" s="2" t="str">
        <f>IFERROR(__xludf.DUMMYFUNCTION("""COMPUTED_VALUE"""),"80o 52' 23""")</f>
        <v>80o 52' 23"</v>
      </c>
      <c r="M1130" s="2" t="str">
        <f>IFERROR(__xludf.DUMMYFUNCTION("""COMPUTED_VALUE"""),"Mudabhara (Doti)")</f>
        <v>Mudabhara (Doti)</v>
      </c>
    </row>
    <row r="1131">
      <c r="A1131" s="2">
        <f>IFERROR(__xludf.DUMMYFUNCTION("""COMPUTED_VALUE"""),1130.0)</f>
        <v>1130</v>
      </c>
      <c r="B1131" s="2" t="str">
        <f>IFERROR(__xludf.DUMMYFUNCTION("""COMPUTED_VALUE"""),"Tadi Khola SHP")</f>
        <v>Tadi Khola SHP</v>
      </c>
      <c r="C1131" s="2">
        <f>IFERROR(__xludf.DUMMYFUNCTION("""COMPUTED_VALUE"""),0.95)</f>
        <v>0.95</v>
      </c>
      <c r="D1131" s="2" t="str">
        <f>IFERROR(__xludf.DUMMYFUNCTION("""COMPUTED_VALUE"""),"Tadi Khola")</f>
        <v>Tadi Khola</v>
      </c>
      <c r="E1131" s="2">
        <f>IFERROR(__xludf.DUMMYFUNCTION("""COMPUTED_VALUE"""),4754.0)</f>
        <v>4754</v>
      </c>
      <c r="F1131" s="3">
        <f>IFERROR(__xludf.DUMMYFUNCTION("""COMPUTED_VALUE"""),60690.0)</f>
        <v>60690</v>
      </c>
      <c r="G1131" s="2" t="str">
        <f>IFERROR(__xludf.DUMMYFUNCTION("""COMPUTED_VALUE"""),"Devendra KC")</f>
        <v>Devendra KC</v>
      </c>
      <c r="H1131" s="2" t="str">
        <f>IFERROR(__xludf.DUMMYFUNCTION("""COMPUTED_VALUE"""),"Kritipur Municipality-15, Tel: 9841359934")</f>
        <v>Kritipur Municipality-15, Tel: 9841359934</v>
      </c>
      <c r="I1131" s="2" t="str">
        <f>IFERROR(__xludf.DUMMYFUNCTION("""COMPUTED_VALUE"""),"27o 59' 03""")</f>
        <v>27o 59' 03"</v>
      </c>
      <c r="J1131" s="2" t="str">
        <f>IFERROR(__xludf.DUMMYFUNCTION("""COMPUTED_VALUE"""),"28o 00' 40""")</f>
        <v>28o 00' 40"</v>
      </c>
      <c r="K1131" s="2" t="str">
        <f>IFERROR(__xludf.DUMMYFUNCTION("""COMPUTED_VALUE"""),"85o 26' 33""")</f>
        <v>85o 26' 33"</v>
      </c>
      <c r="L1131" s="2" t="str">
        <f>IFERROR(__xludf.DUMMYFUNCTION("""COMPUTED_VALUE"""),"85o 27' 30""")</f>
        <v>85o 27' 30"</v>
      </c>
      <c r="M1131" s="2" t="str">
        <f>IFERROR(__xludf.DUMMYFUNCTION("""COMPUTED_VALUE"""),"Dhyangphedi (Nuwakot)")</f>
        <v>Dhyangphedi (Nuwakot)</v>
      </c>
    </row>
    <row r="1132">
      <c r="A1132" s="2">
        <f>IFERROR(__xludf.DUMMYFUNCTION("""COMPUTED_VALUE"""),1131.0)</f>
        <v>1131</v>
      </c>
      <c r="B1132" s="2" t="str">
        <f>IFERROR(__xludf.DUMMYFUNCTION("""COMPUTED_VALUE"""),"Jum Khola HPP")</f>
        <v>Jum Khola HPP</v>
      </c>
      <c r="C1132" s="2">
        <f>IFERROR(__xludf.DUMMYFUNCTION("""COMPUTED_VALUE"""),4.845)</f>
        <v>4.845</v>
      </c>
      <c r="D1132" s="2" t="str">
        <f>IFERROR(__xludf.DUMMYFUNCTION("""COMPUTED_VALUE"""),"Jum")</f>
        <v>Jum</v>
      </c>
      <c r="E1132" s="2">
        <f>IFERROR(__xludf.DUMMYFUNCTION("""COMPUTED_VALUE"""),4758.0)</f>
        <v>4758</v>
      </c>
      <c r="F1132" s="3">
        <f>IFERROR(__xludf.DUMMYFUNCTION("""COMPUTED_VALUE"""),60690.0)</f>
        <v>60690</v>
      </c>
      <c r="G1132" s="2" t="str">
        <f>IFERROR(__xludf.DUMMYFUNCTION("""COMPUTED_VALUE"""),"Balram KC, Bikash Karki")</f>
        <v>Balram KC, Bikash Karki</v>
      </c>
      <c r="H1132" s="2" t="str">
        <f>IFERROR(__xludf.DUMMYFUNCTION("""COMPUTED_VALUE"""),"Khare VDC-2, Dolkha Tel: 9849173960")</f>
        <v>Khare VDC-2, Dolkha Tel: 9849173960</v>
      </c>
      <c r="I1132" s="2" t="str">
        <f>IFERROR(__xludf.DUMMYFUNCTION("""COMPUTED_VALUE"""),"27o 55' 35""")</f>
        <v>27o 55' 35"</v>
      </c>
      <c r="J1132" s="2" t="str">
        <f>IFERROR(__xludf.DUMMYFUNCTION("""COMPUTED_VALUE"""),"27o 58' 21""")</f>
        <v>27o 58' 21"</v>
      </c>
      <c r="K1132" s="2" t="str">
        <f>IFERROR(__xludf.DUMMYFUNCTION("""COMPUTED_VALUE"""),"86o 13' 01""")</f>
        <v>86o 13' 01"</v>
      </c>
      <c r="L1132" s="2" t="str">
        <f>IFERROR(__xludf.DUMMYFUNCTION("""COMPUTED_VALUE"""),"86o 15' 00""")</f>
        <v>86o 15' 00"</v>
      </c>
      <c r="M1132" s="2" t="str">
        <f>IFERROR(__xludf.DUMMYFUNCTION("""COMPUTED_VALUE"""),"Lamabagar (Dolakha)")</f>
        <v>Lamabagar (Dolakha)</v>
      </c>
    </row>
    <row r="1133">
      <c r="A1133" s="2">
        <f>IFERROR(__xludf.DUMMYFUNCTION("""COMPUTED_VALUE"""),1132.0)</f>
        <v>1132</v>
      </c>
      <c r="B1133" s="2" t="str">
        <f>IFERROR(__xludf.DUMMYFUNCTION("""COMPUTED_VALUE"""),"Gadsera Gad SHP")</f>
        <v>Gadsera Gad SHP</v>
      </c>
      <c r="C1133" s="2">
        <f>IFERROR(__xludf.DUMMYFUNCTION("""COMPUTED_VALUE"""),0.88)</f>
        <v>0.88</v>
      </c>
      <c r="D1133" s="2" t="str">
        <f>IFERROR(__xludf.DUMMYFUNCTION("""COMPUTED_VALUE"""),"Gadsera Gad")</f>
        <v>Gadsera Gad</v>
      </c>
      <c r="E1133" s="2">
        <f>IFERROR(__xludf.DUMMYFUNCTION("""COMPUTED_VALUE"""),4760.0)</f>
        <v>4760</v>
      </c>
      <c r="F1133" s="3">
        <f>IFERROR(__xludf.DUMMYFUNCTION("""COMPUTED_VALUE"""),60690.0)</f>
        <v>60690</v>
      </c>
      <c r="G1133" s="2" t="str">
        <f>IFERROR(__xludf.DUMMYFUNCTION("""COMPUTED_VALUE"""),"Brothers Hydropower Pvt Ltd")</f>
        <v>Brothers Hydropower Pvt Ltd</v>
      </c>
      <c r="H1133" s="2" t="str">
        <f>IFERROR(__xludf.DUMMYFUNCTION("""COMPUTED_VALUE"""),"Dhangadhi-3, Kailali")</f>
        <v>Dhangadhi-3, Kailali</v>
      </c>
      <c r="I1133" s="2" t="str">
        <f>IFERROR(__xludf.DUMMYFUNCTION("""COMPUTED_VALUE"""),"29o 06' 01""")</f>
        <v>29o 06' 01"</v>
      </c>
      <c r="J1133" s="2" t="str">
        <f>IFERROR(__xludf.DUMMYFUNCTION("""COMPUTED_VALUE"""),"29o 06' 52""")</f>
        <v>29o 06' 52"</v>
      </c>
      <c r="K1133" s="2" t="str">
        <f>IFERROR(__xludf.DUMMYFUNCTION("""COMPUTED_VALUE"""),"80o 45' 49""")</f>
        <v>80o 45' 49"</v>
      </c>
      <c r="L1133" s="2" t="str">
        <f>IFERROR(__xludf.DUMMYFUNCTION("""COMPUTED_VALUE"""),"80o 46' 53""")</f>
        <v>80o 46' 53"</v>
      </c>
      <c r="M1133" s="2" t="str">
        <f>IFERROR(__xludf.DUMMYFUNCTION("""COMPUTED_VALUE"""),"Gadasera (Doti)")</f>
        <v>Gadasera (Doti)</v>
      </c>
    </row>
    <row r="1134">
      <c r="A1134" s="2">
        <f>IFERROR(__xludf.DUMMYFUNCTION("""COMPUTED_VALUE"""),1133.0)</f>
        <v>1133</v>
      </c>
      <c r="B1134" s="2" t="str">
        <f>IFERROR(__xludf.DUMMYFUNCTION("""COMPUTED_VALUE"""),"Simai Gad SHP")</f>
        <v>Simai Gad SHP</v>
      </c>
      <c r="C1134" s="2">
        <f>IFERROR(__xludf.DUMMYFUNCTION("""COMPUTED_VALUE"""),0.85)</f>
        <v>0.85</v>
      </c>
      <c r="D1134" s="2" t="str">
        <f>IFERROR(__xludf.DUMMYFUNCTION("""COMPUTED_VALUE"""),"Simali Gad")</f>
        <v>Simali Gad</v>
      </c>
      <c r="E1134" s="2">
        <f>IFERROR(__xludf.DUMMYFUNCTION("""COMPUTED_VALUE"""),4761.0)</f>
        <v>4761</v>
      </c>
      <c r="F1134" s="3">
        <f>IFERROR(__xludf.DUMMYFUNCTION("""COMPUTED_VALUE"""),60690.0)</f>
        <v>60690</v>
      </c>
      <c r="G1134" s="2" t="str">
        <f>IFERROR(__xludf.DUMMYFUNCTION("""COMPUTED_VALUE"""),"Brothers Hydropower Pvt Ltd")</f>
        <v>Brothers Hydropower Pvt Ltd</v>
      </c>
      <c r="H1134" s="2" t="str">
        <f>IFERROR(__xludf.DUMMYFUNCTION("""COMPUTED_VALUE"""),"Dhangadhi-3, Kailali")</f>
        <v>Dhangadhi-3, Kailali</v>
      </c>
      <c r="I1134" s="2" t="str">
        <f>IFERROR(__xludf.DUMMYFUNCTION("""COMPUTED_VALUE"""),"29o 12' 30""")</f>
        <v>29o 12' 30"</v>
      </c>
      <c r="J1134" s="2" t="str">
        <f>IFERROR(__xludf.DUMMYFUNCTION("""COMPUTED_VALUE"""),"29o 13' 32""")</f>
        <v>29o 13' 32"</v>
      </c>
      <c r="K1134" s="2" t="str">
        <f>IFERROR(__xludf.DUMMYFUNCTION("""COMPUTED_VALUE"""),"80o 52' 09""")</f>
        <v>80o 52' 09"</v>
      </c>
      <c r="L1134" s="2" t="str">
        <f>IFERROR(__xludf.DUMMYFUNCTION("""COMPUTED_VALUE"""),"80o 52' 40""")</f>
        <v>80o 52' 40"</v>
      </c>
      <c r="M1134" s="2" t="str">
        <f>IFERROR(__xludf.DUMMYFUNCTION("""COMPUTED_VALUE"""),"Mudabhara (Doti)")</f>
        <v>Mudabhara (Doti)</v>
      </c>
    </row>
    <row r="1135">
      <c r="A1135" s="2">
        <f>IFERROR(__xludf.DUMMYFUNCTION("""COMPUTED_VALUE"""),1134.0)</f>
        <v>1134</v>
      </c>
      <c r="B1135" s="2" t="str">
        <f>IFERROR(__xludf.DUMMYFUNCTION("""COMPUTED_VALUE"""),"Yanma Khola HPP")</f>
        <v>Yanma Khola HPP</v>
      </c>
      <c r="C1135" s="2">
        <f>IFERROR(__xludf.DUMMYFUNCTION("""COMPUTED_VALUE"""),5.0)</f>
        <v>5</v>
      </c>
      <c r="D1135" s="2" t="str">
        <f>IFERROR(__xludf.DUMMYFUNCTION("""COMPUTED_VALUE"""),"Yangma Khola")</f>
        <v>Yangma Khola</v>
      </c>
      <c r="E1135" s="2">
        <f>IFERROR(__xludf.DUMMYFUNCTION("""COMPUTED_VALUE"""),4769.0)</f>
        <v>4769</v>
      </c>
      <c r="F1135" s="3">
        <f>IFERROR(__xludf.DUMMYFUNCTION("""COMPUTED_VALUE"""),60690.0)</f>
        <v>60690</v>
      </c>
      <c r="G1135" s="2" t="str">
        <f>IFERROR(__xludf.DUMMYFUNCTION("""COMPUTED_VALUE"""),"U.Tunbahamphe, G.C.Sherpa, G.Ghising, P.Ukyap, G.K. Shrestha, Bikash Tamang")</f>
        <v>U.Tunbahamphe, G.C.Sherpa, G.Ghising, P.Ukyap, G.K. Shrestha, Bikash Tamang</v>
      </c>
      <c r="H1135" s="2" t="str">
        <f>IFERROR(__xludf.DUMMYFUNCTION("""COMPUTED_VALUE"""),"Tel: 9741139857, 9741139857, 9851092521")</f>
        <v>Tel: 9741139857, 9741139857, 9851092521</v>
      </c>
      <c r="I1135" s="2" t="str">
        <f>IFERROR(__xludf.DUMMYFUNCTION("""COMPUTED_VALUE"""),"27o 39' 23""")</f>
        <v>27o 39' 23"</v>
      </c>
      <c r="J1135" s="2" t="str">
        <f>IFERROR(__xludf.DUMMYFUNCTION("""COMPUTED_VALUE"""),"27o 42' 51""")</f>
        <v>27o 42' 51"</v>
      </c>
      <c r="K1135" s="2" t="str">
        <f>IFERROR(__xludf.DUMMYFUNCTION("""COMPUTED_VALUE"""),"87o 47' 25""")</f>
        <v>87o 47' 25"</v>
      </c>
      <c r="L1135" s="2" t="str">
        <f>IFERROR(__xludf.DUMMYFUNCTION("""COMPUTED_VALUE"""),"87o 51' 04""")</f>
        <v>87o 51' 04"</v>
      </c>
      <c r="M1135" s="2" t="str">
        <f>IFERROR(__xludf.DUMMYFUNCTION("""COMPUTED_VALUE"""),"Olangchung (Taplejung)")</f>
        <v>Olangchung (Taplejung)</v>
      </c>
    </row>
    <row r="1136">
      <c r="A1136" s="2">
        <f>IFERROR(__xludf.DUMMYFUNCTION("""COMPUTED_VALUE"""),1135.0)</f>
        <v>1135</v>
      </c>
      <c r="B1136" s="2" t="str">
        <f>IFERROR(__xludf.DUMMYFUNCTION("""COMPUTED_VALUE"""),"Roshi Khola HPP")</f>
        <v>Roshi Khola HPP</v>
      </c>
      <c r="C1136" s="2">
        <f>IFERROR(__xludf.DUMMYFUNCTION("""COMPUTED_VALUE"""),9.87)</f>
        <v>9.87</v>
      </c>
      <c r="D1136" s="2" t="str">
        <f>IFERROR(__xludf.DUMMYFUNCTION("""COMPUTED_VALUE"""),"Roshi")</f>
        <v>Roshi</v>
      </c>
      <c r="E1136" s="2">
        <f>IFERROR(__xludf.DUMMYFUNCTION("""COMPUTED_VALUE"""),4771.0)</f>
        <v>4771</v>
      </c>
      <c r="F1136" s="3">
        <f>IFERROR(__xludf.DUMMYFUNCTION("""COMPUTED_VALUE"""),60690.0)</f>
        <v>60690</v>
      </c>
      <c r="G1136" s="2" t="str">
        <f>IFERROR(__xludf.DUMMYFUNCTION("""COMPUTED_VALUE"""),"Shree IDS Energy Pvt Ltd")</f>
        <v>Shree IDS Energy Pvt Ltd</v>
      </c>
      <c r="H1136" s="2" t="str">
        <f>IFERROR(__xludf.DUMMYFUNCTION("""COMPUTED_VALUE"""),"GPO box: 516, Kathmandu, Tel: 5551616 Fax : 5551617")</f>
        <v>GPO box: 516, Kathmandu, Tel: 5551616 Fax : 5551617</v>
      </c>
      <c r="I1136" s="2" t="str">
        <f>IFERROR(__xludf.DUMMYFUNCTION("""COMPUTED_VALUE"""),"27o 26' 38""")</f>
        <v>27o 26' 38"</v>
      </c>
      <c r="J1136" s="2" t="str">
        <f>IFERROR(__xludf.DUMMYFUNCTION("""COMPUTED_VALUE"""),"27o 29' 53""")</f>
        <v>27o 29' 53"</v>
      </c>
      <c r="K1136" s="2" t="str">
        <f>IFERROR(__xludf.DUMMYFUNCTION("""COMPUTED_VALUE"""),"85o 43' 31""")</f>
        <v>85o 43' 31"</v>
      </c>
      <c r="L1136" s="2" t="str">
        <f>IFERROR(__xludf.DUMMYFUNCTION("""COMPUTED_VALUE"""),"86o 46' 31""")</f>
        <v>86o 46' 31"</v>
      </c>
      <c r="M1136" s="2" t="str">
        <f>IFERROR(__xludf.DUMMYFUNCTION("""COMPUTED_VALUE"""),"Kuruwas Chapakhori (Kavrepalanchok)")</f>
        <v>Kuruwas Chapakhori (Kavrepalanchok)</v>
      </c>
    </row>
    <row r="1137">
      <c r="A1137" s="2">
        <f>IFERROR(__xludf.DUMMYFUNCTION("""COMPUTED_VALUE"""),1136.0)</f>
        <v>1136</v>
      </c>
      <c r="B1137" s="2" t="str">
        <f>IFERROR(__xludf.DUMMYFUNCTION("""COMPUTED_VALUE"""),"Panch Pokhari HPP")</f>
        <v>Panch Pokhari HPP</v>
      </c>
      <c r="C1137" s="2">
        <f>IFERROR(__xludf.DUMMYFUNCTION("""COMPUTED_VALUE"""),6.5)</f>
        <v>6.5</v>
      </c>
      <c r="D1137" s="2" t="str">
        <f>IFERROR(__xludf.DUMMYFUNCTION("""COMPUTED_VALUE"""),"Khimti Khola")</f>
        <v>Khimti Khola</v>
      </c>
      <c r="E1137" s="2">
        <f>IFERROR(__xludf.DUMMYFUNCTION("""COMPUTED_VALUE"""),4831.0)</f>
        <v>4831</v>
      </c>
      <c r="F1137" s="2" t="str">
        <f>IFERROR(__xludf.DUMMYFUNCTION("""COMPUTED_VALUE"""),"2066-02-31")</f>
        <v>2066-02-31</v>
      </c>
      <c r="G1137" s="2" t="str">
        <f>IFERROR(__xludf.DUMMYFUNCTION("""COMPUTED_VALUE"""),"Panch Pokhari Khimti Hydropower Pvt Ltd")</f>
        <v>Panch Pokhari Khimti Hydropower Pvt Ltd</v>
      </c>
      <c r="H1137" s="2" t="str">
        <f>IFERROR(__xludf.DUMMYFUNCTION("""COMPUTED_VALUE"""),"GPO box: 8974, Kathmandu, Tel: 01-6213996")</f>
        <v>GPO box: 8974, Kathmandu, Tel: 01-6213996</v>
      </c>
      <c r="I1137" s="2" t="str">
        <f>IFERROR(__xludf.DUMMYFUNCTION("""COMPUTED_VALUE"""),"27o 38' 56""")</f>
        <v>27o 38' 56"</v>
      </c>
      <c r="J1137" s="2" t="str">
        <f>IFERROR(__xludf.DUMMYFUNCTION("""COMPUTED_VALUE"""),"27o 41' 30""")</f>
        <v>27o 41' 30"</v>
      </c>
      <c r="K1137" s="2" t="str">
        <f>IFERROR(__xludf.DUMMYFUNCTION("""COMPUTED_VALUE"""),"86o 19' 45""")</f>
        <v>86o 19' 45"</v>
      </c>
      <c r="L1137" s="2" t="str">
        <f>IFERROR(__xludf.DUMMYFUNCTION("""COMPUTED_VALUE"""),"86o 20' 55""")</f>
        <v>86o 20' 55"</v>
      </c>
      <c r="M1137" s="2" t="str">
        <f>IFERROR(__xludf.DUMMYFUNCTION("""COMPUTED_VALUE"""),"Syama (Dolakha) Chuchure (Ramechhap)")</f>
        <v>Syama (Dolakha) Chuchure (Ramechhap)</v>
      </c>
    </row>
    <row r="1138">
      <c r="A1138" s="2">
        <f>IFERROR(__xludf.DUMMYFUNCTION("""COMPUTED_VALUE"""),1137.0)</f>
        <v>1137</v>
      </c>
      <c r="B1138" s="2" t="str">
        <f>IFERROR(__xludf.DUMMYFUNCTION("""COMPUTED_VALUE"""),"Samari Khola SHP")</f>
        <v>Samari Khola SHP</v>
      </c>
      <c r="C1138" s="2">
        <f>IFERROR(__xludf.DUMMYFUNCTION("""COMPUTED_VALUE"""),0.412)</f>
        <v>0.412</v>
      </c>
      <c r="D1138" s="2" t="str">
        <f>IFERROR(__xludf.DUMMYFUNCTION("""COMPUTED_VALUE"""),"Samari Khola")</f>
        <v>Samari Khola</v>
      </c>
      <c r="E1138" s="2">
        <f>IFERROR(__xludf.DUMMYFUNCTION("""COMPUTED_VALUE"""),4833.0)</f>
        <v>4833</v>
      </c>
      <c r="F1138" s="3">
        <f>IFERROR(__xludf.DUMMYFUNCTION("""COMPUTED_VALUE"""),60692.0)</f>
        <v>60692</v>
      </c>
      <c r="G1138" s="2" t="str">
        <f>IFERROR(__xludf.DUMMYFUNCTION("""COMPUTED_VALUE"""),"Krishna Murari Chaulagain, Raj Kumar Chaulagain")</f>
        <v>Krishna Murari Chaulagain, Raj Kumar Chaulagain</v>
      </c>
      <c r="H1138" s="2" t="str">
        <f>IFERROR(__xludf.DUMMYFUNCTION("""COMPUTED_VALUE"""),"Kopundole, Lalitpur, Tel: 9841677694")</f>
        <v>Kopundole, Lalitpur, Tel: 9841677694</v>
      </c>
      <c r="I1138" s="2" t="str">
        <f>IFERROR(__xludf.DUMMYFUNCTION("""COMPUTED_VALUE"""),"27o 25' 40""")</f>
        <v>27o 25' 40"</v>
      </c>
      <c r="J1138" s="2" t="str">
        <f>IFERROR(__xludf.DUMMYFUNCTION("""COMPUTED_VALUE"""),"27o 26' 30""")</f>
        <v>27o 26' 30"</v>
      </c>
      <c r="K1138" s="2" t="str">
        <f>IFERROR(__xludf.DUMMYFUNCTION("""COMPUTED_VALUE"""),"85o 00' 05""")</f>
        <v>85o 00' 05"</v>
      </c>
      <c r="L1138" s="2" t="str">
        <f>IFERROR(__xludf.DUMMYFUNCTION("""COMPUTED_VALUE"""),"85o 09' 20""")</f>
        <v>85o 09' 20"</v>
      </c>
      <c r="M1138" s="2" t="str">
        <f>IFERROR(__xludf.DUMMYFUNCTION("""COMPUTED_VALUE"""),"Ambhanjyang,Makwanpurgadhi (Makawanpur)")</f>
        <v>Ambhanjyang,Makwanpurgadhi (Makawanpur)</v>
      </c>
    </row>
    <row r="1139">
      <c r="A1139" s="2">
        <f>IFERROR(__xludf.DUMMYFUNCTION("""COMPUTED_VALUE"""),1138.0)</f>
        <v>1138</v>
      </c>
      <c r="B1139" s="2" t="str">
        <f>IFERROR(__xludf.DUMMYFUNCTION("""COMPUTED_VALUE"""),"Upper Khimti-1 HPP")</f>
        <v>Upper Khimti-1 HPP</v>
      </c>
      <c r="C1139" s="2">
        <f>IFERROR(__xludf.DUMMYFUNCTION("""COMPUTED_VALUE"""),2.0)</f>
        <v>2</v>
      </c>
      <c r="D1139" s="2" t="str">
        <f>IFERROR(__xludf.DUMMYFUNCTION("""COMPUTED_VALUE"""),"Khimti Khola")</f>
        <v>Khimti Khola</v>
      </c>
      <c r="E1139" s="2">
        <f>IFERROR(__xludf.DUMMYFUNCTION("""COMPUTED_VALUE"""),4844.0)</f>
        <v>4844</v>
      </c>
      <c r="F1139" s="3">
        <f>IFERROR(__xludf.DUMMYFUNCTION("""COMPUTED_VALUE"""),60693.0)</f>
        <v>60693</v>
      </c>
      <c r="G1139" s="2" t="str">
        <f>IFERROR(__xludf.DUMMYFUNCTION("""COMPUTED_VALUE"""),"Global Hydropower Associate Pvt Ltd")</f>
        <v>Global Hydropower Associate Pvt Ltd</v>
      </c>
      <c r="H1139" s="2" t="str">
        <f>IFERROR(__xludf.DUMMYFUNCTION("""COMPUTED_VALUE"""),"GPO box: 8975, Kathmandu, Tel: 4472160")</f>
        <v>GPO box: 8975, Kathmandu, Tel: 4472160</v>
      </c>
      <c r="I1139" s="2" t="str">
        <f>IFERROR(__xludf.DUMMYFUNCTION("""COMPUTED_VALUE"""),"27o 41' 22""")</f>
        <v>27o 41' 22"</v>
      </c>
      <c r="J1139" s="2" t="str">
        <f>IFERROR(__xludf.DUMMYFUNCTION("""COMPUTED_VALUE"""),"27o 42' 30""")</f>
        <v>27o 42' 30"</v>
      </c>
      <c r="K1139" s="2" t="str">
        <f>IFERROR(__xludf.DUMMYFUNCTION("""COMPUTED_VALUE"""),"86o 20' 21""")</f>
        <v>86o 20' 21"</v>
      </c>
      <c r="L1139" s="2" t="str">
        <f>IFERROR(__xludf.DUMMYFUNCTION("""COMPUTED_VALUE"""),"86o 22' 25""")</f>
        <v>86o 22' 25"</v>
      </c>
      <c r="M1139" s="2" t="str">
        <f>IFERROR(__xludf.DUMMYFUNCTION("""COMPUTED_VALUE"""),"Syama (Dolakha)")</f>
        <v>Syama (Dolakha)</v>
      </c>
    </row>
    <row r="1140">
      <c r="A1140" s="2">
        <f>IFERROR(__xludf.DUMMYFUNCTION("""COMPUTED_VALUE"""),1139.0)</f>
        <v>1139</v>
      </c>
      <c r="B1140" s="2" t="str">
        <f>IFERROR(__xludf.DUMMYFUNCTION("""COMPUTED_VALUE"""),"Chepe Khola HPP")</f>
        <v>Chepe Khola HPP</v>
      </c>
      <c r="C1140" s="2">
        <f>IFERROR(__xludf.DUMMYFUNCTION("""COMPUTED_VALUE"""),9.0)</f>
        <v>9</v>
      </c>
      <c r="D1140" s="2" t="str">
        <f>IFERROR(__xludf.DUMMYFUNCTION("""COMPUTED_VALUE"""),"Chepe Khola")</f>
        <v>Chepe Khola</v>
      </c>
      <c r="E1140" s="2">
        <f>IFERROR(__xludf.DUMMYFUNCTION("""COMPUTED_VALUE"""),4847.0)</f>
        <v>4847</v>
      </c>
      <c r="F1140" s="3">
        <f>IFERROR(__xludf.DUMMYFUNCTION("""COMPUTED_VALUE"""),60693.0)</f>
        <v>60693</v>
      </c>
      <c r="G1140" s="2" t="str">
        <f>IFERROR(__xludf.DUMMYFUNCTION("""COMPUTED_VALUE"""),"Amar Gurung")</f>
        <v>Amar Gurung</v>
      </c>
      <c r="H1140" s="2" t="str">
        <f>IFERROR(__xludf.DUMMYFUNCTION("""COMPUTED_VALUE"""),"Arva Vijay VDC-9, Kaski Nepal")</f>
        <v>Arva Vijay VDC-9, Kaski Nepal</v>
      </c>
      <c r="I1140" s="2" t="str">
        <f>IFERROR(__xludf.DUMMYFUNCTION("""COMPUTED_VALUE"""),"28o 08' 31""")</f>
        <v>28o 08' 31"</v>
      </c>
      <c r="J1140" s="2" t="str">
        <f>IFERROR(__xludf.DUMMYFUNCTION("""COMPUTED_VALUE"""),"28o 10' 25""")</f>
        <v>28o 10' 25"</v>
      </c>
      <c r="K1140" s="2" t="str">
        <f>IFERROR(__xludf.DUMMYFUNCTION("""COMPUTED_VALUE"""),"84o 35' 26""")</f>
        <v>84o 35' 26"</v>
      </c>
      <c r="L1140" s="2" t="str">
        <f>IFERROR(__xludf.DUMMYFUNCTION("""COMPUTED_VALUE"""),"84o 37' 15""")</f>
        <v>84o 37' 15"</v>
      </c>
      <c r="M1140" s="2" t="str">
        <f>IFERROR(__xludf.DUMMYFUNCTION("""COMPUTED_VALUE"""),"Hanspur (Gorkha)")</f>
        <v>Hanspur (Gorkha)</v>
      </c>
    </row>
    <row r="1141">
      <c r="A1141" s="2">
        <f>IFERROR(__xludf.DUMMYFUNCTION("""COMPUTED_VALUE"""),1140.0)</f>
        <v>1140</v>
      </c>
      <c r="B1141" s="2" t="str">
        <f>IFERROR(__xludf.DUMMYFUNCTION("""COMPUTED_VALUE"""),"Galdu Khola SHP")</f>
        <v>Galdu Khola SHP</v>
      </c>
      <c r="C1141" s="2">
        <f>IFERROR(__xludf.DUMMYFUNCTION("""COMPUTED_VALUE"""),0.99)</f>
        <v>0.99</v>
      </c>
      <c r="D1141" s="2" t="str">
        <f>IFERROR(__xludf.DUMMYFUNCTION("""COMPUTED_VALUE"""),"Galdu")</f>
        <v>Galdu</v>
      </c>
      <c r="E1141" s="2">
        <f>IFERROR(__xludf.DUMMYFUNCTION("""COMPUTED_VALUE"""),4891.0)</f>
        <v>4891</v>
      </c>
      <c r="F1141" s="3">
        <f>IFERROR(__xludf.DUMMYFUNCTION("""COMPUTED_VALUE"""),60696.0)</f>
        <v>60696</v>
      </c>
      <c r="G1141" s="2" t="str">
        <f>IFERROR(__xludf.DUMMYFUNCTION("""COMPUTED_VALUE"""),"Energy Links Pvt Ltd")</f>
        <v>Energy Links Pvt Ltd</v>
      </c>
      <c r="H1141" s="2" t="str">
        <f>IFERROR(__xludf.DUMMYFUNCTION("""COMPUTED_VALUE"""),"Dhapasi-8 , Kathmandu Tel: 4356587")</f>
        <v>Dhapasi-8 , Kathmandu Tel: 4356587</v>
      </c>
      <c r="I1141" s="2" t="str">
        <f>IFERROR(__xludf.DUMMYFUNCTION("""COMPUTED_VALUE"""),"28o 25' 00""")</f>
        <v>28o 25' 00"</v>
      </c>
      <c r="J1141" s="2" t="str">
        <f>IFERROR(__xludf.DUMMYFUNCTION("""COMPUTED_VALUE"""),"28o 26' 35""")</f>
        <v>28o 26' 35"</v>
      </c>
      <c r="K1141" s="2" t="str">
        <f>IFERROR(__xludf.DUMMYFUNCTION("""COMPUTED_VALUE"""),"84o 21' 28""")</f>
        <v>84o 21' 28"</v>
      </c>
      <c r="L1141" s="2" t="str">
        <f>IFERROR(__xludf.DUMMYFUNCTION("""COMPUTED_VALUE"""),"84o 23' 55""")</f>
        <v>84o 23' 55"</v>
      </c>
      <c r="M1141" s="2" t="str">
        <f>IFERROR(__xludf.DUMMYFUNCTION("""COMPUTED_VALUE"""),"Taghring (Lamjung)")</f>
        <v>Taghring (Lamjung)</v>
      </c>
    </row>
    <row r="1142">
      <c r="A1142" s="2">
        <f>IFERROR(__xludf.DUMMYFUNCTION("""COMPUTED_VALUE"""),1141.0)</f>
        <v>1141</v>
      </c>
      <c r="B1142" s="2" t="str">
        <f>IFERROR(__xludf.DUMMYFUNCTION("""COMPUTED_VALUE"""),"Rara Khola SHP")</f>
        <v>Rara Khola SHP</v>
      </c>
      <c r="C1142" s="2">
        <f>IFERROR(__xludf.DUMMYFUNCTION("""COMPUTED_VALUE"""),1.0)</f>
        <v>1</v>
      </c>
      <c r="D1142" s="2" t="str">
        <f>IFERROR(__xludf.DUMMYFUNCTION("""COMPUTED_VALUE"""),"Rara")</f>
        <v>Rara</v>
      </c>
      <c r="E1142" s="2">
        <f>IFERROR(__xludf.DUMMYFUNCTION("""COMPUTED_VALUE"""),4899.0)</f>
        <v>4899</v>
      </c>
      <c r="F1142" s="3">
        <f>IFERROR(__xludf.DUMMYFUNCTION("""COMPUTED_VALUE"""),60696.0)</f>
        <v>60696</v>
      </c>
      <c r="G1142" s="2" t="str">
        <f>IFERROR(__xludf.DUMMYFUNCTION("""COMPUTED_VALUE"""),"Muktishree Pvt Ltd")</f>
        <v>Muktishree Pvt Ltd</v>
      </c>
      <c r="H1142" s="2" t="str">
        <f>IFERROR(__xludf.DUMMYFUNCTION("""COMPUTED_VALUE"""),"GPO box: 12557, Kathmandu, Tel: 4268572,Fax: 4268571")</f>
        <v>GPO box: 12557, Kathmandu, Tel: 4268572,Fax: 4268571</v>
      </c>
      <c r="I1142" s="2" t="str">
        <f>IFERROR(__xludf.DUMMYFUNCTION("""COMPUTED_VALUE"""),"29o 30' 00""")</f>
        <v>29o 30' 00"</v>
      </c>
      <c r="J1142" s="2" t="str">
        <f>IFERROR(__xludf.DUMMYFUNCTION("""COMPUTED_VALUE"""),"29o 32' 30""")</f>
        <v>29o 32' 30"</v>
      </c>
      <c r="K1142" s="2" t="str">
        <f>IFERROR(__xludf.DUMMYFUNCTION("""COMPUTED_VALUE"""),"82o 00' 00""")</f>
        <v>82o 00' 00"</v>
      </c>
      <c r="L1142" s="2" t="str">
        <f>IFERROR(__xludf.DUMMYFUNCTION("""COMPUTED_VALUE"""),"82o 05' 00""")</f>
        <v>82o 05' 00"</v>
      </c>
      <c r="M1142" s="2" t="str">
        <f>IFERROR(__xludf.DUMMYFUNCTION("""COMPUTED_VALUE"""),"Karkibada (Mugu)")</f>
        <v>Karkibada (Mugu)</v>
      </c>
    </row>
    <row r="1143">
      <c r="A1143" s="2">
        <f>IFERROR(__xludf.DUMMYFUNCTION("""COMPUTED_VALUE"""),1142.0)</f>
        <v>1142</v>
      </c>
      <c r="B1143" s="2" t="str">
        <f>IFERROR(__xludf.DUMMYFUNCTION("""COMPUTED_VALUE"""),"Gorandi Khola SHP")</f>
        <v>Gorandi Khola SHP</v>
      </c>
      <c r="C1143" s="2">
        <f>IFERROR(__xludf.DUMMYFUNCTION("""COMPUTED_VALUE"""),0.96)</f>
        <v>0.96</v>
      </c>
      <c r="D1143" s="2" t="str">
        <f>IFERROR(__xludf.DUMMYFUNCTION("""COMPUTED_VALUE"""),"Gorandi")</f>
        <v>Gorandi</v>
      </c>
      <c r="E1143" s="2">
        <f>IFERROR(__xludf.DUMMYFUNCTION("""COMPUTED_VALUE"""),4901.0)</f>
        <v>4901</v>
      </c>
      <c r="F1143" s="3">
        <f>IFERROR(__xludf.DUMMYFUNCTION("""COMPUTED_VALUE"""),60696.0)</f>
        <v>60696</v>
      </c>
      <c r="G1143" s="2" t="str">
        <f>IFERROR(__xludf.DUMMYFUNCTION("""COMPUTED_VALUE"""),"R.K. Chaulagain, Krishna Murari Chaulagain, Sushil Paudel")</f>
        <v>R.K. Chaulagain, Krishna Murari Chaulagain, Sushil Paudel</v>
      </c>
      <c r="H1143" s="2" t="str">
        <f>IFERROR(__xludf.DUMMYFUNCTION("""COMPUTED_VALUE"""),"Jwagal, Kupandole-10,Lalitpur Tel: 9841677694")</f>
        <v>Jwagal, Kupandole-10,Lalitpur Tel: 9841677694</v>
      </c>
      <c r="I1143" s="2" t="str">
        <f>IFERROR(__xludf.DUMMYFUNCTION("""COMPUTED_VALUE"""),"27o 34' 00""")</f>
        <v>27o 34' 00"</v>
      </c>
      <c r="J1143" s="2" t="str">
        <f>IFERROR(__xludf.DUMMYFUNCTION("""COMPUTED_VALUE"""),"27o 37' 30""")</f>
        <v>27o 37' 30"</v>
      </c>
      <c r="K1143" s="2" t="str">
        <f>IFERROR(__xludf.DUMMYFUNCTION("""COMPUTED_VALUE"""),"84o 52' 30""")</f>
        <v>84o 52' 30"</v>
      </c>
      <c r="L1143" s="2" t="str">
        <f>IFERROR(__xludf.DUMMYFUNCTION("""COMPUTED_VALUE"""),"84o 54' 00""")</f>
        <v>84o 54' 00"</v>
      </c>
      <c r="M1143" s="2" t="str">
        <f>IFERROR(__xludf.DUMMYFUNCTION("""COMPUTED_VALUE"""),"Khairang (Makawanpur)")</f>
        <v>Khairang (Makawanpur)</v>
      </c>
    </row>
    <row r="1144">
      <c r="A1144" s="2">
        <f>IFERROR(__xludf.DUMMYFUNCTION("""COMPUTED_VALUE"""),1143.0)</f>
        <v>1143</v>
      </c>
      <c r="B1144" s="2" t="str">
        <f>IFERROR(__xludf.DUMMYFUNCTION("""COMPUTED_VALUE"""),"Kali Khoa SHP")</f>
        <v>Kali Khoa SHP</v>
      </c>
      <c r="C1144" s="2">
        <f>IFERROR(__xludf.DUMMYFUNCTION("""COMPUTED_VALUE"""),0.8)</f>
        <v>0.8</v>
      </c>
      <c r="D1144" s="2" t="str">
        <f>IFERROR(__xludf.DUMMYFUNCTION("""COMPUTED_VALUE"""),"Kali Khola")</f>
        <v>Kali Khola</v>
      </c>
      <c r="E1144" s="2">
        <f>IFERROR(__xludf.DUMMYFUNCTION("""COMPUTED_VALUE"""),4902.0)</f>
        <v>4902</v>
      </c>
      <c r="F1144" s="3">
        <f>IFERROR(__xludf.DUMMYFUNCTION("""COMPUTED_VALUE"""),60696.0)</f>
        <v>60696</v>
      </c>
      <c r="G1144" s="2" t="str">
        <f>IFERROR(__xludf.DUMMYFUNCTION("""COMPUTED_VALUE"""),"K.M. Chaulagain, R.K.Chaulagain")</f>
        <v>K.M. Chaulagain, R.K.Chaulagain</v>
      </c>
      <c r="H1144" s="2" t="str">
        <f>IFERROR(__xludf.DUMMYFUNCTION("""COMPUTED_VALUE"""),"Kupandole-10, Lalitpur")</f>
        <v>Kupandole-10, Lalitpur</v>
      </c>
      <c r="I1144" s="2" t="str">
        <f>IFERROR(__xludf.DUMMYFUNCTION("""COMPUTED_VALUE"""),"27o 30' 30""")</f>
        <v>27o 30' 30"</v>
      </c>
      <c r="J1144" s="2" t="str">
        <f>IFERROR(__xludf.DUMMYFUNCTION("""COMPUTED_VALUE"""),"27o 35' 00""")</f>
        <v>27o 35' 00"</v>
      </c>
      <c r="K1144" s="2" t="str">
        <f>IFERROR(__xludf.DUMMYFUNCTION("""COMPUTED_VALUE"""),"84o 54' 30""")</f>
        <v>84o 54' 30"</v>
      </c>
      <c r="L1144" s="2" t="str">
        <f>IFERROR(__xludf.DUMMYFUNCTION("""COMPUTED_VALUE"""),"84o 56' 30""")</f>
        <v>84o 56' 30"</v>
      </c>
      <c r="M1144" s="2" t="str">
        <f>IFERROR(__xludf.DUMMYFUNCTION("""COMPUTED_VALUE"""),"Dadakharka (Makawanpur)")</f>
        <v>Dadakharka (Makawanpur)</v>
      </c>
    </row>
    <row r="1145">
      <c r="A1145" s="2">
        <f>IFERROR(__xludf.DUMMYFUNCTION("""COMPUTED_VALUE"""),1144.0)</f>
        <v>1144</v>
      </c>
      <c r="B1145" s="2" t="str">
        <f>IFERROR(__xludf.DUMMYFUNCTION("""COMPUTED_VALUE"""),"Chhamghat Khola SHP")</f>
        <v>Chhamghat Khola SHP</v>
      </c>
      <c r="C1145" s="2">
        <f>IFERROR(__xludf.DUMMYFUNCTION("""COMPUTED_VALUE"""),0.774)</f>
        <v>0.774</v>
      </c>
      <c r="D1145" s="2" t="str">
        <f>IFERROR(__xludf.DUMMYFUNCTION("""COMPUTED_VALUE"""),"Chhamghat")</f>
        <v>Chhamghat</v>
      </c>
      <c r="E1145" s="2">
        <f>IFERROR(__xludf.DUMMYFUNCTION("""COMPUTED_VALUE"""),4915.0)</f>
        <v>4915</v>
      </c>
      <c r="F1145" s="3">
        <f>IFERROR(__xludf.DUMMYFUNCTION("""COMPUTED_VALUE"""),60699.0)</f>
        <v>60699</v>
      </c>
      <c r="G1145" s="2" t="str">
        <f>IFERROR(__xludf.DUMMYFUNCTION("""COMPUTED_VALUE"""),"Sushil Poudel, Alok KC, Mahendra Khatiwara, Maniram Bista")</f>
        <v>Sushil Poudel, Alok KC, Mahendra Khatiwara, Maniram Bista</v>
      </c>
      <c r="H1145" s="2" t="str">
        <f>IFERROR(__xludf.DUMMYFUNCTION("""COMPUTED_VALUE"""),"GPO box: 11039, Kathmandu, Tel: 9841570182, 9851112293")</f>
        <v>GPO box: 11039, Kathmandu, Tel: 9841570182, 9851112293</v>
      </c>
      <c r="I1145" s="2" t="str">
        <f>IFERROR(__xludf.DUMMYFUNCTION("""COMPUTED_VALUE"""),"28o 48' 17""")</f>
        <v>28o 48' 17"</v>
      </c>
      <c r="J1145" s="2" t="str">
        <f>IFERROR(__xludf.DUMMYFUNCTION("""COMPUTED_VALUE"""),"28o 52' 08""")</f>
        <v>28o 52' 08"</v>
      </c>
      <c r="K1145" s="2" t="str">
        <f>IFERROR(__xludf.DUMMYFUNCTION("""COMPUTED_VALUE"""),"81o 40' 33""")</f>
        <v>81o 40' 33"</v>
      </c>
      <c r="L1145" s="2" t="str">
        <f>IFERROR(__xludf.DUMMYFUNCTION("""COMPUTED_VALUE"""),"81o 41' 00""")</f>
        <v>81o 41' 00"</v>
      </c>
      <c r="M1145" s="2" t="str">
        <f>IFERROR(__xludf.DUMMYFUNCTION("""COMPUTED_VALUE"""),"Kal Bhairab (Dailekh)")</f>
        <v>Kal Bhairab (Dailekh)</v>
      </c>
    </row>
    <row r="1146">
      <c r="A1146" s="2">
        <f>IFERROR(__xludf.DUMMYFUNCTION("""COMPUTED_VALUE"""),1145.0)</f>
        <v>1145</v>
      </c>
      <c r="B1146" s="2" t="str">
        <f>IFERROR(__xludf.DUMMYFUNCTION("""COMPUTED_VALUE"""),"Super Sanjen HPP")</f>
        <v>Super Sanjen HPP</v>
      </c>
      <c r="C1146" s="2">
        <f>IFERROR(__xludf.DUMMYFUNCTION("""COMPUTED_VALUE"""),7.0)</f>
        <v>7</v>
      </c>
      <c r="D1146" s="2" t="str">
        <f>IFERROR(__xludf.DUMMYFUNCTION("""COMPUTED_VALUE"""),"Sanjen")</f>
        <v>Sanjen</v>
      </c>
      <c r="E1146" s="2">
        <f>IFERROR(__xludf.DUMMYFUNCTION("""COMPUTED_VALUE"""),4917.0)</f>
        <v>4917</v>
      </c>
      <c r="F1146" s="3">
        <f>IFERROR(__xludf.DUMMYFUNCTION("""COMPUTED_VALUE"""),60699.0)</f>
        <v>60699</v>
      </c>
      <c r="G1146" s="2" t="str">
        <f>IFERROR(__xludf.DUMMYFUNCTION("""COMPUTED_VALUE"""),"Ronga Hydropower Company Ltd")</f>
        <v>Ronga Hydropower Company Ltd</v>
      </c>
      <c r="H1146" s="2" t="str">
        <f>IFERROR(__xludf.DUMMYFUNCTION("""COMPUTED_VALUE"""),"GPO box: 7446, Kathmandu, Tel: 977-1-4381068, Fax: 4026660")</f>
        <v>GPO box: 7446, Kathmandu, Tel: 977-1-4381068, Fax: 4026660</v>
      </c>
      <c r="I1146" s="2" t="str">
        <f>IFERROR(__xludf.DUMMYFUNCTION("""COMPUTED_VALUE"""),"28o 14' 11""")</f>
        <v>28o 14' 11"</v>
      </c>
      <c r="J1146" s="2" t="str">
        <f>IFERROR(__xludf.DUMMYFUNCTION("""COMPUTED_VALUE"""),"28o 17' 04""")</f>
        <v>28o 17' 04"</v>
      </c>
      <c r="K1146" s="2" t="str">
        <f>IFERROR(__xludf.DUMMYFUNCTION("""COMPUTED_VALUE"""),"85o 15' 00""")</f>
        <v>85o 15' 00"</v>
      </c>
      <c r="L1146" s="2" t="str">
        <f>IFERROR(__xludf.DUMMYFUNCTION("""COMPUTED_VALUE"""),"85o 16' 49""")</f>
        <v>85o 16' 49"</v>
      </c>
      <c r="M1146" s="2" t="str">
        <f>IFERROR(__xludf.DUMMYFUNCTION("""COMPUTED_VALUE"""),"Chilime (Rasuwa)")</f>
        <v>Chilime (Rasuwa)</v>
      </c>
    </row>
    <row r="1147">
      <c r="A1147" s="2">
        <f>IFERROR(__xludf.DUMMYFUNCTION("""COMPUTED_VALUE"""),1146.0)</f>
        <v>1146</v>
      </c>
      <c r="B1147" s="2" t="str">
        <f>IFERROR(__xludf.DUMMYFUNCTION("""COMPUTED_VALUE"""),"Upper Salakhu HPP")</f>
        <v>Upper Salakhu HPP</v>
      </c>
      <c r="C1147" s="2">
        <f>IFERROR(__xludf.DUMMYFUNCTION("""COMPUTED_VALUE"""),0.98)</f>
        <v>0.98</v>
      </c>
      <c r="D1147" s="2" t="str">
        <f>IFERROR(__xludf.DUMMYFUNCTION("""COMPUTED_VALUE"""),"Salakhu")</f>
        <v>Salakhu</v>
      </c>
      <c r="E1147" s="2">
        <f>IFERROR(__xludf.DUMMYFUNCTION("""COMPUTED_VALUE"""),4918.0)</f>
        <v>4918</v>
      </c>
      <c r="F1147" s="3">
        <f>IFERROR(__xludf.DUMMYFUNCTION("""COMPUTED_VALUE"""),60699.0)</f>
        <v>60699</v>
      </c>
      <c r="G1147" s="2" t="str">
        <f>IFERROR(__xludf.DUMMYFUNCTION("""COMPUTED_VALUE"""),"White Hydro Energy Company Pvt Ltd")</f>
        <v>White Hydro Energy Company Pvt Ltd</v>
      </c>
      <c r="H1147" s="2" t="str">
        <f>IFERROR(__xludf.DUMMYFUNCTION("""COMPUTED_VALUE"""),"GPO box: 7446, Kathmandu, Tel: 4381068")</f>
        <v>GPO box: 7446, Kathmandu, Tel: 4381068</v>
      </c>
      <c r="I1147" s="2" t="str">
        <f>IFERROR(__xludf.DUMMYFUNCTION("""COMPUTED_VALUE"""),"27o 59' 25""")</f>
        <v>27o 59' 25"</v>
      </c>
      <c r="J1147" s="2" t="str">
        <f>IFERROR(__xludf.DUMMYFUNCTION("""COMPUTED_VALUE"""),"28o 00' 00""")</f>
        <v>28o 00' 00"</v>
      </c>
      <c r="K1147" s="2" t="str">
        <f>IFERROR(__xludf.DUMMYFUNCTION("""COMPUTED_VALUE"""),"85o 06' 50""")</f>
        <v>85o 06' 50"</v>
      </c>
      <c r="L1147" s="2" t="str">
        <f>IFERROR(__xludf.DUMMYFUNCTION("""COMPUTED_VALUE"""),"85o 07' 30""")</f>
        <v>85o 07' 30"</v>
      </c>
      <c r="M1147" s="2" t="str">
        <f>IFERROR(__xludf.DUMMYFUNCTION("""COMPUTED_VALUE"""),"Bungtang,Kaule (Nuwakot)")</f>
        <v>Bungtang,Kaule (Nuwakot)</v>
      </c>
    </row>
    <row r="1148">
      <c r="A1148" s="2">
        <f>IFERROR(__xludf.DUMMYFUNCTION("""COMPUTED_VALUE"""),1147.0)</f>
        <v>1147</v>
      </c>
      <c r="B1148" s="2" t="str">
        <f>IFERROR(__xludf.DUMMYFUNCTION("""COMPUTED_VALUE"""),"Mid Sanjen HPP")</f>
        <v>Mid Sanjen HPP</v>
      </c>
      <c r="C1148" s="2">
        <f>IFERROR(__xludf.DUMMYFUNCTION("""COMPUTED_VALUE"""),3.0)</f>
        <v>3</v>
      </c>
      <c r="D1148" s="2" t="str">
        <f>IFERROR(__xludf.DUMMYFUNCTION("""COMPUTED_VALUE"""),"Sanjen")</f>
        <v>Sanjen</v>
      </c>
      <c r="E1148" s="2">
        <f>IFERROR(__xludf.DUMMYFUNCTION("""COMPUTED_VALUE"""),4920.0)</f>
        <v>4920</v>
      </c>
      <c r="F1148" s="3">
        <f>IFERROR(__xludf.DUMMYFUNCTION("""COMPUTED_VALUE"""),60699.0)</f>
        <v>60699</v>
      </c>
      <c r="G1148" s="2" t="str">
        <f>IFERROR(__xludf.DUMMYFUNCTION("""COMPUTED_VALUE"""),"Kesang D. Lama")</f>
        <v>Kesang D. Lama</v>
      </c>
      <c r="H1148" s="2" t="str">
        <f>IFERROR(__xludf.DUMMYFUNCTION("""COMPUTED_VALUE"""),"Lalitpur, Tel: 9741056685")</f>
        <v>Lalitpur, Tel: 9741056685</v>
      </c>
      <c r="I1148" s="2" t="str">
        <f>IFERROR(__xludf.DUMMYFUNCTION("""COMPUTED_VALUE"""),"28o 14' 21""")</f>
        <v>28o 14' 21"</v>
      </c>
      <c r="J1148" s="2" t="str">
        <f>IFERROR(__xludf.DUMMYFUNCTION("""COMPUTED_VALUE"""),"28o 15' 00""")</f>
        <v>28o 15' 00"</v>
      </c>
      <c r="K1148" s="2" t="str">
        <f>IFERROR(__xludf.DUMMYFUNCTION("""COMPUTED_VALUE"""),"85o 16' 27""")</f>
        <v>85o 16' 27"</v>
      </c>
      <c r="L1148" s="2" t="str">
        <f>IFERROR(__xludf.DUMMYFUNCTION("""COMPUTED_VALUE"""),"85o 17' 55""")</f>
        <v>85o 17' 55"</v>
      </c>
      <c r="M1148" s="2" t="str">
        <f>IFERROR(__xludf.DUMMYFUNCTION("""COMPUTED_VALUE"""),"Chilime (Rasuwa)")</f>
        <v>Chilime (Rasuwa)</v>
      </c>
    </row>
    <row r="1149">
      <c r="A1149" s="2">
        <f>IFERROR(__xludf.DUMMYFUNCTION("""COMPUTED_VALUE"""),1148.0)</f>
        <v>1148</v>
      </c>
      <c r="B1149" s="2" t="str">
        <f>IFERROR(__xludf.DUMMYFUNCTION("""COMPUTED_VALUE"""),"Middle Solu Khola -2 HPP")</f>
        <v>Middle Solu Khola -2 HPP</v>
      </c>
      <c r="C1149" s="2">
        <f>IFERROR(__xludf.DUMMYFUNCTION("""COMPUTED_VALUE"""),11.0)</f>
        <v>11</v>
      </c>
      <c r="D1149" s="2" t="str">
        <f>IFERROR(__xludf.DUMMYFUNCTION("""COMPUTED_VALUE"""),"Solu Khola")</f>
        <v>Solu Khola</v>
      </c>
      <c r="E1149" s="2">
        <f>IFERROR(__xludf.DUMMYFUNCTION("""COMPUTED_VALUE"""),4963.0)</f>
        <v>4963</v>
      </c>
      <c r="F1149" s="3">
        <f>IFERROR(__xludf.DUMMYFUNCTION("""COMPUTED_VALUE"""),60701.0)</f>
        <v>60701</v>
      </c>
      <c r="G1149" s="2" t="str">
        <f>IFERROR(__xludf.DUMMYFUNCTION("""COMPUTED_VALUE"""),"Emerald Hydropower Pvt Ltd")</f>
        <v>Emerald Hydropower Pvt Ltd</v>
      </c>
      <c r="H1149" s="2" t="str">
        <f>IFERROR(__xludf.DUMMYFUNCTION("""COMPUTED_VALUE"""),"Bhaktapur, Tel 01-6614731")</f>
        <v>Bhaktapur, Tel 01-6614731</v>
      </c>
      <c r="I1149" s="2" t="str">
        <f>IFERROR(__xludf.DUMMYFUNCTION("""COMPUTED_VALUE"""),"27o 27' 05""")</f>
        <v>27o 27' 05"</v>
      </c>
      <c r="J1149" s="2" t="str">
        <f>IFERROR(__xludf.DUMMYFUNCTION("""COMPUTED_VALUE"""),"27o 28' 45""")</f>
        <v>27o 28' 45"</v>
      </c>
      <c r="K1149" s="2" t="str">
        <f>IFERROR(__xludf.DUMMYFUNCTION("""COMPUTED_VALUE"""),"86o 33' 16""")</f>
        <v>86o 33' 16"</v>
      </c>
      <c r="L1149" s="2" t="str">
        <f>IFERROR(__xludf.DUMMYFUNCTION("""COMPUTED_VALUE"""),"86o 36' 18""")</f>
        <v>86o 36' 18"</v>
      </c>
      <c r="M1149" s="2" t="str">
        <f>IFERROR(__xludf.DUMMYFUNCTION("""COMPUTED_VALUE"""),"Garma,Salleri (Solukhumbu)")</f>
        <v>Garma,Salleri (Solukhumbu)</v>
      </c>
    </row>
    <row r="1150">
      <c r="A1150" s="2">
        <f>IFERROR(__xludf.DUMMYFUNCTION("""COMPUTED_VALUE"""),1149.0)</f>
        <v>1149</v>
      </c>
      <c r="B1150" s="2" t="str">
        <f>IFERROR(__xludf.DUMMYFUNCTION("""COMPUTED_VALUE"""),"Ikhuwa Khola SHP")</f>
        <v>Ikhuwa Khola SHP</v>
      </c>
      <c r="C1150" s="2">
        <f>IFERROR(__xludf.DUMMYFUNCTION("""COMPUTED_VALUE"""),1.0)</f>
        <v>1</v>
      </c>
      <c r="D1150" s="2" t="str">
        <f>IFERROR(__xludf.DUMMYFUNCTION("""COMPUTED_VALUE"""),"Ikhuwa")</f>
        <v>Ikhuwa</v>
      </c>
      <c r="E1150" s="2">
        <f>IFERROR(__xludf.DUMMYFUNCTION("""COMPUTED_VALUE"""),4964.0)</f>
        <v>4964</v>
      </c>
      <c r="F1150" s="3">
        <f>IFERROR(__xludf.DUMMYFUNCTION("""COMPUTED_VALUE"""),60702.0)</f>
        <v>60702</v>
      </c>
      <c r="G1150" s="2" t="str">
        <f>IFERROR(__xludf.DUMMYFUNCTION("""COMPUTED_VALUE"""),"Lalit Kumar Parajuli, Tirtha Bahadur Parajuli")</f>
        <v>Lalit Kumar Parajuli, Tirtha Bahadur Parajuli</v>
      </c>
      <c r="H1150" s="2" t="str">
        <f>IFERROR(__xludf.DUMMYFUNCTION("""COMPUTED_VALUE"""),"Pathibhara VDC-4 , Sankhuwasabha")</f>
        <v>Pathibhara VDC-4 , Sankhuwasabha</v>
      </c>
      <c r="I1150" s="2" t="str">
        <f>IFERROR(__xludf.DUMMYFUNCTION("""COMPUTED_VALUE"""),"27o 35' 06""")</f>
        <v>27o 35' 06"</v>
      </c>
      <c r="J1150" s="2" t="str">
        <f>IFERROR(__xludf.DUMMYFUNCTION("""COMPUTED_VALUE"""),"27o 36' 44""")</f>
        <v>27o 36' 44"</v>
      </c>
      <c r="K1150" s="2" t="str">
        <f>IFERROR(__xludf.DUMMYFUNCTION("""COMPUTED_VALUE"""),"87o 21' 16""")</f>
        <v>87o 21' 16"</v>
      </c>
      <c r="L1150" s="2" t="str">
        <f>IFERROR(__xludf.DUMMYFUNCTION("""COMPUTED_VALUE"""),"87o 26' 09""")</f>
        <v>87o 26' 09"</v>
      </c>
      <c r="M1150" s="2" t="str">
        <f>IFERROR(__xludf.DUMMYFUNCTION("""COMPUTED_VALUE"""),"Pawakhola (Sankhuwasabha)")</f>
        <v>Pawakhola (Sankhuwasabha)</v>
      </c>
    </row>
    <row r="1151">
      <c r="A1151" s="2">
        <f>IFERROR(__xludf.DUMMYFUNCTION("""COMPUTED_VALUE"""),1150.0)</f>
        <v>1150</v>
      </c>
      <c r="B1151" s="2" t="str">
        <f>IFERROR(__xludf.DUMMYFUNCTION("""COMPUTED_VALUE"""),"Sanjen Khola HPP")</f>
        <v>Sanjen Khola HPP</v>
      </c>
      <c r="C1151" s="2">
        <f>IFERROR(__xludf.DUMMYFUNCTION("""COMPUTED_VALUE"""),4.0)</f>
        <v>4</v>
      </c>
      <c r="D1151" s="2" t="str">
        <f>IFERROR(__xludf.DUMMYFUNCTION("""COMPUTED_VALUE"""),"Sanjen")</f>
        <v>Sanjen</v>
      </c>
      <c r="E1151" s="2">
        <f>IFERROR(__xludf.DUMMYFUNCTION("""COMPUTED_VALUE"""),4991.0)</f>
        <v>4991</v>
      </c>
      <c r="F1151" s="3">
        <f>IFERROR(__xludf.DUMMYFUNCTION("""COMPUTED_VALUE"""),60705.0)</f>
        <v>60705</v>
      </c>
      <c r="G1151" s="2" t="str">
        <f>IFERROR(__xludf.DUMMYFUNCTION("""COMPUTED_VALUE"""),"Janki Adhikari, Mira Adhikari, Sabita Adhikari")</f>
        <v>Janki Adhikari, Mira Adhikari, Sabita Adhikari</v>
      </c>
      <c r="H1151" s="2" t="str">
        <f>IFERROR(__xludf.DUMMYFUNCTION("""COMPUTED_VALUE"""),"GPO Box: 24175, Kathmandu Tel: 9841614985")</f>
        <v>GPO Box: 24175, Kathmandu Tel: 9841614985</v>
      </c>
      <c r="I1151" s="2" t="str">
        <f>IFERROR(__xludf.DUMMYFUNCTION("""COMPUTED_VALUE"""),"28o 14' 21""")</f>
        <v>28o 14' 21"</v>
      </c>
      <c r="J1151" s="2" t="str">
        <f>IFERROR(__xludf.DUMMYFUNCTION("""COMPUTED_VALUE"""),"28o 15' 00""")</f>
        <v>28o 15' 00"</v>
      </c>
      <c r="K1151" s="2" t="str">
        <f>IFERROR(__xludf.DUMMYFUNCTION("""COMPUTED_VALUE"""),"85o 16' 00""")</f>
        <v>85o 16' 00"</v>
      </c>
      <c r="L1151" s="2" t="str">
        <f>IFERROR(__xludf.DUMMYFUNCTION("""COMPUTED_VALUE"""),"85o 18' 00""")</f>
        <v>85o 18' 00"</v>
      </c>
      <c r="M1151" s="2" t="str">
        <f>IFERROR(__xludf.DUMMYFUNCTION("""COMPUTED_VALUE"""),"Chilime (Rasuwa)")</f>
        <v>Chilime (Rasuwa)</v>
      </c>
    </row>
    <row r="1152">
      <c r="A1152" s="2">
        <f>IFERROR(__xludf.DUMMYFUNCTION("""COMPUTED_VALUE"""),1151.0)</f>
        <v>1151</v>
      </c>
      <c r="B1152" s="2" t="str">
        <f>IFERROR(__xludf.DUMMYFUNCTION("""COMPUTED_VALUE"""),"Jhyari Khola HPP")</f>
        <v>Jhyari Khola HPP</v>
      </c>
      <c r="C1152" s="2">
        <f>IFERROR(__xludf.DUMMYFUNCTION("""COMPUTED_VALUE"""),1.15)</f>
        <v>1.15</v>
      </c>
      <c r="D1152" s="2" t="str">
        <f>IFERROR(__xludf.DUMMYFUNCTION("""COMPUTED_VALUE"""),"Jhyari Khola")</f>
        <v>Jhyari Khola</v>
      </c>
      <c r="E1152" s="2">
        <f>IFERROR(__xludf.DUMMYFUNCTION("""COMPUTED_VALUE"""),5005.0)</f>
        <v>5005</v>
      </c>
      <c r="F1152" s="3">
        <f>IFERROR(__xludf.DUMMYFUNCTION("""COMPUTED_VALUE"""),60705.0)</f>
        <v>60705</v>
      </c>
      <c r="G1152" s="2" t="str">
        <f>IFERROR(__xludf.DUMMYFUNCTION("""COMPUTED_VALUE"""),"Udarshan Shrestha")</f>
        <v>Udarshan Shrestha</v>
      </c>
      <c r="H1152" s="2" t="str">
        <f>IFERROR(__xludf.DUMMYFUNCTION("""COMPUTED_VALUE"""),"Kathmandu Municipaity-27, Tel: 4249248")</f>
        <v>Kathmandu Municipaity-27, Tel: 4249248</v>
      </c>
      <c r="I1152" s="2" t="str">
        <f>IFERROR(__xludf.DUMMYFUNCTION("""COMPUTED_VALUE"""),"27o 46' 24""")</f>
        <v>27o 46' 24"</v>
      </c>
      <c r="J1152" s="2" t="str">
        <f>IFERROR(__xludf.DUMMYFUNCTION("""COMPUTED_VALUE"""),"27o 48' 19""")</f>
        <v>27o 48' 19"</v>
      </c>
      <c r="K1152" s="2" t="str">
        <f>IFERROR(__xludf.DUMMYFUNCTION("""COMPUTED_VALUE"""),"85o 40' 00""")</f>
        <v>85o 40' 00"</v>
      </c>
      <c r="L1152" s="2" t="str">
        <f>IFERROR(__xludf.DUMMYFUNCTION("""COMPUTED_VALUE"""),"85o 41' 30""")</f>
        <v>85o 41' 30"</v>
      </c>
      <c r="M1152" s="2" t="str">
        <f>IFERROR(__xludf.DUMMYFUNCTION("""COMPUTED_VALUE"""),"Kunchok,Pipaldanda (Sindhupalchok)")</f>
        <v>Kunchok,Pipaldanda (Sindhupalchok)</v>
      </c>
    </row>
    <row r="1153">
      <c r="A1153" s="2">
        <f>IFERROR(__xludf.DUMMYFUNCTION("""COMPUTED_VALUE"""),1152.0)</f>
        <v>1152</v>
      </c>
      <c r="B1153" s="2" t="str">
        <f>IFERROR(__xludf.DUMMYFUNCTION("""COMPUTED_VALUE"""),"Sunkoshi-3 HPP")</f>
        <v>Sunkoshi-3 HPP</v>
      </c>
      <c r="C1153" s="2">
        <f>IFERROR(__xludf.DUMMYFUNCTION("""COMPUTED_VALUE"""),536.0)</f>
        <v>536</v>
      </c>
      <c r="D1153" s="2" t="str">
        <f>IFERROR(__xludf.DUMMYFUNCTION("""COMPUTED_VALUE"""),"Sun Koshi")</f>
        <v>Sun Koshi</v>
      </c>
      <c r="E1153" s="2">
        <f>IFERROR(__xludf.DUMMYFUNCTION("""COMPUTED_VALUE"""),1564.0)</f>
        <v>1564</v>
      </c>
      <c r="F1153" s="3">
        <f>IFERROR(__xludf.DUMMYFUNCTION("""COMPUTED_VALUE"""),60706.0)</f>
        <v>60706</v>
      </c>
      <c r="G1153" s="2" t="str">
        <f>IFERROR(__xludf.DUMMYFUNCTION("""COMPUTED_VALUE"""),"Corporate Ispat Alloys Ltd , Bhatbhateni Power Private Limited")</f>
        <v>Corporate Ispat Alloys Ltd , Bhatbhateni Power Private Limited</v>
      </c>
      <c r="H1153" s="2" t="str">
        <f>IFERROR(__xludf.DUMMYFUNCTION("""COMPUTED_VALUE"""),"Kathmandu Municipality-23 , Kathmandu")</f>
        <v>Kathmandu Municipality-23 , Kathmandu</v>
      </c>
      <c r="I1153" s="2" t="str">
        <f>IFERROR(__xludf.DUMMYFUNCTION("""COMPUTED_VALUE"""),"27o 30' 00""")</f>
        <v>27o 30' 00"</v>
      </c>
      <c r="J1153" s="2" t="str">
        <f>IFERROR(__xludf.DUMMYFUNCTION("""COMPUTED_VALUE"""),"27o 45' 00""")</f>
        <v>27o 45' 00"</v>
      </c>
      <c r="K1153" s="2" t="str">
        <f>IFERROR(__xludf.DUMMYFUNCTION("""COMPUTED_VALUE"""),"85o 37' 30""")</f>
        <v>85o 37' 30"</v>
      </c>
      <c r="L1153" s="2" t="str">
        <f>IFERROR(__xludf.DUMMYFUNCTION("""COMPUTED_VALUE"""),"85o 50' 00""")</f>
        <v>85o 50' 00"</v>
      </c>
      <c r="M1153" s="2" t="str">
        <f>IFERROR(__xludf.DUMMYFUNCTION("""COMPUTED_VALUE"""),"Panchkhal (Kavrepalanchok)")</f>
        <v>Panchkhal (Kavrepalanchok)</v>
      </c>
    </row>
    <row r="1154">
      <c r="A1154" s="2">
        <f>IFERROR(__xludf.DUMMYFUNCTION("""COMPUTED_VALUE"""),1153.0)</f>
        <v>1153</v>
      </c>
      <c r="B1154" s="2" t="str">
        <f>IFERROR(__xludf.DUMMYFUNCTION("""COMPUTED_VALUE"""),"Ikhuwa Khola SHP")</f>
        <v>Ikhuwa Khola SHP</v>
      </c>
      <c r="C1154" s="2">
        <f>IFERROR(__xludf.DUMMYFUNCTION("""COMPUTED_VALUE"""),0.99)</f>
        <v>0.99</v>
      </c>
      <c r="D1154" s="2" t="str">
        <f>IFERROR(__xludf.DUMMYFUNCTION("""COMPUTED_VALUE"""),"Ikhuwa")</f>
        <v>Ikhuwa</v>
      </c>
      <c r="E1154" s="2">
        <f>IFERROR(__xludf.DUMMYFUNCTION("""COMPUTED_VALUE"""),5019.0)</f>
        <v>5019</v>
      </c>
      <c r="F1154" s="3">
        <f>IFERROR(__xludf.DUMMYFUNCTION("""COMPUTED_VALUE"""),60706.0)</f>
        <v>60706</v>
      </c>
      <c r="G1154" s="2" t="str">
        <f>IFERROR(__xludf.DUMMYFUNCTION("""COMPUTED_VALUE"""),"Dharma Raj Rai")</f>
        <v>Dharma Raj Rai</v>
      </c>
      <c r="H1154" s="2" t="str">
        <f>IFERROR(__xludf.DUMMYFUNCTION("""COMPUTED_VALUE"""),"Sanpang, Bhojpur Tel: 9851108971")</f>
        <v>Sanpang, Bhojpur Tel: 9851108971</v>
      </c>
      <c r="I1154" s="2" t="str">
        <f>IFERROR(__xludf.DUMMYFUNCTION("""COMPUTED_VALUE"""),"27o 22' 24""")</f>
        <v>27o 22' 24"</v>
      </c>
      <c r="J1154" s="2" t="str">
        <f>IFERROR(__xludf.DUMMYFUNCTION("""COMPUTED_VALUE"""),"27o 23' 43""")</f>
        <v>27o 23' 43"</v>
      </c>
      <c r="K1154" s="2" t="str">
        <f>IFERROR(__xludf.DUMMYFUNCTION("""COMPUTED_VALUE"""),"87o 00' 06""")</f>
        <v>87o 00' 06"</v>
      </c>
      <c r="L1154" s="2" t="str">
        <f>IFERROR(__xludf.DUMMYFUNCTION("""COMPUTED_VALUE"""),"87o 01' 59""")</f>
        <v>87o 01' 59"</v>
      </c>
      <c r="M1154" s="2" t="str">
        <f>IFERROR(__xludf.DUMMYFUNCTION("""COMPUTED_VALUE"""),"Khatamma (Bhojpur)")</f>
        <v>Khatamma (Bhojpur)</v>
      </c>
    </row>
    <row r="1155">
      <c r="A1155" s="2">
        <f>IFERROR(__xludf.DUMMYFUNCTION("""COMPUTED_VALUE"""),1154.0)</f>
        <v>1154</v>
      </c>
      <c r="B1155" s="2" t="str">
        <f>IFERROR(__xludf.DUMMYFUNCTION("""COMPUTED_VALUE"""),"Ikhuwa Khola SHP")</f>
        <v>Ikhuwa Khola SHP</v>
      </c>
      <c r="C1155" s="2">
        <f>IFERROR(__xludf.DUMMYFUNCTION("""COMPUTED_VALUE"""),0.97)</f>
        <v>0.97</v>
      </c>
      <c r="D1155" s="2" t="str">
        <f>IFERROR(__xludf.DUMMYFUNCTION("""COMPUTED_VALUE"""),"Ikhuwa")</f>
        <v>Ikhuwa</v>
      </c>
      <c r="E1155" s="2">
        <f>IFERROR(__xludf.DUMMYFUNCTION("""COMPUTED_VALUE"""),5020.0)</f>
        <v>5020</v>
      </c>
      <c r="F1155" s="3">
        <f>IFERROR(__xludf.DUMMYFUNCTION("""COMPUTED_VALUE"""),60706.0)</f>
        <v>60706</v>
      </c>
      <c r="G1155" s="2" t="str">
        <f>IFERROR(__xludf.DUMMYFUNCTION("""COMPUTED_VALUE"""),"Bikram Bista")</f>
        <v>Bikram Bista</v>
      </c>
      <c r="H1155" s="2" t="str">
        <f>IFERROR(__xludf.DUMMYFUNCTION("""COMPUTED_VALUE"""),"Sidheswar, Bhojpur")</f>
        <v>Sidheswar, Bhojpur</v>
      </c>
      <c r="I1155" s="2" t="str">
        <f>IFERROR(__xludf.DUMMYFUNCTION("""COMPUTED_VALUE"""),"27o 22' 42""")</f>
        <v>27o 22' 42"</v>
      </c>
      <c r="J1155" s="2" t="str">
        <f>IFERROR(__xludf.DUMMYFUNCTION("""COMPUTED_VALUE"""),"27o 23' 50""")</f>
        <v>27o 23' 50"</v>
      </c>
      <c r="K1155" s="2" t="str">
        <f>IFERROR(__xludf.DUMMYFUNCTION("""COMPUTED_VALUE"""),"87o 02' 03""")</f>
        <v>87o 02' 03"</v>
      </c>
      <c r="L1155" s="2" t="str">
        <f>IFERROR(__xludf.DUMMYFUNCTION("""COMPUTED_VALUE"""),"87o 03' 45""")</f>
        <v>87o 03' 45"</v>
      </c>
      <c r="M1155" s="2" t="str">
        <f>IFERROR(__xludf.DUMMYFUNCTION("""COMPUTED_VALUE"""),"Khatamma (Bhojpur)")</f>
        <v>Khatamma (Bhojpur)</v>
      </c>
    </row>
    <row r="1156">
      <c r="A1156" s="2">
        <f>IFERROR(__xludf.DUMMYFUNCTION("""COMPUTED_VALUE"""),1155.0)</f>
        <v>1155</v>
      </c>
      <c r="B1156" s="2" t="str">
        <f>IFERROR(__xludf.DUMMYFUNCTION("""COMPUTED_VALUE"""),"Ulli Khola SHP")</f>
        <v>Ulli Khola SHP</v>
      </c>
      <c r="C1156" s="2">
        <f>IFERROR(__xludf.DUMMYFUNCTION("""COMPUTED_VALUE"""),0.1)</f>
        <v>0.1</v>
      </c>
      <c r="D1156" s="2" t="str">
        <f>IFERROR(__xludf.DUMMYFUNCTION("""COMPUTED_VALUE"""),"Ulli")</f>
        <v>Ulli</v>
      </c>
      <c r="E1156" s="2">
        <f>IFERROR(__xludf.DUMMYFUNCTION("""COMPUTED_VALUE"""),5028.0)</f>
        <v>5028</v>
      </c>
      <c r="F1156" s="3">
        <f>IFERROR(__xludf.DUMMYFUNCTION("""COMPUTED_VALUE"""),60707.0)</f>
        <v>60707</v>
      </c>
      <c r="G1156" s="2" t="str">
        <f>IFERROR(__xludf.DUMMYFUNCTION("""COMPUTED_VALUE"""),"Khageswar Gautam")</f>
        <v>Khageswar Gautam</v>
      </c>
      <c r="H1156" s="2" t="str">
        <f>IFERROR(__xludf.DUMMYFUNCTION("""COMPUTED_VALUE"""),"Thanpati-4, Thorga, Gulmi")</f>
        <v>Thanpati-4, Thorga, Gulmi</v>
      </c>
      <c r="I1156" s="2" t="str">
        <f>IFERROR(__xludf.DUMMYFUNCTION("""COMPUTED_VALUE"""),"00o 00' 00""")</f>
        <v>00o 00' 00"</v>
      </c>
      <c r="J1156" s="2" t="str">
        <f>IFERROR(__xludf.DUMMYFUNCTION("""COMPUTED_VALUE"""),"00o 00' 00""")</f>
        <v>00o 00' 00"</v>
      </c>
      <c r="K1156" s="2" t="str">
        <f>IFERROR(__xludf.DUMMYFUNCTION("""COMPUTED_VALUE"""),"00o 00' 00""")</f>
        <v>00o 00' 00"</v>
      </c>
      <c r="L1156" s="2" t="str">
        <f>IFERROR(__xludf.DUMMYFUNCTION("""COMPUTED_VALUE"""),"00o 00' 00""")</f>
        <v>00o 00' 00"</v>
      </c>
      <c r="M1156" s="2" t="str">
        <f>IFERROR(__xludf.DUMMYFUNCTION("""COMPUTED_VALUE"""),"Bamgha (Gulmi)")</f>
        <v>Bamgha (Gulmi)</v>
      </c>
    </row>
    <row r="1157">
      <c r="A1157" s="2">
        <f>IFERROR(__xludf.DUMMYFUNCTION("""COMPUTED_VALUE"""),1156.0)</f>
        <v>1156</v>
      </c>
      <c r="B1157" s="2" t="str">
        <f>IFERROR(__xludf.DUMMYFUNCTION("""COMPUTED_VALUE"""),"Kurung Khola SHP")</f>
        <v>Kurung Khola SHP</v>
      </c>
      <c r="C1157" s="2">
        <f>IFERROR(__xludf.DUMMYFUNCTION("""COMPUTED_VALUE"""),0.3)</f>
        <v>0.3</v>
      </c>
      <c r="D1157" s="2" t="str">
        <f>IFERROR(__xludf.DUMMYFUNCTION("""COMPUTED_VALUE"""),"Kurung")</f>
        <v>Kurung</v>
      </c>
      <c r="E1157" s="2">
        <f>IFERROR(__xludf.DUMMYFUNCTION("""COMPUTED_VALUE"""),5029.0)</f>
        <v>5029</v>
      </c>
      <c r="F1157" s="3">
        <f>IFERROR(__xludf.DUMMYFUNCTION("""COMPUTED_VALUE"""),60707.0)</f>
        <v>60707</v>
      </c>
      <c r="G1157" s="2" t="str">
        <f>IFERROR(__xludf.DUMMYFUNCTION("""COMPUTED_VALUE"""),"Khageswar Gautam")</f>
        <v>Khageswar Gautam</v>
      </c>
      <c r="H1157" s="2" t="str">
        <f>IFERROR(__xludf.DUMMYFUNCTION("""COMPUTED_VALUE"""),"Thanpati-4, Thorga, Gulmi")</f>
        <v>Thanpati-4, Thorga, Gulmi</v>
      </c>
      <c r="I1157" s="2" t="str">
        <f>IFERROR(__xludf.DUMMYFUNCTION("""COMPUTED_VALUE"""),"00o 00' 00""")</f>
        <v>00o 00' 00"</v>
      </c>
      <c r="J1157" s="2" t="str">
        <f>IFERROR(__xludf.DUMMYFUNCTION("""COMPUTED_VALUE"""),"00o 00' 00""")</f>
        <v>00o 00' 00"</v>
      </c>
      <c r="K1157" s="2" t="str">
        <f>IFERROR(__xludf.DUMMYFUNCTION("""COMPUTED_VALUE"""),"00o 00' 00""")</f>
        <v>00o 00' 00"</v>
      </c>
      <c r="L1157" s="2" t="str">
        <f>IFERROR(__xludf.DUMMYFUNCTION("""COMPUTED_VALUE"""),"00o 00' 00""")</f>
        <v>00o 00' 00"</v>
      </c>
      <c r="M1157" s="2" t="str">
        <f>IFERROR(__xludf.DUMMYFUNCTION("""COMPUTED_VALUE"""),"Bodhapokharathok,Deurali (Palpa)")</f>
        <v>Bodhapokharathok,Deurali (Palpa)</v>
      </c>
    </row>
    <row r="1158">
      <c r="A1158" s="2">
        <f>IFERROR(__xludf.DUMMYFUNCTION("""COMPUTED_VALUE"""),1157.0)</f>
        <v>1157</v>
      </c>
      <c r="B1158" s="2" t="str">
        <f>IFERROR(__xludf.DUMMYFUNCTION("""COMPUTED_VALUE"""),"Kokaha Khola SHP")</f>
        <v>Kokaha Khola SHP</v>
      </c>
      <c r="C1158" s="2">
        <f>IFERROR(__xludf.DUMMYFUNCTION("""COMPUTED_VALUE"""),0.998)</f>
        <v>0.998</v>
      </c>
      <c r="D1158" s="2" t="str">
        <f>IFERROR(__xludf.DUMMYFUNCTION("""COMPUTED_VALUE"""),"Kokaha")</f>
        <v>Kokaha</v>
      </c>
      <c r="E1158" s="2">
        <f>IFERROR(__xludf.DUMMYFUNCTION("""COMPUTED_VALUE"""),5042.0)</f>
        <v>5042</v>
      </c>
      <c r="F1158" s="3">
        <f>IFERROR(__xludf.DUMMYFUNCTION("""COMPUTED_VALUE"""),60707.0)</f>
        <v>60707</v>
      </c>
      <c r="G1158" s="2" t="str">
        <f>IFERROR(__xludf.DUMMYFUNCTION("""COMPUTED_VALUE"""),"Barah Multipower Pvt Ltd")</f>
        <v>Barah Multipower Pvt Ltd</v>
      </c>
      <c r="H1158" s="2" t="str">
        <f>IFERROR(__xludf.DUMMYFUNCTION("""COMPUTED_VALUE"""),"Kathmandu Municipality-32, Kathmandu")</f>
        <v>Kathmandu Municipality-32, Kathmandu</v>
      </c>
      <c r="I1158" s="2" t="str">
        <f>IFERROR(__xludf.DUMMYFUNCTION("""COMPUTED_VALUE"""),"26o 51' 06""")</f>
        <v>26o 51' 06"</v>
      </c>
      <c r="J1158" s="2" t="str">
        <f>IFERROR(__xludf.DUMMYFUNCTION("""COMPUTED_VALUE"""),"26o 52' 10""")</f>
        <v>26o 52' 10"</v>
      </c>
      <c r="K1158" s="2" t="str">
        <f>IFERROR(__xludf.DUMMYFUNCTION("""COMPUTED_VALUE"""),"87o 11' 57""")</f>
        <v>87o 11' 57"</v>
      </c>
      <c r="L1158" s="2" t="str">
        <f>IFERROR(__xludf.DUMMYFUNCTION("""COMPUTED_VALUE"""),"87o 14' 00""")</f>
        <v>87o 14' 00"</v>
      </c>
      <c r="M1158" s="2" t="str">
        <f>IFERROR(__xludf.DUMMYFUNCTION("""COMPUTED_VALUE"""),"Bishnupaduka,Barahachhetra (Sunsari)")</f>
        <v>Bishnupaduka,Barahachhetra (Sunsari)</v>
      </c>
    </row>
    <row r="1159">
      <c r="A1159" s="2">
        <f>IFERROR(__xludf.DUMMYFUNCTION("""COMPUTED_VALUE"""),1158.0)</f>
        <v>1158</v>
      </c>
      <c r="B1159" s="2" t="str">
        <f>IFERROR(__xludf.DUMMYFUNCTION("""COMPUTED_VALUE"""),"Chhuchun Khola")</f>
        <v>Chhuchun Khola</v>
      </c>
      <c r="C1159" s="2">
        <f>IFERROR(__xludf.DUMMYFUNCTION("""COMPUTED_VALUE"""),1.75)</f>
        <v>1.75</v>
      </c>
      <c r="D1159" s="2" t="str">
        <f>IFERROR(__xludf.DUMMYFUNCTION("""COMPUTED_VALUE"""),"Chhuchun Khola")</f>
        <v>Chhuchun Khola</v>
      </c>
      <c r="E1159" s="2">
        <f>IFERROR(__xludf.DUMMYFUNCTION("""COMPUTED_VALUE"""),5053.0)</f>
        <v>5053</v>
      </c>
      <c r="F1159" s="3">
        <f>IFERROR(__xludf.DUMMYFUNCTION("""COMPUTED_VALUE"""),60707.0)</f>
        <v>60707</v>
      </c>
      <c r="G1159" s="2" t="str">
        <f>IFERROR(__xludf.DUMMYFUNCTION("""COMPUTED_VALUE"""),"Ronga Hydropower Company Pvt. Ltd.")</f>
        <v>Ronga Hydropower Company Pvt. Ltd.</v>
      </c>
      <c r="H1159" s="2" t="str">
        <f>IFERROR(__xludf.DUMMYFUNCTION("""COMPUTED_VALUE"""),"Manamaiju Kathmandu Tel 014026660")</f>
        <v>Manamaiju Kathmandu Tel 014026660</v>
      </c>
      <c r="I1159" s="2" t="str">
        <f>IFERROR(__xludf.DUMMYFUNCTION("""COMPUTED_VALUE"""),"28o 13' 00""")</f>
        <v>28o 13' 00"</v>
      </c>
      <c r="J1159" s="2" t="str">
        <f>IFERROR(__xludf.DUMMYFUNCTION("""COMPUTED_VALUE"""),"28o 14' 25""")</f>
        <v>28o 14' 25"</v>
      </c>
      <c r="K1159" s="2" t="str">
        <f>IFERROR(__xludf.DUMMYFUNCTION("""COMPUTED_VALUE"""),"85o 15' 50""")</f>
        <v>85o 15' 50"</v>
      </c>
      <c r="L1159" s="2" t="str">
        <f>IFERROR(__xludf.DUMMYFUNCTION("""COMPUTED_VALUE"""),"85o 17' 05""")</f>
        <v>85o 17' 05"</v>
      </c>
      <c r="M1159" s="2" t="str">
        <f>IFERROR(__xludf.DUMMYFUNCTION("""COMPUTED_VALUE"""),"Gatlang (Rasuwa)")</f>
        <v>Gatlang (Rasuwa)</v>
      </c>
    </row>
    <row r="1160">
      <c r="A1160" s="2">
        <f>IFERROR(__xludf.DUMMYFUNCTION("""COMPUTED_VALUE"""),1159.0)</f>
        <v>1159</v>
      </c>
      <c r="B1160" s="2" t="str">
        <f>IFERROR(__xludf.DUMMYFUNCTION("""COMPUTED_VALUE"""),"Budhi Ganga (BG-0) HPP")</f>
        <v>Budhi Ganga (BG-0) HPP</v>
      </c>
      <c r="C1160" s="2">
        <f>IFERROR(__xludf.DUMMYFUNCTION("""COMPUTED_VALUE"""),20.0)</f>
        <v>20</v>
      </c>
      <c r="D1160" s="2" t="str">
        <f>IFERROR(__xludf.DUMMYFUNCTION("""COMPUTED_VALUE"""),"Budhi Ganga")</f>
        <v>Budhi Ganga</v>
      </c>
      <c r="E1160" s="2">
        <f>IFERROR(__xludf.DUMMYFUNCTION("""COMPUTED_VALUE"""),5069.0)</f>
        <v>5069</v>
      </c>
      <c r="F1160" s="3">
        <f>IFERROR(__xludf.DUMMYFUNCTION("""COMPUTED_VALUE"""),60708.0)</f>
        <v>60708</v>
      </c>
      <c r="G1160" s="2" t="str">
        <f>IFERROR(__xludf.DUMMYFUNCTION("""COMPUTED_VALUE"""),"Brothers Hydropower Pvt Ltd")</f>
        <v>Brothers Hydropower Pvt Ltd</v>
      </c>
      <c r="H1160" s="2" t="str">
        <f>IFERROR(__xludf.DUMMYFUNCTION("""COMPUTED_VALUE"""),"Dhangadhi-3, Kailali")</f>
        <v>Dhangadhi-3, Kailali</v>
      </c>
      <c r="I1160" s="2" t="str">
        <f>IFERROR(__xludf.DUMMYFUNCTION("""COMPUTED_VALUE"""),"29o 15' 30""")</f>
        <v>29o 15' 30"</v>
      </c>
      <c r="J1160" s="2" t="str">
        <f>IFERROR(__xludf.DUMMYFUNCTION("""COMPUTED_VALUE"""),"29o 18' 36""")</f>
        <v>29o 18' 36"</v>
      </c>
      <c r="K1160" s="2" t="str">
        <f>IFERROR(__xludf.DUMMYFUNCTION("""COMPUTED_VALUE"""),"81o 14' 00""")</f>
        <v>81o 14' 00"</v>
      </c>
      <c r="L1160" s="2" t="str">
        <f>IFERROR(__xludf.DUMMYFUNCTION("""COMPUTED_VALUE"""),"81o 17' 50""")</f>
        <v>81o 17' 50"</v>
      </c>
      <c r="M1160" s="2" t="str">
        <f>IFERROR(__xludf.DUMMYFUNCTION("""COMPUTED_VALUE"""),"Hatikot,Kushkot,Mastamandau (Achham)")</f>
        <v>Hatikot,Kushkot,Mastamandau (Achham)</v>
      </c>
    </row>
    <row r="1161">
      <c r="A1161" s="2">
        <f>IFERROR(__xludf.DUMMYFUNCTION("""COMPUTED_VALUE"""),1160.0)</f>
        <v>1160</v>
      </c>
      <c r="B1161" s="2" t="str">
        <f>IFERROR(__xludf.DUMMYFUNCTION("""COMPUTED_VALUE"""),"Chauri Khola HPP")</f>
        <v>Chauri Khola HPP</v>
      </c>
      <c r="C1161" s="2">
        <f>IFERROR(__xludf.DUMMYFUNCTION("""COMPUTED_VALUE"""),5.16)</f>
        <v>5.16</v>
      </c>
      <c r="D1161" s="2" t="str">
        <f>IFERROR(__xludf.DUMMYFUNCTION("""COMPUTED_VALUE"""),"Chauri")</f>
        <v>Chauri</v>
      </c>
      <c r="E1161" s="2">
        <f>IFERROR(__xludf.DUMMYFUNCTION("""COMPUTED_VALUE"""),5085.0)</f>
        <v>5085</v>
      </c>
      <c r="F1161" s="3">
        <f>IFERROR(__xludf.DUMMYFUNCTION("""COMPUTED_VALUE"""),60709.0)</f>
        <v>60709</v>
      </c>
      <c r="G1161" s="2" t="str">
        <f>IFERROR(__xludf.DUMMYFUNCTION("""COMPUTED_VALUE"""),"Ram Chandra Neupane")</f>
        <v>Ram Chandra Neupane</v>
      </c>
      <c r="H1161" s="2" t="str">
        <f>IFERROR(__xludf.DUMMYFUNCTION("""COMPUTED_VALUE"""),"Thokarpa-6, Sindhupalchowk")</f>
        <v>Thokarpa-6, Sindhupalchowk</v>
      </c>
      <c r="I1161" s="2" t="str">
        <f>IFERROR(__xludf.DUMMYFUNCTION("""COMPUTED_VALUE"""),"27o 35' 33""")</f>
        <v>27o 35' 33"</v>
      </c>
      <c r="J1161" s="2" t="str">
        <f>IFERROR(__xludf.DUMMYFUNCTION("""COMPUTED_VALUE"""),"27o 37' 22""")</f>
        <v>27o 37' 22"</v>
      </c>
      <c r="K1161" s="2" t="str">
        <f>IFERROR(__xludf.DUMMYFUNCTION("""COMPUTED_VALUE"""),"85o 51' 49""")</f>
        <v>85o 51' 49"</v>
      </c>
      <c r="L1161" s="2" t="str">
        <f>IFERROR(__xludf.DUMMYFUNCTION("""COMPUTED_VALUE"""),"85o 53' 22""")</f>
        <v>85o 53' 22"</v>
      </c>
      <c r="M1161" s="2" t="str">
        <f>IFERROR(__xludf.DUMMYFUNCTION("""COMPUTED_VALUE"""),"Nagre Gagarche (Kavrepalanchok)")</f>
        <v>Nagre Gagarche (Kavrepalanchok)</v>
      </c>
    </row>
    <row r="1162">
      <c r="A1162" s="2">
        <f>IFERROR(__xludf.DUMMYFUNCTION("""COMPUTED_VALUE"""),1161.0)</f>
        <v>1161</v>
      </c>
      <c r="B1162" s="2" t="str">
        <f>IFERROR(__xludf.DUMMYFUNCTION("""COMPUTED_VALUE"""),"Leksuwa Khoa SHP")</f>
        <v>Leksuwa Khoa SHP</v>
      </c>
      <c r="C1162" s="2">
        <f>IFERROR(__xludf.DUMMYFUNCTION("""COMPUTED_VALUE"""),1.0)</f>
        <v>1</v>
      </c>
      <c r="D1162" s="2" t="str">
        <f>IFERROR(__xludf.DUMMYFUNCTION("""COMPUTED_VALUE"""),"Leksuwa")</f>
        <v>Leksuwa</v>
      </c>
      <c r="E1162" s="2">
        <f>IFERROR(__xludf.DUMMYFUNCTION("""COMPUTED_VALUE"""),5092.0)</f>
        <v>5092</v>
      </c>
      <c r="F1162" s="3">
        <f>IFERROR(__xludf.DUMMYFUNCTION("""COMPUTED_VALUE"""),60709.0)</f>
        <v>60709</v>
      </c>
      <c r="G1162" s="2" t="str">
        <f>IFERROR(__xludf.DUMMYFUNCTION("""COMPUTED_VALUE"""),"Bal Bahadur Parajuli")</f>
        <v>Bal Bahadur Parajuli</v>
      </c>
      <c r="H1162" s="2" t="str">
        <f>IFERROR(__xludf.DUMMYFUNCTION("""COMPUTED_VALUE"""),"Pathibhara VDC-4, Sankhuwasabha")</f>
        <v>Pathibhara VDC-4, Sankhuwasabha</v>
      </c>
      <c r="I1162" s="2" t="str">
        <f>IFERROR(__xludf.DUMMYFUNCTION("""COMPUTED_VALUE"""),"27o 40' 00""")</f>
        <v>27o 40' 00"</v>
      </c>
      <c r="J1162" s="2" t="str">
        <f>IFERROR(__xludf.DUMMYFUNCTION("""COMPUTED_VALUE"""),"27o 41' 38""")</f>
        <v>27o 41' 38"</v>
      </c>
      <c r="K1162" s="2" t="str">
        <f>IFERROR(__xludf.DUMMYFUNCTION("""COMPUTED_VALUE"""),"87o 21' 52""")</f>
        <v>87o 21' 52"</v>
      </c>
      <c r="L1162" s="2" t="str">
        <f>IFERROR(__xludf.DUMMYFUNCTION("""COMPUTED_VALUE"""),"87o 27' 22""")</f>
        <v>87o 27' 22"</v>
      </c>
      <c r="M1162" s="2" t="str">
        <f>IFERROR(__xludf.DUMMYFUNCTION("""COMPUTED_VALUE"""),"Hatiya (Sankhuwasabha)")</f>
        <v>Hatiya (Sankhuwasabha)</v>
      </c>
    </row>
    <row r="1163">
      <c r="A1163" s="2">
        <f>IFERROR(__xludf.DUMMYFUNCTION("""COMPUTED_VALUE"""),1162.0)</f>
        <v>1162</v>
      </c>
      <c r="B1163" s="2" t="str">
        <f>IFERROR(__xludf.DUMMYFUNCTION("""COMPUTED_VALUE"""),"Chaydu Khola HPP")</f>
        <v>Chaydu Khola HPP</v>
      </c>
      <c r="C1163" s="2">
        <f>IFERROR(__xludf.DUMMYFUNCTION("""COMPUTED_VALUE"""),6.455)</f>
        <v>6.455</v>
      </c>
      <c r="D1163" s="2" t="str">
        <f>IFERROR(__xludf.DUMMYFUNCTION("""COMPUTED_VALUE"""),"Chyadu Khola")</f>
        <v>Chyadu Khola</v>
      </c>
      <c r="E1163" s="2">
        <f>IFERROR(__xludf.DUMMYFUNCTION("""COMPUTED_VALUE"""),5125.0)</f>
        <v>5125</v>
      </c>
      <c r="F1163" s="3">
        <f>IFERROR(__xludf.DUMMYFUNCTION("""COMPUTED_VALUE"""),60712.0)</f>
        <v>60712</v>
      </c>
      <c r="G1163" s="2" t="str">
        <f>IFERROR(__xludf.DUMMYFUNCTION("""COMPUTED_VALUE"""),"Galeswar Hydropower Pvt Ltd")</f>
        <v>Galeswar Hydropower Pvt Ltd</v>
      </c>
      <c r="H1163" s="2" t="str">
        <f>IFERROR(__xludf.DUMMYFUNCTION("""COMPUTED_VALUE"""),"Tripureswar, Kathmandu")</f>
        <v>Tripureswar, Kathmandu</v>
      </c>
      <c r="I1163" s="2" t="str">
        <f>IFERROR(__xludf.DUMMYFUNCTION("""COMPUTED_VALUE"""),"27o 55' 00""")</f>
        <v>27o 55' 00"</v>
      </c>
      <c r="J1163" s="2" t="str">
        <f>IFERROR(__xludf.DUMMYFUNCTION("""COMPUTED_VALUE"""),"27o 57' 57""")</f>
        <v>27o 57' 57"</v>
      </c>
      <c r="K1163" s="2" t="str">
        <f>IFERROR(__xludf.DUMMYFUNCTION("""COMPUTED_VALUE"""),"86o 10' 37""")</f>
        <v>86o 10' 37"</v>
      </c>
      <c r="L1163" s="2" t="str">
        <f>IFERROR(__xludf.DUMMYFUNCTION("""COMPUTED_VALUE"""),"86o 13' 00""")</f>
        <v>86o 13' 00"</v>
      </c>
      <c r="M1163" s="2" t="str">
        <f>IFERROR(__xludf.DUMMYFUNCTION("""COMPUTED_VALUE"""),"Lamabagar (Dolakha)")</f>
        <v>Lamabagar (Dolakha)</v>
      </c>
    </row>
    <row r="1164">
      <c r="A1164" s="2">
        <f>IFERROR(__xludf.DUMMYFUNCTION("""COMPUTED_VALUE"""),1163.0)</f>
        <v>1163</v>
      </c>
      <c r="B1164" s="2" t="str">
        <f>IFERROR(__xludf.DUMMYFUNCTION("""COMPUTED_VALUE"""),"Surnaiya Gad HPP")</f>
        <v>Surnaiya Gad HPP</v>
      </c>
      <c r="C1164" s="2">
        <f>IFERROR(__xludf.DUMMYFUNCTION("""COMPUTED_VALUE"""),10.0)</f>
        <v>10</v>
      </c>
      <c r="D1164" s="2" t="str">
        <f>IFERROR(__xludf.DUMMYFUNCTION("""COMPUTED_VALUE"""),"Surnaya Gad")</f>
        <v>Surnaya Gad</v>
      </c>
      <c r="E1164" s="2">
        <f>IFERROR(__xludf.DUMMYFUNCTION("""COMPUTED_VALUE"""),5141.0)</f>
        <v>5141</v>
      </c>
      <c r="F1164" s="3">
        <f>IFERROR(__xludf.DUMMYFUNCTION("""COMPUTED_VALUE"""),60713.0)</f>
        <v>60713</v>
      </c>
      <c r="G1164" s="2" t="str">
        <f>IFERROR(__xludf.DUMMYFUNCTION("""COMPUTED_VALUE"""),"Bharatmani Paudel, Dipak Acharya")</f>
        <v>Bharatmani Paudel, Dipak Acharya</v>
      </c>
      <c r="H1164" s="2" t="str">
        <f>IFERROR(__xludf.DUMMYFUNCTION("""COMPUTED_VALUE"""),"Kathmandu-32, Anamnagar, Tel: 4230887, 9851090766")</f>
        <v>Kathmandu-32, Anamnagar, Tel: 4230887, 9851090766</v>
      </c>
      <c r="I1164" s="2" t="str">
        <f>IFERROR(__xludf.DUMMYFUNCTION("""COMPUTED_VALUE"""),"29o 24' 12""")</f>
        <v>29o 24' 12"</v>
      </c>
      <c r="J1164" s="2" t="str">
        <f>IFERROR(__xludf.DUMMYFUNCTION("""COMPUTED_VALUE"""),"29o 27' 00""")</f>
        <v>29o 27' 00"</v>
      </c>
      <c r="K1164" s="2" t="str">
        <f>IFERROR(__xludf.DUMMYFUNCTION("""COMPUTED_VALUE"""),"80o 27' 50""")</f>
        <v>80o 27' 50"</v>
      </c>
      <c r="L1164" s="2" t="str">
        <f>IFERROR(__xludf.DUMMYFUNCTION("""COMPUTED_VALUE"""),"80o 30' 14""")</f>
        <v>80o 30' 14"</v>
      </c>
      <c r="M1164" s="2" t="str">
        <f>IFERROR(__xludf.DUMMYFUNCTION("""COMPUTED_VALUE"""),"Basantapur,Melauli,Salena,Sankar (Baitadi)")</f>
        <v>Basantapur,Melauli,Salena,Sankar (Baitadi)</v>
      </c>
    </row>
    <row r="1165">
      <c r="A1165" s="2">
        <f>IFERROR(__xludf.DUMMYFUNCTION("""COMPUTED_VALUE"""),1164.0)</f>
        <v>1164</v>
      </c>
      <c r="B1165" s="2" t="str">
        <f>IFERROR(__xludf.DUMMYFUNCTION("""COMPUTED_VALUE"""),"Manahari Khola SHP")</f>
        <v>Manahari Khola SHP</v>
      </c>
      <c r="C1165" s="2">
        <f>IFERROR(__xludf.DUMMYFUNCTION("""COMPUTED_VALUE"""),0.998)</f>
        <v>0.998</v>
      </c>
      <c r="D1165" s="2" t="str">
        <f>IFERROR(__xludf.DUMMYFUNCTION("""COMPUTED_VALUE"""),"Manahari")</f>
        <v>Manahari</v>
      </c>
      <c r="E1165" s="2">
        <f>IFERROR(__xludf.DUMMYFUNCTION("""COMPUTED_VALUE"""),5157.0)</f>
        <v>5157</v>
      </c>
      <c r="F1165" s="3">
        <f>IFERROR(__xludf.DUMMYFUNCTION("""COMPUTED_VALUE"""),60713.0)</f>
        <v>60713</v>
      </c>
      <c r="G1165" s="2" t="str">
        <f>IFERROR(__xludf.DUMMYFUNCTION("""COMPUTED_VALUE"""),"Krishna Murari Chaulagain, Raj Kumar Chaulagain")</f>
        <v>Krishna Murari Chaulagain, Raj Kumar Chaulagain</v>
      </c>
      <c r="H1165" s="2" t="str">
        <f>IFERROR(__xludf.DUMMYFUNCTION("""COMPUTED_VALUE"""),"Hetauda-5, Makwanpur Tel: 9841677694, 9841469752")</f>
        <v>Hetauda-5, Makwanpur Tel: 9841677694, 9841469752</v>
      </c>
      <c r="I1165" s="2" t="str">
        <f>IFERROR(__xludf.DUMMYFUNCTION("""COMPUTED_VALUE"""),"27o 32' 00""")</f>
        <v>27o 32' 00"</v>
      </c>
      <c r="J1165" s="2" t="str">
        <f>IFERROR(__xludf.DUMMYFUNCTION("""COMPUTED_VALUE"""),"27o 36' 30""")</f>
        <v>27o 36' 30"</v>
      </c>
      <c r="K1165" s="2" t="str">
        <f>IFERROR(__xludf.DUMMYFUNCTION("""COMPUTED_VALUE"""),"84o 55' 40""")</f>
        <v>84o 55' 40"</v>
      </c>
      <c r="L1165" s="2" t="str">
        <f>IFERROR(__xludf.DUMMYFUNCTION("""COMPUTED_VALUE"""),"85o 00' 00""")</f>
        <v>85o 00' 00"</v>
      </c>
      <c r="M1165" s="2" t="str">
        <f>IFERROR(__xludf.DUMMYFUNCTION("""COMPUTED_VALUE"""),"Kalikatar (Makawanpur)")</f>
        <v>Kalikatar (Makawanpur)</v>
      </c>
    </row>
    <row r="1166">
      <c r="A1166" s="2">
        <f>IFERROR(__xludf.DUMMYFUNCTION("""COMPUTED_VALUE"""),1165.0)</f>
        <v>1165</v>
      </c>
      <c r="B1166" s="2" t="str">
        <f>IFERROR(__xludf.DUMMYFUNCTION("""COMPUTED_VALUE"""),"Upper Khani Khola HPP")</f>
        <v>Upper Khani Khola HPP</v>
      </c>
      <c r="C1166" s="2">
        <f>IFERROR(__xludf.DUMMYFUNCTION("""COMPUTED_VALUE"""),3.9)</f>
        <v>3.9</v>
      </c>
      <c r="D1166" s="2" t="str">
        <f>IFERROR(__xludf.DUMMYFUNCTION("""COMPUTED_VALUE"""),"Khani Khola")</f>
        <v>Khani Khola</v>
      </c>
      <c r="E1166" s="2">
        <f>IFERROR(__xludf.DUMMYFUNCTION("""COMPUTED_VALUE"""),5162.0)</f>
        <v>5162</v>
      </c>
      <c r="F1166" s="3">
        <f>IFERROR(__xludf.DUMMYFUNCTION("""COMPUTED_VALUE"""),60713.0)</f>
        <v>60713</v>
      </c>
      <c r="G1166" s="2" t="str">
        <f>IFERROR(__xludf.DUMMYFUNCTION("""COMPUTED_VALUE"""),"Tenzing Phinjok Lama")</f>
        <v>Tenzing Phinjok Lama</v>
      </c>
      <c r="H1166" s="2" t="str">
        <f>IFERROR(__xludf.DUMMYFUNCTION("""COMPUTED_VALUE"""),"Baudh, Kathmandu")</f>
        <v>Baudh, Kathmandu</v>
      </c>
      <c r="I1166" s="2" t="str">
        <f>IFERROR(__xludf.DUMMYFUNCTION("""COMPUTED_VALUE"""),"27o 48' 34""")</f>
        <v>27o 48' 34"</v>
      </c>
      <c r="J1166" s="2" t="str">
        <f>IFERROR(__xludf.DUMMYFUNCTION("""COMPUTED_VALUE"""),"27o 50' 44""")</f>
        <v>27o 50' 44"</v>
      </c>
      <c r="K1166" s="2" t="str">
        <f>IFERROR(__xludf.DUMMYFUNCTION("""COMPUTED_VALUE"""),"86o 22' 00""")</f>
        <v>86o 22' 00"</v>
      </c>
      <c r="L1166" s="2" t="str">
        <f>IFERROR(__xludf.DUMMYFUNCTION("""COMPUTED_VALUE"""),"86o 23' 29""")</f>
        <v>86o 23' 29"</v>
      </c>
      <c r="M1166" s="2" t="str">
        <f>IFERROR(__xludf.DUMMYFUNCTION("""COMPUTED_VALUE"""),"Marbu (Dolakha)")</f>
        <v>Marbu (Dolakha)</v>
      </c>
    </row>
    <row r="1167">
      <c r="A1167" s="2">
        <f>IFERROR(__xludf.DUMMYFUNCTION("""COMPUTED_VALUE"""),1166.0)</f>
        <v>1166</v>
      </c>
      <c r="B1167" s="2" t="str">
        <f>IFERROR(__xludf.DUMMYFUNCTION("""COMPUTED_VALUE"""),"Super Dordi Khola Kha HPP")</f>
        <v>Super Dordi Khola Kha HPP</v>
      </c>
      <c r="C1167" s="2">
        <f>IFERROR(__xludf.DUMMYFUNCTION("""COMPUTED_VALUE"""),21.0)</f>
        <v>21</v>
      </c>
      <c r="D1167" s="2" t="str">
        <f>IFERROR(__xludf.DUMMYFUNCTION("""COMPUTED_VALUE"""),"Dordi")</f>
        <v>Dordi</v>
      </c>
      <c r="E1167" s="2">
        <f>IFERROR(__xludf.DUMMYFUNCTION("""COMPUTED_VALUE"""),5163.0)</f>
        <v>5163</v>
      </c>
      <c r="F1167" s="3">
        <f>IFERROR(__xludf.DUMMYFUNCTION("""COMPUTED_VALUE"""),60713.0)</f>
        <v>60713</v>
      </c>
      <c r="G1167" s="2" t="str">
        <f>IFERROR(__xludf.DUMMYFUNCTION("""COMPUTED_VALUE"""),"Peoples Hydropower Company Pvt Ltd")</f>
        <v>Peoples Hydropower Company Pvt Ltd</v>
      </c>
      <c r="H1167" s="2" t="str">
        <f>IFERROR(__xludf.DUMMYFUNCTION("""COMPUTED_VALUE"""),"GPO Box: 14165, Kathmandu Tel : 6222304, Fax: 4720739")</f>
        <v>GPO Box: 14165, Kathmandu Tel : 6222304, Fax: 4720739</v>
      </c>
      <c r="I1167" s="2" t="str">
        <f>IFERROR(__xludf.DUMMYFUNCTION("""COMPUTED_VALUE"""),"28o 16' 20""")</f>
        <v>28o 16' 20"</v>
      </c>
      <c r="J1167" s="2" t="str">
        <f>IFERROR(__xludf.DUMMYFUNCTION("""COMPUTED_VALUE"""),"28o 17' 40""")</f>
        <v>28o 17' 40"</v>
      </c>
      <c r="K1167" s="2" t="str">
        <f>IFERROR(__xludf.DUMMYFUNCTION("""COMPUTED_VALUE"""),"84o 31' 00""")</f>
        <v>84o 31' 00"</v>
      </c>
      <c r="L1167" s="2" t="str">
        <f>IFERROR(__xludf.DUMMYFUNCTION("""COMPUTED_VALUE"""),"84o 34' 10""")</f>
        <v>84o 34' 10"</v>
      </c>
      <c r="M1167" s="2" t="str">
        <f>IFERROR(__xludf.DUMMYFUNCTION("""COMPUTED_VALUE"""),"Dhodeni,Faleni (Lamjung)")</f>
        <v>Dhodeni,Faleni (Lamjung)</v>
      </c>
    </row>
    <row r="1168">
      <c r="A1168" s="2">
        <f>IFERROR(__xludf.DUMMYFUNCTION("""COMPUTED_VALUE"""),1167.0)</f>
        <v>1167</v>
      </c>
      <c r="B1168" s="2" t="str">
        <f>IFERROR(__xludf.DUMMYFUNCTION("""COMPUTED_VALUE"""),"Lohore Khola HPP")</f>
        <v>Lohore Khola HPP</v>
      </c>
      <c r="C1168" s="2">
        <f>IFERROR(__xludf.DUMMYFUNCTION("""COMPUTED_VALUE"""),4.9)</f>
        <v>4.9</v>
      </c>
      <c r="D1168" s="2" t="str">
        <f>IFERROR(__xludf.DUMMYFUNCTION("""COMPUTED_VALUE"""),"Lohore Khola")</f>
        <v>Lohore Khola</v>
      </c>
      <c r="E1168" s="2">
        <f>IFERROR(__xludf.DUMMYFUNCTION("""COMPUTED_VALUE"""),5179.0)</f>
        <v>5179</v>
      </c>
      <c r="F1168" s="3">
        <f>IFERROR(__xludf.DUMMYFUNCTION("""COMPUTED_VALUE"""),60714.0)</f>
        <v>60714</v>
      </c>
      <c r="G1168" s="2" t="str">
        <f>IFERROR(__xludf.DUMMYFUNCTION("""COMPUTED_VALUE"""),"Sushil Paudel, Mahendra Khatiwada, Alok KC, Maniram Bista")</f>
        <v>Sushil Paudel, Mahendra Khatiwada, Alok KC, Maniram Bista</v>
      </c>
      <c r="H1168" s="2" t="str">
        <f>IFERROR(__xludf.DUMMYFUNCTION("""COMPUTED_VALUE"""),"GPO Box : 11039, Kathmandu")</f>
        <v>GPO Box : 11039, Kathmandu</v>
      </c>
      <c r="I1168" s="2" t="str">
        <f>IFERROR(__xludf.DUMMYFUNCTION("""COMPUTED_VALUE"""),"28o 46' 10""")</f>
        <v>28o 46' 10"</v>
      </c>
      <c r="J1168" s="2" t="str">
        <f>IFERROR(__xludf.DUMMYFUNCTION("""COMPUTED_VALUE"""),"28o 48' 01""")</f>
        <v>28o 48' 01"</v>
      </c>
      <c r="K1168" s="2" t="str">
        <f>IFERROR(__xludf.DUMMYFUNCTION("""COMPUTED_VALUE"""),"81o 38' 04""")</f>
        <v>81o 38' 04"</v>
      </c>
      <c r="L1168" s="2" t="str">
        <f>IFERROR(__xludf.DUMMYFUNCTION("""COMPUTED_VALUE"""),"81o 41' 18""")</f>
        <v>81o 41' 18"</v>
      </c>
      <c r="M1168" s="2" t="str">
        <f>IFERROR(__xludf.DUMMYFUNCTION("""COMPUTED_VALUE"""),"Bada Khola,Narayan (Dailekh)")</f>
        <v>Bada Khola,Narayan (Dailekh)</v>
      </c>
    </row>
    <row r="1169">
      <c r="A1169" s="2">
        <f>IFERROR(__xludf.DUMMYFUNCTION("""COMPUTED_VALUE"""),1168.0)</f>
        <v>1168</v>
      </c>
      <c r="B1169" s="2" t="str">
        <f>IFERROR(__xludf.DUMMYFUNCTION("""COMPUTED_VALUE"""),"Silkhu Khola SHP")</f>
        <v>Silkhu Khola SHP</v>
      </c>
      <c r="C1169" s="2">
        <f>IFERROR(__xludf.DUMMYFUNCTION("""COMPUTED_VALUE"""),0.88)</f>
        <v>0.88</v>
      </c>
      <c r="D1169" s="2" t="str">
        <f>IFERROR(__xludf.DUMMYFUNCTION("""COMPUTED_VALUE"""),"Silkhu Khola")</f>
        <v>Silkhu Khola</v>
      </c>
      <c r="E1169" s="2">
        <f>IFERROR(__xludf.DUMMYFUNCTION("""COMPUTED_VALUE"""),5186.0)</f>
        <v>5186</v>
      </c>
      <c r="F1169" s="3">
        <f>IFERROR(__xludf.DUMMYFUNCTION("""COMPUTED_VALUE"""),60715.0)</f>
        <v>60715</v>
      </c>
      <c r="G1169" s="2" t="str">
        <f>IFERROR(__xludf.DUMMYFUNCTION("""COMPUTED_VALUE"""),"Sushil Paudel, Sabin Tolangi, Kashi Ram Bhusal")</f>
        <v>Sushil Paudel, Sabin Tolangi, Kashi Ram Bhusal</v>
      </c>
      <c r="H1169" s="2" t="str">
        <f>IFERROR(__xludf.DUMMYFUNCTION("""COMPUTED_VALUE"""),"GPO Box: 7806, Tel : 9851112364")</f>
        <v>GPO Box: 7806, Tel : 9851112364</v>
      </c>
      <c r="I1169" s="2" t="str">
        <f>IFERROR(__xludf.DUMMYFUNCTION("""COMPUTED_VALUE"""),"27o 18' 22""")</f>
        <v>27o 18' 22"</v>
      </c>
      <c r="J1169" s="2" t="str">
        <f>IFERROR(__xludf.DUMMYFUNCTION("""COMPUTED_VALUE"""),"27o 18' 48""")</f>
        <v>27o 18' 48"</v>
      </c>
      <c r="K1169" s="2" t="str">
        <f>IFERROR(__xludf.DUMMYFUNCTION("""COMPUTED_VALUE"""),"86o 15' 00""")</f>
        <v>86o 15' 00"</v>
      </c>
      <c r="L1169" s="2" t="str">
        <f>IFERROR(__xludf.DUMMYFUNCTION("""COMPUTED_VALUE"""),"86o 17' 19""")</f>
        <v>86o 17' 19"</v>
      </c>
      <c r="M1169" s="2" t="str">
        <f>IFERROR(__xludf.DUMMYFUNCTION("""COMPUTED_VALUE"""),"Harkapur,Katunje (Okhaldhunga)")</f>
        <v>Harkapur,Katunje (Okhaldhunga)</v>
      </c>
    </row>
    <row r="1170">
      <c r="A1170" s="2">
        <f>IFERROR(__xludf.DUMMYFUNCTION("""COMPUTED_VALUE"""),1169.0)</f>
        <v>1169</v>
      </c>
      <c r="B1170" s="2" t="str">
        <f>IFERROR(__xludf.DUMMYFUNCTION("""COMPUTED_VALUE"""),"Solun Khola SHP")</f>
        <v>Solun Khola SHP</v>
      </c>
      <c r="C1170" s="2">
        <f>IFERROR(__xludf.DUMMYFUNCTION("""COMPUTED_VALUE"""),0.584)</f>
        <v>0.584</v>
      </c>
      <c r="D1170" s="2" t="str">
        <f>IFERROR(__xludf.DUMMYFUNCTION("""COMPUTED_VALUE"""),"Solun Khola")</f>
        <v>Solun Khola</v>
      </c>
      <c r="E1170" s="2">
        <f>IFERROR(__xludf.DUMMYFUNCTION("""COMPUTED_VALUE"""),5188.0)</f>
        <v>5188</v>
      </c>
      <c r="F1170" s="3">
        <f>IFERROR(__xludf.DUMMYFUNCTION("""COMPUTED_VALUE"""),60715.0)</f>
        <v>60715</v>
      </c>
      <c r="G1170" s="2" t="str">
        <f>IFERROR(__xludf.DUMMYFUNCTION("""COMPUTED_VALUE"""),"Sabin Tolangi, Kashiram Bhusal, Uttam Bhatta")</f>
        <v>Sabin Tolangi, Kashiram Bhusal, Uttam Bhatta</v>
      </c>
      <c r="H1170" s="2" t="str">
        <f>IFERROR(__xludf.DUMMYFUNCTION("""COMPUTED_VALUE"""),"GPO Box: 7806, Kathmandu Tel : 9851112364")</f>
        <v>GPO Box: 7806, Kathmandu Tel : 9851112364</v>
      </c>
      <c r="I1170" s="2" t="str">
        <f>IFERROR(__xludf.DUMMYFUNCTION("""COMPUTED_VALUE"""),"27o 19' 30""")</f>
        <v>27o 19' 30"</v>
      </c>
      <c r="J1170" s="2" t="str">
        <f>IFERROR(__xludf.DUMMYFUNCTION("""COMPUTED_VALUE"""),"27o 19' 52""")</f>
        <v>27o 19' 52"</v>
      </c>
      <c r="K1170" s="2" t="str">
        <f>IFERROR(__xludf.DUMMYFUNCTION("""COMPUTED_VALUE"""),"86o 25' 15""")</f>
        <v>86o 25' 15"</v>
      </c>
      <c r="L1170" s="2" t="str">
        <f>IFERROR(__xludf.DUMMYFUNCTION("""COMPUTED_VALUE"""),"86o 26' 20""")</f>
        <v>86o 26' 20"</v>
      </c>
      <c r="M1170" s="2" t="str">
        <f>IFERROR(__xludf.DUMMYFUNCTION("""COMPUTED_VALUE"""),"Harkapur,Katunje (Okhaldhunga)")</f>
        <v>Harkapur,Katunje (Okhaldhunga)</v>
      </c>
    </row>
    <row r="1171">
      <c r="A1171" s="2">
        <f>IFERROR(__xludf.DUMMYFUNCTION("""COMPUTED_VALUE"""),1170.0)</f>
        <v>1170</v>
      </c>
      <c r="B1171" s="2" t="str">
        <f>IFERROR(__xludf.DUMMYFUNCTION("""COMPUTED_VALUE"""),"Upper Sit Khola HPP")</f>
        <v>Upper Sit Khola HPP</v>
      </c>
      <c r="C1171" s="2">
        <f>IFERROR(__xludf.DUMMYFUNCTION("""COMPUTED_VALUE"""),2.2)</f>
        <v>2.2</v>
      </c>
      <c r="D1171" s="2" t="str">
        <f>IFERROR(__xludf.DUMMYFUNCTION("""COMPUTED_VALUE"""),"Sit")</f>
        <v>Sit</v>
      </c>
      <c r="E1171" s="2">
        <f>IFERROR(__xludf.DUMMYFUNCTION("""COMPUTED_VALUE"""),5189.0)</f>
        <v>5189</v>
      </c>
      <c r="F1171" s="3">
        <f>IFERROR(__xludf.DUMMYFUNCTION("""COMPUTED_VALUE"""),60715.0)</f>
        <v>60715</v>
      </c>
      <c r="G1171" s="2" t="str">
        <f>IFERROR(__xludf.DUMMYFUNCTION("""COMPUTED_VALUE"""),"Sabin Tolangi, Kashi ram Bhusal, Uttam Bhatta")</f>
        <v>Sabin Tolangi, Kashi ram Bhusal, Uttam Bhatta</v>
      </c>
      <c r="H1171" s="2" t="str">
        <f>IFERROR(__xludf.DUMMYFUNCTION("""COMPUTED_VALUE"""),"GPO Box: 7806 , Kathmandu Tel: 9841760413")</f>
        <v>GPO Box: 7806 , Kathmandu Tel: 9841760413</v>
      </c>
      <c r="I1171" s="2" t="str">
        <f>IFERROR(__xludf.DUMMYFUNCTION("""COMPUTED_VALUE"""),"27o 51' 04""")</f>
        <v>27o 51' 04"</v>
      </c>
      <c r="J1171" s="2" t="str">
        <f>IFERROR(__xludf.DUMMYFUNCTION("""COMPUTED_VALUE"""),"27o 51' 11""")</f>
        <v>27o 51' 11"</v>
      </c>
      <c r="K1171" s="2" t="str">
        <f>IFERROR(__xludf.DUMMYFUNCTION("""COMPUTED_VALUE"""),"83o 00' 23""")</f>
        <v>83o 00' 23"</v>
      </c>
      <c r="L1171" s="2" t="str">
        <f>IFERROR(__xludf.DUMMYFUNCTION("""COMPUTED_VALUE"""),"83o 03' 04""")</f>
        <v>83o 03' 04"</v>
      </c>
      <c r="M1171" s="2" t="str">
        <f>IFERROR(__xludf.DUMMYFUNCTION("""COMPUTED_VALUE"""),"Jukena,Siddhara (Arghakhanchi)")</f>
        <v>Jukena,Siddhara (Arghakhanchi)</v>
      </c>
    </row>
    <row r="1172">
      <c r="A1172" s="2">
        <f>IFERROR(__xludf.DUMMYFUNCTION("""COMPUTED_VALUE"""),1171.0)</f>
        <v>1171</v>
      </c>
      <c r="B1172" s="2" t="str">
        <f>IFERROR(__xludf.DUMMYFUNCTION("""COMPUTED_VALUE"""),"Barun Khola HPP")</f>
        <v>Barun Khola HPP</v>
      </c>
      <c r="C1172" s="2">
        <f>IFERROR(__xludf.DUMMYFUNCTION("""COMPUTED_VALUE"""),10.0)</f>
        <v>10</v>
      </c>
      <c r="D1172" s="2" t="str">
        <f>IFERROR(__xludf.DUMMYFUNCTION("""COMPUTED_VALUE"""),"Barun Khola")</f>
        <v>Barun Khola</v>
      </c>
      <c r="E1172" s="2">
        <f>IFERROR(__xludf.DUMMYFUNCTION("""COMPUTED_VALUE"""),5197.0)</f>
        <v>5197</v>
      </c>
      <c r="F1172" s="3">
        <f>IFERROR(__xludf.DUMMYFUNCTION("""COMPUTED_VALUE"""),60715.0)</f>
        <v>60715</v>
      </c>
      <c r="G1172" s="2" t="str">
        <f>IFERROR(__xludf.DUMMYFUNCTION("""COMPUTED_VALUE"""),"Arun K. Karn, Bikram Bista, Lucky Sherpa, Bhim B. Nepal , Navin K. Bista")</f>
        <v>Arun K. Karn, Bikram Bista, Lucky Sherpa, Bhim B. Nepal , Navin K. Bista</v>
      </c>
      <c r="H1172" s="2" t="str">
        <f>IFERROR(__xludf.DUMMYFUNCTION("""COMPUTED_VALUE"""),"Birgunj Municipality-3, Parsa Tel: 9851017678")</f>
        <v>Birgunj Municipality-3, Parsa Tel: 9851017678</v>
      </c>
      <c r="I1172" s="2" t="str">
        <f>IFERROR(__xludf.DUMMYFUNCTION("""COMPUTED_VALUE"""),"27o 40' 05""")</f>
        <v>27o 40' 05"</v>
      </c>
      <c r="J1172" s="2" t="str">
        <f>IFERROR(__xludf.DUMMYFUNCTION("""COMPUTED_VALUE"""),"28o 43' 15""")</f>
        <v>28o 43' 15"</v>
      </c>
      <c r="K1172" s="2" t="str">
        <f>IFERROR(__xludf.DUMMYFUNCTION("""COMPUTED_VALUE"""),"87o 18' 16""")</f>
        <v>87o 18' 16"</v>
      </c>
      <c r="L1172" s="2" t="str">
        <f>IFERROR(__xludf.DUMMYFUNCTION("""COMPUTED_VALUE"""),"87o 20' 48""")</f>
        <v>87o 20' 48"</v>
      </c>
      <c r="M1172" s="2" t="str">
        <f>IFERROR(__xludf.DUMMYFUNCTION("""COMPUTED_VALUE"""),"Makalu (Sankhuwasabha)")</f>
        <v>Makalu (Sankhuwasabha)</v>
      </c>
    </row>
    <row r="1173">
      <c r="A1173" s="2">
        <f>IFERROR(__xludf.DUMMYFUNCTION("""COMPUTED_VALUE"""),1172.0)</f>
        <v>1172</v>
      </c>
      <c r="B1173" s="2" t="str">
        <f>IFERROR(__xludf.DUMMYFUNCTION("""COMPUTED_VALUE"""),"Hadi Khola SHP")</f>
        <v>Hadi Khola SHP</v>
      </c>
      <c r="C1173" s="2">
        <f>IFERROR(__xludf.DUMMYFUNCTION("""COMPUTED_VALUE"""),1.0)</f>
        <v>1</v>
      </c>
      <c r="D1173" s="2" t="str">
        <f>IFERROR(__xludf.DUMMYFUNCTION("""COMPUTED_VALUE"""),"Hadi")</f>
        <v>Hadi</v>
      </c>
      <c r="E1173" s="2">
        <f>IFERROR(__xludf.DUMMYFUNCTION("""COMPUTED_VALUE"""),5203.0)</f>
        <v>5203</v>
      </c>
      <c r="F1173" s="3">
        <f>IFERROR(__xludf.DUMMYFUNCTION("""COMPUTED_VALUE"""),60716.0)</f>
        <v>60716</v>
      </c>
      <c r="G1173" s="2" t="str">
        <f>IFERROR(__xludf.DUMMYFUNCTION("""COMPUTED_VALUE"""),"Saroj Shrestha")</f>
        <v>Saroj Shrestha</v>
      </c>
      <c r="H1173" s="2" t="str">
        <f>IFERROR(__xludf.DUMMYFUNCTION("""COMPUTED_VALUE"""),"Nayabazaar-16, Kathmandu")</f>
        <v>Nayabazaar-16, Kathmandu</v>
      </c>
      <c r="I1173" s="2" t="str">
        <f>IFERROR(__xludf.DUMMYFUNCTION("""COMPUTED_VALUE"""),"28o 12' 30""")</f>
        <v>28o 12' 30"</v>
      </c>
      <c r="J1173" s="2" t="str">
        <f>IFERROR(__xludf.DUMMYFUNCTION("""COMPUTED_VALUE"""),"28o 14' 00""")</f>
        <v>28o 14' 00"</v>
      </c>
      <c r="K1173" s="2" t="str">
        <f>IFERROR(__xludf.DUMMYFUNCTION("""COMPUTED_VALUE"""),"84o 17' 15""")</f>
        <v>84o 17' 15"</v>
      </c>
      <c r="L1173" s="2" t="str">
        <f>IFERROR(__xludf.DUMMYFUNCTION("""COMPUTED_VALUE"""),"84o 18' 01""")</f>
        <v>84o 18' 01"</v>
      </c>
      <c r="M1173" s="2" t="str">
        <f>IFERROR(__xludf.DUMMYFUNCTION("""COMPUTED_VALUE"""),"Maling,Nalma (Lamjung)")</f>
        <v>Maling,Nalma (Lamjung)</v>
      </c>
    </row>
    <row r="1174">
      <c r="A1174" s="2">
        <f>IFERROR(__xludf.DUMMYFUNCTION("""COMPUTED_VALUE"""),1173.0)</f>
        <v>1173</v>
      </c>
      <c r="B1174" s="2" t="str">
        <f>IFERROR(__xludf.DUMMYFUNCTION("""COMPUTED_VALUE"""),"Malun Khola SHP")</f>
        <v>Malun Khola SHP</v>
      </c>
      <c r="C1174" s="2">
        <f>IFERROR(__xludf.DUMMYFUNCTION("""COMPUTED_VALUE"""),4.8)</f>
        <v>4.8</v>
      </c>
      <c r="D1174" s="2" t="str">
        <f>IFERROR(__xludf.DUMMYFUNCTION("""COMPUTED_VALUE"""),"Malun")</f>
        <v>Malun</v>
      </c>
      <c r="E1174" s="2">
        <f>IFERROR(__xludf.DUMMYFUNCTION("""COMPUTED_VALUE"""),5212.0)</f>
        <v>5212</v>
      </c>
      <c r="F1174" s="3">
        <f>IFERROR(__xludf.DUMMYFUNCTION("""COMPUTED_VALUE"""),60716.0)</f>
        <v>60716</v>
      </c>
      <c r="G1174" s="2" t="str">
        <f>IFERROR(__xludf.DUMMYFUNCTION("""COMPUTED_VALUE"""),"Sabin Tolangi, Kashi ram Bhusal, Uttam Bhatta")</f>
        <v>Sabin Tolangi, Kashi ram Bhusal, Uttam Bhatta</v>
      </c>
      <c r="H1174" s="2" t="str">
        <f>IFERROR(__xludf.DUMMYFUNCTION("""COMPUTED_VALUE"""),"GPO Box: 7806, Kathmandu, Tel: 9851112364")</f>
        <v>GPO Box: 7806, Kathmandu, Tel: 9851112364</v>
      </c>
      <c r="I1174" s="2" t="str">
        <f>IFERROR(__xludf.DUMMYFUNCTION("""COMPUTED_VALUE"""),"27o 16' 37""")</f>
        <v>27o 16' 37"</v>
      </c>
      <c r="J1174" s="2" t="str">
        <f>IFERROR(__xludf.DUMMYFUNCTION("""COMPUTED_VALUE"""),"27o 20' 12""")</f>
        <v>27o 20' 12"</v>
      </c>
      <c r="K1174" s="2" t="str">
        <f>IFERROR(__xludf.DUMMYFUNCTION("""COMPUTED_VALUE"""),"86o 26' 20""")</f>
        <v>86o 26' 20"</v>
      </c>
      <c r="L1174" s="2" t="str">
        <f>IFERROR(__xludf.DUMMYFUNCTION("""COMPUTED_VALUE"""),"86o 26' 37""")</f>
        <v>86o 26' 37"</v>
      </c>
      <c r="M1174" s="2" t="str">
        <f>IFERROR(__xludf.DUMMYFUNCTION("""COMPUTED_VALUE"""),"Harkapur,Katunje (Okhaldhunga)")</f>
        <v>Harkapur,Katunje (Okhaldhunga)</v>
      </c>
    </row>
    <row r="1175">
      <c r="A1175" s="2">
        <f>IFERROR(__xludf.DUMMYFUNCTION("""COMPUTED_VALUE"""),1174.0)</f>
        <v>1174</v>
      </c>
      <c r="B1175" s="2" t="str">
        <f>IFERROR(__xludf.DUMMYFUNCTION("""COMPUTED_VALUE"""),"Lower Kokaha Khola SHP")</f>
        <v>Lower Kokaha Khola SHP</v>
      </c>
      <c r="C1175" s="2">
        <f>IFERROR(__xludf.DUMMYFUNCTION("""COMPUTED_VALUE"""),0.999)</f>
        <v>0.999</v>
      </c>
      <c r="D1175" s="2" t="str">
        <f>IFERROR(__xludf.DUMMYFUNCTION("""COMPUTED_VALUE"""),"Kokaha")</f>
        <v>Kokaha</v>
      </c>
      <c r="E1175" s="2">
        <f>IFERROR(__xludf.DUMMYFUNCTION("""COMPUTED_VALUE"""),5229.0)</f>
        <v>5229</v>
      </c>
      <c r="F1175" s="3">
        <f>IFERROR(__xludf.DUMMYFUNCTION("""COMPUTED_VALUE"""),60719.0)</f>
        <v>60719</v>
      </c>
      <c r="G1175" s="2" t="str">
        <f>IFERROR(__xludf.DUMMYFUNCTION("""COMPUTED_VALUE"""),"Gyan Bahadur Bhandari")</f>
        <v>Gyan Bahadur Bhandari</v>
      </c>
      <c r="H1175" s="2" t="str">
        <f>IFERROR(__xludf.DUMMYFUNCTION("""COMPUTED_VALUE"""),"Kathmandu-32, Anamnagar Tel: 9841495377,01-4221070")</f>
        <v>Kathmandu-32, Anamnagar Tel: 9841495377,01-4221070</v>
      </c>
      <c r="I1175" s="2" t="str">
        <f>IFERROR(__xludf.DUMMYFUNCTION("""COMPUTED_VALUE"""),"26o 51' 33""")</f>
        <v>26o 51' 33"</v>
      </c>
      <c r="J1175" s="2" t="str">
        <f>IFERROR(__xludf.DUMMYFUNCTION("""COMPUTED_VALUE"""),"26o 52' 55""")</f>
        <v>26o 52' 55"</v>
      </c>
      <c r="K1175" s="2" t="str">
        <f>IFERROR(__xludf.DUMMYFUNCTION("""COMPUTED_VALUE"""),"87o 10' 18""")</f>
        <v>87o 10' 18"</v>
      </c>
      <c r="L1175" s="2" t="str">
        <f>IFERROR(__xludf.DUMMYFUNCTION("""COMPUTED_VALUE"""),"87o 12' 05""")</f>
        <v>87o 12' 05"</v>
      </c>
      <c r="M1175" s="2" t="str">
        <f>IFERROR(__xludf.DUMMYFUNCTION("""COMPUTED_VALUE"""),"Barahachhetra (Sunsari)")</f>
        <v>Barahachhetra (Sunsari)</v>
      </c>
    </row>
    <row r="1176">
      <c r="A1176" s="2">
        <f>IFERROR(__xludf.DUMMYFUNCTION("""COMPUTED_VALUE"""),1175.0)</f>
        <v>1175</v>
      </c>
      <c r="B1176" s="2" t="str">
        <f>IFERROR(__xludf.DUMMYFUNCTION("""COMPUTED_VALUE"""),"Kausau Machho Khola SHP")</f>
        <v>Kausau Machho Khola SHP</v>
      </c>
      <c r="C1176" s="2">
        <f>IFERROR(__xludf.DUMMYFUNCTION("""COMPUTED_VALUE"""),0.998)</f>
        <v>0.998</v>
      </c>
      <c r="D1176" s="2" t="str">
        <f>IFERROR(__xludf.DUMMYFUNCTION("""COMPUTED_VALUE"""),"Machho")</f>
        <v>Machho</v>
      </c>
      <c r="E1176" s="2">
        <f>IFERROR(__xludf.DUMMYFUNCTION("""COMPUTED_VALUE"""),5231.0)</f>
        <v>5231</v>
      </c>
      <c r="F1176" s="3">
        <f>IFERROR(__xludf.DUMMYFUNCTION("""COMPUTED_VALUE"""),60719.0)</f>
        <v>60719</v>
      </c>
      <c r="G1176" s="2" t="str">
        <f>IFERROR(__xludf.DUMMYFUNCTION("""COMPUTED_VALUE"""),"Hydroplan Nepal Pvt Ltd")</f>
        <v>Hydroplan Nepal Pvt Ltd</v>
      </c>
      <c r="H1176" s="2" t="str">
        <f>IFERROR(__xludf.DUMMYFUNCTION("""COMPUTED_VALUE"""),"GPO Box: 13134, Kathmandu Tel: 4650787")</f>
        <v>GPO Box: 13134, Kathmandu Tel: 4650787</v>
      </c>
      <c r="I1176" s="2" t="str">
        <f>IFERROR(__xludf.DUMMYFUNCTION("""COMPUTED_VALUE"""),"28o 28' 35""")</f>
        <v>28o 28' 35"</v>
      </c>
      <c r="J1176" s="2" t="str">
        <f>IFERROR(__xludf.DUMMYFUNCTION("""COMPUTED_VALUE"""),"28o 30' 00""")</f>
        <v>28o 30' 00"</v>
      </c>
      <c r="K1176" s="2" t="str">
        <f>IFERROR(__xludf.DUMMYFUNCTION("""COMPUTED_VALUE"""),"84o 20' 00""")</f>
        <v>84o 20' 00"</v>
      </c>
      <c r="L1176" s="2" t="str">
        <f>IFERROR(__xludf.DUMMYFUNCTION("""COMPUTED_VALUE"""),"84o 21' 58""")</f>
        <v>84o 21' 58"</v>
      </c>
      <c r="M1176" s="2" t="str">
        <f>IFERROR(__xludf.DUMMYFUNCTION("""COMPUTED_VALUE"""),"Dharapani (Manang)")</f>
        <v>Dharapani (Manang)</v>
      </c>
    </row>
    <row r="1177">
      <c r="A1177" s="2">
        <f>IFERROR(__xludf.DUMMYFUNCTION("""COMPUTED_VALUE"""),1176.0)</f>
        <v>1176</v>
      </c>
      <c r="B1177" s="2" t="str">
        <f>IFERROR(__xludf.DUMMYFUNCTION("""COMPUTED_VALUE"""),"Chyyanduri Khola SHP")</f>
        <v>Chyyanduri Khola SHP</v>
      </c>
      <c r="C1177" s="2">
        <f>IFERROR(__xludf.DUMMYFUNCTION("""COMPUTED_VALUE"""),0.999)</f>
        <v>0.999</v>
      </c>
      <c r="D1177" s="2" t="str">
        <f>IFERROR(__xludf.DUMMYFUNCTION("""COMPUTED_VALUE"""),"Chhyanduri")</f>
        <v>Chhyanduri</v>
      </c>
      <c r="E1177" s="2">
        <f>IFERROR(__xludf.DUMMYFUNCTION("""COMPUTED_VALUE"""),5235.0)</f>
        <v>5235</v>
      </c>
      <c r="F1177" s="3">
        <f>IFERROR(__xludf.DUMMYFUNCTION("""COMPUTED_VALUE"""),60719.0)</f>
        <v>60719</v>
      </c>
      <c r="G1177" s="2" t="str">
        <f>IFERROR(__xludf.DUMMYFUNCTION("""COMPUTED_VALUE"""),"Pushpa Lata Regmi Adhikari")</f>
        <v>Pushpa Lata Regmi Adhikari</v>
      </c>
      <c r="H1177" s="2" t="str">
        <f>IFERROR(__xludf.DUMMYFUNCTION("""COMPUTED_VALUE"""),"Sukedhara, Kathmandu")</f>
        <v>Sukedhara, Kathmandu</v>
      </c>
      <c r="I1177" s="2" t="str">
        <f>IFERROR(__xludf.DUMMYFUNCTION("""COMPUTED_VALUE"""),"27o 37' 30""")</f>
        <v>27o 37' 30"</v>
      </c>
      <c r="J1177" s="2" t="str">
        <f>IFERROR(__xludf.DUMMYFUNCTION("""COMPUTED_VALUE"""),"27o 40' 00""")</f>
        <v>27o 40' 00"</v>
      </c>
      <c r="K1177" s="2" t="str">
        <f>IFERROR(__xludf.DUMMYFUNCTION("""COMPUTED_VALUE"""),"84o 53' 45""")</f>
        <v>84o 53' 45"</v>
      </c>
      <c r="L1177" s="2" t="str">
        <f>IFERROR(__xludf.DUMMYFUNCTION("""COMPUTED_VALUE"""),"84o 57' 30""")</f>
        <v>84o 57' 30"</v>
      </c>
      <c r="M1177" s="2" t="str">
        <f>IFERROR(__xludf.DUMMYFUNCTION("""COMPUTED_VALUE"""),"Dadakharka (Makawanpur)")</f>
        <v>Dadakharka (Makawanpur)</v>
      </c>
    </row>
    <row r="1178">
      <c r="A1178" s="2">
        <f>IFERROR(__xludf.DUMMYFUNCTION("""COMPUTED_VALUE"""),1177.0)</f>
        <v>1177</v>
      </c>
      <c r="B1178" s="2" t="str">
        <f>IFERROR(__xludf.DUMMYFUNCTION("""COMPUTED_VALUE"""),"Ghusbang Khola HPP")</f>
        <v>Ghusbang Khola HPP</v>
      </c>
      <c r="C1178" s="2">
        <f>IFERROR(__xludf.DUMMYFUNCTION("""COMPUTED_VALUE"""),2.627)</f>
        <v>2.627</v>
      </c>
      <c r="D1178" s="2" t="str">
        <f>IFERROR(__xludf.DUMMYFUNCTION("""COMPUTED_VALUE"""),"Ghusbang")</f>
        <v>Ghusbang</v>
      </c>
      <c r="E1178" s="2">
        <f>IFERROR(__xludf.DUMMYFUNCTION("""COMPUTED_VALUE"""),5268.0)</f>
        <v>5268</v>
      </c>
      <c r="F1178" s="3">
        <f>IFERROR(__xludf.DUMMYFUNCTION("""COMPUTED_VALUE"""),60721.0)</f>
        <v>60721</v>
      </c>
      <c r="G1178" s="2" t="str">
        <f>IFERROR(__xludf.DUMMYFUNCTION("""COMPUTED_VALUE"""),"Shree Jayanti Nirman Sewa")</f>
        <v>Shree Jayanti Nirman Sewa</v>
      </c>
      <c r="H1178" s="2" t="str">
        <f>IFERROR(__xludf.DUMMYFUNCTION("""COMPUTED_VALUE"""),"Kathmandu, Tel: 2004622")</f>
        <v>Kathmandu, Tel: 2004622</v>
      </c>
      <c r="I1178" s="2" t="str">
        <f>IFERROR(__xludf.DUMMYFUNCTION("""COMPUTED_VALUE"""),"28o 22' 30""")</f>
        <v>28o 22' 30"</v>
      </c>
      <c r="J1178" s="2" t="str">
        <f>IFERROR(__xludf.DUMMYFUNCTION("""COMPUTED_VALUE"""),"28o 25' 00""")</f>
        <v>28o 25' 00"</v>
      </c>
      <c r="K1178" s="2" t="str">
        <f>IFERROR(__xludf.DUMMYFUNCTION("""COMPUTED_VALUE"""),"82o 48' 22""")</f>
        <v>82o 48' 22"</v>
      </c>
      <c r="L1178" s="2" t="str">
        <f>IFERROR(__xludf.DUMMYFUNCTION("""COMPUTED_VALUE"""),"82o 50' 13""")</f>
        <v>82o 50' 13"</v>
      </c>
      <c r="M1178" s="2" t="str">
        <f>IFERROR(__xludf.DUMMYFUNCTION("""COMPUTED_VALUE"""),"Seram (Rolpa)")</f>
        <v>Seram (Rolpa)</v>
      </c>
    </row>
    <row r="1179">
      <c r="A1179" s="2">
        <f>IFERROR(__xludf.DUMMYFUNCTION("""COMPUTED_VALUE"""),1178.0)</f>
        <v>1178</v>
      </c>
      <c r="B1179" s="2" t="str">
        <f>IFERROR(__xludf.DUMMYFUNCTION("""COMPUTED_VALUE"""),"Jum Khola SHP")</f>
        <v>Jum Khola SHP</v>
      </c>
      <c r="C1179" s="2">
        <f>IFERROR(__xludf.DUMMYFUNCTION("""COMPUTED_VALUE"""),0.99)</f>
        <v>0.99</v>
      </c>
      <c r="D1179" s="2" t="str">
        <f>IFERROR(__xludf.DUMMYFUNCTION("""COMPUTED_VALUE"""),"Jum")</f>
        <v>Jum</v>
      </c>
      <c r="E1179" s="2">
        <f>IFERROR(__xludf.DUMMYFUNCTION("""COMPUTED_VALUE"""),5271.0)</f>
        <v>5271</v>
      </c>
      <c r="F1179" s="3">
        <f>IFERROR(__xludf.DUMMYFUNCTION("""COMPUTED_VALUE"""),60722.0)</f>
        <v>60722</v>
      </c>
      <c r="G1179" s="2" t="str">
        <f>IFERROR(__xludf.DUMMYFUNCTION("""COMPUTED_VALUE"""),"Madhav Prasad Ghimire")</f>
        <v>Madhav Prasad Ghimire</v>
      </c>
      <c r="H1179" s="2" t="str">
        <f>IFERROR(__xludf.DUMMYFUNCTION("""COMPUTED_VALUE"""),"Namdu-4, Dolkha")</f>
        <v>Namdu-4, Dolkha</v>
      </c>
      <c r="I1179" s="2" t="str">
        <f>IFERROR(__xludf.DUMMYFUNCTION("""COMPUTED_VALUE"""),"27o 56' 00""")</f>
        <v>27o 56' 00"</v>
      </c>
      <c r="J1179" s="2" t="str">
        <f>IFERROR(__xludf.DUMMYFUNCTION("""COMPUTED_VALUE"""),"27o 58' 00""")</f>
        <v>27o 58' 00"</v>
      </c>
      <c r="K1179" s="2" t="str">
        <f>IFERROR(__xludf.DUMMYFUNCTION("""COMPUTED_VALUE"""),"86o 12' 00""")</f>
        <v>86o 12' 00"</v>
      </c>
      <c r="L1179" s="2" t="str">
        <f>IFERROR(__xludf.DUMMYFUNCTION("""COMPUTED_VALUE"""),"86o 14' 00""")</f>
        <v>86o 14' 00"</v>
      </c>
      <c r="M1179" s="2" t="str">
        <f>IFERROR(__xludf.DUMMYFUNCTION("""COMPUTED_VALUE"""),"Lamabagar (Dolakha)")</f>
        <v>Lamabagar (Dolakha)</v>
      </c>
    </row>
    <row r="1180">
      <c r="A1180" s="2">
        <f>IFERROR(__xludf.DUMMYFUNCTION("""COMPUTED_VALUE"""),1179.0)</f>
        <v>1179</v>
      </c>
      <c r="B1180" s="2" t="str">
        <f>IFERROR(__xludf.DUMMYFUNCTION("""COMPUTED_VALUE"""),"Middle Madi HPP")</f>
        <v>Middle Madi HPP</v>
      </c>
      <c r="C1180" s="2">
        <f>IFERROR(__xludf.DUMMYFUNCTION("""COMPUTED_VALUE"""),12.0)</f>
        <v>12</v>
      </c>
      <c r="D1180" s="2" t="str">
        <f>IFERROR(__xludf.DUMMYFUNCTION("""COMPUTED_VALUE"""),"Madi Khola")</f>
        <v>Madi Khola</v>
      </c>
      <c r="E1180" s="2">
        <f>IFERROR(__xludf.DUMMYFUNCTION("""COMPUTED_VALUE"""),5273.0)</f>
        <v>5273</v>
      </c>
      <c r="F1180" s="3">
        <f>IFERROR(__xludf.DUMMYFUNCTION("""COMPUTED_VALUE"""),60722.0)</f>
        <v>60722</v>
      </c>
      <c r="G1180" s="2" t="str">
        <f>IFERROR(__xludf.DUMMYFUNCTION("""COMPUTED_VALUE"""),"Ashiyana Eng. Consutancy Pvt Ltd")</f>
        <v>Ashiyana Eng. Consutancy Pvt Ltd</v>
      </c>
      <c r="H1180" s="2" t="str">
        <f>IFERROR(__xludf.DUMMYFUNCTION("""COMPUTED_VALUE"""),"P.O.Box: 332, Pokhra Kaski Tel: 9856024152, 061-521543")</f>
        <v>P.O.Box: 332, Pokhra Kaski Tel: 9856024152, 061-521543</v>
      </c>
      <c r="I1180" s="2" t="str">
        <f>IFERROR(__xludf.DUMMYFUNCTION("""COMPUTED_VALUE"""),"28o 11' 20""")</f>
        <v>28o 11' 20"</v>
      </c>
      <c r="J1180" s="2" t="str">
        <f>IFERROR(__xludf.DUMMYFUNCTION("""COMPUTED_VALUE"""),"28o 13' 10""")</f>
        <v>28o 13' 10"</v>
      </c>
      <c r="K1180" s="2" t="str">
        <f>IFERROR(__xludf.DUMMYFUNCTION("""COMPUTED_VALUE"""),"84o 08' 20""")</f>
        <v>84o 08' 20"</v>
      </c>
      <c r="L1180" s="2" t="str">
        <f>IFERROR(__xludf.DUMMYFUNCTION("""COMPUTED_VALUE"""),"84o 11' 50""")</f>
        <v>84o 11' 50"</v>
      </c>
      <c r="M1180" s="2" t="str">
        <f>IFERROR(__xludf.DUMMYFUNCTION("""COMPUTED_VALUE"""),"Hansapur,Majhthana (Kaski)")</f>
        <v>Hansapur,Majhthana (Kaski)</v>
      </c>
    </row>
    <row r="1181">
      <c r="A1181" s="2">
        <f>IFERROR(__xludf.DUMMYFUNCTION("""COMPUTED_VALUE"""),1180.0)</f>
        <v>1180</v>
      </c>
      <c r="B1181" s="2" t="str">
        <f>IFERROR(__xludf.DUMMYFUNCTION("""COMPUTED_VALUE"""),"Bardi Khola SHP")</f>
        <v>Bardi Khola SHP</v>
      </c>
      <c r="C1181" s="2">
        <f>IFERROR(__xludf.DUMMYFUNCTION("""COMPUTED_VALUE"""),0.9)</f>
        <v>0.9</v>
      </c>
      <c r="D1181" s="2" t="str">
        <f>IFERROR(__xludf.DUMMYFUNCTION("""COMPUTED_VALUE"""),"Bardi")</f>
        <v>Bardi</v>
      </c>
      <c r="E1181" s="2">
        <f>IFERROR(__xludf.DUMMYFUNCTION("""COMPUTED_VALUE"""),5278.0)</f>
        <v>5278</v>
      </c>
      <c r="F1181" s="3">
        <f>IFERROR(__xludf.DUMMYFUNCTION("""COMPUTED_VALUE"""),60722.0)</f>
        <v>60722</v>
      </c>
      <c r="G1181" s="2" t="str">
        <f>IFERROR(__xludf.DUMMYFUNCTION("""COMPUTED_VALUE"""),"Manisha Bhandari")</f>
        <v>Manisha Bhandari</v>
      </c>
      <c r="H1181" s="2" t="str">
        <f>IFERROR(__xludf.DUMMYFUNCTION("""COMPUTED_VALUE"""),"Balkot, Bhaktapur Tel: 9849128611")</f>
        <v>Balkot, Bhaktapur Tel: 9849128611</v>
      </c>
      <c r="I1181" s="2" t="str">
        <f>IFERROR(__xludf.DUMMYFUNCTION("""COMPUTED_VALUE"""),"28o 12' 53""")</f>
        <v>28o 12' 53"</v>
      </c>
      <c r="J1181" s="2" t="str">
        <f>IFERROR(__xludf.DUMMYFUNCTION("""COMPUTED_VALUE"""),"28o 14' 41""")</f>
        <v>28o 14' 41"</v>
      </c>
      <c r="K1181" s="2" t="str">
        <f>IFERROR(__xludf.DUMMYFUNCTION("""COMPUTED_VALUE"""),"84o 09' 10""")</f>
        <v>84o 09' 10"</v>
      </c>
      <c r="L1181" s="2" t="str">
        <f>IFERROR(__xludf.DUMMYFUNCTION("""COMPUTED_VALUE"""),"84o 11' 01""")</f>
        <v>84o 11' 01"</v>
      </c>
      <c r="M1181" s="2" t="str">
        <f>IFERROR(__xludf.DUMMYFUNCTION("""COMPUTED_VALUE"""),"Bhachok,Mijuredada (Kaski)")</f>
        <v>Bhachok,Mijuredada (Kaski)</v>
      </c>
    </row>
    <row r="1182">
      <c r="A1182" s="2">
        <f>IFERROR(__xludf.DUMMYFUNCTION("""COMPUTED_VALUE"""),1181.0)</f>
        <v>1181</v>
      </c>
      <c r="B1182" s="2" t="str">
        <f>IFERROR(__xludf.DUMMYFUNCTION("""COMPUTED_VALUE"""),"Irkhuwa Khola-B HPP")</f>
        <v>Irkhuwa Khola-B HPP</v>
      </c>
      <c r="C1182" s="2">
        <f>IFERROR(__xludf.DUMMYFUNCTION("""COMPUTED_VALUE"""),3.168)</f>
        <v>3.168</v>
      </c>
      <c r="D1182" s="2" t="str">
        <f>IFERROR(__xludf.DUMMYFUNCTION("""COMPUTED_VALUE"""),"Irkhuwa Khola")</f>
        <v>Irkhuwa Khola</v>
      </c>
      <c r="E1182" s="2">
        <f>IFERROR(__xludf.DUMMYFUNCTION("""COMPUTED_VALUE"""),2.0)</f>
        <v>2</v>
      </c>
      <c r="F1182" s="3">
        <f>IFERROR(__xludf.DUMMYFUNCTION("""COMPUTED_VALUE"""),60723.0)</f>
        <v>60723</v>
      </c>
      <c r="G1182" s="2" t="str">
        <f>IFERROR(__xludf.DUMMYFUNCTION("""COMPUTED_VALUE"""),"Pragya Power Company Pvt Ltd")</f>
        <v>Pragya Power Company Pvt Ltd</v>
      </c>
      <c r="H1182" s="2" t="str">
        <f>IFERROR(__xludf.DUMMYFUNCTION("""COMPUTED_VALUE"""),"Kathmandu Municipality-32, Anamnagar Tel: 9851099910, 4221070")</f>
        <v>Kathmandu Municipality-32, Anamnagar Tel: 9851099910, 4221070</v>
      </c>
      <c r="I1182" s="2" t="str">
        <f>IFERROR(__xludf.DUMMYFUNCTION("""COMPUTED_VALUE"""),"27o 24' 35""")</f>
        <v>27o 24' 35"</v>
      </c>
      <c r="J1182" s="2" t="str">
        <f>IFERROR(__xludf.DUMMYFUNCTION("""COMPUTED_VALUE"""),"27o 25' 24""")</f>
        <v>27o 25' 24"</v>
      </c>
      <c r="K1182" s="2" t="str">
        <f>IFERROR(__xludf.DUMMYFUNCTION("""COMPUTED_VALUE"""),"87o 05' 59""")</f>
        <v>87o 05' 59"</v>
      </c>
      <c r="L1182" s="2" t="str">
        <f>IFERROR(__xludf.DUMMYFUNCTION("""COMPUTED_VALUE"""),"87o 07' 53""")</f>
        <v>87o 07' 53"</v>
      </c>
      <c r="M1182" s="2" t="str">
        <f>IFERROR(__xludf.DUMMYFUNCTION("""COMPUTED_VALUE"""),"Chaukidada,Kulunga,Nepaledada (Bhojpur)")</f>
        <v>Chaukidada,Kulunga,Nepaledada (Bhojpur)</v>
      </c>
    </row>
    <row r="1183">
      <c r="A1183" s="2">
        <f>IFERROR(__xludf.DUMMYFUNCTION("""COMPUTED_VALUE"""),1182.0)</f>
        <v>1182</v>
      </c>
      <c r="B1183" s="2" t="str">
        <f>IFERROR(__xludf.DUMMYFUNCTION("""COMPUTED_VALUE"""),"Irkhuwa Khola SHP")</f>
        <v>Irkhuwa Khola SHP</v>
      </c>
      <c r="C1183" s="2">
        <f>IFERROR(__xludf.DUMMYFUNCTION("""COMPUTED_VALUE"""),0.96)</f>
        <v>0.96</v>
      </c>
      <c r="D1183" s="2" t="str">
        <f>IFERROR(__xludf.DUMMYFUNCTION("""COMPUTED_VALUE"""),"Irkhuwa Khola")</f>
        <v>Irkhuwa Khola</v>
      </c>
      <c r="E1183" s="2">
        <f>IFERROR(__xludf.DUMMYFUNCTION("""COMPUTED_VALUE"""),3.0)</f>
        <v>3</v>
      </c>
      <c r="F1183" s="3">
        <f>IFERROR(__xludf.DUMMYFUNCTION("""COMPUTED_VALUE"""),60723.0)</f>
        <v>60723</v>
      </c>
      <c r="G1183" s="2" t="str">
        <f>IFERROR(__xludf.DUMMYFUNCTION("""COMPUTED_VALUE"""),"Tara Rai")</f>
        <v>Tara Rai</v>
      </c>
      <c r="H1183" s="2" t="str">
        <f>IFERROR(__xludf.DUMMYFUNCTION("""COMPUTED_VALUE"""),"Chauki Danda-2, Bhojpur Tel: 9851108971")</f>
        <v>Chauki Danda-2, Bhojpur Tel: 9851108971</v>
      </c>
      <c r="I1183" s="2" t="str">
        <f>IFERROR(__xludf.DUMMYFUNCTION("""COMPUTED_VALUE"""),"27o 23' 47""")</f>
        <v>27o 23' 47"</v>
      </c>
      <c r="J1183" s="2" t="str">
        <f>IFERROR(__xludf.DUMMYFUNCTION("""COMPUTED_VALUE"""),"27o 25' 00""")</f>
        <v>27o 25' 00"</v>
      </c>
      <c r="K1183" s="2" t="str">
        <f>IFERROR(__xludf.DUMMYFUNCTION("""COMPUTED_VALUE"""),"87o 04' 10""")</f>
        <v>87o 04' 10"</v>
      </c>
      <c r="L1183" s="2" t="str">
        <f>IFERROR(__xludf.DUMMYFUNCTION("""COMPUTED_VALUE"""),"87o 05' 38""")</f>
        <v>87o 05' 38"</v>
      </c>
      <c r="M1183" s="2" t="str">
        <f>IFERROR(__xludf.DUMMYFUNCTION("""COMPUTED_VALUE"""),"Chaukidada (Bhojpur)")</f>
        <v>Chaukidada (Bhojpur)</v>
      </c>
    </row>
    <row r="1184">
      <c r="A1184" s="2">
        <f>IFERROR(__xludf.DUMMYFUNCTION("""COMPUTED_VALUE"""),1183.0)</f>
        <v>1183</v>
      </c>
      <c r="B1184" s="2" t="str">
        <f>IFERROR(__xludf.DUMMYFUNCTION("""COMPUTED_VALUE"""),"Guhar Khola SHP")</f>
        <v>Guhar Khola SHP</v>
      </c>
      <c r="C1184" s="2">
        <f>IFERROR(__xludf.DUMMYFUNCTION("""COMPUTED_VALUE"""),0.527)</f>
        <v>0.527</v>
      </c>
      <c r="D1184" s="2" t="str">
        <f>IFERROR(__xludf.DUMMYFUNCTION("""COMPUTED_VALUE"""),"Guhar")</f>
        <v>Guhar</v>
      </c>
      <c r="E1184" s="2">
        <f>IFERROR(__xludf.DUMMYFUNCTION("""COMPUTED_VALUE"""),8.0)</f>
        <v>8</v>
      </c>
      <c r="F1184" s="3">
        <f>IFERROR(__xludf.DUMMYFUNCTION("""COMPUTED_VALUE"""),60723.0)</f>
        <v>60723</v>
      </c>
      <c r="G1184" s="2" t="str">
        <f>IFERROR(__xludf.DUMMYFUNCTION("""COMPUTED_VALUE"""),"Anod Kumar Devkota")</f>
        <v>Anod Kumar Devkota</v>
      </c>
      <c r="H1184" s="2" t="str">
        <f>IFERROR(__xludf.DUMMYFUNCTION("""COMPUTED_VALUE"""),"GPO Box: 25120, Kathmandu Tel: 9841484136")</f>
        <v>GPO Box: 25120, Kathmandu Tel: 9841484136</v>
      </c>
      <c r="I1184" s="2" t="str">
        <f>IFERROR(__xludf.DUMMYFUNCTION("""COMPUTED_VALUE"""),"28o 09' 23""")</f>
        <v>28o 09' 23"</v>
      </c>
      <c r="J1184" s="2" t="str">
        <f>IFERROR(__xludf.DUMMYFUNCTION("""COMPUTED_VALUE"""),"28o 11' 02""")</f>
        <v>28o 11' 02"</v>
      </c>
      <c r="K1184" s="2" t="str">
        <f>IFERROR(__xludf.DUMMYFUNCTION("""COMPUTED_VALUE"""),"82o 22' 30""")</f>
        <v>82o 22' 30"</v>
      </c>
      <c r="L1184" s="2" t="str">
        <f>IFERROR(__xludf.DUMMYFUNCTION("""COMPUTED_VALUE"""),"82o 25' 00""")</f>
        <v>82o 25' 00"</v>
      </c>
      <c r="M1184" s="2" t="str">
        <f>IFERROR(__xludf.DUMMYFUNCTION("""COMPUTED_VALUE"""),"Bijauri,Halwar (Dang)")</f>
        <v>Bijauri,Halwar (Dang)</v>
      </c>
    </row>
    <row r="1185">
      <c r="A1185" s="2">
        <f>IFERROR(__xludf.DUMMYFUNCTION("""COMPUTED_VALUE"""),1184.0)</f>
        <v>1184</v>
      </c>
      <c r="B1185" s="2" t="str">
        <f>IFERROR(__xludf.DUMMYFUNCTION("""COMPUTED_VALUE"""),"Panchpokhri Khola HPP")</f>
        <v>Panchpokhri Khola HPP</v>
      </c>
      <c r="C1185" s="2">
        <f>IFERROR(__xludf.DUMMYFUNCTION("""COMPUTED_VALUE"""),2.1)</f>
        <v>2.1</v>
      </c>
      <c r="D1185" s="2" t="str">
        <f>IFERROR(__xludf.DUMMYFUNCTION("""COMPUTED_VALUE"""),"Panch Pokhari Khola")</f>
        <v>Panch Pokhari Khola</v>
      </c>
      <c r="E1185" s="2">
        <f>IFERROR(__xludf.DUMMYFUNCTION("""COMPUTED_VALUE"""),9.0)</f>
        <v>9</v>
      </c>
      <c r="F1185" s="3">
        <f>IFERROR(__xludf.DUMMYFUNCTION("""COMPUTED_VALUE"""),60723.0)</f>
        <v>60723</v>
      </c>
      <c r="G1185" s="2" t="str">
        <f>IFERROR(__xludf.DUMMYFUNCTION("""COMPUTED_VALUE"""),"Dorje Tamang")</f>
        <v>Dorje Tamang</v>
      </c>
      <c r="H1185" s="2" t="str">
        <f>IFERROR(__xludf.DUMMYFUNCTION("""COMPUTED_VALUE"""),"Bhotang VDC-3, Sindhupalchowk, Tel; 9841212143")</f>
        <v>Bhotang VDC-3, Sindhupalchowk, Tel; 9841212143</v>
      </c>
      <c r="I1185" s="2" t="str">
        <f>IFERROR(__xludf.DUMMYFUNCTION("""COMPUTED_VALUE"""),"27o 59' 50""")</f>
        <v>27o 59' 50"</v>
      </c>
      <c r="J1185" s="2" t="str">
        <f>IFERROR(__xludf.DUMMYFUNCTION("""COMPUTED_VALUE"""),"28o 00' 41""")</f>
        <v>28o 00' 41"</v>
      </c>
      <c r="K1185" s="2" t="str">
        <f>IFERROR(__xludf.DUMMYFUNCTION("""COMPUTED_VALUE"""),"85o 40' 00""")</f>
        <v>85o 40' 00"</v>
      </c>
      <c r="L1185" s="2" t="str">
        <f>IFERROR(__xludf.DUMMYFUNCTION("""COMPUTED_VALUE"""),"85o 41' 23""")</f>
        <v>85o 41' 23"</v>
      </c>
      <c r="M1185" s="2" t="str">
        <f>IFERROR(__xludf.DUMMYFUNCTION("""COMPUTED_VALUE"""),"Bhotang (Sindhupalchok)")</f>
        <v>Bhotang (Sindhupalchok)</v>
      </c>
    </row>
    <row r="1186">
      <c r="A1186" s="2">
        <f>IFERROR(__xludf.DUMMYFUNCTION("""COMPUTED_VALUE"""),1185.0)</f>
        <v>1185</v>
      </c>
      <c r="B1186" s="2" t="str">
        <f>IFERROR(__xludf.DUMMYFUNCTION("""COMPUTED_VALUE"""),"Gumdar-Lapse Khola SHP")</f>
        <v>Gumdar-Lapse Khola SHP</v>
      </c>
      <c r="C1186" s="2">
        <f>IFERROR(__xludf.DUMMYFUNCTION("""COMPUTED_VALUE"""),0.502)</f>
        <v>0.502</v>
      </c>
      <c r="D1186" s="2" t="str">
        <f>IFERROR(__xludf.DUMMYFUNCTION("""COMPUTED_VALUE"""),"Gumdar")</f>
        <v>Gumdar</v>
      </c>
      <c r="E1186" s="2">
        <f>IFERROR(__xludf.DUMMYFUNCTION("""COMPUTED_VALUE"""),54.0)</f>
        <v>54</v>
      </c>
      <c r="F1186" s="3">
        <f>IFERROR(__xludf.DUMMYFUNCTION("""COMPUTED_VALUE"""),60726.0)</f>
        <v>60726</v>
      </c>
      <c r="G1186" s="2" t="str">
        <f>IFERROR(__xludf.DUMMYFUNCTION("""COMPUTED_VALUE"""),"Navindra Kumar Lama, Jay Bahadur Lama")</f>
        <v>Navindra Kumar Lama, Jay Bahadur Lama</v>
      </c>
      <c r="H1186" s="2" t="str">
        <f>IFERROR(__xludf.DUMMYFUNCTION("""COMPUTED_VALUE"""),"Baramchi VDC-4, Sindhupalchowk")</f>
        <v>Baramchi VDC-4, Sindhupalchowk</v>
      </c>
      <c r="I1186" s="2" t="str">
        <f>IFERROR(__xludf.DUMMYFUNCTION("""COMPUTED_VALUE"""),"27o 51' 36""")</f>
        <v>27o 51' 36"</v>
      </c>
      <c r="J1186" s="2" t="str">
        <f>IFERROR(__xludf.DUMMYFUNCTION("""COMPUTED_VALUE"""),"27o 53' 16""")</f>
        <v>27o 53' 16"</v>
      </c>
      <c r="K1186" s="2" t="str">
        <f>IFERROR(__xludf.DUMMYFUNCTION("""COMPUTED_VALUE"""),"85o 47' 32""")</f>
        <v>85o 47' 32"</v>
      </c>
      <c r="L1186" s="2" t="str">
        <f>IFERROR(__xludf.DUMMYFUNCTION("""COMPUTED_VALUE"""),"85o 50' 00""")</f>
        <v>85o 50' 00"</v>
      </c>
      <c r="M1186" s="2" t="str">
        <f>IFERROR(__xludf.DUMMYFUNCTION("""COMPUTED_VALUE"""),"Baramchi,Hagam (Sindhupalchok)")</f>
        <v>Baramchi,Hagam (Sindhupalchok)</v>
      </c>
    </row>
    <row r="1187">
      <c r="A1187" s="2">
        <f>IFERROR(__xludf.DUMMYFUNCTION("""COMPUTED_VALUE"""),1186.0)</f>
        <v>1186</v>
      </c>
      <c r="B1187" s="2" t="str">
        <f>IFERROR(__xludf.DUMMYFUNCTION("""COMPUTED_VALUE"""),"Seula Khola SHP")</f>
        <v>Seula Khola SHP</v>
      </c>
      <c r="C1187" s="2">
        <f>IFERROR(__xludf.DUMMYFUNCTION("""COMPUTED_VALUE"""),0.98)</f>
        <v>0.98</v>
      </c>
      <c r="D1187" s="2" t="str">
        <f>IFERROR(__xludf.DUMMYFUNCTION("""COMPUTED_VALUE"""),"Seula")</f>
        <v>Seula</v>
      </c>
      <c r="E1187" s="2">
        <f>IFERROR(__xludf.DUMMYFUNCTION("""COMPUTED_VALUE"""),59.0)</f>
        <v>59</v>
      </c>
      <c r="F1187" s="3">
        <f>IFERROR(__xludf.DUMMYFUNCTION("""COMPUTED_VALUE"""),60726.0)</f>
        <v>60726</v>
      </c>
      <c r="G1187" s="2" t="str">
        <f>IFERROR(__xludf.DUMMYFUNCTION("""COMPUTED_VALUE"""),"Engineering &amp; Planning Solution")</f>
        <v>Engineering &amp; Planning Solution</v>
      </c>
      <c r="H1187" s="2" t="str">
        <f>IFERROR(__xludf.DUMMYFUNCTION("""COMPUTED_VALUE"""),"KMC -10, Bijulibazaar, Kathmandu")</f>
        <v>KMC -10, Bijulibazaar, Kathmandu</v>
      </c>
      <c r="I1187" s="2" t="str">
        <f>IFERROR(__xludf.DUMMYFUNCTION("""COMPUTED_VALUE"""),"28o 23' 54""")</f>
        <v>28o 23' 54"</v>
      </c>
      <c r="J1187" s="2" t="str">
        <f>IFERROR(__xludf.DUMMYFUNCTION("""COMPUTED_VALUE"""),"28o 25' 55""")</f>
        <v>28o 25' 55"</v>
      </c>
      <c r="K1187" s="2" t="str">
        <f>IFERROR(__xludf.DUMMYFUNCTION("""COMPUTED_VALUE"""),"83o 12' 30""")</f>
        <v>83o 12' 30"</v>
      </c>
      <c r="L1187" s="2" t="str">
        <f>IFERROR(__xludf.DUMMYFUNCTION("""COMPUTED_VALUE"""),"83o 14' 40""")</f>
        <v>83o 14' 40"</v>
      </c>
      <c r="M1187" s="2" t="str">
        <f>IFERROR(__xludf.DUMMYFUNCTION("""COMPUTED_VALUE"""),"Bungadovan (Baglung)")</f>
        <v>Bungadovan (Baglung)</v>
      </c>
    </row>
    <row r="1188">
      <c r="A1188" s="2">
        <f>IFERROR(__xludf.DUMMYFUNCTION("""COMPUTED_VALUE"""),1187.0)</f>
        <v>1187</v>
      </c>
      <c r="B1188" s="2" t="str">
        <f>IFERROR(__xludf.DUMMYFUNCTION("""COMPUTED_VALUE"""),"Gaudi Khola SHP")</f>
        <v>Gaudi Khola SHP</v>
      </c>
      <c r="C1188" s="2">
        <f>IFERROR(__xludf.DUMMYFUNCTION("""COMPUTED_VALUE"""),0.86)</f>
        <v>0.86</v>
      </c>
      <c r="D1188" s="2" t="str">
        <f>IFERROR(__xludf.DUMMYFUNCTION("""COMPUTED_VALUE"""),"Gaudi")</f>
        <v>Gaudi</v>
      </c>
      <c r="E1188" s="2">
        <f>IFERROR(__xludf.DUMMYFUNCTION("""COMPUTED_VALUE"""),60.0)</f>
        <v>60</v>
      </c>
      <c r="F1188" s="3">
        <f>IFERROR(__xludf.DUMMYFUNCTION("""COMPUTED_VALUE"""),60726.0)</f>
        <v>60726</v>
      </c>
      <c r="G1188" s="2" t="str">
        <f>IFERROR(__xludf.DUMMYFUNCTION("""COMPUTED_VALUE"""),"Engineering &amp; Planning Solution")</f>
        <v>Engineering &amp; Planning Solution</v>
      </c>
      <c r="H1188" s="2" t="str">
        <f>IFERROR(__xludf.DUMMYFUNCTION("""COMPUTED_VALUE"""),"KMC -10, Bijulibazaar, Kathmandu")</f>
        <v>KMC -10, Bijulibazaar, Kathmandu</v>
      </c>
      <c r="I1188" s="2" t="str">
        <f>IFERROR(__xludf.DUMMYFUNCTION("""COMPUTED_VALUE"""),"28o 12' 43""")</f>
        <v>28o 12' 43"</v>
      </c>
      <c r="J1188" s="2" t="str">
        <f>IFERROR(__xludf.DUMMYFUNCTION("""COMPUTED_VALUE"""),"28o 13' 16""")</f>
        <v>28o 13' 16"</v>
      </c>
      <c r="K1188" s="2" t="str">
        <f>IFERROR(__xludf.DUMMYFUNCTION("""COMPUTED_VALUE"""),"83o 25' 10""")</f>
        <v>83o 25' 10"</v>
      </c>
      <c r="L1188" s="2" t="str">
        <f>IFERROR(__xludf.DUMMYFUNCTION("""COMPUTED_VALUE"""),"83o 27' 00""")</f>
        <v>83o 27' 00"</v>
      </c>
      <c r="M1188" s="2" t="str">
        <f>IFERROR(__xludf.DUMMYFUNCTION("""COMPUTED_VALUE"""),"Hatiya,Narethanti (Baglung)")</f>
        <v>Hatiya,Narethanti (Baglung)</v>
      </c>
    </row>
    <row r="1189">
      <c r="A1189" s="2">
        <f>IFERROR(__xludf.DUMMYFUNCTION("""COMPUTED_VALUE"""),1188.0)</f>
        <v>1188</v>
      </c>
      <c r="B1189" s="2" t="str">
        <f>IFERROR(__xludf.DUMMYFUNCTION("""COMPUTED_VALUE"""),"Jhyari Khola -A SHP")</f>
        <v>Jhyari Khola -A SHP</v>
      </c>
      <c r="C1189" s="2">
        <f>IFERROR(__xludf.DUMMYFUNCTION("""COMPUTED_VALUE"""),0.4)</f>
        <v>0.4</v>
      </c>
      <c r="D1189" s="2" t="str">
        <f>IFERROR(__xludf.DUMMYFUNCTION("""COMPUTED_VALUE"""),"Jhyari Khola")</f>
        <v>Jhyari Khola</v>
      </c>
      <c r="E1189" s="2">
        <f>IFERROR(__xludf.DUMMYFUNCTION("""COMPUTED_VALUE"""),71.0)</f>
        <v>71</v>
      </c>
      <c r="F1189" s="3">
        <f>IFERROR(__xludf.DUMMYFUNCTION("""COMPUTED_VALUE"""),60726.0)</f>
        <v>60726</v>
      </c>
      <c r="G1189" s="2" t="str">
        <f>IFERROR(__xludf.DUMMYFUNCTION("""COMPUTED_VALUE"""),"Central Energy and Hydro Engineering Pvt Ltd")</f>
        <v>Central Energy and Hydro Engineering Pvt Ltd</v>
      </c>
      <c r="H1189" s="2" t="str">
        <f>IFERROR(__xludf.DUMMYFUNCTION("""COMPUTED_VALUE"""),"Kathmandu-16, Paknajole Tel: 9841478732, 9741129953")</f>
        <v>Kathmandu-16, Paknajole Tel: 9841478732, 9741129953</v>
      </c>
      <c r="I1189" s="2" t="str">
        <f>IFERROR(__xludf.DUMMYFUNCTION("""COMPUTED_VALUE"""),"27o 48' 09""")</f>
        <v>27o 48' 09"</v>
      </c>
      <c r="J1189" s="2" t="str">
        <f>IFERROR(__xludf.DUMMYFUNCTION("""COMPUTED_VALUE"""),"27o 48' 41""")</f>
        <v>27o 48' 41"</v>
      </c>
      <c r="K1189" s="2" t="str">
        <f>IFERROR(__xludf.DUMMYFUNCTION("""COMPUTED_VALUE"""),"85o 39' 23""")</f>
        <v>85o 39' 23"</v>
      </c>
      <c r="L1189" s="2" t="str">
        <f>IFERROR(__xludf.DUMMYFUNCTION("""COMPUTED_VALUE"""),"85o 40' 21""")</f>
        <v>85o 40' 21"</v>
      </c>
      <c r="M1189" s="2" t="str">
        <f>IFERROR(__xludf.DUMMYFUNCTION("""COMPUTED_VALUE"""),"Kunchok,Sipal Kavre (Sindhupalchok)")</f>
        <v>Kunchok,Sipal Kavre (Sindhupalchok)</v>
      </c>
    </row>
    <row r="1190">
      <c r="A1190" s="2">
        <f>IFERROR(__xludf.DUMMYFUNCTION("""COMPUTED_VALUE"""),1189.0)</f>
        <v>1189</v>
      </c>
      <c r="B1190" s="2" t="str">
        <f>IFERROR(__xludf.DUMMYFUNCTION("""COMPUTED_VALUE"""),"Jhyari Khola-B SHP")</f>
        <v>Jhyari Khola-B SHP</v>
      </c>
      <c r="C1190" s="2">
        <f>IFERROR(__xludf.DUMMYFUNCTION("""COMPUTED_VALUE"""),0.8)</f>
        <v>0.8</v>
      </c>
      <c r="D1190" s="2" t="str">
        <f>IFERROR(__xludf.DUMMYFUNCTION("""COMPUTED_VALUE"""),"Jhyari Khola")</f>
        <v>Jhyari Khola</v>
      </c>
      <c r="E1190" s="2">
        <f>IFERROR(__xludf.DUMMYFUNCTION("""COMPUTED_VALUE"""),72.0)</f>
        <v>72</v>
      </c>
      <c r="F1190" s="3">
        <f>IFERROR(__xludf.DUMMYFUNCTION("""COMPUTED_VALUE"""),60726.0)</f>
        <v>60726</v>
      </c>
      <c r="G1190" s="2" t="str">
        <f>IFERROR(__xludf.DUMMYFUNCTION("""COMPUTED_VALUE"""),"Central Energy and Hydro Engineering Pvt Ltd")</f>
        <v>Central Energy and Hydro Engineering Pvt Ltd</v>
      </c>
      <c r="H1190" s="2" t="str">
        <f>IFERROR(__xludf.DUMMYFUNCTION("""COMPUTED_VALUE"""),"Kathmandu-16, Paknajole Tel: 9841478732, 9741129953")</f>
        <v>Kathmandu-16, Paknajole Tel: 9841478732, 9741129953</v>
      </c>
      <c r="I1190" s="2" t="str">
        <f>IFERROR(__xludf.DUMMYFUNCTION("""COMPUTED_VALUE"""),"27o 48' 13""")</f>
        <v>27o 48' 13"</v>
      </c>
      <c r="J1190" s="2" t="str">
        <f>IFERROR(__xludf.DUMMYFUNCTION("""COMPUTED_VALUE"""),"27o 50' 00""")</f>
        <v>27o 50' 00"</v>
      </c>
      <c r="K1190" s="2" t="str">
        <f>IFERROR(__xludf.DUMMYFUNCTION("""COMPUTED_VALUE"""),"85o 40' 25""")</f>
        <v>85o 40' 25"</v>
      </c>
      <c r="L1190" s="2" t="str">
        <f>IFERROR(__xludf.DUMMYFUNCTION("""COMPUTED_VALUE"""),"85o 40' 50""")</f>
        <v>85o 40' 50"</v>
      </c>
      <c r="M1190" s="2" t="str">
        <f>IFERROR(__xludf.DUMMYFUNCTION("""COMPUTED_VALUE"""),"Sipal Kavre,Syaule Bazar (Sindhupalchok)")</f>
        <v>Sipal Kavre,Syaule Bazar (Sindhupalchok)</v>
      </c>
    </row>
    <row r="1191">
      <c r="A1191" s="2">
        <f>IFERROR(__xludf.DUMMYFUNCTION("""COMPUTED_VALUE"""),1190.0)</f>
        <v>1190</v>
      </c>
      <c r="B1191" s="2" t="str">
        <f>IFERROR(__xludf.DUMMYFUNCTION("""COMPUTED_VALUE"""),"Jhyari Khola-C SHP")</f>
        <v>Jhyari Khola-C SHP</v>
      </c>
      <c r="C1191" s="2">
        <f>IFERROR(__xludf.DUMMYFUNCTION("""COMPUTED_VALUE"""),0.8)</f>
        <v>0.8</v>
      </c>
      <c r="D1191" s="2" t="str">
        <f>IFERROR(__xludf.DUMMYFUNCTION("""COMPUTED_VALUE"""),"Jhyari Khola")</f>
        <v>Jhyari Khola</v>
      </c>
      <c r="E1191" s="2">
        <f>IFERROR(__xludf.DUMMYFUNCTION("""COMPUTED_VALUE"""),73.0)</f>
        <v>73</v>
      </c>
      <c r="F1191" s="3">
        <f>IFERROR(__xludf.DUMMYFUNCTION("""COMPUTED_VALUE"""),60726.0)</f>
        <v>60726</v>
      </c>
      <c r="G1191" s="2" t="str">
        <f>IFERROR(__xludf.DUMMYFUNCTION("""COMPUTED_VALUE"""),"Central Energy and Hydro Engineering Pvt Ltd")</f>
        <v>Central Energy and Hydro Engineering Pvt Ltd</v>
      </c>
      <c r="H1191" s="2" t="str">
        <f>IFERROR(__xludf.DUMMYFUNCTION("""COMPUTED_VALUE"""),"Kathmandu-16, Paknajole Tel: 9841478732,9803853473")</f>
        <v>Kathmandu-16, Paknajole Tel: 9841478732,9803853473</v>
      </c>
      <c r="I1191" s="2" t="str">
        <f>IFERROR(__xludf.DUMMYFUNCTION("""COMPUTED_VALUE"""),"27o 46' 08""")</f>
        <v>27o 46' 08"</v>
      </c>
      <c r="J1191" s="2" t="str">
        <f>IFERROR(__xludf.DUMMYFUNCTION("""COMPUTED_VALUE"""),"27o 48' 03""")</f>
        <v>27o 48' 03"</v>
      </c>
      <c r="K1191" s="2" t="str">
        <f>IFERROR(__xludf.DUMMYFUNCTION("""COMPUTED_VALUE"""),"85o 40' 25""")</f>
        <v>85o 40' 25"</v>
      </c>
      <c r="L1191" s="2" t="str">
        <f>IFERROR(__xludf.DUMMYFUNCTION("""COMPUTED_VALUE"""),"85o 40' 40""")</f>
        <v>85o 40' 40"</v>
      </c>
      <c r="M1191" s="2" t="str">
        <f>IFERROR(__xludf.DUMMYFUNCTION("""COMPUTED_VALUE"""),"Kunchok,Pipaldanda (Sindhupalchok)")</f>
        <v>Kunchok,Pipaldanda (Sindhupalchok)</v>
      </c>
    </row>
    <row r="1192">
      <c r="A1192" s="2">
        <f>IFERROR(__xludf.DUMMYFUNCTION("""COMPUTED_VALUE"""),1191.0)</f>
        <v>1191</v>
      </c>
      <c r="B1192" s="2" t="str">
        <f>IFERROR(__xludf.DUMMYFUNCTION("""COMPUTED_VALUE"""),"Lapsi Khola -A SHP")</f>
        <v>Lapsi Khola -A SHP</v>
      </c>
      <c r="C1192" s="2">
        <f>IFERROR(__xludf.DUMMYFUNCTION("""COMPUTED_VALUE"""),0.998)</f>
        <v>0.998</v>
      </c>
      <c r="D1192" s="2" t="str">
        <f>IFERROR(__xludf.DUMMYFUNCTION("""COMPUTED_VALUE"""),"Lapsi")</f>
        <v>Lapsi</v>
      </c>
      <c r="E1192" s="2">
        <f>IFERROR(__xludf.DUMMYFUNCTION("""COMPUTED_VALUE"""),119.0)</f>
        <v>119</v>
      </c>
      <c r="F1192" s="3">
        <f>IFERROR(__xludf.DUMMYFUNCTION("""COMPUTED_VALUE"""),60727.0)</f>
        <v>60727</v>
      </c>
      <c r="G1192" s="2" t="str">
        <f>IFERROR(__xludf.DUMMYFUNCTION("""COMPUTED_VALUE"""),"Indrwati Hydropower Pvt Ltd")</f>
        <v>Indrwati Hydropower Pvt Ltd</v>
      </c>
      <c r="H1192" s="2" t="str">
        <f>IFERROR(__xludf.DUMMYFUNCTION("""COMPUTED_VALUE"""),"Naya Baneswar, Kathmandu")</f>
        <v>Naya Baneswar, Kathmandu</v>
      </c>
      <c r="I1192" s="2" t="str">
        <f>IFERROR(__xludf.DUMMYFUNCTION("""COMPUTED_VALUE"""),"27o 52' 30""")</f>
        <v>27o 52' 30"</v>
      </c>
      <c r="J1192" s="2" t="str">
        <f>IFERROR(__xludf.DUMMYFUNCTION("""COMPUTED_VALUE"""),"27o 53' 16""")</f>
        <v>27o 53' 16"</v>
      </c>
      <c r="K1192" s="2" t="str">
        <f>IFERROR(__xludf.DUMMYFUNCTION("""COMPUTED_VALUE"""),"85o 37' 03""")</f>
        <v>85o 37' 03"</v>
      </c>
      <c r="L1192" s="2" t="str">
        <f>IFERROR(__xludf.DUMMYFUNCTION("""COMPUTED_VALUE"""),"85o 38' 57""")</f>
        <v>85o 38' 57"</v>
      </c>
      <c r="M1192" s="2" t="str">
        <f>IFERROR(__xludf.DUMMYFUNCTION("""COMPUTED_VALUE"""),"Bhote Namlang (Sindhupalchok)")</f>
        <v>Bhote Namlang (Sindhupalchok)</v>
      </c>
    </row>
    <row r="1193">
      <c r="A1193" s="2">
        <f>IFERROR(__xludf.DUMMYFUNCTION("""COMPUTED_VALUE"""),1192.0)</f>
        <v>1192</v>
      </c>
      <c r="B1193" s="2" t="str">
        <f>IFERROR(__xludf.DUMMYFUNCTION("""COMPUTED_VALUE"""),"Chinman Khola -B SHP")</f>
        <v>Chinman Khola -B SHP</v>
      </c>
      <c r="C1193" s="2">
        <f>IFERROR(__xludf.DUMMYFUNCTION("""COMPUTED_VALUE"""),0.975)</f>
        <v>0.975</v>
      </c>
      <c r="D1193" s="2" t="str">
        <f>IFERROR(__xludf.DUMMYFUNCTION("""COMPUTED_VALUE"""),"Chinman")</f>
        <v>Chinman</v>
      </c>
      <c r="E1193" s="2">
        <f>IFERROR(__xludf.DUMMYFUNCTION("""COMPUTED_VALUE"""),83.0)</f>
        <v>83</v>
      </c>
      <c r="F1193" s="3">
        <f>IFERROR(__xludf.DUMMYFUNCTION("""COMPUTED_VALUE"""),60727.0)</f>
        <v>60727</v>
      </c>
      <c r="G1193" s="2" t="str">
        <f>IFERROR(__xludf.DUMMYFUNCTION("""COMPUTED_VALUE"""),"Tulsiram Neupane")</f>
        <v>Tulsiram Neupane</v>
      </c>
      <c r="H1193" s="2" t="str">
        <f>IFERROR(__xludf.DUMMYFUNCTION("""COMPUTED_VALUE"""),"Tulsipur, Dang")</f>
        <v>Tulsipur, Dang</v>
      </c>
      <c r="I1193" s="2" t="str">
        <f>IFERROR(__xludf.DUMMYFUNCTION("""COMPUTED_VALUE"""),"27o 42' 04""")</f>
        <v>27o 42' 04"</v>
      </c>
      <c r="J1193" s="2" t="str">
        <f>IFERROR(__xludf.DUMMYFUNCTION("""COMPUTED_VALUE"""),"27o 43' 08""")</f>
        <v>27o 43' 08"</v>
      </c>
      <c r="K1193" s="2" t="str">
        <f>IFERROR(__xludf.DUMMYFUNCTION("""COMPUTED_VALUE"""),"84o 49' 57""")</f>
        <v>84o 49' 57"</v>
      </c>
      <c r="L1193" s="2" t="str">
        <f>IFERROR(__xludf.DUMMYFUNCTION("""COMPUTED_VALUE"""),"84o 51' 16""")</f>
        <v>84o 51' 16"</v>
      </c>
      <c r="M1193" s="2" t="str">
        <f>IFERROR(__xludf.DUMMYFUNCTION("""COMPUTED_VALUE"""),"Mahadevsthan (Dhading)")</f>
        <v>Mahadevsthan (Dhading)</v>
      </c>
    </row>
    <row r="1194">
      <c r="A1194" s="2">
        <f>IFERROR(__xludf.DUMMYFUNCTION("""COMPUTED_VALUE"""),1193.0)</f>
        <v>1193</v>
      </c>
      <c r="B1194" s="2" t="str">
        <f>IFERROR(__xludf.DUMMYFUNCTION("""COMPUTED_VALUE"""),"Chinman Khola-A SHP")</f>
        <v>Chinman Khola-A SHP</v>
      </c>
      <c r="C1194" s="2">
        <f>IFERROR(__xludf.DUMMYFUNCTION("""COMPUTED_VALUE"""),0.995)</f>
        <v>0.995</v>
      </c>
      <c r="D1194" s="2" t="str">
        <f>IFERROR(__xludf.DUMMYFUNCTION("""COMPUTED_VALUE"""),"Chinman")</f>
        <v>Chinman</v>
      </c>
      <c r="E1194" s="2">
        <f>IFERROR(__xludf.DUMMYFUNCTION("""COMPUTED_VALUE"""),84.0)</f>
        <v>84</v>
      </c>
      <c r="F1194" s="3">
        <f>IFERROR(__xludf.DUMMYFUNCTION("""COMPUTED_VALUE"""),60727.0)</f>
        <v>60727</v>
      </c>
      <c r="G1194" s="2" t="str">
        <f>IFERROR(__xludf.DUMMYFUNCTION("""COMPUTED_VALUE"""),"Subha Upreti Adhikari")</f>
        <v>Subha Upreti Adhikari</v>
      </c>
      <c r="H1194" s="2" t="str">
        <f>IFERROR(__xludf.DUMMYFUNCTION("""COMPUTED_VALUE"""),"Kamalpokhri, Kathmandu")</f>
        <v>Kamalpokhri, Kathmandu</v>
      </c>
      <c r="I1194" s="2" t="str">
        <f>IFERROR(__xludf.DUMMYFUNCTION("""COMPUTED_VALUE"""),"27o 41' 30""")</f>
        <v>27o 41' 30"</v>
      </c>
      <c r="J1194" s="2" t="str">
        <f>IFERROR(__xludf.DUMMYFUNCTION("""COMPUTED_VALUE"""),"27o 42' 30""")</f>
        <v>27o 42' 30"</v>
      </c>
      <c r="K1194" s="2" t="str">
        <f>IFERROR(__xludf.DUMMYFUNCTION("""COMPUTED_VALUE"""),"84o 51' 12""")</f>
        <v>84o 51' 12"</v>
      </c>
      <c r="L1194" s="2" t="str">
        <f>IFERROR(__xludf.DUMMYFUNCTION("""COMPUTED_VALUE"""),"84o 51' 59""")</f>
        <v>84o 51' 59"</v>
      </c>
      <c r="M1194" s="2" t="str">
        <f>IFERROR(__xludf.DUMMYFUNCTION("""COMPUTED_VALUE"""),"Mahadevsthan (Dhading)")</f>
        <v>Mahadevsthan (Dhading)</v>
      </c>
    </row>
    <row r="1195">
      <c r="A1195" s="2">
        <f>IFERROR(__xludf.DUMMYFUNCTION("""COMPUTED_VALUE"""),1194.0)</f>
        <v>1194</v>
      </c>
      <c r="B1195" s="2" t="str">
        <f>IFERROR(__xludf.DUMMYFUNCTION("""COMPUTED_VALUE"""),"Jarun Khola SHP")</f>
        <v>Jarun Khola SHP</v>
      </c>
      <c r="C1195" s="2">
        <f>IFERROR(__xludf.DUMMYFUNCTION("""COMPUTED_VALUE"""),0.99)</f>
        <v>0.99</v>
      </c>
      <c r="D1195" s="2" t="str">
        <f>IFERROR(__xludf.DUMMYFUNCTION("""COMPUTED_VALUE"""),"Jarun")</f>
        <v>Jarun</v>
      </c>
      <c r="E1195" s="2">
        <f>IFERROR(__xludf.DUMMYFUNCTION("""COMPUTED_VALUE"""),85.0)</f>
        <v>85</v>
      </c>
      <c r="F1195" s="3">
        <f>IFERROR(__xludf.DUMMYFUNCTION("""COMPUTED_VALUE"""),60727.0)</f>
        <v>60727</v>
      </c>
      <c r="G1195" s="2" t="str">
        <f>IFERROR(__xludf.DUMMYFUNCTION("""COMPUTED_VALUE"""),"Subha Upreti Adhikari")</f>
        <v>Subha Upreti Adhikari</v>
      </c>
      <c r="H1195" s="2" t="str">
        <f>IFERROR(__xludf.DUMMYFUNCTION("""COMPUTED_VALUE"""),"Kamalpokhri, Kathmandu")</f>
        <v>Kamalpokhri, Kathmandu</v>
      </c>
      <c r="I1195" s="2" t="str">
        <f>IFERROR(__xludf.DUMMYFUNCTION("""COMPUTED_VALUE"""),"27o 40' 25""")</f>
        <v>27o 40' 25"</v>
      </c>
      <c r="J1195" s="2" t="str">
        <f>IFERROR(__xludf.DUMMYFUNCTION("""COMPUTED_VALUE"""),"27o 41' 34""")</f>
        <v>27o 41' 34"</v>
      </c>
      <c r="K1195" s="2" t="str">
        <f>IFERROR(__xludf.DUMMYFUNCTION("""COMPUTED_VALUE"""),"84o 52' 00""")</f>
        <v>84o 52' 00"</v>
      </c>
      <c r="L1195" s="2" t="str">
        <f>IFERROR(__xludf.DUMMYFUNCTION("""COMPUTED_VALUE"""),"84o 53' 18""")</f>
        <v>84o 53' 18"</v>
      </c>
      <c r="M1195" s="2" t="str">
        <f>IFERROR(__xludf.DUMMYFUNCTION("""COMPUTED_VALUE"""),"Mahadevsthan (Dhading)")</f>
        <v>Mahadevsthan (Dhading)</v>
      </c>
    </row>
    <row r="1196">
      <c r="A1196" s="2">
        <f>IFERROR(__xludf.DUMMYFUNCTION("""COMPUTED_VALUE"""),1195.0)</f>
        <v>1195</v>
      </c>
      <c r="B1196" s="2" t="str">
        <f>IFERROR(__xludf.DUMMYFUNCTION("""COMPUTED_VALUE"""),"Hugdi Khola SHP")</f>
        <v>Hugdi Khola SHP</v>
      </c>
      <c r="C1196" s="2">
        <f>IFERROR(__xludf.DUMMYFUNCTION("""COMPUTED_VALUE"""),0.99)</f>
        <v>0.99</v>
      </c>
      <c r="D1196" s="2" t="str">
        <f>IFERROR(__xludf.DUMMYFUNCTION("""COMPUTED_VALUE"""),"Hugdi")</f>
        <v>Hugdi</v>
      </c>
      <c r="E1196" s="2">
        <f>IFERROR(__xludf.DUMMYFUNCTION("""COMPUTED_VALUE"""),133.0)</f>
        <v>133</v>
      </c>
      <c r="F1196" s="3">
        <f>IFERROR(__xludf.DUMMYFUNCTION("""COMPUTED_VALUE"""),60728.0)</f>
        <v>60728</v>
      </c>
      <c r="G1196" s="2" t="str">
        <f>IFERROR(__xludf.DUMMYFUNCTION("""COMPUTED_VALUE"""),"Pushpa Lata Regmi Adhikari")</f>
        <v>Pushpa Lata Regmi Adhikari</v>
      </c>
      <c r="H1196" s="2" t="str">
        <f>IFERROR(__xludf.DUMMYFUNCTION("""COMPUTED_VALUE"""),"Sukedhara, Kathmandu")</f>
        <v>Sukedhara, Kathmandu</v>
      </c>
      <c r="I1196" s="2" t="str">
        <f>IFERROR(__xludf.DUMMYFUNCTION("""COMPUTED_VALUE"""),"27o 45' 00""")</f>
        <v>27o 45' 00"</v>
      </c>
      <c r="J1196" s="2" t="str">
        <f>IFERROR(__xludf.DUMMYFUNCTION("""COMPUTED_VALUE"""),"27o 48' 36""")</f>
        <v>27o 48' 36"</v>
      </c>
      <c r="K1196" s="2" t="str">
        <f>IFERROR(__xludf.DUMMYFUNCTION("""COMPUTED_VALUE"""),"84o 41' 00""")</f>
        <v>84o 41' 00"</v>
      </c>
      <c r="L1196" s="2" t="str">
        <f>IFERROR(__xludf.DUMMYFUNCTION("""COMPUTED_VALUE"""),"84o 43' 09""")</f>
        <v>84o 43' 09"</v>
      </c>
      <c r="M1196" s="2" t="str">
        <f>IFERROR(__xludf.DUMMYFUNCTION("""COMPUTED_VALUE"""),"Ghussa,Jogimara (Dhading)")</f>
        <v>Ghussa,Jogimara (Dhading)</v>
      </c>
    </row>
    <row r="1197">
      <c r="A1197" s="2">
        <f>IFERROR(__xludf.DUMMYFUNCTION("""COMPUTED_VALUE"""),1196.0)</f>
        <v>1196</v>
      </c>
      <c r="B1197" s="2" t="str">
        <f>IFERROR(__xludf.DUMMYFUNCTION("""COMPUTED_VALUE"""),"Charaudi Khola SHP")</f>
        <v>Charaudi Khola SHP</v>
      </c>
      <c r="C1197" s="2">
        <f>IFERROR(__xludf.DUMMYFUNCTION("""COMPUTED_VALUE"""),0.9)</f>
        <v>0.9</v>
      </c>
      <c r="D1197" s="2" t="str">
        <f>IFERROR(__xludf.DUMMYFUNCTION("""COMPUTED_VALUE"""),"Charaudi")</f>
        <v>Charaudi</v>
      </c>
      <c r="E1197" s="2">
        <f>IFERROR(__xludf.DUMMYFUNCTION("""COMPUTED_VALUE"""),134.0)</f>
        <v>134</v>
      </c>
      <c r="F1197" s="3">
        <f>IFERROR(__xludf.DUMMYFUNCTION("""COMPUTED_VALUE"""),60728.0)</f>
        <v>60728</v>
      </c>
      <c r="G1197" s="2" t="str">
        <f>IFERROR(__xludf.DUMMYFUNCTION("""COMPUTED_VALUE"""),"Pushpa Lata Regmi Adhikari")</f>
        <v>Pushpa Lata Regmi Adhikari</v>
      </c>
      <c r="H1197" s="2" t="str">
        <f>IFERROR(__xludf.DUMMYFUNCTION("""COMPUTED_VALUE"""),"Sukedhara, Kathmandu")</f>
        <v>Sukedhara, Kathmandu</v>
      </c>
      <c r="I1197" s="2" t="str">
        <f>IFERROR(__xludf.DUMMYFUNCTION("""COMPUTED_VALUE"""),"27o 45' 00""")</f>
        <v>27o 45' 00"</v>
      </c>
      <c r="J1197" s="2" t="str">
        <f>IFERROR(__xludf.DUMMYFUNCTION("""COMPUTED_VALUE"""),"27o 46' 56""")</f>
        <v>27o 46' 56"</v>
      </c>
      <c r="K1197" s="2" t="str">
        <f>IFERROR(__xludf.DUMMYFUNCTION("""COMPUTED_VALUE"""),"84o 44' 20""")</f>
        <v>84o 44' 20"</v>
      </c>
      <c r="L1197" s="2" t="str">
        <f>IFERROR(__xludf.DUMMYFUNCTION("""COMPUTED_VALUE"""),"84o 45' 57""")</f>
        <v>84o 45' 57"</v>
      </c>
      <c r="M1197" s="2" t="str">
        <f>IFERROR(__xludf.DUMMYFUNCTION("""COMPUTED_VALUE"""),"Ghussa (Dhading)")</f>
        <v>Ghussa (Dhading)</v>
      </c>
    </row>
    <row r="1198">
      <c r="A1198" s="2">
        <f>IFERROR(__xludf.DUMMYFUNCTION("""COMPUTED_VALUE"""),1197.0)</f>
        <v>1197</v>
      </c>
      <c r="B1198" s="2" t="str">
        <f>IFERROR(__xludf.DUMMYFUNCTION("""COMPUTED_VALUE"""),"Maraundi Khola SHP")</f>
        <v>Maraundi Khola SHP</v>
      </c>
      <c r="C1198" s="2">
        <f>IFERROR(__xludf.DUMMYFUNCTION("""COMPUTED_VALUE"""),1.0)</f>
        <v>1</v>
      </c>
      <c r="D1198" s="2" t="str">
        <f>IFERROR(__xludf.DUMMYFUNCTION("""COMPUTED_VALUE"""),"Maraundi")</f>
        <v>Maraundi</v>
      </c>
      <c r="E1198" s="2">
        <f>IFERROR(__xludf.DUMMYFUNCTION("""COMPUTED_VALUE"""),135.0)</f>
        <v>135</v>
      </c>
      <c r="F1198" s="3">
        <f>IFERROR(__xludf.DUMMYFUNCTION("""COMPUTED_VALUE"""),60728.0)</f>
        <v>60728</v>
      </c>
      <c r="G1198" s="2" t="str">
        <f>IFERROR(__xludf.DUMMYFUNCTION("""COMPUTED_VALUE"""),"Pushpa Lata Regmi Adhikari")</f>
        <v>Pushpa Lata Regmi Adhikari</v>
      </c>
      <c r="H1198" s="2" t="str">
        <f>IFERROR(__xludf.DUMMYFUNCTION("""COMPUTED_VALUE"""),"Sukedhara, Kathmandu")</f>
        <v>Sukedhara, Kathmandu</v>
      </c>
      <c r="I1198" s="2" t="str">
        <f>IFERROR(__xludf.DUMMYFUNCTION("""COMPUTED_VALUE"""),"27o 45' 00""")</f>
        <v>27o 45' 00"</v>
      </c>
      <c r="J1198" s="2" t="str">
        <f>IFERROR(__xludf.DUMMYFUNCTION("""COMPUTED_VALUE"""),"27o 46' 56""")</f>
        <v>27o 46' 56"</v>
      </c>
      <c r="K1198" s="2" t="str">
        <f>IFERROR(__xludf.DUMMYFUNCTION("""COMPUTED_VALUE"""),"84o 46' 08""")</f>
        <v>84o 46' 08"</v>
      </c>
      <c r="L1198" s="2" t="str">
        <f>IFERROR(__xludf.DUMMYFUNCTION("""COMPUTED_VALUE"""),"84o 48' 05""")</f>
        <v>84o 48' 05"</v>
      </c>
      <c r="M1198" s="2" t="str">
        <f>IFERROR(__xludf.DUMMYFUNCTION("""COMPUTED_VALUE"""),"Ghussa,Benighat (Dhading)")</f>
        <v>Ghussa,Benighat (Dhading)</v>
      </c>
    </row>
    <row r="1199">
      <c r="A1199" s="2">
        <f>IFERROR(__xludf.DUMMYFUNCTION("""COMPUTED_VALUE"""),1198.0)</f>
        <v>1198</v>
      </c>
      <c r="B1199" s="2" t="str">
        <f>IFERROR(__xludf.DUMMYFUNCTION("""COMPUTED_VALUE"""),"Uwa Khola HPP")</f>
        <v>Uwa Khola HPP</v>
      </c>
      <c r="C1199" s="2">
        <f>IFERROR(__xludf.DUMMYFUNCTION("""COMPUTED_VALUE"""),3.526)</f>
        <v>3.526</v>
      </c>
      <c r="D1199" s="2" t="str">
        <f>IFERROR(__xludf.DUMMYFUNCTION("""COMPUTED_VALUE"""),"Uwa")</f>
        <v>Uwa</v>
      </c>
      <c r="E1199" s="2">
        <f>IFERROR(__xludf.DUMMYFUNCTION("""COMPUTED_VALUE"""),148.0)</f>
        <v>148</v>
      </c>
      <c r="F1199" s="3">
        <f>IFERROR(__xludf.DUMMYFUNCTION("""COMPUTED_VALUE"""),60728.0)</f>
        <v>60728</v>
      </c>
      <c r="G1199" s="2" t="str">
        <f>IFERROR(__xludf.DUMMYFUNCTION("""COMPUTED_VALUE"""),"Mrs. Sakuntala Karki")</f>
        <v>Mrs. Sakuntala Karki</v>
      </c>
      <c r="H1199" s="2" t="str">
        <f>IFERROR(__xludf.DUMMYFUNCTION("""COMPUTED_VALUE"""),"Battisputali, Kathmandu Tel: 4493114")</f>
        <v>Battisputali, Kathmandu Tel: 4493114</v>
      </c>
      <c r="I1199" s="2" t="str">
        <f>IFERROR(__xludf.DUMMYFUNCTION("""COMPUTED_VALUE"""),"28o 24' 06""")</f>
        <v>28o 24' 06"</v>
      </c>
      <c r="J1199" s="2" t="str">
        <f>IFERROR(__xludf.DUMMYFUNCTION("""COMPUTED_VALUE"""),"28o 26' 18""")</f>
        <v>28o 26' 18"</v>
      </c>
      <c r="K1199" s="2" t="str">
        <f>IFERROR(__xludf.DUMMYFUNCTION("""COMPUTED_VALUE"""),"82o 47' 30""")</f>
        <v>82o 47' 30"</v>
      </c>
      <c r="L1199" s="2" t="str">
        <f>IFERROR(__xludf.DUMMYFUNCTION("""COMPUTED_VALUE"""),"82o 49' 35""")</f>
        <v>82o 49' 35"</v>
      </c>
      <c r="M1199" s="2" t="str">
        <f>IFERROR(__xludf.DUMMYFUNCTION("""COMPUTED_VALUE"""),"Uwa (Rolpa)")</f>
        <v>Uwa (Rolpa)</v>
      </c>
    </row>
    <row r="1200">
      <c r="A1200" s="2">
        <f>IFERROR(__xludf.DUMMYFUNCTION("""COMPUTED_VALUE"""),1199.0)</f>
        <v>1199</v>
      </c>
      <c r="B1200" s="2" t="str">
        <f>IFERROR(__xludf.DUMMYFUNCTION("""COMPUTED_VALUE"""),"Upper Sankhuwa Khola SHP")</f>
        <v>Upper Sankhuwa Khola SHP</v>
      </c>
      <c r="C1200" s="2">
        <f>IFERROR(__xludf.DUMMYFUNCTION("""COMPUTED_VALUE"""),0.999)</f>
        <v>0.999</v>
      </c>
      <c r="D1200" s="2" t="str">
        <f>IFERROR(__xludf.DUMMYFUNCTION("""COMPUTED_VALUE"""),"Sankhuwa")</f>
        <v>Sankhuwa</v>
      </c>
      <c r="E1200" s="2">
        <f>IFERROR(__xludf.DUMMYFUNCTION("""COMPUTED_VALUE"""),220.0)</f>
        <v>220</v>
      </c>
      <c r="F1200" s="3">
        <f>IFERROR(__xludf.DUMMYFUNCTION("""COMPUTED_VALUE"""),60730.0)</f>
        <v>60730</v>
      </c>
      <c r="G1200" s="2" t="str">
        <f>IFERROR(__xludf.DUMMYFUNCTION("""COMPUTED_VALUE"""),"Pragya Power Company Pvt Ltd")</f>
        <v>Pragya Power Company Pvt Ltd</v>
      </c>
      <c r="H1200" s="2" t="str">
        <f>IFERROR(__xludf.DUMMYFUNCTION("""COMPUTED_VALUE"""),"Kathmandu Municipality-32, Anamnagar, Kathmandu")</f>
        <v>Kathmandu Municipality-32, Anamnagar, Kathmandu</v>
      </c>
      <c r="I1200" s="2" t="str">
        <f>IFERROR(__xludf.DUMMYFUNCTION("""COMPUTED_VALUE"""),"27o 31' 30""")</f>
        <v>27o 31' 30"</v>
      </c>
      <c r="J1200" s="2" t="str">
        <f>IFERROR(__xludf.DUMMYFUNCTION("""COMPUTED_VALUE"""),"27o 33' 08""")</f>
        <v>27o 33' 08"</v>
      </c>
      <c r="K1200" s="2" t="str">
        <f>IFERROR(__xludf.DUMMYFUNCTION("""COMPUTED_VALUE"""),"87o 02' 05""")</f>
        <v>87o 02' 05"</v>
      </c>
      <c r="L1200" s="2" t="str">
        <f>IFERROR(__xludf.DUMMYFUNCTION("""COMPUTED_VALUE"""),"87o 04' 58""")</f>
        <v>87o 04' 58"</v>
      </c>
      <c r="M1200" s="2" t="str">
        <f>IFERROR(__xludf.DUMMYFUNCTION("""COMPUTED_VALUE"""),"Bala (Sankhuwasabha)")</f>
        <v>Bala (Sankhuwasabha)</v>
      </c>
    </row>
    <row r="1201">
      <c r="A1201" s="2">
        <f>IFERROR(__xludf.DUMMYFUNCTION("""COMPUTED_VALUE"""),1200.0)</f>
        <v>1200</v>
      </c>
      <c r="B1201" s="2" t="str">
        <f>IFERROR(__xludf.DUMMYFUNCTION("""COMPUTED_VALUE"""),"Lower Lambu Khola SHP")</f>
        <v>Lower Lambu Khola SHP</v>
      </c>
      <c r="C1201" s="2">
        <f>IFERROR(__xludf.DUMMYFUNCTION("""COMPUTED_VALUE"""),0.999)</f>
        <v>0.999</v>
      </c>
      <c r="D1201" s="2" t="str">
        <f>IFERROR(__xludf.DUMMYFUNCTION("""COMPUTED_VALUE"""),"Lambu")</f>
        <v>Lambu</v>
      </c>
      <c r="E1201" s="2">
        <f>IFERROR(__xludf.DUMMYFUNCTION("""COMPUTED_VALUE"""),221.0)</f>
        <v>221</v>
      </c>
      <c r="F1201" s="3">
        <f>IFERROR(__xludf.DUMMYFUNCTION("""COMPUTED_VALUE"""),60730.0)</f>
        <v>60730</v>
      </c>
      <c r="G1201" s="2" t="str">
        <f>IFERROR(__xludf.DUMMYFUNCTION("""COMPUTED_VALUE"""),"Pragya Power Company Pvt Ltd")</f>
        <v>Pragya Power Company Pvt Ltd</v>
      </c>
      <c r="H1201" s="2" t="str">
        <f>IFERROR(__xludf.DUMMYFUNCTION("""COMPUTED_VALUE"""),"Kathmandu Municipality-32, Kathmandu")</f>
        <v>Kathmandu Municipality-32, Kathmandu</v>
      </c>
      <c r="I1201" s="2" t="str">
        <f>IFERROR(__xludf.DUMMYFUNCTION("""COMPUTED_VALUE"""),"27o 03' 50""")</f>
        <v>27o 03' 50"</v>
      </c>
      <c r="J1201" s="2" t="str">
        <f>IFERROR(__xludf.DUMMYFUNCTION("""COMPUTED_VALUE"""),"27o 05' 31""")</f>
        <v>27o 05' 31"</v>
      </c>
      <c r="K1201" s="2" t="str">
        <f>IFERROR(__xludf.DUMMYFUNCTION("""COMPUTED_VALUE"""),"87o 31' 02""")</f>
        <v>87o 31' 02"</v>
      </c>
      <c r="L1201" s="2" t="str">
        <f>IFERROR(__xludf.DUMMYFUNCTION("""COMPUTED_VALUE"""),"87o 33' 38""")</f>
        <v>87o 33' 38"</v>
      </c>
      <c r="M1201" s="2" t="str">
        <f>IFERROR(__xludf.DUMMYFUNCTION("""COMPUTED_VALUE"""),"Myaglung,Okhare (Terhathum)")</f>
        <v>Myaglung,Okhare (Terhathum)</v>
      </c>
    </row>
    <row r="1202">
      <c r="A1202" s="2">
        <f>IFERROR(__xludf.DUMMYFUNCTION("""COMPUTED_VALUE"""),1201.0)</f>
        <v>1201</v>
      </c>
      <c r="B1202" s="2" t="str">
        <f>IFERROR(__xludf.DUMMYFUNCTION("""COMPUTED_VALUE"""),"Nawa Khola SHP")</f>
        <v>Nawa Khola SHP</v>
      </c>
      <c r="C1202" s="2">
        <f>IFERROR(__xludf.DUMMYFUNCTION("""COMPUTED_VALUE"""),0.999)</f>
        <v>0.999</v>
      </c>
      <c r="D1202" s="2" t="str">
        <f>IFERROR(__xludf.DUMMYFUNCTION("""COMPUTED_VALUE"""),"Nawa Khola")</f>
        <v>Nawa Khola</v>
      </c>
      <c r="E1202" s="2">
        <f>IFERROR(__xludf.DUMMYFUNCTION("""COMPUTED_VALUE"""),222.0)</f>
        <v>222</v>
      </c>
      <c r="F1202" s="3">
        <f>IFERROR(__xludf.DUMMYFUNCTION("""COMPUTED_VALUE"""),60730.0)</f>
        <v>60730</v>
      </c>
      <c r="G1202" s="2" t="str">
        <f>IFERROR(__xludf.DUMMYFUNCTION("""COMPUTED_VALUE"""),"Anu Bhandari")</f>
        <v>Anu Bhandari</v>
      </c>
      <c r="H1202" s="2" t="str">
        <f>IFERROR(__xludf.DUMMYFUNCTION("""COMPUTED_VALUE"""),"Kathmandu Municipality-32, Anamnagar Tel: 9851099910")</f>
        <v>Kathmandu Municipality-32, Anamnagar Tel: 9851099910</v>
      </c>
      <c r="I1202" s="2" t="str">
        <f>IFERROR(__xludf.DUMMYFUNCTION("""COMPUTED_VALUE"""),"26o 57' 26""")</f>
        <v>26o 57' 26"</v>
      </c>
      <c r="J1202" s="2" t="str">
        <f>IFERROR(__xludf.DUMMYFUNCTION("""COMPUTED_VALUE"""),"26o 58' 57""")</f>
        <v>26o 58' 57"</v>
      </c>
      <c r="K1202" s="2" t="str">
        <f>IFERROR(__xludf.DUMMYFUNCTION("""COMPUTED_VALUE"""),"87o 29' 41""")</f>
        <v>87o 29' 41"</v>
      </c>
      <c r="L1202" s="2" t="str">
        <f>IFERROR(__xludf.DUMMYFUNCTION("""COMPUTED_VALUE"""),"87o 32' 30""")</f>
        <v>87o 32' 30"</v>
      </c>
      <c r="M1202" s="2" t="str">
        <f>IFERROR(__xludf.DUMMYFUNCTION("""COMPUTED_VALUE"""),"Durdimba,Mauwa (Panchthar)")</f>
        <v>Durdimba,Mauwa (Panchthar)</v>
      </c>
    </row>
    <row r="1203">
      <c r="A1203" s="2">
        <f>IFERROR(__xludf.DUMMYFUNCTION("""COMPUTED_VALUE"""),1202.0)</f>
        <v>1202</v>
      </c>
      <c r="B1203" s="2" t="str">
        <f>IFERROR(__xludf.DUMMYFUNCTION("""COMPUTED_VALUE"""),"Chisan Khola SHP")</f>
        <v>Chisan Khola SHP</v>
      </c>
      <c r="C1203" s="2">
        <f>IFERROR(__xludf.DUMMYFUNCTION("""COMPUTED_VALUE"""),0.982)</f>
        <v>0.982</v>
      </c>
      <c r="D1203" s="2" t="str">
        <f>IFERROR(__xludf.DUMMYFUNCTION("""COMPUTED_VALUE"""),"Chisang")</f>
        <v>Chisang</v>
      </c>
      <c r="E1203" s="2">
        <f>IFERROR(__xludf.DUMMYFUNCTION("""COMPUTED_VALUE"""),226.0)</f>
        <v>226</v>
      </c>
      <c r="F1203" s="3">
        <f>IFERROR(__xludf.DUMMYFUNCTION("""COMPUTED_VALUE"""),60730.0)</f>
        <v>60730</v>
      </c>
      <c r="G1203" s="2" t="str">
        <f>IFERROR(__xludf.DUMMYFUNCTION("""COMPUTED_VALUE"""),"Sijal Jal Vidhyut Pvt Ltd")</f>
        <v>Sijal Jal Vidhyut Pvt Ltd</v>
      </c>
      <c r="H1203" s="2" t="str">
        <f>IFERROR(__xludf.DUMMYFUNCTION("""COMPUTED_VALUE"""),"Chahbil, Kathmandu Tel: 4460524")</f>
        <v>Chahbil, Kathmandu Tel: 4460524</v>
      </c>
      <c r="I1203" s="2" t="str">
        <f>IFERROR(__xludf.DUMMYFUNCTION("""COMPUTED_VALUE"""),"26o 47' 30""")</f>
        <v>26o 47' 30"</v>
      </c>
      <c r="J1203" s="2" t="str">
        <f>IFERROR(__xludf.DUMMYFUNCTION("""COMPUTED_VALUE"""),"26o 48' 15""")</f>
        <v>26o 48' 15"</v>
      </c>
      <c r="K1203" s="2" t="str">
        <f>IFERROR(__xludf.DUMMYFUNCTION("""COMPUTED_VALUE"""),"87o 29' 00""")</f>
        <v>87o 29' 00"</v>
      </c>
      <c r="L1203" s="2" t="str">
        <f>IFERROR(__xludf.DUMMYFUNCTION("""COMPUTED_VALUE"""),"87o 31' 00""")</f>
        <v>87o 31' 00"</v>
      </c>
      <c r="M1203" s="2" t="str">
        <f>IFERROR(__xludf.DUMMYFUNCTION("""COMPUTED_VALUE"""),"Bhogateni,Warangi (Morang)")</f>
        <v>Bhogateni,Warangi (Morang)</v>
      </c>
    </row>
    <row r="1204">
      <c r="A1204" s="2">
        <f>IFERROR(__xludf.DUMMYFUNCTION("""COMPUTED_VALUE"""),1203.0)</f>
        <v>1203</v>
      </c>
      <c r="B1204" s="2" t="str">
        <f>IFERROR(__xludf.DUMMYFUNCTION("""COMPUTED_VALUE"""),"Malekhu Khola SHP")</f>
        <v>Malekhu Khola SHP</v>
      </c>
      <c r="C1204" s="2">
        <f>IFERROR(__xludf.DUMMYFUNCTION("""COMPUTED_VALUE"""),0.999)</f>
        <v>0.999</v>
      </c>
      <c r="D1204" s="2" t="str">
        <f>IFERROR(__xludf.DUMMYFUNCTION("""COMPUTED_VALUE"""),"Malekhu")</f>
        <v>Malekhu</v>
      </c>
      <c r="E1204" s="2">
        <f>IFERROR(__xludf.DUMMYFUNCTION("""COMPUTED_VALUE"""),232.0)</f>
        <v>232</v>
      </c>
      <c r="F1204" s="3">
        <f>IFERROR(__xludf.DUMMYFUNCTION("""COMPUTED_VALUE"""),60730.0)</f>
        <v>60730</v>
      </c>
      <c r="G1204" s="2" t="str">
        <f>IFERROR(__xludf.DUMMYFUNCTION("""COMPUTED_VALUE"""),"Subha Upreti Adhikari")</f>
        <v>Subha Upreti Adhikari</v>
      </c>
      <c r="H1204" s="2" t="str">
        <f>IFERROR(__xludf.DUMMYFUNCTION("""COMPUTED_VALUE"""),"Kamalpokhri, Kathmandu")</f>
        <v>Kamalpokhri, Kathmandu</v>
      </c>
      <c r="I1204" s="2" t="str">
        <f>IFERROR(__xludf.DUMMYFUNCTION("""COMPUTED_VALUE"""),"27o 42' 37""")</f>
        <v>27o 42' 37"</v>
      </c>
      <c r="J1204" s="2" t="str">
        <f>IFERROR(__xludf.DUMMYFUNCTION("""COMPUTED_VALUE"""),"27o 45' 00""")</f>
        <v>27o 45' 00"</v>
      </c>
      <c r="K1204" s="2" t="str">
        <f>IFERROR(__xludf.DUMMYFUNCTION("""COMPUTED_VALUE"""),"84o 48' 17""")</f>
        <v>84o 48' 17"</v>
      </c>
      <c r="L1204" s="2" t="str">
        <f>IFERROR(__xludf.DUMMYFUNCTION("""COMPUTED_VALUE"""),"84o 49' 56""")</f>
        <v>84o 49' 56"</v>
      </c>
      <c r="M1204" s="2" t="str">
        <f>IFERROR(__xludf.DUMMYFUNCTION("""COMPUTED_VALUE"""),"Benighat,Mahadevsthan (Dhading)")</f>
        <v>Benighat,Mahadevsthan (Dhading)</v>
      </c>
    </row>
    <row r="1205">
      <c r="A1205" s="2">
        <f>IFERROR(__xludf.DUMMYFUNCTION("""COMPUTED_VALUE"""),1204.0)</f>
        <v>1204</v>
      </c>
      <c r="B1205" s="2" t="str">
        <f>IFERROR(__xludf.DUMMYFUNCTION("""COMPUTED_VALUE"""),"Khorunga Khola HPP")</f>
        <v>Khorunga Khola HPP</v>
      </c>
      <c r="C1205" s="2">
        <f>IFERROR(__xludf.DUMMYFUNCTION("""COMPUTED_VALUE"""),1.3)</f>
        <v>1.3</v>
      </c>
      <c r="D1205" s="2" t="str">
        <f>IFERROR(__xludf.DUMMYFUNCTION("""COMPUTED_VALUE"""),"Khoranga Khola")</f>
        <v>Khoranga Khola</v>
      </c>
      <c r="E1205" s="2">
        <f>IFERROR(__xludf.DUMMYFUNCTION("""COMPUTED_VALUE"""),239.0)</f>
        <v>239</v>
      </c>
      <c r="F1205" s="3">
        <f>IFERROR(__xludf.DUMMYFUNCTION("""COMPUTED_VALUE"""),60730.0)</f>
        <v>60730</v>
      </c>
      <c r="G1205" s="2" t="str">
        <f>IFERROR(__xludf.DUMMYFUNCTION("""COMPUTED_VALUE"""),"IDS Energy Pvt Ltd")</f>
        <v>IDS Energy Pvt Ltd</v>
      </c>
      <c r="H1205" s="2" t="str">
        <f>IFERROR(__xludf.DUMMYFUNCTION("""COMPUTED_VALUE"""),"PO Box: 516, Kathmandu Tel: 5551616")</f>
        <v>PO Box: 516, Kathmandu Tel: 5551616</v>
      </c>
      <c r="I1205" s="2" t="str">
        <f>IFERROR(__xludf.DUMMYFUNCTION("""COMPUTED_VALUE"""),"27o 12' 54""")</f>
        <v>27o 12' 54"</v>
      </c>
      <c r="J1205" s="2" t="str">
        <f>IFERROR(__xludf.DUMMYFUNCTION("""COMPUTED_VALUE"""),"27o 15' 00""")</f>
        <v>27o 15' 00"</v>
      </c>
      <c r="K1205" s="2" t="str">
        <f>IFERROR(__xludf.DUMMYFUNCTION("""COMPUTED_VALUE"""),"87o 30' 55""")</f>
        <v>87o 30' 55"</v>
      </c>
      <c r="L1205" s="2" t="str">
        <f>IFERROR(__xludf.DUMMYFUNCTION("""COMPUTED_VALUE"""),"87o 32' 30""")</f>
        <v>87o 32' 30"</v>
      </c>
      <c r="M1205" s="2" t="str">
        <f>IFERROR(__xludf.DUMMYFUNCTION("""COMPUTED_VALUE"""),"Morahang,Pouthak,Shree Jung (Terhathum)")</f>
        <v>Morahang,Pouthak,Shree Jung (Terhathum)</v>
      </c>
    </row>
    <row r="1206">
      <c r="A1206" s="2">
        <f>IFERROR(__xludf.DUMMYFUNCTION("""COMPUTED_VALUE"""),1205.0)</f>
        <v>1205</v>
      </c>
      <c r="B1206" s="2" t="str">
        <f>IFERROR(__xludf.DUMMYFUNCTION("""COMPUTED_VALUE"""),"Chhahare Khola HPP")</f>
        <v>Chhahare Khola HPP</v>
      </c>
      <c r="C1206" s="2">
        <f>IFERROR(__xludf.DUMMYFUNCTION("""COMPUTED_VALUE"""),25.0)</f>
        <v>25</v>
      </c>
      <c r="D1206" s="2" t="str">
        <f>IFERROR(__xludf.DUMMYFUNCTION("""COMPUTED_VALUE"""),"Chhahare")</f>
        <v>Chhahare</v>
      </c>
      <c r="E1206" s="2">
        <f>IFERROR(__xludf.DUMMYFUNCTION("""COMPUTED_VALUE"""),240.0)</f>
        <v>240</v>
      </c>
      <c r="F1206" s="3">
        <f>IFERROR(__xludf.DUMMYFUNCTION("""COMPUTED_VALUE"""),60730.0)</f>
        <v>60730</v>
      </c>
      <c r="G1206" s="2" t="str">
        <f>IFERROR(__xludf.DUMMYFUNCTION("""COMPUTED_VALUE"""),"Reliable Hydropower Company Pvt Ltd")</f>
        <v>Reliable Hydropower Company Pvt Ltd</v>
      </c>
      <c r="H1206" s="2" t="str">
        <f>IFERROR(__xludf.DUMMYFUNCTION("""COMPUTED_VALUE"""),"PO Box: 516, Kathmandu, Tel: 5551616, Fax: 5551617")</f>
        <v>PO Box: 516, Kathmandu, Tel: 5551616, Fax: 5551617</v>
      </c>
      <c r="I1206" s="2" t="str">
        <f>IFERROR(__xludf.DUMMYFUNCTION("""COMPUTED_VALUE"""),"28o 24' 31""")</f>
        <v>28o 24' 31"</v>
      </c>
      <c r="J1206" s="2" t="str">
        <f>IFERROR(__xludf.DUMMYFUNCTION("""COMPUTED_VALUE"""),"28o 27' 38""")</f>
        <v>28o 27' 38"</v>
      </c>
      <c r="K1206" s="2" t="str">
        <f>IFERROR(__xludf.DUMMYFUNCTION("""COMPUTED_VALUE"""),"84o 23' 34""")</f>
        <v>84o 23' 34"</v>
      </c>
      <c r="L1206" s="2" t="str">
        <f>IFERROR(__xludf.DUMMYFUNCTION("""COMPUTED_VALUE"""),"84o 26' 04""")</f>
        <v>84o 26' 04"</v>
      </c>
      <c r="M1206" s="2" t="str">
        <f>IFERROR(__xludf.DUMMYFUNCTION("""COMPUTED_VALUE"""),"Ghermu,Taghring (Lamjung)")</f>
        <v>Ghermu,Taghring (Lamjung)</v>
      </c>
    </row>
    <row r="1207">
      <c r="A1207" s="2">
        <f>IFERROR(__xludf.DUMMYFUNCTION("""COMPUTED_VALUE"""),1206.0)</f>
        <v>1206</v>
      </c>
      <c r="B1207" s="2" t="str">
        <f>IFERROR(__xludf.DUMMYFUNCTION("""COMPUTED_VALUE"""),"Sano Bheri HPP")</f>
        <v>Sano Bheri HPP</v>
      </c>
      <c r="C1207" s="2">
        <f>IFERROR(__xludf.DUMMYFUNCTION("""COMPUTED_VALUE"""),247.5)</f>
        <v>247.5</v>
      </c>
      <c r="D1207" s="2" t="str">
        <f>IFERROR(__xludf.DUMMYFUNCTION("""COMPUTED_VALUE"""),"Sano Bheri")</f>
        <v>Sano Bheri</v>
      </c>
      <c r="E1207" s="2">
        <f>IFERROR(__xludf.DUMMYFUNCTION("""COMPUTED_VALUE"""),258.0)</f>
        <v>258</v>
      </c>
      <c r="F1207" s="3">
        <f>IFERROR(__xludf.DUMMYFUNCTION("""COMPUTED_VALUE"""),60733.0)</f>
        <v>60733</v>
      </c>
      <c r="G1207" s="2" t="str">
        <f>IFERROR(__xludf.DUMMYFUNCTION("""COMPUTED_VALUE"""),"Model City and Technology Deveopment Pvt Ltd")</f>
        <v>Model City and Technology Deveopment Pvt Ltd</v>
      </c>
      <c r="H1207" s="2" t="str">
        <f>IFERROR(__xludf.DUMMYFUNCTION("""COMPUTED_VALUE"""),"Shantinagar, Kathmandu Tel 9851003573")</f>
        <v>Shantinagar, Kathmandu Tel 9851003573</v>
      </c>
      <c r="I1207" s="2" t="str">
        <f>IFERROR(__xludf.DUMMYFUNCTION("""COMPUTED_VALUE"""),"28o 37' 39""")</f>
        <v>28o 37' 39"</v>
      </c>
      <c r="J1207" s="2" t="str">
        <f>IFERROR(__xludf.DUMMYFUNCTION("""COMPUTED_VALUE"""),"28o 41' 31""")</f>
        <v>28o 41' 31"</v>
      </c>
      <c r="K1207" s="2" t="str">
        <f>IFERROR(__xludf.DUMMYFUNCTION("""COMPUTED_VALUE"""),"82o 37' 05""")</f>
        <v>82o 37' 05"</v>
      </c>
      <c r="L1207" s="2" t="str">
        <f>IFERROR(__xludf.DUMMYFUNCTION("""COMPUTED_VALUE"""),"82o 42' 23""")</f>
        <v>82o 42' 23"</v>
      </c>
      <c r="M1207" s="2" t="str">
        <f>IFERROR(__xludf.DUMMYFUNCTION("""COMPUTED_VALUE"""),"Pokhara (Rukum)")</f>
        <v>Pokhara (Rukum)</v>
      </c>
    </row>
    <row r="1208">
      <c r="A1208" s="2">
        <f>IFERROR(__xludf.DUMMYFUNCTION("""COMPUTED_VALUE"""),1207.0)</f>
        <v>1207</v>
      </c>
      <c r="B1208" s="2" t="str">
        <f>IFERROR(__xludf.DUMMYFUNCTION("""COMPUTED_VALUE"""),"Nibu Khola SHP")</f>
        <v>Nibu Khola SHP</v>
      </c>
      <c r="C1208" s="2">
        <f>IFERROR(__xludf.DUMMYFUNCTION("""COMPUTED_VALUE"""),0.999)</f>
        <v>0.999</v>
      </c>
      <c r="D1208" s="2" t="str">
        <f>IFERROR(__xludf.DUMMYFUNCTION("""COMPUTED_VALUE"""),"Nibu")</f>
        <v>Nibu</v>
      </c>
      <c r="E1208" s="2">
        <f>IFERROR(__xludf.DUMMYFUNCTION("""COMPUTED_VALUE"""),265.0)</f>
        <v>265</v>
      </c>
      <c r="F1208" s="3">
        <f>IFERROR(__xludf.DUMMYFUNCTION("""COMPUTED_VALUE"""),60733.0)</f>
        <v>60733</v>
      </c>
      <c r="G1208" s="2" t="str">
        <f>IFERROR(__xludf.DUMMYFUNCTION("""COMPUTED_VALUE"""),"Pragya Power Company Pvt Ltd")</f>
        <v>Pragya Power Company Pvt Ltd</v>
      </c>
      <c r="H1208" s="2" t="str">
        <f>IFERROR(__xludf.DUMMYFUNCTION("""COMPUTED_VALUE"""),"Anamnagar, Kathmandu-32")</f>
        <v>Anamnagar, Kathmandu-32</v>
      </c>
      <c r="I1208" s="2" t="str">
        <f>IFERROR(__xludf.DUMMYFUNCTION("""COMPUTED_VALUE"""),"27o 04' 44""")</f>
        <v>27o 04' 44"</v>
      </c>
      <c r="J1208" s="2" t="str">
        <f>IFERROR(__xludf.DUMMYFUNCTION("""COMPUTED_VALUE"""),"27o 06' 49""")</f>
        <v>27o 06' 49"</v>
      </c>
      <c r="K1208" s="2" t="str">
        <f>IFERROR(__xludf.DUMMYFUNCTION("""COMPUTED_VALUE"""),"87o 40' 46""")</f>
        <v>87o 40' 46"</v>
      </c>
      <c r="L1208" s="2" t="str">
        <f>IFERROR(__xludf.DUMMYFUNCTION("""COMPUTED_VALUE"""),"87o 41' 45""")</f>
        <v>87o 41' 45"</v>
      </c>
      <c r="M1208" s="2" t="str">
        <f>IFERROR(__xludf.DUMMYFUNCTION("""COMPUTED_VALUE"""),"Luwamfu,Rani Gaun (Panchthar)")</f>
        <v>Luwamfu,Rani Gaun (Panchthar)</v>
      </c>
    </row>
    <row r="1209">
      <c r="A1209" s="2">
        <f>IFERROR(__xludf.DUMMYFUNCTION("""COMPUTED_VALUE"""),1208.0)</f>
        <v>1208</v>
      </c>
      <c r="B1209" s="2" t="str">
        <f>IFERROR(__xludf.DUMMYFUNCTION("""COMPUTED_VALUE"""),"Nibu Khola SHP")</f>
        <v>Nibu Khola SHP</v>
      </c>
      <c r="C1209" s="2">
        <f>IFERROR(__xludf.DUMMYFUNCTION("""COMPUTED_VALUE"""),0.999)</f>
        <v>0.999</v>
      </c>
      <c r="D1209" s="2" t="str">
        <f>IFERROR(__xludf.DUMMYFUNCTION("""COMPUTED_VALUE"""),"Nibu")</f>
        <v>Nibu</v>
      </c>
      <c r="E1209" s="2">
        <f>IFERROR(__xludf.DUMMYFUNCTION("""COMPUTED_VALUE"""),266.0)</f>
        <v>266</v>
      </c>
      <c r="F1209" s="3">
        <f>IFERROR(__xludf.DUMMYFUNCTION("""COMPUTED_VALUE"""),60733.0)</f>
        <v>60733</v>
      </c>
      <c r="G1209" s="2" t="str">
        <f>IFERROR(__xludf.DUMMYFUNCTION("""COMPUTED_VALUE"""),"Anu Bhandari")</f>
        <v>Anu Bhandari</v>
      </c>
      <c r="H1209" s="2" t="str">
        <f>IFERROR(__xludf.DUMMYFUNCTION("""COMPUTED_VALUE"""),"Anamnagar, Kathmandu")</f>
        <v>Anamnagar, Kathmandu</v>
      </c>
      <c r="I1209" s="2" t="str">
        <f>IFERROR(__xludf.DUMMYFUNCTION("""COMPUTED_VALUE"""),"27o 02' 41""")</f>
        <v>27o 02' 41"</v>
      </c>
      <c r="J1209" s="2" t="str">
        <f>IFERROR(__xludf.DUMMYFUNCTION("""COMPUTED_VALUE"""),"27o 04' 34""")</f>
        <v>27o 04' 34"</v>
      </c>
      <c r="K1209" s="2" t="str">
        <f>IFERROR(__xludf.DUMMYFUNCTION("""COMPUTED_VALUE"""),"87o 42' 03""")</f>
        <v>87o 42' 03"</v>
      </c>
      <c r="L1209" s="2" t="str">
        <f>IFERROR(__xludf.DUMMYFUNCTION("""COMPUTED_VALUE"""),"87o 44' 28""")</f>
        <v>87o 44' 28"</v>
      </c>
      <c r="M1209" s="2" t="str">
        <f>IFERROR(__xludf.DUMMYFUNCTION("""COMPUTED_VALUE"""),"Nawamidanda (Panchthar)")</f>
        <v>Nawamidanda (Panchthar)</v>
      </c>
    </row>
    <row r="1210">
      <c r="A1210" s="2">
        <f>IFERROR(__xludf.DUMMYFUNCTION("""COMPUTED_VALUE"""),1209.0)</f>
        <v>1209</v>
      </c>
      <c r="B1210" s="2" t="str">
        <f>IFERROR(__xludf.DUMMYFUNCTION("""COMPUTED_VALUE"""),"Lower Nibu Khola SHP")</f>
        <v>Lower Nibu Khola SHP</v>
      </c>
      <c r="C1210" s="2">
        <f>IFERROR(__xludf.DUMMYFUNCTION("""COMPUTED_VALUE"""),0.999)</f>
        <v>0.999</v>
      </c>
      <c r="D1210" s="2" t="str">
        <f>IFERROR(__xludf.DUMMYFUNCTION("""COMPUTED_VALUE"""),"Nibu")</f>
        <v>Nibu</v>
      </c>
      <c r="E1210" s="2">
        <f>IFERROR(__xludf.DUMMYFUNCTION("""COMPUTED_VALUE"""),267.0)</f>
        <v>267</v>
      </c>
      <c r="F1210" s="3">
        <f>IFERROR(__xludf.DUMMYFUNCTION("""COMPUTED_VALUE"""),60733.0)</f>
        <v>60733</v>
      </c>
      <c r="G1210" s="2" t="str">
        <f>IFERROR(__xludf.DUMMYFUNCTION("""COMPUTED_VALUE"""),"Barah Multipower Pvt Ltd")</f>
        <v>Barah Multipower Pvt Ltd</v>
      </c>
      <c r="H1210" s="2" t="str">
        <f>IFERROR(__xludf.DUMMYFUNCTION("""COMPUTED_VALUE"""),"Anamnagar , Kathmandu Tel: 9851099910")</f>
        <v>Anamnagar , Kathmandu Tel: 9851099910</v>
      </c>
      <c r="I1210" s="2" t="str">
        <f>IFERROR(__xludf.DUMMYFUNCTION("""COMPUTED_VALUE"""),"27o 07' 42""")</f>
        <v>27o 07' 42"</v>
      </c>
      <c r="J1210" s="2" t="str">
        <f>IFERROR(__xludf.DUMMYFUNCTION("""COMPUTED_VALUE"""),"27o 08' 39""")</f>
        <v>27o 08' 39"</v>
      </c>
      <c r="K1210" s="2" t="str">
        <f>IFERROR(__xludf.DUMMYFUNCTION("""COMPUTED_VALUE"""),"87o 41' 18""")</f>
        <v>87o 41' 18"</v>
      </c>
      <c r="L1210" s="2" t="str">
        <f>IFERROR(__xludf.DUMMYFUNCTION("""COMPUTED_VALUE"""),"87o 41' 56""")</f>
        <v>87o 41' 56"</v>
      </c>
      <c r="M1210" s="2" t="str">
        <f>IFERROR(__xludf.DUMMYFUNCTION("""COMPUTED_VALUE"""),"Rani Gaun (Panchthar)")</f>
        <v>Rani Gaun (Panchthar)</v>
      </c>
    </row>
    <row r="1211">
      <c r="A1211" s="2">
        <f>IFERROR(__xludf.DUMMYFUNCTION("""COMPUTED_VALUE"""),1210.0)</f>
        <v>1210</v>
      </c>
      <c r="B1211" s="2" t="str">
        <f>IFERROR(__xludf.DUMMYFUNCTION("""COMPUTED_VALUE"""),"Lower Koya Khola SHP")</f>
        <v>Lower Koya Khola SHP</v>
      </c>
      <c r="C1211" s="2">
        <f>IFERROR(__xludf.DUMMYFUNCTION("""COMPUTED_VALUE"""),0.999)</f>
        <v>0.999</v>
      </c>
      <c r="D1211" s="2" t="str">
        <f>IFERROR(__xludf.DUMMYFUNCTION("""COMPUTED_VALUE"""),"Koya Khola")</f>
        <v>Koya Khola</v>
      </c>
      <c r="E1211" s="2">
        <f>IFERROR(__xludf.DUMMYFUNCTION("""COMPUTED_VALUE"""),268.0)</f>
        <v>268</v>
      </c>
      <c r="F1211" s="3">
        <f>IFERROR(__xludf.DUMMYFUNCTION("""COMPUTED_VALUE"""),60733.0)</f>
        <v>60733</v>
      </c>
      <c r="G1211" s="2" t="str">
        <f>IFERROR(__xludf.DUMMYFUNCTION("""COMPUTED_VALUE"""),"Barah Multi Power Pvt Ltd")</f>
        <v>Barah Multi Power Pvt Ltd</v>
      </c>
      <c r="H1211" s="2" t="str">
        <f>IFERROR(__xludf.DUMMYFUNCTION("""COMPUTED_VALUE"""),"Anamnagar, Kathmandu Tel: 9851099910")</f>
        <v>Anamnagar, Kathmandu Tel: 9851099910</v>
      </c>
      <c r="I1211" s="2" t="str">
        <f>IFERROR(__xludf.DUMMYFUNCTION("""COMPUTED_VALUE"""),"27o 07' 52""")</f>
        <v>27o 07' 52"</v>
      </c>
      <c r="J1211" s="2" t="str">
        <f>IFERROR(__xludf.DUMMYFUNCTION("""COMPUTED_VALUE"""),"27o 10' 16""")</f>
        <v>27o 10' 16"</v>
      </c>
      <c r="K1211" s="2" t="str">
        <f>IFERROR(__xludf.DUMMYFUNCTION("""COMPUTED_VALUE"""),"87o 37' 30""")</f>
        <v>87o 37' 30"</v>
      </c>
      <c r="L1211" s="2" t="str">
        <f>IFERROR(__xludf.DUMMYFUNCTION("""COMPUTED_VALUE"""),"87o 38' 48""")</f>
        <v>87o 38' 48"</v>
      </c>
      <c r="M1211" s="2" t="str">
        <f>IFERROR(__xludf.DUMMYFUNCTION("""COMPUTED_VALUE"""),"Simle,Thoklung (Terhathum)")</f>
        <v>Simle,Thoklung (Terhathum)</v>
      </c>
    </row>
    <row r="1212">
      <c r="A1212" s="2">
        <f>IFERROR(__xludf.DUMMYFUNCTION("""COMPUTED_VALUE"""),1211.0)</f>
        <v>1211</v>
      </c>
      <c r="B1212" s="2" t="str">
        <f>IFERROR(__xludf.DUMMYFUNCTION("""COMPUTED_VALUE"""),"Hinkhuwa Khola SHP")</f>
        <v>Hinkhuwa Khola SHP</v>
      </c>
      <c r="C1212" s="2">
        <f>IFERROR(__xludf.DUMMYFUNCTION("""COMPUTED_VALUE"""),0.97)</f>
        <v>0.97</v>
      </c>
      <c r="D1212" s="2" t="str">
        <f>IFERROR(__xludf.DUMMYFUNCTION("""COMPUTED_VALUE"""),"Hinkhuwa")</f>
        <v>Hinkhuwa</v>
      </c>
      <c r="E1212" s="2">
        <f>IFERROR(__xludf.DUMMYFUNCTION("""COMPUTED_VALUE"""),289.0)</f>
        <v>289</v>
      </c>
      <c r="F1212" s="3">
        <f>IFERROR(__xludf.DUMMYFUNCTION("""COMPUTED_VALUE"""),60735.0)</f>
        <v>60735</v>
      </c>
      <c r="G1212" s="2" t="str">
        <f>IFERROR(__xludf.DUMMYFUNCTION("""COMPUTED_VALUE"""),"Pawan Putra Securities Ltd")</f>
        <v>Pawan Putra Securities Ltd</v>
      </c>
      <c r="H1212" s="2" t="str">
        <f>IFERROR(__xludf.DUMMYFUNCTION("""COMPUTED_VALUE"""),"Bishal Bazaar, Kathmandu")</f>
        <v>Bishal Bazaar, Kathmandu</v>
      </c>
      <c r="I1212" s="2" t="str">
        <f>IFERROR(__xludf.DUMMYFUNCTION("""COMPUTED_VALUE"""),"27o 13' 00""")</f>
        <v>27o 13' 00"</v>
      </c>
      <c r="J1212" s="2" t="str">
        <f>IFERROR(__xludf.DUMMYFUNCTION("""COMPUTED_VALUE"""),"27o 14' 04""")</f>
        <v>27o 14' 04"</v>
      </c>
      <c r="K1212" s="2" t="str">
        <f>IFERROR(__xludf.DUMMYFUNCTION("""COMPUTED_VALUE"""),"86o 57' 30""")</f>
        <v>86o 57' 30"</v>
      </c>
      <c r="L1212" s="2" t="str">
        <f>IFERROR(__xludf.DUMMYFUNCTION("""COMPUTED_VALUE"""),"87o 00' 00""")</f>
        <v>87o 00' 00"</v>
      </c>
      <c r="M1212" s="2" t="str">
        <f>IFERROR(__xludf.DUMMYFUNCTION("""COMPUTED_VALUE"""),"Chhinamukh (Bhojpur)")</f>
        <v>Chhinamukh (Bhojpur)</v>
      </c>
    </row>
    <row r="1213">
      <c r="A1213" s="2">
        <f>IFERROR(__xludf.DUMMYFUNCTION("""COMPUTED_VALUE"""),1212.0)</f>
        <v>1212</v>
      </c>
      <c r="B1213" s="2" t="str">
        <f>IFERROR(__xludf.DUMMYFUNCTION("""COMPUTED_VALUE"""),"Rolwaling Khola HPP")</f>
        <v>Rolwaling Khola HPP</v>
      </c>
      <c r="C1213" s="2">
        <f>IFERROR(__xludf.DUMMYFUNCTION("""COMPUTED_VALUE"""),4.9)</f>
        <v>4.9</v>
      </c>
      <c r="D1213" s="2" t="str">
        <f>IFERROR(__xludf.DUMMYFUNCTION("""COMPUTED_VALUE"""),"Rolwaling")</f>
        <v>Rolwaling</v>
      </c>
      <c r="E1213" s="2">
        <f>IFERROR(__xludf.DUMMYFUNCTION("""COMPUTED_VALUE"""),302.0)</f>
        <v>302</v>
      </c>
      <c r="F1213" s="3">
        <f>IFERROR(__xludf.DUMMYFUNCTION("""COMPUTED_VALUE"""),60735.0)</f>
        <v>60735</v>
      </c>
      <c r="G1213" s="2" t="str">
        <f>IFERROR(__xludf.DUMMYFUNCTION("""COMPUTED_VALUE"""),"LK Power Pvt Ltd")</f>
        <v>LK Power Pvt Ltd</v>
      </c>
      <c r="H1213" s="2" t="str">
        <f>IFERROR(__xludf.DUMMYFUNCTION("""COMPUTED_VALUE"""),"Lalitpur Sub-Municipality-4, Tel: 5525184")</f>
        <v>Lalitpur Sub-Municipality-4, Tel: 5525184</v>
      </c>
      <c r="I1213" s="2" t="str">
        <f>IFERROR(__xludf.DUMMYFUNCTION("""COMPUTED_VALUE"""),"27o 52' 23""")</f>
        <v>27o 52' 23"</v>
      </c>
      <c r="J1213" s="2" t="str">
        <f>IFERROR(__xludf.DUMMYFUNCTION("""COMPUTED_VALUE"""),"27o 54' 51""")</f>
        <v>27o 54' 51"</v>
      </c>
      <c r="K1213" s="2" t="str">
        <f>IFERROR(__xludf.DUMMYFUNCTION("""COMPUTED_VALUE"""),"86o 15' 09""")</f>
        <v>86o 15' 09"</v>
      </c>
      <c r="L1213" s="2" t="str">
        <f>IFERROR(__xludf.DUMMYFUNCTION("""COMPUTED_VALUE"""),"86o 16' 20""")</f>
        <v>86o 16' 20"</v>
      </c>
      <c r="M1213" s="2" t="str">
        <f>IFERROR(__xludf.DUMMYFUNCTION("""COMPUTED_VALUE"""),"Gauri Sankar,Lamabagar (Dolakha)")</f>
        <v>Gauri Sankar,Lamabagar (Dolakha)</v>
      </c>
    </row>
    <row r="1214">
      <c r="A1214" s="2">
        <f>IFERROR(__xludf.DUMMYFUNCTION("""COMPUTED_VALUE"""),1213.0)</f>
        <v>1213</v>
      </c>
      <c r="B1214" s="2" t="str">
        <f>IFERROR(__xludf.DUMMYFUNCTION("""COMPUTED_VALUE"""),"Lower Khani Khola HPP")</f>
        <v>Lower Khani Khola HPP</v>
      </c>
      <c r="C1214" s="2">
        <f>IFERROR(__xludf.DUMMYFUNCTION("""COMPUTED_VALUE"""),4.9)</f>
        <v>4.9</v>
      </c>
      <c r="D1214" s="2"/>
      <c r="E1214" s="2">
        <f>IFERROR(__xludf.DUMMYFUNCTION("""COMPUTED_VALUE"""),340.0)</f>
        <v>340</v>
      </c>
      <c r="F1214" s="3">
        <f>IFERROR(__xludf.DUMMYFUNCTION("""COMPUTED_VALUE"""),60737.0)</f>
        <v>60737</v>
      </c>
      <c r="G1214" s="2" t="str">
        <f>IFERROR(__xludf.DUMMYFUNCTION("""COMPUTED_VALUE"""),"L.K. Power Pvt Ltd")</f>
        <v>L.K. Power Pvt Ltd</v>
      </c>
      <c r="H1214" s="2" t="str">
        <f>IFERROR(__xludf.DUMMYFUNCTION("""COMPUTED_VALUE"""),"Lalitpur Sub-Metropolitan City-4 , Tel; 5525184")</f>
        <v>Lalitpur Sub-Metropolitan City-4 , Tel; 5525184</v>
      </c>
      <c r="I1214" s="2" t="str">
        <f>IFERROR(__xludf.DUMMYFUNCTION("""COMPUTED_VALUE"""),"27o 48' 03""")</f>
        <v>27o 48' 03"</v>
      </c>
      <c r="J1214" s="2" t="str">
        <f>IFERROR(__xludf.DUMMYFUNCTION("""COMPUTED_VALUE"""),"27o 49' 41""")</f>
        <v>27o 49' 41"</v>
      </c>
      <c r="K1214" s="2" t="str">
        <f>IFERROR(__xludf.DUMMYFUNCTION("""COMPUTED_VALUE"""),"86o 19' 30""")</f>
        <v>86o 19' 30"</v>
      </c>
      <c r="L1214" s="2" t="str">
        <f>IFERROR(__xludf.DUMMYFUNCTION("""COMPUTED_VALUE"""),"86o 20' 15""")</f>
        <v>86o 20' 15"</v>
      </c>
      <c r="M1214" s="2" t="str">
        <f>IFERROR(__xludf.DUMMYFUNCTION("""COMPUTED_VALUE"""),"Marbu (Dolakha)")</f>
        <v>Marbu (Dolakha)</v>
      </c>
    </row>
    <row r="1215">
      <c r="A1215" s="2">
        <f>IFERROR(__xludf.DUMMYFUNCTION("""COMPUTED_VALUE"""),1214.0)</f>
        <v>1214</v>
      </c>
      <c r="B1215" s="2" t="str">
        <f>IFERROR(__xludf.DUMMYFUNCTION("""COMPUTED_VALUE"""),"Upper Thulo Khola HPP")</f>
        <v>Upper Thulo Khola HPP</v>
      </c>
      <c r="C1215" s="2">
        <f>IFERROR(__xludf.DUMMYFUNCTION("""COMPUTED_VALUE"""),10.0)</f>
        <v>10</v>
      </c>
      <c r="D1215" s="2" t="str">
        <f>IFERROR(__xludf.DUMMYFUNCTION("""COMPUTED_VALUE"""),"Thulo Khola")</f>
        <v>Thulo Khola</v>
      </c>
      <c r="E1215" s="2">
        <f>IFERROR(__xludf.DUMMYFUNCTION("""COMPUTED_VALUE"""),341.0)</f>
        <v>341</v>
      </c>
      <c r="F1215" s="3">
        <f>IFERROR(__xludf.DUMMYFUNCTION("""COMPUTED_VALUE"""),60738.0)</f>
        <v>60738</v>
      </c>
      <c r="G1215" s="2" t="str">
        <f>IFERROR(__xludf.DUMMYFUNCTION("""COMPUTED_VALUE"""),"AGEIS Hydropower Company Pvt Ltd")</f>
        <v>AGEIS Hydropower Company Pvt Ltd</v>
      </c>
      <c r="H1215" s="2" t="str">
        <f>IFERROR(__xludf.DUMMYFUNCTION("""COMPUTED_VALUE"""),"Baluwatar, Kathmandu, Tel: 4439587")</f>
        <v>Baluwatar, Kathmandu, Tel: 4439587</v>
      </c>
      <c r="I1215" s="2" t="str">
        <f>IFERROR(__xludf.DUMMYFUNCTION("""COMPUTED_VALUE"""),"28o 31' 45""")</f>
        <v>28o 31' 45"</v>
      </c>
      <c r="J1215" s="2" t="str">
        <f>IFERROR(__xludf.DUMMYFUNCTION("""COMPUTED_VALUE"""),"28o 35' 00""")</f>
        <v>28o 35' 00"</v>
      </c>
      <c r="K1215" s="2" t="str">
        <f>IFERROR(__xludf.DUMMYFUNCTION("""COMPUTED_VALUE"""),"83o 29' 24""")</f>
        <v>83o 29' 24"</v>
      </c>
      <c r="L1215" s="2" t="str">
        <f>IFERROR(__xludf.DUMMYFUNCTION("""COMPUTED_VALUE"""),"83o 32' 44""")</f>
        <v>83o 32' 44"</v>
      </c>
      <c r="M1215" s="2" t="str">
        <f>IFERROR(__xludf.DUMMYFUNCTION("""COMPUTED_VALUE"""),"Chimkhola,Kuinemangale (Myagdi)")</f>
        <v>Chimkhola,Kuinemangale (Myagdi)</v>
      </c>
    </row>
    <row r="1216">
      <c r="A1216" s="2">
        <f>IFERROR(__xludf.DUMMYFUNCTION("""COMPUTED_VALUE"""),1215.0)</f>
        <v>1215</v>
      </c>
      <c r="B1216" s="2" t="str">
        <f>IFERROR(__xludf.DUMMYFUNCTION("""COMPUTED_VALUE"""),"Sunkosi-Trijuga Hydro Electric Project")</f>
        <v>Sunkosi-Trijuga Hydro Electric Project</v>
      </c>
      <c r="C1216" s="2">
        <f>IFERROR(__xludf.DUMMYFUNCTION("""COMPUTED_VALUE"""),51.0)</f>
        <v>51</v>
      </c>
      <c r="D1216" s="2" t="str">
        <f>IFERROR(__xludf.DUMMYFUNCTION("""COMPUTED_VALUE"""),"Sun Koshi")</f>
        <v>Sun Koshi</v>
      </c>
      <c r="E1216" s="2">
        <f>IFERROR(__xludf.DUMMYFUNCTION("""COMPUTED_VALUE"""),346.0)</f>
        <v>346</v>
      </c>
      <c r="F1216" s="3">
        <f>IFERROR(__xludf.DUMMYFUNCTION("""COMPUTED_VALUE"""),60738.0)</f>
        <v>60738</v>
      </c>
      <c r="G1216" s="2" t="str">
        <f>IFERROR(__xludf.DUMMYFUNCTION("""COMPUTED_VALUE"""),"Dolkha Nirman Company Pvt Ltd")</f>
        <v>Dolkha Nirman Company Pvt Ltd</v>
      </c>
      <c r="H1216" s="2" t="str">
        <f>IFERROR(__xludf.DUMMYFUNCTION("""COMPUTED_VALUE"""),"Thapagaon, Kathmandu Tel: 9851085922")</f>
        <v>Thapagaon, Kathmandu Tel: 9851085922</v>
      </c>
      <c r="I1216" s="2" t="str">
        <f>IFERROR(__xludf.DUMMYFUNCTION("""COMPUTED_VALUE"""),"26o 46' 15""")</f>
        <v>26o 46' 15"</v>
      </c>
      <c r="J1216" s="2" t="str">
        <f>IFERROR(__xludf.DUMMYFUNCTION("""COMPUTED_VALUE"""),"26o 53' 45""")</f>
        <v>26o 53' 45"</v>
      </c>
      <c r="K1216" s="2" t="str">
        <f>IFERROR(__xludf.DUMMYFUNCTION("""COMPUTED_VALUE"""),"86o 47' 30""")</f>
        <v>86o 47' 30"</v>
      </c>
      <c r="L1216" s="2" t="str">
        <f>IFERROR(__xludf.DUMMYFUNCTION("""COMPUTED_VALUE"""),"86o 51' 15""")</f>
        <v>86o 51' 15"</v>
      </c>
      <c r="M1216" s="2" t="str">
        <f>IFERROR(__xludf.DUMMYFUNCTION("""COMPUTED_VALUE"""),"Hadiya,Saune (Udayapur)")</f>
        <v>Hadiya,Saune (Udayapur)</v>
      </c>
    </row>
    <row r="1217">
      <c r="A1217" s="2">
        <f>IFERROR(__xludf.DUMMYFUNCTION("""COMPUTED_VALUE"""),1216.0)</f>
        <v>1216</v>
      </c>
      <c r="B1217" s="2" t="str">
        <f>IFERROR(__xludf.DUMMYFUNCTION("""COMPUTED_VALUE"""),"Syarku Khola HPP")</f>
        <v>Syarku Khola HPP</v>
      </c>
      <c r="C1217" s="2">
        <f>IFERROR(__xludf.DUMMYFUNCTION("""COMPUTED_VALUE"""),1.94)</f>
        <v>1.94</v>
      </c>
      <c r="D1217" s="2" t="str">
        <f>IFERROR(__xludf.DUMMYFUNCTION("""COMPUTED_VALUE"""),"Syarku")</f>
        <v>Syarku</v>
      </c>
      <c r="E1217" s="2">
        <f>IFERROR(__xludf.DUMMYFUNCTION("""COMPUTED_VALUE"""),350.0)</f>
        <v>350</v>
      </c>
      <c r="F1217" s="3">
        <f>IFERROR(__xludf.DUMMYFUNCTION("""COMPUTED_VALUE"""),60738.0)</f>
        <v>60738</v>
      </c>
      <c r="G1217" s="2" t="str">
        <f>IFERROR(__xludf.DUMMYFUNCTION("""COMPUTED_VALUE"""),"Panch Bahadur Gurung")</f>
        <v>Panch Bahadur Gurung</v>
      </c>
      <c r="H1217" s="2" t="str">
        <f>IFERROR(__xludf.DUMMYFUNCTION("""COMPUTED_VALUE"""),"Dharapani-3, Manang, Tel: 9849025311")</f>
        <v>Dharapani-3, Manang, Tel: 9849025311</v>
      </c>
      <c r="I1217" s="2" t="str">
        <f>IFERROR(__xludf.DUMMYFUNCTION("""COMPUTED_VALUE"""),"28o 28' 46""")</f>
        <v>28o 28' 46"</v>
      </c>
      <c r="J1217" s="2" t="str">
        <f>IFERROR(__xludf.DUMMYFUNCTION("""COMPUTED_VALUE"""),"28o 32' 02""")</f>
        <v>28o 32' 02"</v>
      </c>
      <c r="K1217" s="2" t="str">
        <f>IFERROR(__xludf.DUMMYFUNCTION("""COMPUTED_VALUE"""),"84o 16' 31""")</f>
        <v>84o 16' 31"</v>
      </c>
      <c r="L1217" s="2" t="str">
        <f>IFERROR(__xludf.DUMMYFUNCTION("""COMPUTED_VALUE"""),"84o 19' 17""")</f>
        <v>84o 19' 17"</v>
      </c>
      <c r="M1217" s="2" t="str">
        <f>IFERROR(__xludf.DUMMYFUNCTION("""COMPUTED_VALUE"""),"Chame (Manang)")</f>
        <v>Chame (Manang)</v>
      </c>
    </row>
    <row r="1218">
      <c r="A1218" s="2">
        <f>IFERROR(__xludf.DUMMYFUNCTION("""COMPUTED_VALUE"""),1217.0)</f>
        <v>1217</v>
      </c>
      <c r="B1218" s="2" t="str">
        <f>IFERROR(__xludf.DUMMYFUNCTION("""COMPUTED_VALUE"""),"Agra Khola SHP")</f>
        <v>Agra Khola SHP</v>
      </c>
      <c r="C1218" s="2">
        <f>IFERROR(__xludf.DUMMYFUNCTION("""COMPUTED_VALUE"""),0.999)</f>
        <v>0.999</v>
      </c>
      <c r="D1218" s="2" t="str">
        <f>IFERROR(__xludf.DUMMYFUNCTION("""COMPUTED_VALUE"""),"Agra")</f>
        <v>Agra</v>
      </c>
      <c r="E1218" s="2">
        <f>IFERROR(__xludf.DUMMYFUNCTION("""COMPUTED_VALUE"""),363.0)</f>
        <v>363</v>
      </c>
      <c r="F1218" s="3">
        <f>IFERROR(__xludf.DUMMYFUNCTION("""COMPUTED_VALUE"""),60740.0)</f>
        <v>60740</v>
      </c>
      <c r="G1218" s="2" t="str">
        <f>IFERROR(__xludf.DUMMYFUNCTION("""COMPUTED_VALUE"""),"Subha Upreti Adhikari")</f>
        <v>Subha Upreti Adhikari</v>
      </c>
      <c r="H1218" s="2" t="str">
        <f>IFERROR(__xludf.DUMMYFUNCTION("""COMPUTED_VALUE"""),"Kathmandu")</f>
        <v>Kathmandu</v>
      </c>
      <c r="I1218" s="2" t="str">
        <f>IFERROR(__xludf.DUMMYFUNCTION("""COMPUTED_VALUE"""),"27o 42' 30""")</f>
        <v>27o 42' 30"</v>
      </c>
      <c r="J1218" s="2" t="str">
        <f>IFERROR(__xludf.DUMMYFUNCTION("""COMPUTED_VALUE"""),"27o 45' 00""")</f>
        <v>27o 45' 00"</v>
      </c>
      <c r="K1218" s="2" t="str">
        <f>IFERROR(__xludf.DUMMYFUNCTION("""COMPUTED_VALUE"""),"85o 02' 30""")</f>
        <v>85o 02' 30"</v>
      </c>
      <c r="L1218" s="2" t="str">
        <f>IFERROR(__xludf.DUMMYFUNCTION("""COMPUTED_VALUE"""),"85o 05' 00""")</f>
        <v>85o 05' 00"</v>
      </c>
      <c r="M1218" s="2" t="str">
        <f>IFERROR(__xludf.DUMMYFUNCTION("""COMPUTED_VALUE"""),"Bhumesthan,Thakre (Dhading)")</f>
        <v>Bhumesthan,Thakre (Dhading)</v>
      </c>
    </row>
    <row r="1219">
      <c r="A1219" s="2">
        <f>IFERROR(__xludf.DUMMYFUNCTION("""COMPUTED_VALUE"""),1218.0)</f>
        <v>1218</v>
      </c>
      <c r="B1219" s="2" t="str">
        <f>IFERROR(__xludf.DUMMYFUNCTION("""COMPUTED_VALUE"""),"Mel Khola SHP")</f>
        <v>Mel Khola SHP</v>
      </c>
      <c r="C1219" s="2">
        <f>IFERROR(__xludf.DUMMYFUNCTION("""COMPUTED_VALUE"""),0.5)</f>
        <v>0.5</v>
      </c>
      <c r="D1219" s="2" t="str">
        <f>IFERROR(__xludf.DUMMYFUNCTION("""COMPUTED_VALUE"""),"Mel Khola")</f>
        <v>Mel Khola</v>
      </c>
      <c r="E1219" s="2">
        <f>IFERROR(__xludf.DUMMYFUNCTION("""COMPUTED_VALUE"""),364.0)</f>
        <v>364</v>
      </c>
      <c r="F1219" s="3">
        <f>IFERROR(__xludf.DUMMYFUNCTION("""COMPUTED_VALUE"""),60740.0)</f>
        <v>60740</v>
      </c>
      <c r="G1219" s="2" t="str">
        <f>IFERROR(__xludf.DUMMYFUNCTION("""COMPUTED_VALUE"""),"Subha Upreti Adhikari")</f>
        <v>Subha Upreti Adhikari</v>
      </c>
      <c r="H1219" s="2" t="str">
        <f>IFERROR(__xludf.DUMMYFUNCTION("""COMPUTED_VALUE"""),"Kathmandu")</f>
        <v>Kathmandu</v>
      </c>
      <c r="I1219" s="2" t="str">
        <f>IFERROR(__xludf.DUMMYFUNCTION("""COMPUTED_VALUE"""),"27o 41' 27""")</f>
        <v>27o 41' 27"</v>
      </c>
      <c r="J1219" s="2" t="str">
        <f>IFERROR(__xludf.DUMMYFUNCTION("""COMPUTED_VALUE"""),"27o 42' 30""")</f>
        <v>27o 42' 30"</v>
      </c>
      <c r="K1219" s="2" t="str">
        <f>IFERROR(__xludf.DUMMYFUNCTION("""COMPUTED_VALUE"""),"85o 03' 53""")</f>
        <v>85o 03' 53"</v>
      </c>
      <c r="L1219" s="2" t="str">
        <f>IFERROR(__xludf.DUMMYFUNCTION("""COMPUTED_VALUE"""),"85o 06' 39""")</f>
        <v>85o 06' 39"</v>
      </c>
      <c r="M1219" s="2" t="str">
        <f>IFERROR(__xludf.DUMMYFUNCTION("""COMPUTED_VALUE"""),"Tistung Deurali (Makawanpur)")</f>
        <v>Tistung Deurali (Makawanpur)</v>
      </c>
    </row>
    <row r="1220">
      <c r="A1220" s="2">
        <f>IFERROR(__xludf.DUMMYFUNCTION("""COMPUTED_VALUE"""),1219.0)</f>
        <v>1219</v>
      </c>
      <c r="B1220" s="2" t="str">
        <f>IFERROR(__xludf.DUMMYFUNCTION("""COMPUTED_VALUE"""),"Lothar Khola A SHP")</f>
        <v>Lothar Khola A SHP</v>
      </c>
      <c r="C1220" s="2">
        <f>IFERROR(__xludf.DUMMYFUNCTION("""COMPUTED_VALUE"""),0.9)</f>
        <v>0.9</v>
      </c>
      <c r="D1220" s="2" t="str">
        <f>IFERROR(__xludf.DUMMYFUNCTION("""COMPUTED_VALUE"""),"Lothar")</f>
        <v>Lothar</v>
      </c>
      <c r="E1220" s="2">
        <f>IFERROR(__xludf.DUMMYFUNCTION("""COMPUTED_VALUE"""),365.0)</f>
        <v>365</v>
      </c>
      <c r="F1220" s="3">
        <f>IFERROR(__xludf.DUMMYFUNCTION("""COMPUTED_VALUE"""),60740.0)</f>
        <v>60740</v>
      </c>
      <c r="G1220" s="2" t="str">
        <f>IFERROR(__xludf.DUMMYFUNCTION("""COMPUTED_VALUE"""),"Vijay Lata Acharya")</f>
        <v>Vijay Lata Acharya</v>
      </c>
      <c r="H1220" s="2" t="str">
        <f>IFERROR(__xludf.DUMMYFUNCTION("""COMPUTED_VALUE"""),"Baneswar, Kathmandu")</f>
        <v>Baneswar, Kathmandu</v>
      </c>
      <c r="I1220" s="2" t="str">
        <f>IFERROR(__xludf.DUMMYFUNCTION("""COMPUTED_VALUE"""),"27o 40' 30""")</f>
        <v>27o 40' 30"</v>
      </c>
      <c r="J1220" s="2" t="str">
        <f>IFERROR(__xludf.DUMMYFUNCTION("""COMPUTED_VALUE"""),"27o 42' 30""")</f>
        <v>27o 42' 30"</v>
      </c>
      <c r="K1220" s="2" t="str">
        <f>IFERROR(__xludf.DUMMYFUNCTION("""COMPUTED_VALUE"""),"84o 42' 30""")</f>
        <v>84o 42' 30"</v>
      </c>
      <c r="L1220" s="2" t="str">
        <f>IFERROR(__xludf.DUMMYFUNCTION("""COMPUTED_VALUE"""),"84o 45' 30""")</f>
        <v>84o 45' 30"</v>
      </c>
      <c r="M1220" s="2" t="str">
        <f>IFERROR(__xludf.DUMMYFUNCTION("""COMPUTED_VALUE"""),"Lothar (Chitawan)")</f>
        <v>Lothar (Chitawan)</v>
      </c>
    </row>
    <row r="1221">
      <c r="A1221" s="2">
        <f>IFERROR(__xludf.DUMMYFUNCTION("""COMPUTED_VALUE"""),1220.0)</f>
        <v>1220</v>
      </c>
      <c r="B1221" s="2" t="str">
        <f>IFERROR(__xludf.DUMMYFUNCTION("""COMPUTED_VALUE"""),"Reuti Khola SHP")</f>
        <v>Reuti Khola SHP</v>
      </c>
      <c r="C1221" s="2">
        <f>IFERROR(__xludf.DUMMYFUNCTION("""COMPUTED_VALUE"""),0.9)</f>
        <v>0.9</v>
      </c>
      <c r="D1221" s="2" t="str">
        <f>IFERROR(__xludf.DUMMYFUNCTION("""COMPUTED_VALUE"""),"Reuti")</f>
        <v>Reuti</v>
      </c>
      <c r="E1221" s="2">
        <f>IFERROR(__xludf.DUMMYFUNCTION("""COMPUTED_VALUE"""),366.0)</f>
        <v>366</v>
      </c>
      <c r="F1221" s="3">
        <f>IFERROR(__xludf.DUMMYFUNCTION("""COMPUTED_VALUE"""),60740.0)</f>
        <v>60740</v>
      </c>
      <c r="G1221" s="2" t="str">
        <f>IFERROR(__xludf.DUMMYFUNCTION("""COMPUTED_VALUE"""),"Vijay lata Acharya")</f>
        <v>Vijay lata Acharya</v>
      </c>
      <c r="H1221" s="2" t="str">
        <f>IFERROR(__xludf.DUMMYFUNCTION("""COMPUTED_VALUE"""),"Kathmandu")</f>
        <v>Kathmandu</v>
      </c>
      <c r="I1221" s="2" t="str">
        <f>IFERROR(__xludf.DUMMYFUNCTION("""COMPUTED_VALUE"""),"27o 37' 00""")</f>
        <v>27o 37' 00"</v>
      </c>
      <c r="J1221" s="2" t="str">
        <f>IFERROR(__xludf.DUMMYFUNCTION("""COMPUTED_VALUE"""),"27o 40' 00""")</f>
        <v>27o 40' 00"</v>
      </c>
      <c r="K1221" s="2" t="str">
        <f>IFERROR(__xludf.DUMMYFUNCTION("""COMPUTED_VALUE"""),"84o 42' 30""")</f>
        <v>84o 42' 30"</v>
      </c>
      <c r="L1221" s="2" t="str">
        <f>IFERROR(__xludf.DUMMYFUNCTION("""COMPUTED_VALUE"""),"84o 45' 00""")</f>
        <v>84o 45' 00"</v>
      </c>
      <c r="M1221" s="2" t="str">
        <f>IFERROR(__xludf.DUMMYFUNCTION("""COMPUTED_VALUE"""),"Korak (Chitawan)")</f>
        <v>Korak (Chitawan)</v>
      </c>
    </row>
    <row r="1222">
      <c r="A1222" s="2">
        <f>IFERROR(__xludf.DUMMYFUNCTION("""COMPUTED_VALUE"""),1221.0)</f>
        <v>1221</v>
      </c>
      <c r="B1222" s="2" t="str">
        <f>IFERROR(__xludf.DUMMYFUNCTION("""COMPUTED_VALUE"""),"Kali Khola SHP")</f>
        <v>Kali Khola SHP</v>
      </c>
      <c r="C1222" s="2">
        <f>IFERROR(__xludf.DUMMYFUNCTION("""COMPUTED_VALUE"""),0.99)</f>
        <v>0.99</v>
      </c>
      <c r="D1222" s="2" t="str">
        <f>IFERROR(__xludf.DUMMYFUNCTION("""COMPUTED_VALUE"""),"Kali Khola")</f>
        <v>Kali Khola</v>
      </c>
      <c r="E1222" s="2">
        <f>IFERROR(__xludf.DUMMYFUNCTION("""COMPUTED_VALUE"""),367.0)</f>
        <v>367</v>
      </c>
      <c r="F1222" s="3">
        <f>IFERROR(__xludf.DUMMYFUNCTION("""COMPUTED_VALUE"""),60740.0)</f>
        <v>60740</v>
      </c>
      <c r="G1222" s="2" t="str">
        <f>IFERROR(__xludf.DUMMYFUNCTION("""COMPUTED_VALUE"""),"Nirendra Nath Adhikari")</f>
        <v>Nirendra Nath Adhikari</v>
      </c>
      <c r="H1222" s="2" t="str">
        <f>IFERROR(__xludf.DUMMYFUNCTION("""COMPUTED_VALUE"""),"Kathmandu")</f>
        <v>Kathmandu</v>
      </c>
      <c r="I1222" s="2" t="str">
        <f>IFERROR(__xludf.DUMMYFUNCTION("""COMPUTED_VALUE"""),"27o 35' 00""")</f>
        <v>27o 35' 00"</v>
      </c>
      <c r="J1222" s="2" t="str">
        <f>IFERROR(__xludf.DUMMYFUNCTION("""COMPUTED_VALUE"""),"27o 37' 30""")</f>
        <v>27o 37' 30"</v>
      </c>
      <c r="K1222" s="2" t="str">
        <f>IFERROR(__xludf.DUMMYFUNCTION("""COMPUTED_VALUE"""),"84o 55' 00""")</f>
        <v>84o 55' 00"</v>
      </c>
      <c r="L1222" s="2" t="str">
        <f>IFERROR(__xludf.DUMMYFUNCTION("""COMPUTED_VALUE"""),"84o 57' 30""")</f>
        <v>84o 57' 30"</v>
      </c>
      <c r="M1222" s="2" t="str">
        <f>IFERROR(__xludf.DUMMYFUNCTION("""COMPUTED_VALUE"""),"Dadakharka,Gogane (Makawanpur)")</f>
        <v>Dadakharka,Gogane (Makawanpur)</v>
      </c>
    </row>
    <row r="1223">
      <c r="A1223" s="2">
        <f>IFERROR(__xludf.DUMMYFUNCTION("""COMPUTED_VALUE"""),1222.0)</f>
        <v>1222</v>
      </c>
      <c r="B1223" s="2" t="str">
        <f>IFERROR(__xludf.DUMMYFUNCTION("""COMPUTED_VALUE"""),"Kalika Khola SHP")</f>
        <v>Kalika Khola SHP</v>
      </c>
      <c r="C1223" s="2">
        <f>IFERROR(__xludf.DUMMYFUNCTION("""COMPUTED_VALUE"""),0.99)</f>
        <v>0.99</v>
      </c>
      <c r="D1223" s="2" t="str">
        <f>IFERROR(__xludf.DUMMYFUNCTION("""COMPUTED_VALUE"""),"Kalika")</f>
        <v>Kalika</v>
      </c>
      <c r="E1223" s="2">
        <f>IFERROR(__xludf.DUMMYFUNCTION("""COMPUTED_VALUE"""),368.0)</f>
        <v>368</v>
      </c>
      <c r="F1223" s="3">
        <f>IFERROR(__xludf.DUMMYFUNCTION("""COMPUTED_VALUE"""),60740.0)</f>
        <v>60740</v>
      </c>
      <c r="G1223" s="2" t="str">
        <f>IFERROR(__xludf.DUMMYFUNCTION("""COMPUTED_VALUE"""),"Subha Upreti Adhikari")</f>
        <v>Subha Upreti Adhikari</v>
      </c>
      <c r="H1223" s="2" t="str">
        <f>IFERROR(__xludf.DUMMYFUNCTION("""COMPUTED_VALUE"""),"Kathmandu")</f>
        <v>Kathmandu</v>
      </c>
      <c r="I1223" s="2" t="str">
        <f>IFERROR(__xludf.DUMMYFUNCTION("""COMPUTED_VALUE"""),"27o 37' 30""")</f>
        <v>27o 37' 30"</v>
      </c>
      <c r="J1223" s="2" t="str">
        <f>IFERROR(__xludf.DUMMYFUNCTION("""COMPUTED_VALUE"""),"27o 42' 00""")</f>
        <v>27o 42' 00"</v>
      </c>
      <c r="K1223" s="2" t="str">
        <f>IFERROR(__xludf.DUMMYFUNCTION("""COMPUTED_VALUE"""),"84o 57' 30""")</f>
        <v>84o 57' 30"</v>
      </c>
      <c r="L1223" s="2" t="str">
        <f>IFERROR(__xludf.DUMMYFUNCTION("""COMPUTED_VALUE"""),"85o 00' 00""")</f>
        <v>85o 00' 00"</v>
      </c>
      <c r="M1223" s="2" t="str">
        <f>IFERROR(__xludf.DUMMYFUNCTION("""COMPUTED_VALUE"""),"Gogane (Makawanpur)")</f>
        <v>Gogane (Makawanpur)</v>
      </c>
    </row>
    <row r="1224">
      <c r="A1224" s="2">
        <f>IFERROR(__xludf.DUMMYFUNCTION("""COMPUTED_VALUE"""),1223.0)</f>
        <v>1223</v>
      </c>
      <c r="B1224" s="2" t="str">
        <f>IFERROR(__xludf.DUMMYFUNCTION("""COMPUTED_VALUE"""),"Lower Seti-1 HPP")</f>
        <v>Lower Seti-1 HPP</v>
      </c>
      <c r="C1224" s="2">
        <f>IFERROR(__xludf.DUMMYFUNCTION("""COMPUTED_VALUE"""),10.0)</f>
        <v>10</v>
      </c>
      <c r="D1224" s="2" t="str">
        <f>IFERROR(__xludf.DUMMYFUNCTION("""COMPUTED_VALUE"""),"Seti Khola")</f>
        <v>Seti Khola</v>
      </c>
      <c r="E1224" s="2">
        <f>IFERROR(__xludf.DUMMYFUNCTION("""COMPUTED_VALUE"""),419.0)</f>
        <v>419</v>
      </c>
      <c r="F1224" s="3">
        <f>IFERROR(__xludf.DUMMYFUNCTION("""COMPUTED_VALUE"""),60742.0)</f>
        <v>60742</v>
      </c>
      <c r="G1224" s="2" t="str">
        <f>IFERROR(__xludf.DUMMYFUNCTION("""COMPUTED_VALUE"""),"United Builders and Engineers Pvt Ltd")</f>
        <v>United Builders and Engineers Pvt Ltd</v>
      </c>
      <c r="H1224" s="2" t="str">
        <f>IFERROR(__xludf.DUMMYFUNCTION("""COMPUTED_VALUE"""),"Kathmandu, Tel; 4770245, Fax: 4771109")</f>
        <v>Kathmandu, Tel; 4770245, Fax: 4771109</v>
      </c>
      <c r="I1224" s="2" t="str">
        <f>IFERROR(__xludf.DUMMYFUNCTION("""COMPUTED_VALUE"""),"28o 07' 30""")</f>
        <v>28o 07' 30"</v>
      </c>
      <c r="J1224" s="2" t="str">
        <f>IFERROR(__xludf.DUMMYFUNCTION("""COMPUTED_VALUE"""),"28o 09' 48""")</f>
        <v>28o 09' 48"</v>
      </c>
      <c r="K1224" s="2" t="str">
        <f>IFERROR(__xludf.DUMMYFUNCTION("""COMPUTED_VALUE"""),"84o 00' 36""")</f>
        <v>84o 00' 36"</v>
      </c>
      <c r="L1224" s="2" t="str">
        <f>IFERROR(__xludf.DUMMYFUNCTION("""COMPUTED_VALUE"""),"84o 04' 37""")</f>
        <v>84o 04' 37"</v>
      </c>
      <c r="M1224" s="2" t="str">
        <f>IFERROR(__xludf.DUMMYFUNCTION("""COMPUTED_VALUE"""),"Bharatpokhari,Nimalpokhari,Pokhara N.P. (Kaski)")</f>
        <v>Bharatpokhari,Nimalpokhari,Pokhara N.P. (Kaski)</v>
      </c>
    </row>
    <row r="1225">
      <c r="A1225" s="2">
        <f>IFERROR(__xludf.DUMMYFUNCTION("""COMPUTED_VALUE"""),1224.0)</f>
        <v>1224</v>
      </c>
      <c r="B1225" s="2" t="str">
        <f>IFERROR(__xludf.DUMMYFUNCTION("""COMPUTED_VALUE"""),"Nyamnyam Khola HPP")</f>
        <v>Nyamnyam Khola HPP</v>
      </c>
      <c r="C1225" s="2">
        <f>IFERROR(__xludf.DUMMYFUNCTION("""COMPUTED_VALUE"""),2.5)</f>
        <v>2.5</v>
      </c>
      <c r="D1225" s="2" t="str">
        <f>IFERROR(__xludf.DUMMYFUNCTION("""COMPUTED_VALUE"""),"Nyam Nyam Khola")</f>
        <v>Nyam Nyam Khola</v>
      </c>
      <c r="E1225" s="2">
        <f>IFERROR(__xludf.DUMMYFUNCTION("""COMPUTED_VALUE"""),427.0)</f>
        <v>427</v>
      </c>
      <c r="F1225" s="3">
        <f>IFERROR(__xludf.DUMMYFUNCTION("""COMPUTED_VALUE"""),60742.0)</f>
        <v>60742</v>
      </c>
      <c r="G1225" s="2" t="str">
        <f>IFERROR(__xludf.DUMMYFUNCTION("""COMPUTED_VALUE"""),"Rasuwa Energy Company Pvt Ltd")</f>
        <v>Rasuwa Energy Company Pvt Ltd</v>
      </c>
      <c r="H1225" s="2" t="str">
        <f>IFERROR(__xludf.DUMMYFUNCTION("""COMPUTED_VALUE"""),"Balaju, Kathmandu")</f>
        <v>Balaju, Kathmandu</v>
      </c>
      <c r="I1225" s="2" t="str">
        <f>IFERROR(__xludf.DUMMYFUNCTION("""COMPUTED_VALUE"""),"28o 04' 37""")</f>
        <v>28o 04' 37"</v>
      </c>
      <c r="J1225" s="2" t="str">
        <f>IFERROR(__xludf.DUMMYFUNCTION("""COMPUTED_VALUE"""),"28o 09' 10""")</f>
        <v>28o 09' 10"</v>
      </c>
      <c r="K1225" s="2" t="str">
        <f>IFERROR(__xludf.DUMMYFUNCTION("""COMPUTED_VALUE"""),"85o 08' 00""")</f>
        <v>85o 08' 00"</v>
      </c>
      <c r="L1225" s="2" t="str">
        <f>IFERROR(__xludf.DUMMYFUNCTION("""COMPUTED_VALUE"""),"85o 10' 30""")</f>
        <v>85o 10' 30"</v>
      </c>
      <c r="M1225" s="2" t="str">
        <f>IFERROR(__xludf.DUMMYFUNCTION("""COMPUTED_VALUE"""),"Dandagoun (Rasuwa)")</f>
        <v>Dandagoun (Rasuwa)</v>
      </c>
    </row>
    <row r="1226">
      <c r="A1226" s="2">
        <f>IFERROR(__xludf.DUMMYFUNCTION("""COMPUTED_VALUE"""),1225.0)</f>
        <v>1225</v>
      </c>
      <c r="B1226" s="2" t="str">
        <f>IFERROR(__xludf.DUMMYFUNCTION("""COMPUTED_VALUE"""),"Pragya Power Company Pvt Ltd")</f>
        <v>Pragya Power Company Pvt Ltd</v>
      </c>
      <c r="C1226" s="2">
        <f>IFERROR(__xludf.DUMMYFUNCTION("""COMPUTED_VALUE"""),0.999)</f>
        <v>0.999</v>
      </c>
      <c r="D1226" s="2" t="str">
        <f>IFERROR(__xludf.DUMMYFUNCTION("""COMPUTED_VALUE"""),"Maya")</f>
        <v>Maya</v>
      </c>
      <c r="E1226" s="2">
        <f>IFERROR(__xludf.DUMMYFUNCTION("""COMPUTED_VALUE"""),436.0)</f>
        <v>436</v>
      </c>
      <c r="F1226" s="3">
        <f>IFERROR(__xludf.DUMMYFUNCTION("""COMPUTED_VALUE"""),60745.0)</f>
        <v>60745</v>
      </c>
      <c r="G1226" s="2" t="str">
        <f>IFERROR(__xludf.DUMMYFUNCTION("""COMPUTED_VALUE"""),"Pragya Power Company Pvt Ltd")</f>
        <v>Pragya Power Company Pvt Ltd</v>
      </c>
      <c r="H1226" s="2" t="str">
        <f>IFERROR(__xludf.DUMMYFUNCTION("""COMPUTED_VALUE"""),"Kathmandu, Tel: 9851099910")</f>
        <v>Kathmandu, Tel: 9851099910</v>
      </c>
      <c r="I1226" s="2" t="str">
        <f>IFERROR(__xludf.DUMMYFUNCTION("""COMPUTED_VALUE"""),"27o 12' 30""")</f>
        <v>27o 12' 30"</v>
      </c>
      <c r="J1226" s="2" t="str">
        <f>IFERROR(__xludf.DUMMYFUNCTION("""COMPUTED_VALUE"""),"27o 13' 59""")</f>
        <v>27o 13' 59"</v>
      </c>
      <c r="K1226" s="2" t="str">
        <f>IFERROR(__xludf.DUMMYFUNCTION("""COMPUTED_VALUE"""),"87o 23' 56""")</f>
        <v>87o 23' 56"</v>
      </c>
      <c r="L1226" s="2" t="str">
        <f>IFERROR(__xludf.DUMMYFUNCTION("""COMPUTED_VALUE"""),"87o 26' 03""")</f>
        <v>87o 26' 03"</v>
      </c>
      <c r="M1226" s="2" t="str">
        <f>IFERROR(__xludf.DUMMYFUNCTION("""COMPUTED_VALUE"""),"Madi Mulkharka (Sankhuwasabha)")</f>
        <v>Madi Mulkharka (Sankhuwasabha)</v>
      </c>
    </row>
    <row r="1227">
      <c r="A1227" s="2">
        <f>IFERROR(__xludf.DUMMYFUNCTION("""COMPUTED_VALUE"""),1226.0)</f>
        <v>1226</v>
      </c>
      <c r="B1227" s="2" t="str">
        <f>IFERROR(__xludf.DUMMYFUNCTION("""COMPUTED_VALUE"""),"Thosne Khola SHP")</f>
        <v>Thosne Khola SHP</v>
      </c>
      <c r="C1227" s="2">
        <f>IFERROR(__xludf.DUMMYFUNCTION("""COMPUTED_VALUE"""),0.999)</f>
        <v>0.999</v>
      </c>
      <c r="D1227" s="2" t="str">
        <f>IFERROR(__xludf.DUMMYFUNCTION("""COMPUTED_VALUE"""),"Thosne")</f>
        <v>Thosne</v>
      </c>
      <c r="E1227" s="2">
        <f>IFERROR(__xludf.DUMMYFUNCTION("""COMPUTED_VALUE"""),437.0)</f>
        <v>437</v>
      </c>
      <c r="F1227" s="3">
        <f>IFERROR(__xludf.DUMMYFUNCTION("""COMPUTED_VALUE"""),60745.0)</f>
        <v>60745</v>
      </c>
      <c r="G1227" s="2" t="str">
        <f>IFERROR(__xludf.DUMMYFUNCTION("""COMPUTED_VALUE"""),"Pragya Power Company Pvt Ltd")</f>
        <v>Pragya Power Company Pvt Ltd</v>
      </c>
      <c r="H1227" s="2" t="str">
        <f>IFERROR(__xludf.DUMMYFUNCTION("""COMPUTED_VALUE"""),"House No. 171/16, Kathmandu, Tel: 9851099910")</f>
        <v>House No. 171/16, Kathmandu, Tel: 9851099910</v>
      </c>
      <c r="I1227" s="2" t="str">
        <f>IFERROR(__xludf.DUMMYFUNCTION("""COMPUTED_VALUE"""),"27o 29' 30""")</f>
        <v>27o 29' 30"</v>
      </c>
      <c r="J1227" s="2" t="str">
        <f>IFERROR(__xludf.DUMMYFUNCTION("""COMPUTED_VALUE"""),"27o 30' 08""")</f>
        <v>27o 30' 08"</v>
      </c>
      <c r="K1227" s="2" t="str">
        <f>IFERROR(__xludf.DUMMYFUNCTION("""COMPUTED_VALUE"""),"85o 18' 21""")</f>
        <v>85o 18' 21"</v>
      </c>
      <c r="L1227" s="2" t="str">
        <f>IFERROR(__xludf.DUMMYFUNCTION("""COMPUTED_VALUE"""),"85o 18' 51""")</f>
        <v>85o 18' 51"</v>
      </c>
      <c r="M1227" s="2" t="str">
        <f>IFERROR(__xludf.DUMMYFUNCTION("""COMPUTED_VALUE"""),"Bhattedanda (Lalitpur)")</f>
        <v>Bhattedanda (Lalitpur)</v>
      </c>
    </row>
    <row r="1228">
      <c r="A1228" s="2">
        <f>IFERROR(__xludf.DUMMYFUNCTION("""COMPUTED_VALUE"""),1227.0)</f>
        <v>1227</v>
      </c>
      <c r="B1228" s="2" t="str">
        <f>IFERROR(__xludf.DUMMYFUNCTION("""COMPUTED_VALUE"""),"Upper Hongu SHP")</f>
        <v>Upper Hongu SHP</v>
      </c>
      <c r="C1228" s="2">
        <f>IFERROR(__xludf.DUMMYFUNCTION("""COMPUTED_VALUE"""),0.999)</f>
        <v>0.999</v>
      </c>
      <c r="D1228" s="2" t="str">
        <f>IFERROR(__xludf.DUMMYFUNCTION("""COMPUTED_VALUE"""),"Hongu Khola")</f>
        <v>Hongu Khola</v>
      </c>
      <c r="E1228" s="2">
        <f>IFERROR(__xludf.DUMMYFUNCTION("""COMPUTED_VALUE"""),438.0)</f>
        <v>438</v>
      </c>
      <c r="F1228" s="3">
        <f>IFERROR(__xludf.DUMMYFUNCTION("""COMPUTED_VALUE"""),60745.0)</f>
        <v>60745</v>
      </c>
      <c r="G1228" s="2" t="str">
        <f>IFERROR(__xludf.DUMMYFUNCTION("""COMPUTED_VALUE"""),"Gyan Bahadur Bhandari")</f>
        <v>Gyan Bahadur Bhandari</v>
      </c>
      <c r="H1228" s="2" t="str">
        <f>IFERROR(__xludf.DUMMYFUNCTION("""COMPUTED_VALUE"""),"Kathmandu, Tel: 9841495377")</f>
        <v>Kathmandu, Tel: 9841495377</v>
      </c>
      <c r="I1228" s="2" t="str">
        <f>IFERROR(__xludf.DUMMYFUNCTION("""COMPUTED_VALUE"""),"27o 35' 00""")</f>
        <v>27o 35' 00"</v>
      </c>
      <c r="J1228" s="2" t="str">
        <f>IFERROR(__xludf.DUMMYFUNCTION("""COMPUTED_VALUE"""),"27o 38' 40""")</f>
        <v>27o 38' 40"</v>
      </c>
      <c r="K1228" s="2" t="str">
        <f>IFERROR(__xludf.DUMMYFUNCTION("""COMPUTED_VALUE"""),"86o 53' 57""")</f>
        <v>86o 53' 57"</v>
      </c>
      <c r="L1228" s="2" t="str">
        <f>IFERROR(__xludf.DUMMYFUNCTION("""COMPUTED_VALUE"""),"86o 56' 56""")</f>
        <v>86o 56' 56"</v>
      </c>
      <c r="M1228" s="2" t="str">
        <f>IFERROR(__xludf.DUMMYFUNCTION("""COMPUTED_VALUE"""),"Chheskam (Solukhumbu)")</f>
        <v>Chheskam (Solukhumbu)</v>
      </c>
    </row>
    <row r="1229">
      <c r="A1229" s="2">
        <f>IFERROR(__xludf.DUMMYFUNCTION("""COMPUTED_VALUE"""),1228.0)</f>
        <v>1228</v>
      </c>
      <c r="B1229" s="2" t="str">
        <f>IFERROR(__xludf.DUMMYFUNCTION("""COMPUTED_VALUE"""),"Luja Khola SHP")</f>
        <v>Luja Khola SHP</v>
      </c>
      <c r="C1229" s="2">
        <f>IFERROR(__xludf.DUMMYFUNCTION("""COMPUTED_VALUE"""),0.99)</f>
        <v>0.99</v>
      </c>
      <c r="D1229" s="2" t="str">
        <f>IFERROR(__xludf.DUMMYFUNCTION("""COMPUTED_VALUE"""),"Luja Khola")</f>
        <v>Luja Khola</v>
      </c>
      <c r="E1229" s="2">
        <f>IFERROR(__xludf.DUMMYFUNCTION("""COMPUTED_VALUE"""),448.0)</f>
        <v>448</v>
      </c>
      <c r="F1229" s="3">
        <f>IFERROR(__xludf.DUMMYFUNCTION("""COMPUTED_VALUE"""),60745.0)</f>
        <v>60745</v>
      </c>
      <c r="G1229" s="2" t="str">
        <f>IFERROR(__xludf.DUMMYFUNCTION("""COMPUTED_VALUE"""),"Shiv Prasad Poudel , Rajesh sapkota, Pranil Parajui, Dipa Gautam")</f>
        <v>Shiv Prasad Poudel , Rajesh sapkota, Pranil Parajui, Dipa Gautam</v>
      </c>
      <c r="H1229" s="2" t="str">
        <f>IFERROR(__xludf.DUMMYFUNCTION("""COMPUTED_VALUE"""),"Tel: 9841396470")</f>
        <v>Tel: 9841396470</v>
      </c>
      <c r="I1229" s="2" t="str">
        <f>IFERROR(__xludf.DUMMYFUNCTION("""COMPUTED_VALUE"""),"00o 00' 00""")</f>
        <v>00o 00' 00"</v>
      </c>
      <c r="J1229" s="2" t="str">
        <f>IFERROR(__xludf.DUMMYFUNCTION("""COMPUTED_VALUE"""),"00o 00' 00""")</f>
        <v>00o 00' 00"</v>
      </c>
      <c r="K1229" s="2" t="str">
        <f>IFERROR(__xludf.DUMMYFUNCTION("""COMPUTED_VALUE"""),"00o 00' 00""")</f>
        <v>00o 00' 00"</v>
      </c>
      <c r="L1229" s="2" t="str">
        <f>IFERROR(__xludf.DUMMYFUNCTION("""COMPUTED_VALUE"""),"00o 00' 00""")</f>
        <v>00o 00' 00"</v>
      </c>
      <c r="M1229" s="2" t="str">
        <f>IFERROR(__xludf.DUMMYFUNCTION("""COMPUTED_VALUE"""),"Chaurikharka,Takasindu (Solukhumbu)")</f>
        <v>Chaurikharka,Takasindu (Solukhumbu)</v>
      </c>
    </row>
    <row r="1230">
      <c r="A1230" s="2">
        <f>IFERROR(__xludf.DUMMYFUNCTION("""COMPUTED_VALUE"""),1229.0)</f>
        <v>1229</v>
      </c>
      <c r="B1230" s="2" t="str">
        <f>IFERROR(__xludf.DUMMYFUNCTION("""COMPUTED_VALUE"""),"Khakuwa Khola")</f>
        <v>Khakuwa Khola</v>
      </c>
      <c r="C1230" s="2">
        <f>IFERROR(__xludf.DUMMYFUNCTION("""COMPUTED_VALUE"""),0.975)</f>
        <v>0.975</v>
      </c>
      <c r="D1230" s="2" t="str">
        <f>IFERROR(__xludf.DUMMYFUNCTION("""COMPUTED_VALUE"""),"Khakuwa")</f>
        <v>Khakuwa</v>
      </c>
      <c r="E1230" s="2">
        <f>IFERROR(__xludf.DUMMYFUNCTION("""COMPUTED_VALUE"""),449.0)</f>
        <v>449</v>
      </c>
      <c r="F1230" s="3">
        <f>IFERROR(__xludf.DUMMYFUNCTION("""COMPUTED_VALUE"""),60745.0)</f>
        <v>60745</v>
      </c>
      <c r="G1230" s="2" t="str">
        <f>IFERROR(__xludf.DUMMYFUNCTION("""COMPUTED_VALUE"""),"Biplav Pandey")</f>
        <v>Biplav Pandey</v>
      </c>
      <c r="H1230" s="2" t="str">
        <f>IFERROR(__xludf.DUMMYFUNCTION("""COMPUTED_VALUE"""),"Deurali-7, Bhojpur, Tel: 9841206525")</f>
        <v>Deurali-7, Bhojpur, Tel: 9841206525</v>
      </c>
      <c r="I1230" s="2" t="str">
        <f>IFERROR(__xludf.DUMMYFUNCTION("""COMPUTED_VALUE"""),"27o 19' 20""")</f>
        <v>27o 19' 20"</v>
      </c>
      <c r="J1230" s="2" t="str">
        <f>IFERROR(__xludf.DUMMYFUNCTION("""COMPUTED_VALUE"""),"27o 20' 00""")</f>
        <v>27o 20' 00"</v>
      </c>
      <c r="K1230" s="2" t="str">
        <f>IFERROR(__xludf.DUMMYFUNCTION("""COMPUTED_VALUE"""),"87o 08' 25""")</f>
        <v>87o 08' 25"</v>
      </c>
      <c r="L1230" s="2" t="str">
        <f>IFERROR(__xludf.DUMMYFUNCTION("""COMPUTED_VALUE"""),"87o 11' 25""")</f>
        <v>87o 11' 25"</v>
      </c>
      <c r="M1230" s="2" t="str">
        <f>IFERROR(__xludf.DUMMYFUNCTION("""COMPUTED_VALUE"""),"Deurali,Keurepani (Bhojpur)")</f>
        <v>Deurali,Keurepani (Bhojpur)</v>
      </c>
    </row>
    <row r="1231">
      <c r="A1231" s="2">
        <f>IFERROR(__xludf.DUMMYFUNCTION("""COMPUTED_VALUE"""),1230.0)</f>
        <v>1230</v>
      </c>
      <c r="B1231" s="2" t="str">
        <f>IFERROR(__xludf.DUMMYFUNCTION("""COMPUTED_VALUE"""),"Pa Khola SHP")</f>
        <v>Pa Khola SHP</v>
      </c>
      <c r="C1231" s="2">
        <f>IFERROR(__xludf.DUMMYFUNCTION("""COMPUTED_VALUE"""),0.221)</f>
        <v>0.221</v>
      </c>
      <c r="D1231" s="2" t="str">
        <f>IFERROR(__xludf.DUMMYFUNCTION("""COMPUTED_VALUE"""),"Pa Khola")</f>
        <v>Pa Khola</v>
      </c>
      <c r="E1231" s="2">
        <f>IFERROR(__xludf.DUMMYFUNCTION("""COMPUTED_VALUE"""),456.0)</f>
        <v>456</v>
      </c>
      <c r="F1231" s="3">
        <f>IFERROR(__xludf.DUMMYFUNCTION("""COMPUTED_VALUE"""),60745.0)</f>
        <v>60745</v>
      </c>
      <c r="G1231" s="2" t="str">
        <f>IFERROR(__xludf.DUMMYFUNCTION("""COMPUTED_VALUE"""),"Krishna Bahadur Deshar, Dipendra Bhandari")</f>
        <v>Krishna Bahadur Deshar, Dipendra Bhandari</v>
      </c>
      <c r="H1231" s="2" t="str">
        <f>IFERROR(__xludf.DUMMYFUNCTION("""COMPUTED_VALUE"""),"9851032730, 9851099910")</f>
        <v>9851032730, 9851099910</v>
      </c>
      <c r="I1231" s="2" t="str">
        <f>IFERROR(__xludf.DUMMYFUNCTION("""COMPUTED_VALUE"""),"27o 31' 11""")</f>
        <v>27o 31' 11"</v>
      </c>
      <c r="J1231" s="2" t="str">
        <f>IFERROR(__xludf.DUMMYFUNCTION("""COMPUTED_VALUE"""),"27o 32' 03""")</f>
        <v>27o 32' 03"</v>
      </c>
      <c r="K1231" s="2" t="str">
        <f>IFERROR(__xludf.DUMMYFUNCTION("""COMPUTED_VALUE"""),"85o 15' 09""")</f>
        <v>85o 15' 09"</v>
      </c>
      <c r="L1231" s="2" t="str">
        <f>IFERROR(__xludf.DUMMYFUNCTION("""COMPUTED_VALUE"""),"85o 15' 56""")</f>
        <v>85o 15' 56"</v>
      </c>
      <c r="M1231" s="2" t="str">
        <f>IFERROR(__xludf.DUMMYFUNCTION("""COMPUTED_VALUE"""),"Dhusel (Lalitpur)")</f>
        <v>Dhusel (Lalitpur)</v>
      </c>
    </row>
    <row r="1232">
      <c r="A1232" s="2">
        <f>IFERROR(__xludf.DUMMYFUNCTION("""COMPUTED_VALUE"""),1231.0)</f>
        <v>1231</v>
      </c>
      <c r="B1232" s="2" t="str">
        <f>IFERROR(__xludf.DUMMYFUNCTION("""COMPUTED_VALUE"""),"Bhranyangbhrung Khola SHP")</f>
        <v>Bhranyangbhrung Khola SHP</v>
      </c>
      <c r="C1232" s="2">
        <f>IFERROR(__xludf.DUMMYFUNCTION("""COMPUTED_VALUE"""),0.5)</f>
        <v>0.5</v>
      </c>
      <c r="D1232" s="2" t="str">
        <f>IFERROR(__xludf.DUMMYFUNCTION("""COMPUTED_VALUE"""),"Bhranggbhrung")</f>
        <v>Bhranggbhrung</v>
      </c>
      <c r="E1232" s="2">
        <f>IFERROR(__xludf.DUMMYFUNCTION("""COMPUTED_VALUE"""),459.0)</f>
        <v>459</v>
      </c>
      <c r="F1232" s="3">
        <f>IFERROR(__xludf.DUMMYFUNCTION("""COMPUTED_VALUE"""),60747.0)</f>
        <v>60747</v>
      </c>
      <c r="G1232" s="2" t="str">
        <f>IFERROR(__xludf.DUMMYFUNCTION("""COMPUTED_VALUE"""),"Patapati Hydropower Company Pvt Ltd")</f>
        <v>Patapati Hydropower Company Pvt Ltd</v>
      </c>
      <c r="H1232" s="2" t="str">
        <f>IFERROR(__xludf.DUMMYFUNCTION("""COMPUTED_VALUE"""),"GPO Box: 190999, Kathmandu, Tel; 9841520233,")</f>
        <v>GPO Box: 190999, Kathmandu, Tel; 9841520233,</v>
      </c>
      <c r="I1232" s="2" t="str">
        <f>IFERROR(__xludf.DUMMYFUNCTION("""COMPUTED_VALUE"""),"27o 57' 09""")</f>
        <v>27o 57' 09"</v>
      </c>
      <c r="J1232" s="2" t="str">
        <f>IFERROR(__xludf.DUMMYFUNCTION("""COMPUTED_VALUE"""),"27o 57' 58""")</f>
        <v>27o 57' 58"</v>
      </c>
      <c r="K1232" s="2" t="str">
        <f>IFERROR(__xludf.DUMMYFUNCTION("""COMPUTED_VALUE"""),"85o 00' 31""")</f>
        <v>85o 00' 31"</v>
      </c>
      <c r="L1232" s="2" t="str">
        <f>IFERROR(__xludf.DUMMYFUNCTION("""COMPUTED_VALUE"""),"85o 01' 22""")</f>
        <v>85o 01' 22"</v>
      </c>
      <c r="M1232" s="2" t="str">
        <f>IFERROR(__xludf.DUMMYFUNCTION("""COMPUTED_VALUE"""),"Katunje,Semjong (Dhading)")</f>
        <v>Katunje,Semjong (Dhading)</v>
      </c>
    </row>
    <row r="1233">
      <c r="A1233" s="2">
        <f>IFERROR(__xludf.DUMMYFUNCTION("""COMPUTED_VALUE"""),1232.0)</f>
        <v>1232</v>
      </c>
      <c r="B1233" s="2" t="str">
        <f>IFERROR(__xludf.DUMMYFUNCTION("""COMPUTED_VALUE"""),"Thosne Khola SHP")</f>
        <v>Thosne Khola SHP</v>
      </c>
      <c r="C1233" s="2">
        <f>IFERROR(__xludf.DUMMYFUNCTION("""COMPUTED_VALUE"""),4.25)</f>
        <v>4.25</v>
      </c>
      <c r="D1233" s="2" t="str">
        <f>IFERROR(__xludf.DUMMYFUNCTION("""COMPUTED_VALUE"""),"Thosne")</f>
        <v>Thosne</v>
      </c>
      <c r="E1233" s="2">
        <f>IFERROR(__xludf.DUMMYFUNCTION("""COMPUTED_VALUE"""),500.0)</f>
        <v>500</v>
      </c>
      <c r="F1233" s="3">
        <f>IFERROR(__xludf.DUMMYFUNCTION("""COMPUTED_VALUE"""),60749.0)</f>
        <v>60749</v>
      </c>
      <c r="G1233" s="2" t="str">
        <f>IFERROR(__xludf.DUMMYFUNCTION("""COMPUTED_VALUE"""),"Tundi Power Company")</f>
        <v>Tundi Power Company</v>
      </c>
      <c r="H1233" s="2" t="str">
        <f>IFERROR(__xludf.DUMMYFUNCTION("""COMPUTED_VALUE"""),"Sanepa, Lalitpur, Tel: 5555573, 5548573")</f>
        <v>Sanepa, Lalitpur, Tel: 5555573, 5548573</v>
      </c>
      <c r="I1233" s="2" t="str">
        <f>IFERROR(__xludf.DUMMYFUNCTION("""COMPUTED_VALUE"""),"27o 30' 00""")</f>
        <v>27o 30' 00"</v>
      </c>
      <c r="J1233" s="2" t="str">
        <f>IFERROR(__xludf.DUMMYFUNCTION("""COMPUTED_VALUE"""),"27o 32' 30""")</f>
        <v>27o 32' 30"</v>
      </c>
      <c r="K1233" s="2" t="str">
        <f>IFERROR(__xludf.DUMMYFUNCTION("""COMPUTED_VALUE"""),"85o 18' 20""")</f>
        <v>85o 18' 20"</v>
      </c>
      <c r="L1233" s="2" t="str">
        <f>IFERROR(__xludf.DUMMYFUNCTION("""COMPUTED_VALUE"""),"85o 22' 30""")</f>
        <v>85o 22' 30"</v>
      </c>
      <c r="M1233" s="2" t="str">
        <f>IFERROR(__xludf.DUMMYFUNCTION("""COMPUTED_VALUE"""),"Choughare,Manikhel (Lalitpur)")</f>
        <v>Choughare,Manikhel (Lalitpur)</v>
      </c>
    </row>
    <row r="1234">
      <c r="A1234" s="2">
        <f>IFERROR(__xludf.DUMMYFUNCTION("""COMPUTED_VALUE"""),1233.0)</f>
        <v>1233</v>
      </c>
      <c r="B1234" s="2" t="str">
        <f>IFERROR(__xludf.DUMMYFUNCTION("""COMPUTED_VALUE"""),"Kisedi Khola SHP")</f>
        <v>Kisedi Khola SHP</v>
      </c>
      <c r="C1234" s="2">
        <f>IFERROR(__xludf.DUMMYFUNCTION("""COMPUTED_VALUE"""),0.99)</f>
        <v>0.99</v>
      </c>
      <c r="D1234" s="2" t="str">
        <f>IFERROR(__xludf.DUMMYFUNCTION("""COMPUTED_VALUE"""),"Kisedi Khola")</f>
        <v>Kisedi Khola</v>
      </c>
      <c r="E1234" s="2">
        <f>IFERROR(__xludf.DUMMYFUNCTION("""COMPUTED_VALUE"""),505.0)</f>
        <v>505</v>
      </c>
      <c r="F1234" s="3">
        <f>IFERROR(__xludf.DUMMYFUNCTION("""COMPUTED_VALUE"""),60749.0)</f>
        <v>60749</v>
      </c>
      <c r="G1234" s="2" t="str">
        <f>IFERROR(__xludf.DUMMYFUNCTION("""COMPUTED_VALUE"""),"Kisedi Power Development Company Pvt Ltd")</f>
        <v>Kisedi Power Development Company Pvt Ltd</v>
      </c>
      <c r="H1234" s="2" t="str">
        <f>IFERROR(__xludf.DUMMYFUNCTION("""COMPUTED_VALUE"""),"Anamnagar, Kathmandu")</f>
        <v>Anamnagar, Kathmandu</v>
      </c>
      <c r="I1234" s="2" t="str">
        <f>IFERROR(__xludf.DUMMYFUNCTION("""COMPUTED_VALUE"""),"28o 11' 25""")</f>
        <v>28o 11' 25"</v>
      </c>
      <c r="J1234" s="2" t="str">
        <f>IFERROR(__xludf.DUMMYFUNCTION("""COMPUTED_VALUE"""),"28o 11' 30""")</f>
        <v>28o 11' 30"</v>
      </c>
      <c r="K1234" s="2" t="str">
        <f>IFERROR(__xludf.DUMMYFUNCTION("""COMPUTED_VALUE"""),"84o 28' 07""")</f>
        <v>84o 28' 07"</v>
      </c>
      <c r="L1234" s="2" t="str">
        <f>IFERROR(__xludf.DUMMYFUNCTION("""COMPUTED_VALUE"""),"84o 30' 37""")</f>
        <v>84o 30' 37"</v>
      </c>
      <c r="M1234" s="2" t="str">
        <f>IFERROR(__xludf.DUMMYFUNCTION("""COMPUTED_VALUE"""),"Shree Banjyang (Lamjung)")</f>
        <v>Shree Banjyang (Lamjung)</v>
      </c>
    </row>
    <row r="1235">
      <c r="A1235" s="2">
        <f>IFERROR(__xludf.DUMMYFUNCTION("""COMPUTED_VALUE"""),1234.0)</f>
        <v>1234</v>
      </c>
      <c r="B1235" s="2" t="str">
        <f>IFERROR(__xludf.DUMMYFUNCTION("""COMPUTED_VALUE"""),"Chalban Khola HPP")</f>
        <v>Chalban Khola HPP</v>
      </c>
      <c r="C1235" s="2">
        <f>IFERROR(__xludf.DUMMYFUNCTION("""COMPUTED_VALUE"""),1.887)</f>
        <v>1.887</v>
      </c>
      <c r="D1235" s="2" t="str">
        <f>IFERROR(__xludf.DUMMYFUNCTION("""COMPUTED_VALUE"""),"Chalban")</f>
        <v>Chalban</v>
      </c>
      <c r="E1235" s="2">
        <f>IFERROR(__xludf.DUMMYFUNCTION("""COMPUTED_VALUE"""),523.0)</f>
        <v>523</v>
      </c>
      <c r="F1235" s="3">
        <f>IFERROR(__xludf.DUMMYFUNCTION("""COMPUTED_VALUE"""),60750.0)</f>
        <v>60750</v>
      </c>
      <c r="G1235" s="2" t="str">
        <f>IFERROR(__xludf.DUMMYFUNCTION("""COMPUTED_VALUE"""),"Shree Jayanti Nirman Sewa")</f>
        <v>Shree Jayanti Nirman Sewa</v>
      </c>
      <c r="H1235" s="2" t="str">
        <f>IFERROR(__xludf.DUMMYFUNCTION("""COMPUTED_VALUE"""),"Kathmandu, Nepal Tel: 01-2004622, 14991517")</f>
        <v>Kathmandu, Nepal Tel: 01-2004622, 14991517</v>
      </c>
      <c r="I1235" s="2" t="str">
        <f>IFERROR(__xludf.DUMMYFUNCTION("""COMPUTED_VALUE"""),"28o 22' 30""")</f>
        <v>28o 22' 30"</v>
      </c>
      <c r="J1235" s="2" t="str">
        <f>IFERROR(__xludf.DUMMYFUNCTION("""COMPUTED_VALUE"""),"28o 24' 42""")</f>
        <v>28o 24' 42"</v>
      </c>
      <c r="K1235" s="2" t="str">
        <f>IFERROR(__xludf.DUMMYFUNCTION("""COMPUTED_VALUE"""),"82o 52' 30""")</f>
        <v>82o 52' 30"</v>
      </c>
      <c r="L1235" s="2" t="str">
        <f>IFERROR(__xludf.DUMMYFUNCTION("""COMPUTED_VALUE"""),"82o 53' 53""")</f>
        <v>82o 53' 53"</v>
      </c>
      <c r="M1235" s="2" t="str">
        <f>IFERROR(__xludf.DUMMYFUNCTION("""COMPUTED_VALUE"""),"Gaam (Rolpa)")</f>
        <v>Gaam (Rolpa)</v>
      </c>
    </row>
    <row r="1236">
      <c r="A1236" s="2">
        <f>IFERROR(__xludf.DUMMYFUNCTION("""COMPUTED_VALUE"""),1235.0)</f>
        <v>1235</v>
      </c>
      <c r="B1236" s="2" t="str">
        <f>IFERROR(__xludf.DUMMYFUNCTION("""COMPUTED_VALUE"""),"Bheri Babai Hydroelectric Project")</f>
        <v>Bheri Babai Hydroelectric Project</v>
      </c>
      <c r="C1236" s="2">
        <f>IFERROR(__xludf.DUMMYFUNCTION("""COMPUTED_VALUE"""),48.0)</f>
        <v>48</v>
      </c>
      <c r="D1236" s="2" t="str">
        <f>IFERROR(__xludf.DUMMYFUNCTION("""COMPUTED_VALUE"""),"Bheri")</f>
        <v>Bheri</v>
      </c>
      <c r="E1236" s="2">
        <f>IFERROR(__xludf.DUMMYFUNCTION("""COMPUTED_VALUE"""),527.0)</f>
        <v>527</v>
      </c>
      <c r="F1236" s="3">
        <f>IFERROR(__xludf.DUMMYFUNCTION("""COMPUTED_VALUE"""),60752.0)</f>
        <v>60752</v>
      </c>
      <c r="G1236" s="2" t="str">
        <f>IFERROR(__xludf.DUMMYFUNCTION("""COMPUTED_VALUE"""),"Nepal Everest Power Public Ltd Company and Everest Bank Ltd")</f>
        <v>Nepal Everest Power Public Ltd Company and Everest Bank Ltd</v>
      </c>
      <c r="H1236" s="2" t="str">
        <f>IFERROR(__xludf.DUMMYFUNCTION("""COMPUTED_VALUE"""),"Kathmandu, Nepal Tel: 4221252, 4444004")</f>
        <v>Kathmandu, Nepal Tel: 4221252, 4444004</v>
      </c>
      <c r="I1236" s="2" t="str">
        <f>IFERROR(__xludf.DUMMYFUNCTION("""COMPUTED_VALUE"""),"28o 20' 25""")</f>
        <v>28o 20' 25"</v>
      </c>
      <c r="J1236" s="2" t="str">
        <f>IFERROR(__xludf.DUMMYFUNCTION("""COMPUTED_VALUE"""),"28o 28' 05""")</f>
        <v>28o 28' 05"</v>
      </c>
      <c r="K1236" s="2" t="str">
        <f>IFERROR(__xludf.DUMMYFUNCTION("""COMPUTED_VALUE"""),"81o 41' 40""")</f>
        <v>81o 41' 40"</v>
      </c>
      <c r="L1236" s="2" t="str">
        <f>IFERROR(__xludf.DUMMYFUNCTION("""COMPUTED_VALUE"""),"81o 48' 30""")</f>
        <v>81o 48' 30"</v>
      </c>
      <c r="M1236" s="2" t="str">
        <f>IFERROR(__xludf.DUMMYFUNCTION("""COMPUTED_VALUE"""),"Belawa (Bardiya) Chhinchu,Maintada,Ramghat (Surkhet)")</f>
        <v>Belawa (Bardiya) Chhinchu,Maintada,Ramghat (Surkhet)</v>
      </c>
    </row>
    <row r="1237">
      <c r="A1237" s="2">
        <f>IFERROR(__xludf.DUMMYFUNCTION("""COMPUTED_VALUE"""),1236.0)</f>
        <v>1236</v>
      </c>
      <c r="B1237" s="2" t="str">
        <f>IFERROR(__xludf.DUMMYFUNCTION("""COMPUTED_VALUE"""),"Gadsera gad SHP")</f>
        <v>Gadsera gad SHP</v>
      </c>
      <c r="C1237" s="2">
        <f>IFERROR(__xludf.DUMMYFUNCTION("""COMPUTED_VALUE"""),0.85)</f>
        <v>0.85</v>
      </c>
      <c r="D1237" s="2" t="str">
        <f>IFERROR(__xludf.DUMMYFUNCTION("""COMPUTED_VALUE"""),"Gadsera Gad")</f>
        <v>Gadsera Gad</v>
      </c>
      <c r="E1237" s="2">
        <f>IFERROR(__xludf.DUMMYFUNCTION("""COMPUTED_VALUE"""),537.0)</f>
        <v>537</v>
      </c>
      <c r="F1237" s="3">
        <f>IFERROR(__xludf.DUMMYFUNCTION("""COMPUTED_VALUE"""),60752.0)</f>
        <v>60752</v>
      </c>
      <c r="G1237" s="2" t="str">
        <f>IFERROR(__xludf.DUMMYFUNCTION("""COMPUTED_VALUE"""),"Save Energy Pvt Ltd")</f>
        <v>Save Energy Pvt Ltd</v>
      </c>
      <c r="H1237" s="2" t="str">
        <f>IFERROR(__xludf.DUMMYFUNCTION("""COMPUTED_VALUE"""),"Kathmandu-10, Nepal Tel: 01-4460923")</f>
        <v>Kathmandu-10, Nepal Tel: 01-4460923</v>
      </c>
      <c r="I1237" s="2" t="str">
        <f>IFERROR(__xludf.DUMMYFUNCTION("""COMPUTED_VALUE"""),"29o 06' 01""")</f>
        <v>29o 06' 01"</v>
      </c>
      <c r="J1237" s="2" t="str">
        <f>IFERROR(__xludf.DUMMYFUNCTION("""COMPUTED_VALUE"""),"29o 06' 52""")</f>
        <v>29o 06' 52"</v>
      </c>
      <c r="K1237" s="2" t="str">
        <f>IFERROR(__xludf.DUMMYFUNCTION("""COMPUTED_VALUE"""),"80o 45' 49""")</f>
        <v>80o 45' 49"</v>
      </c>
      <c r="L1237" s="2" t="str">
        <f>IFERROR(__xludf.DUMMYFUNCTION("""COMPUTED_VALUE"""),"80o 46' 53""")</f>
        <v>80o 46' 53"</v>
      </c>
      <c r="M1237" s="2" t="str">
        <f>IFERROR(__xludf.DUMMYFUNCTION("""COMPUTED_VALUE"""),"Barchhen,Nirali (Doti)")</f>
        <v>Barchhen,Nirali (Doti)</v>
      </c>
    </row>
    <row r="1238">
      <c r="A1238" s="2">
        <f>IFERROR(__xludf.DUMMYFUNCTION("""COMPUTED_VALUE"""),1237.0)</f>
        <v>1237</v>
      </c>
      <c r="B1238" s="2" t="str">
        <f>IFERROR(__xludf.DUMMYFUNCTION("""COMPUTED_VALUE"""),"Middle Balephi HPP")</f>
        <v>Middle Balephi HPP</v>
      </c>
      <c r="C1238" s="2">
        <f>IFERROR(__xludf.DUMMYFUNCTION("""COMPUTED_VALUE"""),10.0)</f>
        <v>10</v>
      </c>
      <c r="D1238" s="2" t="str">
        <f>IFERROR(__xludf.DUMMYFUNCTION("""COMPUTED_VALUE"""),"Balephi")</f>
        <v>Balephi</v>
      </c>
      <c r="E1238" s="2">
        <f>IFERROR(__xludf.DUMMYFUNCTION("""COMPUTED_VALUE"""),540.0)</f>
        <v>540</v>
      </c>
      <c r="F1238" s="3">
        <f>IFERROR(__xludf.DUMMYFUNCTION("""COMPUTED_VALUE"""),60752.0)</f>
        <v>60752</v>
      </c>
      <c r="G1238" s="2" t="str">
        <f>IFERROR(__xludf.DUMMYFUNCTION("""COMPUTED_VALUE"""),"Zeal Services Pvt Ltd")</f>
        <v>Zeal Services Pvt Ltd</v>
      </c>
      <c r="H1238" s="2" t="str">
        <f>IFERROR(__xludf.DUMMYFUNCTION("""COMPUTED_VALUE"""),"Kathmandu, Nepal Tel: 4410677")</f>
        <v>Kathmandu, Nepal Tel: 4410677</v>
      </c>
      <c r="I1238" s="2" t="str">
        <f>IFERROR(__xludf.DUMMYFUNCTION("""COMPUTED_VALUE"""),"27o 49' 30""")</f>
        <v>27o 49' 30"</v>
      </c>
      <c r="J1238" s="2" t="str">
        <f>IFERROR(__xludf.DUMMYFUNCTION("""COMPUTED_VALUE"""),"27o 50' 48""")</f>
        <v>27o 50' 48"</v>
      </c>
      <c r="K1238" s="2" t="str">
        <f>IFERROR(__xludf.DUMMYFUNCTION("""COMPUTED_VALUE"""),"85o 45' 30""")</f>
        <v>85o 45' 30"</v>
      </c>
      <c r="L1238" s="2" t="str">
        <f>IFERROR(__xludf.DUMMYFUNCTION("""COMPUTED_VALUE"""),"85o 46' 30""")</f>
        <v>85o 46' 30"</v>
      </c>
      <c r="M1238" s="2" t="str">
        <f>IFERROR(__xludf.DUMMYFUNCTION("""COMPUTED_VALUE"""),"Baramchi,Selang,Jalbire (Sindhupalchok)")</f>
        <v>Baramchi,Selang,Jalbire (Sindhupalchok)</v>
      </c>
    </row>
    <row r="1239">
      <c r="A1239" s="2">
        <f>IFERROR(__xludf.DUMMYFUNCTION("""COMPUTED_VALUE"""),1238.0)</f>
        <v>1238</v>
      </c>
      <c r="B1239" s="2" t="str">
        <f>IFERROR(__xludf.DUMMYFUNCTION("""COMPUTED_VALUE"""),"Selan Balephi HPP")</f>
        <v>Selan Balephi HPP</v>
      </c>
      <c r="C1239" s="2">
        <f>IFERROR(__xludf.DUMMYFUNCTION("""COMPUTED_VALUE"""),8.0)</f>
        <v>8</v>
      </c>
      <c r="D1239" s="2" t="str">
        <f>IFERROR(__xludf.DUMMYFUNCTION("""COMPUTED_VALUE"""),"Balephi")</f>
        <v>Balephi</v>
      </c>
      <c r="E1239" s="2">
        <f>IFERROR(__xludf.DUMMYFUNCTION("""COMPUTED_VALUE"""),541.0)</f>
        <v>541</v>
      </c>
      <c r="F1239" s="2" t="str">
        <f>IFERROR(__xludf.DUMMYFUNCTION("""COMPUTED_VALUE"""),"2066-04-32")</f>
        <v>2066-04-32</v>
      </c>
      <c r="G1239" s="2" t="str">
        <f>IFERROR(__xludf.DUMMYFUNCTION("""COMPUTED_VALUE"""),"Kanchan Urja Pvt Ltd")</f>
        <v>Kanchan Urja Pvt Ltd</v>
      </c>
      <c r="H1239" s="2" t="str">
        <f>IFERROR(__xludf.DUMMYFUNCTION("""COMPUTED_VALUE"""),"Lazimpat, Kathmandu,Tel: 4412308")</f>
        <v>Lazimpat, Kathmandu,Tel: 4412308</v>
      </c>
      <c r="I1239" s="2" t="str">
        <f>IFERROR(__xludf.DUMMYFUNCTION("""COMPUTED_VALUE"""),"27o 49' 30""")</f>
        <v>27o 49' 30"</v>
      </c>
      <c r="J1239" s="2" t="str">
        <f>IFERROR(__xludf.DUMMYFUNCTION("""COMPUTED_VALUE"""),"27o 50' 48""")</f>
        <v>27o 50' 48"</v>
      </c>
      <c r="K1239" s="2" t="str">
        <f>IFERROR(__xludf.DUMMYFUNCTION("""COMPUTED_VALUE"""),"85o 45' 30""")</f>
        <v>85o 45' 30"</v>
      </c>
      <c r="L1239" s="2" t="str">
        <f>IFERROR(__xludf.DUMMYFUNCTION("""COMPUTED_VALUE"""),"85o 46' 30""")</f>
        <v>85o 46' 30"</v>
      </c>
      <c r="M1239" s="2" t="str">
        <f>IFERROR(__xludf.DUMMYFUNCTION("""COMPUTED_VALUE"""),"Selang,Batase (Sindhupalchok)")</f>
        <v>Selang,Batase (Sindhupalchok)</v>
      </c>
    </row>
    <row r="1240">
      <c r="A1240" s="2">
        <f>IFERROR(__xludf.DUMMYFUNCTION("""COMPUTED_VALUE"""),1239.0)</f>
        <v>1239</v>
      </c>
      <c r="B1240" s="2" t="str">
        <f>IFERROR(__xludf.DUMMYFUNCTION("""COMPUTED_VALUE"""),"Rolwaling-2 Khola SHP")</f>
        <v>Rolwaling-2 Khola SHP</v>
      </c>
      <c r="C1240" s="2">
        <f>IFERROR(__xludf.DUMMYFUNCTION("""COMPUTED_VALUE"""),0.98)</f>
        <v>0.98</v>
      </c>
      <c r="D1240" s="2" t="str">
        <f>IFERROR(__xludf.DUMMYFUNCTION("""COMPUTED_VALUE"""),"Rolwaling")</f>
        <v>Rolwaling</v>
      </c>
      <c r="E1240" s="2">
        <f>IFERROR(__xludf.DUMMYFUNCTION("""COMPUTED_VALUE"""),559.0)</f>
        <v>559</v>
      </c>
      <c r="F1240" s="3">
        <f>IFERROR(__xludf.DUMMYFUNCTION("""COMPUTED_VALUE"""),60753.0)</f>
        <v>60753</v>
      </c>
      <c r="G1240" s="2" t="str">
        <f>IFERROR(__xludf.DUMMYFUNCTION("""COMPUTED_VALUE"""),"Glaciers Power Pvt Ltd")</f>
        <v>Glaciers Power Pvt Ltd</v>
      </c>
      <c r="H1240" s="2" t="str">
        <f>IFERROR(__xludf.DUMMYFUNCTION("""COMPUTED_VALUE"""),"Baneswar-10, Kathmandu")</f>
        <v>Baneswar-10, Kathmandu</v>
      </c>
      <c r="I1240" s="2" t="str">
        <f>IFERROR(__xludf.DUMMYFUNCTION("""COMPUTED_VALUE"""),"27o 52' 56""")</f>
        <v>27o 52' 56"</v>
      </c>
      <c r="J1240" s="2" t="str">
        <f>IFERROR(__xludf.DUMMYFUNCTION("""COMPUTED_VALUE"""),"27o 55' 00""")</f>
        <v>27o 55' 00"</v>
      </c>
      <c r="K1240" s="2" t="str">
        <f>IFERROR(__xludf.DUMMYFUNCTION("""COMPUTED_VALUE"""),"86o 15' 09""")</f>
        <v>86o 15' 09"</v>
      </c>
      <c r="L1240" s="2" t="str">
        <f>IFERROR(__xludf.DUMMYFUNCTION("""COMPUTED_VALUE"""),"86o 16' 45""")</f>
        <v>86o 16' 45"</v>
      </c>
      <c r="M1240" s="2" t="str">
        <f>IFERROR(__xludf.DUMMYFUNCTION("""COMPUTED_VALUE"""),"Gauri Sankar (Dolakha)")</f>
        <v>Gauri Sankar (Dolakha)</v>
      </c>
    </row>
    <row r="1241">
      <c r="A1241" s="2">
        <f>IFERROR(__xludf.DUMMYFUNCTION("""COMPUTED_VALUE"""),1240.0)</f>
        <v>1240</v>
      </c>
      <c r="B1241" s="2" t="str">
        <f>IFERROR(__xludf.DUMMYFUNCTION("""COMPUTED_VALUE"""),"Mahadev Khola SHP")</f>
        <v>Mahadev Khola SHP</v>
      </c>
      <c r="C1241" s="2">
        <f>IFERROR(__xludf.DUMMYFUNCTION("""COMPUTED_VALUE"""),0.833)</f>
        <v>0.833</v>
      </c>
      <c r="D1241" s="2" t="str">
        <f>IFERROR(__xludf.DUMMYFUNCTION("""COMPUTED_VALUE"""),"Mahadev")</f>
        <v>Mahadev</v>
      </c>
      <c r="E1241" s="2">
        <f>IFERROR(__xludf.DUMMYFUNCTION("""COMPUTED_VALUE"""),561.0)</f>
        <v>561</v>
      </c>
      <c r="F1241" s="3">
        <f>IFERROR(__xludf.DUMMYFUNCTION("""COMPUTED_VALUE"""),60753.0)</f>
        <v>60753</v>
      </c>
      <c r="G1241" s="2" t="str">
        <f>IFERROR(__xludf.DUMMYFUNCTION("""COMPUTED_VALUE"""),"Navin Koirala")</f>
        <v>Navin Koirala</v>
      </c>
      <c r="H1241" s="2" t="str">
        <f>IFERROR(__xludf.DUMMYFUNCTION("""COMPUTED_VALUE"""),"Pabati-8, Dolkha")</f>
        <v>Pabati-8, Dolkha</v>
      </c>
      <c r="I1241" s="2" t="str">
        <f>IFERROR(__xludf.DUMMYFUNCTION("""COMPUTED_VALUE"""),"27o 57' 10""")</f>
        <v>27o 57' 10"</v>
      </c>
      <c r="J1241" s="2" t="str">
        <f>IFERROR(__xludf.DUMMYFUNCTION("""COMPUTED_VALUE"""),"27o 58' 16""")</f>
        <v>27o 58' 16"</v>
      </c>
      <c r="K1241" s="2" t="str">
        <f>IFERROR(__xludf.DUMMYFUNCTION("""COMPUTED_VALUE"""),"86o 14' 20""")</f>
        <v>86o 14' 20"</v>
      </c>
      <c r="L1241" s="2" t="str">
        <f>IFERROR(__xludf.DUMMYFUNCTION("""COMPUTED_VALUE"""),"86o 15' 36""")</f>
        <v>86o 15' 36"</v>
      </c>
      <c r="M1241" s="2" t="str">
        <f>IFERROR(__xludf.DUMMYFUNCTION("""COMPUTED_VALUE"""),"Gauri Sankar (Dolakha)")</f>
        <v>Gauri Sankar (Dolakha)</v>
      </c>
    </row>
    <row r="1242">
      <c r="A1242" s="2">
        <f>IFERROR(__xludf.DUMMYFUNCTION("""COMPUTED_VALUE"""),1241.0)</f>
        <v>1241</v>
      </c>
      <c r="B1242" s="2" t="str">
        <f>IFERROR(__xludf.DUMMYFUNCTION("""COMPUTED_VALUE"""),"Doti gad SHP")</f>
        <v>Doti gad SHP</v>
      </c>
      <c r="C1242" s="2">
        <f>IFERROR(__xludf.DUMMYFUNCTION("""COMPUTED_VALUE"""),0.999)</f>
        <v>0.999</v>
      </c>
      <c r="D1242" s="2" t="str">
        <f>IFERROR(__xludf.DUMMYFUNCTION("""COMPUTED_VALUE"""),"Doti Gad")</f>
        <v>Doti Gad</v>
      </c>
      <c r="E1242" s="2">
        <f>IFERROR(__xludf.DUMMYFUNCTION("""COMPUTED_VALUE"""),562.0)</f>
        <v>562</v>
      </c>
      <c r="F1242" s="3">
        <f>IFERROR(__xludf.DUMMYFUNCTION("""COMPUTED_VALUE"""),60753.0)</f>
        <v>60753</v>
      </c>
      <c r="G1242" s="2" t="str">
        <f>IFERROR(__xludf.DUMMYFUNCTION("""COMPUTED_VALUE"""),"Anita Joshi")</f>
        <v>Anita Joshi</v>
      </c>
      <c r="H1242" s="2" t="str">
        <f>IFERROR(__xludf.DUMMYFUNCTION("""COMPUTED_VALUE"""),"Mahendra Nagarpalika -6, Kanchanpur")</f>
        <v>Mahendra Nagarpalika -6, Kanchanpur</v>
      </c>
      <c r="I1242" s="2" t="str">
        <f>IFERROR(__xludf.DUMMYFUNCTION("""COMPUTED_VALUE"""),"29o 16' 55""")</f>
        <v>29o 16' 55"</v>
      </c>
      <c r="J1242" s="2" t="str">
        <f>IFERROR(__xludf.DUMMYFUNCTION("""COMPUTED_VALUE"""),"29o 18' 30""")</f>
        <v>29o 18' 30"</v>
      </c>
      <c r="K1242" s="2" t="str">
        <f>IFERROR(__xludf.DUMMYFUNCTION("""COMPUTED_VALUE"""),"80o 30' 00""")</f>
        <v>80o 30' 00"</v>
      </c>
      <c r="L1242" s="2" t="str">
        <f>IFERROR(__xludf.DUMMYFUNCTION("""COMPUTED_VALUE"""),"80o 31' 45""")</f>
        <v>80o 31' 45"</v>
      </c>
      <c r="M1242" s="2" t="str">
        <f>IFERROR(__xludf.DUMMYFUNCTION("""COMPUTED_VALUE"""),"Bagarkot (Dadeldhura)")</f>
        <v>Bagarkot (Dadeldhura)</v>
      </c>
    </row>
    <row r="1243">
      <c r="A1243" s="2">
        <f>IFERROR(__xludf.DUMMYFUNCTION("""COMPUTED_VALUE"""),1242.0)</f>
        <v>1242</v>
      </c>
      <c r="B1243" s="2" t="str">
        <f>IFERROR(__xludf.DUMMYFUNCTION("""COMPUTED_VALUE"""),"Doti gad SHP")</f>
        <v>Doti gad SHP</v>
      </c>
      <c r="C1243" s="2">
        <f>IFERROR(__xludf.DUMMYFUNCTION("""COMPUTED_VALUE"""),0.999)</f>
        <v>0.999</v>
      </c>
      <c r="D1243" s="2" t="str">
        <f>IFERROR(__xludf.DUMMYFUNCTION("""COMPUTED_VALUE"""),"Doti Gad")</f>
        <v>Doti Gad</v>
      </c>
      <c r="E1243" s="2">
        <f>IFERROR(__xludf.DUMMYFUNCTION("""COMPUTED_VALUE"""),563.0)</f>
        <v>563</v>
      </c>
      <c r="F1243" s="3">
        <f>IFERROR(__xludf.DUMMYFUNCTION("""COMPUTED_VALUE"""),60753.0)</f>
        <v>60753</v>
      </c>
      <c r="G1243" s="2" t="str">
        <f>IFERROR(__xludf.DUMMYFUNCTION("""COMPUTED_VALUE"""),"Binju Kumari Jha")</f>
        <v>Binju Kumari Jha</v>
      </c>
      <c r="H1243" s="2" t="str">
        <f>IFERROR(__xludf.DUMMYFUNCTION("""COMPUTED_VALUE"""),"Gaur-8, Rauthat")</f>
        <v>Gaur-8, Rauthat</v>
      </c>
      <c r="I1243" s="2" t="str">
        <f>IFERROR(__xludf.DUMMYFUNCTION("""COMPUTED_VALUE"""),"29o 17' 30""")</f>
        <v>29o 17' 30"</v>
      </c>
      <c r="J1243" s="2" t="str">
        <f>IFERROR(__xludf.DUMMYFUNCTION("""COMPUTED_VALUE"""),"29o 20' 12""")</f>
        <v>29o 20' 12"</v>
      </c>
      <c r="K1243" s="2" t="str">
        <f>IFERROR(__xludf.DUMMYFUNCTION("""COMPUTED_VALUE"""),"80o 26' 13""")</f>
        <v>80o 26' 13"</v>
      </c>
      <c r="L1243" s="2" t="str">
        <f>IFERROR(__xludf.DUMMYFUNCTION("""COMPUTED_VALUE"""),"80o 30' 00""")</f>
        <v>80o 30' 00"</v>
      </c>
      <c r="M1243" s="2" t="str">
        <f>IFERROR(__xludf.DUMMYFUNCTION("""COMPUTED_VALUE"""),"Bagarkot (Dadeldhura)")</f>
        <v>Bagarkot (Dadeldhura)</v>
      </c>
    </row>
    <row r="1244">
      <c r="A1244" s="2">
        <f>IFERROR(__xludf.DUMMYFUNCTION("""COMPUTED_VALUE"""),1243.0)</f>
        <v>1243</v>
      </c>
      <c r="B1244" s="2" t="str">
        <f>IFERROR(__xludf.DUMMYFUNCTION("""COMPUTED_VALUE"""),"Chham Ghat Hydroelectric Project")</f>
        <v>Chham Ghat Hydroelectric Project</v>
      </c>
      <c r="C1244" s="2">
        <f>IFERROR(__xludf.DUMMYFUNCTION("""COMPUTED_VALUE"""),0.83)</f>
        <v>0.83</v>
      </c>
      <c r="D1244" s="2" t="str">
        <f>IFERROR(__xludf.DUMMYFUNCTION("""COMPUTED_VALUE"""),"Chham Gad")</f>
        <v>Chham Gad</v>
      </c>
      <c r="E1244" s="2">
        <f>IFERROR(__xludf.DUMMYFUNCTION("""COMPUTED_VALUE"""),567.0)</f>
        <v>567</v>
      </c>
      <c r="F1244" s="3">
        <f>IFERROR(__xludf.DUMMYFUNCTION("""COMPUTED_VALUE"""),60753.0)</f>
        <v>60753</v>
      </c>
      <c r="G1244" s="2" t="str">
        <f>IFERROR(__xludf.DUMMYFUNCTION("""COMPUTED_VALUE"""),"Chhamghat Hydropower Company Pvt Ltd")</f>
        <v>Chhamghat Hydropower Company Pvt Ltd</v>
      </c>
      <c r="H1244" s="2" t="str">
        <f>IFERROR(__xludf.DUMMYFUNCTION("""COMPUTED_VALUE"""),"Kathmandu Municipality-11, Tripureswar Kathmandu")</f>
        <v>Kathmandu Municipality-11, Tripureswar Kathmandu</v>
      </c>
      <c r="I1244" s="2" t="str">
        <f>IFERROR(__xludf.DUMMYFUNCTION("""COMPUTED_VALUE"""),"28o 55' 44""")</f>
        <v>28o 55' 44"</v>
      </c>
      <c r="J1244" s="2" t="str">
        <f>IFERROR(__xludf.DUMMYFUNCTION("""COMPUTED_VALUE"""),"28o 58' 28""")</f>
        <v>28o 58' 28"</v>
      </c>
      <c r="K1244" s="2" t="str">
        <f>IFERROR(__xludf.DUMMYFUNCTION("""COMPUTED_VALUE"""),"81o 38' 48""")</f>
        <v>81o 38' 48"</v>
      </c>
      <c r="L1244" s="2" t="str">
        <f>IFERROR(__xludf.DUMMYFUNCTION("""COMPUTED_VALUE"""),"81o 42' 30""")</f>
        <v>81o 42' 30"</v>
      </c>
      <c r="M1244" s="2" t="str">
        <f>IFERROR(__xludf.DUMMYFUNCTION("""COMPUTED_VALUE"""),"Kasikandh,Raniban (Dailekh)")</f>
        <v>Kasikandh,Raniban (Dailekh)</v>
      </c>
    </row>
    <row r="1245">
      <c r="A1245" s="2">
        <f>IFERROR(__xludf.DUMMYFUNCTION("""COMPUTED_VALUE"""),1244.0)</f>
        <v>1244</v>
      </c>
      <c r="B1245" s="2" t="str">
        <f>IFERROR(__xludf.DUMMYFUNCTION("""COMPUTED_VALUE"""),"Narja Khola SHP")</f>
        <v>Narja Khola SHP</v>
      </c>
      <c r="C1245" s="2">
        <f>IFERROR(__xludf.DUMMYFUNCTION("""COMPUTED_VALUE"""),0.5)</f>
        <v>0.5</v>
      </c>
      <c r="D1245" s="2" t="str">
        <f>IFERROR(__xludf.DUMMYFUNCTION("""COMPUTED_VALUE"""),"Narja")</f>
        <v>Narja</v>
      </c>
      <c r="E1245" s="2">
        <f>IFERROR(__xludf.DUMMYFUNCTION("""COMPUTED_VALUE"""),569.0)</f>
        <v>569</v>
      </c>
      <c r="F1245" s="3">
        <f>IFERROR(__xludf.DUMMYFUNCTION("""COMPUTED_VALUE"""),60753.0)</f>
        <v>60753</v>
      </c>
      <c r="G1245" s="2" t="str">
        <f>IFERROR(__xludf.DUMMYFUNCTION("""COMPUTED_VALUE"""),"Nagendra Man Pandey")</f>
        <v>Nagendra Man Pandey</v>
      </c>
      <c r="H1245" s="2" t="str">
        <f>IFERROR(__xludf.DUMMYFUNCTION("""COMPUTED_VALUE"""),"Muna VDC-2, Myagdi, Tel: 9851074693, 4363338")</f>
        <v>Muna VDC-2, Myagdi, Tel: 9851074693, 4363338</v>
      </c>
      <c r="I1245" s="2" t="str">
        <f>IFERROR(__xludf.DUMMYFUNCTION("""COMPUTED_VALUE"""),"28o 30' 16""")</f>
        <v>28o 30' 16"</v>
      </c>
      <c r="J1245" s="2" t="str">
        <f>IFERROR(__xludf.DUMMYFUNCTION("""COMPUTED_VALUE"""),"28o 31' 21""")</f>
        <v>28o 31' 21"</v>
      </c>
      <c r="K1245" s="2" t="str">
        <f>IFERROR(__xludf.DUMMYFUNCTION("""COMPUTED_VALUE"""),"83o 15' 87""")</f>
        <v>83o 15' 87"</v>
      </c>
      <c r="L1245" s="2" t="str">
        <f>IFERROR(__xludf.DUMMYFUNCTION("""COMPUTED_VALUE"""),"83o 17' 44""")</f>
        <v>83o 17' 44"</v>
      </c>
      <c r="M1245" s="2" t="str">
        <f>IFERROR(__xludf.DUMMYFUNCTION("""COMPUTED_VALUE"""),"Lulang,Muna (Myagdi)")</f>
        <v>Lulang,Muna (Myagdi)</v>
      </c>
    </row>
    <row r="1246">
      <c r="A1246" s="2">
        <f>IFERROR(__xludf.DUMMYFUNCTION("""COMPUTED_VALUE"""),1245.0)</f>
        <v>1245</v>
      </c>
      <c r="B1246" s="2" t="str">
        <f>IFERROR(__xludf.DUMMYFUNCTION("""COMPUTED_VALUE"""),"Lower Seti-B HPP")</f>
        <v>Lower Seti-B HPP</v>
      </c>
      <c r="C1246" s="2">
        <f>IFERROR(__xludf.DUMMYFUNCTION("""COMPUTED_VALUE"""),9.0)</f>
        <v>9</v>
      </c>
      <c r="D1246" s="2" t="str">
        <f>IFERROR(__xludf.DUMMYFUNCTION("""COMPUTED_VALUE"""),"Seti Khola")</f>
        <v>Seti Khola</v>
      </c>
      <c r="E1246" s="2">
        <f>IFERROR(__xludf.DUMMYFUNCTION("""COMPUTED_VALUE"""),594.0)</f>
        <v>594</v>
      </c>
      <c r="F1246" s="3">
        <f>IFERROR(__xludf.DUMMYFUNCTION("""COMPUTED_VALUE"""),60755.0)</f>
        <v>60755</v>
      </c>
      <c r="G1246" s="2" t="str">
        <f>IFERROR(__xludf.DUMMYFUNCTION("""COMPUTED_VALUE"""),"United Builders and Engineers Pvt Ltd")</f>
        <v>United Builders and Engineers Pvt Ltd</v>
      </c>
      <c r="H1246" s="2" t="str">
        <f>IFERROR(__xludf.DUMMYFUNCTION("""COMPUTED_VALUE"""),"Anamnagar, Kathmandu, Tel: 4770245, Fax: 4771109")</f>
        <v>Anamnagar, Kathmandu, Tel: 4770245, Fax: 4771109</v>
      </c>
      <c r="I1246" s="2" t="str">
        <f>IFERROR(__xludf.DUMMYFUNCTION("""COMPUTED_VALUE"""),"28o 06' 02""")</f>
        <v>28o 06' 02"</v>
      </c>
      <c r="J1246" s="2" t="str">
        <f>IFERROR(__xludf.DUMMYFUNCTION("""COMPUTED_VALUE"""),"28o 08' 11""")</f>
        <v>28o 08' 11"</v>
      </c>
      <c r="K1246" s="2" t="str">
        <f>IFERROR(__xludf.DUMMYFUNCTION("""COMPUTED_VALUE"""),"84o 04' 37""")</f>
        <v>84o 04' 37"</v>
      </c>
      <c r="L1246" s="2" t="str">
        <f>IFERROR(__xludf.DUMMYFUNCTION("""COMPUTED_VALUE"""),"84o 05' 30""")</f>
        <v>84o 05' 30"</v>
      </c>
      <c r="M1246" s="2" t="str">
        <f>IFERROR(__xludf.DUMMYFUNCTION("""COMPUTED_VALUE"""),"Bharatpokhari,Lekhnath (Kaski)")</f>
        <v>Bharatpokhari,Lekhnath (Kaski)</v>
      </c>
    </row>
    <row r="1247">
      <c r="A1247" s="2">
        <f>IFERROR(__xludf.DUMMYFUNCTION("""COMPUTED_VALUE"""),1246.0)</f>
        <v>1246</v>
      </c>
      <c r="B1247" s="2" t="str">
        <f>IFERROR(__xludf.DUMMYFUNCTION("""COMPUTED_VALUE"""),"Pankyu Khola SHP")</f>
        <v>Pankyu Khola SHP</v>
      </c>
      <c r="C1247" s="2">
        <f>IFERROR(__xludf.DUMMYFUNCTION("""COMPUTED_VALUE"""),0.91)</f>
        <v>0.91</v>
      </c>
      <c r="D1247" s="2" t="str">
        <f>IFERROR(__xludf.DUMMYFUNCTION("""COMPUTED_VALUE"""),"Pankyu")</f>
        <v>Pankyu</v>
      </c>
      <c r="E1247" s="2">
        <f>IFERROR(__xludf.DUMMYFUNCTION("""COMPUTED_VALUE"""),603.0)</f>
        <v>603</v>
      </c>
      <c r="F1247" s="3">
        <f>IFERROR(__xludf.DUMMYFUNCTION("""COMPUTED_VALUE"""),60756.0)</f>
        <v>60756</v>
      </c>
      <c r="G1247" s="2" t="str">
        <f>IFERROR(__xludf.DUMMYFUNCTION("""COMPUTED_VALUE"""),"Ranjit Lalchan")</f>
        <v>Ranjit Lalchan</v>
      </c>
      <c r="H1247" s="2" t="str">
        <f>IFERROR(__xludf.DUMMYFUNCTION("""COMPUTED_VALUE"""),"Marpha-1, Mustang Tel; 9841200047,9841273781")</f>
        <v>Marpha-1, Mustang Tel; 9841200047,9841273781</v>
      </c>
      <c r="I1247" s="2" t="str">
        <f>IFERROR(__xludf.DUMMYFUNCTION("""COMPUTED_VALUE"""),"83o 39' 42""")</f>
        <v>83o 39' 42"</v>
      </c>
      <c r="J1247" s="2" t="str">
        <f>IFERROR(__xludf.DUMMYFUNCTION("""COMPUTED_VALUE"""),"83o 42' 12""")</f>
        <v>83o 42' 12"</v>
      </c>
      <c r="K1247" s="2" t="str">
        <f>IFERROR(__xludf.DUMMYFUNCTION("""COMPUTED_VALUE"""),"28o 45' 00""")</f>
        <v>28o 45' 00"</v>
      </c>
      <c r="L1247" s="2" t="str">
        <f>IFERROR(__xludf.DUMMYFUNCTION("""COMPUTED_VALUE"""),"28o 47' 10""")</f>
        <v>28o 47' 10"</v>
      </c>
      <c r="M1247" s="2" t="str">
        <f>IFERROR(__xludf.DUMMYFUNCTION("""COMPUTED_VALUE"""),"Marpha (Mustang)")</f>
        <v>Marpha (Mustang)</v>
      </c>
    </row>
    <row r="1248">
      <c r="A1248" s="2">
        <f>IFERROR(__xludf.DUMMYFUNCTION("""COMPUTED_VALUE"""),1247.0)</f>
        <v>1247</v>
      </c>
      <c r="B1248" s="2" t="str">
        <f>IFERROR(__xludf.DUMMYFUNCTION("""COMPUTED_VALUE"""),"Pharam Khola SHP")</f>
        <v>Pharam Khola SHP</v>
      </c>
      <c r="C1248" s="2">
        <f>IFERROR(__xludf.DUMMYFUNCTION("""COMPUTED_VALUE"""),0.784)</f>
        <v>0.784</v>
      </c>
      <c r="D1248" s="2" t="str">
        <f>IFERROR(__xludf.DUMMYFUNCTION("""COMPUTED_VALUE"""),"Pharam Khola")</f>
        <v>Pharam Khola</v>
      </c>
      <c r="E1248" s="2">
        <f>IFERROR(__xludf.DUMMYFUNCTION("""COMPUTED_VALUE"""),604.0)</f>
        <v>604</v>
      </c>
      <c r="F1248" s="3">
        <f>IFERROR(__xludf.DUMMYFUNCTION("""COMPUTED_VALUE"""),60756.0)</f>
        <v>60756</v>
      </c>
      <c r="G1248" s="2" t="str">
        <f>IFERROR(__xludf.DUMMYFUNCTION("""COMPUTED_VALUE"""),"Ranjit Lalchan")</f>
        <v>Ranjit Lalchan</v>
      </c>
      <c r="H1248" s="2" t="str">
        <f>IFERROR(__xludf.DUMMYFUNCTION("""COMPUTED_VALUE"""),"Marpha-1, Mustang Tel; 9841200047,9841273781")</f>
        <v>Marpha-1, Mustang Tel; 9841200047,9841273781</v>
      </c>
      <c r="I1248" s="2" t="str">
        <f>IFERROR(__xludf.DUMMYFUNCTION("""COMPUTED_VALUE"""),"28o 44' 08""")</f>
        <v>28o 44' 08"</v>
      </c>
      <c r="J1248" s="2" t="str">
        <f>IFERROR(__xludf.DUMMYFUNCTION("""COMPUTED_VALUE"""),"28o 45' 00""")</f>
        <v>28o 45' 00"</v>
      </c>
      <c r="K1248" s="2" t="str">
        <f>IFERROR(__xludf.DUMMYFUNCTION("""COMPUTED_VALUE"""),"83o 40' 00""")</f>
        <v>83o 40' 00"</v>
      </c>
      <c r="L1248" s="2" t="str">
        <f>IFERROR(__xludf.DUMMYFUNCTION("""COMPUTED_VALUE"""),"83o 41' 17""")</f>
        <v>83o 41' 17"</v>
      </c>
      <c r="M1248" s="2" t="str">
        <f>IFERROR(__xludf.DUMMYFUNCTION("""COMPUTED_VALUE"""),"Marpha (Mustang)")</f>
        <v>Marpha (Mustang)</v>
      </c>
    </row>
    <row r="1249">
      <c r="A1249" s="2">
        <f>IFERROR(__xludf.DUMMYFUNCTION("""COMPUTED_VALUE"""),1248.0)</f>
        <v>1248</v>
      </c>
      <c r="B1249" s="2" t="str">
        <f>IFERROR(__xludf.DUMMYFUNCTION("""COMPUTED_VALUE"""),"Bhuji Khola SHP")</f>
        <v>Bhuji Khola SHP</v>
      </c>
      <c r="C1249" s="2">
        <f>IFERROR(__xludf.DUMMYFUNCTION("""COMPUTED_VALUE"""),0.999)</f>
        <v>0.999</v>
      </c>
      <c r="D1249" s="2" t="str">
        <f>IFERROR(__xludf.DUMMYFUNCTION("""COMPUTED_VALUE"""),"Bhuji Khola")</f>
        <v>Bhuji Khola</v>
      </c>
      <c r="E1249" s="2">
        <f>IFERROR(__xludf.DUMMYFUNCTION("""COMPUTED_VALUE"""),605.0)</f>
        <v>605</v>
      </c>
      <c r="F1249" s="3">
        <f>IFERROR(__xludf.DUMMYFUNCTION("""COMPUTED_VALUE"""),60756.0)</f>
        <v>60756</v>
      </c>
      <c r="G1249" s="2" t="str">
        <f>IFERROR(__xludf.DUMMYFUNCTION("""COMPUTED_VALUE"""),"Lil Bahadur Thapa Magar, Omkar Budhamagar")</f>
        <v>Lil Bahadur Thapa Magar, Omkar Budhamagar</v>
      </c>
      <c r="H1249" s="2" t="str">
        <f>IFERROR(__xludf.DUMMYFUNCTION("""COMPUTED_VALUE"""),"Adhikarichaur-5, Baglung Tel: 9857620805, 068-520369, 9841644742")</f>
        <v>Adhikarichaur-5, Baglung Tel: 9857620805, 068-520369, 9841644742</v>
      </c>
      <c r="I1249" s="2" t="str">
        <f>IFERROR(__xludf.DUMMYFUNCTION("""COMPUTED_VALUE"""),"28o 21' 34""")</f>
        <v>28o 21' 34"</v>
      </c>
      <c r="J1249" s="2" t="str">
        <f>IFERROR(__xludf.DUMMYFUNCTION("""COMPUTED_VALUE"""),"28o 22' 58""")</f>
        <v>28o 22' 58"</v>
      </c>
      <c r="K1249" s="2" t="str">
        <f>IFERROR(__xludf.DUMMYFUNCTION("""COMPUTED_VALUE"""),"83o 05' 52""")</f>
        <v>83o 05' 52"</v>
      </c>
      <c r="L1249" s="2" t="str">
        <f>IFERROR(__xludf.DUMMYFUNCTION("""COMPUTED_VALUE"""),"83o 06' 44""")</f>
        <v>83o 06' 44"</v>
      </c>
      <c r="M1249" s="2" t="str">
        <f>IFERROR(__xludf.DUMMYFUNCTION("""COMPUTED_VALUE"""),"Adhikarichaur (Baglung)")</f>
        <v>Adhikarichaur (Baglung)</v>
      </c>
    </row>
    <row r="1250">
      <c r="A1250" s="2">
        <f>IFERROR(__xludf.DUMMYFUNCTION("""COMPUTED_VALUE"""),1249.0)</f>
        <v>1249</v>
      </c>
      <c r="B1250" s="2" t="str">
        <f>IFERROR(__xludf.DUMMYFUNCTION("""COMPUTED_VALUE"""),"Bhuji Khola SHP")</f>
        <v>Bhuji Khola SHP</v>
      </c>
      <c r="C1250" s="2">
        <f>IFERROR(__xludf.DUMMYFUNCTION("""COMPUTED_VALUE"""),0.99)</f>
        <v>0.99</v>
      </c>
      <c r="D1250" s="2" t="str">
        <f>IFERROR(__xludf.DUMMYFUNCTION("""COMPUTED_VALUE"""),"Bhuji Khola")</f>
        <v>Bhuji Khola</v>
      </c>
      <c r="E1250" s="2">
        <f>IFERROR(__xludf.DUMMYFUNCTION("""COMPUTED_VALUE"""),606.0)</f>
        <v>606</v>
      </c>
      <c r="F1250" s="3">
        <f>IFERROR(__xludf.DUMMYFUNCTION("""COMPUTED_VALUE"""),60756.0)</f>
        <v>60756</v>
      </c>
      <c r="G1250" s="2" t="str">
        <f>IFERROR(__xludf.DUMMYFUNCTION("""COMPUTED_VALUE"""),"Lil Bahadur Thapa Magar, Omkar Budhamagar")</f>
        <v>Lil Bahadur Thapa Magar, Omkar Budhamagar</v>
      </c>
      <c r="H1250" s="2" t="str">
        <f>IFERROR(__xludf.DUMMYFUNCTION("""COMPUTED_VALUE"""),"Adhikarichaur-5, Baglung Tel: 9857620805, 068-520369, 9841644742")</f>
        <v>Adhikarichaur-5, Baglung Tel: 9857620805, 068-520369, 9841644742</v>
      </c>
      <c r="I1250" s="2" t="str">
        <f>IFERROR(__xludf.DUMMYFUNCTION("""COMPUTED_VALUE"""),"28o 22' 58""")</f>
        <v>28o 22' 58"</v>
      </c>
      <c r="J1250" s="2" t="str">
        <f>IFERROR(__xludf.DUMMYFUNCTION("""COMPUTED_VALUE"""),"28o 24' 16""")</f>
        <v>28o 24' 16"</v>
      </c>
      <c r="K1250" s="2" t="str">
        <f>IFERROR(__xludf.DUMMYFUNCTION("""COMPUTED_VALUE"""),"83o 05' 00""")</f>
        <v>83o 05' 00"</v>
      </c>
      <c r="L1250" s="2" t="str">
        <f>IFERROR(__xludf.DUMMYFUNCTION("""COMPUTED_VALUE"""),"83o 06' 44""")</f>
        <v>83o 06' 44"</v>
      </c>
      <c r="M1250" s="2" t="str">
        <f>IFERROR(__xludf.DUMMYFUNCTION("""COMPUTED_VALUE"""),"Adhikarichaur,Bowang (Baglung)")</f>
        <v>Adhikarichaur,Bowang (Baglung)</v>
      </c>
    </row>
    <row r="1251">
      <c r="A1251" s="2">
        <f>IFERROR(__xludf.DUMMYFUNCTION("""COMPUTED_VALUE"""),1250.0)</f>
        <v>1250</v>
      </c>
      <c r="B1251" s="2" t="str">
        <f>IFERROR(__xludf.DUMMYFUNCTION("""COMPUTED_VALUE"""),"Gadi Khola SHP")</f>
        <v>Gadi Khola SHP</v>
      </c>
      <c r="C1251" s="2">
        <f>IFERROR(__xludf.DUMMYFUNCTION("""COMPUTED_VALUE"""),0.999)</f>
        <v>0.999</v>
      </c>
      <c r="D1251" s="2" t="str">
        <f>IFERROR(__xludf.DUMMYFUNCTION("""COMPUTED_VALUE"""),"Gadi Khola")</f>
        <v>Gadi Khola</v>
      </c>
      <c r="E1251" s="2">
        <f>IFERROR(__xludf.DUMMYFUNCTION("""COMPUTED_VALUE"""),607.0)</f>
        <v>607</v>
      </c>
      <c r="F1251" s="3">
        <f>IFERROR(__xludf.DUMMYFUNCTION("""COMPUTED_VALUE"""),60756.0)</f>
        <v>60756</v>
      </c>
      <c r="G1251" s="2" t="str">
        <f>IFERROR(__xludf.DUMMYFUNCTION("""COMPUTED_VALUE"""),"Omkar Budhamagar, Lil Bahadur Thapa Magar")</f>
        <v>Omkar Budhamagar, Lil Bahadur Thapa Magar</v>
      </c>
      <c r="H1251" s="2" t="str">
        <f>IFERROR(__xludf.DUMMYFUNCTION("""COMPUTED_VALUE"""),"Adhikarichaur-5, Baglung Tel: 9857620805, 068-520369")</f>
        <v>Adhikarichaur-5, Baglung Tel: 9857620805, 068-520369</v>
      </c>
      <c r="I1251" s="2" t="str">
        <f>IFERROR(__xludf.DUMMYFUNCTION("""COMPUTED_VALUE"""),"28o 22' 58""")</f>
        <v>28o 22' 58"</v>
      </c>
      <c r="J1251" s="2" t="str">
        <f>IFERROR(__xludf.DUMMYFUNCTION("""COMPUTED_VALUE"""),"28o 24' 01""")</f>
        <v>28o 24' 01"</v>
      </c>
      <c r="K1251" s="2" t="str">
        <f>IFERROR(__xludf.DUMMYFUNCTION("""COMPUTED_VALUE"""),"83o 06' 31""")</f>
        <v>83o 06' 31"</v>
      </c>
      <c r="L1251" s="2" t="str">
        <f>IFERROR(__xludf.DUMMYFUNCTION("""COMPUTED_VALUE"""),"83o 07' 03""")</f>
        <v>83o 07' 03"</v>
      </c>
      <c r="M1251" s="2" t="str">
        <f>IFERROR(__xludf.DUMMYFUNCTION("""COMPUTED_VALUE"""),"Adhikarichaur (Baglung)")</f>
        <v>Adhikarichaur (Baglung)</v>
      </c>
    </row>
    <row r="1252">
      <c r="A1252" s="2">
        <f>IFERROR(__xludf.DUMMYFUNCTION("""COMPUTED_VALUE"""),1251.0)</f>
        <v>1251</v>
      </c>
      <c r="B1252" s="2" t="str">
        <f>IFERROR(__xludf.DUMMYFUNCTION("""COMPUTED_VALUE"""),"Tamor Khola HPP")</f>
        <v>Tamor Khola HPP</v>
      </c>
      <c r="C1252" s="2">
        <f>IFERROR(__xludf.DUMMYFUNCTION("""COMPUTED_VALUE"""),20.0)</f>
        <v>20</v>
      </c>
      <c r="D1252" s="2" t="str">
        <f>IFERROR(__xludf.DUMMYFUNCTION("""COMPUTED_VALUE"""),"Tamor")</f>
        <v>Tamor</v>
      </c>
      <c r="E1252" s="2">
        <f>IFERROR(__xludf.DUMMYFUNCTION("""COMPUTED_VALUE"""),616.0)</f>
        <v>616</v>
      </c>
      <c r="F1252" s="3">
        <f>IFERROR(__xludf.DUMMYFUNCTION("""COMPUTED_VALUE"""),60757.0)</f>
        <v>60757</v>
      </c>
      <c r="G1252" s="2" t="str">
        <f>IFERROR(__xludf.DUMMYFUNCTION("""COMPUTED_VALUE"""),"Bhakta Bahadur Katuwal, Yuvraj Karki")</f>
        <v>Bhakta Bahadur Katuwal, Yuvraj Karki</v>
      </c>
      <c r="H1252" s="2" t="str">
        <f>IFERROR(__xludf.DUMMYFUNCTION("""COMPUTED_VALUE"""),"Pyauli Bazaar, Bhojpur")</f>
        <v>Pyauli Bazaar, Bhojpur</v>
      </c>
      <c r="I1252" s="2" t="str">
        <f>IFERROR(__xludf.DUMMYFUNCTION("""COMPUTED_VALUE"""),"27o 11' 55""")</f>
        <v>27o 11' 55"</v>
      </c>
      <c r="J1252" s="2" t="str">
        <f>IFERROR(__xludf.DUMMYFUNCTION("""COMPUTED_VALUE"""),"27o 15' 30""")</f>
        <v>27o 15' 30"</v>
      </c>
      <c r="K1252" s="2" t="str">
        <f>IFERROR(__xludf.DUMMYFUNCTION("""COMPUTED_VALUE"""),"87o 41' 35""")</f>
        <v>87o 41' 35"</v>
      </c>
      <c r="L1252" s="2" t="str">
        <f>IFERROR(__xludf.DUMMYFUNCTION("""COMPUTED_VALUE"""),"87o 45' 08""")</f>
        <v>87o 45' 08"</v>
      </c>
      <c r="M1252" s="2" t="str">
        <f>IFERROR(__xludf.DUMMYFUNCTION("""COMPUTED_VALUE"""),"Chhate Dhunga (Terhathum)")</f>
        <v>Chhate Dhunga (Terhathum)</v>
      </c>
    </row>
    <row r="1253">
      <c r="A1253" s="2">
        <f>IFERROR(__xludf.DUMMYFUNCTION("""COMPUTED_VALUE"""),1252.0)</f>
        <v>1252</v>
      </c>
      <c r="B1253" s="2" t="str">
        <f>IFERROR(__xludf.DUMMYFUNCTION("""COMPUTED_VALUE"""),"Upper Daram Khola-B HPP")</f>
        <v>Upper Daram Khola-B HPP</v>
      </c>
      <c r="C1253" s="2">
        <f>IFERROR(__xludf.DUMMYFUNCTION("""COMPUTED_VALUE"""),5.65)</f>
        <v>5.65</v>
      </c>
      <c r="D1253" s="2" t="str">
        <f>IFERROR(__xludf.DUMMYFUNCTION("""COMPUTED_VALUE"""),"Daram")</f>
        <v>Daram</v>
      </c>
      <c r="E1253" s="2">
        <f>IFERROR(__xludf.DUMMYFUNCTION("""COMPUTED_VALUE"""),694.0)</f>
        <v>694</v>
      </c>
      <c r="F1253" s="3">
        <f>IFERROR(__xludf.DUMMYFUNCTION("""COMPUTED_VALUE"""),60762.0)</f>
        <v>60762</v>
      </c>
      <c r="G1253" s="2" t="str">
        <f>IFERROR(__xludf.DUMMYFUNCTION("""COMPUTED_VALUE"""),"Galkot Hydropower Pvt Ltd")</f>
        <v>Galkot Hydropower Pvt Ltd</v>
      </c>
      <c r="H1253" s="2" t="str">
        <f>IFERROR(__xludf.DUMMYFUNCTION("""COMPUTED_VALUE"""),"Bhotebahal, Kathmandu Tel: 4253149")</f>
        <v>Bhotebahal, Kathmandu Tel: 4253149</v>
      </c>
      <c r="I1253" s="2" t="str">
        <f>IFERROR(__xludf.DUMMYFUNCTION("""COMPUTED_VALUE"""),"28o 11' 57""")</f>
        <v>28o 11' 57"</v>
      </c>
      <c r="J1253" s="2" t="str">
        <f>IFERROR(__xludf.DUMMYFUNCTION("""COMPUTED_VALUE"""),"28o 13' 03""")</f>
        <v>28o 13' 03"</v>
      </c>
      <c r="K1253" s="2" t="str">
        <f>IFERROR(__xludf.DUMMYFUNCTION("""COMPUTED_VALUE"""),"83o 22' 17""")</f>
        <v>83o 22' 17"</v>
      </c>
      <c r="L1253" s="2" t="str">
        <f>IFERROR(__xludf.DUMMYFUNCTION("""COMPUTED_VALUE"""),"83o 25' 25""")</f>
        <v>83o 25' 25"</v>
      </c>
      <c r="M1253" s="2" t="str">
        <f>IFERROR(__xludf.DUMMYFUNCTION("""COMPUTED_VALUE"""),"Hatiya,Harichaur,Kandebas (Baglung)")</f>
        <v>Hatiya,Harichaur,Kandebas (Baglung)</v>
      </c>
    </row>
    <row r="1254">
      <c r="A1254" s="2">
        <f>IFERROR(__xludf.DUMMYFUNCTION("""COMPUTED_VALUE"""),1253.0)</f>
        <v>1253</v>
      </c>
      <c r="B1254" s="2" t="str">
        <f>IFERROR(__xludf.DUMMYFUNCTION("""COMPUTED_VALUE"""),"Seti-Trishuli Hydroelectric Project")</f>
        <v>Seti-Trishuli Hydroelectric Project</v>
      </c>
      <c r="C1254" s="2">
        <f>IFERROR(__xludf.DUMMYFUNCTION("""COMPUTED_VALUE"""),30.0)</f>
        <v>30</v>
      </c>
      <c r="D1254" s="2" t="str">
        <f>IFERROR(__xludf.DUMMYFUNCTION("""COMPUTED_VALUE"""),"Seti Khola")</f>
        <v>Seti Khola</v>
      </c>
      <c r="E1254" s="2">
        <f>IFERROR(__xludf.DUMMYFUNCTION("""COMPUTED_VALUE"""),706.0)</f>
        <v>706</v>
      </c>
      <c r="F1254" s="3">
        <f>IFERROR(__xludf.DUMMYFUNCTION("""COMPUTED_VALUE"""),60762.0)</f>
        <v>60762</v>
      </c>
      <c r="G1254" s="2" t="str">
        <f>IFERROR(__xludf.DUMMYFUNCTION("""COMPUTED_VALUE"""),"Chhimkeshwari Hydropower Pvt Ltd")</f>
        <v>Chhimkeshwari Hydropower Pvt Ltd</v>
      </c>
      <c r="H1254" s="2" t="str">
        <f>IFERROR(__xludf.DUMMYFUNCTION("""COMPUTED_VALUE"""),"GPO Box: 2838, Kathmandu, Tel: 4492860")</f>
        <v>GPO Box: 2838, Kathmandu, Tel: 4492860</v>
      </c>
      <c r="I1254" s="2" t="str">
        <f>IFERROR(__xludf.DUMMYFUNCTION("""COMPUTED_VALUE"""),"27o 48' 07""")</f>
        <v>27o 48' 07"</v>
      </c>
      <c r="J1254" s="2" t="str">
        <f>IFERROR(__xludf.DUMMYFUNCTION("""COMPUTED_VALUE"""),"27o 51' 15""")</f>
        <v>27o 51' 15"</v>
      </c>
      <c r="K1254" s="2" t="str">
        <f>IFERROR(__xludf.DUMMYFUNCTION("""COMPUTED_VALUE"""),"84o 25' 00""")</f>
        <v>84o 25' 00"</v>
      </c>
      <c r="L1254" s="2" t="str">
        <f>IFERROR(__xludf.DUMMYFUNCTION("""COMPUTED_VALUE"""),"84o 27' 30""")</f>
        <v>84o 27' 30"</v>
      </c>
      <c r="M1254" s="2" t="str">
        <f>IFERROR(__xludf.DUMMYFUNCTION("""COMPUTED_VALUE"""),"Deurali,Chhimkeswori,Devghat (Tanahu)")</f>
        <v>Deurali,Chhimkeswori,Devghat (Tanahu)</v>
      </c>
    </row>
    <row r="1255">
      <c r="A1255" s="2">
        <f>IFERROR(__xludf.DUMMYFUNCTION("""COMPUTED_VALUE"""),1254.0)</f>
        <v>1254</v>
      </c>
      <c r="B1255" s="2" t="str">
        <f>IFERROR(__xludf.DUMMYFUNCTION("""COMPUTED_VALUE"""),"Midhi Khola HPP")</f>
        <v>Midhi Khola HPP</v>
      </c>
      <c r="C1255" s="2">
        <f>IFERROR(__xludf.DUMMYFUNCTION("""COMPUTED_VALUE"""),1.3)</f>
        <v>1.3</v>
      </c>
      <c r="D1255" s="2" t="str">
        <f>IFERROR(__xludf.DUMMYFUNCTION("""COMPUTED_VALUE"""),"Midhi")</f>
        <v>Midhi</v>
      </c>
      <c r="E1255" s="2">
        <f>IFERROR(__xludf.DUMMYFUNCTION("""COMPUTED_VALUE"""),708.0)</f>
        <v>708</v>
      </c>
      <c r="F1255" s="3">
        <f>IFERROR(__xludf.DUMMYFUNCTION("""COMPUTED_VALUE"""),60762.0)</f>
        <v>60762</v>
      </c>
      <c r="G1255" s="2" t="str">
        <f>IFERROR(__xludf.DUMMYFUNCTION("""COMPUTED_VALUE"""),"North East Power Projec t Pvt Ltd")</f>
        <v>North East Power Projec t Pvt Ltd</v>
      </c>
      <c r="H1255" s="2" t="str">
        <f>IFERROR(__xludf.DUMMYFUNCTION("""COMPUTED_VALUE"""),"Lalitpur, Tel; 2314132")</f>
        <v>Lalitpur, Tel; 2314132</v>
      </c>
      <c r="I1255" s="2" t="str">
        <f>IFERROR(__xludf.DUMMYFUNCTION("""COMPUTED_VALUE"""),"28o 06' 28""")</f>
        <v>28o 06' 28"</v>
      </c>
      <c r="J1255" s="2" t="str">
        <f>IFERROR(__xludf.DUMMYFUNCTION("""COMPUTED_VALUE"""),"28o 08' 48""")</f>
        <v>28o 08' 48"</v>
      </c>
      <c r="K1255" s="2" t="str">
        <f>IFERROR(__xludf.DUMMYFUNCTION("""COMPUTED_VALUE"""),"83o 23' 18""")</f>
        <v>83o 23' 18"</v>
      </c>
      <c r="L1255" s="2" t="str">
        <f>IFERROR(__xludf.DUMMYFUNCTION("""COMPUTED_VALUE"""),"83o 25' 09""")</f>
        <v>83o 25' 09"</v>
      </c>
      <c r="M1255" s="2" t="str">
        <f>IFERROR(__xludf.DUMMYFUNCTION("""COMPUTED_VALUE"""),"Dirbung,Bisukharka,Harrachaur (Gulmi)")</f>
        <v>Dirbung,Bisukharka,Harrachaur (Gulmi)</v>
      </c>
    </row>
    <row r="1256">
      <c r="A1256" s="2">
        <f>IFERROR(__xludf.DUMMYFUNCTION("""COMPUTED_VALUE"""),1255.0)</f>
        <v>1255</v>
      </c>
      <c r="B1256" s="2" t="str">
        <f>IFERROR(__xludf.DUMMYFUNCTION("""COMPUTED_VALUE"""),"Lungri Khola SHP")</f>
        <v>Lungri Khola SHP</v>
      </c>
      <c r="C1256" s="2">
        <f>IFERROR(__xludf.DUMMYFUNCTION("""COMPUTED_VALUE"""),0.68)</f>
        <v>0.68</v>
      </c>
      <c r="D1256" s="2" t="str">
        <f>IFERROR(__xludf.DUMMYFUNCTION("""COMPUTED_VALUE"""),"Lungri")</f>
        <v>Lungri</v>
      </c>
      <c r="E1256" s="2">
        <f>IFERROR(__xludf.DUMMYFUNCTION("""COMPUTED_VALUE"""),849.0)</f>
        <v>849</v>
      </c>
      <c r="F1256" s="3">
        <f>IFERROR(__xludf.DUMMYFUNCTION("""COMPUTED_VALUE"""),60763.0)</f>
        <v>60763</v>
      </c>
      <c r="G1256" s="2" t="str">
        <f>IFERROR(__xludf.DUMMYFUNCTION("""COMPUTED_VALUE"""),"Divas Basnyat")</f>
        <v>Divas Basnyat</v>
      </c>
      <c r="H1256" s="2" t="str">
        <f>IFERROR(__xludf.DUMMYFUNCTION("""COMPUTED_VALUE"""),"Kathmandu Municipality-9, Battisputli, Kathmandu")</f>
        <v>Kathmandu Municipality-9, Battisputli, Kathmandu</v>
      </c>
      <c r="I1256" s="2" t="str">
        <f>IFERROR(__xludf.DUMMYFUNCTION("""COMPUTED_VALUE"""),"28o 20' 54""")</f>
        <v>28o 20' 54"</v>
      </c>
      <c r="J1256" s="2" t="str">
        <f>IFERROR(__xludf.DUMMYFUNCTION("""COMPUTED_VALUE"""),"28o 22' 30""")</f>
        <v>28o 22' 30"</v>
      </c>
      <c r="K1256" s="2" t="str">
        <f>IFERROR(__xludf.DUMMYFUNCTION("""COMPUTED_VALUE"""),"82o 48' 54""")</f>
        <v>82o 48' 54"</v>
      </c>
      <c r="L1256" s="2" t="str">
        <f>IFERROR(__xludf.DUMMYFUNCTION("""COMPUTED_VALUE"""),"82o 51' 26""")</f>
        <v>82o 51' 26"</v>
      </c>
      <c r="M1256" s="2" t="str">
        <f>IFERROR(__xludf.DUMMYFUNCTION("""COMPUTED_VALUE"""),"Gaam,Seram (Rolpa)")</f>
        <v>Gaam,Seram (Rolpa)</v>
      </c>
    </row>
    <row r="1257">
      <c r="A1257" s="2">
        <f>IFERROR(__xludf.DUMMYFUNCTION("""COMPUTED_VALUE"""),1256.0)</f>
        <v>1256</v>
      </c>
      <c r="B1257" s="2" t="str">
        <f>IFERROR(__xludf.DUMMYFUNCTION("""COMPUTED_VALUE"""),"Uttar GangaB HPP")</f>
        <v>Uttar GangaB HPP</v>
      </c>
      <c r="C1257" s="2">
        <f>IFERROR(__xludf.DUMMYFUNCTION("""COMPUTED_VALUE"""),8.0)</f>
        <v>8</v>
      </c>
      <c r="D1257" s="2" t="str">
        <f>IFERROR(__xludf.DUMMYFUNCTION("""COMPUTED_VALUE"""),"Uttar ganga")</f>
        <v>Uttar ganga</v>
      </c>
      <c r="E1257" s="2">
        <f>IFERROR(__xludf.DUMMYFUNCTION("""COMPUTED_VALUE"""),852.0)</f>
        <v>852</v>
      </c>
      <c r="F1257" s="3">
        <f>IFERROR(__xludf.DUMMYFUNCTION("""COMPUTED_VALUE"""),60763.0)</f>
        <v>60763</v>
      </c>
      <c r="G1257" s="2" t="str">
        <f>IFERROR(__xludf.DUMMYFUNCTION("""COMPUTED_VALUE"""),"Lil Bahadur Thapa Magar, C.D. Sharma , Sabitri Sharma, Laxmi Devi KC, C.B. 
Karki")</f>
        <v>Lil Bahadur Thapa Magar, C.D. Sharma , Sabitri Sharma, Laxmi Devi KC, C.B. 
Karki</v>
      </c>
      <c r="H1257" s="2"/>
      <c r="I1257" s="2" t="str">
        <f>IFERROR(__xludf.DUMMYFUNCTION("""COMPUTED_VALUE"""),"28o 30' 40""")</f>
        <v>28o 30' 40"</v>
      </c>
      <c r="J1257" s="2" t="str">
        <f>IFERROR(__xludf.DUMMYFUNCTION("""COMPUTED_VALUE"""),"28o 35' 00""")</f>
        <v>28o 35' 00"</v>
      </c>
      <c r="K1257" s="2" t="str">
        <f>IFERROR(__xludf.DUMMYFUNCTION("""COMPUTED_VALUE"""),"82o 50' 00""")</f>
        <v>82o 50' 00"</v>
      </c>
      <c r="L1257" s="2" t="str">
        <f>IFERROR(__xludf.DUMMYFUNCTION("""COMPUTED_VALUE"""),"82o 55' 12""")</f>
        <v>82o 55' 12"</v>
      </c>
      <c r="M1257" s="2" t="str">
        <f>IFERROR(__xludf.DUMMYFUNCTION("""COMPUTED_VALUE"""),"Nisi (Baglung) Taksera (Rukum)")</f>
        <v>Nisi (Baglung) Taksera (Rukum)</v>
      </c>
    </row>
    <row r="1258">
      <c r="A1258" s="2">
        <f>IFERROR(__xludf.DUMMYFUNCTION("""COMPUTED_VALUE"""),1257.0)</f>
        <v>1257</v>
      </c>
      <c r="B1258" s="2" t="str">
        <f>IFERROR(__xludf.DUMMYFUNCTION("""COMPUTED_VALUE"""),"Uttar Ganga A HPP")</f>
        <v>Uttar Ganga A HPP</v>
      </c>
      <c r="C1258" s="2">
        <f>IFERROR(__xludf.DUMMYFUNCTION("""COMPUTED_VALUE"""),5.0)</f>
        <v>5</v>
      </c>
      <c r="D1258" s="2" t="str">
        <f>IFERROR(__xludf.DUMMYFUNCTION("""COMPUTED_VALUE"""),"Uttar ganga")</f>
        <v>Uttar ganga</v>
      </c>
      <c r="E1258" s="2">
        <f>IFERROR(__xludf.DUMMYFUNCTION("""COMPUTED_VALUE"""),853.0)</f>
        <v>853</v>
      </c>
      <c r="F1258" s="3">
        <f>IFERROR(__xludf.DUMMYFUNCTION("""COMPUTED_VALUE"""),60763.0)</f>
        <v>60763</v>
      </c>
      <c r="G1258" s="2" t="str">
        <f>IFERROR(__xludf.DUMMYFUNCTION("""COMPUTED_VALUE"""),"Lil Bahadur Thapa Magar, C.D. Sharma , Sabitri Sharma, Laxmi Devi KC, C.B. 
Karki")</f>
        <v>Lil Bahadur Thapa Magar, C.D. Sharma , Sabitri Sharma, Laxmi Devi KC, C.B. 
Karki</v>
      </c>
      <c r="H1258" s="2" t="str">
        <f>IFERROR(__xludf.DUMMYFUNCTION("""COMPUTED_VALUE"""),"Payupata-4, Baglung Tel: 9841365234")</f>
        <v>Payupata-4, Baglung Tel: 9841365234</v>
      </c>
      <c r="I1258" s="2" t="str">
        <f>IFERROR(__xludf.DUMMYFUNCTION("""COMPUTED_VALUE"""),"28o 30' 00""")</f>
        <v>28o 30' 00"</v>
      </c>
      <c r="J1258" s="2" t="str">
        <f>IFERROR(__xludf.DUMMYFUNCTION("""COMPUTED_VALUE"""),"28o 31' 18""")</f>
        <v>28o 31' 18"</v>
      </c>
      <c r="K1258" s="2" t="str">
        <f>IFERROR(__xludf.DUMMYFUNCTION("""COMPUTED_VALUE"""),"82o 55' 12""")</f>
        <v>82o 55' 12"</v>
      </c>
      <c r="L1258" s="2" t="str">
        <f>IFERROR(__xludf.DUMMYFUNCTION("""COMPUTED_VALUE"""),"83o 00' 32""")</f>
        <v>83o 00' 32"</v>
      </c>
      <c r="M1258" s="2" t="str">
        <f>IFERROR(__xludf.DUMMYFUNCTION("""COMPUTED_VALUE"""),"Bowang,Nisi (Baglung)")</f>
        <v>Bowang,Nisi (Baglung)</v>
      </c>
    </row>
    <row r="1259">
      <c r="A1259" s="2">
        <f>IFERROR(__xludf.DUMMYFUNCTION("""COMPUTED_VALUE"""),1258.0)</f>
        <v>1258</v>
      </c>
      <c r="B1259" s="2" t="str">
        <f>IFERROR(__xludf.DUMMYFUNCTION("""COMPUTED_VALUE"""),"Uttar Ganga HPP")</f>
        <v>Uttar Ganga HPP</v>
      </c>
      <c r="C1259" s="2">
        <f>IFERROR(__xludf.DUMMYFUNCTION("""COMPUTED_VALUE"""),2.5)</f>
        <v>2.5</v>
      </c>
      <c r="D1259" s="2" t="str">
        <f>IFERROR(__xludf.DUMMYFUNCTION("""COMPUTED_VALUE"""),"Uttar ganga")</f>
        <v>Uttar ganga</v>
      </c>
      <c r="E1259" s="2">
        <f>IFERROR(__xludf.DUMMYFUNCTION("""COMPUTED_VALUE"""),854.0)</f>
        <v>854</v>
      </c>
      <c r="F1259" s="3">
        <f>IFERROR(__xludf.DUMMYFUNCTION("""COMPUTED_VALUE"""),60763.0)</f>
        <v>60763</v>
      </c>
      <c r="G1259" s="2" t="str">
        <f>IFERROR(__xludf.DUMMYFUNCTION("""COMPUTED_VALUE"""),"Lil Bahadur Thapa Magar, C.D. Sharma , Sabitri Sharma, Laxmi Devi KC, C.B. 
Karki")</f>
        <v>Lil Bahadur Thapa Magar, C.D. Sharma , Sabitri Sharma, Laxmi Devi KC, C.B. 
Karki</v>
      </c>
      <c r="H1259" s="2" t="str">
        <f>IFERROR(__xludf.DUMMYFUNCTION("""COMPUTED_VALUE"""),"Payupata-4, Baglung Tel: 9841365234")</f>
        <v>Payupata-4, Baglung Tel: 9841365234</v>
      </c>
      <c r="I1259" s="2" t="str">
        <f>IFERROR(__xludf.DUMMYFUNCTION("""COMPUTED_VALUE"""),"28o 29' 07""")</f>
        <v>28o 29' 07"</v>
      </c>
      <c r="J1259" s="2" t="str">
        <f>IFERROR(__xludf.DUMMYFUNCTION("""COMPUTED_VALUE"""),"28o 30' 02""")</f>
        <v>28o 30' 02"</v>
      </c>
      <c r="K1259" s="2" t="str">
        <f>IFERROR(__xludf.DUMMYFUNCTION("""COMPUTED_VALUE"""),"83o 05' 00""")</f>
        <v>83o 05' 00"</v>
      </c>
      <c r="L1259" s="2" t="str">
        <f>IFERROR(__xludf.DUMMYFUNCTION("""COMPUTED_VALUE"""),"83o 09' 10""")</f>
        <v>83o 09' 10"</v>
      </c>
      <c r="M1259" s="2" t="str">
        <f>IFERROR(__xludf.DUMMYFUNCTION("""COMPUTED_VALUE"""),"Adhikarichaur,Bowang (Baglung) Lulang (Myagdi)")</f>
        <v>Adhikarichaur,Bowang (Baglung) Lulang (Myagdi)</v>
      </c>
    </row>
    <row r="1260">
      <c r="A1260" s="2">
        <f>IFERROR(__xludf.DUMMYFUNCTION("""COMPUTED_VALUE"""),1259.0)</f>
        <v>1259</v>
      </c>
      <c r="B1260" s="2" t="str">
        <f>IFERROR(__xludf.DUMMYFUNCTION("""COMPUTED_VALUE"""),"Mayun Khola SHP")</f>
        <v>Mayun Khola SHP</v>
      </c>
      <c r="C1260" s="2">
        <f>IFERROR(__xludf.DUMMYFUNCTION("""COMPUTED_VALUE"""),0.75)</f>
        <v>0.75</v>
      </c>
      <c r="D1260" s="2" t="str">
        <f>IFERROR(__xludf.DUMMYFUNCTION("""COMPUTED_VALUE"""),"Mayun")</f>
        <v>Mayun</v>
      </c>
      <c r="E1260" s="2">
        <f>IFERROR(__xludf.DUMMYFUNCTION("""COMPUTED_VALUE"""),870.0)</f>
        <v>870</v>
      </c>
      <c r="F1260" s="3">
        <f>IFERROR(__xludf.DUMMYFUNCTION("""COMPUTED_VALUE"""),60764.0)</f>
        <v>60764</v>
      </c>
      <c r="G1260" s="2" t="str">
        <f>IFERROR(__xludf.DUMMYFUNCTION("""COMPUTED_VALUE"""),"Janak Lal Syabo")</f>
        <v>Janak Lal Syabo</v>
      </c>
      <c r="H1260" s="2" t="str">
        <f>IFERROR(__xludf.DUMMYFUNCTION("""COMPUTED_VALUE"""),"Golche, Sindhupalchowk, Tel: 9741012944")</f>
        <v>Golche, Sindhupalchowk, Tel: 9741012944</v>
      </c>
      <c r="I1260" s="2" t="str">
        <f>IFERROR(__xludf.DUMMYFUNCTION("""COMPUTED_VALUE"""),"27o 55' 24""")</f>
        <v>27o 55' 24"</v>
      </c>
      <c r="J1260" s="2" t="str">
        <f>IFERROR(__xludf.DUMMYFUNCTION("""COMPUTED_VALUE"""),"27o 56' 30""")</f>
        <v>27o 56' 30"</v>
      </c>
      <c r="K1260" s="2" t="str">
        <f>IFERROR(__xludf.DUMMYFUNCTION("""COMPUTED_VALUE"""),"85o 45' 06""")</f>
        <v>85o 45' 06"</v>
      </c>
      <c r="L1260" s="2" t="str">
        <f>IFERROR(__xludf.DUMMYFUNCTION("""COMPUTED_VALUE"""),"85o 46' 08""")</f>
        <v>85o 46' 08"</v>
      </c>
      <c r="M1260" s="2" t="str">
        <f>IFERROR(__xludf.DUMMYFUNCTION("""COMPUTED_VALUE"""),"Golche (Sindhupalchok)")</f>
        <v>Golche (Sindhupalchok)</v>
      </c>
    </row>
    <row r="1261">
      <c r="A1261" s="2">
        <f>IFERROR(__xludf.DUMMYFUNCTION("""COMPUTED_VALUE"""),1260.0)</f>
        <v>1260</v>
      </c>
      <c r="B1261" s="2" t="str">
        <f>IFERROR(__xludf.DUMMYFUNCTION("""COMPUTED_VALUE"""),"Ram Gad SHP")</f>
        <v>Ram Gad SHP</v>
      </c>
      <c r="C1261" s="2">
        <f>IFERROR(__xludf.DUMMYFUNCTION("""COMPUTED_VALUE"""),0.85)</f>
        <v>0.85</v>
      </c>
      <c r="D1261" s="2" t="str">
        <f>IFERROR(__xludf.DUMMYFUNCTION("""COMPUTED_VALUE"""),"Ram gad")</f>
        <v>Ram gad</v>
      </c>
      <c r="E1261" s="2">
        <f>IFERROR(__xludf.DUMMYFUNCTION("""COMPUTED_VALUE"""),906.0)</f>
        <v>906</v>
      </c>
      <c r="F1261" s="3">
        <f>IFERROR(__xludf.DUMMYFUNCTION("""COMPUTED_VALUE"""),60767.0)</f>
        <v>60767</v>
      </c>
      <c r="G1261" s="2" t="str">
        <f>IFERROR(__xludf.DUMMYFUNCTION("""COMPUTED_VALUE"""),"Bheri Energy Development Company Pvt Ltd")</f>
        <v>Bheri Energy Development Company Pvt Ltd</v>
      </c>
      <c r="H1261" s="2" t="str">
        <f>IFERROR(__xludf.DUMMYFUNCTION("""COMPUTED_VALUE"""),"Dailekh, Tel: 9748014293, 9849091465")</f>
        <v>Dailekh, Tel: 9748014293, 9849091465</v>
      </c>
      <c r="I1261" s="2" t="str">
        <f>IFERROR(__xludf.DUMMYFUNCTION("""COMPUTED_VALUE"""),"28o 57' 57""")</f>
        <v>28o 57' 57"</v>
      </c>
      <c r="J1261" s="2" t="str">
        <f>IFERROR(__xludf.DUMMYFUNCTION("""COMPUTED_VALUE"""),"28o 59' 02""")</f>
        <v>28o 59' 02"</v>
      </c>
      <c r="K1261" s="2" t="str">
        <f>IFERROR(__xludf.DUMMYFUNCTION("""COMPUTED_VALUE"""),"81o 32' 56""")</f>
        <v>81o 32' 56"</v>
      </c>
      <c r="L1261" s="2" t="str">
        <f>IFERROR(__xludf.DUMMYFUNCTION("""COMPUTED_VALUE"""),"81o 35' 00""")</f>
        <v>81o 35' 00"</v>
      </c>
      <c r="M1261" s="2" t="str">
        <f>IFERROR(__xludf.DUMMYFUNCTION("""COMPUTED_VALUE"""),"Chamunda (Dailekh)")</f>
        <v>Chamunda (Dailekh)</v>
      </c>
    </row>
    <row r="1262">
      <c r="A1262" s="2">
        <f>IFERROR(__xludf.DUMMYFUNCTION("""COMPUTED_VALUE"""),1261.0)</f>
        <v>1261</v>
      </c>
      <c r="B1262" s="2" t="str">
        <f>IFERROR(__xludf.DUMMYFUNCTION("""COMPUTED_VALUE"""),"Chhera Khola SHP")</f>
        <v>Chhera Khola SHP</v>
      </c>
      <c r="C1262" s="2">
        <f>IFERROR(__xludf.DUMMYFUNCTION("""COMPUTED_VALUE"""),0.955)</f>
        <v>0.955</v>
      </c>
      <c r="D1262" s="2" t="str">
        <f>IFERROR(__xludf.DUMMYFUNCTION("""COMPUTED_VALUE"""),"Chhera")</f>
        <v>Chhera</v>
      </c>
      <c r="E1262" s="2">
        <f>IFERROR(__xludf.DUMMYFUNCTION("""COMPUTED_VALUE"""),907.0)</f>
        <v>907</v>
      </c>
      <c r="F1262" s="3">
        <f>IFERROR(__xludf.DUMMYFUNCTION("""COMPUTED_VALUE"""),60767.0)</f>
        <v>60767</v>
      </c>
      <c r="G1262" s="2" t="str">
        <f>IFERROR(__xludf.DUMMYFUNCTION("""COMPUTED_VALUE"""),"Bheri Energy Development Company Pvt Ltd")</f>
        <v>Bheri Energy Development Company Pvt Ltd</v>
      </c>
      <c r="H1262" s="2" t="str">
        <f>IFERROR(__xludf.DUMMYFUNCTION("""COMPUTED_VALUE"""),"Dailekh, Tel: 9741784239")</f>
        <v>Dailekh, Tel: 9741784239</v>
      </c>
      <c r="I1262" s="2" t="str">
        <f>IFERROR(__xludf.DUMMYFUNCTION("""COMPUTED_VALUE"""),"28o 41' 00""")</f>
        <v>28o 41' 00"</v>
      </c>
      <c r="J1262" s="2" t="str">
        <f>IFERROR(__xludf.DUMMYFUNCTION("""COMPUTED_VALUE"""),"28o 43' 10""")</f>
        <v>28o 43' 10"</v>
      </c>
      <c r="K1262" s="2" t="str">
        <f>IFERROR(__xludf.DUMMYFUNCTION("""COMPUTED_VALUE"""),"82o 00' 00""")</f>
        <v>82o 00' 00"</v>
      </c>
      <c r="L1262" s="2" t="str">
        <f>IFERROR(__xludf.DUMMYFUNCTION("""COMPUTED_VALUE"""),"82o 01' 25""")</f>
        <v>82o 01' 25"</v>
      </c>
      <c r="M1262" s="2" t="str">
        <f>IFERROR(__xludf.DUMMYFUNCTION("""COMPUTED_VALUE"""),"Karkigaun (Jajarkot)")</f>
        <v>Karkigaun (Jajarkot)</v>
      </c>
    </row>
    <row r="1263">
      <c r="A1263" s="2">
        <f>IFERROR(__xludf.DUMMYFUNCTION("""COMPUTED_VALUE"""),1262.0)</f>
        <v>1262</v>
      </c>
      <c r="B1263" s="2" t="str">
        <f>IFERROR(__xludf.DUMMYFUNCTION("""COMPUTED_VALUE"""),"Gorandi Khola SHP")</f>
        <v>Gorandi Khola SHP</v>
      </c>
      <c r="C1263" s="2">
        <f>IFERROR(__xludf.DUMMYFUNCTION("""COMPUTED_VALUE"""),0.995)</f>
        <v>0.995</v>
      </c>
      <c r="D1263" s="2" t="str">
        <f>IFERROR(__xludf.DUMMYFUNCTION("""COMPUTED_VALUE"""),"Gorandi")</f>
        <v>Gorandi</v>
      </c>
      <c r="E1263" s="2">
        <f>IFERROR(__xludf.DUMMYFUNCTION("""COMPUTED_VALUE"""),948.0)</f>
        <v>948</v>
      </c>
      <c r="F1263" s="3">
        <f>IFERROR(__xludf.DUMMYFUNCTION("""COMPUTED_VALUE"""),60768.0)</f>
        <v>60768</v>
      </c>
      <c r="G1263" s="2" t="str">
        <f>IFERROR(__xludf.DUMMYFUNCTION("""COMPUTED_VALUE"""),"Nirendra Nath Adhikari")</f>
        <v>Nirendra Nath Adhikari</v>
      </c>
      <c r="H1263" s="5">
        <f>IFERROR(__xludf.DUMMYFUNCTION("""COMPUTED_VALUE"""),60768.0)</f>
        <v>60768</v>
      </c>
      <c r="I1263" s="2" t="str">
        <f>IFERROR(__xludf.DUMMYFUNCTION("""COMPUTED_VALUE"""),"27o 35' 00""")</f>
        <v>27o 35' 00"</v>
      </c>
      <c r="J1263" s="2" t="str">
        <f>IFERROR(__xludf.DUMMYFUNCTION("""COMPUTED_VALUE"""),"27o 37' 30""")</f>
        <v>27o 37' 30"</v>
      </c>
      <c r="K1263" s="2" t="str">
        <f>IFERROR(__xludf.DUMMYFUNCTION("""COMPUTED_VALUE"""),"84o 52' 30""")</f>
        <v>84o 52' 30"</v>
      </c>
      <c r="L1263" s="2" t="str">
        <f>IFERROR(__xludf.DUMMYFUNCTION("""COMPUTED_VALUE"""),"84o 55' 00""")</f>
        <v>84o 55' 00"</v>
      </c>
      <c r="M1263" s="2" t="str">
        <f>IFERROR(__xludf.DUMMYFUNCTION("""COMPUTED_VALUE"""),"Khairang (Makawanpur)")</f>
        <v>Khairang (Makawanpur)</v>
      </c>
    </row>
    <row r="1264">
      <c r="A1264" s="2">
        <f>IFERROR(__xludf.DUMMYFUNCTION("""COMPUTED_VALUE"""),1263.0)</f>
        <v>1263</v>
      </c>
      <c r="B1264" s="2" t="str">
        <f>IFERROR(__xludf.DUMMYFUNCTION("""COMPUTED_VALUE"""),"Mahadev Khola SHP")</f>
        <v>Mahadev Khola SHP</v>
      </c>
      <c r="C1264" s="2">
        <f>IFERROR(__xludf.DUMMYFUNCTION("""COMPUTED_VALUE"""),0.995)</f>
        <v>0.995</v>
      </c>
      <c r="D1264" s="2" t="str">
        <f>IFERROR(__xludf.DUMMYFUNCTION("""COMPUTED_VALUE"""),"mahadev")</f>
        <v>mahadev</v>
      </c>
      <c r="E1264" s="2">
        <f>IFERROR(__xludf.DUMMYFUNCTION("""COMPUTED_VALUE"""),949.0)</f>
        <v>949</v>
      </c>
      <c r="F1264" s="3">
        <f>IFERROR(__xludf.DUMMYFUNCTION("""COMPUTED_VALUE"""),60768.0)</f>
        <v>60768</v>
      </c>
      <c r="G1264" s="2" t="str">
        <f>IFERROR(__xludf.DUMMYFUNCTION("""COMPUTED_VALUE"""),"Surendra Nath Adhikari")</f>
        <v>Surendra Nath Adhikari</v>
      </c>
      <c r="H1264" s="2" t="str">
        <f>IFERROR(__xludf.DUMMYFUNCTION("""COMPUTED_VALUE"""),"Kathmandu")</f>
        <v>Kathmandu</v>
      </c>
      <c r="I1264" s="2" t="str">
        <f>IFERROR(__xludf.DUMMYFUNCTION("""COMPUTED_VALUE"""),"27o 32' 30""")</f>
        <v>27o 32' 30"</v>
      </c>
      <c r="J1264" s="2" t="str">
        <f>IFERROR(__xludf.DUMMYFUNCTION("""COMPUTED_VALUE"""),"27o 35' 00""")</f>
        <v>27o 35' 00"</v>
      </c>
      <c r="K1264" s="2" t="str">
        <f>IFERROR(__xludf.DUMMYFUNCTION("""COMPUTED_VALUE"""),"84o 57' 30""")</f>
        <v>84o 57' 30"</v>
      </c>
      <c r="L1264" s="2" t="str">
        <f>IFERROR(__xludf.DUMMYFUNCTION("""COMPUTED_VALUE"""),"85o 00' 00""")</f>
        <v>85o 00' 00"</v>
      </c>
      <c r="M1264" s="2" t="str">
        <f>IFERROR(__xludf.DUMMYFUNCTION("""COMPUTED_VALUE"""),"Namtar (Makawanpur)")</f>
        <v>Namtar (Makawanpur)</v>
      </c>
    </row>
    <row r="1265">
      <c r="A1265" s="2">
        <f>IFERROR(__xludf.DUMMYFUNCTION("""COMPUTED_VALUE"""),1264.0)</f>
        <v>1264</v>
      </c>
      <c r="B1265" s="2" t="str">
        <f>IFERROR(__xludf.DUMMYFUNCTION("""COMPUTED_VALUE"""),"Lothar Khola SHP")</f>
        <v>Lothar Khola SHP</v>
      </c>
      <c r="C1265" s="2">
        <f>IFERROR(__xludf.DUMMYFUNCTION("""COMPUTED_VALUE"""),0.999)</f>
        <v>0.999</v>
      </c>
      <c r="D1265" s="2" t="str">
        <f>IFERROR(__xludf.DUMMYFUNCTION("""COMPUTED_VALUE"""),"Lothar")</f>
        <v>Lothar</v>
      </c>
      <c r="E1265" s="2">
        <f>IFERROR(__xludf.DUMMYFUNCTION("""COMPUTED_VALUE"""),950.0)</f>
        <v>950</v>
      </c>
      <c r="F1265" s="3">
        <f>IFERROR(__xludf.DUMMYFUNCTION("""COMPUTED_VALUE"""),60768.0)</f>
        <v>60768</v>
      </c>
      <c r="G1265" s="2" t="str">
        <f>IFERROR(__xludf.DUMMYFUNCTION("""COMPUTED_VALUE"""),"Surendra Nath Adhikari")</f>
        <v>Surendra Nath Adhikari</v>
      </c>
      <c r="H1265" s="2" t="str">
        <f>IFERROR(__xludf.DUMMYFUNCTION("""COMPUTED_VALUE"""),"Kathmandu")</f>
        <v>Kathmandu</v>
      </c>
      <c r="I1265" s="2" t="str">
        <f>IFERROR(__xludf.DUMMYFUNCTION("""COMPUTED_VALUE"""),"27o 42' 30""")</f>
        <v>27o 42' 30"</v>
      </c>
      <c r="J1265" s="2" t="str">
        <f>IFERROR(__xludf.DUMMYFUNCTION("""COMPUTED_VALUE"""),"27o 45' 00""")</f>
        <v>27o 45' 00"</v>
      </c>
      <c r="K1265" s="2" t="str">
        <f>IFERROR(__xludf.DUMMYFUNCTION("""COMPUTED_VALUE"""),"84o 45' 00""")</f>
        <v>84o 45' 00"</v>
      </c>
      <c r="L1265" s="2" t="str">
        <f>IFERROR(__xludf.DUMMYFUNCTION("""COMPUTED_VALUE"""),"84o 47' 30""")</f>
        <v>84o 47' 30"</v>
      </c>
      <c r="M1265" s="2" t="str">
        <f>IFERROR(__xludf.DUMMYFUNCTION("""COMPUTED_VALUE"""),"Lothar (Chitawan)")</f>
        <v>Lothar (Chitawan)</v>
      </c>
    </row>
    <row r="1266">
      <c r="A1266" s="2">
        <f>IFERROR(__xludf.DUMMYFUNCTION("""COMPUTED_VALUE"""),1265.0)</f>
        <v>1265</v>
      </c>
      <c r="B1266" s="2" t="str">
        <f>IFERROR(__xludf.DUMMYFUNCTION("""COMPUTED_VALUE"""),"Chalti Khola HPP")</f>
        <v>Chalti Khola HPP</v>
      </c>
      <c r="C1266" s="2">
        <f>IFERROR(__xludf.DUMMYFUNCTION("""COMPUTED_VALUE"""),0.995)</f>
        <v>0.995</v>
      </c>
      <c r="D1266" s="2" t="str">
        <f>IFERROR(__xludf.DUMMYFUNCTION("""COMPUTED_VALUE"""),"Chalti")</f>
        <v>Chalti</v>
      </c>
      <c r="E1266" s="2">
        <f>IFERROR(__xludf.DUMMYFUNCTION("""COMPUTED_VALUE"""),961.0)</f>
        <v>961</v>
      </c>
      <c r="F1266" s="3">
        <f>IFERROR(__xludf.DUMMYFUNCTION("""COMPUTED_VALUE"""),60768.0)</f>
        <v>60768</v>
      </c>
      <c r="G1266" s="2" t="str">
        <f>IFERROR(__xludf.DUMMYFUNCTION("""COMPUTED_VALUE"""),"Subha Upreti Adhikari")</f>
        <v>Subha Upreti Adhikari</v>
      </c>
      <c r="H1266" s="2" t="str">
        <f>IFERROR(__xludf.DUMMYFUNCTION("""COMPUTED_VALUE"""),"Kathmandu")</f>
        <v>Kathmandu</v>
      </c>
      <c r="I1266" s="2" t="str">
        <f>IFERROR(__xludf.DUMMYFUNCTION("""COMPUTED_VALUE"""),"27o 38' 42""")</f>
        <v>27o 38' 42"</v>
      </c>
      <c r="J1266" s="2" t="str">
        <f>IFERROR(__xludf.DUMMYFUNCTION("""COMPUTED_VALUE"""),"27o 42' 29""")</f>
        <v>27o 42' 29"</v>
      </c>
      <c r="K1266" s="2" t="str">
        <f>IFERROR(__xludf.DUMMYFUNCTION("""COMPUTED_VALUE"""),"85o 01' 54""")</f>
        <v>85o 01' 54"</v>
      </c>
      <c r="L1266" s="2" t="str">
        <f>IFERROR(__xludf.DUMMYFUNCTION("""COMPUTED_VALUE"""),"85o 03' 56""")</f>
        <v>85o 03' 56"</v>
      </c>
      <c r="M1266" s="2" t="str">
        <f>IFERROR(__xludf.DUMMYFUNCTION("""COMPUTED_VALUE"""),"Agara (Makawanpur)")</f>
        <v>Agara (Makawanpur)</v>
      </c>
    </row>
    <row r="1267">
      <c r="A1267" s="2">
        <f>IFERROR(__xludf.DUMMYFUNCTION("""COMPUTED_VALUE"""),1266.0)</f>
        <v>1266</v>
      </c>
      <c r="B1267" s="2" t="str">
        <f>IFERROR(__xludf.DUMMYFUNCTION("""COMPUTED_VALUE"""),"Lapse Khola SHP")</f>
        <v>Lapse Khola SHP</v>
      </c>
      <c r="C1267" s="2">
        <f>IFERROR(__xludf.DUMMYFUNCTION("""COMPUTED_VALUE"""),0.5)</f>
        <v>0.5</v>
      </c>
      <c r="D1267" s="2" t="str">
        <f>IFERROR(__xludf.DUMMYFUNCTION("""COMPUTED_VALUE"""),"Lapse")</f>
        <v>Lapse</v>
      </c>
      <c r="E1267" s="2">
        <f>IFERROR(__xludf.DUMMYFUNCTION("""COMPUTED_VALUE"""),960.0)</f>
        <v>960</v>
      </c>
      <c r="F1267" s="3">
        <f>IFERROR(__xludf.DUMMYFUNCTION("""COMPUTED_VALUE"""),60769.0)</f>
        <v>60769</v>
      </c>
      <c r="G1267" s="2" t="str">
        <f>IFERROR(__xludf.DUMMYFUNCTION("""COMPUTED_VALUE"""),"Subha Upreti Adhikari")</f>
        <v>Subha Upreti Adhikari</v>
      </c>
      <c r="H1267" s="2" t="str">
        <f>IFERROR(__xludf.DUMMYFUNCTION("""COMPUTED_VALUE"""),"Kathmandu")</f>
        <v>Kathmandu</v>
      </c>
      <c r="I1267" s="2" t="str">
        <f>IFERROR(__xludf.DUMMYFUNCTION("""COMPUTED_VALUE"""),"27o 38' 59""")</f>
        <v>27o 38' 59"</v>
      </c>
      <c r="J1267" s="2" t="str">
        <f>IFERROR(__xludf.DUMMYFUNCTION("""COMPUTED_VALUE"""),"27o 40' 00""")</f>
        <v>27o 40' 00"</v>
      </c>
      <c r="K1267" s="2" t="str">
        <f>IFERROR(__xludf.DUMMYFUNCTION("""COMPUTED_VALUE"""),"85o 00' 00""")</f>
        <v>85o 00' 00"</v>
      </c>
      <c r="L1267" s="2" t="str">
        <f>IFERROR(__xludf.DUMMYFUNCTION("""COMPUTED_VALUE"""),"85o 01' 49""")</f>
        <v>85o 01' 49"</v>
      </c>
      <c r="M1267" s="2" t="str">
        <f>IFERROR(__xludf.DUMMYFUNCTION("""COMPUTED_VALUE"""),"Agara (Makawanpur)")</f>
        <v>Agara (Makawanpur)</v>
      </c>
    </row>
    <row r="1268">
      <c r="A1268" s="2">
        <f>IFERROR(__xludf.DUMMYFUNCTION("""COMPUTED_VALUE"""),1267.0)</f>
        <v>1267</v>
      </c>
      <c r="B1268" s="2" t="str">
        <f>IFERROR(__xludf.DUMMYFUNCTION("""COMPUTED_VALUE"""),"Malekhu Khola SHP")</f>
        <v>Malekhu Khola SHP</v>
      </c>
      <c r="C1268" s="2">
        <f>IFERROR(__xludf.DUMMYFUNCTION("""COMPUTED_VALUE"""),0.777)</f>
        <v>0.777</v>
      </c>
      <c r="D1268" s="2" t="str">
        <f>IFERROR(__xludf.DUMMYFUNCTION("""COMPUTED_VALUE"""),"Malekhu")</f>
        <v>Malekhu</v>
      </c>
      <c r="E1268" s="2">
        <f>IFERROR(__xludf.DUMMYFUNCTION("""COMPUTED_VALUE"""),962.0)</f>
        <v>962</v>
      </c>
      <c r="F1268" s="3">
        <f>IFERROR(__xludf.DUMMYFUNCTION("""COMPUTED_VALUE"""),60769.0)</f>
        <v>60769</v>
      </c>
      <c r="G1268" s="2" t="str">
        <f>IFERROR(__xludf.DUMMYFUNCTION("""COMPUTED_VALUE"""),"Renu Sapkota")</f>
        <v>Renu Sapkota</v>
      </c>
      <c r="H1268" s="2" t="str">
        <f>IFERROR(__xludf.DUMMYFUNCTION("""COMPUTED_VALUE"""),"Kalika Adarsha VDC-Baglung")</f>
        <v>Kalika Adarsha VDC-Baglung</v>
      </c>
      <c r="I1268" s="2" t="str">
        <f>IFERROR(__xludf.DUMMYFUNCTION("""COMPUTED_VALUE"""),"27o 46' 35""")</f>
        <v>27o 46' 35"</v>
      </c>
      <c r="J1268" s="2" t="str">
        <f>IFERROR(__xludf.DUMMYFUNCTION("""COMPUTED_VALUE"""),"27o 48' 46""")</f>
        <v>27o 48' 46"</v>
      </c>
      <c r="K1268" s="2" t="str">
        <f>IFERROR(__xludf.DUMMYFUNCTION("""COMPUTED_VALUE"""),"84o 48' 42""")</f>
        <v>84o 48' 42"</v>
      </c>
      <c r="L1268" s="2" t="str">
        <f>IFERROR(__xludf.DUMMYFUNCTION("""COMPUTED_VALUE"""),"84o 50' 23""")</f>
        <v>84o 50' 23"</v>
      </c>
      <c r="M1268" s="2" t="str">
        <f>IFERROR(__xludf.DUMMYFUNCTION("""COMPUTED_VALUE"""),"Benighat,Mahadevsthan (Dhading)")</f>
        <v>Benighat,Mahadevsthan (Dhading)</v>
      </c>
    </row>
    <row r="1269">
      <c r="A1269" s="2">
        <f>IFERROR(__xludf.DUMMYFUNCTION("""COMPUTED_VALUE"""),1268.0)</f>
        <v>1268</v>
      </c>
      <c r="B1269" s="2" t="str">
        <f>IFERROR(__xludf.DUMMYFUNCTION("""COMPUTED_VALUE"""),"Malekhu Khola Kha SHP")</f>
        <v>Malekhu Khola Kha SHP</v>
      </c>
      <c r="C1269" s="2">
        <f>IFERROR(__xludf.DUMMYFUNCTION("""COMPUTED_VALUE"""),0.999)</f>
        <v>0.999</v>
      </c>
      <c r="D1269" s="2" t="str">
        <f>IFERROR(__xludf.DUMMYFUNCTION("""COMPUTED_VALUE"""),"Malekhu")</f>
        <v>Malekhu</v>
      </c>
      <c r="E1269" s="2">
        <f>IFERROR(__xludf.DUMMYFUNCTION("""COMPUTED_VALUE"""),963.0)</f>
        <v>963</v>
      </c>
      <c r="F1269" s="3">
        <f>IFERROR(__xludf.DUMMYFUNCTION("""COMPUTED_VALUE"""),60769.0)</f>
        <v>60769</v>
      </c>
      <c r="G1269" s="2" t="str">
        <f>IFERROR(__xludf.DUMMYFUNCTION("""COMPUTED_VALUE"""),"Renu Sapkota")</f>
        <v>Renu Sapkota</v>
      </c>
      <c r="H1269" s="2" t="str">
        <f>IFERROR(__xludf.DUMMYFUNCTION("""COMPUTED_VALUE"""),"Kalika Adarsha VDC-Baglung")</f>
        <v>Kalika Adarsha VDC-Baglung</v>
      </c>
      <c r="I1269" s="2" t="str">
        <f>IFERROR(__xludf.DUMMYFUNCTION("""COMPUTED_VALUE"""),"27o 45' 00""")</f>
        <v>27o 45' 00"</v>
      </c>
      <c r="J1269" s="2" t="str">
        <f>IFERROR(__xludf.DUMMYFUNCTION("""COMPUTED_VALUE"""),"27o 46' 35""")</f>
        <v>27o 46' 35"</v>
      </c>
      <c r="K1269" s="2" t="str">
        <f>IFERROR(__xludf.DUMMYFUNCTION("""COMPUTED_VALUE"""),"84o 48' 26""")</f>
        <v>84o 48' 26"</v>
      </c>
      <c r="L1269" s="2" t="str">
        <f>IFERROR(__xludf.DUMMYFUNCTION("""COMPUTED_VALUE"""),"84o 50' 23""")</f>
        <v>84o 50' 23"</v>
      </c>
      <c r="M1269" s="2" t="str">
        <f>IFERROR(__xludf.DUMMYFUNCTION("""COMPUTED_VALUE"""),"Benighat,Mahadevsthan (Dhading)")</f>
        <v>Benighat,Mahadevsthan (Dhading)</v>
      </c>
    </row>
    <row r="1270">
      <c r="A1270" s="2">
        <f>IFERROR(__xludf.DUMMYFUNCTION("""COMPUTED_VALUE"""),1269.0)</f>
        <v>1269</v>
      </c>
      <c r="B1270" s="2" t="str">
        <f>IFERROR(__xludf.DUMMYFUNCTION("""COMPUTED_VALUE"""),"Upper Bhim Khola HPP")</f>
        <v>Upper Bhim Khola HPP</v>
      </c>
      <c r="C1270" s="2">
        <f>IFERROR(__xludf.DUMMYFUNCTION("""COMPUTED_VALUE"""),3.5)</f>
        <v>3.5</v>
      </c>
      <c r="D1270" s="2" t="str">
        <f>IFERROR(__xludf.DUMMYFUNCTION("""COMPUTED_VALUE"""),"Bhim Khola")</f>
        <v>Bhim Khola</v>
      </c>
      <c r="E1270" s="2">
        <f>IFERROR(__xludf.DUMMYFUNCTION("""COMPUTED_VALUE"""),1000.0)</f>
        <v>1000</v>
      </c>
      <c r="F1270" s="3">
        <f>IFERROR(__xludf.DUMMYFUNCTION("""COMPUTED_VALUE"""),60773.0)</f>
        <v>60773</v>
      </c>
      <c r="G1270" s="2" t="str">
        <f>IFERROR(__xludf.DUMMYFUNCTION("""COMPUTED_VALUE"""),"Mukut Bahadur Raymajhi")</f>
        <v>Mukut Bahadur Raymajhi</v>
      </c>
      <c r="H1270" s="2" t="str">
        <f>IFERROR(__xludf.DUMMYFUNCTION("""COMPUTED_VALUE"""),"Paudi Amrai-9, Gulmi")</f>
        <v>Paudi Amrai-9, Gulmi</v>
      </c>
      <c r="I1270" s="2" t="str">
        <f>IFERROR(__xludf.DUMMYFUNCTION("""COMPUTED_VALUE"""),"28o 17' 14""")</f>
        <v>28o 17' 14"</v>
      </c>
      <c r="J1270" s="2" t="str">
        <f>IFERROR(__xludf.DUMMYFUNCTION("""COMPUTED_VALUE"""),"28o 17' 24""")</f>
        <v>28o 17' 24"</v>
      </c>
      <c r="K1270" s="2" t="str">
        <f>IFERROR(__xludf.DUMMYFUNCTION("""COMPUTED_VALUE"""),"83o 13' 18""")</f>
        <v>83o 13' 18"</v>
      </c>
      <c r="L1270" s="2" t="str">
        <f>IFERROR(__xludf.DUMMYFUNCTION("""COMPUTED_VALUE"""),"83o 15' 08""")</f>
        <v>83o 15' 08"</v>
      </c>
      <c r="M1270" s="2" t="str">
        <f>IFERROR(__xludf.DUMMYFUNCTION("""COMPUTED_VALUE"""),"Bhinggithe,Gwalichaur (Baglung)")</f>
        <v>Bhinggithe,Gwalichaur (Baglung)</v>
      </c>
    </row>
    <row r="1271">
      <c r="A1271" s="2">
        <f>IFERROR(__xludf.DUMMYFUNCTION("""COMPUTED_VALUE"""),1270.0)</f>
        <v>1270</v>
      </c>
      <c r="B1271" s="2" t="str">
        <f>IFERROR(__xludf.DUMMYFUNCTION("""COMPUTED_VALUE"""),"Chhandi-Rigdi Loop HPP")</f>
        <v>Chhandi-Rigdi Loop HPP</v>
      </c>
      <c r="C1271" s="2">
        <f>IFERROR(__xludf.DUMMYFUNCTION("""COMPUTED_VALUE"""),4.5)</f>
        <v>4.5</v>
      </c>
      <c r="D1271" s="2" t="str">
        <f>IFERROR(__xludf.DUMMYFUNCTION("""COMPUTED_VALUE"""),"Rigdi")</f>
        <v>Rigdi</v>
      </c>
      <c r="E1271" s="2">
        <f>IFERROR(__xludf.DUMMYFUNCTION("""COMPUTED_VALUE"""),1002.0)</f>
        <v>1002</v>
      </c>
      <c r="F1271" s="3">
        <f>IFERROR(__xludf.DUMMYFUNCTION("""COMPUTED_VALUE"""),60773.0)</f>
        <v>60773</v>
      </c>
      <c r="G1271" s="2" t="str">
        <f>IFERROR(__xludf.DUMMYFUNCTION("""COMPUTED_VALUE"""),"Purna Chandi Power Company Pvt Ltd")</f>
        <v>Purna Chandi Power Company Pvt Ltd</v>
      </c>
      <c r="H1271" s="2" t="str">
        <f>IFERROR(__xludf.DUMMYFUNCTION("""COMPUTED_VALUE"""),"Khumal Height, lalitpur tel; 2110299")</f>
        <v>Khumal Height, lalitpur tel; 2110299</v>
      </c>
      <c r="I1271" s="2" t="str">
        <f>IFERROR(__xludf.DUMMYFUNCTION("""COMPUTED_VALUE"""),"27o 47' 02""")</f>
        <v>27o 47' 02"</v>
      </c>
      <c r="J1271" s="2" t="str">
        <f>IFERROR(__xludf.DUMMYFUNCTION("""COMPUTED_VALUE"""),"27o 48' 38""")</f>
        <v>27o 48' 38"</v>
      </c>
      <c r="K1271" s="2" t="str">
        <f>IFERROR(__xludf.DUMMYFUNCTION("""COMPUTED_VALUE"""),"84o 33' 02""")</f>
        <v>84o 33' 02"</v>
      </c>
      <c r="L1271" s="2" t="str">
        <f>IFERROR(__xludf.DUMMYFUNCTION("""COMPUTED_VALUE"""),"84o 35' 55""")</f>
        <v>84o 35' 55"</v>
      </c>
      <c r="M1271" s="2" t="str">
        <f>IFERROR(__xludf.DUMMYFUNCTION("""COMPUTED_VALUE"""),"Chandi Bhanjyang (Chitawan)")</f>
        <v>Chandi Bhanjyang (Chitawan)</v>
      </c>
    </row>
    <row r="1272">
      <c r="A1272" s="2">
        <f>IFERROR(__xludf.DUMMYFUNCTION("""COMPUTED_VALUE"""),1271.0)</f>
        <v>1271</v>
      </c>
      <c r="B1272" s="2" t="str">
        <f>IFERROR(__xludf.DUMMYFUNCTION("""COMPUTED_VALUE"""),"Dar Khola HPP")</f>
        <v>Dar Khola HPP</v>
      </c>
      <c r="C1272" s="2">
        <f>IFERROR(__xludf.DUMMYFUNCTION("""COMPUTED_VALUE"""),4.9)</f>
        <v>4.9</v>
      </c>
      <c r="D1272" s="2" t="str">
        <f>IFERROR(__xludf.DUMMYFUNCTION("""COMPUTED_VALUE"""),"Dar Khola")</f>
        <v>Dar Khola</v>
      </c>
      <c r="E1272" s="2">
        <f>IFERROR(__xludf.DUMMYFUNCTION("""COMPUTED_VALUE"""),1012.0)</f>
        <v>1012</v>
      </c>
      <c r="F1272" s="3">
        <f>IFERROR(__xludf.DUMMYFUNCTION("""COMPUTED_VALUE"""),60773.0)</f>
        <v>60773</v>
      </c>
      <c r="G1272" s="2" t="str">
        <f>IFERROR(__xludf.DUMMYFUNCTION("""COMPUTED_VALUE"""),"Muna Hydropower Company Pvt Ltd")</f>
        <v>Muna Hydropower Company Pvt Ltd</v>
      </c>
      <c r="H1272" s="2" t="str">
        <f>IFERROR(__xludf.DUMMYFUNCTION("""COMPUTED_VALUE"""),"Gangbu VDC-3, Kathmandu")</f>
        <v>Gangbu VDC-3, Kathmandu</v>
      </c>
      <c r="I1272" s="2" t="str">
        <f>IFERROR(__xludf.DUMMYFUNCTION("""COMPUTED_VALUE"""),"28o 29' 30""")</f>
        <v>28o 29' 30"</v>
      </c>
      <c r="J1272" s="2" t="str">
        <f>IFERROR(__xludf.DUMMYFUNCTION("""COMPUTED_VALUE"""),"28o 30' 50""")</f>
        <v>28o 30' 50"</v>
      </c>
      <c r="K1272" s="2" t="str">
        <f>IFERROR(__xludf.DUMMYFUNCTION("""COMPUTED_VALUE"""),"83o 18' 55""")</f>
        <v>83o 18' 55"</v>
      </c>
      <c r="L1272" s="2" t="str">
        <f>IFERROR(__xludf.DUMMYFUNCTION("""COMPUTED_VALUE"""),"83o 21' 14""")</f>
        <v>83o 21' 14"</v>
      </c>
      <c r="M1272" s="2" t="str">
        <f>IFERROR(__xludf.DUMMYFUNCTION("""COMPUTED_VALUE"""),"Muna (Myagdi)")</f>
        <v>Muna (Myagdi)</v>
      </c>
    </row>
    <row r="1273">
      <c r="A1273" s="2">
        <f>IFERROR(__xludf.DUMMYFUNCTION("""COMPUTED_VALUE"""),1272.0)</f>
        <v>1272</v>
      </c>
      <c r="B1273" s="2" t="str">
        <f>IFERROR(__xludf.DUMMYFUNCTION("""COMPUTED_VALUE"""),"Middle Madi HPP")</f>
        <v>Middle Madi HPP</v>
      </c>
      <c r="C1273" s="2">
        <f>IFERROR(__xludf.DUMMYFUNCTION("""COMPUTED_VALUE"""),9.0)</f>
        <v>9</v>
      </c>
      <c r="D1273" s="2" t="str">
        <f>IFERROR(__xludf.DUMMYFUNCTION("""COMPUTED_VALUE"""),"Madi Khola")</f>
        <v>Madi Khola</v>
      </c>
      <c r="E1273" s="2">
        <f>IFERROR(__xludf.DUMMYFUNCTION("""COMPUTED_VALUE"""),1028.0)</f>
        <v>1028</v>
      </c>
      <c r="F1273" s="3">
        <f>IFERROR(__xludf.DUMMYFUNCTION("""COMPUTED_VALUE"""),60775.0)</f>
        <v>60775</v>
      </c>
      <c r="G1273" s="2" t="str">
        <f>IFERROR(__xludf.DUMMYFUNCTION("""COMPUTED_VALUE"""),"Yadav Raj Pandey, Ambika Kafle")</f>
        <v>Yadav Raj Pandey, Ambika Kafle</v>
      </c>
      <c r="H1273" s="2" t="str">
        <f>IFERROR(__xludf.DUMMYFUNCTION("""COMPUTED_VALUE"""),"Maitidevi, Kathmandu Tel: 9841500313")</f>
        <v>Maitidevi, Kathmandu Tel: 9841500313</v>
      </c>
      <c r="I1273" s="2" t="str">
        <f>IFERROR(__xludf.DUMMYFUNCTION("""COMPUTED_VALUE"""),"28o 07' 30""")</f>
        <v>28o 07' 30"</v>
      </c>
      <c r="J1273" s="2" t="str">
        <f>IFERROR(__xludf.DUMMYFUNCTION("""COMPUTED_VALUE"""),"28o 11' 52""")</f>
        <v>28o 11' 52"</v>
      </c>
      <c r="K1273" s="2" t="str">
        <f>IFERROR(__xludf.DUMMYFUNCTION("""COMPUTED_VALUE"""),"82o 41' 00""")</f>
        <v>82o 41' 00"</v>
      </c>
      <c r="L1273" s="2" t="str">
        <f>IFERROR(__xludf.DUMMYFUNCTION("""COMPUTED_VALUE"""),"82o 44' 30""")</f>
        <v>82o 44' 30"</v>
      </c>
      <c r="M1273" s="2" t="str">
        <f>IFERROR(__xludf.DUMMYFUNCTION("""COMPUTED_VALUE"""),"Gothiwang (Pyuthan)")</f>
        <v>Gothiwang (Pyuthan)</v>
      </c>
    </row>
    <row r="1274">
      <c r="A1274" s="2">
        <f>IFERROR(__xludf.DUMMYFUNCTION("""COMPUTED_VALUE"""),1273.0)</f>
        <v>1273</v>
      </c>
      <c r="B1274" s="2" t="str">
        <f>IFERROR(__xludf.DUMMYFUNCTION("""COMPUTED_VALUE"""),"Jilli Khola HPP")</f>
        <v>Jilli Khola HPP</v>
      </c>
      <c r="C1274" s="2">
        <f>IFERROR(__xludf.DUMMYFUNCTION("""COMPUTED_VALUE"""),4.85)</f>
        <v>4.85</v>
      </c>
      <c r="D1274" s="2" t="str">
        <f>IFERROR(__xludf.DUMMYFUNCTION("""COMPUTED_VALUE"""),"Jilli")</f>
        <v>Jilli</v>
      </c>
      <c r="E1274" s="2">
        <f>IFERROR(__xludf.DUMMYFUNCTION("""COMPUTED_VALUE"""),1092.0)</f>
        <v>1092</v>
      </c>
      <c r="F1274" s="3">
        <f>IFERROR(__xludf.DUMMYFUNCTION("""COMPUTED_VALUE"""),60776.0)</f>
        <v>60776</v>
      </c>
      <c r="G1274" s="2" t="str">
        <f>IFERROR(__xludf.DUMMYFUNCTION("""COMPUTED_VALUE"""),"Vipramshree Energy Pvt Ltd")</f>
        <v>Vipramshree Energy Pvt Ltd</v>
      </c>
      <c r="H1274" s="2" t="str">
        <f>IFERROR(__xludf.DUMMYFUNCTION("""COMPUTED_VALUE"""),"Pulchowk, Lalitpur, Tel: 5524703")</f>
        <v>Pulchowk, Lalitpur, Tel: 5524703</v>
      </c>
      <c r="I1274" s="2" t="str">
        <f>IFERROR(__xludf.DUMMYFUNCTION("""COMPUTED_VALUE"""),"29o 02' 12""")</f>
        <v>29o 02' 12"</v>
      </c>
      <c r="J1274" s="2" t="str">
        <f>IFERROR(__xludf.DUMMYFUNCTION("""COMPUTED_VALUE"""),"29o 04' 02""")</f>
        <v>29o 04' 02"</v>
      </c>
      <c r="K1274" s="2" t="str">
        <f>IFERROR(__xludf.DUMMYFUNCTION("""COMPUTED_VALUE"""),"81o 45' 00""")</f>
        <v>81o 45' 00"</v>
      </c>
      <c r="L1274" s="2" t="str">
        <f>IFERROR(__xludf.DUMMYFUNCTION("""COMPUTED_VALUE"""),"81o 47' 26""")</f>
        <v>81o 47' 26"</v>
      </c>
      <c r="M1274" s="2" t="str">
        <f>IFERROR(__xludf.DUMMYFUNCTION("""COMPUTED_VALUE"""),"Odanku (Kalikot)")</f>
        <v>Odanku (Kalikot)</v>
      </c>
    </row>
    <row r="1275">
      <c r="A1275" s="2">
        <f>IFERROR(__xludf.DUMMYFUNCTION("""COMPUTED_VALUE"""),1274.0)</f>
        <v>1274</v>
      </c>
      <c r="B1275" s="2" t="str">
        <f>IFERROR(__xludf.DUMMYFUNCTION("""COMPUTED_VALUE"""),"Bharta Gad HPP")</f>
        <v>Bharta Gad HPP</v>
      </c>
      <c r="C1275" s="2">
        <f>IFERROR(__xludf.DUMMYFUNCTION("""COMPUTED_VALUE"""),3.5)</f>
        <v>3.5</v>
      </c>
      <c r="D1275" s="2" t="str">
        <f>IFERROR(__xludf.DUMMYFUNCTION("""COMPUTED_VALUE"""),"Bharta")</f>
        <v>Bharta</v>
      </c>
      <c r="E1275" s="2">
        <f>IFERROR(__xludf.DUMMYFUNCTION("""COMPUTED_VALUE"""),1093.0)</f>
        <v>1093</v>
      </c>
      <c r="F1275" s="3">
        <f>IFERROR(__xludf.DUMMYFUNCTION("""COMPUTED_VALUE"""),60776.0)</f>
        <v>60776</v>
      </c>
      <c r="G1275" s="2" t="str">
        <f>IFERROR(__xludf.DUMMYFUNCTION("""COMPUTED_VALUE"""),"Vipramshree Energy Pvt Ltd")</f>
        <v>Vipramshree Energy Pvt Ltd</v>
      </c>
      <c r="H1275" s="2" t="str">
        <f>IFERROR(__xludf.DUMMYFUNCTION("""COMPUTED_VALUE"""),"Pulchowk, Lalitpur, Tel: 5524703")</f>
        <v>Pulchowk, Lalitpur, Tel: 5524703</v>
      </c>
      <c r="I1275" s="2" t="str">
        <f>IFERROR(__xludf.DUMMYFUNCTION("""COMPUTED_VALUE"""),"29o 05' 47""")</f>
        <v>29o 05' 47"</v>
      </c>
      <c r="J1275" s="2" t="str">
        <f>IFERROR(__xludf.DUMMYFUNCTION("""COMPUTED_VALUE"""),"29o 07' 57""")</f>
        <v>29o 07' 57"</v>
      </c>
      <c r="K1275" s="2" t="str">
        <f>IFERROR(__xludf.DUMMYFUNCTION("""COMPUTED_VALUE"""),"81o 35' 46""")</f>
        <v>81o 35' 46"</v>
      </c>
      <c r="L1275" s="2" t="str">
        <f>IFERROR(__xludf.DUMMYFUNCTION("""COMPUTED_VALUE"""),"81o 37' 00""")</f>
        <v>81o 37' 00"</v>
      </c>
      <c r="M1275" s="2" t="str">
        <f>IFERROR(__xludf.DUMMYFUNCTION("""COMPUTED_VALUE"""),"Manma (Kalikot)")</f>
        <v>Manma (Kalikot)</v>
      </c>
    </row>
    <row r="1276">
      <c r="A1276" s="2">
        <f>IFERROR(__xludf.DUMMYFUNCTION("""COMPUTED_VALUE"""),1275.0)</f>
        <v>1275</v>
      </c>
      <c r="B1276" s="2" t="str">
        <f>IFERROR(__xludf.DUMMYFUNCTION("""COMPUTED_VALUE"""),"Jilli-Jhyagad HPP")</f>
        <v>Jilli-Jhyagad HPP</v>
      </c>
      <c r="C1276" s="2">
        <f>IFERROR(__xludf.DUMMYFUNCTION("""COMPUTED_VALUE"""),4.55)</f>
        <v>4.55</v>
      </c>
      <c r="D1276" s="2" t="str">
        <f>IFERROR(__xludf.DUMMYFUNCTION("""COMPUTED_VALUE"""),"Jhyagad")</f>
        <v>Jhyagad</v>
      </c>
      <c r="E1276" s="2">
        <f>IFERROR(__xludf.DUMMYFUNCTION("""COMPUTED_VALUE"""),1094.0)</f>
        <v>1094</v>
      </c>
      <c r="F1276" s="3">
        <f>IFERROR(__xludf.DUMMYFUNCTION("""COMPUTED_VALUE"""),60776.0)</f>
        <v>60776</v>
      </c>
      <c r="G1276" s="2" t="str">
        <f>IFERROR(__xludf.DUMMYFUNCTION("""COMPUTED_VALUE"""),"Vipramshree Energy Pvt Ltd")</f>
        <v>Vipramshree Energy Pvt Ltd</v>
      </c>
      <c r="H1276" s="2" t="str">
        <f>IFERROR(__xludf.DUMMYFUNCTION("""COMPUTED_VALUE"""),"Pulchowk, Lalitpur, Tel: 5524703")</f>
        <v>Pulchowk, Lalitpur, Tel: 5524703</v>
      </c>
      <c r="I1276" s="2" t="str">
        <f>IFERROR(__xludf.DUMMYFUNCTION("""COMPUTED_VALUE"""),"29o 04' 04""")</f>
        <v>29o 04' 04"</v>
      </c>
      <c r="J1276" s="2" t="str">
        <f>IFERROR(__xludf.DUMMYFUNCTION("""COMPUTED_VALUE"""),"29o 06' 32""")</f>
        <v>29o 06' 32"</v>
      </c>
      <c r="K1276" s="2" t="str">
        <f>IFERROR(__xludf.DUMMYFUNCTION("""COMPUTED_VALUE"""),"81o 43' 43""")</f>
        <v>81o 43' 43"</v>
      </c>
      <c r="L1276" s="2" t="str">
        <f>IFERROR(__xludf.DUMMYFUNCTION("""COMPUTED_VALUE"""),"81o 45' 37""")</f>
        <v>81o 45' 37"</v>
      </c>
      <c r="M1276" s="2" t="str">
        <f>IFERROR(__xludf.DUMMYFUNCTION("""COMPUTED_VALUE"""),"Gela,Odanku (Kalikot)")</f>
        <v>Gela,Odanku (Kalikot)</v>
      </c>
    </row>
    <row r="1277">
      <c r="A1277" s="2">
        <f>IFERROR(__xludf.DUMMYFUNCTION("""COMPUTED_VALUE"""),1276.0)</f>
        <v>1276</v>
      </c>
      <c r="B1277" s="2" t="str">
        <f>IFERROR(__xludf.DUMMYFUNCTION("""COMPUTED_VALUE"""),"Dudh Khola-Dana Khola HPP")</f>
        <v>Dudh Khola-Dana Khola HPP</v>
      </c>
      <c r="C1277" s="2">
        <f>IFERROR(__xludf.DUMMYFUNCTION("""COMPUTED_VALUE"""),18.8)</f>
        <v>18.8</v>
      </c>
      <c r="D1277" s="2" t="str">
        <f>IFERROR(__xludf.DUMMYFUNCTION("""COMPUTED_VALUE"""),"Marsyangdi")</f>
        <v>Marsyangdi</v>
      </c>
      <c r="E1277" s="2">
        <f>IFERROR(__xludf.DUMMYFUNCTION("""COMPUTED_VALUE"""),1138.0)</f>
        <v>1138</v>
      </c>
      <c r="F1277" s="3">
        <f>IFERROR(__xludf.DUMMYFUNCTION("""COMPUTED_VALUE"""),60778.0)</f>
        <v>60778</v>
      </c>
      <c r="G1277" s="2" t="str">
        <f>IFERROR(__xludf.DUMMYFUNCTION("""COMPUTED_VALUE"""),"Butwal Power Company")</f>
        <v>Butwal Power Company</v>
      </c>
      <c r="H1277" s="2" t="str">
        <f>IFERROR(__xludf.DUMMYFUNCTION("""COMPUTED_VALUE"""),"GPO Box: 11728, Kathmandu Tel: 4781776")</f>
        <v>GPO Box: 11728, Kathmandu Tel: 4781776</v>
      </c>
      <c r="I1277" s="2" t="str">
        <f>IFERROR(__xludf.DUMMYFUNCTION("""COMPUTED_VALUE"""),"28o 30' 00""")</f>
        <v>28o 30' 00"</v>
      </c>
      <c r="J1277" s="2" t="str">
        <f>IFERROR(__xludf.DUMMYFUNCTION("""COMPUTED_VALUE"""),"28o 31' 16""")</f>
        <v>28o 31' 16"</v>
      </c>
      <c r="K1277" s="2" t="str">
        <f>IFERROR(__xludf.DUMMYFUNCTION("""COMPUTED_VALUE"""),"84o 21' 27""")</f>
        <v>84o 21' 27"</v>
      </c>
      <c r="L1277" s="2" t="str">
        <f>IFERROR(__xludf.DUMMYFUNCTION("""COMPUTED_VALUE"""),"84o 21' 55""")</f>
        <v>84o 21' 55"</v>
      </c>
      <c r="M1277" s="2" t="str">
        <f>IFERROR(__xludf.DUMMYFUNCTION("""COMPUTED_VALUE"""),"Dharapani,Thoche (Manang)")</f>
        <v>Dharapani,Thoche (Manang)</v>
      </c>
    </row>
    <row r="1278">
      <c r="A1278" s="2">
        <f>IFERROR(__xludf.DUMMYFUNCTION("""COMPUTED_VALUE"""),1277.0)</f>
        <v>1277</v>
      </c>
      <c r="B1278" s="2" t="str">
        <f>IFERROR(__xludf.DUMMYFUNCTION("""COMPUTED_VALUE"""),"Dudh Khola-Dana Khola HPP")</f>
        <v>Dudh Khola-Dana Khola HPP</v>
      </c>
      <c r="C1278" s="2">
        <f>IFERROR(__xludf.DUMMYFUNCTION("""COMPUTED_VALUE"""),18.8)</f>
        <v>18.8</v>
      </c>
      <c r="D1278" s="2" t="str">
        <f>IFERROR(__xludf.DUMMYFUNCTION("""COMPUTED_VALUE"""),"Marsyangdi")</f>
        <v>Marsyangdi</v>
      </c>
      <c r="E1278" s="2">
        <f>IFERROR(__xludf.DUMMYFUNCTION("""COMPUTED_VALUE"""),1139.0)</f>
        <v>1139</v>
      </c>
      <c r="F1278" s="3">
        <f>IFERROR(__xludf.DUMMYFUNCTION("""COMPUTED_VALUE"""),60778.0)</f>
        <v>60778</v>
      </c>
      <c r="G1278" s="2" t="str">
        <f>IFERROR(__xludf.DUMMYFUNCTION("""COMPUTED_VALUE"""),"BPC Services Limited")</f>
        <v>BPC Services Limited</v>
      </c>
      <c r="H1278" s="2" t="str">
        <f>IFERROR(__xludf.DUMMYFUNCTION("""COMPUTED_VALUE"""),"GPO Box: 11728, Kathmandu Tel: 4781776")</f>
        <v>GPO Box: 11728, Kathmandu Tel: 4781776</v>
      </c>
      <c r="I1278" s="2" t="str">
        <f>IFERROR(__xludf.DUMMYFUNCTION("""COMPUTED_VALUE"""),"28o 30' 00""")</f>
        <v>28o 30' 00"</v>
      </c>
      <c r="J1278" s="2" t="str">
        <f>IFERROR(__xludf.DUMMYFUNCTION("""COMPUTED_VALUE"""),"28o 31' 16""")</f>
        <v>28o 31' 16"</v>
      </c>
      <c r="K1278" s="2" t="str">
        <f>IFERROR(__xludf.DUMMYFUNCTION("""COMPUTED_VALUE"""),"84o 21' 27""")</f>
        <v>84o 21' 27"</v>
      </c>
      <c r="L1278" s="2" t="str">
        <f>IFERROR(__xludf.DUMMYFUNCTION("""COMPUTED_VALUE"""),"84o 21' 55""")</f>
        <v>84o 21' 55"</v>
      </c>
      <c r="M1278" s="2" t="str">
        <f>IFERROR(__xludf.DUMMYFUNCTION("""COMPUTED_VALUE"""),"Dharapani,Thoche (Manang)")</f>
        <v>Dharapani,Thoche (Manang)</v>
      </c>
    </row>
    <row r="1279">
      <c r="A1279" s="2">
        <f>IFERROR(__xludf.DUMMYFUNCTION("""COMPUTED_VALUE"""),1278.0)</f>
        <v>1278</v>
      </c>
      <c r="B1279" s="2" t="str">
        <f>IFERROR(__xludf.DUMMYFUNCTION("""COMPUTED_VALUE"""),"Mayun Khola SHP")</f>
        <v>Mayun Khola SHP</v>
      </c>
      <c r="C1279" s="2">
        <f>IFERROR(__xludf.DUMMYFUNCTION("""COMPUTED_VALUE"""),0.7)</f>
        <v>0.7</v>
      </c>
      <c r="D1279" s="2" t="str">
        <f>IFERROR(__xludf.DUMMYFUNCTION("""COMPUTED_VALUE"""),"Mayun")</f>
        <v>Mayun</v>
      </c>
      <c r="E1279" s="2">
        <f>IFERROR(__xludf.DUMMYFUNCTION("""COMPUTED_VALUE"""),1145.0)</f>
        <v>1145</v>
      </c>
      <c r="F1279" s="3">
        <f>IFERROR(__xludf.DUMMYFUNCTION("""COMPUTED_VALUE"""),60778.0)</f>
        <v>60778</v>
      </c>
      <c r="G1279" s="2" t="str">
        <f>IFERROR(__xludf.DUMMYFUNCTION("""COMPUTED_VALUE"""),"Raj Tamang")</f>
        <v>Raj Tamang</v>
      </c>
      <c r="H1279" s="2" t="str">
        <f>IFERROR(__xludf.DUMMYFUNCTION("""COMPUTED_VALUE"""),"Golche, Sindhupalchowk")</f>
        <v>Golche, Sindhupalchowk</v>
      </c>
      <c r="I1279" s="2" t="str">
        <f>IFERROR(__xludf.DUMMYFUNCTION("""COMPUTED_VALUE"""),"27o 55' 23""")</f>
        <v>27o 55' 23"</v>
      </c>
      <c r="J1279" s="2" t="str">
        <f>IFERROR(__xludf.DUMMYFUNCTION("""COMPUTED_VALUE"""),"27o 56' 33""")</f>
        <v>27o 56' 33"</v>
      </c>
      <c r="K1279" s="2" t="str">
        <f>IFERROR(__xludf.DUMMYFUNCTION("""COMPUTED_VALUE"""),"85o 45' 05""")</f>
        <v>85o 45' 05"</v>
      </c>
      <c r="L1279" s="2" t="str">
        <f>IFERROR(__xludf.DUMMYFUNCTION("""COMPUTED_VALUE"""),"85o 46' 10""")</f>
        <v>85o 46' 10"</v>
      </c>
      <c r="M1279" s="2" t="str">
        <f>IFERROR(__xludf.DUMMYFUNCTION("""COMPUTED_VALUE"""),"Golche (Sindhupalchok)")</f>
        <v>Golche (Sindhupalchok)</v>
      </c>
    </row>
    <row r="1280">
      <c r="A1280" s="2">
        <f>IFERROR(__xludf.DUMMYFUNCTION("""COMPUTED_VALUE"""),1279.0)</f>
        <v>1279</v>
      </c>
      <c r="B1280" s="2" t="str">
        <f>IFERROR(__xludf.DUMMYFUNCTION("""COMPUTED_VALUE"""),"Indrawati-1 Hydropower Project")</f>
        <v>Indrawati-1 Hydropower Project</v>
      </c>
      <c r="C1280" s="2">
        <f>IFERROR(__xludf.DUMMYFUNCTION("""COMPUTED_VALUE"""),10.0)</f>
        <v>10</v>
      </c>
      <c r="D1280" s="2" t="str">
        <f>IFERROR(__xludf.DUMMYFUNCTION("""COMPUTED_VALUE"""),"Indrawati Khola")</f>
        <v>Indrawati Khola</v>
      </c>
      <c r="E1280" s="2">
        <f>IFERROR(__xludf.DUMMYFUNCTION("""COMPUTED_VALUE"""),1146.0)</f>
        <v>1146</v>
      </c>
      <c r="F1280" s="3">
        <f>IFERROR(__xludf.DUMMYFUNCTION("""COMPUTED_VALUE"""),60778.0)</f>
        <v>60778</v>
      </c>
      <c r="G1280" s="2" t="str">
        <f>IFERROR(__xludf.DUMMYFUNCTION("""COMPUTED_VALUE"""),"Hydropower Research Pvt Ltd")</f>
        <v>Hydropower Research Pvt Ltd</v>
      </c>
      <c r="H1280" s="2" t="str">
        <f>IFERROR(__xludf.DUMMYFUNCTION("""COMPUTED_VALUE"""),"Baneswar, Kathmandu Tel: 4600777")</f>
        <v>Baneswar, Kathmandu Tel: 4600777</v>
      </c>
      <c r="I1280" s="2" t="str">
        <f>IFERROR(__xludf.DUMMYFUNCTION("""COMPUTED_VALUE"""),"27o 54' 32""")</f>
        <v>27o 54' 32"</v>
      </c>
      <c r="J1280" s="2" t="str">
        <f>IFERROR(__xludf.DUMMYFUNCTION("""COMPUTED_VALUE"""),"27o 56' 28""")</f>
        <v>27o 56' 28"</v>
      </c>
      <c r="K1280" s="2" t="str">
        <f>IFERROR(__xludf.DUMMYFUNCTION("""COMPUTED_VALUE"""),"85o 35' 50""")</f>
        <v>85o 35' 50"</v>
      </c>
      <c r="L1280" s="2" t="str">
        <f>IFERROR(__xludf.DUMMYFUNCTION("""COMPUTED_VALUE"""),"85o 39' 10""")</f>
        <v>85o 39' 10"</v>
      </c>
      <c r="M1280" s="2" t="str">
        <f>IFERROR(__xludf.DUMMYFUNCTION("""COMPUTED_VALUE"""),"Baruwa,Thampal Dhap (Sindhupalchok)")</f>
        <v>Baruwa,Thampal Dhap (Sindhupalchok)</v>
      </c>
    </row>
    <row r="1281">
      <c r="A1281" s="2">
        <f>IFERROR(__xludf.DUMMYFUNCTION("""COMPUTED_VALUE"""),1280.0)</f>
        <v>1280</v>
      </c>
      <c r="B1281" s="2" t="str">
        <f>IFERROR(__xludf.DUMMYFUNCTION("""COMPUTED_VALUE"""),"Barju Gad HPP")</f>
        <v>Barju Gad HPP</v>
      </c>
      <c r="C1281" s="2">
        <f>IFERROR(__xludf.DUMMYFUNCTION("""COMPUTED_VALUE"""),3.0)</f>
        <v>3</v>
      </c>
      <c r="D1281" s="2" t="str">
        <f>IFERROR(__xludf.DUMMYFUNCTION("""COMPUTED_VALUE"""),"Barju Gad")</f>
        <v>Barju Gad</v>
      </c>
      <c r="E1281" s="2">
        <f>IFERROR(__xludf.DUMMYFUNCTION("""COMPUTED_VALUE"""),1162.0)</f>
        <v>1162</v>
      </c>
      <c r="F1281" s="3">
        <f>IFERROR(__xludf.DUMMYFUNCTION("""COMPUTED_VALUE"""),60780.0)</f>
        <v>60780</v>
      </c>
      <c r="G1281" s="2" t="str">
        <f>IFERROR(__xludf.DUMMYFUNCTION("""COMPUTED_VALUE"""),"Chudamani Bhattarai")</f>
        <v>Chudamani Bhattarai</v>
      </c>
      <c r="H1281" s="2" t="str">
        <f>IFERROR(__xludf.DUMMYFUNCTION("""COMPUTED_VALUE"""),"GPO Box: 8975, Kathmandu, Tel: 9841886804")</f>
        <v>GPO Box: 8975, Kathmandu, Tel: 9841886804</v>
      </c>
      <c r="I1281" s="2" t="str">
        <f>IFERROR(__xludf.DUMMYFUNCTION("""COMPUTED_VALUE"""),"29o 20' 53""")</f>
        <v>29o 20' 53"</v>
      </c>
      <c r="J1281" s="2" t="str">
        <f>IFERROR(__xludf.DUMMYFUNCTION("""COMPUTED_VALUE"""),"29o 22' 28""")</f>
        <v>29o 22' 28"</v>
      </c>
      <c r="K1281" s="2" t="str">
        <f>IFERROR(__xludf.DUMMYFUNCTION("""COMPUTED_VALUE"""),"81o 18' 41""")</f>
        <v>81o 18' 41"</v>
      </c>
      <c r="L1281" s="2" t="str">
        <f>IFERROR(__xludf.DUMMYFUNCTION("""COMPUTED_VALUE"""),"81o 19' 29""")</f>
        <v>81o 19' 29"</v>
      </c>
      <c r="M1281" s="2" t="str">
        <f>IFERROR(__xludf.DUMMYFUNCTION("""COMPUTED_VALUE"""),"Barhabise,Gudukhati (Bajura)")</f>
        <v>Barhabise,Gudukhati (Bajura)</v>
      </c>
    </row>
    <row r="1282">
      <c r="A1282" s="2">
        <f>IFERROR(__xludf.DUMMYFUNCTION("""COMPUTED_VALUE"""),1281.0)</f>
        <v>1281</v>
      </c>
      <c r="B1282" s="2" t="str">
        <f>IFERROR(__xludf.DUMMYFUNCTION("""COMPUTED_VALUE"""),"Togo Khola SHP")</f>
        <v>Togo Khola SHP</v>
      </c>
      <c r="C1282" s="2">
        <f>IFERROR(__xludf.DUMMYFUNCTION("""COMPUTED_VALUE"""),0.7)</f>
        <v>0.7</v>
      </c>
      <c r="D1282" s="2" t="str">
        <f>IFERROR(__xludf.DUMMYFUNCTION("""COMPUTED_VALUE"""),"Togo")</f>
        <v>Togo</v>
      </c>
      <c r="E1282" s="2">
        <f>IFERROR(__xludf.DUMMYFUNCTION("""COMPUTED_VALUE"""),1163.0)</f>
        <v>1163</v>
      </c>
      <c r="F1282" s="3">
        <f>IFERROR(__xludf.DUMMYFUNCTION("""COMPUTED_VALUE"""),60780.0)</f>
        <v>60780</v>
      </c>
      <c r="G1282" s="2" t="str">
        <f>IFERROR(__xludf.DUMMYFUNCTION("""COMPUTED_VALUE"""),"Suryakala Baral Koirala")</f>
        <v>Suryakala Baral Koirala</v>
      </c>
      <c r="H1282" s="2" t="str">
        <f>IFERROR(__xludf.DUMMYFUNCTION("""COMPUTED_VALUE"""),"Sardanagar, Chitwan, Tel; 9851085087")</f>
        <v>Sardanagar, Chitwan, Tel; 9851085087</v>
      </c>
      <c r="I1282" s="2" t="str">
        <f>IFERROR(__xludf.DUMMYFUNCTION("""COMPUTED_VALUE"""),"28o 17' 51""")</f>
        <v>28o 17' 51"</v>
      </c>
      <c r="J1282" s="2" t="str">
        <f>IFERROR(__xludf.DUMMYFUNCTION("""COMPUTED_VALUE"""),"28o 19' 28""")</f>
        <v>28o 19' 28"</v>
      </c>
      <c r="K1282" s="2" t="str">
        <f>IFERROR(__xludf.DUMMYFUNCTION("""COMPUTED_VALUE"""),"84o 11' 37""")</f>
        <v>84o 11' 37"</v>
      </c>
      <c r="L1282" s="2" t="str">
        <f>IFERROR(__xludf.DUMMYFUNCTION("""COMPUTED_VALUE"""),"84o 12' 49""")</f>
        <v>84o 12' 49"</v>
      </c>
      <c r="M1282" s="2" t="str">
        <f>IFERROR(__xludf.DUMMYFUNCTION("""COMPUTED_VALUE"""),"Pasagaun (Lamjung)")</f>
        <v>Pasagaun (Lamjung)</v>
      </c>
    </row>
    <row r="1283">
      <c r="A1283" s="2">
        <f>IFERROR(__xludf.DUMMYFUNCTION("""COMPUTED_VALUE"""),1282.0)</f>
        <v>1282</v>
      </c>
      <c r="B1283" s="2" t="str">
        <f>IFERROR(__xludf.DUMMYFUNCTION("""COMPUTED_VALUE"""),"Roshi Tinpiple SHP")</f>
        <v>Roshi Tinpiple SHP</v>
      </c>
      <c r="C1283" s="2">
        <f>IFERROR(__xludf.DUMMYFUNCTION("""COMPUTED_VALUE"""),1.0)</f>
        <v>1</v>
      </c>
      <c r="D1283" s="2" t="str">
        <f>IFERROR(__xludf.DUMMYFUNCTION("""COMPUTED_VALUE"""),"Roshi")</f>
        <v>Roshi</v>
      </c>
      <c r="E1283" s="2">
        <f>IFERROR(__xludf.DUMMYFUNCTION("""COMPUTED_VALUE"""),1164.0)</f>
        <v>1164</v>
      </c>
      <c r="F1283" s="3">
        <f>IFERROR(__xludf.DUMMYFUNCTION("""COMPUTED_VALUE"""),60780.0)</f>
        <v>60780</v>
      </c>
      <c r="G1283" s="2" t="str">
        <f>IFERROR(__xludf.DUMMYFUNCTION("""COMPUTED_VALUE"""),"Palanchowk Bhagbati Hydropower Pvt Ltd")</f>
        <v>Palanchowk Bhagbati Hydropower Pvt Ltd</v>
      </c>
      <c r="H1283" s="2" t="str">
        <f>IFERROR(__xludf.DUMMYFUNCTION("""COMPUTED_VALUE"""),"Kathmandu, Tel: 01-4991376")</f>
        <v>Kathmandu, Tel: 01-4991376</v>
      </c>
      <c r="I1283" s="2" t="str">
        <f>IFERROR(__xludf.DUMMYFUNCTION("""COMPUTED_VALUE"""),"27o 29' 41""")</f>
        <v>27o 29' 41"</v>
      </c>
      <c r="J1283" s="2" t="str">
        <f>IFERROR(__xludf.DUMMYFUNCTION("""COMPUTED_VALUE"""),"27o 31' 25""")</f>
        <v>27o 31' 25"</v>
      </c>
      <c r="K1283" s="2" t="str">
        <f>IFERROR(__xludf.DUMMYFUNCTION("""COMPUTED_VALUE"""),"85o 41' 57""")</f>
        <v>85o 41' 57"</v>
      </c>
      <c r="L1283" s="2" t="str">
        <f>IFERROR(__xludf.DUMMYFUNCTION("""COMPUTED_VALUE"""),"85o 43' 29""")</f>
        <v>85o 43' 29"</v>
      </c>
      <c r="M1283" s="2" t="str">
        <f>IFERROR(__xludf.DUMMYFUNCTION("""COMPUTED_VALUE"""),"Kanpur Kalapani,Pokhari Narayansthan (Kavrepalanchok)")</f>
        <v>Kanpur Kalapani,Pokhari Narayansthan (Kavrepalanchok)</v>
      </c>
    </row>
    <row r="1284">
      <c r="A1284" s="2">
        <f>IFERROR(__xludf.DUMMYFUNCTION("""COMPUTED_VALUE"""),1283.0)</f>
        <v>1283</v>
      </c>
      <c r="B1284" s="2" t="str">
        <f>IFERROR(__xludf.DUMMYFUNCTION("""COMPUTED_VALUE"""),"Mayun Khola SHP")</f>
        <v>Mayun Khola SHP</v>
      </c>
      <c r="C1284" s="2">
        <f>IFERROR(__xludf.DUMMYFUNCTION("""COMPUTED_VALUE"""),0.97)</f>
        <v>0.97</v>
      </c>
      <c r="D1284" s="2" t="str">
        <f>IFERROR(__xludf.DUMMYFUNCTION("""COMPUTED_VALUE"""),"Mayun")</f>
        <v>Mayun</v>
      </c>
      <c r="E1284" s="2">
        <f>IFERROR(__xludf.DUMMYFUNCTION("""COMPUTED_VALUE"""),1166.0)</f>
        <v>1166</v>
      </c>
      <c r="F1284" s="3">
        <f>IFERROR(__xludf.DUMMYFUNCTION("""COMPUTED_VALUE"""),60780.0)</f>
        <v>60780</v>
      </c>
      <c r="G1284" s="2" t="str">
        <f>IFERROR(__xludf.DUMMYFUNCTION("""COMPUTED_VALUE"""),"Amar Jyoti Hydropower Pvt Ltd")</f>
        <v>Amar Jyoti Hydropower Pvt Ltd</v>
      </c>
      <c r="H1284" s="2" t="str">
        <f>IFERROR(__xludf.DUMMYFUNCTION("""COMPUTED_VALUE"""),"Lalitpur, Tel; 9841295651")</f>
        <v>Lalitpur, Tel; 9841295651</v>
      </c>
      <c r="I1284" s="2" t="str">
        <f>IFERROR(__xludf.DUMMYFUNCTION("""COMPUTED_VALUE"""),"28o 04' 11""")</f>
        <v>28o 04' 11"</v>
      </c>
      <c r="J1284" s="2" t="str">
        <f>IFERROR(__xludf.DUMMYFUNCTION("""COMPUTED_VALUE"""),"28o 06' 00""")</f>
        <v>28o 06' 00"</v>
      </c>
      <c r="K1284" s="2" t="str">
        <f>IFERROR(__xludf.DUMMYFUNCTION("""COMPUTED_VALUE"""),"84o 45' 00""")</f>
        <v>84o 45' 00"</v>
      </c>
      <c r="L1284" s="2" t="str">
        <f>IFERROR(__xludf.DUMMYFUNCTION("""COMPUTED_VALUE"""),"84o 46' 00""")</f>
        <v>84o 46' 00"</v>
      </c>
      <c r="M1284" s="2" t="str">
        <f>IFERROR(__xludf.DUMMYFUNCTION("""COMPUTED_VALUE"""),"Aarupokhari (Gorkha)")</f>
        <v>Aarupokhari (Gorkha)</v>
      </c>
    </row>
    <row r="1285">
      <c r="A1285" s="2">
        <f>IFERROR(__xludf.DUMMYFUNCTION("""COMPUTED_VALUE"""),1284.0)</f>
        <v>1284</v>
      </c>
      <c r="B1285" s="2" t="str">
        <f>IFERROR(__xludf.DUMMYFUNCTION("""COMPUTED_VALUE"""),"Roshi Khola SHP")</f>
        <v>Roshi Khola SHP</v>
      </c>
      <c r="C1285" s="2">
        <f>IFERROR(__xludf.DUMMYFUNCTION("""COMPUTED_VALUE"""),0.983)</f>
        <v>0.983</v>
      </c>
      <c r="D1285" s="2" t="str">
        <f>IFERROR(__xludf.DUMMYFUNCTION("""COMPUTED_VALUE"""),"Roshi")</f>
        <v>Roshi</v>
      </c>
      <c r="E1285" s="2">
        <f>IFERROR(__xludf.DUMMYFUNCTION("""COMPUTED_VALUE"""),1170.0)</f>
        <v>1170</v>
      </c>
      <c r="F1285" s="3">
        <f>IFERROR(__xludf.DUMMYFUNCTION("""COMPUTED_VALUE"""),60780.0)</f>
        <v>60780</v>
      </c>
      <c r="G1285" s="2" t="str">
        <f>IFERROR(__xludf.DUMMYFUNCTION("""COMPUTED_VALUE"""),"Chhegu Tamang, Tukman Lama")</f>
        <v>Chhegu Tamang, Tukman Lama</v>
      </c>
      <c r="H1285" s="2" t="str">
        <f>IFERROR(__xludf.DUMMYFUNCTION("""COMPUTED_VALUE"""),"Kuruwas Chapapokhri, Kavrepalanchowk")</f>
        <v>Kuruwas Chapapokhri, Kavrepalanchowk</v>
      </c>
      <c r="I1285" s="2" t="str">
        <f>IFERROR(__xludf.DUMMYFUNCTION("""COMPUTED_VALUE"""),"27o 30' 30""")</f>
        <v>27o 30' 30"</v>
      </c>
      <c r="J1285" s="2" t="str">
        <f>IFERROR(__xludf.DUMMYFUNCTION("""COMPUTED_VALUE"""),"27o 31' 30""")</f>
        <v>27o 31' 30"</v>
      </c>
      <c r="K1285" s="2" t="str">
        <f>IFERROR(__xludf.DUMMYFUNCTION("""COMPUTED_VALUE"""),"85o 36' 12""")</f>
        <v>85o 36' 12"</v>
      </c>
      <c r="L1285" s="2" t="str">
        <f>IFERROR(__xludf.DUMMYFUNCTION("""COMPUTED_VALUE"""),"85o 38' 43""")</f>
        <v>85o 38' 43"</v>
      </c>
      <c r="M1285" s="2" t="str">
        <f>IFERROR(__xludf.DUMMYFUNCTION("""COMPUTED_VALUE"""),"Daraune Pokhari,Sikhar Ambote (Kavrepalanchok)")</f>
        <v>Daraune Pokhari,Sikhar Ambote (Kavrepalanchok)</v>
      </c>
    </row>
    <row r="1286">
      <c r="A1286" s="2">
        <f>IFERROR(__xludf.DUMMYFUNCTION("""COMPUTED_VALUE"""),1285.0)</f>
        <v>1285</v>
      </c>
      <c r="B1286" s="2" t="str">
        <f>IFERROR(__xludf.DUMMYFUNCTION("""COMPUTED_VALUE"""),"Gothi Khola SHP")</f>
        <v>Gothi Khola SHP</v>
      </c>
      <c r="C1286" s="2">
        <f>IFERROR(__xludf.DUMMYFUNCTION("""COMPUTED_VALUE"""),0.955)</f>
        <v>0.955</v>
      </c>
      <c r="D1286" s="2" t="str">
        <f>IFERROR(__xludf.DUMMYFUNCTION("""COMPUTED_VALUE"""),"Gothi")</f>
        <v>Gothi</v>
      </c>
      <c r="E1286" s="2">
        <f>IFERROR(__xludf.DUMMYFUNCTION("""COMPUTED_VALUE"""),1183.0)</f>
        <v>1183</v>
      </c>
      <c r="F1286" s="3">
        <f>IFERROR(__xludf.DUMMYFUNCTION("""COMPUTED_VALUE"""),60781.0)</f>
        <v>60781</v>
      </c>
      <c r="G1286" s="2" t="str">
        <f>IFERROR(__xludf.DUMMYFUNCTION("""COMPUTED_VALUE"""),"Bheri Energy Development Company Pvt Ltd")</f>
        <v>Bheri Energy Development Company Pvt Ltd</v>
      </c>
      <c r="H1286" s="2" t="str">
        <f>IFERROR(__xludf.DUMMYFUNCTION("""COMPUTED_VALUE"""),"Kathmandu, Tel: 9841784239")</f>
        <v>Kathmandu, Tel: 9841784239</v>
      </c>
      <c r="I1286" s="2" t="str">
        <f>IFERROR(__xludf.DUMMYFUNCTION("""COMPUTED_VALUE"""),"28o 59' 02""")</f>
        <v>28o 59' 02"</v>
      </c>
      <c r="J1286" s="2" t="str">
        <f>IFERROR(__xludf.DUMMYFUNCTION("""COMPUTED_VALUE"""),"29o 00' 38""")</f>
        <v>29o 00' 38"</v>
      </c>
      <c r="K1286" s="2" t="str">
        <f>IFERROR(__xludf.DUMMYFUNCTION("""COMPUTED_VALUE"""),"81o 34' 28""")</f>
        <v>81o 34' 28"</v>
      </c>
      <c r="L1286" s="2" t="str">
        <f>IFERROR(__xludf.DUMMYFUNCTION("""COMPUTED_VALUE"""),"81o 35' 30""")</f>
        <v>81o 35' 30"</v>
      </c>
      <c r="M1286" s="2" t="str">
        <f>IFERROR(__xludf.DUMMYFUNCTION("""COMPUTED_VALUE"""),"Bisalla (Dailekh)")</f>
        <v>Bisalla (Dailekh)</v>
      </c>
    </row>
    <row r="1287">
      <c r="A1287" s="2">
        <f>IFERROR(__xludf.DUMMYFUNCTION("""COMPUTED_VALUE"""),1286.0)</f>
        <v>1286</v>
      </c>
      <c r="B1287" s="2" t="str">
        <f>IFERROR(__xludf.DUMMYFUNCTION("""COMPUTED_VALUE"""),"Bhut Gad SHP")</f>
        <v>Bhut Gad SHP</v>
      </c>
      <c r="C1287" s="2">
        <f>IFERROR(__xludf.DUMMYFUNCTION("""COMPUTED_VALUE"""),0.7)</f>
        <v>0.7</v>
      </c>
      <c r="D1287" s="2" t="str">
        <f>IFERROR(__xludf.DUMMYFUNCTION("""COMPUTED_VALUE"""),"Bhut Gad")</f>
        <v>Bhut Gad</v>
      </c>
      <c r="E1287" s="2">
        <f>IFERROR(__xludf.DUMMYFUNCTION("""COMPUTED_VALUE"""),1184.0)</f>
        <v>1184</v>
      </c>
      <c r="F1287" s="3">
        <f>IFERROR(__xludf.DUMMYFUNCTION("""COMPUTED_VALUE"""),60781.0)</f>
        <v>60781</v>
      </c>
      <c r="G1287" s="2" t="str">
        <f>IFERROR(__xludf.DUMMYFUNCTION("""COMPUTED_VALUE"""),"Bheri Energy Development Company Pvt Ltd")</f>
        <v>Bheri Energy Development Company Pvt Ltd</v>
      </c>
      <c r="H1287" s="2" t="str">
        <f>IFERROR(__xludf.DUMMYFUNCTION("""COMPUTED_VALUE"""),"Kathmandu, Tel: 9841784239")</f>
        <v>Kathmandu, Tel: 9841784239</v>
      </c>
      <c r="I1287" s="2" t="str">
        <f>IFERROR(__xludf.DUMMYFUNCTION("""COMPUTED_VALUE"""),"28o 59' 02""")</f>
        <v>28o 59' 02"</v>
      </c>
      <c r="J1287" s="2" t="str">
        <f>IFERROR(__xludf.DUMMYFUNCTION("""COMPUTED_VALUE"""),"29o 00' 38""")</f>
        <v>29o 00' 38"</v>
      </c>
      <c r="K1287" s="2" t="str">
        <f>IFERROR(__xludf.DUMMYFUNCTION("""COMPUTED_VALUE"""),"81o 32' 56""")</f>
        <v>81o 32' 56"</v>
      </c>
      <c r="L1287" s="2" t="str">
        <f>IFERROR(__xludf.DUMMYFUNCTION("""COMPUTED_VALUE"""),"81o 33' 50""")</f>
        <v>81o 33' 50"</v>
      </c>
      <c r="M1287" s="2" t="str">
        <f>IFERROR(__xludf.DUMMYFUNCTION("""COMPUTED_VALUE"""),"Lakandra (Dailekh)")</f>
        <v>Lakandra (Dailekh)</v>
      </c>
    </row>
    <row r="1288">
      <c r="A1288" s="2">
        <f>IFERROR(__xludf.DUMMYFUNCTION("""COMPUTED_VALUE"""),1287.0)</f>
        <v>1287</v>
      </c>
      <c r="B1288" s="2" t="str">
        <f>IFERROR(__xludf.DUMMYFUNCTION("""COMPUTED_VALUE"""),"Upper Ram Gad-1 SHP")</f>
        <v>Upper Ram Gad-1 SHP</v>
      </c>
      <c r="C1288" s="2">
        <f>IFERROR(__xludf.DUMMYFUNCTION("""COMPUTED_VALUE"""),0.99)</f>
        <v>0.99</v>
      </c>
      <c r="D1288" s="2" t="str">
        <f>IFERROR(__xludf.DUMMYFUNCTION("""COMPUTED_VALUE"""),"Ram gad")</f>
        <v>Ram gad</v>
      </c>
      <c r="E1288" s="2">
        <f>IFERROR(__xludf.DUMMYFUNCTION("""COMPUTED_VALUE"""),1185.0)</f>
        <v>1185</v>
      </c>
      <c r="F1288" s="3">
        <f>IFERROR(__xludf.DUMMYFUNCTION("""COMPUTED_VALUE"""),60781.0)</f>
        <v>60781</v>
      </c>
      <c r="G1288" s="2" t="str">
        <f>IFERROR(__xludf.DUMMYFUNCTION("""COMPUTED_VALUE"""),"Bheri Energy Development Company Pvt Ltd")</f>
        <v>Bheri Energy Development Company Pvt Ltd</v>
      </c>
      <c r="H1288" s="2" t="str">
        <f>IFERROR(__xludf.DUMMYFUNCTION("""COMPUTED_VALUE"""),"Kathmandu, Tel: 9748014293")</f>
        <v>Kathmandu, Tel: 9748014293</v>
      </c>
      <c r="I1288" s="2" t="str">
        <f>IFERROR(__xludf.DUMMYFUNCTION("""COMPUTED_VALUE"""),"28o 59' 02""")</f>
        <v>28o 59' 02"</v>
      </c>
      <c r="J1288" s="2" t="str">
        <f>IFERROR(__xludf.DUMMYFUNCTION("""COMPUTED_VALUE"""),"29o 00' 00""")</f>
        <v>29o 00' 00"</v>
      </c>
      <c r="K1288" s="2" t="str">
        <f>IFERROR(__xludf.DUMMYFUNCTION("""COMPUTED_VALUE"""),"81o 35' 30""")</f>
        <v>81o 35' 30"</v>
      </c>
      <c r="L1288" s="2" t="str">
        <f>IFERROR(__xludf.DUMMYFUNCTION("""COMPUTED_VALUE"""),"81o 37' 30""")</f>
        <v>81o 37' 30"</v>
      </c>
      <c r="M1288" s="2" t="str">
        <f>IFERROR(__xludf.DUMMYFUNCTION("""COMPUTED_VALUE"""),"Bisalla (Dailekh)")</f>
        <v>Bisalla (Dailekh)</v>
      </c>
    </row>
    <row r="1289">
      <c r="A1289" s="2">
        <f>IFERROR(__xludf.DUMMYFUNCTION("""COMPUTED_VALUE"""),1288.0)</f>
        <v>1288</v>
      </c>
      <c r="B1289" s="2" t="str">
        <f>IFERROR(__xludf.DUMMYFUNCTION("""COMPUTED_VALUE"""),"Munsya Khola SHP")</f>
        <v>Munsya Khola SHP</v>
      </c>
      <c r="C1289" s="2">
        <f>IFERROR(__xludf.DUMMYFUNCTION("""COMPUTED_VALUE"""),0.777)</f>
        <v>0.777</v>
      </c>
      <c r="D1289" s="2" t="str">
        <f>IFERROR(__xludf.DUMMYFUNCTION("""COMPUTED_VALUE"""),"Munsya")</f>
        <v>Munsya</v>
      </c>
      <c r="E1289" s="2">
        <f>IFERROR(__xludf.DUMMYFUNCTION("""COMPUTED_VALUE"""),1246.0)</f>
        <v>1246</v>
      </c>
      <c r="F1289" s="3">
        <f>IFERROR(__xludf.DUMMYFUNCTION("""COMPUTED_VALUE"""),60784.0)</f>
        <v>60784</v>
      </c>
      <c r="G1289" s="2" t="str">
        <f>IFERROR(__xludf.DUMMYFUNCTION("""COMPUTED_VALUE"""),"Barah Multipower Pvt Ltd")</f>
        <v>Barah Multipower Pvt Ltd</v>
      </c>
      <c r="H1289" s="2" t="str">
        <f>IFERROR(__xludf.DUMMYFUNCTION("""COMPUTED_VALUE"""),"Kathmandu Municipality-32, Anamnagar,Kathmandu, Tel: 9851099910")</f>
        <v>Kathmandu Municipality-32, Anamnagar,Kathmandu, Tel: 9851099910</v>
      </c>
      <c r="I1289" s="2" t="str">
        <f>IFERROR(__xludf.DUMMYFUNCTION("""COMPUTED_VALUE"""),"27o 06' 07""")</f>
        <v>27o 06' 07"</v>
      </c>
      <c r="J1289" s="2" t="str">
        <f>IFERROR(__xludf.DUMMYFUNCTION("""COMPUTED_VALUE"""),"27o 07' 30""")</f>
        <v>27o 07' 30"</v>
      </c>
      <c r="K1289" s="2" t="str">
        <f>IFERROR(__xludf.DUMMYFUNCTION("""COMPUTED_VALUE"""),"87o 26' 11""")</f>
        <v>87o 26' 11"</v>
      </c>
      <c r="L1289" s="2" t="str">
        <f>IFERROR(__xludf.DUMMYFUNCTION("""COMPUTED_VALUE"""),"87o 27' 30""")</f>
        <v>87o 27' 30"</v>
      </c>
      <c r="M1289" s="2" t="str">
        <f>IFERROR(__xludf.DUMMYFUNCTION("""COMPUTED_VALUE"""),"Basantapur,Dangpa,Sungnam (Terhathum)")</f>
        <v>Basantapur,Dangpa,Sungnam (Terhathum)</v>
      </c>
    </row>
    <row r="1290">
      <c r="A1290" s="2">
        <f>IFERROR(__xludf.DUMMYFUNCTION("""COMPUTED_VALUE"""),1289.0)</f>
        <v>1289</v>
      </c>
      <c r="B1290" s="2" t="str">
        <f>IFERROR(__xludf.DUMMYFUNCTION("""COMPUTED_VALUE"""),"Khoranga Khola SHP")</f>
        <v>Khoranga Khola SHP</v>
      </c>
      <c r="C1290" s="2">
        <f>IFERROR(__xludf.DUMMYFUNCTION("""COMPUTED_VALUE"""),0.834)</f>
        <v>0.834</v>
      </c>
      <c r="D1290" s="2" t="str">
        <f>IFERROR(__xludf.DUMMYFUNCTION("""COMPUTED_VALUE"""),"Khoranga Khola")</f>
        <v>Khoranga Khola</v>
      </c>
      <c r="E1290" s="2">
        <f>IFERROR(__xludf.DUMMYFUNCTION("""COMPUTED_VALUE"""),1274.0)</f>
        <v>1274</v>
      </c>
      <c r="F1290" s="3">
        <f>IFERROR(__xludf.DUMMYFUNCTION("""COMPUTED_VALUE"""),60787.0)</f>
        <v>60787</v>
      </c>
      <c r="G1290" s="2" t="str">
        <f>IFERROR(__xludf.DUMMYFUNCTION("""COMPUTED_VALUE"""),"Prakash Chandra Dulal")</f>
        <v>Prakash Chandra Dulal</v>
      </c>
      <c r="H1290" s="2" t="str">
        <f>IFERROR(__xludf.DUMMYFUNCTION("""COMPUTED_VALUE"""),"GPO Box: 8973, Kathmandu Tel: 4487793,9741121372")</f>
        <v>GPO Box: 8973, Kathmandu Tel: 4487793,9741121372</v>
      </c>
      <c r="I1290" s="2" t="str">
        <f>IFERROR(__xludf.DUMMYFUNCTION("""COMPUTED_VALUE"""),"27o 13' 43""")</f>
        <v>27o 13' 43"</v>
      </c>
      <c r="J1290" s="2" t="str">
        <f>IFERROR(__xludf.DUMMYFUNCTION("""COMPUTED_VALUE"""),"27o 14' 07""")</f>
        <v>27o 14' 07"</v>
      </c>
      <c r="K1290" s="2" t="str">
        <f>IFERROR(__xludf.DUMMYFUNCTION("""COMPUTED_VALUE"""),"87o 31' 38""")</f>
        <v>87o 31' 38"</v>
      </c>
      <c r="L1290" s="2" t="str">
        <f>IFERROR(__xludf.DUMMYFUNCTION("""COMPUTED_VALUE"""),"87o 32' 11""")</f>
        <v>87o 32' 11"</v>
      </c>
      <c r="M1290" s="2" t="str">
        <f>IFERROR(__xludf.DUMMYFUNCTION("""COMPUTED_VALUE"""),"Shree Jung (Terhathum)")</f>
        <v>Shree Jung (Terhathum)</v>
      </c>
    </row>
    <row r="1291">
      <c r="A1291" s="2">
        <f>IFERROR(__xludf.DUMMYFUNCTION("""COMPUTED_VALUE"""),1290.0)</f>
        <v>1290</v>
      </c>
      <c r="B1291" s="2" t="str">
        <f>IFERROR(__xludf.DUMMYFUNCTION("""COMPUTED_VALUE"""),"Madame khola")</f>
        <v>Madame khola</v>
      </c>
      <c r="C1291" s="2">
        <f>IFERROR(__xludf.DUMMYFUNCTION("""COMPUTED_VALUE"""),5.0)</f>
        <v>5</v>
      </c>
      <c r="D1291" s="2" t="str">
        <f>IFERROR(__xludf.DUMMYFUNCTION("""COMPUTED_VALUE"""),"Madme Khola")</f>
        <v>Madme Khola</v>
      </c>
      <c r="E1291" s="2">
        <f>IFERROR(__xludf.DUMMYFUNCTION("""COMPUTED_VALUE"""),1310.0)</f>
        <v>1310</v>
      </c>
      <c r="F1291" s="3">
        <f>IFERROR(__xludf.DUMMYFUNCTION("""COMPUTED_VALUE"""),60790.0)</f>
        <v>60790</v>
      </c>
      <c r="G1291" s="2" t="str">
        <f>IFERROR(__xludf.DUMMYFUNCTION("""COMPUTED_VALUE"""),"Madi Gandaki Power Company Pvt. Ltd")</f>
        <v>Madi Gandaki Power Company Pvt. Ltd</v>
      </c>
      <c r="H1291" s="2" t="str">
        <f>IFERROR(__xludf.DUMMYFUNCTION("""COMPUTED_VALUE"""),"Khuma Height Lalitpur")</f>
        <v>Khuma Height Lalitpur</v>
      </c>
      <c r="I1291" s="2" t="str">
        <f>IFERROR(__xludf.DUMMYFUNCTION("""COMPUTED_VALUE"""),"28o 24' 45""")</f>
        <v>28o 24' 45"</v>
      </c>
      <c r="J1291" s="2" t="str">
        <f>IFERROR(__xludf.DUMMYFUNCTION("""COMPUTED_VALUE"""),"28o 28' 09""")</f>
        <v>28o 28' 09"</v>
      </c>
      <c r="K1291" s="2" t="str">
        <f>IFERROR(__xludf.DUMMYFUNCTION("""COMPUTED_VALUE"""),"84o 06' 59""")</f>
        <v>84o 06' 59"</v>
      </c>
      <c r="L1291" s="2" t="str">
        <f>IFERROR(__xludf.DUMMYFUNCTION("""COMPUTED_VALUE"""),"84o 10' 00""")</f>
        <v>84o 10' 00"</v>
      </c>
      <c r="M1291" s="2" t="str">
        <f>IFERROR(__xludf.DUMMYFUNCTION("""COMPUTED_VALUE"""),"Namarjung (Kaski)")</f>
        <v>Namarjung (Kaski)</v>
      </c>
    </row>
    <row r="1292">
      <c r="A1292" s="2">
        <f>IFERROR(__xludf.DUMMYFUNCTION("""COMPUTED_VALUE"""),1291.0)</f>
        <v>1291</v>
      </c>
      <c r="B1292" s="2" t="str">
        <f>IFERROR(__xludf.DUMMYFUNCTION("""COMPUTED_VALUE"""),"Bhim Khola HPP")</f>
        <v>Bhim Khola HPP</v>
      </c>
      <c r="C1292" s="2">
        <f>IFERROR(__xludf.DUMMYFUNCTION("""COMPUTED_VALUE"""),9.0)</f>
        <v>9</v>
      </c>
      <c r="D1292" s="2" t="str">
        <f>IFERROR(__xludf.DUMMYFUNCTION("""COMPUTED_VALUE"""),"Bhim Khola")</f>
        <v>Bhim Khola</v>
      </c>
      <c r="E1292" s="2">
        <f>IFERROR(__xludf.DUMMYFUNCTION("""COMPUTED_VALUE"""),1315.0)</f>
        <v>1315</v>
      </c>
      <c r="F1292" s="3">
        <f>IFERROR(__xludf.DUMMYFUNCTION("""COMPUTED_VALUE"""),60790.0)</f>
        <v>60790</v>
      </c>
      <c r="G1292" s="2" t="str">
        <f>IFERROR(__xludf.DUMMYFUNCTION("""COMPUTED_VALUE"""),"Butwal Power Company")</f>
        <v>Butwal Power Company</v>
      </c>
      <c r="H1292" s="2" t="str">
        <f>IFERROR(__xludf.DUMMYFUNCTION("""COMPUTED_VALUE"""),"GPO Box: 11728, Kathmandu Tel: 4781776")</f>
        <v>GPO Box: 11728, Kathmandu Tel: 4781776</v>
      </c>
      <c r="I1292" s="2" t="str">
        <f>IFERROR(__xludf.DUMMYFUNCTION("""COMPUTED_VALUE"""),"28o 15' 00""")</f>
        <v>28o 15' 00"</v>
      </c>
      <c r="J1292" s="2" t="str">
        <f>IFERROR(__xludf.DUMMYFUNCTION("""COMPUTED_VALUE"""),"28o 17' 30""")</f>
        <v>28o 17' 30"</v>
      </c>
      <c r="K1292" s="2" t="str">
        <f>IFERROR(__xludf.DUMMYFUNCTION("""COMPUTED_VALUE"""),"83o 11' 42""")</f>
        <v>83o 11' 42"</v>
      </c>
      <c r="L1292" s="2" t="str">
        <f>IFERROR(__xludf.DUMMYFUNCTION("""COMPUTED_VALUE"""),"83o 13' 32""")</f>
        <v>83o 13' 32"</v>
      </c>
      <c r="M1292" s="2" t="str">
        <f>IFERROR(__xludf.DUMMYFUNCTION("""COMPUTED_VALUE"""),"Bhinggithe,Gwalichaur (Baglung)")</f>
        <v>Bhinggithe,Gwalichaur (Baglung)</v>
      </c>
    </row>
    <row r="1293">
      <c r="A1293" s="2">
        <f>IFERROR(__xludf.DUMMYFUNCTION("""COMPUTED_VALUE"""),1292.0)</f>
        <v>1292</v>
      </c>
      <c r="B1293" s="2" t="str">
        <f>IFERROR(__xludf.DUMMYFUNCTION("""COMPUTED_VALUE"""),"Lower Myagdi HPP")</f>
        <v>Lower Myagdi HPP</v>
      </c>
      <c r="C1293" s="2">
        <f>IFERROR(__xludf.DUMMYFUNCTION("""COMPUTED_VALUE"""),10.0)</f>
        <v>10</v>
      </c>
      <c r="D1293" s="2" t="str">
        <f>IFERROR(__xludf.DUMMYFUNCTION("""COMPUTED_VALUE"""),"Myagdi Khola")</f>
        <v>Myagdi Khola</v>
      </c>
      <c r="E1293" s="2">
        <f>IFERROR(__xludf.DUMMYFUNCTION("""COMPUTED_VALUE"""),1325.0)</f>
        <v>1325</v>
      </c>
      <c r="F1293" s="3">
        <f>IFERROR(__xludf.DUMMYFUNCTION("""COMPUTED_VALUE"""),60791.0)</f>
        <v>60791</v>
      </c>
      <c r="G1293" s="2" t="str">
        <f>IFERROR(__xludf.DUMMYFUNCTION("""COMPUTED_VALUE"""),"Barun Energy Nepal Pvt Ltd")</f>
        <v>Barun Energy Nepal Pvt Ltd</v>
      </c>
      <c r="H1293" s="2" t="str">
        <f>IFERROR(__xludf.DUMMYFUNCTION("""COMPUTED_VALUE"""),"GPO Box: 25078, Kathmandu, Tel: 4492860")</f>
        <v>GPO Box: 25078, Kathmandu, Tel: 4492860</v>
      </c>
      <c r="I1293" s="2" t="str">
        <f>IFERROR(__xludf.DUMMYFUNCTION("""COMPUTED_VALUE"""),"28o 22' 00""")</f>
        <v>28o 22' 00"</v>
      </c>
      <c r="J1293" s="2" t="str">
        <f>IFERROR(__xludf.DUMMYFUNCTION("""COMPUTED_VALUE"""),"28o 24' 30""")</f>
        <v>28o 24' 30"</v>
      </c>
      <c r="K1293" s="2" t="str">
        <f>IFERROR(__xludf.DUMMYFUNCTION("""COMPUTED_VALUE"""),"83o 26' 45""")</f>
        <v>83o 26' 45"</v>
      </c>
      <c r="L1293" s="2" t="str">
        <f>IFERROR(__xludf.DUMMYFUNCTION("""COMPUTED_VALUE"""),"83o 30' 00""")</f>
        <v>83o 30' 00"</v>
      </c>
      <c r="M1293" s="2" t="str">
        <f>IFERROR(__xludf.DUMMYFUNCTION("""COMPUTED_VALUE"""),"Babiyachaur,Baranja,Arman,Singa (Myagdi)")</f>
        <v>Babiyachaur,Baranja,Arman,Singa (Myagdi)</v>
      </c>
    </row>
    <row r="1294">
      <c r="A1294" s="2">
        <f>IFERROR(__xludf.DUMMYFUNCTION("""COMPUTED_VALUE"""),1293.0)</f>
        <v>1293</v>
      </c>
      <c r="B1294" s="2" t="str">
        <f>IFERROR(__xludf.DUMMYFUNCTION("""COMPUTED_VALUE"""),"Mailung Khola SHP")</f>
        <v>Mailung Khola SHP</v>
      </c>
      <c r="C1294" s="2">
        <f>IFERROR(__xludf.DUMMYFUNCTION("""COMPUTED_VALUE"""),1.0)</f>
        <v>1</v>
      </c>
      <c r="D1294" s="2" t="str">
        <f>IFERROR(__xludf.DUMMYFUNCTION("""COMPUTED_VALUE"""),"Mailung Khola")</f>
        <v>Mailung Khola</v>
      </c>
      <c r="E1294" s="2">
        <f>IFERROR(__xludf.DUMMYFUNCTION("""COMPUTED_VALUE"""),1332.0)</f>
        <v>1332</v>
      </c>
      <c r="F1294" s="3">
        <f>IFERROR(__xludf.DUMMYFUNCTION("""COMPUTED_VALUE"""),60801.0)</f>
        <v>60801</v>
      </c>
      <c r="G1294" s="2" t="str">
        <f>IFERROR(__xludf.DUMMYFUNCTION("""COMPUTED_VALUE"""),"Anjan Raj Mainali")</f>
        <v>Anjan Raj Mainali</v>
      </c>
      <c r="H1294" s="2" t="str">
        <f>IFERROR(__xludf.DUMMYFUNCTION("""COMPUTED_VALUE"""),"Kathmandu Municipality-9, Tel: 9841158681")</f>
        <v>Kathmandu Municipality-9, Tel: 9841158681</v>
      </c>
      <c r="I1294" s="2" t="str">
        <f>IFERROR(__xludf.DUMMYFUNCTION("""COMPUTED_VALUE"""),"28o 08' 00""")</f>
        <v>28o 08' 00"</v>
      </c>
      <c r="J1294" s="2" t="str">
        <f>IFERROR(__xludf.DUMMYFUNCTION("""COMPUTED_VALUE"""),"28o 10' 34""")</f>
        <v>28o 10' 34"</v>
      </c>
      <c r="K1294" s="2" t="str">
        <f>IFERROR(__xludf.DUMMYFUNCTION("""COMPUTED_VALUE"""),"85o 11' 21""")</f>
        <v>85o 11' 21"</v>
      </c>
      <c r="L1294" s="2" t="str">
        <f>IFERROR(__xludf.DUMMYFUNCTION("""COMPUTED_VALUE"""),"85o 12' 44""")</f>
        <v>85o 12' 44"</v>
      </c>
      <c r="M1294" s="2" t="str">
        <f>IFERROR(__xludf.DUMMYFUNCTION("""COMPUTED_VALUE"""),"Gatlang (Rasuwa)")</f>
        <v>Gatlang (Rasuwa)</v>
      </c>
    </row>
    <row r="1295">
      <c r="A1295" s="2">
        <f>IFERROR(__xludf.DUMMYFUNCTION("""COMPUTED_VALUE"""),1294.0)</f>
        <v>1294</v>
      </c>
      <c r="B1295" s="2" t="str">
        <f>IFERROR(__xludf.DUMMYFUNCTION("""COMPUTED_VALUE"""),"Dhuskut Khola")</f>
        <v>Dhuskut Khola</v>
      </c>
      <c r="C1295" s="2">
        <f>IFERROR(__xludf.DUMMYFUNCTION("""COMPUTED_VALUE"""),0.94)</f>
        <v>0.94</v>
      </c>
      <c r="D1295" s="2" t="str">
        <f>IFERROR(__xludf.DUMMYFUNCTION("""COMPUTED_VALUE"""),"Dhuskut")</f>
        <v>Dhuskut</v>
      </c>
      <c r="E1295" s="2">
        <f>IFERROR(__xludf.DUMMYFUNCTION("""COMPUTED_VALUE"""),1352.0)</f>
        <v>1352</v>
      </c>
      <c r="F1295" s="3">
        <f>IFERROR(__xludf.DUMMYFUNCTION("""COMPUTED_VALUE"""),60801.0)</f>
        <v>60801</v>
      </c>
      <c r="G1295" s="2" t="str">
        <f>IFERROR(__xludf.DUMMYFUNCTION("""COMPUTED_VALUE"""),"Ram Lal Tamang, Prem Bdr. Dod, Asha Bdr. Dod, Sirmai Dod")</f>
        <v>Ram Lal Tamang, Prem Bdr. Dod, Asha Bdr. Dod, Sirmai Dod</v>
      </c>
      <c r="H1295" s="2" t="str">
        <f>IFERROR(__xludf.DUMMYFUNCTION("""COMPUTED_VALUE"""),"Golche, Sindhupalchowk")</f>
        <v>Golche, Sindhupalchowk</v>
      </c>
      <c r="I1295" s="2" t="str">
        <f>IFERROR(__xludf.DUMMYFUNCTION("""COMPUTED_VALUE"""),"27o 58' 40""")</f>
        <v>27o 58' 40"</v>
      </c>
      <c r="J1295" s="2" t="str">
        <f>IFERROR(__xludf.DUMMYFUNCTION("""COMPUTED_VALUE"""),"27o 59' 29""")</f>
        <v>27o 59' 29"</v>
      </c>
      <c r="K1295" s="2" t="str">
        <f>IFERROR(__xludf.DUMMYFUNCTION("""COMPUTED_VALUE"""),"85o 46' 11""")</f>
        <v>85o 46' 11"</v>
      </c>
      <c r="L1295" s="2" t="str">
        <f>IFERROR(__xludf.DUMMYFUNCTION("""COMPUTED_VALUE"""),"85o 47' 50""")</f>
        <v>85o 47' 50"</v>
      </c>
      <c r="M1295" s="2" t="str">
        <f>IFERROR(__xludf.DUMMYFUNCTION("""COMPUTED_VALUE"""),"Golche (Sindhupalchok)")</f>
        <v>Golche (Sindhupalchok)</v>
      </c>
    </row>
    <row r="1296">
      <c r="A1296" s="2">
        <f>IFERROR(__xludf.DUMMYFUNCTION("""COMPUTED_VALUE"""),1295.0)</f>
        <v>1295</v>
      </c>
      <c r="B1296" s="2" t="str">
        <f>IFERROR(__xludf.DUMMYFUNCTION("""COMPUTED_VALUE"""),"Thotne Khola SHP")</f>
        <v>Thotne Khola SHP</v>
      </c>
      <c r="C1296" s="2">
        <f>IFERROR(__xludf.DUMMYFUNCTION("""COMPUTED_VALUE"""),0.995)</f>
        <v>0.995</v>
      </c>
      <c r="D1296" s="2" t="str">
        <f>IFERROR(__xludf.DUMMYFUNCTION("""COMPUTED_VALUE"""),"Thotne")</f>
        <v>Thotne</v>
      </c>
      <c r="E1296" s="2">
        <f>IFERROR(__xludf.DUMMYFUNCTION("""COMPUTED_VALUE"""),1371.0)</f>
        <v>1371</v>
      </c>
      <c r="F1296" s="3">
        <f>IFERROR(__xludf.DUMMYFUNCTION("""COMPUTED_VALUE"""),60804.0)</f>
        <v>60804</v>
      </c>
      <c r="G1296" s="2" t="str">
        <f>IFERROR(__xludf.DUMMYFUNCTION("""COMPUTED_VALUE"""),"Lumbini Engineering and Hydropower")</f>
        <v>Lumbini Engineering and Hydropower</v>
      </c>
      <c r="H1296" s="2" t="str">
        <f>IFERROR(__xludf.DUMMYFUNCTION("""COMPUTED_VALUE"""),"Kathmandu, Tel: 2180144")</f>
        <v>Kathmandu, Tel: 2180144</v>
      </c>
      <c r="I1296" s="2" t="str">
        <f>IFERROR(__xludf.DUMMYFUNCTION("""COMPUTED_VALUE"""),"27o 15' 39""")</f>
        <v>27o 15' 39"</v>
      </c>
      <c r="J1296" s="2" t="str">
        <f>IFERROR(__xludf.DUMMYFUNCTION("""COMPUTED_VALUE"""),"27o 17' 17""")</f>
        <v>27o 17' 17"</v>
      </c>
      <c r="K1296" s="2" t="str">
        <f>IFERROR(__xludf.DUMMYFUNCTION("""COMPUTED_VALUE"""),"86o 37' 00""")</f>
        <v>86o 37' 00"</v>
      </c>
      <c r="L1296" s="2" t="str">
        <f>IFERROR(__xludf.DUMMYFUNCTION("""COMPUTED_VALUE"""),"86o 40' 00""")</f>
        <v>86o 40' 00"</v>
      </c>
      <c r="M1296" s="2" t="str">
        <f>IFERROR(__xludf.DUMMYFUNCTION("""COMPUTED_VALUE"""),"Diyale (Okhaldhunga)")</f>
        <v>Diyale (Okhaldhunga)</v>
      </c>
    </row>
    <row r="1297">
      <c r="A1297" s="2">
        <f>IFERROR(__xludf.DUMMYFUNCTION("""COMPUTED_VALUE"""),1296.0)</f>
        <v>1296</v>
      </c>
      <c r="B1297" s="2" t="str">
        <f>IFERROR(__xludf.DUMMYFUNCTION("""COMPUTED_VALUE"""),"Tadi Khola HPP")</f>
        <v>Tadi Khola HPP</v>
      </c>
      <c r="C1297" s="2">
        <f>IFERROR(__xludf.DUMMYFUNCTION("""COMPUTED_VALUE"""),5.0)</f>
        <v>5</v>
      </c>
      <c r="D1297" s="2" t="str">
        <f>IFERROR(__xludf.DUMMYFUNCTION("""COMPUTED_VALUE"""),"Tadi Khola")</f>
        <v>Tadi Khola</v>
      </c>
      <c r="E1297" s="2">
        <f>IFERROR(__xludf.DUMMYFUNCTION("""COMPUTED_VALUE"""),1385.0)</f>
        <v>1385</v>
      </c>
      <c r="F1297" s="3">
        <f>IFERROR(__xludf.DUMMYFUNCTION("""COMPUTED_VALUE"""),60805.0)</f>
        <v>60805</v>
      </c>
      <c r="G1297" s="2" t="str">
        <f>IFERROR(__xludf.DUMMYFUNCTION("""COMPUTED_VALUE"""),"Dina Joshi")</f>
        <v>Dina Joshi</v>
      </c>
      <c r="H1297" s="2" t="str">
        <f>IFERROR(__xludf.DUMMYFUNCTION("""COMPUTED_VALUE"""),"Kathmandu Municipality-24, Kathmandu Tel: 9851024262")</f>
        <v>Kathmandu Municipality-24, Kathmandu Tel: 9851024262</v>
      </c>
      <c r="I1297" s="2" t="str">
        <f>IFERROR(__xludf.DUMMYFUNCTION("""COMPUTED_VALUE"""),"27o 55' 05""")</f>
        <v>27o 55' 05"</v>
      </c>
      <c r="J1297" s="2" t="str">
        <f>IFERROR(__xludf.DUMMYFUNCTION("""COMPUTED_VALUE"""),"27o 55' 40""")</f>
        <v>27o 55' 40"</v>
      </c>
      <c r="K1297" s="2" t="str">
        <f>IFERROR(__xludf.DUMMYFUNCTION("""COMPUTED_VALUE"""),"85o 21' 08""")</f>
        <v>85o 21' 08"</v>
      </c>
      <c r="L1297" s="2" t="str">
        <f>IFERROR(__xludf.DUMMYFUNCTION("""COMPUTED_VALUE"""),"85o 22' 50""")</f>
        <v>85o 22' 50"</v>
      </c>
      <c r="M1297" s="2" t="str">
        <f>IFERROR(__xludf.DUMMYFUNCTION("""COMPUTED_VALUE"""),"Balkumari,Samundratar,Thaprek (Nuwakot)")</f>
        <v>Balkumari,Samundratar,Thaprek (Nuwakot)</v>
      </c>
    </row>
    <row r="1298">
      <c r="A1298" s="2">
        <f>IFERROR(__xludf.DUMMYFUNCTION("""COMPUTED_VALUE"""),1297.0)</f>
        <v>1297</v>
      </c>
      <c r="B1298" s="2" t="str">
        <f>IFERROR(__xludf.DUMMYFUNCTION("""COMPUTED_VALUE"""),"Simlun Khola SHP")</f>
        <v>Simlun Khola SHP</v>
      </c>
      <c r="C1298" s="2">
        <f>IFERROR(__xludf.DUMMYFUNCTION("""COMPUTED_VALUE"""),1.0)</f>
        <v>1</v>
      </c>
      <c r="D1298" s="2" t="str">
        <f>IFERROR(__xludf.DUMMYFUNCTION("""COMPUTED_VALUE"""),"Simlun")</f>
        <v>Simlun</v>
      </c>
      <c r="E1298" s="2">
        <f>IFERROR(__xludf.DUMMYFUNCTION("""COMPUTED_VALUE"""),1387.0)</f>
        <v>1387</v>
      </c>
      <c r="F1298" s="3">
        <f>IFERROR(__xludf.DUMMYFUNCTION("""COMPUTED_VALUE"""),60805.0)</f>
        <v>60805</v>
      </c>
      <c r="G1298" s="2" t="str">
        <f>IFERROR(__xludf.DUMMYFUNCTION("""COMPUTED_VALUE"""),"Whitehydro Energy Company Pvt Ltd")</f>
        <v>Whitehydro Energy Company Pvt Ltd</v>
      </c>
      <c r="H1298" s="2" t="str">
        <f>IFERROR(__xludf.DUMMYFUNCTION("""COMPUTED_VALUE"""),"Kathmandu, Tel:9841341671, 9751004570")</f>
        <v>Kathmandu, Tel:9841341671, 9751004570</v>
      </c>
      <c r="I1298" s="2" t="str">
        <f>IFERROR(__xludf.DUMMYFUNCTION("""COMPUTED_VALUE"""),"28o 15' 00""")</f>
        <v>28o 15' 00"</v>
      </c>
      <c r="J1298" s="2" t="str">
        <f>IFERROR(__xludf.DUMMYFUNCTION("""COMPUTED_VALUE"""),"28o 15' 41""")</f>
        <v>28o 15' 41"</v>
      </c>
      <c r="K1298" s="2" t="str">
        <f>IFERROR(__xludf.DUMMYFUNCTION("""COMPUTED_VALUE"""),"85o 20' 20""")</f>
        <v>85o 20' 20"</v>
      </c>
      <c r="L1298" s="2" t="str">
        <f>IFERROR(__xludf.DUMMYFUNCTION("""COMPUTED_VALUE"""),"85o 22' 02""")</f>
        <v>85o 22' 02"</v>
      </c>
      <c r="M1298" s="2" t="str">
        <f>IFERROR(__xludf.DUMMYFUNCTION("""COMPUTED_VALUE"""),"Thuman (Rasuwa)")</f>
        <v>Thuman (Rasuwa)</v>
      </c>
    </row>
    <row r="1299">
      <c r="A1299" s="2">
        <f>IFERROR(__xludf.DUMMYFUNCTION("""COMPUTED_VALUE"""),1298.0)</f>
        <v>1298</v>
      </c>
      <c r="B1299" s="2" t="str">
        <f>IFERROR(__xludf.DUMMYFUNCTION("""COMPUTED_VALUE"""),"Gumdar Khola SHP")</f>
        <v>Gumdar Khola SHP</v>
      </c>
      <c r="C1299" s="2">
        <f>IFERROR(__xludf.DUMMYFUNCTION("""COMPUTED_VALUE"""),0.67)</f>
        <v>0.67</v>
      </c>
      <c r="D1299" s="2" t="str">
        <f>IFERROR(__xludf.DUMMYFUNCTION("""COMPUTED_VALUE"""),"Gumdar")</f>
        <v>Gumdar</v>
      </c>
      <c r="E1299" s="2">
        <f>IFERROR(__xludf.DUMMYFUNCTION("""COMPUTED_VALUE"""),1389.0)</f>
        <v>1389</v>
      </c>
      <c r="F1299" s="3">
        <f>IFERROR(__xludf.DUMMYFUNCTION("""COMPUTED_VALUE"""),60805.0)</f>
        <v>60805</v>
      </c>
      <c r="G1299" s="2" t="str">
        <f>IFERROR(__xludf.DUMMYFUNCTION("""COMPUTED_VALUE"""),"M.B.Shrestha,H.B.Shrestha, Bahadur Gole, Sitaram Basnet")</f>
        <v>M.B.Shrestha,H.B.Shrestha, Bahadur Gole, Sitaram Basnet</v>
      </c>
      <c r="H1299" s="2" t="str">
        <f>IFERROR(__xludf.DUMMYFUNCTION("""COMPUTED_VALUE"""),"Barahbise, Sindhupalchok Tel: 9741163839,9841383854")</f>
        <v>Barahbise, Sindhupalchok Tel: 9741163839,9841383854</v>
      </c>
      <c r="I1299" s="2" t="str">
        <f>IFERROR(__xludf.DUMMYFUNCTION("""COMPUTED_VALUE"""),"85o 47' 00""")</f>
        <v>85o 47' 00"</v>
      </c>
      <c r="J1299" s="2" t="str">
        <f>IFERROR(__xludf.DUMMYFUNCTION("""COMPUTED_VALUE"""),"85o 49' 00""")</f>
        <v>85o 49' 00"</v>
      </c>
      <c r="K1299" s="2" t="str">
        <f>IFERROR(__xludf.DUMMYFUNCTION("""COMPUTED_VALUE"""),"27o 51' 00""")</f>
        <v>27o 51' 00"</v>
      </c>
      <c r="L1299" s="2" t="str">
        <f>IFERROR(__xludf.DUMMYFUNCTION("""COMPUTED_VALUE"""),"27o 52' 00""")</f>
        <v>27o 52' 00"</v>
      </c>
      <c r="M1299" s="2" t="str">
        <f>IFERROR(__xludf.DUMMYFUNCTION("""COMPUTED_VALUE"""),"Hagam (Sindhupalchok)")</f>
        <v>Hagam (Sindhupalchok)</v>
      </c>
    </row>
    <row r="1300">
      <c r="A1300" s="2">
        <f>IFERROR(__xludf.DUMMYFUNCTION("""COMPUTED_VALUE"""),1299.0)</f>
        <v>1299</v>
      </c>
      <c r="B1300" s="2" t="str">
        <f>IFERROR(__xludf.DUMMYFUNCTION("""COMPUTED_VALUE"""),"Balephi Khola -A HPP")</f>
        <v>Balephi Khola -A HPP</v>
      </c>
      <c r="C1300" s="2">
        <f>IFERROR(__xludf.DUMMYFUNCTION("""COMPUTED_VALUE"""),15.0)</f>
        <v>15</v>
      </c>
      <c r="D1300" s="2" t="str">
        <f>IFERROR(__xludf.DUMMYFUNCTION("""COMPUTED_VALUE"""),"Balephi")</f>
        <v>Balephi</v>
      </c>
      <c r="E1300" s="2">
        <f>IFERROR(__xludf.DUMMYFUNCTION("""COMPUTED_VALUE"""),1393.0)</f>
        <v>1393</v>
      </c>
      <c r="F1300" s="3">
        <f>IFERROR(__xludf.DUMMYFUNCTION("""COMPUTED_VALUE"""),60806.0)</f>
        <v>60806</v>
      </c>
      <c r="G1300" s="2" t="str">
        <f>IFERROR(__xludf.DUMMYFUNCTION("""COMPUTED_VALUE"""),"Mayavati Power Company Pvt Ltd")</f>
        <v>Mayavati Power Company Pvt Ltd</v>
      </c>
      <c r="H1300" s="2" t="str">
        <f>IFERROR(__xludf.DUMMYFUNCTION("""COMPUTED_VALUE"""),"Thapathali, Kathmandu, Tel: 4230330")</f>
        <v>Thapathali, Kathmandu, Tel: 4230330</v>
      </c>
      <c r="I1300" s="2" t="str">
        <f>IFERROR(__xludf.DUMMYFUNCTION("""COMPUTED_VALUE"""),"27o 54' 12""")</f>
        <v>27o 54' 12"</v>
      </c>
      <c r="J1300" s="2" t="str">
        <f>IFERROR(__xludf.DUMMYFUNCTION("""COMPUTED_VALUE"""),"27o 57' 03""")</f>
        <v>27o 57' 03"</v>
      </c>
      <c r="K1300" s="2" t="str">
        <f>IFERROR(__xludf.DUMMYFUNCTION("""COMPUTED_VALUE"""),"85o 45' 00""")</f>
        <v>85o 45' 00"</v>
      </c>
      <c r="L1300" s="2" t="str">
        <f>IFERROR(__xludf.DUMMYFUNCTION("""COMPUTED_VALUE"""),"85o 48' 00""")</f>
        <v>85o 48' 00"</v>
      </c>
      <c r="M1300" s="2" t="str">
        <f>IFERROR(__xludf.DUMMYFUNCTION("""COMPUTED_VALUE"""),"Golche,Gumba,Pangtang (Sindhupalchok)")</f>
        <v>Golche,Gumba,Pangtang (Sindhupalchok)</v>
      </c>
    </row>
    <row r="1301">
      <c r="A1301" s="2">
        <f>IFERROR(__xludf.DUMMYFUNCTION("""COMPUTED_VALUE"""),1300.0)</f>
        <v>1300</v>
      </c>
      <c r="B1301" s="2" t="str">
        <f>IFERROR(__xludf.DUMMYFUNCTION("""COMPUTED_VALUE"""),"Jhimkhani SHP")</f>
        <v>Jhimkhani SHP</v>
      </c>
      <c r="C1301" s="2">
        <f>IFERROR(__xludf.DUMMYFUNCTION("""COMPUTED_VALUE"""),1.0)</f>
        <v>1</v>
      </c>
      <c r="D1301" s="2" t="str">
        <f>IFERROR(__xludf.DUMMYFUNCTION("""COMPUTED_VALUE"""),"Jhimkhani")</f>
        <v>Jhimkhani</v>
      </c>
      <c r="E1301" s="2">
        <f>IFERROR(__xludf.DUMMYFUNCTION("""COMPUTED_VALUE"""),1439.0)</f>
        <v>1439</v>
      </c>
      <c r="F1301" s="3">
        <f>IFERROR(__xludf.DUMMYFUNCTION("""COMPUTED_VALUE"""),60809.0)</f>
        <v>60809</v>
      </c>
      <c r="G1301" s="2" t="str">
        <f>IFERROR(__xludf.DUMMYFUNCTION("""COMPUTED_VALUE"""),"Pakhapani Hydropower P. Ltd.")</f>
        <v>Pakhapani Hydropower P. Ltd.</v>
      </c>
      <c r="H1301" s="2" t="str">
        <f>IFERROR(__xludf.DUMMYFUNCTION("""COMPUTED_VALUE"""),"Saibaba Marg, Banasthali, Kathmandu, Tel: 014352906")</f>
        <v>Saibaba Marg, Banasthali, Kathmandu, Tel: 014352906</v>
      </c>
      <c r="I1301" s="2" t="str">
        <f>IFERROR(__xludf.DUMMYFUNCTION("""COMPUTED_VALUE"""),"28o 28' 57""")</f>
        <v>28o 28' 57"</v>
      </c>
      <c r="J1301" s="2" t="str">
        <f>IFERROR(__xludf.DUMMYFUNCTION("""COMPUTED_VALUE"""),"28o 29' 48""")</f>
        <v>28o 29' 48"</v>
      </c>
      <c r="K1301" s="2" t="str">
        <f>IFERROR(__xludf.DUMMYFUNCTION("""COMPUTED_VALUE"""),"83o 29' 49""")</f>
        <v>83o 29' 49"</v>
      </c>
      <c r="L1301" s="2" t="str">
        <f>IFERROR(__xludf.DUMMYFUNCTION("""COMPUTED_VALUE"""),"83o 30' 59""")</f>
        <v>83o 30' 59"</v>
      </c>
      <c r="M1301" s="2" t="str">
        <f>IFERROR(__xludf.DUMMYFUNCTION("""COMPUTED_VALUE"""),"Kuinemangale,Pakhapani (Myagdi)")</f>
        <v>Kuinemangale,Pakhapani (Myagdi)</v>
      </c>
    </row>
    <row r="1302">
      <c r="A1302" s="2">
        <f>IFERROR(__xludf.DUMMYFUNCTION("""COMPUTED_VALUE"""),1301.0)</f>
        <v>1301</v>
      </c>
      <c r="B1302" s="2" t="str">
        <f>IFERROR(__xludf.DUMMYFUNCTION("""COMPUTED_VALUE"""),"Lower Molung Khola HPP")</f>
        <v>Lower Molung Khola HPP</v>
      </c>
      <c r="C1302" s="2">
        <f>IFERROR(__xludf.DUMMYFUNCTION("""COMPUTED_VALUE"""),6.0)</f>
        <v>6</v>
      </c>
      <c r="D1302" s="2" t="str">
        <f>IFERROR(__xludf.DUMMYFUNCTION("""COMPUTED_VALUE"""),"Molung")</f>
        <v>Molung</v>
      </c>
      <c r="E1302" s="2">
        <f>IFERROR(__xludf.DUMMYFUNCTION("""COMPUTED_VALUE"""),1442.0)</f>
        <v>1442</v>
      </c>
      <c r="F1302" s="3">
        <f>IFERROR(__xludf.DUMMYFUNCTION("""COMPUTED_VALUE"""),60810.0)</f>
        <v>60810</v>
      </c>
      <c r="G1302" s="2" t="str">
        <f>IFERROR(__xludf.DUMMYFUNCTION("""COMPUTED_VALUE"""),"Shrimati Kumari Tamang")</f>
        <v>Shrimati Kumari Tamang</v>
      </c>
      <c r="H1302" s="2" t="str">
        <f>IFERROR(__xludf.DUMMYFUNCTION("""COMPUTED_VALUE"""),"Katari VDC-4, Udaypur")</f>
        <v>Katari VDC-4, Udaypur</v>
      </c>
      <c r="I1302" s="2" t="str">
        <f>IFERROR(__xludf.DUMMYFUNCTION("""COMPUTED_VALUE"""),"27o 10' 40""")</f>
        <v>27o 10' 40"</v>
      </c>
      <c r="J1302" s="2" t="str">
        <f>IFERROR(__xludf.DUMMYFUNCTION("""COMPUTED_VALUE"""),"27o 14' 00""")</f>
        <v>27o 14' 00"</v>
      </c>
      <c r="K1302" s="2" t="str">
        <f>IFERROR(__xludf.DUMMYFUNCTION("""COMPUTED_VALUE"""),"86o 22' 39""")</f>
        <v>86o 22' 39"</v>
      </c>
      <c r="L1302" s="2" t="str">
        <f>IFERROR(__xludf.DUMMYFUNCTION("""COMPUTED_VALUE"""),"86o 24' 39""")</f>
        <v>86o 24' 39"</v>
      </c>
      <c r="M1302" s="2" t="str">
        <f>IFERROR(__xludf.DUMMYFUNCTION("""COMPUTED_VALUE"""),"Madhavpur,Sisneri,Thoksela (Okhaldhunga)")</f>
        <v>Madhavpur,Sisneri,Thoksela (Okhaldhunga)</v>
      </c>
    </row>
    <row r="1303">
      <c r="A1303" s="2">
        <f>IFERROR(__xludf.DUMMYFUNCTION("""COMPUTED_VALUE"""),1302.0)</f>
        <v>1302</v>
      </c>
      <c r="B1303" s="2" t="str">
        <f>IFERROR(__xludf.DUMMYFUNCTION("""COMPUTED_VALUE"""),"Sanjen Khola -1 HPP")</f>
        <v>Sanjen Khola -1 HPP</v>
      </c>
      <c r="C1303" s="2">
        <f>IFERROR(__xludf.DUMMYFUNCTION("""COMPUTED_VALUE"""),20.0)</f>
        <v>20</v>
      </c>
      <c r="D1303" s="2" t="str">
        <f>IFERROR(__xludf.DUMMYFUNCTION("""COMPUTED_VALUE"""),"Sanjen")</f>
        <v>Sanjen</v>
      </c>
      <c r="E1303" s="2">
        <f>IFERROR(__xludf.DUMMYFUNCTION("""COMPUTED_VALUE"""),1444.0)</f>
        <v>1444</v>
      </c>
      <c r="F1303" s="3">
        <f>IFERROR(__xludf.DUMMYFUNCTION("""COMPUTED_VALUE"""),60810.0)</f>
        <v>60810</v>
      </c>
      <c r="G1303" s="2" t="str">
        <f>IFERROR(__xludf.DUMMYFUNCTION("""COMPUTED_VALUE"""),"Chilime Hydropower Company Limited")</f>
        <v>Chilime Hydropower Company Limited</v>
      </c>
      <c r="H1303" s="2" t="str">
        <f>IFERROR(__xludf.DUMMYFUNCTION("""COMPUTED_VALUE"""),"GPO Box: 25210, Kathmandu, Tel: 4439163")</f>
        <v>GPO Box: 25210, Kathmandu, Tel: 4439163</v>
      </c>
      <c r="I1303" s="2" t="str">
        <f>IFERROR(__xludf.DUMMYFUNCTION("""COMPUTED_VALUE"""),"28o 14' 06""")</f>
        <v>28o 14' 06"</v>
      </c>
      <c r="J1303" s="2" t="str">
        <f>IFERROR(__xludf.DUMMYFUNCTION("""COMPUTED_VALUE"""),"28o 15' 00""")</f>
        <v>28o 15' 00"</v>
      </c>
      <c r="K1303" s="2" t="str">
        <f>IFERROR(__xludf.DUMMYFUNCTION("""COMPUTED_VALUE"""),"85o 16' 30""")</f>
        <v>85o 16' 30"</v>
      </c>
      <c r="L1303" s="2" t="str">
        <f>IFERROR(__xludf.DUMMYFUNCTION("""COMPUTED_VALUE"""),"85o 18' 15""")</f>
        <v>85o 18' 15"</v>
      </c>
      <c r="M1303" s="2" t="str">
        <f>IFERROR(__xludf.DUMMYFUNCTION("""COMPUTED_VALUE"""),"Chilime (Rasuwa)")</f>
        <v>Chilime (Rasuwa)</v>
      </c>
    </row>
    <row r="1304">
      <c r="A1304" s="2">
        <f>IFERROR(__xludf.DUMMYFUNCTION("""COMPUTED_VALUE"""),1303.0)</f>
        <v>1303</v>
      </c>
      <c r="B1304" s="2" t="str">
        <f>IFERROR(__xludf.DUMMYFUNCTION("""COMPUTED_VALUE"""),"Seti Khola HPP")</f>
        <v>Seti Khola HPP</v>
      </c>
      <c r="C1304" s="2">
        <f>IFERROR(__xludf.DUMMYFUNCTION("""COMPUTED_VALUE"""),15.0)</f>
        <v>15</v>
      </c>
      <c r="D1304" s="2" t="str">
        <f>IFERROR(__xludf.DUMMYFUNCTION("""COMPUTED_VALUE"""),"Seti Khola")</f>
        <v>Seti Khola</v>
      </c>
      <c r="E1304" s="2">
        <f>IFERROR(__xludf.DUMMYFUNCTION("""COMPUTED_VALUE"""),1468.0)</f>
        <v>1468</v>
      </c>
      <c r="F1304" s="3">
        <f>IFERROR(__xludf.DUMMYFUNCTION("""COMPUTED_VALUE"""),60811.0)</f>
        <v>60811</v>
      </c>
      <c r="G1304" s="2" t="str">
        <f>IFERROR(__xludf.DUMMYFUNCTION("""COMPUTED_VALUE"""),"Shwet Gandaki Power Company Pvt Ltd")</f>
        <v>Shwet Gandaki Power Company Pvt Ltd</v>
      </c>
      <c r="H1304" s="2" t="str">
        <f>IFERROR(__xludf.DUMMYFUNCTION("""COMPUTED_VALUE"""),"Khumaltar Height, lalitpur-2, Tel: 2110299")</f>
        <v>Khumaltar Height, lalitpur-2, Tel: 2110299</v>
      </c>
      <c r="I1304" s="2" t="str">
        <f>IFERROR(__xludf.DUMMYFUNCTION("""COMPUTED_VALUE"""),"28o 24' 30""")</f>
        <v>28o 24' 30"</v>
      </c>
      <c r="J1304" s="2" t="str">
        <f>IFERROR(__xludf.DUMMYFUNCTION("""COMPUTED_VALUE"""),"28o 29' 00""")</f>
        <v>28o 29' 00"</v>
      </c>
      <c r="K1304" s="2" t="str">
        <f>IFERROR(__xludf.DUMMYFUNCTION("""COMPUTED_VALUE"""),"83o 59' 30""")</f>
        <v>83o 59' 30"</v>
      </c>
      <c r="L1304" s="2" t="str">
        <f>IFERROR(__xludf.DUMMYFUNCTION("""COMPUTED_VALUE"""),"84o 01' 15""")</f>
        <v>84o 01' 15"</v>
      </c>
      <c r="M1304" s="2" t="str">
        <f>IFERROR(__xludf.DUMMYFUNCTION("""COMPUTED_VALUE"""),"Machhapuchchhre (Kaski)")</f>
        <v>Machhapuchchhre (Kaski)</v>
      </c>
    </row>
    <row r="1305">
      <c r="A1305" s="2">
        <f>IFERROR(__xludf.DUMMYFUNCTION("""COMPUTED_VALUE"""),1304.0)</f>
        <v>1304</v>
      </c>
      <c r="B1305" s="2" t="str">
        <f>IFERROR(__xludf.DUMMYFUNCTION("""COMPUTED_VALUE"""),"Lohore Khola storage HPP")</f>
        <v>Lohore Khola storage HPP</v>
      </c>
      <c r="C1305" s="2">
        <f>IFERROR(__xludf.DUMMYFUNCTION("""COMPUTED_VALUE"""),70.0)</f>
        <v>70</v>
      </c>
      <c r="D1305" s="2" t="str">
        <f>IFERROR(__xludf.DUMMYFUNCTION("""COMPUTED_VALUE"""),"Lohore Khola")</f>
        <v>Lohore Khola</v>
      </c>
      <c r="E1305" s="2">
        <f>IFERROR(__xludf.DUMMYFUNCTION("""COMPUTED_VALUE"""),1484.0)</f>
        <v>1484</v>
      </c>
      <c r="F1305" s="3">
        <f>IFERROR(__xludf.DUMMYFUNCTION("""COMPUTED_VALUE"""),60812.0)</f>
        <v>60812</v>
      </c>
      <c r="G1305" s="2" t="str">
        <f>IFERROR(__xludf.DUMMYFUNCTION("""COMPUTED_VALUE"""),"Blue Diamond Energy (P) Ltd")</f>
        <v>Blue Diamond Energy (P) Ltd</v>
      </c>
      <c r="H1305" s="2" t="str">
        <f>IFERROR(__xludf.DUMMYFUNCTION("""COMPUTED_VALUE"""),"GPO Box: 20762, Kathmandu,Tel: 9751003504")</f>
        <v>GPO Box: 20762, Kathmandu,Tel: 9751003504</v>
      </c>
      <c r="I1305" s="2" t="str">
        <f>IFERROR(__xludf.DUMMYFUNCTION("""COMPUTED_VALUE"""),"28o 45' 00""")</f>
        <v>28o 45' 00"</v>
      </c>
      <c r="J1305" s="2" t="str">
        <f>IFERROR(__xludf.DUMMYFUNCTION("""COMPUTED_VALUE"""),"28o 52' 30""")</f>
        <v>28o 52' 30"</v>
      </c>
      <c r="K1305" s="2" t="str">
        <f>IFERROR(__xludf.DUMMYFUNCTION("""COMPUTED_VALUE"""),"81o 37' 30""")</f>
        <v>81o 37' 30"</v>
      </c>
      <c r="L1305" s="2" t="str">
        <f>IFERROR(__xludf.DUMMYFUNCTION("""COMPUTED_VALUE"""),"81o 45' 00""")</f>
        <v>81o 45' 00"</v>
      </c>
      <c r="M1305" s="2" t="str">
        <f>IFERROR(__xludf.DUMMYFUNCTION("""COMPUTED_VALUE"""),"Belpata,Gauri,Baraha,Kal Bhairab,Bindhyabasini,Bada Bhairab,Bada Khola 
(Dailekh)")</f>
        <v>Belpata,Gauri,Baraha,Kal Bhairab,Bindhyabasini,Bada Bhairab,Bada Khola 
(Dailekh)</v>
      </c>
    </row>
    <row r="1306">
      <c r="A1306" s="2">
        <f>IFERROR(__xludf.DUMMYFUNCTION("""COMPUTED_VALUE"""),1305.0)</f>
        <v>1305</v>
      </c>
      <c r="B1306" s="2" t="str">
        <f>IFERROR(__xludf.DUMMYFUNCTION("""COMPUTED_VALUE"""),"Mailung Khola HHP")</f>
        <v>Mailung Khola HHP</v>
      </c>
      <c r="C1306" s="2">
        <f>IFERROR(__xludf.DUMMYFUNCTION("""COMPUTED_VALUE"""),4.9)</f>
        <v>4.9</v>
      </c>
      <c r="D1306" s="2" t="str">
        <f>IFERROR(__xludf.DUMMYFUNCTION("""COMPUTED_VALUE"""),"Mailung Khola")</f>
        <v>Mailung Khola</v>
      </c>
      <c r="E1306" s="2">
        <f>IFERROR(__xludf.DUMMYFUNCTION("""COMPUTED_VALUE"""),1505.0)</f>
        <v>1505</v>
      </c>
      <c r="F1306" s="3">
        <f>IFERROR(__xludf.DUMMYFUNCTION("""COMPUTED_VALUE"""),60813.0)</f>
        <v>60813</v>
      </c>
      <c r="G1306" s="2" t="str">
        <f>IFERROR(__xludf.DUMMYFUNCTION("""COMPUTED_VALUE"""),"Rasuwa Brothers and Power Pvt Ltd")</f>
        <v>Rasuwa Brothers and Power Pvt Ltd</v>
      </c>
      <c r="H1306" s="2" t="str">
        <f>IFERROR(__xludf.DUMMYFUNCTION("""COMPUTED_VALUE"""),"Dhapasi, Kathmandu Tel:4354367")</f>
        <v>Dhapasi, Kathmandu Tel:4354367</v>
      </c>
      <c r="I1306" s="2" t="str">
        <f>IFERROR(__xludf.DUMMYFUNCTION("""COMPUTED_VALUE"""),"28o 07' 42""")</f>
        <v>28o 07' 42"</v>
      </c>
      <c r="J1306" s="2" t="str">
        <f>IFERROR(__xludf.DUMMYFUNCTION("""COMPUTED_VALUE"""),"28o 10' 00""")</f>
        <v>28o 10' 00"</v>
      </c>
      <c r="K1306" s="2" t="str">
        <f>IFERROR(__xludf.DUMMYFUNCTION("""COMPUTED_VALUE"""),"85o 11' 13""")</f>
        <v>85o 11' 13"</v>
      </c>
      <c r="L1306" s="2" t="str">
        <f>IFERROR(__xludf.DUMMYFUNCTION("""COMPUTED_VALUE"""),"85o 13' 21""")</f>
        <v>85o 13' 21"</v>
      </c>
      <c r="M1306" s="2" t="str">
        <f>IFERROR(__xludf.DUMMYFUNCTION("""COMPUTED_VALUE"""),"Dandagoun,Haku (Rasuwa)")</f>
        <v>Dandagoun,Haku (Rasuwa)</v>
      </c>
    </row>
    <row r="1307">
      <c r="A1307" s="2">
        <f>IFERROR(__xludf.DUMMYFUNCTION("""COMPUTED_VALUE"""),1306.0)</f>
        <v>1306</v>
      </c>
      <c r="B1307" s="2" t="str">
        <f>IFERROR(__xludf.DUMMYFUNCTION("""COMPUTED_VALUE"""),"Ghatte Takparang Khola HPP")</f>
        <v>Ghatte Takparang Khola HPP</v>
      </c>
      <c r="C1307" s="2">
        <f>IFERROR(__xludf.DUMMYFUNCTION("""COMPUTED_VALUE"""),1.55)</f>
        <v>1.55</v>
      </c>
      <c r="D1307" s="2" t="str">
        <f>IFERROR(__xludf.DUMMYFUNCTION("""COMPUTED_VALUE"""),"Takparan")</f>
        <v>Takparan</v>
      </c>
      <c r="E1307" s="2">
        <f>IFERROR(__xludf.DUMMYFUNCTION("""COMPUTED_VALUE"""),1506.0)</f>
        <v>1506</v>
      </c>
      <c r="F1307" s="3">
        <f>IFERROR(__xludf.DUMMYFUNCTION("""COMPUTED_VALUE"""),60813.0)</f>
        <v>60813</v>
      </c>
      <c r="G1307" s="2" t="str">
        <f>IFERROR(__xludf.DUMMYFUNCTION("""COMPUTED_VALUE"""),"Damodar Subedi")</f>
        <v>Damodar Subedi</v>
      </c>
      <c r="H1307" s="2" t="str">
        <f>IFERROR(__xludf.DUMMYFUNCTION("""COMPUTED_VALUE"""),"Kathmandu, Tel; 9851035730")</f>
        <v>Kathmandu, Tel; 9851035730</v>
      </c>
      <c r="I1307" s="2" t="str">
        <f>IFERROR(__xludf.DUMMYFUNCTION("""COMPUTED_VALUE"""),"27o 53' 00""")</f>
        <v>27o 53' 00"</v>
      </c>
      <c r="J1307" s="2" t="str">
        <f>IFERROR(__xludf.DUMMYFUNCTION("""COMPUTED_VALUE"""),"27o 55' 30""")</f>
        <v>27o 55' 30"</v>
      </c>
      <c r="K1307" s="2" t="str">
        <f>IFERROR(__xludf.DUMMYFUNCTION("""COMPUTED_VALUE"""),"85o 44' 25""")</f>
        <v>85o 44' 25"</v>
      </c>
      <c r="L1307" s="2" t="str">
        <f>IFERROR(__xludf.DUMMYFUNCTION("""COMPUTED_VALUE"""),"85o 45' 55""")</f>
        <v>85o 45' 55"</v>
      </c>
      <c r="M1307" s="2" t="str">
        <f>IFERROR(__xludf.DUMMYFUNCTION("""COMPUTED_VALUE"""),"Golche (Sindhupalchok)")</f>
        <v>Golche (Sindhupalchok)</v>
      </c>
    </row>
    <row r="1308">
      <c r="A1308" s="2">
        <f>IFERROR(__xludf.DUMMYFUNCTION("""COMPUTED_VALUE"""),1307.0)</f>
        <v>1307</v>
      </c>
      <c r="B1308" s="2" t="str">
        <f>IFERROR(__xludf.DUMMYFUNCTION("""COMPUTED_VALUE"""),"Lower Molung Khola HPP")</f>
        <v>Lower Molung Khola HPP</v>
      </c>
      <c r="C1308" s="2">
        <f>IFERROR(__xludf.DUMMYFUNCTION("""COMPUTED_VALUE"""),6.0)</f>
        <v>6</v>
      </c>
      <c r="D1308" s="2" t="str">
        <f>IFERROR(__xludf.DUMMYFUNCTION("""COMPUTED_VALUE"""),"Molung")</f>
        <v>Molung</v>
      </c>
      <c r="E1308" s="2">
        <f>IFERROR(__xludf.DUMMYFUNCTION("""COMPUTED_VALUE"""),1513.0)</f>
        <v>1513</v>
      </c>
      <c r="F1308" s="3">
        <f>IFERROR(__xludf.DUMMYFUNCTION("""COMPUTED_VALUE"""),60817.0)</f>
        <v>60817</v>
      </c>
      <c r="G1308" s="2" t="str">
        <f>IFERROR(__xludf.DUMMYFUNCTION("""COMPUTED_VALUE"""),"Shiv Duti Power Company Pvt Ltd")</f>
        <v>Shiv Duti Power Company Pvt Ltd</v>
      </c>
      <c r="H1308" s="2" t="str">
        <f>IFERROR(__xludf.DUMMYFUNCTION("""COMPUTED_VALUE"""),"kathmandu, Tel: 4479037")</f>
        <v>kathmandu, Tel: 4479037</v>
      </c>
      <c r="I1308" s="2" t="str">
        <f>IFERROR(__xludf.DUMMYFUNCTION("""COMPUTED_VALUE"""),"27o 10' 40""")</f>
        <v>27o 10' 40"</v>
      </c>
      <c r="J1308" s="2" t="str">
        <f>IFERROR(__xludf.DUMMYFUNCTION("""COMPUTED_VALUE"""),"27o 14' 00""")</f>
        <v>27o 14' 00"</v>
      </c>
      <c r="K1308" s="2" t="str">
        <f>IFERROR(__xludf.DUMMYFUNCTION("""COMPUTED_VALUE"""),"86o 22' 39""")</f>
        <v>86o 22' 39"</v>
      </c>
      <c r="L1308" s="2" t="str">
        <f>IFERROR(__xludf.DUMMYFUNCTION("""COMPUTED_VALUE"""),"86o 24' 39""")</f>
        <v>86o 24' 39"</v>
      </c>
      <c r="M1308" s="2" t="str">
        <f>IFERROR(__xludf.DUMMYFUNCTION("""COMPUTED_VALUE"""),"Madhavpur,Sisneri,Thoksela (Okhaldhunga)")</f>
        <v>Madhavpur,Sisneri,Thoksela (Okhaldhunga)</v>
      </c>
    </row>
    <row r="1309">
      <c r="A1309" s="2">
        <f>IFERROR(__xludf.DUMMYFUNCTION("""COMPUTED_VALUE"""),1308.0)</f>
        <v>1308</v>
      </c>
      <c r="B1309" s="2" t="str">
        <f>IFERROR(__xludf.DUMMYFUNCTION("""COMPUTED_VALUE"""),"Charaudi Khola A SHP")</f>
        <v>Charaudi Khola A SHP</v>
      </c>
      <c r="C1309" s="2">
        <f>IFERROR(__xludf.DUMMYFUNCTION("""COMPUTED_VALUE"""),0.777)</f>
        <v>0.777</v>
      </c>
      <c r="D1309" s="2" t="str">
        <f>IFERROR(__xludf.DUMMYFUNCTION("""COMPUTED_VALUE"""),"Charaudi")</f>
        <v>Charaudi</v>
      </c>
      <c r="E1309" s="2">
        <f>IFERROR(__xludf.DUMMYFUNCTION("""COMPUTED_VALUE"""),1515.0)</f>
        <v>1515</v>
      </c>
      <c r="F1309" s="3">
        <f>IFERROR(__xludf.DUMMYFUNCTION("""COMPUTED_VALUE"""),60817.0)</f>
        <v>60817</v>
      </c>
      <c r="G1309" s="2" t="str">
        <f>IFERROR(__xludf.DUMMYFUNCTION("""COMPUTED_VALUE"""),"Subha Upreti Adhikari")</f>
        <v>Subha Upreti Adhikari</v>
      </c>
      <c r="H1309" s="2" t="str">
        <f>IFERROR(__xludf.DUMMYFUNCTION("""COMPUTED_VALUE"""),"kamalpokhri, Kathmandu Tel: 4414009")</f>
        <v>kamalpokhri, Kathmandu Tel: 4414009</v>
      </c>
      <c r="I1309" s="2" t="str">
        <f>IFERROR(__xludf.DUMMYFUNCTION("""COMPUTED_VALUE"""),"27o 46' 42""")</f>
        <v>27o 46' 42"</v>
      </c>
      <c r="J1309" s="2" t="str">
        <f>IFERROR(__xludf.DUMMYFUNCTION("""COMPUTED_VALUE"""),"27o 48' 07""")</f>
        <v>27o 48' 07"</v>
      </c>
      <c r="K1309" s="2" t="str">
        <f>IFERROR(__xludf.DUMMYFUNCTION("""COMPUTED_VALUE"""),"84o 45' 00""")</f>
        <v>84o 45' 00"</v>
      </c>
      <c r="L1309" s="2" t="str">
        <f>IFERROR(__xludf.DUMMYFUNCTION("""COMPUTED_VALUE"""),"84o 46' 51""")</f>
        <v>84o 46' 51"</v>
      </c>
      <c r="M1309" s="2" t="str">
        <f>IFERROR(__xludf.DUMMYFUNCTION("""COMPUTED_VALUE"""),"Benighat (Dhading)")</f>
        <v>Benighat (Dhading)</v>
      </c>
    </row>
    <row r="1310">
      <c r="A1310" s="2">
        <f>IFERROR(__xludf.DUMMYFUNCTION("""COMPUTED_VALUE"""),1309.0)</f>
        <v>1309</v>
      </c>
      <c r="B1310" s="2" t="str">
        <f>IFERROR(__xludf.DUMMYFUNCTION("""COMPUTED_VALUE"""),"Khani Khola SHP")</f>
        <v>Khani Khola SHP</v>
      </c>
      <c r="C1310" s="2">
        <f>IFERROR(__xludf.DUMMYFUNCTION("""COMPUTED_VALUE"""),0.999)</f>
        <v>0.999</v>
      </c>
      <c r="D1310" s="2" t="str">
        <f>IFERROR(__xludf.DUMMYFUNCTION("""COMPUTED_VALUE"""),"Khani Khola")</f>
        <v>Khani Khola</v>
      </c>
      <c r="E1310" s="2">
        <f>IFERROR(__xludf.DUMMYFUNCTION("""COMPUTED_VALUE"""),1516.0)</f>
        <v>1516</v>
      </c>
      <c r="F1310" s="3">
        <f>IFERROR(__xludf.DUMMYFUNCTION("""COMPUTED_VALUE"""),60817.0)</f>
        <v>60817</v>
      </c>
      <c r="G1310" s="2" t="str">
        <f>IFERROR(__xludf.DUMMYFUNCTION("""COMPUTED_VALUE"""),"Subha Upreti Adhikari")</f>
        <v>Subha Upreti Adhikari</v>
      </c>
      <c r="H1310" s="2" t="str">
        <f>IFERROR(__xludf.DUMMYFUNCTION("""COMPUTED_VALUE"""),"kamalpokhri, Kathmandu Tel: 4414009")</f>
        <v>kamalpokhri, Kathmandu Tel: 4414009</v>
      </c>
      <c r="I1310" s="2" t="str">
        <f>IFERROR(__xludf.DUMMYFUNCTION("""COMPUTED_VALUE"""),"27o 40' 00""")</f>
        <v>27o 40' 00"</v>
      </c>
      <c r="J1310" s="2" t="str">
        <f>IFERROR(__xludf.DUMMYFUNCTION("""COMPUTED_VALUE"""),"27o 42' 30""")</f>
        <v>27o 42' 30"</v>
      </c>
      <c r="K1310" s="2" t="str">
        <f>IFERROR(__xludf.DUMMYFUNCTION("""COMPUTED_VALUE"""),"85o 00' 00""")</f>
        <v>85o 00' 00"</v>
      </c>
      <c r="L1310" s="2" t="str">
        <f>IFERROR(__xludf.DUMMYFUNCTION("""COMPUTED_VALUE"""),"85o 01' 49""")</f>
        <v>85o 01' 49"</v>
      </c>
      <c r="M1310" s="2" t="str">
        <f>IFERROR(__xludf.DUMMYFUNCTION("""COMPUTED_VALUE"""),"Agara (Makawanpur)")</f>
        <v>Agara (Makawanpur)</v>
      </c>
    </row>
    <row r="1311">
      <c r="A1311" s="2">
        <f>IFERROR(__xludf.DUMMYFUNCTION("""COMPUTED_VALUE"""),1310.0)</f>
        <v>1310</v>
      </c>
      <c r="B1311" s="2" t="str">
        <f>IFERROR(__xludf.DUMMYFUNCTION("""COMPUTED_VALUE"""),"Ram Gad SHP")</f>
        <v>Ram Gad SHP</v>
      </c>
      <c r="C1311" s="2">
        <f>IFERROR(__xludf.DUMMYFUNCTION("""COMPUTED_VALUE"""),1.4)</f>
        <v>1.4</v>
      </c>
      <c r="D1311" s="2" t="str">
        <f>IFERROR(__xludf.DUMMYFUNCTION("""COMPUTED_VALUE"""),"Ram gad")</f>
        <v>Ram gad</v>
      </c>
      <c r="E1311" s="2">
        <f>IFERROR(__xludf.DUMMYFUNCTION("""COMPUTED_VALUE"""),1521.0)</f>
        <v>1521</v>
      </c>
      <c r="F1311" s="3">
        <f>IFERROR(__xludf.DUMMYFUNCTION("""COMPUTED_VALUE"""),60817.0)</f>
        <v>60817</v>
      </c>
      <c r="G1311" s="2" t="str">
        <f>IFERROR(__xludf.DUMMYFUNCTION("""COMPUTED_VALUE"""),"Kunti Shahi,Tara Sapkota")</f>
        <v>Kunti Shahi,Tara Sapkota</v>
      </c>
      <c r="H1311" s="2" t="str">
        <f>IFERROR(__xludf.DUMMYFUNCTION("""COMPUTED_VALUE"""),"Panchakanya VDC, Ilam")</f>
        <v>Panchakanya VDC, Ilam</v>
      </c>
      <c r="I1311" s="2" t="str">
        <f>IFERROR(__xludf.DUMMYFUNCTION("""COMPUTED_VALUE"""),"28o 58' 10""")</f>
        <v>28o 58' 10"</v>
      </c>
      <c r="J1311" s="2" t="str">
        <f>IFERROR(__xludf.DUMMYFUNCTION("""COMPUTED_VALUE"""),"29o 00' 00""")</f>
        <v>29o 00' 00"</v>
      </c>
      <c r="K1311" s="2" t="str">
        <f>IFERROR(__xludf.DUMMYFUNCTION("""COMPUTED_VALUE"""),"81o 32' 50""")</f>
        <v>81o 32' 50"</v>
      </c>
      <c r="L1311" s="2" t="str">
        <f>IFERROR(__xludf.DUMMYFUNCTION("""COMPUTED_VALUE"""),"81o 36' 30""")</f>
        <v>81o 36' 30"</v>
      </c>
      <c r="M1311" s="2" t="str">
        <f>IFERROR(__xludf.DUMMYFUNCTION("""COMPUTED_VALUE"""),"Bisalla,Lalikanda,Chamunda (Dailekh)")</f>
        <v>Bisalla,Lalikanda,Chamunda (Dailekh)</v>
      </c>
    </row>
    <row r="1312">
      <c r="A1312" s="2">
        <f>IFERROR(__xludf.DUMMYFUNCTION("""COMPUTED_VALUE"""),1311.0)</f>
        <v>1311</v>
      </c>
      <c r="B1312" s="2" t="str">
        <f>IFERROR(__xludf.DUMMYFUNCTION("""COMPUTED_VALUE"""),"Lohore Khola HPP")</f>
        <v>Lohore Khola HPP</v>
      </c>
      <c r="C1312" s="2">
        <f>IFERROR(__xludf.DUMMYFUNCTION("""COMPUTED_VALUE"""),2.58)</f>
        <v>2.58</v>
      </c>
      <c r="D1312" s="2" t="str">
        <f>IFERROR(__xludf.DUMMYFUNCTION("""COMPUTED_VALUE"""),"Lohore Khola")</f>
        <v>Lohore Khola</v>
      </c>
      <c r="E1312" s="2">
        <f>IFERROR(__xludf.DUMMYFUNCTION("""COMPUTED_VALUE"""),1521.0)</f>
        <v>1521</v>
      </c>
      <c r="F1312" s="3">
        <f>IFERROR(__xludf.DUMMYFUNCTION("""COMPUTED_VALUE"""),60817.0)</f>
        <v>60817</v>
      </c>
      <c r="G1312" s="2" t="str">
        <f>IFERROR(__xludf.DUMMYFUNCTION("""COMPUTED_VALUE"""),"Kunti Shahi,Tara Sapkota")</f>
        <v>Kunti Shahi,Tara Sapkota</v>
      </c>
      <c r="H1312" s="2" t="str">
        <f>IFERROR(__xludf.DUMMYFUNCTION("""COMPUTED_VALUE"""),"Panchakanya VDC, Ilam")</f>
        <v>Panchakanya VDC, Ilam</v>
      </c>
      <c r="I1312" s="2" t="str">
        <f>IFERROR(__xludf.DUMMYFUNCTION("""COMPUTED_VALUE"""),"28o 48' 10""")</f>
        <v>28o 48' 10"</v>
      </c>
      <c r="J1312" s="2" t="str">
        <f>IFERROR(__xludf.DUMMYFUNCTION("""COMPUTED_VALUE"""),"28o 53' 30""")</f>
        <v>28o 53' 30"</v>
      </c>
      <c r="K1312" s="2" t="str">
        <f>IFERROR(__xludf.DUMMYFUNCTION("""COMPUTED_VALUE"""),"81o 43' 30""")</f>
        <v>81o 43' 30"</v>
      </c>
      <c r="L1312" s="2" t="str">
        <f>IFERROR(__xludf.DUMMYFUNCTION("""COMPUTED_VALUE"""),"81o 47' 00""")</f>
        <v>81o 47' 00"</v>
      </c>
      <c r="M1312" s="2" t="str">
        <f>IFERROR(__xludf.DUMMYFUNCTION("""COMPUTED_VALUE"""),"Bindhyabasini (Dailekh)")</f>
        <v>Bindhyabasini (Dailekh)</v>
      </c>
    </row>
    <row r="1313">
      <c r="A1313" s="2">
        <f>IFERROR(__xludf.DUMMYFUNCTION("""COMPUTED_VALUE"""),1312.0)</f>
        <v>1312</v>
      </c>
      <c r="B1313" s="2" t="str">
        <f>IFERROR(__xludf.DUMMYFUNCTION("""COMPUTED_VALUE"""),"Thuli Gad-2 HPP")</f>
        <v>Thuli Gad-2 HPP</v>
      </c>
      <c r="C1313" s="2">
        <f>IFERROR(__xludf.DUMMYFUNCTION("""COMPUTED_VALUE"""),2.77)</f>
        <v>2.77</v>
      </c>
      <c r="D1313" s="2" t="str">
        <f>IFERROR(__xludf.DUMMYFUNCTION("""COMPUTED_VALUE"""),"Thuli Gad")</f>
        <v>Thuli Gad</v>
      </c>
      <c r="E1313" s="2">
        <f>IFERROR(__xludf.DUMMYFUNCTION("""COMPUTED_VALUE"""),1559.0)</f>
        <v>1559</v>
      </c>
      <c r="F1313" s="3">
        <f>IFERROR(__xludf.DUMMYFUNCTION("""COMPUTED_VALUE"""),60821.0)</f>
        <v>60821</v>
      </c>
      <c r="G1313" s="2" t="str">
        <f>IFERROR(__xludf.DUMMYFUNCTION("""COMPUTED_VALUE"""),"Sudhir prasad Timilsina")</f>
        <v>Sudhir prasad Timilsina</v>
      </c>
      <c r="H1313" s="2" t="str">
        <f>IFERROR(__xludf.DUMMYFUNCTION("""COMPUTED_VALUE"""),"GPO Box: 9378, Kathmandu")</f>
        <v>GPO Box: 9378, Kathmandu</v>
      </c>
      <c r="I1313" s="2" t="str">
        <f>IFERROR(__xludf.DUMMYFUNCTION("""COMPUTED_VALUE"""),"29o 19' 56""")</f>
        <v>29o 19' 56"</v>
      </c>
      <c r="J1313" s="2" t="str">
        <f>IFERROR(__xludf.DUMMYFUNCTION("""COMPUTED_VALUE"""),"29o 20' 50""")</f>
        <v>29o 20' 50"</v>
      </c>
      <c r="K1313" s="2" t="str">
        <f>IFERROR(__xludf.DUMMYFUNCTION("""COMPUTED_VALUE"""),"80o 24' 37""")</f>
        <v>80o 24' 37"</v>
      </c>
      <c r="L1313" s="2" t="str">
        <f>IFERROR(__xludf.DUMMYFUNCTION("""COMPUTED_VALUE"""),"80o 26' 40""")</f>
        <v>80o 26' 40"</v>
      </c>
      <c r="M1313" s="2" t="str">
        <f>IFERROR(__xludf.DUMMYFUNCTION("""COMPUTED_VALUE"""),"Dewal Dibyapur,Bhageswor (Dadeldhura)")</f>
        <v>Dewal Dibyapur,Bhageswor (Dadeldhura)</v>
      </c>
    </row>
    <row r="1314">
      <c r="A1314" s="2">
        <f>IFERROR(__xludf.DUMMYFUNCTION("""COMPUTED_VALUE"""),1313.0)</f>
        <v>1313</v>
      </c>
      <c r="B1314" s="2" t="str">
        <f>IFERROR(__xludf.DUMMYFUNCTION("""COMPUTED_VALUE"""),"Jhiku Khola HHP")</f>
        <v>Jhiku Khola HHP</v>
      </c>
      <c r="C1314" s="2">
        <f>IFERROR(__xludf.DUMMYFUNCTION("""COMPUTED_VALUE"""),1.5)</f>
        <v>1.5</v>
      </c>
      <c r="D1314" s="2" t="str">
        <f>IFERROR(__xludf.DUMMYFUNCTION("""COMPUTED_VALUE"""),"Jhiku")</f>
        <v>Jhiku</v>
      </c>
      <c r="E1314" s="2">
        <f>IFERROR(__xludf.DUMMYFUNCTION("""COMPUTED_VALUE"""),1560.0)</f>
        <v>1560</v>
      </c>
      <c r="F1314" s="3">
        <f>IFERROR(__xludf.DUMMYFUNCTION("""COMPUTED_VALUE"""),60821.0)</f>
        <v>60821</v>
      </c>
      <c r="G1314" s="2" t="str">
        <f>IFERROR(__xludf.DUMMYFUNCTION("""COMPUTED_VALUE"""),"Sudhir prasad Timilsina")</f>
        <v>Sudhir prasad Timilsina</v>
      </c>
      <c r="H1314" s="2" t="str">
        <f>IFERROR(__xludf.DUMMYFUNCTION("""COMPUTED_VALUE"""),"GPO Box: 9378, Kathmandu")</f>
        <v>GPO Box: 9378, Kathmandu</v>
      </c>
      <c r="I1314" s="2" t="str">
        <f>IFERROR(__xludf.DUMMYFUNCTION("""COMPUTED_VALUE"""),"27o 34' 40""")</f>
        <v>27o 34' 40"</v>
      </c>
      <c r="J1314" s="2" t="str">
        <f>IFERROR(__xludf.DUMMYFUNCTION("""COMPUTED_VALUE"""),"27o 35' 12""")</f>
        <v>27o 35' 12"</v>
      </c>
      <c r="K1314" s="2" t="str">
        <f>IFERROR(__xludf.DUMMYFUNCTION("""COMPUTED_VALUE"""),"85o 41' 58""")</f>
        <v>85o 41' 58"</v>
      </c>
      <c r="L1314" s="2" t="str">
        <f>IFERROR(__xludf.DUMMYFUNCTION("""COMPUTED_VALUE"""),"85o 43' 40""")</f>
        <v>85o 43' 40"</v>
      </c>
      <c r="M1314" s="2" t="str">
        <f>IFERROR(__xludf.DUMMYFUNCTION("""COMPUTED_VALUE"""),"Koshidekha,Sarasyakhark (Kavrepalanchok)")</f>
        <v>Koshidekha,Sarasyakhark (Kavrepalanchok)</v>
      </c>
    </row>
    <row r="1315">
      <c r="A1315" s="2">
        <f>IFERROR(__xludf.DUMMYFUNCTION("""COMPUTED_VALUE"""),1314.0)</f>
        <v>1314</v>
      </c>
      <c r="B1315" s="2" t="str">
        <f>IFERROR(__xludf.DUMMYFUNCTION("""COMPUTED_VALUE"""),"Domu Khola SHP")</f>
        <v>Domu Khola SHP</v>
      </c>
      <c r="C1315" s="2">
        <f>IFERROR(__xludf.DUMMYFUNCTION("""COMPUTED_VALUE"""),0.47)</f>
        <v>0.47</v>
      </c>
      <c r="D1315" s="2" t="str">
        <f>IFERROR(__xludf.DUMMYFUNCTION("""COMPUTED_VALUE"""),"Domu")</f>
        <v>Domu</v>
      </c>
      <c r="E1315" s="2">
        <f>IFERROR(__xludf.DUMMYFUNCTION("""COMPUTED_VALUE"""),1564.0)</f>
        <v>1564</v>
      </c>
      <c r="F1315" s="3">
        <f>IFERROR(__xludf.DUMMYFUNCTION("""COMPUTED_VALUE"""),60821.0)</f>
        <v>60821</v>
      </c>
      <c r="G1315" s="2" t="str">
        <f>IFERROR(__xludf.DUMMYFUNCTION("""COMPUTED_VALUE"""),"Ramkaji Silwal, Pashupati Silwal")</f>
        <v>Ramkaji Silwal, Pashupati Silwal</v>
      </c>
      <c r="H1315" s="2" t="str">
        <f>IFERROR(__xludf.DUMMYFUNCTION("""COMPUTED_VALUE"""),"Golche, Sindhupalchowk, Tel: 9741025899")</f>
        <v>Golche, Sindhupalchowk, Tel: 9741025899</v>
      </c>
      <c r="I1315" s="2" t="str">
        <f>IFERROR(__xludf.DUMMYFUNCTION("""COMPUTED_VALUE"""),"27o 57' 01""")</f>
        <v>27o 57' 01"</v>
      </c>
      <c r="J1315" s="2" t="str">
        <f>IFERROR(__xludf.DUMMYFUNCTION("""COMPUTED_VALUE"""),"27o 58' 01""")</f>
        <v>27o 58' 01"</v>
      </c>
      <c r="K1315" s="2" t="str">
        <f>IFERROR(__xludf.DUMMYFUNCTION("""COMPUTED_VALUE"""),"85o 46' 49""")</f>
        <v>85o 46' 49"</v>
      </c>
      <c r="L1315" s="2" t="str">
        <f>IFERROR(__xludf.DUMMYFUNCTION("""COMPUTED_VALUE"""),"85o 47' 41""")</f>
        <v>85o 47' 41"</v>
      </c>
      <c r="M1315" s="2" t="str">
        <f>IFERROR(__xludf.DUMMYFUNCTION("""COMPUTED_VALUE"""),"Golche (Sindhupalchok)")</f>
        <v>Golche (Sindhupalchok)</v>
      </c>
    </row>
    <row r="1316">
      <c r="A1316" s="2">
        <f>IFERROR(__xludf.DUMMYFUNCTION("""COMPUTED_VALUE"""),1315.0)</f>
        <v>1315</v>
      </c>
      <c r="B1316" s="2" t="str">
        <f>IFERROR(__xludf.DUMMYFUNCTION("""COMPUTED_VALUE"""),"Takparan Khola SHP")</f>
        <v>Takparan Khola SHP</v>
      </c>
      <c r="C1316" s="2">
        <f>IFERROR(__xludf.DUMMYFUNCTION("""COMPUTED_VALUE"""),0.71)</f>
        <v>0.71</v>
      </c>
      <c r="D1316" s="2" t="str">
        <f>IFERROR(__xludf.DUMMYFUNCTION("""COMPUTED_VALUE"""),"Takparan")</f>
        <v>Takparan</v>
      </c>
      <c r="E1316" s="2">
        <f>IFERROR(__xludf.DUMMYFUNCTION("""COMPUTED_VALUE"""),1565.0)</f>
        <v>1565</v>
      </c>
      <c r="F1316" s="3">
        <f>IFERROR(__xludf.DUMMYFUNCTION("""COMPUTED_VALUE"""),60821.0)</f>
        <v>60821</v>
      </c>
      <c r="G1316" s="2" t="str">
        <f>IFERROR(__xludf.DUMMYFUNCTION("""COMPUTED_VALUE"""),"Ramkaji Silwal, Pashupati Silwal")</f>
        <v>Ramkaji Silwal, Pashupati Silwal</v>
      </c>
      <c r="H1316" s="2" t="str">
        <f>IFERROR(__xludf.DUMMYFUNCTION("""COMPUTED_VALUE"""),"Golche, Sindhupalchowk, Tel: 9841410930")</f>
        <v>Golche, Sindhupalchowk, Tel: 9841410930</v>
      </c>
      <c r="I1316" s="2" t="str">
        <f>IFERROR(__xludf.DUMMYFUNCTION("""COMPUTED_VALUE"""),"27o 54' 13""")</f>
        <v>27o 54' 13"</v>
      </c>
      <c r="J1316" s="2" t="str">
        <f>IFERROR(__xludf.DUMMYFUNCTION("""COMPUTED_VALUE"""),"27o 55' 00""")</f>
        <v>27o 55' 00"</v>
      </c>
      <c r="K1316" s="2" t="str">
        <f>IFERROR(__xludf.DUMMYFUNCTION("""COMPUTED_VALUE"""),"85o 45' 00""")</f>
        <v>85o 45' 00"</v>
      </c>
      <c r="L1316" s="2" t="str">
        <f>IFERROR(__xludf.DUMMYFUNCTION("""COMPUTED_VALUE"""),"85o 49' 01""")</f>
        <v>85o 49' 01"</v>
      </c>
      <c r="M1316" s="2" t="str">
        <f>IFERROR(__xludf.DUMMYFUNCTION("""COMPUTED_VALUE"""),"Golche (Sindhupalchok)")</f>
        <v>Golche (Sindhupalchok)</v>
      </c>
    </row>
    <row r="1317">
      <c r="A1317" s="2">
        <f>IFERROR(__xludf.DUMMYFUNCTION("""COMPUTED_VALUE"""),1316.0)</f>
        <v>1316</v>
      </c>
      <c r="B1317" s="2" t="str">
        <f>IFERROR(__xludf.DUMMYFUNCTION("""COMPUTED_VALUE"""),"Mi-Batase Khola HPP")</f>
        <v>Mi-Batase Khola HPP</v>
      </c>
      <c r="C1317" s="2">
        <f>IFERROR(__xludf.DUMMYFUNCTION("""COMPUTED_VALUE"""),6.0)</f>
        <v>6</v>
      </c>
      <c r="D1317" s="2" t="str">
        <f>IFERROR(__xludf.DUMMYFUNCTION("""COMPUTED_VALUE"""),"Batase")</f>
        <v>Batase</v>
      </c>
      <c r="E1317" s="2">
        <f>IFERROR(__xludf.DUMMYFUNCTION("""COMPUTED_VALUE"""),1566.0)</f>
        <v>1566</v>
      </c>
      <c r="F1317" s="3">
        <f>IFERROR(__xludf.DUMMYFUNCTION("""COMPUTED_VALUE"""),60821.0)</f>
        <v>60821</v>
      </c>
      <c r="G1317" s="2" t="str">
        <f>IFERROR(__xludf.DUMMYFUNCTION("""COMPUTED_VALUE"""),"Shiv Raj Shrestha")</f>
        <v>Shiv Raj Shrestha</v>
      </c>
      <c r="H1317" s="2" t="str">
        <f>IFERROR(__xludf.DUMMYFUNCTION("""COMPUTED_VALUE"""),"Khumal Height, lalitpur tel; 2110299")</f>
        <v>Khumal Height, lalitpur tel; 2110299</v>
      </c>
      <c r="I1317" s="2" t="str">
        <f>IFERROR(__xludf.DUMMYFUNCTION("""COMPUTED_VALUE"""),"28o 24' 00""")</f>
        <v>28o 24' 00"</v>
      </c>
      <c r="J1317" s="2" t="str">
        <f>IFERROR(__xludf.DUMMYFUNCTION("""COMPUTED_VALUE"""),"28o 29' 00""")</f>
        <v>28o 29' 00"</v>
      </c>
      <c r="K1317" s="2" t="str">
        <f>IFERROR(__xludf.DUMMYFUNCTION("""COMPUTED_VALUE"""),"84o 00' 00""")</f>
        <v>84o 00' 00"</v>
      </c>
      <c r="L1317" s="2" t="str">
        <f>IFERROR(__xludf.DUMMYFUNCTION("""COMPUTED_VALUE"""),"84o 02' 15""")</f>
        <v>84o 02' 15"</v>
      </c>
      <c r="M1317" s="2" t="str">
        <f>IFERROR(__xludf.DUMMYFUNCTION("""COMPUTED_VALUE"""),"Machhapuchchhre (Kaski)")</f>
        <v>Machhapuchchhre (Kaski)</v>
      </c>
    </row>
    <row r="1318">
      <c r="A1318" s="2">
        <f>IFERROR(__xludf.DUMMYFUNCTION("""COMPUTED_VALUE"""),1317.0)</f>
        <v>1317</v>
      </c>
      <c r="B1318" s="2" t="str">
        <f>IFERROR(__xludf.DUMMYFUNCTION("""COMPUTED_VALUE"""),"Ghatte Khola SHP")</f>
        <v>Ghatte Khola SHP</v>
      </c>
      <c r="C1318" s="2">
        <f>IFERROR(__xludf.DUMMYFUNCTION("""COMPUTED_VALUE"""),0.99)</f>
        <v>0.99</v>
      </c>
      <c r="D1318" s="2" t="str">
        <f>IFERROR(__xludf.DUMMYFUNCTION("""COMPUTED_VALUE"""),"Ghatte Khola")</f>
        <v>Ghatte Khola</v>
      </c>
      <c r="E1318" s="2">
        <f>IFERROR(__xludf.DUMMYFUNCTION("""COMPUTED_VALUE"""),1603.0)</f>
        <v>1603</v>
      </c>
      <c r="F1318" s="3">
        <f>IFERROR(__xludf.DUMMYFUNCTION("""COMPUTED_VALUE"""),60822.0)</f>
        <v>60822</v>
      </c>
      <c r="G1318" s="2" t="str">
        <f>IFERROR(__xludf.DUMMYFUNCTION("""COMPUTED_VALUE"""),"Pemba lama")</f>
        <v>Pemba lama</v>
      </c>
      <c r="H1318" s="2" t="str">
        <f>IFERROR(__xludf.DUMMYFUNCTION("""COMPUTED_VALUE"""),"Golche-6, Sindhupalchowk")</f>
        <v>Golche-6, Sindhupalchowk</v>
      </c>
      <c r="I1318" s="2" t="str">
        <f>IFERROR(__xludf.DUMMYFUNCTION("""COMPUTED_VALUE"""),"27o 53' 00""")</f>
        <v>27o 53' 00"</v>
      </c>
      <c r="J1318" s="2" t="str">
        <f>IFERROR(__xludf.DUMMYFUNCTION("""COMPUTED_VALUE"""),"27o 54' 00""")</f>
        <v>27o 54' 00"</v>
      </c>
      <c r="K1318" s="2" t="str">
        <f>IFERROR(__xludf.DUMMYFUNCTION("""COMPUTED_VALUE"""),"85o 44' 00""")</f>
        <v>85o 44' 00"</v>
      </c>
      <c r="L1318" s="2" t="str">
        <f>IFERROR(__xludf.DUMMYFUNCTION("""COMPUTED_VALUE"""),"85o 45' 00""")</f>
        <v>85o 45' 00"</v>
      </c>
      <c r="M1318" s="2" t="str">
        <f>IFERROR(__xludf.DUMMYFUNCTION("""COMPUTED_VALUE"""),"Golche (Sindhupalchok)")</f>
        <v>Golche (Sindhupalchok)</v>
      </c>
    </row>
    <row r="1319">
      <c r="A1319" s="2">
        <f>IFERROR(__xludf.DUMMYFUNCTION("""COMPUTED_VALUE"""),1318.0)</f>
        <v>1318</v>
      </c>
      <c r="B1319" s="2" t="str">
        <f>IFERROR(__xludf.DUMMYFUNCTION("""COMPUTED_VALUE"""),"Chepe Khola HPP")</f>
        <v>Chepe Khola HPP</v>
      </c>
      <c r="C1319" s="2">
        <f>IFERROR(__xludf.DUMMYFUNCTION("""COMPUTED_VALUE"""),2.25)</f>
        <v>2.25</v>
      </c>
      <c r="D1319" s="2" t="str">
        <f>IFERROR(__xludf.DUMMYFUNCTION("""COMPUTED_VALUE"""),"Chepe Khola")</f>
        <v>Chepe Khola</v>
      </c>
      <c r="E1319" s="2">
        <f>IFERROR(__xludf.DUMMYFUNCTION("""COMPUTED_VALUE"""),1608.0)</f>
        <v>1608</v>
      </c>
      <c r="F1319" s="3">
        <f>IFERROR(__xludf.DUMMYFUNCTION("""COMPUTED_VALUE"""),60822.0)</f>
        <v>60822</v>
      </c>
      <c r="G1319" s="2" t="str">
        <f>IFERROR(__xludf.DUMMYFUNCTION("""COMPUTED_VALUE"""),"Nepal Power Company Pvt Ltd")</f>
        <v>Nepal Power Company Pvt Ltd</v>
      </c>
      <c r="H1319" s="2" t="str">
        <f>IFERROR(__xludf.DUMMYFUNCTION("""COMPUTED_VALUE"""),"GPO Box: 15142, Kathmandu Tel: 42433962")</f>
        <v>GPO Box: 15142, Kathmandu Tel: 42433962</v>
      </c>
      <c r="I1319" s="2" t="str">
        <f>IFERROR(__xludf.DUMMYFUNCTION("""COMPUTED_VALUE"""),"28o 15' 00""")</f>
        <v>28o 15' 00"</v>
      </c>
      <c r="J1319" s="2" t="str">
        <f>IFERROR(__xludf.DUMMYFUNCTION("""COMPUTED_VALUE"""),"28o 16' 22""")</f>
        <v>28o 16' 22"</v>
      </c>
      <c r="K1319" s="2" t="str">
        <f>IFERROR(__xludf.DUMMYFUNCTION("""COMPUTED_VALUE"""),"84o 38' 32""")</f>
        <v>84o 38' 32"</v>
      </c>
      <c r="L1319" s="2" t="str">
        <f>IFERROR(__xludf.DUMMYFUNCTION("""COMPUTED_VALUE"""),"84o 39' 45""")</f>
        <v>84o 39' 45"</v>
      </c>
      <c r="M1319" s="2" t="str">
        <f>IFERROR(__xludf.DUMMYFUNCTION("""COMPUTED_VALUE"""),"Kharibot (Gorkha) Dudhpokhari (Lamjung)")</f>
        <v>Kharibot (Gorkha) Dudhpokhari (Lamjung)</v>
      </c>
    </row>
    <row r="1320">
      <c r="A1320" s="2">
        <f>IFERROR(__xludf.DUMMYFUNCTION("""COMPUTED_VALUE"""),1319.0)</f>
        <v>1319</v>
      </c>
      <c r="B1320" s="2" t="str">
        <f>IFERROR(__xludf.DUMMYFUNCTION("""COMPUTED_VALUE"""),"Daraundi Khola HPP")</f>
        <v>Daraundi Khola HPP</v>
      </c>
      <c r="C1320" s="2">
        <f>IFERROR(__xludf.DUMMYFUNCTION("""COMPUTED_VALUE"""),2.98)</f>
        <v>2.98</v>
      </c>
      <c r="D1320" s="2" t="str">
        <f>IFERROR(__xludf.DUMMYFUNCTION("""COMPUTED_VALUE"""),"Daraundi")</f>
        <v>Daraundi</v>
      </c>
      <c r="E1320" s="2">
        <f>IFERROR(__xludf.DUMMYFUNCTION("""COMPUTED_VALUE"""),1609.0)</f>
        <v>1609</v>
      </c>
      <c r="F1320" s="3">
        <f>IFERROR(__xludf.DUMMYFUNCTION("""COMPUTED_VALUE"""),60822.0)</f>
        <v>60822</v>
      </c>
      <c r="G1320" s="2" t="str">
        <f>IFERROR(__xludf.DUMMYFUNCTION("""COMPUTED_VALUE"""),"Nepal Power Company Pvt Ltd")</f>
        <v>Nepal Power Company Pvt Ltd</v>
      </c>
      <c r="H1320" s="2" t="str">
        <f>IFERROR(__xludf.DUMMYFUNCTION("""COMPUTED_VALUE"""),"GPO Box: 15142, Kathmandu Tel: 42433962")</f>
        <v>GPO Box: 15142, Kathmandu Tel: 42433962</v>
      </c>
      <c r="I1320" s="2" t="str">
        <f>IFERROR(__xludf.DUMMYFUNCTION("""COMPUTED_VALUE"""),"28o 16' 15""")</f>
        <v>28o 16' 15"</v>
      </c>
      <c r="J1320" s="2" t="str">
        <f>IFERROR(__xludf.DUMMYFUNCTION("""COMPUTED_VALUE"""),"28o 17' 50""")</f>
        <v>28o 17' 50"</v>
      </c>
      <c r="K1320" s="2" t="str">
        <f>IFERROR(__xludf.DUMMYFUNCTION("""COMPUTED_VALUE"""),"84o 42' 50""")</f>
        <v>84o 42' 50"</v>
      </c>
      <c r="L1320" s="2" t="str">
        <f>IFERROR(__xludf.DUMMYFUNCTION("""COMPUTED_VALUE"""),"84o 44' 03""")</f>
        <v>84o 44' 03"</v>
      </c>
      <c r="M1320" s="2" t="str">
        <f>IFERROR(__xludf.DUMMYFUNCTION("""COMPUTED_VALUE"""),"Ghyalchok (Gorkha)")</f>
        <v>Ghyalchok (Gorkha)</v>
      </c>
    </row>
    <row r="1321">
      <c r="A1321" s="2">
        <f>IFERROR(__xludf.DUMMYFUNCTION("""COMPUTED_VALUE"""),1320.0)</f>
        <v>1320</v>
      </c>
      <c r="B1321" s="2" t="str">
        <f>IFERROR(__xludf.DUMMYFUNCTION("""COMPUTED_VALUE"""),"Ghore-Sadhu Khola HPP")</f>
        <v>Ghore-Sadhu Khola HPP</v>
      </c>
      <c r="C1321" s="2">
        <f>IFERROR(__xludf.DUMMYFUNCTION("""COMPUTED_VALUE"""),6.0)</f>
        <v>6</v>
      </c>
      <c r="D1321" s="2" t="str">
        <f>IFERROR(__xludf.DUMMYFUNCTION("""COMPUTED_VALUE"""),"Ghore")</f>
        <v>Ghore</v>
      </c>
      <c r="E1321" s="2">
        <f>IFERROR(__xludf.DUMMYFUNCTION("""COMPUTED_VALUE"""),1616.0)</f>
        <v>1616</v>
      </c>
      <c r="F1321" s="3">
        <f>IFERROR(__xludf.DUMMYFUNCTION("""COMPUTED_VALUE"""),60823.0)</f>
        <v>60823</v>
      </c>
      <c r="G1321" s="2" t="str">
        <f>IFERROR(__xludf.DUMMYFUNCTION("""COMPUTED_VALUE"""),"Shiv Raj Shrestha")</f>
        <v>Shiv Raj Shrestha</v>
      </c>
      <c r="H1321" s="2" t="str">
        <f>IFERROR(__xludf.DUMMYFUNCTION("""COMPUTED_VALUE"""),"Khumal Height, lalitpur tel; 2110299")</f>
        <v>Khumal Height, lalitpur tel; 2110299</v>
      </c>
      <c r="I1321" s="2" t="str">
        <f>IFERROR(__xludf.DUMMYFUNCTION("""COMPUTED_VALUE"""),"28o 26' 00""")</f>
        <v>28o 26' 00"</v>
      </c>
      <c r="J1321" s="2" t="str">
        <f>IFERROR(__xludf.DUMMYFUNCTION("""COMPUTED_VALUE"""),"28o 29' 00""")</f>
        <v>28o 29' 00"</v>
      </c>
      <c r="K1321" s="2" t="str">
        <f>IFERROR(__xludf.DUMMYFUNCTION("""COMPUTED_VALUE"""),"83o 58' 00""")</f>
        <v>83o 58' 00"</v>
      </c>
      <c r="L1321" s="2" t="str">
        <f>IFERROR(__xludf.DUMMYFUNCTION("""COMPUTED_VALUE"""),"84o 00' 00""")</f>
        <v>84o 00' 00"</v>
      </c>
      <c r="M1321" s="2" t="str">
        <f>IFERROR(__xludf.DUMMYFUNCTION("""COMPUTED_VALUE"""),"Machhapuchchhre (Kaski)")</f>
        <v>Machhapuchchhre (Kaski)</v>
      </c>
    </row>
    <row r="1322">
      <c r="A1322" s="2">
        <f>IFERROR(__xludf.DUMMYFUNCTION("""COMPUTED_VALUE"""),1321.0)</f>
        <v>1321</v>
      </c>
      <c r="B1322" s="2" t="str">
        <f>IFERROR(__xludf.DUMMYFUNCTION("""COMPUTED_VALUE"""),"Phalakhu Khola SHP")</f>
        <v>Phalakhu Khola SHP</v>
      </c>
      <c r="C1322" s="2">
        <f>IFERROR(__xludf.DUMMYFUNCTION("""COMPUTED_VALUE"""),0.98)</f>
        <v>0.98</v>
      </c>
      <c r="D1322" s="2" t="str">
        <f>IFERROR(__xludf.DUMMYFUNCTION("""COMPUTED_VALUE"""),"Phalankhu Khola")</f>
        <v>Phalankhu Khola</v>
      </c>
      <c r="E1322" s="2">
        <f>IFERROR(__xludf.DUMMYFUNCTION("""COMPUTED_VALUE"""),1622.0)</f>
        <v>1622</v>
      </c>
      <c r="F1322" s="3">
        <f>IFERROR(__xludf.DUMMYFUNCTION("""COMPUTED_VALUE"""),60823.0)</f>
        <v>60823</v>
      </c>
      <c r="G1322" s="2" t="str">
        <f>IFERROR(__xludf.DUMMYFUNCTION("""COMPUTED_VALUE"""),"Hari Bahadur Tamang")</f>
        <v>Hari Bahadur Tamang</v>
      </c>
      <c r="H1322" s="2" t="str">
        <f>IFERROR(__xludf.DUMMYFUNCTION("""COMPUTED_VALUE"""),"Bageswari-8, Nuwakot, Tel: 9851092471")</f>
        <v>Bageswari-8, Nuwakot, Tel: 9851092471</v>
      </c>
      <c r="I1322" s="2" t="str">
        <f>IFERROR(__xludf.DUMMYFUNCTION("""COMPUTED_VALUE"""),"27o 58' 07""")</f>
        <v>27o 58' 07"</v>
      </c>
      <c r="J1322" s="2" t="str">
        <f>IFERROR(__xludf.DUMMYFUNCTION("""COMPUTED_VALUE"""),"27o 58' 39""")</f>
        <v>27o 58' 39"</v>
      </c>
      <c r="K1322" s="2" t="str">
        <f>IFERROR(__xludf.DUMMYFUNCTION("""COMPUTED_VALUE"""),"85o 13' 54""")</f>
        <v>85o 13' 54"</v>
      </c>
      <c r="L1322" s="2" t="str">
        <f>IFERROR(__xludf.DUMMYFUNCTION("""COMPUTED_VALUE"""),"85o 16' 14""")</f>
        <v>85o 16' 14"</v>
      </c>
      <c r="M1322" s="2" t="str">
        <f>IFERROR(__xludf.DUMMYFUNCTION("""COMPUTED_VALUE"""),"Bageswori,Lachyang (Nuwakot)")</f>
        <v>Bageswori,Lachyang (Nuwakot)</v>
      </c>
    </row>
    <row r="1323">
      <c r="A1323" s="2">
        <f>IFERROR(__xludf.DUMMYFUNCTION("""COMPUTED_VALUE"""),1322.0)</f>
        <v>1322</v>
      </c>
      <c r="B1323" s="2" t="str">
        <f>IFERROR(__xludf.DUMMYFUNCTION("""COMPUTED_VALUE"""),"Nunsari-Mawa Khola SHP")</f>
        <v>Nunsari-Mawa Khola SHP</v>
      </c>
      <c r="C1323" s="2">
        <f>IFERROR(__xludf.DUMMYFUNCTION("""COMPUTED_VALUE"""),0.8)</f>
        <v>0.8</v>
      </c>
      <c r="D1323" s="2" t="str">
        <f>IFERROR(__xludf.DUMMYFUNCTION("""COMPUTED_VALUE"""),"Mawa")</f>
        <v>Mawa</v>
      </c>
      <c r="E1323" s="2">
        <f>IFERROR(__xludf.DUMMYFUNCTION("""COMPUTED_VALUE"""),1663.0)</f>
        <v>1663</v>
      </c>
      <c r="F1323" s="3">
        <f>IFERROR(__xludf.DUMMYFUNCTION("""COMPUTED_VALUE"""),60825.0)</f>
        <v>60825</v>
      </c>
      <c r="G1323" s="2" t="str">
        <f>IFERROR(__xludf.DUMMYFUNCTION("""COMPUTED_VALUE"""),"Prem Kumari Bhandari")</f>
        <v>Prem Kumari Bhandari</v>
      </c>
      <c r="H1323" s="2" t="str">
        <f>IFERROR(__xludf.DUMMYFUNCTION("""COMPUTED_VALUE"""),"Urlawari-4, Morang Tel: 9742031000")</f>
        <v>Urlawari-4, Morang Tel: 9742031000</v>
      </c>
      <c r="I1323" s="2" t="str">
        <f>IFERROR(__xludf.DUMMYFUNCTION("""COMPUTED_VALUE"""),"26o 46' 00""")</f>
        <v>26o 46' 00"</v>
      </c>
      <c r="J1323" s="2" t="str">
        <f>IFERROR(__xludf.DUMMYFUNCTION("""COMPUTED_VALUE"""),"26o 48' 00""")</f>
        <v>26o 48' 00"</v>
      </c>
      <c r="K1323" s="2" t="str">
        <f>IFERROR(__xludf.DUMMYFUNCTION("""COMPUTED_VALUE"""),"87o 39' 00""")</f>
        <v>87o 39' 00"</v>
      </c>
      <c r="L1323" s="2" t="str">
        <f>IFERROR(__xludf.DUMMYFUNCTION("""COMPUTED_VALUE"""),"87o 42' 30""")</f>
        <v>87o 42' 30"</v>
      </c>
      <c r="M1323" s="2" t="str">
        <f>IFERROR(__xludf.DUMMYFUNCTION("""COMPUTED_VALUE"""),"Sakfara (Ilam) Tandi (Morang)")</f>
        <v>Sakfara (Ilam) Tandi (Morang)</v>
      </c>
    </row>
    <row r="1324">
      <c r="A1324" s="2">
        <f>IFERROR(__xludf.DUMMYFUNCTION("""COMPUTED_VALUE"""),1323.0)</f>
        <v>1323</v>
      </c>
      <c r="B1324" s="2" t="str">
        <f>IFERROR(__xludf.DUMMYFUNCTION("""COMPUTED_VALUE"""),"Ghami Khola HPP")</f>
        <v>Ghami Khola HPP</v>
      </c>
      <c r="C1324" s="2">
        <f>IFERROR(__xludf.DUMMYFUNCTION("""COMPUTED_VALUE"""),8.0)</f>
        <v>8</v>
      </c>
      <c r="D1324" s="2" t="str">
        <f>IFERROR(__xludf.DUMMYFUNCTION("""COMPUTED_VALUE"""),"Ghami")</f>
        <v>Ghami</v>
      </c>
      <c r="E1324" s="2">
        <f>IFERROR(__xludf.DUMMYFUNCTION("""COMPUTED_VALUE"""),1688.0)</f>
        <v>1688</v>
      </c>
      <c r="F1324" s="3">
        <f>IFERROR(__xludf.DUMMYFUNCTION("""COMPUTED_VALUE"""),60828.0)</f>
        <v>60828</v>
      </c>
      <c r="G1324" s="2" t="str">
        <f>IFERROR(__xludf.DUMMYFUNCTION("""COMPUTED_VALUE"""),"Prabh Energy Pvt Ltd")</f>
        <v>Prabh Energy Pvt Ltd</v>
      </c>
      <c r="H1324" s="2" t="str">
        <f>IFERROR(__xludf.DUMMYFUNCTION("""COMPUTED_VALUE"""),"GPO Box: 5211, Kathmandu")</f>
        <v>GPO Box: 5211, Kathmandu</v>
      </c>
      <c r="I1324" s="2" t="str">
        <f>IFERROR(__xludf.DUMMYFUNCTION("""COMPUTED_VALUE"""),"29o 00' 00""")</f>
        <v>29o 00' 00"</v>
      </c>
      <c r="J1324" s="2" t="str">
        <f>IFERROR(__xludf.DUMMYFUNCTION("""COMPUTED_VALUE"""),"29o 04' 03""")</f>
        <v>29o 04' 03"</v>
      </c>
      <c r="K1324" s="2" t="str">
        <f>IFERROR(__xludf.DUMMYFUNCTION("""COMPUTED_VALUE"""),"83o 51' 00""")</f>
        <v>83o 51' 00"</v>
      </c>
      <c r="L1324" s="2" t="str">
        <f>IFERROR(__xludf.DUMMYFUNCTION("""COMPUTED_VALUE"""),"83o 55' 00""")</f>
        <v>83o 55' 00"</v>
      </c>
      <c r="M1324" s="2" t="str">
        <f>IFERROR(__xludf.DUMMYFUNCTION("""COMPUTED_VALUE"""),"Jomosom,Marpha (Mustang)")</f>
        <v>Jomosom,Marpha (Mustang)</v>
      </c>
    </row>
    <row r="1325">
      <c r="A1325" s="2">
        <f>IFERROR(__xludf.DUMMYFUNCTION("""COMPUTED_VALUE"""),1324.0)</f>
        <v>1324</v>
      </c>
      <c r="B1325" s="2" t="str">
        <f>IFERROR(__xludf.DUMMYFUNCTION("""COMPUTED_VALUE"""),"Upper Maran Khola SHP")</f>
        <v>Upper Maran Khola SHP</v>
      </c>
      <c r="C1325" s="2">
        <f>IFERROR(__xludf.DUMMYFUNCTION("""COMPUTED_VALUE"""),1.0)</f>
        <v>1</v>
      </c>
      <c r="D1325" s="2" t="str">
        <f>IFERROR(__xludf.DUMMYFUNCTION("""COMPUTED_VALUE"""),"Maran")</f>
        <v>Maran</v>
      </c>
      <c r="E1325" s="2">
        <f>IFERROR(__xludf.DUMMYFUNCTION("""COMPUTED_VALUE"""),1702.0)</f>
        <v>1702</v>
      </c>
      <c r="F1325" s="3">
        <f>IFERROR(__xludf.DUMMYFUNCTION("""COMPUTED_VALUE"""),60829.0)</f>
        <v>60829</v>
      </c>
      <c r="G1325" s="2" t="str">
        <f>IFERROR(__xludf.DUMMYFUNCTION("""COMPUTED_VALUE"""),"Navin Kumar Shahi")</f>
        <v>Navin Kumar Shahi</v>
      </c>
      <c r="H1325" s="2" t="str">
        <f>IFERROR(__xludf.DUMMYFUNCTION("""COMPUTED_VALUE"""),"Piple VDC-1, Myagdi Tel: 9847624392")</f>
        <v>Piple VDC-1, Myagdi Tel: 9847624392</v>
      </c>
      <c r="I1325" s="2" t="str">
        <f>IFERROR(__xludf.DUMMYFUNCTION("""COMPUTED_VALUE"""),"28o 28' 17""")</f>
        <v>28o 28' 17"</v>
      </c>
      <c r="J1325" s="2" t="str">
        <f>IFERROR(__xludf.DUMMYFUNCTION("""COMPUTED_VALUE"""),"28o 29' 05""")</f>
        <v>28o 29' 05"</v>
      </c>
      <c r="K1325" s="2" t="str">
        <f>IFERROR(__xludf.DUMMYFUNCTION("""COMPUTED_VALUE"""),"83o 23' 47""")</f>
        <v>83o 23' 47"</v>
      </c>
      <c r="L1325" s="2" t="str">
        <f>IFERROR(__xludf.DUMMYFUNCTION("""COMPUTED_VALUE"""),"83o 24' 27""")</f>
        <v>83o 24' 27"</v>
      </c>
      <c r="M1325" s="2" t="str">
        <f>IFERROR(__xludf.DUMMYFUNCTION("""COMPUTED_VALUE"""),"Marang (Myagdi)")</f>
        <v>Marang (Myagdi)</v>
      </c>
    </row>
    <row r="1326">
      <c r="A1326" s="2">
        <f>IFERROR(__xludf.DUMMYFUNCTION("""COMPUTED_VALUE"""),1325.0)</f>
        <v>1325</v>
      </c>
      <c r="B1326" s="2" t="str">
        <f>IFERROR(__xludf.DUMMYFUNCTION("""COMPUTED_VALUE"""),"Arun Khola HPP")</f>
        <v>Arun Khola HPP</v>
      </c>
      <c r="C1326" s="2">
        <f>IFERROR(__xludf.DUMMYFUNCTION("""COMPUTED_VALUE"""),4.8)</f>
        <v>4.8</v>
      </c>
      <c r="D1326" s="2" t="str">
        <f>IFERROR(__xludf.DUMMYFUNCTION("""COMPUTED_VALUE"""),"Arun Khola")</f>
        <v>Arun Khola</v>
      </c>
      <c r="E1326" s="2">
        <f>IFERROR(__xludf.DUMMYFUNCTION("""COMPUTED_VALUE"""),1724.0)</f>
        <v>1724</v>
      </c>
      <c r="F1326" s="3">
        <f>IFERROR(__xludf.DUMMYFUNCTION("""COMPUTED_VALUE"""),60830.0)</f>
        <v>60830</v>
      </c>
      <c r="G1326" s="2" t="str">
        <f>IFERROR(__xludf.DUMMYFUNCTION("""COMPUTED_VALUE"""),"B.P Engineering Consult Pvt Ltd")</f>
        <v>B.P Engineering Consult Pvt Ltd</v>
      </c>
      <c r="H1326" s="2" t="str">
        <f>IFERROR(__xludf.DUMMYFUNCTION("""COMPUTED_VALUE"""),"Kathmandu,Tel: 9851062599")</f>
        <v>Kathmandu,Tel: 9851062599</v>
      </c>
      <c r="I1326" s="2" t="str">
        <f>IFERROR(__xludf.DUMMYFUNCTION("""COMPUTED_VALUE"""),"27o 41' 24""")</f>
        <v>27o 41' 24"</v>
      </c>
      <c r="J1326" s="2" t="str">
        <f>IFERROR(__xludf.DUMMYFUNCTION("""COMPUTED_VALUE"""),"27o 43' 36""")</f>
        <v>27o 43' 36"</v>
      </c>
      <c r="K1326" s="2" t="str">
        <f>IFERROR(__xludf.DUMMYFUNCTION("""COMPUTED_VALUE"""),"83o 55' 36""")</f>
        <v>83o 55' 36"</v>
      </c>
      <c r="L1326" s="2" t="str">
        <f>IFERROR(__xludf.DUMMYFUNCTION("""COMPUTED_VALUE"""),"83o 57' 58""")</f>
        <v>83o 57' 58"</v>
      </c>
      <c r="M1326" s="2" t="str">
        <f>IFERROR(__xludf.DUMMYFUNCTION("""COMPUTED_VALUE"""),"Rakachuli (Nawalparasi)")</f>
        <v>Rakachuli (Nawalparasi)</v>
      </c>
    </row>
    <row r="1327">
      <c r="A1327" s="2">
        <f>IFERROR(__xludf.DUMMYFUNCTION("""COMPUTED_VALUE"""),1326.0)</f>
        <v>1326</v>
      </c>
      <c r="B1327" s="2" t="str">
        <f>IFERROR(__xludf.DUMMYFUNCTION("""COMPUTED_VALUE"""),"Chadaha Khola SHP")</f>
        <v>Chadaha Khola SHP</v>
      </c>
      <c r="C1327" s="2">
        <f>IFERROR(__xludf.DUMMYFUNCTION("""COMPUTED_VALUE"""),0.9)</f>
        <v>0.9</v>
      </c>
      <c r="D1327" s="2" t="str">
        <f>IFERROR(__xludf.DUMMYFUNCTION("""COMPUTED_VALUE"""),"Chadaha")</f>
        <v>Chadaha</v>
      </c>
      <c r="E1327" s="2">
        <f>IFERROR(__xludf.DUMMYFUNCTION("""COMPUTED_VALUE"""),1730.0)</f>
        <v>1730</v>
      </c>
      <c r="F1327" s="3">
        <f>IFERROR(__xludf.DUMMYFUNCTION("""COMPUTED_VALUE"""),60830.0)</f>
        <v>60830</v>
      </c>
      <c r="G1327" s="2" t="str">
        <f>IFERROR(__xludf.DUMMYFUNCTION("""COMPUTED_VALUE"""),"Shyam Ghimire, Dhrub Karki, Kumar Dhakal")</f>
        <v>Shyam Ghimire, Dhrub Karki, Kumar Dhakal</v>
      </c>
      <c r="H1327" s="2" t="str">
        <f>IFERROR(__xludf.DUMMYFUNCTION("""COMPUTED_VALUE"""),"Kathmandu, Tel: 9741072004")</f>
        <v>Kathmandu, Tel: 9741072004</v>
      </c>
      <c r="I1327" s="2" t="str">
        <f>IFERROR(__xludf.DUMMYFUNCTION("""COMPUTED_VALUE"""),"00o 00' 00""")</f>
        <v>00o 00' 00"</v>
      </c>
      <c r="J1327" s="2" t="str">
        <f>IFERROR(__xludf.DUMMYFUNCTION("""COMPUTED_VALUE"""),"00o 00' 00""")</f>
        <v>00o 00' 00"</v>
      </c>
      <c r="K1327" s="2" t="str">
        <f>IFERROR(__xludf.DUMMYFUNCTION("""COMPUTED_VALUE"""),"00o 00' 00""")</f>
        <v>00o 00' 00"</v>
      </c>
      <c r="L1327" s="2" t="str">
        <f>IFERROR(__xludf.DUMMYFUNCTION("""COMPUTED_VALUE"""),"00o 00' 00""")</f>
        <v>00o 00' 00"</v>
      </c>
      <c r="M1327" s="2" t="str">
        <f>IFERROR(__xludf.DUMMYFUNCTION("""COMPUTED_VALUE"""),"Belghari (Sindhuli)")</f>
        <v>Belghari (Sindhuli)</v>
      </c>
    </row>
    <row r="1328">
      <c r="A1328" s="2">
        <f>IFERROR(__xludf.DUMMYFUNCTION("""COMPUTED_VALUE"""),1327.0)</f>
        <v>1327</v>
      </c>
      <c r="B1328" s="2" t="str">
        <f>IFERROR(__xludf.DUMMYFUNCTION("""COMPUTED_VALUE"""),"Ikhuwa Khola HPP")</f>
        <v>Ikhuwa Khola HPP</v>
      </c>
      <c r="C1328" s="2">
        <f>IFERROR(__xludf.DUMMYFUNCTION("""COMPUTED_VALUE"""),9.4)</f>
        <v>9.4</v>
      </c>
      <c r="D1328" s="2" t="str">
        <f>IFERROR(__xludf.DUMMYFUNCTION("""COMPUTED_VALUE"""),"Ikhuwa")</f>
        <v>Ikhuwa</v>
      </c>
      <c r="E1328" s="2">
        <f>IFERROR(__xludf.DUMMYFUNCTION("""COMPUTED_VALUE"""),1755.0)</f>
        <v>1755</v>
      </c>
      <c r="F1328" s="3">
        <f>IFERROR(__xludf.DUMMYFUNCTION("""COMPUTED_VALUE"""),60832.0)</f>
        <v>60832</v>
      </c>
      <c r="G1328" s="2" t="str">
        <f>IFERROR(__xludf.DUMMYFUNCTION("""COMPUTED_VALUE"""),"Udhyami Investment Company Pvt Ltd")</f>
        <v>Udhyami Investment Company Pvt Ltd</v>
      </c>
      <c r="H1328" s="2" t="str">
        <f>IFERROR(__xludf.DUMMYFUNCTION("""COMPUTED_VALUE"""),"GPO Box: 12756, Kathmandu, Tel: 4410160")</f>
        <v>GPO Box: 12756, Kathmandu, Tel: 4410160</v>
      </c>
      <c r="I1328" s="2" t="str">
        <f>IFERROR(__xludf.DUMMYFUNCTION("""COMPUTED_VALUE"""),"87o 20' 27""")</f>
        <v>87o 20' 27"</v>
      </c>
      <c r="J1328" s="2" t="str">
        <f>IFERROR(__xludf.DUMMYFUNCTION("""COMPUTED_VALUE"""),"87o 25' 00""")</f>
        <v>87o 25' 00"</v>
      </c>
      <c r="K1328" s="2" t="str">
        <f>IFERROR(__xludf.DUMMYFUNCTION("""COMPUTED_VALUE"""),"27o 35' 00""")</f>
        <v>27o 35' 00"</v>
      </c>
      <c r="L1328" s="2" t="str">
        <f>IFERROR(__xludf.DUMMYFUNCTION("""COMPUTED_VALUE"""),"27o 36' 13""")</f>
        <v>27o 36' 13"</v>
      </c>
      <c r="M1328" s="2" t="str">
        <f>IFERROR(__xludf.DUMMYFUNCTION("""COMPUTED_VALUE"""),"Pawakhola (Sankhuwasabha)")</f>
        <v>Pawakhola (Sankhuwasabha)</v>
      </c>
    </row>
    <row r="1329">
      <c r="A1329" s="2">
        <f>IFERROR(__xludf.DUMMYFUNCTION("""COMPUTED_VALUE"""),1328.0)</f>
        <v>1328</v>
      </c>
      <c r="B1329" s="2" t="str">
        <f>IFERROR(__xludf.DUMMYFUNCTION("""COMPUTED_VALUE"""),"Bhuji Khola HHP")</f>
        <v>Bhuji Khola HHP</v>
      </c>
      <c r="C1329" s="2">
        <f>IFERROR(__xludf.DUMMYFUNCTION("""COMPUTED_VALUE"""),5.0)</f>
        <v>5</v>
      </c>
      <c r="D1329" s="2" t="str">
        <f>IFERROR(__xludf.DUMMYFUNCTION("""COMPUTED_VALUE"""),"Bhuji")</f>
        <v>Bhuji</v>
      </c>
      <c r="E1329" s="2">
        <f>IFERROR(__xludf.DUMMYFUNCTION("""COMPUTED_VALUE"""),1765.0)</f>
        <v>1765</v>
      </c>
      <c r="F1329" s="3">
        <f>IFERROR(__xludf.DUMMYFUNCTION("""COMPUTED_VALUE"""),60833.0)</f>
        <v>60833</v>
      </c>
      <c r="G1329" s="2" t="str">
        <f>IFERROR(__xludf.DUMMYFUNCTION("""COMPUTED_VALUE"""),"Active Hydropower Company Pvt Ltd")</f>
        <v>Active Hydropower Company Pvt Ltd</v>
      </c>
      <c r="H1329" s="2" t="str">
        <f>IFERROR(__xludf.DUMMYFUNCTION("""COMPUTED_VALUE"""),"Kathmandu, Tel: 9849039293")</f>
        <v>Kathmandu, Tel: 9849039293</v>
      </c>
      <c r="I1329" s="2" t="str">
        <f>IFERROR(__xludf.DUMMYFUNCTION("""COMPUTED_VALUE"""),"28o 21' 34""")</f>
        <v>28o 21' 34"</v>
      </c>
      <c r="J1329" s="2" t="str">
        <f>IFERROR(__xludf.DUMMYFUNCTION("""COMPUTED_VALUE"""),"28o 23' 10""")</f>
        <v>28o 23' 10"</v>
      </c>
      <c r="K1329" s="2" t="str">
        <f>IFERROR(__xludf.DUMMYFUNCTION("""COMPUTED_VALUE"""),"83o 06' 45""")</f>
        <v>83o 06' 45"</v>
      </c>
      <c r="L1329" s="2" t="str">
        <f>IFERROR(__xludf.DUMMYFUNCTION("""COMPUTED_VALUE"""),"83o 08' 34""")</f>
        <v>83o 08' 34"</v>
      </c>
      <c r="M1329" s="2" t="str">
        <f>IFERROR(__xludf.DUMMYFUNCTION("""COMPUTED_VALUE"""),"Adhikarichaur,Bowang (Baglung)")</f>
        <v>Adhikarichaur,Bowang (Baglung)</v>
      </c>
    </row>
    <row r="1330">
      <c r="A1330" s="2">
        <f>IFERROR(__xludf.DUMMYFUNCTION("""COMPUTED_VALUE"""),1329.0)</f>
        <v>1329</v>
      </c>
      <c r="B1330" s="2" t="str">
        <f>IFERROR(__xludf.DUMMYFUNCTION("""COMPUTED_VALUE"""),"Saru Khola")</f>
        <v>Saru Khola</v>
      </c>
      <c r="C1330" s="2">
        <f>IFERROR(__xludf.DUMMYFUNCTION("""COMPUTED_VALUE"""),0.999)</f>
        <v>0.999</v>
      </c>
      <c r="D1330" s="2" t="str">
        <f>IFERROR(__xludf.DUMMYFUNCTION("""COMPUTED_VALUE"""),"Saru Khola")</f>
        <v>Saru Khola</v>
      </c>
      <c r="E1330" s="2">
        <f>IFERROR(__xludf.DUMMYFUNCTION("""COMPUTED_VALUE"""),1773.0)</f>
        <v>1773</v>
      </c>
      <c r="F1330" s="3">
        <f>IFERROR(__xludf.DUMMYFUNCTION("""COMPUTED_VALUE"""),60835.0)</f>
        <v>60835</v>
      </c>
      <c r="G1330" s="2" t="str">
        <f>IFERROR(__xludf.DUMMYFUNCTION("""COMPUTED_VALUE"""),"Niraj Prasad Acharya")</f>
        <v>Niraj Prasad Acharya</v>
      </c>
      <c r="H1330" s="2" t="str">
        <f>IFERROR(__xludf.DUMMYFUNCTION("""COMPUTED_VALUE"""),"Jagatpur VDC-1, Jajorkot")</f>
        <v>Jagatpur VDC-1, Jajorkot</v>
      </c>
      <c r="I1330" s="2" t="str">
        <f>IFERROR(__xludf.DUMMYFUNCTION("""COMPUTED_VALUE"""),"28o 49' 44""")</f>
        <v>28o 49' 44"</v>
      </c>
      <c r="J1330" s="2" t="str">
        <f>IFERROR(__xludf.DUMMYFUNCTION("""COMPUTED_VALUE"""),"28o 53' 05""")</f>
        <v>28o 53' 05"</v>
      </c>
      <c r="K1330" s="2" t="str">
        <f>IFERROR(__xludf.DUMMYFUNCTION("""COMPUTED_VALUE"""),"82o 08' 59""")</f>
        <v>82o 08' 59"</v>
      </c>
      <c r="L1330" s="2" t="str">
        <f>IFERROR(__xludf.DUMMYFUNCTION("""COMPUTED_VALUE"""),"82o 11' 00""")</f>
        <v>82o 11' 00"</v>
      </c>
      <c r="M1330" s="2" t="str">
        <f>IFERROR(__xludf.DUMMYFUNCTION("""COMPUTED_VALUE"""),"Dhime (Jajarkot)")</f>
        <v>Dhime (Jajarkot)</v>
      </c>
    </row>
    <row r="1331">
      <c r="A1331" s="2">
        <f>IFERROR(__xludf.DUMMYFUNCTION("""COMPUTED_VALUE"""),1330.0)</f>
        <v>1330</v>
      </c>
      <c r="B1331" s="2" t="str">
        <f>IFERROR(__xludf.DUMMYFUNCTION("""COMPUTED_VALUE"""),"Taksu Khola SHP")</f>
        <v>Taksu Khola SHP</v>
      </c>
      <c r="C1331" s="2">
        <f>IFERROR(__xludf.DUMMYFUNCTION("""COMPUTED_VALUE"""),1.0)</f>
        <v>1</v>
      </c>
      <c r="D1331" s="2" t="str">
        <f>IFERROR(__xludf.DUMMYFUNCTION("""COMPUTED_VALUE"""),"Taksu")</f>
        <v>Taksu</v>
      </c>
      <c r="E1331" s="2">
        <f>IFERROR(__xludf.DUMMYFUNCTION("""COMPUTED_VALUE"""),1774.0)</f>
        <v>1774</v>
      </c>
      <c r="F1331" s="3">
        <f>IFERROR(__xludf.DUMMYFUNCTION("""COMPUTED_VALUE"""),60835.0)</f>
        <v>60835</v>
      </c>
      <c r="G1331" s="2" t="str">
        <f>IFERROR(__xludf.DUMMYFUNCTION("""COMPUTED_VALUE"""),"Govinda Kumar Pun")</f>
        <v>Govinda Kumar Pun</v>
      </c>
      <c r="H1331" s="2" t="str">
        <f>IFERROR(__xludf.DUMMYFUNCTION("""COMPUTED_VALUE"""),"Baskot VDC-1, salyan")</f>
        <v>Baskot VDC-1, salyan</v>
      </c>
      <c r="I1331" s="2" t="str">
        <f>IFERROR(__xludf.DUMMYFUNCTION("""COMPUTED_VALUE"""),"28o 52' 20""")</f>
        <v>28o 52' 20"</v>
      </c>
      <c r="J1331" s="2" t="str">
        <f>IFERROR(__xludf.DUMMYFUNCTION("""COMPUTED_VALUE"""),"28o 55' 00""")</f>
        <v>28o 55' 00"</v>
      </c>
      <c r="K1331" s="2" t="str">
        <f>IFERROR(__xludf.DUMMYFUNCTION("""COMPUTED_VALUE"""),"82o 25' 14""")</f>
        <v>82o 25' 14"</v>
      </c>
      <c r="L1331" s="2" t="str">
        <f>IFERROR(__xludf.DUMMYFUNCTION("""COMPUTED_VALUE"""),"82o 27' 20""")</f>
        <v>82o 27' 20"</v>
      </c>
      <c r="M1331" s="2" t="str">
        <f>IFERROR(__xludf.DUMMYFUNCTION("""COMPUTED_VALUE"""),"Ragda (Jajarkot)")</f>
        <v>Ragda (Jajarkot)</v>
      </c>
    </row>
    <row r="1332">
      <c r="A1332" s="2">
        <f>IFERROR(__xludf.DUMMYFUNCTION("""COMPUTED_VALUE"""),1331.0)</f>
        <v>1331</v>
      </c>
      <c r="B1332" s="2" t="str">
        <f>IFERROR(__xludf.DUMMYFUNCTION("""COMPUTED_VALUE"""),"Lower Darkhu Khola HPP")</f>
        <v>Lower Darkhu Khola HPP</v>
      </c>
      <c r="C1332" s="2">
        <f>IFERROR(__xludf.DUMMYFUNCTION("""COMPUTED_VALUE"""),2.4)</f>
        <v>2.4</v>
      </c>
      <c r="D1332" s="2" t="str">
        <f>IFERROR(__xludf.DUMMYFUNCTION("""COMPUTED_VALUE"""),"Darkhu")</f>
        <v>Darkhu</v>
      </c>
      <c r="E1332" s="2">
        <f>IFERROR(__xludf.DUMMYFUNCTION("""COMPUTED_VALUE"""),1778.0)</f>
        <v>1778</v>
      </c>
      <c r="F1332" s="3">
        <f>IFERROR(__xludf.DUMMYFUNCTION("""COMPUTED_VALUE"""),60835.0)</f>
        <v>60835</v>
      </c>
      <c r="G1332" s="2" t="str">
        <f>IFERROR(__xludf.DUMMYFUNCTION("""COMPUTED_VALUE"""),"Cosmos Hydroelectric Company")</f>
        <v>Cosmos Hydroelectric Company</v>
      </c>
      <c r="H1332" s="2" t="str">
        <f>IFERROR(__xludf.DUMMYFUNCTION("""COMPUTED_VALUE"""),"Anamnagar, Kathmandu, Tel: 4462007")</f>
        <v>Anamnagar, Kathmandu, Tel: 4462007</v>
      </c>
      <c r="I1332" s="2" t="str">
        <f>IFERROR(__xludf.DUMMYFUNCTION("""COMPUTED_VALUE"""),"27o 56' 00""")</f>
        <v>27o 56' 00"</v>
      </c>
      <c r="J1332" s="2" t="str">
        <f>IFERROR(__xludf.DUMMYFUNCTION("""COMPUTED_VALUE"""),"27o 57' 30""")</f>
        <v>27o 57' 30"</v>
      </c>
      <c r="K1332" s="2" t="str">
        <f>IFERROR(__xludf.DUMMYFUNCTION("""COMPUTED_VALUE"""),"85o 18' 04""")</f>
        <v>85o 18' 04"</v>
      </c>
      <c r="L1332" s="2" t="str">
        <f>IFERROR(__xludf.DUMMYFUNCTION("""COMPUTED_VALUE"""),"85o 18' 55""")</f>
        <v>85o 18' 55"</v>
      </c>
      <c r="M1332" s="2" t="str">
        <f>IFERROR(__xludf.DUMMYFUNCTION("""COMPUTED_VALUE"""),"Kharanitar,Lachyang,Narjamandap (Nuwakot)")</f>
        <v>Kharanitar,Lachyang,Narjamandap (Nuwakot)</v>
      </c>
    </row>
    <row r="1333">
      <c r="A1333" s="2">
        <f>IFERROR(__xludf.DUMMYFUNCTION("""COMPUTED_VALUE"""),1332.0)</f>
        <v>1332</v>
      </c>
      <c r="B1333" s="2" t="str">
        <f>IFERROR(__xludf.DUMMYFUNCTION("""COMPUTED_VALUE"""),"Mailung Khola HHP")</f>
        <v>Mailung Khola HHP</v>
      </c>
      <c r="C1333" s="2">
        <f>IFERROR(__xludf.DUMMYFUNCTION("""COMPUTED_VALUE"""),0.995)</f>
        <v>0.995</v>
      </c>
      <c r="D1333" s="2" t="str">
        <f>IFERROR(__xludf.DUMMYFUNCTION("""COMPUTED_VALUE"""),"Mailung Khola")</f>
        <v>Mailung Khola</v>
      </c>
      <c r="E1333" s="2">
        <f>IFERROR(__xludf.DUMMYFUNCTION("""COMPUTED_VALUE"""),1788.0)</f>
        <v>1788</v>
      </c>
      <c r="F1333" s="3">
        <f>IFERROR(__xludf.DUMMYFUNCTION("""COMPUTED_VALUE"""),60835.0)</f>
        <v>60835</v>
      </c>
      <c r="G1333" s="2" t="str">
        <f>IFERROR(__xludf.DUMMYFUNCTION("""COMPUTED_VALUE"""),"Babil Hydropower Pvt Ltd")</f>
        <v>Babil Hydropower Pvt Ltd</v>
      </c>
      <c r="H1333" s="2" t="str">
        <f>IFERROR(__xludf.DUMMYFUNCTION("""COMPUTED_VALUE"""),"Kathmandu Municipality-16")</f>
        <v>Kathmandu Municipality-16</v>
      </c>
      <c r="I1333" s="2" t="str">
        <f>IFERROR(__xludf.DUMMYFUNCTION("""COMPUTED_VALUE"""),"28o 08' 58""")</f>
        <v>28o 08' 58"</v>
      </c>
      <c r="J1333" s="2" t="str">
        <f>IFERROR(__xludf.DUMMYFUNCTION("""COMPUTED_VALUE"""),"28o 10' 43""")</f>
        <v>28o 10' 43"</v>
      </c>
      <c r="K1333" s="2" t="str">
        <f>IFERROR(__xludf.DUMMYFUNCTION("""COMPUTED_VALUE"""),"85o 10' 47""")</f>
        <v>85o 10' 47"</v>
      </c>
      <c r="L1333" s="2" t="str">
        <f>IFERROR(__xludf.DUMMYFUNCTION("""COMPUTED_VALUE"""),"85o 15' 38""")</f>
        <v>85o 15' 38"</v>
      </c>
      <c r="M1333" s="2" t="str">
        <f>IFERROR(__xludf.DUMMYFUNCTION("""COMPUTED_VALUE"""),"Tipling (Dhading)")</f>
        <v>Tipling (Dhading)</v>
      </c>
    </row>
    <row r="1334">
      <c r="A1334" s="2">
        <f>IFERROR(__xludf.DUMMYFUNCTION("""COMPUTED_VALUE"""),1333.0)</f>
        <v>1333</v>
      </c>
      <c r="B1334" s="2" t="str">
        <f>IFERROR(__xludf.DUMMYFUNCTION("""COMPUTED_VALUE"""),"Sapsu Khola SHP")</f>
        <v>Sapsu Khola SHP</v>
      </c>
      <c r="C1334" s="2">
        <f>IFERROR(__xludf.DUMMYFUNCTION("""COMPUTED_VALUE"""),0.9)</f>
        <v>0.9</v>
      </c>
      <c r="D1334" s="2" t="str">
        <f>IFERROR(__xludf.DUMMYFUNCTION("""COMPUTED_VALUE"""),"Sapsu")</f>
        <v>Sapsu</v>
      </c>
      <c r="E1334" s="2">
        <f>IFERROR(__xludf.DUMMYFUNCTION("""COMPUTED_VALUE"""),1799.0)</f>
        <v>1799</v>
      </c>
      <c r="F1334" s="3">
        <f>IFERROR(__xludf.DUMMYFUNCTION("""COMPUTED_VALUE"""),60836.0)</f>
        <v>60836</v>
      </c>
      <c r="G1334" s="2" t="str">
        <f>IFERROR(__xludf.DUMMYFUNCTION("""COMPUTED_VALUE"""),"Sashi Rai, Yogendra Rai")</f>
        <v>Sashi Rai, Yogendra Rai</v>
      </c>
      <c r="H1334" s="2" t="str">
        <f>IFERROR(__xludf.DUMMYFUNCTION("""COMPUTED_VALUE"""),"Laphuang-1, Khotang")</f>
        <v>Laphuang-1, Khotang</v>
      </c>
      <c r="I1334" s="2" t="str">
        <f>IFERROR(__xludf.DUMMYFUNCTION("""COMPUTED_VALUE"""),"27o 05' 30""")</f>
        <v>27o 05' 30"</v>
      </c>
      <c r="J1334" s="2" t="str">
        <f>IFERROR(__xludf.DUMMYFUNCTION("""COMPUTED_VALUE"""),"27o 08' 30""")</f>
        <v>27o 08' 30"</v>
      </c>
      <c r="K1334" s="2" t="str">
        <f>IFERROR(__xludf.DUMMYFUNCTION("""COMPUTED_VALUE"""),"86o 42' 30""")</f>
        <v>86o 42' 30"</v>
      </c>
      <c r="L1334" s="2" t="str">
        <f>IFERROR(__xludf.DUMMYFUNCTION("""COMPUTED_VALUE"""),"86o 45' 30""")</f>
        <v>86o 45' 30"</v>
      </c>
      <c r="M1334" s="2" t="str">
        <f>IFERROR(__xludf.DUMMYFUNCTION("""COMPUTED_VALUE"""),"Batase,Chhorambu,Rajapani (Khotang)")</f>
        <v>Batase,Chhorambu,Rajapani (Khotang)</v>
      </c>
    </row>
    <row r="1335">
      <c r="A1335" s="2">
        <f>IFERROR(__xludf.DUMMYFUNCTION("""COMPUTED_VALUE"""),1334.0)</f>
        <v>1334</v>
      </c>
      <c r="B1335" s="2" t="str">
        <f>IFERROR(__xludf.DUMMYFUNCTION("""COMPUTED_VALUE"""),"Chauri Khola HPP")</f>
        <v>Chauri Khola HPP</v>
      </c>
      <c r="C1335" s="2">
        <f>IFERROR(__xludf.DUMMYFUNCTION("""COMPUTED_VALUE"""),5.96)</f>
        <v>5.96</v>
      </c>
      <c r="D1335" s="2" t="str">
        <f>IFERROR(__xludf.DUMMYFUNCTION("""COMPUTED_VALUE"""),"Chauri")</f>
        <v>Chauri</v>
      </c>
      <c r="E1335" s="2">
        <f>IFERROR(__xludf.DUMMYFUNCTION("""COMPUTED_VALUE"""),1802.0)</f>
        <v>1802</v>
      </c>
      <c r="F1335" s="3">
        <f>IFERROR(__xludf.DUMMYFUNCTION("""COMPUTED_VALUE"""),60836.0)</f>
        <v>60836</v>
      </c>
      <c r="G1335" s="2" t="str">
        <f>IFERROR(__xludf.DUMMYFUNCTION("""COMPUTED_VALUE"""),"Tipling Hydropower Pvt Ltd")</f>
        <v>Tipling Hydropower Pvt Ltd</v>
      </c>
      <c r="H1335" s="2" t="str">
        <f>IFERROR(__xludf.DUMMYFUNCTION("""COMPUTED_VALUE"""),"GPO Box: 8461, Kathmandu Tel: 4424147")</f>
        <v>GPO Box: 8461, Kathmandu Tel: 4424147</v>
      </c>
      <c r="I1335" s="2" t="str">
        <f>IFERROR(__xludf.DUMMYFUNCTION("""COMPUTED_VALUE"""),"85o 48' 38""")</f>
        <v>85o 48' 38"</v>
      </c>
      <c r="J1335" s="2" t="str">
        <f>IFERROR(__xludf.DUMMYFUNCTION("""COMPUTED_VALUE"""),"85o 49' 27""")</f>
        <v>85o 49' 27"</v>
      </c>
      <c r="K1335" s="2" t="str">
        <f>IFERROR(__xludf.DUMMYFUNCTION("""COMPUTED_VALUE"""),"27o 30' 29""")</f>
        <v>27o 30' 29"</v>
      </c>
      <c r="L1335" s="2" t="str">
        <f>IFERROR(__xludf.DUMMYFUNCTION("""COMPUTED_VALUE"""),"27o 31' 47""")</f>
        <v>27o 31' 47"</v>
      </c>
      <c r="M1335" s="2" t="str">
        <f>IFERROR(__xludf.DUMMYFUNCTION("""COMPUTED_VALUE"""),"Madan Kundari (Kavrepalanchok)")</f>
        <v>Madan Kundari (Kavrepalanchok)</v>
      </c>
    </row>
    <row r="1336">
      <c r="A1336" s="2">
        <f>IFERROR(__xludf.DUMMYFUNCTION("""COMPUTED_VALUE"""),1335.0)</f>
        <v>1335</v>
      </c>
      <c r="B1336" s="2" t="str">
        <f>IFERROR(__xludf.DUMMYFUNCTION("""COMPUTED_VALUE"""),"Hewa Khola SHP")</f>
        <v>Hewa Khola SHP</v>
      </c>
      <c r="C1336" s="2">
        <f>IFERROR(__xludf.DUMMYFUNCTION("""COMPUTED_VALUE"""),0.998)</f>
        <v>0.998</v>
      </c>
      <c r="D1336" s="2" t="str">
        <f>IFERROR(__xludf.DUMMYFUNCTION("""COMPUTED_VALUE"""),"Hewa Khola")</f>
        <v>Hewa Khola</v>
      </c>
      <c r="E1336" s="2">
        <f>IFERROR(__xludf.DUMMYFUNCTION("""COMPUTED_VALUE"""),1803.0)</f>
        <v>1803</v>
      </c>
      <c r="F1336" s="3">
        <f>IFERROR(__xludf.DUMMYFUNCTION("""COMPUTED_VALUE"""),60836.0)</f>
        <v>60836</v>
      </c>
      <c r="G1336" s="2" t="str">
        <f>IFERROR(__xludf.DUMMYFUNCTION("""COMPUTED_VALUE"""),"Rainbow Hydropower Company Pvt Ltd")</f>
        <v>Rainbow Hydropower Company Pvt Ltd</v>
      </c>
      <c r="H1336" s="2" t="str">
        <f>IFERROR(__xludf.DUMMYFUNCTION("""COMPUTED_VALUE"""),"Kathmandu, Tel: 9841329435, 4771788")</f>
        <v>Kathmandu, Tel: 9841329435, 4771788</v>
      </c>
      <c r="I1336" s="2" t="str">
        <f>IFERROR(__xludf.DUMMYFUNCTION("""COMPUTED_VALUE"""),"27o 10' 10""")</f>
        <v>27o 10' 10"</v>
      </c>
      <c r="J1336" s="2" t="str">
        <f>IFERROR(__xludf.DUMMYFUNCTION("""COMPUTED_VALUE"""),"27o 11' 43""")</f>
        <v>27o 11' 43"</v>
      </c>
      <c r="K1336" s="2" t="str">
        <f>IFERROR(__xludf.DUMMYFUNCTION("""COMPUTED_VALUE"""),"87o 55' 41""")</f>
        <v>87o 55' 41"</v>
      </c>
      <c r="L1336" s="2" t="str">
        <f>IFERROR(__xludf.DUMMYFUNCTION("""COMPUTED_VALUE"""),"87o 57' 56""")</f>
        <v>87o 57' 56"</v>
      </c>
      <c r="M1336" s="2" t="str">
        <f>IFERROR(__xludf.DUMMYFUNCTION("""COMPUTED_VALUE"""),"Memeng,Prangbung (Panchthar)")</f>
        <v>Memeng,Prangbung (Panchthar)</v>
      </c>
    </row>
    <row r="1337">
      <c r="A1337" s="2">
        <f>IFERROR(__xludf.DUMMYFUNCTION("""COMPUTED_VALUE"""),1336.0)</f>
        <v>1336</v>
      </c>
      <c r="B1337" s="2" t="str">
        <f>IFERROR(__xludf.DUMMYFUNCTION("""COMPUTED_VALUE"""),"Kyadusyo Khola HPP")</f>
        <v>Kyadusyo Khola HPP</v>
      </c>
      <c r="C1337" s="2">
        <f>IFERROR(__xludf.DUMMYFUNCTION("""COMPUTED_VALUE"""),6.0)</f>
        <v>6</v>
      </c>
      <c r="D1337" s="2" t="str">
        <f>IFERROR(__xludf.DUMMYFUNCTION("""COMPUTED_VALUE"""),"Kyadusyo")</f>
        <v>Kyadusyo</v>
      </c>
      <c r="E1337" s="2">
        <f>IFERROR(__xludf.DUMMYFUNCTION("""COMPUTED_VALUE"""),1807.0)</f>
        <v>1807</v>
      </c>
      <c r="F1337" s="3">
        <f>IFERROR(__xludf.DUMMYFUNCTION("""COMPUTED_VALUE"""),60836.0)</f>
        <v>60836</v>
      </c>
      <c r="G1337" s="2" t="str">
        <f>IFERROR(__xludf.DUMMYFUNCTION("""COMPUTED_VALUE"""),"Basuki Hydropower Company Pvt Ltd")</f>
        <v>Basuki Hydropower Company Pvt Ltd</v>
      </c>
      <c r="H1337" s="2" t="str">
        <f>IFERROR(__xludf.DUMMYFUNCTION("""COMPUTED_VALUE"""),"Kathmandu")</f>
        <v>Kathmandu</v>
      </c>
      <c r="I1337" s="2" t="str">
        <f>IFERROR(__xludf.DUMMYFUNCTION("""COMPUTED_VALUE"""),"28o 25' 16""")</f>
        <v>28o 25' 16"</v>
      </c>
      <c r="J1337" s="2" t="str">
        <f>IFERROR(__xludf.DUMMYFUNCTION("""COMPUTED_VALUE"""),"28o 26' 05""")</f>
        <v>28o 26' 05"</v>
      </c>
      <c r="K1337" s="2" t="str">
        <f>IFERROR(__xludf.DUMMYFUNCTION("""COMPUTED_VALUE"""),"84o 05' 00""")</f>
        <v>84o 05' 00"</v>
      </c>
      <c r="L1337" s="2" t="str">
        <f>IFERROR(__xludf.DUMMYFUNCTION("""COMPUTED_VALUE"""),"84o 07' 00""")</f>
        <v>84o 07' 00"</v>
      </c>
      <c r="M1337" s="2" t="str">
        <f>IFERROR(__xludf.DUMMYFUNCTION("""COMPUTED_VALUE"""),"Parche (Kaski)")</f>
        <v>Parche (Kaski)</v>
      </c>
    </row>
    <row r="1338">
      <c r="A1338" s="2">
        <f>IFERROR(__xludf.DUMMYFUNCTION("""COMPUTED_VALUE"""),1337.0)</f>
        <v>1337</v>
      </c>
      <c r="B1338" s="2" t="str">
        <f>IFERROR(__xludf.DUMMYFUNCTION("""COMPUTED_VALUE"""),"Madkyu Khola HPP")</f>
        <v>Madkyu Khola HPP</v>
      </c>
      <c r="C1338" s="2">
        <f>IFERROR(__xludf.DUMMYFUNCTION("""COMPUTED_VALUE"""),6.0)</f>
        <v>6</v>
      </c>
      <c r="D1338" s="2" t="str">
        <f>IFERROR(__xludf.DUMMYFUNCTION("""COMPUTED_VALUE"""),"Madkyu")</f>
        <v>Madkyu</v>
      </c>
      <c r="E1338" s="2">
        <f>IFERROR(__xludf.DUMMYFUNCTION("""COMPUTED_VALUE"""),1809.0)</f>
        <v>1809</v>
      </c>
      <c r="F1338" s="3">
        <f>IFERROR(__xludf.DUMMYFUNCTION("""COMPUTED_VALUE"""),60837.0)</f>
        <v>60837</v>
      </c>
      <c r="G1338" s="2" t="str">
        <f>IFERROR(__xludf.DUMMYFUNCTION("""COMPUTED_VALUE"""),"Sampanna Hydropower Company Pvt Ltd")</f>
        <v>Sampanna Hydropower Company Pvt Ltd</v>
      </c>
      <c r="H1338" s="2" t="str">
        <f>IFERROR(__xludf.DUMMYFUNCTION("""COMPUTED_VALUE"""),"Lazimpat, Kathmandu,")</f>
        <v>Lazimpat, Kathmandu,</v>
      </c>
      <c r="I1338" s="2" t="str">
        <f>IFERROR(__xludf.DUMMYFUNCTION("""COMPUTED_VALUE"""),"28o 21' 20""")</f>
        <v>28o 21' 20"</v>
      </c>
      <c r="J1338" s="2" t="str">
        <f>IFERROR(__xludf.DUMMYFUNCTION("""COMPUTED_VALUE"""),"28o 23' 48""")</f>
        <v>28o 23' 48"</v>
      </c>
      <c r="K1338" s="2" t="str">
        <f>IFERROR(__xludf.DUMMYFUNCTION("""COMPUTED_VALUE"""),"84o 07' 26""")</f>
        <v>84o 07' 26"</v>
      </c>
      <c r="L1338" s="2" t="str">
        <f>IFERROR(__xludf.DUMMYFUNCTION("""COMPUTED_VALUE"""),"84o 10' 00""")</f>
        <v>84o 10' 00"</v>
      </c>
      <c r="M1338" s="2" t="str">
        <f>IFERROR(__xludf.DUMMYFUNCTION("""COMPUTED_VALUE"""),"Namarjung (Kaski)")</f>
        <v>Namarjung (Kaski)</v>
      </c>
    </row>
    <row r="1339">
      <c r="A1339" s="2">
        <f>IFERROR(__xludf.DUMMYFUNCTION("""COMPUTED_VALUE"""),1338.0)</f>
        <v>1338</v>
      </c>
      <c r="B1339" s="2" t="str">
        <f>IFERROR(__xludf.DUMMYFUNCTION("""COMPUTED_VALUE"""),"Rolwaling Khola HPP")</f>
        <v>Rolwaling Khola HPP</v>
      </c>
      <c r="C1339" s="2">
        <f>IFERROR(__xludf.DUMMYFUNCTION("""COMPUTED_VALUE"""),15.0)</f>
        <v>15</v>
      </c>
      <c r="D1339" s="2" t="str">
        <f>IFERROR(__xludf.DUMMYFUNCTION("""COMPUTED_VALUE"""),"Rolwaling")</f>
        <v>Rolwaling</v>
      </c>
      <c r="E1339" s="2">
        <f>IFERROR(__xludf.DUMMYFUNCTION("""COMPUTED_VALUE"""),1825.0)</f>
        <v>1825</v>
      </c>
      <c r="F1339" s="3">
        <f>IFERROR(__xludf.DUMMYFUNCTION("""COMPUTED_VALUE"""),60838.0)</f>
        <v>60838</v>
      </c>
      <c r="G1339" s="2" t="str">
        <f>IFERROR(__xludf.DUMMYFUNCTION("""COMPUTED_VALUE"""),"EnGen Holding Company Pvt Ltd")</f>
        <v>EnGen Holding Company Pvt Ltd</v>
      </c>
      <c r="H1339" s="2" t="str">
        <f>IFERROR(__xludf.DUMMYFUNCTION("""COMPUTED_VALUE"""),"GPO Box: 3970, Kathmandu Tel: 5525184")</f>
        <v>GPO Box: 3970, Kathmandu Tel: 5525184</v>
      </c>
      <c r="I1339" s="2" t="str">
        <f>IFERROR(__xludf.DUMMYFUNCTION("""COMPUTED_VALUE"""),"27o 52' 30""")</f>
        <v>27o 52' 30"</v>
      </c>
      <c r="J1339" s="2" t="str">
        <f>IFERROR(__xludf.DUMMYFUNCTION("""COMPUTED_VALUE"""),"27o 55' 00""")</f>
        <v>27o 55' 00"</v>
      </c>
      <c r="K1339" s="2" t="str">
        <f>IFERROR(__xludf.DUMMYFUNCTION("""COMPUTED_VALUE"""),"86o 15' 09""")</f>
        <v>86o 15' 09"</v>
      </c>
      <c r="L1339" s="2" t="str">
        <f>IFERROR(__xludf.DUMMYFUNCTION("""COMPUTED_VALUE"""),"86o 18' 12""")</f>
        <v>86o 18' 12"</v>
      </c>
      <c r="M1339" s="2" t="str">
        <f>IFERROR(__xludf.DUMMYFUNCTION("""COMPUTED_VALUE"""),"Gauri Sankar,Lamabagar (Dolakha)")</f>
        <v>Gauri Sankar,Lamabagar (Dolakha)</v>
      </c>
    </row>
    <row r="1340">
      <c r="A1340" s="2">
        <f>IFERROR(__xludf.DUMMYFUNCTION("""COMPUTED_VALUE"""),1339.0)</f>
        <v>1339</v>
      </c>
      <c r="B1340" s="2" t="str">
        <f>IFERROR(__xludf.DUMMYFUNCTION("""COMPUTED_VALUE"""),"Upper Adheri Khola HPP")</f>
        <v>Upper Adheri Khola HPP</v>
      </c>
      <c r="C1340" s="2">
        <f>IFERROR(__xludf.DUMMYFUNCTION("""COMPUTED_VALUE"""),0.848)</f>
        <v>0.848</v>
      </c>
      <c r="D1340" s="2" t="str">
        <f>IFERROR(__xludf.DUMMYFUNCTION("""COMPUTED_VALUE"""),"Andheri Khola")</f>
        <v>Andheri Khola</v>
      </c>
      <c r="E1340" s="2">
        <f>IFERROR(__xludf.DUMMYFUNCTION("""COMPUTED_VALUE"""),1843.0)</f>
        <v>1843</v>
      </c>
      <c r="F1340" s="3">
        <f>IFERROR(__xludf.DUMMYFUNCTION("""COMPUTED_VALUE"""),60838.0)</f>
        <v>60838</v>
      </c>
      <c r="G1340" s="2" t="str">
        <f>IFERROR(__xludf.DUMMYFUNCTION("""COMPUTED_VALUE"""),"Madhav Prasad Ghimire")</f>
        <v>Madhav Prasad Ghimire</v>
      </c>
      <c r="H1340" s="2" t="str">
        <f>IFERROR(__xludf.DUMMYFUNCTION("""COMPUTED_VALUE"""),"Namdu-4, Dolkha Tel: 9841373733")</f>
        <v>Namdu-4, Dolkha Tel: 9841373733</v>
      </c>
      <c r="I1340" s="2" t="str">
        <f>IFERROR(__xludf.DUMMYFUNCTION("""COMPUTED_VALUE"""),"27o 35' 49""")</f>
        <v>27o 35' 49"</v>
      </c>
      <c r="J1340" s="2" t="str">
        <f>IFERROR(__xludf.DUMMYFUNCTION("""COMPUTED_VALUE"""),"27o 36' 40""")</f>
        <v>27o 36' 40"</v>
      </c>
      <c r="K1340" s="2" t="str">
        <f>IFERROR(__xludf.DUMMYFUNCTION("""COMPUTED_VALUE"""),"86o 01' 38""")</f>
        <v>86o 01' 38"</v>
      </c>
      <c r="L1340" s="2" t="str">
        <f>IFERROR(__xludf.DUMMYFUNCTION("""COMPUTED_VALUE"""),"86o 04' 10""")</f>
        <v>86o 04' 10"</v>
      </c>
      <c r="M1340" s="2" t="str">
        <f>IFERROR(__xludf.DUMMYFUNCTION("""COMPUTED_VALUE"""),"Pawati,Sailungeswor,Fasku (Dolakha)")</f>
        <v>Pawati,Sailungeswor,Fasku (Dolakha)</v>
      </c>
    </row>
    <row r="1341">
      <c r="A1341" s="2">
        <f>IFERROR(__xludf.DUMMYFUNCTION("""COMPUTED_VALUE"""),1340.0)</f>
        <v>1340</v>
      </c>
      <c r="B1341" s="2" t="str">
        <f>IFERROR(__xludf.DUMMYFUNCTION("""COMPUTED_VALUE"""),"Gapche Madi HPP")</f>
        <v>Gapche Madi HPP</v>
      </c>
      <c r="C1341" s="2">
        <f>IFERROR(__xludf.DUMMYFUNCTION("""COMPUTED_VALUE"""),10.0)</f>
        <v>10</v>
      </c>
      <c r="D1341" s="2" t="str">
        <f>IFERROR(__xludf.DUMMYFUNCTION("""COMPUTED_VALUE"""),"Madi Khola")</f>
        <v>Madi Khola</v>
      </c>
      <c r="E1341" s="2">
        <f>IFERROR(__xludf.DUMMYFUNCTION("""COMPUTED_VALUE"""),1847.0)</f>
        <v>1847</v>
      </c>
      <c r="F1341" s="3">
        <f>IFERROR(__xludf.DUMMYFUNCTION("""COMPUTED_VALUE"""),60839.0)</f>
        <v>60839</v>
      </c>
      <c r="G1341" s="2" t="str">
        <f>IFERROR(__xludf.DUMMYFUNCTION("""COMPUTED_VALUE"""),"Surya Energy Company Pvt Ltd")</f>
        <v>Surya Energy Company Pvt Ltd</v>
      </c>
      <c r="H1341" s="2" t="str">
        <f>IFERROR(__xludf.DUMMYFUNCTION("""COMPUTED_VALUE"""),"Kathmandu Municipality-3, Maharajgung, Kathmandu, Tel: 4002561")</f>
        <v>Kathmandu Municipality-3, Maharajgung, Kathmandu, Tel: 4002561</v>
      </c>
      <c r="I1341" s="2" t="str">
        <f>IFERROR(__xludf.DUMMYFUNCTION("""COMPUTED_VALUE"""),"28o 25' 30""")</f>
        <v>28o 25' 30"</v>
      </c>
      <c r="J1341" s="2" t="str">
        <f>IFERROR(__xludf.DUMMYFUNCTION("""COMPUTED_VALUE"""),"28o 26' 37""")</f>
        <v>28o 26' 37"</v>
      </c>
      <c r="K1341" s="2" t="str">
        <f>IFERROR(__xludf.DUMMYFUNCTION("""COMPUTED_VALUE"""),"84o 06' 49""")</f>
        <v>84o 06' 49"</v>
      </c>
      <c r="L1341" s="2" t="str">
        <f>IFERROR(__xludf.DUMMYFUNCTION("""COMPUTED_VALUE"""),"84o 07' 26""")</f>
        <v>84o 07' 26"</v>
      </c>
      <c r="M1341" s="2" t="str">
        <f>IFERROR(__xludf.DUMMYFUNCTION("""COMPUTED_VALUE"""),"Namarjung,Parche (Kaski)")</f>
        <v>Namarjung,Parche (Kaski)</v>
      </c>
    </row>
    <row r="1342">
      <c r="A1342" s="2">
        <f>IFERROR(__xludf.DUMMYFUNCTION("""COMPUTED_VALUE"""),1341.0)</f>
        <v>1341</v>
      </c>
      <c r="B1342" s="2" t="str">
        <f>IFERROR(__xludf.DUMMYFUNCTION("""COMPUTED_VALUE"""),"Bijaypur-3 SHP")</f>
        <v>Bijaypur-3 SHP</v>
      </c>
      <c r="C1342" s="2">
        <f>IFERROR(__xludf.DUMMYFUNCTION("""COMPUTED_VALUE"""),3.0)</f>
        <v>3</v>
      </c>
      <c r="D1342" s="2" t="str">
        <f>IFERROR(__xludf.DUMMYFUNCTION("""COMPUTED_VALUE"""),"Bijaypur")</f>
        <v>Bijaypur</v>
      </c>
      <c r="E1342" s="2">
        <f>IFERROR(__xludf.DUMMYFUNCTION("""COMPUTED_VALUE"""),1851.0)</f>
        <v>1851</v>
      </c>
      <c r="F1342" s="3">
        <f>IFERROR(__xludf.DUMMYFUNCTION("""COMPUTED_VALUE"""),60839.0)</f>
        <v>60839</v>
      </c>
      <c r="G1342" s="2" t="str">
        <f>IFERROR(__xludf.DUMMYFUNCTION("""COMPUTED_VALUE"""),"Ohm Shakti Pvt Ltd")</f>
        <v>Ohm Shakti Pvt Ltd</v>
      </c>
      <c r="H1342" s="2" t="str">
        <f>IFERROR(__xludf.DUMMYFUNCTION("""COMPUTED_VALUE"""),"Leknath Municipality -5, Kaski, Tel: 9846026769")</f>
        <v>Leknath Municipality -5, Kaski, Tel: 9846026769</v>
      </c>
      <c r="I1342" s="2" t="str">
        <f>IFERROR(__xludf.DUMMYFUNCTION("""COMPUTED_VALUE"""),"28o 07' 46""")</f>
        <v>28o 07' 46"</v>
      </c>
      <c r="J1342" s="2" t="str">
        <f>IFERROR(__xludf.DUMMYFUNCTION("""COMPUTED_VALUE"""),"28o 08' 53""")</f>
        <v>28o 08' 53"</v>
      </c>
      <c r="K1342" s="2" t="str">
        <f>IFERROR(__xludf.DUMMYFUNCTION("""COMPUTED_VALUE"""),"84o 02' 31""")</f>
        <v>84o 02' 31"</v>
      </c>
      <c r="L1342" s="2" t="str">
        <f>IFERROR(__xludf.DUMMYFUNCTION("""COMPUTED_VALUE"""),"84o 04' 35""")</f>
        <v>84o 04' 35"</v>
      </c>
      <c r="M1342" s="2" t="str">
        <f>IFERROR(__xludf.DUMMYFUNCTION("""COMPUTED_VALUE"""),"Lekhnath (Kaski)")</f>
        <v>Lekhnath (Kaski)</v>
      </c>
    </row>
    <row r="1343">
      <c r="A1343" s="2">
        <f>IFERROR(__xludf.DUMMYFUNCTION("""COMPUTED_VALUE"""),1342.0)</f>
        <v>1342</v>
      </c>
      <c r="B1343" s="2" t="str">
        <f>IFERROR(__xludf.DUMMYFUNCTION("""COMPUTED_VALUE"""),"Super Nyadi HPP")</f>
        <v>Super Nyadi HPP</v>
      </c>
      <c r="C1343" s="2">
        <f>IFERROR(__xludf.DUMMYFUNCTION("""COMPUTED_VALUE"""),4.82)</f>
        <v>4.82</v>
      </c>
      <c r="D1343" s="2" t="str">
        <f>IFERROR(__xludf.DUMMYFUNCTION("""COMPUTED_VALUE"""),"Nyadi")</f>
        <v>Nyadi</v>
      </c>
      <c r="E1343" s="2">
        <f>IFERROR(__xludf.DUMMYFUNCTION("""COMPUTED_VALUE"""),1888.0)</f>
        <v>1888</v>
      </c>
      <c r="F1343" s="3">
        <f>IFERROR(__xludf.DUMMYFUNCTION("""COMPUTED_VALUE"""),60845.0)</f>
        <v>60845</v>
      </c>
      <c r="G1343" s="2" t="str">
        <f>IFERROR(__xludf.DUMMYFUNCTION("""COMPUTED_VALUE"""),"Mamta poudel")</f>
        <v>Mamta poudel</v>
      </c>
      <c r="H1343" s="2" t="str">
        <f>IFERROR(__xludf.DUMMYFUNCTION("""COMPUTED_VALUE"""),"Baneswar, Kathmandu Tel:9841735837")</f>
        <v>Baneswar, Kathmandu Tel:9841735837</v>
      </c>
      <c r="I1343" s="2" t="str">
        <f>IFERROR(__xludf.DUMMYFUNCTION("""COMPUTED_VALUE"""),"28o 24' 26""")</f>
        <v>28o 24' 26"</v>
      </c>
      <c r="J1343" s="2" t="str">
        <f>IFERROR(__xludf.DUMMYFUNCTION("""COMPUTED_VALUE"""),"28o 26' 34""")</f>
        <v>28o 26' 34"</v>
      </c>
      <c r="K1343" s="2" t="str">
        <f>IFERROR(__xludf.DUMMYFUNCTION("""COMPUTED_VALUE"""),"84o 30' 18""")</f>
        <v>84o 30' 18"</v>
      </c>
      <c r="L1343" s="2" t="str">
        <f>IFERROR(__xludf.DUMMYFUNCTION("""COMPUTED_VALUE"""),"84o 32' 34""")</f>
        <v>84o 32' 34"</v>
      </c>
      <c r="M1343" s="2" t="str">
        <f>IFERROR(__xludf.DUMMYFUNCTION("""COMPUTED_VALUE"""),"Bahundada (Lamjung)")</f>
        <v>Bahundada (Lamjung)</v>
      </c>
    </row>
    <row r="1344">
      <c r="A1344" s="2">
        <f>IFERROR(__xludf.DUMMYFUNCTION("""COMPUTED_VALUE"""),1343.0)</f>
        <v>1343</v>
      </c>
      <c r="B1344" s="2" t="str">
        <f>IFERROR(__xludf.DUMMYFUNCTION("""COMPUTED_VALUE"""),"Lower Kaligandaki HPP")</f>
        <v>Lower Kaligandaki HPP</v>
      </c>
      <c r="C1344" s="2">
        <f>IFERROR(__xludf.DUMMYFUNCTION("""COMPUTED_VALUE"""),49.0)</f>
        <v>49</v>
      </c>
      <c r="D1344" s="2" t="str">
        <f>IFERROR(__xludf.DUMMYFUNCTION("""COMPUTED_VALUE"""),"Kali Gandaki")</f>
        <v>Kali Gandaki</v>
      </c>
      <c r="E1344" s="2">
        <f>IFERROR(__xludf.DUMMYFUNCTION("""COMPUTED_VALUE"""),1918.0)</f>
        <v>1918</v>
      </c>
      <c r="F1344" s="3">
        <f>IFERROR(__xludf.DUMMYFUNCTION("""COMPUTED_VALUE"""),60847.0)</f>
        <v>60847</v>
      </c>
      <c r="G1344" s="2" t="str">
        <f>IFERROR(__xludf.DUMMYFUNCTION("""COMPUTED_VALUE"""),"G.B.Thapa, Nem Raj Ghale, Januka Karki")</f>
        <v>G.B.Thapa, Nem Raj Ghale, Januka Karki</v>
      </c>
      <c r="H1344" s="2" t="str">
        <f>IFERROR(__xludf.DUMMYFUNCTION("""COMPUTED_VALUE"""),"GPO Box: 12910, Kathmandu, Tel: 9851012085")</f>
        <v>GPO Box: 12910, Kathmandu, Tel: 9851012085</v>
      </c>
      <c r="I1344" s="2" t="str">
        <f>IFERROR(__xludf.DUMMYFUNCTION("""COMPUTED_VALUE"""),"27o 49' 30""")</f>
        <v>27o 49' 30"</v>
      </c>
      <c r="J1344" s="2" t="str">
        <f>IFERROR(__xludf.DUMMYFUNCTION("""COMPUTED_VALUE"""),"27o 52' 30""")</f>
        <v>27o 52' 30"</v>
      </c>
      <c r="K1344" s="2" t="str">
        <f>IFERROR(__xludf.DUMMYFUNCTION("""COMPUTED_VALUE"""),"84o 00' 00""")</f>
        <v>84o 00' 00"</v>
      </c>
      <c r="L1344" s="2" t="str">
        <f>IFERROR(__xludf.DUMMYFUNCTION("""COMPUTED_VALUE"""),"84o 06' 00""")</f>
        <v>84o 06' 00"</v>
      </c>
      <c r="M1344" s="2" t="str">
        <f>IFERROR(__xludf.DUMMYFUNCTION("""COMPUTED_VALUE"""),"Dedgaun,Rakuwa (Nawalparasi)")</f>
        <v>Dedgaun,Rakuwa (Nawalparasi)</v>
      </c>
    </row>
    <row r="1345">
      <c r="A1345" s="2">
        <f>IFERROR(__xludf.DUMMYFUNCTION("""COMPUTED_VALUE"""),1344.0)</f>
        <v>1344</v>
      </c>
      <c r="B1345" s="2" t="str">
        <f>IFERROR(__xludf.DUMMYFUNCTION("""COMPUTED_VALUE"""),"Sewa Khola SHP")</f>
        <v>Sewa Khola SHP</v>
      </c>
      <c r="C1345" s="2">
        <f>IFERROR(__xludf.DUMMYFUNCTION("""COMPUTED_VALUE"""),0.887)</f>
        <v>0.887</v>
      </c>
      <c r="D1345" s="2" t="str">
        <f>IFERROR(__xludf.DUMMYFUNCTION("""COMPUTED_VALUE"""),"Sewa")</f>
        <v>Sewa</v>
      </c>
      <c r="E1345" s="2">
        <f>IFERROR(__xludf.DUMMYFUNCTION("""COMPUTED_VALUE"""),1922.0)</f>
        <v>1922</v>
      </c>
      <c r="F1345" s="3">
        <f>IFERROR(__xludf.DUMMYFUNCTION("""COMPUTED_VALUE"""),60847.0)</f>
        <v>60847</v>
      </c>
      <c r="G1345" s="2" t="str">
        <f>IFERROR(__xludf.DUMMYFUNCTION("""COMPUTED_VALUE"""),"T.P. Neupane, Smti Parvati Devi Khatri , K.K. Tamang")</f>
        <v>T.P. Neupane, Smti Parvati Devi Khatri , K.K. Tamang</v>
      </c>
      <c r="H1345" s="2" t="str">
        <f>IFERROR(__xludf.DUMMYFUNCTION("""COMPUTED_VALUE"""),"Sidhapokhri VDC-6, Sankhuwasabha")</f>
        <v>Sidhapokhri VDC-6, Sankhuwasabha</v>
      </c>
      <c r="I1345" s="2" t="str">
        <f>IFERROR(__xludf.DUMMYFUNCTION("""COMPUTED_VALUE"""),"27o 21' 40""")</f>
        <v>27o 21' 40"</v>
      </c>
      <c r="J1345" s="2" t="str">
        <f>IFERROR(__xludf.DUMMYFUNCTION("""COMPUTED_VALUE"""),"27o 23' 10""")</f>
        <v>27o 23' 10"</v>
      </c>
      <c r="K1345" s="2" t="str">
        <f>IFERROR(__xludf.DUMMYFUNCTION("""COMPUTED_VALUE"""),"87o 24' 00""")</f>
        <v>87o 24' 00"</v>
      </c>
      <c r="L1345" s="2" t="str">
        <f>IFERROR(__xludf.DUMMYFUNCTION("""COMPUTED_VALUE"""),"87o 25' 30""")</f>
        <v>87o 25' 30"</v>
      </c>
      <c r="M1345" s="2" t="str">
        <f>IFERROR(__xludf.DUMMYFUNCTION("""COMPUTED_VALUE"""),"Siddhapokhari (Sankhuwasabha)")</f>
        <v>Siddhapokhari (Sankhuwasabha)</v>
      </c>
    </row>
    <row r="1346">
      <c r="A1346" s="2">
        <f>IFERROR(__xludf.DUMMYFUNCTION("""COMPUTED_VALUE"""),1345.0)</f>
        <v>1345</v>
      </c>
      <c r="B1346" s="2" t="str">
        <f>IFERROR(__xludf.DUMMYFUNCTION("""COMPUTED_VALUE"""),"North Hewa Khola SHP")</f>
        <v>North Hewa Khola SHP</v>
      </c>
      <c r="C1346" s="2">
        <f>IFERROR(__xludf.DUMMYFUNCTION("""COMPUTED_VALUE"""),0.998)</f>
        <v>0.998</v>
      </c>
      <c r="D1346" s="2" t="str">
        <f>IFERROR(__xludf.DUMMYFUNCTION("""COMPUTED_VALUE"""),"Hewa Khola")</f>
        <v>Hewa Khola</v>
      </c>
      <c r="E1346" s="2">
        <f>IFERROR(__xludf.DUMMYFUNCTION("""COMPUTED_VALUE"""),1923.0)</f>
        <v>1923</v>
      </c>
      <c r="F1346" s="3">
        <f>IFERROR(__xludf.DUMMYFUNCTION("""COMPUTED_VALUE"""),60847.0)</f>
        <v>60847</v>
      </c>
      <c r="G1346" s="2" t="str">
        <f>IFERROR(__xludf.DUMMYFUNCTION("""COMPUTED_VALUE"""),"T.P. Neupane, G.K.Limbu K.R. Chapagain")</f>
        <v>T.P. Neupane, G.K.Limbu K.R. Chapagain</v>
      </c>
      <c r="H1346" s="2" t="str">
        <f>IFERROR(__xludf.DUMMYFUNCTION("""COMPUTED_VALUE"""),"Sidhapokhri VDC-4, Sankhuwasabha")</f>
        <v>Sidhapokhri VDC-4, Sankhuwasabha</v>
      </c>
      <c r="I1346" s="2" t="str">
        <f>IFERROR(__xludf.DUMMYFUNCTION("""COMPUTED_VALUE"""),"27o 21' 40""")</f>
        <v>27o 21' 40"</v>
      </c>
      <c r="J1346" s="2" t="str">
        <f>IFERROR(__xludf.DUMMYFUNCTION("""COMPUTED_VALUE"""),"27o 23' 10""")</f>
        <v>27o 23' 10"</v>
      </c>
      <c r="K1346" s="2" t="str">
        <f>IFERROR(__xludf.DUMMYFUNCTION("""COMPUTED_VALUE"""),"87o 24' 00""")</f>
        <v>87o 24' 00"</v>
      </c>
      <c r="L1346" s="2" t="str">
        <f>IFERROR(__xludf.DUMMYFUNCTION("""COMPUTED_VALUE"""),"87o 25' 30""")</f>
        <v>87o 25' 30"</v>
      </c>
      <c r="M1346" s="2" t="str">
        <f>IFERROR(__xludf.DUMMYFUNCTION("""COMPUTED_VALUE"""),"Siddhapokhari (Sankhuwasabha)")</f>
        <v>Siddhapokhari (Sankhuwasabha)</v>
      </c>
    </row>
    <row r="1347">
      <c r="A1347" s="2">
        <f>IFERROR(__xludf.DUMMYFUNCTION("""COMPUTED_VALUE"""),1346.0)</f>
        <v>1346</v>
      </c>
      <c r="B1347" s="2" t="str">
        <f>IFERROR(__xludf.DUMMYFUNCTION("""COMPUTED_VALUE"""),"Dudh Khola SHP")</f>
        <v>Dudh Khola SHP</v>
      </c>
      <c r="C1347" s="2">
        <f>IFERROR(__xludf.DUMMYFUNCTION("""COMPUTED_VALUE"""),0.999)</f>
        <v>0.999</v>
      </c>
      <c r="D1347" s="2" t="str">
        <f>IFERROR(__xludf.DUMMYFUNCTION("""COMPUTED_VALUE"""),"Dudh Khola")</f>
        <v>Dudh Khola</v>
      </c>
      <c r="E1347" s="2">
        <f>IFERROR(__xludf.DUMMYFUNCTION("""COMPUTED_VALUE"""),1961.0)</f>
        <v>1961</v>
      </c>
      <c r="F1347" s="3">
        <f>IFERROR(__xludf.DUMMYFUNCTION("""COMPUTED_VALUE"""),60849.0)</f>
        <v>60849</v>
      </c>
      <c r="G1347" s="2" t="str">
        <f>IFERROR(__xludf.DUMMYFUNCTION("""COMPUTED_VALUE"""),"Tila Ram Basnet")</f>
        <v>Tila Ram Basnet</v>
      </c>
      <c r="H1347" s="2" t="str">
        <f>IFERROR(__xludf.DUMMYFUNCTION("""COMPUTED_VALUE"""),"SiJuwa-5, Morang, Tel: 9851085986")</f>
        <v>SiJuwa-5, Morang, Tel: 9851085986</v>
      </c>
      <c r="I1347" s="2" t="str">
        <f>IFERROR(__xludf.DUMMYFUNCTION("""COMPUTED_VALUE"""),"28o 31' 16""")</f>
        <v>28o 31' 16"</v>
      </c>
      <c r="J1347" s="2" t="str">
        <f>IFERROR(__xludf.DUMMYFUNCTION("""COMPUTED_VALUE"""),"28o 33' 17""")</f>
        <v>28o 33' 17"</v>
      </c>
      <c r="K1347" s="2" t="str">
        <f>IFERROR(__xludf.DUMMYFUNCTION("""COMPUTED_VALUE"""),"84o 21' 27""")</f>
        <v>84o 21' 27"</v>
      </c>
      <c r="L1347" s="2" t="str">
        <f>IFERROR(__xludf.DUMMYFUNCTION("""COMPUTED_VALUE"""),"84o 23' 49""")</f>
        <v>84o 23' 49"</v>
      </c>
      <c r="M1347" s="2" t="str">
        <f>IFERROR(__xludf.DUMMYFUNCTION("""COMPUTED_VALUE"""),"Thoche (Manang)")</f>
        <v>Thoche (Manang)</v>
      </c>
    </row>
    <row r="1348">
      <c r="A1348" s="2">
        <f>IFERROR(__xludf.DUMMYFUNCTION("""COMPUTED_VALUE"""),1347.0)</f>
        <v>1347</v>
      </c>
      <c r="B1348" s="2" t="str">
        <f>IFERROR(__xludf.DUMMYFUNCTION("""COMPUTED_VALUE"""),"Upper Balephi Khola HPP")</f>
        <v>Upper Balephi Khola HPP</v>
      </c>
      <c r="C1348" s="2">
        <f>IFERROR(__xludf.DUMMYFUNCTION("""COMPUTED_VALUE"""),4.5)</f>
        <v>4.5</v>
      </c>
      <c r="D1348" s="2" t="str">
        <f>IFERROR(__xludf.DUMMYFUNCTION("""COMPUTED_VALUE"""),"Balephi")</f>
        <v>Balephi</v>
      </c>
      <c r="E1348" s="2">
        <f>IFERROR(__xludf.DUMMYFUNCTION("""COMPUTED_VALUE"""),2020.0)</f>
        <v>2020</v>
      </c>
      <c r="F1348" s="3">
        <f>IFERROR(__xludf.DUMMYFUNCTION("""COMPUTED_VALUE"""),60854.0)</f>
        <v>60854</v>
      </c>
      <c r="G1348" s="2" t="str">
        <f>IFERROR(__xludf.DUMMYFUNCTION("""COMPUTED_VALUE"""),"Y.Rai, B.Silwal,R.K.Silwal,Pashupati Silwal, R.S.Silwal")</f>
        <v>Y.Rai, B.Silwal,R.K.Silwal,Pashupati Silwal, R.S.Silwal</v>
      </c>
      <c r="H1348" s="2" t="str">
        <f>IFERROR(__xludf.DUMMYFUNCTION("""COMPUTED_VALUE"""),"Golche-2, Sindhupalchowk")</f>
        <v>Golche-2, Sindhupalchowk</v>
      </c>
      <c r="I1348" s="2" t="str">
        <f>IFERROR(__xludf.DUMMYFUNCTION("""COMPUTED_VALUE"""),"28o 04' 30""")</f>
        <v>28o 04' 30"</v>
      </c>
      <c r="J1348" s="2" t="str">
        <f>IFERROR(__xludf.DUMMYFUNCTION("""COMPUTED_VALUE"""),"28o 06' 08""")</f>
        <v>28o 06' 08"</v>
      </c>
      <c r="K1348" s="2" t="str">
        <f>IFERROR(__xludf.DUMMYFUNCTION("""COMPUTED_VALUE"""),"85o 45' 30""")</f>
        <v>85o 45' 30"</v>
      </c>
      <c r="L1348" s="2" t="str">
        <f>IFERROR(__xludf.DUMMYFUNCTION("""COMPUTED_VALUE"""),"85o 47' 00""")</f>
        <v>85o 47' 00"</v>
      </c>
      <c r="M1348" s="2" t="str">
        <f>IFERROR(__xludf.DUMMYFUNCTION("""COMPUTED_VALUE"""),"Golche (Sindhupalchok)")</f>
        <v>Golche (Sindhupalchok)</v>
      </c>
    </row>
    <row r="1349">
      <c r="A1349" s="2">
        <f>IFERROR(__xludf.DUMMYFUNCTION("""COMPUTED_VALUE"""),1348.0)</f>
        <v>1348</v>
      </c>
      <c r="B1349" s="2" t="str">
        <f>IFERROR(__xludf.DUMMYFUNCTION("""COMPUTED_VALUE"""),"Ghatte Takparang Khola HPP")</f>
        <v>Ghatte Takparang Khola HPP</v>
      </c>
      <c r="C1349" s="2">
        <f>IFERROR(__xludf.DUMMYFUNCTION("""COMPUTED_VALUE"""),1.49)</f>
        <v>1.49</v>
      </c>
      <c r="D1349" s="2" t="str">
        <f>IFERROR(__xludf.DUMMYFUNCTION("""COMPUTED_VALUE"""),"Takparan")</f>
        <v>Takparan</v>
      </c>
      <c r="E1349" s="2"/>
      <c r="F1349" s="3">
        <f>IFERROR(__xludf.DUMMYFUNCTION("""COMPUTED_VALUE"""),60855.0)</f>
        <v>60855</v>
      </c>
      <c r="G1349" s="2" t="str">
        <f>IFERROR(__xludf.DUMMYFUNCTION("""COMPUTED_VALUE"""),"Golche Hydropower Pvt Ltd")</f>
        <v>Golche Hydropower Pvt Ltd</v>
      </c>
      <c r="H1349" s="2" t="str">
        <f>IFERROR(__xludf.DUMMYFUNCTION("""COMPUTED_VALUE"""),"Golche-2, Sindhupalchowk")</f>
        <v>Golche-2, Sindhupalchowk</v>
      </c>
      <c r="I1349" s="2" t="str">
        <f>IFERROR(__xludf.DUMMYFUNCTION("""COMPUTED_VALUE"""),"27o 53' 47""")</f>
        <v>27o 53' 47"</v>
      </c>
      <c r="J1349" s="2" t="str">
        <f>IFERROR(__xludf.DUMMYFUNCTION("""COMPUTED_VALUE"""),"27o 55' 00""")</f>
        <v>27o 55' 00"</v>
      </c>
      <c r="K1349" s="2" t="str">
        <f>IFERROR(__xludf.DUMMYFUNCTION("""COMPUTED_VALUE"""),"85o 45' 00""")</f>
        <v>85o 45' 00"</v>
      </c>
      <c r="L1349" s="2" t="str">
        <f>IFERROR(__xludf.DUMMYFUNCTION("""COMPUTED_VALUE"""),"85o 45' 44""")</f>
        <v>85o 45' 44"</v>
      </c>
      <c r="M1349" s="2" t="str">
        <f>IFERROR(__xludf.DUMMYFUNCTION("""COMPUTED_VALUE"""),"Golche (Sindhupalchok)")</f>
        <v>Golche (Sindhupalchok)</v>
      </c>
    </row>
    <row r="1350">
      <c r="A1350" s="2">
        <f>IFERROR(__xludf.DUMMYFUNCTION("""COMPUTED_VALUE"""),1349.0)</f>
        <v>1349</v>
      </c>
      <c r="B1350" s="2" t="str">
        <f>IFERROR(__xludf.DUMMYFUNCTION("""COMPUTED_VALUE"""),"Upper Chilung HPP")</f>
        <v>Upper Chilung HPP</v>
      </c>
      <c r="C1350" s="2">
        <f>IFERROR(__xludf.DUMMYFUNCTION("""COMPUTED_VALUE"""),4.1)</f>
        <v>4.1</v>
      </c>
      <c r="D1350" s="2" t="str">
        <f>IFERROR(__xludf.DUMMYFUNCTION("""COMPUTED_VALUE"""),"Chilung")</f>
        <v>Chilung</v>
      </c>
      <c r="E1350" s="2">
        <f>IFERROR(__xludf.DUMMYFUNCTION("""COMPUTED_VALUE"""),2083.0)</f>
        <v>2083</v>
      </c>
      <c r="F1350" s="3">
        <f>IFERROR(__xludf.DUMMYFUNCTION("""COMPUTED_VALUE"""),60859.0)</f>
        <v>60859</v>
      </c>
      <c r="G1350" s="2" t="str">
        <f>IFERROR(__xludf.DUMMYFUNCTION("""COMPUTED_VALUE"""),"Mamta poudel")</f>
        <v>Mamta poudel</v>
      </c>
      <c r="H1350" s="2" t="str">
        <f>IFERROR(__xludf.DUMMYFUNCTION("""COMPUTED_VALUE"""),"Baneswar, Kathmandu Tel: 9841735837")</f>
        <v>Baneswar, Kathmandu Tel: 9841735837</v>
      </c>
      <c r="I1350" s="2" t="str">
        <f>IFERROR(__xludf.DUMMYFUNCTION("""COMPUTED_VALUE"""),"28o 24' 30""")</f>
        <v>28o 24' 30"</v>
      </c>
      <c r="J1350" s="2" t="str">
        <f>IFERROR(__xludf.DUMMYFUNCTION("""COMPUTED_VALUE"""),"28o 27' 34""")</f>
        <v>28o 27' 34"</v>
      </c>
      <c r="K1350" s="2" t="str">
        <f>IFERROR(__xludf.DUMMYFUNCTION("""COMPUTED_VALUE"""),"84o 47' 10""")</f>
        <v>84o 47' 10"</v>
      </c>
      <c r="L1350" s="2" t="str">
        <f>IFERROR(__xludf.DUMMYFUNCTION("""COMPUTED_VALUE"""),"84o 51' 20""")</f>
        <v>84o 51' 20"</v>
      </c>
      <c r="M1350" s="2" t="str">
        <f>IFERROR(__xludf.DUMMYFUNCTION("""COMPUTED_VALUE"""),"Sirdibas (Gorkha)")</f>
        <v>Sirdibas (Gorkha)</v>
      </c>
    </row>
    <row r="1351">
      <c r="A1351" s="2">
        <f>IFERROR(__xludf.DUMMYFUNCTION("""COMPUTED_VALUE"""),1350.0)</f>
        <v>1350</v>
      </c>
      <c r="B1351" s="2" t="str">
        <f>IFERROR(__xludf.DUMMYFUNCTION("""COMPUTED_VALUE"""),"Mewa Khola HPP")</f>
        <v>Mewa Khola HPP</v>
      </c>
      <c r="C1351" s="2">
        <f>IFERROR(__xludf.DUMMYFUNCTION("""COMPUTED_VALUE"""),4.9)</f>
        <v>4.9</v>
      </c>
      <c r="D1351" s="2" t="str">
        <f>IFERROR(__xludf.DUMMYFUNCTION("""COMPUTED_VALUE"""),"Mewa Khola")</f>
        <v>Mewa Khola</v>
      </c>
      <c r="E1351" s="2">
        <f>IFERROR(__xludf.DUMMYFUNCTION("""COMPUTED_VALUE"""),2088.0)</f>
        <v>2088</v>
      </c>
      <c r="F1351" s="3">
        <f>IFERROR(__xludf.DUMMYFUNCTION("""COMPUTED_VALUE"""),60859.0)</f>
        <v>60859</v>
      </c>
      <c r="G1351" s="2" t="str">
        <f>IFERROR(__xludf.DUMMYFUNCTION("""COMPUTED_VALUE"""),"Surya Raj Acharya")</f>
        <v>Surya Raj Acharya</v>
      </c>
      <c r="H1351" s="2" t="str">
        <f>IFERROR(__xludf.DUMMYFUNCTION("""COMPUTED_VALUE"""),"Nagi-4, Panchthar, Tel: 9841234368")</f>
        <v>Nagi-4, Panchthar, Tel: 9841234368</v>
      </c>
      <c r="I1351" s="2" t="str">
        <f>IFERROR(__xludf.DUMMYFUNCTION("""COMPUTED_VALUE"""),"27o 15' 00""")</f>
        <v>27o 15' 00"</v>
      </c>
      <c r="J1351" s="2" t="str">
        <f>IFERROR(__xludf.DUMMYFUNCTION("""COMPUTED_VALUE"""),"27o 16' 23""")</f>
        <v>27o 16' 23"</v>
      </c>
      <c r="K1351" s="2" t="str">
        <f>IFERROR(__xludf.DUMMYFUNCTION("""COMPUTED_VALUE"""),"87o 55' 00""")</f>
        <v>87o 55' 00"</v>
      </c>
      <c r="L1351" s="2" t="str">
        <f>IFERROR(__xludf.DUMMYFUNCTION("""COMPUTED_VALUE"""),"88o 00' 00""")</f>
        <v>88o 00' 00"</v>
      </c>
      <c r="M1351" s="2" t="str">
        <f>IFERROR(__xludf.DUMMYFUNCTION("""COMPUTED_VALUE"""),"Chyangthapu (Panchthar)")</f>
        <v>Chyangthapu (Panchthar)</v>
      </c>
    </row>
    <row r="1352">
      <c r="A1352" s="2">
        <f>IFERROR(__xludf.DUMMYFUNCTION("""COMPUTED_VALUE"""),1351.0)</f>
        <v>1351</v>
      </c>
      <c r="B1352" s="2" t="str">
        <f>IFERROR(__xludf.DUMMYFUNCTION("""COMPUTED_VALUE"""),"Tamor Khola HPP")</f>
        <v>Tamor Khola HPP</v>
      </c>
      <c r="C1352" s="2">
        <f>IFERROR(__xludf.DUMMYFUNCTION("""COMPUTED_VALUE"""),10.0)</f>
        <v>10</v>
      </c>
      <c r="D1352" s="2" t="str">
        <f>IFERROR(__xludf.DUMMYFUNCTION("""COMPUTED_VALUE"""),"Tamor")</f>
        <v>Tamor</v>
      </c>
      <c r="E1352" s="2">
        <f>IFERROR(__xludf.DUMMYFUNCTION("""COMPUTED_VALUE"""),3051.0)</f>
        <v>3051</v>
      </c>
      <c r="F1352" s="3">
        <f>IFERROR(__xludf.DUMMYFUNCTION("""COMPUTED_VALUE"""),60862.0)</f>
        <v>60862</v>
      </c>
      <c r="G1352" s="2" t="str">
        <f>IFERROR(__xludf.DUMMYFUNCTION("""COMPUTED_VALUE"""),"Tara Bahadur Isbu Limbu, H.K.Limbu, Mishri Shrestha")</f>
        <v>Tara Bahadur Isbu Limbu, H.K.Limbu, Mishri Shrestha</v>
      </c>
      <c r="H1352" s="2"/>
      <c r="I1352" s="2" t="str">
        <f>IFERROR(__xludf.DUMMYFUNCTION("""COMPUTED_VALUE"""),"27o 30' 00""")</f>
        <v>27o 30' 00"</v>
      </c>
      <c r="J1352" s="2" t="str">
        <f>IFERROR(__xludf.DUMMYFUNCTION("""COMPUTED_VALUE"""),"27o 31' 53""")</f>
        <v>27o 31' 53"</v>
      </c>
      <c r="K1352" s="2" t="str">
        <f>IFERROR(__xludf.DUMMYFUNCTION("""COMPUTED_VALUE"""),"87o 47' 21""")</f>
        <v>87o 47' 21"</v>
      </c>
      <c r="L1352" s="2" t="str">
        <f>IFERROR(__xludf.DUMMYFUNCTION("""COMPUTED_VALUE"""),"87o 48' 34""")</f>
        <v>87o 48' 34"</v>
      </c>
      <c r="M1352" s="2" t="str">
        <f>IFERROR(__xludf.DUMMYFUNCTION("""COMPUTED_VALUE"""),"Lelep (Taplejung)")</f>
        <v>Lelep (Taplejung)</v>
      </c>
    </row>
    <row r="1353">
      <c r="A1353" s="2">
        <f>IFERROR(__xludf.DUMMYFUNCTION("""COMPUTED_VALUE"""),1352.0)</f>
        <v>1352</v>
      </c>
      <c r="B1353" s="2" t="str">
        <f>IFERROR(__xludf.DUMMYFUNCTION("""COMPUTED_VALUE"""),"Ghunsa Khola HPP")</f>
        <v>Ghunsa Khola HPP</v>
      </c>
      <c r="C1353" s="2">
        <f>IFERROR(__xludf.DUMMYFUNCTION("""COMPUTED_VALUE"""),30.0)</f>
        <v>30</v>
      </c>
      <c r="D1353" s="2" t="str">
        <f>IFERROR(__xludf.DUMMYFUNCTION("""COMPUTED_VALUE"""),"Ghunsa Khola")</f>
        <v>Ghunsa Khola</v>
      </c>
      <c r="E1353" s="2">
        <f>IFERROR(__xludf.DUMMYFUNCTION("""COMPUTED_VALUE"""),3052.0)</f>
        <v>3052</v>
      </c>
      <c r="F1353" s="3">
        <f>IFERROR(__xludf.DUMMYFUNCTION("""COMPUTED_VALUE"""),60862.0)</f>
        <v>60862</v>
      </c>
      <c r="G1353" s="2" t="str">
        <f>IFERROR(__xludf.DUMMYFUNCTION("""COMPUTED_VALUE"""),"T.B. Limbu, Shantidevi Rai")</f>
        <v>T.B. Limbu, Shantidevi Rai</v>
      </c>
      <c r="H1353" s="2"/>
      <c r="I1353" s="2" t="str">
        <f>IFERROR(__xludf.DUMMYFUNCTION("""COMPUTED_VALUE"""),"27o 31' 53""")</f>
        <v>27o 31' 53"</v>
      </c>
      <c r="J1353" s="2" t="str">
        <f>IFERROR(__xludf.DUMMYFUNCTION("""COMPUTED_VALUE"""),"27o 34' 29""")</f>
        <v>27o 34' 29"</v>
      </c>
      <c r="K1353" s="2" t="str">
        <f>IFERROR(__xludf.DUMMYFUNCTION("""COMPUTED_VALUE"""),"87o 48' 11""")</f>
        <v>87o 48' 11"</v>
      </c>
      <c r="L1353" s="2" t="str">
        <f>IFERROR(__xludf.DUMMYFUNCTION("""COMPUTED_VALUE"""),"87o 52' 51""")</f>
        <v>87o 52' 51"</v>
      </c>
      <c r="M1353" s="2" t="str">
        <f>IFERROR(__xludf.DUMMYFUNCTION("""COMPUTED_VALUE"""),"Lelep (Taplejung)")</f>
        <v>Lelep (Taplejung)</v>
      </c>
    </row>
    <row r="1354">
      <c r="A1354" s="2">
        <f>IFERROR(__xludf.DUMMYFUNCTION("""COMPUTED_VALUE"""),1353.0)</f>
        <v>1353</v>
      </c>
      <c r="B1354" s="2" t="str">
        <f>IFERROR(__xludf.DUMMYFUNCTION("""COMPUTED_VALUE"""),"Nyamya Masal Khola SHP")</f>
        <v>Nyamya Masal Khola SHP</v>
      </c>
      <c r="C1354" s="2">
        <f>IFERROR(__xludf.DUMMYFUNCTION("""COMPUTED_VALUE"""),0.96)</f>
        <v>0.96</v>
      </c>
      <c r="D1354" s="2" t="str">
        <f>IFERROR(__xludf.DUMMYFUNCTION("""COMPUTED_VALUE"""),"Nyamya Masal")</f>
        <v>Nyamya Masal</v>
      </c>
      <c r="E1354" s="2">
        <f>IFERROR(__xludf.DUMMYFUNCTION("""COMPUTED_VALUE"""),3094.0)</f>
        <v>3094</v>
      </c>
      <c r="F1354" s="3">
        <f>IFERROR(__xludf.DUMMYFUNCTION("""COMPUTED_VALUE"""),60863.0)</f>
        <v>60863</v>
      </c>
      <c r="G1354" s="2" t="str">
        <f>IFERROR(__xludf.DUMMYFUNCTION("""COMPUTED_VALUE"""),"T.B. Lama, lakpa Sherpa")</f>
        <v>T.B. Lama, lakpa Sherpa</v>
      </c>
      <c r="H1354" s="2" t="str">
        <f>IFERROR(__xludf.DUMMYFUNCTION("""COMPUTED_VALUE"""),"Gumba VDC-1, Sindhupalchowk Tel: 9841764310")</f>
        <v>Gumba VDC-1, Sindhupalchowk Tel: 9841764310</v>
      </c>
      <c r="I1354" s="2" t="str">
        <f>IFERROR(__xludf.DUMMYFUNCTION("""COMPUTED_VALUE"""),"28o 05' 30""")</f>
        <v>28o 05' 30"</v>
      </c>
      <c r="J1354" s="2" t="str">
        <f>IFERROR(__xludf.DUMMYFUNCTION("""COMPUTED_VALUE"""),"28o 06' 15""")</f>
        <v>28o 06' 15"</v>
      </c>
      <c r="K1354" s="2" t="str">
        <f>IFERROR(__xludf.DUMMYFUNCTION("""COMPUTED_VALUE"""),"85o 47' 00""")</f>
        <v>85o 47' 00"</v>
      </c>
      <c r="L1354" s="2" t="str">
        <f>IFERROR(__xludf.DUMMYFUNCTION("""COMPUTED_VALUE"""),"85o 50' 00""")</f>
        <v>85o 50' 00"</v>
      </c>
      <c r="M1354" s="2" t="str">
        <f>IFERROR(__xludf.DUMMYFUNCTION("""COMPUTED_VALUE"""),"Gumba (Sindhupalchok)")</f>
        <v>Gumba (Sindhupalchok)</v>
      </c>
    </row>
    <row r="1355">
      <c r="A1355" s="2">
        <f>IFERROR(__xludf.DUMMYFUNCTION("""COMPUTED_VALUE"""),1354.0)</f>
        <v>1354</v>
      </c>
      <c r="B1355" s="2" t="str">
        <f>IFERROR(__xludf.DUMMYFUNCTION("""COMPUTED_VALUE"""),"Lower Deumai Khola HPP")</f>
        <v>Lower Deumai Khola HPP</v>
      </c>
      <c r="C1355" s="2">
        <f>IFERROR(__xludf.DUMMYFUNCTION("""COMPUTED_VALUE"""),4.526)</f>
        <v>4.526</v>
      </c>
      <c r="D1355" s="2" t="str">
        <f>IFERROR(__xludf.DUMMYFUNCTION("""COMPUTED_VALUE"""),"Deumai")</f>
        <v>Deumai</v>
      </c>
      <c r="E1355" s="2">
        <f>IFERROR(__xludf.DUMMYFUNCTION("""COMPUTED_VALUE"""),3092.0)</f>
        <v>3092</v>
      </c>
      <c r="F1355" s="3">
        <f>IFERROR(__xludf.DUMMYFUNCTION("""COMPUTED_VALUE"""),60866.0)</f>
        <v>60866</v>
      </c>
      <c r="G1355" s="2" t="str">
        <f>IFERROR(__xludf.DUMMYFUNCTION("""COMPUTED_VALUE"""),"Umesh Sapkota, Hari Pd. Neupane,T.P.Neupane, R.B.Tamang")</f>
        <v>Umesh Sapkota, Hari Pd. Neupane,T.P.Neupane, R.B.Tamang</v>
      </c>
      <c r="H1355" s="2" t="str">
        <f>IFERROR(__xludf.DUMMYFUNCTION("""COMPUTED_VALUE"""),"Ivang VDC-2, Ilam Tel: 9842187782")</f>
        <v>Ivang VDC-2, Ilam Tel: 9842187782</v>
      </c>
      <c r="I1355" s="2" t="str">
        <f>IFERROR(__xludf.DUMMYFUNCTION("""COMPUTED_VALUE"""),"26o 50' 37""")</f>
        <v>26o 50' 37"</v>
      </c>
      <c r="J1355" s="2" t="str">
        <f>IFERROR(__xludf.DUMMYFUNCTION("""COMPUTED_VALUE"""),"26o 52' 46""")</f>
        <v>26o 52' 46"</v>
      </c>
      <c r="K1355" s="2" t="str">
        <f>IFERROR(__xludf.DUMMYFUNCTION("""COMPUTED_VALUE"""),"87o 45' 54""")</f>
        <v>87o 45' 54"</v>
      </c>
      <c r="L1355" s="2" t="str">
        <f>IFERROR(__xludf.DUMMYFUNCTION("""COMPUTED_VALUE"""),"87o 47' 30""")</f>
        <v>87o 47' 30"</v>
      </c>
      <c r="M1355" s="2" t="str">
        <f>IFERROR(__xludf.DUMMYFUNCTION("""COMPUTED_VALUE"""),"Jitpur (Ilam)")</f>
        <v>Jitpur (Ilam)</v>
      </c>
    </row>
    <row r="1356">
      <c r="A1356" s="2">
        <f>IFERROR(__xludf.DUMMYFUNCTION("""COMPUTED_VALUE"""),1355.0)</f>
        <v>1355</v>
      </c>
      <c r="B1356" s="2" t="str">
        <f>IFERROR(__xludf.DUMMYFUNCTION("""COMPUTED_VALUE"""),"Nawa Khola HPP")</f>
        <v>Nawa Khola HPP</v>
      </c>
      <c r="C1356" s="2">
        <f>IFERROR(__xludf.DUMMYFUNCTION("""COMPUTED_VALUE"""),4.573)</f>
        <v>4.573</v>
      </c>
      <c r="D1356" s="2" t="str">
        <f>IFERROR(__xludf.DUMMYFUNCTION("""COMPUTED_VALUE"""),"Nawa Khola")</f>
        <v>Nawa Khola</v>
      </c>
      <c r="E1356" s="2">
        <f>IFERROR(__xludf.DUMMYFUNCTION("""COMPUTED_VALUE"""),3093.0)</f>
        <v>3093</v>
      </c>
      <c r="F1356" s="3">
        <f>IFERROR(__xludf.DUMMYFUNCTION("""COMPUTED_VALUE"""),60866.0)</f>
        <v>60866</v>
      </c>
      <c r="G1356" s="2" t="str">
        <f>IFERROR(__xludf.DUMMYFUNCTION("""COMPUTED_VALUE"""),"T.P. Neupane, Umesh sapkota, H.P.Neupane, Gyanendra Baral, R.B.Tamang")</f>
        <v>T.P. Neupane, Umesh sapkota, H.P.Neupane, Gyanendra Baral, R.B.Tamang</v>
      </c>
      <c r="H1356" s="2" t="str">
        <f>IFERROR(__xludf.DUMMYFUNCTION("""COMPUTED_VALUE"""),"Ibhang VDC-2, Ilam Tel: 9842187782")</f>
        <v>Ibhang VDC-2, Ilam Tel: 9842187782</v>
      </c>
      <c r="I1356" s="2" t="str">
        <f>IFERROR(__xludf.DUMMYFUNCTION("""COMPUTED_VALUE"""),"26o 55' 34""")</f>
        <v>26o 55' 34"</v>
      </c>
      <c r="J1356" s="2" t="str">
        <f>IFERROR(__xludf.DUMMYFUNCTION("""COMPUTED_VALUE"""),"26o 57' 30""")</f>
        <v>26o 57' 30"</v>
      </c>
      <c r="K1356" s="2" t="str">
        <f>IFERROR(__xludf.DUMMYFUNCTION("""COMPUTED_VALUE"""),"87o 32' 02""")</f>
        <v>87o 32' 02"</v>
      </c>
      <c r="L1356" s="2" t="str">
        <f>IFERROR(__xludf.DUMMYFUNCTION("""COMPUTED_VALUE"""),"87o 34' 26""")</f>
        <v>87o 34' 26"</v>
      </c>
      <c r="M1356" s="2" t="str">
        <f>IFERROR(__xludf.DUMMYFUNCTION("""COMPUTED_VALUE"""),"Dhankuta N.P. (Dhankuta)")</f>
        <v>Dhankuta N.P. (Dhankuta)</v>
      </c>
    </row>
    <row r="1357">
      <c r="A1357" s="2">
        <f>IFERROR(__xludf.DUMMYFUNCTION("""COMPUTED_VALUE"""),1356.0)</f>
        <v>1356</v>
      </c>
      <c r="B1357" s="2" t="str">
        <f>IFERROR(__xludf.DUMMYFUNCTION("""COMPUTED_VALUE"""),"Ghwan Khola HPP")</f>
        <v>Ghwan Khola HPP</v>
      </c>
      <c r="C1357" s="2">
        <f>IFERROR(__xludf.DUMMYFUNCTION("""COMPUTED_VALUE"""),3.0)</f>
        <v>3</v>
      </c>
      <c r="D1357" s="2" t="str">
        <f>IFERROR(__xludf.DUMMYFUNCTION("""COMPUTED_VALUE"""),"Ghwang")</f>
        <v>Ghwang</v>
      </c>
      <c r="E1357" s="2">
        <f>IFERROR(__xludf.DUMMYFUNCTION("""COMPUTED_VALUE"""),4011.0)</f>
        <v>4011</v>
      </c>
      <c r="F1357" s="3">
        <f>IFERROR(__xludf.DUMMYFUNCTION("""COMPUTED_VALUE"""),60866.0)</f>
        <v>60866</v>
      </c>
      <c r="G1357" s="2" t="str">
        <f>IFERROR(__xludf.DUMMYFUNCTION("""COMPUTED_VALUE"""),"Panch Pokhri Khimti Hydropower Pvt Ltd")</f>
        <v>Panch Pokhri Khimti Hydropower Pvt Ltd</v>
      </c>
      <c r="H1357" s="2" t="str">
        <f>IFERROR(__xludf.DUMMYFUNCTION("""COMPUTED_VALUE"""),"Chhahbil-7, Kathmandu Tel: 4477430")</f>
        <v>Chhahbil-7, Kathmandu Tel: 4477430</v>
      </c>
      <c r="I1357" s="2" t="str">
        <f>IFERROR(__xludf.DUMMYFUNCTION("""COMPUTED_VALUE"""),"27o 41' 32""")</f>
        <v>27o 41' 32"</v>
      </c>
      <c r="J1357" s="2" t="str">
        <f>IFERROR(__xludf.DUMMYFUNCTION("""COMPUTED_VALUE"""),"27o 44' 15""")</f>
        <v>27o 44' 15"</v>
      </c>
      <c r="K1357" s="2" t="str">
        <f>IFERROR(__xludf.DUMMYFUNCTION("""COMPUTED_VALUE"""),"86o 20' 24""")</f>
        <v>86o 20' 24"</v>
      </c>
      <c r="L1357" s="2" t="str">
        <f>IFERROR(__xludf.DUMMYFUNCTION("""COMPUTED_VALUE"""),"86o 24' 30""")</f>
        <v>86o 24' 30"</v>
      </c>
      <c r="M1357" s="2" t="str">
        <f>IFERROR(__xludf.DUMMYFUNCTION("""COMPUTED_VALUE"""),"Khare (Dolakha)")</f>
        <v>Khare (Dolakha)</v>
      </c>
    </row>
    <row r="1358">
      <c r="A1358" s="2">
        <f>IFERROR(__xludf.DUMMYFUNCTION("""COMPUTED_VALUE"""),1357.0)</f>
        <v>1357</v>
      </c>
      <c r="B1358" s="2" t="str">
        <f>IFERROR(__xludf.DUMMYFUNCTION("""COMPUTED_VALUE"""),"Phung Phung Khola SHP")</f>
        <v>Phung Phung Khola SHP</v>
      </c>
      <c r="C1358" s="2">
        <f>IFERROR(__xludf.DUMMYFUNCTION("""COMPUTED_VALUE"""),0.47)</f>
        <v>0.47</v>
      </c>
      <c r="D1358" s="2" t="str">
        <f>IFERROR(__xludf.DUMMYFUNCTION("""COMPUTED_VALUE"""),"Phung Phung")</f>
        <v>Phung Phung</v>
      </c>
      <c r="E1358" s="2">
        <f>IFERROR(__xludf.DUMMYFUNCTION("""COMPUTED_VALUE"""),4036.0)</f>
        <v>4036</v>
      </c>
      <c r="F1358" s="3">
        <f>IFERROR(__xludf.DUMMYFUNCTION("""COMPUTED_VALUE"""),60869.0)</f>
        <v>60869</v>
      </c>
      <c r="G1358" s="2" t="str">
        <f>IFERROR(__xludf.DUMMYFUNCTION("""COMPUTED_VALUE"""),"Lal Bari DongTamang")</f>
        <v>Lal Bari DongTamang</v>
      </c>
      <c r="H1358" s="2" t="str">
        <f>IFERROR(__xludf.DUMMYFUNCTION("""COMPUTED_VALUE"""),"Golche-1, Sindhupalchowk , Tel: 9741064136")</f>
        <v>Golche-1, Sindhupalchowk , Tel: 9741064136</v>
      </c>
      <c r="I1358" s="2" t="str">
        <f>IFERROR(__xludf.DUMMYFUNCTION("""COMPUTED_VALUE"""),"27o 57' 01""")</f>
        <v>27o 57' 01"</v>
      </c>
      <c r="J1358" s="2" t="str">
        <f>IFERROR(__xludf.DUMMYFUNCTION("""COMPUTED_VALUE"""),"27o 58' 07""")</f>
        <v>27o 58' 07"</v>
      </c>
      <c r="K1358" s="2" t="str">
        <f>IFERROR(__xludf.DUMMYFUNCTION("""COMPUTED_VALUE"""),"85o 46' 49""")</f>
        <v>85o 46' 49"</v>
      </c>
      <c r="L1358" s="2" t="str">
        <f>IFERROR(__xludf.DUMMYFUNCTION("""COMPUTED_VALUE"""),"85o 47' 41""")</f>
        <v>85o 47' 41"</v>
      </c>
      <c r="M1358" s="2" t="str">
        <f>IFERROR(__xludf.DUMMYFUNCTION("""COMPUTED_VALUE"""),"Golche (Sindhupalchok)")</f>
        <v>Golche (Sindhupalchok)</v>
      </c>
    </row>
    <row r="1359">
      <c r="A1359" s="2">
        <f>IFERROR(__xludf.DUMMYFUNCTION("""COMPUTED_VALUE"""),1358.0)</f>
        <v>1358</v>
      </c>
      <c r="B1359" s="2" t="str">
        <f>IFERROR(__xludf.DUMMYFUNCTION("""COMPUTED_VALUE"""),"Sunsari Morang irrigation Canal 'A' Hydropower Project")</f>
        <v>Sunsari Morang irrigation Canal 'A' Hydropower Project</v>
      </c>
      <c r="C1359" s="2">
        <f>IFERROR(__xludf.DUMMYFUNCTION("""COMPUTED_VALUE"""),0.9)</f>
        <v>0.9</v>
      </c>
      <c r="D1359" s="2" t="str">
        <f>IFERROR(__xludf.DUMMYFUNCTION("""COMPUTED_VALUE"""),"Koshi Irrigation Canal")</f>
        <v>Koshi Irrigation Canal</v>
      </c>
      <c r="E1359" s="2">
        <f>IFERROR(__xludf.DUMMYFUNCTION("""COMPUTED_VALUE"""),4049.0)</f>
        <v>4049</v>
      </c>
      <c r="F1359" s="3">
        <f>IFERROR(__xludf.DUMMYFUNCTION("""COMPUTED_VALUE"""),60870.0)</f>
        <v>60870</v>
      </c>
      <c r="G1359" s="2" t="str">
        <f>IFERROR(__xludf.DUMMYFUNCTION("""COMPUTED_VALUE"""),"Pema Energy Pvt Ltd")</f>
        <v>Pema Energy Pvt Ltd</v>
      </c>
      <c r="H1359" s="2" t="str">
        <f>IFERROR(__xludf.DUMMYFUNCTION("""COMPUTED_VALUE"""),"Boudh, Kathmandu, Tel; 9851074483")</f>
        <v>Boudh, Kathmandu, Tel; 9851074483</v>
      </c>
      <c r="I1359" s="2" t="str">
        <f>IFERROR(__xludf.DUMMYFUNCTION("""COMPUTED_VALUE"""),"26o 45' 00""")</f>
        <v>26o 45' 00"</v>
      </c>
      <c r="J1359" s="2" t="str">
        <f>IFERROR(__xludf.DUMMYFUNCTION("""COMPUTED_VALUE"""),"26o 46' 57""")</f>
        <v>26o 46' 57"</v>
      </c>
      <c r="K1359" s="2" t="str">
        <f>IFERROR(__xludf.DUMMYFUNCTION("""COMPUTED_VALUE"""),"87o 09' 19""")</f>
        <v>87o 09' 19"</v>
      </c>
      <c r="L1359" s="2" t="str">
        <f>IFERROR(__xludf.DUMMYFUNCTION("""COMPUTED_VALUE"""),"87o 09' 52""")</f>
        <v>87o 09' 52"</v>
      </c>
      <c r="M1359" s="2" t="str">
        <f>IFERROR(__xludf.DUMMYFUNCTION("""COMPUTED_VALUE"""),"Mahendranagar (Sunsari)")</f>
        <v>Mahendranagar (Sunsari)</v>
      </c>
    </row>
    <row r="1360">
      <c r="A1360" s="2">
        <f>IFERROR(__xludf.DUMMYFUNCTION("""COMPUTED_VALUE"""),1359.0)</f>
        <v>1359</v>
      </c>
      <c r="B1360" s="2" t="str">
        <f>IFERROR(__xludf.DUMMYFUNCTION("""COMPUTED_VALUE"""),"Ana Gad SHP")</f>
        <v>Ana Gad SHP</v>
      </c>
      <c r="C1360" s="2">
        <f>IFERROR(__xludf.DUMMYFUNCTION("""COMPUTED_VALUE"""),0.85)</f>
        <v>0.85</v>
      </c>
      <c r="D1360" s="2" t="str">
        <f>IFERROR(__xludf.DUMMYFUNCTION("""COMPUTED_VALUE"""),"Ana Gad")</f>
        <v>Ana Gad</v>
      </c>
      <c r="E1360" s="2">
        <f>IFERROR(__xludf.DUMMYFUNCTION("""COMPUTED_VALUE"""),4072.0)</f>
        <v>4072</v>
      </c>
      <c r="F1360" s="3">
        <f>IFERROR(__xludf.DUMMYFUNCTION("""COMPUTED_VALUE"""),60873.0)</f>
        <v>60873</v>
      </c>
      <c r="G1360" s="2" t="str">
        <f>IFERROR(__xludf.DUMMYFUNCTION("""COMPUTED_VALUE"""),"Save Energy Pvt Ltd")</f>
        <v>Save Energy Pvt Ltd</v>
      </c>
      <c r="H1360" s="2" t="str">
        <f>IFERROR(__xludf.DUMMYFUNCTION("""COMPUTED_VALUE"""),"Kathmandu Municipality-10, Kathmandu")</f>
        <v>Kathmandu Municipality-10, Kathmandu</v>
      </c>
      <c r="I1360" s="2" t="str">
        <f>IFERROR(__xludf.DUMMYFUNCTION("""COMPUTED_VALUE"""),"00o 00' 00""")</f>
        <v>00o 00' 00"</v>
      </c>
      <c r="J1360" s="2" t="str">
        <f>IFERROR(__xludf.DUMMYFUNCTION("""COMPUTED_VALUE"""),"00o 00' 00""")</f>
        <v>00o 00' 00"</v>
      </c>
      <c r="K1360" s="2" t="str">
        <f>IFERROR(__xludf.DUMMYFUNCTION("""COMPUTED_VALUE"""),"00o 00' 00""")</f>
        <v>00o 00' 00"</v>
      </c>
      <c r="L1360" s="2" t="str">
        <f>IFERROR(__xludf.DUMMYFUNCTION("""COMPUTED_VALUE"""),"00o 00' 00""")</f>
        <v>00o 00' 00"</v>
      </c>
      <c r="M1360" s="2" t="str">
        <f>IFERROR(__xludf.DUMMYFUNCTION("""COMPUTED_VALUE"""),"Durgamadau (Doti)")</f>
        <v>Durgamadau (Doti)</v>
      </c>
    </row>
    <row r="1361">
      <c r="A1361" s="2">
        <f>IFERROR(__xludf.DUMMYFUNCTION("""COMPUTED_VALUE"""),1360.0)</f>
        <v>1360</v>
      </c>
      <c r="B1361" s="2" t="str">
        <f>IFERROR(__xludf.DUMMYFUNCTION("""COMPUTED_VALUE"""),"Nimrung Khola HPP")</f>
        <v>Nimrung Khola HPP</v>
      </c>
      <c r="C1361" s="2">
        <f>IFERROR(__xludf.DUMMYFUNCTION("""COMPUTED_VALUE"""),15.0)</f>
        <v>15</v>
      </c>
      <c r="D1361" s="2" t="str">
        <f>IFERROR(__xludf.DUMMYFUNCTION("""COMPUTED_VALUE"""),"Nimrung")</f>
        <v>Nimrung</v>
      </c>
      <c r="E1361" s="2">
        <f>IFERROR(__xludf.DUMMYFUNCTION("""COMPUTED_VALUE"""),4087.0)</f>
        <v>4087</v>
      </c>
      <c r="F1361" s="3">
        <f>IFERROR(__xludf.DUMMYFUNCTION("""COMPUTED_VALUE"""),60873.0)</f>
        <v>60873</v>
      </c>
      <c r="G1361" s="2" t="str">
        <f>IFERROR(__xludf.DUMMYFUNCTION("""COMPUTED_VALUE"""),"Power to People Association Pvt Ltd")</f>
        <v>Power to People Association Pvt Ltd</v>
      </c>
      <c r="H1361" s="2" t="str">
        <f>IFERROR(__xludf.DUMMYFUNCTION("""COMPUTED_VALUE"""),"Bansbari ,Kathmandu, PO Box: 14165, Tel: 016219566")</f>
        <v>Bansbari ,Kathmandu, PO Box: 14165, Tel: 016219566</v>
      </c>
      <c r="I1361" s="2" t="str">
        <f>IFERROR(__xludf.DUMMYFUNCTION("""COMPUTED_VALUE"""),"28o 15' 00""")</f>
        <v>28o 15' 00"</v>
      </c>
      <c r="J1361" s="2" t="str">
        <f>IFERROR(__xludf.DUMMYFUNCTION("""COMPUTED_VALUE"""),"28o 17' 14""")</f>
        <v>28o 17' 14"</v>
      </c>
      <c r="K1361" s="2" t="str">
        <f>IFERROR(__xludf.DUMMYFUNCTION("""COMPUTED_VALUE"""),"84o 50' 00""")</f>
        <v>84o 50' 00"</v>
      </c>
      <c r="L1361" s="2" t="str">
        <f>IFERROR(__xludf.DUMMYFUNCTION("""COMPUTED_VALUE"""),"84o 53' 00""")</f>
        <v>84o 53' 00"</v>
      </c>
      <c r="M1361" s="2" t="str">
        <f>IFERROR(__xludf.DUMMYFUNCTION("""COMPUTED_VALUE"""),"Uiya (Gorkha)")</f>
        <v>Uiya (Gorkha)</v>
      </c>
    </row>
    <row r="1362">
      <c r="A1362" s="2">
        <f>IFERROR(__xludf.DUMMYFUNCTION("""COMPUTED_VALUE"""),1361.0)</f>
        <v>1361</v>
      </c>
      <c r="B1362" s="2" t="str">
        <f>IFERROR(__xludf.DUMMYFUNCTION("""COMPUTED_VALUE"""),"Tadi Khola HPP")</f>
        <v>Tadi Khola HPP</v>
      </c>
      <c r="C1362" s="2">
        <f>IFERROR(__xludf.DUMMYFUNCTION("""COMPUTED_VALUE"""),5.0)</f>
        <v>5</v>
      </c>
      <c r="D1362" s="2" t="str">
        <f>IFERROR(__xludf.DUMMYFUNCTION("""COMPUTED_VALUE"""),"Tadi Khola")</f>
        <v>Tadi Khola</v>
      </c>
      <c r="E1362" s="2">
        <f>IFERROR(__xludf.DUMMYFUNCTION("""COMPUTED_VALUE"""),4088.0)</f>
        <v>4088</v>
      </c>
      <c r="F1362" s="3">
        <f>IFERROR(__xludf.DUMMYFUNCTION("""COMPUTED_VALUE"""),60873.0)</f>
        <v>60873</v>
      </c>
      <c r="G1362" s="2" t="str">
        <f>IFERROR(__xludf.DUMMYFUNCTION("""COMPUTED_VALUE"""),"Binita Subedi, Prem Kumar malla, Durga Shrestha, Rajaram Shah")</f>
        <v>Binita Subedi, Prem Kumar malla, Durga Shrestha, Rajaram Shah</v>
      </c>
      <c r="H1362" s="2" t="str">
        <f>IFERROR(__xludf.DUMMYFUNCTION("""COMPUTED_VALUE"""),"Kathmandu, Tel: 9851035730")</f>
        <v>Kathmandu, Tel: 9851035730</v>
      </c>
      <c r="I1362" s="2" t="str">
        <f>IFERROR(__xludf.DUMMYFUNCTION("""COMPUTED_VALUE"""),"27o 54' 30""")</f>
        <v>27o 54' 30"</v>
      </c>
      <c r="J1362" s="2" t="str">
        <f>IFERROR(__xludf.DUMMYFUNCTION("""COMPUTED_VALUE"""),"27o 55' 24""")</f>
        <v>27o 55' 24"</v>
      </c>
      <c r="K1362" s="2" t="str">
        <f>IFERROR(__xludf.DUMMYFUNCTION("""COMPUTED_VALUE"""),"85o 16' 43""")</f>
        <v>85o 16' 43"</v>
      </c>
      <c r="L1362" s="2" t="str">
        <f>IFERROR(__xludf.DUMMYFUNCTION("""COMPUTED_VALUE"""),"85o 19' 10""")</f>
        <v>85o 19' 10"</v>
      </c>
      <c r="M1362" s="2" t="str">
        <f>IFERROR(__xludf.DUMMYFUNCTION("""COMPUTED_VALUE"""),"Chaughada,Kharanitar,Panchkanya,Narjamandap (Nuwakot)")</f>
        <v>Chaughada,Kharanitar,Panchkanya,Narjamandap (Nuwakot)</v>
      </c>
    </row>
    <row r="1363">
      <c r="A1363" s="2">
        <f>IFERROR(__xludf.DUMMYFUNCTION("""COMPUTED_VALUE"""),1362.0)</f>
        <v>1362</v>
      </c>
      <c r="B1363" s="2" t="str">
        <f>IFERROR(__xludf.DUMMYFUNCTION("""COMPUTED_VALUE"""),"Ghunsa Khola HPP")</f>
        <v>Ghunsa Khola HPP</v>
      </c>
      <c r="C1363" s="2">
        <f>IFERROR(__xludf.DUMMYFUNCTION("""COMPUTED_VALUE"""),32.0)</f>
        <v>32</v>
      </c>
      <c r="D1363" s="2" t="str">
        <f>IFERROR(__xludf.DUMMYFUNCTION("""COMPUTED_VALUE"""),"Ghunsa Khola")</f>
        <v>Ghunsa Khola</v>
      </c>
      <c r="E1363" s="2">
        <f>IFERROR(__xludf.DUMMYFUNCTION("""COMPUTED_VALUE"""),5002.0)</f>
        <v>5002</v>
      </c>
      <c r="F1363" s="3">
        <f>IFERROR(__xludf.DUMMYFUNCTION("""COMPUTED_VALUE"""),60874.0)</f>
        <v>60874</v>
      </c>
      <c r="G1363" s="2" t="str">
        <f>IFERROR(__xludf.DUMMYFUNCTION("""COMPUTED_VALUE"""),"H.B. Limbu, M.D.Limbu,H.K. 
Tamang,S.D.Limbu,A.k.Meyangbo,S.K.Ghising,K.Sherpa,T.B.Thebe,B.Bokhim")</f>
        <v>H.B. Limbu, M.D.Limbu,H.K. 
Tamang,S.D.Limbu,A.k.Meyangbo,S.K.Ghising,K.Sherpa,T.B.Thebe,B.Bokhim</v>
      </c>
      <c r="H1363" s="2" t="str">
        <f>IFERROR(__xludf.DUMMYFUNCTION("""COMPUTED_VALUE"""),"Simle-6, Terhathum")</f>
        <v>Simle-6, Terhathum</v>
      </c>
      <c r="I1363" s="2" t="str">
        <f>IFERROR(__xludf.DUMMYFUNCTION("""COMPUTED_VALUE"""),"27o 31' 53""")</f>
        <v>27o 31' 53"</v>
      </c>
      <c r="J1363" s="2" t="str">
        <f>IFERROR(__xludf.DUMMYFUNCTION("""COMPUTED_VALUE"""),"27o 34' 29""")</f>
        <v>27o 34' 29"</v>
      </c>
      <c r="K1363" s="2" t="str">
        <f>IFERROR(__xludf.DUMMYFUNCTION("""COMPUTED_VALUE"""),"87o 48' 11""")</f>
        <v>87o 48' 11"</v>
      </c>
      <c r="L1363" s="2" t="str">
        <f>IFERROR(__xludf.DUMMYFUNCTION("""COMPUTED_VALUE"""),"87o 52' 51""")</f>
        <v>87o 52' 51"</v>
      </c>
      <c r="M1363" s="2" t="str">
        <f>IFERROR(__xludf.DUMMYFUNCTION("""COMPUTED_VALUE"""),"Lelep,Tapethok (Taplejung)")</f>
        <v>Lelep,Tapethok (Taplejung)</v>
      </c>
    </row>
    <row r="1364">
      <c r="A1364" s="2">
        <f>IFERROR(__xludf.DUMMYFUNCTION("""COMPUTED_VALUE"""),1363.0)</f>
        <v>1363</v>
      </c>
      <c r="B1364" s="2" t="str">
        <f>IFERROR(__xludf.DUMMYFUNCTION("""COMPUTED_VALUE"""),"Humla Karnali-A HPP")</f>
        <v>Humla Karnali-A HPP</v>
      </c>
      <c r="C1364" s="2">
        <f>IFERROR(__xludf.DUMMYFUNCTION("""COMPUTED_VALUE"""),25.0)</f>
        <v>25</v>
      </c>
      <c r="D1364" s="2" t="str">
        <f>IFERROR(__xludf.DUMMYFUNCTION("""COMPUTED_VALUE"""),"Humla Karnali")</f>
        <v>Humla Karnali</v>
      </c>
      <c r="E1364" s="2">
        <f>IFERROR(__xludf.DUMMYFUNCTION("""COMPUTED_VALUE"""),5008.0)</f>
        <v>5008</v>
      </c>
      <c r="F1364" s="3">
        <f>IFERROR(__xludf.DUMMYFUNCTION("""COMPUTED_VALUE"""),60876.0)</f>
        <v>60876</v>
      </c>
      <c r="G1364" s="2" t="str">
        <f>IFERROR(__xludf.DUMMYFUNCTION("""COMPUTED_VALUE"""),"Kanchan Acharya, Amrita Ghimire")</f>
        <v>Kanchan Acharya, Amrita Ghimire</v>
      </c>
      <c r="H1364" s="2" t="str">
        <f>IFERROR(__xludf.DUMMYFUNCTION("""COMPUTED_VALUE"""),"Madhyapur Thimi-16, Bhaktapur, Tel: 9841837311")</f>
        <v>Madhyapur Thimi-16, Bhaktapur, Tel: 9841837311</v>
      </c>
      <c r="I1364" s="2" t="str">
        <f>IFERROR(__xludf.DUMMYFUNCTION("""COMPUTED_VALUE"""),"81o 55' 00""")</f>
        <v>81o 55' 00"</v>
      </c>
      <c r="J1364" s="2" t="str">
        <f>IFERROR(__xludf.DUMMYFUNCTION("""COMPUTED_VALUE"""),"82o 00' 00""")</f>
        <v>82o 00' 00"</v>
      </c>
      <c r="K1364" s="2" t="str">
        <f>IFERROR(__xludf.DUMMYFUNCTION("""COMPUTED_VALUE"""),"29o 39' 00""")</f>
        <v>29o 39' 00"</v>
      </c>
      <c r="L1364" s="2" t="str">
        <f>IFERROR(__xludf.DUMMYFUNCTION("""COMPUTED_VALUE"""),"29o 41' 30""")</f>
        <v>29o 41' 30"</v>
      </c>
      <c r="M1364" s="2" t="str">
        <f>IFERROR(__xludf.DUMMYFUNCTION("""COMPUTED_VALUE"""),"Photu,Natharpu,Shree Nagar (Mugu)")</f>
        <v>Photu,Natharpu,Shree Nagar (Mugu)</v>
      </c>
    </row>
    <row r="1365">
      <c r="A1365" s="2">
        <f>IFERROR(__xludf.DUMMYFUNCTION("""COMPUTED_VALUE"""),1364.0)</f>
        <v>1364</v>
      </c>
      <c r="B1365" s="2" t="str">
        <f>IFERROR(__xludf.DUMMYFUNCTION("""COMPUTED_VALUE"""),"Juwa Khola SHP")</f>
        <v>Juwa Khola SHP</v>
      </c>
      <c r="C1365" s="2">
        <f>IFERROR(__xludf.DUMMYFUNCTION("""COMPUTED_VALUE"""),0.99)</f>
        <v>0.99</v>
      </c>
      <c r="D1365" s="2" t="str">
        <f>IFERROR(__xludf.DUMMYFUNCTION("""COMPUTED_VALUE"""),"Juwa")</f>
        <v>Juwa</v>
      </c>
      <c r="E1365" s="2">
        <f>IFERROR(__xludf.DUMMYFUNCTION("""COMPUTED_VALUE"""),5011.0)</f>
        <v>5011</v>
      </c>
      <c r="F1365" s="3">
        <f>IFERROR(__xludf.DUMMYFUNCTION("""COMPUTED_VALUE"""),60876.0)</f>
        <v>60876</v>
      </c>
      <c r="G1365" s="2" t="str">
        <f>IFERROR(__xludf.DUMMYFUNCTION("""COMPUTED_VALUE"""),"Naumudhe Hydropower Pvt Ltd")</f>
        <v>Naumudhe Hydropower Pvt Ltd</v>
      </c>
      <c r="H1365" s="2" t="str">
        <f>IFERROR(__xludf.DUMMYFUNCTION("""COMPUTED_VALUE"""),"Koteswar, Kathmandu Tel: 4462279")</f>
        <v>Koteswar, Kathmandu Tel: 4462279</v>
      </c>
      <c r="I1365" s="2" t="str">
        <f>IFERROR(__xludf.DUMMYFUNCTION("""COMPUTED_VALUE"""),"29o 16' 05""")</f>
        <v>29o 16' 05"</v>
      </c>
      <c r="J1365" s="2" t="str">
        <f>IFERROR(__xludf.DUMMYFUNCTION("""COMPUTED_VALUE"""),"29o 18' 15""")</f>
        <v>29o 18' 15"</v>
      </c>
      <c r="K1365" s="2" t="str">
        <f>IFERROR(__xludf.DUMMYFUNCTION("""COMPUTED_VALUE"""),"82o 11' 40""")</f>
        <v>82o 11' 40"</v>
      </c>
      <c r="L1365" s="2" t="str">
        <f>IFERROR(__xludf.DUMMYFUNCTION("""COMPUTED_VALUE"""),"82o 14' 00""")</f>
        <v>82o 14' 00"</v>
      </c>
      <c r="M1365" s="2" t="str">
        <f>IFERROR(__xludf.DUMMYFUNCTION("""COMPUTED_VALUE"""),"Chandan Nath (Jumla)")</f>
        <v>Chandan Nath (Jumla)</v>
      </c>
    </row>
    <row r="1366">
      <c r="A1366" s="2">
        <f>IFERROR(__xludf.DUMMYFUNCTION("""COMPUTED_VALUE"""),1365.0)</f>
        <v>1365</v>
      </c>
      <c r="B1366" s="2" t="str">
        <f>IFERROR(__xludf.DUMMYFUNCTION("""COMPUTED_VALUE"""),"SR-3 Hydropower Project")</f>
        <v>SR-3 Hydropower Project</v>
      </c>
      <c r="C1366" s="2">
        <f>IFERROR(__xludf.DUMMYFUNCTION("""COMPUTED_VALUE"""),130.0)</f>
        <v>130</v>
      </c>
      <c r="D1366" s="2" t="str">
        <f>IFERROR(__xludf.DUMMYFUNCTION("""COMPUTED_VALUE"""),"Seti Khola")</f>
        <v>Seti Khola</v>
      </c>
      <c r="E1366" s="2">
        <f>IFERROR(__xludf.DUMMYFUNCTION("""COMPUTED_VALUE"""),5039.0)</f>
        <v>5039</v>
      </c>
      <c r="F1366" s="3">
        <f>IFERROR(__xludf.DUMMYFUNCTION("""COMPUTED_VALUE"""),60877.0)</f>
        <v>60877</v>
      </c>
      <c r="G1366" s="2" t="str">
        <f>IFERROR(__xludf.DUMMYFUNCTION("""COMPUTED_VALUE"""),"Jindal Power Limited")</f>
        <v>Jindal Power Limited</v>
      </c>
      <c r="H1366" s="2" t="str">
        <f>IFERROR(__xludf.DUMMYFUNCTION("""COMPUTED_VALUE"""),"Jindal Center,12, Bhikaji Cama Place, New Delhi-110066, India")</f>
        <v>Jindal Center,12, Bhikaji Cama Place, New Delhi-110066, India</v>
      </c>
      <c r="I1366" s="2" t="str">
        <f>IFERROR(__xludf.DUMMYFUNCTION("""COMPUTED_VALUE"""),"29o 29' 45""")</f>
        <v>29o 29' 45"</v>
      </c>
      <c r="J1366" s="2" t="str">
        <f>IFERROR(__xludf.DUMMYFUNCTION("""COMPUTED_VALUE"""),"29o 33' 11""")</f>
        <v>29o 33' 11"</v>
      </c>
      <c r="K1366" s="2" t="str">
        <f>IFERROR(__xludf.DUMMYFUNCTION("""COMPUTED_VALUE"""),"81o 06' 14""")</f>
        <v>81o 06' 14"</v>
      </c>
      <c r="L1366" s="2" t="str">
        <f>IFERROR(__xludf.DUMMYFUNCTION("""COMPUTED_VALUE"""),"81o 12' 46""")</f>
        <v>81o 12' 46"</v>
      </c>
      <c r="M1366" s="2" t="str">
        <f>IFERROR(__xludf.DUMMYFUNCTION("""COMPUTED_VALUE"""),"Hemantabada (Bajhang)")</f>
        <v>Hemantabada (Bajhang)</v>
      </c>
    </row>
    <row r="1367">
      <c r="A1367" s="2">
        <f>IFERROR(__xludf.DUMMYFUNCTION("""COMPUTED_VALUE"""),1366.0)</f>
        <v>1366</v>
      </c>
      <c r="B1367" s="2" t="str">
        <f>IFERROR(__xludf.DUMMYFUNCTION("""COMPUTED_VALUE"""),"Lapse Khola HPP")</f>
        <v>Lapse Khola HPP</v>
      </c>
      <c r="C1367" s="2">
        <f>IFERROR(__xludf.DUMMYFUNCTION("""COMPUTED_VALUE"""),1.7)</f>
        <v>1.7</v>
      </c>
      <c r="D1367" s="2" t="str">
        <f>IFERROR(__xludf.DUMMYFUNCTION("""COMPUTED_VALUE"""),"Lapse")</f>
        <v>Lapse</v>
      </c>
      <c r="E1367" s="2">
        <f>IFERROR(__xludf.DUMMYFUNCTION("""COMPUTED_VALUE"""),5052.0)</f>
        <v>5052</v>
      </c>
      <c r="F1367" s="3">
        <f>IFERROR(__xludf.DUMMYFUNCTION("""COMPUTED_VALUE"""),60878.0)</f>
        <v>60878</v>
      </c>
      <c r="G1367" s="2" t="str">
        <f>IFERROR(__xludf.DUMMYFUNCTION("""COMPUTED_VALUE"""),"Indrawati Hydropower Pvt Ltd")</f>
        <v>Indrawati Hydropower Pvt Ltd</v>
      </c>
      <c r="H1367" s="2" t="str">
        <f>IFERROR(__xludf.DUMMYFUNCTION("""COMPUTED_VALUE"""),"Naya Baneswar, Kathmandu, Tel: 4466899")</f>
        <v>Naya Baneswar, Kathmandu, Tel: 4466899</v>
      </c>
      <c r="I1367" s="2" t="str">
        <f>IFERROR(__xludf.DUMMYFUNCTION("""COMPUTED_VALUE"""),"27o 52' 30""")</f>
        <v>27o 52' 30"</v>
      </c>
      <c r="J1367" s="2" t="str">
        <f>IFERROR(__xludf.DUMMYFUNCTION("""COMPUTED_VALUE"""),"27o 53' 16""")</f>
        <v>27o 53' 16"</v>
      </c>
      <c r="K1367" s="2" t="str">
        <f>IFERROR(__xludf.DUMMYFUNCTION("""COMPUTED_VALUE"""),"85o 37' 03""")</f>
        <v>85o 37' 03"</v>
      </c>
      <c r="L1367" s="2" t="str">
        <f>IFERROR(__xludf.DUMMYFUNCTION("""COMPUTED_VALUE"""),"85o 38' 57""")</f>
        <v>85o 38' 57"</v>
      </c>
      <c r="M1367" s="2" t="str">
        <f>IFERROR(__xludf.DUMMYFUNCTION("""COMPUTED_VALUE"""),"Bhote Namlang,Langarche (Sindhupalchok)")</f>
        <v>Bhote Namlang,Langarche (Sindhupalchok)</v>
      </c>
    </row>
    <row r="1368">
      <c r="A1368" s="2">
        <f>IFERROR(__xludf.DUMMYFUNCTION("""COMPUTED_VALUE"""),1367.0)</f>
        <v>1367</v>
      </c>
      <c r="B1368" s="2" t="str">
        <f>IFERROR(__xludf.DUMMYFUNCTION("""COMPUTED_VALUE"""),"Rukum Gad SHP")</f>
        <v>Rukum Gad SHP</v>
      </c>
      <c r="C1368" s="2">
        <f>IFERROR(__xludf.DUMMYFUNCTION("""COMPUTED_VALUE"""),0.99)</f>
        <v>0.99</v>
      </c>
      <c r="D1368" s="2" t="str">
        <f>IFERROR(__xludf.DUMMYFUNCTION("""COMPUTED_VALUE"""),"Rukum Gad")</f>
        <v>Rukum Gad</v>
      </c>
      <c r="E1368" s="2">
        <f>IFERROR(__xludf.DUMMYFUNCTION("""COMPUTED_VALUE"""),5073.0)</f>
        <v>5073</v>
      </c>
      <c r="F1368" s="3">
        <f>IFERROR(__xludf.DUMMYFUNCTION("""COMPUTED_VALUE"""),60883.0)</f>
        <v>60883</v>
      </c>
      <c r="G1368" s="2" t="str">
        <f>IFERROR(__xludf.DUMMYFUNCTION("""COMPUTED_VALUE"""),"Sumitra Soti")</f>
        <v>Sumitra Soti</v>
      </c>
      <c r="H1368" s="2" t="str">
        <f>IFERROR(__xludf.DUMMYFUNCTION("""COMPUTED_VALUE"""),"Shivnagar VDC, Chitwan")</f>
        <v>Shivnagar VDC, Chitwan</v>
      </c>
      <c r="I1368" s="2" t="str">
        <f>IFERROR(__xludf.DUMMYFUNCTION("""COMPUTED_VALUE"""),"00o 00' 00""")</f>
        <v>00o 00' 00"</v>
      </c>
      <c r="J1368" s="2" t="str">
        <f>IFERROR(__xludf.DUMMYFUNCTION("""COMPUTED_VALUE"""),"00o 00' 00""")</f>
        <v>00o 00' 00"</v>
      </c>
      <c r="K1368" s="2" t="str">
        <f>IFERROR(__xludf.DUMMYFUNCTION("""COMPUTED_VALUE"""),"00o 00' 00""")</f>
        <v>00o 00' 00"</v>
      </c>
      <c r="L1368" s="2" t="str">
        <f>IFERROR(__xludf.DUMMYFUNCTION("""COMPUTED_VALUE"""),"00o 00' 00""")</f>
        <v>00o 00' 00"</v>
      </c>
      <c r="M1368" s="2" t="str">
        <f>IFERROR(__xludf.DUMMYFUNCTION("""COMPUTED_VALUE"""),"Sobha (Rukum)")</f>
        <v>Sobha (Rukum)</v>
      </c>
    </row>
    <row r="1369">
      <c r="A1369" s="2">
        <f>IFERROR(__xludf.DUMMYFUNCTION("""COMPUTED_VALUE"""),1368.0)</f>
        <v>1368</v>
      </c>
      <c r="B1369" s="2" t="str">
        <f>IFERROR(__xludf.DUMMYFUNCTION("""COMPUTED_VALUE"""),"Lower Daraundi SHP")</f>
        <v>Lower Daraundi SHP</v>
      </c>
      <c r="C1369" s="2">
        <f>IFERROR(__xludf.DUMMYFUNCTION("""COMPUTED_VALUE"""),0.998)</f>
        <v>0.998</v>
      </c>
      <c r="D1369" s="2" t="str">
        <f>IFERROR(__xludf.DUMMYFUNCTION("""COMPUTED_VALUE"""),"Daraundi")</f>
        <v>Daraundi</v>
      </c>
      <c r="E1369" s="2">
        <f>IFERROR(__xludf.DUMMYFUNCTION("""COMPUTED_VALUE"""),5074.0)</f>
        <v>5074</v>
      </c>
      <c r="F1369" s="3">
        <f>IFERROR(__xludf.DUMMYFUNCTION("""COMPUTED_VALUE"""),60883.0)</f>
        <v>60883</v>
      </c>
      <c r="G1369" s="2" t="str">
        <f>IFERROR(__xludf.DUMMYFUNCTION("""COMPUTED_VALUE"""),"Om Prasad Bhattarai")</f>
        <v>Om Prasad Bhattarai</v>
      </c>
      <c r="H1369" s="2" t="str">
        <f>IFERROR(__xludf.DUMMYFUNCTION("""COMPUTED_VALUE"""),"Mahepi-16, Kathmandu, Nepal Tel: 9851057424")</f>
        <v>Mahepi-16, Kathmandu, Nepal Tel: 9851057424</v>
      </c>
      <c r="I1369" s="2" t="str">
        <f>IFERROR(__xludf.DUMMYFUNCTION("""COMPUTED_VALUE"""),"27o 55' 00""")</f>
        <v>27o 55' 00"</v>
      </c>
      <c r="J1369" s="2" t="str">
        <f>IFERROR(__xludf.DUMMYFUNCTION("""COMPUTED_VALUE"""),"27o 57' 30""")</f>
        <v>27o 57' 30"</v>
      </c>
      <c r="K1369" s="2" t="str">
        <f>IFERROR(__xludf.DUMMYFUNCTION("""COMPUTED_VALUE"""),"84o 32' 30""")</f>
        <v>84o 32' 30"</v>
      </c>
      <c r="L1369" s="2" t="str">
        <f>IFERROR(__xludf.DUMMYFUNCTION("""COMPUTED_VALUE"""),"84o 34' 00""")</f>
        <v>84o 34' 00"</v>
      </c>
      <c r="M1369" s="2" t="str">
        <f>IFERROR(__xludf.DUMMYFUNCTION("""COMPUTED_VALUE"""),"Bakrang,Deurali (Gorkha)")</f>
        <v>Bakrang,Deurali (Gorkha)</v>
      </c>
    </row>
    <row r="1370">
      <c r="A1370" s="2">
        <f>IFERROR(__xludf.DUMMYFUNCTION("""COMPUTED_VALUE"""),1369.0)</f>
        <v>1369</v>
      </c>
      <c r="B1370" s="2" t="str">
        <f>IFERROR(__xludf.DUMMYFUNCTION("""COMPUTED_VALUE"""),"Neware Khola SHP")</f>
        <v>Neware Khola SHP</v>
      </c>
      <c r="C1370" s="2">
        <f>IFERROR(__xludf.DUMMYFUNCTION("""COMPUTED_VALUE"""),0.8)</f>
        <v>0.8</v>
      </c>
      <c r="D1370" s="2" t="str">
        <f>IFERROR(__xludf.DUMMYFUNCTION("""COMPUTED_VALUE"""),"Neware")</f>
        <v>Neware</v>
      </c>
      <c r="E1370" s="2">
        <f>IFERROR(__xludf.DUMMYFUNCTION("""COMPUTED_VALUE"""),5094.0)</f>
        <v>5094</v>
      </c>
      <c r="F1370" s="3">
        <f>IFERROR(__xludf.DUMMYFUNCTION("""COMPUTED_VALUE"""),60883.0)</f>
        <v>60883</v>
      </c>
      <c r="G1370" s="2" t="str">
        <f>IFERROR(__xludf.DUMMYFUNCTION("""COMPUTED_VALUE"""),"Tara B. Basyal, C.K. Acharya")</f>
        <v>Tara B. Basyal, C.K. Acharya</v>
      </c>
      <c r="H1370" s="2" t="str">
        <f>IFERROR(__xludf.DUMMYFUNCTION("""COMPUTED_VALUE"""),"Dibarna-5, Arghakhachi, Tel: 4473896")</f>
        <v>Dibarna-5, Arghakhachi, Tel: 4473896</v>
      </c>
      <c r="I1370" s="2" t="str">
        <f>IFERROR(__xludf.DUMMYFUNCTION("""COMPUTED_VALUE"""),"28o 01' 00""")</f>
        <v>28o 01' 00"</v>
      </c>
      <c r="J1370" s="2" t="str">
        <f>IFERROR(__xludf.DUMMYFUNCTION("""COMPUTED_VALUE"""),"28o 02' 00""")</f>
        <v>28o 02' 00"</v>
      </c>
      <c r="K1370" s="2" t="str">
        <f>IFERROR(__xludf.DUMMYFUNCTION("""COMPUTED_VALUE"""),"80o 10' 15""")</f>
        <v>80o 10' 15"</v>
      </c>
      <c r="L1370" s="2" t="str">
        <f>IFERROR(__xludf.DUMMYFUNCTION("""COMPUTED_VALUE"""),"80o 10' 45""")</f>
        <v>80o 10' 45"</v>
      </c>
      <c r="M1370" s="2" t="str">
        <f>IFERROR(__xludf.DUMMYFUNCTION("""COMPUTED_VALUE"""),"Dibharna (Arghakhanchi)")</f>
        <v>Dibharna (Arghakhanchi)</v>
      </c>
    </row>
    <row r="1371">
      <c r="A1371" s="2">
        <f>IFERROR(__xludf.DUMMYFUNCTION("""COMPUTED_VALUE"""),1370.0)</f>
        <v>1370</v>
      </c>
      <c r="B1371" s="2" t="str">
        <f>IFERROR(__xludf.DUMMYFUNCTION("""COMPUTED_VALUE"""),"Higher Modi HPP")</f>
        <v>Higher Modi HPP</v>
      </c>
      <c r="C1371" s="2">
        <f>IFERROR(__xludf.DUMMYFUNCTION("""COMPUTED_VALUE"""),90.0)</f>
        <v>90</v>
      </c>
      <c r="D1371" s="2" t="str">
        <f>IFERROR(__xludf.DUMMYFUNCTION("""COMPUTED_VALUE"""),"Modi Khola")</f>
        <v>Modi Khola</v>
      </c>
      <c r="E1371" s="2">
        <f>IFERROR(__xludf.DUMMYFUNCTION("""COMPUTED_VALUE"""),5097.0)</f>
        <v>5097</v>
      </c>
      <c r="F1371" s="3">
        <f>IFERROR(__xludf.DUMMYFUNCTION("""COMPUTED_VALUE"""),60884.0)</f>
        <v>60884</v>
      </c>
      <c r="G1371" s="2" t="str">
        <f>IFERROR(__xludf.DUMMYFUNCTION("""COMPUTED_VALUE"""),"Raksha Energy Pvt Ltd")</f>
        <v>Raksha Energy Pvt Ltd</v>
      </c>
      <c r="H1371" s="2" t="str">
        <f>IFERROR(__xludf.DUMMYFUNCTION("""COMPUTED_VALUE"""),"Kathmandu, Tel: 4782273")</f>
        <v>Kathmandu, Tel: 4782273</v>
      </c>
      <c r="I1371" s="2" t="str">
        <f>IFERROR(__xludf.DUMMYFUNCTION("""COMPUTED_VALUE"""),"28o 24' 25""")</f>
        <v>28o 24' 25"</v>
      </c>
      <c r="J1371" s="2" t="str">
        <f>IFERROR(__xludf.DUMMYFUNCTION("""COMPUTED_VALUE"""),"28o 30' 30""")</f>
        <v>28o 30' 30"</v>
      </c>
      <c r="K1371" s="2" t="str">
        <f>IFERROR(__xludf.DUMMYFUNCTION("""COMPUTED_VALUE"""),"83o 46' 00""")</f>
        <v>83o 46' 00"</v>
      </c>
      <c r="L1371" s="2" t="str">
        <f>IFERROR(__xludf.DUMMYFUNCTION("""COMPUTED_VALUE"""),"83o 53' 50""")</f>
        <v>83o 53' 50"</v>
      </c>
      <c r="M1371" s="2" t="str">
        <f>IFERROR(__xludf.DUMMYFUNCTION("""COMPUTED_VALUE"""),"Ghandruk,Lumle (Kaski)")</f>
        <v>Ghandruk,Lumle (Kaski)</v>
      </c>
    </row>
    <row r="1372">
      <c r="A1372" s="2">
        <f>IFERROR(__xludf.DUMMYFUNCTION("""COMPUTED_VALUE"""),1371.0)</f>
        <v>1371</v>
      </c>
      <c r="B1372" s="2" t="str">
        <f>IFERROR(__xludf.DUMMYFUNCTION("""COMPUTED_VALUE"""),"Dudhkosi -5 Hydropower Project")</f>
        <v>Dudhkosi -5 Hydropower Project</v>
      </c>
      <c r="C1372" s="2">
        <f>IFERROR(__xludf.DUMMYFUNCTION("""COMPUTED_VALUE"""),99.0)</f>
        <v>99</v>
      </c>
      <c r="D1372" s="2" t="str">
        <f>IFERROR(__xludf.DUMMYFUNCTION("""COMPUTED_VALUE"""),"Dudh Koshi")</f>
        <v>Dudh Koshi</v>
      </c>
      <c r="E1372" s="2">
        <f>IFERROR(__xludf.DUMMYFUNCTION("""COMPUTED_VALUE"""),5115.0)</f>
        <v>5115</v>
      </c>
      <c r="F1372" s="3">
        <f>IFERROR(__xludf.DUMMYFUNCTION("""COMPUTED_VALUE"""),60884.0)</f>
        <v>60884</v>
      </c>
      <c r="G1372" s="2" t="str">
        <f>IFERROR(__xludf.DUMMYFUNCTION("""COMPUTED_VALUE"""),"V.C.Hydropower Company Pvt Ltd")</f>
        <v>V.C.Hydropower Company Pvt Ltd</v>
      </c>
      <c r="H1372" s="2" t="str">
        <f>IFERROR(__xludf.DUMMYFUNCTION("""COMPUTED_VALUE"""),"Koteswar, Kathmandu Tel: 016210434")</f>
        <v>Koteswar, Kathmandu Tel: 016210434</v>
      </c>
      <c r="I1372" s="2" t="str">
        <f>IFERROR(__xludf.DUMMYFUNCTION("""COMPUTED_VALUE"""),"27o 30' 20""")</f>
        <v>27o 30' 20"</v>
      </c>
      <c r="J1372" s="2" t="str">
        <f>IFERROR(__xludf.DUMMYFUNCTION("""COMPUTED_VALUE"""),"27o 34' 35""")</f>
        <v>27o 34' 35"</v>
      </c>
      <c r="K1372" s="2" t="str">
        <f>IFERROR(__xludf.DUMMYFUNCTION("""COMPUTED_VALUE"""),"86o 40' 00""")</f>
        <v>86o 40' 00"</v>
      </c>
      <c r="L1372" s="2" t="str">
        <f>IFERROR(__xludf.DUMMYFUNCTION("""COMPUTED_VALUE"""),"86o 43' 37""")</f>
        <v>86o 43' 37"</v>
      </c>
      <c r="M1372" s="2" t="str">
        <f>IFERROR(__xludf.DUMMYFUNCTION("""COMPUTED_VALUE"""),"Jubing,Takasindu,Basa (Solukhumbu)")</f>
        <v>Jubing,Takasindu,Basa (Solukhumbu)</v>
      </c>
    </row>
    <row r="1373">
      <c r="A1373" s="2">
        <f>IFERROR(__xludf.DUMMYFUNCTION("""COMPUTED_VALUE"""),1372.0)</f>
        <v>1372</v>
      </c>
      <c r="B1373" s="2" t="str">
        <f>IFERROR(__xludf.DUMMYFUNCTION("""COMPUTED_VALUE"""),"Purba Khola SHP")</f>
        <v>Purba Khola SHP</v>
      </c>
      <c r="C1373" s="2">
        <f>IFERROR(__xludf.DUMMYFUNCTION("""COMPUTED_VALUE"""),0.888)</f>
        <v>0.888</v>
      </c>
      <c r="D1373" s="2" t="str">
        <f>IFERROR(__xludf.DUMMYFUNCTION("""COMPUTED_VALUE"""),"Purba")</f>
        <v>Purba</v>
      </c>
      <c r="E1373" s="2">
        <f>IFERROR(__xludf.DUMMYFUNCTION("""COMPUTED_VALUE"""),5135.0)</f>
        <v>5135</v>
      </c>
      <c r="F1373" s="3">
        <f>IFERROR(__xludf.DUMMYFUNCTION("""COMPUTED_VALUE"""),60887.0)</f>
        <v>60887</v>
      </c>
      <c r="G1373" s="2" t="str">
        <f>IFERROR(__xludf.DUMMYFUNCTION("""COMPUTED_VALUE"""),"Binod Bhusal, Gopal Ghimir")</f>
        <v>Binod Bhusal, Gopal Ghimir</v>
      </c>
      <c r="H1373" s="2" t="str">
        <f>IFERROR(__xludf.DUMMYFUNCTION("""COMPUTED_VALUE"""),"GPO Box: 7806, Kathmandu Tel; 9851083176")</f>
        <v>GPO Box: 7806, Kathmandu Tel; 9851083176</v>
      </c>
      <c r="I1373" s="2" t="str">
        <f>IFERROR(__xludf.DUMMYFUNCTION("""COMPUTED_VALUE"""),"27o 24' 00""")</f>
        <v>27o 24' 00"</v>
      </c>
      <c r="J1373" s="2" t="str">
        <f>IFERROR(__xludf.DUMMYFUNCTION("""COMPUTED_VALUE"""),"27o 48' 30""")</f>
        <v>27o 48' 30"</v>
      </c>
      <c r="K1373" s="2" t="str">
        <f>IFERROR(__xludf.DUMMYFUNCTION("""COMPUTED_VALUE"""),"83o 47' 00""")</f>
        <v>83o 47' 00"</v>
      </c>
      <c r="L1373" s="2" t="str">
        <f>IFERROR(__xludf.DUMMYFUNCTION("""COMPUTED_VALUE"""),"83o 52' 30""")</f>
        <v>83o 52' 30"</v>
      </c>
      <c r="M1373" s="2" t="str">
        <f>IFERROR(__xludf.DUMMYFUNCTION("""COMPUTED_VALUE"""),"Archale,Ringneraha,Siluwa (Palpa)")</f>
        <v>Archale,Ringneraha,Siluwa (Palpa)</v>
      </c>
    </row>
    <row r="1374">
      <c r="A1374" s="2">
        <f>IFERROR(__xludf.DUMMYFUNCTION("""COMPUTED_VALUE"""),1373.0)</f>
        <v>1373</v>
      </c>
      <c r="B1374" s="2" t="str">
        <f>IFERROR(__xludf.DUMMYFUNCTION("""COMPUTED_VALUE"""),"Thotneri Khola SHP")</f>
        <v>Thotneri Khola SHP</v>
      </c>
      <c r="C1374" s="2">
        <f>IFERROR(__xludf.DUMMYFUNCTION("""COMPUTED_VALUE"""),0.878)</f>
        <v>0.878</v>
      </c>
      <c r="D1374" s="2" t="str">
        <f>IFERROR(__xludf.DUMMYFUNCTION("""COMPUTED_VALUE"""),"Thotneri")</f>
        <v>Thotneri</v>
      </c>
      <c r="E1374" s="2">
        <f>IFERROR(__xludf.DUMMYFUNCTION("""COMPUTED_VALUE"""),5136.0)</f>
        <v>5136</v>
      </c>
      <c r="F1374" s="3">
        <f>IFERROR(__xludf.DUMMYFUNCTION("""COMPUTED_VALUE"""),60887.0)</f>
        <v>60887</v>
      </c>
      <c r="G1374" s="2" t="str">
        <f>IFERROR(__xludf.DUMMYFUNCTION("""COMPUTED_VALUE"""),"Binod Bhusal, Gopal Ghimire, Sushil Poudel")</f>
        <v>Binod Bhusal, Gopal Ghimire, Sushil Poudel</v>
      </c>
      <c r="H1374" s="2" t="str">
        <f>IFERROR(__xludf.DUMMYFUNCTION("""COMPUTED_VALUE"""),"GPO Box: 7806, Kathmandu Tel; 9851083176")</f>
        <v>GPO Box: 7806, Kathmandu Tel; 9851083176</v>
      </c>
      <c r="I1374" s="2" t="str">
        <f>IFERROR(__xludf.DUMMYFUNCTION("""COMPUTED_VALUE"""),"28o 19' 48""")</f>
        <v>28o 19' 48"</v>
      </c>
      <c r="J1374" s="2" t="str">
        <f>IFERROR(__xludf.DUMMYFUNCTION("""COMPUTED_VALUE"""),"28o 20' 00""")</f>
        <v>28o 20' 00"</v>
      </c>
      <c r="K1374" s="2" t="str">
        <f>IFERROR(__xludf.DUMMYFUNCTION("""COMPUTED_VALUE"""),"83o 35' 25""")</f>
        <v>83o 35' 25"</v>
      </c>
      <c r="L1374" s="2" t="str">
        <f>IFERROR(__xludf.DUMMYFUNCTION("""COMPUTED_VALUE"""),"83o 37' 30""")</f>
        <v>83o 37' 30"</v>
      </c>
      <c r="M1374" s="2" t="str">
        <f>IFERROR(__xludf.DUMMYFUNCTION("""COMPUTED_VALUE"""),"Dhairing,Salija (Parbat)")</f>
        <v>Dhairing,Salija (Parbat)</v>
      </c>
    </row>
    <row r="1375">
      <c r="A1375" s="2">
        <f>IFERROR(__xludf.DUMMYFUNCTION("""COMPUTED_VALUE"""),1374.0)</f>
        <v>1374</v>
      </c>
      <c r="B1375" s="2" t="str">
        <f>IFERROR(__xludf.DUMMYFUNCTION("""COMPUTED_VALUE"""),"Upper Yangri Khola HPP")</f>
        <v>Upper Yangri Khola HPP</v>
      </c>
      <c r="C1375" s="2">
        <f>IFERROR(__xludf.DUMMYFUNCTION("""COMPUTED_VALUE"""),0.98)</f>
        <v>0.98</v>
      </c>
      <c r="D1375" s="2" t="str">
        <f>IFERROR(__xludf.DUMMYFUNCTION("""COMPUTED_VALUE"""),"Yangri Khola")</f>
        <v>Yangri Khola</v>
      </c>
      <c r="E1375" s="2">
        <f>IFERROR(__xludf.DUMMYFUNCTION("""COMPUTED_VALUE"""),5137.0)</f>
        <v>5137</v>
      </c>
      <c r="F1375" s="3">
        <f>IFERROR(__xludf.DUMMYFUNCTION("""COMPUTED_VALUE"""),60887.0)</f>
        <v>60887</v>
      </c>
      <c r="G1375" s="2" t="str">
        <f>IFERROR(__xludf.DUMMYFUNCTION("""COMPUTED_VALUE"""),"Dolma Sherpa")</f>
        <v>Dolma Sherpa</v>
      </c>
      <c r="H1375" s="2" t="str">
        <f>IFERROR(__xludf.DUMMYFUNCTION("""COMPUTED_VALUE"""),"Baruwa VDC-2, Sindhupalchowk Tel: 4410229")</f>
        <v>Baruwa VDC-2, Sindhupalchowk Tel: 4410229</v>
      </c>
      <c r="I1375" s="2" t="str">
        <f>IFERROR(__xludf.DUMMYFUNCTION("""COMPUTED_VALUE"""),"28o 01' 45""")</f>
        <v>28o 01' 45"</v>
      </c>
      <c r="J1375" s="2" t="str">
        <f>IFERROR(__xludf.DUMMYFUNCTION("""COMPUTED_VALUE"""),"28o 04' 28""")</f>
        <v>28o 04' 28"</v>
      </c>
      <c r="K1375" s="2" t="str">
        <f>IFERROR(__xludf.DUMMYFUNCTION("""COMPUTED_VALUE"""),"85o 35' 00""")</f>
        <v>85o 35' 00"</v>
      </c>
      <c r="L1375" s="2" t="str">
        <f>IFERROR(__xludf.DUMMYFUNCTION("""COMPUTED_VALUE"""),"85o 37' 38""")</f>
        <v>85o 37' 38"</v>
      </c>
      <c r="M1375" s="2" t="str">
        <f>IFERROR(__xludf.DUMMYFUNCTION("""COMPUTED_VALUE"""),"Baruwa (Sindhupalchok)")</f>
        <v>Baruwa (Sindhupalchok)</v>
      </c>
    </row>
    <row r="1376">
      <c r="A1376" s="2">
        <f>IFERROR(__xludf.DUMMYFUNCTION("""COMPUTED_VALUE"""),1375.0)</f>
        <v>1375</v>
      </c>
      <c r="B1376" s="2" t="str">
        <f>IFERROR(__xludf.DUMMYFUNCTION("""COMPUTED_VALUE"""),"Middle Yangri Khola SHP")</f>
        <v>Middle Yangri Khola SHP</v>
      </c>
      <c r="C1376" s="2">
        <f>IFERROR(__xludf.DUMMYFUNCTION("""COMPUTED_VALUE"""),0.945)</f>
        <v>0.945</v>
      </c>
      <c r="D1376" s="2" t="str">
        <f>IFERROR(__xludf.DUMMYFUNCTION("""COMPUTED_VALUE"""),"Yangri Khola")</f>
        <v>Yangri Khola</v>
      </c>
      <c r="E1376" s="2">
        <f>IFERROR(__xludf.DUMMYFUNCTION("""COMPUTED_VALUE"""),5138.0)</f>
        <v>5138</v>
      </c>
      <c r="F1376" s="3">
        <f>IFERROR(__xludf.DUMMYFUNCTION("""COMPUTED_VALUE"""),60887.0)</f>
        <v>60887</v>
      </c>
      <c r="G1376" s="2" t="str">
        <f>IFERROR(__xludf.DUMMYFUNCTION("""COMPUTED_VALUE"""),"Jamyang Sherpa")</f>
        <v>Jamyang Sherpa</v>
      </c>
      <c r="H1376" s="2" t="str">
        <f>IFERROR(__xludf.DUMMYFUNCTION("""COMPUTED_VALUE"""),"Baruwa VDC-2, Sindhupalchowk")</f>
        <v>Baruwa VDC-2, Sindhupalchowk</v>
      </c>
      <c r="I1376" s="2" t="str">
        <f>IFERROR(__xludf.DUMMYFUNCTION("""COMPUTED_VALUE"""),"28o 00' 00""")</f>
        <v>28o 00' 00"</v>
      </c>
      <c r="J1376" s="2" t="str">
        <f>IFERROR(__xludf.DUMMYFUNCTION("""COMPUTED_VALUE"""),"28o 01' 45""")</f>
        <v>28o 01' 45"</v>
      </c>
      <c r="K1376" s="2" t="str">
        <f>IFERROR(__xludf.DUMMYFUNCTION("""COMPUTED_VALUE"""),"85o 35' 00""")</f>
        <v>85o 35' 00"</v>
      </c>
      <c r="L1376" s="2" t="str">
        <f>IFERROR(__xludf.DUMMYFUNCTION("""COMPUTED_VALUE"""),"85o 37' 38""")</f>
        <v>85o 37' 38"</v>
      </c>
      <c r="M1376" s="2" t="str">
        <f>IFERROR(__xludf.DUMMYFUNCTION("""COMPUTED_VALUE"""),"Baruwa (Sindhupalchok)")</f>
        <v>Baruwa (Sindhupalchok)</v>
      </c>
    </row>
    <row r="1377">
      <c r="A1377" s="2">
        <f>IFERROR(__xludf.DUMMYFUNCTION("""COMPUTED_VALUE"""),1376.0)</f>
        <v>1376</v>
      </c>
      <c r="B1377" s="2" t="str">
        <f>IFERROR(__xludf.DUMMYFUNCTION("""COMPUTED_VALUE"""),"Sikhuwa Khola SHP")</f>
        <v>Sikhuwa Khola SHP</v>
      </c>
      <c r="C1377" s="2">
        <f>IFERROR(__xludf.DUMMYFUNCTION("""COMPUTED_VALUE"""),0.662)</f>
        <v>0.662</v>
      </c>
      <c r="D1377" s="2" t="str">
        <f>IFERROR(__xludf.DUMMYFUNCTION("""COMPUTED_VALUE"""),"Sikhuwa")</f>
        <v>Sikhuwa</v>
      </c>
      <c r="E1377" s="2">
        <f>IFERROR(__xludf.DUMMYFUNCTION("""COMPUTED_VALUE"""),5143.0)</f>
        <v>5143</v>
      </c>
      <c r="F1377" s="3">
        <f>IFERROR(__xludf.DUMMYFUNCTION("""COMPUTED_VALUE"""),60888.0)</f>
        <v>60888</v>
      </c>
      <c r="G1377" s="2" t="str">
        <f>IFERROR(__xludf.DUMMYFUNCTION("""COMPUTED_VALUE"""),"Bidur Kumar Lingthep")</f>
        <v>Bidur Kumar Lingthep</v>
      </c>
      <c r="H1377" s="2" t="str">
        <f>IFERROR(__xludf.DUMMYFUNCTION("""COMPUTED_VALUE"""),"Kathmandu, 9841509147")</f>
        <v>Kathmandu, 9841509147</v>
      </c>
      <c r="I1377" s="2" t="str">
        <f>IFERROR(__xludf.DUMMYFUNCTION("""COMPUTED_VALUE"""),"27o 16' 42""")</f>
        <v>27o 16' 42"</v>
      </c>
      <c r="J1377" s="2" t="str">
        <f>IFERROR(__xludf.DUMMYFUNCTION("""COMPUTED_VALUE"""),"27o 17' 53""")</f>
        <v>27o 17' 53"</v>
      </c>
      <c r="K1377" s="2" t="str">
        <f>IFERROR(__xludf.DUMMYFUNCTION("""COMPUTED_VALUE"""),"87o 25' 00""")</f>
        <v>87o 25' 00"</v>
      </c>
      <c r="L1377" s="2" t="str">
        <f>IFERROR(__xludf.DUMMYFUNCTION("""COMPUTED_VALUE"""),"87o 26' 39""")</f>
        <v>87o 26' 39"</v>
      </c>
      <c r="M1377" s="2" t="str">
        <f>IFERROR(__xludf.DUMMYFUNCTION("""COMPUTED_VALUE"""),"Mawadin (Sankhuwasabha)")</f>
        <v>Mawadin (Sankhuwasabha)</v>
      </c>
    </row>
    <row r="1378">
      <c r="A1378" s="2">
        <f>IFERROR(__xludf.DUMMYFUNCTION("""COMPUTED_VALUE"""),1377.0)</f>
        <v>1377</v>
      </c>
      <c r="B1378" s="2" t="str">
        <f>IFERROR(__xludf.DUMMYFUNCTION("""COMPUTED_VALUE"""),"Upper Ridi Storage HPP")</f>
        <v>Upper Ridi Storage HPP</v>
      </c>
      <c r="C1378" s="2">
        <f>IFERROR(__xludf.DUMMYFUNCTION("""COMPUTED_VALUE"""),6.0)</f>
        <v>6</v>
      </c>
      <c r="D1378" s="2" t="str">
        <f>IFERROR(__xludf.DUMMYFUNCTION("""COMPUTED_VALUE"""),"Ridi")</f>
        <v>Ridi</v>
      </c>
      <c r="E1378" s="2">
        <f>IFERROR(__xludf.DUMMYFUNCTION("""COMPUTED_VALUE"""),5178.0)</f>
        <v>5178</v>
      </c>
      <c r="F1378" s="3">
        <f>IFERROR(__xludf.DUMMYFUNCTION("""COMPUTED_VALUE"""),60891.0)</f>
        <v>60891</v>
      </c>
      <c r="G1378" s="2" t="str">
        <f>IFERROR(__xludf.DUMMYFUNCTION("""COMPUTED_VALUE"""),"Sugam Ghimire,Yam Kr. Shrestha,Sushil Poudel")</f>
        <v>Sugam Ghimire,Yam Kr. Shrestha,Sushil Poudel</v>
      </c>
      <c r="H1378" s="2" t="str">
        <f>IFERROR(__xludf.DUMMYFUNCTION("""COMPUTED_VALUE"""),"GPO Box: 25092, Kathmandu")</f>
        <v>GPO Box: 25092, Kathmandu</v>
      </c>
      <c r="I1378" s="2" t="str">
        <f>IFERROR(__xludf.DUMMYFUNCTION("""COMPUTED_VALUE"""),"27o 55' 13""")</f>
        <v>27o 55' 13"</v>
      </c>
      <c r="J1378" s="2" t="str">
        <f>IFERROR(__xludf.DUMMYFUNCTION("""COMPUTED_VALUE"""),"27o 57' 00""")</f>
        <v>27o 57' 00"</v>
      </c>
      <c r="K1378" s="2" t="str">
        <f>IFERROR(__xludf.DUMMYFUNCTION("""COMPUTED_VALUE"""),"83o 16' 51""")</f>
        <v>83o 16' 51"</v>
      </c>
      <c r="L1378" s="2" t="str">
        <f>IFERROR(__xludf.DUMMYFUNCTION("""COMPUTED_VALUE"""),"83o 21' 00""")</f>
        <v>83o 21' 00"</v>
      </c>
      <c r="M1378" s="2" t="str">
        <f>IFERROR(__xludf.DUMMYFUNCTION("""COMPUTED_VALUE"""),"Chidika,Pali (Arghakhanchi) Kharjyang (Gulmi) Siddheshwor (Palpa)")</f>
        <v>Chidika,Pali (Arghakhanchi) Kharjyang (Gulmi) Siddheshwor (Palpa)</v>
      </c>
    </row>
    <row r="1379">
      <c r="A1379" s="2">
        <f>IFERROR(__xludf.DUMMYFUNCTION("""COMPUTED_VALUE"""),1378.0)</f>
        <v>1378</v>
      </c>
      <c r="B1379" s="2" t="str">
        <f>IFERROR(__xludf.DUMMYFUNCTION("""COMPUTED_VALUE"""),"Khudibeni HPP")</f>
        <v>Khudibeni HPP</v>
      </c>
      <c r="C1379" s="2">
        <f>IFERROR(__xludf.DUMMYFUNCTION("""COMPUTED_VALUE"""),4.0)</f>
        <v>4</v>
      </c>
      <c r="D1379" s="2" t="str">
        <f>IFERROR(__xludf.DUMMYFUNCTION("""COMPUTED_VALUE"""),"Khudi")</f>
        <v>Khudi</v>
      </c>
      <c r="E1379" s="2">
        <f>IFERROR(__xludf.DUMMYFUNCTION("""COMPUTED_VALUE"""),5186.0)</f>
        <v>5186</v>
      </c>
      <c r="F1379" s="3">
        <f>IFERROR(__xludf.DUMMYFUNCTION("""COMPUTED_VALUE"""),60891.0)</f>
        <v>60891</v>
      </c>
      <c r="G1379" s="2" t="str">
        <f>IFERROR(__xludf.DUMMYFUNCTION("""COMPUTED_VALUE"""),"Khudibeni Hydropower Company Pvt Ltd")</f>
        <v>Khudibeni Hydropower Company Pvt Ltd</v>
      </c>
      <c r="H1379" s="2" t="str">
        <f>IFERROR(__xludf.DUMMYFUNCTION("""COMPUTED_VALUE"""),"Dhapasi, Kathmandu Tel:4650511")</f>
        <v>Dhapasi, Kathmandu Tel:4650511</v>
      </c>
      <c r="I1379" s="2" t="str">
        <f>IFERROR(__xludf.DUMMYFUNCTION("""COMPUTED_VALUE"""),"28o 16' 16""")</f>
        <v>28o 16' 16"</v>
      </c>
      <c r="J1379" s="2" t="str">
        <f>IFERROR(__xludf.DUMMYFUNCTION("""COMPUTED_VALUE"""),"28o 17' 20""")</f>
        <v>28o 17' 20"</v>
      </c>
      <c r="K1379" s="2" t="str">
        <f>IFERROR(__xludf.DUMMYFUNCTION("""COMPUTED_VALUE"""),"84o 20' 55""")</f>
        <v>84o 20' 55"</v>
      </c>
      <c r="L1379" s="2" t="str">
        <f>IFERROR(__xludf.DUMMYFUNCTION("""COMPUTED_VALUE"""),"84o 21' 50""")</f>
        <v>84o 21' 50"</v>
      </c>
      <c r="M1379" s="2" t="str">
        <f>IFERROR(__xludf.DUMMYFUNCTION("""COMPUTED_VALUE"""),"Khudi,Simpani (Lamjung)")</f>
        <v>Khudi,Simpani (Lamjung)</v>
      </c>
    </row>
    <row r="1380">
      <c r="A1380" s="2">
        <f>IFERROR(__xludf.DUMMYFUNCTION("""COMPUTED_VALUE"""),1379.0)</f>
        <v>1379</v>
      </c>
      <c r="B1380" s="2" t="str">
        <f>IFERROR(__xludf.DUMMYFUNCTION("""COMPUTED_VALUE"""),"Upper Puwa HPP")</f>
        <v>Upper Puwa HPP</v>
      </c>
      <c r="C1380" s="2">
        <f>IFERROR(__xludf.DUMMYFUNCTION("""COMPUTED_VALUE"""),2.079)</f>
        <v>2.079</v>
      </c>
      <c r="D1380" s="2" t="str">
        <f>IFERROR(__xludf.DUMMYFUNCTION("""COMPUTED_VALUE"""),"puwa")</f>
        <v>puwa</v>
      </c>
      <c r="E1380" s="2">
        <f>IFERROR(__xludf.DUMMYFUNCTION("""COMPUTED_VALUE"""),5208.0)</f>
        <v>5208</v>
      </c>
      <c r="F1380" s="3">
        <f>IFERROR(__xludf.DUMMYFUNCTION("""COMPUTED_VALUE"""),60894.0)</f>
        <v>60894</v>
      </c>
      <c r="G1380" s="2" t="str">
        <f>IFERROR(__xludf.DUMMYFUNCTION("""COMPUTED_VALUE"""),"Joshi Hydropower Development Company Pvt Ltd")</f>
        <v>Joshi Hydropower Development Company Pvt Ltd</v>
      </c>
      <c r="H1380" s="2" t="str">
        <f>IFERROR(__xludf.DUMMYFUNCTION("""COMPUTED_VALUE"""),"Baneswar, Kathmandu Tel: 4115787")</f>
        <v>Baneswar, Kathmandu Tel: 4115787</v>
      </c>
      <c r="I1380" s="2" t="str">
        <f>IFERROR(__xludf.DUMMYFUNCTION("""COMPUTED_VALUE"""),"26o 59' 20""")</f>
        <v>26o 59' 20"</v>
      </c>
      <c r="J1380" s="2" t="str">
        <f>IFERROR(__xludf.DUMMYFUNCTION("""COMPUTED_VALUE"""),"27o 01' 10""")</f>
        <v>27o 01' 10"</v>
      </c>
      <c r="K1380" s="2" t="str">
        <f>IFERROR(__xludf.DUMMYFUNCTION("""COMPUTED_VALUE"""),"87o 52' 36""")</f>
        <v>87o 52' 36"</v>
      </c>
      <c r="L1380" s="2" t="str">
        <f>IFERROR(__xludf.DUMMYFUNCTION("""COMPUTED_VALUE"""),"87o 54' 25""")</f>
        <v>87o 54' 25"</v>
      </c>
      <c r="M1380" s="2" t="str">
        <f>IFERROR(__xludf.DUMMYFUNCTION("""COMPUTED_VALUE"""),"Puwamajwa,Maipokhari (Ilam)")</f>
        <v>Puwamajwa,Maipokhari (Ilam)</v>
      </c>
    </row>
    <row r="1381">
      <c r="A1381" s="2">
        <f>IFERROR(__xludf.DUMMYFUNCTION("""COMPUTED_VALUE"""),1380.0)</f>
        <v>1380</v>
      </c>
      <c r="B1381" s="2" t="str">
        <f>IFERROR(__xludf.DUMMYFUNCTION("""COMPUTED_VALUE"""),"Nyadi Khola SHP")</f>
        <v>Nyadi Khola SHP</v>
      </c>
      <c r="C1381" s="2">
        <f>IFERROR(__xludf.DUMMYFUNCTION("""COMPUTED_VALUE"""),4.9)</f>
        <v>4.9</v>
      </c>
      <c r="D1381" s="2" t="str">
        <f>IFERROR(__xludf.DUMMYFUNCTION("""COMPUTED_VALUE"""),"Nyadi")</f>
        <v>Nyadi</v>
      </c>
      <c r="E1381" s="2">
        <f>IFERROR(__xludf.DUMMYFUNCTION("""COMPUTED_VALUE"""),5211.0)</f>
        <v>5211</v>
      </c>
      <c r="F1381" s="3">
        <f>IFERROR(__xludf.DUMMYFUNCTION("""COMPUTED_VALUE"""),60894.0)</f>
        <v>60894</v>
      </c>
      <c r="G1381" s="2" t="str">
        <f>IFERROR(__xludf.DUMMYFUNCTION("""COMPUTED_VALUE"""),"Reliable Hydropower Company Pvt Ltd")</f>
        <v>Reliable Hydropower Company Pvt Ltd</v>
      </c>
      <c r="H1381" s="2" t="str">
        <f>IFERROR(__xludf.DUMMYFUNCTION("""COMPUTED_VALUE"""),"GPO Box: 516, Lalitpur, Tel: 5551616")</f>
        <v>GPO Box: 516, Lalitpur, Tel: 5551616</v>
      </c>
      <c r="I1381" s="2" t="str">
        <f>IFERROR(__xludf.DUMMYFUNCTION("""COMPUTED_VALUE"""),"28o 18' 30""")</f>
        <v>28o 18' 30"</v>
      </c>
      <c r="J1381" s="2" t="str">
        <f>IFERROR(__xludf.DUMMYFUNCTION("""COMPUTED_VALUE"""),"28o 19' 45""")</f>
        <v>28o 19' 45"</v>
      </c>
      <c r="K1381" s="2" t="str">
        <f>IFERROR(__xludf.DUMMYFUNCTION("""COMPUTED_VALUE"""),"84o 24' 05""")</f>
        <v>84o 24' 05"</v>
      </c>
      <c r="L1381" s="2" t="str">
        <f>IFERROR(__xludf.DUMMYFUNCTION("""COMPUTED_VALUE"""),"84o 25' 25""")</f>
        <v>84o 25' 25"</v>
      </c>
      <c r="M1381" s="2" t="str">
        <f>IFERROR(__xludf.DUMMYFUNCTION("""COMPUTED_VALUE"""),"Bahundada,Bhulbhule (Lamjung)")</f>
        <v>Bahundada,Bhulbhule (Lamjung)</v>
      </c>
    </row>
    <row r="1382">
      <c r="A1382" s="2">
        <f>IFERROR(__xludf.DUMMYFUNCTION("""COMPUTED_VALUE"""),1381.0)</f>
        <v>1381</v>
      </c>
      <c r="B1382" s="2" t="str">
        <f>IFERROR(__xludf.DUMMYFUNCTION("""COMPUTED_VALUE"""),"Deumai-Phakphuk Khola HPP")</f>
        <v>Deumai-Phakphuk Khola HPP</v>
      </c>
      <c r="C1382" s="2">
        <f>IFERROR(__xludf.DUMMYFUNCTION("""COMPUTED_VALUE"""),3.0)</f>
        <v>3</v>
      </c>
      <c r="D1382" s="2" t="str">
        <f>IFERROR(__xludf.DUMMYFUNCTION("""COMPUTED_VALUE"""),"Deumai")</f>
        <v>Deumai</v>
      </c>
      <c r="E1382" s="2">
        <f>IFERROR(__xludf.DUMMYFUNCTION("""COMPUTED_VALUE"""),5212.0)</f>
        <v>5212</v>
      </c>
      <c r="F1382" s="3">
        <f>IFERROR(__xludf.DUMMYFUNCTION("""COMPUTED_VALUE"""),60894.0)</f>
        <v>60894</v>
      </c>
      <c r="G1382" s="2" t="str">
        <f>IFERROR(__xludf.DUMMYFUNCTION("""COMPUTED_VALUE"""),"Badri Khanal, Umesh Chandra Neupane, H.P.Neupane,S.Khanal,D.P.Gautam, 
Chandra Binod Bhattarai")</f>
        <v>Badri Khanal, Umesh Chandra Neupane, H.P.Neupane,S.Khanal,D.P.Gautam, 
Chandra Binod Bhattarai</v>
      </c>
      <c r="H1382" s="2" t="str">
        <f>IFERROR(__xludf.DUMMYFUNCTION("""COMPUTED_VALUE"""),"Lumde-5, Ilam")</f>
        <v>Lumde-5, Ilam</v>
      </c>
      <c r="I1382" s="2" t="str">
        <f>IFERROR(__xludf.DUMMYFUNCTION("""COMPUTED_VALUE"""),"26o 52' 55""")</f>
        <v>26o 52' 55"</v>
      </c>
      <c r="J1382" s="2" t="str">
        <f>IFERROR(__xludf.DUMMYFUNCTION("""COMPUTED_VALUE"""),"26o 55' 10""")</f>
        <v>26o 55' 10"</v>
      </c>
      <c r="K1382" s="2" t="str">
        <f>IFERROR(__xludf.DUMMYFUNCTION("""COMPUTED_VALUE"""),"87o 25' 50""")</f>
        <v>87o 25' 50"</v>
      </c>
      <c r="L1382" s="2" t="str">
        <f>IFERROR(__xludf.DUMMYFUNCTION("""COMPUTED_VALUE"""),"87o 47' 27""")</f>
        <v>87o 47' 27"</v>
      </c>
      <c r="M1382" s="2" t="str">
        <f>IFERROR(__xludf.DUMMYFUNCTION("""COMPUTED_VALUE"""),"Emang (Ilam)")</f>
        <v>Emang (Ilam)</v>
      </c>
    </row>
    <row r="1383">
      <c r="A1383" s="2">
        <f>IFERROR(__xludf.DUMMYFUNCTION("""COMPUTED_VALUE"""),1382.0)</f>
        <v>1382</v>
      </c>
      <c r="B1383" s="2" t="str">
        <f>IFERROR(__xludf.DUMMYFUNCTION("""COMPUTED_VALUE"""),"Deumai Khola HPP")</f>
        <v>Deumai Khola HPP</v>
      </c>
      <c r="C1383" s="2">
        <f>IFERROR(__xludf.DUMMYFUNCTION("""COMPUTED_VALUE"""),3.0)</f>
        <v>3</v>
      </c>
      <c r="D1383" s="2" t="str">
        <f>IFERROR(__xludf.DUMMYFUNCTION("""COMPUTED_VALUE"""),"Deumai")</f>
        <v>Deumai</v>
      </c>
      <c r="E1383" s="2">
        <f>IFERROR(__xludf.DUMMYFUNCTION("""COMPUTED_VALUE"""),5213.0)</f>
        <v>5213</v>
      </c>
      <c r="F1383" s="3">
        <f>IFERROR(__xludf.DUMMYFUNCTION("""COMPUTED_VALUE"""),60894.0)</f>
        <v>60894</v>
      </c>
      <c r="G1383" s="2" t="str">
        <f>IFERROR(__xludf.DUMMYFUNCTION("""COMPUTED_VALUE"""),"Badri Khanal, Umesh Chandra Sapkota, H.P.Neupane")</f>
        <v>Badri Khanal, Umesh Chandra Sapkota, H.P.Neupane</v>
      </c>
      <c r="H1383" s="2" t="str">
        <f>IFERROR(__xludf.DUMMYFUNCTION("""COMPUTED_VALUE"""),"Lumde-5, Ilam, Tel:")</f>
        <v>Lumde-5, Ilam, Tel:</v>
      </c>
      <c r="I1383" s="2" t="str">
        <f>IFERROR(__xludf.DUMMYFUNCTION("""COMPUTED_VALUE"""),"26o 49' 12""")</f>
        <v>26o 49' 12"</v>
      </c>
      <c r="J1383" s="2" t="str">
        <f>IFERROR(__xludf.DUMMYFUNCTION("""COMPUTED_VALUE"""),"26o 51' 21""")</f>
        <v>26o 51' 21"</v>
      </c>
      <c r="K1383" s="2" t="str">
        <f>IFERROR(__xludf.DUMMYFUNCTION("""COMPUTED_VALUE"""),"87o 46' 00""")</f>
        <v>87o 46' 00"</v>
      </c>
      <c r="L1383" s="2" t="str">
        <f>IFERROR(__xludf.DUMMYFUNCTION("""COMPUTED_VALUE"""),"87o 46' 25""")</f>
        <v>87o 46' 25"</v>
      </c>
      <c r="M1383" s="2" t="str">
        <f>IFERROR(__xludf.DUMMYFUNCTION("""COMPUTED_VALUE"""),"Emang (Ilam)")</f>
        <v>Emang (Ilam)</v>
      </c>
    </row>
    <row r="1384">
      <c r="A1384" s="2">
        <f>IFERROR(__xludf.DUMMYFUNCTION("""COMPUTED_VALUE"""),1383.0)</f>
        <v>1383</v>
      </c>
      <c r="B1384" s="2" t="str">
        <f>IFERROR(__xludf.DUMMYFUNCTION("""COMPUTED_VALUE"""),"Ikhuwa Khola HPP")</f>
        <v>Ikhuwa Khola HPP</v>
      </c>
      <c r="C1384" s="2">
        <f>IFERROR(__xludf.DUMMYFUNCTION("""COMPUTED_VALUE"""),8.5)</f>
        <v>8.5</v>
      </c>
      <c r="D1384" s="2" t="str">
        <f>IFERROR(__xludf.DUMMYFUNCTION("""COMPUTED_VALUE"""),"Ikhuwa")</f>
        <v>Ikhuwa</v>
      </c>
      <c r="E1384" s="2">
        <f>IFERROR(__xludf.DUMMYFUNCTION("""COMPUTED_VALUE"""),5219.0)</f>
        <v>5219</v>
      </c>
      <c r="F1384" s="3">
        <f>IFERROR(__xludf.DUMMYFUNCTION("""COMPUTED_VALUE"""),60895.0)</f>
        <v>60895</v>
      </c>
      <c r="G1384" s="2" t="str">
        <f>IFERROR(__xludf.DUMMYFUNCTION("""COMPUTED_VALUE"""),"Mankamna Makalu Hydropower Pvt Ltd")</f>
        <v>Mankamna Makalu Hydropower Pvt Ltd</v>
      </c>
      <c r="H1384" s="2" t="str">
        <f>IFERROR(__xludf.DUMMYFUNCTION("""COMPUTED_VALUE"""),"Kathmandu, Tel: 9851027347")</f>
        <v>Kathmandu, Tel: 9851027347</v>
      </c>
      <c r="I1384" s="2" t="str">
        <f>IFERROR(__xludf.DUMMYFUNCTION("""COMPUTED_VALUE"""),"27o 35' 06""")</f>
        <v>27o 35' 06"</v>
      </c>
      <c r="J1384" s="2" t="str">
        <f>IFERROR(__xludf.DUMMYFUNCTION("""COMPUTED_VALUE"""),"27o 37' 16""")</f>
        <v>27o 37' 16"</v>
      </c>
      <c r="K1384" s="2" t="str">
        <f>IFERROR(__xludf.DUMMYFUNCTION("""COMPUTED_VALUE"""),"87o 21' 16""")</f>
        <v>87o 21' 16"</v>
      </c>
      <c r="L1384" s="2" t="str">
        <f>IFERROR(__xludf.DUMMYFUNCTION("""COMPUTED_VALUE"""),"87o 26' 45""")</f>
        <v>87o 26' 45"</v>
      </c>
      <c r="M1384" s="2" t="str">
        <f>IFERROR(__xludf.DUMMYFUNCTION("""COMPUTED_VALUE"""),"Pawakhola (Sankhuwasabha)")</f>
        <v>Pawakhola (Sankhuwasabha)</v>
      </c>
    </row>
    <row r="1385">
      <c r="A1385" s="2">
        <f>IFERROR(__xludf.DUMMYFUNCTION("""COMPUTED_VALUE"""),1384.0)</f>
        <v>1384</v>
      </c>
      <c r="B1385" s="2" t="str">
        <f>IFERROR(__xludf.DUMMYFUNCTION("""COMPUTED_VALUE"""),"Leksuwa Khola HPP")</f>
        <v>Leksuwa Khola HPP</v>
      </c>
      <c r="C1385" s="2">
        <f>IFERROR(__xludf.DUMMYFUNCTION("""COMPUTED_VALUE"""),8.6)</f>
        <v>8.6</v>
      </c>
      <c r="D1385" s="2" t="str">
        <f>IFERROR(__xludf.DUMMYFUNCTION("""COMPUTED_VALUE"""),"Leksuwa")</f>
        <v>Leksuwa</v>
      </c>
      <c r="E1385" s="2">
        <f>IFERROR(__xludf.DUMMYFUNCTION("""COMPUTED_VALUE"""),5229.0)</f>
        <v>5229</v>
      </c>
      <c r="F1385" s="3">
        <f>IFERROR(__xludf.DUMMYFUNCTION("""COMPUTED_VALUE"""),60895.0)</f>
        <v>60895</v>
      </c>
      <c r="G1385" s="2" t="str">
        <f>IFERROR(__xludf.DUMMYFUNCTION("""COMPUTED_VALUE"""),"N.P.Dhakal,H.K.Shrestha,Pun Maya Karki,P.k.Karki")</f>
        <v>N.P.Dhakal,H.K.Shrestha,Pun Maya Karki,P.k.Karki</v>
      </c>
      <c r="H1385" s="2" t="str">
        <f>IFERROR(__xludf.DUMMYFUNCTION("""COMPUTED_VALUE"""),"Dulegauda-7, Tanhu Tel: 9851001409")</f>
        <v>Dulegauda-7, Tanhu Tel: 9851001409</v>
      </c>
      <c r="I1385" s="2" t="str">
        <f>IFERROR(__xludf.DUMMYFUNCTION("""COMPUTED_VALUE"""),"27o 39' 26""")</f>
        <v>27o 39' 26"</v>
      </c>
      <c r="J1385" s="2" t="str">
        <f>IFERROR(__xludf.DUMMYFUNCTION("""COMPUTED_VALUE"""),"27o 42' 09""")</f>
        <v>27o 42' 09"</v>
      </c>
      <c r="K1385" s="2" t="str">
        <f>IFERROR(__xludf.DUMMYFUNCTION("""COMPUTED_VALUE"""),"87o 39' 26""")</f>
        <v>87o 39' 26"</v>
      </c>
      <c r="L1385" s="2" t="str">
        <f>IFERROR(__xludf.DUMMYFUNCTION("""COMPUTED_VALUE"""),"87o 42' 09""")</f>
        <v>87o 42' 09"</v>
      </c>
      <c r="M1385" s="2" t="str">
        <f>IFERROR(__xludf.DUMMYFUNCTION("""COMPUTED_VALUE"""),"Pawakhola (Sankhuwasabha)")</f>
        <v>Pawakhola (Sankhuwasabha)</v>
      </c>
    </row>
    <row r="1386">
      <c r="A1386" s="2">
        <f>IFERROR(__xludf.DUMMYFUNCTION("""COMPUTED_VALUE"""),1385.0)</f>
        <v>1385</v>
      </c>
      <c r="B1386" s="2" t="str">
        <f>IFERROR(__xludf.DUMMYFUNCTION("""COMPUTED_VALUE"""),"Kala Gad HPP")</f>
        <v>Kala Gad HPP</v>
      </c>
      <c r="C1386" s="2">
        <f>IFERROR(__xludf.DUMMYFUNCTION("""COMPUTED_VALUE"""),3.0)</f>
        <v>3</v>
      </c>
      <c r="D1386" s="2" t="str">
        <f>IFERROR(__xludf.DUMMYFUNCTION("""COMPUTED_VALUE"""),"Kala Gad")</f>
        <v>Kala Gad</v>
      </c>
      <c r="E1386" s="2">
        <f>IFERROR(__xludf.DUMMYFUNCTION("""COMPUTED_VALUE"""),5246.0)</f>
        <v>5246</v>
      </c>
      <c r="F1386" s="3">
        <f>IFERROR(__xludf.DUMMYFUNCTION("""COMPUTED_VALUE"""),60896.0)</f>
        <v>60896</v>
      </c>
      <c r="G1386" s="2" t="str">
        <f>IFERROR(__xludf.DUMMYFUNCTION("""COMPUTED_VALUE"""),"Energy Development Services Pvt Ltd")</f>
        <v>Energy Development Services Pvt Ltd</v>
      </c>
      <c r="H1386" s="2" t="str">
        <f>IFERROR(__xludf.DUMMYFUNCTION("""COMPUTED_VALUE"""),"GPO Box: 5565, Kathmandu")</f>
        <v>GPO Box: 5565, Kathmandu</v>
      </c>
      <c r="I1386" s="2" t="str">
        <f>IFERROR(__xludf.DUMMYFUNCTION("""COMPUTED_VALUE"""),"29o 13' 10""")</f>
        <v>29o 13' 10"</v>
      </c>
      <c r="J1386" s="2" t="str">
        <f>IFERROR(__xludf.DUMMYFUNCTION("""COMPUTED_VALUE"""),"29o 15' 00""")</f>
        <v>29o 15' 00"</v>
      </c>
      <c r="K1386" s="2" t="str">
        <f>IFERROR(__xludf.DUMMYFUNCTION("""COMPUTED_VALUE"""),"80o 52' 30""")</f>
        <v>80o 52' 30"</v>
      </c>
      <c r="L1386" s="2" t="str">
        <f>IFERROR(__xludf.DUMMYFUNCTION("""COMPUTED_VALUE"""),"80o 54' 26""")</f>
        <v>80o 54' 26"</v>
      </c>
      <c r="M1386" s="2" t="str">
        <f>IFERROR(__xludf.DUMMYFUNCTION("""COMPUTED_VALUE"""),"Mudabhara (Doti)")</f>
        <v>Mudabhara (Doti)</v>
      </c>
    </row>
    <row r="1387">
      <c r="A1387" s="2">
        <f>IFERROR(__xludf.DUMMYFUNCTION("""COMPUTED_VALUE"""),1386.0)</f>
        <v>1386</v>
      </c>
      <c r="B1387" s="2" t="str">
        <f>IFERROR(__xludf.DUMMYFUNCTION("""COMPUTED_VALUE"""),"Daram Khola HPP")</f>
        <v>Daram Khola HPP</v>
      </c>
      <c r="C1387" s="2">
        <f>IFERROR(__xludf.DUMMYFUNCTION("""COMPUTED_VALUE"""),5.0)</f>
        <v>5</v>
      </c>
      <c r="D1387" s="2" t="str">
        <f>IFERROR(__xludf.DUMMYFUNCTION("""COMPUTED_VALUE"""),"Daram")</f>
        <v>Daram</v>
      </c>
      <c r="E1387" s="2">
        <f>IFERROR(__xludf.DUMMYFUNCTION("""COMPUTED_VALUE"""),5251.0)</f>
        <v>5251</v>
      </c>
      <c r="F1387" s="3">
        <f>IFERROR(__xludf.DUMMYFUNCTION("""COMPUTED_VALUE"""),60897.0)</f>
        <v>60897</v>
      </c>
      <c r="G1387" s="2" t="str">
        <f>IFERROR(__xludf.DUMMYFUNCTION("""COMPUTED_VALUE"""),"Anananda Nepal")</f>
        <v>Anananda Nepal</v>
      </c>
      <c r="H1387" s="2" t="str">
        <f>IFERROR(__xludf.DUMMYFUNCTION("""COMPUTED_VALUE"""),"Gallamandi-6, Sidharthnagar, Rupandehi Tel: 9851091643")</f>
        <v>Gallamandi-6, Sidharthnagar, Rupandehi Tel: 9851091643</v>
      </c>
      <c r="I1387" s="2" t="str">
        <f>IFERROR(__xludf.DUMMYFUNCTION("""COMPUTED_VALUE"""),"28o 11' 50""")</f>
        <v>28o 11' 50"</v>
      </c>
      <c r="J1387" s="2" t="str">
        <f>IFERROR(__xludf.DUMMYFUNCTION("""COMPUTED_VALUE"""),"28o 13' 14""")</f>
        <v>28o 13' 14"</v>
      </c>
      <c r="K1387" s="2" t="str">
        <f>IFERROR(__xludf.DUMMYFUNCTION("""COMPUTED_VALUE"""),"83o 22' 45""")</f>
        <v>83o 22' 45"</v>
      </c>
      <c r="L1387" s="2" t="str">
        <f>IFERROR(__xludf.DUMMYFUNCTION("""COMPUTED_VALUE"""),"83o 25' 28""")</f>
        <v>83o 25' 28"</v>
      </c>
      <c r="M1387" s="2" t="str">
        <f>IFERROR(__xludf.DUMMYFUNCTION("""COMPUTED_VALUE"""),"Harichaur,Hatiya,Malm,Kandebas (Baglung)")</f>
        <v>Harichaur,Hatiya,Malm,Kandebas (Baglung)</v>
      </c>
    </row>
    <row r="1388">
      <c r="A1388" s="2">
        <f>IFERROR(__xludf.DUMMYFUNCTION("""COMPUTED_VALUE"""),1387.0)</f>
        <v>1387</v>
      </c>
      <c r="B1388" s="2" t="str">
        <f>IFERROR(__xludf.DUMMYFUNCTION("""COMPUTED_VALUE"""),"Midim Khola HPP")</f>
        <v>Midim Khola HPP</v>
      </c>
      <c r="C1388" s="2">
        <f>IFERROR(__xludf.DUMMYFUNCTION("""COMPUTED_VALUE"""),4.5)</f>
        <v>4.5</v>
      </c>
      <c r="D1388" s="2" t="str">
        <f>IFERROR(__xludf.DUMMYFUNCTION("""COMPUTED_VALUE"""),"Midim Khola")</f>
        <v>Midim Khola</v>
      </c>
      <c r="E1388" s="2">
        <f>IFERROR(__xludf.DUMMYFUNCTION("""COMPUTED_VALUE"""),5257.0)</f>
        <v>5257</v>
      </c>
      <c r="F1388" s="3">
        <f>IFERROR(__xludf.DUMMYFUNCTION("""COMPUTED_VALUE"""),60897.0)</f>
        <v>60897</v>
      </c>
      <c r="G1388" s="2" t="str">
        <f>IFERROR(__xludf.DUMMYFUNCTION("""COMPUTED_VALUE"""),"Harti Hydropower Pvt Ltd")</f>
        <v>Harti Hydropower Pvt Ltd</v>
      </c>
      <c r="H1388" s="2" t="str">
        <f>IFERROR(__xludf.DUMMYFUNCTION("""COMPUTED_VALUE"""),"Kathmandu Municipality-24, Tel: 9841612161")</f>
        <v>Kathmandu Municipality-24, Tel: 9841612161</v>
      </c>
      <c r="I1388" s="2" t="str">
        <f>IFERROR(__xludf.DUMMYFUNCTION("""COMPUTED_VALUE"""),"28o 12' 15""")</f>
        <v>28o 12' 15"</v>
      </c>
      <c r="J1388" s="2" t="str">
        <f>IFERROR(__xludf.DUMMYFUNCTION("""COMPUTED_VALUE"""),"28o 14' 55""")</f>
        <v>28o 14' 55"</v>
      </c>
      <c r="K1388" s="2" t="str">
        <f>IFERROR(__xludf.DUMMYFUNCTION("""COMPUTED_VALUE"""),"84o 15' 45""")</f>
        <v>84o 15' 45"</v>
      </c>
      <c r="L1388" s="2" t="str">
        <f>IFERROR(__xludf.DUMMYFUNCTION("""COMPUTED_VALUE"""),"84o 17' 05""")</f>
        <v>84o 17' 05"</v>
      </c>
      <c r="M1388" s="2" t="str">
        <f>IFERROR(__xludf.DUMMYFUNCTION("""COMPUTED_VALUE"""),"Bhoje,Gilung,Maling,Karapu (Lamjung)")</f>
        <v>Bhoje,Gilung,Maling,Karapu (Lamjung)</v>
      </c>
    </row>
    <row r="1389">
      <c r="A1389" s="2">
        <f>IFERROR(__xludf.DUMMYFUNCTION("""COMPUTED_VALUE"""),1388.0)</f>
        <v>1388</v>
      </c>
      <c r="B1389" s="2" t="str">
        <f>IFERROR(__xludf.DUMMYFUNCTION("""COMPUTED_VALUE"""),"Khimti SHP")</f>
        <v>Khimti SHP</v>
      </c>
      <c r="C1389" s="2">
        <f>IFERROR(__xludf.DUMMYFUNCTION("""COMPUTED_VALUE"""),5.0)</f>
        <v>5</v>
      </c>
      <c r="D1389" s="2" t="str">
        <f>IFERROR(__xludf.DUMMYFUNCTION("""COMPUTED_VALUE"""),"Khimti Khola")</f>
        <v>Khimti Khola</v>
      </c>
      <c r="E1389" s="2">
        <f>IFERROR(__xludf.DUMMYFUNCTION("""COMPUTED_VALUE"""),5268.0)</f>
        <v>5268</v>
      </c>
      <c r="F1389" s="3">
        <f>IFERROR(__xludf.DUMMYFUNCTION("""COMPUTED_VALUE"""),60898.0)</f>
        <v>60898</v>
      </c>
      <c r="G1389" s="2" t="str">
        <f>IFERROR(__xludf.DUMMYFUNCTION("""COMPUTED_VALUE"""),"Somita Adhikari, Amrita Acharya")</f>
        <v>Somita Adhikari, Amrita Acharya</v>
      </c>
      <c r="H1389" s="2" t="str">
        <f>IFERROR(__xludf.DUMMYFUNCTION("""COMPUTED_VALUE"""),"Minbhavan, Kathmandu Tel: 9851035730")</f>
        <v>Minbhavan, Kathmandu Tel: 9851035730</v>
      </c>
      <c r="I1389" s="2" t="str">
        <f>IFERROR(__xludf.DUMMYFUNCTION("""COMPUTED_VALUE"""),"27o 36' 38""")</f>
        <v>27o 36' 38"</v>
      </c>
      <c r="J1389" s="2" t="str">
        <f>IFERROR(__xludf.DUMMYFUNCTION("""COMPUTED_VALUE"""),"27o 38' 20""")</f>
        <v>27o 38' 20"</v>
      </c>
      <c r="K1389" s="2" t="str">
        <f>IFERROR(__xludf.DUMMYFUNCTION("""COMPUTED_VALUE"""),"86o 17' 43""")</f>
        <v>86o 17' 43"</v>
      </c>
      <c r="L1389" s="2" t="str">
        <f>IFERROR(__xludf.DUMMYFUNCTION("""COMPUTED_VALUE"""),"86o 19' 17""")</f>
        <v>86o 19' 17"</v>
      </c>
      <c r="M1389" s="2"/>
    </row>
    <row r="1390">
      <c r="A1390" s="2">
        <f>IFERROR(__xludf.DUMMYFUNCTION("""COMPUTED_VALUE"""),1389.0)</f>
        <v>1389</v>
      </c>
      <c r="B1390" s="2" t="str">
        <f>IFERROR(__xludf.DUMMYFUNCTION("""COMPUTED_VALUE"""),"Patku Khola SHP")</f>
        <v>Patku Khola SHP</v>
      </c>
      <c r="C1390" s="2">
        <f>IFERROR(__xludf.DUMMYFUNCTION("""COMPUTED_VALUE"""),0.8)</f>
        <v>0.8</v>
      </c>
      <c r="D1390" s="2" t="str">
        <f>IFERROR(__xludf.DUMMYFUNCTION("""COMPUTED_VALUE"""),"Patku")</f>
        <v>Patku</v>
      </c>
      <c r="E1390" s="2">
        <f>IFERROR(__xludf.DUMMYFUNCTION("""COMPUTED_VALUE"""),5282.0)</f>
        <v>5282</v>
      </c>
      <c r="F1390" s="3">
        <f>IFERROR(__xludf.DUMMYFUNCTION("""COMPUTED_VALUE"""),60899.0)</f>
        <v>60899</v>
      </c>
      <c r="G1390" s="2" t="str">
        <f>IFERROR(__xludf.DUMMYFUNCTION("""COMPUTED_VALUE"""),"KaskiParche Hydroelectric Company Pvt Ltd")</f>
        <v>KaskiParche Hydroelectric Company Pvt Ltd</v>
      </c>
      <c r="H1390" s="2" t="str">
        <f>IFERROR(__xludf.DUMMYFUNCTION("""COMPUTED_VALUE"""),"Balaju, Kathmandu-16")</f>
        <v>Balaju, Kathmandu-16</v>
      </c>
      <c r="I1390" s="2" t="str">
        <f>IFERROR(__xludf.DUMMYFUNCTION("""COMPUTED_VALUE"""),"28o 19' 36""")</f>
        <v>28o 19' 36"</v>
      </c>
      <c r="J1390" s="2" t="str">
        <f>IFERROR(__xludf.DUMMYFUNCTION("""COMPUTED_VALUE"""),"28o 21' 00""")</f>
        <v>28o 21' 00"</v>
      </c>
      <c r="K1390" s="2" t="str">
        <f>IFERROR(__xludf.DUMMYFUNCTION("""COMPUTED_VALUE"""),"84o 04' 52""")</f>
        <v>84o 04' 52"</v>
      </c>
      <c r="L1390" s="2" t="str">
        <f>IFERROR(__xludf.DUMMYFUNCTION("""COMPUTED_VALUE"""),"84o 05' 52""")</f>
        <v>84o 05' 52"</v>
      </c>
      <c r="M1390" s="2" t="str">
        <f>IFERROR(__xludf.DUMMYFUNCTION("""COMPUTED_VALUE"""),"Parche,Sildujure (Kaski)")</f>
        <v>Parche,Sildujure (Kaski)</v>
      </c>
    </row>
    <row r="1391">
      <c r="A1391" s="2">
        <f>IFERROR(__xludf.DUMMYFUNCTION("""COMPUTED_VALUE"""),1390.0)</f>
        <v>1390</v>
      </c>
      <c r="B1391" s="2" t="str">
        <f>IFERROR(__xludf.DUMMYFUNCTION("""COMPUTED_VALUE"""),"Upper Tatopani HPP")</f>
        <v>Upper Tatopani HPP</v>
      </c>
      <c r="C1391" s="2">
        <f>IFERROR(__xludf.DUMMYFUNCTION("""COMPUTED_VALUE"""),6.7)</f>
        <v>6.7</v>
      </c>
      <c r="D1391" s="2" t="str">
        <f>IFERROR(__xludf.DUMMYFUNCTION("""COMPUTED_VALUE"""),"Tatopani")</f>
        <v>Tatopani</v>
      </c>
      <c r="E1391" s="2">
        <f>IFERROR(__xludf.DUMMYFUNCTION("""COMPUTED_VALUE"""),5303.0)</f>
        <v>5303</v>
      </c>
      <c r="F1391" s="3">
        <f>IFERROR(__xludf.DUMMYFUNCTION("""COMPUTED_VALUE"""),60902.0)</f>
        <v>60902</v>
      </c>
      <c r="G1391" s="2" t="str">
        <f>IFERROR(__xludf.DUMMYFUNCTION("""COMPUTED_VALUE"""),"CEDB Hydrofund Limited")</f>
        <v>CEDB Hydrofund Limited</v>
      </c>
      <c r="H1391" s="2" t="str">
        <f>IFERROR(__xludf.DUMMYFUNCTION("""COMPUTED_VALUE"""),"Kathmandu, Tel:4761444/4261827")</f>
        <v>Kathmandu, Tel:4761444/4261827</v>
      </c>
      <c r="I1391" s="2" t="str">
        <f>IFERROR(__xludf.DUMMYFUNCTION("""COMPUTED_VALUE"""),"28o 13' 00""")</f>
        <v>28o 13' 00"</v>
      </c>
      <c r="J1391" s="2" t="str">
        <f>IFERROR(__xludf.DUMMYFUNCTION("""COMPUTED_VALUE"""),"28o 17' 00""")</f>
        <v>28o 17' 00"</v>
      </c>
      <c r="K1391" s="2" t="str">
        <f>IFERROR(__xludf.DUMMYFUNCTION("""COMPUTED_VALUE"""),"85o 03' 00""")</f>
        <v>85o 03' 00"</v>
      </c>
      <c r="L1391" s="2" t="str">
        <f>IFERROR(__xludf.DUMMYFUNCTION("""COMPUTED_VALUE"""),"85o 07' 00""")</f>
        <v>85o 07' 00"</v>
      </c>
      <c r="M1391" s="2" t="str">
        <f>IFERROR(__xludf.DUMMYFUNCTION("""COMPUTED_VALUE"""),"Lapa,Sirtung (Dhading)")</f>
        <v>Lapa,Sirtung (Dhading)</v>
      </c>
    </row>
    <row r="1392">
      <c r="A1392" s="2">
        <f>IFERROR(__xludf.DUMMYFUNCTION("""COMPUTED_VALUE"""),1391.0)</f>
        <v>1391</v>
      </c>
      <c r="B1392" s="2" t="str">
        <f>IFERROR(__xludf.DUMMYFUNCTION("""COMPUTED_VALUE"""),"Super Syar HPP")</f>
        <v>Super Syar HPP</v>
      </c>
      <c r="C1392" s="2">
        <f>IFERROR(__xludf.DUMMYFUNCTION("""COMPUTED_VALUE"""),32.0)</f>
        <v>32</v>
      </c>
      <c r="D1392" s="2" t="str">
        <f>IFERROR(__xludf.DUMMYFUNCTION("""COMPUTED_VALUE"""),"Syar")</f>
        <v>Syar</v>
      </c>
      <c r="E1392" s="2">
        <f>IFERROR(__xludf.DUMMYFUNCTION("""COMPUTED_VALUE"""),5304.0)</f>
        <v>5304</v>
      </c>
      <c r="F1392" s="3">
        <f>IFERROR(__xludf.DUMMYFUNCTION("""COMPUTED_VALUE"""),60902.0)</f>
        <v>60902</v>
      </c>
      <c r="G1392" s="2" t="str">
        <f>IFERROR(__xludf.DUMMYFUNCTION("""COMPUTED_VALUE"""),"CEDB Hydrofund Limited")</f>
        <v>CEDB Hydrofund Limited</v>
      </c>
      <c r="H1392" s="2" t="str">
        <f>IFERROR(__xludf.DUMMYFUNCTION("""COMPUTED_VALUE"""),"Kathmandu, Tel: 4761444/4261827")</f>
        <v>Kathmandu, Tel: 4761444/4261827</v>
      </c>
      <c r="I1392" s="2" t="str">
        <f>IFERROR(__xludf.DUMMYFUNCTION("""COMPUTED_VALUE"""),"28o 26' 22""")</f>
        <v>28o 26' 22"</v>
      </c>
      <c r="J1392" s="2" t="str">
        <f>IFERROR(__xludf.DUMMYFUNCTION("""COMPUTED_VALUE"""),"28o 32' 52""")</f>
        <v>28o 32' 52"</v>
      </c>
      <c r="K1392" s="2" t="str">
        <f>IFERROR(__xludf.DUMMYFUNCTION("""COMPUTED_VALUE"""),"84o 58' 00""")</f>
        <v>84o 58' 00"</v>
      </c>
      <c r="L1392" s="2" t="str">
        <f>IFERROR(__xludf.DUMMYFUNCTION("""COMPUTED_VALUE"""),"85o 06' 29""")</f>
        <v>85o 06' 29"</v>
      </c>
      <c r="M1392" s="2" t="str">
        <f>IFERROR(__xludf.DUMMYFUNCTION("""COMPUTED_VALUE"""),"Chhaikampar,Chunchet (Gorkha)")</f>
        <v>Chhaikampar,Chunchet (Gorkha)</v>
      </c>
    </row>
    <row r="1393">
      <c r="A1393" s="2">
        <f>IFERROR(__xludf.DUMMYFUNCTION("""COMPUTED_VALUE"""),1392.0)</f>
        <v>1392</v>
      </c>
      <c r="B1393" s="2" t="str">
        <f>IFERROR(__xludf.DUMMYFUNCTION("""COMPUTED_VALUE"""),"Ghatte Khola SHP")</f>
        <v>Ghatte Khola SHP</v>
      </c>
      <c r="C1393" s="2">
        <f>IFERROR(__xludf.DUMMYFUNCTION("""COMPUTED_VALUE"""),6.0)</f>
        <v>6</v>
      </c>
      <c r="D1393" s="2" t="str">
        <f>IFERROR(__xludf.DUMMYFUNCTION("""COMPUTED_VALUE"""),"Ghatte Khola")</f>
        <v>Ghatte Khola</v>
      </c>
      <c r="E1393" s="2">
        <f>IFERROR(__xludf.DUMMYFUNCTION("""COMPUTED_VALUE"""),5305.0)</f>
        <v>5305</v>
      </c>
      <c r="F1393" s="3">
        <f>IFERROR(__xludf.DUMMYFUNCTION("""COMPUTED_VALUE"""),60902.0)</f>
        <v>60902</v>
      </c>
      <c r="G1393" s="2" t="str">
        <f>IFERROR(__xludf.DUMMYFUNCTION("""COMPUTED_VALUE"""),"Krishna Lal Gauchan")</f>
        <v>Krishna Lal Gauchan</v>
      </c>
      <c r="H1393" s="2" t="str">
        <f>IFERROR(__xludf.DUMMYFUNCTION("""COMPUTED_VALUE"""),"GPO Box: 683, Kathmandu Tel: 9851031202")</f>
        <v>GPO Box: 683, Kathmandu Tel: 9851031202</v>
      </c>
      <c r="I1393" s="2" t="str">
        <f>IFERROR(__xludf.DUMMYFUNCTION("""COMPUTED_VALUE"""),"28o 40' 00""")</f>
        <v>28o 40' 00"</v>
      </c>
      <c r="J1393" s="2" t="str">
        <f>IFERROR(__xludf.DUMMYFUNCTION("""COMPUTED_VALUE"""),"28o 42' 30""")</f>
        <v>28o 42' 30"</v>
      </c>
      <c r="K1393" s="2" t="str">
        <f>IFERROR(__xludf.DUMMYFUNCTION("""COMPUTED_VALUE"""),"83o 34' 30""")</f>
        <v>83o 34' 30"</v>
      </c>
      <c r="L1393" s="2" t="str">
        <f>IFERROR(__xludf.DUMMYFUNCTION("""COMPUTED_VALUE"""),"83o 37' 00""")</f>
        <v>83o 37' 00"</v>
      </c>
      <c r="M1393" s="2" t="str">
        <f>IFERROR(__xludf.DUMMYFUNCTION("""COMPUTED_VALUE"""),"Kowang (Mustang)")</f>
        <v>Kowang (Mustang)</v>
      </c>
    </row>
    <row r="1394">
      <c r="A1394" s="2">
        <f>IFERROR(__xludf.DUMMYFUNCTION("""COMPUTED_VALUE"""),1393.0)</f>
        <v>1393</v>
      </c>
      <c r="B1394" s="2" t="str">
        <f>IFERROR(__xludf.DUMMYFUNCTION("""COMPUTED_VALUE"""),"Jeuli Gad SHP")</f>
        <v>Jeuli Gad SHP</v>
      </c>
      <c r="C1394" s="2">
        <f>IFERROR(__xludf.DUMMYFUNCTION("""COMPUTED_VALUE"""),0.989)</f>
        <v>0.989</v>
      </c>
      <c r="D1394" s="2" t="str">
        <f>IFERROR(__xludf.DUMMYFUNCTION("""COMPUTED_VALUE"""),"Jeuli Gad")</f>
        <v>Jeuli Gad</v>
      </c>
      <c r="E1394" s="2">
        <f>IFERROR(__xludf.DUMMYFUNCTION("""COMPUTED_VALUE"""),5306.0)</f>
        <v>5306</v>
      </c>
      <c r="F1394" s="3">
        <f>IFERROR(__xludf.DUMMYFUNCTION("""COMPUTED_VALUE"""),60902.0)</f>
        <v>60902</v>
      </c>
      <c r="G1394" s="2" t="str">
        <f>IFERROR(__xludf.DUMMYFUNCTION("""COMPUTED_VALUE"""),"Shewn Hydro Pvt Ltd")</f>
        <v>Shewn Hydro Pvt Ltd</v>
      </c>
      <c r="H1394" s="2" t="str">
        <f>IFERROR(__xludf.DUMMYFUNCTION("""COMPUTED_VALUE"""),"Kathmandu")</f>
        <v>Kathmandu</v>
      </c>
      <c r="I1394" s="2" t="str">
        <f>IFERROR(__xludf.DUMMYFUNCTION("""COMPUTED_VALUE"""),"29o 35' 55""")</f>
        <v>29o 35' 55"</v>
      </c>
      <c r="J1394" s="2" t="str">
        <f>IFERROR(__xludf.DUMMYFUNCTION("""COMPUTED_VALUE"""),"29o 38' 37""")</f>
        <v>29o 38' 37"</v>
      </c>
      <c r="K1394" s="2" t="str">
        <f>IFERROR(__xludf.DUMMYFUNCTION("""COMPUTED_VALUE"""),"81o 05' 33""")</f>
        <v>81o 05' 33"</v>
      </c>
      <c r="L1394" s="2" t="str">
        <f>IFERROR(__xludf.DUMMYFUNCTION("""COMPUTED_VALUE"""),"81o 08' 38""")</f>
        <v>81o 08' 38"</v>
      </c>
      <c r="M1394" s="2" t="str">
        <f>IFERROR(__xludf.DUMMYFUNCTION("""COMPUTED_VALUE"""),"Dilichaur (Bajhang)")</f>
        <v>Dilichaur (Bajhang)</v>
      </c>
    </row>
    <row r="1395">
      <c r="A1395" s="2">
        <f>IFERROR(__xludf.DUMMYFUNCTION("""COMPUTED_VALUE"""),1394.0)</f>
        <v>1394</v>
      </c>
      <c r="B1395" s="2" t="str">
        <f>IFERROR(__xludf.DUMMYFUNCTION("""COMPUTED_VALUE"""),"Lagan Khola SHP")</f>
        <v>Lagan Khola SHP</v>
      </c>
      <c r="C1395" s="2">
        <f>IFERROR(__xludf.DUMMYFUNCTION("""COMPUTED_VALUE"""),0.92)</f>
        <v>0.92</v>
      </c>
      <c r="D1395" s="2" t="str">
        <f>IFERROR(__xludf.DUMMYFUNCTION("""COMPUTED_VALUE"""),"Lagan")</f>
        <v>Lagan</v>
      </c>
      <c r="E1395" s="2">
        <f>IFERROR(__xludf.DUMMYFUNCTION("""COMPUTED_VALUE"""),5312.0)</f>
        <v>5312</v>
      </c>
      <c r="F1395" s="3">
        <f>IFERROR(__xludf.DUMMYFUNCTION("""COMPUTED_VALUE"""),60903.0)</f>
        <v>60903</v>
      </c>
      <c r="G1395" s="2" t="str">
        <f>IFERROR(__xludf.DUMMYFUNCTION("""COMPUTED_VALUE"""),"Maila Tamang")</f>
        <v>Maila Tamang</v>
      </c>
      <c r="H1395" s="2" t="str">
        <f>IFERROR(__xludf.DUMMYFUNCTION("""COMPUTED_VALUE"""),"Gumba VDC-5, Sindhupalchowk Tel: 9803916413")</f>
        <v>Gumba VDC-5, Sindhupalchowk Tel: 9803916413</v>
      </c>
      <c r="I1395" s="2" t="str">
        <f>IFERROR(__xludf.DUMMYFUNCTION("""COMPUTED_VALUE"""),"28o 04' 03""")</f>
        <v>28o 04' 03"</v>
      </c>
      <c r="J1395" s="2" t="str">
        <f>IFERROR(__xludf.DUMMYFUNCTION("""COMPUTED_VALUE"""),"28o 05' 40""")</f>
        <v>28o 05' 40"</v>
      </c>
      <c r="K1395" s="2" t="str">
        <f>IFERROR(__xludf.DUMMYFUNCTION("""COMPUTED_VALUE"""),"85o 44' 24""")</f>
        <v>85o 44' 24"</v>
      </c>
      <c r="L1395" s="2" t="str">
        <f>IFERROR(__xludf.DUMMYFUNCTION("""COMPUTED_VALUE"""),"85o 45' 36""")</f>
        <v>85o 45' 36"</v>
      </c>
      <c r="M1395" s="2" t="str">
        <f>IFERROR(__xludf.DUMMYFUNCTION("""COMPUTED_VALUE"""),"Gumba (Sindhupalchok)")</f>
        <v>Gumba (Sindhupalchok)</v>
      </c>
    </row>
    <row r="1396">
      <c r="A1396" s="2">
        <f>IFERROR(__xludf.DUMMYFUNCTION("""COMPUTED_VALUE"""),1395.0)</f>
        <v>1395</v>
      </c>
      <c r="B1396" s="2" t="str">
        <f>IFERROR(__xludf.DUMMYFUNCTION("""COMPUTED_VALUE"""),"Phedi Khola SHP")</f>
        <v>Phedi Khola SHP</v>
      </c>
      <c r="C1396" s="2">
        <f>IFERROR(__xludf.DUMMYFUNCTION("""COMPUTED_VALUE"""),0.78)</f>
        <v>0.78</v>
      </c>
      <c r="D1396" s="2" t="str">
        <f>IFERROR(__xludf.DUMMYFUNCTION("""COMPUTED_VALUE"""),"Phedi Khola")</f>
        <v>Phedi Khola</v>
      </c>
      <c r="E1396" s="2">
        <f>IFERROR(__xludf.DUMMYFUNCTION("""COMPUTED_VALUE"""),5324.0)</f>
        <v>5324</v>
      </c>
      <c r="F1396" s="3">
        <f>IFERROR(__xludf.DUMMYFUNCTION("""COMPUTED_VALUE"""),60904.0)</f>
        <v>60904</v>
      </c>
      <c r="G1396" s="2" t="str">
        <f>IFERROR(__xludf.DUMMYFUNCTION("""COMPUTED_VALUE"""),"Unnati Hydropower Pvt Ltd")</f>
        <v>Unnati Hydropower Pvt Ltd</v>
      </c>
      <c r="H1396" s="2" t="str">
        <f>IFERROR(__xludf.DUMMYFUNCTION("""COMPUTED_VALUE"""),"Kathmandu, Tel: 9851108971")</f>
        <v>Kathmandu, Tel: 9851108971</v>
      </c>
      <c r="I1396" s="2" t="str">
        <f>IFERROR(__xludf.DUMMYFUNCTION("""COMPUTED_VALUE"""),"27o 21' 38""")</f>
        <v>27o 21' 38"</v>
      </c>
      <c r="J1396" s="2" t="str">
        <f>IFERROR(__xludf.DUMMYFUNCTION("""COMPUTED_VALUE"""),"27o 25' 00""")</f>
        <v>27o 25' 00"</v>
      </c>
      <c r="K1396" s="2" t="str">
        <f>IFERROR(__xludf.DUMMYFUNCTION("""COMPUTED_VALUE"""),"86o 58' 10""")</f>
        <v>86o 58' 10"</v>
      </c>
      <c r="L1396" s="2" t="str">
        <f>IFERROR(__xludf.DUMMYFUNCTION("""COMPUTED_VALUE"""),"87o 00' 22""")</f>
        <v>87o 00' 22"</v>
      </c>
      <c r="M1396" s="2" t="str">
        <f>IFERROR(__xludf.DUMMYFUNCTION("""COMPUTED_VALUE"""),"Dobhane (Bhojpur)")</f>
        <v>Dobhane (Bhojpur)</v>
      </c>
    </row>
    <row r="1397">
      <c r="A1397" s="2">
        <f>IFERROR(__xludf.DUMMYFUNCTION("""COMPUTED_VALUE"""),1396.0)</f>
        <v>1396</v>
      </c>
      <c r="B1397" s="2" t="str">
        <f>IFERROR(__xludf.DUMMYFUNCTION("""COMPUTED_VALUE"""),"Hadi Khola HPP")</f>
        <v>Hadi Khola HPP</v>
      </c>
      <c r="C1397" s="2">
        <f>IFERROR(__xludf.DUMMYFUNCTION("""COMPUTED_VALUE"""),1.485)</f>
        <v>1.485</v>
      </c>
      <c r="D1397" s="2" t="str">
        <f>IFERROR(__xludf.DUMMYFUNCTION("""COMPUTED_VALUE"""),"Hadi")</f>
        <v>Hadi</v>
      </c>
      <c r="E1397" s="2">
        <f>IFERROR(__xludf.DUMMYFUNCTION("""COMPUTED_VALUE"""),5331.0)</f>
        <v>5331</v>
      </c>
      <c r="F1397" s="3">
        <f>IFERROR(__xludf.DUMMYFUNCTION("""COMPUTED_VALUE"""),60904.0)</f>
        <v>60904</v>
      </c>
      <c r="G1397" s="2" t="str">
        <f>IFERROR(__xludf.DUMMYFUNCTION("""COMPUTED_VALUE"""),"Siro Investment Pvt Ltd")</f>
        <v>Siro Investment Pvt Ltd</v>
      </c>
      <c r="H1397" s="2" t="str">
        <f>IFERROR(__xludf.DUMMYFUNCTION("""COMPUTED_VALUE"""),"Tangal, Kathmandu")</f>
        <v>Tangal, Kathmandu</v>
      </c>
      <c r="I1397" s="2" t="str">
        <f>IFERROR(__xludf.DUMMYFUNCTION("""COMPUTED_VALUE"""),"27o 46' 38""")</f>
        <v>27o 46' 38"</v>
      </c>
      <c r="J1397" s="2" t="str">
        <f>IFERROR(__xludf.DUMMYFUNCTION("""COMPUTED_VALUE"""),"27o 47' 43""")</f>
        <v>27o 47' 43"</v>
      </c>
      <c r="K1397" s="2" t="str">
        <f>IFERROR(__xludf.DUMMYFUNCTION("""COMPUTED_VALUE"""),"85o 57' 35""")</f>
        <v>85o 57' 35"</v>
      </c>
      <c r="L1397" s="2" t="str">
        <f>IFERROR(__xludf.DUMMYFUNCTION("""COMPUTED_VALUE"""),"85o 59' 16""")</f>
        <v>85o 59' 16"</v>
      </c>
      <c r="M1397" s="2" t="str">
        <f>IFERROR(__xludf.DUMMYFUNCTION("""COMPUTED_VALUE"""),"Choukati,Ghorthali,Karthali (Sindhupalchok)")</f>
        <v>Choukati,Ghorthali,Karthali (Sindhupalchok)</v>
      </c>
    </row>
    <row r="1398">
      <c r="A1398" s="2">
        <f>IFERROR(__xludf.DUMMYFUNCTION("""COMPUTED_VALUE"""),1397.0)</f>
        <v>1397</v>
      </c>
      <c r="B1398" s="2" t="str">
        <f>IFERROR(__xludf.DUMMYFUNCTION("""COMPUTED_VALUE"""),"Madme Khola HPP")</f>
        <v>Madme Khola HPP</v>
      </c>
      <c r="C1398" s="2">
        <f>IFERROR(__xludf.DUMMYFUNCTION("""COMPUTED_VALUE"""),5.0)</f>
        <v>5</v>
      </c>
      <c r="D1398" s="2" t="str">
        <f>IFERROR(__xludf.DUMMYFUNCTION("""COMPUTED_VALUE"""),"Madme Khola")</f>
        <v>Madme Khola</v>
      </c>
      <c r="E1398" s="2">
        <f>IFERROR(__xludf.DUMMYFUNCTION("""COMPUTED_VALUE"""),5336.0)</f>
        <v>5336</v>
      </c>
      <c r="F1398" s="3">
        <f>IFERROR(__xludf.DUMMYFUNCTION("""COMPUTED_VALUE"""),60904.0)</f>
        <v>60904</v>
      </c>
      <c r="G1398" s="2" t="str">
        <f>IFERROR(__xludf.DUMMYFUNCTION("""COMPUTED_VALUE"""),"Namarjung Hydropower Company Ltd")</f>
        <v>Namarjung Hydropower Company Ltd</v>
      </c>
      <c r="H1398" s="2" t="str">
        <f>IFERROR(__xludf.DUMMYFUNCTION("""COMPUTED_VALUE"""),"Kathmandu")</f>
        <v>Kathmandu</v>
      </c>
      <c r="I1398" s="2" t="str">
        <f>IFERROR(__xludf.DUMMYFUNCTION("""COMPUTED_VALUE"""),"28o 25' 48""")</f>
        <v>28o 25' 48"</v>
      </c>
      <c r="J1398" s="2" t="str">
        <f>IFERROR(__xludf.DUMMYFUNCTION("""COMPUTED_VALUE"""),"28o 26' 37""")</f>
        <v>28o 26' 37"</v>
      </c>
      <c r="K1398" s="2" t="str">
        <f>IFERROR(__xludf.DUMMYFUNCTION("""COMPUTED_VALUE"""),"84o 09' 15""")</f>
        <v>84o 09' 15"</v>
      </c>
      <c r="L1398" s="2" t="str">
        <f>IFERROR(__xludf.DUMMYFUNCTION("""COMPUTED_VALUE"""),"84o 11' 13""")</f>
        <v>84o 11' 13"</v>
      </c>
      <c r="M1398" s="2" t="str">
        <f>IFERROR(__xludf.DUMMYFUNCTION("""COMPUTED_VALUE"""),"Namarjung (Kaski)")</f>
        <v>Namarjung (Kaski)</v>
      </c>
    </row>
    <row r="1399">
      <c r="A1399" s="2">
        <f>IFERROR(__xludf.DUMMYFUNCTION("""COMPUTED_VALUE"""),1398.0)</f>
        <v>1398</v>
      </c>
      <c r="B1399" s="2" t="str">
        <f>IFERROR(__xludf.DUMMYFUNCTION("""COMPUTED_VALUE"""),"Super Nyadi HPP")</f>
        <v>Super Nyadi HPP</v>
      </c>
      <c r="C1399" s="2">
        <f>IFERROR(__xludf.DUMMYFUNCTION("""COMPUTED_VALUE"""),40.0)</f>
        <v>40</v>
      </c>
      <c r="D1399" s="2" t="str">
        <f>IFERROR(__xludf.DUMMYFUNCTION("""COMPUTED_VALUE"""),"Nyadi")</f>
        <v>Nyadi</v>
      </c>
      <c r="E1399" s="2">
        <f>IFERROR(__xludf.DUMMYFUNCTION("""COMPUTED_VALUE"""),5365.0)</f>
        <v>5365</v>
      </c>
      <c r="F1399" s="3">
        <f>IFERROR(__xludf.DUMMYFUNCTION("""COMPUTED_VALUE"""),60908.0)</f>
        <v>60908</v>
      </c>
      <c r="G1399" s="2" t="str">
        <f>IFERROR(__xludf.DUMMYFUNCTION("""COMPUTED_VALUE"""),"Super Ngadi Hydropower Company Pvt Ltd")</f>
        <v>Super Ngadi Hydropower Company Pvt Ltd</v>
      </c>
      <c r="H1399" s="2" t="str">
        <f>IFERROR(__xludf.DUMMYFUNCTION("""COMPUTED_VALUE"""),"Dhapasi, Kathmandu Tel:9841037816")</f>
        <v>Dhapasi, Kathmandu Tel:9841037816</v>
      </c>
      <c r="I1399" s="2" t="str">
        <f>IFERROR(__xludf.DUMMYFUNCTION("""COMPUTED_VALUE"""),"28o 21' 07""")</f>
        <v>28o 21' 07"</v>
      </c>
      <c r="J1399" s="2" t="str">
        <f>IFERROR(__xludf.DUMMYFUNCTION("""COMPUTED_VALUE"""),"28o 24' 23""")</f>
        <v>28o 24' 23"</v>
      </c>
      <c r="K1399" s="2" t="str">
        <f>IFERROR(__xludf.DUMMYFUNCTION("""COMPUTED_VALUE"""),"84o 26' 57""")</f>
        <v>84o 26' 57"</v>
      </c>
      <c r="L1399" s="2" t="str">
        <f>IFERROR(__xludf.DUMMYFUNCTION("""COMPUTED_VALUE"""),"84o 30' 18""")</f>
        <v>84o 30' 18"</v>
      </c>
      <c r="M1399" s="2" t="str">
        <f>IFERROR(__xludf.DUMMYFUNCTION("""COMPUTED_VALUE"""),"Bhulbhule,Bahundada (Lamjung)")</f>
        <v>Bhulbhule,Bahundada (Lamjung)</v>
      </c>
    </row>
    <row r="1400">
      <c r="A1400" s="2">
        <f>IFERROR(__xludf.DUMMYFUNCTION("""COMPUTED_VALUE"""),1399.0)</f>
        <v>1399</v>
      </c>
      <c r="B1400" s="2" t="str">
        <f>IFERROR(__xludf.DUMMYFUNCTION("""COMPUTED_VALUE"""),"Pangarpu (Ghatta) Khola SHP")</f>
        <v>Pangarpu (Ghatta) Khola SHP</v>
      </c>
      <c r="C1400" s="2">
        <f>IFERROR(__xludf.DUMMYFUNCTION("""COMPUTED_VALUE"""),0.46)</f>
        <v>0.46</v>
      </c>
      <c r="D1400" s="2" t="str">
        <f>IFERROR(__xludf.DUMMYFUNCTION("""COMPUTED_VALUE"""),"Pangarpu")</f>
        <v>Pangarpu</v>
      </c>
      <c r="E1400" s="2">
        <f>IFERROR(__xludf.DUMMYFUNCTION("""COMPUTED_VALUE"""),5368.0)</f>
        <v>5368</v>
      </c>
      <c r="F1400" s="3">
        <f>IFERROR(__xludf.DUMMYFUNCTION("""COMPUTED_VALUE"""),60908.0)</f>
        <v>60908</v>
      </c>
      <c r="G1400" s="2" t="str">
        <f>IFERROR(__xludf.DUMMYFUNCTION("""COMPUTED_VALUE"""),"Himal Lama, P.B.Silwal,D.B.Sunuwar,B.B.Sunuwar,P.B.Sunuwar")</f>
        <v>Himal Lama, P.B.Silwal,D.B.Sunuwar,B.B.Sunuwar,P.B.Sunuwar</v>
      </c>
      <c r="H1400" s="2" t="str">
        <f>IFERROR(__xludf.DUMMYFUNCTION("""COMPUTED_VALUE"""),"Gumba VDC-1, Sindhupalchowk Tel: 011690015,9741110011")</f>
        <v>Gumba VDC-1, Sindhupalchowk Tel: 011690015,9741110011</v>
      </c>
      <c r="I1400" s="2" t="str">
        <f>IFERROR(__xludf.DUMMYFUNCTION("""COMPUTED_VALUE"""),"27o 54' 20""")</f>
        <v>27o 54' 20"</v>
      </c>
      <c r="J1400" s="2" t="str">
        <f>IFERROR(__xludf.DUMMYFUNCTION("""COMPUTED_VALUE"""),"27o 55' 26""")</f>
        <v>27o 55' 26"</v>
      </c>
      <c r="K1400" s="2" t="str">
        <f>IFERROR(__xludf.DUMMYFUNCTION("""COMPUTED_VALUE"""),"85o 46' 12""")</f>
        <v>85o 46' 12"</v>
      </c>
      <c r="L1400" s="2" t="str">
        <f>IFERROR(__xludf.DUMMYFUNCTION("""COMPUTED_VALUE"""),"85o 47' 43""")</f>
        <v>85o 47' 43"</v>
      </c>
      <c r="M1400" s="2" t="str">
        <f>IFERROR(__xludf.DUMMYFUNCTION("""COMPUTED_VALUE"""),"Gumba (Sindhupalchok)")</f>
        <v>Gumba (Sindhupalchok)</v>
      </c>
    </row>
    <row r="1401">
      <c r="A1401" s="2">
        <f>IFERROR(__xludf.DUMMYFUNCTION("""COMPUTED_VALUE"""),1400.0)</f>
        <v>1400</v>
      </c>
      <c r="B1401" s="2" t="str">
        <f>IFERROR(__xludf.DUMMYFUNCTION("""COMPUTED_VALUE"""),"Siddhi Khola SHP")</f>
        <v>Siddhi Khola SHP</v>
      </c>
      <c r="C1401" s="2">
        <f>IFERROR(__xludf.DUMMYFUNCTION("""COMPUTED_VALUE"""),0.644)</f>
        <v>0.644</v>
      </c>
      <c r="D1401" s="2" t="str">
        <f>IFERROR(__xludf.DUMMYFUNCTION("""COMPUTED_VALUE"""),"Siddhi Khola")</f>
        <v>Siddhi Khola</v>
      </c>
      <c r="E1401" s="2">
        <f>IFERROR(__xludf.DUMMYFUNCTION("""COMPUTED_VALUE"""),5508.0)</f>
        <v>5508</v>
      </c>
      <c r="F1401" s="3">
        <f>IFERROR(__xludf.DUMMYFUNCTION("""COMPUTED_VALUE"""),60913.0)</f>
        <v>60913</v>
      </c>
      <c r="G1401" s="2" t="str">
        <f>IFERROR(__xludf.DUMMYFUNCTION("""COMPUTED_VALUE"""),"Deependra Adhikari")</f>
        <v>Deependra Adhikari</v>
      </c>
      <c r="H1401" s="2" t="str">
        <f>IFERROR(__xludf.DUMMYFUNCTION("""COMPUTED_VALUE"""),"Sidhikali-6, Sankhuwasabha Tel: 9841584411")</f>
        <v>Sidhikali-6, Sankhuwasabha Tel: 9841584411</v>
      </c>
      <c r="I1401" s="2" t="str">
        <f>IFERROR(__xludf.DUMMYFUNCTION("""COMPUTED_VALUE"""),"26o 52' 30""")</f>
        <v>26o 52' 30"</v>
      </c>
      <c r="J1401" s="2" t="str">
        <f>IFERROR(__xludf.DUMMYFUNCTION("""COMPUTED_VALUE"""),"26o 54' 16""")</f>
        <v>26o 54' 16"</v>
      </c>
      <c r="K1401" s="2" t="str">
        <f>IFERROR(__xludf.DUMMYFUNCTION("""COMPUTED_VALUE"""),"88o 05' 50""")</f>
        <v>88o 05' 50"</v>
      </c>
      <c r="L1401" s="2" t="str">
        <f>IFERROR(__xludf.DUMMYFUNCTION("""COMPUTED_VALUE"""),"88o 07' 03""")</f>
        <v>88o 07' 03"</v>
      </c>
      <c r="M1401" s="2" t="str">
        <f>IFERROR(__xludf.DUMMYFUNCTION("""COMPUTED_VALUE"""),"Kanyam,Shree Antu (Ilam)")</f>
        <v>Kanyam,Shree Antu (Ilam)</v>
      </c>
    </row>
    <row r="1402">
      <c r="A1402" s="2">
        <f>IFERROR(__xludf.DUMMYFUNCTION("""COMPUTED_VALUE"""),1401.0)</f>
        <v>1401</v>
      </c>
      <c r="B1402" s="2" t="str">
        <f>IFERROR(__xludf.DUMMYFUNCTION("""COMPUTED_VALUE"""),"Lower Teliya Khola")</f>
        <v>Lower Teliya Khola</v>
      </c>
      <c r="C1402" s="2">
        <f>IFERROR(__xludf.DUMMYFUNCTION("""COMPUTED_VALUE"""),0.988)</f>
        <v>0.988</v>
      </c>
      <c r="D1402" s="2" t="str">
        <f>IFERROR(__xludf.DUMMYFUNCTION("""COMPUTED_VALUE"""),"Teliya")</f>
        <v>Teliya</v>
      </c>
      <c r="E1402" s="2">
        <f>IFERROR(__xludf.DUMMYFUNCTION("""COMPUTED_VALUE"""),5509.0)</f>
        <v>5509</v>
      </c>
      <c r="F1402" s="3">
        <f>IFERROR(__xludf.DUMMYFUNCTION("""COMPUTED_VALUE"""),60913.0)</f>
        <v>60913</v>
      </c>
      <c r="G1402" s="2" t="str">
        <f>IFERROR(__xludf.DUMMYFUNCTION("""COMPUTED_VALUE"""),"Durga Adhikari")</f>
        <v>Durga Adhikari</v>
      </c>
      <c r="H1402" s="2" t="str">
        <f>IFERROR(__xludf.DUMMYFUNCTION("""COMPUTED_VALUE"""),"Sidhikali-6, Sankhuwasabha Tel: 9752003151")</f>
        <v>Sidhikali-6, Sankhuwasabha Tel: 9752003151</v>
      </c>
      <c r="I1402" s="2" t="str">
        <f>IFERROR(__xludf.DUMMYFUNCTION("""COMPUTED_VALUE"""),"27o 00' 00""")</f>
        <v>27o 00' 00"</v>
      </c>
      <c r="J1402" s="2" t="str">
        <f>IFERROR(__xludf.DUMMYFUNCTION("""COMPUTED_VALUE"""),"27o 00' 48""")</f>
        <v>27o 00' 48"</v>
      </c>
      <c r="K1402" s="2" t="str">
        <f>IFERROR(__xludf.DUMMYFUNCTION("""COMPUTED_VALUE"""),"87o 25' 23""")</f>
        <v>87o 25' 23"</v>
      </c>
      <c r="L1402" s="2" t="str">
        <f>IFERROR(__xludf.DUMMYFUNCTION("""COMPUTED_VALUE"""),"87o 27' 13""")</f>
        <v>87o 27' 13"</v>
      </c>
      <c r="M1402" s="2" t="str">
        <f>IFERROR(__xludf.DUMMYFUNCTION("""COMPUTED_VALUE"""),"Telia (Dhankuta)")</f>
        <v>Telia (Dhankuta)</v>
      </c>
    </row>
    <row r="1403">
      <c r="A1403" s="2">
        <f>IFERROR(__xludf.DUMMYFUNCTION("""COMPUTED_VALUE"""),1402.0)</f>
        <v>1402</v>
      </c>
      <c r="B1403" s="2" t="str">
        <f>IFERROR(__xludf.DUMMYFUNCTION("""COMPUTED_VALUE"""),"Siddhi Khola III SHP")</f>
        <v>Siddhi Khola III SHP</v>
      </c>
      <c r="C1403" s="2">
        <f>IFERROR(__xludf.DUMMYFUNCTION("""COMPUTED_VALUE"""),0.999)</f>
        <v>0.999</v>
      </c>
      <c r="D1403" s="2" t="str">
        <f>IFERROR(__xludf.DUMMYFUNCTION("""COMPUTED_VALUE"""),"Siddhi Khola")</f>
        <v>Siddhi Khola</v>
      </c>
      <c r="E1403" s="2">
        <f>IFERROR(__xludf.DUMMYFUNCTION("""COMPUTED_VALUE"""),5510.0)</f>
        <v>5510</v>
      </c>
      <c r="F1403" s="3">
        <f>IFERROR(__xludf.DUMMYFUNCTION("""COMPUTED_VALUE"""),60913.0)</f>
        <v>60913</v>
      </c>
      <c r="G1403" s="2" t="str">
        <f>IFERROR(__xludf.DUMMYFUNCTION("""COMPUTED_VALUE"""),"Durga B Adhikari")</f>
        <v>Durga B Adhikari</v>
      </c>
      <c r="H1403" s="2" t="str">
        <f>IFERROR(__xludf.DUMMYFUNCTION("""COMPUTED_VALUE"""),"Sidhikali-6, Sankhuwasabha Tel: 9752003151")</f>
        <v>Sidhikali-6, Sankhuwasabha Tel: 9752003151</v>
      </c>
      <c r="I1403" s="2" t="str">
        <f>IFERROR(__xludf.DUMMYFUNCTION("""COMPUTED_VALUE"""),"26o 49' 22""")</f>
        <v>26o 49' 22"</v>
      </c>
      <c r="J1403" s="2" t="str">
        <f>IFERROR(__xludf.DUMMYFUNCTION("""COMPUTED_VALUE"""),"26o 51' 02""")</f>
        <v>26o 51' 02"</v>
      </c>
      <c r="K1403" s="2" t="str">
        <f>IFERROR(__xludf.DUMMYFUNCTION("""COMPUTED_VALUE"""),"88o 08' 49""")</f>
        <v>88o 08' 49"</v>
      </c>
      <c r="L1403" s="2" t="str">
        <f>IFERROR(__xludf.DUMMYFUNCTION("""COMPUTED_VALUE"""),"88o 10' 00""")</f>
        <v>88o 10' 00"</v>
      </c>
      <c r="M1403" s="2" t="str">
        <f>IFERROR(__xludf.DUMMYFUNCTION("""COMPUTED_VALUE"""),"Sulubung,Jirmale (Ilam)")</f>
        <v>Sulubung,Jirmale (Ilam)</v>
      </c>
    </row>
    <row r="1404">
      <c r="A1404" s="2">
        <f>IFERROR(__xludf.DUMMYFUNCTION("""COMPUTED_VALUE"""),1403.0)</f>
        <v>1403</v>
      </c>
      <c r="B1404" s="2" t="str">
        <f>IFERROR(__xludf.DUMMYFUNCTION("""COMPUTED_VALUE"""),"Nagi Khola HPP")</f>
        <v>Nagi Khola HPP</v>
      </c>
      <c r="C1404" s="2">
        <f>IFERROR(__xludf.DUMMYFUNCTION("""COMPUTED_VALUE"""),0.6)</f>
        <v>0.6</v>
      </c>
      <c r="D1404" s="2" t="str">
        <f>IFERROR(__xludf.DUMMYFUNCTION("""COMPUTED_VALUE"""),"Nagi")</f>
        <v>Nagi</v>
      </c>
      <c r="E1404" s="2">
        <f>IFERROR(__xludf.DUMMYFUNCTION("""COMPUTED_VALUE"""),5529.0)</f>
        <v>5529</v>
      </c>
      <c r="F1404" s="3">
        <f>IFERROR(__xludf.DUMMYFUNCTION("""COMPUTED_VALUE"""),60915.0)</f>
        <v>60915</v>
      </c>
      <c r="G1404" s="2" t="str">
        <f>IFERROR(__xludf.DUMMYFUNCTION("""COMPUTED_VALUE"""),"M.P.Tamanag, R.B.Lama, Nima Gyalchen Sherpa")</f>
        <v>M.P.Tamanag, R.B.Lama, Nima Gyalchen Sherpa</v>
      </c>
      <c r="H1404" s="2" t="str">
        <f>IFERROR(__xludf.DUMMYFUNCTION("""COMPUTED_VALUE"""),"Phulpinkatti, Sindhupalchowk, Tel: 9851010522")</f>
        <v>Phulpinkatti, Sindhupalchowk, Tel: 9851010522</v>
      </c>
      <c r="I1404" s="2" t="str">
        <f>IFERROR(__xludf.DUMMYFUNCTION("""COMPUTED_VALUE"""),"28o 00' 34""")</f>
        <v>28o 00' 34"</v>
      </c>
      <c r="J1404" s="2" t="str">
        <f>IFERROR(__xludf.DUMMYFUNCTION("""COMPUTED_VALUE"""),"28o 01' 22""")</f>
        <v>28o 01' 22"</v>
      </c>
      <c r="K1404" s="2" t="str">
        <f>IFERROR(__xludf.DUMMYFUNCTION("""COMPUTED_VALUE"""),"85o 45' 00""")</f>
        <v>85o 45' 00"</v>
      </c>
      <c r="L1404" s="2" t="str">
        <f>IFERROR(__xludf.DUMMYFUNCTION("""COMPUTED_VALUE"""),"85o 46' 57""")</f>
        <v>85o 46' 57"</v>
      </c>
      <c r="M1404" s="2" t="str">
        <f>IFERROR(__xludf.DUMMYFUNCTION("""COMPUTED_VALUE"""),"Golche (Sindhupalchok)")</f>
        <v>Golche (Sindhupalchok)</v>
      </c>
    </row>
    <row r="1405">
      <c r="A1405" s="2">
        <f>IFERROR(__xludf.DUMMYFUNCTION("""COMPUTED_VALUE"""),1404.0)</f>
        <v>1404</v>
      </c>
      <c r="B1405" s="2" t="str">
        <f>IFERROR(__xludf.DUMMYFUNCTION("""COMPUTED_VALUE"""),"Upper Kabeli A HPP")</f>
        <v>Upper Kabeli A HPP</v>
      </c>
      <c r="C1405" s="2">
        <f>IFERROR(__xludf.DUMMYFUNCTION("""COMPUTED_VALUE"""),11.772)</f>
        <v>11.772</v>
      </c>
      <c r="D1405" s="2" t="str">
        <f>IFERROR(__xludf.DUMMYFUNCTION("""COMPUTED_VALUE"""),"Kabeli Khola")</f>
        <v>Kabeli Khola</v>
      </c>
      <c r="E1405" s="2">
        <f>IFERROR(__xludf.DUMMYFUNCTION("""COMPUTED_VALUE"""),5534.0)</f>
        <v>5534</v>
      </c>
      <c r="F1405" s="3">
        <f>IFERROR(__xludf.DUMMYFUNCTION("""COMPUTED_VALUE"""),60916.0)</f>
        <v>60916</v>
      </c>
      <c r="G1405" s="2" t="str">
        <f>IFERROR(__xludf.DUMMYFUNCTION("""COMPUTED_VALUE"""),"Nirmala Thebe, Urmila Thebe")</f>
        <v>Nirmala Thebe, Urmila Thebe</v>
      </c>
      <c r="H1405" s="2" t="str">
        <f>IFERROR(__xludf.DUMMYFUNCTION("""COMPUTED_VALUE"""),"Sinam-6, Taplejung Tel: 9841898034")</f>
        <v>Sinam-6, Taplejung Tel: 9841898034</v>
      </c>
      <c r="I1405" s="2" t="str">
        <f>IFERROR(__xludf.DUMMYFUNCTION("""COMPUTED_VALUE"""),"27o 19' 39""")</f>
        <v>27o 19' 39"</v>
      </c>
      <c r="J1405" s="2" t="str">
        <f>IFERROR(__xludf.DUMMYFUNCTION("""COMPUTED_VALUE"""),"27o 21' 43""")</f>
        <v>27o 21' 43"</v>
      </c>
      <c r="K1405" s="2" t="str">
        <f>IFERROR(__xludf.DUMMYFUNCTION("""COMPUTED_VALUE"""),"87o 50' 20""")</f>
        <v>87o 50' 20"</v>
      </c>
      <c r="L1405" s="2" t="str">
        <f>IFERROR(__xludf.DUMMYFUNCTION("""COMPUTED_VALUE"""),"87o 52' 47""")</f>
        <v>87o 52' 47"</v>
      </c>
      <c r="M1405" s="2" t="str">
        <f>IFERROR(__xludf.DUMMYFUNCTION("""COMPUTED_VALUE"""),"Mehele (Taplejung)")</f>
        <v>Mehele (Taplejung)</v>
      </c>
    </row>
    <row r="1406">
      <c r="A1406" s="2">
        <f>IFERROR(__xludf.DUMMYFUNCTION("""COMPUTED_VALUE"""),1405.0)</f>
        <v>1405</v>
      </c>
      <c r="B1406" s="2" t="str">
        <f>IFERROR(__xludf.DUMMYFUNCTION("""COMPUTED_VALUE"""),"Siddhi Khola II SHP")</f>
        <v>Siddhi Khola II SHP</v>
      </c>
      <c r="C1406" s="2">
        <f>IFERROR(__xludf.DUMMYFUNCTION("""COMPUTED_VALUE"""),0.839)</f>
        <v>0.839</v>
      </c>
      <c r="D1406" s="2" t="str">
        <f>IFERROR(__xludf.DUMMYFUNCTION("""COMPUTED_VALUE"""),"Siddhi Khola")</f>
        <v>Siddhi Khola</v>
      </c>
      <c r="E1406" s="2">
        <f>IFERROR(__xludf.DUMMYFUNCTION("""COMPUTED_VALUE"""),5586.0)</f>
        <v>5586</v>
      </c>
      <c r="F1406" s="3">
        <f>IFERROR(__xludf.DUMMYFUNCTION("""COMPUTED_VALUE"""),60917.0)</f>
        <v>60917</v>
      </c>
      <c r="G1406" s="2" t="str">
        <f>IFERROR(__xludf.DUMMYFUNCTION("""COMPUTED_VALUE"""),"Pavitra Giri")</f>
        <v>Pavitra Giri</v>
      </c>
      <c r="H1406" s="2" t="str">
        <f>IFERROR(__xludf.DUMMYFUNCTION("""COMPUTED_VALUE"""),"Kaski, Tel: 9841584411")</f>
        <v>Kaski, Tel: 9841584411</v>
      </c>
      <c r="I1406" s="2" t="str">
        <f>IFERROR(__xludf.DUMMYFUNCTION("""COMPUTED_VALUE"""),"26o 51' 02""")</f>
        <v>26o 51' 02"</v>
      </c>
      <c r="J1406" s="2" t="str">
        <f>IFERROR(__xludf.DUMMYFUNCTION("""COMPUTED_VALUE"""),"26o 52' 30""")</f>
        <v>26o 52' 30"</v>
      </c>
      <c r="K1406" s="2" t="str">
        <f>IFERROR(__xludf.DUMMYFUNCTION("""COMPUTED_VALUE"""),"88o 05' 49""")</f>
        <v>88o 05' 49"</v>
      </c>
      <c r="L1406" s="2" t="str">
        <f>IFERROR(__xludf.DUMMYFUNCTION("""COMPUTED_VALUE"""),"88o 07' 30""")</f>
        <v>88o 07' 30"</v>
      </c>
      <c r="M1406" s="2" t="str">
        <f>IFERROR(__xludf.DUMMYFUNCTION("""COMPUTED_VALUE"""),"Kanyam,Sulubung (Ilam)")</f>
        <v>Kanyam,Sulubung (Ilam)</v>
      </c>
    </row>
    <row r="1407">
      <c r="A1407" s="2">
        <f>IFERROR(__xludf.DUMMYFUNCTION("""COMPUTED_VALUE"""),1406.0)</f>
        <v>1406</v>
      </c>
      <c r="B1407" s="2" t="str">
        <f>IFERROR(__xludf.DUMMYFUNCTION("""COMPUTED_VALUE"""),"Kalanga A HPP")</f>
        <v>Kalanga A HPP</v>
      </c>
      <c r="C1407" s="2">
        <f>IFERROR(__xludf.DUMMYFUNCTION("""COMPUTED_VALUE"""),5.0)</f>
        <v>5</v>
      </c>
      <c r="D1407" s="2" t="str">
        <f>IFERROR(__xludf.DUMMYFUNCTION("""COMPUTED_VALUE"""),"Kalanga Gad")</f>
        <v>Kalanga Gad</v>
      </c>
      <c r="E1407" s="2">
        <f>IFERROR(__xludf.DUMMYFUNCTION("""COMPUTED_VALUE"""),5590.0)</f>
        <v>5590</v>
      </c>
      <c r="F1407" s="3">
        <f>IFERROR(__xludf.DUMMYFUNCTION("""COMPUTED_VALUE"""),60917.0)</f>
        <v>60917</v>
      </c>
      <c r="G1407" s="2" t="str">
        <f>IFERROR(__xludf.DUMMYFUNCTION("""COMPUTED_VALUE"""),"Rangun Hydropower Pvt Ltd")</f>
        <v>Rangun Hydropower Pvt Ltd</v>
      </c>
      <c r="H1407" s="2" t="str">
        <f>IFERROR(__xludf.DUMMYFUNCTION("""COMPUTED_VALUE"""),"Sukedhara-4, Kathmandu Tel; 9851034375")</f>
        <v>Sukedhara-4, Kathmandu Tel; 9851034375</v>
      </c>
      <c r="I1407" s="2" t="str">
        <f>IFERROR(__xludf.DUMMYFUNCTION("""COMPUTED_VALUE"""),"29o 29' 01""")</f>
        <v>29o 29' 01"</v>
      </c>
      <c r="J1407" s="2" t="str">
        <f>IFERROR(__xludf.DUMMYFUNCTION("""COMPUTED_VALUE"""),"29o 30' 34""")</f>
        <v>29o 30' 34"</v>
      </c>
      <c r="K1407" s="2" t="str">
        <f>IFERROR(__xludf.DUMMYFUNCTION("""COMPUTED_VALUE"""),"80o 52' 30""")</f>
        <v>80o 52' 30"</v>
      </c>
      <c r="L1407" s="2" t="str">
        <f>IFERROR(__xludf.DUMMYFUNCTION("""COMPUTED_VALUE"""),"80o 54' 27""")</f>
        <v>80o 54' 27"</v>
      </c>
      <c r="M1407" s="2" t="str">
        <f>IFERROR(__xludf.DUMMYFUNCTION("""COMPUTED_VALUE"""),"Banjh,Sunkuda (Bajhang)")</f>
        <v>Banjh,Sunkuda (Bajhang)</v>
      </c>
    </row>
    <row r="1408">
      <c r="A1408" s="2">
        <f>IFERROR(__xludf.DUMMYFUNCTION("""COMPUTED_VALUE"""),1407.0)</f>
        <v>1407</v>
      </c>
      <c r="B1408" s="2" t="str">
        <f>IFERROR(__xludf.DUMMYFUNCTION("""COMPUTED_VALUE"""),"Upper Hudi Khola SHP")</f>
        <v>Upper Hudi Khola SHP</v>
      </c>
      <c r="C1408" s="2">
        <f>IFERROR(__xludf.DUMMYFUNCTION("""COMPUTED_VALUE"""),0.825)</f>
        <v>0.825</v>
      </c>
      <c r="D1408" s="2" t="str">
        <f>IFERROR(__xludf.DUMMYFUNCTION("""COMPUTED_VALUE"""),"Hudi Khola")</f>
        <v>Hudi Khola</v>
      </c>
      <c r="E1408" s="2">
        <f>IFERROR(__xludf.DUMMYFUNCTION("""COMPUTED_VALUE"""),5605.0)</f>
        <v>5605</v>
      </c>
      <c r="F1408" s="3">
        <f>IFERROR(__xludf.DUMMYFUNCTION("""COMPUTED_VALUE"""),60918.0)</f>
        <v>60918</v>
      </c>
      <c r="G1408" s="2" t="str">
        <f>IFERROR(__xludf.DUMMYFUNCTION("""COMPUTED_VALUE"""),"Saibaba Power and Energy Pvt Ltd")</f>
        <v>Saibaba Power and Energy Pvt Ltd</v>
      </c>
      <c r="H1408" s="2" t="str">
        <f>IFERROR(__xludf.DUMMYFUNCTION("""COMPUTED_VALUE"""),"Kalanki-14, Kathmandu Tel: 4315495,9851010427")</f>
        <v>Kalanki-14, Kathmandu Tel: 4315495,9851010427</v>
      </c>
      <c r="I1408" s="2" t="str">
        <f>IFERROR(__xludf.DUMMYFUNCTION("""COMPUTED_VALUE"""),"28o 05' 38""")</f>
        <v>28o 05' 38"</v>
      </c>
      <c r="J1408" s="2" t="str">
        <f>IFERROR(__xludf.DUMMYFUNCTION("""COMPUTED_VALUE"""),"28o 06' 38""")</f>
        <v>28o 06' 38"</v>
      </c>
      <c r="K1408" s="2" t="str">
        <f>IFERROR(__xludf.DUMMYFUNCTION("""COMPUTED_VALUE"""),"84o 42' 08""")</f>
        <v>84o 42' 08"</v>
      </c>
      <c r="L1408" s="2" t="str">
        <f>IFERROR(__xludf.DUMMYFUNCTION("""COMPUTED_VALUE"""),"84o 43' 28""")</f>
        <v>84o 43' 28"</v>
      </c>
      <c r="M1408" s="2" t="str">
        <f>IFERROR(__xludf.DUMMYFUNCTION("""COMPUTED_VALUE"""),"Saurpani,Swara (Gorkha)")</f>
        <v>Saurpani,Swara (Gorkha)</v>
      </c>
    </row>
    <row r="1409">
      <c r="A1409" s="2">
        <f>IFERROR(__xludf.DUMMYFUNCTION("""COMPUTED_VALUE"""),1408.0)</f>
        <v>1408</v>
      </c>
      <c r="B1409" s="2" t="str">
        <f>IFERROR(__xludf.DUMMYFUNCTION("""COMPUTED_VALUE"""),"Modi Khola HPP")</f>
        <v>Modi Khola HPP</v>
      </c>
      <c r="C1409" s="2">
        <f>IFERROR(__xludf.DUMMYFUNCTION("""COMPUTED_VALUE"""),20.0)</f>
        <v>20</v>
      </c>
      <c r="D1409" s="2" t="str">
        <f>IFERROR(__xludf.DUMMYFUNCTION("""COMPUTED_VALUE"""),"Modi Khola")</f>
        <v>Modi Khola</v>
      </c>
      <c r="E1409" s="2">
        <f>IFERROR(__xludf.DUMMYFUNCTION("""COMPUTED_VALUE"""),5607.0)</f>
        <v>5607</v>
      </c>
      <c r="F1409" s="3">
        <f>IFERROR(__xludf.DUMMYFUNCTION("""COMPUTED_VALUE"""),60918.0)</f>
        <v>60918</v>
      </c>
      <c r="G1409" s="2" t="str">
        <f>IFERROR(__xludf.DUMMYFUNCTION("""COMPUTED_VALUE"""),"People Hydro Cooperative Ltd")</f>
        <v>People Hydro Cooperative Ltd</v>
      </c>
      <c r="H1409" s="2" t="str">
        <f>IFERROR(__xludf.DUMMYFUNCTION("""COMPUTED_VALUE"""),"Kathmandu, Tel: 01-4622042")</f>
        <v>Kathmandu, Tel: 01-4622042</v>
      </c>
      <c r="I1409" s="2" t="str">
        <f>IFERROR(__xludf.DUMMYFUNCTION("""COMPUTED_VALUE"""),"28o 17' 20""")</f>
        <v>28o 17' 20"</v>
      </c>
      <c r="J1409" s="2" t="str">
        <f>IFERROR(__xludf.DUMMYFUNCTION("""COMPUTED_VALUE"""),"28o 18' 29""")</f>
        <v>28o 18' 29"</v>
      </c>
      <c r="K1409" s="2" t="str">
        <f>IFERROR(__xludf.DUMMYFUNCTION("""COMPUTED_VALUE"""),"83o 45' 00""")</f>
        <v>83o 45' 00"</v>
      </c>
      <c r="L1409" s="2" t="str">
        <f>IFERROR(__xludf.DUMMYFUNCTION("""COMPUTED_VALUE"""),"83o 47' 08""")</f>
        <v>83o 47' 08"</v>
      </c>
      <c r="M1409" s="2" t="str">
        <f>IFERROR(__xludf.DUMMYFUNCTION("""COMPUTED_VALUE"""),"Dangsing,Ghandruk,Lumle (Kaski)")</f>
        <v>Dangsing,Ghandruk,Lumle (Kaski)</v>
      </c>
    </row>
    <row r="1410">
      <c r="A1410" s="2">
        <f>IFERROR(__xludf.DUMMYFUNCTION("""COMPUTED_VALUE"""),1409.0)</f>
        <v>1409</v>
      </c>
      <c r="B1410" s="2" t="str">
        <f>IFERROR(__xludf.DUMMYFUNCTION("""COMPUTED_VALUE"""),"Tupuwa Khola SHP")</f>
        <v>Tupuwa Khola SHP</v>
      </c>
      <c r="C1410" s="2">
        <f>IFERROR(__xludf.DUMMYFUNCTION("""COMPUTED_VALUE"""),0.67)</f>
        <v>0.67</v>
      </c>
      <c r="D1410" s="2" t="str">
        <f>IFERROR(__xludf.DUMMYFUNCTION("""COMPUTED_VALUE"""),"Tupuwa")</f>
        <v>Tupuwa</v>
      </c>
      <c r="E1410" s="2">
        <f>IFERROR(__xludf.DUMMYFUNCTION("""COMPUTED_VALUE"""),5268.0)</f>
        <v>5268</v>
      </c>
      <c r="F1410" s="3">
        <f>IFERROR(__xludf.DUMMYFUNCTION("""COMPUTED_VALUE"""),60920.0)</f>
        <v>60920</v>
      </c>
      <c r="G1410" s="2" t="str">
        <f>IFERROR(__xludf.DUMMYFUNCTION("""COMPUTED_VALUE"""),"Anand Subedi")</f>
        <v>Anand Subedi</v>
      </c>
      <c r="H1410" s="2" t="str">
        <f>IFERROR(__xludf.DUMMYFUNCTION("""COMPUTED_VALUE"""),"Tamaphok-7, sankhuwasabha")</f>
        <v>Tamaphok-7, sankhuwasabha</v>
      </c>
      <c r="I1410" s="2" t="str">
        <f>IFERROR(__xludf.DUMMYFUNCTION("""COMPUTED_VALUE"""),"27o 17' 14""")</f>
        <v>27o 17' 14"</v>
      </c>
      <c r="J1410" s="2" t="str">
        <f>IFERROR(__xludf.DUMMYFUNCTION("""COMPUTED_VALUE"""),"27o 20' 00""")</f>
        <v>27o 20' 00"</v>
      </c>
      <c r="K1410" s="2" t="str">
        <f>IFERROR(__xludf.DUMMYFUNCTION("""COMPUTED_VALUE"""),"87o 25' 00""")</f>
        <v>87o 25' 00"</v>
      </c>
      <c r="L1410" s="2" t="str">
        <f>IFERROR(__xludf.DUMMYFUNCTION("""COMPUTED_VALUE"""),"87o 26' 43""")</f>
        <v>87o 26' 43"</v>
      </c>
      <c r="M1410" s="2" t="str">
        <f>IFERROR(__xludf.DUMMYFUNCTION("""COMPUTED_VALUE"""),"Nundhaki,Siddhakali (Sankhuwasabha)")</f>
        <v>Nundhaki,Siddhakali (Sankhuwasabha)</v>
      </c>
    </row>
    <row r="1411">
      <c r="A1411" s="2">
        <f>IFERROR(__xludf.DUMMYFUNCTION("""COMPUTED_VALUE"""),1410.0)</f>
        <v>1410</v>
      </c>
      <c r="B1411" s="2" t="str">
        <f>IFERROR(__xludf.DUMMYFUNCTION("""COMPUTED_VALUE"""),"Ankhu-III Hydropower Project")</f>
        <v>Ankhu-III Hydropower Project</v>
      </c>
      <c r="C1411" s="2">
        <f>IFERROR(__xludf.DUMMYFUNCTION("""COMPUTED_VALUE"""),4.5)</f>
        <v>4.5</v>
      </c>
      <c r="D1411" s="2" t="str">
        <f>IFERROR(__xludf.DUMMYFUNCTION("""COMPUTED_VALUE"""),"Ankhu Khola")</f>
        <v>Ankhu Khola</v>
      </c>
      <c r="E1411" s="2">
        <f>IFERROR(__xludf.DUMMYFUNCTION("""COMPUTED_VALUE"""),5640.0)</f>
        <v>5640</v>
      </c>
      <c r="F1411" s="3">
        <f>IFERROR(__xludf.DUMMYFUNCTION("""COMPUTED_VALUE"""),60922.0)</f>
        <v>60922</v>
      </c>
      <c r="G1411" s="2" t="str">
        <f>IFERROR(__xludf.DUMMYFUNCTION("""COMPUTED_VALUE"""),"Professional Engineering Consultant")</f>
        <v>Professional Engineering Consultant</v>
      </c>
      <c r="H1411" s="2" t="str">
        <f>IFERROR(__xludf.DUMMYFUNCTION("""COMPUTED_VALUE"""),"Sitapaila, Kathmandu, Tel: 9841546814")</f>
        <v>Sitapaila, Kathmandu, Tel: 9841546814</v>
      </c>
      <c r="I1411" s="2" t="str">
        <f>IFERROR(__xludf.DUMMYFUNCTION("""COMPUTED_VALUE"""),"27o 57' 54""")</f>
        <v>27o 57' 54"</v>
      </c>
      <c r="J1411" s="2" t="str">
        <f>IFERROR(__xludf.DUMMYFUNCTION("""COMPUTED_VALUE"""),"27o 59' 08""")</f>
        <v>27o 59' 08"</v>
      </c>
      <c r="K1411" s="2" t="str">
        <f>IFERROR(__xludf.DUMMYFUNCTION("""COMPUTED_VALUE"""),"84o 46' 58""")</f>
        <v>84o 46' 58"</v>
      </c>
      <c r="L1411" s="2" t="str">
        <f>IFERROR(__xludf.DUMMYFUNCTION("""COMPUTED_VALUE"""),"84o 49' 23""")</f>
        <v>84o 49' 23"</v>
      </c>
      <c r="M1411" s="2" t="str">
        <f>IFERROR(__xludf.DUMMYFUNCTION("""COMPUTED_VALUE"""),"Chainpur,Tripureswor,Salyantar,Jyamaruk (Dhading)")</f>
        <v>Chainpur,Tripureswor,Salyantar,Jyamaruk (Dhading)</v>
      </c>
    </row>
    <row r="1412">
      <c r="A1412" s="2">
        <f>IFERROR(__xludf.DUMMYFUNCTION("""COMPUTED_VALUE"""),1411.0)</f>
        <v>1411</v>
      </c>
      <c r="B1412" s="2" t="str">
        <f>IFERROR(__xludf.DUMMYFUNCTION("""COMPUTED_VALUE"""),"Upper Budhiganga HPP")</f>
        <v>Upper Budhiganga HPP</v>
      </c>
      <c r="C1412" s="2">
        <f>IFERROR(__xludf.DUMMYFUNCTION("""COMPUTED_VALUE"""),20.0)</f>
        <v>20</v>
      </c>
      <c r="D1412" s="2" t="str">
        <f>IFERROR(__xludf.DUMMYFUNCTION("""COMPUTED_VALUE"""),"Budhi Ganga")</f>
        <v>Budhi Ganga</v>
      </c>
      <c r="E1412" s="2">
        <f>IFERROR(__xludf.DUMMYFUNCTION("""COMPUTED_VALUE"""),5663.0)</f>
        <v>5663</v>
      </c>
      <c r="F1412" s="3">
        <f>IFERROR(__xludf.DUMMYFUNCTION("""COMPUTED_VALUE"""),60924.0)</f>
        <v>60924</v>
      </c>
      <c r="G1412" s="2" t="str">
        <f>IFERROR(__xludf.DUMMYFUNCTION("""COMPUTED_VALUE"""),"Dantakali Hydropower Pvt Ltd")</f>
        <v>Dantakali Hydropower Pvt Ltd</v>
      </c>
      <c r="H1412" s="2" t="str">
        <f>IFERROR(__xludf.DUMMYFUNCTION("""COMPUTED_VALUE"""),"Lalitpur Sub-metropolitan Municipality-5, Lalitpur, Tel: 5550505")</f>
        <v>Lalitpur Sub-metropolitan Municipality-5, Lalitpur, Tel: 5550505</v>
      </c>
      <c r="I1412" s="2" t="str">
        <f>IFERROR(__xludf.DUMMYFUNCTION("""COMPUTED_VALUE"""),"29o 22' 21""")</f>
        <v>29o 22' 21"</v>
      </c>
      <c r="J1412" s="2" t="str">
        <f>IFERROR(__xludf.DUMMYFUNCTION("""COMPUTED_VALUE"""),"29o 27' 13""")</f>
        <v>29o 27' 13"</v>
      </c>
      <c r="K1412" s="2" t="str">
        <f>IFERROR(__xludf.DUMMYFUNCTION("""COMPUTED_VALUE"""),"81o 21' 40""")</f>
        <v>81o 21' 40"</v>
      </c>
      <c r="L1412" s="2" t="str">
        <f>IFERROR(__xludf.DUMMYFUNCTION("""COMPUTED_VALUE"""),"81o 28' 27""")</f>
        <v>81o 28' 27"</v>
      </c>
      <c r="M1412" s="2" t="str">
        <f>IFERROR(__xludf.DUMMYFUNCTION("""COMPUTED_VALUE"""),"Budhiganga,Kailashmandau,Atichaur,Jugada,Martadi (Bajura)")</f>
        <v>Budhiganga,Kailashmandau,Atichaur,Jugada,Martadi (Bajura)</v>
      </c>
    </row>
    <row r="1413">
      <c r="A1413" s="2">
        <f>IFERROR(__xludf.DUMMYFUNCTION("""COMPUTED_VALUE"""),1412.0)</f>
        <v>1412</v>
      </c>
      <c r="B1413" s="2" t="str">
        <f>IFERROR(__xludf.DUMMYFUNCTION("""COMPUTED_VALUE"""),"Syabal Khola SHP")</f>
        <v>Syabal Khola SHP</v>
      </c>
      <c r="C1413" s="2">
        <f>IFERROR(__xludf.DUMMYFUNCTION("""COMPUTED_VALUE"""),0.72)</f>
        <v>0.72</v>
      </c>
      <c r="D1413" s="2" t="str">
        <f>IFERROR(__xludf.DUMMYFUNCTION("""COMPUTED_VALUE"""),"Syabal")</f>
        <v>Syabal</v>
      </c>
      <c r="E1413" s="2">
        <f>IFERROR(__xludf.DUMMYFUNCTION("""COMPUTED_VALUE"""),5679.0)</f>
        <v>5679</v>
      </c>
      <c r="F1413" s="3">
        <f>IFERROR(__xludf.DUMMYFUNCTION("""COMPUTED_VALUE"""),60925.0)</f>
        <v>60925</v>
      </c>
      <c r="G1413" s="2" t="str">
        <f>IFERROR(__xludf.DUMMYFUNCTION("""COMPUTED_VALUE"""),"Nima Lama")</f>
        <v>Nima Lama</v>
      </c>
      <c r="H1413" s="2" t="str">
        <f>IFERROR(__xludf.DUMMYFUNCTION("""COMPUTED_VALUE"""),"Gumba VDC-7, Sindhupalchowk Tel: 9841071224")</f>
        <v>Gumba VDC-7, Sindhupalchowk Tel: 9841071224</v>
      </c>
      <c r="I1413" s="2" t="str">
        <f>IFERROR(__xludf.DUMMYFUNCTION("""COMPUTED_VALUE"""),"28o 01' 07""")</f>
        <v>28o 01' 07"</v>
      </c>
      <c r="J1413" s="2" t="str">
        <f>IFERROR(__xludf.DUMMYFUNCTION("""COMPUTED_VALUE"""),"28o 02' 27""")</f>
        <v>28o 02' 27"</v>
      </c>
      <c r="K1413" s="2" t="str">
        <f>IFERROR(__xludf.DUMMYFUNCTION("""COMPUTED_VALUE"""),"85o 47' 10""")</f>
        <v>85o 47' 10"</v>
      </c>
      <c r="L1413" s="2" t="str">
        <f>IFERROR(__xludf.DUMMYFUNCTION("""COMPUTED_VALUE"""),"85o 48' 37""")</f>
        <v>85o 48' 37"</v>
      </c>
      <c r="M1413" s="2" t="str">
        <f>IFERROR(__xludf.DUMMYFUNCTION("""COMPUTED_VALUE"""),"Gumba (Sindhupalchok)")</f>
        <v>Gumba (Sindhupalchok)</v>
      </c>
    </row>
    <row r="1414">
      <c r="A1414" s="2">
        <f>IFERROR(__xludf.DUMMYFUNCTION("""COMPUTED_VALUE"""),1413.0)</f>
        <v>1413</v>
      </c>
      <c r="B1414" s="2" t="str">
        <f>IFERROR(__xludf.DUMMYFUNCTION("""COMPUTED_VALUE"""),"Atunwa Khola SHP")</f>
        <v>Atunwa Khola SHP</v>
      </c>
      <c r="C1414" s="2">
        <f>IFERROR(__xludf.DUMMYFUNCTION("""COMPUTED_VALUE"""),0.887)</f>
        <v>0.887</v>
      </c>
      <c r="D1414" s="2" t="str">
        <f>IFERROR(__xludf.DUMMYFUNCTION("""COMPUTED_VALUE"""),"Atunwa")</f>
        <v>Atunwa</v>
      </c>
      <c r="E1414" s="2">
        <f>IFERROR(__xludf.DUMMYFUNCTION("""COMPUTED_VALUE"""),5694.0)</f>
        <v>5694</v>
      </c>
      <c r="F1414" s="3">
        <f>IFERROR(__xludf.DUMMYFUNCTION("""COMPUTED_VALUE"""),60926.0)</f>
        <v>60926</v>
      </c>
      <c r="G1414" s="2" t="str">
        <f>IFERROR(__xludf.DUMMYFUNCTION("""COMPUTED_VALUE"""),"N.K.Nembang,G.P.Baskota")</f>
        <v>N.K.Nembang,G.P.Baskota</v>
      </c>
      <c r="H1414" s="2" t="str">
        <f>IFERROR(__xludf.DUMMYFUNCTION("""COMPUTED_VALUE"""),"Phidim-2, Panchthar Tel: 9842645033")</f>
        <v>Phidim-2, Panchthar Tel: 9842645033</v>
      </c>
      <c r="I1414" s="2" t="str">
        <f>IFERROR(__xludf.DUMMYFUNCTION("""COMPUTED_VALUE"""),"27o 06' 04""")</f>
        <v>27o 06' 04"</v>
      </c>
      <c r="J1414" s="2" t="str">
        <f>IFERROR(__xludf.DUMMYFUNCTION("""COMPUTED_VALUE"""),"27o 07' 52""")</f>
        <v>27o 07' 52"</v>
      </c>
      <c r="K1414" s="2" t="str">
        <f>IFERROR(__xludf.DUMMYFUNCTION("""COMPUTED_VALUE"""),"87o 49' 15""")</f>
        <v>87o 49' 15"</v>
      </c>
      <c r="L1414" s="2" t="str">
        <f>IFERROR(__xludf.DUMMYFUNCTION("""COMPUTED_VALUE"""),"87o 50' 25""")</f>
        <v>87o 50' 25"</v>
      </c>
      <c r="M1414" s="2" t="str">
        <f>IFERROR(__xludf.DUMMYFUNCTION("""COMPUTED_VALUE"""),"Lungrupa,Ranitar (Panchthar)")</f>
        <v>Lungrupa,Ranitar (Panchthar)</v>
      </c>
    </row>
    <row r="1415">
      <c r="A1415" s="2">
        <f>IFERROR(__xludf.DUMMYFUNCTION("""COMPUTED_VALUE"""),1414.0)</f>
        <v>1414</v>
      </c>
      <c r="B1415" s="2" t="str">
        <f>IFERROR(__xludf.DUMMYFUNCTION("""COMPUTED_VALUE"""),"Pheme Lungrupka SHP")</f>
        <v>Pheme Lungrupka SHP</v>
      </c>
      <c r="C1415" s="2">
        <f>IFERROR(__xludf.DUMMYFUNCTION("""COMPUTED_VALUE"""),0.8)</f>
        <v>0.8</v>
      </c>
      <c r="D1415" s="2" t="str">
        <f>IFERROR(__xludf.DUMMYFUNCTION("""COMPUTED_VALUE"""),"Pheme")</f>
        <v>Pheme</v>
      </c>
      <c r="E1415" s="2">
        <f>IFERROR(__xludf.DUMMYFUNCTION("""COMPUTED_VALUE"""),5695.0)</f>
        <v>5695</v>
      </c>
      <c r="F1415" s="3">
        <f>IFERROR(__xludf.DUMMYFUNCTION("""COMPUTED_VALUE"""),60926.0)</f>
        <v>60926</v>
      </c>
      <c r="G1415" s="2" t="str">
        <f>IFERROR(__xludf.DUMMYFUNCTION("""COMPUTED_VALUE"""),"N.K.Nembang,G.P.Baskota")</f>
        <v>N.K.Nembang,G.P.Baskota</v>
      </c>
      <c r="H1415" s="2" t="str">
        <f>IFERROR(__xludf.DUMMYFUNCTION("""COMPUTED_VALUE"""),"Phidim-2, Panchthar Tel: 9842645033")</f>
        <v>Phidim-2, Panchthar Tel: 9842645033</v>
      </c>
      <c r="I1415" s="2" t="str">
        <f>IFERROR(__xludf.DUMMYFUNCTION("""COMPUTED_VALUE"""),"27o 06' 42""")</f>
        <v>27o 06' 42"</v>
      </c>
      <c r="J1415" s="2" t="str">
        <f>IFERROR(__xludf.DUMMYFUNCTION("""COMPUTED_VALUE"""),"27o 07' 23""")</f>
        <v>27o 07' 23"</v>
      </c>
      <c r="K1415" s="2" t="str">
        <f>IFERROR(__xludf.DUMMYFUNCTION("""COMPUTED_VALUE"""),"87o 50' 00""")</f>
        <v>87o 50' 00"</v>
      </c>
      <c r="L1415" s="2" t="str">
        <f>IFERROR(__xludf.DUMMYFUNCTION("""COMPUTED_VALUE"""),"87o 52' 06""")</f>
        <v>87o 52' 06"</v>
      </c>
      <c r="M1415" s="2" t="str">
        <f>IFERROR(__xludf.DUMMYFUNCTION("""COMPUTED_VALUE"""),"Lungrupa (Panchthar)")</f>
        <v>Lungrupa (Panchthar)</v>
      </c>
    </row>
    <row r="1416">
      <c r="A1416" s="2">
        <f>IFERROR(__xludf.DUMMYFUNCTION("""COMPUTED_VALUE"""),1415.0)</f>
        <v>1415</v>
      </c>
      <c r="B1416" s="2" t="str">
        <f>IFERROR(__xludf.DUMMYFUNCTION("""COMPUTED_VALUE"""),"Kolpu Khola SHP")</f>
        <v>Kolpu Khola SHP</v>
      </c>
      <c r="C1416" s="2">
        <f>IFERROR(__xludf.DUMMYFUNCTION("""COMPUTED_VALUE"""),0.967)</f>
        <v>0.967</v>
      </c>
      <c r="D1416" s="2" t="str">
        <f>IFERROR(__xludf.DUMMYFUNCTION("""COMPUTED_VALUE"""),"Kolpu")</f>
        <v>Kolpu</v>
      </c>
      <c r="E1416" s="2">
        <f>IFERROR(__xludf.DUMMYFUNCTION("""COMPUTED_VALUE"""),5703.0)</f>
        <v>5703</v>
      </c>
      <c r="F1416" s="3">
        <f>IFERROR(__xludf.DUMMYFUNCTION("""COMPUTED_VALUE"""),60926.0)</f>
        <v>60926</v>
      </c>
      <c r="G1416" s="2" t="str">
        <f>IFERROR(__xludf.DUMMYFUNCTION("""COMPUTED_VALUE"""),"R.k.Khatri, R.A.Shilpakar")</f>
        <v>R.k.Khatri, R.A.Shilpakar</v>
      </c>
      <c r="H1416" s="2" t="str">
        <f>IFERROR(__xludf.DUMMYFUNCTION("""COMPUTED_VALUE"""),"Bageswari-4, Bhaktapur, Tel: 9851074965")</f>
        <v>Bageswari-4, Bhaktapur, Tel: 9851074965</v>
      </c>
      <c r="I1416" s="2" t="str">
        <f>IFERROR(__xludf.DUMMYFUNCTION("""COMPUTED_VALUE"""),"27o 45' 22""")</f>
        <v>27o 45' 22"</v>
      </c>
      <c r="J1416" s="2" t="str">
        <f>IFERROR(__xludf.DUMMYFUNCTION("""COMPUTED_VALUE"""),"27o 46' 15""")</f>
        <v>27o 46' 15"</v>
      </c>
      <c r="K1416" s="2" t="str">
        <f>IFERROR(__xludf.DUMMYFUNCTION("""COMPUTED_VALUE"""),"85o 10' 55""")</f>
        <v>85o 10' 55"</v>
      </c>
      <c r="L1416" s="2" t="str">
        <f>IFERROR(__xludf.DUMMYFUNCTION("""COMPUTED_VALUE"""),"85o 13' 03""")</f>
        <v>85o 13' 03"</v>
      </c>
      <c r="M1416" s="2" t="str">
        <f>IFERROR(__xludf.DUMMYFUNCTION("""COMPUTED_VALUE"""),"Okharpauwa (Nuwakot)")</f>
        <v>Okharpauwa (Nuwakot)</v>
      </c>
    </row>
    <row r="1417">
      <c r="A1417" s="2">
        <f>IFERROR(__xludf.DUMMYFUNCTION("""COMPUTED_VALUE"""),1416.0)</f>
        <v>1416</v>
      </c>
      <c r="B1417" s="2" t="str">
        <f>IFERROR(__xludf.DUMMYFUNCTION("""COMPUTED_VALUE"""),"Lower Budhi Ganga HPP")</f>
        <v>Lower Budhi Ganga HPP</v>
      </c>
      <c r="C1417" s="2">
        <f>IFERROR(__xludf.DUMMYFUNCTION("""COMPUTED_VALUE"""),12.0)</f>
        <v>12</v>
      </c>
      <c r="D1417" s="2" t="str">
        <f>IFERROR(__xludf.DUMMYFUNCTION("""COMPUTED_VALUE"""),"Budhi Ganga")</f>
        <v>Budhi Ganga</v>
      </c>
      <c r="E1417" s="2">
        <f>IFERROR(__xludf.DUMMYFUNCTION("""COMPUTED_VALUE"""),5710.0)</f>
        <v>5710</v>
      </c>
      <c r="F1417" s="3">
        <f>IFERROR(__xludf.DUMMYFUNCTION("""COMPUTED_VALUE"""),60927.0)</f>
        <v>60927</v>
      </c>
      <c r="G1417" s="2" t="str">
        <f>IFERROR(__xludf.DUMMYFUNCTION("""COMPUTED_VALUE"""),"Dantakali Hydropower Pvt Ltd")</f>
        <v>Dantakali Hydropower Pvt Ltd</v>
      </c>
      <c r="H1417" s="2" t="str">
        <f>IFERROR(__xludf.DUMMYFUNCTION("""COMPUTED_VALUE"""),"GPO Box: 516, Kathmandu, Tel: 5550505")</f>
        <v>GPO Box: 516, Kathmandu, Tel: 5550505</v>
      </c>
      <c r="I1417" s="2" t="str">
        <f>IFERROR(__xludf.DUMMYFUNCTION("""COMPUTED_VALUE"""),"21o 18' 01""")</f>
        <v>21o 18' 01"</v>
      </c>
      <c r="J1417" s="2" t="str">
        <f>IFERROR(__xludf.DUMMYFUNCTION("""COMPUTED_VALUE"""),"21o 20' 40""")</f>
        <v>21o 20' 40"</v>
      </c>
      <c r="K1417" s="2" t="str">
        <f>IFERROR(__xludf.DUMMYFUNCTION("""COMPUTED_VALUE"""),"81o 15' 27""")</f>
        <v>81o 15' 27"</v>
      </c>
      <c r="L1417" s="2" t="str">
        <f>IFERROR(__xludf.DUMMYFUNCTION("""COMPUTED_VALUE"""),"81o 20' 00""")</f>
        <v>81o 20' 00"</v>
      </c>
      <c r="M1417" s="2" t="str">
        <f>IFERROR(__xludf.DUMMYFUNCTION("""COMPUTED_VALUE"""),"Barhabise,Tolodewal (Bajura)")</f>
        <v>Barhabise,Tolodewal (Bajura)</v>
      </c>
    </row>
    <row r="1418">
      <c r="A1418" s="2">
        <f>IFERROR(__xludf.DUMMYFUNCTION("""COMPUTED_VALUE"""),1417.0)</f>
        <v>1417</v>
      </c>
      <c r="B1418" s="2" t="str">
        <f>IFERROR(__xludf.DUMMYFUNCTION("""COMPUTED_VALUE"""),"Nyaltumba Khola SHP")</f>
        <v>Nyaltumba Khola SHP</v>
      </c>
      <c r="C1418" s="2">
        <f>IFERROR(__xludf.DUMMYFUNCTION("""COMPUTED_VALUE"""),0.5)</f>
        <v>0.5</v>
      </c>
      <c r="D1418" s="2" t="str">
        <f>IFERROR(__xludf.DUMMYFUNCTION("""COMPUTED_VALUE"""),"Nyaltumba")</f>
        <v>Nyaltumba</v>
      </c>
      <c r="E1418" s="2">
        <f>IFERROR(__xludf.DUMMYFUNCTION("""COMPUTED_VALUE"""),5711.0)</f>
        <v>5711</v>
      </c>
      <c r="F1418" s="3">
        <f>IFERROR(__xludf.DUMMYFUNCTION("""COMPUTED_VALUE"""),60927.0)</f>
        <v>60927</v>
      </c>
      <c r="G1418" s="2" t="str">
        <f>IFERROR(__xludf.DUMMYFUNCTION("""COMPUTED_VALUE"""),"N.J.Sherpa, G.Syangbo")</f>
        <v>N.J.Sherpa, G.Syangbo</v>
      </c>
      <c r="H1418" s="2" t="str">
        <f>IFERROR(__xludf.DUMMYFUNCTION("""COMPUTED_VALUE"""),"Baruwa VDC-2, Sindhupalchowk Tel: 9851035885")</f>
        <v>Baruwa VDC-2, Sindhupalchowk Tel: 9851035885</v>
      </c>
      <c r="I1418" s="2" t="str">
        <f>IFERROR(__xludf.DUMMYFUNCTION("""COMPUTED_VALUE"""),"27o 57' 30""")</f>
        <v>27o 57' 30"</v>
      </c>
      <c r="J1418" s="2" t="str">
        <f>IFERROR(__xludf.DUMMYFUNCTION("""COMPUTED_VALUE"""),"27o 58' 39""")</f>
        <v>27o 58' 39"</v>
      </c>
      <c r="K1418" s="2" t="str">
        <f>IFERROR(__xludf.DUMMYFUNCTION("""COMPUTED_VALUE"""),"85o 33' 57""")</f>
        <v>85o 33' 57"</v>
      </c>
      <c r="L1418" s="2" t="str">
        <f>IFERROR(__xludf.DUMMYFUNCTION("""COMPUTED_VALUE"""),"85o 38' 16""")</f>
        <v>85o 38' 16"</v>
      </c>
      <c r="M1418" s="2" t="str">
        <f>IFERROR(__xludf.DUMMYFUNCTION("""COMPUTED_VALUE"""),"Baruwa (Sindhupalchok)")</f>
        <v>Baruwa (Sindhupalchok)</v>
      </c>
    </row>
    <row r="1419">
      <c r="A1419" s="2">
        <f>IFERROR(__xludf.DUMMYFUNCTION("""COMPUTED_VALUE"""),1418.0)</f>
        <v>1418</v>
      </c>
      <c r="B1419" s="2" t="str">
        <f>IFERROR(__xludf.DUMMYFUNCTION("""COMPUTED_VALUE"""),"Ghyunjet Khola SHP")</f>
        <v>Ghyunjet Khola SHP</v>
      </c>
      <c r="C1419" s="2">
        <f>IFERROR(__xludf.DUMMYFUNCTION("""COMPUTED_VALUE"""),0.37)</f>
        <v>0.37</v>
      </c>
      <c r="D1419" s="2" t="str">
        <f>IFERROR(__xludf.DUMMYFUNCTION("""COMPUTED_VALUE"""),"Ghyunjet")</f>
        <v>Ghyunjet</v>
      </c>
      <c r="E1419" s="2">
        <f>IFERROR(__xludf.DUMMYFUNCTION("""COMPUTED_VALUE"""),5712.0)</f>
        <v>5712</v>
      </c>
      <c r="F1419" s="3">
        <f>IFERROR(__xludf.DUMMYFUNCTION("""COMPUTED_VALUE"""),60927.0)</f>
        <v>60927</v>
      </c>
      <c r="G1419" s="2" t="str">
        <f>IFERROR(__xludf.DUMMYFUNCTION("""COMPUTED_VALUE"""),"Chhiring D. sherpa, M.Syangbo")</f>
        <v>Chhiring D. sherpa, M.Syangbo</v>
      </c>
      <c r="H1419" s="2" t="str">
        <f>IFERROR(__xludf.DUMMYFUNCTION("""COMPUTED_VALUE"""),"Baruwa VDC-2, Sindhupalchowk Tel: 9851035885")</f>
        <v>Baruwa VDC-2, Sindhupalchowk Tel: 9851035885</v>
      </c>
      <c r="I1419" s="2" t="str">
        <f>IFERROR(__xludf.DUMMYFUNCTION("""COMPUTED_VALUE"""),"27o 58' 39""")</f>
        <v>27o 58' 39"</v>
      </c>
      <c r="J1419" s="2" t="str">
        <f>IFERROR(__xludf.DUMMYFUNCTION("""COMPUTED_VALUE"""),"27o 59' 23""")</f>
        <v>27o 59' 23"</v>
      </c>
      <c r="K1419" s="2" t="str">
        <f>IFERROR(__xludf.DUMMYFUNCTION("""COMPUTED_VALUE"""),"85o 33' 57""")</f>
        <v>85o 33' 57"</v>
      </c>
      <c r="L1419" s="2" t="str">
        <f>IFERROR(__xludf.DUMMYFUNCTION("""COMPUTED_VALUE"""),"85o 38' 16""")</f>
        <v>85o 38' 16"</v>
      </c>
      <c r="M1419" s="2" t="str">
        <f>IFERROR(__xludf.DUMMYFUNCTION("""COMPUTED_VALUE"""),"Baruwa (Sindhupalchok)")</f>
        <v>Baruwa (Sindhupalchok)</v>
      </c>
    </row>
    <row r="1420">
      <c r="A1420" s="2">
        <f>IFERROR(__xludf.DUMMYFUNCTION("""COMPUTED_VALUE"""),1419.0)</f>
        <v>1419</v>
      </c>
      <c r="B1420" s="2" t="str">
        <f>IFERROR(__xludf.DUMMYFUNCTION("""COMPUTED_VALUE"""),"Middle Larke Khola SHP")</f>
        <v>Middle Larke Khola SHP</v>
      </c>
      <c r="C1420" s="2">
        <f>IFERROR(__xludf.DUMMYFUNCTION("""COMPUTED_VALUE"""),0.98)</f>
        <v>0.98</v>
      </c>
      <c r="D1420" s="2" t="str">
        <f>IFERROR(__xludf.DUMMYFUNCTION("""COMPUTED_VALUE"""),"Larke")</f>
        <v>Larke</v>
      </c>
      <c r="E1420" s="2">
        <f>IFERROR(__xludf.DUMMYFUNCTION("""COMPUTED_VALUE"""),5713.0)</f>
        <v>5713</v>
      </c>
      <c r="F1420" s="3">
        <f>IFERROR(__xludf.DUMMYFUNCTION("""COMPUTED_VALUE"""),60927.0)</f>
        <v>60927</v>
      </c>
      <c r="G1420" s="2" t="str">
        <f>IFERROR(__xludf.DUMMYFUNCTION("""COMPUTED_VALUE"""),"Excel Engg Consult, Dawa sherpa")</f>
        <v>Excel Engg Consult, Dawa sherpa</v>
      </c>
      <c r="H1420" s="2" t="str">
        <f>IFERROR(__xludf.DUMMYFUNCTION("""COMPUTED_VALUE"""),"Kathmandu, Tel: 9841655565")</f>
        <v>Kathmandu, Tel: 9841655565</v>
      </c>
      <c r="I1420" s="2" t="str">
        <f>IFERROR(__xludf.DUMMYFUNCTION("""COMPUTED_VALUE"""),"28o 00' 00""")</f>
        <v>28o 00' 00"</v>
      </c>
      <c r="J1420" s="2" t="str">
        <f>IFERROR(__xludf.DUMMYFUNCTION("""COMPUTED_VALUE"""),"28o 02' 62""")</f>
        <v>28o 02' 62"</v>
      </c>
      <c r="K1420" s="2" t="str">
        <f>IFERROR(__xludf.DUMMYFUNCTION("""COMPUTED_VALUE"""),"85o 37' 32""")</f>
        <v>85o 37' 32"</v>
      </c>
      <c r="L1420" s="2" t="str">
        <f>IFERROR(__xludf.DUMMYFUNCTION("""COMPUTED_VALUE"""),"85o 40' 04""")</f>
        <v>85o 40' 04"</v>
      </c>
      <c r="M1420" s="2" t="str">
        <f>IFERROR(__xludf.DUMMYFUNCTION("""COMPUTED_VALUE"""),"Bhotang (Sindhupalchok)")</f>
        <v>Bhotang (Sindhupalchok)</v>
      </c>
    </row>
    <row r="1421">
      <c r="A1421" s="2">
        <f>IFERROR(__xludf.DUMMYFUNCTION("""COMPUTED_VALUE"""),1420.0)</f>
        <v>1420</v>
      </c>
      <c r="B1421" s="2" t="str">
        <f>IFERROR(__xludf.DUMMYFUNCTION("""COMPUTED_VALUE"""),"Kattike-Chitre Khola SHP")</f>
        <v>Kattike-Chitre Khola SHP</v>
      </c>
      <c r="C1421" s="2">
        <f>IFERROR(__xludf.DUMMYFUNCTION("""COMPUTED_VALUE"""),0.58)</f>
        <v>0.58</v>
      </c>
      <c r="D1421" s="2" t="str">
        <f>IFERROR(__xludf.DUMMYFUNCTION("""COMPUTED_VALUE"""),"Kattike Chitre")</f>
        <v>Kattike Chitre</v>
      </c>
      <c r="E1421" s="2">
        <f>IFERROR(__xludf.DUMMYFUNCTION("""COMPUTED_VALUE"""),5714.0)</f>
        <v>5714</v>
      </c>
      <c r="F1421" s="3">
        <f>IFERROR(__xludf.DUMMYFUNCTION("""COMPUTED_VALUE"""),60927.0)</f>
        <v>60927</v>
      </c>
      <c r="G1421" s="2" t="str">
        <f>IFERROR(__xludf.DUMMYFUNCTION("""COMPUTED_VALUE"""),"Kanchha Lama, Dawa Lama")</f>
        <v>Kanchha Lama, Dawa Lama</v>
      </c>
      <c r="H1421" s="2" t="str">
        <f>IFERROR(__xludf.DUMMYFUNCTION("""COMPUTED_VALUE"""),"Pulchowk-8, Sindhupalchowk, Tel: 9851035885")</f>
        <v>Pulchowk-8, Sindhupalchowk, Tel: 9851035885</v>
      </c>
      <c r="I1421" s="2" t="str">
        <f>IFERROR(__xludf.DUMMYFUNCTION("""COMPUTED_VALUE"""),"27o 55' 52""")</f>
        <v>27o 55' 52"</v>
      </c>
      <c r="J1421" s="2" t="str">
        <f>IFERROR(__xludf.DUMMYFUNCTION("""COMPUTED_VALUE"""),"27o 56' 28""")</f>
        <v>27o 56' 28"</v>
      </c>
      <c r="K1421" s="2" t="str">
        <f>IFERROR(__xludf.DUMMYFUNCTION("""COMPUTED_VALUE"""),"85o 32' 58""")</f>
        <v>85o 32' 58"</v>
      </c>
      <c r="L1421" s="2" t="str">
        <f>IFERROR(__xludf.DUMMYFUNCTION("""COMPUTED_VALUE"""),"85o 35' 08""")</f>
        <v>85o 35' 08"</v>
      </c>
      <c r="M1421" s="2" t="str">
        <f>IFERROR(__xludf.DUMMYFUNCTION("""COMPUTED_VALUE"""),"Kiwool (Sindhupalchok)")</f>
        <v>Kiwool (Sindhupalchok)</v>
      </c>
    </row>
    <row r="1422">
      <c r="A1422" s="2">
        <f>IFERROR(__xludf.DUMMYFUNCTION("""COMPUTED_VALUE"""),1421.0)</f>
        <v>1421</v>
      </c>
      <c r="B1422" s="2" t="str">
        <f>IFERROR(__xludf.DUMMYFUNCTION("""COMPUTED_VALUE"""),"Upper Larke Khola SHP")</f>
        <v>Upper Larke Khola SHP</v>
      </c>
      <c r="C1422" s="2">
        <f>IFERROR(__xludf.DUMMYFUNCTION("""COMPUTED_VALUE"""),0.975)</f>
        <v>0.975</v>
      </c>
      <c r="D1422" s="2" t="str">
        <f>IFERROR(__xludf.DUMMYFUNCTION("""COMPUTED_VALUE"""),"Larke")</f>
        <v>Larke</v>
      </c>
      <c r="E1422" s="2">
        <f>IFERROR(__xludf.DUMMYFUNCTION("""COMPUTED_VALUE"""),5715.0)</f>
        <v>5715</v>
      </c>
      <c r="F1422" s="3">
        <f>IFERROR(__xludf.DUMMYFUNCTION("""COMPUTED_VALUE"""),60927.0)</f>
        <v>60927</v>
      </c>
      <c r="G1422" s="2" t="str">
        <f>IFERROR(__xludf.DUMMYFUNCTION("""COMPUTED_VALUE"""),"Sonam Sangrila Housing Pvt Ltd, Purusottam Bydhathoki,")</f>
        <v>Sonam Sangrila Housing Pvt Ltd, Purusottam Bydhathoki,</v>
      </c>
      <c r="H1422" s="2" t="str">
        <f>IFERROR(__xludf.DUMMYFUNCTION("""COMPUTED_VALUE"""),"Kathmandu, Tel: 9841460116")</f>
        <v>Kathmandu, Tel: 9841460116</v>
      </c>
      <c r="I1422" s="2" t="str">
        <f>IFERROR(__xludf.DUMMYFUNCTION("""COMPUTED_VALUE"""),"28o 02' 26""")</f>
        <v>28o 02' 26"</v>
      </c>
      <c r="J1422" s="2" t="str">
        <f>IFERROR(__xludf.DUMMYFUNCTION("""COMPUTED_VALUE"""),"28o 06' 14""")</f>
        <v>28o 06' 14"</v>
      </c>
      <c r="K1422" s="2" t="str">
        <f>IFERROR(__xludf.DUMMYFUNCTION("""COMPUTED_VALUE"""),"85o 37' 37""")</f>
        <v>85o 37' 37"</v>
      </c>
      <c r="L1422" s="2" t="str">
        <f>IFERROR(__xludf.DUMMYFUNCTION("""COMPUTED_VALUE"""),"85o 40' 40""")</f>
        <v>85o 40' 40"</v>
      </c>
      <c r="M1422" s="2" t="str">
        <f>IFERROR(__xludf.DUMMYFUNCTION("""COMPUTED_VALUE"""),"Bhotang (Sindhupalchok)")</f>
        <v>Bhotang (Sindhupalchok)</v>
      </c>
    </row>
    <row r="1423">
      <c r="A1423" s="2">
        <f>IFERROR(__xludf.DUMMYFUNCTION("""COMPUTED_VALUE"""),1422.0)</f>
        <v>1422</v>
      </c>
      <c r="B1423" s="2" t="str">
        <f>IFERROR(__xludf.DUMMYFUNCTION("""COMPUTED_VALUE"""),"Piesidhu Khola SHP")</f>
        <v>Piesidhu Khola SHP</v>
      </c>
      <c r="C1423" s="2">
        <f>IFERROR(__xludf.DUMMYFUNCTION("""COMPUTED_VALUE"""),0.7)</f>
        <v>0.7</v>
      </c>
      <c r="D1423" s="2" t="str">
        <f>IFERROR(__xludf.DUMMYFUNCTION("""COMPUTED_VALUE"""),"Piesidhu")</f>
        <v>Piesidhu</v>
      </c>
      <c r="E1423" s="2">
        <f>IFERROR(__xludf.DUMMYFUNCTION("""COMPUTED_VALUE"""),5723.0)</f>
        <v>5723</v>
      </c>
      <c r="F1423" s="3">
        <f>IFERROR(__xludf.DUMMYFUNCTION("""COMPUTED_VALUE"""),60927.0)</f>
        <v>60927</v>
      </c>
      <c r="G1423" s="2" t="str">
        <f>IFERROR(__xludf.DUMMYFUNCTION("""COMPUTED_VALUE"""),"Challenge Hydropower Co. Pvt Ltd")</f>
        <v>Challenge Hydropower Co. Pvt Ltd</v>
      </c>
      <c r="H1423" s="2" t="str">
        <f>IFERROR(__xludf.DUMMYFUNCTION("""COMPUTED_VALUE"""),"Kathmandu,Tel: 9851064168")</f>
        <v>Kathmandu,Tel: 9851064168</v>
      </c>
      <c r="I1423" s="2" t="str">
        <f>IFERROR(__xludf.DUMMYFUNCTION("""COMPUTED_VALUE"""),"28o 18' 30""")</f>
        <v>28o 18' 30"</v>
      </c>
      <c r="J1423" s="2" t="str">
        <f>IFERROR(__xludf.DUMMYFUNCTION("""COMPUTED_VALUE"""),"28o 19' 54""")</f>
        <v>28o 19' 54"</v>
      </c>
      <c r="K1423" s="2" t="str">
        <f>IFERROR(__xludf.DUMMYFUNCTION("""COMPUTED_VALUE"""),"84o 03' 39""")</f>
        <v>84o 03' 39"</v>
      </c>
      <c r="L1423" s="2" t="str">
        <f>IFERROR(__xludf.DUMMYFUNCTION("""COMPUTED_VALUE"""),"84o 05' 30""")</f>
        <v>84o 05' 30"</v>
      </c>
      <c r="M1423" s="2" t="str">
        <f>IFERROR(__xludf.DUMMYFUNCTION("""COMPUTED_VALUE"""),"Parche,Sildujure (Kaski)")</f>
        <v>Parche,Sildujure (Kaski)</v>
      </c>
    </row>
    <row r="1424">
      <c r="A1424" s="2">
        <f>IFERROR(__xludf.DUMMYFUNCTION("""COMPUTED_VALUE"""),1423.0)</f>
        <v>1423</v>
      </c>
      <c r="B1424" s="2" t="str">
        <f>IFERROR(__xludf.DUMMYFUNCTION("""COMPUTED_VALUE"""),"Chiura Gad SHP")</f>
        <v>Chiura Gad SHP</v>
      </c>
      <c r="C1424" s="2">
        <f>IFERROR(__xludf.DUMMYFUNCTION("""COMPUTED_VALUE"""),0.988)</f>
        <v>0.988</v>
      </c>
      <c r="D1424" s="2" t="str">
        <f>IFERROR(__xludf.DUMMYFUNCTION("""COMPUTED_VALUE"""),"Chiura gad")</f>
        <v>Chiura gad</v>
      </c>
      <c r="E1424" s="2">
        <f>IFERROR(__xludf.DUMMYFUNCTION("""COMPUTED_VALUE"""),5729.0)</f>
        <v>5729</v>
      </c>
      <c r="F1424" s="3">
        <f>IFERROR(__xludf.DUMMYFUNCTION("""COMPUTED_VALUE"""),60929.0)</f>
        <v>60929</v>
      </c>
      <c r="G1424" s="2" t="str">
        <f>IFERROR(__xludf.DUMMYFUNCTION("""COMPUTED_VALUE"""),"Mahesh Sharma, K.P.Sharma, R.R.Sharma")</f>
        <v>Mahesh Sharma, K.P.Sharma, R.R.Sharma</v>
      </c>
      <c r="H1424" s="2" t="str">
        <f>IFERROR(__xludf.DUMMYFUNCTION("""COMPUTED_VALUE"""),"Kotemaula-7, Salyan Tel; 9849114899")</f>
        <v>Kotemaula-7, Salyan Tel; 9849114899</v>
      </c>
      <c r="I1424" s="2" t="str">
        <f>IFERROR(__xludf.DUMMYFUNCTION("""COMPUTED_VALUE"""),"28o 23' 47""")</f>
        <v>28o 23' 47"</v>
      </c>
      <c r="J1424" s="2" t="str">
        <f>IFERROR(__xludf.DUMMYFUNCTION("""COMPUTED_VALUE"""),"28o 25' 00""")</f>
        <v>28o 25' 00"</v>
      </c>
      <c r="K1424" s="2" t="str">
        <f>IFERROR(__xludf.DUMMYFUNCTION("""COMPUTED_VALUE"""),"82o 27' 30""")</f>
        <v>82o 27' 30"</v>
      </c>
      <c r="L1424" s="2" t="str">
        <f>IFERROR(__xludf.DUMMYFUNCTION("""COMPUTED_VALUE"""),"82o 29' 11""")</f>
        <v>82o 29' 11"</v>
      </c>
      <c r="M1424" s="2" t="str">
        <f>IFERROR(__xludf.DUMMYFUNCTION("""COMPUTED_VALUE"""),"Gharti Gaun,Talawang (Rolpa)")</f>
        <v>Gharti Gaun,Talawang (Rolpa)</v>
      </c>
    </row>
    <row r="1425">
      <c r="A1425" s="2">
        <f>IFERROR(__xludf.DUMMYFUNCTION("""COMPUTED_VALUE"""),1424.0)</f>
        <v>1424</v>
      </c>
      <c r="B1425" s="2" t="str">
        <f>IFERROR(__xludf.DUMMYFUNCTION("""COMPUTED_VALUE"""),"Kyoje Khola SHP")</f>
        <v>Kyoje Khola SHP</v>
      </c>
      <c r="C1425" s="2">
        <f>IFERROR(__xludf.DUMMYFUNCTION("""COMPUTED_VALUE"""),0.99)</f>
        <v>0.99</v>
      </c>
      <c r="D1425" s="2" t="str">
        <f>IFERROR(__xludf.DUMMYFUNCTION("""COMPUTED_VALUE"""),"Kyoje")</f>
        <v>Kyoje</v>
      </c>
      <c r="E1425" s="2">
        <f>IFERROR(__xludf.DUMMYFUNCTION("""COMPUTED_VALUE"""),5730.0)</f>
        <v>5730</v>
      </c>
      <c r="F1425" s="3">
        <f>IFERROR(__xludf.DUMMYFUNCTION("""COMPUTED_VALUE"""),60929.0)</f>
        <v>60929</v>
      </c>
      <c r="G1425" s="2" t="str">
        <f>IFERROR(__xludf.DUMMYFUNCTION("""COMPUTED_VALUE"""),"R.P.Dhungana, Ashok Kafle")</f>
        <v>R.P.Dhungana, Ashok Kafle</v>
      </c>
      <c r="H1425" s="2" t="str">
        <f>IFERROR(__xludf.DUMMYFUNCTION("""COMPUTED_VALUE"""),"Kathmandu, Tel: 4425597, 4426515")</f>
        <v>Kathmandu, Tel: 4425597, 4426515</v>
      </c>
      <c r="I1425" s="2" t="str">
        <f>IFERROR(__xludf.DUMMYFUNCTION("""COMPUTED_VALUE"""),"28o 23' 00""")</f>
        <v>28o 23' 00"</v>
      </c>
      <c r="J1425" s="2" t="str">
        <f>IFERROR(__xludf.DUMMYFUNCTION("""COMPUTED_VALUE"""),"28o 23' 48""")</f>
        <v>28o 23' 48"</v>
      </c>
      <c r="K1425" s="2" t="str">
        <f>IFERROR(__xludf.DUMMYFUNCTION("""COMPUTED_VALUE"""),"84o 05' 54""")</f>
        <v>84o 05' 54"</v>
      </c>
      <c r="L1425" s="2" t="str">
        <f>IFERROR(__xludf.DUMMYFUNCTION("""COMPUTED_VALUE"""),"84o 07' 08""")</f>
        <v>84o 07' 08"</v>
      </c>
      <c r="M1425" s="2" t="str">
        <f>IFERROR(__xludf.DUMMYFUNCTION("""COMPUTED_VALUE"""),"Parche (Kaski)")</f>
        <v>Parche (Kaski)</v>
      </c>
    </row>
    <row r="1426">
      <c r="A1426" s="2">
        <f>IFERROR(__xludf.DUMMYFUNCTION("""COMPUTED_VALUE"""),1425.0)</f>
        <v>1425</v>
      </c>
      <c r="B1426" s="2" t="str">
        <f>IFERROR(__xludf.DUMMYFUNCTION("""COMPUTED_VALUE"""),"Charnawati Hydropower Project")</f>
        <v>Charnawati Hydropower Project</v>
      </c>
      <c r="C1426" s="2">
        <f>IFERROR(__xludf.DUMMYFUNCTION("""COMPUTED_VALUE"""),4.7)</f>
        <v>4.7</v>
      </c>
      <c r="D1426" s="2" t="str">
        <f>IFERROR(__xludf.DUMMYFUNCTION("""COMPUTED_VALUE"""),"Charnawati")</f>
        <v>Charnawati</v>
      </c>
      <c r="E1426" s="2">
        <f>IFERROR(__xludf.DUMMYFUNCTION("""COMPUTED_VALUE"""),5732.0)</f>
        <v>5732</v>
      </c>
      <c r="F1426" s="3">
        <f>IFERROR(__xludf.DUMMYFUNCTION("""COMPUTED_VALUE"""),60929.0)</f>
        <v>60929</v>
      </c>
      <c r="G1426" s="2" t="str">
        <f>IFERROR(__xludf.DUMMYFUNCTION("""COMPUTED_VALUE"""),"Gyatri Hydropower Pvt Ltd")</f>
        <v>Gyatri Hydropower Pvt Ltd</v>
      </c>
      <c r="H1426" s="2" t="str">
        <f>IFERROR(__xludf.DUMMYFUNCTION("""COMPUTED_VALUE"""),"Kathmandu")</f>
        <v>Kathmandu</v>
      </c>
      <c r="I1426" s="2" t="str">
        <f>IFERROR(__xludf.DUMMYFUNCTION("""COMPUTED_VALUE"""),"27o 36' 42""")</f>
        <v>27o 36' 42"</v>
      </c>
      <c r="J1426" s="2" t="str">
        <f>IFERROR(__xludf.DUMMYFUNCTION("""COMPUTED_VALUE"""),"27o 38' 01""")</f>
        <v>27o 38' 01"</v>
      </c>
      <c r="K1426" s="2" t="str">
        <f>IFERROR(__xludf.DUMMYFUNCTION("""COMPUTED_VALUE"""),"86o 02' 36""")</f>
        <v>86o 02' 36"</v>
      </c>
      <c r="L1426" s="2" t="str">
        <f>IFERROR(__xludf.DUMMYFUNCTION("""COMPUTED_VALUE"""),"86o 04' 43""")</f>
        <v>86o 04' 43"</v>
      </c>
      <c r="M1426" s="2" t="str">
        <f>IFERROR(__xludf.DUMMYFUNCTION("""COMPUTED_VALUE"""),"Bhimeshwar Munic (Dolakha)")</f>
        <v>Bhimeshwar Munic (Dolakha)</v>
      </c>
    </row>
    <row r="1427">
      <c r="A1427" s="2">
        <f>IFERROR(__xludf.DUMMYFUNCTION("""COMPUTED_VALUE"""),1426.0)</f>
        <v>1426</v>
      </c>
      <c r="B1427" s="2" t="str">
        <f>IFERROR(__xludf.DUMMYFUNCTION("""COMPUTED_VALUE"""),"Khar Khola SHP")</f>
        <v>Khar Khola SHP</v>
      </c>
      <c r="C1427" s="2">
        <f>IFERROR(__xludf.DUMMYFUNCTION("""COMPUTED_VALUE"""),0.35)</f>
        <v>0.35</v>
      </c>
      <c r="D1427" s="2" t="str">
        <f>IFERROR(__xludf.DUMMYFUNCTION("""COMPUTED_VALUE"""),"Khar")</f>
        <v>Khar</v>
      </c>
      <c r="E1427" s="2">
        <f>IFERROR(__xludf.DUMMYFUNCTION("""COMPUTED_VALUE"""),5717.0)</f>
        <v>5717</v>
      </c>
      <c r="F1427" s="3">
        <f>IFERROR(__xludf.DUMMYFUNCTION("""COMPUTED_VALUE"""),60930.0)</f>
        <v>60930</v>
      </c>
      <c r="G1427" s="2" t="str">
        <f>IFERROR(__xludf.DUMMYFUNCTION("""COMPUTED_VALUE"""),"Harmi Community development and communication center")</f>
        <v>Harmi Community development and communication center</v>
      </c>
      <c r="H1427" s="2" t="str">
        <f>IFERROR(__xludf.DUMMYFUNCTION("""COMPUTED_VALUE"""),"Harmi, Gorkha")</f>
        <v>Harmi, Gorkha</v>
      </c>
      <c r="I1427" s="2" t="str">
        <f>IFERROR(__xludf.DUMMYFUNCTION("""COMPUTED_VALUE"""),"28o 05' 00""")</f>
        <v>28o 05' 00"</v>
      </c>
      <c r="J1427" s="2" t="str">
        <f>IFERROR(__xludf.DUMMYFUNCTION("""COMPUTED_VALUE"""),"28o 06' 00""")</f>
        <v>28o 06' 00"</v>
      </c>
      <c r="K1427" s="2" t="str">
        <f>IFERROR(__xludf.DUMMYFUNCTION("""COMPUTED_VALUE"""),"84o 33' 35""")</f>
        <v>84o 33' 35"</v>
      </c>
      <c r="L1427" s="2" t="str">
        <f>IFERROR(__xludf.DUMMYFUNCTION("""COMPUTED_VALUE"""),"84o 34' 00""")</f>
        <v>84o 34' 00"</v>
      </c>
      <c r="M1427" s="2" t="str">
        <f>IFERROR(__xludf.DUMMYFUNCTION("""COMPUTED_VALUE"""),"Harbhi (Gorkha)")</f>
        <v>Harbhi (Gorkha)</v>
      </c>
    </row>
    <row r="1428">
      <c r="A1428" s="2">
        <f>IFERROR(__xludf.DUMMYFUNCTION("""COMPUTED_VALUE"""),1427.0)</f>
        <v>1427</v>
      </c>
      <c r="B1428" s="2" t="str">
        <f>IFERROR(__xludf.DUMMYFUNCTION("""COMPUTED_VALUE"""),"Raja Rani (Khadam) SHP")</f>
        <v>Raja Rani (Khadam) SHP</v>
      </c>
      <c r="C1428" s="2">
        <f>IFERROR(__xludf.DUMMYFUNCTION("""COMPUTED_VALUE"""),0.976)</f>
        <v>0.976</v>
      </c>
      <c r="D1428" s="2" t="str">
        <f>IFERROR(__xludf.DUMMYFUNCTION("""COMPUTED_VALUE"""),"Khadam")</f>
        <v>Khadam</v>
      </c>
      <c r="E1428" s="2">
        <f>IFERROR(__xludf.DUMMYFUNCTION("""COMPUTED_VALUE"""),5742.0)</f>
        <v>5742</v>
      </c>
      <c r="F1428" s="3">
        <f>IFERROR(__xludf.DUMMYFUNCTION("""COMPUTED_VALUE"""),60931.0)</f>
        <v>60931</v>
      </c>
      <c r="G1428" s="2" t="str">
        <f>IFERROR(__xludf.DUMMYFUNCTION("""COMPUTED_VALUE"""),"G.Baral, B.N.Khanal,H.P.Neupane, D.Baral, R.K.Limbu, H.K.Limbu")</f>
        <v>G.Baral, B.N.Khanal,H.P.Neupane, D.Baral, R.K.Limbu, H.K.Limbu</v>
      </c>
      <c r="H1428" s="2" t="str">
        <f>IFERROR(__xludf.DUMMYFUNCTION("""COMPUTED_VALUE"""),"Kuruletenupa-4, Dhankuta, Tel; 9851054958, 9741103200")</f>
        <v>Kuruletenupa-4, Dhankuta, Tel; 9851054958, 9741103200</v>
      </c>
      <c r="I1428" s="2" t="str">
        <f>IFERROR(__xludf.DUMMYFUNCTION("""COMPUTED_VALUE"""),"26o 51' 17""")</f>
        <v>26o 51' 17"</v>
      </c>
      <c r="J1428" s="2" t="str">
        <f>IFERROR(__xludf.DUMMYFUNCTION("""COMPUTED_VALUE"""),"26o 52' 47""")</f>
        <v>26o 52' 47"</v>
      </c>
      <c r="K1428" s="2" t="str">
        <f>IFERROR(__xludf.DUMMYFUNCTION("""COMPUTED_VALUE"""),"87o 25' 22""")</f>
        <v>87o 25' 22"</v>
      </c>
      <c r="L1428" s="2" t="str">
        <f>IFERROR(__xludf.DUMMYFUNCTION("""COMPUTED_VALUE"""),"87o 28' 04""")</f>
        <v>87o 28' 04"</v>
      </c>
      <c r="M1428" s="2" t="str">
        <f>IFERROR(__xludf.DUMMYFUNCTION("""COMPUTED_VALUE"""),"Raja RAni (Dhankuta)")</f>
        <v>Raja RAni (Dhankuta)</v>
      </c>
    </row>
    <row r="1429">
      <c r="A1429" s="2">
        <f>IFERROR(__xludf.DUMMYFUNCTION("""COMPUTED_VALUE"""),1428.0)</f>
        <v>1428</v>
      </c>
      <c r="B1429" s="2" t="str">
        <f>IFERROR(__xludf.DUMMYFUNCTION("""COMPUTED_VALUE"""),"Risal Khola SHP")</f>
        <v>Risal Khola SHP</v>
      </c>
      <c r="C1429" s="2">
        <f>IFERROR(__xludf.DUMMYFUNCTION("""COMPUTED_VALUE"""),0.99)</f>
        <v>0.99</v>
      </c>
      <c r="D1429" s="2" t="str">
        <f>IFERROR(__xludf.DUMMYFUNCTION("""COMPUTED_VALUE"""),"Risal")</f>
        <v>Risal</v>
      </c>
      <c r="E1429" s="2">
        <f>IFERROR(__xludf.DUMMYFUNCTION("""COMPUTED_VALUE"""),5748.0)</f>
        <v>5748</v>
      </c>
      <c r="F1429" s="3">
        <f>IFERROR(__xludf.DUMMYFUNCTION("""COMPUTED_VALUE"""),60931.0)</f>
        <v>60931</v>
      </c>
      <c r="G1429" s="2" t="str">
        <f>IFERROR(__xludf.DUMMYFUNCTION("""COMPUTED_VALUE"""),"Shalik Ram Poudel, S.P.Rokka")</f>
        <v>Shalik Ram Poudel, S.P.Rokka</v>
      </c>
      <c r="H1429" s="2" t="str">
        <f>IFERROR(__xludf.DUMMYFUNCTION("""COMPUTED_VALUE"""),"Krishnapur, Chitwan, Tel: 9845123456")</f>
        <v>Krishnapur, Chitwan, Tel: 9845123456</v>
      </c>
      <c r="I1429" s="2" t="str">
        <f>IFERROR(__xludf.DUMMYFUNCTION("""COMPUTED_VALUE"""),"00o 00' 00""")</f>
        <v>00o 00' 00"</v>
      </c>
      <c r="J1429" s="2" t="str">
        <f>IFERROR(__xludf.DUMMYFUNCTION("""COMPUTED_VALUE"""),"00o 00' 00""")</f>
        <v>00o 00' 00"</v>
      </c>
      <c r="K1429" s="2" t="str">
        <f>IFERROR(__xludf.DUMMYFUNCTION("""COMPUTED_VALUE"""),"00o 00' 00""")</f>
        <v>00o 00' 00"</v>
      </c>
      <c r="L1429" s="2" t="str">
        <f>IFERROR(__xludf.DUMMYFUNCTION("""COMPUTED_VALUE"""),"00o 00' 00""")</f>
        <v>00o 00' 00"</v>
      </c>
      <c r="M1429" s="2" t="str">
        <f>IFERROR(__xludf.DUMMYFUNCTION("""COMPUTED_VALUE"""),"Kanda (Rukum)")</f>
        <v>Kanda (Rukum)</v>
      </c>
    </row>
    <row r="1430">
      <c r="A1430" s="2">
        <f>IFERROR(__xludf.DUMMYFUNCTION("""COMPUTED_VALUE"""),1429.0)</f>
        <v>1429</v>
      </c>
      <c r="B1430" s="2" t="str">
        <f>IFERROR(__xludf.DUMMYFUNCTION("""COMPUTED_VALUE"""),"Khadam Khola SHP")</f>
        <v>Khadam Khola SHP</v>
      </c>
      <c r="C1430" s="2">
        <f>IFERROR(__xludf.DUMMYFUNCTION("""COMPUTED_VALUE"""),0.98)</f>
        <v>0.98</v>
      </c>
      <c r="D1430" s="2" t="str">
        <f>IFERROR(__xludf.DUMMYFUNCTION("""COMPUTED_VALUE"""),"Khadam")</f>
        <v>Khadam</v>
      </c>
      <c r="E1430" s="2">
        <f>IFERROR(__xludf.DUMMYFUNCTION("""COMPUTED_VALUE"""),5750.0)</f>
        <v>5750</v>
      </c>
      <c r="F1430" s="3">
        <f>IFERROR(__xludf.DUMMYFUNCTION("""COMPUTED_VALUE"""),60931.0)</f>
        <v>60931</v>
      </c>
      <c r="G1430" s="2" t="str">
        <f>IFERROR(__xludf.DUMMYFUNCTION("""COMPUTED_VALUE"""),"Puran Kumar Rai")</f>
        <v>Puran Kumar Rai</v>
      </c>
      <c r="H1430" s="2" t="str">
        <f>IFERROR(__xludf.DUMMYFUNCTION("""COMPUTED_VALUE"""),"Sundarpur-5, Morang Tel: 9841521159")</f>
        <v>Sundarpur-5, Morang Tel: 9841521159</v>
      </c>
      <c r="I1430" s="2" t="str">
        <f>IFERROR(__xludf.DUMMYFUNCTION("""COMPUTED_VALUE"""),"26o 47' 30""")</f>
        <v>26o 47' 30"</v>
      </c>
      <c r="J1430" s="2" t="str">
        <f>IFERROR(__xludf.DUMMYFUNCTION("""COMPUTED_VALUE"""),"26o 49' 05""")</f>
        <v>26o 49' 05"</v>
      </c>
      <c r="K1430" s="2" t="str">
        <f>IFERROR(__xludf.DUMMYFUNCTION("""COMPUTED_VALUE"""),"87o 24' 08""")</f>
        <v>87o 24' 08"</v>
      </c>
      <c r="L1430" s="2" t="str">
        <f>IFERROR(__xludf.DUMMYFUNCTION("""COMPUTED_VALUE"""),"87o 25' 00""")</f>
        <v>87o 25' 00"</v>
      </c>
      <c r="M1430" s="2" t="str">
        <f>IFERROR(__xludf.DUMMYFUNCTION("""COMPUTED_VALUE"""),"Bhogateni,Yangshila (Morang)")</f>
        <v>Bhogateni,Yangshila (Morang)</v>
      </c>
    </row>
    <row r="1431">
      <c r="A1431" s="2">
        <f>IFERROR(__xludf.DUMMYFUNCTION("""COMPUTED_VALUE"""),1430.0)</f>
        <v>1430</v>
      </c>
      <c r="B1431" s="2" t="str">
        <f>IFERROR(__xludf.DUMMYFUNCTION("""COMPUTED_VALUE"""),"Saligram Kaligandaki HPP")</f>
        <v>Saligram Kaligandaki HPP</v>
      </c>
      <c r="C1431" s="2">
        <f>IFERROR(__xludf.DUMMYFUNCTION("""COMPUTED_VALUE"""),86.0)</f>
        <v>86</v>
      </c>
      <c r="D1431" s="2" t="str">
        <f>IFERROR(__xludf.DUMMYFUNCTION("""COMPUTED_VALUE"""),"Kali Gandaki")</f>
        <v>Kali Gandaki</v>
      </c>
      <c r="E1431" s="2">
        <f>IFERROR(__xludf.DUMMYFUNCTION("""COMPUTED_VALUE"""),5752.0)</f>
        <v>5752</v>
      </c>
      <c r="F1431" s="3">
        <f>IFERROR(__xludf.DUMMYFUNCTION("""COMPUTED_VALUE"""),60931.0)</f>
        <v>60931</v>
      </c>
      <c r="G1431" s="2" t="str">
        <f>IFERROR(__xludf.DUMMYFUNCTION("""COMPUTED_VALUE"""),"Gandaki Hydrosolution Private Limited")</f>
        <v>Gandaki Hydrosolution Private Limited</v>
      </c>
      <c r="H1431" s="2" t="str">
        <f>IFERROR(__xludf.DUMMYFUNCTION("""COMPUTED_VALUE"""),"Kathmandu, Tel: 4106507,4106721")</f>
        <v>Kathmandu, Tel: 4106507,4106721</v>
      </c>
      <c r="I1431" s="2" t="str">
        <f>IFERROR(__xludf.DUMMYFUNCTION("""COMPUTED_VALUE"""),"28o 00' 35""")</f>
        <v>28o 00' 35"</v>
      </c>
      <c r="J1431" s="2" t="str">
        <f>IFERROR(__xludf.DUMMYFUNCTION("""COMPUTED_VALUE"""),"28o 07' 30""")</f>
        <v>28o 07' 30"</v>
      </c>
      <c r="K1431" s="2" t="str">
        <f>IFERROR(__xludf.DUMMYFUNCTION("""COMPUTED_VALUE"""),"83o 33' 00""")</f>
        <v>83o 33' 00"</v>
      </c>
      <c r="L1431" s="2" t="str">
        <f>IFERROR(__xludf.DUMMYFUNCTION("""COMPUTED_VALUE"""),"83o 38' 00""")</f>
        <v>83o 38' 00"</v>
      </c>
      <c r="M1431" s="2" t="str">
        <f>IFERROR(__xludf.DUMMYFUNCTION("""COMPUTED_VALUE"""),"Khadagkot,Arbani (Gulmi) Bachchha (Parbat)")</f>
        <v>Khadagkot,Arbani (Gulmi) Bachchha (Parbat)</v>
      </c>
    </row>
    <row r="1432">
      <c r="A1432" s="2">
        <f>IFERROR(__xludf.DUMMYFUNCTION("""COMPUTED_VALUE"""),1431.0)</f>
        <v>1431</v>
      </c>
      <c r="B1432" s="2" t="str">
        <f>IFERROR(__xludf.DUMMYFUNCTION("""COMPUTED_VALUE"""),"Upper Hadi HPP")</f>
        <v>Upper Hadi HPP</v>
      </c>
      <c r="C1432" s="2">
        <f>IFERROR(__xludf.DUMMYFUNCTION("""COMPUTED_VALUE"""),0.998)</f>
        <v>0.998</v>
      </c>
      <c r="D1432" s="2" t="str">
        <f>IFERROR(__xludf.DUMMYFUNCTION("""COMPUTED_VALUE"""),"Hadi")</f>
        <v>Hadi</v>
      </c>
      <c r="E1432" s="2">
        <f>IFERROR(__xludf.DUMMYFUNCTION("""COMPUTED_VALUE"""),5764.0)</f>
        <v>5764</v>
      </c>
      <c r="F1432" s="3">
        <f>IFERROR(__xludf.DUMMYFUNCTION("""COMPUTED_VALUE"""),60932.0)</f>
        <v>60932</v>
      </c>
      <c r="G1432" s="2" t="str">
        <f>IFERROR(__xludf.DUMMYFUNCTION("""COMPUTED_VALUE"""),"Dip Bahadur Lama")</f>
        <v>Dip Bahadur Lama</v>
      </c>
      <c r="H1432" s="2" t="str">
        <f>IFERROR(__xludf.DUMMYFUNCTION("""COMPUTED_VALUE"""),"Gunsa VDC-5, Sindhupalchowk")</f>
        <v>Gunsa VDC-5, Sindhupalchowk</v>
      </c>
      <c r="I1432" s="2" t="str">
        <f>IFERROR(__xludf.DUMMYFUNCTION("""COMPUTED_VALUE"""),"27o 55' 58""")</f>
        <v>27o 55' 58"</v>
      </c>
      <c r="J1432" s="2" t="str">
        <f>IFERROR(__xludf.DUMMYFUNCTION("""COMPUTED_VALUE"""),"27o 56' 45""")</f>
        <v>27o 56' 45"</v>
      </c>
      <c r="K1432" s="2" t="str">
        <f>IFERROR(__xludf.DUMMYFUNCTION("""COMPUTED_VALUE"""),"85o 40' 56""")</f>
        <v>85o 40' 56"</v>
      </c>
      <c r="L1432" s="2" t="str">
        <f>IFERROR(__xludf.DUMMYFUNCTION("""COMPUTED_VALUE"""),"85o 42' 33""")</f>
        <v>85o 42' 33"</v>
      </c>
      <c r="M1432" s="2" t="str">
        <f>IFERROR(__xludf.DUMMYFUNCTION("""COMPUTED_VALUE"""),"Gunsa,Thanpalkot (Sindhupalchok)")</f>
        <v>Gunsa,Thanpalkot (Sindhupalchok)</v>
      </c>
    </row>
    <row r="1433">
      <c r="A1433" s="2">
        <f>IFERROR(__xludf.DUMMYFUNCTION("""COMPUTED_VALUE"""),1432.0)</f>
        <v>1432</v>
      </c>
      <c r="B1433" s="2" t="str">
        <f>IFERROR(__xludf.DUMMYFUNCTION("""COMPUTED_VALUE"""),"Seti Canal SHP")</f>
        <v>Seti Canal SHP</v>
      </c>
      <c r="C1433" s="2">
        <f>IFERROR(__xludf.DUMMYFUNCTION("""COMPUTED_VALUE"""),0.971)</f>
        <v>0.971</v>
      </c>
      <c r="D1433" s="2" t="str">
        <f>IFERROR(__xludf.DUMMYFUNCTION("""COMPUTED_VALUE"""),"Seti Canal")</f>
        <v>Seti Canal</v>
      </c>
      <c r="E1433" s="2">
        <f>IFERROR(__xludf.DUMMYFUNCTION("""COMPUTED_VALUE"""),5771.0)</f>
        <v>5771</v>
      </c>
      <c r="F1433" s="3">
        <f>IFERROR(__xludf.DUMMYFUNCTION("""COMPUTED_VALUE"""),60932.0)</f>
        <v>60932</v>
      </c>
      <c r="G1433" s="2" t="str">
        <f>IFERROR(__xludf.DUMMYFUNCTION("""COMPUTED_VALUE"""),"Amrit babu Poudel")</f>
        <v>Amrit babu Poudel</v>
      </c>
      <c r="H1433" s="2" t="str">
        <f>IFERROR(__xludf.DUMMYFUNCTION("""COMPUTED_VALUE"""),"Pokhra Sub-Municipality Tel: 061-521691, 9846115944")</f>
        <v>Pokhra Sub-Municipality Tel: 061-521691, 9846115944</v>
      </c>
      <c r="I1433" s="2" t="str">
        <f>IFERROR(__xludf.DUMMYFUNCTION("""COMPUTED_VALUE"""),"28o 09' 16""")</f>
        <v>28o 09' 16"</v>
      </c>
      <c r="J1433" s="2" t="str">
        <f>IFERROR(__xludf.DUMMYFUNCTION("""COMPUTED_VALUE"""),"28o 10' 21""")</f>
        <v>28o 10' 21"</v>
      </c>
      <c r="K1433" s="2" t="str">
        <f>IFERROR(__xludf.DUMMYFUNCTION("""COMPUTED_VALUE"""),"84o 01' 13""")</f>
        <v>84o 01' 13"</v>
      </c>
      <c r="L1433" s="2" t="str">
        <f>IFERROR(__xludf.DUMMYFUNCTION("""COMPUTED_VALUE"""),"84o 02' 30""")</f>
        <v>84o 02' 30"</v>
      </c>
      <c r="M1433" s="2" t="str">
        <f>IFERROR(__xludf.DUMMYFUNCTION("""COMPUTED_VALUE"""),"Pokhara N.P. (Kaski)")</f>
        <v>Pokhara N.P. (Kaski)</v>
      </c>
    </row>
    <row r="1434">
      <c r="A1434" s="2">
        <f>IFERROR(__xludf.DUMMYFUNCTION("""COMPUTED_VALUE"""),1433.0)</f>
        <v>1433</v>
      </c>
      <c r="B1434" s="2" t="str">
        <f>IFERROR(__xludf.DUMMYFUNCTION("""COMPUTED_VALUE"""),"Middle Chepe HPP")</f>
        <v>Middle Chepe HPP</v>
      </c>
      <c r="C1434" s="2">
        <f>IFERROR(__xludf.DUMMYFUNCTION("""COMPUTED_VALUE"""),7.0)</f>
        <v>7</v>
      </c>
      <c r="D1434" s="2" t="str">
        <f>IFERROR(__xludf.DUMMYFUNCTION("""COMPUTED_VALUE"""),"Chepe Khola")</f>
        <v>Chepe Khola</v>
      </c>
      <c r="E1434" s="2">
        <f>IFERROR(__xludf.DUMMYFUNCTION("""COMPUTED_VALUE"""),5781.0)</f>
        <v>5781</v>
      </c>
      <c r="F1434" s="3">
        <f>IFERROR(__xludf.DUMMYFUNCTION("""COMPUTED_VALUE"""),60933.0)</f>
        <v>60933</v>
      </c>
      <c r="G1434" s="2" t="str">
        <f>IFERROR(__xludf.DUMMYFUNCTION("""COMPUTED_VALUE"""),"Gorakhnath Urja Bikash Company Pvt Ltd")</f>
        <v>Gorakhnath Urja Bikash Company Pvt Ltd</v>
      </c>
      <c r="H1434" s="2" t="str">
        <f>IFERROR(__xludf.DUMMYFUNCTION("""COMPUTED_VALUE"""),"Kathmandu, Tel; 9741128074")</f>
        <v>Kathmandu, Tel; 9741128074</v>
      </c>
      <c r="I1434" s="2" t="str">
        <f>IFERROR(__xludf.DUMMYFUNCTION("""COMPUTED_VALUE"""),"28o 05' 00""")</f>
        <v>28o 05' 00"</v>
      </c>
      <c r="J1434" s="2" t="str">
        <f>IFERROR(__xludf.DUMMYFUNCTION("""COMPUTED_VALUE"""),"28o 07' 30""")</f>
        <v>28o 07' 30"</v>
      </c>
      <c r="K1434" s="2" t="str">
        <f>IFERROR(__xludf.DUMMYFUNCTION("""COMPUTED_VALUE"""),"84o 31' 05""")</f>
        <v>84o 31' 05"</v>
      </c>
      <c r="L1434" s="2" t="str">
        <f>IFERROR(__xludf.DUMMYFUNCTION("""COMPUTED_VALUE"""),"84o 33' 36""")</f>
        <v>84o 33' 36"</v>
      </c>
      <c r="M1434" s="2" t="str">
        <f>IFERROR(__xludf.DUMMYFUNCTION("""COMPUTED_VALUE"""),"Harbhi,Thalajung (Gorkha) Bhalayakharka,Chakratirtha (Lamjung)")</f>
        <v>Harbhi,Thalajung (Gorkha) Bhalayakharka,Chakratirtha (Lamjung)</v>
      </c>
    </row>
    <row r="1435">
      <c r="A1435" s="2">
        <f>IFERROR(__xludf.DUMMYFUNCTION("""COMPUTED_VALUE"""),1434.0)</f>
        <v>1434</v>
      </c>
      <c r="B1435" s="2" t="str">
        <f>IFERROR(__xludf.DUMMYFUNCTION("""COMPUTED_VALUE"""),"Bhat Khola HPP")</f>
        <v>Bhat Khola HPP</v>
      </c>
      <c r="C1435" s="2">
        <f>IFERROR(__xludf.DUMMYFUNCTION("""COMPUTED_VALUE"""),0.8)</f>
        <v>0.8</v>
      </c>
      <c r="D1435" s="2" t="str">
        <f>IFERROR(__xludf.DUMMYFUNCTION("""COMPUTED_VALUE"""),"Bhat Khola")</f>
        <v>Bhat Khola</v>
      </c>
      <c r="E1435" s="2">
        <f>IFERROR(__xludf.DUMMYFUNCTION("""COMPUTED_VALUE"""),5870.0)</f>
        <v>5870</v>
      </c>
      <c r="F1435" s="3">
        <f>IFERROR(__xludf.DUMMYFUNCTION("""COMPUTED_VALUE"""),60945.0)</f>
        <v>60945</v>
      </c>
      <c r="G1435" s="2" t="str">
        <f>IFERROR(__xludf.DUMMYFUNCTION("""COMPUTED_VALUE"""),"Rudra Energy and Engineering Pvt Ltd")</f>
        <v>Rudra Energy and Engineering Pvt Ltd</v>
      </c>
      <c r="H1435" s="2" t="str">
        <f>IFERROR(__xludf.DUMMYFUNCTION("""COMPUTED_VALUE"""),"Kathmandu, Tel: 9841259676")</f>
        <v>Kathmandu, Tel: 9841259676</v>
      </c>
      <c r="I1435" s="2" t="str">
        <f>IFERROR(__xludf.DUMMYFUNCTION("""COMPUTED_VALUE"""),"28o 09' 01""")</f>
        <v>28o 09' 01"</v>
      </c>
      <c r="J1435" s="2" t="str">
        <f>IFERROR(__xludf.DUMMYFUNCTION("""COMPUTED_VALUE"""),"28o 10' 12""")</f>
        <v>28o 10' 12"</v>
      </c>
      <c r="K1435" s="2" t="str">
        <f>IFERROR(__xludf.DUMMYFUNCTION("""COMPUTED_VALUE"""),"83o 50' 42""")</f>
        <v>83o 50' 42"</v>
      </c>
      <c r="L1435" s="2" t="str">
        <f>IFERROR(__xludf.DUMMYFUNCTION("""COMPUTED_VALUE"""),"83o 52' 30""")</f>
        <v>83o 52' 30"</v>
      </c>
      <c r="M1435" s="2" t="str">
        <f>IFERROR(__xludf.DUMMYFUNCTION("""COMPUTED_VALUE"""),"Arukharka,Bhatkhola (Syangja)")</f>
        <v>Arukharka,Bhatkhola (Syangja)</v>
      </c>
    </row>
    <row r="1436">
      <c r="A1436" s="2">
        <f>IFERROR(__xludf.DUMMYFUNCTION("""COMPUTED_VALUE"""),1435.0)</f>
        <v>1435</v>
      </c>
      <c r="B1436" s="2" t="str">
        <f>IFERROR(__xludf.DUMMYFUNCTION("""COMPUTED_VALUE"""),"Upper Modi Khola HPP")</f>
        <v>Upper Modi Khola HPP</v>
      </c>
      <c r="C1436" s="2">
        <f>IFERROR(__xludf.DUMMYFUNCTION("""COMPUTED_VALUE"""),14.0)</f>
        <v>14</v>
      </c>
      <c r="D1436" s="2" t="str">
        <f>IFERROR(__xludf.DUMMYFUNCTION("""COMPUTED_VALUE"""),"Modi Khola")</f>
        <v>Modi Khola</v>
      </c>
      <c r="E1436" s="2">
        <f>IFERROR(__xludf.DUMMYFUNCTION("""COMPUTED_VALUE"""),5870.0)</f>
        <v>5870</v>
      </c>
      <c r="F1436" s="3">
        <f>IFERROR(__xludf.DUMMYFUNCTION("""COMPUTED_VALUE"""),60945.0)</f>
        <v>60945</v>
      </c>
      <c r="G1436" s="2" t="str">
        <f>IFERROR(__xludf.DUMMYFUNCTION("""COMPUTED_VALUE"""),"Phewa Hydropower Pvt Ltd")</f>
        <v>Phewa Hydropower Pvt Ltd</v>
      </c>
      <c r="H1436" s="2" t="str">
        <f>IFERROR(__xludf.DUMMYFUNCTION("""COMPUTED_VALUE"""),"Kathmandu, Tel; 01-2407665")</f>
        <v>Kathmandu, Tel; 01-2407665</v>
      </c>
      <c r="I1436" s="2" t="str">
        <f>IFERROR(__xludf.DUMMYFUNCTION("""COMPUTED_VALUE"""),"28o 18' 45""")</f>
        <v>28o 18' 45"</v>
      </c>
      <c r="J1436" s="2" t="str">
        <f>IFERROR(__xludf.DUMMYFUNCTION("""COMPUTED_VALUE"""),"28o 22' 00""")</f>
        <v>28o 22' 00"</v>
      </c>
      <c r="K1436" s="2" t="str">
        <f>IFERROR(__xludf.DUMMYFUNCTION("""COMPUTED_VALUE"""),"83o 46' 00""")</f>
        <v>83o 46' 00"</v>
      </c>
      <c r="L1436" s="2" t="str">
        <f>IFERROR(__xludf.DUMMYFUNCTION("""COMPUTED_VALUE"""),"83o 50' 00""")</f>
        <v>83o 50' 00"</v>
      </c>
      <c r="M1436" s="2" t="str">
        <f>IFERROR(__xludf.DUMMYFUNCTION("""COMPUTED_VALUE"""),"Ghandruk,Lumle,Dangsing (Kaski)")</f>
        <v>Ghandruk,Lumle,Dangsing (Kaski)</v>
      </c>
    </row>
    <row r="1437">
      <c r="A1437" s="2">
        <f>IFERROR(__xludf.DUMMYFUNCTION("""COMPUTED_VALUE"""),1436.0)</f>
        <v>1436</v>
      </c>
      <c r="B1437" s="2" t="str">
        <f>IFERROR(__xludf.DUMMYFUNCTION("""COMPUTED_VALUE"""),"Ghatte Khola SHP")</f>
        <v>Ghatte Khola SHP</v>
      </c>
      <c r="C1437" s="2">
        <f>IFERROR(__xludf.DUMMYFUNCTION("""COMPUTED_VALUE"""),0.981)</f>
        <v>0.981</v>
      </c>
      <c r="D1437" s="2" t="str">
        <f>IFERROR(__xludf.DUMMYFUNCTION("""COMPUTED_VALUE"""),"Ghatte Khola")</f>
        <v>Ghatte Khola</v>
      </c>
      <c r="E1437" s="2">
        <f>IFERROR(__xludf.DUMMYFUNCTION("""COMPUTED_VALUE"""),5901.0)</f>
        <v>5901</v>
      </c>
      <c r="F1437" s="3">
        <f>IFERROR(__xludf.DUMMYFUNCTION("""COMPUTED_VALUE"""),60948.0)</f>
        <v>60948</v>
      </c>
      <c r="G1437" s="2" t="str">
        <f>IFERROR(__xludf.DUMMYFUNCTION("""COMPUTED_VALUE"""),"Munhari Thapa")</f>
        <v>Munhari Thapa</v>
      </c>
      <c r="H1437" s="2" t="str">
        <f>IFERROR(__xludf.DUMMYFUNCTION("""COMPUTED_VALUE"""),"Bhimeswar Municipality-11, Dolkha")</f>
        <v>Bhimeswar Municipality-11, Dolkha</v>
      </c>
      <c r="I1437" s="2" t="str">
        <f>IFERROR(__xludf.DUMMYFUNCTION("""COMPUTED_VALUE"""),"27o 40' 00""")</f>
        <v>27o 40' 00"</v>
      </c>
      <c r="J1437" s="2" t="str">
        <f>IFERROR(__xludf.DUMMYFUNCTION("""COMPUTED_VALUE"""),"27o 42' 30""")</f>
        <v>27o 42' 30"</v>
      </c>
      <c r="K1437" s="2" t="str">
        <f>IFERROR(__xludf.DUMMYFUNCTION("""COMPUTED_VALUE"""),"85o 57' 21""")</f>
        <v>85o 57' 21"</v>
      </c>
      <c r="L1437" s="2" t="str">
        <f>IFERROR(__xludf.DUMMYFUNCTION("""COMPUTED_VALUE"""),"86o 00' 00""")</f>
        <v>86o 00' 00"</v>
      </c>
      <c r="M1437" s="2" t="str">
        <f>IFERROR(__xludf.DUMMYFUNCTION("""COMPUTED_VALUE"""),"Bocha,Lakuri Dada (Dolakha)")</f>
        <v>Bocha,Lakuri Dada (Dolakha)</v>
      </c>
    </row>
    <row r="1438">
      <c r="A1438" s="2">
        <f>IFERROR(__xludf.DUMMYFUNCTION("""COMPUTED_VALUE"""),1437.0)</f>
        <v>1437</v>
      </c>
      <c r="B1438" s="2" t="str">
        <f>IFERROR(__xludf.DUMMYFUNCTION("""COMPUTED_VALUE"""),"Bauli Gad SHP")</f>
        <v>Bauli Gad SHP</v>
      </c>
      <c r="C1438" s="2">
        <f>IFERROR(__xludf.DUMMYFUNCTION("""COMPUTED_VALUE"""),0.969)</f>
        <v>0.969</v>
      </c>
      <c r="D1438" s="2" t="str">
        <f>IFERROR(__xludf.DUMMYFUNCTION("""COMPUTED_VALUE"""),"Bauli Gad")</f>
        <v>Bauli Gad</v>
      </c>
      <c r="E1438" s="2">
        <f>IFERROR(__xludf.DUMMYFUNCTION("""COMPUTED_VALUE"""),5913.0)</f>
        <v>5913</v>
      </c>
      <c r="F1438" s="3">
        <f>IFERROR(__xludf.DUMMYFUNCTION("""COMPUTED_VALUE"""),60948.0)</f>
        <v>60948</v>
      </c>
      <c r="G1438" s="2" t="str">
        <f>IFERROR(__xludf.DUMMYFUNCTION("""COMPUTED_VALUE"""),"Surma Api Hydropower Development Pvt Ltd")</f>
        <v>Surma Api Hydropower Development Pvt Ltd</v>
      </c>
      <c r="H1438" s="2" t="str">
        <f>IFERROR(__xludf.DUMMYFUNCTION("""COMPUTED_VALUE"""),"Kathmandu, Tel: 9741088345")</f>
        <v>Kathmandu, Tel: 9741088345</v>
      </c>
      <c r="I1438" s="2" t="str">
        <f>IFERROR(__xludf.DUMMYFUNCTION("""COMPUTED_VALUE"""),"29o 36' 26""")</f>
        <v>29o 36' 26"</v>
      </c>
      <c r="J1438" s="2" t="str">
        <f>IFERROR(__xludf.DUMMYFUNCTION("""COMPUTED_VALUE"""),"29o 38' 36""")</f>
        <v>29o 38' 36"</v>
      </c>
      <c r="K1438" s="2" t="str">
        <f>IFERROR(__xludf.DUMMYFUNCTION("""COMPUTED_VALUE"""),"81o 09' 17""")</f>
        <v>81o 09' 17"</v>
      </c>
      <c r="L1438" s="2" t="str">
        <f>IFERROR(__xludf.DUMMYFUNCTION("""COMPUTED_VALUE"""),"81o 10' 31""")</f>
        <v>81o 10' 31"</v>
      </c>
      <c r="M1438" s="2" t="str">
        <f>IFERROR(__xludf.DUMMYFUNCTION("""COMPUTED_VALUE"""),"Dilichaur (Bajhang)")</f>
        <v>Dilichaur (Bajhang)</v>
      </c>
    </row>
    <row r="1439">
      <c r="A1439" s="2">
        <f>IFERROR(__xludf.DUMMYFUNCTION("""COMPUTED_VALUE"""),1438.0)</f>
        <v>1438</v>
      </c>
      <c r="B1439" s="2" t="str">
        <f>IFERROR(__xludf.DUMMYFUNCTION("""COMPUTED_VALUE"""),"Chau Khola SHP")</f>
        <v>Chau Khola SHP</v>
      </c>
      <c r="C1439" s="2">
        <f>IFERROR(__xludf.DUMMYFUNCTION("""COMPUTED_VALUE"""),0.98)</f>
        <v>0.98</v>
      </c>
      <c r="D1439" s="2" t="str">
        <f>IFERROR(__xludf.DUMMYFUNCTION("""COMPUTED_VALUE"""),"Chau")</f>
        <v>Chau</v>
      </c>
      <c r="E1439" s="2">
        <f>IFERROR(__xludf.DUMMYFUNCTION("""COMPUTED_VALUE"""),5914.0)</f>
        <v>5914</v>
      </c>
      <c r="F1439" s="3">
        <f>IFERROR(__xludf.DUMMYFUNCTION("""COMPUTED_VALUE"""),60948.0)</f>
        <v>60948</v>
      </c>
      <c r="G1439" s="2" t="str">
        <f>IFERROR(__xludf.DUMMYFUNCTION("""COMPUTED_VALUE"""),"Surya Prasad Adhikari, D.Koirala, Dipendra Magaju")</f>
        <v>Surya Prasad Adhikari, D.Koirala, Dipendra Magaju</v>
      </c>
      <c r="H1439" s="2" t="str">
        <f>IFERROR(__xludf.DUMMYFUNCTION("""COMPUTED_VALUE"""),"Kalanki, Kathmandu Tel: 9851010427")</f>
        <v>Kalanki, Kathmandu Tel: 9851010427</v>
      </c>
      <c r="I1439" s="2" t="str">
        <f>IFERROR(__xludf.DUMMYFUNCTION("""COMPUTED_VALUE"""),"27o 22' 41""")</f>
        <v>27o 22' 41"</v>
      </c>
      <c r="J1439" s="2" t="str">
        <f>IFERROR(__xludf.DUMMYFUNCTION("""COMPUTED_VALUE"""),"27o 24' 33""")</f>
        <v>27o 24' 33"</v>
      </c>
      <c r="K1439" s="2" t="str">
        <f>IFERROR(__xludf.DUMMYFUNCTION("""COMPUTED_VALUE"""),"85o 31' 33""")</f>
        <v>85o 31' 33"</v>
      </c>
      <c r="L1439" s="2" t="str">
        <f>IFERROR(__xludf.DUMMYFUNCTION("""COMPUTED_VALUE"""),"85o 33' 25""")</f>
        <v>85o 33' 25"</v>
      </c>
      <c r="M1439" s="2" t="str">
        <f>IFERROR(__xludf.DUMMYFUNCTION("""COMPUTED_VALUE"""),"Foksingtar (Kavrepalanchok)")</f>
        <v>Foksingtar (Kavrepalanchok)</v>
      </c>
    </row>
    <row r="1440">
      <c r="A1440" s="2">
        <f>IFERROR(__xludf.DUMMYFUNCTION("""COMPUTED_VALUE"""),1439.0)</f>
        <v>1439</v>
      </c>
      <c r="B1440" s="2" t="str">
        <f>IFERROR(__xludf.DUMMYFUNCTION("""COMPUTED_VALUE"""),"Ghatganga HPP")</f>
        <v>Ghatganga HPP</v>
      </c>
      <c r="C1440" s="2">
        <f>IFERROR(__xludf.DUMMYFUNCTION("""COMPUTED_VALUE"""),20.0)</f>
        <v>20</v>
      </c>
      <c r="D1440" s="2" t="str">
        <f>IFERROR(__xludf.DUMMYFUNCTION("""COMPUTED_VALUE"""),"Ghat Ganga")</f>
        <v>Ghat Ganga</v>
      </c>
      <c r="E1440" s="2">
        <f>IFERROR(__xludf.DUMMYFUNCTION("""COMPUTED_VALUE"""),5925.0)</f>
        <v>5925</v>
      </c>
      <c r="F1440" s="3">
        <f>IFERROR(__xludf.DUMMYFUNCTION("""COMPUTED_VALUE"""),60949.0)</f>
        <v>60949</v>
      </c>
      <c r="G1440" s="2" t="str">
        <f>IFERROR(__xludf.DUMMYFUNCTION("""COMPUTED_VALUE"""),"Peoples Hydro Cooperative LTd")</f>
        <v>Peoples Hydro Cooperative LTd</v>
      </c>
      <c r="H1440" s="2" t="str">
        <f>IFERROR(__xludf.DUMMYFUNCTION("""COMPUTED_VALUE"""),"Kathmandu, Tel: 9851044366")</f>
        <v>Kathmandu, Tel: 9851044366</v>
      </c>
      <c r="I1440" s="2" t="str">
        <f>IFERROR(__xludf.DUMMYFUNCTION("""COMPUTED_VALUE"""),"29o 43' 00""")</f>
        <v>29o 43' 00"</v>
      </c>
      <c r="J1440" s="2" t="str">
        <f>IFERROR(__xludf.DUMMYFUNCTION("""COMPUTED_VALUE"""),"29o 47' 30""")</f>
        <v>29o 47' 30"</v>
      </c>
      <c r="K1440" s="2" t="str">
        <f>IFERROR(__xludf.DUMMYFUNCTION("""COMPUTED_VALUE"""),"81o 21' 00""")</f>
        <v>81o 21' 00"</v>
      </c>
      <c r="L1440" s="2" t="str">
        <f>IFERROR(__xludf.DUMMYFUNCTION("""COMPUTED_VALUE"""),"81o 27' 00""")</f>
        <v>81o 27' 00"</v>
      </c>
      <c r="M1440" s="2" t="str">
        <f>IFERROR(__xludf.DUMMYFUNCTION("""COMPUTED_VALUE"""),"Kanda (Bajhang)")</f>
        <v>Kanda (Bajhang)</v>
      </c>
    </row>
    <row r="1441">
      <c r="A1441" s="2">
        <f>IFERROR(__xludf.DUMMYFUNCTION("""COMPUTED_VALUE"""),1440.0)</f>
        <v>1440</v>
      </c>
      <c r="B1441" s="2" t="str">
        <f>IFERROR(__xludf.DUMMYFUNCTION("""COMPUTED_VALUE"""),"Istul Khola SHP")</f>
        <v>Istul Khola SHP</v>
      </c>
      <c r="C1441" s="2">
        <f>IFERROR(__xludf.DUMMYFUNCTION("""COMPUTED_VALUE"""),0.85)</f>
        <v>0.85</v>
      </c>
      <c r="D1441" s="2" t="str">
        <f>IFERROR(__xludf.DUMMYFUNCTION("""COMPUTED_VALUE"""),"Istul")</f>
        <v>Istul</v>
      </c>
      <c r="E1441" s="2">
        <f>IFERROR(__xludf.DUMMYFUNCTION("""COMPUTED_VALUE"""),5931.0)</f>
        <v>5931</v>
      </c>
      <c r="F1441" s="3">
        <f>IFERROR(__xludf.DUMMYFUNCTION("""COMPUTED_VALUE"""),60949.0)</f>
        <v>60949</v>
      </c>
      <c r="G1441" s="2" t="str">
        <f>IFERROR(__xludf.DUMMYFUNCTION("""COMPUTED_VALUE"""),"Parsuram Poudel")</f>
        <v>Parsuram Poudel</v>
      </c>
      <c r="H1441" s="2" t="str">
        <f>IFERROR(__xludf.DUMMYFUNCTION("""COMPUTED_VALUE"""),"Uttarganga-5, Surkhet")</f>
        <v>Uttarganga-5, Surkhet</v>
      </c>
      <c r="I1441" s="2" t="str">
        <f>IFERROR(__xludf.DUMMYFUNCTION("""COMPUTED_VALUE"""),"28o 02' 38""")</f>
        <v>28o 02' 38"</v>
      </c>
      <c r="J1441" s="2" t="str">
        <f>IFERROR(__xludf.DUMMYFUNCTION("""COMPUTED_VALUE"""),"28o 04' 21""")</f>
        <v>28o 04' 21"</v>
      </c>
      <c r="K1441" s="2" t="str">
        <f>IFERROR(__xludf.DUMMYFUNCTION("""COMPUTED_VALUE"""),"84o 47' 24""")</f>
        <v>84o 47' 24"</v>
      </c>
      <c r="L1441" s="2" t="str">
        <f>IFERROR(__xludf.DUMMYFUNCTION("""COMPUTED_VALUE"""),"84o 48' 56""")</f>
        <v>84o 48' 56"</v>
      </c>
      <c r="M1441" s="2" t="str">
        <f>IFERROR(__xludf.DUMMYFUNCTION("""COMPUTED_VALUE"""),"Aarupokhari,Aaru Chanuate (Gorkha)")</f>
        <v>Aarupokhari,Aaru Chanuate (Gorkha)</v>
      </c>
    </row>
    <row r="1442">
      <c r="A1442" s="2">
        <f>IFERROR(__xludf.DUMMYFUNCTION("""COMPUTED_VALUE"""),1441.0)</f>
        <v>1441</v>
      </c>
      <c r="B1442" s="2" t="str">
        <f>IFERROR(__xludf.DUMMYFUNCTION("""COMPUTED_VALUE"""),"Langtang Khola HPP")</f>
        <v>Langtang Khola HPP</v>
      </c>
      <c r="C1442" s="2">
        <f>IFERROR(__xludf.DUMMYFUNCTION("""COMPUTED_VALUE"""),10.0)</f>
        <v>10</v>
      </c>
      <c r="D1442" s="2" t="str">
        <f>IFERROR(__xludf.DUMMYFUNCTION("""COMPUTED_VALUE"""),"Langtang")</f>
        <v>Langtang</v>
      </c>
      <c r="E1442" s="2">
        <f>IFERROR(__xludf.DUMMYFUNCTION("""COMPUTED_VALUE"""),5940.0)</f>
        <v>5940</v>
      </c>
      <c r="F1442" s="3">
        <f>IFERROR(__xludf.DUMMYFUNCTION("""COMPUTED_VALUE"""),60950.0)</f>
        <v>60950</v>
      </c>
      <c r="G1442" s="2" t="str">
        <f>IFERROR(__xludf.DUMMYFUNCTION("""COMPUTED_VALUE"""),"Multi Energy Development Pvt Ltd")</f>
        <v>Multi Energy Development Pvt Ltd</v>
      </c>
      <c r="H1442" s="2" t="str">
        <f>IFERROR(__xludf.DUMMYFUNCTION("""COMPUTED_VALUE"""),"GPO Box: 10242, Kathmandu Tel: 6202802")</f>
        <v>GPO Box: 10242, Kathmandu Tel: 6202802</v>
      </c>
      <c r="I1442" s="2" t="str">
        <f>IFERROR(__xludf.DUMMYFUNCTION("""COMPUTED_VALUE"""),"28o 09' 05""")</f>
        <v>28o 09' 05"</v>
      </c>
      <c r="J1442" s="2" t="str">
        <f>IFERROR(__xludf.DUMMYFUNCTION("""COMPUTED_VALUE"""),"28o 09' 49""")</f>
        <v>28o 09' 49"</v>
      </c>
      <c r="K1442" s="2" t="str">
        <f>IFERROR(__xludf.DUMMYFUNCTION("""COMPUTED_VALUE"""),"85o 20' 34""")</f>
        <v>85o 20' 34"</v>
      </c>
      <c r="L1442" s="2" t="str">
        <f>IFERROR(__xludf.DUMMYFUNCTION("""COMPUTED_VALUE"""),"85o 22' 15""")</f>
        <v>85o 22' 15"</v>
      </c>
      <c r="M1442" s="2" t="str">
        <f>IFERROR(__xludf.DUMMYFUNCTION("""COMPUTED_VALUE"""),"Syafru (Rasuwa)")</f>
        <v>Syafru (Rasuwa)</v>
      </c>
    </row>
    <row r="1443">
      <c r="A1443" s="2">
        <f>IFERROR(__xludf.DUMMYFUNCTION("""COMPUTED_VALUE"""),1442.0)</f>
        <v>1442</v>
      </c>
      <c r="B1443" s="2" t="str">
        <f>IFERROR(__xludf.DUMMYFUNCTION("""COMPUTED_VALUE"""),"Koya Khola SHP")</f>
        <v>Koya Khola SHP</v>
      </c>
      <c r="C1443" s="2">
        <f>IFERROR(__xludf.DUMMYFUNCTION("""COMPUTED_VALUE"""),0.95)</f>
        <v>0.95</v>
      </c>
      <c r="D1443" s="2" t="str">
        <f>IFERROR(__xludf.DUMMYFUNCTION("""COMPUTED_VALUE"""),"Koya Khola")</f>
        <v>Koya Khola</v>
      </c>
      <c r="E1443" s="2">
        <f>IFERROR(__xludf.DUMMYFUNCTION("""COMPUTED_VALUE"""),5944.0)</f>
        <v>5944</v>
      </c>
      <c r="F1443" s="3">
        <f>IFERROR(__xludf.DUMMYFUNCTION("""COMPUTED_VALUE"""),60952.0)</f>
        <v>60952</v>
      </c>
      <c r="G1443" s="2" t="str">
        <f>IFERROR(__xludf.DUMMYFUNCTION("""COMPUTED_VALUE"""),"Sanjiv Kumar Mishra")</f>
        <v>Sanjiv Kumar Mishra</v>
      </c>
      <c r="H1443" s="2" t="str">
        <f>IFERROR(__xludf.DUMMYFUNCTION("""COMPUTED_VALUE"""),"Mainakaderi-1, Saptari Tel; 9842024075")</f>
        <v>Mainakaderi-1, Saptari Tel; 9842024075</v>
      </c>
      <c r="I1443" s="2" t="str">
        <f>IFERROR(__xludf.DUMMYFUNCTION("""COMPUTED_VALUE"""),"27o 07' 39""")</f>
        <v>27o 07' 39"</v>
      </c>
      <c r="J1443" s="2" t="str">
        <f>IFERROR(__xludf.DUMMYFUNCTION("""COMPUTED_VALUE"""),"27o 09' 15""")</f>
        <v>27o 09' 15"</v>
      </c>
      <c r="K1443" s="2" t="str">
        <f>IFERROR(__xludf.DUMMYFUNCTION("""COMPUTED_VALUE"""),"87o 38' 00""")</f>
        <v>87o 38' 00"</v>
      </c>
      <c r="L1443" s="2" t="str">
        <f>IFERROR(__xludf.DUMMYFUNCTION("""COMPUTED_VALUE"""),"87o 38' 45""")</f>
        <v>87o 38' 45"</v>
      </c>
      <c r="M1443" s="2" t="str">
        <f>IFERROR(__xludf.DUMMYFUNCTION("""COMPUTED_VALUE"""),"Simle,Thoklung (Terhathum)")</f>
        <v>Simle,Thoklung (Terhathum)</v>
      </c>
    </row>
    <row r="1444">
      <c r="A1444" s="2">
        <f>IFERROR(__xludf.DUMMYFUNCTION("""COMPUTED_VALUE"""),1443.0)</f>
        <v>1443</v>
      </c>
      <c r="B1444" s="2" t="str">
        <f>IFERROR(__xludf.DUMMYFUNCTION("""COMPUTED_VALUE"""),"Durlun Khola SHP")</f>
        <v>Durlun Khola SHP</v>
      </c>
      <c r="C1444" s="2">
        <f>IFERROR(__xludf.DUMMYFUNCTION("""COMPUTED_VALUE"""),0.96)</f>
        <v>0.96</v>
      </c>
      <c r="D1444" s="2" t="str">
        <f>IFERROR(__xludf.DUMMYFUNCTION("""COMPUTED_VALUE"""),"Durlung")</f>
        <v>Durlung</v>
      </c>
      <c r="E1444" s="2">
        <f>IFERROR(__xludf.DUMMYFUNCTION("""COMPUTED_VALUE"""),5975.0)</f>
        <v>5975</v>
      </c>
      <c r="F1444" s="3">
        <f>IFERROR(__xludf.DUMMYFUNCTION("""COMPUTED_VALUE"""),60954.0)</f>
        <v>60954</v>
      </c>
      <c r="G1444" s="2" t="str">
        <f>IFERROR(__xludf.DUMMYFUNCTION("""COMPUTED_VALUE"""),"Ramkaji Poudel")</f>
        <v>Ramkaji Poudel</v>
      </c>
      <c r="H1444" s="2" t="str">
        <f>IFERROR(__xludf.DUMMYFUNCTION("""COMPUTED_VALUE"""),"Ramche-3, Sindhupalchowk, Tel: 9851023766")</f>
        <v>Ramche-3, Sindhupalchowk, Tel: 9851023766</v>
      </c>
      <c r="I1444" s="2" t="str">
        <f>IFERROR(__xludf.DUMMYFUNCTION("""COMPUTED_VALUE"""),"27o 24' 31""")</f>
        <v>27o 24' 31"</v>
      </c>
      <c r="J1444" s="2" t="str">
        <f>IFERROR(__xludf.DUMMYFUNCTION("""COMPUTED_VALUE"""),"27o 26' 00""")</f>
        <v>27o 26' 00"</v>
      </c>
      <c r="K1444" s="2" t="str">
        <f>IFERROR(__xludf.DUMMYFUNCTION("""COMPUTED_VALUE"""),"85o 24' 20""")</f>
        <v>85o 24' 20"</v>
      </c>
      <c r="L1444" s="2" t="str">
        <f>IFERROR(__xludf.DUMMYFUNCTION("""COMPUTED_VALUE"""),"85o 25' 32""")</f>
        <v>85o 25' 32"</v>
      </c>
      <c r="M1444" s="2" t="str">
        <f>IFERROR(__xludf.DUMMYFUNCTION("""COMPUTED_VALUE"""),"Thuladurlung (Lalitpur)")</f>
        <v>Thuladurlung (Lalitpur)</v>
      </c>
    </row>
    <row r="1445">
      <c r="A1445" s="2">
        <f>IFERROR(__xludf.DUMMYFUNCTION("""COMPUTED_VALUE"""),1444.0)</f>
        <v>1444</v>
      </c>
      <c r="B1445" s="2" t="str">
        <f>IFERROR(__xludf.DUMMYFUNCTION("""COMPUTED_VALUE"""),"Koya Khola HPP")</f>
        <v>Koya Khola HPP</v>
      </c>
      <c r="C1445" s="2">
        <f>IFERROR(__xludf.DUMMYFUNCTION("""COMPUTED_VALUE"""),0.95)</f>
        <v>0.95</v>
      </c>
      <c r="D1445" s="2" t="str">
        <f>IFERROR(__xludf.DUMMYFUNCTION("""COMPUTED_VALUE"""),"Koya Khola")</f>
        <v>Koya Khola</v>
      </c>
      <c r="E1445" s="2">
        <f>IFERROR(__xludf.DUMMYFUNCTION("""COMPUTED_VALUE"""),5980.0)</f>
        <v>5980</v>
      </c>
      <c r="F1445" s="3">
        <f>IFERROR(__xludf.DUMMYFUNCTION("""COMPUTED_VALUE"""),60955.0)</f>
        <v>60955</v>
      </c>
      <c r="G1445" s="2" t="str">
        <f>IFERROR(__xludf.DUMMYFUNCTION("""COMPUTED_VALUE"""),"Yadav Rimal")</f>
        <v>Yadav Rimal</v>
      </c>
      <c r="H1445" s="2" t="str">
        <f>IFERROR(__xludf.DUMMYFUNCTION("""COMPUTED_VALUE"""),"Rajghat-2, Morang Tel: 9841260615")</f>
        <v>Rajghat-2, Morang Tel: 9841260615</v>
      </c>
      <c r="I1445" s="2" t="str">
        <f>IFERROR(__xludf.DUMMYFUNCTION("""COMPUTED_VALUE"""),"27o 09' 12""")</f>
        <v>27o 09' 12"</v>
      </c>
      <c r="J1445" s="2" t="str">
        <f>IFERROR(__xludf.DUMMYFUNCTION("""COMPUTED_VALUE"""),"27o 11' 00""")</f>
        <v>27o 11' 00"</v>
      </c>
      <c r="K1445" s="2" t="str">
        <f>IFERROR(__xludf.DUMMYFUNCTION("""COMPUTED_VALUE"""),"08o 73' 83""")</f>
        <v>08o 73' 83"</v>
      </c>
      <c r="L1445" s="2" t="str">
        <f>IFERROR(__xludf.DUMMYFUNCTION("""COMPUTED_VALUE"""),"87o 37' 14""")</f>
        <v>87o 37' 14"</v>
      </c>
      <c r="M1445" s="2"/>
    </row>
    <row r="1446">
      <c r="A1446" s="2">
        <f>IFERROR(__xludf.DUMMYFUNCTION("""COMPUTED_VALUE"""),1445.0)</f>
        <v>1445</v>
      </c>
      <c r="B1446" s="2" t="str">
        <f>IFERROR(__xludf.DUMMYFUNCTION("""COMPUTED_VALUE"""),"Upper Mudi Khola HPP")</f>
        <v>Upper Mudi Khola HPP</v>
      </c>
      <c r="C1446" s="2">
        <f>IFERROR(__xludf.DUMMYFUNCTION("""COMPUTED_VALUE"""),20.0)</f>
        <v>20</v>
      </c>
      <c r="D1446" s="2" t="str">
        <f>IFERROR(__xludf.DUMMYFUNCTION("""COMPUTED_VALUE"""),"Mudi Khola")</f>
        <v>Mudi Khola</v>
      </c>
      <c r="E1446" s="2">
        <f>IFERROR(__xludf.DUMMYFUNCTION("""COMPUTED_VALUE"""),6022.0)</f>
        <v>6022</v>
      </c>
      <c r="F1446" s="3">
        <f>IFERROR(__xludf.DUMMYFUNCTION("""COMPUTED_VALUE"""),60957.0)</f>
        <v>60957</v>
      </c>
      <c r="G1446" s="2" t="str">
        <f>IFERROR(__xludf.DUMMYFUNCTION("""COMPUTED_VALUE"""),"Mudi Hydropower Company Pvt Ltd")</f>
        <v>Mudi Hydropower Company Pvt Ltd</v>
      </c>
      <c r="H1446" s="2" t="str">
        <f>IFERROR(__xludf.DUMMYFUNCTION("""COMPUTED_VALUE"""),"Basundhara, Kathmandu Tel; 9841365234")</f>
        <v>Basundhara, Kathmandu Tel; 9841365234</v>
      </c>
      <c r="I1446" s="2" t="str">
        <f>IFERROR(__xludf.DUMMYFUNCTION("""COMPUTED_VALUE"""),"28o 33' 32""")</f>
        <v>28o 33' 32"</v>
      </c>
      <c r="J1446" s="2" t="str">
        <f>IFERROR(__xludf.DUMMYFUNCTION("""COMPUTED_VALUE"""),"28o 35' 00""")</f>
        <v>28o 35' 00"</v>
      </c>
      <c r="K1446" s="2" t="str">
        <f>IFERROR(__xludf.DUMMYFUNCTION("""COMPUTED_VALUE"""),"83o 16' 28""")</f>
        <v>83o 16' 28"</v>
      </c>
      <c r="L1446" s="2" t="str">
        <f>IFERROR(__xludf.DUMMYFUNCTION("""COMPUTED_VALUE"""),"83o 20' 00""")</f>
        <v>83o 20' 00"</v>
      </c>
      <c r="M1446" s="2" t="str">
        <f>IFERROR(__xludf.DUMMYFUNCTION("""COMPUTED_VALUE"""),"Lulang,Mudi (Myagdi)")</f>
        <v>Lulang,Mudi (Myagdi)</v>
      </c>
    </row>
    <row r="1447">
      <c r="A1447" s="2">
        <f>IFERROR(__xludf.DUMMYFUNCTION("""COMPUTED_VALUE"""),1446.0)</f>
        <v>1446</v>
      </c>
      <c r="B1447" s="2" t="str">
        <f>IFERROR(__xludf.DUMMYFUNCTION("""COMPUTED_VALUE"""),"Lower Selang SHP")</f>
        <v>Lower Selang SHP</v>
      </c>
      <c r="C1447" s="2">
        <f>IFERROR(__xludf.DUMMYFUNCTION("""COMPUTED_VALUE"""),0.65)</f>
        <v>0.65</v>
      </c>
      <c r="D1447" s="2" t="str">
        <f>IFERROR(__xludf.DUMMYFUNCTION("""COMPUTED_VALUE"""),"Selang")</f>
        <v>Selang</v>
      </c>
      <c r="E1447" s="2">
        <f>IFERROR(__xludf.DUMMYFUNCTION("""COMPUTED_VALUE"""),6041.0)</f>
        <v>6041</v>
      </c>
      <c r="F1447" s="3">
        <f>IFERROR(__xludf.DUMMYFUNCTION("""COMPUTED_VALUE"""),60959.0)</f>
        <v>60959</v>
      </c>
      <c r="G1447" s="2" t="str">
        <f>IFERROR(__xludf.DUMMYFUNCTION("""COMPUTED_VALUE"""),"Narayan Bahadru Khatri")</f>
        <v>Narayan Bahadru Khatri</v>
      </c>
      <c r="H1447" s="2" t="str">
        <f>IFERROR(__xludf.DUMMYFUNCTION("""COMPUTED_VALUE"""),"Batse-6 Sindhupalchowk, Tel: 9851045719")</f>
        <v>Batse-6 Sindhupalchowk, Tel: 9851045719</v>
      </c>
      <c r="I1447" s="2" t="str">
        <f>IFERROR(__xludf.DUMMYFUNCTION("""COMPUTED_VALUE"""),"00o 00' 00""")</f>
        <v>00o 00' 00"</v>
      </c>
      <c r="J1447" s="2" t="str">
        <f>IFERROR(__xludf.DUMMYFUNCTION("""COMPUTED_VALUE"""),"00o 00' 00""")</f>
        <v>00o 00' 00"</v>
      </c>
      <c r="K1447" s="2" t="str">
        <f>IFERROR(__xludf.DUMMYFUNCTION("""COMPUTED_VALUE"""),"00o 00' 00""")</f>
        <v>00o 00' 00"</v>
      </c>
      <c r="L1447" s="2" t="str">
        <f>IFERROR(__xludf.DUMMYFUNCTION("""COMPUTED_VALUE"""),"00o 00' 00""")</f>
        <v>00o 00' 00"</v>
      </c>
      <c r="M1447" s="2" t="str">
        <f>IFERROR(__xludf.DUMMYFUNCTION("""COMPUTED_VALUE"""),"Selang (Sindhupalchok)")</f>
        <v>Selang (Sindhupalchok)</v>
      </c>
    </row>
    <row r="1448">
      <c r="A1448" s="2">
        <f>IFERROR(__xludf.DUMMYFUNCTION("""COMPUTED_VALUE"""),1447.0)</f>
        <v>1447</v>
      </c>
      <c r="B1448" s="2" t="str">
        <f>IFERROR(__xludf.DUMMYFUNCTION("""COMPUTED_VALUE"""),"Rawa Khola SHP")</f>
        <v>Rawa Khola SHP</v>
      </c>
      <c r="C1448" s="2">
        <f>IFERROR(__xludf.DUMMYFUNCTION("""COMPUTED_VALUE"""),0.878)</f>
        <v>0.878</v>
      </c>
      <c r="D1448" s="2" t="str">
        <f>IFERROR(__xludf.DUMMYFUNCTION("""COMPUTED_VALUE"""),"Rawa Khola")</f>
        <v>Rawa Khola</v>
      </c>
      <c r="E1448" s="2">
        <f>IFERROR(__xludf.DUMMYFUNCTION("""COMPUTED_VALUE"""),6051.0)</f>
        <v>6051</v>
      </c>
      <c r="F1448" s="3">
        <f>IFERROR(__xludf.DUMMYFUNCTION("""COMPUTED_VALUE"""),60959.0)</f>
        <v>60959</v>
      </c>
      <c r="G1448" s="2" t="str">
        <f>IFERROR(__xludf.DUMMYFUNCTION("""COMPUTED_VALUE"""),"Tap Khola Hydropower Cooperative Ltd")</f>
        <v>Tap Khola Hydropower Cooperative Ltd</v>
      </c>
      <c r="H1448" s="2" t="str">
        <f>IFERROR(__xludf.DUMMYFUNCTION("""COMPUTED_VALUE"""),"Khotang")</f>
        <v>Khotang</v>
      </c>
      <c r="I1448" s="2" t="str">
        <f>IFERROR(__xludf.DUMMYFUNCTION("""COMPUTED_VALUE"""),"27o 16' 49""")</f>
        <v>27o 16' 49"</v>
      </c>
      <c r="J1448" s="2" t="str">
        <f>IFERROR(__xludf.DUMMYFUNCTION("""COMPUTED_VALUE"""),"27o 20' 30""")</f>
        <v>27o 20' 30"</v>
      </c>
      <c r="K1448" s="2" t="str">
        <f>IFERROR(__xludf.DUMMYFUNCTION("""COMPUTED_VALUE"""),"86o 45' 44""")</f>
        <v>86o 45' 44"</v>
      </c>
      <c r="L1448" s="2" t="str">
        <f>IFERROR(__xludf.DUMMYFUNCTION("""COMPUTED_VALUE"""),"86o 46' 30""")</f>
        <v>86o 46' 30"</v>
      </c>
      <c r="M1448" s="2" t="str">
        <f>IFERROR(__xludf.DUMMYFUNCTION("""COMPUTED_VALUE"""),"Sapteswor (Khotang)")</f>
        <v>Sapteswor (Khotang)</v>
      </c>
    </row>
    <row r="1449">
      <c r="A1449" s="2">
        <f>IFERROR(__xludf.DUMMYFUNCTION("""COMPUTED_VALUE"""),1448.0)</f>
        <v>1448</v>
      </c>
      <c r="B1449" s="2" t="str">
        <f>IFERROR(__xludf.DUMMYFUNCTION("""COMPUTED_VALUE"""),"Tap Khola SHP")</f>
        <v>Tap Khola SHP</v>
      </c>
      <c r="C1449" s="2">
        <f>IFERROR(__xludf.DUMMYFUNCTION("""COMPUTED_VALUE"""),0.98)</f>
        <v>0.98</v>
      </c>
      <c r="D1449" s="2" t="str">
        <f>IFERROR(__xludf.DUMMYFUNCTION("""COMPUTED_VALUE"""),"Tap")</f>
        <v>Tap</v>
      </c>
      <c r="E1449" s="2">
        <f>IFERROR(__xludf.DUMMYFUNCTION("""COMPUTED_VALUE"""),6053.0)</f>
        <v>6053</v>
      </c>
      <c r="F1449" s="3">
        <f>IFERROR(__xludf.DUMMYFUNCTION("""COMPUTED_VALUE"""),60959.0)</f>
        <v>60959</v>
      </c>
      <c r="G1449" s="2" t="str">
        <f>IFERROR(__xludf.DUMMYFUNCTION("""COMPUTED_VALUE"""),"Tap Khola Hydropower Cooperative Ltd")</f>
        <v>Tap Khola Hydropower Cooperative Ltd</v>
      </c>
      <c r="H1449" s="2" t="str">
        <f>IFERROR(__xludf.DUMMYFUNCTION("""COMPUTED_VALUE"""),"Khotang")</f>
        <v>Khotang</v>
      </c>
      <c r="I1449" s="2" t="str">
        <f>IFERROR(__xludf.DUMMYFUNCTION("""COMPUTED_VALUE"""),"27o 16' 48""")</f>
        <v>27o 16' 48"</v>
      </c>
      <c r="J1449" s="2" t="str">
        <f>IFERROR(__xludf.DUMMYFUNCTION("""COMPUTED_VALUE"""),"27o 16' 49""")</f>
        <v>27o 16' 49"</v>
      </c>
      <c r="K1449" s="2" t="str">
        <f>IFERROR(__xludf.DUMMYFUNCTION("""COMPUTED_VALUE"""),"86o 45' 44""")</f>
        <v>86o 45' 44"</v>
      </c>
      <c r="L1449" s="2" t="str">
        <f>IFERROR(__xludf.DUMMYFUNCTION("""COMPUTED_VALUE"""),"86o 46' 19""")</f>
        <v>86o 46' 19"</v>
      </c>
      <c r="M1449" s="2" t="str">
        <f>IFERROR(__xludf.DUMMYFUNCTION("""COMPUTED_VALUE"""),"Sapteswor (Khotang)")</f>
        <v>Sapteswor (Khotang)</v>
      </c>
    </row>
    <row r="1450">
      <c r="A1450" s="2">
        <f>IFERROR(__xludf.DUMMYFUNCTION("""COMPUTED_VALUE"""),1449.0)</f>
        <v>1449</v>
      </c>
      <c r="B1450" s="2" t="str">
        <f>IFERROR(__xludf.DUMMYFUNCTION("""COMPUTED_VALUE"""),"Jhimruk Khola SHP")</f>
        <v>Jhimruk Khola SHP</v>
      </c>
      <c r="C1450" s="2">
        <f>IFERROR(__xludf.DUMMYFUNCTION("""COMPUTED_VALUE"""),0.991)</f>
        <v>0.991</v>
      </c>
      <c r="D1450" s="2" t="str">
        <f>IFERROR(__xludf.DUMMYFUNCTION("""COMPUTED_VALUE"""),"Jhimruk")</f>
        <v>Jhimruk</v>
      </c>
      <c r="E1450" s="2">
        <f>IFERROR(__xludf.DUMMYFUNCTION("""COMPUTED_VALUE"""),6070.0)</f>
        <v>6070</v>
      </c>
      <c r="F1450" s="3">
        <f>IFERROR(__xludf.DUMMYFUNCTION("""COMPUTED_VALUE"""),60961.0)</f>
        <v>60961</v>
      </c>
      <c r="G1450" s="2" t="str">
        <f>IFERROR(__xludf.DUMMYFUNCTION("""COMPUTED_VALUE"""),"Dhan Bahadur Gurung")</f>
        <v>Dhan Bahadur Gurung</v>
      </c>
      <c r="H1450" s="2" t="str">
        <f>IFERROR(__xludf.DUMMYFUNCTION("""COMPUTED_VALUE"""),"Kathmandu, Tel: 44890593")</f>
        <v>Kathmandu, Tel: 44890593</v>
      </c>
      <c r="I1450" s="2" t="str">
        <f>IFERROR(__xludf.DUMMYFUNCTION("""COMPUTED_VALUE"""),"28o 11' 05""")</f>
        <v>28o 11' 05"</v>
      </c>
      <c r="J1450" s="2" t="str">
        <f>IFERROR(__xludf.DUMMYFUNCTION("""COMPUTED_VALUE"""),"28o 12' 10""")</f>
        <v>28o 12' 10"</v>
      </c>
      <c r="K1450" s="2" t="str">
        <f>IFERROR(__xludf.DUMMYFUNCTION("""COMPUTED_VALUE"""),"82o 58' 03""")</f>
        <v>82o 58' 03"</v>
      </c>
      <c r="L1450" s="2" t="str">
        <f>IFERROR(__xludf.DUMMYFUNCTION("""COMPUTED_VALUE"""),"82o 59' 02""")</f>
        <v>82o 59' 02"</v>
      </c>
      <c r="M1450" s="2" t="str">
        <f>IFERROR(__xludf.DUMMYFUNCTION("""COMPUTED_VALUE"""),"Liwang,Narikot (Pyuthan)")</f>
        <v>Liwang,Narikot (Pyuthan)</v>
      </c>
    </row>
    <row r="1451">
      <c r="A1451" s="2">
        <f>IFERROR(__xludf.DUMMYFUNCTION("""COMPUTED_VALUE"""),1450.0)</f>
        <v>1450</v>
      </c>
      <c r="B1451" s="2" t="str">
        <f>IFERROR(__xludf.DUMMYFUNCTION("""COMPUTED_VALUE"""),"Lukurban Khola HPP")</f>
        <v>Lukurban Khola HPP</v>
      </c>
      <c r="C1451" s="2">
        <f>IFERROR(__xludf.DUMMYFUNCTION("""COMPUTED_VALUE"""),1.45)</f>
        <v>1.45</v>
      </c>
      <c r="D1451" s="2" t="str">
        <f>IFERROR(__xludf.DUMMYFUNCTION("""COMPUTED_VALUE"""),"Lukurban")</f>
        <v>Lukurban</v>
      </c>
      <c r="E1451" s="2">
        <f>IFERROR(__xludf.DUMMYFUNCTION("""COMPUTED_VALUE"""),6071.0)</f>
        <v>6071</v>
      </c>
      <c r="F1451" s="3">
        <f>IFERROR(__xludf.DUMMYFUNCTION("""COMPUTED_VALUE"""),60961.0)</f>
        <v>60961</v>
      </c>
      <c r="G1451" s="2" t="str">
        <f>IFERROR(__xludf.DUMMYFUNCTION("""COMPUTED_VALUE"""),"Dhan Bahadur Gurung, Basudev Ray")</f>
        <v>Dhan Bahadur Gurung, Basudev Ray</v>
      </c>
      <c r="H1451" s="2" t="str">
        <f>IFERROR(__xludf.DUMMYFUNCTION("""COMPUTED_VALUE"""),"Kathmandu, Tel: 9851100118")</f>
        <v>Kathmandu, Tel: 9851100118</v>
      </c>
      <c r="I1451" s="2" t="str">
        <f>IFERROR(__xludf.DUMMYFUNCTION("""COMPUTED_VALUE"""),"28o 20' 30""")</f>
        <v>28o 20' 30"</v>
      </c>
      <c r="J1451" s="2" t="str">
        <f>IFERROR(__xludf.DUMMYFUNCTION("""COMPUTED_VALUE"""),"28o 21' 17""")</f>
        <v>28o 21' 17"</v>
      </c>
      <c r="K1451" s="2" t="str">
        <f>IFERROR(__xludf.DUMMYFUNCTION("""COMPUTED_VALUE"""),"83o 11' 03""")</f>
        <v>83o 11' 03"</v>
      </c>
      <c r="L1451" s="2" t="str">
        <f>IFERROR(__xludf.DUMMYFUNCTION("""COMPUTED_VALUE"""),"83o 12' 29""")</f>
        <v>83o 12' 29"</v>
      </c>
      <c r="M1451" s="2" t="str">
        <f>IFERROR(__xludf.DUMMYFUNCTION("""COMPUTED_VALUE"""),"Burtiwang (Baglung)")</f>
        <v>Burtiwang (Baglung)</v>
      </c>
    </row>
    <row r="1452">
      <c r="A1452" s="2">
        <f>IFERROR(__xludf.DUMMYFUNCTION("""COMPUTED_VALUE"""),1451.0)</f>
        <v>1451</v>
      </c>
      <c r="B1452" s="2" t="str">
        <f>IFERROR(__xludf.DUMMYFUNCTION("""COMPUTED_VALUE"""),"Serpu Daha Hydropower Project")</f>
        <v>Serpu Daha Hydropower Project</v>
      </c>
      <c r="C1452" s="2">
        <f>IFERROR(__xludf.DUMMYFUNCTION("""COMPUTED_VALUE"""),4.7)</f>
        <v>4.7</v>
      </c>
      <c r="D1452" s="2" t="str">
        <f>IFERROR(__xludf.DUMMYFUNCTION("""COMPUTED_VALUE"""),"Darne Khola")</f>
        <v>Darne Khola</v>
      </c>
      <c r="E1452" s="2">
        <f>IFERROR(__xludf.DUMMYFUNCTION("""COMPUTED_VALUE"""),6112.0)</f>
        <v>6112</v>
      </c>
      <c r="F1452" s="3">
        <f>IFERROR(__xludf.DUMMYFUNCTION("""COMPUTED_VALUE"""),60963.0)</f>
        <v>60963</v>
      </c>
      <c r="G1452" s="2" t="str">
        <f>IFERROR(__xludf.DUMMYFUNCTION("""COMPUTED_VALUE"""),"Vipramshree Energy Pvt Ltd")</f>
        <v>Vipramshree Energy Pvt Ltd</v>
      </c>
      <c r="H1452" s="2" t="str">
        <f>IFERROR(__xludf.DUMMYFUNCTION("""COMPUTED_VALUE"""),"Pulchowk, Lalitpur Tel: 5009067")</f>
        <v>Pulchowk, Lalitpur Tel: 5009067</v>
      </c>
      <c r="I1452" s="2" t="str">
        <f>IFERROR(__xludf.DUMMYFUNCTION("""COMPUTED_VALUE"""),"28o 40' 11""")</f>
        <v>28o 40' 11"</v>
      </c>
      <c r="J1452" s="2" t="str">
        <f>IFERROR(__xludf.DUMMYFUNCTION("""COMPUTED_VALUE"""),"28o 42' 21""")</f>
        <v>28o 42' 21"</v>
      </c>
      <c r="K1452" s="2" t="str">
        <f>IFERROR(__xludf.DUMMYFUNCTION("""COMPUTED_VALUE"""),"82o 28' 25""")</f>
        <v>82o 28' 25"</v>
      </c>
      <c r="L1452" s="2" t="str">
        <f>IFERROR(__xludf.DUMMYFUNCTION("""COMPUTED_VALUE"""),"82o 29' 38""")</f>
        <v>82o 29' 38"</v>
      </c>
      <c r="M1452" s="2" t="str">
        <f>IFERROR(__xludf.DUMMYFUNCTION("""COMPUTED_VALUE"""),"Bapsekot (Rukum)")</f>
        <v>Bapsekot (Rukum)</v>
      </c>
    </row>
    <row r="1453">
      <c r="A1453" s="2">
        <f>IFERROR(__xludf.DUMMYFUNCTION("""COMPUTED_VALUE"""),1452.0)</f>
        <v>1452</v>
      </c>
      <c r="B1453" s="2" t="str">
        <f>IFERROR(__xludf.DUMMYFUNCTION("""COMPUTED_VALUE"""),"Super Dordi Ka Hydropower Project")</f>
        <v>Super Dordi Ka Hydropower Project</v>
      </c>
      <c r="C1453" s="2">
        <f>IFERROR(__xludf.DUMMYFUNCTION("""COMPUTED_VALUE"""),40.0)</f>
        <v>40</v>
      </c>
      <c r="D1453" s="2" t="str">
        <f>IFERROR(__xludf.DUMMYFUNCTION("""COMPUTED_VALUE"""),"Dordi")</f>
        <v>Dordi</v>
      </c>
      <c r="E1453" s="2">
        <f>IFERROR(__xludf.DUMMYFUNCTION("""COMPUTED_VALUE"""),6152.0)</f>
        <v>6152</v>
      </c>
      <c r="F1453" s="3">
        <f>IFERROR(__xludf.DUMMYFUNCTION("""COMPUTED_VALUE"""),60967.0)</f>
        <v>60967</v>
      </c>
      <c r="G1453" s="2" t="str">
        <f>IFERROR(__xludf.DUMMYFUNCTION("""COMPUTED_VALUE"""),"Peoples Hydropower Company Pvt Ltd")</f>
        <v>Peoples Hydropower Company Pvt Ltd</v>
      </c>
      <c r="H1453" s="2" t="str">
        <f>IFERROR(__xludf.DUMMYFUNCTION("""COMPUTED_VALUE"""),"GPO Box: 14165, Kathmandu Tel: 6226073")</f>
        <v>GPO Box: 14165, Kathmandu Tel: 6226073</v>
      </c>
      <c r="I1453" s="2" t="str">
        <f>IFERROR(__xludf.DUMMYFUNCTION("""COMPUTED_VALUE"""),"28o 17' 40""")</f>
        <v>28o 17' 40"</v>
      </c>
      <c r="J1453" s="2" t="str">
        <f>IFERROR(__xludf.DUMMYFUNCTION("""COMPUTED_VALUE"""),"28o 20' 05""")</f>
        <v>28o 20' 05"</v>
      </c>
      <c r="K1453" s="2" t="str">
        <f>IFERROR(__xludf.DUMMYFUNCTION("""COMPUTED_VALUE"""),"84o 32' 14""")</f>
        <v>84o 32' 14"</v>
      </c>
      <c r="L1453" s="2" t="str">
        <f>IFERROR(__xludf.DUMMYFUNCTION("""COMPUTED_VALUE"""),"84o 35' 18""")</f>
        <v>84o 35' 18"</v>
      </c>
      <c r="M1453" s="2" t="str">
        <f>IFERROR(__xludf.DUMMYFUNCTION("""COMPUTED_VALUE"""),"Dhodeni,Faleni (Lamjung)")</f>
        <v>Dhodeni,Faleni (Lamjung)</v>
      </c>
    </row>
    <row r="1454">
      <c r="A1454" s="2">
        <f>IFERROR(__xludf.DUMMYFUNCTION("""COMPUTED_VALUE"""),1453.0)</f>
        <v>1453</v>
      </c>
      <c r="B1454" s="2" t="str">
        <f>IFERROR(__xludf.DUMMYFUNCTION("""COMPUTED_VALUE"""),"Lumbuk Khola SHP")</f>
        <v>Lumbuk Khola SHP</v>
      </c>
      <c r="C1454" s="2">
        <f>IFERROR(__xludf.DUMMYFUNCTION("""COMPUTED_VALUE"""),2.4)</f>
        <v>2.4</v>
      </c>
      <c r="D1454" s="2" t="str">
        <f>IFERROR(__xludf.DUMMYFUNCTION("""COMPUTED_VALUE"""),"Lumbuk")</f>
        <v>Lumbuk</v>
      </c>
      <c r="E1454" s="2">
        <f>IFERROR(__xludf.DUMMYFUNCTION("""COMPUTED_VALUE"""),6164.0)</f>
        <v>6164</v>
      </c>
      <c r="F1454" s="3">
        <f>IFERROR(__xludf.DUMMYFUNCTION("""COMPUTED_VALUE"""),60969.0)</f>
        <v>60969</v>
      </c>
      <c r="G1454" s="2" t="str">
        <f>IFERROR(__xludf.DUMMYFUNCTION("""COMPUTED_VALUE"""),"Suryodaya Hydropower Nepal Pvt Ltd")</f>
        <v>Suryodaya Hydropower Nepal Pvt Ltd</v>
      </c>
      <c r="H1454" s="2" t="str">
        <f>IFERROR(__xludf.DUMMYFUNCTION("""COMPUTED_VALUE"""),"Sanepa, Lalitpur, Tel: 9741178883")</f>
        <v>Sanepa, Lalitpur, Tel: 9741178883</v>
      </c>
      <c r="I1454" s="2" t="str">
        <f>IFERROR(__xludf.DUMMYFUNCTION("""COMPUTED_VALUE"""),"28o 49' 00""")</f>
        <v>28o 49' 00"</v>
      </c>
      <c r="J1454" s="2" t="str">
        <f>IFERROR(__xludf.DUMMYFUNCTION("""COMPUTED_VALUE"""),"28o 50' 00""")</f>
        <v>28o 50' 00"</v>
      </c>
      <c r="K1454" s="2" t="str">
        <f>IFERROR(__xludf.DUMMYFUNCTION("""COMPUTED_VALUE"""),"83o 43' 00""")</f>
        <v>83o 43' 00"</v>
      </c>
      <c r="L1454" s="2" t="str">
        <f>IFERROR(__xludf.DUMMYFUNCTION("""COMPUTED_VALUE"""),"83o 47' 00""")</f>
        <v>83o 47' 00"</v>
      </c>
      <c r="M1454" s="2" t="str">
        <f>IFERROR(__xludf.DUMMYFUNCTION("""COMPUTED_VALUE"""),"Kagbeni (Mustang)")</f>
        <v>Kagbeni (Mustang)</v>
      </c>
    </row>
    <row r="1455">
      <c r="A1455" s="2">
        <f>IFERROR(__xludf.DUMMYFUNCTION("""COMPUTED_VALUE"""),1454.0)</f>
        <v>1454</v>
      </c>
      <c r="B1455" s="2" t="str">
        <f>IFERROR(__xludf.DUMMYFUNCTION("""COMPUTED_VALUE"""),"Doklan Khola SHP")</f>
        <v>Doklan Khola SHP</v>
      </c>
      <c r="C1455" s="2">
        <f>IFERROR(__xludf.DUMMYFUNCTION("""COMPUTED_VALUE"""),0.58)</f>
        <v>0.58</v>
      </c>
      <c r="D1455" s="2" t="str">
        <f>IFERROR(__xludf.DUMMYFUNCTION("""COMPUTED_VALUE"""),"Doklan")</f>
        <v>Doklan</v>
      </c>
      <c r="E1455" s="2">
        <f>IFERROR(__xludf.DUMMYFUNCTION("""COMPUTED_VALUE"""),6167.0)</f>
        <v>6167</v>
      </c>
      <c r="F1455" s="3">
        <f>IFERROR(__xludf.DUMMYFUNCTION("""COMPUTED_VALUE"""),60969.0)</f>
        <v>60969</v>
      </c>
      <c r="G1455" s="2" t="str">
        <f>IFERROR(__xludf.DUMMYFUNCTION("""COMPUTED_VALUE"""),"G.P. Timilsina, D.R.Khanal, S.Deuja, S,pyakurel")</f>
        <v>G.P. Timilsina, D.R.Khanal, S.Deuja, S,pyakurel</v>
      </c>
      <c r="H1455" s="2" t="str">
        <f>IFERROR(__xludf.DUMMYFUNCTION("""COMPUTED_VALUE"""),"Gerkhu-8, Nuwakot, Tel: 9841548692")</f>
        <v>Gerkhu-8, Nuwakot, Tel: 9841548692</v>
      </c>
      <c r="I1455" s="2" t="str">
        <f>IFERROR(__xludf.DUMMYFUNCTION("""COMPUTED_VALUE"""),"28o 02' 42""")</f>
        <v>28o 02' 42"</v>
      </c>
      <c r="J1455" s="2" t="str">
        <f>IFERROR(__xludf.DUMMYFUNCTION("""COMPUTED_VALUE"""),"28o 04' 00""")</f>
        <v>28o 04' 00"</v>
      </c>
      <c r="K1455" s="2" t="str">
        <f>IFERROR(__xludf.DUMMYFUNCTION("""COMPUTED_VALUE"""),"85o 18' 37""")</f>
        <v>85o 18' 37"</v>
      </c>
      <c r="L1455" s="2" t="str">
        <f>IFERROR(__xludf.DUMMYFUNCTION("""COMPUTED_VALUE"""),"85o 20' 27""")</f>
        <v>85o 20' 27"</v>
      </c>
      <c r="M1455" s="2" t="str">
        <f>IFERROR(__xludf.DUMMYFUNCTION("""COMPUTED_VALUE"""),"Yarsa (Rasuwa)")</f>
        <v>Yarsa (Rasuwa)</v>
      </c>
    </row>
    <row r="1456">
      <c r="A1456" s="2">
        <f>IFERROR(__xludf.DUMMYFUNCTION("""COMPUTED_VALUE"""),1455.0)</f>
        <v>1455</v>
      </c>
      <c r="B1456" s="2" t="str">
        <f>IFERROR(__xludf.DUMMYFUNCTION("""COMPUTED_VALUE"""),"Langtang Khola HPP")</f>
        <v>Langtang Khola HPP</v>
      </c>
      <c r="C1456" s="2">
        <f>IFERROR(__xludf.DUMMYFUNCTION("""COMPUTED_VALUE"""),9.64)</f>
        <v>9.64</v>
      </c>
      <c r="D1456" s="2" t="str">
        <f>IFERROR(__xludf.DUMMYFUNCTION("""COMPUTED_VALUE"""),"Langtang")</f>
        <v>Langtang</v>
      </c>
      <c r="E1456" s="2">
        <f>IFERROR(__xludf.DUMMYFUNCTION("""COMPUTED_VALUE"""),6171.0)</f>
        <v>6171</v>
      </c>
      <c r="F1456" s="3">
        <f>IFERROR(__xludf.DUMMYFUNCTION("""COMPUTED_VALUE"""),60969.0)</f>
        <v>60969</v>
      </c>
      <c r="G1456" s="2" t="str">
        <f>IFERROR(__xludf.DUMMYFUNCTION("""COMPUTED_VALUE"""),"B.B. Pyakurel, H.N. Ghimire, N.B.Deuja, A.B.Pyakurel")</f>
        <v>B.B. Pyakurel, H.N. Ghimire, N.B.Deuja, A.B.Pyakurel</v>
      </c>
      <c r="H1456" s="2" t="str">
        <f>IFERROR(__xludf.DUMMYFUNCTION("""COMPUTED_VALUE"""),"Gerkhu-8, Nuwakot")</f>
        <v>Gerkhu-8, Nuwakot</v>
      </c>
      <c r="I1456" s="2" t="str">
        <f>IFERROR(__xludf.DUMMYFUNCTION("""COMPUTED_VALUE"""),"28o 12' 03""")</f>
        <v>28o 12' 03"</v>
      </c>
      <c r="J1456" s="2" t="str">
        <f>IFERROR(__xludf.DUMMYFUNCTION("""COMPUTED_VALUE"""),"28o 13' 40""")</f>
        <v>28o 13' 40"</v>
      </c>
      <c r="K1456" s="2" t="str">
        <f>IFERROR(__xludf.DUMMYFUNCTION("""COMPUTED_VALUE"""),"85o 30' 00""")</f>
        <v>85o 30' 00"</v>
      </c>
      <c r="L1456" s="2" t="str">
        <f>IFERROR(__xludf.DUMMYFUNCTION("""COMPUTED_VALUE"""),"85o 33' 09""")</f>
        <v>85o 33' 09"</v>
      </c>
      <c r="M1456" s="2" t="str">
        <f>IFERROR(__xludf.DUMMYFUNCTION("""COMPUTED_VALUE"""),"Langtang (Rasuwa)")</f>
        <v>Langtang (Rasuwa)</v>
      </c>
    </row>
    <row r="1457">
      <c r="A1457" s="2">
        <f>IFERROR(__xludf.DUMMYFUNCTION("""COMPUTED_VALUE"""),1456.0)</f>
        <v>1456</v>
      </c>
      <c r="B1457" s="2" t="str">
        <f>IFERROR(__xludf.DUMMYFUNCTION("""COMPUTED_VALUE"""),"Phalakhu Khola A HPP")</f>
        <v>Phalakhu Khola A HPP</v>
      </c>
      <c r="C1457" s="2">
        <f>IFERROR(__xludf.DUMMYFUNCTION("""COMPUTED_VALUE"""),4.0)</f>
        <v>4</v>
      </c>
      <c r="D1457" s="2" t="str">
        <f>IFERROR(__xludf.DUMMYFUNCTION("""COMPUTED_VALUE"""),"Phalankhu Khola")</f>
        <v>Phalankhu Khola</v>
      </c>
      <c r="E1457" s="2">
        <f>IFERROR(__xludf.DUMMYFUNCTION("""COMPUTED_VALUE"""),6172.0)</f>
        <v>6172</v>
      </c>
      <c r="F1457" s="3">
        <f>IFERROR(__xludf.DUMMYFUNCTION("""COMPUTED_VALUE"""),60969.0)</f>
        <v>60969</v>
      </c>
      <c r="G1457" s="2" t="str">
        <f>IFERROR(__xludf.DUMMYFUNCTION("""COMPUTED_VALUE"""),"H.Pandey, H.D.Ghimire, Sundari Khanal,K.Deuja")</f>
        <v>H.Pandey, H.D.Ghimire, Sundari Khanal,K.Deuja</v>
      </c>
      <c r="H1457" s="2" t="str">
        <f>IFERROR(__xludf.DUMMYFUNCTION("""COMPUTED_VALUE"""),"Khani gaon-3, Nuwakot")</f>
        <v>Khani gaon-3, Nuwakot</v>
      </c>
      <c r="I1457" s="2" t="str">
        <f>IFERROR(__xludf.DUMMYFUNCTION("""COMPUTED_VALUE"""),"28o 01' 21""")</f>
        <v>28o 01' 21"</v>
      </c>
      <c r="J1457" s="2" t="str">
        <f>IFERROR(__xludf.DUMMYFUNCTION("""COMPUTED_VALUE"""),"28o 02' 57""")</f>
        <v>28o 02' 57"</v>
      </c>
      <c r="K1457" s="2" t="str">
        <f>IFERROR(__xludf.DUMMYFUNCTION("""COMPUTED_VALUE"""),"85o 18' 20""")</f>
        <v>85o 18' 20"</v>
      </c>
      <c r="L1457" s="2" t="str">
        <f>IFERROR(__xludf.DUMMYFUNCTION("""COMPUTED_VALUE"""),"85o 21' 30""")</f>
        <v>85o 21' 30"</v>
      </c>
      <c r="M1457" s="2" t="str">
        <f>IFERROR(__xludf.DUMMYFUNCTION("""COMPUTED_VALUE"""),"Yarsa (Rasuwa)")</f>
        <v>Yarsa (Rasuwa)</v>
      </c>
    </row>
    <row r="1458">
      <c r="A1458" s="2">
        <f>IFERROR(__xludf.DUMMYFUNCTION("""COMPUTED_VALUE"""),1457.0)</f>
        <v>1457</v>
      </c>
      <c r="B1458" s="2" t="str">
        <f>IFERROR(__xludf.DUMMYFUNCTION("""COMPUTED_VALUE"""),"Lower Katti Hydropower Project")</f>
        <v>Lower Katti Hydropower Project</v>
      </c>
      <c r="C1458" s="2">
        <f>IFERROR(__xludf.DUMMYFUNCTION("""COMPUTED_VALUE"""),3.0)</f>
        <v>3</v>
      </c>
      <c r="D1458" s="2" t="str">
        <f>IFERROR(__xludf.DUMMYFUNCTION("""COMPUTED_VALUE"""),"Katti")</f>
        <v>Katti</v>
      </c>
      <c r="E1458" s="2">
        <f>IFERROR(__xludf.DUMMYFUNCTION("""COMPUTED_VALUE"""),6176.0)</f>
        <v>6176</v>
      </c>
      <c r="F1458" s="3">
        <f>IFERROR(__xludf.DUMMYFUNCTION("""COMPUTED_VALUE"""),60969.0)</f>
        <v>60969</v>
      </c>
      <c r="G1458" s="2" t="str">
        <f>IFERROR(__xludf.DUMMYFUNCTION("""COMPUTED_VALUE"""),"Mahendra Dhakal,")</f>
        <v>Mahendra Dhakal,</v>
      </c>
      <c r="H1458" s="2" t="str">
        <f>IFERROR(__xludf.DUMMYFUNCTION("""COMPUTED_VALUE"""),"Khagkot, Gulmi")</f>
        <v>Khagkot, Gulmi</v>
      </c>
      <c r="I1458" s="2" t="str">
        <f>IFERROR(__xludf.DUMMYFUNCTION("""COMPUTED_VALUE"""),"28o 47' 00""")</f>
        <v>28o 47' 00"</v>
      </c>
      <c r="J1458" s="2" t="str">
        <f>IFERROR(__xludf.DUMMYFUNCTION("""COMPUTED_VALUE"""),"28o 48' 41""")</f>
        <v>28o 48' 41"</v>
      </c>
      <c r="K1458" s="2" t="str">
        <f>IFERROR(__xludf.DUMMYFUNCTION("""COMPUTED_VALUE"""),"81o 45' 40""")</f>
        <v>81o 45' 40"</v>
      </c>
      <c r="L1458" s="2" t="str">
        <f>IFERROR(__xludf.DUMMYFUNCTION("""COMPUTED_VALUE"""),"81o 48' 06""")</f>
        <v>81o 48' 06"</v>
      </c>
      <c r="M1458" s="2" t="str">
        <f>IFERROR(__xludf.DUMMYFUNCTION("""COMPUTED_VALUE"""),"Bada Bhairab,Bindhyabasini,Pagnath,Katti (Dailekh)")</f>
        <v>Bada Bhairab,Bindhyabasini,Pagnath,Katti (Dailekh)</v>
      </c>
    </row>
    <row r="1459">
      <c r="A1459" s="2">
        <f>IFERROR(__xludf.DUMMYFUNCTION("""COMPUTED_VALUE"""),1458.0)</f>
        <v>1458</v>
      </c>
      <c r="B1459" s="2" t="str">
        <f>IFERROR(__xludf.DUMMYFUNCTION("""COMPUTED_VALUE"""),"Jogmai Khola SHP")</f>
        <v>Jogmai Khola SHP</v>
      </c>
      <c r="C1459" s="2">
        <f>IFERROR(__xludf.DUMMYFUNCTION("""COMPUTED_VALUE"""),0.99)</f>
        <v>0.99</v>
      </c>
      <c r="D1459" s="2" t="str">
        <f>IFERROR(__xludf.DUMMYFUNCTION("""COMPUTED_VALUE"""),"Jogmai Khola")</f>
        <v>Jogmai Khola</v>
      </c>
      <c r="E1459" s="2">
        <f>IFERROR(__xludf.DUMMYFUNCTION("""COMPUTED_VALUE"""),6193.0)</f>
        <v>6193</v>
      </c>
      <c r="F1459" s="3">
        <f>IFERROR(__xludf.DUMMYFUNCTION("""COMPUTED_VALUE"""),60970.0)</f>
        <v>60970</v>
      </c>
      <c r="G1459" s="2" t="str">
        <f>IFERROR(__xludf.DUMMYFUNCTION("""COMPUTED_VALUE"""),"Bipin Regmi, Prabha Sharma")</f>
        <v>Bipin Regmi, Prabha Sharma</v>
      </c>
      <c r="H1459" s="2" t="str">
        <f>IFERROR(__xludf.DUMMYFUNCTION("""COMPUTED_VALUE"""),"Waling-2, Syangja, Tel: 9851011983")</f>
        <v>Waling-2, Syangja, Tel: 9851011983</v>
      </c>
      <c r="I1459" s="2" t="str">
        <f>IFERROR(__xludf.DUMMYFUNCTION("""COMPUTED_VALUE"""),"26o 54' 40""")</f>
        <v>26o 54' 40"</v>
      </c>
      <c r="J1459" s="2" t="str">
        <f>IFERROR(__xludf.DUMMYFUNCTION("""COMPUTED_VALUE"""),"26o 55' 08""")</f>
        <v>26o 55' 08"</v>
      </c>
      <c r="K1459" s="2" t="str">
        <f>IFERROR(__xludf.DUMMYFUNCTION("""COMPUTED_VALUE"""),"88o 01' 09""")</f>
        <v>88o 01' 09"</v>
      </c>
      <c r="L1459" s="2" t="str">
        <f>IFERROR(__xludf.DUMMYFUNCTION("""COMPUTED_VALUE"""),"88o 03' 06""")</f>
        <v>88o 03' 06"</v>
      </c>
      <c r="M1459" s="2" t="str">
        <f>IFERROR(__xludf.DUMMYFUNCTION("""COMPUTED_VALUE"""),"Namsaling (Ilam)")</f>
        <v>Namsaling (Ilam)</v>
      </c>
    </row>
    <row r="1460">
      <c r="A1460" s="2">
        <f>IFERROR(__xludf.DUMMYFUNCTION("""COMPUTED_VALUE"""),1459.0)</f>
        <v>1459</v>
      </c>
      <c r="B1460" s="2" t="str">
        <f>IFERROR(__xludf.DUMMYFUNCTION("""COMPUTED_VALUE"""),"Syagdi Khola SHP")</f>
        <v>Syagdi Khola SHP</v>
      </c>
      <c r="C1460" s="2">
        <f>IFERROR(__xludf.DUMMYFUNCTION("""COMPUTED_VALUE"""),0.625)</f>
        <v>0.625</v>
      </c>
      <c r="D1460" s="2" t="str">
        <f>IFERROR(__xludf.DUMMYFUNCTION("""COMPUTED_VALUE"""),"Syagdi")</f>
        <v>Syagdi</v>
      </c>
      <c r="E1460" s="2">
        <f>IFERROR(__xludf.DUMMYFUNCTION("""COMPUTED_VALUE"""),6201.0)</f>
        <v>6201</v>
      </c>
      <c r="F1460" s="3">
        <f>IFERROR(__xludf.DUMMYFUNCTION("""COMPUTED_VALUE"""),60970.0)</f>
        <v>60970</v>
      </c>
      <c r="G1460" s="2" t="str">
        <f>IFERROR(__xludf.DUMMYFUNCTION("""COMPUTED_VALUE"""),"Bal Krishna Adhikari")</f>
        <v>Bal Krishna Adhikari</v>
      </c>
      <c r="H1460" s="2" t="str">
        <f>IFERROR(__xludf.DUMMYFUNCTION("""COMPUTED_VALUE"""),"Kathmandu Tel: 9851010689")</f>
        <v>Kathmandu Tel: 9851010689</v>
      </c>
      <c r="I1460" s="2" t="str">
        <f>IFERROR(__xludf.DUMMYFUNCTION("""COMPUTED_VALUE"""),"28o 06' 54""")</f>
        <v>28o 06' 54"</v>
      </c>
      <c r="J1460" s="2" t="str">
        <f>IFERROR(__xludf.DUMMYFUNCTION("""COMPUTED_VALUE"""),"28o 07' 30""")</f>
        <v>28o 07' 30"</v>
      </c>
      <c r="K1460" s="2" t="str">
        <f>IFERROR(__xludf.DUMMYFUNCTION("""COMPUTED_VALUE"""),"84o 38' 43""")</f>
        <v>84o 38' 43"</v>
      </c>
      <c r="L1460" s="2" t="str">
        <f>IFERROR(__xludf.DUMMYFUNCTION("""COMPUTED_VALUE"""),"84o 39' 30""")</f>
        <v>84o 39' 30"</v>
      </c>
      <c r="M1460" s="2" t="str">
        <f>IFERROR(__xludf.DUMMYFUNCTION("""COMPUTED_VALUE"""),"Jaubari (Gorkha)")</f>
        <v>Jaubari (Gorkha)</v>
      </c>
    </row>
    <row r="1461">
      <c r="A1461" s="2">
        <f>IFERROR(__xludf.DUMMYFUNCTION("""COMPUTED_VALUE"""),1460.0)</f>
        <v>1460</v>
      </c>
      <c r="B1461" s="2" t="str">
        <f>IFERROR(__xludf.DUMMYFUNCTION("""COMPUTED_VALUE"""),"Ladi Khola SHP")</f>
        <v>Ladi Khola SHP</v>
      </c>
      <c r="C1461" s="2">
        <f>IFERROR(__xludf.DUMMYFUNCTION("""COMPUTED_VALUE"""),0.49)</f>
        <v>0.49</v>
      </c>
      <c r="D1461" s="2" t="str">
        <f>IFERROR(__xludf.DUMMYFUNCTION("""COMPUTED_VALUE"""),"Ladi")</f>
        <v>Ladi</v>
      </c>
      <c r="E1461" s="2">
        <f>IFERROR(__xludf.DUMMYFUNCTION("""COMPUTED_VALUE"""),6202.0)</f>
        <v>6202</v>
      </c>
      <c r="F1461" s="3">
        <f>IFERROR(__xludf.DUMMYFUNCTION("""COMPUTED_VALUE"""),60970.0)</f>
        <v>60970</v>
      </c>
      <c r="G1461" s="2" t="str">
        <f>IFERROR(__xludf.DUMMYFUNCTION("""COMPUTED_VALUE"""),"Arun K. Bhagat")</f>
        <v>Arun K. Bhagat</v>
      </c>
      <c r="H1461" s="2" t="str">
        <f>IFERROR(__xludf.DUMMYFUNCTION("""COMPUTED_VALUE"""),"Kathmandu Tel: 9851010427")</f>
        <v>Kathmandu Tel: 9851010427</v>
      </c>
      <c r="I1461" s="2" t="str">
        <f>IFERROR(__xludf.DUMMYFUNCTION("""COMPUTED_VALUE"""),"28o 06' 17""")</f>
        <v>28o 06' 17"</v>
      </c>
      <c r="J1461" s="2" t="str">
        <f>IFERROR(__xludf.DUMMYFUNCTION("""COMPUTED_VALUE"""),"28o 06' 48""")</f>
        <v>28o 06' 48"</v>
      </c>
      <c r="K1461" s="2" t="str">
        <f>IFERROR(__xludf.DUMMYFUNCTION("""COMPUTED_VALUE"""),"84o 38' 28""")</f>
        <v>84o 38' 28"</v>
      </c>
      <c r="L1461" s="2" t="str">
        <f>IFERROR(__xludf.DUMMYFUNCTION("""COMPUTED_VALUE"""),"84o 39' 21""")</f>
        <v>84o 39' 21"</v>
      </c>
      <c r="M1461" s="2" t="str">
        <f>IFERROR(__xludf.DUMMYFUNCTION("""COMPUTED_VALUE"""),"Jaubari (Gorkha)")</f>
        <v>Jaubari (Gorkha)</v>
      </c>
    </row>
    <row r="1462">
      <c r="A1462" s="2">
        <f>IFERROR(__xludf.DUMMYFUNCTION("""COMPUTED_VALUE"""),1461.0)</f>
        <v>1461</v>
      </c>
      <c r="B1462" s="2" t="str">
        <f>IFERROR(__xludf.DUMMYFUNCTION("""COMPUTED_VALUE"""),"Kalagad HPP")</f>
        <v>Kalagad HPP</v>
      </c>
      <c r="C1462" s="2">
        <f>IFERROR(__xludf.DUMMYFUNCTION("""COMPUTED_VALUE"""),3.0)</f>
        <v>3</v>
      </c>
      <c r="D1462" s="2" t="str">
        <f>IFERROR(__xludf.DUMMYFUNCTION("""COMPUTED_VALUE"""),"Kala Gad")</f>
        <v>Kala Gad</v>
      </c>
      <c r="E1462" s="2">
        <f>IFERROR(__xludf.DUMMYFUNCTION("""COMPUTED_VALUE"""),6206.0)</f>
        <v>6206</v>
      </c>
      <c r="F1462" s="3">
        <f>IFERROR(__xludf.DUMMYFUNCTION("""COMPUTED_VALUE"""),60971.0)</f>
        <v>60971</v>
      </c>
      <c r="G1462" s="2" t="str">
        <f>IFERROR(__xludf.DUMMYFUNCTION("""COMPUTED_VALUE"""),"Dipak Bahadur Singh,")</f>
        <v>Dipak Bahadur Singh,</v>
      </c>
      <c r="H1462" s="2" t="str">
        <f>IFERROR(__xludf.DUMMYFUNCTION("""COMPUTED_VALUE"""),"Hetauda Municipality-2, Makwanpur")</f>
        <v>Hetauda Municipality-2, Makwanpur</v>
      </c>
      <c r="I1462" s="2" t="str">
        <f>IFERROR(__xludf.DUMMYFUNCTION("""COMPUTED_VALUE"""),"29o 53' 00""")</f>
        <v>29o 53' 00"</v>
      </c>
      <c r="J1462" s="2" t="str">
        <f>IFERROR(__xludf.DUMMYFUNCTION("""COMPUTED_VALUE"""),"29o 54' 15""")</f>
        <v>29o 54' 15"</v>
      </c>
      <c r="K1462" s="2" t="str">
        <f>IFERROR(__xludf.DUMMYFUNCTION("""COMPUTED_VALUE"""),"80o 34' 00""")</f>
        <v>80o 34' 00"</v>
      </c>
      <c r="L1462" s="2" t="str">
        <f>IFERROR(__xludf.DUMMYFUNCTION("""COMPUTED_VALUE"""),"80o 36' 21""")</f>
        <v>80o 36' 21"</v>
      </c>
      <c r="M1462" s="2" t="str">
        <f>IFERROR(__xludf.DUMMYFUNCTION("""COMPUTED_VALUE"""),"Bramhadev,Dhari,Pipalchauri (Darchula)")</f>
        <v>Bramhadev,Dhari,Pipalchauri (Darchula)</v>
      </c>
    </row>
    <row r="1463">
      <c r="A1463" s="2">
        <f>IFERROR(__xludf.DUMMYFUNCTION("""COMPUTED_VALUE"""),1462.0)</f>
        <v>1462</v>
      </c>
      <c r="B1463" s="2" t="str">
        <f>IFERROR(__xludf.DUMMYFUNCTION("""COMPUTED_VALUE"""),"Kokhajor Khola SHP")</f>
        <v>Kokhajor Khola SHP</v>
      </c>
      <c r="C1463" s="2">
        <f>IFERROR(__xludf.DUMMYFUNCTION("""COMPUTED_VALUE"""),0.754)</f>
        <v>0.754</v>
      </c>
      <c r="D1463" s="2" t="str">
        <f>IFERROR(__xludf.DUMMYFUNCTION("""COMPUTED_VALUE"""),"Kokhajor Khola")</f>
        <v>Kokhajor Khola</v>
      </c>
      <c r="E1463" s="2">
        <f>IFERROR(__xludf.DUMMYFUNCTION("""COMPUTED_VALUE"""),6210.0)</f>
        <v>6210</v>
      </c>
      <c r="F1463" s="3">
        <f>IFERROR(__xludf.DUMMYFUNCTION("""COMPUTED_VALUE"""),60971.0)</f>
        <v>60971</v>
      </c>
      <c r="G1463" s="2" t="str">
        <f>IFERROR(__xludf.DUMMYFUNCTION("""COMPUTED_VALUE"""),"Ramji Acharya")</f>
        <v>Ramji Acharya</v>
      </c>
      <c r="H1463" s="2" t="str">
        <f>IFERROR(__xludf.DUMMYFUNCTION("""COMPUTED_VALUE"""),"House No. 239, Rammarg, Kathmandu Municapility-9")</f>
        <v>House No. 239, Rammarg, Kathmandu Municapility-9</v>
      </c>
      <c r="I1463" s="2" t="str">
        <f>IFERROR(__xludf.DUMMYFUNCTION("""COMPUTED_VALUE"""),"27o 20' 00""")</f>
        <v>27o 20' 00"</v>
      </c>
      <c r="J1463" s="2" t="str">
        <f>IFERROR(__xludf.DUMMYFUNCTION("""COMPUTED_VALUE"""),"27o 21' 13""")</f>
        <v>27o 21' 13"</v>
      </c>
      <c r="K1463" s="2" t="str">
        <f>IFERROR(__xludf.DUMMYFUNCTION("""COMPUTED_VALUE"""),"85o 32' 30""")</f>
        <v>85o 32' 30"</v>
      </c>
      <c r="L1463" s="2" t="str">
        <f>IFERROR(__xludf.DUMMYFUNCTION("""COMPUTED_VALUE"""),"85o 35' 44""")</f>
        <v>85o 35' 44"</v>
      </c>
      <c r="M1463" s="2" t="str">
        <f>IFERROR(__xludf.DUMMYFUNCTION("""COMPUTED_VALUE"""),"Ghartichhap (Kavrepalanchok)")</f>
        <v>Ghartichhap (Kavrepalanchok)</v>
      </c>
    </row>
    <row r="1464">
      <c r="A1464" s="2">
        <f>IFERROR(__xludf.DUMMYFUNCTION("""COMPUTED_VALUE"""),1463.0)</f>
        <v>1463</v>
      </c>
      <c r="B1464" s="2" t="str">
        <f>IFERROR(__xludf.DUMMYFUNCTION("""COMPUTED_VALUE"""),"Jogmai Khola SHP")</f>
        <v>Jogmai Khola SHP</v>
      </c>
      <c r="C1464" s="2">
        <f>IFERROR(__xludf.DUMMYFUNCTION("""COMPUTED_VALUE"""),0.98)</f>
        <v>0.98</v>
      </c>
      <c r="D1464" s="2" t="str">
        <f>IFERROR(__xludf.DUMMYFUNCTION("""COMPUTED_VALUE"""),"Jogmai Khola")</f>
        <v>Jogmai Khola</v>
      </c>
      <c r="E1464" s="2">
        <f>IFERROR(__xludf.DUMMYFUNCTION("""COMPUTED_VALUE"""),6280.0)</f>
        <v>6280</v>
      </c>
      <c r="F1464" s="3">
        <f>IFERROR(__xludf.DUMMYFUNCTION("""COMPUTED_VALUE"""),60972.0)</f>
        <v>60972</v>
      </c>
      <c r="G1464" s="2" t="str">
        <f>IFERROR(__xludf.DUMMYFUNCTION("""COMPUTED_VALUE"""),"Timure Hydropower Company Pvt Ltd")</f>
        <v>Timure Hydropower Company Pvt Ltd</v>
      </c>
      <c r="H1464" s="2" t="str">
        <f>IFERROR(__xludf.DUMMYFUNCTION("""COMPUTED_VALUE"""),"Kathmandu Municipality-3, Tel: 9841236054")</f>
        <v>Kathmandu Municipality-3, Tel: 9841236054</v>
      </c>
      <c r="I1464" s="2" t="str">
        <f>IFERROR(__xludf.DUMMYFUNCTION("""COMPUTED_VALUE"""),"26o 54' 40""")</f>
        <v>26o 54' 40"</v>
      </c>
      <c r="J1464" s="2" t="str">
        <f>IFERROR(__xludf.DUMMYFUNCTION("""COMPUTED_VALUE"""),"26o 55' 07""")</f>
        <v>26o 55' 07"</v>
      </c>
      <c r="K1464" s="2" t="str">
        <f>IFERROR(__xludf.DUMMYFUNCTION("""COMPUTED_VALUE"""),"88o 01' 09""")</f>
        <v>88o 01' 09"</v>
      </c>
      <c r="L1464" s="2" t="str">
        <f>IFERROR(__xludf.DUMMYFUNCTION("""COMPUTED_VALUE"""),"88o 03' 06""")</f>
        <v>88o 03' 06"</v>
      </c>
      <c r="M1464" s="2" t="str">
        <f>IFERROR(__xludf.DUMMYFUNCTION("""COMPUTED_VALUE"""),"Naya Bazar,Phikal Bazar,Namsaling,Panchakanya (Ilam)")</f>
        <v>Naya Bazar,Phikal Bazar,Namsaling,Panchakanya (Ilam)</v>
      </c>
    </row>
    <row r="1465">
      <c r="A1465" s="2">
        <f>IFERROR(__xludf.DUMMYFUNCTION("""COMPUTED_VALUE"""),1464.0)</f>
        <v>1464</v>
      </c>
      <c r="B1465" s="2" t="str">
        <f>IFERROR(__xludf.DUMMYFUNCTION("""COMPUTED_VALUE"""),"Lodo Khola SHP")</f>
        <v>Lodo Khola SHP</v>
      </c>
      <c r="C1465" s="2">
        <f>IFERROR(__xludf.DUMMYFUNCTION("""COMPUTED_VALUE"""),0.3)</f>
        <v>0.3</v>
      </c>
      <c r="D1465" s="2" t="str">
        <f>IFERROR(__xludf.DUMMYFUNCTION("""COMPUTED_VALUE"""),"Lodo Khola")</f>
        <v>Lodo Khola</v>
      </c>
      <c r="E1465" s="2">
        <f>IFERROR(__xludf.DUMMYFUNCTION("""COMPUTED_VALUE"""),6295.0)</f>
        <v>6295</v>
      </c>
      <c r="F1465" s="3">
        <f>IFERROR(__xludf.DUMMYFUNCTION("""COMPUTED_VALUE"""),60975.0)</f>
        <v>60975</v>
      </c>
      <c r="G1465" s="2" t="str">
        <f>IFERROR(__xludf.DUMMYFUNCTION("""COMPUTED_VALUE"""),"Budh S. Tamang, T.P.Gurung")</f>
        <v>Budh S. Tamang, T.P.Gurung</v>
      </c>
      <c r="H1465" s="2" t="str">
        <f>IFERROR(__xludf.DUMMYFUNCTION("""COMPUTED_VALUE"""),"Dhodeni VDC,-8, Lamjung Tel: 9746012849")</f>
        <v>Dhodeni VDC,-8, Lamjung Tel: 9746012849</v>
      </c>
      <c r="I1465" s="2" t="str">
        <f>IFERROR(__xludf.DUMMYFUNCTION("""COMPUTED_VALUE"""),"28o 15' 42""")</f>
        <v>28o 15' 42"</v>
      </c>
      <c r="J1465" s="2" t="str">
        <f>IFERROR(__xludf.DUMMYFUNCTION("""COMPUTED_VALUE"""),"28o 16' 12""")</f>
        <v>28o 16' 12"</v>
      </c>
      <c r="K1465" s="2" t="str">
        <f>IFERROR(__xludf.DUMMYFUNCTION("""COMPUTED_VALUE"""),"84o 30' 48""")</f>
        <v>84o 30' 48"</v>
      </c>
      <c r="L1465" s="2" t="str">
        <f>IFERROR(__xludf.DUMMYFUNCTION("""COMPUTED_VALUE"""),"84o 33' 01""")</f>
        <v>84o 33' 01"</v>
      </c>
      <c r="M1465" s="2" t="str">
        <f>IFERROR(__xludf.DUMMYFUNCTION("""COMPUTED_VALUE"""),"Dhodeni (Lamjung)")</f>
        <v>Dhodeni (Lamjung)</v>
      </c>
    </row>
    <row r="1466">
      <c r="A1466" s="2">
        <f>IFERROR(__xludf.DUMMYFUNCTION("""COMPUTED_VALUE"""),1465.0)</f>
        <v>1465</v>
      </c>
      <c r="B1466" s="2" t="str">
        <f>IFERROR(__xludf.DUMMYFUNCTION("""COMPUTED_VALUE"""),"Jogmai Khola HPP")</f>
        <v>Jogmai Khola HPP</v>
      </c>
      <c r="C1466" s="2">
        <f>IFERROR(__xludf.DUMMYFUNCTION("""COMPUTED_VALUE"""),3.0)</f>
        <v>3</v>
      </c>
      <c r="D1466" s="2" t="str">
        <f>IFERROR(__xludf.DUMMYFUNCTION("""COMPUTED_VALUE"""),"Jogmai Khola")</f>
        <v>Jogmai Khola</v>
      </c>
      <c r="E1466" s="2">
        <f>IFERROR(__xludf.DUMMYFUNCTION("""COMPUTED_VALUE"""),6318.0)</f>
        <v>6318</v>
      </c>
      <c r="F1466" s="3">
        <f>IFERROR(__xludf.DUMMYFUNCTION("""COMPUTED_VALUE"""),60975.0)</f>
        <v>60975</v>
      </c>
      <c r="G1466" s="2" t="str">
        <f>IFERROR(__xludf.DUMMYFUNCTION("""COMPUTED_VALUE"""),"Mohan B. Thapa, Somnath Poudel")</f>
        <v>Mohan B. Thapa, Somnath Poudel</v>
      </c>
      <c r="H1466" s="2" t="str">
        <f>IFERROR(__xludf.DUMMYFUNCTION("""COMPUTED_VALUE"""),"Sijuwa-9, Morang Tel: 9851081464")</f>
        <v>Sijuwa-9, Morang Tel: 9851081464</v>
      </c>
      <c r="I1466" s="2" t="str">
        <f>IFERROR(__xludf.DUMMYFUNCTION("""COMPUTED_VALUE"""),"26o 54' 40""")</f>
        <v>26o 54' 40"</v>
      </c>
      <c r="J1466" s="2" t="str">
        <f>IFERROR(__xludf.DUMMYFUNCTION("""COMPUTED_VALUE"""),"26o 55' 29""")</f>
        <v>26o 55' 29"</v>
      </c>
      <c r="K1466" s="2" t="str">
        <f>IFERROR(__xludf.DUMMYFUNCTION("""COMPUTED_VALUE"""),"88o 01' 09""")</f>
        <v>88o 01' 09"</v>
      </c>
      <c r="L1466" s="2" t="str">
        <f>IFERROR(__xludf.DUMMYFUNCTION("""COMPUTED_VALUE"""),"88o 03' 06""")</f>
        <v>88o 03' 06"</v>
      </c>
      <c r="M1466" s="2" t="str">
        <f>IFERROR(__xludf.DUMMYFUNCTION("""COMPUTED_VALUE"""),"Namsaling,Panchakanya,Naya Bazar (Ilam)")</f>
        <v>Namsaling,Panchakanya,Naya Bazar (Ilam)</v>
      </c>
    </row>
    <row r="1467">
      <c r="A1467" s="2">
        <f>IFERROR(__xludf.DUMMYFUNCTION("""COMPUTED_VALUE"""),1466.0)</f>
        <v>1466</v>
      </c>
      <c r="B1467" s="2" t="str">
        <f>IFERROR(__xludf.DUMMYFUNCTION("""COMPUTED_VALUE"""),"Super Sankhuwa HPP")</f>
        <v>Super Sankhuwa HPP</v>
      </c>
      <c r="C1467" s="2">
        <f>IFERROR(__xludf.DUMMYFUNCTION("""COMPUTED_VALUE"""),6.2)</f>
        <v>6.2</v>
      </c>
      <c r="D1467" s="2" t="str">
        <f>IFERROR(__xludf.DUMMYFUNCTION("""COMPUTED_VALUE"""),"Sankhuwa")</f>
        <v>Sankhuwa</v>
      </c>
      <c r="E1467" s="2">
        <f>IFERROR(__xludf.DUMMYFUNCTION("""COMPUTED_VALUE"""),6332.0)</f>
        <v>6332</v>
      </c>
      <c r="F1467" s="3">
        <f>IFERROR(__xludf.DUMMYFUNCTION("""COMPUTED_VALUE"""),60976.0)</f>
        <v>60976</v>
      </c>
      <c r="G1467" s="2" t="str">
        <f>IFERROR(__xludf.DUMMYFUNCTION("""COMPUTED_VALUE"""),"CEDB Hydro Fund Limited")</f>
        <v>CEDB Hydro Fund Limited</v>
      </c>
      <c r="H1467" s="2" t="str">
        <f>IFERROR(__xludf.DUMMYFUNCTION("""COMPUTED_VALUE"""),"Kathmandu, Tel: 4761444")</f>
        <v>Kathmandu, Tel: 4761444</v>
      </c>
      <c r="I1467" s="2" t="str">
        <f>IFERROR(__xludf.DUMMYFUNCTION("""COMPUTED_VALUE"""),"27o 31' 21""")</f>
        <v>27o 31' 21"</v>
      </c>
      <c r="J1467" s="2" t="str">
        <f>IFERROR(__xludf.DUMMYFUNCTION("""COMPUTED_VALUE"""),"27o 35' 00""")</f>
        <v>27o 35' 00"</v>
      </c>
      <c r="K1467" s="2" t="str">
        <f>IFERROR(__xludf.DUMMYFUNCTION("""COMPUTED_VALUE"""),"87o 00' 00""")</f>
        <v>87o 00' 00"</v>
      </c>
      <c r="L1467" s="2" t="str">
        <f>IFERROR(__xludf.DUMMYFUNCTION("""COMPUTED_VALUE"""),"87o 04' 36""")</f>
        <v>87o 04' 36"</v>
      </c>
      <c r="M1467" s="2" t="str">
        <f>IFERROR(__xludf.DUMMYFUNCTION("""COMPUTED_VALUE"""),"Bala,Tamku (Sankhuwasabha)")</f>
        <v>Bala,Tamku (Sankhuwasabha)</v>
      </c>
    </row>
    <row r="1468">
      <c r="A1468" s="2">
        <f>IFERROR(__xludf.DUMMYFUNCTION("""COMPUTED_VALUE"""),1467.0)</f>
        <v>1467</v>
      </c>
      <c r="B1468" s="2" t="str">
        <f>IFERROR(__xludf.DUMMYFUNCTION("""COMPUTED_VALUE"""),"Soti Khola HPP")</f>
        <v>Soti Khola HPP</v>
      </c>
      <c r="C1468" s="2">
        <f>IFERROR(__xludf.DUMMYFUNCTION("""COMPUTED_VALUE"""),3.9)</f>
        <v>3.9</v>
      </c>
      <c r="D1468" s="2" t="str">
        <f>IFERROR(__xludf.DUMMYFUNCTION("""COMPUTED_VALUE"""),"Soti Khola")</f>
        <v>Soti Khola</v>
      </c>
      <c r="E1468" s="2">
        <f>IFERROR(__xludf.DUMMYFUNCTION("""COMPUTED_VALUE"""),6333.0)</f>
        <v>6333</v>
      </c>
      <c r="F1468" s="3">
        <f>IFERROR(__xludf.DUMMYFUNCTION("""COMPUTED_VALUE"""),60976.0)</f>
        <v>60976</v>
      </c>
      <c r="G1468" s="2" t="str">
        <f>IFERROR(__xludf.DUMMYFUNCTION("""COMPUTED_VALUE"""),"CEDB Hydro Fund Limited")</f>
        <v>CEDB Hydro Fund Limited</v>
      </c>
      <c r="H1468" s="2" t="str">
        <f>IFERROR(__xludf.DUMMYFUNCTION("""COMPUTED_VALUE"""),"Kathmandu, Tel: 4761444")</f>
        <v>Kathmandu, Tel: 4761444</v>
      </c>
      <c r="I1468" s="2" t="str">
        <f>IFERROR(__xludf.DUMMYFUNCTION("""COMPUTED_VALUE"""),"28o 33' 00""")</f>
        <v>28o 33' 00"</v>
      </c>
      <c r="J1468" s="2" t="str">
        <f>IFERROR(__xludf.DUMMYFUNCTION("""COMPUTED_VALUE"""),"28o 37' 00""")</f>
        <v>28o 37' 00"</v>
      </c>
      <c r="K1468" s="2" t="str">
        <f>IFERROR(__xludf.DUMMYFUNCTION("""COMPUTED_VALUE"""),"84o 14' 30""")</f>
        <v>84o 14' 30"</v>
      </c>
      <c r="L1468" s="2" t="str">
        <f>IFERROR(__xludf.DUMMYFUNCTION("""COMPUTED_VALUE"""),"84o 16' 30""")</f>
        <v>84o 16' 30"</v>
      </c>
      <c r="M1468" s="2" t="str">
        <f>IFERROR(__xludf.DUMMYFUNCTION("""COMPUTED_VALUE"""),"Tachi Bagarchhap (Manang)")</f>
        <v>Tachi Bagarchhap (Manang)</v>
      </c>
    </row>
    <row r="1469">
      <c r="A1469" s="2">
        <f>IFERROR(__xludf.DUMMYFUNCTION("""COMPUTED_VALUE"""),1468.0)</f>
        <v>1468</v>
      </c>
      <c r="B1469" s="2" t="str">
        <f>IFERROR(__xludf.DUMMYFUNCTION("""COMPUTED_VALUE"""),"Likhu-B HPP")</f>
        <v>Likhu-B HPP</v>
      </c>
      <c r="C1469" s="2">
        <f>IFERROR(__xludf.DUMMYFUNCTION("""COMPUTED_VALUE"""),47.4)</f>
        <v>47.4</v>
      </c>
      <c r="D1469" s="2" t="str">
        <f>IFERROR(__xludf.DUMMYFUNCTION("""COMPUTED_VALUE"""),"Likhu Khola")</f>
        <v>Likhu Khola</v>
      </c>
      <c r="E1469" s="2">
        <f>IFERROR(__xludf.DUMMYFUNCTION("""COMPUTED_VALUE"""),6363.0)</f>
        <v>6363</v>
      </c>
      <c r="F1469" s="3">
        <f>IFERROR(__xludf.DUMMYFUNCTION("""COMPUTED_VALUE"""),60978.0)</f>
        <v>60978</v>
      </c>
      <c r="G1469" s="2" t="str">
        <f>IFERROR(__xludf.DUMMYFUNCTION("""COMPUTED_VALUE"""),"Kohinoor Hydropower Pvt Ltd")</f>
        <v>Kohinoor Hydropower Pvt Ltd</v>
      </c>
      <c r="H1469" s="2" t="str">
        <f>IFERROR(__xludf.DUMMYFUNCTION("""COMPUTED_VALUE"""),"GPO Box: 485, Kathmandu Tel: 4225009,422585685")</f>
        <v>GPO Box: 485, Kathmandu Tel: 4225009,422585685</v>
      </c>
      <c r="I1469" s="2" t="str">
        <f>IFERROR(__xludf.DUMMYFUNCTION("""COMPUTED_VALUE"""),"27o 28' 30""")</f>
        <v>27o 28' 30"</v>
      </c>
      <c r="J1469" s="2" t="str">
        <f>IFERROR(__xludf.DUMMYFUNCTION("""COMPUTED_VALUE"""),"27o 32' 00""")</f>
        <v>27o 32' 00"</v>
      </c>
      <c r="K1469" s="2" t="str">
        <f>IFERROR(__xludf.DUMMYFUNCTION("""COMPUTED_VALUE"""),"86o 18' 00""")</f>
        <v>86o 18' 00"</v>
      </c>
      <c r="L1469" s="2" t="str">
        <f>IFERROR(__xludf.DUMMYFUNCTION("""COMPUTED_VALUE"""),"86o 23' 00""")</f>
        <v>86o 23' 00"</v>
      </c>
      <c r="M1469" s="2" t="str">
        <f>IFERROR(__xludf.DUMMYFUNCTION("""COMPUTED_VALUE"""),"Rawadolu (Okhaldhunga)")</f>
        <v>Rawadolu (Okhaldhunga)</v>
      </c>
    </row>
    <row r="1470">
      <c r="A1470" s="2">
        <f>IFERROR(__xludf.DUMMYFUNCTION("""COMPUTED_VALUE"""),1469.0)</f>
        <v>1469</v>
      </c>
      <c r="B1470" s="2" t="str">
        <f>IFERROR(__xludf.DUMMYFUNCTION("""COMPUTED_VALUE"""),"Lapa Khola SHP")</f>
        <v>Lapa Khola SHP</v>
      </c>
      <c r="C1470" s="2">
        <f>IFERROR(__xludf.DUMMYFUNCTION("""COMPUTED_VALUE"""),0.92)</f>
        <v>0.92</v>
      </c>
      <c r="D1470" s="2" t="str">
        <f>IFERROR(__xludf.DUMMYFUNCTION("""COMPUTED_VALUE"""),"Lapa")</f>
        <v>Lapa</v>
      </c>
      <c r="E1470" s="2">
        <f>IFERROR(__xludf.DUMMYFUNCTION("""COMPUTED_VALUE"""),6366.0)</f>
        <v>6366</v>
      </c>
      <c r="F1470" s="3">
        <f>IFERROR(__xludf.DUMMYFUNCTION("""COMPUTED_VALUE"""),60979.0)</f>
        <v>60979</v>
      </c>
      <c r="G1470" s="2" t="str">
        <f>IFERROR(__xludf.DUMMYFUNCTION("""COMPUTED_VALUE"""),"Ganeshkund Microhydropower Pvt Ltd")</f>
        <v>Ganeshkund Microhydropower Pvt Ltd</v>
      </c>
      <c r="H1470" s="2" t="str">
        <f>IFERROR(__xludf.DUMMYFUNCTION("""COMPUTED_VALUE"""),"Gongbu, Kathmandu")</f>
        <v>Gongbu, Kathmandu</v>
      </c>
      <c r="I1470" s="2" t="str">
        <f>IFERROR(__xludf.DUMMYFUNCTION("""COMPUTED_VALUE"""),"28o 09' 34""")</f>
        <v>28o 09' 34"</v>
      </c>
      <c r="J1470" s="2" t="str">
        <f>IFERROR(__xludf.DUMMYFUNCTION("""COMPUTED_VALUE"""),"28o 11' 37""")</f>
        <v>28o 11' 37"</v>
      </c>
      <c r="K1470" s="2" t="str">
        <f>IFERROR(__xludf.DUMMYFUNCTION("""COMPUTED_VALUE"""),"85o 00' 41""")</f>
        <v>85o 00' 41"</v>
      </c>
      <c r="L1470" s="2" t="str">
        <f>IFERROR(__xludf.DUMMYFUNCTION("""COMPUTED_VALUE"""),"85o 02' 25""")</f>
        <v>85o 02' 25"</v>
      </c>
      <c r="M1470" s="2" t="str">
        <f>IFERROR(__xludf.DUMMYFUNCTION("""COMPUTED_VALUE"""),"Lapa (Dhading)")</f>
        <v>Lapa (Dhading)</v>
      </c>
    </row>
    <row r="1471">
      <c r="A1471" s="2">
        <f>IFERROR(__xludf.DUMMYFUNCTION("""COMPUTED_VALUE"""),1470.0)</f>
        <v>1470</v>
      </c>
      <c r="B1471" s="2" t="str">
        <f>IFERROR(__xludf.DUMMYFUNCTION("""COMPUTED_VALUE"""),"Super Lapa SHP")</f>
        <v>Super Lapa SHP</v>
      </c>
      <c r="C1471" s="2">
        <f>IFERROR(__xludf.DUMMYFUNCTION("""COMPUTED_VALUE"""),0.75)</f>
        <v>0.75</v>
      </c>
      <c r="D1471" s="2" t="str">
        <f>IFERROR(__xludf.DUMMYFUNCTION("""COMPUTED_VALUE"""),"Lapa")</f>
        <v>Lapa</v>
      </c>
      <c r="E1471" s="2">
        <f>IFERROR(__xludf.DUMMYFUNCTION("""COMPUTED_VALUE"""),6367.0)</f>
        <v>6367</v>
      </c>
      <c r="F1471" s="3">
        <f>IFERROR(__xludf.DUMMYFUNCTION("""COMPUTED_VALUE"""),60979.0)</f>
        <v>60979</v>
      </c>
      <c r="G1471" s="2" t="str">
        <f>IFERROR(__xludf.DUMMYFUNCTION("""COMPUTED_VALUE"""),"Ganeshkund Microhydropower Pvt Ltd")</f>
        <v>Ganeshkund Microhydropower Pvt Ltd</v>
      </c>
      <c r="H1471" s="2" t="str">
        <f>IFERROR(__xludf.DUMMYFUNCTION("""COMPUTED_VALUE"""),"Gangbu , Kathmandu, Tel; 9849090834")</f>
        <v>Gangbu , Kathmandu, Tel; 9849090834</v>
      </c>
      <c r="I1471" s="2" t="str">
        <f>IFERROR(__xludf.DUMMYFUNCTION("""COMPUTED_VALUE"""),"28o 10' 00""")</f>
        <v>28o 10' 00"</v>
      </c>
      <c r="J1471" s="2" t="str">
        <f>IFERROR(__xludf.DUMMYFUNCTION("""COMPUTED_VALUE"""),"28o 11' 46""")</f>
        <v>28o 11' 46"</v>
      </c>
      <c r="K1471" s="2" t="str">
        <f>IFERROR(__xludf.DUMMYFUNCTION("""COMPUTED_VALUE"""),"84o 59' 20""")</f>
        <v>84o 59' 20"</v>
      </c>
      <c r="L1471" s="2" t="str">
        <f>IFERROR(__xludf.DUMMYFUNCTION("""COMPUTED_VALUE"""),"85o 00' 41""")</f>
        <v>85o 00' 41"</v>
      </c>
      <c r="M1471" s="2" t="str">
        <f>IFERROR(__xludf.DUMMYFUNCTION("""COMPUTED_VALUE"""),"Lapa (Dhading)")</f>
        <v>Lapa (Dhading)</v>
      </c>
    </row>
    <row r="1472">
      <c r="A1472" s="2">
        <f>IFERROR(__xludf.DUMMYFUNCTION("""COMPUTED_VALUE"""),1471.0)</f>
        <v>1471</v>
      </c>
      <c r="B1472" s="2" t="str">
        <f>IFERROR(__xludf.DUMMYFUNCTION("""COMPUTED_VALUE"""),"Gandhak Khani Khola SHP")</f>
        <v>Gandhak Khani Khola SHP</v>
      </c>
      <c r="C1472" s="2">
        <f>IFERROR(__xludf.DUMMYFUNCTION("""COMPUTED_VALUE"""),0.95)</f>
        <v>0.95</v>
      </c>
      <c r="D1472" s="2" t="str">
        <f>IFERROR(__xludf.DUMMYFUNCTION("""COMPUTED_VALUE"""),"Gandhak Khani")</f>
        <v>Gandhak Khani</v>
      </c>
      <c r="E1472" s="2">
        <f>IFERROR(__xludf.DUMMYFUNCTION("""COMPUTED_VALUE"""),6368.0)</f>
        <v>6368</v>
      </c>
      <c r="F1472" s="3">
        <f>IFERROR(__xludf.DUMMYFUNCTION("""COMPUTED_VALUE"""),60979.0)</f>
        <v>60979</v>
      </c>
      <c r="G1472" s="2" t="str">
        <f>IFERROR(__xludf.DUMMYFUNCTION("""COMPUTED_VALUE"""),"Timla Microhydropower Company Pvt Ltd")</f>
        <v>Timla Microhydropower Company Pvt Ltd</v>
      </c>
      <c r="H1472" s="2" t="str">
        <f>IFERROR(__xludf.DUMMYFUNCTION("""COMPUTED_VALUE"""),"Kathmandu Municipality-6, Kathmandu, Tel: 9841315683")</f>
        <v>Kathmandu Municipality-6, Kathmandu, Tel: 9841315683</v>
      </c>
      <c r="I1472" s="2" t="str">
        <f>IFERROR(__xludf.DUMMYFUNCTION("""COMPUTED_VALUE"""),"28o 10' 00""")</f>
        <v>28o 10' 00"</v>
      </c>
      <c r="J1472" s="2" t="str">
        <f>IFERROR(__xludf.DUMMYFUNCTION("""COMPUTED_VALUE"""),"28o 12' 18""")</f>
        <v>28o 12' 18"</v>
      </c>
      <c r="K1472" s="2" t="str">
        <f>IFERROR(__xludf.DUMMYFUNCTION("""COMPUTED_VALUE"""),"85o 01' 01""")</f>
        <v>85o 01' 01"</v>
      </c>
      <c r="L1472" s="2" t="str">
        <f>IFERROR(__xludf.DUMMYFUNCTION("""COMPUTED_VALUE"""),"85o 02' 56""")</f>
        <v>85o 02' 56"</v>
      </c>
      <c r="M1472" s="2" t="str">
        <f>IFERROR(__xludf.DUMMYFUNCTION("""COMPUTED_VALUE"""),"Lapa (Dhading)")</f>
        <v>Lapa (Dhading)</v>
      </c>
    </row>
    <row r="1473">
      <c r="A1473" s="2">
        <f>IFERROR(__xludf.DUMMYFUNCTION("""COMPUTED_VALUE"""),1472.0)</f>
        <v>1472</v>
      </c>
      <c r="B1473" s="2" t="str">
        <f>IFERROR(__xludf.DUMMYFUNCTION("""COMPUTED_VALUE"""),"Seti Khola SHP")</f>
        <v>Seti Khola SHP</v>
      </c>
      <c r="C1473" s="2">
        <f>IFERROR(__xludf.DUMMYFUNCTION("""COMPUTED_VALUE"""),1.0)</f>
        <v>1</v>
      </c>
      <c r="D1473" s="2" t="str">
        <f>IFERROR(__xludf.DUMMYFUNCTION("""COMPUTED_VALUE"""),"Seti Khola")</f>
        <v>Seti Khola</v>
      </c>
      <c r="E1473" s="2">
        <f>IFERROR(__xludf.DUMMYFUNCTION("""COMPUTED_VALUE"""),6384.0)</f>
        <v>6384</v>
      </c>
      <c r="F1473" s="3">
        <f>IFERROR(__xludf.DUMMYFUNCTION("""COMPUTED_VALUE"""),60981.0)</f>
        <v>60981</v>
      </c>
      <c r="G1473" s="2" t="str">
        <f>IFERROR(__xludf.DUMMYFUNCTION("""COMPUTED_VALUE"""),"S.P.Amgai, H.R.Sharma")</f>
        <v>S.P.Amgai, H.R.Sharma</v>
      </c>
      <c r="H1473" s="2" t="str">
        <f>IFERROR(__xludf.DUMMYFUNCTION("""COMPUTED_VALUE"""),"Deurali VDC-5, Gorkha, Tel: 9851041647")</f>
        <v>Deurali VDC-5, Gorkha, Tel: 9851041647</v>
      </c>
      <c r="I1473" s="2" t="str">
        <f>IFERROR(__xludf.DUMMYFUNCTION("""COMPUTED_VALUE"""),"28o 08' 26""")</f>
        <v>28o 08' 26"</v>
      </c>
      <c r="J1473" s="2" t="str">
        <f>IFERROR(__xludf.DUMMYFUNCTION("""COMPUTED_VALUE"""),"28o 09' 17""")</f>
        <v>28o 09' 17"</v>
      </c>
      <c r="K1473" s="2" t="str">
        <f>IFERROR(__xludf.DUMMYFUNCTION("""COMPUTED_VALUE"""),"83o 51' 14""")</f>
        <v>83o 51' 14"</v>
      </c>
      <c r="L1473" s="2" t="str">
        <f>IFERROR(__xludf.DUMMYFUNCTION("""COMPUTED_VALUE"""),"83o 52' 40""")</f>
        <v>83o 52' 40"</v>
      </c>
      <c r="M1473" s="2" t="str">
        <f>IFERROR(__xludf.DUMMYFUNCTION("""COMPUTED_VALUE"""),"Bhatkhola,Fedikhola (Syangja)")</f>
        <v>Bhatkhola,Fedikhola (Syangja)</v>
      </c>
    </row>
    <row r="1474">
      <c r="A1474" s="2">
        <f>IFERROR(__xludf.DUMMYFUNCTION("""COMPUTED_VALUE"""),1473.0)</f>
        <v>1473</v>
      </c>
      <c r="B1474" s="2" t="str">
        <f>IFERROR(__xludf.DUMMYFUNCTION("""COMPUTED_VALUE"""),"Yangri Khola HPP")</f>
        <v>Yangri Khola HPP</v>
      </c>
      <c r="C1474" s="2">
        <f>IFERROR(__xludf.DUMMYFUNCTION("""COMPUTED_VALUE"""),2.48)</f>
        <v>2.48</v>
      </c>
      <c r="D1474" s="2" t="str">
        <f>IFERROR(__xludf.DUMMYFUNCTION("""COMPUTED_VALUE"""),"Yangri Khola")</f>
        <v>Yangri Khola</v>
      </c>
      <c r="E1474" s="2">
        <f>IFERROR(__xludf.DUMMYFUNCTION("""COMPUTED_VALUE"""),6388.0)</f>
        <v>6388</v>
      </c>
      <c r="F1474" s="3">
        <f>IFERROR(__xludf.DUMMYFUNCTION("""COMPUTED_VALUE"""),60981.0)</f>
        <v>60981</v>
      </c>
      <c r="G1474" s="2" t="str">
        <f>IFERROR(__xludf.DUMMYFUNCTION("""COMPUTED_VALUE"""),"Tender Lama")</f>
        <v>Tender Lama</v>
      </c>
      <c r="H1474" s="2" t="str">
        <f>IFERROR(__xludf.DUMMYFUNCTION("""COMPUTED_VALUE"""),"Baruwa-1, Sindhupalchowk")</f>
        <v>Baruwa-1, Sindhupalchowk</v>
      </c>
      <c r="I1474" s="2" t="str">
        <f>IFERROR(__xludf.DUMMYFUNCTION("""COMPUTED_VALUE"""),"28o 00' 00""")</f>
        <v>28o 00' 00"</v>
      </c>
      <c r="J1474" s="2" t="str">
        <f>IFERROR(__xludf.DUMMYFUNCTION("""COMPUTED_VALUE"""),"28o 02' 18""")</f>
        <v>28o 02' 18"</v>
      </c>
      <c r="K1474" s="2" t="str">
        <f>IFERROR(__xludf.DUMMYFUNCTION("""COMPUTED_VALUE"""),"85o 35' 00""")</f>
        <v>85o 35' 00"</v>
      </c>
      <c r="L1474" s="2" t="str">
        <f>IFERROR(__xludf.DUMMYFUNCTION("""COMPUTED_VALUE"""),"85o 36' 58""")</f>
        <v>85o 36' 58"</v>
      </c>
      <c r="M1474" s="2" t="str">
        <f>IFERROR(__xludf.DUMMYFUNCTION("""COMPUTED_VALUE"""),"Baruwa (Sindhupalchok)")</f>
        <v>Baruwa (Sindhupalchok)</v>
      </c>
    </row>
    <row r="1475">
      <c r="A1475" s="2">
        <f>IFERROR(__xludf.DUMMYFUNCTION("""COMPUTED_VALUE"""),1474.0)</f>
        <v>1474</v>
      </c>
      <c r="B1475" s="2" t="str">
        <f>IFERROR(__xludf.DUMMYFUNCTION("""COMPUTED_VALUE"""),"Siudi Khola SHP")</f>
        <v>Siudi Khola SHP</v>
      </c>
      <c r="C1475" s="2">
        <f>IFERROR(__xludf.DUMMYFUNCTION("""COMPUTED_VALUE"""),0.4)</f>
        <v>0.4</v>
      </c>
      <c r="D1475" s="2" t="str">
        <f>IFERROR(__xludf.DUMMYFUNCTION("""COMPUTED_VALUE"""),"Siudi")</f>
        <v>Siudi</v>
      </c>
      <c r="E1475" s="2">
        <f>IFERROR(__xludf.DUMMYFUNCTION("""COMPUTED_VALUE"""),6400.0)</f>
        <v>6400</v>
      </c>
      <c r="F1475" s="3">
        <f>IFERROR(__xludf.DUMMYFUNCTION("""COMPUTED_VALUE"""),60982.0)</f>
        <v>60982</v>
      </c>
      <c r="G1475" s="2" t="str">
        <f>IFERROR(__xludf.DUMMYFUNCTION("""COMPUTED_VALUE"""),"C.D.sharma Rakhal")</f>
        <v>C.D.sharma Rakhal</v>
      </c>
      <c r="H1475" s="2" t="str">
        <f>IFERROR(__xludf.DUMMYFUNCTION("""COMPUTED_VALUE"""),"Paiyupata VDC-4, Baglung Tel: 9841365234")</f>
        <v>Paiyupata VDC-4, Baglung Tel: 9841365234</v>
      </c>
      <c r="I1475" s="2" t="str">
        <f>IFERROR(__xludf.DUMMYFUNCTION("""COMPUTED_VALUE"""),"27o 52' 46""")</f>
        <v>27o 52' 46"</v>
      </c>
      <c r="J1475" s="2" t="str">
        <f>IFERROR(__xludf.DUMMYFUNCTION("""COMPUTED_VALUE"""),"27o 53' 15""")</f>
        <v>27o 53' 15"</v>
      </c>
      <c r="K1475" s="2" t="str">
        <f>IFERROR(__xludf.DUMMYFUNCTION("""COMPUTED_VALUE"""),"84o 32' 11""")</f>
        <v>84o 32' 11"</v>
      </c>
      <c r="L1475" s="2" t="str">
        <f>IFERROR(__xludf.DUMMYFUNCTION("""COMPUTED_VALUE"""),"84o 32' 35""")</f>
        <v>84o 32' 35"</v>
      </c>
      <c r="M1475" s="2" t="str">
        <f>IFERROR(__xludf.DUMMYFUNCTION("""COMPUTED_VALUE"""),"Ambukhaireni (Tanahu)")</f>
        <v>Ambukhaireni (Tanahu)</v>
      </c>
    </row>
    <row r="1476">
      <c r="A1476" s="2">
        <f>IFERROR(__xludf.DUMMYFUNCTION("""COMPUTED_VALUE"""),1475.0)</f>
        <v>1475</v>
      </c>
      <c r="B1476" s="2" t="str">
        <f>IFERROR(__xludf.DUMMYFUNCTION("""COMPUTED_VALUE"""),"Upper langtang Khola HPP")</f>
        <v>Upper langtang Khola HPP</v>
      </c>
      <c r="C1476" s="2">
        <f>IFERROR(__xludf.DUMMYFUNCTION("""COMPUTED_VALUE"""),55.0)</f>
        <v>55</v>
      </c>
      <c r="D1476" s="2" t="str">
        <f>IFERROR(__xludf.DUMMYFUNCTION("""COMPUTED_VALUE"""),"Langtang")</f>
        <v>Langtang</v>
      </c>
      <c r="E1476" s="2">
        <f>IFERROR(__xludf.DUMMYFUNCTION("""COMPUTED_VALUE"""),6432.0)</f>
        <v>6432</v>
      </c>
      <c r="F1476" s="3">
        <f>IFERROR(__xludf.DUMMYFUNCTION("""COMPUTED_VALUE"""),60984.0)</f>
        <v>60984</v>
      </c>
      <c r="G1476" s="2" t="str">
        <f>IFERROR(__xludf.DUMMYFUNCTION("""COMPUTED_VALUE"""),"Upper Langtang Hydropower Company Pvt Ltd")</f>
        <v>Upper Langtang Hydropower Company Pvt Ltd</v>
      </c>
      <c r="H1476" s="2" t="str">
        <f>IFERROR(__xludf.DUMMYFUNCTION("""COMPUTED_VALUE"""),"Dhapasi VDC-7, Kathmandu")</f>
        <v>Dhapasi VDC-7, Kathmandu</v>
      </c>
      <c r="I1476" s="2" t="str">
        <f>IFERROR(__xludf.DUMMYFUNCTION("""COMPUTED_VALUE"""),"28o 09' 08""")</f>
        <v>28o 09' 08"</v>
      </c>
      <c r="J1476" s="2" t="str">
        <f>IFERROR(__xludf.DUMMYFUNCTION("""COMPUTED_VALUE"""),"28o 12' 16""")</f>
        <v>28o 12' 16"</v>
      </c>
      <c r="K1476" s="2" t="str">
        <f>IFERROR(__xludf.DUMMYFUNCTION("""COMPUTED_VALUE"""),"85o 24' 30""")</f>
        <v>85o 24' 30"</v>
      </c>
      <c r="L1476" s="2" t="str">
        <f>IFERROR(__xludf.DUMMYFUNCTION("""COMPUTED_VALUE"""),"85o 28' 37""")</f>
        <v>85o 28' 37"</v>
      </c>
      <c r="M1476" s="2" t="str">
        <f>IFERROR(__xludf.DUMMYFUNCTION("""COMPUTED_VALUE"""),"Langtang (Rasuwa)")</f>
        <v>Langtang (Rasuwa)</v>
      </c>
    </row>
    <row r="1477">
      <c r="A1477" s="2">
        <f>IFERROR(__xludf.DUMMYFUNCTION("""COMPUTED_VALUE"""),1476.0)</f>
        <v>1476</v>
      </c>
      <c r="B1477" s="2" t="str">
        <f>IFERROR(__xludf.DUMMYFUNCTION("""COMPUTED_VALUE"""),"Likhu Khola-A HPP")</f>
        <v>Likhu Khola-A HPP</v>
      </c>
      <c r="C1477" s="2">
        <f>IFERROR(__xludf.DUMMYFUNCTION("""COMPUTED_VALUE"""),2.89)</f>
        <v>2.89</v>
      </c>
      <c r="D1477" s="2" t="str">
        <f>IFERROR(__xludf.DUMMYFUNCTION("""COMPUTED_VALUE"""),"Likhu Khola")</f>
        <v>Likhu Khola</v>
      </c>
      <c r="E1477" s="2">
        <f>IFERROR(__xludf.DUMMYFUNCTION("""COMPUTED_VALUE"""),6436.0)</f>
        <v>6436</v>
      </c>
      <c r="F1477" s="3">
        <f>IFERROR(__xludf.DUMMYFUNCTION("""COMPUTED_VALUE"""),60984.0)</f>
        <v>60984</v>
      </c>
      <c r="G1477" s="2" t="str">
        <f>IFERROR(__xludf.DUMMYFUNCTION("""COMPUTED_VALUE"""),"R.B.Thapa, K.B.Thapa,G.K.Sunuwar,P.M.Gurung,Raju Khanal")</f>
        <v>R.B.Thapa, K.B.Thapa,G.K.Sunuwar,P.M.Gurung,Raju Khanal</v>
      </c>
      <c r="H1477" s="2" t="str">
        <f>IFERROR(__xludf.DUMMYFUNCTION("""COMPUTED_VALUE"""),"Batase-5, Sindhupalchowk, 9721414859")</f>
        <v>Batase-5, Sindhupalchowk, 9721414859</v>
      </c>
      <c r="I1477" s="2" t="str">
        <f>IFERROR(__xludf.DUMMYFUNCTION("""COMPUTED_VALUE"""),"27o 50' 49""")</f>
        <v>27o 50' 49"</v>
      </c>
      <c r="J1477" s="2" t="str">
        <f>IFERROR(__xludf.DUMMYFUNCTION("""COMPUTED_VALUE"""),"27o 52' 06""")</f>
        <v>27o 52' 06"</v>
      </c>
      <c r="K1477" s="2" t="str">
        <f>IFERROR(__xludf.DUMMYFUNCTION("""COMPUTED_VALUE"""),"85o 25' 00""")</f>
        <v>85o 25' 00"</v>
      </c>
      <c r="L1477" s="2" t="str">
        <f>IFERROR(__xludf.DUMMYFUNCTION("""COMPUTED_VALUE"""),"85o 27' 00""")</f>
        <v>85o 27' 00"</v>
      </c>
      <c r="M1477" s="2" t="str">
        <f>IFERROR(__xludf.DUMMYFUNCTION("""COMPUTED_VALUE"""),"Talakhu (Nuwakot)")</f>
        <v>Talakhu (Nuwakot)</v>
      </c>
    </row>
    <row r="1478">
      <c r="A1478" s="2">
        <f>IFERROR(__xludf.DUMMYFUNCTION("""COMPUTED_VALUE"""),1477.0)</f>
        <v>1477</v>
      </c>
      <c r="B1478" s="2" t="str">
        <f>IFERROR(__xludf.DUMMYFUNCTION("""COMPUTED_VALUE"""),"Tara Khola Lower HPP")</f>
        <v>Tara Khola Lower HPP</v>
      </c>
      <c r="C1478" s="2">
        <f>IFERROR(__xludf.DUMMYFUNCTION("""COMPUTED_VALUE"""),2.9)</f>
        <v>2.9</v>
      </c>
      <c r="D1478" s="2" t="str">
        <f>IFERROR(__xludf.DUMMYFUNCTION("""COMPUTED_VALUE"""),"Tara Khola")</f>
        <v>Tara Khola</v>
      </c>
      <c r="E1478" s="2">
        <f>IFERROR(__xludf.DUMMYFUNCTION("""COMPUTED_VALUE"""),6453.0)</f>
        <v>6453</v>
      </c>
      <c r="F1478" s="3">
        <f>IFERROR(__xludf.DUMMYFUNCTION("""COMPUTED_VALUE"""),60985.0)</f>
        <v>60985</v>
      </c>
      <c r="G1478" s="2" t="str">
        <f>IFERROR(__xludf.DUMMYFUNCTION("""COMPUTED_VALUE"""),"Pahadi Hydropower Company Pvt Ltd")</f>
        <v>Pahadi Hydropower Company Pvt Ltd</v>
      </c>
      <c r="H1478" s="2" t="str">
        <f>IFERROR(__xludf.DUMMYFUNCTION("""COMPUTED_VALUE"""),"Shreenagar Chowk, Baglung")</f>
        <v>Shreenagar Chowk, Baglung</v>
      </c>
      <c r="I1478" s="2" t="str">
        <f>IFERROR(__xludf.DUMMYFUNCTION("""COMPUTED_VALUE"""),"28o 19' 29""")</f>
        <v>28o 19' 29"</v>
      </c>
      <c r="J1478" s="2" t="str">
        <f>IFERROR(__xludf.DUMMYFUNCTION("""COMPUTED_VALUE"""),"28o 27' 52""")</f>
        <v>28o 27' 52"</v>
      </c>
      <c r="K1478" s="2" t="str">
        <f>IFERROR(__xludf.DUMMYFUNCTION("""COMPUTED_VALUE"""),"83o 24' 16""")</f>
        <v>83o 24' 16"</v>
      </c>
      <c r="L1478" s="2" t="str">
        <f>IFERROR(__xludf.DUMMYFUNCTION("""COMPUTED_VALUE"""),"83o 25' 00""")</f>
        <v>83o 25' 00"</v>
      </c>
      <c r="M1478" s="2" t="str">
        <f>IFERROR(__xludf.DUMMYFUNCTION("""COMPUTED_VALUE"""),"Harichaur (Baglung)")</f>
        <v>Harichaur (Baglung)</v>
      </c>
    </row>
    <row r="1479">
      <c r="A1479" s="2">
        <f>IFERROR(__xludf.DUMMYFUNCTION("""COMPUTED_VALUE"""),1478.0)</f>
        <v>1478</v>
      </c>
      <c r="B1479" s="2" t="str">
        <f>IFERROR(__xludf.DUMMYFUNCTION("""COMPUTED_VALUE"""),"Chirkhuwa Khola HPP")</f>
        <v>Chirkhuwa Khola HPP</v>
      </c>
      <c r="C1479" s="2">
        <f>IFERROR(__xludf.DUMMYFUNCTION("""COMPUTED_VALUE"""),2.56)</f>
        <v>2.56</v>
      </c>
      <c r="D1479" s="2" t="str">
        <f>IFERROR(__xludf.DUMMYFUNCTION("""COMPUTED_VALUE"""),"Chirkhuwa")</f>
        <v>Chirkhuwa</v>
      </c>
      <c r="E1479" s="2">
        <f>IFERROR(__xludf.DUMMYFUNCTION("""COMPUTED_VALUE"""),6485.0)</f>
        <v>6485</v>
      </c>
      <c r="F1479" s="3">
        <f>IFERROR(__xludf.DUMMYFUNCTION("""COMPUTED_VALUE"""),60988.0)</f>
        <v>60988</v>
      </c>
      <c r="G1479" s="2" t="str">
        <f>IFERROR(__xludf.DUMMYFUNCTION("""COMPUTED_VALUE"""),"Khimlal Kafle")</f>
        <v>Khimlal Kafle</v>
      </c>
      <c r="H1479" s="2" t="str">
        <f>IFERROR(__xludf.DUMMYFUNCTION("""COMPUTED_VALUE"""),"Banasthali-16, Kathmandu Tel; 01-4880364")</f>
        <v>Banasthali-16, Kathmandu Tel; 01-4880364</v>
      </c>
      <c r="I1479" s="2" t="str">
        <f>IFERROR(__xludf.DUMMYFUNCTION("""COMPUTED_VALUE"""),"27o 21' 17""")</f>
        <v>27o 21' 17"</v>
      </c>
      <c r="J1479" s="2" t="str">
        <f>IFERROR(__xludf.DUMMYFUNCTION("""COMPUTED_VALUE"""),"27o 22' 30""")</f>
        <v>27o 22' 30"</v>
      </c>
      <c r="K1479" s="2" t="str">
        <f>IFERROR(__xludf.DUMMYFUNCTION("""COMPUTED_VALUE"""),"87o 05' 08""")</f>
        <v>87o 05' 08"</v>
      </c>
      <c r="L1479" s="2" t="str">
        <f>IFERROR(__xludf.DUMMYFUNCTION("""COMPUTED_VALUE"""),"87o 07' 10""")</f>
        <v>87o 07' 10"</v>
      </c>
      <c r="M1479" s="2" t="str">
        <f>IFERROR(__xludf.DUMMYFUNCTION("""COMPUTED_VALUE"""),"Mulpani,Nepaledada (Bhojpur)")</f>
        <v>Mulpani,Nepaledada (Bhojpur)</v>
      </c>
    </row>
    <row r="1480">
      <c r="A1480" s="2">
        <f>IFERROR(__xludf.DUMMYFUNCTION("""COMPUTED_VALUE"""),1479.0)</f>
        <v>1479</v>
      </c>
      <c r="B1480" s="2" t="str">
        <f>IFERROR(__xludf.DUMMYFUNCTION("""COMPUTED_VALUE"""),"Daram Khola HPP")</f>
        <v>Daram Khola HPP</v>
      </c>
      <c r="C1480" s="2">
        <f>IFERROR(__xludf.DUMMYFUNCTION("""COMPUTED_VALUE"""),7.0)</f>
        <v>7</v>
      </c>
      <c r="D1480" s="2" t="str">
        <f>IFERROR(__xludf.DUMMYFUNCTION("""COMPUTED_VALUE"""),"Daram")</f>
        <v>Daram</v>
      </c>
      <c r="E1480" s="2">
        <f>IFERROR(__xludf.DUMMYFUNCTION("""COMPUTED_VALUE"""),6493.0)</f>
        <v>6493</v>
      </c>
      <c r="F1480" s="3">
        <f>IFERROR(__xludf.DUMMYFUNCTION("""COMPUTED_VALUE"""),60989.0)</f>
        <v>60989</v>
      </c>
      <c r="G1480" s="2" t="str">
        <f>IFERROR(__xludf.DUMMYFUNCTION("""COMPUTED_VALUE"""),"Link International Energy Pvt Ltd")</f>
        <v>Link International Energy Pvt Ltd</v>
      </c>
      <c r="H1480" s="2" t="str">
        <f>IFERROR(__xludf.DUMMYFUNCTION("""COMPUTED_VALUE"""),"Kathmandu Municipality-10, Kathmandu, Tel: 4782273,9851015215")</f>
        <v>Kathmandu Municipality-10, Kathmandu, Tel: 4782273,9851015215</v>
      </c>
      <c r="I1480" s="2" t="str">
        <f>IFERROR(__xludf.DUMMYFUNCTION("""COMPUTED_VALUE"""),"28o 11' 00""")</f>
        <v>28o 11' 00"</v>
      </c>
      <c r="J1480" s="2" t="str">
        <f>IFERROR(__xludf.DUMMYFUNCTION("""COMPUTED_VALUE"""),"28o 12' 30""")</f>
        <v>28o 12' 30"</v>
      </c>
      <c r="K1480" s="2" t="str">
        <f>IFERROR(__xludf.DUMMYFUNCTION("""COMPUTED_VALUE"""),"83o 11' 00""")</f>
        <v>83o 11' 00"</v>
      </c>
      <c r="L1480" s="2" t="str">
        <f>IFERROR(__xludf.DUMMYFUNCTION("""COMPUTED_VALUE"""),"83o 22' 30""")</f>
        <v>83o 22' 30"</v>
      </c>
      <c r="M1480" s="2" t="str">
        <f>IFERROR(__xludf.DUMMYFUNCTION("""COMPUTED_VALUE"""),"Kandebas,Righa (Baglung)")</f>
        <v>Kandebas,Righa (Baglung)</v>
      </c>
    </row>
    <row r="1481">
      <c r="A1481" s="2">
        <f>IFERROR(__xludf.DUMMYFUNCTION("""COMPUTED_VALUE"""),1480.0)</f>
        <v>1480</v>
      </c>
      <c r="B1481" s="2" t="str">
        <f>IFERROR(__xludf.DUMMYFUNCTION("""COMPUTED_VALUE"""),"Upper Taman Khola HPP")</f>
        <v>Upper Taman Khola HPP</v>
      </c>
      <c r="C1481" s="2">
        <f>IFERROR(__xludf.DUMMYFUNCTION("""COMPUTED_VALUE"""),3.0)</f>
        <v>3</v>
      </c>
      <c r="D1481" s="2" t="str">
        <f>IFERROR(__xludf.DUMMYFUNCTION("""COMPUTED_VALUE"""),"Taman")</f>
        <v>Taman</v>
      </c>
      <c r="E1481" s="2">
        <f>IFERROR(__xludf.DUMMYFUNCTION("""COMPUTED_VALUE"""),6525.0)</f>
        <v>6525</v>
      </c>
      <c r="F1481" s="3">
        <f>IFERROR(__xludf.DUMMYFUNCTION("""COMPUTED_VALUE"""),60991.0)</f>
        <v>60991</v>
      </c>
      <c r="G1481" s="2" t="str">
        <f>IFERROR(__xludf.DUMMYFUNCTION("""COMPUTED_VALUE"""),"Bishnu Mani Acharya, Mrs. Radha Upreti")</f>
        <v>Bishnu Mani Acharya, Mrs. Radha Upreti</v>
      </c>
      <c r="H1481" s="2" t="str">
        <f>IFERROR(__xludf.DUMMYFUNCTION("""COMPUTED_VALUE"""),"Tinkune, Kathmandu Tel; 9841860701,5546792")</f>
        <v>Tinkune, Kathmandu Tel; 9841860701,5546792</v>
      </c>
      <c r="I1481" s="2" t="str">
        <f>IFERROR(__xludf.DUMMYFUNCTION("""COMPUTED_VALUE"""),"28o 23' 00""")</f>
        <v>28o 23' 00"</v>
      </c>
      <c r="J1481" s="2" t="str">
        <f>IFERROR(__xludf.DUMMYFUNCTION("""COMPUTED_VALUE"""),"28o 24' 00""")</f>
        <v>28o 24' 00"</v>
      </c>
      <c r="K1481" s="2" t="str">
        <f>IFERROR(__xludf.DUMMYFUNCTION("""COMPUTED_VALUE"""),"83o 12' 31""")</f>
        <v>83o 12' 31"</v>
      </c>
      <c r="L1481" s="2" t="str">
        <f>IFERROR(__xludf.DUMMYFUNCTION("""COMPUTED_VALUE"""),"83o 15' 00""")</f>
        <v>83o 15' 00"</v>
      </c>
      <c r="M1481" s="2" t="str">
        <f>IFERROR(__xludf.DUMMYFUNCTION("""COMPUTED_VALUE"""),"Bungadovan,Taman (Baglung)")</f>
        <v>Bungadovan,Taman (Baglung)</v>
      </c>
    </row>
    <row r="1482">
      <c r="A1482" s="2">
        <f>IFERROR(__xludf.DUMMYFUNCTION("""COMPUTED_VALUE"""),1481.0)</f>
        <v>1481</v>
      </c>
      <c r="B1482" s="2" t="str">
        <f>IFERROR(__xludf.DUMMYFUNCTION("""COMPUTED_VALUE"""),"Lukum Khola HPP")</f>
        <v>Lukum Khola HPP</v>
      </c>
      <c r="C1482" s="2">
        <f>IFERROR(__xludf.DUMMYFUNCTION("""COMPUTED_VALUE"""),5.0)</f>
        <v>5</v>
      </c>
      <c r="D1482" s="2" t="str">
        <f>IFERROR(__xludf.DUMMYFUNCTION("""COMPUTED_VALUE"""),"Lukum")</f>
        <v>Lukum</v>
      </c>
      <c r="E1482" s="2">
        <f>IFERROR(__xludf.DUMMYFUNCTION("""COMPUTED_VALUE"""),3544.0)</f>
        <v>3544</v>
      </c>
      <c r="F1482" s="3">
        <f>IFERROR(__xludf.DUMMYFUNCTION("""COMPUTED_VALUE"""),60992.0)</f>
        <v>60992</v>
      </c>
      <c r="G1482" s="2" t="str">
        <f>IFERROR(__xludf.DUMMYFUNCTION("""COMPUTED_VALUE"""),"Mina Rayamajhi")</f>
        <v>Mina Rayamajhi</v>
      </c>
      <c r="H1482" s="2" t="str">
        <f>IFERROR(__xludf.DUMMYFUNCTION("""COMPUTED_VALUE"""),"Hatigauda, Kathmandu Tel: 4266616, 9851001356")</f>
        <v>Hatigauda, Kathmandu Tel: 4266616, 9851001356</v>
      </c>
      <c r="I1482" s="2" t="str">
        <f>IFERROR(__xludf.DUMMYFUNCTION("""COMPUTED_VALUE"""),"28o 33' 20""")</f>
        <v>28o 33' 20"</v>
      </c>
      <c r="J1482" s="2" t="str">
        <f>IFERROR(__xludf.DUMMYFUNCTION("""COMPUTED_VALUE"""),"28o 33' 50""")</f>
        <v>28o 33' 50"</v>
      </c>
      <c r="K1482" s="2" t="str">
        <f>IFERROR(__xludf.DUMMYFUNCTION("""COMPUTED_VALUE"""),"82o 39' 00""")</f>
        <v>82o 39' 00"</v>
      </c>
      <c r="L1482" s="2" t="str">
        <f>IFERROR(__xludf.DUMMYFUNCTION("""COMPUTED_VALUE"""),"82o 41' 30""")</f>
        <v>82o 41' 30"</v>
      </c>
      <c r="M1482" s="2" t="str">
        <f>IFERROR(__xludf.DUMMYFUNCTION("""COMPUTED_VALUE"""),"Morawang (Rukum)")</f>
        <v>Morawang (Rukum)</v>
      </c>
    </row>
    <row r="1483">
      <c r="A1483" s="2">
        <f>IFERROR(__xludf.DUMMYFUNCTION("""COMPUTED_VALUE"""),1482.0)</f>
        <v>1482</v>
      </c>
      <c r="B1483" s="2" t="str">
        <f>IFERROR(__xludf.DUMMYFUNCTION("""COMPUTED_VALUE"""),"Lukum Khola HPP")</f>
        <v>Lukum Khola HPP</v>
      </c>
      <c r="C1483" s="2">
        <f>IFERROR(__xludf.DUMMYFUNCTION("""COMPUTED_VALUE"""),5.0)</f>
        <v>5</v>
      </c>
      <c r="D1483" s="2" t="str">
        <f>IFERROR(__xludf.DUMMYFUNCTION("""COMPUTED_VALUE"""),"Lukum")</f>
        <v>Lukum</v>
      </c>
      <c r="E1483" s="2">
        <f>IFERROR(__xludf.DUMMYFUNCTION("""COMPUTED_VALUE"""),3547.0)</f>
        <v>3547</v>
      </c>
      <c r="F1483" s="3">
        <f>IFERROR(__xludf.DUMMYFUNCTION("""COMPUTED_VALUE"""),60992.0)</f>
        <v>60992</v>
      </c>
      <c r="G1483" s="2" t="str">
        <f>IFERROR(__xludf.DUMMYFUNCTION("""COMPUTED_VALUE"""),"Ashmi Upadhyaya, Chun Ranabhat")</f>
        <v>Ashmi Upadhyaya, Chun Ranabhat</v>
      </c>
      <c r="H1483" s="2" t="str">
        <f>IFERROR(__xludf.DUMMYFUNCTION("""COMPUTED_VALUE"""),"Balaju, Kathmandu-16, Tel: 01-426616, 9851001356")</f>
        <v>Balaju, Kathmandu-16, Tel: 01-426616, 9851001356</v>
      </c>
      <c r="I1483" s="2" t="str">
        <f>IFERROR(__xludf.DUMMYFUNCTION("""COMPUTED_VALUE"""),"28o 33' 15""")</f>
        <v>28o 33' 15"</v>
      </c>
      <c r="J1483" s="2" t="str">
        <f>IFERROR(__xludf.DUMMYFUNCTION("""COMPUTED_VALUE"""),"28o 33' 20""")</f>
        <v>28o 33' 20"</v>
      </c>
      <c r="K1483" s="2" t="str">
        <f>IFERROR(__xludf.DUMMYFUNCTION("""COMPUTED_VALUE"""),"82o 41' 30""")</f>
        <v>82o 41' 30"</v>
      </c>
      <c r="L1483" s="2" t="str">
        <f>IFERROR(__xludf.DUMMYFUNCTION("""COMPUTED_VALUE"""),"82o 44' 20""")</f>
        <v>82o 44' 20"</v>
      </c>
      <c r="M1483" s="2" t="str">
        <f>IFERROR(__xludf.DUMMYFUNCTION("""COMPUTED_VALUE"""),"Rangsi (Rukum)")</f>
        <v>Rangsi (Rukum)</v>
      </c>
    </row>
    <row r="1484">
      <c r="A1484" s="2">
        <f>IFERROR(__xludf.DUMMYFUNCTION("""COMPUTED_VALUE"""),1483.0)</f>
        <v>1483</v>
      </c>
      <c r="B1484" s="2" t="str">
        <f>IFERROR(__xludf.DUMMYFUNCTION("""COMPUTED_VALUE"""),"Lukum Khola HPP")</f>
        <v>Lukum Khola HPP</v>
      </c>
      <c r="C1484" s="2">
        <f>IFERROR(__xludf.DUMMYFUNCTION("""COMPUTED_VALUE"""),5.0)</f>
        <v>5</v>
      </c>
      <c r="D1484" s="2" t="str">
        <f>IFERROR(__xludf.DUMMYFUNCTION("""COMPUTED_VALUE"""),"Lukum")</f>
        <v>Lukum</v>
      </c>
      <c r="E1484" s="2">
        <f>IFERROR(__xludf.DUMMYFUNCTION("""COMPUTED_VALUE"""),6545.0)</f>
        <v>6545</v>
      </c>
      <c r="F1484" s="3">
        <f>IFERROR(__xludf.DUMMYFUNCTION("""COMPUTED_VALUE"""),60992.0)</f>
        <v>60992</v>
      </c>
      <c r="G1484" s="2" t="str">
        <f>IFERROR(__xludf.DUMMYFUNCTION("""COMPUTED_VALUE"""),"Srimati Lavanya Basnet")</f>
        <v>Srimati Lavanya Basnet</v>
      </c>
      <c r="H1484" s="2" t="str">
        <f>IFERROR(__xludf.DUMMYFUNCTION("""COMPUTED_VALUE"""),"Battisputlai , Kathmandu Tel: 426616,9851001356")</f>
        <v>Battisputlai , Kathmandu Tel: 426616,9851001356</v>
      </c>
      <c r="I1484" s="2" t="str">
        <f>IFERROR(__xludf.DUMMYFUNCTION("""COMPUTED_VALUE"""),"28o 31' 00""")</f>
        <v>28o 31' 00"</v>
      </c>
      <c r="J1484" s="2" t="str">
        <f>IFERROR(__xludf.DUMMYFUNCTION("""COMPUTED_VALUE"""),"28o 33' 15""")</f>
        <v>28o 33' 15"</v>
      </c>
      <c r="K1484" s="2" t="str">
        <f>IFERROR(__xludf.DUMMYFUNCTION("""COMPUTED_VALUE"""),"82o 44' 20""")</f>
        <v>82o 44' 20"</v>
      </c>
      <c r="L1484" s="2" t="str">
        <f>IFERROR(__xludf.DUMMYFUNCTION("""COMPUTED_VALUE"""),"82o 48' 40""")</f>
        <v>82o 48' 40"</v>
      </c>
      <c r="M1484" s="2" t="str">
        <f>IFERROR(__xludf.DUMMYFUNCTION("""COMPUTED_VALUE"""),"Kankri (Rukum)")</f>
        <v>Kankri (Rukum)</v>
      </c>
    </row>
    <row r="1485">
      <c r="A1485" s="2">
        <f>IFERROR(__xludf.DUMMYFUNCTION("""COMPUTED_VALUE"""),1484.0)</f>
        <v>1484</v>
      </c>
      <c r="B1485" s="2" t="str">
        <f>IFERROR(__xludf.DUMMYFUNCTION("""COMPUTED_VALUE"""),"Lukum Khola HPP")</f>
        <v>Lukum Khola HPP</v>
      </c>
      <c r="C1485" s="2">
        <f>IFERROR(__xludf.DUMMYFUNCTION("""COMPUTED_VALUE"""),5.0)</f>
        <v>5</v>
      </c>
      <c r="D1485" s="2" t="str">
        <f>IFERROR(__xludf.DUMMYFUNCTION("""COMPUTED_VALUE"""),"Lukum")</f>
        <v>Lukum</v>
      </c>
      <c r="E1485" s="2">
        <f>IFERROR(__xludf.DUMMYFUNCTION("""COMPUTED_VALUE"""),6546.0)</f>
        <v>6546</v>
      </c>
      <c r="F1485" s="3">
        <f>IFERROR(__xludf.DUMMYFUNCTION("""COMPUTED_VALUE"""),60992.0)</f>
        <v>60992</v>
      </c>
      <c r="G1485" s="2" t="str">
        <f>IFERROR(__xludf.DUMMYFUNCTION("""COMPUTED_VALUE"""),"Sarlinda Basnet (karki)")</f>
        <v>Sarlinda Basnet (karki)</v>
      </c>
      <c r="H1485" s="2" t="str">
        <f>IFERROR(__xludf.DUMMYFUNCTION("""COMPUTED_VALUE"""),"Sanogaucharan, Baneswar, Kathmandu, Tel: 426616, 9851001356")</f>
        <v>Sanogaucharan, Baneswar, Kathmandu, Tel: 426616, 9851001356</v>
      </c>
      <c r="I1485" s="2" t="str">
        <f>IFERROR(__xludf.DUMMYFUNCTION("""COMPUTED_VALUE"""),"28o 29' 00""")</f>
        <v>28o 29' 00"</v>
      </c>
      <c r="J1485" s="2" t="str">
        <f>IFERROR(__xludf.DUMMYFUNCTION("""COMPUTED_VALUE"""),"28o 31' 00""")</f>
        <v>28o 31' 00"</v>
      </c>
      <c r="K1485" s="2" t="str">
        <f>IFERROR(__xludf.DUMMYFUNCTION("""COMPUTED_VALUE"""),"82o 48' 40""")</f>
        <v>82o 48' 40"</v>
      </c>
      <c r="L1485" s="2" t="str">
        <f>IFERROR(__xludf.DUMMYFUNCTION("""COMPUTED_VALUE"""),"82o 53' 30""")</f>
        <v>82o 53' 30"</v>
      </c>
      <c r="M1485" s="2" t="str">
        <f>IFERROR(__xludf.DUMMYFUNCTION("""COMPUTED_VALUE"""),"Kankri (Rukum)")</f>
        <v>Kankri (Rukum)</v>
      </c>
    </row>
    <row r="1486">
      <c r="A1486" s="2">
        <f>IFERROR(__xludf.DUMMYFUNCTION("""COMPUTED_VALUE"""),1485.0)</f>
        <v>1485</v>
      </c>
      <c r="B1486" s="2" t="str">
        <f>IFERROR(__xludf.DUMMYFUNCTION("""COMPUTED_VALUE"""),"Phadun Khola SHP")</f>
        <v>Phadun Khola SHP</v>
      </c>
      <c r="C1486" s="2">
        <f>IFERROR(__xludf.DUMMYFUNCTION("""COMPUTED_VALUE"""),0.5)</f>
        <v>0.5</v>
      </c>
      <c r="D1486" s="2" t="str">
        <f>IFERROR(__xludf.DUMMYFUNCTION("""COMPUTED_VALUE"""),"Phadun")</f>
        <v>Phadun</v>
      </c>
      <c r="E1486" s="2">
        <f>IFERROR(__xludf.DUMMYFUNCTION("""COMPUTED_VALUE"""),6554.0)</f>
        <v>6554</v>
      </c>
      <c r="F1486" s="3">
        <f>IFERROR(__xludf.DUMMYFUNCTION("""COMPUTED_VALUE"""),60992.0)</f>
        <v>60992</v>
      </c>
      <c r="G1486" s="2" t="str">
        <f>IFERROR(__xludf.DUMMYFUNCTION("""COMPUTED_VALUE"""),"Lumbini Engineering and Hydropower")</f>
        <v>Lumbini Engineering and Hydropower</v>
      </c>
      <c r="H1486" s="2" t="str">
        <f>IFERROR(__xludf.DUMMYFUNCTION("""COMPUTED_VALUE"""),"Kathmandu, Tel: 01-4287818")</f>
        <v>Kathmandu, Tel: 01-4287818</v>
      </c>
      <c r="I1486" s="2" t="str">
        <f>IFERROR(__xludf.DUMMYFUNCTION("""COMPUTED_VALUE"""),"27o 58' 20""")</f>
        <v>27o 58' 20"</v>
      </c>
      <c r="J1486" s="2" t="str">
        <f>IFERROR(__xludf.DUMMYFUNCTION("""COMPUTED_VALUE"""),"27o 58' 45""")</f>
        <v>27o 58' 45"</v>
      </c>
      <c r="K1486" s="2" t="str">
        <f>IFERROR(__xludf.DUMMYFUNCTION("""COMPUTED_VALUE"""),"85o 34' 45""")</f>
        <v>85o 34' 45"</v>
      </c>
      <c r="L1486" s="2" t="str">
        <f>IFERROR(__xludf.DUMMYFUNCTION("""COMPUTED_VALUE"""),"85o 36' 30""")</f>
        <v>85o 36' 30"</v>
      </c>
      <c r="M1486" s="2" t="str">
        <f>IFERROR(__xludf.DUMMYFUNCTION("""COMPUTED_VALUE"""),"Haibung (Sindhupalchok)")</f>
        <v>Haibung (Sindhupalchok)</v>
      </c>
    </row>
    <row r="1487">
      <c r="A1487" s="2">
        <f>IFERROR(__xludf.DUMMYFUNCTION("""COMPUTED_VALUE"""),1486.0)</f>
        <v>1486</v>
      </c>
      <c r="B1487" s="2" t="str">
        <f>IFERROR(__xludf.DUMMYFUNCTION("""COMPUTED_VALUE"""),"Upper Dordi HPP")</f>
        <v>Upper Dordi HPP</v>
      </c>
      <c r="C1487" s="2">
        <f>IFERROR(__xludf.DUMMYFUNCTION("""COMPUTED_VALUE"""),10.0)</f>
        <v>10</v>
      </c>
      <c r="D1487" s="2" t="str">
        <f>IFERROR(__xludf.DUMMYFUNCTION("""COMPUTED_VALUE"""),"Dordi")</f>
        <v>Dordi</v>
      </c>
      <c r="E1487" s="2">
        <f>IFERROR(__xludf.DUMMYFUNCTION("""COMPUTED_VALUE"""),6562.0)</f>
        <v>6562</v>
      </c>
      <c r="F1487" s="3">
        <f>IFERROR(__xludf.DUMMYFUNCTION("""COMPUTED_VALUE"""),60993.0)</f>
        <v>60993</v>
      </c>
      <c r="G1487" s="2" t="str">
        <f>IFERROR(__xludf.DUMMYFUNCTION("""COMPUTED_VALUE"""),"Ras Budha, P.N.Pandey, H.B.Pun")</f>
        <v>Ras Budha, P.N.Pandey, H.B.Pun</v>
      </c>
      <c r="H1487" s="2" t="str">
        <f>IFERROR(__xludf.DUMMYFUNCTION("""COMPUTED_VALUE"""),"Lalitpur Sub-metropolitan Municipality-5, Lalitpur, Tel: 9851051547")</f>
        <v>Lalitpur Sub-metropolitan Municipality-5, Lalitpur, Tel: 9851051547</v>
      </c>
      <c r="I1487" s="2" t="str">
        <f>IFERROR(__xludf.DUMMYFUNCTION("""COMPUTED_VALUE"""),"28o 20' 05""")</f>
        <v>28o 20' 05"</v>
      </c>
      <c r="J1487" s="2" t="str">
        <f>IFERROR(__xludf.DUMMYFUNCTION("""COMPUTED_VALUE"""),"28o 21' 54""")</f>
        <v>28o 21' 54"</v>
      </c>
      <c r="K1487" s="2" t="str">
        <f>IFERROR(__xludf.DUMMYFUNCTION("""COMPUTED_VALUE"""),"84o 35' 09""")</f>
        <v>84o 35' 09"</v>
      </c>
      <c r="L1487" s="2" t="str">
        <f>IFERROR(__xludf.DUMMYFUNCTION("""COMPUTED_VALUE"""),"84o 36' 50""")</f>
        <v>84o 36' 50"</v>
      </c>
      <c r="M1487" s="2" t="str">
        <f>IFERROR(__xludf.DUMMYFUNCTION("""COMPUTED_VALUE"""),"Dhodeni,Faleni (Lamjung)")</f>
        <v>Dhodeni,Faleni (Lamjung)</v>
      </c>
    </row>
    <row r="1488">
      <c r="A1488" s="2">
        <f>IFERROR(__xludf.DUMMYFUNCTION("""COMPUTED_VALUE"""),1487.0)</f>
        <v>1487</v>
      </c>
      <c r="B1488" s="2" t="str">
        <f>IFERROR(__xludf.DUMMYFUNCTION("""COMPUTED_VALUE"""),"Mai Cascade II HPP")</f>
        <v>Mai Cascade II HPP</v>
      </c>
      <c r="C1488" s="2">
        <f>IFERROR(__xludf.DUMMYFUNCTION("""COMPUTED_VALUE"""),3.5)</f>
        <v>3.5</v>
      </c>
      <c r="D1488" s="2" t="str">
        <f>IFERROR(__xludf.DUMMYFUNCTION("""COMPUTED_VALUE"""),"Mai Khola")</f>
        <v>Mai Khola</v>
      </c>
      <c r="E1488" s="2">
        <f>IFERROR(__xludf.DUMMYFUNCTION("""COMPUTED_VALUE"""),6538.0)</f>
        <v>6538</v>
      </c>
      <c r="F1488" s="2" t="str">
        <f>IFERROR(__xludf.DUMMYFUNCTION("""COMPUTED_VALUE"""),"2066-12-38")</f>
        <v>2066-12-38</v>
      </c>
      <c r="G1488" s="2" t="str">
        <f>IFERROR(__xludf.DUMMYFUNCTION("""COMPUTED_VALUE"""),"Sashi Karki")</f>
        <v>Sashi Karki</v>
      </c>
      <c r="H1488" s="2" t="str">
        <f>IFERROR(__xludf.DUMMYFUNCTION("""COMPUTED_VALUE"""),"Kathmandu, 9851085922")</f>
        <v>Kathmandu, 9851085922</v>
      </c>
      <c r="I1488" s="2" t="str">
        <f>IFERROR(__xludf.DUMMYFUNCTION("""COMPUTED_VALUE"""),"26o 50' 25""")</f>
        <v>26o 50' 25"</v>
      </c>
      <c r="J1488" s="2" t="str">
        <f>IFERROR(__xludf.DUMMYFUNCTION("""COMPUTED_VALUE"""),"26o 51' 39""")</f>
        <v>26o 51' 39"</v>
      </c>
      <c r="K1488" s="2" t="str">
        <f>IFERROR(__xludf.DUMMYFUNCTION("""COMPUTED_VALUE"""),"87o 54' 21""")</f>
        <v>87o 54' 21"</v>
      </c>
      <c r="L1488" s="2" t="str">
        <f>IFERROR(__xludf.DUMMYFUNCTION("""COMPUTED_VALUE"""),"87o 55' 05""")</f>
        <v>87o 55' 05"</v>
      </c>
      <c r="M1488" s="2" t="str">
        <f>IFERROR(__xludf.DUMMYFUNCTION("""COMPUTED_VALUE"""),"Chisapani (Ilam)")</f>
        <v>Chisapani (Ilam)</v>
      </c>
    </row>
    <row r="1489">
      <c r="A1489" s="2">
        <f>IFERROR(__xludf.DUMMYFUNCTION("""COMPUTED_VALUE"""),1488.0)</f>
        <v>1488</v>
      </c>
      <c r="B1489" s="2" t="str">
        <f>IFERROR(__xludf.DUMMYFUNCTION("""COMPUTED_VALUE"""),"Myagdi Khola HPP")</f>
        <v>Myagdi Khola HPP</v>
      </c>
      <c r="C1489" s="2">
        <f>IFERROR(__xludf.DUMMYFUNCTION("""COMPUTED_VALUE"""),14.0)</f>
        <v>14</v>
      </c>
      <c r="D1489" s="2" t="str">
        <f>IFERROR(__xludf.DUMMYFUNCTION("""COMPUTED_VALUE"""),"Myagdi Khola")</f>
        <v>Myagdi Khola</v>
      </c>
      <c r="E1489" s="2">
        <f>IFERROR(__xludf.DUMMYFUNCTION("""COMPUTED_VALUE"""),6613.0)</f>
        <v>6613</v>
      </c>
      <c r="F1489" s="3">
        <f>IFERROR(__xludf.DUMMYFUNCTION("""COMPUTED_VALUE"""),60999.0)</f>
        <v>60999</v>
      </c>
      <c r="G1489" s="2" t="str">
        <f>IFERROR(__xludf.DUMMYFUNCTION("""COMPUTED_VALUE"""),"Chuman Jung Shahi, Sabitri Sharma")</f>
        <v>Chuman Jung Shahi, Sabitri Sharma</v>
      </c>
      <c r="H1489" s="2" t="str">
        <f>IFERROR(__xludf.DUMMYFUNCTION("""COMPUTED_VALUE"""),"Sidh-1, Kaski Tel: 9851029029")</f>
        <v>Sidh-1, Kaski Tel: 9851029029</v>
      </c>
      <c r="I1489" s="2" t="str">
        <f>IFERROR(__xludf.DUMMYFUNCTION("""COMPUTED_VALUE"""),"28o 26' 31""")</f>
        <v>28o 26' 31"</v>
      </c>
      <c r="J1489" s="2" t="str">
        <f>IFERROR(__xludf.DUMMYFUNCTION("""COMPUTED_VALUE"""),"28o 29' 47""")</f>
        <v>28o 29' 47"</v>
      </c>
      <c r="K1489" s="2" t="str">
        <f>IFERROR(__xludf.DUMMYFUNCTION("""COMPUTED_VALUE"""),"83o 21' 24""")</f>
        <v>83o 21' 24"</v>
      </c>
      <c r="L1489" s="2" t="str">
        <f>IFERROR(__xludf.DUMMYFUNCTION("""COMPUTED_VALUE"""),"83o 23' 12""")</f>
        <v>83o 23' 12"</v>
      </c>
      <c r="M1489" s="2" t="str">
        <f>IFERROR(__xludf.DUMMYFUNCTION("""COMPUTED_VALUE"""),"Devisthan,Darwang,Marang,Mudi,Takam (Myagdi)")</f>
        <v>Devisthan,Darwang,Marang,Mudi,Takam (Myagdi)</v>
      </c>
    </row>
    <row r="1490">
      <c r="A1490" s="2">
        <f>IFERROR(__xludf.DUMMYFUNCTION("""COMPUTED_VALUE"""),1489.0)</f>
        <v>1489</v>
      </c>
      <c r="B1490" s="2" t="str">
        <f>IFERROR(__xludf.DUMMYFUNCTION("""COMPUTED_VALUE"""),"Phawa Khola SHP")</f>
        <v>Phawa Khola SHP</v>
      </c>
      <c r="C1490" s="2">
        <f>IFERROR(__xludf.DUMMYFUNCTION("""COMPUTED_VALUE"""),0.998)</f>
        <v>0.998</v>
      </c>
      <c r="D1490" s="2" t="str">
        <f>IFERROR(__xludf.DUMMYFUNCTION("""COMPUTED_VALUE"""),"Phawa Khola")</f>
        <v>Phawa Khola</v>
      </c>
      <c r="E1490" s="2">
        <f>IFERROR(__xludf.DUMMYFUNCTION("""COMPUTED_VALUE"""),6626.0)</f>
        <v>6626</v>
      </c>
      <c r="F1490" s="3">
        <f>IFERROR(__xludf.DUMMYFUNCTION("""COMPUTED_VALUE"""),60999.0)</f>
        <v>60999</v>
      </c>
      <c r="G1490" s="2" t="str">
        <f>IFERROR(__xludf.DUMMYFUNCTION("""COMPUTED_VALUE"""),"Taplejung Hydropower Company Ltd")</f>
        <v>Taplejung Hydropower Company Ltd</v>
      </c>
      <c r="H1490" s="2" t="str">
        <f>IFERROR(__xludf.DUMMYFUNCTION("""COMPUTED_VALUE"""),"Ghattekulo, Kathmandu Tel: 9841446222")</f>
        <v>Ghattekulo, Kathmandu Tel: 9841446222</v>
      </c>
      <c r="I1490" s="2" t="str">
        <f>IFERROR(__xludf.DUMMYFUNCTION("""COMPUTED_VALUE"""),"27o 22' 44""")</f>
        <v>27o 22' 44"</v>
      </c>
      <c r="J1490" s="2" t="str">
        <f>IFERROR(__xludf.DUMMYFUNCTION("""COMPUTED_VALUE"""),"27o 23' 52""")</f>
        <v>27o 23' 52"</v>
      </c>
      <c r="K1490" s="2" t="str">
        <f>IFERROR(__xludf.DUMMYFUNCTION("""COMPUTED_VALUE"""),"87o 46' 56""")</f>
        <v>87o 46' 56"</v>
      </c>
      <c r="L1490" s="2" t="str">
        <f>IFERROR(__xludf.DUMMYFUNCTION("""COMPUTED_VALUE"""),"87o 48' 15""")</f>
        <v>87o 48' 15"</v>
      </c>
      <c r="M1490" s="2" t="str">
        <f>IFERROR(__xludf.DUMMYFUNCTION("""COMPUTED_VALUE"""),"Sikaicha (Taplejung)")</f>
        <v>Sikaicha (Taplejung)</v>
      </c>
    </row>
    <row r="1491">
      <c r="A1491" s="2">
        <f>IFERROR(__xludf.DUMMYFUNCTION("""COMPUTED_VALUE"""),1490.0)</f>
        <v>1490</v>
      </c>
      <c r="B1491" s="2" t="str">
        <f>IFERROR(__xludf.DUMMYFUNCTION("""COMPUTED_VALUE"""),"Kiphran Khola SHP")</f>
        <v>Kiphran Khola SHP</v>
      </c>
      <c r="C1491" s="2">
        <f>IFERROR(__xludf.DUMMYFUNCTION("""COMPUTED_VALUE"""),0.99)</f>
        <v>0.99</v>
      </c>
      <c r="D1491" s="2" t="str">
        <f>IFERROR(__xludf.DUMMYFUNCTION("""COMPUTED_VALUE"""),"kiphran")</f>
        <v>kiphran</v>
      </c>
      <c r="E1491" s="2">
        <f>IFERROR(__xludf.DUMMYFUNCTION("""COMPUTED_VALUE"""),6644.0)</f>
        <v>6644</v>
      </c>
      <c r="F1491" s="3">
        <f>IFERROR(__xludf.DUMMYFUNCTION("""COMPUTED_VALUE"""),61002.0)</f>
        <v>61002</v>
      </c>
      <c r="G1491" s="2" t="str">
        <f>IFERROR(__xludf.DUMMYFUNCTION("""COMPUTED_VALUE"""),"Pramod Lama")</f>
        <v>Pramod Lama</v>
      </c>
      <c r="H1491" s="2" t="str">
        <f>IFERROR(__xludf.DUMMYFUNCTION("""COMPUTED_VALUE"""),"GPO Box: 1849, Kathmandu Tel: 4479665")</f>
        <v>GPO Box: 1849, Kathmandu Tel: 4479665</v>
      </c>
      <c r="I1491" s="2" t="str">
        <f>IFERROR(__xludf.DUMMYFUNCTION("""COMPUTED_VALUE"""),"27o 58' 31""")</f>
        <v>27o 58' 31"</v>
      </c>
      <c r="J1491" s="2" t="str">
        <f>IFERROR(__xludf.DUMMYFUNCTION("""COMPUTED_VALUE"""),"27o 59' 36""")</f>
        <v>27o 59' 36"</v>
      </c>
      <c r="K1491" s="2" t="str">
        <f>IFERROR(__xludf.DUMMYFUNCTION("""COMPUTED_VALUE"""),"85o 26' 37""")</f>
        <v>85o 26' 37"</v>
      </c>
      <c r="L1491" s="2" t="str">
        <f>IFERROR(__xludf.DUMMYFUNCTION("""COMPUTED_VALUE"""),"85o 28' 25""")</f>
        <v>85o 28' 25"</v>
      </c>
      <c r="M1491" s="2" t="str">
        <f>IFERROR(__xludf.DUMMYFUNCTION("""COMPUTED_VALUE"""),"Dhyangphedi (Nuwakot)")</f>
        <v>Dhyangphedi (Nuwakot)</v>
      </c>
    </row>
    <row r="1492">
      <c r="A1492" s="2">
        <f>IFERROR(__xludf.DUMMYFUNCTION("""COMPUTED_VALUE"""),1491.0)</f>
        <v>1491</v>
      </c>
      <c r="B1492" s="2" t="str">
        <f>IFERROR(__xludf.DUMMYFUNCTION("""COMPUTED_VALUE"""),"Tadi Khola SHP")</f>
        <v>Tadi Khola SHP</v>
      </c>
      <c r="C1492" s="2">
        <f>IFERROR(__xludf.DUMMYFUNCTION("""COMPUTED_VALUE"""),0.99)</f>
        <v>0.99</v>
      </c>
      <c r="D1492" s="2" t="str">
        <f>IFERROR(__xludf.DUMMYFUNCTION("""COMPUTED_VALUE"""),"Tadi Khola")</f>
        <v>Tadi Khola</v>
      </c>
      <c r="E1492" s="2">
        <f>IFERROR(__xludf.DUMMYFUNCTION("""COMPUTED_VALUE"""),6645.0)</f>
        <v>6645</v>
      </c>
      <c r="F1492" s="3">
        <f>IFERROR(__xludf.DUMMYFUNCTION("""COMPUTED_VALUE"""),61002.0)</f>
        <v>61002</v>
      </c>
      <c r="G1492" s="2" t="str">
        <f>IFERROR(__xludf.DUMMYFUNCTION("""COMPUTED_VALUE"""),"Paslang Lama")</f>
        <v>Paslang Lama</v>
      </c>
      <c r="H1492" s="2" t="str">
        <f>IFERROR(__xludf.DUMMYFUNCTION("""COMPUTED_VALUE"""),"GPO Box: 1849, Kathmandu Tel: 4821745")</f>
        <v>GPO Box: 1849, Kathmandu Tel: 4821745</v>
      </c>
      <c r="I1492" s="2" t="str">
        <f>IFERROR(__xludf.DUMMYFUNCTION("""COMPUTED_VALUE"""),"28o 00' 40""")</f>
        <v>28o 00' 40"</v>
      </c>
      <c r="J1492" s="2" t="str">
        <f>IFERROR(__xludf.DUMMYFUNCTION("""COMPUTED_VALUE"""),"28o 02' 50""")</f>
        <v>28o 02' 50"</v>
      </c>
      <c r="K1492" s="2" t="str">
        <f>IFERROR(__xludf.DUMMYFUNCTION("""COMPUTED_VALUE"""),"85o 26' 36""")</f>
        <v>85o 26' 36"</v>
      </c>
      <c r="L1492" s="2" t="str">
        <f>IFERROR(__xludf.DUMMYFUNCTION("""COMPUTED_VALUE"""),"85o 28' 27""")</f>
        <v>85o 28' 27"</v>
      </c>
      <c r="M1492" s="2" t="str">
        <f>IFERROR(__xludf.DUMMYFUNCTION("""COMPUTED_VALUE"""),"Dhyangphedi (Nuwakot)")</f>
        <v>Dhyangphedi (Nuwakot)</v>
      </c>
    </row>
    <row r="1493">
      <c r="A1493" s="2">
        <f>IFERROR(__xludf.DUMMYFUNCTION("""COMPUTED_VALUE"""),1492.0)</f>
        <v>1492</v>
      </c>
      <c r="B1493" s="2" t="str">
        <f>IFERROR(__xludf.DUMMYFUNCTION("""COMPUTED_VALUE"""),"Jyagdi Khola HPP")</f>
        <v>Jyagdi Khola HPP</v>
      </c>
      <c r="C1493" s="2">
        <f>IFERROR(__xludf.DUMMYFUNCTION("""COMPUTED_VALUE"""),2.25)</f>
        <v>2.25</v>
      </c>
      <c r="D1493" s="2" t="str">
        <f>IFERROR(__xludf.DUMMYFUNCTION("""COMPUTED_VALUE"""),"Jyagdi")</f>
        <v>Jyagdi</v>
      </c>
      <c r="E1493" s="2">
        <f>IFERROR(__xludf.DUMMYFUNCTION("""COMPUTED_VALUE"""),6653.0)</f>
        <v>6653</v>
      </c>
      <c r="F1493" s="3">
        <f>IFERROR(__xludf.DUMMYFUNCTION("""COMPUTED_VALUE"""),61002.0)</f>
        <v>61002</v>
      </c>
      <c r="G1493" s="2" t="str">
        <f>IFERROR(__xludf.DUMMYFUNCTION("""COMPUTED_VALUE"""),"Blue River Power Co.Pvt Ltd")</f>
        <v>Blue River Power Co.Pvt Ltd</v>
      </c>
      <c r="H1493" s="2" t="str">
        <f>IFERROR(__xludf.DUMMYFUNCTION("""COMPUTED_VALUE"""),"Lalitpur Sub-metropolitan Municipality-2, Lalitpur, Tel: 9851020919")</f>
        <v>Lalitpur Sub-metropolitan Municipality-2, Lalitpur, Tel: 9851020919</v>
      </c>
      <c r="I1493" s="2" t="str">
        <f>IFERROR(__xludf.DUMMYFUNCTION("""COMPUTED_VALUE"""),"27o 58' 26""")</f>
        <v>27o 58' 26"</v>
      </c>
      <c r="J1493" s="2" t="str">
        <f>IFERROR(__xludf.DUMMYFUNCTION("""COMPUTED_VALUE"""),"27o 59' 10""")</f>
        <v>27o 59' 10"</v>
      </c>
      <c r="K1493" s="2" t="str">
        <f>IFERROR(__xludf.DUMMYFUNCTION("""COMPUTED_VALUE"""),"84o 01' 49""")</f>
        <v>84o 01' 49"</v>
      </c>
      <c r="L1493" s="2" t="str">
        <f>IFERROR(__xludf.DUMMYFUNCTION("""COMPUTED_VALUE"""),"84o 03' 39""")</f>
        <v>84o 03' 39"</v>
      </c>
      <c r="M1493" s="2" t="str">
        <f>IFERROR(__xludf.DUMMYFUNCTION("""COMPUTED_VALUE"""),"Arunodaya,Bhanumati (Tanahu)")</f>
        <v>Arunodaya,Bhanumati (Tanahu)</v>
      </c>
    </row>
    <row r="1494">
      <c r="A1494" s="2">
        <f>IFERROR(__xludf.DUMMYFUNCTION("""COMPUTED_VALUE"""),1493.0)</f>
        <v>1493</v>
      </c>
      <c r="B1494" s="2" t="str">
        <f>IFERROR(__xludf.DUMMYFUNCTION("""COMPUTED_VALUE"""),"Dhad Khola SHP")</f>
        <v>Dhad Khola SHP</v>
      </c>
      <c r="C1494" s="2">
        <f>IFERROR(__xludf.DUMMYFUNCTION("""COMPUTED_VALUE"""),0.895)</f>
        <v>0.895</v>
      </c>
      <c r="D1494" s="2" t="str">
        <f>IFERROR(__xludf.DUMMYFUNCTION("""COMPUTED_VALUE"""),"Dhad")</f>
        <v>Dhad</v>
      </c>
      <c r="E1494" s="2">
        <f>IFERROR(__xludf.DUMMYFUNCTION("""COMPUTED_VALUE"""),6685.0)</f>
        <v>6685</v>
      </c>
      <c r="F1494" s="3">
        <f>IFERROR(__xludf.DUMMYFUNCTION("""COMPUTED_VALUE"""),61004.0)</f>
        <v>61004</v>
      </c>
      <c r="G1494" s="2" t="str">
        <f>IFERROR(__xludf.DUMMYFUNCTION("""COMPUTED_VALUE"""),"Uttam Nirman Sewa")</f>
        <v>Uttam Nirman Sewa</v>
      </c>
      <c r="H1494" s="2" t="str">
        <f>IFERROR(__xludf.DUMMYFUNCTION("""COMPUTED_VALUE"""),"Ghansikuwa-1, Tanhu Tel: 065-560901,9856028703")</f>
        <v>Ghansikuwa-1, Tanhu Tel: 065-560901,9856028703</v>
      </c>
      <c r="I1494" s="2" t="str">
        <f>IFERROR(__xludf.DUMMYFUNCTION("""COMPUTED_VALUE"""),"27o 52' 40""")</f>
        <v>27o 52' 40"</v>
      </c>
      <c r="J1494" s="2" t="str">
        <f>IFERROR(__xludf.DUMMYFUNCTION("""COMPUTED_VALUE"""),"27o 53' 46""")</f>
        <v>27o 53' 46"</v>
      </c>
      <c r="K1494" s="2" t="str">
        <f>IFERROR(__xludf.DUMMYFUNCTION("""COMPUTED_VALUE"""),"84o 21' 02""")</f>
        <v>84o 21' 02"</v>
      </c>
      <c r="L1494" s="2" t="str">
        <f>IFERROR(__xludf.DUMMYFUNCTION("""COMPUTED_VALUE"""),"84o 21' 43""")</f>
        <v>84o 21' 43"</v>
      </c>
      <c r="M1494" s="2" t="str">
        <f>IFERROR(__xludf.DUMMYFUNCTION("""COMPUTED_VALUE"""),"Kesavtar (Tanahu)")</f>
        <v>Kesavtar (Tanahu)</v>
      </c>
    </row>
    <row r="1495">
      <c r="A1495" s="2">
        <f>IFERROR(__xludf.DUMMYFUNCTION("""COMPUTED_VALUE"""),1494.0)</f>
        <v>1494</v>
      </c>
      <c r="B1495" s="2" t="str">
        <f>IFERROR(__xludf.DUMMYFUNCTION("""COMPUTED_VALUE"""),"Khadam Khola SHP")</f>
        <v>Khadam Khola SHP</v>
      </c>
      <c r="C1495" s="2">
        <f>IFERROR(__xludf.DUMMYFUNCTION("""COMPUTED_VALUE"""),0.98)</f>
        <v>0.98</v>
      </c>
      <c r="D1495" s="2" t="str">
        <f>IFERROR(__xludf.DUMMYFUNCTION("""COMPUTED_VALUE"""),"Khadam")</f>
        <v>Khadam</v>
      </c>
      <c r="E1495" s="2">
        <f>IFERROR(__xludf.DUMMYFUNCTION("""COMPUTED_VALUE"""),6691.0)</f>
        <v>6691</v>
      </c>
      <c r="F1495" s="3">
        <f>IFERROR(__xludf.DUMMYFUNCTION("""COMPUTED_VALUE"""),61004.0)</f>
        <v>61004</v>
      </c>
      <c r="G1495" s="2" t="str">
        <f>IFERROR(__xludf.DUMMYFUNCTION("""COMPUTED_VALUE"""),"Abiral Hydropower Company Pvt Ltd")</f>
        <v>Abiral Hydropower Company Pvt Ltd</v>
      </c>
      <c r="H1495" s="2" t="str">
        <f>IFERROR(__xludf.DUMMYFUNCTION("""COMPUTED_VALUE"""),"Urlawari-4, Morang Tel: 9851097371")</f>
        <v>Urlawari-4, Morang Tel: 9851097371</v>
      </c>
      <c r="I1495" s="2" t="str">
        <f>IFERROR(__xludf.DUMMYFUNCTION("""COMPUTED_VALUE"""),"26o 47' 00""")</f>
        <v>26o 47' 00"</v>
      </c>
      <c r="J1495" s="2" t="str">
        <f>IFERROR(__xludf.DUMMYFUNCTION("""COMPUTED_VALUE"""),"26o 48' 32""")</f>
        <v>26o 48' 32"</v>
      </c>
      <c r="K1495" s="2" t="str">
        <f>IFERROR(__xludf.DUMMYFUNCTION("""COMPUTED_VALUE"""),"87o 23' 45""")</f>
        <v>87o 23' 45"</v>
      </c>
      <c r="L1495" s="2" t="str">
        <f>IFERROR(__xludf.DUMMYFUNCTION("""COMPUTED_VALUE"""),"87o 26' 00""")</f>
        <v>87o 26' 00"</v>
      </c>
      <c r="M1495" s="2" t="str">
        <f>IFERROR(__xludf.DUMMYFUNCTION("""COMPUTED_VALUE"""),"Yangshila (Morang)")</f>
        <v>Yangshila (Morang)</v>
      </c>
    </row>
    <row r="1496">
      <c r="A1496" s="2">
        <f>IFERROR(__xludf.DUMMYFUNCTION("""COMPUTED_VALUE"""),1495.0)</f>
        <v>1495</v>
      </c>
      <c r="B1496" s="2" t="str">
        <f>IFERROR(__xludf.DUMMYFUNCTION("""COMPUTED_VALUE"""),"Upper sapsu SHP")</f>
        <v>Upper sapsu SHP</v>
      </c>
      <c r="C1496" s="2">
        <f>IFERROR(__xludf.DUMMYFUNCTION("""COMPUTED_VALUE"""),0.839)</f>
        <v>0.839</v>
      </c>
      <c r="D1496" s="2" t="str">
        <f>IFERROR(__xludf.DUMMYFUNCTION("""COMPUTED_VALUE"""),"Sapsu")</f>
        <v>Sapsu</v>
      </c>
      <c r="E1496" s="2">
        <f>IFERROR(__xludf.DUMMYFUNCTION("""COMPUTED_VALUE"""),6693.0)</f>
        <v>6693</v>
      </c>
      <c r="F1496" s="3">
        <f>IFERROR(__xludf.DUMMYFUNCTION("""COMPUTED_VALUE"""),61004.0)</f>
        <v>61004</v>
      </c>
      <c r="G1496" s="2" t="str">
        <f>IFERROR(__xludf.DUMMYFUNCTION("""COMPUTED_VALUE"""),"G.B.Gurung,")</f>
        <v>G.B.Gurung,</v>
      </c>
      <c r="H1496" s="2" t="str">
        <f>IFERROR(__xludf.DUMMYFUNCTION("""COMPUTED_VALUE"""),"Chiuri Danda VDC-4, Khotang Tel: 9841396670")</f>
        <v>Chiuri Danda VDC-4, Khotang Tel: 9841396670</v>
      </c>
      <c r="I1496" s="2" t="str">
        <f>IFERROR(__xludf.DUMMYFUNCTION("""COMPUTED_VALUE"""),"27o 11' 26""")</f>
        <v>27o 11' 26"</v>
      </c>
      <c r="J1496" s="2" t="str">
        <f>IFERROR(__xludf.DUMMYFUNCTION("""COMPUTED_VALUE"""),"27o 14' 02""")</f>
        <v>27o 14' 02"</v>
      </c>
      <c r="K1496" s="2" t="str">
        <f>IFERROR(__xludf.DUMMYFUNCTION("""COMPUTED_VALUE"""),"86o 52' 30""")</f>
        <v>86o 52' 30"</v>
      </c>
      <c r="L1496" s="2" t="str">
        <f>IFERROR(__xludf.DUMMYFUNCTION("""COMPUTED_VALUE"""),"86o 54' 34""")</f>
        <v>86o 54' 34"</v>
      </c>
      <c r="M1496" s="2" t="str">
        <f>IFERROR(__xludf.DUMMYFUNCTION("""COMPUTED_VALUE"""),"Chyandada,Nirmalidada (Khotang)")</f>
        <v>Chyandada,Nirmalidada (Khotang)</v>
      </c>
    </row>
    <row r="1497">
      <c r="A1497" s="2">
        <f>IFERROR(__xludf.DUMMYFUNCTION("""COMPUTED_VALUE"""),1496.0)</f>
        <v>1496</v>
      </c>
      <c r="B1497" s="2" t="str">
        <f>IFERROR(__xludf.DUMMYFUNCTION("""COMPUTED_VALUE"""),"Middle Sapsu SHP")</f>
        <v>Middle Sapsu SHP</v>
      </c>
      <c r="C1497" s="2">
        <f>IFERROR(__xludf.DUMMYFUNCTION("""COMPUTED_VALUE"""),0.936)</f>
        <v>0.936</v>
      </c>
      <c r="D1497" s="2" t="str">
        <f>IFERROR(__xludf.DUMMYFUNCTION("""COMPUTED_VALUE"""),"Sapsu")</f>
        <v>Sapsu</v>
      </c>
      <c r="E1497" s="2">
        <f>IFERROR(__xludf.DUMMYFUNCTION("""COMPUTED_VALUE"""),6694.0)</f>
        <v>6694</v>
      </c>
      <c r="F1497" s="3">
        <f>IFERROR(__xludf.DUMMYFUNCTION("""COMPUTED_VALUE"""),61004.0)</f>
        <v>61004</v>
      </c>
      <c r="G1497" s="2" t="str">
        <f>IFERROR(__xludf.DUMMYFUNCTION("""COMPUTED_VALUE"""),"Sujata Gurung, Man Bahadur Magar")</f>
        <v>Sujata Gurung, Man Bahadur Magar</v>
      </c>
      <c r="H1497" s="2" t="str">
        <f>IFERROR(__xludf.DUMMYFUNCTION("""COMPUTED_VALUE"""),"Nerpa-8, Khotang Tel: 9751004553")</f>
        <v>Nerpa-8, Khotang Tel: 9751004553</v>
      </c>
      <c r="I1497" s="2" t="str">
        <f>IFERROR(__xludf.DUMMYFUNCTION("""COMPUTED_VALUE"""),"27o 09' 32""")</f>
        <v>27o 09' 32"</v>
      </c>
      <c r="J1497" s="2" t="str">
        <f>IFERROR(__xludf.DUMMYFUNCTION("""COMPUTED_VALUE"""),"27o 10' 47""")</f>
        <v>27o 10' 47"</v>
      </c>
      <c r="K1497" s="2" t="str">
        <f>IFERROR(__xludf.DUMMYFUNCTION("""COMPUTED_VALUE"""),"86o 48' 20""")</f>
        <v>86o 48' 20"</v>
      </c>
      <c r="L1497" s="2" t="str">
        <f>IFERROR(__xludf.DUMMYFUNCTION("""COMPUTED_VALUE"""),"86o 49' 30""")</f>
        <v>86o 49' 30"</v>
      </c>
      <c r="M1497" s="2" t="str">
        <f>IFERROR(__xludf.DUMMYFUNCTION("""COMPUTED_VALUE"""),"Matfim Birta,Lafwang (Khotang)")</f>
        <v>Matfim Birta,Lafwang (Khotang)</v>
      </c>
    </row>
    <row r="1498">
      <c r="A1498" s="2">
        <f>IFERROR(__xludf.DUMMYFUNCTION("""COMPUTED_VALUE"""),1497.0)</f>
        <v>1497</v>
      </c>
      <c r="B1498" s="2" t="str">
        <f>IFERROR(__xludf.DUMMYFUNCTION("""COMPUTED_VALUE"""),"Lapse Khola SHP")</f>
        <v>Lapse Khola SHP</v>
      </c>
      <c r="C1498" s="2">
        <f>IFERROR(__xludf.DUMMYFUNCTION("""COMPUTED_VALUE"""),0.703)</f>
        <v>0.703</v>
      </c>
      <c r="D1498" s="2" t="str">
        <f>IFERROR(__xludf.DUMMYFUNCTION("""COMPUTED_VALUE"""),"Lapse")</f>
        <v>Lapse</v>
      </c>
      <c r="E1498" s="2">
        <f>IFERROR(__xludf.DUMMYFUNCTION("""COMPUTED_VALUE"""),6695.0)</f>
        <v>6695</v>
      </c>
      <c r="F1498" s="3">
        <f>IFERROR(__xludf.DUMMYFUNCTION("""COMPUTED_VALUE"""),61004.0)</f>
        <v>61004</v>
      </c>
      <c r="G1498" s="2" t="str">
        <f>IFERROR(__xludf.DUMMYFUNCTION("""COMPUTED_VALUE"""),"Madan Gurung")</f>
        <v>Madan Gurung</v>
      </c>
      <c r="H1498" s="2" t="str">
        <f>IFERROR(__xludf.DUMMYFUNCTION("""COMPUTED_VALUE"""),"Chiuri Danda VDC-4, Khotang Tel: 9841414335,4480423")</f>
        <v>Chiuri Danda VDC-4, Khotang Tel: 9841414335,4480423</v>
      </c>
      <c r="I1498" s="2" t="str">
        <f>IFERROR(__xludf.DUMMYFUNCTION("""COMPUTED_VALUE"""),"00o 00' 00""")</f>
        <v>00o 00' 00"</v>
      </c>
      <c r="J1498" s="2" t="str">
        <f>IFERROR(__xludf.DUMMYFUNCTION("""COMPUTED_VALUE"""),"27o 11' 52""")</f>
        <v>27o 11' 52"</v>
      </c>
      <c r="K1498" s="2" t="str">
        <f>IFERROR(__xludf.DUMMYFUNCTION("""COMPUTED_VALUE"""),"00o 00' 00""")</f>
        <v>00o 00' 00"</v>
      </c>
      <c r="L1498" s="2" t="str">
        <f>IFERROR(__xludf.DUMMYFUNCTION("""COMPUTED_VALUE"""),"00o 00' 00""")</f>
        <v>00o 00' 00"</v>
      </c>
      <c r="M1498" s="2" t="str">
        <f>IFERROR(__xludf.DUMMYFUNCTION("""COMPUTED_VALUE"""),"Nirmalidada (Khotang)")</f>
        <v>Nirmalidada (Khotang)</v>
      </c>
    </row>
    <row r="1499">
      <c r="A1499" s="2">
        <f>IFERROR(__xludf.DUMMYFUNCTION("""COMPUTED_VALUE"""),1498.0)</f>
        <v>1498</v>
      </c>
      <c r="B1499" s="2" t="str">
        <f>IFERROR(__xludf.DUMMYFUNCTION("""COMPUTED_VALUE"""),"Daraundi Khola SHP")</f>
        <v>Daraundi Khola SHP</v>
      </c>
      <c r="C1499" s="2">
        <f>IFERROR(__xludf.DUMMYFUNCTION("""COMPUTED_VALUE"""),0.998)</f>
        <v>0.998</v>
      </c>
      <c r="D1499" s="2" t="str">
        <f>IFERROR(__xludf.DUMMYFUNCTION("""COMPUTED_VALUE"""),"Daraundi")</f>
        <v>Daraundi</v>
      </c>
      <c r="E1499" s="2">
        <f>IFERROR(__xludf.DUMMYFUNCTION("""COMPUTED_VALUE"""),6735.0)</f>
        <v>6735</v>
      </c>
      <c r="F1499" s="3">
        <f>IFERROR(__xludf.DUMMYFUNCTION("""COMPUTED_VALUE"""),61006.0)</f>
        <v>61006</v>
      </c>
      <c r="G1499" s="2" t="str">
        <f>IFERROR(__xludf.DUMMYFUNCTION("""COMPUTED_VALUE"""),"Om Prasad Bhattarai")</f>
        <v>Om Prasad Bhattarai</v>
      </c>
      <c r="H1499" s="2" t="str">
        <f>IFERROR(__xludf.DUMMYFUNCTION("""COMPUTED_VALUE"""),"Mahepi-16, Kathmandu, Nepal Tel: 9851057424")</f>
        <v>Mahepi-16, Kathmandu, Nepal Tel: 9851057424</v>
      </c>
      <c r="I1499" s="2" t="str">
        <f>IFERROR(__xludf.DUMMYFUNCTION("""COMPUTED_VALUE"""),"27o 54' 20""")</f>
        <v>27o 54' 20"</v>
      </c>
      <c r="J1499" s="2" t="str">
        <f>IFERROR(__xludf.DUMMYFUNCTION("""COMPUTED_VALUE"""),"27o 55' 00""")</f>
        <v>27o 55' 00"</v>
      </c>
      <c r="K1499" s="2" t="str">
        <f>IFERROR(__xludf.DUMMYFUNCTION("""COMPUTED_VALUE"""),"84o 31' 08""")</f>
        <v>84o 31' 08"</v>
      </c>
      <c r="L1499" s="2" t="str">
        <f>IFERROR(__xludf.DUMMYFUNCTION("""COMPUTED_VALUE"""),"84o 35' 00""")</f>
        <v>84o 35' 00"</v>
      </c>
      <c r="M1499" s="2" t="str">
        <f>IFERROR(__xludf.DUMMYFUNCTION("""COMPUTED_VALUE"""),"Manakamana (Gorkha)")</f>
        <v>Manakamana (Gorkha)</v>
      </c>
    </row>
    <row r="1500">
      <c r="A1500" s="2">
        <f>IFERROR(__xludf.DUMMYFUNCTION("""COMPUTED_VALUE"""),1499.0)</f>
        <v>1499</v>
      </c>
      <c r="B1500" s="2" t="str">
        <f>IFERROR(__xludf.DUMMYFUNCTION("""COMPUTED_VALUE"""),"Chameliya Hydropower Project")</f>
        <v>Chameliya Hydropower Project</v>
      </c>
      <c r="C1500" s="2">
        <f>IFERROR(__xludf.DUMMYFUNCTION("""COMPUTED_VALUE"""),10.0)</f>
        <v>10</v>
      </c>
      <c r="D1500" s="2" t="str">
        <f>IFERROR(__xludf.DUMMYFUNCTION("""COMPUTED_VALUE"""),"Chameliya Khola")</f>
        <v>Chameliya Khola</v>
      </c>
      <c r="E1500" s="2">
        <f>IFERROR(__xludf.DUMMYFUNCTION("""COMPUTED_VALUE"""),6761.0)</f>
        <v>6761</v>
      </c>
      <c r="F1500" s="3">
        <f>IFERROR(__xludf.DUMMYFUNCTION("""COMPUTED_VALUE"""),61009.0)</f>
        <v>61009</v>
      </c>
      <c r="G1500" s="2" t="str">
        <f>IFERROR(__xludf.DUMMYFUNCTION("""COMPUTED_VALUE"""),"Ramesh Subedi")</f>
        <v>Ramesh Subedi</v>
      </c>
      <c r="H1500" s="2" t="str">
        <f>IFERROR(__xludf.DUMMYFUNCTION("""COMPUTED_VALUE"""),"Arkhale, Jitpur-2, Tel: Dhankuta Tel; 9841905628")</f>
        <v>Arkhale, Jitpur-2, Tel: Dhankuta Tel; 9841905628</v>
      </c>
      <c r="I1500" s="2" t="str">
        <f>IFERROR(__xludf.DUMMYFUNCTION("""COMPUTED_VALUE"""),"29o 38' 08""")</f>
        <v>29o 38' 08"</v>
      </c>
      <c r="J1500" s="2" t="str">
        <f>IFERROR(__xludf.DUMMYFUNCTION("""COMPUTED_VALUE"""),"29o 40' 00""")</f>
        <v>29o 40' 00"</v>
      </c>
      <c r="K1500" s="2" t="str">
        <f>IFERROR(__xludf.DUMMYFUNCTION("""COMPUTED_VALUE"""),"80o 30' 55""")</f>
        <v>80o 30' 55"</v>
      </c>
      <c r="L1500" s="2" t="str">
        <f>IFERROR(__xludf.DUMMYFUNCTION("""COMPUTED_VALUE"""),"80o 33' 00""")</f>
        <v>80o 33' 00"</v>
      </c>
      <c r="M1500" s="2" t="str">
        <f>IFERROR(__xludf.DUMMYFUNCTION("""COMPUTED_VALUE"""),"Gokuleswor (Baitadi) Rithachaupata (Darchula)")</f>
        <v>Gokuleswor (Baitadi) Rithachaupata (Darchula)</v>
      </c>
    </row>
    <row r="1501">
      <c r="A1501" s="2">
        <f>IFERROR(__xludf.DUMMYFUNCTION("""COMPUTED_VALUE"""),1500.0)</f>
        <v>1500</v>
      </c>
      <c r="B1501" s="2" t="str">
        <f>IFERROR(__xludf.DUMMYFUNCTION("""COMPUTED_VALUE"""),"Gorandi Small HPP")</f>
        <v>Gorandi Small HPP</v>
      </c>
      <c r="C1501" s="2">
        <f>IFERROR(__xludf.DUMMYFUNCTION("""COMPUTED_VALUE"""),0.996)</f>
        <v>0.996</v>
      </c>
      <c r="D1501" s="2" t="str">
        <f>IFERROR(__xludf.DUMMYFUNCTION("""COMPUTED_VALUE"""),"Karnali")</f>
        <v>Karnali</v>
      </c>
      <c r="E1501" s="2">
        <f>IFERROR(__xludf.DUMMYFUNCTION("""COMPUTED_VALUE"""),6763.0)</f>
        <v>6763</v>
      </c>
      <c r="F1501" s="3">
        <f>IFERROR(__xludf.DUMMYFUNCTION("""COMPUTED_VALUE"""),61010.0)</f>
        <v>61010</v>
      </c>
      <c r="G1501" s="2" t="str">
        <f>IFERROR(__xludf.DUMMYFUNCTION("""COMPUTED_VALUE"""),"Rudra Energy and Engineering Pvt Ltd")</f>
        <v>Rudra Energy and Engineering Pvt Ltd</v>
      </c>
      <c r="H1501" s="2" t="str">
        <f>IFERROR(__xludf.DUMMYFUNCTION("""COMPUTED_VALUE"""),"Kamladi, Kathmandu, Tel: 4247682,9841259676")</f>
        <v>Kamladi, Kathmandu, Tel: 4247682,9841259676</v>
      </c>
      <c r="I1501" s="2" t="str">
        <f>IFERROR(__xludf.DUMMYFUNCTION("""COMPUTED_VALUE"""),"27o 37' 30""")</f>
        <v>27o 37' 30"</v>
      </c>
      <c r="J1501" s="2" t="str">
        <f>IFERROR(__xludf.DUMMYFUNCTION("""COMPUTED_VALUE"""),"27o 37' 53""")</f>
        <v>27o 37' 53"</v>
      </c>
      <c r="K1501" s="2" t="str">
        <f>IFERROR(__xludf.DUMMYFUNCTION("""COMPUTED_VALUE"""),"84o 52' 30""")</f>
        <v>84o 52' 30"</v>
      </c>
      <c r="L1501" s="2" t="str">
        <f>IFERROR(__xludf.DUMMYFUNCTION("""COMPUTED_VALUE"""),"84o 54' 06""")</f>
        <v>84o 54' 06"</v>
      </c>
      <c r="M1501" s="2" t="str">
        <f>IFERROR(__xludf.DUMMYFUNCTION("""COMPUTED_VALUE"""),"Raksorang,Khairang (Makawanpur)")</f>
        <v>Raksorang,Khairang (Makawanpur)</v>
      </c>
    </row>
    <row r="1502">
      <c r="A1502" s="2">
        <f>IFERROR(__xludf.DUMMYFUNCTION("""COMPUTED_VALUE"""),1501.0)</f>
        <v>1501</v>
      </c>
      <c r="B1502" s="2" t="str">
        <f>IFERROR(__xludf.DUMMYFUNCTION("""COMPUTED_VALUE"""),"Machhapuchhre Seti SHP")</f>
        <v>Machhapuchhre Seti SHP</v>
      </c>
      <c r="C1502" s="2">
        <f>IFERROR(__xludf.DUMMYFUNCTION("""COMPUTED_VALUE"""),1.0)</f>
        <v>1</v>
      </c>
      <c r="D1502" s="2" t="str">
        <f>IFERROR(__xludf.DUMMYFUNCTION("""COMPUTED_VALUE"""),"Seti Khola")</f>
        <v>Seti Khola</v>
      </c>
      <c r="E1502" s="2">
        <f>IFERROR(__xludf.DUMMYFUNCTION("""COMPUTED_VALUE"""),6803.0)</f>
        <v>6803</v>
      </c>
      <c r="F1502" s="3">
        <f>IFERROR(__xludf.DUMMYFUNCTION("""COMPUTED_VALUE"""),61011.0)</f>
        <v>61011</v>
      </c>
      <c r="G1502" s="2" t="str">
        <f>IFERROR(__xludf.DUMMYFUNCTION("""COMPUTED_VALUE"""),"Anup Chandra K.C. (Khatri)")</f>
        <v>Anup Chandra K.C. (Khatri)</v>
      </c>
      <c r="H1502" s="2" t="str">
        <f>IFERROR(__xludf.DUMMYFUNCTION("""COMPUTED_VALUE"""),"Khadag Bhadrakali-4, Kathmandu")</f>
        <v>Khadag Bhadrakali-4, Kathmandu</v>
      </c>
      <c r="I1502" s="2" t="str">
        <f>IFERROR(__xludf.DUMMYFUNCTION("""COMPUTED_VALUE"""),"28o 22' 39""")</f>
        <v>28o 22' 39"</v>
      </c>
      <c r="J1502" s="2" t="str">
        <f>IFERROR(__xludf.DUMMYFUNCTION("""COMPUTED_VALUE"""),"28o 24' 25""")</f>
        <v>28o 24' 25"</v>
      </c>
      <c r="K1502" s="2" t="str">
        <f>IFERROR(__xludf.DUMMYFUNCTION("""COMPUTED_VALUE"""),"83o 56' 56""")</f>
        <v>83o 56' 56"</v>
      </c>
      <c r="L1502" s="2" t="str">
        <f>IFERROR(__xludf.DUMMYFUNCTION("""COMPUTED_VALUE"""),"84o 00' 00""")</f>
        <v>84o 00' 00"</v>
      </c>
      <c r="M1502" s="2" t="str">
        <f>IFERROR(__xludf.DUMMYFUNCTION("""COMPUTED_VALUE"""),"Machhapuchchhre,Sardikhola (Kaski)")</f>
        <v>Machhapuchchhre,Sardikhola (Kaski)</v>
      </c>
    </row>
    <row r="1503">
      <c r="A1503" s="2">
        <f>IFERROR(__xludf.DUMMYFUNCTION("""COMPUTED_VALUE"""),1502.0)</f>
        <v>1502</v>
      </c>
      <c r="B1503" s="2" t="str">
        <f>IFERROR(__xludf.DUMMYFUNCTION("""COMPUTED_VALUE"""),"Gandi Khola SHP")</f>
        <v>Gandi Khola SHP</v>
      </c>
      <c r="C1503" s="2">
        <f>IFERROR(__xludf.DUMMYFUNCTION("""COMPUTED_VALUE"""),0.3)</f>
        <v>0.3</v>
      </c>
      <c r="D1503" s="2" t="str">
        <f>IFERROR(__xludf.DUMMYFUNCTION("""COMPUTED_VALUE"""),"Gandi Gad")</f>
        <v>Gandi Gad</v>
      </c>
      <c r="E1503" s="2">
        <f>IFERROR(__xludf.DUMMYFUNCTION("""COMPUTED_VALUE"""),6805.0)</f>
        <v>6805</v>
      </c>
      <c r="F1503" s="3">
        <f>IFERROR(__xludf.DUMMYFUNCTION("""COMPUTED_VALUE"""),61011.0)</f>
        <v>61011</v>
      </c>
      <c r="G1503" s="2" t="str">
        <f>IFERROR(__xludf.DUMMYFUNCTION("""COMPUTED_VALUE"""),"Gopal Khadka, Bharat Mani Pandey, Ganesh Bdr. Shahi, Dipesh Thapa, Kishan 
Singh Dhami, Balaram Bhattarai, Basanta Bagale")</f>
        <v>Gopal Khadka, Bharat Mani Pandey, Ganesh Bdr. Shahi, Dipesh Thapa, Kishan 
Singh Dhami, Balaram Bhattarai, Basanta Bagale</v>
      </c>
      <c r="H1503" s="2"/>
      <c r="I1503" s="2" t="str">
        <f>IFERROR(__xludf.DUMMYFUNCTION("""COMPUTED_VALUE"""),"29o 40' 18""")</f>
        <v>29o 40' 18"</v>
      </c>
      <c r="J1503" s="2" t="str">
        <f>IFERROR(__xludf.DUMMYFUNCTION("""COMPUTED_VALUE"""),"29o 41' 34""")</f>
        <v>29o 41' 34"</v>
      </c>
      <c r="K1503" s="2" t="str">
        <f>IFERROR(__xludf.DUMMYFUNCTION("""COMPUTED_VALUE"""),"80o 40' 40""")</f>
        <v>80o 40' 40"</v>
      </c>
      <c r="L1503" s="2" t="str">
        <f>IFERROR(__xludf.DUMMYFUNCTION("""COMPUTED_VALUE"""),"80o 42' 53""")</f>
        <v>80o 42' 53"</v>
      </c>
      <c r="M1503" s="2" t="str">
        <f>IFERROR(__xludf.DUMMYFUNCTION("""COMPUTED_VALUE"""),"Kotpetara (Baitadi)")</f>
        <v>Kotpetara (Baitadi)</v>
      </c>
    </row>
    <row r="1504">
      <c r="A1504" s="2">
        <f>IFERROR(__xludf.DUMMYFUNCTION("""COMPUTED_VALUE"""),1503.0)</f>
        <v>1503</v>
      </c>
      <c r="B1504" s="2" t="str">
        <f>IFERROR(__xludf.DUMMYFUNCTION("""COMPUTED_VALUE"""),"Gadi gad SHP")</f>
        <v>Gadi gad SHP</v>
      </c>
      <c r="C1504" s="2">
        <f>IFERROR(__xludf.DUMMYFUNCTION("""COMPUTED_VALUE"""),0.38)</f>
        <v>0.38</v>
      </c>
      <c r="D1504" s="2" t="str">
        <f>IFERROR(__xludf.DUMMYFUNCTION("""COMPUTED_VALUE"""),"Gaddi Gad")</f>
        <v>Gaddi Gad</v>
      </c>
      <c r="E1504" s="2">
        <f>IFERROR(__xludf.DUMMYFUNCTION("""COMPUTED_VALUE"""),6806.0)</f>
        <v>6806</v>
      </c>
      <c r="F1504" s="3">
        <f>IFERROR(__xludf.DUMMYFUNCTION("""COMPUTED_VALUE"""),61011.0)</f>
        <v>61011</v>
      </c>
      <c r="G1504" s="2" t="str">
        <f>IFERROR(__xludf.DUMMYFUNCTION("""COMPUTED_VALUE"""),"Gopal Khadka, B.M.Pandey,G.M.Shahi,Dipesh Thapa, Kishan Singh Dhami, 
B.Bhattarai, Basant Bagale")</f>
        <v>Gopal Khadka, B.M.Pandey,G.M.Shahi,Dipesh Thapa, Kishan Singh Dhami, 
B.Bhattarai, Basant Bagale</v>
      </c>
      <c r="H1504" s="2" t="str">
        <f>IFERROR(__xludf.DUMMYFUNCTION("""COMPUTED_VALUE"""),"Waling-2, Syangja Tel: 9841306309")</f>
        <v>Waling-2, Syangja Tel: 9841306309</v>
      </c>
      <c r="I1504" s="2" t="str">
        <f>IFERROR(__xludf.DUMMYFUNCTION("""COMPUTED_VALUE"""),"29o 43' 59""")</f>
        <v>29o 43' 59"</v>
      </c>
      <c r="J1504" s="2" t="str">
        <f>IFERROR(__xludf.DUMMYFUNCTION("""COMPUTED_VALUE"""),"29o 44' 34""")</f>
        <v>29o 44' 34"</v>
      </c>
      <c r="K1504" s="2" t="str">
        <f>IFERROR(__xludf.DUMMYFUNCTION("""COMPUTED_VALUE"""),"80o 36' 13""")</f>
        <v>80o 36' 13"</v>
      </c>
      <c r="L1504" s="2" t="str">
        <f>IFERROR(__xludf.DUMMYFUNCTION("""COMPUTED_VALUE"""),"80o 37' 30""")</f>
        <v>80o 37' 30"</v>
      </c>
      <c r="M1504" s="2" t="str">
        <f>IFERROR(__xludf.DUMMYFUNCTION("""COMPUTED_VALUE"""),"Dhuligada (Darchula)")</f>
        <v>Dhuligada (Darchula)</v>
      </c>
    </row>
    <row r="1505">
      <c r="A1505" s="2">
        <f>IFERROR(__xludf.DUMMYFUNCTION("""COMPUTED_VALUE"""),1504.0)</f>
        <v>1504</v>
      </c>
      <c r="B1505" s="2" t="str">
        <f>IFERROR(__xludf.DUMMYFUNCTION("""COMPUTED_VALUE"""),"Reuti Khola SHP")</f>
        <v>Reuti Khola SHP</v>
      </c>
      <c r="C1505" s="2">
        <f>IFERROR(__xludf.DUMMYFUNCTION("""COMPUTED_VALUE"""),0.85)</f>
        <v>0.85</v>
      </c>
      <c r="D1505" s="2" t="str">
        <f>IFERROR(__xludf.DUMMYFUNCTION("""COMPUTED_VALUE"""),"Reuti")</f>
        <v>Reuti</v>
      </c>
      <c r="E1505" s="2">
        <f>IFERROR(__xludf.DUMMYFUNCTION("""COMPUTED_VALUE"""),6813.0)</f>
        <v>6813</v>
      </c>
      <c r="F1505" s="3">
        <f>IFERROR(__xludf.DUMMYFUNCTION("""COMPUTED_VALUE"""),61011.0)</f>
        <v>61011</v>
      </c>
      <c r="G1505" s="2" t="str">
        <f>IFERROR(__xludf.DUMMYFUNCTION("""COMPUTED_VALUE"""),"Om Jaleswar Energy Pvt Ltd")</f>
        <v>Om Jaleswar Energy Pvt Ltd</v>
      </c>
      <c r="H1505" s="2" t="str">
        <f>IFERROR(__xludf.DUMMYFUNCTION("""COMPUTED_VALUE"""),"H.N.2:Ga-2,3/27, Ramchandra Marg, Battisputali, Kathmandu, Tel: 9841777691")</f>
        <v>H.N.2:Ga-2,3/27, Ramchandra Marg, Battisputali, Kathmandu, Tel: 9841777691</v>
      </c>
      <c r="I1505" s="2" t="str">
        <f>IFERROR(__xludf.DUMMYFUNCTION("""COMPUTED_VALUE"""),"27o 37' 57""")</f>
        <v>27o 37' 57"</v>
      </c>
      <c r="J1505" s="2" t="str">
        <f>IFERROR(__xludf.DUMMYFUNCTION("""COMPUTED_VALUE"""),"27o 38' 35""")</f>
        <v>27o 38' 35"</v>
      </c>
      <c r="K1505" s="2" t="str">
        <f>IFERROR(__xludf.DUMMYFUNCTION("""COMPUTED_VALUE"""),"84o 45' 17""")</f>
        <v>84o 45' 17"</v>
      </c>
      <c r="L1505" s="2" t="str">
        <f>IFERROR(__xludf.DUMMYFUNCTION("""COMPUTED_VALUE"""),"84o 45' 55""")</f>
        <v>84o 45' 55"</v>
      </c>
      <c r="M1505" s="2" t="str">
        <f>IFERROR(__xludf.DUMMYFUNCTION("""COMPUTED_VALUE"""),"Kankada (Makawanpur)")</f>
        <v>Kankada (Makawanpur)</v>
      </c>
    </row>
    <row r="1506">
      <c r="A1506" s="2">
        <f>IFERROR(__xludf.DUMMYFUNCTION("""COMPUTED_VALUE"""),1505.0)</f>
        <v>1505</v>
      </c>
      <c r="B1506" s="2" t="str">
        <f>IFERROR(__xludf.DUMMYFUNCTION("""COMPUTED_VALUE"""),"Sun Khola SHP")</f>
        <v>Sun Khola SHP</v>
      </c>
      <c r="C1506" s="2">
        <f>IFERROR(__xludf.DUMMYFUNCTION("""COMPUTED_VALUE"""),0.18)</f>
        <v>0.18</v>
      </c>
      <c r="D1506" s="2" t="str">
        <f>IFERROR(__xludf.DUMMYFUNCTION("""COMPUTED_VALUE"""),"Sun Khola")</f>
        <v>Sun Khola</v>
      </c>
      <c r="E1506" s="2">
        <f>IFERROR(__xludf.DUMMYFUNCTION("""COMPUTED_VALUE"""),6843.0)</f>
        <v>6843</v>
      </c>
      <c r="F1506" s="3">
        <f>IFERROR(__xludf.DUMMYFUNCTION("""COMPUTED_VALUE"""),61013.0)</f>
        <v>61013</v>
      </c>
      <c r="G1506" s="2" t="str">
        <f>IFERROR(__xludf.DUMMYFUNCTION("""COMPUTED_VALUE"""),"Tika Ram Basnet, Pema Dorje Lama")</f>
        <v>Tika Ram Basnet, Pema Dorje Lama</v>
      </c>
      <c r="H1506" s="2" t="str">
        <f>IFERROR(__xludf.DUMMYFUNCTION("""COMPUTED_VALUE"""),"Ithari-8, Morang")</f>
        <v>Ithari-8, Morang</v>
      </c>
      <c r="I1506" s="2" t="str">
        <f>IFERROR(__xludf.DUMMYFUNCTION("""COMPUTED_VALUE"""),"27o 52' 15""")</f>
        <v>27o 52' 15"</v>
      </c>
      <c r="J1506" s="2" t="str">
        <f>IFERROR(__xludf.DUMMYFUNCTION("""COMPUTED_VALUE"""),"27o 53' 55""")</f>
        <v>27o 53' 55"</v>
      </c>
      <c r="K1506" s="2" t="str">
        <f>IFERROR(__xludf.DUMMYFUNCTION("""COMPUTED_VALUE"""),"85o 45' 30""")</f>
        <v>85o 45' 30"</v>
      </c>
      <c r="L1506" s="2" t="str">
        <f>IFERROR(__xludf.DUMMYFUNCTION("""COMPUTED_VALUE"""),"85o 48' 45""")</f>
        <v>85o 48' 45"</v>
      </c>
      <c r="M1506" s="2" t="str">
        <f>IFERROR(__xludf.DUMMYFUNCTION("""COMPUTED_VALUE"""),"Pangtang (Sindhupalchok)")</f>
        <v>Pangtang (Sindhupalchok)</v>
      </c>
    </row>
    <row r="1507">
      <c r="A1507" s="2">
        <f>IFERROR(__xludf.DUMMYFUNCTION("""COMPUTED_VALUE"""),1506.0)</f>
        <v>1506</v>
      </c>
      <c r="B1507" s="2" t="str">
        <f>IFERROR(__xludf.DUMMYFUNCTION("""COMPUTED_VALUE"""),"Doba Khola HPP")</f>
        <v>Doba Khola HPP</v>
      </c>
      <c r="C1507" s="2">
        <f>IFERROR(__xludf.DUMMYFUNCTION("""COMPUTED_VALUE"""),2.05)</f>
        <v>2.05</v>
      </c>
      <c r="D1507" s="2" t="str">
        <f>IFERROR(__xludf.DUMMYFUNCTION("""COMPUTED_VALUE"""),"Doba")</f>
        <v>Doba</v>
      </c>
      <c r="E1507" s="2">
        <f>IFERROR(__xludf.DUMMYFUNCTION("""COMPUTED_VALUE"""),6853.0)</f>
        <v>6853</v>
      </c>
      <c r="F1507" s="3">
        <f>IFERROR(__xludf.DUMMYFUNCTION("""COMPUTED_VALUE"""),61023.0)</f>
        <v>61023</v>
      </c>
      <c r="G1507" s="2" t="str">
        <f>IFERROR(__xludf.DUMMYFUNCTION("""COMPUTED_VALUE"""),"Multi Star Energy Pvt Ltd")</f>
        <v>Multi Star Energy Pvt Ltd</v>
      </c>
      <c r="H1507" s="2" t="str">
        <f>IFERROR(__xludf.DUMMYFUNCTION("""COMPUTED_VALUE"""),"Naya Baneswar, Kathmandu, Tel: 016203943")</f>
        <v>Naya Baneswar, Kathmandu, Tel: 016203943</v>
      </c>
      <c r="I1507" s="2" t="str">
        <f>IFERROR(__xludf.DUMMYFUNCTION("""COMPUTED_VALUE"""),"28o 27' 55""")</f>
        <v>28o 27' 55"</v>
      </c>
      <c r="J1507" s="2" t="str">
        <f>IFERROR(__xludf.DUMMYFUNCTION("""COMPUTED_VALUE"""),"28o 28' 45""")</f>
        <v>28o 28' 45"</v>
      </c>
      <c r="K1507" s="2" t="str">
        <f>IFERROR(__xludf.DUMMYFUNCTION("""COMPUTED_VALUE"""),"83o 36' 42""")</f>
        <v>83o 36' 42"</v>
      </c>
      <c r="L1507" s="2" t="str">
        <f>IFERROR(__xludf.DUMMYFUNCTION("""COMPUTED_VALUE"""),"83o 38' 08""")</f>
        <v>83o 38' 08"</v>
      </c>
      <c r="M1507" s="2" t="str">
        <f>IFERROR(__xludf.DUMMYFUNCTION("""COMPUTED_VALUE"""),"Dowa (Myagdi)")</f>
        <v>Dowa (Myagdi)</v>
      </c>
    </row>
    <row r="1508">
      <c r="A1508" s="2">
        <f>IFERROR(__xludf.DUMMYFUNCTION("""COMPUTED_VALUE"""),1507.0)</f>
        <v>1507</v>
      </c>
      <c r="B1508" s="2" t="str">
        <f>IFERROR(__xludf.DUMMYFUNCTION("""COMPUTED_VALUE"""),"Upper Muwa Khola HPP")</f>
        <v>Upper Muwa Khola HPP</v>
      </c>
      <c r="C1508" s="2">
        <f>IFERROR(__xludf.DUMMYFUNCTION("""COMPUTED_VALUE"""),0.996)</f>
        <v>0.996</v>
      </c>
      <c r="D1508" s="2" t="str">
        <f>IFERROR(__xludf.DUMMYFUNCTION("""COMPUTED_VALUE"""),"Muwa")</f>
        <v>Muwa</v>
      </c>
      <c r="E1508" s="2">
        <f>IFERROR(__xludf.DUMMYFUNCTION("""COMPUTED_VALUE"""),6915.0)</f>
        <v>6915</v>
      </c>
      <c r="F1508" s="3">
        <f>IFERROR(__xludf.DUMMYFUNCTION("""COMPUTED_VALUE"""),61023.0)</f>
        <v>61023</v>
      </c>
      <c r="G1508" s="2" t="str">
        <f>IFERROR(__xludf.DUMMYFUNCTION("""COMPUTED_VALUE"""),"Pabitra Adhikari")</f>
        <v>Pabitra Adhikari</v>
      </c>
      <c r="H1508" s="2" t="str">
        <f>IFERROR(__xludf.DUMMYFUNCTION("""COMPUTED_VALUE"""),"Sidhhakali-6, Sankhuwasabha Tel: 9841031206")</f>
        <v>Sidhhakali-6, Sankhuwasabha Tel: 9841031206</v>
      </c>
      <c r="I1508" s="2" t="str">
        <f>IFERROR(__xludf.DUMMYFUNCTION("""COMPUTED_VALUE"""),"27o 35' 38""")</f>
        <v>27o 35' 38"</v>
      </c>
      <c r="J1508" s="2" t="str">
        <f>IFERROR(__xludf.DUMMYFUNCTION("""COMPUTED_VALUE"""),"27o 39' 30""")</f>
        <v>27o 39' 30"</v>
      </c>
      <c r="K1508" s="2" t="str">
        <f>IFERROR(__xludf.DUMMYFUNCTION("""COMPUTED_VALUE"""),"87o 34' 00""")</f>
        <v>87o 34' 00"</v>
      </c>
      <c r="L1508" s="2" t="str">
        <f>IFERROR(__xludf.DUMMYFUNCTION("""COMPUTED_VALUE"""),"87o 37' 02""")</f>
        <v>87o 37' 02"</v>
      </c>
      <c r="M1508" s="2" t="str">
        <f>IFERROR(__xludf.DUMMYFUNCTION("""COMPUTED_VALUE"""),"Olangchung (Taplejung)")</f>
        <v>Olangchung (Taplejung)</v>
      </c>
    </row>
    <row r="1509">
      <c r="A1509" s="2">
        <f>IFERROR(__xludf.DUMMYFUNCTION("""COMPUTED_VALUE"""),1508.0)</f>
        <v>1508</v>
      </c>
      <c r="B1509" s="2" t="str">
        <f>IFERROR(__xludf.DUMMYFUNCTION("""COMPUTED_VALUE"""),"Siwa Khola HPP")</f>
        <v>Siwa Khola HPP</v>
      </c>
      <c r="C1509" s="2">
        <f>IFERROR(__xludf.DUMMYFUNCTION("""COMPUTED_VALUE"""),0.989)</f>
        <v>0.989</v>
      </c>
      <c r="D1509" s="2" t="str">
        <f>IFERROR(__xludf.DUMMYFUNCTION("""COMPUTED_VALUE"""),"Siwa Khola")</f>
        <v>Siwa Khola</v>
      </c>
      <c r="E1509" s="2">
        <f>IFERROR(__xludf.DUMMYFUNCTION("""COMPUTED_VALUE"""),6916.0)</f>
        <v>6916</v>
      </c>
      <c r="F1509" s="3">
        <f>IFERROR(__xludf.DUMMYFUNCTION("""COMPUTED_VALUE"""),61023.0)</f>
        <v>61023</v>
      </c>
      <c r="G1509" s="2" t="str">
        <f>IFERROR(__xludf.DUMMYFUNCTION("""COMPUTED_VALUE"""),"Singha Devi Hydropower Company Pvt Ltd")</f>
        <v>Singha Devi Hydropower Company Pvt Ltd</v>
      </c>
      <c r="H1509" s="2" t="str">
        <f>IFERROR(__xludf.DUMMYFUNCTION("""COMPUTED_VALUE"""),"Sidhhakali-6, Sankhuwasabha Tel: 9841521159")</f>
        <v>Sidhhakali-6, Sankhuwasabha Tel: 9841521159</v>
      </c>
      <c r="I1509" s="2" t="str">
        <f>IFERROR(__xludf.DUMMYFUNCTION("""COMPUTED_VALUE"""),"27o 30' 00""")</f>
        <v>27o 30' 00"</v>
      </c>
      <c r="J1509" s="2" t="str">
        <f>IFERROR(__xludf.DUMMYFUNCTION("""COMPUTED_VALUE"""),"27o 32' 22""")</f>
        <v>27o 32' 22"</v>
      </c>
      <c r="K1509" s="2" t="str">
        <f>IFERROR(__xludf.DUMMYFUNCTION("""COMPUTED_VALUE"""),"87o 32' 11""")</f>
        <v>87o 32' 11"</v>
      </c>
      <c r="L1509" s="2" t="str">
        <f>IFERROR(__xludf.DUMMYFUNCTION("""COMPUTED_VALUE"""),"87o 35' 00""")</f>
        <v>87o 35' 00"</v>
      </c>
      <c r="M1509" s="2" t="str">
        <f>IFERROR(__xludf.DUMMYFUNCTION("""COMPUTED_VALUE"""),"Nalbu,Sanwa (Taplejung)")</f>
        <v>Nalbu,Sanwa (Taplejung)</v>
      </c>
    </row>
    <row r="1510">
      <c r="A1510" s="2">
        <f>IFERROR(__xludf.DUMMYFUNCTION("""COMPUTED_VALUE"""),1509.0)</f>
        <v>1509</v>
      </c>
      <c r="B1510" s="2" t="str">
        <f>IFERROR(__xludf.DUMMYFUNCTION("""COMPUTED_VALUE"""),"Seti Canal (Kaski) SHP")</f>
        <v>Seti Canal (Kaski) SHP</v>
      </c>
      <c r="C1510" s="2">
        <f>IFERROR(__xludf.DUMMYFUNCTION("""COMPUTED_VALUE"""),0.5)</f>
        <v>0.5</v>
      </c>
      <c r="D1510" s="2" t="str">
        <f>IFERROR(__xludf.DUMMYFUNCTION("""COMPUTED_VALUE"""),"Seti Canal")</f>
        <v>Seti Canal</v>
      </c>
      <c r="E1510" s="2">
        <f>IFERROR(__xludf.DUMMYFUNCTION("""COMPUTED_VALUE"""),6954.0)</f>
        <v>6954</v>
      </c>
      <c r="F1510" s="3">
        <f>IFERROR(__xludf.DUMMYFUNCTION("""COMPUTED_VALUE"""),61026.0)</f>
        <v>61026</v>
      </c>
      <c r="G1510" s="2" t="str">
        <f>IFERROR(__xludf.DUMMYFUNCTION("""COMPUTED_VALUE"""),"Karki Hydropower Pvt Ltd")</f>
        <v>Karki Hydropower Pvt Ltd</v>
      </c>
      <c r="H1510" s="2" t="str">
        <f>IFERROR(__xludf.DUMMYFUNCTION("""COMPUTED_VALUE"""),"Pokhra Submetropolitan city-18, Kaski Tel: 061-431201, 9846026128")</f>
        <v>Pokhra Submetropolitan city-18, Kaski Tel: 061-431201, 9846026128</v>
      </c>
      <c r="I1510" s="2" t="str">
        <f>IFERROR(__xludf.DUMMYFUNCTION("""COMPUTED_VALUE"""),"00o 00' 00""")</f>
        <v>00o 00' 00"</v>
      </c>
      <c r="J1510" s="2" t="str">
        <f>IFERROR(__xludf.DUMMYFUNCTION("""COMPUTED_VALUE"""),"00o 00' 00""")</f>
        <v>00o 00' 00"</v>
      </c>
      <c r="K1510" s="2" t="str">
        <f>IFERROR(__xludf.DUMMYFUNCTION("""COMPUTED_VALUE"""),"00o 00' 00""")</f>
        <v>00o 00' 00"</v>
      </c>
      <c r="L1510" s="2" t="str">
        <f>IFERROR(__xludf.DUMMYFUNCTION("""COMPUTED_VALUE"""),"00o 00' 00""")</f>
        <v>00o 00' 00"</v>
      </c>
      <c r="M1510" s="2" t="str">
        <f>IFERROR(__xludf.DUMMYFUNCTION("""COMPUTED_VALUE"""),"Pokhara N.P. (Kaski)")</f>
        <v>Pokhara N.P. (Kaski)</v>
      </c>
    </row>
    <row r="1511">
      <c r="A1511" s="2">
        <f>IFERROR(__xludf.DUMMYFUNCTION("""COMPUTED_VALUE"""),1510.0)</f>
        <v>1510</v>
      </c>
      <c r="B1511" s="2" t="str">
        <f>IFERROR(__xludf.DUMMYFUNCTION("""COMPUTED_VALUE"""),"Phadun Khola SHP")</f>
        <v>Phadun Khola SHP</v>
      </c>
      <c r="C1511" s="2">
        <f>IFERROR(__xludf.DUMMYFUNCTION("""COMPUTED_VALUE"""),0.5)</f>
        <v>0.5</v>
      </c>
      <c r="D1511" s="2" t="str">
        <f>IFERROR(__xludf.DUMMYFUNCTION("""COMPUTED_VALUE"""),"Phadun")</f>
        <v>Phadun</v>
      </c>
      <c r="E1511" s="2">
        <f>IFERROR(__xludf.DUMMYFUNCTION("""COMPUTED_VALUE"""),6957.0)</f>
        <v>6957</v>
      </c>
      <c r="F1511" s="3">
        <f>IFERROR(__xludf.DUMMYFUNCTION("""COMPUTED_VALUE"""),61026.0)</f>
        <v>61026</v>
      </c>
      <c r="G1511" s="2" t="str">
        <f>IFERROR(__xludf.DUMMYFUNCTION("""COMPUTED_VALUE"""),"Tikadhwaj Adhikari")</f>
        <v>Tikadhwaj Adhikari</v>
      </c>
      <c r="H1511" s="2" t="str">
        <f>IFERROR(__xludf.DUMMYFUNCTION("""COMPUTED_VALUE"""),"Petuk VDC-8, Sindhupalchowk")</f>
        <v>Petuk VDC-8, Sindhupalchowk</v>
      </c>
      <c r="I1511" s="2" t="str">
        <f>IFERROR(__xludf.DUMMYFUNCTION("""COMPUTED_VALUE"""),"27o 57' 43""")</f>
        <v>27o 57' 43"</v>
      </c>
      <c r="J1511" s="2" t="str">
        <f>IFERROR(__xludf.DUMMYFUNCTION("""COMPUTED_VALUE"""),"27o 58' 50""")</f>
        <v>27o 58' 50"</v>
      </c>
      <c r="K1511" s="2" t="str">
        <f>IFERROR(__xludf.DUMMYFUNCTION("""COMPUTED_VALUE"""),"85o 32' 03""")</f>
        <v>85o 32' 03"</v>
      </c>
      <c r="L1511" s="2" t="str">
        <f>IFERROR(__xludf.DUMMYFUNCTION("""COMPUTED_VALUE"""),"85o 32' 47""")</f>
        <v>85o 32' 47"</v>
      </c>
      <c r="M1511" s="2" t="str">
        <f>IFERROR(__xludf.DUMMYFUNCTION("""COMPUTED_VALUE"""),"Haibung (Sindhupalchok)")</f>
        <v>Haibung (Sindhupalchok)</v>
      </c>
    </row>
    <row r="1512">
      <c r="A1512" s="2">
        <f>IFERROR(__xludf.DUMMYFUNCTION("""COMPUTED_VALUE"""),1511.0)</f>
        <v>1511</v>
      </c>
      <c r="B1512" s="2" t="str">
        <f>IFERROR(__xludf.DUMMYFUNCTION("""COMPUTED_VALUE"""),"Myagdi -1 Hydropower Project")</f>
        <v>Myagdi -1 Hydropower Project</v>
      </c>
      <c r="C1512" s="2">
        <f>IFERROR(__xludf.DUMMYFUNCTION("""COMPUTED_VALUE"""),32.0)</f>
        <v>32</v>
      </c>
      <c r="D1512" s="2" t="str">
        <f>IFERROR(__xludf.DUMMYFUNCTION("""COMPUTED_VALUE"""),"Myagdi Khola")</f>
        <v>Myagdi Khola</v>
      </c>
      <c r="E1512" s="2">
        <f>IFERROR(__xludf.DUMMYFUNCTION("""COMPUTED_VALUE"""),6960.0)</f>
        <v>6960</v>
      </c>
      <c r="F1512" s="3">
        <f>IFERROR(__xludf.DUMMYFUNCTION("""COMPUTED_VALUE"""),61026.0)</f>
        <v>61026</v>
      </c>
      <c r="G1512" s="2" t="str">
        <f>IFERROR(__xludf.DUMMYFUNCTION("""COMPUTED_VALUE"""),"Sumo Engineering Consultant Pvt Ltd")</f>
        <v>Sumo Engineering Consultant Pvt Ltd</v>
      </c>
      <c r="H1512" s="2" t="str">
        <f>IFERROR(__xludf.DUMMYFUNCTION("""COMPUTED_VALUE"""),"Kantipath, Kathmandu, GPO Box: 485, Tel: 4225009")</f>
        <v>Kantipath, Kathmandu, GPO Box: 485, Tel: 4225009</v>
      </c>
      <c r="I1512" s="2" t="str">
        <f>IFERROR(__xludf.DUMMYFUNCTION("""COMPUTED_VALUE"""),"28o 18' 45""")</f>
        <v>28o 18' 45"</v>
      </c>
      <c r="J1512" s="2" t="str">
        <f>IFERROR(__xludf.DUMMYFUNCTION("""COMPUTED_VALUE"""),"28o 22' 00""")</f>
        <v>28o 22' 00"</v>
      </c>
      <c r="K1512" s="2" t="str">
        <f>IFERROR(__xludf.DUMMYFUNCTION("""COMPUTED_VALUE"""),"83o 30' 00""")</f>
        <v>83o 30' 00"</v>
      </c>
      <c r="L1512" s="2" t="str">
        <f>IFERROR(__xludf.DUMMYFUNCTION("""COMPUTED_VALUE"""),"83o 35' 30""")</f>
        <v>83o 35' 30"</v>
      </c>
      <c r="M1512" s="2" t="str">
        <f>IFERROR(__xludf.DUMMYFUNCTION("""COMPUTED_VALUE"""),"Palakot (Baglung) Bhakilmi,Singa (Myagdi)")</f>
        <v>Palakot (Baglung) Bhakilmi,Singa (Myagdi)</v>
      </c>
    </row>
    <row r="1513">
      <c r="A1513" s="2">
        <f>IFERROR(__xludf.DUMMYFUNCTION("""COMPUTED_VALUE"""),1512.0)</f>
        <v>1512</v>
      </c>
      <c r="B1513" s="2" t="str">
        <f>IFERROR(__xludf.DUMMYFUNCTION("""COMPUTED_VALUE"""),"Sisneri Chhahre SHP")</f>
        <v>Sisneri Chhahre SHP</v>
      </c>
      <c r="C1513" s="2">
        <f>IFERROR(__xludf.DUMMYFUNCTION("""COMPUTED_VALUE"""),0.77)</f>
        <v>0.77</v>
      </c>
      <c r="D1513" s="2" t="str">
        <f>IFERROR(__xludf.DUMMYFUNCTION("""COMPUTED_VALUE"""),"Sisneri")</f>
        <v>Sisneri</v>
      </c>
      <c r="E1513" s="2">
        <f>IFERROR(__xludf.DUMMYFUNCTION("""COMPUTED_VALUE"""),6963.0)</f>
        <v>6963</v>
      </c>
      <c r="F1513" s="3">
        <f>IFERROR(__xludf.DUMMYFUNCTION("""COMPUTED_VALUE"""),61026.0)</f>
        <v>61026</v>
      </c>
      <c r="G1513" s="2" t="str">
        <f>IFERROR(__xludf.DUMMYFUNCTION("""COMPUTED_VALUE"""),"Arunima Multipurpose Pvt Ltd")</f>
        <v>Arunima Multipurpose Pvt Ltd</v>
      </c>
      <c r="H1513" s="2" t="str">
        <f>IFERROR(__xludf.DUMMYFUNCTION("""COMPUTED_VALUE"""),"Kathmandu Tel: 9841232580, GPO Box: 25120")</f>
        <v>Kathmandu Tel: 9841232580, GPO Box: 25120</v>
      </c>
      <c r="I1513" s="2" t="str">
        <f>IFERROR(__xludf.DUMMYFUNCTION("""COMPUTED_VALUE"""),"27o 48' 54""")</f>
        <v>27o 48' 54"</v>
      </c>
      <c r="J1513" s="2" t="str">
        <f>IFERROR(__xludf.DUMMYFUNCTION("""COMPUTED_VALUE"""),"27o 50' 32""")</f>
        <v>27o 50' 32"</v>
      </c>
      <c r="K1513" s="2" t="str">
        <f>IFERROR(__xludf.DUMMYFUNCTION("""COMPUTED_VALUE"""),"00o 00' 00""")</f>
        <v>00o 00' 00"</v>
      </c>
      <c r="L1513" s="2" t="str">
        <f>IFERROR(__xludf.DUMMYFUNCTION("""COMPUTED_VALUE"""),"00o 00' 00""")</f>
        <v>00o 00' 00"</v>
      </c>
      <c r="M1513" s="2" t="str">
        <f>IFERROR(__xludf.DUMMYFUNCTION("""COMPUTED_VALUE"""),"Kakani,Madanpur,Chaturale (Nuwakot)")</f>
        <v>Kakani,Madanpur,Chaturale (Nuwakot)</v>
      </c>
    </row>
    <row r="1514">
      <c r="A1514" s="2">
        <f>IFERROR(__xludf.DUMMYFUNCTION("""COMPUTED_VALUE"""),1513.0)</f>
        <v>1513</v>
      </c>
      <c r="B1514" s="2" t="str">
        <f>IFERROR(__xludf.DUMMYFUNCTION("""COMPUTED_VALUE"""),"Buku Khola Hydropower Project")</f>
        <v>Buku Khola Hydropower Project</v>
      </c>
      <c r="C1514" s="2">
        <f>IFERROR(__xludf.DUMMYFUNCTION("""COMPUTED_VALUE"""),0.992)</f>
        <v>0.992</v>
      </c>
      <c r="D1514" s="2" t="str">
        <f>IFERROR(__xludf.DUMMYFUNCTION("""COMPUTED_VALUE"""),"Buku")</f>
        <v>Buku</v>
      </c>
      <c r="E1514" s="2">
        <f>IFERROR(__xludf.DUMMYFUNCTION("""COMPUTED_VALUE"""),7025.0)</f>
        <v>7025</v>
      </c>
      <c r="F1514" s="3">
        <f>IFERROR(__xludf.DUMMYFUNCTION("""COMPUTED_VALUE"""),61028.0)</f>
        <v>61028</v>
      </c>
      <c r="G1514" s="2" t="str">
        <f>IFERROR(__xludf.DUMMYFUNCTION("""COMPUTED_VALUE"""),"Kaljung Sherpa")</f>
        <v>Kaljung Sherpa</v>
      </c>
      <c r="H1514" s="2" t="str">
        <f>IFERROR(__xludf.DUMMYFUNCTION("""COMPUTED_VALUE"""),"Goli VDC-7, Solukhumbu, Tel: 9803884908")</f>
        <v>Goli VDC-7, Solukhumbu, Tel: 9803884908</v>
      </c>
      <c r="I1514" s="2" t="str">
        <f>IFERROR(__xludf.DUMMYFUNCTION("""COMPUTED_VALUE"""),"27o 30' 45""")</f>
        <v>27o 30' 45"</v>
      </c>
      <c r="J1514" s="2" t="str">
        <f>IFERROR(__xludf.DUMMYFUNCTION("""COMPUTED_VALUE"""),"27o 31' 50""")</f>
        <v>27o 31' 50"</v>
      </c>
      <c r="K1514" s="2" t="str">
        <f>IFERROR(__xludf.DUMMYFUNCTION("""COMPUTED_VALUE"""),"86o 21' 26""")</f>
        <v>86o 21' 26"</v>
      </c>
      <c r="L1514" s="2" t="str">
        <f>IFERROR(__xludf.DUMMYFUNCTION("""COMPUTED_VALUE"""),"86o 22' 57""")</f>
        <v>86o 22' 57"</v>
      </c>
      <c r="M1514" s="2" t="str">
        <f>IFERROR(__xludf.DUMMYFUNCTION("""COMPUTED_VALUE"""),"Goli (Solukhumbu)")</f>
        <v>Goli (Solukhumbu)</v>
      </c>
    </row>
    <row r="1515">
      <c r="A1515" s="2">
        <f>IFERROR(__xludf.DUMMYFUNCTION("""COMPUTED_VALUE"""),1514.0)</f>
        <v>1514</v>
      </c>
      <c r="B1515" s="2" t="str">
        <f>IFERROR(__xludf.DUMMYFUNCTION("""COMPUTED_VALUE"""),"Super Buku Khola SHP")</f>
        <v>Super Buku Khola SHP</v>
      </c>
      <c r="C1515" s="2">
        <f>IFERROR(__xludf.DUMMYFUNCTION("""COMPUTED_VALUE"""),0.992)</f>
        <v>0.992</v>
      </c>
      <c r="D1515" s="2" t="str">
        <f>IFERROR(__xludf.DUMMYFUNCTION("""COMPUTED_VALUE"""),"Buku")</f>
        <v>Buku</v>
      </c>
      <c r="E1515" s="2">
        <f>IFERROR(__xludf.DUMMYFUNCTION("""COMPUTED_VALUE"""),7026.0)</f>
        <v>7026</v>
      </c>
      <c r="F1515" s="3">
        <f>IFERROR(__xludf.DUMMYFUNCTION("""COMPUTED_VALUE"""),61028.0)</f>
        <v>61028</v>
      </c>
      <c r="G1515" s="2" t="str">
        <f>IFERROR(__xludf.DUMMYFUNCTION("""COMPUTED_VALUE"""),"Kaljung Sherpa")</f>
        <v>Kaljung Sherpa</v>
      </c>
      <c r="H1515" s="2" t="str">
        <f>IFERROR(__xludf.DUMMYFUNCTION("""COMPUTED_VALUE"""),"Goli VDC-7, Solukhumbu")</f>
        <v>Goli VDC-7, Solukhumbu</v>
      </c>
      <c r="I1515" s="2" t="str">
        <f>IFERROR(__xludf.DUMMYFUNCTION("""COMPUTED_VALUE"""),"27o 30' 54""")</f>
        <v>27o 30' 54"</v>
      </c>
      <c r="J1515" s="2" t="str">
        <f>IFERROR(__xludf.DUMMYFUNCTION("""COMPUTED_VALUE"""),"27o 32' 07""")</f>
        <v>27o 32' 07"</v>
      </c>
      <c r="K1515" s="2" t="str">
        <f>IFERROR(__xludf.DUMMYFUNCTION("""COMPUTED_VALUE"""),"86o 23' 00""")</f>
        <v>86o 23' 00"</v>
      </c>
      <c r="L1515" s="2" t="str">
        <f>IFERROR(__xludf.DUMMYFUNCTION("""COMPUTED_VALUE"""),"86o 24' 29""")</f>
        <v>86o 24' 29"</v>
      </c>
      <c r="M1515" s="2" t="str">
        <f>IFERROR(__xludf.DUMMYFUNCTION("""COMPUTED_VALUE"""),"Goli (Solukhumbu)")</f>
        <v>Goli (Solukhumbu)</v>
      </c>
    </row>
    <row r="1516">
      <c r="A1516" s="2">
        <f>IFERROR(__xludf.DUMMYFUNCTION("""COMPUTED_VALUE"""),1515.0)</f>
        <v>1515</v>
      </c>
      <c r="B1516" s="2" t="str">
        <f>IFERROR(__xludf.DUMMYFUNCTION("""COMPUTED_VALUE"""),"Kahule Khola SHP")</f>
        <v>Kahule Khola SHP</v>
      </c>
      <c r="C1516" s="2">
        <f>IFERROR(__xludf.DUMMYFUNCTION("""COMPUTED_VALUE"""),0.998)</f>
        <v>0.998</v>
      </c>
      <c r="D1516" s="2" t="str">
        <f>IFERROR(__xludf.DUMMYFUNCTION("""COMPUTED_VALUE"""),"Kahule")</f>
        <v>Kahule</v>
      </c>
      <c r="E1516" s="2">
        <f>IFERROR(__xludf.DUMMYFUNCTION("""COMPUTED_VALUE"""),7086.0)</f>
        <v>7086</v>
      </c>
      <c r="F1516" s="3">
        <f>IFERROR(__xludf.DUMMYFUNCTION("""COMPUTED_VALUE"""),61032.0)</f>
        <v>61032</v>
      </c>
      <c r="G1516" s="2" t="str">
        <f>IFERROR(__xludf.DUMMYFUNCTION("""COMPUTED_VALUE"""),"Sihivaram Thapa")</f>
        <v>Sihivaram Thapa</v>
      </c>
      <c r="H1516" s="2" t="str">
        <f>IFERROR(__xludf.DUMMYFUNCTION("""COMPUTED_VALUE"""),"Subba-8,Kavrepalanchowk")</f>
        <v>Subba-8,Kavrepalanchowk</v>
      </c>
      <c r="I1516" s="2" t="str">
        <f>IFERROR(__xludf.DUMMYFUNCTION("""COMPUTED_VALUE"""),"27o 51' 57""")</f>
        <v>27o 51' 57"</v>
      </c>
      <c r="J1516" s="2" t="str">
        <f>IFERROR(__xludf.DUMMYFUNCTION("""COMPUTED_VALUE"""),"27o 53' 31""")</f>
        <v>27o 53' 31"</v>
      </c>
      <c r="K1516" s="2" t="str">
        <f>IFERROR(__xludf.DUMMYFUNCTION("""COMPUTED_VALUE"""),"85o 51' 10""")</f>
        <v>85o 51' 10"</v>
      </c>
      <c r="L1516" s="2" t="str">
        <f>IFERROR(__xludf.DUMMYFUNCTION("""COMPUTED_VALUE"""),"85o 53' 14""")</f>
        <v>85o 53' 14"</v>
      </c>
      <c r="M1516" s="2" t="str">
        <f>IFERROR(__xludf.DUMMYFUNCTION("""COMPUTED_VALUE"""),"Listi (Sindhupalchok)")</f>
        <v>Listi (Sindhupalchok)</v>
      </c>
    </row>
    <row r="1517">
      <c r="A1517" s="2">
        <f>IFERROR(__xludf.DUMMYFUNCTION("""COMPUTED_VALUE"""),1516.0)</f>
        <v>1516</v>
      </c>
      <c r="B1517" s="2" t="str">
        <f>IFERROR(__xludf.DUMMYFUNCTION("""COMPUTED_VALUE"""),"Chhuama Khola HPP")</f>
        <v>Chhuama Khola HPP</v>
      </c>
      <c r="C1517" s="2">
        <f>IFERROR(__xludf.DUMMYFUNCTION("""COMPUTED_VALUE"""),2.5)</f>
        <v>2.5</v>
      </c>
      <c r="D1517" s="2" t="str">
        <f>IFERROR(__xludf.DUMMYFUNCTION("""COMPUTED_VALUE"""),"Chhuama")</f>
        <v>Chhuama</v>
      </c>
      <c r="E1517" s="2">
        <f>IFERROR(__xludf.DUMMYFUNCTION("""COMPUTED_VALUE"""),7094.0)</f>
        <v>7094</v>
      </c>
      <c r="F1517" s="3">
        <f>IFERROR(__xludf.DUMMYFUNCTION("""COMPUTED_VALUE"""),61033.0)</f>
        <v>61033</v>
      </c>
      <c r="G1517" s="2" t="str">
        <f>IFERROR(__xludf.DUMMYFUNCTION("""COMPUTED_VALUE"""),"Nepal Electricity Kathmandu Pvt Ltd")</f>
        <v>Nepal Electricity Kathmandu Pvt Ltd</v>
      </c>
      <c r="H1517" s="2" t="str">
        <f>IFERROR(__xludf.DUMMYFUNCTION("""COMPUTED_VALUE"""),"Sanepa, Lalitpur, 9741178883")</f>
        <v>Sanepa, Lalitpur, 9741178883</v>
      </c>
      <c r="I1517" s="2" t="str">
        <f>IFERROR(__xludf.DUMMYFUNCTION("""COMPUTED_VALUE"""),"29o 10' 00""")</f>
        <v>29o 10' 00"</v>
      </c>
      <c r="J1517" s="2" t="str">
        <f>IFERROR(__xludf.DUMMYFUNCTION("""COMPUTED_VALUE"""),"29o 13' 00""")</f>
        <v>29o 13' 00"</v>
      </c>
      <c r="K1517" s="2" t="str">
        <f>IFERROR(__xludf.DUMMYFUNCTION("""COMPUTED_VALUE"""),"83o 56' 00""")</f>
        <v>83o 56' 00"</v>
      </c>
      <c r="L1517" s="2" t="str">
        <f>IFERROR(__xludf.DUMMYFUNCTION("""COMPUTED_VALUE"""),"84o 00' 00""")</f>
        <v>84o 00' 00"</v>
      </c>
      <c r="M1517" s="2" t="str">
        <f>IFERROR(__xludf.DUMMYFUNCTION("""COMPUTED_VALUE"""),"Chhoser (Mustang)")</f>
        <v>Chhoser (Mustang)</v>
      </c>
    </row>
    <row r="1518">
      <c r="A1518" s="2">
        <f>IFERROR(__xludf.DUMMYFUNCTION("""COMPUTED_VALUE"""),1517.0)</f>
        <v>1517</v>
      </c>
      <c r="B1518" s="2" t="str">
        <f>IFERROR(__xludf.DUMMYFUNCTION("""COMPUTED_VALUE"""),"Panda Khola SHP")</f>
        <v>Panda Khola SHP</v>
      </c>
      <c r="C1518" s="2">
        <f>IFERROR(__xludf.DUMMYFUNCTION("""COMPUTED_VALUE"""),0.6)</f>
        <v>0.6</v>
      </c>
      <c r="D1518" s="2" t="str">
        <f>IFERROR(__xludf.DUMMYFUNCTION("""COMPUTED_VALUE"""),"Panda")</f>
        <v>Panda</v>
      </c>
      <c r="E1518" s="2">
        <f>IFERROR(__xludf.DUMMYFUNCTION("""COMPUTED_VALUE"""),7095.0)</f>
        <v>7095</v>
      </c>
      <c r="F1518" s="3">
        <f>IFERROR(__xludf.DUMMYFUNCTION("""COMPUTED_VALUE"""),61033.0)</f>
        <v>61033</v>
      </c>
      <c r="G1518" s="2" t="str">
        <f>IFERROR(__xludf.DUMMYFUNCTION("""COMPUTED_VALUE"""),"Desert Snowland Hydropower Pvt Ltd")</f>
        <v>Desert Snowland Hydropower Pvt Ltd</v>
      </c>
      <c r="H1518" s="2" t="str">
        <f>IFERROR(__xludf.DUMMYFUNCTION("""COMPUTED_VALUE"""),"Sanepa, Lalitpur, 9741178883")</f>
        <v>Sanepa, Lalitpur, 9741178883</v>
      </c>
      <c r="I1518" s="2" t="str">
        <f>IFERROR(__xludf.DUMMYFUNCTION("""COMPUTED_VALUE"""),"28o 46' 30""")</f>
        <v>28o 46' 30"</v>
      </c>
      <c r="J1518" s="2" t="str">
        <f>IFERROR(__xludf.DUMMYFUNCTION("""COMPUTED_VALUE"""),"28o 48' 45""")</f>
        <v>28o 48' 45"</v>
      </c>
      <c r="K1518" s="2" t="str">
        <f>IFERROR(__xludf.DUMMYFUNCTION("""COMPUTED_VALUE"""),"83o 47' 00""")</f>
        <v>83o 47' 00"</v>
      </c>
      <c r="L1518" s="2" t="str">
        <f>IFERROR(__xludf.DUMMYFUNCTION("""COMPUTED_VALUE"""),"83o 51' 00""")</f>
        <v>83o 51' 00"</v>
      </c>
      <c r="M1518" s="2" t="str">
        <f>IFERROR(__xludf.DUMMYFUNCTION("""COMPUTED_VALUE"""),"Muktinath (Mustang)")</f>
        <v>Muktinath (Mustang)</v>
      </c>
    </row>
    <row r="1519">
      <c r="A1519" s="2">
        <f>IFERROR(__xludf.DUMMYFUNCTION("""COMPUTED_VALUE"""),1518.0)</f>
        <v>1518</v>
      </c>
      <c r="B1519" s="2" t="str">
        <f>IFERROR(__xludf.DUMMYFUNCTION("""COMPUTED_VALUE"""),"Manahari Khola SHP")</f>
        <v>Manahari Khola SHP</v>
      </c>
      <c r="C1519" s="2">
        <f>IFERROR(__xludf.DUMMYFUNCTION("""COMPUTED_VALUE"""),0.99)</f>
        <v>0.99</v>
      </c>
      <c r="D1519" s="2" t="str">
        <f>IFERROR(__xludf.DUMMYFUNCTION("""COMPUTED_VALUE"""),"Manahari")</f>
        <v>Manahari</v>
      </c>
      <c r="E1519" s="2">
        <f>IFERROR(__xludf.DUMMYFUNCTION("""COMPUTED_VALUE"""),7103.0)</f>
        <v>7103</v>
      </c>
      <c r="F1519" s="3">
        <f>IFERROR(__xludf.DUMMYFUNCTION("""COMPUTED_VALUE"""),61033.0)</f>
        <v>61033</v>
      </c>
      <c r="G1519" s="2" t="str">
        <f>IFERROR(__xludf.DUMMYFUNCTION("""COMPUTED_VALUE"""),"Rudra Energy and Engineering Pvt Ltd")</f>
        <v>Rudra Energy and Engineering Pvt Ltd</v>
      </c>
      <c r="H1519" s="2" t="str">
        <f>IFERROR(__xludf.DUMMYFUNCTION("""COMPUTED_VALUE"""),"GPO Box:13720, Kathmandu, Tel: 4247682,9841259676")</f>
        <v>GPO Box:13720, Kathmandu, Tel: 4247682,9841259676</v>
      </c>
      <c r="I1519" s="2" t="str">
        <f>IFERROR(__xludf.DUMMYFUNCTION("""COMPUTED_VALUE"""),"27o 32' 18""")</f>
        <v>27o 32' 18"</v>
      </c>
      <c r="J1519" s="2" t="str">
        <f>IFERROR(__xludf.DUMMYFUNCTION("""COMPUTED_VALUE"""),"27o 34' 14""")</f>
        <v>27o 34' 14"</v>
      </c>
      <c r="K1519" s="2" t="str">
        <f>IFERROR(__xludf.DUMMYFUNCTION("""COMPUTED_VALUE"""),"84o 49' 54""")</f>
        <v>84o 49' 54"</v>
      </c>
      <c r="L1519" s="2" t="str">
        <f>IFERROR(__xludf.DUMMYFUNCTION("""COMPUTED_VALUE"""),"84o 52' 50""")</f>
        <v>84o 52' 50"</v>
      </c>
      <c r="M1519" s="2" t="str">
        <f>IFERROR(__xludf.DUMMYFUNCTION("""COMPUTED_VALUE"""),"Sarikhet Palase,Raksorang (Makawanpur)")</f>
        <v>Sarikhet Palase,Raksorang (Makawanpur)</v>
      </c>
    </row>
    <row r="1520">
      <c r="A1520" s="2">
        <f>IFERROR(__xludf.DUMMYFUNCTION("""COMPUTED_VALUE"""),1519.0)</f>
        <v>1519</v>
      </c>
      <c r="B1520" s="2" t="str">
        <f>IFERROR(__xludf.DUMMYFUNCTION("""COMPUTED_VALUE"""),"Sakhi Khola SHP")</f>
        <v>Sakhi Khola SHP</v>
      </c>
      <c r="C1520" s="2">
        <f>IFERROR(__xludf.DUMMYFUNCTION("""COMPUTED_VALUE"""),0.724)</f>
        <v>0.724</v>
      </c>
      <c r="D1520" s="2" t="str">
        <f>IFERROR(__xludf.DUMMYFUNCTION("""COMPUTED_VALUE"""),"Sakhi")</f>
        <v>Sakhi</v>
      </c>
      <c r="E1520" s="2">
        <f>IFERROR(__xludf.DUMMYFUNCTION("""COMPUTED_VALUE"""),7137.0)</f>
        <v>7137</v>
      </c>
      <c r="F1520" s="3">
        <f>IFERROR(__xludf.DUMMYFUNCTION("""COMPUTED_VALUE"""),61035.0)</f>
        <v>61035</v>
      </c>
      <c r="G1520" s="2" t="str">
        <f>IFERROR(__xludf.DUMMYFUNCTION("""COMPUTED_VALUE"""),"Bharat K. Pokhrel, Amar B. Mahra")</f>
        <v>Bharat K. Pokhrel, Amar B. Mahra</v>
      </c>
      <c r="H1520" s="2" t="str">
        <f>IFERROR(__xludf.DUMMYFUNCTION("""COMPUTED_VALUE"""),"Saudimar VDC-1, Dang, Tel: 9857831393")</f>
        <v>Saudimar VDC-1, Dang, Tel: 9857831393</v>
      </c>
      <c r="I1520" s="2" t="str">
        <f>IFERROR(__xludf.DUMMYFUNCTION("""COMPUTED_VALUE"""),"28o 12' 38""")</f>
        <v>28o 12' 38"</v>
      </c>
      <c r="J1520" s="2" t="str">
        <f>IFERROR(__xludf.DUMMYFUNCTION("""COMPUTED_VALUE"""),"28o 13' 44""")</f>
        <v>28o 13' 44"</v>
      </c>
      <c r="K1520" s="2" t="str">
        <f>IFERROR(__xludf.DUMMYFUNCTION("""COMPUTED_VALUE"""),"82o 34' 18""")</f>
        <v>82o 34' 18"</v>
      </c>
      <c r="L1520" s="2" t="str">
        <f>IFERROR(__xludf.DUMMYFUNCTION("""COMPUTED_VALUE"""),"82o 36' 02""")</f>
        <v>82o 36' 02"</v>
      </c>
      <c r="M1520" s="2" t="str">
        <f>IFERROR(__xludf.DUMMYFUNCTION("""COMPUTED_VALUE"""),"Jauli Pokhari (Rolpa)")</f>
        <v>Jauli Pokhari (Rolpa)</v>
      </c>
    </row>
    <row r="1521">
      <c r="A1521" s="2">
        <f>IFERROR(__xludf.DUMMYFUNCTION("""COMPUTED_VALUE"""),1520.0)</f>
        <v>1520</v>
      </c>
      <c r="B1521" s="2" t="str">
        <f>IFERROR(__xludf.DUMMYFUNCTION("""COMPUTED_VALUE"""),"Siu Khola SHP")</f>
        <v>Siu Khola SHP</v>
      </c>
      <c r="C1521" s="2">
        <f>IFERROR(__xludf.DUMMYFUNCTION("""COMPUTED_VALUE"""),0.203)</f>
        <v>0.203</v>
      </c>
      <c r="D1521" s="2" t="str">
        <f>IFERROR(__xludf.DUMMYFUNCTION("""COMPUTED_VALUE"""),"Siu")</f>
        <v>Siu</v>
      </c>
      <c r="E1521" s="2">
        <f>IFERROR(__xludf.DUMMYFUNCTION("""COMPUTED_VALUE"""),7138.0)</f>
        <v>7138</v>
      </c>
      <c r="F1521" s="3">
        <f>IFERROR(__xludf.DUMMYFUNCTION("""COMPUTED_VALUE"""),61035.0)</f>
        <v>61035</v>
      </c>
      <c r="G1521" s="2" t="str">
        <f>IFERROR(__xludf.DUMMYFUNCTION("""COMPUTED_VALUE"""),"Bharat K. Pokhrel, Amar B. Mahra")</f>
        <v>Bharat K. Pokhrel, Amar B. Mahra</v>
      </c>
      <c r="H1521" s="2" t="str">
        <f>IFERROR(__xludf.DUMMYFUNCTION("""COMPUTED_VALUE"""),"Saudimar VDC-1, Dang, Tel: 9857831393")</f>
        <v>Saudimar VDC-1, Dang, Tel: 9857831393</v>
      </c>
      <c r="I1521" s="2" t="str">
        <f>IFERROR(__xludf.DUMMYFUNCTION("""COMPUTED_VALUE"""),"28o 12' 48""")</f>
        <v>28o 12' 48"</v>
      </c>
      <c r="J1521" s="2" t="str">
        <f>IFERROR(__xludf.DUMMYFUNCTION("""COMPUTED_VALUE"""),"28o 13' 26""")</f>
        <v>28o 13' 26"</v>
      </c>
      <c r="K1521" s="2" t="str">
        <f>IFERROR(__xludf.DUMMYFUNCTION("""COMPUTED_VALUE"""),"82o 36' 13""")</f>
        <v>82o 36' 13"</v>
      </c>
      <c r="L1521" s="2" t="str">
        <f>IFERROR(__xludf.DUMMYFUNCTION("""COMPUTED_VALUE"""),"82o 37' 30""")</f>
        <v>82o 37' 30"</v>
      </c>
      <c r="M1521" s="2" t="str">
        <f>IFERROR(__xludf.DUMMYFUNCTION("""COMPUTED_VALUE"""),"Ghodagaun (Rolpa)")</f>
        <v>Ghodagaun (Rolpa)</v>
      </c>
    </row>
    <row r="1522">
      <c r="A1522" s="2">
        <f>IFERROR(__xludf.DUMMYFUNCTION("""COMPUTED_VALUE"""),1521.0)</f>
        <v>1521</v>
      </c>
      <c r="B1522" s="2" t="str">
        <f>IFERROR(__xludf.DUMMYFUNCTION("""COMPUTED_VALUE"""),"Khadam Khola SHP")</f>
        <v>Khadam Khola SHP</v>
      </c>
      <c r="C1522" s="2">
        <f>IFERROR(__xludf.DUMMYFUNCTION("""COMPUTED_VALUE"""),0.922)</f>
        <v>0.922</v>
      </c>
      <c r="D1522" s="2" t="str">
        <f>IFERROR(__xludf.DUMMYFUNCTION("""COMPUTED_VALUE"""),"Khadam")</f>
        <v>Khadam</v>
      </c>
      <c r="E1522" s="2">
        <f>IFERROR(__xludf.DUMMYFUNCTION("""COMPUTED_VALUE"""),7165.0)</f>
        <v>7165</v>
      </c>
      <c r="F1522" s="3">
        <f>IFERROR(__xludf.DUMMYFUNCTION("""COMPUTED_VALUE"""),61038.0)</f>
        <v>61038</v>
      </c>
      <c r="G1522" s="2" t="str">
        <f>IFERROR(__xludf.DUMMYFUNCTION("""COMPUTED_VALUE"""),"Pati Hydropower Company Pvt Ltd")</f>
        <v>Pati Hydropower Company Pvt Ltd</v>
      </c>
      <c r="H1522" s="2" t="str">
        <f>IFERROR(__xludf.DUMMYFUNCTION("""COMPUTED_VALUE"""),"Ithari-1, Sunsari, Tel; 9852049411")</f>
        <v>Ithari-1, Sunsari, Tel; 9852049411</v>
      </c>
      <c r="I1522" s="2" t="str">
        <f>IFERROR(__xludf.DUMMYFUNCTION("""COMPUTED_VALUE"""),"26o 50' 00""")</f>
        <v>26o 50' 00"</v>
      </c>
      <c r="J1522" s="2" t="str">
        <f>IFERROR(__xludf.DUMMYFUNCTION("""COMPUTED_VALUE"""),"26o 52' 30""")</f>
        <v>26o 52' 30"</v>
      </c>
      <c r="K1522" s="2" t="str">
        <f>IFERROR(__xludf.DUMMYFUNCTION("""COMPUTED_VALUE"""),"87o 25' 00""")</f>
        <v>87o 25' 00"</v>
      </c>
      <c r="L1522" s="2" t="str">
        <f>IFERROR(__xludf.DUMMYFUNCTION("""COMPUTED_VALUE"""),"87o 27' 30""")</f>
        <v>87o 27' 30"</v>
      </c>
      <c r="M1522" s="2" t="str">
        <f>IFERROR(__xludf.DUMMYFUNCTION("""COMPUTED_VALUE"""),"Patigaun (Morang)")</f>
        <v>Patigaun (Morang)</v>
      </c>
    </row>
    <row r="1523">
      <c r="A1523" s="2">
        <f>IFERROR(__xludf.DUMMYFUNCTION("""COMPUTED_VALUE"""),1522.0)</f>
        <v>1522</v>
      </c>
      <c r="B1523" s="2" t="str">
        <f>IFERROR(__xludf.DUMMYFUNCTION("""COMPUTED_VALUE"""),"Sinbandi Khola SHP")</f>
        <v>Sinbandi Khola SHP</v>
      </c>
      <c r="C1523" s="2">
        <f>IFERROR(__xludf.DUMMYFUNCTION("""COMPUTED_VALUE"""),0.44)</f>
        <v>0.44</v>
      </c>
      <c r="D1523" s="2" t="str">
        <f>IFERROR(__xludf.DUMMYFUNCTION("""COMPUTED_VALUE"""),"Sinbandi")</f>
        <v>Sinbandi</v>
      </c>
      <c r="E1523" s="2">
        <f>IFERROR(__xludf.DUMMYFUNCTION("""COMPUTED_VALUE"""),7211.0)</f>
        <v>7211</v>
      </c>
      <c r="F1523" s="3">
        <f>IFERROR(__xludf.DUMMYFUNCTION("""COMPUTED_VALUE"""),61042.0)</f>
        <v>61042</v>
      </c>
      <c r="G1523" s="2" t="str">
        <f>IFERROR(__xludf.DUMMYFUNCTION("""COMPUTED_VALUE"""),"Shova Pyakurel")</f>
        <v>Shova Pyakurel</v>
      </c>
      <c r="H1523" s="2" t="str">
        <f>IFERROR(__xludf.DUMMYFUNCTION("""COMPUTED_VALUE"""),"Gerkhu-8, Nuwakot, P.O. Box: 9565, Tel: 01-4381419, 9751009948")</f>
        <v>Gerkhu-8, Nuwakot, P.O. Box: 9565, Tel: 01-4381419, 9751009948</v>
      </c>
      <c r="I1523" s="2" t="str">
        <f>IFERROR(__xludf.DUMMYFUNCTION("""COMPUTED_VALUE"""),"28o 02' 15""")</f>
        <v>28o 02' 15"</v>
      </c>
      <c r="J1523" s="2" t="str">
        <f>IFERROR(__xludf.DUMMYFUNCTION("""COMPUTED_VALUE"""),"28o 03' 10""")</f>
        <v>28o 03' 10"</v>
      </c>
      <c r="K1523" s="2" t="str">
        <f>IFERROR(__xludf.DUMMYFUNCTION("""COMPUTED_VALUE"""),"85o 18' 21""")</f>
        <v>85o 18' 21"</v>
      </c>
      <c r="L1523" s="2" t="str">
        <f>IFERROR(__xludf.DUMMYFUNCTION("""COMPUTED_VALUE"""),"85o 20' 00""")</f>
        <v>85o 20' 00"</v>
      </c>
      <c r="M1523" s="2" t="str">
        <f>IFERROR(__xludf.DUMMYFUNCTION("""COMPUTED_VALUE"""),"Yarsa (Rasuwa)")</f>
        <v>Yarsa (Rasuwa)</v>
      </c>
    </row>
    <row r="1524">
      <c r="A1524" s="2">
        <f>IFERROR(__xludf.DUMMYFUNCTION("""COMPUTED_VALUE"""),1523.0)</f>
        <v>1523</v>
      </c>
      <c r="B1524" s="2" t="str">
        <f>IFERROR(__xludf.DUMMYFUNCTION("""COMPUTED_VALUE"""),"Kelan Khola SHP")</f>
        <v>Kelan Khola SHP</v>
      </c>
      <c r="C1524" s="2">
        <f>IFERROR(__xludf.DUMMYFUNCTION("""COMPUTED_VALUE"""),0.89)</f>
        <v>0.89</v>
      </c>
      <c r="D1524" s="2" t="str">
        <f>IFERROR(__xludf.DUMMYFUNCTION("""COMPUTED_VALUE"""),"Kelan")</f>
        <v>Kelan</v>
      </c>
      <c r="E1524" s="2">
        <f>IFERROR(__xludf.DUMMYFUNCTION("""COMPUTED_VALUE"""),7212.0)</f>
        <v>7212</v>
      </c>
      <c r="F1524" s="3">
        <f>IFERROR(__xludf.DUMMYFUNCTION("""COMPUTED_VALUE"""),61042.0)</f>
        <v>61042</v>
      </c>
      <c r="G1524" s="2" t="str">
        <f>IFERROR(__xludf.DUMMYFUNCTION("""COMPUTED_VALUE"""),"Sujan Adhikari &amp; Krishna Prasad Ghimire")</f>
        <v>Sujan Adhikari &amp; Krishna Prasad Ghimire</v>
      </c>
      <c r="H1524" s="2" t="str">
        <f>IFERROR(__xludf.DUMMYFUNCTION("""COMPUTED_VALUE"""),"Ganesthan-4, Tel: 9841776078 / Gerkhu-8, Nuwakot, P.O. Box: 9565, Tel: 
9741049559, 9841671841")</f>
        <v>Ganesthan-4, Tel: 9841776078 / Gerkhu-8, Nuwakot, P.O. Box: 9565, Tel: 
9741049559, 9841671841</v>
      </c>
      <c r="I1524" s="2" t="str">
        <f>IFERROR(__xludf.DUMMYFUNCTION("""COMPUTED_VALUE"""),"28o 01' 05""")</f>
        <v>28o 01' 05"</v>
      </c>
      <c r="J1524" s="2" t="str">
        <f>IFERROR(__xludf.DUMMYFUNCTION("""COMPUTED_VALUE"""),"28o 02' 15""")</f>
        <v>28o 02' 15"</v>
      </c>
      <c r="K1524" s="2" t="str">
        <f>IFERROR(__xludf.DUMMYFUNCTION("""COMPUTED_VALUE"""),"85o 18' 44""")</f>
        <v>85o 18' 44"</v>
      </c>
      <c r="L1524" s="2" t="str">
        <f>IFERROR(__xludf.DUMMYFUNCTION("""COMPUTED_VALUE"""),"85o 21' 45""")</f>
        <v>85o 21' 45"</v>
      </c>
      <c r="M1524" s="2" t="str">
        <f>IFERROR(__xludf.DUMMYFUNCTION("""COMPUTED_VALUE"""),"Yarsa (Rasuwa)")</f>
        <v>Yarsa (Rasuwa)</v>
      </c>
    </row>
    <row r="1525">
      <c r="A1525" s="2">
        <f>IFERROR(__xludf.DUMMYFUNCTION("""COMPUTED_VALUE"""),1524.0)</f>
        <v>1524</v>
      </c>
      <c r="B1525" s="2" t="str">
        <f>IFERROR(__xludf.DUMMYFUNCTION("""COMPUTED_VALUE"""),"Sapsu Khola HPP")</f>
        <v>Sapsu Khola HPP</v>
      </c>
      <c r="C1525" s="2">
        <f>IFERROR(__xludf.DUMMYFUNCTION("""COMPUTED_VALUE"""),2.25)</f>
        <v>2.25</v>
      </c>
      <c r="D1525" s="2" t="str">
        <f>IFERROR(__xludf.DUMMYFUNCTION("""COMPUTED_VALUE"""),"Sapsu")</f>
        <v>Sapsu</v>
      </c>
      <c r="E1525" s="2">
        <f>IFERROR(__xludf.DUMMYFUNCTION("""COMPUTED_VALUE"""),7224.0)</f>
        <v>7224</v>
      </c>
      <c r="F1525" s="3">
        <f>IFERROR(__xludf.DUMMYFUNCTION("""COMPUTED_VALUE"""),61044.0)</f>
        <v>61044</v>
      </c>
      <c r="G1525" s="2" t="str">
        <f>IFERROR(__xludf.DUMMYFUNCTION("""COMPUTED_VALUE"""),"Lila Bahadur Sunuwar")</f>
        <v>Lila Bahadur Sunuwar</v>
      </c>
      <c r="H1525" s="2" t="str">
        <f>IFERROR(__xludf.DUMMYFUNCTION("""COMPUTED_VALUE"""),"Kuwukasthali-2, Ramechhap, Tel; 9741048107")</f>
        <v>Kuwukasthali-2, Ramechhap, Tel; 9741048107</v>
      </c>
      <c r="I1525" s="2" t="str">
        <f>IFERROR(__xludf.DUMMYFUNCTION("""COMPUTED_VALUE"""),"27o 30' 29""")</f>
        <v>27o 30' 29"</v>
      </c>
      <c r="J1525" s="2" t="str">
        <f>IFERROR(__xludf.DUMMYFUNCTION("""COMPUTED_VALUE"""),"27o 31' 49""")</f>
        <v>27o 31' 49"</v>
      </c>
      <c r="K1525" s="2" t="str">
        <f>IFERROR(__xludf.DUMMYFUNCTION("""COMPUTED_VALUE"""),"86o 19' 22""")</f>
        <v>86o 19' 22"</v>
      </c>
      <c r="L1525" s="2" t="str">
        <f>IFERROR(__xludf.DUMMYFUNCTION("""COMPUTED_VALUE"""),"86o 20' 12""")</f>
        <v>86o 20' 12"</v>
      </c>
      <c r="M1525" s="2" t="str">
        <f>IFERROR(__xludf.DUMMYFUNCTION("""COMPUTED_VALUE"""),"Kubukasthali,Pritee (Ramechhap)")</f>
        <v>Kubukasthali,Pritee (Ramechhap)</v>
      </c>
    </row>
    <row r="1526">
      <c r="A1526" s="2">
        <f>IFERROR(__xludf.DUMMYFUNCTION("""COMPUTED_VALUE"""),1525.0)</f>
        <v>1525</v>
      </c>
      <c r="B1526" s="2" t="str">
        <f>IFERROR(__xludf.DUMMYFUNCTION("""COMPUTED_VALUE"""),"Daraundi Khola HPP")</f>
        <v>Daraundi Khola HPP</v>
      </c>
      <c r="C1526" s="2">
        <f>IFERROR(__xludf.DUMMYFUNCTION("""COMPUTED_VALUE"""),5.5)</f>
        <v>5.5</v>
      </c>
      <c r="D1526" s="2" t="str">
        <f>IFERROR(__xludf.DUMMYFUNCTION("""COMPUTED_VALUE"""),"Daraundi")</f>
        <v>Daraundi</v>
      </c>
      <c r="E1526" s="2">
        <f>IFERROR(__xludf.DUMMYFUNCTION("""COMPUTED_VALUE"""),7231.0)</f>
        <v>7231</v>
      </c>
      <c r="F1526" s="3">
        <f>IFERROR(__xludf.DUMMYFUNCTION("""COMPUTED_VALUE"""),61044.0)</f>
        <v>61044</v>
      </c>
      <c r="G1526" s="2" t="str">
        <f>IFERROR(__xludf.DUMMYFUNCTION("""COMPUTED_VALUE"""),"Naresh Neupane")</f>
        <v>Naresh Neupane</v>
      </c>
      <c r="H1526" s="2" t="str">
        <f>IFERROR(__xludf.DUMMYFUNCTION("""COMPUTED_VALUE"""),"Battisputlai , Kathmandu Tel: 9851000384")</f>
        <v>Battisputlai , Kathmandu Tel: 9851000384</v>
      </c>
      <c r="I1526" s="2" t="str">
        <f>IFERROR(__xludf.DUMMYFUNCTION("""COMPUTED_VALUE"""),"28o 15' 00""")</f>
        <v>28o 15' 00"</v>
      </c>
      <c r="J1526" s="2" t="str">
        <f>IFERROR(__xludf.DUMMYFUNCTION("""COMPUTED_VALUE"""),"28o 16' 15""")</f>
        <v>28o 16' 15"</v>
      </c>
      <c r="K1526" s="2" t="str">
        <f>IFERROR(__xludf.DUMMYFUNCTION("""COMPUTED_VALUE"""),"84o 43' 17""")</f>
        <v>84o 43' 17"</v>
      </c>
      <c r="L1526" s="2" t="str">
        <f>IFERROR(__xludf.DUMMYFUNCTION("""COMPUTED_VALUE"""),"84o 44' 40""")</f>
        <v>84o 44' 40"</v>
      </c>
      <c r="M1526" s="2" t="str">
        <f>IFERROR(__xludf.DUMMYFUNCTION("""COMPUTED_VALUE"""),"Ghyalchok (Gorkha)")</f>
        <v>Ghyalchok (Gorkha)</v>
      </c>
    </row>
    <row r="1527">
      <c r="A1527" s="2">
        <f>IFERROR(__xludf.DUMMYFUNCTION("""COMPUTED_VALUE"""),1526.0)</f>
        <v>1526</v>
      </c>
      <c r="B1527" s="2" t="str">
        <f>IFERROR(__xludf.DUMMYFUNCTION("""COMPUTED_VALUE"""),"Khagabesi Khola HPP")</f>
        <v>Khagabesi Khola HPP</v>
      </c>
      <c r="C1527" s="2">
        <f>IFERROR(__xludf.DUMMYFUNCTION("""COMPUTED_VALUE"""),0.99)</f>
        <v>0.99</v>
      </c>
      <c r="D1527" s="2" t="str">
        <f>IFERROR(__xludf.DUMMYFUNCTION("""COMPUTED_VALUE"""),"Khagabesi")</f>
        <v>Khagabesi</v>
      </c>
      <c r="E1527" s="2">
        <f>IFERROR(__xludf.DUMMYFUNCTION("""COMPUTED_VALUE"""),7232.0)</f>
        <v>7232</v>
      </c>
      <c r="F1527" s="3">
        <f>IFERROR(__xludf.DUMMYFUNCTION("""COMPUTED_VALUE"""),61044.0)</f>
        <v>61044</v>
      </c>
      <c r="G1527" s="2" t="str">
        <f>IFERROR(__xludf.DUMMYFUNCTION("""COMPUTED_VALUE"""),"Goma Panthi")</f>
        <v>Goma Panthi</v>
      </c>
      <c r="H1527" s="2" t="str">
        <f>IFERROR(__xludf.DUMMYFUNCTION("""COMPUTED_VALUE"""),"Hansapur VDC-3, Arghakhachi")</f>
        <v>Hansapur VDC-3, Arghakhachi</v>
      </c>
      <c r="I1527" s="2" t="str">
        <f>IFERROR(__xludf.DUMMYFUNCTION("""COMPUTED_VALUE"""),"28o 00' 16""")</f>
        <v>28o 00' 16"</v>
      </c>
      <c r="J1527" s="2" t="str">
        <f>IFERROR(__xludf.DUMMYFUNCTION("""COMPUTED_VALUE"""),"28o 00' 55""")</f>
        <v>28o 00' 55"</v>
      </c>
      <c r="K1527" s="2" t="str">
        <f>IFERROR(__xludf.DUMMYFUNCTION("""COMPUTED_VALUE"""),"82o 59' 00""")</f>
        <v>82o 59' 00"</v>
      </c>
      <c r="L1527" s="2" t="str">
        <f>IFERROR(__xludf.DUMMYFUNCTION("""COMPUTED_VALUE"""),"83o 00' 02""")</f>
        <v>83o 00' 02"</v>
      </c>
      <c r="M1527" s="2" t="str">
        <f>IFERROR(__xludf.DUMMYFUNCTION("""COMPUTED_VALUE"""),"Asurkot,Dhakawang,Dharapani (Arghakhanchi)")</f>
        <v>Asurkot,Dhakawang,Dharapani (Arghakhanchi)</v>
      </c>
    </row>
    <row r="1528">
      <c r="A1528" s="2">
        <f>IFERROR(__xludf.DUMMYFUNCTION("""COMPUTED_VALUE"""),1527.0)</f>
        <v>1527</v>
      </c>
      <c r="B1528" s="2" t="str">
        <f>IFERROR(__xludf.DUMMYFUNCTION("""COMPUTED_VALUE"""),"Harpan Khola SHP")</f>
        <v>Harpan Khola SHP</v>
      </c>
      <c r="C1528" s="2">
        <f>IFERROR(__xludf.DUMMYFUNCTION("""COMPUTED_VALUE"""),0.8)</f>
        <v>0.8</v>
      </c>
      <c r="D1528" s="2" t="str">
        <f>IFERROR(__xludf.DUMMYFUNCTION("""COMPUTED_VALUE"""),"Harpan")</f>
        <v>Harpan</v>
      </c>
      <c r="E1528" s="2">
        <f>IFERROR(__xludf.DUMMYFUNCTION("""COMPUTED_VALUE"""),7233.0)</f>
        <v>7233</v>
      </c>
      <c r="F1528" s="3">
        <f>IFERROR(__xludf.DUMMYFUNCTION("""COMPUTED_VALUE"""),61044.0)</f>
        <v>61044</v>
      </c>
      <c r="G1528" s="2" t="str">
        <f>IFERROR(__xludf.DUMMYFUNCTION("""COMPUTED_VALUE"""),"Prem Kumar Thapa, B.K.Jha, N.K.Mandal, G.K. Pathak")</f>
        <v>Prem Kumar Thapa, B.K.Jha, N.K.Mandal, G.K. Pathak</v>
      </c>
      <c r="H1528" s="2" t="str">
        <f>IFERROR(__xludf.DUMMYFUNCTION("""COMPUTED_VALUE"""),"Pokhra-9, Kaski, Tel; 4247682, 9841259676, 984113595")</f>
        <v>Pokhra-9, Kaski, Tel; 4247682, 9841259676, 984113595</v>
      </c>
      <c r="I1528" s="2" t="str">
        <f>IFERROR(__xludf.DUMMYFUNCTION("""COMPUTED_VALUE"""),"28o 14' 02""")</f>
        <v>28o 14' 02"</v>
      </c>
      <c r="J1528" s="2" t="str">
        <f>IFERROR(__xludf.DUMMYFUNCTION("""COMPUTED_VALUE"""),"28o 14' 42""")</f>
        <v>28o 14' 42"</v>
      </c>
      <c r="K1528" s="2" t="str">
        <f>IFERROR(__xludf.DUMMYFUNCTION("""COMPUTED_VALUE"""),"83o 50' 57""")</f>
        <v>83o 50' 57"</v>
      </c>
      <c r="L1528" s="2" t="str">
        <f>IFERROR(__xludf.DUMMYFUNCTION("""COMPUTED_VALUE"""),"83o 52' 26""")</f>
        <v>83o 52' 26"</v>
      </c>
      <c r="M1528" s="2" t="str">
        <f>IFERROR(__xludf.DUMMYFUNCTION("""COMPUTED_VALUE"""),"Bhadaure Tamagi,Chapakot (Kaski)")</f>
        <v>Bhadaure Tamagi,Chapakot (Kaski)</v>
      </c>
    </row>
    <row r="1529">
      <c r="A1529" s="2">
        <f>IFERROR(__xludf.DUMMYFUNCTION("""COMPUTED_VALUE"""),1528.0)</f>
        <v>1528</v>
      </c>
      <c r="B1529" s="2" t="str">
        <f>IFERROR(__xludf.DUMMYFUNCTION("""COMPUTED_VALUE"""),"Chauri Khola SHP")</f>
        <v>Chauri Khola SHP</v>
      </c>
      <c r="C1529" s="2">
        <f>IFERROR(__xludf.DUMMYFUNCTION("""COMPUTED_VALUE"""),0.998)</f>
        <v>0.998</v>
      </c>
      <c r="D1529" s="2" t="str">
        <f>IFERROR(__xludf.DUMMYFUNCTION("""COMPUTED_VALUE"""),"Chauri")</f>
        <v>Chauri</v>
      </c>
      <c r="E1529" s="2">
        <f>IFERROR(__xludf.DUMMYFUNCTION("""COMPUTED_VALUE"""),7235.0)</f>
        <v>7235</v>
      </c>
      <c r="F1529" s="3">
        <f>IFERROR(__xludf.DUMMYFUNCTION("""COMPUTED_VALUE"""),61044.0)</f>
        <v>61044</v>
      </c>
      <c r="G1529" s="2" t="str">
        <f>IFERROR(__xludf.DUMMYFUNCTION("""COMPUTED_VALUE"""),"Sofiya Sazda Lama, Sofila Sazda Lama")</f>
        <v>Sofiya Sazda Lama, Sofila Sazda Lama</v>
      </c>
      <c r="H1529" s="2" t="str">
        <f>IFERROR(__xludf.DUMMYFUNCTION("""COMPUTED_VALUE"""),"Madan Kundari VDC-4, Kavrepalancowk, Tel: 9808355138,4257505")</f>
        <v>Madan Kundari VDC-4, Kavrepalancowk, Tel: 9808355138,4257505</v>
      </c>
      <c r="I1529" s="2" t="str">
        <f>IFERROR(__xludf.DUMMYFUNCTION("""COMPUTED_VALUE"""),"27o 31' 00""")</f>
        <v>27o 31' 00"</v>
      </c>
      <c r="J1529" s="2" t="str">
        <f>IFERROR(__xludf.DUMMYFUNCTION("""COMPUTED_VALUE"""),"27o 42' 00""")</f>
        <v>27o 42' 00"</v>
      </c>
      <c r="K1529" s="2" t="str">
        <f>IFERROR(__xludf.DUMMYFUNCTION("""COMPUTED_VALUE"""),"85o 47' 30""")</f>
        <v>85o 47' 30"</v>
      </c>
      <c r="L1529" s="2" t="str">
        <f>IFERROR(__xludf.DUMMYFUNCTION("""COMPUTED_VALUE"""),"85o 57' 30""")</f>
        <v>85o 57' 30"</v>
      </c>
      <c r="M1529" s="2" t="str">
        <f>IFERROR(__xludf.DUMMYFUNCTION("""COMPUTED_VALUE"""),"Madan Kundari (Kavrepalanchok)")</f>
        <v>Madan Kundari (Kavrepalanchok)</v>
      </c>
    </row>
    <row r="1530">
      <c r="A1530" s="2">
        <f>IFERROR(__xludf.DUMMYFUNCTION("""COMPUTED_VALUE"""),1529.0)</f>
        <v>1529</v>
      </c>
      <c r="B1530" s="2" t="str">
        <f>IFERROR(__xludf.DUMMYFUNCTION("""COMPUTED_VALUE"""),"Mugu-Tamara Karnali")</f>
        <v>Mugu-Tamara Karnali</v>
      </c>
      <c r="C1530" s="2">
        <f>IFERROR(__xludf.DUMMYFUNCTION("""COMPUTED_VALUE"""),166.0)</f>
        <v>166</v>
      </c>
      <c r="D1530" s="2" t="str">
        <f>IFERROR(__xludf.DUMMYFUNCTION("""COMPUTED_VALUE"""),"Karnali")</f>
        <v>Karnali</v>
      </c>
      <c r="E1530" s="2">
        <f>IFERROR(__xludf.DUMMYFUNCTION("""COMPUTED_VALUE"""),7253.0)</f>
        <v>7253</v>
      </c>
      <c r="F1530" s="3">
        <f>IFERROR(__xludf.DUMMYFUNCTION("""COMPUTED_VALUE"""),61045.0)</f>
        <v>61045</v>
      </c>
      <c r="G1530" s="2" t="str">
        <f>IFERROR(__xludf.DUMMYFUNCTION("""COMPUTED_VALUE"""),"Jaljyoti Power Pvt Ltd")</f>
        <v>Jaljyoti Power Pvt Ltd</v>
      </c>
      <c r="H1530" s="2" t="str">
        <f>IFERROR(__xludf.DUMMYFUNCTION("""COMPUTED_VALUE"""),"Kathmandu, Tel: 4248895")</f>
        <v>Kathmandu, Tel: 4248895</v>
      </c>
      <c r="I1530" s="2" t="str">
        <f>IFERROR(__xludf.DUMMYFUNCTION("""COMPUTED_VALUE"""),"29o 34' 30""")</f>
        <v>29o 34' 30"</v>
      </c>
      <c r="J1530" s="2" t="str">
        <f>IFERROR(__xludf.DUMMYFUNCTION("""COMPUTED_VALUE"""),"29o 38' 30""")</f>
        <v>29o 38' 30"</v>
      </c>
      <c r="K1530" s="2" t="str">
        <f>IFERROR(__xludf.DUMMYFUNCTION("""COMPUTED_VALUE"""),"81o 46' 00""")</f>
        <v>81o 46' 00"</v>
      </c>
      <c r="L1530" s="2" t="str">
        <f>IFERROR(__xludf.DUMMYFUNCTION("""COMPUTED_VALUE"""),"81o 50' 30""")</f>
        <v>81o 50' 30"</v>
      </c>
      <c r="M1530" s="2" t="str">
        <f>IFERROR(__xludf.DUMMYFUNCTION("""COMPUTED_VALUE"""),"Hyanglung (Mugu)")</f>
        <v>Hyanglung (Mugu)</v>
      </c>
    </row>
    <row r="1531">
      <c r="A1531" s="2">
        <f>IFERROR(__xludf.DUMMYFUNCTION("""COMPUTED_VALUE"""),1530.0)</f>
        <v>1530</v>
      </c>
      <c r="B1531" s="2" t="str">
        <f>IFERROR(__xludf.DUMMYFUNCTION("""COMPUTED_VALUE"""),"Gandi gad SHP")</f>
        <v>Gandi gad SHP</v>
      </c>
      <c r="C1531" s="2">
        <f>IFERROR(__xludf.DUMMYFUNCTION("""COMPUTED_VALUE"""),1.0)</f>
        <v>1</v>
      </c>
      <c r="D1531" s="2" t="str">
        <f>IFERROR(__xludf.DUMMYFUNCTION("""COMPUTED_VALUE"""),"Gandi gad")</f>
        <v>Gandi gad</v>
      </c>
      <c r="E1531" s="2">
        <f>IFERROR(__xludf.DUMMYFUNCTION("""COMPUTED_VALUE"""),7267.0)</f>
        <v>7267</v>
      </c>
      <c r="F1531" s="3">
        <f>IFERROR(__xludf.DUMMYFUNCTION("""COMPUTED_VALUE"""),61046.0)</f>
        <v>61046</v>
      </c>
      <c r="G1531" s="2" t="str">
        <f>IFERROR(__xludf.DUMMYFUNCTION("""COMPUTED_VALUE"""),"Birat Hydropower Pvt Ltd")</f>
        <v>Birat Hydropower Pvt Ltd</v>
      </c>
      <c r="H1531" s="2" t="str">
        <f>IFERROR(__xludf.DUMMYFUNCTION("""COMPUTED_VALUE"""),"Kathmandu Municipality-10, Kathmandu")</f>
        <v>Kathmandu Municipality-10, Kathmandu</v>
      </c>
      <c r="I1531" s="2" t="str">
        <f>IFERROR(__xludf.DUMMYFUNCTION("""COMPUTED_VALUE"""),"29o 40' 23""")</f>
        <v>29o 40' 23"</v>
      </c>
      <c r="J1531" s="2" t="str">
        <f>IFERROR(__xludf.DUMMYFUNCTION("""COMPUTED_VALUE"""),"29o 42' 52""")</f>
        <v>29o 42' 52"</v>
      </c>
      <c r="K1531" s="2" t="str">
        <f>IFERROR(__xludf.DUMMYFUNCTION("""COMPUTED_VALUE"""),"80o 42' 02""")</f>
        <v>80o 42' 02"</v>
      </c>
      <c r="L1531" s="2" t="str">
        <f>IFERROR(__xludf.DUMMYFUNCTION("""COMPUTED_VALUE"""),"80o 43' 59""")</f>
        <v>80o 43' 59"</v>
      </c>
      <c r="M1531" s="2" t="str">
        <f>IFERROR(__xludf.DUMMYFUNCTION("""COMPUTED_VALUE"""),"Kotpetara (Baitadi)")</f>
        <v>Kotpetara (Baitadi)</v>
      </c>
    </row>
    <row r="1532">
      <c r="A1532" s="2">
        <f>IFERROR(__xludf.DUMMYFUNCTION("""COMPUTED_VALUE"""),1531.0)</f>
        <v>1531</v>
      </c>
      <c r="B1532" s="2" t="str">
        <f>IFERROR(__xludf.DUMMYFUNCTION("""COMPUTED_VALUE"""),"Surnayagad -II HPP")</f>
        <v>Surnayagad -II HPP</v>
      </c>
      <c r="C1532" s="2">
        <f>IFERROR(__xludf.DUMMYFUNCTION("""COMPUTED_VALUE"""),6.0)</f>
        <v>6</v>
      </c>
      <c r="D1532" s="2" t="str">
        <f>IFERROR(__xludf.DUMMYFUNCTION("""COMPUTED_VALUE"""),"Surnaya Gad")</f>
        <v>Surnaya Gad</v>
      </c>
      <c r="E1532" s="2">
        <f>IFERROR(__xludf.DUMMYFUNCTION("""COMPUTED_VALUE"""),7268.0)</f>
        <v>7268</v>
      </c>
      <c r="F1532" s="3">
        <f>IFERROR(__xludf.DUMMYFUNCTION("""COMPUTED_VALUE"""),61046.0)</f>
        <v>61046</v>
      </c>
      <c r="G1532" s="2" t="str">
        <f>IFERROR(__xludf.DUMMYFUNCTION("""COMPUTED_VALUE"""),"Surnayagadh Hydropower Pvt Ltd")</f>
        <v>Surnayagadh Hydropower Pvt Ltd</v>
      </c>
      <c r="H1532" s="2" t="str">
        <f>IFERROR(__xludf.DUMMYFUNCTION("""COMPUTED_VALUE"""),"Kathmandu Municipality-10, GPO Box: 8975, Tel: 4783532")</f>
        <v>Kathmandu Municipality-10, GPO Box: 8975, Tel: 4783532</v>
      </c>
      <c r="I1532" s="2" t="str">
        <f>IFERROR(__xludf.DUMMYFUNCTION("""COMPUTED_VALUE"""),"29o 22' 47""")</f>
        <v>29o 22' 47"</v>
      </c>
      <c r="J1532" s="2" t="str">
        <f>IFERROR(__xludf.DUMMYFUNCTION("""COMPUTED_VALUE"""),"29o 23' 51""")</f>
        <v>29o 23' 51"</v>
      </c>
      <c r="K1532" s="2" t="str">
        <f>IFERROR(__xludf.DUMMYFUNCTION("""COMPUTED_VALUE"""),"80o 25' 33""")</f>
        <v>80o 25' 33"</v>
      </c>
      <c r="L1532" s="2" t="str">
        <f>IFERROR(__xludf.DUMMYFUNCTION("""COMPUTED_VALUE"""),"80o 27' 20""")</f>
        <v>80o 27' 20"</v>
      </c>
      <c r="M1532" s="2" t="str">
        <f>IFERROR(__xludf.DUMMYFUNCTION("""COMPUTED_VALUE"""),"Melauli (Baitadi)")</f>
        <v>Melauli (Baitadi)</v>
      </c>
    </row>
    <row r="1533">
      <c r="A1533" s="2">
        <f>IFERROR(__xludf.DUMMYFUNCTION("""COMPUTED_VALUE"""),1532.0)</f>
        <v>1532</v>
      </c>
      <c r="B1533" s="2" t="str">
        <f>IFERROR(__xludf.DUMMYFUNCTION("""COMPUTED_VALUE"""),"Goru Khola HPP")</f>
        <v>Goru Khola HPP</v>
      </c>
      <c r="C1533" s="2">
        <f>IFERROR(__xludf.DUMMYFUNCTION("""COMPUTED_VALUE"""),4.0)</f>
        <v>4</v>
      </c>
      <c r="D1533" s="2" t="str">
        <f>IFERROR(__xludf.DUMMYFUNCTION("""COMPUTED_VALUE"""),"Goru")</f>
        <v>Goru</v>
      </c>
      <c r="E1533" s="2">
        <f>IFERROR(__xludf.DUMMYFUNCTION("""COMPUTED_VALUE"""),7301.0)</f>
        <v>7301</v>
      </c>
      <c r="F1533" s="3">
        <f>IFERROR(__xludf.DUMMYFUNCTION("""COMPUTED_VALUE"""),61048.0)</f>
        <v>61048</v>
      </c>
      <c r="G1533" s="2" t="str">
        <f>IFERROR(__xludf.DUMMYFUNCTION("""COMPUTED_VALUE"""),"Mitharam Sharma Bajgain, Rishiram Ghimire")</f>
        <v>Mitharam Sharma Bajgain, Rishiram Ghimire</v>
      </c>
      <c r="H1533" s="2" t="str">
        <f>IFERROR(__xludf.DUMMYFUNCTION("""COMPUTED_VALUE"""),"Lalitpur Sub-metropolitan Municipality-14, Lalitpur, GPO Box: 8975, Tel: 
01-555116")</f>
        <v>Lalitpur Sub-metropolitan Municipality-14, Lalitpur, GPO Box: 8975, Tel: 
01-555116</v>
      </c>
      <c r="I1533" s="2" t="str">
        <f>IFERROR(__xludf.DUMMYFUNCTION("""COMPUTED_VALUE"""),"29o 12' 25""")</f>
        <v>29o 12' 25"</v>
      </c>
      <c r="J1533" s="2" t="str">
        <f>IFERROR(__xludf.DUMMYFUNCTION("""COMPUTED_VALUE"""),"29o 13' 31""")</f>
        <v>29o 13' 31"</v>
      </c>
      <c r="K1533" s="2" t="str">
        <f>IFERROR(__xludf.DUMMYFUNCTION("""COMPUTED_VALUE"""),"81o 55' 51""")</f>
        <v>81o 55' 51"</v>
      </c>
      <c r="L1533" s="2" t="str">
        <f>IFERROR(__xludf.DUMMYFUNCTION("""COMPUTED_VALUE"""),"81o 58' 00""")</f>
        <v>81o 58' 00"</v>
      </c>
      <c r="M1533" s="2" t="str">
        <f>IFERROR(__xludf.DUMMYFUNCTION("""COMPUTED_VALUE"""),"Ghode Mahadev (Jumla)")</f>
        <v>Ghode Mahadev (Jumla)</v>
      </c>
    </row>
    <row r="1534">
      <c r="A1534" s="2">
        <f>IFERROR(__xludf.DUMMYFUNCTION("""COMPUTED_VALUE"""),1533.0)</f>
        <v>1533</v>
      </c>
      <c r="B1534" s="2" t="str">
        <f>IFERROR(__xludf.DUMMYFUNCTION("""COMPUTED_VALUE"""),"Pegu Khola HPP")</f>
        <v>Pegu Khola HPP</v>
      </c>
      <c r="C1534" s="2">
        <f>IFERROR(__xludf.DUMMYFUNCTION("""COMPUTED_VALUE"""),3.0)</f>
        <v>3</v>
      </c>
      <c r="D1534" s="2" t="str">
        <f>IFERROR(__xludf.DUMMYFUNCTION("""COMPUTED_VALUE"""),"Pegu")</f>
        <v>Pegu</v>
      </c>
      <c r="E1534" s="2">
        <f>IFERROR(__xludf.DUMMYFUNCTION("""COMPUTED_VALUE"""),7354.0)</f>
        <v>7354</v>
      </c>
      <c r="F1534" s="3">
        <f>IFERROR(__xludf.DUMMYFUNCTION("""COMPUTED_VALUE"""),61052.0)</f>
        <v>61052</v>
      </c>
      <c r="G1534" s="2" t="str">
        <f>IFERROR(__xludf.DUMMYFUNCTION("""COMPUTED_VALUE"""),"Nima Sherpa, Chhiring Bangde Sherpa, Yingma D. Sherpa, Dawa Sherpa, Manohar 
Khadka")</f>
        <v>Nima Sherpa, Chhiring Bangde Sherpa, Yingma D. Sherpa, Dawa Sherpa, Manohar 
Khadka</v>
      </c>
      <c r="H1534" s="2" t="str">
        <f>IFERROR(__xludf.DUMMYFUNCTION("""COMPUTED_VALUE"""),"Houuse No./231, Kapan Kathamndu, GPO Box: 10527")</f>
        <v>Houuse No./231, Kapan Kathamndu, GPO Box: 10527</v>
      </c>
      <c r="I1534" s="2" t="str">
        <f>IFERROR(__xludf.DUMMYFUNCTION("""COMPUTED_VALUE"""),"27o 49' 20""")</f>
        <v>27o 49' 20"</v>
      </c>
      <c r="J1534" s="2" t="str">
        <f>IFERROR(__xludf.DUMMYFUNCTION("""COMPUTED_VALUE"""),"27o 50' 12""")</f>
        <v>27o 50' 12"</v>
      </c>
      <c r="K1534" s="2" t="str">
        <f>IFERROR(__xludf.DUMMYFUNCTION("""COMPUTED_VALUE"""),"86o 03' 22""")</f>
        <v>86o 03' 22"</v>
      </c>
      <c r="L1534" s="2" t="str">
        <f>IFERROR(__xludf.DUMMYFUNCTION("""COMPUTED_VALUE"""),"86o 05' 55""")</f>
        <v>86o 05' 55"</v>
      </c>
      <c r="M1534" s="2" t="str">
        <f>IFERROR(__xludf.DUMMYFUNCTION("""COMPUTED_VALUE"""),"Bigu,Khupachagu (Dolakha)")</f>
        <v>Bigu,Khupachagu (Dolakha)</v>
      </c>
    </row>
    <row r="1535">
      <c r="A1535" s="2">
        <f>IFERROR(__xludf.DUMMYFUNCTION("""COMPUTED_VALUE"""),1534.0)</f>
        <v>1534</v>
      </c>
      <c r="B1535" s="2" t="str">
        <f>IFERROR(__xludf.DUMMYFUNCTION("""COMPUTED_VALUE"""),"Sorun Khola HPP")</f>
        <v>Sorun Khola HPP</v>
      </c>
      <c r="C1535" s="2">
        <f>IFERROR(__xludf.DUMMYFUNCTION("""COMPUTED_VALUE"""),9.5)</f>
        <v>9.5</v>
      </c>
      <c r="D1535" s="2" t="str">
        <f>IFERROR(__xludf.DUMMYFUNCTION("""COMPUTED_VALUE"""),"Sorun")</f>
        <v>Sorun</v>
      </c>
      <c r="E1535" s="2">
        <f>IFERROR(__xludf.DUMMYFUNCTION("""COMPUTED_VALUE"""),7357.0)</f>
        <v>7357</v>
      </c>
      <c r="F1535" s="3">
        <f>IFERROR(__xludf.DUMMYFUNCTION("""COMPUTED_VALUE"""),61052.0)</f>
        <v>61052</v>
      </c>
      <c r="G1535" s="2" t="str">
        <f>IFERROR(__xludf.DUMMYFUNCTION("""COMPUTED_VALUE"""),"Singati Hydro Energy Pvt Ltd")</f>
        <v>Singati Hydro Energy Pvt Ltd</v>
      </c>
      <c r="H1535" s="2" t="str">
        <f>IFERROR(__xludf.DUMMYFUNCTION("""COMPUTED_VALUE"""),"Thapathali, Kathmandu, Tel: 4102049")</f>
        <v>Thapathali, Kathmandu, Tel: 4102049</v>
      </c>
      <c r="I1535" s="2" t="str">
        <f>IFERROR(__xludf.DUMMYFUNCTION("""COMPUTED_VALUE"""),"27o 47' 04""")</f>
        <v>27o 47' 04"</v>
      </c>
      <c r="J1535" s="2" t="str">
        <f>IFERROR(__xludf.DUMMYFUNCTION("""COMPUTED_VALUE"""),"27o 48' 32""")</f>
        <v>27o 48' 32"</v>
      </c>
      <c r="K1535" s="2" t="str">
        <f>IFERROR(__xludf.DUMMYFUNCTION("""COMPUTED_VALUE"""),"86o 06' 25""")</f>
        <v>86o 06' 25"</v>
      </c>
      <c r="L1535" s="2" t="str">
        <f>IFERROR(__xludf.DUMMYFUNCTION("""COMPUTED_VALUE"""),"86o 07' 54""")</f>
        <v>86o 07' 54"</v>
      </c>
      <c r="M1535" s="2" t="str">
        <f>IFERROR(__xludf.DUMMYFUNCTION("""COMPUTED_VALUE"""),"Babare,Chilankha,Khupachagu (Dolakha)")</f>
        <v>Babare,Chilankha,Khupachagu (Dolakha)</v>
      </c>
    </row>
    <row r="1536">
      <c r="A1536" s="2">
        <f>IFERROR(__xludf.DUMMYFUNCTION("""COMPUTED_VALUE"""),1535.0)</f>
        <v>1535</v>
      </c>
      <c r="B1536" s="2" t="str">
        <f>IFERROR(__xludf.DUMMYFUNCTION("""COMPUTED_VALUE"""),"Upper Daraundi HPP")</f>
        <v>Upper Daraundi HPP</v>
      </c>
      <c r="C1536" s="2">
        <f>IFERROR(__xludf.DUMMYFUNCTION("""COMPUTED_VALUE"""),5.0)</f>
        <v>5</v>
      </c>
      <c r="D1536" s="2" t="str">
        <f>IFERROR(__xludf.DUMMYFUNCTION("""COMPUTED_VALUE"""),"Daraundi")</f>
        <v>Daraundi</v>
      </c>
      <c r="E1536" s="2">
        <f>IFERROR(__xludf.DUMMYFUNCTION("""COMPUTED_VALUE"""),7443.0)</f>
        <v>7443</v>
      </c>
      <c r="F1536" s="3">
        <f>IFERROR(__xludf.DUMMYFUNCTION("""COMPUTED_VALUE"""),61055.0)</f>
        <v>61055</v>
      </c>
      <c r="G1536" s="2" t="str">
        <f>IFERROR(__xludf.DUMMYFUNCTION("""COMPUTED_VALUE"""),"Mahendra Dhakal")</f>
        <v>Mahendra Dhakal</v>
      </c>
      <c r="H1536" s="2" t="str">
        <f>IFERROR(__xludf.DUMMYFUNCTION("""COMPUTED_VALUE"""),"Khagakot-3, Gulmi")</f>
        <v>Khagakot-3, Gulmi</v>
      </c>
      <c r="I1536" s="2" t="str">
        <f>IFERROR(__xludf.DUMMYFUNCTION("""COMPUTED_VALUE"""),"28o 15' 00""")</f>
        <v>28o 15' 00"</v>
      </c>
      <c r="J1536" s="2" t="str">
        <f>IFERROR(__xludf.DUMMYFUNCTION("""COMPUTED_VALUE"""),"28o 16' 24""")</f>
        <v>28o 16' 24"</v>
      </c>
      <c r="K1536" s="2" t="str">
        <f>IFERROR(__xludf.DUMMYFUNCTION("""COMPUTED_VALUE"""),"84o 42' 49""")</f>
        <v>84o 42' 49"</v>
      </c>
      <c r="L1536" s="2" t="str">
        <f>IFERROR(__xludf.DUMMYFUNCTION("""COMPUTED_VALUE"""),"84o 44' 38""")</f>
        <v>84o 44' 38"</v>
      </c>
      <c r="M1536" s="2" t="str">
        <f>IFERROR(__xludf.DUMMYFUNCTION("""COMPUTED_VALUE"""),"Warpak,Ghyalchok (Gorkha)")</f>
        <v>Warpak,Ghyalchok (Gorkha)</v>
      </c>
    </row>
    <row r="1537">
      <c r="A1537" s="2">
        <f>IFERROR(__xludf.DUMMYFUNCTION("""COMPUTED_VALUE"""),1536.0)</f>
        <v>1536</v>
      </c>
      <c r="B1537" s="2" t="str">
        <f>IFERROR(__xludf.DUMMYFUNCTION("""COMPUTED_VALUE"""),"Jhyari Khola HPP")</f>
        <v>Jhyari Khola HPP</v>
      </c>
      <c r="C1537" s="2">
        <f>IFERROR(__xludf.DUMMYFUNCTION("""COMPUTED_VALUE"""),1.65)</f>
        <v>1.65</v>
      </c>
      <c r="D1537" s="2" t="str">
        <f>IFERROR(__xludf.DUMMYFUNCTION("""COMPUTED_VALUE"""),"Jhyari Khola")</f>
        <v>Jhyari Khola</v>
      </c>
      <c r="E1537" s="2">
        <f>IFERROR(__xludf.DUMMYFUNCTION("""COMPUTED_VALUE"""),7462.0)</f>
        <v>7462</v>
      </c>
      <c r="F1537" s="3">
        <f>IFERROR(__xludf.DUMMYFUNCTION("""COMPUTED_VALUE"""),61055.0)</f>
        <v>61055</v>
      </c>
      <c r="G1537" s="2" t="str">
        <f>IFERROR(__xludf.DUMMYFUNCTION("""COMPUTED_VALUE"""),"Electrocum and Research Center Pvt Ltd")</f>
        <v>Electrocum and Research Center Pvt Ltd</v>
      </c>
      <c r="H1537" s="2" t="str">
        <f>IFERROR(__xludf.DUMMYFUNCTION("""COMPUTED_VALUE"""),"Dhapasi-7Kathmandu Tel:9851003846")</f>
        <v>Dhapasi-7Kathmandu Tel:9851003846</v>
      </c>
      <c r="I1537" s="2" t="str">
        <f>IFERROR(__xludf.DUMMYFUNCTION("""COMPUTED_VALUE"""),"27o 43' 30""")</f>
        <v>27o 43' 30"</v>
      </c>
      <c r="J1537" s="2" t="str">
        <f>IFERROR(__xludf.DUMMYFUNCTION("""COMPUTED_VALUE"""),"27o 44' 40""")</f>
        <v>27o 44' 40"</v>
      </c>
      <c r="K1537" s="2" t="str">
        <f>IFERROR(__xludf.DUMMYFUNCTION("""COMPUTED_VALUE"""),"85o 40' 15""")</f>
        <v>85o 40' 15"</v>
      </c>
      <c r="L1537" s="2" t="str">
        <f>IFERROR(__xludf.DUMMYFUNCTION("""COMPUTED_VALUE"""),"85o 41' 02""")</f>
        <v>85o 41' 02"</v>
      </c>
      <c r="M1537" s="2" t="str">
        <f>IFERROR(__xludf.DUMMYFUNCTION("""COMPUTED_VALUE"""),"Bhotsipa,Thulo Sirubari (Sindhupalchok)")</f>
        <v>Bhotsipa,Thulo Sirubari (Sindhupalchok)</v>
      </c>
    </row>
    <row r="1538">
      <c r="A1538" s="2">
        <f>IFERROR(__xludf.DUMMYFUNCTION("""COMPUTED_VALUE"""),1537.0)</f>
        <v>1537</v>
      </c>
      <c r="B1538" s="2" t="str">
        <f>IFERROR(__xludf.DUMMYFUNCTION("""COMPUTED_VALUE"""),"Upper Marsyangdi-7, Hydroelectric Project")</f>
        <v>Upper Marsyangdi-7, Hydroelectric Project</v>
      </c>
      <c r="C1538" s="2">
        <f>IFERROR(__xludf.DUMMYFUNCTION("""COMPUTED_VALUE"""),48.0)</f>
        <v>48</v>
      </c>
      <c r="D1538" s="2" t="str">
        <f>IFERROR(__xludf.DUMMYFUNCTION("""COMPUTED_VALUE"""),"Marsyangdi")</f>
        <v>Marsyangdi</v>
      </c>
      <c r="E1538" s="2">
        <f>IFERROR(__xludf.DUMMYFUNCTION("""COMPUTED_VALUE"""),7474.0)</f>
        <v>7474</v>
      </c>
      <c r="F1538" s="3">
        <f>IFERROR(__xludf.DUMMYFUNCTION("""COMPUTED_VALUE"""),61056.0)</f>
        <v>61056</v>
      </c>
      <c r="G1538" s="2" t="str">
        <f>IFERROR(__xludf.DUMMYFUNCTION("""COMPUTED_VALUE"""),"Sukunda Infra")</f>
        <v>Sukunda Infra</v>
      </c>
      <c r="H1538" s="2" t="str">
        <f>IFERROR(__xludf.DUMMYFUNCTION("""COMPUTED_VALUE"""),"GPO Box: 328,Kathmandu, Tel: 01-4261177")</f>
        <v>GPO Box: 328,Kathmandu, Tel: 01-4261177</v>
      </c>
      <c r="I1538" s="2" t="str">
        <f>IFERROR(__xludf.DUMMYFUNCTION("""COMPUTED_VALUE"""),"28o 32' 33""")</f>
        <v>28o 32' 33"</v>
      </c>
      <c r="J1538" s="2" t="str">
        <f>IFERROR(__xludf.DUMMYFUNCTION("""COMPUTED_VALUE"""),"28o 36' 21""")</f>
        <v>28o 36' 21"</v>
      </c>
      <c r="K1538" s="2" t="str">
        <f>IFERROR(__xludf.DUMMYFUNCTION("""COMPUTED_VALUE"""),"84o 10' 26""")</f>
        <v>84o 10' 26"</v>
      </c>
      <c r="L1538" s="2" t="str">
        <f>IFERROR(__xludf.DUMMYFUNCTION("""COMPUTED_VALUE"""),"84o 16' 00""")</f>
        <v>84o 16' 00"</v>
      </c>
      <c r="M1538" s="2" t="str">
        <f>IFERROR(__xludf.DUMMYFUNCTION("""COMPUTED_VALUE"""),"Chame,Pisng (Manang)")</f>
        <v>Chame,Pisng (Manang)</v>
      </c>
    </row>
    <row r="1539">
      <c r="A1539" s="2">
        <f>IFERROR(__xludf.DUMMYFUNCTION("""COMPUTED_VALUE"""),1538.0)</f>
        <v>1538</v>
      </c>
      <c r="B1539" s="2" t="str">
        <f>IFERROR(__xludf.DUMMYFUNCTION("""COMPUTED_VALUE"""),"Bhurungdi Khola HPP")</f>
        <v>Bhurungdi Khola HPP</v>
      </c>
      <c r="C1539" s="2">
        <f>IFERROR(__xludf.DUMMYFUNCTION("""COMPUTED_VALUE"""),3.0)</f>
        <v>3</v>
      </c>
      <c r="D1539" s="2" t="str">
        <f>IFERROR(__xludf.DUMMYFUNCTION("""COMPUTED_VALUE"""),"Bhurundi Khola")</f>
        <v>Bhurundi Khola</v>
      </c>
      <c r="E1539" s="2">
        <f>IFERROR(__xludf.DUMMYFUNCTION("""COMPUTED_VALUE"""),7514.0)</f>
        <v>7514</v>
      </c>
      <c r="F1539" s="3">
        <f>IFERROR(__xludf.DUMMYFUNCTION("""COMPUTED_VALUE"""),61057.0)</f>
        <v>61057</v>
      </c>
      <c r="G1539" s="2" t="str">
        <f>IFERROR(__xludf.DUMMYFUNCTION("""COMPUTED_VALUE"""),"Bindhyabasini Hydropower Development Co. Pvt Ltd")</f>
        <v>Bindhyabasini Hydropower Development Co. Pvt Ltd</v>
      </c>
      <c r="H1539" s="2" t="str">
        <f>IFERROR(__xludf.DUMMYFUNCTION("""COMPUTED_VALUE"""),"Pokhra-8, Kaski, PO Box: 57, Tel; 977-61-30007, Fax: 977-61-30007")</f>
        <v>Pokhra-8, Kaski, PO Box: 57, Tel; 977-61-30007, Fax: 977-61-30007</v>
      </c>
      <c r="I1539" s="2" t="str">
        <f>IFERROR(__xludf.DUMMYFUNCTION("""COMPUTED_VALUE"""),"28o 18' 22""")</f>
        <v>28o 18' 22"</v>
      </c>
      <c r="J1539" s="2" t="str">
        <f>IFERROR(__xludf.DUMMYFUNCTION("""COMPUTED_VALUE"""),"28o 18' 49""")</f>
        <v>28o 18' 49"</v>
      </c>
      <c r="K1539" s="2" t="str">
        <f>IFERROR(__xludf.DUMMYFUNCTION("""COMPUTED_VALUE"""),"83o 45' 47""")</f>
        <v>83o 45' 47"</v>
      </c>
      <c r="L1539" s="2" t="str">
        <f>IFERROR(__xludf.DUMMYFUNCTION("""COMPUTED_VALUE"""),"83o 46' 22""")</f>
        <v>83o 46' 22"</v>
      </c>
      <c r="M1539" s="2" t="str">
        <f>IFERROR(__xludf.DUMMYFUNCTION("""COMPUTED_VALUE"""),"Deupurkot (Parbat)")</f>
        <v>Deupurkot (Parbat)</v>
      </c>
    </row>
    <row r="1540">
      <c r="A1540" s="2">
        <f>IFERROR(__xludf.DUMMYFUNCTION("""COMPUTED_VALUE"""),1539.0)</f>
        <v>1539</v>
      </c>
      <c r="B1540" s="2" t="str">
        <f>IFERROR(__xludf.DUMMYFUNCTION("""COMPUTED_VALUE"""),"Bhojpur Hydropower (Pikhuwa) Project")</f>
        <v>Bhojpur Hydropower (Pikhuwa) Project</v>
      </c>
      <c r="C1540" s="2">
        <f>IFERROR(__xludf.DUMMYFUNCTION("""COMPUTED_VALUE"""),0.99)</f>
        <v>0.99</v>
      </c>
      <c r="D1540" s="2" t="str">
        <f>IFERROR(__xludf.DUMMYFUNCTION("""COMPUTED_VALUE"""),"Pikhuwa")</f>
        <v>Pikhuwa</v>
      </c>
      <c r="E1540" s="2">
        <f>IFERROR(__xludf.DUMMYFUNCTION("""COMPUTED_VALUE"""),7576.0)</f>
        <v>7576</v>
      </c>
      <c r="F1540" s="3">
        <f>IFERROR(__xludf.DUMMYFUNCTION("""COMPUTED_VALUE"""),61060.0)</f>
        <v>61060</v>
      </c>
      <c r="G1540" s="2" t="str">
        <f>IFERROR(__xludf.DUMMYFUNCTION("""COMPUTED_VALUE"""),"Keshav Khadka, B.K.Nepal, K.K.Ale, Binod Khatri, S.Raymajhi, Maya Rai")</f>
        <v>Keshav Khadka, B.K.Nepal, K.K.Ale, Binod Khatri, S.Raymajhi, Maya Rai</v>
      </c>
      <c r="H1540" s="2" t="str">
        <f>IFERROR(__xludf.DUMMYFUNCTION("""COMPUTED_VALUE"""),"Sanodumba VDC-7, Bhojpur, 01-4422766, 984151616")</f>
        <v>Sanodumba VDC-7, Bhojpur, 01-4422766, 984151616</v>
      </c>
      <c r="I1540" s="2" t="str">
        <f>IFERROR(__xludf.DUMMYFUNCTION("""COMPUTED_VALUE"""),"27o 05' 00""")</f>
        <v>27o 05' 00"</v>
      </c>
      <c r="J1540" s="2" t="str">
        <f>IFERROR(__xludf.DUMMYFUNCTION("""COMPUTED_VALUE"""),"27o 08' 05""")</f>
        <v>27o 08' 05"</v>
      </c>
      <c r="K1540" s="2" t="str">
        <f>IFERROR(__xludf.DUMMYFUNCTION("""COMPUTED_VALUE"""),"87o 05' 30""")</f>
        <v>87o 05' 30"</v>
      </c>
      <c r="L1540" s="2" t="str">
        <f>IFERROR(__xludf.DUMMYFUNCTION("""COMPUTED_VALUE"""),"87o 07' 30""")</f>
        <v>87o 07' 30"</v>
      </c>
      <c r="M1540" s="2" t="str">
        <f>IFERROR(__xludf.DUMMYFUNCTION("""COMPUTED_VALUE"""),"Dalgaun,Taksar (Bhojpur)")</f>
        <v>Dalgaun,Taksar (Bhojpur)</v>
      </c>
    </row>
    <row r="1541">
      <c r="A1541" s="2">
        <f>IFERROR(__xludf.DUMMYFUNCTION("""COMPUTED_VALUE"""),1540.0)</f>
        <v>1540</v>
      </c>
      <c r="B1541" s="2" t="str">
        <f>IFERROR(__xludf.DUMMYFUNCTION("""COMPUTED_VALUE"""),"Molung Khola Hadi Daha SHP")</f>
        <v>Molung Khola Hadi Daha SHP</v>
      </c>
      <c r="C1541" s="2">
        <f>IFERROR(__xludf.DUMMYFUNCTION("""COMPUTED_VALUE"""),0.5)</f>
        <v>0.5</v>
      </c>
      <c r="D1541" s="2" t="str">
        <f>IFERROR(__xludf.DUMMYFUNCTION("""COMPUTED_VALUE"""),"Molung")</f>
        <v>Molung</v>
      </c>
      <c r="E1541" s="2">
        <f>IFERROR(__xludf.DUMMYFUNCTION("""COMPUTED_VALUE"""),7594.0)</f>
        <v>7594</v>
      </c>
      <c r="F1541" s="3">
        <f>IFERROR(__xludf.DUMMYFUNCTION("""COMPUTED_VALUE"""),61062.0)</f>
        <v>61062</v>
      </c>
      <c r="G1541" s="2" t="str">
        <f>IFERROR(__xludf.DUMMYFUNCTION("""COMPUTED_VALUE"""),"Molung Khola Hadi Daha Mini Hydropower Project")</f>
        <v>Molung Khola Hadi Daha Mini Hydropower Project</v>
      </c>
      <c r="H1541" s="2" t="str">
        <f>IFERROR(__xludf.DUMMYFUNCTION("""COMPUTED_VALUE"""),"Okhaldhunga-5, Rambazaar, Tel: 9841212702")</f>
        <v>Okhaldhunga-5, Rambazaar, Tel: 9841212702</v>
      </c>
      <c r="I1541" s="2" t="str">
        <f>IFERROR(__xludf.DUMMYFUNCTION("""COMPUTED_VALUE"""),"27o 22' 27""")</f>
        <v>27o 22' 27"</v>
      </c>
      <c r="J1541" s="2" t="str">
        <f>IFERROR(__xludf.DUMMYFUNCTION("""COMPUTED_VALUE"""),"27o 22' 52""")</f>
        <v>27o 22' 52"</v>
      </c>
      <c r="K1541" s="2" t="str">
        <f>IFERROR(__xludf.DUMMYFUNCTION("""COMPUTED_VALUE"""),"86o 26' 14""")</f>
        <v>86o 26' 14"</v>
      </c>
      <c r="L1541" s="2" t="str">
        <f>IFERROR(__xludf.DUMMYFUNCTION("""COMPUTED_VALUE"""),"86o 26' 29""")</f>
        <v>86o 26' 29"</v>
      </c>
      <c r="M1541" s="2" t="str">
        <f>IFERROR(__xludf.DUMMYFUNCTION("""COMPUTED_VALUE"""),"Shreechaur (Okhaldhunga)")</f>
        <v>Shreechaur (Okhaldhunga)</v>
      </c>
    </row>
    <row r="1542">
      <c r="A1542" s="2">
        <f>IFERROR(__xludf.DUMMYFUNCTION("""COMPUTED_VALUE"""),1541.0)</f>
        <v>1541</v>
      </c>
      <c r="B1542" s="2" t="str">
        <f>IFERROR(__xludf.DUMMYFUNCTION("""COMPUTED_VALUE"""),"Syalpin Khola SHP")</f>
        <v>Syalpin Khola SHP</v>
      </c>
      <c r="C1542" s="2">
        <f>IFERROR(__xludf.DUMMYFUNCTION("""COMPUTED_VALUE"""),0.98)</f>
        <v>0.98</v>
      </c>
      <c r="D1542" s="2" t="str">
        <f>IFERROR(__xludf.DUMMYFUNCTION("""COMPUTED_VALUE"""),"Syalpin")</f>
        <v>Syalpin</v>
      </c>
      <c r="E1542" s="2">
        <f>IFERROR(__xludf.DUMMYFUNCTION("""COMPUTED_VALUE"""),7707.0)</f>
        <v>7707</v>
      </c>
      <c r="F1542" s="3">
        <f>IFERROR(__xludf.DUMMYFUNCTION("""COMPUTED_VALUE"""),61071.0)</f>
        <v>61071</v>
      </c>
      <c r="G1542" s="2" t="str">
        <f>IFERROR(__xludf.DUMMYFUNCTION("""COMPUTED_VALUE"""),"Panmaya Gurung, Resham thapa Magar")</f>
        <v>Panmaya Gurung, Resham thapa Magar</v>
      </c>
      <c r="H1542" s="2" t="str">
        <f>IFERROR(__xludf.DUMMYFUNCTION("""COMPUTED_VALUE"""),"Batase-5, Sindhupalchowk, 9721414859")</f>
        <v>Batase-5, Sindhupalchowk, 9721414859</v>
      </c>
      <c r="I1542" s="2" t="str">
        <f>IFERROR(__xludf.DUMMYFUNCTION("""COMPUTED_VALUE"""),"27o 50' 00""")</f>
        <v>27o 50' 00"</v>
      </c>
      <c r="J1542" s="2" t="str">
        <f>IFERROR(__xludf.DUMMYFUNCTION("""COMPUTED_VALUE"""),"27o 51' 46""")</f>
        <v>27o 51' 46"</v>
      </c>
      <c r="K1542" s="2" t="str">
        <f>IFERROR(__xludf.DUMMYFUNCTION("""COMPUTED_VALUE"""),"85o 19' 22""")</f>
        <v>85o 19' 22"</v>
      </c>
      <c r="L1542" s="2" t="str">
        <f>IFERROR(__xludf.DUMMYFUNCTION("""COMPUTED_VALUE"""),"85o 20' 36""")</f>
        <v>85o 20' 36"</v>
      </c>
      <c r="M1542" s="2" t="str">
        <f>IFERROR(__xludf.DUMMYFUNCTION("""COMPUTED_VALUE"""),"Sunkhani,Sundaradevi (Nuwakot)")</f>
        <v>Sunkhani,Sundaradevi (Nuwakot)</v>
      </c>
    </row>
    <row r="1543">
      <c r="A1543" s="2">
        <f>IFERROR(__xludf.DUMMYFUNCTION("""COMPUTED_VALUE"""),1542.0)</f>
        <v>1542</v>
      </c>
      <c r="B1543" s="2" t="str">
        <f>IFERROR(__xludf.DUMMYFUNCTION("""COMPUTED_VALUE"""),"Hingdi Khola SHP")</f>
        <v>Hingdi Khola SHP</v>
      </c>
      <c r="C1543" s="2">
        <f>IFERROR(__xludf.DUMMYFUNCTION("""COMPUTED_VALUE"""),0.998)</f>
        <v>0.998</v>
      </c>
      <c r="D1543" s="2" t="str">
        <f>IFERROR(__xludf.DUMMYFUNCTION("""COMPUTED_VALUE"""),"Hingdi")</f>
        <v>Hingdi</v>
      </c>
      <c r="E1543" s="2">
        <f>IFERROR(__xludf.DUMMYFUNCTION("""COMPUTED_VALUE"""),7716.0)</f>
        <v>7716</v>
      </c>
      <c r="F1543" s="3">
        <f>IFERROR(__xludf.DUMMYFUNCTION("""COMPUTED_VALUE"""),61071.0)</f>
        <v>61071</v>
      </c>
      <c r="G1543" s="2" t="str">
        <f>IFERROR(__xludf.DUMMYFUNCTION("""COMPUTED_VALUE"""),"Energy Links Private Limited")</f>
        <v>Energy Links Private Limited</v>
      </c>
      <c r="H1543" s="2" t="str">
        <f>IFERROR(__xludf.DUMMYFUNCTION("""COMPUTED_VALUE"""),"Dhapasi -8, Kathmandu , Tel: 4356587")</f>
        <v>Dhapasi -8, Kathmandu , Tel: 4356587</v>
      </c>
      <c r="I1543" s="2" t="str">
        <f>IFERROR(__xludf.DUMMYFUNCTION("""COMPUTED_VALUE"""),"28o 21' 07""")</f>
        <v>28o 21' 07"</v>
      </c>
      <c r="J1543" s="2" t="str">
        <f>IFERROR(__xludf.DUMMYFUNCTION("""COMPUTED_VALUE"""),"28o 23' 18""")</f>
        <v>28o 23' 18"</v>
      </c>
      <c r="K1543" s="2" t="str">
        <f>IFERROR(__xludf.DUMMYFUNCTION("""COMPUTED_VALUE"""),"84o 27' 41""")</f>
        <v>84o 27' 41"</v>
      </c>
      <c r="L1543" s="2" t="str">
        <f>IFERROR(__xludf.DUMMYFUNCTION("""COMPUTED_VALUE"""),"84o 31' 29""")</f>
        <v>84o 31' 29"</v>
      </c>
      <c r="M1543" s="2" t="str">
        <f>IFERROR(__xludf.DUMMYFUNCTION("""COMPUTED_VALUE"""),"Bhulbhule,Bahundada (Lamjung)")</f>
        <v>Bhulbhule,Bahundada (Lamjung)</v>
      </c>
    </row>
    <row r="1544">
      <c r="A1544" s="2">
        <f>IFERROR(__xludf.DUMMYFUNCTION("""COMPUTED_VALUE"""),1543.0)</f>
        <v>1543</v>
      </c>
      <c r="B1544" s="2" t="str">
        <f>IFERROR(__xludf.DUMMYFUNCTION("""COMPUTED_VALUE"""),"Upper Himalayan Chameliya Hydropower project")</f>
        <v>Upper Himalayan Chameliya Hydropower project</v>
      </c>
      <c r="C1544" s="2">
        <f>IFERROR(__xludf.DUMMYFUNCTION("""COMPUTED_VALUE"""),5.1)</f>
        <v>5.1</v>
      </c>
      <c r="D1544" s="2" t="str">
        <f>IFERROR(__xludf.DUMMYFUNCTION("""COMPUTED_VALUE"""),"Chameliya Khola")</f>
        <v>Chameliya Khola</v>
      </c>
      <c r="E1544" s="2">
        <f>IFERROR(__xludf.DUMMYFUNCTION("""COMPUTED_VALUE"""),7722.0)</f>
        <v>7722</v>
      </c>
      <c r="F1544" s="3">
        <f>IFERROR(__xludf.DUMMYFUNCTION("""COMPUTED_VALUE"""),61072.0)</f>
        <v>61072</v>
      </c>
      <c r="G1544" s="2" t="str">
        <f>IFERROR(__xludf.DUMMYFUNCTION("""COMPUTED_VALUE"""),"Renuka Pradhan")</f>
        <v>Renuka Pradhan</v>
      </c>
      <c r="H1544" s="2" t="str">
        <f>IFERROR(__xludf.DUMMYFUNCTION("""COMPUTED_VALUE"""),"Chhahbil-7, Kathmandu Tel: 4471589")</f>
        <v>Chhahbil-7, Kathmandu Tel: 4471589</v>
      </c>
      <c r="I1544" s="2" t="str">
        <f>IFERROR(__xludf.DUMMYFUNCTION("""COMPUTED_VALUE"""),"29o 51' 30""")</f>
        <v>29o 51' 30"</v>
      </c>
      <c r="J1544" s="2" t="str">
        <f>IFERROR(__xludf.DUMMYFUNCTION("""COMPUTED_VALUE"""),"29o 54' 30""")</f>
        <v>29o 54' 30"</v>
      </c>
      <c r="K1544" s="2" t="str">
        <f>IFERROR(__xludf.DUMMYFUNCTION("""COMPUTED_VALUE"""),"80o 53' 45""")</f>
        <v>80o 53' 45"</v>
      </c>
      <c r="L1544" s="2" t="str">
        <f>IFERROR(__xludf.DUMMYFUNCTION("""COMPUTED_VALUE"""),"80o 57' 30""")</f>
        <v>80o 57' 30"</v>
      </c>
      <c r="M1544" s="2" t="str">
        <f>IFERROR(__xludf.DUMMYFUNCTION("""COMPUTED_VALUE"""),"Khandeswori (Darchula)")</f>
        <v>Khandeswori (Darchula)</v>
      </c>
    </row>
    <row r="1545">
      <c r="A1545" s="2">
        <f>IFERROR(__xludf.DUMMYFUNCTION("""COMPUTED_VALUE"""),1544.0)</f>
        <v>1544</v>
      </c>
      <c r="B1545" s="2" t="str">
        <f>IFERROR(__xludf.DUMMYFUNCTION("""COMPUTED_VALUE"""),"Molung Khola Hadi DhamiSHP")</f>
        <v>Molung Khola Hadi DhamiSHP</v>
      </c>
      <c r="C1545" s="2">
        <f>IFERROR(__xludf.DUMMYFUNCTION("""COMPUTED_VALUE"""),0.5)</f>
        <v>0.5</v>
      </c>
      <c r="D1545" s="2" t="str">
        <f>IFERROR(__xludf.DUMMYFUNCTION("""COMPUTED_VALUE"""),"Molung")</f>
        <v>Molung</v>
      </c>
      <c r="E1545" s="2">
        <f>IFERROR(__xludf.DUMMYFUNCTION("""COMPUTED_VALUE"""),7759.0)</f>
        <v>7759</v>
      </c>
      <c r="F1545" s="3">
        <f>IFERROR(__xludf.DUMMYFUNCTION("""COMPUTED_VALUE"""),61073.0)</f>
        <v>61073</v>
      </c>
      <c r="G1545" s="2" t="str">
        <f>IFERROR(__xludf.DUMMYFUNCTION("""COMPUTED_VALUE"""),"Molung Khola Hadi Daha Mini Hydropower Project Consumer Committee")</f>
        <v>Molung Khola Hadi Daha Mini Hydropower Project Consumer Committee</v>
      </c>
      <c r="H1545" s="2" t="str">
        <f>IFERROR(__xludf.DUMMYFUNCTION("""COMPUTED_VALUE"""),"Okhaldhunga-5, Rambazaar, Tel: 9841212702")</f>
        <v>Okhaldhunga-5, Rambazaar, Tel: 9841212702</v>
      </c>
      <c r="I1545" s="2" t="str">
        <f>IFERROR(__xludf.DUMMYFUNCTION("""COMPUTED_VALUE"""),"27o 22' 27""")</f>
        <v>27o 22' 27"</v>
      </c>
      <c r="J1545" s="2" t="str">
        <f>IFERROR(__xludf.DUMMYFUNCTION("""COMPUTED_VALUE"""),"27o 22' 52""")</f>
        <v>27o 22' 52"</v>
      </c>
      <c r="K1545" s="2" t="str">
        <f>IFERROR(__xludf.DUMMYFUNCTION("""COMPUTED_VALUE"""),"86o 26' 14""")</f>
        <v>86o 26' 14"</v>
      </c>
      <c r="L1545" s="2" t="str">
        <f>IFERROR(__xludf.DUMMYFUNCTION("""COMPUTED_VALUE"""),"86o 26' 29""")</f>
        <v>86o 26' 29"</v>
      </c>
      <c r="M1545" s="2" t="str">
        <f>IFERROR(__xludf.DUMMYFUNCTION("""COMPUTED_VALUE"""),"Shreechaur (Okhaldhunga)")</f>
        <v>Shreechaur (Okhaldhunga)</v>
      </c>
    </row>
    <row r="1546">
      <c r="A1546" s="2">
        <f>IFERROR(__xludf.DUMMYFUNCTION("""COMPUTED_VALUE"""),1545.0)</f>
        <v>1545</v>
      </c>
      <c r="B1546" s="2" t="str">
        <f>IFERROR(__xludf.DUMMYFUNCTION("""COMPUTED_VALUE"""),"Kala Gad SHP")</f>
        <v>Kala Gad SHP</v>
      </c>
      <c r="C1546" s="2">
        <f>IFERROR(__xludf.DUMMYFUNCTION("""COMPUTED_VALUE"""),0.92)</f>
        <v>0.92</v>
      </c>
      <c r="D1546" s="2" t="str">
        <f>IFERROR(__xludf.DUMMYFUNCTION("""COMPUTED_VALUE"""),"Kala gad")</f>
        <v>Kala gad</v>
      </c>
      <c r="E1546" s="2">
        <f>IFERROR(__xludf.DUMMYFUNCTION("""COMPUTED_VALUE"""),7771.0)</f>
        <v>7771</v>
      </c>
      <c r="F1546" s="3">
        <f>IFERROR(__xludf.DUMMYFUNCTION("""COMPUTED_VALUE"""),61073.0)</f>
        <v>61073</v>
      </c>
      <c r="G1546" s="2" t="str">
        <f>IFERROR(__xludf.DUMMYFUNCTION("""COMPUTED_VALUE"""),"Brothers Hydropower Pvt Ltd")</f>
        <v>Brothers Hydropower Pvt Ltd</v>
      </c>
      <c r="H1546" s="2" t="str">
        <f>IFERROR(__xludf.DUMMYFUNCTION("""COMPUTED_VALUE"""),"Dhangadhi-3, Kailali")</f>
        <v>Dhangadhi-3, Kailali</v>
      </c>
      <c r="I1546" s="2" t="str">
        <f>IFERROR(__xludf.DUMMYFUNCTION("""COMPUTED_VALUE"""),"29o 12' 37""")</f>
        <v>29o 12' 37"</v>
      </c>
      <c r="J1546" s="2" t="str">
        <f>IFERROR(__xludf.DUMMYFUNCTION("""COMPUTED_VALUE"""),"29o 14' 47""")</f>
        <v>29o 14' 47"</v>
      </c>
      <c r="K1546" s="2" t="str">
        <f>IFERROR(__xludf.DUMMYFUNCTION("""COMPUTED_VALUE"""),"80o 52' 25""")</f>
        <v>80o 52' 25"</v>
      </c>
      <c r="L1546" s="2" t="str">
        <f>IFERROR(__xludf.DUMMYFUNCTION("""COMPUTED_VALUE"""),"80o 54' 37""")</f>
        <v>80o 54' 37"</v>
      </c>
      <c r="M1546" s="2" t="str">
        <f>IFERROR(__xludf.DUMMYFUNCTION("""COMPUTED_VALUE"""),"Mudabhara (Doti)")</f>
        <v>Mudabhara (Doti)</v>
      </c>
    </row>
    <row r="1547">
      <c r="A1547" s="2">
        <f>IFERROR(__xludf.DUMMYFUNCTION("""COMPUTED_VALUE"""),1546.0)</f>
        <v>1546</v>
      </c>
      <c r="B1547" s="2" t="str">
        <f>IFERROR(__xludf.DUMMYFUNCTION("""COMPUTED_VALUE"""),"Shanka Pipal(Jahari Khola) SHP")</f>
        <v>Shanka Pipal(Jahari Khola) SHP</v>
      </c>
      <c r="C1547" s="2">
        <f>IFERROR(__xludf.DUMMYFUNCTION("""COMPUTED_VALUE"""),0.99)</f>
        <v>0.99</v>
      </c>
      <c r="D1547" s="2" t="str">
        <f>IFERROR(__xludf.DUMMYFUNCTION("""COMPUTED_VALUE"""),"Jahari")</f>
        <v>Jahari</v>
      </c>
      <c r="E1547" s="2">
        <f>IFERROR(__xludf.DUMMYFUNCTION("""COMPUTED_VALUE"""),7797.0)</f>
        <v>7797</v>
      </c>
      <c r="F1547" s="3">
        <f>IFERROR(__xludf.DUMMYFUNCTION("""COMPUTED_VALUE"""),61076.0)</f>
        <v>61076</v>
      </c>
      <c r="G1547" s="2" t="str">
        <f>IFERROR(__xludf.DUMMYFUNCTION("""COMPUTED_VALUE"""),"Padam Bahadur Budha")</f>
        <v>Padam Bahadur Budha</v>
      </c>
      <c r="H1547" s="2" t="str">
        <f>IFERROR(__xludf.DUMMYFUNCTION("""COMPUTED_VALUE"""),"Bijeswari-7, Rukum, Tel: 4261612")</f>
        <v>Bijeswari-7, Rukum, Tel: 4261612</v>
      </c>
      <c r="I1547" s="2" t="str">
        <f>IFERROR(__xludf.DUMMYFUNCTION("""COMPUTED_VALUE"""),"28o 38' 25""")</f>
        <v>28o 38' 25"</v>
      </c>
      <c r="J1547" s="2" t="str">
        <f>IFERROR(__xludf.DUMMYFUNCTION("""COMPUTED_VALUE"""),"28o 40' 57""")</f>
        <v>28o 40' 57"</v>
      </c>
      <c r="K1547" s="2" t="str">
        <f>IFERROR(__xludf.DUMMYFUNCTION("""COMPUTED_VALUE"""),"82o 11' 49""")</f>
        <v>82o 11' 49"</v>
      </c>
      <c r="L1547" s="2" t="str">
        <f>IFERROR(__xludf.DUMMYFUNCTION("""COMPUTED_VALUE"""),"82o 13' 34""")</f>
        <v>82o 13' 34"</v>
      </c>
      <c r="M1547" s="2" t="str">
        <f>IFERROR(__xludf.DUMMYFUNCTION("""COMPUTED_VALUE"""),"Bijeswori (Rukum)")</f>
        <v>Bijeswori (Rukum)</v>
      </c>
    </row>
    <row r="1548">
      <c r="A1548" s="2">
        <f>IFERROR(__xludf.DUMMYFUNCTION("""COMPUTED_VALUE"""),1547.0)</f>
        <v>1547</v>
      </c>
      <c r="B1548" s="2" t="str">
        <f>IFERROR(__xludf.DUMMYFUNCTION("""COMPUTED_VALUE"""),"Jhyari Khola HPP")</f>
        <v>Jhyari Khola HPP</v>
      </c>
      <c r="C1548" s="2">
        <f>IFERROR(__xludf.DUMMYFUNCTION("""COMPUTED_VALUE"""),0.99)</f>
        <v>0.99</v>
      </c>
      <c r="D1548" s="2" t="str">
        <f>IFERROR(__xludf.DUMMYFUNCTION("""COMPUTED_VALUE"""),"Jhyari Khola")</f>
        <v>Jhyari Khola</v>
      </c>
      <c r="E1548" s="2">
        <f>IFERROR(__xludf.DUMMYFUNCTION("""COMPUTED_VALUE"""),7868.0)</f>
        <v>7868</v>
      </c>
      <c r="F1548" s="3">
        <f>IFERROR(__xludf.DUMMYFUNCTION("""COMPUTED_VALUE"""),61080.0)</f>
        <v>61080</v>
      </c>
      <c r="G1548" s="2" t="str">
        <f>IFERROR(__xludf.DUMMYFUNCTION("""COMPUTED_VALUE"""),"Anita tamang")</f>
        <v>Anita tamang</v>
      </c>
      <c r="H1548" s="2" t="str">
        <f>IFERROR(__xludf.DUMMYFUNCTION("""COMPUTED_VALUE"""),"Ghunsa-9, Thangpalkot, sindhupalchowk, Tel: 9803996600")</f>
        <v>Ghunsa-9, Thangpalkot, sindhupalchowk, Tel: 9803996600</v>
      </c>
      <c r="I1548" s="2" t="str">
        <f>IFERROR(__xludf.DUMMYFUNCTION("""COMPUTED_VALUE"""),"00o 00' 00""")</f>
        <v>00o 00' 00"</v>
      </c>
      <c r="J1548" s="2" t="str">
        <f>IFERROR(__xludf.DUMMYFUNCTION("""COMPUTED_VALUE"""),"00o 00' 00""")</f>
        <v>00o 00' 00"</v>
      </c>
      <c r="K1548" s="2" t="str">
        <f>IFERROR(__xludf.DUMMYFUNCTION("""COMPUTED_VALUE"""),"00o 00' 00""")</f>
        <v>00o 00' 00"</v>
      </c>
      <c r="L1548" s="2" t="str">
        <f>IFERROR(__xludf.DUMMYFUNCTION("""COMPUTED_VALUE"""),"00o 00' 00""")</f>
        <v>00o 00' 00"</v>
      </c>
      <c r="M1548" s="2" t="str">
        <f>IFERROR(__xludf.DUMMYFUNCTION("""COMPUTED_VALUE"""),"Sipal Kavre,Syaule Bazar (Sindhupalchok)")</f>
        <v>Sipal Kavre,Syaule Bazar (Sindhupalchok)</v>
      </c>
    </row>
    <row r="1549">
      <c r="A1549" s="2">
        <f>IFERROR(__xludf.DUMMYFUNCTION("""COMPUTED_VALUE"""),1548.0)</f>
        <v>1548</v>
      </c>
      <c r="B1549" s="2" t="str">
        <f>IFERROR(__xludf.DUMMYFUNCTION("""COMPUTED_VALUE"""),"Bheri Nadi Hydroelectric Prject")</f>
        <v>Bheri Nadi Hydroelectric Prject</v>
      </c>
      <c r="C1549" s="2">
        <f>IFERROR(__xludf.DUMMYFUNCTION("""COMPUTED_VALUE"""),40.0)</f>
        <v>40</v>
      </c>
      <c r="D1549" s="2" t="str">
        <f>IFERROR(__xludf.DUMMYFUNCTION("""COMPUTED_VALUE"""),"Bheri")</f>
        <v>Bheri</v>
      </c>
      <c r="E1549" s="2">
        <f>IFERROR(__xludf.DUMMYFUNCTION("""COMPUTED_VALUE"""),7870.0)</f>
        <v>7870</v>
      </c>
      <c r="F1549" s="3">
        <f>IFERROR(__xludf.DUMMYFUNCTION("""COMPUTED_VALUE"""),61080.0)</f>
        <v>61080</v>
      </c>
      <c r="G1549" s="2" t="str">
        <f>IFERROR(__xludf.DUMMYFUNCTION("""COMPUTED_VALUE"""),"GAGE Nepal Pvt Ltd")</f>
        <v>GAGE Nepal Pvt Ltd</v>
      </c>
      <c r="H1549" s="2" t="str">
        <f>IFERROR(__xludf.DUMMYFUNCTION("""COMPUTED_VALUE"""),"Lalitpur Sub-metropolitan Municipality-3, Lalitpur")</f>
        <v>Lalitpur Sub-metropolitan Municipality-3, Lalitpur</v>
      </c>
      <c r="I1549" s="2" t="str">
        <f>IFERROR(__xludf.DUMMYFUNCTION("""COMPUTED_VALUE"""),"28o 59' 00""")</f>
        <v>28o 59' 00"</v>
      </c>
      <c r="J1549" s="2" t="str">
        <f>IFERROR(__xludf.DUMMYFUNCTION("""COMPUTED_VALUE"""),"29o 03' 30""")</f>
        <v>29o 03' 30"</v>
      </c>
      <c r="K1549" s="2" t="str">
        <f>IFERROR(__xludf.DUMMYFUNCTION("""COMPUTED_VALUE"""),"82o 32' 30""")</f>
        <v>82o 32' 30"</v>
      </c>
      <c r="L1549" s="2" t="str">
        <f>IFERROR(__xludf.DUMMYFUNCTION("""COMPUTED_VALUE"""),"82o 36' 00""")</f>
        <v>82o 36' 00"</v>
      </c>
      <c r="M1549" s="2" t="str">
        <f>IFERROR(__xludf.DUMMYFUNCTION("""COMPUTED_VALUE"""),"Kalika,Narku (Dolpa) Bhagawati Tol (Jajarkot)")</f>
        <v>Kalika,Narku (Dolpa) Bhagawati Tol (Jajarkot)</v>
      </c>
    </row>
    <row r="1550">
      <c r="A1550" s="2">
        <f>IFERROR(__xludf.DUMMYFUNCTION("""COMPUTED_VALUE"""),1549.0)</f>
        <v>1549</v>
      </c>
      <c r="B1550" s="2" t="str">
        <f>IFERROR(__xludf.DUMMYFUNCTION("""COMPUTED_VALUE"""),"Tiplun Khola HPP")</f>
        <v>Tiplun Khola HPP</v>
      </c>
      <c r="C1550" s="2">
        <f>IFERROR(__xludf.DUMMYFUNCTION("""COMPUTED_VALUE"""),0.5)</f>
        <v>0.5</v>
      </c>
      <c r="D1550" s="2" t="str">
        <f>IFERROR(__xludf.DUMMYFUNCTION("""COMPUTED_VALUE"""),"Tiplung Khola")</f>
        <v>Tiplung Khola</v>
      </c>
      <c r="E1550" s="2">
        <f>IFERROR(__xludf.DUMMYFUNCTION("""COMPUTED_VALUE"""),7940.0)</f>
        <v>7940</v>
      </c>
      <c r="F1550" s="3">
        <f>IFERROR(__xludf.DUMMYFUNCTION("""COMPUTED_VALUE"""),61084.0)</f>
        <v>61084</v>
      </c>
      <c r="G1550" s="2" t="str">
        <f>IFERROR(__xludf.DUMMYFUNCTION("""COMPUTED_VALUE"""),"Bhola Prasad Kadadiya")</f>
        <v>Bhola Prasad Kadadiya</v>
      </c>
      <c r="H1550" s="2" t="str">
        <f>IFERROR(__xludf.DUMMYFUNCTION("""COMPUTED_VALUE"""),"Khimti VDC-1, Ramechhap, Tel: 994490008, 974402180,6208789")</f>
        <v>Khimti VDC-1, Ramechhap, Tel: 994490008, 974402180,6208789</v>
      </c>
      <c r="I1550" s="2" t="str">
        <f>IFERROR(__xludf.DUMMYFUNCTION("""COMPUTED_VALUE"""),"27o 26' 00""")</f>
        <v>27o 26' 00"</v>
      </c>
      <c r="J1550" s="2" t="str">
        <f>IFERROR(__xludf.DUMMYFUNCTION("""COMPUTED_VALUE"""),"27o 27' 15""")</f>
        <v>27o 27' 15"</v>
      </c>
      <c r="K1550" s="2" t="str">
        <f>IFERROR(__xludf.DUMMYFUNCTION("""COMPUTED_VALUE"""),"86o 06' 40""")</f>
        <v>86o 06' 40"</v>
      </c>
      <c r="L1550" s="2" t="str">
        <f>IFERROR(__xludf.DUMMYFUNCTION("""COMPUTED_VALUE"""),"86o 09' 00""")</f>
        <v>86o 09' 00"</v>
      </c>
      <c r="M1550" s="2" t="str">
        <f>IFERROR(__xludf.DUMMYFUNCTION("""COMPUTED_VALUE"""),"Khimti,Tilpung (Ramechhap)")</f>
        <v>Khimti,Tilpung (Ramechhap)</v>
      </c>
    </row>
    <row r="1551">
      <c r="A1551" s="2">
        <f>IFERROR(__xludf.DUMMYFUNCTION("""COMPUTED_VALUE"""),1550.0)</f>
        <v>1550</v>
      </c>
      <c r="B1551" s="2" t="str">
        <f>IFERROR(__xludf.DUMMYFUNCTION("""COMPUTED_VALUE"""),"Marfa Kaligandaki HPP")</f>
        <v>Marfa Kaligandaki HPP</v>
      </c>
      <c r="C1551" s="2">
        <f>IFERROR(__xludf.DUMMYFUNCTION("""COMPUTED_VALUE"""),10.0)</f>
        <v>10</v>
      </c>
      <c r="D1551" s="2" t="str">
        <f>IFERROR(__xludf.DUMMYFUNCTION("""COMPUTED_VALUE"""),"Kali Gandaki")</f>
        <v>Kali Gandaki</v>
      </c>
      <c r="E1551" s="2">
        <f>IFERROR(__xludf.DUMMYFUNCTION("""COMPUTED_VALUE"""),7956.0)</f>
        <v>7956</v>
      </c>
      <c r="F1551" s="3">
        <f>IFERROR(__xludf.DUMMYFUNCTION("""COMPUTED_VALUE"""),61085.0)</f>
        <v>61085</v>
      </c>
      <c r="G1551" s="2" t="str">
        <f>IFERROR(__xludf.DUMMYFUNCTION("""COMPUTED_VALUE"""),"United Houses of entrepreneurs Pvt Ltd")</f>
        <v>United Houses of entrepreneurs Pvt Ltd</v>
      </c>
      <c r="H1551" s="2" t="str">
        <f>IFERROR(__xludf.DUMMYFUNCTION("""COMPUTED_VALUE"""),"Tripureswar, Kathmandu, Tel:4771360,Fax: 4771109")</f>
        <v>Tripureswar, Kathmandu, Tel:4771360,Fax: 4771109</v>
      </c>
      <c r="I1551" s="2" t="str">
        <f>IFERROR(__xludf.DUMMYFUNCTION("""COMPUTED_VALUE"""),"28o 42' 50""")</f>
        <v>28o 42' 50"</v>
      </c>
      <c r="J1551" s="2" t="str">
        <f>IFERROR(__xludf.DUMMYFUNCTION("""COMPUTED_VALUE"""),"28o 46' 06""")</f>
        <v>28o 46' 06"</v>
      </c>
      <c r="K1551" s="2" t="str">
        <f>IFERROR(__xludf.DUMMYFUNCTION("""COMPUTED_VALUE"""),"83o 40' 00""")</f>
        <v>83o 40' 00"</v>
      </c>
      <c r="L1551" s="2" t="str">
        <f>IFERROR(__xludf.DUMMYFUNCTION("""COMPUTED_VALUE"""),"83o 42' 50""")</f>
        <v>83o 42' 50"</v>
      </c>
      <c r="M1551" s="2" t="str">
        <f>IFERROR(__xludf.DUMMYFUNCTION("""COMPUTED_VALUE"""),"Jomosom,Marpha,Tukuche (Mustang)")</f>
        <v>Jomosom,Marpha,Tukuche (Mustang)</v>
      </c>
    </row>
    <row r="1552">
      <c r="A1552" s="2">
        <f>IFERROR(__xludf.DUMMYFUNCTION("""COMPUTED_VALUE"""),1551.0)</f>
        <v>1551</v>
      </c>
      <c r="B1552" s="2" t="str">
        <f>IFERROR(__xludf.DUMMYFUNCTION("""COMPUTED_VALUE"""),"Hewa-Sewa Khola HPP")</f>
        <v>Hewa-Sewa Khola HPP</v>
      </c>
      <c r="C1552" s="2">
        <f>IFERROR(__xludf.DUMMYFUNCTION("""COMPUTED_VALUE"""),3.0)</f>
        <v>3</v>
      </c>
      <c r="D1552" s="2" t="str">
        <f>IFERROR(__xludf.DUMMYFUNCTION("""COMPUTED_VALUE"""),"Hewa Khola")</f>
        <v>Hewa Khola</v>
      </c>
      <c r="E1552" s="2">
        <f>IFERROR(__xludf.DUMMYFUNCTION("""COMPUTED_VALUE"""),1.0)</f>
        <v>1</v>
      </c>
      <c r="F1552" s="3">
        <f>IFERROR(__xludf.DUMMYFUNCTION("""COMPUTED_VALUE"""),61089.0)</f>
        <v>61089</v>
      </c>
      <c r="G1552" s="2" t="str">
        <f>IFERROR(__xludf.DUMMYFUNCTION("""COMPUTED_VALUE"""),"T.P.Neupane, K.R.Chapagain,Ashish Shakya,K.K.Tamang,G.K.Limbu")</f>
        <v>T.P.Neupane, K.R.Chapagain,Ashish Shakya,K.K.Tamang,G.K.Limbu</v>
      </c>
      <c r="H1552" s="2" t="str">
        <f>IFERROR(__xludf.DUMMYFUNCTION("""COMPUTED_VALUE"""),"K.R.Chapagain, Sitalpati VDC-5, Sankhuwasabha, Tel: 9851112732")</f>
        <v>K.R.Chapagain, Sitalpati VDC-5, Sankhuwasabha, Tel: 9851112732</v>
      </c>
      <c r="I1552" s="2" t="str">
        <f>IFERROR(__xludf.DUMMYFUNCTION("""COMPUTED_VALUE"""),"27o 21' 40""")</f>
        <v>27o 21' 40"</v>
      </c>
      <c r="J1552" s="2" t="str">
        <f>IFERROR(__xludf.DUMMYFUNCTION("""COMPUTED_VALUE"""),"27o 23' 10""")</f>
        <v>27o 23' 10"</v>
      </c>
      <c r="K1552" s="2" t="str">
        <f>IFERROR(__xludf.DUMMYFUNCTION("""COMPUTED_VALUE"""),"87o 24' 00""")</f>
        <v>87o 24' 00"</v>
      </c>
      <c r="L1552" s="2" t="str">
        <f>IFERROR(__xludf.DUMMYFUNCTION("""COMPUTED_VALUE"""),"87o 25' 30""")</f>
        <v>87o 25' 30"</v>
      </c>
      <c r="M1552" s="2" t="str">
        <f>IFERROR(__xludf.DUMMYFUNCTION("""COMPUTED_VALUE"""),"Siddhapokhari (Sankhuwasabha)")</f>
        <v>Siddhapokhari (Sankhuwasabha)</v>
      </c>
    </row>
    <row r="1553">
      <c r="A1553" s="2">
        <f>IFERROR(__xludf.DUMMYFUNCTION("""COMPUTED_VALUE"""),1552.0)</f>
        <v>1552</v>
      </c>
      <c r="B1553" s="2" t="str">
        <f>IFERROR(__xludf.DUMMYFUNCTION("""COMPUTED_VALUE"""),"Kinja Marbu Hydropower Project")</f>
        <v>Kinja Marbu Hydropower Project</v>
      </c>
      <c r="C1553" s="2">
        <f>IFERROR(__xludf.DUMMYFUNCTION("""COMPUTED_VALUE"""),4.61)</f>
        <v>4.61</v>
      </c>
      <c r="D1553" s="2" t="str">
        <f>IFERROR(__xludf.DUMMYFUNCTION("""COMPUTED_VALUE"""),"Kinja")</f>
        <v>Kinja</v>
      </c>
      <c r="E1553" s="2">
        <f>IFERROR(__xludf.DUMMYFUNCTION("""COMPUTED_VALUE"""),38.0)</f>
        <v>38</v>
      </c>
      <c r="F1553" s="3">
        <f>IFERROR(__xludf.DUMMYFUNCTION("""COMPUTED_VALUE"""),61091.0)</f>
        <v>61091</v>
      </c>
      <c r="G1553" s="2" t="str">
        <f>IFERROR(__xludf.DUMMYFUNCTION("""COMPUTED_VALUE"""),"Global Hydropower Associate Pvt Ltd")</f>
        <v>Global Hydropower Associate Pvt Ltd</v>
      </c>
      <c r="H1553" s="2" t="str">
        <f>IFERROR(__xludf.DUMMYFUNCTION("""COMPUTED_VALUE"""),"GPO Box: 485,Kathmandu, Tel: 01-4268589")</f>
        <v>GPO Box: 485,Kathmandu, Tel: 01-4268589</v>
      </c>
      <c r="I1553" s="2" t="str">
        <f>IFERROR(__xludf.DUMMYFUNCTION("""COMPUTED_VALUE"""),"27o 34' 03""")</f>
        <v>27o 34' 03"</v>
      </c>
      <c r="J1553" s="2" t="str">
        <f>IFERROR(__xludf.DUMMYFUNCTION("""COMPUTED_VALUE"""),"27o 36' 26""")</f>
        <v>27o 36' 26"</v>
      </c>
      <c r="K1553" s="2" t="str">
        <f>IFERROR(__xludf.DUMMYFUNCTION("""COMPUTED_VALUE"""),"86o 26' 00""")</f>
        <v>86o 26' 00"</v>
      </c>
      <c r="L1553" s="2" t="str">
        <f>IFERROR(__xludf.DUMMYFUNCTION("""COMPUTED_VALUE"""),"86o 28' 00""")</f>
        <v>86o 28' 00"</v>
      </c>
      <c r="M1553" s="2" t="str">
        <f>IFERROR(__xludf.DUMMYFUNCTION("""COMPUTED_VALUE"""),"Bhakanje (Solukhumbu)")</f>
        <v>Bhakanje (Solukhumbu)</v>
      </c>
    </row>
    <row r="1554">
      <c r="A1554" s="2">
        <f>IFERROR(__xludf.DUMMYFUNCTION("""COMPUTED_VALUE"""),1553.0)</f>
        <v>1553</v>
      </c>
      <c r="B1554" s="2" t="str">
        <f>IFERROR(__xludf.DUMMYFUNCTION("""COMPUTED_VALUE"""),"Bheri-4 (Storage) HPP")</f>
        <v>Bheri-4 (Storage) HPP</v>
      </c>
      <c r="C1554" s="2">
        <f>IFERROR(__xludf.DUMMYFUNCTION("""COMPUTED_VALUE"""),667.0)</f>
        <v>667</v>
      </c>
      <c r="D1554" s="2" t="str">
        <f>IFERROR(__xludf.DUMMYFUNCTION("""COMPUTED_VALUE"""),"Bheri")</f>
        <v>Bheri</v>
      </c>
      <c r="E1554" s="2">
        <f>IFERROR(__xludf.DUMMYFUNCTION("""COMPUTED_VALUE"""),68.0)</f>
        <v>68</v>
      </c>
      <c r="F1554" s="3">
        <f>IFERROR(__xludf.DUMMYFUNCTION("""COMPUTED_VALUE"""),61092.0)</f>
        <v>61092</v>
      </c>
      <c r="G1554" s="2" t="str">
        <f>IFERROR(__xludf.DUMMYFUNCTION("""COMPUTED_VALUE"""),"Muktishree Energy Pvt Ltd")</f>
        <v>Muktishree Energy Pvt Ltd</v>
      </c>
      <c r="H1554" s="2" t="str">
        <f>IFERROR(__xludf.DUMMYFUNCTION("""COMPUTED_VALUE"""),"GPO Box: 12557,Kathmandu, Tel: 4258338")</f>
        <v>GPO Box: 12557,Kathmandu, Tel: 4258338</v>
      </c>
      <c r="I1554" s="2" t="str">
        <f>IFERROR(__xludf.DUMMYFUNCTION("""COMPUTED_VALUE"""),"28o 33' 51""")</f>
        <v>28o 33' 51"</v>
      </c>
      <c r="J1554" s="2" t="str">
        <f>IFERROR(__xludf.DUMMYFUNCTION("""COMPUTED_VALUE"""),"28o 45' 00""")</f>
        <v>28o 45' 00"</v>
      </c>
      <c r="K1554" s="2" t="str">
        <f>IFERROR(__xludf.DUMMYFUNCTION("""COMPUTED_VALUE"""),"81o 57' 30""")</f>
        <v>81o 57' 30"</v>
      </c>
      <c r="L1554" s="2" t="str">
        <f>IFERROR(__xludf.DUMMYFUNCTION("""COMPUTED_VALUE"""),"82o 20' 00""")</f>
        <v>82o 20' 00"</v>
      </c>
      <c r="M1554" s="2" t="str">
        <f>IFERROR(__xludf.DUMMYFUNCTION("""COMPUTED_VALUE"""),"Dandagaun,Dasera,Jagatipur,Sima (Jajarkot) Khalanga (Salyan)")</f>
        <v>Dandagaun,Dasera,Jagatipur,Sima (Jajarkot) Khalanga (Salyan)</v>
      </c>
    </row>
    <row r="1555">
      <c r="A1555" s="2">
        <f>IFERROR(__xludf.DUMMYFUNCTION("""COMPUTED_VALUE"""),1554.0)</f>
        <v>1554</v>
      </c>
      <c r="B1555" s="2" t="str">
        <f>IFERROR(__xludf.DUMMYFUNCTION("""COMPUTED_VALUE"""),"Gaudi Khola SHP")</f>
        <v>Gaudi Khola SHP</v>
      </c>
      <c r="C1555" s="2">
        <f>IFERROR(__xludf.DUMMYFUNCTION("""COMPUTED_VALUE"""),0.86)</f>
        <v>0.86</v>
      </c>
      <c r="D1555" s="2" t="str">
        <f>IFERROR(__xludf.DUMMYFUNCTION("""COMPUTED_VALUE"""),"Gaudi")</f>
        <v>Gaudi</v>
      </c>
      <c r="E1555" s="2">
        <f>IFERROR(__xludf.DUMMYFUNCTION("""COMPUTED_VALUE"""),89.0)</f>
        <v>89</v>
      </c>
      <c r="F1555" s="3">
        <f>IFERROR(__xludf.DUMMYFUNCTION("""COMPUTED_VALUE"""),61092.0)</f>
        <v>61092</v>
      </c>
      <c r="G1555" s="2" t="str">
        <f>IFERROR(__xludf.DUMMYFUNCTION("""COMPUTED_VALUE"""),"Engineering and Planning Solution Consultancy Pvt Ltd")</f>
        <v>Engineering and Planning Solution Consultancy Pvt Ltd</v>
      </c>
      <c r="H1555" s="2" t="str">
        <f>IFERROR(__xludf.DUMMYFUNCTION("""COMPUTED_VALUE"""),"GPO Box: 8975, Kathmandu, Tel:5520725,9851118945")</f>
        <v>GPO Box: 8975, Kathmandu, Tel:5520725,9851118945</v>
      </c>
      <c r="I1555" s="2" t="str">
        <f>IFERROR(__xludf.DUMMYFUNCTION("""COMPUTED_VALUE"""),"28o 12' 43""")</f>
        <v>28o 12' 43"</v>
      </c>
      <c r="J1555" s="2" t="str">
        <f>IFERROR(__xludf.DUMMYFUNCTION("""COMPUTED_VALUE"""),"28o 13' 16""")</f>
        <v>28o 13' 16"</v>
      </c>
      <c r="K1555" s="2" t="str">
        <f>IFERROR(__xludf.DUMMYFUNCTION("""COMPUTED_VALUE"""),"83o 25' 10""")</f>
        <v>83o 25' 10"</v>
      </c>
      <c r="L1555" s="2" t="str">
        <f>IFERROR(__xludf.DUMMYFUNCTION("""COMPUTED_VALUE"""),"83o 27' 00""")</f>
        <v>83o 27' 00"</v>
      </c>
      <c r="M1555" s="2" t="str">
        <f>IFERROR(__xludf.DUMMYFUNCTION("""COMPUTED_VALUE"""),"Hatiya,Dudhilamati,Narethanti (Baglung)")</f>
        <v>Hatiya,Dudhilamati,Narethanti (Baglung)</v>
      </c>
    </row>
    <row r="1556">
      <c r="A1556" s="2">
        <f>IFERROR(__xludf.DUMMYFUNCTION("""COMPUTED_VALUE"""),1555.0)</f>
        <v>1555</v>
      </c>
      <c r="B1556" s="2" t="str">
        <f>IFERROR(__xludf.DUMMYFUNCTION("""COMPUTED_VALUE"""),"Middle Balephi HPP")</f>
        <v>Middle Balephi HPP</v>
      </c>
      <c r="C1556" s="2">
        <f>IFERROR(__xludf.DUMMYFUNCTION("""COMPUTED_VALUE"""),7.5)</f>
        <v>7.5</v>
      </c>
      <c r="D1556" s="2" t="str">
        <f>IFERROR(__xludf.DUMMYFUNCTION("""COMPUTED_VALUE"""),"Balephi")</f>
        <v>Balephi</v>
      </c>
      <c r="E1556" s="2">
        <f>IFERROR(__xludf.DUMMYFUNCTION("""COMPUTED_VALUE"""),103.0)</f>
        <v>103</v>
      </c>
      <c r="F1556" s="3">
        <f>IFERROR(__xludf.DUMMYFUNCTION("""COMPUTED_VALUE"""),61093.0)</f>
        <v>61093</v>
      </c>
      <c r="G1556" s="2" t="str">
        <f>IFERROR(__xludf.DUMMYFUNCTION("""COMPUTED_VALUE"""),"Research Development Group Group")</f>
        <v>Research Development Group Group</v>
      </c>
      <c r="H1556" s="2" t="str">
        <f>IFERROR(__xludf.DUMMYFUNCTION("""COMPUTED_VALUE"""),"GPO: 10910, Kathamndu, Tel: 4780657")</f>
        <v>GPO: 10910, Kathamndu, Tel: 4780657</v>
      </c>
      <c r="I1556" s="2" t="str">
        <f>IFERROR(__xludf.DUMMYFUNCTION("""COMPUTED_VALUE"""),"27o 49' 30""")</f>
        <v>27o 49' 30"</v>
      </c>
      <c r="J1556" s="2" t="str">
        <f>IFERROR(__xludf.DUMMYFUNCTION("""COMPUTED_VALUE"""),"27o 50' 48""")</f>
        <v>27o 50' 48"</v>
      </c>
      <c r="K1556" s="2" t="str">
        <f>IFERROR(__xludf.DUMMYFUNCTION("""COMPUTED_VALUE"""),"85o 45' 30""")</f>
        <v>85o 45' 30"</v>
      </c>
      <c r="L1556" s="2" t="str">
        <f>IFERROR(__xludf.DUMMYFUNCTION("""COMPUTED_VALUE"""),"85o 46' 30""")</f>
        <v>85o 46' 30"</v>
      </c>
      <c r="M1556" s="2" t="str">
        <f>IFERROR(__xludf.DUMMYFUNCTION("""COMPUTED_VALUE"""),"Baramchi,Selang (Sindhupalchok)")</f>
        <v>Baramchi,Selang (Sindhupalchok)</v>
      </c>
    </row>
    <row r="1557">
      <c r="A1557" s="2">
        <f>IFERROR(__xludf.DUMMYFUNCTION("""COMPUTED_VALUE"""),1556.0)</f>
        <v>1556</v>
      </c>
      <c r="B1557" s="2" t="str">
        <f>IFERROR(__xludf.DUMMYFUNCTION("""COMPUTED_VALUE"""),"Upper Bharbun HPP")</f>
        <v>Upper Bharbun HPP</v>
      </c>
      <c r="C1557" s="2">
        <f>IFERROR(__xludf.DUMMYFUNCTION("""COMPUTED_VALUE"""),20.0)</f>
        <v>20</v>
      </c>
      <c r="D1557" s="2" t="str">
        <f>IFERROR(__xludf.DUMMYFUNCTION("""COMPUTED_VALUE"""),"Bharbun")</f>
        <v>Bharbun</v>
      </c>
      <c r="E1557" s="2">
        <f>IFERROR(__xludf.DUMMYFUNCTION("""COMPUTED_VALUE"""),175.0)</f>
        <v>175</v>
      </c>
      <c r="F1557" s="3">
        <f>IFERROR(__xludf.DUMMYFUNCTION("""COMPUTED_VALUE"""),61093.0)</f>
        <v>61093</v>
      </c>
      <c r="G1557" s="2" t="str">
        <f>IFERROR(__xludf.DUMMYFUNCTION("""COMPUTED_VALUE"""),"Chandan Holding Pvt Ltd")</f>
        <v>Chandan Holding Pvt Ltd</v>
      </c>
      <c r="H1557" s="2" t="str">
        <f>IFERROR(__xludf.DUMMYFUNCTION("""COMPUTED_VALUE"""),"Lalitpur Sub-metropolitan Municipality-2, Lalitpur, Tel:89751365, 5000300")</f>
        <v>Lalitpur Sub-metropolitan Municipality-2, Lalitpur, Tel:89751365, 5000300</v>
      </c>
      <c r="I1557" s="2" t="str">
        <f>IFERROR(__xludf.DUMMYFUNCTION("""COMPUTED_VALUE"""),"28o 52' 00""")</f>
        <v>28o 52' 00"</v>
      </c>
      <c r="J1557" s="2" t="str">
        <f>IFERROR(__xludf.DUMMYFUNCTION("""COMPUTED_VALUE"""),"28o 54' 35""")</f>
        <v>28o 54' 35"</v>
      </c>
      <c r="K1557" s="2" t="str">
        <f>IFERROR(__xludf.DUMMYFUNCTION("""COMPUTED_VALUE"""),"83o 06' 30""")</f>
        <v>83o 06' 30"</v>
      </c>
      <c r="L1557" s="2" t="str">
        <f>IFERROR(__xludf.DUMMYFUNCTION("""COMPUTED_VALUE"""),"83o 11' 23""")</f>
        <v>83o 11' 23"</v>
      </c>
      <c r="M1557" s="2" t="str">
        <f>IFERROR(__xludf.DUMMYFUNCTION("""COMPUTED_VALUE"""),"Sahartara (Dolpa)")</f>
        <v>Sahartara (Dolpa)</v>
      </c>
    </row>
    <row r="1558">
      <c r="A1558" s="2">
        <f>IFERROR(__xludf.DUMMYFUNCTION("""COMPUTED_VALUE"""),1557.0)</f>
        <v>1557</v>
      </c>
      <c r="B1558" s="2" t="str">
        <f>IFERROR(__xludf.DUMMYFUNCTION("""COMPUTED_VALUE"""),"Bharbun Khola HPP")</f>
        <v>Bharbun Khola HPP</v>
      </c>
      <c r="C1558" s="2">
        <f>IFERROR(__xludf.DUMMYFUNCTION("""COMPUTED_VALUE"""),30.0)</f>
        <v>30</v>
      </c>
      <c r="D1558" s="2" t="str">
        <f>IFERROR(__xludf.DUMMYFUNCTION("""COMPUTED_VALUE"""),"Bharbun")</f>
        <v>Bharbun</v>
      </c>
      <c r="E1558" s="2">
        <f>IFERROR(__xludf.DUMMYFUNCTION("""COMPUTED_VALUE"""),176.0)</f>
        <v>176</v>
      </c>
      <c r="F1558" s="3">
        <f>IFERROR(__xludf.DUMMYFUNCTION("""COMPUTED_VALUE"""),61093.0)</f>
        <v>61093</v>
      </c>
      <c r="G1558" s="2" t="str">
        <f>IFERROR(__xludf.DUMMYFUNCTION("""COMPUTED_VALUE"""),"Chandan Holding Pvt Ltd")</f>
        <v>Chandan Holding Pvt Ltd</v>
      </c>
      <c r="H1558" s="2" t="str">
        <f>IFERROR(__xludf.DUMMYFUNCTION("""COMPUTED_VALUE"""),"Lalitpur Sub-metropolitan Municipality-2, Lalitpur, Tel:89751365, 5000300")</f>
        <v>Lalitpur Sub-metropolitan Municipality-2, Lalitpur, Tel:89751365, 5000300</v>
      </c>
      <c r="I1558" s="2" t="str">
        <f>IFERROR(__xludf.DUMMYFUNCTION("""COMPUTED_VALUE"""),"28o 52' 00""")</f>
        <v>28o 52' 00"</v>
      </c>
      <c r="J1558" s="2" t="str">
        <f>IFERROR(__xludf.DUMMYFUNCTION("""COMPUTED_VALUE"""),"28o 54' 35""")</f>
        <v>28o 54' 35"</v>
      </c>
      <c r="K1558" s="2" t="str">
        <f>IFERROR(__xludf.DUMMYFUNCTION("""COMPUTED_VALUE"""),"83o 00' 00""")</f>
        <v>83o 00' 00"</v>
      </c>
      <c r="L1558" s="2" t="str">
        <f>IFERROR(__xludf.DUMMYFUNCTION("""COMPUTED_VALUE"""),"83o 06' 00""")</f>
        <v>83o 06' 00"</v>
      </c>
      <c r="M1558" s="2" t="str">
        <f>IFERROR(__xludf.DUMMYFUNCTION("""COMPUTED_VALUE"""),"Lawan,Sahartara (Dolpa)")</f>
        <v>Lawan,Sahartara (Dolpa)</v>
      </c>
    </row>
    <row r="1559">
      <c r="A1559" s="2">
        <f>IFERROR(__xludf.DUMMYFUNCTION("""COMPUTED_VALUE"""),1558.0)</f>
        <v>1558</v>
      </c>
      <c r="B1559" s="2" t="str">
        <f>IFERROR(__xludf.DUMMYFUNCTION("""COMPUTED_VALUE"""),"Upper Puma SHP")</f>
        <v>Upper Puma SHP</v>
      </c>
      <c r="C1559" s="2">
        <f>IFERROR(__xludf.DUMMYFUNCTION("""COMPUTED_VALUE"""),0.995)</f>
        <v>0.995</v>
      </c>
      <c r="D1559" s="2" t="str">
        <f>IFERROR(__xludf.DUMMYFUNCTION("""COMPUTED_VALUE"""),"Puma")</f>
        <v>Puma</v>
      </c>
      <c r="E1559" s="2">
        <f>IFERROR(__xludf.DUMMYFUNCTION("""COMPUTED_VALUE"""),208.0)</f>
        <v>208</v>
      </c>
      <c r="F1559" s="3">
        <f>IFERROR(__xludf.DUMMYFUNCTION("""COMPUTED_VALUE"""),61094.0)</f>
        <v>61094</v>
      </c>
      <c r="G1559" s="2" t="str">
        <f>IFERROR(__xludf.DUMMYFUNCTION("""COMPUTED_VALUE"""),"Sanrachna Bagle")</f>
        <v>Sanrachna Bagle</v>
      </c>
      <c r="H1559" s="2" t="str">
        <f>IFERROR(__xludf.DUMMYFUNCTION("""COMPUTED_VALUE"""),"Byas Munucipality-7, Tel: 9851114181, 9849405741")</f>
        <v>Byas Munucipality-7, Tel: 9851114181, 9849405741</v>
      </c>
      <c r="I1559" s="2" t="str">
        <f>IFERROR(__xludf.DUMMYFUNCTION("""COMPUTED_VALUE"""),"28o 41' 15""")</f>
        <v>28o 41' 15"</v>
      </c>
      <c r="J1559" s="2" t="str">
        <f>IFERROR(__xludf.DUMMYFUNCTION("""COMPUTED_VALUE"""),"28o 42' 30""")</f>
        <v>28o 42' 30"</v>
      </c>
      <c r="K1559" s="2" t="str">
        <f>IFERROR(__xludf.DUMMYFUNCTION("""COMPUTED_VALUE"""),"82o 33' 57""")</f>
        <v>82o 33' 57"</v>
      </c>
      <c r="L1559" s="2" t="str">
        <f>IFERROR(__xludf.DUMMYFUNCTION("""COMPUTED_VALUE"""),"82o 35' 10""")</f>
        <v>82o 35' 10"</v>
      </c>
      <c r="M1559" s="2" t="str">
        <f>IFERROR(__xludf.DUMMYFUNCTION("""COMPUTED_VALUE"""),"Pipal (Rukum)")</f>
        <v>Pipal (Rukum)</v>
      </c>
    </row>
    <row r="1560">
      <c r="A1560" s="2">
        <f>IFERROR(__xludf.DUMMYFUNCTION("""COMPUTED_VALUE"""),1559.0)</f>
        <v>1559</v>
      </c>
      <c r="B1560" s="2" t="str">
        <f>IFERROR(__xludf.DUMMYFUNCTION("""COMPUTED_VALUE"""),"Lower Puma Small Hydropower Project")</f>
        <v>Lower Puma Small Hydropower Project</v>
      </c>
      <c r="C1560" s="2">
        <f>IFERROR(__xludf.DUMMYFUNCTION("""COMPUTED_VALUE"""),0.995)</f>
        <v>0.995</v>
      </c>
      <c r="D1560" s="2" t="str">
        <f>IFERROR(__xludf.DUMMYFUNCTION("""COMPUTED_VALUE"""),"Puma")</f>
        <v>Puma</v>
      </c>
      <c r="E1560" s="2">
        <f>IFERROR(__xludf.DUMMYFUNCTION("""COMPUTED_VALUE"""),209.0)</f>
        <v>209</v>
      </c>
      <c r="F1560" s="3">
        <f>IFERROR(__xludf.DUMMYFUNCTION("""COMPUTED_VALUE"""),61094.0)</f>
        <v>61094</v>
      </c>
      <c r="G1560" s="2" t="str">
        <f>IFERROR(__xludf.DUMMYFUNCTION("""COMPUTED_VALUE"""),"Sanrachna Bagle")</f>
        <v>Sanrachna Bagle</v>
      </c>
      <c r="H1560" s="2" t="str">
        <f>IFERROR(__xludf.DUMMYFUNCTION("""COMPUTED_VALUE"""),"Byas Munucipality-7, Tel: 9851114181, 9849405741")</f>
        <v>Byas Munucipality-7, Tel: 9851114181, 9849405741</v>
      </c>
      <c r="I1560" s="2" t="str">
        <f>IFERROR(__xludf.DUMMYFUNCTION("""COMPUTED_VALUE"""),"28o 38' 43""")</f>
        <v>28o 38' 43"</v>
      </c>
      <c r="J1560" s="2" t="str">
        <f>IFERROR(__xludf.DUMMYFUNCTION("""COMPUTED_VALUE"""),"28o 39' 07""")</f>
        <v>28o 39' 07"</v>
      </c>
      <c r="K1560" s="2" t="str">
        <f>IFERROR(__xludf.DUMMYFUNCTION("""COMPUTED_VALUE"""),"82o 32' 52""")</f>
        <v>82o 32' 52"</v>
      </c>
      <c r="L1560" s="2" t="str">
        <f>IFERROR(__xludf.DUMMYFUNCTION("""COMPUTED_VALUE"""),"82o 33' 29""")</f>
        <v>82o 33' 29"</v>
      </c>
      <c r="M1560" s="2" t="str">
        <f>IFERROR(__xludf.DUMMYFUNCTION("""COMPUTED_VALUE"""),"Pipal (Rukum)")</f>
        <v>Pipal (Rukum)</v>
      </c>
    </row>
    <row r="1561">
      <c r="A1561" s="2">
        <f>IFERROR(__xludf.DUMMYFUNCTION("""COMPUTED_VALUE"""),1560.0)</f>
        <v>1560</v>
      </c>
      <c r="B1561" s="2" t="str">
        <f>IFERROR(__xludf.DUMMYFUNCTION("""COMPUTED_VALUE"""),"Samari Khola SHP")</f>
        <v>Samari Khola SHP</v>
      </c>
      <c r="C1561" s="2">
        <f>IFERROR(__xludf.DUMMYFUNCTION("""COMPUTED_VALUE"""),0.55)</f>
        <v>0.55</v>
      </c>
      <c r="D1561" s="2" t="str">
        <f>IFERROR(__xludf.DUMMYFUNCTION("""COMPUTED_VALUE"""),"Samari Khola")</f>
        <v>Samari Khola</v>
      </c>
      <c r="E1561" s="2">
        <f>IFERROR(__xludf.DUMMYFUNCTION("""COMPUTED_VALUE"""),316.0)</f>
        <v>316</v>
      </c>
      <c r="F1561" s="3">
        <f>IFERROR(__xludf.DUMMYFUNCTION("""COMPUTED_VALUE"""),61101.0)</f>
        <v>61101</v>
      </c>
      <c r="G1561" s="2" t="str">
        <f>IFERROR(__xludf.DUMMYFUNCTION("""COMPUTED_VALUE"""),"Kanchan Samari Hydropower Pvt Ltd")</f>
        <v>Kanchan Samari Hydropower Pvt Ltd</v>
      </c>
      <c r="H1561" s="2" t="str">
        <f>IFERROR(__xludf.DUMMYFUNCTION("""COMPUTED_VALUE"""),"Chhahbil-7, Kathmandu Tel: 9849039293")</f>
        <v>Chhahbil-7, Kathmandu Tel: 9849039293</v>
      </c>
      <c r="I1561" s="2" t="str">
        <f>IFERROR(__xludf.DUMMYFUNCTION("""COMPUTED_VALUE"""),"27o 25' 27""")</f>
        <v>27o 25' 27"</v>
      </c>
      <c r="J1561" s="2" t="str">
        <f>IFERROR(__xludf.DUMMYFUNCTION("""COMPUTED_VALUE"""),"27o 27' 08""")</f>
        <v>27o 27' 08"</v>
      </c>
      <c r="K1561" s="2" t="str">
        <f>IFERROR(__xludf.DUMMYFUNCTION("""COMPUTED_VALUE"""),"85o 07' 48""")</f>
        <v>85o 07' 48"</v>
      </c>
      <c r="L1561" s="2" t="str">
        <f>IFERROR(__xludf.DUMMYFUNCTION("""COMPUTED_VALUE"""),"85o 08' 37""")</f>
        <v>85o 08' 37"</v>
      </c>
      <c r="M1561" s="2" t="str">
        <f>IFERROR(__xludf.DUMMYFUNCTION("""COMPUTED_VALUE"""),"Ambhanjyang (Makawanpur)")</f>
        <v>Ambhanjyang (Makawanpur)</v>
      </c>
    </row>
    <row r="1562">
      <c r="A1562" s="2">
        <f>IFERROR(__xludf.DUMMYFUNCTION("""COMPUTED_VALUE"""),1561.0)</f>
        <v>1561</v>
      </c>
      <c r="B1562" s="2" t="str">
        <f>IFERROR(__xludf.DUMMYFUNCTION("""COMPUTED_VALUE"""),"Dudhkoshi (BASA) Hydropower Project")</f>
        <v>Dudhkoshi (BASA) Hydropower Project</v>
      </c>
      <c r="C1562" s="2">
        <f>IFERROR(__xludf.DUMMYFUNCTION("""COMPUTED_VALUE"""),105.0)</f>
        <v>105</v>
      </c>
      <c r="D1562" s="2" t="str">
        <f>IFERROR(__xludf.DUMMYFUNCTION("""COMPUTED_VALUE"""),"Dudh Koshi")</f>
        <v>Dudh Koshi</v>
      </c>
      <c r="E1562" s="2">
        <f>IFERROR(__xludf.DUMMYFUNCTION("""COMPUTED_VALUE"""),355.0)</f>
        <v>355</v>
      </c>
      <c r="F1562" s="3">
        <f>IFERROR(__xludf.DUMMYFUNCTION("""COMPUTED_VALUE"""),61104.0)</f>
        <v>61104</v>
      </c>
      <c r="G1562" s="2" t="str">
        <f>IFERROR(__xludf.DUMMYFUNCTION("""COMPUTED_VALUE"""),"Navyug Urja Pvt Ltd")</f>
        <v>Navyug Urja Pvt Ltd</v>
      </c>
      <c r="H1562" s="2" t="str">
        <f>IFERROR(__xludf.DUMMYFUNCTION("""COMPUTED_VALUE"""),"Baneswar, GPO Box: 11812, Kathmandu Tel: 9741139280")</f>
        <v>Baneswar, GPO Box: 11812, Kathmandu Tel: 9741139280</v>
      </c>
      <c r="I1562" s="2" t="str">
        <f>IFERROR(__xludf.DUMMYFUNCTION("""COMPUTED_VALUE"""),"27o 30' 51""")</f>
        <v>27o 30' 51"</v>
      </c>
      <c r="J1562" s="2" t="str">
        <f>IFERROR(__xludf.DUMMYFUNCTION("""COMPUTED_VALUE"""),"27o 33' 29""")</f>
        <v>27o 33' 29"</v>
      </c>
      <c r="K1562" s="2" t="str">
        <f>IFERROR(__xludf.DUMMYFUNCTION("""COMPUTED_VALUE"""),"86o 40' 00""")</f>
        <v>86o 40' 00"</v>
      </c>
      <c r="L1562" s="2" t="str">
        <f>IFERROR(__xludf.DUMMYFUNCTION("""COMPUTED_VALUE"""),"86o 43' 30""")</f>
        <v>86o 43' 30"</v>
      </c>
      <c r="M1562" s="2" t="str">
        <f>IFERROR(__xludf.DUMMYFUNCTION("""COMPUTED_VALUE"""),"Basa,Baku (Solukhumbu)")</f>
        <v>Basa,Baku (Solukhumbu)</v>
      </c>
    </row>
    <row r="1563">
      <c r="A1563" s="2">
        <f>IFERROR(__xludf.DUMMYFUNCTION("""COMPUTED_VALUE"""),1562.0)</f>
        <v>1562</v>
      </c>
      <c r="B1563" s="2" t="str">
        <f>IFERROR(__xludf.DUMMYFUNCTION("""COMPUTED_VALUE"""),"Phakphok Khola HPP")</f>
        <v>Phakphok Khola HPP</v>
      </c>
      <c r="C1563" s="2">
        <f>IFERROR(__xludf.DUMMYFUNCTION("""COMPUTED_VALUE"""),2.2)</f>
        <v>2.2</v>
      </c>
      <c r="D1563" s="2" t="str">
        <f>IFERROR(__xludf.DUMMYFUNCTION("""COMPUTED_VALUE"""),"Phakphok")</f>
        <v>Phakphok</v>
      </c>
      <c r="E1563" s="2">
        <f>IFERROR(__xludf.DUMMYFUNCTION("""COMPUTED_VALUE"""),378.0)</f>
        <v>378</v>
      </c>
      <c r="F1563" s="3">
        <f>IFERROR(__xludf.DUMMYFUNCTION("""COMPUTED_VALUE"""),61105.0)</f>
        <v>61105</v>
      </c>
      <c r="G1563" s="2" t="str">
        <f>IFERROR(__xludf.DUMMYFUNCTION("""COMPUTED_VALUE"""),"Falgunanda Hydropower Co. Pvt Ltd")</f>
        <v>Falgunanda Hydropower Co. Pvt Ltd</v>
      </c>
      <c r="H1563" s="2" t="str">
        <f>IFERROR(__xludf.DUMMYFUNCTION("""COMPUTED_VALUE"""),"Sachetna Marg, House No.107, Nayabaneswar, Kathmandu")</f>
        <v>Sachetna Marg, House No.107, Nayabaneswar, Kathmandu</v>
      </c>
      <c r="I1563" s="2" t="str">
        <f>IFERROR(__xludf.DUMMYFUNCTION("""COMPUTED_VALUE"""),"26o 56' 35""")</f>
        <v>26o 56' 35"</v>
      </c>
      <c r="J1563" s="2" t="str">
        <f>IFERROR(__xludf.DUMMYFUNCTION("""COMPUTED_VALUE"""),"26o 58' 13""")</f>
        <v>26o 58' 13"</v>
      </c>
      <c r="K1563" s="2" t="str">
        <f>IFERROR(__xludf.DUMMYFUNCTION("""COMPUTED_VALUE"""),"87o 45' 00""")</f>
        <v>87o 45' 00"</v>
      </c>
      <c r="L1563" s="2" t="str">
        <f>IFERROR(__xludf.DUMMYFUNCTION("""COMPUTED_VALUE"""),"87o 46' 32""")</f>
        <v>87o 46' 32"</v>
      </c>
      <c r="M1563" s="2" t="str">
        <f>IFERROR(__xludf.DUMMYFUNCTION("""COMPUTED_VALUE"""),"Phakphok,Amchok,Ektappa (Ilam)")</f>
        <v>Phakphok,Amchok,Ektappa (Ilam)</v>
      </c>
    </row>
    <row r="1564">
      <c r="A1564" s="2">
        <f>IFERROR(__xludf.DUMMYFUNCTION("""COMPUTED_VALUE"""),1563.0)</f>
        <v>1563</v>
      </c>
      <c r="B1564" s="2" t="str">
        <f>IFERROR(__xludf.DUMMYFUNCTION("""COMPUTED_VALUE"""),"Super Khani Khola SHP")</f>
        <v>Super Khani Khola SHP</v>
      </c>
      <c r="C1564" s="2">
        <f>IFERROR(__xludf.DUMMYFUNCTION("""COMPUTED_VALUE"""),0.99)</f>
        <v>0.99</v>
      </c>
      <c r="D1564" s="2" t="str">
        <f>IFERROR(__xludf.DUMMYFUNCTION("""COMPUTED_VALUE"""),"Khani Khola")</f>
        <v>Khani Khola</v>
      </c>
      <c r="E1564" s="2">
        <f>IFERROR(__xludf.DUMMYFUNCTION("""COMPUTED_VALUE"""),424.0)</f>
        <v>424</v>
      </c>
      <c r="F1564" s="3">
        <f>IFERROR(__xludf.DUMMYFUNCTION("""COMPUTED_VALUE"""),61110.0)</f>
        <v>61110</v>
      </c>
      <c r="G1564" s="2" t="str">
        <f>IFERROR(__xludf.DUMMYFUNCTION("""COMPUTED_VALUE"""),"Dai lal Ghising, tank lal Ghising")</f>
        <v>Dai lal Ghising, tank lal Ghising</v>
      </c>
      <c r="H1564" s="2" t="str">
        <f>IFERROR(__xludf.DUMMYFUNCTION("""COMPUTED_VALUE"""),"GPO Box: 6307,Kathmandu, Tel: 4372491,9851120717")</f>
        <v>GPO Box: 6307,Kathmandu, Tel: 4372491,9851120717</v>
      </c>
      <c r="I1564" s="2" t="str">
        <f>IFERROR(__xludf.DUMMYFUNCTION("""COMPUTED_VALUE"""),"27o 17' 16""")</f>
        <v>27o 17' 16"</v>
      </c>
      <c r="J1564" s="2" t="str">
        <f>IFERROR(__xludf.DUMMYFUNCTION("""COMPUTED_VALUE"""),"27o 25' 28""")</f>
        <v>27o 25' 28"</v>
      </c>
      <c r="K1564" s="2" t="str">
        <f>IFERROR(__xludf.DUMMYFUNCTION("""COMPUTED_VALUE"""),"85o 30' 33""")</f>
        <v>85o 30' 33"</v>
      </c>
      <c r="L1564" s="2" t="str">
        <f>IFERROR(__xludf.DUMMYFUNCTION("""COMPUTED_VALUE"""),"85o 32' 03""")</f>
        <v>85o 32' 03"</v>
      </c>
      <c r="M1564" s="2" t="str">
        <f>IFERROR(__xludf.DUMMYFUNCTION("""COMPUTED_VALUE"""),"Falemetar (Kavrepalanchok)")</f>
        <v>Falemetar (Kavrepalanchok)</v>
      </c>
    </row>
    <row r="1565">
      <c r="A1565" s="2">
        <f>IFERROR(__xludf.DUMMYFUNCTION("""COMPUTED_VALUE"""),1564.0)</f>
        <v>1564</v>
      </c>
      <c r="B1565" s="2" t="str">
        <f>IFERROR(__xludf.DUMMYFUNCTION("""COMPUTED_VALUE"""),"Upper Jhyari Khola SHP")</f>
        <v>Upper Jhyari Khola SHP</v>
      </c>
      <c r="C1565" s="2">
        <f>IFERROR(__xludf.DUMMYFUNCTION("""COMPUTED_VALUE"""),0.56)</f>
        <v>0.56</v>
      </c>
      <c r="D1565" s="2" t="str">
        <f>IFERROR(__xludf.DUMMYFUNCTION("""COMPUTED_VALUE"""),"Jhyari Khola")</f>
        <v>Jhyari Khola</v>
      </c>
      <c r="E1565" s="2">
        <f>IFERROR(__xludf.DUMMYFUNCTION("""COMPUTED_VALUE"""),498.0)</f>
        <v>498</v>
      </c>
      <c r="F1565" s="3">
        <f>IFERROR(__xludf.DUMMYFUNCTION("""COMPUTED_VALUE"""),61114.0)</f>
        <v>61114</v>
      </c>
      <c r="G1565" s="2" t="str">
        <f>IFERROR(__xludf.DUMMYFUNCTION("""COMPUTED_VALUE"""),"Tika Ram KC, Jitendralal Shrestha")</f>
        <v>Tika Ram KC, Jitendralal Shrestha</v>
      </c>
      <c r="H1565" s="2" t="str">
        <f>IFERROR(__xludf.DUMMYFUNCTION("""COMPUTED_VALUE"""),"Pushpanagar Marg, House No. 179, Kathmandu, Tel: 01-6216981")</f>
        <v>Pushpanagar Marg, House No. 179, Kathmandu, Tel: 01-6216981</v>
      </c>
      <c r="I1565" s="2" t="str">
        <f>IFERROR(__xludf.DUMMYFUNCTION("""COMPUTED_VALUE"""),"27o 48' 20""")</f>
        <v>27o 48' 20"</v>
      </c>
      <c r="J1565" s="2" t="str">
        <f>IFERROR(__xludf.DUMMYFUNCTION("""COMPUTED_VALUE"""),"27o 50' 00""")</f>
        <v>27o 50' 00"</v>
      </c>
      <c r="K1565" s="2" t="str">
        <f>IFERROR(__xludf.DUMMYFUNCTION("""COMPUTED_VALUE"""),"85o 40' 00""")</f>
        <v>85o 40' 00"</v>
      </c>
      <c r="L1565" s="2" t="str">
        <f>IFERROR(__xludf.DUMMYFUNCTION("""COMPUTED_VALUE"""),"85o 41' 26""")</f>
        <v>85o 41' 26"</v>
      </c>
      <c r="M1565" s="2" t="str">
        <f>IFERROR(__xludf.DUMMYFUNCTION("""COMPUTED_VALUE"""),"Syaule Bazar (Sindhupalchok)")</f>
        <v>Syaule Bazar (Sindhupalchok)</v>
      </c>
    </row>
    <row r="1566">
      <c r="A1566" s="2">
        <f>IFERROR(__xludf.DUMMYFUNCTION("""COMPUTED_VALUE"""),1565.0)</f>
        <v>1565</v>
      </c>
      <c r="B1566" s="2" t="str">
        <f>IFERROR(__xludf.DUMMYFUNCTION("""COMPUTED_VALUE"""),"Kapadi Khola SHP")</f>
        <v>Kapadi Khola SHP</v>
      </c>
      <c r="C1566" s="2">
        <f>IFERROR(__xludf.DUMMYFUNCTION("""COMPUTED_VALUE"""),0.75)</f>
        <v>0.75</v>
      </c>
      <c r="D1566" s="2" t="str">
        <f>IFERROR(__xludf.DUMMYFUNCTION("""COMPUTED_VALUE"""),"Kapadi Khola")</f>
        <v>Kapadi Khola</v>
      </c>
      <c r="E1566" s="2">
        <f>IFERROR(__xludf.DUMMYFUNCTION("""COMPUTED_VALUE"""),559.0)</f>
        <v>559</v>
      </c>
      <c r="F1566" s="2" t="str">
        <f>IFERROR(__xludf.DUMMYFUNCTION("""COMPUTED_VALUE"""),"2067-04-31")</f>
        <v>2067-04-31</v>
      </c>
      <c r="G1566" s="2" t="str">
        <f>IFERROR(__xludf.DUMMYFUNCTION("""COMPUTED_VALUE"""),"Padam Raj Joshi")</f>
        <v>Padam Raj Joshi</v>
      </c>
      <c r="H1566" s="2" t="str">
        <f>IFERROR(__xludf.DUMMYFUNCTION("""COMPUTED_VALUE"""),"Barchhe VDC-6, Doti, Tel; 4361204, 9851090171")</f>
        <v>Barchhe VDC-6, Doti, Tel; 4361204, 9851090171</v>
      </c>
      <c r="I1566" s="2" t="str">
        <f>IFERROR(__xludf.DUMMYFUNCTION("""COMPUTED_VALUE"""),"00o 00' 00""")</f>
        <v>00o 00' 00"</v>
      </c>
      <c r="J1566" s="2" t="str">
        <f>IFERROR(__xludf.DUMMYFUNCTION("""COMPUTED_VALUE"""),"00o 00' 00""")</f>
        <v>00o 00' 00"</v>
      </c>
      <c r="K1566" s="2" t="str">
        <f>IFERROR(__xludf.DUMMYFUNCTION("""COMPUTED_VALUE"""),"00o 00' 00""")</f>
        <v>00o 00' 00"</v>
      </c>
      <c r="L1566" s="2" t="str">
        <f>IFERROR(__xludf.DUMMYFUNCTION("""COMPUTED_VALUE"""),"00o 00' 00""")</f>
        <v>00o 00' 00"</v>
      </c>
      <c r="M1566" s="2" t="str">
        <f>IFERROR(__xludf.DUMMYFUNCTION("""COMPUTED_VALUE"""),"Barchhen (Doti)")</f>
        <v>Barchhen (Doti)</v>
      </c>
    </row>
    <row r="1567">
      <c r="A1567" s="2">
        <f>IFERROR(__xludf.DUMMYFUNCTION("""COMPUTED_VALUE"""),1566.0)</f>
        <v>1566</v>
      </c>
      <c r="B1567" s="2" t="str">
        <f>IFERROR(__xludf.DUMMYFUNCTION("""COMPUTED_VALUE"""),"sahare Khola SHP")</f>
        <v>sahare Khola SHP</v>
      </c>
      <c r="C1567" s="2">
        <f>IFERROR(__xludf.DUMMYFUNCTION("""COMPUTED_VALUE"""),0.235)</f>
        <v>0.235</v>
      </c>
      <c r="D1567" s="2" t="str">
        <f>IFERROR(__xludf.DUMMYFUNCTION("""COMPUTED_VALUE"""),"Sahare")</f>
        <v>Sahare</v>
      </c>
      <c r="E1567" s="2">
        <f>IFERROR(__xludf.DUMMYFUNCTION("""COMPUTED_VALUE"""),634.0)</f>
        <v>634</v>
      </c>
      <c r="F1567" s="3">
        <f>IFERROR(__xludf.DUMMYFUNCTION("""COMPUTED_VALUE"""),61119.0)</f>
        <v>61119</v>
      </c>
      <c r="G1567" s="2" t="str">
        <f>IFERROR(__xludf.DUMMYFUNCTION("""COMPUTED_VALUE"""),"Thakur Bahadur Rana")</f>
        <v>Thakur Bahadur Rana</v>
      </c>
      <c r="H1567" s="2" t="str">
        <f>IFERROR(__xludf.DUMMYFUNCTION("""COMPUTED_VALUE"""),"Nawalpur VDC-4, Sindhupalchowk, Tel: 9808425164")</f>
        <v>Nawalpur VDC-4, Sindhupalchowk, Tel: 9808425164</v>
      </c>
      <c r="I1567" s="2" t="str">
        <f>IFERROR(__xludf.DUMMYFUNCTION("""COMPUTED_VALUE"""),"27o 48' 49""")</f>
        <v>27o 48' 49"</v>
      </c>
      <c r="J1567" s="2" t="str">
        <f>IFERROR(__xludf.DUMMYFUNCTION("""COMPUTED_VALUE"""),"27o 50' 42""")</f>
        <v>27o 50' 42"</v>
      </c>
      <c r="K1567" s="2" t="str">
        <f>IFERROR(__xludf.DUMMYFUNCTION("""COMPUTED_VALUE"""),"85o 35' 21""")</f>
        <v>85o 35' 21"</v>
      </c>
      <c r="L1567" s="2" t="str">
        <f>IFERROR(__xludf.DUMMYFUNCTION("""COMPUTED_VALUE"""),"85o 37' 13""")</f>
        <v>85o 37' 13"</v>
      </c>
      <c r="M1567" s="2" t="str">
        <f>IFERROR(__xludf.DUMMYFUNCTION("""COMPUTED_VALUE"""),"Nawalpur,Sikharpur (Sindhupalchok)")</f>
        <v>Nawalpur,Sikharpur (Sindhupalchok)</v>
      </c>
    </row>
    <row r="1568">
      <c r="A1568" s="2">
        <f>IFERROR(__xludf.DUMMYFUNCTION("""COMPUTED_VALUE"""),1567.0)</f>
        <v>1567</v>
      </c>
      <c r="B1568" s="2" t="str">
        <f>IFERROR(__xludf.DUMMYFUNCTION("""COMPUTED_VALUE"""),"Siwa Khola SHP")</f>
        <v>Siwa Khola SHP</v>
      </c>
      <c r="C1568" s="2">
        <f>IFERROR(__xludf.DUMMYFUNCTION("""COMPUTED_VALUE"""),3.4)</f>
        <v>3.4</v>
      </c>
      <c r="D1568" s="2" t="str">
        <f>IFERROR(__xludf.DUMMYFUNCTION("""COMPUTED_VALUE"""),"Siwa Khola")</f>
        <v>Siwa Khola</v>
      </c>
      <c r="E1568" s="2">
        <f>IFERROR(__xludf.DUMMYFUNCTION("""COMPUTED_VALUE"""),678.0)</f>
        <v>678</v>
      </c>
      <c r="F1568" s="3">
        <f>IFERROR(__xludf.DUMMYFUNCTION("""COMPUTED_VALUE"""),61120.0)</f>
        <v>61120</v>
      </c>
      <c r="G1568" s="2" t="str">
        <f>IFERROR(__xludf.DUMMYFUNCTION("""COMPUTED_VALUE"""),"Hem Raj Gautam")</f>
        <v>Hem Raj Gautam</v>
      </c>
      <c r="H1568" s="2" t="str">
        <f>IFERROR(__xludf.DUMMYFUNCTION("""COMPUTED_VALUE"""),"Taplejung, Khewang VDC-4")</f>
        <v>Taplejung, Khewang VDC-4</v>
      </c>
      <c r="I1568" s="2" t="str">
        <f>IFERROR(__xludf.DUMMYFUNCTION("""COMPUTED_VALUE"""),"27o 22' 39""")</f>
        <v>27o 22' 39"</v>
      </c>
      <c r="J1568" s="2" t="str">
        <f>IFERROR(__xludf.DUMMYFUNCTION("""COMPUTED_VALUE"""),"27o 25' 06""")</f>
        <v>27o 25' 06"</v>
      </c>
      <c r="K1568" s="2" t="str">
        <f>IFERROR(__xludf.DUMMYFUNCTION("""COMPUTED_VALUE"""),"87o 54' 32""")</f>
        <v>87o 54' 32"</v>
      </c>
      <c r="L1568" s="2" t="str">
        <f>IFERROR(__xludf.DUMMYFUNCTION("""COMPUTED_VALUE"""),"87o 57' 05""")</f>
        <v>87o 57' 05"</v>
      </c>
      <c r="M1568" s="2" t="str">
        <f>IFERROR(__xludf.DUMMYFUNCTION("""COMPUTED_VALUE"""),"Khewang,Surunkhim (Taplejung)")</f>
        <v>Khewang,Surunkhim (Taplejung)</v>
      </c>
    </row>
    <row r="1569">
      <c r="A1569" s="2">
        <f>IFERROR(__xludf.DUMMYFUNCTION("""COMPUTED_VALUE"""),1568.0)</f>
        <v>1568</v>
      </c>
      <c r="B1569" s="2" t="str">
        <f>IFERROR(__xludf.DUMMYFUNCTION("""COMPUTED_VALUE"""),"Mangri-Gamgadhi Hydroelectric Project")</f>
        <v>Mangri-Gamgadhi Hydroelectric Project</v>
      </c>
      <c r="C1569" s="2">
        <f>IFERROR(__xludf.DUMMYFUNCTION("""COMPUTED_VALUE"""),360.0)</f>
        <v>360</v>
      </c>
      <c r="D1569" s="2" t="str">
        <f>IFERROR(__xludf.DUMMYFUNCTION("""COMPUTED_VALUE"""),"Mugu Karnali")</f>
        <v>Mugu Karnali</v>
      </c>
      <c r="E1569" s="2">
        <f>IFERROR(__xludf.DUMMYFUNCTION("""COMPUTED_VALUE"""),787.0)</f>
        <v>787</v>
      </c>
      <c r="F1569" s="3">
        <f>IFERROR(__xludf.DUMMYFUNCTION("""COMPUTED_VALUE"""),61124.0)</f>
        <v>61124</v>
      </c>
      <c r="G1569" s="2" t="str">
        <f>IFERROR(__xludf.DUMMYFUNCTION("""COMPUTED_VALUE"""),"Lanco Infratech Limited")</f>
        <v>Lanco Infratech Limited</v>
      </c>
      <c r="H1569" s="2" t="str">
        <f>IFERROR(__xludf.DUMMYFUNCTION("""COMPUTED_VALUE"""),"Lanco House, Plot No. 397, Udyog vihar, Phase-III, Gurgaon-122016,Haryana, 
India")</f>
        <v>Lanco House, Plot No. 397, Udyog vihar, Phase-III, Gurgaon-122016,Haryana, 
India</v>
      </c>
      <c r="I1569" s="2" t="str">
        <f>IFERROR(__xludf.DUMMYFUNCTION("""COMPUTED_VALUE"""),"29o 31' 00""")</f>
        <v>29o 31' 00"</v>
      </c>
      <c r="J1569" s="2" t="str">
        <f>IFERROR(__xludf.DUMMYFUNCTION("""COMPUTED_VALUE"""),"29o 37' 30""")</f>
        <v>29o 37' 30"</v>
      </c>
      <c r="K1569" s="2" t="str">
        <f>IFERROR(__xludf.DUMMYFUNCTION("""COMPUTED_VALUE"""),"82o 08' 00""")</f>
        <v>82o 08' 00"</v>
      </c>
      <c r="L1569" s="2" t="str">
        <f>IFERROR(__xludf.DUMMYFUNCTION("""COMPUTED_VALUE"""),"82o 24' 30""")</f>
        <v>82o 24' 30"</v>
      </c>
      <c r="M1569" s="2" t="str">
        <f>IFERROR(__xludf.DUMMYFUNCTION("""COMPUTED_VALUE"""),"Mangri (Mugu)")</f>
        <v>Mangri (Mugu)</v>
      </c>
    </row>
    <row r="1570">
      <c r="A1570" s="2">
        <f>IFERROR(__xludf.DUMMYFUNCTION("""COMPUTED_VALUE"""),1569.0)</f>
        <v>1569</v>
      </c>
      <c r="B1570" s="2" t="str">
        <f>IFERROR(__xludf.DUMMYFUNCTION("""COMPUTED_VALUE"""),"Saru Khola HPP")</f>
        <v>Saru Khola HPP</v>
      </c>
      <c r="C1570" s="2">
        <f>IFERROR(__xludf.DUMMYFUNCTION("""COMPUTED_VALUE"""),5.0)</f>
        <v>5</v>
      </c>
      <c r="D1570" s="2" t="str">
        <f>IFERROR(__xludf.DUMMYFUNCTION("""COMPUTED_VALUE"""),"Saru Khola")</f>
        <v>Saru Khola</v>
      </c>
      <c r="E1570" s="2">
        <f>IFERROR(__xludf.DUMMYFUNCTION("""COMPUTED_VALUE"""),840.0)</f>
        <v>840</v>
      </c>
      <c r="F1570" s="3">
        <f>IFERROR(__xludf.DUMMYFUNCTION("""COMPUTED_VALUE"""),61127.0)</f>
        <v>61127</v>
      </c>
      <c r="G1570" s="2" t="str">
        <f>IFERROR(__xludf.DUMMYFUNCTION("""COMPUTED_VALUE"""),"Niraj Prasad Acharya, Dipak Paneru")</f>
        <v>Niraj Prasad Acharya, Dipak Paneru</v>
      </c>
      <c r="H1570" s="2" t="str">
        <f>IFERROR(__xludf.DUMMYFUNCTION("""COMPUTED_VALUE"""),"Naikap, Kathmandu, Tel: 9841376425")</f>
        <v>Naikap, Kathmandu, Tel: 9841376425</v>
      </c>
      <c r="I1570" s="2" t="str">
        <f>IFERROR(__xludf.DUMMYFUNCTION("""COMPUTED_VALUE"""),"28o 45' 10""")</f>
        <v>28o 45' 10"</v>
      </c>
      <c r="J1570" s="2" t="str">
        <f>IFERROR(__xludf.DUMMYFUNCTION("""COMPUTED_VALUE"""),"28o 49' 20""")</f>
        <v>28o 49' 20"</v>
      </c>
      <c r="K1570" s="2" t="str">
        <f>IFERROR(__xludf.DUMMYFUNCTION("""COMPUTED_VALUE"""),"82o 04' 30""")</f>
        <v>82o 04' 30"</v>
      </c>
      <c r="L1570" s="2" t="str">
        <f>IFERROR(__xludf.DUMMYFUNCTION("""COMPUTED_VALUE"""),"82o 09' 42""")</f>
        <v>82o 09' 42"</v>
      </c>
      <c r="M1570" s="2" t="str">
        <f>IFERROR(__xludf.DUMMYFUNCTION("""COMPUTED_VALUE"""),"Dhime,Jhapra (Jajarkot)")</f>
        <v>Dhime,Jhapra (Jajarkot)</v>
      </c>
    </row>
    <row r="1571">
      <c r="A1571" s="2">
        <f>IFERROR(__xludf.DUMMYFUNCTION("""COMPUTED_VALUE"""),1570.0)</f>
        <v>1570</v>
      </c>
      <c r="B1571" s="2" t="str">
        <f>IFERROR(__xludf.DUMMYFUNCTION("""COMPUTED_VALUE"""),"Khimti(Ridge) SHP")</f>
        <v>Khimti(Ridge) SHP</v>
      </c>
      <c r="C1571" s="2">
        <f>IFERROR(__xludf.DUMMYFUNCTION("""COMPUTED_VALUE"""),0.5)</f>
        <v>0.5</v>
      </c>
      <c r="D1571" s="2" t="str">
        <f>IFERROR(__xludf.DUMMYFUNCTION("""COMPUTED_VALUE"""),"Khimti Khola")</f>
        <v>Khimti Khola</v>
      </c>
      <c r="E1571" s="2">
        <f>IFERROR(__xludf.DUMMYFUNCTION("""COMPUTED_VALUE"""),873.0)</f>
        <v>873</v>
      </c>
      <c r="F1571" s="3">
        <f>IFERROR(__xludf.DUMMYFUNCTION("""COMPUTED_VALUE"""),61127.0)</f>
        <v>61127</v>
      </c>
      <c r="G1571" s="2" t="str">
        <f>IFERROR(__xludf.DUMMYFUNCTION("""COMPUTED_VALUE"""),"Nepal Electricity Kathmandu Pvt Ltd")</f>
        <v>Nepal Electricity Kathmandu Pvt Ltd</v>
      </c>
      <c r="H1571" s="2" t="str">
        <f>IFERROR(__xludf.DUMMYFUNCTION("""COMPUTED_VALUE"""),"Sanepa, Lalitpur, 9741178883")</f>
        <v>Sanepa, Lalitpur, 9741178883</v>
      </c>
      <c r="I1571" s="2" t="str">
        <f>IFERROR(__xludf.DUMMYFUNCTION("""COMPUTED_VALUE"""),"27o 42' 05""")</f>
        <v>27o 42' 05"</v>
      </c>
      <c r="J1571" s="2" t="str">
        <f>IFERROR(__xludf.DUMMYFUNCTION("""COMPUTED_VALUE"""),"27o 44' 00""")</f>
        <v>27o 44' 00"</v>
      </c>
      <c r="K1571" s="2" t="str">
        <f>IFERROR(__xludf.DUMMYFUNCTION("""COMPUTED_VALUE"""),"82o 20' 42""")</f>
        <v>82o 20' 42"</v>
      </c>
      <c r="L1571" s="2" t="str">
        <f>IFERROR(__xludf.DUMMYFUNCTION("""COMPUTED_VALUE"""),"82o 23' 10""")</f>
        <v>82o 23' 10"</v>
      </c>
      <c r="M1571" s="2" t="str">
        <f>IFERROR(__xludf.DUMMYFUNCTION("""COMPUTED_VALUE"""),"Syama (Dolakha)")</f>
        <v>Syama (Dolakha)</v>
      </c>
    </row>
    <row r="1572">
      <c r="A1572" s="2">
        <f>IFERROR(__xludf.DUMMYFUNCTION("""COMPUTED_VALUE"""),1571.0)</f>
        <v>1571</v>
      </c>
      <c r="B1572" s="2" t="str">
        <f>IFERROR(__xludf.DUMMYFUNCTION("""COMPUTED_VALUE"""),"Plesidhu Khola SHP")</f>
        <v>Plesidhu Khola SHP</v>
      </c>
      <c r="C1572" s="2">
        <f>IFERROR(__xludf.DUMMYFUNCTION("""COMPUTED_VALUE"""),0.7)</f>
        <v>0.7</v>
      </c>
      <c r="D1572" s="2" t="str">
        <f>IFERROR(__xludf.DUMMYFUNCTION("""COMPUTED_VALUE"""),"Plesidhu")</f>
        <v>Plesidhu</v>
      </c>
      <c r="E1572" s="2">
        <f>IFERROR(__xludf.DUMMYFUNCTION("""COMPUTED_VALUE"""),875.0)</f>
        <v>875</v>
      </c>
      <c r="F1572" s="3">
        <f>IFERROR(__xludf.DUMMYFUNCTION("""COMPUTED_VALUE"""),61127.0)</f>
        <v>61127</v>
      </c>
      <c r="G1572" s="2" t="str">
        <f>IFERROR(__xludf.DUMMYFUNCTION("""COMPUTED_VALUE"""),"Yuvraj Belbase")</f>
        <v>Yuvraj Belbase</v>
      </c>
      <c r="H1572" s="2" t="str">
        <f>IFERROR(__xludf.DUMMYFUNCTION("""COMPUTED_VALUE"""),"Khilji VDC-4, Arghakhanchi, Tel: 9841695031")</f>
        <v>Khilji VDC-4, Arghakhanchi, Tel: 9841695031</v>
      </c>
      <c r="I1572" s="2" t="str">
        <f>IFERROR(__xludf.DUMMYFUNCTION("""COMPUTED_VALUE"""),"28o 18' 50""")</f>
        <v>28o 18' 50"</v>
      </c>
      <c r="J1572" s="2" t="str">
        <f>IFERROR(__xludf.DUMMYFUNCTION("""COMPUTED_VALUE"""),"28o 19' 54""")</f>
        <v>28o 19' 54"</v>
      </c>
      <c r="K1572" s="2" t="str">
        <f>IFERROR(__xludf.DUMMYFUNCTION("""COMPUTED_VALUE"""),"84o 04' 00""")</f>
        <v>84o 04' 00"</v>
      </c>
      <c r="L1572" s="2" t="str">
        <f>IFERROR(__xludf.DUMMYFUNCTION("""COMPUTED_VALUE"""),"84o 05' 50""")</f>
        <v>84o 05' 50"</v>
      </c>
      <c r="M1572" s="2" t="str">
        <f>IFERROR(__xludf.DUMMYFUNCTION("""COMPUTED_VALUE"""),"Parche,Sildujure (Kaski)")</f>
        <v>Parche,Sildujure (Kaski)</v>
      </c>
    </row>
    <row r="1573">
      <c r="A1573" s="2">
        <f>IFERROR(__xludf.DUMMYFUNCTION("""COMPUTED_VALUE"""),1572.0)</f>
        <v>1572</v>
      </c>
      <c r="B1573" s="2" t="str">
        <f>IFERROR(__xludf.DUMMYFUNCTION("""COMPUTED_VALUE"""),"Kalbandi Khola SHP")</f>
        <v>Kalbandi Khola SHP</v>
      </c>
      <c r="C1573" s="2">
        <f>IFERROR(__xludf.DUMMYFUNCTION("""COMPUTED_VALUE"""),0.7)</f>
        <v>0.7</v>
      </c>
      <c r="D1573" s="2" t="str">
        <f>IFERROR(__xludf.DUMMYFUNCTION("""COMPUTED_VALUE"""),"Kalbandi")</f>
        <v>Kalbandi</v>
      </c>
      <c r="E1573" s="2">
        <f>IFERROR(__xludf.DUMMYFUNCTION("""COMPUTED_VALUE"""),886.0)</f>
        <v>886</v>
      </c>
      <c r="F1573" s="3">
        <f>IFERROR(__xludf.DUMMYFUNCTION("""COMPUTED_VALUE"""),61127.0)</f>
        <v>61127</v>
      </c>
      <c r="G1573" s="2" t="str">
        <f>IFERROR(__xludf.DUMMYFUNCTION("""COMPUTED_VALUE"""),"Ramkaji Pandit,Narayan Prasad Banjade,Dipesh Prasad Chaulagain")</f>
        <v>Ramkaji Pandit,Narayan Prasad Banjade,Dipesh Prasad Chaulagain</v>
      </c>
      <c r="H1573" s="2" t="str">
        <f>IFERROR(__xludf.DUMMYFUNCTION("""COMPUTED_VALUE"""),"House No-190, Basundhara Marg, Basundhara, Kathmandu, Tel: 9741010339")</f>
        <v>House No-190, Basundhara Marg, Basundhara, Kathmandu, Tel: 9741010339</v>
      </c>
      <c r="I1573" s="2" t="str">
        <f>IFERROR(__xludf.DUMMYFUNCTION("""COMPUTED_VALUE"""),"28o 20' 00""")</f>
        <v>28o 20' 00"</v>
      </c>
      <c r="J1573" s="2" t="str">
        <f>IFERROR(__xludf.DUMMYFUNCTION("""COMPUTED_VALUE"""),"28o 21' 03""")</f>
        <v>28o 21' 03"</v>
      </c>
      <c r="K1573" s="2" t="str">
        <f>IFERROR(__xludf.DUMMYFUNCTION("""COMPUTED_VALUE"""),"84o 07' 07""")</f>
        <v>84o 07' 07"</v>
      </c>
      <c r="L1573" s="2" t="str">
        <f>IFERROR(__xludf.DUMMYFUNCTION("""COMPUTED_VALUE"""),"84o 08' 19""")</f>
        <v>84o 08' 19"</v>
      </c>
      <c r="M1573" s="2" t="str">
        <f>IFERROR(__xludf.DUMMYFUNCTION("""COMPUTED_VALUE"""),"Namarjung (Kaski)")</f>
        <v>Namarjung (Kaski)</v>
      </c>
    </row>
    <row r="1574">
      <c r="A1574" s="2">
        <f>IFERROR(__xludf.DUMMYFUNCTION("""COMPUTED_VALUE"""),1573.0)</f>
        <v>1573</v>
      </c>
      <c r="B1574" s="2" t="str">
        <f>IFERROR(__xludf.DUMMYFUNCTION("""COMPUTED_VALUE"""),"Sailung Khola-1 HPP")</f>
        <v>Sailung Khola-1 HPP</v>
      </c>
      <c r="C1574" s="2">
        <f>IFERROR(__xludf.DUMMYFUNCTION("""COMPUTED_VALUE"""),2.33)</f>
        <v>2.33</v>
      </c>
      <c r="D1574" s="2" t="str">
        <f>IFERROR(__xludf.DUMMYFUNCTION("""COMPUTED_VALUE"""),"Sailung")</f>
        <v>Sailung</v>
      </c>
      <c r="E1574" s="2">
        <f>IFERROR(__xludf.DUMMYFUNCTION("""COMPUTED_VALUE"""),916.0)</f>
        <v>916</v>
      </c>
      <c r="F1574" s="3">
        <f>IFERROR(__xludf.DUMMYFUNCTION("""COMPUTED_VALUE"""),61128.0)</f>
        <v>61128</v>
      </c>
      <c r="G1574" s="2" t="str">
        <f>IFERROR(__xludf.DUMMYFUNCTION("""COMPUTED_VALUE"""),"Shailung Hydrotech Energy Development Limited")</f>
        <v>Shailung Hydrotech Energy Development Limited</v>
      </c>
      <c r="H1574" s="2" t="str">
        <f>IFERROR(__xludf.DUMMYFUNCTION("""COMPUTED_VALUE"""),"Baneswar-10, Kathmandu")</f>
        <v>Baneswar-10, Kathmandu</v>
      </c>
      <c r="I1574" s="2" t="str">
        <f>IFERROR(__xludf.DUMMYFUNCTION("""COMPUTED_VALUE"""),"27o 36' 06""")</f>
        <v>27o 36' 06"</v>
      </c>
      <c r="J1574" s="2" t="str">
        <f>IFERROR(__xludf.DUMMYFUNCTION("""COMPUTED_VALUE"""),"27o 37' 14""")</f>
        <v>27o 37' 14"</v>
      </c>
      <c r="K1574" s="2" t="str">
        <f>IFERROR(__xludf.DUMMYFUNCTION("""COMPUTED_VALUE"""),"85o 52' 47""")</f>
        <v>85o 52' 47"</v>
      </c>
      <c r="L1574" s="2" t="str">
        <f>IFERROR(__xludf.DUMMYFUNCTION("""COMPUTED_VALUE"""),"85o 55' 05""")</f>
        <v>85o 55' 05"</v>
      </c>
      <c r="M1574" s="2" t="str">
        <f>IFERROR(__xludf.DUMMYFUNCTION("""COMPUTED_VALUE"""),"Dadhpokhari (Dolakha) Goswara (Ramechhap)")</f>
        <v>Dadhpokhari (Dolakha) Goswara (Ramechhap)</v>
      </c>
    </row>
    <row r="1575">
      <c r="A1575" s="2">
        <f>IFERROR(__xludf.DUMMYFUNCTION("""COMPUTED_VALUE"""),1574.0)</f>
        <v>1574</v>
      </c>
      <c r="B1575" s="2" t="str">
        <f>IFERROR(__xludf.DUMMYFUNCTION("""COMPUTED_VALUE"""),"Solu-Bhotekoshi HPP")</f>
        <v>Solu-Bhotekoshi HPP</v>
      </c>
      <c r="C1575" s="2">
        <f>IFERROR(__xludf.DUMMYFUNCTION("""COMPUTED_VALUE"""),7.0)</f>
        <v>7</v>
      </c>
      <c r="D1575" s="2" t="str">
        <f>IFERROR(__xludf.DUMMYFUNCTION("""COMPUTED_VALUE"""),"Bhote koshi")</f>
        <v>Bhote koshi</v>
      </c>
      <c r="E1575" s="2">
        <f>IFERROR(__xludf.DUMMYFUNCTION("""COMPUTED_VALUE"""),936.0)</f>
        <v>936</v>
      </c>
      <c r="F1575" s="3">
        <f>IFERROR(__xludf.DUMMYFUNCTION("""COMPUTED_VALUE"""),61130.0)</f>
        <v>61130</v>
      </c>
      <c r="G1575" s="2" t="str">
        <f>IFERROR(__xludf.DUMMYFUNCTION("""COMPUTED_VALUE"""),"Him Star Urja Company Pvt Ltd")</f>
        <v>Him Star Urja Company Pvt Ltd</v>
      </c>
      <c r="H1575" s="2" t="str">
        <f>IFERROR(__xludf.DUMMYFUNCTION("""COMPUTED_VALUE"""),"Baluwatar, Kathmandu-4, 01-4443147")</f>
        <v>Baluwatar, Kathmandu-4, 01-4443147</v>
      </c>
      <c r="I1575" s="2" t="str">
        <f>IFERROR(__xludf.DUMMYFUNCTION("""COMPUTED_VALUE"""),"27o 47' 01""")</f>
        <v>27o 47' 01"</v>
      </c>
      <c r="J1575" s="2" t="str">
        <f>IFERROR(__xludf.DUMMYFUNCTION("""COMPUTED_VALUE"""),"27o 48' 40""")</f>
        <v>27o 48' 40"</v>
      </c>
      <c r="K1575" s="2" t="str">
        <f>IFERROR(__xludf.DUMMYFUNCTION("""COMPUTED_VALUE"""),"86o 41' 07""")</f>
        <v>86o 41' 07"</v>
      </c>
      <c r="L1575" s="2" t="str">
        <f>IFERROR(__xludf.DUMMYFUNCTION("""COMPUTED_VALUE"""),"86o 43' 14""")</f>
        <v>86o 43' 14"</v>
      </c>
      <c r="M1575" s="2" t="str">
        <f>IFERROR(__xludf.DUMMYFUNCTION("""COMPUTED_VALUE"""),"Namche (Solukhumbu)")</f>
        <v>Namche (Solukhumbu)</v>
      </c>
    </row>
    <row r="1576">
      <c r="A1576" s="2">
        <f>IFERROR(__xludf.DUMMYFUNCTION("""COMPUTED_VALUE"""),1575.0)</f>
        <v>1575</v>
      </c>
      <c r="B1576" s="2" t="str">
        <f>IFERROR(__xludf.DUMMYFUNCTION("""COMPUTED_VALUE"""),"Super Hewa HPP")</f>
        <v>Super Hewa HPP</v>
      </c>
      <c r="C1576" s="2">
        <f>IFERROR(__xludf.DUMMYFUNCTION("""COMPUTED_VALUE"""),5.0)</f>
        <v>5</v>
      </c>
      <c r="D1576" s="2" t="str">
        <f>IFERROR(__xludf.DUMMYFUNCTION("""COMPUTED_VALUE"""),"Hewa Khola")</f>
        <v>Hewa Khola</v>
      </c>
      <c r="E1576" s="2">
        <f>IFERROR(__xludf.DUMMYFUNCTION("""COMPUTED_VALUE"""),938.0)</f>
        <v>938</v>
      </c>
      <c r="F1576" s="3">
        <f>IFERROR(__xludf.DUMMYFUNCTION("""COMPUTED_VALUE"""),61130.0)</f>
        <v>61130</v>
      </c>
      <c r="G1576" s="2" t="str">
        <f>IFERROR(__xludf.DUMMYFUNCTION("""COMPUTED_VALUE"""),"Daya Nidhi Guragain")</f>
        <v>Daya Nidhi Guragain</v>
      </c>
      <c r="H1576" s="2" t="str">
        <f>IFERROR(__xludf.DUMMYFUNCTION("""COMPUTED_VALUE"""),"Ithari-4, sunsari")</f>
        <v>Ithari-4, sunsari</v>
      </c>
      <c r="I1576" s="2" t="str">
        <f>IFERROR(__xludf.DUMMYFUNCTION("""COMPUTED_VALUE"""),"27o 21' 02""")</f>
        <v>27o 21' 02"</v>
      </c>
      <c r="J1576" s="2" t="str">
        <f>IFERROR(__xludf.DUMMYFUNCTION("""COMPUTED_VALUE"""),"27o 22' 20""")</f>
        <v>27o 22' 20"</v>
      </c>
      <c r="K1576" s="2" t="str">
        <f>IFERROR(__xludf.DUMMYFUNCTION("""COMPUTED_VALUE"""),"87o 21' 48""")</f>
        <v>87o 21' 48"</v>
      </c>
      <c r="L1576" s="2" t="str">
        <f>IFERROR(__xludf.DUMMYFUNCTION("""COMPUTED_VALUE"""),"87o 25' 00""")</f>
        <v>87o 25' 00"</v>
      </c>
      <c r="M1576" s="2" t="str">
        <f>IFERROR(__xludf.DUMMYFUNCTION("""COMPUTED_VALUE"""),"Jaljala,Siddhapokhari (Sankhuwasabha)")</f>
        <v>Jaljala,Siddhapokhari (Sankhuwasabha)</v>
      </c>
    </row>
    <row r="1577">
      <c r="A1577" s="2">
        <f>IFERROR(__xludf.DUMMYFUNCTION("""COMPUTED_VALUE"""),1576.0)</f>
        <v>1576</v>
      </c>
      <c r="B1577" s="2" t="str">
        <f>IFERROR(__xludf.DUMMYFUNCTION("""COMPUTED_VALUE"""),"Phakphok Khola HPP")</f>
        <v>Phakphok Khola HPP</v>
      </c>
      <c r="C1577" s="2">
        <f>IFERROR(__xludf.DUMMYFUNCTION("""COMPUTED_VALUE"""),2.5)</f>
        <v>2.5</v>
      </c>
      <c r="D1577" s="2" t="str">
        <f>IFERROR(__xludf.DUMMYFUNCTION("""COMPUTED_VALUE"""),"Phakphok")</f>
        <v>Phakphok</v>
      </c>
      <c r="E1577" s="2">
        <f>IFERROR(__xludf.DUMMYFUNCTION("""COMPUTED_VALUE"""),981.0)</f>
        <v>981</v>
      </c>
      <c r="F1577" s="3">
        <f>IFERROR(__xludf.DUMMYFUNCTION("""COMPUTED_VALUE"""),61132.0)</f>
        <v>61132</v>
      </c>
      <c r="G1577" s="2" t="str">
        <f>IFERROR(__xludf.DUMMYFUNCTION("""COMPUTED_VALUE"""),"Prem Lal Chaulagain,Sarita Dhakal,Dipak Gautam")</f>
        <v>Prem Lal Chaulagain,Sarita Dhakal,Dipak Gautam</v>
      </c>
      <c r="H1577" s="2" t="str">
        <f>IFERROR(__xludf.DUMMYFUNCTION("""COMPUTED_VALUE"""),"Kathmandu Municipality-5, Kathmandu, Tel: 01-4009761")</f>
        <v>Kathmandu Municipality-5, Kathmandu, Tel: 01-4009761</v>
      </c>
      <c r="I1577" s="2" t="str">
        <f>IFERROR(__xludf.DUMMYFUNCTION("""COMPUTED_VALUE"""),"27o 54' 50""")</f>
        <v>27o 54' 50"</v>
      </c>
      <c r="J1577" s="2" t="str">
        <f>IFERROR(__xludf.DUMMYFUNCTION("""COMPUTED_VALUE"""),"27o 56' 32""")</f>
        <v>27o 56' 32"</v>
      </c>
      <c r="K1577" s="2" t="str">
        <f>IFERROR(__xludf.DUMMYFUNCTION("""COMPUTED_VALUE"""),"87o 45' 27""")</f>
        <v>87o 45' 27"</v>
      </c>
      <c r="L1577" s="2" t="str">
        <f>IFERROR(__xludf.DUMMYFUNCTION("""COMPUTED_VALUE"""),"87o 46' 20""")</f>
        <v>87o 46' 20"</v>
      </c>
      <c r="M1577" s="2" t="str">
        <f>IFERROR(__xludf.DUMMYFUNCTION("""COMPUTED_VALUE"""),"Ektappa,Gajurmukhi,Lumbe (Ilam)")</f>
        <v>Ektappa,Gajurmukhi,Lumbe (Ilam)</v>
      </c>
    </row>
    <row r="1578">
      <c r="A1578" s="2">
        <f>IFERROR(__xludf.DUMMYFUNCTION("""COMPUTED_VALUE"""),1577.0)</f>
        <v>1577</v>
      </c>
      <c r="B1578" s="2" t="str">
        <f>IFERROR(__xludf.DUMMYFUNCTION("""COMPUTED_VALUE"""),"Arun-4 Hydropower Project")</f>
        <v>Arun-4 Hydropower Project</v>
      </c>
      <c r="C1578" s="2">
        <f>IFERROR(__xludf.DUMMYFUNCTION("""COMPUTED_VALUE"""),303.0)</f>
        <v>303</v>
      </c>
      <c r="D1578" s="2" t="str">
        <f>IFERROR(__xludf.DUMMYFUNCTION("""COMPUTED_VALUE"""),"Arun")</f>
        <v>Arun</v>
      </c>
      <c r="E1578" s="2">
        <f>IFERROR(__xludf.DUMMYFUNCTION("""COMPUTED_VALUE"""),1004.0)</f>
        <v>1004</v>
      </c>
      <c r="F1578" s="3">
        <f>IFERROR(__xludf.DUMMYFUNCTION("""COMPUTED_VALUE"""),61134.0)</f>
        <v>61134</v>
      </c>
      <c r="G1578" s="2" t="str">
        <f>IFERROR(__xludf.DUMMYFUNCTION("""COMPUTED_VALUE"""),"Hanurang Projects Limited,India Bhatbhateni Power Private Limited, Nepal")</f>
        <v>Hanurang Projects Limited,India Bhatbhateni Power Private Limited, Nepal</v>
      </c>
      <c r="H1578" s="2" t="str">
        <f>IFERROR(__xludf.DUMMYFUNCTION("""COMPUTED_VALUE"""),"10, princep Street, Kolkota 700072, West Bengal, India")</f>
        <v>10, princep Street, Kolkota 700072, West Bengal, India</v>
      </c>
      <c r="I1578" s="2" t="str">
        <f>IFERROR(__xludf.DUMMYFUNCTION("""COMPUTED_VALUE"""),"27o 34' 00""")</f>
        <v>27o 34' 00"</v>
      </c>
      <c r="J1578" s="2" t="str">
        <f>IFERROR(__xludf.DUMMYFUNCTION("""COMPUTED_VALUE"""),"27o 40' 00""")</f>
        <v>27o 40' 00"</v>
      </c>
      <c r="K1578" s="2" t="str">
        <f>IFERROR(__xludf.DUMMYFUNCTION("""COMPUTED_VALUE"""),"87o 18' 58""")</f>
        <v>87o 18' 58"</v>
      </c>
      <c r="L1578" s="2" t="str">
        <f>IFERROR(__xludf.DUMMYFUNCTION("""COMPUTED_VALUE"""),"87o 24' 04""")</f>
        <v>87o 24' 04"</v>
      </c>
      <c r="M1578" s="2" t="str">
        <f>IFERROR(__xludf.DUMMYFUNCTION("""COMPUTED_VALUE"""),"Hatiya,Pathibhara,Pawakhola,Num (Sankhuwasabha)")</f>
        <v>Hatiya,Pathibhara,Pawakhola,Num (Sankhuwasabha)</v>
      </c>
    </row>
    <row r="1579">
      <c r="A1579" s="2">
        <f>IFERROR(__xludf.DUMMYFUNCTION("""COMPUTED_VALUE"""),1578.0)</f>
        <v>1578</v>
      </c>
      <c r="B1579" s="2" t="str">
        <f>IFERROR(__xludf.DUMMYFUNCTION("""COMPUTED_VALUE"""),"Arun-5 Hydropower Project")</f>
        <v>Arun-5 Hydropower Project</v>
      </c>
      <c r="C1579" s="2">
        <f>IFERROR(__xludf.DUMMYFUNCTION("""COMPUTED_VALUE"""),401.22)</f>
        <v>401.22</v>
      </c>
      <c r="D1579" s="2" t="str">
        <f>IFERROR(__xludf.DUMMYFUNCTION("""COMPUTED_VALUE"""),"Arun")</f>
        <v>Arun</v>
      </c>
      <c r="E1579" s="2">
        <f>IFERROR(__xludf.DUMMYFUNCTION("""COMPUTED_VALUE"""),1005.0)</f>
        <v>1005</v>
      </c>
      <c r="F1579" s="3">
        <f>IFERROR(__xludf.DUMMYFUNCTION("""COMPUTED_VALUE"""),61134.0)</f>
        <v>61134</v>
      </c>
      <c r="G1579" s="2" t="str">
        <f>IFERROR(__xludf.DUMMYFUNCTION("""COMPUTED_VALUE"""),"Arissan Infra Projects Limited, Bhatbhateni Power private Limited")</f>
        <v>Arissan Infra Projects Limited, Bhatbhateni Power private Limited</v>
      </c>
      <c r="H1579" s="2" t="str">
        <f>IFERROR(__xludf.DUMMYFUNCTION("""COMPUTED_VALUE"""),"10, princep Street, Kolkota 700072, West Bengal, India")</f>
        <v>10, princep Street, Kolkota 700072, West Bengal, India</v>
      </c>
      <c r="I1579" s="2" t="str">
        <f>IFERROR(__xludf.DUMMYFUNCTION("""COMPUTED_VALUE"""),"27o 40' 00""")</f>
        <v>27o 40' 00"</v>
      </c>
      <c r="J1579" s="2" t="str">
        <f>IFERROR(__xludf.DUMMYFUNCTION("""COMPUTED_VALUE"""),"27o 45' 00""")</f>
        <v>27o 45' 00"</v>
      </c>
      <c r="K1579" s="2" t="str">
        <f>IFERROR(__xludf.DUMMYFUNCTION("""COMPUTED_VALUE"""),"87o 24' 04""")</f>
        <v>87o 24' 04"</v>
      </c>
      <c r="L1579" s="2" t="str">
        <f>IFERROR(__xludf.DUMMYFUNCTION("""COMPUTED_VALUE"""),"87o 20' 48""")</f>
        <v>87o 20' 48"</v>
      </c>
      <c r="M1579" s="2" t="str">
        <f>IFERROR(__xludf.DUMMYFUNCTION("""COMPUTED_VALUE"""),"Chepuwa,Hatiya (Sankhuwasabha)")</f>
        <v>Chepuwa,Hatiya (Sankhuwasabha)</v>
      </c>
    </row>
    <row r="1580">
      <c r="A1580" s="2">
        <f>IFERROR(__xludf.DUMMYFUNCTION("""COMPUTED_VALUE"""),1579.0)</f>
        <v>1579</v>
      </c>
      <c r="B1580" s="2" t="str">
        <f>IFERROR(__xludf.DUMMYFUNCTION("""COMPUTED_VALUE"""),"Nwa Gad SHP")</f>
        <v>Nwa Gad SHP</v>
      </c>
      <c r="C1580" s="2">
        <f>IFERROR(__xludf.DUMMYFUNCTION("""COMPUTED_VALUE"""),2.75)</f>
        <v>2.75</v>
      </c>
      <c r="D1580" s="2" t="str">
        <f>IFERROR(__xludf.DUMMYFUNCTION("""COMPUTED_VALUE"""),"Nwa Gad")</f>
        <v>Nwa Gad</v>
      </c>
      <c r="E1580" s="2">
        <f>IFERROR(__xludf.DUMMYFUNCTION("""COMPUTED_VALUE"""),1006.0)</f>
        <v>1006</v>
      </c>
      <c r="F1580" s="3">
        <f>IFERROR(__xludf.DUMMYFUNCTION("""COMPUTED_VALUE"""),61134.0)</f>
        <v>61134</v>
      </c>
      <c r="G1580" s="2" t="str">
        <f>IFERROR(__xludf.DUMMYFUNCTION("""COMPUTED_VALUE"""),"Neelam Pratap Singh, Pratisha Shah Chand")</f>
        <v>Neelam Pratap Singh, Pratisha Shah Chand</v>
      </c>
      <c r="H1580" s="2" t="str">
        <f>IFERROR(__xludf.DUMMYFUNCTION("""COMPUTED_VALUE"""),"Hetauda Municipality-3, Makwanpur, Tel: 4428753")</f>
        <v>Hetauda Municipality-3, Makwanpur, Tel: 4428753</v>
      </c>
      <c r="I1580" s="2" t="str">
        <f>IFERROR(__xludf.DUMMYFUNCTION("""COMPUTED_VALUE"""),"29o 44' 40""")</f>
        <v>29o 44' 40"</v>
      </c>
      <c r="J1580" s="2" t="str">
        <f>IFERROR(__xludf.DUMMYFUNCTION("""COMPUTED_VALUE"""),"29o 45' 00""")</f>
        <v>29o 45' 00"</v>
      </c>
      <c r="K1580" s="2" t="str">
        <f>IFERROR(__xludf.DUMMYFUNCTION("""COMPUTED_VALUE"""),"80o 47' 30""")</f>
        <v>80o 47' 30"</v>
      </c>
      <c r="L1580" s="2" t="str">
        <f>IFERROR(__xludf.DUMMYFUNCTION("""COMPUTED_VALUE"""),"80o 48' 44""")</f>
        <v>80o 48' 44"</v>
      </c>
      <c r="M1580" s="2" t="str">
        <f>IFERROR(__xludf.DUMMYFUNCTION("""COMPUTED_VALUE"""),"Guljar,Latinath (Darchula)")</f>
        <v>Guljar,Latinath (Darchula)</v>
      </c>
    </row>
    <row r="1581">
      <c r="A1581" s="2">
        <f>IFERROR(__xludf.DUMMYFUNCTION("""COMPUTED_VALUE"""),1580.0)</f>
        <v>1580</v>
      </c>
      <c r="B1581" s="2" t="str">
        <f>IFERROR(__xludf.DUMMYFUNCTION("""COMPUTED_VALUE"""),"Mugu Karnali-2 Hydropower Projec t")</f>
        <v>Mugu Karnali-2 Hydropower Projec t</v>
      </c>
      <c r="C1581" s="2">
        <f>IFERROR(__xludf.DUMMYFUNCTION("""COMPUTED_VALUE"""),156.0)</f>
        <v>156</v>
      </c>
      <c r="D1581" s="2" t="str">
        <f>IFERROR(__xludf.DUMMYFUNCTION("""COMPUTED_VALUE"""),"Mugu Karnali")</f>
        <v>Mugu Karnali</v>
      </c>
      <c r="E1581" s="2">
        <f>IFERROR(__xludf.DUMMYFUNCTION("""COMPUTED_VALUE"""),999.0)</f>
        <v>999</v>
      </c>
      <c r="F1581" s="3">
        <f>IFERROR(__xludf.DUMMYFUNCTION("""COMPUTED_VALUE"""),61134.0)</f>
        <v>61134</v>
      </c>
      <c r="G1581" s="2" t="str">
        <f>IFERROR(__xludf.DUMMYFUNCTION("""COMPUTED_VALUE"""),"Stuti Hydropower Company Pvt Ltd")</f>
        <v>Stuti Hydropower Company Pvt Ltd</v>
      </c>
      <c r="H1581" s="2" t="str">
        <f>IFERROR(__xludf.DUMMYFUNCTION("""COMPUTED_VALUE"""),"GPO Box: 11812, Kathmandu Tel: 4782225")</f>
        <v>GPO Box: 11812, Kathmandu Tel: 4782225</v>
      </c>
      <c r="I1581" s="2" t="str">
        <f>IFERROR(__xludf.DUMMYFUNCTION("""COMPUTED_VALUE"""),"29o 32' 30""")</f>
        <v>29o 32' 30"</v>
      </c>
      <c r="J1581" s="2" t="str">
        <f>IFERROR(__xludf.DUMMYFUNCTION("""COMPUTED_VALUE"""),"29o 35' 30""")</f>
        <v>29o 35' 30"</v>
      </c>
      <c r="K1581" s="2" t="str">
        <f>IFERROR(__xludf.DUMMYFUNCTION("""COMPUTED_VALUE"""),"82o 07' 30""")</f>
        <v>82o 07' 30"</v>
      </c>
      <c r="L1581" s="2" t="str">
        <f>IFERROR(__xludf.DUMMYFUNCTION("""COMPUTED_VALUE"""),"82o 15' 00""")</f>
        <v>82o 15' 00"</v>
      </c>
      <c r="M1581" s="2" t="str">
        <f>IFERROR(__xludf.DUMMYFUNCTION("""COMPUTED_VALUE"""),"Rowa,Ruga,Shree Nagar (Mugu)")</f>
        <v>Rowa,Ruga,Shree Nagar (Mugu)</v>
      </c>
    </row>
    <row r="1582">
      <c r="A1582" s="2">
        <f>IFERROR(__xludf.DUMMYFUNCTION("""COMPUTED_VALUE"""),1581.0)</f>
        <v>1581</v>
      </c>
      <c r="B1582" s="2" t="str">
        <f>IFERROR(__xludf.DUMMYFUNCTION("""COMPUTED_VALUE"""),"Ankhu Khola HPP")</f>
        <v>Ankhu Khola HPP</v>
      </c>
      <c r="C1582" s="2">
        <f>IFERROR(__xludf.DUMMYFUNCTION("""COMPUTED_VALUE"""),10.0)</f>
        <v>10</v>
      </c>
      <c r="D1582" s="2" t="str">
        <f>IFERROR(__xludf.DUMMYFUNCTION("""COMPUTED_VALUE"""),"Ankhu Khola")</f>
        <v>Ankhu Khola</v>
      </c>
      <c r="E1582" s="2">
        <f>IFERROR(__xludf.DUMMYFUNCTION("""COMPUTED_VALUE"""),1016.0)</f>
        <v>1016</v>
      </c>
      <c r="F1582" s="3">
        <f>IFERROR(__xludf.DUMMYFUNCTION("""COMPUTED_VALUE"""),61135.0)</f>
        <v>61135</v>
      </c>
      <c r="G1582" s="2" t="str">
        <f>IFERROR(__xludf.DUMMYFUNCTION("""COMPUTED_VALUE"""),"Crystal Product Pvt Ltd")</f>
        <v>Crystal Product Pvt Ltd</v>
      </c>
      <c r="H1582" s="2" t="str">
        <f>IFERROR(__xludf.DUMMYFUNCTION("""COMPUTED_VALUE"""),"GPO Box: 3738, Kathmandu, Tel: 4354039")</f>
        <v>GPO Box: 3738, Kathmandu, Tel: 4354039</v>
      </c>
      <c r="I1582" s="2" t="str">
        <f>IFERROR(__xludf.DUMMYFUNCTION("""COMPUTED_VALUE"""),"28o 00' 52""")</f>
        <v>28o 00' 52"</v>
      </c>
      <c r="J1582" s="2" t="str">
        <f>IFERROR(__xludf.DUMMYFUNCTION("""COMPUTED_VALUE"""),"28o 02' 29""")</f>
        <v>28o 02' 29"</v>
      </c>
      <c r="K1582" s="2" t="str">
        <f>IFERROR(__xludf.DUMMYFUNCTION("""COMPUTED_VALUE"""),"84o 55' 33""")</f>
        <v>84o 55' 33"</v>
      </c>
      <c r="L1582" s="2" t="str">
        <f>IFERROR(__xludf.DUMMYFUNCTION("""COMPUTED_VALUE"""),"84o 58' 00""")</f>
        <v>84o 58' 00"</v>
      </c>
      <c r="M1582" s="2" t="str">
        <f>IFERROR(__xludf.DUMMYFUNCTION("""COMPUTED_VALUE"""),"Gumdi,Marpak,Darkha (Dhading)")</f>
        <v>Gumdi,Marpak,Darkha (Dhading)</v>
      </c>
    </row>
    <row r="1583">
      <c r="A1583" s="2">
        <f>IFERROR(__xludf.DUMMYFUNCTION("""COMPUTED_VALUE"""),1582.0)</f>
        <v>1582</v>
      </c>
      <c r="B1583" s="2" t="str">
        <f>IFERROR(__xludf.DUMMYFUNCTION("""COMPUTED_VALUE"""),"Middle Arun Hydropower Project")</f>
        <v>Middle Arun Hydropower Project</v>
      </c>
      <c r="C1583" s="2">
        <f>IFERROR(__xludf.DUMMYFUNCTION("""COMPUTED_VALUE"""),204.0)</f>
        <v>204</v>
      </c>
      <c r="D1583" s="2" t="str">
        <f>IFERROR(__xludf.DUMMYFUNCTION("""COMPUTED_VALUE"""),"Arun")</f>
        <v>Arun</v>
      </c>
      <c r="E1583" s="2">
        <f>IFERROR(__xludf.DUMMYFUNCTION("""COMPUTED_VALUE"""),1028.0)</f>
        <v>1028</v>
      </c>
      <c r="F1583" s="3">
        <f>IFERROR(__xludf.DUMMYFUNCTION("""COMPUTED_VALUE"""),61135.0)</f>
        <v>61135</v>
      </c>
      <c r="G1583" s="2" t="str">
        <f>IFERROR(__xludf.DUMMYFUNCTION("""COMPUTED_VALUE"""),"Sew Infrastructure Ltd")</f>
        <v>Sew Infrastructure Ltd</v>
      </c>
      <c r="H1583" s="2" t="str">
        <f>IFERROR(__xludf.DUMMYFUNCTION("""COMPUTED_VALUE"""),"Hyderabad-500016, A.P. India")</f>
        <v>Hyderabad-500016, A.P. India</v>
      </c>
      <c r="I1583" s="2" t="str">
        <f>IFERROR(__xludf.DUMMYFUNCTION("""COMPUTED_VALUE"""),"27o 35' 40""")</f>
        <v>27o 35' 40"</v>
      </c>
      <c r="J1583" s="2" t="str">
        <f>IFERROR(__xludf.DUMMYFUNCTION("""COMPUTED_VALUE"""),"27o 40' 00""")</f>
        <v>27o 40' 00"</v>
      </c>
      <c r="K1583" s="2" t="str">
        <f>IFERROR(__xludf.DUMMYFUNCTION("""COMPUTED_VALUE"""),"87o 20' 00""")</f>
        <v>87o 20' 00"</v>
      </c>
      <c r="L1583" s="2" t="str">
        <f>IFERROR(__xludf.DUMMYFUNCTION("""COMPUTED_VALUE"""),"87o 23' 00""")</f>
        <v>87o 23' 00"</v>
      </c>
      <c r="M1583" s="2" t="str">
        <f>IFERROR(__xludf.DUMMYFUNCTION("""COMPUTED_VALUE"""),"Makalu,Pathibhara,Pawakhola (Sankhuwasabha)")</f>
        <v>Makalu,Pathibhara,Pawakhola (Sankhuwasabha)</v>
      </c>
    </row>
    <row r="1584">
      <c r="A1584" s="2">
        <f>IFERROR(__xludf.DUMMYFUNCTION("""COMPUTED_VALUE"""),1583.0)</f>
        <v>1583</v>
      </c>
      <c r="B1584" s="2" t="str">
        <f>IFERROR(__xludf.DUMMYFUNCTION("""COMPUTED_VALUE"""),"Upper Phalakhu HPP")</f>
        <v>Upper Phalakhu HPP</v>
      </c>
      <c r="C1584" s="2">
        <f>IFERROR(__xludf.DUMMYFUNCTION("""COMPUTED_VALUE"""),5.0)</f>
        <v>5</v>
      </c>
      <c r="D1584" s="2" t="str">
        <f>IFERROR(__xludf.DUMMYFUNCTION("""COMPUTED_VALUE"""),"Phalankhu Khola")</f>
        <v>Phalankhu Khola</v>
      </c>
      <c r="E1584" s="2">
        <f>IFERROR(__xludf.DUMMYFUNCTION("""COMPUTED_VALUE"""),1037.0)</f>
        <v>1037</v>
      </c>
      <c r="F1584" s="3">
        <f>IFERROR(__xludf.DUMMYFUNCTION("""COMPUTED_VALUE"""),61137.0)</f>
        <v>61137</v>
      </c>
      <c r="G1584" s="2" t="str">
        <f>IFERROR(__xludf.DUMMYFUNCTION("""COMPUTED_VALUE"""),"Bishudanand Vaidya")</f>
        <v>Bishudanand Vaidya</v>
      </c>
      <c r="H1584" s="2" t="str">
        <f>IFERROR(__xludf.DUMMYFUNCTION("""COMPUTED_VALUE"""),"Kathmandu Municipality-30 Kathmandu, Tel: 4222213")</f>
        <v>Kathmandu Municipality-30 Kathmandu, Tel: 4222213</v>
      </c>
      <c r="I1584" s="2" t="str">
        <f>IFERROR(__xludf.DUMMYFUNCTION("""COMPUTED_VALUE"""),"28o 00' 15""")</f>
        <v>28o 00' 15"</v>
      </c>
      <c r="J1584" s="2" t="str">
        <f>IFERROR(__xludf.DUMMYFUNCTION("""COMPUTED_VALUE"""),"28o 02' 10""")</f>
        <v>28o 02' 10"</v>
      </c>
      <c r="K1584" s="2" t="str">
        <f>IFERROR(__xludf.DUMMYFUNCTION("""COMPUTED_VALUE"""),"85o 16' 10""")</f>
        <v>85o 16' 10"</v>
      </c>
      <c r="L1584" s="2" t="str">
        <f>IFERROR(__xludf.DUMMYFUNCTION("""COMPUTED_VALUE"""),"85o 19' 00""")</f>
        <v>85o 19' 00"</v>
      </c>
      <c r="M1584" s="2" t="str">
        <f>IFERROR(__xludf.DUMMYFUNCTION("""COMPUTED_VALUE"""),"Saramthali,Yarsa (Rasuwa)")</f>
        <v>Saramthali,Yarsa (Rasuwa)</v>
      </c>
    </row>
    <row r="1585">
      <c r="A1585" s="2">
        <f>IFERROR(__xludf.DUMMYFUNCTION("""COMPUTED_VALUE"""),1584.0)</f>
        <v>1584</v>
      </c>
      <c r="B1585" s="2" t="str">
        <f>IFERROR(__xludf.DUMMYFUNCTION("""COMPUTED_VALUE"""),"Laparjom (Hadi) Small Hydropower Project")</f>
        <v>Laparjom (Hadi) Small Hydropower Project</v>
      </c>
      <c r="C1585" s="2">
        <f>IFERROR(__xludf.DUMMYFUNCTION("""COMPUTED_VALUE"""),0.998)</f>
        <v>0.998</v>
      </c>
      <c r="D1585" s="2" t="str">
        <f>IFERROR(__xludf.DUMMYFUNCTION("""COMPUTED_VALUE"""),"Hadi")</f>
        <v>Hadi</v>
      </c>
      <c r="E1585" s="2">
        <f>IFERROR(__xludf.DUMMYFUNCTION("""COMPUTED_VALUE"""),1045.0)</f>
        <v>1045</v>
      </c>
      <c r="F1585" s="3">
        <f>IFERROR(__xludf.DUMMYFUNCTION("""COMPUTED_VALUE"""),61137.0)</f>
        <v>61137</v>
      </c>
      <c r="G1585" s="2" t="str">
        <f>IFERROR(__xludf.DUMMYFUNCTION("""COMPUTED_VALUE"""),"Thangpal Gunsakot Energy Company Limited")</f>
        <v>Thangpal Gunsakot Energy Company Limited</v>
      </c>
      <c r="H1585" s="2" t="str">
        <f>IFERROR(__xludf.DUMMYFUNCTION("""COMPUTED_VALUE"""),"Gunsa-9, Sindhupalchowk, Tel: 9803891382")</f>
        <v>Gunsa-9, Sindhupalchowk, Tel: 9803891382</v>
      </c>
      <c r="I1585" s="2" t="str">
        <f>IFERROR(__xludf.DUMMYFUNCTION("""COMPUTED_VALUE"""),"27o 56' 15""")</f>
        <v>27o 56' 15"</v>
      </c>
      <c r="J1585" s="2" t="str">
        <f>IFERROR(__xludf.DUMMYFUNCTION("""COMPUTED_VALUE"""),"27o 56' 40""")</f>
        <v>27o 56' 40"</v>
      </c>
      <c r="K1585" s="2" t="str">
        <f>IFERROR(__xludf.DUMMYFUNCTION("""COMPUTED_VALUE"""),"85o 41' 08""")</f>
        <v>85o 41' 08"</v>
      </c>
      <c r="L1585" s="2" t="str">
        <f>IFERROR(__xludf.DUMMYFUNCTION("""COMPUTED_VALUE"""),"85o 42' 28""")</f>
        <v>85o 42' 28"</v>
      </c>
      <c r="M1585" s="2" t="str">
        <f>IFERROR(__xludf.DUMMYFUNCTION("""COMPUTED_VALUE"""),"Gunsa (Sindhupalchok)")</f>
        <v>Gunsa (Sindhupalchok)</v>
      </c>
    </row>
    <row r="1586">
      <c r="A1586" s="2">
        <f>IFERROR(__xludf.DUMMYFUNCTION("""COMPUTED_VALUE"""),1585.0)</f>
        <v>1585</v>
      </c>
      <c r="B1586" s="2" t="str">
        <f>IFERROR(__xludf.DUMMYFUNCTION("""COMPUTED_VALUE"""),"Phalakhu Khola HPP")</f>
        <v>Phalakhu Khola HPP</v>
      </c>
      <c r="C1586" s="2">
        <f>IFERROR(__xludf.DUMMYFUNCTION("""COMPUTED_VALUE"""),5.0)</f>
        <v>5</v>
      </c>
      <c r="D1586" s="2" t="str">
        <f>IFERROR(__xludf.DUMMYFUNCTION("""COMPUTED_VALUE"""),"Phalankhu Khola")</f>
        <v>Phalankhu Khola</v>
      </c>
      <c r="E1586" s="2">
        <f>IFERROR(__xludf.DUMMYFUNCTION("""COMPUTED_VALUE"""),1050.0)</f>
        <v>1050</v>
      </c>
      <c r="F1586" s="3">
        <f>IFERROR(__xludf.DUMMYFUNCTION("""COMPUTED_VALUE"""),61137.0)</f>
        <v>61137</v>
      </c>
      <c r="G1586" s="2" t="str">
        <f>IFERROR(__xludf.DUMMYFUNCTION("""COMPUTED_VALUE"""),"Anil Joshi, Hemant Prasad Tiwari")</f>
        <v>Anil Joshi, Hemant Prasad Tiwari</v>
      </c>
      <c r="H1586" s="2" t="str">
        <f>IFERROR(__xludf.DUMMYFUNCTION("""COMPUTED_VALUE"""),"GPO Box: 4720, Kathmandu, Tel: 9851024262")</f>
        <v>GPO Box: 4720, Kathmandu, Tel: 9851024262</v>
      </c>
      <c r="I1586" s="2" t="str">
        <f>IFERROR(__xludf.DUMMYFUNCTION("""COMPUTED_VALUE"""),"28o 00' 15""")</f>
        <v>28o 00' 15"</v>
      </c>
      <c r="J1586" s="2" t="str">
        <f>IFERROR(__xludf.DUMMYFUNCTION("""COMPUTED_VALUE"""),"28o 02' 10""")</f>
        <v>28o 02' 10"</v>
      </c>
      <c r="K1586" s="2" t="str">
        <f>IFERROR(__xludf.DUMMYFUNCTION("""COMPUTED_VALUE"""),"85o 16' 10""")</f>
        <v>85o 16' 10"</v>
      </c>
      <c r="L1586" s="2" t="str">
        <f>IFERROR(__xludf.DUMMYFUNCTION("""COMPUTED_VALUE"""),"85o 19' 00""")</f>
        <v>85o 19' 00"</v>
      </c>
      <c r="M1586" s="2" t="str">
        <f>IFERROR(__xludf.DUMMYFUNCTION("""COMPUTED_VALUE"""),"Saramthali,Yarsa (Rasuwa)")</f>
        <v>Saramthali,Yarsa (Rasuwa)</v>
      </c>
    </row>
    <row r="1587">
      <c r="A1587" s="2">
        <f>IFERROR(__xludf.DUMMYFUNCTION("""COMPUTED_VALUE"""),1586.0)</f>
        <v>1586</v>
      </c>
      <c r="B1587" s="2" t="str">
        <f>IFERROR(__xludf.DUMMYFUNCTION("""COMPUTED_VALUE"""),"Indrawati (Baluwasole) HPP")</f>
        <v>Indrawati (Baluwasole) HPP</v>
      </c>
      <c r="C1587" s="2">
        <f>IFERROR(__xludf.DUMMYFUNCTION("""COMPUTED_VALUE"""),7.0)</f>
        <v>7</v>
      </c>
      <c r="D1587" s="2" t="str">
        <f>IFERROR(__xludf.DUMMYFUNCTION("""COMPUTED_VALUE"""),"Indrawati Khola")</f>
        <v>Indrawati Khola</v>
      </c>
      <c r="E1587" s="2">
        <f>IFERROR(__xludf.DUMMYFUNCTION("""COMPUTED_VALUE"""),1032.0)</f>
        <v>1032</v>
      </c>
      <c r="F1587" s="3">
        <f>IFERROR(__xludf.DUMMYFUNCTION("""COMPUTED_VALUE"""),61138.0)</f>
        <v>61138</v>
      </c>
      <c r="G1587" s="2" t="str">
        <f>IFERROR(__xludf.DUMMYFUNCTION("""COMPUTED_VALUE"""),"Dorje Lama, Somar Banjan, Shisir Baiba, Mlangai Bamjan")</f>
        <v>Dorje Lama, Somar Banjan, Shisir Baiba, Mlangai Bamjan</v>
      </c>
      <c r="H1587" s="2" t="str">
        <f>IFERROR(__xludf.DUMMYFUNCTION("""COMPUTED_VALUE"""),"Swambhu, House No.133, Kathmandu, Tel: 4270030")</f>
        <v>Swambhu, House No.133, Kathmandu, Tel: 4270030</v>
      </c>
      <c r="I1587" s="2" t="str">
        <f>IFERROR(__xludf.DUMMYFUNCTION("""COMPUTED_VALUE"""),"27o 55' 31""")</f>
        <v>27o 55' 31"</v>
      </c>
      <c r="J1587" s="2" t="str">
        <f>IFERROR(__xludf.DUMMYFUNCTION("""COMPUTED_VALUE"""),"27o 57' 27""")</f>
        <v>27o 57' 27"</v>
      </c>
      <c r="K1587" s="2" t="str">
        <f>IFERROR(__xludf.DUMMYFUNCTION("""COMPUTED_VALUE"""),"85o 38' 12""")</f>
        <v>85o 38' 12"</v>
      </c>
      <c r="L1587" s="2" t="str">
        <f>IFERROR(__xludf.DUMMYFUNCTION("""COMPUTED_VALUE"""),"85o 38' 17""")</f>
        <v>85o 38' 17"</v>
      </c>
      <c r="M1587" s="2" t="str">
        <f>IFERROR(__xludf.DUMMYFUNCTION("""COMPUTED_VALUE"""),"Baruwa (Sindhupalchok)")</f>
        <v>Baruwa (Sindhupalchok)</v>
      </c>
    </row>
    <row r="1588">
      <c r="A1588" s="2">
        <f>IFERROR(__xludf.DUMMYFUNCTION("""COMPUTED_VALUE"""),1587.0)</f>
        <v>1587</v>
      </c>
      <c r="B1588" s="2" t="str">
        <f>IFERROR(__xludf.DUMMYFUNCTION("""COMPUTED_VALUE"""),"Lower Dhansi HPP")</f>
        <v>Lower Dhansi HPP</v>
      </c>
      <c r="C1588" s="2">
        <f>IFERROR(__xludf.DUMMYFUNCTION("""COMPUTED_VALUE"""),3.0)</f>
        <v>3</v>
      </c>
      <c r="D1588" s="2" t="str">
        <f>IFERROR(__xludf.DUMMYFUNCTION("""COMPUTED_VALUE"""),"Dhansi")</f>
        <v>Dhansi</v>
      </c>
      <c r="E1588" s="2">
        <f>IFERROR(__xludf.DUMMYFUNCTION("""COMPUTED_VALUE"""),1067.0)</f>
        <v>1067</v>
      </c>
      <c r="F1588" s="3">
        <f>IFERROR(__xludf.DUMMYFUNCTION("""COMPUTED_VALUE"""),61138.0)</f>
        <v>61138</v>
      </c>
      <c r="G1588" s="2" t="str">
        <f>IFERROR(__xludf.DUMMYFUNCTION("""COMPUTED_VALUE"""),"Teleye Samyak Hydropower Company Pvt Ltd")</f>
        <v>Teleye Samyak Hydropower Company Pvt Ltd</v>
      </c>
      <c r="H1588" s="2" t="str">
        <f>IFERROR(__xludf.DUMMYFUNCTION("""COMPUTED_VALUE"""),"GPO Box: 8643, Kathmandu")</f>
        <v>GPO Box: 8643, Kathmandu</v>
      </c>
      <c r="I1588" s="2" t="str">
        <f>IFERROR(__xludf.DUMMYFUNCTION("""COMPUTED_VALUE"""),"28o 18' 29""")</f>
        <v>28o 18' 29"</v>
      </c>
      <c r="J1588" s="2" t="str">
        <f>IFERROR(__xludf.DUMMYFUNCTION("""COMPUTED_VALUE"""),"28o 20' 21""")</f>
        <v>28o 20' 21"</v>
      </c>
      <c r="K1588" s="2" t="str">
        <f>IFERROR(__xludf.DUMMYFUNCTION("""COMPUTED_VALUE"""),"82o 36' 11""")</f>
        <v>82o 36' 11"</v>
      </c>
      <c r="L1588" s="2" t="str">
        <f>IFERROR(__xludf.DUMMYFUNCTION("""COMPUTED_VALUE"""),"82o 38' 24""")</f>
        <v>82o 38' 24"</v>
      </c>
      <c r="M1588" s="2" t="str">
        <f>IFERROR(__xludf.DUMMYFUNCTION("""COMPUTED_VALUE"""),"Jailwang (Rolpa)")</f>
        <v>Jailwang (Rolpa)</v>
      </c>
    </row>
    <row r="1589">
      <c r="A1589" s="2">
        <f>IFERROR(__xludf.DUMMYFUNCTION("""COMPUTED_VALUE"""),1588.0)</f>
        <v>1588</v>
      </c>
      <c r="B1589" s="2" t="str">
        <f>IFERROR(__xludf.DUMMYFUNCTION("""COMPUTED_VALUE"""),"Upper Siwan HPP")</f>
        <v>Upper Siwan HPP</v>
      </c>
      <c r="C1589" s="2">
        <f>IFERROR(__xludf.DUMMYFUNCTION("""COMPUTED_VALUE"""),2.0)</f>
        <v>2</v>
      </c>
      <c r="D1589" s="2" t="str">
        <f>IFERROR(__xludf.DUMMYFUNCTION("""COMPUTED_VALUE"""),"Siban")</f>
        <v>Siban</v>
      </c>
      <c r="E1589" s="2">
        <f>IFERROR(__xludf.DUMMYFUNCTION("""COMPUTED_VALUE"""),1068.0)</f>
        <v>1068</v>
      </c>
      <c r="F1589" s="3">
        <f>IFERROR(__xludf.DUMMYFUNCTION("""COMPUTED_VALUE"""),61138.0)</f>
        <v>61138</v>
      </c>
      <c r="G1589" s="2" t="str">
        <f>IFERROR(__xludf.DUMMYFUNCTION("""COMPUTED_VALUE"""),"Teleye Samyak Hydropower Company Pvt Ltd")</f>
        <v>Teleye Samyak Hydropower Company Pvt Ltd</v>
      </c>
      <c r="H1589" s="2" t="str">
        <f>IFERROR(__xludf.DUMMYFUNCTION("""COMPUTED_VALUE"""),"GPO Box: 8643, Kathmandu")</f>
        <v>GPO Box: 8643, Kathmandu</v>
      </c>
      <c r="I1589" s="2" t="str">
        <f>IFERROR(__xludf.DUMMYFUNCTION("""COMPUTED_VALUE"""),"28o 16' 36""")</f>
        <v>28o 16' 36"</v>
      </c>
      <c r="J1589" s="2" t="str">
        <f>IFERROR(__xludf.DUMMYFUNCTION("""COMPUTED_VALUE"""),"28o 17' 30""")</f>
        <v>28o 17' 30"</v>
      </c>
      <c r="K1589" s="2" t="str">
        <f>IFERROR(__xludf.DUMMYFUNCTION("""COMPUTED_VALUE"""),"82o 30' 00""")</f>
        <v>82o 30' 00"</v>
      </c>
      <c r="L1589" s="2" t="str">
        <f>IFERROR(__xludf.DUMMYFUNCTION("""COMPUTED_VALUE"""),"82o 32' 59""")</f>
        <v>82o 32' 59"</v>
      </c>
      <c r="M1589" s="2" t="str">
        <f>IFERROR(__xludf.DUMMYFUNCTION("""COMPUTED_VALUE"""),"Nuwagaun,Kareti,Gaurigaun (Rolpa)")</f>
        <v>Nuwagaun,Kareti,Gaurigaun (Rolpa)</v>
      </c>
    </row>
    <row r="1590">
      <c r="A1590" s="2">
        <f>IFERROR(__xludf.DUMMYFUNCTION("""COMPUTED_VALUE"""),1589.0)</f>
        <v>1589</v>
      </c>
      <c r="B1590" s="2" t="str">
        <f>IFERROR(__xludf.DUMMYFUNCTION("""COMPUTED_VALUE"""),"Namche Dudhkoshi HPP")</f>
        <v>Namche Dudhkoshi HPP</v>
      </c>
      <c r="C1590" s="2">
        <f>IFERROR(__xludf.DUMMYFUNCTION("""COMPUTED_VALUE"""),5.0)</f>
        <v>5</v>
      </c>
      <c r="D1590" s="2" t="str">
        <f>IFERROR(__xludf.DUMMYFUNCTION("""COMPUTED_VALUE"""),"Dudhkoshi")</f>
        <v>Dudhkoshi</v>
      </c>
      <c r="E1590" s="2">
        <f>IFERROR(__xludf.DUMMYFUNCTION("""COMPUTED_VALUE"""),1077.0)</f>
        <v>1077</v>
      </c>
      <c r="F1590" s="3">
        <f>IFERROR(__xludf.DUMMYFUNCTION("""COMPUTED_VALUE"""),61138.0)</f>
        <v>61138</v>
      </c>
      <c r="G1590" s="2" t="str">
        <f>IFERROR(__xludf.DUMMYFUNCTION("""COMPUTED_VALUE"""),"Prakash Bista")</f>
        <v>Prakash Bista</v>
      </c>
      <c r="H1590" s="2" t="str">
        <f>IFERROR(__xludf.DUMMYFUNCTION("""COMPUTED_VALUE"""),"Setidevi VDC-9, Pharping, Solukhumbu")</f>
        <v>Setidevi VDC-9, Pharping, Solukhumbu</v>
      </c>
      <c r="I1590" s="2" t="str">
        <f>IFERROR(__xludf.DUMMYFUNCTION("""COMPUTED_VALUE"""),"27o 47' 20""")</f>
        <v>27o 47' 20"</v>
      </c>
      <c r="J1590" s="2" t="str">
        <f>IFERROR(__xludf.DUMMYFUNCTION("""COMPUTED_VALUE"""),"27o 50' 00""")</f>
        <v>27o 50' 00"</v>
      </c>
      <c r="K1590" s="2" t="str">
        <f>IFERROR(__xludf.DUMMYFUNCTION("""COMPUTED_VALUE"""),"86o 43' 19""")</f>
        <v>86o 43' 19"</v>
      </c>
      <c r="L1590" s="2" t="str">
        <f>IFERROR(__xludf.DUMMYFUNCTION("""COMPUTED_VALUE"""),"86o 45' 00""")</f>
        <v>86o 45' 00"</v>
      </c>
      <c r="M1590" s="2" t="str">
        <f>IFERROR(__xludf.DUMMYFUNCTION("""COMPUTED_VALUE"""),"Namche (Solukhumbu)")</f>
        <v>Namche (Solukhumbu)</v>
      </c>
    </row>
    <row r="1591">
      <c r="A1591" s="2">
        <f>IFERROR(__xludf.DUMMYFUNCTION("""COMPUTED_VALUE"""),1590.0)</f>
        <v>1590</v>
      </c>
      <c r="B1591" s="2" t="str">
        <f>IFERROR(__xludf.DUMMYFUNCTION("""COMPUTED_VALUE"""),"Nacha Khola HPP")</f>
        <v>Nacha Khola HPP</v>
      </c>
      <c r="C1591" s="2">
        <f>IFERROR(__xludf.DUMMYFUNCTION("""COMPUTED_VALUE"""),8.0)</f>
        <v>8</v>
      </c>
      <c r="D1591" s="2" t="str">
        <f>IFERROR(__xludf.DUMMYFUNCTION("""COMPUTED_VALUE"""),"Nacha")</f>
        <v>Nacha</v>
      </c>
      <c r="E1591" s="2">
        <f>IFERROR(__xludf.DUMMYFUNCTION("""COMPUTED_VALUE"""),1119.0)</f>
        <v>1119</v>
      </c>
      <c r="F1591" s="3">
        <f>IFERROR(__xludf.DUMMYFUNCTION("""COMPUTED_VALUE"""),61140.0)</f>
        <v>61140</v>
      </c>
      <c r="G1591" s="2" t="str">
        <f>IFERROR(__xludf.DUMMYFUNCTION("""COMPUTED_VALUE"""),"Quantum Hydropower Company Pvt Ltd")</f>
        <v>Quantum Hydropower Company Pvt Ltd</v>
      </c>
      <c r="H1591" s="2" t="str">
        <f>IFERROR(__xludf.DUMMYFUNCTION("""COMPUTED_VALUE"""),"Baluwatar, Kathmandu-4")</f>
        <v>Baluwatar, Kathmandu-4</v>
      </c>
      <c r="I1591" s="2" t="str">
        <f>IFERROR(__xludf.DUMMYFUNCTION("""COMPUTED_VALUE"""),"28o 22' 50""")</f>
        <v>28o 22' 50"</v>
      </c>
      <c r="J1591" s="2" t="str">
        <f>IFERROR(__xludf.DUMMYFUNCTION("""COMPUTED_VALUE"""),"28o 23' 52""")</f>
        <v>28o 23' 52"</v>
      </c>
      <c r="K1591" s="2" t="str">
        <f>IFERROR(__xludf.DUMMYFUNCTION("""COMPUTED_VALUE"""),"84o 08' 55""")</f>
        <v>84o 08' 55"</v>
      </c>
      <c r="L1591" s="2" t="str">
        <f>IFERROR(__xludf.DUMMYFUNCTION("""COMPUTED_VALUE"""),"84o 11' 38""")</f>
        <v>84o 11' 38"</v>
      </c>
      <c r="M1591" s="2" t="str">
        <f>IFERROR(__xludf.DUMMYFUNCTION("""COMPUTED_VALUE"""),"Namarjung,Parche (Kaski)")</f>
        <v>Namarjung,Parche (Kaski)</v>
      </c>
    </row>
    <row r="1592">
      <c r="A1592" s="2">
        <f>IFERROR(__xludf.DUMMYFUNCTION("""COMPUTED_VALUE"""),1591.0)</f>
        <v>1591</v>
      </c>
      <c r="B1592" s="2" t="str">
        <f>IFERROR(__xludf.DUMMYFUNCTION("""COMPUTED_VALUE"""),"Upper Hadi Khola-4 HPP")</f>
        <v>Upper Hadi Khola-4 HPP</v>
      </c>
      <c r="C1592" s="2">
        <f>IFERROR(__xludf.DUMMYFUNCTION("""COMPUTED_VALUE"""),0.995)</f>
        <v>0.995</v>
      </c>
      <c r="D1592" s="2" t="str">
        <f>IFERROR(__xludf.DUMMYFUNCTION("""COMPUTED_VALUE"""),"Hadi")</f>
        <v>Hadi</v>
      </c>
      <c r="E1592" s="2">
        <f>IFERROR(__xludf.DUMMYFUNCTION("""COMPUTED_VALUE"""),1126.0)</f>
        <v>1126</v>
      </c>
      <c r="F1592" s="3">
        <f>IFERROR(__xludf.DUMMYFUNCTION("""COMPUTED_VALUE"""),61140.0)</f>
        <v>61140</v>
      </c>
      <c r="G1592" s="2" t="str">
        <f>IFERROR(__xludf.DUMMYFUNCTION("""COMPUTED_VALUE"""),"Devindra Bahadur Khatri")</f>
        <v>Devindra Bahadur Khatri</v>
      </c>
      <c r="H1592" s="2" t="str">
        <f>IFERROR(__xludf.DUMMYFUNCTION("""COMPUTED_VALUE"""),"Thangpaldhap-7, Sindhupalchowk, Tel; 9849445273")</f>
        <v>Thangpaldhap-7, Sindhupalchowk, Tel; 9849445273</v>
      </c>
      <c r="I1592" s="2" t="str">
        <f>IFERROR(__xludf.DUMMYFUNCTION("""COMPUTED_VALUE"""),"27o 55' 58""")</f>
        <v>27o 55' 58"</v>
      </c>
      <c r="J1592" s="2" t="str">
        <f>IFERROR(__xludf.DUMMYFUNCTION("""COMPUTED_VALUE"""),"27o 56' 45""")</f>
        <v>27o 56' 45"</v>
      </c>
      <c r="K1592" s="2" t="str">
        <f>IFERROR(__xludf.DUMMYFUNCTION("""COMPUTED_VALUE"""),"85o 40' 56""")</f>
        <v>85o 40' 56"</v>
      </c>
      <c r="L1592" s="2" t="str">
        <f>IFERROR(__xludf.DUMMYFUNCTION("""COMPUTED_VALUE"""),"85o 42' 33""")</f>
        <v>85o 42' 33"</v>
      </c>
      <c r="M1592" s="2" t="str">
        <f>IFERROR(__xludf.DUMMYFUNCTION("""COMPUTED_VALUE"""),"Batase,Thampal Dhap (Sindhupalchok)")</f>
        <v>Batase,Thampal Dhap (Sindhupalchok)</v>
      </c>
    </row>
    <row r="1593">
      <c r="A1593" s="2">
        <f>IFERROR(__xludf.DUMMYFUNCTION("""COMPUTED_VALUE"""),1592.0)</f>
        <v>1592</v>
      </c>
      <c r="B1593" s="2" t="str">
        <f>IFERROR(__xludf.DUMMYFUNCTION("""COMPUTED_VALUE"""),"Maiwa Khola-1Hydropower Project")</f>
        <v>Maiwa Khola-1Hydropower Project</v>
      </c>
      <c r="C1593" s="2">
        <f>IFERROR(__xludf.DUMMYFUNCTION("""COMPUTED_VALUE"""),2.5)</f>
        <v>2.5</v>
      </c>
      <c r="D1593" s="2" t="str">
        <f>IFERROR(__xludf.DUMMYFUNCTION("""COMPUTED_VALUE"""),"Maiwa")</f>
        <v>Maiwa</v>
      </c>
      <c r="E1593" s="2">
        <f>IFERROR(__xludf.DUMMYFUNCTION("""COMPUTED_VALUE"""),1185.0)</f>
        <v>1185</v>
      </c>
      <c r="F1593" s="3">
        <f>IFERROR(__xludf.DUMMYFUNCTION("""COMPUTED_VALUE"""),61145.0)</f>
        <v>61145</v>
      </c>
      <c r="G1593" s="2" t="str">
        <f>IFERROR(__xludf.DUMMYFUNCTION("""COMPUTED_VALUE"""),"Punmaya Karki, Gauri Giri, Sudan Limbu")</f>
        <v>Punmaya Karki, Gauri Giri, Sudan Limbu</v>
      </c>
      <c r="H1593" s="2" t="str">
        <f>IFERROR(__xludf.DUMMYFUNCTION("""COMPUTED_VALUE"""),"GPO Box: 12756, Kathmandu, Tel; 9841555004")</f>
        <v>GPO Box: 12756, Kathmandu, Tel; 9841555004</v>
      </c>
      <c r="I1593" s="2" t="str">
        <f>IFERROR(__xludf.DUMMYFUNCTION("""COMPUTED_VALUE"""),"27o 22' 23""")</f>
        <v>27o 22' 23"</v>
      </c>
      <c r="J1593" s="2" t="str">
        <f>IFERROR(__xludf.DUMMYFUNCTION("""COMPUTED_VALUE"""),"27o 23' 45""")</f>
        <v>27o 23' 45"</v>
      </c>
      <c r="K1593" s="2" t="str">
        <f>IFERROR(__xludf.DUMMYFUNCTION("""COMPUTED_VALUE"""),"87o 32' 11""")</f>
        <v>87o 32' 11"</v>
      </c>
      <c r="L1593" s="2" t="str">
        <f>IFERROR(__xludf.DUMMYFUNCTION("""COMPUTED_VALUE"""),"87o 33' 47""")</f>
        <v>87o 33' 47"</v>
      </c>
      <c r="M1593" s="2" t="str">
        <f>IFERROR(__xludf.DUMMYFUNCTION("""COMPUTED_VALUE"""),"Phakumba (Taplejung)")</f>
        <v>Phakumba (Taplejung)</v>
      </c>
    </row>
    <row r="1594">
      <c r="A1594" s="2">
        <f>IFERROR(__xludf.DUMMYFUNCTION("""COMPUTED_VALUE"""),1593.0)</f>
        <v>1593</v>
      </c>
      <c r="B1594" s="2" t="str">
        <f>IFERROR(__xludf.DUMMYFUNCTION("""COMPUTED_VALUE"""),"Mid Jhimruk")</f>
        <v>Mid Jhimruk</v>
      </c>
      <c r="C1594" s="2">
        <f>IFERROR(__xludf.DUMMYFUNCTION("""COMPUTED_VALUE"""),0.9)</f>
        <v>0.9</v>
      </c>
      <c r="D1594" s="2" t="str">
        <f>IFERROR(__xludf.DUMMYFUNCTION("""COMPUTED_VALUE"""),"Jhimruk")</f>
        <v>Jhimruk</v>
      </c>
      <c r="E1594" s="2">
        <f>IFERROR(__xludf.DUMMYFUNCTION("""COMPUTED_VALUE"""),1187.0)</f>
        <v>1187</v>
      </c>
      <c r="F1594" s="3">
        <f>IFERROR(__xludf.DUMMYFUNCTION("""COMPUTED_VALUE"""),61145.0)</f>
        <v>61145</v>
      </c>
      <c r="G1594" s="2" t="str">
        <f>IFERROR(__xludf.DUMMYFUNCTION("""COMPUTED_VALUE"""),"Pancharatna Power Company Pvt. Ltd.")</f>
        <v>Pancharatna Power Company Pvt. Ltd.</v>
      </c>
      <c r="H1594" s="2" t="str">
        <f>IFERROR(__xludf.DUMMYFUNCTION("""COMPUTED_VALUE"""),"P.O. Box: 12196")</f>
        <v>P.O. Box: 12196</v>
      </c>
      <c r="I1594" s="2" t="str">
        <f>IFERROR(__xludf.DUMMYFUNCTION("""COMPUTED_VALUE"""),"28o 12' 53""")</f>
        <v>28o 12' 53"</v>
      </c>
      <c r="J1594" s="2" t="str">
        <f>IFERROR(__xludf.DUMMYFUNCTION("""COMPUTED_VALUE"""),"28o 13' 53""")</f>
        <v>28o 13' 53"</v>
      </c>
      <c r="K1594" s="2" t="str">
        <f>IFERROR(__xludf.DUMMYFUNCTION("""COMPUTED_VALUE"""),"83o 00' 28""")</f>
        <v>83o 00' 28"</v>
      </c>
      <c r="L1594" s="2" t="str">
        <f>IFERROR(__xludf.DUMMYFUNCTION("""COMPUTED_VALUE"""),"83o 01' 22""")</f>
        <v>83o 01' 22"</v>
      </c>
      <c r="M1594" s="2" t="str">
        <f>IFERROR(__xludf.DUMMYFUNCTION("""COMPUTED_VALUE"""),"Rajbara,Puja (Pyuthan)")</f>
        <v>Rajbara,Puja (Pyuthan)</v>
      </c>
    </row>
    <row r="1595">
      <c r="A1595" s="2">
        <f>IFERROR(__xludf.DUMMYFUNCTION("""COMPUTED_VALUE"""),1594.0)</f>
        <v>1594</v>
      </c>
      <c r="B1595" s="2" t="str">
        <f>IFERROR(__xludf.DUMMYFUNCTION("""COMPUTED_VALUE"""),"Upper Balephi HPP")</f>
        <v>Upper Balephi HPP</v>
      </c>
      <c r="C1595" s="2">
        <f>IFERROR(__xludf.DUMMYFUNCTION("""COMPUTED_VALUE"""),15.0)</f>
        <v>15</v>
      </c>
      <c r="D1595" s="2" t="str">
        <f>IFERROR(__xludf.DUMMYFUNCTION("""COMPUTED_VALUE"""),"Balephi")</f>
        <v>Balephi</v>
      </c>
      <c r="E1595" s="2">
        <f>IFERROR(__xludf.DUMMYFUNCTION("""COMPUTED_VALUE"""),1237.0)</f>
        <v>1237</v>
      </c>
      <c r="F1595" s="3">
        <f>IFERROR(__xludf.DUMMYFUNCTION("""COMPUTED_VALUE"""),61146.0)</f>
        <v>61146</v>
      </c>
      <c r="G1595" s="2" t="str">
        <f>IFERROR(__xludf.DUMMYFUNCTION("""COMPUTED_VALUE"""),"Himavan Power Pvt Ltd")</f>
        <v>Himavan Power Pvt Ltd</v>
      </c>
      <c r="H1595" s="2" t="str">
        <f>IFERROR(__xludf.DUMMYFUNCTION("""COMPUTED_VALUE"""),"Budhanagar, , Kathmandu Tel:6219996")</f>
        <v>Budhanagar, , Kathmandu Tel:6219996</v>
      </c>
      <c r="I1595" s="2" t="str">
        <f>IFERROR(__xludf.DUMMYFUNCTION("""COMPUTED_VALUE"""),"27o 58' 29""")</f>
        <v>27o 58' 29"</v>
      </c>
      <c r="J1595" s="2" t="str">
        <f>IFERROR(__xludf.DUMMYFUNCTION("""COMPUTED_VALUE"""),"28o 01' 23""")</f>
        <v>28o 01' 23"</v>
      </c>
      <c r="K1595" s="2" t="str">
        <f>IFERROR(__xludf.DUMMYFUNCTION("""COMPUTED_VALUE"""),"85o 46' 46""")</f>
        <v>85o 46' 46"</v>
      </c>
      <c r="L1595" s="2" t="str">
        <f>IFERROR(__xludf.DUMMYFUNCTION("""COMPUTED_VALUE"""),"85o 48' 03""")</f>
        <v>85o 48' 03"</v>
      </c>
      <c r="M1595" s="2" t="str">
        <f>IFERROR(__xludf.DUMMYFUNCTION("""COMPUTED_VALUE"""),"Golche (Sindhupalchok)")</f>
        <v>Golche (Sindhupalchok)</v>
      </c>
    </row>
    <row r="1596">
      <c r="A1596" s="2">
        <f>IFERROR(__xludf.DUMMYFUNCTION("""COMPUTED_VALUE"""),1595.0)</f>
        <v>1595</v>
      </c>
      <c r="B1596" s="2" t="str">
        <f>IFERROR(__xludf.DUMMYFUNCTION("""COMPUTED_VALUE"""),"Tama-Deumai Khola HPP")</f>
        <v>Tama-Deumai Khola HPP</v>
      </c>
      <c r="C1596" s="2">
        <f>IFERROR(__xludf.DUMMYFUNCTION("""COMPUTED_VALUE"""),3.75)</f>
        <v>3.75</v>
      </c>
      <c r="D1596" s="2" t="str">
        <f>IFERROR(__xludf.DUMMYFUNCTION("""COMPUTED_VALUE"""),"Deumai")</f>
        <v>Deumai</v>
      </c>
      <c r="E1596" s="2">
        <f>IFERROR(__xludf.DUMMYFUNCTION("""COMPUTED_VALUE"""),1267.0)</f>
        <v>1267</v>
      </c>
      <c r="F1596" s="3">
        <f>IFERROR(__xludf.DUMMYFUNCTION("""COMPUTED_VALUE"""),61148.0)</f>
        <v>61148</v>
      </c>
      <c r="G1596" s="2" t="str">
        <f>IFERROR(__xludf.DUMMYFUNCTION("""COMPUTED_VALUE"""),"Falgunanda Hydropower Co. Pvt Ltd")</f>
        <v>Falgunanda Hydropower Co. Pvt Ltd</v>
      </c>
      <c r="H1596" s="2" t="str">
        <f>IFERROR(__xludf.DUMMYFUNCTION("""COMPUTED_VALUE"""),"Baneswar, Kathmandu Tel: 01-2120209")</f>
        <v>Baneswar, Kathmandu Tel: 01-2120209</v>
      </c>
      <c r="I1596" s="2" t="str">
        <f>IFERROR(__xludf.DUMMYFUNCTION("""COMPUTED_VALUE"""),"26o 49' 03""")</f>
        <v>26o 49' 03"</v>
      </c>
      <c r="J1596" s="2" t="str">
        <f>IFERROR(__xludf.DUMMYFUNCTION("""COMPUTED_VALUE"""),"26o 51' 10""")</f>
        <v>26o 51' 10"</v>
      </c>
      <c r="K1596" s="2" t="str">
        <f>IFERROR(__xludf.DUMMYFUNCTION("""COMPUTED_VALUE"""),"87o 46' 03""")</f>
        <v>87o 46' 03"</v>
      </c>
      <c r="L1596" s="2" t="str">
        <f>IFERROR(__xludf.DUMMYFUNCTION("""COMPUTED_VALUE"""),"87o 47' 06""")</f>
        <v>87o 47' 06"</v>
      </c>
      <c r="M1596" s="2" t="str">
        <f>IFERROR(__xludf.DUMMYFUNCTION("""COMPUTED_VALUE"""),"Jitpur (Ilam)")</f>
        <v>Jitpur (Ilam)</v>
      </c>
    </row>
    <row r="1597">
      <c r="A1597" s="2">
        <f>IFERROR(__xludf.DUMMYFUNCTION("""COMPUTED_VALUE"""),1596.0)</f>
        <v>1596</v>
      </c>
      <c r="B1597" s="2" t="str">
        <f>IFERROR(__xludf.DUMMYFUNCTION("""COMPUTED_VALUE"""),"Gulandi Khola SHP")</f>
        <v>Gulandi Khola SHP</v>
      </c>
      <c r="C1597" s="2">
        <f>IFERROR(__xludf.DUMMYFUNCTION("""COMPUTED_VALUE"""),0.981)</f>
        <v>0.981</v>
      </c>
      <c r="D1597" s="2" t="str">
        <f>IFERROR(__xludf.DUMMYFUNCTION("""COMPUTED_VALUE"""),"Gulandi")</f>
        <v>Gulandi</v>
      </c>
      <c r="E1597" s="2">
        <f>IFERROR(__xludf.DUMMYFUNCTION("""COMPUTED_VALUE"""),1282.0)</f>
        <v>1282</v>
      </c>
      <c r="F1597" s="3">
        <f>IFERROR(__xludf.DUMMYFUNCTION("""COMPUTED_VALUE"""),61148.0)</f>
        <v>61148</v>
      </c>
      <c r="G1597" s="2" t="str">
        <f>IFERROR(__xludf.DUMMYFUNCTION("""COMPUTED_VALUE"""),"Ravilal Sharma")</f>
        <v>Ravilal Sharma</v>
      </c>
      <c r="H1597" s="2" t="str">
        <f>IFERROR(__xludf.DUMMYFUNCTION("""COMPUTED_VALUE"""),"Purtighat-6, Gulmi, GPO Box: 24600, Kathmandu")</f>
        <v>Purtighat-6, Gulmi, GPO Box: 24600, Kathmandu</v>
      </c>
      <c r="I1597" s="2" t="str">
        <f>IFERROR(__xludf.DUMMYFUNCTION("""COMPUTED_VALUE"""),"28o 03' 00""")</f>
        <v>28o 03' 00"</v>
      </c>
      <c r="J1597" s="2" t="str">
        <f>IFERROR(__xludf.DUMMYFUNCTION("""COMPUTED_VALUE"""),"28o 05' 00""")</f>
        <v>28o 05' 00"</v>
      </c>
      <c r="K1597" s="2" t="str">
        <f>IFERROR(__xludf.DUMMYFUNCTION("""COMPUTED_VALUE"""),"83o 31' 30""")</f>
        <v>83o 31' 30"</v>
      </c>
      <c r="L1597" s="2" t="str">
        <f>IFERROR(__xludf.DUMMYFUNCTION("""COMPUTED_VALUE"""),"83o 34' 00""")</f>
        <v>83o 34' 00"</v>
      </c>
      <c r="M1597" s="2" t="str">
        <f>IFERROR(__xludf.DUMMYFUNCTION("""COMPUTED_VALUE"""),"Foksing,Khadagkot,Purtighat (Gulmi)")</f>
        <v>Foksing,Khadagkot,Purtighat (Gulmi)</v>
      </c>
    </row>
    <row r="1598">
      <c r="A1598" s="2">
        <f>IFERROR(__xludf.DUMMYFUNCTION("""COMPUTED_VALUE"""),1597.0)</f>
        <v>1597</v>
      </c>
      <c r="B1598" s="2" t="str">
        <f>IFERROR(__xludf.DUMMYFUNCTION("""COMPUTED_VALUE"""),"Tawa Khola Hydropower Project")</f>
        <v>Tawa Khola Hydropower Project</v>
      </c>
      <c r="C1598" s="2">
        <f>IFERROR(__xludf.DUMMYFUNCTION("""COMPUTED_VALUE"""),3.2)</f>
        <v>3.2</v>
      </c>
      <c r="D1598" s="2" t="str">
        <f>IFERROR(__xludf.DUMMYFUNCTION("""COMPUTED_VALUE"""),"Tawa Khola")</f>
        <v>Tawa Khola</v>
      </c>
      <c r="E1598" s="2">
        <f>IFERROR(__xludf.DUMMYFUNCTION("""COMPUTED_VALUE"""),1344.0)</f>
        <v>1344</v>
      </c>
      <c r="F1598" s="3">
        <f>IFERROR(__xludf.DUMMYFUNCTION("""COMPUTED_VALUE"""),61152.0)</f>
        <v>61152</v>
      </c>
      <c r="G1598" s="2" t="str">
        <f>IFERROR(__xludf.DUMMYFUNCTION("""COMPUTED_VALUE"""),"Tej B. Limbu, Dambar K. Neyong, Ganesh Pd. Subba, Hem Raj Gautam, Chandra 
B. Limbu")</f>
        <v>Tej B. Limbu, Dambar K. Neyong, Ganesh Pd. Subba, Hem Raj Gautam, Chandra 
B. Limbu</v>
      </c>
      <c r="H1598" s="2" t="str">
        <f>IFERROR(__xludf.DUMMYFUNCTION("""COMPUTED_VALUE"""),"GPO Box: 8973, Kathmandu, Tel: 4601765, 9851102491, 9841818227")</f>
        <v>GPO Box: 8973, Kathmandu, Tel: 4601765, 9851102491, 9841818227</v>
      </c>
      <c r="I1598" s="2" t="str">
        <f>IFERROR(__xludf.DUMMYFUNCTION("""COMPUTED_VALUE"""),"27o 21' 24""")</f>
        <v>27o 21' 24"</v>
      </c>
      <c r="J1598" s="2" t="str">
        <f>IFERROR(__xludf.DUMMYFUNCTION("""COMPUTED_VALUE"""),"27o 23' 02""")</f>
        <v>27o 23' 02"</v>
      </c>
      <c r="K1598" s="2" t="str">
        <f>IFERROR(__xludf.DUMMYFUNCTION("""COMPUTED_VALUE"""),"87o 51' 30""")</f>
        <v>87o 51' 30"</v>
      </c>
      <c r="L1598" s="2" t="str">
        <f>IFERROR(__xludf.DUMMYFUNCTION("""COMPUTED_VALUE"""),"87o 54' 53""")</f>
        <v>87o 54' 53"</v>
      </c>
      <c r="M1598" s="2" t="str">
        <f>IFERROR(__xludf.DUMMYFUNCTION("""COMPUTED_VALUE"""),"Khewang (Taplejung)")</f>
        <v>Khewang (Taplejung)</v>
      </c>
    </row>
    <row r="1599">
      <c r="A1599" s="2">
        <f>IFERROR(__xludf.DUMMYFUNCTION("""COMPUTED_VALUE"""),1598.0)</f>
        <v>1598</v>
      </c>
      <c r="B1599" s="2" t="str">
        <f>IFERROR(__xludf.DUMMYFUNCTION("""COMPUTED_VALUE"""),"Humla Karnali HPP")</f>
        <v>Humla Karnali HPP</v>
      </c>
      <c r="C1599" s="2">
        <f>IFERROR(__xludf.DUMMYFUNCTION("""COMPUTED_VALUE"""),20.0)</f>
        <v>20</v>
      </c>
      <c r="D1599" s="2" t="str">
        <f>IFERROR(__xludf.DUMMYFUNCTION("""COMPUTED_VALUE"""),"Humla Karnali")</f>
        <v>Humla Karnali</v>
      </c>
      <c r="E1599" s="2">
        <f>IFERROR(__xludf.DUMMYFUNCTION("""COMPUTED_VALUE"""),1425.0)</f>
        <v>1425</v>
      </c>
      <c r="F1599" s="3">
        <f>IFERROR(__xludf.DUMMYFUNCTION("""COMPUTED_VALUE"""),61159.0)</f>
        <v>61159</v>
      </c>
      <c r="G1599" s="2" t="str">
        <f>IFERROR(__xludf.DUMMYFUNCTION("""COMPUTED_VALUE"""),"Kanchan Acharya, Amrita Ghimire")</f>
        <v>Kanchan Acharya, Amrita Ghimire</v>
      </c>
      <c r="H1599" s="2" t="str">
        <f>IFERROR(__xludf.DUMMYFUNCTION("""COMPUTED_VALUE"""),"Madhyapurthimi-16, Bhaktapur, House No. 256/16,Tel:9841837311, 4913437")</f>
        <v>Madhyapurthimi-16, Bhaktapur, House No. 256/16,Tel:9841837311, 4913437</v>
      </c>
      <c r="I1599" s="2" t="str">
        <f>IFERROR(__xludf.DUMMYFUNCTION("""COMPUTED_VALUE"""),"29o 39' 00""")</f>
        <v>29o 39' 00"</v>
      </c>
      <c r="J1599" s="2" t="str">
        <f>IFERROR(__xludf.DUMMYFUNCTION("""COMPUTED_VALUE"""),"29o 41' 30""")</f>
        <v>29o 41' 30"</v>
      </c>
      <c r="K1599" s="2" t="str">
        <f>IFERROR(__xludf.DUMMYFUNCTION("""COMPUTED_VALUE"""),"81o 51' 00""")</f>
        <v>81o 51' 00"</v>
      </c>
      <c r="L1599" s="2" t="str">
        <f>IFERROR(__xludf.DUMMYFUNCTION("""COMPUTED_VALUE"""),"81o 55' 00""")</f>
        <v>81o 55' 00"</v>
      </c>
      <c r="M1599" s="2" t="str">
        <f>IFERROR(__xludf.DUMMYFUNCTION("""COMPUTED_VALUE"""),"Natharpu,Shree Nagar (Mugu)")</f>
        <v>Natharpu,Shree Nagar (Mugu)</v>
      </c>
    </row>
    <row r="1600">
      <c r="A1600" s="2">
        <f>IFERROR(__xludf.DUMMYFUNCTION("""COMPUTED_VALUE"""),1599.0)</f>
        <v>1599</v>
      </c>
      <c r="B1600" s="2" t="str">
        <f>IFERROR(__xludf.DUMMYFUNCTION("""COMPUTED_VALUE"""),"Rosi Khola HPP")</f>
        <v>Rosi Khola HPP</v>
      </c>
      <c r="C1600" s="2">
        <f>IFERROR(__xludf.DUMMYFUNCTION("""COMPUTED_VALUE"""),5.0)</f>
        <v>5</v>
      </c>
      <c r="D1600" s="2" t="str">
        <f>IFERROR(__xludf.DUMMYFUNCTION("""COMPUTED_VALUE"""),"Roshi")</f>
        <v>Roshi</v>
      </c>
      <c r="E1600" s="2">
        <f>IFERROR(__xludf.DUMMYFUNCTION("""COMPUTED_VALUE"""),1458.0)</f>
        <v>1458</v>
      </c>
      <c r="F1600" s="3">
        <f>IFERROR(__xludf.DUMMYFUNCTION("""COMPUTED_VALUE"""),61161.0)</f>
        <v>61161</v>
      </c>
      <c r="G1600" s="2" t="str">
        <f>IFERROR(__xludf.DUMMYFUNCTION("""COMPUTED_VALUE"""),"Birat Energy Pvt Ltd")</f>
        <v>Birat Energy Pvt Ltd</v>
      </c>
      <c r="H1600" s="2" t="str">
        <f>IFERROR(__xludf.DUMMYFUNCTION("""COMPUTED_VALUE"""),"Baneswar-34, Kathmandu")</f>
        <v>Baneswar-34, Kathmandu</v>
      </c>
      <c r="I1600" s="2" t="str">
        <f>IFERROR(__xludf.DUMMYFUNCTION("""COMPUTED_VALUE"""),"27o 30' 53""")</f>
        <v>27o 30' 53"</v>
      </c>
      <c r="J1600" s="2" t="str">
        <f>IFERROR(__xludf.DUMMYFUNCTION("""COMPUTED_VALUE"""),"27o 32' 30""")</f>
        <v>27o 32' 30"</v>
      </c>
      <c r="K1600" s="2" t="str">
        <f>IFERROR(__xludf.DUMMYFUNCTION("""COMPUTED_VALUE"""),"85o 33' 46""")</f>
        <v>85o 33' 46"</v>
      </c>
      <c r="L1600" s="2" t="str">
        <f>IFERROR(__xludf.DUMMYFUNCTION("""COMPUTED_VALUE"""),"85o 36' 13""")</f>
        <v>85o 36' 13"</v>
      </c>
      <c r="M1600" s="2" t="str">
        <f>IFERROR(__xludf.DUMMYFUNCTION("""COMPUTED_VALUE"""),"Simalchour Syampati (Kavrepalanchok)")</f>
        <v>Simalchour Syampati (Kavrepalanchok)</v>
      </c>
    </row>
    <row r="1601">
      <c r="A1601" s="2">
        <f>IFERROR(__xludf.DUMMYFUNCTION("""COMPUTED_VALUE"""),1600.0)</f>
        <v>1600</v>
      </c>
      <c r="B1601" s="2" t="str">
        <f>IFERROR(__xludf.DUMMYFUNCTION("""COMPUTED_VALUE"""),"Upper Trishuli-2A Hydropower Project")</f>
        <v>Upper Trishuli-2A Hydropower Project</v>
      </c>
      <c r="C1601" s="2">
        <f>IFERROR(__xludf.DUMMYFUNCTION("""COMPUTED_VALUE"""),229.0)</f>
        <v>229</v>
      </c>
      <c r="D1601" s="2" t="str">
        <f>IFERROR(__xludf.DUMMYFUNCTION("""COMPUTED_VALUE"""),"Trishuli")</f>
        <v>Trishuli</v>
      </c>
      <c r="E1601" s="2">
        <f>IFERROR(__xludf.DUMMYFUNCTION("""COMPUTED_VALUE"""),1495.0)</f>
        <v>1495</v>
      </c>
      <c r="F1601" s="3">
        <f>IFERROR(__xludf.DUMMYFUNCTION("""COMPUTED_VALUE"""),61165.0)</f>
        <v>61165</v>
      </c>
      <c r="G1601" s="2" t="str">
        <f>IFERROR(__xludf.DUMMYFUNCTION("""COMPUTED_VALUE"""),"Hydrochina Corporation, IDS Energy Pvt Ltd")</f>
        <v>Hydrochina Corporation, IDS Energy Pvt Ltd</v>
      </c>
      <c r="H1601" s="2" t="str">
        <f>IFERROR(__xludf.DUMMYFUNCTION("""COMPUTED_VALUE"""),"Kamladi, Kathmandu, Tel: 01-4215063, 4238496")</f>
        <v>Kamladi, Kathmandu, Tel: 01-4215063, 4238496</v>
      </c>
      <c r="I1601" s="2" t="str">
        <f>IFERROR(__xludf.DUMMYFUNCTION("""COMPUTED_VALUE"""),"28o 04' 00""")</f>
        <v>28o 04' 00"</v>
      </c>
      <c r="J1601" s="2" t="str">
        <f>IFERROR(__xludf.DUMMYFUNCTION("""COMPUTED_VALUE"""),"28o 07' 00""")</f>
        <v>28o 07' 00"</v>
      </c>
      <c r="K1601" s="2" t="str">
        <f>IFERROR(__xludf.DUMMYFUNCTION("""COMPUTED_VALUE"""),"85o 12' 00""")</f>
        <v>85o 12' 00"</v>
      </c>
      <c r="L1601" s="2" t="str">
        <f>IFERROR(__xludf.DUMMYFUNCTION("""COMPUTED_VALUE"""),"85o 17' 02""")</f>
        <v>85o 17' 02"</v>
      </c>
      <c r="M1601" s="2" t="str">
        <f>IFERROR(__xludf.DUMMYFUNCTION("""COMPUTED_VALUE"""),"Dhunche,Haku (Rasuwa)")</f>
        <v>Dhunche,Haku (Rasuwa)</v>
      </c>
    </row>
    <row r="1602">
      <c r="A1602" s="2">
        <f>IFERROR(__xludf.DUMMYFUNCTION("""COMPUTED_VALUE"""),1601.0)</f>
        <v>1601</v>
      </c>
      <c r="B1602" s="2" t="str">
        <f>IFERROR(__xludf.DUMMYFUNCTION("""COMPUTED_VALUE"""),"Inkhu Khola HPP")</f>
        <v>Inkhu Khola HPP</v>
      </c>
      <c r="C1602" s="2">
        <f>IFERROR(__xludf.DUMMYFUNCTION("""COMPUTED_VALUE"""),10.0)</f>
        <v>10</v>
      </c>
      <c r="D1602" s="2" t="str">
        <f>IFERROR(__xludf.DUMMYFUNCTION("""COMPUTED_VALUE"""),"Inkhu")</f>
        <v>Inkhu</v>
      </c>
      <c r="E1602" s="2">
        <f>IFERROR(__xludf.DUMMYFUNCTION("""COMPUTED_VALUE"""),1505.0)</f>
        <v>1505</v>
      </c>
      <c r="F1602" s="3">
        <f>IFERROR(__xludf.DUMMYFUNCTION("""COMPUTED_VALUE"""),61166.0)</f>
        <v>61166</v>
      </c>
      <c r="G1602" s="2" t="str">
        <f>IFERROR(__xludf.DUMMYFUNCTION("""COMPUTED_VALUE"""),"Eco Blue Energy Pvt Ltd")</f>
        <v>Eco Blue Energy Pvt Ltd</v>
      </c>
      <c r="H1602" s="2" t="str">
        <f>IFERROR(__xludf.DUMMYFUNCTION("""COMPUTED_VALUE"""),"Lalitpur Sub-metropolitan Municipality-4, Lalitpur, Tel: 5525184, 9851101956")</f>
        <v>Lalitpur Sub-metropolitan Municipality-4, Lalitpur, Tel: 5525184, 9851101956</v>
      </c>
      <c r="I1602" s="2" t="str">
        <f>IFERROR(__xludf.DUMMYFUNCTION("""COMPUTED_VALUE"""),"27o 27' 02""")</f>
        <v>27o 27' 02"</v>
      </c>
      <c r="J1602" s="2" t="str">
        <f>IFERROR(__xludf.DUMMYFUNCTION("""COMPUTED_VALUE"""),"27o 31' 54""")</f>
        <v>27o 31' 54"</v>
      </c>
      <c r="K1602" s="2" t="str">
        <f>IFERROR(__xludf.DUMMYFUNCTION("""COMPUTED_VALUE"""),"86o 42' 58""")</f>
        <v>86o 42' 58"</v>
      </c>
      <c r="L1602" s="2" t="str">
        <f>IFERROR(__xludf.DUMMYFUNCTION("""COMPUTED_VALUE"""),"86o 46' 38""")</f>
        <v>86o 46' 38"</v>
      </c>
      <c r="M1602" s="2" t="str">
        <f>IFERROR(__xludf.DUMMYFUNCTION("""COMPUTED_VALUE"""),"Baku (Solukhumbu)")</f>
        <v>Baku (Solukhumbu)</v>
      </c>
    </row>
    <row r="1603">
      <c r="A1603" s="2">
        <f>IFERROR(__xludf.DUMMYFUNCTION("""COMPUTED_VALUE"""),1602.0)</f>
        <v>1602</v>
      </c>
      <c r="B1603" s="2" t="str">
        <f>IFERROR(__xludf.DUMMYFUNCTION("""COMPUTED_VALUE"""),"Bhalaudi Khola HPP")</f>
        <v>Bhalaudi Khola HPP</v>
      </c>
      <c r="C1603" s="2">
        <f>IFERROR(__xludf.DUMMYFUNCTION("""COMPUTED_VALUE"""),2.2)</f>
        <v>2.2</v>
      </c>
      <c r="D1603" s="2" t="str">
        <f>IFERROR(__xludf.DUMMYFUNCTION("""COMPUTED_VALUE"""),"Bhalaudi Khola")</f>
        <v>Bhalaudi Khola</v>
      </c>
      <c r="E1603" s="2">
        <f>IFERROR(__xludf.DUMMYFUNCTION("""COMPUTED_VALUE"""),1601.0)</f>
        <v>1601</v>
      </c>
      <c r="F1603" s="3">
        <f>IFERROR(__xludf.DUMMYFUNCTION("""COMPUTED_VALUE"""),61173.0)</f>
        <v>61173</v>
      </c>
      <c r="G1603" s="2" t="str">
        <f>IFERROR(__xludf.DUMMYFUNCTION("""COMPUTED_VALUE"""),"Lekali Hydropower Pvt Ltd")</f>
        <v>Lekali Hydropower Pvt Ltd</v>
      </c>
      <c r="H1603" s="2" t="str">
        <f>IFERROR(__xludf.DUMMYFUNCTION("""COMPUTED_VALUE"""),"Banasthali, Kathmandu, Tel: 4389262")</f>
        <v>Banasthali, Kathmandu, Tel: 4389262</v>
      </c>
      <c r="I1603" s="2" t="str">
        <f>IFERROR(__xludf.DUMMYFUNCTION("""COMPUTED_VALUE"""),"28o 21' 43""")</f>
        <v>28o 21' 43"</v>
      </c>
      <c r="J1603" s="2" t="str">
        <f>IFERROR(__xludf.DUMMYFUNCTION("""COMPUTED_VALUE"""),"28o 23' 53""")</f>
        <v>28o 23' 53"</v>
      </c>
      <c r="K1603" s="2" t="str">
        <f>IFERROR(__xludf.DUMMYFUNCTION("""COMPUTED_VALUE"""),"83o 56' 19""")</f>
        <v>83o 56' 19"</v>
      </c>
      <c r="L1603" s="2" t="str">
        <f>IFERROR(__xludf.DUMMYFUNCTION("""COMPUTED_VALUE"""),"83o 58' 46""")</f>
        <v>83o 58' 46"</v>
      </c>
      <c r="M1603" s="2" t="str">
        <f>IFERROR(__xludf.DUMMYFUNCTION("""COMPUTED_VALUE"""),"Machhapuchchhre (Kaski)")</f>
        <v>Machhapuchchhre (Kaski)</v>
      </c>
    </row>
    <row r="1604">
      <c r="A1604" s="2">
        <f>IFERROR(__xludf.DUMMYFUNCTION("""COMPUTED_VALUE"""),1603.0)</f>
        <v>1603</v>
      </c>
      <c r="B1604" s="2" t="str">
        <f>IFERROR(__xludf.DUMMYFUNCTION("""COMPUTED_VALUE"""),"Upper Lungri HPP")</f>
        <v>Upper Lungri HPP</v>
      </c>
      <c r="C1604" s="2">
        <f>IFERROR(__xludf.DUMMYFUNCTION("""COMPUTED_VALUE"""),3.2)</f>
        <v>3.2</v>
      </c>
      <c r="D1604" s="2" t="str">
        <f>IFERROR(__xludf.DUMMYFUNCTION("""COMPUTED_VALUE"""),"Lungri")</f>
        <v>Lungri</v>
      </c>
      <c r="E1604" s="2">
        <f>IFERROR(__xludf.DUMMYFUNCTION("""COMPUTED_VALUE"""),1639.0)</f>
        <v>1639</v>
      </c>
      <c r="F1604" s="3">
        <f>IFERROR(__xludf.DUMMYFUNCTION("""COMPUTED_VALUE"""),61175.0)</f>
        <v>61175</v>
      </c>
      <c r="G1604" s="2" t="str">
        <f>IFERROR(__xludf.DUMMYFUNCTION("""COMPUTED_VALUE"""),"Mr. Suzu Malla")</f>
        <v>Mr. Suzu Malla</v>
      </c>
      <c r="H1604" s="2" t="str">
        <f>IFERROR(__xludf.DUMMYFUNCTION("""COMPUTED_VALUE"""),"GPO Box: 8643, Kathmandu Tel: 4426484")</f>
        <v>GPO Box: 8643, Kathmandu Tel: 4426484</v>
      </c>
      <c r="I1604" s="2" t="str">
        <f>IFERROR(__xludf.DUMMYFUNCTION("""COMPUTED_VALUE"""),"28o 19' 14""")</f>
        <v>28o 19' 14"</v>
      </c>
      <c r="J1604" s="2" t="str">
        <f>IFERROR(__xludf.DUMMYFUNCTION("""COMPUTED_VALUE"""),"28o 22' 30""")</f>
        <v>28o 22' 30"</v>
      </c>
      <c r="K1604" s="2" t="str">
        <f>IFERROR(__xludf.DUMMYFUNCTION("""COMPUTED_VALUE"""),"82o 46' 36""")</f>
        <v>82o 46' 36"</v>
      </c>
      <c r="L1604" s="2" t="str">
        <f>IFERROR(__xludf.DUMMYFUNCTION("""COMPUTED_VALUE"""),"82o 49' 00""")</f>
        <v>82o 49' 00"</v>
      </c>
      <c r="M1604" s="2" t="str">
        <f>IFERROR(__xludf.DUMMYFUNCTION("""COMPUTED_VALUE"""),"Jaimakasala,Seram (Rolpa)")</f>
        <v>Jaimakasala,Seram (Rolpa)</v>
      </c>
    </row>
    <row r="1605">
      <c r="A1605" s="2">
        <f>IFERROR(__xludf.DUMMYFUNCTION("""COMPUTED_VALUE"""),1604.0)</f>
        <v>1604</v>
      </c>
      <c r="B1605" s="2" t="str">
        <f>IFERROR(__xludf.DUMMYFUNCTION("""COMPUTED_VALUE"""),"Middle Lungri Khola HPP")</f>
        <v>Middle Lungri Khola HPP</v>
      </c>
      <c r="C1605" s="2">
        <f>IFERROR(__xludf.DUMMYFUNCTION("""COMPUTED_VALUE"""),3.21)</f>
        <v>3.21</v>
      </c>
      <c r="D1605" s="2" t="str">
        <f>IFERROR(__xludf.DUMMYFUNCTION("""COMPUTED_VALUE"""),"Lungri")</f>
        <v>Lungri</v>
      </c>
      <c r="E1605" s="2">
        <f>IFERROR(__xludf.DUMMYFUNCTION("""COMPUTED_VALUE"""),1640.0)</f>
        <v>1640</v>
      </c>
      <c r="F1605" s="3">
        <f>IFERROR(__xludf.DUMMYFUNCTION("""COMPUTED_VALUE"""),61175.0)</f>
        <v>61175</v>
      </c>
      <c r="G1605" s="2" t="str">
        <f>IFERROR(__xludf.DUMMYFUNCTION("""COMPUTED_VALUE"""),"Rajni Malla")</f>
        <v>Rajni Malla</v>
      </c>
      <c r="H1605" s="2" t="str">
        <f>IFERROR(__xludf.DUMMYFUNCTION("""COMPUTED_VALUE"""),"GPO Box: 8643, Kathmandu Tel: 4426484")</f>
        <v>GPO Box: 8643, Kathmandu Tel: 4426484</v>
      </c>
      <c r="I1605" s="2" t="str">
        <f>IFERROR(__xludf.DUMMYFUNCTION("""COMPUTED_VALUE"""),"28o 16' 31""")</f>
        <v>28o 16' 31"</v>
      </c>
      <c r="J1605" s="2" t="str">
        <f>IFERROR(__xludf.DUMMYFUNCTION("""COMPUTED_VALUE"""),"28o 19' 14""")</f>
        <v>28o 19' 14"</v>
      </c>
      <c r="K1605" s="2" t="str">
        <f>IFERROR(__xludf.DUMMYFUNCTION("""COMPUTED_VALUE"""),"82o 45' 23""")</f>
        <v>82o 45' 23"</v>
      </c>
      <c r="L1605" s="2" t="str">
        <f>IFERROR(__xludf.DUMMYFUNCTION("""COMPUTED_VALUE"""),"82o 46' 36""")</f>
        <v>82o 46' 36"</v>
      </c>
      <c r="M1605" s="2" t="str">
        <f>IFERROR(__xludf.DUMMYFUNCTION("""COMPUTED_VALUE"""),"Gumchal,Fagaam (Rolpa)")</f>
        <v>Gumchal,Fagaam (Rolpa)</v>
      </c>
    </row>
    <row r="1606">
      <c r="A1606" s="2">
        <f>IFERROR(__xludf.DUMMYFUNCTION("""COMPUTED_VALUE"""),1605.0)</f>
        <v>1605</v>
      </c>
      <c r="B1606" s="2" t="str">
        <f>IFERROR(__xludf.DUMMYFUNCTION("""COMPUTED_VALUE"""),"Super Nisi Khola HPP")</f>
        <v>Super Nisi Khola HPP</v>
      </c>
      <c r="C1606" s="2">
        <f>IFERROR(__xludf.DUMMYFUNCTION("""COMPUTED_VALUE"""),2.5)</f>
        <v>2.5</v>
      </c>
      <c r="D1606" s="2" t="str">
        <f>IFERROR(__xludf.DUMMYFUNCTION("""COMPUTED_VALUE"""),"Nisi")</f>
        <v>Nisi</v>
      </c>
      <c r="E1606" s="2">
        <f>IFERROR(__xludf.DUMMYFUNCTION("""COMPUTED_VALUE"""),1643.0)</f>
        <v>1643</v>
      </c>
      <c r="F1606" s="3">
        <f>IFERROR(__xludf.DUMMYFUNCTION("""COMPUTED_VALUE"""),61175.0)</f>
        <v>61175</v>
      </c>
      <c r="G1606" s="2" t="str">
        <f>IFERROR(__xludf.DUMMYFUNCTION("""COMPUTED_VALUE"""),"Tulasingh Ghartimagar")</f>
        <v>Tulasingh Ghartimagar</v>
      </c>
      <c r="H1606" s="2" t="str">
        <f>IFERROR(__xludf.DUMMYFUNCTION("""COMPUTED_VALUE"""),"Nisi-3, Baglung, Tel: 4287761, 9741230816")</f>
        <v>Nisi-3, Baglung, Tel: 4287761, 9741230816</v>
      </c>
      <c r="I1606" s="2" t="str">
        <f>IFERROR(__xludf.DUMMYFUNCTION("""COMPUTED_VALUE"""),"28o 24' 34""")</f>
        <v>28o 24' 34"</v>
      </c>
      <c r="J1606" s="2" t="str">
        <f>IFERROR(__xludf.DUMMYFUNCTION("""COMPUTED_VALUE"""),"28o 25' 34""")</f>
        <v>28o 25' 34"</v>
      </c>
      <c r="K1606" s="2" t="str">
        <f>IFERROR(__xludf.DUMMYFUNCTION("""COMPUTED_VALUE"""),"82o 58' 08""")</f>
        <v>82o 58' 08"</v>
      </c>
      <c r="L1606" s="2" t="str">
        <f>IFERROR(__xludf.DUMMYFUNCTION("""COMPUTED_VALUE"""),"82o 59' 00""")</f>
        <v>82o 59' 00"</v>
      </c>
      <c r="M1606" s="2" t="str">
        <f>IFERROR(__xludf.DUMMYFUNCTION("""COMPUTED_VALUE"""),"Nisi (Baglung)")</f>
        <v>Nisi (Baglung)</v>
      </c>
    </row>
    <row r="1607">
      <c r="A1607" s="2">
        <f>IFERROR(__xludf.DUMMYFUNCTION("""COMPUTED_VALUE"""),1606.0)</f>
        <v>1606</v>
      </c>
      <c r="B1607" s="2" t="str">
        <f>IFERROR(__xludf.DUMMYFUNCTION("""COMPUTED_VALUE"""),"Upper Tadi-Ghyanphedi HPP")</f>
        <v>Upper Tadi-Ghyanphedi HPP</v>
      </c>
      <c r="C1607" s="2">
        <f>IFERROR(__xludf.DUMMYFUNCTION("""COMPUTED_VALUE"""),4.54)</f>
        <v>4.54</v>
      </c>
      <c r="D1607" s="2" t="str">
        <f>IFERROR(__xludf.DUMMYFUNCTION("""COMPUTED_VALUE"""),"Tadi Khola")</f>
        <v>Tadi Khola</v>
      </c>
      <c r="E1607" s="2">
        <f>IFERROR(__xludf.DUMMYFUNCTION("""COMPUTED_VALUE"""),1655.0)</f>
        <v>1655</v>
      </c>
      <c r="F1607" s="3">
        <f>IFERROR(__xludf.DUMMYFUNCTION("""COMPUTED_VALUE"""),61175.0)</f>
        <v>61175</v>
      </c>
      <c r="G1607" s="2" t="str">
        <f>IFERROR(__xludf.DUMMYFUNCTION("""COMPUTED_VALUE"""),"Chitralal Bishwakarma, Bima Nepal,Basudev Ray, Sriju Ghatane Biswakarma")</f>
        <v>Chitralal Bishwakarma, Bima Nepal,Basudev Ray, Sriju Ghatane Biswakarma</v>
      </c>
      <c r="H1607" s="2" t="str">
        <f>IFERROR(__xludf.DUMMYFUNCTION("""COMPUTED_VALUE"""),"Lalitpur Sub-metropolitan Municipality-17, Lalitpur, Tel: 9841505699, 
01-5009160")</f>
        <v>Lalitpur Sub-metropolitan Municipality-17, Lalitpur, Tel: 9841505699, 
01-5009160</v>
      </c>
      <c r="I1607" s="2" t="str">
        <f>IFERROR(__xludf.DUMMYFUNCTION("""COMPUTED_VALUE"""),"27o 59' 03""")</f>
        <v>27o 59' 03"</v>
      </c>
      <c r="J1607" s="2" t="str">
        <f>IFERROR(__xludf.DUMMYFUNCTION("""COMPUTED_VALUE"""),"28o 00' 40""")</f>
        <v>28o 00' 40"</v>
      </c>
      <c r="K1607" s="2" t="str">
        <f>IFERROR(__xludf.DUMMYFUNCTION("""COMPUTED_VALUE"""),"85o 26' 40""")</f>
        <v>85o 26' 40"</v>
      </c>
      <c r="L1607" s="2" t="str">
        <f>IFERROR(__xludf.DUMMYFUNCTION("""COMPUTED_VALUE"""),"85o 27' 55""")</f>
        <v>85o 27' 55"</v>
      </c>
      <c r="M1607" s="2" t="str">
        <f>IFERROR(__xludf.DUMMYFUNCTION("""COMPUTED_VALUE"""),"Dhyangphedi (Nuwakot)")</f>
        <v>Dhyangphedi (Nuwakot)</v>
      </c>
    </row>
    <row r="1608">
      <c r="A1608" s="2">
        <f>IFERROR(__xludf.DUMMYFUNCTION("""COMPUTED_VALUE"""),1607.0)</f>
        <v>1607</v>
      </c>
      <c r="B1608" s="2" t="str">
        <f>IFERROR(__xludf.DUMMYFUNCTION("""COMPUTED_VALUE"""),"Upper Mailung Khola HPP")</f>
        <v>Upper Mailung Khola HPP</v>
      </c>
      <c r="C1608" s="2">
        <f>IFERROR(__xludf.DUMMYFUNCTION("""COMPUTED_VALUE"""),4.84)</f>
        <v>4.84</v>
      </c>
      <c r="D1608" s="2" t="str">
        <f>IFERROR(__xludf.DUMMYFUNCTION("""COMPUTED_VALUE"""),"Molung")</f>
        <v>Molung</v>
      </c>
      <c r="E1608" s="2">
        <f>IFERROR(__xludf.DUMMYFUNCTION("""COMPUTED_VALUE"""),1692.0)</f>
        <v>1692</v>
      </c>
      <c r="F1608" s="3">
        <f>IFERROR(__xludf.DUMMYFUNCTION("""COMPUTED_VALUE"""),61182.0)</f>
        <v>61182</v>
      </c>
      <c r="G1608" s="2" t="str">
        <f>IFERROR(__xludf.DUMMYFUNCTION("""COMPUTED_VALUE"""),"Ram Bahadur Karki")</f>
        <v>Ram Bahadur Karki</v>
      </c>
      <c r="H1608" s="2" t="str">
        <f>IFERROR(__xludf.DUMMYFUNCTION("""COMPUTED_VALUE"""),"Harkapur VDC, Okhaldhunga")</f>
        <v>Harkapur VDC, Okhaldhunga</v>
      </c>
      <c r="I1608" s="2" t="str">
        <f>IFERROR(__xludf.DUMMYFUNCTION("""COMPUTED_VALUE"""),"27o 21' 20""")</f>
        <v>27o 21' 20"</v>
      </c>
      <c r="J1608" s="2" t="str">
        <f>IFERROR(__xludf.DUMMYFUNCTION("""COMPUTED_VALUE"""),"27o 22' 38""")</f>
        <v>27o 22' 38"</v>
      </c>
      <c r="K1608" s="2" t="str">
        <f>IFERROR(__xludf.DUMMYFUNCTION("""COMPUTED_VALUE"""),"86o 25' 42""")</f>
        <v>86o 25' 42"</v>
      </c>
      <c r="L1608" s="2" t="str">
        <f>IFERROR(__xludf.DUMMYFUNCTION("""COMPUTED_VALUE"""),"86o 26' 38""")</f>
        <v>86o 26' 38"</v>
      </c>
      <c r="M1608" s="2" t="str">
        <f>IFERROR(__xludf.DUMMYFUNCTION("""COMPUTED_VALUE"""),"Prapchan,Ragadeep,Shreechaur (Okhaldhunga)")</f>
        <v>Prapchan,Ragadeep,Shreechaur (Okhaldhunga)</v>
      </c>
    </row>
    <row r="1609">
      <c r="A1609" s="2">
        <f>IFERROR(__xludf.DUMMYFUNCTION("""COMPUTED_VALUE"""),1608.0)</f>
        <v>1608</v>
      </c>
      <c r="B1609" s="2" t="str">
        <f>IFERROR(__xludf.DUMMYFUNCTION("""COMPUTED_VALUE"""),"Upper Malun Khola HPP")</f>
        <v>Upper Malun Khola HPP</v>
      </c>
      <c r="C1609" s="2">
        <f>IFERROR(__xludf.DUMMYFUNCTION("""COMPUTED_VALUE"""),4.84)</f>
        <v>4.84</v>
      </c>
      <c r="D1609" s="2" t="str">
        <f>IFERROR(__xludf.DUMMYFUNCTION("""COMPUTED_VALUE"""),"Malun")</f>
        <v>Malun</v>
      </c>
      <c r="E1609" s="2">
        <f>IFERROR(__xludf.DUMMYFUNCTION("""COMPUTED_VALUE"""),1692.0)</f>
        <v>1692</v>
      </c>
      <c r="F1609" s="3">
        <f>IFERROR(__xludf.DUMMYFUNCTION("""COMPUTED_VALUE"""),61182.0)</f>
        <v>61182</v>
      </c>
      <c r="G1609" s="2" t="str">
        <f>IFERROR(__xludf.DUMMYFUNCTION("""COMPUTED_VALUE"""),"Ram Bahadur Karki")</f>
        <v>Ram Bahadur Karki</v>
      </c>
      <c r="H1609" s="2" t="str">
        <f>IFERROR(__xludf.DUMMYFUNCTION("""COMPUTED_VALUE"""),"Harkapur VDC, Okhaldhunga")</f>
        <v>Harkapur VDC, Okhaldhunga</v>
      </c>
      <c r="I1609" s="2" t="str">
        <f>IFERROR(__xludf.DUMMYFUNCTION("""COMPUTED_VALUE"""),"27o 21' 20""")</f>
        <v>27o 21' 20"</v>
      </c>
      <c r="J1609" s="2" t="str">
        <f>IFERROR(__xludf.DUMMYFUNCTION("""COMPUTED_VALUE"""),"27o 22' 38""")</f>
        <v>27o 22' 38"</v>
      </c>
      <c r="K1609" s="2" t="str">
        <f>IFERROR(__xludf.DUMMYFUNCTION("""COMPUTED_VALUE"""),"86o 25' 42""")</f>
        <v>86o 25' 42"</v>
      </c>
      <c r="L1609" s="2" t="str">
        <f>IFERROR(__xludf.DUMMYFUNCTION("""COMPUTED_VALUE"""),"86o 26' 38""")</f>
        <v>86o 26' 38"</v>
      </c>
      <c r="M1609" s="2" t="str">
        <f>IFERROR(__xludf.DUMMYFUNCTION("""COMPUTED_VALUE"""),"Prapchan,Ragadeep,Shreechaur (Okhaldhunga)")</f>
        <v>Prapchan,Ragadeep,Shreechaur (Okhaldhunga)</v>
      </c>
    </row>
    <row r="1610">
      <c r="A1610" s="2">
        <f>IFERROR(__xludf.DUMMYFUNCTION("""COMPUTED_VALUE"""),1609.0)</f>
        <v>1609</v>
      </c>
      <c r="B1610" s="2" t="str">
        <f>IFERROR(__xludf.DUMMYFUNCTION("""COMPUTED_VALUE"""),"Irkhuwa Khola HPP")</f>
        <v>Irkhuwa Khola HPP</v>
      </c>
      <c r="C1610" s="2">
        <f>IFERROR(__xludf.DUMMYFUNCTION("""COMPUTED_VALUE"""),3.85)</f>
        <v>3.85</v>
      </c>
      <c r="D1610" s="2" t="str">
        <f>IFERROR(__xludf.DUMMYFUNCTION("""COMPUTED_VALUE"""),"Irkhuwa Khola")</f>
        <v>Irkhuwa Khola</v>
      </c>
      <c r="E1610" s="2">
        <f>IFERROR(__xludf.DUMMYFUNCTION("""COMPUTED_VALUE"""),1698.0)</f>
        <v>1698</v>
      </c>
      <c r="F1610" s="3">
        <f>IFERROR(__xludf.DUMMYFUNCTION("""COMPUTED_VALUE"""),61182.0)</f>
        <v>61182</v>
      </c>
      <c r="G1610" s="2" t="str">
        <f>IFERROR(__xludf.DUMMYFUNCTION("""COMPUTED_VALUE"""),"Dharma Raj Rai, Dipak Rai, Bikram Bista")</f>
        <v>Dharma Raj Rai, Dipak Rai, Bikram Bista</v>
      </c>
      <c r="H1610" s="2" t="str">
        <f>IFERROR(__xludf.DUMMYFUNCTION("""COMPUTED_VALUE"""),"GPO Box: 12756, Kathmandu Tel: 4410160")</f>
        <v>GPO Box: 12756, Kathmandu Tel: 4410160</v>
      </c>
      <c r="I1610" s="2" t="str">
        <f>IFERROR(__xludf.DUMMYFUNCTION("""COMPUTED_VALUE"""),"27o 22' 42""")</f>
        <v>27o 22' 42"</v>
      </c>
      <c r="J1610" s="2" t="str">
        <f>IFERROR(__xludf.DUMMYFUNCTION("""COMPUTED_VALUE"""),"27o 23' 50""")</f>
        <v>27o 23' 50"</v>
      </c>
      <c r="K1610" s="2" t="str">
        <f>IFERROR(__xludf.DUMMYFUNCTION("""COMPUTED_VALUE"""),"87o 02' 03""")</f>
        <v>87o 02' 03"</v>
      </c>
      <c r="L1610" s="2" t="str">
        <f>IFERROR(__xludf.DUMMYFUNCTION("""COMPUTED_VALUE"""),"87o 03' 45""")</f>
        <v>87o 03' 45"</v>
      </c>
      <c r="M1610" s="2" t="str">
        <f>IFERROR(__xludf.DUMMYFUNCTION("""COMPUTED_VALUE"""),"Khatamma (Bhojpur)")</f>
        <v>Khatamma (Bhojpur)</v>
      </c>
    </row>
    <row r="1611">
      <c r="A1611" s="2">
        <f>IFERROR(__xludf.DUMMYFUNCTION("""COMPUTED_VALUE"""),1610.0)</f>
        <v>1610</v>
      </c>
      <c r="B1611" s="2" t="str">
        <f>IFERROR(__xludf.DUMMYFUNCTION("""COMPUTED_VALUE"""),"Lower malun Khola HPP")</f>
        <v>Lower malun Khola HPP</v>
      </c>
      <c r="C1611" s="2">
        <f>IFERROR(__xludf.DUMMYFUNCTION("""COMPUTED_VALUE"""),4.945)</f>
        <v>4.945</v>
      </c>
      <c r="D1611" s="2" t="str">
        <f>IFERROR(__xludf.DUMMYFUNCTION("""COMPUTED_VALUE"""),"Malun")</f>
        <v>Malun</v>
      </c>
      <c r="E1611" s="2">
        <f>IFERROR(__xludf.DUMMYFUNCTION("""COMPUTED_VALUE"""),1821.0)</f>
        <v>1821</v>
      </c>
      <c r="F1611" s="3">
        <f>IFERROR(__xludf.DUMMYFUNCTION("""COMPUTED_VALUE"""),61185.0)</f>
        <v>61185</v>
      </c>
      <c r="G1611" s="2" t="str">
        <f>IFERROR(__xludf.DUMMYFUNCTION("""COMPUTED_VALUE"""),"ANK Hydropower Company Pvt Ltd")</f>
        <v>ANK Hydropower Company Pvt Ltd</v>
      </c>
      <c r="H1611" s="2" t="str">
        <f>IFERROR(__xludf.DUMMYFUNCTION("""COMPUTED_VALUE"""),"Rabibhavan-14, Kathmandu")</f>
        <v>Rabibhavan-14, Kathmandu</v>
      </c>
      <c r="I1611" s="2" t="str">
        <f>IFERROR(__xludf.DUMMYFUNCTION("""COMPUTED_VALUE"""),"27o 15' 48""")</f>
        <v>27o 15' 48"</v>
      </c>
      <c r="J1611" s="2" t="str">
        <f>IFERROR(__xludf.DUMMYFUNCTION("""COMPUTED_VALUE"""),"27o 19' 07""")</f>
        <v>27o 19' 07"</v>
      </c>
      <c r="K1611" s="2" t="str">
        <f>IFERROR(__xludf.DUMMYFUNCTION("""COMPUTED_VALUE"""),"86o 26' 03""")</f>
        <v>86o 26' 03"</v>
      </c>
      <c r="L1611" s="2" t="str">
        <f>IFERROR(__xludf.DUMMYFUNCTION("""COMPUTED_VALUE"""),"86o 27' 14""")</f>
        <v>86o 27' 14"</v>
      </c>
      <c r="M1611" s="2" t="str">
        <f>IFERROR(__xludf.DUMMYFUNCTION("""COMPUTED_VALUE"""),"Chyanam,Katunje,Mulkharka,Betini,Kuntadevi (Okhaldhunga)")</f>
        <v>Chyanam,Katunje,Mulkharka,Betini,Kuntadevi (Okhaldhunga)</v>
      </c>
    </row>
    <row r="1612">
      <c r="A1612" s="2">
        <f>IFERROR(__xludf.DUMMYFUNCTION("""COMPUTED_VALUE"""),1611.0)</f>
        <v>1611</v>
      </c>
      <c r="B1612" s="2" t="str">
        <f>IFERROR(__xludf.DUMMYFUNCTION("""COMPUTED_VALUE"""),"Bhulbhule Marsyangdi HPP")</f>
        <v>Bhulbhule Marsyangdi HPP</v>
      </c>
      <c r="C1612" s="2">
        <f>IFERROR(__xludf.DUMMYFUNCTION("""COMPUTED_VALUE"""),21.5)</f>
        <v>21.5</v>
      </c>
      <c r="D1612" s="2" t="str">
        <f>IFERROR(__xludf.DUMMYFUNCTION("""COMPUTED_VALUE"""),"Marsyangdi")</f>
        <v>Marsyangdi</v>
      </c>
      <c r="E1612" s="2">
        <f>IFERROR(__xludf.DUMMYFUNCTION("""COMPUTED_VALUE"""),1867.0)</f>
        <v>1867</v>
      </c>
      <c r="F1612" s="3">
        <f>IFERROR(__xludf.DUMMYFUNCTION("""COMPUTED_VALUE"""),61188.0)</f>
        <v>61188</v>
      </c>
      <c r="G1612" s="2" t="str">
        <f>IFERROR(__xludf.DUMMYFUNCTION("""COMPUTED_VALUE"""),"Bhulbhule Marsyangdi Hydropower Pvt Ltd")</f>
        <v>Bhulbhule Marsyangdi Hydropower Pvt Ltd</v>
      </c>
      <c r="H1612" s="2" t="str">
        <f>IFERROR(__xludf.DUMMYFUNCTION("""COMPUTED_VALUE"""),"Balaju, Kathmandu Tel: , 9851070957,9851039029")</f>
        <v>Balaju, Kathmandu Tel: , 9851070957,9851039029</v>
      </c>
      <c r="I1612" s="2" t="str">
        <f>IFERROR(__xludf.DUMMYFUNCTION("""COMPUTED_VALUE"""),"28o 16' 00""")</f>
        <v>28o 16' 00"</v>
      </c>
      <c r="J1612" s="2" t="str">
        <f>IFERROR(__xludf.DUMMYFUNCTION("""COMPUTED_VALUE"""),"28o 17' 07""")</f>
        <v>28o 17' 07"</v>
      </c>
      <c r="K1612" s="2" t="str">
        <f>IFERROR(__xludf.DUMMYFUNCTION("""COMPUTED_VALUE"""),"84o 21' 36""")</f>
        <v>84o 21' 36"</v>
      </c>
      <c r="L1612" s="2" t="str">
        <f>IFERROR(__xludf.DUMMYFUNCTION("""COMPUTED_VALUE"""),"84o 22' 02""")</f>
        <v>84o 22' 02"</v>
      </c>
      <c r="M1612" s="2" t="str">
        <f>IFERROR(__xludf.DUMMYFUNCTION("""COMPUTED_VALUE"""),"Bhulbhule,Khudi,Simpani (Lamjung)")</f>
        <v>Bhulbhule,Khudi,Simpani (Lamjung)</v>
      </c>
    </row>
    <row r="1613">
      <c r="A1613" s="2">
        <f>IFERROR(__xludf.DUMMYFUNCTION("""COMPUTED_VALUE"""),1612.0)</f>
        <v>1612</v>
      </c>
      <c r="B1613" s="2" t="str">
        <f>IFERROR(__xludf.DUMMYFUNCTION("""COMPUTED_VALUE"""),"Pokali Khola HPP")</f>
        <v>Pokali Khola HPP</v>
      </c>
      <c r="C1613" s="2">
        <f>IFERROR(__xludf.DUMMYFUNCTION("""COMPUTED_VALUE"""),5.98)</f>
        <v>5.98</v>
      </c>
      <c r="D1613" s="2" t="str">
        <f>IFERROR(__xludf.DUMMYFUNCTION("""COMPUTED_VALUE"""),"Pokali")</f>
        <v>Pokali</v>
      </c>
      <c r="E1613" s="2">
        <f>IFERROR(__xludf.DUMMYFUNCTION("""COMPUTED_VALUE"""),1895.0)</f>
        <v>1895</v>
      </c>
      <c r="F1613" s="3">
        <f>IFERROR(__xludf.DUMMYFUNCTION("""COMPUTED_VALUE"""),61192.0)</f>
        <v>61192</v>
      </c>
      <c r="G1613" s="2" t="str">
        <f>IFERROR(__xludf.DUMMYFUNCTION("""COMPUTED_VALUE"""),"Lothar Grosche")</f>
        <v>Lothar Grosche</v>
      </c>
      <c r="H1613" s="2" t="str">
        <f>IFERROR(__xludf.DUMMYFUNCTION("""COMPUTED_VALUE"""),"ITECO Nepal Pvt Ltd, GPO Box: 2147, Kathmandu")</f>
        <v>ITECO Nepal Pvt Ltd, GPO Box: 2147, Kathmandu</v>
      </c>
      <c r="I1613" s="2" t="str">
        <f>IFERROR(__xludf.DUMMYFUNCTION("""COMPUTED_VALUE"""),"27o 25' 00""")</f>
        <v>27o 25' 00"</v>
      </c>
      <c r="J1613" s="2" t="str">
        <f>IFERROR(__xludf.DUMMYFUNCTION("""COMPUTED_VALUE"""),"27o 25' 50""")</f>
        <v>27o 25' 50"</v>
      </c>
      <c r="K1613" s="2" t="str">
        <f>IFERROR(__xludf.DUMMYFUNCTION("""COMPUTED_VALUE"""),"86o 16' 00""")</f>
        <v>86o 16' 00"</v>
      </c>
      <c r="L1613" s="2" t="str">
        <f>IFERROR(__xludf.DUMMYFUNCTION("""COMPUTED_VALUE"""),"86o 17' 15""")</f>
        <v>86o 17' 15"</v>
      </c>
      <c r="M1613" s="2" t="str">
        <f>IFERROR(__xludf.DUMMYFUNCTION("""COMPUTED_VALUE"""),"Pokli (Okhaldhunga)")</f>
        <v>Pokli (Okhaldhunga)</v>
      </c>
    </row>
    <row r="1614">
      <c r="A1614" s="2">
        <f>IFERROR(__xludf.DUMMYFUNCTION("""COMPUTED_VALUE"""),1613.0)</f>
        <v>1613</v>
      </c>
      <c r="B1614" s="2" t="str">
        <f>IFERROR(__xludf.DUMMYFUNCTION("""COMPUTED_VALUE"""),"Phatan Gad HPP")</f>
        <v>Phatan Gad HPP</v>
      </c>
      <c r="C1614" s="2">
        <f>IFERROR(__xludf.DUMMYFUNCTION("""COMPUTED_VALUE"""),5.0)</f>
        <v>5</v>
      </c>
      <c r="D1614" s="2" t="str">
        <f>IFERROR(__xludf.DUMMYFUNCTION("""COMPUTED_VALUE"""),"Phatan Gad")</f>
        <v>Phatan Gad</v>
      </c>
      <c r="E1614" s="2">
        <f>IFERROR(__xludf.DUMMYFUNCTION("""COMPUTED_VALUE"""),1994.0)</f>
        <v>1994</v>
      </c>
      <c r="F1614" s="3">
        <f>IFERROR(__xludf.DUMMYFUNCTION("""COMPUTED_VALUE"""),61196.0)</f>
        <v>61196</v>
      </c>
      <c r="G1614" s="2" t="str">
        <f>IFERROR(__xludf.DUMMYFUNCTION("""COMPUTED_VALUE"""),"Neelam Pratap Singh")</f>
        <v>Neelam Pratap Singh</v>
      </c>
      <c r="H1614" s="2" t="str">
        <f>IFERROR(__xludf.DUMMYFUNCTION("""COMPUTED_VALUE"""),"Hetauda Municipality-3, Makwanpur, Tel: 4428753")</f>
        <v>Hetauda Municipality-3, Makwanpur, Tel: 4428753</v>
      </c>
      <c r="I1614" s="2" t="str">
        <f>IFERROR(__xludf.DUMMYFUNCTION("""COMPUTED_VALUE"""),"29o 56' 29""")</f>
        <v>29o 56' 29"</v>
      </c>
      <c r="J1614" s="2" t="str">
        <f>IFERROR(__xludf.DUMMYFUNCTION("""COMPUTED_VALUE"""),"29o 57' 34""")</f>
        <v>29o 57' 34"</v>
      </c>
      <c r="K1614" s="2" t="str">
        <f>IFERROR(__xludf.DUMMYFUNCTION("""COMPUTED_VALUE"""),"80o 40' 00""")</f>
        <v>80o 40' 00"</v>
      </c>
      <c r="L1614" s="2" t="str">
        <f>IFERROR(__xludf.DUMMYFUNCTION("""COMPUTED_VALUE"""),"80o 43' 12""")</f>
        <v>80o 43' 12"</v>
      </c>
      <c r="M1614" s="2" t="str">
        <f>IFERROR(__xludf.DUMMYFUNCTION("""COMPUTED_VALUE"""),"Ralpa,Sunsera (Darchula)")</f>
        <v>Ralpa,Sunsera (Darchula)</v>
      </c>
    </row>
    <row r="1615">
      <c r="A1615" s="2">
        <f>IFERROR(__xludf.DUMMYFUNCTION("""COMPUTED_VALUE"""),1614.0)</f>
        <v>1614</v>
      </c>
      <c r="B1615" s="2" t="str">
        <f>IFERROR(__xludf.DUMMYFUNCTION("""COMPUTED_VALUE"""),"Daram Khola HPP")</f>
        <v>Daram Khola HPP</v>
      </c>
      <c r="C1615" s="2">
        <f>IFERROR(__xludf.DUMMYFUNCTION("""COMPUTED_VALUE"""),5.0)</f>
        <v>5</v>
      </c>
      <c r="D1615" s="2" t="str">
        <f>IFERROR(__xludf.DUMMYFUNCTION("""COMPUTED_VALUE"""),"Daram")</f>
        <v>Daram</v>
      </c>
      <c r="E1615" s="2">
        <f>IFERROR(__xludf.DUMMYFUNCTION("""COMPUTED_VALUE"""),1997.0)</f>
        <v>1997</v>
      </c>
      <c r="F1615" s="3">
        <f>IFERROR(__xludf.DUMMYFUNCTION("""COMPUTED_VALUE"""),61196.0)</f>
        <v>61196</v>
      </c>
      <c r="G1615" s="2" t="str">
        <f>IFERROR(__xludf.DUMMYFUNCTION("""COMPUTED_VALUE"""),"Akhil Trading Concern Pvt Ltd")</f>
        <v>Akhil Trading Concern Pvt Ltd</v>
      </c>
      <c r="H1615" s="2" t="str">
        <f>IFERROR(__xludf.DUMMYFUNCTION("""COMPUTED_VALUE"""),"Kathmandu")</f>
        <v>Kathmandu</v>
      </c>
      <c r="I1615" s="2" t="str">
        <f>IFERROR(__xludf.DUMMYFUNCTION("""COMPUTED_VALUE"""),"28o 11' 20""")</f>
        <v>28o 11' 20"</v>
      </c>
      <c r="J1615" s="2" t="str">
        <f>IFERROR(__xludf.DUMMYFUNCTION("""COMPUTED_VALUE"""),"28o 12' 30""")</f>
        <v>28o 12' 30"</v>
      </c>
      <c r="K1615" s="2" t="str">
        <f>IFERROR(__xludf.DUMMYFUNCTION("""COMPUTED_VALUE"""),"83o 18' 09""")</f>
        <v>83o 18' 09"</v>
      </c>
      <c r="L1615" s="2" t="str">
        <f>IFERROR(__xludf.DUMMYFUNCTION("""COMPUTED_VALUE"""),"83o 20' 59""")</f>
        <v>83o 20' 59"</v>
      </c>
      <c r="M1615" s="2" t="str">
        <f>IFERROR(__xludf.DUMMYFUNCTION("""COMPUTED_VALUE"""),"Kandebas,Righa (Baglung)")</f>
        <v>Kandebas,Righa (Baglung)</v>
      </c>
    </row>
    <row r="1616">
      <c r="A1616" s="2">
        <f>IFERROR(__xludf.DUMMYFUNCTION("""COMPUTED_VALUE"""),1615.0)</f>
        <v>1615</v>
      </c>
      <c r="B1616" s="2" t="str">
        <f>IFERROR(__xludf.DUMMYFUNCTION("""COMPUTED_VALUE"""),"Mugu Karnali(Rara) Hydropower Projec t")</f>
        <v>Mugu Karnali(Rara) Hydropower Projec t</v>
      </c>
      <c r="C1616" s="2">
        <f>IFERROR(__xludf.DUMMYFUNCTION("""COMPUTED_VALUE"""),196.0)</f>
        <v>196</v>
      </c>
      <c r="D1616" s="2" t="str">
        <f>IFERROR(__xludf.DUMMYFUNCTION("""COMPUTED_VALUE"""),"Mugu Karnali")</f>
        <v>Mugu Karnali</v>
      </c>
      <c r="E1616" s="2">
        <f>IFERROR(__xludf.DUMMYFUNCTION("""COMPUTED_VALUE"""),2043.0)</f>
        <v>2043</v>
      </c>
      <c r="F1616" s="3">
        <f>IFERROR(__xludf.DUMMYFUNCTION("""COMPUTED_VALUE"""),61206.0)</f>
        <v>61206</v>
      </c>
      <c r="G1616" s="2" t="str">
        <f>IFERROR(__xludf.DUMMYFUNCTION("""COMPUTED_VALUE"""),"Tridev Hydropower Company Pvt Ltd")</f>
        <v>Tridev Hydropower Company Pvt Ltd</v>
      </c>
      <c r="H1616" s="2" t="str">
        <f>IFERROR(__xludf.DUMMYFUNCTION("""COMPUTED_VALUE"""),"Naya Baneswar-10, Kathmandu, Tel: 9841804074")</f>
        <v>Naya Baneswar-10, Kathmandu, Tel: 9841804074</v>
      </c>
      <c r="I1616" s="2" t="str">
        <f>IFERROR(__xludf.DUMMYFUNCTION("""COMPUTED_VALUE"""),"29o 34' 00""")</f>
        <v>29o 34' 00"</v>
      </c>
      <c r="J1616" s="2" t="str">
        <f>IFERROR(__xludf.DUMMYFUNCTION("""COMPUTED_VALUE"""),"29o 37' 30""")</f>
        <v>29o 37' 30"</v>
      </c>
      <c r="K1616" s="2" t="str">
        <f>IFERROR(__xludf.DUMMYFUNCTION("""COMPUTED_VALUE"""),"82o 00' 00""")</f>
        <v>82o 00' 00"</v>
      </c>
      <c r="L1616" s="2" t="str">
        <f>IFERROR(__xludf.DUMMYFUNCTION("""COMPUTED_VALUE"""),"82o 07' 30""")</f>
        <v>82o 07' 30"</v>
      </c>
      <c r="M1616" s="2" t="str">
        <f>IFERROR(__xludf.DUMMYFUNCTION("""COMPUTED_VALUE"""),"Shree Nagar,Rara(Gilas),Ruga,Jima (Mugu)")</f>
        <v>Shree Nagar,Rara(Gilas),Ruga,Jima (Mugu)</v>
      </c>
    </row>
    <row r="1617">
      <c r="A1617" s="2">
        <f>IFERROR(__xludf.DUMMYFUNCTION("""COMPUTED_VALUE"""),1616.0)</f>
        <v>1616</v>
      </c>
      <c r="B1617" s="2" t="str">
        <f>IFERROR(__xludf.DUMMYFUNCTION("""COMPUTED_VALUE"""),"Madi Nadi HPP")</f>
        <v>Madi Nadi HPP</v>
      </c>
      <c r="C1617" s="2">
        <f>IFERROR(__xludf.DUMMYFUNCTION("""COMPUTED_VALUE"""),13.0)</f>
        <v>13</v>
      </c>
      <c r="D1617" s="2" t="str">
        <f>IFERROR(__xludf.DUMMYFUNCTION("""COMPUTED_VALUE"""),"Madi Khola")</f>
        <v>Madi Khola</v>
      </c>
      <c r="E1617" s="2">
        <f>IFERROR(__xludf.DUMMYFUNCTION("""COMPUTED_VALUE"""),2064.0)</f>
        <v>2064</v>
      </c>
      <c r="F1617" s="3">
        <f>IFERROR(__xludf.DUMMYFUNCTION("""COMPUTED_VALUE"""),61207.0)</f>
        <v>61207</v>
      </c>
      <c r="G1617" s="2" t="str">
        <f>IFERROR(__xludf.DUMMYFUNCTION("""COMPUTED_VALUE"""),"Sidhkali Power Pvt Ltd")</f>
        <v>Sidhkali Power Pvt Ltd</v>
      </c>
      <c r="H1617" s="2" t="str">
        <f>IFERROR(__xludf.DUMMYFUNCTION("""COMPUTED_VALUE"""),"GPO BOX;9106, Kathmandu")</f>
        <v>GPO BOX;9106, Kathmandu</v>
      </c>
      <c r="I1617" s="2" t="str">
        <f>IFERROR(__xludf.DUMMYFUNCTION("""COMPUTED_VALUE"""),"28o 08' 00""")</f>
        <v>28o 08' 00"</v>
      </c>
      <c r="J1617" s="2" t="str">
        <f>IFERROR(__xludf.DUMMYFUNCTION("""COMPUTED_VALUE"""),"28o 20' 00""")</f>
        <v>28o 20' 00"</v>
      </c>
      <c r="K1617" s="2" t="str">
        <f>IFERROR(__xludf.DUMMYFUNCTION("""COMPUTED_VALUE"""),"84o 06' 00""")</f>
        <v>84o 06' 00"</v>
      </c>
      <c r="L1617" s="2" t="str">
        <f>IFERROR(__xludf.DUMMYFUNCTION("""COMPUTED_VALUE"""),"84o 19' 00""")</f>
        <v>84o 19' 00"</v>
      </c>
      <c r="M1617" s="2" t="str">
        <f>IFERROR(__xludf.DUMMYFUNCTION("""COMPUTED_VALUE"""),"Kalika,Namarjung,Sildujure,Thumakodada (Kaski)")</f>
        <v>Kalika,Namarjung,Sildujure,Thumakodada (Kaski)</v>
      </c>
    </row>
    <row r="1618">
      <c r="A1618" s="2">
        <f>IFERROR(__xludf.DUMMYFUNCTION("""COMPUTED_VALUE"""),1617.0)</f>
        <v>1617</v>
      </c>
      <c r="B1618" s="2" t="str">
        <f>IFERROR(__xludf.DUMMYFUNCTION("""COMPUTED_VALUE"""),"Chauri Khola HPP")</f>
        <v>Chauri Khola HPP</v>
      </c>
      <c r="C1618" s="2">
        <f>IFERROR(__xludf.DUMMYFUNCTION("""COMPUTED_VALUE"""),3.745)</f>
        <v>3.745</v>
      </c>
      <c r="D1618" s="2" t="str">
        <f>IFERROR(__xludf.DUMMYFUNCTION("""COMPUTED_VALUE"""),"Chauri")</f>
        <v>Chauri</v>
      </c>
      <c r="E1618" s="2">
        <f>IFERROR(__xludf.DUMMYFUNCTION("""COMPUTED_VALUE"""),2065.0)</f>
        <v>2065</v>
      </c>
      <c r="F1618" s="3">
        <f>IFERROR(__xludf.DUMMYFUNCTION("""COMPUTED_VALUE"""),61207.0)</f>
        <v>61207</v>
      </c>
      <c r="G1618" s="2" t="str">
        <f>IFERROR(__xludf.DUMMYFUNCTION("""COMPUTED_VALUE"""),"Sidhakali Power Pvt Ltd")</f>
        <v>Sidhakali Power Pvt Ltd</v>
      </c>
      <c r="H1618" s="2" t="str">
        <f>IFERROR(__xludf.DUMMYFUNCTION("""COMPUTED_VALUE"""),"GPO Box: 9106, Kathmandu Tel: 016219439")</f>
        <v>GPO Box: 9106, Kathmandu Tel: 016219439</v>
      </c>
      <c r="I1618" s="2" t="str">
        <f>IFERROR(__xludf.DUMMYFUNCTION("""COMPUTED_VALUE"""),"27o 30' 00""")</f>
        <v>27o 30' 00"</v>
      </c>
      <c r="J1618" s="2" t="str">
        <f>IFERROR(__xludf.DUMMYFUNCTION("""COMPUTED_VALUE"""),"28o 33' 00""")</f>
        <v>28o 33' 00"</v>
      </c>
      <c r="K1618" s="2" t="str">
        <f>IFERROR(__xludf.DUMMYFUNCTION("""COMPUTED_VALUE"""),"85o 47' 45""")</f>
        <v>85o 47' 45"</v>
      </c>
      <c r="L1618" s="2" t="str">
        <f>IFERROR(__xludf.DUMMYFUNCTION("""COMPUTED_VALUE"""),"85o 51' 25""")</f>
        <v>85o 51' 25"</v>
      </c>
      <c r="M1618" s="2" t="str">
        <f>IFERROR(__xludf.DUMMYFUNCTION("""COMPUTED_VALUE"""),"Kartike Deurali,Madan Kundari (Kavrepalanchok)")</f>
        <v>Kartike Deurali,Madan Kundari (Kavrepalanchok)</v>
      </c>
    </row>
    <row r="1619">
      <c r="A1619" s="2">
        <f>IFERROR(__xludf.DUMMYFUNCTION("""COMPUTED_VALUE"""),1618.0)</f>
        <v>1618</v>
      </c>
      <c r="B1619" s="2" t="str">
        <f>IFERROR(__xludf.DUMMYFUNCTION("""COMPUTED_VALUE"""),"Sisuwa Khola HPP")</f>
        <v>Sisuwa Khola HPP</v>
      </c>
      <c r="C1619" s="2">
        <f>IFERROR(__xludf.DUMMYFUNCTION("""COMPUTED_VALUE"""),3.12)</f>
        <v>3.12</v>
      </c>
      <c r="D1619" s="2" t="str">
        <f>IFERROR(__xludf.DUMMYFUNCTION("""COMPUTED_VALUE"""),"Sisuwa")</f>
        <v>Sisuwa</v>
      </c>
      <c r="E1619" s="2">
        <f>IFERROR(__xludf.DUMMYFUNCTION("""COMPUTED_VALUE"""),2083.0)</f>
        <v>2083</v>
      </c>
      <c r="F1619" s="3">
        <f>IFERROR(__xludf.DUMMYFUNCTION("""COMPUTED_VALUE"""),61208.0)</f>
        <v>61208</v>
      </c>
      <c r="G1619" s="2" t="str">
        <f>IFERROR(__xludf.DUMMYFUNCTION("""COMPUTED_VALUE"""),"Bajrang Construction Company Pvt Ltd")</f>
        <v>Bajrang Construction Company Pvt Ltd</v>
      </c>
      <c r="H1619" s="2" t="str">
        <f>IFERROR(__xludf.DUMMYFUNCTION("""COMPUTED_VALUE"""),"Shantinagar, Kathmandu, Tel: 9741024171, 01-4620159")</f>
        <v>Shantinagar, Kathmandu, Tel: 9741024171, 01-4620159</v>
      </c>
      <c r="I1619" s="2" t="str">
        <f>IFERROR(__xludf.DUMMYFUNCTION("""COMPUTED_VALUE"""),"27o 28' 39""")</f>
        <v>27o 28' 39"</v>
      </c>
      <c r="J1619" s="2" t="str">
        <f>IFERROR(__xludf.DUMMYFUNCTION("""COMPUTED_VALUE"""),"27o 30' 00""")</f>
        <v>27o 30' 00"</v>
      </c>
      <c r="K1619" s="2" t="str">
        <f>IFERROR(__xludf.DUMMYFUNCTION("""COMPUTED_VALUE"""),"87o 01' 13""")</f>
        <v>87o 01' 13"</v>
      </c>
      <c r="L1619" s="2" t="str">
        <f>IFERROR(__xludf.DUMMYFUNCTION("""COMPUTED_VALUE"""),"87o 02' 25""")</f>
        <v>87o 02' 25"</v>
      </c>
      <c r="M1619" s="2" t="str">
        <f>IFERROR(__xludf.DUMMYFUNCTION("""COMPUTED_VALUE"""),"Bala,Sisuwakhola (Sankhuwasabha)")</f>
        <v>Bala,Sisuwakhola (Sankhuwasabha)</v>
      </c>
    </row>
    <row r="1620">
      <c r="A1620" s="2">
        <f>IFERROR(__xludf.DUMMYFUNCTION("""COMPUTED_VALUE"""),1619.0)</f>
        <v>1619</v>
      </c>
      <c r="B1620" s="2" t="str">
        <f>IFERROR(__xludf.DUMMYFUNCTION("""COMPUTED_VALUE"""),"Madme Khola HPP")</f>
        <v>Madme Khola HPP</v>
      </c>
      <c r="C1620" s="2">
        <f>IFERROR(__xludf.DUMMYFUNCTION("""COMPUTED_VALUE"""),14.0)</f>
        <v>14</v>
      </c>
      <c r="D1620" s="2" t="str">
        <f>IFERROR(__xludf.DUMMYFUNCTION("""COMPUTED_VALUE"""),"Madme Khola")</f>
        <v>Madme Khola</v>
      </c>
      <c r="E1620" s="2">
        <f>IFERROR(__xludf.DUMMYFUNCTION("""COMPUTED_VALUE"""),2084.0)</f>
        <v>2084</v>
      </c>
      <c r="F1620" s="3">
        <f>IFERROR(__xludf.DUMMYFUNCTION("""COMPUTED_VALUE"""),61208.0)</f>
        <v>61208</v>
      </c>
      <c r="G1620" s="2" t="str">
        <f>IFERROR(__xludf.DUMMYFUNCTION("""COMPUTED_VALUE"""),"Paiukalika Hydroelectric Company Pvt Ltd")</f>
        <v>Paiukalika Hydroelectric Company Pvt Ltd</v>
      </c>
      <c r="H1620" s="2" t="str">
        <f>IFERROR(__xludf.DUMMYFUNCTION("""COMPUTED_VALUE"""),"Gothatar VDC-8, Kathmandu")</f>
        <v>Gothatar VDC-8, Kathmandu</v>
      </c>
      <c r="I1620" s="2" t="str">
        <f>IFERROR(__xludf.DUMMYFUNCTION("""COMPUTED_VALUE"""),"28o 25' 00""")</f>
        <v>28o 25' 00"</v>
      </c>
      <c r="J1620" s="2" t="str">
        <f>IFERROR(__xludf.DUMMYFUNCTION("""COMPUTED_VALUE"""),"28o 26' 25""")</f>
        <v>28o 26' 25"</v>
      </c>
      <c r="K1620" s="2" t="str">
        <f>IFERROR(__xludf.DUMMYFUNCTION("""COMPUTED_VALUE"""),"84o 07' 00""")</f>
        <v>84o 07' 00"</v>
      </c>
      <c r="L1620" s="2" t="str">
        <f>IFERROR(__xludf.DUMMYFUNCTION("""COMPUTED_VALUE"""),"84o 10' 00""")</f>
        <v>84o 10' 00"</v>
      </c>
      <c r="M1620" s="2" t="str">
        <f>IFERROR(__xludf.DUMMYFUNCTION("""COMPUTED_VALUE"""),"Namarjung (Kaski)")</f>
        <v>Namarjung (Kaski)</v>
      </c>
    </row>
    <row r="1621">
      <c r="A1621" s="2">
        <f>IFERROR(__xludf.DUMMYFUNCTION("""COMPUTED_VALUE"""),1620.0)</f>
        <v>1620</v>
      </c>
      <c r="B1621" s="2" t="str">
        <f>IFERROR(__xludf.DUMMYFUNCTION("""COMPUTED_VALUE"""),"Badi gad Malarani")</f>
        <v>Badi gad Malarani</v>
      </c>
      <c r="C1621" s="2">
        <f>IFERROR(__xludf.DUMMYFUNCTION("""COMPUTED_VALUE"""),20.0)</f>
        <v>20</v>
      </c>
      <c r="D1621" s="2" t="str">
        <f>IFERROR(__xludf.DUMMYFUNCTION("""COMPUTED_VALUE"""),"Badigad")</f>
        <v>Badigad</v>
      </c>
      <c r="E1621" s="2">
        <f>IFERROR(__xludf.DUMMYFUNCTION("""COMPUTED_VALUE"""),2125.0)</f>
        <v>2125</v>
      </c>
      <c r="F1621" s="3">
        <f>IFERROR(__xludf.DUMMYFUNCTION("""COMPUTED_VALUE"""),61212.0)</f>
        <v>61212</v>
      </c>
      <c r="G1621" s="2" t="str">
        <f>IFERROR(__xludf.DUMMYFUNCTION("""COMPUTED_VALUE"""),"Water and Energy Nepal Pvt Ltd")</f>
        <v>Water and Energy Nepal Pvt Ltd</v>
      </c>
      <c r="H1621" s="2" t="str">
        <f>IFERROR(__xludf.DUMMYFUNCTION("""COMPUTED_VALUE"""),"Hugdisir-8, Baglung Tel: 9857620805, 9851121805")</f>
        <v>Hugdisir-8, Baglung Tel: 9857620805, 9851121805</v>
      </c>
      <c r="I1621" s="2" t="str">
        <f>IFERROR(__xludf.DUMMYFUNCTION("""COMPUTED_VALUE"""),"28o 17' 03""")</f>
        <v>28o 17' 03"</v>
      </c>
      <c r="J1621" s="2" t="str">
        <f>IFERROR(__xludf.DUMMYFUNCTION("""COMPUTED_VALUE"""),"28o 19' 13""")</f>
        <v>28o 19' 13"</v>
      </c>
      <c r="K1621" s="2" t="str">
        <f>IFERROR(__xludf.DUMMYFUNCTION("""COMPUTED_VALUE"""),"83o 09' 15""")</f>
        <v>83o 09' 15"</v>
      </c>
      <c r="L1621" s="2" t="str">
        <f>IFERROR(__xludf.DUMMYFUNCTION("""COMPUTED_VALUE"""),"83o 11' 30""")</f>
        <v>83o 11' 30"</v>
      </c>
      <c r="M1621" s="2" t="str">
        <f>IFERROR(__xludf.DUMMYFUNCTION("""COMPUTED_VALUE"""),"Durling,Rajkut,Burtiwang (Baglung)")</f>
        <v>Durling,Rajkut,Burtiwang (Baglung)</v>
      </c>
    </row>
    <row r="1622">
      <c r="A1622" s="2">
        <f>IFERROR(__xludf.DUMMYFUNCTION("""COMPUTED_VALUE"""),1621.0)</f>
        <v>1621</v>
      </c>
      <c r="B1622" s="2" t="str">
        <f>IFERROR(__xludf.DUMMYFUNCTION("""COMPUTED_VALUE"""),"Badi gad Bhimkhal HPP")</f>
        <v>Badi gad Bhimkhal HPP</v>
      </c>
      <c r="C1622" s="2">
        <f>IFERROR(__xludf.DUMMYFUNCTION("""COMPUTED_VALUE"""),10.0)</f>
        <v>10</v>
      </c>
      <c r="D1622" s="2" t="str">
        <f>IFERROR(__xludf.DUMMYFUNCTION("""COMPUTED_VALUE"""),"Badigad")</f>
        <v>Badigad</v>
      </c>
      <c r="E1622" s="2">
        <f>IFERROR(__xludf.DUMMYFUNCTION("""COMPUTED_VALUE"""),2126.0)</f>
        <v>2126</v>
      </c>
      <c r="F1622" s="3">
        <f>IFERROR(__xludf.DUMMYFUNCTION("""COMPUTED_VALUE"""),61212.0)</f>
        <v>61212</v>
      </c>
      <c r="G1622" s="2" t="str">
        <f>IFERROR(__xludf.DUMMYFUNCTION("""COMPUTED_VALUE"""),"Water and Energy Nepal Pvt Ltd")</f>
        <v>Water and Energy Nepal Pvt Ltd</v>
      </c>
      <c r="H1622" s="2" t="str">
        <f>IFERROR(__xludf.DUMMYFUNCTION("""COMPUTED_VALUE"""),"Hugdisir-8, Baglung Tel: 9857620805, 9851121805")</f>
        <v>Hugdisir-8, Baglung Tel: 9857620805, 9851121805</v>
      </c>
      <c r="I1622" s="2" t="str">
        <f>IFERROR(__xludf.DUMMYFUNCTION("""COMPUTED_VALUE"""),"28o 15' 45""")</f>
        <v>28o 15' 45"</v>
      </c>
      <c r="J1622" s="2" t="str">
        <f>IFERROR(__xludf.DUMMYFUNCTION("""COMPUTED_VALUE"""),"28o 17' 03""")</f>
        <v>28o 17' 03"</v>
      </c>
      <c r="K1622" s="2" t="str">
        <f>IFERROR(__xludf.DUMMYFUNCTION("""COMPUTED_VALUE"""),"83o 09' 15""")</f>
        <v>83o 09' 15"</v>
      </c>
      <c r="L1622" s="2" t="str">
        <f>IFERROR(__xludf.DUMMYFUNCTION("""COMPUTED_VALUE"""),"83o 11' 30""")</f>
        <v>83o 11' 30"</v>
      </c>
      <c r="M1622" s="2" t="str">
        <f>IFERROR(__xludf.DUMMYFUNCTION("""COMPUTED_VALUE"""),"Bhinggithe (Baglung)")</f>
        <v>Bhinggithe (Baglung)</v>
      </c>
    </row>
    <row r="1623">
      <c r="A1623" s="2">
        <f>IFERROR(__xludf.DUMMYFUNCTION("""COMPUTED_VALUE"""),1622.0)</f>
        <v>1622</v>
      </c>
      <c r="B1623" s="2" t="str">
        <f>IFERROR(__xludf.DUMMYFUNCTION("""COMPUTED_VALUE"""),"Lodo Khola HPP")</f>
        <v>Lodo Khola HPP</v>
      </c>
      <c r="C1623" s="2">
        <f>IFERROR(__xludf.DUMMYFUNCTION("""COMPUTED_VALUE"""),1.5)</f>
        <v>1.5</v>
      </c>
      <c r="D1623" s="2" t="str">
        <f>IFERROR(__xludf.DUMMYFUNCTION("""COMPUTED_VALUE"""),"Lodo Khola")</f>
        <v>Lodo Khola</v>
      </c>
      <c r="E1623" s="2">
        <f>IFERROR(__xludf.DUMMYFUNCTION("""COMPUTED_VALUE"""),2192.0)</f>
        <v>2192</v>
      </c>
      <c r="F1623" s="3">
        <f>IFERROR(__xludf.DUMMYFUNCTION("""COMPUTED_VALUE"""),61218.0)</f>
        <v>61218</v>
      </c>
      <c r="G1623" s="2" t="str">
        <f>IFERROR(__xludf.DUMMYFUNCTION("""COMPUTED_VALUE"""),"T.D. Energy and Multi Construction Nepal Pvt Ltd")</f>
        <v>T.D. Energy and Multi Construction Nepal Pvt Ltd</v>
      </c>
      <c r="H1623" s="2" t="str">
        <f>IFERROR(__xludf.DUMMYFUNCTION("""COMPUTED_VALUE"""),"GPO Box: 8975, Kathmandu, Tel: 01-5000681")</f>
        <v>GPO Box: 8975, Kathmandu, Tel: 01-5000681</v>
      </c>
      <c r="I1623" s="2" t="str">
        <f>IFERROR(__xludf.DUMMYFUNCTION("""COMPUTED_VALUE"""),"28o 15' 34""")</f>
        <v>28o 15' 34"</v>
      </c>
      <c r="J1623" s="2" t="str">
        <f>IFERROR(__xludf.DUMMYFUNCTION("""COMPUTED_VALUE"""),"28o 16' 21""")</f>
        <v>28o 16' 21"</v>
      </c>
      <c r="K1623" s="2" t="str">
        <f>IFERROR(__xludf.DUMMYFUNCTION("""COMPUTED_VALUE"""),"84o 32' 00""")</f>
        <v>84o 32' 00"</v>
      </c>
      <c r="L1623" s="2" t="str">
        <f>IFERROR(__xludf.DUMMYFUNCTION("""COMPUTED_VALUE"""),"84o 32' 51""")</f>
        <v>84o 32' 51"</v>
      </c>
      <c r="M1623" s="2" t="str">
        <f>IFERROR(__xludf.DUMMYFUNCTION("""COMPUTED_VALUE"""),"Dhodeni (Lamjung)")</f>
        <v>Dhodeni (Lamjung)</v>
      </c>
    </row>
    <row r="1624">
      <c r="A1624" s="2">
        <f>IFERROR(__xludf.DUMMYFUNCTION("""COMPUTED_VALUE"""),1623.0)</f>
        <v>1623</v>
      </c>
      <c r="B1624" s="2" t="str">
        <f>IFERROR(__xludf.DUMMYFUNCTION("""COMPUTED_VALUE"""),"Chhin-Toj Khola HPP")</f>
        <v>Chhin-Toj Khola HPP</v>
      </c>
      <c r="C1624" s="2">
        <f>IFERROR(__xludf.DUMMYFUNCTION("""COMPUTED_VALUE"""),1.4)</f>
        <v>1.4</v>
      </c>
      <c r="D1624" s="2" t="str">
        <f>IFERROR(__xludf.DUMMYFUNCTION("""COMPUTED_VALUE"""),"Chhin")</f>
        <v>Chhin</v>
      </c>
      <c r="E1624" s="2">
        <f>IFERROR(__xludf.DUMMYFUNCTION("""COMPUTED_VALUE"""),2211.0)</f>
        <v>2211</v>
      </c>
      <c r="F1624" s="3">
        <f>IFERROR(__xludf.DUMMYFUNCTION("""COMPUTED_VALUE"""),61221.0)</f>
        <v>61221</v>
      </c>
      <c r="G1624" s="2" t="str">
        <f>IFERROR(__xludf.DUMMYFUNCTION("""COMPUTED_VALUE"""),"Narayan Neupane, Bishnu Raj Baral, Chhatra B. Basnet, Navraj Shrestha")</f>
        <v>Narayan Neupane, Bishnu Raj Baral, Chhatra B. Basnet, Navraj Shrestha</v>
      </c>
      <c r="H1624" s="2" t="str">
        <f>IFERROR(__xludf.DUMMYFUNCTION("""COMPUTED_VALUE"""),"GPO Box: 26403, Kathmandu Tel:9851126163, 9841618721")</f>
        <v>GPO Box: 26403, Kathmandu Tel:9851126163, 9841618721</v>
      </c>
      <c r="I1624" s="2" t="str">
        <f>IFERROR(__xludf.DUMMYFUNCTION("""COMPUTED_VALUE"""),"28o 18' 10""")</f>
        <v>28o 18' 10"</v>
      </c>
      <c r="J1624" s="2" t="str">
        <f>IFERROR(__xludf.DUMMYFUNCTION("""COMPUTED_VALUE"""),"28o 20' 16""")</f>
        <v>28o 20' 16"</v>
      </c>
      <c r="K1624" s="2" t="str">
        <f>IFERROR(__xludf.DUMMYFUNCTION("""COMPUTED_VALUE"""),"84o 25' 00""")</f>
        <v>84o 25' 00"</v>
      </c>
      <c r="L1624" s="2" t="str">
        <f>IFERROR(__xludf.DUMMYFUNCTION("""COMPUTED_VALUE"""),"84o 27' 45""")</f>
        <v>84o 27' 45"</v>
      </c>
      <c r="M1624" s="2" t="str">
        <f>IFERROR(__xludf.DUMMYFUNCTION("""COMPUTED_VALUE"""),"Bhulbhule (Lamjung)")</f>
        <v>Bhulbhule (Lamjung)</v>
      </c>
    </row>
    <row r="1625">
      <c r="A1625" s="2">
        <f>IFERROR(__xludf.DUMMYFUNCTION("""COMPUTED_VALUE"""),1624.0)</f>
        <v>1624</v>
      </c>
      <c r="B1625" s="2" t="str">
        <f>IFERROR(__xludf.DUMMYFUNCTION("""COMPUTED_VALUE"""),"Kharane Khola SHP")</f>
        <v>Kharane Khola SHP</v>
      </c>
      <c r="C1625" s="2">
        <f>IFERROR(__xludf.DUMMYFUNCTION("""COMPUTED_VALUE"""),1.0)</f>
        <v>1</v>
      </c>
      <c r="D1625" s="2" t="str">
        <f>IFERROR(__xludf.DUMMYFUNCTION("""COMPUTED_VALUE"""),"Kharane")</f>
        <v>Kharane</v>
      </c>
      <c r="E1625" s="2">
        <f>IFERROR(__xludf.DUMMYFUNCTION("""COMPUTED_VALUE"""),2217.0)</f>
        <v>2217</v>
      </c>
      <c r="F1625" s="3">
        <f>IFERROR(__xludf.DUMMYFUNCTION("""COMPUTED_VALUE"""),61221.0)</f>
        <v>61221</v>
      </c>
      <c r="G1625" s="2" t="str">
        <f>IFERROR(__xludf.DUMMYFUNCTION("""COMPUTED_VALUE"""),"Gopal Krishna Gartaula")</f>
        <v>Gopal Krishna Gartaula</v>
      </c>
      <c r="H1625" s="2" t="str">
        <f>IFERROR(__xludf.DUMMYFUNCTION("""COMPUTED_VALUE"""),"Kathmandu Municipality,Kathmandu, Tel: 4220519, 9851008689")</f>
        <v>Kathmandu Municipality,Kathmandu, Tel: 4220519, 9851008689</v>
      </c>
      <c r="I1625" s="2" t="str">
        <f>IFERROR(__xludf.DUMMYFUNCTION("""COMPUTED_VALUE"""),"27o 56' 26""")</f>
        <v>27o 56' 26"</v>
      </c>
      <c r="J1625" s="2" t="str">
        <f>IFERROR(__xludf.DUMMYFUNCTION("""COMPUTED_VALUE"""),"27o 57' 31""")</f>
        <v>27o 57' 31"</v>
      </c>
      <c r="K1625" s="2" t="str">
        <f>IFERROR(__xludf.DUMMYFUNCTION("""COMPUTED_VALUE"""),"86o 13' 03""")</f>
        <v>86o 13' 03"</v>
      </c>
      <c r="L1625" s="2" t="str">
        <f>IFERROR(__xludf.DUMMYFUNCTION("""COMPUTED_VALUE"""),"86o 14' 34""")</f>
        <v>86o 14' 34"</v>
      </c>
      <c r="M1625" s="2" t="str">
        <f>IFERROR(__xludf.DUMMYFUNCTION("""COMPUTED_VALUE"""),"Lamabagar (Dolakha)")</f>
        <v>Lamabagar (Dolakha)</v>
      </c>
    </row>
    <row r="1626">
      <c r="A1626" s="2">
        <f>IFERROR(__xludf.DUMMYFUNCTION("""COMPUTED_VALUE"""),1625.0)</f>
        <v>1625</v>
      </c>
      <c r="B1626" s="2" t="str">
        <f>IFERROR(__xludf.DUMMYFUNCTION("""COMPUTED_VALUE"""),"Durlung Khola-A HPP")</f>
        <v>Durlung Khola-A HPP</v>
      </c>
      <c r="C1626" s="2">
        <f>IFERROR(__xludf.DUMMYFUNCTION("""COMPUTED_VALUE"""),4.1)</f>
        <v>4.1</v>
      </c>
      <c r="D1626" s="2" t="str">
        <f>IFERROR(__xludf.DUMMYFUNCTION("""COMPUTED_VALUE"""),"Durlung")</f>
        <v>Durlung</v>
      </c>
      <c r="E1626" s="2">
        <f>IFERROR(__xludf.DUMMYFUNCTION("""COMPUTED_VALUE"""),2233.0)</f>
        <v>2233</v>
      </c>
      <c r="F1626" s="3">
        <f>IFERROR(__xludf.DUMMYFUNCTION("""COMPUTED_VALUE"""),61222.0)</f>
        <v>61222</v>
      </c>
      <c r="G1626" s="2" t="str">
        <f>IFERROR(__xludf.DUMMYFUNCTION("""COMPUTED_VALUE"""),"Nawaraj Sapkota, Milan Sunuwar")</f>
        <v>Nawaraj Sapkota, Milan Sunuwar</v>
      </c>
      <c r="H1626" s="2" t="str">
        <f>IFERROR(__xludf.DUMMYFUNCTION("""COMPUTED_VALUE"""),"Mahadevsthan-8, Kavrepalanchowk, Tel: 9803166144")</f>
        <v>Mahadevsthan-8, Kavrepalanchowk, Tel: 9803166144</v>
      </c>
      <c r="I1626" s="2" t="str">
        <f>IFERROR(__xludf.DUMMYFUNCTION("""COMPUTED_VALUE"""),"27o 26' 31""")</f>
        <v>27o 26' 31"</v>
      </c>
      <c r="J1626" s="2" t="str">
        <f>IFERROR(__xludf.DUMMYFUNCTION("""COMPUTED_VALUE"""),"27o 27' 16""")</f>
        <v>27o 27' 16"</v>
      </c>
      <c r="K1626" s="2" t="str">
        <f>IFERROR(__xludf.DUMMYFUNCTION("""COMPUTED_VALUE"""),"85o 24' 06""")</f>
        <v>85o 24' 06"</v>
      </c>
      <c r="L1626" s="2" t="str">
        <f>IFERROR(__xludf.DUMMYFUNCTION("""COMPUTED_VALUE"""),"85o 25' 31""")</f>
        <v>85o 25' 31"</v>
      </c>
      <c r="M1626" s="2" t="str">
        <f>IFERROR(__xludf.DUMMYFUNCTION("""COMPUTED_VALUE"""),"Thuladurlung (Lalitpur)")</f>
        <v>Thuladurlung (Lalitpur)</v>
      </c>
    </row>
    <row r="1627">
      <c r="A1627" s="2">
        <f>IFERROR(__xludf.DUMMYFUNCTION("""COMPUTED_VALUE"""),1626.0)</f>
        <v>1626</v>
      </c>
      <c r="B1627" s="2" t="str">
        <f>IFERROR(__xludf.DUMMYFUNCTION("""COMPUTED_VALUE"""),"Durlung Khola-B HPP")</f>
        <v>Durlung Khola-B HPP</v>
      </c>
      <c r="C1627" s="2">
        <f>IFERROR(__xludf.DUMMYFUNCTION("""COMPUTED_VALUE"""),3.6)</f>
        <v>3.6</v>
      </c>
      <c r="D1627" s="2" t="str">
        <f>IFERROR(__xludf.DUMMYFUNCTION("""COMPUTED_VALUE"""),"Durlung")</f>
        <v>Durlung</v>
      </c>
      <c r="E1627" s="2">
        <f>IFERROR(__xludf.DUMMYFUNCTION("""COMPUTED_VALUE"""),2234.0)</f>
        <v>2234</v>
      </c>
      <c r="F1627" s="3">
        <f>IFERROR(__xludf.DUMMYFUNCTION("""COMPUTED_VALUE"""),61222.0)</f>
        <v>61222</v>
      </c>
      <c r="G1627" s="2" t="str">
        <f>IFERROR(__xludf.DUMMYFUNCTION("""COMPUTED_VALUE"""),"Resham B. Thapa, Indra K. Ghale Tamang")</f>
        <v>Resham B. Thapa, Indra K. Ghale Tamang</v>
      </c>
      <c r="H1627" s="2" t="str">
        <f>IFERROR(__xludf.DUMMYFUNCTION("""COMPUTED_VALUE"""),"H.N.2:Ga-2/114, Naxal, Samamarg, Kathmandu, Tel: 9851053098")</f>
        <v>H.N.2:Ga-2/114, Naxal, Samamarg, Kathmandu, Tel: 9851053098</v>
      </c>
      <c r="I1627" s="2" t="str">
        <f>IFERROR(__xludf.DUMMYFUNCTION("""COMPUTED_VALUE"""),"27o 26' 55""")</f>
        <v>27o 26' 55"</v>
      </c>
      <c r="J1627" s="2" t="str">
        <f>IFERROR(__xludf.DUMMYFUNCTION("""COMPUTED_VALUE"""),"27o 27' 36""")</f>
        <v>27o 27' 36"</v>
      </c>
      <c r="K1627" s="2" t="str">
        <f>IFERROR(__xludf.DUMMYFUNCTION("""COMPUTED_VALUE"""),"85o 24' 18""")</f>
        <v>85o 24' 18"</v>
      </c>
      <c r="L1627" s="2" t="str">
        <f>IFERROR(__xludf.DUMMYFUNCTION("""COMPUTED_VALUE"""),"85o 25' 21""")</f>
        <v>85o 25' 21"</v>
      </c>
      <c r="M1627" s="2"/>
    </row>
    <row r="1628">
      <c r="A1628" s="2">
        <f>IFERROR(__xludf.DUMMYFUNCTION("""COMPUTED_VALUE"""),1627.0)</f>
        <v>1627</v>
      </c>
      <c r="B1628" s="2" t="str">
        <f>IFERROR(__xludf.DUMMYFUNCTION("""COMPUTED_VALUE"""),"Lower Nyadi Hydropower Project")</f>
        <v>Lower Nyadi Hydropower Project</v>
      </c>
      <c r="C1628" s="2">
        <f>IFERROR(__xludf.DUMMYFUNCTION("""COMPUTED_VALUE"""),7.0)</f>
        <v>7</v>
      </c>
      <c r="D1628" s="2" t="str">
        <f>IFERROR(__xludf.DUMMYFUNCTION("""COMPUTED_VALUE"""),"Nyadi")</f>
        <v>Nyadi</v>
      </c>
      <c r="E1628" s="2">
        <f>IFERROR(__xludf.DUMMYFUNCTION("""COMPUTED_VALUE"""),2287.0)</f>
        <v>2287</v>
      </c>
      <c r="F1628" s="3">
        <f>IFERROR(__xludf.DUMMYFUNCTION("""COMPUTED_VALUE"""),61225.0)</f>
        <v>61225</v>
      </c>
      <c r="G1628" s="2" t="str">
        <f>IFERROR(__xludf.DUMMYFUNCTION("""COMPUTED_VALUE"""),"Butwal Power Company Limited")</f>
        <v>Butwal Power Company Limited</v>
      </c>
      <c r="H1628" s="2" t="str">
        <f>IFERROR(__xludf.DUMMYFUNCTION("""COMPUTED_VALUE"""),"GPO Box: 11728, Kathmandu Tel: 4781776")</f>
        <v>GPO Box: 11728, Kathmandu Tel: 4781776</v>
      </c>
      <c r="I1628" s="2" t="str">
        <f>IFERROR(__xludf.DUMMYFUNCTION("""COMPUTED_VALUE"""),"28o 18' 54""")</f>
        <v>28o 18' 54"</v>
      </c>
      <c r="J1628" s="2" t="str">
        <f>IFERROR(__xludf.DUMMYFUNCTION("""COMPUTED_VALUE"""),"28o 19' 45""")</f>
        <v>28o 19' 45"</v>
      </c>
      <c r="K1628" s="2" t="str">
        <f>IFERROR(__xludf.DUMMYFUNCTION("""COMPUTED_VALUE"""),"84o 24' 02""")</f>
        <v>84o 24' 02"</v>
      </c>
      <c r="L1628" s="2" t="str">
        <f>IFERROR(__xludf.DUMMYFUNCTION("""COMPUTED_VALUE"""),"84o 25' 00""")</f>
        <v>84o 25' 00"</v>
      </c>
      <c r="M1628" s="2" t="str">
        <f>IFERROR(__xludf.DUMMYFUNCTION("""COMPUTED_VALUE"""),"Bahundada,Bhulbhule (Lamjung)")</f>
        <v>Bahundada,Bhulbhule (Lamjung)</v>
      </c>
    </row>
    <row r="1629">
      <c r="A1629" s="2">
        <f>IFERROR(__xludf.DUMMYFUNCTION("""COMPUTED_VALUE"""),1628.0)</f>
        <v>1628</v>
      </c>
      <c r="B1629" s="2" t="str">
        <f>IFERROR(__xludf.DUMMYFUNCTION("""COMPUTED_VALUE"""),"Doti Gad HPP")</f>
        <v>Doti Gad HPP</v>
      </c>
      <c r="C1629" s="2">
        <f>IFERROR(__xludf.DUMMYFUNCTION("""COMPUTED_VALUE"""),2.89)</f>
        <v>2.89</v>
      </c>
      <c r="D1629" s="2" t="str">
        <f>IFERROR(__xludf.DUMMYFUNCTION("""COMPUTED_VALUE"""),"Doti Gad")</f>
        <v>Doti Gad</v>
      </c>
      <c r="E1629" s="2">
        <f>IFERROR(__xludf.DUMMYFUNCTION("""COMPUTED_VALUE"""),2336.0)</f>
        <v>2336</v>
      </c>
      <c r="F1629" s="3">
        <f>IFERROR(__xludf.DUMMYFUNCTION("""COMPUTED_VALUE"""),61229.0)</f>
        <v>61229</v>
      </c>
      <c r="G1629" s="2" t="str">
        <f>IFERROR(__xludf.DUMMYFUNCTION("""COMPUTED_VALUE"""),"Sudur Paschimanchal Hydropower Company Pvt Ltd")</f>
        <v>Sudur Paschimanchal Hydropower Company Pvt Ltd</v>
      </c>
      <c r="H1629" s="2" t="str">
        <f>IFERROR(__xludf.DUMMYFUNCTION("""COMPUTED_VALUE"""),"Maitidevi, Kathmandu")</f>
        <v>Maitidevi, Kathmandu</v>
      </c>
      <c r="I1629" s="2" t="str">
        <f>IFERROR(__xludf.DUMMYFUNCTION("""COMPUTED_VALUE"""),"29o 17' 37""")</f>
        <v>29o 17' 37"</v>
      </c>
      <c r="J1629" s="2" t="str">
        <f>IFERROR(__xludf.DUMMYFUNCTION("""COMPUTED_VALUE"""),"29o 18' 20""")</f>
        <v>29o 18' 20"</v>
      </c>
      <c r="K1629" s="2" t="str">
        <f>IFERROR(__xludf.DUMMYFUNCTION("""COMPUTED_VALUE"""),"80o 29' 21""")</f>
        <v>80o 29' 21"</v>
      </c>
      <c r="L1629" s="2" t="str">
        <f>IFERROR(__xludf.DUMMYFUNCTION("""COMPUTED_VALUE"""),"80o 30' 30""")</f>
        <v>80o 30' 30"</v>
      </c>
      <c r="M1629" s="2" t="str">
        <f>IFERROR(__xludf.DUMMYFUNCTION("""COMPUTED_VALUE"""),"Bagarkot (Dadeldhura)")</f>
        <v>Bagarkot (Dadeldhura)</v>
      </c>
    </row>
    <row r="1630">
      <c r="A1630" s="2">
        <f>IFERROR(__xludf.DUMMYFUNCTION("""COMPUTED_VALUE"""),1629.0)</f>
        <v>1629</v>
      </c>
      <c r="B1630" s="2" t="str">
        <f>IFERROR(__xludf.DUMMYFUNCTION("""COMPUTED_VALUE"""),"Lapchekhun Hydropower Project")</f>
        <v>Lapchekhun Hydropower Project</v>
      </c>
      <c r="C1630" s="2">
        <f>IFERROR(__xludf.DUMMYFUNCTION("""COMPUTED_VALUE"""),3.0)</f>
        <v>3</v>
      </c>
      <c r="D1630" s="2" t="str">
        <f>IFERROR(__xludf.DUMMYFUNCTION("""COMPUTED_VALUE"""),"Lapchekhun")</f>
        <v>Lapchekhun</v>
      </c>
      <c r="E1630" s="2">
        <f>IFERROR(__xludf.DUMMYFUNCTION("""COMPUTED_VALUE"""),2353.0)</f>
        <v>2353</v>
      </c>
      <c r="F1630" s="3">
        <f>IFERROR(__xludf.DUMMYFUNCTION("""COMPUTED_VALUE"""),61230.0)</f>
        <v>61230</v>
      </c>
      <c r="G1630" s="2" t="str">
        <f>IFERROR(__xludf.DUMMYFUNCTION("""COMPUTED_VALUE"""),"Lapche Energy Pvt Ltds")</f>
        <v>Lapche Energy Pvt Ltds</v>
      </c>
      <c r="H1630" s="2" t="str">
        <f>IFERROR(__xludf.DUMMYFUNCTION("""COMPUTED_VALUE"""),"Baneswar-34, Kathmandu")</f>
        <v>Baneswar-34, Kathmandu</v>
      </c>
      <c r="I1630" s="2" t="str">
        <f>IFERROR(__xludf.DUMMYFUNCTION("""COMPUTED_VALUE"""),"28o 06' 54""")</f>
        <v>28o 06' 54"</v>
      </c>
      <c r="J1630" s="2" t="str">
        <f>IFERROR(__xludf.DUMMYFUNCTION("""COMPUTED_VALUE"""),"28o 08' 04""")</f>
        <v>28o 08' 04"</v>
      </c>
      <c r="K1630" s="2" t="str">
        <f>IFERROR(__xludf.DUMMYFUNCTION("""COMPUTED_VALUE"""),"86o 10' 33""")</f>
        <v>86o 10' 33"</v>
      </c>
      <c r="L1630" s="2" t="str">
        <f>IFERROR(__xludf.DUMMYFUNCTION("""COMPUTED_VALUE"""),"86o 12' 48""")</f>
        <v>86o 12' 48"</v>
      </c>
      <c r="M1630" s="2" t="str">
        <f>IFERROR(__xludf.DUMMYFUNCTION("""COMPUTED_VALUE"""),"Lamabagar (Dolakha)")</f>
        <v>Lamabagar (Dolakha)</v>
      </c>
    </row>
    <row r="1631">
      <c r="A1631" s="2">
        <f>IFERROR(__xludf.DUMMYFUNCTION("""COMPUTED_VALUE"""),1630.0)</f>
        <v>1630</v>
      </c>
      <c r="B1631" s="2" t="str">
        <f>IFERROR(__xludf.DUMMYFUNCTION("""COMPUTED_VALUE"""),"Super Rawa Khola SHP")</f>
        <v>Super Rawa Khola SHP</v>
      </c>
      <c r="C1631" s="2">
        <f>IFERROR(__xludf.DUMMYFUNCTION("""COMPUTED_VALUE"""),0.995)</f>
        <v>0.995</v>
      </c>
      <c r="D1631" s="2" t="str">
        <f>IFERROR(__xludf.DUMMYFUNCTION("""COMPUTED_VALUE"""),"Rawa Khola")</f>
        <v>Rawa Khola</v>
      </c>
      <c r="E1631" s="2">
        <f>IFERROR(__xludf.DUMMYFUNCTION("""COMPUTED_VALUE"""),2402.0)</f>
        <v>2402</v>
      </c>
      <c r="F1631" s="3">
        <f>IFERROR(__xludf.DUMMYFUNCTION("""COMPUTED_VALUE"""),61235.0)</f>
        <v>61235</v>
      </c>
      <c r="G1631" s="2" t="str">
        <f>IFERROR(__xludf.DUMMYFUNCTION("""COMPUTED_VALUE"""),"Salpa Pokhri Energy Development Pvt Ltd")</f>
        <v>Salpa Pokhri Energy Development Pvt Ltd</v>
      </c>
      <c r="H1631" s="2" t="str">
        <f>IFERROR(__xludf.DUMMYFUNCTION("""COMPUTED_VALUE"""),"Kathmandu Municipality-32, Kathmandu, Tel: 4438991")</f>
        <v>Kathmandu Municipality-32, Kathmandu, Tel: 4438991</v>
      </c>
      <c r="I1631" s="2" t="str">
        <f>IFERROR(__xludf.DUMMYFUNCTION("""COMPUTED_VALUE"""),"27o 21' 36""")</f>
        <v>27o 21' 36"</v>
      </c>
      <c r="J1631" s="2" t="str">
        <f>IFERROR(__xludf.DUMMYFUNCTION("""COMPUTED_VALUE"""),"27o 22' 54""")</f>
        <v>27o 22' 54"</v>
      </c>
      <c r="K1631" s="2" t="str">
        <f>IFERROR(__xludf.DUMMYFUNCTION("""COMPUTED_VALUE"""),"86o 51' 28""")</f>
        <v>86o 51' 28"</v>
      </c>
      <c r="L1631" s="2" t="str">
        <f>IFERROR(__xludf.DUMMYFUNCTION("""COMPUTED_VALUE"""),"86o 52' 44""")</f>
        <v>86o 52' 44"</v>
      </c>
      <c r="M1631" s="2" t="str">
        <f>IFERROR(__xludf.DUMMYFUNCTION("""COMPUTED_VALUE"""),"Sungdel (Khotang)")</f>
        <v>Sungdel (Khotang)</v>
      </c>
    </row>
    <row r="1632">
      <c r="A1632" s="2">
        <f>IFERROR(__xludf.DUMMYFUNCTION("""COMPUTED_VALUE"""),1631.0)</f>
        <v>1631</v>
      </c>
      <c r="B1632" s="2" t="str">
        <f>IFERROR(__xludf.DUMMYFUNCTION("""COMPUTED_VALUE"""),"Phurkum Khola HPP")</f>
        <v>Phurkum Khola HPP</v>
      </c>
      <c r="C1632" s="2">
        <f>IFERROR(__xludf.DUMMYFUNCTION("""COMPUTED_VALUE"""),3.0)</f>
        <v>3</v>
      </c>
      <c r="D1632" s="2" t="str">
        <f>IFERROR(__xludf.DUMMYFUNCTION("""COMPUTED_VALUE"""),"Phurkum")</f>
        <v>Phurkum</v>
      </c>
      <c r="E1632" s="2">
        <f>IFERROR(__xludf.DUMMYFUNCTION("""COMPUTED_VALUE"""),2420.0)</f>
        <v>2420</v>
      </c>
      <c r="F1632" s="3">
        <f>IFERROR(__xludf.DUMMYFUNCTION("""COMPUTED_VALUE"""),61236.0)</f>
        <v>61236</v>
      </c>
      <c r="G1632" s="2" t="str">
        <f>IFERROR(__xludf.DUMMYFUNCTION("""COMPUTED_VALUE"""),"Power Leader Pvt Ltd")</f>
        <v>Power Leader Pvt Ltd</v>
      </c>
      <c r="H1632" s="2" t="str">
        <f>IFERROR(__xludf.DUMMYFUNCTION("""COMPUTED_VALUE"""),"Baneswar-34, Kathmandu, Tel: 9851015520")</f>
        <v>Baneswar-34, Kathmandu, Tel: 9851015520</v>
      </c>
      <c r="I1632" s="2" t="str">
        <f>IFERROR(__xludf.DUMMYFUNCTION("""COMPUTED_VALUE"""),"28o 02' 09""")</f>
        <v>28o 02' 09"</v>
      </c>
      <c r="J1632" s="2" t="str">
        <f>IFERROR(__xludf.DUMMYFUNCTION("""COMPUTED_VALUE"""),"28o 03' 47""")</f>
        <v>28o 03' 47"</v>
      </c>
      <c r="K1632" s="2" t="str">
        <f>IFERROR(__xludf.DUMMYFUNCTION("""COMPUTED_VALUE"""),"86o 08' 06""")</f>
        <v>86o 08' 06"</v>
      </c>
      <c r="L1632" s="2" t="str">
        <f>IFERROR(__xludf.DUMMYFUNCTION("""COMPUTED_VALUE"""),"86o 10' 50""")</f>
        <v>86o 10' 50"</v>
      </c>
      <c r="M1632" s="2" t="str">
        <f>IFERROR(__xludf.DUMMYFUNCTION("""COMPUTED_VALUE"""),"Lamabagar (Dolakha)")</f>
        <v>Lamabagar (Dolakha)</v>
      </c>
    </row>
    <row r="1633">
      <c r="A1633" s="2">
        <f>IFERROR(__xludf.DUMMYFUNCTION("""COMPUTED_VALUE"""),1632.0)</f>
        <v>1632</v>
      </c>
      <c r="B1633" s="2" t="str">
        <f>IFERROR(__xludf.DUMMYFUNCTION("""COMPUTED_VALUE"""),"Lapche Khola HPP")</f>
        <v>Lapche Khola HPP</v>
      </c>
      <c r="C1633" s="2">
        <f>IFERROR(__xludf.DUMMYFUNCTION("""COMPUTED_VALUE"""),3.0)</f>
        <v>3</v>
      </c>
      <c r="D1633" s="2" t="str">
        <f>IFERROR(__xludf.DUMMYFUNCTION("""COMPUTED_VALUE"""),"Lapche")</f>
        <v>Lapche</v>
      </c>
      <c r="E1633" s="2">
        <f>IFERROR(__xludf.DUMMYFUNCTION("""COMPUTED_VALUE"""),2421.0)</f>
        <v>2421</v>
      </c>
      <c r="F1633" s="3">
        <f>IFERROR(__xludf.DUMMYFUNCTION("""COMPUTED_VALUE"""),61236.0)</f>
        <v>61236</v>
      </c>
      <c r="G1633" s="2" t="str">
        <f>IFERROR(__xludf.DUMMYFUNCTION("""COMPUTED_VALUE"""),"Lapche Power pvt Ltd")</f>
        <v>Lapche Power pvt Ltd</v>
      </c>
      <c r="H1633" s="2" t="str">
        <f>IFERROR(__xludf.DUMMYFUNCTION("""COMPUTED_VALUE"""),"Baneswar-34, Kathmandu, Tel: 9851015520")</f>
        <v>Baneswar-34, Kathmandu, Tel: 9851015520</v>
      </c>
      <c r="I1633" s="2" t="str">
        <f>IFERROR(__xludf.DUMMYFUNCTION("""COMPUTED_VALUE"""),"28o 06' 54""")</f>
        <v>28o 06' 54"</v>
      </c>
      <c r="J1633" s="2" t="str">
        <f>IFERROR(__xludf.DUMMYFUNCTION("""COMPUTED_VALUE"""),"28o 08' 04""")</f>
        <v>28o 08' 04"</v>
      </c>
      <c r="K1633" s="2" t="str">
        <f>IFERROR(__xludf.DUMMYFUNCTION("""COMPUTED_VALUE"""),"86o 09' 08""")</f>
        <v>86o 09' 08"</v>
      </c>
      <c r="L1633" s="2" t="str">
        <f>IFERROR(__xludf.DUMMYFUNCTION("""COMPUTED_VALUE"""),"86o 10' 33""")</f>
        <v>86o 10' 33"</v>
      </c>
      <c r="M1633" s="2" t="str">
        <f>IFERROR(__xludf.DUMMYFUNCTION("""COMPUTED_VALUE"""),"Lamabagar (Dolakha)")</f>
        <v>Lamabagar (Dolakha)</v>
      </c>
    </row>
    <row r="1634">
      <c r="A1634" s="2">
        <f>IFERROR(__xludf.DUMMYFUNCTION("""COMPUTED_VALUE"""),1633.0)</f>
        <v>1633</v>
      </c>
      <c r="B1634" s="2" t="str">
        <f>IFERROR(__xludf.DUMMYFUNCTION("""COMPUTED_VALUE"""),"Upper Irkhuwa HPP")</f>
        <v>Upper Irkhuwa HPP</v>
      </c>
      <c r="C1634" s="2">
        <f>IFERROR(__xludf.DUMMYFUNCTION("""COMPUTED_VALUE"""),4.54)</f>
        <v>4.54</v>
      </c>
      <c r="D1634" s="2" t="str">
        <f>IFERROR(__xludf.DUMMYFUNCTION("""COMPUTED_VALUE"""),"Irkhuwa Khola")</f>
        <v>Irkhuwa Khola</v>
      </c>
      <c r="E1634" s="2">
        <f>IFERROR(__xludf.DUMMYFUNCTION("""COMPUTED_VALUE"""),2741.0)</f>
        <v>2741</v>
      </c>
      <c r="F1634" s="3">
        <f>IFERROR(__xludf.DUMMYFUNCTION("""COMPUTED_VALUE"""),61242.0)</f>
        <v>61242</v>
      </c>
      <c r="G1634" s="2" t="str">
        <f>IFERROR(__xludf.DUMMYFUNCTION("""COMPUTED_VALUE"""),"Dharma Raj Rai, Namgya Gombe Bhote")</f>
        <v>Dharma Raj Rai, Namgya Gombe Bhote</v>
      </c>
      <c r="H1634" s="2" t="str">
        <f>IFERROR(__xludf.DUMMYFUNCTION("""COMPUTED_VALUE"""),"GPO Box: 12756, Kathmandu Tel: 9851108971")</f>
        <v>GPO Box: 12756, Kathmandu Tel: 9851108971</v>
      </c>
      <c r="I1634" s="2" t="str">
        <f>IFERROR(__xludf.DUMMYFUNCTION("""COMPUTED_VALUE"""),"27o 22' 42""")</f>
        <v>27o 22' 42"</v>
      </c>
      <c r="J1634" s="2" t="str">
        <f>IFERROR(__xludf.DUMMYFUNCTION("""COMPUTED_VALUE"""),"27o 24' 14""")</f>
        <v>27o 24' 14"</v>
      </c>
      <c r="K1634" s="2" t="str">
        <f>IFERROR(__xludf.DUMMYFUNCTION("""COMPUTED_VALUE"""),"87o 00' 36""")</f>
        <v>87o 00' 36"</v>
      </c>
      <c r="L1634" s="2" t="str">
        <f>IFERROR(__xludf.DUMMYFUNCTION("""COMPUTED_VALUE"""),"87o 02' 13""")</f>
        <v>87o 02' 13"</v>
      </c>
      <c r="M1634" s="2" t="str">
        <f>IFERROR(__xludf.DUMMYFUNCTION("""COMPUTED_VALUE"""),"Khatamma (Bhojpur)")</f>
        <v>Khatamma (Bhojpur)</v>
      </c>
    </row>
    <row r="1635">
      <c r="A1635" s="2">
        <f>IFERROR(__xludf.DUMMYFUNCTION("""COMPUTED_VALUE"""),1634.0)</f>
        <v>1634</v>
      </c>
      <c r="B1635" s="2" t="str">
        <f>IFERROR(__xludf.DUMMYFUNCTION("""COMPUTED_VALUE"""),"Kaligandaki-B HPP")</f>
        <v>Kaligandaki-B HPP</v>
      </c>
      <c r="C1635" s="2">
        <f>IFERROR(__xludf.DUMMYFUNCTION("""COMPUTED_VALUE"""),92.0)</f>
        <v>92</v>
      </c>
      <c r="D1635" s="2" t="str">
        <f>IFERROR(__xludf.DUMMYFUNCTION("""COMPUTED_VALUE"""),"Kali Gandaki")</f>
        <v>Kali Gandaki</v>
      </c>
      <c r="E1635" s="2">
        <f>IFERROR(__xludf.DUMMYFUNCTION("""COMPUTED_VALUE"""),2529.0)</f>
        <v>2529</v>
      </c>
      <c r="F1635" s="3">
        <f>IFERROR(__xludf.DUMMYFUNCTION("""COMPUTED_VALUE"""),61248.0)</f>
        <v>61248</v>
      </c>
      <c r="G1635" s="2" t="str">
        <f>IFERROR(__xludf.DUMMYFUNCTION("""COMPUTED_VALUE"""),"Suntechnique Power Pvt Ltd")</f>
        <v>Suntechnique Power Pvt Ltd</v>
      </c>
      <c r="H1635" s="2" t="str">
        <f>IFERROR(__xludf.DUMMYFUNCTION("""COMPUTED_VALUE"""),"Kathmandu, Tel: 2303194")</f>
        <v>Kathmandu, Tel: 2303194</v>
      </c>
      <c r="I1635" s="2" t="str">
        <f>IFERROR(__xludf.DUMMYFUNCTION("""COMPUTED_VALUE"""),"28o 00' 35""")</f>
        <v>28o 00' 35"</v>
      </c>
      <c r="J1635" s="2" t="str">
        <f>IFERROR(__xludf.DUMMYFUNCTION("""COMPUTED_VALUE"""),"28o 07' 30""")</f>
        <v>28o 07' 30"</v>
      </c>
      <c r="K1635" s="2" t="str">
        <f>IFERROR(__xludf.DUMMYFUNCTION("""COMPUTED_VALUE"""),"83o 32' 45""")</f>
        <v>83o 32' 45"</v>
      </c>
      <c r="L1635" s="2" t="str">
        <f>IFERROR(__xludf.DUMMYFUNCTION("""COMPUTED_VALUE"""),"83o 37' 55""")</f>
        <v>83o 37' 55"</v>
      </c>
      <c r="M1635" s="2" t="str">
        <f>IFERROR(__xludf.DUMMYFUNCTION("""COMPUTED_VALUE"""),"Khadagkot (Gulmi) Bachchha (Parbat)")</f>
        <v>Khadagkot (Gulmi) Bachchha (Parbat)</v>
      </c>
    </row>
    <row r="1636">
      <c r="A1636" s="2">
        <f>IFERROR(__xludf.DUMMYFUNCTION("""COMPUTED_VALUE"""),1635.0)</f>
        <v>1635</v>
      </c>
      <c r="B1636" s="2" t="str">
        <f>IFERROR(__xludf.DUMMYFUNCTION("""COMPUTED_VALUE"""),"Tarap Khola HPP")</f>
        <v>Tarap Khola HPP</v>
      </c>
      <c r="C1636" s="2">
        <f>IFERROR(__xludf.DUMMYFUNCTION("""COMPUTED_VALUE"""),20.0)</f>
        <v>20</v>
      </c>
      <c r="D1636" s="2" t="str">
        <f>IFERROR(__xludf.DUMMYFUNCTION("""COMPUTED_VALUE"""),"Tarap")</f>
        <v>Tarap</v>
      </c>
      <c r="E1636" s="2">
        <f>IFERROR(__xludf.DUMMYFUNCTION("""COMPUTED_VALUE"""),2580.0)</f>
        <v>2580</v>
      </c>
      <c r="F1636" s="3">
        <f>IFERROR(__xludf.DUMMYFUNCTION("""COMPUTED_VALUE"""),61251.0)</f>
        <v>61251</v>
      </c>
      <c r="G1636" s="2" t="str">
        <f>IFERROR(__xludf.DUMMYFUNCTION("""COMPUTED_VALUE"""),"Nurture Nepal Hydropower Company Pvt Ltd")</f>
        <v>Nurture Nepal Hydropower Company Pvt Ltd</v>
      </c>
      <c r="H1636" s="2" t="str">
        <f>IFERROR(__xludf.DUMMYFUNCTION("""COMPUTED_VALUE"""),"Baluwatar-4, Kathmandu, GPO BOX:21237, Tel: 2297258")</f>
        <v>Baluwatar-4, Kathmandu, GPO BOX:21237, Tel: 2297258</v>
      </c>
      <c r="I1636" s="2" t="str">
        <f>IFERROR(__xludf.DUMMYFUNCTION("""COMPUTED_VALUE"""),"28o 54' 00""")</f>
        <v>28o 54' 00"</v>
      </c>
      <c r="J1636" s="2" t="str">
        <f>IFERROR(__xludf.DUMMYFUNCTION("""COMPUTED_VALUE"""),"28o 57' 16""")</f>
        <v>28o 57' 16"</v>
      </c>
      <c r="K1636" s="2" t="str">
        <f>IFERROR(__xludf.DUMMYFUNCTION("""COMPUTED_VALUE"""),"82o 57' 51""")</f>
        <v>82o 57' 51"</v>
      </c>
      <c r="L1636" s="2" t="str">
        <f>IFERROR(__xludf.DUMMYFUNCTION("""COMPUTED_VALUE"""),"83o 04' 00""")</f>
        <v>83o 04' 00"</v>
      </c>
      <c r="M1636" s="2" t="str">
        <f>IFERROR(__xludf.DUMMYFUNCTION("""COMPUTED_VALUE"""),"Mukot,Lawan,Sahartara (Dolpa)")</f>
        <v>Mukot,Lawan,Sahartara (Dolpa)</v>
      </c>
    </row>
    <row r="1637">
      <c r="A1637" s="2">
        <f>IFERROR(__xludf.DUMMYFUNCTION("""COMPUTED_VALUE"""),1636.0)</f>
        <v>1636</v>
      </c>
      <c r="B1637" s="2" t="str">
        <f>IFERROR(__xludf.DUMMYFUNCTION("""COMPUTED_VALUE"""),"Mukot Khola HPP")</f>
        <v>Mukot Khola HPP</v>
      </c>
      <c r="C1637" s="2">
        <f>IFERROR(__xludf.DUMMYFUNCTION("""COMPUTED_VALUE"""),5.0)</f>
        <v>5</v>
      </c>
      <c r="D1637" s="2" t="str">
        <f>IFERROR(__xludf.DUMMYFUNCTION("""COMPUTED_VALUE"""),"Mukot")</f>
        <v>Mukot</v>
      </c>
      <c r="E1637" s="2">
        <f>IFERROR(__xludf.DUMMYFUNCTION("""COMPUTED_VALUE"""),2581.0)</f>
        <v>2581</v>
      </c>
      <c r="F1637" s="3">
        <f>IFERROR(__xludf.DUMMYFUNCTION("""COMPUTED_VALUE"""),61251.0)</f>
        <v>61251</v>
      </c>
      <c r="G1637" s="2" t="str">
        <f>IFERROR(__xludf.DUMMYFUNCTION("""COMPUTED_VALUE"""),"Nurture Nepal Hydropower Company Pvt Ltd")</f>
        <v>Nurture Nepal Hydropower Company Pvt Ltd</v>
      </c>
      <c r="H1637" s="2" t="str">
        <f>IFERROR(__xludf.DUMMYFUNCTION("""COMPUTED_VALUE"""),"Baluwatar-4, Kathmandu, GPO BOX:21237, Tel: 2297258")</f>
        <v>Baluwatar-4, Kathmandu, GPO BOX:21237, Tel: 2297258</v>
      </c>
      <c r="I1637" s="2" t="str">
        <f>IFERROR(__xludf.DUMMYFUNCTION("""COMPUTED_VALUE"""),"28o 49' 15""")</f>
        <v>28o 49' 15"</v>
      </c>
      <c r="J1637" s="2" t="str">
        <f>IFERROR(__xludf.DUMMYFUNCTION("""COMPUTED_VALUE"""),"28o 51' 38""")</f>
        <v>28o 51' 38"</v>
      </c>
      <c r="K1637" s="2" t="str">
        <f>IFERROR(__xludf.DUMMYFUNCTION("""COMPUTED_VALUE"""),"83o 20' 00""")</f>
        <v>83o 20' 00"</v>
      </c>
      <c r="L1637" s="2" t="str">
        <f>IFERROR(__xludf.DUMMYFUNCTION("""COMPUTED_VALUE"""),"83o 23' 41""")</f>
        <v>83o 23' 41"</v>
      </c>
      <c r="M1637" s="2" t="str">
        <f>IFERROR(__xludf.DUMMYFUNCTION("""COMPUTED_VALUE"""),"Mukot (Dolpa)")</f>
        <v>Mukot (Dolpa)</v>
      </c>
    </row>
    <row r="1638">
      <c r="A1638" s="2">
        <f>IFERROR(__xludf.DUMMYFUNCTION("""COMPUTED_VALUE"""),1637.0)</f>
        <v>1637</v>
      </c>
      <c r="B1638" s="2" t="str">
        <f>IFERROR(__xludf.DUMMYFUNCTION("""COMPUTED_VALUE"""),"Tatu Khola HPP")</f>
        <v>Tatu Khola HPP</v>
      </c>
      <c r="C1638" s="2">
        <f>IFERROR(__xludf.DUMMYFUNCTION("""COMPUTED_VALUE"""),15.0)</f>
        <v>15</v>
      </c>
      <c r="D1638" s="2" t="str">
        <f>IFERROR(__xludf.DUMMYFUNCTION("""COMPUTED_VALUE"""),"Tatu")</f>
        <v>Tatu</v>
      </c>
      <c r="E1638" s="2">
        <f>IFERROR(__xludf.DUMMYFUNCTION("""COMPUTED_VALUE"""),2582.0)</f>
        <v>2582</v>
      </c>
      <c r="F1638" s="3">
        <f>IFERROR(__xludf.DUMMYFUNCTION("""COMPUTED_VALUE"""),61251.0)</f>
        <v>61251</v>
      </c>
      <c r="G1638" s="2" t="str">
        <f>IFERROR(__xludf.DUMMYFUNCTION("""COMPUTED_VALUE"""),"Nurture Nepal Hydropower Company Pvt Ltd")</f>
        <v>Nurture Nepal Hydropower Company Pvt Ltd</v>
      </c>
      <c r="H1638" s="2" t="str">
        <f>IFERROR(__xludf.DUMMYFUNCTION("""COMPUTED_VALUE"""),"Baluwatar-4, Kathmandu, GPO BOX:21237, Tel: 2297258")</f>
        <v>Baluwatar-4, Kathmandu, GPO BOX:21237, Tel: 2297258</v>
      </c>
      <c r="I1638" s="2" t="str">
        <f>IFERROR(__xludf.DUMMYFUNCTION("""COMPUTED_VALUE"""),"28o 52' 58""")</f>
        <v>28o 52' 58"</v>
      </c>
      <c r="J1638" s="2" t="str">
        <f>IFERROR(__xludf.DUMMYFUNCTION("""COMPUTED_VALUE"""),"28o 55' 07""")</f>
        <v>28o 55' 07"</v>
      </c>
      <c r="K1638" s="2" t="str">
        <f>IFERROR(__xludf.DUMMYFUNCTION("""COMPUTED_VALUE"""),"83o 05' 15""")</f>
        <v>83o 05' 15"</v>
      </c>
      <c r="L1638" s="2" t="str">
        <f>IFERROR(__xludf.DUMMYFUNCTION("""COMPUTED_VALUE"""),"83o 08' 57""")</f>
        <v>83o 08' 57"</v>
      </c>
      <c r="M1638" s="2" t="str">
        <f>IFERROR(__xludf.DUMMYFUNCTION("""COMPUTED_VALUE"""),"Mukot,Sahartara (Dolpa)")</f>
        <v>Mukot,Sahartara (Dolpa)</v>
      </c>
    </row>
    <row r="1639">
      <c r="A1639" s="2">
        <f>IFERROR(__xludf.DUMMYFUNCTION("""COMPUTED_VALUE"""),1638.0)</f>
        <v>1638</v>
      </c>
      <c r="B1639" s="2" t="str">
        <f>IFERROR(__xludf.DUMMYFUNCTION("""COMPUTED_VALUE"""),"Selang Khola A")</f>
        <v>Selang Khola A</v>
      </c>
      <c r="C1639" s="2">
        <f>IFERROR(__xludf.DUMMYFUNCTION("""COMPUTED_VALUE"""),0.75)</f>
        <v>0.75</v>
      </c>
      <c r="D1639" s="2" t="str">
        <f>IFERROR(__xludf.DUMMYFUNCTION("""COMPUTED_VALUE"""),"Selang")</f>
        <v>Selang</v>
      </c>
      <c r="E1639" s="2">
        <f>IFERROR(__xludf.DUMMYFUNCTION("""COMPUTED_VALUE"""),2636.0)</f>
        <v>2636</v>
      </c>
      <c r="F1639" s="3">
        <f>IFERROR(__xludf.DUMMYFUNCTION("""COMPUTED_VALUE"""),61254.0)</f>
        <v>61254</v>
      </c>
      <c r="G1639" s="2" t="str">
        <f>IFERROR(__xludf.DUMMYFUNCTION("""COMPUTED_VALUE"""),"Buddhi Bdr Silwal, Krishna Bdr Silwal")</f>
        <v>Buddhi Bdr Silwal, Krishna Bdr Silwal</v>
      </c>
      <c r="H1639" s="2" t="str">
        <f>IFERROR(__xludf.DUMMYFUNCTION("""COMPUTED_VALUE"""),"Silang 7, Sindhupalchok, P.O.Box 9562 Kathmandu, Mobile 9741018495 ( 
Krishna Bdr Silwal)")</f>
        <v>Silang 7, Sindhupalchok, P.O.Box 9562 Kathmandu, Mobile 9741018495 ( 
Krishna Bdr Silwal)</v>
      </c>
      <c r="I1639" s="2" t="str">
        <f>IFERROR(__xludf.DUMMYFUNCTION("""COMPUTED_VALUE"""),"27o 51' 08""")</f>
        <v>27o 51' 08"</v>
      </c>
      <c r="J1639" s="2" t="str">
        <f>IFERROR(__xludf.DUMMYFUNCTION("""COMPUTED_VALUE"""),"27o 52' 16""")</f>
        <v>27o 52' 16"</v>
      </c>
      <c r="K1639" s="2" t="str">
        <f>IFERROR(__xludf.DUMMYFUNCTION("""COMPUTED_VALUE"""),"85o 45' 00""")</f>
        <v>85o 45' 00"</v>
      </c>
      <c r="L1639" s="2" t="str">
        <f>IFERROR(__xludf.DUMMYFUNCTION("""COMPUTED_VALUE"""),"85o 45' 44""")</f>
        <v>85o 45' 44"</v>
      </c>
      <c r="M1639" s="2" t="str">
        <f>IFERROR(__xludf.DUMMYFUNCTION("""COMPUTED_VALUE"""),"Selang (Sindhupalchok)")</f>
        <v>Selang (Sindhupalchok)</v>
      </c>
    </row>
    <row r="1640">
      <c r="A1640" s="2">
        <f>IFERROR(__xludf.DUMMYFUNCTION("""COMPUTED_VALUE"""),1639.0)</f>
        <v>1639</v>
      </c>
      <c r="B1640" s="2" t="str">
        <f>IFERROR(__xludf.DUMMYFUNCTION("""COMPUTED_VALUE"""),"Dorje Khola")</f>
        <v>Dorje Khola</v>
      </c>
      <c r="C1640" s="2">
        <f>IFERROR(__xludf.DUMMYFUNCTION("""COMPUTED_VALUE"""),0.95)</f>
        <v>0.95</v>
      </c>
      <c r="D1640" s="2" t="str">
        <f>IFERROR(__xludf.DUMMYFUNCTION("""COMPUTED_VALUE"""),"Dorje")</f>
        <v>Dorje</v>
      </c>
      <c r="E1640" s="2">
        <f>IFERROR(__xludf.DUMMYFUNCTION("""COMPUTED_VALUE"""),2664.0)</f>
        <v>2664</v>
      </c>
      <c r="F1640" s="3">
        <f>IFERROR(__xludf.DUMMYFUNCTION("""COMPUTED_VALUE"""),61256.0)</f>
        <v>61256</v>
      </c>
      <c r="G1640" s="2" t="str">
        <f>IFERROR(__xludf.DUMMYFUNCTION("""COMPUTED_VALUE"""),"Bishnu P. Sapakota, Dhruba Thapa, Maila Tamang")</f>
        <v>Bishnu P. Sapakota, Dhruba Thapa, Maila Tamang</v>
      </c>
      <c r="H1640" s="2" t="str">
        <f>IFERROR(__xludf.DUMMYFUNCTION("""COMPUTED_VALUE"""),"Sindhupalchok, 9741024779 (Bishnu), 9751002327 (Dhruba), 9803916413 (Maila)")</f>
        <v>Sindhupalchok, 9741024779 (Bishnu), 9751002327 (Dhruba), 9803916413 (Maila)</v>
      </c>
      <c r="I1640" s="2" t="str">
        <f>IFERROR(__xludf.DUMMYFUNCTION("""COMPUTED_VALUE"""),"28o 05' 48""")</f>
        <v>28o 05' 48"</v>
      </c>
      <c r="J1640" s="2" t="str">
        <f>IFERROR(__xludf.DUMMYFUNCTION("""COMPUTED_VALUE"""),"28o 06' 50""")</f>
        <v>28o 06' 50"</v>
      </c>
      <c r="K1640" s="2" t="str">
        <f>IFERROR(__xludf.DUMMYFUNCTION("""COMPUTED_VALUE"""),"85o 46' 58""")</f>
        <v>85o 46' 58"</v>
      </c>
      <c r="L1640" s="2" t="str">
        <f>IFERROR(__xludf.DUMMYFUNCTION("""COMPUTED_VALUE"""),"85o 47' 38""")</f>
        <v>85o 47' 38"</v>
      </c>
      <c r="M1640" s="2" t="str">
        <f>IFERROR(__xludf.DUMMYFUNCTION("""COMPUTED_VALUE"""),"Golche (Sindhupalchok)")</f>
        <v>Golche (Sindhupalchok)</v>
      </c>
    </row>
    <row r="1641">
      <c r="A1641" s="2">
        <f>IFERROR(__xludf.DUMMYFUNCTION("""COMPUTED_VALUE"""),1640.0)</f>
        <v>1640</v>
      </c>
      <c r="B1641" s="2" t="str">
        <f>IFERROR(__xludf.DUMMYFUNCTION("""COMPUTED_VALUE"""),"Jhyari Khola")</f>
        <v>Jhyari Khola</v>
      </c>
      <c r="C1641" s="2">
        <f>IFERROR(__xludf.DUMMYFUNCTION("""COMPUTED_VALUE"""),2.0)</f>
        <v>2</v>
      </c>
      <c r="D1641" s="2" t="str">
        <f>IFERROR(__xludf.DUMMYFUNCTION("""COMPUTED_VALUE"""),"Jhyari Khola")</f>
        <v>Jhyari Khola</v>
      </c>
      <c r="E1641" s="2">
        <f>IFERROR(__xludf.DUMMYFUNCTION("""COMPUTED_VALUE"""),2671.0)</f>
        <v>2671</v>
      </c>
      <c r="F1641" s="3">
        <f>IFERROR(__xludf.DUMMYFUNCTION("""COMPUTED_VALUE"""),61256.0)</f>
        <v>61256</v>
      </c>
      <c r="G1641" s="2" t="str">
        <f>IFERROR(__xludf.DUMMYFUNCTION("""COMPUTED_VALUE"""),"Electrocum and Research Center Pvt Ltd")</f>
        <v>Electrocum and Research Center Pvt Ltd</v>
      </c>
      <c r="H1641" s="2" t="str">
        <f>IFERROR(__xludf.DUMMYFUNCTION("""COMPUTED_VALUE"""),"Dhapasi 7, Kathmandu, P.O.Box 23814, 9851003846, 014785297")</f>
        <v>Dhapasi 7, Kathmandu, P.O.Box 23814, 9851003846, 014785297</v>
      </c>
      <c r="I1641" s="2" t="str">
        <f>IFERROR(__xludf.DUMMYFUNCTION("""COMPUTED_VALUE"""),"27o 44' 30""")</f>
        <v>27o 44' 30"</v>
      </c>
      <c r="J1641" s="2" t="str">
        <f>IFERROR(__xludf.DUMMYFUNCTION("""COMPUTED_VALUE"""),"27o 46' 35""")</f>
        <v>27o 46' 35"</v>
      </c>
      <c r="K1641" s="2" t="str">
        <f>IFERROR(__xludf.DUMMYFUNCTION("""COMPUTED_VALUE"""),"85o 40' 15""")</f>
        <v>85o 40' 15"</v>
      </c>
      <c r="L1641" s="2" t="str">
        <f>IFERROR(__xludf.DUMMYFUNCTION("""COMPUTED_VALUE"""),"85o 41' 02""")</f>
        <v>85o 41' 02"</v>
      </c>
      <c r="M1641" s="2" t="str">
        <f>IFERROR(__xludf.DUMMYFUNCTION("""COMPUTED_VALUE"""),"Sanusiruwari (Sindhupalchok)")</f>
        <v>Sanusiruwari (Sindhupalchok)</v>
      </c>
    </row>
    <row r="1642">
      <c r="A1642" s="2">
        <f>IFERROR(__xludf.DUMMYFUNCTION("""COMPUTED_VALUE"""),1641.0)</f>
        <v>1641</v>
      </c>
      <c r="B1642" s="2" t="str">
        <f>IFERROR(__xludf.DUMMYFUNCTION("""COMPUTED_VALUE"""),"Saligram Kaligandaki HPP")</f>
        <v>Saligram Kaligandaki HPP</v>
      </c>
      <c r="C1642" s="2">
        <f>IFERROR(__xludf.DUMMYFUNCTION("""COMPUTED_VALUE"""),86.0)</f>
        <v>86</v>
      </c>
      <c r="D1642" s="2" t="str">
        <f>IFERROR(__xludf.DUMMYFUNCTION("""COMPUTED_VALUE"""),"Kali Gandaki")</f>
        <v>Kali Gandaki</v>
      </c>
      <c r="E1642" s="2">
        <f>IFERROR(__xludf.DUMMYFUNCTION("""COMPUTED_VALUE"""),2701.0)</f>
        <v>2701</v>
      </c>
      <c r="F1642" s="3">
        <f>IFERROR(__xludf.DUMMYFUNCTION("""COMPUTED_VALUE"""),61259.0)</f>
        <v>61259</v>
      </c>
      <c r="G1642" s="2" t="str">
        <f>IFERROR(__xludf.DUMMYFUNCTION("""COMPUTED_VALUE"""),"Gorkha Power Company Pvt Ltd")</f>
        <v>Gorkha Power Company Pvt Ltd</v>
      </c>
      <c r="H1642" s="2" t="str">
        <f>IFERROR(__xludf.DUMMYFUNCTION("""COMPUTED_VALUE"""),"Min Bhavan Kathmandu, GPO Box: 2581, Tel: 4106731,4106507")</f>
        <v>Min Bhavan Kathmandu, GPO Box: 2581, Tel: 4106731,4106507</v>
      </c>
      <c r="I1642" s="2" t="str">
        <f>IFERROR(__xludf.DUMMYFUNCTION("""COMPUTED_VALUE"""),"28o 00' 35""")</f>
        <v>28o 00' 35"</v>
      </c>
      <c r="J1642" s="2" t="str">
        <f>IFERROR(__xludf.DUMMYFUNCTION("""COMPUTED_VALUE"""),"28o 07' 30""")</f>
        <v>28o 07' 30"</v>
      </c>
      <c r="K1642" s="2" t="str">
        <f>IFERROR(__xludf.DUMMYFUNCTION("""COMPUTED_VALUE"""),"83o 33' 00""")</f>
        <v>83o 33' 00"</v>
      </c>
      <c r="L1642" s="2" t="str">
        <f>IFERROR(__xludf.DUMMYFUNCTION("""COMPUTED_VALUE"""),"83o 38' 00""")</f>
        <v>83o 38' 00"</v>
      </c>
      <c r="M1642" s="2" t="str">
        <f>IFERROR(__xludf.DUMMYFUNCTION("""COMPUTED_VALUE"""),"Arbani,Jaikhani,Khadagkot (Gulmi) Bachchha,Bajung,Bihadi Ranipani (Parbat)")</f>
        <v>Arbani,Jaikhani,Khadagkot (Gulmi) Bachchha,Bajung,Bihadi Ranipani (Parbat)</v>
      </c>
    </row>
    <row r="1643">
      <c r="A1643" s="2">
        <f>IFERROR(__xludf.DUMMYFUNCTION("""COMPUTED_VALUE"""),1642.0)</f>
        <v>1642</v>
      </c>
      <c r="B1643" s="2" t="str">
        <f>IFERROR(__xludf.DUMMYFUNCTION("""COMPUTED_VALUE"""),"Mewa Khola Small Hydropower project")</f>
        <v>Mewa Khola Small Hydropower project</v>
      </c>
      <c r="C1643" s="2">
        <f>IFERROR(__xludf.DUMMYFUNCTION("""COMPUTED_VALUE"""),0.535)</f>
        <v>0.535</v>
      </c>
      <c r="D1643" s="2" t="str">
        <f>IFERROR(__xludf.DUMMYFUNCTION("""COMPUTED_VALUE"""),"Mewa Khola")</f>
        <v>Mewa Khola</v>
      </c>
      <c r="E1643" s="2">
        <f>IFERROR(__xludf.DUMMYFUNCTION("""COMPUTED_VALUE"""),2712.0)</f>
        <v>2712</v>
      </c>
      <c r="F1643" s="3">
        <f>IFERROR(__xludf.DUMMYFUNCTION("""COMPUTED_VALUE"""),61260.0)</f>
        <v>61260</v>
      </c>
      <c r="G1643" s="2" t="str">
        <f>IFERROR(__xludf.DUMMYFUNCTION("""COMPUTED_VALUE"""),"Mewa Khola Microhydro Project Consumers Committee")</f>
        <v>Mewa Khola Microhydro Project Consumers Committee</v>
      </c>
      <c r="H1643" s="2" t="str">
        <f>IFERROR(__xludf.DUMMYFUNCTION("""COMPUTED_VALUE"""),"Khokling , Taplejung, Tel: 9842742335, 9841023001")</f>
        <v>Khokling , Taplejung, Tel: 9842742335, 9841023001</v>
      </c>
      <c r="I1643" s="2" t="str">
        <f>IFERROR(__xludf.DUMMYFUNCTION("""COMPUTED_VALUE"""),"27o 22' 50""")</f>
        <v>27o 22' 50"</v>
      </c>
      <c r="J1643" s="2" t="str">
        <f>IFERROR(__xludf.DUMMYFUNCTION("""COMPUTED_VALUE"""),"27o 23' 31""")</f>
        <v>27o 23' 31"</v>
      </c>
      <c r="K1643" s="2" t="str">
        <f>IFERROR(__xludf.DUMMYFUNCTION("""COMPUTED_VALUE"""),"87o 37' 00""")</f>
        <v>87o 37' 00"</v>
      </c>
      <c r="L1643" s="2" t="str">
        <f>IFERROR(__xludf.DUMMYFUNCTION("""COMPUTED_VALUE"""),"87o 38' 15""")</f>
        <v>87o 38' 15"</v>
      </c>
      <c r="M1643" s="2" t="str">
        <f>IFERROR(__xludf.DUMMYFUNCTION("""COMPUTED_VALUE"""),"Khokling,Khamlung,Phungling,Thinglabu,Santhakra (Taplejung)")</f>
        <v>Khokling,Khamlung,Phungling,Thinglabu,Santhakra (Taplejung)</v>
      </c>
    </row>
    <row r="1644">
      <c r="A1644" s="2">
        <f>IFERROR(__xludf.DUMMYFUNCTION("""COMPUTED_VALUE"""),1643.0)</f>
        <v>1643</v>
      </c>
      <c r="B1644" s="2" t="str">
        <f>IFERROR(__xludf.DUMMYFUNCTION("""COMPUTED_VALUE"""),"Salmaghin Ghatte Khola SHP")</f>
        <v>Salmaghin Ghatte Khola SHP</v>
      </c>
      <c r="C1644" s="2">
        <f>IFERROR(__xludf.DUMMYFUNCTION("""COMPUTED_VALUE"""),0.93)</f>
        <v>0.93</v>
      </c>
      <c r="D1644" s="2" t="str">
        <f>IFERROR(__xludf.DUMMYFUNCTION("""COMPUTED_VALUE"""),"Salmaghin")</f>
        <v>Salmaghin</v>
      </c>
      <c r="E1644" s="2">
        <f>IFERROR(__xludf.DUMMYFUNCTION("""COMPUTED_VALUE"""),2813.0)</f>
        <v>2813</v>
      </c>
      <c r="F1644" s="3">
        <f>IFERROR(__xludf.DUMMYFUNCTION("""COMPUTED_VALUE"""),61267.0)</f>
        <v>61267</v>
      </c>
      <c r="G1644" s="2" t="str">
        <f>IFERROR(__xludf.DUMMYFUNCTION("""COMPUTED_VALUE"""),"Norpu Wangel Lama, Nima Lama, Sabitri Sapkota, Chhetra Kumari Thapa")</f>
        <v>Norpu Wangel Lama, Nima Lama, Sabitri Sapkota, Chhetra Kumari Thapa</v>
      </c>
      <c r="H1644" s="2" t="str">
        <f>IFERROR(__xludf.DUMMYFUNCTION("""COMPUTED_VALUE"""),"Gumba-7, Sindhupalchowk, Tel: 9741230363")</f>
        <v>Gumba-7, Sindhupalchowk, Tel: 9741230363</v>
      </c>
      <c r="I1644" s="2" t="str">
        <f>IFERROR(__xludf.DUMMYFUNCTION("""COMPUTED_VALUE"""),"27o 57' 34""")</f>
        <v>27o 57' 34"</v>
      </c>
      <c r="J1644" s="2" t="str">
        <f>IFERROR(__xludf.DUMMYFUNCTION("""COMPUTED_VALUE"""),"27o 58' 38""")</f>
        <v>27o 58' 38"</v>
      </c>
      <c r="K1644" s="2" t="str">
        <f>IFERROR(__xludf.DUMMYFUNCTION("""COMPUTED_VALUE"""),"85o 48' 34""")</f>
        <v>85o 48' 34"</v>
      </c>
      <c r="L1644" s="2" t="str">
        <f>IFERROR(__xludf.DUMMYFUNCTION("""COMPUTED_VALUE"""),"85o 49' 29""")</f>
        <v>85o 49' 29"</v>
      </c>
      <c r="M1644" s="2" t="str">
        <f>IFERROR(__xludf.DUMMYFUNCTION("""COMPUTED_VALUE"""),"Gumba (Sindhupalchok)")</f>
        <v>Gumba (Sindhupalchok)</v>
      </c>
    </row>
    <row r="1645">
      <c r="A1645" s="2">
        <f>IFERROR(__xludf.DUMMYFUNCTION("""COMPUTED_VALUE"""),1644.0)</f>
        <v>1644</v>
      </c>
      <c r="B1645" s="2" t="str">
        <f>IFERROR(__xludf.DUMMYFUNCTION("""COMPUTED_VALUE"""),"Tip Gad HPP")</f>
        <v>Tip Gad HPP</v>
      </c>
      <c r="C1645" s="2">
        <f>IFERROR(__xludf.DUMMYFUNCTION("""COMPUTED_VALUE"""),18.0)</f>
        <v>18</v>
      </c>
      <c r="D1645" s="2" t="str">
        <f>IFERROR(__xludf.DUMMYFUNCTION("""COMPUTED_VALUE"""),"Tip gad")</f>
        <v>Tip gad</v>
      </c>
      <c r="E1645" s="2">
        <f>IFERROR(__xludf.DUMMYFUNCTION("""COMPUTED_VALUE"""),2892.0)</f>
        <v>2892</v>
      </c>
      <c r="F1645" s="3">
        <f>IFERROR(__xludf.DUMMYFUNCTION("""COMPUTED_VALUE"""),61268.0)</f>
        <v>61268</v>
      </c>
      <c r="G1645" s="2" t="str">
        <f>IFERROR(__xludf.DUMMYFUNCTION("""COMPUTED_VALUE"""),"Bagmati Energy Limited")</f>
        <v>Bagmati Energy Limited</v>
      </c>
      <c r="H1645" s="2" t="str">
        <f>IFERROR(__xludf.DUMMYFUNCTION("""COMPUTED_VALUE"""),"Sitapaila-1, Kathmandu, Tel: 9841259610")</f>
        <v>Sitapaila-1, Kathmandu, Tel: 9841259610</v>
      </c>
      <c r="I1645" s="2" t="str">
        <f>IFERROR(__xludf.DUMMYFUNCTION("""COMPUTED_VALUE"""),"29o 17' 55""")</f>
        <v>29o 17' 55"</v>
      </c>
      <c r="J1645" s="2" t="str">
        <f>IFERROR(__xludf.DUMMYFUNCTION("""COMPUTED_VALUE"""),"29o 22' 14""")</f>
        <v>29o 22' 14"</v>
      </c>
      <c r="K1645" s="2" t="str">
        <f>IFERROR(__xludf.DUMMYFUNCTION("""COMPUTED_VALUE"""),"81o 45' 00""")</f>
        <v>81o 45' 00"</v>
      </c>
      <c r="L1645" s="2" t="str">
        <f>IFERROR(__xludf.DUMMYFUNCTION("""COMPUTED_VALUE"""),"81o 51' 52""")</f>
        <v>81o 51' 52"</v>
      </c>
      <c r="M1645" s="2" t="str">
        <f>IFERROR(__xludf.DUMMYFUNCTION("""COMPUTED_VALUE"""),"Thirpu (Kalikot)")</f>
        <v>Thirpu (Kalikot)</v>
      </c>
    </row>
    <row r="1646">
      <c r="A1646" s="2">
        <f>IFERROR(__xludf.DUMMYFUNCTION("""COMPUTED_VALUE"""),1645.0)</f>
        <v>1645</v>
      </c>
      <c r="B1646" s="2" t="str">
        <f>IFERROR(__xludf.DUMMYFUNCTION("""COMPUTED_VALUE"""),"Nar Khola HPP")</f>
        <v>Nar Khola HPP</v>
      </c>
      <c r="C1646" s="2">
        <f>IFERROR(__xludf.DUMMYFUNCTION("""COMPUTED_VALUE"""),36.58)</f>
        <v>36.58</v>
      </c>
      <c r="D1646" s="2" t="str">
        <f>IFERROR(__xludf.DUMMYFUNCTION("""COMPUTED_VALUE"""),"Nar Khola")</f>
        <v>Nar Khola</v>
      </c>
      <c r="E1646" s="2">
        <f>IFERROR(__xludf.DUMMYFUNCTION("""COMPUTED_VALUE"""),2891.0)</f>
        <v>2891</v>
      </c>
      <c r="F1646" s="3">
        <f>IFERROR(__xludf.DUMMYFUNCTION("""COMPUTED_VALUE"""),61272.0)</f>
        <v>61272</v>
      </c>
      <c r="G1646" s="2" t="str">
        <f>IFERROR(__xludf.DUMMYFUNCTION("""COMPUTED_VALUE"""),"Bagmati Energy Limited")</f>
        <v>Bagmati Energy Limited</v>
      </c>
      <c r="H1646" s="2" t="str">
        <f>IFERROR(__xludf.DUMMYFUNCTION("""COMPUTED_VALUE"""),"Sitapaila-1, Kathmandu, Tel: 9841259610")</f>
        <v>Sitapaila-1, Kathmandu, Tel: 9841259610</v>
      </c>
      <c r="I1646" s="2" t="str">
        <f>IFERROR(__xludf.DUMMYFUNCTION("""COMPUTED_VALUE"""),"28o 38' 00""")</f>
        <v>28o 38' 00"</v>
      </c>
      <c r="J1646" s="2" t="str">
        <f>IFERROR(__xludf.DUMMYFUNCTION("""COMPUTED_VALUE"""),"28o 40' 07""")</f>
        <v>28o 40' 07"</v>
      </c>
      <c r="K1646" s="2" t="str">
        <f>IFERROR(__xludf.DUMMYFUNCTION("""COMPUTED_VALUE"""),"84o 13' 30""")</f>
        <v>84o 13' 30"</v>
      </c>
      <c r="L1646" s="2" t="str">
        <f>IFERROR(__xludf.DUMMYFUNCTION("""COMPUTED_VALUE"""),"84o 15' 00""")</f>
        <v>84o 15' 00"</v>
      </c>
      <c r="M1646" s="2" t="str">
        <f>IFERROR(__xludf.DUMMYFUNCTION("""COMPUTED_VALUE"""),"Nar (Manang)")</f>
        <v>Nar (Manang)</v>
      </c>
    </row>
    <row r="1647">
      <c r="A1647" s="2">
        <f>IFERROR(__xludf.DUMMYFUNCTION("""COMPUTED_VALUE"""),1646.0)</f>
        <v>1646</v>
      </c>
      <c r="B1647" s="2" t="str">
        <f>IFERROR(__xludf.DUMMYFUNCTION("""COMPUTED_VALUE"""),"Deku Khola SHP")</f>
        <v>Deku Khola SHP</v>
      </c>
      <c r="C1647" s="2">
        <f>IFERROR(__xludf.DUMMYFUNCTION("""COMPUTED_VALUE"""),0.5)</f>
        <v>0.5</v>
      </c>
      <c r="D1647" s="2" t="str">
        <f>IFERROR(__xludf.DUMMYFUNCTION("""COMPUTED_VALUE"""),"Deku")</f>
        <v>Deku</v>
      </c>
      <c r="E1647" s="2">
        <f>IFERROR(__xludf.DUMMYFUNCTION("""COMPUTED_VALUE"""),3087.0)</f>
        <v>3087</v>
      </c>
      <c r="F1647" s="3">
        <f>IFERROR(__xludf.DUMMYFUNCTION("""COMPUTED_VALUE"""),61281.0)</f>
        <v>61281</v>
      </c>
      <c r="G1647" s="2" t="str">
        <f>IFERROR(__xludf.DUMMYFUNCTION("""COMPUTED_VALUE"""),"Nepal Electricity Kathmandu Pvt Ltd")</f>
        <v>Nepal Electricity Kathmandu Pvt Ltd</v>
      </c>
      <c r="H1647" s="2" t="str">
        <f>IFERROR(__xludf.DUMMYFUNCTION("""COMPUTED_VALUE"""),"Sanepa , Lalitpur Tel: 01-5522297")</f>
        <v>Sanepa , Lalitpur Tel: 01-5522297</v>
      </c>
      <c r="I1647" s="2" t="str">
        <f>IFERROR(__xludf.DUMMYFUNCTION("""COMPUTED_VALUE"""),"27o 35' 05""")</f>
        <v>27o 35' 05"</v>
      </c>
      <c r="J1647" s="2" t="str">
        <f>IFERROR(__xludf.DUMMYFUNCTION("""COMPUTED_VALUE"""),"27o 36' 50""")</f>
        <v>27o 36' 50"</v>
      </c>
      <c r="K1647" s="2" t="str">
        <f>IFERROR(__xludf.DUMMYFUNCTION("""COMPUTED_VALUE"""),"86o 38' 42""")</f>
        <v>86o 38' 42"</v>
      </c>
      <c r="L1647" s="2" t="str">
        <f>IFERROR(__xludf.DUMMYFUNCTION("""COMPUTED_VALUE"""),"86o 39' 00""")</f>
        <v>86o 39' 00"</v>
      </c>
      <c r="M1647" s="2" t="str">
        <f>IFERROR(__xludf.DUMMYFUNCTION("""COMPUTED_VALUE"""),"Takasindu (Solukhumbu)")</f>
        <v>Takasindu (Solukhumbu)</v>
      </c>
    </row>
    <row r="1648">
      <c r="A1648" s="2">
        <f>IFERROR(__xludf.DUMMYFUNCTION("""COMPUTED_VALUE"""),1647.0)</f>
        <v>1647</v>
      </c>
      <c r="B1648" s="2" t="str">
        <f>IFERROR(__xludf.DUMMYFUNCTION("""COMPUTED_VALUE"""),"Rodikot Khola SHP")</f>
        <v>Rodikot Khola SHP</v>
      </c>
      <c r="C1648" s="2">
        <f>IFERROR(__xludf.DUMMYFUNCTION("""COMPUTED_VALUE"""),0.5)</f>
        <v>0.5</v>
      </c>
      <c r="D1648" s="2" t="str">
        <f>IFERROR(__xludf.DUMMYFUNCTION("""COMPUTED_VALUE"""),"Rodikot")</f>
        <v>Rodikot</v>
      </c>
      <c r="E1648" s="2">
        <f>IFERROR(__xludf.DUMMYFUNCTION("""COMPUTED_VALUE"""),3088.0)</f>
        <v>3088</v>
      </c>
      <c r="F1648" s="3">
        <f>IFERROR(__xludf.DUMMYFUNCTION("""COMPUTED_VALUE"""),61281.0)</f>
        <v>61281</v>
      </c>
      <c r="G1648" s="2" t="str">
        <f>IFERROR(__xludf.DUMMYFUNCTION("""COMPUTED_VALUE"""),"Suryodaya Hydropower Nepal Pvt Ltd")</f>
        <v>Suryodaya Hydropower Nepal Pvt Ltd</v>
      </c>
      <c r="H1648" s="2" t="str">
        <f>IFERROR(__xludf.DUMMYFUNCTION("""COMPUTED_VALUE"""),"Sanepa , Lalitpur Tel: 9851088977")</f>
        <v>Sanepa , Lalitpur Tel: 9851088977</v>
      </c>
      <c r="I1648" s="2" t="str">
        <f>IFERROR(__xludf.DUMMYFUNCTION("""COMPUTED_VALUE"""),"29o 50' 48""")</f>
        <v>29o 50' 48"</v>
      </c>
      <c r="J1648" s="2" t="str">
        <f>IFERROR(__xludf.DUMMYFUNCTION("""COMPUTED_VALUE"""),"29o 53' 00""")</f>
        <v>29o 53' 00"</v>
      </c>
      <c r="K1648" s="2" t="str">
        <f>IFERROR(__xludf.DUMMYFUNCTION("""COMPUTED_VALUE"""),"81o 56' 10""")</f>
        <v>81o 56' 10"</v>
      </c>
      <c r="L1648" s="2" t="str">
        <f>IFERROR(__xludf.DUMMYFUNCTION("""COMPUTED_VALUE"""),"82o 00' 00""")</f>
        <v>82o 00' 00"</v>
      </c>
      <c r="M1648" s="2" t="str">
        <f>IFERROR(__xludf.DUMMYFUNCTION("""COMPUTED_VALUE"""),"Rodikot (Humla)")</f>
        <v>Rodikot (Humla)</v>
      </c>
    </row>
    <row r="1649">
      <c r="A1649" s="2">
        <f>IFERROR(__xludf.DUMMYFUNCTION("""COMPUTED_VALUE"""),1648.0)</f>
        <v>1648</v>
      </c>
      <c r="B1649" s="2" t="str">
        <f>IFERROR(__xludf.DUMMYFUNCTION("""COMPUTED_VALUE"""),"Solu Khola HPP")</f>
        <v>Solu Khola HPP</v>
      </c>
      <c r="C1649" s="2">
        <f>IFERROR(__xludf.DUMMYFUNCTION("""COMPUTED_VALUE"""),5.0)</f>
        <v>5</v>
      </c>
      <c r="D1649" s="2" t="str">
        <f>IFERROR(__xludf.DUMMYFUNCTION("""COMPUTED_VALUE"""),"Solu Khola")</f>
        <v>Solu Khola</v>
      </c>
      <c r="E1649" s="2">
        <f>IFERROR(__xludf.DUMMYFUNCTION("""COMPUTED_VALUE"""),3094.0)</f>
        <v>3094</v>
      </c>
      <c r="F1649" s="3">
        <f>IFERROR(__xludf.DUMMYFUNCTION("""COMPUTED_VALUE"""),61281.0)</f>
        <v>61281</v>
      </c>
      <c r="G1649" s="2" t="str">
        <f>IFERROR(__xludf.DUMMYFUNCTION("""COMPUTED_VALUE"""),"Salleri Chialsa Electricity Co. Ltd")</f>
        <v>Salleri Chialsa Electricity Co. Ltd</v>
      </c>
      <c r="H1649" s="2" t="str">
        <f>IFERROR(__xludf.DUMMYFUNCTION("""COMPUTED_VALUE"""),"Salleri, Solukhumbu, Tel: 038-520210, Fax: 038-520260")</f>
        <v>Salleri, Solukhumbu, Tel: 038-520210, Fax: 038-520260</v>
      </c>
      <c r="I1649" s="2" t="str">
        <f>IFERROR(__xludf.DUMMYFUNCTION("""COMPUTED_VALUE"""),"27o 29' 10""")</f>
        <v>27o 29' 10"</v>
      </c>
      <c r="J1649" s="2" t="str">
        <f>IFERROR(__xludf.DUMMYFUNCTION("""COMPUTED_VALUE"""),"27o 31' 15""")</f>
        <v>27o 31' 15"</v>
      </c>
      <c r="K1649" s="2" t="str">
        <f>IFERROR(__xludf.DUMMYFUNCTION("""COMPUTED_VALUE"""),"86o 33' 20""")</f>
        <v>86o 33' 20"</v>
      </c>
      <c r="L1649" s="2" t="str">
        <f>IFERROR(__xludf.DUMMYFUNCTION("""COMPUTED_VALUE"""),"86o 36' 15""")</f>
        <v>86o 36' 15"</v>
      </c>
      <c r="M1649" s="2" t="str">
        <f>IFERROR(__xludf.DUMMYFUNCTION("""COMPUTED_VALUE"""),"Salleri (Solukhumbu)")</f>
        <v>Salleri (Solukhumbu)</v>
      </c>
    </row>
    <row r="1650">
      <c r="A1650" s="2">
        <f>IFERROR(__xludf.DUMMYFUNCTION("""COMPUTED_VALUE"""),1649.0)</f>
        <v>1649</v>
      </c>
      <c r="B1650" s="2" t="str">
        <f>IFERROR(__xludf.DUMMYFUNCTION("""COMPUTED_VALUE"""),"Chandrawati Khola")</f>
        <v>Chandrawati Khola</v>
      </c>
      <c r="C1650" s="2">
        <f>IFERROR(__xludf.DUMMYFUNCTION("""COMPUTED_VALUE"""),4.0)</f>
        <v>4</v>
      </c>
      <c r="D1650" s="2" t="str">
        <f>IFERROR(__xludf.DUMMYFUNCTION("""COMPUTED_VALUE"""),"Chandrawati")</f>
        <v>Chandrawati</v>
      </c>
      <c r="E1650" s="2"/>
      <c r="F1650" s="3">
        <f>IFERROR(__xludf.DUMMYFUNCTION("""COMPUTED_VALUE"""),61287.0)</f>
        <v>61287</v>
      </c>
      <c r="G1650" s="2" t="str">
        <f>IFERROR(__xludf.DUMMYFUNCTION("""COMPUTED_VALUE"""),"Chandrawati Power Company")</f>
        <v>Chandrawati Power Company</v>
      </c>
      <c r="H1650" s="2" t="str">
        <f>IFERROR(__xludf.DUMMYFUNCTION("""COMPUTED_VALUE"""),"Gongabu Kathmandu")</f>
        <v>Gongabu Kathmandu</v>
      </c>
      <c r="I1650" s="2" t="str">
        <f>IFERROR(__xludf.DUMMYFUNCTION("""COMPUTED_VALUE"""),"27o 54' 32""")</f>
        <v>27o 54' 32"</v>
      </c>
      <c r="J1650" s="2" t="str">
        <f>IFERROR(__xludf.DUMMYFUNCTION("""COMPUTED_VALUE"""),"27o 55' 50""")</f>
        <v>27o 55' 50"</v>
      </c>
      <c r="K1650" s="2" t="str">
        <f>IFERROR(__xludf.DUMMYFUNCTION("""COMPUTED_VALUE"""),"85o 24' 45""")</f>
        <v>85o 24' 45"</v>
      </c>
      <c r="L1650" s="2" t="str">
        <f>IFERROR(__xludf.DUMMYFUNCTION("""COMPUTED_VALUE"""),"85o 27' 11""")</f>
        <v>85o 27' 11"</v>
      </c>
      <c r="M1650" s="2" t="str">
        <f>IFERROR(__xludf.DUMMYFUNCTION("""COMPUTED_VALUE"""),"Beteni,Rautbesi,Gaunkharka (Nuwakot)")</f>
        <v>Beteni,Rautbesi,Gaunkharka (Nuwakot)</v>
      </c>
    </row>
    <row r="1651">
      <c r="A1651" s="2">
        <f>IFERROR(__xludf.DUMMYFUNCTION("""COMPUTED_VALUE"""),1650.0)</f>
        <v>1650</v>
      </c>
      <c r="B1651" s="2" t="str">
        <f>IFERROR(__xludf.DUMMYFUNCTION("""COMPUTED_VALUE"""),"Gestunge Hydropower Project")</f>
        <v>Gestunge Hydropower Project</v>
      </c>
      <c r="C1651" s="2">
        <f>IFERROR(__xludf.DUMMYFUNCTION("""COMPUTED_VALUE"""),34.9)</f>
        <v>34.9</v>
      </c>
      <c r="D1651" s="2" t="str">
        <f>IFERROR(__xludf.DUMMYFUNCTION("""COMPUTED_VALUE"""),"Ghustun")</f>
        <v>Ghustun</v>
      </c>
      <c r="E1651" s="2">
        <f>IFERROR(__xludf.DUMMYFUNCTION("""COMPUTED_VALUE"""),3234.0)</f>
        <v>3234</v>
      </c>
      <c r="F1651" s="3">
        <f>IFERROR(__xludf.DUMMYFUNCTION("""COMPUTED_VALUE"""),61294.0)</f>
        <v>61294</v>
      </c>
      <c r="G1651" s="2" t="str">
        <f>IFERROR(__xludf.DUMMYFUNCTION("""COMPUTED_VALUE"""),"Morang Energy Limited")</f>
        <v>Morang Energy Limited</v>
      </c>
      <c r="H1651" s="2" t="str">
        <f>IFERROR(__xludf.DUMMYFUNCTION("""COMPUTED_VALUE"""),"Thapathali, Kathmandu, Tel: 4260266")</f>
        <v>Thapathali, Kathmandu, Tel: 4260266</v>
      </c>
      <c r="I1651" s="2" t="str">
        <f>IFERROR(__xludf.DUMMYFUNCTION("""COMPUTED_VALUE"""),"28o 34' 00""")</f>
        <v>28o 34' 00"</v>
      </c>
      <c r="J1651" s="2" t="str">
        <f>IFERROR(__xludf.DUMMYFUNCTION("""COMPUTED_VALUE"""),"28o 40' 00""")</f>
        <v>28o 40' 00"</v>
      </c>
      <c r="K1651" s="2" t="str">
        <f>IFERROR(__xludf.DUMMYFUNCTION("""COMPUTED_VALUE"""),"83o 07' 30""")</f>
        <v>83o 07' 30"</v>
      </c>
      <c r="L1651" s="2" t="str">
        <f>IFERROR(__xludf.DUMMYFUNCTION("""COMPUTED_VALUE"""),"83o 15' 00""")</f>
        <v>83o 15' 00"</v>
      </c>
      <c r="M1651" s="2" t="str">
        <f>IFERROR(__xludf.DUMMYFUNCTION("""COMPUTED_VALUE"""),"Ranmamekot (Rukum)")</f>
        <v>Ranmamekot (Rukum)</v>
      </c>
    </row>
    <row r="1652">
      <c r="A1652" s="2">
        <f>IFERROR(__xludf.DUMMYFUNCTION("""COMPUTED_VALUE"""),1651.0)</f>
        <v>1651</v>
      </c>
      <c r="B1652" s="2" t="str">
        <f>IFERROR(__xludf.DUMMYFUNCTION("""COMPUTED_VALUE"""),"Suspa Bukhari SHP")</f>
        <v>Suspa Bukhari SHP</v>
      </c>
      <c r="C1652" s="2">
        <f>IFERROR(__xludf.DUMMYFUNCTION("""COMPUTED_VALUE"""),0.25)</f>
        <v>0.25</v>
      </c>
      <c r="D1652" s="2" t="str">
        <f>IFERROR(__xludf.DUMMYFUNCTION("""COMPUTED_VALUE"""),"Bukhari")</f>
        <v>Bukhari</v>
      </c>
      <c r="E1652" s="2">
        <f>IFERROR(__xludf.DUMMYFUNCTION("""COMPUTED_VALUE"""),3305.0)</f>
        <v>3305</v>
      </c>
      <c r="F1652" s="3">
        <f>IFERROR(__xludf.DUMMYFUNCTION("""COMPUTED_VALUE"""),61297.0)</f>
        <v>61297</v>
      </c>
      <c r="G1652" s="2" t="str">
        <f>IFERROR(__xludf.DUMMYFUNCTION("""COMPUTED_VALUE"""),"Suman Thapa")</f>
        <v>Suman Thapa</v>
      </c>
      <c r="H1652" s="2" t="str">
        <f>IFERROR(__xludf.DUMMYFUNCTION("""COMPUTED_VALUE"""),"Suspa Chhamabati-7, Tel; 9741098187")</f>
        <v>Suspa Chhamabati-7, Tel; 9741098187</v>
      </c>
      <c r="I1652" s="2" t="str">
        <f>IFERROR(__xludf.DUMMYFUNCTION("""COMPUTED_VALUE"""),"27o 41' 40""")</f>
        <v>27o 41' 40"</v>
      </c>
      <c r="J1652" s="2" t="str">
        <f>IFERROR(__xludf.DUMMYFUNCTION("""COMPUTED_VALUE"""),"27o 42' 30""")</f>
        <v>27o 42' 30"</v>
      </c>
      <c r="K1652" s="2" t="str">
        <f>IFERROR(__xludf.DUMMYFUNCTION("""COMPUTED_VALUE"""),"86o 03' 25""")</f>
        <v>86o 03' 25"</v>
      </c>
      <c r="L1652" s="2" t="str">
        <f>IFERROR(__xludf.DUMMYFUNCTION("""COMPUTED_VALUE"""),"86o 04' 16""")</f>
        <v>86o 04' 16"</v>
      </c>
      <c r="M1652" s="2" t="str">
        <f>IFERROR(__xludf.DUMMYFUNCTION("""COMPUTED_VALUE"""),"Susma Chhemawati (Dolakha)")</f>
        <v>Susma Chhemawati (Dolakha)</v>
      </c>
    </row>
    <row r="1653">
      <c r="A1653" s="2">
        <f>IFERROR(__xludf.DUMMYFUNCTION("""COMPUTED_VALUE"""),1652.0)</f>
        <v>1652</v>
      </c>
      <c r="B1653" s="2" t="str">
        <f>IFERROR(__xludf.DUMMYFUNCTION("""COMPUTED_VALUE"""),"Rukum Gad")</f>
        <v>Rukum Gad</v>
      </c>
      <c r="C1653" s="2">
        <f>IFERROR(__xludf.DUMMYFUNCTION("""COMPUTED_VALUE"""),10.0)</f>
        <v>10</v>
      </c>
      <c r="D1653" s="2" t="str">
        <f>IFERROR(__xludf.DUMMYFUNCTION("""COMPUTED_VALUE"""),"Rukum Gad")</f>
        <v>Rukum Gad</v>
      </c>
      <c r="E1653" s="2">
        <f>IFERROR(__xludf.DUMMYFUNCTION("""COMPUTED_VALUE"""),3490.0)</f>
        <v>3490</v>
      </c>
      <c r="F1653" s="3">
        <f>IFERROR(__xludf.DUMMYFUNCTION("""COMPUTED_VALUE"""),61309.0)</f>
        <v>61309</v>
      </c>
      <c r="G1653" s="2" t="str">
        <f>IFERROR(__xludf.DUMMYFUNCTION("""COMPUTED_VALUE"""),"D. D. C. Rukum")</f>
        <v>D. D. C. Rukum</v>
      </c>
      <c r="H1653" s="2" t="str">
        <f>IFERROR(__xludf.DUMMYFUNCTION("""COMPUTED_VALUE"""),"Rukum")</f>
        <v>Rukum</v>
      </c>
      <c r="I1653" s="2" t="str">
        <f>IFERROR(__xludf.DUMMYFUNCTION("""COMPUTED_VALUE"""),"28o 35' 27""")</f>
        <v>28o 35' 27"</v>
      </c>
      <c r="J1653" s="2" t="str">
        <f>IFERROR(__xludf.DUMMYFUNCTION("""COMPUTED_VALUE"""),"28o 37' 57""")</f>
        <v>28o 37' 57"</v>
      </c>
      <c r="K1653" s="2" t="str">
        <f>IFERROR(__xludf.DUMMYFUNCTION("""COMPUTED_VALUE"""),"82o 37' 12""")</f>
        <v>82o 37' 12"</v>
      </c>
      <c r="L1653" s="2" t="str">
        <f>IFERROR(__xludf.DUMMYFUNCTION("""COMPUTED_VALUE"""),"82o 39' 07""")</f>
        <v>82o 39' 07"</v>
      </c>
      <c r="M1653" s="2"/>
    </row>
    <row r="1654">
      <c r="A1654" s="2">
        <f>IFERROR(__xludf.DUMMYFUNCTION("""COMPUTED_VALUE"""),1653.0)</f>
        <v>1653</v>
      </c>
      <c r="B1654" s="2" t="str">
        <f>IFERROR(__xludf.DUMMYFUNCTION("""COMPUTED_VALUE"""),"Labdi Khola SHP")</f>
        <v>Labdi Khola SHP</v>
      </c>
      <c r="C1654" s="2">
        <f>IFERROR(__xludf.DUMMYFUNCTION("""COMPUTED_VALUE"""),0.729)</f>
        <v>0.729</v>
      </c>
      <c r="D1654" s="2" t="str">
        <f>IFERROR(__xludf.DUMMYFUNCTION("""COMPUTED_VALUE"""),"Labdi")</f>
        <v>Labdi</v>
      </c>
      <c r="E1654" s="2">
        <f>IFERROR(__xludf.DUMMYFUNCTION("""COMPUTED_VALUE"""),3695.0)</f>
        <v>3695</v>
      </c>
      <c r="F1654" s="3">
        <f>IFERROR(__xludf.DUMMYFUNCTION("""COMPUTED_VALUE"""),61320.0)</f>
        <v>61320</v>
      </c>
      <c r="G1654" s="2" t="str">
        <f>IFERROR(__xludf.DUMMYFUNCTION("""COMPUTED_VALUE"""),"Rameswari Bista")</f>
        <v>Rameswari Bista</v>
      </c>
      <c r="H1654" s="2" t="str">
        <f>IFERROR(__xludf.DUMMYFUNCTION("""COMPUTED_VALUE"""),"Bharatpur Municipality-9, Chitwan")</f>
        <v>Bharatpur Municipality-9, Chitwan</v>
      </c>
      <c r="I1654" s="2" t="str">
        <f>IFERROR(__xludf.DUMMYFUNCTION("""COMPUTED_VALUE"""),"00o 00' 00""")</f>
        <v>00o 00' 00"</v>
      </c>
      <c r="J1654" s="2" t="str">
        <f>IFERROR(__xludf.DUMMYFUNCTION("""COMPUTED_VALUE"""),"00o 00' 00""")</f>
        <v>00o 00' 00"</v>
      </c>
      <c r="K1654" s="2" t="str">
        <f>IFERROR(__xludf.DUMMYFUNCTION("""COMPUTED_VALUE"""),"00o 00' 00""")</f>
        <v>00o 00' 00"</v>
      </c>
      <c r="L1654" s="2" t="str">
        <f>IFERROR(__xludf.DUMMYFUNCTION("""COMPUTED_VALUE"""),"00o 00' 00""")</f>
        <v>00o 00' 00"</v>
      </c>
      <c r="M1654" s="2" t="str">
        <f>IFERROR(__xludf.DUMMYFUNCTION("""COMPUTED_VALUE"""),"Chhimkeswori (Tanahu)")</f>
        <v>Chhimkeswori (Tanahu)</v>
      </c>
    </row>
    <row r="1655">
      <c r="A1655" s="2">
        <f>IFERROR(__xludf.DUMMYFUNCTION("""COMPUTED_VALUE"""),1654.0)</f>
        <v>1654</v>
      </c>
      <c r="B1655" s="2" t="str">
        <f>IFERROR(__xludf.DUMMYFUNCTION("""COMPUTED_VALUE"""),"Tila Khola Hydropower Project")</f>
        <v>Tila Khola Hydropower Project</v>
      </c>
      <c r="C1655" s="2">
        <f>IFERROR(__xludf.DUMMYFUNCTION("""COMPUTED_VALUE"""),5.0)</f>
        <v>5</v>
      </c>
      <c r="D1655" s="2" t="str">
        <f>IFERROR(__xludf.DUMMYFUNCTION("""COMPUTED_VALUE"""),"Tila")</f>
        <v>Tila</v>
      </c>
      <c r="E1655" s="2">
        <f>IFERROR(__xludf.DUMMYFUNCTION("""COMPUTED_VALUE"""),3709.0)</f>
        <v>3709</v>
      </c>
      <c r="F1655" s="3">
        <f>IFERROR(__xludf.DUMMYFUNCTION("""COMPUTED_VALUE"""),61321.0)</f>
        <v>61321</v>
      </c>
      <c r="G1655" s="2" t="str">
        <f>IFERROR(__xludf.DUMMYFUNCTION("""COMPUTED_VALUE"""),"Morang Energy Limited")</f>
        <v>Morang Energy Limited</v>
      </c>
      <c r="H1655" s="2" t="str">
        <f>IFERROR(__xludf.DUMMYFUNCTION("""COMPUTED_VALUE"""),"Kathmandu Municipality-11,Kathmandu")</f>
        <v>Kathmandu Municipality-11,Kathmandu</v>
      </c>
      <c r="I1655" s="2" t="str">
        <f>IFERROR(__xludf.DUMMYFUNCTION("""COMPUTED_VALUE"""),"29o 12' 50""")</f>
        <v>29o 12' 50"</v>
      </c>
      <c r="J1655" s="2" t="str">
        <f>IFERROR(__xludf.DUMMYFUNCTION("""COMPUTED_VALUE"""),"29o 16' 05""")</f>
        <v>29o 16' 05"</v>
      </c>
      <c r="K1655" s="2" t="str">
        <f>IFERROR(__xludf.DUMMYFUNCTION("""COMPUTED_VALUE"""),"82o 15' 00""")</f>
        <v>82o 15' 00"</v>
      </c>
      <c r="L1655" s="2" t="str">
        <f>IFERROR(__xludf.DUMMYFUNCTION("""COMPUTED_VALUE"""),"82o 20' 00""")</f>
        <v>82o 20' 00"</v>
      </c>
      <c r="M1655" s="2" t="str">
        <f>IFERROR(__xludf.DUMMYFUNCTION("""COMPUTED_VALUE"""),"Gothichaur,Garjyangkot (Jumla)")</f>
        <v>Gothichaur,Garjyangkot (Jumla)</v>
      </c>
    </row>
    <row r="1656">
      <c r="A1656" s="2">
        <f>IFERROR(__xludf.DUMMYFUNCTION("""COMPUTED_VALUE"""),1655.0)</f>
        <v>1655</v>
      </c>
      <c r="B1656" s="2" t="str">
        <f>IFERROR(__xludf.DUMMYFUNCTION("""COMPUTED_VALUE"""),"Sapsu Khola HPP")</f>
        <v>Sapsu Khola HPP</v>
      </c>
      <c r="C1656" s="2">
        <f>IFERROR(__xludf.DUMMYFUNCTION("""COMPUTED_VALUE"""),3.8)</f>
        <v>3.8</v>
      </c>
      <c r="D1656" s="2" t="str">
        <f>IFERROR(__xludf.DUMMYFUNCTION("""COMPUTED_VALUE"""),"Sapsu")</f>
        <v>Sapsu</v>
      </c>
      <c r="E1656" s="2">
        <f>IFERROR(__xludf.DUMMYFUNCTION("""COMPUTED_VALUE"""),3745.0)</f>
        <v>3745</v>
      </c>
      <c r="F1656" s="3">
        <f>IFERROR(__xludf.DUMMYFUNCTION("""COMPUTED_VALUE"""),61326.0)</f>
        <v>61326</v>
      </c>
      <c r="G1656" s="2" t="str">
        <f>IFERROR(__xludf.DUMMYFUNCTION("""COMPUTED_VALUE"""),"Nirmala Devi Ghimire")</f>
        <v>Nirmala Devi Ghimire</v>
      </c>
      <c r="H1656" s="2" t="str">
        <f>IFERROR(__xludf.DUMMYFUNCTION("""COMPUTED_VALUE"""),"Badkadiya-2, Khotang, GPO Box: 8975, NPC :585, Tel: 012044351")</f>
        <v>Badkadiya-2, Khotang, GPO Box: 8975, NPC :585, Tel: 012044351</v>
      </c>
      <c r="I1656" s="2" t="str">
        <f>IFERROR(__xludf.DUMMYFUNCTION("""COMPUTED_VALUE"""),"27o 08' 35""")</f>
        <v>27o 08' 35"</v>
      </c>
      <c r="J1656" s="2" t="str">
        <f>IFERROR(__xludf.DUMMYFUNCTION("""COMPUTED_VALUE"""),"27o 10' 00""")</f>
        <v>27o 10' 00"</v>
      </c>
      <c r="K1656" s="2" t="str">
        <f>IFERROR(__xludf.DUMMYFUNCTION("""COMPUTED_VALUE"""),"86o 45' 15""")</f>
        <v>86o 45' 15"</v>
      </c>
      <c r="L1656" s="2" t="str">
        <f>IFERROR(__xludf.DUMMYFUNCTION("""COMPUTED_VALUE"""),"86o 48' 30""")</f>
        <v>86o 48' 30"</v>
      </c>
      <c r="M1656" s="2" t="str">
        <f>IFERROR(__xludf.DUMMYFUNCTION("""COMPUTED_VALUE"""),"Yamkha,Tempa,Rajapani,Lafwang,Khalle,Bijpakharka (Khotang)")</f>
        <v>Yamkha,Tempa,Rajapani,Lafwang,Khalle,Bijpakharka (Khotang)</v>
      </c>
    </row>
    <row r="1657">
      <c r="A1657" s="2">
        <f>IFERROR(__xludf.DUMMYFUNCTION("""COMPUTED_VALUE"""),1656.0)</f>
        <v>1656</v>
      </c>
      <c r="B1657" s="2" t="str">
        <f>IFERROR(__xludf.DUMMYFUNCTION("""COMPUTED_VALUE"""),"Likhu Khola SHP")</f>
        <v>Likhu Khola SHP</v>
      </c>
      <c r="C1657" s="2">
        <f>IFERROR(__xludf.DUMMYFUNCTION("""COMPUTED_VALUE"""),0.99)</f>
        <v>0.99</v>
      </c>
      <c r="D1657" s="2" t="str">
        <f>IFERROR(__xludf.DUMMYFUNCTION("""COMPUTED_VALUE"""),"Likhu Khola")</f>
        <v>Likhu Khola</v>
      </c>
      <c r="E1657" s="2">
        <f>IFERROR(__xludf.DUMMYFUNCTION("""COMPUTED_VALUE"""),3827.0)</f>
        <v>3827</v>
      </c>
      <c r="F1657" s="3">
        <f>IFERROR(__xludf.DUMMYFUNCTION("""COMPUTED_VALUE"""),61331.0)</f>
        <v>61331</v>
      </c>
      <c r="G1657" s="2" t="str">
        <f>IFERROR(__xludf.DUMMYFUNCTION("""COMPUTED_VALUE"""),"Dinesh Adhikari")</f>
        <v>Dinesh Adhikari</v>
      </c>
      <c r="H1657" s="2" t="str">
        <f>IFERROR(__xludf.DUMMYFUNCTION("""COMPUTED_VALUE"""),"Likhu VDC-6, Nuwakot")</f>
        <v>Likhu VDC-6, Nuwakot</v>
      </c>
      <c r="I1657" s="2" t="str">
        <f>IFERROR(__xludf.DUMMYFUNCTION("""COMPUTED_VALUE"""),"27o 51' 08""")</f>
        <v>27o 51' 08"</v>
      </c>
      <c r="J1657" s="2" t="str">
        <f>IFERROR(__xludf.DUMMYFUNCTION("""COMPUTED_VALUE"""),"27o 51' 49""")</f>
        <v>27o 51' 49"</v>
      </c>
      <c r="K1657" s="2" t="str">
        <f>IFERROR(__xludf.DUMMYFUNCTION("""COMPUTED_VALUE"""),"85o 23' 24""")</f>
        <v>85o 23' 24"</v>
      </c>
      <c r="L1657" s="2" t="str">
        <f>IFERROR(__xludf.DUMMYFUNCTION("""COMPUTED_VALUE"""),"85o 24' 30""")</f>
        <v>85o 24' 30"</v>
      </c>
      <c r="M1657" s="2" t="str">
        <f>IFERROR(__xludf.DUMMYFUNCTION("""COMPUTED_VALUE"""),"Likhu (Nuwakot)")</f>
        <v>Likhu (Nuwakot)</v>
      </c>
    </row>
    <row r="1658">
      <c r="A1658" s="2">
        <f>IFERROR(__xludf.DUMMYFUNCTION("""COMPUTED_VALUE"""),1657.0)</f>
        <v>1657</v>
      </c>
      <c r="B1658" s="2" t="str">
        <f>IFERROR(__xludf.DUMMYFUNCTION("""COMPUTED_VALUE"""),"Bheri Khola HPP")</f>
        <v>Bheri Khola HPP</v>
      </c>
      <c r="C1658" s="2">
        <f>IFERROR(__xludf.DUMMYFUNCTION("""COMPUTED_VALUE"""),4.15)</f>
        <v>4.15</v>
      </c>
      <c r="D1658" s="2" t="str">
        <f>IFERROR(__xludf.DUMMYFUNCTION("""COMPUTED_VALUE"""),"Bheri Khola")</f>
        <v>Bheri Khola</v>
      </c>
      <c r="E1658" s="2">
        <f>IFERROR(__xludf.DUMMYFUNCTION("""COMPUTED_VALUE"""),3860.0)</f>
        <v>3860</v>
      </c>
      <c r="F1658" s="3">
        <f>IFERROR(__xludf.DUMMYFUNCTION("""COMPUTED_VALUE"""),61332.0)</f>
        <v>61332</v>
      </c>
      <c r="G1658" s="2" t="str">
        <f>IFERROR(__xludf.DUMMYFUNCTION("""COMPUTED_VALUE"""),"Basin Developers Pvt Ltd")</f>
        <v>Basin Developers Pvt Ltd</v>
      </c>
      <c r="H1658" s="2" t="str">
        <f>IFERROR(__xludf.DUMMYFUNCTION("""COMPUTED_VALUE"""),"GPO Box: 5491, Kathamndu, Tel: 4102690")</f>
        <v>GPO Box: 5491, Kathamndu, Tel: 4102690</v>
      </c>
      <c r="I1658" s="2" t="str">
        <f>IFERROR(__xludf.DUMMYFUNCTION("""COMPUTED_VALUE"""),"29o 04' 44""")</f>
        <v>29o 04' 44"</v>
      </c>
      <c r="J1658" s="2" t="str">
        <f>IFERROR(__xludf.DUMMYFUNCTION("""COMPUTED_VALUE"""),"29o 14' 08""")</f>
        <v>29o 14' 08"</v>
      </c>
      <c r="K1658" s="2" t="str">
        <f>IFERROR(__xludf.DUMMYFUNCTION("""COMPUTED_VALUE"""),"81o 59' 16""")</f>
        <v>81o 59' 16"</v>
      </c>
      <c r="L1658" s="2" t="str">
        <f>IFERROR(__xludf.DUMMYFUNCTION("""COMPUTED_VALUE"""),"82o 05' 00""")</f>
        <v>82o 05' 00"</v>
      </c>
      <c r="M1658" s="2" t="str">
        <f>IFERROR(__xludf.DUMMYFUNCTION("""COMPUTED_VALUE"""),"Kudari,Tatopani (Jumla)")</f>
        <v>Kudari,Tatopani (Jumla)</v>
      </c>
    </row>
    <row r="1659">
      <c r="A1659" s="2">
        <f>IFERROR(__xludf.DUMMYFUNCTION("""COMPUTED_VALUE"""),1658.0)</f>
        <v>1658</v>
      </c>
      <c r="B1659" s="2" t="str">
        <f>IFERROR(__xludf.DUMMYFUNCTION("""COMPUTED_VALUE"""),"Pathar Khola HPP")</f>
        <v>Pathar Khola HPP</v>
      </c>
      <c r="C1659" s="2">
        <f>IFERROR(__xludf.DUMMYFUNCTION("""COMPUTED_VALUE"""),1.5)</f>
        <v>1.5</v>
      </c>
      <c r="D1659" s="2" t="str">
        <f>IFERROR(__xludf.DUMMYFUNCTION("""COMPUTED_VALUE"""),"Pathar Khola")</f>
        <v>Pathar Khola</v>
      </c>
      <c r="E1659" s="2">
        <f>IFERROR(__xludf.DUMMYFUNCTION("""COMPUTED_VALUE"""),3861.0)</f>
        <v>3861</v>
      </c>
      <c r="F1659" s="3">
        <f>IFERROR(__xludf.DUMMYFUNCTION("""COMPUTED_VALUE"""),61332.0)</f>
        <v>61332</v>
      </c>
      <c r="G1659" s="2" t="str">
        <f>IFERROR(__xludf.DUMMYFUNCTION("""COMPUTED_VALUE"""),"Basin Developers Pvt Ltd")</f>
        <v>Basin Developers Pvt Ltd</v>
      </c>
      <c r="H1659" s="2" t="str">
        <f>IFERROR(__xludf.DUMMYFUNCTION("""COMPUTED_VALUE"""),"PO Box: 5491, Kathmandu, Tel: 4102690")</f>
        <v>PO Box: 5491, Kathmandu, Tel: 4102690</v>
      </c>
      <c r="I1659" s="2" t="str">
        <f>IFERROR(__xludf.DUMMYFUNCTION("""COMPUTED_VALUE"""),"29o 11' 53""")</f>
        <v>29o 11' 53"</v>
      </c>
      <c r="J1659" s="2" t="str">
        <f>IFERROR(__xludf.DUMMYFUNCTION("""COMPUTED_VALUE"""),"29o 14' 03""")</f>
        <v>29o 14' 03"</v>
      </c>
      <c r="K1659" s="2" t="str">
        <f>IFERROR(__xludf.DUMMYFUNCTION("""COMPUTED_VALUE"""),"81o 52' 43""")</f>
        <v>81o 52' 43"</v>
      </c>
      <c r="L1659" s="2" t="str">
        <f>IFERROR(__xludf.DUMMYFUNCTION("""COMPUTED_VALUE"""),"81o 55' 00""")</f>
        <v>81o 55' 00"</v>
      </c>
      <c r="M1659" s="2" t="str">
        <f>IFERROR(__xludf.DUMMYFUNCTION("""COMPUTED_VALUE"""),"Phoi Mahadev (Kalikot)")</f>
        <v>Phoi Mahadev (Kalikot)</v>
      </c>
    </row>
    <row r="1660">
      <c r="A1660" s="2">
        <f>IFERROR(__xludf.DUMMYFUNCTION("""COMPUTED_VALUE"""),1659.0)</f>
        <v>1659</v>
      </c>
      <c r="B1660" s="2" t="str">
        <f>IFERROR(__xludf.DUMMYFUNCTION("""COMPUTED_VALUE"""),"Tyaga Ghatta Khola SHP")</f>
        <v>Tyaga Ghatta Khola SHP</v>
      </c>
      <c r="C1660" s="2">
        <f>IFERROR(__xludf.DUMMYFUNCTION("""COMPUTED_VALUE"""),0.84)</f>
        <v>0.84</v>
      </c>
      <c r="D1660" s="2" t="str">
        <f>IFERROR(__xludf.DUMMYFUNCTION("""COMPUTED_VALUE"""),"Tyaga Ghatta")</f>
        <v>Tyaga Ghatta</v>
      </c>
      <c r="E1660" s="2">
        <f>IFERROR(__xludf.DUMMYFUNCTION("""COMPUTED_VALUE"""),4072.0)</f>
        <v>4072</v>
      </c>
      <c r="F1660" s="3">
        <f>IFERROR(__xludf.DUMMYFUNCTION("""COMPUTED_VALUE"""),61348.0)</f>
        <v>61348</v>
      </c>
      <c r="G1660" s="2" t="str">
        <f>IFERROR(__xludf.DUMMYFUNCTION("""COMPUTED_VALUE"""),"J.B.Tamang, Sanu Lama, Kanchhi Lama, J.D. Lama")</f>
        <v>J.B.Tamang, Sanu Lama, Kanchhi Lama, J.D. Lama</v>
      </c>
      <c r="H1660" s="2" t="str">
        <f>IFERROR(__xludf.DUMMYFUNCTION("""COMPUTED_VALUE"""),"PO Box: 2838, Kathmandu, Tel: 9841856474,")</f>
        <v>PO Box: 2838, Kathmandu, Tel: 9841856474,</v>
      </c>
      <c r="I1660" s="2" t="str">
        <f>IFERROR(__xludf.DUMMYFUNCTION("""COMPUTED_VALUE"""),"28o 02' 10""")</f>
        <v>28o 02' 10"</v>
      </c>
      <c r="J1660" s="2" t="str">
        <f>IFERROR(__xludf.DUMMYFUNCTION("""COMPUTED_VALUE"""),"28o 02' 59""")</f>
        <v>28o 02' 59"</v>
      </c>
      <c r="K1660" s="2" t="str">
        <f>IFERROR(__xludf.DUMMYFUNCTION("""COMPUTED_VALUE"""),"85o 46' 46""")</f>
        <v>85o 46' 46"</v>
      </c>
      <c r="L1660" s="2" t="str">
        <f>IFERROR(__xludf.DUMMYFUNCTION("""COMPUTED_VALUE"""),"85o 47' 41""")</f>
        <v>85o 47' 41"</v>
      </c>
      <c r="M1660" s="2" t="str">
        <f>IFERROR(__xludf.DUMMYFUNCTION("""COMPUTED_VALUE"""),"Gumba (Sindhupalchok)")</f>
        <v>Gumba (Sindhupalchok)</v>
      </c>
    </row>
    <row r="1661">
      <c r="A1661" s="2">
        <f>IFERROR(__xludf.DUMMYFUNCTION("""COMPUTED_VALUE"""),1660.0)</f>
        <v>1660</v>
      </c>
      <c r="B1661" s="2" t="str">
        <f>IFERROR(__xludf.DUMMYFUNCTION("""COMPUTED_VALUE"""),"Marang Khola SHP")</f>
        <v>Marang Khola SHP</v>
      </c>
      <c r="C1661" s="2">
        <f>IFERROR(__xludf.DUMMYFUNCTION("""COMPUTED_VALUE"""),0.995)</f>
        <v>0.995</v>
      </c>
      <c r="D1661" s="2" t="str">
        <f>IFERROR(__xludf.DUMMYFUNCTION("""COMPUTED_VALUE"""),"Marang")</f>
        <v>Marang</v>
      </c>
      <c r="E1661" s="2">
        <f>IFERROR(__xludf.DUMMYFUNCTION("""COMPUTED_VALUE"""),4086.0)</f>
        <v>4086</v>
      </c>
      <c r="F1661" s="3">
        <f>IFERROR(__xludf.DUMMYFUNCTION("""COMPUTED_VALUE"""),61349.0)</f>
        <v>61349</v>
      </c>
      <c r="G1661" s="2" t="str">
        <f>IFERROR(__xludf.DUMMYFUNCTION("""COMPUTED_VALUE"""),"Hira Prasad Jugjali")</f>
        <v>Hira Prasad Jugjali</v>
      </c>
      <c r="H1661" s="2" t="str">
        <f>IFERROR(__xludf.DUMMYFUNCTION("""COMPUTED_VALUE"""),"Marangm, Myagdi, GPO Box: 8975, EPC : 1296 Kathmandu,")</f>
        <v>Marangm, Myagdi, GPO Box: 8975, EPC : 1296 Kathmandu,</v>
      </c>
      <c r="I1661" s="2" t="str">
        <f>IFERROR(__xludf.DUMMYFUNCTION("""COMPUTED_VALUE"""),"28o 27' 36""")</f>
        <v>28o 27' 36"</v>
      </c>
      <c r="J1661" s="2" t="str">
        <f>IFERROR(__xludf.DUMMYFUNCTION("""COMPUTED_VALUE"""),"28o 28' 41""")</f>
        <v>28o 28' 41"</v>
      </c>
      <c r="K1661" s="2" t="str">
        <f>IFERROR(__xludf.DUMMYFUNCTION("""COMPUTED_VALUE"""),"83o 23' 06""")</f>
        <v>83o 23' 06"</v>
      </c>
      <c r="L1661" s="2" t="str">
        <f>IFERROR(__xludf.DUMMYFUNCTION("""COMPUTED_VALUE"""),"83o 24' 30""")</f>
        <v>83o 24' 30"</v>
      </c>
      <c r="M1661" s="2" t="str">
        <f>IFERROR(__xludf.DUMMYFUNCTION("""COMPUTED_VALUE"""),"Marang (Myagdi)")</f>
        <v>Marang (Myagdi)</v>
      </c>
    </row>
    <row r="1662">
      <c r="A1662" s="2">
        <f>IFERROR(__xludf.DUMMYFUNCTION("""COMPUTED_VALUE"""),1661.0)</f>
        <v>1661</v>
      </c>
      <c r="B1662" s="2" t="str">
        <f>IFERROR(__xludf.DUMMYFUNCTION("""COMPUTED_VALUE"""),"Maya Khola Hydropower Project")</f>
        <v>Maya Khola Hydropower Project</v>
      </c>
      <c r="C1662" s="2">
        <f>IFERROR(__xludf.DUMMYFUNCTION("""COMPUTED_VALUE"""),0.988)</f>
        <v>0.988</v>
      </c>
      <c r="D1662" s="2" t="str">
        <f>IFERROR(__xludf.DUMMYFUNCTION("""COMPUTED_VALUE"""),"Maya")</f>
        <v>Maya</v>
      </c>
      <c r="E1662" s="2">
        <f>IFERROR(__xludf.DUMMYFUNCTION("""COMPUTED_VALUE"""),4116.0)</f>
        <v>4116</v>
      </c>
      <c r="F1662" s="3">
        <f>IFERROR(__xludf.DUMMYFUNCTION("""COMPUTED_VALUE"""),61352.0)</f>
        <v>61352</v>
      </c>
      <c r="G1662" s="2" t="str">
        <f>IFERROR(__xludf.DUMMYFUNCTION("""COMPUTED_VALUE"""),"Pragya Power Company Pvt Ltd")</f>
        <v>Pragya Power Company Pvt Ltd</v>
      </c>
      <c r="H1662" s="2" t="str">
        <f>IFERROR(__xludf.DUMMYFUNCTION("""COMPUTED_VALUE"""),"Kathmandu Municipality-32, Anamnagar , Gautam Budha Marg House No. 171/16, 
Tel:4221070")</f>
        <v>Kathmandu Municipality-32, Anamnagar , Gautam Budha Marg House No. 171/16, 
Tel:4221070</v>
      </c>
      <c r="I1662" s="2" t="str">
        <f>IFERROR(__xludf.DUMMYFUNCTION("""COMPUTED_VALUE"""),"27o 13' 20""")</f>
        <v>27o 13' 20"</v>
      </c>
      <c r="J1662" s="2" t="str">
        <f>IFERROR(__xludf.DUMMYFUNCTION("""COMPUTED_VALUE"""),"27o 14' 22""")</f>
        <v>27o 14' 22"</v>
      </c>
      <c r="K1662" s="2" t="str">
        <f>IFERROR(__xludf.DUMMYFUNCTION("""COMPUTED_VALUE"""),"87o 24' 37""")</f>
        <v>87o 24' 37"</v>
      </c>
      <c r="L1662" s="2" t="str">
        <f>IFERROR(__xludf.DUMMYFUNCTION("""COMPUTED_VALUE"""),"87o 26' 04""")</f>
        <v>87o 26' 04"</v>
      </c>
      <c r="M1662" s="2" t="str">
        <f>IFERROR(__xludf.DUMMYFUNCTION("""COMPUTED_VALUE"""),"Madi Mulkharka,Tamfok (Sankhuwasabha)")</f>
        <v>Madi Mulkharka,Tamfok (Sankhuwasabha)</v>
      </c>
    </row>
    <row r="1663">
      <c r="A1663" s="2">
        <f>IFERROR(__xludf.DUMMYFUNCTION("""COMPUTED_VALUE"""),1662.0)</f>
        <v>1662</v>
      </c>
      <c r="B1663" s="2" t="str">
        <f>IFERROR(__xludf.DUMMYFUNCTION("""COMPUTED_VALUE"""),"Ghumsa Khola SHP")</f>
        <v>Ghumsa Khola SHP</v>
      </c>
      <c r="C1663" s="2">
        <f>IFERROR(__xludf.DUMMYFUNCTION("""COMPUTED_VALUE"""),0.495)</f>
        <v>0.495</v>
      </c>
      <c r="D1663" s="2" t="str">
        <f>IFERROR(__xludf.DUMMYFUNCTION("""COMPUTED_VALUE"""),"Ghunsa Khola")</f>
        <v>Ghunsa Khola</v>
      </c>
      <c r="E1663" s="2">
        <f>IFERROR(__xludf.DUMMYFUNCTION("""COMPUTED_VALUE"""),4117.0)</f>
        <v>4117</v>
      </c>
      <c r="F1663" s="3">
        <f>IFERROR(__xludf.DUMMYFUNCTION("""COMPUTED_VALUE"""),61352.0)</f>
        <v>61352</v>
      </c>
      <c r="G1663" s="2" t="str">
        <f>IFERROR(__xludf.DUMMYFUNCTION("""COMPUTED_VALUE"""),"Pragya Power Company Pvt Ltd")</f>
        <v>Pragya Power Company Pvt Ltd</v>
      </c>
      <c r="H1663" s="2" t="str">
        <f>IFERROR(__xludf.DUMMYFUNCTION("""COMPUTED_VALUE"""),"Kathmandu Municipality-32, Anamnagar , Gautam Budha Marg House No. 171/16, 
Tel:4221070")</f>
        <v>Kathmandu Municipality-32, Anamnagar , Gautam Budha Marg House No. 171/16, 
Tel:4221070</v>
      </c>
      <c r="I1663" s="2" t="str">
        <f>IFERROR(__xludf.DUMMYFUNCTION("""COMPUTED_VALUE"""),"27o 12' 30""")</f>
        <v>27o 12' 30"</v>
      </c>
      <c r="J1663" s="2" t="str">
        <f>IFERROR(__xludf.DUMMYFUNCTION("""COMPUTED_VALUE"""),"27o 13' 23""")</f>
        <v>27o 13' 23"</v>
      </c>
      <c r="K1663" s="2" t="str">
        <f>IFERROR(__xludf.DUMMYFUNCTION("""COMPUTED_VALUE"""),"87o 24' 37""")</f>
        <v>87o 24' 37"</v>
      </c>
      <c r="L1663" s="2" t="str">
        <f>IFERROR(__xludf.DUMMYFUNCTION("""COMPUTED_VALUE"""),"87o 26' 04""")</f>
        <v>87o 26' 04"</v>
      </c>
      <c r="M1663" s="2" t="str">
        <f>IFERROR(__xludf.DUMMYFUNCTION("""COMPUTED_VALUE"""),"Madi Mulkharka,Tamfok (Sankhuwasabha)")</f>
        <v>Madi Mulkharka,Tamfok (Sankhuwasabha)</v>
      </c>
    </row>
    <row r="1664">
      <c r="A1664" s="2">
        <f>IFERROR(__xludf.DUMMYFUNCTION("""COMPUTED_VALUE"""),1663.0)</f>
        <v>1663</v>
      </c>
      <c r="B1664" s="2" t="str">
        <f>IFERROR(__xludf.DUMMYFUNCTION("""COMPUTED_VALUE"""),"Maya-Ghumsa SHP")</f>
        <v>Maya-Ghumsa SHP</v>
      </c>
      <c r="C1664" s="2">
        <f>IFERROR(__xludf.DUMMYFUNCTION("""COMPUTED_VALUE"""),0.9)</f>
        <v>0.9</v>
      </c>
      <c r="D1664" s="2" t="str">
        <f>IFERROR(__xludf.DUMMYFUNCTION("""COMPUTED_VALUE"""),"Ghunsa Khola")</f>
        <v>Ghunsa Khola</v>
      </c>
      <c r="E1664" s="2">
        <f>IFERROR(__xludf.DUMMYFUNCTION("""COMPUTED_VALUE"""),4118.0)</f>
        <v>4118</v>
      </c>
      <c r="F1664" s="3">
        <f>IFERROR(__xludf.DUMMYFUNCTION("""COMPUTED_VALUE"""),61352.0)</f>
        <v>61352</v>
      </c>
      <c r="G1664" s="2" t="str">
        <f>IFERROR(__xludf.DUMMYFUNCTION("""COMPUTED_VALUE"""),"Anu Bhandari")</f>
        <v>Anu Bhandari</v>
      </c>
      <c r="H1664" s="2" t="str">
        <f>IFERROR(__xludf.DUMMYFUNCTION("""COMPUTED_VALUE"""),"Dhapasi-7Kathmandu Tel:9841828642")</f>
        <v>Dhapasi-7Kathmandu Tel:9841828642</v>
      </c>
      <c r="I1664" s="2" t="str">
        <f>IFERROR(__xludf.DUMMYFUNCTION("""COMPUTED_VALUE"""),"27o 12' 30""")</f>
        <v>27o 12' 30"</v>
      </c>
      <c r="J1664" s="2" t="str">
        <f>IFERROR(__xludf.DUMMYFUNCTION("""COMPUTED_VALUE"""),"27o 14' 00""")</f>
        <v>27o 14' 00"</v>
      </c>
      <c r="K1664" s="2" t="str">
        <f>IFERROR(__xludf.DUMMYFUNCTION("""COMPUTED_VALUE"""),"87o 24' 04""")</f>
        <v>87o 24' 04"</v>
      </c>
      <c r="L1664" s="2" t="str">
        <f>IFERROR(__xludf.DUMMYFUNCTION("""COMPUTED_VALUE"""),"87o 24' 37""")</f>
        <v>87o 24' 37"</v>
      </c>
      <c r="M1664" s="2" t="str">
        <f>IFERROR(__xludf.DUMMYFUNCTION("""COMPUTED_VALUE"""),"Tamfok (Sankhuwasabha)")</f>
        <v>Tamfok (Sankhuwasabha)</v>
      </c>
    </row>
    <row r="1665">
      <c r="A1665" s="2">
        <f>IFERROR(__xludf.DUMMYFUNCTION("""COMPUTED_VALUE"""),1664.0)</f>
        <v>1664</v>
      </c>
      <c r="B1665" s="2" t="str">
        <f>IFERROR(__xludf.DUMMYFUNCTION("""COMPUTED_VALUE"""),"Tadi Ghyangphedi SHP")</f>
        <v>Tadi Ghyangphedi SHP</v>
      </c>
      <c r="C1665" s="2">
        <f>IFERROR(__xludf.DUMMYFUNCTION("""COMPUTED_VALUE"""),0.99)</f>
        <v>0.99</v>
      </c>
      <c r="D1665" s="2" t="str">
        <f>IFERROR(__xludf.DUMMYFUNCTION("""COMPUTED_VALUE"""),"Tadi Khola")</f>
        <v>Tadi Khola</v>
      </c>
      <c r="E1665" s="2">
        <f>IFERROR(__xludf.DUMMYFUNCTION("""COMPUTED_VALUE"""),4125.0)</f>
        <v>4125</v>
      </c>
      <c r="F1665" s="3">
        <f>IFERROR(__xludf.DUMMYFUNCTION("""COMPUTED_VALUE"""),61353.0)</f>
        <v>61353</v>
      </c>
      <c r="G1665" s="2" t="str">
        <f>IFERROR(__xludf.DUMMYFUNCTION("""COMPUTED_VALUE"""),"Narhari Pandit")</f>
        <v>Narhari Pandit</v>
      </c>
      <c r="H1665" s="2" t="str">
        <f>IFERROR(__xludf.DUMMYFUNCTION("""COMPUTED_VALUE"""),"Raluka VDC-7, Nuwakot, Tel: 9841886681")</f>
        <v>Raluka VDC-7, Nuwakot, Tel: 9841886681</v>
      </c>
      <c r="I1665" s="2" t="str">
        <f>IFERROR(__xludf.DUMMYFUNCTION("""COMPUTED_VALUE"""),"27o 59' 03""")</f>
        <v>27o 59' 03"</v>
      </c>
      <c r="J1665" s="2" t="str">
        <f>IFERROR(__xludf.DUMMYFUNCTION("""COMPUTED_VALUE"""),"28o 00' 40""")</f>
        <v>28o 00' 40"</v>
      </c>
      <c r="K1665" s="2" t="str">
        <f>IFERROR(__xludf.DUMMYFUNCTION("""COMPUTED_VALUE"""),"85o 26' 45""")</f>
        <v>85o 26' 45"</v>
      </c>
      <c r="L1665" s="2" t="str">
        <f>IFERROR(__xludf.DUMMYFUNCTION("""COMPUTED_VALUE"""),"85o 27' 16""")</f>
        <v>85o 27' 16"</v>
      </c>
      <c r="M1665" s="2" t="str">
        <f>IFERROR(__xludf.DUMMYFUNCTION("""COMPUTED_VALUE"""),"Dhyangphedi (Nuwakot)")</f>
        <v>Dhyangphedi (Nuwakot)</v>
      </c>
    </row>
    <row r="1666">
      <c r="A1666" s="2">
        <f>IFERROR(__xludf.DUMMYFUNCTION("""COMPUTED_VALUE"""),1665.0)</f>
        <v>1665</v>
      </c>
      <c r="B1666" s="2" t="str">
        <f>IFERROR(__xludf.DUMMYFUNCTION("""COMPUTED_VALUE"""),"Lidin Khola SHP")</f>
        <v>Lidin Khola SHP</v>
      </c>
      <c r="C1666" s="2">
        <f>IFERROR(__xludf.DUMMYFUNCTION("""COMPUTED_VALUE"""),0.97)</f>
        <v>0.97</v>
      </c>
      <c r="D1666" s="2" t="str">
        <f>IFERROR(__xludf.DUMMYFUNCTION("""COMPUTED_VALUE"""),"Lidin")</f>
        <v>Lidin</v>
      </c>
      <c r="E1666" s="2">
        <f>IFERROR(__xludf.DUMMYFUNCTION("""COMPUTED_VALUE"""),4129.0)</f>
        <v>4129</v>
      </c>
      <c r="F1666" s="3">
        <f>IFERROR(__xludf.DUMMYFUNCTION("""COMPUTED_VALUE"""),61353.0)</f>
        <v>61353</v>
      </c>
      <c r="G1666" s="2" t="str">
        <f>IFERROR(__xludf.DUMMYFUNCTION("""COMPUTED_VALUE"""),"Tap Khola Hydropower Cooperative Society Ltd")</f>
        <v>Tap Khola Hydropower Cooperative Society Ltd</v>
      </c>
      <c r="H1666" s="2" t="str">
        <f>IFERROR(__xludf.DUMMYFUNCTION("""COMPUTED_VALUE"""),"Saptesawar VDC-7, Khotang")</f>
        <v>Saptesawar VDC-7, Khotang</v>
      </c>
      <c r="I1666" s="2" t="str">
        <f>IFERROR(__xludf.DUMMYFUNCTION("""COMPUTED_VALUE"""),"27o 22' 18""")</f>
        <v>27o 22' 18"</v>
      </c>
      <c r="J1666" s="2" t="str">
        <f>IFERROR(__xludf.DUMMYFUNCTION("""COMPUTED_VALUE"""),"27o 23' 46""")</f>
        <v>27o 23' 46"</v>
      </c>
      <c r="K1666" s="2" t="str">
        <f>IFERROR(__xludf.DUMMYFUNCTION("""COMPUTED_VALUE"""),"86o 47' 40""")</f>
        <v>86o 47' 40"</v>
      </c>
      <c r="L1666" s="2" t="str">
        <f>IFERROR(__xludf.DUMMYFUNCTION("""COMPUTED_VALUE"""),"86o 49' 29""")</f>
        <v>86o 49' 29"</v>
      </c>
      <c r="M1666" s="2" t="str">
        <f>IFERROR(__xludf.DUMMYFUNCTION("""COMPUTED_VALUE"""),"Bakachol (Khotang)")</f>
        <v>Bakachol (Khotang)</v>
      </c>
    </row>
    <row r="1667">
      <c r="A1667" s="2">
        <f>IFERROR(__xludf.DUMMYFUNCTION("""COMPUTED_VALUE"""),1666.0)</f>
        <v>1666</v>
      </c>
      <c r="B1667" s="2" t="str">
        <f>IFERROR(__xludf.DUMMYFUNCTION("""COMPUTED_VALUE"""),"Chisang Khola SHP")</f>
        <v>Chisang Khola SHP</v>
      </c>
      <c r="C1667" s="2">
        <f>IFERROR(__xludf.DUMMYFUNCTION("""COMPUTED_VALUE"""),0.645)</f>
        <v>0.645</v>
      </c>
      <c r="D1667" s="2" t="str">
        <f>IFERROR(__xludf.DUMMYFUNCTION("""COMPUTED_VALUE"""),"Chisang")</f>
        <v>Chisang</v>
      </c>
      <c r="E1667" s="2">
        <f>IFERROR(__xludf.DUMMYFUNCTION("""COMPUTED_VALUE"""),4134.0)</f>
        <v>4134</v>
      </c>
      <c r="F1667" s="3">
        <f>IFERROR(__xludf.DUMMYFUNCTION("""COMPUTED_VALUE"""),61353.0)</f>
        <v>61353</v>
      </c>
      <c r="G1667" s="2" t="str">
        <f>IFERROR(__xludf.DUMMYFUNCTION("""COMPUTED_VALUE"""),"Devlinge Hydropower Company")</f>
        <v>Devlinge Hydropower Company</v>
      </c>
      <c r="H1667" s="2" t="str">
        <f>IFERROR(__xludf.DUMMYFUNCTION("""COMPUTED_VALUE"""),"Warangi VDC-6, Morang, Tel: 9841685388")</f>
        <v>Warangi VDC-6, Morang, Tel: 9841685388</v>
      </c>
      <c r="I1667" s="2" t="str">
        <f>IFERROR(__xludf.DUMMYFUNCTION("""COMPUTED_VALUE"""),"26o 50' 00""")</f>
        <v>26o 50' 00"</v>
      </c>
      <c r="J1667" s="2" t="str">
        <f>IFERROR(__xludf.DUMMYFUNCTION("""COMPUTED_VALUE"""),"26o 50' 42""")</f>
        <v>26o 50' 42"</v>
      </c>
      <c r="K1667" s="2" t="str">
        <f>IFERROR(__xludf.DUMMYFUNCTION("""COMPUTED_VALUE"""),"87o 30' 00""")</f>
        <v>87o 30' 00"</v>
      </c>
      <c r="L1667" s="2" t="str">
        <f>IFERROR(__xludf.DUMMYFUNCTION("""COMPUTED_VALUE"""),"87o 53' 33""")</f>
        <v>87o 53' 33"</v>
      </c>
      <c r="M1667" s="2" t="str">
        <f>IFERROR(__xludf.DUMMYFUNCTION("""COMPUTED_VALUE"""),"Warangi (Morang)")</f>
        <v>Warangi (Morang)</v>
      </c>
    </row>
    <row r="1668">
      <c r="A1668" s="2">
        <f>IFERROR(__xludf.DUMMYFUNCTION("""COMPUTED_VALUE"""),1667.0)</f>
        <v>1667</v>
      </c>
      <c r="B1668" s="2" t="str">
        <f>IFERROR(__xludf.DUMMYFUNCTION("""COMPUTED_VALUE"""),"Kokhajor Khola SHP")</f>
        <v>Kokhajor Khola SHP</v>
      </c>
      <c r="C1668" s="2">
        <f>IFERROR(__xludf.DUMMYFUNCTION("""COMPUTED_VALUE"""),1.6)</f>
        <v>1.6</v>
      </c>
      <c r="D1668" s="2" t="str">
        <f>IFERROR(__xludf.DUMMYFUNCTION("""COMPUTED_VALUE"""),"Kokhajor Khola")</f>
        <v>Kokhajor Khola</v>
      </c>
      <c r="E1668" s="2">
        <f>IFERROR(__xludf.DUMMYFUNCTION("""COMPUTED_VALUE"""),4188.0)</f>
        <v>4188</v>
      </c>
      <c r="F1668" s="3">
        <f>IFERROR(__xludf.DUMMYFUNCTION("""COMPUTED_VALUE"""),61358.0)</f>
        <v>61358</v>
      </c>
      <c r="G1668" s="2" t="str">
        <f>IFERROR(__xludf.DUMMYFUNCTION("""COMPUTED_VALUE"""),"Nepal Shalimar Cement Pvt Ltd")</f>
        <v>Nepal Shalimar Cement Pvt Ltd</v>
      </c>
      <c r="H1668" s="2" t="str">
        <f>IFERROR(__xludf.DUMMYFUNCTION("""COMPUTED_VALUE"""),"Adarshanagar, Birjunj-13, PO Box: 2342, Tel: 4424071")</f>
        <v>Adarshanagar, Birjunj-13, PO Box: 2342, Tel: 4424071</v>
      </c>
      <c r="I1668" s="2" t="str">
        <f>IFERROR(__xludf.DUMMYFUNCTION("""COMPUTED_VALUE"""),"27o 20' 49""")</f>
        <v>27o 20' 49"</v>
      </c>
      <c r="J1668" s="2" t="str">
        <f>IFERROR(__xludf.DUMMYFUNCTION("""COMPUTED_VALUE"""),"27o 22' 02""")</f>
        <v>27o 22' 02"</v>
      </c>
      <c r="K1668" s="2" t="str">
        <f>IFERROR(__xludf.DUMMYFUNCTION("""COMPUTED_VALUE"""),"85o 30' 12""")</f>
        <v>85o 30' 12"</v>
      </c>
      <c r="L1668" s="2" t="str">
        <f>IFERROR(__xludf.DUMMYFUNCTION("""COMPUTED_VALUE"""),"85o 32' 40""")</f>
        <v>85o 32' 40"</v>
      </c>
      <c r="M1668" s="2" t="str">
        <f>IFERROR(__xludf.DUMMYFUNCTION("""COMPUTED_VALUE"""),"Gokule (Kavrepalanchok) Hariharpur (Sindhuli)")</f>
        <v>Gokule (Kavrepalanchok) Hariharpur (Sindhuli)</v>
      </c>
    </row>
    <row r="1669">
      <c r="A1669" s="2">
        <f>IFERROR(__xludf.DUMMYFUNCTION("""COMPUTED_VALUE"""),1668.0)</f>
        <v>1668</v>
      </c>
      <c r="B1669" s="2" t="str">
        <f>IFERROR(__xludf.DUMMYFUNCTION("""COMPUTED_VALUE"""),"Chau Khola Hydropower Project")</f>
        <v>Chau Khola Hydropower Project</v>
      </c>
      <c r="C1669" s="2">
        <f>IFERROR(__xludf.DUMMYFUNCTION("""COMPUTED_VALUE"""),1.7)</f>
        <v>1.7</v>
      </c>
      <c r="D1669" s="2" t="str">
        <f>IFERROR(__xludf.DUMMYFUNCTION("""COMPUTED_VALUE"""),"Chau")</f>
        <v>Chau</v>
      </c>
      <c r="E1669" s="2">
        <f>IFERROR(__xludf.DUMMYFUNCTION("""COMPUTED_VALUE"""),4191.0)</f>
        <v>4191</v>
      </c>
      <c r="F1669" s="3">
        <f>IFERROR(__xludf.DUMMYFUNCTION("""COMPUTED_VALUE"""),61358.0)</f>
        <v>61358</v>
      </c>
      <c r="G1669" s="2" t="str">
        <f>IFERROR(__xludf.DUMMYFUNCTION("""COMPUTED_VALUE"""),"Nepal Shalimar Cement Pvt Ltd")</f>
        <v>Nepal Shalimar Cement Pvt Ltd</v>
      </c>
      <c r="H1669" s="2" t="str">
        <f>IFERROR(__xludf.DUMMYFUNCTION("""COMPUTED_VALUE"""),"Adarshanagar, Birjunj-13, PO Box: 2342, Tel: 4424071")</f>
        <v>Adarshanagar, Birjunj-13, PO Box: 2342, Tel: 4424071</v>
      </c>
      <c r="I1669" s="2" t="str">
        <f>IFERROR(__xludf.DUMMYFUNCTION("""COMPUTED_VALUE"""),"27o 22' 03""")</f>
        <v>27o 22' 03"</v>
      </c>
      <c r="J1669" s="2" t="str">
        <f>IFERROR(__xludf.DUMMYFUNCTION("""COMPUTED_VALUE"""),"27o 22' 58""")</f>
        <v>27o 22' 58"</v>
      </c>
      <c r="K1669" s="2" t="str">
        <f>IFERROR(__xludf.DUMMYFUNCTION("""COMPUTED_VALUE"""),"85o 30' 12""")</f>
        <v>85o 30' 12"</v>
      </c>
      <c r="L1669" s="2" t="str">
        <f>IFERROR(__xludf.DUMMYFUNCTION("""COMPUTED_VALUE"""),"85o 32' 30""")</f>
        <v>85o 32' 30"</v>
      </c>
      <c r="M1669" s="2" t="str">
        <f>IFERROR(__xludf.DUMMYFUNCTION("""COMPUTED_VALUE"""),"Gokule,Salamechakla(Taldhunga) (Kavrepalanchok)")</f>
        <v>Gokule,Salamechakla(Taldhunga) (Kavrepalanchok)</v>
      </c>
    </row>
    <row r="1670">
      <c r="A1670" s="2">
        <f>IFERROR(__xludf.DUMMYFUNCTION("""COMPUTED_VALUE"""),1669.0)</f>
        <v>1669</v>
      </c>
      <c r="B1670" s="2" t="str">
        <f>IFERROR(__xludf.DUMMYFUNCTION("""COMPUTED_VALUE"""),"Kham Khola Hydropower Project")</f>
        <v>Kham Khola Hydropower Project</v>
      </c>
      <c r="C1670" s="2">
        <f>IFERROR(__xludf.DUMMYFUNCTION("""COMPUTED_VALUE"""),2.9)</f>
        <v>2.9</v>
      </c>
      <c r="D1670" s="2" t="str">
        <f>IFERROR(__xludf.DUMMYFUNCTION("""COMPUTED_VALUE"""),"Kham")</f>
        <v>Kham</v>
      </c>
      <c r="E1670" s="2">
        <f>IFERROR(__xludf.DUMMYFUNCTION("""COMPUTED_VALUE"""),4192.0)</f>
        <v>4192</v>
      </c>
      <c r="F1670" s="3">
        <f>IFERROR(__xludf.DUMMYFUNCTION("""COMPUTED_VALUE"""),61358.0)</f>
        <v>61358</v>
      </c>
      <c r="G1670" s="2" t="str">
        <f>IFERROR(__xludf.DUMMYFUNCTION("""COMPUTED_VALUE"""),"Nepal Shalimar Cement Pvt Ltd")</f>
        <v>Nepal Shalimar Cement Pvt Ltd</v>
      </c>
      <c r="H1670" s="2" t="str">
        <f>IFERROR(__xludf.DUMMYFUNCTION("""COMPUTED_VALUE"""),"Adarshanagar, Birjunj-13, PO Box: 2342, Tel: 4424071")</f>
        <v>Adarshanagar, Birjunj-13, PO Box: 2342, Tel: 4424071</v>
      </c>
      <c r="I1670" s="2" t="str">
        <f>IFERROR(__xludf.DUMMYFUNCTION("""COMPUTED_VALUE"""),"27o 22' 39""")</f>
        <v>27o 22' 39"</v>
      </c>
      <c r="J1670" s="2" t="str">
        <f>IFERROR(__xludf.DUMMYFUNCTION("""COMPUTED_VALUE"""),"27o 24' 23""")</f>
        <v>27o 24' 23"</v>
      </c>
      <c r="K1670" s="2" t="str">
        <f>IFERROR(__xludf.DUMMYFUNCTION("""COMPUTED_VALUE"""),"85o 28' 36""")</f>
        <v>85o 28' 36"</v>
      </c>
      <c r="L1670" s="2" t="str">
        <f>IFERROR(__xludf.DUMMYFUNCTION("""COMPUTED_VALUE"""),"85o 29' 44""")</f>
        <v>85o 29' 44"</v>
      </c>
      <c r="M1670" s="2" t="str">
        <f>IFERROR(__xludf.DUMMYFUNCTION("""COMPUTED_VALUE"""),"Saldhara (Kavrepalanchok)")</f>
        <v>Saldhara (Kavrepalanchok)</v>
      </c>
    </row>
    <row r="1671">
      <c r="A1671" s="2">
        <f>IFERROR(__xludf.DUMMYFUNCTION("""COMPUTED_VALUE"""),1670.0)</f>
        <v>1670</v>
      </c>
      <c r="B1671" s="2" t="str">
        <f>IFERROR(__xludf.DUMMYFUNCTION("""COMPUTED_VALUE"""),"Suri Khola HPP")</f>
        <v>Suri Khola HPP</v>
      </c>
      <c r="C1671" s="2">
        <f>IFERROR(__xludf.DUMMYFUNCTION("""COMPUTED_VALUE"""),2.04)</f>
        <v>2.04</v>
      </c>
      <c r="D1671" s="2" t="str">
        <f>IFERROR(__xludf.DUMMYFUNCTION("""COMPUTED_VALUE"""),"Suri")</f>
        <v>Suri</v>
      </c>
      <c r="E1671" s="2">
        <f>IFERROR(__xludf.DUMMYFUNCTION("""COMPUTED_VALUE"""),4271.0)</f>
        <v>4271</v>
      </c>
      <c r="F1671" s="3">
        <f>IFERROR(__xludf.DUMMYFUNCTION("""COMPUTED_VALUE"""),61366.0)</f>
        <v>61366</v>
      </c>
      <c r="G1671" s="2" t="str">
        <f>IFERROR(__xludf.DUMMYFUNCTION("""COMPUTED_VALUE"""),"Universal Power Company Limited")</f>
        <v>Universal Power Company Limited</v>
      </c>
      <c r="H1671" s="2" t="str">
        <f>IFERROR(__xludf.DUMMYFUNCTION("""COMPUTED_VALUE"""),"Biratnagar, Nepal, Tel: 4261827, Fax: 4260266")</f>
        <v>Biratnagar, Nepal, Tel: 4261827, Fax: 4260266</v>
      </c>
      <c r="I1671" s="2" t="str">
        <f>IFERROR(__xludf.DUMMYFUNCTION("""COMPUTED_VALUE"""),"27o 45' 00""")</f>
        <v>27o 45' 00"</v>
      </c>
      <c r="J1671" s="2" t="str">
        <f>IFERROR(__xludf.DUMMYFUNCTION("""COMPUTED_VALUE"""),"27o 45' 45""")</f>
        <v>27o 45' 45"</v>
      </c>
      <c r="K1671" s="2" t="str">
        <f>IFERROR(__xludf.DUMMYFUNCTION("""COMPUTED_VALUE"""),"86o 11' 30""")</f>
        <v>86o 11' 30"</v>
      </c>
      <c r="L1671" s="2" t="str">
        <f>IFERROR(__xludf.DUMMYFUNCTION("""COMPUTED_VALUE"""),"86o 13' 40""")</f>
        <v>86o 13' 40"</v>
      </c>
      <c r="M1671" s="2" t="str">
        <f>IFERROR(__xludf.DUMMYFUNCTION("""COMPUTED_VALUE"""),"Chankhu,Suriti (Dolakha)")</f>
        <v>Chankhu,Suriti (Dolakha)</v>
      </c>
    </row>
    <row r="1672">
      <c r="A1672" s="2">
        <f>IFERROR(__xludf.DUMMYFUNCTION("""COMPUTED_VALUE"""),1671.0)</f>
        <v>1671</v>
      </c>
      <c r="B1672" s="2" t="str">
        <f>IFERROR(__xludf.DUMMYFUNCTION("""COMPUTED_VALUE"""),"Jaban Khola SHP")</f>
        <v>Jaban Khola SHP</v>
      </c>
      <c r="C1672" s="2">
        <f>IFERROR(__xludf.DUMMYFUNCTION("""COMPUTED_VALUE"""),0.995)</f>
        <v>0.995</v>
      </c>
      <c r="D1672" s="2" t="str">
        <f>IFERROR(__xludf.DUMMYFUNCTION("""COMPUTED_VALUE"""),"Jaban")</f>
        <v>Jaban</v>
      </c>
      <c r="E1672" s="2">
        <f>IFERROR(__xludf.DUMMYFUNCTION("""COMPUTED_VALUE"""),4288.0)</f>
        <v>4288</v>
      </c>
      <c r="F1672" s="3">
        <f>IFERROR(__xludf.DUMMYFUNCTION("""COMPUTED_VALUE"""),61367.0)</f>
        <v>61367</v>
      </c>
      <c r="G1672" s="2" t="str">
        <f>IFERROR(__xludf.DUMMYFUNCTION("""COMPUTED_VALUE"""),"Ujwal Rimal")</f>
        <v>Ujwal Rimal</v>
      </c>
      <c r="H1672" s="2" t="str">
        <f>IFERROR(__xludf.DUMMYFUNCTION("""COMPUTED_VALUE"""),"Kathmandu Municipality-34, House No. 221/38, New Baneswar, Kathmandu")</f>
        <v>Kathmandu Municipality-34, House No. 221/38, New Baneswar, Kathmandu</v>
      </c>
      <c r="I1672" s="2" t="str">
        <f>IFERROR(__xludf.DUMMYFUNCTION("""COMPUTED_VALUE"""),"00o 00' 00""")</f>
        <v>00o 00' 00"</v>
      </c>
      <c r="J1672" s="2" t="str">
        <f>IFERROR(__xludf.DUMMYFUNCTION("""COMPUTED_VALUE"""),"00o 00' 00""")</f>
        <v>00o 00' 00"</v>
      </c>
      <c r="K1672" s="2" t="str">
        <f>IFERROR(__xludf.DUMMYFUNCTION("""COMPUTED_VALUE"""),"00o 00' 00""")</f>
        <v>00o 00' 00"</v>
      </c>
      <c r="L1672" s="2" t="str">
        <f>IFERROR(__xludf.DUMMYFUNCTION("""COMPUTED_VALUE"""),"00o 00' 00""")</f>
        <v>00o 00' 00"</v>
      </c>
      <c r="M1672" s="2" t="str">
        <f>IFERROR(__xludf.DUMMYFUNCTION("""COMPUTED_VALUE"""),"Jogimara (Dhading)")</f>
        <v>Jogimara (Dhading)</v>
      </c>
    </row>
    <row r="1673">
      <c r="A1673" s="2">
        <f>IFERROR(__xludf.DUMMYFUNCTION("""COMPUTED_VALUE"""),1672.0)</f>
        <v>1672</v>
      </c>
      <c r="B1673" s="2" t="str">
        <f>IFERROR(__xludf.DUMMYFUNCTION("""COMPUTED_VALUE"""),"Hugdi Khola SHP")</f>
        <v>Hugdi Khola SHP</v>
      </c>
      <c r="C1673" s="2">
        <f>IFERROR(__xludf.DUMMYFUNCTION("""COMPUTED_VALUE"""),0.995)</f>
        <v>0.995</v>
      </c>
      <c r="D1673" s="2" t="str">
        <f>IFERROR(__xludf.DUMMYFUNCTION("""COMPUTED_VALUE"""),"Hugdi")</f>
        <v>Hugdi</v>
      </c>
      <c r="E1673" s="2">
        <f>IFERROR(__xludf.DUMMYFUNCTION("""COMPUTED_VALUE"""),4289.0)</f>
        <v>4289</v>
      </c>
      <c r="F1673" s="3">
        <f>IFERROR(__xludf.DUMMYFUNCTION("""COMPUTED_VALUE"""),61367.0)</f>
        <v>61367</v>
      </c>
      <c r="G1673" s="2" t="str">
        <f>IFERROR(__xludf.DUMMYFUNCTION("""COMPUTED_VALUE"""),"Ujwal Rimal")</f>
        <v>Ujwal Rimal</v>
      </c>
      <c r="H1673" s="2" t="str">
        <f>IFERROR(__xludf.DUMMYFUNCTION("""COMPUTED_VALUE"""),"Kathmandu Municipality-34, House No. 221/38, New Baneswar, Kathmandu, Tel; 
9851056823, 4109591")</f>
        <v>Kathmandu Municipality-34, House No. 221/38, New Baneswar, Kathmandu, Tel; 
9851056823, 4109591</v>
      </c>
      <c r="I1673" s="2" t="str">
        <f>IFERROR(__xludf.DUMMYFUNCTION("""COMPUTED_VALUE"""),"00o 00' 00""")</f>
        <v>00o 00' 00"</v>
      </c>
      <c r="J1673" s="2" t="str">
        <f>IFERROR(__xludf.DUMMYFUNCTION("""COMPUTED_VALUE"""),"00o 00' 00""")</f>
        <v>00o 00' 00"</v>
      </c>
      <c r="K1673" s="2" t="str">
        <f>IFERROR(__xludf.DUMMYFUNCTION("""COMPUTED_VALUE"""),"00o 00' 00""")</f>
        <v>00o 00' 00"</v>
      </c>
      <c r="L1673" s="2" t="str">
        <f>IFERROR(__xludf.DUMMYFUNCTION("""COMPUTED_VALUE"""),"00o 00' 00""")</f>
        <v>00o 00' 00"</v>
      </c>
      <c r="M1673" s="2" t="str">
        <f>IFERROR(__xludf.DUMMYFUNCTION("""COMPUTED_VALUE"""),"Jogimara (Dhading)")</f>
        <v>Jogimara (Dhading)</v>
      </c>
    </row>
    <row r="1674">
      <c r="A1674" s="2">
        <f>IFERROR(__xludf.DUMMYFUNCTION("""COMPUTED_VALUE"""),1673.0)</f>
        <v>1673</v>
      </c>
      <c r="B1674" s="2" t="str">
        <f>IFERROR(__xludf.DUMMYFUNCTION("""COMPUTED_VALUE"""),"Mauwa Khola SHP")</f>
        <v>Mauwa Khola SHP</v>
      </c>
      <c r="C1674" s="2">
        <f>IFERROR(__xludf.DUMMYFUNCTION("""COMPUTED_VALUE"""),0.995)</f>
        <v>0.995</v>
      </c>
      <c r="D1674" s="2" t="str">
        <f>IFERROR(__xludf.DUMMYFUNCTION("""COMPUTED_VALUE"""),"Mauwa")</f>
        <v>Mauwa</v>
      </c>
      <c r="E1674" s="2">
        <f>IFERROR(__xludf.DUMMYFUNCTION("""COMPUTED_VALUE"""),4290.0)</f>
        <v>4290</v>
      </c>
      <c r="F1674" s="3">
        <f>IFERROR(__xludf.DUMMYFUNCTION("""COMPUTED_VALUE"""),61367.0)</f>
        <v>61367</v>
      </c>
      <c r="G1674" s="2" t="str">
        <f>IFERROR(__xludf.DUMMYFUNCTION("""COMPUTED_VALUE"""),"Ujwal Rimal")</f>
        <v>Ujwal Rimal</v>
      </c>
      <c r="H1674" s="2" t="str">
        <f>IFERROR(__xludf.DUMMYFUNCTION("""COMPUTED_VALUE"""),"Kathmandu Municipality-34, House No. 221/38, New Baneswar, Kathmandu, Tel; 
9851056823, 4109591")</f>
        <v>Kathmandu Municipality-34, House No. 221/38, New Baneswar, Kathmandu, Tel; 
9851056823, 4109591</v>
      </c>
      <c r="I1674" s="2" t="str">
        <f>IFERROR(__xludf.DUMMYFUNCTION("""COMPUTED_VALUE"""),"00o 00' 00""")</f>
        <v>00o 00' 00"</v>
      </c>
      <c r="J1674" s="2" t="str">
        <f>IFERROR(__xludf.DUMMYFUNCTION("""COMPUTED_VALUE"""),"00o 00' 00""")</f>
        <v>00o 00' 00"</v>
      </c>
      <c r="K1674" s="2" t="str">
        <f>IFERROR(__xludf.DUMMYFUNCTION("""COMPUTED_VALUE"""),"00o 00' 00""")</f>
        <v>00o 00' 00"</v>
      </c>
      <c r="L1674" s="2" t="str">
        <f>IFERROR(__xludf.DUMMYFUNCTION("""COMPUTED_VALUE"""),"00o 00' 00""")</f>
        <v>00o 00' 00"</v>
      </c>
      <c r="M1674" s="2" t="str">
        <f>IFERROR(__xludf.DUMMYFUNCTION("""COMPUTED_VALUE"""),"Darechauk (Chitawan)")</f>
        <v>Darechauk (Chitawan)</v>
      </c>
    </row>
    <row r="1675">
      <c r="A1675" s="2">
        <f>IFERROR(__xludf.DUMMYFUNCTION("""COMPUTED_VALUE"""),1674.0)</f>
        <v>1674</v>
      </c>
      <c r="B1675" s="2" t="str">
        <f>IFERROR(__xludf.DUMMYFUNCTION("""COMPUTED_VALUE"""),"Marin Khola SHP")</f>
        <v>Marin Khola SHP</v>
      </c>
      <c r="C1675" s="2">
        <f>IFERROR(__xludf.DUMMYFUNCTION("""COMPUTED_VALUE"""),0.98)</f>
        <v>0.98</v>
      </c>
      <c r="D1675" s="2" t="str">
        <f>IFERROR(__xludf.DUMMYFUNCTION("""COMPUTED_VALUE"""),"Marin")</f>
        <v>Marin</v>
      </c>
      <c r="E1675" s="2">
        <f>IFERROR(__xludf.DUMMYFUNCTION("""COMPUTED_VALUE"""),4415.0)</f>
        <v>4415</v>
      </c>
      <c r="F1675" s="3">
        <f>IFERROR(__xludf.DUMMYFUNCTION("""COMPUTED_VALUE"""),61375.0)</f>
        <v>61375</v>
      </c>
      <c r="G1675" s="2" t="str">
        <f>IFERROR(__xludf.DUMMYFUNCTION("""COMPUTED_VALUE"""),"Mahabharat Energy Development Pvt Ltd")</f>
        <v>Mahabharat Energy Development Pvt Ltd</v>
      </c>
      <c r="H1675" s="2" t="str">
        <f>IFERROR(__xludf.DUMMYFUNCTION("""COMPUTED_VALUE"""),"Kathmandu Municipality-10, Kathmandu, Tel: 014492885")</f>
        <v>Kathmandu Municipality-10, Kathmandu, Tel: 014492885</v>
      </c>
      <c r="I1675" s="2" t="str">
        <f>IFERROR(__xludf.DUMMYFUNCTION("""COMPUTED_VALUE"""),"27o 15' 55""")</f>
        <v>27o 15' 55"</v>
      </c>
      <c r="J1675" s="2" t="str">
        <f>IFERROR(__xludf.DUMMYFUNCTION("""COMPUTED_VALUE"""),"27o 17' 30""")</f>
        <v>27o 17' 30"</v>
      </c>
      <c r="K1675" s="2" t="str">
        <f>IFERROR(__xludf.DUMMYFUNCTION("""COMPUTED_VALUE"""),"85o 52' 09""")</f>
        <v>85o 52' 09"</v>
      </c>
      <c r="L1675" s="2" t="str">
        <f>IFERROR(__xludf.DUMMYFUNCTION("""COMPUTED_VALUE"""),"85o 53' 19""")</f>
        <v>85o 53' 19"</v>
      </c>
      <c r="M1675" s="2" t="str">
        <f>IFERROR(__xludf.DUMMYFUNCTION("""COMPUTED_VALUE"""),"Dadiguransh (Sindhuli)")</f>
        <v>Dadiguransh (Sindhuli)</v>
      </c>
    </row>
    <row r="1676">
      <c r="A1676" s="2">
        <f>IFERROR(__xludf.DUMMYFUNCTION("""COMPUTED_VALUE"""),1675.0)</f>
        <v>1675</v>
      </c>
      <c r="B1676" s="2" t="str">
        <f>IFERROR(__xludf.DUMMYFUNCTION("""COMPUTED_VALUE"""),"Pegu Khola SHP")</f>
        <v>Pegu Khola SHP</v>
      </c>
      <c r="C1676" s="2">
        <f>IFERROR(__xludf.DUMMYFUNCTION("""COMPUTED_VALUE"""),0.95)</f>
        <v>0.95</v>
      </c>
      <c r="D1676" s="2" t="str">
        <f>IFERROR(__xludf.DUMMYFUNCTION("""COMPUTED_VALUE"""),"Pegu")</f>
        <v>Pegu</v>
      </c>
      <c r="E1676" s="2">
        <f>IFERROR(__xludf.DUMMYFUNCTION("""COMPUTED_VALUE"""),4434.0)</f>
        <v>4434</v>
      </c>
      <c r="F1676" s="3">
        <f>IFERROR(__xludf.DUMMYFUNCTION("""COMPUTED_VALUE"""),61377.0)</f>
        <v>61377</v>
      </c>
      <c r="G1676" s="2" t="str">
        <f>IFERROR(__xludf.DUMMYFUNCTION("""COMPUTED_VALUE"""),"Deudhunga Hydropower Pvt Ltd")</f>
        <v>Deudhunga Hydropower Pvt Ltd</v>
      </c>
      <c r="H1676" s="2" t="str">
        <f>IFERROR(__xludf.DUMMYFUNCTION("""COMPUTED_VALUE"""),"GPO Box: 14233, Kathmandu, Tel: 4490445")</f>
        <v>GPO Box: 14233, Kathmandu, Tel: 4490445</v>
      </c>
      <c r="I1676" s="2" t="str">
        <f>IFERROR(__xludf.DUMMYFUNCTION("""COMPUTED_VALUE"""),"27o 49' 35""")</f>
        <v>27o 49' 35"</v>
      </c>
      <c r="J1676" s="2" t="str">
        <f>IFERROR(__xludf.DUMMYFUNCTION("""COMPUTED_VALUE"""),"27o 50' 40""")</f>
        <v>27o 50' 40"</v>
      </c>
      <c r="K1676" s="2" t="str">
        <f>IFERROR(__xludf.DUMMYFUNCTION("""COMPUTED_VALUE"""),"86o 02' 08""")</f>
        <v>86o 02' 08"</v>
      </c>
      <c r="L1676" s="2" t="str">
        <f>IFERROR(__xludf.DUMMYFUNCTION("""COMPUTED_VALUE"""),"86o 03' 37""")</f>
        <v>86o 03' 37"</v>
      </c>
      <c r="M1676" s="2" t="str">
        <f>IFERROR(__xludf.DUMMYFUNCTION("""COMPUTED_VALUE"""),"Bigu (Dolakha)")</f>
        <v>Bigu (Dolakha)</v>
      </c>
    </row>
    <row r="1677">
      <c r="A1677" s="2">
        <f>IFERROR(__xludf.DUMMYFUNCTION("""COMPUTED_VALUE"""),1676.0)</f>
        <v>1676</v>
      </c>
      <c r="B1677" s="2" t="str">
        <f>IFERROR(__xludf.DUMMYFUNCTION("""COMPUTED_VALUE"""),"Kurun Khola SHP")</f>
        <v>Kurun Khola SHP</v>
      </c>
      <c r="C1677" s="2">
        <f>IFERROR(__xludf.DUMMYFUNCTION("""COMPUTED_VALUE"""),0.5)</f>
        <v>0.5</v>
      </c>
      <c r="D1677" s="2" t="str">
        <f>IFERROR(__xludf.DUMMYFUNCTION("""COMPUTED_VALUE"""),"Kurun")</f>
        <v>Kurun</v>
      </c>
      <c r="E1677" s="2">
        <f>IFERROR(__xludf.DUMMYFUNCTION("""COMPUTED_VALUE"""),4449.0)</f>
        <v>4449</v>
      </c>
      <c r="F1677" s="3">
        <f>IFERROR(__xludf.DUMMYFUNCTION("""COMPUTED_VALUE"""),61377.0)</f>
        <v>61377</v>
      </c>
      <c r="G1677" s="2" t="str">
        <f>IFERROR(__xludf.DUMMYFUNCTION("""COMPUTED_VALUE"""),"Suyasha Kurung Khola Hydropower Company Pvt Ltd")</f>
        <v>Suyasha Kurung Khola Hydropower Company Pvt Ltd</v>
      </c>
      <c r="H1677" s="2" t="str">
        <f>IFERROR(__xludf.DUMMYFUNCTION("""COMPUTED_VALUE"""),"Gagalphedi, Kathmandu, Tel: 9849039293")</f>
        <v>Gagalphedi, Kathmandu, Tel: 9849039293</v>
      </c>
      <c r="I1677" s="2" t="str">
        <f>IFERROR(__xludf.DUMMYFUNCTION("""COMPUTED_VALUE"""),"27o 53' 00""")</f>
        <v>27o 53' 00"</v>
      </c>
      <c r="J1677" s="2" t="str">
        <f>IFERROR(__xludf.DUMMYFUNCTION("""COMPUTED_VALUE"""),"27o 54' 06""")</f>
        <v>27o 54' 06"</v>
      </c>
      <c r="K1677" s="2" t="str">
        <f>IFERROR(__xludf.DUMMYFUNCTION("""COMPUTED_VALUE"""),"83o 28' 42""")</f>
        <v>83o 28' 42"</v>
      </c>
      <c r="L1677" s="2" t="str">
        <f>IFERROR(__xludf.DUMMYFUNCTION("""COMPUTED_VALUE"""),"83o 30' 08""")</f>
        <v>83o 30' 08"</v>
      </c>
      <c r="M1677" s="2" t="str">
        <f>IFERROR(__xludf.DUMMYFUNCTION("""COMPUTED_VALUE"""),"Deurali (Palpa)")</f>
        <v>Deurali (Palpa)</v>
      </c>
    </row>
    <row r="1678">
      <c r="A1678" s="2">
        <f>IFERROR(__xludf.DUMMYFUNCTION("""COMPUTED_VALUE"""),1677.0)</f>
        <v>1677</v>
      </c>
      <c r="B1678" s="2" t="str">
        <f>IFERROR(__xludf.DUMMYFUNCTION("""COMPUTED_VALUE"""),"Kintan Khola SHP")</f>
        <v>Kintan Khola SHP</v>
      </c>
      <c r="C1678" s="2">
        <f>IFERROR(__xludf.DUMMYFUNCTION("""COMPUTED_VALUE"""),0.65)</f>
        <v>0.65</v>
      </c>
      <c r="D1678" s="2" t="str">
        <f>IFERROR(__xludf.DUMMYFUNCTION("""COMPUTED_VALUE"""),"Kintang Khola")</f>
        <v>Kintang Khola</v>
      </c>
      <c r="E1678" s="2">
        <f>IFERROR(__xludf.DUMMYFUNCTION("""COMPUTED_VALUE"""),4463.0)</f>
        <v>4463</v>
      </c>
      <c r="F1678" s="3">
        <f>IFERROR(__xludf.DUMMYFUNCTION("""COMPUTED_VALUE"""),61378.0)</f>
        <v>61378</v>
      </c>
      <c r="G1678" s="2" t="str">
        <f>IFERROR(__xludf.DUMMYFUNCTION("""COMPUTED_VALUE"""),"Satyadedvi Urja Company Pvt Ltd")</f>
        <v>Satyadedvi Urja Company Pvt Ltd</v>
      </c>
      <c r="H1678" s="2" t="str">
        <f>IFERROR(__xludf.DUMMYFUNCTION("""COMPUTED_VALUE"""),"Hariharbhavan, Kathmandu, GPO Box: 9635")</f>
        <v>Hariharbhavan, Kathmandu, GPO Box: 9635</v>
      </c>
      <c r="I1678" s="2" t="str">
        <f>IFERROR(__xludf.DUMMYFUNCTION("""COMPUTED_VALUE"""),"28o 01' 24""")</f>
        <v>28o 01' 24"</v>
      </c>
      <c r="J1678" s="2" t="str">
        <f>IFERROR(__xludf.DUMMYFUNCTION("""COMPUTED_VALUE"""),"28o 02' 18""")</f>
        <v>28o 02' 18"</v>
      </c>
      <c r="K1678" s="2" t="str">
        <f>IFERROR(__xludf.DUMMYFUNCTION("""COMPUTED_VALUE"""),"85o 00' 41""")</f>
        <v>85o 00' 41"</v>
      </c>
      <c r="L1678" s="2" t="str">
        <f>IFERROR(__xludf.DUMMYFUNCTION("""COMPUTED_VALUE"""),"85o 01' 46""")</f>
        <v>85o 01' 46"</v>
      </c>
      <c r="M1678" s="2" t="str">
        <f>IFERROR(__xludf.DUMMYFUNCTION("""COMPUTED_VALUE"""),"Satyadevi (Dhading) Kintang (Nuwakot)")</f>
        <v>Satyadevi (Dhading) Kintang (Nuwakot)</v>
      </c>
    </row>
    <row r="1679">
      <c r="A1679" s="2">
        <f>IFERROR(__xludf.DUMMYFUNCTION("""COMPUTED_VALUE"""),1678.0)</f>
        <v>1678</v>
      </c>
      <c r="B1679" s="2" t="str">
        <f>IFERROR(__xludf.DUMMYFUNCTION("""COMPUTED_VALUE"""),"Jhakre Khola SHP")</f>
        <v>Jhakre Khola SHP</v>
      </c>
      <c r="C1679" s="2">
        <f>IFERROR(__xludf.DUMMYFUNCTION("""COMPUTED_VALUE"""),0.63)</f>
        <v>0.63</v>
      </c>
      <c r="D1679" s="2" t="str">
        <f>IFERROR(__xludf.DUMMYFUNCTION("""COMPUTED_VALUE"""),"Jhakre Khola")</f>
        <v>Jhakre Khola</v>
      </c>
      <c r="E1679" s="2">
        <f>IFERROR(__xludf.DUMMYFUNCTION("""COMPUTED_VALUE"""),4543.0)</f>
        <v>4543</v>
      </c>
      <c r="F1679" s="3">
        <f>IFERROR(__xludf.DUMMYFUNCTION("""COMPUTED_VALUE"""),61384.0)</f>
        <v>61384</v>
      </c>
      <c r="G1679" s="2" t="str">
        <f>IFERROR(__xludf.DUMMYFUNCTION("""COMPUTED_VALUE"""),"Khimti Rural Electric Cooperative Ltd")</f>
        <v>Khimti Rural Electric Cooperative Ltd</v>
      </c>
      <c r="H1679" s="2" t="str">
        <f>IFERROR(__xludf.DUMMYFUNCTION("""COMPUTED_VALUE"""),"Sahare-4, Dolkha, Tel: 9741051268")</f>
        <v>Sahare-4, Dolkha, Tel: 9741051268</v>
      </c>
      <c r="I1679" s="2" t="str">
        <f>IFERROR(__xludf.DUMMYFUNCTION("""COMPUTED_VALUE"""),"27o 33' 42""")</f>
        <v>27o 33' 42"</v>
      </c>
      <c r="J1679" s="2" t="str">
        <f>IFERROR(__xludf.DUMMYFUNCTION("""COMPUTED_VALUE"""),"27o 34' 15""")</f>
        <v>27o 34' 15"</v>
      </c>
      <c r="K1679" s="2" t="str">
        <f>IFERROR(__xludf.DUMMYFUNCTION("""COMPUTED_VALUE"""),"86o 10' 45""")</f>
        <v>86o 10' 45"</v>
      </c>
      <c r="L1679" s="2" t="str">
        <f>IFERROR(__xludf.DUMMYFUNCTION("""COMPUTED_VALUE"""),"86o 11' 30""")</f>
        <v>86o 11' 30"</v>
      </c>
      <c r="M1679" s="2" t="str">
        <f>IFERROR(__xludf.DUMMYFUNCTION("""COMPUTED_VALUE"""),"Sahure (Dolakha)")</f>
        <v>Sahure (Dolakha)</v>
      </c>
    </row>
    <row r="1680">
      <c r="A1680" s="2">
        <f>IFERROR(__xludf.DUMMYFUNCTION("""COMPUTED_VALUE"""),1679.0)</f>
        <v>1679</v>
      </c>
      <c r="B1680" s="2" t="str">
        <f>IFERROR(__xludf.DUMMYFUNCTION("""COMPUTED_VALUE"""),"Deumai Khola HPP")</f>
        <v>Deumai Khola HPP</v>
      </c>
      <c r="C1680" s="2">
        <f>IFERROR(__xludf.DUMMYFUNCTION("""COMPUTED_VALUE"""),2.36)</f>
        <v>2.36</v>
      </c>
      <c r="D1680" s="2" t="str">
        <f>IFERROR(__xludf.DUMMYFUNCTION("""COMPUTED_VALUE"""),"Deumai")</f>
        <v>Deumai</v>
      </c>
      <c r="E1680" s="2">
        <f>IFERROR(__xludf.DUMMYFUNCTION("""COMPUTED_VALUE"""),4623.0)</f>
        <v>4623</v>
      </c>
      <c r="F1680" s="3">
        <f>IFERROR(__xludf.DUMMYFUNCTION("""COMPUTED_VALUE"""),61389.0)</f>
        <v>61389</v>
      </c>
      <c r="G1680" s="2" t="str">
        <f>IFERROR(__xludf.DUMMYFUNCTION("""COMPUTED_VALUE"""),"Kshitiz Thebe, Krishna K. Yonghang")</f>
        <v>Kshitiz Thebe, Krishna K. Yonghang</v>
      </c>
      <c r="H1680" s="2" t="str">
        <f>IFERROR(__xludf.DUMMYFUNCTION("""COMPUTED_VALUE"""),"Sinam-8, , Taplejung, Tel: 9841558901")</f>
        <v>Sinam-8, , Taplejung, Tel: 9841558901</v>
      </c>
      <c r="I1680" s="2" t="str">
        <f>IFERROR(__xludf.DUMMYFUNCTION("""COMPUTED_VALUE"""),"26o 55' 29""")</f>
        <v>26o 55' 29"</v>
      </c>
      <c r="J1680" s="2" t="str">
        <f>IFERROR(__xludf.DUMMYFUNCTION("""COMPUTED_VALUE"""),"26o 56' 33""")</f>
        <v>26o 56' 33"</v>
      </c>
      <c r="K1680" s="2" t="str">
        <f>IFERROR(__xludf.DUMMYFUNCTION("""COMPUTED_VALUE"""),"87o 46' 31""")</f>
        <v>87o 46' 31"</v>
      </c>
      <c r="L1680" s="2" t="str">
        <f>IFERROR(__xludf.DUMMYFUNCTION("""COMPUTED_VALUE"""),"87o 47' 44""")</f>
        <v>87o 47' 44"</v>
      </c>
      <c r="M1680" s="2" t="str">
        <f>IFERROR(__xludf.DUMMYFUNCTION("""COMPUTED_VALUE"""),"Ektappa (Ilam)")</f>
        <v>Ektappa (Ilam)</v>
      </c>
    </row>
    <row r="1681">
      <c r="A1681" s="2">
        <f>IFERROR(__xludf.DUMMYFUNCTION("""COMPUTED_VALUE"""),1680.0)</f>
        <v>1680</v>
      </c>
      <c r="B1681" s="2" t="str">
        <f>IFERROR(__xludf.DUMMYFUNCTION("""COMPUTED_VALUE"""),"Nawa Khola SHP")</f>
        <v>Nawa Khola SHP</v>
      </c>
      <c r="C1681" s="2">
        <f>IFERROR(__xludf.DUMMYFUNCTION("""COMPUTED_VALUE"""),0.99)</f>
        <v>0.99</v>
      </c>
      <c r="D1681" s="2" t="str">
        <f>IFERROR(__xludf.DUMMYFUNCTION("""COMPUTED_VALUE"""),"Nawa Khola")</f>
        <v>Nawa Khola</v>
      </c>
      <c r="E1681" s="2">
        <f>IFERROR(__xludf.DUMMYFUNCTION("""COMPUTED_VALUE"""),4694.0)</f>
        <v>4694</v>
      </c>
      <c r="F1681" s="3">
        <f>IFERROR(__xludf.DUMMYFUNCTION("""COMPUTED_VALUE"""),61395.0)</f>
        <v>61395</v>
      </c>
      <c r="G1681" s="2" t="str">
        <f>IFERROR(__xludf.DUMMYFUNCTION("""COMPUTED_VALUE"""),"Gyanendra Baral, Babi K. Rai, Navin Lama, Dipak Shrestha")</f>
        <v>Gyanendra Baral, Babi K. Rai, Navin Lama, Dipak Shrestha</v>
      </c>
      <c r="H1681" s="2" t="str">
        <f>IFERROR(__xludf.DUMMYFUNCTION("""COMPUTED_VALUE"""),"Kurule Tanupa-4, Dhankuta, Tel: 9808603699")</f>
        <v>Kurule Tanupa-4, Dhankuta, Tel: 9808603699</v>
      </c>
      <c r="I1681" s="2" t="str">
        <f>IFERROR(__xludf.DUMMYFUNCTION("""COMPUTED_VALUE"""),"26o 57' 30""")</f>
        <v>26o 57' 30"</v>
      </c>
      <c r="J1681" s="2" t="str">
        <f>IFERROR(__xludf.DUMMYFUNCTION("""COMPUTED_VALUE"""),"26o 58' 40""")</f>
        <v>26o 58' 40"</v>
      </c>
      <c r="K1681" s="2" t="str">
        <f>IFERROR(__xludf.DUMMYFUNCTION("""COMPUTED_VALUE"""),"87o 30' 00""")</f>
        <v>87o 30' 00"</v>
      </c>
      <c r="L1681" s="2" t="str">
        <f>IFERROR(__xludf.DUMMYFUNCTION("""COMPUTED_VALUE"""),"87o 31' 48""")</f>
        <v>87o 31' 48"</v>
      </c>
      <c r="M1681" s="2" t="str">
        <f>IFERROR(__xludf.DUMMYFUNCTION("""COMPUTED_VALUE"""),"Kuruletenupa (Dhankuta)")</f>
        <v>Kuruletenupa (Dhankuta)</v>
      </c>
    </row>
    <row r="1682">
      <c r="A1682" s="2">
        <f>IFERROR(__xludf.DUMMYFUNCTION("""COMPUTED_VALUE"""),1681.0)</f>
        <v>1681</v>
      </c>
      <c r="B1682" s="2" t="str">
        <f>IFERROR(__xludf.DUMMYFUNCTION("""COMPUTED_VALUE"""),"Super Midim Khola Small Hydropower")</f>
        <v>Super Midim Khola Small Hydropower</v>
      </c>
      <c r="C1682" s="2">
        <f>IFERROR(__xludf.DUMMYFUNCTION("""COMPUTED_VALUE"""),13.0)</f>
        <v>13</v>
      </c>
      <c r="D1682" s="2" t="str">
        <f>IFERROR(__xludf.DUMMYFUNCTION("""COMPUTED_VALUE"""),"Midim Khola")</f>
        <v>Midim Khola</v>
      </c>
      <c r="E1682" s="2">
        <f>IFERROR(__xludf.DUMMYFUNCTION("""COMPUTED_VALUE"""),4719.0)</f>
        <v>4719</v>
      </c>
      <c r="F1682" s="3">
        <f>IFERROR(__xludf.DUMMYFUNCTION("""COMPUTED_VALUE"""),61397.0)</f>
        <v>61397</v>
      </c>
      <c r="G1682" s="2" t="str">
        <f>IFERROR(__xludf.DUMMYFUNCTION("""COMPUTED_VALUE"""),"Midim Hydropower Pvt. Ltd")</f>
        <v>Midim Hydropower Pvt. Ltd</v>
      </c>
      <c r="H1682" s="2" t="str">
        <f>IFERROR(__xludf.DUMMYFUNCTION("""COMPUTED_VALUE"""),"Maharaj Gunj Kathmandu Nepal")</f>
        <v>Maharaj Gunj Kathmandu Nepal</v>
      </c>
      <c r="I1682" s="2" t="str">
        <f>IFERROR(__xludf.DUMMYFUNCTION("""COMPUTED_VALUE"""),"28o 15' 00""")</f>
        <v>28o 15' 00"</v>
      </c>
      <c r="J1682" s="2" t="str">
        <f>IFERROR(__xludf.DUMMYFUNCTION("""COMPUTED_VALUE"""),"28o 17' 55""")</f>
        <v>28o 17' 55"</v>
      </c>
      <c r="K1682" s="2" t="str">
        <f>IFERROR(__xludf.DUMMYFUNCTION("""COMPUTED_VALUE"""),"84o 15' 00""")</f>
        <v>84o 15' 00"</v>
      </c>
      <c r="L1682" s="2" t="str">
        <f>IFERROR(__xludf.DUMMYFUNCTION("""COMPUTED_VALUE"""),"84o 17' 00""")</f>
        <v>84o 17' 00"</v>
      </c>
      <c r="M1682" s="2" t="str">
        <f>IFERROR(__xludf.DUMMYFUNCTION("""COMPUTED_VALUE"""),"Bhoje,Bhujung (Lamjung)")</f>
        <v>Bhoje,Bhujung (Lamjung)</v>
      </c>
    </row>
    <row r="1683">
      <c r="A1683" s="2">
        <f>IFERROR(__xludf.DUMMYFUNCTION("""COMPUTED_VALUE"""),1682.0)</f>
        <v>1682</v>
      </c>
      <c r="B1683" s="2" t="str">
        <f>IFERROR(__xludf.DUMMYFUNCTION("""COMPUTED_VALUE"""),"Taman Khola HPP")</f>
        <v>Taman Khola HPP</v>
      </c>
      <c r="C1683" s="2">
        <f>IFERROR(__xludf.DUMMYFUNCTION("""COMPUTED_VALUE"""),4.4)</f>
        <v>4.4</v>
      </c>
      <c r="D1683" s="2" t="str">
        <f>IFERROR(__xludf.DUMMYFUNCTION("""COMPUTED_VALUE"""),"Taman")</f>
        <v>Taman</v>
      </c>
      <c r="E1683" s="2">
        <f>IFERROR(__xludf.DUMMYFUNCTION("""COMPUTED_VALUE"""),4732.0)</f>
        <v>4732</v>
      </c>
      <c r="F1683" s="3">
        <f>IFERROR(__xludf.DUMMYFUNCTION("""COMPUTED_VALUE"""),61398.0)</f>
        <v>61398</v>
      </c>
      <c r="G1683" s="2" t="str">
        <f>IFERROR(__xludf.DUMMYFUNCTION("""COMPUTED_VALUE"""),"Sanjay Bikram Sah")</f>
        <v>Sanjay Bikram Sah</v>
      </c>
      <c r="H1683" s="2" t="str">
        <f>IFERROR(__xludf.DUMMYFUNCTION("""COMPUTED_VALUE"""),"GPO Box: 5211, Kathmandu, Tel: 9851012287")</f>
        <v>GPO Box: 5211, Kathmandu, Tel: 9851012287</v>
      </c>
      <c r="I1683" s="2" t="str">
        <f>IFERROR(__xludf.DUMMYFUNCTION("""COMPUTED_VALUE"""),"28o 21' 18""")</f>
        <v>28o 21' 18"</v>
      </c>
      <c r="J1683" s="2" t="str">
        <f>IFERROR(__xludf.DUMMYFUNCTION("""COMPUTED_VALUE"""),"28o 22' 30""")</f>
        <v>28o 22' 30"</v>
      </c>
      <c r="K1683" s="2" t="str">
        <f>IFERROR(__xludf.DUMMYFUNCTION("""COMPUTED_VALUE"""),"83o 10' 40""")</f>
        <v>83o 10' 40"</v>
      </c>
      <c r="L1683" s="2" t="str">
        <f>IFERROR(__xludf.DUMMYFUNCTION("""COMPUTED_VALUE"""),"83o 12' 30""")</f>
        <v>83o 12' 30"</v>
      </c>
      <c r="M1683" s="2" t="str">
        <f>IFERROR(__xludf.DUMMYFUNCTION("""COMPUTED_VALUE"""),"Bungadovan,Burtiwang,Khunga (Baglung)")</f>
        <v>Bungadovan,Burtiwang,Khunga (Baglung)</v>
      </c>
    </row>
    <row r="1684">
      <c r="A1684" s="2">
        <f>IFERROR(__xludf.DUMMYFUNCTION("""COMPUTED_VALUE"""),1683.0)</f>
        <v>1683</v>
      </c>
      <c r="B1684" s="2" t="str">
        <f>IFERROR(__xludf.DUMMYFUNCTION("""COMPUTED_VALUE"""),"Upper Daram Khola A")</f>
        <v>Upper Daram Khola A</v>
      </c>
      <c r="C1684" s="2">
        <f>IFERROR(__xludf.DUMMYFUNCTION("""COMPUTED_VALUE"""),6.0)</f>
        <v>6</v>
      </c>
      <c r="D1684" s="2" t="str">
        <f>IFERROR(__xludf.DUMMYFUNCTION("""COMPUTED_VALUE"""),"Daram")</f>
        <v>Daram</v>
      </c>
      <c r="E1684" s="2">
        <f>IFERROR(__xludf.DUMMYFUNCTION("""COMPUTED_VALUE"""),4744.0)</f>
        <v>4744</v>
      </c>
      <c r="F1684" s="3">
        <f>IFERROR(__xludf.DUMMYFUNCTION("""COMPUTED_VALUE"""),61398.0)</f>
        <v>61398</v>
      </c>
      <c r="G1684" s="2" t="str">
        <f>IFERROR(__xludf.DUMMYFUNCTION("""COMPUTED_VALUE"""),"Zenith Energy Pvt. Ltd")</f>
        <v>Zenith Energy Pvt. Ltd</v>
      </c>
      <c r="H1684" s="2" t="str">
        <f>IFERROR(__xludf.DUMMYFUNCTION("""COMPUTED_VALUE"""),"Balbhadramarga, Baneswor Kathmandu")</f>
        <v>Balbhadramarga, Baneswor Kathmandu</v>
      </c>
      <c r="I1684" s="2" t="str">
        <f>IFERROR(__xludf.DUMMYFUNCTION("""COMPUTED_VALUE"""),"28o 14' 11""")</f>
        <v>28o 14' 11"</v>
      </c>
      <c r="J1684" s="2" t="str">
        <f>IFERROR(__xludf.DUMMYFUNCTION("""COMPUTED_VALUE"""),"28o 16' 45""")</f>
        <v>28o 16' 45"</v>
      </c>
      <c r="K1684" s="2" t="str">
        <f>IFERROR(__xludf.DUMMYFUNCTION("""COMPUTED_VALUE"""),"83o 25' 00""")</f>
        <v>83o 25' 00"</v>
      </c>
      <c r="L1684" s="2" t="str">
        <f>IFERROR(__xludf.DUMMYFUNCTION("""COMPUTED_VALUE"""),"83o 26' 38""")</f>
        <v>83o 26' 38"</v>
      </c>
      <c r="M1684" s="2" t="str">
        <f>IFERROR(__xludf.DUMMYFUNCTION("""COMPUTED_VALUE"""),"Argal,Harichaur,Heel (Baglung)")</f>
        <v>Argal,Harichaur,Heel (Baglung)</v>
      </c>
    </row>
    <row r="1685">
      <c r="A1685" s="2">
        <f>IFERROR(__xludf.DUMMYFUNCTION("""COMPUTED_VALUE"""),1684.0)</f>
        <v>1684</v>
      </c>
      <c r="B1685" s="2" t="str">
        <f>IFERROR(__xludf.DUMMYFUNCTION("""COMPUTED_VALUE"""),"Kali khola")</f>
        <v>Kali khola</v>
      </c>
      <c r="C1685" s="2">
        <f>IFERROR(__xludf.DUMMYFUNCTION("""COMPUTED_VALUE"""),0.99)</f>
        <v>0.99</v>
      </c>
      <c r="D1685" s="2" t="str">
        <f>IFERROR(__xludf.DUMMYFUNCTION("""COMPUTED_VALUE"""),"Chhyanduri")</f>
        <v>Chhyanduri</v>
      </c>
      <c r="E1685" s="2">
        <f>IFERROR(__xludf.DUMMYFUNCTION("""COMPUTED_VALUE"""),4811.0)</f>
        <v>4811</v>
      </c>
      <c r="F1685" s="3">
        <f>IFERROR(__xludf.DUMMYFUNCTION("""COMPUTED_VALUE"""),61404.0)</f>
        <v>61404</v>
      </c>
      <c r="G1685" s="2" t="str">
        <f>IFERROR(__xludf.DUMMYFUNCTION("""COMPUTED_VALUE"""),"Butwal Hydripower and Engineering")</f>
        <v>Butwal Hydripower and Engineering</v>
      </c>
      <c r="H1685" s="2" t="str">
        <f>IFERROR(__xludf.DUMMYFUNCTION("""COMPUTED_VALUE"""),"Butwal, POB 9635, 9851113132")</f>
        <v>Butwal, POB 9635, 9851113132</v>
      </c>
      <c r="I1685" s="2" t="str">
        <f>IFERROR(__xludf.DUMMYFUNCTION("""COMPUTED_VALUE"""),"27o 37' 44""")</f>
        <v>27o 37' 44"</v>
      </c>
      <c r="J1685" s="2" t="str">
        <f>IFERROR(__xludf.DUMMYFUNCTION("""COMPUTED_VALUE"""),"27o 39' 21""")</f>
        <v>27o 39' 21"</v>
      </c>
      <c r="K1685" s="2" t="str">
        <f>IFERROR(__xludf.DUMMYFUNCTION("""COMPUTED_VALUE"""),"84o 54' 53""")</f>
        <v>84o 54' 53"</v>
      </c>
      <c r="L1685" s="2" t="str">
        <f>IFERROR(__xludf.DUMMYFUNCTION("""COMPUTED_VALUE"""),"84o 56' 34""")</f>
        <v>84o 56' 34"</v>
      </c>
      <c r="M1685" s="2" t="str">
        <f>IFERROR(__xludf.DUMMYFUNCTION("""COMPUTED_VALUE"""),"Dadakharka,Gogane (Makawanpur)")</f>
        <v>Dadakharka,Gogane (Makawanpur)</v>
      </c>
    </row>
    <row r="1686">
      <c r="A1686" s="2">
        <f>IFERROR(__xludf.DUMMYFUNCTION("""COMPUTED_VALUE"""),1685.0)</f>
        <v>1685</v>
      </c>
      <c r="B1686" s="2" t="str">
        <f>IFERROR(__xludf.DUMMYFUNCTION("""COMPUTED_VALUE"""),"Kali khola Mini")</f>
        <v>Kali khola Mini</v>
      </c>
      <c r="C1686" s="2">
        <f>IFERROR(__xludf.DUMMYFUNCTION("""COMPUTED_VALUE"""),0.97)</f>
        <v>0.97</v>
      </c>
      <c r="D1686" s="2" t="str">
        <f>IFERROR(__xludf.DUMMYFUNCTION("""COMPUTED_VALUE"""),"Kali Khola")</f>
        <v>Kali Khola</v>
      </c>
      <c r="E1686" s="2">
        <f>IFERROR(__xludf.DUMMYFUNCTION("""COMPUTED_VALUE"""),4812.0)</f>
        <v>4812</v>
      </c>
      <c r="F1686" s="3">
        <f>IFERROR(__xludf.DUMMYFUNCTION("""COMPUTED_VALUE"""),61404.0)</f>
        <v>61404</v>
      </c>
      <c r="G1686" s="2" t="str">
        <f>IFERROR(__xludf.DUMMYFUNCTION("""COMPUTED_VALUE"""),"Butwal Hydripower and Engineering")</f>
        <v>Butwal Hydripower and Engineering</v>
      </c>
      <c r="H1686" s="2" t="str">
        <f>IFERROR(__xludf.DUMMYFUNCTION("""COMPUTED_VALUE"""),"Butwal, POB 9635, 9851113132")</f>
        <v>Butwal, POB 9635, 9851113132</v>
      </c>
      <c r="I1686" s="2" t="str">
        <f>IFERROR(__xludf.DUMMYFUNCTION("""COMPUTED_VALUE"""),"27o 35' 27""")</f>
        <v>27o 35' 27"</v>
      </c>
      <c r="J1686" s="2" t="str">
        <f>IFERROR(__xludf.DUMMYFUNCTION("""COMPUTED_VALUE"""),"27o 36' 30""")</f>
        <v>27o 36' 30"</v>
      </c>
      <c r="K1686" s="2" t="str">
        <f>IFERROR(__xludf.DUMMYFUNCTION("""COMPUTED_VALUE"""),"84o 54' 52""")</f>
        <v>84o 54' 52"</v>
      </c>
      <c r="L1686" s="2" t="str">
        <f>IFERROR(__xludf.DUMMYFUNCTION("""COMPUTED_VALUE"""),"84o 56' 18""")</f>
        <v>84o 56' 18"</v>
      </c>
      <c r="M1686" s="2" t="str">
        <f>IFERROR(__xludf.DUMMYFUNCTION("""COMPUTED_VALUE"""),"Kalikatar (Makawanpur)")</f>
        <v>Kalikatar (Makawanpur)</v>
      </c>
    </row>
    <row r="1687">
      <c r="A1687" s="2">
        <f>IFERROR(__xludf.DUMMYFUNCTION("""COMPUTED_VALUE"""),1686.0)</f>
        <v>1686</v>
      </c>
      <c r="B1687" s="2" t="str">
        <f>IFERROR(__xludf.DUMMYFUNCTION("""COMPUTED_VALUE"""),"Lower nyadi")</f>
        <v>Lower nyadi</v>
      </c>
      <c r="C1687" s="2">
        <f>IFERROR(__xludf.DUMMYFUNCTION("""COMPUTED_VALUE"""),4.5)</f>
        <v>4.5</v>
      </c>
      <c r="D1687" s="2" t="str">
        <f>IFERROR(__xludf.DUMMYFUNCTION("""COMPUTED_VALUE"""),"Nyadi")</f>
        <v>Nyadi</v>
      </c>
      <c r="E1687" s="2">
        <f>IFERROR(__xludf.DUMMYFUNCTION("""COMPUTED_VALUE"""),4867.0)</f>
        <v>4867</v>
      </c>
      <c r="F1687" s="3">
        <f>IFERROR(__xludf.DUMMYFUNCTION("""COMPUTED_VALUE"""),61410.0)</f>
        <v>61410</v>
      </c>
      <c r="G1687" s="2" t="str">
        <f>IFERROR(__xludf.DUMMYFUNCTION("""COMPUTED_VALUE"""),"Bavarian Hydropower,")</f>
        <v>Bavarian Hydropower,</v>
      </c>
      <c r="H1687" s="2" t="str">
        <f>IFERROR(__xludf.DUMMYFUNCTION("""COMPUTED_VALUE"""),"Soalteemod KTM, 4271689")</f>
        <v>Soalteemod KTM, 4271689</v>
      </c>
      <c r="I1687" s="2" t="str">
        <f>IFERROR(__xludf.DUMMYFUNCTION("""COMPUTED_VALUE"""),"28o 18' 30""")</f>
        <v>28o 18' 30"</v>
      </c>
      <c r="J1687" s="2" t="str">
        <f>IFERROR(__xludf.DUMMYFUNCTION("""COMPUTED_VALUE"""),"28o 19' 45""")</f>
        <v>28o 19' 45"</v>
      </c>
      <c r="K1687" s="2" t="str">
        <f>IFERROR(__xludf.DUMMYFUNCTION("""COMPUTED_VALUE"""),"84o 24' 05""")</f>
        <v>84o 24' 05"</v>
      </c>
      <c r="L1687" s="2" t="str">
        <f>IFERROR(__xludf.DUMMYFUNCTION("""COMPUTED_VALUE"""),"84o 25' 25""")</f>
        <v>84o 25' 25"</v>
      </c>
      <c r="M1687" s="2" t="str">
        <f>IFERROR(__xludf.DUMMYFUNCTION("""COMPUTED_VALUE"""),"Bahundada,Bhulbhule (Lamjung)")</f>
        <v>Bahundada,Bhulbhule (Lamjung)</v>
      </c>
    </row>
    <row r="1688">
      <c r="A1688" s="2">
        <f>IFERROR(__xludf.DUMMYFUNCTION("""COMPUTED_VALUE"""),1687.0)</f>
        <v>1687</v>
      </c>
      <c r="B1688" s="2" t="str">
        <f>IFERROR(__xludf.DUMMYFUNCTION("""COMPUTED_VALUE"""),"Hewa-A Hydropower Project")</f>
        <v>Hewa-A Hydropower Project</v>
      </c>
      <c r="C1688" s="2">
        <f>IFERROR(__xludf.DUMMYFUNCTION("""COMPUTED_VALUE"""),5.0)</f>
        <v>5</v>
      </c>
      <c r="D1688" s="2" t="str">
        <f>IFERROR(__xludf.DUMMYFUNCTION("""COMPUTED_VALUE"""),"Hewa Khola")</f>
        <v>Hewa Khola</v>
      </c>
      <c r="E1688" s="2">
        <f>IFERROR(__xludf.DUMMYFUNCTION("""COMPUTED_VALUE"""),4886.0)</f>
        <v>4886</v>
      </c>
      <c r="F1688" s="3">
        <f>IFERROR(__xludf.DUMMYFUNCTION("""COMPUTED_VALUE"""),61410.0)</f>
        <v>61410</v>
      </c>
      <c r="G1688" s="2" t="str">
        <f>IFERROR(__xludf.DUMMYFUNCTION("""COMPUTED_VALUE"""),"Alliance Consult Pvt Ltd")</f>
        <v>Alliance Consult Pvt Ltd</v>
      </c>
      <c r="H1688" s="2" t="str">
        <f>IFERROR(__xludf.DUMMYFUNCTION("""COMPUTED_VALUE"""),"GPO Box: 10728, Kathmandu, Tel; 9851114712")</f>
        <v>GPO Box: 10728, Kathmandu, Tel; 9851114712</v>
      </c>
      <c r="I1688" s="2" t="str">
        <f>IFERROR(__xludf.DUMMYFUNCTION("""COMPUTED_VALUE"""),"27o 10' 30""")</f>
        <v>27o 10' 30"</v>
      </c>
      <c r="J1688" s="2" t="str">
        <f>IFERROR(__xludf.DUMMYFUNCTION("""COMPUTED_VALUE"""),"27o 12' 00""")</f>
        <v>27o 12' 00"</v>
      </c>
      <c r="K1688" s="2" t="str">
        <f>IFERROR(__xludf.DUMMYFUNCTION("""COMPUTED_VALUE"""),"87o 51' 00""")</f>
        <v>87o 51' 00"</v>
      </c>
      <c r="L1688" s="2" t="str">
        <f>IFERROR(__xludf.DUMMYFUNCTION("""COMPUTED_VALUE"""),"87o 53' 10""")</f>
        <v>87o 53' 10"</v>
      </c>
      <c r="M1688" s="2" t="str">
        <f>IFERROR(__xludf.DUMMYFUNCTION("""COMPUTED_VALUE"""),"Yanganam,Sidin (Panchthar)")</f>
        <v>Yanganam,Sidin (Panchthar)</v>
      </c>
    </row>
    <row r="1689">
      <c r="A1689" s="2">
        <f>IFERROR(__xludf.DUMMYFUNCTION("""COMPUTED_VALUE"""),1688.0)</f>
        <v>1688</v>
      </c>
      <c r="B1689" s="2" t="str">
        <f>IFERROR(__xludf.DUMMYFUNCTION("""COMPUTED_VALUE"""),"Upper Jogmai")</f>
        <v>Upper Jogmai</v>
      </c>
      <c r="C1689" s="2">
        <f>IFERROR(__xludf.DUMMYFUNCTION("""COMPUTED_VALUE"""),2.5)</f>
        <v>2.5</v>
      </c>
      <c r="D1689" s="2" t="str">
        <f>IFERROR(__xludf.DUMMYFUNCTION("""COMPUTED_VALUE"""),"Jogmai Khola")</f>
        <v>Jogmai Khola</v>
      </c>
      <c r="E1689" s="2">
        <f>IFERROR(__xludf.DUMMYFUNCTION("""COMPUTED_VALUE"""),4917.0)</f>
        <v>4917</v>
      </c>
      <c r="F1689" s="3">
        <f>IFERROR(__xludf.DUMMYFUNCTION("""COMPUTED_VALUE"""),61412.0)</f>
        <v>61412</v>
      </c>
      <c r="G1689" s="2" t="str">
        <f>IFERROR(__xludf.DUMMYFUNCTION("""COMPUTED_VALUE"""),"Tara Sapkota")</f>
        <v>Tara Sapkota</v>
      </c>
      <c r="H1689" s="2" t="str">
        <f>IFERROR(__xludf.DUMMYFUNCTION("""COMPUTED_VALUE"""),"Panchakanya VDC-1, Ilam")</f>
        <v>Panchakanya VDC-1, Ilam</v>
      </c>
      <c r="I1689" s="2" t="str">
        <f>IFERROR(__xludf.DUMMYFUNCTION("""COMPUTED_VALUE"""),"26o 55' 30""")</f>
        <v>26o 55' 30"</v>
      </c>
      <c r="J1689" s="2" t="str">
        <f>IFERROR(__xludf.DUMMYFUNCTION("""COMPUTED_VALUE"""),"26o 58' 30""")</f>
        <v>26o 58' 30"</v>
      </c>
      <c r="K1689" s="2" t="str">
        <f>IFERROR(__xludf.DUMMYFUNCTION("""COMPUTED_VALUE"""),"85o 02' 50""")</f>
        <v>85o 02' 50"</v>
      </c>
      <c r="L1689" s="2" t="str">
        <f>IFERROR(__xludf.DUMMYFUNCTION("""COMPUTED_VALUE"""),"85o 05' 00""")</f>
        <v>85o 05' 00"</v>
      </c>
      <c r="M1689" s="2" t="str">
        <f>IFERROR(__xludf.DUMMYFUNCTION("""COMPUTED_VALUE"""),"Pashupati Nagar (Ilam)")</f>
        <v>Pashupati Nagar (Ilam)</v>
      </c>
    </row>
    <row r="1690">
      <c r="A1690" s="2">
        <f>IFERROR(__xludf.DUMMYFUNCTION("""COMPUTED_VALUE"""),1689.0)</f>
        <v>1689</v>
      </c>
      <c r="B1690" s="2" t="str">
        <f>IFERROR(__xludf.DUMMYFUNCTION("""COMPUTED_VALUE"""),"Sanni Gad SHP")</f>
        <v>Sanni Gad SHP</v>
      </c>
      <c r="C1690" s="2">
        <f>IFERROR(__xludf.DUMMYFUNCTION("""COMPUTED_VALUE"""),0.994)</f>
        <v>0.994</v>
      </c>
      <c r="D1690" s="2" t="str">
        <f>IFERROR(__xludf.DUMMYFUNCTION("""COMPUTED_VALUE"""),"Sani Gad")</f>
        <v>Sani Gad</v>
      </c>
      <c r="E1690" s="2">
        <f>IFERROR(__xludf.DUMMYFUNCTION("""COMPUTED_VALUE"""),4935.0)</f>
        <v>4935</v>
      </c>
      <c r="F1690" s="3">
        <f>IFERROR(__xludf.DUMMYFUNCTION("""COMPUTED_VALUE"""),61413.0)</f>
        <v>61413</v>
      </c>
      <c r="G1690" s="2" t="str">
        <f>IFERROR(__xludf.DUMMYFUNCTION("""COMPUTED_VALUE"""),"Bhavna Kumari Pandey")</f>
        <v>Bhavna Kumari Pandey</v>
      </c>
      <c r="H1690" s="2" t="str">
        <f>IFERROR(__xludf.DUMMYFUNCTION("""COMPUTED_VALUE"""),"Manma-9, Kalikot, Tel: 9848327558")</f>
        <v>Manma-9, Kalikot, Tel: 9848327558</v>
      </c>
      <c r="I1690" s="2" t="str">
        <f>IFERROR(__xludf.DUMMYFUNCTION("""COMPUTED_VALUE"""),"29o 15' 16""")</f>
        <v>29o 15' 16"</v>
      </c>
      <c r="J1690" s="2" t="str">
        <f>IFERROR(__xludf.DUMMYFUNCTION("""COMPUTED_VALUE"""),"29o 16' 51""")</f>
        <v>29o 16' 51"</v>
      </c>
      <c r="K1690" s="2" t="str">
        <f>IFERROR(__xludf.DUMMYFUNCTION("""COMPUTED_VALUE"""),"81o 35' 00""")</f>
        <v>81o 35' 00"</v>
      </c>
      <c r="L1690" s="2" t="str">
        <f>IFERROR(__xludf.DUMMYFUNCTION("""COMPUTED_VALUE"""),"81o 37' 03""")</f>
        <v>81o 37' 03"</v>
      </c>
      <c r="M1690" s="2" t="str">
        <f>IFERROR(__xludf.DUMMYFUNCTION("""COMPUTED_VALUE"""),"Mehal Mudi,Sipkhana,Siuna (Kalikot)")</f>
        <v>Mehal Mudi,Sipkhana,Siuna (Kalikot)</v>
      </c>
    </row>
    <row r="1691">
      <c r="A1691" s="2">
        <f>IFERROR(__xludf.DUMMYFUNCTION("""COMPUTED_VALUE"""),1690.0)</f>
        <v>1690</v>
      </c>
      <c r="B1691" s="2" t="str">
        <f>IFERROR(__xludf.DUMMYFUNCTION("""COMPUTED_VALUE"""),"Raha Gad SHP")</f>
        <v>Raha Gad SHP</v>
      </c>
      <c r="C1691" s="2">
        <f>IFERROR(__xludf.DUMMYFUNCTION("""COMPUTED_VALUE"""),0.955)</f>
        <v>0.955</v>
      </c>
      <c r="D1691" s="2" t="str">
        <f>IFERROR(__xludf.DUMMYFUNCTION("""COMPUTED_VALUE"""),"Raha Gad")</f>
        <v>Raha Gad</v>
      </c>
      <c r="E1691" s="2">
        <f>IFERROR(__xludf.DUMMYFUNCTION("""COMPUTED_VALUE"""),4944.0)</f>
        <v>4944</v>
      </c>
      <c r="F1691" s="3">
        <f>IFERROR(__xludf.DUMMYFUNCTION("""COMPUTED_VALUE"""),61415.0)</f>
        <v>61415</v>
      </c>
      <c r="G1691" s="2" t="str">
        <f>IFERROR(__xludf.DUMMYFUNCTION("""COMPUTED_VALUE"""),"Khagendra Prasad Pandey")</f>
        <v>Khagendra Prasad Pandey</v>
      </c>
      <c r="H1691" s="2" t="str">
        <f>IFERROR(__xludf.DUMMYFUNCTION("""COMPUTED_VALUE"""),"Manma VDC-9, Kalikot")</f>
        <v>Manma VDC-9, Kalikot</v>
      </c>
      <c r="I1691" s="2" t="str">
        <f>IFERROR(__xludf.DUMMYFUNCTION("""COMPUTED_VALUE"""),"29o 07' 09""")</f>
        <v>29o 07' 09"</v>
      </c>
      <c r="J1691" s="2" t="str">
        <f>IFERROR(__xludf.DUMMYFUNCTION("""COMPUTED_VALUE"""),"29o 10' 24""")</f>
        <v>29o 10' 24"</v>
      </c>
      <c r="K1691" s="2" t="str">
        <f>IFERROR(__xludf.DUMMYFUNCTION("""COMPUTED_VALUE"""),"81o 33' 22""")</f>
        <v>81o 33' 22"</v>
      </c>
      <c r="L1691" s="2" t="str">
        <f>IFERROR(__xludf.DUMMYFUNCTION("""COMPUTED_VALUE"""),"81o 34' 36""")</f>
        <v>81o 34' 36"</v>
      </c>
      <c r="M1691" s="2" t="str">
        <f>IFERROR(__xludf.DUMMYFUNCTION("""COMPUTED_VALUE"""),"Kotbada (Kalikot)")</f>
        <v>Kotbada (Kalikot)</v>
      </c>
    </row>
    <row r="1692">
      <c r="A1692" s="2">
        <f>IFERROR(__xludf.DUMMYFUNCTION("""COMPUTED_VALUE"""),1691.0)</f>
        <v>1691</v>
      </c>
      <c r="B1692" s="2" t="str">
        <f>IFERROR(__xludf.DUMMYFUNCTION("""COMPUTED_VALUE"""),"Deumai Khola HPP")</f>
        <v>Deumai Khola HPP</v>
      </c>
      <c r="C1692" s="2">
        <f>IFERROR(__xludf.DUMMYFUNCTION("""COMPUTED_VALUE"""),5.0)</f>
        <v>5</v>
      </c>
      <c r="D1692" s="2" t="str">
        <f>IFERROR(__xludf.DUMMYFUNCTION("""COMPUTED_VALUE"""),"Deumai")</f>
        <v>Deumai</v>
      </c>
      <c r="E1692" s="2">
        <f>IFERROR(__xludf.DUMMYFUNCTION("""COMPUTED_VALUE"""),4949.0)</f>
        <v>4949</v>
      </c>
      <c r="F1692" s="3">
        <f>IFERROR(__xludf.DUMMYFUNCTION("""COMPUTED_VALUE"""),61415.0)</f>
        <v>61415</v>
      </c>
      <c r="G1692" s="2" t="str">
        <f>IFERROR(__xludf.DUMMYFUNCTION("""COMPUTED_VALUE"""),"L.P. Sitaula, P.B. Bhattarai, S.P.Sitaula")</f>
        <v>L.P. Sitaula, P.B. Bhattarai, S.P.Sitaula</v>
      </c>
      <c r="H1692" s="2" t="str">
        <f>IFERROR(__xludf.DUMMYFUNCTION("""COMPUTED_VALUE"""),"D.K. Consult Pvt Ltd, Pasang Lahamu Marg-141, Kathmandu, Tel: 01-4115206")</f>
        <v>D.K. Consult Pvt Ltd, Pasang Lahamu Marg-141, Kathmandu, Tel: 01-4115206</v>
      </c>
      <c r="I1692" s="2" t="str">
        <f>IFERROR(__xludf.DUMMYFUNCTION("""COMPUTED_VALUE"""),"26o 54' 40""")</f>
        <v>26o 54' 40"</v>
      </c>
      <c r="J1692" s="2" t="str">
        <f>IFERROR(__xludf.DUMMYFUNCTION("""COMPUTED_VALUE"""),"26o 56' 49""")</f>
        <v>26o 56' 49"</v>
      </c>
      <c r="K1692" s="2" t="str">
        <f>IFERROR(__xludf.DUMMYFUNCTION("""COMPUTED_VALUE"""),"87o 45' 55""")</f>
        <v>87o 45' 55"</v>
      </c>
      <c r="L1692" s="2" t="str">
        <f>IFERROR(__xludf.DUMMYFUNCTION("""COMPUTED_VALUE"""),"87o 47' 53""")</f>
        <v>87o 47' 53"</v>
      </c>
      <c r="M1692" s="2" t="str">
        <f>IFERROR(__xludf.DUMMYFUNCTION("""COMPUTED_VALUE"""),"Ghuseni,Ektappa (Ilam)")</f>
        <v>Ghuseni,Ektappa (Ilam)</v>
      </c>
    </row>
    <row r="1693">
      <c r="A1693" s="2">
        <f>IFERROR(__xludf.DUMMYFUNCTION("""COMPUTED_VALUE"""),1692.0)</f>
        <v>1692</v>
      </c>
      <c r="B1693" s="2" t="str">
        <f>IFERROR(__xludf.DUMMYFUNCTION("""COMPUTED_VALUE"""),"Midim Khola SHP")</f>
        <v>Midim Khola SHP</v>
      </c>
      <c r="C1693" s="2">
        <f>IFERROR(__xludf.DUMMYFUNCTION("""COMPUTED_VALUE"""),0.99)</f>
        <v>0.99</v>
      </c>
      <c r="D1693" s="2" t="str">
        <f>IFERROR(__xludf.DUMMYFUNCTION("""COMPUTED_VALUE"""),"Midim Khola")</f>
        <v>Midim Khola</v>
      </c>
      <c r="E1693" s="2">
        <f>IFERROR(__xludf.DUMMYFUNCTION("""COMPUTED_VALUE"""),4959.0)</f>
        <v>4959</v>
      </c>
      <c r="F1693" s="3">
        <f>IFERROR(__xludf.DUMMYFUNCTION("""COMPUTED_VALUE"""),61416.0)</f>
        <v>61416</v>
      </c>
      <c r="G1693" s="2" t="str">
        <f>IFERROR(__xludf.DUMMYFUNCTION("""COMPUTED_VALUE"""),"Shivram Silwal, Shiv Prasad Aryal, Kishor Kafle")</f>
        <v>Shivram Silwal, Shiv Prasad Aryal, Kishor Kafle</v>
      </c>
      <c r="H1693" s="2" t="str">
        <f>IFERROR(__xludf.DUMMYFUNCTION("""COMPUTED_VALUE"""),"Koteswar, Kathmandu, Tel: 9849097838")</f>
        <v>Koteswar, Kathmandu, Tel: 9849097838</v>
      </c>
      <c r="I1693" s="2" t="str">
        <f>IFERROR(__xludf.DUMMYFUNCTION("""COMPUTED_VALUE"""),"28o 22' 07""")</f>
        <v>28o 22' 07"</v>
      </c>
      <c r="J1693" s="2" t="str">
        <f>IFERROR(__xludf.DUMMYFUNCTION("""COMPUTED_VALUE"""),"28o 19' 00""")</f>
        <v>28o 19' 00"</v>
      </c>
      <c r="K1693" s="2" t="str">
        <f>IFERROR(__xludf.DUMMYFUNCTION("""COMPUTED_VALUE"""),"84o 16' 12""")</f>
        <v>84o 16' 12"</v>
      </c>
      <c r="L1693" s="2" t="str">
        <f>IFERROR(__xludf.DUMMYFUNCTION("""COMPUTED_VALUE"""),"84o 14' 25""")</f>
        <v>84o 14' 25"</v>
      </c>
      <c r="M1693" s="2" t="str">
        <f>IFERROR(__xludf.DUMMYFUNCTION("""COMPUTED_VALUE"""),"Bhujung (Lamjung)")</f>
        <v>Bhujung (Lamjung)</v>
      </c>
    </row>
    <row r="1694">
      <c r="A1694" s="2">
        <f>IFERROR(__xludf.DUMMYFUNCTION("""COMPUTED_VALUE"""),1693.0)</f>
        <v>1693</v>
      </c>
      <c r="B1694" s="2" t="str">
        <f>IFERROR(__xludf.DUMMYFUNCTION("""COMPUTED_VALUE"""),"Jower Bagmati Small")</f>
        <v>Jower Bagmati Small</v>
      </c>
      <c r="C1694" s="2">
        <f>IFERROR(__xludf.DUMMYFUNCTION("""COMPUTED_VALUE"""),8.43)</f>
        <v>8.43</v>
      </c>
      <c r="D1694" s="2" t="str">
        <f>IFERROR(__xludf.DUMMYFUNCTION("""COMPUTED_VALUE"""),"Bagmati")</f>
        <v>Bagmati</v>
      </c>
      <c r="E1694" s="2">
        <f>IFERROR(__xludf.DUMMYFUNCTION("""COMPUTED_VALUE"""),4984.0)</f>
        <v>4984</v>
      </c>
      <c r="F1694" s="3">
        <f>IFERROR(__xludf.DUMMYFUNCTION("""COMPUTED_VALUE"""),61417.0)</f>
        <v>61417</v>
      </c>
      <c r="G1694" s="2" t="str">
        <f>IFERROR(__xludf.DUMMYFUNCTION("""COMPUTED_VALUE"""),"Malta Power Pvt. Ltd")</f>
        <v>Malta Power Pvt. Ltd</v>
      </c>
      <c r="H1694" s="2" t="str">
        <f>IFERROR(__xludf.DUMMYFUNCTION("""COMPUTED_VALUE"""),"Anam Nagar, Kathmandu")</f>
        <v>Anam Nagar, Kathmandu</v>
      </c>
      <c r="I1694" s="2" t="str">
        <f>IFERROR(__xludf.DUMMYFUNCTION("""COMPUTED_VALUE"""),"27o 29' 25""")</f>
        <v>27o 29' 25"</v>
      </c>
      <c r="J1694" s="2" t="str">
        <f>IFERROR(__xludf.DUMMYFUNCTION("""COMPUTED_VALUE"""),"27o 30' 46""")</f>
        <v>27o 30' 46"</v>
      </c>
      <c r="K1694" s="2" t="str">
        <f>IFERROR(__xludf.DUMMYFUNCTION("""COMPUTED_VALUE"""),"85o 14' 02""")</f>
        <v>85o 14' 02"</v>
      </c>
      <c r="L1694" s="2" t="str">
        <f>IFERROR(__xludf.DUMMYFUNCTION("""COMPUTED_VALUE"""),"85o 15' 13""")</f>
        <v>85o 15' 13"</v>
      </c>
      <c r="M1694" s="2" t="str">
        <f>IFERROR(__xludf.DUMMYFUNCTION("""COMPUTED_VALUE"""),"Malta (Lalitpur)")</f>
        <v>Malta (Lalitpur)</v>
      </c>
    </row>
    <row r="1695">
      <c r="A1695" s="2">
        <f>IFERROR(__xludf.DUMMYFUNCTION("""COMPUTED_VALUE"""),1694.0)</f>
        <v>1694</v>
      </c>
      <c r="B1695" s="2" t="str">
        <f>IFERROR(__xludf.DUMMYFUNCTION("""COMPUTED_VALUE"""),"Tamor River HPP")</f>
        <v>Tamor River HPP</v>
      </c>
      <c r="C1695" s="2">
        <f>IFERROR(__xludf.DUMMYFUNCTION("""COMPUTED_VALUE"""),22.445)</f>
        <v>22.445</v>
      </c>
      <c r="D1695" s="2" t="str">
        <f>IFERROR(__xludf.DUMMYFUNCTION("""COMPUTED_VALUE"""),"Tamor")</f>
        <v>Tamor</v>
      </c>
      <c r="E1695" s="2">
        <f>IFERROR(__xludf.DUMMYFUNCTION("""COMPUTED_VALUE"""),5101.0)</f>
        <v>5101</v>
      </c>
      <c r="F1695" s="2" t="str">
        <f>IFERROR(__xludf.DUMMYFUNCTION("""COMPUTED_VALUE"""),"2068-02-31")</f>
        <v>2068-02-31</v>
      </c>
      <c r="G1695" s="2" t="str">
        <f>IFERROR(__xludf.DUMMYFUNCTION("""COMPUTED_VALUE"""),"Birendra Bahadur Neupane")</f>
        <v>Birendra Bahadur Neupane</v>
      </c>
      <c r="H1695" s="2" t="str">
        <f>IFERROR(__xludf.DUMMYFUNCTION("""COMPUTED_VALUE"""),"Kathmandu Municipality-10, Tel: 01-2043191")</f>
        <v>Kathmandu Municipality-10, Tel: 01-2043191</v>
      </c>
      <c r="I1695" s="2" t="str">
        <f>IFERROR(__xludf.DUMMYFUNCTION("""COMPUTED_VALUE"""),"27o 22' 47""")</f>
        <v>27o 22' 47"</v>
      </c>
      <c r="J1695" s="2" t="str">
        <f>IFERROR(__xludf.DUMMYFUNCTION("""COMPUTED_VALUE"""),"27o 23' 57""")</f>
        <v>27o 23' 57"</v>
      </c>
      <c r="K1695" s="2" t="str">
        <f>IFERROR(__xludf.DUMMYFUNCTION("""COMPUTED_VALUE"""),"87o 39' 04""")</f>
        <v>87o 39' 04"</v>
      </c>
      <c r="L1695" s="2" t="str">
        <f>IFERROR(__xludf.DUMMYFUNCTION("""COMPUTED_VALUE"""),"87o 41' 00""")</f>
        <v>87o 41' 00"</v>
      </c>
      <c r="M1695" s="2" t="str">
        <f>IFERROR(__xludf.DUMMYFUNCTION("""COMPUTED_VALUE"""),"Hangdeva,Khokling,Phungling (Taplejung)")</f>
        <v>Hangdeva,Khokling,Phungling (Taplejung)</v>
      </c>
    </row>
    <row r="1696">
      <c r="A1696" s="2">
        <f>IFERROR(__xludf.DUMMYFUNCTION("""COMPUTED_VALUE"""),1695.0)</f>
        <v>1695</v>
      </c>
      <c r="B1696" s="2" t="str">
        <f>IFERROR(__xludf.DUMMYFUNCTION("""COMPUTED_VALUE"""),"Tamor hola HPP")</f>
        <v>Tamor hola HPP</v>
      </c>
      <c r="C1696" s="2">
        <f>IFERROR(__xludf.DUMMYFUNCTION("""COMPUTED_VALUE"""),41.25)</f>
        <v>41.25</v>
      </c>
      <c r="D1696" s="2" t="str">
        <f>IFERROR(__xludf.DUMMYFUNCTION("""COMPUTED_VALUE"""),"Tamor")</f>
        <v>Tamor</v>
      </c>
      <c r="E1696" s="2">
        <f>IFERROR(__xludf.DUMMYFUNCTION("""COMPUTED_VALUE"""),5168.0)</f>
        <v>5168</v>
      </c>
      <c r="F1696" s="3">
        <f>IFERROR(__xludf.DUMMYFUNCTION("""COMPUTED_VALUE"""),61427.0)</f>
        <v>61427</v>
      </c>
      <c r="G1696" s="2" t="str">
        <f>IFERROR(__xludf.DUMMYFUNCTION("""COMPUTED_VALUE"""),"Faktanglung Hydropower Company Pvt Ltd")</f>
        <v>Faktanglung Hydropower Company Pvt Ltd</v>
      </c>
      <c r="H1696" s="2" t="str">
        <f>IFERROR(__xludf.DUMMYFUNCTION("""COMPUTED_VALUE"""),"Kathmandu Municipality-3, Jaldhungamarg, Kathmandu")</f>
        <v>Kathmandu Municipality-3, Jaldhungamarg, Kathmandu</v>
      </c>
      <c r="I1696" s="2" t="str">
        <f>IFERROR(__xludf.DUMMYFUNCTION("""COMPUTED_VALUE"""),"27o 40' 00""")</f>
        <v>27o 40' 00"</v>
      </c>
      <c r="J1696" s="2" t="str">
        <f>IFERROR(__xludf.DUMMYFUNCTION("""COMPUTED_VALUE"""),"27o 41' 45""")</f>
        <v>27o 41' 45"</v>
      </c>
      <c r="K1696" s="2" t="str">
        <f>IFERROR(__xludf.DUMMYFUNCTION("""COMPUTED_VALUE"""),"87o 45' 38""")</f>
        <v>87o 45' 38"</v>
      </c>
      <c r="L1696" s="2" t="str">
        <f>IFERROR(__xludf.DUMMYFUNCTION("""COMPUTED_VALUE"""),"87o 48' 04""")</f>
        <v>87o 48' 04"</v>
      </c>
      <c r="M1696" s="2" t="str">
        <f>IFERROR(__xludf.DUMMYFUNCTION("""COMPUTED_VALUE"""),"Olangchung (Taplejung)")</f>
        <v>Olangchung (Taplejung)</v>
      </c>
    </row>
    <row r="1697">
      <c r="A1697" s="2">
        <f>IFERROR(__xludf.DUMMYFUNCTION("""COMPUTED_VALUE"""),1696.0)</f>
        <v>1696</v>
      </c>
      <c r="B1697" s="2" t="str">
        <f>IFERROR(__xludf.DUMMYFUNCTION("""COMPUTED_VALUE"""),"Lower Hewa Khola-1 HPP")</f>
        <v>Lower Hewa Khola-1 HPP</v>
      </c>
      <c r="C1697" s="2">
        <f>IFERROR(__xludf.DUMMYFUNCTION("""COMPUTED_VALUE"""),0.948)</f>
        <v>0.948</v>
      </c>
      <c r="D1697" s="2" t="str">
        <f>IFERROR(__xludf.DUMMYFUNCTION("""COMPUTED_VALUE"""),"Hewa Khola")</f>
        <v>Hewa Khola</v>
      </c>
      <c r="E1697" s="2">
        <f>IFERROR(__xludf.DUMMYFUNCTION("""COMPUTED_VALUE"""),5196.0)</f>
        <v>5196</v>
      </c>
      <c r="F1697" s="3">
        <f>IFERROR(__xludf.DUMMYFUNCTION("""COMPUTED_VALUE"""),61428.0)</f>
        <v>61428</v>
      </c>
      <c r="G1697" s="2" t="str">
        <f>IFERROR(__xludf.DUMMYFUNCTION("""COMPUTED_VALUE"""),"Keshav Ghimire")</f>
        <v>Keshav Ghimire</v>
      </c>
      <c r="H1697" s="2" t="str">
        <f>IFERROR(__xludf.DUMMYFUNCTION("""COMPUTED_VALUE"""),"Jaljala VDC-7, Sankhuwasabha")</f>
        <v>Jaljala VDC-7, Sankhuwasabha</v>
      </c>
      <c r="I1697" s="2" t="str">
        <f>IFERROR(__xludf.DUMMYFUNCTION("""COMPUTED_VALUE"""),"27o 19' 25""")</f>
        <v>27o 19' 25"</v>
      </c>
      <c r="J1697" s="2" t="str">
        <f>IFERROR(__xludf.DUMMYFUNCTION("""COMPUTED_VALUE"""),"27o 18' 21""")</f>
        <v>27o 18' 21"</v>
      </c>
      <c r="K1697" s="2" t="str">
        <f>IFERROR(__xludf.DUMMYFUNCTION("""COMPUTED_VALUE"""),"87o 17' 35""")</f>
        <v>87o 17' 35"</v>
      </c>
      <c r="L1697" s="2" t="str">
        <f>IFERROR(__xludf.DUMMYFUNCTION("""COMPUTED_VALUE"""),"87o 19' 19""")</f>
        <v>87o 19' 19"</v>
      </c>
      <c r="M1697" s="2" t="str">
        <f>IFERROR(__xludf.DUMMYFUNCTION("""COMPUTED_VALUE"""),"Bana,Jaljala,Chainpur (Sankhuwasabha)")</f>
        <v>Bana,Jaljala,Chainpur (Sankhuwasabha)</v>
      </c>
    </row>
    <row r="1698">
      <c r="A1698" s="2">
        <f>IFERROR(__xludf.DUMMYFUNCTION("""COMPUTED_VALUE"""),1697.0)</f>
        <v>1697</v>
      </c>
      <c r="B1698" s="2" t="str">
        <f>IFERROR(__xludf.DUMMYFUNCTION("""COMPUTED_VALUE"""),"Simigaon Khola HPP")</f>
        <v>Simigaon Khola HPP</v>
      </c>
      <c r="C1698" s="2">
        <f>IFERROR(__xludf.DUMMYFUNCTION("""COMPUTED_VALUE"""),2.4)</f>
        <v>2.4</v>
      </c>
      <c r="D1698" s="2" t="str">
        <f>IFERROR(__xludf.DUMMYFUNCTION("""COMPUTED_VALUE"""),"Simigaon Khola")</f>
        <v>Simigaon Khola</v>
      </c>
      <c r="E1698" s="2">
        <f>IFERROR(__xludf.DUMMYFUNCTION("""COMPUTED_VALUE"""),5220.0)</f>
        <v>5220</v>
      </c>
      <c r="F1698" s="3">
        <f>IFERROR(__xludf.DUMMYFUNCTION("""COMPUTED_VALUE"""),61429.0)</f>
        <v>61429</v>
      </c>
      <c r="G1698" s="2" t="str">
        <f>IFERROR(__xludf.DUMMYFUNCTION("""COMPUTED_VALUE"""),"Rudra Energy and Engineering Pvt Ltd")</f>
        <v>Rudra Energy and Engineering Pvt Ltd</v>
      </c>
      <c r="H1698" s="2" t="str">
        <f>IFERROR(__xludf.DUMMYFUNCTION("""COMPUTED_VALUE"""),"GPO Box: 23711, Kathmandu, Tel; 9803081806")</f>
        <v>GPO Box: 23711, Kathmandu, Tel; 9803081806</v>
      </c>
      <c r="I1698" s="2" t="str">
        <f>IFERROR(__xludf.DUMMYFUNCTION("""COMPUTED_VALUE"""),"27o 51' 35""")</f>
        <v>27o 51' 35"</v>
      </c>
      <c r="J1698" s="2" t="str">
        <f>IFERROR(__xludf.DUMMYFUNCTION("""COMPUTED_VALUE"""),"27o 52' 14""")</f>
        <v>27o 52' 14"</v>
      </c>
      <c r="K1698" s="2" t="str">
        <f>IFERROR(__xludf.DUMMYFUNCTION("""COMPUTED_VALUE"""),"86o 13' 22""")</f>
        <v>86o 13' 22"</v>
      </c>
      <c r="L1698" s="2" t="str">
        <f>IFERROR(__xludf.DUMMYFUNCTION("""COMPUTED_VALUE"""),"86o 14' 20""")</f>
        <v>86o 14' 20"</v>
      </c>
      <c r="M1698" s="2" t="str">
        <f>IFERROR(__xludf.DUMMYFUNCTION("""COMPUTED_VALUE"""),"Gauri Sankar (Dolakha)")</f>
        <v>Gauri Sankar (Dolakha)</v>
      </c>
    </row>
    <row r="1699">
      <c r="A1699" s="2">
        <f>IFERROR(__xludf.DUMMYFUNCTION("""COMPUTED_VALUE"""),1698.0)</f>
        <v>1698</v>
      </c>
      <c r="B1699" s="2" t="str">
        <f>IFERROR(__xludf.DUMMYFUNCTION("""COMPUTED_VALUE"""),"Saju Khola SHP")</f>
        <v>Saju Khola SHP</v>
      </c>
      <c r="C1699" s="2">
        <f>IFERROR(__xludf.DUMMYFUNCTION("""COMPUTED_VALUE"""),0.912)</f>
        <v>0.912</v>
      </c>
      <c r="D1699" s="2" t="str">
        <f>IFERROR(__xludf.DUMMYFUNCTION("""COMPUTED_VALUE"""),"Saju Khola")</f>
        <v>Saju Khola</v>
      </c>
      <c r="E1699" s="2">
        <f>IFERROR(__xludf.DUMMYFUNCTION("""COMPUTED_VALUE"""),5224.0)</f>
        <v>5224</v>
      </c>
      <c r="F1699" s="3">
        <f>IFERROR(__xludf.DUMMYFUNCTION("""COMPUTED_VALUE"""),61429.0)</f>
        <v>61429</v>
      </c>
      <c r="G1699" s="2" t="str">
        <f>IFERROR(__xludf.DUMMYFUNCTION("""COMPUTED_VALUE"""),"Gita Han Lingthep, Khagendra Adhikari, Suman Nepal, Deu Bahadur Limbu")</f>
        <v>Gita Han Lingthep, Khagendra Adhikari, Suman Nepal, Deu Bahadur Limbu</v>
      </c>
      <c r="H1699" s="2" t="str">
        <f>IFERROR(__xludf.DUMMYFUNCTION("""COMPUTED_VALUE"""),"Tel : 4229299")</f>
        <v>Tel : 4229299</v>
      </c>
      <c r="I1699" s="2" t="str">
        <f>IFERROR(__xludf.DUMMYFUNCTION("""COMPUTED_VALUE"""),"27o 32' 25""")</f>
        <v>27o 32' 25"</v>
      </c>
      <c r="J1699" s="2" t="str">
        <f>IFERROR(__xludf.DUMMYFUNCTION("""COMPUTED_VALUE"""),"27o 34' 00""")</f>
        <v>27o 34' 00"</v>
      </c>
      <c r="K1699" s="2" t="str">
        <f>IFERROR(__xludf.DUMMYFUNCTION("""COMPUTED_VALUE"""),"87o 32' 30""")</f>
        <v>87o 32' 30"</v>
      </c>
      <c r="L1699" s="2" t="str">
        <f>IFERROR(__xludf.DUMMYFUNCTION("""COMPUTED_VALUE"""),"87o 33' 36""")</f>
        <v>87o 33' 36"</v>
      </c>
      <c r="M1699" s="2" t="str">
        <f>IFERROR(__xludf.DUMMYFUNCTION("""COMPUTED_VALUE"""),"Papung (Taplejung)")</f>
        <v>Papung (Taplejung)</v>
      </c>
    </row>
    <row r="1700">
      <c r="A1700" s="2">
        <f>IFERROR(__xludf.DUMMYFUNCTION("""COMPUTED_VALUE"""),1699.0)</f>
        <v>1699</v>
      </c>
      <c r="B1700" s="2" t="str">
        <f>IFERROR(__xludf.DUMMYFUNCTION("""COMPUTED_VALUE"""),"Palun Khola SHP")</f>
        <v>Palun Khola SHP</v>
      </c>
      <c r="C1700" s="2">
        <f>IFERROR(__xludf.DUMMYFUNCTION("""COMPUTED_VALUE"""),0.94)</f>
        <v>0.94</v>
      </c>
      <c r="D1700" s="2" t="str">
        <f>IFERROR(__xludf.DUMMYFUNCTION("""COMPUTED_VALUE"""),"Palun Khola")</f>
        <v>Palun Khola</v>
      </c>
      <c r="E1700" s="2">
        <f>IFERROR(__xludf.DUMMYFUNCTION("""COMPUTED_VALUE"""),5225.0)</f>
        <v>5225</v>
      </c>
      <c r="F1700" s="3">
        <f>IFERROR(__xludf.DUMMYFUNCTION("""COMPUTED_VALUE"""),61429.0)</f>
        <v>61429</v>
      </c>
      <c r="G1700" s="2" t="str">
        <f>IFERROR(__xludf.DUMMYFUNCTION("""COMPUTED_VALUE"""),"Gita Han Lingthep, Madhav Pd Lingthep, Suman Nepal, Durga Bahadur Adhikari")</f>
        <v>Gita Han Lingthep, Madhav Pd Lingthep, Suman Nepal, Durga Bahadur Adhikari</v>
      </c>
      <c r="H1700" s="2" t="str">
        <f>IFERROR(__xludf.DUMMYFUNCTION("""COMPUTED_VALUE"""),"Tel: 4229299")</f>
        <v>Tel: 4229299</v>
      </c>
      <c r="I1700" s="2" t="str">
        <f>IFERROR(__xludf.DUMMYFUNCTION("""COMPUTED_VALUE"""),"27o 32' 46""")</f>
        <v>27o 32' 46"</v>
      </c>
      <c r="J1700" s="2" t="str">
        <f>IFERROR(__xludf.DUMMYFUNCTION("""COMPUTED_VALUE"""),"27o 34' 35""")</f>
        <v>27o 34' 35"</v>
      </c>
      <c r="K1700" s="2" t="str">
        <f>IFERROR(__xludf.DUMMYFUNCTION("""COMPUTED_VALUE"""),"87o 37' 11""")</f>
        <v>87o 37' 11"</v>
      </c>
      <c r="L1700" s="2" t="str">
        <f>IFERROR(__xludf.DUMMYFUNCTION("""COMPUTED_VALUE"""),"87o 38' 46""")</f>
        <v>87o 38' 46"</v>
      </c>
      <c r="M1700" s="2" t="str">
        <f>IFERROR(__xludf.DUMMYFUNCTION("""COMPUTED_VALUE"""),"Papung (Taplejung)")</f>
        <v>Papung (Taplejung)</v>
      </c>
    </row>
    <row r="1701">
      <c r="A1701" s="2">
        <f>IFERROR(__xludf.DUMMYFUNCTION("""COMPUTED_VALUE"""),1700.0)</f>
        <v>1700</v>
      </c>
      <c r="B1701" s="2" t="str">
        <f>IFERROR(__xludf.DUMMYFUNCTION("""COMPUTED_VALUE"""),"Upper Tatopani")</f>
        <v>Upper Tatopani</v>
      </c>
      <c r="C1701" s="2">
        <f>IFERROR(__xludf.DUMMYFUNCTION("""COMPUTED_VALUE"""),8.6)</f>
        <v>8.6</v>
      </c>
      <c r="D1701" s="2" t="str">
        <f>IFERROR(__xludf.DUMMYFUNCTION("""COMPUTED_VALUE"""),"Tatopani")</f>
        <v>Tatopani</v>
      </c>
      <c r="E1701" s="2">
        <f>IFERROR(__xludf.DUMMYFUNCTION("""COMPUTED_VALUE"""),5235.0)</f>
        <v>5235</v>
      </c>
      <c r="F1701" s="3">
        <f>IFERROR(__xludf.DUMMYFUNCTION("""COMPUTED_VALUE"""),61431.0)</f>
        <v>61431</v>
      </c>
      <c r="G1701" s="2" t="str">
        <f>IFERROR(__xludf.DUMMYFUNCTION("""COMPUTED_VALUE"""),"Gandaki Energy Ltd")</f>
        <v>Gandaki Energy Ltd</v>
      </c>
      <c r="H1701" s="2" t="str">
        <f>IFERROR(__xludf.DUMMYFUNCTION("""COMPUTED_VALUE"""),"Thapathali, Kathmandu, Ph 01-4261827")</f>
        <v>Thapathali, Kathmandu, Ph 01-4261827</v>
      </c>
      <c r="I1701" s="2" t="str">
        <f>IFERROR(__xludf.DUMMYFUNCTION("""COMPUTED_VALUE"""),"28o 13' 00""")</f>
        <v>28o 13' 00"</v>
      </c>
      <c r="J1701" s="2" t="str">
        <f>IFERROR(__xludf.DUMMYFUNCTION("""COMPUTED_VALUE"""),"28o 17' 00""")</f>
        <v>28o 17' 00"</v>
      </c>
      <c r="K1701" s="2" t="str">
        <f>IFERROR(__xludf.DUMMYFUNCTION("""COMPUTED_VALUE"""),"85o 03' 00""")</f>
        <v>85o 03' 00"</v>
      </c>
      <c r="L1701" s="2" t="str">
        <f>IFERROR(__xludf.DUMMYFUNCTION("""COMPUTED_VALUE"""),"85o 07' 00""")</f>
        <v>85o 07' 00"</v>
      </c>
      <c r="M1701" s="2" t="str">
        <f>IFERROR(__xludf.DUMMYFUNCTION("""COMPUTED_VALUE"""),"Lapa,Sirtung (Dhading)")</f>
        <v>Lapa,Sirtung (Dhading)</v>
      </c>
    </row>
    <row r="1702">
      <c r="A1702" s="2">
        <f>IFERROR(__xludf.DUMMYFUNCTION("""COMPUTED_VALUE"""),1701.0)</f>
        <v>1701</v>
      </c>
      <c r="B1702" s="2" t="str">
        <f>IFERROR(__xludf.DUMMYFUNCTION("""COMPUTED_VALUE"""),"Super Sankhuwa")</f>
        <v>Super Sankhuwa</v>
      </c>
      <c r="C1702" s="2">
        <f>IFERROR(__xludf.DUMMYFUNCTION("""COMPUTED_VALUE"""),6.2)</f>
        <v>6.2</v>
      </c>
      <c r="D1702" s="2" t="str">
        <f>IFERROR(__xludf.DUMMYFUNCTION("""COMPUTED_VALUE"""),"Sankhuwa")</f>
        <v>Sankhuwa</v>
      </c>
      <c r="E1702" s="2">
        <f>IFERROR(__xludf.DUMMYFUNCTION("""COMPUTED_VALUE"""),5236.0)</f>
        <v>5236</v>
      </c>
      <c r="F1702" s="3">
        <f>IFERROR(__xludf.DUMMYFUNCTION("""COMPUTED_VALUE"""),61431.0)</f>
        <v>61431</v>
      </c>
      <c r="G1702" s="2" t="str">
        <f>IFERROR(__xludf.DUMMYFUNCTION("""COMPUTED_VALUE"""),"gandakiEnergy Ltd")</f>
        <v>gandakiEnergy Ltd</v>
      </c>
      <c r="H1702" s="2" t="str">
        <f>IFERROR(__xludf.DUMMYFUNCTION("""COMPUTED_VALUE"""),"Thapathali, Kathmandu, Ph 01-4261827")</f>
        <v>Thapathali, Kathmandu, Ph 01-4261827</v>
      </c>
      <c r="I1702" s="2" t="str">
        <f>IFERROR(__xludf.DUMMYFUNCTION("""COMPUTED_VALUE"""),"27o 31' 21""")</f>
        <v>27o 31' 21"</v>
      </c>
      <c r="J1702" s="2" t="str">
        <f>IFERROR(__xludf.DUMMYFUNCTION("""COMPUTED_VALUE"""),"27o 35' 00""")</f>
        <v>27o 35' 00"</v>
      </c>
      <c r="K1702" s="2" t="str">
        <f>IFERROR(__xludf.DUMMYFUNCTION("""COMPUTED_VALUE"""),"87o 00' 00""")</f>
        <v>87o 00' 00"</v>
      </c>
      <c r="L1702" s="2" t="str">
        <f>IFERROR(__xludf.DUMMYFUNCTION("""COMPUTED_VALUE"""),"87o 04' 26""")</f>
        <v>87o 04' 26"</v>
      </c>
      <c r="M1702" s="2" t="str">
        <f>IFERROR(__xludf.DUMMYFUNCTION("""COMPUTED_VALUE"""),"Bala,Tamku (Sankhuwasabha)")</f>
        <v>Bala,Tamku (Sankhuwasabha)</v>
      </c>
    </row>
    <row r="1703">
      <c r="A1703" s="2">
        <f>IFERROR(__xludf.DUMMYFUNCTION("""COMPUTED_VALUE"""),1702.0)</f>
        <v>1702</v>
      </c>
      <c r="B1703" s="2" t="str">
        <f>IFERROR(__xludf.DUMMYFUNCTION("""COMPUTED_VALUE"""),"Lapse Khola HPP")</f>
        <v>Lapse Khola HPP</v>
      </c>
      <c r="C1703" s="2">
        <f>IFERROR(__xludf.DUMMYFUNCTION("""COMPUTED_VALUE"""),0.995)</f>
        <v>0.995</v>
      </c>
      <c r="D1703" s="2" t="str">
        <f>IFERROR(__xludf.DUMMYFUNCTION("""COMPUTED_VALUE"""),"Lapse")</f>
        <v>Lapse</v>
      </c>
      <c r="E1703" s="2">
        <f>IFERROR(__xludf.DUMMYFUNCTION("""COMPUTED_VALUE"""),5324.0)</f>
        <v>5324</v>
      </c>
      <c r="F1703" s="3">
        <f>IFERROR(__xludf.DUMMYFUNCTION("""COMPUTED_VALUE"""),61437.0)</f>
        <v>61437</v>
      </c>
      <c r="G1703" s="2" t="str">
        <f>IFERROR(__xludf.DUMMYFUNCTION("""COMPUTED_VALUE"""),"Kumar Dhoj Karki")</f>
        <v>Kumar Dhoj Karki</v>
      </c>
      <c r="H1703" s="2" t="str">
        <f>IFERROR(__xludf.DUMMYFUNCTION("""COMPUTED_VALUE"""),"Baneswar, Kathmandu Tel: 01-4109507, Tel: 9851061156")</f>
        <v>Baneswar, Kathmandu Tel: 01-4109507, Tel: 9851061156</v>
      </c>
      <c r="I1703" s="2" t="str">
        <f>IFERROR(__xludf.DUMMYFUNCTION("""COMPUTED_VALUE"""),"27o 46' 41""")</f>
        <v>27o 46' 41"</v>
      </c>
      <c r="J1703" s="2" t="str">
        <f>IFERROR(__xludf.DUMMYFUNCTION("""COMPUTED_VALUE"""),"27o 47' 00""")</f>
        <v>27o 47' 00"</v>
      </c>
      <c r="K1703" s="2" t="str">
        <f>IFERROR(__xludf.DUMMYFUNCTION("""COMPUTED_VALUE"""),"86o 11' 47""")</f>
        <v>86o 11' 47"</v>
      </c>
      <c r="L1703" s="2" t="str">
        <f>IFERROR(__xludf.DUMMYFUNCTION("""COMPUTED_VALUE"""),"86o 12' 12""")</f>
        <v>86o 12' 12"</v>
      </c>
      <c r="M1703" s="2" t="str">
        <f>IFERROR(__xludf.DUMMYFUNCTION("""COMPUTED_VALUE"""),"Khare (Dolakha)")</f>
        <v>Khare (Dolakha)</v>
      </c>
    </row>
    <row r="1704">
      <c r="A1704" s="2">
        <f>IFERROR(__xludf.DUMMYFUNCTION("""COMPUTED_VALUE"""),1703.0)</f>
        <v>1703</v>
      </c>
      <c r="B1704" s="2" t="str">
        <f>IFERROR(__xludf.DUMMYFUNCTION("""COMPUTED_VALUE"""),"Gaddi gad SHP")</f>
        <v>Gaddi gad SHP</v>
      </c>
      <c r="C1704" s="2">
        <f>IFERROR(__xludf.DUMMYFUNCTION("""COMPUTED_VALUE"""),0.99)</f>
        <v>0.99</v>
      </c>
      <c r="D1704" s="2" t="str">
        <f>IFERROR(__xludf.DUMMYFUNCTION("""COMPUTED_VALUE"""),"Gaddi gad")</f>
        <v>Gaddi gad</v>
      </c>
      <c r="E1704" s="2">
        <f>IFERROR(__xludf.DUMMYFUNCTION("""COMPUTED_VALUE"""),5347.0)</f>
        <v>5347</v>
      </c>
      <c r="F1704" s="3">
        <f>IFERROR(__xludf.DUMMYFUNCTION("""COMPUTED_VALUE"""),61437.0)</f>
        <v>61437</v>
      </c>
      <c r="G1704" s="2" t="str">
        <f>IFERROR(__xludf.DUMMYFUNCTION("""COMPUTED_VALUE"""),"Kalanga Hydro Pvt Ltd")</f>
        <v>Kalanga Hydro Pvt Ltd</v>
      </c>
      <c r="H1704" s="2" t="str">
        <f>IFERROR(__xludf.DUMMYFUNCTION("""COMPUTED_VALUE"""),"GPO Box: 23330, Kathmandu, Tel: 4212823")</f>
        <v>GPO Box: 23330, Kathmandu, Tel: 4212823</v>
      </c>
      <c r="I1704" s="2" t="str">
        <f>IFERROR(__xludf.DUMMYFUNCTION("""COMPUTED_VALUE"""),"29o 16' 45""")</f>
        <v>29o 16' 45"</v>
      </c>
      <c r="J1704" s="2" t="str">
        <f>IFERROR(__xludf.DUMMYFUNCTION("""COMPUTED_VALUE"""),"29o 18' 50""")</f>
        <v>29o 18' 50"</v>
      </c>
      <c r="K1704" s="2" t="str">
        <f>IFERROR(__xludf.DUMMYFUNCTION("""COMPUTED_VALUE"""),"81o 05' 35""")</f>
        <v>81o 05' 35"</v>
      </c>
      <c r="L1704" s="2" t="str">
        <f>IFERROR(__xludf.DUMMYFUNCTION("""COMPUTED_VALUE"""),"81o 06' 25""")</f>
        <v>81o 06' 25"</v>
      </c>
      <c r="M1704" s="2" t="str">
        <f>IFERROR(__xludf.DUMMYFUNCTION("""COMPUTED_VALUE"""),"Gaihragau,Kadamadaun (Doti)")</f>
        <v>Gaihragau,Kadamadaun (Doti)</v>
      </c>
    </row>
    <row r="1705">
      <c r="A1705" s="2">
        <f>IFERROR(__xludf.DUMMYFUNCTION("""COMPUTED_VALUE"""),1704.0)</f>
        <v>1704</v>
      </c>
      <c r="B1705" s="2" t="str">
        <f>IFERROR(__xludf.DUMMYFUNCTION("""COMPUTED_VALUE"""),"Sankhu (Thosne Khola) Small Hydropower Project")</f>
        <v>Sankhu (Thosne Khola) Small Hydropower Project</v>
      </c>
      <c r="C1705" s="2">
        <f>IFERROR(__xludf.DUMMYFUNCTION("""COMPUTED_VALUE"""),0.963)</f>
        <v>0.963</v>
      </c>
      <c r="D1705" s="2" t="str">
        <f>IFERROR(__xludf.DUMMYFUNCTION("""COMPUTED_VALUE"""),"Thosne")</f>
        <v>Thosne</v>
      </c>
      <c r="E1705" s="2">
        <f>IFERROR(__xludf.DUMMYFUNCTION("""COMPUTED_VALUE"""),5349.0)</f>
        <v>5349</v>
      </c>
      <c r="F1705" s="3">
        <f>IFERROR(__xludf.DUMMYFUNCTION("""COMPUTED_VALUE"""),61438.0)</f>
        <v>61438</v>
      </c>
      <c r="G1705" s="2" t="str">
        <f>IFERROR(__xludf.DUMMYFUNCTION("""COMPUTED_VALUE"""),"Prem Narayan Ghimire")</f>
        <v>Prem Narayan Ghimire</v>
      </c>
      <c r="H1705" s="2" t="str">
        <f>IFERROR(__xludf.DUMMYFUNCTION("""COMPUTED_VALUE"""),"Gotikhel-1, Lalitpur, Tel: 9851087628")</f>
        <v>Gotikhel-1, Lalitpur, Tel: 9851087628</v>
      </c>
      <c r="I1705" s="2" t="str">
        <f>IFERROR(__xludf.DUMMYFUNCTION("""COMPUTED_VALUE"""),"27o 30' 52""")</f>
        <v>27o 30' 52"</v>
      </c>
      <c r="J1705" s="2" t="str">
        <f>IFERROR(__xludf.DUMMYFUNCTION("""COMPUTED_VALUE"""),"27o 31' 22""")</f>
        <v>27o 31' 22"</v>
      </c>
      <c r="K1705" s="2" t="str">
        <f>IFERROR(__xludf.DUMMYFUNCTION("""COMPUTED_VALUE"""),"85o 18' 21""")</f>
        <v>85o 18' 21"</v>
      </c>
      <c r="L1705" s="2" t="str">
        <f>IFERROR(__xludf.DUMMYFUNCTION("""COMPUTED_VALUE"""),"85o 20' 00""")</f>
        <v>85o 20' 00"</v>
      </c>
      <c r="M1705" s="2" t="str">
        <f>IFERROR(__xludf.DUMMYFUNCTION("""COMPUTED_VALUE"""),"Sankhu (Lalitpur)")</f>
        <v>Sankhu (Lalitpur)</v>
      </c>
    </row>
    <row r="1706">
      <c r="A1706" s="2">
        <f>IFERROR(__xludf.DUMMYFUNCTION("""COMPUTED_VALUE"""),1705.0)</f>
        <v>1705</v>
      </c>
      <c r="B1706" s="2" t="str">
        <f>IFERROR(__xludf.DUMMYFUNCTION("""COMPUTED_VALUE"""),"Molung Khola HPP")</f>
        <v>Molung Khola HPP</v>
      </c>
      <c r="C1706" s="2">
        <f>IFERROR(__xludf.DUMMYFUNCTION("""COMPUTED_VALUE"""),4.0)</f>
        <v>4</v>
      </c>
      <c r="D1706" s="2" t="str">
        <f>IFERROR(__xludf.DUMMYFUNCTION("""COMPUTED_VALUE"""),"Molung")</f>
        <v>Molung</v>
      </c>
      <c r="E1706" s="2">
        <f>IFERROR(__xludf.DUMMYFUNCTION("""COMPUTED_VALUE"""),5379.0)</f>
        <v>5379</v>
      </c>
      <c r="F1706" s="3">
        <f>IFERROR(__xludf.DUMMYFUNCTION("""COMPUTED_VALUE"""),61439.0)</f>
        <v>61439</v>
      </c>
      <c r="G1706" s="2" t="str">
        <f>IFERROR(__xludf.DUMMYFUNCTION("""COMPUTED_VALUE"""),"Mission for Development Pvt Ltd")</f>
        <v>Mission for Development Pvt Ltd</v>
      </c>
      <c r="H1706" s="2" t="str">
        <f>IFERROR(__xludf.DUMMYFUNCTION("""COMPUTED_VALUE"""),"Kathmandu Municipality-31, Tel: 9841409789")</f>
        <v>Kathmandu Municipality-31, Tel: 9841409789</v>
      </c>
      <c r="I1706" s="2" t="str">
        <f>IFERROR(__xludf.DUMMYFUNCTION("""COMPUTED_VALUE"""),"27o 22' 04""")</f>
        <v>27o 22' 04"</v>
      </c>
      <c r="J1706" s="2" t="str">
        <f>IFERROR(__xludf.DUMMYFUNCTION("""COMPUTED_VALUE"""),"27o 24' 16""")</f>
        <v>27o 24' 16"</v>
      </c>
      <c r="K1706" s="2" t="str">
        <f>IFERROR(__xludf.DUMMYFUNCTION("""COMPUTED_VALUE"""),"86o 24' 13""")</f>
        <v>86o 24' 13"</v>
      </c>
      <c r="L1706" s="2" t="str">
        <f>IFERROR(__xludf.DUMMYFUNCTION("""COMPUTED_VALUE"""),"86o 26' 40""")</f>
        <v>86o 26' 40"</v>
      </c>
      <c r="M1706" s="2" t="str">
        <f>IFERROR(__xludf.DUMMYFUNCTION("""COMPUTED_VALUE"""),"Shreechaur,Ragadeep (Okhaldhunga)")</f>
        <v>Shreechaur,Ragadeep (Okhaldhunga)</v>
      </c>
    </row>
    <row r="1707">
      <c r="A1707" s="2">
        <f>IFERROR(__xludf.DUMMYFUNCTION("""COMPUTED_VALUE"""),1706.0)</f>
        <v>1706</v>
      </c>
      <c r="B1707" s="2" t="str">
        <f>IFERROR(__xludf.DUMMYFUNCTION("""COMPUTED_VALUE"""),"Mid Budhi Gandaki SHP")</f>
        <v>Mid Budhi Gandaki SHP</v>
      </c>
      <c r="C1707" s="2">
        <f>IFERROR(__xludf.DUMMYFUNCTION("""COMPUTED_VALUE"""),1.0)</f>
        <v>1</v>
      </c>
      <c r="D1707" s="2" t="str">
        <f>IFERROR(__xludf.DUMMYFUNCTION("""COMPUTED_VALUE"""),"Budhi Gandaki")</f>
        <v>Budhi Gandaki</v>
      </c>
      <c r="E1707" s="2">
        <f>IFERROR(__xludf.DUMMYFUNCTION("""COMPUTED_VALUE"""),5468.0)</f>
        <v>5468</v>
      </c>
      <c r="F1707" s="3">
        <f>IFERROR(__xludf.DUMMYFUNCTION("""COMPUTED_VALUE"""),61444.0)</f>
        <v>61444</v>
      </c>
      <c r="G1707" s="2" t="str">
        <f>IFERROR(__xludf.DUMMYFUNCTION("""COMPUTED_VALUE"""),"Surendra Dhar Sigdel")</f>
        <v>Surendra Dhar Sigdel</v>
      </c>
      <c r="H1707" s="2" t="str">
        <f>IFERROR(__xludf.DUMMYFUNCTION("""COMPUTED_VALUE"""),"Ward No.9, Basundhara, Kathmandu, Tel; 4354767")</f>
        <v>Ward No.9, Basundhara, Kathmandu, Tel; 4354767</v>
      </c>
      <c r="I1707" s="2" t="str">
        <f>IFERROR(__xludf.DUMMYFUNCTION("""COMPUTED_VALUE"""),"28o 22' 00""")</f>
        <v>28o 22' 00"</v>
      </c>
      <c r="J1707" s="2" t="str">
        <f>IFERROR(__xludf.DUMMYFUNCTION("""COMPUTED_VALUE"""),"28o 24' 00""")</f>
        <v>28o 24' 00"</v>
      </c>
      <c r="K1707" s="2" t="str">
        <f>IFERROR(__xludf.DUMMYFUNCTION("""COMPUTED_VALUE"""),"84o 51' 58""")</f>
        <v>84o 51' 58"</v>
      </c>
      <c r="L1707" s="2" t="str">
        <f>IFERROR(__xludf.DUMMYFUNCTION("""COMPUTED_VALUE"""),"84o 56' 56""")</f>
        <v>84o 56' 56"</v>
      </c>
      <c r="M1707" s="2" t="str">
        <f>IFERROR(__xludf.DUMMYFUNCTION("""COMPUTED_VALUE"""),"Sirdibas (Gorkha)")</f>
        <v>Sirdibas (Gorkha)</v>
      </c>
    </row>
    <row r="1708">
      <c r="A1708" s="2">
        <f>IFERROR(__xludf.DUMMYFUNCTION("""COMPUTED_VALUE"""),1707.0)</f>
        <v>1707</v>
      </c>
      <c r="B1708" s="2" t="str">
        <f>IFERROR(__xludf.DUMMYFUNCTION("""COMPUTED_VALUE"""),"Chhahre Khola SHP")</f>
        <v>Chhahre Khola SHP</v>
      </c>
      <c r="C1708" s="2">
        <f>IFERROR(__xludf.DUMMYFUNCTION("""COMPUTED_VALUE"""),1.0)</f>
        <v>1</v>
      </c>
      <c r="D1708" s="2" t="str">
        <f>IFERROR(__xludf.DUMMYFUNCTION("""COMPUTED_VALUE"""),"Chhahare")</f>
        <v>Chhahare</v>
      </c>
      <c r="E1708" s="2">
        <f>IFERROR(__xludf.DUMMYFUNCTION("""COMPUTED_VALUE"""),5497.0)</f>
        <v>5497</v>
      </c>
      <c r="F1708" s="3">
        <f>IFERROR(__xludf.DUMMYFUNCTION("""COMPUTED_VALUE"""),61446.0)</f>
        <v>61446</v>
      </c>
      <c r="G1708" s="2" t="str">
        <f>IFERROR(__xludf.DUMMYFUNCTION("""COMPUTED_VALUE"""),"Sahasnath Adhikari")</f>
        <v>Sahasnath Adhikari</v>
      </c>
      <c r="H1708" s="2" t="str">
        <f>IFERROR(__xludf.DUMMYFUNCTION("""COMPUTED_VALUE"""),"Chandeswar VDC-1, Lamjung")</f>
        <v>Chandeswar VDC-1, Lamjung</v>
      </c>
      <c r="I1708" s="2" t="str">
        <f>IFERROR(__xludf.DUMMYFUNCTION("""COMPUTED_VALUE"""),"28o 26' 06""")</f>
        <v>28o 26' 06"</v>
      </c>
      <c r="J1708" s="2" t="str">
        <f>IFERROR(__xludf.DUMMYFUNCTION("""COMPUTED_VALUE"""),"28o 27' 06""")</f>
        <v>28o 27' 06"</v>
      </c>
      <c r="K1708" s="2" t="str">
        <f>IFERROR(__xludf.DUMMYFUNCTION("""COMPUTED_VALUE"""),"84o 23' 55""")</f>
        <v>84o 23' 55"</v>
      </c>
      <c r="L1708" s="2" t="str">
        <f>IFERROR(__xludf.DUMMYFUNCTION("""COMPUTED_VALUE"""),"84o 25' 00""")</f>
        <v>84o 25' 00"</v>
      </c>
      <c r="M1708" s="2" t="str">
        <f>IFERROR(__xludf.DUMMYFUNCTION("""COMPUTED_VALUE"""),"Ghermu (Lamjung)")</f>
        <v>Ghermu (Lamjung)</v>
      </c>
    </row>
    <row r="1709">
      <c r="A1709" s="2">
        <f>IFERROR(__xludf.DUMMYFUNCTION("""COMPUTED_VALUE"""),1708.0)</f>
        <v>1708</v>
      </c>
      <c r="B1709" s="2" t="str">
        <f>IFERROR(__xludf.DUMMYFUNCTION("""COMPUTED_VALUE"""),"Mid Budhi Gandaki")</f>
        <v>Mid Budhi Gandaki</v>
      </c>
      <c r="C1709" s="2">
        <f>IFERROR(__xludf.DUMMYFUNCTION("""COMPUTED_VALUE"""),7.0)</f>
        <v>7</v>
      </c>
      <c r="D1709" s="2" t="str">
        <f>IFERROR(__xludf.DUMMYFUNCTION("""COMPUTED_VALUE"""),"Budhi Gandaki")</f>
        <v>Budhi Gandaki</v>
      </c>
      <c r="E1709" s="2">
        <f>IFERROR(__xludf.DUMMYFUNCTION("""COMPUTED_VALUE"""),5600.0)</f>
        <v>5600</v>
      </c>
      <c r="F1709" s="3">
        <f>IFERROR(__xludf.DUMMYFUNCTION("""COMPUTED_VALUE"""),61452.0)</f>
        <v>61452</v>
      </c>
      <c r="G1709" s="2" t="str">
        <f>IFERROR(__xludf.DUMMYFUNCTION("""COMPUTED_VALUE"""),"Surendra Dhar Sigdel")</f>
        <v>Surendra Dhar Sigdel</v>
      </c>
      <c r="H1709" s="2" t="str">
        <f>IFERROR(__xludf.DUMMYFUNCTION("""COMPUTED_VALUE"""),"Basundhara, Kathmandu")</f>
        <v>Basundhara, Kathmandu</v>
      </c>
      <c r="I1709" s="2" t="str">
        <f>IFERROR(__xludf.DUMMYFUNCTION("""COMPUTED_VALUE"""),"28o 22' 00""")</f>
        <v>28o 22' 00"</v>
      </c>
      <c r="J1709" s="2" t="str">
        <f>IFERROR(__xludf.DUMMYFUNCTION("""COMPUTED_VALUE"""),"28o 24' 00""")</f>
        <v>28o 24' 00"</v>
      </c>
      <c r="K1709" s="2" t="str">
        <f>IFERROR(__xludf.DUMMYFUNCTION("""COMPUTED_VALUE"""),"84o 51' 58""")</f>
        <v>84o 51' 58"</v>
      </c>
      <c r="L1709" s="2" t="str">
        <f>IFERROR(__xludf.DUMMYFUNCTION("""COMPUTED_VALUE"""),"84o 56' 56""")</f>
        <v>84o 56' 56"</v>
      </c>
      <c r="M1709" s="2" t="str">
        <f>IFERROR(__xludf.DUMMYFUNCTION("""COMPUTED_VALUE"""),"Sirdibas (Gorkha)")</f>
        <v>Sirdibas (Gorkha)</v>
      </c>
    </row>
    <row r="1710">
      <c r="A1710" s="2">
        <f>IFERROR(__xludf.DUMMYFUNCTION("""COMPUTED_VALUE"""),1709.0)</f>
        <v>1709</v>
      </c>
      <c r="B1710" s="2" t="str">
        <f>IFERROR(__xludf.DUMMYFUNCTION("""COMPUTED_VALUE"""),"Gopi Khola SHP")</f>
        <v>Gopi Khola SHP</v>
      </c>
      <c r="C1710" s="2">
        <f>IFERROR(__xludf.DUMMYFUNCTION("""COMPUTED_VALUE"""),2.6)</f>
        <v>2.6</v>
      </c>
      <c r="D1710" s="2" t="str">
        <f>IFERROR(__xludf.DUMMYFUNCTION("""COMPUTED_VALUE"""),"Gopi Khola")</f>
        <v>Gopi Khola</v>
      </c>
      <c r="E1710" s="2">
        <f>IFERROR(__xludf.DUMMYFUNCTION("""COMPUTED_VALUE"""),5618.0)</f>
        <v>5618</v>
      </c>
      <c r="F1710" s="3">
        <f>IFERROR(__xludf.DUMMYFUNCTION("""COMPUTED_VALUE"""),61452.0)</f>
        <v>61452</v>
      </c>
      <c r="G1710" s="2" t="str">
        <f>IFERROR(__xludf.DUMMYFUNCTION("""COMPUTED_VALUE"""),"Gopi Binayak Hydropower Project Pvt Ltd")</f>
        <v>Gopi Binayak Hydropower Project Pvt Ltd</v>
      </c>
      <c r="H1710" s="2" t="str">
        <f>IFERROR(__xludf.DUMMYFUNCTION("""COMPUTED_VALUE"""),"Sukedhara, Kathmandu, Tel: 4015007")</f>
        <v>Sukedhara, Kathmandu, Tel: 4015007</v>
      </c>
      <c r="I1710" s="2" t="str">
        <f>IFERROR(__xludf.DUMMYFUNCTION("""COMPUTED_VALUE"""),"27o 36' 30""")</f>
        <v>27o 36' 30"</v>
      </c>
      <c r="J1710" s="2" t="str">
        <f>IFERROR(__xludf.DUMMYFUNCTION("""COMPUTED_VALUE"""),"27o 37' 30""")</f>
        <v>27o 37' 30"</v>
      </c>
      <c r="K1710" s="2" t="str">
        <f>IFERROR(__xludf.DUMMYFUNCTION("""COMPUTED_VALUE"""),"86o 04' 30""")</f>
        <v>86o 04' 30"</v>
      </c>
      <c r="L1710" s="2" t="str">
        <f>IFERROR(__xludf.DUMMYFUNCTION("""COMPUTED_VALUE"""),"86o 06' 00""")</f>
        <v>86o 06' 00"</v>
      </c>
      <c r="M1710" s="2" t="str">
        <f>IFERROR(__xludf.DUMMYFUNCTION("""COMPUTED_VALUE"""),"Bhirkot,Gairimudi (Dolakha)")</f>
        <v>Bhirkot,Gairimudi (Dolakha)</v>
      </c>
    </row>
    <row r="1711">
      <c r="A1711" s="2">
        <f>IFERROR(__xludf.DUMMYFUNCTION("""COMPUTED_VALUE"""),1710.0)</f>
        <v>1710</v>
      </c>
      <c r="B1711" s="2" t="str">
        <f>IFERROR(__xludf.DUMMYFUNCTION("""COMPUTED_VALUE"""),"lower Ekhuwa Khola")</f>
        <v>lower Ekhuwa Khola</v>
      </c>
      <c r="C1711" s="2">
        <f>IFERROR(__xludf.DUMMYFUNCTION("""COMPUTED_VALUE"""),1.5)</f>
        <v>1.5</v>
      </c>
      <c r="D1711" s="2" t="str">
        <f>IFERROR(__xludf.DUMMYFUNCTION("""COMPUTED_VALUE"""),"Ikhuwa")</f>
        <v>Ikhuwa</v>
      </c>
      <c r="E1711" s="2"/>
      <c r="F1711" s="3">
        <f>IFERROR(__xludf.DUMMYFUNCTION("""COMPUTED_VALUE"""),61453.0)</f>
        <v>61453</v>
      </c>
      <c r="G1711" s="2" t="str">
        <f>IFERROR(__xludf.DUMMYFUNCTION("""COMPUTED_VALUE"""),"Hasanpur Ujjawal Samudayik Gramin Vidyut Sahakari")</f>
        <v>Hasanpur Ujjawal Samudayik Gramin Vidyut Sahakari</v>
      </c>
      <c r="H1711" s="2" t="str">
        <f>IFERROR(__xludf.DUMMYFUNCTION("""COMPUTED_VALUE"""),"Hasanpur - 5, Bhojpur Nepal")</f>
        <v>Hasanpur - 5, Bhojpur Nepal</v>
      </c>
      <c r="I1711" s="2" t="str">
        <f>IFERROR(__xludf.DUMMYFUNCTION("""COMPUTED_VALUE"""),"26o 55' 33""")</f>
        <v>26o 55' 33"</v>
      </c>
      <c r="J1711" s="2" t="str">
        <f>IFERROR(__xludf.DUMMYFUNCTION("""COMPUTED_VALUE"""),"26o 56' 37""")</f>
        <v>26o 56' 37"</v>
      </c>
      <c r="K1711" s="2" t="str">
        <f>IFERROR(__xludf.DUMMYFUNCTION("""COMPUTED_VALUE"""),"87o 07' 38""")</f>
        <v>87o 07' 38"</v>
      </c>
      <c r="L1711" s="2" t="str">
        <f>IFERROR(__xludf.DUMMYFUNCTION("""COMPUTED_VALUE"""),"87o 24' 00""")</f>
        <v>87o 24' 00"</v>
      </c>
      <c r="M1711" s="2" t="str">
        <f>IFERROR(__xludf.DUMMYFUNCTION("""COMPUTED_VALUE"""),"Hasanpur (Bhojpur)")</f>
        <v>Hasanpur (Bhojpur)</v>
      </c>
    </row>
    <row r="1712">
      <c r="A1712" s="2">
        <f>IFERROR(__xludf.DUMMYFUNCTION("""COMPUTED_VALUE"""),1711.0)</f>
        <v>1711</v>
      </c>
      <c r="B1712" s="2" t="str">
        <f>IFERROR(__xludf.DUMMYFUNCTION("""COMPUTED_VALUE"""),"Upper Tap Khola SHP")</f>
        <v>Upper Tap Khola SHP</v>
      </c>
      <c r="C1712" s="2">
        <f>IFERROR(__xludf.DUMMYFUNCTION("""COMPUTED_VALUE"""),0.997)</f>
        <v>0.997</v>
      </c>
      <c r="D1712" s="2" t="str">
        <f>IFERROR(__xludf.DUMMYFUNCTION("""COMPUTED_VALUE"""),"Tap")</f>
        <v>Tap</v>
      </c>
      <c r="E1712" s="2">
        <f>IFERROR(__xludf.DUMMYFUNCTION("""COMPUTED_VALUE"""),52.0)</f>
        <v>52</v>
      </c>
      <c r="F1712" s="3">
        <f>IFERROR(__xludf.DUMMYFUNCTION("""COMPUTED_VALUE"""),61457.0)</f>
        <v>61457</v>
      </c>
      <c r="G1712" s="2" t="str">
        <f>IFERROR(__xludf.DUMMYFUNCTION("""COMPUTED_VALUE"""),"Dhanuka Rai, Chandra Shyam Rai, Member Singh Rai, Khagendra Adhikari, 
Sabina Neupane")</f>
        <v>Dhanuka Rai, Chandra Shyam Rai, Member Singh Rai, Khagendra Adhikari, 
Sabina Neupane</v>
      </c>
      <c r="H1712" s="2" t="str">
        <f>IFERROR(__xludf.DUMMYFUNCTION("""COMPUTED_VALUE"""),"Tel: 025-527008")</f>
        <v>Tel: 025-527008</v>
      </c>
      <c r="I1712" s="2" t="str">
        <f>IFERROR(__xludf.DUMMYFUNCTION("""COMPUTED_VALUE"""),"27o 18' 08""")</f>
        <v>27o 18' 08"</v>
      </c>
      <c r="J1712" s="2" t="str">
        <f>IFERROR(__xludf.DUMMYFUNCTION("""COMPUTED_VALUE"""),"27o 18' 55""")</f>
        <v>27o 18' 55"</v>
      </c>
      <c r="K1712" s="2" t="str">
        <f>IFERROR(__xludf.DUMMYFUNCTION("""COMPUTED_VALUE"""),"86o 52' 41""")</f>
        <v>86o 52' 41"</v>
      </c>
      <c r="L1712" s="2" t="str">
        <f>IFERROR(__xludf.DUMMYFUNCTION("""COMPUTED_VALUE"""),"86o 55' 00""")</f>
        <v>86o 55' 00"</v>
      </c>
      <c r="M1712" s="2" t="str">
        <f>IFERROR(__xludf.DUMMYFUNCTION("""COMPUTED_VALUE"""),"Khartamchha,Phedi (Khotang)")</f>
        <v>Khartamchha,Phedi (Khotang)</v>
      </c>
    </row>
    <row r="1713">
      <c r="A1713" s="2">
        <f>IFERROR(__xludf.DUMMYFUNCTION("""COMPUTED_VALUE"""),1712.0)</f>
        <v>1712</v>
      </c>
      <c r="B1713" s="2" t="str">
        <f>IFERROR(__xludf.DUMMYFUNCTION("""COMPUTED_VALUE"""),"Baligad")</f>
        <v>Baligad</v>
      </c>
      <c r="C1713" s="2">
        <f>IFERROR(__xludf.DUMMYFUNCTION("""COMPUTED_VALUE"""),2.5)</f>
        <v>2.5</v>
      </c>
      <c r="D1713" s="2" t="str">
        <f>IFERROR(__xludf.DUMMYFUNCTION("""COMPUTED_VALUE"""),"Baligad")</f>
        <v>Baligad</v>
      </c>
      <c r="E1713" s="2"/>
      <c r="F1713" s="3">
        <f>IFERROR(__xludf.DUMMYFUNCTION("""COMPUTED_VALUE"""),61462.0)</f>
        <v>61462</v>
      </c>
      <c r="G1713" s="2" t="str">
        <f>IFERROR(__xludf.DUMMYFUNCTION("""COMPUTED_VALUE"""),"Chumli Hydro Construction Co. P Ltd")</f>
        <v>Chumli Hydro Construction Co. P Ltd</v>
      </c>
      <c r="H1713" s="2" t="str">
        <f>IFERROR(__xludf.DUMMYFUNCTION("""COMPUTED_VALUE"""),"Kapan Kathmandu 6")</f>
        <v>Kapan Kathmandu 6</v>
      </c>
      <c r="I1713" s="2" t="str">
        <f>IFERROR(__xludf.DUMMYFUNCTION("""COMPUTED_VALUE"""),"29o 04' 20""")</f>
        <v>29o 04' 20"</v>
      </c>
      <c r="J1713" s="2" t="str">
        <f>IFERROR(__xludf.DUMMYFUNCTION("""COMPUTED_VALUE"""),"29o 06' 20""")</f>
        <v>29o 06' 20"</v>
      </c>
      <c r="K1713" s="2" t="str">
        <f>IFERROR(__xludf.DUMMYFUNCTION("""COMPUTED_VALUE"""),"81o 39' 25""")</f>
        <v>81o 39' 25"</v>
      </c>
      <c r="L1713" s="2" t="str">
        <f>IFERROR(__xludf.DUMMYFUNCTION("""COMPUTED_VALUE"""),"81o 40' 25""")</f>
        <v>81o 40' 25"</v>
      </c>
      <c r="M1713" s="2" t="str">
        <f>IFERROR(__xludf.DUMMYFUNCTION("""COMPUTED_VALUE"""),"Mugraha,Sukitaya (Kalikot)")</f>
        <v>Mugraha,Sukitaya (Kalikot)</v>
      </c>
    </row>
    <row r="1714">
      <c r="A1714" s="2">
        <f>IFERROR(__xludf.DUMMYFUNCTION("""COMPUTED_VALUE"""),1713.0)</f>
        <v>1713</v>
      </c>
      <c r="B1714" s="2" t="str">
        <f>IFERROR(__xludf.DUMMYFUNCTION("""COMPUTED_VALUE"""),"Upper Hadi - A")</f>
        <v>Upper Hadi - A</v>
      </c>
      <c r="C1714" s="2">
        <f>IFERROR(__xludf.DUMMYFUNCTION("""COMPUTED_VALUE"""),1.7)</f>
        <v>1.7</v>
      </c>
      <c r="D1714" s="2" t="str">
        <f>IFERROR(__xludf.DUMMYFUNCTION("""COMPUTED_VALUE"""),"Hadi")</f>
        <v>Hadi</v>
      </c>
      <c r="E1714" s="2"/>
      <c r="F1714" s="3">
        <f>IFERROR(__xludf.DUMMYFUNCTION("""COMPUTED_VALUE"""),61463.0)</f>
        <v>61463</v>
      </c>
      <c r="G1714" s="2" t="str">
        <f>IFERROR(__xludf.DUMMYFUNCTION("""COMPUTED_VALUE"""),"Indra Bahadur Tamang")</f>
        <v>Indra Bahadur Tamang</v>
      </c>
      <c r="H1714" s="2" t="str">
        <f>IFERROR(__xludf.DUMMYFUNCTION("""COMPUTED_VALUE"""),"Thangpalkot -2, Sindhupalchowk")</f>
        <v>Thangpalkot -2, Sindhupalchowk</v>
      </c>
      <c r="I1714" s="2" t="str">
        <f>IFERROR(__xludf.DUMMYFUNCTION("""COMPUTED_VALUE"""),"27o 55' 58""")</f>
        <v>27o 55' 58"</v>
      </c>
      <c r="J1714" s="2" t="str">
        <f>IFERROR(__xludf.DUMMYFUNCTION("""COMPUTED_VALUE"""),"27o 56' 45""")</f>
        <v>27o 56' 45"</v>
      </c>
      <c r="K1714" s="2" t="str">
        <f>IFERROR(__xludf.DUMMYFUNCTION("""COMPUTED_VALUE"""),"85o 40' 56""")</f>
        <v>85o 40' 56"</v>
      </c>
      <c r="L1714" s="2" t="str">
        <f>IFERROR(__xludf.DUMMYFUNCTION("""COMPUTED_VALUE"""),"85o 42' 33""")</f>
        <v>85o 42' 33"</v>
      </c>
      <c r="M1714" s="2" t="str">
        <f>IFERROR(__xludf.DUMMYFUNCTION("""COMPUTED_VALUE"""),"Gunsa,Thanpalkot (Sindhupalchok)")</f>
        <v>Gunsa,Thanpalkot (Sindhupalchok)</v>
      </c>
    </row>
    <row r="1715">
      <c r="A1715" s="2">
        <f>IFERROR(__xludf.DUMMYFUNCTION("""COMPUTED_VALUE"""),1714.0)</f>
        <v>1714</v>
      </c>
      <c r="B1715" s="2" t="str">
        <f>IFERROR(__xludf.DUMMYFUNCTION("""COMPUTED_VALUE"""),"Lantang Khola Small")</f>
        <v>Lantang Khola Small</v>
      </c>
      <c r="C1715" s="2">
        <f>IFERROR(__xludf.DUMMYFUNCTION("""COMPUTED_VALUE"""),13.36)</f>
        <v>13.36</v>
      </c>
      <c r="D1715" s="2" t="str">
        <f>IFERROR(__xludf.DUMMYFUNCTION("""COMPUTED_VALUE"""),"Langtang")</f>
        <v>Langtang</v>
      </c>
      <c r="E1715" s="2">
        <f>IFERROR(__xludf.DUMMYFUNCTION("""COMPUTED_VALUE"""),126.0)</f>
        <v>126</v>
      </c>
      <c r="F1715" s="3">
        <f>IFERROR(__xludf.DUMMYFUNCTION("""COMPUTED_VALUE"""),61465.0)</f>
        <v>61465</v>
      </c>
      <c r="G1715" s="2" t="str">
        <f>IFERROR(__xludf.DUMMYFUNCTION("""COMPUTED_VALUE"""),"Pikabu Hydropower Co. Pvt. Ltd.")</f>
        <v>Pikabu Hydropower Co. Pvt. Ltd.</v>
      </c>
      <c r="H1715" s="2" t="str">
        <f>IFERROR(__xludf.DUMMYFUNCTION("""COMPUTED_VALUE"""),"Kathmandu, P.O.Box. 21372, Phone 01-4483581, 4496372")</f>
        <v>Kathmandu, P.O.Box. 21372, Phone 01-4483581, 4496372</v>
      </c>
      <c r="I1715" s="2" t="str">
        <f>IFERROR(__xludf.DUMMYFUNCTION("""COMPUTED_VALUE"""),"28o 08' 32""")</f>
        <v>28o 08' 32"</v>
      </c>
      <c r="J1715" s="2" t="str">
        <f>IFERROR(__xludf.DUMMYFUNCTION("""COMPUTED_VALUE"""),"28o 10' 26""")</f>
        <v>28o 10' 26"</v>
      </c>
      <c r="K1715" s="2" t="str">
        <f>IFERROR(__xludf.DUMMYFUNCTION("""COMPUTED_VALUE"""),"85o 20' 34""")</f>
        <v>85o 20' 34"</v>
      </c>
      <c r="L1715" s="2" t="str">
        <f>IFERROR(__xludf.DUMMYFUNCTION("""COMPUTED_VALUE"""),"85o 25' 00""")</f>
        <v>85o 25' 00"</v>
      </c>
      <c r="M1715" s="2" t="str">
        <f>IFERROR(__xludf.DUMMYFUNCTION("""COMPUTED_VALUE"""),"Langtang,Briddhim,Syafru (Rasuwa)")</f>
        <v>Langtang,Briddhim,Syafru (Rasuwa)</v>
      </c>
    </row>
    <row r="1716">
      <c r="A1716" s="2">
        <f>IFERROR(__xludf.DUMMYFUNCTION("""COMPUTED_VALUE"""),1715.0)</f>
        <v>1715</v>
      </c>
      <c r="B1716" s="2" t="str">
        <f>IFERROR(__xludf.DUMMYFUNCTION("""COMPUTED_VALUE"""),"Upper Liping Khola SHP")</f>
        <v>Upper Liping Khola SHP</v>
      </c>
      <c r="C1716" s="2">
        <f>IFERROR(__xludf.DUMMYFUNCTION("""COMPUTED_VALUE"""),0.98)</f>
        <v>0.98</v>
      </c>
      <c r="D1716" s="2" t="str">
        <f>IFERROR(__xludf.DUMMYFUNCTION("""COMPUTED_VALUE"""),"Liping")</f>
        <v>Liping</v>
      </c>
      <c r="E1716" s="2">
        <f>IFERROR(__xludf.DUMMYFUNCTION("""COMPUTED_VALUE"""),132.0)</f>
        <v>132</v>
      </c>
      <c r="F1716" s="3">
        <f>IFERROR(__xludf.DUMMYFUNCTION("""COMPUTED_VALUE"""),61466.0)</f>
        <v>61466</v>
      </c>
      <c r="G1716" s="2" t="str">
        <f>IFERROR(__xludf.DUMMYFUNCTION("""COMPUTED_VALUE"""),"Him River Pvt Ltd")</f>
        <v>Him River Pvt Ltd</v>
      </c>
      <c r="H1716" s="2" t="str">
        <f>IFERROR(__xludf.DUMMYFUNCTION("""COMPUTED_VALUE"""),"Baneswar, Kathmandu, Tel: 9851030767")</f>
        <v>Baneswar, Kathmandu, Tel: 9851030767</v>
      </c>
      <c r="I1716" s="2" t="str">
        <f>IFERROR(__xludf.DUMMYFUNCTION("""COMPUTED_VALUE"""),"27o 58' 22""")</f>
        <v>27o 58' 22"</v>
      </c>
      <c r="J1716" s="2" t="str">
        <f>IFERROR(__xludf.DUMMYFUNCTION("""COMPUTED_VALUE"""),"28o 00' 00""")</f>
        <v>28o 00' 00"</v>
      </c>
      <c r="K1716" s="2" t="str">
        <f>IFERROR(__xludf.DUMMYFUNCTION("""COMPUTED_VALUE"""),"85o 55' 00""")</f>
        <v>85o 55' 00"</v>
      </c>
      <c r="L1716" s="2" t="str">
        <f>IFERROR(__xludf.DUMMYFUNCTION("""COMPUTED_VALUE"""),"85o 57' 44""")</f>
        <v>85o 57' 44"</v>
      </c>
      <c r="M1716" s="2" t="str">
        <f>IFERROR(__xludf.DUMMYFUNCTION("""COMPUTED_VALUE"""),"Tatopani (Sindhupalchok)")</f>
        <v>Tatopani (Sindhupalchok)</v>
      </c>
    </row>
    <row r="1717">
      <c r="A1717" s="2">
        <f>IFERROR(__xludf.DUMMYFUNCTION("""COMPUTED_VALUE"""),1716.0)</f>
        <v>1716</v>
      </c>
      <c r="B1717" s="2" t="str">
        <f>IFERROR(__xludf.DUMMYFUNCTION("""COMPUTED_VALUE"""),"Togo Khola")</f>
        <v>Togo Khola</v>
      </c>
      <c r="C1717" s="2">
        <f>IFERROR(__xludf.DUMMYFUNCTION("""COMPUTED_VALUE"""),3.0)</f>
        <v>3</v>
      </c>
      <c r="D1717" s="2" t="str">
        <f>IFERROR(__xludf.DUMMYFUNCTION("""COMPUTED_VALUE"""),"Togo")</f>
        <v>Togo</v>
      </c>
      <c r="E1717" s="2"/>
      <c r="F1717" s="3">
        <f>IFERROR(__xludf.DUMMYFUNCTION("""COMPUTED_VALUE"""),61468.0)</f>
        <v>61468</v>
      </c>
      <c r="G1717" s="2" t="str">
        <f>IFERROR(__xludf.DUMMYFUNCTION("""COMPUTED_VALUE"""),"Asian Hydro Development P ltd")</f>
        <v>Asian Hydro Development P ltd</v>
      </c>
      <c r="H1717" s="2" t="str">
        <f>IFERROR(__xludf.DUMMYFUNCTION("""COMPUTED_VALUE"""),"Kathamandu Shantinagar 34")</f>
        <v>Kathamandu Shantinagar 34</v>
      </c>
      <c r="I1717" s="2" t="str">
        <f>IFERROR(__xludf.DUMMYFUNCTION("""COMPUTED_VALUE"""),"28o 17' 50""")</f>
        <v>28o 17' 50"</v>
      </c>
      <c r="J1717" s="2" t="str">
        <f>IFERROR(__xludf.DUMMYFUNCTION("""COMPUTED_VALUE"""),"28o 20' 00""")</f>
        <v>28o 20' 00"</v>
      </c>
      <c r="K1717" s="2" t="str">
        <f>IFERROR(__xludf.DUMMYFUNCTION("""COMPUTED_VALUE"""),"84o 11' 00""")</f>
        <v>84o 11' 00"</v>
      </c>
      <c r="L1717" s="2" t="str">
        <f>IFERROR(__xludf.DUMMYFUNCTION("""COMPUTED_VALUE"""),"84o 12' 30""")</f>
        <v>84o 12' 30"</v>
      </c>
      <c r="M1717" s="2" t="str">
        <f>IFERROR(__xludf.DUMMYFUNCTION("""COMPUTED_VALUE"""),"Pasagaun (Lamjung)")</f>
        <v>Pasagaun (Lamjung)</v>
      </c>
    </row>
    <row r="1718">
      <c r="A1718" s="2">
        <f>IFERROR(__xludf.DUMMYFUNCTION("""COMPUTED_VALUE"""),1717.0)</f>
        <v>1717</v>
      </c>
      <c r="B1718" s="2" t="str">
        <f>IFERROR(__xludf.DUMMYFUNCTION("""COMPUTED_VALUE"""),"Upper Nawa Khola")</f>
        <v>Upper Nawa Khola</v>
      </c>
      <c r="C1718" s="2">
        <f>IFERROR(__xludf.DUMMYFUNCTION("""COMPUTED_VALUE"""),0.99)</f>
        <v>0.99</v>
      </c>
      <c r="D1718" s="2" t="str">
        <f>IFERROR(__xludf.DUMMYFUNCTION("""COMPUTED_VALUE"""),"Nawa Khola")</f>
        <v>Nawa Khola</v>
      </c>
      <c r="E1718" s="2"/>
      <c r="F1718" s="3">
        <f>IFERROR(__xludf.DUMMYFUNCTION("""COMPUTED_VALUE"""),61468.0)</f>
        <v>61468</v>
      </c>
      <c r="G1718" s="2" t="str">
        <f>IFERROR(__xludf.DUMMYFUNCTION("""COMPUTED_VALUE"""),"Gyanendra Baral, Bim B Thapa")</f>
        <v>Gyanendra Baral, Bim B Thapa</v>
      </c>
      <c r="H1718" s="2" t="str">
        <f>IFERROR(__xludf.DUMMYFUNCTION("""COMPUTED_VALUE"""),"Dhankuta, Morang")</f>
        <v>Dhankuta, Morang</v>
      </c>
      <c r="I1718" s="2" t="str">
        <f>IFERROR(__xludf.DUMMYFUNCTION("""COMPUTED_VALUE"""),"26o 54' 46""")</f>
        <v>26o 54' 46"</v>
      </c>
      <c r="J1718" s="2" t="str">
        <f>IFERROR(__xludf.DUMMYFUNCTION("""COMPUTED_VALUE"""),"26o 55' 57""")</f>
        <v>26o 55' 57"</v>
      </c>
      <c r="K1718" s="2" t="str">
        <f>IFERROR(__xludf.DUMMYFUNCTION("""COMPUTED_VALUE"""),"87o 35' 00""")</f>
        <v>87o 35' 00"</v>
      </c>
      <c r="L1718" s="2" t="str">
        <f>IFERROR(__xludf.DUMMYFUNCTION("""COMPUTED_VALUE"""),"87o 36' 35""")</f>
        <v>87o 36' 35"</v>
      </c>
      <c r="M1718" s="2" t="str">
        <f>IFERROR(__xludf.DUMMYFUNCTION("""COMPUTED_VALUE"""),"Aarubote,Linba,Hangum (Panchthar)")</f>
        <v>Aarubote,Linba,Hangum (Panchthar)</v>
      </c>
    </row>
    <row r="1719">
      <c r="A1719" s="2">
        <f>IFERROR(__xludf.DUMMYFUNCTION("""COMPUTED_VALUE"""),1718.0)</f>
        <v>1718</v>
      </c>
      <c r="B1719" s="2" t="str">
        <f>IFERROR(__xludf.DUMMYFUNCTION("""COMPUTED_VALUE"""),"Upper Tawa")</f>
        <v>Upper Tawa</v>
      </c>
      <c r="C1719" s="2">
        <f>IFERROR(__xludf.DUMMYFUNCTION("""COMPUTED_VALUE"""),0.994)</f>
        <v>0.994</v>
      </c>
      <c r="D1719" s="2" t="str">
        <f>IFERROR(__xludf.DUMMYFUNCTION("""COMPUTED_VALUE"""),"Tawa Khola")</f>
        <v>Tawa Khola</v>
      </c>
      <c r="E1719" s="2"/>
      <c r="F1719" s="3">
        <f>IFERROR(__xludf.DUMMYFUNCTION("""COMPUTED_VALUE"""),61468.0)</f>
        <v>61468</v>
      </c>
      <c r="G1719" s="2" t="str">
        <f>IFERROR(__xludf.DUMMYFUNCTION("""COMPUTED_VALUE"""),"Hem Raj Gautam, Ganesh Prasad Subba")</f>
        <v>Hem Raj Gautam, Ganesh Prasad Subba</v>
      </c>
      <c r="H1719" s="2" t="str">
        <f>IFERROR(__xludf.DUMMYFUNCTION("""COMPUTED_VALUE"""),"Taplejung")</f>
        <v>Taplejung</v>
      </c>
      <c r="I1719" s="2" t="str">
        <f>IFERROR(__xludf.DUMMYFUNCTION("""COMPUTED_VALUE"""),"27o 22' 18""")</f>
        <v>27o 22' 18"</v>
      </c>
      <c r="J1719" s="2" t="str">
        <f>IFERROR(__xludf.DUMMYFUNCTION("""COMPUTED_VALUE"""),"27o 23' 24""")</f>
        <v>27o 23' 24"</v>
      </c>
      <c r="K1719" s="2" t="str">
        <f>IFERROR(__xludf.DUMMYFUNCTION("""COMPUTED_VALUE"""),"87o 54' 42""")</f>
        <v>87o 54' 42"</v>
      </c>
      <c r="L1719" s="2" t="str">
        <f>IFERROR(__xludf.DUMMYFUNCTION("""COMPUTED_VALUE"""),"87o 57' 53""")</f>
        <v>87o 57' 53"</v>
      </c>
      <c r="M1719" s="2" t="str">
        <f>IFERROR(__xludf.DUMMYFUNCTION("""COMPUTED_VALUE"""),"Surunkhim (Taplejung)")</f>
        <v>Surunkhim (Taplejung)</v>
      </c>
    </row>
    <row r="1720">
      <c r="A1720" s="2">
        <f>IFERROR(__xludf.DUMMYFUNCTION("""COMPUTED_VALUE"""),1719.0)</f>
        <v>1719</v>
      </c>
      <c r="B1720" s="2" t="str">
        <f>IFERROR(__xludf.DUMMYFUNCTION("""COMPUTED_VALUE"""),"Khale Khola")</f>
        <v>Khale Khola</v>
      </c>
      <c r="C1720" s="2">
        <f>IFERROR(__xludf.DUMMYFUNCTION("""COMPUTED_VALUE"""),0.2)</f>
        <v>0.2</v>
      </c>
      <c r="D1720" s="2" t="str">
        <f>IFERROR(__xludf.DUMMYFUNCTION("""COMPUTED_VALUE"""),"Khale Khola")</f>
        <v>Khale Khola</v>
      </c>
      <c r="E1720" s="2"/>
      <c r="F1720" s="3">
        <f>IFERROR(__xludf.DUMMYFUNCTION("""COMPUTED_VALUE"""),61475.0)</f>
        <v>61475</v>
      </c>
      <c r="G1720" s="2" t="str">
        <f>IFERROR(__xludf.DUMMYFUNCTION("""COMPUTED_VALUE"""),"Jiwi Bajra Lama ,Nem B Tamang")</f>
        <v>Jiwi Bajra Lama ,Nem B Tamang</v>
      </c>
      <c r="H1720" s="2" t="str">
        <f>IFERROR(__xludf.DUMMYFUNCTION("""COMPUTED_VALUE"""),"Batase - 1, Sindhupalchowk")</f>
        <v>Batase - 1, Sindhupalchowk</v>
      </c>
      <c r="I1720" s="2" t="str">
        <f>IFERROR(__xludf.DUMMYFUNCTION("""COMPUTED_VALUE"""),"27o 48' 52""")</f>
        <v>27o 48' 52"</v>
      </c>
      <c r="J1720" s="2" t="str">
        <f>IFERROR(__xludf.DUMMYFUNCTION("""COMPUTED_VALUE"""),"27o 49' 25""")</f>
        <v>27o 49' 25"</v>
      </c>
      <c r="K1720" s="2" t="str">
        <f>IFERROR(__xludf.DUMMYFUNCTION("""COMPUTED_VALUE"""),"85o 43' 12""")</f>
        <v>85o 43' 12"</v>
      </c>
      <c r="L1720" s="2" t="str">
        <f>IFERROR(__xludf.DUMMYFUNCTION("""COMPUTED_VALUE"""),"85o 43' 52""")</f>
        <v>85o 43' 52"</v>
      </c>
      <c r="M1720" s="2" t="str">
        <f>IFERROR(__xludf.DUMMYFUNCTION("""COMPUTED_VALUE"""),"Batase (Sindhupalchok)")</f>
        <v>Batase (Sindhupalchok)</v>
      </c>
    </row>
    <row r="1721">
      <c r="A1721" s="2">
        <f>IFERROR(__xludf.DUMMYFUNCTION("""COMPUTED_VALUE"""),1720.0)</f>
        <v>1720</v>
      </c>
      <c r="B1721" s="2" t="str">
        <f>IFERROR(__xludf.DUMMYFUNCTION("""COMPUTED_VALUE"""),"Melamchi Khola")</f>
        <v>Melamchi Khola</v>
      </c>
      <c r="C1721" s="2">
        <f>IFERROR(__xludf.DUMMYFUNCTION("""COMPUTED_VALUE"""),10.0)</f>
        <v>10</v>
      </c>
      <c r="D1721" s="2" t="str">
        <f>IFERROR(__xludf.DUMMYFUNCTION("""COMPUTED_VALUE"""),"Melamchi")</f>
        <v>Melamchi</v>
      </c>
      <c r="E1721" s="2"/>
      <c r="F1721" s="3">
        <f>IFERROR(__xludf.DUMMYFUNCTION("""COMPUTED_VALUE"""),61476.0)</f>
        <v>61476</v>
      </c>
      <c r="G1721" s="2" t="str">
        <f>IFERROR(__xludf.DUMMYFUNCTION("""COMPUTED_VALUE"""),"Ashok Chaulagain, Ram Kumari Deuja")</f>
        <v>Ashok Chaulagain, Ram Kumari Deuja</v>
      </c>
      <c r="H1721" s="2" t="str">
        <f>IFERROR(__xludf.DUMMYFUNCTION("""COMPUTED_VALUE"""),"Sindhupalchowk")</f>
        <v>Sindhupalchowk</v>
      </c>
      <c r="I1721" s="2" t="str">
        <f>IFERROR(__xludf.DUMMYFUNCTION("""COMPUTED_VALUE"""),"27o 58' 27""")</f>
        <v>27o 58' 27"</v>
      </c>
      <c r="J1721" s="2" t="str">
        <f>IFERROR(__xludf.DUMMYFUNCTION("""COMPUTED_VALUE"""),"28o 01' 54""")</f>
        <v>28o 01' 54"</v>
      </c>
      <c r="K1721" s="2" t="str">
        <f>IFERROR(__xludf.DUMMYFUNCTION("""COMPUTED_VALUE"""),"85o 30' 49""")</f>
        <v>85o 30' 49"</v>
      </c>
      <c r="L1721" s="2" t="str">
        <f>IFERROR(__xludf.DUMMYFUNCTION("""COMPUTED_VALUE"""),"85o 32' 50""")</f>
        <v>85o 32' 50"</v>
      </c>
      <c r="M1721" s="2" t="str">
        <f>IFERROR(__xludf.DUMMYFUNCTION("""COMPUTED_VALUE"""),"Hagam (Sindhupalchok)")</f>
        <v>Hagam (Sindhupalchok)</v>
      </c>
    </row>
    <row r="1722">
      <c r="A1722" s="2">
        <f>IFERROR(__xludf.DUMMYFUNCTION("""COMPUTED_VALUE"""),1721.0)</f>
        <v>1721</v>
      </c>
      <c r="B1722" s="2" t="str">
        <f>IFERROR(__xludf.DUMMYFUNCTION("""COMPUTED_VALUE"""),"Ongliche Khola")</f>
        <v>Ongliche Khola</v>
      </c>
      <c r="C1722" s="2">
        <f>IFERROR(__xludf.DUMMYFUNCTION("""COMPUTED_VALUE"""),0.63)</f>
        <v>0.63</v>
      </c>
      <c r="D1722" s="2" t="str">
        <f>IFERROR(__xludf.DUMMYFUNCTION("""COMPUTED_VALUE"""),"Ongliche Khola")</f>
        <v>Ongliche Khola</v>
      </c>
      <c r="E1722" s="2"/>
      <c r="F1722" s="3">
        <f>IFERROR(__xludf.DUMMYFUNCTION("""COMPUTED_VALUE"""),61479.0)</f>
        <v>61479</v>
      </c>
      <c r="G1722" s="2" t="str">
        <f>IFERROR(__xludf.DUMMYFUNCTION("""COMPUTED_VALUE"""),"Dawa Dorje Tamang")</f>
        <v>Dawa Dorje Tamang</v>
      </c>
      <c r="H1722" s="2" t="str">
        <f>IFERROR(__xludf.DUMMYFUNCTION("""COMPUTED_VALUE"""),"Gumba -5")</f>
        <v>Gumba -5</v>
      </c>
      <c r="I1722" s="2" t="str">
        <f>IFERROR(__xludf.DUMMYFUNCTION("""COMPUTED_VALUE"""),"27o 57' 18""")</f>
        <v>27o 57' 18"</v>
      </c>
      <c r="J1722" s="2" t="str">
        <f>IFERROR(__xludf.DUMMYFUNCTION("""COMPUTED_VALUE"""),"28o 56' 31""")</f>
        <v>28o 56' 31"</v>
      </c>
      <c r="K1722" s="2" t="str">
        <f>IFERROR(__xludf.DUMMYFUNCTION("""COMPUTED_VALUE"""),"85o 48' 54""")</f>
        <v>85o 48' 54"</v>
      </c>
      <c r="L1722" s="2" t="str">
        <f>IFERROR(__xludf.DUMMYFUNCTION("""COMPUTED_VALUE"""),"85o 50' 00""")</f>
        <v>85o 50' 00"</v>
      </c>
      <c r="M1722" s="2" t="str">
        <f>IFERROR(__xludf.DUMMYFUNCTION("""COMPUTED_VALUE"""),"Gumba (Sindhupalchok)")</f>
        <v>Gumba (Sindhupalchok)</v>
      </c>
    </row>
    <row r="1723">
      <c r="A1723" s="2">
        <f>IFERROR(__xludf.DUMMYFUNCTION("""COMPUTED_VALUE"""),1722.0)</f>
        <v>1722</v>
      </c>
      <c r="B1723" s="2" t="str">
        <f>IFERROR(__xludf.DUMMYFUNCTION("""COMPUTED_VALUE"""),"Maiwa Khola")</f>
        <v>Maiwa Khola</v>
      </c>
      <c r="C1723" s="2">
        <f>IFERROR(__xludf.DUMMYFUNCTION("""COMPUTED_VALUE"""),4.99)</f>
        <v>4.99</v>
      </c>
      <c r="D1723" s="2" t="str">
        <f>IFERROR(__xludf.DUMMYFUNCTION("""COMPUTED_VALUE"""),"Maiwa")</f>
        <v>Maiwa</v>
      </c>
      <c r="E1723" s="2">
        <f>IFERROR(__xludf.DUMMYFUNCTION("""COMPUTED_VALUE"""),291.0)</f>
        <v>291</v>
      </c>
      <c r="F1723" s="3">
        <f>IFERROR(__xludf.DUMMYFUNCTION("""COMPUTED_VALUE"""),61485.0)</f>
        <v>61485</v>
      </c>
      <c r="G1723" s="2" t="str">
        <f>IFERROR(__xludf.DUMMYFUNCTION("""COMPUTED_VALUE"""),"Tara B Iimbu,Prem Kumar Libang, Bijay Maden, Siddha Kumari Thebe, Birendra 
Limbu")</f>
        <v>Tara B Iimbu,Prem Kumar Libang, Bijay Maden, Siddha Kumari Thebe, Birendra 
Limbu</v>
      </c>
      <c r="H1723" s="2" t="str">
        <f>IFERROR(__xludf.DUMMYFUNCTION("""COMPUTED_VALUE"""),"Taplejung, 9841150187 ( Tara Bahadur)")</f>
        <v>Taplejung, 9841150187 ( Tara Bahadur)</v>
      </c>
      <c r="I1723" s="2" t="str">
        <f>IFERROR(__xludf.DUMMYFUNCTION("""COMPUTED_VALUE"""),"27o 21' 47""")</f>
        <v>27o 21' 47"</v>
      </c>
      <c r="J1723" s="2" t="str">
        <f>IFERROR(__xludf.DUMMYFUNCTION("""COMPUTED_VALUE"""),"27o 23' 03""")</f>
        <v>27o 23' 03"</v>
      </c>
      <c r="K1723" s="2" t="str">
        <f>IFERROR(__xludf.DUMMYFUNCTION("""COMPUTED_VALUE"""),"87o 33' 38""")</f>
        <v>87o 33' 38"</v>
      </c>
      <c r="L1723" s="2" t="str">
        <f>IFERROR(__xludf.DUMMYFUNCTION("""COMPUTED_VALUE"""),"87o 37' 27""")</f>
        <v>87o 37' 27"</v>
      </c>
      <c r="M1723" s="2" t="str">
        <f>IFERROR(__xludf.DUMMYFUNCTION("""COMPUTED_VALUE"""),"Dhungesaghu,Change (Taplejung)")</f>
        <v>Dhungesaghu,Change (Taplejung)</v>
      </c>
    </row>
    <row r="1724">
      <c r="A1724" s="2">
        <f>IFERROR(__xludf.DUMMYFUNCTION("""COMPUTED_VALUE"""),1723.0)</f>
        <v>1723</v>
      </c>
      <c r="B1724" s="2" t="str">
        <f>IFERROR(__xludf.DUMMYFUNCTION("""COMPUTED_VALUE"""),"Machha Khola")</f>
        <v>Machha Khola</v>
      </c>
      <c r="C1724" s="2">
        <f>IFERROR(__xludf.DUMMYFUNCTION("""COMPUTED_VALUE"""),15.0)</f>
        <v>15</v>
      </c>
      <c r="D1724" s="2" t="str">
        <f>IFERROR(__xludf.DUMMYFUNCTION("""COMPUTED_VALUE"""),"Machha Khola")</f>
        <v>Machha Khola</v>
      </c>
      <c r="E1724" s="2">
        <f>IFERROR(__xludf.DUMMYFUNCTION("""COMPUTED_VALUE"""),304.0)</f>
        <v>304</v>
      </c>
      <c r="F1724" s="3">
        <f>IFERROR(__xludf.DUMMYFUNCTION("""COMPUTED_VALUE"""),61488.0)</f>
        <v>61488</v>
      </c>
      <c r="G1724" s="2" t="str">
        <f>IFERROR(__xludf.DUMMYFUNCTION("""COMPUTED_VALUE"""),"Radiant Energy Pvt. Ltd")</f>
        <v>Radiant Energy Pvt. Ltd</v>
      </c>
      <c r="H1724" s="2" t="str">
        <f>IFERROR(__xludf.DUMMYFUNCTION("""COMPUTED_VALUE"""),"GPO Box 10208, Kathmandu, Phone 01-4410417")</f>
        <v>GPO Box 10208, Kathmandu, Phone 01-4410417</v>
      </c>
      <c r="I1724" s="2" t="str">
        <f>IFERROR(__xludf.DUMMYFUNCTION("""COMPUTED_VALUE"""),"28o 12' 09""")</f>
        <v>28o 12' 09"</v>
      </c>
      <c r="J1724" s="2" t="str">
        <f>IFERROR(__xludf.DUMMYFUNCTION("""COMPUTED_VALUE"""),"28o 14' 01""")</f>
        <v>28o 14' 01"</v>
      </c>
      <c r="K1724" s="2" t="str">
        <f>IFERROR(__xludf.DUMMYFUNCTION("""COMPUTED_VALUE"""),"84o 52' 44""")</f>
        <v>84o 52' 44"</v>
      </c>
      <c r="L1724" s="2" t="str">
        <f>IFERROR(__xludf.DUMMYFUNCTION("""COMPUTED_VALUE"""),"84o 48' 55""")</f>
        <v>84o 48' 55"</v>
      </c>
      <c r="M1724" s="2" t="str">
        <f>IFERROR(__xludf.DUMMYFUNCTION("""COMPUTED_VALUE"""),"Gumda (Gorkha)")</f>
        <v>Gumda (Gorkha)</v>
      </c>
    </row>
    <row r="1725">
      <c r="A1725" s="2">
        <f>IFERROR(__xludf.DUMMYFUNCTION("""COMPUTED_VALUE"""),1724.0)</f>
        <v>1724</v>
      </c>
      <c r="B1725" s="2" t="str">
        <f>IFERROR(__xludf.DUMMYFUNCTION("""COMPUTED_VALUE"""),"Padam Khola")</f>
        <v>Padam Khola</v>
      </c>
      <c r="C1725" s="2">
        <f>IFERROR(__xludf.DUMMYFUNCTION("""COMPUTED_VALUE"""),0.99)</f>
        <v>0.99</v>
      </c>
      <c r="D1725" s="2" t="str">
        <f>IFERROR(__xludf.DUMMYFUNCTION("""COMPUTED_VALUE"""),"Padam Khola")</f>
        <v>Padam Khola</v>
      </c>
      <c r="E1725" s="2"/>
      <c r="F1725" s="3">
        <f>IFERROR(__xludf.DUMMYFUNCTION("""COMPUTED_VALUE"""),61491.0)</f>
        <v>61491</v>
      </c>
      <c r="G1725" s="2" t="str">
        <f>IFERROR(__xludf.DUMMYFUNCTION("""COMPUTED_VALUE"""),"Bhumbo Chhewang Lama")</f>
        <v>Bhumbo Chhewang Lama</v>
      </c>
      <c r="H1725" s="2" t="str">
        <f>IFERROR(__xludf.DUMMYFUNCTION("""COMPUTED_VALUE"""),"Kathmandu - 6")</f>
        <v>Kathmandu - 6</v>
      </c>
      <c r="I1725" s="2" t="str">
        <f>IFERROR(__xludf.DUMMYFUNCTION("""COMPUTED_VALUE"""),"28o 54' 30""")</f>
        <v>28o 54' 30"</v>
      </c>
      <c r="J1725" s="2" t="str">
        <f>IFERROR(__xludf.DUMMYFUNCTION("""COMPUTED_VALUE"""),"28o 55' 00""")</f>
        <v>28o 55' 00"</v>
      </c>
      <c r="K1725" s="2" t="str">
        <f>IFERROR(__xludf.DUMMYFUNCTION("""COMPUTED_VALUE"""),"81o 49' 30""")</f>
        <v>81o 49' 30"</v>
      </c>
      <c r="L1725" s="2" t="str">
        <f>IFERROR(__xludf.DUMMYFUNCTION("""COMPUTED_VALUE"""),"81o 51' 10""")</f>
        <v>81o 51' 10"</v>
      </c>
      <c r="M1725" s="2" t="str">
        <f>IFERROR(__xludf.DUMMYFUNCTION("""COMPUTED_VALUE"""),"Kalika,Nomule (Dailekh)")</f>
        <v>Kalika,Nomule (Dailekh)</v>
      </c>
    </row>
    <row r="1726">
      <c r="A1726" s="2">
        <f>IFERROR(__xludf.DUMMYFUNCTION("""COMPUTED_VALUE"""),1725.0)</f>
        <v>1725</v>
      </c>
      <c r="B1726" s="2" t="str">
        <f>IFERROR(__xludf.DUMMYFUNCTION("""COMPUTED_VALUE"""),"Open turbine")</f>
        <v>Open turbine</v>
      </c>
      <c r="C1726" s="2">
        <f>IFERROR(__xludf.DUMMYFUNCTION("""COMPUTED_VALUE"""),0.6)</f>
        <v>0.6</v>
      </c>
      <c r="D1726" s="2" t="str">
        <f>IFERROR(__xludf.DUMMYFUNCTION("""COMPUTED_VALUE"""),"Trishuli")</f>
        <v>Trishuli</v>
      </c>
      <c r="E1726" s="2"/>
      <c r="F1726" s="3">
        <f>IFERROR(__xludf.DUMMYFUNCTION("""COMPUTED_VALUE"""),61491.0)</f>
        <v>61491</v>
      </c>
      <c r="G1726" s="2" t="str">
        <f>IFERROR(__xludf.DUMMYFUNCTION("""COMPUTED_VALUE"""),"Nepal Power Dev &amp; investment")</f>
        <v>Nepal Power Dev &amp; investment</v>
      </c>
      <c r="H1726" s="2" t="str">
        <f>IFERROR(__xludf.DUMMYFUNCTION("""COMPUTED_VALUE"""),"Minbhawan - 10")</f>
        <v>Minbhawan - 10</v>
      </c>
      <c r="I1726" s="2" t="str">
        <f>IFERROR(__xludf.DUMMYFUNCTION("""COMPUTED_VALUE"""),"00o 00' 00""")</f>
        <v>00o 00' 00"</v>
      </c>
      <c r="J1726" s="2" t="str">
        <f>IFERROR(__xludf.DUMMYFUNCTION("""COMPUTED_VALUE"""),"00o 00' 00""")</f>
        <v>00o 00' 00"</v>
      </c>
      <c r="K1726" s="2" t="str">
        <f>IFERROR(__xludf.DUMMYFUNCTION("""COMPUTED_VALUE"""),"00o 00' 00""")</f>
        <v>00o 00' 00"</v>
      </c>
      <c r="L1726" s="2" t="str">
        <f>IFERROR(__xludf.DUMMYFUNCTION("""COMPUTED_VALUE"""),"00o 00' 00""")</f>
        <v>00o 00' 00"</v>
      </c>
      <c r="M1726" s="2" t="str">
        <f>IFERROR(__xludf.DUMMYFUNCTION("""COMPUTED_VALUE"""),"Devghat (Tanahu)")</f>
        <v>Devghat (Tanahu)</v>
      </c>
    </row>
    <row r="1727">
      <c r="A1727" s="2">
        <f>IFERROR(__xludf.DUMMYFUNCTION("""COMPUTED_VALUE"""),1726.0)</f>
        <v>1726</v>
      </c>
      <c r="B1727" s="2" t="str">
        <f>IFERROR(__xludf.DUMMYFUNCTION("""COMPUTED_VALUE"""),"Langtang Khola HPP")</f>
        <v>Langtang Khola HPP</v>
      </c>
      <c r="C1727" s="2">
        <f>IFERROR(__xludf.DUMMYFUNCTION("""COMPUTED_VALUE"""),9.96)</f>
        <v>9.96</v>
      </c>
      <c r="D1727" s="2" t="str">
        <f>IFERROR(__xludf.DUMMYFUNCTION("""COMPUTED_VALUE"""),"Langtang")</f>
        <v>Langtang</v>
      </c>
      <c r="E1727" s="2"/>
      <c r="F1727" s="3">
        <f>IFERROR(__xludf.DUMMYFUNCTION("""COMPUTED_VALUE"""),61492.0)</f>
        <v>61492</v>
      </c>
      <c r="G1727" s="2" t="str">
        <f>IFERROR(__xludf.DUMMYFUNCTION("""COMPUTED_VALUE"""),"Pikabu Hydropower Co.")</f>
        <v>Pikabu Hydropower Co.</v>
      </c>
      <c r="H1727" s="2" t="str">
        <f>IFERROR(__xludf.DUMMYFUNCTION("""COMPUTED_VALUE"""),"Kathmadu-10, Baneshwor")</f>
        <v>Kathmadu-10, Baneshwor</v>
      </c>
      <c r="I1727" s="2" t="str">
        <f>IFERROR(__xludf.DUMMYFUNCTION("""COMPUTED_VALUE"""),"28o 08' 50""")</f>
        <v>28o 08' 50"</v>
      </c>
      <c r="J1727" s="2" t="str">
        <f>IFERROR(__xludf.DUMMYFUNCTION("""COMPUTED_VALUE"""),"28o 09' 40""")</f>
        <v>28o 09' 40"</v>
      </c>
      <c r="K1727" s="2" t="str">
        <f>IFERROR(__xludf.DUMMYFUNCTION("""COMPUTED_VALUE"""),"85o 22' 15""")</f>
        <v>85o 22' 15"</v>
      </c>
      <c r="L1727" s="2" t="str">
        <f>IFERROR(__xludf.DUMMYFUNCTION("""COMPUTED_VALUE"""),"85o 25' 33""")</f>
        <v>85o 25' 33"</v>
      </c>
      <c r="M1727" s="2" t="str">
        <f>IFERROR(__xludf.DUMMYFUNCTION("""COMPUTED_VALUE"""),"Briddhim,Langtang,Syafru (Rasuwa)")</f>
        <v>Briddhim,Langtang,Syafru (Rasuwa)</v>
      </c>
    </row>
    <row r="1728">
      <c r="A1728" s="2">
        <f>IFERROR(__xludf.DUMMYFUNCTION("""COMPUTED_VALUE"""),1727.0)</f>
        <v>1727</v>
      </c>
      <c r="B1728" s="2" t="str">
        <f>IFERROR(__xludf.DUMMYFUNCTION("""COMPUTED_VALUE"""),"Small Modi Khola Hydropower Project")</f>
        <v>Small Modi Khola Hydropower Project</v>
      </c>
      <c r="C1728" s="2">
        <f>IFERROR(__xludf.DUMMYFUNCTION("""COMPUTED_VALUE"""),6.96)</f>
        <v>6.96</v>
      </c>
      <c r="D1728" s="2" t="str">
        <f>IFERROR(__xludf.DUMMYFUNCTION("""COMPUTED_VALUE"""),"Modi Khola")</f>
        <v>Modi Khola</v>
      </c>
      <c r="E1728" s="2">
        <f>IFERROR(__xludf.DUMMYFUNCTION("""COMPUTED_VALUE"""),469.0)</f>
        <v>469</v>
      </c>
      <c r="F1728" s="3">
        <f>IFERROR(__xludf.DUMMYFUNCTION("""COMPUTED_VALUE"""),61503.0)</f>
        <v>61503</v>
      </c>
      <c r="G1728" s="2" t="str">
        <f>IFERROR(__xludf.DUMMYFUNCTION("""COMPUTED_VALUE"""),"Pikabu Hydropower Company Pvt. Ltd.")</f>
        <v>Pikabu Hydropower Company Pvt. Ltd.</v>
      </c>
      <c r="H1728" s="2" t="str">
        <f>IFERROR(__xludf.DUMMYFUNCTION("""COMPUTED_VALUE"""),"Kathmandu-9, Gaushala, P. O. Box : 21372")</f>
        <v>Kathmandu-9, Gaushala, P. O. Box : 21372</v>
      </c>
      <c r="I1728" s="2" t="str">
        <f>IFERROR(__xludf.DUMMYFUNCTION("""COMPUTED_VALUE"""),"28o 24' 07""")</f>
        <v>28o 24' 07"</v>
      </c>
      <c r="J1728" s="2" t="str">
        <f>IFERROR(__xludf.DUMMYFUNCTION("""COMPUTED_VALUE"""),"28o 25' 00""")</f>
        <v>28o 25' 00"</v>
      </c>
      <c r="K1728" s="2" t="str">
        <f>IFERROR(__xludf.DUMMYFUNCTION("""COMPUTED_VALUE"""),"83o 49' 20""")</f>
        <v>83o 49' 20"</v>
      </c>
      <c r="L1728" s="2" t="str">
        <f>IFERROR(__xludf.DUMMYFUNCTION("""COMPUTED_VALUE"""),"83o 50' 00""")</f>
        <v>83o 50' 00"</v>
      </c>
      <c r="M1728" s="2"/>
    </row>
    <row r="1729">
      <c r="A1729" s="2">
        <f>IFERROR(__xludf.DUMMYFUNCTION("""COMPUTED_VALUE"""),1728.0)</f>
        <v>1728</v>
      </c>
      <c r="B1729" s="2" t="str">
        <f>IFERROR(__xludf.DUMMYFUNCTION("""COMPUTED_VALUE"""),"Midim Khola A Small Hydropower Project")</f>
        <v>Midim Khola A Small Hydropower Project</v>
      </c>
      <c r="C1729" s="2">
        <f>IFERROR(__xludf.DUMMYFUNCTION("""COMPUTED_VALUE"""),9.4)</f>
        <v>9.4</v>
      </c>
      <c r="D1729" s="2" t="str">
        <f>IFERROR(__xludf.DUMMYFUNCTION("""COMPUTED_VALUE"""),"Midim Khola")</f>
        <v>Midim Khola</v>
      </c>
      <c r="E1729" s="2">
        <f>IFERROR(__xludf.DUMMYFUNCTION("""COMPUTED_VALUE"""),530.0)</f>
        <v>530</v>
      </c>
      <c r="F1729" s="3">
        <f>IFERROR(__xludf.DUMMYFUNCTION("""COMPUTED_VALUE"""),61510.0)</f>
        <v>61510</v>
      </c>
      <c r="G1729" s="2" t="str">
        <f>IFERROR(__xludf.DUMMYFUNCTION("""COMPUTED_VALUE"""),"Midim Hydropower Pvt. Ltd.")</f>
        <v>Midim Hydropower Pvt. Ltd.</v>
      </c>
      <c r="H1729" s="2" t="str">
        <f>IFERROR(__xludf.DUMMYFUNCTION("""COMPUTED_VALUE"""),"Maharajgunj, Kathmandu, Phone: 9841483800, 9841180065")</f>
        <v>Maharajgunj, Kathmandu, Phone: 9841483800, 9841180065</v>
      </c>
      <c r="I1729" s="2" t="str">
        <f>IFERROR(__xludf.DUMMYFUNCTION("""COMPUTED_VALUE"""),"28o 15' 00""")</f>
        <v>28o 15' 00"</v>
      </c>
      <c r="J1729" s="2" t="str">
        <f>IFERROR(__xludf.DUMMYFUNCTION("""COMPUTED_VALUE"""),"28o 17' 55""")</f>
        <v>28o 17' 55"</v>
      </c>
      <c r="K1729" s="2" t="str">
        <f>IFERROR(__xludf.DUMMYFUNCTION("""COMPUTED_VALUE"""),"84o 15' 00""")</f>
        <v>84o 15' 00"</v>
      </c>
      <c r="L1729" s="2" t="str">
        <f>IFERROR(__xludf.DUMMYFUNCTION("""COMPUTED_VALUE"""),"84o 17' 00""")</f>
        <v>84o 17' 00"</v>
      </c>
      <c r="M1729" s="2" t="str">
        <f>IFERROR(__xludf.DUMMYFUNCTION("""COMPUTED_VALUE"""),"Bhoje,Bhujung (Lamjung)")</f>
        <v>Bhoje,Bhujung (Lamjung)</v>
      </c>
    </row>
    <row r="1730">
      <c r="A1730" s="2">
        <f>IFERROR(__xludf.DUMMYFUNCTION("""COMPUTED_VALUE"""),1729.0)</f>
        <v>1729</v>
      </c>
      <c r="B1730" s="2" t="str">
        <f>IFERROR(__xludf.DUMMYFUNCTION("""COMPUTED_VALUE"""),"Ghandruk Modi-II")</f>
        <v>Ghandruk Modi-II</v>
      </c>
      <c r="C1730" s="2">
        <f>IFERROR(__xludf.DUMMYFUNCTION("""COMPUTED_VALUE"""),4.0)</f>
        <v>4</v>
      </c>
      <c r="D1730" s="2" t="str">
        <f>IFERROR(__xludf.DUMMYFUNCTION("""COMPUTED_VALUE"""),"Modi Khola")</f>
        <v>Modi Khola</v>
      </c>
      <c r="E1730" s="2">
        <f>IFERROR(__xludf.DUMMYFUNCTION("""COMPUTED_VALUE"""),575.0)</f>
        <v>575</v>
      </c>
      <c r="F1730" s="3">
        <f>IFERROR(__xludf.DUMMYFUNCTION("""COMPUTED_VALUE"""),61513.0)</f>
        <v>61513</v>
      </c>
      <c r="G1730" s="2" t="str">
        <f>IFERROR(__xludf.DUMMYFUNCTION("""COMPUTED_VALUE"""),"raksha energy Pvt. Ltd., Kathmandu")</f>
        <v>raksha energy Pvt. Ltd., Kathmandu</v>
      </c>
      <c r="H1730" s="2" t="str">
        <f>IFERROR(__xludf.DUMMYFUNCTION("""COMPUTED_VALUE"""),"Phone No. 014782273, 9851025355")</f>
        <v>Phone No. 014782273, 9851025355</v>
      </c>
      <c r="I1730" s="2" t="str">
        <f>IFERROR(__xludf.DUMMYFUNCTION("""COMPUTED_VALUE"""),"28o 24' 07""")</f>
        <v>28o 24' 07"</v>
      </c>
      <c r="J1730" s="2" t="str">
        <f>IFERROR(__xludf.DUMMYFUNCTION("""COMPUTED_VALUE"""),"28o 24' 26""")</f>
        <v>28o 24' 26"</v>
      </c>
      <c r="K1730" s="2" t="str">
        <f>IFERROR(__xludf.DUMMYFUNCTION("""COMPUTED_VALUE"""),"83o 49' 14""")</f>
        <v>83o 49' 14"</v>
      </c>
      <c r="L1730" s="2" t="str">
        <f>IFERROR(__xludf.DUMMYFUNCTION("""COMPUTED_VALUE"""),"83o 50' 11""")</f>
        <v>83o 50' 11"</v>
      </c>
      <c r="M1730" s="2" t="str">
        <f>IFERROR(__xludf.DUMMYFUNCTION("""COMPUTED_VALUE"""),"Ghandruk,Lumle (Kaski)")</f>
        <v>Ghandruk,Lumle (Kaski)</v>
      </c>
    </row>
    <row r="1731">
      <c r="A1731" s="2">
        <f>IFERROR(__xludf.DUMMYFUNCTION("""COMPUTED_VALUE"""),1730.0)</f>
        <v>1730</v>
      </c>
      <c r="B1731" s="2" t="str">
        <f>IFERROR(__xludf.DUMMYFUNCTION("""COMPUTED_VALUE"""),"Ghandruk Modi-I")</f>
        <v>Ghandruk Modi-I</v>
      </c>
      <c r="C1731" s="2">
        <f>IFERROR(__xludf.DUMMYFUNCTION("""COMPUTED_VALUE"""),6.66)</f>
        <v>6.66</v>
      </c>
      <c r="D1731" s="2" t="str">
        <f>IFERROR(__xludf.DUMMYFUNCTION("""COMPUTED_VALUE"""),"Modi Khola")</f>
        <v>Modi Khola</v>
      </c>
      <c r="E1731" s="2">
        <f>IFERROR(__xludf.DUMMYFUNCTION("""COMPUTED_VALUE"""),576.0)</f>
        <v>576</v>
      </c>
      <c r="F1731" s="3">
        <f>IFERROR(__xludf.DUMMYFUNCTION("""COMPUTED_VALUE"""),61513.0)</f>
        <v>61513</v>
      </c>
      <c r="G1731" s="2" t="str">
        <f>IFERROR(__xludf.DUMMYFUNCTION("""COMPUTED_VALUE"""),"Raksha Energy Pvt. Ltd., kathmandu")</f>
        <v>Raksha Energy Pvt. Ltd., kathmandu</v>
      </c>
      <c r="H1731" s="2" t="str">
        <f>IFERROR(__xludf.DUMMYFUNCTION("""COMPUTED_VALUE"""),"Phone No. 014782273, 9851025355")</f>
        <v>Phone No. 014782273, 9851025355</v>
      </c>
      <c r="I1731" s="2" t="str">
        <f>IFERROR(__xludf.DUMMYFUNCTION("""COMPUTED_VALUE"""),"28o 24' 26""")</f>
        <v>28o 24' 26"</v>
      </c>
      <c r="J1731" s="2" t="str">
        <f>IFERROR(__xludf.DUMMYFUNCTION("""COMPUTED_VALUE"""),"28o 25' 00""")</f>
        <v>28o 25' 00"</v>
      </c>
      <c r="K1731" s="2" t="str">
        <f>IFERROR(__xludf.DUMMYFUNCTION("""COMPUTED_VALUE"""),"83o 49' 14""")</f>
        <v>83o 49' 14"</v>
      </c>
      <c r="L1731" s="2" t="str">
        <f>IFERROR(__xludf.DUMMYFUNCTION("""COMPUTED_VALUE"""),"83o 50' 11""")</f>
        <v>83o 50' 11"</v>
      </c>
      <c r="M1731" s="2" t="str">
        <f>IFERROR(__xludf.DUMMYFUNCTION("""COMPUTED_VALUE"""),"Ghandruk,Lumle (Kaski)")</f>
        <v>Ghandruk,Lumle (Kaski)</v>
      </c>
    </row>
    <row r="1732">
      <c r="A1732" s="2">
        <f>IFERROR(__xludf.DUMMYFUNCTION("""COMPUTED_VALUE"""),1731.0)</f>
        <v>1731</v>
      </c>
      <c r="B1732" s="2" t="str">
        <f>IFERROR(__xludf.DUMMYFUNCTION("""COMPUTED_VALUE"""),"Upper Budhi Gandaki HPP")</f>
        <v>Upper Budhi Gandaki HPP</v>
      </c>
      <c r="C1732" s="2">
        <f>IFERROR(__xludf.DUMMYFUNCTION("""COMPUTED_VALUE"""),1.0)</f>
        <v>1</v>
      </c>
      <c r="D1732" s="2" t="str">
        <f>IFERROR(__xludf.DUMMYFUNCTION("""COMPUTED_VALUE"""),"Budhi Gandaki")</f>
        <v>Budhi Gandaki</v>
      </c>
      <c r="E1732" s="2">
        <f>IFERROR(__xludf.DUMMYFUNCTION("""COMPUTED_VALUE"""),614.0)</f>
        <v>614</v>
      </c>
      <c r="F1732" s="3">
        <f>IFERROR(__xludf.DUMMYFUNCTION("""COMPUTED_VALUE"""),61520.0)</f>
        <v>61520</v>
      </c>
      <c r="G1732" s="2" t="str">
        <f>IFERROR(__xludf.DUMMYFUNCTION("""COMPUTED_VALUE"""),"Ms Ambika Kafle")</f>
        <v>Ms Ambika Kafle</v>
      </c>
      <c r="H1732" s="2" t="str">
        <f>IFERROR(__xludf.DUMMYFUNCTION("""COMPUTED_VALUE"""),"Dhapasi VDC, Ward No. 9, Basundhara, Kathmandu, Phone : 9841560313, 4354767")</f>
        <v>Dhapasi VDC, Ward No. 9, Basundhara, Kathmandu, Phone : 9841560313, 4354767</v>
      </c>
      <c r="I1732" s="2" t="str">
        <f>IFERROR(__xludf.DUMMYFUNCTION("""COMPUTED_VALUE"""),"28o 26' 25""")</f>
        <v>28o 26' 25"</v>
      </c>
      <c r="J1732" s="2" t="str">
        <f>IFERROR(__xludf.DUMMYFUNCTION("""COMPUTED_VALUE"""),"28o 30' 00""")</f>
        <v>28o 30' 00"</v>
      </c>
      <c r="K1732" s="2" t="str">
        <f>IFERROR(__xludf.DUMMYFUNCTION("""COMPUTED_VALUE"""),"84o 50' 00""")</f>
        <v>84o 50' 00"</v>
      </c>
      <c r="L1732" s="2" t="str">
        <f>IFERROR(__xludf.DUMMYFUNCTION("""COMPUTED_VALUE"""),"84o 55' 00""")</f>
        <v>84o 55' 00"</v>
      </c>
      <c r="M1732" s="2" t="str">
        <f>IFERROR(__xludf.DUMMYFUNCTION("""COMPUTED_VALUE"""),"Sirdibas (Gorkha)")</f>
        <v>Sirdibas (Gorkha)</v>
      </c>
    </row>
    <row r="1733">
      <c r="A1733" s="2">
        <f>IFERROR(__xludf.DUMMYFUNCTION("""COMPUTED_VALUE"""),1732.0)</f>
        <v>1732</v>
      </c>
      <c r="B1733" s="2" t="str">
        <f>IFERROR(__xludf.DUMMYFUNCTION("""COMPUTED_VALUE"""),"Balephi - A")</f>
        <v>Balephi - A</v>
      </c>
      <c r="C1733" s="2">
        <f>IFERROR(__xludf.DUMMYFUNCTION("""COMPUTED_VALUE"""),6.48)</f>
        <v>6.48</v>
      </c>
      <c r="D1733" s="2" t="str">
        <f>IFERROR(__xludf.DUMMYFUNCTION("""COMPUTED_VALUE"""),"Balephi")</f>
        <v>Balephi</v>
      </c>
      <c r="E1733" s="2">
        <f>IFERROR(__xludf.DUMMYFUNCTION("""COMPUTED_VALUE"""),616.0)</f>
        <v>616</v>
      </c>
      <c r="F1733" s="3">
        <f>IFERROR(__xludf.DUMMYFUNCTION("""COMPUTED_VALUE"""),61520.0)</f>
        <v>61520</v>
      </c>
      <c r="G1733" s="2" t="str">
        <f>IFERROR(__xludf.DUMMYFUNCTION("""COMPUTED_VALUE"""),"Birendra Bahadur Neupane")</f>
        <v>Birendra Bahadur Neupane</v>
      </c>
      <c r="H1733" s="2" t="str">
        <f>IFERROR(__xludf.DUMMYFUNCTION("""COMPUTED_VALUE"""),"Nayabaneshwor, Thapagaun, 9851085922")</f>
        <v>Nayabaneshwor, Thapagaun, 9851085922</v>
      </c>
      <c r="I1733" s="2" t="str">
        <f>IFERROR(__xludf.DUMMYFUNCTION("""COMPUTED_VALUE"""),"27o 56' 54""")</f>
        <v>27o 56' 54"</v>
      </c>
      <c r="J1733" s="2" t="str">
        <f>IFERROR(__xludf.DUMMYFUNCTION("""COMPUTED_VALUE"""),"27o 57' 03""")</f>
        <v>27o 57' 03"</v>
      </c>
      <c r="K1733" s="2" t="str">
        <f>IFERROR(__xludf.DUMMYFUNCTION("""COMPUTED_VALUE"""),"85o 46' 50""")</f>
        <v>85o 46' 50"</v>
      </c>
      <c r="L1733" s="2" t="str">
        <f>IFERROR(__xludf.DUMMYFUNCTION("""COMPUTED_VALUE"""),"85o 48' 30""")</f>
        <v>85o 48' 30"</v>
      </c>
      <c r="M1733" s="2" t="str">
        <f>IFERROR(__xludf.DUMMYFUNCTION("""COMPUTED_VALUE"""),"Golche,Gumba (Sindhupalchok)")</f>
        <v>Golche,Gumba (Sindhupalchok)</v>
      </c>
    </row>
    <row r="1734">
      <c r="A1734" s="2">
        <f>IFERROR(__xludf.DUMMYFUNCTION("""COMPUTED_VALUE"""),1733.0)</f>
        <v>1733</v>
      </c>
      <c r="B1734" s="2" t="str">
        <f>IFERROR(__xludf.DUMMYFUNCTION("""COMPUTED_VALUE"""),"Lower Hewa 1")</f>
        <v>Lower Hewa 1</v>
      </c>
      <c r="C1734" s="2">
        <f>IFERROR(__xludf.DUMMYFUNCTION("""COMPUTED_VALUE"""),2.078)</f>
        <v>2.078</v>
      </c>
      <c r="D1734" s="2" t="str">
        <f>IFERROR(__xludf.DUMMYFUNCTION("""COMPUTED_VALUE"""),"Hewa Khola")</f>
        <v>Hewa Khola</v>
      </c>
      <c r="E1734" s="2">
        <f>IFERROR(__xludf.DUMMYFUNCTION("""COMPUTED_VALUE"""),627.0)</f>
        <v>627</v>
      </c>
      <c r="F1734" s="3">
        <f>IFERROR(__xludf.DUMMYFUNCTION("""COMPUTED_VALUE"""),61523.0)</f>
        <v>61523</v>
      </c>
      <c r="G1734" s="2" t="str">
        <f>IFERROR(__xludf.DUMMYFUNCTION("""COMPUTED_VALUE"""),"Sushila Thapa")</f>
        <v>Sushila Thapa</v>
      </c>
      <c r="H1734" s="2" t="str">
        <f>IFERROR(__xludf.DUMMYFUNCTION("""COMPUTED_VALUE"""),"Wana VDC -5, Sankhuwasabha, 9841379719")</f>
        <v>Wana VDC -5, Sankhuwasabha, 9841379719</v>
      </c>
      <c r="I1734" s="2" t="str">
        <f>IFERROR(__xludf.DUMMYFUNCTION("""COMPUTED_VALUE"""),"27o 18' 21""")</f>
        <v>27o 18' 21"</v>
      </c>
      <c r="J1734" s="2" t="str">
        <f>IFERROR(__xludf.DUMMYFUNCTION("""COMPUTED_VALUE"""),"27o 19' 25""")</f>
        <v>27o 19' 25"</v>
      </c>
      <c r="K1734" s="2" t="str">
        <f>IFERROR(__xludf.DUMMYFUNCTION("""COMPUTED_VALUE"""),"87o 17' 35""")</f>
        <v>87o 17' 35"</v>
      </c>
      <c r="L1734" s="2" t="str">
        <f>IFERROR(__xludf.DUMMYFUNCTION("""COMPUTED_VALUE"""),"87o 19' 19""")</f>
        <v>87o 19' 19"</v>
      </c>
      <c r="M1734" s="2" t="str">
        <f>IFERROR(__xludf.DUMMYFUNCTION("""COMPUTED_VALUE"""),"Jaljala,Chainpur,Bana (Sankhuwasabha)")</f>
        <v>Jaljala,Chainpur,Bana (Sankhuwasabha)</v>
      </c>
    </row>
    <row r="1735">
      <c r="A1735" s="2">
        <f>IFERROR(__xludf.DUMMYFUNCTION("""COMPUTED_VALUE"""),1734.0)</f>
        <v>1734</v>
      </c>
      <c r="B1735" s="2" t="str">
        <f>IFERROR(__xludf.DUMMYFUNCTION("""COMPUTED_VALUE"""),"Open River turbine Sunkoshi IV")</f>
        <v>Open River turbine Sunkoshi IV</v>
      </c>
      <c r="C1735" s="2">
        <f>IFERROR(__xludf.DUMMYFUNCTION("""COMPUTED_VALUE"""),0.6)</f>
        <v>0.6</v>
      </c>
      <c r="D1735" s="2" t="str">
        <f>IFERROR(__xludf.DUMMYFUNCTION("""COMPUTED_VALUE"""),"Surnaya gad")</f>
        <v>Surnaya gad</v>
      </c>
      <c r="E1735" s="2"/>
      <c r="F1735" s="3">
        <f>IFERROR(__xludf.DUMMYFUNCTION("""COMPUTED_VALUE"""),61544.0)</f>
        <v>61544</v>
      </c>
      <c r="G1735" s="2" t="str">
        <f>IFERROR(__xludf.DUMMYFUNCTION("""COMPUTED_VALUE"""),"Makalu Power Tech P Ltd.")</f>
        <v>Makalu Power Tech P Ltd.</v>
      </c>
      <c r="H1735" s="2" t="str">
        <f>IFERROR(__xludf.DUMMYFUNCTION("""COMPUTED_VALUE"""),"Sainbu - 8, Bhainsepati, 9851118394")</f>
        <v>Sainbu - 8, Bhainsepati, 9851118394</v>
      </c>
      <c r="I1735" s="2" t="str">
        <f>IFERROR(__xludf.DUMMYFUNCTION("""COMPUTED_VALUE"""),"00o 00' 00""")</f>
        <v>00o 00' 00"</v>
      </c>
      <c r="J1735" s="2" t="str">
        <f>IFERROR(__xludf.DUMMYFUNCTION("""COMPUTED_VALUE"""),"00o 00' 00""")</f>
        <v>00o 00' 00"</v>
      </c>
      <c r="K1735" s="2" t="str">
        <f>IFERROR(__xludf.DUMMYFUNCTION("""COMPUTED_VALUE"""),"00o 00' 00""")</f>
        <v>00o 00' 00"</v>
      </c>
      <c r="L1735" s="2" t="str">
        <f>IFERROR(__xludf.DUMMYFUNCTION("""COMPUTED_VALUE"""),"00o 00' 00""")</f>
        <v>00o 00' 00"</v>
      </c>
      <c r="M1735" s="2"/>
    </row>
    <row r="1736">
      <c r="A1736" s="2">
        <f>IFERROR(__xludf.DUMMYFUNCTION("""COMPUTED_VALUE"""),1735.0)</f>
        <v>1735</v>
      </c>
      <c r="B1736" s="2" t="str">
        <f>IFERROR(__xludf.DUMMYFUNCTION("""COMPUTED_VALUE"""),"Open River turbine Sunkoshi II")</f>
        <v>Open River turbine Sunkoshi II</v>
      </c>
      <c r="C1736" s="2">
        <f>IFERROR(__xludf.DUMMYFUNCTION("""COMPUTED_VALUE"""),0.6)</f>
        <v>0.6</v>
      </c>
      <c r="D1736" s="2" t="str">
        <f>IFERROR(__xludf.DUMMYFUNCTION("""COMPUTED_VALUE"""),"Sun Koshi")</f>
        <v>Sun Koshi</v>
      </c>
      <c r="E1736" s="2"/>
      <c r="F1736" s="3">
        <f>IFERROR(__xludf.DUMMYFUNCTION("""COMPUTED_VALUE"""),61544.0)</f>
        <v>61544</v>
      </c>
      <c r="G1736" s="2" t="str">
        <f>IFERROR(__xludf.DUMMYFUNCTION("""COMPUTED_VALUE"""),"Shakti Power Tech P Ltd, 9851093713")</f>
        <v>Shakti Power Tech P Ltd, 9851093713</v>
      </c>
      <c r="H1736" s="2" t="str">
        <f>IFERROR(__xludf.DUMMYFUNCTION("""COMPUTED_VALUE"""),"Kupandol - 10, Lalitpur")</f>
        <v>Kupandol - 10, Lalitpur</v>
      </c>
      <c r="I1736" s="2" t="str">
        <f>IFERROR(__xludf.DUMMYFUNCTION("""COMPUTED_VALUE"""),"00o 00' 00""")</f>
        <v>00o 00' 00"</v>
      </c>
      <c r="J1736" s="2" t="str">
        <f>IFERROR(__xludf.DUMMYFUNCTION("""COMPUTED_VALUE"""),"00o 00' 00""")</f>
        <v>00o 00' 00"</v>
      </c>
      <c r="K1736" s="2" t="str">
        <f>IFERROR(__xludf.DUMMYFUNCTION("""COMPUTED_VALUE"""),"00o 00' 00""")</f>
        <v>00o 00' 00"</v>
      </c>
      <c r="L1736" s="2" t="str">
        <f>IFERROR(__xludf.DUMMYFUNCTION("""COMPUTED_VALUE"""),"00o 00' 00""")</f>
        <v>00o 00' 00"</v>
      </c>
      <c r="M1736" s="2" t="str">
        <f>IFERROR(__xludf.DUMMYFUNCTION("""COMPUTED_VALUE"""),"Bhujee (Ramechhap)")</f>
        <v>Bhujee (Ramechhap)</v>
      </c>
    </row>
    <row r="1737">
      <c r="A1737" s="2">
        <f>IFERROR(__xludf.DUMMYFUNCTION("""COMPUTED_VALUE"""),1736.0)</f>
        <v>1736</v>
      </c>
      <c r="B1737" s="2" t="str">
        <f>IFERROR(__xludf.DUMMYFUNCTION("""COMPUTED_VALUE"""),"Open River turbine Sunkoshi")</f>
        <v>Open River turbine Sunkoshi</v>
      </c>
      <c r="C1737" s="2">
        <f>IFERROR(__xludf.DUMMYFUNCTION("""COMPUTED_VALUE"""),0.6)</f>
        <v>0.6</v>
      </c>
      <c r="D1737" s="2"/>
      <c r="E1737" s="2"/>
      <c r="F1737" s="3">
        <f>IFERROR(__xludf.DUMMYFUNCTION("""COMPUTED_VALUE"""),61544.0)</f>
        <v>61544</v>
      </c>
      <c r="G1737" s="2" t="str">
        <f>IFERROR(__xludf.DUMMYFUNCTION("""COMPUTED_VALUE"""),"Mahendra Kumar Paudel")</f>
        <v>Mahendra Kumar Paudel</v>
      </c>
      <c r="H1737" s="2" t="str">
        <f>IFERROR(__xludf.DUMMYFUNCTION("""COMPUTED_VALUE"""),"Kathmandu - 10, 9802033628")</f>
        <v>Kathmandu - 10, 9802033628</v>
      </c>
      <c r="I1737" s="2" t="str">
        <f>IFERROR(__xludf.DUMMYFUNCTION("""COMPUTED_VALUE"""),"00o 00' 00""")</f>
        <v>00o 00' 00"</v>
      </c>
      <c r="J1737" s="2" t="str">
        <f>IFERROR(__xludf.DUMMYFUNCTION("""COMPUTED_VALUE"""),"00o 00' 00""")</f>
        <v>00o 00' 00"</v>
      </c>
      <c r="K1737" s="2" t="str">
        <f>IFERROR(__xludf.DUMMYFUNCTION("""COMPUTED_VALUE"""),"00o 00' 00""")</f>
        <v>00o 00' 00"</v>
      </c>
      <c r="L1737" s="2" t="str">
        <f>IFERROR(__xludf.DUMMYFUNCTION("""COMPUTED_VALUE"""),"00o 00' 00""")</f>
        <v>00o 00' 00"</v>
      </c>
      <c r="M1737" s="2" t="str">
        <f>IFERROR(__xludf.DUMMYFUNCTION("""COMPUTED_VALUE"""),"Bhatauli (Ramechhap)")</f>
        <v>Bhatauli (Ramechhap)</v>
      </c>
    </row>
    <row r="1738">
      <c r="A1738" s="2">
        <f>IFERROR(__xludf.DUMMYFUNCTION("""COMPUTED_VALUE"""),1737.0)</f>
        <v>1737</v>
      </c>
      <c r="B1738" s="2" t="str">
        <f>IFERROR(__xludf.DUMMYFUNCTION("""COMPUTED_VALUE"""),"Open River turbine Sunkoshi III")</f>
        <v>Open River turbine Sunkoshi III</v>
      </c>
      <c r="C1738" s="2">
        <f>IFERROR(__xludf.DUMMYFUNCTION("""COMPUTED_VALUE"""),0.6)</f>
        <v>0.6</v>
      </c>
      <c r="D1738" s="2" t="str">
        <f>IFERROR(__xludf.DUMMYFUNCTION("""COMPUTED_VALUE"""),"Sun Koshi")</f>
        <v>Sun Koshi</v>
      </c>
      <c r="E1738" s="2"/>
      <c r="F1738" s="3">
        <f>IFERROR(__xludf.DUMMYFUNCTION("""COMPUTED_VALUE"""),61544.0)</f>
        <v>61544</v>
      </c>
      <c r="G1738" s="2" t="str">
        <f>IFERROR(__xludf.DUMMYFUNCTION("""COMPUTED_VALUE"""),"M M Power teh P Ltd")</f>
        <v>M M Power teh P Ltd</v>
      </c>
      <c r="H1738" s="2" t="str">
        <f>IFERROR(__xludf.DUMMYFUNCTION("""COMPUTED_VALUE"""),"Balkhu - 14, Kathmandu, 9851015001")</f>
        <v>Balkhu - 14, Kathmandu, 9851015001</v>
      </c>
      <c r="I1738" s="2" t="str">
        <f>IFERROR(__xludf.DUMMYFUNCTION("""COMPUTED_VALUE"""),"00o 00' 00""")</f>
        <v>00o 00' 00"</v>
      </c>
      <c r="J1738" s="2" t="str">
        <f>IFERROR(__xludf.DUMMYFUNCTION("""COMPUTED_VALUE"""),"00o 00' 00""")</f>
        <v>00o 00' 00"</v>
      </c>
      <c r="K1738" s="2" t="str">
        <f>IFERROR(__xludf.DUMMYFUNCTION("""COMPUTED_VALUE"""),"00o 00' 00""")</f>
        <v>00o 00' 00"</v>
      </c>
      <c r="L1738" s="2" t="str">
        <f>IFERROR(__xludf.DUMMYFUNCTION("""COMPUTED_VALUE"""),"00o 00' 00""")</f>
        <v>00o 00' 00"</v>
      </c>
      <c r="M1738" s="2"/>
    </row>
    <row r="1739">
      <c r="A1739" s="2">
        <f>IFERROR(__xludf.DUMMYFUNCTION("""COMPUTED_VALUE"""),1738.0)</f>
        <v>1738</v>
      </c>
      <c r="B1739" s="2" t="str">
        <f>IFERROR(__xludf.DUMMYFUNCTION("""COMPUTED_VALUE"""),"Open River turbine Saptakoshi")</f>
        <v>Open River turbine Saptakoshi</v>
      </c>
      <c r="C1739" s="2">
        <f>IFERROR(__xludf.DUMMYFUNCTION("""COMPUTED_VALUE"""),0.9)</f>
        <v>0.9</v>
      </c>
      <c r="D1739" s="2" t="str">
        <f>IFERROR(__xludf.DUMMYFUNCTION("""COMPUTED_VALUE"""),"Saptakoshi")</f>
        <v>Saptakoshi</v>
      </c>
      <c r="E1739" s="2"/>
      <c r="F1739" s="3">
        <f>IFERROR(__xludf.DUMMYFUNCTION("""COMPUTED_VALUE"""),61545.0)</f>
        <v>61545</v>
      </c>
      <c r="G1739" s="2" t="str">
        <f>IFERROR(__xludf.DUMMYFUNCTION("""COMPUTED_VALUE"""),"Prakash Baral/ Ramsharan Bhandari/ Tek Prasad Chalagain")</f>
        <v>Prakash Baral/ Ramsharan Bhandari/ Tek Prasad Chalagain</v>
      </c>
      <c r="H1739" s="2" t="str">
        <f>IFERROR(__xludf.DUMMYFUNCTION("""COMPUTED_VALUE"""),"Bhaktipur - 8 , Sarlahi")</f>
        <v>Bhaktipur - 8 , Sarlahi</v>
      </c>
      <c r="I1739" s="2" t="str">
        <f>IFERROR(__xludf.DUMMYFUNCTION("""COMPUTED_VALUE"""),"00o 00' 00""")</f>
        <v>00o 00' 00"</v>
      </c>
      <c r="J1739" s="2" t="str">
        <f>IFERROR(__xludf.DUMMYFUNCTION("""COMPUTED_VALUE"""),"00o 00' 00""")</f>
        <v>00o 00' 00"</v>
      </c>
      <c r="K1739" s="2" t="str">
        <f>IFERROR(__xludf.DUMMYFUNCTION("""COMPUTED_VALUE"""),"00o 00' 00""")</f>
        <v>00o 00' 00"</v>
      </c>
      <c r="L1739" s="2" t="str">
        <f>IFERROR(__xludf.DUMMYFUNCTION("""COMPUTED_VALUE"""),"00o 00' 00""")</f>
        <v>00o 00' 00"</v>
      </c>
      <c r="M1739" s="2" t="str">
        <f>IFERROR(__xludf.DUMMYFUNCTION("""COMPUTED_VALUE"""),"Marek Kataharl (Dhankuta)")</f>
        <v>Marek Kataharl (Dhankuta)</v>
      </c>
    </row>
    <row r="1740">
      <c r="A1740" s="2">
        <f>IFERROR(__xludf.DUMMYFUNCTION("""COMPUTED_VALUE"""),1739.0)</f>
        <v>1739</v>
      </c>
      <c r="B1740" s="2" t="str">
        <f>IFERROR(__xludf.DUMMYFUNCTION("""COMPUTED_VALUE"""),"Lower Liping")</f>
        <v>Lower Liping</v>
      </c>
      <c r="C1740" s="2">
        <f>IFERROR(__xludf.DUMMYFUNCTION("""COMPUTED_VALUE"""),0.94)</f>
        <v>0.94</v>
      </c>
      <c r="D1740" s="2" t="str">
        <f>IFERROR(__xludf.DUMMYFUNCTION("""COMPUTED_VALUE"""),"Liping")</f>
        <v>Liping</v>
      </c>
      <c r="E1740" s="2"/>
      <c r="F1740" s="3">
        <f>IFERROR(__xludf.DUMMYFUNCTION("""COMPUTED_VALUE"""),61551.0)</f>
        <v>61551</v>
      </c>
      <c r="G1740" s="2" t="str">
        <f>IFERROR(__xludf.DUMMYFUNCTION("""COMPUTED_VALUE"""),"Puskar devan")</f>
        <v>Puskar devan</v>
      </c>
      <c r="H1740" s="2" t="str">
        <f>IFERROR(__xludf.DUMMYFUNCTION("""COMPUTED_VALUE"""),"Kathmandu - 10, Mid Baneshowr, 4782765,4783532")</f>
        <v>Kathmandu - 10, Mid Baneshowr, 4782765,4783532</v>
      </c>
      <c r="I1740" s="2" t="str">
        <f>IFERROR(__xludf.DUMMYFUNCTION("""COMPUTED_VALUE"""),"27o 58' 06""")</f>
        <v>27o 58' 06"</v>
      </c>
      <c r="J1740" s="2" t="str">
        <f>IFERROR(__xludf.DUMMYFUNCTION("""COMPUTED_VALUE"""),"27o 58' 34""")</f>
        <v>27o 58' 34"</v>
      </c>
      <c r="K1740" s="2" t="str">
        <f>IFERROR(__xludf.DUMMYFUNCTION("""COMPUTED_VALUE"""),"85o 57' 02""")</f>
        <v>85o 57' 02"</v>
      </c>
      <c r="L1740" s="2" t="str">
        <f>IFERROR(__xludf.DUMMYFUNCTION("""COMPUTED_VALUE"""),"85o 57' 40""")</f>
        <v>85o 57' 40"</v>
      </c>
      <c r="M1740" s="2" t="str">
        <f>IFERROR(__xludf.DUMMYFUNCTION("""COMPUTED_VALUE"""),"Tatopani (Sindhupalchok)")</f>
        <v>Tatopani (Sindhupalchok)</v>
      </c>
    </row>
    <row r="1741">
      <c r="A1741" s="2">
        <f>IFERROR(__xludf.DUMMYFUNCTION("""COMPUTED_VALUE"""),1740.0)</f>
        <v>1740</v>
      </c>
      <c r="B1741" s="2" t="str">
        <f>IFERROR(__xludf.DUMMYFUNCTION("""COMPUTED_VALUE"""),"Bekhu Khola")</f>
        <v>Bekhu Khola</v>
      </c>
      <c r="C1741" s="2">
        <f>IFERROR(__xludf.DUMMYFUNCTION("""COMPUTED_VALUE"""),0.99)</f>
        <v>0.99</v>
      </c>
      <c r="D1741" s="2" t="str">
        <f>IFERROR(__xludf.DUMMYFUNCTION("""COMPUTED_VALUE"""),"Belkhu Khola")</f>
        <v>Belkhu Khola</v>
      </c>
      <c r="E1741" s="2"/>
      <c r="F1741" s="3">
        <f>IFERROR(__xludf.DUMMYFUNCTION("""COMPUTED_VALUE"""),61552.0)</f>
        <v>61552</v>
      </c>
      <c r="G1741" s="2" t="str">
        <f>IFERROR(__xludf.DUMMYFUNCTION("""COMPUTED_VALUE"""),"Rabi khadka/ Goma Panthi")</f>
        <v>Rabi khadka/ Goma Panthi</v>
      </c>
      <c r="H1741" s="2" t="str">
        <f>IFERROR(__xludf.DUMMYFUNCTION("""COMPUTED_VALUE"""),"Bhaktapur-5, 9851038623")</f>
        <v>Bhaktapur-5, 9851038623</v>
      </c>
      <c r="I1741" s="2" t="str">
        <f>IFERROR(__xludf.DUMMYFUNCTION("""COMPUTED_VALUE"""),"27o 42' 54""")</f>
        <v>27o 42' 54"</v>
      </c>
      <c r="J1741" s="2" t="str">
        <f>IFERROR(__xludf.DUMMYFUNCTION("""COMPUTED_VALUE"""),"27o 43' 30""")</f>
        <v>27o 43' 30"</v>
      </c>
      <c r="K1741" s="2" t="str">
        <f>IFERROR(__xludf.DUMMYFUNCTION("""COMPUTED_VALUE"""),"84o 56' 53""")</f>
        <v>84o 56' 53"</v>
      </c>
      <c r="L1741" s="2" t="str">
        <f>IFERROR(__xludf.DUMMYFUNCTION("""COMPUTED_VALUE"""),"84o 57' 53""")</f>
        <v>84o 57' 53"</v>
      </c>
      <c r="M1741" s="2" t="str">
        <f>IFERROR(__xludf.DUMMYFUNCTION("""COMPUTED_VALUE"""),"Kiranchok (Dhading)")</f>
        <v>Kiranchok (Dhading)</v>
      </c>
    </row>
    <row r="1742">
      <c r="A1742" s="2">
        <f>IFERROR(__xludf.DUMMYFUNCTION("""COMPUTED_VALUE"""),1741.0)</f>
        <v>1741</v>
      </c>
      <c r="B1742" s="2" t="str">
        <f>IFERROR(__xludf.DUMMYFUNCTION("""COMPUTED_VALUE"""),"Andheri khola")</f>
        <v>Andheri khola</v>
      </c>
      <c r="C1742" s="2">
        <f>IFERROR(__xludf.DUMMYFUNCTION("""COMPUTED_VALUE"""),0.99)</f>
        <v>0.99</v>
      </c>
      <c r="D1742" s="2" t="str">
        <f>IFERROR(__xludf.DUMMYFUNCTION("""COMPUTED_VALUE"""),"Andheri Khola")</f>
        <v>Andheri Khola</v>
      </c>
      <c r="E1742" s="2">
        <f>IFERROR(__xludf.DUMMYFUNCTION("""COMPUTED_VALUE"""),868.0)</f>
        <v>868</v>
      </c>
      <c r="F1742" s="3">
        <f>IFERROR(__xludf.DUMMYFUNCTION("""COMPUTED_VALUE"""),61561.0)</f>
        <v>61561</v>
      </c>
      <c r="G1742" s="2" t="str">
        <f>IFERROR(__xludf.DUMMYFUNCTION("""COMPUTED_VALUE"""),"Natural hydropower P Ltd")</f>
        <v>Natural hydropower P Ltd</v>
      </c>
      <c r="H1742" s="2" t="str">
        <f>IFERROR(__xludf.DUMMYFUNCTION("""COMPUTED_VALUE"""),"Kathmandu - 9, Gairigaon Tinkune")</f>
        <v>Kathmandu - 9, Gairigaon Tinkune</v>
      </c>
      <c r="I1742" s="2" t="str">
        <f>IFERROR(__xludf.DUMMYFUNCTION("""COMPUTED_VALUE"""),"28o 00' 50""")</f>
        <v>28o 00' 50"</v>
      </c>
      <c r="J1742" s="2" t="str">
        <f>IFERROR(__xludf.DUMMYFUNCTION("""COMPUTED_VALUE"""),"28o 01' 56""")</f>
        <v>28o 01' 56"</v>
      </c>
      <c r="K1742" s="2" t="str">
        <f>IFERROR(__xludf.DUMMYFUNCTION("""COMPUTED_VALUE"""),"85o 10' 00""")</f>
        <v>85o 10' 00"</v>
      </c>
      <c r="L1742" s="2" t="str">
        <f>IFERROR(__xludf.DUMMYFUNCTION("""COMPUTED_VALUE"""),"85o 11' 24""")</f>
        <v>85o 11' 24"</v>
      </c>
      <c r="M1742" s="2" t="str">
        <f>IFERROR(__xludf.DUMMYFUNCTION("""COMPUTED_VALUE"""),"Manakamana (Nuwakot)")</f>
        <v>Manakamana (Nuwakot)</v>
      </c>
    </row>
    <row r="1743">
      <c r="A1743" s="2">
        <f>IFERROR(__xludf.DUMMYFUNCTION("""COMPUTED_VALUE"""),1742.0)</f>
        <v>1742</v>
      </c>
      <c r="B1743" s="2" t="str">
        <f>IFERROR(__xludf.DUMMYFUNCTION("""COMPUTED_VALUE"""),"Kotre Khola SHP")</f>
        <v>Kotre Khola SHP</v>
      </c>
      <c r="C1743" s="2">
        <f>IFERROR(__xludf.DUMMYFUNCTION("""COMPUTED_VALUE"""),1.025)</f>
        <v>1.025</v>
      </c>
      <c r="D1743" s="2" t="str">
        <f>IFERROR(__xludf.DUMMYFUNCTION("""COMPUTED_VALUE"""),"Kotre Khola")</f>
        <v>Kotre Khola</v>
      </c>
      <c r="E1743" s="2">
        <f>IFERROR(__xludf.DUMMYFUNCTION("""COMPUTED_VALUE"""),990.0)</f>
        <v>990</v>
      </c>
      <c r="F1743" s="3">
        <f>IFERROR(__xludf.DUMMYFUNCTION("""COMPUTED_VALUE"""),61581.0)</f>
        <v>61581</v>
      </c>
      <c r="G1743" s="2" t="str">
        <f>IFERROR(__xludf.DUMMYFUNCTION("""COMPUTED_VALUE"""),"Mr. Som Nath Poudel, Mr. Dipendra Nath poudel and Mr kumar Bhandari")</f>
        <v>Mr. Som Nath Poudel, Mr. Dipendra Nath poudel and Mr kumar Bhandari</v>
      </c>
      <c r="H1743" s="2" t="str">
        <f>IFERROR(__xludf.DUMMYFUNCTION("""COMPUTED_VALUE"""),"Syanja, Kaski, Syanja")</f>
        <v>Syanja, Kaski, Syanja</v>
      </c>
      <c r="I1743" s="2" t="str">
        <f>IFERROR(__xludf.DUMMYFUNCTION("""COMPUTED_VALUE"""),"28o 05' 00""")</f>
        <v>28o 05' 00"</v>
      </c>
      <c r="J1743" s="2" t="str">
        <f>IFERROR(__xludf.DUMMYFUNCTION("""COMPUTED_VALUE"""),"28o 07' 00""")</f>
        <v>28o 07' 00"</v>
      </c>
      <c r="K1743" s="2" t="str">
        <f>IFERROR(__xludf.DUMMYFUNCTION("""COMPUTED_VALUE"""),"84o 03' 30""")</f>
        <v>84o 03' 30"</v>
      </c>
      <c r="L1743" s="2" t="str">
        <f>IFERROR(__xludf.DUMMYFUNCTION("""COMPUTED_VALUE"""),"84o 06' 30""")</f>
        <v>84o 06' 30"</v>
      </c>
      <c r="M1743" s="2" t="str">
        <f>IFERROR(__xludf.DUMMYFUNCTION("""COMPUTED_VALUE"""),"Lekhnath (Kaski)")</f>
        <v>Lekhnath (Kaski)</v>
      </c>
    </row>
    <row r="1744">
      <c r="A1744" s="2">
        <f>IFERROR(__xludf.DUMMYFUNCTION("""COMPUTED_VALUE"""),1743.0)</f>
        <v>1743</v>
      </c>
      <c r="B1744" s="2" t="str">
        <f>IFERROR(__xludf.DUMMYFUNCTION("""COMPUTED_VALUE"""),"Hewa Khola Small")</f>
        <v>Hewa Khola Small</v>
      </c>
      <c r="C1744" s="2">
        <f>IFERROR(__xludf.DUMMYFUNCTION("""COMPUTED_VALUE"""),0.981)</f>
        <v>0.981</v>
      </c>
      <c r="D1744" s="2" t="str">
        <f>IFERROR(__xludf.DUMMYFUNCTION("""COMPUTED_VALUE"""),"Hewa Khola")</f>
        <v>Hewa Khola</v>
      </c>
      <c r="E1744" s="2">
        <f>IFERROR(__xludf.DUMMYFUNCTION("""COMPUTED_VALUE"""),1034.0)</f>
        <v>1034</v>
      </c>
      <c r="F1744" s="3">
        <f>IFERROR(__xludf.DUMMYFUNCTION("""COMPUTED_VALUE"""),61584.0)</f>
        <v>61584</v>
      </c>
      <c r="G1744" s="2" t="str">
        <f>IFERROR(__xludf.DUMMYFUNCTION("""COMPUTED_VALUE"""),"Tara Bahadur Isbo Limbu, gajendra Isbo Limbu")</f>
        <v>Tara Bahadur Isbo Limbu, gajendra Isbo Limbu</v>
      </c>
      <c r="H1744" s="2" t="str">
        <f>IFERROR(__xludf.DUMMYFUNCTION("""COMPUTED_VALUE"""),"Khamlabung, Tehrathum, Phone 9841150187")</f>
        <v>Khamlabung, Tehrathum, Phone 9841150187</v>
      </c>
      <c r="I1744" s="2" t="str">
        <f>IFERROR(__xludf.DUMMYFUNCTION("""COMPUTED_VALUE"""),"27o 08' 55""")</f>
        <v>27o 08' 55"</v>
      </c>
      <c r="J1744" s="2" t="str">
        <f>IFERROR(__xludf.DUMMYFUNCTION("""COMPUTED_VALUE"""),"27o 09' 21""")</f>
        <v>27o 09' 21"</v>
      </c>
      <c r="K1744" s="2" t="str">
        <f>IFERROR(__xludf.DUMMYFUNCTION("""COMPUTED_VALUE"""),"87o 42' 23""")</f>
        <v>87o 42' 23"</v>
      </c>
      <c r="L1744" s="2" t="str">
        <f>IFERROR(__xludf.DUMMYFUNCTION("""COMPUTED_VALUE"""),"87o 44' 14""")</f>
        <v>87o 44' 14"</v>
      </c>
      <c r="M1744" s="2" t="str">
        <f>IFERROR(__xludf.DUMMYFUNCTION("""COMPUTED_VALUE"""),"Phidim (Panchthar)")</f>
        <v>Phidim (Panchthar)</v>
      </c>
    </row>
    <row r="1745">
      <c r="A1745" s="2">
        <f>IFERROR(__xludf.DUMMYFUNCTION("""COMPUTED_VALUE"""),1744.0)</f>
        <v>1744</v>
      </c>
      <c r="B1745" s="2" t="str">
        <f>IFERROR(__xludf.DUMMYFUNCTION("""COMPUTED_VALUE"""),"Syalpin Khola")</f>
        <v>Syalpin Khola</v>
      </c>
      <c r="C1745" s="2">
        <f>IFERROR(__xludf.DUMMYFUNCTION("""COMPUTED_VALUE"""),0.9)</f>
        <v>0.9</v>
      </c>
      <c r="D1745" s="2" t="str">
        <f>IFERROR(__xludf.DUMMYFUNCTION("""COMPUTED_VALUE"""),"Syalpin")</f>
        <v>Syalpin</v>
      </c>
      <c r="E1745" s="2">
        <f>IFERROR(__xludf.DUMMYFUNCTION("""COMPUTED_VALUE"""),1055.0)</f>
        <v>1055</v>
      </c>
      <c r="F1745" s="3">
        <f>IFERROR(__xludf.DUMMYFUNCTION("""COMPUTED_VALUE"""),61587.0)</f>
        <v>61587</v>
      </c>
      <c r="G1745" s="2" t="str">
        <f>IFERROR(__xludf.DUMMYFUNCTION("""COMPUTED_VALUE"""),"Mukut Bahadur Rayamajhi/Ram Kumar Thapa")</f>
        <v>Mukut Bahadur Rayamajhi/Ram Kumar Thapa</v>
      </c>
      <c r="H1745" s="2" t="str">
        <f>IFERROR(__xludf.DUMMYFUNCTION("""COMPUTED_VALUE"""),"Paundi aramai, - 09 Gulmi/Balaju - 16, Kathmandu")</f>
        <v>Paundi aramai, - 09 Gulmi/Balaju - 16, Kathmandu</v>
      </c>
      <c r="I1745" s="2" t="str">
        <f>IFERROR(__xludf.DUMMYFUNCTION("""COMPUTED_VALUE"""),"27o 49' 13""")</f>
        <v>27o 49' 13"</v>
      </c>
      <c r="J1745" s="2" t="str">
        <f>IFERROR(__xludf.DUMMYFUNCTION("""COMPUTED_VALUE"""),"27o 50' 28""")</f>
        <v>27o 50' 28"</v>
      </c>
      <c r="K1745" s="2" t="str">
        <f>IFERROR(__xludf.DUMMYFUNCTION("""COMPUTED_VALUE"""),"85o 19' 19""")</f>
        <v>85o 19' 19"</v>
      </c>
      <c r="L1745" s="2" t="str">
        <f>IFERROR(__xludf.DUMMYFUNCTION("""COMPUTED_VALUE"""),"85o 20' 58""")</f>
        <v>85o 20' 58"</v>
      </c>
      <c r="M1745" s="2" t="str">
        <f>IFERROR(__xludf.DUMMYFUNCTION("""COMPUTED_VALUE"""),"Sundaradevi Koiligaun (Nuwakot)")</f>
        <v>Sundaradevi Koiligaun (Nuwakot)</v>
      </c>
    </row>
    <row r="1746">
      <c r="A1746" s="2">
        <f>IFERROR(__xludf.DUMMYFUNCTION("""COMPUTED_VALUE"""),1745.0)</f>
        <v>1745</v>
      </c>
      <c r="B1746" s="2" t="str">
        <f>IFERROR(__xludf.DUMMYFUNCTION("""COMPUTED_VALUE"""),"Mewa Khola")</f>
        <v>Mewa Khola</v>
      </c>
      <c r="C1746" s="2">
        <f>IFERROR(__xludf.DUMMYFUNCTION("""COMPUTED_VALUE"""),0.988)</f>
        <v>0.988</v>
      </c>
      <c r="D1746" s="2" t="str">
        <f>IFERROR(__xludf.DUMMYFUNCTION("""COMPUTED_VALUE"""),"Mewa Khola")</f>
        <v>Mewa Khola</v>
      </c>
      <c r="E1746" s="2">
        <f>IFERROR(__xludf.DUMMYFUNCTION("""COMPUTED_VALUE"""),1070.0)</f>
        <v>1070</v>
      </c>
      <c r="F1746" s="3">
        <f>IFERROR(__xludf.DUMMYFUNCTION("""COMPUTED_VALUE"""),61588.0)</f>
        <v>61588</v>
      </c>
      <c r="G1746" s="2" t="str">
        <f>IFERROR(__xludf.DUMMYFUNCTION("""COMPUTED_VALUE"""),"Tara Bdr Isbo Limbu, prem Kumar Liwang Limbu, Bijay Maden Limbu, Sidda 
Kumari Thebe, Birendra Limbu Khimding")</f>
        <v>Tara Bdr Isbo Limbu, prem Kumar Liwang Limbu, Bijay Maden Limbu, Sidda 
Kumari Thebe, Birendra Limbu Khimding</v>
      </c>
      <c r="H1746" s="2" t="str">
        <f>IFERROR(__xludf.DUMMYFUNCTION("""COMPUTED_VALUE"""),"Taplelejung, Phone 9841150187")</f>
        <v>Taplelejung, Phone 9841150187</v>
      </c>
      <c r="I1746" s="2" t="str">
        <f>IFERROR(__xludf.DUMMYFUNCTION("""COMPUTED_VALUE"""),"27o 23' 31""")</f>
        <v>27o 23' 31"</v>
      </c>
      <c r="J1746" s="2" t="str">
        <f>IFERROR(__xludf.DUMMYFUNCTION("""COMPUTED_VALUE"""),"27o 24' 08""")</f>
        <v>27o 24' 08"</v>
      </c>
      <c r="K1746" s="2" t="str">
        <f>IFERROR(__xludf.DUMMYFUNCTION("""COMPUTED_VALUE"""),"87o 37' 12""")</f>
        <v>87o 37' 12"</v>
      </c>
      <c r="L1746" s="2" t="str">
        <f>IFERROR(__xludf.DUMMYFUNCTION("""COMPUTED_VALUE"""),"87o 37' 49""")</f>
        <v>87o 37' 49"</v>
      </c>
      <c r="M1746" s="2" t="str">
        <f>IFERROR(__xludf.DUMMYFUNCTION("""COMPUTED_VALUE"""),"Khokling (Taplejung)")</f>
        <v>Khokling (Taplejung)</v>
      </c>
    </row>
    <row r="1747">
      <c r="A1747" s="2">
        <f>IFERROR(__xludf.DUMMYFUNCTION("""COMPUTED_VALUE"""),1746.0)</f>
        <v>1746</v>
      </c>
      <c r="B1747" s="2" t="str">
        <f>IFERROR(__xludf.DUMMYFUNCTION("""COMPUTED_VALUE"""),"Bhaure Khola")</f>
        <v>Bhaure Khola</v>
      </c>
      <c r="C1747" s="2">
        <f>IFERROR(__xludf.DUMMYFUNCTION("""COMPUTED_VALUE"""),0.7)</f>
        <v>0.7</v>
      </c>
      <c r="D1747" s="2" t="str">
        <f>IFERROR(__xludf.DUMMYFUNCTION("""COMPUTED_VALUE"""),"Bhaure")</f>
        <v>Bhaure</v>
      </c>
      <c r="E1747" s="2">
        <f>IFERROR(__xludf.DUMMYFUNCTION("""COMPUTED_VALUE"""),2004.0)</f>
        <v>2004</v>
      </c>
      <c r="F1747" s="3">
        <f>IFERROR(__xludf.DUMMYFUNCTION("""COMPUTED_VALUE"""),61593.0)</f>
        <v>61593</v>
      </c>
      <c r="G1747" s="2" t="str">
        <f>IFERROR(__xludf.DUMMYFUNCTION("""COMPUTED_VALUE"""),"Tulasa Rimal")</f>
        <v>Tulasa Rimal</v>
      </c>
      <c r="H1747" s="2" t="str">
        <f>IFERROR(__xludf.DUMMYFUNCTION("""COMPUTED_VALUE"""),"Nuwakot, Bidur -7")</f>
        <v>Nuwakot, Bidur -7</v>
      </c>
      <c r="I1747" s="2" t="str">
        <f>IFERROR(__xludf.DUMMYFUNCTION("""COMPUTED_VALUE"""),"27o 51' 30""")</f>
        <v>27o 51' 30"</v>
      </c>
      <c r="J1747" s="2" t="str">
        <f>IFERROR(__xludf.DUMMYFUNCTION("""COMPUTED_VALUE"""),"27o 52' 30""")</f>
        <v>27o 52' 30"</v>
      </c>
      <c r="K1747" s="2" t="str">
        <f>IFERROR(__xludf.DUMMYFUNCTION("""COMPUTED_VALUE"""),"85o 03' 47""")</f>
        <v>85o 03' 47"</v>
      </c>
      <c r="L1747" s="2" t="str">
        <f>IFERROR(__xludf.DUMMYFUNCTION("""COMPUTED_VALUE"""),"85o 04' 30""")</f>
        <v>85o 04' 30"</v>
      </c>
      <c r="M1747" s="2" t="str">
        <f>IFERROR(__xludf.DUMMYFUNCTION("""COMPUTED_VALUE"""),"Budhasing,Khadag Bhanjyang (Nuwakot)")</f>
        <v>Budhasing,Khadag Bhanjyang (Nuwakot)</v>
      </c>
    </row>
    <row r="1748">
      <c r="A1748" s="2">
        <f>IFERROR(__xludf.DUMMYFUNCTION("""COMPUTED_VALUE"""),1747.0)</f>
        <v>1747</v>
      </c>
      <c r="B1748" s="2" t="str">
        <f>IFERROR(__xludf.DUMMYFUNCTION("""COMPUTED_VALUE"""),"lowermost Roshi Khola")</f>
        <v>lowermost Roshi Khola</v>
      </c>
      <c r="C1748" s="2">
        <f>IFERROR(__xludf.DUMMYFUNCTION("""COMPUTED_VALUE"""),0.993)</f>
        <v>0.993</v>
      </c>
      <c r="D1748" s="2" t="str">
        <f>IFERROR(__xludf.DUMMYFUNCTION("""COMPUTED_VALUE"""),"Roshi")</f>
        <v>Roshi</v>
      </c>
      <c r="E1748" s="2">
        <f>IFERROR(__xludf.DUMMYFUNCTION("""COMPUTED_VALUE"""),2035.0)</f>
        <v>2035</v>
      </c>
      <c r="F1748" s="3">
        <f>IFERROR(__xludf.DUMMYFUNCTION("""COMPUTED_VALUE"""),61598.0)</f>
        <v>61598</v>
      </c>
      <c r="G1748" s="2" t="str">
        <f>IFERROR(__xludf.DUMMYFUNCTION("""COMPUTED_VALUE"""),"Chhegu Tamang")</f>
        <v>Chhegu Tamang</v>
      </c>
      <c r="H1748" s="2" t="str">
        <f>IFERROR(__xludf.DUMMYFUNCTION("""COMPUTED_VALUE"""),"Chapakhori VDC-2, Kavre")</f>
        <v>Chapakhori VDC-2, Kavre</v>
      </c>
      <c r="I1748" s="2" t="str">
        <f>IFERROR(__xludf.DUMMYFUNCTION("""COMPUTED_VALUE"""),"27o 26' 10""")</f>
        <v>27o 26' 10"</v>
      </c>
      <c r="J1748" s="2" t="str">
        <f>IFERROR(__xludf.DUMMYFUNCTION("""COMPUTED_VALUE"""),"27o 27' 30""")</f>
        <v>27o 27' 30"</v>
      </c>
      <c r="K1748" s="2" t="str">
        <f>IFERROR(__xludf.DUMMYFUNCTION("""COMPUTED_VALUE"""),"85o 45' 55""")</f>
        <v>85o 45' 55"</v>
      </c>
      <c r="L1748" s="2" t="str">
        <f>IFERROR(__xludf.DUMMYFUNCTION("""COMPUTED_VALUE"""),"85o 47' 44""")</f>
        <v>85o 47' 44"</v>
      </c>
      <c r="M1748" s="2" t="str">
        <f>IFERROR(__xludf.DUMMYFUNCTION("""COMPUTED_VALUE"""),"Milche (Kavrepalanchok)")</f>
        <v>Milche (Kavrepalanchok)</v>
      </c>
    </row>
    <row r="1749">
      <c r="A1749" s="2">
        <f>IFERROR(__xludf.DUMMYFUNCTION("""COMPUTED_VALUE"""),1748.0)</f>
        <v>1748</v>
      </c>
      <c r="B1749" s="2" t="str">
        <f>IFERROR(__xludf.DUMMYFUNCTION("""COMPUTED_VALUE"""),"Sabha Khola")</f>
        <v>Sabha Khola</v>
      </c>
      <c r="C1749" s="2">
        <f>IFERROR(__xludf.DUMMYFUNCTION("""COMPUTED_VALUE"""),0.998)</f>
        <v>0.998</v>
      </c>
      <c r="D1749" s="2" t="str">
        <f>IFERROR(__xludf.DUMMYFUNCTION("""COMPUTED_VALUE"""),"Sabha Khola")</f>
        <v>Sabha Khola</v>
      </c>
      <c r="E1749" s="2">
        <f>IFERROR(__xludf.DUMMYFUNCTION("""COMPUTED_VALUE"""),2057.0)</f>
        <v>2057</v>
      </c>
      <c r="F1749" s="3">
        <f>IFERROR(__xludf.DUMMYFUNCTION("""COMPUTED_VALUE"""),61602.0)</f>
        <v>61602</v>
      </c>
      <c r="G1749" s="2" t="str">
        <f>IFERROR(__xludf.DUMMYFUNCTION("""COMPUTED_VALUE"""),"Bijay maden Limbu, Birendra Limbu Khimdin, Siddha Kumari Thebe, Tara 
Bahadur Isbo Limbu, Ratna kumari Limbu")</f>
        <v>Bijay maden Limbu, Birendra Limbu Khimdin, Siddha Kumari Thebe, Tara 
Bahadur Isbo Limbu, Ratna kumari Limbu</v>
      </c>
      <c r="H1749" s="2" t="str">
        <f>IFERROR(__xludf.DUMMYFUNCTION("""COMPUTED_VALUE"""),"Khamlalung 5, Tehrathum, 9841150187")</f>
        <v>Khamlalung 5, Tehrathum, 9841150187</v>
      </c>
      <c r="I1749" s="2" t="str">
        <f>IFERROR(__xludf.DUMMYFUNCTION("""COMPUTED_VALUE"""),"27o 20' 32""")</f>
        <v>27o 20' 32"</v>
      </c>
      <c r="J1749" s="2" t="str">
        <f>IFERROR(__xludf.DUMMYFUNCTION("""COMPUTED_VALUE"""),"27o 21' 55""")</f>
        <v>27o 21' 55"</v>
      </c>
      <c r="K1749" s="2" t="str">
        <f>IFERROR(__xludf.DUMMYFUNCTION("""COMPUTED_VALUE"""),"87o 13' 21""")</f>
        <v>87o 13' 21"</v>
      </c>
      <c r="L1749" s="2" t="str">
        <f>IFERROR(__xludf.DUMMYFUNCTION("""COMPUTED_VALUE"""),"87o 14' 50""")</f>
        <v>87o 14' 50"</v>
      </c>
      <c r="M1749" s="2" t="str">
        <f>IFERROR(__xludf.DUMMYFUNCTION("""COMPUTED_VALUE"""),"Bana,Manakamana (Sankhuwasabha)")</f>
        <v>Bana,Manakamana (Sankhuwasabha)</v>
      </c>
    </row>
    <row r="1750">
      <c r="A1750" s="2">
        <f>IFERROR(__xludf.DUMMYFUNCTION("""COMPUTED_VALUE"""),1749.0)</f>
        <v>1749</v>
      </c>
      <c r="B1750" s="2" t="str">
        <f>IFERROR(__xludf.DUMMYFUNCTION("""COMPUTED_VALUE"""),"Mai Khola")</f>
        <v>Mai Khola</v>
      </c>
      <c r="C1750" s="2">
        <f>IFERROR(__xludf.DUMMYFUNCTION("""COMPUTED_VALUE"""),0.995)</f>
        <v>0.995</v>
      </c>
      <c r="D1750" s="2" t="str">
        <f>IFERROR(__xludf.DUMMYFUNCTION("""COMPUTED_VALUE"""),"Mai Khola")</f>
        <v>Mai Khola</v>
      </c>
      <c r="E1750" s="2">
        <f>IFERROR(__xludf.DUMMYFUNCTION("""COMPUTED_VALUE"""),3001.0)</f>
        <v>3001</v>
      </c>
      <c r="F1750" s="3">
        <f>IFERROR(__xludf.DUMMYFUNCTION("""COMPUTED_VALUE"""),61609.0)</f>
        <v>61609</v>
      </c>
      <c r="G1750" s="2" t="str">
        <f>IFERROR(__xludf.DUMMYFUNCTION("""COMPUTED_VALUE"""),"Bijay maden Limbu, Birendra Limbu Khimdin, Siddha Kumari Thebe, Tara 
Bahadur Isbo Limbu, Ratna kumari Liwang Limbu")</f>
        <v>Bijay maden Limbu, Birendra Limbu Khimdin, Siddha Kumari Thebe, Tara 
Bahadur Isbo Limbu, Ratna kumari Liwang Limbu</v>
      </c>
      <c r="H1750" s="2" t="str">
        <f>IFERROR(__xludf.DUMMYFUNCTION("""COMPUTED_VALUE"""),"Khamlalung 5, Tehrathum, 9841150187")</f>
        <v>Khamlalung 5, Tehrathum, 9841150187</v>
      </c>
      <c r="I1750" s="2" t="str">
        <f>IFERROR(__xludf.DUMMYFUNCTION("""COMPUTED_VALUE"""),"26o 48' 30""")</f>
        <v>26o 48' 30"</v>
      </c>
      <c r="J1750" s="2" t="str">
        <f>IFERROR(__xludf.DUMMYFUNCTION("""COMPUTED_VALUE"""),"26o 50' 00""")</f>
        <v>26o 50' 00"</v>
      </c>
      <c r="K1750" s="2" t="str">
        <f>IFERROR(__xludf.DUMMYFUNCTION("""COMPUTED_VALUE"""),"87o 49' 00""")</f>
        <v>87o 49' 00"</v>
      </c>
      <c r="L1750" s="2" t="str">
        <f>IFERROR(__xludf.DUMMYFUNCTION("""COMPUTED_VALUE"""),"87o 52' 00""")</f>
        <v>87o 52' 00"</v>
      </c>
      <c r="M1750" s="2" t="str">
        <f>IFERROR(__xludf.DUMMYFUNCTION("""COMPUTED_VALUE"""),"Siddhithumka (Ilam)")</f>
        <v>Siddhithumka (Ilam)</v>
      </c>
    </row>
    <row r="1751">
      <c r="A1751" s="2">
        <f>IFERROR(__xludf.DUMMYFUNCTION("""COMPUTED_VALUE"""),1750.0)</f>
        <v>1750</v>
      </c>
      <c r="B1751" s="2" t="str">
        <f>IFERROR(__xludf.DUMMYFUNCTION("""COMPUTED_VALUE"""),"Namphuwa Khola")</f>
        <v>Namphuwa Khola</v>
      </c>
      <c r="C1751" s="2">
        <f>IFERROR(__xludf.DUMMYFUNCTION("""COMPUTED_VALUE"""),0.995)</f>
        <v>0.995</v>
      </c>
      <c r="D1751" s="2" t="str">
        <f>IFERROR(__xludf.DUMMYFUNCTION("""COMPUTED_VALUE"""),"Namphuwa")</f>
        <v>Namphuwa</v>
      </c>
      <c r="E1751" s="2">
        <f>IFERROR(__xludf.DUMMYFUNCTION("""COMPUTED_VALUE"""),3112.0)</f>
        <v>3112</v>
      </c>
      <c r="F1751" s="3">
        <f>IFERROR(__xludf.DUMMYFUNCTION("""COMPUTED_VALUE"""),61625.0)</f>
        <v>61625</v>
      </c>
      <c r="G1751" s="2" t="str">
        <f>IFERROR(__xludf.DUMMYFUNCTION("""COMPUTED_VALUE"""),"Purna Bahadur Yakha")</f>
        <v>Purna Bahadur Yakha</v>
      </c>
      <c r="H1751" s="2" t="str">
        <f>IFERROR(__xludf.DUMMYFUNCTION("""COMPUTED_VALUE"""),"Bodhe - 1, Danakuta, 9842219566")</f>
        <v>Bodhe - 1, Danakuta, 9842219566</v>
      </c>
      <c r="I1751" s="2" t="str">
        <f>IFERROR(__xludf.DUMMYFUNCTION("""COMPUTED_VALUE"""),"26o 55' 50""")</f>
        <v>26o 55' 50"</v>
      </c>
      <c r="J1751" s="2" t="str">
        <f>IFERROR(__xludf.DUMMYFUNCTION("""COMPUTED_VALUE"""),"26o 57' 30""")</f>
        <v>26o 57' 30"</v>
      </c>
      <c r="K1751" s="2" t="str">
        <f>IFERROR(__xludf.DUMMYFUNCTION("""COMPUTED_VALUE"""),"87o 30' 40""")</f>
        <v>87o 30' 40"</v>
      </c>
      <c r="L1751" s="2" t="str">
        <f>IFERROR(__xludf.DUMMYFUNCTION("""COMPUTED_VALUE"""),"08o 73' 20""")</f>
        <v>08o 73' 20"</v>
      </c>
      <c r="M1751" s="2" t="str">
        <f>IFERROR(__xludf.DUMMYFUNCTION("""COMPUTED_VALUE"""),"Kuruletenupa,Mudebas (Dhankuta)")</f>
        <v>Kuruletenupa,Mudebas (Dhankuta)</v>
      </c>
    </row>
    <row r="1752">
      <c r="A1752" s="2">
        <f>IFERROR(__xludf.DUMMYFUNCTION("""COMPUTED_VALUE"""),1751.0)</f>
        <v>1751</v>
      </c>
      <c r="B1752" s="2" t="str">
        <f>IFERROR(__xludf.DUMMYFUNCTION("""COMPUTED_VALUE"""),"Mid Koya")</f>
        <v>Mid Koya</v>
      </c>
      <c r="C1752" s="2">
        <f>IFERROR(__xludf.DUMMYFUNCTION("""COMPUTED_VALUE"""),0.989)</f>
        <v>0.989</v>
      </c>
      <c r="D1752" s="2" t="str">
        <f>IFERROR(__xludf.DUMMYFUNCTION("""COMPUTED_VALUE"""),"Koya Khola")</f>
        <v>Koya Khola</v>
      </c>
      <c r="E1752" s="2">
        <f>IFERROR(__xludf.DUMMYFUNCTION("""COMPUTED_VALUE"""),3145.0)</f>
        <v>3145</v>
      </c>
      <c r="F1752" s="3">
        <f>IFERROR(__xludf.DUMMYFUNCTION("""COMPUTED_VALUE"""),61630.0)</f>
        <v>61630</v>
      </c>
      <c r="G1752" s="2" t="str">
        <f>IFERROR(__xludf.DUMMYFUNCTION("""COMPUTED_VALUE"""),"Tara B. Isbo Limbu, Laxman Linthep, Mandhoj Isbo")</f>
        <v>Tara B. Isbo Limbu, Laxman Linthep, Mandhoj Isbo</v>
      </c>
      <c r="H1752" s="2" t="str">
        <f>IFERROR(__xludf.DUMMYFUNCTION("""COMPUTED_VALUE"""),"Khamlalung 5 Tehrathum, 9841150187")</f>
        <v>Khamlalung 5 Tehrathum, 9841150187</v>
      </c>
      <c r="I1752" s="2" t="str">
        <f>IFERROR(__xludf.DUMMYFUNCTION("""COMPUTED_VALUE"""),"27o 10' 57""")</f>
        <v>27o 10' 57"</v>
      </c>
      <c r="J1752" s="2" t="str">
        <f>IFERROR(__xludf.DUMMYFUNCTION("""COMPUTED_VALUE"""),"27o 11' 50""")</f>
        <v>27o 11' 50"</v>
      </c>
      <c r="K1752" s="2" t="str">
        <f>IFERROR(__xludf.DUMMYFUNCTION("""COMPUTED_VALUE"""),"87o 36' 58""")</f>
        <v>87o 36' 58"</v>
      </c>
      <c r="L1752" s="2" t="str">
        <f>IFERROR(__xludf.DUMMYFUNCTION("""COMPUTED_VALUE"""),"87o 37' 30""")</f>
        <v>87o 37' 30"</v>
      </c>
      <c r="M1752" s="2" t="str">
        <f>IFERROR(__xludf.DUMMYFUNCTION("""COMPUTED_VALUE"""),"Eseebu,Sankranti Bazar (Terhathum)")</f>
        <v>Eseebu,Sankranti Bazar (Terhathum)</v>
      </c>
    </row>
    <row r="1753">
      <c r="A1753" s="2">
        <f>IFERROR(__xludf.DUMMYFUNCTION("""COMPUTED_VALUE"""),1752.0)</f>
        <v>1752</v>
      </c>
      <c r="B1753" s="2" t="str">
        <f>IFERROR(__xludf.DUMMYFUNCTION("""COMPUTED_VALUE"""),"Upper Koya Khola")</f>
        <v>Upper Koya Khola</v>
      </c>
      <c r="C1753" s="2">
        <f>IFERROR(__xludf.DUMMYFUNCTION("""COMPUTED_VALUE"""),0.999)</f>
        <v>0.999</v>
      </c>
      <c r="D1753" s="2" t="str">
        <f>IFERROR(__xludf.DUMMYFUNCTION("""COMPUTED_VALUE"""),"Koya Khola")</f>
        <v>Koya Khola</v>
      </c>
      <c r="E1753" s="2">
        <f>IFERROR(__xludf.DUMMYFUNCTION("""COMPUTED_VALUE"""),3146.0)</f>
        <v>3146</v>
      </c>
      <c r="F1753" s="3">
        <f>IFERROR(__xludf.DUMMYFUNCTION("""COMPUTED_VALUE"""),61630.0)</f>
        <v>61630</v>
      </c>
      <c r="G1753" s="2" t="str">
        <f>IFERROR(__xludf.DUMMYFUNCTION("""COMPUTED_VALUE"""),"Tara B. Isbo Limbu, Laxman Linthep, Mandhoj Isbo")</f>
        <v>Tara B. Isbo Limbu, Laxman Linthep, Mandhoj Isbo</v>
      </c>
      <c r="H1753" s="2" t="str">
        <f>IFERROR(__xludf.DUMMYFUNCTION("""COMPUTED_VALUE"""),"Khamlung 5 Tehrathum, 9841150187")</f>
        <v>Khamlung 5 Tehrathum, 9841150187</v>
      </c>
      <c r="I1753" s="2" t="str">
        <f>IFERROR(__xludf.DUMMYFUNCTION("""COMPUTED_VALUE"""),"27o 12' 50""")</f>
        <v>27o 12' 50"</v>
      </c>
      <c r="J1753" s="2" t="str">
        <f>IFERROR(__xludf.DUMMYFUNCTION("""COMPUTED_VALUE"""),"27o 15' 00""")</f>
        <v>27o 15' 00"</v>
      </c>
      <c r="K1753" s="2" t="str">
        <f>IFERROR(__xludf.DUMMYFUNCTION("""COMPUTED_VALUE"""),"87o 35' 30""")</f>
        <v>87o 35' 30"</v>
      </c>
      <c r="L1753" s="2" t="str">
        <f>IFERROR(__xludf.DUMMYFUNCTION("""COMPUTED_VALUE"""),"87o 36' 55""")</f>
        <v>87o 36' 55"</v>
      </c>
      <c r="M1753" s="2" t="str">
        <f>IFERROR(__xludf.DUMMYFUNCTION("""COMPUTED_VALUE"""),"Khamlalung,Eseebu,Samdu (Terhathum)")</f>
        <v>Khamlalung,Eseebu,Samdu (Terhathum)</v>
      </c>
    </row>
    <row r="1754">
      <c r="A1754" s="2">
        <f>IFERROR(__xludf.DUMMYFUNCTION("""COMPUTED_VALUE"""),1753.0)</f>
        <v>1753</v>
      </c>
      <c r="B1754" s="2" t="str">
        <f>IFERROR(__xludf.DUMMYFUNCTION("""COMPUTED_VALUE"""),"Parajuli Khola")</f>
        <v>Parajuli Khola</v>
      </c>
      <c r="C1754" s="2">
        <f>IFERROR(__xludf.DUMMYFUNCTION("""COMPUTED_VALUE"""),4.0)</f>
        <v>4</v>
      </c>
      <c r="D1754" s="2" t="str">
        <f>IFERROR(__xludf.DUMMYFUNCTION("""COMPUTED_VALUE"""),"Parajuli Khola")</f>
        <v>Parajuli Khola</v>
      </c>
      <c r="E1754" s="2">
        <f>IFERROR(__xludf.DUMMYFUNCTION("""COMPUTED_VALUE"""),3217.0)</f>
        <v>3217</v>
      </c>
      <c r="F1754" s="3">
        <f>IFERROR(__xludf.DUMMYFUNCTION("""COMPUTED_VALUE"""),61639.0)</f>
        <v>61639</v>
      </c>
      <c r="G1754" s="2" t="str">
        <f>IFERROR(__xludf.DUMMYFUNCTION("""COMPUTED_VALUE"""),"Chakra Bahadur Shah")</f>
        <v>Chakra Bahadur Shah</v>
      </c>
      <c r="H1754" s="2" t="str">
        <f>IFERROR(__xludf.DUMMYFUNCTION("""COMPUTED_VALUE"""),"Nepalgunj 16, Banke")</f>
        <v>Nepalgunj 16, Banke</v>
      </c>
      <c r="I1754" s="2" t="str">
        <f>IFERROR(__xludf.DUMMYFUNCTION("""COMPUTED_VALUE"""),"28o 43' 14""")</f>
        <v>28o 43' 14"</v>
      </c>
      <c r="J1754" s="2" t="str">
        <f>IFERROR(__xludf.DUMMYFUNCTION("""COMPUTED_VALUE"""),"28o 45' 28""")</f>
        <v>28o 45' 28"</v>
      </c>
      <c r="K1754" s="2" t="str">
        <f>IFERROR(__xludf.DUMMYFUNCTION("""COMPUTED_VALUE"""),"81o 39' 08""")</f>
        <v>81o 39' 08"</v>
      </c>
      <c r="L1754" s="2" t="str">
        <f>IFERROR(__xludf.DUMMYFUNCTION("""COMPUTED_VALUE"""),"81o 41' 54""")</f>
        <v>81o 41' 54"</v>
      </c>
      <c r="M1754" s="2" t="str">
        <f>IFERROR(__xludf.DUMMYFUNCTION("""COMPUTED_VALUE"""),"Dada Parajul (Dailekh)")</f>
        <v>Dada Parajul (Dailekh)</v>
      </c>
    </row>
    <row r="1755">
      <c r="A1755" s="2">
        <f>IFERROR(__xludf.DUMMYFUNCTION("""COMPUTED_VALUE"""),1754.0)</f>
        <v>1754</v>
      </c>
      <c r="B1755" s="2" t="str">
        <f>IFERROR(__xludf.DUMMYFUNCTION("""COMPUTED_VALUE"""),"Sobuwa Khola")</f>
        <v>Sobuwa Khola</v>
      </c>
      <c r="C1755" s="2">
        <f>IFERROR(__xludf.DUMMYFUNCTION("""COMPUTED_VALUE"""),0.998)</f>
        <v>0.998</v>
      </c>
      <c r="D1755" s="2" t="str">
        <f>IFERROR(__xludf.DUMMYFUNCTION("""COMPUTED_VALUE"""),"Sobuwa")</f>
        <v>Sobuwa</v>
      </c>
      <c r="E1755" s="2">
        <f>IFERROR(__xludf.DUMMYFUNCTION("""COMPUTED_VALUE"""),3249.0)</f>
        <v>3249</v>
      </c>
      <c r="F1755" s="3">
        <f>IFERROR(__xludf.DUMMYFUNCTION("""COMPUTED_VALUE"""),61644.0)</f>
        <v>61644</v>
      </c>
      <c r="G1755" s="2" t="str">
        <f>IFERROR(__xludf.DUMMYFUNCTION("""COMPUTED_VALUE"""),"Tara Bdr Isbo Limbu, , Bijay Maden Limbu, Sidda Kumari Thebe, Birendra 
Limbu (Khimding), Ratna Kumari Limbu")</f>
        <v>Tara Bdr Isbo Limbu, , Bijay Maden Limbu, Sidda Kumari Thebe, Birendra 
Limbu (Khimding), Ratna Kumari Limbu</v>
      </c>
      <c r="H1755" s="2" t="str">
        <f>IFERROR(__xludf.DUMMYFUNCTION("""COMPUTED_VALUE"""),"Khamlalung 5 Tehrathum, 9841150187")</f>
        <v>Khamlalung 5 Tehrathum, 9841150187</v>
      </c>
      <c r="I1755" s="2" t="str">
        <f>IFERROR(__xludf.DUMMYFUNCTION("""COMPUTED_VALUE"""),"27o 19' 37""")</f>
        <v>27o 19' 37"</v>
      </c>
      <c r="J1755" s="2" t="str">
        <f>IFERROR(__xludf.DUMMYFUNCTION("""COMPUTED_VALUE"""),"27o 20' 48""")</f>
        <v>27o 20' 48"</v>
      </c>
      <c r="K1755" s="2" t="str">
        <f>IFERROR(__xludf.DUMMYFUNCTION("""COMPUTED_VALUE"""),"87o 36' 05""")</f>
        <v>87o 36' 05"</v>
      </c>
      <c r="L1755" s="2" t="str">
        <f>IFERROR(__xludf.DUMMYFUNCTION("""COMPUTED_VALUE"""),"87o 37' 25""")</f>
        <v>87o 37' 25"</v>
      </c>
      <c r="M1755" s="2" t="str">
        <f>IFERROR(__xludf.DUMMYFUNCTION("""COMPUTED_VALUE"""),"Change,Hangpang (Taplejung)")</f>
        <v>Change,Hangpang (Taplejung)</v>
      </c>
    </row>
    <row r="1756">
      <c r="A1756" s="2">
        <f>IFERROR(__xludf.DUMMYFUNCTION("""COMPUTED_VALUE"""),1755.0)</f>
        <v>1755</v>
      </c>
      <c r="B1756" s="2" t="str">
        <f>IFERROR(__xludf.DUMMYFUNCTION("""COMPUTED_VALUE"""),"Lothar Khola II")</f>
        <v>Lothar Khola II</v>
      </c>
      <c r="C1756" s="2">
        <f>IFERROR(__xludf.DUMMYFUNCTION("""COMPUTED_VALUE"""),1.0)</f>
        <v>1</v>
      </c>
      <c r="D1756" s="2" t="str">
        <f>IFERROR(__xludf.DUMMYFUNCTION("""COMPUTED_VALUE"""),"Lothar")</f>
        <v>Lothar</v>
      </c>
      <c r="E1756" s="2"/>
      <c r="F1756" s="3">
        <f>IFERROR(__xludf.DUMMYFUNCTION("""COMPUTED_VALUE"""),61648.0)</f>
        <v>61648</v>
      </c>
      <c r="G1756" s="2" t="str">
        <f>IFERROR(__xludf.DUMMYFUNCTION("""COMPUTED_VALUE"""),"Doshro Lothar Khola Jalvidyut Company")</f>
        <v>Doshro Lothar Khola Jalvidyut Company</v>
      </c>
      <c r="H1756" s="2"/>
      <c r="I1756" s="2" t="str">
        <f>IFERROR(__xludf.DUMMYFUNCTION("""COMPUTED_VALUE"""),"27o 35' 20""")</f>
        <v>27o 35' 20"</v>
      </c>
      <c r="J1756" s="2" t="str">
        <f>IFERROR(__xludf.DUMMYFUNCTION("""COMPUTED_VALUE"""),"27o 36' 35""")</f>
        <v>27o 36' 35"</v>
      </c>
      <c r="K1756" s="2" t="str">
        <f>IFERROR(__xludf.DUMMYFUNCTION("""COMPUTED_VALUE"""),"84o 44' 00""")</f>
        <v>84o 44' 00"</v>
      </c>
      <c r="L1756" s="2" t="str">
        <f>IFERROR(__xludf.DUMMYFUNCTION("""COMPUTED_VALUE"""),"84o 44' 30""")</f>
        <v>84o 44' 30"</v>
      </c>
      <c r="M1756" s="2" t="str">
        <f>IFERROR(__xludf.DUMMYFUNCTION("""COMPUTED_VALUE"""),"Pipale (Chitawan)")</f>
        <v>Pipale (Chitawan)</v>
      </c>
    </row>
    <row r="1757">
      <c r="A1757" s="2">
        <f>IFERROR(__xludf.DUMMYFUNCTION("""COMPUTED_VALUE"""),1756.0)</f>
        <v>1756</v>
      </c>
      <c r="B1757" s="2" t="str">
        <f>IFERROR(__xludf.DUMMYFUNCTION("""COMPUTED_VALUE"""),"Nake")</f>
        <v>Nake</v>
      </c>
      <c r="C1757" s="2">
        <f>IFERROR(__xludf.DUMMYFUNCTION("""COMPUTED_VALUE"""),2.2)</f>
        <v>2.2</v>
      </c>
      <c r="D1757" s="2" t="str">
        <f>IFERROR(__xludf.DUMMYFUNCTION("""COMPUTED_VALUE"""),"Mowa")</f>
        <v>Mowa</v>
      </c>
      <c r="E1757" s="2">
        <f>IFERROR(__xludf.DUMMYFUNCTION("""COMPUTED_VALUE"""),3307.0)</f>
        <v>3307</v>
      </c>
      <c r="F1757" s="3">
        <f>IFERROR(__xludf.DUMMYFUNCTION("""COMPUTED_VALUE"""),61653.0)</f>
        <v>61653</v>
      </c>
      <c r="G1757" s="2" t="str">
        <f>IFERROR(__xludf.DUMMYFUNCTION("""COMPUTED_VALUE"""),"Pimal Raj Ghimire")</f>
        <v>Pimal Raj Ghimire</v>
      </c>
      <c r="H1757" s="2" t="str">
        <f>IFERROR(__xludf.DUMMYFUNCTION("""COMPUTED_VALUE"""),"Dharan -4 Sunsari, 025-533223, 9842286168")</f>
        <v>Dharan -4 Sunsari, 025-533223, 9842286168</v>
      </c>
      <c r="I1757" s="2" t="str">
        <f>IFERROR(__xludf.DUMMYFUNCTION("""COMPUTED_VALUE"""),"27o 09' 18""")</f>
        <v>27o 09' 18"</v>
      </c>
      <c r="J1757" s="2" t="str">
        <f>IFERROR(__xludf.DUMMYFUNCTION("""COMPUTED_VALUE"""),"27o 10' 36""")</f>
        <v>27o 10' 36"</v>
      </c>
      <c r="K1757" s="2" t="str">
        <f>IFERROR(__xludf.DUMMYFUNCTION("""COMPUTED_VALUE"""),"87o 53' 50""")</f>
        <v>87o 53' 50"</v>
      </c>
      <c r="L1757" s="2" t="str">
        <f>IFERROR(__xludf.DUMMYFUNCTION("""COMPUTED_VALUE"""),"87o 54' 40""")</f>
        <v>87o 54' 40"</v>
      </c>
      <c r="M1757" s="2" t="str">
        <f>IFERROR(__xludf.DUMMYFUNCTION("""COMPUTED_VALUE"""),"Sidin,Prangbung (Panchthar)")</f>
        <v>Sidin,Prangbung (Panchthar)</v>
      </c>
    </row>
    <row r="1758">
      <c r="A1758" s="2">
        <f>IFERROR(__xludf.DUMMYFUNCTION("""COMPUTED_VALUE"""),1757.0)</f>
        <v>1757</v>
      </c>
      <c r="B1758" s="2" t="str">
        <f>IFERROR(__xludf.DUMMYFUNCTION("""COMPUTED_VALUE"""),"Rahale Khola Small Hydropower Project")</f>
        <v>Rahale Khola Small Hydropower Project</v>
      </c>
      <c r="C1758" s="2">
        <f>IFERROR(__xludf.DUMMYFUNCTION("""COMPUTED_VALUE"""),0.995)</f>
        <v>0.995</v>
      </c>
      <c r="D1758" s="2" t="str">
        <f>IFERROR(__xludf.DUMMYFUNCTION("""COMPUTED_VALUE"""),"Rahale")</f>
        <v>Rahale</v>
      </c>
      <c r="E1758" s="2">
        <f>IFERROR(__xludf.DUMMYFUNCTION("""COMPUTED_VALUE"""),3316.0)</f>
        <v>3316</v>
      </c>
      <c r="F1758" s="3">
        <f>IFERROR(__xludf.DUMMYFUNCTION("""COMPUTED_VALUE"""),61654.0)</f>
        <v>61654</v>
      </c>
      <c r="G1758" s="2" t="str">
        <f>IFERROR(__xludf.DUMMYFUNCTION("""COMPUTED_VALUE"""),"North South Power Generating Company Pvt Ltd")</f>
        <v>North South Power Generating Company Pvt Ltd</v>
      </c>
      <c r="H1758" s="2" t="str">
        <f>IFERROR(__xludf.DUMMYFUNCTION("""COMPUTED_VALUE"""),"Kathmandu Municipality-32, Dilibazaar, Kathmandu")</f>
        <v>Kathmandu Municipality-32, Dilibazaar, Kathmandu</v>
      </c>
      <c r="I1758" s="2" t="str">
        <f>IFERROR(__xludf.DUMMYFUNCTION("""COMPUTED_VALUE"""),"28o 05' 00""")</f>
        <v>28o 05' 00"</v>
      </c>
      <c r="J1758" s="2" t="str">
        <f>IFERROR(__xludf.DUMMYFUNCTION("""COMPUTED_VALUE"""),"28o 08' 11""")</f>
        <v>28o 08' 11"</v>
      </c>
      <c r="K1758" s="2" t="str">
        <f>IFERROR(__xludf.DUMMYFUNCTION("""COMPUTED_VALUE"""),"83o 44' 08""")</f>
        <v>83o 44' 08"</v>
      </c>
      <c r="L1758" s="2" t="str">
        <f>IFERROR(__xludf.DUMMYFUNCTION("""COMPUTED_VALUE"""),"83o 47' 30""")</f>
        <v>83o 47' 30"</v>
      </c>
      <c r="M1758" s="2" t="str">
        <f>IFERROR(__xludf.DUMMYFUNCTION("""COMPUTED_VALUE"""),"Rapakot (Syangja)")</f>
        <v>Rapakot (Syangja)</v>
      </c>
    </row>
    <row r="1759">
      <c r="A1759" s="2">
        <f>IFERROR(__xludf.DUMMYFUNCTION("""COMPUTED_VALUE"""),1758.0)</f>
        <v>1758</v>
      </c>
      <c r="B1759" s="2" t="str">
        <f>IFERROR(__xludf.DUMMYFUNCTION("""COMPUTED_VALUE"""),"Chopche Khola HP")</f>
        <v>Chopche Khola HP</v>
      </c>
      <c r="C1759" s="2">
        <f>IFERROR(__xludf.DUMMYFUNCTION("""COMPUTED_VALUE"""),0.996)</f>
        <v>0.996</v>
      </c>
      <c r="D1759" s="2" t="str">
        <f>IFERROR(__xludf.DUMMYFUNCTION("""COMPUTED_VALUE"""),"Chopche")</f>
        <v>Chopche</v>
      </c>
      <c r="E1759" s="2"/>
      <c r="F1759" s="3">
        <f>IFERROR(__xludf.DUMMYFUNCTION("""COMPUTED_VALUE"""),61662.0)</f>
        <v>61662</v>
      </c>
      <c r="G1759" s="2" t="str">
        <f>IFERROR(__xludf.DUMMYFUNCTION("""COMPUTED_VALUE"""),"Banita Bastila")</f>
        <v>Banita Bastila</v>
      </c>
      <c r="H1759" s="2" t="str">
        <f>IFERROR(__xludf.DUMMYFUNCTION("""COMPUTED_VALUE"""),"Kalanki, Mob: 9841241644")</f>
        <v>Kalanki, Mob: 9841241644</v>
      </c>
      <c r="I1759" s="2" t="str">
        <f>IFERROR(__xludf.DUMMYFUNCTION("""COMPUTED_VALUE"""),"27o 30' 45""")</f>
        <v>27o 30' 45"</v>
      </c>
      <c r="J1759" s="2" t="str">
        <f>IFERROR(__xludf.DUMMYFUNCTION("""COMPUTED_VALUE"""),"27o 32' 04""")</f>
        <v>27o 32' 04"</v>
      </c>
      <c r="K1759" s="2" t="str">
        <f>IFERROR(__xludf.DUMMYFUNCTION("""COMPUTED_VALUE"""),"86o 23' 55""")</f>
        <v>86o 23' 55"</v>
      </c>
      <c r="L1759" s="2" t="str">
        <f>IFERROR(__xludf.DUMMYFUNCTION("""COMPUTED_VALUE"""),"86o 25' 24""")</f>
        <v>86o 25' 24"</v>
      </c>
      <c r="M1759" s="2" t="str">
        <f>IFERROR(__xludf.DUMMYFUNCTION("""COMPUTED_VALUE"""),"Syafru (Rasuwa)")</f>
        <v>Syafru (Rasuwa)</v>
      </c>
    </row>
    <row r="1760">
      <c r="A1760" s="2">
        <f>IFERROR(__xludf.DUMMYFUNCTION("""COMPUTED_VALUE"""),1759.0)</f>
        <v>1759</v>
      </c>
      <c r="B1760" s="2" t="str">
        <f>IFERROR(__xludf.DUMMYFUNCTION("""COMPUTED_VALUE"""),"Salpu Khola SHP")</f>
        <v>Salpu Khola SHP</v>
      </c>
      <c r="C1760" s="2">
        <f>IFERROR(__xludf.DUMMYFUNCTION("""COMPUTED_VALUE"""),0.555)</f>
        <v>0.555</v>
      </c>
      <c r="D1760" s="2" t="str">
        <f>IFERROR(__xludf.DUMMYFUNCTION("""COMPUTED_VALUE"""),"Salpu")</f>
        <v>Salpu</v>
      </c>
      <c r="E1760" s="2">
        <f>IFERROR(__xludf.DUMMYFUNCTION("""COMPUTED_VALUE"""),3483.0)</f>
        <v>3483</v>
      </c>
      <c r="F1760" s="3">
        <f>IFERROR(__xludf.DUMMYFUNCTION("""COMPUTED_VALUE"""),61681.0)</f>
        <v>61681</v>
      </c>
      <c r="G1760" s="2" t="str">
        <f>IFERROR(__xludf.DUMMYFUNCTION("""COMPUTED_VALUE"""),"Saroj Kumar Sunawar")</f>
        <v>Saroj Kumar Sunawar</v>
      </c>
      <c r="H1760" s="2" t="str">
        <f>IFERROR(__xludf.DUMMYFUNCTION("""COMPUTED_VALUE"""),"Ragani VDC Ward no. 2, Okhalthunga, 9841708846")</f>
        <v>Ragani VDC Ward no. 2, Okhalthunga, 9841708846</v>
      </c>
      <c r="I1760" s="2" t="str">
        <f>IFERROR(__xludf.DUMMYFUNCTION("""COMPUTED_VALUE"""),"27o 15' 40""")</f>
        <v>27o 15' 40"</v>
      </c>
      <c r="J1760" s="2" t="str">
        <f>IFERROR(__xludf.DUMMYFUNCTION("""COMPUTED_VALUE"""),"27o 28' 01""")</f>
        <v>27o 28' 01"</v>
      </c>
      <c r="K1760" s="2" t="str">
        <f>IFERROR(__xludf.DUMMYFUNCTION("""COMPUTED_VALUE"""),"86o 17' 18""")</f>
        <v>86o 17' 18"</v>
      </c>
      <c r="L1760" s="2" t="str">
        <f>IFERROR(__xludf.DUMMYFUNCTION("""COMPUTED_VALUE"""),"86o 20' 00""")</f>
        <v>86o 20' 00"</v>
      </c>
      <c r="M1760" s="2" t="str">
        <f>IFERROR(__xludf.DUMMYFUNCTION("""COMPUTED_VALUE"""),"Khijichandeshwari,Ragani (Okhaldhunga)")</f>
        <v>Khijichandeshwari,Ragani (Okhaldhunga)</v>
      </c>
    </row>
    <row r="1761">
      <c r="A1761" s="2">
        <f>IFERROR(__xludf.DUMMYFUNCTION("""COMPUTED_VALUE"""),1760.0)</f>
        <v>1760</v>
      </c>
      <c r="B1761" s="2" t="str">
        <f>IFERROR(__xludf.DUMMYFUNCTION("""COMPUTED_VALUE"""),"Banauti Khola")</f>
        <v>Banauti Khola</v>
      </c>
      <c r="C1761" s="2">
        <f>IFERROR(__xludf.DUMMYFUNCTION("""COMPUTED_VALUE"""),0.689)</f>
        <v>0.689</v>
      </c>
      <c r="D1761" s="2" t="str">
        <f>IFERROR(__xludf.DUMMYFUNCTION("""COMPUTED_VALUE"""),"Banauti")</f>
        <v>Banauti</v>
      </c>
      <c r="E1761" s="2">
        <f>IFERROR(__xludf.DUMMYFUNCTION("""COMPUTED_VALUE"""),3494.0)</f>
        <v>3494</v>
      </c>
      <c r="F1761" s="3">
        <f>IFERROR(__xludf.DUMMYFUNCTION("""COMPUTED_VALUE"""),61682.0)</f>
        <v>61682</v>
      </c>
      <c r="G1761" s="2" t="str">
        <f>IFERROR(__xludf.DUMMYFUNCTION("""COMPUTED_VALUE"""),"Sapana Sunuwar")</f>
        <v>Sapana Sunuwar</v>
      </c>
      <c r="H1761" s="2" t="str">
        <f>IFERROR(__xludf.DUMMYFUNCTION("""COMPUTED_VALUE"""),"Ragani VDC, Ward no 1, Okhaldhunga")</f>
        <v>Ragani VDC, Ward no 1, Okhaldhunga</v>
      </c>
      <c r="I1761" s="2" t="str">
        <f>IFERROR(__xludf.DUMMYFUNCTION("""COMPUTED_VALUE"""),"86o 14' 26""")</f>
        <v>86o 14' 26"</v>
      </c>
      <c r="J1761" s="2" t="str">
        <f>IFERROR(__xludf.DUMMYFUNCTION("""COMPUTED_VALUE"""),"86o 16' 00""")</f>
        <v>86o 16' 00"</v>
      </c>
      <c r="K1761" s="2" t="str">
        <f>IFERROR(__xludf.DUMMYFUNCTION("""COMPUTED_VALUE"""),"27o 26' 45""")</f>
        <v>27o 26' 45"</v>
      </c>
      <c r="L1761" s="2" t="str">
        <f>IFERROR(__xludf.DUMMYFUNCTION("""COMPUTED_VALUE"""),"27o 28' 24""")</f>
        <v>27o 28' 24"</v>
      </c>
      <c r="M1761" s="2" t="str">
        <f>IFERROR(__xludf.DUMMYFUNCTION("""COMPUTED_VALUE"""),"Duragau (Ramechhap)")</f>
        <v>Duragau (Ramechhap)</v>
      </c>
    </row>
    <row r="1762">
      <c r="A1762" s="2">
        <f>IFERROR(__xludf.DUMMYFUNCTION("""COMPUTED_VALUE"""),1761.0)</f>
        <v>1761</v>
      </c>
      <c r="B1762" s="2" t="str">
        <f>IFERROR(__xludf.DUMMYFUNCTION("""COMPUTED_VALUE"""),"Middle Balephi")</f>
        <v>Middle Balephi</v>
      </c>
      <c r="C1762" s="2">
        <f>IFERROR(__xludf.DUMMYFUNCTION("""COMPUTED_VALUE"""),4.9)</f>
        <v>4.9</v>
      </c>
      <c r="D1762" s="2" t="str">
        <f>IFERROR(__xludf.DUMMYFUNCTION("""COMPUTED_VALUE"""),"Balephi")</f>
        <v>Balephi</v>
      </c>
      <c r="E1762" s="2">
        <f>IFERROR(__xludf.DUMMYFUNCTION("""COMPUTED_VALUE"""),3514.0)</f>
        <v>3514</v>
      </c>
      <c r="F1762" s="3">
        <f>IFERROR(__xludf.DUMMYFUNCTION("""COMPUTED_VALUE"""),61683.0)</f>
        <v>61683</v>
      </c>
      <c r="G1762" s="2" t="str">
        <f>IFERROR(__xludf.DUMMYFUNCTION("""COMPUTED_VALUE"""),"Secured Construction")</f>
        <v>Secured Construction</v>
      </c>
      <c r="H1762" s="2" t="str">
        <f>IFERROR(__xludf.DUMMYFUNCTION("""COMPUTED_VALUE"""),"Mankha Khadichaur")</f>
        <v>Mankha Khadichaur</v>
      </c>
      <c r="I1762" s="2" t="str">
        <f>IFERROR(__xludf.DUMMYFUNCTION("""COMPUTED_VALUE"""),"27o 49' 30""")</f>
        <v>27o 49' 30"</v>
      </c>
      <c r="J1762" s="2" t="str">
        <f>IFERROR(__xludf.DUMMYFUNCTION("""COMPUTED_VALUE"""),"27o 50' 48""")</f>
        <v>27o 50' 48"</v>
      </c>
      <c r="K1762" s="2" t="str">
        <f>IFERROR(__xludf.DUMMYFUNCTION("""COMPUTED_VALUE"""),"85o 45' 30""")</f>
        <v>85o 45' 30"</v>
      </c>
      <c r="L1762" s="2" t="str">
        <f>IFERROR(__xludf.DUMMYFUNCTION("""COMPUTED_VALUE"""),"85o 46' 30""")</f>
        <v>85o 46' 30"</v>
      </c>
      <c r="M1762" s="2" t="str">
        <f>IFERROR(__xludf.DUMMYFUNCTION("""COMPUTED_VALUE"""),"Baramchi,Selang (Sindhupalchok)")</f>
        <v>Baramchi,Selang (Sindhupalchok)</v>
      </c>
    </row>
    <row r="1763">
      <c r="A1763" s="2">
        <f>IFERROR(__xludf.DUMMYFUNCTION("""COMPUTED_VALUE"""),1762.0)</f>
        <v>1762</v>
      </c>
      <c r="B1763" s="2" t="str">
        <f>IFERROR(__xludf.DUMMYFUNCTION("""COMPUTED_VALUE"""),"Chokti Khola Small")</f>
        <v>Chokti Khola Small</v>
      </c>
      <c r="C1763" s="2">
        <f>IFERROR(__xludf.DUMMYFUNCTION("""COMPUTED_VALUE"""),0.649)</f>
        <v>0.649</v>
      </c>
      <c r="D1763" s="2" t="str">
        <f>IFERROR(__xludf.DUMMYFUNCTION("""COMPUTED_VALUE"""),"Chokati")</f>
        <v>Chokati</v>
      </c>
      <c r="E1763" s="2">
        <f>IFERROR(__xludf.DUMMYFUNCTION("""COMPUTED_VALUE"""),3515.0)</f>
        <v>3515</v>
      </c>
      <c r="F1763" s="3">
        <f>IFERROR(__xludf.DUMMYFUNCTION("""COMPUTED_VALUE"""),61683.0)</f>
        <v>61683</v>
      </c>
      <c r="G1763" s="2" t="str">
        <f>IFERROR(__xludf.DUMMYFUNCTION("""COMPUTED_VALUE"""),"Chandesh Kumar Kormocha")</f>
        <v>Chandesh Kumar Kormocha</v>
      </c>
      <c r="H1763" s="2" t="str">
        <f>IFERROR(__xludf.DUMMYFUNCTION("""COMPUTED_VALUE"""),"Khiji Chandeswori VDC -2 Okhalthunga, 9841535511, 9813868877")</f>
        <v>Khiji Chandeswori VDC -2 Okhalthunga, 9841535511, 9813868877</v>
      </c>
      <c r="I1763" s="2" t="str">
        <f>IFERROR(__xludf.DUMMYFUNCTION("""COMPUTED_VALUE"""),"27o 27' 54""")</f>
        <v>27o 27' 54"</v>
      </c>
      <c r="J1763" s="2" t="str">
        <f>IFERROR(__xludf.DUMMYFUNCTION("""COMPUTED_VALUE"""),"27o 29' 07""")</f>
        <v>27o 29' 07"</v>
      </c>
      <c r="K1763" s="2" t="str">
        <f>IFERROR(__xludf.DUMMYFUNCTION("""COMPUTED_VALUE"""),"86o 17' 45""")</f>
        <v>86o 17' 45"</v>
      </c>
      <c r="L1763" s="2" t="str">
        <f>IFERROR(__xludf.DUMMYFUNCTION("""COMPUTED_VALUE"""),"86o 20' 00""")</f>
        <v>86o 20' 00"</v>
      </c>
      <c r="M1763" s="2" t="str">
        <f>IFERROR(__xludf.DUMMYFUNCTION("""COMPUTED_VALUE"""),"Khijichandeshwari (Okhaldhunga)")</f>
        <v>Khijichandeshwari (Okhaldhunga)</v>
      </c>
    </row>
    <row r="1764">
      <c r="A1764" s="2">
        <f>IFERROR(__xludf.DUMMYFUNCTION("""COMPUTED_VALUE"""),1763.0)</f>
        <v>1763</v>
      </c>
      <c r="B1764" s="2" t="str">
        <f>IFERROR(__xludf.DUMMYFUNCTION("""COMPUTED_VALUE"""),"Lower Chhyangdi Small HEP")</f>
        <v>Lower Chhyangdi Small HEP</v>
      </c>
      <c r="C1764" s="2">
        <f>IFERROR(__xludf.DUMMYFUNCTION("""COMPUTED_VALUE"""),0.934)</f>
        <v>0.934</v>
      </c>
      <c r="D1764" s="2" t="str">
        <f>IFERROR(__xludf.DUMMYFUNCTION("""COMPUTED_VALUE"""),"Chhyangdi")</f>
        <v>Chhyangdi</v>
      </c>
      <c r="E1764" s="2">
        <f>IFERROR(__xludf.DUMMYFUNCTION("""COMPUTED_VALUE"""),3528.0)</f>
        <v>3528</v>
      </c>
      <c r="F1764" s="3">
        <f>IFERROR(__xludf.DUMMYFUNCTION("""COMPUTED_VALUE"""),61684.0)</f>
        <v>61684</v>
      </c>
      <c r="G1764" s="2" t="str">
        <f>IFERROR(__xludf.DUMMYFUNCTION("""COMPUTED_VALUE"""),"Lamjung Electricity Development Company Ltd")</f>
        <v>Lamjung Electricity Development Company Ltd</v>
      </c>
      <c r="H1764" s="2" t="str">
        <f>IFERROR(__xludf.DUMMYFUNCTION("""COMPUTED_VALUE"""),"P.O. BoX; 20290, Kathmandu, Tel: 4414519")</f>
        <v>P.O. BoX; 20290, Kathmandu, Tel: 4414519</v>
      </c>
      <c r="I1764" s="2" t="str">
        <f>IFERROR(__xludf.DUMMYFUNCTION("""COMPUTED_VALUE"""),"28o 14' 17""")</f>
        <v>28o 14' 17"</v>
      </c>
      <c r="J1764" s="2" t="str">
        <f>IFERROR(__xludf.DUMMYFUNCTION("""COMPUTED_VALUE"""),"28o 15' 11""")</f>
        <v>28o 15' 11"</v>
      </c>
      <c r="K1764" s="2" t="str">
        <f>IFERROR(__xludf.DUMMYFUNCTION("""COMPUTED_VALUE"""),"84o 26' 55""")</f>
        <v>84o 26' 55"</v>
      </c>
      <c r="L1764" s="2" t="str">
        <f>IFERROR(__xludf.DUMMYFUNCTION("""COMPUTED_VALUE"""),"84o 28' 45""")</f>
        <v>84o 28' 45"</v>
      </c>
      <c r="M1764" s="2" t="str">
        <f>IFERROR(__xludf.DUMMYFUNCTION("""COMPUTED_VALUE"""),"Bansar,Dhodeni,Faleni (Lamjung)")</f>
        <v>Bansar,Dhodeni,Faleni (Lamjung)</v>
      </c>
    </row>
    <row r="1765">
      <c r="A1765" s="2">
        <f>IFERROR(__xludf.DUMMYFUNCTION("""COMPUTED_VALUE"""),1764.0)</f>
        <v>1764</v>
      </c>
      <c r="B1765" s="2" t="str">
        <f>IFERROR(__xludf.DUMMYFUNCTION("""COMPUTED_VALUE"""),"Lower Chhirlin Khola SHP")</f>
        <v>Lower Chhirlin Khola SHP</v>
      </c>
      <c r="C1765" s="2">
        <f>IFERROR(__xludf.DUMMYFUNCTION("""COMPUTED_VALUE"""),0.986)</f>
        <v>0.986</v>
      </c>
      <c r="D1765" s="2" t="str">
        <f>IFERROR(__xludf.DUMMYFUNCTION("""COMPUTED_VALUE"""),"Chhirlin")</f>
        <v>Chhirlin</v>
      </c>
      <c r="E1765" s="2">
        <f>IFERROR(__xludf.DUMMYFUNCTION("""COMPUTED_VALUE"""),3555.0)</f>
        <v>3555</v>
      </c>
      <c r="F1765" s="3">
        <f>IFERROR(__xludf.DUMMYFUNCTION("""COMPUTED_VALUE"""),61688.0)</f>
        <v>61688</v>
      </c>
      <c r="G1765" s="2" t="str">
        <f>IFERROR(__xludf.DUMMYFUNCTION("""COMPUTED_VALUE"""),"Tikaram Reshmi Magar, Bhakta Bahadur Pun")</f>
        <v>Tikaram Reshmi Magar, Bhakta Bahadur Pun</v>
      </c>
      <c r="H1765" s="2" t="str">
        <f>IFERROR(__xludf.DUMMYFUNCTION("""COMPUTED_VALUE"""),"Simalpani-5, Arghakhanchi, Tel: 9857028845")</f>
        <v>Simalpani-5, Arghakhanchi, Tel: 9857028845</v>
      </c>
      <c r="I1765" s="2" t="str">
        <f>IFERROR(__xludf.DUMMYFUNCTION("""COMPUTED_VALUE"""),"27o 56' 06""")</f>
        <v>27o 56' 06"</v>
      </c>
      <c r="J1765" s="2" t="str">
        <f>IFERROR(__xludf.DUMMYFUNCTION("""COMPUTED_VALUE"""),"27o 57' 10""")</f>
        <v>27o 57' 10"</v>
      </c>
      <c r="K1765" s="2" t="str">
        <f>IFERROR(__xludf.DUMMYFUNCTION("""COMPUTED_VALUE"""),"83o 00' 52""")</f>
        <v>83o 00' 52"</v>
      </c>
      <c r="L1765" s="2" t="str">
        <f>IFERROR(__xludf.DUMMYFUNCTION("""COMPUTED_VALUE"""),"83o 02' 42""")</f>
        <v>83o 02' 42"</v>
      </c>
      <c r="M1765" s="2" t="str">
        <f>IFERROR(__xludf.DUMMYFUNCTION("""COMPUTED_VALUE"""),"Dhanchaur,Nuwakot (Arghakhanchi)")</f>
        <v>Dhanchaur,Nuwakot (Arghakhanchi)</v>
      </c>
    </row>
    <row r="1766">
      <c r="A1766" s="2">
        <f>IFERROR(__xludf.DUMMYFUNCTION("""COMPUTED_VALUE"""),1765.0)</f>
        <v>1765</v>
      </c>
      <c r="B1766" s="2" t="str">
        <f>IFERROR(__xludf.DUMMYFUNCTION("""COMPUTED_VALUE"""),"Chhirlin Khola Small HEP")</f>
        <v>Chhirlin Khola Small HEP</v>
      </c>
      <c r="C1766" s="2">
        <f>IFERROR(__xludf.DUMMYFUNCTION("""COMPUTED_VALUE"""),0.692)</f>
        <v>0.692</v>
      </c>
      <c r="D1766" s="2" t="str">
        <f>IFERROR(__xludf.DUMMYFUNCTION("""COMPUTED_VALUE"""),"Chhirlin")</f>
        <v>Chhirlin</v>
      </c>
      <c r="E1766" s="2">
        <f>IFERROR(__xludf.DUMMYFUNCTION("""COMPUTED_VALUE"""),3565.0)</f>
        <v>3565</v>
      </c>
      <c r="F1766" s="3">
        <f>IFERROR(__xludf.DUMMYFUNCTION("""COMPUTED_VALUE"""),61688.0)</f>
        <v>61688</v>
      </c>
      <c r="G1766" s="2" t="str">
        <f>IFERROR(__xludf.DUMMYFUNCTION("""COMPUTED_VALUE"""),"Sannta Bahadur Gharti Magar")</f>
        <v>Sannta Bahadur Gharti Magar</v>
      </c>
      <c r="H1766" s="2" t="str">
        <f>IFERROR(__xludf.DUMMYFUNCTION("""COMPUTED_VALUE"""),"Dhanchaur-8, Arghakhanchi")</f>
        <v>Dhanchaur-8, Arghakhanchi</v>
      </c>
      <c r="I1766" s="2" t="str">
        <f>IFERROR(__xludf.DUMMYFUNCTION("""COMPUTED_VALUE"""),"27o 56' 06""")</f>
        <v>27o 56' 06"</v>
      </c>
      <c r="J1766" s="2" t="str">
        <f>IFERROR(__xludf.DUMMYFUNCTION("""COMPUTED_VALUE"""),"27o 57' 10""")</f>
        <v>27o 57' 10"</v>
      </c>
      <c r="K1766" s="2" t="str">
        <f>IFERROR(__xludf.DUMMYFUNCTION("""COMPUTED_VALUE"""),"83o 02' 42""")</f>
        <v>83o 02' 42"</v>
      </c>
      <c r="L1766" s="2" t="str">
        <f>IFERROR(__xludf.DUMMYFUNCTION("""COMPUTED_VALUE"""),"83o 04' 30""")</f>
        <v>83o 04' 30"</v>
      </c>
      <c r="M1766" s="2" t="str">
        <f>IFERROR(__xludf.DUMMYFUNCTION("""COMPUTED_VALUE"""),"Dhanchaur,Nuwakot (Arghakhanchi)")</f>
        <v>Dhanchaur,Nuwakot (Arghakhanchi)</v>
      </c>
    </row>
    <row r="1767">
      <c r="A1767" s="2">
        <f>IFERROR(__xludf.DUMMYFUNCTION("""COMPUTED_VALUE"""),1766.0)</f>
        <v>1766</v>
      </c>
      <c r="B1767" s="2" t="str">
        <f>IFERROR(__xludf.DUMMYFUNCTION("""COMPUTED_VALUE"""),"Open River Type Saptakoshi -V")</f>
        <v>Open River Type Saptakoshi -V</v>
      </c>
      <c r="C1767" s="2">
        <f>IFERROR(__xludf.DUMMYFUNCTION("""COMPUTED_VALUE"""),0.5)</f>
        <v>0.5</v>
      </c>
      <c r="D1767" s="2" t="str">
        <f>IFERROR(__xludf.DUMMYFUNCTION("""COMPUTED_VALUE"""),"Saptakoshi")</f>
        <v>Saptakoshi</v>
      </c>
      <c r="E1767" s="2">
        <f>IFERROR(__xludf.DUMMYFUNCTION("""COMPUTED_VALUE"""),3661.0)</f>
        <v>3661</v>
      </c>
      <c r="F1767" s="3">
        <f>IFERROR(__xludf.DUMMYFUNCTION("""COMPUTED_VALUE"""),61699.0)</f>
        <v>61699</v>
      </c>
      <c r="G1767" s="2" t="str">
        <f>IFERROR(__xludf.DUMMYFUNCTION("""COMPUTED_VALUE"""),"Glow Quick Hydropower Pvt.ltd")</f>
        <v>Glow Quick Hydropower Pvt.ltd</v>
      </c>
      <c r="H1767" s="2" t="str">
        <f>IFERROR(__xludf.DUMMYFUNCTION("""COMPUTED_VALUE"""),"Lalitpur, Phone 5009313, 9841332602(Mandip Pokharel)")</f>
        <v>Lalitpur, Phone 5009313, 9841332602(Mandip Pokharel)</v>
      </c>
      <c r="I1767" s="2" t="str">
        <f>IFERROR(__xludf.DUMMYFUNCTION("""COMPUTED_VALUE"""),"00o 00' 00""")</f>
        <v>00o 00' 00"</v>
      </c>
      <c r="J1767" s="2" t="str">
        <f>IFERROR(__xludf.DUMMYFUNCTION("""COMPUTED_VALUE"""),"00o 00' 00""")</f>
        <v>00o 00' 00"</v>
      </c>
      <c r="K1767" s="2" t="str">
        <f>IFERROR(__xludf.DUMMYFUNCTION("""COMPUTED_VALUE"""),"00o 00' 00""")</f>
        <v>00o 00' 00"</v>
      </c>
      <c r="L1767" s="2" t="str">
        <f>IFERROR(__xludf.DUMMYFUNCTION("""COMPUTED_VALUE"""),"00o 00' 00""")</f>
        <v>00o 00' 00"</v>
      </c>
      <c r="M1767" s="2" t="str">
        <f>IFERROR(__xludf.DUMMYFUNCTION("""COMPUTED_VALUE"""),"Ahale (Dhankuta)")</f>
        <v>Ahale (Dhankuta)</v>
      </c>
    </row>
    <row r="1768">
      <c r="A1768" s="2">
        <f>IFERROR(__xludf.DUMMYFUNCTION("""COMPUTED_VALUE"""),1767.0)</f>
        <v>1767</v>
      </c>
      <c r="B1768" s="2" t="str">
        <f>IFERROR(__xludf.DUMMYFUNCTION("""COMPUTED_VALUE"""),"Galwa gad small Hydropower Project")</f>
        <v>Galwa gad small Hydropower Project</v>
      </c>
      <c r="C1768" s="2">
        <f>IFERROR(__xludf.DUMMYFUNCTION("""COMPUTED_VALUE"""),0.3)</f>
        <v>0.3</v>
      </c>
      <c r="D1768" s="2" t="str">
        <f>IFERROR(__xludf.DUMMYFUNCTION("""COMPUTED_VALUE"""),"Galwa Gad")</f>
        <v>Galwa Gad</v>
      </c>
      <c r="E1768" s="2">
        <f>IFERROR(__xludf.DUMMYFUNCTION("""COMPUTED_VALUE"""),3686.0)</f>
        <v>3686</v>
      </c>
      <c r="F1768" s="3">
        <f>IFERROR(__xludf.DUMMYFUNCTION("""COMPUTED_VALUE"""),61702.0)</f>
        <v>61702</v>
      </c>
      <c r="G1768" s="2" t="str">
        <f>IFERROR(__xludf.DUMMYFUNCTION("""COMPUTED_VALUE"""),"Dhanu Bhandari ( Galwa Gad small Hydropower Project Users Committee)")</f>
        <v>Dhanu Bhandari ( Galwa Gad small Hydropower Project Users Committee)</v>
      </c>
      <c r="H1768" s="2" t="str">
        <f>IFERROR(__xludf.DUMMYFUNCTION("""COMPUTED_VALUE"""),"Humla, Nepal")</f>
        <v>Humla, Nepal</v>
      </c>
      <c r="I1768" s="2" t="str">
        <f>IFERROR(__xludf.DUMMYFUNCTION("""COMPUTED_VALUE"""),"00o 00' 00""")</f>
        <v>00o 00' 00"</v>
      </c>
      <c r="J1768" s="2" t="str">
        <f>IFERROR(__xludf.DUMMYFUNCTION("""COMPUTED_VALUE"""),"00o 00' 00""")</f>
        <v>00o 00' 00"</v>
      </c>
      <c r="K1768" s="2" t="str">
        <f>IFERROR(__xludf.DUMMYFUNCTION("""COMPUTED_VALUE"""),"00o 00' 00""")</f>
        <v>00o 00' 00"</v>
      </c>
      <c r="L1768" s="2" t="str">
        <f>IFERROR(__xludf.DUMMYFUNCTION("""COMPUTED_VALUE"""),"00o 00' 00""")</f>
        <v>00o 00' 00"</v>
      </c>
      <c r="M1768" s="2" t="str">
        <f>IFERROR(__xludf.DUMMYFUNCTION("""COMPUTED_VALUE"""),"Shree Nagar (Humla)")</f>
        <v>Shree Nagar (Humla)</v>
      </c>
    </row>
    <row r="1769">
      <c r="A1769" s="2">
        <f>IFERROR(__xludf.DUMMYFUNCTION("""COMPUTED_VALUE"""),1768.0)</f>
        <v>1768</v>
      </c>
      <c r="B1769" s="2" t="str">
        <f>IFERROR(__xludf.DUMMYFUNCTION("""COMPUTED_VALUE"""),"Bauligad Small HPP")</f>
        <v>Bauligad Small HPP</v>
      </c>
      <c r="C1769" s="2">
        <f>IFERROR(__xludf.DUMMYFUNCTION("""COMPUTED_VALUE"""),0.225)</f>
        <v>0.225</v>
      </c>
      <c r="D1769" s="2" t="str">
        <f>IFERROR(__xludf.DUMMYFUNCTION("""COMPUTED_VALUE"""),"Bauli Gad")</f>
        <v>Bauli Gad</v>
      </c>
      <c r="E1769" s="2">
        <f>IFERROR(__xludf.DUMMYFUNCTION("""COMPUTED_VALUE"""),3687.0)</f>
        <v>3687</v>
      </c>
      <c r="F1769" s="3">
        <f>IFERROR(__xludf.DUMMYFUNCTION("""COMPUTED_VALUE"""),61702.0)</f>
        <v>61702</v>
      </c>
      <c r="G1769" s="2" t="str">
        <f>IFERROR(__xludf.DUMMYFUNCTION("""COMPUTED_VALUE"""),"Users Committee of Bauli gad Small Hydropower Project")</f>
        <v>Users Committee of Bauli gad Small Hydropower Project</v>
      </c>
      <c r="H1769" s="2" t="str">
        <f>IFERROR(__xludf.DUMMYFUNCTION("""COMPUTED_VALUE"""),"Rithapata VDC-8, Bajhang")</f>
        <v>Rithapata VDC-8, Bajhang</v>
      </c>
      <c r="I1769" s="2" t="str">
        <f>IFERROR(__xludf.DUMMYFUNCTION("""COMPUTED_VALUE"""),"29o 33' 06""")</f>
        <v>29o 33' 06"</v>
      </c>
      <c r="J1769" s="2" t="str">
        <f>IFERROR(__xludf.DUMMYFUNCTION("""COMPUTED_VALUE"""),"29o 34' 28""")</f>
        <v>29o 34' 28"</v>
      </c>
      <c r="K1769" s="2" t="str">
        <f>IFERROR(__xludf.DUMMYFUNCTION("""COMPUTED_VALUE"""),"81o 10' 11""")</f>
        <v>81o 10' 11"</v>
      </c>
      <c r="L1769" s="2" t="str">
        <f>IFERROR(__xludf.DUMMYFUNCTION("""COMPUTED_VALUE"""),"81o 11' 57""")</f>
        <v>81o 11' 57"</v>
      </c>
      <c r="M1769" s="2" t="str">
        <f>IFERROR(__xludf.DUMMYFUNCTION("""COMPUTED_VALUE"""),"Luyanta,Rithapata,Subeda (Bajhang)")</f>
        <v>Luyanta,Rithapata,Subeda (Bajhang)</v>
      </c>
    </row>
    <row r="1770">
      <c r="A1770" s="2">
        <f>IFERROR(__xludf.DUMMYFUNCTION("""COMPUTED_VALUE"""),1769.0)</f>
        <v>1769</v>
      </c>
      <c r="B1770" s="2" t="str">
        <f>IFERROR(__xludf.DUMMYFUNCTION("""COMPUTED_VALUE"""),"Hewa-I Khola Small Hydropower Project")</f>
        <v>Hewa-I Khola Small Hydropower Project</v>
      </c>
      <c r="C1770" s="2">
        <f>IFERROR(__xludf.DUMMYFUNCTION("""COMPUTED_VALUE"""),5.0)</f>
        <v>5</v>
      </c>
      <c r="D1770" s="2" t="str">
        <f>IFERROR(__xludf.DUMMYFUNCTION("""COMPUTED_VALUE"""),"Hewa Khola")</f>
        <v>Hewa Khola</v>
      </c>
      <c r="E1770" s="2">
        <f>IFERROR(__xludf.DUMMYFUNCTION("""COMPUTED_VALUE"""),3727.0)</f>
        <v>3727</v>
      </c>
      <c r="F1770" s="3">
        <f>IFERROR(__xludf.DUMMYFUNCTION("""COMPUTED_VALUE"""),61705.0)</f>
        <v>61705</v>
      </c>
      <c r="G1770" s="2" t="str">
        <f>IFERROR(__xludf.DUMMYFUNCTION("""COMPUTED_VALUE"""),"Engineering Saving and Credit Cooperative")</f>
        <v>Engineering Saving and Credit Cooperative</v>
      </c>
      <c r="H1770" s="2" t="str">
        <f>IFERROR(__xludf.DUMMYFUNCTION("""COMPUTED_VALUE"""),"Baneswar, Kathmandu, PO Box: 13820, Tel:4484072")</f>
        <v>Baneswar, Kathmandu, PO Box: 13820, Tel:4484072</v>
      </c>
      <c r="I1770" s="2" t="str">
        <f>IFERROR(__xludf.DUMMYFUNCTION("""COMPUTED_VALUE"""),"27o 10' 40""")</f>
        <v>27o 10' 40"</v>
      </c>
      <c r="J1770" s="2" t="str">
        <f>IFERROR(__xludf.DUMMYFUNCTION("""COMPUTED_VALUE"""),"27o 11' 38""")</f>
        <v>27o 11' 38"</v>
      </c>
      <c r="K1770" s="2" t="str">
        <f>IFERROR(__xludf.DUMMYFUNCTION("""COMPUTED_VALUE"""),"87o 50' 08""")</f>
        <v>87o 50' 08"</v>
      </c>
      <c r="L1770" s="2" t="str">
        <f>IFERROR(__xludf.DUMMYFUNCTION("""COMPUTED_VALUE"""),"87o 52' 30""")</f>
        <v>87o 52' 30"</v>
      </c>
      <c r="M1770" s="2" t="str">
        <f>IFERROR(__xludf.DUMMYFUNCTION("""COMPUTED_VALUE"""),"Sidin,Yanganam (Panchthar)")</f>
        <v>Sidin,Yanganam (Panchthar)</v>
      </c>
    </row>
    <row r="1771">
      <c r="A1771" s="2">
        <f>IFERROR(__xludf.DUMMYFUNCTION("""COMPUTED_VALUE"""),1770.0)</f>
        <v>1770</v>
      </c>
      <c r="B1771" s="2" t="str">
        <f>IFERROR(__xludf.DUMMYFUNCTION("""COMPUTED_VALUE"""),"Bemdang Khola HPP")</f>
        <v>Bemdang Khola HPP</v>
      </c>
      <c r="C1771" s="2">
        <f>IFERROR(__xludf.DUMMYFUNCTION("""COMPUTED_VALUE"""),1.5)</f>
        <v>1.5</v>
      </c>
      <c r="D1771" s="2" t="str">
        <f>IFERROR(__xludf.DUMMYFUNCTION("""COMPUTED_VALUE"""),"Bemdang")</f>
        <v>Bemdang</v>
      </c>
      <c r="E1771" s="2">
        <f>IFERROR(__xludf.DUMMYFUNCTION("""COMPUTED_VALUE"""),3744.0)</f>
        <v>3744</v>
      </c>
      <c r="F1771" s="3">
        <f>IFERROR(__xludf.DUMMYFUNCTION("""COMPUTED_VALUE"""),61709.0)</f>
        <v>61709</v>
      </c>
      <c r="G1771" s="2" t="str">
        <f>IFERROR(__xludf.DUMMYFUNCTION("""COMPUTED_VALUE"""),"Jonggang Jalvidyut Company Pvt Ltd")</f>
        <v>Jonggang Jalvidyut Company Pvt Ltd</v>
      </c>
      <c r="H1771" s="2" t="str">
        <f>IFERROR(__xludf.DUMMYFUNCTION("""COMPUTED_VALUE"""),"Goljung-7, Rasuwa")</f>
        <v>Goljung-7, Rasuwa</v>
      </c>
      <c r="I1771" s="2" t="str">
        <f>IFERROR(__xludf.DUMMYFUNCTION("""COMPUTED_VALUE"""),"28o 10' 00""")</f>
        <v>28o 10' 00"</v>
      </c>
      <c r="J1771" s="2" t="str">
        <f>IFERROR(__xludf.DUMMYFUNCTION("""COMPUTED_VALUE"""),"28o 11' 07""")</f>
        <v>28o 11' 07"</v>
      </c>
      <c r="K1771" s="2" t="str">
        <f>IFERROR(__xludf.DUMMYFUNCTION("""COMPUTED_VALUE"""),"85o 16' 40""")</f>
        <v>85o 16' 40"</v>
      </c>
      <c r="L1771" s="2" t="str">
        <f>IFERROR(__xludf.DUMMYFUNCTION("""COMPUTED_VALUE"""),"85o 18' 50""")</f>
        <v>85o 18' 50"</v>
      </c>
      <c r="M1771" s="2" t="str">
        <f>IFERROR(__xludf.DUMMYFUNCTION("""COMPUTED_VALUE"""),"Gatlang (Rasuwa)")</f>
        <v>Gatlang (Rasuwa)</v>
      </c>
    </row>
    <row r="1772">
      <c r="A1772" s="2">
        <f>IFERROR(__xludf.DUMMYFUNCTION("""COMPUTED_VALUE"""),1771.0)</f>
        <v>1771</v>
      </c>
      <c r="B1772" s="2" t="str">
        <f>IFERROR(__xludf.DUMMYFUNCTION("""COMPUTED_VALUE"""),"Upper Koya Khola Small HPP")</f>
        <v>Upper Koya Khola Small HPP</v>
      </c>
      <c r="C1772" s="2">
        <f>IFERROR(__xludf.DUMMYFUNCTION("""COMPUTED_VALUE"""),0.99)</f>
        <v>0.99</v>
      </c>
      <c r="D1772" s="2" t="str">
        <f>IFERROR(__xludf.DUMMYFUNCTION("""COMPUTED_VALUE"""),"Koya Khola")</f>
        <v>Koya Khola</v>
      </c>
      <c r="E1772" s="2">
        <f>IFERROR(__xludf.DUMMYFUNCTION("""COMPUTED_VALUE"""),3751.0)</f>
        <v>3751</v>
      </c>
      <c r="F1772" s="3">
        <f>IFERROR(__xludf.DUMMYFUNCTION("""COMPUTED_VALUE"""),61710.0)</f>
        <v>61710</v>
      </c>
      <c r="G1772" s="2" t="str">
        <f>IFERROR(__xludf.DUMMYFUNCTION("""COMPUTED_VALUE"""),"Nisam Hydropower Pvt Ltd")</f>
        <v>Nisam Hydropower Pvt Ltd</v>
      </c>
      <c r="H1772" s="2" t="str">
        <f>IFERROR(__xludf.DUMMYFUNCTION("""COMPUTED_VALUE"""),"Talchhikhel, Lalitpur")</f>
        <v>Talchhikhel, Lalitpur</v>
      </c>
      <c r="I1772" s="2" t="str">
        <f>IFERROR(__xludf.DUMMYFUNCTION("""COMPUTED_VALUE"""),"27o 14' 30""")</f>
        <v>27o 14' 30"</v>
      </c>
      <c r="J1772" s="2" t="str">
        <f>IFERROR(__xludf.DUMMYFUNCTION("""COMPUTED_VALUE"""),"27o 15' 30""")</f>
        <v>27o 15' 30"</v>
      </c>
      <c r="K1772" s="2" t="str">
        <f>IFERROR(__xludf.DUMMYFUNCTION("""COMPUTED_VALUE"""),"87o 35' 13""")</f>
        <v>87o 35' 13"</v>
      </c>
      <c r="L1772" s="2" t="str">
        <f>IFERROR(__xludf.DUMMYFUNCTION("""COMPUTED_VALUE"""),"87o 37' 19""")</f>
        <v>87o 37' 19"</v>
      </c>
      <c r="M1772" s="2" t="str">
        <f>IFERROR(__xludf.DUMMYFUNCTION("""COMPUTED_VALUE"""),"Khamlalung,Samdu (Terhathum)")</f>
        <v>Khamlalung,Samdu (Terhathum)</v>
      </c>
    </row>
    <row r="1773">
      <c r="A1773" s="2">
        <f>IFERROR(__xludf.DUMMYFUNCTION("""COMPUTED_VALUE"""),1772.0)</f>
        <v>1772</v>
      </c>
      <c r="B1773" s="2" t="str">
        <f>IFERROR(__xludf.DUMMYFUNCTION("""COMPUTED_VALUE"""),"Kaligandaki Storage Hydropower Project")</f>
        <v>Kaligandaki Storage Hydropower Project</v>
      </c>
      <c r="C1773" s="2">
        <f>IFERROR(__xludf.DUMMYFUNCTION("""COMPUTED_VALUE"""),660.0)</f>
        <v>660</v>
      </c>
      <c r="D1773" s="2" t="str">
        <f>IFERROR(__xludf.DUMMYFUNCTION("""COMPUTED_VALUE"""),"Kali Gandaki")</f>
        <v>Kali Gandaki</v>
      </c>
      <c r="E1773" s="2">
        <f>IFERROR(__xludf.DUMMYFUNCTION("""COMPUTED_VALUE"""),3752.0)</f>
        <v>3752</v>
      </c>
      <c r="F1773" s="3">
        <f>IFERROR(__xludf.DUMMYFUNCTION("""COMPUTED_VALUE"""),61710.0)</f>
        <v>61710</v>
      </c>
      <c r="G1773" s="2" t="str">
        <f>IFERROR(__xludf.DUMMYFUNCTION("""COMPUTED_VALUE"""),"Nepal Electricity Authority")</f>
        <v>Nepal Electricity Authority</v>
      </c>
      <c r="H1773" s="2" t="str">
        <f>IFERROR(__xludf.DUMMYFUNCTION("""COMPUTED_VALUE"""),"Durbar Marg , Kathmandu, GPO Box: 10020")</f>
        <v>Durbar Marg , Kathmandu, GPO Box: 10020</v>
      </c>
      <c r="I1773" s="2" t="str">
        <f>IFERROR(__xludf.DUMMYFUNCTION("""COMPUTED_VALUE"""),"27o 47' 30""")</f>
        <v>27o 47' 30"</v>
      </c>
      <c r="J1773" s="2" t="str">
        <f>IFERROR(__xludf.DUMMYFUNCTION("""COMPUTED_VALUE"""),"27o 57' 30""")</f>
        <v>27o 57' 30"</v>
      </c>
      <c r="K1773" s="2" t="str">
        <f>IFERROR(__xludf.DUMMYFUNCTION("""COMPUTED_VALUE"""),"83o 37' 30""")</f>
        <v>83o 37' 30"</v>
      </c>
      <c r="L1773" s="2" t="str">
        <f>IFERROR(__xludf.DUMMYFUNCTION("""COMPUTED_VALUE"""),"84o 20' 00""")</f>
        <v>84o 20' 00"</v>
      </c>
      <c r="M1773" s="2" t="str">
        <f>IFERROR(__xludf.DUMMYFUNCTION("""COMPUTED_VALUE"""),"Bharatipur,Naram (Nawalparasi) Darchha,Hungi (Palpa) Kuwakot,Kyakami 
(Syangja) Baidi,Bhirkot (Tanahu)")</f>
        <v>Bharatipur,Naram (Nawalparasi) Darchha,Hungi (Palpa) Kuwakot,Kyakami 
(Syangja) Baidi,Bhirkot (Tanahu)</v>
      </c>
    </row>
    <row r="1774">
      <c r="A1774" s="2">
        <f>IFERROR(__xludf.DUMMYFUNCTION("""COMPUTED_VALUE"""),1773.0)</f>
        <v>1773</v>
      </c>
      <c r="B1774" s="2" t="str">
        <f>IFERROR(__xludf.DUMMYFUNCTION("""COMPUTED_VALUE"""),"Nacha Khola")</f>
        <v>Nacha Khola</v>
      </c>
      <c r="C1774" s="2">
        <f>IFERROR(__xludf.DUMMYFUNCTION("""COMPUTED_VALUE"""),11.0)</f>
        <v>11</v>
      </c>
      <c r="D1774" s="2" t="str">
        <f>IFERROR(__xludf.DUMMYFUNCTION("""COMPUTED_VALUE"""),"Nacha")</f>
        <v>Nacha</v>
      </c>
      <c r="E1774" s="2">
        <f>IFERROR(__xludf.DUMMYFUNCTION("""COMPUTED_VALUE"""),3772.0)</f>
        <v>3772</v>
      </c>
      <c r="F1774" s="3">
        <f>IFERROR(__xludf.DUMMYFUNCTION("""COMPUTED_VALUE"""),61712.0)</f>
        <v>61712</v>
      </c>
      <c r="G1774" s="2" t="str">
        <f>IFERROR(__xludf.DUMMYFUNCTION("""COMPUTED_VALUE"""),"Raju Phuyal, Tarka Raj Sharma, Suraj Bajra Lama and Jiva Lal Neupane")</f>
        <v>Raju Phuyal, Tarka Raj Sharma, Suraj Bajra Lama and Jiva Lal Neupane</v>
      </c>
      <c r="H1774" s="2" t="str">
        <f>IFERROR(__xludf.DUMMYFUNCTION("""COMPUTED_VALUE"""),"Mobile: 9851027414, Kathmandu")</f>
        <v>Mobile: 9851027414, Kathmandu</v>
      </c>
      <c r="I1774" s="2" t="str">
        <f>IFERROR(__xludf.DUMMYFUNCTION("""COMPUTED_VALUE"""),"28o 22' 30""")</f>
        <v>28o 22' 30"</v>
      </c>
      <c r="J1774" s="2" t="str">
        <f>IFERROR(__xludf.DUMMYFUNCTION("""COMPUTED_VALUE"""),"28o 23' 48""")</f>
        <v>28o 23' 48"</v>
      </c>
      <c r="K1774" s="2" t="str">
        <f>IFERROR(__xludf.DUMMYFUNCTION("""COMPUTED_VALUE"""),"84o 08' 21""")</f>
        <v>84o 08' 21"</v>
      </c>
      <c r="L1774" s="2" t="str">
        <f>IFERROR(__xludf.DUMMYFUNCTION("""COMPUTED_VALUE"""),"84o 10' 36""")</f>
        <v>84o 10' 36"</v>
      </c>
      <c r="M1774" s="2" t="str">
        <f>IFERROR(__xludf.DUMMYFUNCTION("""COMPUTED_VALUE"""),"Namarjung (Kaski)")</f>
        <v>Namarjung (Kaski)</v>
      </c>
    </row>
    <row r="1775">
      <c r="A1775" s="2">
        <f>IFERROR(__xludf.DUMMYFUNCTION("""COMPUTED_VALUE"""),1774.0)</f>
        <v>1774</v>
      </c>
      <c r="B1775" s="2" t="str">
        <f>IFERROR(__xludf.DUMMYFUNCTION("""COMPUTED_VALUE"""),"Mawa Khola")</f>
        <v>Mawa Khola</v>
      </c>
      <c r="C1775" s="2">
        <f>IFERROR(__xludf.DUMMYFUNCTION("""COMPUTED_VALUE"""),0.78)</f>
        <v>0.78</v>
      </c>
      <c r="D1775" s="2" t="str">
        <f>IFERROR(__xludf.DUMMYFUNCTION("""COMPUTED_VALUE"""),"Mawa")</f>
        <v>Mawa</v>
      </c>
      <c r="E1775" s="2">
        <f>IFERROR(__xludf.DUMMYFUNCTION("""COMPUTED_VALUE"""),3785.0)</f>
        <v>3785</v>
      </c>
      <c r="F1775" s="3">
        <f>IFERROR(__xludf.DUMMYFUNCTION("""COMPUTED_VALUE"""),61714.0)</f>
        <v>61714</v>
      </c>
      <c r="G1775" s="2" t="str">
        <f>IFERROR(__xludf.DUMMYFUNCTION("""COMPUTED_VALUE"""),"Ganendra Baral + 10 others")</f>
        <v>Ganendra Baral + 10 others</v>
      </c>
      <c r="H1775" s="2" t="str">
        <f>IFERROR(__xludf.DUMMYFUNCTION("""COMPUTED_VALUE"""),"Kurule Tenupa VDC-4, Dhanakuta, 9808603699, 9741103200")</f>
        <v>Kurule Tenupa VDC-4, Dhanakuta, 9808603699, 9741103200</v>
      </c>
      <c r="I1775" s="2" t="str">
        <f>IFERROR(__xludf.DUMMYFUNCTION("""COMPUTED_VALUE"""),"26o 48' 44""")</f>
        <v>26o 48' 44"</v>
      </c>
      <c r="J1775" s="2" t="str">
        <f>IFERROR(__xludf.DUMMYFUNCTION("""COMPUTED_VALUE"""),"26o 50' 07""")</f>
        <v>26o 50' 07"</v>
      </c>
      <c r="K1775" s="2" t="str">
        <f>IFERROR(__xludf.DUMMYFUNCTION("""COMPUTED_VALUE"""),"87o 40' 27""")</f>
        <v>87o 40' 27"</v>
      </c>
      <c r="L1775" s="2" t="str">
        <f>IFERROR(__xludf.DUMMYFUNCTION("""COMPUTED_VALUE"""),"87o 41' 42""")</f>
        <v>87o 41' 42"</v>
      </c>
      <c r="M1775" s="2" t="str">
        <f>IFERROR(__xludf.DUMMYFUNCTION("""COMPUTED_VALUE"""),"Sakfara,Bajho (Ilam)")</f>
        <v>Sakfara,Bajho (Ilam)</v>
      </c>
    </row>
    <row r="1776">
      <c r="A1776" s="2">
        <f>IFERROR(__xludf.DUMMYFUNCTION("""COMPUTED_VALUE"""),1775.0)</f>
        <v>1775</v>
      </c>
      <c r="B1776" s="2" t="str">
        <f>IFERROR(__xludf.DUMMYFUNCTION("""COMPUTED_VALUE"""),"Nisti Panah Storage Project")</f>
        <v>Nisti Panah Storage Project</v>
      </c>
      <c r="C1776" s="2">
        <f>IFERROR(__xludf.DUMMYFUNCTION("""COMPUTED_VALUE"""),145.0)</f>
        <v>145</v>
      </c>
      <c r="D1776" s="2" t="str">
        <f>IFERROR(__xludf.DUMMYFUNCTION("""COMPUTED_VALUE"""),"Nisti, Chhaldi, Panangad")</f>
        <v>Nisti, Chhaldi, Panangad</v>
      </c>
      <c r="E1776" s="2">
        <f>IFERROR(__xludf.DUMMYFUNCTION("""COMPUTED_VALUE"""),3823.0)</f>
        <v>3823</v>
      </c>
      <c r="F1776" s="3">
        <f>IFERROR(__xludf.DUMMYFUNCTION("""COMPUTED_VALUE"""),61714.0)</f>
        <v>61714</v>
      </c>
      <c r="G1776" s="2" t="str">
        <f>IFERROR(__xludf.DUMMYFUNCTION("""COMPUTED_VALUE"""),"Nepal Electricity Authority")</f>
        <v>Nepal Electricity Authority</v>
      </c>
      <c r="H1776" s="2" t="str">
        <f>IFERROR(__xludf.DUMMYFUNCTION("""COMPUTED_VALUE"""),"Durbarmarga, Kathmandu")</f>
        <v>Durbarmarga, Kathmandu</v>
      </c>
      <c r="I1776" s="2" t="str">
        <f>IFERROR(__xludf.DUMMYFUNCTION("""COMPUTED_VALUE"""),"28o 11' 30""")</f>
        <v>28o 11' 30"</v>
      </c>
      <c r="J1776" s="2" t="str">
        <f>IFERROR(__xludf.DUMMYFUNCTION("""COMPUTED_VALUE"""),"28o 05' 00""")</f>
        <v>28o 05' 00"</v>
      </c>
      <c r="K1776" s="2" t="str">
        <f>IFERROR(__xludf.DUMMYFUNCTION("""COMPUTED_VALUE"""),"83o 21' 00""")</f>
        <v>83o 21' 00"</v>
      </c>
      <c r="L1776" s="2" t="str">
        <f>IFERROR(__xludf.DUMMYFUNCTION("""COMPUTED_VALUE"""),"83o 11' 00""")</f>
        <v>83o 11' 00"</v>
      </c>
      <c r="M1776" s="2" t="str">
        <f>IFERROR(__xludf.DUMMYFUNCTION("""COMPUTED_VALUE"""),"Balithum,Dirbung,Arje,Turang,Tamghas,Hastichaur,Dohali,Dalamchaur,Badagaun,Arkhale,Paralmi,Kurdha 
(Gulmi)")</f>
        <v>Balithum,Dirbung,Arje,Turang,Tamghas,Hastichaur,Dohali,Dalamchaur,Badagaun,Arkhale,Paralmi,Kurdha 
(Gulmi)</v>
      </c>
    </row>
    <row r="1777">
      <c r="A1777" s="2">
        <f>IFERROR(__xludf.DUMMYFUNCTION("""COMPUTED_VALUE"""),1776.0)</f>
        <v>1776</v>
      </c>
      <c r="B1777" s="2" t="str">
        <f>IFERROR(__xludf.DUMMYFUNCTION("""COMPUTED_VALUE"""),"Chingad Khola Small Hydropower Project")</f>
        <v>Chingad Khola Small Hydropower Project</v>
      </c>
      <c r="C1777" s="2">
        <f>IFERROR(__xludf.DUMMYFUNCTION("""COMPUTED_VALUE"""),3.0)</f>
        <v>3</v>
      </c>
      <c r="D1777" s="2" t="str">
        <f>IFERROR(__xludf.DUMMYFUNCTION("""COMPUTED_VALUE"""),"Chingad")</f>
        <v>Chingad</v>
      </c>
      <c r="E1777" s="2">
        <f>IFERROR(__xludf.DUMMYFUNCTION("""COMPUTED_VALUE"""),3796.0)</f>
        <v>3796</v>
      </c>
      <c r="F1777" s="3">
        <f>IFERROR(__xludf.DUMMYFUNCTION("""COMPUTED_VALUE"""),61716.0)</f>
        <v>61716</v>
      </c>
      <c r="G1777" s="2" t="str">
        <f>IFERROR(__xludf.DUMMYFUNCTION("""COMPUTED_VALUE"""),"Bhakta Bahadur Pun, Gopal Sharma")</f>
        <v>Bhakta Bahadur Pun, Gopal Sharma</v>
      </c>
      <c r="H1777" s="2" t="str">
        <f>IFERROR(__xludf.DUMMYFUNCTION("""COMPUTED_VALUE"""),"Vijeswari-8, Rukum, Tel:9857060539")</f>
        <v>Vijeswari-8, Rukum, Tel:9857060539</v>
      </c>
      <c r="I1777" s="2" t="str">
        <f>IFERROR(__xludf.DUMMYFUNCTION("""COMPUTED_VALUE"""),"28o 33' 19""")</f>
        <v>28o 33' 19"</v>
      </c>
      <c r="J1777" s="2" t="str">
        <f>IFERROR(__xludf.DUMMYFUNCTION("""COMPUTED_VALUE"""),"28o 34' 17""")</f>
        <v>28o 34' 17"</v>
      </c>
      <c r="K1777" s="2" t="str">
        <f>IFERROR(__xludf.DUMMYFUNCTION("""COMPUTED_VALUE"""),"81o 44' 32""")</f>
        <v>81o 44' 32"</v>
      </c>
      <c r="L1777" s="2" t="str">
        <f>IFERROR(__xludf.DUMMYFUNCTION("""COMPUTED_VALUE"""),"81o 46' 15""")</f>
        <v>81o 46' 15"</v>
      </c>
      <c r="M1777" s="2" t="str">
        <f>IFERROR(__xludf.DUMMYFUNCTION("""COMPUTED_VALUE"""),"Sotokhani (Surkhet)")</f>
        <v>Sotokhani (Surkhet)</v>
      </c>
    </row>
    <row r="1778">
      <c r="A1778" s="2">
        <f>IFERROR(__xludf.DUMMYFUNCTION("""COMPUTED_VALUE"""),1777.0)</f>
        <v>1777</v>
      </c>
      <c r="B1778" s="2" t="str">
        <f>IFERROR(__xludf.DUMMYFUNCTION("""COMPUTED_VALUE"""),"Kaligandaki Gorge Hydropower Project")</f>
        <v>Kaligandaki Gorge Hydropower Project</v>
      </c>
      <c r="C1778" s="2">
        <f>IFERROR(__xludf.DUMMYFUNCTION("""COMPUTED_VALUE"""),111.0)</f>
        <v>111</v>
      </c>
      <c r="D1778" s="2" t="str">
        <f>IFERROR(__xludf.DUMMYFUNCTION("""COMPUTED_VALUE"""),"Kali Gandaki")</f>
        <v>Kali Gandaki</v>
      </c>
      <c r="E1778" s="2">
        <f>IFERROR(__xludf.DUMMYFUNCTION("""COMPUTED_VALUE"""),3828.0)</f>
        <v>3828</v>
      </c>
      <c r="F1778" s="3">
        <f>IFERROR(__xludf.DUMMYFUNCTION("""COMPUTED_VALUE"""),61720.0)</f>
        <v>61720</v>
      </c>
      <c r="G1778" s="2" t="str">
        <f>IFERROR(__xludf.DUMMYFUNCTION("""COMPUTED_VALUE"""),"Sustainable Hydropower Pvt. Ltd.")</f>
        <v>Sustainable Hydropower Pvt. Ltd.</v>
      </c>
      <c r="H1778" s="2" t="str">
        <f>IFERROR(__xludf.DUMMYFUNCTION("""COMPUTED_VALUE"""),"Thulo Bharyang, Swoyambhu-15, Kathmandu, Phone: 01-4033750")</f>
        <v>Thulo Bharyang, Swoyambhu-15, Kathmandu, Phone: 01-4033750</v>
      </c>
      <c r="I1778" s="2" t="str">
        <f>IFERROR(__xludf.DUMMYFUNCTION("""COMPUTED_VALUE"""),"28o 31' 15""")</f>
        <v>28o 31' 15"</v>
      </c>
      <c r="J1778" s="2" t="str">
        <f>IFERROR(__xludf.DUMMYFUNCTION("""COMPUTED_VALUE"""),"28o 36' 15""")</f>
        <v>28o 36' 15"</v>
      </c>
      <c r="K1778" s="2" t="str">
        <f>IFERROR(__xludf.DUMMYFUNCTION("""COMPUTED_VALUE"""),"83o 37' 15""")</f>
        <v>83o 37' 15"</v>
      </c>
      <c r="L1778" s="2" t="str">
        <f>IFERROR(__xludf.DUMMYFUNCTION("""COMPUTED_VALUE"""),"83o 40' 20""")</f>
        <v>83o 40' 20"</v>
      </c>
      <c r="M1778" s="2" t="str">
        <f>IFERROR(__xludf.DUMMYFUNCTION("""COMPUTED_VALUE"""),"Lete,Kunjo (Mustang) Narchyang,Dana (Myagdi)")</f>
        <v>Lete,Kunjo (Mustang) Narchyang,Dana (Myagdi)</v>
      </c>
    </row>
    <row r="1779">
      <c r="A1779" s="2">
        <f>IFERROR(__xludf.DUMMYFUNCTION("""COMPUTED_VALUE"""),1778.0)</f>
        <v>1778</v>
      </c>
      <c r="B1779" s="2" t="str">
        <f>IFERROR(__xludf.DUMMYFUNCTION("""COMPUTED_VALUE"""),"Uttar Ganga Storage Project")</f>
        <v>Uttar Ganga Storage Project</v>
      </c>
      <c r="C1779" s="2">
        <f>IFERROR(__xludf.DUMMYFUNCTION("""COMPUTED_VALUE"""),340.0)</f>
        <v>340</v>
      </c>
      <c r="D1779" s="2" t="str">
        <f>IFERROR(__xludf.DUMMYFUNCTION("""COMPUTED_VALUE"""),"Uttar Ganga")</f>
        <v>Uttar Ganga</v>
      </c>
      <c r="E1779" s="2">
        <f>IFERROR(__xludf.DUMMYFUNCTION("""COMPUTED_VALUE"""),3868.0)</f>
        <v>3868</v>
      </c>
      <c r="F1779" s="3">
        <f>IFERROR(__xludf.DUMMYFUNCTION("""COMPUTED_VALUE"""),61726.0)</f>
        <v>61726</v>
      </c>
      <c r="G1779" s="2" t="str">
        <f>IFERROR(__xludf.DUMMYFUNCTION("""COMPUTED_VALUE"""),"Chilime Hydropower Company Limited")</f>
        <v>Chilime Hydropower Company Limited</v>
      </c>
      <c r="H1779" s="2" t="str">
        <f>IFERROR(__xludf.DUMMYFUNCTION("""COMPUTED_VALUE"""),"Gyaneswor, Kathmandu")</f>
        <v>Gyaneswor, Kathmandu</v>
      </c>
      <c r="I1779" s="2" t="str">
        <f>IFERROR(__xludf.DUMMYFUNCTION("""COMPUTED_VALUE"""),"28o 22' 30""")</f>
        <v>28o 22' 30"</v>
      </c>
      <c r="J1779" s="2" t="str">
        <f>IFERROR(__xludf.DUMMYFUNCTION("""COMPUTED_VALUE"""),"28o 31' 13""")</f>
        <v>28o 31' 13"</v>
      </c>
      <c r="K1779" s="2" t="str">
        <f>IFERROR(__xludf.DUMMYFUNCTION("""COMPUTED_VALUE"""),"82o 55' 00""")</f>
        <v>82o 55' 00"</v>
      </c>
      <c r="L1779" s="2" t="str">
        <f>IFERROR(__xludf.DUMMYFUNCTION("""COMPUTED_VALUE"""),"83o 06' 08""")</f>
        <v>83o 06' 08"</v>
      </c>
      <c r="M1779" s="2" t="str">
        <f>IFERROR(__xludf.DUMMYFUNCTION("""COMPUTED_VALUE"""),"Bowang,Nisi (Baglung)")</f>
        <v>Bowang,Nisi (Baglung)</v>
      </c>
    </row>
    <row r="1780">
      <c r="A1780" s="2">
        <f>IFERROR(__xludf.DUMMYFUNCTION("""COMPUTED_VALUE"""),1779.0)</f>
        <v>1779</v>
      </c>
      <c r="B1780" s="2" t="str">
        <f>IFERROR(__xludf.DUMMYFUNCTION("""COMPUTED_VALUE"""),"Sorun Khola")</f>
        <v>Sorun Khola</v>
      </c>
      <c r="C1780" s="2">
        <f>IFERROR(__xludf.DUMMYFUNCTION("""COMPUTED_VALUE"""),5.0)</f>
        <v>5</v>
      </c>
      <c r="D1780" s="2" t="str">
        <f>IFERROR(__xludf.DUMMYFUNCTION("""COMPUTED_VALUE"""),"Sorun")</f>
        <v>Sorun</v>
      </c>
      <c r="E1780" s="2">
        <f>IFERROR(__xludf.DUMMYFUNCTION("""COMPUTED_VALUE"""),3870.0)</f>
        <v>3870</v>
      </c>
      <c r="F1780" s="3">
        <f>IFERROR(__xludf.DUMMYFUNCTION("""COMPUTED_VALUE"""),61726.0)</f>
        <v>61726</v>
      </c>
      <c r="G1780" s="2" t="str">
        <f>IFERROR(__xludf.DUMMYFUNCTION("""COMPUTED_VALUE"""),"Shubh Hydropower Co P Ltd")</f>
        <v>Shubh Hydropower Co P Ltd</v>
      </c>
      <c r="H1780" s="2" t="str">
        <f>IFERROR(__xludf.DUMMYFUNCTION("""COMPUTED_VALUE"""),"Ph 4431689, 9851123264")</f>
        <v>Ph 4431689, 9851123264</v>
      </c>
      <c r="I1780" s="2" t="str">
        <f>IFERROR(__xludf.DUMMYFUNCTION("""COMPUTED_VALUE"""),"27o 45' 00""")</f>
        <v>27o 45' 00"</v>
      </c>
      <c r="J1780" s="2" t="str">
        <f>IFERROR(__xludf.DUMMYFUNCTION("""COMPUTED_VALUE"""),"27o 47' 42""")</f>
        <v>27o 47' 42"</v>
      </c>
      <c r="K1780" s="2" t="str">
        <f>IFERROR(__xludf.DUMMYFUNCTION("""COMPUTED_VALUE"""),"86o 06' 16""")</f>
        <v>86o 06' 16"</v>
      </c>
      <c r="L1780" s="2" t="str">
        <f>IFERROR(__xludf.DUMMYFUNCTION("""COMPUTED_VALUE"""),"86o 09' 16""")</f>
        <v>86o 09' 16"</v>
      </c>
      <c r="M1780" s="2" t="str">
        <f>IFERROR(__xludf.DUMMYFUNCTION("""COMPUTED_VALUE"""),"Babare (Dolakha)")</f>
        <v>Babare (Dolakha)</v>
      </c>
    </row>
    <row r="1781">
      <c r="A1781" s="2">
        <f>IFERROR(__xludf.DUMMYFUNCTION("""COMPUTED_VALUE"""),1780.0)</f>
        <v>1780</v>
      </c>
      <c r="B1781" s="2" t="str">
        <f>IFERROR(__xludf.DUMMYFUNCTION("""COMPUTED_VALUE"""),"Manamaya Khola")</f>
        <v>Manamaya Khola</v>
      </c>
      <c r="C1781" s="2">
        <f>IFERROR(__xludf.DUMMYFUNCTION("""COMPUTED_VALUE"""),0.99)</f>
        <v>0.99</v>
      </c>
      <c r="D1781" s="2" t="str">
        <f>IFERROR(__xludf.DUMMYFUNCTION("""COMPUTED_VALUE"""),"Manamaya")</f>
        <v>Manamaya</v>
      </c>
      <c r="E1781" s="2">
        <f>IFERROR(__xludf.DUMMYFUNCTION("""COMPUTED_VALUE"""),3871.0)</f>
        <v>3871</v>
      </c>
      <c r="F1781" s="3">
        <f>IFERROR(__xludf.DUMMYFUNCTION("""COMPUTED_VALUE"""),61726.0)</f>
        <v>61726</v>
      </c>
      <c r="G1781" s="2" t="str">
        <f>IFERROR(__xludf.DUMMYFUNCTION("""COMPUTED_VALUE"""),"Dharma Singh Limbu, Bharat Bahadur Limbu, Sudip Linthep")</f>
        <v>Dharma Singh Limbu, Bharat Bahadur Limbu, Sudip Linthep</v>
      </c>
      <c r="H1781" s="2" t="str">
        <f>IFERROR(__xludf.DUMMYFUNCTION("""COMPUTED_VALUE"""),"Hatti Khark 2, Dhanakuta, 9742045798")</f>
        <v>Hatti Khark 2, Dhanakuta, 9742045798</v>
      </c>
      <c r="I1781" s="2" t="str">
        <f>IFERROR(__xludf.DUMMYFUNCTION("""COMPUTED_VALUE"""),"27o 05' 38""")</f>
        <v>27o 05' 38"</v>
      </c>
      <c r="J1781" s="2" t="str">
        <f>IFERROR(__xludf.DUMMYFUNCTION("""COMPUTED_VALUE"""),"27o 06' 27""")</f>
        <v>27o 06' 27"</v>
      </c>
      <c r="K1781" s="2" t="str">
        <f>IFERROR(__xludf.DUMMYFUNCTION("""COMPUTED_VALUE"""),"87o 16' 21""")</f>
        <v>87o 16' 21"</v>
      </c>
      <c r="L1781" s="2" t="str">
        <f>IFERROR(__xludf.DUMMYFUNCTION("""COMPUTED_VALUE"""),"87o 18' 55""")</f>
        <v>87o 18' 55"</v>
      </c>
      <c r="M1781" s="2" t="str">
        <f>IFERROR(__xludf.DUMMYFUNCTION("""COMPUTED_VALUE"""),"Leguwa (Dhankuta)")</f>
        <v>Leguwa (Dhankuta)</v>
      </c>
    </row>
    <row r="1782">
      <c r="A1782" s="2">
        <f>IFERROR(__xludf.DUMMYFUNCTION("""COMPUTED_VALUE"""),1781.0)</f>
        <v>1781</v>
      </c>
      <c r="B1782" s="2" t="str">
        <f>IFERROR(__xludf.DUMMYFUNCTION("""COMPUTED_VALUE"""),"Langtang HEP")</f>
        <v>Langtang HEP</v>
      </c>
      <c r="C1782" s="2">
        <f>IFERROR(__xludf.DUMMYFUNCTION("""COMPUTED_VALUE"""),232.0)</f>
        <v>232</v>
      </c>
      <c r="D1782" s="2" t="str">
        <f>IFERROR(__xludf.DUMMYFUNCTION("""COMPUTED_VALUE"""),"Langtang")</f>
        <v>Langtang</v>
      </c>
      <c r="E1782" s="2">
        <f>IFERROR(__xludf.DUMMYFUNCTION("""COMPUTED_VALUE"""),3898.0)</f>
        <v>3898</v>
      </c>
      <c r="F1782" s="3">
        <f>IFERROR(__xludf.DUMMYFUNCTION("""COMPUTED_VALUE"""),61733.0)</f>
        <v>61733</v>
      </c>
      <c r="G1782" s="2" t="str">
        <f>IFERROR(__xludf.DUMMYFUNCTION("""COMPUTED_VALUE"""),"Chlime HP Co Limited")</f>
        <v>Chlime HP Co Limited</v>
      </c>
      <c r="H1782" s="2" t="str">
        <f>IFERROR(__xludf.DUMMYFUNCTION("""COMPUTED_VALUE"""),"Lazimpat KTM")</f>
        <v>Lazimpat KTM</v>
      </c>
      <c r="I1782" s="2" t="str">
        <f>IFERROR(__xludf.DUMMYFUNCTION("""COMPUTED_VALUE"""),"28o 09' 00""")</f>
        <v>28o 09' 00"</v>
      </c>
      <c r="J1782" s="2" t="str">
        <f>IFERROR(__xludf.DUMMYFUNCTION("""COMPUTED_VALUE"""),"28o 15' 00""")</f>
        <v>28o 15' 00"</v>
      </c>
      <c r="K1782" s="2" t="str">
        <f>IFERROR(__xludf.DUMMYFUNCTION("""COMPUTED_VALUE"""),"85o 20' 00""")</f>
        <v>85o 20' 00"</v>
      </c>
      <c r="L1782" s="2" t="str">
        <f>IFERROR(__xludf.DUMMYFUNCTION("""COMPUTED_VALUE"""),"85o 30' 00""")</f>
        <v>85o 30' 00"</v>
      </c>
      <c r="M1782" s="2" t="str">
        <f>IFERROR(__xludf.DUMMYFUNCTION("""COMPUTED_VALUE"""),"Langtang,Syafru,Briddhim (Rasuwa)")</f>
        <v>Langtang,Syafru,Briddhim (Rasuwa)</v>
      </c>
    </row>
    <row r="1783">
      <c r="A1783" s="2">
        <f>IFERROR(__xludf.DUMMYFUNCTION("""COMPUTED_VALUE"""),1782.0)</f>
        <v>1782</v>
      </c>
      <c r="B1783" s="2" t="str">
        <f>IFERROR(__xludf.DUMMYFUNCTION("""COMPUTED_VALUE"""),"Upper Tamor A")</f>
        <v>Upper Tamor A</v>
      </c>
      <c r="C1783" s="2">
        <f>IFERROR(__xludf.DUMMYFUNCTION("""COMPUTED_VALUE"""),90.0)</f>
        <v>90</v>
      </c>
      <c r="D1783" s="2" t="str">
        <f>IFERROR(__xludf.DUMMYFUNCTION("""COMPUTED_VALUE"""),"Tamor")</f>
        <v>Tamor</v>
      </c>
      <c r="E1783" s="2">
        <f>IFERROR(__xludf.DUMMYFUNCTION("""COMPUTED_VALUE"""),3920.0)</f>
        <v>3920</v>
      </c>
      <c r="F1783" s="3">
        <f>IFERROR(__xludf.DUMMYFUNCTION("""COMPUTED_VALUE"""),61734.0)</f>
        <v>61734</v>
      </c>
      <c r="G1783" s="2" t="str">
        <f>IFERROR(__xludf.DUMMYFUNCTION("""COMPUTED_VALUE"""),"Faktanglung Hydropower Company Pvt. Ltd.")</f>
        <v>Faktanglung Hydropower Company Pvt. Ltd.</v>
      </c>
      <c r="H1783" s="2" t="str">
        <f>IFERROR(__xludf.DUMMYFUNCTION("""COMPUTED_VALUE"""),"Jaldhunga Marg, Kathmandu 3, P.O. Box 20832, Phone 4372869, 9751083669")</f>
        <v>Jaldhunga Marg, Kathmandu 3, P.O. Box 20832, Phone 4372869, 9751083669</v>
      </c>
      <c r="I1783" s="2" t="str">
        <f>IFERROR(__xludf.DUMMYFUNCTION("""COMPUTED_VALUE"""),"27o 39' 22""")</f>
        <v>27o 39' 22"</v>
      </c>
      <c r="J1783" s="2" t="str">
        <f>IFERROR(__xludf.DUMMYFUNCTION("""COMPUTED_VALUE"""),"27o 42' 39""")</f>
        <v>27o 42' 39"</v>
      </c>
      <c r="K1783" s="2" t="str">
        <f>IFERROR(__xludf.DUMMYFUNCTION("""COMPUTED_VALUE"""),"87o 44' 25""")</f>
        <v>87o 44' 25"</v>
      </c>
      <c r="L1783" s="2" t="str">
        <f>IFERROR(__xludf.DUMMYFUNCTION("""COMPUTED_VALUE"""),"87o 47' 54""")</f>
        <v>87o 47' 54"</v>
      </c>
      <c r="M1783" s="2" t="str">
        <f>IFERROR(__xludf.DUMMYFUNCTION("""COMPUTED_VALUE"""),"Olangchung (Taplejung)")</f>
        <v>Olangchung (Taplejung)</v>
      </c>
    </row>
    <row r="1784">
      <c r="A1784" s="2">
        <f>IFERROR(__xludf.DUMMYFUNCTION("""COMPUTED_VALUE"""),1783.0)</f>
        <v>1783</v>
      </c>
      <c r="B1784" s="2" t="str">
        <f>IFERROR(__xludf.DUMMYFUNCTION("""COMPUTED_VALUE"""),"Sapsup Khola")</f>
        <v>Sapsup Khola</v>
      </c>
      <c r="C1784" s="2">
        <f>IFERROR(__xludf.DUMMYFUNCTION("""COMPUTED_VALUE"""),0.99)</f>
        <v>0.99</v>
      </c>
      <c r="D1784" s="2" t="str">
        <f>IFERROR(__xludf.DUMMYFUNCTION("""COMPUTED_VALUE"""),"Sapsup")</f>
        <v>Sapsup</v>
      </c>
      <c r="E1784" s="2">
        <f>IFERROR(__xludf.DUMMYFUNCTION("""COMPUTED_VALUE"""),3941.0)</f>
        <v>3941</v>
      </c>
      <c r="F1784" s="3">
        <f>IFERROR(__xludf.DUMMYFUNCTION("""COMPUTED_VALUE"""),61738.0)</f>
        <v>61738</v>
      </c>
      <c r="G1784" s="2" t="str">
        <f>IFERROR(__xludf.DUMMYFUNCTION("""COMPUTED_VALUE"""),"Lochan Kumar Shrestha")</f>
        <v>Lochan Kumar Shrestha</v>
      </c>
      <c r="H1784" s="2" t="str">
        <f>IFERROR(__xludf.DUMMYFUNCTION("""COMPUTED_VALUE"""),"P.O.Box. 23746, Kathamndu, Phone 2041017, 9751041017")</f>
        <v>P.O.Box. 23746, Kathamndu, Phone 2041017, 9751041017</v>
      </c>
      <c r="I1784" s="2" t="str">
        <f>IFERROR(__xludf.DUMMYFUNCTION("""COMPUTED_VALUE"""),"27o 08' 30""")</f>
        <v>27o 08' 30"</v>
      </c>
      <c r="J1784" s="2" t="str">
        <f>IFERROR(__xludf.DUMMYFUNCTION("""COMPUTED_VALUE"""),"27o 09' 40""")</f>
        <v>27o 09' 40"</v>
      </c>
      <c r="K1784" s="2" t="str">
        <f>IFERROR(__xludf.DUMMYFUNCTION("""COMPUTED_VALUE"""),"86o 45' 30""")</f>
        <v>86o 45' 30"</v>
      </c>
      <c r="L1784" s="2" t="str">
        <f>IFERROR(__xludf.DUMMYFUNCTION("""COMPUTED_VALUE"""),"86o 48' 20""")</f>
        <v>86o 48' 20"</v>
      </c>
      <c r="M1784" s="2" t="str">
        <f>IFERROR(__xludf.DUMMYFUNCTION("""COMPUTED_VALUE"""),"Khalle,Lafwang,Tempa (Khotang)")</f>
        <v>Khalle,Lafwang,Tempa (Khotang)</v>
      </c>
    </row>
    <row r="1785">
      <c r="A1785" s="2">
        <f>IFERROR(__xludf.DUMMYFUNCTION("""COMPUTED_VALUE"""),1784.0)</f>
        <v>1784</v>
      </c>
      <c r="B1785" s="2" t="str">
        <f>IFERROR(__xludf.DUMMYFUNCTION("""COMPUTED_VALUE"""),"Upper Jogmai")</f>
        <v>Upper Jogmai</v>
      </c>
      <c r="C1785" s="2">
        <f>IFERROR(__xludf.DUMMYFUNCTION("""COMPUTED_VALUE"""),3.0)</f>
        <v>3</v>
      </c>
      <c r="D1785" s="2" t="str">
        <f>IFERROR(__xludf.DUMMYFUNCTION("""COMPUTED_VALUE"""),"Jogmai Khola")</f>
        <v>Jogmai Khola</v>
      </c>
      <c r="E1785" s="2">
        <f>IFERROR(__xludf.DUMMYFUNCTION("""COMPUTED_VALUE"""),3977.0)</f>
        <v>3977</v>
      </c>
      <c r="F1785" s="3">
        <f>IFERROR(__xludf.DUMMYFUNCTION("""COMPUTED_VALUE"""),61745.0)</f>
        <v>61745</v>
      </c>
      <c r="G1785" s="2" t="str">
        <f>IFERROR(__xludf.DUMMYFUNCTION("""COMPUTED_VALUE"""),"Tikaram KC, Rabindra Ghimire, Rupnarayan Baitha")</f>
        <v>Tikaram KC, Rabindra Ghimire, Rupnarayan Baitha</v>
      </c>
      <c r="H1785" s="2" t="str">
        <f>IFERROR(__xludf.DUMMYFUNCTION("""COMPUTED_VALUE"""),"Handanwa-5 Taplejung, 9741235060")</f>
        <v>Handanwa-5 Taplejung, 9741235060</v>
      </c>
      <c r="I1785" s="2" t="str">
        <f>IFERROR(__xludf.DUMMYFUNCTION("""COMPUTED_VALUE"""),"26o 54' 21""")</f>
        <v>26o 54' 21"</v>
      </c>
      <c r="J1785" s="2" t="str">
        <f>IFERROR(__xludf.DUMMYFUNCTION("""COMPUTED_VALUE"""),"26o 55' 28""")</f>
        <v>26o 55' 28"</v>
      </c>
      <c r="K1785" s="2" t="str">
        <f>IFERROR(__xludf.DUMMYFUNCTION("""COMPUTED_VALUE"""),"88o 02' 03""")</f>
        <v>88o 02' 03"</v>
      </c>
      <c r="L1785" s="2" t="str">
        <f>IFERROR(__xludf.DUMMYFUNCTION("""COMPUTED_VALUE"""),"88o 03' 34""")</f>
        <v>88o 03' 34"</v>
      </c>
      <c r="M1785" s="2" t="str">
        <f>IFERROR(__xludf.DUMMYFUNCTION("""COMPUTED_VALUE"""),"Phikal Bazar (Ilam)")</f>
        <v>Phikal Bazar (Ilam)</v>
      </c>
    </row>
    <row r="1786">
      <c r="A1786" s="2">
        <f>IFERROR(__xludf.DUMMYFUNCTION("""COMPUTED_VALUE"""),1785.0)</f>
        <v>1785</v>
      </c>
      <c r="B1786" s="2" t="str">
        <f>IFERROR(__xludf.DUMMYFUNCTION("""COMPUTED_VALUE"""),"Lower Jogmai")</f>
        <v>Lower Jogmai</v>
      </c>
      <c r="C1786" s="2">
        <f>IFERROR(__xludf.DUMMYFUNCTION("""COMPUTED_VALUE"""),3.85)</f>
        <v>3.85</v>
      </c>
      <c r="D1786" s="2" t="str">
        <f>IFERROR(__xludf.DUMMYFUNCTION("""COMPUTED_VALUE"""),"Jogmai Khola")</f>
        <v>Jogmai Khola</v>
      </c>
      <c r="E1786" s="2">
        <f>IFERROR(__xludf.DUMMYFUNCTION("""COMPUTED_VALUE"""),3978.0)</f>
        <v>3978</v>
      </c>
      <c r="F1786" s="3">
        <f>IFERROR(__xludf.DUMMYFUNCTION("""COMPUTED_VALUE"""),61745.0)</f>
        <v>61745</v>
      </c>
      <c r="G1786" s="2" t="str">
        <f>IFERROR(__xludf.DUMMYFUNCTION("""COMPUTED_VALUE"""),"Krishna Bahadur Bhusal, Dil Bahadur Shrestha, Rabin Kumar Timilsena")</f>
        <v>Krishna Bahadur Bhusal, Dil Bahadur Shrestha, Rabin Kumar Timilsena</v>
      </c>
      <c r="H1786" s="2" t="str">
        <f>IFERROR(__xludf.DUMMYFUNCTION("""COMPUTED_VALUE"""),"Jalmutha, Gulmi, 9751055226, 9741255099")</f>
        <v>Jalmutha, Gulmi, 9751055226, 9741255099</v>
      </c>
      <c r="I1786" s="2" t="str">
        <f>IFERROR(__xludf.DUMMYFUNCTION("""COMPUTED_VALUE"""),"26o 53' 54""")</f>
        <v>26o 53' 54"</v>
      </c>
      <c r="J1786" s="2" t="str">
        <f>IFERROR(__xludf.DUMMYFUNCTION("""COMPUTED_VALUE"""),"26o 55' 00""")</f>
        <v>26o 55' 00"</v>
      </c>
      <c r="K1786" s="2" t="str">
        <f>IFERROR(__xludf.DUMMYFUNCTION("""COMPUTED_VALUE"""),"88o 00' 00""")</f>
        <v>88o 00' 00"</v>
      </c>
      <c r="L1786" s="2" t="str">
        <f>IFERROR(__xludf.DUMMYFUNCTION("""COMPUTED_VALUE"""),"88o 01' 35""")</f>
        <v>88o 01' 35"</v>
      </c>
      <c r="M1786" s="2" t="str">
        <f>IFERROR(__xludf.DUMMYFUNCTION("""COMPUTED_VALUE"""),"Namsaling (Ilam)")</f>
        <v>Namsaling (Ilam)</v>
      </c>
    </row>
    <row r="1787">
      <c r="A1787" s="2">
        <f>IFERROR(__xludf.DUMMYFUNCTION("""COMPUTED_VALUE"""),1786.0)</f>
        <v>1786</v>
      </c>
      <c r="B1787" s="2" t="str">
        <f>IFERROR(__xludf.DUMMYFUNCTION("""COMPUTED_VALUE"""),"Lower Rawa Khola")</f>
        <v>Lower Rawa Khola</v>
      </c>
      <c r="C1787" s="2">
        <f>IFERROR(__xludf.DUMMYFUNCTION("""COMPUTED_VALUE"""),0.941)</f>
        <v>0.941</v>
      </c>
      <c r="D1787" s="2" t="str">
        <f>IFERROR(__xludf.DUMMYFUNCTION("""COMPUTED_VALUE"""),"Rawa Khola")</f>
        <v>Rawa Khola</v>
      </c>
      <c r="E1787" s="2">
        <f>IFERROR(__xludf.DUMMYFUNCTION("""COMPUTED_VALUE"""),4013.0)</f>
        <v>4013</v>
      </c>
      <c r="F1787" s="3">
        <f>IFERROR(__xludf.DUMMYFUNCTION("""COMPUTED_VALUE"""),61749.0)</f>
        <v>61749</v>
      </c>
      <c r="G1787" s="2" t="str">
        <f>IFERROR(__xludf.DUMMYFUNCTION("""COMPUTED_VALUE"""),"Sisam Hydropower Pvt. Ltd.")</f>
        <v>Sisam Hydropower Pvt. Ltd.</v>
      </c>
      <c r="H1787" s="2" t="str">
        <f>IFERROR(__xludf.DUMMYFUNCTION("""COMPUTED_VALUE"""),"Talchhikhel, Lalitpur")</f>
        <v>Talchhikhel, Lalitpur</v>
      </c>
      <c r="I1787" s="2" t="str">
        <f>IFERROR(__xludf.DUMMYFUNCTION("""COMPUTED_VALUE"""),"27o 16' 10""")</f>
        <v>27o 16' 10"</v>
      </c>
      <c r="J1787" s="2" t="str">
        <f>IFERROR(__xludf.DUMMYFUNCTION("""COMPUTED_VALUE"""),"27o 17' 53""")</f>
        <v>27o 17' 53"</v>
      </c>
      <c r="K1787" s="2" t="str">
        <f>IFERROR(__xludf.DUMMYFUNCTION("""COMPUTED_VALUE"""),"86o 40' 59""")</f>
        <v>86o 40' 59"</v>
      </c>
      <c r="L1787" s="2" t="str">
        <f>IFERROR(__xludf.DUMMYFUNCTION("""COMPUTED_VALUE"""),"86o 43' 19""")</f>
        <v>86o 43' 19"</v>
      </c>
      <c r="M1787" s="2" t="str">
        <f>IFERROR(__xludf.DUMMYFUNCTION("""COMPUTED_VALUE"""),"Kharpa (Khotang)")</f>
        <v>Kharpa (Khotang)</v>
      </c>
    </row>
    <row r="1788">
      <c r="A1788" s="2">
        <f>IFERROR(__xludf.DUMMYFUNCTION("""COMPUTED_VALUE"""),1787.0)</f>
        <v>1787</v>
      </c>
      <c r="B1788" s="2" t="str">
        <f>IFERROR(__xludf.DUMMYFUNCTION("""COMPUTED_VALUE"""),"Shyam Khola")</f>
        <v>Shyam Khola</v>
      </c>
      <c r="C1788" s="2">
        <f>IFERROR(__xludf.DUMMYFUNCTION("""COMPUTED_VALUE"""),0.89)</f>
        <v>0.89</v>
      </c>
      <c r="D1788" s="2" t="str">
        <f>IFERROR(__xludf.DUMMYFUNCTION("""COMPUTED_VALUE"""),"Shyam")</f>
        <v>Shyam</v>
      </c>
      <c r="E1788" s="2">
        <f>IFERROR(__xludf.DUMMYFUNCTION("""COMPUTED_VALUE"""),4023.0)</f>
        <v>4023</v>
      </c>
      <c r="F1788" s="3">
        <f>IFERROR(__xludf.DUMMYFUNCTION("""COMPUTED_VALUE"""),61750.0)</f>
        <v>61750</v>
      </c>
      <c r="G1788" s="2" t="str">
        <f>IFERROR(__xludf.DUMMYFUNCTION("""COMPUTED_VALUE"""),"Sherpa Harbal &amp; Agriculture Pvt.Ltd")</f>
        <v>Sherpa Harbal &amp; Agriculture Pvt.Ltd</v>
      </c>
      <c r="H1788" s="2" t="str">
        <f>IFERROR(__xludf.DUMMYFUNCTION("""COMPUTED_VALUE"""),"Kirtipur 7, Kathmandu")</f>
        <v>Kirtipur 7, Kathmandu</v>
      </c>
      <c r="I1788" s="2" t="str">
        <f>IFERROR(__xludf.DUMMYFUNCTION("""COMPUTED_VALUE"""),"27o 18' 22""")</f>
        <v>27o 18' 22"</v>
      </c>
      <c r="J1788" s="2" t="str">
        <f>IFERROR(__xludf.DUMMYFUNCTION("""COMPUTED_VALUE"""),"27o 19' 26""")</f>
        <v>27o 19' 26"</v>
      </c>
      <c r="K1788" s="2" t="str">
        <f>IFERROR(__xludf.DUMMYFUNCTION("""COMPUTED_VALUE"""),"87o 03' 31""")</f>
        <v>87o 03' 31"</v>
      </c>
      <c r="L1788" s="2" t="str">
        <f>IFERROR(__xludf.DUMMYFUNCTION("""COMPUTED_VALUE"""),"87o 05' 00""")</f>
        <v>87o 05' 00"</v>
      </c>
      <c r="M1788" s="2" t="str">
        <f>IFERROR(__xludf.DUMMYFUNCTION("""COMPUTED_VALUE"""),"Keemalung (Bhojpur)")</f>
        <v>Keemalung (Bhojpur)</v>
      </c>
    </row>
    <row r="1789">
      <c r="A1789" s="2">
        <f>IFERROR(__xludf.DUMMYFUNCTION("""COMPUTED_VALUE"""),1788.0)</f>
        <v>1788</v>
      </c>
      <c r="B1789" s="2" t="str">
        <f>IFERROR(__xludf.DUMMYFUNCTION("""COMPUTED_VALUE"""),"Super Pikhuwa")</f>
        <v>Super Pikhuwa</v>
      </c>
      <c r="C1789" s="2">
        <f>IFERROR(__xludf.DUMMYFUNCTION("""COMPUTED_VALUE"""),1.0)</f>
        <v>1</v>
      </c>
      <c r="D1789" s="2" t="str">
        <f>IFERROR(__xludf.DUMMYFUNCTION("""COMPUTED_VALUE"""),"Pikhuwa")</f>
        <v>Pikhuwa</v>
      </c>
      <c r="E1789" s="2">
        <f>IFERROR(__xludf.DUMMYFUNCTION("""COMPUTED_VALUE"""),4024.0)</f>
        <v>4024</v>
      </c>
      <c r="F1789" s="3">
        <f>IFERROR(__xludf.DUMMYFUNCTION("""COMPUTED_VALUE"""),61750.0)</f>
        <v>61750</v>
      </c>
      <c r="G1789" s="2" t="str">
        <f>IFERROR(__xludf.DUMMYFUNCTION("""COMPUTED_VALUE"""),"Sherpa Harbal &amp; Agriculture Pvt.Ltd.")</f>
        <v>Sherpa Harbal &amp; Agriculture Pvt.Ltd.</v>
      </c>
      <c r="H1789" s="2" t="str">
        <f>IFERROR(__xludf.DUMMYFUNCTION("""COMPUTED_VALUE"""),"Kirtipur 7, Kathamndu")</f>
        <v>Kirtipur 7, Kathamndu</v>
      </c>
      <c r="I1789" s="2" t="str">
        <f>IFERROR(__xludf.DUMMYFUNCTION("""COMPUTED_VALUE"""),"27o 06' 30""")</f>
        <v>27o 06' 30"</v>
      </c>
      <c r="J1789" s="2" t="str">
        <f>IFERROR(__xludf.DUMMYFUNCTION("""COMPUTED_VALUE"""),"27o 07' 30""")</f>
        <v>27o 07' 30"</v>
      </c>
      <c r="K1789" s="2" t="str">
        <f>IFERROR(__xludf.DUMMYFUNCTION("""COMPUTED_VALUE"""),"87o 03' 00""")</f>
        <v>87o 03' 00"</v>
      </c>
      <c r="L1789" s="2" t="str">
        <f>IFERROR(__xludf.DUMMYFUNCTION("""COMPUTED_VALUE"""),"87o 05' 00""")</f>
        <v>87o 05' 00"</v>
      </c>
      <c r="M1789" s="2" t="str">
        <f>IFERROR(__xludf.DUMMYFUNCTION("""COMPUTED_VALUE"""),"Mane Bhanjyang,Taksar (Bhojpur)")</f>
        <v>Mane Bhanjyang,Taksar (Bhojpur)</v>
      </c>
    </row>
    <row r="1790">
      <c r="A1790" s="2">
        <f>IFERROR(__xludf.DUMMYFUNCTION("""COMPUTED_VALUE"""),1789.0)</f>
        <v>1789</v>
      </c>
      <c r="B1790" s="2" t="str">
        <f>IFERROR(__xludf.DUMMYFUNCTION("""COMPUTED_VALUE"""),"Inkhu Khola")</f>
        <v>Inkhu Khola</v>
      </c>
      <c r="C1790" s="2">
        <f>IFERROR(__xludf.DUMMYFUNCTION("""COMPUTED_VALUE"""),0.988)</f>
        <v>0.988</v>
      </c>
      <c r="D1790" s="2" t="str">
        <f>IFERROR(__xludf.DUMMYFUNCTION("""COMPUTED_VALUE"""),"Inkhu")</f>
        <v>Inkhu</v>
      </c>
      <c r="E1790" s="2">
        <f>IFERROR(__xludf.DUMMYFUNCTION("""COMPUTED_VALUE"""),4045.0)</f>
        <v>4045</v>
      </c>
      <c r="F1790" s="3">
        <f>IFERROR(__xludf.DUMMYFUNCTION("""COMPUTED_VALUE"""),61754.0)</f>
        <v>61754</v>
      </c>
      <c r="G1790" s="2" t="str">
        <f>IFERROR(__xludf.DUMMYFUNCTION("""COMPUTED_VALUE"""),"Bhakta Bahadur Rai")</f>
        <v>Bhakta Bahadur Rai</v>
      </c>
      <c r="H1790" s="2" t="str">
        <f>IFERROR(__xludf.DUMMYFUNCTION("""COMPUTED_VALUE"""),"Damak 16, Jhapa, 9842042414, 025522018")</f>
        <v>Damak 16, Jhapa, 9842042414, 025522018</v>
      </c>
      <c r="I1790" s="2" t="str">
        <f>IFERROR(__xludf.DUMMYFUNCTION("""COMPUTED_VALUE"""),"27o 35' 00""")</f>
        <v>27o 35' 00"</v>
      </c>
      <c r="J1790" s="2" t="str">
        <f>IFERROR(__xludf.DUMMYFUNCTION("""COMPUTED_VALUE"""),"27o 36' 38""")</f>
        <v>27o 36' 38"</v>
      </c>
      <c r="K1790" s="2" t="str">
        <f>IFERROR(__xludf.DUMMYFUNCTION("""COMPUTED_VALUE"""),"86o 46' 26""")</f>
        <v>86o 46' 26"</v>
      </c>
      <c r="L1790" s="2" t="str">
        <f>IFERROR(__xludf.DUMMYFUNCTION("""COMPUTED_VALUE"""),"86o 48' 03""")</f>
        <v>86o 48' 03"</v>
      </c>
      <c r="M1790" s="2" t="str">
        <f>IFERROR(__xludf.DUMMYFUNCTION("""COMPUTED_VALUE"""),"Baku (Solukhumbu)")</f>
        <v>Baku (Solukhumbu)</v>
      </c>
    </row>
    <row r="1791">
      <c r="A1791" s="2">
        <f>IFERROR(__xludf.DUMMYFUNCTION("""COMPUTED_VALUE"""),1790.0)</f>
        <v>1790</v>
      </c>
      <c r="B1791" s="2" t="str">
        <f>IFERROR(__xludf.DUMMYFUNCTION("""COMPUTED_VALUE"""),"Mid Budhi Gandaki Hydropower Project")</f>
        <v>Mid Budhi Gandaki Hydropower Project</v>
      </c>
      <c r="C1791" s="2">
        <f>IFERROR(__xludf.DUMMYFUNCTION("""COMPUTED_VALUE"""),10.0)</f>
        <v>10</v>
      </c>
      <c r="D1791" s="2" t="str">
        <f>IFERROR(__xludf.DUMMYFUNCTION("""COMPUTED_VALUE"""),"Budhi Gandaki")</f>
        <v>Budhi Gandaki</v>
      </c>
      <c r="E1791" s="2">
        <f>IFERROR(__xludf.DUMMYFUNCTION("""COMPUTED_VALUE"""),4075.0)</f>
        <v>4075</v>
      </c>
      <c r="F1791" s="3">
        <f>IFERROR(__xludf.DUMMYFUNCTION("""COMPUTED_VALUE"""),61761.0)</f>
        <v>61761</v>
      </c>
      <c r="G1791" s="2" t="str">
        <f>IFERROR(__xludf.DUMMYFUNCTION("""COMPUTED_VALUE"""),"H. to O. Energy and Investment Pvt. Ltd.")</f>
        <v>H. to O. Energy and Investment Pvt. Ltd.</v>
      </c>
      <c r="H1791" s="2" t="str">
        <f>IFERROR(__xludf.DUMMYFUNCTION("""COMPUTED_VALUE"""),"House No.: Ga 1-732, Kumari Arcade Mahaboudha, Kathmandu")</f>
        <v>House No.: Ga 1-732, Kumari Arcade Mahaboudha, Kathmandu</v>
      </c>
      <c r="I1791" s="2" t="str">
        <f>IFERROR(__xludf.DUMMYFUNCTION("""COMPUTED_VALUE"""),"28o 22' 00""")</f>
        <v>28o 22' 00"</v>
      </c>
      <c r="J1791" s="2" t="str">
        <f>IFERROR(__xludf.DUMMYFUNCTION("""COMPUTED_VALUE"""),"28o 26' 25""")</f>
        <v>28o 26' 25"</v>
      </c>
      <c r="K1791" s="2" t="str">
        <f>IFERROR(__xludf.DUMMYFUNCTION("""COMPUTED_VALUE"""),"84o 51' 58""")</f>
        <v>84o 51' 58"</v>
      </c>
      <c r="L1791" s="2" t="str">
        <f>IFERROR(__xludf.DUMMYFUNCTION("""COMPUTED_VALUE"""),"84o 56' 56""")</f>
        <v>84o 56' 56"</v>
      </c>
      <c r="M1791" s="2" t="str">
        <f>IFERROR(__xludf.DUMMYFUNCTION("""COMPUTED_VALUE"""),"Thumi (Gorkha)")</f>
        <v>Thumi (Gorkha)</v>
      </c>
    </row>
    <row r="1792">
      <c r="A1792" s="2">
        <f>IFERROR(__xludf.DUMMYFUNCTION("""COMPUTED_VALUE"""),1791.0)</f>
        <v>1791</v>
      </c>
      <c r="B1792" s="2" t="str">
        <f>IFERROR(__xludf.DUMMYFUNCTION("""COMPUTED_VALUE"""),"Lower Modi-II HEP")</f>
        <v>Lower Modi-II HEP</v>
      </c>
      <c r="C1792" s="2">
        <f>IFERROR(__xludf.DUMMYFUNCTION("""COMPUTED_VALUE"""),10.0)</f>
        <v>10</v>
      </c>
      <c r="D1792" s="2" t="str">
        <f>IFERROR(__xludf.DUMMYFUNCTION("""COMPUTED_VALUE"""),"Modi Khola")</f>
        <v>Modi Khola</v>
      </c>
      <c r="E1792" s="2">
        <f>IFERROR(__xludf.DUMMYFUNCTION("""COMPUTED_VALUE"""),4097.0)</f>
        <v>4097</v>
      </c>
      <c r="F1792" s="3">
        <f>IFERROR(__xludf.DUMMYFUNCTION("""COMPUTED_VALUE"""),61767.0)</f>
        <v>61767</v>
      </c>
      <c r="G1792" s="2" t="str">
        <f>IFERROR(__xludf.DUMMYFUNCTION("""COMPUTED_VALUE"""),"Upendra Raj Gautam, Chandra Datta Sharma Rakhal, Gobinda Sharma Acharya")</f>
        <v>Upendra Raj Gautam, Chandra Datta Sharma Rakhal, Gobinda Sharma Acharya</v>
      </c>
      <c r="H1792" s="2" t="str">
        <f>IFERROR(__xludf.DUMMYFUNCTION("""COMPUTED_VALUE"""),"Khani Gaon-2, Parbat, Paiyupata-4, Baglung and Amalachaur-7, Baglung Mobile 
: 9841395519")</f>
        <v>Khani Gaon-2, Parbat, Paiyupata-4, Baglung and Amalachaur-7, Baglung Mobile 
: 9841395519</v>
      </c>
      <c r="I1792" s="2" t="str">
        <f>IFERROR(__xludf.DUMMYFUNCTION("""COMPUTED_VALUE"""),"28o 12' 00""")</f>
        <v>28o 12' 00"</v>
      </c>
      <c r="J1792" s="2" t="str">
        <f>IFERROR(__xludf.DUMMYFUNCTION("""COMPUTED_VALUE"""),"28o 13' 14""")</f>
        <v>28o 13' 14"</v>
      </c>
      <c r="K1792" s="2" t="str">
        <f>IFERROR(__xludf.DUMMYFUNCTION("""COMPUTED_VALUE"""),"83o 40' 28""")</f>
        <v>83o 40' 28"</v>
      </c>
      <c r="L1792" s="2" t="str">
        <f>IFERROR(__xludf.DUMMYFUNCTION("""COMPUTED_VALUE"""),"83o 42' 05""")</f>
        <v>83o 42' 05"</v>
      </c>
      <c r="M1792" s="2" t="str">
        <f>IFERROR(__xludf.DUMMYFUNCTION("""COMPUTED_VALUE"""),"Chuwa,Shivalaya,Mudikuwa (Parbat)")</f>
        <v>Chuwa,Shivalaya,Mudikuwa (Parbat)</v>
      </c>
    </row>
    <row r="1793">
      <c r="A1793" s="2">
        <f>IFERROR(__xludf.DUMMYFUNCTION("""COMPUTED_VALUE"""),1792.0)</f>
        <v>1792</v>
      </c>
      <c r="B1793" s="2" t="str">
        <f>IFERROR(__xludf.DUMMYFUNCTION("""COMPUTED_VALUE"""),"Chhahare Khola Hydroelectric Project")</f>
        <v>Chhahare Khola Hydroelectric Project</v>
      </c>
      <c r="C1793" s="2">
        <f>IFERROR(__xludf.DUMMYFUNCTION("""COMPUTED_VALUE"""),25.0)</f>
        <v>25</v>
      </c>
      <c r="D1793" s="2" t="str">
        <f>IFERROR(__xludf.DUMMYFUNCTION("""COMPUTED_VALUE"""),"Chhahare")</f>
        <v>Chhahare</v>
      </c>
      <c r="E1793" s="2">
        <f>IFERROR(__xludf.DUMMYFUNCTION("""COMPUTED_VALUE"""),1454.0)</f>
        <v>1454</v>
      </c>
      <c r="F1793" s="3">
        <f>IFERROR(__xludf.DUMMYFUNCTION("""COMPUTED_VALUE"""),61773.0)</f>
        <v>61773</v>
      </c>
      <c r="G1793" s="2" t="str">
        <f>IFERROR(__xludf.DUMMYFUNCTION("""COMPUTED_VALUE"""),"Reliable Hydropower Company Pvt. Ltd.")</f>
        <v>Reliable Hydropower Company Pvt. Ltd.</v>
      </c>
      <c r="H1793" s="2" t="str">
        <f>IFERROR(__xludf.DUMMYFUNCTION("""COMPUTED_VALUE"""),"Puclchowk, Lalitpur, Nepal. PO Box: 516, Phone: 5550505,4169116, Fax: 
4169118")</f>
        <v>Puclchowk, Lalitpur, Nepal. PO Box: 516, Phone: 5550505,4169116, Fax: 
4169118</v>
      </c>
      <c r="I1793" s="2" t="str">
        <f>IFERROR(__xludf.DUMMYFUNCTION("""COMPUTED_VALUE"""),"28o 24' 31""")</f>
        <v>28o 24' 31"</v>
      </c>
      <c r="J1793" s="2" t="str">
        <f>IFERROR(__xludf.DUMMYFUNCTION("""COMPUTED_VALUE"""),"28o 27' 38""")</f>
        <v>28o 27' 38"</v>
      </c>
      <c r="K1793" s="2" t="str">
        <f>IFERROR(__xludf.DUMMYFUNCTION("""COMPUTED_VALUE"""),"84o 23' 34""")</f>
        <v>84o 23' 34"</v>
      </c>
      <c r="L1793" s="2" t="str">
        <f>IFERROR(__xludf.DUMMYFUNCTION("""COMPUTED_VALUE"""),"84o 26' 04""")</f>
        <v>84o 26' 04"</v>
      </c>
      <c r="M1793" s="2" t="str">
        <f>IFERROR(__xludf.DUMMYFUNCTION("""COMPUTED_VALUE"""),"Ghermu,Taghring (Lamjung)")</f>
        <v>Ghermu,Taghring (Lamjung)</v>
      </c>
    </row>
    <row r="1794">
      <c r="A1794" s="2">
        <f>IFERROR(__xludf.DUMMYFUNCTION("""COMPUTED_VALUE"""),1793.0)</f>
        <v>1793</v>
      </c>
      <c r="B1794" s="2" t="str">
        <f>IFERROR(__xludf.DUMMYFUNCTION("""COMPUTED_VALUE"""),"Jogmai Cascade")</f>
        <v>Jogmai Cascade</v>
      </c>
      <c r="C1794" s="2">
        <f>IFERROR(__xludf.DUMMYFUNCTION("""COMPUTED_VALUE"""),3.5)</f>
        <v>3.5</v>
      </c>
      <c r="D1794" s="2" t="str">
        <f>IFERROR(__xludf.DUMMYFUNCTION("""COMPUTED_VALUE"""),"Jogmai Khola")</f>
        <v>Jogmai Khola</v>
      </c>
      <c r="E1794" s="2">
        <f>IFERROR(__xludf.DUMMYFUNCTION("""COMPUTED_VALUE"""),4180.0)</f>
        <v>4180</v>
      </c>
      <c r="F1794" s="3">
        <f>IFERROR(__xludf.DUMMYFUNCTION("""COMPUTED_VALUE"""),61777.0)</f>
        <v>61777</v>
      </c>
      <c r="G1794" s="2" t="str">
        <f>IFERROR(__xludf.DUMMYFUNCTION("""COMPUTED_VALUE"""),"Sanvi Energy Pvt. Ltd")</f>
        <v>Sanvi Energy Pvt. Ltd</v>
      </c>
      <c r="H1794" s="2" t="str">
        <f>IFERROR(__xludf.DUMMYFUNCTION("""COMPUTED_VALUE"""),"Manbhawan, Lalitpur, GPO Box 8975 EPC1341, Phone 5543477, Fax 5522953")</f>
        <v>Manbhawan, Lalitpur, GPO Box 8975 EPC1341, Phone 5543477, Fax 5522953</v>
      </c>
      <c r="I1794" s="2" t="str">
        <f>IFERROR(__xludf.DUMMYFUNCTION("""COMPUTED_VALUE"""),"26o 53' 50""")</f>
        <v>26o 53' 50"</v>
      </c>
      <c r="J1794" s="2" t="str">
        <f>IFERROR(__xludf.DUMMYFUNCTION("""COMPUTED_VALUE"""),"26o 55' 00""")</f>
        <v>26o 55' 00"</v>
      </c>
      <c r="K1794" s="2" t="str">
        <f>IFERROR(__xludf.DUMMYFUNCTION("""COMPUTED_VALUE"""),"88o 00' 00""")</f>
        <v>88o 00' 00"</v>
      </c>
      <c r="L1794" s="2" t="str">
        <f>IFERROR(__xludf.DUMMYFUNCTION("""COMPUTED_VALUE"""),"88o 01' 09""")</f>
        <v>88o 01' 09"</v>
      </c>
      <c r="M1794" s="2" t="str">
        <f>IFERROR(__xludf.DUMMYFUNCTION("""COMPUTED_VALUE"""),"Namsaling,Panchakanya (Ilam)")</f>
        <v>Namsaling,Panchakanya (Ilam)</v>
      </c>
    </row>
    <row r="1795">
      <c r="A1795" s="2">
        <f>IFERROR(__xludf.DUMMYFUNCTION("""COMPUTED_VALUE"""),1794.0)</f>
        <v>1794</v>
      </c>
      <c r="B1795" s="2" t="str">
        <f>IFERROR(__xludf.DUMMYFUNCTION("""COMPUTED_VALUE"""),"Belkhu Khola")</f>
        <v>Belkhu Khola</v>
      </c>
      <c r="C1795" s="2">
        <f>IFERROR(__xludf.DUMMYFUNCTION("""COMPUTED_VALUE"""),0.99)</f>
        <v>0.99</v>
      </c>
      <c r="D1795" s="2" t="str">
        <f>IFERROR(__xludf.DUMMYFUNCTION("""COMPUTED_VALUE"""),"Belkhu Khola")</f>
        <v>Belkhu Khola</v>
      </c>
      <c r="E1795" s="2">
        <f>IFERROR(__xludf.DUMMYFUNCTION("""COMPUTED_VALUE"""),4255.0)</f>
        <v>4255</v>
      </c>
      <c r="F1795" s="3">
        <f>IFERROR(__xludf.DUMMYFUNCTION("""COMPUTED_VALUE"""),61785.0)</f>
        <v>61785</v>
      </c>
      <c r="G1795" s="2" t="str">
        <f>IFERROR(__xludf.DUMMYFUNCTION("""COMPUTED_VALUE"""),"Dariyal Small Hydropower Co")</f>
        <v>Dariyal Small Hydropower Co</v>
      </c>
      <c r="H1795" s="2" t="str">
        <f>IFERROR(__xludf.DUMMYFUNCTION("""COMPUTED_VALUE"""),"Kathmandu")</f>
        <v>Kathmandu</v>
      </c>
      <c r="I1795" s="2" t="str">
        <f>IFERROR(__xludf.DUMMYFUNCTION("""COMPUTED_VALUE"""),"27o 42' 50""")</f>
        <v>27o 42' 50"</v>
      </c>
      <c r="J1795" s="2" t="str">
        <f>IFERROR(__xludf.DUMMYFUNCTION("""COMPUTED_VALUE"""),"27o 43' 30""")</f>
        <v>27o 43' 30"</v>
      </c>
      <c r="K1795" s="2" t="str">
        <f>IFERROR(__xludf.DUMMYFUNCTION("""COMPUTED_VALUE"""),"84o 56' 52""")</f>
        <v>84o 56' 52"</v>
      </c>
      <c r="L1795" s="2" t="str">
        <f>IFERROR(__xludf.DUMMYFUNCTION("""COMPUTED_VALUE"""),"84o 57' 49""")</f>
        <v>84o 57' 49"</v>
      </c>
      <c r="M1795" s="2" t="str">
        <f>IFERROR(__xludf.DUMMYFUNCTION("""COMPUTED_VALUE"""),"Kiranchok (Dhading)")</f>
        <v>Kiranchok (Dhading)</v>
      </c>
    </row>
    <row r="1796">
      <c r="A1796" s="2">
        <f>IFERROR(__xludf.DUMMYFUNCTION("""COMPUTED_VALUE"""),1795.0)</f>
        <v>1795</v>
      </c>
      <c r="B1796" s="2" t="str">
        <f>IFERROR(__xludf.DUMMYFUNCTION("""COMPUTED_VALUE"""),"Chhedingmo Khola")</f>
        <v>Chhedingmo Khola</v>
      </c>
      <c r="C1796" s="2">
        <f>IFERROR(__xludf.DUMMYFUNCTION("""COMPUTED_VALUE"""),0.2)</f>
        <v>0.2</v>
      </c>
      <c r="D1796" s="2" t="str">
        <f>IFERROR(__xludf.DUMMYFUNCTION("""COMPUTED_VALUE"""),"Chhedingmo")</f>
        <v>Chhedingmo</v>
      </c>
      <c r="E1796" s="2">
        <f>IFERROR(__xludf.DUMMYFUNCTION("""COMPUTED_VALUE"""),4339.0)</f>
        <v>4339</v>
      </c>
      <c r="F1796" s="3">
        <f>IFERROR(__xludf.DUMMYFUNCTION("""COMPUTED_VALUE"""),61794.0)</f>
        <v>61794</v>
      </c>
      <c r="G1796" s="2" t="str">
        <f>IFERROR(__xludf.DUMMYFUNCTION("""COMPUTED_VALUE"""),"Sajjan Lama")</f>
        <v>Sajjan Lama</v>
      </c>
      <c r="H1796" s="2" t="str">
        <f>IFERROR(__xludf.DUMMYFUNCTION("""COMPUTED_VALUE"""),"Gatlang Ward no 2, Rasuwa")</f>
        <v>Gatlang Ward no 2, Rasuwa</v>
      </c>
      <c r="I1796" s="2" t="str">
        <f>IFERROR(__xludf.DUMMYFUNCTION("""COMPUTED_VALUE"""),"28o 08' 55""")</f>
        <v>28o 08' 55"</v>
      </c>
      <c r="J1796" s="2" t="str">
        <f>IFERROR(__xludf.DUMMYFUNCTION("""COMPUTED_VALUE"""),"28o 10' 32""")</f>
        <v>28o 10' 32"</v>
      </c>
      <c r="K1796" s="2" t="str">
        <f>IFERROR(__xludf.DUMMYFUNCTION("""COMPUTED_VALUE"""),"85o 15' 00""")</f>
        <v>85o 15' 00"</v>
      </c>
      <c r="L1796" s="2" t="str">
        <f>IFERROR(__xludf.DUMMYFUNCTION("""COMPUTED_VALUE"""),"85o 17' 00""")</f>
        <v>85o 17' 00"</v>
      </c>
      <c r="M1796" s="2" t="str">
        <f>IFERROR(__xludf.DUMMYFUNCTION("""COMPUTED_VALUE"""),"Gatlang (Rasuwa)")</f>
        <v>Gatlang (Rasuwa)</v>
      </c>
    </row>
    <row r="1797">
      <c r="A1797" s="2">
        <f>IFERROR(__xludf.DUMMYFUNCTION("""COMPUTED_VALUE"""),1796.0)</f>
        <v>1796</v>
      </c>
      <c r="B1797" s="2" t="str">
        <f>IFERROR(__xludf.DUMMYFUNCTION("""COMPUTED_VALUE"""),"Upper Trishuli 2A")</f>
        <v>Upper Trishuli 2A</v>
      </c>
      <c r="C1797" s="2">
        <f>IFERROR(__xludf.DUMMYFUNCTION("""COMPUTED_VALUE"""),229.0)</f>
        <v>229</v>
      </c>
      <c r="D1797" s="2" t="str">
        <f>IFERROR(__xludf.DUMMYFUNCTION("""COMPUTED_VALUE"""),"Trishuli")</f>
        <v>Trishuli</v>
      </c>
      <c r="E1797" s="2">
        <f>IFERROR(__xludf.DUMMYFUNCTION("""COMPUTED_VALUE"""),4407.0)</f>
        <v>4407</v>
      </c>
      <c r="F1797" s="3">
        <f>IFERROR(__xludf.DUMMYFUNCTION("""COMPUTED_VALUE"""),61804.0)</f>
        <v>61804</v>
      </c>
      <c r="G1797" s="2" t="str">
        <f>IFERROR(__xludf.DUMMYFUNCTION("""COMPUTED_VALUE"""),"Hydrochina Corporation")</f>
        <v>Hydrochina Corporation</v>
      </c>
      <c r="H1797" s="2" t="str">
        <f>IFERROR(__xludf.DUMMYFUNCTION("""COMPUTED_VALUE"""),"Luipukang Dewai Beijing, China/ Kamaladi KTM, 4169116")</f>
        <v>Luipukang Dewai Beijing, China/ Kamaladi KTM, 4169116</v>
      </c>
      <c r="I1797" s="2" t="str">
        <f>IFERROR(__xludf.DUMMYFUNCTION("""COMPUTED_VALUE"""),"28o 04' 00""")</f>
        <v>28o 04' 00"</v>
      </c>
      <c r="J1797" s="2" t="str">
        <f>IFERROR(__xludf.DUMMYFUNCTION("""COMPUTED_VALUE"""),"28o 07' 00""")</f>
        <v>28o 07' 00"</v>
      </c>
      <c r="K1797" s="2" t="str">
        <f>IFERROR(__xludf.DUMMYFUNCTION("""COMPUTED_VALUE"""),"85o 12' 00""")</f>
        <v>85o 12' 00"</v>
      </c>
      <c r="L1797" s="2" t="str">
        <f>IFERROR(__xludf.DUMMYFUNCTION("""COMPUTED_VALUE"""),"85o 17' 02""")</f>
        <v>85o 17' 02"</v>
      </c>
      <c r="M1797" s="2" t="str">
        <f>IFERROR(__xludf.DUMMYFUNCTION("""COMPUTED_VALUE"""),"Dhunche,Haku (Rasuwa)")</f>
        <v>Dhunche,Haku (Rasuwa)</v>
      </c>
    </row>
    <row r="1798">
      <c r="A1798" s="2">
        <f>IFERROR(__xludf.DUMMYFUNCTION("""COMPUTED_VALUE"""),1797.0)</f>
        <v>1797</v>
      </c>
      <c r="B1798" s="2" t="str">
        <f>IFERROR(__xludf.DUMMYFUNCTION("""COMPUTED_VALUE"""),"Dona Khola SHP")</f>
        <v>Dona Khola SHP</v>
      </c>
      <c r="C1798" s="2">
        <f>IFERROR(__xludf.DUMMYFUNCTION("""COMPUTED_VALUE"""),8.365)</f>
        <v>8.365</v>
      </c>
      <c r="D1798" s="2" t="str">
        <f>IFERROR(__xludf.DUMMYFUNCTION("""COMPUTED_VALUE"""),"Dona Khola")</f>
        <v>Dona Khola</v>
      </c>
      <c r="E1798" s="2">
        <f>IFERROR(__xludf.DUMMYFUNCTION("""COMPUTED_VALUE"""),4419.0)</f>
        <v>4419</v>
      </c>
      <c r="F1798" s="3">
        <f>IFERROR(__xludf.DUMMYFUNCTION("""COMPUTED_VALUE"""),61805.0)</f>
        <v>61805</v>
      </c>
      <c r="G1798" s="2" t="str">
        <f>IFERROR(__xludf.DUMMYFUNCTION("""COMPUTED_VALUE"""),"Dona Khola Hydropower Pvt. Ltd.")</f>
        <v>Dona Khola Hydropower Pvt. Ltd.</v>
      </c>
      <c r="H1798" s="2" t="str">
        <f>IFERROR(__xludf.DUMMYFUNCTION("""COMPUTED_VALUE"""),"P.O. Box: 8975, KTM, Phone: 4357646")</f>
        <v>P.O. Box: 8975, KTM, Phone: 4357646</v>
      </c>
      <c r="I1798" s="2" t="str">
        <f>IFERROR(__xludf.DUMMYFUNCTION("""COMPUTED_VALUE"""),"28o 30' 40""")</f>
        <v>28o 30' 40"</v>
      </c>
      <c r="J1798" s="2" t="str">
        <f>IFERROR(__xludf.DUMMYFUNCTION("""COMPUTED_VALUE"""),"28o 32' 40""")</f>
        <v>28o 32' 40"</v>
      </c>
      <c r="K1798" s="2" t="str">
        <f>IFERROR(__xludf.DUMMYFUNCTION("""COMPUTED_VALUE"""),"84o 21' 40""")</f>
        <v>84o 21' 40"</v>
      </c>
      <c r="L1798" s="2" t="str">
        <f>IFERROR(__xludf.DUMMYFUNCTION("""COMPUTED_VALUE"""),"84o 23' 30""")</f>
        <v>84o 23' 30"</v>
      </c>
      <c r="M1798" s="2" t="str">
        <f>IFERROR(__xludf.DUMMYFUNCTION("""COMPUTED_VALUE"""),"Dharapani (Manang)")</f>
        <v>Dharapani (Manang)</v>
      </c>
    </row>
    <row r="1799">
      <c r="A1799" s="2">
        <f>IFERROR(__xludf.DUMMYFUNCTION("""COMPUTED_VALUE"""),1798.0)</f>
        <v>1798</v>
      </c>
      <c r="B1799" s="2" t="str">
        <f>IFERROR(__xludf.DUMMYFUNCTION("""COMPUTED_VALUE"""),"Chino Khola SHP")</f>
        <v>Chino Khola SHP</v>
      </c>
      <c r="C1799" s="2">
        <f>IFERROR(__xludf.DUMMYFUNCTION("""COMPUTED_VALUE"""),4.6)</f>
        <v>4.6</v>
      </c>
      <c r="D1799" s="2" t="str">
        <f>IFERROR(__xludf.DUMMYFUNCTION("""COMPUTED_VALUE"""),"Chino")</f>
        <v>Chino</v>
      </c>
      <c r="E1799" s="2">
        <f>IFERROR(__xludf.DUMMYFUNCTION("""COMPUTED_VALUE"""),4420.0)</f>
        <v>4420</v>
      </c>
      <c r="F1799" s="3">
        <f>IFERROR(__xludf.DUMMYFUNCTION("""COMPUTED_VALUE"""),61805.0)</f>
        <v>61805</v>
      </c>
      <c r="G1799" s="2" t="str">
        <f>IFERROR(__xludf.DUMMYFUNCTION("""COMPUTED_VALUE"""),"Upper Syange Hydropower Pvt. Ltd.")</f>
        <v>Upper Syange Hydropower Pvt. Ltd.</v>
      </c>
      <c r="H1799" s="2" t="str">
        <f>IFERROR(__xludf.DUMMYFUNCTION("""COMPUTED_VALUE"""),"P.O. Box: 8975 KTM, Phone: 4357646")</f>
        <v>P.O. Box: 8975 KTM, Phone: 4357646</v>
      </c>
      <c r="I1799" s="2" t="str">
        <f>IFERROR(__xludf.DUMMYFUNCTION("""COMPUTED_VALUE"""),"28o 32' 15""")</f>
        <v>28o 32' 15"</v>
      </c>
      <c r="J1799" s="2" t="str">
        <f>IFERROR(__xludf.DUMMYFUNCTION("""COMPUTED_VALUE"""),"28o 33' 30""")</f>
        <v>28o 33' 30"</v>
      </c>
      <c r="K1799" s="2" t="str">
        <f>IFERROR(__xludf.DUMMYFUNCTION("""COMPUTED_VALUE"""),"84o 19' 00""")</f>
        <v>84o 19' 00"</v>
      </c>
      <c r="L1799" s="2" t="str">
        <f>IFERROR(__xludf.DUMMYFUNCTION("""COMPUTED_VALUE"""),"84o 21' 00""")</f>
        <v>84o 21' 00"</v>
      </c>
      <c r="M1799" s="2" t="str">
        <f>IFERROR(__xludf.DUMMYFUNCTION("""COMPUTED_VALUE"""),"Tachi Bagarchhap (Manang)")</f>
        <v>Tachi Bagarchhap (Manang)</v>
      </c>
    </row>
    <row r="1800">
      <c r="A1800" s="2">
        <f>IFERROR(__xludf.DUMMYFUNCTION("""COMPUTED_VALUE"""),1799.0)</f>
        <v>1799</v>
      </c>
      <c r="B1800" s="2" t="str">
        <f>IFERROR(__xludf.DUMMYFUNCTION("""COMPUTED_VALUE"""),"Surnaiya gad-2 HPP")</f>
        <v>Surnaiya gad-2 HPP</v>
      </c>
      <c r="C1800" s="2">
        <f>IFERROR(__xludf.DUMMYFUNCTION("""COMPUTED_VALUE"""),6.0)</f>
        <v>6</v>
      </c>
      <c r="D1800" s="2" t="str">
        <f>IFERROR(__xludf.DUMMYFUNCTION("""COMPUTED_VALUE"""),"Surnaya gad")</f>
        <v>Surnaya gad</v>
      </c>
      <c r="E1800" s="2">
        <f>IFERROR(__xludf.DUMMYFUNCTION("""COMPUTED_VALUE"""),4443.0)</f>
        <v>4443</v>
      </c>
      <c r="F1800" s="3">
        <f>IFERROR(__xludf.DUMMYFUNCTION("""COMPUTED_VALUE"""),61807.0)</f>
        <v>61807</v>
      </c>
      <c r="G1800" s="2" t="str">
        <f>IFERROR(__xludf.DUMMYFUNCTION("""COMPUTED_VALUE"""),"Surnayagad Hydropower Pvt Ltd")</f>
        <v>Surnayagad Hydropower Pvt Ltd</v>
      </c>
      <c r="H1800" s="2" t="str">
        <f>IFERROR(__xludf.DUMMYFUNCTION("""COMPUTED_VALUE"""),"PO Box: 8974, Kathmandu, Tel: 9851024884, 4783532")</f>
        <v>PO Box: 8974, Kathmandu, Tel: 9851024884, 4783532</v>
      </c>
      <c r="I1800" s="2" t="str">
        <f>IFERROR(__xludf.DUMMYFUNCTION("""COMPUTED_VALUE"""),"29o 22' 47""")</f>
        <v>29o 22' 47"</v>
      </c>
      <c r="J1800" s="2" t="str">
        <f>IFERROR(__xludf.DUMMYFUNCTION("""COMPUTED_VALUE"""),"29o 23' 51""")</f>
        <v>29o 23' 51"</v>
      </c>
      <c r="K1800" s="2" t="str">
        <f>IFERROR(__xludf.DUMMYFUNCTION("""COMPUTED_VALUE"""),"80o 25' 33""")</f>
        <v>80o 25' 33"</v>
      </c>
      <c r="L1800" s="2" t="str">
        <f>IFERROR(__xludf.DUMMYFUNCTION("""COMPUTED_VALUE"""),"80o 27' 20""")</f>
        <v>80o 27' 20"</v>
      </c>
      <c r="M1800" s="2" t="str">
        <f>IFERROR(__xludf.DUMMYFUNCTION("""COMPUTED_VALUE"""),"Melauli (Baitadi)")</f>
        <v>Melauli (Baitadi)</v>
      </c>
    </row>
    <row r="1801">
      <c r="A1801" s="2">
        <f>IFERROR(__xludf.DUMMYFUNCTION("""COMPUTED_VALUE"""),1800.0)</f>
        <v>1800</v>
      </c>
      <c r="B1801" s="2" t="str">
        <f>IFERROR(__xludf.DUMMYFUNCTION("""COMPUTED_VALUE"""),"Yaksuwa Khola")</f>
        <v>Yaksuwa Khola</v>
      </c>
      <c r="C1801" s="2">
        <f>IFERROR(__xludf.DUMMYFUNCTION("""COMPUTED_VALUE"""),3.4)</f>
        <v>3.4</v>
      </c>
      <c r="D1801" s="2" t="str">
        <f>IFERROR(__xludf.DUMMYFUNCTION("""COMPUTED_VALUE"""),"Yaksuwa")</f>
        <v>Yaksuwa</v>
      </c>
      <c r="E1801" s="2">
        <f>IFERROR(__xludf.DUMMYFUNCTION("""COMPUTED_VALUE"""),40.0)</f>
        <v>40</v>
      </c>
      <c r="F1801" s="3">
        <f>IFERROR(__xludf.DUMMYFUNCTION("""COMPUTED_VALUE"""),61822.0)</f>
        <v>61822</v>
      </c>
      <c r="G1801" s="2" t="str">
        <f>IFERROR(__xludf.DUMMYFUNCTION("""COMPUTED_VALUE"""),"Lekhnath Budhathoki")</f>
        <v>Lekhnath Budhathoki</v>
      </c>
      <c r="H1801" s="2" t="str">
        <f>IFERROR(__xludf.DUMMYFUNCTION("""COMPUTED_VALUE"""),"Mastyapokhari-2, Sankhuwasabha, 9852051553, 9841764987")</f>
        <v>Mastyapokhari-2, Sankhuwasabha, 9852051553, 9841764987</v>
      </c>
      <c r="I1801" s="2" t="str">
        <f>IFERROR(__xludf.DUMMYFUNCTION("""COMPUTED_VALUE"""),"27o 25' 50""")</f>
        <v>27o 25' 50"</v>
      </c>
      <c r="J1801" s="2" t="str">
        <f>IFERROR(__xludf.DUMMYFUNCTION("""COMPUTED_VALUE"""),"27o 28' 00""")</f>
        <v>27o 28' 00"</v>
      </c>
      <c r="K1801" s="2" t="str">
        <f>IFERROR(__xludf.DUMMYFUNCTION("""COMPUTED_VALUE"""),"87o 18' 50""")</f>
        <v>87o 18' 50"</v>
      </c>
      <c r="L1801" s="2" t="str">
        <f>IFERROR(__xludf.DUMMYFUNCTION("""COMPUTED_VALUE"""),"87o 21' 15""")</f>
        <v>87o 21' 15"</v>
      </c>
      <c r="M1801" s="2" t="str">
        <f>IFERROR(__xludf.DUMMYFUNCTION("""COMPUTED_VALUE"""),"Sabha Pokhari (Sankhuwasabha)")</f>
        <v>Sabha Pokhari (Sankhuwasabha)</v>
      </c>
    </row>
    <row r="1802">
      <c r="A1802" s="2">
        <f>IFERROR(__xludf.DUMMYFUNCTION("""COMPUTED_VALUE"""),1801.0)</f>
        <v>1801</v>
      </c>
      <c r="B1802" s="2" t="str">
        <f>IFERROR(__xludf.DUMMYFUNCTION("""COMPUTED_VALUE"""),"Dundare Khola Hydropower Project")</f>
        <v>Dundare Khola Hydropower Project</v>
      </c>
      <c r="C1802" s="2">
        <f>IFERROR(__xludf.DUMMYFUNCTION("""COMPUTED_VALUE"""),2.0)</f>
        <v>2</v>
      </c>
      <c r="D1802" s="2" t="str">
        <f>IFERROR(__xludf.DUMMYFUNCTION("""COMPUTED_VALUE"""),"Dundare")</f>
        <v>Dundare</v>
      </c>
      <c r="E1802" s="2">
        <f>IFERROR(__xludf.DUMMYFUNCTION("""COMPUTED_VALUE"""),297.0)</f>
        <v>297</v>
      </c>
      <c r="F1802" s="3">
        <f>IFERROR(__xludf.DUMMYFUNCTION("""COMPUTED_VALUE"""),61832.0)</f>
        <v>61832</v>
      </c>
      <c r="G1802" s="2" t="str">
        <f>IFERROR(__xludf.DUMMYFUNCTION("""COMPUTED_VALUE"""),"Budhi Gandaki Hydropower Pvt. Ltd.")</f>
        <v>Budhi Gandaki Hydropower Pvt. Ltd.</v>
      </c>
      <c r="H1802" s="2" t="str">
        <f>IFERROR(__xludf.DUMMYFUNCTION("""COMPUTED_VALUE"""),"Kathmandu-16, Pakanajol")</f>
        <v>Kathmandu-16, Pakanajol</v>
      </c>
      <c r="I1802" s="2" t="str">
        <f>IFERROR(__xludf.DUMMYFUNCTION("""COMPUTED_VALUE"""),"28o 08' 00""")</f>
        <v>28o 08' 00"</v>
      </c>
      <c r="J1802" s="2" t="str">
        <f>IFERROR(__xludf.DUMMYFUNCTION("""COMPUTED_VALUE"""),"28o 09' 40""")</f>
        <v>28o 09' 40"</v>
      </c>
      <c r="K1802" s="2" t="str">
        <f>IFERROR(__xludf.DUMMYFUNCTION("""COMPUTED_VALUE"""),"83o 51' 10""")</f>
        <v>83o 51' 10"</v>
      </c>
      <c r="L1802" s="2" t="str">
        <f>IFERROR(__xludf.DUMMYFUNCTION("""COMPUTED_VALUE"""),"84o 53' 10""")</f>
        <v>84o 53' 10"</v>
      </c>
      <c r="M1802" s="2" t="str">
        <f>IFERROR(__xludf.DUMMYFUNCTION("""COMPUTED_VALUE"""),"Manbu (Gorkha)")</f>
        <v>Manbu (Gorkha)</v>
      </c>
    </row>
    <row r="1803">
      <c r="A1803" s="2">
        <f>IFERROR(__xludf.DUMMYFUNCTION("""COMPUTED_VALUE"""),1802.0)</f>
        <v>1802</v>
      </c>
      <c r="B1803" s="2" t="str">
        <f>IFERROR(__xludf.DUMMYFUNCTION("""COMPUTED_VALUE"""),"Upper Myagdi-2 Hydroelectric Project")</f>
        <v>Upper Myagdi-2 Hydroelectric Project</v>
      </c>
      <c r="C1803" s="2">
        <f>IFERROR(__xludf.DUMMYFUNCTION("""COMPUTED_VALUE"""),32.0)</f>
        <v>32</v>
      </c>
      <c r="D1803" s="2" t="str">
        <f>IFERROR(__xludf.DUMMYFUNCTION("""COMPUTED_VALUE"""),"Myagdi Khola")</f>
        <v>Myagdi Khola</v>
      </c>
      <c r="E1803" s="2">
        <f>IFERROR(__xludf.DUMMYFUNCTION("""COMPUTED_VALUE"""),321.0)</f>
        <v>321</v>
      </c>
      <c r="F1803" s="3">
        <f>IFERROR(__xludf.DUMMYFUNCTION("""COMPUTED_VALUE"""),61833.0)</f>
        <v>61833</v>
      </c>
      <c r="G1803" s="2" t="str">
        <f>IFERROR(__xludf.DUMMYFUNCTION("""COMPUTED_VALUE"""),"Birat Energy Pvt. Ltd.")</f>
        <v>Birat Energy Pvt. Ltd.</v>
      </c>
      <c r="H1803" s="2" t="str">
        <f>IFERROR(__xludf.DUMMYFUNCTION("""COMPUTED_VALUE"""),"Pulchowk, Lalitpur")</f>
        <v>Pulchowk, Lalitpur</v>
      </c>
      <c r="I1803" s="2" t="str">
        <f>IFERROR(__xludf.DUMMYFUNCTION("""COMPUTED_VALUE"""),"28o 33' 00""")</f>
        <v>28o 33' 00"</v>
      </c>
      <c r="J1803" s="2" t="str">
        <f>IFERROR(__xludf.DUMMYFUNCTION("""COMPUTED_VALUE"""),"28o 38' 30""")</f>
        <v>28o 38' 30"</v>
      </c>
      <c r="K1803" s="2" t="str">
        <f>IFERROR(__xludf.DUMMYFUNCTION("""COMPUTED_VALUE"""),"83o 21' 50""")</f>
        <v>83o 21' 50"</v>
      </c>
      <c r="L1803" s="2" t="str">
        <f>IFERROR(__xludf.DUMMYFUNCTION("""COMPUTED_VALUE"""),"83o 25' 00""")</f>
        <v>83o 25' 00"</v>
      </c>
      <c r="M1803" s="2" t="str">
        <f>IFERROR(__xludf.DUMMYFUNCTION("""COMPUTED_VALUE"""),"Mudi (Myagdi)")</f>
        <v>Mudi (Myagdi)</v>
      </c>
    </row>
    <row r="1804">
      <c r="A1804" s="2">
        <f>IFERROR(__xludf.DUMMYFUNCTION("""COMPUTED_VALUE"""),1803.0)</f>
        <v>1803</v>
      </c>
      <c r="B1804" s="2" t="str">
        <f>IFERROR(__xludf.DUMMYFUNCTION("""COMPUTED_VALUE"""),"Mai Khola")</f>
        <v>Mai Khola</v>
      </c>
      <c r="C1804" s="2">
        <f>IFERROR(__xludf.DUMMYFUNCTION("""COMPUTED_VALUE"""),8.75)</f>
        <v>8.75</v>
      </c>
      <c r="D1804" s="2" t="str">
        <f>IFERROR(__xludf.DUMMYFUNCTION("""COMPUTED_VALUE"""),"Mai Khola")</f>
        <v>Mai Khola</v>
      </c>
      <c r="E1804" s="2">
        <f>IFERROR(__xludf.DUMMYFUNCTION("""COMPUTED_VALUE"""),323.0)</f>
        <v>323</v>
      </c>
      <c r="F1804" s="3">
        <f>IFERROR(__xludf.DUMMYFUNCTION("""COMPUTED_VALUE"""),61834.0)</f>
        <v>61834</v>
      </c>
      <c r="G1804" s="2" t="str">
        <f>IFERROR(__xludf.DUMMYFUNCTION("""COMPUTED_VALUE"""),"Ganapati Power Pvt. Ltd.")</f>
        <v>Ganapati Power Pvt. Ltd.</v>
      </c>
      <c r="H1804" s="2" t="str">
        <f>IFERROR(__xludf.DUMMYFUNCTION("""COMPUTED_VALUE"""),"Kathmandu, Phone 4620354, Fax 4620355")</f>
        <v>Kathmandu, Phone 4620354, Fax 4620355</v>
      </c>
      <c r="I1804" s="2" t="str">
        <f>IFERROR(__xludf.DUMMYFUNCTION("""COMPUTED_VALUE"""),"26o 55' 42""")</f>
        <v>26o 55' 42"</v>
      </c>
      <c r="J1804" s="2" t="str">
        <f>IFERROR(__xludf.DUMMYFUNCTION("""COMPUTED_VALUE"""),"26o 57' 30""")</f>
        <v>26o 57' 30"</v>
      </c>
      <c r="K1804" s="2" t="str">
        <f>IFERROR(__xludf.DUMMYFUNCTION("""COMPUTED_VALUE"""),"87o 57' 07""")</f>
        <v>87o 57' 07"</v>
      </c>
      <c r="L1804" s="2" t="str">
        <f>IFERROR(__xludf.DUMMYFUNCTION("""COMPUTED_VALUE"""),"87o 57' 15""")</f>
        <v>87o 57' 15"</v>
      </c>
      <c r="M1804" s="2" t="str">
        <f>IFERROR(__xludf.DUMMYFUNCTION("""COMPUTED_VALUE"""),"Ilam,Soyang (Ilam)")</f>
        <v>Ilam,Soyang (Ilam)</v>
      </c>
    </row>
    <row r="1805">
      <c r="A1805" s="2">
        <f>IFERROR(__xludf.DUMMYFUNCTION("""COMPUTED_VALUE"""),1804.0)</f>
        <v>1804</v>
      </c>
      <c r="B1805" s="2" t="str">
        <f>IFERROR(__xludf.DUMMYFUNCTION("""COMPUTED_VALUE"""),"Middle Hugdi Khola Small HEP")</f>
        <v>Middle Hugdi Khola Small HEP</v>
      </c>
      <c r="C1805" s="2">
        <f>IFERROR(__xludf.DUMMYFUNCTION("""COMPUTED_VALUE"""),4.0)</f>
        <v>4</v>
      </c>
      <c r="D1805" s="2" t="str">
        <f>IFERROR(__xludf.DUMMYFUNCTION("""COMPUTED_VALUE"""),"Hugdi")</f>
        <v>Hugdi</v>
      </c>
      <c r="E1805" s="2">
        <f>IFERROR(__xludf.DUMMYFUNCTION("""COMPUTED_VALUE"""),368.0)</f>
        <v>368</v>
      </c>
      <c r="F1805" s="3">
        <f>IFERROR(__xludf.DUMMYFUNCTION("""COMPUTED_VALUE"""),61839.0)</f>
        <v>61839</v>
      </c>
      <c r="G1805" s="2" t="str">
        <f>IFERROR(__xludf.DUMMYFUNCTION("""COMPUTED_VALUE"""),"Hari Har Gautam, Sita Devi Bhushal")</f>
        <v>Hari Har Gautam, Sita Devi Bhushal</v>
      </c>
      <c r="H1805" s="2" t="str">
        <f>IFERROR(__xludf.DUMMYFUNCTION("""COMPUTED_VALUE"""),"Purano Baneshwor, Battis Putali Gha. No. 120, Phone: 01-4430818, Mobile: 
9849510680")</f>
        <v>Purano Baneshwor, Battis Putali Gha. No. 120, Phone: 01-4430818, Mobile: 
9849510680</v>
      </c>
      <c r="I1805" s="2" t="str">
        <f>IFERROR(__xludf.DUMMYFUNCTION("""COMPUTED_VALUE"""),"28o 04' 15""")</f>
        <v>28o 04' 15"</v>
      </c>
      <c r="J1805" s="2" t="str">
        <f>IFERROR(__xludf.DUMMYFUNCTION("""COMPUTED_VALUE"""),"28o 05' 58""")</f>
        <v>28o 05' 58"</v>
      </c>
      <c r="K1805" s="2" t="str">
        <f>IFERROR(__xludf.DUMMYFUNCTION("""COMPUTED_VALUE"""),"83o 22' 40""")</f>
        <v>83o 22' 40"</v>
      </c>
      <c r="L1805" s="2" t="str">
        <f>IFERROR(__xludf.DUMMYFUNCTION("""COMPUTED_VALUE"""),"84o 25' 08""")</f>
        <v>84o 25' 08"</v>
      </c>
      <c r="M1805" s="2" t="str">
        <f>IFERROR(__xludf.DUMMYFUNCTION("""COMPUTED_VALUE"""),"Rupakot,Turang (Gulmi)")</f>
        <v>Rupakot,Turang (Gulmi)</v>
      </c>
    </row>
    <row r="1806">
      <c r="A1806" s="2">
        <f>IFERROR(__xludf.DUMMYFUNCTION("""COMPUTED_VALUE"""),1805.0)</f>
        <v>1805</v>
      </c>
      <c r="B1806" s="2" t="str">
        <f>IFERROR(__xludf.DUMMYFUNCTION("""COMPUTED_VALUE"""),"Ghodchadi Khola")</f>
        <v>Ghodchadi Khola</v>
      </c>
      <c r="C1806" s="2">
        <f>IFERROR(__xludf.DUMMYFUNCTION("""COMPUTED_VALUE"""),0.723)</f>
        <v>0.723</v>
      </c>
      <c r="D1806" s="2" t="str">
        <f>IFERROR(__xludf.DUMMYFUNCTION("""COMPUTED_VALUE"""),"Ghodchadi")</f>
        <v>Ghodchadi</v>
      </c>
      <c r="E1806" s="2">
        <f>IFERROR(__xludf.DUMMYFUNCTION("""COMPUTED_VALUE"""),347.0)</f>
        <v>347</v>
      </c>
      <c r="F1806" s="3">
        <f>IFERROR(__xludf.DUMMYFUNCTION("""COMPUTED_VALUE"""),61840.0)</f>
        <v>61840</v>
      </c>
      <c r="G1806" s="2" t="str">
        <f>IFERROR(__xludf.DUMMYFUNCTION("""COMPUTED_VALUE"""),"Pawan Koirala")</f>
        <v>Pawan Koirala</v>
      </c>
      <c r="H1806" s="2" t="str">
        <f>IFERROR(__xludf.DUMMYFUNCTION("""COMPUTED_VALUE"""),"Pawati Dolakha 8, 9843150033,9803990568")</f>
        <v>Pawati Dolakha 8, 9843150033,9803990568</v>
      </c>
      <c r="I1806" s="2" t="str">
        <f>IFERROR(__xludf.DUMMYFUNCTION("""COMPUTED_VALUE"""),"27o 54' 05""")</f>
        <v>27o 54' 05"</v>
      </c>
      <c r="J1806" s="2" t="str">
        <f>IFERROR(__xludf.DUMMYFUNCTION("""COMPUTED_VALUE"""),"27o 55' 41""")</f>
        <v>27o 55' 41"</v>
      </c>
      <c r="K1806" s="2" t="str">
        <f>IFERROR(__xludf.DUMMYFUNCTION("""COMPUTED_VALUE"""),"86o 16' 11""")</f>
        <v>86o 16' 11"</v>
      </c>
      <c r="L1806" s="2" t="str">
        <f>IFERROR(__xludf.DUMMYFUNCTION("""COMPUTED_VALUE"""),"86o 17' 53""")</f>
        <v>86o 17' 53"</v>
      </c>
      <c r="M1806" s="2" t="str">
        <f>IFERROR(__xludf.DUMMYFUNCTION("""COMPUTED_VALUE"""),"Gauri Sankar (Dolakha)")</f>
        <v>Gauri Sankar (Dolakha)</v>
      </c>
    </row>
    <row r="1807">
      <c r="A1807" s="2">
        <f>IFERROR(__xludf.DUMMYFUNCTION("""COMPUTED_VALUE"""),1806.0)</f>
        <v>1806</v>
      </c>
      <c r="B1807" s="2" t="str">
        <f>IFERROR(__xludf.DUMMYFUNCTION("""COMPUTED_VALUE"""),"Thanihinkharka Khola")</f>
        <v>Thanihinkharka Khola</v>
      </c>
      <c r="C1807" s="2">
        <f>IFERROR(__xludf.DUMMYFUNCTION("""COMPUTED_VALUE"""),0.6)</f>
        <v>0.6</v>
      </c>
      <c r="D1807" s="2" t="str">
        <f>IFERROR(__xludf.DUMMYFUNCTION("""COMPUTED_VALUE"""),"Thanihinkharka")</f>
        <v>Thanihinkharka</v>
      </c>
      <c r="E1807" s="2">
        <f>IFERROR(__xludf.DUMMYFUNCTION("""COMPUTED_VALUE"""),412.0)</f>
        <v>412</v>
      </c>
      <c r="F1807" s="3">
        <f>IFERROR(__xludf.DUMMYFUNCTION("""COMPUTED_VALUE"""),61841.0)</f>
        <v>61841</v>
      </c>
      <c r="G1807" s="2" t="str">
        <f>IFERROR(__xludf.DUMMYFUNCTION("""COMPUTED_VALUE"""),"Sarita Thapa Chhetri")</f>
        <v>Sarita Thapa Chhetri</v>
      </c>
      <c r="H1807" s="2" t="str">
        <f>IFERROR(__xludf.DUMMYFUNCTION("""COMPUTED_VALUE"""),"Lamachaur 16, Pokhara,9846050586")</f>
        <v>Lamachaur 16, Pokhara,9846050586</v>
      </c>
      <c r="I1807" s="2" t="str">
        <f>IFERROR(__xludf.DUMMYFUNCTION("""COMPUTED_VALUE"""),"27o 53' 00""")</f>
        <v>27o 53' 00"</v>
      </c>
      <c r="J1807" s="2" t="str">
        <f>IFERROR(__xludf.DUMMYFUNCTION("""COMPUTED_VALUE"""),"27o 54' 37""")</f>
        <v>27o 54' 37"</v>
      </c>
      <c r="K1807" s="2" t="str">
        <f>IFERROR(__xludf.DUMMYFUNCTION("""COMPUTED_VALUE"""),"86o 19' 13""")</f>
        <v>86o 19' 13"</v>
      </c>
      <c r="L1807" s="2" t="str">
        <f>IFERROR(__xludf.DUMMYFUNCTION("""COMPUTED_VALUE"""),"86o 21' 04""")</f>
        <v>86o 21' 04"</v>
      </c>
      <c r="M1807" s="2" t="str">
        <f>IFERROR(__xludf.DUMMYFUNCTION("""COMPUTED_VALUE"""),"Gauri Sankar (Dolakha)")</f>
        <v>Gauri Sankar (Dolakha)</v>
      </c>
    </row>
    <row r="1808">
      <c r="A1808" s="2">
        <f>IFERROR(__xludf.DUMMYFUNCTION("""COMPUTED_VALUE"""),1807.0)</f>
        <v>1807</v>
      </c>
      <c r="B1808" s="2" t="str">
        <f>IFERROR(__xludf.DUMMYFUNCTION("""COMPUTED_VALUE"""),"Chhesugolcha Khola")</f>
        <v>Chhesugolcha Khola</v>
      </c>
      <c r="C1808" s="2">
        <f>IFERROR(__xludf.DUMMYFUNCTION("""COMPUTED_VALUE"""),0.6)</f>
        <v>0.6</v>
      </c>
      <c r="D1808" s="2" t="str">
        <f>IFERROR(__xludf.DUMMYFUNCTION("""COMPUTED_VALUE"""),"Chhesugolcha")</f>
        <v>Chhesugolcha</v>
      </c>
      <c r="E1808" s="2">
        <f>IFERROR(__xludf.DUMMYFUNCTION("""COMPUTED_VALUE"""),413.0)</f>
        <v>413</v>
      </c>
      <c r="F1808" s="3">
        <f>IFERROR(__xludf.DUMMYFUNCTION("""COMPUTED_VALUE"""),61841.0)</f>
        <v>61841</v>
      </c>
      <c r="G1808" s="2" t="str">
        <f>IFERROR(__xludf.DUMMYFUNCTION("""COMPUTED_VALUE"""),"Mahabharat Khadka")</f>
        <v>Mahabharat Khadka</v>
      </c>
      <c r="H1808" s="2" t="str">
        <f>IFERROR(__xludf.DUMMYFUNCTION("""COMPUTED_VALUE"""),"Laduk 5, Dolakha,9843150033")</f>
        <v>Laduk 5, Dolakha,9843150033</v>
      </c>
      <c r="I1808" s="2" t="str">
        <f>IFERROR(__xludf.DUMMYFUNCTION("""COMPUTED_VALUE"""),"27o 54' 05""")</f>
        <v>27o 54' 05"</v>
      </c>
      <c r="J1808" s="2" t="str">
        <f>IFERROR(__xludf.DUMMYFUNCTION("""COMPUTED_VALUE"""),"27o 55' 08""")</f>
        <v>27o 55' 08"</v>
      </c>
      <c r="K1808" s="2" t="str">
        <f>IFERROR(__xludf.DUMMYFUNCTION("""COMPUTED_VALUE"""),"86o 20' 22""")</f>
        <v>86o 20' 22"</v>
      </c>
      <c r="L1808" s="2" t="str">
        <f>IFERROR(__xludf.DUMMYFUNCTION("""COMPUTED_VALUE"""),"86o 22' 45""")</f>
        <v>86o 22' 45"</v>
      </c>
      <c r="M1808" s="2" t="str">
        <f>IFERROR(__xludf.DUMMYFUNCTION("""COMPUTED_VALUE"""),"Gauri Sankar (Dolakha)")</f>
        <v>Gauri Sankar (Dolakha)</v>
      </c>
    </row>
    <row r="1809">
      <c r="A1809" s="2">
        <f>IFERROR(__xludf.DUMMYFUNCTION("""COMPUTED_VALUE"""),1808.0)</f>
        <v>1808</v>
      </c>
      <c r="B1809" s="2" t="str">
        <f>IFERROR(__xludf.DUMMYFUNCTION("""COMPUTED_VALUE"""),"Themlun Khola")</f>
        <v>Themlun Khola</v>
      </c>
      <c r="C1809" s="2">
        <f>IFERROR(__xludf.DUMMYFUNCTION("""COMPUTED_VALUE"""),0.805)</f>
        <v>0.805</v>
      </c>
      <c r="D1809" s="2" t="str">
        <f>IFERROR(__xludf.DUMMYFUNCTION("""COMPUTED_VALUE"""),"Themlun")</f>
        <v>Themlun</v>
      </c>
      <c r="E1809" s="2">
        <f>IFERROR(__xludf.DUMMYFUNCTION("""COMPUTED_VALUE"""),390.0)</f>
        <v>390</v>
      </c>
      <c r="F1809" s="3">
        <f>IFERROR(__xludf.DUMMYFUNCTION("""COMPUTED_VALUE"""),61842.0)</f>
        <v>61842</v>
      </c>
      <c r="G1809" s="2" t="str">
        <f>IFERROR(__xludf.DUMMYFUNCTION("""COMPUTED_VALUE"""),"Chandika Koirala")</f>
        <v>Chandika Koirala</v>
      </c>
      <c r="H1809" s="2" t="str">
        <f>IFERROR(__xludf.DUMMYFUNCTION("""COMPUTED_VALUE"""),"Pawati dolakha 8")</f>
        <v>Pawati dolakha 8</v>
      </c>
      <c r="I1809" s="2" t="str">
        <f>IFERROR(__xludf.DUMMYFUNCTION("""COMPUTED_VALUE"""),"27o 54' 05""")</f>
        <v>27o 54' 05"</v>
      </c>
      <c r="J1809" s="2" t="str">
        <f>IFERROR(__xludf.DUMMYFUNCTION("""COMPUTED_VALUE"""),"28o 55' 41""")</f>
        <v>28o 55' 41"</v>
      </c>
      <c r="K1809" s="2" t="str">
        <f>IFERROR(__xludf.DUMMYFUNCTION("""COMPUTED_VALUE"""),"86o 17' 56""")</f>
        <v>86o 17' 56"</v>
      </c>
      <c r="L1809" s="2" t="str">
        <f>IFERROR(__xludf.DUMMYFUNCTION("""COMPUTED_VALUE"""),"86o 20' 22""")</f>
        <v>86o 20' 22"</v>
      </c>
      <c r="M1809" s="2" t="str">
        <f>IFERROR(__xludf.DUMMYFUNCTION("""COMPUTED_VALUE"""),"Gauri Sankar (Dolakha)")</f>
        <v>Gauri Sankar (Dolakha)</v>
      </c>
    </row>
    <row r="1810">
      <c r="A1810" s="2">
        <f>IFERROR(__xludf.DUMMYFUNCTION("""COMPUTED_VALUE"""),1809.0)</f>
        <v>1809</v>
      </c>
      <c r="B1810" s="2" t="str">
        <f>IFERROR(__xludf.DUMMYFUNCTION("""COMPUTED_VALUE"""),"Lower Jogmai")</f>
        <v>Lower Jogmai</v>
      </c>
      <c r="C1810" s="2">
        <f>IFERROR(__xludf.DUMMYFUNCTION("""COMPUTED_VALUE"""),5.5)</f>
        <v>5.5</v>
      </c>
      <c r="D1810" s="2" t="str">
        <f>IFERROR(__xludf.DUMMYFUNCTION("""COMPUTED_VALUE"""),"Jogmai Khola")</f>
        <v>Jogmai Khola</v>
      </c>
      <c r="E1810" s="2">
        <f>IFERROR(__xludf.DUMMYFUNCTION("""COMPUTED_VALUE"""),431.0)</f>
        <v>431</v>
      </c>
      <c r="F1810" s="3">
        <f>IFERROR(__xludf.DUMMYFUNCTION("""COMPUTED_VALUE"""),61842.0)</f>
        <v>61842</v>
      </c>
      <c r="G1810" s="2" t="str">
        <f>IFERROR(__xludf.DUMMYFUNCTION("""COMPUTED_VALUE"""),"Sanvi Energy Pvt. Ltd.")</f>
        <v>Sanvi Energy Pvt. Ltd.</v>
      </c>
      <c r="H1810" s="2" t="str">
        <f>IFERROR(__xludf.DUMMYFUNCTION("""COMPUTED_VALUE"""),"Kusunti, Lalitpur, P.O.Box. 8975 EPC 1341, Phone 5522953, Fax 5532860")</f>
        <v>Kusunti, Lalitpur, P.O.Box. 8975 EPC 1341, Phone 5522953, Fax 5532860</v>
      </c>
      <c r="I1810" s="2" t="str">
        <f>IFERROR(__xludf.DUMMYFUNCTION("""COMPUTED_VALUE"""),"26o 52' 50""")</f>
        <v>26o 52' 50"</v>
      </c>
      <c r="J1810" s="2" t="str">
        <f>IFERROR(__xludf.DUMMYFUNCTION("""COMPUTED_VALUE"""),"26o 54' 30""")</f>
        <v>26o 54' 30"</v>
      </c>
      <c r="K1810" s="2" t="str">
        <f>IFERROR(__xludf.DUMMYFUNCTION("""COMPUTED_VALUE"""),"87o 57' 25""")</f>
        <v>87o 57' 25"</v>
      </c>
      <c r="L1810" s="2" t="str">
        <f>IFERROR(__xludf.DUMMYFUNCTION("""COMPUTED_VALUE"""),"88o 00' 30""")</f>
        <v>88o 00' 30"</v>
      </c>
      <c r="M1810" s="2" t="str">
        <f>IFERROR(__xludf.DUMMYFUNCTION("""COMPUTED_VALUE"""),"Namsaling,Goduk (Ilam)")</f>
        <v>Namsaling,Goduk (Ilam)</v>
      </c>
    </row>
    <row r="1811">
      <c r="A1811" s="2">
        <f>IFERROR(__xludf.DUMMYFUNCTION("""COMPUTED_VALUE"""),1810.0)</f>
        <v>1810</v>
      </c>
      <c r="B1811" s="2" t="str">
        <f>IFERROR(__xludf.DUMMYFUNCTION("""COMPUTED_VALUE"""),"Gopi Khola")</f>
        <v>Gopi Khola</v>
      </c>
      <c r="C1811" s="2">
        <f>IFERROR(__xludf.DUMMYFUNCTION("""COMPUTED_VALUE"""),0.99)</f>
        <v>0.99</v>
      </c>
      <c r="D1811" s="2" t="str">
        <f>IFERROR(__xludf.DUMMYFUNCTION("""COMPUTED_VALUE"""),"Gopi Khola")</f>
        <v>Gopi Khola</v>
      </c>
      <c r="E1811" s="5">
        <f>IFERROR(__xludf.DUMMYFUNCTION("""COMPUTED_VALUE"""),61844.0)</f>
        <v>61844</v>
      </c>
      <c r="F1811" s="3">
        <f>IFERROR(__xludf.DUMMYFUNCTION("""COMPUTED_VALUE"""),61844.0)</f>
        <v>61844</v>
      </c>
      <c r="G1811" s="2" t="str">
        <f>IFERROR(__xludf.DUMMYFUNCTION("""COMPUTED_VALUE"""),"Data Hydropower Co.")</f>
        <v>Data Hydropower Co.</v>
      </c>
      <c r="H1811" s="2" t="str">
        <f>IFERROR(__xludf.DUMMYFUNCTION("""COMPUTED_VALUE"""),"New Baneswor KTM")</f>
        <v>New Baneswor KTM</v>
      </c>
      <c r="I1811" s="2" t="str">
        <f>IFERROR(__xludf.DUMMYFUNCTION("""COMPUTED_VALUE"""),"27o 36' 05""")</f>
        <v>27o 36' 05"</v>
      </c>
      <c r="J1811" s="2" t="str">
        <f>IFERROR(__xludf.DUMMYFUNCTION("""COMPUTED_VALUE"""),"27o 37' 30""")</f>
        <v>27o 37' 30"</v>
      </c>
      <c r="K1811" s="2" t="str">
        <f>IFERROR(__xludf.DUMMYFUNCTION("""COMPUTED_VALUE"""),"86o 05' 43""")</f>
        <v>86o 05' 43"</v>
      </c>
      <c r="L1811" s="2" t="str">
        <f>IFERROR(__xludf.DUMMYFUNCTION("""COMPUTED_VALUE"""),"86o 07' 30""")</f>
        <v>86o 07' 30"</v>
      </c>
      <c r="M1811" s="2" t="str">
        <f>IFERROR(__xludf.DUMMYFUNCTION("""COMPUTED_VALUE"""),"Namdu (Dolakha)")</f>
        <v>Namdu (Dolakha)</v>
      </c>
    </row>
    <row r="1812">
      <c r="A1812" s="2">
        <f>IFERROR(__xludf.DUMMYFUNCTION("""COMPUTED_VALUE"""),1811.0)</f>
        <v>1811</v>
      </c>
      <c r="B1812" s="2" t="str">
        <f>IFERROR(__xludf.DUMMYFUNCTION("""COMPUTED_VALUE"""),"Khimti 2")</f>
        <v>Khimti 2</v>
      </c>
      <c r="C1812" s="2">
        <f>IFERROR(__xludf.DUMMYFUNCTION("""COMPUTED_VALUE"""),4.5)</f>
        <v>4.5</v>
      </c>
      <c r="D1812" s="2" t="str">
        <f>IFERROR(__xludf.DUMMYFUNCTION("""COMPUTED_VALUE"""),"Khimti Khola")</f>
        <v>Khimti Khola</v>
      </c>
      <c r="E1812" s="2">
        <f>IFERROR(__xludf.DUMMYFUNCTION("""COMPUTED_VALUE"""),3527.0)</f>
        <v>3527</v>
      </c>
      <c r="F1812" s="3">
        <f>IFERROR(__xludf.DUMMYFUNCTION("""COMPUTED_VALUE"""),61844.0)</f>
        <v>61844</v>
      </c>
      <c r="G1812" s="2" t="str">
        <f>IFERROR(__xludf.DUMMYFUNCTION("""COMPUTED_VALUE"""),"Shankarmali Nirmansewa")</f>
        <v>Shankarmali Nirmansewa</v>
      </c>
      <c r="H1812" s="2" t="str">
        <f>IFERROR(__xludf.DUMMYFUNCTION("""COMPUTED_VALUE"""),"POBox: 21171")</f>
        <v>POBox: 21171</v>
      </c>
      <c r="I1812" s="2" t="str">
        <f>IFERROR(__xludf.DUMMYFUNCTION("""COMPUTED_VALUE"""),"27o 36' 25""")</f>
        <v>27o 36' 25"</v>
      </c>
      <c r="J1812" s="2" t="str">
        <f>IFERROR(__xludf.DUMMYFUNCTION("""COMPUTED_VALUE"""),"27o 41' 10""")</f>
        <v>27o 41' 10"</v>
      </c>
      <c r="K1812" s="2" t="str">
        <f>IFERROR(__xludf.DUMMYFUNCTION("""COMPUTED_VALUE"""),"85o 18' 24""")</f>
        <v>85o 18' 24"</v>
      </c>
      <c r="L1812" s="2" t="str">
        <f>IFERROR(__xludf.DUMMYFUNCTION("""COMPUTED_VALUE"""),"86o 20' 15""")</f>
        <v>86o 20' 15"</v>
      </c>
      <c r="M1812" s="2" t="str">
        <f>IFERROR(__xludf.DUMMYFUNCTION("""COMPUTED_VALUE"""),"Syama (Dolakha)")</f>
        <v>Syama (Dolakha)</v>
      </c>
    </row>
    <row r="1813">
      <c r="A1813" s="2">
        <f>IFERROR(__xludf.DUMMYFUNCTION("""COMPUTED_VALUE"""),1812.0)</f>
        <v>1812</v>
      </c>
      <c r="B1813" s="2" t="str">
        <f>IFERROR(__xludf.DUMMYFUNCTION("""COMPUTED_VALUE"""),"Mailun Hydropower")</f>
        <v>Mailun Hydropower</v>
      </c>
      <c r="C1813" s="2">
        <f>IFERROR(__xludf.DUMMYFUNCTION("""COMPUTED_VALUE"""),5.0)</f>
        <v>5</v>
      </c>
      <c r="D1813" s="2" t="str">
        <f>IFERROR(__xludf.DUMMYFUNCTION("""COMPUTED_VALUE"""),"Mailung Khola")</f>
        <v>Mailung Khola</v>
      </c>
      <c r="E1813" s="2">
        <f>IFERROR(__xludf.DUMMYFUNCTION("""COMPUTED_VALUE"""),3529.0)</f>
        <v>3529</v>
      </c>
      <c r="F1813" s="3">
        <f>IFERROR(__xludf.DUMMYFUNCTION("""COMPUTED_VALUE"""),61844.0)</f>
        <v>61844</v>
      </c>
      <c r="G1813" s="2" t="str">
        <f>IFERROR(__xludf.DUMMYFUNCTION("""COMPUTED_VALUE"""),"Lari Hydropower")</f>
        <v>Lari Hydropower</v>
      </c>
      <c r="H1813" s="2" t="str">
        <f>IFERROR(__xludf.DUMMYFUNCTION("""COMPUTED_VALUE"""),"Kalanki 14 KTM")</f>
        <v>Kalanki 14 KTM</v>
      </c>
      <c r="I1813" s="2" t="str">
        <f>IFERROR(__xludf.DUMMYFUNCTION("""COMPUTED_VALUE"""),"02o 81' 40""")</f>
        <v>02o 81' 40"</v>
      </c>
      <c r="J1813" s="2" t="str">
        <f>IFERROR(__xludf.DUMMYFUNCTION("""COMPUTED_VALUE"""),"28o 12' 11""")</f>
        <v>28o 12' 11"</v>
      </c>
      <c r="K1813" s="2" t="str">
        <f>IFERROR(__xludf.DUMMYFUNCTION("""COMPUTED_VALUE"""),"85o 11' 25""")</f>
        <v>85o 11' 25"</v>
      </c>
      <c r="L1813" s="2" t="str">
        <f>IFERROR(__xludf.DUMMYFUNCTION("""COMPUTED_VALUE"""),"85o 12' 20""")</f>
        <v>85o 12' 20"</v>
      </c>
      <c r="M1813" s="2" t="str">
        <f>IFERROR(__xludf.DUMMYFUNCTION("""COMPUTED_VALUE"""),"Tipling (Dhading)")</f>
        <v>Tipling (Dhading)</v>
      </c>
    </row>
    <row r="1814">
      <c r="A1814" s="2">
        <f>IFERROR(__xludf.DUMMYFUNCTION("""COMPUTED_VALUE"""),1813.0)</f>
        <v>1813</v>
      </c>
      <c r="B1814" s="2" t="str">
        <f>IFERROR(__xludf.DUMMYFUNCTION("""COMPUTED_VALUE"""),"Phawa Khola")</f>
        <v>Phawa Khola</v>
      </c>
      <c r="C1814" s="2">
        <f>IFERROR(__xludf.DUMMYFUNCTION("""COMPUTED_VALUE"""),0.995)</f>
        <v>0.995</v>
      </c>
      <c r="D1814" s="2" t="str">
        <f>IFERROR(__xludf.DUMMYFUNCTION("""COMPUTED_VALUE"""),"Phawa Khola")</f>
        <v>Phawa Khola</v>
      </c>
      <c r="E1814" s="2">
        <f>IFERROR(__xludf.DUMMYFUNCTION("""COMPUTED_VALUE"""),492.0)</f>
        <v>492</v>
      </c>
      <c r="F1814" s="3">
        <f>IFERROR(__xludf.DUMMYFUNCTION("""COMPUTED_VALUE"""),61846.0)</f>
        <v>61846</v>
      </c>
      <c r="G1814" s="2" t="str">
        <f>IFERROR(__xludf.DUMMYFUNCTION("""COMPUTED_VALUE"""),"Bal Bahadur Sansohang, Dharm Prasad Paudel, Gajendra Prasad Tumyang")</f>
        <v>Bal Bahadur Sansohang, Dharm Prasad Paudel, Gajendra Prasad Tumyang</v>
      </c>
      <c r="H1814" s="2" t="str">
        <f>IFERROR(__xludf.DUMMYFUNCTION("""COMPUTED_VALUE"""),"Chaksibote-1, 9842660598, 9842660697")</f>
        <v>Chaksibote-1, 9842660598, 9842660697</v>
      </c>
      <c r="I1814" s="2" t="str">
        <f>IFERROR(__xludf.DUMMYFUNCTION("""COMPUTED_VALUE"""),"27o 19' 08""")</f>
        <v>27o 19' 08"</v>
      </c>
      <c r="J1814" s="2" t="str">
        <f>IFERROR(__xludf.DUMMYFUNCTION("""COMPUTED_VALUE"""),"27o 21' 12""")</f>
        <v>27o 21' 12"</v>
      </c>
      <c r="K1814" s="2" t="str">
        <f>IFERROR(__xludf.DUMMYFUNCTION("""COMPUTED_VALUE"""),"87o 45' 47""")</f>
        <v>87o 45' 47"</v>
      </c>
      <c r="L1814" s="2" t="str">
        <f>IFERROR(__xludf.DUMMYFUNCTION("""COMPUTED_VALUE"""),"87o 47' 35""")</f>
        <v>87o 47' 35"</v>
      </c>
      <c r="M1814" s="2" t="str">
        <f>IFERROR(__xludf.DUMMYFUNCTION("""COMPUTED_VALUE"""),"Dummrise,Sikaicha,Tiringe (Taplejung)")</f>
        <v>Dummrise,Sikaicha,Tiringe (Taplejung)</v>
      </c>
    </row>
    <row r="1815">
      <c r="A1815" s="2">
        <f>IFERROR(__xludf.DUMMYFUNCTION("""COMPUTED_VALUE"""),1814.0)</f>
        <v>1814</v>
      </c>
      <c r="B1815" s="2" t="str">
        <f>IFERROR(__xludf.DUMMYFUNCTION("""COMPUTED_VALUE"""),"Jiri Khola")</f>
        <v>Jiri Khola</v>
      </c>
      <c r="C1815" s="2">
        <f>IFERROR(__xludf.DUMMYFUNCTION("""COMPUTED_VALUE"""),0.45)</f>
        <v>0.45</v>
      </c>
      <c r="D1815" s="2" t="str">
        <f>IFERROR(__xludf.DUMMYFUNCTION("""COMPUTED_VALUE"""),"Jiri Khola")</f>
        <v>Jiri Khola</v>
      </c>
      <c r="E1815" s="2">
        <f>IFERROR(__xludf.DUMMYFUNCTION("""COMPUTED_VALUE"""),527.0)</f>
        <v>527</v>
      </c>
      <c r="F1815" s="2" t="str">
        <f>IFERROR(__xludf.DUMMYFUNCTION("""COMPUTED_VALUE"""),"2069-04-31")</f>
        <v>2069-04-31</v>
      </c>
      <c r="G1815" s="2" t="str">
        <f>IFERROR(__xludf.DUMMYFUNCTION("""COMPUTED_VALUE"""),"Gelbu Sherpa")</f>
        <v>Gelbu Sherpa</v>
      </c>
      <c r="H1815" s="2" t="str">
        <f>IFERROR(__xludf.DUMMYFUNCTION("""COMPUTED_VALUE"""),"Jiri 8 Dolakha")</f>
        <v>Jiri 8 Dolakha</v>
      </c>
      <c r="I1815" s="2" t="str">
        <f>IFERROR(__xludf.DUMMYFUNCTION("""COMPUTED_VALUE"""),"27o 36' 14""")</f>
        <v>27o 36' 14"</v>
      </c>
      <c r="J1815" s="2" t="str">
        <f>IFERROR(__xludf.DUMMYFUNCTION("""COMPUTED_VALUE"""),"27o 36' 55""")</f>
        <v>27o 36' 55"</v>
      </c>
      <c r="K1815" s="2" t="str">
        <f>IFERROR(__xludf.DUMMYFUNCTION("""COMPUTED_VALUE"""),"86o 13' 37""")</f>
        <v>86o 13' 37"</v>
      </c>
      <c r="L1815" s="2" t="str">
        <f>IFERROR(__xludf.DUMMYFUNCTION("""COMPUTED_VALUE"""),"86o 14' 14""")</f>
        <v>86o 14' 14"</v>
      </c>
      <c r="M1815" s="2" t="str">
        <f>IFERROR(__xludf.DUMMYFUNCTION("""COMPUTED_VALUE"""),"Jiri (Dolakha)")</f>
        <v>Jiri (Dolakha)</v>
      </c>
    </row>
    <row r="1816">
      <c r="A1816" s="2">
        <f>IFERROR(__xludf.DUMMYFUNCTION("""COMPUTED_VALUE"""),1815.0)</f>
        <v>1815</v>
      </c>
      <c r="B1816" s="2" t="str">
        <f>IFERROR(__xludf.DUMMYFUNCTION("""COMPUTED_VALUE"""),"Toj Khola SHP")</f>
        <v>Toj Khola SHP</v>
      </c>
      <c r="C1816" s="2">
        <f>IFERROR(__xludf.DUMMYFUNCTION("""COMPUTED_VALUE"""),1.25)</f>
        <v>1.25</v>
      </c>
      <c r="D1816" s="2" t="str">
        <f>IFERROR(__xludf.DUMMYFUNCTION("""COMPUTED_VALUE"""),"Toj Khola")</f>
        <v>Toj Khola</v>
      </c>
      <c r="E1816" s="2">
        <f>IFERROR(__xludf.DUMMYFUNCTION("""COMPUTED_VALUE"""),686.0)</f>
        <v>686</v>
      </c>
      <c r="F1816" s="3">
        <f>IFERROR(__xludf.DUMMYFUNCTION("""COMPUTED_VALUE"""),61859.0)</f>
        <v>61859</v>
      </c>
      <c r="G1816" s="2" t="str">
        <f>IFERROR(__xludf.DUMMYFUNCTION("""COMPUTED_VALUE"""),"M. P. Hydropower Pvt. Ltd.")</f>
        <v>M. P. Hydropower Pvt. Ltd.</v>
      </c>
      <c r="H1816" s="2" t="str">
        <f>IFERROR(__xludf.DUMMYFUNCTION("""COMPUTED_VALUE"""),"Balaju-16, Kathmandu")</f>
        <v>Balaju-16, Kathmandu</v>
      </c>
      <c r="I1816" s="2" t="str">
        <f>IFERROR(__xludf.DUMMYFUNCTION("""COMPUTED_VALUE"""),"28o 19' 20""")</f>
        <v>28o 19' 20"</v>
      </c>
      <c r="J1816" s="2" t="str">
        <f>IFERROR(__xludf.DUMMYFUNCTION("""COMPUTED_VALUE"""),"28o 20' 20""")</f>
        <v>28o 20' 20"</v>
      </c>
      <c r="K1816" s="2" t="str">
        <f>IFERROR(__xludf.DUMMYFUNCTION("""COMPUTED_VALUE"""),"84o 28' 10""")</f>
        <v>84o 28' 10"</v>
      </c>
      <c r="L1816" s="2" t="str">
        <f>IFERROR(__xludf.DUMMYFUNCTION("""COMPUTED_VALUE"""),"84o 46' 40""")</f>
        <v>84o 46' 40"</v>
      </c>
      <c r="M1816" s="2" t="str">
        <f>IFERROR(__xludf.DUMMYFUNCTION("""COMPUTED_VALUE"""),"Bhulbhule (Lamjung)")</f>
        <v>Bhulbhule (Lamjung)</v>
      </c>
    </row>
    <row r="1817">
      <c r="A1817" s="2">
        <f>IFERROR(__xludf.DUMMYFUNCTION("""COMPUTED_VALUE"""),1816.0)</f>
        <v>1816</v>
      </c>
      <c r="B1817" s="2" t="str">
        <f>IFERROR(__xludf.DUMMYFUNCTION("""COMPUTED_VALUE"""),"Hinkhuwa Khola")</f>
        <v>Hinkhuwa Khola</v>
      </c>
      <c r="C1817" s="2">
        <f>IFERROR(__xludf.DUMMYFUNCTION("""COMPUTED_VALUE"""),0.987)</f>
        <v>0.987</v>
      </c>
      <c r="D1817" s="2" t="str">
        <f>IFERROR(__xludf.DUMMYFUNCTION("""COMPUTED_VALUE"""),"Hinkhuwa")</f>
        <v>Hinkhuwa</v>
      </c>
      <c r="E1817" s="2">
        <f>IFERROR(__xludf.DUMMYFUNCTION("""COMPUTED_VALUE"""),602.0)</f>
        <v>602</v>
      </c>
      <c r="F1817" s="3">
        <f>IFERROR(__xludf.DUMMYFUNCTION("""COMPUTED_VALUE"""),61860.0)</f>
        <v>61860</v>
      </c>
      <c r="G1817" s="2" t="str">
        <f>IFERROR(__xludf.DUMMYFUNCTION("""COMPUTED_VALUE"""),"Secured Construction Pvt. Ltd")</f>
        <v>Secured Construction Pvt. Ltd</v>
      </c>
      <c r="H1817" s="2" t="str">
        <f>IFERROR(__xludf.DUMMYFUNCTION("""COMPUTED_VALUE"""),"Mankha 9 Khadichaur, Contact: Z Street Thamel House No. 74/13, Phone 
014700886, Mobile 9841480359")</f>
        <v>Mankha 9 Khadichaur, Contact: Z Street Thamel House No. 74/13, Phone 
014700886, Mobile 9841480359</v>
      </c>
      <c r="I1817" s="2" t="str">
        <f>IFERROR(__xludf.DUMMYFUNCTION("""COMPUTED_VALUE"""),"27o 13' 49""")</f>
        <v>27o 13' 49"</v>
      </c>
      <c r="J1817" s="2" t="str">
        <f>IFERROR(__xludf.DUMMYFUNCTION("""COMPUTED_VALUE"""),"27o 14' 46""")</f>
        <v>27o 14' 46"</v>
      </c>
      <c r="K1817" s="2" t="str">
        <f>IFERROR(__xludf.DUMMYFUNCTION("""COMPUTED_VALUE"""),"86o 57' 28""")</f>
        <v>86o 57' 28"</v>
      </c>
      <c r="L1817" s="2" t="str">
        <f>IFERROR(__xludf.DUMMYFUNCTION("""COMPUTED_VALUE"""),"86o 59' 09""")</f>
        <v>86o 59' 09"</v>
      </c>
      <c r="M1817" s="2" t="str">
        <f>IFERROR(__xludf.DUMMYFUNCTION("""COMPUTED_VALUE"""),"Chhinamukh (Bhojpur)")</f>
        <v>Chhinamukh (Bhojpur)</v>
      </c>
    </row>
    <row r="1818">
      <c r="A1818" s="2">
        <f>IFERROR(__xludf.DUMMYFUNCTION("""COMPUTED_VALUE"""),1817.0)</f>
        <v>1817</v>
      </c>
      <c r="B1818" s="2" t="str">
        <f>IFERROR(__xludf.DUMMYFUNCTION("""COMPUTED_VALUE"""),"Buku Khola")</f>
        <v>Buku Khola</v>
      </c>
      <c r="C1818" s="2">
        <f>IFERROR(__xludf.DUMMYFUNCTION("""COMPUTED_VALUE"""),6.0)</f>
        <v>6</v>
      </c>
      <c r="D1818" s="2" t="str">
        <f>IFERROR(__xludf.DUMMYFUNCTION("""COMPUTED_VALUE"""),"Buku")</f>
        <v>Buku</v>
      </c>
      <c r="E1818" s="2">
        <f>IFERROR(__xludf.DUMMYFUNCTION("""COMPUTED_VALUE"""),765.0)</f>
        <v>765</v>
      </c>
      <c r="F1818" s="3">
        <f>IFERROR(__xludf.DUMMYFUNCTION("""COMPUTED_VALUE"""),61865.0)</f>
        <v>61865</v>
      </c>
      <c r="G1818" s="2" t="str">
        <f>IFERROR(__xludf.DUMMYFUNCTION("""COMPUTED_VALUE"""),"Manisha Bhandari")</f>
        <v>Manisha Bhandari</v>
      </c>
      <c r="H1818" s="2" t="str">
        <f>IFERROR(__xludf.DUMMYFUNCTION("""COMPUTED_VALUE"""),"Nepale Dada 7, Bhojpur, P.O.Box. 20762 Kathamandu, Mobile 9851133650")</f>
        <v>Nepale Dada 7, Bhojpur, P.O.Box. 20762 Kathamandu, Mobile 9851133650</v>
      </c>
      <c r="I1818" s="2" t="str">
        <f>IFERROR(__xludf.DUMMYFUNCTION("""COMPUTED_VALUE"""),"27o 30' 45""")</f>
        <v>27o 30' 45"</v>
      </c>
      <c r="J1818" s="2" t="str">
        <f>IFERROR(__xludf.DUMMYFUNCTION("""COMPUTED_VALUE"""),"27o 31' 17""")</f>
        <v>27o 31' 17"</v>
      </c>
      <c r="K1818" s="2" t="str">
        <f>IFERROR(__xludf.DUMMYFUNCTION("""COMPUTED_VALUE"""),"86o 20' 31""")</f>
        <v>86o 20' 31"</v>
      </c>
      <c r="L1818" s="2" t="str">
        <f>IFERROR(__xludf.DUMMYFUNCTION("""COMPUTED_VALUE"""),"86o 22' 29""")</f>
        <v>86o 22' 29"</v>
      </c>
      <c r="M1818" s="2"/>
    </row>
    <row r="1819">
      <c r="A1819" s="2">
        <f>IFERROR(__xludf.DUMMYFUNCTION("""COMPUTED_VALUE"""),1818.0)</f>
        <v>1818</v>
      </c>
      <c r="B1819" s="2" t="str">
        <f>IFERROR(__xludf.DUMMYFUNCTION("""COMPUTED_VALUE"""),"Buku Khola")</f>
        <v>Buku Khola</v>
      </c>
      <c r="C1819" s="2">
        <f>IFERROR(__xludf.DUMMYFUNCTION("""COMPUTED_VALUE"""),0.9)</f>
        <v>0.9</v>
      </c>
      <c r="D1819" s="2" t="str">
        <f>IFERROR(__xludf.DUMMYFUNCTION("""COMPUTED_VALUE"""),"Buku")</f>
        <v>Buku</v>
      </c>
      <c r="E1819" s="2">
        <f>IFERROR(__xludf.DUMMYFUNCTION("""COMPUTED_VALUE"""),775.0)</f>
        <v>775</v>
      </c>
      <c r="F1819" s="3">
        <f>IFERROR(__xludf.DUMMYFUNCTION("""COMPUTED_VALUE"""),61865.0)</f>
        <v>61865</v>
      </c>
      <c r="G1819" s="2" t="str">
        <f>IFERROR(__xludf.DUMMYFUNCTION("""COMPUTED_VALUE"""),"Gajendra Bahadur Basnet")</f>
        <v>Gajendra Bahadur Basnet</v>
      </c>
      <c r="H1819" s="2" t="str">
        <f>IFERROR(__xludf.DUMMYFUNCTION("""COMPUTED_VALUE"""),"Goli 1, Solukhumbu, P.O.Box. 5947 Kathmandu, Mobile 9849843068")</f>
        <v>Goli 1, Solukhumbu, P.O.Box. 5947 Kathmandu, Mobile 9849843068</v>
      </c>
      <c r="I1819" s="2" t="str">
        <f>IFERROR(__xludf.DUMMYFUNCTION("""COMPUTED_VALUE"""),"27o 30' 45""")</f>
        <v>27o 30' 45"</v>
      </c>
      <c r="J1819" s="2" t="str">
        <f>IFERROR(__xludf.DUMMYFUNCTION("""COMPUTED_VALUE"""),"27o 31' 17""")</f>
        <v>27o 31' 17"</v>
      </c>
      <c r="K1819" s="2" t="str">
        <f>IFERROR(__xludf.DUMMYFUNCTION("""COMPUTED_VALUE"""),"86o 20' 31""")</f>
        <v>86o 20' 31"</v>
      </c>
      <c r="L1819" s="2" t="str">
        <f>IFERROR(__xludf.DUMMYFUNCTION("""COMPUTED_VALUE"""),"86o 23' 02""")</f>
        <v>86o 23' 02"</v>
      </c>
      <c r="M1819" s="2" t="str">
        <f>IFERROR(__xludf.DUMMYFUNCTION("""COMPUTED_VALUE"""),"Bhussinga (Okhaldhunga)")</f>
        <v>Bhussinga (Okhaldhunga)</v>
      </c>
    </row>
    <row r="1820">
      <c r="A1820" s="2">
        <f>IFERROR(__xludf.DUMMYFUNCTION("""COMPUTED_VALUE"""),1819.0)</f>
        <v>1819</v>
      </c>
      <c r="B1820" s="2" t="str">
        <f>IFERROR(__xludf.DUMMYFUNCTION("""COMPUTED_VALUE"""),"Ghattekhola")</f>
        <v>Ghattekhola</v>
      </c>
      <c r="C1820" s="2">
        <f>IFERROR(__xludf.DUMMYFUNCTION("""COMPUTED_VALUE"""),5.0)</f>
        <v>5</v>
      </c>
      <c r="D1820" s="2" t="str">
        <f>IFERROR(__xludf.DUMMYFUNCTION("""COMPUTED_VALUE"""),"Ghattekhola")</f>
        <v>Ghattekhola</v>
      </c>
      <c r="E1820" s="2">
        <f>IFERROR(__xludf.DUMMYFUNCTION("""COMPUTED_VALUE"""),828.0)</f>
        <v>828</v>
      </c>
      <c r="F1820" s="3">
        <f>IFERROR(__xludf.DUMMYFUNCTION("""COMPUTED_VALUE"""),61872.0)</f>
        <v>61872</v>
      </c>
      <c r="G1820" s="2" t="str">
        <f>IFERROR(__xludf.DUMMYFUNCTION("""COMPUTED_VALUE"""),"sanjiv D.M.")</f>
        <v>sanjiv D.M.</v>
      </c>
      <c r="H1820" s="2" t="str">
        <f>IFERROR(__xludf.DUMMYFUNCTION("""COMPUTED_VALUE"""),"Rasuwa VDC,Dhunche-7")</f>
        <v>Rasuwa VDC,Dhunche-7</v>
      </c>
      <c r="I1820" s="2" t="str">
        <f>IFERROR(__xludf.DUMMYFUNCTION("""COMPUTED_VALUE"""),"85o 22' 46""")</f>
        <v>85o 22' 46"</v>
      </c>
      <c r="J1820" s="2" t="str">
        <f>IFERROR(__xludf.DUMMYFUNCTION("""COMPUTED_VALUE"""),"85o 24' 04""")</f>
        <v>85o 24' 04"</v>
      </c>
      <c r="K1820" s="2" t="str">
        <f>IFERROR(__xludf.DUMMYFUNCTION("""COMPUTED_VALUE"""),"28o 15' 17""")</f>
        <v>28o 15' 17"</v>
      </c>
      <c r="L1820" s="2" t="str">
        <f>IFERROR(__xludf.DUMMYFUNCTION("""COMPUTED_VALUE"""),"28o 16' 06""")</f>
        <v>28o 16' 06"</v>
      </c>
      <c r="M1820" s="2" t="str">
        <f>IFERROR(__xludf.DUMMYFUNCTION("""COMPUTED_VALUE"""),"Timure (Rasuwa)")</f>
        <v>Timure (Rasuwa)</v>
      </c>
    </row>
    <row r="1821">
      <c r="A1821" s="2">
        <f>IFERROR(__xludf.DUMMYFUNCTION("""COMPUTED_VALUE"""),1820.0)</f>
        <v>1820</v>
      </c>
      <c r="B1821" s="2" t="str">
        <f>IFERROR(__xludf.DUMMYFUNCTION("""COMPUTED_VALUE"""),"Dursang Khola")</f>
        <v>Dursang Khola</v>
      </c>
      <c r="C1821" s="2">
        <f>IFERROR(__xludf.DUMMYFUNCTION("""COMPUTED_VALUE"""),0.3)</f>
        <v>0.3</v>
      </c>
      <c r="D1821" s="2" t="str">
        <f>IFERROR(__xludf.DUMMYFUNCTION("""COMPUTED_VALUE"""),"Dursang")</f>
        <v>Dursang</v>
      </c>
      <c r="E1821" s="2">
        <f>IFERROR(__xludf.DUMMYFUNCTION("""COMPUTED_VALUE"""),852.0)</f>
        <v>852</v>
      </c>
      <c r="F1821" s="3">
        <f>IFERROR(__xludf.DUMMYFUNCTION("""COMPUTED_VALUE"""),61873.0)</f>
        <v>61873</v>
      </c>
      <c r="G1821" s="2" t="str">
        <f>IFERROR(__xludf.DUMMYFUNCTION("""COMPUTED_VALUE"""),"Kaisang Dindup Tamang")</f>
        <v>Kaisang Dindup Tamang</v>
      </c>
      <c r="H1821" s="2" t="str">
        <f>IFERROR(__xludf.DUMMYFUNCTION("""COMPUTED_VALUE"""),"Dhunche 5, Rasuwa")</f>
        <v>Dhunche 5, Rasuwa</v>
      </c>
      <c r="I1821" s="2" t="str">
        <f>IFERROR(__xludf.DUMMYFUNCTION("""COMPUTED_VALUE"""),"28o 05' 00""")</f>
        <v>28o 05' 00"</v>
      </c>
      <c r="J1821" s="2" t="str">
        <f>IFERROR(__xludf.DUMMYFUNCTION("""COMPUTED_VALUE"""),"28o 05' 42""")</f>
        <v>28o 05' 42"</v>
      </c>
      <c r="K1821" s="2" t="str">
        <f>IFERROR(__xludf.DUMMYFUNCTION("""COMPUTED_VALUE"""),"85o 19' 00""")</f>
        <v>85o 19' 00"</v>
      </c>
      <c r="L1821" s="2" t="str">
        <f>IFERROR(__xludf.DUMMYFUNCTION("""COMPUTED_VALUE"""),"85o 20' 00""")</f>
        <v>85o 20' 00"</v>
      </c>
      <c r="M1821" s="2" t="str">
        <f>IFERROR(__xludf.DUMMYFUNCTION("""COMPUTED_VALUE"""),"Dhunche (Rasuwa)")</f>
        <v>Dhunche (Rasuwa)</v>
      </c>
    </row>
    <row r="1822">
      <c r="A1822" s="2">
        <f>IFERROR(__xludf.DUMMYFUNCTION("""COMPUTED_VALUE"""),1821.0)</f>
        <v>1821</v>
      </c>
      <c r="B1822" s="2" t="str">
        <f>IFERROR(__xludf.DUMMYFUNCTION("""COMPUTED_VALUE"""),"Naglang Khola")</f>
        <v>Naglang Khola</v>
      </c>
      <c r="C1822" s="2">
        <f>IFERROR(__xludf.DUMMYFUNCTION("""COMPUTED_VALUE"""),0.4)</f>
        <v>0.4</v>
      </c>
      <c r="D1822" s="2" t="str">
        <f>IFERROR(__xludf.DUMMYFUNCTION("""COMPUTED_VALUE"""),"Naglang Khola")</f>
        <v>Naglang Khola</v>
      </c>
      <c r="E1822" s="2">
        <f>IFERROR(__xludf.DUMMYFUNCTION("""COMPUTED_VALUE"""),853.0)</f>
        <v>853</v>
      </c>
      <c r="F1822" s="3">
        <f>IFERROR(__xludf.DUMMYFUNCTION("""COMPUTED_VALUE"""),61873.0)</f>
        <v>61873</v>
      </c>
      <c r="G1822" s="2" t="str">
        <f>IFERROR(__xludf.DUMMYFUNCTION("""COMPUTED_VALUE"""),"Dawa Sidar Waiwa")</f>
        <v>Dawa Sidar Waiwa</v>
      </c>
      <c r="H1822" s="2" t="str">
        <f>IFERROR(__xludf.DUMMYFUNCTION("""COMPUTED_VALUE"""),"Dhunche-5")</f>
        <v>Dhunche-5</v>
      </c>
      <c r="I1822" s="2" t="str">
        <f>IFERROR(__xludf.DUMMYFUNCTION("""COMPUTED_VALUE"""),"28o 05' 00""")</f>
        <v>28o 05' 00"</v>
      </c>
      <c r="J1822" s="2" t="str">
        <f>IFERROR(__xludf.DUMMYFUNCTION("""COMPUTED_VALUE"""),"28o 05' 50""")</f>
        <v>28o 05' 50"</v>
      </c>
      <c r="K1822" s="2" t="str">
        <f>IFERROR(__xludf.DUMMYFUNCTION("""COMPUTED_VALUE"""),"00o 85' 17""")</f>
        <v>00o 85' 17"</v>
      </c>
      <c r="L1822" s="2" t="str">
        <f>IFERROR(__xludf.DUMMYFUNCTION("""COMPUTED_VALUE"""),"85o 15' 56""")</f>
        <v>85o 15' 56"</v>
      </c>
      <c r="M1822" s="2" t="str">
        <f>IFERROR(__xludf.DUMMYFUNCTION("""COMPUTED_VALUE"""),"Dhunche (Rasuwa)")</f>
        <v>Dhunche (Rasuwa)</v>
      </c>
    </row>
    <row r="1823">
      <c r="A1823" s="2">
        <f>IFERROR(__xludf.DUMMYFUNCTION("""COMPUTED_VALUE"""),1822.0)</f>
        <v>1822</v>
      </c>
      <c r="B1823" s="2" t="str">
        <f>IFERROR(__xludf.DUMMYFUNCTION("""COMPUTED_VALUE"""),"Godam Khola")</f>
        <v>Godam Khola</v>
      </c>
      <c r="C1823" s="2">
        <f>IFERROR(__xludf.DUMMYFUNCTION("""COMPUTED_VALUE"""),0.4)</f>
        <v>0.4</v>
      </c>
      <c r="D1823" s="2" t="str">
        <f>IFERROR(__xludf.DUMMYFUNCTION("""COMPUTED_VALUE"""),"Godam Khola")</f>
        <v>Godam Khola</v>
      </c>
      <c r="E1823" s="2">
        <f>IFERROR(__xludf.DUMMYFUNCTION("""COMPUTED_VALUE"""),854.0)</f>
        <v>854</v>
      </c>
      <c r="F1823" s="3">
        <f>IFERROR(__xludf.DUMMYFUNCTION("""COMPUTED_VALUE"""),61873.0)</f>
        <v>61873</v>
      </c>
      <c r="G1823" s="2" t="str">
        <f>IFERROR(__xludf.DUMMYFUNCTION("""COMPUTED_VALUE"""),"Kaisang Nurpu Tamang")</f>
        <v>Kaisang Nurpu Tamang</v>
      </c>
      <c r="H1823" s="2" t="str">
        <f>IFERROR(__xludf.DUMMYFUNCTION("""COMPUTED_VALUE"""),"Dhunche-5")</f>
        <v>Dhunche-5</v>
      </c>
      <c r="I1823" s="2" t="str">
        <f>IFERROR(__xludf.DUMMYFUNCTION("""COMPUTED_VALUE"""),"28o 04' 10""")</f>
        <v>28o 04' 10"</v>
      </c>
      <c r="J1823" s="2" t="str">
        <f>IFERROR(__xludf.DUMMYFUNCTION("""COMPUTED_VALUE"""),"28o 05' 42""")</f>
        <v>28o 05' 42"</v>
      </c>
      <c r="K1823" s="2" t="str">
        <f>IFERROR(__xludf.DUMMYFUNCTION("""COMPUTED_VALUE"""),"85o 15' 00""")</f>
        <v>85o 15' 00"</v>
      </c>
      <c r="L1823" s="2" t="str">
        <f>IFERROR(__xludf.DUMMYFUNCTION("""COMPUTED_VALUE"""),"85o 15' 40""")</f>
        <v>85o 15' 40"</v>
      </c>
      <c r="M1823" s="2" t="str">
        <f>IFERROR(__xludf.DUMMYFUNCTION("""COMPUTED_VALUE"""),"Dhunche (Rasuwa)")</f>
        <v>Dhunche (Rasuwa)</v>
      </c>
    </row>
    <row r="1824">
      <c r="A1824" s="2">
        <f>IFERROR(__xludf.DUMMYFUNCTION("""COMPUTED_VALUE"""),1823.0)</f>
        <v>1823</v>
      </c>
      <c r="B1824" s="2" t="str">
        <f>IFERROR(__xludf.DUMMYFUNCTION("""COMPUTED_VALUE"""),"Upper Trisuli")</f>
        <v>Upper Trisuli</v>
      </c>
      <c r="C1824" s="2">
        <f>IFERROR(__xludf.DUMMYFUNCTION("""COMPUTED_VALUE"""),0.95)</f>
        <v>0.95</v>
      </c>
      <c r="D1824" s="2" t="str">
        <f>IFERROR(__xludf.DUMMYFUNCTION("""COMPUTED_VALUE"""),"Trishuli")</f>
        <v>Trishuli</v>
      </c>
      <c r="E1824" s="2">
        <f>IFERROR(__xludf.DUMMYFUNCTION("""COMPUTED_VALUE"""),855.0)</f>
        <v>855</v>
      </c>
      <c r="F1824" s="3">
        <f>IFERROR(__xludf.DUMMYFUNCTION("""COMPUTED_VALUE"""),61873.0)</f>
        <v>61873</v>
      </c>
      <c r="G1824" s="2" t="str">
        <f>IFERROR(__xludf.DUMMYFUNCTION("""COMPUTED_VALUE"""),"Sang Temba Tamang")</f>
        <v>Sang Temba Tamang</v>
      </c>
      <c r="H1824" s="2" t="str">
        <f>IFERROR(__xludf.DUMMYFUNCTION("""COMPUTED_VALUE"""),"Dhunche-7")</f>
        <v>Dhunche-7</v>
      </c>
      <c r="I1824" s="2" t="str">
        <f>IFERROR(__xludf.DUMMYFUNCTION("""COMPUTED_VALUE"""),"28o 05' 42""")</f>
        <v>28o 05' 42"</v>
      </c>
      <c r="J1824" s="2" t="str">
        <f>IFERROR(__xludf.DUMMYFUNCTION("""COMPUTED_VALUE"""),"28o 05' 55""")</f>
        <v>28o 05' 55"</v>
      </c>
      <c r="K1824" s="2" t="str">
        <f>IFERROR(__xludf.DUMMYFUNCTION("""COMPUTED_VALUE"""),"00o 85' 19""")</f>
        <v>00o 85' 19"</v>
      </c>
      <c r="L1824" s="2" t="str">
        <f>IFERROR(__xludf.DUMMYFUNCTION("""COMPUTED_VALUE"""),"85o 20' 80""")</f>
        <v>85o 20' 80"</v>
      </c>
      <c r="M1824" s="2" t="str">
        <f>IFERROR(__xludf.DUMMYFUNCTION("""COMPUTED_VALUE"""),"Dhunche (Rasuwa)")</f>
        <v>Dhunche (Rasuwa)</v>
      </c>
    </row>
    <row r="1825">
      <c r="A1825" s="2">
        <f>IFERROR(__xludf.DUMMYFUNCTION("""COMPUTED_VALUE"""),1824.0)</f>
        <v>1824</v>
      </c>
      <c r="B1825" s="2" t="str">
        <f>IFERROR(__xludf.DUMMYFUNCTION("""COMPUTED_VALUE"""),"Upper Bhairab Kunda Khola Small Hydropower project")</f>
        <v>Upper Bhairab Kunda Khola Small Hydropower project</v>
      </c>
      <c r="C1825" s="2">
        <f>IFERROR(__xludf.DUMMYFUNCTION("""COMPUTED_VALUE"""),0.979)</f>
        <v>0.979</v>
      </c>
      <c r="D1825" s="2" t="str">
        <f>IFERROR(__xludf.DUMMYFUNCTION("""COMPUTED_VALUE"""),"Bhairab Kunda Khola")</f>
        <v>Bhairab Kunda Khola</v>
      </c>
      <c r="E1825" s="2">
        <f>IFERROR(__xludf.DUMMYFUNCTION("""COMPUTED_VALUE"""),869.0)</f>
        <v>869</v>
      </c>
      <c r="F1825" s="3">
        <f>IFERROR(__xludf.DUMMYFUNCTION("""COMPUTED_VALUE"""),61874.0)</f>
        <v>61874</v>
      </c>
      <c r="G1825" s="2" t="str">
        <f>IFERROR(__xludf.DUMMYFUNCTION("""COMPUTED_VALUE"""),"Jangbo Sherpa")</f>
        <v>Jangbo Sherpa</v>
      </c>
      <c r="H1825" s="2" t="str">
        <f>IFERROR(__xludf.DUMMYFUNCTION("""COMPUTED_VALUE"""),"Fulpingkatti VDC-2 ( cell 9851023766)")</f>
        <v>Fulpingkatti VDC-2 ( cell 9851023766)</v>
      </c>
      <c r="I1825" s="2" t="str">
        <f>IFERROR(__xludf.DUMMYFUNCTION("""COMPUTED_VALUE"""),"85o 54' 45""")</f>
        <v>85o 54' 45"</v>
      </c>
      <c r="J1825" s="2" t="str">
        <f>IFERROR(__xludf.DUMMYFUNCTION("""COMPUTED_VALUE"""),"85o 55' 45""")</f>
        <v>85o 55' 45"</v>
      </c>
      <c r="K1825" s="2" t="str">
        <f>IFERROR(__xludf.DUMMYFUNCTION("""COMPUTED_VALUE"""),"27o 56' 33""")</f>
        <v>27o 56' 33"</v>
      </c>
      <c r="L1825" s="2" t="str">
        <f>IFERROR(__xludf.DUMMYFUNCTION("""COMPUTED_VALUE"""),"27o 57' 39""")</f>
        <v>27o 57' 39"</v>
      </c>
      <c r="M1825" s="2" t="str">
        <f>IFERROR(__xludf.DUMMYFUNCTION("""COMPUTED_VALUE"""),"Fulpingkatti (Sindhupalchok)")</f>
        <v>Fulpingkatti (Sindhupalchok)</v>
      </c>
    </row>
    <row r="1826">
      <c r="A1826" s="2">
        <f>IFERROR(__xludf.DUMMYFUNCTION("""COMPUTED_VALUE"""),1825.0)</f>
        <v>1825</v>
      </c>
      <c r="B1826" s="2" t="str">
        <f>IFERROR(__xludf.DUMMYFUNCTION("""COMPUTED_VALUE"""),"Lower Jumdi Khola SHP")</f>
        <v>Lower Jumdi Khola SHP</v>
      </c>
      <c r="C1826" s="2">
        <f>IFERROR(__xludf.DUMMYFUNCTION("""COMPUTED_VALUE"""),0.95)</f>
        <v>0.95</v>
      </c>
      <c r="D1826" s="2" t="str">
        <f>IFERROR(__xludf.DUMMYFUNCTION("""COMPUTED_VALUE"""),"Jumdi")</f>
        <v>Jumdi</v>
      </c>
      <c r="E1826" s="2">
        <f>IFERROR(__xludf.DUMMYFUNCTION("""COMPUTED_VALUE"""),1451.0)</f>
        <v>1451</v>
      </c>
      <c r="F1826" s="3">
        <f>IFERROR(__xludf.DUMMYFUNCTION("""COMPUTED_VALUE"""),61932.0)</f>
        <v>61932</v>
      </c>
      <c r="G1826" s="2" t="str">
        <f>IFERROR(__xludf.DUMMYFUNCTION("""COMPUTED_VALUE"""),"Sanjita Tamang")</f>
        <v>Sanjita Tamang</v>
      </c>
      <c r="H1826" s="2" t="str">
        <f>IFERROR(__xludf.DUMMYFUNCTION("""COMPUTED_VALUE"""),"Gairimudi VDC Ward No. 1, Dolakha")</f>
        <v>Gairimudi VDC Ward No. 1, Dolakha</v>
      </c>
      <c r="I1826" s="2" t="str">
        <f>IFERROR(__xludf.DUMMYFUNCTION("""COMPUTED_VALUE"""),"28o 00' 43""")</f>
        <v>28o 00' 43"</v>
      </c>
      <c r="J1826" s="2" t="str">
        <f>IFERROR(__xludf.DUMMYFUNCTION("""COMPUTED_VALUE"""),"28o 01' 20""")</f>
        <v>28o 01' 20"</v>
      </c>
      <c r="K1826" s="2" t="str">
        <f>IFERROR(__xludf.DUMMYFUNCTION("""COMPUTED_VALUE"""),"83o 26' 16""")</f>
        <v>83o 26' 16"</v>
      </c>
      <c r="L1826" s="2" t="str">
        <f>IFERROR(__xludf.DUMMYFUNCTION("""COMPUTED_VALUE"""),"83o 26' 49""")</f>
        <v>83o 26' 49"</v>
      </c>
      <c r="M1826" s="2" t="str">
        <f>IFERROR(__xludf.DUMMYFUNCTION("""COMPUTED_VALUE"""),"Hasara,Juhang (Gulmi)")</f>
        <v>Hasara,Juhang (Gulmi)</v>
      </c>
    </row>
    <row r="1827">
      <c r="A1827" s="2">
        <f>IFERROR(__xludf.DUMMYFUNCTION("""COMPUTED_VALUE"""),1826.0)</f>
        <v>1826</v>
      </c>
      <c r="B1827" s="2" t="str">
        <f>IFERROR(__xludf.DUMMYFUNCTION("""COMPUTED_VALUE"""),"Upper Malun khola")</f>
        <v>Upper Malun khola</v>
      </c>
      <c r="C1827" s="2">
        <f>IFERROR(__xludf.DUMMYFUNCTION("""COMPUTED_VALUE"""),4.908)</f>
        <v>4.908</v>
      </c>
      <c r="D1827" s="2" t="str">
        <f>IFERROR(__xludf.DUMMYFUNCTION("""COMPUTED_VALUE"""),"Malun")</f>
        <v>Malun</v>
      </c>
      <c r="E1827" s="2">
        <f>IFERROR(__xludf.DUMMYFUNCTION("""COMPUTED_VALUE"""),2100.0)</f>
        <v>2100</v>
      </c>
      <c r="F1827" s="3">
        <f>IFERROR(__xludf.DUMMYFUNCTION("""COMPUTED_VALUE"""),61988.0)</f>
        <v>61988</v>
      </c>
      <c r="G1827" s="2" t="str">
        <f>IFERROR(__xludf.DUMMYFUNCTION("""COMPUTED_VALUE"""),"ANK Hydropower Co. Pvt.Ltd.")</f>
        <v>ANK Hydropower Co. Pvt.Ltd.</v>
      </c>
      <c r="H1827" s="2" t="str">
        <f>IFERROR(__xludf.DUMMYFUNCTION("""COMPUTED_VALUE"""),"Ravi Bhawan Kathmandu, P.O.Box 5813, Phone 01-4278130")</f>
        <v>Ravi Bhawan Kathmandu, P.O.Box 5813, Phone 01-4278130</v>
      </c>
      <c r="I1827" s="2" t="str">
        <f>IFERROR(__xludf.DUMMYFUNCTION("""COMPUTED_VALUE"""),"27o 21' 22""")</f>
        <v>27o 21' 22"</v>
      </c>
      <c r="J1827" s="2" t="str">
        <f>IFERROR(__xludf.DUMMYFUNCTION("""COMPUTED_VALUE"""),"27o 24' 16""")</f>
        <v>27o 24' 16"</v>
      </c>
      <c r="K1827" s="2" t="str">
        <f>IFERROR(__xludf.DUMMYFUNCTION("""COMPUTED_VALUE"""),"86o 24' 15""")</f>
        <v>86o 24' 15"</v>
      </c>
      <c r="L1827" s="2" t="str">
        <f>IFERROR(__xludf.DUMMYFUNCTION("""COMPUTED_VALUE"""),"86o 26' 39""")</f>
        <v>86o 26' 39"</v>
      </c>
      <c r="M1827" s="2" t="str">
        <f>IFERROR(__xludf.DUMMYFUNCTION("""COMPUTED_VALUE"""),"Prapchan,Shreechaur,Ragadeep (Okhaldhunga)")</f>
        <v>Prapchan,Shreechaur,Ragadeep (Okhaldhunga)</v>
      </c>
    </row>
    <row r="1828">
      <c r="A1828" s="2">
        <f>IFERROR(__xludf.DUMMYFUNCTION("""COMPUTED_VALUE"""),1827.0)</f>
        <v>1827</v>
      </c>
      <c r="B1828" s="2" t="str">
        <f>IFERROR(__xludf.DUMMYFUNCTION("""COMPUTED_VALUE"""),"Bagha Khola")</f>
        <v>Bagha Khola</v>
      </c>
      <c r="C1828" s="2">
        <f>IFERROR(__xludf.DUMMYFUNCTION("""COMPUTED_VALUE"""),0.988)</f>
        <v>0.988</v>
      </c>
      <c r="D1828" s="2"/>
      <c r="E1828" s="2">
        <f>IFERROR(__xludf.DUMMYFUNCTION("""COMPUTED_VALUE"""),2578.0)</f>
        <v>2578</v>
      </c>
      <c r="F1828" s="3">
        <f>IFERROR(__xludf.DUMMYFUNCTION("""COMPUTED_VALUE"""),62012.0)</f>
        <v>62012</v>
      </c>
      <c r="G1828" s="2" t="str">
        <f>IFERROR(__xludf.DUMMYFUNCTION("""COMPUTED_VALUE"""),"Pradip Linthep, Lachheman Linthep")</f>
        <v>Pradip Linthep, Lachheman Linthep</v>
      </c>
      <c r="H1828" s="2" t="str">
        <f>IFERROR(__xludf.DUMMYFUNCTION("""COMPUTED_VALUE"""),"Mawadin-1, Sankhuwasawa, Phone 9803703743, 4601260")</f>
        <v>Mawadin-1, Sankhuwasawa, Phone 9803703743, 4601260</v>
      </c>
      <c r="I1828" s="2" t="str">
        <f>IFERROR(__xludf.DUMMYFUNCTION("""COMPUTED_VALUE"""),"27o 16' 42""")</f>
        <v>27o 16' 42"</v>
      </c>
      <c r="J1828" s="2" t="str">
        <f>IFERROR(__xludf.DUMMYFUNCTION("""COMPUTED_VALUE"""),"27o 17' 42""")</f>
        <v>27o 17' 42"</v>
      </c>
      <c r="K1828" s="2" t="str">
        <f>IFERROR(__xludf.DUMMYFUNCTION("""COMPUTED_VALUE"""),"87o 23' 23""")</f>
        <v>87o 23' 23"</v>
      </c>
      <c r="L1828" s="2" t="str">
        <f>IFERROR(__xludf.DUMMYFUNCTION("""COMPUTED_VALUE"""),"87o 24' 37""")</f>
        <v>87o 24' 37"</v>
      </c>
      <c r="M1828" s="2" t="str">
        <f>IFERROR(__xludf.DUMMYFUNCTION("""COMPUTED_VALUE"""),"Mawadin (Sankhuwasabha)")</f>
        <v>Mawadin (Sankhuwasabha)</v>
      </c>
    </row>
    <row r="1829">
      <c r="A1829" s="2">
        <f>IFERROR(__xludf.DUMMYFUNCTION("""COMPUTED_VALUE"""),1828.0)</f>
        <v>1828</v>
      </c>
      <c r="B1829" s="2" t="str">
        <f>IFERROR(__xludf.DUMMYFUNCTION("""COMPUTED_VALUE"""),"Jumdi Khola Cascade")</f>
        <v>Jumdi Khola Cascade</v>
      </c>
      <c r="C1829" s="2">
        <f>IFERROR(__xludf.DUMMYFUNCTION("""COMPUTED_VALUE"""),0.6)</f>
        <v>0.6</v>
      </c>
      <c r="D1829" s="2" t="str">
        <f>IFERROR(__xludf.DUMMYFUNCTION("""COMPUTED_VALUE"""),"Jumdi")</f>
        <v>Jumdi</v>
      </c>
      <c r="E1829" s="2">
        <f>IFERROR(__xludf.DUMMYFUNCTION("""COMPUTED_VALUE"""),2778.0)</f>
        <v>2778</v>
      </c>
      <c r="F1829" s="3">
        <f>IFERROR(__xludf.DUMMYFUNCTION("""COMPUTED_VALUE"""),62027.0)</f>
        <v>62027</v>
      </c>
      <c r="G1829" s="2" t="str">
        <f>IFERROR(__xludf.DUMMYFUNCTION("""COMPUTED_VALUE"""),"Arjun Marasini, Ujjal Regmi")</f>
        <v>Arjun Marasini, Ujjal Regmi</v>
      </c>
      <c r="H1829" s="2" t="str">
        <f>IFERROR(__xludf.DUMMYFUNCTION("""COMPUTED_VALUE"""),"Dhikura-4 Arghakhanchi, Khilung Deurali -7 Syanja")</f>
        <v>Dhikura-4 Arghakhanchi, Khilung Deurali -7 Syanja</v>
      </c>
      <c r="I1829" s="2" t="str">
        <f>IFERROR(__xludf.DUMMYFUNCTION("""COMPUTED_VALUE"""),"28o 01' 18""")</f>
        <v>28o 01' 18"</v>
      </c>
      <c r="J1829" s="2" t="str">
        <f>IFERROR(__xludf.DUMMYFUNCTION("""COMPUTED_VALUE"""),"28o 01' 44""")</f>
        <v>28o 01' 44"</v>
      </c>
      <c r="K1829" s="2" t="str">
        <f>IFERROR(__xludf.DUMMYFUNCTION("""COMPUTED_VALUE"""),"83o 26' 27""")</f>
        <v>83o 26' 27"</v>
      </c>
      <c r="L1829" s="2" t="str">
        <f>IFERROR(__xludf.DUMMYFUNCTION("""COMPUTED_VALUE"""),"83o 27' 11""")</f>
        <v>83o 27' 11"</v>
      </c>
      <c r="M1829" s="2" t="str">
        <f>IFERROR(__xludf.DUMMYFUNCTION("""COMPUTED_VALUE"""),"Hasara,Juhang (Gulmi)")</f>
        <v>Hasara,Juhang (Gulmi)</v>
      </c>
    </row>
    <row r="1830">
      <c r="A1830" s="2">
        <f>IFERROR(__xludf.DUMMYFUNCTION("""COMPUTED_VALUE"""),1829.0)</f>
        <v>1829</v>
      </c>
      <c r="B1830" s="2" t="str">
        <f>IFERROR(__xludf.DUMMYFUNCTION("""COMPUTED_VALUE"""),"Upper Daraudi Hydro Project")</f>
        <v>Upper Daraudi Hydro Project</v>
      </c>
      <c r="C1830" s="2">
        <f>IFERROR(__xludf.DUMMYFUNCTION("""COMPUTED_VALUE"""),0.995)</f>
        <v>0.995</v>
      </c>
      <c r="D1830" s="2" t="str">
        <f>IFERROR(__xludf.DUMMYFUNCTION("""COMPUTED_VALUE"""),"Daraundi")</f>
        <v>Daraundi</v>
      </c>
      <c r="E1830" s="2">
        <f>IFERROR(__xludf.DUMMYFUNCTION("""COMPUTED_VALUE"""),2905.0)</f>
        <v>2905</v>
      </c>
      <c r="F1830" s="3">
        <f>IFERROR(__xludf.DUMMYFUNCTION("""COMPUTED_VALUE"""),62040.0)</f>
        <v>62040</v>
      </c>
      <c r="G1830" s="2" t="str">
        <f>IFERROR(__xludf.DUMMYFUNCTION("""COMPUTED_VALUE"""),"Om Prasad Bhattarai")</f>
        <v>Om Prasad Bhattarai</v>
      </c>
      <c r="H1830" s="2" t="str">
        <f>IFERROR(__xludf.DUMMYFUNCTION("""COMPUTED_VALUE"""),"Mhepi-16, Kathmandu, Phone No. 9851140651")</f>
        <v>Mhepi-16, Kathmandu, Phone No. 9851140651</v>
      </c>
      <c r="I1830" s="2" t="str">
        <f>IFERROR(__xludf.DUMMYFUNCTION("""COMPUTED_VALUE"""),"28o 11' 22""")</f>
        <v>28o 11' 22"</v>
      </c>
      <c r="J1830" s="2" t="str">
        <f>IFERROR(__xludf.DUMMYFUNCTION("""COMPUTED_VALUE"""),"28o 14' 36""")</f>
        <v>28o 14' 36"</v>
      </c>
      <c r="K1830" s="2" t="str">
        <f>IFERROR(__xludf.DUMMYFUNCTION("""COMPUTED_VALUE"""),"84o 42' 46""")</f>
        <v>84o 42' 46"</v>
      </c>
      <c r="L1830" s="2" t="str">
        <f>IFERROR(__xludf.DUMMYFUNCTION("""COMPUTED_VALUE"""),"84o 44' 34""")</f>
        <v>84o 44' 34"</v>
      </c>
      <c r="M1830" s="2" t="str">
        <f>IFERROR(__xludf.DUMMYFUNCTION("""COMPUTED_VALUE"""),"Ghyalchok (Gorkha)")</f>
        <v>Ghyalchok (Gorkha)</v>
      </c>
    </row>
    <row r="1831">
      <c r="A1831" s="2">
        <f>IFERROR(__xludf.DUMMYFUNCTION("""COMPUTED_VALUE"""),1830.0)</f>
        <v>1830</v>
      </c>
      <c r="B1831" s="2" t="str">
        <f>IFERROR(__xludf.DUMMYFUNCTION("""COMPUTED_VALUE"""),"Upper Maya Khola HPP")</f>
        <v>Upper Maya Khola HPP</v>
      </c>
      <c r="C1831" s="2">
        <f>IFERROR(__xludf.DUMMYFUNCTION("""COMPUTED_VALUE"""),4.9)</f>
        <v>4.9</v>
      </c>
      <c r="D1831" s="2" t="str">
        <f>IFERROR(__xludf.DUMMYFUNCTION("""COMPUTED_VALUE"""),"Maya")</f>
        <v>Maya</v>
      </c>
      <c r="E1831" s="2">
        <f>IFERROR(__xludf.DUMMYFUNCTION("""COMPUTED_VALUE"""),3114.0)</f>
        <v>3114</v>
      </c>
      <c r="F1831" s="3">
        <f>IFERROR(__xludf.DUMMYFUNCTION("""COMPUTED_VALUE"""),62055.0)</f>
        <v>62055</v>
      </c>
      <c r="G1831" s="2" t="str">
        <f>IFERROR(__xludf.DUMMYFUNCTION("""COMPUTED_VALUE"""),"Dinesh Raj Adhikari,Nabin Kumar Subba, Dambaru Dahal.Guru Prasad Dahal")</f>
        <v>Dinesh Raj Adhikari,Nabin Kumar Subba, Dambaru Dahal.Guru Prasad Dahal</v>
      </c>
      <c r="H1831" s="2" t="str">
        <f>IFERROR(__xludf.DUMMYFUNCTION("""COMPUTED_VALUE"""),"GPO. Box No. 23892, Kathmandu,Nepal")</f>
        <v>GPO. Box No. 23892, Kathmandu,Nepal</v>
      </c>
      <c r="I1831" s="2" t="str">
        <f>IFERROR(__xludf.DUMMYFUNCTION("""COMPUTED_VALUE"""),"27o 12' 54""")</f>
        <v>27o 12' 54"</v>
      </c>
      <c r="J1831" s="2" t="str">
        <f>IFERROR(__xludf.DUMMYFUNCTION("""COMPUTED_VALUE"""),"27o 14' 31""")</f>
        <v>27o 14' 31"</v>
      </c>
      <c r="K1831" s="2" t="str">
        <f>IFERROR(__xludf.DUMMYFUNCTION("""COMPUTED_VALUE"""),"87o 22' 26""")</f>
        <v>87o 22' 26"</v>
      </c>
      <c r="L1831" s="2" t="str">
        <f>IFERROR(__xludf.DUMMYFUNCTION("""COMPUTED_VALUE"""),"87o 24' 15""")</f>
        <v>87o 24' 15"</v>
      </c>
      <c r="M1831" s="2" t="str">
        <f>IFERROR(__xludf.DUMMYFUNCTION("""COMPUTED_VALUE"""),"Madi Mulkharka,Tamfok (Sankhuwasabha)")</f>
        <v>Madi Mulkharka,Tamfok (Sankhuwasabha)</v>
      </c>
    </row>
    <row r="1832">
      <c r="A1832" s="2">
        <f>IFERROR(__xludf.DUMMYFUNCTION("""COMPUTED_VALUE"""),1831.0)</f>
        <v>1831</v>
      </c>
      <c r="B1832" s="2" t="str">
        <f>IFERROR(__xludf.DUMMYFUNCTION("""COMPUTED_VALUE"""),"Halde SHP")</f>
        <v>Halde SHP</v>
      </c>
      <c r="C1832" s="2">
        <f>IFERROR(__xludf.DUMMYFUNCTION("""COMPUTED_VALUE"""),0.35)</f>
        <v>0.35</v>
      </c>
      <c r="D1832" s="2" t="str">
        <f>IFERROR(__xludf.DUMMYFUNCTION("""COMPUTED_VALUE"""),"Halde")</f>
        <v>Halde</v>
      </c>
      <c r="E1832" s="2">
        <f>IFERROR(__xludf.DUMMYFUNCTION("""COMPUTED_VALUE"""),3237.0)</f>
        <v>3237</v>
      </c>
      <c r="F1832" s="3">
        <f>IFERROR(__xludf.DUMMYFUNCTION("""COMPUTED_VALUE"""),62067.0)</f>
        <v>62067</v>
      </c>
      <c r="G1832" s="2" t="str">
        <f>IFERROR(__xludf.DUMMYFUNCTION("""COMPUTED_VALUE"""),"Laxmi Gautam, Bindu Pokharel")</f>
        <v>Laxmi Gautam, Bindu Pokharel</v>
      </c>
      <c r="H1832" s="2" t="str">
        <f>IFERROR(__xludf.DUMMYFUNCTION("""COMPUTED_VALUE"""),"Dhikura-3 Arghakhanchi, Somadi-8 Palpa")</f>
        <v>Dhikura-3 Arghakhanchi, Somadi-8 Palpa</v>
      </c>
      <c r="I1832" s="2" t="str">
        <f>IFERROR(__xludf.DUMMYFUNCTION("""COMPUTED_VALUE"""),"27o 56' 00""")</f>
        <v>27o 56' 00"</v>
      </c>
      <c r="J1832" s="2" t="str">
        <f>IFERROR(__xludf.DUMMYFUNCTION("""COMPUTED_VALUE"""),"27o 57' 00""")</f>
        <v>27o 57' 00"</v>
      </c>
      <c r="K1832" s="2" t="str">
        <f>IFERROR(__xludf.DUMMYFUNCTION("""COMPUTED_VALUE"""),"83o 03' 30""")</f>
        <v>83o 03' 30"</v>
      </c>
      <c r="L1832" s="2" t="str">
        <f>IFERROR(__xludf.DUMMYFUNCTION("""COMPUTED_VALUE"""),"83o 04' 30""")</f>
        <v>83o 04' 30"</v>
      </c>
      <c r="M1832" s="2" t="str">
        <f>IFERROR(__xludf.DUMMYFUNCTION("""COMPUTED_VALUE"""),"Dhanchaur (Arghakhanchi)")</f>
        <v>Dhanchaur (Arghakhanchi)</v>
      </c>
    </row>
    <row r="1833">
      <c r="A1833" s="2">
        <f>IFERROR(__xludf.DUMMYFUNCTION("""COMPUTED_VALUE"""),1832.0)</f>
        <v>1832</v>
      </c>
      <c r="B1833" s="2" t="str">
        <f>IFERROR(__xludf.DUMMYFUNCTION("""COMPUTED_VALUE"""),"Kokhajor Khola HEP")</f>
        <v>Kokhajor Khola HEP</v>
      </c>
      <c r="C1833" s="2">
        <f>IFERROR(__xludf.DUMMYFUNCTION("""COMPUTED_VALUE"""),0.754)</f>
        <v>0.754</v>
      </c>
      <c r="D1833" s="2" t="str">
        <f>IFERROR(__xludf.DUMMYFUNCTION("""COMPUTED_VALUE"""),"Kokhajor Khola")</f>
        <v>Kokhajor Khola</v>
      </c>
      <c r="E1833" s="2">
        <f>IFERROR(__xludf.DUMMYFUNCTION("""COMPUTED_VALUE"""),3238.0)</f>
        <v>3238</v>
      </c>
      <c r="F1833" s="3">
        <f>IFERROR(__xludf.DUMMYFUNCTION("""COMPUTED_VALUE"""),62067.0)</f>
        <v>62067</v>
      </c>
      <c r="G1833" s="2" t="str">
        <f>IFERROR(__xludf.DUMMYFUNCTION("""COMPUTED_VALUE"""),"Infra Enrgy Investment Pvt. Ltd")</f>
        <v>Infra Enrgy Investment Pvt. Ltd</v>
      </c>
      <c r="H1833" s="2" t="str">
        <f>IFERROR(__xludf.DUMMYFUNCTION("""COMPUTED_VALUE"""),"lazimpat, Kathmandu")</f>
        <v>lazimpat, Kathmandu</v>
      </c>
      <c r="I1833" s="2" t="str">
        <f>IFERROR(__xludf.DUMMYFUNCTION("""COMPUTED_VALUE"""),"27o 20' 30""")</f>
        <v>27o 20' 30"</v>
      </c>
      <c r="J1833" s="2" t="str">
        <f>IFERROR(__xludf.DUMMYFUNCTION("""COMPUTED_VALUE"""),"27o 21' 13""")</f>
        <v>27o 21' 13"</v>
      </c>
      <c r="K1833" s="2" t="str">
        <f>IFERROR(__xludf.DUMMYFUNCTION("""COMPUTED_VALUE"""),"85o 32' 30""")</f>
        <v>85o 32' 30"</v>
      </c>
      <c r="L1833" s="2" t="str">
        <f>IFERROR(__xludf.DUMMYFUNCTION("""COMPUTED_VALUE"""),"85o 35' 44""")</f>
        <v>85o 35' 44"</v>
      </c>
      <c r="M1833" s="2" t="str">
        <f>IFERROR(__xludf.DUMMYFUNCTION("""COMPUTED_VALUE"""),"Ghartichhap (Kavrepalanchok)")</f>
        <v>Ghartichhap (Kavrepalanchok)</v>
      </c>
    </row>
    <row r="1834">
      <c r="A1834" s="2">
        <f>IFERROR(__xludf.DUMMYFUNCTION("""COMPUTED_VALUE"""),1833.0)</f>
        <v>1833</v>
      </c>
      <c r="B1834" s="2" t="str">
        <f>IFERROR(__xludf.DUMMYFUNCTION("""COMPUTED_VALUE"""),"Olmu Khola")</f>
        <v>Olmu Khola</v>
      </c>
      <c r="C1834" s="2">
        <f>IFERROR(__xludf.DUMMYFUNCTION("""COMPUTED_VALUE"""),0.995)</f>
        <v>0.995</v>
      </c>
      <c r="D1834" s="2" t="str">
        <f>IFERROR(__xludf.DUMMYFUNCTION("""COMPUTED_VALUE"""),"Olmu")</f>
        <v>Olmu</v>
      </c>
      <c r="E1834" s="2">
        <f>IFERROR(__xludf.DUMMYFUNCTION("""COMPUTED_VALUE"""),3447.0)</f>
        <v>3447</v>
      </c>
      <c r="F1834" s="3">
        <f>IFERROR(__xludf.DUMMYFUNCTION("""COMPUTED_VALUE"""),62077.0)</f>
        <v>62077</v>
      </c>
      <c r="G1834" s="2" t="str">
        <f>IFERROR(__xludf.DUMMYFUNCTION("""COMPUTED_VALUE"""),"Tenzin Sherpa")</f>
        <v>Tenzin Sherpa</v>
      </c>
      <c r="H1834" s="2" t="str">
        <f>IFERROR(__xludf.DUMMYFUNCTION("""COMPUTED_VALUE"""),"Baudha, Kathmandu, Phone 9803884908, 9803243658")</f>
        <v>Baudha, Kathmandu, Phone 9803884908, 9803243658</v>
      </c>
      <c r="I1834" s="2" t="str">
        <f>IFERROR(__xludf.DUMMYFUNCTION("""COMPUTED_VALUE"""),"27o 30' 46""")</f>
        <v>27o 30' 46"</v>
      </c>
      <c r="J1834" s="2" t="str">
        <f>IFERROR(__xludf.DUMMYFUNCTION("""COMPUTED_VALUE"""),"27o 32' 39""")</f>
        <v>27o 32' 39"</v>
      </c>
      <c r="K1834" s="2" t="str">
        <f>IFERROR(__xludf.DUMMYFUNCTION("""COMPUTED_VALUE"""),"86o 23' 34""")</f>
        <v>86o 23' 34"</v>
      </c>
      <c r="L1834" s="2" t="str">
        <f>IFERROR(__xludf.DUMMYFUNCTION("""COMPUTED_VALUE"""),"86o 27' 49""")</f>
        <v>86o 27' 49"</v>
      </c>
      <c r="M1834" s="2" t="str">
        <f>IFERROR(__xludf.DUMMYFUNCTION("""COMPUTED_VALUE"""),"Goli (Solukhumbu)")</f>
        <v>Goli (Solukhumbu)</v>
      </c>
    </row>
    <row r="1835">
      <c r="A1835" s="2">
        <f>IFERROR(__xludf.DUMMYFUNCTION("""COMPUTED_VALUE"""),1834.0)</f>
        <v>1834</v>
      </c>
      <c r="B1835" s="2" t="str">
        <f>IFERROR(__xludf.DUMMYFUNCTION("""COMPUTED_VALUE"""),"Kyadusyo Khola SHP")</f>
        <v>Kyadusyo Khola SHP</v>
      </c>
      <c r="C1835" s="2">
        <f>IFERROR(__xludf.DUMMYFUNCTION("""COMPUTED_VALUE"""),0.993)</f>
        <v>0.993</v>
      </c>
      <c r="D1835" s="2" t="str">
        <f>IFERROR(__xludf.DUMMYFUNCTION("""COMPUTED_VALUE"""),"Kyadusyo")</f>
        <v>Kyadusyo</v>
      </c>
      <c r="E1835" s="2">
        <f>IFERROR(__xludf.DUMMYFUNCTION("""COMPUTED_VALUE"""),3638.0)</f>
        <v>3638</v>
      </c>
      <c r="F1835" s="3">
        <f>IFERROR(__xludf.DUMMYFUNCTION("""COMPUTED_VALUE"""),62088.0)</f>
        <v>62088</v>
      </c>
      <c r="G1835" s="2" t="str">
        <f>IFERROR(__xludf.DUMMYFUNCTION("""COMPUTED_VALUE"""),"Ganga aryal")</f>
        <v>Ganga aryal</v>
      </c>
      <c r="H1835" s="2" t="str">
        <f>IFERROR(__xludf.DUMMYFUNCTION("""COMPUTED_VALUE"""),"Jitpurphedi-9, Kathmandu")</f>
        <v>Jitpurphedi-9, Kathmandu</v>
      </c>
      <c r="I1835" s="2" t="str">
        <f>IFERROR(__xludf.DUMMYFUNCTION("""COMPUTED_VALUE"""),"28o 25' 16""")</f>
        <v>28o 25' 16"</v>
      </c>
      <c r="J1835" s="2" t="str">
        <f>IFERROR(__xludf.DUMMYFUNCTION("""COMPUTED_VALUE"""),"28o 26' 15""")</f>
        <v>28o 26' 15"</v>
      </c>
      <c r="K1835" s="2" t="str">
        <f>IFERROR(__xludf.DUMMYFUNCTION("""COMPUTED_VALUE"""),"84o 04' 45""")</f>
        <v>84o 04' 45"</v>
      </c>
      <c r="L1835" s="2" t="str">
        <f>IFERROR(__xludf.DUMMYFUNCTION("""COMPUTED_VALUE"""),"84o 07' 12""")</f>
        <v>84o 07' 12"</v>
      </c>
      <c r="M1835" s="2" t="str">
        <f>IFERROR(__xludf.DUMMYFUNCTION("""COMPUTED_VALUE"""),"Parche (Kaski)")</f>
        <v>Parche (Kaski)</v>
      </c>
    </row>
    <row r="1836">
      <c r="A1836" s="2">
        <f>IFERROR(__xludf.DUMMYFUNCTION("""COMPUTED_VALUE"""),1835.0)</f>
        <v>1835</v>
      </c>
      <c r="B1836" s="2" t="str">
        <f>IFERROR(__xludf.DUMMYFUNCTION("""COMPUTED_VALUE"""),"Nacha Khola SHP")</f>
        <v>Nacha Khola SHP</v>
      </c>
      <c r="C1836" s="2">
        <f>IFERROR(__xludf.DUMMYFUNCTION("""COMPUTED_VALUE"""),0.99)</f>
        <v>0.99</v>
      </c>
      <c r="D1836" s="2" t="str">
        <f>IFERROR(__xludf.DUMMYFUNCTION("""COMPUTED_VALUE"""),"Nacha")</f>
        <v>Nacha</v>
      </c>
      <c r="E1836" s="2">
        <f>IFERROR(__xludf.DUMMYFUNCTION("""COMPUTED_VALUE"""),3640.0)</f>
        <v>3640</v>
      </c>
      <c r="F1836" s="3">
        <f>IFERROR(__xludf.DUMMYFUNCTION("""COMPUTED_VALUE"""),62088.0)</f>
        <v>62088</v>
      </c>
      <c r="G1836" s="2" t="str">
        <f>IFERROR(__xludf.DUMMYFUNCTION("""COMPUTED_VALUE"""),"Mangal Siddhi Lama (Tamang)")</f>
        <v>Mangal Siddhi Lama (Tamang)</v>
      </c>
      <c r="H1836" s="2" t="str">
        <f>IFERROR(__xludf.DUMMYFUNCTION("""COMPUTED_VALUE"""),"Okharpauwa-3, Nuwakot")</f>
        <v>Okharpauwa-3, Nuwakot</v>
      </c>
      <c r="I1836" s="2" t="str">
        <f>IFERROR(__xludf.DUMMYFUNCTION("""COMPUTED_VALUE"""),"28o 22' 30""")</f>
        <v>28o 22' 30"</v>
      </c>
      <c r="J1836" s="2" t="str">
        <f>IFERROR(__xludf.DUMMYFUNCTION("""COMPUTED_VALUE"""),"28o 23' 48""")</f>
        <v>28o 23' 48"</v>
      </c>
      <c r="K1836" s="2" t="str">
        <f>IFERROR(__xludf.DUMMYFUNCTION("""COMPUTED_VALUE"""),"84o 08' 21""")</f>
        <v>84o 08' 21"</v>
      </c>
      <c r="L1836" s="2" t="str">
        <f>IFERROR(__xludf.DUMMYFUNCTION("""COMPUTED_VALUE"""),"84o 10' 36""")</f>
        <v>84o 10' 36"</v>
      </c>
      <c r="M1836" s="2" t="str">
        <f>IFERROR(__xludf.DUMMYFUNCTION("""COMPUTED_VALUE"""),"Namarjung (Kaski)")</f>
        <v>Namarjung (Kaski)</v>
      </c>
    </row>
    <row r="1837">
      <c r="A1837" s="2">
        <f>IFERROR(__xludf.DUMMYFUNCTION("""COMPUTED_VALUE"""),1836.0)</f>
        <v>1836</v>
      </c>
      <c r="B1837" s="2" t="str">
        <f>IFERROR(__xludf.DUMMYFUNCTION("""COMPUTED_VALUE"""),"Dhansi Khola Small")</f>
        <v>Dhansi Khola Small</v>
      </c>
      <c r="C1837" s="2">
        <f>IFERROR(__xludf.DUMMYFUNCTION("""COMPUTED_VALUE"""),0.99)</f>
        <v>0.99</v>
      </c>
      <c r="D1837" s="2" t="str">
        <f>IFERROR(__xludf.DUMMYFUNCTION("""COMPUTED_VALUE"""),"Dhansi")</f>
        <v>Dhansi</v>
      </c>
      <c r="E1837" s="2">
        <f>IFERROR(__xludf.DUMMYFUNCTION("""COMPUTED_VALUE"""),3664.0)</f>
        <v>3664</v>
      </c>
      <c r="F1837" s="3">
        <f>IFERROR(__xludf.DUMMYFUNCTION("""COMPUTED_VALUE"""),62089.0)</f>
        <v>62089</v>
      </c>
      <c r="G1837" s="2" t="str">
        <f>IFERROR(__xludf.DUMMYFUNCTION("""COMPUTED_VALUE"""),"Cipad Hydro Consultants")</f>
        <v>Cipad Hydro Consultants</v>
      </c>
      <c r="H1837" s="2" t="str">
        <f>IFERROR(__xludf.DUMMYFUNCTION("""COMPUTED_VALUE"""),"Sanepa Lalitpur")</f>
        <v>Sanepa Lalitpur</v>
      </c>
      <c r="I1837" s="2" t="str">
        <f>IFERROR(__xludf.DUMMYFUNCTION("""COMPUTED_VALUE"""),"28o 18' 30""")</f>
        <v>28o 18' 30"</v>
      </c>
      <c r="J1837" s="2" t="str">
        <f>IFERROR(__xludf.DUMMYFUNCTION("""COMPUTED_VALUE"""),"28o 19' 55""")</f>
        <v>28o 19' 55"</v>
      </c>
      <c r="K1837" s="2" t="str">
        <f>IFERROR(__xludf.DUMMYFUNCTION("""COMPUTED_VALUE"""),"82o 38' 20""")</f>
        <v>82o 38' 20"</v>
      </c>
      <c r="L1837" s="2" t="str">
        <f>IFERROR(__xludf.DUMMYFUNCTION("""COMPUTED_VALUE"""),"82o 39' 00""")</f>
        <v>82o 39' 00"</v>
      </c>
      <c r="M1837" s="2" t="str">
        <f>IFERROR(__xludf.DUMMYFUNCTION("""COMPUTED_VALUE"""),"Liwang,Dhawang (Rolpa)")</f>
        <v>Liwang,Dhawang (Rolpa)</v>
      </c>
    </row>
    <row r="1838">
      <c r="A1838" s="2">
        <f>IFERROR(__xludf.DUMMYFUNCTION("""COMPUTED_VALUE"""),1837.0)</f>
        <v>1837</v>
      </c>
      <c r="B1838" s="2" t="str">
        <f>IFERROR(__xludf.DUMMYFUNCTION("""COMPUTED_VALUE"""),"Super Nyasem Khola HEP")</f>
        <v>Super Nyasem Khola HEP</v>
      </c>
      <c r="C1838" s="2">
        <f>IFERROR(__xludf.DUMMYFUNCTION("""COMPUTED_VALUE"""),0.81)</f>
        <v>0.81</v>
      </c>
      <c r="D1838" s="2" t="str">
        <f>IFERROR(__xludf.DUMMYFUNCTION("""COMPUTED_VALUE"""),"Nyasem Khola")</f>
        <v>Nyasem Khola</v>
      </c>
      <c r="E1838" s="2">
        <f>IFERROR(__xludf.DUMMYFUNCTION("""COMPUTED_VALUE"""),3698.0)</f>
        <v>3698</v>
      </c>
      <c r="F1838" s="3">
        <f>IFERROR(__xludf.DUMMYFUNCTION("""COMPUTED_VALUE"""),62092.0)</f>
        <v>62092</v>
      </c>
      <c r="G1838" s="2" t="str">
        <f>IFERROR(__xludf.DUMMYFUNCTION("""COMPUTED_VALUE"""),"Jara Bahadur Tamang")</f>
        <v>Jara Bahadur Tamang</v>
      </c>
      <c r="H1838" s="2" t="str">
        <f>IFERROR(__xludf.DUMMYFUNCTION("""COMPUTED_VALUE"""),"Gumba -03, Sindhupalchok")</f>
        <v>Gumba -03, Sindhupalchok</v>
      </c>
      <c r="I1838" s="2" t="str">
        <f>IFERROR(__xludf.DUMMYFUNCTION("""COMPUTED_VALUE"""),"28o 00' 48""")</f>
        <v>28o 00' 48"</v>
      </c>
      <c r="J1838" s="2" t="str">
        <f>IFERROR(__xludf.DUMMYFUNCTION("""COMPUTED_VALUE"""),"28o 02' 26""")</f>
        <v>28o 02' 26"</v>
      </c>
      <c r="K1838" s="2" t="str">
        <f>IFERROR(__xludf.DUMMYFUNCTION("""COMPUTED_VALUE"""),"85o 50' 33""")</f>
        <v>85o 50' 33"</v>
      </c>
      <c r="L1838" s="2" t="str">
        <f>IFERROR(__xludf.DUMMYFUNCTION("""COMPUTED_VALUE"""),"85o 51' 52""")</f>
        <v>85o 51' 52"</v>
      </c>
      <c r="M1838" s="2" t="str">
        <f>IFERROR(__xludf.DUMMYFUNCTION("""COMPUTED_VALUE"""),"Gumba (Sindhupalchok)")</f>
        <v>Gumba (Sindhupalchok)</v>
      </c>
    </row>
    <row r="1839">
      <c r="A1839" s="2">
        <f>IFERROR(__xludf.DUMMYFUNCTION("""COMPUTED_VALUE"""),1838.0)</f>
        <v>1838</v>
      </c>
      <c r="B1839" s="2" t="str">
        <f>IFERROR(__xludf.DUMMYFUNCTION("""COMPUTED_VALUE"""),"Kasyu Khola HPP")</f>
        <v>Kasyu Khola HPP</v>
      </c>
      <c r="C1839" s="2">
        <f>IFERROR(__xludf.DUMMYFUNCTION("""COMPUTED_VALUE"""),0.99)</f>
        <v>0.99</v>
      </c>
      <c r="D1839" s="2" t="str">
        <f>IFERROR(__xludf.DUMMYFUNCTION("""COMPUTED_VALUE"""),"Kasyu")</f>
        <v>Kasyu</v>
      </c>
      <c r="E1839" s="2">
        <f>IFERROR(__xludf.DUMMYFUNCTION("""COMPUTED_VALUE"""),3784.0)</f>
        <v>3784</v>
      </c>
      <c r="F1839" s="3">
        <f>IFERROR(__xludf.DUMMYFUNCTION("""COMPUTED_VALUE"""),62098.0)</f>
        <v>62098</v>
      </c>
      <c r="G1839" s="2" t="str">
        <f>IFERROR(__xludf.DUMMYFUNCTION("""COMPUTED_VALUE"""),"Ram Bahadur Gurung")</f>
        <v>Ram Bahadur Gurung</v>
      </c>
      <c r="H1839" s="2" t="str">
        <f>IFERROR(__xludf.DUMMYFUNCTION("""COMPUTED_VALUE"""),"Lwangghalel-5, Kaski")</f>
        <v>Lwangghalel-5, Kaski</v>
      </c>
      <c r="I1839" s="2" t="str">
        <f>IFERROR(__xludf.DUMMYFUNCTION("""COMPUTED_VALUE"""),"28o 22' 15""")</f>
        <v>28o 22' 15"</v>
      </c>
      <c r="J1839" s="2" t="str">
        <f>IFERROR(__xludf.DUMMYFUNCTION("""COMPUTED_VALUE"""),"28o 23' 30""")</f>
        <v>28o 23' 30"</v>
      </c>
      <c r="K1839" s="2" t="str">
        <f>IFERROR(__xludf.DUMMYFUNCTION("""COMPUTED_VALUE"""),"83o 51' 30""")</f>
        <v>83o 51' 30"</v>
      </c>
      <c r="L1839" s="2" t="str">
        <f>IFERROR(__xludf.DUMMYFUNCTION("""COMPUTED_VALUE"""),"83o 53' 30""")</f>
        <v>83o 53' 30"</v>
      </c>
      <c r="M1839" s="2" t="str">
        <f>IFERROR(__xludf.DUMMYFUNCTION("""COMPUTED_VALUE"""),"Lwangghale (Kaski)")</f>
        <v>Lwangghale (Kaski)</v>
      </c>
    </row>
    <row r="1840">
      <c r="A1840" s="2">
        <f>IFERROR(__xludf.DUMMYFUNCTION("""COMPUTED_VALUE"""),1839.0)</f>
        <v>1839</v>
      </c>
      <c r="B1840" s="2" t="str">
        <f>IFERROR(__xludf.DUMMYFUNCTION("""COMPUTED_VALUE"""),"Yangri Khola Small HPP")</f>
        <v>Yangri Khola Small HPP</v>
      </c>
      <c r="C1840" s="2">
        <f>IFERROR(__xludf.DUMMYFUNCTION("""COMPUTED_VALUE"""),0.994)</f>
        <v>0.994</v>
      </c>
      <c r="D1840" s="2" t="str">
        <f>IFERROR(__xludf.DUMMYFUNCTION("""COMPUTED_VALUE"""),"Yangri Khola")</f>
        <v>Yangri Khola</v>
      </c>
      <c r="E1840" s="2">
        <f>IFERROR(__xludf.DUMMYFUNCTION("""COMPUTED_VALUE"""),3850.0)</f>
        <v>3850</v>
      </c>
      <c r="F1840" s="3">
        <f>IFERROR(__xludf.DUMMYFUNCTION("""COMPUTED_VALUE"""),62103.0)</f>
        <v>62103</v>
      </c>
      <c r="G1840" s="2" t="str">
        <f>IFERROR(__xludf.DUMMYFUNCTION("""COMPUTED_VALUE"""),"Chhiring Dolma Sherpa,Pasas Sherpa")</f>
        <v>Chhiring Dolma Sherpa,Pasas Sherpa</v>
      </c>
      <c r="H1840" s="2" t="str">
        <f>IFERROR(__xludf.DUMMYFUNCTION("""COMPUTED_VALUE"""),"Baruwa -2 , Sindhujpalchowk")</f>
        <v>Baruwa -2 , Sindhujpalchowk</v>
      </c>
      <c r="I1840" s="2" t="str">
        <f>IFERROR(__xludf.DUMMYFUNCTION("""COMPUTED_VALUE"""),"27o 58' 26""")</f>
        <v>27o 58' 26"</v>
      </c>
      <c r="J1840" s="2" t="str">
        <f>IFERROR(__xludf.DUMMYFUNCTION("""COMPUTED_VALUE"""),"28o 00' 00""")</f>
        <v>28o 00' 00"</v>
      </c>
      <c r="K1840" s="2" t="str">
        <f>IFERROR(__xludf.DUMMYFUNCTION("""COMPUTED_VALUE"""),"85o 37' 02""")</f>
        <v>85o 37' 02"</v>
      </c>
      <c r="L1840" s="2" t="str">
        <f>IFERROR(__xludf.DUMMYFUNCTION("""COMPUTED_VALUE"""),"85o 38' 15""")</f>
        <v>85o 38' 15"</v>
      </c>
      <c r="M1840" s="2" t="str">
        <f>IFERROR(__xludf.DUMMYFUNCTION("""COMPUTED_VALUE"""),"Baruwa (Sindhupalchok)")</f>
        <v>Baruwa (Sindhupalchok)</v>
      </c>
    </row>
    <row r="1841">
      <c r="A1841" s="2">
        <f>IFERROR(__xludf.DUMMYFUNCTION("""COMPUTED_VALUE"""),1840.0)</f>
        <v>1840</v>
      </c>
      <c r="B1841" s="2" t="str">
        <f>IFERROR(__xludf.DUMMYFUNCTION("""COMPUTED_VALUE"""),"Mewa Khola C")</f>
        <v>Mewa Khola C</v>
      </c>
      <c r="C1841" s="2">
        <f>IFERROR(__xludf.DUMMYFUNCTION("""COMPUTED_VALUE"""),0.984)</f>
        <v>0.984</v>
      </c>
      <c r="D1841" s="2" t="str">
        <f>IFERROR(__xludf.DUMMYFUNCTION("""COMPUTED_VALUE"""),"Mewa Khola")</f>
        <v>Mewa Khola</v>
      </c>
      <c r="E1841" s="2">
        <f>IFERROR(__xludf.DUMMYFUNCTION("""COMPUTED_VALUE"""),2067.0)</f>
        <v>2067</v>
      </c>
      <c r="F1841" s="3">
        <f>IFERROR(__xludf.DUMMYFUNCTION("""COMPUTED_VALUE"""),62106.0)</f>
        <v>62106</v>
      </c>
      <c r="G1841" s="2" t="str">
        <f>IFERROR(__xludf.DUMMYFUNCTION("""COMPUTED_VALUE"""),"saraswoti Shah")</f>
        <v>saraswoti Shah</v>
      </c>
      <c r="H1841" s="2" t="str">
        <f>IFERROR(__xludf.DUMMYFUNCTION("""COMPUTED_VALUE"""),"kathmandu, 5")</f>
        <v>kathmandu, 5</v>
      </c>
      <c r="I1841" s="2" t="str">
        <f>IFERROR(__xludf.DUMMYFUNCTION("""COMPUTED_VALUE"""),"27o 26' 53""")</f>
        <v>27o 26' 53"</v>
      </c>
      <c r="J1841" s="2" t="str">
        <f>IFERROR(__xludf.DUMMYFUNCTION("""COMPUTED_VALUE"""),"27o 27' 29""")</f>
        <v>27o 27' 29"</v>
      </c>
      <c r="K1841" s="2" t="str">
        <f>IFERROR(__xludf.DUMMYFUNCTION("""COMPUTED_VALUE"""),"87o 36' 24""")</f>
        <v>87o 36' 24"</v>
      </c>
      <c r="L1841" s="2" t="str">
        <f>IFERROR(__xludf.DUMMYFUNCTION("""COMPUTED_VALUE"""),"87o 37' 26""")</f>
        <v>87o 37' 26"</v>
      </c>
      <c r="M1841" s="2" t="str">
        <f>IFERROR(__xludf.DUMMYFUNCTION("""COMPUTED_VALUE"""),"Thukima (Taplejung)")</f>
        <v>Thukima (Taplejung)</v>
      </c>
    </row>
    <row r="1842">
      <c r="A1842" s="2">
        <f>IFERROR(__xludf.DUMMYFUNCTION("""COMPUTED_VALUE"""),1841.0)</f>
        <v>1841</v>
      </c>
      <c r="B1842" s="2" t="str">
        <f>IFERROR(__xludf.DUMMYFUNCTION("""COMPUTED_VALUE"""),"Midim Rega SHP")</f>
        <v>Midim Rega SHP</v>
      </c>
      <c r="C1842" s="2">
        <f>IFERROR(__xludf.DUMMYFUNCTION("""COMPUTED_VALUE"""),0.944)</f>
        <v>0.944</v>
      </c>
      <c r="D1842" s="2" t="str">
        <f>IFERROR(__xludf.DUMMYFUNCTION("""COMPUTED_VALUE"""),"Midim Khola")</f>
        <v>Midim Khola</v>
      </c>
      <c r="E1842" s="2">
        <f>IFERROR(__xludf.DUMMYFUNCTION("""COMPUTED_VALUE"""),3982.0)</f>
        <v>3982</v>
      </c>
      <c r="F1842" s="3">
        <f>IFERROR(__xludf.DUMMYFUNCTION("""COMPUTED_VALUE"""),62112.0)</f>
        <v>62112</v>
      </c>
      <c r="G1842" s="2" t="str">
        <f>IFERROR(__xludf.DUMMYFUNCTION("""COMPUTED_VALUE"""),"Midim Hydropower Pvt. Ltd.")</f>
        <v>Midim Hydropower Pvt. Ltd.</v>
      </c>
      <c r="H1842" s="2" t="str">
        <f>IFERROR(__xludf.DUMMYFUNCTION("""COMPUTED_VALUE"""),"Maharajgunj, Ward No. :3, Kathmandu")</f>
        <v>Maharajgunj, Ward No. :3, Kathmandu</v>
      </c>
      <c r="I1842" s="2" t="str">
        <f>IFERROR(__xludf.DUMMYFUNCTION("""COMPUTED_VALUE"""),"28o 15' 09""")</f>
        <v>28o 15' 09"</v>
      </c>
      <c r="J1842" s="2" t="str">
        <f>IFERROR(__xludf.DUMMYFUNCTION("""COMPUTED_VALUE"""),"28o 15' 51""")</f>
        <v>28o 15' 51"</v>
      </c>
      <c r="K1842" s="2" t="str">
        <f>IFERROR(__xludf.DUMMYFUNCTION("""COMPUTED_VALUE"""),"84o 16' 42""")</f>
        <v>84o 16' 42"</v>
      </c>
      <c r="L1842" s="2" t="str">
        <f>IFERROR(__xludf.DUMMYFUNCTION("""COMPUTED_VALUE"""),"84o 17' 17""")</f>
        <v>84o 17' 17"</v>
      </c>
      <c r="M1842" s="2" t="str">
        <f>IFERROR(__xludf.DUMMYFUNCTION("""COMPUTED_VALUE"""),"Bhoje,Maling (Lamjung)")</f>
        <v>Bhoje,Maling (Lamjung)</v>
      </c>
    </row>
    <row r="1843">
      <c r="A1843" s="2">
        <f>IFERROR(__xludf.DUMMYFUNCTION("""COMPUTED_VALUE"""),1842.0)</f>
        <v>1842</v>
      </c>
      <c r="B1843" s="2" t="str">
        <f>IFERROR(__xludf.DUMMYFUNCTION("""COMPUTED_VALUE"""),"Midim Kalaichi")</f>
        <v>Midim Kalaichi</v>
      </c>
      <c r="C1843" s="2">
        <f>IFERROR(__xludf.DUMMYFUNCTION("""COMPUTED_VALUE"""),0.956)</f>
        <v>0.956</v>
      </c>
      <c r="D1843" s="2" t="str">
        <f>IFERROR(__xludf.DUMMYFUNCTION("""COMPUTED_VALUE"""),"Midim Khola")</f>
        <v>Midim Khola</v>
      </c>
      <c r="E1843" s="2">
        <f>IFERROR(__xludf.DUMMYFUNCTION("""COMPUTED_VALUE"""),3983.0)</f>
        <v>3983</v>
      </c>
      <c r="F1843" s="3">
        <f>IFERROR(__xludf.DUMMYFUNCTION("""COMPUTED_VALUE"""),62112.0)</f>
        <v>62112</v>
      </c>
      <c r="G1843" s="2" t="str">
        <f>IFERROR(__xludf.DUMMYFUNCTION("""COMPUTED_VALUE"""),"Tallo Midim Jalbidhyut Pvt. Ltd.")</f>
        <v>Tallo Midim Jalbidhyut Pvt. Ltd.</v>
      </c>
      <c r="H1843" s="2" t="str">
        <f>IFERROR(__xludf.DUMMYFUNCTION("""COMPUTED_VALUE"""),"Dhapasi-8, Kathmandu")</f>
        <v>Dhapasi-8, Kathmandu</v>
      </c>
      <c r="I1843" s="2" t="str">
        <f>IFERROR(__xludf.DUMMYFUNCTION("""COMPUTED_VALUE"""),"28o 14' 42""")</f>
        <v>28o 14' 42"</v>
      </c>
      <c r="J1843" s="2" t="str">
        <f>IFERROR(__xludf.DUMMYFUNCTION("""COMPUTED_VALUE"""),"28o 15' 08""")</f>
        <v>28o 15' 08"</v>
      </c>
      <c r="K1843" s="2" t="str">
        <f>IFERROR(__xludf.DUMMYFUNCTION("""COMPUTED_VALUE"""),"84o 16' 29""")</f>
        <v>84o 16' 29"</v>
      </c>
      <c r="L1843" s="2" t="str">
        <f>IFERROR(__xludf.DUMMYFUNCTION("""COMPUTED_VALUE"""),"84o 17' 10""")</f>
        <v>84o 17' 10"</v>
      </c>
      <c r="M1843" s="2" t="str">
        <f>IFERROR(__xludf.DUMMYFUNCTION("""COMPUTED_VALUE"""),"Bhoje,Maling (Lamjung)")</f>
        <v>Bhoje,Maling (Lamjung)</v>
      </c>
    </row>
    <row r="1844">
      <c r="A1844" s="2">
        <f>IFERROR(__xludf.DUMMYFUNCTION("""COMPUTED_VALUE"""),1843.0)</f>
        <v>1843</v>
      </c>
      <c r="B1844" s="2" t="str">
        <f>IFERROR(__xludf.DUMMYFUNCTION("""COMPUTED_VALUE"""),"Midim Dhakrebas SHP")</f>
        <v>Midim Dhakrebas SHP</v>
      </c>
      <c r="C1844" s="2">
        <f>IFERROR(__xludf.DUMMYFUNCTION("""COMPUTED_VALUE"""),0.939)</f>
        <v>0.939</v>
      </c>
      <c r="D1844" s="2" t="str">
        <f>IFERROR(__xludf.DUMMYFUNCTION("""COMPUTED_VALUE"""),"Midim Khola")</f>
        <v>Midim Khola</v>
      </c>
      <c r="E1844" s="2">
        <f>IFERROR(__xludf.DUMMYFUNCTION("""COMPUTED_VALUE"""),3984.0)</f>
        <v>3984</v>
      </c>
      <c r="F1844" s="3">
        <f>IFERROR(__xludf.DUMMYFUNCTION("""COMPUTED_VALUE"""),62112.0)</f>
        <v>62112</v>
      </c>
      <c r="G1844" s="2" t="str">
        <f>IFERROR(__xludf.DUMMYFUNCTION("""COMPUTED_VALUE"""),"Madhya Midim Jalbidhyut Company Pvt. Ltd.")</f>
        <v>Madhya Midim Jalbidhyut Company Pvt. Ltd.</v>
      </c>
      <c r="H1844" s="2" t="str">
        <f>IFERROR(__xludf.DUMMYFUNCTION("""COMPUTED_VALUE"""),"Jawalakhel, Lalitpur-13")</f>
        <v>Jawalakhel, Lalitpur-13</v>
      </c>
      <c r="I1844" s="2" t="str">
        <f>IFERROR(__xludf.DUMMYFUNCTION("""COMPUTED_VALUE"""),"28o 14' 00""")</f>
        <v>28o 14' 00"</v>
      </c>
      <c r="J1844" s="2" t="str">
        <f>IFERROR(__xludf.DUMMYFUNCTION("""COMPUTED_VALUE"""),"28o 14' 41""")</f>
        <v>28o 14' 41"</v>
      </c>
      <c r="K1844" s="2" t="str">
        <f>IFERROR(__xludf.DUMMYFUNCTION("""COMPUTED_VALUE"""),"84o 16' 10""")</f>
        <v>84o 16' 10"</v>
      </c>
      <c r="L1844" s="2" t="str">
        <f>IFERROR(__xludf.DUMMYFUNCTION("""COMPUTED_VALUE"""),"84o 16' 47""")</f>
        <v>84o 16' 47"</v>
      </c>
      <c r="M1844" s="2" t="str">
        <f>IFERROR(__xludf.DUMMYFUNCTION("""COMPUTED_VALUE"""),"Bhoje,Maling (Lamjung)")</f>
        <v>Bhoje,Maling (Lamjung)</v>
      </c>
    </row>
    <row r="1845">
      <c r="A1845" s="2">
        <f>IFERROR(__xludf.DUMMYFUNCTION("""COMPUTED_VALUE"""),1844.0)</f>
        <v>1844</v>
      </c>
      <c r="B1845" s="2" t="str">
        <f>IFERROR(__xludf.DUMMYFUNCTION("""COMPUTED_VALUE"""),"Middle Gaddi Gad")</f>
        <v>Middle Gaddi Gad</v>
      </c>
      <c r="C1845" s="2">
        <f>IFERROR(__xludf.DUMMYFUNCTION("""COMPUTED_VALUE"""),0.992)</f>
        <v>0.992</v>
      </c>
      <c r="D1845" s="2" t="str">
        <f>IFERROR(__xludf.DUMMYFUNCTION("""COMPUTED_VALUE"""),"Gaddi Gad")</f>
        <v>Gaddi Gad</v>
      </c>
      <c r="E1845" s="2">
        <f>IFERROR(__xludf.DUMMYFUNCTION("""COMPUTED_VALUE"""),4048.0)</f>
        <v>4048</v>
      </c>
      <c r="F1845" s="3">
        <f>IFERROR(__xludf.DUMMYFUNCTION("""COMPUTED_VALUE"""),62116.0)</f>
        <v>62116</v>
      </c>
      <c r="G1845" s="2" t="str">
        <f>IFERROR(__xludf.DUMMYFUNCTION("""COMPUTED_VALUE"""),"Sajjan Shrestha")</f>
        <v>Sajjan Shrestha</v>
      </c>
      <c r="H1845" s="2" t="str">
        <f>IFERROR(__xludf.DUMMYFUNCTION("""COMPUTED_VALUE"""),"Sachetan Marg, New Baneshwor, 9851125591")</f>
        <v>Sachetan Marg, New Baneshwor, 9851125591</v>
      </c>
      <c r="I1845" s="2" t="str">
        <f>IFERROR(__xludf.DUMMYFUNCTION("""COMPUTED_VALUE"""),"29o 15' 00""")</f>
        <v>29o 15' 00"</v>
      </c>
      <c r="J1845" s="2" t="str">
        <f>IFERROR(__xludf.DUMMYFUNCTION("""COMPUTED_VALUE"""),"29o 16' 40""")</f>
        <v>29o 16' 40"</v>
      </c>
      <c r="K1845" s="2" t="str">
        <f>IFERROR(__xludf.DUMMYFUNCTION("""COMPUTED_VALUE"""),"81o 03' 00""")</f>
        <v>81o 03' 00"</v>
      </c>
      <c r="L1845" s="2" t="str">
        <f>IFERROR(__xludf.DUMMYFUNCTION("""COMPUTED_VALUE"""),"81o 03' 44""")</f>
        <v>81o 03' 44"</v>
      </c>
      <c r="M1845" s="2"/>
    </row>
    <row r="1846">
      <c r="A1846" s="2">
        <f>IFERROR(__xludf.DUMMYFUNCTION("""COMPUTED_VALUE"""),1845.0)</f>
        <v>1845</v>
      </c>
      <c r="B1846" s="2" t="str">
        <f>IFERROR(__xludf.DUMMYFUNCTION("""COMPUTED_VALUE"""),"Lower Gaddigad SHP")</f>
        <v>Lower Gaddigad SHP</v>
      </c>
      <c r="C1846" s="2">
        <f>IFERROR(__xludf.DUMMYFUNCTION("""COMPUTED_VALUE"""),0.994)</f>
        <v>0.994</v>
      </c>
      <c r="D1846" s="2" t="str">
        <f>IFERROR(__xludf.DUMMYFUNCTION("""COMPUTED_VALUE"""),"Gaddi Gad")</f>
        <v>Gaddi Gad</v>
      </c>
      <c r="E1846" s="2">
        <f>IFERROR(__xludf.DUMMYFUNCTION("""COMPUTED_VALUE"""),4198.0)</f>
        <v>4198</v>
      </c>
      <c r="F1846" s="3">
        <f>IFERROR(__xludf.DUMMYFUNCTION("""COMPUTED_VALUE"""),62125.0)</f>
        <v>62125</v>
      </c>
      <c r="G1846" s="2" t="str">
        <f>IFERROR(__xludf.DUMMYFUNCTION("""COMPUTED_VALUE"""),"Shyam Sundar Shrestha")</f>
        <v>Shyam Sundar Shrestha</v>
      </c>
      <c r="H1846" s="2" t="str">
        <f>IFERROR(__xludf.DUMMYFUNCTION("""COMPUTED_VALUE"""),"Makhan tole")</f>
        <v>Makhan tole</v>
      </c>
      <c r="I1846" s="2" t="str">
        <f>IFERROR(__xludf.DUMMYFUNCTION("""COMPUTED_VALUE"""),"29o 11' 30""")</f>
        <v>29o 11' 30"</v>
      </c>
      <c r="J1846" s="2" t="str">
        <f>IFERROR(__xludf.DUMMYFUNCTION("""COMPUTED_VALUE"""),"29o 13' 30""")</f>
        <v>29o 13' 30"</v>
      </c>
      <c r="K1846" s="2" t="str">
        <f>IFERROR(__xludf.DUMMYFUNCTION("""COMPUTED_VALUE"""),"81o 01' 00""")</f>
        <v>81o 01' 00"</v>
      </c>
      <c r="L1846" s="2" t="str">
        <f>IFERROR(__xludf.DUMMYFUNCTION("""COMPUTED_VALUE"""),"81o 02' 30""")</f>
        <v>81o 02' 30"</v>
      </c>
      <c r="M1846" s="2" t="str">
        <f>IFERROR(__xludf.DUMMYFUNCTION("""COMPUTED_VALUE"""),"Ladagada (Doti)")</f>
        <v>Ladagada (Doti)</v>
      </c>
    </row>
    <row r="1847">
      <c r="A1847" s="2">
        <f>IFERROR(__xludf.DUMMYFUNCTION("""COMPUTED_VALUE"""),1846.0)</f>
        <v>1846</v>
      </c>
      <c r="B1847" s="2" t="str">
        <f>IFERROR(__xludf.DUMMYFUNCTION("""COMPUTED_VALUE"""),"Chhedingmo HPP")</f>
        <v>Chhedingmo HPP</v>
      </c>
      <c r="C1847" s="2">
        <f>IFERROR(__xludf.DUMMYFUNCTION("""COMPUTED_VALUE"""),0.99)</f>
        <v>0.99</v>
      </c>
      <c r="D1847" s="2" t="str">
        <f>IFERROR(__xludf.DUMMYFUNCTION("""COMPUTED_VALUE"""),"Chhedingmo")</f>
        <v>Chhedingmo</v>
      </c>
      <c r="E1847" s="2">
        <f>IFERROR(__xludf.DUMMYFUNCTION("""COMPUTED_VALUE"""),4356.0)</f>
        <v>4356</v>
      </c>
      <c r="F1847" s="3">
        <f>IFERROR(__xludf.DUMMYFUNCTION("""COMPUTED_VALUE"""),62133.0)</f>
        <v>62133</v>
      </c>
      <c r="G1847" s="2" t="str">
        <f>IFERROR(__xludf.DUMMYFUNCTION("""COMPUTED_VALUE"""),"Dawa Norche Tamang")</f>
        <v>Dawa Norche Tamang</v>
      </c>
      <c r="H1847" s="2" t="str">
        <f>IFERROR(__xludf.DUMMYFUNCTION("""COMPUTED_VALUE"""),"Gatlang-9,Rasuwa")</f>
        <v>Gatlang-9,Rasuwa</v>
      </c>
      <c r="I1847" s="2" t="str">
        <f>IFERROR(__xludf.DUMMYFUNCTION("""COMPUTED_VALUE"""),"28o 08' 34""")</f>
        <v>28o 08' 34"</v>
      </c>
      <c r="J1847" s="2" t="str">
        <f>IFERROR(__xludf.DUMMYFUNCTION("""COMPUTED_VALUE"""),"28o 09' 26""")</f>
        <v>28o 09' 26"</v>
      </c>
      <c r="K1847" s="2" t="str">
        <f>IFERROR(__xludf.DUMMYFUNCTION("""COMPUTED_VALUE"""),"85o 15' 22""")</f>
        <v>85o 15' 22"</v>
      </c>
      <c r="L1847" s="2" t="str">
        <f>IFERROR(__xludf.DUMMYFUNCTION("""COMPUTED_VALUE"""),"85o 16' 37""")</f>
        <v>85o 16' 37"</v>
      </c>
      <c r="M1847" s="2" t="str">
        <f>IFERROR(__xludf.DUMMYFUNCTION("""COMPUTED_VALUE"""),"Gatlang (Rasuwa)")</f>
        <v>Gatlang (Rasuwa)</v>
      </c>
    </row>
    <row r="1848">
      <c r="A1848" s="2">
        <f>IFERROR(__xludf.DUMMYFUNCTION("""COMPUTED_VALUE"""),1847.0)</f>
        <v>1847</v>
      </c>
      <c r="B1848" s="2" t="str">
        <f>IFERROR(__xludf.DUMMYFUNCTION("""COMPUTED_VALUE"""),"Karnali St - 1")</f>
        <v>Karnali St - 1</v>
      </c>
      <c r="C1848" s="2">
        <f>IFERROR(__xludf.DUMMYFUNCTION("""COMPUTED_VALUE"""),360.0)</f>
        <v>360</v>
      </c>
      <c r="D1848" s="2" t="str">
        <f>IFERROR(__xludf.DUMMYFUNCTION("""COMPUTED_VALUE"""),"Karnali")</f>
        <v>Karnali</v>
      </c>
      <c r="E1848" s="2"/>
      <c r="F1848" s="3">
        <f>IFERROR(__xludf.DUMMYFUNCTION("""COMPUTED_VALUE"""),62137.0)</f>
        <v>62137</v>
      </c>
      <c r="G1848" s="2" t="str">
        <f>IFERROR(__xludf.DUMMYFUNCTION("""COMPUTED_VALUE"""),"Lanco Infratech Ltd")</f>
        <v>Lanco Infratech Ltd</v>
      </c>
      <c r="H1848" s="2" t="str">
        <f>IFERROR(__xludf.DUMMYFUNCTION("""COMPUTED_VALUE"""),"India")</f>
        <v>India</v>
      </c>
      <c r="I1848" s="2" t="str">
        <f>IFERROR(__xludf.DUMMYFUNCTION("""COMPUTED_VALUE"""),"00o 00' 00""")</f>
        <v>00o 00' 00"</v>
      </c>
      <c r="J1848" s="2" t="str">
        <f>IFERROR(__xludf.DUMMYFUNCTION("""COMPUTED_VALUE"""),"00o 00' 00""")</f>
        <v>00o 00' 00"</v>
      </c>
      <c r="K1848" s="2" t="str">
        <f>IFERROR(__xludf.DUMMYFUNCTION("""COMPUTED_VALUE"""),"00o 00' 00""")</f>
        <v>00o 00' 00"</v>
      </c>
      <c r="L1848" s="2" t="str">
        <f>IFERROR(__xludf.DUMMYFUNCTION("""COMPUTED_VALUE"""),"00o 00' 00""")</f>
        <v>00o 00' 00"</v>
      </c>
      <c r="M1848" s="2"/>
    </row>
    <row r="1849">
      <c r="A1849" s="2">
        <f>IFERROR(__xludf.DUMMYFUNCTION("""COMPUTED_VALUE"""),1848.0)</f>
        <v>1848</v>
      </c>
      <c r="B1849" s="2" t="str">
        <f>IFERROR(__xludf.DUMMYFUNCTION("""COMPUTED_VALUE"""),"Olmu Khola")</f>
        <v>Olmu Khola</v>
      </c>
      <c r="C1849" s="2">
        <f>IFERROR(__xludf.DUMMYFUNCTION("""COMPUTED_VALUE"""),0.995)</f>
        <v>0.995</v>
      </c>
      <c r="D1849" s="2" t="str">
        <f>IFERROR(__xludf.DUMMYFUNCTION("""COMPUTED_VALUE"""),"Olmu")</f>
        <v>Olmu</v>
      </c>
      <c r="E1849" s="2">
        <f>IFERROR(__xludf.DUMMYFUNCTION("""COMPUTED_VALUE"""),4508.0)</f>
        <v>4508</v>
      </c>
      <c r="F1849" s="3">
        <f>IFERROR(__xludf.DUMMYFUNCTION("""COMPUTED_VALUE"""),62147.0)</f>
        <v>62147</v>
      </c>
      <c r="G1849" s="2" t="str">
        <f>IFERROR(__xludf.DUMMYFUNCTION("""COMPUTED_VALUE"""),"Banita Bastola")</f>
        <v>Banita Bastola</v>
      </c>
      <c r="H1849" s="2" t="str">
        <f>IFERROR(__xludf.DUMMYFUNCTION("""COMPUTED_VALUE"""),"Sitapaila VDC 2, Kathamandu")</f>
        <v>Sitapaila VDC 2, Kathamandu</v>
      </c>
      <c r="I1849" s="2" t="str">
        <f>IFERROR(__xludf.DUMMYFUNCTION("""COMPUTED_VALUE"""),"27o 30' 46""")</f>
        <v>27o 30' 46"</v>
      </c>
      <c r="J1849" s="2" t="str">
        <f>IFERROR(__xludf.DUMMYFUNCTION("""COMPUTED_VALUE"""),"27o 32' 39""")</f>
        <v>27o 32' 39"</v>
      </c>
      <c r="K1849" s="2" t="str">
        <f>IFERROR(__xludf.DUMMYFUNCTION("""COMPUTED_VALUE"""),"86o 23' 34""")</f>
        <v>86o 23' 34"</v>
      </c>
      <c r="L1849" s="2" t="str">
        <f>IFERROR(__xludf.DUMMYFUNCTION("""COMPUTED_VALUE"""),"86o 27' 49""")</f>
        <v>86o 27' 49"</v>
      </c>
      <c r="M1849" s="2" t="str">
        <f>IFERROR(__xludf.DUMMYFUNCTION("""COMPUTED_VALUE"""),"Goli (Solukhumbu)")</f>
        <v>Goli (Solukhumbu)</v>
      </c>
    </row>
    <row r="1850">
      <c r="A1850" s="2">
        <f>IFERROR(__xludf.DUMMYFUNCTION("""COMPUTED_VALUE"""),1849.0)</f>
        <v>1849</v>
      </c>
      <c r="B1850" s="2" t="str">
        <f>IFERROR(__xludf.DUMMYFUNCTION("""COMPUTED_VALUE"""),"Gochyang (Pung) Khola HP")</f>
        <v>Gochyang (Pung) Khola HP</v>
      </c>
      <c r="C1850" s="2">
        <f>IFERROR(__xludf.DUMMYFUNCTION("""COMPUTED_VALUE"""),0.3)</f>
        <v>0.3</v>
      </c>
      <c r="D1850" s="2" t="str">
        <f>IFERROR(__xludf.DUMMYFUNCTION("""COMPUTED_VALUE"""),"Gochyang (Pung) Khola")</f>
        <v>Gochyang (Pung) Khola</v>
      </c>
      <c r="E1850" s="2">
        <f>IFERROR(__xludf.DUMMYFUNCTION("""COMPUTED_VALUE"""),4668.0)</f>
        <v>4668</v>
      </c>
      <c r="F1850" s="3">
        <f>IFERROR(__xludf.DUMMYFUNCTION("""COMPUTED_VALUE"""),62155.0)</f>
        <v>62155</v>
      </c>
      <c r="G1850" s="2" t="str">
        <f>IFERROR(__xludf.DUMMYFUNCTION("""COMPUTED_VALUE"""),"Bisham Rimal")</f>
        <v>Bisham Rimal</v>
      </c>
      <c r="H1850" s="2" t="str">
        <f>IFERROR(__xludf.DUMMYFUNCTION("""COMPUTED_VALUE"""),"Ralukadevi VDC, Nuwakot Ward No. 7, Kosgade")</f>
        <v>Ralukadevi VDC, Nuwakot Ward No. 7, Kosgade</v>
      </c>
      <c r="I1850" s="2" t="str">
        <f>IFERROR(__xludf.DUMMYFUNCTION("""COMPUTED_VALUE"""),"28o 00' 02""")</f>
        <v>28o 00' 02"</v>
      </c>
      <c r="J1850" s="2" t="str">
        <f>IFERROR(__xludf.DUMMYFUNCTION("""COMPUTED_VALUE"""),"28o 00' 13""")</f>
        <v>28o 00' 13"</v>
      </c>
      <c r="K1850" s="2" t="str">
        <f>IFERROR(__xludf.DUMMYFUNCTION("""COMPUTED_VALUE"""),"85o 16' 09""")</f>
        <v>85o 16' 09"</v>
      </c>
      <c r="L1850" s="2" t="str">
        <f>IFERROR(__xludf.DUMMYFUNCTION("""COMPUTED_VALUE"""),"85o 19' 00""")</f>
        <v>85o 19' 00"</v>
      </c>
      <c r="M1850" s="2" t="str">
        <f>IFERROR(__xludf.DUMMYFUNCTION("""COMPUTED_VALUE"""),"Saramthali (Rasuwa)")</f>
        <v>Saramthali (Rasuwa)</v>
      </c>
    </row>
    <row r="1851">
      <c r="A1851" s="2">
        <f>IFERROR(__xludf.DUMMYFUNCTION("""COMPUTED_VALUE"""),1850.0)</f>
        <v>1850</v>
      </c>
      <c r="B1851" s="2" t="str">
        <f>IFERROR(__xludf.DUMMYFUNCTION("""COMPUTED_VALUE"""),"Toj Khola SHP")</f>
        <v>Toj Khola SHP</v>
      </c>
      <c r="C1851" s="2">
        <f>IFERROR(__xludf.DUMMYFUNCTION("""COMPUTED_VALUE"""),0.995)</f>
        <v>0.995</v>
      </c>
      <c r="D1851" s="2" t="str">
        <f>IFERROR(__xludf.DUMMYFUNCTION("""COMPUTED_VALUE"""),"Toj Khola")</f>
        <v>Toj Khola</v>
      </c>
      <c r="E1851" s="2">
        <f>IFERROR(__xludf.DUMMYFUNCTION("""COMPUTED_VALUE"""),4751.0)</f>
        <v>4751</v>
      </c>
      <c r="F1851" s="3">
        <f>IFERROR(__xludf.DUMMYFUNCTION("""COMPUTED_VALUE"""),62159.0)</f>
        <v>62159</v>
      </c>
      <c r="G1851" s="2" t="str">
        <f>IFERROR(__xludf.DUMMYFUNCTION("""COMPUTED_VALUE"""),"M.P. Hydropower Pvt. Ltd.")</f>
        <v>M.P. Hydropower Pvt. Ltd.</v>
      </c>
      <c r="H1851" s="2" t="str">
        <f>IFERROR(__xludf.DUMMYFUNCTION("""COMPUTED_VALUE"""),"Balaju-16, Kathmandu, Mobile: 9851031173, 9808360544")</f>
        <v>Balaju-16, Kathmandu, Mobile: 9851031173, 9808360544</v>
      </c>
      <c r="I1851" s="2" t="str">
        <f>IFERROR(__xludf.DUMMYFUNCTION("""COMPUTED_VALUE"""),"28o 19' 20""")</f>
        <v>28o 19' 20"</v>
      </c>
      <c r="J1851" s="2" t="str">
        <f>IFERROR(__xludf.DUMMYFUNCTION("""COMPUTED_VALUE"""),"28o 20' 20""")</f>
        <v>28o 20' 20"</v>
      </c>
      <c r="K1851" s="2" t="str">
        <f>IFERROR(__xludf.DUMMYFUNCTION("""COMPUTED_VALUE"""),"84o 28' 10""")</f>
        <v>84o 28' 10"</v>
      </c>
      <c r="L1851" s="2" t="str">
        <f>IFERROR(__xludf.DUMMYFUNCTION("""COMPUTED_VALUE"""),"84o 46' 40""")</f>
        <v>84o 46' 40"</v>
      </c>
      <c r="M1851" s="2" t="str">
        <f>IFERROR(__xludf.DUMMYFUNCTION("""COMPUTED_VALUE"""),"Bhulbhule (Lamjung)")</f>
        <v>Bhulbhule (Lamjung)</v>
      </c>
    </row>
    <row r="1852">
      <c r="A1852" s="2">
        <f>IFERROR(__xludf.DUMMYFUNCTION("""COMPUTED_VALUE"""),1851.0)</f>
        <v>1851</v>
      </c>
      <c r="B1852" s="2" t="str">
        <f>IFERROR(__xludf.DUMMYFUNCTION("""COMPUTED_VALUE"""),"Bagar Khola HPP")</f>
        <v>Bagar Khola HPP</v>
      </c>
      <c r="C1852" s="2">
        <f>IFERROR(__xludf.DUMMYFUNCTION("""COMPUTED_VALUE"""),0.999)</f>
        <v>0.999</v>
      </c>
      <c r="D1852" s="2" t="str">
        <f>IFERROR(__xludf.DUMMYFUNCTION("""COMPUTED_VALUE"""),"Bagar Khola")</f>
        <v>Bagar Khola</v>
      </c>
      <c r="E1852" s="2">
        <f>IFERROR(__xludf.DUMMYFUNCTION("""COMPUTED_VALUE"""),5088.0)</f>
        <v>5088</v>
      </c>
      <c r="F1852" s="3">
        <f>IFERROR(__xludf.DUMMYFUNCTION("""COMPUTED_VALUE"""),62180.0)</f>
        <v>62180</v>
      </c>
      <c r="G1852" s="2" t="str">
        <f>IFERROR(__xludf.DUMMYFUNCTION("""COMPUTED_VALUE"""),"Ananda Prasad Subedi")</f>
        <v>Ananda Prasad Subedi</v>
      </c>
      <c r="H1852" s="2" t="str">
        <f>IFERROR(__xludf.DUMMYFUNCTION("""COMPUTED_VALUE"""),"Shantibasti, Sanepa-3, Lalitpur")</f>
        <v>Shantibasti, Sanepa-3, Lalitpur</v>
      </c>
      <c r="I1852" s="2" t="str">
        <f>IFERROR(__xludf.DUMMYFUNCTION("""COMPUTED_VALUE"""),"28o 28' 15""")</f>
        <v>28o 28' 15"</v>
      </c>
      <c r="J1852" s="2" t="str">
        <f>IFERROR(__xludf.DUMMYFUNCTION("""COMPUTED_VALUE"""),"28o 30' 00""")</f>
        <v>28o 30' 00"</v>
      </c>
      <c r="K1852" s="2" t="str">
        <f>IFERROR(__xludf.DUMMYFUNCTION("""COMPUTED_VALUE"""),"83o 31' 00""")</f>
        <v>83o 31' 00"</v>
      </c>
      <c r="L1852" s="2" t="str">
        <f>IFERROR(__xludf.DUMMYFUNCTION("""COMPUTED_VALUE"""),"83o 32' 50""")</f>
        <v>83o 32' 50"</v>
      </c>
      <c r="M1852" s="2" t="str">
        <f>IFERROR(__xludf.DUMMYFUNCTION("""COMPUTED_VALUE"""),"Chimkhola (Myagdi)")</f>
        <v>Chimkhola (Myagdi)</v>
      </c>
    </row>
    <row r="1853">
      <c r="A1853" s="2">
        <f>IFERROR(__xludf.DUMMYFUNCTION("""COMPUTED_VALUE"""),1852.0)</f>
        <v>1852</v>
      </c>
      <c r="B1853" s="2" t="str">
        <f>IFERROR(__xludf.DUMMYFUNCTION("""COMPUTED_VALUE"""),"Trishuli Storage Project")</f>
        <v>Trishuli Storage Project</v>
      </c>
      <c r="C1853" s="2">
        <f>IFERROR(__xludf.DUMMYFUNCTION("""COMPUTED_VALUE"""),98.0)</f>
        <v>98</v>
      </c>
      <c r="D1853" s="2" t="str">
        <f>IFERROR(__xludf.DUMMYFUNCTION("""COMPUTED_VALUE"""),"Trishuli")</f>
        <v>Trishuli</v>
      </c>
      <c r="E1853" s="2">
        <f>IFERROR(__xludf.DUMMYFUNCTION("""COMPUTED_VALUE"""),307.0)</f>
        <v>307</v>
      </c>
      <c r="F1853" s="3">
        <f>IFERROR(__xludf.DUMMYFUNCTION("""COMPUTED_VALUE"""),62192.0)</f>
        <v>62192</v>
      </c>
      <c r="G1853" s="2" t="str">
        <f>IFERROR(__xludf.DUMMYFUNCTION("""COMPUTED_VALUE"""),"Gandaki Gaighat Power Company Limited")</f>
        <v>Gandaki Gaighat Power Company Limited</v>
      </c>
      <c r="H1853" s="2" t="str">
        <f>IFERROR(__xludf.DUMMYFUNCTION("""COMPUTED_VALUE"""),"4th Floor, Trade Tower Nepal, Thapathali, Phone: 015111033")</f>
        <v>4th Floor, Trade Tower Nepal, Thapathali, Phone: 015111033</v>
      </c>
      <c r="I1853" s="2" t="str">
        <f>IFERROR(__xludf.DUMMYFUNCTION("""COMPUTED_VALUE"""),"27o 47' 14""")</f>
        <v>27o 47' 14"</v>
      </c>
      <c r="J1853" s="2" t="str">
        <f>IFERROR(__xludf.DUMMYFUNCTION("""COMPUTED_VALUE"""),"27o 50' 32""")</f>
        <v>27o 50' 32"</v>
      </c>
      <c r="K1853" s="2" t="str">
        <f>IFERROR(__xludf.DUMMYFUNCTION("""COMPUTED_VALUE"""),"84o 24' 41""")</f>
        <v>84o 24' 41"</v>
      </c>
      <c r="L1853" s="2" t="str">
        <f>IFERROR(__xludf.DUMMYFUNCTION("""COMPUTED_VALUE"""),"84o 30' 30""")</f>
        <v>84o 30' 30"</v>
      </c>
      <c r="M1853" s="2" t="str">
        <f>IFERROR(__xludf.DUMMYFUNCTION("""COMPUTED_VALUE"""),"Kabilas (Chitawan) Chhimkeswori,Devghat (Tanahu)")</f>
        <v>Kabilas (Chitawan) Chhimkeswori,Devghat (Tanahu)</v>
      </c>
    </row>
    <row r="1854">
      <c r="A1854" s="2">
        <f>IFERROR(__xludf.DUMMYFUNCTION("""COMPUTED_VALUE"""),1853.0)</f>
        <v>1853</v>
      </c>
      <c r="B1854" s="2" t="str">
        <f>IFERROR(__xludf.DUMMYFUNCTION("""COMPUTED_VALUE"""),"Daraudi SHPP")</f>
        <v>Daraudi SHPP</v>
      </c>
      <c r="C1854" s="2">
        <f>IFERROR(__xludf.DUMMYFUNCTION("""COMPUTED_VALUE"""),0.952)</f>
        <v>0.952</v>
      </c>
      <c r="D1854" s="2" t="str">
        <f>IFERROR(__xludf.DUMMYFUNCTION("""COMPUTED_VALUE"""),"Daraundi")</f>
        <v>Daraundi</v>
      </c>
      <c r="E1854" s="2">
        <f>IFERROR(__xludf.DUMMYFUNCTION("""COMPUTED_VALUE"""),328.0)</f>
        <v>328</v>
      </c>
      <c r="F1854" s="3">
        <f>IFERROR(__xludf.DUMMYFUNCTION("""COMPUTED_VALUE"""),62193.0)</f>
        <v>62193</v>
      </c>
      <c r="G1854" s="2" t="str">
        <f>IFERROR(__xludf.DUMMYFUNCTION("""COMPUTED_VALUE"""),"Barpak Rural Electrification Pvt. Ltd.")</f>
        <v>Barpak Rural Electrification Pvt. Ltd.</v>
      </c>
      <c r="H1854" s="2" t="str">
        <f>IFERROR(__xludf.DUMMYFUNCTION("""COMPUTED_VALUE"""),"Barpak VDC-7, Gorkha")</f>
        <v>Barpak VDC-7, Gorkha</v>
      </c>
      <c r="I1854" s="2" t="str">
        <f>IFERROR(__xludf.DUMMYFUNCTION("""COMPUTED_VALUE"""),"28o 08' 45""")</f>
        <v>28o 08' 45"</v>
      </c>
      <c r="J1854" s="2" t="str">
        <f>IFERROR(__xludf.DUMMYFUNCTION("""COMPUTED_VALUE"""),"28o 10' 45""")</f>
        <v>28o 10' 45"</v>
      </c>
      <c r="K1854" s="2" t="str">
        <f>IFERROR(__xludf.DUMMYFUNCTION("""COMPUTED_VALUE"""),"84o 41' 45""")</f>
        <v>84o 41' 45"</v>
      </c>
      <c r="L1854" s="2" t="str">
        <f>IFERROR(__xludf.DUMMYFUNCTION("""COMPUTED_VALUE"""),"84o 43' 00""")</f>
        <v>84o 43' 00"</v>
      </c>
      <c r="M1854" s="2" t="str">
        <f>IFERROR(__xludf.DUMMYFUNCTION("""COMPUTED_VALUE"""),"Warpak (Gorkha)")</f>
        <v>Warpak (Gorkha)</v>
      </c>
    </row>
    <row r="1855">
      <c r="A1855" s="2">
        <f>IFERROR(__xludf.DUMMYFUNCTION("""COMPUTED_VALUE"""),1854.0)</f>
        <v>1854</v>
      </c>
      <c r="B1855" s="2" t="str">
        <f>IFERROR(__xludf.DUMMYFUNCTION("""COMPUTED_VALUE"""),"Lower Roshi Hydropower Project")</f>
        <v>Lower Roshi Hydropower Project</v>
      </c>
      <c r="C1855" s="2">
        <f>IFERROR(__xludf.DUMMYFUNCTION("""COMPUTED_VALUE"""),4.97)</f>
        <v>4.97</v>
      </c>
      <c r="D1855" s="2" t="str">
        <f>IFERROR(__xludf.DUMMYFUNCTION("""COMPUTED_VALUE"""),"Roshi")</f>
        <v>Roshi</v>
      </c>
      <c r="E1855" s="2">
        <f>IFERROR(__xludf.DUMMYFUNCTION("""COMPUTED_VALUE"""),419.0)</f>
        <v>419</v>
      </c>
      <c r="F1855" s="3">
        <f>IFERROR(__xludf.DUMMYFUNCTION("""COMPUTED_VALUE"""),62199.0)</f>
        <v>62199</v>
      </c>
      <c r="G1855" s="2" t="str">
        <f>IFERROR(__xludf.DUMMYFUNCTION("""COMPUTED_VALUE"""),"Sajjan Shrestha")</f>
        <v>Sajjan Shrestha</v>
      </c>
      <c r="H1855" s="2" t="str">
        <f>IFERROR(__xludf.DUMMYFUNCTION("""COMPUTED_VALUE"""),"Sankhamul, Kathmandu 9851125591")</f>
        <v>Sankhamul, Kathmandu 9851125591</v>
      </c>
      <c r="I1855" s="2" t="str">
        <f>IFERROR(__xludf.DUMMYFUNCTION("""COMPUTED_VALUE"""),"27o 28' 30""")</f>
        <v>27o 28' 30"</v>
      </c>
      <c r="J1855" s="2" t="str">
        <f>IFERROR(__xludf.DUMMYFUNCTION("""COMPUTED_VALUE"""),"27o 30' 08""")</f>
        <v>27o 30' 08"</v>
      </c>
      <c r="K1855" s="2" t="str">
        <f>IFERROR(__xludf.DUMMYFUNCTION("""COMPUTED_VALUE"""),"85o 43' 00""")</f>
        <v>85o 43' 00"</v>
      </c>
      <c r="L1855" s="2" t="str">
        <f>IFERROR(__xludf.DUMMYFUNCTION("""COMPUTED_VALUE"""),"85o 45' 00""")</f>
        <v>85o 45' 00"</v>
      </c>
      <c r="M1855" s="2" t="str">
        <f>IFERROR(__xludf.DUMMYFUNCTION("""COMPUTED_VALUE"""),"Kharpachok,Mangaltar,Pokhari Narayansthan,Kuruwas Chapakhori 
(Kavrepalanchok)")</f>
        <v>Kharpachok,Mangaltar,Pokhari Narayansthan,Kuruwas Chapakhori 
(Kavrepalanchok)</v>
      </c>
    </row>
    <row r="1856">
      <c r="A1856" s="2">
        <f>IFERROR(__xludf.DUMMYFUNCTION("""COMPUTED_VALUE"""),1855.0)</f>
        <v>1855</v>
      </c>
      <c r="B1856" s="2" t="str">
        <f>IFERROR(__xludf.DUMMYFUNCTION("""COMPUTED_VALUE"""),"Gorgenhejo Menchet Small Hydropower Project")</f>
        <v>Gorgenhejo Menchet Small Hydropower Project</v>
      </c>
      <c r="C1856" s="2">
        <f>IFERROR(__xludf.DUMMYFUNCTION("""COMPUTED_VALUE"""),0.99)</f>
        <v>0.99</v>
      </c>
      <c r="D1856" s="2" t="str">
        <f>IFERROR(__xludf.DUMMYFUNCTION("""COMPUTED_VALUE"""),"Gorken")</f>
        <v>Gorken</v>
      </c>
      <c r="E1856" s="2">
        <f>IFERROR(__xludf.DUMMYFUNCTION("""COMPUTED_VALUE"""),513.0)</f>
        <v>513</v>
      </c>
      <c r="F1856" s="3">
        <f>IFERROR(__xludf.DUMMYFUNCTION("""COMPUTED_VALUE"""),62206.0)</f>
        <v>62206</v>
      </c>
      <c r="G1856" s="2" t="str">
        <f>IFERROR(__xludf.DUMMYFUNCTION("""COMPUTED_VALUE"""),"Hem Thapa Tamang")</f>
        <v>Hem Thapa Tamang</v>
      </c>
      <c r="H1856" s="2" t="str">
        <f>IFERROR(__xludf.DUMMYFUNCTION("""COMPUTED_VALUE"""),"Tipling VDC Ward No. 4, 9841656034")</f>
        <v>Tipling VDC Ward No. 4, 9841656034</v>
      </c>
      <c r="I1856" s="2" t="str">
        <f>IFERROR(__xludf.DUMMYFUNCTION("""COMPUTED_VALUE"""),"28o 11' 38""")</f>
        <v>28o 11' 38"</v>
      </c>
      <c r="J1856" s="2" t="str">
        <f>IFERROR(__xludf.DUMMYFUNCTION("""COMPUTED_VALUE"""),"28o 12' 42""")</f>
        <v>28o 12' 42"</v>
      </c>
      <c r="K1856" s="2" t="str">
        <f>IFERROR(__xludf.DUMMYFUNCTION("""COMPUTED_VALUE"""),"85o 06' 17""")</f>
        <v>85o 06' 17"</v>
      </c>
      <c r="L1856" s="2" t="str">
        <f>IFERROR(__xludf.DUMMYFUNCTION("""COMPUTED_VALUE"""),"85o 07' 40""")</f>
        <v>85o 07' 40"</v>
      </c>
      <c r="M1856" s="2" t="str">
        <f>IFERROR(__xludf.DUMMYFUNCTION("""COMPUTED_VALUE"""),"Tipling (Dhading)")</f>
        <v>Tipling (Dhading)</v>
      </c>
    </row>
    <row r="1857">
      <c r="A1857" s="2">
        <f>IFERROR(__xludf.DUMMYFUNCTION("""COMPUTED_VALUE"""),1856.0)</f>
        <v>1856</v>
      </c>
      <c r="B1857" s="2" t="str">
        <f>IFERROR(__xludf.DUMMYFUNCTION("""COMPUTED_VALUE"""),"Nya Small Hydropower Project")</f>
        <v>Nya Small Hydropower Project</v>
      </c>
      <c r="C1857" s="2">
        <f>IFERROR(__xludf.DUMMYFUNCTION("""COMPUTED_VALUE"""),0.97)</f>
        <v>0.97</v>
      </c>
      <c r="D1857" s="2" t="str">
        <f>IFERROR(__xludf.DUMMYFUNCTION("""COMPUTED_VALUE"""),"Mailung Khola")</f>
        <v>Mailung Khola</v>
      </c>
      <c r="E1857" s="2">
        <f>IFERROR(__xludf.DUMMYFUNCTION("""COMPUTED_VALUE"""),514.0)</f>
        <v>514</v>
      </c>
      <c r="F1857" s="3">
        <f>IFERROR(__xludf.DUMMYFUNCTION("""COMPUTED_VALUE"""),62206.0)</f>
        <v>62206</v>
      </c>
      <c r="G1857" s="2" t="str">
        <f>IFERROR(__xludf.DUMMYFUNCTION("""COMPUTED_VALUE"""),"Hem Thapa Tamang")</f>
        <v>Hem Thapa Tamang</v>
      </c>
      <c r="H1857" s="2" t="str">
        <f>IFERROR(__xludf.DUMMYFUNCTION("""COMPUTED_VALUE"""),"Tipling VDC Ward No. 4, 9841656034")</f>
        <v>Tipling VDC Ward No. 4, 9841656034</v>
      </c>
      <c r="I1857" s="2" t="str">
        <f>IFERROR(__xludf.DUMMYFUNCTION("""COMPUTED_VALUE"""),"28o 11' 25""")</f>
        <v>28o 11' 25"</v>
      </c>
      <c r="J1857" s="2" t="str">
        <f>IFERROR(__xludf.DUMMYFUNCTION("""COMPUTED_VALUE"""),"28o 12' 00""")</f>
        <v>28o 12' 00"</v>
      </c>
      <c r="K1857" s="2" t="str">
        <f>IFERROR(__xludf.DUMMYFUNCTION("""COMPUTED_VALUE"""),"85o 12' 48""")</f>
        <v>85o 12' 48"</v>
      </c>
      <c r="L1857" s="2" t="str">
        <f>IFERROR(__xludf.DUMMYFUNCTION("""COMPUTED_VALUE"""),"85o 13' 09""")</f>
        <v>85o 13' 09"</v>
      </c>
      <c r="M1857" s="2" t="str">
        <f>IFERROR(__xludf.DUMMYFUNCTION("""COMPUTED_VALUE"""),"Tipling (Dhading)")</f>
        <v>Tipling (Dhading)</v>
      </c>
    </row>
    <row r="1858">
      <c r="A1858" s="2">
        <f>IFERROR(__xludf.DUMMYFUNCTION("""COMPUTED_VALUE"""),1857.0)</f>
        <v>1857</v>
      </c>
      <c r="B1858" s="2" t="str">
        <f>IFERROR(__xludf.DUMMYFUNCTION("""COMPUTED_VALUE"""),"Roshi Khola Power Project")</f>
        <v>Roshi Khola Power Project</v>
      </c>
      <c r="C1858" s="2">
        <f>IFERROR(__xludf.DUMMYFUNCTION("""COMPUTED_VALUE"""),0.996)</f>
        <v>0.996</v>
      </c>
      <c r="D1858" s="2" t="str">
        <f>IFERROR(__xludf.DUMMYFUNCTION("""COMPUTED_VALUE"""),"Roshi")</f>
        <v>Roshi</v>
      </c>
      <c r="E1858" s="2">
        <f>IFERROR(__xludf.DUMMYFUNCTION("""COMPUTED_VALUE"""),534.0)</f>
        <v>534</v>
      </c>
      <c r="F1858" s="3">
        <f>IFERROR(__xludf.DUMMYFUNCTION("""COMPUTED_VALUE"""),62207.0)</f>
        <v>62207</v>
      </c>
      <c r="G1858" s="2" t="str">
        <f>IFERROR(__xludf.DUMMYFUNCTION("""COMPUTED_VALUE"""),"Middle Roshi Hydropower Company")</f>
        <v>Middle Roshi Hydropower Company</v>
      </c>
      <c r="H1858" s="2" t="str">
        <f>IFERROR(__xludf.DUMMYFUNCTION("""COMPUTED_VALUE"""),"Kathmandu Ward No. 1 Naxal")</f>
        <v>Kathmandu Ward No. 1 Naxal</v>
      </c>
      <c r="I1858" s="2" t="str">
        <f>IFERROR(__xludf.DUMMYFUNCTION("""COMPUTED_VALUE"""),"27o 30' 21""")</f>
        <v>27o 30' 21"</v>
      </c>
      <c r="J1858" s="2" t="str">
        <f>IFERROR(__xludf.DUMMYFUNCTION("""COMPUTED_VALUE"""),"27o 31' 25""")</f>
        <v>27o 31' 25"</v>
      </c>
      <c r="K1858" s="2" t="str">
        <f>IFERROR(__xludf.DUMMYFUNCTION("""COMPUTED_VALUE"""),"85o 36' 15""")</f>
        <v>85o 36' 15"</v>
      </c>
      <c r="L1858" s="2" t="str">
        <f>IFERROR(__xludf.DUMMYFUNCTION("""COMPUTED_VALUE"""),"85o 38' 43""")</f>
        <v>85o 38' 43"</v>
      </c>
      <c r="M1858" s="2" t="str">
        <f>IFERROR(__xludf.DUMMYFUNCTION("""COMPUTED_VALUE"""),"Daraune Pokhari,Sikhar Ambote,Khanalthok (Kavrepalanchok)")</f>
        <v>Daraune Pokhari,Sikhar Ambote,Khanalthok (Kavrepalanchok)</v>
      </c>
    </row>
    <row r="1859">
      <c r="A1859" s="2">
        <f>IFERROR(__xludf.DUMMYFUNCTION("""COMPUTED_VALUE"""),1858.0)</f>
        <v>1858</v>
      </c>
      <c r="B1859" s="2" t="str">
        <f>IFERROR(__xludf.DUMMYFUNCTION("""COMPUTED_VALUE"""),"Upper Daraundi HPP")</f>
        <v>Upper Daraundi HPP</v>
      </c>
      <c r="C1859" s="2">
        <f>IFERROR(__xludf.DUMMYFUNCTION("""COMPUTED_VALUE"""),0.921)</f>
        <v>0.921</v>
      </c>
      <c r="D1859" s="2" t="str">
        <f>IFERROR(__xludf.DUMMYFUNCTION("""COMPUTED_VALUE"""),"Daraundi")</f>
        <v>Daraundi</v>
      </c>
      <c r="E1859" s="2">
        <f>IFERROR(__xludf.DUMMYFUNCTION("""COMPUTED_VALUE"""),614.0)</f>
        <v>614</v>
      </c>
      <c r="F1859" s="2" t="str">
        <f>IFERROR(__xludf.DUMMYFUNCTION("""COMPUTED_VALUE"""),"2070-04-31")</f>
        <v>2070-04-31</v>
      </c>
      <c r="G1859" s="2" t="str">
        <f>IFERROR(__xludf.DUMMYFUNCTION("""COMPUTED_VALUE"""),"Barpak Rural Electrification Pvt. Ltd,")</f>
        <v>Barpak Rural Electrification Pvt. Ltd,</v>
      </c>
      <c r="H1859" s="2" t="str">
        <f>IFERROR(__xludf.DUMMYFUNCTION("""COMPUTED_VALUE"""),"Barpak-8, Gorkha")</f>
        <v>Barpak-8, Gorkha</v>
      </c>
      <c r="I1859" s="2" t="str">
        <f>IFERROR(__xludf.DUMMYFUNCTION("""COMPUTED_VALUE"""),"28o 13' 15""")</f>
        <v>28o 13' 15"</v>
      </c>
      <c r="J1859" s="2" t="str">
        <f>IFERROR(__xludf.DUMMYFUNCTION("""COMPUTED_VALUE"""),"28o 14' 15""")</f>
        <v>28o 14' 15"</v>
      </c>
      <c r="K1859" s="2" t="str">
        <f>IFERROR(__xludf.DUMMYFUNCTION("""COMPUTED_VALUE"""),"84o 43' 15""")</f>
        <v>84o 43' 15"</v>
      </c>
      <c r="L1859" s="2" t="str">
        <f>IFERROR(__xludf.DUMMYFUNCTION("""COMPUTED_VALUE"""),"84o 44' 30""")</f>
        <v>84o 44' 30"</v>
      </c>
      <c r="M1859" s="2" t="str">
        <f>IFERROR(__xludf.DUMMYFUNCTION("""COMPUTED_VALUE"""),"Ghyalchok (Gorkha)")</f>
        <v>Ghyalchok (Gorkha)</v>
      </c>
    </row>
    <row r="1860">
      <c r="A1860" s="2">
        <f>IFERROR(__xludf.DUMMYFUNCTION("""COMPUTED_VALUE"""),1859.0)</f>
        <v>1859</v>
      </c>
      <c r="B1860" s="2" t="str">
        <f>IFERROR(__xludf.DUMMYFUNCTION("""COMPUTED_VALUE"""),"Kahule Khola Small Hydropower Project")</f>
        <v>Kahule Khola Small Hydropower Project</v>
      </c>
      <c r="C1860" s="2">
        <f>IFERROR(__xludf.DUMMYFUNCTION("""COMPUTED_VALUE"""),0.998)</f>
        <v>0.998</v>
      </c>
      <c r="D1860" s="2" t="str">
        <f>IFERROR(__xludf.DUMMYFUNCTION("""COMPUTED_VALUE"""),"Kahule")</f>
        <v>Kahule</v>
      </c>
      <c r="E1860" s="2">
        <f>IFERROR(__xludf.DUMMYFUNCTION("""COMPUTED_VALUE"""),673.0)</f>
        <v>673</v>
      </c>
      <c r="F1860" s="3">
        <f>IFERROR(__xludf.DUMMYFUNCTION("""COMPUTED_VALUE"""),62217.0)</f>
        <v>62217</v>
      </c>
      <c r="G1860" s="2" t="str">
        <f>IFERROR(__xludf.DUMMYFUNCTION("""COMPUTED_VALUE"""),"Kavre Power Company P. Ltd")</f>
        <v>Kavre Power Company P. Ltd</v>
      </c>
      <c r="H1860" s="2" t="str">
        <f>IFERROR(__xludf.DUMMYFUNCTION("""COMPUTED_VALUE"""),"Banepa Kavre, 9841285595")</f>
        <v>Banepa Kavre, 9841285595</v>
      </c>
      <c r="I1860" s="2" t="str">
        <f>IFERROR(__xludf.DUMMYFUNCTION("""COMPUTED_VALUE"""),"27o 52' 17""")</f>
        <v>27o 52' 17"</v>
      </c>
      <c r="J1860" s="2" t="str">
        <f>IFERROR(__xludf.DUMMYFUNCTION("""COMPUTED_VALUE"""),"27o 53' 23""")</f>
        <v>27o 53' 23"</v>
      </c>
      <c r="K1860" s="2" t="str">
        <f>IFERROR(__xludf.DUMMYFUNCTION("""COMPUTED_VALUE"""),"85o 51' 47""")</f>
        <v>85o 51' 47"</v>
      </c>
      <c r="L1860" s="2" t="str">
        <f>IFERROR(__xludf.DUMMYFUNCTION("""COMPUTED_VALUE"""),"85o 53' 20""")</f>
        <v>85o 53' 20"</v>
      </c>
      <c r="M1860" s="2" t="str">
        <f>IFERROR(__xludf.DUMMYFUNCTION("""COMPUTED_VALUE"""),"Dhumthang,Listi (Sindhupalchok)")</f>
        <v>Dhumthang,Listi (Sindhupalchok)</v>
      </c>
    </row>
    <row r="1861">
      <c r="A1861" s="2">
        <f>IFERROR(__xludf.DUMMYFUNCTION("""COMPUTED_VALUE"""),1860.0)</f>
        <v>1860</v>
      </c>
      <c r="B1861" s="2" t="str">
        <f>IFERROR(__xludf.DUMMYFUNCTION("""COMPUTED_VALUE"""),"Mid Jogmai")</f>
        <v>Mid Jogmai</v>
      </c>
      <c r="C1861" s="2">
        <f>IFERROR(__xludf.DUMMYFUNCTION("""COMPUTED_VALUE"""),0.9)</f>
        <v>0.9</v>
      </c>
      <c r="D1861" s="2" t="str">
        <f>IFERROR(__xludf.DUMMYFUNCTION("""COMPUTED_VALUE"""),"Jogmai Khola")</f>
        <v>Jogmai Khola</v>
      </c>
      <c r="E1861" s="2">
        <f>IFERROR(__xludf.DUMMYFUNCTION("""COMPUTED_VALUE"""),920.0)</f>
        <v>920</v>
      </c>
      <c r="F1861" s="3">
        <f>IFERROR(__xludf.DUMMYFUNCTION("""COMPUTED_VALUE"""),62238.0)</f>
        <v>62238</v>
      </c>
      <c r="G1861" s="2" t="str">
        <f>IFERROR(__xludf.DUMMYFUNCTION("""COMPUTED_VALUE"""),"Crown Hydropower Pvt. Ltd.")</f>
        <v>Crown Hydropower Pvt. Ltd.</v>
      </c>
      <c r="H1861" s="2" t="str">
        <f>IFERROR(__xludf.DUMMYFUNCTION("""COMPUTED_VALUE"""),"Sankhamul Kathmandu, Phone 01-4782254, 6849510680")</f>
        <v>Sankhamul Kathmandu, Phone 01-4782254, 6849510680</v>
      </c>
      <c r="I1861" s="2" t="str">
        <f>IFERROR(__xludf.DUMMYFUNCTION("""COMPUTED_VALUE"""),"26o 54' 02""")</f>
        <v>26o 54' 02"</v>
      </c>
      <c r="J1861" s="2" t="str">
        <f>IFERROR(__xludf.DUMMYFUNCTION("""COMPUTED_VALUE"""),"26o 54' 38""")</f>
        <v>26o 54' 38"</v>
      </c>
      <c r="K1861" s="2" t="str">
        <f>IFERROR(__xludf.DUMMYFUNCTION("""COMPUTED_VALUE"""),"88o 00' 13""")</f>
        <v>88o 00' 13"</v>
      </c>
      <c r="L1861" s="2" t="str">
        <f>IFERROR(__xludf.DUMMYFUNCTION("""COMPUTED_VALUE"""),"88o 01' 00""")</f>
        <v>88o 01' 00"</v>
      </c>
      <c r="M1861" s="2" t="str">
        <f>IFERROR(__xludf.DUMMYFUNCTION("""COMPUTED_VALUE"""),"Panchakanya (Ilam)")</f>
        <v>Panchakanya (Ilam)</v>
      </c>
    </row>
    <row r="1862">
      <c r="A1862" s="2">
        <f>IFERROR(__xludf.DUMMYFUNCTION("""COMPUTED_VALUE"""),1861.0)</f>
        <v>1861</v>
      </c>
      <c r="B1862" s="2" t="str">
        <f>IFERROR(__xludf.DUMMYFUNCTION("""COMPUTED_VALUE"""),"Dudhkhola-1 Hydropower Project")</f>
        <v>Dudhkhola-1 Hydropower Project</v>
      </c>
      <c r="C1862" s="2">
        <f>IFERROR(__xludf.DUMMYFUNCTION("""COMPUTED_VALUE"""),35.0)</f>
        <v>35</v>
      </c>
      <c r="D1862" s="2" t="str">
        <f>IFERROR(__xludf.DUMMYFUNCTION("""COMPUTED_VALUE"""),"Dudh Khola")</f>
        <v>Dudh Khola</v>
      </c>
      <c r="E1862" s="2">
        <f>IFERROR(__xludf.DUMMYFUNCTION("""COMPUTED_VALUE"""),980.0)</f>
        <v>980</v>
      </c>
      <c r="F1862" s="3">
        <f>IFERROR(__xludf.DUMMYFUNCTION("""COMPUTED_VALUE"""),62241.0)</f>
        <v>62241</v>
      </c>
      <c r="G1862" s="2" t="str">
        <f>IFERROR(__xludf.DUMMYFUNCTION("""COMPUTED_VALUE"""),"Matribhumi Hydropower Development Company Pvt. Ltd.")</f>
        <v>Matribhumi Hydropower Development Company Pvt. Ltd.</v>
      </c>
      <c r="H1862" s="2" t="str">
        <f>IFERROR(__xludf.DUMMYFUNCTION("""COMPUTED_VALUE"""),"Lalitpur Sub-metropolitan City, Ward No. 15, Janani Marg, Lalitpur, Phone: 
015543896")</f>
        <v>Lalitpur Sub-metropolitan City, Ward No. 15, Janani Marg, Lalitpur, Phone: 
015543896</v>
      </c>
      <c r="I1862" s="2" t="str">
        <f>IFERROR(__xludf.DUMMYFUNCTION("""COMPUTED_VALUE"""),"28o 32' 10""")</f>
        <v>28o 32' 10"</v>
      </c>
      <c r="J1862" s="2" t="str">
        <f>IFERROR(__xludf.DUMMYFUNCTION("""COMPUTED_VALUE"""),"28o 34' 30""")</f>
        <v>28o 34' 30"</v>
      </c>
      <c r="K1862" s="2" t="str">
        <f>IFERROR(__xludf.DUMMYFUNCTION("""COMPUTED_VALUE"""),"84o 22' 30""")</f>
        <v>84o 22' 30"</v>
      </c>
      <c r="L1862" s="2" t="str">
        <f>IFERROR(__xludf.DUMMYFUNCTION("""COMPUTED_VALUE"""),"84o 25' 00""")</f>
        <v>84o 25' 00"</v>
      </c>
      <c r="M1862" s="2" t="str">
        <f>IFERROR(__xludf.DUMMYFUNCTION("""COMPUTED_VALUE"""),"Thoche (Manang)")</f>
        <v>Thoche (Manang)</v>
      </c>
    </row>
    <row r="1863">
      <c r="A1863" s="2">
        <f>IFERROR(__xludf.DUMMYFUNCTION("""COMPUTED_VALUE"""),1862.0)</f>
        <v>1862</v>
      </c>
      <c r="B1863" s="2" t="str">
        <f>IFERROR(__xludf.DUMMYFUNCTION("""COMPUTED_VALUE"""),"Chilime Bhotekosi Hydroelectric Project")</f>
        <v>Chilime Bhotekosi Hydroelectric Project</v>
      </c>
      <c r="C1863" s="2">
        <f>IFERROR(__xludf.DUMMYFUNCTION("""COMPUTED_VALUE"""),52.5)</f>
        <v>52.5</v>
      </c>
      <c r="D1863" s="2" t="str">
        <f>IFERROR(__xludf.DUMMYFUNCTION("""COMPUTED_VALUE"""),"Bhote Koshi")</f>
        <v>Bhote Koshi</v>
      </c>
      <c r="E1863" s="2">
        <f>IFERROR(__xludf.DUMMYFUNCTION("""COMPUTED_VALUE"""),1088.0)</f>
        <v>1088</v>
      </c>
      <c r="F1863" s="3">
        <f>IFERROR(__xludf.DUMMYFUNCTION("""COMPUTED_VALUE"""),62251.0)</f>
        <v>62251</v>
      </c>
      <c r="G1863" s="2" t="str">
        <f>IFERROR(__xludf.DUMMYFUNCTION("""COMPUTED_VALUE"""),"Chilime Hudropower Company Ltd")</f>
        <v>Chilime Hudropower Company Ltd</v>
      </c>
      <c r="H1863" s="2" t="str">
        <f>IFERROR(__xludf.DUMMYFUNCTION("""COMPUTED_VALUE"""),"Dhumbarahi, Kathmandu 4370773")</f>
        <v>Dhumbarahi, Kathmandu 4370773</v>
      </c>
      <c r="I1863" s="2" t="str">
        <f>IFERROR(__xludf.DUMMYFUNCTION("""COMPUTED_VALUE"""),"28o 09' 20""")</f>
        <v>28o 09' 20"</v>
      </c>
      <c r="J1863" s="2" t="str">
        <f>IFERROR(__xludf.DUMMYFUNCTION("""COMPUTED_VALUE"""),"28o 11' 00""")</f>
        <v>28o 11' 00"</v>
      </c>
      <c r="K1863" s="2" t="str">
        <f>IFERROR(__xludf.DUMMYFUNCTION("""COMPUTED_VALUE"""),"85o 19' 20""")</f>
        <v>85o 19' 20"</v>
      </c>
      <c r="L1863" s="2" t="str">
        <f>IFERROR(__xludf.DUMMYFUNCTION("""COMPUTED_VALUE"""),"85o 20' 45""")</f>
        <v>85o 20' 45"</v>
      </c>
      <c r="M1863" s="2" t="str">
        <f>IFERROR(__xludf.DUMMYFUNCTION("""COMPUTED_VALUE"""),"Briddhim,Syafru,Goljung (Rasuwa)")</f>
        <v>Briddhim,Syafru,Goljung (Rasuwa)</v>
      </c>
    </row>
    <row r="1864">
      <c r="A1864" s="2">
        <f>IFERROR(__xludf.DUMMYFUNCTION("""COMPUTED_VALUE"""),1863.0)</f>
        <v>1863</v>
      </c>
      <c r="B1864" s="2" t="str">
        <f>IFERROR(__xludf.DUMMYFUNCTION("""COMPUTED_VALUE"""),"Kolun Khola Hydropower Project")</f>
        <v>Kolun Khola Hydropower Project</v>
      </c>
      <c r="C1864" s="2">
        <f>IFERROR(__xludf.DUMMYFUNCTION("""COMPUTED_VALUE"""),0.999)</f>
        <v>0.999</v>
      </c>
      <c r="D1864" s="2" t="str">
        <f>IFERROR(__xludf.DUMMYFUNCTION("""COMPUTED_VALUE"""),"Kolun")</f>
        <v>Kolun</v>
      </c>
      <c r="E1864" s="2">
        <f>IFERROR(__xludf.DUMMYFUNCTION("""COMPUTED_VALUE"""),1395.0)</f>
        <v>1395</v>
      </c>
      <c r="F1864" s="3">
        <f>IFERROR(__xludf.DUMMYFUNCTION("""COMPUTED_VALUE"""),62282.0)</f>
        <v>62282</v>
      </c>
      <c r="G1864" s="2" t="str">
        <f>IFERROR(__xludf.DUMMYFUNCTION("""COMPUTED_VALUE"""),"Himal Gurung, Chatak Gurung, Janga Bahadur Gurung")</f>
        <v>Himal Gurung, Chatak Gurung, Janga Bahadur Gurung</v>
      </c>
      <c r="H1864" s="2" t="str">
        <f>IFERROR(__xludf.DUMMYFUNCTION("""COMPUTED_VALUE"""),"P.O.Box No. 8941, Kathmandu")</f>
        <v>P.O.Box No. 8941, Kathmandu</v>
      </c>
      <c r="I1864" s="2" t="str">
        <f>IFERROR(__xludf.DUMMYFUNCTION("""COMPUTED_VALUE"""),"27o 43' 00""")</f>
        <v>27o 43' 00"</v>
      </c>
      <c r="J1864" s="2" t="str">
        <f>IFERROR(__xludf.DUMMYFUNCTION("""COMPUTED_VALUE"""),"27o 44' 40""")</f>
        <v>27o 44' 40"</v>
      </c>
      <c r="K1864" s="2" t="str">
        <f>IFERROR(__xludf.DUMMYFUNCTION("""COMPUTED_VALUE"""),"86o 14' 10""")</f>
        <v>86o 14' 10"</v>
      </c>
      <c r="L1864" s="2" t="str">
        <f>IFERROR(__xludf.DUMMYFUNCTION("""COMPUTED_VALUE"""),"86o 15' 30""")</f>
        <v>86o 15' 30"</v>
      </c>
      <c r="M1864" s="2"/>
    </row>
    <row r="1865">
      <c r="A1865" s="2">
        <f>IFERROR(__xludf.DUMMYFUNCTION("""COMPUTED_VALUE"""),1864.0)</f>
        <v>1864</v>
      </c>
      <c r="B1865" s="2" t="str">
        <f>IFERROR(__xludf.DUMMYFUNCTION("""COMPUTED_VALUE"""),"Lohore Khola")</f>
        <v>Lohore Khola</v>
      </c>
      <c r="C1865" s="2">
        <f>IFERROR(__xludf.DUMMYFUNCTION("""COMPUTED_VALUE"""),0.997)</f>
        <v>0.997</v>
      </c>
      <c r="D1865" s="2" t="str">
        <f>IFERROR(__xludf.DUMMYFUNCTION("""COMPUTED_VALUE"""),"Lohore Khola")</f>
        <v>Lohore Khola</v>
      </c>
      <c r="E1865" s="2">
        <f>IFERROR(__xludf.DUMMYFUNCTION("""COMPUTED_VALUE"""),1417.0)</f>
        <v>1417</v>
      </c>
      <c r="F1865" s="3">
        <f>IFERROR(__xludf.DUMMYFUNCTION("""COMPUTED_VALUE"""),62285.0)</f>
        <v>62285</v>
      </c>
      <c r="G1865" s="2" t="str">
        <f>IFERROR(__xludf.DUMMYFUNCTION("""COMPUTED_VALUE"""),"Khem Raj Badu")</f>
        <v>Khem Raj Badu</v>
      </c>
      <c r="H1865" s="2" t="str">
        <f>IFERROR(__xludf.DUMMYFUNCTION("""COMPUTED_VALUE"""),"Marajgunj, Kathmandu, P.O.Box 9961, ph; 9851123365")</f>
        <v>Marajgunj, Kathmandu, P.O.Box 9961, ph; 9851123365</v>
      </c>
      <c r="I1865" s="2" t="str">
        <f>IFERROR(__xludf.DUMMYFUNCTION("""COMPUTED_VALUE"""),"28o 55' 00""")</f>
        <v>28o 55' 00"</v>
      </c>
      <c r="J1865" s="2" t="str">
        <f>IFERROR(__xludf.DUMMYFUNCTION("""COMPUTED_VALUE"""),"28o 57' 30""")</f>
        <v>28o 57' 30"</v>
      </c>
      <c r="K1865" s="2" t="str">
        <f>IFERROR(__xludf.DUMMYFUNCTION("""COMPUTED_VALUE"""),"81o 47' 30""")</f>
        <v>81o 47' 30"</v>
      </c>
      <c r="L1865" s="2" t="str">
        <f>IFERROR(__xludf.DUMMYFUNCTION("""COMPUTED_VALUE"""),"81o 49' 14""")</f>
        <v>81o 49' 14"</v>
      </c>
      <c r="M1865" s="2" t="str">
        <f>IFERROR(__xludf.DUMMYFUNCTION("""COMPUTED_VALUE"""),"Baluwatar (Dailekh)")</f>
        <v>Baluwatar (Dailekh)</v>
      </c>
    </row>
    <row r="1866">
      <c r="A1866" s="2">
        <f>IFERROR(__xludf.DUMMYFUNCTION("""COMPUTED_VALUE"""),1865.0)</f>
        <v>1865</v>
      </c>
      <c r="B1866" s="2" t="str">
        <f>IFERROR(__xludf.DUMMYFUNCTION("""COMPUTED_VALUE"""),"Middle Hugdi Micro Hydropower Project")</f>
        <v>Middle Hugdi Micro Hydropower Project</v>
      </c>
      <c r="C1866" s="2">
        <f>IFERROR(__xludf.DUMMYFUNCTION("""COMPUTED_VALUE"""),0.98)</f>
        <v>0.98</v>
      </c>
      <c r="D1866" s="2" t="str">
        <f>IFERROR(__xludf.DUMMYFUNCTION("""COMPUTED_VALUE"""),"Hugdi")</f>
        <v>Hugdi</v>
      </c>
      <c r="E1866" s="2">
        <f>IFERROR(__xludf.DUMMYFUNCTION("""COMPUTED_VALUE"""),1462.0)</f>
        <v>1462</v>
      </c>
      <c r="F1866" s="3">
        <f>IFERROR(__xludf.DUMMYFUNCTION("""COMPUTED_VALUE"""),62288.0)</f>
        <v>62288</v>
      </c>
      <c r="G1866" s="2" t="str">
        <f>IFERROR(__xludf.DUMMYFUNCTION("""COMPUTED_VALUE"""),"Krishna Bahadur Bhusal, Sita Devi Bhusal, Harihar Gautam")</f>
        <v>Krishna Bahadur Bhusal, Sita Devi Bhusal, Harihar Gautam</v>
      </c>
      <c r="H1866" s="2"/>
      <c r="I1866" s="2" t="str">
        <f>IFERROR(__xludf.DUMMYFUNCTION("""COMPUTED_VALUE"""),"28o 04' 30""")</f>
        <v>28o 04' 30"</v>
      </c>
      <c r="J1866" s="2" t="str">
        <f>IFERROR(__xludf.DUMMYFUNCTION("""COMPUTED_VALUE"""),"28o 05' 00""")</f>
        <v>28o 05' 00"</v>
      </c>
      <c r="K1866" s="2" t="str">
        <f>IFERROR(__xludf.DUMMYFUNCTION("""COMPUTED_VALUE"""),"83o 22' 45""")</f>
        <v>83o 22' 45"</v>
      </c>
      <c r="L1866" s="2" t="str">
        <f>IFERROR(__xludf.DUMMYFUNCTION("""COMPUTED_VALUE"""),"83o 23' 17""")</f>
        <v>83o 23' 17"</v>
      </c>
      <c r="M1866" s="2" t="str">
        <f>IFERROR(__xludf.DUMMYFUNCTION("""COMPUTED_VALUE"""),"Turang (Gulmi)")</f>
        <v>Turang (Gulmi)</v>
      </c>
    </row>
    <row r="1867">
      <c r="A1867" s="2">
        <f>IFERROR(__xludf.DUMMYFUNCTION("""COMPUTED_VALUE"""),1866.0)</f>
        <v>1866</v>
      </c>
      <c r="B1867" s="2" t="str">
        <f>IFERROR(__xludf.DUMMYFUNCTION("""COMPUTED_VALUE"""),"Seti-3 SHP")</f>
        <v>Seti-3 SHP</v>
      </c>
      <c r="C1867" s="2">
        <f>IFERROR(__xludf.DUMMYFUNCTION("""COMPUTED_VALUE"""),3.6)</f>
        <v>3.6</v>
      </c>
      <c r="D1867" s="2" t="str">
        <f>IFERROR(__xludf.DUMMYFUNCTION("""COMPUTED_VALUE"""),"Seti Khola")</f>
        <v>Seti Khola</v>
      </c>
      <c r="E1867" s="2">
        <f>IFERROR(__xludf.DUMMYFUNCTION("""COMPUTED_VALUE"""),326.0)</f>
        <v>326</v>
      </c>
      <c r="F1867" s="3">
        <f>IFERROR(__xludf.DUMMYFUNCTION("""COMPUTED_VALUE"""),62302.0)</f>
        <v>62302</v>
      </c>
      <c r="G1867" s="2" t="str">
        <f>IFERROR(__xludf.DUMMYFUNCTION("""COMPUTED_VALUE"""),"A-one Trading Company Pvt. Ltd.")</f>
        <v>A-one Trading Company Pvt. Ltd.</v>
      </c>
      <c r="H1867" s="2" t="str">
        <f>IFERROR(__xludf.DUMMYFUNCTION("""COMPUTED_VALUE"""),"Rambazaar, Pokhara-15, Kaski")</f>
        <v>Rambazaar, Pokhara-15, Kaski</v>
      </c>
      <c r="I1867" s="2" t="str">
        <f>IFERROR(__xludf.DUMMYFUNCTION("""COMPUTED_VALUE"""),"28o 12' 35""")</f>
        <v>28o 12' 35"</v>
      </c>
      <c r="J1867" s="2" t="str">
        <f>IFERROR(__xludf.DUMMYFUNCTION("""COMPUTED_VALUE"""),"28o 13' 41""")</f>
        <v>28o 13' 41"</v>
      </c>
      <c r="K1867" s="2" t="str">
        <f>IFERROR(__xludf.DUMMYFUNCTION("""COMPUTED_VALUE"""),"83o 59' 34""")</f>
        <v>83o 59' 34"</v>
      </c>
      <c r="L1867" s="2" t="str">
        <f>IFERROR(__xludf.DUMMYFUNCTION("""COMPUTED_VALUE"""),"84o 01' 25""")</f>
        <v>84o 01' 25"</v>
      </c>
      <c r="M1867" s="2" t="str">
        <f>IFERROR(__xludf.DUMMYFUNCTION("""COMPUTED_VALUE"""),"Pokhara N.P. (Kaski)")</f>
        <v>Pokhara N.P. (Kaski)</v>
      </c>
    </row>
    <row r="1868">
      <c r="A1868" s="2">
        <f>IFERROR(__xludf.DUMMYFUNCTION("""COMPUTED_VALUE"""),1867.0)</f>
        <v>1867</v>
      </c>
      <c r="B1868" s="2" t="str">
        <f>IFERROR(__xludf.DUMMYFUNCTION("""COMPUTED_VALUE"""),"Dudhkoshi -4")</f>
        <v>Dudhkoshi -4</v>
      </c>
      <c r="C1868" s="2">
        <f>IFERROR(__xludf.DUMMYFUNCTION("""COMPUTED_VALUE"""),230.0)</f>
        <v>230</v>
      </c>
      <c r="D1868" s="2" t="str">
        <f>IFERROR(__xludf.DUMMYFUNCTION("""COMPUTED_VALUE"""),"Dudh Koshi")</f>
        <v>Dudh Koshi</v>
      </c>
      <c r="E1868" s="2">
        <f>IFERROR(__xludf.DUMMYFUNCTION("""COMPUTED_VALUE"""),1593.0)</f>
        <v>1593</v>
      </c>
      <c r="F1868" s="3">
        <f>IFERROR(__xludf.DUMMYFUNCTION("""COMPUTED_VALUE"""),62311.0)</f>
        <v>62311</v>
      </c>
      <c r="G1868" s="2" t="str">
        <f>IFERROR(__xludf.DUMMYFUNCTION("""COMPUTED_VALUE"""),"Daelim Industrial. Co. Ltd")</f>
        <v>Daelim Industrial. Co. Ltd</v>
      </c>
      <c r="H1868" s="2" t="str">
        <f>IFERROR(__xludf.DUMMYFUNCTION("""COMPUTED_VALUE"""),"36, jong-ro 1-gil, Jong-no-Gu, Seoul, Korea, Ph. 82-2-2011-8541, Fax 
82-2-2011-8042")</f>
        <v>36, jong-ro 1-gil, Jong-no-Gu, Seoul, Korea, Ph. 82-2-2011-8541, Fax 
82-2-2011-8042</v>
      </c>
      <c r="I1868" s="2" t="str">
        <f>IFERROR(__xludf.DUMMYFUNCTION("""COMPUTED_VALUE"""),"27o 26' 35""")</f>
        <v>27o 26' 35"</v>
      </c>
      <c r="J1868" s="2" t="str">
        <f>IFERROR(__xludf.DUMMYFUNCTION("""COMPUTED_VALUE"""),"27o 33' 25""")</f>
        <v>27o 33' 25"</v>
      </c>
      <c r="K1868" s="2" t="str">
        <f>IFERROR(__xludf.DUMMYFUNCTION("""COMPUTED_VALUE"""),"86o 40' 00""")</f>
        <v>86o 40' 00"</v>
      </c>
      <c r="L1868" s="2" t="str">
        <f>IFERROR(__xludf.DUMMYFUNCTION("""COMPUTED_VALUE"""),"86o 43' 30""")</f>
        <v>86o 43' 30"</v>
      </c>
      <c r="M1868" s="2" t="str">
        <f>IFERROR(__xludf.DUMMYFUNCTION("""COMPUTED_VALUE"""),"Deusa,Jubing,Jubu,Takasindu (Solukhumbu)")</f>
        <v>Deusa,Jubing,Jubu,Takasindu (Solukhumbu)</v>
      </c>
    </row>
    <row r="1869">
      <c r="A1869" s="2">
        <f>IFERROR(__xludf.DUMMYFUNCTION("""COMPUTED_VALUE"""),1868.0)</f>
        <v>1868</v>
      </c>
      <c r="B1869" s="2" t="str">
        <f>IFERROR(__xludf.DUMMYFUNCTION("""COMPUTED_VALUE"""),"Dudhkoshi - 5")</f>
        <v>Dudhkoshi - 5</v>
      </c>
      <c r="C1869" s="2">
        <f>IFERROR(__xludf.DUMMYFUNCTION("""COMPUTED_VALUE"""),78.0)</f>
        <v>78</v>
      </c>
      <c r="D1869" s="2" t="str">
        <f>IFERROR(__xludf.DUMMYFUNCTION("""COMPUTED_VALUE"""),"Dudh Koshi")</f>
        <v>Dudh Koshi</v>
      </c>
      <c r="E1869" s="2">
        <f>IFERROR(__xludf.DUMMYFUNCTION("""COMPUTED_VALUE"""),1811.0)</f>
        <v>1811</v>
      </c>
      <c r="F1869" s="3">
        <f>IFERROR(__xludf.DUMMYFUNCTION("""COMPUTED_VALUE"""),62329.0)</f>
        <v>62329</v>
      </c>
      <c r="G1869" s="2" t="str">
        <f>IFERROR(__xludf.DUMMYFUNCTION("""COMPUTED_VALUE"""),"Yeti Trade and Developers Pvt. Ltd.")</f>
        <v>Yeti Trade and Developers Pvt. Ltd.</v>
      </c>
      <c r="H1869" s="2" t="str">
        <f>IFERROR(__xludf.DUMMYFUNCTION("""COMPUTED_VALUE"""),"Gongabu 35, Kathmandu")</f>
        <v>Gongabu 35, Kathmandu</v>
      </c>
      <c r="I1869" s="2" t="str">
        <f>IFERROR(__xludf.DUMMYFUNCTION("""COMPUTED_VALUE"""),"27o 30' 20""")</f>
        <v>27o 30' 20"</v>
      </c>
      <c r="J1869" s="2" t="str">
        <f>IFERROR(__xludf.DUMMYFUNCTION("""COMPUTED_VALUE"""),"27o 34' 00""")</f>
        <v>27o 34' 00"</v>
      </c>
      <c r="K1869" s="2" t="str">
        <f>IFERROR(__xludf.DUMMYFUNCTION("""COMPUTED_VALUE"""),"86o 40' 00""")</f>
        <v>86o 40' 00"</v>
      </c>
      <c r="L1869" s="2" t="str">
        <f>IFERROR(__xludf.DUMMYFUNCTION("""COMPUTED_VALUE"""),"86o 43' 37""")</f>
        <v>86o 43' 37"</v>
      </c>
      <c r="M1869" s="2" t="str">
        <f>IFERROR(__xludf.DUMMYFUNCTION("""COMPUTED_VALUE"""),"Baku,Basa,Jubing,Takasindu (Solukhumbu)")</f>
        <v>Baku,Basa,Jubing,Takasindu (Solukhumbu)</v>
      </c>
    </row>
    <row r="1870">
      <c r="A1870" s="2">
        <f>IFERROR(__xludf.DUMMYFUNCTION("""COMPUTED_VALUE"""),1869.0)</f>
        <v>1869</v>
      </c>
      <c r="B1870" s="2" t="str">
        <f>IFERROR(__xludf.DUMMYFUNCTION("""COMPUTED_VALUE"""),"Dudhkoshi - 6")</f>
        <v>Dudhkoshi - 6</v>
      </c>
      <c r="C1870" s="2">
        <f>IFERROR(__xludf.DUMMYFUNCTION("""COMPUTED_VALUE"""),75.0)</f>
        <v>75</v>
      </c>
      <c r="D1870" s="2" t="str">
        <f>IFERROR(__xludf.DUMMYFUNCTION("""COMPUTED_VALUE"""),"Dudh Koshi")</f>
        <v>Dudh Koshi</v>
      </c>
      <c r="E1870" s="2">
        <f>IFERROR(__xludf.DUMMYFUNCTION("""COMPUTED_VALUE"""),1812.0)</f>
        <v>1812</v>
      </c>
      <c r="F1870" s="3">
        <f>IFERROR(__xludf.DUMMYFUNCTION("""COMPUTED_VALUE"""),62329.0)</f>
        <v>62329</v>
      </c>
      <c r="G1870" s="2" t="str">
        <f>IFERROR(__xludf.DUMMYFUNCTION("""COMPUTED_VALUE"""),"Yeti Trade and Developers Pvt. Ltd.")</f>
        <v>Yeti Trade and Developers Pvt. Ltd.</v>
      </c>
      <c r="H1870" s="2" t="str">
        <f>IFERROR(__xludf.DUMMYFUNCTION("""COMPUTED_VALUE"""),"Gongabu 29, Kathmandu")</f>
        <v>Gongabu 29, Kathmandu</v>
      </c>
      <c r="I1870" s="2" t="str">
        <f>IFERROR(__xludf.DUMMYFUNCTION("""COMPUTED_VALUE"""),"27o 34' 00""")</f>
        <v>27o 34' 00"</v>
      </c>
      <c r="J1870" s="2" t="str">
        <f>IFERROR(__xludf.DUMMYFUNCTION("""COMPUTED_VALUE"""),"27o 37' 07""")</f>
        <v>27o 37' 07"</v>
      </c>
      <c r="K1870" s="2" t="str">
        <f>IFERROR(__xludf.DUMMYFUNCTION("""COMPUTED_VALUE"""),"86o 40' 00""")</f>
        <v>86o 40' 00"</v>
      </c>
      <c r="L1870" s="2" t="str">
        <f>IFERROR(__xludf.DUMMYFUNCTION("""COMPUTED_VALUE"""),"86o 43' 37""")</f>
        <v>86o 43' 37"</v>
      </c>
      <c r="M1870" s="2" t="str">
        <f>IFERROR(__xludf.DUMMYFUNCTION("""COMPUTED_VALUE"""),"Jubing,Takasindu (Solukhumbu)")</f>
        <v>Jubing,Takasindu (Solukhumbu)</v>
      </c>
    </row>
    <row r="1871">
      <c r="A1871" s="2">
        <f>IFERROR(__xludf.DUMMYFUNCTION("""COMPUTED_VALUE"""),1870.0)</f>
        <v>1870</v>
      </c>
      <c r="B1871" s="2" t="str">
        <f>IFERROR(__xludf.DUMMYFUNCTION("""COMPUTED_VALUE"""),"Upper Pheme")</f>
        <v>Upper Pheme</v>
      </c>
      <c r="C1871" s="2">
        <f>IFERROR(__xludf.DUMMYFUNCTION("""COMPUTED_VALUE"""),0.25)</f>
        <v>0.25</v>
      </c>
      <c r="D1871" s="2" t="str">
        <f>IFERROR(__xludf.DUMMYFUNCTION("""COMPUTED_VALUE"""),"Pheme")</f>
        <v>Pheme</v>
      </c>
      <c r="E1871" s="2">
        <f>IFERROR(__xludf.DUMMYFUNCTION("""COMPUTED_VALUE"""),1550.0)</f>
        <v>1550</v>
      </c>
      <c r="F1871" s="3">
        <f>IFERROR(__xludf.DUMMYFUNCTION("""COMPUTED_VALUE"""),62340.0)</f>
        <v>62340</v>
      </c>
      <c r="G1871" s="2" t="str">
        <f>IFERROR(__xludf.DUMMYFUNCTION("""COMPUTED_VALUE"""),"Upper Pheme Khola Mini Hydro karya Samiti")</f>
        <v>Upper Pheme Khola Mini Hydro karya Samiti</v>
      </c>
      <c r="H1871" s="2" t="str">
        <f>IFERROR(__xludf.DUMMYFUNCTION("""COMPUTED_VALUE"""),"Lunruppa 3, Pachthar")</f>
        <v>Lunruppa 3, Pachthar</v>
      </c>
      <c r="I1871" s="2" t="str">
        <f>IFERROR(__xludf.DUMMYFUNCTION("""COMPUTED_VALUE"""),"27o 06' 18""")</f>
        <v>27o 06' 18"</v>
      </c>
      <c r="J1871" s="2" t="str">
        <f>IFERROR(__xludf.DUMMYFUNCTION("""COMPUTED_VALUE"""),"27o 07' 01""")</f>
        <v>27o 07' 01"</v>
      </c>
      <c r="K1871" s="2" t="str">
        <f>IFERROR(__xludf.DUMMYFUNCTION("""COMPUTED_VALUE"""),"87o 52' 30""")</f>
        <v>87o 52' 30"</v>
      </c>
      <c r="L1871" s="2" t="str">
        <f>IFERROR(__xludf.DUMMYFUNCTION("""COMPUTED_VALUE"""),"87o 53' 49""")</f>
        <v>87o 53' 49"</v>
      </c>
      <c r="M1871" s="2" t="str">
        <f>IFERROR(__xludf.DUMMYFUNCTION("""COMPUTED_VALUE"""),"Lungrupa (Panchthar)")</f>
        <v>Lungrupa (Panchthar)</v>
      </c>
    </row>
    <row r="1872">
      <c r="A1872" s="2">
        <f>IFERROR(__xludf.DUMMYFUNCTION("""COMPUTED_VALUE"""),1871.0)</f>
        <v>1871</v>
      </c>
      <c r="B1872" s="2" t="str">
        <f>IFERROR(__xludf.DUMMYFUNCTION("""COMPUTED_VALUE"""),"Upper Hadi Khola 4")</f>
        <v>Upper Hadi Khola 4</v>
      </c>
      <c r="C1872" s="2">
        <f>IFERROR(__xludf.DUMMYFUNCTION("""COMPUTED_VALUE"""),0.994)</f>
        <v>0.994</v>
      </c>
      <c r="D1872" s="2" t="str">
        <f>IFERROR(__xludf.DUMMYFUNCTION("""COMPUTED_VALUE"""),"Hadi")</f>
        <v>Hadi</v>
      </c>
      <c r="E1872" s="2">
        <f>IFERROR(__xludf.DUMMYFUNCTION("""COMPUTED_VALUE"""),1956.0)</f>
        <v>1956</v>
      </c>
      <c r="F1872" s="3">
        <f>IFERROR(__xludf.DUMMYFUNCTION("""COMPUTED_VALUE"""),62341.0)</f>
        <v>62341</v>
      </c>
      <c r="G1872" s="2" t="str">
        <f>IFERROR(__xludf.DUMMYFUNCTION("""COMPUTED_VALUE"""),"Devindra Bahadur Khatri")</f>
        <v>Devindra Bahadur Khatri</v>
      </c>
      <c r="H1872" s="2" t="str">
        <f>IFERROR(__xludf.DUMMYFUNCTION("""COMPUTED_VALUE"""),"Thangpaldhap 7, Sindhupalchok")</f>
        <v>Thangpaldhap 7, Sindhupalchok</v>
      </c>
      <c r="I1872" s="2" t="str">
        <f>IFERROR(__xludf.DUMMYFUNCTION("""COMPUTED_VALUE"""),"27o 54' 12""")</f>
        <v>27o 54' 12"</v>
      </c>
      <c r="J1872" s="2" t="str">
        <f>IFERROR(__xludf.DUMMYFUNCTION("""COMPUTED_VALUE"""),"27o 54' 48""")</f>
        <v>27o 54' 48"</v>
      </c>
      <c r="K1872" s="2" t="str">
        <f>IFERROR(__xludf.DUMMYFUNCTION("""COMPUTED_VALUE"""),"85o 37' 27""")</f>
        <v>85o 37' 27"</v>
      </c>
      <c r="L1872" s="2" t="str">
        <f>IFERROR(__xludf.DUMMYFUNCTION("""COMPUTED_VALUE"""),"85o 38' 29""")</f>
        <v>85o 38' 29"</v>
      </c>
      <c r="M1872" s="2" t="str">
        <f>IFERROR(__xludf.DUMMYFUNCTION("""COMPUTED_VALUE"""),"Thampal Dhap (Sindhupalchok)")</f>
        <v>Thampal Dhap (Sindhupalchok)</v>
      </c>
    </row>
    <row r="1873">
      <c r="A1873" s="2">
        <f>IFERROR(__xludf.DUMMYFUNCTION("""COMPUTED_VALUE"""),1872.0)</f>
        <v>1872</v>
      </c>
      <c r="B1873" s="2" t="str">
        <f>IFERROR(__xludf.DUMMYFUNCTION("""COMPUTED_VALUE"""),"Sagu Khola Small Hydropower Project")</f>
        <v>Sagu Khola Small Hydropower Project</v>
      </c>
      <c r="C1873" s="2">
        <f>IFERROR(__xludf.DUMMYFUNCTION("""COMPUTED_VALUE"""),0.25)</f>
        <v>0.25</v>
      </c>
      <c r="D1873" s="2" t="str">
        <f>IFERROR(__xludf.DUMMYFUNCTION("""COMPUTED_VALUE"""),"Sagu")</f>
        <v>Sagu</v>
      </c>
      <c r="E1873" s="2">
        <f>IFERROR(__xludf.DUMMYFUNCTION("""COMPUTED_VALUE"""),2001.0)</f>
        <v>2001</v>
      </c>
      <c r="F1873" s="3">
        <f>IFERROR(__xludf.DUMMYFUNCTION("""COMPUTED_VALUE"""),62345.0)</f>
        <v>62345</v>
      </c>
      <c r="G1873" s="2" t="str">
        <f>IFERROR(__xludf.DUMMYFUNCTION("""COMPUTED_VALUE"""),"Niko Energy Pvt. Ltd")</f>
        <v>Niko Energy Pvt. Ltd</v>
      </c>
      <c r="H1873" s="2" t="str">
        <f>IFERROR(__xludf.DUMMYFUNCTION("""COMPUTED_VALUE"""),"Charikot Bhimeshwor Nagarpalika ward no.1, Dolakha")</f>
        <v>Charikot Bhimeshwor Nagarpalika ward no.1, Dolakha</v>
      </c>
      <c r="I1873" s="2" t="str">
        <f>IFERROR(__xludf.DUMMYFUNCTION("""COMPUTED_VALUE"""),"27o 46' 53""")</f>
        <v>27o 46' 53"</v>
      </c>
      <c r="J1873" s="2" t="str">
        <f>IFERROR(__xludf.DUMMYFUNCTION("""COMPUTED_VALUE"""),"27o 47' 58""")</f>
        <v>27o 47' 58"</v>
      </c>
      <c r="K1873" s="2" t="str">
        <f>IFERROR(__xludf.DUMMYFUNCTION("""COMPUTED_VALUE"""),"86o 06' 25""")</f>
        <v>86o 06' 25"</v>
      </c>
      <c r="L1873" s="2" t="str">
        <f>IFERROR(__xludf.DUMMYFUNCTION("""COMPUTED_VALUE"""),"86o 07' 38""")</f>
        <v>86o 07' 38"</v>
      </c>
      <c r="M1873" s="2" t="str">
        <f>IFERROR(__xludf.DUMMYFUNCTION("""COMPUTED_VALUE"""),"Babare,Khupachagu (Dolakha)")</f>
        <v>Babare,Khupachagu (Dolakha)</v>
      </c>
    </row>
    <row r="1874">
      <c r="A1874" s="2">
        <f>IFERROR(__xludf.DUMMYFUNCTION("""COMPUTED_VALUE"""),1873.0)</f>
        <v>1873</v>
      </c>
      <c r="B1874" s="2" t="str">
        <f>IFERROR(__xludf.DUMMYFUNCTION("""COMPUTED_VALUE"""),"Tadi Khola Mini HPP")</f>
        <v>Tadi Khola Mini HPP</v>
      </c>
      <c r="C1874" s="2">
        <f>IFERROR(__xludf.DUMMYFUNCTION("""COMPUTED_VALUE"""),0.518)</f>
        <v>0.518</v>
      </c>
      <c r="D1874" s="2" t="str">
        <f>IFERROR(__xludf.DUMMYFUNCTION("""COMPUTED_VALUE"""),"Tadi Khola")</f>
        <v>Tadi Khola</v>
      </c>
      <c r="E1874" s="2">
        <f>IFERROR(__xludf.DUMMYFUNCTION("""COMPUTED_VALUE"""),2560.0)</f>
        <v>2560</v>
      </c>
      <c r="F1874" s="3">
        <f>IFERROR(__xludf.DUMMYFUNCTION("""COMPUTED_VALUE"""),62364.0)</f>
        <v>62364</v>
      </c>
      <c r="G1874" s="2" t="str">
        <f>IFERROR(__xludf.DUMMYFUNCTION("""COMPUTED_VALUE"""),"Ghyangphedi Samudayik Jalavidyud Pvt.Ltd.")</f>
        <v>Ghyangphedi Samudayik Jalavidyud Pvt.Ltd.</v>
      </c>
      <c r="H1874" s="2" t="str">
        <f>IFERROR(__xludf.DUMMYFUNCTION("""COMPUTED_VALUE"""),"Ghyangphedi,Nuwakot ,Ghyangphedihydro@yahoo.com")</f>
        <v>Ghyangphedi,Nuwakot ,Ghyangphedihydro@yahoo.com</v>
      </c>
      <c r="I1874" s="2" t="str">
        <f>IFERROR(__xludf.DUMMYFUNCTION("""COMPUTED_VALUE"""),"27o 58' 24""")</f>
        <v>27o 58' 24"</v>
      </c>
      <c r="J1874" s="2" t="str">
        <f>IFERROR(__xludf.DUMMYFUNCTION("""COMPUTED_VALUE"""),"27o 59' 31""")</f>
        <v>27o 59' 31"</v>
      </c>
      <c r="K1874" s="2" t="str">
        <f>IFERROR(__xludf.DUMMYFUNCTION("""COMPUTED_VALUE"""),"85o 26' 17""")</f>
        <v>85o 26' 17"</v>
      </c>
      <c r="L1874" s="2" t="str">
        <f>IFERROR(__xludf.DUMMYFUNCTION("""COMPUTED_VALUE"""),"85o 26' 52""")</f>
        <v>85o 26' 52"</v>
      </c>
      <c r="M1874" s="2" t="str">
        <f>IFERROR(__xludf.DUMMYFUNCTION("""COMPUTED_VALUE"""),"Dhyangphedi (Nuwakot)")</f>
        <v>Dhyangphedi (Nuwakot)</v>
      </c>
    </row>
    <row r="1875">
      <c r="A1875" s="2">
        <f>IFERROR(__xludf.DUMMYFUNCTION("""COMPUTED_VALUE"""),1874.0)</f>
        <v>1874</v>
      </c>
      <c r="B1875" s="2" t="str">
        <f>IFERROR(__xludf.DUMMYFUNCTION("""COMPUTED_VALUE"""),"Richet Khola Small Hydropower Project")</f>
        <v>Richet Khola Small Hydropower Project</v>
      </c>
      <c r="C1875" s="2">
        <f>IFERROR(__xludf.DUMMYFUNCTION("""COMPUTED_VALUE"""),0.565)</f>
        <v>0.565</v>
      </c>
      <c r="D1875" s="2" t="str">
        <f>IFERROR(__xludf.DUMMYFUNCTION("""COMPUTED_VALUE"""),"Richet")</f>
        <v>Richet</v>
      </c>
      <c r="E1875" s="2">
        <f>IFERROR(__xludf.DUMMYFUNCTION("""COMPUTED_VALUE"""),2314.0)</f>
        <v>2314</v>
      </c>
      <c r="F1875" s="3">
        <f>IFERROR(__xludf.DUMMYFUNCTION("""COMPUTED_VALUE"""),62369.0)</f>
        <v>62369</v>
      </c>
      <c r="G1875" s="2" t="str">
        <f>IFERROR(__xludf.DUMMYFUNCTION("""COMPUTED_VALUE"""),"Middle Super Daraudi Hydropower Company Pvt. Ltd.")</f>
        <v>Middle Super Daraudi Hydropower Company Pvt. Ltd.</v>
      </c>
      <c r="H1875" s="2" t="str">
        <f>IFERROR(__xludf.DUMMYFUNCTION("""COMPUTED_VALUE"""),"Putalisadak, Kathmandu. Mobile: 9843421881")</f>
        <v>Putalisadak, Kathmandu. Mobile: 9843421881</v>
      </c>
      <c r="I1875" s="2" t="str">
        <f>IFERROR(__xludf.DUMMYFUNCTION("""COMPUTED_VALUE"""),"28o 10' 13""")</f>
        <v>28o 10' 13"</v>
      </c>
      <c r="J1875" s="2" t="str">
        <f>IFERROR(__xludf.DUMMYFUNCTION("""COMPUTED_VALUE"""),"28o 10' 33""")</f>
        <v>28o 10' 33"</v>
      </c>
      <c r="K1875" s="2" t="str">
        <f>IFERROR(__xludf.DUMMYFUNCTION("""COMPUTED_VALUE"""),"84o 54' 09""")</f>
        <v>84o 54' 09"</v>
      </c>
      <c r="L1875" s="2" t="str">
        <f>IFERROR(__xludf.DUMMYFUNCTION("""COMPUTED_VALUE"""),"84o 55' 26""")</f>
        <v>84o 55' 26"</v>
      </c>
      <c r="M1875" s="2" t="str">
        <f>IFERROR(__xludf.DUMMYFUNCTION("""COMPUTED_VALUE"""),"Manbu,Kashigaun (Gorkha)")</f>
        <v>Manbu,Kashigaun (Gorkha)</v>
      </c>
    </row>
    <row r="1876">
      <c r="A1876" s="2">
        <f>IFERROR(__xludf.DUMMYFUNCTION("""COMPUTED_VALUE"""),1875.0)</f>
        <v>1875</v>
      </c>
      <c r="B1876" s="2" t="str">
        <f>IFERROR(__xludf.DUMMYFUNCTION("""COMPUTED_VALUE"""),"Upper Richet Khola Small Hydropower Project")</f>
        <v>Upper Richet Khola Small Hydropower Project</v>
      </c>
      <c r="C1876" s="2">
        <f>IFERROR(__xludf.DUMMYFUNCTION("""COMPUTED_VALUE"""),0.445)</f>
        <v>0.445</v>
      </c>
      <c r="D1876" s="2" t="str">
        <f>IFERROR(__xludf.DUMMYFUNCTION("""COMPUTED_VALUE"""),"Richet")</f>
        <v>Richet</v>
      </c>
      <c r="E1876" s="2">
        <f>IFERROR(__xludf.DUMMYFUNCTION("""COMPUTED_VALUE"""),2315.0)</f>
        <v>2315</v>
      </c>
      <c r="F1876" s="3">
        <f>IFERROR(__xludf.DUMMYFUNCTION("""COMPUTED_VALUE"""),62369.0)</f>
        <v>62369</v>
      </c>
      <c r="G1876" s="2" t="str">
        <f>IFERROR(__xludf.DUMMYFUNCTION("""COMPUTED_VALUE"""),"Middle Super Daraudi Hydropower Company Pvt. Ltd.")</f>
        <v>Middle Super Daraudi Hydropower Company Pvt. Ltd.</v>
      </c>
      <c r="H1876" s="2" t="str">
        <f>IFERROR(__xludf.DUMMYFUNCTION("""COMPUTED_VALUE"""),"Putalisadak, Kathmandu. Mobile: 9843421881")</f>
        <v>Putalisadak, Kathmandu. Mobile: 9843421881</v>
      </c>
      <c r="I1876" s="2" t="str">
        <f>IFERROR(__xludf.DUMMYFUNCTION("""COMPUTED_VALUE"""),"28o 10' 39""")</f>
        <v>28o 10' 39"</v>
      </c>
      <c r="J1876" s="2" t="str">
        <f>IFERROR(__xludf.DUMMYFUNCTION("""COMPUTED_VALUE"""),"28o 11' 51""")</f>
        <v>28o 11' 51"</v>
      </c>
      <c r="K1876" s="2" t="str">
        <f>IFERROR(__xludf.DUMMYFUNCTION("""COMPUTED_VALUE"""),"84o 55' 40""")</f>
        <v>84o 55' 40"</v>
      </c>
      <c r="L1876" s="2" t="str">
        <f>IFERROR(__xludf.DUMMYFUNCTION("""COMPUTED_VALUE"""),"84o 56' 47""")</f>
        <v>84o 56' 47"</v>
      </c>
      <c r="M1876" s="2" t="str">
        <f>IFERROR(__xludf.DUMMYFUNCTION("""COMPUTED_VALUE"""),"Manbu,Kashigaun (Gorkha)")</f>
        <v>Manbu,Kashigaun (Gorkha)</v>
      </c>
    </row>
    <row r="1877">
      <c r="A1877" s="2">
        <f>IFERROR(__xludf.DUMMYFUNCTION("""COMPUTED_VALUE"""),1876.0)</f>
        <v>1876</v>
      </c>
      <c r="B1877" s="2" t="str">
        <f>IFERROR(__xludf.DUMMYFUNCTION("""COMPUTED_VALUE"""),"Bhujung Small Hydropower Project")</f>
        <v>Bhujung Small Hydropower Project</v>
      </c>
      <c r="C1877" s="2">
        <f>IFERROR(__xludf.DUMMYFUNCTION("""COMPUTED_VALUE"""),1.0)</f>
        <v>1</v>
      </c>
      <c r="D1877" s="2" t="str">
        <f>IFERROR(__xludf.DUMMYFUNCTION("""COMPUTED_VALUE"""),"Midim Khola")</f>
        <v>Midim Khola</v>
      </c>
      <c r="E1877" s="2">
        <f>IFERROR(__xludf.DUMMYFUNCTION("""COMPUTED_VALUE"""),2430.0)</f>
        <v>2430</v>
      </c>
      <c r="F1877" s="3">
        <f>IFERROR(__xludf.DUMMYFUNCTION("""COMPUTED_VALUE"""),62372.0)</f>
        <v>62372</v>
      </c>
      <c r="G1877" s="2" t="str">
        <f>IFERROR(__xludf.DUMMYFUNCTION("""COMPUTED_VALUE"""),"Midim Hydropower Company Pvt. Ltd.")</f>
        <v>Midim Hydropower Company Pvt. Ltd.</v>
      </c>
      <c r="H1877" s="2" t="str">
        <f>IFERROR(__xludf.DUMMYFUNCTION("""COMPUTED_VALUE"""),"Maharajgunj, Kathmandu")</f>
        <v>Maharajgunj, Kathmandu</v>
      </c>
      <c r="I1877" s="2" t="str">
        <f>IFERROR(__xludf.DUMMYFUNCTION("""COMPUTED_VALUE"""),"28o 18' 45""")</f>
        <v>28o 18' 45"</v>
      </c>
      <c r="J1877" s="2" t="str">
        <f>IFERROR(__xludf.DUMMYFUNCTION("""COMPUTED_VALUE"""),"28o 19' 25""")</f>
        <v>28o 19' 25"</v>
      </c>
      <c r="K1877" s="2" t="str">
        <f>IFERROR(__xludf.DUMMYFUNCTION("""COMPUTED_VALUE"""),"84o 15' 00""")</f>
        <v>84o 15' 00"</v>
      </c>
      <c r="L1877" s="2" t="str">
        <f>IFERROR(__xludf.DUMMYFUNCTION("""COMPUTED_VALUE"""),"84o 17' 00""")</f>
        <v>84o 17' 00"</v>
      </c>
      <c r="M1877" s="2" t="str">
        <f>IFERROR(__xludf.DUMMYFUNCTION("""COMPUTED_VALUE"""),"Bhujung (Lamjung)")</f>
        <v>Bhujung (Lamjung)</v>
      </c>
    </row>
    <row r="1878">
      <c r="A1878" s="2">
        <f>IFERROR(__xludf.DUMMYFUNCTION("""COMPUTED_VALUE"""),1877.0)</f>
        <v>1877</v>
      </c>
      <c r="B1878" s="2" t="str">
        <f>IFERROR(__xludf.DUMMYFUNCTION("""COMPUTED_VALUE"""),"Upper Bijayapur SHP")</f>
        <v>Upper Bijayapur SHP</v>
      </c>
      <c r="C1878" s="2">
        <f>IFERROR(__xludf.DUMMYFUNCTION("""COMPUTED_VALUE"""),0.98)</f>
        <v>0.98</v>
      </c>
      <c r="D1878" s="2" t="str">
        <f>IFERROR(__xludf.DUMMYFUNCTION("""COMPUTED_VALUE"""),"Bijaypur")</f>
        <v>Bijaypur</v>
      </c>
      <c r="E1878" s="2">
        <f>IFERROR(__xludf.DUMMYFUNCTION("""COMPUTED_VALUE"""),2447.0)</f>
        <v>2447</v>
      </c>
      <c r="F1878" s="3">
        <f>IFERROR(__xludf.DUMMYFUNCTION("""COMPUTED_VALUE"""),62373.0)</f>
        <v>62373</v>
      </c>
      <c r="G1878" s="2" t="str">
        <f>IFERROR(__xludf.DUMMYFUNCTION("""COMPUTED_VALUE"""),"Kamala Gurung")</f>
        <v>Kamala Gurung</v>
      </c>
      <c r="H1878" s="2" t="str">
        <f>IFERROR(__xludf.DUMMYFUNCTION("""COMPUTED_VALUE"""),"Pokhara-15, Naya Gaun, Kaski, Phone: 061430909")</f>
        <v>Pokhara-15, Naya Gaun, Kaski, Phone: 061430909</v>
      </c>
      <c r="I1878" s="2" t="str">
        <f>IFERROR(__xludf.DUMMYFUNCTION("""COMPUTED_VALUE"""),"28o 11' 30""")</f>
        <v>28o 11' 30"</v>
      </c>
      <c r="J1878" s="2" t="str">
        <f>IFERROR(__xludf.DUMMYFUNCTION("""COMPUTED_VALUE"""),"28o 13' 00""")</f>
        <v>28o 13' 00"</v>
      </c>
      <c r="K1878" s="2" t="str">
        <f>IFERROR(__xludf.DUMMYFUNCTION("""COMPUTED_VALUE"""),"84o 01' 20""")</f>
        <v>84o 01' 20"</v>
      </c>
      <c r="L1878" s="2" t="str">
        <f>IFERROR(__xludf.DUMMYFUNCTION("""COMPUTED_VALUE"""),"84o 02' 30""")</f>
        <v>84o 02' 30"</v>
      </c>
      <c r="M1878" s="2" t="str">
        <f>IFERROR(__xludf.DUMMYFUNCTION("""COMPUTED_VALUE"""),"Pokhara N.P.,Lekhnath (Kaski)")</f>
        <v>Pokhara N.P.,Lekhnath (Kaski)</v>
      </c>
    </row>
    <row r="1879">
      <c r="A1879" s="2">
        <f>IFERROR(__xludf.DUMMYFUNCTION("""COMPUTED_VALUE"""),1878.0)</f>
        <v>1878</v>
      </c>
      <c r="B1879" s="2" t="str">
        <f>IFERROR(__xludf.DUMMYFUNCTION("""COMPUTED_VALUE"""),"Lower Jumdi Khola Small Hydropower Project")</f>
        <v>Lower Jumdi Khola Small Hydropower Project</v>
      </c>
      <c r="C1879" s="2">
        <f>IFERROR(__xludf.DUMMYFUNCTION("""COMPUTED_VALUE"""),0.95)</f>
        <v>0.95</v>
      </c>
      <c r="D1879" s="2" t="str">
        <f>IFERROR(__xludf.DUMMYFUNCTION("""COMPUTED_VALUE"""),"Jumdi")</f>
        <v>Jumdi</v>
      </c>
      <c r="E1879" s="2">
        <f>IFERROR(__xludf.DUMMYFUNCTION("""COMPUTED_VALUE"""),2556.0)</f>
        <v>2556</v>
      </c>
      <c r="F1879" s="3">
        <f>IFERROR(__xludf.DUMMYFUNCTION("""COMPUTED_VALUE"""),62379.0)</f>
        <v>62379</v>
      </c>
      <c r="G1879" s="2" t="str">
        <f>IFERROR(__xludf.DUMMYFUNCTION("""COMPUTED_VALUE"""),"Prem Bahadur Tamang")</f>
        <v>Prem Bahadur Tamang</v>
      </c>
      <c r="H1879" s="2" t="str">
        <f>IFERROR(__xludf.DUMMYFUNCTION("""COMPUTED_VALUE"""),"Koshidekha VDC, Ward No. : 8, Mobile: 9851162464")</f>
        <v>Koshidekha VDC, Ward No. : 8, Mobile: 9851162464</v>
      </c>
      <c r="I1879" s="2" t="str">
        <f>IFERROR(__xludf.DUMMYFUNCTION("""COMPUTED_VALUE"""),"28o 00' 43""")</f>
        <v>28o 00' 43"</v>
      </c>
      <c r="J1879" s="2" t="str">
        <f>IFERROR(__xludf.DUMMYFUNCTION("""COMPUTED_VALUE"""),"28o 01' 20""")</f>
        <v>28o 01' 20"</v>
      </c>
      <c r="K1879" s="2" t="str">
        <f>IFERROR(__xludf.DUMMYFUNCTION("""COMPUTED_VALUE"""),"83o 26' 16""")</f>
        <v>83o 26' 16"</v>
      </c>
      <c r="L1879" s="2" t="str">
        <f>IFERROR(__xludf.DUMMYFUNCTION("""COMPUTED_VALUE"""),"83o 26' 49""")</f>
        <v>83o 26' 49"</v>
      </c>
      <c r="M1879" s="2" t="str">
        <f>IFERROR(__xludf.DUMMYFUNCTION("""COMPUTED_VALUE"""),"Hasara,Juhang (Gulmi)")</f>
        <v>Hasara,Juhang (Gulmi)</v>
      </c>
    </row>
    <row r="1880">
      <c r="A1880" s="2">
        <f>IFERROR(__xludf.DUMMYFUNCTION("""COMPUTED_VALUE"""),1879.0)</f>
        <v>1879</v>
      </c>
      <c r="B1880" s="2" t="str">
        <f>IFERROR(__xludf.DUMMYFUNCTION("""COMPUTED_VALUE"""),"Jhoran Khola Hydrpower Project")</f>
        <v>Jhoran Khola Hydrpower Project</v>
      </c>
      <c r="C1880" s="2">
        <f>IFERROR(__xludf.DUMMYFUNCTION("""COMPUTED_VALUE"""),0.997)</f>
        <v>0.997</v>
      </c>
      <c r="D1880" s="2" t="str">
        <f>IFERROR(__xludf.DUMMYFUNCTION("""COMPUTED_VALUE"""),"Jhoran")</f>
        <v>Jhoran</v>
      </c>
      <c r="E1880" s="2">
        <f>IFERROR(__xludf.DUMMYFUNCTION("""COMPUTED_VALUE"""),2654.0)</f>
        <v>2654</v>
      </c>
      <c r="F1880" s="3">
        <f>IFERROR(__xludf.DUMMYFUNCTION("""COMPUTED_VALUE"""),62387.0)</f>
        <v>62387</v>
      </c>
      <c r="G1880" s="2" t="str">
        <f>IFERROR(__xludf.DUMMYFUNCTION("""COMPUTED_VALUE"""),"Himal Gurung; Chandra Bahadur Karki")</f>
        <v>Himal Gurung; Chandra Bahadur Karki</v>
      </c>
      <c r="H1880" s="2" t="str">
        <f>IFERROR(__xludf.DUMMYFUNCTION("""COMPUTED_VALUE"""),"Ward No. 2, Suri VDC, Dolakha; Ward No.14 Pokhara Submetropolitan, Kaski")</f>
        <v>Ward No. 2, Suri VDC, Dolakha; Ward No.14 Pokhara Submetropolitan, Kaski</v>
      </c>
      <c r="I1880" s="2" t="str">
        <f>IFERROR(__xludf.DUMMYFUNCTION("""COMPUTED_VALUE"""),"27o 46' 50""")</f>
        <v>27o 46' 50"</v>
      </c>
      <c r="J1880" s="2" t="str">
        <f>IFERROR(__xludf.DUMMYFUNCTION("""COMPUTED_VALUE"""),"27o 48' 05""")</f>
        <v>27o 48' 05"</v>
      </c>
      <c r="K1880" s="2" t="str">
        <f>IFERROR(__xludf.DUMMYFUNCTION("""COMPUTED_VALUE"""),"86o 08' 10""")</f>
        <v>86o 08' 10"</v>
      </c>
      <c r="L1880" s="2" t="str">
        <f>IFERROR(__xludf.DUMMYFUNCTION("""COMPUTED_VALUE"""),"86o 09' 05""")</f>
        <v>86o 09' 05"</v>
      </c>
      <c r="M1880" s="2" t="str">
        <f>IFERROR(__xludf.DUMMYFUNCTION("""COMPUTED_VALUE"""),"Chilankha,Laduk (Dolakha)")</f>
        <v>Chilankha,Laduk (Dolakha)</v>
      </c>
    </row>
    <row r="1881">
      <c r="A1881" s="2">
        <f>IFERROR(__xludf.DUMMYFUNCTION("""COMPUTED_VALUE"""),1880.0)</f>
        <v>1880</v>
      </c>
      <c r="B1881" s="2" t="str">
        <f>IFERROR(__xludf.DUMMYFUNCTION("""COMPUTED_VALUE"""),"Middle Jumdi Khola SHP")</f>
        <v>Middle Jumdi Khola SHP</v>
      </c>
      <c r="C1881" s="2">
        <f>IFERROR(__xludf.DUMMYFUNCTION("""COMPUTED_VALUE"""),0.955)</f>
        <v>0.955</v>
      </c>
      <c r="D1881" s="2" t="str">
        <f>IFERROR(__xludf.DUMMYFUNCTION("""COMPUTED_VALUE"""),"Jumdi")</f>
        <v>Jumdi</v>
      </c>
      <c r="E1881" s="2">
        <f>IFERROR(__xludf.DUMMYFUNCTION("""COMPUTED_VALUE"""),2681.0)</f>
        <v>2681</v>
      </c>
      <c r="F1881" s="3">
        <f>IFERROR(__xludf.DUMMYFUNCTION("""COMPUTED_VALUE"""),62388.0)</f>
        <v>62388</v>
      </c>
      <c r="G1881" s="2" t="str">
        <f>IFERROR(__xludf.DUMMYFUNCTION("""COMPUTED_VALUE"""),"Man Bahadur Yonjan")</f>
        <v>Man Bahadur Yonjan</v>
      </c>
      <c r="H1881" s="2" t="str">
        <f>IFERROR(__xludf.DUMMYFUNCTION("""COMPUTED_VALUE"""),"Koshidekha VDC, Ward No.: 8, Kavrepalanchowk")</f>
        <v>Koshidekha VDC, Ward No.: 8, Kavrepalanchowk</v>
      </c>
      <c r="I1881" s="2" t="str">
        <f>IFERROR(__xludf.DUMMYFUNCTION("""COMPUTED_VALUE"""),"28o 01' 44""")</f>
        <v>28o 01' 44"</v>
      </c>
      <c r="J1881" s="2" t="str">
        <f>IFERROR(__xludf.DUMMYFUNCTION("""COMPUTED_VALUE"""),"28o 01' 88""")</f>
        <v>28o 01' 88"</v>
      </c>
      <c r="K1881" s="2" t="str">
        <f>IFERROR(__xludf.DUMMYFUNCTION("""COMPUTED_VALUE"""),"83o 26' 27""")</f>
        <v>83o 26' 27"</v>
      </c>
      <c r="L1881" s="2" t="str">
        <f>IFERROR(__xludf.DUMMYFUNCTION("""COMPUTED_VALUE"""),"83o 27' 11""")</f>
        <v>83o 27' 11"</v>
      </c>
      <c r="M1881" s="2" t="str">
        <f>IFERROR(__xludf.DUMMYFUNCTION("""COMPUTED_VALUE"""),"Hasara (Gulmi)")</f>
        <v>Hasara (Gulmi)</v>
      </c>
    </row>
    <row r="1882">
      <c r="A1882" s="2">
        <f>IFERROR(__xludf.DUMMYFUNCTION("""COMPUTED_VALUE"""),1881.0)</f>
        <v>1881</v>
      </c>
      <c r="B1882" s="2" t="str">
        <f>IFERROR(__xludf.DUMMYFUNCTION("""COMPUTED_VALUE"""),"Kamlun Khola SHP")</f>
        <v>Kamlun Khola SHP</v>
      </c>
      <c r="C1882" s="2">
        <f>IFERROR(__xludf.DUMMYFUNCTION("""COMPUTED_VALUE"""),0.667)</f>
        <v>0.667</v>
      </c>
      <c r="D1882" s="2" t="str">
        <f>IFERROR(__xludf.DUMMYFUNCTION("""COMPUTED_VALUE"""),"Kamlun")</f>
        <v>Kamlun</v>
      </c>
      <c r="E1882" s="2">
        <f>IFERROR(__xludf.DUMMYFUNCTION("""COMPUTED_VALUE"""),2856.0)</f>
        <v>2856</v>
      </c>
      <c r="F1882" s="3">
        <f>IFERROR(__xludf.DUMMYFUNCTION("""COMPUTED_VALUE"""),62402.0)</f>
        <v>62402</v>
      </c>
      <c r="G1882" s="2" t="str">
        <f>IFERROR(__xludf.DUMMYFUNCTION("""COMPUTED_VALUE"""),"Chakra Ghale")</f>
        <v>Chakra Ghale</v>
      </c>
      <c r="H1882" s="2" t="str">
        <f>IFERROR(__xludf.DUMMYFUNCTION("""COMPUTED_VALUE"""),"Balche VDC 8, Nuwakot, Phone: 9812439786")</f>
        <v>Balche VDC 8, Nuwakot, Phone: 9812439786</v>
      </c>
      <c r="I1882" s="2" t="str">
        <f>IFERROR(__xludf.DUMMYFUNCTION("""COMPUTED_VALUE"""),"28o 05' 12""")</f>
        <v>28o 05' 12"</v>
      </c>
      <c r="J1882" s="2" t="str">
        <f>IFERROR(__xludf.DUMMYFUNCTION("""COMPUTED_VALUE"""),"28o 06' 15""")</f>
        <v>28o 06' 15"</v>
      </c>
      <c r="K1882" s="2" t="str">
        <f>IFERROR(__xludf.DUMMYFUNCTION("""COMPUTED_VALUE"""),"85o 07' 30""")</f>
        <v>85o 07' 30"</v>
      </c>
      <c r="L1882" s="2" t="str">
        <f>IFERROR(__xludf.DUMMYFUNCTION("""COMPUTED_VALUE"""),"85o 09' 40""")</f>
        <v>85o 09' 40"</v>
      </c>
      <c r="M1882" s="2" t="str">
        <f>IFERROR(__xludf.DUMMYFUNCTION("""COMPUTED_VALUE"""),"Bhalche (Nuwakot) Dandagoun (Rasuwa)")</f>
        <v>Bhalche (Nuwakot) Dandagoun (Rasuwa)</v>
      </c>
    </row>
    <row r="1883">
      <c r="A1883" s="2">
        <f>IFERROR(__xludf.DUMMYFUNCTION("""COMPUTED_VALUE"""),1882.0)</f>
        <v>1882</v>
      </c>
      <c r="B1883" s="2" t="str">
        <f>IFERROR(__xludf.DUMMYFUNCTION("""COMPUTED_VALUE"""),"Saptan Khola SHP")</f>
        <v>Saptan Khola SHP</v>
      </c>
      <c r="C1883" s="2">
        <f>IFERROR(__xludf.DUMMYFUNCTION("""COMPUTED_VALUE"""),0.95)</f>
        <v>0.95</v>
      </c>
      <c r="D1883" s="2" t="str">
        <f>IFERROR(__xludf.DUMMYFUNCTION("""COMPUTED_VALUE"""),"Saptang")</f>
        <v>Saptang</v>
      </c>
      <c r="E1883" s="2">
        <f>IFERROR(__xludf.DUMMYFUNCTION("""COMPUTED_VALUE"""),2870.0)</f>
        <v>2870</v>
      </c>
      <c r="F1883" s="3">
        <f>IFERROR(__xludf.DUMMYFUNCTION("""COMPUTED_VALUE"""),62403.0)</f>
        <v>62403</v>
      </c>
      <c r="G1883" s="2" t="str">
        <f>IFERROR(__xludf.DUMMYFUNCTION("""COMPUTED_VALUE"""),"Chakra Ghale")</f>
        <v>Chakra Ghale</v>
      </c>
      <c r="H1883" s="2" t="str">
        <f>IFERROR(__xludf.DUMMYFUNCTION("""COMPUTED_VALUE"""),"Balche VDC 8, Nuwakot, Phone: 9812439786")</f>
        <v>Balche VDC 8, Nuwakot, Phone: 9812439786</v>
      </c>
      <c r="I1883" s="2" t="str">
        <f>IFERROR(__xludf.DUMMYFUNCTION("""COMPUTED_VALUE"""),"28o 02' 00""")</f>
        <v>28o 02' 00"</v>
      </c>
      <c r="J1883" s="2" t="str">
        <f>IFERROR(__xludf.DUMMYFUNCTION("""COMPUTED_VALUE"""),"28o 04' 11""")</f>
        <v>28o 04' 11"</v>
      </c>
      <c r="K1883" s="2" t="str">
        <f>IFERROR(__xludf.DUMMYFUNCTION("""COMPUTED_VALUE"""),"85o 05' 16""")</f>
        <v>85o 05' 16"</v>
      </c>
      <c r="L1883" s="2" t="str">
        <f>IFERROR(__xludf.DUMMYFUNCTION("""COMPUTED_VALUE"""),"85o 07' 44""")</f>
        <v>85o 07' 44"</v>
      </c>
      <c r="M1883" s="2" t="str">
        <f>IFERROR(__xludf.DUMMYFUNCTION("""COMPUTED_VALUE"""),"Bhalche (Nuwakot)")</f>
        <v>Bhalche (Nuwakot)</v>
      </c>
    </row>
    <row r="1884">
      <c r="A1884" s="2">
        <f>IFERROR(__xludf.DUMMYFUNCTION("""COMPUTED_VALUE"""),1883.0)</f>
        <v>1883</v>
      </c>
      <c r="B1884" s="2" t="str">
        <f>IFERROR(__xludf.DUMMYFUNCTION("""COMPUTED_VALUE"""),"Super Pikhuwa")</f>
        <v>Super Pikhuwa</v>
      </c>
      <c r="C1884" s="2">
        <f>IFERROR(__xludf.DUMMYFUNCTION("""COMPUTED_VALUE"""),1.0)</f>
        <v>1</v>
      </c>
      <c r="D1884" s="2" t="str">
        <f>IFERROR(__xludf.DUMMYFUNCTION("""COMPUTED_VALUE"""),"Pikhuwa")</f>
        <v>Pikhuwa</v>
      </c>
      <c r="E1884" s="2">
        <f>IFERROR(__xludf.DUMMYFUNCTION("""COMPUTED_VALUE"""),3054.0)</f>
        <v>3054</v>
      </c>
      <c r="F1884" s="3">
        <f>IFERROR(__xludf.DUMMYFUNCTION("""COMPUTED_VALUE"""),62423.0)</f>
        <v>62423</v>
      </c>
      <c r="G1884" s="2" t="str">
        <f>IFERROR(__xludf.DUMMYFUNCTION("""COMPUTED_VALUE"""),"Sherpa Herbal and Agriculture Pvt. Ltd.")</f>
        <v>Sherpa Herbal and Agriculture Pvt. Ltd.</v>
      </c>
      <c r="H1884" s="2" t="str">
        <f>IFERROR(__xludf.DUMMYFUNCTION("""COMPUTED_VALUE"""),"Kirtipur 7, Kathmandu, 9851079619")</f>
        <v>Kirtipur 7, Kathmandu, 9851079619</v>
      </c>
      <c r="I1884" s="2" t="str">
        <f>IFERROR(__xludf.DUMMYFUNCTION("""COMPUTED_VALUE"""),"27o 06' 30""")</f>
        <v>27o 06' 30"</v>
      </c>
      <c r="J1884" s="2" t="str">
        <f>IFERROR(__xludf.DUMMYFUNCTION("""COMPUTED_VALUE"""),"27o 07' 30""")</f>
        <v>27o 07' 30"</v>
      </c>
      <c r="K1884" s="2" t="str">
        <f>IFERROR(__xludf.DUMMYFUNCTION("""COMPUTED_VALUE"""),"87o 03' 00""")</f>
        <v>87o 03' 00"</v>
      </c>
      <c r="L1884" s="2" t="str">
        <f>IFERROR(__xludf.DUMMYFUNCTION("""COMPUTED_VALUE"""),"87o 05' 00""")</f>
        <v>87o 05' 00"</v>
      </c>
      <c r="M1884" s="2" t="str">
        <f>IFERROR(__xludf.DUMMYFUNCTION("""COMPUTED_VALUE"""),"Mane Bhanjyang,Taksar (Bhojpur)")</f>
        <v>Mane Bhanjyang,Taksar (Bhojpur)</v>
      </c>
    </row>
    <row r="1885">
      <c r="A1885" s="2">
        <f>IFERROR(__xludf.DUMMYFUNCTION("""COMPUTED_VALUE"""),1884.0)</f>
        <v>1884</v>
      </c>
      <c r="B1885" s="2" t="str">
        <f>IFERROR(__xludf.DUMMYFUNCTION("""COMPUTED_VALUE"""),"Dundare Khola Hydropower Project")</f>
        <v>Dundare Khola Hydropower Project</v>
      </c>
      <c r="C1885" s="2">
        <f>IFERROR(__xludf.DUMMYFUNCTION("""COMPUTED_VALUE"""),0.876)</f>
        <v>0.876</v>
      </c>
      <c r="D1885" s="2" t="str">
        <f>IFERROR(__xludf.DUMMYFUNCTION("""COMPUTED_VALUE"""),"Dundare")</f>
        <v>Dundare</v>
      </c>
      <c r="E1885" s="2">
        <f>IFERROR(__xludf.DUMMYFUNCTION("""COMPUTED_VALUE"""),3078.0)</f>
        <v>3078</v>
      </c>
      <c r="F1885" s="3">
        <f>IFERROR(__xludf.DUMMYFUNCTION("""COMPUTED_VALUE"""),62424.0)</f>
        <v>62424</v>
      </c>
      <c r="G1885" s="2" t="str">
        <f>IFERROR(__xludf.DUMMYFUNCTION("""COMPUTED_VALUE"""),"Anand Pradhan")</f>
        <v>Anand Pradhan</v>
      </c>
      <c r="H1885" s="2" t="str">
        <f>IFERROR(__xludf.DUMMYFUNCTION("""COMPUTED_VALUE"""),"Butwal-8, Rupandehi. Mobile: 9851120603")</f>
        <v>Butwal-8, Rupandehi. Mobile: 9851120603</v>
      </c>
      <c r="I1885" s="2" t="str">
        <f>IFERROR(__xludf.DUMMYFUNCTION("""COMPUTED_VALUE"""),"28o 08' 00""")</f>
        <v>28o 08' 00"</v>
      </c>
      <c r="J1885" s="2" t="str">
        <f>IFERROR(__xludf.DUMMYFUNCTION("""COMPUTED_VALUE"""),"28o 09' 00""")</f>
        <v>28o 09' 00"</v>
      </c>
      <c r="K1885" s="2" t="str">
        <f>IFERROR(__xludf.DUMMYFUNCTION("""COMPUTED_VALUE"""),"84o 52' 09""")</f>
        <v>84o 52' 09"</v>
      </c>
      <c r="L1885" s="2" t="str">
        <f>IFERROR(__xludf.DUMMYFUNCTION("""COMPUTED_VALUE"""),"84o 53' 35""")</f>
        <v>84o 53' 35"</v>
      </c>
      <c r="M1885" s="2" t="str">
        <f>IFERROR(__xludf.DUMMYFUNCTION("""COMPUTED_VALUE"""),"Manbu (Gorkha)")</f>
        <v>Manbu (Gorkha)</v>
      </c>
    </row>
    <row r="1886">
      <c r="A1886" s="2">
        <f>IFERROR(__xludf.DUMMYFUNCTION("""COMPUTED_VALUE"""),1885.0)</f>
        <v>1885</v>
      </c>
      <c r="B1886" s="2" t="str">
        <f>IFERROR(__xludf.DUMMYFUNCTION("""COMPUTED_VALUE"""),"Sagu Khola Hydropower Project")</f>
        <v>Sagu Khola Hydropower Project</v>
      </c>
      <c r="C1886" s="2">
        <f>IFERROR(__xludf.DUMMYFUNCTION("""COMPUTED_VALUE"""),0.998)</f>
        <v>0.998</v>
      </c>
      <c r="D1886" s="2" t="str">
        <f>IFERROR(__xludf.DUMMYFUNCTION("""COMPUTED_VALUE"""),"Sagu")</f>
        <v>Sagu</v>
      </c>
      <c r="E1886" s="2">
        <f>IFERROR(__xludf.DUMMYFUNCTION("""COMPUTED_VALUE"""),3473.0)</f>
        <v>3473</v>
      </c>
      <c r="F1886" s="3">
        <f>IFERROR(__xludf.DUMMYFUNCTION("""COMPUTED_VALUE"""),62450.0)</f>
        <v>62450</v>
      </c>
      <c r="G1886" s="2" t="str">
        <f>IFERROR(__xludf.DUMMYFUNCTION("""COMPUTED_VALUE"""),"Yudhisthir Khadka")</f>
        <v>Yudhisthir Khadka</v>
      </c>
      <c r="H1886" s="2" t="str">
        <f>IFERROR(__xludf.DUMMYFUNCTION("""COMPUTED_VALUE"""),"Laduk, Dolakha")</f>
        <v>Laduk, Dolakha</v>
      </c>
      <c r="I1886" s="2" t="str">
        <f>IFERROR(__xludf.DUMMYFUNCTION("""COMPUTED_VALUE"""),"27o 49' 39""")</f>
        <v>27o 49' 39"</v>
      </c>
      <c r="J1886" s="2" t="str">
        <f>IFERROR(__xludf.DUMMYFUNCTION("""COMPUTED_VALUE"""),"27o 50' 41""")</f>
        <v>27o 50' 41"</v>
      </c>
      <c r="K1886" s="2" t="str">
        <f>IFERROR(__xludf.DUMMYFUNCTION("""COMPUTED_VALUE"""),"86o 05' 20""")</f>
        <v>86o 05' 20"</v>
      </c>
      <c r="L1886" s="2" t="str">
        <f>IFERROR(__xludf.DUMMYFUNCTION("""COMPUTED_VALUE"""),"86o 06' 39""")</f>
        <v>86o 06' 39"</v>
      </c>
      <c r="M1886" s="2" t="str">
        <f>IFERROR(__xludf.DUMMYFUNCTION("""COMPUTED_VALUE"""),"Laduk (Dolakha)")</f>
        <v>Laduk (Dolakha)</v>
      </c>
    </row>
    <row r="1887">
      <c r="A1887" s="2">
        <f>IFERROR(__xludf.DUMMYFUNCTION("""COMPUTED_VALUE"""),1886.0)</f>
        <v>1886</v>
      </c>
      <c r="B1887" s="2" t="str">
        <f>IFERROR(__xludf.DUMMYFUNCTION("""COMPUTED_VALUE"""),"Ghyumjar Ringbu Khola SHP")</f>
        <v>Ghyumjar Ringbu Khola SHP</v>
      </c>
      <c r="C1887" s="2">
        <f>IFERROR(__xludf.DUMMYFUNCTION("""COMPUTED_VALUE"""),0.984)</f>
        <v>0.984</v>
      </c>
      <c r="D1887" s="2" t="str">
        <f>IFERROR(__xludf.DUMMYFUNCTION("""COMPUTED_VALUE"""),"Ghyumjar Ringbu")</f>
        <v>Ghyumjar Ringbu</v>
      </c>
      <c r="E1887" s="2">
        <f>IFERROR(__xludf.DUMMYFUNCTION("""COMPUTED_VALUE"""),3482.0)</f>
        <v>3482</v>
      </c>
      <c r="F1887" s="3">
        <f>IFERROR(__xludf.DUMMYFUNCTION("""COMPUTED_VALUE"""),62450.0)</f>
        <v>62450</v>
      </c>
      <c r="G1887" s="2" t="str">
        <f>IFERROR(__xludf.DUMMYFUNCTION("""COMPUTED_VALUE"""),"Pemba Chiring Lama")</f>
        <v>Pemba Chiring Lama</v>
      </c>
      <c r="H1887" s="2" t="str">
        <f>IFERROR(__xludf.DUMMYFUNCTION("""COMPUTED_VALUE"""),"Ward No. 7, Helambu VDC, Sindhupalchok")</f>
        <v>Ward No. 7, Helambu VDC, Sindhupalchok</v>
      </c>
      <c r="I1887" s="2" t="str">
        <f>IFERROR(__xludf.DUMMYFUNCTION("""COMPUTED_VALUE"""),"27o 57' 30""")</f>
        <v>27o 57' 30"</v>
      </c>
      <c r="J1887" s="2" t="str">
        <f>IFERROR(__xludf.DUMMYFUNCTION("""COMPUTED_VALUE"""),"28o 03' 23""")</f>
        <v>28o 03' 23"</v>
      </c>
      <c r="K1887" s="2" t="str">
        <f>IFERROR(__xludf.DUMMYFUNCTION("""COMPUTED_VALUE"""),"85o 30' 22""")</f>
        <v>85o 30' 22"</v>
      </c>
      <c r="L1887" s="2" t="str">
        <f>IFERROR(__xludf.DUMMYFUNCTION("""COMPUTED_VALUE"""),"85o 32' 48""")</f>
        <v>85o 32' 48"</v>
      </c>
      <c r="M1887" s="2" t="str">
        <f>IFERROR(__xludf.DUMMYFUNCTION("""COMPUTED_VALUE"""),"Haibung (Sindhupalchok)")</f>
        <v>Haibung (Sindhupalchok)</v>
      </c>
    </row>
    <row r="1888">
      <c r="A1888" s="2">
        <f>IFERROR(__xludf.DUMMYFUNCTION("""COMPUTED_VALUE"""),1887.0)</f>
        <v>1887</v>
      </c>
      <c r="B1888" s="2" t="str">
        <f>IFERROR(__xludf.DUMMYFUNCTION("""COMPUTED_VALUE"""),"Super Tadi HEP")</f>
        <v>Super Tadi HEP</v>
      </c>
      <c r="C1888" s="2">
        <f>IFERROR(__xludf.DUMMYFUNCTION("""COMPUTED_VALUE"""),4.59)</f>
        <v>4.59</v>
      </c>
      <c r="D1888" s="2" t="str">
        <f>IFERROR(__xludf.DUMMYFUNCTION("""COMPUTED_VALUE"""),"Tadi Khola")</f>
        <v>Tadi Khola</v>
      </c>
      <c r="E1888" s="2">
        <f>IFERROR(__xludf.DUMMYFUNCTION("""COMPUTED_VALUE"""),3512.0)</f>
        <v>3512</v>
      </c>
      <c r="F1888" s="3">
        <f>IFERROR(__xludf.DUMMYFUNCTION("""COMPUTED_VALUE"""),62453.0)</f>
        <v>62453</v>
      </c>
      <c r="G1888" s="2" t="str">
        <f>IFERROR(__xludf.DUMMYFUNCTION("""COMPUTED_VALUE"""),"Suresh Khadka")</f>
        <v>Suresh Khadka</v>
      </c>
      <c r="H1888" s="2" t="str">
        <f>IFERROR(__xludf.DUMMYFUNCTION("""COMPUTED_VALUE"""),"Tupche 3, Nuwakot")</f>
        <v>Tupche 3, Nuwakot</v>
      </c>
      <c r="I1888" s="2" t="str">
        <f>IFERROR(__xludf.DUMMYFUNCTION("""COMPUTED_VALUE"""),"27o 58' 00""")</f>
        <v>27o 58' 00"</v>
      </c>
      <c r="J1888" s="2" t="str">
        <f>IFERROR(__xludf.DUMMYFUNCTION("""COMPUTED_VALUE"""),"28o 00' 45""")</f>
        <v>28o 00' 45"</v>
      </c>
      <c r="K1888" s="2" t="str">
        <f>IFERROR(__xludf.DUMMYFUNCTION("""COMPUTED_VALUE"""),"85o 26' 26""")</f>
        <v>85o 26' 26"</v>
      </c>
      <c r="L1888" s="2" t="str">
        <f>IFERROR(__xludf.DUMMYFUNCTION("""COMPUTED_VALUE"""),"85o 28' 00""")</f>
        <v>85o 28' 00"</v>
      </c>
      <c r="M1888" s="2" t="str">
        <f>IFERROR(__xludf.DUMMYFUNCTION("""COMPUTED_VALUE"""),"Dhyangphedi (Nuwakot)")</f>
        <v>Dhyangphedi (Nuwakot)</v>
      </c>
    </row>
    <row r="1889">
      <c r="A1889" s="2">
        <f>IFERROR(__xludf.DUMMYFUNCTION("""COMPUTED_VALUE"""),1888.0)</f>
        <v>1888</v>
      </c>
      <c r="B1889" s="2" t="str">
        <f>IFERROR(__xludf.DUMMYFUNCTION("""COMPUTED_VALUE"""),"Panch Pokhari Khola small PP")</f>
        <v>Panch Pokhari Khola small PP</v>
      </c>
      <c r="C1889" s="2">
        <f>IFERROR(__xludf.DUMMYFUNCTION("""COMPUTED_VALUE"""),0.995)</f>
        <v>0.995</v>
      </c>
      <c r="D1889" s="2" t="str">
        <f>IFERROR(__xludf.DUMMYFUNCTION("""COMPUTED_VALUE"""),"Panch Pokhari Khola")</f>
        <v>Panch Pokhari Khola</v>
      </c>
      <c r="E1889" s="2">
        <f>IFERROR(__xludf.DUMMYFUNCTION("""COMPUTED_VALUE"""),3849.0)</f>
        <v>3849</v>
      </c>
      <c r="F1889" s="3">
        <f>IFERROR(__xludf.DUMMYFUNCTION("""COMPUTED_VALUE"""),62468.0)</f>
        <v>62468</v>
      </c>
      <c r="G1889" s="2" t="str">
        <f>IFERROR(__xludf.DUMMYFUNCTION("""COMPUTED_VALUE"""),"Sapana Tamang,Helambu construction co.Pve.ltd")</f>
        <v>Sapana Tamang,Helambu construction co.Pve.ltd</v>
      </c>
      <c r="H1889" s="2"/>
      <c r="I1889" s="2" t="str">
        <f>IFERROR(__xludf.DUMMYFUNCTION("""COMPUTED_VALUE"""),"27o 59' 50""")</f>
        <v>27o 59' 50"</v>
      </c>
      <c r="J1889" s="2" t="str">
        <f>IFERROR(__xludf.DUMMYFUNCTION("""COMPUTED_VALUE"""),"28o 00' 41""")</f>
        <v>28o 00' 41"</v>
      </c>
      <c r="K1889" s="2" t="str">
        <f>IFERROR(__xludf.DUMMYFUNCTION("""COMPUTED_VALUE"""),"85o 40' 00""")</f>
        <v>85o 40' 00"</v>
      </c>
      <c r="L1889" s="2" t="str">
        <f>IFERROR(__xludf.DUMMYFUNCTION("""COMPUTED_VALUE"""),"85o 41' 23""")</f>
        <v>85o 41' 23"</v>
      </c>
      <c r="M1889" s="2" t="str">
        <f>IFERROR(__xludf.DUMMYFUNCTION("""COMPUTED_VALUE"""),"Baruwa (Sindhupalchok)")</f>
        <v>Baruwa (Sindhupalchok)</v>
      </c>
    </row>
    <row r="1890">
      <c r="A1890" s="2">
        <f>IFERROR(__xludf.DUMMYFUNCTION("""COMPUTED_VALUE"""),1889.0)</f>
        <v>1889</v>
      </c>
      <c r="B1890" s="2" t="str">
        <f>IFERROR(__xludf.DUMMYFUNCTION("""COMPUTED_VALUE"""),"Uppermost Koya Khola Small Hydropower Project")</f>
        <v>Uppermost Koya Khola Small Hydropower Project</v>
      </c>
      <c r="C1890" s="2">
        <f>IFERROR(__xludf.DUMMYFUNCTION("""COMPUTED_VALUE"""),0.998)</f>
        <v>0.998</v>
      </c>
      <c r="D1890" s="2" t="str">
        <f>IFERROR(__xludf.DUMMYFUNCTION("""COMPUTED_VALUE"""),"Koya Khola")</f>
        <v>Koya Khola</v>
      </c>
      <c r="E1890" s="2">
        <f>IFERROR(__xludf.DUMMYFUNCTION("""COMPUTED_VALUE"""),3784.0)</f>
        <v>3784</v>
      </c>
      <c r="F1890" s="3">
        <f>IFERROR(__xludf.DUMMYFUNCTION("""COMPUTED_VALUE"""),62475.0)</f>
        <v>62475</v>
      </c>
      <c r="G1890" s="2" t="str">
        <f>IFERROR(__xludf.DUMMYFUNCTION("""COMPUTED_VALUE"""),"Nisham Energy Pvt. Ltd.")</f>
        <v>Nisham Energy Pvt. Ltd.</v>
      </c>
      <c r="H1890" s="2" t="str">
        <f>IFERROR(__xludf.DUMMYFUNCTION("""COMPUTED_VALUE"""),"GPO. Box No. 3234, Kathmandu,Nepal")</f>
        <v>GPO. Box No. 3234, Kathmandu,Nepal</v>
      </c>
      <c r="I1890" s="2" t="str">
        <f>IFERROR(__xludf.DUMMYFUNCTION("""COMPUTED_VALUE"""),"27o 14' 30""")</f>
        <v>27o 14' 30"</v>
      </c>
      <c r="J1890" s="2" t="str">
        <f>IFERROR(__xludf.DUMMYFUNCTION("""COMPUTED_VALUE"""),"27o 15' 45""")</f>
        <v>27o 15' 45"</v>
      </c>
      <c r="K1890" s="2" t="str">
        <f>IFERROR(__xludf.DUMMYFUNCTION("""COMPUTED_VALUE"""),"87o 35' 00""")</f>
        <v>87o 35' 00"</v>
      </c>
      <c r="L1890" s="2" t="str">
        <f>IFERROR(__xludf.DUMMYFUNCTION("""COMPUTED_VALUE"""),"87o 36' 30""")</f>
        <v>87o 36' 30"</v>
      </c>
      <c r="M1890" s="2" t="str">
        <f>IFERROR(__xludf.DUMMYFUNCTION("""COMPUTED_VALUE"""),"Khamlalung,Samdu (Terhathum)")</f>
        <v>Khamlalung,Samdu (Terhathum)</v>
      </c>
    </row>
    <row r="1891">
      <c r="A1891" s="2">
        <f>IFERROR(__xludf.DUMMYFUNCTION("""COMPUTED_VALUE"""),1890.0)</f>
        <v>1890</v>
      </c>
      <c r="B1891" s="2" t="str">
        <f>IFERROR(__xludf.DUMMYFUNCTION("""COMPUTED_VALUE"""),"Chepe Nadi HEP")</f>
        <v>Chepe Nadi HEP</v>
      </c>
      <c r="C1891" s="2">
        <f>IFERROR(__xludf.DUMMYFUNCTION("""COMPUTED_VALUE"""),0.99)</f>
        <v>0.99</v>
      </c>
      <c r="D1891" s="2" t="str">
        <f>IFERROR(__xludf.DUMMYFUNCTION("""COMPUTED_VALUE"""),"Chepe Khola")</f>
        <v>Chepe Khola</v>
      </c>
      <c r="E1891" s="2">
        <f>IFERROR(__xludf.DUMMYFUNCTION("""COMPUTED_VALUE"""),3807.0)</f>
        <v>3807</v>
      </c>
      <c r="F1891" s="3">
        <f>IFERROR(__xludf.DUMMYFUNCTION("""COMPUTED_VALUE"""),62479.0)</f>
        <v>62479</v>
      </c>
      <c r="G1891" s="2" t="str">
        <f>IFERROR(__xludf.DUMMYFUNCTION("""COMPUTED_VALUE"""),"Bharat Gurung")</f>
        <v>Bharat Gurung</v>
      </c>
      <c r="H1891" s="2" t="str">
        <f>IFERROR(__xludf.DUMMYFUNCTION("""COMPUTED_VALUE"""),"Kathmandu-3, Maharajgunj, Mobile No. 9851021854")</f>
        <v>Kathmandu-3, Maharajgunj, Mobile No. 9851021854</v>
      </c>
      <c r="I1891" s="2" t="str">
        <f>IFERROR(__xludf.DUMMYFUNCTION("""COMPUTED_VALUE"""),"28o 07' 20""")</f>
        <v>28o 07' 20"</v>
      </c>
      <c r="J1891" s="2" t="str">
        <f>IFERROR(__xludf.DUMMYFUNCTION("""COMPUTED_VALUE"""),"28o 08' 10""")</f>
        <v>28o 08' 10"</v>
      </c>
      <c r="K1891" s="2" t="str">
        <f>IFERROR(__xludf.DUMMYFUNCTION("""COMPUTED_VALUE"""),"84o 33' 00""")</f>
        <v>84o 33' 00"</v>
      </c>
      <c r="L1891" s="2" t="str">
        <f>IFERROR(__xludf.DUMMYFUNCTION("""COMPUTED_VALUE"""),"84o 34' 51""")</f>
        <v>84o 34' 51"</v>
      </c>
      <c r="M1891" s="2" t="str">
        <f>IFERROR(__xludf.DUMMYFUNCTION("""COMPUTED_VALUE"""),"Kerabari (Gorkha) Kolki (Lamjung)")</f>
        <v>Kerabari (Gorkha) Kolki (Lamjung)</v>
      </c>
    </row>
    <row r="1892">
      <c r="A1892" s="2">
        <f>IFERROR(__xludf.DUMMYFUNCTION("""COMPUTED_VALUE"""),1891.0)</f>
        <v>1891</v>
      </c>
      <c r="B1892" s="2" t="str">
        <f>IFERROR(__xludf.DUMMYFUNCTION("""COMPUTED_VALUE"""),"Sagu Khola Hydropower Project")</f>
        <v>Sagu Khola Hydropower Project</v>
      </c>
      <c r="C1892" s="2">
        <f>IFERROR(__xludf.DUMMYFUNCTION("""COMPUTED_VALUE"""),0.998)</f>
        <v>0.998</v>
      </c>
      <c r="D1892" s="2" t="str">
        <f>IFERROR(__xludf.DUMMYFUNCTION("""COMPUTED_VALUE"""),"Sagu")</f>
        <v>Sagu</v>
      </c>
      <c r="E1892" s="2">
        <f>IFERROR(__xludf.DUMMYFUNCTION("""COMPUTED_VALUE"""),3819.0)</f>
        <v>3819</v>
      </c>
      <c r="F1892" s="3">
        <f>IFERROR(__xludf.DUMMYFUNCTION("""COMPUTED_VALUE"""),62479.0)</f>
        <v>62479</v>
      </c>
      <c r="G1892" s="2" t="str">
        <f>IFERROR(__xludf.DUMMYFUNCTION("""COMPUTED_VALUE"""),"Rajendra Kumar Karki")</f>
        <v>Rajendra Kumar Karki</v>
      </c>
      <c r="H1892" s="2" t="str">
        <f>IFERROR(__xludf.DUMMYFUNCTION("""COMPUTED_VALUE"""),"Betali, Ramechhap")</f>
        <v>Betali, Ramechhap</v>
      </c>
      <c r="I1892" s="2" t="str">
        <f>IFERROR(__xludf.DUMMYFUNCTION("""COMPUTED_VALUE"""),"27o 47' 18""")</f>
        <v>27o 47' 18"</v>
      </c>
      <c r="J1892" s="2" t="str">
        <f>IFERROR(__xludf.DUMMYFUNCTION("""COMPUTED_VALUE"""),"27o 49' 38""")</f>
        <v>27o 49' 38"</v>
      </c>
      <c r="K1892" s="2" t="str">
        <f>IFERROR(__xludf.DUMMYFUNCTION("""COMPUTED_VALUE"""),"86o 05' 47""")</f>
        <v>86o 05' 47"</v>
      </c>
      <c r="L1892" s="2" t="str">
        <f>IFERROR(__xludf.DUMMYFUNCTION("""COMPUTED_VALUE"""),"86o 07' 40""")</f>
        <v>86o 07' 40"</v>
      </c>
      <c r="M1892" s="2" t="str">
        <f>IFERROR(__xludf.DUMMYFUNCTION("""COMPUTED_VALUE"""),"Bigu,Alampu,Chilankha (Dolakha)")</f>
        <v>Bigu,Alampu,Chilankha (Dolakha)</v>
      </c>
    </row>
    <row r="1893">
      <c r="A1893" s="2">
        <f>IFERROR(__xludf.DUMMYFUNCTION("""COMPUTED_VALUE"""),1892.0)</f>
        <v>1892</v>
      </c>
      <c r="B1893" s="2" t="str">
        <f>IFERROR(__xludf.DUMMYFUNCTION("""COMPUTED_VALUE"""),"Chuthi Anai Khola SHP")</f>
        <v>Chuthi Anai Khola SHP</v>
      </c>
      <c r="C1893" s="2">
        <f>IFERROR(__xludf.DUMMYFUNCTION("""COMPUTED_VALUE"""),0.5)</f>
        <v>0.5</v>
      </c>
      <c r="D1893" s="2" t="str">
        <f>IFERROR(__xludf.DUMMYFUNCTION("""COMPUTED_VALUE"""),"Chuthi Anai")</f>
        <v>Chuthi Anai</v>
      </c>
      <c r="E1893" s="2">
        <f>IFERROR(__xludf.DUMMYFUNCTION("""COMPUTED_VALUE"""),3860.0)</f>
        <v>3860</v>
      </c>
      <c r="F1893" s="3">
        <f>IFERROR(__xludf.DUMMYFUNCTION("""COMPUTED_VALUE"""),62482.0)</f>
        <v>62482</v>
      </c>
      <c r="G1893" s="2" t="str">
        <f>IFERROR(__xludf.DUMMYFUNCTION("""COMPUTED_VALUE"""),"Pourakhi Bikash Sanchar Sahakari Sanstha ltd, Bajura")</f>
        <v>Pourakhi Bikash Sanchar Sahakari Sanstha ltd, Bajura</v>
      </c>
      <c r="H1893" s="2" t="str">
        <f>IFERROR(__xludf.DUMMYFUNCTION("""COMPUTED_VALUE"""),"Martadi,Bajura")</f>
        <v>Martadi,Bajura</v>
      </c>
      <c r="I1893" s="2" t="str">
        <f>IFERROR(__xludf.DUMMYFUNCTION("""COMPUTED_VALUE"""),"29o 27' 29""")</f>
        <v>29o 27' 29"</v>
      </c>
      <c r="J1893" s="2" t="str">
        <f>IFERROR(__xludf.DUMMYFUNCTION("""COMPUTED_VALUE"""),"81o 29' 17""")</f>
        <v>81o 29' 17"</v>
      </c>
      <c r="K1893" s="2" t="str">
        <f>IFERROR(__xludf.DUMMYFUNCTION("""COMPUTED_VALUE"""),"29o 27' 46""")</f>
        <v>29o 27' 46"</v>
      </c>
      <c r="L1893" s="2" t="str">
        <f>IFERROR(__xludf.DUMMYFUNCTION("""COMPUTED_VALUE"""),"81o 31' 18""")</f>
        <v>81o 31' 18"</v>
      </c>
      <c r="M1893" s="2" t="str">
        <f>IFERROR(__xludf.DUMMYFUNCTION("""COMPUTED_VALUE"""),"Martadi (Bajura)")</f>
        <v>Martadi (Bajura)</v>
      </c>
    </row>
    <row r="1894">
      <c r="A1894" s="2">
        <f>IFERROR(__xludf.DUMMYFUNCTION("""COMPUTED_VALUE"""),1893.0)</f>
        <v>1893</v>
      </c>
      <c r="B1894" s="2" t="str">
        <f>IFERROR(__xludf.DUMMYFUNCTION("""COMPUTED_VALUE"""),"Syakhu Khola Hydropower Project")</f>
        <v>Syakhu Khola Hydropower Project</v>
      </c>
      <c r="C1894" s="2">
        <f>IFERROR(__xludf.DUMMYFUNCTION("""COMPUTED_VALUE"""),0.95)</f>
        <v>0.95</v>
      </c>
      <c r="D1894" s="2" t="str">
        <f>IFERROR(__xludf.DUMMYFUNCTION("""COMPUTED_VALUE"""),"Syakhu")</f>
        <v>Syakhu</v>
      </c>
      <c r="E1894" s="2">
        <f>IFERROR(__xludf.DUMMYFUNCTION("""COMPUTED_VALUE"""),3871.0)</f>
        <v>3871</v>
      </c>
      <c r="F1894" s="3">
        <f>IFERROR(__xludf.DUMMYFUNCTION("""COMPUTED_VALUE"""),62482.0)</f>
        <v>62482</v>
      </c>
      <c r="G1894" s="2" t="str">
        <f>IFERROR(__xludf.DUMMYFUNCTION("""COMPUTED_VALUE"""),"Lav Upadhyaya Sapkota")</f>
        <v>Lav Upadhyaya Sapkota</v>
      </c>
      <c r="H1894" s="2" t="str">
        <f>IFERROR(__xludf.DUMMYFUNCTION("""COMPUTED_VALUE"""),"Birgunj, Parsa")</f>
        <v>Birgunj, Parsa</v>
      </c>
      <c r="I1894" s="2" t="str">
        <f>IFERROR(__xludf.DUMMYFUNCTION("""COMPUTED_VALUE"""),"27o 50' 41""")</f>
        <v>27o 50' 41"</v>
      </c>
      <c r="J1894" s="2" t="str">
        <f>IFERROR(__xludf.DUMMYFUNCTION("""COMPUTED_VALUE"""),"27o 52' 36""")</f>
        <v>27o 52' 36"</v>
      </c>
      <c r="K1894" s="2" t="str">
        <f>IFERROR(__xludf.DUMMYFUNCTION("""COMPUTED_VALUE"""),"86o 06' 43""")</f>
        <v>86o 06' 43"</v>
      </c>
      <c r="L1894" s="2" t="str">
        <f>IFERROR(__xludf.DUMMYFUNCTION("""COMPUTED_VALUE"""),"86o 08' 52""")</f>
        <v>86o 08' 52"</v>
      </c>
      <c r="M1894" s="2" t="str">
        <f>IFERROR(__xludf.DUMMYFUNCTION("""COMPUTED_VALUE"""),"Alampu,Bigu (Dolakha)")</f>
        <v>Alampu,Bigu (Dolakha)</v>
      </c>
    </row>
    <row r="1895">
      <c r="A1895" s="2">
        <f>IFERROR(__xludf.DUMMYFUNCTION("""COMPUTED_VALUE"""),1894.0)</f>
        <v>1894</v>
      </c>
      <c r="B1895" s="2" t="str">
        <f>IFERROR(__xludf.DUMMYFUNCTION("""COMPUTED_VALUE"""),"Kharta Sagu Khola HEP")</f>
        <v>Kharta Sagu Khola HEP</v>
      </c>
      <c r="C1895" s="2">
        <f>IFERROR(__xludf.DUMMYFUNCTION("""COMPUTED_VALUE"""),0.97)</f>
        <v>0.97</v>
      </c>
      <c r="D1895" s="2" t="str">
        <f>IFERROR(__xludf.DUMMYFUNCTION("""COMPUTED_VALUE"""),"Kharta Sagu")</f>
        <v>Kharta Sagu</v>
      </c>
      <c r="E1895" s="2">
        <f>IFERROR(__xludf.DUMMYFUNCTION("""COMPUTED_VALUE"""),3872.0)</f>
        <v>3872</v>
      </c>
      <c r="F1895" s="3">
        <f>IFERROR(__xludf.DUMMYFUNCTION("""COMPUTED_VALUE"""),62482.0)</f>
        <v>62482</v>
      </c>
      <c r="G1895" s="2" t="str">
        <f>IFERROR(__xludf.DUMMYFUNCTION("""COMPUTED_VALUE"""),"Brish Bahadur Thami")</f>
        <v>Brish Bahadur Thami</v>
      </c>
      <c r="H1895" s="2" t="str">
        <f>IFERROR(__xludf.DUMMYFUNCTION("""COMPUTED_VALUE"""),"Suspa, Tchamawati, Dolakha")</f>
        <v>Suspa, Tchamawati, Dolakha</v>
      </c>
      <c r="I1895" s="2" t="str">
        <f>IFERROR(__xludf.DUMMYFUNCTION("""COMPUTED_VALUE"""),"27o 50' 45""")</f>
        <v>27o 50' 45"</v>
      </c>
      <c r="J1895" s="2" t="str">
        <f>IFERROR(__xludf.DUMMYFUNCTION("""COMPUTED_VALUE"""),"27o 52' 31""")</f>
        <v>27o 52' 31"</v>
      </c>
      <c r="K1895" s="2" t="str">
        <f>IFERROR(__xludf.DUMMYFUNCTION("""COMPUTED_VALUE"""),"86o 05' 35""")</f>
        <v>86o 05' 35"</v>
      </c>
      <c r="L1895" s="2" t="str">
        <f>IFERROR(__xludf.DUMMYFUNCTION("""COMPUTED_VALUE"""),"86o 06' 42""")</f>
        <v>86o 06' 42"</v>
      </c>
      <c r="M1895" s="2" t="str">
        <f>IFERROR(__xludf.DUMMYFUNCTION("""COMPUTED_VALUE"""),"Alampu,Bigu (Dolakha)")</f>
        <v>Alampu,Bigu (Dolakha)</v>
      </c>
    </row>
    <row r="1896">
      <c r="A1896" s="2">
        <f>IFERROR(__xludf.DUMMYFUNCTION("""COMPUTED_VALUE"""),1895.0)</f>
        <v>1895</v>
      </c>
      <c r="B1896" s="2" t="str">
        <f>IFERROR(__xludf.DUMMYFUNCTION("""COMPUTED_VALUE"""),"Roshi Khola Power Plant")</f>
        <v>Roshi Khola Power Plant</v>
      </c>
      <c r="C1896" s="2">
        <f>IFERROR(__xludf.DUMMYFUNCTION("""COMPUTED_VALUE"""),0.842)</f>
        <v>0.842</v>
      </c>
      <c r="D1896" s="2" t="str">
        <f>IFERROR(__xludf.DUMMYFUNCTION("""COMPUTED_VALUE"""),"Roshi")</f>
        <v>Roshi</v>
      </c>
      <c r="E1896" s="2">
        <f>IFERROR(__xludf.DUMMYFUNCTION("""COMPUTED_VALUE"""),3965.0)</f>
        <v>3965</v>
      </c>
      <c r="F1896" s="3">
        <f>IFERROR(__xludf.DUMMYFUNCTION("""COMPUTED_VALUE"""),62490.0)</f>
        <v>62490</v>
      </c>
      <c r="G1896" s="2" t="str">
        <f>IFERROR(__xludf.DUMMYFUNCTION("""COMPUTED_VALUE"""),"Middle roshi Hydropower Company")</f>
        <v>Middle roshi Hydropower Company</v>
      </c>
      <c r="H1896" s="2" t="str">
        <f>IFERROR(__xludf.DUMMYFUNCTION("""COMPUTED_VALUE"""),"Kathmandu 1, Kathmandu")</f>
        <v>Kathmandu 1, Kathmandu</v>
      </c>
      <c r="I1896" s="2" t="str">
        <f>IFERROR(__xludf.DUMMYFUNCTION("""COMPUTED_VALUE"""),"27o 31' 26""")</f>
        <v>27o 31' 26"</v>
      </c>
      <c r="J1896" s="2" t="str">
        <f>IFERROR(__xludf.DUMMYFUNCTION("""COMPUTED_VALUE"""),"27o 32' 45""")</f>
        <v>27o 32' 45"</v>
      </c>
      <c r="K1896" s="2" t="str">
        <f>IFERROR(__xludf.DUMMYFUNCTION("""COMPUTED_VALUE"""),"85o 33' 46""")</f>
        <v>85o 33' 46"</v>
      </c>
      <c r="L1896" s="2" t="str">
        <f>IFERROR(__xludf.DUMMYFUNCTION("""COMPUTED_VALUE"""),"85o 36' 11""")</f>
        <v>85o 36' 11"</v>
      </c>
      <c r="M1896" s="2" t="str">
        <f>IFERROR(__xludf.DUMMYFUNCTION("""COMPUTED_VALUE"""),"Mahankal Chaur,Simalchour Syampati (Kavrepalanchok)")</f>
        <v>Mahankal Chaur,Simalchour Syampati (Kavrepalanchok)</v>
      </c>
    </row>
    <row r="1897">
      <c r="A1897" s="2">
        <f>IFERROR(__xludf.DUMMYFUNCTION("""COMPUTED_VALUE"""),1896.0)</f>
        <v>1896</v>
      </c>
      <c r="B1897" s="2" t="str">
        <f>IFERROR(__xludf.DUMMYFUNCTION("""COMPUTED_VALUE"""),"Mai Khola A Hydropower Project")</f>
        <v>Mai Khola A Hydropower Project</v>
      </c>
      <c r="C1897" s="2">
        <f>IFERROR(__xludf.DUMMYFUNCTION("""COMPUTED_VALUE"""),0.998)</f>
        <v>0.998</v>
      </c>
      <c r="D1897" s="2" t="str">
        <f>IFERROR(__xludf.DUMMYFUNCTION("""COMPUTED_VALUE"""),"Mai Khola")</f>
        <v>Mai Khola</v>
      </c>
      <c r="E1897" s="2">
        <f>IFERROR(__xludf.DUMMYFUNCTION("""COMPUTED_VALUE"""),4036.0)</f>
        <v>4036</v>
      </c>
      <c r="F1897" s="3">
        <f>IFERROR(__xludf.DUMMYFUNCTION("""COMPUTED_VALUE"""),62495.0)</f>
        <v>62495</v>
      </c>
      <c r="G1897" s="2" t="str">
        <f>IFERROR(__xludf.DUMMYFUNCTION("""COMPUTED_VALUE"""),"Lok Bahadur Karki")</f>
        <v>Lok Bahadur Karki</v>
      </c>
      <c r="H1897" s="2" t="str">
        <f>IFERROR(__xludf.DUMMYFUNCTION("""COMPUTED_VALUE"""),"Kathmandu -5, House No. 47")</f>
        <v>Kathmandu -5, House No. 47</v>
      </c>
      <c r="I1897" s="2" t="str">
        <f>IFERROR(__xludf.DUMMYFUNCTION("""COMPUTED_VALUE"""),"26o 56' 32""")</f>
        <v>26o 56' 32"</v>
      </c>
      <c r="J1897" s="2" t="str">
        <f>IFERROR(__xludf.DUMMYFUNCTION("""COMPUTED_VALUE"""),"26o 57' 37""")</f>
        <v>26o 57' 37"</v>
      </c>
      <c r="K1897" s="2" t="str">
        <f>IFERROR(__xludf.DUMMYFUNCTION("""COMPUTED_VALUE"""),"87o 56' 14""")</f>
        <v>87o 56' 14"</v>
      </c>
      <c r="L1897" s="2" t="str">
        <f>IFERROR(__xludf.DUMMYFUNCTION("""COMPUTED_VALUE"""),"87o 57' 30""")</f>
        <v>87o 57' 30"</v>
      </c>
      <c r="M1897" s="2"/>
    </row>
    <row r="1898">
      <c r="A1898" s="2">
        <f>IFERROR(__xludf.DUMMYFUNCTION("""COMPUTED_VALUE"""),1897.0)</f>
        <v>1897</v>
      </c>
      <c r="B1898" s="2" t="str">
        <f>IFERROR(__xludf.DUMMYFUNCTION("""COMPUTED_VALUE"""),"Jhoran Khola Hydrpower Project")</f>
        <v>Jhoran Khola Hydrpower Project</v>
      </c>
      <c r="C1898" s="2">
        <f>IFERROR(__xludf.DUMMYFUNCTION("""COMPUTED_VALUE"""),0.99)</f>
        <v>0.99</v>
      </c>
      <c r="D1898" s="2" t="str">
        <f>IFERROR(__xludf.DUMMYFUNCTION("""COMPUTED_VALUE"""),"Jhoran")</f>
        <v>Jhoran</v>
      </c>
      <c r="E1898" s="2">
        <f>IFERROR(__xludf.DUMMYFUNCTION("""COMPUTED_VALUE"""),4164.0)</f>
        <v>4164</v>
      </c>
      <c r="F1898" s="3">
        <f>IFERROR(__xludf.DUMMYFUNCTION("""COMPUTED_VALUE"""),62507.0)</f>
        <v>62507</v>
      </c>
      <c r="G1898" s="2" t="str">
        <f>IFERROR(__xludf.DUMMYFUNCTION("""COMPUTED_VALUE"""),"Gautam Gurung")</f>
        <v>Gautam Gurung</v>
      </c>
      <c r="H1898" s="2" t="str">
        <f>IFERROR(__xludf.DUMMYFUNCTION("""COMPUTED_VALUE"""),"Birgunj, Parsa")</f>
        <v>Birgunj, Parsa</v>
      </c>
      <c r="I1898" s="2" t="str">
        <f>IFERROR(__xludf.DUMMYFUNCTION("""COMPUTED_VALUE"""),"02o 74' 93""")</f>
        <v>02o 74' 93"</v>
      </c>
      <c r="J1898" s="2" t="str">
        <f>IFERROR(__xludf.DUMMYFUNCTION("""COMPUTED_VALUE"""),"27o 46' 49""")</f>
        <v>27o 46' 49"</v>
      </c>
      <c r="K1898" s="2" t="str">
        <f>IFERROR(__xludf.DUMMYFUNCTION("""COMPUTED_VALUE"""),"08o 60' 83""")</f>
        <v>08o 60' 83"</v>
      </c>
      <c r="L1898" s="2" t="str">
        <f>IFERROR(__xludf.DUMMYFUNCTION("""COMPUTED_VALUE"""),"86o 09' 31""")</f>
        <v>86o 09' 31"</v>
      </c>
      <c r="M1898" s="2" t="str">
        <f>IFERROR(__xludf.DUMMYFUNCTION("""COMPUTED_VALUE"""),"Chilankha (Dolakha)")</f>
        <v>Chilankha (Dolakha)</v>
      </c>
    </row>
    <row r="1899">
      <c r="A1899" s="2">
        <f>IFERROR(__xludf.DUMMYFUNCTION("""COMPUTED_VALUE"""),1898.0)</f>
        <v>1898</v>
      </c>
      <c r="B1899" s="2" t="str">
        <f>IFERROR(__xludf.DUMMYFUNCTION("""COMPUTED_VALUE"""),"Jhoran Khola Hydrpower Project")</f>
        <v>Jhoran Khola Hydrpower Project</v>
      </c>
      <c r="C1899" s="2">
        <f>IFERROR(__xludf.DUMMYFUNCTION("""COMPUTED_VALUE"""),0.997)</f>
        <v>0.997</v>
      </c>
      <c r="D1899" s="2" t="str">
        <f>IFERROR(__xludf.DUMMYFUNCTION("""COMPUTED_VALUE"""),"Jhoran")</f>
        <v>Jhoran</v>
      </c>
      <c r="E1899" s="2">
        <f>IFERROR(__xludf.DUMMYFUNCTION("""COMPUTED_VALUE"""),4165.0)</f>
        <v>4165</v>
      </c>
      <c r="F1899" s="3">
        <f>IFERROR(__xludf.DUMMYFUNCTION("""COMPUTED_VALUE"""),62507.0)</f>
        <v>62507</v>
      </c>
      <c r="G1899" s="2" t="str">
        <f>IFERROR(__xludf.DUMMYFUNCTION("""COMPUTED_VALUE"""),"Chandra Bahadur Karki")</f>
        <v>Chandra Bahadur Karki</v>
      </c>
      <c r="H1899" s="2" t="str">
        <f>IFERROR(__xludf.DUMMYFUNCTION("""COMPUTED_VALUE"""),"Ward No.14 Pokhara Submetropolitan, Kaski")</f>
        <v>Ward No.14 Pokhara Submetropolitan, Kaski</v>
      </c>
      <c r="I1899" s="2" t="str">
        <f>IFERROR(__xludf.DUMMYFUNCTION("""COMPUTED_VALUE"""),"27o 46' 50""")</f>
        <v>27o 46' 50"</v>
      </c>
      <c r="J1899" s="2" t="str">
        <f>IFERROR(__xludf.DUMMYFUNCTION("""COMPUTED_VALUE"""),"27o 48' 05""")</f>
        <v>27o 48' 05"</v>
      </c>
      <c r="K1899" s="2" t="str">
        <f>IFERROR(__xludf.DUMMYFUNCTION("""COMPUTED_VALUE"""),"86o 08' 10""")</f>
        <v>86o 08' 10"</v>
      </c>
      <c r="L1899" s="2" t="str">
        <f>IFERROR(__xludf.DUMMYFUNCTION("""COMPUTED_VALUE"""),"86o 09' 05""")</f>
        <v>86o 09' 05"</v>
      </c>
      <c r="M1899" s="2" t="str">
        <f>IFERROR(__xludf.DUMMYFUNCTION("""COMPUTED_VALUE"""),"Laduk,Chilankha (Dolakha)")</f>
        <v>Laduk,Chilankha (Dolakha)</v>
      </c>
    </row>
    <row r="1900">
      <c r="A1900" s="2">
        <f>IFERROR(__xludf.DUMMYFUNCTION("""COMPUTED_VALUE"""),1899.0)</f>
        <v>1899</v>
      </c>
      <c r="B1900" s="2" t="str">
        <f>IFERROR(__xludf.DUMMYFUNCTION("""COMPUTED_VALUE"""),"Sagu Khola Hydropower Project")</f>
        <v>Sagu Khola Hydropower Project</v>
      </c>
      <c r="C1900" s="2">
        <f>IFERROR(__xludf.DUMMYFUNCTION("""COMPUTED_VALUE"""),0.95)</f>
        <v>0.95</v>
      </c>
      <c r="D1900" s="2" t="str">
        <f>IFERROR(__xludf.DUMMYFUNCTION("""COMPUTED_VALUE"""),"Sagu")</f>
        <v>Sagu</v>
      </c>
      <c r="E1900" s="2">
        <f>IFERROR(__xludf.DUMMYFUNCTION("""COMPUTED_VALUE"""),4166.0)</f>
        <v>4166</v>
      </c>
      <c r="F1900" s="3">
        <f>IFERROR(__xludf.DUMMYFUNCTION("""COMPUTED_VALUE"""),62507.0)</f>
        <v>62507</v>
      </c>
      <c r="G1900" s="2" t="str">
        <f>IFERROR(__xludf.DUMMYFUNCTION("""COMPUTED_VALUE"""),"Rajendra Kumar Karki")</f>
        <v>Rajendra Kumar Karki</v>
      </c>
      <c r="H1900" s="2" t="str">
        <f>IFERROR(__xludf.DUMMYFUNCTION("""COMPUTED_VALUE"""),"Betali, Ramechhap")</f>
        <v>Betali, Ramechhap</v>
      </c>
      <c r="I1900" s="2" t="str">
        <f>IFERROR(__xludf.DUMMYFUNCTION("""COMPUTED_VALUE"""),"27o 47' 18""")</f>
        <v>27o 47' 18"</v>
      </c>
      <c r="J1900" s="2" t="str">
        <f>IFERROR(__xludf.DUMMYFUNCTION("""COMPUTED_VALUE"""),"27o 48' 39""")</f>
        <v>27o 48' 39"</v>
      </c>
      <c r="K1900" s="2" t="str">
        <f>IFERROR(__xludf.DUMMYFUNCTION("""COMPUTED_VALUE"""),"86o 02' 45""")</f>
        <v>86o 02' 45"</v>
      </c>
      <c r="L1900" s="2" t="str">
        <f>IFERROR(__xludf.DUMMYFUNCTION("""COMPUTED_VALUE"""),"86o 07' 06""")</f>
        <v>86o 07' 06"</v>
      </c>
      <c r="M1900" s="2" t="str">
        <f>IFERROR(__xludf.DUMMYFUNCTION("""COMPUTED_VALUE"""),"Kalingchok (Dolakha)")</f>
        <v>Kalingchok (Dolakha)</v>
      </c>
    </row>
    <row r="1901">
      <c r="A1901" s="2">
        <f>IFERROR(__xludf.DUMMYFUNCTION("""COMPUTED_VALUE"""),1900.0)</f>
        <v>1900</v>
      </c>
      <c r="B1901" s="2" t="str">
        <f>IFERROR(__xludf.DUMMYFUNCTION("""COMPUTED_VALUE"""),"Super Mai Khola Small Hydropower Project")</f>
        <v>Super Mai Khola Small Hydropower Project</v>
      </c>
      <c r="C1901" s="2">
        <f>IFERROR(__xludf.DUMMYFUNCTION("""COMPUTED_VALUE"""),0.951)</f>
        <v>0.951</v>
      </c>
      <c r="D1901" s="2" t="str">
        <f>IFERROR(__xludf.DUMMYFUNCTION("""COMPUTED_VALUE"""),"Mai Khola")</f>
        <v>Mai Khola</v>
      </c>
      <c r="E1901" s="2">
        <f>IFERROR(__xludf.DUMMYFUNCTION("""COMPUTED_VALUE"""),4391.0)</f>
        <v>4391</v>
      </c>
      <c r="F1901" s="3">
        <f>IFERROR(__xludf.DUMMYFUNCTION("""COMPUTED_VALUE"""),62515.0)</f>
        <v>62515</v>
      </c>
      <c r="G1901" s="2" t="str">
        <f>IFERROR(__xludf.DUMMYFUNCTION("""COMPUTED_VALUE"""),"Bikram Bista")</f>
        <v>Bikram Bista</v>
      </c>
      <c r="H1901" s="2" t="str">
        <f>IFERROR(__xludf.DUMMYFUNCTION("""COMPUTED_VALUE"""),"Kathmandu -5./Bhojpur Sigdeshor-4")</f>
        <v>Kathmandu -5./Bhojpur Sigdeshor-4</v>
      </c>
      <c r="I1901" s="2" t="str">
        <f>IFERROR(__xludf.DUMMYFUNCTION("""COMPUTED_VALUE"""),"26o 58' 07""")</f>
        <v>26o 58' 07"</v>
      </c>
      <c r="J1901" s="2" t="str">
        <f>IFERROR(__xludf.DUMMYFUNCTION("""COMPUTED_VALUE"""),"26o 59' 10""")</f>
        <v>26o 59' 10"</v>
      </c>
      <c r="K1901" s="2" t="str">
        <f>IFERROR(__xludf.DUMMYFUNCTION("""COMPUTED_VALUE"""),"87o 57' 26""")</f>
        <v>87o 57' 26"</v>
      </c>
      <c r="L1901" s="2" t="str">
        <f>IFERROR(__xludf.DUMMYFUNCTION("""COMPUTED_VALUE"""),"87o 58' 30""")</f>
        <v>87o 58' 30"</v>
      </c>
      <c r="M1901" s="2" t="str">
        <f>IFERROR(__xludf.DUMMYFUNCTION("""COMPUTED_VALUE"""),"Sumbek (Ilam)")</f>
        <v>Sumbek (Ilam)</v>
      </c>
    </row>
    <row r="1902">
      <c r="A1902" s="2">
        <f>IFERROR(__xludf.DUMMYFUNCTION("""COMPUTED_VALUE"""),1901.0)</f>
        <v>1901</v>
      </c>
      <c r="B1902" s="2" t="str">
        <f>IFERROR(__xludf.DUMMYFUNCTION("""COMPUTED_VALUE"""),"Alampu Small Hydropower Project")</f>
        <v>Alampu Small Hydropower Project</v>
      </c>
      <c r="C1902" s="2">
        <f>IFERROR(__xludf.DUMMYFUNCTION("""COMPUTED_VALUE"""),0.998)</f>
        <v>0.998</v>
      </c>
      <c r="D1902" s="2" t="str">
        <f>IFERROR(__xludf.DUMMYFUNCTION("""COMPUTED_VALUE"""),"Sagu")</f>
        <v>Sagu</v>
      </c>
      <c r="E1902" s="2">
        <f>IFERROR(__xludf.DUMMYFUNCTION("""COMPUTED_VALUE"""),4309.0)</f>
        <v>4309</v>
      </c>
      <c r="F1902" s="3">
        <f>IFERROR(__xludf.DUMMYFUNCTION("""COMPUTED_VALUE"""),62516.0)</f>
        <v>62516</v>
      </c>
      <c r="G1902" s="2" t="str">
        <f>IFERROR(__xludf.DUMMYFUNCTION("""COMPUTED_VALUE"""),"dolti power")</f>
        <v>dolti power</v>
      </c>
      <c r="H1902" s="2" t="str">
        <f>IFERROR(__xludf.DUMMYFUNCTION("""COMPUTED_VALUE"""),"Thapagaun kathmandu")</f>
        <v>Thapagaun kathmandu</v>
      </c>
      <c r="I1902" s="2" t="str">
        <f>IFERROR(__xludf.DUMMYFUNCTION("""COMPUTED_VALUE"""),"27o 50' 50""")</f>
        <v>27o 50' 50"</v>
      </c>
      <c r="J1902" s="2" t="str">
        <f>IFERROR(__xludf.DUMMYFUNCTION("""COMPUTED_VALUE"""),"27o 51' 44""")</f>
        <v>27o 51' 44"</v>
      </c>
      <c r="K1902" s="2" t="str">
        <f>IFERROR(__xludf.DUMMYFUNCTION("""COMPUTED_VALUE"""),"86o 05' 00""")</f>
        <v>86o 05' 00"</v>
      </c>
      <c r="L1902" s="2" t="str">
        <f>IFERROR(__xludf.DUMMYFUNCTION("""COMPUTED_VALUE"""),"86o 06' 46""")</f>
        <v>86o 06' 46"</v>
      </c>
      <c r="M1902" s="2" t="str">
        <f>IFERROR(__xludf.DUMMYFUNCTION("""COMPUTED_VALUE"""),"Alampu (Dolakha)")</f>
        <v>Alampu (Dolakha)</v>
      </c>
    </row>
    <row r="1903">
      <c r="A1903" s="2">
        <f>IFERROR(__xludf.DUMMYFUNCTION("""COMPUTED_VALUE"""),1902.0)</f>
        <v>1902</v>
      </c>
      <c r="B1903" s="2" t="str">
        <f>IFERROR(__xludf.DUMMYFUNCTION("""COMPUTED_VALUE"""),"Upper Thadakhani Khola SHP")</f>
        <v>Upper Thadakhani Khola SHP</v>
      </c>
      <c r="C1903" s="2">
        <f>IFERROR(__xludf.DUMMYFUNCTION("""COMPUTED_VALUE"""),0.967)</f>
        <v>0.967</v>
      </c>
      <c r="D1903" s="2" t="str">
        <f>IFERROR(__xludf.DUMMYFUNCTION("""COMPUTED_VALUE"""),"Thadekhani Khola")</f>
        <v>Thadekhani Khola</v>
      </c>
      <c r="E1903" s="2">
        <f>IFERROR(__xludf.DUMMYFUNCTION("""COMPUTED_VALUE"""),4322.0)</f>
        <v>4322</v>
      </c>
      <c r="F1903" s="3">
        <f>IFERROR(__xludf.DUMMYFUNCTION("""COMPUTED_VALUE"""),62517.0)</f>
        <v>62517</v>
      </c>
      <c r="G1903" s="2" t="str">
        <f>IFERROR(__xludf.DUMMYFUNCTION("""COMPUTED_VALUE"""),"Bhumethan Hydropower Company Pvt. Ltd.")</f>
        <v>Bhumethan Hydropower Company Pvt. Ltd.</v>
      </c>
      <c r="H1903" s="2" t="str">
        <f>IFERROR(__xludf.DUMMYFUNCTION("""COMPUTED_VALUE"""),"Saibaba Marga, Ghar No.: 419, Banasthali, Kathmandu. Phone: No.: 014352906 
Mobile: 9851165234")</f>
        <v>Saibaba Marga, Ghar No.: 419, Banasthali, Kathmandu. Phone: No.: 014352906 
Mobile: 9851165234</v>
      </c>
      <c r="I1903" s="2" t="str">
        <f>IFERROR(__xludf.DUMMYFUNCTION("""COMPUTED_VALUE"""),"28o 26' 30""")</f>
        <v>28o 26' 30"</v>
      </c>
      <c r="J1903" s="2" t="str">
        <f>IFERROR(__xludf.DUMMYFUNCTION("""COMPUTED_VALUE"""),"28o 27' 30""")</f>
        <v>28o 27' 30"</v>
      </c>
      <c r="K1903" s="2" t="str">
        <f>IFERROR(__xludf.DUMMYFUNCTION("""COMPUTED_VALUE"""),"83o 29' 04""")</f>
        <v>83o 29' 04"</v>
      </c>
      <c r="L1903" s="2" t="str">
        <f>IFERROR(__xludf.DUMMYFUNCTION("""COMPUTED_VALUE"""),"83o 30' 28""")</f>
        <v>83o 30' 28"</v>
      </c>
      <c r="M1903" s="2" t="str">
        <f>IFERROR(__xludf.DUMMYFUNCTION("""COMPUTED_VALUE"""),"Pakhapani (Myagdi)")</f>
        <v>Pakhapani (Myagdi)</v>
      </c>
    </row>
    <row r="1904">
      <c r="A1904" s="2">
        <f>IFERROR(__xludf.DUMMYFUNCTION("""COMPUTED_VALUE"""),1903.0)</f>
        <v>1903</v>
      </c>
      <c r="B1904" s="2" t="str">
        <f>IFERROR(__xludf.DUMMYFUNCTION("""COMPUTED_VALUE"""),"Nyasim Hydropower Project")</f>
        <v>Nyasim Hydropower Project</v>
      </c>
      <c r="C1904" s="2">
        <f>IFERROR(__xludf.DUMMYFUNCTION("""COMPUTED_VALUE"""),30.0)</f>
        <v>30</v>
      </c>
      <c r="D1904" s="2" t="str">
        <f>IFERROR(__xludf.DUMMYFUNCTION("""COMPUTED_VALUE"""),"Nyasem Khola")</f>
        <v>Nyasem Khola</v>
      </c>
      <c r="E1904" s="2">
        <f>IFERROR(__xludf.DUMMYFUNCTION("""COMPUTED_VALUE"""),4346.0)</f>
        <v>4346</v>
      </c>
      <c r="F1904" s="2" t="str">
        <f>IFERROR(__xludf.DUMMYFUNCTION("""COMPUTED_VALUE"""),"2071-02-29")</f>
        <v>2071-02-29</v>
      </c>
      <c r="G1904" s="2" t="str">
        <f>IFERROR(__xludf.DUMMYFUNCTION("""COMPUTED_VALUE"""),"Sita Hydropower Company Pvt. Ltd")</f>
        <v>Sita Hydropower Company Pvt. Ltd</v>
      </c>
      <c r="H1904" s="2" t="str">
        <f>IFERROR(__xludf.DUMMYFUNCTION("""COMPUTED_VALUE"""),"Ward No. 13, Kalimati, Kathmandu")</f>
        <v>Ward No. 13, Kalimati, Kathmandu</v>
      </c>
      <c r="I1904" s="2" t="str">
        <f>IFERROR(__xludf.DUMMYFUNCTION("""COMPUTED_VALUE"""),"27o 57' 30""")</f>
        <v>27o 57' 30"</v>
      </c>
      <c r="J1904" s="2" t="str">
        <f>IFERROR(__xludf.DUMMYFUNCTION("""COMPUTED_VALUE"""),"27o 59' 30""")</f>
        <v>27o 59' 30"</v>
      </c>
      <c r="K1904" s="2" t="str">
        <f>IFERROR(__xludf.DUMMYFUNCTION("""COMPUTED_VALUE"""),"85o 47' 30""")</f>
        <v>85o 47' 30"</v>
      </c>
      <c r="L1904" s="2" t="str">
        <f>IFERROR(__xludf.DUMMYFUNCTION("""COMPUTED_VALUE"""),"85o 49' 30""")</f>
        <v>85o 49' 30"</v>
      </c>
      <c r="M1904" s="2" t="str">
        <f>IFERROR(__xludf.DUMMYFUNCTION("""COMPUTED_VALUE"""),"Gumba (Sindhupalchok)")</f>
        <v>Gumba (Sindhupalchok)</v>
      </c>
    </row>
    <row r="1905">
      <c r="A1905" s="2">
        <f>IFERROR(__xludf.DUMMYFUNCTION("""COMPUTED_VALUE"""),1904.0)</f>
        <v>1904</v>
      </c>
      <c r="B1905" s="2" t="str">
        <f>IFERROR(__xludf.DUMMYFUNCTION("""COMPUTED_VALUE"""),"Upper Daraudi Small Hydroelectric Project")</f>
        <v>Upper Daraudi Small Hydroelectric Project</v>
      </c>
      <c r="C1905" s="2">
        <f>IFERROR(__xludf.DUMMYFUNCTION("""COMPUTED_VALUE"""),10.0)</f>
        <v>10</v>
      </c>
      <c r="D1905" s="2" t="str">
        <f>IFERROR(__xludf.DUMMYFUNCTION("""COMPUTED_VALUE"""),"Daraundi")</f>
        <v>Daraundi</v>
      </c>
      <c r="E1905" s="2">
        <f>IFERROR(__xludf.DUMMYFUNCTION("""COMPUTED_VALUE"""),4383.0)</f>
        <v>4383</v>
      </c>
      <c r="F1905" s="3">
        <f>IFERROR(__xludf.DUMMYFUNCTION("""COMPUTED_VALUE"""),62518.0)</f>
        <v>62518</v>
      </c>
      <c r="G1905" s="2" t="str">
        <f>IFERROR(__xludf.DUMMYFUNCTION("""COMPUTED_VALUE"""),"Upper Daraudi Kalika Hydro Pvt. Ltd.")</f>
        <v>Upper Daraudi Kalika Hydro Pvt. Ltd.</v>
      </c>
      <c r="H1905" s="2" t="str">
        <f>IFERROR(__xludf.DUMMYFUNCTION("""COMPUTED_VALUE"""),"Kalika Tower, Baluwatar-4, Kathmandu. Phone: 014439152/153/154, Fax: 
014439155")</f>
        <v>Kalika Tower, Baluwatar-4, Kathmandu. Phone: 014439152/153/154, Fax: 
014439155</v>
      </c>
      <c r="I1905" s="2" t="str">
        <f>IFERROR(__xludf.DUMMYFUNCTION("""COMPUTED_VALUE"""),"28o 08' 15""")</f>
        <v>28o 08' 15"</v>
      </c>
      <c r="J1905" s="2" t="str">
        <f>IFERROR(__xludf.DUMMYFUNCTION("""COMPUTED_VALUE"""),"28o 11' 24""")</f>
        <v>28o 11' 24"</v>
      </c>
      <c r="K1905" s="2" t="str">
        <f>IFERROR(__xludf.DUMMYFUNCTION("""COMPUTED_VALUE"""),"84o 41' 21""")</f>
        <v>84o 41' 21"</v>
      </c>
      <c r="L1905" s="2" t="str">
        <f>IFERROR(__xludf.DUMMYFUNCTION("""COMPUTED_VALUE"""),"84o 43' 23""")</f>
        <v>84o 43' 23"</v>
      </c>
      <c r="M1905" s="2" t="str">
        <f>IFERROR(__xludf.DUMMYFUNCTION("""COMPUTED_VALUE"""),"Saurpani,Ghyalchok,Simjung,Muchhok (Gorkha)")</f>
        <v>Saurpani,Ghyalchok,Simjung,Muchhok (Gorkha)</v>
      </c>
    </row>
    <row r="1906">
      <c r="A1906" s="2">
        <f>IFERROR(__xludf.DUMMYFUNCTION("""COMPUTED_VALUE"""),1905.0)</f>
        <v>1905</v>
      </c>
      <c r="B1906" s="2" t="str">
        <f>IFERROR(__xludf.DUMMYFUNCTION("""COMPUTED_VALUE"""),"Karuwa Hydroelectric Project")</f>
        <v>Karuwa Hydroelectric Project</v>
      </c>
      <c r="C1906" s="2">
        <f>IFERROR(__xludf.DUMMYFUNCTION("""COMPUTED_VALUE"""),36.0)</f>
        <v>36</v>
      </c>
      <c r="D1906" s="2" t="str">
        <f>IFERROR(__xludf.DUMMYFUNCTION("""COMPUTED_VALUE"""),"Seti Khola")</f>
        <v>Seti Khola</v>
      </c>
      <c r="E1906" s="2">
        <f>IFERROR(__xludf.DUMMYFUNCTION("""COMPUTED_VALUE"""),4504.0)</f>
        <v>4504</v>
      </c>
      <c r="F1906" s="3">
        <f>IFERROR(__xludf.DUMMYFUNCTION("""COMPUTED_VALUE"""),62526.0)</f>
        <v>62526</v>
      </c>
      <c r="G1906" s="2" t="str">
        <f>IFERROR(__xludf.DUMMYFUNCTION("""COMPUTED_VALUE"""),"Jhyamolongma Hydropower Development Company Pvt. Ltd.")</f>
        <v>Jhyamolongma Hydropower Development Company Pvt. Ltd.</v>
      </c>
      <c r="H1906" s="2" t="str">
        <f>IFERROR(__xludf.DUMMYFUNCTION("""COMPUTED_VALUE"""),"PO Box: 220 Pokhara, Kaski. Rastra Bank Chowk")</f>
        <v>PO Box: 220 Pokhara, Kaski. Rastra Bank Chowk</v>
      </c>
      <c r="I1906" s="2" t="str">
        <f>IFERROR(__xludf.DUMMYFUNCTION("""COMPUTED_VALUE"""),"28o 22' 12""")</f>
        <v>28o 22' 12"</v>
      </c>
      <c r="J1906" s="2" t="str">
        <f>IFERROR(__xludf.DUMMYFUNCTION("""COMPUTED_VALUE"""),"28o 24' 30""")</f>
        <v>28o 24' 30"</v>
      </c>
      <c r="K1906" s="2" t="str">
        <f>IFERROR(__xludf.DUMMYFUNCTION("""COMPUTED_VALUE"""),"83o 57' 00""")</f>
        <v>83o 57' 00"</v>
      </c>
      <c r="L1906" s="2" t="str">
        <f>IFERROR(__xludf.DUMMYFUNCTION("""COMPUTED_VALUE"""),"84o 00' 00""")</f>
        <v>84o 00' 00"</v>
      </c>
      <c r="M1906" s="2" t="str">
        <f>IFERROR(__xludf.DUMMYFUNCTION("""COMPUTED_VALUE"""),"Machhapuchchhre,Sardikhola (Kaski)")</f>
        <v>Machhapuchchhre,Sardikhola (Kaski)</v>
      </c>
    </row>
    <row r="1907">
      <c r="A1907" s="2">
        <f>IFERROR(__xludf.DUMMYFUNCTION("""COMPUTED_VALUE"""),1906.0)</f>
        <v>1906</v>
      </c>
      <c r="B1907" s="2" t="str">
        <f>IFERROR(__xludf.DUMMYFUNCTION("""COMPUTED_VALUE"""),"Super Tadi Hydropower Project")</f>
        <v>Super Tadi Hydropower Project</v>
      </c>
      <c r="C1907" s="2">
        <f>IFERROR(__xludf.DUMMYFUNCTION("""COMPUTED_VALUE"""),0.96)</f>
        <v>0.96</v>
      </c>
      <c r="D1907" s="2" t="str">
        <f>IFERROR(__xludf.DUMMYFUNCTION("""COMPUTED_VALUE"""),"Tadi Khola")</f>
        <v>Tadi Khola</v>
      </c>
      <c r="E1907" s="2">
        <f>IFERROR(__xludf.DUMMYFUNCTION("""COMPUTED_VALUE"""),4628.0)</f>
        <v>4628</v>
      </c>
      <c r="F1907" s="3">
        <f>IFERROR(__xludf.DUMMYFUNCTION("""COMPUTED_VALUE"""),62533.0)</f>
        <v>62533</v>
      </c>
      <c r="G1907" s="2" t="str">
        <f>IFERROR(__xludf.DUMMYFUNCTION("""COMPUTED_VALUE"""),"Hari Krishna Shrestha")</f>
        <v>Hari Krishna Shrestha</v>
      </c>
      <c r="H1907" s="2" t="str">
        <f>IFERROR(__xludf.DUMMYFUNCTION("""COMPUTED_VALUE"""),"Bidur 4, Nuwakot")</f>
        <v>Bidur 4, Nuwakot</v>
      </c>
      <c r="I1907" s="2" t="str">
        <f>IFERROR(__xludf.DUMMYFUNCTION("""COMPUTED_VALUE"""),"27o 58' 00""")</f>
        <v>27o 58' 00"</v>
      </c>
      <c r="J1907" s="2" t="str">
        <f>IFERROR(__xludf.DUMMYFUNCTION("""COMPUTED_VALUE"""),"28o 00' 45""")</f>
        <v>28o 00' 45"</v>
      </c>
      <c r="K1907" s="2" t="str">
        <f>IFERROR(__xludf.DUMMYFUNCTION("""COMPUTED_VALUE"""),"85o 26' 26""")</f>
        <v>85o 26' 26"</v>
      </c>
      <c r="L1907" s="2" t="str">
        <f>IFERROR(__xludf.DUMMYFUNCTION("""COMPUTED_VALUE"""),"85o 28' 00""")</f>
        <v>85o 28' 00"</v>
      </c>
      <c r="M1907" s="2" t="str">
        <f>IFERROR(__xludf.DUMMYFUNCTION("""COMPUTED_VALUE"""),"Dhyangphedi (Nuwakot)")</f>
        <v>Dhyangphedi (Nuwakot)</v>
      </c>
    </row>
    <row r="1908">
      <c r="A1908" s="2">
        <f>IFERROR(__xludf.DUMMYFUNCTION("""COMPUTED_VALUE"""),1907.0)</f>
        <v>1907</v>
      </c>
      <c r="B1908" s="2" t="str">
        <f>IFERROR(__xludf.DUMMYFUNCTION("""COMPUTED_VALUE"""),"Rosyan(Dhunchet) Khola Hydropower Project")</f>
        <v>Rosyan(Dhunchet) Khola Hydropower Project</v>
      </c>
      <c r="C1908" s="2">
        <f>IFERROR(__xludf.DUMMYFUNCTION("""COMPUTED_VALUE"""),0.996)</f>
        <v>0.996</v>
      </c>
      <c r="D1908" s="2" t="str">
        <f>IFERROR(__xludf.DUMMYFUNCTION("""COMPUTED_VALUE"""),"Rosyan(Dhunchet)")</f>
        <v>Rosyan(Dhunchet)</v>
      </c>
      <c r="E1908" s="2">
        <f>IFERROR(__xludf.DUMMYFUNCTION("""COMPUTED_VALUE"""),4648.0)</f>
        <v>4648</v>
      </c>
      <c r="F1908" s="3">
        <f>IFERROR(__xludf.DUMMYFUNCTION("""COMPUTED_VALUE"""),62534.0)</f>
        <v>62534</v>
      </c>
      <c r="G1908" s="2" t="str">
        <f>IFERROR(__xludf.DUMMYFUNCTION("""COMPUTED_VALUE"""),"Amulya Urja Bikas Company Pvt. Ltd.")</f>
        <v>Amulya Urja Bikas Company Pvt. Ltd.</v>
      </c>
      <c r="H1908" s="2" t="str">
        <f>IFERROR(__xludf.DUMMYFUNCTION("""COMPUTED_VALUE"""),"Sanepa Road, Kupondole, Lalitpur. Phone: 015011841, Mobile: 9851150603, 
9841929318")</f>
        <v>Sanepa Road, Kupondole, Lalitpur. Phone: 015011841, Mobile: 9851150603, 
9841929318</v>
      </c>
      <c r="I1908" s="2" t="str">
        <f>IFERROR(__xludf.DUMMYFUNCTION("""COMPUTED_VALUE"""),"28o 09' 52""")</f>
        <v>28o 09' 52"</v>
      </c>
      <c r="J1908" s="2" t="str">
        <f>IFERROR(__xludf.DUMMYFUNCTION("""COMPUTED_VALUE"""),"28o 10' 33""")</f>
        <v>28o 10' 33"</v>
      </c>
      <c r="K1908" s="2" t="str">
        <f>IFERROR(__xludf.DUMMYFUNCTION("""COMPUTED_VALUE"""),"84o 55' 52""")</f>
        <v>84o 55' 52"</v>
      </c>
      <c r="L1908" s="2" t="str">
        <f>IFERROR(__xludf.DUMMYFUNCTION("""COMPUTED_VALUE"""),"84o 56' 20""")</f>
        <v>84o 56' 20"</v>
      </c>
      <c r="M1908" s="2" t="str">
        <f>IFERROR(__xludf.DUMMYFUNCTION("""COMPUTED_VALUE"""),"Manbu (Gorkha)")</f>
        <v>Manbu (Gorkha)</v>
      </c>
    </row>
    <row r="1909">
      <c r="A1909" s="2">
        <f>IFERROR(__xludf.DUMMYFUNCTION("""COMPUTED_VALUE"""),1908.0)</f>
        <v>1908</v>
      </c>
      <c r="B1909" s="2" t="str">
        <f>IFERROR(__xludf.DUMMYFUNCTION("""COMPUTED_VALUE"""),"Super Down Piluwa Khola Small Hydropower Project")</f>
        <v>Super Down Piluwa Khola Small Hydropower Project</v>
      </c>
      <c r="C1909" s="2">
        <f>IFERROR(__xludf.DUMMYFUNCTION("""COMPUTED_VALUE"""),0.998)</f>
        <v>0.998</v>
      </c>
      <c r="D1909" s="2" t="str">
        <f>IFERROR(__xludf.DUMMYFUNCTION("""COMPUTED_VALUE"""),"Piluwa Khola")</f>
        <v>Piluwa Khola</v>
      </c>
      <c r="E1909" s="2">
        <f>IFERROR(__xludf.DUMMYFUNCTION("""COMPUTED_VALUE"""),4740.0)</f>
        <v>4740</v>
      </c>
      <c r="F1909" s="3">
        <f>IFERROR(__xludf.DUMMYFUNCTION("""COMPUTED_VALUE"""),62537.0)</f>
        <v>62537</v>
      </c>
      <c r="G1909" s="2" t="str">
        <f>IFERROR(__xludf.DUMMYFUNCTION("""COMPUTED_VALUE"""),"Indra Mandal Rai,Sudip Kumar Chaudhari")</f>
        <v>Indra Mandal Rai,Sudip Kumar Chaudhari</v>
      </c>
      <c r="H1909" s="2" t="str">
        <f>IFERROR(__xludf.DUMMYFUNCTION("""COMPUTED_VALUE"""),"Itahari, Sunsari,9843 142092")</f>
        <v>Itahari, Sunsari,9843 142092</v>
      </c>
      <c r="I1909" s="2" t="str">
        <f>IFERROR(__xludf.DUMMYFUNCTION("""COMPUTED_VALUE"""),"27o 12' 57""")</f>
        <v>27o 12' 57"</v>
      </c>
      <c r="J1909" s="2" t="str">
        <f>IFERROR(__xludf.DUMMYFUNCTION("""COMPUTED_VALUE"""),"27o 13' 30""")</f>
        <v>27o 13' 30"</v>
      </c>
      <c r="K1909" s="2" t="str">
        <f>IFERROR(__xludf.DUMMYFUNCTION("""COMPUTED_VALUE"""),"87o 14' 37""")</f>
        <v>87o 14' 37"</v>
      </c>
      <c r="L1909" s="2" t="str">
        <f>IFERROR(__xludf.DUMMYFUNCTION("""COMPUTED_VALUE"""),"87o 15' 12""")</f>
        <v>87o 15' 12"</v>
      </c>
      <c r="M1909" s="2" t="str">
        <f>IFERROR(__xludf.DUMMYFUNCTION("""COMPUTED_VALUE"""),"Ankhibhui,Kharang (Sankhuwasabha)")</f>
        <v>Ankhibhui,Kharang (Sankhuwasabha)</v>
      </c>
    </row>
    <row r="1910">
      <c r="A1910" s="2">
        <f>IFERROR(__xludf.DUMMYFUNCTION("""COMPUTED_VALUE"""),1909.0)</f>
        <v>1909</v>
      </c>
      <c r="B1910" s="2" t="str">
        <f>IFERROR(__xludf.DUMMYFUNCTION("""COMPUTED_VALUE"""),"Thakur Khola-A Mini HPP")</f>
        <v>Thakur Khola-A Mini HPP</v>
      </c>
      <c r="C1910" s="2">
        <f>IFERROR(__xludf.DUMMYFUNCTION("""COMPUTED_VALUE"""),0.935)</f>
        <v>0.935</v>
      </c>
      <c r="D1910" s="2" t="str">
        <f>IFERROR(__xludf.DUMMYFUNCTION("""COMPUTED_VALUE"""),"Thakur Khola-")</f>
        <v>Thakur Khola-</v>
      </c>
      <c r="E1910" s="2">
        <f>IFERROR(__xludf.DUMMYFUNCTION("""COMPUTED_VALUE"""),846.0)</f>
        <v>846</v>
      </c>
      <c r="F1910" s="3">
        <f>IFERROR(__xludf.DUMMYFUNCTION("""COMPUTED_VALUE"""),62537.0)</f>
        <v>62537</v>
      </c>
      <c r="G1910" s="2" t="str">
        <f>IFERROR(__xludf.DUMMYFUNCTION("""COMPUTED_VALUE"""),"Gopal Chandra Regmi")</f>
        <v>Gopal Chandra Regmi</v>
      </c>
      <c r="H1910" s="2" t="str">
        <f>IFERROR(__xludf.DUMMYFUNCTION("""COMPUTED_VALUE"""),"Kisan Nagar VDC-8,Mahottari, 9841970895, 035450160")</f>
        <v>Kisan Nagar VDC-8,Mahottari, 9841970895, 035450160</v>
      </c>
      <c r="I1910" s="2" t="str">
        <f>IFERROR(__xludf.DUMMYFUNCTION("""COMPUTED_VALUE"""),"27o 02' 32""")</f>
        <v>27o 02' 32"</v>
      </c>
      <c r="J1910" s="2" t="str">
        <f>IFERROR(__xludf.DUMMYFUNCTION("""COMPUTED_VALUE"""),"27o 03' 37""")</f>
        <v>27o 03' 37"</v>
      </c>
      <c r="K1910" s="2" t="str">
        <f>IFERROR(__xludf.DUMMYFUNCTION("""COMPUTED_VALUE"""),"86o 12' 14""")</f>
        <v>86o 12' 14"</v>
      </c>
      <c r="L1910" s="2" t="str">
        <f>IFERROR(__xludf.DUMMYFUNCTION("""COMPUTED_VALUE"""),"86o 13' 26""")</f>
        <v>86o 13' 26"</v>
      </c>
      <c r="M1910" s="2" t="str">
        <f>IFERROR(__xludf.DUMMYFUNCTION("""COMPUTED_VALUE"""),"Arun Thakur,Arun Thakur (Sindhuli)")</f>
        <v>Arun Thakur,Arun Thakur (Sindhuli)</v>
      </c>
    </row>
    <row r="1911">
      <c r="A1911" s="2">
        <f>IFERROR(__xludf.DUMMYFUNCTION("""COMPUTED_VALUE"""),1910.0)</f>
        <v>1910</v>
      </c>
      <c r="B1911" s="2" t="str">
        <f>IFERROR(__xludf.DUMMYFUNCTION("""COMPUTED_VALUE"""),"Tamakoshi Jamkitar Small Hydropower Project")</f>
        <v>Tamakoshi Jamkitar Small Hydropower Project</v>
      </c>
      <c r="C1911" s="2">
        <f>IFERROR(__xludf.DUMMYFUNCTION("""COMPUTED_VALUE"""),0.95)</f>
        <v>0.95</v>
      </c>
      <c r="D1911" s="2" t="str">
        <f>IFERROR(__xludf.DUMMYFUNCTION("""COMPUTED_VALUE"""),"Tamakoshi Jamkitar (Sagu)")</f>
        <v>Tamakoshi Jamkitar (Sagu)</v>
      </c>
      <c r="E1911" s="2">
        <f>IFERROR(__xludf.DUMMYFUNCTION("""COMPUTED_VALUE"""),4850.0)</f>
        <v>4850</v>
      </c>
      <c r="F1911" s="3">
        <f>IFERROR(__xludf.DUMMYFUNCTION("""COMPUTED_VALUE"""),62542.0)</f>
        <v>62542</v>
      </c>
      <c r="G1911" s="2" t="str">
        <f>IFERROR(__xludf.DUMMYFUNCTION("""COMPUTED_VALUE"""),"Anand Pradhan")</f>
        <v>Anand Pradhan</v>
      </c>
      <c r="H1911" s="2"/>
      <c r="I1911" s="2" t="str">
        <f>IFERROR(__xludf.DUMMYFUNCTION("""COMPUTED_VALUE"""),"27o 47' 27""")</f>
        <v>27o 47' 27"</v>
      </c>
      <c r="J1911" s="2" t="str">
        <f>IFERROR(__xludf.DUMMYFUNCTION("""COMPUTED_VALUE"""),"27o 47' 59""")</f>
        <v>27o 47' 59"</v>
      </c>
      <c r="K1911" s="2" t="str">
        <f>IFERROR(__xludf.DUMMYFUNCTION("""COMPUTED_VALUE"""),"86o 03' 47""")</f>
        <v>86o 03' 47"</v>
      </c>
      <c r="L1911" s="2" t="str">
        <f>IFERROR(__xludf.DUMMYFUNCTION("""COMPUTED_VALUE"""),"86o 05' 51""")</f>
        <v>86o 05' 51"</v>
      </c>
      <c r="M1911" s="2" t="str">
        <f>IFERROR(__xludf.DUMMYFUNCTION("""COMPUTED_VALUE"""),"Kalingchok,Khupachagu (Dolakha)")</f>
        <v>Kalingchok,Khupachagu (Dolakha)</v>
      </c>
    </row>
    <row r="1912">
      <c r="A1912" s="2">
        <f>IFERROR(__xludf.DUMMYFUNCTION("""COMPUTED_VALUE"""),1911.0)</f>
        <v>1911</v>
      </c>
      <c r="B1912" s="2" t="str">
        <f>IFERROR(__xludf.DUMMYFUNCTION("""COMPUTED_VALUE"""),"Sagu Khola Small Hydropower Project")</f>
        <v>Sagu Khola Small Hydropower Project</v>
      </c>
      <c r="C1912" s="2">
        <f>IFERROR(__xludf.DUMMYFUNCTION("""COMPUTED_VALUE"""),0.995)</f>
        <v>0.995</v>
      </c>
      <c r="D1912" s="2" t="str">
        <f>IFERROR(__xludf.DUMMYFUNCTION("""COMPUTED_VALUE"""),"Sagu")</f>
        <v>Sagu</v>
      </c>
      <c r="E1912" s="2">
        <f>IFERROR(__xludf.DUMMYFUNCTION("""COMPUTED_VALUE"""),4860.0)</f>
        <v>4860</v>
      </c>
      <c r="F1912" s="3">
        <f>IFERROR(__xludf.DUMMYFUNCTION("""COMPUTED_VALUE"""),62543.0)</f>
        <v>62543</v>
      </c>
      <c r="G1912" s="2" t="str">
        <f>IFERROR(__xludf.DUMMYFUNCTION("""COMPUTED_VALUE"""),"Niko Energy Pvt. Ltd (Nim Raj Lama)")</f>
        <v>Niko Energy Pvt. Ltd (Nim Raj Lama)</v>
      </c>
      <c r="H1912" s="2" t="str">
        <f>IFERROR(__xludf.DUMMYFUNCTION("""COMPUTED_VALUE"""),"Babare, Dholakha")</f>
        <v>Babare, Dholakha</v>
      </c>
      <c r="I1912" s="2" t="str">
        <f>IFERROR(__xludf.DUMMYFUNCTION("""COMPUTED_VALUE"""),"27o 47' 03""")</f>
        <v>27o 47' 03"</v>
      </c>
      <c r="J1912" s="2" t="str">
        <f>IFERROR(__xludf.DUMMYFUNCTION("""COMPUTED_VALUE"""),"27o 47' 47""")</f>
        <v>27o 47' 47"</v>
      </c>
      <c r="K1912" s="2" t="str">
        <f>IFERROR(__xludf.DUMMYFUNCTION("""COMPUTED_VALUE"""),"86o 05' 49""")</f>
        <v>86o 05' 49"</v>
      </c>
      <c r="L1912" s="2" t="str">
        <f>IFERROR(__xludf.DUMMYFUNCTION("""COMPUTED_VALUE"""),"86o 07' 03""")</f>
        <v>86o 07' 03"</v>
      </c>
      <c r="M1912" s="2" t="str">
        <f>IFERROR(__xludf.DUMMYFUNCTION("""COMPUTED_VALUE"""),"Babare,Khupachagu (Dolakha)")</f>
        <v>Babare,Khupachagu (Dolakha)</v>
      </c>
    </row>
    <row r="1913">
      <c r="A1913" s="2">
        <f>IFERROR(__xludf.DUMMYFUNCTION("""COMPUTED_VALUE"""),1912.0)</f>
        <v>1912</v>
      </c>
      <c r="B1913" s="2" t="str">
        <f>IFERROR(__xludf.DUMMYFUNCTION("""COMPUTED_VALUE"""),"Middle Jogmai Cascade HPP")</f>
        <v>Middle Jogmai Cascade HPP</v>
      </c>
      <c r="C1913" s="2">
        <f>IFERROR(__xludf.DUMMYFUNCTION("""COMPUTED_VALUE"""),0.46)</f>
        <v>0.46</v>
      </c>
      <c r="D1913" s="2" t="str">
        <f>IFERROR(__xludf.DUMMYFUNCTION("""COMPUTED_VALUE"""),"Jogmai Khola")</f>
        <v>Jogmai Khola</v>
      </c>
      <c r="E1913" s="2">
        <f>IFERROR(__xludf.DUMMYFUNCTION("""COMPUTED_VALUE"""),72.0)</f>
        <v>72</v>
      </c>
      <c r="F1913" s="3">
        <f>IFERROR(__xludf.DUMMYFUNCTION("""COMPUTED_VALUE"""),62553.0)</f>
        <v>62553</v>
      </c>
      <c r="G1913" s="2" t="str">
        <f>IFERROR(__xludf.DUMMYFUNCTION("""COMPUTED_VALUE"""),"Sunil Shrestha")</f>
        <v>Sunil Shrestha</v>
      </c>
      <c r="H1913" s="2" t="str">
        <f>IFERROR(__xludf.DUMMYFUNCTION("""COMPUTED_VALUE"""),"Kathmandu-5,tangal , Handigaun.")</f>
        <v>Kathmandu-5,tangal , Handigaun.</v>
      </c>
      <c r="I1913" s="2" t="str">
        <f>IFERROR(__xludf.DUMMYFUNCTION("""COMPUTED_VALUE"""),"26o 54' 31""")</f>
        <v>26o 54' 31"</v>
      </c>
      <c r="J1913" s="2" t="str">
        <f>IFERROR(__xludf.DUMMYFUNCTION("""COMPUTED_VALUE"""),"26o 54' 47""")</f>
        <v>26o 54' 47"</v>
      </c>
      <c r="K1913" s="2" t="str">
        <f>IFERROR(__xludf.DUMMYFUNCTION("""COMPUTED_VALUE"""),"88o 01' 00""")</f>
        <v>88o 01' 00"</v>
      </c>
      <c r="L1913" s="2" t="str">
        <f>IFERROR(__xludf.DUMMYFUNCTION("""COMPUTED_VALUE"""),"88o 01' 09""")</f>
        <v>88o 01' 09"</v>
      </c>
      <c r="M1913" s="2" t="str">
        <f>IFERROR(__xludf.DUMMYFUNCTION("""COMPUTED_VALUE"""),"Namsaling,Panchakanya (Ilam)")</f>
        <v>Namsaling,Panchakanya (Ilam)</v>
      </c>
    </row>
    <row r="1914">
      <c r="A1914" s="2">
        <f>IFERROR(__xludf.DUMMYFUNCTION("""COMPUTED_VALUE"""),1913.0)</f>
        <v>1913</v>
      </c>
      <c r="B1914" s="2" t="str">
        <f>IFERROR(__xludf.DUMMYFUNCTION("""COMPUTED_VALUE"""),"Khoranga Khola Mini HPP")</f>
        <v>Khoranga Khola Mini HPP</v>
      </c>
      <c r="C1914" s="2">
        <f>IFERROR(__xludf.DUMMYFUNCTION("""COMPUTED_VALUE"""),0.992)</f>
        <v>0.992</v>
      </c>
      <c r="D1914" s="2" t="str">
        <f>IFERROR(__xludf.DUMMYFUNCTION("""COMPUTED_VALUE"""),"Khoranga Khola")</f>
        <v>Khoranga Khola</v>
      </c>
      <c r="E1914" s="2">
        <f>IFERROR(__xludf.DUMMYFUNCTION("""COMPUTED_VALUE"""),267.0)</f>
        <v>267</v>
      </c>
      <c r="F1914" s="3">
        <f>IFERROR(__xludf.DUMMYFUNCTION("""COMPUTED_VALUE"""),62556.0)</f>
        <v>62556</v>
      </c>
      <c r="G1914" s="2" t="str">
        <f>IFERROR(__xludf.DUMMYFUNCTION("""COMPUTED_VALUE"""),"Shraddha Timilsina")</f>
        <v>Shraddha Timilsina</v>
      </c>
      <c r="H1914" s="2" t="str">
        <f>IFERROR(__xludf.DUMMYFUNCTION("""COMPUTED_VALUE"""),"Khumaltar-15, Lalitpur,")</f>
        <v>Khumaltar-15, Lalitpur,</v>
      </c>
      <c r="I1914" s="2" t="str">
        <f>IFERROR(__xludf.DUMMYFUNCTION("""COMPUTED_VALUE"""),"27o 06' 25""")</f>
        <v>27o 06' 25"</v>
      </c>
      <c r="J1914" s="2" t="str">
        <f>IFERROR(__xludf.DUMMYFUNCTION("""COMPUTED_VALUE"""),"27o 07' 30""")</f>
        <v>27o 07' 30"</v>
      </c>
      <c r="K1914" s="2" t="str">
        <f>IFERROR(__xludf.DUMMYFUNCTION("""COMPUTED_VALUE"""),"87o 34' 00""")</f>
        <v>87o 34' 00"</v>
      </c>
      <c r="L1914" s="2" t="str">
        <f>IFERROR(__xludf.DUMMYFUNCTION("""COMPUTED_VALUE"""),"87o 35' 30""")</f>
        <v>87o 35' 30"</v>
      </c>
      <c r="M1914" s="2" t="str">
        <f>IFERROR(__xludf.DUMMYFUNCTION("""COMPUTED_VALUE"""),"Jaljale,Simle,Tamfula (Terhathum)")</f>
        <v>Jaljale,Simle,Tamfula (Terhathum)</v>
      </c>
    </row>
    <row r="1915">
      <c r="A1915" s="2">
        <f>IFERROR(__xludf.DUMMYFUNCTION("""COMPUTED_VALUE"""),1914.0)</f>
        <v>1914</v>
      </c>
      <c r="B1915" s="2" t="str">
        <f>IFERROR(__xludf.DUMMYFUNCTION("""COMPUTED_VALUE"""),"Khadigad Khola Mini HP")</f>
        <v>Khadigad Khola Mini HP</v>
      </c>
      <c r="C1915" s="2">
        <f>IFERROR(__xludf.DUMMYFUNCTION("""COMPUTED_VALUE"""),0.5)</f>
        <v>0.5</v>
      </c>
      <c r="D1915" s="2" t="str">
        <f>IFERROR(__xludf.DUMMYFUNCTION("""COMPUTED_VALUE"""),"khadigad")</f>
        <v>khadigad</v>
      </c>
      <c r="E1915" s="2">
        <f>IFERROR(__xludf.DUMMYFUNCTION("""COMPUTED_VALUE"""),423.0)</f>
        <v>423</v>
      </c>
      <c r="F1915" s="3">
        <f>IFERROR(__xludf.DUMMYFUNCTION("""COMPUTED_VALUE"""),62567.0)</f>
        <v>62567</v>
      </c>
      <c r="G1915" s="2" t="str">
        <f>IFERROR(__xludf.DUMMYFUNCTION("""COMPUTED_VALUE"""),"Khadigad Jalvidyut ayojana samiti, Dev Bahadur Yari")</f>
        <v>Khadigad Jalvidyut ayojana samiti, Dev Bahadur Yari</v>
      </c>
      <c r="H1915" s="2" t="str">
        <f>IFERROR(__xludf.DUMMYFUNCTION("""COMPUTED_VALUE"""),"Rukum Ph 9848900497")</f>
        <v>Rukum Ph 9848900497</v>
      </c>
      <c r="I1915" s="2" t="str">
        <f>IFERROR(__xludf.DUMMYFUNCTION("""COMPUTED_VALUE"""),"00o 00' 00""")</f>
        <v>00o 00' 00"</v>
      </c>
      <c r="J1915" s="2" t="str">
        <f>IFERROR(__xludf.DUMMYFUNCTION("""COMPUTED_VALUE"""),"00o 00' 00""")</f>
        <v>00o 00' 00"</v>
      </c>
      <c r="K1915" s="2" t="str">
        <f>IFERROR(__xludf.DUMMYFUNCTION("""COMPUTED_VALUE"""),"00o 00' 00""")</f>
        <v>00o 00' 00"</v>
      </c>
      <c r="L1915" s="2" t="str">
        <f>IFERROR(__xludf.DUMMYFUNCTION("""COMPUTED_VALUE"""),"00o 00' 00""")</f>
        <v>00o 00' 00"</v>
      </c>
      <c r="M1915" s="2" t="str">
        <f>IFERROR(__xludf.DUMMYFUNCTION("""COMPUTED_VALUE"""),"Syalakhadi (Rukum)")</f>
        <v>Syalakhadi (Rukum)</v>
      </c>
    </row>
    <row r="1916">
      <c r="A1916" s="2">
        <f>IFERROR(__xludf.DUMMYFUNCTION("""COMPUTED_VALUE"""),1915.0)</f>
        <v>1915</v>
      </c>
      <c r="B1916" s="2" t="str">
        <f>IFERROR(__xludf.DUMMYFUNCTION("""COMPUTED_VALUE"""),"Isuwa-Apsuwa Hydro Project")</f>
        <v>Isuwa-Apsuwa Hydro Project</v>
      </c>
      <c r="C1916" s="2">
        <f>IFERROR(__xludf.DUMMYFUNCTION("""COMPUTED_VALUE"""),91.24)</f>
        <v>91.24</v>
      </c>
      <c r="D1916" s="2" t="str">
        <f>IFERROR(__xludf.DUMMYFUNCTION("""COMPUTED_VALUE"""),"Isuwa,Apsuwa")</f>
        <v>Isuwa,Apsuwa</v>
      </c>
      <c r="E1916" s="2">
        <f>IFERROR(__xludf.DUMMYFUNCTION("""COMPUTED_VALUE"""),436.0)</f>
        <v>436</v>
      </c>
      <c r="F1916" s="3">
        <f>IFERROR(__xludf.DUMMYFUNCTION("""COMPUTED_VALUE"""),62567.0)</f>
        <v>62567</v>
      </c>
      <c r="G1916" s="2" t="str">
        <f>IFERROR(__xludf.DUMMYFUNCTION("""COMPUTED_VALUE"""),"DolakhaNirman Company Pvt. Ltd.")</f>
        <v>DolakhaNirman Company Pvt. Ltd.</v>
      </c>
      <c r="H1916" s="2" t="str">
        <f>IFERROR(__xludf.DUMMYFUNCTION("""COMPUTED_VALUE"""),"Biratnagar ,Nepal. Kathmandu-10,New Baneshwor,Kathmandu")</f>
        <v>Biratnagar ,Nepal. Kathmandu-10,New Baneshwor,Kathmandu</v>
      </c>
      <c r="I1916" s="2" t="str">
        <f>IFERROR(__xludf.DUMMYFUNCTION("""COMPUTED_VALUE"""),"27o 30' 50""")</f>
        <v>27o 30' 50"</v>
      </c>
      <c r="J1916" s="2" t="str">
        <f>IFERROR(__xludf.DUMMYFUNCTION("""COMPUTED_VALUE"""),"27o 37' 19""")</f>
        <v>27o 37' 19"</v>
      </c>
      <c r="K1916" s="2" t="str">
        <f>IFERROR(__xludf.DUMMYFUNCTION("""COMPUTED_VALUE"""),"86o 17' 00""")</f>
        <v>86o 17' 00"</v>
      </c>
      <c r="L1916" s="2" t="str">
        <f>IFERROR(__xludf.DUMMYFUNCTION("""COMPUTED_VALUE"""),"87o 12' 47""")</f>
        <v>87o 12' 47"</v>
      </c>
      <c r="M1916" s="2" t="str">
        <f>IFERROR(__xludf.DUMMYFUNCTION("""COMPUTED_VALUE"""),"Diding,Makalu,Yafu (Sankhuwasabha)")</f>
        <v>Diding,Makalu,Yafu (Sankhuwasabha)</v>
      </c>
    </row>
    <row r="1917">
      <c r="A1917" s="2">
        <f>IFERROR(__xludf.DUMMYFUNCTION("""COMPUTED_VALUE"""),1916.0)</f>
        <v>1916</v>
      </c>
      <c r="B1917" s="2" t="str">
        <f>IFERROR(__xludf.DUMMYFUNCTION("""COMPUTED_VALUE"""),"Upper Mailung Khola Hydropower Project")</f>
        <v>Upper Mailung Khola Hydropower Project</v>
      </c>
      <c r="C1917" s="2">
        <f>IFERROR(__xludf.DUMMYFUNCTION("""COMPUTED_VALUE"""),10.0)</f>
        <v>10</v>
      </c>
      <c r="D1917" s="2" t="str">
        <f>IFERROR(__xludf.DUMMYFUNCTION("""COMPUTED_VALUE"""),"Mailung Khola")</f>
        <v>Mailung Khola</v>
      </c>
      <c r="E1917" s="2">
        <f>IFERROR(__xludf.DUMMYFUNCTION("""COMPUTED_VALUE"""),476.0)</f>
        <v>476</v>
      </c>
      <c r="F1917" s="3">
        <f>IFERROR(__xludf.DUMMYFUNCTION("""COMPUTED_VALUE"""),62570.0)</f>
        <v>62570</v>
      </c>
      <c r="G1917" s="2" t="str">
        <f>IFERROR(__xludf.DUMMYFUNCTION("""COMPUTED_VALUE"""),"Infrastructure Development Fund Pvt. Ltd")</f>
        <v>Infrastructure Development Fund Pvt. Ltd</v>
      </c>
      <c r="H1917" s="2" t="str">
        <f>IFERROR(__xludf.DUMMYFUNCTION("""COMPUTED_VALUE"""),"Heritage Plaza II, Kamaladi, Kathmandu; P.O. Box. 516; Ph. 4169116, 4169117")</f>
        <v>Heritage Plaza II, Kamaladi, Kathmandu; P.O. Box. 516; Ph. 4169116, 4169117</v>
      </c>
      <c r="I1917" s="2" t="str">
        <f>IFERROR(__xludf.DUMMYFUNCTION("""COMPUTED_VALUE"""),"28o 05' 00""")</f>
        <v>28o 05' 00"</v>
      </c>
      <c r="J1917" s="2" t="str">
        <f>IFERROR(__xludf.DUMMYFUNCTION("""COMPUTED_VALUE"""),"28o 08' 00""")</f>
        <v>28o 08' 00"</v>
      </c>
      <c r="K1917" s="2" t="str">
        <f>IFERROR(__xludf.DUMMYFUNCTION("""COMPUTED_VALUE"""),"85o 11' 00""")</f>
        <v>85o 11' 00"</v>
      </c>
      <c r="L1917" s="2" t="str">
        <f>IFERROR(__xludf.DUMMYFUNCTION("""COMPUTED_VALUE"""),"85o 13' 00""")</f>
        <v>85o 13' 00"</v>
      </c>
      <c r="M1917" s="2" t="str">
        <f>IFERROR(__xludf.DUMMYFUNCTION("""COMPUTED_VALUE"""),"Dandagoun,Haku (Rasuwa)")</f>
        <v>Dandagoun,Haku (Rasuwa)</v>
      </c>
    </row>
    <row r="1918">
      <c r="A1918" s="2">
        <f>IFERROR(__xludf.DUMMYFUNCTION("""COMPUTED_VALUE"""),1917.0)</f>
        <v>1917</v>
      </c>
      <c r="B1918" s="2" t="str">
        <f>IFERROR(__xludf.DUMMYFUNCTION("""COMPUTED_VALUE"""),"Adha Khola Hydroelectric Project")</f>
        <v>Adha Khola Hydroelectric Project</v>
      </c>
      <c r="C1918" s="2">
        <f>IFERROR(__xludf.DUMMYFUNCTION("""COMPUTED_VALUE"""),0.991)</f>
        <v>0.991</v>
      </c>
      <c r="D1918" s="2" t="str">
        <f>IFERROR(__xludf.DUMMYFUNCTION("""COMPUTED_VALUE"""),"Adha")</f>
        <v>Adha</v>
      </c>
      <c r="E1918" s="2">
        <f>IFERROR(__xludf.DUMMYFUNCTION("""COMPUTED_VALUE"""),481.0)</f>
        <v>481</v>
      </c>
      <c r="F1918" s="3">
        <f>IFERROR(__xludf.DUMMYFUNCTION("""COMPUTED_VALUE"""),62570.0)</f>
        <v>62570</v>
      </c>
      <c r="G1918" s="2" t="str">
        <f>IFERROR(__xludf.DUMMYFUNCTION("""COMPUTED_VALUE"""),"Prakash Baral")</f>
        <v>Prakash Baral</v>
      </c>
      <c r="H1918" s="2" t="str">
        <f>IFERROR(__xludf.DUMMYFUNCTION("""COMPUTED_VALUE"""),"Bhaktipur 8, Sarlahi")</f>
        <v>Bhaktipur 8, Sarlahi</v>
      </c>
      <c r="I1918" s="2" t="str">
        <f>IFERROR(__xludf.DUMMYFUNCTION("""COMPUTED_VALUE"""),"28o 09' 00""")</f>
        <v>28o 09' 00"</v>
      </c>
      <c r="J1918" s="2" t="str">
        <f>IFERROR(__xludf.DUMMYFUNCTION("""COMPUTED_VALUE"""),"28o 11' 46""")</f>
        <v>28o 11' 46"</v>
      </c>
      <c r="K1918" s="2" t="str">
        <f>IFERROR(__xludf.DUMMYFUNCTION("""COMPUTED_VALUE"""),"85o 04' 25""")</f>
        <v>85o 04' 25"</v>
      </c>
      <c r="L1918" s="2" t="str">
        <f>IFERROR(__xludf.DUMMYFUNCTION("""COMPUTED_VALUE"""),"85o 07' 43""")</f>
        <v>85o 07' 43"</v>
      </c>
      <c r="M1918" s="2" t="str">
        <f>IFERROR(__xludf.DUMMYFUNCTION("""COMPUTED_VALUE"""),"Sirtung,Tipling (Dhading)")</f>
        <v>Sirtung,Tipling (Dhading)</v>
      </c>
    </row>
    <row r="1919">
      <c r="A1919" s="2">
        <f>IFERROR(__xludf.DUMMYFUNCTION("""COMPUTED_VALUE"""),1918.0)</f>
        <v>1918</v>
      </c>
      <c r="B1919" s="2" t="str">
        <f>IFERROR(__xludf.DUMMYFUNCTION("""COMPUTED_VALUE"""),"Seti Karuwa Hydropower Project")</f>
        <v>Seti Karuwa Hydropower Project</v>
      </c>
      <c r="C1919" s="2">
        <f>IFERROR(__xludf.DUMMYFUNCTION("""COMPUTED_VALUE"""),10.0)</f>
        <v>10</v>
      </c>
      <c r="D1919" s="2" t="str">
        <f>IFERROR(__xludf.DUMMYFUNCTION("""COMPUTED_VALUE"""),"Seti Khola")</f>
        <v>Seti Khola</v>
      </c>
      <c r="E1919" s="2">
        <f>IFERROR(__xludf.DUMMYFUNCTION("""COMPUTED_VALUE"""),501.0)</f>
        <v>501</v>
      </c>
      <c r="F1919" s="3">
        <f>IFERROR(__xludf.DUMMYFUNCTION("""COMPUTED_VALUE"""),62575.0)</f>
        <v>62575</v>
      </c>
      <c r="G1919" s="2" t="str">
        <f>IFERROR(__xludf.DUMMYFUNCTION("""COMPUTED_VALUE"""),"Infrastructure Development Fund Pvt Ltd.")</f>
        <v>Infrastructure Development Fund Pvt Ltd.</v>
      </c>
      <c r="H1919" s="2" t="str">
        <f>IFERROR(__xludf.DUMMYFUNCTION("""COMPUTED_VALUE"""),"Heritaze Plaza-2, Block C&amp;D, Kamaladi, Kathmandu")</f>
        <v>Heritaze Plaza-2, Block C&amp;D, Kamaladi, Kathmandu</v>
      </c>
      <c r="I1919" s="2" t="str">
        <f>IFERROR(__xludf.DUMMYFUNCTION("""COMPUTED_VALUE"""),"28o 21' 45""")</f>
        <v>28o 21' 45"</v>
      </c>
      <c r="J1919" s="2" t="str">
        <f>IFERROR(__xludf.DUMMYFUNCTION("""COMPUTED_VALUE"""),"28o 24' 15""")</f>
        <v>28o 24' 15"</v>
      </c>
      <c r="K1919" s="2" t="str">
        <f>IFERROR(__xludf.DUMMYFUNCTION("""COMPUTED_VALUE"""),"83o 58' 05""")</f>
        <v>83o 58' 05"</v>
      </c>
      <c r="L1919" s="2" t="str">
        <f>IFERROR(__xludf.DUMMYFUNCTION("""COMPUTED_VALUE"""),"83o 59' 22""")</f>
        <v>83o 59' 22"</v>
      </c>
      <c r="M1919" s="2" t="str">
        <f>IFERROR(__xludf.DUMMYFUNCTION("""COMPUTED_VALUE"""),"Machhapuchchhre,Sardikhola (Kaski)")</f>
        <v>Machhapuchchhre,Sardikhola (Kaski)</v>
      </c>
    </row>
    <row r="1920">
      <c r="A1920" s="2">
        <f>IFERROR(__xludf.DUMMYFUNCTION("""COMPUTED_VALUE"""),1919.0)</f>
        <v>1919</v>
      </c>
      <c r="B1920" s="2" t="str">
        <f>IFERROR(__xludf.DUMMYFUNCTION("""COMPUTED_VALUE"""),"Myardi Khola Hydropower Project")</f>
        <v>Myardi Khola Hydropower Project</v>
      </c>
      <c r="C1920" s="2">
        <f>IFERROR(__xludf.DUMMYFUNCTION("""COMPUTED_VALUE"""),25.0)</f>
        <v>25</v>
      </c>
      <c r="D1920" s="2" t="str">
        <f>IFERROR(__xludf.DUMMYFUNCTION("""COMPUTED_VALUE"""),"Myardi Khola")</f>
        <v>Myardi Khola</v>
      </c>
      <c r="E1920" s="2">
        <f>IFERROR(__xludf.DUMMYFUNCTION("""COMPUTED_VALUE"""),644.0)</f>
        <v>644</v>
      </c>
      <c r="F1920" s="3">
        <f>IFERROR(__xludf.DUMMYFUNCTION("""COMPUTED_VALUE"""),62583.0)</f>
        <v>62583</v>
      </c>
      <c r="G1920" s="2" t="str">
        <f>IFERROR(__xludf.DUMMYFUNCTION("""COMPUTED_VALUE"""),"Jalshakti Hydro Company Pvt. Ltd.")</f>
        <v>Jalshakti Hydro Company Pvt. Ltd.</v>
      </c>
      <c r="H1920" s="2" t="str">
        <f>IFERROR(__xludf.DUMMYFUNCTION("""COMPUTED_VALUE"""),"Babarmahal-11, Kathmandu")</f>
        <v>Babarmahal-11, Kathmandu</v>
      </c>
      <c r="I1920" s="2" t="str">
        <f>IFERROR(__xludf.DUMMYFUNCTION("""COMPUTED_VALUE"""),"28o 26' 30""")</f>
        <v>28o 26' 30"</v>
      </c>
      <c r="J1920" s="2" t="str">
        <f>IFERROR(__xludf.DUMMYFUNCTION("""COMPUTED_VALUE"""),"28o 27' 45""")</f>
        <v>28o 27' 45"</v>
      </c>
      <c r="K1920" s="2" t="str">
        <f>IFERROR(__xludf.DUMMYFUNCTION("""COMPUTED_VALUE"""),"84o 19' 30""")</f>
        <v>84o 19' 30"</v>
      </c>
      <c r="L1920" s="2" t="str">
        <f>IFERROR(__xludf.DUMMYFUNCTION("""COMPUTED_VALUE"""),"84o 22' 40""")</f>
        <v>84o 22' 40"</v>
      </c>
      <c r="M1920" s="2" t="str">
        <f>IFERROR(__xludf.DUMMYFUNCTION("""COMPUTED_VALUE"""),"Taghring (Lamjung) Dharapani (Manang)")</f>
        <v>Taghring (Lamjung) Dharapani (Manang)</v>
      </c>
    </row>
    <row r="1921">
      <c r="A1921" s="2">
        <f>IFERROR(__xludf.DUMMYFUNCTION("""COMPUTED_VALUE"""),1920.0)</f>
        <v>1920</v>
      </c>
      <c r="B1921" s="2" t="str">
        <f>IFERROR(__xludf.DUMMYFUNCTION("""COMPUTED_VALUE"""),"Mudi Khola Hydropower Project")</f>
        <v>Mudi Khola Hydropower Project</v>
      </c>
      <c r="C1921" s="2">
        <f>IFERROR(__xludf.DUMMYFUNCTION("""COMPUTED_VALUE"""),25.0)</f>
        <v>25</v>
      </c>
      <c r="D1921" s="2" t="str">
        <f>IFERROR(__xludf.DUMMYFUNCTION("""COMPUTED_VALUE"""),"Mudi Khola")</f>
        <v>Mudi Khola</v>
      </c>
      <c r="E1921" s="2">
        <f>IFERROR(__xludf.DUMMYFUNCTION("""COMPUTED_VALUE"""),712.0)</f>
        <v>712</v>
      </c>
      <c r="F1921" s="3">
        <f>IFERROR(__xludf.DUMMYFUNCTION("""COMPUTED_VALUE"""),62590.0)</f>
        <v>62590</v>
      </c>
      <c r="G1921" s="2" t="str">
        <f>IFERROR(__xludf.DUMMYFUNCTION("""COMPUTED_VALUE"""),"Blue Diamond Energy Pvt. Ltd.")</f>
        <v>Blue Diamond Energy Pvt. Ltd.</v>
      </c>
      <c r="H1921" s="2" t="str">
        <f>IFERROR(__xludf.DUMMYFUNCTION("""COMPUTED_VALUE"""),"PO Box No. 20762, Lajimpat, Kathmandu")</f>
        <v>PO Box No. 20762, Lajimpat, Kathmandu</v>
      </c>
      <c r="I1921" s="2" t="str">
        <f>IFERROR(__xludf.DUMMYFUNCTION("""COMPUTED_VALUE"""),"28o 30' 54""")</f>
        <v>28o 30' 54"</v>
      </c>
      <c r="J1921" s="2" t="str">
        <f>IFERROR(__xludf.DUMMYFUNCTION("""COMPUTED_VALUE"""),"28o 34' 04""")</f>
        <v>28o 34' 04"</v>
      </c>
      <c r="K1921" s="2" t="str">
        <f>IFERROR(__xludf.DUMMYFUNCTION("""COMPUTED_VALUE"""),"83o 18' 20""")</f>
        <v>83o 18' 20"</v>
      </c>
      <c r="L1921" s="2" t="str">
        <f>IFERROR(__xludf.DUMMYFUNCTION("""COMPUTED_VALUE"""),"83o 21' 44""")</f>
        <v>83o 21' 44"</v>
      </c>
      <c r="M1921" s="2" t="str">
        <f>IFERROR(__xludf.DUMMYFUNCTION("""COMPUTED_VALUE"""),"Mudi (Myagdi)")</f>
        <v>Mudi (Myagdi)</v>
      </c>
    </row>
    <row r="1922">
      <c r="A1922" s="2">
        <f>IFERROR(__xludf.DUMMYFUNCTION("""COMPUTED_VALUE"""),1921.0)</f>
        <v>1921</v>
      </c>
      <c r="B1922" s="2" t="str">
        <f>IFERROR(__xludf.DUMMYFUNCTION("""COMPUTED_VALUE"""),"Middle Mailun A Hydropower Project")</f>
        <v>Middle Mailun A Hydropower Project</v>
      </c>
      <c r="C1922" s="2">
        <f>IFERROR(__xludf.DUMMYFUNCTION("""COMPUTED_VALUE"""),10.0)</f>
        <v>10</v>
      </c>
      <c r="D1922" s="2" t="str">
        <f>IFERROR(__xludf.DUMMYFUNCTION("""COMPUTED_VALUE"""),"Mailung Khola")</f>
        <v>Mailung Khola</v>
      </c>
      <c r="E1922" s="2">
        <f>IFERROR(__xludf.DUMMYFUNCTION("""COMPUTED_VALUE"""),862.0)</f>
        <v>862</v>
      </c>
      <c r="F1922" s="3">
        <f>IFERROR(__xludf.DUMMYFUNCTION("""COMPUTED_VALUE"""),62602.0)</f>
        <v>62602</v>
      </c>
      <c r="G1922" s="2" t="str">
        <f>IFERROR(__xludf.DUMMYFUNCTION("""COMPUTED_VALUE"""),"Sopan Multiple Company Ltd")</f>
        <v>Sopan Multiple Company Ltd</v>
      </c>
      <c r="H1922" s="2" t="str">
        <f>IFERROR(__xludf.DUMMYFUNCTION("""COMPUTED_VALUE"""),"Lalitpur, Ph. No. 015002606; 015002607; Fax: 015002608")</f>
        <v>Lalitpur, Ph. No. 015002606; 015002607; Fax: 015002608</v>
      </c>
      <c r="I1922" s="2" t="str">
        <f>IFERROR(__xludf.DUMMYFUNCTION("""COMPUTED_VALUE"""),"28o 05' 55""")</f>
        <v>28o 05' 55"</v>
      </c>
      <c r="J1922" s="2" t="str">
        <f>IFERROR(__xludf.DUMMYFUNCTION("""COMPUTED_VALUE"""),"28o 07' 19""")</f>
        <v>28o 07' 19"</v>
      </c>
      <c r="K1922" s="2" t="str">
        <f>IFERROR(__xludf.DUMMYFUNCTION("""COMPUTED_VALUE"""),"85o 11' 26""")</f>
        <v>85o 11' 26"</v>
      </c>
      <c r="L1922" s="2" t="str">
        <f>IFERROR(__xludf.DUMMYFUNCTION("""COMPUTED_VALUE"""),"85o 13' 09""")</f>
        <v>85o 13' 09"</v>
      </c>
      <c r="M1922" s="2" t="str">
        <f>IFERROR(__xludf.DUMMYFUNCTION("""COMPUTED_VALUE"""),"Dandagoun,Haku (Rasuwa)")</f>
        <v>Dandagoun,Haku (Rasuwa)</v>
      </c>
    </row>
    <row r="1923">
      <c r="A1923" s="2">
        <f>IFERROR(__xludf.DUMMYFUNCTION("""COMPUTED_VALUE"""),1922.0)</f>
        <v>1922</v>
      </c>
      <c r="B1923" s="2" t="str">
        <f>IFERROR(__xludf.DUMMYFUNCTION("""COMPUTED_VALUE"""),"Bhabil Khola Small Hydropower Project")</f>
        <v>Bhabil Khola Small Hydropower Project</v>
      </c>
      <c r="C1923" s="2">
        <f>IFERROR(__xludf.DUMMYFUNCTION("""COMPUTED_VALUE"""),0.998)</f>
        <v>0.998</v>
      </c>
      <c r="D1923" s="2" t="str">
        <f>IFERROR(__xludf.DUMMYFUNCTION("""COMPUTED_VALUE"""),"Bhabil Khola")</f>
        <v>Bhabil Khola</v>
      </c>
      <c r="E1923" s="2">
        <f>IFERROR(__xludf.DUMMYFUNCTION("""COMPUTED_VALUE"""),891.0)</f>
        <v>891</v>
      </c>
      <c r="F1923" s="3">
        <f>IFERROR(__xludf.DUMMYFUNCTION("""COMPUTED_VALUE"""),62602.0)</f>
        <v>62602</v>
      </c>
      <c r="G1923" s="2" t="str">
        <f>IFERROR(__xludf.DUMMYFUNCTION("""COMPUTED_VALUE"""),"Sumnima Gyawali")</f>
        <v>Sumnima Gyawali</v>
      </c>
      <c r="H1923" s="2" t="str">
        <f>IFERROR(__xludf.DUMMYFUNCTION("""COMPUTED_VALUE"""),"Dhanusha 4, Nepal; Phone No. 9851018025")</f>
        <v>Dhanusha 4, Nepal; Phone No. 9851018025</v>
      </c>
      <c r="I1923" s="2" t="str">
        <f>IFERROR(__xludf.DUMMYFUNCTION("""COMPUTED_VALUE"""),"28o 11' 43""")</f>
        <v>28o 11' 43"</v>
      </c>
      <c r="J1923" s="2" t="str">
        <f>IFERROR(__xludf.DUMMYFUNCTION("""COMPUTED_VALUE"""),"28o 13' 23""")</f>
        <v>28o 13' 23"</v>
      </c>
      <c r="K1923" s="2" t="str">
        <f>IFERROR(__xludf.DUMMYFUNCTION("""COMPUTED_VALUE"""),"85o 06' 18""")</f>
        <v>85o 06' 18"</v>
      </c>
      <c r="L1923" s="2" t="str">
        <f>IFERROR(__xludf.DUMMYFUNCTION("""COMPUTED_VALUE"""),"85o 07' 51""")</f>
        <v>85o 07' 51"</v>
      </c>
      <c r="M1923" s="2" t="str">
        <f>IFERROR(__xludf.DUMMYFUNCTION("""COMPUTED_VALUE"""),"Sirtung,Tipling (Dhading)")</f>
        <v>Sirtung,Tipling (Dhading)</v>
      </c>
    </row>
    <row r="1924">
      <c r="A1924" s="2">
        <f>IFERROR(__xludf.DUMMYFUNCTION("""COMPUTED_VALUE"""),1923.0)</f>
        <v>1923</v>
      </c>
      <c r="B1924" s="2" t="str">
        <f>IFERROR(__xludf.DUMMYFUNCTION("""COMPUTED_VALUE"""),"Richet Khola Small Hydropower Project")</f>
        <v>Richet Khola Small Hydropower Project</v>
      </c>
      <c r="C1924" s="2">
        <f>IFERROR(__xludf.DUMMYFUNCTION("""COMPUTED_VALUE"""),5.0)</f>
        <v>5</v>
      </c>
      <c r="D1924" s="2" t="str">
        <f>IFERROR(__xludf.DUMMYFUNCTION("""COMPUTED_VALUE"""),"Richet")</f>
        <v>Richet</v>
      </c>
      <c r="E1924" s="2">
        <f>IFERROR(__xludf.DUMMYFUNCTION("""COMPUTED_VALUE"""),907.0)</f>
        <v>907</v>
      </c>
      <c r="F1924" s="3">
        <f>IFERROR(__xludf.DUMMYFUNCTION("""COMPUTED_VALUE"""),62603.0)</f>
        <v>62603</v>
      </c>
      <c r="G1924" s="2" t="str">
        <f>IFERROR(__xludf.DUMMYFUNCTION("""COMPUTED_VALUE"""),"Manakamana Hydro Pvt. Ltd.")</f>
        <v>Manakamana Hydro Pvt. Ltd.</v>
      </c>
      <c r="H1924" s="2" t="str">
        <f>IFERROR(__xludf.DUMMYFUNCTION("""COMPUTED_VALUE"""),"KMC-16, Kathmandu, Phone no 9841201471")</f>
        <v>KMC-16, Kathmandu, Phone no 9841201471</v>
      </c>
      <c r="I1924" s="2" t="str">
        <f>IFERROR(__xludf.DUMMYFUNCTION("""COMPUTED_VALUE"""),"28o 10' 00""")</f>
        <v>28o 10' 00"</v>
      </c>
      <c r="J1924" s="2" t="str">
        <f>IFERROR(__xludf.DUMMYFUNCTION("""COMPUTED_VALUE"""),"28o 11' 45""")</f>
        <v>28o 11' 45"</v>
      </c>
      <c r="K1924" s="2" t="str">
        <f>IFERROR(__xludf.DUMMYFUNCTION("""COMPUTED_VALUE"""),"84o 52' 45""")</f>
        <v>84o 52' 45"</v>
      </c>
      <c r="L1924" s="2" t="str">
        <f>IFERROR(__xludf.DUMMYFUNCTION("""COMPUTED_VALUE"""),"84o 55' 30""")</f>
        <v>84o 55' 30"</v>
      </c>
      <c r="M1924" s="2" t="str">
        <f>IFERROR(__xludf.DUMMYFUNCTION("""COMPUTED_VALUE"""),"Manbu (Gorkha)")</f>
        <v>Manbu (Gorkha)</v>
      </c>
    </row>
    <row r="1925">
      <c r="A1925" s="2">
        <f>IFERROR(__xludf.DUMMYFUNCTION("""COMPUTED_VALUE"""),1924.0)</f>
        <v>1924</v>
      </c>
      <c r="B1925" s="2" t="str">
        <f>IFERROR(__xludf.DUMMYFUNCTION("""COMPUTED_VALUE"""),"Upper Galemdi Hydropower Project")</f>
        <v>Upper Galemdi Hydropower Project</v>
      </c>
      <c r="C1925" s="2">
        <f>IFERROR(__xludf.DUMMYFUNCTION("""COMPUTED_VALUE"""),1.0)</f>
        <v>1</v>
      </c>
      <c r="D1925" s="2" t="str">
        <f>IFERROR(__xludf.DUMMYFUNCTION("""COMPUTED_VALUE"""),"Ghalemdi")</f>
        <v>Ghalemdi</v>
      </c>
      <c r="E1925" s="2">
        <f>IFERROR(__xludf.DUMMYFUNCTION("""COMPUTED_VALUE"""),922.0)</f>
        <v>922</v>
      </c>
      <c r="F1925" s="3">
        <f>IFERROR(__xludf.DUMMYFUNCTION("""COMPUTED_VALUE"""),62604.0)</f>
        <v>62604</v>
      </c>
      <c r="G1925" s="2" t="str">
        <f>IFERROR(__xludf.DUMMYFUNCTION("""COMPUTED_VALUE"""),"Snow River Pvt. Ltd.")</f>
        <v>Snow River Pvt. Ltd.</v>
      </c>
      <c r="H1925" s="2" t="str">
        <f>IFERROR(__xludf.DUMMYFUNCTION("""COMPUTED_VALUE"""),"PO Box no 20762, Lajimpat, Kathmandu Tel 9860420866,9818311754")</f>
        <v>PO Box no 20762, Lajimpat, Kathmandu Tel 9860420866,9818311754</v>
      </c>
      <c r="I1925" s="2" t="str">
        <f>IFERROR(__xludf.DUMMYFUNCTION("""COMPUTED_VALUE"""),"28o 31' 30""")</f>
        <v>28o 31' 30"</v>
      </c>
      <c r="J1925" s="2" t="str">
        <f>IFERROR(__xludf.DUMMYFUNCTION("""COMPUTED_VALUE"""),"28o 32' 30""")</f>
        <v>28o 32' 30"</v>
      </c>
      <c r="K1925" s="2" t="str">
        <f>IFERROR(__xludf.DUMMYFUNCTION("""COMPUTED_VALUE"""),"83o 42' 00""")</f>
        <v>83o 42' 00"</v>
      </c>
      <c r="L1925" s="2" t="str">
        <f>IFERROR(__xludf.DUMMYFUNCTION("""COMPUTED_VALUE"""),"83o 45' 00""")</f>
        <v>83o 45' 00"</v>
      </c>
      <c r="M1925" s="2" t="str">
        <f>IFERROR(__xludf.DUMMYFUNCTION("""COMPUTED_VALUE"""),"Narchyang (Myagdi)")</f>
        <v>Narchyang (Myagdi)</v>
      </c>
    </row>
    <row r="1926">
      <c r="A1926" s="2">
        <f>IFERROR(__xludf.DUMMYFUNCTION("""COMPUTED_VALUE"""),1925.0)</f>
        <v>1925</v>
      </c>
      <c r="B1926" s="2" t="str">
        <f>IFERROR(__xludf.DUMMYFUNCTION("""COMPUTED_VALUE"""),"Lower Bhabil Khola Small Hydropower Project")</f>
        <v>Lower Bhabil Khola Small Hydropower Project</v>
      </c>
      <c r="C1926" s="2">
        <f>IFERROR(__xludf.DUMMYFUNCTION("""COMPUTED_VALUE"""),0.998)</f>
        <v>0.998</v>
      </c>
      <c r="D1926" s="2" t="str">
        <f>IFERROR(__xludf.DUMMYFUNCTION("""COMPUTED_VALUE"""),"Bhabil Khola")</f>
        <v>Bhabil Khola</v>
      </c>
      <c r="E1926" s="2">
        <f>IFERROR(__xludf.DUMMYFUNCTION("""COMPUTED_VALUE"""),988.0)</f>
        <v>988</v>
      </c>
      <c r="F1926" s="3">
        <f>IFERROR(__xludf.DUMMYFUNCTION("""COMPUTED_VALUE"""),62609.0)</f>
        <v>62609</v>
      </c>
      <c r="G1926" s="2" t="str">
        <f>IFERROR(__xludf.DUMMYFUNCTION("""COMPUTED_VALUE"""),"Lower Bhabil Power Company Pvt. Ltd")</f>
        <v>Lower Bhabil Power Company Pvt. Ltd</v>
      </c>
      <c r="H1926" s="2" t="str">
        <f>IFERROR(__xludf.DUMMYFUNCTION("""COMPUTED_VALUE"""),"Banepa 10, Kavre")</f>
        <v>Banepa 10, Kavre</v>
      </c>
      <c r="I1926" s="2" t="str">
        <f>IFERROR(__xludf.DUMMYFUNCTION("""COMPUTED_VALUE"""),"28o 11' 10""")</f>
        <v>28o 11' 10"</v>
      </c>
      <c r="J1926" s="2" t="str">
        <f>IFERROR(__xludf.DUMMYFUNCTION("""COMPUTED_VALUE"""),"28o 11' 42""")</f>
        <v>28o 11' 42"</v>
      </c>
      <c r="K1926" s="2" t="str">
        <f>IFERROR(__xludf.DUMMYFUNCTION("""COMPUTED_VALUE"""),"86o 04' 20""")</f>
        <v>86o 04' 20"</v>
      </c>
      <c r="L1926" s="2" t="str">
        <f>IFERROR(__xludf.DUMMYFUNCTION("""COMPUTED_VALUE"""),"86o 06' 38""")</f>
        <v>86o 06' 38"</v>
      </c>
      <c r="M1926" s="2" t="str">
        <f>IFERROR(__xludf.DUMMYFUNCTION("""COMPUTED_VALUE"""),"Sirtung,Tipling (Dhading)")</f>
        <v>Sirtung,Tipling (Dhading)</v>
      </c>
    </row>
    <row r="1927">
      <c r="A1927" s="2">
        <f>IFERROR(__xludf.DUMMYFUNCTION("""COMPUTED_VALUE"""),1926.0)</f>
        <v>1926</v>
      </c>
      <c r="B1927" s="2" t="str">
        <f>IFERROR(__xludf.DUMMYFUNCTION("""COMPUTED_VALUE"""),"Lower Nyadi Hydroelectric Project")</f>
        <v>Lower Nyadi Hydroelectric Project</v>
      </c>
      <c r="C1927" s="2">
        <f>IFERROR(__xludf.DUMMYFUNCTION("""COMPUTED_VALUE"""),10.0)</f>
        <v>10</v>
      </c>
      <c r="D1927" s="2" t="str">
        <f>IFERROR(__xludf.DUMMYFUNCTION("""COMPUTED_VALUE"""),"Nyadi")</f>
        <v>Nyadi</v>
      </c>
      <c r="E1927" s="2">
        <f>IFERROR(__xludf.DUMMYFUNCTION("""COMPUTED_VALUE"""),1176.0)</f>
        <v>1176</v>
      </c>
      <c r="F1927" s="3">
        <f>IFERROR(__xludf.DUMMYFUNCTION("""COMPUTED_VALUE"""),62632.0)</f>
        <v>62632</v>
      </c>
      <c r="G1927" s="2" t="str">
        <f>IFERROR(__xludf.DUMMYFUNCTION("""COMPUTED_VALUE"""),"Infrastructer Deveolpment Fund Pvt. Ltd")</f>
        <v>Infrastructer Deveolpment Fund Pvt. Ltd</v>
      </c>
      <c r="H1927" s="2" t="str">
        <f>IFERROR(__xludf.DUMMYFUNCTION("""COMPUTED_VALUE"""),"Heritage Plaza-2, Kamaladi, Kathmandu-31")</f>
        <v>Heritage Plaza-2, Kamaladi, Kathmandu-31</v>
      </c>
      <c r="I1927" s="2" t="str">
        <f>IFERROR(__xludf.DUMMYFUNCTION("""COMPUTED_VALUE"""),"28o 18' 30""")</f>
        <v>28o 18' 30"</v>
      </c>
      <c r="J1927" s="2" t="str">
        <f>IFERROR(__xludf.DUMMYFUNCTION("""COMPUTED_VALUE"""),"28o 19' 45""")</f>
        <v>28o 19' 45"</v>
      </c>
      <c r="K1927" s="2" t="str">
        <f>IFERROR(__xludf.DUMMYFUNCTION("""COMPUTED_VALUE"""),"84o 24' 05""")</f>
        <v>84o 24' 05"</v>
      </c>
      <c r="L1927" s="2" t="str">
        <f>IFERROR(__xludf.DUMMYFUNCTION("""COMPUTED_VALUE"""),"84o 25' 25""")</f>
        <v>84o 25' 25"</v>
      </c>
      <c r="M1927" s="2" t="str">
        <f>IFERROR(__xludf.DUMMYFUNCTION("""COMPUTED_VALUE"""),"Bahundada,Bhulbhule (Lamjung)")</f>
        <v>Bahundada,Bhulbhule (Lamjung)</v>
      </c>
    </row>
    <row r="1928">
      <c r="A1928" s="2">
        <f>IFERROR(__xludf.DUMMYFUNCTION("""COMPUTED_VALUE"""),1927.0)</f>
        <v>1927</v>
      </c>
      <c r="B1928" s="2" t="str">
        <f>IFERROR(__xludf.DUMMYFUNCTION("""COMPUTED_VALUE"""),"Myardi Khola Hydropower Project")</f>
        <v>Myardi Khola Hydropower Project</v>
      </c>
      <c r="C1928" s="2">
        <f>IFERROR(__xludf.DUMMYFUNCTION("""COMPUTED_VALUE"""),25.0)</f>
        <v>25</v>
      </c>
      <c r="D1928" s="2" t="str">
        <f>IFERROR(__xludf.DUMMYFUNCTION("""COMPUTED_VALUE"""),"Myardi Khola")</f>
        <v>Myardi Khola</v>
      </c>
      <c r="E1928" s="2">
        <f>IFERROR(__xludf.DUMMYFUNCTION("""COMPUTED_VALUE"""),1180.0)</f>
        <v>1180</v>
      </c>
      <c r="F1928" s="3">
        <f>IFERROR(__xludf.DUMMYFUNCTION("""COMPUTED_VALUE"""),62632.0)</f>
        <v>62632</v>
      </c>
      <c r="G1928" s="2" t="str">
        <f>IFERROR(__xludf.DUMMYFUNCTION("""COMPUTED_VALUE"""),"Jalshakti Hydro Company P. Ltd")</f>
        <v>Jalshakti Hydro Company P. Ltd</v>
      </c>
      <c r="H1928" s="2" t="str">
        <f>IFERROR(__xludf.DUMMYFUNCTION("""COMPUTED_VALUE"""),"Bolde Phediche-5, Kavre")</f>
        <v>Bolde Phediche-5, Kavre</v>
      </c>
      <c r="I1928" s="2" t="str">
        <f>IFERROR(__xludf.DUMMYFUNCTION("""COMPUTED_VALUE"""),"28o 26' 30""")</f>
        <v>28o 26' 30"</v>
      </c>
      <c r="J1928" s="2" t="str">
        <f>IFERROR(__xludf.DUMMYFUNCTION("""COMPUTED_VALUE"""),"28o 27' 45""")</f>
        <v>28o 27' 45"</v>
      </c>
      <c r="K1928" s="2" t="str">
        <f>IFERROR(__xludf.DUMMYFUNCTION("""COMPUTED_VALUE"""),"84o 19' 30""")</f>
        <v>84o 19' 30"</v>
      </c>
      <c r="L1928" s="2" t="str">
        <f>IFERROR(__xludf.DUMMYFUNCTION("""COMPUTED_VALUE"""),"84o 22' 40""")</f>
        <v>84o 22' 40"</v>
      </c>
      <c r="M1928" s="2" t="str">
        <f>IFERROR(__xludf.DUMMYFUNCTION("""COMPUTED_VALUE"""),"Taghring (Lamjung) Dharapani (Manang)")</f>
        <v>Taghring (Lamjung) Dharapani (Manang)</v>
      </c>
    </row>
    <row r="1929">
      <c r="A1929" s="2">
        <f>IFERROR(__xludf.DUMMYFUNCTION("""COMPUTED_VALUE"""),1928.0)</f>
        <v>1928</v>
      </c>
      <c r="B1929" s="2" t="str">
        <f>IFERROR(__xludf.DUMMYFUNCTION("""COMPUTED_VALUE"""),"Ladku Khola Small Hydropower Project")</f>
        <v>Ladku Khola Small Hydropower Project</v>
      </c>
      <c r="C1929" s="2">
        <f>IFERROR(__xludf.DUMMYFUNCTION("""COMPUTED_VALUE"""),0.93)</f>
        <v>0.93</v>
      </c>
      <c r="D1929" s="2" t="str">
        <f>IFERROR(__xludf.DUMMYFUNCTION("""COMPUTED_VALUE"""),"Ladku Khola")</f>
        <v>Ladku Khola</v>
      </c>
      <c r="E1929" s="2">
        <f>IFERROR(__xludf.DUMMYFUNCTION("""COMPUTED_VALUE"""),1150.0)</f>
        <v>1150</v>
      </c>
      <c r="F1929" s="3">
        <f>IFERROR(__xludf.DUMMYFUNCTION("""COMPUTED_VALUE"""),62637.0)</f>
        <v>62637</v>
      </c>
      <c r="G1929" s="2" t="str">
        <f>IFERROR(__xludf.DUMMYFUNCTION("""COMPUTED_VALUE"""),"Jen Lama")</f>
        <v>Jen Lama</v>
      </c>
      <c r="H1929" s="2" t="str">
        <f>IFERROR(__xludf.DUMMYFUNCTION("""COMPUTED_VALUE"""),"Banepa-10, 9801098015,9851046754")</f>
        <v>Banepa-10, 9801098015,9851046754</v>
      </c>
      <c r="I1929" s="2" t="str">
        <f>IFERROR(__xludf.DUMMYFUNCTION("""COMPUTED_VALUE"""),"27o 31' 08""")</f>
        <v>27o 31' 08"</v>
      </c>
      <c r="J1929" s="2" t="str">
        <f>IFERROR(__xludf.DUMMYFUNCTION("""COMPUTED_VALUE"""),"27o 31' 46""")</f>
        <v>27o 31' 46"</v>
      </c>
      <c r="K1929" s="2" t="str">
        <f>IFERROR(__xludf.DUMMYFUNCTION("""COMPUTED_VALUE"""),"85o 30' 00""")</f>
        <v>85o 30' 00"</v>
      </c>
      <c r="L1929" s="2" t="str">
        <f>IFERROR(__xludf.DUMMYFUNCTION("""COMPUTED_VALUE"""),"85o 30' 44""")</f>
        <v>85o 30' 44"</v>
      </c>
      <c r="M1929" s="2" t="str">
        <f>IFERROR(__xludf.DUMMYFUNCTION("""COMPUTED_VALUE"""),"Dhunkharka,Chalal Ganeshsthan (Kavrepalanchok)")</f>
        <v>Dhunkharka,Chalal Ganeshsthan (Kavrepalanchok)</v>
      </c>
    </row>
    <row r="1930">
      <c r="A1930" s="2">
        <f>IFERROR(__xludf.DUMMYFUNCTION("""COMPUTED_VALUE"""),1929.0)</f>
        <v>1929</v>
      </c>
      <c r="B1930" s="2" t="str">
        <f>IFERROR(__xludf.DUMMYFUNCTION("""COMPUTED_VALUE"""),"Iwa-B Hydropower Project")</f>
        <v>Iwa-B Hydropower Project</v>
      </c>
      <c r="C1930" s="2">
        <f>IFERROR(__xludf.DUMMYFUNCTION("""COMPUTED_VALUE"""),5.0)</f>
        <v>5</v>
      </c>
      <c r="D1930" s="2" t="str">
        <f>IFERROR(__xludf.DUMMYFUNCTION("""COMPUTED_VALUE"""),"Iwa Khola")</f>
        <v>Iwa Khola</v>
      </c>
      <c r="E1930" s="2">
        <f>IFERROR(__xludf.DUMMYFUNCTION("""COMPUTED_VALUE"""),1304.0)</f>
        <v>1304</v>
      </c>
      <c r="F1930" s="3">
        <f>IFERROR(__xludf.DUMMYFUNCTION("""COMPUTED_VALUE"""),62638.0)</f>
        <v>62638</v>
      </c>
      <c r="G1930" s="2" t="str">
        <f>IFERROR(__xludf.DUMMYFUNCTION("""COMPUTED_VALUE"""),"Ridi Hydropower Development Company Ltd")</f>
        <v>Ridi Hydropower Development Company Ltd</v>
      </c>
      <c r="H1930" s="2" t="str">
        <f>IFERROR(__xludf.DUMMYFUNCTION("""COMPUTED_VALUE"""),"GPO. Box No. 21839,Trade Tower Building ,Thapathali, Kathmandu,Nepal")</f>
        <v>GPO. Box No. 21839,Trade Tower Building ,Thapathali, Kathmandu,Nepal</v>
      </c>
      <c r="I1930" s="2" t="str">
        <f>IFERROR(__xludf.DUMMYFUNCTION("""COMPUTED_VALUE"""),"29o 17' 20""")</f>
        <v>29o 17' 20"</v>
      </c>
      <c r="J1930" s="2" t="str">
        <f>IFERROR(__xludf.DUMMYFUNCTION("""COMPUTED_VALUE"""),"29o 17' 36""")</f>
        <v>29o 17' 36"</v>
      </c>
      <c r="K1930" s="2" t="str">
        <f>IFERROR(__xludf.DUMMYFUNCTION("""COMPUTED_VALUE"""),"80o 52' 20""")</f>
        <v>80o 52' 20"</v>
      </c>
      <c r="L1930" s="2" t="str">
        <f>IFERROR(__xludf.DUMMYFUNCTION("""COMPUTED_VALUE"""),"87o 51' 55""")</f>
        <v>87o 51' 55"</v>
      </c>
      <c r="M1930" s="2" t="str">
        <f>IFERROR(__xludf.DUMMYFUNCTION("""COMPUTED_VALUE"""),"Oyam,Tharpu (Panchthar) Ankhop,Sawalakhu (Taplejung)")</f>
        <v>Oyam,Tharpu (Panchthar) Ankhop,Sawalakhu (Taplejung)</v>
      </c>
    </row>
    <row r="1931">
      <c r="A1931" s="2">
        <f>IFERROR(__xludf.DUMMYFUNCTION("""COMPUTED_VALUE"""),1930.0)</f>
        <v>1930</v>
      </c>
      <c r="B1931" s="2" t="str">
        <f>IFERROR(__xludf.DUMMYFUNCTION("""COMPUTED_VALUE"""),"Daraudi Khola Small Hydropower Project")</f>
        <v>Daraudi Khola Small Hydropower Project</v>
      </c>
      <c r="C1931" s="2">
        <f>IFERROR(__xludf.DUMMYFUNCTION("""COMPUTED_VALUE"""),0.952)</f>
        <v>0.952</v>
      </c>
      <c r="D1931" s="2" t="str">
        <f>IFERROR(__xludf.DUMMYFUNCTION("""COMPUTED_VALUE"""),"Daraundi")</f>
        <v>Daraundi</v>
      </c>
      <c r="E1931" s="2">
        <f>IFERROR(__xludf.DUMMYFUNCTION("""COMPUTED_VALUE"""),1488.0)</f>
        <v>1488</v>
      </c>
      <c r="F1931" s="3">
        <f>IFERROR(__xludf.DUMMYFUNCTION("""COMPUTED_VALUE"""),62655.0)</f>
        <v>62655</v>
      </c>
      <c r="G1931" s="2" t="str">
        <f>IFERROR(__xludf.DUMMYFUNCTION("""COMPUTED_VALUE"""),"Hydro Energy Concern Pvt. Ltd.")</f>
        <v>Hydro Energy Concern Pvt. Ltd.</v>
      </c>
      <c r="H1931" s="2" t="str">
        <f>IFERROR(__xludf.DUMMYFUNCTION("""COMPUTED_VALUE"""),"P.Box 8975, E.P.C. 5042Samakhusi-29,Kathmandu. 4355416, Fax. 4354186")</f>
        <v>P.Box 8975, E.P.C. 5042Samakhusi-29,Kathmandu. 4355416, Fax. 4354186</v>
      </c>
      <c r="I1931" s="2" t="str">
        <f>IFERROR(__xludf.DUMMYFUNCTION("""COMPUTED_VALUE"""),"28o 11' 15""")</f>
        <v>28o 11' 15"</v>
      </c>
      <c r="J1931" s="2" t="str">
        <f>IFERROR(__xludf.DUMMYFUNCTION("""COMPUTED_VALUE"""),"28o 12' 30""")</f>
        <v>28o 12' 30"</v>
      </c>
      <c r="K1931" s="2" t="str">
        <f>IFERROR(__xludf.DUMMYFUNCTION("""COMPUTED_VALUE"""),"84o 43' 00""")</f>
        <v>84o 43' 00"</v>
      </c>
      <c r="L1931" s="2" t="str">
        <f>IFERROR(__xludf.DUMMYFUNCTION("""COMPUTED_VALUE"""),"84o 43' 45""")</f>
        <v>84o 43' 45"</v>
      </c>
      <c r="M1931" s="2" t="str">
        <f>IFERROR(__xludf.DUMMYFUNCTION("""COMPUTED_VALUE"""),"Warpak (Gorkha)")</f>
        <v>Warpak (Gorkha)</v>
      </c>
    </row>
    <row r="1932">
      <c r="A1932" s="2">
        <f>IFERROR(__xludf.DUMMYFUNCTION("""COMPUTED_VALUE"""),1931.0)</f>
        <v>1931</v>
      </c>
      <c r="B1932" s="2" t="str">
        <f>IFERROR(__xludf.DUMMYFUNCTION("""COMPUTED_VALUE"""),"Mai Khola Small Hydropower Project")</f>
        <v>Mai Khola Small Hydropower Project</v>
      </c>
      <c r="C1932" s="2">
        <f>IFERROR(__xludf.DUMMYFUNCTION("""COMPUTED_VALUE"""),3.85)</f>
        <v>3.85</v>
      </c>
      <c r="D1932" s="2" t="str">
        <f>IFERROR(__xludf.DUMMYFUNCTION("""COMPUTED_VALUE"""),"Mai Khola")</f>
        <v>Mai Khola</v>
      </c>
      <c r="E1932" s="2">
        <f>IFERROR(__xludf.DUMMYFUNCTION("""COMPUTED_VALUE"""),1603.0)</f>
        <v>1603</v>
      </c>
      <c r="F1932" s="3">
        <f>IFERROR(__xludf.DUMMYFUNCTION("""COMPUTED_VALUE"""),62662.0)</f>
        <v>62662</v>
      </c>
      <c r="G1932" s="2" t="str">
        <f>IFERROR(__xludf.DUMMYFUNCTION("""COMPUTED_VALUE"""),"Unitech Hydropower Company Pvt.Ltd.")</f>
        <v>Unitech Hydropower Company Pvt.Ltd.</v>
      </c>
      <c r="H1932" s="2" t="str">
        <f>IFERROR(__xludf.DUMMYFUNCTION("""COMPUTED_VALUE"""),"Kathmandu-35,Pepsicola. 4991157,9862680377,9852674780")</f>
        <v>Kathmandu-35,Pepsicola. 4991157,9862680377,9852674780</v>
      </c>
      <c r="I1932" s="2" t="str">
        <f>IFERROR(__xludf.DUMMYFUNCTION("""COMPUTED_VALUE"""),"26o 53' 08""")</f>
        <v>26o 53' 08"</v>
      </c>
      <c r="J1932" s="2" t="str">
        <f>IFERROR(__xludf.DUMMYFUNCTION("""COMPUTED_VALUE"""),"26o 55' 15""")</f>
        <v>26o 55' 15"</v>
      </c>
      <c r="K1932" s="2" t="str">
        <f>IFERROR(__xludf.DUMMYFUNCTION("""COMPUTED_VALUE"""),"87o 56' 35""")</f>
        <v>87o 56' 35"</v>
      </c>
      <c r="L1932" s="2" t="str">
        <f>IFERROR(__xludf.DUMMYFUNCTION("""COMPUTED_VALUE"""),"87o 57' 30""")</f>
        <v>87o 57' 30"</v>
      </c>
      <c r="M1932" s="2"/>
    </row>
    <row r="1933">
      <c r="A1933" s="2">
        <f>IFERROR(__xludf.DUMMYFUNCTION("""COMPUTED_VALUE"""),1932.0)</f>
        <v>1932</v>
      </c>
      <c r="B1933" s="2" t="str">
        <f>IFERROR(__xludf.DUMMYFUNCTION("""COMPUTED_VALUE"""),"Lower Jogmai Khola HPP")</f>
        <v>Lower Jogmai Khola HPP</v>
      </c>
      <c r="C1933" s="2">
        <f>IFERROR(__xludf.DUMMYFUNCTION("""COMPUTED_VALUE"""),0.99)</f>
        <v>0.99</v>
      </c>
      <c r="D1933" s="2" t="str">
        <f>IFERROR(__xludf.DUMMYFUNCTION("""COMPUTED_VALUE"""),"Jogmai Khola")</f>
        <v>Jogmai Khola</v>
      </c>
      <c r="E1933" s="2">
        <f>IFERROR(__xludf.DUMMYFUNCTION("""COMPUTED_VALUE"""),1703.0)</f>
        <v>1703</v>
      </c>
      <c r="F1933" s="3">
        <f>IFERROR(__xludf.DUMMYFUNCTION("""COMPUTED_VALUE"""),62669.0)</f>
        <v>62669</v>
      </c>
      <c r="G1933" s="2" t="str">
        <f>IFERROR(__xludf.DUMMYFUNCTION("""COMPUTED_VALUE"""),"Maya Devi Bhattarai")</f>
        <v>Maya Devi Bhattarai</v>
      </c>
      <c r="H1933" s="2" t="str">
        <f>IFERROR(__xludf.DUMMYFUNCTION("""COMPUTED_VALUE"""),"Kathmandu-34,Santinagar, Kathmandu")</f>
        <v>Kathmandu-34,Santinagar, Kathmandu</v>
      </c>
      <c r="I1933" s="2" t="str">
        <f>IFERROR(__xludf.DUMMYFUNCTION("""COMPUTED_VALUE"""),"26o 53' 10""")</f>
        <v>26o 53' 10"</v>
      </c>
      <c r="J1933" s="2" t="str">
        <f>IFERROR(__xludf.DUMMYFUNCTION("""COMPUTED_VALUE"""),"26o 54' 46""")</f>
        <v>26o 54' 46"</v>
      </c>
      <c r="K1933" s="2" t="str">
        <f>IFERROR(__xludf.DUMMYFUNCTION("""COMPUTED_VALUE"""),"87o 53' 13""")</f>
        <v>87o 53' 13"</v>
      </c>
      <c r="L1933" s="2" t="str">
        <f>IFERROR(__xludf.DUMMYFUNCTION("""COMPUTED_VALUE"""),"87o 59' 47""")</f>
        <v>87o 59' 47"</v>
      </c>
      <c r="M1933" s="2" t="str">
        <f>IFERROR(__xludf.DUMMYFUNCTION("""COMPUTED_VALUE"""),"Goduk (Ilam)")</f>
        <v>Goduk (Ilam)</v>
      </c>
    </row>
    <row r="1934">
      <c r="A1934" s="2">
        <f>IFERROR(__xludf.DUMMYFUNCTION("""COMPUTED_VALUE"""),1933.0)</f>
        <v>1933</v>
      </c>
      <c r="B1934" s="2" t="str">
        <f>IFERROR(__xludf.DUMMYFUNCTION("""COMPUTED_VALUE"""),"Lower Khoranga Khola Mini HPP")</f>
        <v>Lower Khoranga Khola Mini HPP</v>
      </c>
      <c r="C1934" s="2">
        <f>IFERROR(__xludf.DUMMYFUNCTION("""COMPUTED_VALUE"""),0.995)</f>
        <v>0.995</v>
      </c>
      <c r="D1934" s="2" t="str">
        <f>IFERROR(__xludf.DUMMYFUNCTION("""COMPUTED_VALUE"""),"Khoranga Khola")</f>
        <v>Khoranga Khola</v>
      </c>
      <c r="E1934" s="2">
        <f>IFERROR(__xludf.DUMMYFUNCTION("""COMPUTED_VALUE"""),1796.0)</f>
        <v>1796</v>
      </c>
      <c r="F1934" s="3">
        <f>IFERROR(__xludf.DUMMYFUNCTION("""COMPUTED_VALUE"""),62673.0)</f>
        <v>62673</v>
      </c>
      <c r="G1934" s="2" t="str">
        <f>IFERROR(__xludf.DUMMYFUNCTION("""COMPUTED_VALUE"""),"Sujit Acharya")</f>
        <v>Sujit Acharya</v>
      </c>
      <c r="H1934" s="2" t="str">
        <f>IFERROR(__xludf.DUMMYFUNCTION("""COMPUTED_VALUE"""),"khumaltar-15, Lalitpur")</f>
        <v>khumaltar-15, Lalitpur</v>
      </c>
      <c r="I1934" s="2" t="str">
        <f>IFERROR(__xludf.DUMMYFUNCTION("""COMPUTED_VALUE"""),"27o 06' 35""")</f>
        <v>27o 06' 35"</v>
      </c>
      <c r="J1934" s="2" t="str">
        <f>IFERROR(__xludf.DUMMYFUNCTION("""COMPUTED_VALUE"""),"27o 07' 17""")</f>
        <v>27o 07' 17"</v>
      </c>
      <c r="K1934" s="2" t="str">
        <f>IFERROR(__xludf.DUMMYFUNCTION("""COMPUTED_VALUE"""),"87o 35' 33""")</f>
        <v>87o 35' 33"</v>
      </c>
      <c r="L1934" s="2" t="str">
        <f>IFERROR(__xludf.DUMMYFUNCTION("""COMPUTED_VALUE"""),"87o 36' 47""")</f>
        <v>87o 36' 47"</v>
      </c>
      <c r="M1934" s="2" t="str">
        <f>IFERROR(__xludf.DUMMYFUNCTION("""COMPUTED_VALUE"""),"Simle,Tamfula (Terhathum)")</f>
        <v>Simle,Tamfula (Terhathum)</v>
      </c>
    </row>
    <row r="1935">
      <c r="A1935" s="2">
        <f>IFERROR(__xludf.DUMMYFUNCTION("""COMPUTED_VALUE"""),1934.0)</f>
        <v>1934</v>
      </c>
      <c r="B1935" s="2" t="str">
        <f>IFERROR(__xludf.DUMMYFUNCTION("""COMPUTED_VALUE"""),"Chake Khola Small Hydropower Project")</f>
        <v>Chake Khola Small Hydropower Project</v>
      </c>
      <c r="C1935" s="2">
        <f>IFERROR(__xludf.DUMMYFUNCTION("""COMPUTED_VALUE"""),0.9)</f>
        <v>0.9</v>
      </c>
      <c r="D1935" s="2" t="str">
        <f>IFERROR(__xludf.DUMMYFUNCTION("""COMPUTED_VALUE"""),"Chake Khola")</f>
        <v>Chake Khola</v>
      </c>
      <c r="E1935" s="2">
        <f>IFERROR(__xludf.DUMMYFUNCTION("""COMPUTED_VALUE"""),1804.0)</f>
        <v>1804</v>
      </c>
      <c r="F1935" s="3">
        <f>IFERROR(__xludf.DUMMYFUNCTION("""COMPUTED_VALUE"""),62674.0)</f>
        <v>62674</v>
      </c>
      <c r="G1935" s="2" t="str">
        <f>IFERROR(__xludf.DUMMYFUNCTION("""COMPUTED_VALUE"""),"Sabitri Bhandari")</f>
        <v>Sabitri Bhandari</v>
      </c>
      <c r="H1935" s="2" t="str">
        <f>IFERROR(__xludf.DUMMYFUNCTION("""COMPUTED_VALUE"""),"Tupche-2, Nuwakot")</f>
        <v>Tupche-2, Nuwakot</v>
      </c>
      <c r="I1935" s="2" t="str">
        <f>IFERROR(__xludf.DUMMYFUNCTION("""COMPUTED_VALUE"""),"27o 54' 45""")</f>
        <v>27o 54' 45"</v>
      </c>
      <c r="J1935" s="2" t="str">
        <f>IFERROR(__xludf.DUMMYFUNCTION("""COMPUTED_VALUE"""),"27o 55' 16""")</f>
        <v>27o 55' 16"</v>
      </c>
      <c r="K1935" s="2" t="str">
        <f>IFERROR(__xludf.DUMMYFUNCTION("""COMPUTED_VALUE"""),"85o 22' 50""")</f>
        <v>85o 22' 50"</v>
      </c>
      <c r="L1935" s="2" t="str">
        <f>IFERROR(__xludf.DUMMYFUNCTION("""COMPUTED_VALUE"""),"85o 24' 44""")</f>
        <v>85o 24' 44"</v>
      </c>
      <c r="M1935" s="2" t="str">
        <f>IFERROR(__xludf.DUMMYFUNCTION("""COMPUTED_VALUE"""),"Balkumari,Rautbesi,Samundratar (Nuwakot)")</f>
        <v>Balkumari,Rautbesi,Samundratar (Nuwakot)</v>
      </c>
    </row>
    <row r="1936">
      <c r="A1936" s="2">
        <f>IFERROR(__xludf.DUMMYFUNCTION("""COMPUTED_VALUE"""),1935.0)</f>
        <v>1935</v>
      </c>
      <c r="B1936" s="2" t="str">
        <f>IFERROR(__xludf.DUMMYFUNCTION("""COMPUTED_VALUE"""),"Bhaise Khola Small Hydropower Project")</f>
        <v>Bhaise Khola Small Hydropower Project</v>
      </c>
      <c r="C1936" s="2">
        <f>IFERROR(__xludf.DUMMYFUNCTION("""COMPUTED_VALUE"""),4.5)</f>
        <v>4.5</v>
      </c>
      <c r="D1936" s="2" t="str">
        <f>IFERROR(__xludf.DUMMYFUNCTION("""COMPUTED_VALUE"""),"Bhaise Khola")</f>
        <v>Bhaise Khola</v>
      </c>
      <c r="E1936" s="2">
        <f>IFERROR(__xludf.DUMMYFUNCTION("""COMPUTED_VALUE"""),1806.0)</f>
        <v>1806</v>
      </c>
      <c r="F1936" s="3">
        <f>IFERROR(__xludf.DUMMYFUNCTION("""COMPUTED_VALUE"""),62674.0)</f>
        <v>62674</v>
      </c>
      <c r="G1936" s="2" t="str">
        <f>IFERROR(__xludf.DUMMYFUNCTION("""COMPUTED_VALUE"""),"R &amp; D Power company Pvt. Ltd.")</f>
        <v>R &amp; D Power company Pvt. Ltd.</v>
      </c>
      <c r="H1936" s="2" t="str">
        <f>IFERROR(__xludf.DUMMYFUNCTION("""COMPUTED_VALUE"""),"New Baneshower-10, Katnmandu")</f>
        <v>New Baneshower-10, Katnmandu</v>
      </c>
      <c r="I1936" s="2" t="str">
        <f>IFERROR(__xludf.DUMMYFUNCTION("""COMPUTED_VALUE"""),"27o 51' 50""")</f>
        <v>27o 51' 50"</v>
      </c>
      <c r="J1936" s="2" t="str">
        <f>IFERROR(__xludf.DUMMYFUNCTION("""COMPUTED_VALUE"""),"27o 54' 33""")</f>
        <v>27o 54' 33"</v>
      </c>
      <c r="K1936" s="2" t="str">
        <f>IFERROR(__xludf.DUMMYFUNCTION("""COMPUTED_VALUE"""),"68o 13' 40""")</f>
        <v>68o 13' 40"</v>
      </c>
      <c r="L1936" s="2" t="str">
        <f>IFERROR(__xludf.DUMMYFUNCTION("""COMPUTED_VALUE"""),"86o 10' 37""")</f>
        <v>86o 10' 37"</v>
      </c>
      <c r="M1936" s="2" t="str">
        <f>IFERROR(__xludf.DUMMYFUNCTION("""COMPUTED_VALUE"""),"Lamabagar (Dolakha)")</f>
        <v>Lamabagar (Dolakha)</v>
      </c>
    </row>
    <row r="1937">
      <c r="A1937" s="2">
        <f>IFERROR(__xludf.DUMMYFUNCTION("""COMPUTED_VALUE"""),1936.0)</f>
        <v>1936</v>
      </c>
      <c r="B1937" s="2" t="str">
        <f>IFERROR(__xludf.DUMMYFUNCTION("""COMPUTED_VALUE"""),"Deomai Khola Small Hydropower Project")</f>
        <v>Deomai Khola Small Hydropower Project</v>
      </c>
      <c r="C1937" s="2">
        <f>IFERROR(__xludf.DUMMYFUNCTION("""COMPUTED_VALUE"""),0.99)</f>
        <v>0.99</v>
      </c>
      <c r="D1937" s="2" t="str">
        <f>IFERROR(__xludf.DUMMYFUNCTION("""COMPUTED_VALUE"""),"Deu Mai")</f>
        <v>Deu Mai</v>
      </c>
      <c r="E1937" s="2">
        <f>IFERROR(__xludf.DUMMYFUNCTION("""COMPUTED_VALUE"""),757.0)</f>
        <v>757</v>
      </c>
      <c r="F1937" s="3">
        <f>IFERROR(__xludf.DUMMYFUNCTION("""COMPUTED_VALUE"""),62674.0)</f>
        <v>62674</v>
      </c>
      <c r="G1937" s="2" t="str">
        <f>IFERROR(__xludf.DUMMYFUNCTION("""COMPUTED_VALUE"""),"Kirat Chotlung MA Sewa")</f>
        <v>Kirat Chotlung MA Sewa</v>
      </c>
      <c r="H1937" s="2" t="str">
        <f>IFERROR(__xludf.DUMMYFUNCTION("""COMPUTED_VALUE"""),"Bajho-9,Mansetung,Illam 9851034098,9815981515")</f>
        <v>Bajho-9,Mansetung,Illam 9851034098,9815981515</v>
      </c>
      <c r="I1937" s="2" t="str">
        <f>IFERROR(__xludf.DUMMYFUNCTION("""COMPUTED_VALUE"""),"26o 49' 44""")</f>
        <v>26o 49' 44"</v>
      </c>
      <c r="J1937" s="2" t="str">
        <f>IFERROR(__xludf.DUMMYFUNCTION("""COMPUTED_VALUE"""),"26o 51' 02""")</f>
        <v>26o 51' 02"</v>
      </c>
      <c r="K1937" s="2" t="str">
        <f>IFERROR(__xludf.DUMMYFUNCTION("""COMPUTED_VALUE"""),"87o 46' 06""")</f>
        <v>87o 46' 06"</v>
      </c>
      <c r="L1937" s="2" t="str">
        <f>IFERROR(__xludf.DUMMYFUNCTION("""COMPUTED_VALUE"""),"87o 46' 58""")</f>
        <v>87o 46' 58"</v>
      </c>
      <c r="M1937" s="2" t="str">
        <f>IFERROR(__xludf.DUMMYFUNCTION("""COMPUTED_VALUE"""),"Bajho,Emang (Ilam)")</f>
        <v>Bajho,Emang (Ilam)</v>
      </c>
    </row>
    <row r="1938">
      <c r="A1938" s="2">
        <f>IFERROR(__xludf.DUMMYFUNCTION("""COMPUTED_VALUE"""),1937.0)</f>
        <v>1937</v>
      </c>
      <c r="B1938" s="2" t="str">
        <f>IFERROR(__xludf.DUMMYFUNCTION("""COMPUTED_VALUE"""),"Melamchi Khola HEP")</f>
        <v>Melamchi Khola HEP</v>
      </c>
      <c r="C1938" s="2">
        <f>IFERROR(__xludf.DUMMYFUNCTION("""COMPUTED_VALUE"""),5.0)</f>
        <v>5</v>
      </c>
      <c r="D1938" s="2" t="str">
        <f>IFERROR(__xludf.DUMMYFUNCTION("""COMPUTED_VALUE"""),"Melamchi")</f>
        <v>Melamchi</v>
      </c>
      <c r="E1938" s="2">
        <f>IFERROR(__xludf.DUMMYFUNCTION("""COMPUTED_VALUE"""),1913.0)</f>
        <v>1913</v>
      </c>
      <c r="F1938" s="3">
        <f>IFERROR(__xludf.DUMMYFUNCTION("""COMPUTED_VALUE"""),62684.0)</f>
        <v>62684</v>
      </c>
      <c r="G1938" s="2" t="str">
        <f>IFERROR(__xludf.DUMMYFUNCTION("""COMPUTED_VALUE"""),"Mount Kailash Energy Company Pvt.Ltd.")</f>
        <v>Mount Kailash Energy Company Pvt.Ltd.</v>
      </c>
      <c r="H1938" s="2" t="str">
        <f>IFERROR(__xludf.DUMMYFUNCTION("""COMPUTED_VALUE"""),"Banasthali-16,Kathmandu, 4302706, 4302707, 4302709, 
mtkailash11@gmail.com,www.mtkailashenergy.com")</f>
        <v>Banasthali-16,Kathmandu, 4302706, 4302707, 4302709, 
mtkailash11@gmail.com,www.mtkailashenergy.com</v>
      </c>
      <c r="I1938" s="2" t="str">
        <f>IFERROR(__xludf.DUMMYFUNCTION("""COMPUTED_VALUE"""),"27o 57' 30""")</f>
        <v>27o 57' 30"</v>
      </c>
      <c r="J1938" s="2" t="str">
        <f>IFERROR(__xludf.DUMMYFUNCTION("""COMPUTED_VALUE"""),"28o 02' 18""")</f>
        <v>28o 02' 18"</v>
      </c>
      <c r="K1938" s="2" t="str">
        <f>IFERROR(__xludf.DUMMYFUNCTION("""COMPUTED_VALUE"""),"85o 31' 31""")</f>
        <v>85o 31' 31"</v>
      </c>
      <c r="L1938" s="2" t="str">
        <f>IFERROR(__xludf.DUMMYFUNCTION("""COMPUTED_VALUE"""),"85o 35' 00""")</f>
        <v>85o 35' 00"</v>
      </c>
      <c r="M1938" s="2" t="str">
        <f>IFERROR(__xludf.DUMMYFUNCTION("""COMPUTED_VALUE"""),"Melamche (Sindhupalchok)")</f>
        <v>Melamche (Sindhupalchok)</v>
      </c>
    </row>
    <row r="1939">
      <c r="A1939" s="2">
        <f>IFERROR(__xludf.DUMMYFUNCTION("""COMPUTED_VALUE"""),1938.0)</f>
        <v>1938</v>
      </c>
      <c r="B1939" s="2" t="str">
        <f>IFERROR(__xludf.DUMMYFUNCTION("""COMPUTED_VALUE"""),"Mayun Small Hydropower Project")</f>
        <v>Mayun Small Hydropower Project</v>
      </c>
      <c r="C1939" s="2">
        <f>IFERROR(__xludf.DUMMYFUNCTION("""COMPUTED_VALUE"""),0.995)</f>
        <v>0.995</v>
      </c>
      <c r="D1939" s="2" t="str">
        <f>IFERROR(__xludf.DUMMYFUNCTION("""COMPUTED_VALUE"""),"Mayun")</f>
        <v>Mayun</v>
      </c>
      <c r="E1939" s="2">
        <f>IFERROR(__xludf.DUMMYFUNCTION("""COMPUTED_VALUE"""),2062.0)</f>
        <v>2062</v>
      </c>
      <c r="F1939" s="3">
        <f>IFERROR(__xludf.DUMMYFUNCTION("""COMPUTED_VALUE"""),62692.0)</f>
        <v>62692</v>
      </c>
      <c r="G1939" s="2" t="str">
        <f>IFERROR(__xludf.DUMMYFUNCTION("""COMPUTED_VALUE"""),"Kavre Power Company Pvt.Ltd")</f>
        <v>Kavre Power Company Pvt.Ltd</v>
      </c>
      <c r="H1939" s="2" t="str">
        <f>IFERROR(__xludf.DUMMYFUNCTION("""COMPUTED_VALUE"""),"Banepa-10, 9801098015,")</f>
        <v>Banepa-10, 9801098015,</v>
      </c>
      <c r="I1939" s="2" t="str">
        <f>IFERROR(__xludf.DUMMYFUNCTION("""COMPUTED_VALUE"""),"27o 55' 00""")</f>
        <v>27o 55' 00"</v>
      </c>
      <c r="J1939" s="2" t="str">
        <f>IFERROR(__xludf.DUMMYFUNCTION("""COMPUTED_VALUE"""),"27o 56' 39""")</f>
        <v>27o 56' 39"</v>
      </c>
      <c r="K1939" s="2" t="str">
        <f>IFERROR(__xludf.DUMMYFUNCTION("""COMPUTED_VALUE"""),"85o 45' 36""")</f>
        <v>85o 45' 36"</v>
      </c>
      <c r="L1939" s="2" t="str">
        <f>IFERROR(__xludf.DUMMYFUNCTION("""COMPUTED_VALUE"""),"85o 46' 50""")</f>
        <v>85o 46' 50"</v>
      </c>
      <c r="M1939" s="2" t="str">
        <f>IFERROR(__xludf.DUMMYFUNCTION("""COMPUTED_VALUE"""),"Golche (Sindhupalchok)")</f>
        <v>Golche (Sindhupalchok)</v>
      </c>
    </row>
    <row r="1940">
      <c r="A1940" s="2">
        <f>IFERROR(__xludf.DUMMYFUNCTION("""COMPUTED_VALUE"""),1939.0)</f>
        <v>1939</v>
      </c>
      <c r="B1940" s="2" t="str">
        <f>IFERROR(__xludf.DUMMYFUNCTION("""COMPUTED_VALUE"""),"Namili Khola Micro HP")</f>
        <v>Namili Khola Micro HP</v>
      </c>
      <c r="C1940" s="2">
        <f>IFERROR(__xludf.DUMMYFUNCTION("""COMPUTED_VALUE"""),0.496)</f>
        <v>0.496</v>
      </c>
      <c r="D1940" s="2" t="str">
        <f>IFERROR(__xludf.DUMMYFUNCTION("""COMPUTED_VALUE"""),"Namili Khola")</f>
        <v>Namili Khola</v>
      </c>
      <c r="E1940" s="2">
        <f>IFERROR(__xludf.DUMMYFUNCTION("""COMPUTED_VALUE"""),2191.0)</f>
        <v>2191</v>
      </c>
      <c r="F1940" s="3">
        <f>IFERROR(__xludf.DUMMYFUNCTION("""COMPUTED_VALUE"""),62703.0)</f>
        <v>62703</v>
      </c>
      <c r="G1940" s="2" t="str">
        <f>IFERROR(__xludf.DUMMYFUNCTION("""COMPUTED_VALUE"""),"Pahadi Hydropower company pvt ltd")</f>
        <v>Pahadi Hydropower company pvt ltd</v>
      </c>
      <c r="H1940" s="2" t="str">
        <f>IFERROR(__xludf.DUMMYFUNCTION("""COMPUTED_VALUE"""),"Baglung-2, Nepal")</f>
        <v>Baglung-2, Nepal</v>
      </c>
      <c r="I1940" s="2" t="str">
        <f>IFERROR(__xludf.DUMMYFUNCTION("""COMPUTED_VALUE"""),"28o 19' 17""")</f>
        <v>28o 19' 17"</v>
      </c>
      <c r="J1940" s="2" t="str">
        <f>IFERROR(__xludf.DUMMYFUNCTION("""COMPUTED_VALUE"""),"28o 19' 55""")</f>
        <v>28o 19' 55"</v>
      </c>
      <c r="K1940" s="2" t="str">
        <f>IFERROR(__xludf.DUMMYFUNCTION("""COMPUTED_VALUE"""),"83o 24' 10""")</f>
        <v>83o 24' 10"</v>
      </c>
      <c r="L1940" s="2" t="str">
        <f>IFERROR(__xludf.DUMMYFUNCTION("""COMPUTED_VALUE"""),"83o 24' 42""")</f>
        <v>83o 24' 42"</v>
      </c>
      <c r="M1940" s="2" t="str">
        <f>IFERROR(__xludf.DUMMYFUNCTION("""COMPUTED_VALUE"""),"Tarku (Lamjung)")</f>
        <v>Tarku (Lamjung)</v>
      </c>
    </row>
    <row r="1941">
      <c r="A1941" s="2">
        <f>IFERROR(__xludf.DUMMYFUNCTION("""COMPUTED_VALUE"""),1940.0)</f>
        <v>1940</v>
      </c>
      <c r="B1941" s="2" t="str">
        <f>IFERROR(__xludf.DUMMYFUNCTION("""COMPUTED_VALUE"""),"Lodo Khola Small HPP")</f>
        <v>Lodo Khola Small HPP</v>
      </c>
      <c r="C1941" s="2">
        <f>IFERROR(__xludf.DUMMYFUNCTION("""COMPUTED_VALUE"""),0.3)</f>
        <v>0.3</v>
      </c>
      <c r="D1941" s="2" t="str">
        <f>IFERROR(__xludf.DUMMYFUNCTION("""COMPUTED_VALUE"""),"Lodo Khola")</f>
        <v>Lodo Khola</v>
      </c>
      <c r="E1941" s="2">
        <f>IFERROR(__xludf.DUMMYFUNCTION("""COMPUTED_VALUE"""),2216.0)</f>
        <v>2216</v>
      </c>
      <c r="F1941" s="3">
        <f>IFERROR(__xludf.DUMMYFUNCTION("""COMPUTED_VALUE"""),62704.0)</f>
        <v>62704</v>
      </c>
      <c r="G1941" s="2" t="str">
        <f>IFERROR(__xludf.DUMMYFUNCTION("""COMPUTED_VALUE"""),"Yadav Raj Mainali")</f>
        <v>Yadav Raj Mainali</v>
      </c>
      <c r="H1941" s="2" t="str">
        <f>IFERROR(__xludf.DUMMYFUNCTION("""COMPUTED_VALUE"""),"Kathmandu-9, Battisputali")</f>
        <v>Kathmandu-9, Battisputali</v>
      </c>
      <c r="I1941" s="2" t="str">
        <f>IFERROR(__xludf.DUMMYFUNCTION("""COMPUTED_VALUE"""),"28o 15' 41""")</f>
        <v>28o 15' 41"</v>
      </c>
      <c r="J1941" s="2" t="str">
        <f>IFERROR(__xludf.DUMMYFUNCTION("""COMPUTED_VALUE"""),"28o 16' 21""")</f>
        <v>28o 16' 21"</v>
      </c>
      <c r="K1941" s="2" t="str">
        <f>IFERROR(__xludf.DUMMYFUNCTION("""COMPUTED_VALUE"""),"84o 31' 48""")</f>
        <v>84o 31' 48"</v>
      </c>
      <c r="L1941" s="2" t="str">
        <f>IFERROR(__xludf.DUMMYFUNCTION("""COMPUTED_VALUE"""),"84o 33' 10""")</f>
        <v>84o 33' 10"</v>
      </c>
      <c r="M1941" s="2" t="str">
        <f>IFERROR(__xludf.DUMMYFUNCTION("""COMPUTED_VALUE"""),"Dhodeni (Lamjung)")</f>
        <v>Dhodeni (Lamjung)</v>
      </c>
    </row>
    <row r="1942">
      <c r="A1942" s="2">
        <f>IFERROR(__xludf.DUMMYFUNCTION("""COMPUTED_VALUE"""),1941.0)</f>
        <v>1941</v>
      </c>
      <c r="B1942" s="2" t="str">
        <f>IFERROR(__xludf.DUMMYFUNCTION("""COMPUTED_VALUE"""),"Kolpu Khola small HPP")</f>
        <v>Kolpu Khola small HPP</v>
      </c>
      <c r="C1942" s="2">
        <f>IFERROR(__xludf.DUMMYFUNCTION("""COMPUTED_VALUE"""),0.985)</f>
        <v>0.985</v>
      </c>
      <c r="D1942" s="2" t="str">
        <f>IFERROR(__xludf.DUMMYFUNCTION("""COMPUTED_VALUE"""),"Kolpu Khola")</f>
        <v>Kolpu Khola</v>
      </c>
      <c r="E1942" s="2">
        <f>IFERROR(__xludf.DUMMYFUNCTION("""COMPUTED_VALUE"""),2301.0)</f>
        <v>2301</v>
      </c>
      <c r="F1942" s="3">
        <f>IFERROR(__xludf.DUMMYFUNCTION("""COMPUTED_VALUE"""),62709.0)</f>
        <v>62709</v>
      </c>
      <c r="G1942" s="2" t="str">
        <f>IFERROR(__xludf.DUMMYFUNCTION("""COMPUTED_VALUE"""),"Chandra Tamang")</f>
        <v>Chandra Tamang</v>
      </c>
      <c r="H1942" s="2" t="str">
        <f>IFERROR(__xludf.DUMMYFUNCTION("""COMPUTED_VALUE"""),"Tasarpu VDC-03, Dhading")</f>
        <v>Tasarpu VDC-03, Dhading</v>
      </c>
      <c r="I1942" s="2" t="str">
        <f>IFERROR(__xludf.DUMMYFUNCTION("""COMPUTED_VALUE"""),"27o 47' 30""")</f>
        <v>27o 47' 30"</v>
      </c>
      <c r="J1942" s="2" t="str">
        <f>IFERROR(__xludf.DUMMYFUNCTION("""COMPUTED_VALUE"""),"27o 49' 03""")</f>
        <v>27o 49' 03"</v>
      </c>
      <c r="K1942" s="2" t="str">
        <f>IFERROR(__xludf.DUMMYFUNCTION("""COMPUTED_VALUE"""),"85o 02' 20""")</f>
        <v>85o 02' 20"</v>
      </c>
      <c r="L1942" s="2" t="str">
        <f>IFERROR(__xludf.DUMMYFUNCTION("""COMPUTED_VALUE"""),"85o 03' 53""")</f>
        <v>85o 03' 53"</v>
      </c>
      <c r="M1942" s="2" t="str">
        <f>IFERROR(__xludf.DUMMYFUNCTION("""COMPUTED_VALUE"""),"Goganpani (Dhading)")</f>
        <v>Goganpani (Dhading)</v>
      </c>
    </row>
    <row r="1943">
      <c r="A1943" s="2">
        <f>IFERROR(__xludf.DUMMYFUNCTION("""COMPUTED_VALUE"""),1942.0)</f>
        <v>1942</v>
      </c>
      <c r="B1943" s="2" t="str">
        <f>IFERROR(__xludf.DUMMYFUNCTION("""COMPUTED_VALUE"""),"Chimkhola small Hpp")</f>
        <v>Chimkhola small Hpp</v>
      </c>
      <c r="C1943" s="2">
        <f>IFERROR(__xludf.DUMMYFUNCTION("""COMPUTED_VALUE"""),9.5)</f>
        <v>9.5</v>
      </c>
      <c r="D1943" s="2" t="str">
        <f>IFERROR(__xludf.DUMMYFUNCTION("""COMPUTED_VALUE"""),"Bagar Khola")</f>
        <v>Bagar Khola</v>
      </c>
      <c r="E1943" s="2">
        <f>IFERROR(__xludf.DUMMYFUNCTION("""COMPUTED_VALUE"""),2405.0)</f>
        <v>2405</v>
      </c>
      <c r="F1943" s="3">
        <f>IFERROR(__xludf.DUMMYFUNCTION("""COMPUTED_VALUE"""),62717.0)</f>
        <v>62717</v>
      </c>
      <c r="G1943" s="2" t="str">
        <f>IFERROR(__xludf.DUMMYFUNCTION("""COMPUTED_VALUE"""),"Myagdi Power Development Pvt.Ltd")</f>
        <v>Myagdi Power Development Pvt.Ltd</v>
      </c>
      <c r="H1943" s="2" t="str">
        <f>IFERROR(__xludf.DUMMYFUNCTION("""COMPUTED_VALUE"""),"Trade Tower ,Thapathali,Kathmandu-11 ,5111006,9851033958")</f>
        <v>Trade Tower ,Thapathali,Kathmandu-11 ,5111006,9851033958</v>
      </c>
      <c r="I1943" s="2" t="str">
        <f>IFERROR(__xludf.DUMMYFUNCTION("""COMPUTED_VALUE"""),"28o 28' 30""")</f>
        <v>28o 28' 30"</v>
      </c>
      <c r="J1943" s="2" t="str">
        <f>IFERROR(__xludf.DUMMYFUNCTION("""COMPUTED_VALUE"""),"28o 30' 30""")</f>
        <v>28o 30' 30"</v>
      </c>
      <c r="K1943" s="2" t="str">
        <f>IFERROR(__xludf.DUMMYFUNCTION("""COMPUTED_VALUE"""),"83o 31' 15""")</f>
        <v>83o 31' 15"</v>
      </c>
      <c r="L1943" s="2" t="str">
        <f>IFERROR(__xludf.DUMMYFUNCTION("""COMPUTED_VALUE"""),"83o 33' 00""")</f>
        <v>83o 33' 00"</v>
      </c>
      <c r="M1943" s="2" t="str">
        <f>IFERROR(__xludf.DUMMYFUNCTION("""COMPUTED_VALUE"""),"Chimkhola (Myagdi)")</f>
        <v>Chimkhola (Myagdi)</v>
      </c>
    </row>
    <row r="1944">
      <c r="A1944" s="2">
        <f>IFERROR(__xludf.DUMMYFUNCTION("""COMPUTED_VALUE"""),1943.0)</f>
        <v>1943</v>
      </c>
      <c r="B1944" s="2" t="str">
        <f>IFERROR(__xludf.DUMMYFUNCTION("""COMPUTED_VALUE"""),"Lower Jogmai HPP")</f>
        <v>Lower Jogmai HPP</v>
      </c>
      <c r="C1944" s="2">
        <f>IFERROR(__xludf.DUMMYFUNCTION("""COMPUTED_VALUE"""),4.5)</f>
        <v>4.5</v>
      </c>
      <c r="D1944" s="2" t="str">
        <f>IFERROR(__xludf.DUMMYFUNCTION("""COMPUTED_VALUE"""),"Jogmai Khola")</f>
        <v>Jogmai Khola</v>
      </c>
      <c r="E1944" s="2">
        <f>IFERROR(__xludf.DUMMYFUNCTION("""COMPUTED_VALUE"""),1927.0)</f>
        <v>1927</v>
      </c>
      <c r="F1944" s="3">
        <f>IFERROR(__xludf.DUMMYFUNCTION("""COMPUTED_VALUE"""),62725.0)</f>
        <v>62725</v>
      </c>
      <c r="G1944" s="2" t="str">
        <f>IFERROR(__xludf.DUMMYFUNCTION("""COMPUTED_VALUE"""),"Phikkal Power company Pvt.Ltd.")</f>
        <v>Phikkal Power company Pvt.Ltd.</v>
      </c>
      <c r="H1944" s="2" t="str">
        <f>IFERROR(__xludf.DUMMYFUNCTION("""COMPUTED_VALUE"""),"Lalitpur-10, Nepal.PoBox 8975 EPC 1341 KTM Nepal")</f>
        <v>Lalitpur-10, Nepal.PoBox 8975 EPC 1341 KTM Nepal</v>
      </c>
      <c r="I1944" s="2" t="str">
        <f>IFERROR(__xludf.DUMMYFUNCTION("""COMPUTED_VALUE"""),"26o 52' 50""")</f>
        <v>26o 52' 50"</v>
      </c>
      <c r="J1944" s="2" t="str">
        <f>IFERROR(__xludf.DUMMYFUNCTION("""COMPUTED_VALUE"""),"26o 54' 30""")</f>
        <v>26o 54' 30"</v>
      </c>
      <c r="K1944" s="2" t="str">
        <f>IFERROR(__xludf.DUMMYFUNCTION("""COMPUTED_VALUE"""),"87o 57' 25""")</f>
        <v>87o 57' 25"</v>
      </c>
      <c r="L1944" s="2" t="str">
        <f>IFERROR(__xludf.DUMMYFUNCTION("""COMPUTED_VALUE"""),"88o 00' 00""")</f>
        <v>88o 00' 00"</v>
      </c>
      <c r="M1944" s="2" t="str">
        <f>IFERROR(__xludf.DUMMYFUNCTION("""COMPUTED_VALUE"""),"Goduk,Panchakanya,Namsaling (Ilam)")</f>
        <v>Goduk,Panchakanya,Namsaling (Ilam)</v>
      </c>
    </row>
    <row r="1945">
      <c r="A1945" s="2">
        <f>IFERROR(__xludf.DUMMYFUNCTION("""COMPUTED_VALUE"""),1944.0)</f>
        <v>1944</v>
      </c>
      <c r="B1945" s="2" t="str">
        <f>IFERROR(__xludf.DUMMYFUNCTION("""COMPUTED_VALUE"""),"Chyandi Khola HPP")</f>
        <v>Chyandi Khola HPP</v>
      </c>
      <c r="C1945" s="2">
        <f>IFERROR(__xludf.DUMMYFUNCTION("""COMPUTED_VALUE"""),4.5)</f>
        <v>4.5</v>
      </c>
      <c r="D1945" s="2" t="str">
        <f>IFERROR(__xludf.DUMMYFUNCTION("""COMPUTED_VALUE"""),"Chyandi Khola")</f>
        <v>Chyandi Khola</v>
      </c>
      <c r="E1945" s="2">
        <f>IFERROR(__xludf.DUMMYFUNCTION("""COMPUTED_VALUE"""),2516.0)</f>
        <v>2516</v>
      </c>
      <c r="F1945" s="3">
        <f>IFERROR(__xludf.DUMMYFUNCTION("""COMPUTED_VALUE"""),62726.0)</f>
        <v>62726</v>
      </c>
      <c r="G1945" s="2" t="str">
        <f>IFERROR(__xludf.DUMMYFUNCTION("""COMPUTED_VALUE"""),"Energy Resources PVT.Ltd")</f>
        <v>Energy Resources PVT.Ltd</v>
      </c>
      <c r="H1945" s="2" t="str">
        <f>IFERROR(__xludf.DUMMYFUNCTION("""COMPUTED_VALUE"""),"11Malpot Chowk, Bharatpur-10, Chitaun 9841020317,056524402")</f>
        <v>11Malpot Chowk, Bharatpur-10, Chitaun 9841020317,056524402</v>
      </c>
      <c r="I1945" s="2" t="str">
        <f>IFERROR(__xludf.DUMMYFUNCTION("""COMPUTED_VALUE"""),"28o 13' 02""")</f>
        <v>28o 13' 02"</v>
      </c>
      <c r="J1945" s="2" t="str">
        <f>IFERROR(__xludf.DUMMYFUNCTION("""COMPUTED_VALUE"""),"28o 15' 00""")</f>
        <v>28o 15' 00"</v>
      </c>
      <c r="K1945" s="2" t="str">
        <f>IFERROR(__xludf.DUMMYFUNCTION("""COMPUTED_VALUE"""),"84o 36' 58""")</f>
        <v>84o 36' 58"</v>
      </c>
      <c r="L1945" s="2" t="str">
        <f>IFERROR(__xludf.DUMMYFUNCTION("""COMPUTED_VALUE"""),"84o 38' 24""")</f>
        <v>84o 38' 24"</v>
      </c>
      <c r="M1945" s="2" t="str">
        <f>IFERROR(__xludf.DUMMYFUNCTION("""COMPUTED_VALUE"""),"Dudhpokhari (Lamjung)")</f>
        <v>Dudhpokhari (Lamjung)</v>
      </c>
    </row>
    <row r="1946">
      <c r="A1946" s="2">
        <f>IFERROR(__xludf.DUMMYFUNCTION("""COMPUTED_VALUE"""),1945.0)</f>
        <v>1945</v>
      </c>
      <c r="B1946" s="2" t="str">
        <f>IFERROR(__xludf.DUMMYFUNCTION("""COMPUTED_VALUE"""),"Upper Likhu HPP")</f>
        <v>Upper Likhu HPP</v>
      </c>
      <c r="C1946" s="2">
        <f>IFERROR(__xludf.DUMMYFUNCTION("""COMPUTED_VALUE"""),9.97)</f>
        <v>9.97</v>
      </c>
      <c r="D1946" s="2" t="str">
        <f>IFERROR(__xludf.DUMMYFUNCTION("""COMPUTED_VALUE"""),"Likhu Khola")</f>
        <v>Likhu Khola</v>
      </c>
      <c r="E1946" s="2">
        <f>IFERROR(__xludf.DUMMYFUNCTION("""COMPUTED_VALUE"""),2529.0)</f>
        <v>2529</v>
      </c>
      <c r="F1946" s="3">
        <f>IFERROR(__xludf.DUMMYFUNCTION("""COMPUTED_VALUE"""),62726.0)</f>
        <v>62726</v>
      </c>
      <c r="G1946" s="2" t="str">
        <f>IFERROR(__xludf.DUMMYFUNCTION("""COMPUTED_VALUE"""),"Likhu Energy Pvt. Ltd.")</f>
        <v>Likhu Energy Pvt. Ltd.</v>
      </c>
      <c r="H1946" s="2" t="str">
        <f>IFERROR(__xludf.DUMMYFUNCTION("""COMPUTED_VALUE"""),"Kathmandu-9 Gairi gaun,")</f>
        <v>Kathmandu-9 Gairi gaun,</v>
      </c>
      <c r="I1946" s="2" t="str">
        <f>IFERROR(__xludf.DUMMYFUNCTION("""COMPUTED_VALUE"""),"27o 40' 35""")</f>
        <v>27o 40' 35"</v>
      </c>
      <c r="J1946" s="2" t="str">
        <f>IFERROR(__xludf.DUMMYFUNCTION("""COMPUTED_VALUE"""),"27o 43' 20""")</f>
        <v>27o 43' 20"</v>
      </c>
      <c r="K1946" s="2" t="str">
        <f>IFERROR(__xludf.DUMMYFUNCTION("""COMPUTED_VALUE"""),"86o 26' 00""")</f>
        <v>86o 26' 00"</v>
      </c>
      <c r="L1946" s="2" t="str">
        <f>IFERROR(__xludf.DUMMYFUNCTION("""COMPUTED_VALUE"""),"86o 30' 00""")</f>
        <v>86o 30' 00"</v>
      </c>
      <c r="M1946" s="2"/>
    </row>
    <row r="1947">
      <c r="A1947" s="2">
        <f>IFERROR(__xludf.DUMMYFUNCTION("""COMPUTED_VALUE"""),1946.0)</f>
        <v>1946</v>
      </c>
      <c r="B1947" s="2" t="str">
        <f>IFERROR(__xludf.DUMMYFUNCTION("""COMPUTED_VALUE"""),"Real Nepal Sapsu Mini Hydro Project")</f>
        <v>Real Nepal Sapsu Mini Hydro Project</v>
      </c>
      <c r="C1947" s="2">
        <f>IFERROR(__xludf.DUMMYFUNCTION("""COMPUTED_VALUE"""),0.959)</f>
        <v>0.959</v>
      </c>
      <c r="D1947" s="2" t="str">
        <f>IFERROR(__xludf.DUMMYFUNCTION("""COMPUTED_VALUE"""),"Sapsu")</f>
        <v>Sapsu</v>
      </c>
      <c r="E1947" s="2">
        <f>IFERROR(__xludf.DUMMYFUNCTION("""COMPUTED_VALUE"""),2573.0)</f>
        <v>2573</v>
      </c>
      <c r="F1947" s="3">
        <f>IFERROR(__xludf.DUMMYFUNCTION("""COMPUTED_VALUE"""),62729.0)</f>
        <v>62729</v>
      </c>
      <c r="G1947" s="2" t="str">
        <f>IFERROR(__xludf.DUMMYFUNCTION("""COMPUTED_VALUE"""),"Real Nepal Mini Hydro Pvt.Ltd.")</f>
        <v>Real Nepal Mini Hydro Pvt.Ltd.</v>
      </c>
      <c r="H1947" s="2" t="str">
        <f>IFERROR(__xludf.DUMMYFUNCTION("""COMPUTED_VALUE"""),"Kirtipur-1,Kathmandu, Nepal")</f>
        <v>Kirtipur-1,Kathmandu, Nepal</v>
      </c>
      <c r="I1947" s="2" t="str">
        <f>IFERROR(__xludf.DUMMYFUNCTION("""COMPUTED_VALUE"""),"27o 30' 45""")</f>
        <v>27o 30' 45"</v>
      </c>
      <c r="J1947" s="2" t="str">
        <f>IFERROR(__xludf.DUMMYFUNCTION("""COMPUTED_VALUE"""),"27o 32' 30""")</f>
        <v>27o 32' 30"</v>
      </c>
      <c r="K1947" s="2" t="str">
        <f>IFERROR(__xludf.DUMMYFUNCTION("""COMPUTED_VALUE"""),"86o 18' 45""")</f>
        <v>86o 18' 45"</v>
      </c>
      <c r="L1947" s="2" t="str">
        <f>IFERROR(__xludf.DUMMYFUNCTION("""COMPUTED_VALUE"""),"86o 20' 00""")</f>
        <v>86o 20' 00"</v>
      </c>
      <c r="M1947" s="2" t="str">
        <f>IFERROR(__xludf.DUMMYFUNCTION("""COMPUTED_VALUE"""),"Kubukasthali (Ramechhap)")</f>
        <v>Kubukasthali (Ramechhap)</v>
      </c>
    </row>
    <row r="1948">
      <c r="A1948" s="2">
        <f>IFERROR(__xludf.DUMMYFUNCTION("""COMPUTED_VALUE"""),1947.0)</f>
        <v>1947</v>
      </c>
      <c r="B1948" s="2" t="str">
        <f>IFERROR(__xludf.DUMMYFUNCTION("""COMPUTED_VALUE"""),"Lower Thadakhani HPP")</f>
        <v>Lower Thadakhani HPP</v>
      </c>
      <c r="C1948" s="2">
        <f>IFERROR(__xludf.DUMMYFUNCTION("""COMPUTED_VALUE"""),3.5)</f>
        <v>3.5</v>
      </c>
      <c r="D1948" s="2" t="str">
        <f>IFERROR(__xludf.DUMMYFUNCTION("""COMPUTED_VALUE"""),"Thadekhani Khola")</f>
        <v>Thadekhani Khola</v>
      </c>
      <c r="E1948" s="2">
        <f>IFERROR(__xludf.DUMMYFUNCTION("""COMPUTED_VALUE"""),2591.0)</f>
        <v>2591</v>
      </c>
      <c r="F1948" s="3">
        <f>IFERROR(__xludf.DUMMYFUNCTION("""COMPUTED_VALUE"""),62731.0)</f>
        <v>62731</v>
      </c>
      <c r="G1948" s="2" t="str">
        <f>IFERROR(__xludf.DUMMYFUNCTION("""COMPUTED_VALUE"""),"Shnkalpa Myagdi Power Development Com. Pvt.Ltd.")</f>
        <v>Shnkalpa Myagdi Power Development Com. Pvt.Ltd.</v>
      </c>
      <c r="H1948" s="2" t="str">
        <f>IFERROR(__xludf.DUMMYFUNCTION("""COMPUTED_VALUE"""),"Thapathali-11, Kathmandu, 5th floor entrance Block, Traade Tower, 
Nepal,5111109,5111006,9851008767,9851033958")</f>
        <v>Thapathali-11, Kathmandu, 5th floor entrance Block, Traade Tower, 
Nepal,5111109,5111006,9851008767,9851033958</v>
      </c>
      <c r="I1948" s="2" t="str">
        <f>IFERROR(__xludf.DUMMYFUNCTION("""COMPUTED_VALUE"""),"28o 26' 25""")</f>
        <v>28o 26' 25"</v>
      </c>
      <c r="J1948" s="2" t="str">
        <f>IFERROR(__xludf.DUMMYFUNCTION("""COMPUTED_VALUE"""),"28o 27' 45""")</f>
        <v>28o 27' 45"</v>
      </c>
      <c r="K1948" s="2" t="str">
        <f>IFERROR(__xludf.DUMMYFUNCTION("""COMPUTED_VALUE"""),"83o 29' 40""")</f>
        <v>83o 29' 40"</v>
      </c>
      <c r="L1948" s="2" t="str">
        <f>IFERROR(__xludf.DUMMYFUNCTION("""COMPUTED_VALUE"""),"83o 31' 15""")</f>
        <v>83o 31' 15"</v>
      </c>
      <c r="M1948" s="2" t="str">
        <f>IFERROR(__xludf.DUMMYFUNCTION("""COMPUTED_VALUE"""),"Pakhapani (Myagdi)")</f>
        <v>Pakhapani (Myagdi)</v>
      </c>
    </row>
    <row r="1949">
      <c r="A1949" s="2">
        <f>IFERROR(__xludf.DUMMYFUNCTION("""COMPUTED_VALUE"""),1948.0)</f>
        <v>1948</v>
      </c>
      <c r="B1949" s="2" t="str">
        <f>IFERROR(__xludf.DUMMYFUNCTION("""COMPUTED_VALUE"""),"Upper Tamakoshi-A HPP")</f>
        <v>Upper Tamakoshi-A HPP</v>
      </c>
      <c r="C1949" s="2">
        <f>IFERROR(__xludf.DUMMYFUNCTION("""COMPUTED_VALUE"""),85.0)</f>
        <v>85</v>
      </c>
      <c r="D1949" s="2" t="str">
        <f>IFERROR(__xludf.DUMMYFUNCTION("""COMPUTED_VALUE"""),"Tama Koshi")</f>
        <v>Tama Koshi</v>
      </c>
      <c r="E1949" s="2">
        <f>IFERROR(__xludf.DUMMYFUNCTION("""COMPUTED_VALUE"""),2805.0)</f>
        <v>2805</v>
      </c>
      <c r="F1949" s="3">
        <f>IFERROR(__xludf.DUMMYFUNCTION("""COMPUTED_VALUE"""),62740.0)</f>
        <v>62740</v>
      </c>
      <c r="G1949" s="2" t="str">
        <f>IFERROR(__xludf.DUMMYFUNCTION("""COMPUTED_VALUE"""),"Upper Tamakosh Hydro Power Ltd.")</f>
        <v>Upper Tamakosh Hydro Power Ltd.</v>
      </c>
      <c r="H1949" s="2" t="str">
        <f>IFERROR(__xludf.DUMMYFUNCTION("""COMPUTED_VALUE"""),"Annapurna marg, Gyaneshower, Kathmandu4 421694, 4420658 Fx 4421569 ,PO box 
26070 neautp@mos.com.np")</f>
        <v>Annapurna marg, Gyaneshower, Kathmandu4 421694, 4420658 Fx 4421569 ,PO box 
26070 neautp@mos.com.np</v>
      </c>
      <c r="I1949" s="2" t="str">
        <f>IFERROR(__xludf.DUMMYFUNCTION("""COMPUTED_VALUE"""),"27o 55' 00""")</f>
        <v>27o 55' 00"</v>
      </c>
      <c r="J1949" s="2" t="str">
        <f>IFERROR(__xludf.DUMMYFUNCTION("""COMPUTED_VALUE"""),"27o 58' 00""")</f>
        <v>27o 58' 00"</v>
      </c>
      <c r="K1949" s="2" t="str">
        <f>IFERROR(__xludf.DUMMYFUNCTION("""COMPUTED_VALUE"""),"86o 11' 48""")</f>
        <v>86o 11' 48"</v>
      </c>
      <c r="L1949" s="2" t="str">
        <f>IFERROR(__xludf.DUMMYFUNCTION("""COMPUTED_VALUE"""),"86o 15' 00""")</f>
        <v>86o 15' 00"</v>
      </c>
      <c r="M1949" s="2" t="str">
        <f>IFERROR(__xludf.DUMMYFUNCTION("""COMPUTED_VALUE"""),"Lamabagar (Dolakha)")</f>
        <v>Lamabagar (Dolakha)</v>
      </c>
    </row>
    <row r="1950">
      <c r="A1950" s="2">
        <f>IFERROR(__xludf.DUMMYFUNCTION("""COMPUTED_VALUE"""),1949.0)</f>
        <v>1949</v>
      </c>
      <c r="B1950" s="2" t="str">
        <f>IFERROR(__xludf.DUMMYFUNCTION("""COMPUTED_VALUE"""),"Upper Naugad-A Small Hydro Project")</f>
        <v>Upper Naugad-A Small Hydro Project</v>
      </c>
      <c r="C1950" s="2">
        <f>IFERROR(__xludf.DUMMYFUNCTION("""COMPUTED_VALUE"""),5.0)</f>
        <v>5</v>
      </c>
      <c r="D1950" s="2" t="str">
        <f>IFERROR(__xludf.DUMMYFUNCTION("""COMPUTED_VALUE"""),"Naugad")</f>
        <v>Naugad</v>
      </c>
      <c r="E1950" s="2">
        <f>IFERROR(__xludf.DUMMYFUNCTION("""COMPUTED_VALUE"""),2894.0)</f>
        <v>2894</v>
      </c>
      <c r="F1950" s="3">
        <f>IFERROR(__xludf.DUMMYFUNCTION("""COMPUTED_VALUE"""),62745.0)</f>
        <v>62745</v>
      </c>
      <c r="G1950" s="2" t="str">
        <f>IFERROR(__xludf.DUMMYFUNCTION("""COMPUTED_VALUE"""),"Ganapati Hydro Power Pvt.Ltd.")</f>
        <v>Ganapati Hydro Power Pvt.Ltd.</v>
      </c>
      <c r="H1950" s="2" t="str">
        <f>IFERROR(__xludf.DUMMYFUNCTION("""COMPUTED_VALUE"""),"Kathmandu -32 Anamnagar,POBox 19185,9857831000, tulsiram31000@gmail.com")</f>
        <v>Kathmandu -32 Anamnagar,POBox 19185,9857831000, tulsiram31000@gmail.com</v>
      </c>
      <c r="I1950" s="2" t="str">
        <f>IFERROR(__xludf.DUMMYFUNCTION("""COMPUTED_VALUE"""),"29o 44' 13""")</f>
        <v>29o 44' 13"</v>
      </c>
      <c r="J1950" s="2" t="str">
        <f>IFERROR(__xludf.DUMMYFUNCTION("""COMPUTED_VALUE"""),"29o 45' 50""")</f>
        <v>29o 45' 50"</v>
      </c>
      <c r="K1950" s="2" t="str">
        <f>IFERROR(__xludf.DUMMYFUNCTION("""COMPUTED_VALUE"""),"80o 39' 20""")</f>
        <v>80o 39' 20"</v>
      </c>
      <c r="L1950" s="2" t="str">
        <f>IFERROR(__xludf.DUMMYFUNCTION("""COMPUTED_VALUE"""),"80o 41' 10""")</f>
        <v>80o 41' 10"</v>
      </c>
      <c r="M1950" s="2" t="str">
        <f>IFERROR(__xludf.DUMMYFUNCTION("""COMPUTED_VALUE"""),"Dhuligada,Sipti (Darchula)")</f>
        <v>Dhuligada,Sipti (Darchula)</v>
      </c>
    </row>
    <row r="1951">
      <c r="A1951" s="2">
        <f>IFERROR(__xludf.DUMMYFUNCTION("""COMPUTED_VALUE"""),1950.0)</f>
        <v>1950</v>
      </c>
      <c r="B1951" s="2" t="str">
        <f>IFERROR(__xludf.DUMMYFUNCTION("""COMPUTED_VALUE"""),"Nwa Gad small HEP")</f>
        <v>Nwa Gad small HEP</v>
      </c>
      <c r="C1951" s="2">
        <f>IFERROR(__xludf.DUMMYFUNCTION("""COMPUTED_VALUE"""),0.985)</f>
        <v>0.985</v>
      </c>
      <c r="D1951" s="2" t="str">
        <f>IFERROR(__xludf.DUMMYFUNCTION("""COMPUTED_VALUE"""),"Nwa Gad")</f>
        <v>Nwa Gad</v>
      </c>
      <c r="E1951" s="2">
        <f>IFERROR(__xludf.DUMMYFUNCTION("""COMPUTED_VALUE"""),2901.0)</f>
        <v>2901</v>
      </c>
      <c r="F1951" s="3">
        <f>IFERROR(__xludf.DUMMYFUNCTION("""COMPUTED_VALUE"""),62746.0)</f>
        <v>62746</v>
      </c>
      <c r="G1951" s="2" t="str">
        <f>IFERROR(__xludf.DUMMYFUNCTION("""COMPUTED_VALUE"""),"Jal Urja Pvt.Ltd")</f>
        <v>Jal Urja Pvt.Ltd</v>
      </c>
      <c r="H1951" s="2" t="str">
        <f>IFERROR(__xludf.DUMMYFUNCTION("""COMPUTED_VALUE"""),"New Baneshowr, Kathmandu")</f>
        <v>New Baneshowr, Kathmandu</v>
      </c>
      <c r="I1951" s="2" t="str">
        <f>IFERROR(__xludf.DUMMYFUNCTION("""COMPUTED_VALUE"""),"29o 44' 44""")</f>
        <v>29o 44' 44"</v>
      </c>
      <c r="J1951" s="2" t="str">
        <f>IFERROR(__xludf.DUMMYFUNCTION("""COMPUTED_VALUE"""),"29o 45' 06""")</f>
        <v>29o 45' 06"</v>
      </c>
      <c r="K1951" s="2" t="str">
        <f>IFERROR(__xludf.DUMMYFUNCTION("""COMPUTED_VALUE"""),"80o 47' 57""")</f>
        <v>80o 47' 57"</v>
      </c>
      <c r="L1951" s="2" t="str">
        <f>IFERROR(__xludf.DUMMYFUNCTION("""COMPUTED_VALUE"""),"80o 48' 29""")</f>
        <v>80o 48' 29"</v>
      </c>
      <c r="M1951" s="2" t="str">
        <f>IFERROR(__xludf.DUMMYFUNCTION("""COMPUTED_VALUE"""),"Latinath (Darchula)")</f>
        <v>Latinath (Darchula)</v>
      </c>
    </row>
    <row r="1952">
      <c r="A1952" s="2">
        <f>IFERROR(__xludf.DUMMYFUNCTION("""COMPUTED_VALUE"""),1951.0)</f>
        <v>1951</v>
      </c>
      <c r="B1952" s="2" t="str">
        <f>IFERROR(__xludf.DUMMYFUNCTION("""COMPUTED_VALUE"""),"Upper Padam khola HPP")</f>
        <v>Upper Padam khola HPP</v>
      </c>
      <c r="C1952" s="2">
        <f>IFERROR(__xludf.DUMMYFUNCTION("""COMPUTED_VALUE"""),1.0)</f>
        <v>1</v>
      </c>
      <c r="D1952" s="2" t="str">
        <f>IFERROR(__xludf.DUMMYFUNCTION("""COMPUTED_VALUE"""),"Padam Khola")</f>
        <v>Padam Khola</v>
      </c>
      <c r="E1952" s="2">
        <f>IFERROR(__xludf.DUMMYFUNCTION("""COMPUTED_VALUE"""),2973.0)</f>
        <v>2973</v>
      </c>
      <c r="F1952" s="3">
        <f>IFERROR(__xludf.DUMMYFUNCTION("""COMPUTED_VALUE"""),62752.0)</f>
        <v>62752</v>
      </c>
      <c r="G1952" s="2" t="str">
        <f>IFERROR(__xludf.DUMMYFUNCTION("""COMPUTED_VALUE"""),"Mohan Bikram Karki")</f>
        <v>Mohan Bikram Karki</v>
      </c>
      <c r="H1952" s="2" t="str">
        <f>IFERROR(__xludf.DUMMYFUNCTION("""COMPUTED_VALUE"""),"Thumpakhar-03,Sindhupalchok,9851018025, 9851105341")</f>
        <v>Thumpakhar-03,Sindhupalchok,9851018025, 9851105341</v>
      </c>
      <c r="I1952" s="2" t="str">
        <f>IFERROR(__xludf.DUMMYFUNCTION("""COMPUTED_VALUE"""),"28o 54' 03""")</f>
        <v>28o 54' 03"</v>
      </c>
      <c r="J1952" s="2" t="str">
        <f>IFERROR(__xludf.DUMMYFUNCTION("""COMPUTED_VALUE"""),"28o 55' 16""")</f>
        <v>28o 55' 16"</v>
      </c>
      <c r="K1952" s="2" t="str">
        <f>IFERROR(__xludf.DUMMYFUNCTION("""COMPUTED_VALUE"""),"81o 50' 52""")</f>
        <v>81o 50' 52"</v>
      </c>
      <c r="L1952" s="2" t="str">
        <f>IFERROR(__xludf.DUMMYFUNCTION("""COMPUTED_VALUE"""),"81o 51' 87""")</f>
        <v>81o 51' 87"</v>
      </c>
      <c r="M1952" s="2" t="str">
        <f>IFERROR(__xludf.DUMMYFUNCTION("""COMPUTED_VALUE"""),"Kalika (Dailekh)")</f>
        <v>Kalika (Dailekh)</v>
      </c>
    </row>
    <row r="1953">
      <c r="A1953" s="2">
        <f>IFERROR(__xludf.DUMMYFUNCTION("""COMPUTED_VALUE"""),1952.0)</f>
        <v>1952</v>
      </c>
      <c r="B1953" s="2" t="str">
        <f>IFERROR(__xludf.DUMMYFUNCTION("""COMPUTED_VALUE"""),"Indrawati Khola -2 Small HPP")</f>
        <v>Indrawati Khola -2 Small HPP</v>
      </c>
      <c r="C1953" s="2">
        <f>IFERROR(__xludf.DUMMYFUNCTION("""COMPUTED_VALUE"""),0.996)</f>
        <v>0.996</v>
      </c>
      <c r="D1953" s="2" t="str">
        <f>IFERROR(__xludf.DUMMYFUNCTION("""COMPUTED_VALUE"""),"Indrawati Khola")</f>
        <v>Indrawati Khola</v>
      </c>
      <c r="E1953" s="2">
        <f>IFERROR(__xludf.DUMMYFUNCTION("""COMPUTED_VALUE"""),2983.0)</f>
        <v>2983</v>
      </c>
      <c r="F1953" s="3">
        <f>IFERROR(__xludf.DUMMYFUNCTION("""COMPUTED_VALUE"""),62752.0)</f>
        <v>62752</v>
      </c>
      <c r="G1953" s="2" t="str">
        <f>IFERROR(__xludf.DUMMYFUNCTION("""COMPUTED_VALUE"""),"Mukesh Pokharel, Yachin Sherpa,Norbu Sherpa,Ghyaru Lama")</f>
        <v>Mukesh Pokharel, Yachin Sherpa,Norbu Sherpa,Ghyaru Lama</v>
      </c>
      <c r="H1953" s="2"/>
      <c r="I1953" s="2" t="str">
        <f>IFERROR(__xludf.DUMMYFUNCTION("""COMPUTED_VALUE"""),"27o 55' 52""")</f>
        <v>27o 55' 52"</v>
      </c>
      <c r="J1953" s="2" t="str">
        <f>IFERROR(__xludf.DUMMYFUNCTION("""COMPUTED_VALUE"""),"27o 58' 02""")</f>
        <v>27o 58' 02"</v>
      </c>
      <c r="K1953" s="2" t="str">
        <f>IFERROR(__xludf.DUMMYFUNCTION("""COMPUTED_VALUE"""),"85o 39' 00""")</f>
        <v>85o 39' 00"</v>
      </c>
      <c r="L1953" s="2" t="str">
        <f>IFERROR(__xludf.DUMMYFUNCTION("""COMPUTED_VALUE"""),"85o 39' 45""")</f>
        <v>85o 39' 45"</v>
      </c>
      <c r="M1953" s="2" t="str">
        <f>IFERROR(__xludf.DUMMYFUNCTION("""COMPUTED_VALUE"""),"Bhotang,Baruwa,Thanpalkot (Sindhupalchok)")</f>
        <v>Bhotang,Baruwa,Thanpalkot (Sindhupalchok)</v>
      </c>
    </row>
    <row r="1954">
      <c r="A1954" s="2">
        <f>IFERROR(__xludf.DUMMYFUNCTION("""COMPUTED_VALUE"""),1953.0)</f>
        <v>1953</v>
      </c>
      <c r="B1954" s="2" t="str">
        <f>IFERROR(__xludf.DUMMYFUNCTION("""COMPUTED_VALUE"""),"Indrawati Khola -1 Small HPP")</f>
        <v>Indrawati Khola -1 Small HPP</v>
      </c>
      <c r="C1954" s="2">
        <f>IFERROR(__xludf.DUMMYFUNCTION("""COMPUTED_VALUE"""),0.998)</f>
        <v>0.998</v>
      </c>
      <c r="D1954" s="2" t="str">
        <f>IFERROR(__xludf.DUMMYFUNCTION("""COMPUTED_VALUE"""),"Indrawati Khola")</f>
        <v>Indrawati Khola</v>
      </c>
      <c r="E1954" s="2">
        <f>IFERROR(__xludf.DUMMYFUNCTION("""COMPUTED_VALUE"""),2984.0)</f>
        <v>2984</v>
      </c>
      <c r="F1954" s="3">
        <f>IFERROR(__xludf.DUMMYFUNCTION("""COMPUTED_VALUE"""),62753.0)</f>
        <v>62753</v>
      </c>
      <c r="G1954" s="2" t="str">
        <f>IFERROR(__xludf.DUMMYFUNCTION("""COMPUTED_VALUE"""),"Laxmai Prasad Dahal,Lanjam Sherpini,Kancha Gurung")</f>
        <v>Laxmai Prasad Dahal,Lanjam Sherpini,Kancha Gurung</v>
      </c>
      <c r="H1954" s="2"/>
      <c r="I1954" s="2" t="str">
        <f>IFERROR(__xludf.DUMMYFUNCTION("""COMPUTED_VALUE"""),"27o 58' 02""")</f>
        <v>27o 58' 02"</v>
      </c>
      <c r="J1954" s="2" t="str">
        <f>IFERROR(__xludf.DUMMYFUNCTION("""COMPUTED_VALUE"""),"27o 59' 38""")</f>
        <v>27o 59' 38"</v>
      </c>
      <c r="K1954" s="2" t="str">
        <f>IFERROR(__xludf.DUMMYFUNCTION("""COMPUTED_VALUE"""),"85o 38' 06""")</f>
        <v>85o 38' 06"</v>
      </c>
      <c r="L1954" s="2" t="str">
        <f>IFERROR(__xludf.DUMMYFUNCTION("""COMPUTED_VALUE"""),"85o 39' 40""")</f>
        <v>85o 39' 40"</v>
      </c>
      <c r="M1954" s="2" t="str">
        <f>IFERROR(__xludf.DUMMYFUNCTION("""COMPUTED_VALUE"""),"Bhotang,Baruwa (Sindhupalchok)")</f>
        <v>Bhotang,Baruwa (Sindhupalchok)</v>
      </c>
    </row>
    <row r="1955">
      <c r="A1955" s="2">
        <f>IFERROR(__xludf.DUMMYFUNCTION("""COMPUTED_VALUE"""),1954.0)</f>
        <v>1954</v>
      </c>
      <c r="B1955" s="2" t="str">
        <f>IFERROR(__xludf.DUMMYFUNCTION("""COMPUTED_VALUE"""),"Pegu Khola Small Hydropower Project")</f>
        <v>Pegu Khola Small Hydropower Project</v>
      </c>
      <c r="C1955" s="2">
        <f>IFERROR(__xludf.DUMMYFUNCTION("""COMPUTED_VALUE"""),3.3)</f>
        <v>3.3</v>
      </c>
      <c r="D1955" s="2" t="str">
        <f>IFERROR(__xludf.DUMMYFUNCTION("""COMPUTED_VALUE"""),"Pegu")</f>
        <v>Pegu</v>
      </c>
      <c r="E1955" s="2">
        <f>IFERROR(__xludf.DUMMYFUNCTION("""COMPUTED_VALUE"""),3184.0)</f>
        <v>3184</v>
      </c>
      <c r="F1955" s="3">
        <f>IFERROR(__xludf.DUMMYFUNCTION("""COMPUTED_VALUE"""),62766.0)</f>
        <v>62766</v>
      </c>
      <c r="G1955" s="2" t="str">
        <f>IFERROR(__xludf.DUMMYFUNCTION("""COMPUTED_VALUE"""),"Bigu Energy Private Ltd.")</f>
        <v>Bigu Energy Private Ltd.</v>
      </c>
      <c r="H1955" s="2" t="str">
        <f>IFERROR(__xludf.DUMMYFUNCTION("""COMPUTED_VALUE"""),"Kathmandu,Nepal")</f>
        <v>Kathmandu,Nepal</v>
      </c>
      <c r="I1955" s="2" t="str">
        <f>IFERROR(__xludf.DUMMYFUNCTION("""COMPUTED_VALUE"""),"27o 49' 30""")</f>
        <v>27o 49' 30"</v>
      </c>
      <c r="J1955" s="2" t="str">
        <f>IFERROR(__xludf.DUMMYFUNCTION("""COMPUTED_VALUE"""),"27o 51' 00""")</f>
        <v>27o 51' 00"</v>
      </c>
      <c r="K1955" s="2" t="str">
        <f>IFERROR(__xludf.DUMMYFUNCTION("""COMPUTED_VALUE"""),"86o 02' 00""")</f>
        <v>86o 02' 00"</v>
      </c>
      <c r="L1955" s="2" t="str">
        <f>IFERROR(__xludf.DUMMYFUNCTION("""COMPUTED_VALUE"""),"86o 04' 35""")</f>
        <v>86o 04' 35"</v>
      </c>
      <c r="M1955" s="2" t="str">
        <f>IFERROR(__xludf.DUMMYFUNCTION("""COMPUTED_VALUE"""),"Bigu (Dolakha)")</f>
        <v>Bigu (Dolakha)</v>
      </c>
    </row>
    <row r="1956">
      <c r="A1956" s="2">
        <f>IFERROR(__xludf.DUMMYFUNCTION("""COMPUTED_VALUE"""),1955.0)</f>
        <v>1955</v>
      </c>
      <c r="B1956" s="2" t="str">
        <f>IFERROR(__xludf.DUMMYFUNCTION("""COMPUTED_VALUE"""),"Ghatte khola small Hydro PP")</f>
        <v>Ghatte khola small Hydro PP</v>
      </c>
      <c r="C1956" s="2">
        <f>IFERROR(__xludf.DUMMYFUNCTION("""COMPUTED_VALUE"""),0.93)</f>
        <v>0.93</v>
      </c>
      <c r="D1956" s="2" t="str">
        <f>IFERROR(__xludf.DUMMYFUNCTION("""COMPUTED_VALUE"""),"Ghatte Khola")</f>
        <v>Ghatte Khola</v>
      </c>
      <c r="E1956" s="2">
        <f>IFERROR(__xludf.DUMMYFUNCTION("""COMPUTED_VALUE"""),3263.0)</f>
        <v>3263</v>
      </c>
      <c r="F1956" s="3">
        <f>IFERROR(__xludf.DUMMYFUNCTION("""COMPUTED_VALUE"""),62773.0)</f>
        <v>62773</v>
      </c>
      <c r="G1956" s="2" t="str">
        <f>IFERROR(__xludf.DUMMYFUNCTION("""COMPUTED_VALUE"""),"Nimraj Lama")</f>
        <v>Nimraj Lama</v>
      </c>
      <c r="H1956" s="2" t="str">
        <f>IFERROR(__xludf.DUMMYFUNCTION("""COMPUTED_VALUE"""),"Banepa-10, 9801098015,")</f>
        <v>Banepa-10, 9801098015,</v>
      </c>
      <c r="I1956" s="2" t="str">
        <f>IFERROR(__xludf.DUMMYFUNCTION("""COMPUTED_VALUE"""),"28o 15' 00""")</f>
        <v>28o 15' 00"</v>
      </c>
      <c r="J1956" s="2" t="str">
        <f>IFERROR(__xludf.DUMMYFUNCTION("""COMPUTED_VALUE"""),"28o 16' 57""")</f>
        <v>28o 16' 57"</v>
      </c>
      <c r="K1956" s="2" t="str">
        <f>IFERROR(__xludf.DUMMYFUNCTION("""COMPUTED_VALUE"""),"85o 22' 43""")</f>
        <v>85o 22' 43"</v>
      </c>
      <c r="L1956" s="2" t="str">
        <f>IFERROR(__xludf.DUMMYFUNCTION("""COMPUTED_VALUE"""),"85o 25' 00""")</f>
        <v>85o 25' 00"</v>
      </c>
      <c r="M1956" s="2" t="str">
        <f>IFERROR(__xludf.DUMMYFUNCTION("""COMPUTED_VALUE"""),"Timure (Rasuwa)")</f>
        <v>Timure (Rasuwa)</v>
      </c>
    </row>
    <row r="1957">
      <c r="A1957" s="2">
        <f>IFERROR(__xludf.DUMMYFUNCTION("""COMPUTED_VALUE"""),1956.0)</f>
        <v>1956</v>
      </c>
      <c r="B1957" s="2" t="str">
        <f>IFERROR(__xludf.DUMMYFUNCTION("""COMPUTED_VALUE"""),"Upper Super Mai Khola Small HPP")</f>
        <v>Upper Super Mai Khola Small HPP</v>
      </c>
      <c r="C1957" s="2">
        <f>IFERROR(__xludf.DUMMYFUNCTION("""COMPUTED_VALUE"""),0.984)</f>
        <v>0.984</v>
      </c>
      <c r="D1957" s="2" t="str">
        <f>IFERROR(__xludf.DUMMYFUNCTION("""COMPUTED_VALUE"""),"Mai Khola")</f>
        <v>Mai Khola</v>
      </c>
      <c r="E1957" s="2">
        <f>IFERROR(__xludf.DUMMYFUNCTION("""COMPUTED_VALUE"""),3273.0)</f>
        <v>3273</v>
      </c>
      <c r="F1957" s="3">
        <f>IFERROR(__xludf.DUMMYFUNCTION("""COMPUTED_VALUE"""),62774.0)</f>
        <v>62774</v>
      </c>
      <c r="G1957" s="2" t="str">
        <f>IFERROR(__xludf.DUMMYFUNCTION("""COMPUTED_VALUE"""),"Bikram Bista")</f>
        <v>Bikram Bista</v>
      </c>
      <c r="H1957" s="2" t="str">
        <f>IFERROR(__xludf.DUMMYFUNCTION("""COMPUTED_VALUE"""),"Kathmandu-5,Nepal")</f>
        <v>Kathmandu-5,Nepal</v>
      </c>
      <c r="I1957" s="2" t="str">
        <f>IFERROR(__xludf.DUMMYFUNCTION("""COMPUTED_VALUE"""),"26o 58' 26""")</f>
        <v>26o 58' 26"</v>
      </c>
      <c r="J1957" s="2" t="str">
        <f>IFERROR(__xludf.DUMMYFUNCTION("""COMPUTED_VALUE"""),"26o 58' 39""")</f>
        <v>26o 58' 39"</v>
      </c>
      <c r="K1957" s="2" t="str">
        <f>IFERROR(__xludf.DUMMYFUNCTION("""COMPUTED_VALUE"""),"87o 57' 39""")</f>
        <v>87o 57' 39"</v>
      </c>
      <c r="L1957" s="2" t="str">
        <f>IFERROR(__xludf.DUMMYFUNCTION("""COMPUTED_VALUE"""),"87o 58' 24""")</f>
        <v>87o 58' 24"</v>
      </c>
      <c r="M1957" s="2" t="str">
        <f>IFERROR(__xludf.DUMMYFUNCTION("""COMPUTED_VALUE"""),"Pyang (Ilam)")</f>
        <v>Pyang (Ilam)</v>
      </c>
    </row>
    <row r="1958">
      <c r="A1958" s="2">
        <f>IFERROR(__xludf.DUMMYFUNCTION("""COMPUTED_VALUE"""),1957.0)</f>
        <v>1957</v>
      </c>
      <c r="B1958" s="2" t="str">
        <f>IFERROR(__xludf.DUMMYFUNCTION("""COMPUTED_VALUE"""),"Mai Khola-A Small Hydropower Project")</f>
        <v>Mai Khola-A Small Hydropower Project</v>
      </c>
      <c r="C1958" s="2">
        <f>IFERROR(__xludf.DUMMYFUNCTION("""COMPUTED_VALUE"""),0.978)</f>
        <v>0.978</v>
      </c>
      <c r="D1958" s="2" t="str">
        <f>IFERROR(__xludf.DUMMYFUNCTION("""COMPUTED_VALUE"""),"Mai Khola")</f>
        <v>Mai Khola</v>
      </c>
      <c r="E1958" s="2">
        <f>IFERROR(__xludf.DUMMYFUNCTION("""COMPUTED_VALUE"""),3274.0)</f>
        <v>3274</v>
      </c>
      <c r="F1958" s="3">
        <f>IFERROR(__xludf.DUMMYFUNCTION("""COMPUTED_VALUE"""),62774.0)</f>
        <v>62774</v>
      </c>
      <c r="G1958" s="2" t="str">
        <f>IFERROR(__xludf.DUMMYFUNCTION("""COMPUTED_VALUE"""),"Bijay Bista")</f>
        <v>Bijay Bista</v>
      </c>
      <c r="H1958" s="2" t="str">
        <f>IFERROR(__xludf.DUMMYFUNCTION("""COMPUTED_VALUE"""),"Kathmandu-5")</f>
        <v>Kathmandu-5</v>
      </c>
      <c r="I1958" s="2" t="str">
        <f>IFERROR(__xludf.DUMMYFUNCTION("""COMPUTED_VALUE"""),"26o 59' 24""")</f>
        <v>26o 59' 24"</v>
      </c>
      <c r="J1958" s="2" t="str">
        <f>IFERROR(__xludf.DUMMYFUNCTION("""COMPUTED_VALUE"""),"27o 00' 00""")</f>
        <v>27o 00' 00"</v>
      </c>
      <c r="K1958" s="2" t="str">
        <f>IFERROR(__xludf.DUMMYFUNCTION("""COMPUTED_VALUE"""),"87o 57' 57""")</f>
        <v>87o 57' 57"</v>
      </c>
      <c r="L1958" s="2" t="str">
        <f>IFERROR(__xludf.DUMMYFUNCTION("""COMPUTED_VALUE"""),"87o 58' 33""")</f>
        <v>87o 58' 33"</v>
      </c>
      <c r="M1958" s="2" t="str">
        <f>IFERROR(__xludf.DUMMYFUNCTION("""COMPUTED_VALUE"""),"Pyang (Ilam)")</f>
        <v>Pyang (Ilam)</v>
      </c>
    </row>
    <row r="1959">
      <c r="A1959" s="2">
        <f>IFERROR(__xludf.DUMMYFUNCTION("""COMPUTED_VALUE"""),1958.0)</f>
        <v>1958</v>
      </c>
      <c r="B1959" s="2" t="str">
        <f>IFERROR(__xludf.DUMMYFUNCTION("""COMPUTED_VALUE"""),"Phasku Khola small HPP")</f>
        <v>Phasku Khola small HPP</v>
      </c>
      <c r="C1959" s="2">
        <f>IFERROR(__xludf.DUMMYFUNCTION("""COMPUTED_VALUE"""),0.99)</f>
        <v>0.99</v>
      </c>
      <c r="D1959" s="2" t="str">
        <f>IFERROR(__xludf.DUMMYFUNCTION("""COMPUTED_VALUE"""),"Phasku Khola")</f>
        <v>Phasku Khola</v>
      </c>
      <c r="E1959" s="2">
        <f>IFERROR(__xludf.DUMMYFUNCTION("""COMPUTED_VALUE"""),3278.0)</f>
        <v>3278</v>
      </c>
      <c r="F1959" s="3">
        <f>IFERROR(__xludf.DUMMYFUNCTION("""COMPUTED_VALUE"""),62774.0)</f>
        <v>62774</v>
      </c>
      <c r="G1959" s="2" t="str">
        <f>IFERROR(__xludf.DUMMYFUNCTION("""COMPUTED_VALUE"""),"Nim Raj Lama")</f>
        <v>Nim Raj Lama</v>
      </c>
      <c r="H1959" s="2" t="str">
        <f>IFERROR(__xludf.DUMMYFUNCTION("""COMPUTED_VALUE"""),"Banepa -10")</f>
        <v>Banepa -10</v>
      </c>
      <c r="I1959" s="2" t="str">
        <f>IFERROR(__xludf.DUMMYFUNCTION("""COMPUTED_VALUE"""),"27o 37' 08""")</f>
        <v>27o 37' 08"</v>
      </c>
      <c r="J1959" s="2" t="str">
        <f>IFERROR(__xludf.DUMMYFUNCTION("""COMPUTED_VALUE"""),"27o 37' 44""")</f>
        <v>27o 37' 44"</v>
      </c>
      <c r="K1959" s="2" t="str">
        <f>IFERROR(__xludf.DUMMYFUNCTION("""COMPUTED_VALUE"""),"85o 02' 50""")</f>
        <v>85o 02' 50"</v>
      </c>
      <c r="L1959" s="2" t="str">
        <f>IFERROR(__xludf.DUMMYFUNCTION("""COMPUTED_VALUE"""),"85o 59' 20""")</f>
        <v>85o 59' 20"</v>
      </c>
      <c r="M1959" s="2" t="str">
        <f>IFERROR(__xludf.DUMMYFUNCTION("""COMPUTED_VALUE"""),"Fasku,Katakuti (Dolakha)")</f>
        <v>Fasku,Katakuti (Dolakha)</v>
      </c>
    </row>
    <row r="1960">
      <c r="A1960" s="2">
        <f>IFERROR(__xludf.DUMMYFUNCTION("""COMPUTED_VALUE"""),1959.0)</f>
        <v>1959</v>
      </c>
      <c r="B1960" s="2" t="str">
        <f>IFERROR(__xludf.DUMMYFUNCTION("""COMPUTED_VALUE"""),"Upper Gumu Khola HPP")</f>
        <v>Upper Gumu Khola HPP</v>
      </c>
      <c r="C1960" s="2">
        <f>IFERROR(__xludf.DUMMYFUNCTION("""COMPUTED_VALUE"""),0.4)</f>
        <v>0.4</v>
      </c>
      <c r="D1960" s="2" t="str">
        <f>IFERROR(__xludf.DUMMYFUNCTION("""COMPUTED_VALUE"""),"Gumu Khola")</f>
        <v>Gumu Khola</v>
      </c>
      <c r="E1960" s="2">
        <f>IFERROR(__xludf.DUMMYFUNCTION("""COMPUTED_VALUE"""),3298.0)</f>
        <v>3298</v>
      </c>
      <c r="F1960" s="3">
        <f>IFERROR(__xludf.DUMMYFUNCTION("""COMPUTED_VALUE"""),62775.0)</f>
        <v>62775</v>
      </c>
      <c r="G1960" s="2" t="str">
        <f>IFERROR(__xludf.DUMMYFUNCTION("""COMPUTED_VALUE"""),"Chatak Gurung")</f>
        <v>Chatak Gurung</v>
      </c>
      <c r="H1960" s="2" t="str">
        <f>IFERROR(__xludf.DUMMYFUNCTION("""COMPUTED_VALUE"""),"Kavre, Dolakha")</f>
        <v>Kavre, Dolakha</v>
      </c>
      <c r="I1960" s="2" t="str">
        <f>IFERROR(__xludf.DUMMYFUNCTION("""COMPUTED_VALUE"""),"27o 43' 15""")</f>
        <v>27o 43' 15"</v>
      </c>
      <c r="J1960" s="2" t="str">
        <f>IFERROR(__xludf.DUMMYFUNCTION("""COMPUTED_VALUE"""),"27o 44' 14""")</f>
        <v>27o 44' 14"</v>
      </c>
      <c r="K1960" s="2" t="str">
        <f>IFERROR(__xludf.DUMMYFUNCTION("""COMPUTED_VALUE"""),"86o 06' 10""")</f>
        <v>86o 06' 10"</v>
      </c>
      <c r="L1960" s="2" t="str">
        <f>IFERROR(__xludf.DUMMYFUNCTION("""COMPUTED_VALUE"""),"86o 07' 00""")</f>
        <v>86o 07' 00"</v>
      </c>
      <c r="M1960" s="2" t="str">
        <f>IFERROR(__xludf.DUMMYFUNCTION("""COMPUTED_VALUE"""),"Lamidada,Sunakhani (Dolakha)")</f>
        <v>Lamidada,Sunakhani (Dolakha)</v>
      </c>
    </row>
    <row r="1961">
      <c r="A1961" s="2">
        <f>IFERROR(__xludf.DUMMYFUNCTION("""COMPUTED_VALUE"""),1960.0)</f>
        <v>1960</v>
      </c>
      <c r="B1961" s="2" t="str">
        <f>IFERROR(__xludf.DUMMYFUNCTION("""COMPUTED_VALUE"""),"Lower Bagmati HPP")</f>
        <v>Lower Bagmati HPP</v>
      </c>
      <c r="C1961" s="2">
        <f>IFERROR(__xludf.DUMMYFUNCTION("""COMPUTED_VALUE"""),10.0)</f>
        <v>10</v>
      </c>
      <c r="D1961" s="2" t="str">
        <f>IFERROR(__xludf.DUMMYFUNCTION("""COMPUTED_VALUE"""),"Bagmati,Ipa")</f>
        <v>Bagmati,Ipa</v>
      </c>
      <c r="E1961" s="2">
        <f>IFERROR(__xludf.DUMMYFUNCTION("""COMPUTED_VALUE"""),3320.0)</f>
        <v>3320</v>
      </c>
      <c r="F1961" s="3">
        <f>IFERROR(__xludf.DUMMYFUNCTION("""COMPUTED_VALUE"""),62776.0)</f>
        <v>62776</v>
      </c>
      <c r="G1961" s="2" t="str">
        <f>IFERROR(__xludf.DUMMYFUNCTION("""COMPUTED_VALUE"""),"Business Enterprises for Sustainable Trade Mutual Investment Pvt.Ltd.")</f>
        <v>Business Enterprises for Sustainable Trade Mutual Investment Pvt.Ltd.</v>
      </c>
      <c r="H1961" s="2" t="str">
        <f>IFERROR(__xludf.DUMMYFUNCTION("""COMPUTED_VALUE"""),"Madanganesh Marg, New Baneshwor-10,Kathmandu")</f>
        <v>Madanganesh Marg, New Baneshwor-10,Kathmandu</v>
      </c>
      <c r="I1961" s="2" t="str">
        <f>IFERROR(__xludf.DUMMYFUNCTION("""COMPUTED_VALUE"""),"27o 29' 33""")</f>
        <v>27o 29' 33"</v>
      </c>
      <c r="J1961" s="2" t="str">
        <f>IFERROR(__xludf.DUMMYFUNCTION("""COMPUTED_VALUE"""),"27o 30' 41""")</f>
        <v>27o 30' 41"</v>
      </c>
      <c r="K1961" s="2" t="str">
        <f>IFERROR(__xludf.DUMMYFUNCTION("""COMPUTED_VALUE"""),"85o 14' 03""")</f>
        <v>85o 14' 03"</v>
      </c>
      <c r="L1961" s="2" t="str">
        <f>IFERROR(__xludf.DUMMYFUNCTION("""COMPUTED_VALUE"""),"85o 15' 00""")</f>
        <v>85o 15' 00"</v>
      </c>
      <c r="M1961" s="2"/>
    </row>
    <row r="1962">
      <c r="A1962" s="2">
        <f>IFERROR(__xludf.DUMMYFUNCTION("""COMPUTED_VALUE"""),1961.0)</f>
        <v>1961</v>
      </c>
      <c r="B1962" s="2" t="str">
        <f>IFERROR(__xludf.DUMMYFUNCTION("""COMPUTED_VALUE"""),"Upper Lungri Hydro Electric Project")</f>
        <v>Upper Lungri Hydro Electric Project</v>
      </c>
      <c r="C1962" s="2">
        <f>IFERROR(__xludf.DUMMYFUNCTION("""COMPUTED_VALUE"""),0.998)</f>
        <v>0.998</v>
      </c>
      <c r="D1962" s="2" t="str">
        <f>IFERROR(__xludf.DUMMYFUNCTION("""COMPUTED_VALUE"""),"Lungri")</f>
        <v>Lungri</v>
      </c>
      <c r="E1962" s="2">
        <f>IFERROR(__xludf.DUMMYFUNCTION("""COMPUTED_VALUE"""),1548.0)</f>
        <v>1548</v>
      </c>
      <c r="F1962" s="3">
        <f>IFERROR(__xludf.DUMMYFUNCTION("""COMPUTED_VALUE"""),62797.0)</f>
        <v>62797</v>
      </c>
      <c r="G1962" s="2" t="str">
        <f>IFERROR(__xludf.DUMMYFUNCTION("""COMPUTED_VALUE"""),"Yanu Kumari Gharti Magar")</f>
        <v>Yanu Kumari Gharti Magar</v>
      </c>
      <c r="H1962" s="2" t="str">
        <f>IFERROR(__xludf.DUMMYFUNCTION("""COMPUTED_VALUE"""),"Badachaur VDC,Rolpa")</f>
        <v>Badachaur VDC,Rolpa</v>
      </c>
      <c r="I1962" s="2" t="str">
        <f>IFERROR(__xludf.DUMMYFUNCTION("""COMPUTED_VALUE"""),"28o 21' 15""")</f>
        <v>28o 21' 15"</v>
      </c>
      <c r="J1962" s="2" t="str">
        <f>IFERROR(__xludf.DUMMYFUNCTION("""COMPUTED_VALUE"""),"28o 25' 00""")</f>
        <v>28o 25' 00"</v>
      </c>
      <c r="K1962" s="2" t="str">
        <f>IFERROR(__xludf.DUMMYFUNCTION("""COMPUTED_VALUE"""),"82o 48' 55""")</f>
        <v>82o 48' 55"</v>
      </c>
      <c r="L1962" s="2" t="str">
        <f>IFERROR(__xludf.DUMMYFUNCTION("""COMPUTED_VALUE"""),"82o 51' 15""")</f>
        <v>82o 51' 15"</v>
      </c>
      <c r="M1962" s="2" t="str">
        <f>IFERROR(__xludf.DUMMYFUNCTION("""COMPUTED_VALUE"""),"Gaam,Seram,Siuri,Uwa (Rolpa)")</f>
        <v>Gaam,Seram,Siuri,Uwa (Rolpa)</v>
      </c>
    </row>
    <row r="1963">
      <c r="A1963" s="2">
        <f>IFERROR(__xludf.DUMMYFUNCTION("""COMPUTED_VALUE"""),1962.0)</f>
        <v>1962</v>
      </c>
      <c r="B1963" s="2" t="str">
        <f>IFERROR(__xludf.DUMMYFUNCTION("""COMPUTED_VALUE"""),"Lower Lungri Hydro Electric Project")</f>
        <v>Lower Lungri Hydro Electric Project</v>
      </c>
      <c r="C1963" s="2">
        <f>IFERROR(__xludf.DUMMYFUNCTION("""COMPUTED_VALUE"""),0.998)</f>
        <v>0.998</v>
      </c>
      <c r="D1963" s="2" t="str">
        <f>IFERROR(__xludf.DUMMYFUNCTION("""COMPUTED_VALUE"""),"Lungri")</f>
        <v>Lungri</v>
      </c>
      <c r="E1963" s="2">
        <f>IFERROR(__xludf.DUMMYFUNCTION("""COMPUTED_VALUE"""),3639.0)</f>
        <v>3639</v>
      </c>
      <c r="F1963" s="3">
        <f>IFERROR(__xludf.DUMMYFUNCTION("""COMPUTED_VALUE"""),62797.0)</f>
        <v>62797</v>
      </c>
      <c r="G1963" s="2" t="str">
        <f>IFERROR(__xludf.DUMMYFUNCTION("""COMPUTED_VALUE"""),"Jaya Prakash Budha Magar")</f>
        <v>Jaya Prakash Budha Magar</v>
      </c>
      <c r="H1963" s="2" t="str">
        <f>IFERROR(__xludf.DUMMYFUNCTION("""COMPUTED_VALUE"""),"Gam, Rolpa")</f>
        <v>Gam, Rolpa</v>
      </c>
      <c r="I1963" s="2" t="str">
        <f>IFERROR(__xludf.DUMMYFUNCTION("""COMPUTED_VALUE"""),"28o 20' 00""")</f>
        <v>28o 20' 00"</v>
      </c>
      <c r="J1963" s="2" t="str">
        <f>IFERROR(__xludf.DUMMYFUNCTION("""COMPUTED_VALUE"""),"28o 25' 00""")</f>
        <v>28o 25' 00"</v>
      </c>
      <c r="K1963" s="2" t="str">
        <f>IFERROR(__xludf.DUMMYFUNCTION("""COMPUTED_VALUE"""),"82o 47' 10""")</f>
        <v>82o 47' 10"</v>
      </c>
      <c r="L1963" s="2" t="str">
        <f>IFERROR(__xludf.DUMMYFUNCTION("""COMPUTED_VALUE"""),"82o 48' 55""")</f>
        <v>82o 48' 55"</v>
      </c>
      <c r="M1963" s="2" t="str">
        <f>IFERROR(__xludf.DUMMYFUNCTION("""COMPUTED_VALUE"""),"Jaimakasala,Uwa,Siuri,Seram (Rolpa)")</f>
        <v>Jaimakasala,Uwa,Siuri,Seram (Rolpa)</v>
      </c>
    </row>
    <row r="1964">
      <c r="A1964" s="2">
        <f>IFERROR(__xludf.DUMMYFUNCTION("""COMPUTED_VALUE"""),1963.0)</f>
        <v>1963</v>
      </c>
      <c r="B1964" s="2" t="str">
        <f>IFERROR(__xludf.DUMMYFUNCTION("""COMPUTED_VALUE"""),"Rudi khola small HPP")</f>
        <v>Rudi khola small HPP</v>
      </c>
      <c r="C1964" s="2">
        <f>IFERROR(__xludf.DUMMYFUNCTION("""COMPUTED_VALUE"""),0.99)</f>
        <v>0.99</v>
      </c>
      <c r="D1964" s="2" t="str">
        <f>IFERROR(__xludf.DUMMYFUNCTION("""COMPUTED_VALUE"""),"Rudi Khola")</f>
        <v>Rudi Khola</v>
      </c>
      <c r="E1964" s="2">
        <f>IFERROR(__xludf.DUMMYFUNCTION("""COMPUTED_VALUE"""),3640.0)</f>
        <v>3640</v>
      </c>
      <c r="F1964" s="3">
        <f>IFERROR(__xludf.DUMMYFUNCTION("""COMPUTED_VALUE"""),62797.0)</f>
        <v>62797</v>
      </c>
      <c r="G1964" s="2" t="str">
        <f>IFERROR(__xludf.DUMMYFUNCTION("""COMPUTED_VALUE"""),"Ram kaji Pandit, Parbati Dhungana")</f>
        <v>Ram kaji Pandit, Parbati Dhungana</v>
      </c>
      <c r="H1964" s="2" t="str">
        <f>IFERROR(__xludf.DUMMYFUNCTION("""COMPUTED_VALUE"""),"Basundhara,Kathmandu. Haattiban, Dhapakhel,Lalitpur")</f>
        <v>Basundhara,Kathmandu. Haattiban, Dhapakhel,Lalitpur</v>
      </c>
      <c r="I1964" s="2" t="str">
        <f>IFERROR(__xludf.DUMMYFUNCTION("""COMPUTED_VALUE"""),"28o 16' 22""")</f>
        <v>28o 16' 22"</v>
      </c>
      <c r="J1964" s="2" t="str">
        <f>IFERROR(__xludf.DUMMYFUNCTION("""COMPUTED_VALUE"""),"28o 17' 50""")</f>
        <v>28o 17' 50"</v>
      </c>
      <c r="K1964" s="2" t="str">
        <f>IFERROR(__xludf.DUMMYFUNCTION("""COMPUTED_VALUE"""),"84o 10' 54""")</f>
        <v>84o 10' 54"</v>
      </c>
      <c r="L1964" s="2" t="str">
        <f>IFERROR(__xludf.DUMMYFUNCTION("""COMPUTED_VALUE"""),"84o 13' 00""")</f>
        <v>84o 13' 00"</v>
      </c>
      <c r="M1964" s="2" t="str">
        <f>IFERROR(__xludf.DUMMYFUNCTION("""COMPUTED_VALUE"""),"Pasagaun (Lamjung)")</f>
        <v>Pasagaun (Lamjung)</v>
      </c>
    </row>
    <row r="1965">
      <c r="A1965" s="2">
        <f>IFERROR(__xludf.DUMMYFUNCTION("""COMPUTED_VALUE"""),1964.0)</f>
        <v>1964</v>
      </c>
      <c r="B1965" s="2" t="str">
        <f>IFERROR(__xludf.DUMMYFUNCTION("""COMPUTED_VALUE"""),"Midim Khola Small HPP")</f>
        <v>Midim Khola Small HPP</v>
      </c>
      <c r="C1965" s="2">
        <f>IFERROR(__xludf.DUMMYFUNCTION("""COMPUTED_VALUE"""),0.999)</f>
        <v>0.999</v>
      </c>
      <c r="D1965" s="2" t="str">
        <f>IFERROR(__xludf.DUMMYFUNCTION("""COMPUTED_VALUE"""),"Midim Khola")</f>
        <v>Midim Khola</v>
      </c>
      <c r="E1965" s="2">
        <f>IFERROR(__xludf.DUMMYFUNCTION("""COMPUTED_VALUE"""),3729.0)</f>
        <v>3729</v>
      </c>
      <c r="F1965" s="3">
        <f>IFERROR(__xludf.DUMMYFUNCTION("""COMPUTED_VALUE"""),62803.0)</f>
        <v>62803</v>
      </c>
      <c r="G1965" s="2" t="str">
        <f>IFERROR(__xludf.DUMMYFUNCTION("""COMPUTED_VALUE"""),"Surat bajra Lama,Parbati Dhungana")</f>
        <v>Surat bajra Lama,Parbati Dhungana</v>
      </c>
      <c r="H1965" s="2" t="str">
        <f>IFERROR(__xludf.DUMMYFUNCTION("""COMPUTED_VALUE"""),"Bouddha, Kathmandu , 9860393383,9849497668")</f>
        <v>Bouddha, Kathmandu , 9860393383,9849497668</v>
      </c>
      <c r="I1965" s="2" t="str">
        <f>IFERROR(__xludf.DUMMYFUNCTION("""COMPUTED_VALUE"""),"28o 17' 10""")</f>
        <v>28o 17' 10"</v>
      </c>
      <c r="J1965" s="2" t="str">
        <f>IFERROR(__xludf.DUMMYFUNCTION("""COMPUTED_VALUE"""),"28o 18' 30""")</f>
        <v>28o 18' 30"</v>
      </c>
      <c r="K1965" s="2" t="str">
        <f>IFERROR(__xludf.DUMMYFUNCTION("""COMPUTED_VALUE"""),"84o 15' 00""")</f>
        <v>84o 15' 00"</v>
      </c>
      <c r="L1965" s="2" t="str">
        <f>IFERROR(__xludf.DUMMYFUNCTION("""COMPUTED_VALUE"""),"84o 16' 30""")</f>
        <v>84o 16' 30"</v>
      </c>
      <c r="M1965" s="2" t="str">
        <f>IFERROR(__xludf.DUMMYFUNCTION("""COMPUTED_VALUE"""),"Bhujung (Lamjung)")</f>
        <v>Bhujung (Lamjung)</v>
      </c>
    </row>
    <row r="1966">
      <c r="A1966" s="2">
        <f>IFERROR(__xludf.DUMMYFUNCTION("""COMPUTED_VALUE"""),1965.0)</f>
        <v>1965</v>
      </c>
      <c r="B1966" s="2" t="str">
        <f>IFERROR(__xludf.DUMMYFUNCTION("""COMPUTED_VALUE"""),"Middle Mai Khola Small HPP")</f>
        <v>Middle Mai Khola Small HPP</v>
      </c>
      <c r="C1966" s="2">
        <f>IFERROR(__xludf.DUMMYFUNCTION("""COMPUTED_VALUE"""),0.986)</f>
        <v>0.986</v>
      </c>
      <c r="D1966" s="2" t="str">
        <f>IFERROR(__xludf.DUMMYFUNCTION("""COMPUTED_VALUE"""),"Mai Khola")</f>
        <v>Mai Khola</v>
      </c>
      <c r="E1966" s="2">
        <f>IFERROR(__xludf.DUMMYFUNCTION("""COMPUTED_VALUE"""),3761.0)</f>
        <v>3761</v>
      </c>
      <c r="F1966" s="3">
        <f>IFERROR(__xludf.DUMMYFUNCTION("""COMPUTED_VALUE"""),62805.0)</f>
        <v>62805</v>
      </c>
      <c r="G1966" s="2" t="str">
        <f>IFERROR(__xludf.DUMMYFUNCTION("""COMPUTED_VALUE"""),"Gorme Dorje Shrestha")</f>
        <v>Gorme Dorje Shrestha</v>
      </c>
      <c r="H1966" s="2" t="str">
        <f>IFERROR(__xludf.DUMMYFUNCTION("""COMPUTED_VALUE"""),"Boudha-6, Kathmandu")</f>
        <v>Boudha-6, Kathmandu</v>
      </c>
      <c r="I1966" s="2" t="str">
        <f>IFERROR(__xludf.DUMMYFUNCTION("""COMPUTED_VALUE"""),"26o 59' 01""")</f>
        <v>26o 59' 01"</v>
      </c>
      <c r="J1966" s="2" t="str">
        <f>IFERROR(__xludf.DUMMYFUNCTION("""COMPUTED_VALUE"""),"26o 59' 21""")</f>
        <v>26o 59' 21"</v>
      </c>
      <c r="K1966" s="2" t="str">
        <f>IFERROR(__xludf.DUMMYFUNCTION("""COMPUTED_VALUE"""),"87o 57' 53""")</f>
        <v>87o 57' 53"</v>
      </c>
      <c r="L1966" s="2" t="str">
        <f>IFERROR(__xludf.DUMMYFUNCTION("""COMPUTED_VALUE"""),"87o 58' 24""")</f>
        <v>87o 58' 24"</v>
      </c>
      <c r="M1966" s="2" t="str">
        <f>IFERROR(__xludf.DUMMYFUNCTION("""COMPUTED_VALUE"""),"Pyang (Ilam)")</f>
        <v>Pyang (Ilam)</v>
      </c>
    </row>
    <row r="1967">
      <c r="A1967" s="2">
        <f>IFERROR(__xludf.DUMMYFUNCTION("""COMPUTED_VALUE"""),1966.0)</f>
        <v>1966</v>
      </c>
      <c r="B1967" s="2" t="str">
        <f>IFERROR(__xludf.DUMMYFUNCTION("""COMPUTED_VALUE"""),"Madme Khola Small HPP")</f>
        <v>Madme Khola Small HPP</v>
      </c>
      <c r="C1967" s="2">
        <f>IFERROR(__xludf.DUMMYFUNCTION("""COMPUTED_VALUE"""),0.99)</f>
        <v>0.99</v>
      </c>
      <c r="D1967" s="2"/>
      <c r="E1967" s="2">
        <f>IFERROR(__xludf.DUMMYFUNCTION("""COMPUTED_VALUE"""),3846.0)</f>
        <v>3846</v>
      </c>
      <c r="F1967" s="3">
        <f>IFERROR(__xludf.DUMMYFUNCTION("""COMPUTED_VALUE"""),62809.0)</f>
        <v>62809</v>
      </c>
      <c r="G1967" s="2" t="str">
        <f>IFERROR(__xludf.DUMMYFUNCTION("""COMPUTED_VALUE"""),"Thaneshower Banjade,Sangita Basnet")</f>
        <v>Thaneshower Banjade,Sangita Basnet</v>
      </c>
      <c r="H1967" s="2" t="str">
        <f>IFERROR(__xludf.DUMMYFUNCTION("""COMPUTED_VALUE"""),"New Baneshower, Kathmandu. Tikathali VDC-8,Lalitpur. 9851064177")</f>
        <v>New Baneshower, Kathmandu. Tikathali VDC-8,Lalitpur. 9851064177</v>
      </c>
      <c r="I1967" s="2" t="str">
        <f>IFERROR(__xludf.DUMMYFUNCTION("""COMPUTED_VALUE"""),"28o 25' 00""")</f>
        <v>28o 25' 00"</v>
      </c>
      <c r="J1967" s="2" t="str">
        <f>IFERROR(__xludf.DUMMYFUNCTION("""COMPUTED_VALUE"""),"28o 26' 25""")</f>
        <v>28o 26' 25"</v>
      </c>
      <c r="K1967" s="2" t="str">
        <f>IFERROR(__xludf.DUMMYFUNCTION("""COMPUTED_VALUE"""),"84o 07' 00""")</f>
        <v>84o 07' 00"</v>
      </c>
      <c r="L1967" s="2" t="str">
        <f>IFERROR(__xludf.DUMMYFUNCTION("""COMPUTED_VALUE"""),"84o 08' 19""")</f>
        <v>84o 08' 19"</v>
      </c>
      <c r="M1967" s="2" t="str">
        <f>IFERROR(__xludf.DUMMYFUNCTION("""COMPUTED_VALUE"""),"Namarjung (Kaski)")</f>
        <v>Namarjung (Kaski)</v>
      </c>
    </row>
    <row r="1968">
      <c r="A1968" s="2">
        <f>IFERROR(__xludf.DUMMYFUNCTION("""COMPUTED_VALUE"""),1967.0)</f>
        <v>1967</v>
      </c>
      <c r="B1968" s="2" t="str">
        <f>IFERROR(__xludf.DUMMYFUNCTION("""COMPUTED_VALUE"""),"Ladku Khola small HPP")</f>
        <v>Ladku Khola small HPP</v>
      </c>
      <c r="C1968" s="2">
        <f>IFERROR(__xludf.DUMMYFUNCTION("""COMPUTED_VALUE"""),0.56)</f>
        <v>0.56</v>
      </c>
      <c r="D1968" s="2" t="str">
        <f>IFERROR(__xludf.DUMMYFUNCTION("""COMPUTED_VALUE"""),"Ladku Khola")</f>
        <v>Ladku Khola</v>
      </c>
      <c r="E1968" s="2">
        <f>IFERROR(__xludf.DUMMYFUNCTION("""COMPUTED_VALUE"""),3891.0)</f>
        <v>3891</v>
      </c>
      <c r="F1968" s="3">
        <f>IFERROR(__xludf.DUMMYFUNCTION("""COMPUTED_VALUE"""),62814.0)</f>
        <v>62814</v>
      </c>
      <c r="G1968" s="2" t="str">
        <f>IFERROR(__xludf.DUMMYFUNCTION("""COMPUTED_VALUE"""),"Azima Hydropower Pvt Ltd")</f>
        <v>Azima Hydropower Pvt Ltd</v>
      </c>
      <c r="H1968" s="2" t="str">
        <f>IFERROR(__xludf.DUMMYFUNCTION("""COMPUTED_VALUE"""),"Bhimen Marg , Banepa-10")</f>
        <v>Bhimen Marg , Banepa-10</v>
      </c>
      <c r="I1968" s="2" t="str">
        <f>IFERROR(__xludf.DUMMYFUNCTION("""COMPUTED_VALUE"""),"27o 30' 45""")</f>
        <v>27o 30' 45"</v>
      </c>
      <c r="J1968" s="2" t="str">
        <f>IFERROR(__xludf.DUMMYFUNCTION("""COMPUTED_VALUE"""),"27o 31' 45""")</f>
        <v>27o 31' 45"</v>
      </c>
      <c r="K1968" s="2" t="str">
        <f>IFERROR(__xludf.DUMMYFUNCTION("""COMPUTED_VALUE"""),"85o 30' 00""")</f>
        <v>85o 30' 00"</v>
      </c>
      <c r="L1968" s="2" t="str">
        <f>IFERROR(__xludf.DUMMYFUNCTION("""COMPUTED_VALUE"""),"85o 31' 15""")</f>
        <v>85o 31' 15"</v>
      </c>
      <c r="M1968" s="2" t="str">
        <f>IFERROR(__xludf.DUMMYFUNCTION("""COMPUTED_VALUE"""),"Dhunkharka,Chyasing Kharka (Kavrepalanchok)")</f>
        <v>Dhunkharka,Chyasing Kharka (Kavrepalanchok)</v>
      </c>
    </row>
    <row r="1969">
      <c r="A1969" s="2">
        <f>IFERROR(__xludf.DUMMYFUNCTION("""COMPUTED_VALUE"""),1968.0)</f>
        <v>1968</v>
      </c>
      <c r="B1969" s="2" t="str">
        <f>IFERROR(__xludf.DUMMYFUNCTION("""COMPUTED_VALUE"""),"Tadi- Ghagar HEP")</f>
        <v>Tadi- Ghagar HEP</v>
      </c>
      <c r="C1969" s="2">
        <f>IFERROR(__xludf.DUMMYFUNCTION("""COMPUTED_VALUE"""),0.99)</f>
        <v>0.99</v>
      </c>
      <c r="D1969" s="2" t="str">
        <f>IFERROR(__xludf.DUMMYFUNCTION("""COMPUTED_VALUE"""),"Tadi- Ghagar")</f>
        <v>Tadi- Ghagar</v>
      </c>
      <c r="E1969" s="2">
        <f>IFERROR(__xludf.DUMMYFUNCTION("""COMPUTED_VALUE"""),3913.0)</f>
        <v>3913</v>
      </c>
      <c r="F1969" s="3">
        <f>IFERROR(__xludf.DUMMYFUNCTION("""COMPUTED_VALUE"""),62815.0)</f>
        <v>62815</v>
      </c>
      <c r="G1969" s="2" t="str">
        <f>IFERROR(__xludf.DUMMYFUNCTION("""COMPUTED_VALUE"""),"Sun Bahadur Tamang,Min Bahadur Tamang")</f>
        <v>Sun Bahadur Tamang,Min Bahadur Tamang</v>
      </c>
      <c r="H1969" s="2"/>
      <c r="I1969" s="2" t="str">
        <f>IFERROR(__xludf.DUMMYFUNCTION("""COMPUTED_VALUE"""),"27o 58' 24""")</f>
        <v>27o 58' 24"</v>
      </c>
      <c r="J1969" s="2" t="str">
        <f>IFERROR(__xludf.DUMMYFUNCTION("""COMPUTED_VALUE"""),"27o 59' 22""")</f>
        <v>27o 59' 22"</v>
      </c>
      <c r="K1969" s="2" t="str">
        <f>IFERROR(__xludf.DUMMYFUNCTION("""COMPUTED_VALUE"""),"85o 26' 19""")</f>
        <v>85o 26' 19"</v>
      </c>
      <c r="L1969" s="2" t="str">
        <f>IFERROR(__xludf.DUMMYFUNCTION("""COMPUTED_VALUE"""),"85o 27' 13""")</f>
        <v>85o 27' 13"</v>
      </c>
      <c r="M1969" s="2" t="str">
        <f>IFERROR(__xludf.DUMMYFUNCTION("""COMPUTED_VALUE"""),"Dhyangphedi (Nuwakot)")</f>
        <v>Dhyangphedi (Nuwakot)</v>
      </c>
    </row>
    <row r="1970">
      <c r="A1970" s="2">
        <f>IFERROR(__xludf.DUMMYFUNCTION("""COMPUTED_VALUE"""),1969.0)</f>
        <v>1969</v>
      </c>
      <c r="B1970" s="2" t="str">
        <f>IFERROR(__xludf.DUMMYFUNCTION("""COMPUTED_VALUE"""),"Hegan Khola small HEP")</f>
        <v>Hegan Khola small HEP</v>
      </c>
      <c r="C1970" s="2">
        <f>IFERROR(__xludf.DUMMYFUNCTION("""COMPUTED_VALUE"""),0.997)</f>
        <v>0.997</v>
      </c>
      <c r="D1970" s="2" t="str">
        <f>IFERROR(__xludf.DUMMYFUNCTION("""COMPUTED_VALUE"""),"Hegan Khola")</f>
        <v>Hegan Khola</v>
      </c>
      <c r="E1970" s="2">
        <f>IFERROR(__xludf.DUMMYFUNCTION("""COMPUTED_VALUE"""),4061.0)</f>
        <v>4061</v>
      </c>
      <c r="F1970" s="3">
        <f>IFERROR(__xludf.DUMMYFUNCTION("""COMPUTED_VALUE"""),62826.0)</f>
        <v>62826</v>
      </c>
      <c r="G1970" s="2" t="str">
        <f>IFERROR(__xludf.DUMMYFUNCTION("""COMPUTED_VALUE"""),"Mukesh Pokharel")</f>
        <v>Mukesh Pokharel</v>
      </c>
      <c r="H1970" s="2" t="str">
        <f>IFERROR(__xludf.DUMMYFUNCTION("""COMPUTED_VALUE"""),"Koteshower, Kathmandu 35")</f>
        <v>Koteshower, Kathmandu 35</v>
      </c>
      <c r="I1970" s="2" t="str">
        <f>IFERROR(__xludf.DUMMYFUNCTION("""COMPUTED_VALUE"""),"28o 00' 00""")</f>
        <v>28o 00' 00"</v>
      </c>
      <c r="J1970" s="2" t="str">
        <f>IFERROR(__xludf.DUMMYFUNCTION("""COMPUTED_VALUE"""),"28o 01' 35""")</f>
        <v>28o 01' 35"</v>
      </c>
      <c r="K1970" s="2" t="str">
        <f>IFERROR(__xludf.DUMMYFUNCTION("""COMPUTED_VALUE"""),"85o 32' 08""")</f>
        <v>85o 32' 08"</v>
      </c>
      <c r="L1970" s="2" t="str">
        <f>IFERROR(__xludf.DUMMYFUNCTION("""COMPUTED_VALUE"""),"85o 33' 22""")</f>
        <v>85o 33' 22"</v>
      </c>
      <c r="M1970" s="2" t="str">
        <f>IFERROR(__xludf.DUMMYFUNCTION("""COMPUTED_VALUE"""),"Haibung (Sindhupalchok)")</f>
        <v>Haibung (Sindhupalchok)</v>
      </c>
    </row>
    <row r="1971">
      <c r="A1971" s="2">
        <f>IFERROR(__xludf.DUMMYFUNCTION("""COMPUTED_VALUE"""),1970.0)</f>
        <v>1970</v>
      </c>
      <c r="B1971" s="2" t="str">
        <f>IFERROR(__xludf.DUMMYFUNCTION("""COMPUTED_VALUE"""),"Inwa Khola Mini HP")</f>
        <v>Inwa Khola Mini HP</v>
      </c>
      <c r="C1971" s="2">
        <f>IFERROR(__xludf.DUMMYFUNCTION("""COMPUTED_VALUE"""),0.313)</f>
        <v>0.313</v>
      </c>
      <c r="D1971" s="2" t="str">
        <f>IFERROR(__xludf.DUMMYFUNCTION("""COMPUTED_VALUE"""),"Inwa Khola")</f>
        <v>Inwa Khola</v>
      </c>
      <c r="E1971" s="2">
        <f>IFERROR(__xludf.DUMMYFUNCTION("""COMPUTED_VALUE"""),4062.0)</f>
        <v>4062</v>
      </c>
      <c r="F1971" s="3">
        <f>IFERROR(__xludf.DUMMYFUNCTION("""COMPUTED_VALUE"""),62826.0)</f>
        <v>62826</v>
      </c>
      <c r="G1971" s="2" t="str">
        <f>IFERROR(__xludf.DUMMYFUNCTION("""COMPUTED_VALUE"""),"Pradip Rai")</f>
        <v>Pradip Rai</v>
      </c>
      <c r="H1971" s="2" t="str">
        <f>IFERROR(__xludf.DUMMYFUNCTION("""COMPUTED_VALUE"""),"Sadewa VDC, Taplejung")</f>
        <v>Sadewa VDC, Taplejung</v>
      </c>
      <c r="I1971" s="2" t="str">
        <f>IFERROR(__xludf.DUMMYFUNCTION("""COMPUTED_VALUE"""),"27o 16' 55""")</f>
        <v>27o 16' 55"</v>
      </c>
      <c r="J1971" s="2" t="str">
        <f>IFERROR(__xludf.DUMMYFUNCTION("""COMPUTED_VALUE"""),"27o 17' 36""")</f>
        <v>27o 17' 36"</v>
      </c>
      <c r="K1971" s="2" t="str">
        <f>IFERROR(__xludf.DUMMYFUNCTION("""COMPUTED_VALUE"""),"87o 57' 00""")</f>
        <v>87o 57' 00"</v>
      </c>
      <c r="L1971" s="2" t="str">
        <f>IFERROR(__xludf.DUMMYFUNCTION("""COMPUTED_VALUE"""),"87o 57' 50""")</f>
        <v>87o 57' 50"</v>
      </c>
      <c r="M1971" s="2" t="str">
        <f>IFERROR(__xludf.DUMMYFUNCTION("""COMPUTED_VALUE"""),"Chyangthapu (Panchthar)")</f>
        <v>Chyangthapu (Panchthar)</v>
      </c>
    </row>
    <row r="1972">
      <c r="A1972" s="2">
        <f>IFERROR(__xludf.DUMMYFUNCTION("""COMPUTED_VALUE"""),1971.0)</f>
        <v>1971</v>
      </c>
      <c r="B1972" s="2" t="str">
        <f>IFERROR(__xludf.DUMMYFUNCTION("""COMPUTED_VALUE"""),"Upper Jeuli Gad")</f>
        <v>Upper Jeuli Gad</v>
      </c>
      <c r="C1972" s="2">
        <f>IFERROR(__xludf.DUMMYFUNCTION("""COMPUTED_VALUE"""),4.0)</f>
        <v>4</v>
      </c>
      <c r="D1972" s="2" t="str">
        <f>IFERROR(__xludf.DUMMYFUNCTION("""COMPUTED_VALUE"""),"Jeuli Gad")</f>
        <v>Jeuli Gad</v>
      </c>
      <c r="E1972" s="2">
        <f>IFERROR(__xludf.DUMMYFUNCTION("""COMPUTED_VALUE"""),4129.0)</f>
        <v>4129</v>
      </c>
      <c r="F1972" s="3">
        <f>IFERROR(__xludf.DUMMYFUNCTION("""COMPUTED_VALUE"""),62830.0)</f>
        <v>62830</v>
      </c>
      <c r="G1972" s="2" t="str">
        <f>IFERROR(__xludf.DUMMYFUNCTION("""COMPUTED_VALUE"""),"Shyun Hydro Pvt. Ltd")</f>
        <v>Shyun Hydro Pvt. Ltd</v>
      </c>
      <c r="H1972" s="2" t="str">
        <f>IFERROR(__xludf.DUMMYFUNCTION("""COMPUTED_VALUE"""),"Rara Marg,Sukethara Ward-4,Kathmandu")</f>
        <v>Rara Marg,Sukethara Ward-4,Kathmandu</v>
      </c>
      <c r="I1972" s="2" t="str">
        <f>IFERROR(__xludf.DUMMYFUNCTION("""COMPUTED_VALUE"""),"29o 35' 55""")</f>
        <v>29o 35' 55"</v>
      </c>
      <c r="J1972" s="2" t="str">
        <f>IFERROR(__xludf.DUMMYFUNCTION("""COMPUTED_VALUE"""),"29o 37' 31""")</f>
        <v>29o 37' 31"</v>
      </c>
      <c r="K1972" s="2" t="str">
        <f>IFERROR(__xludf.DUMMYFUNCTION("""COMPUTED_VALUE"""),"81o 06' 12""")</f>
        <v>81o 06' 12"</v>
      </c>
      <c r="L1972" s="2" t="str">
        <f>IFERROR(__xludf.DUMMYFUNCTION("""COMPUTED_VALUE"""),"81o 08' 05""")</f>
        <v>81o 08' 05"</v>
      </c>
      <c r="M1972" s="2" t="str">
        <f>IFERROR(__xludf.DUMMYFUNCTION("""COMPUTED_VALUE"""),"Dilichaur (Bajhang)")</f>
        <v>Dilichaur (Bajhang)</v>
      </c>
    </row>
    <row r="1973">
      <c r="A1973" s="2">
        <f>IFERROR(__xludf.DUMMYFUNCTION("""COMPUTED_VALUE"""),1972.0)</f>
        <v>1972</v>
      </c>
      <c r="B1973" s="2" t="str">
        <f>IFERROR(__xludf.DUMMYFUNCTION("""COMPUTED_VALUE"""),"Syani KHola HPP")</f>
        <v>Syani KHola HPP</v>
      </c>
      <c r="C1973" s="2">
        <f>IFERROR(__xludf.DUMMYFUNCTION("""COMPUTED_VALUE"""),0.907)</f>
        <v>0.907</v>
      </c>
      <c r="D1973" s="2" t="str">
        <f>IFERROR(__xludf.DUMMYFUNCTION("""COMPUTED_VALUE"""),"Syani Khola")</f>
        <v>Syani Khola</v>
      </c>
      <c r="E1973" s="2">
        <f>IFERROR(__xludf.DUMMYFUNCTION("""COMPUTED_VALUE"""),4634.0)</f>
        <v>4634</v>
      </c>
      <c r="F1973" s="3">
        <f>IFERROR(__xludf.DUMMYFUNCTION("""COMPUTED_VALUE"""),62871.0)</f>
        <v>62871</v>
      </c>
      <c r="G1973" s="2" t="str">
        <f>IFERROR(__xludf.DUMMYFUNCTION("""COMPUTED_VALUE"""),"Tundi Power Company Pvt Ltd")</f>
        <v>Tundi Power Company Pvt Ltd</v>
      </c>
      <c r="H1973" s="2" t="str">
        <f>IFERROR(__xludf.DUMMYFUNCTION("""COMPUTED_VALUE"""),"Sanepa -3 Lalitpur 5555573, 5548573,Fax 5555574")</f>
        <v>Sanepa -3 Lalitpur 5555573, 5548573,Fax 5555574</v>
      </c>
      <c r="I1973" s="2" t="str">
        <f>IFERROR(__xludf.DUMMYFUNCTION("""COMPUTED_VALUE"""),"28o 31' 50""")</f>
        <v>28o 31' 50"</v>
      </c>
      <c r="J1973" s="2" t="str">
        <f>IFERROR(__xludf.DUMMYFUNCTION("""COMPUTED_VALUE"""),"28o 33' 33""")</f>
        <v>28o 33' 33"</v>
      </c>
      <c r="K1973" s="2" t="str">
        <f>IFERROR(__xludf.DUMMYFUNCTION("""COMPUTED_VALUE"""),"83o 29' 21""")</f>
        <v>83o 29' 21"</v>
      </c>
      <c r="L1973" s="2" t="str">
        <f>IFERROR(__xludf.DUMMYFUNCTION("""COMPUTED_VALUE"""),"83o 30' 54""")</f>
        <v>83o 30' 54"</v>
      </c>
      <c r="M1973" s="2" t="str">
        <f>IFERROR(__xludf.DUMMYFUNCTION("""COMPUTED_VALUE"""),"Kuinemangale (Myagdi)")</f>
        <v>Kuinemangale (Myagdi)</v>
      </c>
    </row>
    <row r="1974">
      <c r="A1974" s="2">
        <f>IFERROR(__xludf.DUMMYFUNCTION("""COMPUTED_VALUE"""),1973.0)</f>
        <v>1973</v>
      </c>
      <c r="B1974" s="2" t="str">
        <f>IFERROR(__xludf.DUMMYFUNCTION("""COMPUTED_VALUE"""),"Midim Khola Small HPP")</f>
        <v>Midim Khola Small HPP</v>
      </c>
      <c r="C1974" s="2">
        <f>IFERROR(__xludf.DUMMYFUNCTION("""COMPUTED_VALUE"""),0.99)</f>
        <v>0.99</v>
      </c>
      <c r="D1974" s="2" t="str">
        <f>IFERROR(__xludf.DUMMYFUNCTION("""COMPUTED_VALUE"""),"Midim Khola")</f>
        <v>Midim Khola</v>
      </c>
      <c r="E1974" s="2">
        <f>IFERROR(__xludf.DUMMYFUNCTION("""COMPUTED_VALUE"""),4790.0)</f>
        <v>4790</v>
      </c>
      <c r="F1974" s="3">
        <f>IFERROR(__xludf.DUMMYFUNCTION("""COMPUTED_VALUE"""),62881.0)</f>
        <v>62881</v>
      </c>
      <c r="G1974" s="2" t="str">
        <f>IFERROR(__xludf.DUMMYFUNCTION("""COMPUTED_VALUE"""),"Navraj Bhandari")</f>
        <v>Navraj Bhandari</v>
      </c>
      <c r="H1974" s="2" t="str">
        <f>IFERROR(__xludf.DUMMYFUNCTION("""COMPUTED_VALUE"""),"Kathmandu-34, 9841830473")</f>
        <v>Kathmandu-34, 9841830473</v>
      </c>
      <c r="I1974" s="2" t="str">
        <f>IFERROR(__xludf.DUMMYFUNCTION("""COMPUTED_VALUE"""),"28o 19' 00""")</f>
        <v>28o 19' 00"</v>
      </c>
      <c r="J1974" s="2" t="str">
        <f>IFERROR(__xludf.DUMMYFUNCTION("""COMPUTED_VALUE"""),"28o 22' 00""")</f>
        <v>28o 22' 00"</v>
      </c>
      <c r="K1974" s="2" t="str">
        <f>IFERROR(__xludf.DUMMYFUNCTION("""COMPUTED_VALUE"""),"84o 14' 25""")</f>
        <v>84o 14' 25"</v>
      </c>
      <c r="L1974" s="2" t="str">
        <f>IFERROR(__xludf.DUMMYFUNCTION("""COMPUTED_VALUE"""),"84o 16' 12""")</f>
        <v>84o 16' 12"</v>
      </c>
      <c r="M1974" s="2" t="str">
        <f>IFERROR(__xludf.DUMMYFUNCTION("""COMPUTED_VALUE"""),"Bhujung (Lamjung)")</f>
        <v>Bhujung (Lamjung)</v>
      </c>
    </row>
    <row r="1975">
      <c r="A1975" s="2">
        <f>IFERROR(__xludf.DUMMYFUNCTION("""COMPUTED_VALUE"""),1974.0)</f>
        <v>1974</v>
      </c>
      <c r="B1975" s="2" t="str">
        <f>IFERROR(__xludf.DUMMYFUNCTION("""COMPUTED_VALUE"""),"Upper Rurubanchu Khola Small HPP")</f>
        <v>Upper Rurubanchu Khola Small HPP</v>
      </c>
      <c r="C1975" s="2">
        <f>IFERROR(__xludf.DUMMYFUNCTION("""COMPUTED_VALUE"""),0.99)</f>
        <v>0.99</v>
      </c>
      <c r="D1975" s="2" t="str">
        <f>IFERROR(__xludf.DUMMYFUNCTION("""COMPUTED_VALUE"""),"Rurubanchu Khola")</f>
        <v>Rurubanchu Khola</v>
      </c>
      <c r="E1975" s="2">
        <f>IFERROR(__xludf.DUMMYFUNCTION("""COMPUTED_VALUE"""),4857.0)</f>
        <v>4857</v>
      </c>
      <c r="F1975" s="2" t="str">
        <f>IFERROR(__xludf.DUMMYFUNCTION("""COMPUTED_VALUE"""),"2072-02-32")</f>
        <v>2072-02-32</v>
      </c>
      <c r="G1975" s="2" t="str">
        <f>IFERROR(__xludf.DUMMYFUNCTION("""COMPUTED_VALUE"""),"Rajendra Prasad Tiwari,Rita Dhungana")</f>
        <v>Rajendra Prasad Tiwari,Rita Dhungana</v>
      </c>
      <c r="H1975" s="2" t="str">
        <f>IFERROR(__xludf.DUMMYFUNCTION("""COMPUTED_VALUE"""),"Kadaghari, Gothatar VDC. Battisputali, kathmandu-9")</f>
        <v>Kadaghari, Gothatar VDC. Battisputali, kathmandu-9</v>
      </c>
      <c r="I1975" s="2" t="str">
        <f>IFERROR(__xludf.DUMMYFUNCTION("""COMPUTED_VALUE"""),"29o 05' 50""")</f>
        <v>29o 05' 50"</v>
      </c>
      <c r="J1975" s="2" t="str">
        <f>IFERROR(__xludf.DUMMYFUNCTION("""COMPUTED_VALUE"""),"29o 06' 20""")</f>
        <v>29o 06' 20"</v>
      </c>
      <c r="K1975" s="2" t="str">
        <f>IFERROR(__xludf.DUMMYFUNCTION("""COMPUTED_VALUE"""),"81o 49' 30""")</f>
        <v>81o 49' 30"</v>
      </c>
      <c r="L1975" s="2" t="str">
        <f>IFERROR(__xludf.DUMMYFUNCTION("""COMPUTED_VALUE"""),"81o 50' 30""")</f>
        <v>81o 50' 30"</v>
      </c>
      <c r="M1975" s="2" t="str">
        <f>IFERROR(__xludf.DUMMYFUNCTION("""COMPUTED_VALUE"""),"Chilkhaya (Kalikot)")</f>
        <v>Chilkhaya (Kalikot)</v>
      </c>
    </row>
    <row r="1976">
      <c r="A1976" s="2">
        <f>IFERROR(__xludf.DUMMYFUNCTION("""COMPUTED_VALUE"""),1975.0)</f>
        <v>1975</v>
      </c>
      <c r="B1976" s="2" t="str">
        <f>IFERROR(__xludf.DUMMYFUNCTION("""COMPUTED_VALUE"""),"Sano Milti Micro HP")</f>
        <v>Sano Milti Micro HP</v>
      </c>
      <c r="C1976" s="2">
        <f>IFERROR(__xludf.DUMMYFUNCTION("""COMPUTED_VALUE"""),0.47)</f>
        <v>0.47</v>
      </c>
      <c r="D1976" s="2" t="str">
        <f>IFERROR(__xludf.DUMMYFUNCTION("""COMPUTED_VALUE"""),"Milti")</f>
        <v>Milti</v>
      </c>
      <c r="E1976" s="2">
        <f>IFERROR(__xludf.DUMMYFUNCTION("""COMPUTED_VALUE"""),4858.0)</f>
        <v>4858</v>
      </c>
      <c r="F1976" s="2" t="str">
        <f>IFERROR(__xludf.DUMMYFUNCTION("""COMPUTED_VALUE"""),"2072-02-32")</f>
        <v>2072-02-32</v>
      </c>
      <c r="G1976" s="2" t="str">
        <f>IFERROR(__xludf.DUMMYFUNCTION("""COMPUTED_VALUE"""),"Global Nepali Invesment Pvt Ltd")</f>
        <v>Global Nepali Invesment Pvt Ltd</v>
      </c>
      <c r="H1976" s="2" t="str">
        <f>IFERROR(__xludf.DUMMYFUNCTION("""COMPUTED_VALUE"""),"62 Mandeshori Galli Bansbari,Kathmandu")</f>
        <v>62 Mandeshori Galli Bansbari,Kathmandu</v>
      </c>
      <c r="I1976" s="2" t="str">
        <f>IFERROR(__xludf.DUMMYFUNCTION("""COMPUTED_VALUE"""),"27o 29' 45""")</f>
        <v>27o 29' 45"</v>
      </c>
      <c r="J1976" s="2" t="str">
        <f>IFERROR(__xludf.DUMMYFUNCTION("""COMPUTED_VALUE"""),"27o 30' 08""")</f>
        <v>27o 30' 08"</v>
      </c>
      <c r="K1976" s="2" t="str">
        <f>IFERROR(__xludf.DUMMYFUNCTION("""COMPUTED_VALUE"""),"86o 04' 25""")</f>
        <v>86o 04' 25"</v>
      </c>
      <c r="L1976" s="2" t="str">
        <f>IFERROR(__xludf.DUMMYFUNCTION("""COMPUTED_VALUE"""),"86o 04' 57""")</f>
        <v>86o 04' 57"</v>
      </c>
      <c r="M1976" s="2" t="str">
        <f>IFERROR(__xludf.DUMMYFUNCTION("""COMPUTED_VALUE"""),"Phulasi (Ramechhap)")</f>
        <v>Phulasi (Ramechhap)</v>
      </c>
    </row>
    <row r="1977">
      <c r="A1977" s="2">
        <f>IFERROR(__xludf.DUMMYFUNCTION("""COMPUTED_VALUE"""),1976.0)</f>
        <v>1976</v>
      </c>
      <c r="B1977" s="2" t="str">
        <f>IFERROR(__xludf.DUMMYFUNCTION("""COMPUTED_VALUE"""),"Rurubanchu Khola HPP")</f>
        <v>Rurubanchu Khola HPP</v>
      </c>
      <c r="C1977" s="2">
        <f>IFERROR(__xludf.DUMMYFUNCTION("""COMPUTED_VALUE"""),0.959)</f>
        <v>0.959</v>
      </c>
      <c r="D1977" s="2" t="str">
        <f>IFERROR(__xludf.DUMMYFUNCTION("""COMPUTED_VALUE"""),"Rurubanchu Khola")</f>
        <v>Rurubanchu Khola</v>
      </c>
      <c r="E1977" s="2">
        <f>IFERROR(__xludf.DUMMYFUNCTION("""COMPUTED_VALUE"""),5093.0)</f>
        <v>5093</v>
      </c>
      <c r="F1977" s="3">
        <f>IFERROR(__xludf.DUMMYFUNCTION("""COMPUTED_VALUE"""),62897.0)</f>
        <v>62897</v>
      </c>
      <c r="G1977" s="2" t="str">
        <f>IFERROR(__xludf.DUMMYFUNCTION("""COMPUTED_VALUE"""),"Ujwal Energy Developers Pvt Ltd")</f>
        <v>Ujwal Energy Developers Pvt Ltd</v>
      </c>
      <c r="H1977" s="2" t="str">
        <f>IFERROR(__xludf.DUMMYFUNCTION("""COMPUTED_VALUE"""),"Kirtipur-1 , Kathmandu")</f>
        <v>Kirtipur-1 , Kathmandu</v>
      </c>
      <c r="I1977" s="2" t="str">
        <f>IFERROR(__xludf.DUMMYFUNCTION("""COMPUTED_VALUE"""),"29o 05' 45""")</f>
        <v>29o 05' 45"</v>
      </c>
      <c r="J1977" s="2" t="str">
        <f>IFERROR(__xludf.DUMMYFUNCTION("""COMPUTED_VALUE"""),"29o 06' 40""")</f>
        <v>29o 06' 40"</v>
      </c>
      <c r="K1977" s="2" t="str">
        <f>IFERROR(__xludf.DUMMYFUNCTION("""COMPUTED_VALUE"""),"81o 45' 00""")</f>
        <v>81o 45' 00"</v>
      </c>
      <c r="L1977" s="2" t="str">
        <f>IFERROR(__xludf.DUMMYFUNCTION("""COMPUTED_VALUE"""),"81o 48' 02""")</f>
        <v>81o 48' 02"</v>
      </c>
      <c r="M1977" s="2" t="str">
        <f>IFERROR(__xludf.DUMMYFUNCTION("""COMPUTED_VALUE"""),"Chilkhaya (Kalikot)")</f>
        <v>Chilkhaya (Kalikot)</v>
      </c>
    </row>
    <row r="1978">
      <c r="A1978" s="2">
        <f>IFERROR(__xludf.DUMMYFUNCTION("""COMPUTED_VALUE"""),1977.0)</f>
        <v>1977</v>
      </c>
      <c r="B1978" s="2" t="str">
        <f>IFERROR(__xludf.DUMMYFUNCTION("""COMPUTED_VALUE"""),"Chipli Khola HPP")</f>
        <v>Chipli Khola HPP</v>
      </c>
      <c r="C1978" s="2">
        <f>IFERROR(__xludf.DUMMYFUNCTION("""COMPUTED_VALUE"""),0.99)</f>
        <v>0.99</v>
      </c>
      <c r="D1978" s="2" t="str">
        <f>IFERROR(__xludf.DUMMYFUNCTION("""COMPUTED_VALUE"""),"Chipli Khola")</f>
        <v>Chipli Khola</v>
      </c>
      <c r="E1978" s="2">
        <f>IFERROR(__xludf.DUMMYFUNCTION("""COMPUTED_VALUE"""),6052.0)</f>
        <v>6052</v>
      </c>
      <c r="F1978" s="3">
        <f>IFERROR(__xludf.DUMMYFUNCTION("""COMPUTED_VALUE"""),62901.0)</f>
        <v>62901</v>
      </c>
      <c r="G1978" s="2" t="str">
        <f>IFERROR(__xludf.DUMMYFUNCTION("""COMPUTED_VALUE"""),"Mohan Thatal")</f>
        <v>Mohan Thatal</v>
      </c>
      <c r="H1978" s="2" t="str">
        <f>IFERROR(__xludf.DUMMYFUNCTION("""COMPUTED_VALUE"""),"Lalitpur, 9849053338")</f>
        <v>Lalitpur, 9849053338</v>
      </c>
      <c r="I1978" s="2" t="str">
        <f>IFERROR(__xludf.DUMMYFUNCTION("""COMPUTED_VALUE"""),"28o 19' 00""")</f>
        <v>28o 19' 00"</v>
      </c>
      <c r="J1978" s="2" t="str">
        <f>IFERROR(__xludf.DUMMYFUNCTION("""COMPUTED_VALUE"""),"28o 19' 41""")</f>
        <v>28o 19' 41"</v>
      </c>
      <c r="K1978" s="2" t="str">
        <f>IFERROR(__xludf.DUMMYFUNCTION("""COMPUTED_VALUE"""),"84o 04' 25""")</f>
        <v>84o 04' 25"</v>
      </c>
      <c r="L1978" s="2" t="str">
        <f>IFERROR(__xludf.DUMMYFUNCTION("""COMPUTED_VALUE"""),"84o 05' 27""")</f>
        <v>84o 05' 27"</v>
      </c>
      <c r="M1978" s="2" t="str">
        <f>IFERROR(__xludf.DUMMYFUNCTION("""COMPUTED_VALUE"""),"Parche,Sildujure (Kaski)")</f>
        <v>Parche,Sildujure (Kaski)</v>
      </c>
    </row>
    <row r="1979">
      <c r="A1979" s="2">
        <f>IFERROR(__xludf.DUMMYFUNCTION("""COMPUTED_VALUE"""),1978.0)</f>
        <v>1978</v>
      </c>
      <c r="B1979" s="2" t="str">
        <f>IFERROR(__xludf.DUMMYFUNCTION("""COMPUTED_VALUE"""),"Upper Bheri HPP")</f>
        <v>Upper Bheri HPP</v>
      </c>
      <c r="C1979" s="2">
        <f>IFERROR(__xludf.DUMMYFUNCTION("""COMPUTED_VALUE"""),85.0)</f>
        <v>85</v>
      </c>
      <c r="D1979" s="2" t="str">
        <f>IFERROR(__xludf.DUMMYFUNCTION("""COMPUTED_VALUE"""),"Bheri")</f>
        <v>Bheri</v>
      </c>
      <c r="E1979" s="2">
        <f>IFERROR(__xludf.DUMMYFUNCTION("""COMPUTED_VALUE"""),7071.0)</f>
        <v>7071</v>
      </c>
      <c r="F1979" s="3">
        <f>IFERROR(__xludf.DUMMYFUNCTION("""COMPUTED_VALUE"""),62907.0)</f>
        <v>62907</v>
      </c>
      <c r="G1979" s="2" t="str">
        <f>IFERROR(__xludf.DUMMYFUNCTION("""COMPUTED_VALUE"""),"Nepal Electricity Authority")</f>
        <v>Nepal Electricity Authority</v>
      </c>
      <c r="H1979" s="2" t="str">
        <f>IFERROR(__xludf.DUMMYFUNCTION("""COMPUTED_VALUE"""),"Durbarmarg,Kathmandu")</f>
        <v>Durbarmarg,Kathmandu</v>
      </c>
      <c r="I1979" s="2" t="str">
        <f>IFERROR(__xludf.DUMMYFUNCTION("""COMPUTED_VALUE"""),"29o 03' 20""")</f>
        <v>29o 03' 20"</v>
      </c>
      <c r="J1979" s="2" t="str">
        <f>IFERROR(__xludf.DUMMYFUNCTION("""COMPUTED_VALUE"""),"29o 08' 20""")</f>
        <v>29o 08' 20"</v>
      </c>
      <c r="K1979" s="2" t="str">
        <f>IFERROR(__xludf.DUMMYFUNCTION("""COMPUTED_VALUE"""),"82o 33' 40""")</f>
        <v>82o 33' 40"</v>
      </c>
      <c r="L1979" s="2" t="str">
        <f>IFERROR(__xludf.DUMMYFUNCTION("""COMPUTED_VALUE"""),"82o 37' 47""")</f>
        <v>82o 37' 47"</v>
      </c>
      <c r="M1979" s="2" t="str">
        <f>IFERROR(__xludf.DUMMYFUNCTION("""COMPUTED_VALUE"""),"Kaigaun,Narku,Rimi (Dolpa)")</f>
        <v>Kaigaun,Narku,Rimi (Dolpa)</v>
      </c>
    </row>
    <row r="1980">
      <c r="A1980" s="2">
        <f>IFERROR(__xludf.DUMMYFUNCTION("""COMPUTED_VALUE"""),1979.0)</f>
        <v>1979</v>
      </c>
      <c r="B1980" s="2" t="str">
        <f>IFERROR(__xludf.DUMMYFUNCTION("""COMPUTED_VALUE"""),"Chainpur Seti HPP")</f>
        <v>Chainpur Seti HPP</v>
      </c>
      <c r="C1980" s="2">
        <f>IFERROR(__xludf.DUMMYFUNCTION("""COMPUTED_VALUE"""),140.0)</f>
        <v>140</v>
      </c>
      <c r="D1980" s="2" t="str">
        <f>IFERROR(__xludf.DUMMYFUNCTION("""COMPUTED_VALUE"""),"Seti Khola")</f>
        <v>Seti Khola</v>
      </c>
      <c r="E1980" s="2">
        <f>IFERROR(__xludf.DUMMYFUNCTION("""COMPUTED_VALUE"""),7072.0)</f>
        <v>7072</v>
      </c>
      <c r="F1980" s="3">
        <f>IFERROR(__xludf.DUMMYFUNCTION("""COMPUTED_VALUE"""),62907.0)</f>
        <v>62907</v>
      </c>
      <c r="G1980" s="2" t="str">
        <f>IFERROR(__xludf.DUMMYFUNCTION("""COMPUTED_VALUE"""),"Nepal Electricity Authority")</f>
        <v>Nepal Electricity Authority</v>
      </c>
      <c r="H1980" s="2" t="str">
        <f>IFERROR(__xludf.DUMMYFUNCTION("""COMPUTED_VALUE"""),"Durbarmarg,Kathmandu")</f>
        <v>Durbarmarg,Kathmandu</v>
      </c>
      <c r="I1980" s="2" t="str">
        <f>IFERROR(__xludf.DUMMYFUNCTION("""COMPUTED_VALUE"""),"29o 36' 27""")</f>
        <v>29o 36' 27"</v>
      </c>
      <c r="J1980" s="2" t="str">
        <f>IFERROR(__xludf.DUMMYFUNCTION("""COMPUTED_VALUE"""),"29o 45' 00""")</f>
        <v>29o 45' 00"</v>
      </c>
      <c r="K1980" s="2" t="str">
        <f>IFERROR(__xludf.DUMMYFUNCTION("""COMPUTED_VALUE"""),"81o 15' 00""")</f>
        <v>81o 15' 00"</v>
      </c>
      <c r="L1980" s="2" t="str">
        <f>IFERROR(__xludf.DUMMYFUNCTION("""COMPUTED_VALUE"""),"81o 21' 00""")</f>
        <v>81o 21' 00"</v>
      </c>
      <c r="M1980" s="2" t="str">
        <f>IFERROR(__xludf.DUMMYFUNCTION("""COMPUTED_VALUE"""),"Dhamena,Kanda,Melbisauni (Bajhang)")</f>
        <v>Dhamena,Kanda,Melbisauni (Bajhang)</v>
      </c>
    </row>
    <row r="1981">
      <c r="A1981" s="2">
        <f>IFERROR(__xludf.DUMMYFUNCTION("""COMPUTED_VALUE"""),1980.0)</f>
        <v>1980</v>
      </c>
      <c r="B1981" s="2" t="str">
        <f>IFERROR(__xludf.DUMMYFUNCTION("""COMPUTED_VALUE"""),"Jhingkhani Khola HPP")</f>
        <v>Jhingkhani Khola HPP</v>
      </c>
      <c r="C1981" s="2">
        <f>IFERROR(__xludf.DUMMYFUNCTION("""COMPUTED_VALUE"""),0.82)</f>
        <v>0.82</v>
      </c>
      <c r="D1981" s="2" t="str">
        <f>IFERROR(__xludf.DUMMYFUNCTION("""COMPUTED_VALUE"""),"Jhingkhani Khola")</f>
        <v>Jhingkhani Khola</v>
      </c>
      <c r="E1981" s="2">
        <f>IFERROR(__xludf.DUMMYFUNCTION("""COMPUTED_VALUE"""),7089.0)</f>
        <v>7089</v>
      </c>
      <c r="F1981" s="3">
        <f>IFERROR(__xludf.DUMMYFUNCTION("""COMPUTED_VALUE"""),62908.0)</f>
        <v>62908</v>
      </c>
      <c r="G1981" s="2" t="str">
        <f>IFERROR(__xludf.DUMMYFUNCTION("""COMPUTED_VALUE"""),"Karnali Jalashrot Limited")</f>
        <v>Karnali Jalashrot Limited</v>
      </c>
      <c r="H1981" s="2" t="str">
        <f>IFERROR(__xludf.DUMMYFUNCTION("""COMPUTED_VALUE"""),"Anamnagar-32, Kathmandu")</f>
        <v>Anamnagar-32, Kathmandu</v>
      </c>
      <c r="I1981" s="2" t="str">
        <f>IFERROR(__xludf.DUMMYFUNCTION("""COMPUTED_VALUE"""),"28o 29' 00""")</f>
        <v>28o 29' 00"</v>
      </c>
      <c r="J1981" s="2" t="str">
        <f>IFERROR(__xludf.DUMMYFUNCTION("""COMPUTED_VALUE"""),"28o 29' 43""")</f>
        <v>28o 29' 43"</v>
      </c>
      <c r="K1981" s="2" t="str">
        <f>IFERROR(__xludf.DUMMYFUNCTION("""COMPUTED_VALUE"""),"83o 29' 34""")</f>
        <v>83o 29' 34"</v>
      </c>
      <c r="L1981" s="2" t="str">
        <f>IFERROR(__xludf.DUMMYFUNCTION("""COMPUTED_VALUE"""),"83o 30' 54""")</f>
        <v>83o 30' 54"</v>
      </c>
      <c r="M1981" s="2" t="str">
        <f>IFERROR(__xludf.DUMMYFUNCTION("""COMPUTED_VALUE"""),"Pakhapani (Myagdi)")</f>
        <v>Pakhapani (Myagdi)</v>
      </c>
    </row>
    <row r="1982">
      <c r="A1982" s="2">
        <f>IFERROR(__xludf.DUMMYFUNCTION("""COMPUTED_VALUE"""),1981.0)</f>
        <v>1981</v>
      </c>
      <c r="B1982" s="2" t="str">
        <f>IFERROR(__xludf.DUMMYFUNCTION("""COMPUTED_VALUE"""),"Kul Khola Mini Hydropower Project")</f>
        <v>Kul Khola Mini Hydropower Project</v>
      </c>
      <c r="C1982" s="2">
        <f>IFERROR(__xludf.DUMMYFUNCTION("""COMPUTED_VALUE"""),0.478)</f>
        <v>0.478</v>
      </c>
      <c r="D1982" s="2" t="str">
        <f>IFERROR(__xludf.DUMMYFUNCTION("""COMPUTED_VALUE"""),"Kul Khol")</f>
        <v>Kul Khol</v>
      </c>
      <c r="E1982" s="2">
        <f>IFERROR(__xludf.DUMMYFUNCTION("""COMPUTED_VALUE"""),478.0)</f>
        <v>478</v>
      </c>
      <c r="F1982" s="3">
        <f>IFERROR(__xludf.DUMMYFUNCTION("""COMPUTED_VALUE"""),62931.0)</f>
        <v>62931</v>
      </c>
      <c r="G1982" s="2" t="str">
        <f>IFERROR(__xludf.DUMMYFUNCTION("""COMPUTED_VALUE"""),"Ananda Pradhan")</f>
        <v>Ananda Pradhan</v>
      </c>
      <c r="H1982" s="2" t="str">
        <f>IFERROR(__xludf.DUMMYFUNCTION("""COMPUTED_VALUE"""),"Sangamchowk, New Baneshower, Kathmandu")</f>
        <v>Sangamchowk, New Baneshower, Kathmandu</v>
      </c>
      <c r="I1982" s="2" t="str">
        <f>IFERROR(__xludf.DUMMYFUNCTION("""COMPUTED_VALUE"""),"27o 21' 00""")</f>
        <v>27o 21' 00"</v>
      </c>
      <c r="J1982" s="2" t="str">
        <f>IFERROR(__xludf.DUMMYFUNCTION("""COMPUTED_VALUE"""),"27o 21' 49""")</f>
        <v>27o 21' 49"</v>
      </c>
      <c r="K1982" s="2" t="str">
        <f>IFERROR(__xludf.DUMMYFUNCTION("""COMPUTED_VALUE"""),"86o 24' 36""")</f>
        <v>86o 24' 36"</v>
      </c>
      <c r="L1982" s="2" t="str">
        <f>IFERROR(__xludf.DUMMYFUNCTION("""COMPUTED_VALUE"""),"86o 25' 41""")</f>
        <v>86o 25' 41"</v>
      </c>
      <c r="M1982" s="2" t="str">
        <f>IFERROR(__xludf.DUMMYFUNCTION("""COMPUTED_VALUE"""),"Harkapur,Prapchan (Okhaldhunga)")</f>
        <v>Harkapur,Prapchan (Okhaldhunga)</v>
      </c>
    </row>
    <row r="1983">
      <c r="A1983" s="2">
        <f>IFERROR(__xludf.DUMMYFUNCTION("""COMPUTED_VALUE"""),1982.0)</f>
        <v>1982</v>
      </c>
      <c r="B1983" s="2" t="str">
        <f>IFERROR(__xludf.DUMMYFUNCTION("""COMPUTED_VALUE"""),"Seti Hemja HPP")</f>
        <v>Seti Hemja HPP</v>
      </c>
      <c r="C1983" s="2">
        <f>IFERROR(__xludf.DUMMYFUNCTION("""COMPUTED_VALUE"""),22.0)</f>
        <v>22</v>
      </c>
      <c r="D1983" s="2" t="str">
        <f>IFERROR(__xludf.DUMMYFUNCTION("""COMPUTED_VALUE"""),"Seti Khola")</f>
        <v>Seti Khola</v>
      </c>
      <c r="E1983" s="2">
        <f>IFERROR(__xludf.DUMMYFUNCTION("""COMPUTED_VALUE"""),513.0)</f>
        <v>513</v>
      </c>
      <c r="F1983" s="3">
        <f>IFERROR(__xludf.DUMMYFUNCTION("""COMPUTED_VALUE"""),62933.0)</f>
        <v>62933</v>
      </c>
      <c r="G1983" s="2" t="str">
        <f>IFERROR(__xludf.DUMMYFUNCTION("""COMPUTED_VALUE"""),"Machhapuchhre Hydropower Development Com.Pvt.Ltd")</f>
        <v>Machhapuchhre Hydropower Development Com.Pvt.Ltd</v>
      </c>
      <c r="H1983" s="2" t="str">
        <f>IFERROR(__xludf.DUMMYFUNCTION("""COMPUTED_VALUE"""),"Kathmandu-35, Subidhanagar, Tinkune")</f>
        <v>Kathmandu-35, Subidhanagar, Tinkune</v>
      </c>
      <c r="I1983" s="2" t="str">
        <f>IFERROR(__xludf.DUMMYFUNCTION("""COMPUTED_VALUE"""),"28o 15' 10""")</f>
        <v>28o 15' 10"</v>
      </c>
      <c r="J1983" s="2" t="str">
        <f>IFERROR(__xludf.DUMMYFUNCTION("""COMPUTED_VALUE"""),"28o 18' 00""")</f>
        <v>28o 18' 00"</v>
      </c>
      <c r="K1983" s="2" t="str">
        <f>IFERROR(__xludf.DUMMYFUNCTION("""COMPUTED_VALUE"""),"83o 55' 00""")</f>
        <v>83o 55' 00"</v>
      </c>
      <c r="L1983" s="2" t="str">
        <f>IFERROR(__xludf.DUMMYFUNCTION("""COMPUTED_VALUE"""),"83o 59' 00""")</f>
        <v>83o 59' 00"</v>
      </c>
      <c r="M1983" s="2" t="str">
        <f>IFERROR(__xludf.DUMMYFUNCTION("""COMPUTED_VALUE"""),"Hemaja,Purachaur (Kaski)")</f>
        <v>Hemaja,Purachaur (Kaski)</v>
      </c>
    </row>
    <row r="1984">
      <c r="A1984" s="2">
        <f>IFERROR(__xludf.DUMMYFUNCTION("""COMPUTED_VALUE"""),1983.0)</f>
        <v>1983</v>
      </c>
      <c r="B1984" s="2" t="str">
        <f>IFERROR(__xludf.DUMMYFUNCTION("""COMPUTED_VALUE"""),"Madi-A Hydropower Project")</f>
        <v>Madi-A Hydropower Project</v>
      </c>
      <c r="C1984" s="2">
        <f>IFERROR(__xludf.DUMMYFUNCTION("""COMPUTED_VALUE"""),14.0)</f>
        <v>14</v>
      </c>
      <c r="D1984" s="2" t="str">
        <f>IFERROR(__xludf.DUMMYFUNCTION("""COMPUTED_VALUE"""),"Madi Khola")</f>
        <v>Madi Khola</v>
      </c>
      <c r="E1984" s="2">
        <f>IFERROR(__xludf.DUMMYFUNCTION("""COMPUTED_VALUE"""),526.0)</f>
        <v>526</v>
      </c>
      <c r="F1984" s="3">
        <f>IFERROR(__xludf.DUMMYFUNCTION("""COMPUTED_VALUE"""),62934.0)</f>
        <v>62934</v>
      </c>
      <c r="G1984" s="2" t="str">
        <f>IFERROR(__xludf.DUMMYFUNCTION("""COMPUTED_VALUE"""),"Global Multi Energy Development Com. Pvt Ltd")</f>
        <v>Global Multi Energy Development Com. Pvt Ltd</v>
      </c>
      <c r="H1984" s="2" t="str">
        <f>IFERROR(__xludf.DUMMYFUNCTION("""COMPUTED_VALUE"""),"Kathmandu-35, Subidhanagar, Tinkune")</f>
        <v>Kathmandu-35, Subidhanagar, Tinkune</v>
      </c>
      <c r="I1984" s="2" t="str">
        <f>IFERROR(__xludf.DUMMYFUNCTION("""COMPUTED_VALUE"""),"28o 12' 30""")</f>
        <v>28o 12' 30"</v>
      </c>
      <c r="J1984" s="2" t="str">
        <f>IFERROR(__xludf.DUMMYFUNCTION("""COMPUTED_VALUE"""),"28o 13' 20""")</f>
        <v>28o 13' 20"</v>
      </c>
      <c r="K1984" s="2" t="str">
        <f>IFERROR(__xludf.DUMMYFUNCTION("""COMPUTED_VALUE"""),"84o 06' 40""")</f>
        <v>84o 06' 40"</v>
      </c>
      <c r="L1984" s="2" t="str">
        <f>IFERROR(__xludf.DUMMYFUNCTION("""COMPUTED_VALUE"""),"84o 09' 30""")</f>
        <v>84o 09' 30"</v>
      </c>
      <c r="M1984" s="2" t="str">
        <f>IFERROR(__xludf.DUMMYFUNCTION("""COMPUTED_VALUE"""),"Majhthana,Saimrang (Kaski)")</f>
        <v>Majhthana,Saimrang (Kaski)</v>
      </c>
    </row>
    <row r="1985">
      <c r="A1985" s="2">
        <f>IFERROR(__xludf.DUMMYFUNCTION("""COMPUTED_VALUE"""),1984.0)</f>
        <v>1984</v>
      </c>
      <c r="B1985" s="2" t="str">
        <f>IFERROR(__xludf.DUMMYFUNCTION("""COMPUTED_VALUE"""),"Upper Rurubanchu Khola Small HPP")</f>
        <v>Upper Rurubanchu Khola Small HPP</v>
      </c>
      <c r="C1985" s="2">
        <f>IFERROR(__xludf.DUMMYFUNCTION("""COMPUTED_VALUE"""),5.0)</f>
        <v>5</v>
      </c>
      <c r="D1985" s="2" t="str">
        <f>IFERROR(__xludf.DUMMYFUNCTION("""COMPUTED_VALUE"""),"Rurubanchu Khola")</f>
        <v>Rurubanchu Khola</v>
      </c>
      <c r="E1985" s="2">
        <f>IFERROR(__xludf.DUMMYFUNCTION("""COMPUTED_VALUE"""),539.0)</f>
        <v>539</v>
      </c>
      <c r="F1985" s="3">
        <f>IFERROR(__xludf.DUMMYFUNCTION("""COMPUTED_VALUE"""),62935.0)</f>
        <v>62935</v>
      </c>
      <c r="G1985" s="2" t="str">
        <f>IFERROR(__xludf.DUMMYFUNCTION("""COMPUTED_VALUE"""),"Siddhababa Hydropower Com.Pvt.ltd")</f>
        <v>Siddhababa Hydropower Com.Pvt.ltd</v>
      </c>
      <c r="H1985" s="2" t="str">
        <f>IFERROR(__xludf.DUMMYFUNCTION("""COMPUTED_VALUE"""),"Balaju-16, Kathmandu")</f>
        <v>Balaju-16, Kathmandu</v>
      </c>
      <c r="I1985" s="2" t="str">
        <f>IFERROR(__xludf.DUMMYFUNCTION("""COMPUTED_VALUE"""),"29o 05' 56""")</f>
        <v>29o 05' 56"</v>
      </c>
      <c r="J1985" s="2" t="str">
        <f>IFERROR(__xludf.DUMMYFUNCTION("""COMPUTED_VALUE"""),"29o 06' 27""")</f>
        <v>29o 06' 27"</v>
      </c>
      <c r="K1985" s="2" t="str">
        <f>IFERROR(__xludf.DUMMYFUNCTION("""COMPUTED_VALUE"""),"81o 48' 39""")</f>
        <v>81o 48' 39"</v>
      </c>
      <c r="L1985" s="2" t="str">
        <f>IFERROR(__xludf.DUMMYFUNCTION("""COMPUTED_VALUE"""),"81o 50' 54""")</f>
        <v>81o 50' 54"</v>
      </c>
      <c r="M1985" s="2" t="str">
        <f>IFERROR(__xludf.DUMMYFUNCTION("""COMPUTED_VALUE"""),"Chilkhaya (Kalikot)")</f>
        <v>Chilkhaya (Kalikot)</v>
      </c>
    </row>
    <row r="1986">
      <c r="A1986" s="2">
        <f>IFERROR(__xludf.DUMMYFUNCTION("""COMPUTED_VALUE"""),1985.0)</f>
        <v>1985</v>
      </c>
      <c r="B1986" s="2" t="str">
        <f>IFERROR(__xludf.DUMMYFUNCTION("""COMPUTED_VALUE"""),"Madame Khola Small HPP")</f>
        <v>Madame Khola Small HPP</v>
      </c>
      <c r="C1986" s="2">
        <f>IFERROR(__xludf.DUMMYFUNCTION("""COMPUTED_VALUE"""),0.99)</f>
        <v>0.99</v>
      </c>
      <c r="D1986" s="2" t="str">
        <f>IFERROR(__xludf.DUMMYFUNCTION("""COMPUTED_VALUE"""),"Madame Khola")</f>
        <v>Madame Khola</v>
      </c>
      <c r="E1986" s="2">
        <f>IFERROR(__xludf.DUMMYFUNCTION("""COMPUTED_VALUE"""),627.0)</f>
        <v>627</v>
      </c>
      <c r="F1986" s="3">
        <f>IFERROR(__xludf.DUMMYFUNCTION("""COMPUTED_VALUE"""),62941.0)</f>
        <v>62941</v>
      </c>
      <c r="G1986" s="2" t="str">
        <f>IFERROR(__xludf.DUMMYFUNCTION("""COMPUTED_VALUE"""),"Rajendra Prasad Tiwar")</f>
        <v>Rajendra Prasad Tiwar</v>
      </c>
      <c r="H1986" s="2" t="str">
        <f>IFERROR(__xludf.DUMMYFUNCTION("""COMPUTED_VALUE"""),"Kadaghari, Gothatar VDC. kathmandu")</f>
        <v>Kadaghari, Gothatar VDC. kathmandu</v>
      </c>
      <c r="I1986" s="2" t="str">
        <f>IFERROR(__xludf.DUMMYFUNCTION("""COMPUTED_VALUE"""),"28o 25' 00""")</f>
        <v>28o 25' 00"</v>
      </c>
      <c r="J1986" s="2" t="str">
        <f>IFERROR(__xludf.DUMMYFUNCTION("""COMPUTED_VALUE"""),"29o 26' 00""")</f>
        <v>29o 26' 00"</v>
      </c>
      <c r="K1986" s="2" t="str">
        <f>IFERROR(__xludf.DUMMYFUNCTION("""COMPUTED_VALUE"""),"84o 07' 00""")</f>
        <v>84o 07' 00"</v>
      </c>
      <c r="L1986" s="2" t="str">
        <f>IFERROR(__xludf.DUMMYFUNCTION("""COMPUTED_VALUE"""),"84o 08' 20""")</f>
        <v>84o 08' 20"</v>
      </c>
      <c r="M1986" s="2" t="str">
        <f>IFERROR(__xludf.DUMMYFUNCTION("""COMPUTED_VALUE"""),"Namarjung (Kaski)")</f>
        <v>Namarjung (Kaski)</v>
      </c>
    </row>
    <row r="1987">
      <c r="A1987" s="2">
        <f>IFERROR(__xludf.DUMMYFUNCTION("""COMPUTED_VALUE"""),1986.0)</f>
        <v>1986</v>
      </c>
      <c r="B1987" s="2" t="str">
        <f>IFERROR(__xludf.DUMMYFUNCTION("""COMPUTED_VALUE"""),"Bhadauli Khola Small HPP")</f>
        <v>Bhadauli Khola Small HPP</v>
      </c>
      <c r="C1987" s="2">
        <f>IFERROR(__xludf.DUMMYFUNCTION("""COMPUTED_VALUE"""),4.5)</f>
        <v>4.5</v>
      </c>
      <c r="D1987" s="2" t="str">
        <f>IFERROR(__xludf.DUMMYFUNCTION("""COMPUTED_VALUE"""),"Bhadauli Khola")</f>
        <v>Bhadauli Khola</v>
      </c>
      <c r="E1987" s="2">
        <f>IFERROR(__xludf.DUMMYFUNCTION("""COMPUTED_VALUE"""),653.0)</f>
        <v>653</v>
      </c>
      <c r="F1987" s="3">
        <f>IFERROR(__xludf.DUMMYFUNCTION("""COMPUTED_VALUE"""),62942.0)</f>
        <v>62942</v>
      </c>
      <c r="G1987" s="2" t="str">
        <f>IFERROR(__xludf.DUMMYFUNCTION("""COMPUTED_VALUE"""),"Bhadauli Khola Hydropower Pvt ltd")</f>
        <v>Bhadauli Khola Hydropower Pvt ltd</v>
      </c>
      <c r="H1987" s="2" t="str">
        <f>IFERROR(__xludf.DUMMYFUNCTION("""COMPUTED_VALUE"""),"Banasthali,Balaju, Kathmandu-16")</f>
        <v>Banasthali,Balaju, Kathmandu-16</v>
      </c>
      <c r="I1987" s="2" t="str">
        <f>IFERROR(__xludf.DUMMYFUNCTION("""COMPUTED_VALUE"""),"28o 22' 30""")</f>
        <v>28o 22' 30"</v>
      </c>
      <c r="J1987" s="2" t="str">
        <f>IFERROR(__xludf.DUMMYFUNCTION("""COMPUTED_VALUE"""),"28o 23' 30""")</f>
        <v>28o 23' 30"</v>
      </c>
      <c r="K1987" s="2" t="str">
        <f>IFERROR(__xludf.DUMMYFUNCTION("""COMPUTED_VALUE"""),"83o 57' 36""")</f>
        <v>83o 57' 36"</v>
      </c>
      <c r="L1987" s="2" t="str">
        <f>IFERROR(__xludf.DUMMYFUNCTION("""COMPUTED_VALUE"""),"83o 58' 30""")</f>
        <v>83o 58' 30"</v>
      </c>
      <c r="M1987" s="2" t="str">
        <f>IFERROR(__xludf.DUMMYFUNCTION("""COMPUTED_VALUE"""),"Machhapuchchhre (Kaski)")</f>
        <v>Machhapuchchhre (Kaski)</v>
      </c>
    </row>
    <row r="1988">
      <c r="A1988" s="2">
        <f>IFERROR(__xludf.DUMMYFUNCTION("""COMPUTED_VALUE"""),1987.0)</f>
        <v>1987</v>
      </c>
      <c r="B1988" s="2" t="str">
        <f>IFERROR(__xludf.DUMMYFUNCTION("""COMPUTED_VALUE"""),"Myardi Khola HPP")</f>
        <v>Myardi Khola HPP</v>
      </c>
      <c r="C1988" s="2">
        <f>IFERROR(__xludf.DUMMYFUNCTION("""COMPUTED_VALUE"""),25.0)</f>
        <v>25</v>
      </c>
      <c r="D1988" s="2" t="str">
        <f>IFERROR(__xludf.DUMMYFUNCTION("""COMPUTED_VALUE"""),"Myardi Khola")</f>
        <v>Myardi Khola</v>
      </c>
      <c r="E1988" s="2">
        <f>IFERROR(__xludf.DUMMYFUNCTION("""COMPUTED_VALUE"""),739.0)</f>
        <v>739</v>
      </c>
      <c r="F1988" s="3">
        <f>IFERROR(__xludf.DUMMYFUNCTION("""COMPUTED_VALUE"""),62945.0)</f>
        <v>62945</v>
      </c>
      <c r="G1988" s="2" t="str">
        <f>IFERROR(__xludf.DUMMYFUNCTION("""COMPUTED_VALUE"""),"Infrastructure Development Fund Pvt.ltd.")</f>
        <v>Infrastructure Development Fund Pvt.ltd.</v>
      </c>
      <c r="H1988" s="2" t="str">
        <f>IFERROR(__xludf.DUMMYFUNCTION("""COMPUTED_VALUE"""),"Heritage PlazaII, Block(D&amp;D), Kamaladi,Kathmandu.41169116, Fax 41169118")</f>
        <v>Heritage PlazaII, Block(D&amp;D), Kamaladi,Kathmandu.41169116, Fax 41169118</v>
      </c>
      <c r="I1988" s="2" t="str">
        <f>IFERROR(__xludf.DUMMYFUNCTION("""COMPUTED_VALUE"""),"28o 26' 34""")</f>
        <v>28o 26' 34"</v>
      </c>
      <c r="J1988" s="2" t="str">
        <f>IFERROR(__xludf.DUMMYFUNCTION("""COMPUTED_VALUE"""),"28o 27' 30""")</f>
        <v>28o 27' 30"</v>
      </c>
      <c r="K1988" s="2" t="str">
        <f>IFERROR(__xludf.DUMMYFUNCTION("""COMPUTED_VALUE"""),"84o 19' 36""")</f>
        <v>84o 19' 36"</v>
      </c>
      <c r="L1988" s="2" t="str">
        <f>IFERROR(__xludf.DUMMYFUNCTION("""COMPUTED_VALUE"""),"84o 22' 23""")</f>
        <v>84o 22' 23"</v>
      </c>
      <c r="M1988" s="2" t="str">
        <f>IFERROR(__xludf.DUMMYFUNCTION("""COMPUTED_VALUE"""),"Taghring (Lamjung)")</f>
        <v>Taghring (Lamjung)</v>
      </c>
    </row>
    <row r="1989">
      <c r="A1989" s="2">
        <f>IFERROR(__xludf.DUMMYFUNCTION("""COMPUTED_VALUE"""),1988.0)</f>
        <v>1988</v>
      </c>
      <c r="B1989" s="2" t="str">
        <f>IFERROR(__xludf.DUMMYFUNCTION("""COMPUTED_VALUE"""),"Bauli Gad HPP")</f>
        <v>Bauli Gad HPP</v>
      </c>
      <c r="C1989" s="2">
        <f>IFERROR(__xludf.DUMMYFUNCTION("""COMPUTED_VALUE"""),3.0)</f>
        <v>3</v>
      </c>
      <c r="D1989" s="2" t="str">
        <f>IFERROR(__xludf.DUMMYFUNCTION("""COMPUTED_VALUE"""),"Bauli Gad")</f>
        <v>Bauli Gad</v>
      </c>
      <c r="E1989" s="2">
        <f>IFERROR(__xludf.DUMMYFUNCTION("""COMPUTED_VALUE"""),917.0)</f>
        <v>917</v>
      </c>
      <c r="F1989" s="3">
        <f>IFERROR(__xludf.DUMMYFUNCTION("""COMPUTED_VALUE"""),62955.0)</f>
        <v>62955</v>
      </c>
      <c r="G1989" s="2" t="str">
        <f>IFERROR(__xludf.DUMMYFUNCTION("""COMPUTED_VALUE"""),"Shurma Devi Hydropower P.Ltd")</f>
        <v>Shurma Devi Hydropower P.Ltd</v>
      </c>
      <c r="H1989" s="2" t="str">
        <f>IFERROR(__xludf.DUMMYFUNCTION("""COMPUTED_VALUE"""),"New Baneshower, Kathmandu-10, PO Box No.7432")</f>
        <v>New Baneshower, Kathmandu-10, PO Box No.7432</v>
      </c>
      <c r="I1989" s="2" t="str">
        <f>IFERROR(__xludf.DUMMYFUNCTION("""COMPUTED_VALUE"""),"29o 31' 50""")</f>
        <v>29o 31' 50"</v>
      </c>
      <c r="J1989" s="2" t="str">
        <f>IFERROR(__xludf.DUMMYFUNCTION("""COMPUTED_VALUE"""),"29o 34' 48""")</f>
        <v>29o 34' 48"</v>
      </c>
      <c r="K1989" s="2" t="str">
        <f>IFERROR(__xludf.DUMMYFUNCTION("""COMPUTED_VALUE"""),"81o 09' 20""")</f>
        <v>81o 09' 20"</v>
      </c>
      <c r="L1989" s="2" t="str">
        <f>IFERROR(__xludf.DUMMYFUNCTION("""COMPUTED_VALUE"""),"81o 11' 53""")</f>
        <v>81o 11' 53"</v>
      </c>
      <c r="M1989" s="2" t="str">
        <f>IFERROR(__xludf.DUMMYFUNCTION("""COMPUTED_VALUE"""),"Chainpur,Rithapata (Bajhang)")</f>
        <v>Chainpur,Rithapata (Bajhang)</v>
      </c>
    </row>
    <row r="1990">
      <c r="A1990" s="2">
        <f>IFERROR(__xludf.DUMMYFUNCTION("""COMPUTED_VALUE"""),1989.0)</f>
        <v>1989</v>
      </c>
      <c r="B1990" s="2" t="str">
        <f>IFERROR(__xludf.DUMMYFUNCTION("""COMPUTED_VALUE"""),"Upper Rawa Khola Small HPP")</f>
        <v>Upper Rawa Khola Small HPP</v>
      </c>
      <c r="C1990" s="2">
        <f>IFERROR(__xludf.DUMMYFUNCTION("""COMPUTED_VALUE"""),0.997)</f>
        <v>0.997</v>
      </c>
      <c r="D1990" s="2" t="str">
        <f>IFERROR(__xludf.DUMMYFUNCTION("""COMPUTED_VALUE"""),"Rawa Khola")</f>
        <v>Rawa Khola</v>
      </c>
      <c r="E1990" s="2">
        <f>IFERROR(__xludf.DUMMYFUNCTION("""COMPUTED_VALUE"""),636.0)</f>
        <v>636</v>
      </c>
      <c r="F1990" s="3">
        <f>IFERROR(__xludf.DUMMYFUNCTION("""COMPUTED_VALUE"""),62972.0)</f>
        <v>62972</v>
      </c>
      <c r="G1990" s="2" t="str">
        <f>IFERROR(__xludf.DUMMYFUNCTION("""COMPUTED_VALUE"""),"Rawakhola Krishi Urja Sahakarya Com. pvt ltd")</f>
        <v>Rawakhola Krishi Urja Sahakarya Com. pvt ltd</v>
      </c>
      <c r="H1990" s="2" t="str">
        <f>IFERROR(__xludf.DUMMYFUNCTION("""COMPUTED_VALUE"""),"Makpa-2, Mateuli, Khotang")</f>
        <v>Makpa-2, Mateuli, Khotang</v>
      </c>
      <c r="I1990" s="2" t="str">
        <f>IFERROR(__xludf.DUMMYFUNCTION("""COMPUTED_VALUE"""),"27o 19' 06""")</f>
        <v>27o 19' 06"</v>
      </c>
      <c r="J1990" s="2" t="str">
        <f>IFERROR(__xludf.DUMMYFUNCTION("""COMPUTED_VALUE"""),"27o 20' 16""")</f>
        <v>27o 20' 16"</v>
      </c>
      <c r="K1990" s="2" t="str">
        <f>IFERROR(__xludf.DUMMYFUNCTION("""COMPUTED_VALUE"""),"86o 45' 42""")</f>
        <v>86o 45' 42"</v>
      </c>
      <c r="L1990" s="2" t="str">
        <f>IFERROR(__xludf.DUMMYFUNCTION("""COMPUTED_VALUE"""),"86o 47' 03""")</f>
        <v>86o 47' 03"</v>
      </c>
      <c r="M1990" s="2" t="str">
        <f>IFERROR(__xludf.DUMMYFUNCTION("""COMPUTED_VALUE"""),"Jalapa,Sapteswor (Khotang)")</f>
        <v>Jalapa,Sapteswor (Khotang)</v>
      </c>
    </row>
    <row r="1991">
      <c r="A1991" s="2">
        <f>IFERROR(__xludf.DUMMYFUNCTION("""COMPUTED_VALUE"""),1990.0)</f>
        <v>1990</v>
      </c>
      <c r="B1991" s="2" t="str">
        <f>IFERROR(__xludf.DUMMYFUNCTION("""COMPUTED_VALUE"""),"Khimti Shivalaya Small Hydropower Project")</f>
        <v>Khimti Shivalaya Small Hydropower Project</v>
      </c>
      <c r="C1991" s="2">
        <f>IFERROR(__xludf.DUMMYFUNCTION("""COMPUTED_VALUE"""),5.0)</f>
        <v>5</v>
      </c>
      <c r="D1991" s="2" t="str">
        <f>IFERROR(__xludf.DUMMYFUNCTION("""COMPUTED_VALUE"""),"Khimti Khola")</f>
        <v>Khimti Khola</v>
      </c>
      <c r="E1991" s="2">
        <f>IFERROR(__xludf.DUMMYFUNCTION("""COMPUTED_VALUE"""),1397.0)</f>
        <v>1397</v>
      </c>
      <c r="F1991" s="3">
        <f>IFERROR(__xludf.DUMMYFUNCTION("""COMPUTED_VALUE"""),62997.0)</f>
        <v>62997</v>
      </c>
      <c r="G1991" s="2" t="str">
        <f>IFERROR(__xludf.DUMMYFUNCTION("""COMPUTED_VALUE"""),"Himalaya Urja Bikash Company Ltd.")</f>
        <v>Himalaya Urja Bikash Company Ltd.</v>
      </c>
      <c r="H1991" s="2" t="str">
        <f>IFERROR(__xludf.DUMMYFUNCTION("""COMPUTED_VALUE"""),"Subishanagar, Tinkune-35, Kathmandu,Nepal.GPO 8973 NPC868,4111853")</f>
        <v>Subishanagar, Tinkune-35, Kathmandu,Nepal.GPO 8973 NPC868,4111853</v>
      </c>
      <c r="I1991" s="2" t="str">
        <f>IFERROR(__xludf.DUMMYFUNCTION("""COMPUTED_VALUE"""),"27o 35' 27""")</f>
        <v>27o 35' 27"</v>
      </c>
      <c r="J1991" s="2" t="str">
        <f>IFERROR(__xludf.DUMMYFUNCTION("""COMPUTED_VALUE"""),"27o 38' 20""")</f>
        <v>27o 38' 20"</v>
      </c>
      <c r="K1991" s="2" t="str">
        <f>IFERROR(__xludf.DUMMYFUNCTION("""COMPUTED_VALUE"""),"86o 16' 50""")</f>
        <v>86o 16' 50"</v>
      </c>
      <c r="L1991" s="2" t="str">
        <f>IFERROR(__xludf.DUMMYFUNCTION("""COMPUTED_VALUE"""),"86o 20' 10""")</f>
        <v>86o 20' 10"</v>
      </c>
      <c r="M1991" s="2" t="str">
        <f>IFERROR(__xludf.DUMMYFUNCTION("""COMPUTED_VALUE"""),"Chuchure (Ramechhap)")</f>
        <v>Chuchure (Ramechhap)</v>
      </c>
    </row>
    <row r="1992">
      <c r="A1992" s="2">
        <f>IFERROR(__xludf.DUMMYFUNCTION("""COMPUTED_VALUE"""),1991.0)</f>
        <v>1991</v>
      </c>
      <c r="B1992" s="2" t="str">
        <f>IFERROR(__xludf.DUMMYFUNCTION("""COMPUTED_VALUE"""),"Lohare Khola-A HPP")</f>
        <v>Lohare Khola-A HPP</v>
      </c>
      <c r="C1992" s="2">
        <f>IFERROR(__xludf.DUMMYFUNCTION("""COMPUTED_VALUE"""),0.99)</f>
        <v>0.99</v>
      </c>
      <c r="D1992" s="2" t="str">
        <f>IFERROR(__xludf.DUMMYFUNCTION("""COMPUTED_VALUE"""),"Lohare Khola")</f>
        <v>Lohare Khola</v>
      </c>
      <c r="E1992" s="2">
        <f>IFERROR(__xludf.DUMMYFUNCTION("""COMPUTED_VALUE"""),1565.0)</f>
        <v>1565</v>
      </c>
      <c r="F1992" s="3">
        <f>IFERROR(__xludf.DUMMYFUNCTION("""COMPUTED_VALUE"""),63020.0)</f>
        <v>63020</v>
      </c>
      <c r="G1992" s="2" t="str">
        <f>IFERROR(__xludf.DUMMYFUNCTION("""COMPUTED_VALUE"""),"Mohan Bikram Karki")</f>
        <v>Mohan Bikram Karki</v>
      </c>
      <c r="H1992" s="2" t="str">
        <f>IFERROR(__xludf.DUMMYFUNCTION("""COMPUTED_VALUE"""),"New Baneshor-10, Thapagaun,kathmandu")</f>
        <v>New Baneshor-10, Thapagaun,kathmandu</v>
      </c>
      <c r="I1992" s="2" t="str">
        <f>IFERROR(__xludf.DUMMYFUNCTION("""COMPUTED_VALUE"""),"28o 55' 00""")</f>
        <v>28o 55' 00"</v>
      </c>
      <c r="J1992" s="2" t="str">
        <f>IFERROR(__xludf.DUMMYFUNCTION("""COMPUTED_VALUE"""),"28o 55' 23""")</f>
        <v>28o 55' 23"</v>
      </c>
      <c r="K1992" s="2" t="str">
        <f>IFERROR(__xludf.DUMMYFUNCTION("""COMPUTED_VALUE"""),"81o 48' 51""")</f>
        <v>81o 48' 51"</v>
      </c>
      <c r="L1992" s="2" t="str">
        <f>IFERROR(__xludf.DUMMYFUNCTION("""COMPUTED_VALUE"""),"81o 49' 13""")</f>
        <v>81o 49' 13"</v>
      </c>
      <c r="M1992" s="2" t="str">
        <f>IFERROR(__xludf.DUMMYFUNCTION("""COMPUTED_VALUE"""),"Baluwatar (Dailekh)")</f>
        <v>Baluwatar (Dailekh)</v>
      </c>
    </row>
    <row r="1993">
      <c r="A1993" s="2">
        <f>IFERROR(__xludf.DUMMYFUNCTION("""COMPUTED_VALUE"""),1992.0)</f>
        <v>1992</v>
      </c>
      <c r="B1993" s="2" t="str">
        <f>IFERROR(__xludf.DUMMYFUNCTION("""COMPUTED_VALUE"""),"Super Daraudi Small HPP")</f>
        <v>Super Daraudi Small HPP</v>
      </c>
      <c r="C1993" s="2">
        <f>IFERROR(__xludf.DUMMYFUNCTION("""COMPUTED_VALUE"""),4.467)</f>
        <v>4.467</v>
      </c>
      <c r="D1993" s="2" t="str">
        <f>IFERROR(__xludf.DUMMYFUNCTION("""COMPUTED_VALUE"""),"Daraudi")</f>
        <v>Daraudi</v>
      </c>
      <c r="E1993" s="2">
        <f>IFERROR(__xludf.DUMMYFUNCTION("""COMPUTED_VALUE"""),1650.0)</f>
        <v>1650</v>
      </c>
      <c r="F1993" s="3">
        <f>IFERROR(__xludf.DUMMYFUNCTION("""COMPUTED_VALUE"""),63024.0)</f>
        <v>63024</v>
      </c>
      <c r="G1993" s="2" t="str">
        <f>IFERROR(__xludf.DUMMYFUNCTION("""COMPUTED_VALUE"""),"Purple Sea Hydro P.Ltd.")</f>
        <v>Purple Sea Hydro P.Ltd.</v>
      </c>
      <c r="H1993" s="2" t="str">
        <f>IFERROR(__xludf.DUMMYFUNCTION("""COMPUTED_VALUE"""),"Satdobato ,Lalitpur")</f>
        <v>Satdobato ,Lalitpur</v>
      </c>
      <c r="I1993" s="2" t="str">
        <f>IFERROR(__xludf.DUMMYFUNCTION("""COMPUTED_VALUE"""),"27o 53' 55""")</f>
        <v>27o 53' 55"</v>
      </c>
      <c r="J1993" s="2" t="str">
        <f>IFERROR(__xludf.DUMMYFUNCTION("""COMPUTED_VALUE"""),"27o 55' 08""")</f>
        <v>27o 55' 08"</v>
      </c>
      <c r="K1993" s="2" t="str">
        <f>IFERROR(__xludf.DUMMYFUNCTION("""COMPUTED_VALUE"""),"84o 32' 17""")</f>
        <v>84o 32' 17"</v>
      </c>
      <c r="L1993" s="2" t="str">
        <f>IFERROR(__xludf.DUMMYFUNCTION("""COMPUTED_VALUE"""),"84o 33' 30""")</f>
        <v>84o 33' 30"</v>
      </c>
      <c r="M1993" s="2" t="str">
        <f>IFERROR(__xludf.DUMMYFUNCTION("""COMPUTED_VALUE"""),"Deurali,Manakamana (Gorkha)")</f>
        <v>Deurali,Manakamana (Gorkha)</v>
      </c>
    </row>
    <row r="1994">
      <c r="A1994" s="2">
        <f>IFERROR(__xludf.DUMMYFUNCTION("""COMPUTED_VALUE"""),1993.0)</f>
        <v>1993</v>
      </c>
      <c r="B1994" s="2" t="str">
        <f>IFERROR(__xludf.DUMMYFUNCTION("""COMPUTED_VALUE"""),"Uper Jogmai HPP")</f>
        <v>Uper Jogmai HPP</v>
      </c>
      <c r="C1994" s="2">
        <f>IFERROR(__xludf.DUMMYFUNCTION("""COMPUTED_VALUE"""),4.9)</f>
        <v>4.9</v>
      </c>
      <c r="D1994" s="2" t="str">
        <f>IFERROR(__xludf.DUMMYFUNCTION("""COMPUTED_VALUE"""),"Jogmai,Mayum")</f>
        <v>Jogmai,Mayum</v>
      </c>
      <c r="E1994" s="2">
        <f>IFERROR(__xludf.DUMMYFUNCTION("""COMPUTED_VALUE"""),1669.0)</f>
        <v>1669</v>
      </c>
      <c r="F1994" s="3">
        <f>IFERROR(__xludf.DUMMYFUNCTION("""COMPUTED_VALUE"""),63025.0)</f>
        <v>63025</v>
      </c>
      <c r="G1994" s="2" t="str">
        <f>IFERROR(__xludf.DUMMYFUNCTION("""COMPUTED_VALUE"""),"Anup Acharya")</f>
        <v>Anup Acharya</v>
      </c>
      <c r="H1994" s="2" t="str">
        <f>IFERROR(__xludf.DUMMYFUNCTION("""COMPUTED_VALUE"""),"GPO 26153,Kantipath-21, Kathmandu")</f>
        <v>GPO 26153,Kantipath-21, Kathmandu</v>
      </c>
      <c r="I1994" s="2" t="str">
        <f>IFERROR(__xludf.DUMMYFUNCTION("""COMPUTED_VALUE"""),"26o 55' 24""")</f>
        <v>26o 55' 24"</v>
      </c>
      <c r="J1994" s="2" t="str">
        <f>IFERROR(__xludf.DUMMYFUNCTION("""COMPUTED_VALUE"""),"26o 57' 02""")</f>
        <v>26o 57' 02"</v>
      </c>
      <c r="K1994" s="2" t="str">
        <f>IFERROR(__xludf.DUMMYFUNCTION("""COMPUTED_VALUE"""),"88o 03' 06""")</f>
        <v>88o 03' 06"</v>
      </c>
      <c r="L1994" s="2" t="str">
        <f>IFERROR(__xludf.DUMMYFUNCTION("""COMPUTED_VALUE"""),"88o 04' 38""")</f>
        <v>88o 04' 38"</v>
      </c>
      <c r="M1994" s="2" t="str">
        <f>IFERROR(__xludf.DUMMYFUNCTION("""COMPUTED_VALUE"""),"Naya Bazar,Gorkhe (Ilam)")</f>
        <v>Naya Bazar,Gorkhe (Ilam)</v>
      </c>
    </row>
    <row r="1995">
      <c r="A1995" s="2">
        <f>IFERROR(__xludf.DUMMYFUNCTION("""COMPUTED_VALUE"""),1994.0)</f>
        <v>1994</v>
      </c>
      <c r="B1995" s="2" t="str">
        <f>IFERROR(__xludf.DUMMYFUNCTION("""COMPUTED_VALUE"""),"Lower Rukum Gad HPP")</f>
        <v>Lower Rukum Gad HPP</v>
      </c>
      <c r="C1995" s="2">
        <f>IFERROR(__xludf.DUMMYFUNCTION("""COMPUTED_VALUE"""),4.98)</f>
        <v>4.98</v>
      </c>
      <c r="D1995" s="2" t="str">
        <f>IFERROR(__xludf.DUMMYFUNCTION("""COMPUTED_VALUE"""),"Rukum Gad")</f>
        <v>Rukum Gad</v>
      </c>
      <c r="E1995" s="2">
        <f>IFERROR(__xludf.DUMMYFUNCTION("""COMPUTED_VALUE"""),2334.0)</f>
        <v>2334</v>
      </c>
      <c r="F1995" s="3">
        <f>IFERROR(__xludf.DUMMYFUNCTION("""COMPUTED_VALUE"""),63079.0)</f>
        <v>63079</v>
      </c>
      <c r="G1995" s="2" t="str">
        <f>IFERROR(__xludf.DUMMYFUNCTION("""COMPUTED_VALUE"""),"CEDB Hydro Fund Limited")</f>
        <v>CEDB Hydro Fund Limited</v>
      </c>
      <c r="H1995" s="2" t="str">
        <f>IFERROR(__xludf.DUMMYFUNCTION("""COMPUTED_VALUE"""),"PO box 13961,Bluestar Complex,Tripuresor, Kathmandu 4101140,4251080")</f>
        <v>PO box 13961,Bluestar Complex,Tripuresor, Kathmandu 4101140,4251080</v>
      </c>
      <c r="I1995" s="2" t="str">
        <f>IFERROR(__xludf.DUMMYFUNCTION("""COMPUTED_VALUE"""),"28o 36' 55""")</f>
        <v>28o 36' 55"</v>
      </c>
      <c r="J1995" s="2" t="str">
        <f>IFERROR(__xludf.DUMMYFUNCTION("""COMPUTED_VALUE"""),"28o 38' 02""")</f>
        <v>28o 38' 02"</v>
      </c>
      <c r="K1995" s="2" t="str">
        <f>IFERROR(__xludf.DUMMYFUNCTION("""COMPUTED_VALUE"""),"82o 37' 30""")</f>
        <v>82o 37' 30"</v>
      </c>
      <c r="L1995" s="2" t="str">
        <f>IFERROR(__xludf.DUMMYFUNCTION("""COMPUTED_VALUE"""),"82o 39' 01""")</f>
        <v>82o 39' 01"</v>
      </c>
      <c r="M1995" s="2" t="str">
        <f>IFERROR(__xludf.DUMMYFUNCTION("""COMPUTED_VALUE"""),"Khara (Rukum)")</f>
        <v>Khara (Rukum)</v>
      </c>
    </row>
    <row r="1996">
      <c r="A1996" s="2">
        <f>IFERROR(__xludf.DUMMYFUNCTION("""COMPUTED_VALUE"""),1995.0)</f>
        <v>1995</v>
      </c>
      <c r="B1996" s="2" t="str">
        <f>IFERROR(__xludf.DUMMYFUNCTION("""COMPUTED_VALUE"""),"Gatte Khola Small HPP")</f>
        <v>Gatte Khola Small HPP</v>
      </c>
      <c r="C1996" s="2">
        <f>IFERROR(__xludf.DUMMYFUNCTION("""COMPUTED_VALUE"""),5.0)</f>
        <v>5</v>
      </c>
      <c r="D1996" s="2" t="str">
        <f>IFERROR(__xludf.DUMMYFUNCTION("""COMPUTED_VALUE"""),"Gatte Khola")</f>
        <v>Gatte Khola</v>
      </c>
      <c r="E1996" s="2">
        <f>IFERROR(__xludf.DUMMYFUNCTION("""COMPUTED_VALUE"""),2547.0)</f>
        <v>2547</v>
      </c>
      <c r="F1996" s="3">
        <f>IFERROR(__xludf.DUMMYFUNCTION("""COMPUTED_VALUE"""),63094.0)</f>
        <v>63094</v>
      </c>
      <c r="G1996" s="2" t="str">
        <f>IFERROR(__xludf.DUMMYFUNCTION("""COMPUTED_VALUE"""),"Nika Energy Pvt.Ltd.")</f>
        <v>Nika Energy Pvt.Ltd.</v>
      </c>
      <c r="H1996" s="2" t="str">
        <f>IFERROR(__xludf.DUMMYFUNCTION("""COMPUTED_VALUE"""),"House no.843,Kotesor -35, Kathmandu,5104002,9801098015")</f>
        <v>House no.843,Kotesor -35, Kathmandu,5104002,9801098015</v>
      </c>
      <c r="I1996" s="2" t="str">
        <f>IFERROR(__xludf.DUMMYFUNCTION("""COMPUTED_VALUE"""),"28o 15' 32""")</f>
        <v>28o 15' 32"</v>
      </c>
      <c r="J1996" s="2" t="str">
        <f>IFERROR(__xludf.DUMMYFUNCTION("""COMPUTED_VALUE"""),"28o 16' 13""")</f>
        <v>28o 16' 13"</v>
      </c>
      <c r="K1996" s="2" t="str">
        <f>IFERROR(__xludf.DUMMYFUNCTION("""COMPUTED_VALUE"""),"85o 22' 32""")</f>
        <v>85o 22' 32"</v>
      </c>
      <c r="L1996" s="2" t="str">
        <f>IFERROR(__xludf.DUMMYFUNCTION("""COMPUTED_VALUE"""),"85o 23' 37""")</f>
        <v>85o 23' 37"</v>
      </c>
      <c r="M1996" s="2" t="str">
        <f>IFERROR(__xludf.DUMMYFUNCTION("""COMPUTED_VALUE"""),"Timure (Rasuwa)")</f>
        <v>Timure (Rasuwa)</v>
      </c>
    </row>
    <row r="1997">
      <c r="A1997" s="2">
        <f>IFERROR(__xludf.DUMMYFUNCTION("""COMPUTED_VALUE"""),1996.0)</f>
        <v>1996</v>
      </c>
      <c r="B1997" s="2" t="str">
        <f>IFERROR(__xludf.DUMMYFUNCTION("""COMPUTED_VALUE"""),"Upper Mewa Hydroelectric Project")</f>
        <v>Upper Mewa Hydroelectric Project</v>
      </c>
      <c r="C1997" s="2">
        <f>IFERROR(__xludf.DUMMYFUNCTION("""COMPUTED_VALUE"""),4.9)</f>
        <v>4.9</v>
      </c>
      <c r="D1997" s="2" t="str">
        <f>IFERROR(__xludf.DUMMYFUNCTION("""COMPUTED_VALUE"""),"Mewa Khola")</f>
        <v>Mewa Khola</v>
      </c>
      <c r="E1997" s="2">
        <f>IFERROR(__xludf.DUMMYFUNCTION("""COMPUTED_VALUE"""),2998.0)</f>
        <v>2998</v>
      </c>
      <c r="F1997" s="3">
        <f>IFERROR(__xludf.DUMMYFUNCTION("""COMPUTED_VALUE"""),63125.0)</f>
        <v>63125</v>
      </c>
      <c r="G1997" s="2" t="str">
        <f>IFERROR(__xludf.DUMMYFUNCTION("""COMPUTED_VALUE"""),"Aagejung Bidhyth Com.Pvt.Ltd")</f>
        <v>Aagejung Bidhyth Com.Pvt.Ltd</v>
      </c>
      <c r="H1997" s="2" t="str">
        <f>IFERROR(__xludf.DUMMYFUNCTION("""COMPUTED_VALUE"""),"Kirtiput-1,kathmandu")</f>
        <v>Kirtiput-1,kathmandu</v>
      </c>
      <c r="I1997" s="2" t="str">
        <f>IFERROR(__xludf.DUMMYFUNCTION("""COMPUTED_VALUE"""),"27o 21' 08""")</f>
        <v>27o 21' 08"</v>
      </c>
      <c r="J1997" s="2" t="str">
        <f>IFERROR(__xludf.DUMMYFUNCTION("""COMPUTED_VALUE"""),"27o 25' 52""")</f>
        <v>27o 25' 52"</v>
      </c>
      <c r="K1997" s="2" t="str">
        <f>IFERROR(__xludf.DUMMYFUNCTION("""COMPUTED_VALUE"""),"86o 36' 17""")</f>
        <v>86o 36' 17"</v>
      </c>
      <c r="L1997" s="2" t="str">
        <f>IFERROR(__xludf.DUMMYFUNCTION("""COMPUTED_VALUE"""),"86o 37' 20""")</f>
        <v>86o 37' 20"</v>
      </c>
      <c r="M1997" s="2" t="str">
        <f>IFERROR(__xludf.DUMMYFUNCTION("""COMPUTED_VALUE"""),"Liwang,Nalbu,Sanwa,Thukima (Taplejung)")</f>
        <v>Liwang,Nalbu,Sanwa,Thukima (Taplejung)</v>
      </c>
    </row>
    <row r="1998">
      <c r="A1998" s="2">
        <f>IFERROR(__xludf.DUMMYFUNCTION("""COMPUTED_VALUE"""),1997.0)</f>
        <v>1997</v>
      </c>
      <c r="B1998" s="2" t="str">
        <f>IFERROR(__xludf.DUMMYFUNCTION("""COMPUTED_VALUE"""),"Middle Hewa Khola HPP")</f>
        <v>Middle Hewa Khola HPP</v>
      </c>
      <c r="C1998" s="2">
        <f>IFERROR(__xludf.DUMMYFUNCTION("""COMPUTED_VALUE"""),9.0)</f>
        <v>9</v>
      </c>
      <c r="D1998" s="2" t="str">
        <f>IFERROR(__xludf.DUMMYFUNCTION("""COMPUTED_VALUE"""),"Hewa Khola")</f>
        <v>Hewa Khola</v>
      </c>
      <c r="E1998" s="2">
        <f>IFERROR(__xludf.DUMMYFUNCTION("""COMPUTED_VALUE"""),3190.0)</f>
        <v>3190</v>
      </c>
      <c r="F1998" s="3">
        <f>IFERROR(__xludf.DUMMYFUNCTION("""COMPUTED_VALUE"""),63140.0)</f>
        <v>63140</v>
      </c>
      <c r="G1998" s="2" t="str">
        <f>IFERROR(__xludf.DUMMYFUNCTION("""COMPUTED_VALUE"""),"Barun Hydropower Com.Ltd.")</f>
        <v>Barun Hydropower Com.Ltd.</v>
      </c>
      <c r="H1998" s="2" t="str">
        <f>IFERROR(__xludf.DUMMYFUNCTION("""COMPUTED_VALUE"""),"Anamnagar-32,Kathmandu,")</f>
        <v>Anamnagar-32,Kathmandu,</v>
      </c>
      <c r="I1998" s="2" t="str">
        <f>IFERROR(__xludf.DUMMYFUNCTION("""COMPUTED_VALUE"""),"27o 17' 51""")</f>
        <v>27o 17' 51"</v>
      </c>
      <c r="J1998" s="2" t="str">
        <f>IFERROR(__xludf.DUMMYFUNCTION("""COMPUTED_VALUE"""),"27o 19' 29""")</f>
        <v>27o 19' 29"</v>
      </c>
      <c r="K1998" s="2" t="str">
        <f>IFERROR(__xludf.DUMMYFUNCTION("""COMPUTED_VALUE"""),"87o 16' 29""")</f>
        <v>87o 16' 29"</v>
      </c>
      <c r="L1998" s="2" t="str">
        <f>IFERROR(__xludf.DUMMYFUNCTION("""COMPUTED_VALUE"""),"87o 19' 00""")</f>
        <v>87o 19' 00"</v>
      </c>
      <c r="M1998" s="2" t="str">
        <f>IFERROR(__xludf.DUMMYFUNCTION("""COMPUTED_VALUE"""),"Chainpur,Bana (Sankhuwasabha)")</f>
        <v>Chainpur,Bana (Sankhuwasabha)</v>
      </c>
    </row>
    <row r="1999">
      <c r="A1999" s="2">
        <f>IFERROR(__xludf.DUMMYFUNCTION("""COMPUTED_VALUE"""),1998.0)</f>
        <v>1998</v>
      </c>
      <c r="B1999" s="2" t="str">
        <f>IFERROR(__xludf.DUMMYFUNCTION("""COMPUTED_VALUE"""),"Middle Likhu Khola Hydroelecric Project")</f>
        <v>Middle Likhu Khola Hydroelecric Project</v>
      </c>
      <c r="C1999" s="2">
        <f>IFERROR(__xludf.DUMMYFUNCTION("""COMPUTED_VALUE"""),15.0)</f>
        <v>15</v>
      </c>
      <c r="D1999" s="2" t="str">
        <f>IFERROR(__xludf.DUMMYFUNCTION("""COMPUTED_VALUE"""),"Likhu Khola")</f>
        <v>Likhu Khola</v>
      </c>
      <c r="E1999" s="2">
        <f>IFERROR(__xludf.DUMMYFUNCTION("""COMPUTED_VALUE"""),3307.0)</f>
        <v>3307</v>
      </c>
      <c r="F1999" s="3">
        <f>IFERROR(__xludf.DUMMYFUNCTION("""COMPUTED_VALUE"""),63147.0)</f>
        <v>63147</v>
      </c>
      <c r="G1999" s="2" t="str">
        <f>IFERROR(__xludf.DUMMYFUNCTION("""COMPUTED_VALUE"""),"Everest Likhu Khola Hydroelecric Project")</f>
        <v>Everest Likhu Khola Hydroelecric Project</v>
      </c>
      <c r="H1999" s="2" t="str">
        <f>IFERROR(__xludf.DUMMYFUNCTION("""COMPUTED_VALUE"""),"Babarmahal,Kathmandu")</f>
        <v>Babarmahal,Kathmandu</v>
      </c>
      <c r="I1999" s="2" t="str">
        <f>IFERROR(__xludf.DUMMYFUNCTION("""COMPUTED_VALUE"""),"27o 25' 00""")</f>
        <v>27o 25' 00"</v>
      </c>
      <c r="J1999" s="2" t="str">
        <f>IFERROR(__xludf.DUMMYFUNCTION("""COMPUTED_VALUE"""),"27o 26' 38""")</f>
        <v>27o 26' 38"</v>
      </c>
      <c r="K1999" s="2" t="str">
        <f>IFERROR(__xludf.DUMMYFUNCTION("""COMPUTED_VALUE"""),"86o 14' 55""")</f>
        <v>86o 14' 55"</v>
      </c>
      <c r="L1999" s="2" t="str">
        <f>IFERROR(__xludf.DUMMYFUNCTION("""COMPUTED_VALUE"""),"86o 15' 40""")</f>
        <v>86o 15' 40"</v>
      </c>
      <c r="M1999" s="2" t="str">
        <f>IFERROR(__xludf.DUMMYFUNCTION("""COMPUTED_VALUE"""),"Tarkerabari,Pokli (Okhaldhunga) Saibu (Ramechhap)")</f>
        <v>Tarkerabari,Pokli (Okhaldhunga) Saibu (Ramechhap)</v>
      </c>
    </row>
    <row r="2000">
      <c r="A2000" s="2">
        <f>IFERROR(__xludf.DUMMYFUNCTION("""COMPUTED_VALUE"""),1999.0)</f>
        <v>1999</v>
      </c>
      <c r="B2000" s="2" t="str">
        <f>IFERROR(__xludf.DUMMYFUNCTION("""COMPUTED_VALUE"""),"Gaddi Gad Khola HPP")</f>
        <v>Gaddi Gad Khola HPP</v>
      </c>
      <c r="C2000" s="2">
        <f>IFERROR(__xludf.DUMMYFUNCTION("""COMPUTED_VALUE"""),4.23)</f>
        <v>4.23</v>
      </c>
      <c r="D2000" s="2" t="str">
        <f>IFERROR(__xludf.DUMMYFUNCTION("""COMPUTED_VALUE"""),"Gaddi Gad")</f>
        <v>Gaddi Gad</v>
      </c>
      <c r="E2000" s="2">
        <f>IFERROR(__xludf.DUMMYFUNCTION("""COMPUTED_VALUE"""),3521.0)</f>
        <v>3521</v>
      </c>
      <c r="F2000" s="3">
        <f>IFERROR(__xludf.DUMMYFUNCTION("""COMPUTED_VALUE"""),63161.0)</f>
        <v>63161</v>
      </c>
      <c r="G2000" s="2" t="str">
        <f>IFERROR(__xludf.DUMMYFUNCTION("""COMPUTED_VALUE"""),"Mahamalika Hydropower Pvt.Ltd.")</f>
        <v>Mahamalika Hydropower Pvt.Ltd.</v>
      </c>
      <c r="H2000" s="2" t="str">
        <f>IFERROR(__xludf.DUMMYFUNCTION("""COMPUTED_VALUE"""),"Kailali, attaria ward no.-4")</f>
        <v>Kailali, attaria ward no.-4</v>
      </c>
      <c r="I2000" s="2" t="str">
        <f>IFERROR(__xludf.DUMMYFUNCTION("""COMPUTED_VALUE"""),"29o 11' 10""")</f>
        <v>29o 11' 10"</v>
      </c>
      <c r="J2000" s="2" t="str">
        <f>IFERROR(__xludf.DUMMYFUNCTION("""COMPUTED_VALUE"""),"29o 13' 30""")</f>
        <v>29o 13' 30"</v>
      </c>
      <c r="K2000" s="2" t="str">
        <f>IFERROR(__xludf.DUMMYFUNCTION("""COMPUTED_VALUE"""),"81o 01' 00""")</f>
        <v>81o 01' 00"</v>
      </c>
      <c r="L2000" s="2" t="str">
        <f>IFERROR(__xludf.DUMMYFUNCTION("""COMPUTED_VALUE"""),"81o 02' 15""")</f>
        <v>81o 02' 15"</v>
      </c>
      <c r="M2000" s="2" t="str">
        <f>IFERROR(__xludf.DUMMYFUNCTION("""COMPUTED_VALUE"""),"Ladagada (Doti)")</f>
        <v>Ladagada (Doti)</v>
      </c>
    </row>
    <row r="2001">
      <c r="A2001" s="2">
        <f>IFERROR(__xludf.DUMMYFUNCTION("""COMPUTED_VALUE"""),2000.0)</f>
        <v>2000</v>
      </c>
      <c r="B2001" s="2" t="str">
        <f>IFERROR(__xludf.DUMMYFUNCTION("""COMPUTED_VALUE"""),"Saru Khola Small HPP")</f>
        <v>Saru Khola Small HPP</v>
      </c>
      <c r="C2001" s="2">
        <f>IFERROR(__xludf.DUMMYFUNCTION("""COMPUTED_VALUE"""),0.999)</f>
        <v>0.999</v>
      </c>
      <c r="D2001" s="2" t="str">
        <f>IFERROR(__xludf.DUMMYFUNCTION("""COMPUTED_VALUE"""),"Saru Khola")</f>
        <v>Saru Khola</v>
      </c>
      <c r="E2001" s="2">
        <f>IFERROR(__xludf.DUMMYFUNCTION("""COMPUTED_VALUE"""),3569.0)</f>
        <v>3569</v>
      </c>
      <c r="F2001" s="3">
        <f>IFERROR(__xludf.DUMMYFUNCTION("""COMPUTED_VALUE"""),63163.0)</f>
        <v>63163</v>
      </c>
      <c r="G2001" s="2" t="str">
        <f>IFERROR(__xludf.DUMMYFUNCTION("""COMPUTED_VALUE"""),"Suresh Kumar RC")</f>
        <v>Suresh Kumar RC</v>
      </c>
      <c r="H2001" s="2" t="str">
        <f>IFERROR(__xludf.DUMMYFUNCTION("""COMPUTED_VALUE"""),"Paink-4 Jajarkot, Nepal")</f>
        <v>Paink-4 Jajarkot, Nepal</v>
      </c>
      <c r="I2001" s="2" t="str">
        <f>IFERROR(__xludf.DUMMYFUNCTION("""COMPUTED_VALUE"""),"28o 54' 15""")</f>
        <v>28o 54' 15"</v>
      </c>
      <c r="J2001" s="2" t="str">
        <f>IFERROR(__xludf.DUMMYFUNCTION("""COMPUTED_VALUE"""),"28o 56' 15""")</f>
        <v>28o 56' 15"</v>
      </c>
      <c r="K2001" s="2" t="str">
        <f>IFERROR(__xludf.DUMMYFUNCTION("""COMPUTED_VALUE"""),"82o 07' 30""")</f>
        <v>82o 07' 30"</v>
      </c>
      <c r="L2001" s="2" t="str">
        <f>IFERROR(__xludf.DUMMYFUNCTION("""COMPUTED_VALUE"""),"82o 11' 17""")</f>
        <v>82o 11' 17"</v>
      </c>
      <c r="M2001" s="2" t="str">
        <f>IFERROR(__xludf.DUMMYFUNCTION("""COMPUTED_VALUE"""),"Paink (Jajarkot)")</f>
        <v>Paink (Jajarkot)</v>
      </c>
    </row>
    <row r="2002">
      <c r="A2002" s="2">
        <f>IFERROR(__xludf.DUMMYFUNCTION("""COMPUTED_VALUE"""),2001.0)</f>
        <v>2001</v>
      </c>
      <c r="B2002" s="2" t="str">
        <f>IFERROR(__xludf.DUMMYFUNCTION("""COMPUTED_VALUE"""),"Middle Ghunsa Khola Amall HPP")</f>
        <v>Middle Ghunsa Khola Amall HPP</v>
      </c>
      <c r="C2002" s="2">
        <f>IFERROR(__xludf.DUMMYFUNCTION("""COMPUTED_VALUE"""),10.0)</f>
        <v>10</v>
      </c>
      <c r="D2002" s="2" t="str">
        <f>IFERROR(__xludf.DUMMYFUNCTION("""COMPUTED_VALUE"""),"Ghunsa Khola")</f>
        <v>Ghunsa Khola</v>
      </c>
      <c r="E2002" s="2">
        <f>IFERROR(__xludf.DUMMYFUNCTION("""COMPUTED_VALUE"""),3742.0)</f>
        <v>3742</v>
      </c>
      <c r="F2002" s="3">
        <f>IFERROR(__xludf.DUMMYFUNCTION("""COMPUTED_VALUE"""),63174.0)</f>
        <v>63174</v>
      </c>
      <c r="G2002" s="2" t="str">
        <f>IFERROR(__xludf.DUMMYFUNCTION("""COMPUTED_VALUE"""),"Nepal Hydro Venture Pvt.Ltd.")</f>
        <v>Nepal Hydro Venture Pvt.Ltd.</v>
      </c>
      <c r="H2002" s="2" t="str">
        <f>IFERROR(__xludf.DUMMYFUNCTION("""COMPUTED_VALUE"""),"Kathmandu-10, PO BOx 8003")</f>
        <v>Kathmandu-10, PO BOx 8003</v>
      </c>
      <c r="I2002" s="2" t="str">
        <f>IFERROR(__xludf.DUMMYFUNCTION("""COMPUTED_VALUE"""),"27o 35' 00""")</f>
        <v>27o 35' 00"</v>
      </c>
      <c r="J2002" s="2" t="str">
        <f>IFERROR(__xludf.DUMMYFUNCTION("""COMPUTED_VALUE"""),"27o 37' 20""")</f>
        <v>27o 37' 20"</v>
      </c>
      <c r="K2002" s="2" t="str">
        <f>IFERROR(__xludf.DUMMYFUNCTION("""COMPUTED_VALUE"""),"87o 51' 50""")</f>
        <v>87o 51' 50"</v>
      </c>
      <c r="L2002" s="2" t="str">
        <f>IFERROR(__xludf.DUMMYFUNCTION("""COMPUTED_VALUE"""),"87o 54' 05""")</f>
        <v>87o 54' 05"</v>
      </c>
      <c r="M2002" s="2" t="str">
        <f>IFERROR(__xludf.DUMMYFUNCTION("""COMPUTED_VALUE"""),"Lelep,Tapethok (Taplejung)")</f>
        <v>Lelep,Tapethok (Taplejung)</v>
      </c>
    </row>
    <row r="2003">
      <c r="A2003" s="2">
        <f>IFERROR(__xludf.DUMMYFUNCTION("""COMPUTED_VALUE"""),2002.0)</f>
        <v>2002</v>
      </c>
      <c r="B2003" s="2" t="str">
        <f>IFERROR(__xludf.DUMMYFUNCTION("""COMPUTED_VALUE"""),"Raha Ghad Khola HPP")</f>
        <v>Raha Ghad Khola HPP</v>
      </c>
      <c r="C2003" s="2">
        <f>IFERROR(__xludf.DUMMYFUNCTION("""COMPUTED_VALUE"""),5.0)</f>
        <v>5</v>
      </c>
      <c r="D2003" s="2" t="str">
        <f>IFERROR(__xludf.DUMMYFUNCTION("""COMPUTED_VALUE"""),"Raha Gad")</f>
        <v>Raha Gad</v>
      </c>
      <c r="E2003" s="2">
        <f>IFERROR(__xludf.DUMMYFUNCTION("""COMPUTED_VALUE"""),3949.0)</f>
        <v>3949</v>
      </c>
      <c r="F2003" s="3">
        <f>IFERROR(__xludf.DUMMYFUNCTION("""COMPUTED_VALUE"""),63186.0)</f>
        <v>63186</v>
      </c>
      <c r="G2003" s="2" t="str">
        <f>IFERROR(__xludf.DUMMYFUNCTION("""COMPUTED_VALUE"""),"Global Power Company Pvt.Ltd.")</f>
        <v>Global Power Company Pvt.Ltd.</v>
      </c>
      <c r="H2003" s="2" t="str">
        <f>IFERROR(__xludf.DUMMYFUNCTION("""COMPUTED_VALUE"""),"Kathmandu-34, Banesor,Nepal")</f>
        <v>Kathmandu-34, Banesor,Nepal</v>
      </c>
      <c r="I2003" s="2" t="str">
        <f>IFERROR(__xludf.DUMMYFUNCTION("""COMPUTED_VALUE"""),"29o 08' 47""")</f>
        <v>29o 08' 47"</v>
      </c>
      <c r="J2003" s="2" t="str">
        <f>IFERROR(__xludf.DUMMYFUNCTION("""COMPUTED_VALUE"""),"29o 10' 00""")</f>
        <v>29o 10' 00"</v>
      </c>
      <c r="K2003" s="2" t="str">
        <f>IFERROR(__xludf.DUMMYFUNCTION("""COMPUTED_VALUE"""),"81o 33' 26""")</f>
        <v>81o 33' 26"</v>
      </c>
      <c r="L2003" s="2" t="str">
        <f>IFERROR(__xludf.DUMMYFUNCTION("""COMPUTED_VALUE"""),"81o 36' 02""")</f>
        <v>81o 36' 02"</v>
      </c>
      <c r="M2003" s="2" t="str">
        <f>IFERROR(__xludf.DUMMYFUNCTION("""COMPUTED_VALUE"""),"Kotbada,Lalutantikot (Kalikot)")</f>
        <v>Kotbada,Lalutantikot (Kalikot)</v>
      </c>
    </row>
    <row r="2004">
      <c r="A2004" s="2">
        <f>IFERROR(__xludf.DUMMYFUNCTION("""COMPUTED_VALUE"""),2003.0)</f>
        <v>2003</v>
      </c>
      <c r="B2004" s="2" t="str">
        <f>IFERROR(__xludf.DUMMYFUNCTION("""COMPUTED_VALUE"""),"Upper Apsuwa Khola HPP")</f>
        <v>Upper Apsuwa Khola HPP</v>
      </c>
      <c r="C2004" s="2">
        <f>IFERROR(__xludf.DUMMYFUNCTION("""COMPUTED_VALUE"""),4.923)</f>
        <v>4.923</v>
      </c>
      <c r="D2004" s="2" t="str">
        <f>IFERROR(__xludf.DUMMYFUNCTION("""COMPUTED_VALUE"""),"Apsuwa Khola")</f>
        <v>Apsuwa Khola</v>
      </c>
      <c r="E2004" s="2">
        <f>IFERROR(__xludf.DUMMYFUNCTION("""COMPUTED_VALUE"""),4026.0)</f>
        <v>4026</v>
      </c>
      <c r="F2004" s="3">
        <f>IFERROR(__xludf.DUMMYFUNCTION("""COMPUTED_VALUE"""),63195.0)</f>
        <v>63195</v>
      </c>
      <c r="G2004" s="2" t="str">
        <f>IFERROR(__xludf.DUMMYFUNCTION("""COMPUTED_VALUE"""),"Mohan Gautam,Amrit Baruwal")</f>
        <v>Mohan Gautam,Amrit Baruwal</v>
      </c>
      <c r="H2004" s="2" t="str">
        <f>IFERROR(__xludf.DUMMYFUNCTION("""COMPUTED_VALUE"""),"Kathmandu-35, Koteshower.9851090065,")</f>
        <v>Kathmandu-35, Koteshower.9851090065,</v>
      </c>
      <c r="I2004" s="2" t="str">
        <f>IFERROR(__xludf.DUMMYFUNCTION("""COMPUTED_VALUE"""),"27o 34' 44""")</f>
        <v>27o 34' 44"</v>
      </c>
      <c r="J2004" s="2" t="str">
        <f>IFERROR(__xludf.DUMMYFUNCTION("""COMPUTED_VALUE"""),"27o 38' 00""")</f>
        <v>27o 38' 00"</v>
      </c>
      <c r="K2004" s="2" t="str">
        <f>IFERROR(__xludf.DUMMYFUNCTION("""COMPUTED_VALUE"""),"87o 06' 24""")</f>
        <v>87o 06' 24"</v>
      </c>
      <c r="L2004" s="2" t="str">
        <f>IFERROR(__xludf.DUMMYFUNCTION("""COMPUTED_VALUE"""),"87o 09' 42""")</f>
        <v>87o 09' 42"</v>
      </c>
      <c r="M2004" s="2"/>
    </row>
    <row r="2005">
      <c r="A2005" s="2">
        <f>IFERROR(__xludf.DUMMYFUNCTION("""COMPUTED_VALUE"""),2004.0)</f>
        <v>2004</v>
      </c>
      <c r="B2005" s="2" t="str">
        <f>IFERROR(__xludf.DUMMYFUNCTION("""COMPUTED_VALUE"""),"Nupche Likhu HPP")</f>
        <v>Nupche Likhu HPP</v>
      </c>
      <c r="C2005" s="2">
        <f>IFERROR(__xludf.DUMMYFUNCTION("""COMPUTED_VALUE"""),24.0)</f>
        <v>24</v>
      </c>
      <c r="D2005" s="2" t="str">
        <f>IFERROR(__xludf.DUMMYFUNCTION("""COMPUTED_VALUE"""),"Nupche , Likhu")</f>
        <v>Nupche , Likhu</v>
      </c>
      <c r="E2005" s="2">
        <f>IFERROR(__xludf.DUMMYFUNCTION("""COMPUTED_VALUE"""),4945.0)</f>
        <v>4945</v>
      </c>
      <c r="F2005" s="3">
        <f>IFERROR(__xludf.DUMMYFUNCTION("""COMPUTED_VALUE"""),63246.0)</f>
        <v>63246</v>
      </c>
      <c r="G2005" s="2" t="str">
        <f>IFERROR(__xludf.DUMMYFUNCTION("""COMPUTED_VALUE"""),"Parbat Energy Pvt.Ltd.")</f>
        <v>Parbat Energy Pvt.Ltd.</v>
      </c>
      <c r="H2005" s="2" t="str">
        <f>IFERROR(__xludf.DUMMYFUNCTION("""COMPUTED_VALUE"""),"Sangutar_1,Himachal Pradesh ,India")</f>
        <v>Sangutar_1,Himachal Pradesh ,India</v>
      </c>
      <c r="I2005" s="2" t="str">
        <f>IFERROR(__xludf.DUMMYFUNCTION("""COMPUTED_VALUE"""),"27o 40' 37""")</f>
        <v>27o 40' 37"</v>
      </c>
      <c r="J2005" s="2" t="str">
        <f>IFERROR(__xludf.DUMMYFUNCTION("""COMPUTED_VALUE"""),"27o 43' 37""")</f>
        <v>27o 43' 37"</v>
      </c>
      <c r="K2005" s="2" t="str">
        <f>IFERROR(__xludf.DUMMYFUNCTION("""COMPUTED_VALUE"""),"86o 26' 30""")</f>
        <v>86o 26' 30"</v>
      </c>
      <c r="L2005" s="2" t="str">
        <f>IFERROR(__xludf.DUMMYFUNCTION("""COMPUTED_VALUE"""),"86o 30' 00""")</f>
        <v>86o 30' 00"</v>
      </c>
      <c r="M2005" s="2" t="str">
        <f>IFERROR(__xludf.DUMMYFUNCTION("""COMPUTED_VALUE"""),"Gumdel (Ramechhap)")</f>
        <v>Gumdel (Ramechhap)</v>
      </c>
    </row>
    <row r="2006">
      <c r="A2006" s="2">
        <f>IFERROR(__xludf.DUMMYFUNCTION("""COMPUTED_VALUE"""),2005.0)</f>
        <v>2005</v>
      </c>
      <c r="B2006" s="2" t="str">
        <f>IFERROR(__xludf.DUMMYFUNCTION("""COMPUTED_VALUE"""),"Upper Mewa HPP")</f>
        <v>Upper Mewa HPP</v>
      </c>
      <c r="C2006" s="2">
        <f>IFERROR(__xludf.DUMMYFUNCTION("""COMPUTED_VALUE"""),9.82)</f>
        <v>9.82</v>
      </c>
      <c r="D2006" s="2" t="str">
        <f>IFERROR(__xludf.DUMMYFUNCTION("""COMPUTED_VALUE"""),"Mewa Khola")</f>
        <v>Mewa Khola</v>
      </c>
      <c r="E2006" s="2">
        <f>IFERROR(__xludf.DUMMYFUNCTION("""COMPUTED_VALUE"""),6135.0)</f>
        <v>6135</v>
      </c>
      <c r="F2006" s="3">
        <f>IFERROR(__xludf.DUMMYFUNCTION("""COMPUTED_VALUE"""),63258.0)</f>
        <v>63258</v>
      </c>
      <c r="G2006" s="2" t="str">
        <f>IFERROR(__xludf.DUMMYFUNCTION("""COMPUTED_VALUE"""),"Reliable Hydropower Com. Pvt. Ltd.")</f>
        <v>Reliable Hydropower Com. Pvt. Ltd.</v>
      </c>
      <c r="H2006" s="2" t="str">
        <f>IFERROR(__xludf.DUMMYFUNCTION("""COMPUTED_VALUE"""),"GPO Box no. 516, Lalitpur -5,Nepal.4169116")</f>
        <v>GPO Box no. 516, Lalitpur -5,Nepal.4169116</v>
      </c>
      <c r="I2006" s="2" t="str">
        <f>IFERROR(__xludf.DUMMYFUNCTION("""COMPUTED_VALUE"""),"27o 26' 53""")</f>
        <v>27o 26' 53"</v>
      </c>
      <c r="J2006" s="2" t="str">
        <f>IFERROR(__xludf.DUMMYFUNCTION("""COMPUTED_VALUE"""),"27o 29' 26""")</f>
        <v>27o 29' 26"</v>
      </c>
      <c r="K2006" s="2" t="str">
        <f>IFERROR(__xludf.DUMMYFUNCTION("""COMPUTED_VALUE"""),"87o 36' 20""")</f>
        <v>87o 36' 20"</v>
      </c>
      <c r="L2006" s="2" t="str">
        <f>IFERROR(__xludf.DUMMYFUNCTION("""COMPUTED_VALUE"""),"87o 37' 50""")</f>
        <v>87o 37' 50"</v>
      </c>
      <c r="M2006" s="2" t="str">
        <f>IFERROR(__xludf.DUMMYFUNCTION("""COMPUTED_VALUE"""),"Liwang,Sanwa,Nalbu,Papung,Thukima (Taplejung)")</f>
        <v>Liwang,Sanwa,Nalbu,Papung,Thukima (Taplejung)</v>
      </c>
    </row>
    <row r="2007">
      <c r="A2007" s="2">
        <f>IFERROR(__xludf.DUMMYFUNCTION("""COMPUTED_VALUE"""),2006.0)</f>
        <v>2006</v>
      </c>
      <c r="B2007" s="2" t="str">
        <f>IFERROR(__xludf.DUMMYFUNCTION("""COMPUTED_VALUE"""),"Upper Budhiganga-A HPP")</f>
        <v>Upper Budhiganga-A HPP</v>
      </c>
      <c r="C2007" s="2">
        <f>IFERROR(__xludf.DUMMYFUNCTION("""COMPUTED_VALUE"""),5.0)</f>
        <v>5</v>
      </c>
      <c r="D2007" s="2" t="str">
        <f>IFERROR(__xludf.DUMMYFUNCTION("""COMPUTED_VALUE"""),"Budhi Ganga")</f>
        <v>Budhi Ganga</v>
      </c>
      <c r="E2007" s="2">
        <f>IFERROR(__xludf.DUMMYFUNCTION("""COMPUTED_VALUE"""),6159.0)</f>
        <v>6159</v>
      </c>
      <c r="F2007" s="3">
        <f>IFERROR(__xludf.DUMMYFUNCTION("""COMPUTED_VALUE"""),63260.0)</f>
        <v>63260</v>
      </c>
      <c r="G2007" s="2" t="str">
        <f>IFERROR(__xludf.DUMMYFUNCTION("""COMPUTED_VALUE"""),"Reliable Hydropower Com. Pvt. Ltd.")</f>
        <v>Reliable Hydropower Com. Pvt. Ltd.</v>
      </c>
      <c r="H2007" s="2" t="str">
        <f>IFERROR(__xludf.DUMMYFUNCTION("""COMPUTED_VALUE"""),"Heritage Plaza II ,Block C&amp;D, Kamaladi, Kathamndu.4169116")</f>
        <v>Heritage Plaza II ,Block C&amp;D, Kamaladi, Kathamndu.4169116</v>
      </c>
      <c r="I2007" s="2" t="str">
        <f>IFERROR(__xludf.DUMMYFUNCTION("""COMPUTED_VALUE"""),"29o 23' 55""")</f>
        <v>29o 23' 55"</v>
      </c>
      <c r="J2007" s="2" t="str">
        <f>IFERROR(__xludf.DUMMYFUNCTION("""COMPUTED_VALUE"""),"29o 28' 15""")</f>
        <v>29o 28' 15"</v>
      </c>
      <c r="K2007" s="2" t="str">
        <f>IFERROR(__xludf.DUMMYFUNCTION("""COMPUTED_VALUE"""),"81o 23' 30""")</f>
        <v>81o 23' 30"</v>
      </c>
      <c r="L2007" s="2" t="str">
        <f>IFERROR(__xludf.DUMMYFUNCTION("""COMPUTED_VALUE"""),"81o 28' 27""")</f>
        <v>81o 28' 27"</v>
      </c>
      <c r="M2007" s="2"/>
    </row>
    <row r="2008">
      <c r="A2008" s="2">
        <f>IFERROR(__xludf.DUMMYFUNCTION("""COMPUTED_VALUE"""),2007.0)</f>
        <v>2007</v>
      </c>
      <c r="B2008" s="2" t="str">
        <f>IFERROR(__xludf.DUMMYFUNCTION("""COMPUTED_VALUE"""),"Super Iwa Khola Small Hydropower")</f>
        <v>Super Iwa Khola Small Hydropower</v>
      </c>
      <c r="C2008" s="2">
        <f>IFERROR(__xludf.DUMMYFUNCTION("""COMPUTED_VALUE"""),4.8)</f>
        <v>4.8</v>
      </c>
      <c r="D2008" s="2" t="str">
        <f>IFERROR(__xludf.DUMMYFUNCTION("""COMPUTED_VALUE"""),"Iwa Khola")</f>
        <v>Iwa Khola</v>
      </c>
      <c r="E2008" s="2">
        <f>IFERROR(__xludf.DUMMYFUNCTION("""COMPUTED_VALUE"""),6186.0)</f>
        <v>6186</v>
      </c>
      <c r="F2008" s="3">
        <f>IFERROR(__xludf.DUMMYFUNCTION("""COMPUTED_VALUE"""),63262.0)</f>
        <v>63262</v>
      </c>
      <c r="G2008" s="2" t="str">
        <f>IFERROR(__xludf.DUMMYFUNCTION("""COMPUTED_VALUE"""),"Kanchanjanga Hydro Energy Pvt.Ltd.")</f>
        <v>Kanchanjanga Hydro Energy Pvt.Ltd.</v>
      </c>
      <c r="H2008" s="2" t="str">
        <f>IFERROR(__xludf.DUMMYFUNCTION("""COMPUTED_VALUE"""),"Kathmandu-35,")</f>
        <v>Kathmandu-35,</v>
      </c>
      <c r="I2008" s="2" t="str">
        <f>IFERROR(__xludf.DUMMYFUNCTION("""COMPUTED_VALUE"""),"27o 18' 21""")</f>
        <v>27o 18' 21"</v>
      </c>
      <c r="J2008" s="2" t="str">
        <f>IFERROR(__xludf.DUMMYFUNCTION("""COMPUTED_VALUE"""),"27o 19' 33""")</f>
        <v>27o 19' 33"</v>
      </c>
      <c r="K2008" s="2" t="str">
        <f>IFERROR(__xludf.DUMMYFUNCTION("""COMPUTED_VALUE"""),"87o 58' 37""")</f>
        <v>87o 58' 37"</v>
      </c>
      <c r="L2008" s="2" t="str">
        <f>IFERROR(__xludf.DUMMYFUNCTION("""COMPUTED_VALUE"""),"87o 59' 57""")</f>
        <v>87o 59' 57"</v>
      </c>
      <c r="M2008" s="2"/>
    </row>
    <row r="2009">
      <c r="A2009" s="2">
        <f>IFERROR(__xludf.DUMMYFUNCTION("""COMPUTED_VALUE"""),2008.0)</f>
        <v>2008</v>
      </c>
      <c r="B2009" s="2" t="str">
        <f>IFERROR(__xludf.DUMMYFUNCTION("""COMPUTED_VALUE"""),"Dhunge Khola Mini HPP")</f>
        <v>Dhunge Khola Mini HPP</v>
      </c>
      <c r="C2009" s="2">
        <f>IFERROR(__xludf.DUMMYFUNCTION("""COMPUTED_VALUE"""),0.5)</f>
        <v>0.5</v>
      </c>
      <c r="D2009" s="2" t="str">
        <f>IFERROR(__xludf.DUMMYFUNCTION("""COMPUTED_VALUE"""),"Dhunge Khola")</f>
        <v>Dhunge Khola</v>
      </c>
      <c r="E2009" s="2">
        <f>IFERROR(__xludf.DUMMYFUNCTION("""COMPUTED_VALUE"""),6412.0)</f>
        <v>6412</v>
      </c>
      <c r="F2009" s="3">
        <f>IFERROR(__xludf.DUMMYFUNCTION("""COMPUTED_VALUE"""),63274.0)</f>
        <v>63274</v>
      </c>
      <c r="G2009" s="2" t="str">
        <f>IFERROR(__xludf.DUMMYFUNCTION("""COMPUTED_VALUE"""),"Shyama Jalbidhyut Company Pvt.Ltd.")</f>
        <v>Shyama Jalbidhyut Company Pvt.Ltd.</v>
      </c>
      <c r="H2009" s="2" t="str">
        <f>IFERROR(__xludf.DUMMYFUNCTION("""COMPUTED_VALUE"""),"Bijulibazar , Thapa Gaun, Kathmandu")</f>
        <v>Bijulibazar , Thapa Gaun, Kathmandu</v>
      </c>
      <c r="I2009" s="2" t="str">
        <f>IFERROR(__xludf.DUMMYFUNCTION("""COMPUTED_VALUE"""),"27o 38' 56""")</f>
        <v>27o 38' 56"</v>
      </c>
      <c r="J2009" s="2" t="str">
        <f>IFERROR(__xludf.DUMMYFUNCTION("""COMPUTED_VALUE"""),"27o 40' 10""")</f>
        <v>27o 40' 10"</v>
      </c>
      <c r="K2009" s="2" t="str">
        <f>IFERROR(__xludf.DUMMYFUNCTION("""COMPUTED_VALUE"""),"86o 17' 37""")</f>
        <v>86o 17' 37"</v>
      </c>
      <c r="L2009" s="2" t="str">
        <f>IFERROR(__xludf.DUMMYFUNCTION("""COMPUTED_VALUE"""),"86o 18' 14""")</f>
        <v>86o 18' 14"</v>
      </c>
      <c r="M2009" s="2" t="str">
        <f>IFERROR(__xludf.DUMMYFUNCTION("""COMPUTED_VALUE"""),"Syama (Dolakha)")</f>
        <v>Syama (Dolakha)</v>
      </c>
    </row>
    <row r="2010">
      <c r="A2010" s="2">
        <f>IFERROR(__xludf.DUMMYFUNCTION("""COMPUTED_VALUE"""),2009.0)</f>
        <v>2009</v>
      </c>
      <c r="B2010" s="2" t="str">
        <f>IFERROR(__xludf.DUMMYFUNCTION("""COMPUTED_VALUE"""),"Kolpu Khola Small HPP")</f>
        <v>Kolpu Khola Small HPP</v>
      </c>
      <c r="C2010" s="2">
        <f>IFERROR(__xludf.DUMMYFUNCTION("""COMPUTED_VALUE"""),0.985)</f>
        <v>0.985</v>
      </c>
      <c r="D2010" s="2" t="str">
        <f>IFERROR(__xludf.DUMMYFUNCTION("""COMPUTED_VALUE"""),"Kolpu Khola")</f>
        <v>Kolpu Khola</v>
      </c>
      <c r="E2010" s="2">
        <f>IFERROR(__xludf.DUMMYFUNCTION("""COMPUTED_VALUE"""),6435.0)</f>
        <v>6435</v>
      </c>
      <c r="F2010" s="3">
        <f>IFERROR(__xludf.DUMMYFUNCTION("""COMPUTED_VALUE"""),63275.0)</f>
        <v>63275</v>
      </c>
      <c r="G2010" s="2" t="str">
        <f>IFERROR(__xludf.DUMMYFUNCTION("""COMPUTED_VALUE"""),"Khadkure Laghu Jal Bidhuit Com. Pvt. Ltd.")</f>
        <v>Khadkure Laghu Jal Bidhuit Com. Pvt. Ltd.</v>
      </c>
      <c r="H2010" s="2" t="str">
        <f>IFERROR(__xludf.DUMMYFUNCTION("""COMPUTED_VALUE"""),"Goganpani-3, Dhading")</f>
        <v>Goganpani-3, Dhading</v>
      </c>
      <c r="I2010" s="2" t="str">
        <f>IFERROR(__xludf.DUMMYFUNCTION("""COMPUTED_VALUE"""),"27o 47' 30""")</f>
        <v>27o 47' 30"</v>
      </c>
      <c r="J2010" s="2" t="str">
        <f>IFERROR(__xludf.DUMMYFUNCTION("""COMPUTED_VALUE"""),"27o 49' 03""")</f>
        <v>27o 49' 03"</v>
      </c>
      <c r="K2010" s="2" t="str">
        <f>IFERROR(__xludf.DUMMYFUNCTION("""COMPUTED_VALUE"""),"85o 02' 20""")</f>
        <v>85o 02' 20"</v>
      </c>
      <c r="L2010" s="2" t="str">
        <f>IFERROR(__xludf.DUMMYFUNCTION("""COMPUTED_VALUE"""),"85o 03' 53""")</f>
        <v>85o 03' 53"</v>
      </c>
      <c r="M2010" s="2" t="str">
        <f>IFERROR(__xludf.DUMMYFUNCTION("""COMPUTED_VALUE"""),"Goganpani (Dhading)")</f>
        <v>Goganpani (Dhading)</v>
      </c>
    </row>
    <row r="2011">
      <c r="A2011" s="2">
        <f>IFERROR(__xludf.DUMMYFUNCTION("""COMPUTED_VALUE"""),2010.0)</f>
        <v>2010</v>
      </c>
      <c r="B2011" s="2" t="str">
        <f>IFERROR(__xludf.DUMMYFUNCTION("""COMPUTED_VALUE"""),"Lower Parajuli Khola HPP")</f>
        <v>Lower Parajuli Khola HPP</v>
      </c>
      <c r="C2011" s="2">
        <f>IFERROR(__xludf.DUMMYFUNCTION("""COMPUTED_VALUE"""),0.997)</f>
        <v>0.997</v>
      </c>
      <c r="D2011" s="2" t="str">
        <f>IFERROR(__xludf.DUMMYFUNCTION("""COMPUTED_VALUE"""),"Parajuli Khola")</f>
        <v>Parajuli Khola</v>
      </c>
      <c r="E2011" s="2">
        <f>IFERROR(__xludf.DUMMYFUNCTION("""COMPUTED_VALUE"""),451.0)</f>
        <v>451</v>
      </c>
      <c r="F2011" s="3">
        <f>IFERROR(__xludf.DUMMYFUNCTION("""COMPUTED_VALUE"""),63298.0)</f>
        <v>63298</v>
      </c>
      <c r="G2011" s="2" t="str">
        <f>IFERROR(__xludf.DUMMYFUNCTION("""COMPUTED_VALUE"""),"Energy Development Services Pvt.Ltd")</f>
        <v>Energy Development Services Pvt.Ltd</v>
      </c>
      <c r="H2011" s="2" t="str">
        <f>IFERROR(__xludf.DUMMYFUNCTION("""COMPUTED_VALUE"""),"PO box 5565, Kathmandu")</f>
        <v>PO box 5565, Kathmandu</v>
      </c>
      <c r="I2011" s="2" t="str">
        <f>IFERROR(__xludf.DUMMYFUNCTION("""COMPUTED_VALUE"""),"28o 43' 16""")</f>
        <v>28o 43' 16"</v>
      </c>
      <c r="J2011" s="2" t="str">
        <f>IFERROR(__xludf.DUMMYFUNCTION("""COMPUTED_VALUE"""),"28o 44' 13""")</f>
        <v>28o 44' 13"</v>
      </c>
      <c r="K2011" s="2" t="str">
        <f>IFERROR(__xludf.DUMMYFUNCTION("""COMPUTED_VALUE"""),"81o 40' 52""")</f>
        <v>81o 40' 52"</v>
      </c>
      <c r="L2011" s="2" t="str">
        <f>IFERROR(__xludf.DUMMYFUNCTION("""COMPUTED_VALUE"""),"81o 41' 38""")</f>
        <v>81o 41' 38"</v>
      </c>
      <c r="M2011" s="2" t="str">
        <f>IFERROR(__xludf.DUMMYFUNCTION("""COMPUTED_VALUE"""),"Awal Parajul,Dada Parajul (Dailekh)")</f>
        <v>Awal Parajul,Dada Parajul (Dailekh)</v>
      </c>
    </row>
    <row r="2012">
      <c r="A2012" s="2">
        <f>IFERROR(__xludf.DUMMYFUNCTION("""COMPUTED_VALUE"""),2011.0)</f>
        <v>2011</v>
      </c>
      <c r="B2012" s="2" t="str">
        <f>IFERROR(__xludf.DUMMYFUNCTION("""COMPUTED_VALUE"""),"Bhabil Khola HPP")</f>
        <v>Bhabil Khola HPP</v>
      </c>
      <c r="C2012" s="2">
        <f>IFERROR(__xludf.DUMMYFUNCTION("""COMPUTED_VALUE"""),18.88)</f>
        <v>18.88</v>
      </c>
      <c r="D2012" s="2" t="str">
        <f>IFERROR(__xludf.DUMMYFUNCTION("""COMPUTED_VALUE"""),"Bhabil Khola")</f>
        <v>Bhabil Khola</v>
      </c>
      <c r="E2012" s="2">
        <f>IFERROR(__xludf.DUMMYFUNCTION("""COMPUTED_VALUE"""),486.0)</f>
        <v>486</v>
      </c>
      <c r="F2012" s="3">
        <f>IFERROR(__xludf.DUMMYFUNCTION("""COMPUTED_VALUE"""),63300.0)</f>
        <v>63300</v>
      </c>
      <c r="G2012" s="2" t="str">
        <f>IFERROR(__xludf.DUMMYFUNCTION("""COMPUTED_VALUE"""),"Morang Energy Limited")</f>
        <v>Morang Energy Limited</v>
      </c>
      <c r="H2012" s="2" t="str">
        <f>IFERROR(__xludf.DUMMYFUNCTION("""COMPUTED_VALUE"""),"Tripurewhower , Kathmandu, Nepal")</f>
        <v>Tripurewhower , Kathmandu, Nepal</v>
      </c>
      <c r="I2012" s="2" t="str">
        <f>IFERROR(__xludf.DUMMYFUNCTION("""COMPUTED_VALUE"""),"28o 10' 44""")</f>
        <v>28o 10' 44"</v>
      </c>
      <c r="J2012" s="2" t="str">
        <f>IFERROR(__xludf.DUMMYFUNCTION("""COMPUTED_VALUE"""),"28o 13' 36""")</f>
        <v>28o 13' 36"</v>
      </c>
      <c r="K2012" s="2" t="str">
        <f>IFERROR(__xludf.DUMMYFUNCTION("""COMPUTED_VALUE"""),"85o 05' 00""")</f>
        <v>85o 05' 00"</v>
      </c>
      <c r="L2012" s="2" t="str">
        <f>IFERROR(__xludf.DUMMYFUNCTION("""COMPUTED_VALUE"""),"85o 08' 10""")</f>
        <v>85o 08' 10"</v>
      </c>
      <c r="M2012" s="2" t="str">
        <f>IFERROR(__xludf.DUMMYFUNCTION("""COMPUTED_VALUE"""),"Sirtung,Tipling (Dhading)")</f>
        <v>Sirtung,Tipling (Dhading)</v>
      </c>
    </row>
    <row r="2013">
      <c r="A2013" s="2">
        <f>IFERROR(__xludf.DUMMYFUNCTION("""COMPUTED_VALUE"""),2012.0)</f>
        <v>2012</v>
      </c>
      <c r="B2013" s="2" t="str">
        <f>IFERROR(__xludf.DUMMYFUNCTION("""COMPUTED_VALUE"""),"Simbuwa Khola A HPP")</f>
        <v>Simbuwa Khola A HPP</v>
      </c>
      <c r="C2013" s="2">
        <f>IFERROR(__xludf.DUMMYFUNCTION("""COMPUTED_VALUE"""),44.0)</f>
        <v>44</v>
      </c>
      <c r="D2013" s="2" t="str">
        <f>IFERROR(__xludf.DUMMYFUNCTION("""COMPUTED_VALUE"""),"Simbuwa Khola")</f>
        <v>Simbuwa Khola</v>
      </c>
      <c r="E2013" s="2">
        <f>IFERROR(__xludf.DUMMYFUNCTION("""COMPUTED_VALUE"""),650.0)</f>
        <v>650</v>
      </c>
      <c r="F2013" s="3">
        <f>IFERROR(__xludf.DUMMYFUNCTION("""COMPUTED_VALUE"""),63310.0)</f>
        <v>63310</v>
      </c>
      <c r="G2013" s="2" t="str">
        <f>IFERROR(__xludf.DUMMYFUNCTION("""COMPUTED_VALUE"""),"Neptune Powe Pvt. Ltd")</f>
        <v>Neptune Powe Pvt. Ltd</v>
      </c>
      <c r="H2013" s="2" t="str">
        <f>IFERROR(__xludf.DUMMYFUNCTION("""COMPUTED_VALUE"""),"Baluwatar, Kathmandu, Phone no. 4430050")</f>
        <v>Baluwatar, Kathmandu, Phone no. 4430050</v>
      </c>
      <c r="I2013" s="2" t="str">
        <f>IFERROR(__xludf.DUMMYFUNCTION("""COMPUTED_VALUE"""),"27o 30' 00""")</f>
        <v>27o 30' 00"</v>
      </c>
      <c r="J2013" s="2" t="str">
        <f>IFERROR(__xludf.DUMMYFUNCTION("""COMPUTED_VALUE"""),"27o 35' 00""")</f>
        <v>27o 35' 00"</v>
      </c>
      <c r="K2013" s="2" t="str">
        <f>IFERROR(__xludf.DUMMYFUNCTION("""COMPUTED_VALUE"""),"87o 51' 57""")</f>
        <v>87o 51' 57"</v>
      </c>
      <c r="L2013" s="2" t="str">
        <f>IFERROR(__xludf.DUMMYFUNCTION("""COMPUTED_VALUE"""),"88o 00' 00""")</f>
        <v>88o 00' 00"</v>
      </c>
      <c r="M2013" s="2" t="str">
        <f>IFERROR(__xludf.DUMMYFUNCTION("""COMPUTED_VALUE"""),"Tapethok,Yamfudin (Taplejung)")</f>
        <v>Tapethok,Yamfudin (Taplejung)</v>
      </c>
    </row>
    <row r="2014">
      <c r="A2014" s="2">
        <f>IFERROR(__xludf.DUMMYFUNCTION("""COMPUTED_VALUE"""),2013.0)</f>
        <v>2013</v>
      </c>
      <c r="B2014" s="2" t="str">
        <f>IFERROR(__xludf.DUMMYFUNCTION("""COMPUTED_VALUE"""),"Ghunsa Khola A")</f>
        <v>Ghunsa Khola A</v>
      </c>
      <c r="C2014" s="2">
        <f>IFERROR(__xludf.DUMMYFUNCTION("""COMPUTED_VALUE"""),95.0)</f>
        <v>95</v>
      </c>
      <c r="D2014" s="2" t="str">
        <f>IFERROR(__xludf.DUMMYFUNCTION("""COMPUTED_VALUE"""),"Ghunsa Khola")</f>
        <v>Ghunsa Khola</v>
      </c>
      <c r="E2014" s="2">
        <f>IFERROR(__xludf.DUMMYFUNCTION("""COMPUTED_VALUE"""),651.0)</f>
        <v>651</v>
      </c>
      <c r="F2014" s="3">
        <f>IFERROR(__xludf.DUMMYFUNCTION("""COMPUTED_VALUE"""),63310.0)</f>
        <v>63310</v>
      </c>
      <c r="G2014" s="2" t="str">
        <f>IFERROR(__xludf.DUMMYFUNCTION("""COMPUTED_VALUE"""),"Water Energy Development Pvt. Ltd.")</f>
        <v>Water Energy Development Pvt. Ltd.</v>
      </c>
      <c r="H2014" s="2" t="str">
        <f>IFERROR(__xludf.DUMMYFUNCTION("""COMPUTED_VALUE"""),"Baluwatar, Kathmandu, Phone no 4430050, email waterenergydev@gmail.com")</f>
        <v>Baluwatar, Kathmandu, Phone no 4430050, email waterenergydev@gmail.com</v>
      </c>
      <c r="I2014" s="2" t="str">
        <f>IFERROR(__xludf.DUMMYFUNCTION("""COMPUTED_VALUE"""),"27o 36' 07""")</f>
        <v>27o 36' 07"</v>
      </c>
      <c r="J2014" s="2" t="str">
        <f>IFERROR(__xludf.DUMMYFUNCTION("""COMPUTED_VALUE"""),"27o 40' 00""")</f>
        <v>27o 40' 00"</v>
      </c>
      <c r="K2014" s="2" t="str">
        <f>IFERROR(__xludf.DUMMYFUNCTION("""COMPUTED_VALUE"""),"87o 51' 40""")</f>
        <v>87o 51' 40"</v>
      </c>
      <c r="L2014" s="2" t="str">
        <f>IFERROR(__xludf.DUMMYFUNCTION("""COMPUTED_VALUE"""),"88o 00' 00""")</f>
        <v>88o 00' 00"</v>
      </c>
      <c r="M2014" s="2" t="str">
        <f>IFERROR(__xludf.DUMMYFUNCTION("""COMPUTED_VALUE"""),"Lelep,Tapethok (Taplejung)")</f>
        <v>Lelep,Tapethok (Taplejung)</v>
      </c>
    </row>
    <row r="2015">
      <c r="A2015" s="2">
        <f>IFERROR(__xludf.DUMMYFUNCTION("""COMPUTED_VALUE"""),2014.0)</f>
        <v>2014</v>
      </c>
      <c r="B2015" s="2" t="str">
        <f>IFERROR(__xludf.DUMMYFUNCTION("""COMPUTED_VALUE"""),"Dudh koshi 10 HPP")</f>
        <v>Dudh koshi 10 HPP</v>
      </c>
      <c r="C2015" s="2">
        <f>IFERROR(__xludf.DUMMYFUNCTION("""COMPUTED_VALUE"""),49.0)</f>
        <v>49</v>
      </c>
      <c r="D2015" s="2" t="str">
        <f>IFERROR(__xludf.DUMMYFUNCTION("""COMPUTED_VALUE"""),"Dudh Koshi")</f>
        <v>Dudh Koshi</v>
      </c>
      <c r="E2015" s="2">
        <f>IFERROR(__xludf.DUMMYFUNCTION("""COMPUTED_VALUE"""),1015.0)</f>
        <v>1015</v>
      </c>
      <c r="F2015" s="3">
        <f>IFERROR(__xludf.DUMMYFUNCTION("""COMPUTED_VALUE"""),63338.0)</f>
        <v>63338</v>
      </c>
      <c r="G2015" s="2" t="str">
        <f>IFERROR(__xludf.DUMMYFUNCTION("""COMPUTED_VALUE"""),"Lotus investment pvt ltd")</f>
        <v>Lotus investment pvt ltd</v>
      </c>
      <c r="H2015" s="2" t="str">
        <f>IFERROR(__xludf.DUMMYFUNCTION("""COMPUTED_VALUE"""),"Lazimpat, Kathmandu, 4169088")</f>
        <v>Lazimpat, Kathmandu, 4169088</v>
      </c>
      <c r="I2015" s="2" t="str">
        <f>IFERROR(__xludf.DUMMYFUNCTION("""COMPUTED_VALUE"""),"27o 45' 17""")</f>
        <v>27o 45' 17"</v>
      </c>
      <c r="J2015" s="2" t="str">
        <f>IFERROR(__xludf.DUMMYFUNCTION("""COMPUTED_VALUE"""),"27o 47' 02""")</f>
        <v>27o 47' 02"</v>
      </c>
      <c r="K2015" s="2" t="str">
        <f>IFERROR(__xludf.DUMMYFUNCTION("""COMPUTED_VALUE"""),"86o 42' 00""")</f>
        <v>86o 42' 00"</v>
      </c>
      <c r="L2015" s="2" t="str">
        <f>IFERROR(__xludf.DUMMYFUNCTION("""COMPUTED_VALUE"""),"86o 44' 00""")</f>
        <v>86o 44' 00"</v>
      </c>
      <c r="M2015" s="2"/>
    </row>
    <row r="2016">
      <c r="A2016" s="2">
        <f>IFERROR(__xludf.DUMMYFUNCTION("""COMPUTED_VALUE"""),2015.0)</f>
        <v>2015</v>
      </c>
      <c r="B2016" s="2" t="str">
        <f>IFERROR(__xludf.DUMMYFUNCTION("""COMPUTED_VALUE"""),"Upper Inkhu khola HPP")</f>
        <v>Upper Inkhu khola HPP</v>
      </c>
      <c r="C2016" s="2">
        <f>IFERROR(__xludf.DUMMYFUNCTION("""COMPUTED_VALUE"""),9.0)</f>
        <v>9</v>
      </c>
      <c r="D2016" s="2" t="str">
        <f>IFERROR(__xludf.DUMMYFUNCTION("""COMPUTED_VALUE"""),"Inkhu")</f>
        <v>Inkhu</v>
      </c>
      <c r="E2016" s="2">
        <f>IFERROR(__xludf.DUMMYFUNCTION("""COMPUTED_VALUE"""),1079.0)</f>
        <v>1079</v>
      </c>
      <c r="F2016" s="3">
        <f>IFERROR(__xludf.DUMMYFUNCTION("""COMPUTED_VALUE"""),63342.0)</f>
        <v>63342</v>
      </c>
      <c r="G2016" s="2" t="str">
        <f>IFERROR(__xludf.DUMMYFUNCTION("""COMPUTED_VALUE"""),"Bijaya Bista, Rajendra Gautam")</f>
        <v>Bijaya Bista, Rajendra Gautam</v>
      </c>
      <c r="H2016" s="2" t="str">
        <f>IFERROR(__xludf.DUMMYFUNCTION("""COMPUTED_VALUE"""),"KTM 10 Baneshowar, 4484539, 9751000158, 9851214401")</f>
        <v>KTM 10 Baneshowar, 4484539, 9751000158, 9851214401</v>
      </c>
      <c r="I2016" s="2" t="str">
        <f>IFERROR(__xludf.DUMMYFUNCTION("""COMPUTED_VALUE"""),"27o 34' 19""")</f>
        <v>27o 34' 19"</v>
      </c>
      <c r="J2016" s="2" t="str">
        <f>IFERROR(__xludf.DUMMYFUNCTION("""COMPUTED_VALUE"""),"27o 36' 14""")</f>
        <v>27o 36' 14"</v>
      </c>
      <c r="K2016" s="2" t="str">
        <f>IFERROR(__xludf.DUMMYFUNCTION("""COMPUTED_VALUE"""),"86o 46' 01""")</f>
        <v>86o 46' 01"</v>
      </c>
      <c r="L2016" s="2" t="str">
        <f>IFERROR(__xludf.DUMMYFUNCTION("""COMPUTED_VALUE"""),"86o 47' 50""")</f>
        <v>86o 47' 50"</v>
      </c>
      <c r="M2016" s="2"/>
    </row>
    <row r="2017">
      <c r="A2017" s="2">
        <f>IFERROR(__xludf.DUMMYFUNCTION("""COMPUTED_VALUE"""),2016.0)</f>
        <v>2016</v>
      </c>
      <c r="B2017" s="2" t="str">
        <f>IFERROR(__xludf.DUMMYFUNCTION("""COMPUTED_VALUE"""),"Nyasiim khola HPP")</f>
        <v>Nyasiim khola HPP</v>
      </c>
      <c r="C2017" s="2">
        <f>IFERROR(__xludf.DUMMYFUNCTION("""COMPUTED_VALUE"""),30.0)</f>
        <v>30</v>
      </c>
      <c r="D2017" s="2" t="str">
        <f>IFERROR(__xludf.DUMMYFUNCTION("""COMPUTED_VALUE"""),"Nyasem Khola")</f>
        <v>Nyasem Khola</v>
      </c>
      <c r="E2017" s="2">
        <f>IFERROR(__xludf.DUMMYFUNCTION("""COMPUTED_VALUE"""),1292.0)</f>
        <v>1292</v>
      </c>
      <c r="F2017" s="3">
        <f>IFERROR(__xludf.DUMMYFUNCTION("""COMPUTED_VALUE"""),63354.0)</f>
        <v>63354</v>
      </c>
      <c r="G2017" s="2" t="str">
        <f>IFERROR(__xludf.DUMMYFUNCTION("""COMPUTED_VALUE"""),"Sita Hydropower Company Pvt.Ltd.")</f>
        <v>Sita Hydropower Company Pvt.Ltd.</v>
      </c>
      <c r="H2017" s="2" t="str">
        <f>IFERROR(__xludf.DUMMYFUNCTION("""COMPUTED_VALUE"""),"Kathmandu 13 kalimati,")</f>
        <v>Kathmandu 13 kalimati,</v>
      </c>
      <c r="I2017" s="2" t="str">
        <f>IFERROR(__xludf.DUMMYFUNCTION("""COMPUTED_VALUE"""),"27o 57' 30""")</f>
        <v>27o 57' 30"</v>
      </c>
      <c r="J2017" s="2" t="str">
        <f>IFERROR(__xludf.DUMMYFUNCTION("""COMPUTED_VALUE"""),"27o 59' 30""")</f>
        <v>27o 59' 30"</v>
      </c>
      <c r="K2017" s="2" t="str">
        <f>IFERROR(__xludf.DUMMYFUNCTION("""COMPUTED_VALUE"""),"85o 47' 30""")</f>
        <v>85o 47' 30"</v>
      </c>
      <c r="L2017" s="2" t="str">
        <f>IFERROR(__xludf.DUMMYFUNCTION("""COMPUTED_VALUE"""),"85o 49' 30""")</f>
        <v>85o 49' 30"</v>
      </c>
      <c r="M2017" s="2"/>
    </row>
    <row r="2018">
      <c r="A2018" s="2">
        <f>IFERROR(__xludf.DUMMYFUNCTION("""COMPUTED_VALUE"""),2017.0)</f>
        <v>2017</v>
      </c>
      <c r="B2018" s="2" t="str">
        <f>IFERROR(__xludf.DUMMYFUNCTION("""COMPUTED_VALUE"""),"Sipa khola Mini Hydroelectric Project")</f>
        <v>Sipa khola Mini Hydroelectric Project</v>
      </c>
      <c r="C2018" s="2">
        <f>IFERROR(__xludf.DUMMYFUNCTION("""COMPUTED_VALUE"""),0.945)</f>
        <v>0.945</v>
      </c>
      <c r="D2018" s="2" t="str">
        <f>IFERROR(__xludf.DUMMYFUNCTION("""COMPUTED_VALUE"""),"Sipa")</f>
        <v>Sipa</v>
      </c>
      <c r="E2018" s="2">
        <f>IFERROR(__xludf.DUMMYFUNCTION("""COMPUTED_VALUE"""),1373.0)</f>
        <v>1373</v>
      </c>
      <c r="F2018" s="3">
        <f>IFERROR(__xludf.DUMMYFUNCTION("""COMPUTED_VALUE"""),63359.0)</f>
        <v>63359</v>
      </c>
      <c r="G2018" s="2" t="str">
        <f>IFERROR(__xludf.DUMMYFUNCTION("""COMPUTED_VALUE"""),"Electro-com and Research Centre Pvt. Ltd.")</f>
        <v>Electro-com and Research Centre Pvt. Ltd.</v>
      </c>
      <c r="H2018" s="2" t="str">
        <f>IFERROR(__xludf.DUMMYFUNCTION("""COMPUTED_VALUE"""),"Kakani 9, Nuwakot. Ram Sharan Bhandari, Mob: 9851074414")</f>
        <v>Kakani 9, Nuwakot. Ram Sharan Bhandari, Mob: 9851074414</v>
      </c>
      <c r="I2018" s="2" t="str">
        <f>IFERROR(__xludf.DUMMYFUNCTION("""COMPUTED_VALUE"""),"27o 45' 00""")</f>
        <v>27o 45' 00"</v>
      </c>
      <c r="J2018" s="2" t="str">
        <f>IFERROR(__xludf.DUMMYFUNCTION("""COMPUTED_VALUE"""),"27o 45' 45""")</f>
        <v>27o 45' 45"</v>
      </c>
      <c r="K2018" s="2" t="str">
        <f>IFERROR(__xludf.DUMMYFUNCTION("""COMPUTED_VALUE"""),"85o 39' 45""")</f>
        <v>85o 39' 45"</v>
      </c>
      <c r="L2018" s="2" t="str">
        <f>IFERROR(__xludf.DUMMYFUNCTION("""COMPUTED_VALUE"""),"85o 41' 00""")</f>
        <v>85o 41' 00"</v>
      </c>
      <c r="M2018" s="2"/>
    </row>
    <row r="2019">
      <c r="A2019" s="2">
        <f>IFERROR(__xludf.DUMMYFUNCTION("""COMPUTED_VALUE"""),2018.0)</f>
        <v>2018</v>
      </c>
      <c r="B2019" s="2" t="str">
        <f>IFERROR(__xludf.DUMMYFUNCTION("""COMPUTED_VALUE"""),"Pangarsena small hydropower project")</f>
        <v>Pangarsena small hydropower project</v>
      </c>
      <c r="C2019" s="2">
        <f>IFERROR(__xludf.DUMMYFUNCTION("""COMPUTED_VALUE"""),0.96)</f>
        <v>0.96</v>
      </c>
      <c r="D2019" s="2" t="str">
        <f>IFERROR(__xludf.DUMMYFUNCTION("""COMPUTED_VALUE"""),"Shobha Khola")</f>
        <v>Shobha Khola</v>
      </c>
      <c r="E2019" s="2">
        <f>IFERROR(__xludf.DUMMYFUNCTION("""COMPUTED_VALUE"""),1387.0)</f>
        <v>1387</v>
      </c>
      <c r="F2019" s="3">
        <f>IFERROR(__xludf.DUMMYFUNCTION("""COMPUTED_VALUE"""),63360.0)</f>
        <v>63360</v>
      </c>
      <c r="G2019" s="2" t="str">
        <f>IFERROR(__xludf.DUMMYFUNCTION("""COMPUTED_VALUE"""),"Chandra Bahadur Budha")</f>
        <v>Chandra Bahadur Budha</v>
      </c>
      <c r="H2019" s="2" t="str">
        <f>IFERROR(__xludf.DUMMYFUNCTION("""COMPUTED_VALUE"""),"Rowa-7, Shova, Mugu Ph. no. 9841529084")</f>
        <v>Rowa-7, Shova, Mugu Ph. no. 9841529084</v>
      </c>
      <c r="I2019" s="2" t="str">
        <f>IFERROR(__xludf.DUMMYFUNCTION("""COMPUTED_VALUE"""),"29o 31' 53""")</f>
        <v>29o 31' 53"</v>
      </c>
      <c r="J2019" s="2" t="str">
        <f>IFERROR(__xludf.DUMMYFUNCTION("""COMPUTED_VALUE"""),"29o 33' 19""")</f>
        <v>29o 33' 19"</v>
      </c>
      <c r="K2019" s="2" t="str">
        <f>IFERROR(__xludf.DUMMYFUNCTION("""COMPUTED_VALUE"""),"82o 13' 47""")</f>
        <v>82o 13' 47"</v>
      </c>
      <c r="L2019" s="2" t="str">
        <f>IFERROR(__xludf.DUMMYFUNCTION("""COMPUTED_VALUE"""),"82o 15' 00""")</f>
        <v>82o 15' 00"</v>
      </c>
      <c r="M2019" s="2"/>
    </row>
    <row r="2020">
      <c r="A2020" s="2">
        <f>IFERROR(__xludf.DUMMYFUNCTION("""COMPUTED_VALUE"""),2019.0)</f>
        <v>2019</v>
      </c>
      <c r="B2020" s="2" t="str">
        <f>IFERROR(__xludf.DUMMYFUNCTION("""COMPUTED_VALUE"""),"|Upper Mewa Khola B")</f>
        <v>|Upper Mewa Khola B</v>
      </c>
      <c r="C2020" s="2">
        <f>IFERROR(__xludf.DUMMYFUNCTION("""COMPUTED_VALUE"""),5.0)</f>
        <v>5</v>
      </c>
      <c r="D2020" s="2" t="str">
        <f>IFERROR(__xludf.DUMMYFUNCTION("""COMPUTED_VALUE"""),"Mewa Khola")</f>
        <v>Mewa Khola</v>
      </c>
      <c r="E2020" s="2">
        <f>IFERROR(__xludf.DUMMYFUNCTION("""COMPUTED_VALUE"""),1429.0)</f>
        <v>1429</v>
      </c>
      <c r="F2020" s="3">
        <f>IFERROR(__xludf.DUMMYFUNCTION("""COMPUTED_VALUE"""),63371.0)</f>
        <v>63371</v>
      </c>
      <c r="G2020" s="2" t="str">
        <f>IFERROR(__xludf.DUMMYFUNCTION("""COMPUTED_VALUE"""),"Mewa Hydro Energy Pvt. Ltd.")</f>
        <v>Mewa Hydro Energy Pvt. Ltd.</v>
      </c>
      <c r="H2020" s="2" t="str">
        <f>IFERROR(__xludf.DUMMYFUNCTION("""COMPUTED_VALUE"""),"Devkota Sadak, Old Baneshor, Kathmandu -10 Ph:")</f>
        <v>Devkota Sadak, Old Baneshor, Kathmandu -10 Ph:</v>
      </c>
      <c r="I2020" s="2" t="str">
        <f>IFERROR(__xludf.DUMMYFUNCTION("""COMPUTED_VALUE"""),"27o 32' 37""")</f>
        <v>27o 32' 37"</v>
      </c>
      <c r="J2020" s="2" t="str">
        <f>IFERROR(__xludf.DUMMYFUNCTION("""COMPUTED_VALUE"""),"27o 34' 20""")</f>
        <v>27o 34' 20"</v>
      </c>
      <c r="K2020" s="2" t="str">
        <f>IFERROR(__xludf.DUMMYFUNCTION("""COMPUTED_VALUE"""),"87o 35' 34""")</f>
        <v>87o 35' 34"</v>
      </c>
      <c r="L2020" s="2" t="str">
        <f>IFERROR(__xludf.DUMMYFUNCTION("""COMPUTED_VALUE"""),"87o 37' 16""")</f>
        <v>87o 37' 16"</v>
      </c>
      <c r="M2020" s="2"/>
    </row>
    <row r="2021">
      <c r="A2021" s="2">
        <f>IFERROR(__xludf.DUMMYFUNCTION("""COMPUTED_VALUE"""),2020.0)</f>
        <v>2020</v>
      </c>
      <c r="B2021" s="2" t="str">
        <f>IFERROR(__xludf.DUMMYFUNCTION("""COMPUTED_VALUE"""),"Luha Khola Hydropower Project")</f>
        <v>Luha Khola Hydropower Project</v>
      </c>
      <c r="C2021" s="2">
        <f>IFERROR(__xludf.DUMMYFUNCTION("""COMPUTED_VALUE"""),5.0)</f>
        <v>5</v>
      </c>
      <c r="D2021" s="2" t="str">
        <f>IFERROR(__xludf.DUMMYFUNCTION("""COMPUTED_VALUE"""),"Luja Khola")</f>
        <v>Luja Khola</v>
      </c>
      <c r="E2021" s="2">
        <f>IFERROR(__xludf.DUMMYFUNCTION("""COMPUTED_VALUE"""),1538.0)</f>
        <v>1538</v>
      </c>
      <c r="F2021" s="3">
        <f>IFERROR(__xludf.DUMMYFUNCTION("""COMPUTED_VALUE"""),63378.0)</f>
        <v>63378</v>
      </c>
      <c r="G2021" s="2" t="str">
        <f>IFERROR(__xludf.DUMMYFUNCTION("""COMPUTED_VALUE"""),"Himshikhar Hydropower Pvt. Ltd.")</f>
        <v>Himshikhar Hydropower Pvt. Ltd.</v>
      </c>
      <c r="H2021" s="2" t="str">
        <f>IFERROR(__xludf.DUMMYFUNCTION("""COMPUTED_VALUE"""),"Samakhusi, Kathmandu-29")</f>
        <v>Samakhusi, Kathmandu-29</v>
      </c>
      <c r="I2021" s="2" t="str">
        <f>IFERROR(__xludf.DUMMYFUNCTION("""COMPUTED_VALUE"""),"27o 39' 00""")</f>
        <v>27o 39' 00"</v>
      </c>
      <c r="J2021" s="2" t="str">
        <f>IFERROR(__xludf.DUMMYFUNCTION("""COMPUTED_VALUE"""),"27o 41' 00""")</f>
        <v>27o 41' 00"</v>
      </c>
      <c r="K2021" s="2" t="str">
        <f>IFERROR(__xludf.DUMMYFUNCTION("""COMPUTED_VALUE"""),"86o 40' 54""")</f>
        <v>86o 40' 54"</v>
      </c>
      <c r="L2021" s="2" t="str">
        <f>IFERROR(__xludf.DUMMYFUNCTION("""COMPUTED_VALUE"""),"86o 42' 25""")</f>
        <v>86o 42' 25"</v>
      </c>
      <c r="M2021" s="2"/>
    </row>
    <row r="2022">
      <c r="A2022" s="2">
        <f>IFERROR(__xludf.DUMMYFUNCTION("""COMPUTED_VALUE"""),2021.0)</f>
        <v>2021</v>
      </c>
      <c r="B2022" s="2" t="str">
        <f>IFERROR(__xludf.DUMMYFUNCTION("""COMPUTED_VALUE"""),"Diamond Arun Hydropower Project")</f>
        <v>Diamond Arun Hydropower Project</v>
      </c>
      <c r="C2022" s="2">
        <f>IFERROR(__xludf.DUMMYFUNCTION("""COMPUTED_VALUE"""),89.0)</f>
        <v>89</v>
      </c>
      <c r="D2022" s="2" t="str">
        <f>IFERROR(__xludf.DUMMYFUNCTION("""COMPUTED_VALUE"""),"Arun")</f>
        <v>Arun</v>
      </c>
      <c r="E2022" s="2">
        <f>IFERROR(__xludf.DUMMYFUNCTION("""COMPUTED_VALUE"""),1558.0)</f>
        <v>1558</v>
      </c>
      <c r="F2022" s="3">
        <f>IFERROR(__xludf.DUMMYFUNCTION("""COMPUTED_VALUE"""),63379.0)</f>
        <v>63379</v>
      </c>
      <c r="G2022" s="2" t="str">
        <f>IFERROR(__xludf.DUMMYFUNCTION("""COMPUTED_VALUE"""),"Tsetan Gyurman Shrestha")</f>
        <v>Tsetan Gyurman Shrestha</v>
      </c>
      <c r="H2022" s="2" t="str">
        <f>IFERROR(__xludf.DUMMYFUNCTION("""COMPUTED_VALUE"""),"Boudha, Kathmandu 6, Nepal. mob: 9818785021")</f>
        <v>Boudha, Kathmandu 6, Nepal. mob: 9818785021</v>
      </c>
      <c r="I2022" s="2" t="str">
        <f>IFERROR(__xludf.DUMMYFUNCTION("""COMPUTED_VALUE"""),"27o 43' 23""")</f>
        <v>27o 43' 23"</v>
      </c>
      <c r="J2022" s="2" t="str">
        <f>IFERROR(__xludf.DUMMYFUNCTION("""COMPUTED_VALUE"""),"27o 44' 39""")</f>
        <v>27o 44' 39"</v>
      </c>
      <c r="K2022" s="2" t="str">
        <f>IFERROR(__xludf.DUMMYFUNCTION("""COMPUTED_VALUE"""),"87o 20' 41""")</f>
        <v>87o 20' 41"</v>
      </c>
      <c r="L2022" s="2" t="str">
        <f>IFERROR(__xludf.DUMMYFUNCTION("""COMPUTED_VALUE"""),"87o 21' 54""")</f>
        <v>87o 21' 54"</v>
      </c>
      <c r="M2022" s="2"/>
    </row>
    <row r="2023">
      <c r="A2023" s="2">
        <f>IFERROR(__xludf.DUMMYFUNCTION("""COMPUTED_VALUE"""),2022.0)</f>
        <v>2022</v>
      </c>
      <c r="B2023" s="2" t="str">
        <f>IFERROR(__xludf.DUMMYFUNCTION("""COMPUTED_VALUE"""),"Upper Budhigandaki nadi HYdropower Project")</f>
        <v>Upper Budhigandaki nadi HYdropower Project</v>
      </c>
      <c r="C2023" s="2">
        <f>IFERROR(__xludf.DUMMYFUNCTION("""COMPUTED_VALUE"""),5.0)</f>
        <v>5</v>
      </c>
      <c r="D2023" s="2" t="str">
        <f>IFERROR(__xludf.DUMMYFUNCTION("""COMPUTED_VALUE"""),"Budhi Gandaki")</f>
        <v>Budhi Gandaki</v>
      </c>
      <c r="E2023" s="2">
        <f>IFERROR(__xludf.DUMMYFUNCTION("""COMPUTED_VALUE"""),1563.0)</f>
        <v>1563</v>
      </c>
      <c r="F2023" s="3">
        <f>IFERROR(__xludf.DUMMYFUNCTION("""COMPUTED_VALUE"""),63380.0)</f>
        <v>63380</v>
      </c>
      <c r="G2023" s="2" t="str">
        <f>IFERROR(__xludf.DUMMYFUNCTION("""COMPUTED_VALUE"""),"Himandi Hydropower Pvt. Ltd.")</f>
        <v>Himandi Hydropower Pvt. Ltd.</v>
      </c>
      <c r="H2023" s="2" t="str">
        <f>IFERROR(__xludf.DUMMYFUNCTION("""COMPUTED_VALUE"""),"Samakhusi, Kathmandu-29, Phanindra Prasad Sharma, Ph: 4355874, Mob: 
9851245205")</f>
        <v>Samakhusi, Kathmandu-29, Phanindra Prasad Sharma, Ph: 4355874, Mob: 
9851245205</v>
      </c>
      <c r="I2023" s="2" t="str">
        <f>IFERROR(__xludf.DUMMYFUNCTION("""COMPUTED_VALUE"""),"28o 29' 20""")</f>
        <v>28o 29' 20"</v>
      </c>
      <c r="J2023" s="2" t="str">
        <f>IFERROR(__xludf.DUMMYFUNCTION("""COMPUTED_VALUE"""),"28o 31' 50""")</f>
        <v>28o 31' 50"</v>
      </c>
      <c r="K2023" s="2" t="str">
        <f>IFERROR(__xludf.DUMMYFUNCTION("""COMPUTED_VALUE"""),"84o 52' 25""")</f>
        <v>84o 52' 25"</v>
      </c>
      <c r="L2023" s="2" t="str">
        <f>IFERROR(__xludf.DUMMYFUNCTION("""COMPUTED_VALUE"""),"84o 54' 30""")</f>
        <v>84o 54' 30"</v>
      </c>
      <c r="M2023" s="2"/>
    </row>
    <row r="2024">
      <c r="A2024" s="2">
        <f>IFERROR(__xludf.DUMMYFUNCTION("""COMPUTED_VALUE"""),2023.0)</f>
        <v>2023</v>
      </c>
      <c r="B2024" s="2" t="str">
        <f>IFERROR(__xludf.DUMMYFUNCTION("""COMPUTED_VALUE"""),"Upper Koya Khola Hydropower Project")</f>
        <v>Upper Koya Khola Hydropower Project</v>
      </c>
      <c r="C2024" s="2">
        <f>IFERROR(__xludf.DUMMYFUNCTION("""COMPUTED_VALUE"""),3.2)</f>
        <v>3.2</v>
      </c>
      <c r="D2024" s="2" t="str">
        <f>IFERROR(__xludf.DUMMYFUNCTION("""COMPUTED_VALUE"""),"Koya Khola")</f>
        <v>Koya Khola</v>
      </c>
      <c r="E2024" s="2">
        <f>IFERROR(__xludf.DUMMYFUNCTION("""COMPUTED_VALUE"""),1572.0)</f>
        <v>1572</v>
      </c>
      <c r="F2024" s="3">
        <f>IFERROR(__xludf.DUMMYFUNCTION("""COMPUTED_VALUE"""),63380.0)</f>
        <v>63380</v>
      </c>
      <c r="G2024" s="2" t="str">
        <f>IFERROR(__xludf.DUMMYFUNCTION("""COMPUTED_VALUE"""),"Devendra Kumar Sambhamphe and Kopilman Lamphuwa (Limbu)")</f>
        <v>Devendra Kumar Sambhamphe and Kopilman Lamphuwa (Limbu)</v>
      </c>
      <c r="H2024" s="2" t="str">
        <f>IFERROR(__xludf.DUMMYFUNCTION("""COMPUTED_VALUE"""),"Ranigaun VDC 6, Panchthar. Mob: 9810192137 and Pauthak VDC 1 Terhathum. 
Mob: 9808460676")</f>
        <v>Ranigaun VDC 6, Panchthar. Mob: 9810192137 and Pauthak VDC 1 Terhathum. 
Mob: 9808460676</v>
      </c>
      <c r="I2024" s="2" t="str">
        <f>IFERROR(__xludf.DUMMYFUNCTION("""COMPUTED_VALUE"""),"27o 12' 53""")</f>
        <v>27o 12' 53"</v>
      </c>
      <c r="J2024" s="2" t="str">
        <f>IFERROR(__xludf.DUMMYFUNCTION("""COMPUTED_VALUE"""),"27o 14' 48""")</f>
        <v>27o 14' 48"</v>
      </c>
      <c r="K2024" s="2" t="str">
        <f>IFERROR(__xludf.DUMMYFUNCTION("""COMPUTED_VALUE"""),"87o 35' 39""")</f>
        <v>87o 35' 39"</v>
      </c>
      <c r="L2024" s="2" t="str">
        <f>IFERROR(__xludf.DUMMYFUNCTION("""COMPUTED_VALUE"""),"87o 36' 56""")</f>
        <v>87o 36' 56"</v>
      </c>
      <c r="M2024" s="2"/>
    </row>
    <row r="2025">
      <c r="A2025" s="2">
        <f>IFERROR(__xludf.DUMMYFUNCTION("""COMPUTED_VALUE"""),2024.0)</f>
        <v>2024</v>
      </c>
      <c r="B2025" s="2" t="str">
        <f>IFERROR(__xludf.DUMMYFUNCTION("""COMPUTED_VALUE"""),"Higher Arun")</f>
        <v>Higher Arun</v>
      </c>
      <c r="C2025" s="2">
        <f>IFERROR(__xludf.DUMMYFUNCTION("""COMPUTED_VALUE"""),87.0)</f>
        <v>87</v>
      </c>
      <c r="D2025" s="2" t="str">
        <f>IFERROR(__xludf.DUMMYFUNCTION("""COMPUTED_VALUE"""),"Arun")</f>
        <v>Arun</v>
      </c>
      <c r="E2025" s="2">
        <f>IFERROR(__xludf.DUMMYFUNCTION("""COMPUTED_VALUE"""),1582.0)</f>
        <v>1582</v>
      </c>
      <c r="F2025" s="3">
        <f>IFERROR(__xludf.DUMMYFUNCTION("""COMPUTED_VALUE"""),63381.0)</f>
        <v>63381</v>
      </c>
      <c r="G2025" s="2" t="str">
        <f>IFERROR(__xludf.DUMMYFUNCTION("""COMPUTED_VALUE"""),"Rajendra Prasad Goutam")</f>
        <v>Rajendra Prasad Goutam</v>
      </c>
      <c r="H2025" s="2" t="str">
        <f>IFERROR(__xludf.DUMMYFUNCTION("""COMPUTED_VALUE"""),"Kathmandu, 10, ph 9851000158")</f>
        <v>Kathmandu, 10, ph 9851000158</v>
      </c>
      <c r="I2025" s="2" t="str">
        <f>IFERROR(__xludf.DUMMYFUNCTION("""COMPUTED_VALUE"""),"27o 44' 11""")</f>
        <v>27o 44' 11"</v>
      </c>
      <c r="J2025" s="2" t="str">
        <f>IFERROR(__xludf.DUMMYFUNCTION("""COMPUTED_VALUE"""),"27o 45' 00""")</f>
        <v>27o 45' 00"</v>
      </c>
      <c r="K2025" s="2" t="str">
        <f>IFERROR(__xludf.DUMMYFUNCTION("""COMPUTED_VALUE"""),"87o 22' 16""")</f>
        <v>87o 22' 16"</v>
      </c>
      <c r="L2025" s="2" t="str">
        <f>IFERROR(__xludf.DUMMYFUNCTION("""COMPUTED_VALUE"""),"87o 24' 05""")</f>
        <v>87o 24' 05"</v>
      </c>
      <c r="M2025" s="2"/>
    </row>
    <row r="2026">
      <c r="A2026" s="2">
        <f>IFERROR(__xludf.DUMMYFUNCTION("""COMPUTED_VALUE"""),2025.0)</f>
        <v>2025</v>
      </c>
      <c r="B2026" s="2" t="str">
        <f>IFERROR(__xludf.DUMMYFUNCTION("""COMPUTED_VALUE"""),"Upper Phawa Khola A Small Hydropower Project")</f>
        <v>Upper Phawa Khola A Small Hydropower Project</v>
      </c>
      <c r="C2026" s="2">
        <f>IFERROR(__xludf.DUMMYFUNCTION("""COMPUTED_VALUE"""),0.934)</f>
        <v>0.934</v>
      </c>
      <c r="D2026" s="2" t="str">
        <f>IFERROR(__xludf.DUMMYFUNCTION("""COMPUTED_VALUE"""),"Phawa Khola")</f>
        <v>Phawa Khola</v>
      </c>
      <c r="E2026" s="2">
        <f>IFERROR(__xludf.DUMMYFUNCTION("""COMPUTED_VALUE"""),1629.0)</f>
        <v>1629</v>
      </c>
      <c r="F2026" s="3">
        <f>IFERROR(__xludf.DUMMYFUNCTION("""COMPUTED_VALUE"""),63392.0)</f>
        <v>63392</v>
      </c>
      <c r="G2026" s="2" t="str">
        <f>IFERROR(__xludf.DUMMYFUNCTION("""COMPUTED_VALUE"""),"Taplejung Energy and Investment Pvt. Ltd")</f>
        <v>Taplejung Energy and Investment Pvt. Ltd</v>
      </c>
      <c r="H2026" s="2" t="str">
        <f>IFERROR(__xludf.DUMMYFUNCTION("""COMPUTED_VALUE"""),"Ambika Marg Old Baneshwor Kathmandu, 9841411541,01-4488761")</f>
        <v>Ambika Marg Old Baneshwor Kathmandu, 9841411541,01-4488761</v>
      </c>
      <c r="I2026" s="2" t="str">
        <f>IFERROR(__xludf.DUMMYFUNCTION("""COMPUTED_VALUE"""),"27o 22' 02""")</f>
        <v>27o 22' 02"</v>
      </c>
      <c r="J2026" s="2" t="str">
        <f>IFERROR(__xludf.DUMMYFUNCTION("""COMPUTED_VALUE"""),"27o 24' 13""")</f>
        <v>27o 24' 13"</v>
      </c>
      <c r="K2026" s="2" t="str">
        <f>IFERROR(__xludf.DUMMYFUNCTION("""COMPUTED_VALUE"""),"87o 46' 07""")</f>
        <v>87o 46' 07"</v>
      </c>
      <c r="L2026" s="2" t="str">
        <f>IFERROR(__xludf.DUMMYFUNCTION("""COMPUTED_VALUE"""),"87o 48' 33""")</f>
        <v>87o 48' 33"</v>
      </c>
      <c r="M2026" s="2" t="str">
        <f>IFERROR(__xludf.DUMMYFUNCTION("""COMPUTED_VALUE"""),"Sikaicha (Taplejung)")</f>
        <v>Sikaicha (Taplejung)</v>
      </c>
    </row>
    <row r="2027">
      <c r="A2027" s="2">
        <f>IFERROR(__xludf.DUMMYFUNCTION("""COMPUTED_VALUE"""),2026.0)</f>
        <v>2026</v>
      </c>
      <c r="B2027" s="2" t="str">
        <f>IFERROR(__xludf.DUMMYFUNCTION("""COMPUTED_VALUE"""),"Madhya Hongu Khola HPP")</f>
        <v>Madhya Hongu Khola HPP</v>
      </c>
      <c r="C2027" s="2">
        <f>IFERROR(__xludf.DUMMYFUNCTION("""COMPUTED_VALUE"""),17.15)</f>
        <v>17.15</v>
      </c>
      <c r="D2027" s="2" t="str">
        <f>IFERROR(__xludf.DUMMYFUNCTION("""COMPUTED_VALUE"""),"Hongu Khola")</f>
        <v>Hongu Khola</v>
      </c>
      <c r="E2027" s="2">
        <f>IFERROR(__xludf.DUMMYFUNCTION("""COMPUTED_VALUE"""),1661.0)</f>
        <v>1661</v>
      </c>
      <c r="F2027" s="3">
        <f>IFERROR(__xludf.DUMMYFUNCTION("""COMPUTED_VALUE"""),63392.0)</f>
        <v>63392</v>
      </c>
      <c r="G2027" s="2" t="str">
        <f>IFERROR(__xludf.DUMMYFUNCTION("""COMPUTED_VALUE"""),"Gandaki Energy Limited")</f>
        <v>Gandaki Energy Limited</v>
      </c>
      <c r="H2027" s="2" t="str">
        <f>IFERROR(__xludf.DUMMYFUNCTION("""COMPUTED_VALUE"""),"Thapathali, Kathmandu, Phone no 4251080, 4101140")</f>
        <v>Thapathali, Kathmandu, Phone no 4251080, 4101140</v>
      </c>
      <c r="I2027" s="2" t="str">
        <f>IFERROR(__xludf.DUMMYFUNCTION("""COMPUTED_VALUE"""),"27o 28' 30""")</f>
        <v>27o 28' 30"</v>
      </c>
      <c r="J2027" s="2" t="str">
        <f>IFERROR(__xludf.DUMMYFUNCTION("""COMPUTED_VALUE"""),"27o 29' 21""")</f>
        <v>27o 29' 21"</v>
      </c>
      <c r="K2027" s="2" t="str">
        <f>IFERROR(__xludf.DUMMYFUNCTION("""COMPUTED_VALUE"""),"86o 45' 49""")</f>
        <v>86o 45' 49"</v>
      </c>
      <c r="L2027" s="2" t="str">
        <f>IFERROR(__xludf.DUMMYFUNCTION("""COMPUTED_VALUE"""),"86o 48' 26""")</f>
        <v>86o 48' 26"</v>
      </c>
      <c r="M2027" s="2"/>
    </row>
    <row r="2028">
      <c r="A2028" s="2">
        <f>IFERROR(__xludf.DUMMYFUNCTION("""COMPUTED_VALUE"""),2027.0)</f>
        <v>2027</v>
      </c>
      <c r="B2028" s="2" t="str">
        <f>IFERROR(__xludf.DUMMYFUNCTION("""COMPUTED_VALUE"""),"Nauli Khola Small HPP")</f>
        <v>Nauli Khola Small HPP</v>
      </c>
      <c r="C2028" s="2">
        <f>IFERROR(__xludf.DUMMYFUNCTION("""COMPUTED_VALUE"""),0.975)</f>
        <v>0.975</v>
      </c>
      <c r="D2028" s="2" t="str">
        <f>IFERROR(__xludf.DUMMYFUNCTION("""COMPUTED_VALUE"""),"Nauli")</f>
        <v>Nauli</v>
      </c>
      <c r="E2028" s="2">
        <f>IFERROR(__xludf.DUMMYFUNCTION("""COMPUTED_VALUE"""),1891.0)</f>
        <v>1891</v>
      </c>
      <c r="F2028" s="3">
        <f>IFERROR(__xludf.DUMMYFUNCTION("""COMPUTED_VALUE"""),63407.0)</f>
        <v>63407</v>
      </c>
      <c r="G2028" s="2" t="str">
        <f>IFERROR(__xludf.DUMMYFUNCTION("""COMPUTED_VALUE"""),"Kiran Power Company Pvt. Ltd.")</f>
        <v>Kiran Power Company Pvt. Ltd.</v>
      </c>
      <c r="H2028" s="2" t="str">
        <f>IFERROR(__xludf.DUMMYFUNCTION("""COMPUTED_VALUE"""),"Kaldhara -16, Ktm. Bikash Kiran Adhikari,")</f>
        <v>Kaldhara -16, Ktm. Bikash Kiran Adhikari,</v>
      </c>
      <c r="I2028" s="2" t="str">
        <f>IFERROR(__xludf.DUMMYFUNCTION("""COMPUTED_VALUE"""),"28o 10' 41""")</f>
        <v>28o 10' 41"</v>
      </c>
      <c r="J2028" s="2" t="str">
        <f>IFERROR(__xludf.DUMMYFUNCTION("""COMPUTED_VALUE"""),"28o 11' 47""")</f>
        <v>28o 11' 47"</v>
      </c>
      <c r="K2028" s="2" t="str">
        <f>IFERROR(__xludf.DUMMYFUNCTION("""COMPUTED_VALUE"""),"84o 51' 50""")</f>
        <v>84o 51' 50"</v>
      </c>
      <c r="L2028" s="2" t="str">
        <f>IFERROR(__xludf.DUMMYFUNCTION("""COMPUTED_VALUE"""),"84o 53' 03""")</f>
        <v>84o 53' 03"</v>
      </c>
      <c r="M2028" s="2" t="str">
        <f>IFERROR(__xludf.DUMMYFUNCTION("""COMPUTED_VALUE"""),"Lapu (Gorkha)")</f>
        <v>Lapu (Gorkha)</v>
      </c>
    </row>
    <row r="2029">
      <c r="A2029" s="2">
        <f>IFERROR(__xludf.DUMMYFUNCTION("""COMPUTED_VALUE"""),2028.0)</f>
        <v>2028</v>
      </c>
      <c r="B2029" s="2" t="str">
        <f>IFERROR(__xludf.DUMMYFUNCTION("""COMPUTED_VALUE"""),"NarKhola")</f>
        <v>NarKhola</v>
      </c>
      <c r="C2029" s="2">
        <f>IFERROR(__xludf.DUMMYFUNCTION("""COMPUTED_VALUE"""),24.63)</f>
        <v>24.63</v>
      </c>
      <c r="D2029" s="2" t="str">
        <f>IFERROR(__xludf.DUMMYFUNCTION("""COMPUTED_VALUE"""),"Nar Khola")</f>
        <v>Nar Khola</v>
      </c>
      <c r="E2029" s="2">
        <f>IFERROR(__xludf.DUMMYFUNCTION("""COMPUTED_VALUE"""),1898.0)</f>
        <v>1898</v>
      </c>
      <c r="F2029" s="3">
        <f>IFERROR(__xludf.DUMMYFUNCTION("""COMPUTED_VALUE"""),63407.0)</f>
        <v>63407</v>
      </c>
      <c r="G2029" s="2" t="str">
        <f>IFERROR(__xludf.DUMMYFUNCTION("""COMPUTED_VALUE"""),"Khare Investment Limited")</f>
        <v>Khare Investment Limited</v>
      </c>
      <c r="H2029" s="2" t="str">
        <f>IFERROR(__xludf.DUMMYFUNCTION("""COMPUTED_VALUE"""),"Thapathali, Kathmandu, 4261827")</f>
        <v>Thapathali, Kathmandu, 4261827</v>
      </c>
      <c r="I2029" s="2" t="str">
        <f>IFERROR(__xludf.DUMMYFUNCTION("""COMPUTED_VALUE"""),"28o 38' 04""")</f>
        <v>28o 38' 04"</v>
      </c>
      <c r="J2029" s="2" t="str">
        <f>IFERROR(__xludf.DUMMYFUNCTION("""COMPUTED_VALUE"""),"28o 40' 27""")</f>
        <v>28o 40' 27"</v>
      </c>
      <c r="K2029" s="2" t="str">
        <f>IFERROR(__xludf.DUMMYFUNCTION("""COMPUTED_VALUE"""),"84o 13' 10""")</f>
        <v>84o 13' 10"</v>
      </c>
      <c r="L2029" s="2" t="str">
        <f>IFERROR(__xludf.DUMMYFUNCTION("""COMPUTED_VALUE"""),"84o 15' 00""")</f>
        <v>84o 15' 00"</v>
      </c>
      <c r="M2029" s="2"/>
    </row>
    <row r="2030">
      <c r="A2030" s="2">
        <f>IFERROR(__xludf.DUMMYFUNCTION("""COMPUTED_VALUE"""),2029.0)</f>
        <v>2029</v>
      </c>
      <c r="B2030" s="2" t="str">
        <f>IFERROR(__xludf.DUMMYFUNCTION("""COMPUTED_VALUE"""),"Upper Budhigandaki HPP")</f>
        <v>Upper Budhigandaki HPP</v>
      </c>
      <c r="C2030" s="2">
        <f>IFERROR(__xludf.DUMMYFUNCTION("""COMPUTED_VALUE"""),220.0)</f>
        <v>220</v>
      </c>
      <c r="D2030" s="2" t="str">
        <f>IFERROR(__xludf.DUMMYFUNCTION("""COMPUTED_VALUE"""),"Budhi Gandaki")</f>
        <v>Budhi Gandaki</v>
      </c>
      <c r="E2030" s="2">
        <f>IFERROR(__xludf.DUMMYFUNCTION("""COMPUTED_VALUE"""),1931.0)</f>
        <v>1931</v>
      </c>
      <c r="F2030" s="3">
        <f>IFERROR(__xludf.DUMMYFUNCTION("""COMPUTED_VALUE"""),63408.0)</f>
        <v>63408</v>
      </c>
      <c r="G2030" s="2" t="str">
        <f>IFERROR(__xludf.DUMMYFUNCTION("""COMPUTED_VALUE"""),"Nauseni Hydro Pvt. Ltd")</f>
        <v>Nauseni Hydro Pvt. Ltd</v>
      </c>
      <c r="H2030" s="2" t="str">
        <f>IFERROR(__xludf.DUMMYFUNCTION("""COMPUTED_VALUE"""),"SAmakhushi, KTM, Ph 4004740")</f>
        <v>SAmakhushi, KTM, Ph 4004740</v>
      </c>
      <c r="I2030" s="2" t="str">
        <f>IFERROR(__xludf.DUMMYFUNCTION("""COMPUTED_VALUE"""),"28o 22' 01""")</f>
        <v>28o 22' 01"</v>
      </c>
      <c r="J2030" s="2" t="str">
        <f>IFERROR(__xludf.DUMMYFUNCTION("""COMPUTED_VALUE"""),"28o 26' 25""")</f>
        <v>28o 26' 25"</v>
      </c>
      <c r="K2030" s="2" t="str">
        <f>IFERROR(__xludf.DUMMYFUNCTION("""COMPUTED_VALUE"""),"84o 51' 58""")</f>
        <v>84o 51' 58"</v>
      </c>
      <c r="L2030" s="2" t="str">
        <f>IFERROR(__xludf.DUMMYFUNCTION("""COMPUTED_VALUE"""),"84o 56' 56""")</f>
        <v>84o 56' 56"</v>
      </c>
      <c r="M2030" s="2"/>
    </row>
    <row r="2031">
      <c r="A2031" s="2">
        <f>IFERROR(__xludf.DUMMYFUNCTION("""COMPUTED_VALUE"""),2030.0)</f>
        <v>2030</v>
      </c>
      <c r="B2031" s="2" t="str">
        <f>IFERROR(__xludf.DUMMYFUNCTION("""COMPUTED_VALUE"""),"Khimti Ghwan Hydropower Project")</f>
        <v>Khimti Ghwan Hydropower Project</v>
      </c>
      <c r="C2031" s="2">
        <f>IFERROR(__xludf.DUMMYFUNCTION("""COMPUTED_VALUE"""),4.8)</f>
        <v>4.8</v>
      </c>
      <c r="D2031" s="2" t="str">
        <f>IFERROR(__xludf.DUMMYFUNCTION("""COMPUTED_VALUE"""),"Khimti khola and Ghwan Khola")</f>
        <v>Khimti khola and Ghwan Khola</v>
      </c>
      <c r="E2031" s="2">
        <f>IFERROR(__xludf.DUMMYFUNCTION("""COMPUTED_VALUE"""),1969.0)</f>
        <v>1969</v>
      </c>
      <c r="F2031" s="3">
        <f>IFERROR(__xludf.DUMMYFUNCTION("""COMPUTED_VALUE"""),63409.0)</f>
        <v>63409</v>
      </c>
      <c r="G2031" s="2" t="str">
        <f>IFERROR(__xludf.DUMMYFUNCTION("""COMPUTED_VALUE"""),"Nepal Portfolio Energy Pvt. Ltd.")</f>
        <v>Nepal Portfolio Energy Pvt. Ltd.</v>
      </c>
      <c r="H2031" s="2" t="str">
        <f>IFERROR(__xludf.DUMMYFUNCTION("""COMPUTED_VALUE"""),"Devkota Sadak, Old Baneshor, Kathmandu -10. Manoj Kumar Bhandari and 
Somnath Kandel ph. no. 4487117, mob 9851026587")</f>
        <v>Devkota Sadak, Old Baneshor, Kathmandu -10. Manoj Kumar Bhandari and 
Somnath Kandel ph. no. 4487117, mob 9851026587</v>
      </c>
      <c r="I2031" s="2" t="str">
        <f>IFERROR(__xludf.DUMMYFUNCTION("""COMPUTED_VALUE"""),"27o 41' 29""")</f>
        <v>27o 41' 29"</v>
      </c>
      <c r="J2031" s="2" t="str">
        <f>IFERROR(__xludf.DUMMYFUNCTION("""COMPUTED_VALUE"""),"27o 44' 20""")</f>
        <v>27o 44' 20"</v>
      </c>
      <c r="K2031" s="2" t="str">
        <f>IFERROR(__xludf.DUMMYFUNCTION("""COMPUTED_VALUE"""),"86o 20' 56""")</f>
        <v>86o 20' 56"</v>
      </c>
      <c r="L2031" s="2" t="str">
        <f>IFERROR(__xludf.DUMMYFUNCTION("""COMPUTED_VALUE"""),"86o 22' 54""")</f>
        <v>86o 22' 54"</v>
      </c>
      <c r="M2031" s="2"/>
    </row>
    <row r="2032">
      <c r="A2032" s="2">
        <f>IFERROR(__xludf.DUMMYFUNCTION("""COMPUTED_VALUE"""),2031.0)</f>
        <v>2031</v>
      </c>
      <c r="B2032" s="2" t="str">
        <f>IFERROR(__xludf.DUMMYFUNCTION("""COMPUTED_VALUE"""),"Hudi Khola")</f>
        <v>Hudi Khola</v>
      </c>
      <c r="C2032" s="2">
        <f>IFERROR(__xludf.DUMMYFUNCTION("""COMPUTED_VALUE"""),1.61)</f>
        <v>1.61</v>
      </c>
      <c r="D2032" s="2" t="str">
        <f>IFERROR(__xludf.DUMMYFUNCTION("""COMPUTED_VALUE"""),"Hudi Khola")</f>
        <v>Hudi Khola</v>
      </c>
      <c r="E2032" s="2">
        <f>IFERROR(__xludf.DUMMYFUNCTION("""COMPUTED_VALUE"""),2055.0)</f>
        <v>2055</v>
      </c>
      <c r="F2032" s="3">
        <f>IFERROR(__xludf.DUMMYFUNCTION("""COMPUTED_VALUE"""),63415.0)</f>
        <v>63415</v>
      </c>
      <c r="G2032" s="2" t="str">
        <f>IFERROR(__xludf.DUMMYFUNCTION("""COMPUTED_VALUE"""),"Hudi Khola Hydropower Pvt. Ltd.")</f>
        <v>Hudi Khola Hydropower Pvt. Ltd.</v>
      </c>
      <c r="H2032" s="2" t="str">
        <f>IFERROR(__xludf.DUMMYFUNCTION("""COMPUTED_VALUE"""),"Nayabazaar -16, Kathmandu. Uttam Bhatta. Ph no 4359861, Mob no 9823113655")</f>
        <v>Nayabazaar -16, Kathmandu. Uttam Bhatta. Ph no 4359861, Mob no 9823113655</v>
      </c>
      <c r="I2032" s="2" t="str">
        <f>IFERROR(__xludf.DUMMYFUNCTION("""COMPUTED_VALUE"""),"28o 05' 50""")</f>
        <v>28o 05' 50"</v>
      </c>
      <c r="J2032" s="2" t="str">
        <f>IFERROR(__xludf.DUMMYFUNCTION("""COMPUTED_VALUE"""),"28o 06' 45""")</f>
        <v>28o 06' 45"</v>
      </c>
      <c r="K2032" s="2" t="str">
        <f>IFERROR(__xludf.DUMMYFUNCTION("""COMPUTED_VALUE"""),"84o 40' 30""")</f>
        <v>84o 40' 30"</v>
      </c>
      <c r="L2032" s="2" t="str">
        <f>IFERROR(__xludf.DUMMYFUNCTION("""COMPUTED_VALUE"""),"84o 42' 02""")</f>
        <v>84o 42' 02"</v>
      </c>
      <c r="M2032" s="2"/>
    </row>
    <row r="2033">
      <c r="A2033" s="2">
        <f>IFERROR(__xludf.DUMMYFUNCTION("""COMPUTED_VALUE"""),2032.0)</f>
        <v>2032</v>
      </c>
      <c r="B2033" s="2" t="str">
        <f>IFERROR(__xludf.DUMMYFUNCTION("""COMPUTED_VALUE"""),"Jhumsa Khola Hydropower Project")</f>
        <v>Jhumsa Khola Hydropower Project</v>
      </c>
      <c r="C2033" s="2">
        <f>IFERROR(__xludf.DUMMYFUNCTION("""COMPUTED_VALUE"""),0.979)</f>
        <v>0.979</v>
      </c>
      <c r="D2033" s="2" t="str">
        <f>IFERROR(__xludf.DUMMYFUNCTION("""COMPUTED_VALUE"""),"Jhumsa")</f>
        <v>Jhumsa</v>
      </c>
      <c r="E2033" s="2">
        <f>IFERROR(__xludf.DUMMYFUNCTION("""COMPUTED_VALUE"""),2085.0)</f>
        <v>2085</v>
      </c>
      <c r="F2033" s="3">
        <f>IFERROR(__xludf.DUMMYFUNCTION("""COMPUTED_VALUE"""),63417.0)</f>
        <v>63417</v>
      </c>
      <c r="G2033" s="2" t="str">
        <f>IFERROR(__xludf.DUMMYFUNCTION("""COMPUTED_VALUE"""),"Basnet Super Builders, Rukumkot-3, Rukum")</f>
        <v>Basnet Super Builders, Rukumkot-3, Rukum</v>
      </c>
      <c r="H2033" s="2" t="str">
        <f>IFERROR(__xludf.DUMMYFUNCTION("""COMPUTED_VALUE"""),"Datta Bahadur Basnet. Balkhu-14, Ktm. Mobile 9862264052, 01-5187181")</f>
        <v>Datta Bahadur Basnet. Balkhu-14, Ktm. Mobile 9862264052, 01-5187181</v>
      </c>
      <c r="I2033" s="2" t="str">
        <f>IFERROR(__xludf.DUMMYFUNCTION("""COMPUTED_VALUE"""),"27o 40' 50""")</f>
        <v>27o 40' 50"</v>
      </c>
      <c r="J2033" s="2" t="str">
        <f>IFERROR(__xludf.DUMMYFUNCTION("""COMPUTED_VALUE"""),"27o 43' 09""")</f>
        <v>27o 43' 09"</v>
      </c>
      <c r="K2033" s="2" t="str">
        <f>IFERROR(__xludf.DUMMYFUNCTION("""COMPUTED_VALUE"""),"83o 33' 10""")</f>
        <v>83o 33' 10"</v>
      </c>
      <c r="L2033" s="2" t="str">
        <f>IFERROR(__xludf.DUMMYFUNCTION("""COMPUTED_VALUE"""),"83o 35' 00""")</f>
        <v>83o 35' 00"</v>
      </c>
      <c r="M2033" s="2" t="str">
        <f>IFERROR(__xludf.DUMMYFUNCTION("""COMPUTED_VALUE"""),"Dobhan (Palpa) Devadaha (Rupandehi)")</f>
        <v>Dobhan (Palpa) Devadaha (Rupandehi)</v>
      </c>
    </row>
    <row r="2034">
      <c r="A2034" s="2">
        <f>IFERROR(__xludf.DUMMYFUNCTION("""COMPUTED_VALUE"""),2033.0)</f>
        <v>2033</v>
      </c>
      <c r="B2034" s="2" t="str">
        <f>IFERROR(__xludf.DUMMYFUNCTION("""COMPUTED_VALUE"""),"Palun khola 2")</f>
        <v>Palun khola 2</v>
      </c>
      <c r="C2034" s="2">
        <f>IFERROR(__xludf.DUMMYFUNCTION("""COMPUTED_VALUE"""),4.9)</f>
        <v>4.9</v>
      </c>
      <c r="D2034" s="2" t="str">
        <f>IFERROR(__xludf.DUMMYFUNCTION("""COMPUTED_VALUE"""),"Palun Khola")</f>
        <v>Palun Khola</v>
      </c>
      <c r="E2034" s="2">
        <f>IFERROR(__xludf.DUMMYFUNCTION("""COMPUTED_VALUE"""),2194.0)</f>
        <v>2194</v>
      </c>
      <c r="F2034" s="3">
        <f>IFERROR(__xludf.DUMMYFUNCTION("""COMPUTED_VALUE"""),63423.0)</f>
        <v>63423</v>
      </c>
      <c r="G2034" s="2" t="str">
        <f>IFERROR(__xludf.DUMMYFUNCTION("""COMPUTED_VALUE"""),"Spice Hydro Pvt. Ltd.")</f>
        <v>Spice Hydro Pvt. Ltd.</v>
      </c>
      <c r="H2034" s="2" t="str">
        <f>IFERROR(__xludf.DUMMYFUNCTION("""COMPUTED_VALUE"""),"Kathmandu 3, Maharajgunj")</f>
        <v>Kathmandu 3, Maharajgunj</v>
      </c>
      <c r="I2034" s="2" t="str">
        <f>IFERROR(__xludf.DUMMYFUNCTION("""COMPUTED_VALUE"""),"27o 33' 23""")</f>
        <v>27o 33' 23"</v>
      </c>
      <c r="J2034" s="2" t="str">
        <f>IFERROR(__xludf.DUMMYFUNCTION("""COMPUTED_VALUE"""),"27o 33' 54""")</f>
        <v>27o 33' 54"</v>
      </c>
      <c r="K2034" s="2" t="str">
        <f>IFERROR(__xludf.DUMMYFUNCTION("""COMPUTED_VALUE"""),"87o 37' 42""")</f>
        <v>87o 37' 42"</v>
      </c>
      <c r="L2034" s="2" t="str">
        <f>IFERROR(__xludf.DUMMYFUNCTION("""COMPUTED_VALUE"""),"87o 39' 17""")</f>
        <v>87o 39' 17"</v>
      </c>
      <c r="M2034" s="2"/>
    </row>
    <row r="2035">
      <c r="A2035" s="2">
        <f>IFERROR(__xludf.DUMMYFUNCTION("""COMPUTED_VALUE"""),2034.0)</f>
        <v>2034</v>
      </c>
      <c r="B2035" s="2" t="str">
        <f>IFERROR(__xludf.DUMMYFUNCTION("""COMPUTED_VALUE"""),"Perung Khola Small HPP")</f>
        <v>Perung Khola Small HPP</v>
      </c>
      <c r="C2035" s="2">
        <f>IFERROR(__xludf.DUMMYFUNCTION("""COMPUTED_VALUE"""),0.83)</f>
        <v>0.83</v>
      </c>
      <c r="D2035" s="2" t="str">
        <f>IFERROR(__xludf.DUMMYFUNCTION("""COMPUTED_VALUE"""),"Perung Khola")</f>
        <v>Perung Khola</v>
      </c>
      <c r="E2035" s="2">
        <f>IFERROR(__xludf.DUMMYFUNCTION("""COMPUTED_VALUE"""),2268.0)</f>
        <v>2268</v>
      </c>
      <c r="F2035" s="3">
        <f>IFERROR(__xludf.DUMMYFUNCTION("""COMPUTED_VALUE"""),63428.0)</f>
        <v>63428</v>
      </c>
      <c r="G2035" s="2" t="str">
        <f>IFERROR(__xludf.DUMMYFUNCTION("""COMPUTED_VALUE"""),"Radhika Thapa, High Voltage Production Pvt. Ltd.")</f>
        <v>Radhika Thapa, High Voltage Production Pvt. Ltd.</v>
      </c>
      <c r="H2035" s="2" t="str">
        <f>IFERROR(__xludf.DUMMYFUNCTION("""COMPUTED_VALUE"""),"Baneshor -10, Ktm. Mobile No. 9841741476")</f>
        <v>Baneshor -10, Ktm. Mobile No. 9841741476</v>
      </c>
      <c r="I2035" s="2" t="str">
        <f>IFERROR(__xludf.DUMMYFUNCTION("""COMPUTED_VALUE"""),"27o 36' 48""")</f>
        <v>27o 36' 48"</v>
      </c>
      <c r="J2035" s="2" t="str">
        <f>IFERROR(__xludf.DUMMYFUNCTION("""COMPUTED_VALUE"""),"27o 37' 50""")</f>
        <v>27o 37' 50"</v>
      </c>
      <c r="K2035" s="2" t="str">
        <f>IFERROR(__xludf.DUMMYFUNCTION("""COMPUTED_VALUE"""),"86o 25' 20""")</f>
        <v>86o 25' 20"</v>
      </c>
      <c r="L2035" s="2" t="str">
        <f>IFERROR(__xludf.DUMMYFUNCTION("""COMPUTED_VALUE"""),"86o 26' 13""")</f>
        <v>86o 26' 13"</v>
      </c>
      <c r="M2035" s="2" t="str">
        <f>IFERROR(__xludf.DUMMYFUNCTION("""COMPUTED_VALUE"""),"Gumdel (Ramechhap)")</f>
        <v>Gumdel (Ramechhap)</v>
      </c>
    </row>
    <row r="2036">
      <c r="A2036" s="2">
        <f>IFERROR(__xludf.DUMMYFUNCTION("""COMPUTED_VALUE"""),2035.0)</f>
        <v>2035</v>
      </c>
      <c r="B2036" s="2" t="str">
        <f>IFERROR(__xludf.DUMMYFUNCTION("""COMPUTED_VALUE"""),"Marbu Khola Small HPP")</f>
        <v>Marbu Khola Small HPP</v>
      </c>
      <c r="C2036" s="2">
        <f>IFERROR(__xludf.DUMMYFUNCTION("""COMPUTED_VALUE"""),0.87)</f>
        <v>0.87</v>
      </c>
      <c r="D2036" s="2" t="str">
        <f>IFERROR(__xludf.DUMMYFUNCTION("""COMPUTED_VALUE"""),"Marbu Khola")</f>
        <v>Marbu Khola</v>
      </c>
      <c r="E2036" s="2">
        <f>IFERROR(__xludf.DUMMYFUNCTION("""COMPUTED_VALUE"""),2269.0)</f>
        <v>2269</v>
      </c>
      <c r="F2036" s="3">
        <f>IFERROR(__xludf.DUMMYFUNCTION("""COMPUTED_VALUE"""),63428.0)</f>
        <v>63428</v>
      </c>
      <c r="G2036" s="2" t="str">
        <f>IFERROR(__xludf.DUMMYFUNCTION("""COMPUTED_VALUE"""),"Watt and Volt Pvt. Ltd.")</f>
        <v>Watt and Volt Pvt. Ltd.</v>
      </c>
      <c r="H2036" s="2" t="str">
        <f>IFERROR(__xludf.DUMMYFUNCTION("""COMPUTED_VALUE"""),"Chabahil -7, Ktm. Mobile no. 9841573676")</f>
        <v>Chabahil -7, Ktm. Mobile no. 9841573676</v>
      </c>
      <c r="I2036" s="2" t="str">
        <f>IFERROR(__xludf.DUMMYFUNCTION("""COMPUTED_VALUE"""),"27o 35' 44""")</f>
        <v>27o 35' 44"</v>
      </c>
      <c r="J2036" s="2" t="str">
        <f>IFERROR(__xludf.DUMMYFUNCTION("""COMPUTED_VALUE"""),"27o 36' 33""")</f>
        <v>27o 36' 33"</v>
      </c>
      <c r="K2036" s="2" t="str">
        <f>IFERROR(__xludf.DUMMYFUNCTION("""COMPUTED_VALUE"""),"86o 26' 11""")</f>
        <v>86o 26' 11"</v>
      </c>
      <c r="L2036" s="2" t="str">
        <f>IFERROR(__xludf.DUMMYFUNCTION("""COMPUTED_VALUE"""),"86o 27' 27""")</f>
        <v>86o 27' 27"</v>
      </c>
      <c r="M2036" s="2" t="str">
        <f>IFERROR(__xludf.DUMMYFUNCTION("""COMPUTED_VALUE"""),"Bhakanje (Solukhumbu)")</f>
        <v>Bhakanje (Solukhumbu)</v>
      </c>
    </row>
    <row r="2037">
      <c r="A2037" s="2">
        <f>IFERROR(__xludf.DUMMYFUNCTION("""COMPUTED_VALUE"""),2036.0)</f>
        <v>2036</v>
      </c>
      <c r="B2037" s="2" t="str">
        <f>IFERROR(__xludf.DUMMYFUNCTION("""COMPUTED_VALUE"""),"Nyasem -A HPP")</f>
        <v>Nyasem -A HPP</v>
      </c>
      <c r="C2037" s="2">
        <f>IFERROR(__xludf.DUMMYFUNCTION("""COMPUTED_VALUE"""),9.5)</f>
        <v>9.5</v>
      </c>
      <c r="D2037" s="2" t="str">
        <f>IFERROR(__xludf.DUMMYFUNCTION("""COMPUTED_VALUE"""),"Nyasem Khola")</f>
        <v>Nyasem Khola</v>
      </c>
      <c r="E2037" s="2">
        <f>IFERROR(__xludf.DUMMYFUNCTION("""COMPUTED_VALUE"""),2373.0)</f>
        <v>2373</v>
      </c>
      <c r="F2037" s="3">
        <f>IFERROR(__xludf.DUMMYFUNCTION("""COMPUTED_VALUE"""),63435.0)</f>
        <v>63435</v>
      </c>
      <c r="G2037" s="2" t="str">
        <f>IFERROR(__xludf.DUMMYFUNCTION("""COMPUTED_VALUE"""),"Sindhu Jwala Hydropower Pvt. Ltd.")</f>
        <v>Sindhu Jwala Hydropower Pvt. Ltd.</v>
      </c>
      <c r="H2037" s="2" t="str">
        <f>IFERROR(__xludf.DUMMYFUNCTION("""COMPUTED_VALUE"""),"Hanumansthan -32, Ktm. Churna Prasad Shrestha Mob.No. 985010735")</f>
        <v>Hanumansthan -32, Ktm. Churna Prasad Shrestha Mob.No. 985010735</v>
      </c>
      <c r="I2037" s="2" t="str">
        <f>IFERROR(__xludf.DUMMYFUNCTION("""COMPUTED_VALUE"""),"28o 00' 05""")</f>
        <v>28o 00' 05"</v>
      </c>
      <c r="J2037" s="2" t="str">
        <f>IFERROR(__xludf.DUMMYFUNCTION("""COMPUTED_VALUE"""),"28o 02' 05""")</f>
        <v>28o 02' 05"</v>
      </c>
      <c r="K2037" s="2" t="str">
        <f>IFERROR(__xludf.DUMMYFUNCTION("""COMPUTED_VALUE"""),"85o 50' 10""")</f>
        <v>85o 50' 10"</v>
      </c>
      <c r="L2037" s="2" t="str">
        <f>IFERROR(__xludf.DUMMYFUNCTION("""COMPUTED_VALUE"""),"85o 51' 40""")</f>
        <v>85o 51' 40"</v>
      </c>
      <c r="M2037" s="2" t="str">
        <f>IFERROR(__xludf.DUMMYFUNCTION("""COMPUTED_VALUE"""),"Gumba (Sindhupalchok)")</f>
        <v>Gumba (Sindhupalchok)</v>
      </c>
    </row>
    <row r="2038">
      <c r="A2038" s="2">
        <f>IFERROR(__xludf.DUMMYFUNCTION("""COMPUTED_VALUE"""),2037.0)</f>
        <v>2037</v>
      </c>
      <c r="B2038" s="2" t="str">
        <f>IFERROR(__xludf.DUMMYFUNCTION("""COMPUTED_VALUE"""),"Sani Bheri HPP")</f>
        <v>Sani Bheri HPP</v>
      </c>
      <c r="C2038" s="2">
        <f>IFERROR(__xludf.DUMMYFUNCTION("""COMPUTED_VALUE"""),44.52)</f>
        <v>44.52</v>
      </c>
      <c r="D2038" s="2" t="str">
        <f>IFERROR(__xludf.DUMMYFUNCTION("""COMPUTED_VALUE"""),"Sani Bheri")</f>
        <v>Sani Bheri</v>
      </c>
      <c r="E2038" s="2">
        <f>IFERROR(__xludf.DUMMYFUNCTION("""COMPUTED_VALUE"""),2384.0)</f>
        <v>2384</v>
      </c>
      <c r="F2038" s="3">
        <f>IFERROR(__xludf.DUMMYFUNCTION("""COMPUTED_VALUE"""),63436.0)</f>
        <v>63436</v>
      </c>
      <c r="G2038" s="2" t="str">
        <f>IFERROR(__xludf.DUMMYFUNCTION("""COMPUTED_VALUE"""),"Expert Hydro Investment Pvt. Ltd.")</f>
        <v>Expert Hydro Investment Pvt. Ltd.</v>
      </c>
      <c r="H2038" s="2" t="str">
        <f>IFERROR(__xludf.DUMMYFUNCTION("""COMPUTED_VALUE"""),"Putalisadak. Jayaram Aryal, Mob no. 9851024788")</f>
        <v>Putalisadak. Jayaram Aryal, Mob no. 9851024788</v>
      </c>
      <c r="I2038" s="2" t="str">
        <f>IFERROR(__xludf.DUMMYFUNCTION("""COMPUTED_VALUE"""),"28o 38' 09""")</f>
        <v>28o 38' 09"</v>
      </c>
      <c r="J2038" s="2" t="str">
        <f>IFERROR(__xludf.DUMMYFUNCTION("""COMPUTED_VALUE"""),"28o 40' 48""")</f>
        <v>28o 40' 48"</v>
      </c>
      <c r="K2038" s="2" t="str">
        <f>IFERROR(__xludf.DUMMYFUNCTION("""COMPUTED_VALUE"""),"82o 38' 23""")</f>
        <v>82o 38' 23"</v>
      </c>
      <c r="L2038" s="2" t="str">
        <f>IFERROR(__xludf.DUMMYFUNCTION("""COMPUTED_VALUE"""),"82o 43' 17""")</f>
        <v>82o 43' 17"</v>
      </c>
      <c r="M2038" s="2" t="str">
        <f>IFERROR(__xludf.DUMMYFUNCTION("""COMPUTED_VALUE"""),"Rangsi (Rukum)")</f>
        <v>Rangsi (Rukum)</v>
      </c>
    </row>
    <row r="2039">
      <c r="A2039" s="2">
        <f>IFERROR(__xludf.DUMMYFUNCTION("""COMPUTED_VALUE"""),2038.0)</f>
        <v>2038</v>
      </c>
      <c r="B2039" s="2" t="str">
        <f>IFERROR(__xludf.DUMMYFUNCTION("""COMPUTED_VALUE"""),"Super Sankhuwa Khola HPP")</f>
        <v>Super Sankhuwa Khola HPP</v>
      </c>
      <c r="C2039" s="2">
        <f>IFERROR(__xludf.DUMMYFUNCTION("""COMPUTED_VALUE"""),42.03)</f>
        <v>42.03</v>
      </c>
      <c r="D2039" s="2" t="str">
        <f>IFERROR(__xludf.DUMMYFUNCTION("""COMPUTED_VALUE"""),"Sankhuwa")</f>
        <v>Sankhuwa</v>
      </c>
      <c r="E2039" s="2">
        <f>IFERROR(__xludf.DUMMYFUNCTION("""COMPUTED_VALUE"""),2599.0)</f>
        <v>2599</v>
      </c>
      <c r="F2039" s="3">
        <f>IFERROR(__xludf.DUMMYFUNCTION("""COMPUTED_VALUE"""),63449.0)</f>
        <v>63449</v>
      </c>
      <c r="G2039" s="2" t="str">
        <f>IFERROR(__xludf.DUMMYFUNCTION("""COMPUTED_VALUE"""),"Tsetan Gyurman Shrestha, Bikram Bista and Tarabahadur Isbo Limbu")</f>
        <v>Tsetan Gyurman Shrestha, Bikram Bista and Tarabahadur Isbo Limbu</v>
      </c>
      <c r="H2039" s="2" t="str">
        <f>IFERROR(__xludf.DUMMYFUNCTION("""COMPUTED_VALUE"""),"Boudha, Kathmandu 6, Nepal. mob: 9818785021, 9851047673")</f>
        <v>Boudha, Kathmandu 6, Nepal. mob: 9818785021, 9851047673</v>
      </c>
      <c r="I2039" s="2" t="str">
        <f>IFERROR(__xludf.DUMMYFUNCTION("""COMPUTED_VALUE"""),"27o 31' 53""")</f>
        <v>27o 31' 53"</v>
      </c>
      <c r="J2039" s="2" t="str">
        <f>IFERROR(__xludf.DUMMYFUNCTION("""COMPUTED_VALUE"""),"27o 33' 34""")</f>
        <v>27o 33' 34"</v>
      </c>
      <c r="K2039" s="2" t="str">
        <f>IFERROR(__xludf.DUMMYFUNCTION("""COMPUTED_VALUE"""),"87o 01' 12""")</f>
        <v>87o 01' 12"</v>
      </c>
      <c r="L2039" s="2" t="str">
        <f>IFERROR(__xludf.DUMMYFUNCTION("""COMPUTED_VALUE"""),"87o 04' 20""")</f>
        <v>87o 04' 20"</v>
      </c>
      <c r="M2039" s="2" t="str">
        <f>IFERROR(__xludf.DUMMYFUNCTION("""COMPUTED_VALUE"""),"Bala,Tamfok (Sankhuwasabha)")</f>
        <v>Bala,Tamfok (Sankhuwasabha)</v>
      </c>
    </row>
    <row r="2040">
      <c r="A2040" s="2">
        <f>IFERROR(__xludf.DUMMYFUNCTION("""COMPUTED_VALUE"""),2039.0)</f>
        <v>2039</v>
      </c>
      <c r="B2040" s="2" t="str">
        <f>IFERROR(__xludf.DUMMYFUNCTION("""COMPUTED_VALUE"""),"Jaldigad HPP")</f>
        <v>Jaldigad HPP</v>
      </c>
      <c r="C2040" s="2">
        <f>IFERROR(__xludf.DUMMYFUNCTION("""COMPUTED_VALUE"""),21.48)</f>
        <v>21.48</v>
      </c>
      <c r="D2040" s="2" t="str">
        <f>IFERROR(__xludf.DUMMYFUNCTION("""COMPUTED_VALUE"""),"Jaldi Gad")</f>
        <v>Jaldi Gad</v>
      </c>
      <c r="E2040" s="2">
        <f>IFERROR(__xludf.DUMMYFUNCTION("""COMPUTED_VALUE"""),2600.0)</f>
        <v>2600</v>
      </c>
      <c r="F2040" s="3">
        <f>IFERROR(__xludf.DUMMYFUNCTION("""COMPUTED_VALUE"""),63449.0)</f>
        <v>63449</v>
      </c>
      <c r="G2040" s="2" t="str">
        <f>IFERROR(__xludf.DUMMYFUNCTION("""COMPUTED_VALUE"""),"Shangrila Hydropower pvt. Ltd.")</f>
        <v>Shangrila Hydropower pvt. Ltd.</v>
      </c>
      <c r="H2040" s="2" t="str">
        <f>IFERROR(__xludf.DUMMYFUNCTION("""COMPUTED_VALUE"""),"Sinamangal -9, Kathmandu, Nabin Kandel, mob no. 9851026513")</f>
        <v>Sinamangal -9, Kathmandu, Nabin Kandel, mob no. 9851026513</v>
      </c>
      <c r="I2040" s="2" t="str">
        <f>IFERROR(__xludf.DUMMYFUNCTION("""COMPUTED_VALUE"""),"28o 48' 28""")</f>
        <v>28o 48' 28"</v>
      </c>
      <c r="J2040" s="2" t="str">
        <f>IFERROR(__xludf.DUMMYFUNCTION("""COMPUTED_VALUE"""),"28o 51' 15""")</f>
        <v>28o 51' 15"</v>
      </c>
      <c r="K2040" s="2" t="str">
        <f>IFERROR(__xludf.DUMMYFUNCTION("""COMPUTED_VALUE"""),"82o 25' 00""")</f>
        <v>82o 25' 00"</v>
      </c>
      <c r="L2040" s="2" t="str">
        <f>IFERROR(__xludf.DUMMYFUNCTION("""COMPUTED_VALUE"""),"82o 30' 00""")</f>
        <v>82o 30' 00"</v>
      </c>
      <c r="M2040" s="2" t="str">
        <f>IFERROR(__xludf.DUMMYFUNCTION("""COMPUTED_VALUE"""),"Syalakhadi (Rukum)")</f>
        <v>Syalakhadi (Rukum)</v>
      </c>
    </row>
    <row r="2041">
      <c r="A2041" s="2">
        <f>IFERROR(__xludf.DUMMYFUNCTION("""COMPUTED_VALUE"""),2040.0)</f>
        <v>2040</v>
      </c>
      <c r="B2041" s="2" t="str">
        <f>IFERROR(__xludf.DUMMYFUNCTION("""COMPUTED_VALUE"""),"Chhahare Khola HPP")</f>
        <v>Chhahare Khola HPP</v>
      </c>
      <c r="C2041" s="2">
        <f>IFERROR(__xludf.DUMMYFUNCTION("""COMPUTED_VALUE"""),17.5)</f>
        <v>17.5</v>
      </c>
      <c r="D2041" s="2" t="str">
        <f>IFERROR(__xludf.DUMMYFUNCTION("""COMPUTED_VALUE"""),"Chhahare khola")</f>
        <v>Chhahare khola</v>
      </c>
      <c r="E2041" s="2">
        <f>IFERROR(__xludf.DUMMYFUNCTION("""COMPUTED_VALUE"""),2688.0)</f>
        <v>2688</v>
      </c>
      <c r="F2041" s="3">
        <f>IFERROR(__xludf.DUMMYFUNCTION("""COMPUTED_VALUE"""),63452.0)</f>
        <v>63452</v>
      </c>
      <c r="G2041" s="2" t="str">
        <f>IFERROR(__xludf.DUMMYFUNCTION("""COMPUTED_VALUE"""),"Vision Energy and Power Pvt. Ltd.")</f>
        <v>Vision Energy and Power Pvt. Ltd.</v>
      </c>
      <c r="H2041" s="2" t="str">
        <f>IFERROR(__xludf.DUMMYFUNCTION("""COMPUTED_VALUE"""),"New Baneshor, Ktm, Nepal, Teknath Aacharya, Ph.no.4785525")</f>
        <v>New Baneshor, Ktm, Nepal, Teknath Aacharya, Ph.no.4785525</v>
      </c>
      <c r="I2041" s="2" t="str">
        <f>IFERROR(__xludf.DUMMYFUNCTION("""COMPUTED_VALUE"""),"28o 25' 00""")</f>
        <v>28o 25' 00"</v>
      </c>
      <c r="J2041" s="2" t="str">
        <f>IFERROR(__xludf.DUMMYFUNCTION("""COMPUTED_VALUE"""),"28o 27' 07""")</f>
        <v>28o 27' 07"</v>
      </c>
      <c r="K2041" s="2" t="str">
        <f>IFERROR(__xludf.DUMMYFUNCTION("""COMPUTED_VALUE"""),"84o 24' 00""")</f>
        <v>84o 24' 00"</v>
      </c>
      <c r="L2041" s="2" t="str">
        <f>IFERROR(__xludf.DUMMYFUNCTION("""COMPUTED_VALUE"""),"84o 26' 20""")</f>
        <v>84o 26' 20"</v>
      </c>
      <c r="M2041" s="2" t="str">
        <f>IFERROR(__xludf.DUMMYFUNCTION("""COMPUTED_VALUE"""),"Ghermu (Lamjung)")</f>
        <v>Ghermu (Lamjung)</v>
      </c>
    </row>
    <row r="2042">
      <c r="A2042" s="2">
        <f>IFERROR(__xludf.DUMMYFUNCTION("""COMPUTED_VALUE"""),2041.0)</f>
        <v>2041</v>
      </c>
      <c r="B2042" s="2" t="str">
        <f>IFERROR(__xludf.DUMMYFUNCTION("""COMPUTED_VALUE"""),"Upper Seti-1 Hydropower Project")</f>
        <v>Upper Seti-1 Hydropower Project</v>
      </c>
      <c r="C2042" s="2">
        <f>IFERROR(__xludf.DUMMYFUNCTION("""COMPUTED_VALUE"""),21.0)</f>
        <v>21</v>
      </c>
      <c r="D2042" s="2" t="str">
        <f>IFERROR(__xludf.DUMMYFUNCTION("""COMPUTED_VALUE"""),"Seti Khola")</f>
        <v>Seti Khola</v>
      </c>
      <c r="E2042" s="2">
        <f>IFERROR(__xludf.DUMMYFUNCTION("""COMPUTED_VALUE"""),2692.0)</f>
        <v>2692</v>
      </c>
      <c r="F2042" s="3">
        <f>IFERROR(__xludf.DUMMYFUNCTION("""COMPUTED_VALUE"""),63452.0)</f>
        <v>63452</v>
      </c>
      <c r="G2042" s="2" t="str">
        <f>IFERROR(__xludf.DUMMYFUNCTION("""COMPUTED_VALUE"""),"Shrestha Energy Solutions Pvt. Ltd.")</f>
        <v>Shrestha Energy Solutions Pvt. Ltd.</v>
      </c>
      <c r="H2042" s="2" t="str">
        <f>IFERROR(__xludf.DUMMYFUNCTION("""COMPUTED_VALUE"""),"Budha Nilkantha Kathmnadu Nepal, Tel. 01-4373665")</f>
        <v>Budha Nilkantha Kathmnadu Nepal, Tel. 01-4373665</v>
      </c>
      <c r="I2042" s="2" t="str">
        <f>IFERROR(__xludf.DUMMYFUNCTION("""COMPUTED_VALUE"""),"28o 16' 38""")</f>
        <v>28o 16' 38"</v>
      </c>
      <c r="J2042" s="2" t="str">
        <f>IFERROR(__xludf.DUMMYFUNCTION("""COMPUTED_VALUE"""),"28o 18' 40""")</f>
        <v>28o 18' 40"</v>
      </c>
      <c r="K2042" s="2" t="str">
        <f>IFERROR(__xludf.DUMMYFUNCTION("""COMPUTED_VALUE"""),"83o 56' 00""")</f>
        <v>83o 56' 00"</v>
      </c>
      <c r="L2042" s="2" t="str">
        <f>IFERROR(__xludf.DUMMYFUNCTION("""COMPUTED_VALUE"""),"83o 57' 50""")</f>
        <v>83o 57' 50"</v>
      </c>
      <c r="M2042" s="2" t="str">
        <f>IFERROR(__xludf.DUMMYFUNCTION("""COMPUTED_VALUE"""),"Purachaur (Kaski)")</f>
        <v>Purachaur (Kaski)</v>
      </c>
    </row>
    <row r="2043">
      <c r="A2043" s="2">
        <f>IFERROR(__xludf.DUMMYFUNCTION("""COMPUTED_VALUE"""),2042.0)</f>
        <v>2042</v>
      </c>
      <c r="B2043" s="2" t="str">
        <f>IFERROR(__xludf.DUMMYFUNCTION("""COMPUTED_VALUE"""),"Upper Madi 0")</f>
        <v>Upper Madi 0</v>
      </c>
      <c r="C2043" s="2">
        <f>IFERROR(__xludf.DUMMYFUNCTION("""COMPUTED_VALUE"""),38.0)</f>
        <v>38</v>
      </c>
      <c r="D2043" s="2" t="str">
        <f>IFERROR(__xludf.DUMMYFUNCTION("""COMPUTED_VALUE"""),"Madi Khola")</f>
        <v>Madi Khola</v>
      </c>
      <c r="E2043" s="2">
        <f>IFERROR(__xludf.DUMMYFUNCTION("""COMPUTED_VALUE"""),2704.0)</f>
        <v>2704</v>
      </c>
      <c r="F2043" s="3">
        <f>IFERROR(__xludf.DUMMYFUNCTION("""COMPUTED_VALUE"""),63452.0)</f>
        <v>63452</v>
      </c>
      <c r="G2043" s="2" t="str">
        <f>IFERROR(__xludf.DUMMYFUNCTION("""COMPUTED_VALUE"""),"Annapurna Power Company Pvt. Ltd.")</f>
        <v>Annapurna Power Company Pvt. Ltd.</v>
      </c>
      <c r="H2043" s="2" t="str">
        <f>IFERROR(__xludf.DUMMYFUNCTION("""COMPUTED_VALUE"""),"Sanepa, Lalitpur -3.")</f>
        <v>Sanepa, Lalitpur -3.</v>
      </c>
      <c r="I2043" s="2" t="str">
        <f>IFERROR(__xludf.DUMMYFUNCTION("""COMPUTED_VALUE"""),"28o 31' 19""")</f>
        <v>28o 31' 19"</v>
      </c>
      <c r="J2043" s="2" t="str">
        <f>IFERROR(__xludf.DUMMYFUNCTION("""COMPUTED_VALUE"""),"28o 35' 00""")</f>
        <v>28o 35' 00"</v>
      </c>
      <c r="K2043" s="2" t="str">
        <f>IFERROR(__xludf.DUMMYFUNCTION("""COMPUTED_VALUE"""),"83o 16' 28""")</f>
        <v>83o 16' 28"</v>
      </c>
      <c r="L2043" s="2" t="str">
        <f>IFERROR(__xludf.DUMMYFUNCTION("""COMPUTED_VALUE"""),"83o 21' 44""")</f>
        <v>83o 21' 44"</v>
      </c>
      <c r="M2043" s="2" t="str">
        <f>IFERROR(__xludf.DUMMYFUNCTION("""COMPUTED_VALUE"""),"Namarjung,Parche (Kaski)")</f>
        <v>Namarjung,Parche (Kaski)</v>
      </c>
    </row>
    <row r="2044">
      <c r="A2044" s="2">
        <f>IFERROR(__xludf.DUMMYFUNCTION("""COMPUTED_VALUE"""),2043.0)</f>
        <v>2043</v>
      </c>
      <c r="B2044" s="2" t="str">
        <f>IFERROR(__xludf.DUMMYFUNCTION("""COMPUTED_VALUE"""),"Upper Deumai Khola Small HPP")</f>
        <v>Upper Deumai Khola Small HPP</v>
      </c>
      <c r="C2044" s="2">
        <f>IFERROR(__xludf.DUMMYFUNCTION("""COMPUTED_VALUE"""),9.8)</f>
        <v>9.8</v>
      </c>
      <c r="D2044" s="2" t="str">
        <f>IFERROR(__xludf.DUMMYFUNCTION("""COMPUTED_VALUE"""),"Deumai")</f>
        <v>Deumai</v>
      </c>
      <c r="E2044" s="2">
        <f>IFERROR(__xludf.DUMMYFUNCTION("""COMPUTED_VALUE"""),2709.0)</f>
        <v>2709</v>
      </c>
      <c r="F2044" s="3">
        <f>IFERROR(__xludf.DUMMYFUNCTION("""COMPUTED_VALUE"""),63452.0)</f>
        <v>63452</v>
      </c>
      <c r="G2044" s="2" t="str">
        <f>IFERROR(__xludf.DUMMYFUNCTION("""COMPUTED_VALUE"""),"Buddhi Bahadur Karki and Uddhav Raj Sibakoti")</f>
        <v>Buddhi Bahadur Karki and Uddhav Raj Sibakoti</v>
      </c>
      <c r="H2044" s="2" t="str">
        <f>IFERROR(__xludf.DUMMYFUNCTION("""COMPUTED_VALUE"""),"Okhaldhunga and Dolakha, 9851066431 and 9849848396")</f>
        <v>Okhaldhunga and Dolakha, 9851066431 and 9849848396</v>
      </c>
      <c r="I2044" s="2" t="str">
        <f>IFERROR(__xludf.DUMMYFUNCTION("""COMPUTED_VALUE"""),"26o 54' 40""")</f>
        <v>26o 54' 40"</v>
      </c>
      <c r="J2044" s="2" t="str">
        <f>IFERROR(__xludf.DUMMYFUNCTION("""COMPUTED_VALUE"""),"26o 57' 50""")</f>
        <v>26o 57' 50"</v>
      </c>
      <c r="K2044" s="2" t="str">
        <f>IFERROR(__xludf.DUMMYFUNCTION("""COMPUTED_VALUE"""),"87o 46' 15""")</f>
        <v>87o 46' 15"</v>
      </c>
      <c r="L2044" s="2" t="str">
        <f>IFERROR(__xludf.DUMMYFUNCTION("""COMPUTED_VALUE"""),"87o 48' 55""")</f>
        <v>87o 48' 55"</v>
      </c>
      <c r="M2044" s="2" t="str">
        <f>IFERROR(__xludf.DUMMYFUNCTION("""COMPUTED_VALUE"""),"Mangalbare,Ghuseni,Ektappa (Ilam)")</f>
        <v>Mangalbare,Ghuseni,Ektappa (Ilam)</v>
      </c>
    </row>
    <row r="2045">
      <c r="A2045" s="2">
        <f>IFERROR(__xludf.DUMMYFUNCTION("""COMPUTED_VALUE"""),2044.0)</f>
        <v>2044</v>
      </c>
      <c r="B2045" s="2" t="str">
        <f>IFERROR(__xludf.DUMMYFUNCTION("""COMPUTED_VALUE"""),"Lower Apsuwa Khola HPP")</f>
        <v>Lower Apsuwa Khola HPP</v>
      </c>
      <c r="C2045" s="2">
        <f>IFERROR(__xludf.DUMMYFUNCTION("""COMPUTED_VALUE"""),74.5)</f>
        <v>74.5</v>
      </c>
      <c r="D2045" s="2" t="str">
        <f>IFERROR(__xludf.DUMMYFUNCTION("""COMPUTED_VALUE"""),"Apsuwa Khola")</f>
        <v>Apsuwa Khola</v>
      </c>
      <c r="E2045" s="2">
        <f>IFERROR(__xludf.DUMMYFUNCTION("""COMPUTED_VALUE"""),2713.0)</f>
        <v>2713</v>
      </c>
      <c r="F2045" s="3">
        <f>IFERROR(__xludf.DUMMYFUNCTION("""COMPUTED_VALUE"""),63452.0)</f>
        <v>63452</v>
      </c>
      <c r="G2045" s="2" t="str">
        <f>IFERROR(__xludf.DUMMYFUNCTION("""COMPUTED_VALUE"""),"Ripoo Mardenee Pvt. Ltd.")</f>
        <v>Ripoo Mardenee Pvt. Ltd.</v>
      </c>
      <c r="H2045" s="2" t="str">
        <f>IFERROR(__xludf.DUMMYFUNCTION("""COMPUTED_VALUE"""),"New Baneshor, Ktm, Nepal")</f>
        <v>New Baneshor, Ktm, Nepal</v>
      </c>
      <c r="I2045" s="2" t="str">
        <f>IFERROR(__xludf.DUMMYFUNCTION("""COMPUTED_VALUE"""),"27o 30' 49""")</f>
        <v>27o 30' 49"</v>
      </c>
      <c r="J2045" s="2" t="str">
        <f>IFERROR(__xludf.DUMMYFUNCTION("""COMPUTED_VALUE"""),"27o 35' 40""")</f>
        <v>27o 35' 40"</v>
      </c>
      <c r="K2045" s="2" t="str">
        <f>IFERROR(__xludf.DUMMYFUNCTION("""COMPUTED_VALUE"""),"87o 10' 00""")</f>
        <v>87o 10' 00"</v>
      </c>
      <c r="L2045" s="2" t="str">
        <f>IFERROR(__xludf.DUMMYFUNCTION("""COMPUTED_VALUE"""),"87o 14' 00""")</f>
        <v>87o 14' 00"</v>
      </c>
      <c r="M2045" s="2" t="str">
        <f>IFERROR(__xludf.DUMMYFUNCTION("""COMPUTED_VALUE"""),"Yafu (Sankhuwasabha)")</f>
        <v>Yafu (Sankhuwasabha)</v>
      </c>
    </row>
    <row r="2046">
      <c r="A2046" s="2">
        <f>IFERROR(__xludf.DUMMYFUNCTION("""COMPUTED_VALUE"""),2045.0)</f>
        <v>2045</v>
      </c>
      <c r="B2046" s="2" t="str">
        <f>IFERROR(__xludf.DUMMYFUNCTION("""COMPUTED_VALUE"""),"Panpu Khola Small HPP")</f>
        <v>Panpu Khola Small HPP</v>
      </c>
      <c r="C2046" s="2">
        <f>IFERROR(__xludf.DUMMYFUNCTION("""COMPUTED_VALUE"""),5.0)</f>
        <v>5</v>
      </c>
      <c r="D2046" s="2" t="str">
        <f>IFERROR(__xludf.DUMMYFUNCTION("""COMPUTED_VALUE"""),"Panpu Khola")</f>
        <v>Panpu Khola</v>
      </c>
      <c r="E2046" s="2">
        <f>IFERROR(__xludf.DUMMYFUNCTION("""COMPUTED_VALUE"""),2736.0)</f>
        <v>2736</v>
      </c>
      <c r="F2046" s="3">
        <f>IFERROR(__xludf.DUMMYFUNCTION("""COMPUTED_VALUE"""),63453.0)</f>
        <v>63453</v>
      </c>
      <c r="G2046" s="2" t="str">
        <f>IFERROR(__xludf.DUMMYFUNCTION("""COMPUTED_VALUE"""),"Ajima Hydropower Pvt. Ltd.")</f>
        <v>Ajima Hydropower Pvt. Ltd.</v>
      </c>
      <c r="H2046" s="2" t="str">
        <f>IFERROR(__xludf.DUMMYFUNCTION("""COMPUTED_VALUE"""),"Bhimsen Marga, Banepa-10, Kabhre. Sok Sudhar Bhaila. Ph. no. 011-661898, 
Mob no. 9851060785")</f>
        <v>Bhimsen Marga, Banepa-10, Kabhre. Sok Sudhar Bhaila. Ph. no. 011-661898, 
Mob no. 9851060785</v>
      </c>
      <c r="I2046" s="2" t="str">
        <f>IFERROR(__xludf.DUMMYFUNCTION("""COMPUTED_VALUE"""),"28o 36' 40""")</f>
        <v>28o 36' 40"</v>
      </c>
      <c r="J2046" s="2" t="str">
        <f>IFERROR(__xludf.DUMMYFUNCTION("""COMPUTED_VALUE"""),"28o 39' 20""")</f>
        <v>28o 39' 20"</v>
      </c>
      <c r="K2046" s="2" t="str">
        <f>IFERROR(__xludf.DUMMYFUNCTION("""COMPUTED_VALUE"""),"83o 37' 30""")</f>
        <v>83o 37' 30"</v>
      </c>
      <c r="L2046" s="2" t="str">
        <f>IFERROR(__xludf.DUMMYFUNCTION("""COMPUTED_VALUE"""),"83o 39' 30""")</f>
        <v>83o 39' 30"</v>
      </c>
      <c r="M2046" s="2" t="str">
        <f>IFERROR(__xludf.DUMMYFUNCTION("""COMPUTED_VALUE"""),"Kunjo (Mustang)")</f>
        <v>Kunjo (Mustang)</v>
      </c>
    </row>
    <row r="2047">
      <c r="A2047" s="2">
        <f>IFERROR(__xludf.DUMMYFUNCTION("""COMPUTED_VALUE"""),2046.0)</f>
        <v>2046</v>
      </c>
      <c r="B2047" s="2" t="str">
        <f>IFERROR(__xludf.DUMMYFUNCTION("""COMPUTED_VALUE"""),"Dudhkhola HPP")</f>
        <v>Dudhkhola HPP</v>
      </c>
      <c r="C2047" s="2">
        <f>IFERROR(__xludf.DUMMYFUNCTION("""COMPUTED_VALUE"""),50.0)</f>
        <v>50</v>
      </c>
      <c r="D2047" s="2" t="str">
        <f>IFERROR(__xludf.DUMMYFUNCTION("""COMPUTED_VALUE"""),"Dudh Khola")</f>
        <v>Dudh Khola</v>
      </c>
      <c r="E2047" s="2">
        <f>IFERROR(__xludf.DUMMYFUNCTION("""COMPUTED_VALUE"""),2749.0)</f>
        <v>2749</v>
      </c>
      <c r="F2047" s="3">
        <f>IFERROR(__xludf.DUMMYFUNCTION("""COMPUTED_VALUE"""),63454.0)</f>
        <v>63454</v>
      </c>
      <c r="G2047" s="2" t="str">
        <f>IFERROR(__xludf.DUMMYFUNCTION("""COMPUTED_VALUE"""),"Himalaya Urja Bikash Company Limited")</f>
        <v>Himalaya Urja Bikash Company Limited</v>
      </c>
      <c r="H2047" s="2" t="str">
        <f>IFERROR(__xludf.DUMMYFUNCTION("""COMPUTED_VALUE"""),"Koteshor 35, Ktm. , Prakash Chandra Dulal. Mob No. 9851221372")</f>
        <v>Koteshor 35, Ktm. , Prakash Chandra Dulal. Mob No. 9851221372</v>
      </c>
      <c r="I2047" s="2" t="str">
        <f>IFERROR(__xludf.DUMMYFUNCTION("""COMPUTED_VALUE"""),"28o 31' 27""")</f>
        <v>28o 31' 27"</v>
      </c>
      <c r="J2047" s="2" t="str">
        <f>IFERROR(__xludf.DUMMYFUNCTION("""COMPUTED_VALUE"""),"28o 33' 05""")</f>
        <v>28o 33' 05"</v>
      </c>
      <c r="K2047" s="2" t="str">
        <f>IFERROR(__xludf.DUMMYFUNCTION("""COMPUTED_VALUE"""),"84o 21' 28""")</f>
        <v>84o 21' 28"</v>
      </c>
      <c r="L2047" s="2" t="str">
        <f>IFERROR(__xludf.DUMMYFUNCTION("""COMPUTED_VALUE"""),"84o 23' 18""")</f>
        <v>84o 23' 18"</v>
      </c>
      <c r="M2047" s="2" t="str">
        <f>IFERROR(__xludf.DUMMYFUNCTION("""COMPUTED_VALUE"""),"Thoche (Manang)")</f>
        <v>Thoche (Manang)</v>
      </c>
    </row>
    <row r="2048">
      <c r="A2048" s="2">
        <f>IFERROR(__xludf.DUMMYFUNCTION("""COMPUTED_VALUE"""),2047.0)</f>
        <v>2047</v>
      </c>
      <c r="B2048" s="2" t="str">
        <f>IFERROR(__xludf.DUMMYFUNCTION("""COMPUTED_VALUE"""),"Sankhuwa Khola Hydro-Electric Project")</f>
        <v>Sankhuwa Khola Hydro-Electric Project</v>
      </c>
      <c r="C2048" s="2">
        <f>IFERROR(__xludf.DUMMYFUNCTION("""COMPUTED_VALUE"""),31.0)</f>
        <v>31</v>
      </c>
      <c r="D2048" s="2" t="str">
        <f>IFERROR(__xludf.DUMMYFUNCTION("""COMPUTED_VALUE"""),"Sankhuwa")</f>
        <v>Sankhuwa</v>
      </c>
      <c r="E2048" s="2">
        <f>IFERROR(__xludf.DUMMYFUNCTION("""COMPUTED_VALUE"""),2755.0)</f>
        <v>2755</v>
      </c>
      <c r="F2048" s="3">
        <f>IFERROR(__xludf.DUMMYFUNCTION("""COMPUTED_VALUE"""),63454.0)</f>
        <v>63454</v>
      </c>
      <c r="G2048" s="2" t="str">
        <f>IFERROR(__xludf.DUMMYFUNCTION("""COMPUTED_VALUE"""),"Madhya Koshi Power Company Pvt. Ltd")</f>
        <v>Madhya Koshi Power Company Pvt. Ltd</v>
      </c>
      <c r="H2048" s="2" t="str">
        <f>IFERROR(__xludf.DUMMYFUNCTION("""COMPUTED_VALUE"""),"Lalitpur-14, Ph. 9858420837")</f>
        <v>Lalitpur-14, Ph. 9858420837</v>
      </c>
      <c r="I2048" s="2" t="str">
        <f>IFERROR(__xludf.DUMMYFUNCTION("""COMPUTED_VALUE"""),"27o 25' 56""")</f>
        <v>27o 25' 56"</v>
      </c>
      <c r="J2048" s="2" t="str">
        <f>IFERROR(__xludf.DUMMYFUNCTION("""COMPUTED_VALUE"""),"27o 28' 39""")</f>
        <v>27o 28' 39"</v>
      </c>
      <c r="K2048" s="2" t="str">
        <f>IFERROR(__xludf.DUMMYFUNCTION("""COMPUTED_VALUE"""),"87o 05' 00""")</f>
        <v>87o 05' 00"</v>
      </c>
      <c r="L2048" s="2" t="str">
        <f>IFERROR(__xludf.DUMMYFUNCTION("""COMPUTED_VALUE"""),"87o 08' 30""")</f>
        <v>87o 08' 30"</v>
      </c>
      <c r="M2048" s="2" t="str">
        <f>IFERROR(__xludf.DUMMYFUNCTION("""COMPUTED_VALUE"""),"Sisuwakhola (Sankhuwasabha)")</f>
        <v>Sisuwakhola (Sankhuwasabha)</v>
      </c>
    </row>
    <row r="2049">
      <c r="A2049" s="2">
        <f>IFERROR(__xludf.DUMMYFUNCTION("""COMPUTED_VALUE"""),2048.0)</f>
        <v>2048</v>
      </c>
      <c r="B2049" s="2" t="str">
        <f>IFERROR(__xludf.DUMMYFUNCTION("""COMPUTED_VALUE"""),"Nyasem Khola A HPP")</f>
        <v>Nyasem Khola A HPP</v>
      </c>
      <c r="C2049" s="2">
        <f>IFERROR(__xludf.DUMMYFUNCTION("""COMPUTED_VALUE"""),24.8)</f>
        <v>24.8</v>
      </c>
      <c r="D2049" s="2" t="str">
        <f>IFERROR(__xludf.DUMMYFUNCTION("""COMPUTED_VALUE"""),"Nyasem Khola")</f>
        <v>Nyasem Khola</v>
      </c>
      <c r="E2049" s="2">
        <f>IFERROR(__xludf.DUMMYFUNCTION("""COMPUTED_VALUE"""),2758.0)</f>
        <v>2758</v>
      </c>
      <c r="F2049" s="3">
        <f>IFERROR(__xludf.DUMMYFUNCTION("""COMPUTED_VALUE"""),63456.0)</f>
        <v>63456</v>
      </c>
      <c r="G2049" s="2" t="str">
        <f>IFERROR(__xludf.DUMMYFUNCTION("""COMPUTED_VALUE"""),"cablung Gumba Hydropower Pvt. Ltd.")</f>
        <v>cablung Gumba Hydropower Pvt. Ltd.</v>
      </c>
      <c r="H2049" s="2" t="str">
        <f>IFERROR(__xludf.DUMMYFUNCTION("""COMPUTED_VALUE"""),"Ratopul -7, Kathmandu")</f>
        <v>Ratopul -7, Kathmandu</v>
      </c>
      <c r="I2049" s="2" t="str">
        <f>IFERROR(__xludf.DUMMYFUNCTION("""COMPUTED_VALUE"""),"27o 57' 04""")</f>
        <v>27o 57' 04"</v>
      </c>
      <c r="J2049" s="2" t="str">
        <f>IFERROR(__xludf.DUMMYFUNCTION("""COMPUTED_VALUE"""),"28o 00' 16""")</f>
        <v>28o 00' 16"</v>
      </c>
      <c r="K2049" s="2" t="str">
        <f>IFERROR(__xludf.DUMMYFUNCTION("""COMPUTED_VALUE"""),"85o 47' 29""")</f>
        <v>85o 47' 29"</v>
      </c>
      <c r="L2049" s="2" t="str">
        <f>IFERROR(__xludf.DUMMYFUNCTION("""COMPUTED_VALUE"""),"85o 49' 53""")</f>
        <v>85o 49' 53"</v>
      </c>
      <c r="M2049" s="2" t="str">
        <f>IFERROR(__xludf.DUMMYFUNCTION("""COMPUTED_VALUE"""),"Gumba (Sindhupalchok)")</f>
        <v>Gumba (Sindhupalchok)</v>
      </c>
    </row>
    <row r="2050">
      <c r="A2050" s="2">
        <f>IFERROR(__xludf.DUMMYFUNCTION("""COMPUTED_VALUE"""),2049.0)</f>
        <v>2049</v>
      </c>
      <c r="B2050" s="2" t="str">
        <f>IFERROR(__xludf.DUMMYFUNCTION("""COMPUTED_VALUE"""),"Upper Dudh khola HPP")</f>
        <v>Upper Dudh khola HPP</v>
      </c>
      <c r="C2050" s="2">
        <f>IFERROR(__xludf.DUMMYFUNCTION("""COMPUTED_VALUE"""),32.0)</f>
        <v>32</v>
      </c>
      <c r="D2050" s="2" t="str">
        <f>IFERROR(__xludf.DUMMYFUNCTION("""COMPUTED_VALUE"""),"Dudh Khola")</f>
        <v>Dudh Khola</v>
      </c>
      <c r="E2050" s="2">
        <f>IFERROR(__xludf.DUMMYFUNCTION("""COMPUTED_VALUE"""),2771.0)</f>
        <v>2771</v>
      </c>
      <c r="F2050" s="3">
        <f>IFERROR(__xludf.DUMMYFUNCTION("""COMPUTED_VALUE"""),63456.0)</f>
        <v>63456</v>
      </c>
      <c r="G2050" s="2" t="str">
        <f>IFERROR(__xludf.DUMMYFUNCTION("""COMPUTED_VALUE"""),"Subrat Dhital")</f>
        <v>Subrat Dhital</v>
      </c>
      <c r="H2050" s="2" t="str">
        <f>IFERROR(__xludf.DUMMYFUNCTION("""COMPUTED_VALUE"""),"IME Building, 3rd floor, Panipokhari Kathmandu, ph. 44377705")</f>
        <v>IME Building, 3rd floor, Panipokhari Kathmandu, ph. 44377705</v>
      </c>
      <c r="I2050" s="2" t="str">
        <f>IFERROR(__xludf.DUMMYFUNCTION("""COMPUTED_VALUE"""),"28o 33' 05""")</f>
        <v>28o 33' 05"</v>
      </c>
      <c r="J2050" s="2" t="str">
        <f>IFERROR(__xludf.DUMMYFUNCTION("""COMPUTED_VALUE"""),"28o 35' 45""")</f>
        <v>28o 35' 45"</v>
      </c>
      <c r="K2050" s="2" t="str">
        <f>IFERROR(__xludf.DUMMYFUNCTION("""COMPUTED_VALUE"""),"84o 23' 00""")</f>
        <v>84o 23' 00"</v>
      </c>
      <c r="L2050" s="2" t="str">
        <f>IFERROR(__xludf.DUMMYFUNCTION("""COMPUTED_VALUE"""),"84o 25' 45""")</f>
        <v>84o 25' 45"</v>
      </c>
      <c r="M2050" s="2" t="str">
        <f>IFERROR(__xludf.DUMMYFUNCTION("""COMPUTED_VALUE"""),"Thoche (Manang)")</f>
        <v>Thoche (Manang)</v>
      </c>
    </row>
    <row r="2051">
      <c r="A2051" s="2">
        <f>IFERROR(__xludf.DUMMYFUNCTION("""COMPUTED_VALUE"""),2050.0)</f>
        <v>2050</v>
      </c>
      <c r="B2051" s="2" t="str">
        <f>IFERROR(__xludf.DUMMYFUNCTION("""COMPUTED_VALUE"""),"Dudh khola HPP")</f>
        <v>Dudh khola HPP</v>
      </c>
      <c r="C2051" s="2">
        <f>IFERROR(__xludf.DUMMYFUNCTION("""COMPUTED_VALUE"""),40.0)</f>
        <v>40</v>
      </c>
      <c r="D2051" s="2" t="str">
        <f>IFERROR(__xludf.DUMMYFUNCTION("""COMPUTED_VALUE"""),"Dudh khola")</f>
        <v>Dudh khola</v>
      </c>
      <c r="E2051" s="2">
        <f>IFERROR(__xludf.DUMMYFUNCTION("""COMPUTED_VALUE"""),2772.0)</f>
        <v>2772</v>
      </c>
      <c r="F2051" s="3">
        <f>IFERROR(__xludf.DUMMYFUNCTION("""COMPUTED_VALUE"""),63456.0)</f>
        <v>63456</v>
      </c>
      <c r="G2051" s="2" t="str">
        <f>IFERROR(__xludf.DUMMYFUNCTION("""COMPUTED_VALUE"""),"Subrat Dhital")</f>
        <v>Subrat Dhital</v>
      </c>
      <c r="H2051" s="2" t="str">
        <f>IFERROR(__xludf.DUMMYFUNCTION("""COMPUTED_VALUE"""),"IME Building, 3rd floor, Panipokhari Kathmandu, ph. 44377705")</f>
        <v>IME Building, 3rd floor, Panipokhari Kathmandu, ph. 44377705</v>
      </c>
      <c r="I2051" s="2" t="str">
        <f>IFERROR(__xludf.DUMMYFUNCTION("""COMPUTED_VALUE"""),"28o 31' 12""")</f>
        <v>28o 31' 12"</v>
      </c>
      <c r="J2051" s="2" t="str">
        <f>IFERROR(__xludf.DUMMYFUNCTION("""COMPUTED_VALUE"""),"28o 33' 05""")</f>
        <v>28o 33' 05"</v>
      </c>
      <c r="K2051" s="2" t="str">
        <f>IFERROR(__xludf.DUMMYFUNCTION("""COMPUTED_VALUE"""),"84o 21' 28""")</f>
        <v>84o 21' 28"</v>
      </c>
      <c r="L2051" s="2" t="str">
        <f>IFERROR(__xludf.DUMMYFUNCTION("""COMPUTED_VALUE"""),"84o 23' 45""")</f>
        <v>84o 23' 45"</v>
      </c>
      <c r="M2051" s="2" t="str">
        <f>IFERROR(__xludf.DUMMYFUNCTION("""COMPUTED_VALUE"""),"Thoche (Manang)")</f>
        <v>Thoche (Manang)</v>
      </c>
    </row>
    <row r="2052">
      <c r="A2052" s="2">
        <f>IFERROR(__xludf.DUMMYFUNCTION("""COMPUTED_VALUE"""),2051.0)</f>
        <v>2051</v>
      </c>
      <c r="B2052" s="2" t="str">
        <f>IFERROR(__xludf.DUMMYFUNCTION("""COMPUTED_VALUE"""),"Upper Dudh khola HPP")</f>
        <v>Upper Dudh khola HPP</v>
      </c>
      <c r="C2052" s="2">
        <f>IFERROR(__xludf.DUMMYFUNCTION("""COMPUTED_VALUE"""),9.94)</f>
        <v>9.94</v>
      </c>
      <c r="D2052" s="2" t="str">
        <f>IFERROR(__xludf.DUMMYFUNCTION("""COMPUTED_VALUE"""),"Dudh khola")</f>
        <v>Dudh khola</v>
      </c>
      <c r="E2052" s="2">
        <f>IFERROR(__xludf.DUMMYFUNCTION("""COMPUTED_VALUE"""),2773.0)</f>
        <v>2773</v>
      </c>
      <c r="F2052" s="3">
        <f>IFERROR(__xludf.DUMMYFUNCTION("""COMPUTED_VALUE"""),63456.0)</f>
        <v>63456</v>
      </c>
      <c r="G2052" s="2" t="str">
        <f>IFERROR(__xludf.DUMMYFUNCTION("""COMPUTED_VALUE"""),"Nepal Natural Resources Development Company Pvt. Ltd.")</f>
        <v>Nepal Natural Resources Development Company Pvt. Ltd.</v>
      </c>
      <c r="H2052" s="2" t="str">
        <f>IFERROR(__xludf.DUMMYFUNCTION("""COMPUTED_VALUE"""),"Kirtipur-3, Ktm")</f>
        <v>Kirtipur-3, Ktm</v>
      </c>
      <c r="I2052" s="2" t="str">
        <f>IFERROR(__xludf.DUMMYFUNCTION("""COMPUTED_VALUE"""),"28o 17' 33""")</f>
        <v>28o 17' 33"</v>
      </c>
      <c r="J2052" s="2" t="str">
        <f>IFERROR(__xludf.DUMMYFUNCTION("""COMPUTED_VALUE"""),"28o 35' 45""")</f>
        <v>28o 35' 45"</v>
      </c>
      <c r="K2052" s="2" t="str">
        <f>IFERROR(__xludf.DUMMYFUNCTION("""COMPUTED_VALUE"""),"84o 23' 00""")</f>
        <v>84o 23' 00"</v>
      </c>
      <c r="L2052" s="2" t="str">
        <f>IFERROR(__xludf.DUMMYFUNCTION("""COMPUTED_VALUE"""),"84o 25' 45""")</f>
        <v>84o 25' 45"</v>
      </c>
      <c r="M2052" s="2" t="str">
        <f>IFERROR(__xludf.DUMMYFUNCTION("""COMPUTED_VALUE"""),"Thoche (Manang)")</f>
        <v>Thoche (Manang)</v>
      </c>
    </row>
    <row r="2053">
      <c r="A2053" s="2">
        <f>IFERROR(__xludf.DUMMYFUNCTION("""COMPUTED_VALUE"""),2052.0)</f>
        <v>2052</v>
      </c>
      <c r="B2053" s="2" t="str">
        <f>IFERROR(__xludf.DUMMYFUNCTION("""COMPUTED_VALUE"""),"Tadi-1 HPP")</f>
        <v>Tadi-1 HPP</v>
      </c>
      <c r="C2053" s="2">
        <f>IFERROR(__xludf.DUMMYFUNCTION("""COMPUTED_VALUE"""),4.3)</f>
        <v>4.3</v>
      </c>
      <c r="D2053" s="2" t="str">
        <f>IFERROR(__xludf.DUMMYFUNCTION("""COMPUTED_VALUE"""),"Tadi Khola")</f>
        <v>Tadi Khola</v>
      </c>
      <c r="E2053" s="2">
        <f>IFERROR(__xludf.DUMMYFUNCTION("""COMPUTED_VALUE"""),2798.0)</f>
        <v>2798</v>
      </c>
      <c r="F2053" s="3">
        <f>IFERROR(__xludf.DUMMYFUNCTION("""COMPUTED_VALUE"""),63457.0)</f>
        <v>63457</v>
      </c>
      <c r="G2053" s="2" t="str">
        <f>IFERROR(__xludf.DUMMYFUNCTION("""COMPUTED_VALUE"""),"Tadi-1 Hydropower Pvt. Ltd.")</f>
        <v>Tadi-1 Hydropower Pvt. Ltd.</v>
      </c>
      <c r="H2053" s="2" t="str">
        <f>IFERROR(__xludf.DUMMYFUNCTION("""COMPUTED_VALUE"""),"Samakhusi -15, Kathmandu")</f>
        <v>Samakhusi -15, Kathmandu</v>
      </c>
      <c r="I2053" s="2" t="str">
        <f>IFERROR(__xludf.DUMMYFUNCTION("""COMPUTED_VALUE"""),"27o 58' 30""")</f>
        <v>27o 58' 30"</v>
      </c>
      <c r="J2053" s="2" t="str">
        <f>IFERROR(__xludf.DUMMYFUNCTION("""COMPUTED_VALUE"""),"28o 00' 32""")</f>
        <v>28o 00' 32"</v>
      </c>
      <c r="K2053" s="2" t="str">
        <f>IFERROR(__xludf.DUMMYFUNCTION("""COMPUTED_VALUE"""),"85o 26' 16""")</f>
        <v>85o 26' 16"</v>
      </c>
      <c r="L2053" s="2" t="str">
        <f>IFERROR(__xludf.DUMMYFUNCTION("""COMPUTED_VALUE"""),"85o 27' 20""")</f>
        <v>85o 27' 20"</v>
      </c>
      <c r="M2053" s="2" t="str">
        <f>IFERROR(__xludf.DUMMYFUNCTION("""COMPUTED_VALUE"""),"Dhyangphedi (Nuwakot)")</f>
        <v>Dhyangphedi (Nuwakot)</v>
      </c>
    </row>
    <row r="2054">
      <c r="A2054" s="2">
        <f>IFERROR(__xludf.DUMMYFUNCTION("""COMPUTED_VALUE"""),2053.0)</f>
        <v>2053</v>
      </c>
      <c r="B2054" s="2" t="str">
        <f>IFERROR(__xludf.DUMMYFUNCTION("""COMPUTED_VALUE"""),"Madi Siti HPP")</f>
        <v>Madi Siti HPP</v>
      </c>
      <c r="C2054" s="2">
        <f>IFERROR(__xludf.DUMMYFUNCTION("""COMPUTED_VALUE"""),86.0)</f>
        <v>86</v>
      </c>
      <c r="D2054" s="2" t="str">
        <f>IFERROR(__xludf.DUMMYFUNCTION("""COMPUTED_VALUE"""),"Madi Khola")</f>
        <v>Madi Khola</v>
      </c>
      <c r="E2054" s="2">
        <f>IFERROR(__xludf.DUMMYFUNCTION("""COMPUTED_VALUE"""),2801.0)</f>
        <v>2801</v>
      </c>
      <c r="F2054" s="3">
        <f>IFERROR(__xludf.DUMMYFUNCTION("""COMPUTED_VALUE"""),63457.0)</f>
        <v>63457</v>
      </c>
      <c r="G2054" s="2" t="str">
        <f>IFERROR(__xludf.DUMMYFUNCTION("""COMPUTED_VALUE"""),"Everest Equity Pvt. Ltd. and Shila Neupane Koirala")</f>
        <v>Everest Equity Pvt. Ltd. and Shila Neupane Koirala</v>
      </c>
      <c r="H2054" s="2" t="str">
        <f>IFERROR(__xludf.DUMMYFUNCTION("""COMPUTED_VALUE"""),"Charkhal road -33, Dillibazar, Ktm. and Bharatpur, Chitwan")</f>
        <v>Charkhal road -33, Dillibazar, Ktm. and Bharatpur, Chitwan</v>
      </c>
      <c r="I2054" s="2" t="str">
        <f>IFERROR(__xludf.DUMMYFUNCTION("""COMPUTED_VALUE"""),"28o 10' 23""")</f>
        <v>28o 10' 23"</v>
      </c>
      <c r="J2054" s="2" t="str">
        <f>IFERROR(__xludf.DUMMYFUNCTION("""COMPUTED_VALUE"""),"28o 11' 54""")</f>
        <v>28o 11' 54"</v>
      </c>
      <c r="K2054" s="2" t="str">
        <f>IFERROR(__xludf.DUMMYFUNCTION("""COMPUTED_VALUE"""),"84o 08' 35""")</f>
        <v>84o 08' 35"</v>
      </c>
      <c r="L2054" s="2" t="str">
        <f>IFERROR(__xludf.DUMMYFUNCTION("""COMPUTED_VALUE"""),"84o 14' 45""")</f>
        <v>84o 14' 45"</v>
      </c>
      <c r="M2054" s="2" t="str">
        <f>IFERROR(__xludf.DUMMYFUNCTION("""COMPUTED_VALUE"""),"Karapu (Lamjung)")</f>
        <v>Karapu (Lamjung)</v>
      </c>
    </row>
    <row r="2055">
      <c r="A2055" s="2">
        <f>IFERROR(__xludf.DUMMYFUNCTION("""COMPUTED_VALUE"""),2054.0)</f>
        <v>2054</v>
      </c>
      <c r="B2055" s="2" t="str">
        <f>IFERROR(__xludf.DUMMYFUNCTION("""COMPUTED_VALUE"""),"Sisne Khola Small HPP")</f>
        <v>Sisne Khola Small HPP</v>
      </c>
      <c r="C2055" s="2">
        <f>IFERROR(__xludf.DUMMYFUNCTION("""COMPUTED_VALUE"""),4.23)</f>
        <v>4.23</v>
      </c>
      <c r="D2055" s="2" t="str">
        <f>IFERROR(__xludf.DUMMYFUNCTION("""COMPUTED_VALUE"""),"Sisne Khola")</f>
        <v>Sisne Khola</v>
      </c>
      <c r="E2055" s="2">
        <f>IFERROR(__xludf.DUMMYFUNCTION("""COMPUTED_VALUE"""),2802.0)</f>
        <v>2802</v>
      </c>
      <c r="F2055" s="3">
        <f>IFERROR(__xludf.DUMMYFUNCTION("""COMPUTED_VALUE"""),63457.0)</f>
        <v>63457</v>
      </c>
      <c r="G2055" s="2" t="str">
        <f>IFERROR(__xludf.DUMMYFUNCTION("""COMPUTED_VALUE"""),"Sankalpa Myagdi Power Development Pvt. Ltd.")</f>
        <v>Sankalpa Myagdi Power Development Pvt. Ltd.</v>
      </c>
      <c r="H2055" s="2" t="str">
        <f>IFERROR(__xludf.DUMMYFUNCTION("""COMPUTED_VALUE"""),"Trade Tower ,Thapathali-11, Ktm Ph. no. 5111006, Mobile no. 9851033958")</f>
        <v>Trade Tower ,Thapathali-11, Ktm Ph. no. 5111006, Mobile no. 9851033958</v>
      </c>
      <c r="I2055" s="2" t="str">
        <f>IFERROR(__xludf.DUMMYFUNCTION("""COMPUTED_VALUE"""),"28o 40' 40""")</f>
        <v>28o 40' 40"</v>
      </c>
      <c r="J2055" s="2" t="str">
        <f>IFERROR(__xludf.DUMMYFUNCTION("""COMPUTED_VALUE"""),"28o 43' 33""")</f>
        <v>28o 43' 33"</v>
      </c>
      <c r="K2055" s="2" t="str">
        <f>IFERROR(__xludf.DUMMYFUNCTION("""COMPUTED_VALUE"""),"82o 40' 47""")</f>
        <v>82o 40' 47"</v>
      </c>
      <c r="L2055" s="2" t="str">
        <f>IFERROR(__xludf.DUMMYFUNCTION("""COMPUTED_VALUE"""),"82o 42' 30""")</f>
        <v>82o 42' 30"</v>
      </c>
      <c r="M2055" s="2" t="str">
        <f>IFERROR(__xludf.DUMMYFUNCTION("""COMPUTED_VALUE"""),"Jang (Rukum)")</f>
        <v>Jang (Rukum)</v>
      </c>
    </row>
    <row r="2056">
      <c r="A2056" s="2">
        <f>IFERROR(__xludf.DUMMYFUNCTION("""COMPUTED_VALUE"""),2055.0)</f>
        <v>2055</v>
      </c>
      <c r="B2056" s="2" t="str">
        <f>IFERROR(__xludf.DUMMYFUNCTION("""COMPUTED_VALUE"""),"Ghandruk Modi HPP")</f>
        <v>Ghandruk Modi HPP</v>
      </c>
      <c r="C2056" s="2">
        <f>IFERROR(__xludf.DUMMYFUNCTION("""COMPUTED_VALUE"""),114.28)</f>
        <v>114.28</v>
      </c>
      <c r="D2056" s="2" t="str">
        <f>IFERROR(__xludf.DUMMYFUNCTION("""COMPUTED_VALUE"""),"Modi Khola")</f>
        <v>Modi Khola</v>
      </c>
      <c r="E2056" s="2">
        <f>IFERROR(__xludf.DUMMYFUNCTION("""COMPUTED_VALUE"""),2804.0)</f>
        <v>2804</v>
      </c>
      <c r="F2056" s="3">
        <f>IFERROR(__xludf.DUMMYFUNCTION("""COMPUTED_VALUE"""),63458.0)</f>
        <v>63458</v>
      </c>
      <c r="G2056" s="2" t="str">
        <f>IFERROR(__xludf.DUMMYFUNCTION("""COMPUTED_VALUE"""),"Dugar Alternative Energy Pvt. Ltd.")</f>
        <v>Dugar Alternative Energy Pvt. Ltd.</v>
      </c>
      <c r="H2056" s="2" t="str">
        <f>IFERROR(__xludf.DUMMYFUNCTION("""COMPUTED_VALUE"""),"Kantipath-30, Ktm, POBox no. 485, Ph.No. 4244352")</f>
        <v>Kantipath-30, Ktm, POBox no. 485, Ph.No. 4244352</v>
      </c>
      <c r="I2056" s="2" t="str">
        <f>IFERROR(__xludf.DUMMYFUNCTION("""COMPUTED_VALUE"""),"28o 25' 00""")</f>
        <v>28o 25' 00"</v>
      </c>
      <c r="J2056" s="2" t="str">
        <f>IFERROR(__xludf.DUMMYFUNCTION("""COMPUTED_VALUE"""),"28o 29' 19""")</f>
        <v>28o 29' 19"</v>
      </c>
      <c r="K2056" s="2" t="str">
        <f>IFERROR(__xludf.DUMMYFUNCTION("""COMPUTED_VALUE"""),"83o 49' 40""")</f>
        <v>83o 49' 40"</v>
      </c>
      <c r="L2056" s="2" t="str">
        <f>IFERROR(__xludf.DUMMYFUNCTION("""COMPUTED_VALUE"""),"83o 53' 52""")</f>
        <v>83o 53' 52"</v>
      </c>
      <c r="M2056" s="2"/>
    </row>
    <row r="2057">
      <c r="A2057" s="2">
        <f>IFERROR(__xludf.DUMMYFUNCTION("""COMPUTED_VALUE"""),2056.0)</f>
        <v>2056</v>
      </c>
      <c r="B2057" s="2" t="str">
        <f>IFERROR(__xludf.DUMMYFUNCTION("""COMPUTED_VALUE"""),"Kaligandaki Gorge Hydroelectric Project")</f>
        <v>Kaligandaki Gorge Hydroelectric Project</v>
      </c>
      <c r="C2057" s="2">
        <f>IFERROR(__xludf.DUMMYFUNCTION("""COMPUTED_VALUE"""),161.97)</f>
        <v>161.97</v>
      </c>
      <c r="D2057" s="2" t="str">
        <f>IFERROR(__xludf.DUMMYFUNCTION("""COMPUTED_VALUE"""),"Kali Gandaki")</f>
        <v>Kali Gandaki</v>
      </c>
      <c r="E2057" s="2">
        <f>IFERROR(__xludf.DUMMYFUNCTION("""COMPUTED_VALUE"""),2819.0)</f>
        <v>2819</v>
      </c>
      <c r="F2057" s="3">
        <f>IFERROR(__xludf.DUMMYFUNCTION("""COMPUTED_VALUE"""),63458.0)</f>
        <v>63458</v>
      </c>
      <c r="G2057" s="2" t="str">
        <f>IFERROR(__xludf.DUMMYFUNCTION("""COMPUTED_VALUE"""),"Kohinoor Hydropower Pvt. Ltd.")</f>
        <v>Kohinoor Hydropower Pvt. Ltd.</v>
      </c>
      <c r="H2057" s="2" t="str">
        <f>IFERROR(__xludf.DUMMYFUNCTION("""COMPUTED_VALUE"""),"Kantipath, Kathmandu-30, Po. Box -485, Ph. No. 4244352")</f>
        <v>Kantipath, Kathmandu-30, Po. Box -485, Ph. No. 4244352</v>
      </c>
      <c r="I2057" s="2" t="str">
        <f>IFERROR(__xludf.DUMMYFUNCTION("""COMPUTED_VALUE"""),"28o 31' 15""")</f>
        <v>28o 31' 15"</v>
      </c>
      <c r="J2057" s="2" t="str">
        <f>IFERROR(__xludf.DUMMYFUNCTION("""COMPUTED_VALUE"""),"28o 36' 15""")</f>
        <v>28o 36' 15"</v>
      </c>
      <c r="K2057" s="2" t="str">
        <f>IFERROR(__xludf.DUMMYFUNCTION("""COMPUTED_VALUE"""),"83o 37' 15""")</f>
        <v>83o 37' 15"</v>
      </c>
      <c r="L2057" s="2" t="str">
        <f>IFERROR(__xludf.DUMMYFUNCTION("""COMPUTED_VALUE"""),"83o 40' 00""")</f>
        <v>83o 40' 00"</v>
      </c>
      <c r="M2057" s="2" t="str">
        <f>IFERROR(__xludf.DUMMYFUNCTION("""COMPUTED_VALUE"""),"Dana,Narchyang (Myagdi)")</f>
        <v>Dana,Narchyang (Myagdi)</v>
      </c>
    </row>
    <row r="2058">
      <c r="A2058" s="2">
        <f>IFERROR(__xludf.DUMMYFUNCTION("""COMPUTED_VALUE"""),2057.0)</f>
        <v>2057</v>
      </c>
      <c r="B2058" s="2" t="str">
        <f>IFERROR(__xludf.DUMMYFUNCTION("""COMPUTED_VALUE"""),"Chameliya Hydropower Project")</f>
        <v>Chameliya Hydropower Project</v>
      </c>
      <c r="C2058" s="2">
        <f>IFERROR(__xludf.DUMMYFUNCTION("""COMPUTED_VALUE"""),35.0)</f>
        <v>35</v>
      </c>
      <c r="D2058" s="2" t="str">
        <f>IFERROR(__xludf.DUMMYFUNCTION("""COMPUTED_VALUE"""),"Chameliya Khola")</f>
        <v>Chameliya Khola</v>
      </c>
      <c r="E2058" s="2">
        <f>IFERROR(__xludf.DUMMYFUNCTION("""COMPUTED_VALUE"""),2820.0)</f>
        <v>2820</v>
      </c>
      <c r="F2058" s="3">
        <f>IFERROR(__xludf.DUMMYFUNCTION("""COMPUTED_VALUE"""),63458.0)</f>
        <v>63458</v>
      </c>
      <c r="G2058" s="2" t="str">
        <f>IFERROR(__xludf.DUMMYFUNCTION("""COMPUTED_VALUE"""),"Anak Hydropower Company Pvt. Ltd.")</f>
        <v>Anak Hydropower Company Pvt. Ltd.</v>
      </c>
      <c r="H2058" s="2" t="str">
        <f>IFERROR(__xludf.DUMMYFUNCTION("""COMPUTED_VALUE"""),"Ravi Bhawan, Kathmandu")</f>
        <v>Ravi Bhawan, Kathmandu</v>
      </c>
      <c r="I2058" s="2" t="str">
        <f>IFERROR(__xludf.DUMMYFUNCTION("""COMPUTED_VALUE"""),"29o 51' 30""")</f>
        <v>29o 51' 30"</v>
      </c>
      <c r="J2058" s="2" t="str">
        <f>IFERROR(__xludf.DUMMYFUNCTION("""COMPUTED_VALUE"""),"29o 54' 30""")</f>
        <v>29o 54' 30"</v>
      </c>
      <c r="K2058" s="2" t="str">
        <f>IFERROR(__xludf.DUMMYFUNCTION("""COMPUTED_VALUE"""),"80o 53' 43""")</f>
        <v>80o 53' 43"</v>
      </c>
      <c r="L2058" s="2" t="str">
        <f>IFERROR(__xludf.DUMMYFUNCTION("""COMPUTED_VALUE"""),"80o 57' 30""")</f>
        <v>80o 57' 30"</v>
      </c>
      <c r="M2058" s="2" t="str">
        <f>IFERROR(__xludf.DUMMYFUNCTION("""COMPUTED_VALUE"""),"Ghusa (Darchula)")</f>
        <v>Ghusa (Darchula)</v>
      </c>
    </row>
    <row r="2059">
      <c r="A2059" s="2">
        <f>IFERROR(__xludf.DUMMYFUNCTION("""COMPUTED_VALUE"""),2058.0)</f>
        <v>2058</v>
      </c>
      <c r="B2059" s="2" t="str">
        <f>IFERROR(__xludf.DUMMYFUNCTION("""COMPUTED_VALUE"""),"Upper Iwa Khola HPP")</f>
        <v>Upper Iwa Khola HPP</v>
      </c>
      <c r="C2059" s="2">
        <f>IFERROR(__xludf.DUMMYFUNCTION("""COMPUTED_VALUE"""),9.82)</f>
        <v>9.82</v>
      </c>
      <c r="D2059" s="2" t="str">
        <f>IFERROR(__xludf.DUMMYFUNCTION("""COMPUTED_VALUE"""),"Iwa Khola")</f>
        <v>Iwa Khola</v>
      </c>
      <c r="E2059" s="2">
        <f>IFERROR(__xludf.DUMMYFUNCTION("""COMPUTED_VALUE"""),2823.0)</f>
        <v>2823</v>
      </c>
      <c r="F2059" s="3">
        <f>IFERROR(__xludf.DUMMYFUNCTION("""COMPUTED_VALUE"""),63459.0)</f>
        <v>63459</v>
      </c>
      <c r="G2059" s="2" t="str">
        <f>IFERROR(__xludf.DUMMYFUNCTION("""COMPUTED_VALUE"""),"Birta Power Pvt. Ltd.")</f>
        <v>Birta Power Pvt. Ltd.</v>
      </c>
      <c r="H2059" s="2" t="str">
        <f>IFERROR(__xludf.DUMMYFUNCTION("""COMPUTED_VALUE"""),"Pepsikola-35, KTm Mob.no. 9862680377, 9842711208")</f>
        <v>Pepsikola-35, KTm Mob.no. 9862680377, 9842711208</v>
      </c>
      <c r="I2059" s="2" t="str">
        <f>IFERROR(__xludf.DUMMYFUNCTION("""COMPUTED_VALUE"""),"27o 16' 45""")</f>
        <v>27o 16' 45"</v>
      </c>
      <c r="J2059" s="2" t="str">
        <f>IFERROR(__xludf.DUMMYFUNCTION("""COMPUTED_VALUE"""),"27o 17' 20""")</f>
        <v>27o 17' 20"</v>
      </c>
      <c r="K2059" s="2" t="str">
        <f>IFERROR(__xludf.DUMMYFUNCTION("""COMPUTED_VALUE"""),"87o 52' 21""")</f>
        <v>87o 52' 21"</v>
      </c>
      <c r="L2059" s="2" t="str">
        <f>IFERROR(__xludf.DUMMYFUNCTION("""COMPUTED_VALUE"""),"87o 55' 20""")</f>
        <v>87o 55' 20"</v>
      </c>
      <c r="M2059" s="2" t="str">
        <f>IFERROR(__xludf.DUMMYFUNCTION("""COMPUTED_VALUE"""),"Oyam,Chyangthapu (Panchthar) Sawalakhu,Ankhop (Taplejung)")</f>
        <v>Oyam,Chyangthapu (Panchthar) Sawalakhu,Ankhop (Taplejung)</v>
      </c>
    </row>
    <row r="2060">
      <c r="A2060" s="2">
        <f>IFERROR(__xludf.DUMMYFUNCTION("""COMPUTED_VALUE"""),2059.0)</f>
        <v>2059</v>
      </c>
      <c r="B2060" s="2" t="str">
        <f>IFERROR(__xludf.DUMMYFUNCTION("""COMPUTED_VALUE"""),"Marshyangdi-7 Hydropower Project")</f>
        <v>Marshyangdi-7 Hydropower Project</v>
      </c>
      <c r="C2060" s="2">
        <f>IFERROR(__xludf.DUMMYFUNCTION("""COMPUTED_VALUE"""),85.0)</f>
        <v>85</v>
      </c>
      <c r="D2060" s="2" t="str">
        <f>IFERROR(__xludf.DUMMYFUNCTION("""COMPUTED_VALUE"""),"Marsyangdi")</f>
        <v>Marsyangdi</v>
      </c>
      <c r="E2060" s="2">
        <f>IFERROR(__xludf.DUMMYFUNCTION("""COMPUTED_VALUE"""),2839.0)</f>
        <v>2839</v>
      </c>
      <c r="F2060" s="3">
        <f>IFERROR(__xludf.DUMMYFUNCTION("""COMPUTED_VALUE"""),63459.0)</f>
        <v>63459</v>
      </c>
      <c r="G2060" s="2" t="str">
        <f>IFERROR(__xludf.DUMMYFUNCTION("""COMPUTED_VALUE"""),"Yeti Hydropower Limited")</f>
        <v>Yeti Hydropower Limited</v>
      </c>
      <c r="H2060" s="2" t="str">
        <f>IFERROR(__xludf.DUMMYFUNCTION("""COMPUTED_VALUE"""),"Naxal 05, Kathmandu Nepal")</f>
        <v>Naxal 05, Kathmandu Nepal</v>
      </c>
      <c r="I2060" s="2" t="str">
        <f>IFERROR(__xludf.DUMMYFUNCTION("""COMPUTED_VALUE"""),"28o 32' 33""")</f>
        <v>28o 32' 33"</v>
      </c>
      <c r="J2060" s="2" t="str">
        <f>IFERROR(__xludf.DUMMYFUNCTION("""COMPUTED_VALUE"""),"28o 36' 21""")</f>
        <v>28o 36' 21"</v>
      </c>
      <c r="K2060" s="2" t="str">
        <f>IFERROR(__xludf.DUMMYFUNCTION("""COMPUTED_VALUE"""),"84o 10' 26""")</f>
        <v>84o 10' 26"</v>
      </c>
      <c r="L2060" s="2" t="str">
        <f>IFERROR(__xludf.DUMMYFUNCTION("""COMPUTED_VALUE"""),"84o 16' 00""")</f>
        <v>84o 16' 00"</v>
      </c>
      <c r="M2060" s="2" t="str">
        <f>IFERROR(__xludf.DUMMYFUNCTION("""COMPUTED_VALUE"""),"Chame,Pisng,Tachi Bagarchhap (Manang)")</f>
        <v>Chame,Pisng,Tachi Bagarchhap (Manang)</v>
      </c>
    </row>
    <row r="2061">
      <c r="A2061" s="2">
        <f>IFERROR(__xludf.DUMMYFUNCTION("""COMPUTED_VALUE"""),2060.0)</f>
        <v>2060</v>
      </c>
      <c r="B2061" s="2" t="str">
        <f>IFERROR(__xludf.DUMMYFUNCTION("""COMPUTED_VALUE"""),"Nar Khola Hydropower Project")</f>
        <v>Nar Khola Hydropower Project</v>
      </c>
      <c r="C2061" s="2">
        <f>IFERROR(__xludf.DUMMYFUNCTION("""COMPUTED_VALUE"""),50.0)</f>
        <v>50</v>
      </c>
      <c r="D2061" s="2" t="str">
        <f>IFERROR(__xludf.DUMMYFUNCTION("""COMPUTED_VALUE"""),"Nar Khola")</f>
        <v>Nar Khola</v>
      </c>
      <c r="E2061" s="2">
        <f>IFERROR(__xludf.DUMMYFUNCTION("""COMPUTED_VALUE"""),2859.0)</f>
        <v>2859</v>
      </c>
      <c r="F2061" s="3">
        <f>IFERROR(__xludf.DUMMYFUNCTION("""COMPUTED_VALUE"""),63460.0)</f>
        <v>63460</v>
      </c>
      <c r="G2061" s="2" t="str">
        <f>IFERROR(__xludf.DUMMYFUNCTION("""COMPUTED_VALUE"""),"Gandaki Energy Limited")</f>
        <v>Gandaki Energy Limited</v>
      </c>
      <c r="H2061" s="2" t="str">
        <f>IFERROR(__xludf.DUMMYFUNCTION("""COMPUTED_VALUE"""),"Blue Star Complex, Tripureshwar, Kathmandu, Ph. No. 01-4101140")</f>
        <v>Blue Star Complex, Tripureshwar, Kathmandu, Ph. No. 01-4101140</v>
      </c>
      <c r="I2061" s="2" t="str">
        <f>IFERROR(__xludf.DUMMYFUNCTION("""COMPUTED_VALUE"""),"28o 33' 00""")</f>
        <v>28o 33' 00"</v>
      </c>
      <c r="J2061" s="2" t="str">
        <f>IFERROR(__xludf.DUMMYFUNCTION("""COMPUTED_VALUE"""),"28o 38' 00""")</f>
        <v>28o 38' 00"</v>
      </c>
      <c r="K2061" s="2" t="str">
        <f>IFERROR(__xludf.DUMMYFUNCTION("""COMPUTED_VALUE"""),"84o 12' 52""")</f>
        <v>84o 12' 52"</v>
      </c>
      <c r="L2061" s="2" t="str">
        <f>IFERROR(__xludf.DUMMYFUNCTION("""COMPUTED_VALUE"""),"84o 16' 22""")</f>
        <v>84o 16' 22"</v>
      </c>
      <c r="M2061" s="2" t="str">
        <f>IFERROR(__xludf.DUMMYFUNCTION("""COMPUTED_VALUE"""),"Tachi Bagarchhap,Nar (Manang)")</f>
        <v>Tachi Bagarchhap,Nar (Manang)</v>
      </c>
    </row>
    <row r="2062">
      <c r="A2062" s="2">
        <f>IFERROR(__xludf.DUMMYFUNCTION("""COMPUTED_VALUE"""),2061.0)</f>
        <v>2061</v>
      </c>
      <c r="B2062" s="2" t="str">
        <f>IFERROR(__xludf.DUMMYFUNCTION("""COMPUTED_VALUE"""),"Chepuwa Hydro-Electric Project")</f>
        <v>Chepuwa Hydro-Electric Project</v>
      </c>
      <c r="C2062" s="2">
        <f>IFERROR(__xludf.DUMMYFUNCTION("""COMPUTED_VALUE"""),4.8)</f>
        <v>4.8</v>
      </c>
      <c r="D2062" s="2" t="str">
        <f>IFERROR(__xludf.DUMMYFUNCTION("""COMPUTED_VALUE"""),"Bakan River")</f>
        <v>Bakan River</v>
      </c>
      <c r="E2062" s="2">
        <f>IFERROR(__xludf.DUMMYFUNCTION("""COMPUTED_VALUE"""),2860.0)</f>
        <v>2860</v>
      </c>
      <c r="F2062" s="3">
        <f>IFERROR(__xludf.DUMMYFUNCTION("""COMPUTED_VALUE"""),63460.0)</f>
        <v>63460</v>
      </c>
      <c r="G2062" s="2" t="str">
        <f>IFERROR(__xludf.DUMMYFUNCTION("""COMPUTED_VALUE"""),"Sri Ram Neupane &amp; Pawan Wilas Lohani")</f>
        <v>Sri Ram Neupane &amp; Pawan Wilas Lohani</v>
      </c>
      <c r="H2062" s="2" t="str">
        <f>IFERROR(__xludf.DUMMYFUNCTION("""COMPUTED_VALUE"""),"Bharatpur-4 Chitwan &amp; Rainas-5 Lamjung Respectively")</f>
        <v>Bharatpur-4 Chitwan &amp; Rainas-5 Lamjung Respectively</v>
      </c>
      <c r="I2062" s="2" t="str">
        <f>IFERROR(__xludf.DUMMYFUNCTION("""COMPUTED_VALUE"""),"27o 46' 50""")</f>
        <v>27o 46' 50"</v>
      </c>
      <c r="J2062" s="2" t="str">
        <f>IFERROR(__xludf.DUMMYFUNCTION("""COMPUTED_VALUE"""),"27o 48' 40""")</f>
        <v>27o 48' 40"</v>
      </c>
      <c r="K2062" s="2" t="str">
        <f>IFERROR(__xludf.DUMMYFUNCTION("""COMPUTED_VALUE"""),"87o 27' 10""")</f>
        <v>87o 27' 10"</v>
      </c>
      <c r="L2062" s="2" t="str">
        <f>IFERROR(__xludf.DUMMYFUNCTION("""COMPUTED_VALUE"""),"87o 29' 00""")</f>
        <v>87o 29' 00"</v>
      </c>
      <c r="M2062" s="2" t="str">
        <f>IFERROR(__xludf.DUMMYFUNCTION("""COMPUTED_VALUE"""),"Chepuwa (Sankhuwasabha)")</f>
        <v>Chepuwa (Sankhuwasabha)</v>
      </c>
    </row>
    <row r="2063">
      <c r="A2063" s="2">
        <f>IFERROR(__xludf.DUMMYFUNCTION("""COMPUTED_VALUE"""),2062.0)</f>
        <v>2062</v>
      </c>
      <c r="B2063" s="2" t="str">
        <f>IFERROR(__xludf.DUMMYFUNCTION("""COMPUTED_VALUE"""),"Tallo Nyadi Jalwidyut Aayojana")</f>
        <v>Tallo Nyadi Jalwidyut Aayojana</v>
      </c>
      <c r="C2063" s="2">
        <f>IFERROR(__xludf.DUMMYFUNCTION("""COMPUTED_VALUE"""),10.5)</f>
        <v>10.5</v>
      </c>
      <c r="D2063" s="2" t="str">
        <f>IFERROR(__xludf.DUMMYFUNCTION("""COMPUTED_VALUE"""),"Nyadi")</f>
        <v>Nyadi</v>
      </c>
      <c r="E2063" s="2">
        <f>IFERROR(__xludf.DUMMYFUNCTION("""COMPUTED_VALUE"""),2867.0)</f>
        <v>2867</v>
      </c>
      <c r="F2063" s="3">
        <f>IFERROR(__xludf.DUMMYFUNCTION("""COMPUTED_VALUE"""),63461.0)</f>
        <v>63461</v>
      </c>
      <c r="G2063" s="2" t="str">
        <f>IFERROR(__xludf.DUMMYFUNCTION("""COMPUTED_VALUE"""),"Butwal Power Company Limited")</f>
        <v>Butwal Power Company Limited</v>
      </c>
      <c r="H2063" s="2" t="str">
        <f>IFERROR(__xludf.DUMMYFUNCTION("""COMPUTED_VALUE"""),"Ganga Devi Marg 313, Buddha Nagar, New Baneshwar, Post Box. 11728 Ktm, 
Nepal, Ph. No. 4781776,4784026, Fax. 4780994")</f>
        <v>Ganga Devi Marg 313, Buddha Nagar, New Baneshwar, Post Box. 11728 Ktm, 
Nepal, Ph. No. 4781776,4784026, Fax. 4780994</v>
      </c>
      <c r="I2063" s="2" t="str">
        <f>IFERROR(__xludf.DUMMYFUNCTION("""COMPUTED_VALUE"""),"28o 18' 18""")</f>
        <v>28o 18' 18"</v>
      </c>
      <c r="J2063" s="2" t="str">
        <f>IFERROR(__xludf.DUMMYFUNCTION("""COMPUTED_VALUE"""),"28o 19' 38""")</f>
        <v>28o 19' 38"</v>
      </c>
      <c r="K2063" s="2" t="str">
        <f>IFERROR(__xludf.DUMMYFUNCTION("""COMPUTED_VALUE"""),"84o 24' 08""")</f>
        <v>84o 24' 08"</v>
      </c>
      <c r="L2063" s="2" t="str">
        <f>IFERROR(__xludf.DUMMYFUNCTION("""COMPUTED_VALUE"""),"84o 25' 25""")</f>
        <v>84o 25' 25"</v>
      </c>
      <c r="M2063" s="2" t="str">
        <f>IFERROR(__xludf.DUMMYFUNCTION("""COMPUTED_VALUE"""),"Bahundada,Bhulbhule (Lamjung)")</f>
        <v>Bahundada,Bhulbhule (Lamjung)</v>
      </c>
    </row>
    <row r="2064">
      <c r="A2064" s="2">
        <f>IFERROR(__xludf.DUMMYFUNCTION("""COMPUTED_VALUE"""),2063.0)</f>
        <v>2063</v>
      </c>
      <c r="B2064" s="2" t="str">
        <f>IFERROR(__xludf.DUMMYFUNCTION("""COMPUTED_VALUE"""),"Machha Khola Small HPP")</f>
        <v>Machha Khola Small HPP</v>
      </c>
      <c r="C2064" s="2">
        <f>IFERROR(__xludf.DUMMYFUNCTION("""COMPUTED_VALUE"""),0.973)</f>
        <v>0.973</v>
      </c>
      <c r="D2064" s="2" t="str">
        <f>IFERROR(__xludf.DUMMYFUNCTION("""COMPUTED_VALUE"""),"Machha Khola")</f>
        <v>Machha Khola</v>
      </c>
      <c r="E2064" s="2">
        <f>IFERROR(__xludf.DUMMYFUNCTION("""COMPUTED_VALUE"""),2900.0)</f>
        <v>2900</v>
      </c>
      <c r="F2064" s="3">
        <f>IFERROR(__xludf.DUMMYFUNCTION("""COMPUTED_VALUE"""),63465.0)</f>
        <v>63465</v>
      </c>
      <c r="G2064" s="2" t="str">
        <f>IFERROR(__xludf.DUMMYFUNCTION("""COMPUTED_VALUE"""),"Budhigandaki Hydropower Pvt. Ltd.")</f>
        <v>Budhigandaki Hydropower Pvt. Ltd.</v>
      </c>
      <c r="H2064" s="2" t="str">
        <f>IFERROR(__xludf.DUMMYFUNCTION("""COMPUTED_VALUE"""),"Kaldhara -16, Ktm. Baby kaji Adhikari,")</f>
        <v>Kaldhara -16, Ktm. Baby kaji Adhikari,</v>
      </c>
      <c r="I2064" s="2" t="str">
        <f>IFERROR(__xludf.DUMMYFUNCTION("""COMPUTED_VALUE"""),"28o 12' 15""")</f>
        <v>28o 12' 15"</v>
      </c>
      <c r="J2064" s="2" t="str">
        <f>IFERROR(__xludf.DUMMYFUNCTION("""COMPUTED_VALUE"""),"28o 14' 00""")</f>
        <v>28o 14' 00"</v>
      </c>
      <c r="K2064" s="2" t="str">
        <f>IFERROR(__xludf.DUMMYFUNCTION("""COMPUTED_VALUE"""),"84o 47' 45""")</f>
        <v>84o 47' 45"</v>
      </c>
      <c r="L2064" s="2" t="str">
        <f>IFERROR(__xludf.DUMMYFUNCTION("""COMPUTED_VALUE"""),"84o 51' 25""")</f>
        <v>84o 51' 25"</v>
      </c>
      <c r="M2064" s="2" t="str">
        <f>IFERROR(__xludf.DUMMYFUNCTION("""COMPUTED_VALUE"""),"Laprak (Gorkha)")</f>
        <v>Laprak (Gorkha)</v>
      </c>
    </row>
    <row r="2065">
      <c r="A2065" s="2">
        <f>IFERROR(__xludf.DUMMYFUNCTION("""COMPUTED_VALUE"""),2064.0)</f>
        <v>2064</v>
      </c>
      <c r="B2065" s="2" t="str">
        <f>IFERROR(__xludf.DUMMYFUNCTION("""COMPUTED_VALUE"""),"Ghandruk Modi HPP")</f>
        <v>Ghandruk Modi HPP</v>
      </c>
      <c r="C2065" s="2">
        <f>IFERROR(__xludf.DUMMYFUNCTION("""COMPUTED_VALUE"""),111.0)</f>
        <v>111</v>
      </c>
      <c r="D2065" s="2" t="str">
        <f>IFERROR(__xludf.DUMMYFUNCTION("""COMPUTED_VALUE"""),"Modi Khola")</f>
        <v>Modi Khola</v>
      </c>
      <c r="E2065" s="2">
        <f>IFERROR(__xludf.DUMMYFUNCTION("""COMPUTED_VALUE"""),2942.0)</f>
        <v>2942</v>
      </c>
      <c r="F2065" s="3">
        <f>IFERROR(__xludf.DUMMYFUNCTION("""COMPUTED_VALUE"""),63466.0)</f>
        <v>63466</v>
      </c>
      <c r="G2065" s="2" t="str">
        <f>IFERROR(__xludf.DUMMYFUNCTION("""COMPUTED_VALUE"""),"Butwal Power Company Limited")</f>
        <v>Butwal Power Company Limited</v>
      </c>
      <c r="H2065" s="2" t="str">
        <f>IFERROR(__xludf.DUMMYFUNCTION("""COMPUTED_VALUE"""),"Ganga Devi Marg 313, Buddha Nagar, New Baneshwar, Post Box. 11728 Ktm, 
Nepal, Ph. No. 4781776,4784026, Fax. 4780994")</f>
        <v>Ganga Devi Marg 313, Buddha Nagar, New Baneshwar, Post Box. 11728 Ktm, 
Nepal, Ph. No. 4781776,4784026, Fax. 4780994</v>
      </c>
      <c r="I2065" s="2" t="str">
        <f>IFERROR(__xludf.DUMMYFUNCTION("""COMPUTED_VALUE"""),"28o 23' 20""")</f>
        <v>28o 23' 20"</v>
      </c>
      <c r="J2065" s="2" t="str">
        <f>IFERROR(__xludf.DUMMYFUNCTION("""COMPUTED_VALUE"""),"28o 29' 40""")</f>
        <v>28o 29' 40"</v>
      </c>
      <c r="K2065" s="2" t="str">
        <f>IFERROR(__xludf.DUMMYFUNCTION("""COMPUTED_VALUE"""),"83o 49' 00""")</f>
        <v>83o 49' 00"</v>
      </c>
      <c r="L2065" s="2" t="str">
        <f>IFERROR(__xludf.DUMMYFUNCTION("""COMPUTED_VALUE"""),"83o 53' 39""")</f>
        <v>83o 53' 39"</v>
      </c>
      <c r="M2065" s="2" t="str">
        <f>IFERROR(__xludf.DUMMYFUNCTION("""COMPUTED_VALUE"""),"Ghandruk,Lwangghale,Lumle (Kaski)")</f>
        <v>Ghandruk,Lwangghale,Lumle (Kaski)</v>
      </c>
    </row>
    <row r="2066">
      <c r="A2066" s="2">
        <f>IFERROR(__xludf.DUMMYFUNCTION("""COMPUTED_VALUE"""),2065.0)</f>
        <v>2065</v>
      </c>
      <c r="B2066" s="2" t="str">
        <f>IFERROR(__xludf.DUMMYFUNCTION("""COMPUTED_VALUE"""),"Middle Super Daraudi HPP")</f>
        <v>Middle Super Daraudi HPP</v>
      </c>
      <c r="C2066" s="2">
        <f>IFERROR(__xludf.DUMMYFUNCTION("""COMPUTED_VALUE"""),4.48)</f>
        <v>4.48</v>
      </c>
      <c r="D2066" s="2" t="str">
        <f>IFERROR(__xludf.DUMMYFUNCTION("""COMPUTED_VALUE"""),"Daraudi")</f>
        <v>Daraudi</v>
      </c>
      <c r="E2066" s="2">
        <f>IFERROR(__xludf.DUMMYFUNCTION("""COMPUTED_VALUE"""),2970.0)</f>
        <v>2970</v>
      </c>
      <c r="F2066" s="3">
        <f>IFERROR(__xludf.DUMMYFUNCTION("""COMPUTED_VALUE"""),63468.0)</f>
        <v>63468</v>
      </c>
      <c r="G2066" s="2" t="str">
        <f>IFERROR(__xludf.DUMMYFUNCTION("""COMPUTED_VALUE"""),"Dibas Bhattarai")</f>
        <v>Dibas Bhattarai</v>
      </c>
      <c r="H2066" s="2" t="str">
        <f>IFERROR(__xludf.DUMMYFUNCTION("""COMPUTED_VALUE"""),"Biratnagar-18, Morang, Mob.No. 9818987025")</f>
        <v>Biratnagar-18, Morang, Mob.No. 9818987025</v>
      </c>
      <c r="I2066" s="2" t="str">
        <f>IFERROR(__xludf.DUMMYFUNCTION("""COMPUTED_VALUE"""),"28o 11' 18""")</f>
        <v>28o 11' 18"</v>
      </c>
      <c r="J2066" s="2" t="str">
        <f>IFERROR(__xludf.DUMMYFUNCTION("""COMPUTED_VALUE"""),"28o 13' 23""")</f>
        <v>28o 13' 23"</v>
      </c>
      <c r="K2066" s="2" t="str">
        <f>IFERROR(__xludf.DUMMYFUNCTION("""COMPUTED_VALUE"""),"84o 42' 57""")</f>
        <v>84o 42' 57"</v>
      </c>
      <c r="L2066" s="2" t="str">
        <f>IFERROR(__xludf.DUMMYFUNCTION("""COMPUTED_VALUE"""),"84o 44' 07""")</f>
        <v>84o 44' 07"</v>
      </c>
      <c r="M2066" s="2" t="str">
        <f>IFERROR(__xludf.DUMMYFUNCTION("""COMPUTED_VALUE"""),"Ghyalchok,Warpak (Gorkha)")</f>
        <v>Ghyalchok,Warpak (Gorkha)</v>
      </c>
    </row>
    <row r="2067">
      <c r="A2067" s="2">
        <f>IFERROR(__xludf.DUMMYFUNCTION("""COMPUTED_VALUE"""),2066.0)</f>
        <v>2066</v>
      </c>
      <c r="B2067" s="2" t="str">
        <f>IFERROR(__xludf.DUMMYFUNCTION("""COMPUTED_VALUE"""),"Upper Dudh khola HPP")</f>
        <v>Upper Dudh khola HPP</v>
      </c>
      <c r="C2067" s="2">
        <f>IFERROR(__xludf.DUMMYFUNCTION("""COMPUTED_VALUE"""),24.7)</f>
        <v>24.7</v>
      </c>
      <c r="D2067" s="2" t="str">
        <f>IFERROR(__xludf.DUMMYFUNCTION("""COMPUTED_VALUE"""),"Dudh khola")</f>
        <v>Dudh khola</v>
      </c>
      <c r="E2067" s="2">
        <f>IFERROR(__xludf.DUMMYFUNCTION("""COMPUTED_VALUE"""),3008.0)</f>
        <v>3008</v>
      </c>
      <c r="F2067" s="3">
        <f>IFERROR(__xludf.DUMMYFUNCTION("""COMPUTED_VALUE"""),63471.0)</f>
        <v>63471</v>
      </c>
      <c r="G2067" s="2" t="str">
        <f>IFERROR(__xludf.DUMMYFUNCTION("""COMPUTED_VALUE"""),"Bhagwati Hydropower Development Company Pvt. Ltd.")</f>
        <v>Bhagwati Hydropower Development Company Pvt. Ltd.</v>
      </c>
      <c r="H2067" s="2" t="str">
        <f>IFERROR(__xludf.DUMMYFUNCTION("""COMPUTED_VALUE"""),"Kathmandu-35, Subidhanagar, Tinkune")</f>
        <v>Kathmandu-35, Subidhanagar, Tinkune</v>
      </c>
      <c r="I2067" s="2" t="str">
        <f>IFERROR(__xludf.DUMMYFUNCTION("""COMPUTED_VALUE"""),"28o 33' 05""")</f>
        <v>28o 33' 05"</v>
      </c>
      <c r="J2067" s="2" t="str">
        <f>IFERROR(__xludf.DUMMYFUNCTION("""COMPUTED_VALUE"""),"28o 35' 45""")</f>
        <v>28o 35' 45"</v>
      </c>
      <c r="K2067" s="2" t="str">
        <f>IFERROR(__xludf.DUMMYFUNCTION("""COMPUTED_VALUE"""),"84o 23' 00""")</f>
        <v>84o 23' 00"</v>
      </c>
      <c r="L2067" s="2" t="str">
        <f>IFERROR(__xludf.DUMMYFUNCTION("""COMPUTED_VALUE"""),"84o 25' 45""")</f>
        <v>84o 25' 45"</v>
      </c>
      <c r="M2067" s="2" t="str">
        <f>IFERROR(__xludf.DUMMYFUNCTION("""COMPUTED_VALUE"""),"Thoche (Manang)")</f>
        <v>Thoche (Manang)</v>
      </c>
    </row>
    <row r="2068">
      <c r="A2068" s="2">
        <f>IFERROR(__xludf.DUMMYFUNCTION("""COMPUTED_VALUE"""),2067.0)</f>
        <v>2067</v>
      </c>
      <c r="B2068" s="2" t="str">
        <f>IFERROR(__xludf.DUMMYFUNCTION("""COMPUTED_VALUE"""),"Thapakhola Cascade HPP")</f>
        <v>Thapakhola Cascade HPP</v>
      </c>
      <c r="C2068" s="2">
        <f>IFERROR(__xludf.DUMMYFUNCTION("""COMPUTED_VALUE"""),1.43)</f>
        <v>1.43</v>
      </c>
      <c r="D2068" s="2" t="str">
        <f>IFERROR(__xludf.DUMMYFUNCTION("""COMPUTED_VALUE"""),"Thapa khola")</f>
        <v>Thapa khola</v>
      </c>
      <c r="E2068" s="2">
        <f>IFERROR(__xludf.DUMMYFUNCTION("""COMPUTED_VALUE"""),3233.0)</f>
        <v>3233</v>
      </c>
      <c r="F2068" s="3">
        <f>IFERROR(__xludf.DUMMYFUNCTION("""COMPUTED_VALUE"""),63483.0)</f>
        <v>63483</v>
      </c>
      <c r="G2068" s="2" t="str">
        <f>IFERROR(__xludf.DUMMYFUNCTION("""COMPUTED_VALUE"""),"Mount Kailash Energy Company Limited")</f>
        <v>Mount Kailash Energy Company Limited</v>
      </c>
      <c r="H2068" s="2" t="str">
        <f>IFERROR(__xludf.DUMMYFUNCTION("""COMPUTED_VALUE"""),"Banasthali -16, Kathmandu")</f>
        <v>Banasthali -16, Kathmandu</v>
      </c>
      <c r="I2068" s="2" t="str">
        <f>IFERROR(__xludf.DUMMYFUNCTION("""COMPUTED_VALUE"""),"28o 42' 15""")</f>
        <v>28o 42' 15"</v>
      </c>
      <c r="J2068" s="2" t="str">
        <f>IFERROR(__xludf.DUMMYFUNCTION("""COMPUTED_VALUE"""),"28o 42' 54""")</f>
        <v>28o 42' 54"</v>
      </c>
      <c r="K2068" s="2" t="str">
        <f>IFERROR(__xludf.DUMMYFUNCTION("""COMPUTED_VALUE"""),"83o 38' 15""")</f>
        <v>83o 38' 15"</v>
      </c>
      <c r="L2068" s="2" t="str">
        <f>IFERROR(__xludf.DUMMYFUNCTION("""COMPUTED_VALUE"""),"83o 38' 42""")</f>
        <v>83o 38' 42"</v>
      </c>
      <c r="M2068" s="2" t="str">
        <f>IFERROR(__xludf.DUMMYFUNCTION("""COMPUTED_VALUE"""),"Tukuche (Mustang)")</f>
        <v>Tukuche (Mustang)</v>
      </c>
    </row>
    <row r="2069">
      <c r="A2069" s="2">
        <f>IFERROR(__xludf.DUMMYFUNCTION("""COMPUTED_VALUE"""),2068.0)</f>
        <v>2068</v>
      </c>
      <c r="B2069" s="2" t="str">
        <f>IFERROR(__xludf.DUMMYFUNCTION("""COMPUTED_VALUE"""),"Surnaya Gad Hydropower Project")</f>
        <v>Surnaya Gad Hydropower Project</v>
      </c>
      <c r="C2069" s="2">
        <f>IFERROR(__xludf.DUMMYFUNCTION("""COMPUTED_VALUE"""),4.5)</f>
        <v>4.5</v>
      </c>
      <c r="D2069" s="2" t="str">
        <f>IFERROR(__xludf.DUMMYFUNCTION("""COMPUTED_VALUE"""),"Surnaya Gad")</f>
        <v>Surnaya Gad</v>
      </c>
      <c r="E2069" s="2">
        <f>IFERROR(__xludf.DUMMYFUNCTION("""COMPUTED_VALUE"""),3313.0)</f>
        <v>3313</v>
      </c>
      <c r="F2069" s="3">
        <f>IFERROR(__xludf.DUMMYFUNCTION("""COMPUTED_VALUE"""),63488.0)</f>
        <v>63488</v>
      </c>
      <c r="G2069" s="2" t="str">
        <f>IFERROR(__xludf.DUMMYFUNCTION("""COMPUTED_VALUE"""),"Bageshwor Hydro Pvt. Ltd.")</f>
        <v>Bageshwor Hydro Pvt. Ltd.</v>
      </c>
      <c r="H2069" s="2" t="str">
        <f>IFERROR(__xludf.DUMMYFUNCTION("""COMPUTED_VALUE"""),"Tripureshwor Kathmandu, Po. Box 15277 Ph. no. 01-4266768, 9851026237 
(Pushpamani Bhandari), 9851009675(Gopi)")</f>
        <v>Tripureshwor Kathmandu, Po. Box 15277 Ph. no. 01-4266768, 9851026237 
(Pushpamani Bhandari), 9851009675(Gopi)</v>
      </c>
      <c r="I2069" s="2" t="str">
        <f>IFERROR(__xludf.DUMMYFUNCTION("""COMPUTED_VALUE"""),"29o 20' 46""")</f>
        <v>29o 20' 46"</v>
      </c>
      <c r="J2069" s="2" t="str">
        <f>IFERROR(__xludf.DUMMYFUNCTION("""COMPUTED_VALUE"""),"29o 21' 45""")</f>
        <v>29o 21' 45"</v>
      </c>
      <c r="K2069" s="2" t="str">
        <f>IFERROR(__xludf.DUMMYFUNCTION("""COMPUTED_VALUE"""),"80o 22' 30""")</f>
        <v>80o 22' 30"</v>
      </c>
      <c r="L2069" s="2" t="str">
        <f>IFERROR(__xludf.DUMMYFUNCTION("""COMPUTED_VALUE"""),"80o 24' 41""")</f>
        <v>80o 24' 41"</v>
      </c>
      <c r="M2069" s="2" t="str">
        <f>IFERROR(__xludf.DUMMYFUNCTION("""COMPUTED_VALUE"""),"Bilashpur (Baitadi) Bhageswor (Dadeldhura)")</f>
        <v>Bilashpur (Baitadi) Bhageswor (Dadeldhura)</v>
      </c>
    </row>
    <row r="2070">
      <c r="A2070" s="2">
        <f>IFERROR(__xludf.DUMMYFUNCTION("""COMPUTED_VALUE"""),2069.0)</f>
        <v>2069</v>
      </c>
      <c r="B2070" s="2" t="str">
        <f>IFERROR(__xludf.DUMMYFUNCTION("""COMPUTED_VALUE"""),"Chhunjun Khola HPP")</f>
        <v>Chhunjun Khola HPP</v>
      </c>
      <c r="C2070" s="2">
        <f>IFERROR(__xludf.DUMMYFUNCTION("""COMPUTED_VALUE"""),4.22)</f>
        <v>4.22</v>
      </c>
      <c r="D2070" s="2" t="str">
        <f>IFERROR(__xludf.DUMMYFUNCTION("""COMPUTED_VALUE"""),"Chhunjun Khola")</f>
        <v>Chhunjun Khola</v>
      </c>
      <c r="E2070" s="2">
        <f>IFERROR(__xludf.DUMMYFUNCTION("""COMPUTED_VALUE"""),2253.0)</f>
        <v>2253</v>
      </c>
      <c r="F2070" s="3">
        <f>IFERROR(__xludf.DUMMYFUNCTION("""COMPUTED_VALUE"""),63489.0)</f>
        <v>63489</v>
      </c>
      <c r="G2070" s="2" t="str">
        <f>IFERROR(__xludf.DUMMYFUNCTION("""COMPUTED_VALUE"""),"Amarnath Shrestha")</f>
        <v>Amarnath Shrestha</v>
      </c>
      <c r="H2070" s="2" t="str">
        <f>IFERROR(__xludf.DUMMYFUNCTION("""COMPUTED_VALUE"""),"Budhbare-9, Jhapa")</f>
        <v>Budhbare-9, Jhapa</v>
      </c>
      <c r="I2070" s="2" t="str">
        <f>IFERROR(__xludf.DUMMYFUNCTION("""COMPUTED_VALUE"""),"27o 44' 30""")</f>
        <v>27o 44' 30"</v>
      </c>
      <c r="J2070" s="2" t="str">
        <f>IFERROR(__xludf.DUMMYFUNCTION("""COMPUTED_VALUE"""),"27o 46' 15""")</f>
        <v>27o 46' 15"</v>
      </c>
      <c r="K2070" s="2" t="str">
        <f>IFERROR(__xludf.DUMMYFUNCTION("""COMPUTED_VALUE"""),"87o 25' 30""")</f>
        <v>87o 25' 30"</v>
      </c>
      <c r="L2070" s="2" t="str">
        <f>IFERROR(__xludf.DUMMYFUNCTION("""COMPUTED_VALUE"""),"87o 30' 45""")</f>
        <v>87o 30' 45"</v>
      </c>
      <c r="M2070" s="2" t="str">
        <f>IFERROR(__xludf.DUMMYFUNCTION("""COMPUTED_VALUE"""),"Chepuwa (Sankhuwasabha)")</f>
        <v>Chepuwa (Sankhuwasabha)</v>
      </c>
    </row>
    <row r="2071">
      <c r="A2071" s="2">
        <f>IFERROR(__xludf.DUMMYFUNCTION("""COMPUTED_VALUE"""),2070.0)</f>
        <v>2070</v>
      </c>
      <c r="B2071" s="2" t="str">
        <f>IFERROR(__xludf.DUMMYFUNCTION("""COMPUTED_VALUE"""),"Nimrung khola HPP")</f>
        <v>Nimrung khola HPP</v>
      </c>
      <c r="C2071" s="2">
        <f>IFERROR(__xludf.DUMMYFUNCTION("""COMPUTED_VALUE"""),4.73)</f>
        <v>4.73</v>
      </c>
      <c r="D2071" s="2" t="str">
        <f>IFERROR(__xludf.DUMMYFUNCTION("""COMPUTED_VALUE"""),"Nimrung")</f>
        <v>Nimrung</v>
      </c>
      <c r="E2071" s="2">
        <f>IFERROR(__xludf.DUMMYFUNCTION("""COMPUTED_VALUE"""),3336.0)</f>
        <v>3336</v>
      </c>
      <c r="F2071" s="3">
        <f>IFERROR(__xludf.DUMMYFUNCTION("""COMPUTED_VALUE"""),63489.0)</f>
        <v>63489</v>
      </c>
      <c r="G2071" s="2" t="str">
        <f>IFERROR(__xludf.DUMMYFUNCTION("""COMPUTED_VALUE"""),"Kiran Power Company Pvt. Ltd.")</f>
        <v>Kiran Power Company Pvt. Ltd.</v>
      </c>
      <c r="H2071" s="2" t="str">
        <f>IFERROR(__xludf.DUMMYFUNCTION("""COMPUTED_VALUE"""),"Kaldhara -16, Ktm. Bikash Kiran Adhikari")</f>
        <v>Kaldhara -16, Ktm. Bikash Kiran Adhikari</v>
      </c>
      <c r="I2071" s="2" t="str">
        <f>IFERROR(__xludf.DUMMYFUNCTION("""COMPUTED_VALUE"""),"28o 14' 59""")</f>
        <v>28o 14' 59"</v>
      </c>
      <c r="J2071" s="2" t="str">
        <f>IFERROR(__xludf.DUMMYFUNCTION("""COMPUTED_VALUE"""),"28o 16' 20""")</f>
        <v>28o 16' 20"</v>
      </c>
      <c r="K2071" s="2" t="str">
        <f>IFERROR(__xludf.DUMMYFUNCTION("""COMPUTED_VALUE"""),"84o 51' 15""")</f>
        <v>84o 51' 15"</v>
      </c>
      <c r="L2071" s="2" t="str">
        <f>IFERROR(__xludf.DUMMYFUNCTION("""COMPUTED_VALUE"""),"84o 53' 14""")</f>
        <v>84o 53' 14"</v>
      </c>
      <c r="M2071" s="2" t="str">
        <f>IFERROR(__xludf.DUMMYFUNCTION("""COMPUTED_VALUE"""),"Uiya (Gorkha)")</f>
        <v>Uiya (Gorkha)</v>
      </c>
    </row>
    <row r="2072">
      <c r="A2072" s="2">
        <f>IFERROR(__xludf.DUMMYFUNCTION("""COMPUTED_VALUE"""),2071.0)</f>
        <v>2071</v>
      </c>
      <c r="B2072" s="2" t="str">
        <f>IFERROR(__xludf.DUMMYFUNCTION("""COMPUTED_VALUE"""),"Simbuwa Khola HPP")</f>
        <v>Simbuwa Khola HPP</v>
      </c>
      <c r="C2072" s="2">
        <f>IFERROR(__xludf.DUMMYFUNCTION("""COMPUTED_VALUE"""),45.0)</f>
        <v>45</v>
      </c>
      <c r="D2072" s="2" t="str">
        <f>IFERROR(__xludf.DUMMYFUNCTION("""COMPUTED_VALUE"""),"Simbuwa Khola")</f>
        <v>Simbuwa Khola</v>
      </c>
      <c r="E2072" s="2">
        <f>IFERROR(__xludf.DUMMYFUNCTION("""COMPUTED_VALUE"""),3357.0)</f>
        <v>3357</v>
      </c>
      <c r="F2072" s="3">
        <f>IFERROR(__xludf.DUMMYFUNCTION("""COMPUTED_VALUE"""),63489.0)</f>
        <v>63489</v>
      </c>
      <c r="G2072" s="2" t="str">
        <f>IFERROR(__xludf.DUMMYFUNCTION("""COMPUTED_VALUE"""),"Simbuwa Hydropower Pvt. Ltd.")</f>
        <v>Simbuwa Hydropower Pvt. Ltd.</v>
      </c>
      <c r="H2072" s="2" t="str">
        <f>IFERROR(__xludf.DUMMYFUNCTION("""COMPUTED_VALUE"""),"Naxal, Kathmandu")</f>
        <v>Naxal, Kathmandu</v>
      </c>
      <c r="I2072" s="2" t="str">
        <f>IFERROR(__xludf.DUMMYFUNCTION("""COMPUTED_VALUE"""),"27o 31' 15""")</f>
        <v>27o 31' 15"</v>
      </c>
      <c r="J2072" s="2" t="str">
        <f>IFERROR(__xludf.DUMMYFUNCTION("""COMPUTED_VALUE"""),"27o 35' 00""")</f>
        <v>27o 35' 00"</v>
      </c>
      <c r="K2072" s="2" t="str">
        <f>IFERROR(__xludf.DUMMYFUNCTION("""COMPUTED_VALUE"""),"87o 54' 50""")</f>
        <v>87o 54' 50"</v>
      </c>
      <c r="L2072" s="2" t="str">
        <f>IFERROR(__xludf.DUMMYFUNCTION("""COMPUTED_VALUE"""),"88o 00' 00""")</f>
        <v>88o 00' 00"</v>
      </c>
      <c r="M2072" s="2" t="str">
        <f>IFERROR(__xludf.DUMMYFUNCTION("""COMPUTED_VALUE"""),"Tapethok,Yamfudin (Taplejung)")</f>
        <v>Tapethok,Yamfudin (Taplejung)</v>
      </c>
    </row>
    <row r="2073">
      <c r="A2073" s="2">
        <f>IFERROR(__xludf.DUMMYFUNCTION("""COMPUTED_VALUE"""),2072.0)</f>
        <v>2072</v>
      </c>
      <c r="B2073" s="2" t="str">
        <f>IFERROR(__xludf.DUMMYFUNCTION("""COMPUTED_VALUE"""),"Middle Bagmati Khola HPP")</f>
        <v>Middle Bagmati Khola HPP</v>
      </c>
      <c r="C2073" s="2">
        <f>IFERROR(__xludf.DUMMYFUNCTION("""COMPUTED_VALUE"""),4.85)</f>
        <v>4.85</v>
      </c>
      <c r="D2073" s="2" t="str">
        <f>IFERROR(__xludf.DUMMYFUNCTION("""COMPUTED_VALUE"""),"Bagmati")</f>
        <v>Bagmati</v>
      </c>
      <c r="E2073" s="2">
        <f>IFERROR(__xludf.DUMMYFUNCTION("""COMPUTED_VALUE"""),3365.0)</f>
        <v>3365</v>
      </c>
      <c r="F2073" s="3">
        <f>IFERROR(__xludf.DUMMYFUNCTION("""COMPUTED_VALUE"""),63490.0)</f>
        <v>63490</v>
      </c>
      <c r="G2073" s="2" t="str">
        <f>IFERROR(__xludf.DUMMYFUNCTION("""COMPUTED_VALUE"""),"Ramhari Bajgain and Gyani Regmi")</f>
        <v>Ramhari Bajgain and Gyani Regmi</v>
      </c>
      <c r="H2073" s="2" t="str">
        <f>IFERROR(__xludf.DUMMYFUNCTION("""COMPUTED_VALUE"""),"Dhungkharka-Kavre, Chitwan, Mob No. 9851092614")</f>
        <v>Dhungkharka-Kavre, Chitwan, Mob No. 9851092614</v>
      </c>
      <c r="I2073" s="2" t="str">
        <f>IFERROR(__xludf.DUMMYFUNCTION("""COMPUTED_VALUE"""),"27o 26' 40""")</f>
        <v>27o 26' 40"</v>
      </c>
      <c r="J2073" s="2" t="str">
        <f>IFERROR(__xludf.DUMMYFUNCTION("""COMPUTED_VALUE"""),"27o 29' 24""")</f>
        <v>27o 29' 24"</v>
      </c>
      <c r="K2073" s="2" t="str">
        <f>IFERROR(__xludf.DUMMYFUNCTION("""COMPUTED_VALUE"""),"85o 14' 42""")</f>
        <v>85o 14' 42"</v>
      </c>
      <c r="L2073" s="2" t="str">
        <f>IFERROR(__xludf.DUMMYFUNCTION("""COMPUTED_VALUE"""),"85o 18' 18""")</f>
        <v>85o 18' 18"</v>
      </c>
      <c r="M2073" s="2" t="str">
        <f>IFERROR(__xludf.DUMMYFUNCTION("""COMPUTED_VALUE"""),"Ashrang,Malta,Pyutar (Lalitpur)")</f>
        <v>Ashrang,Malta,Pyutar (Lalitpur)</v>
      </c>
    </row>
    <row r="2074">
      <c r="A2074" s="2">
        <f>IFERROR(__xludf.DUMMYFUNCTION("""COMPUTED_VALUE"""),2073.0)</f>
        <v>2073</v>
      </c>
      <c r="B2074" s="2" t="str">
        <f>IFERROR(__xludf.DUMMYFUNCTION("""COMPUTED_VALUE"""),"Middle Sani Bheri HPP")</f>
        <v>Middle Sani Bheri HPP</v>
      </c>
      <c r="C2074" s="2">
        <f>IFERROR(__xludf.DUMMYFUNCTION("""COMPUTED_VALUE"""),47.0)</f>
        <v>47</v>
      </c>
      <c r="D2074" s="2" t="str">
        <f>IFERROR(__xludf.DUMMYFUNCTION("""COMPUTED_VALUE"""),"Sani Bheri")</f>
        <v>Sani Bheri</v>
      </c>
      <c r="E2074" s="2">
        <f>IFERROR(__xludf.DUMMYFUNCTION("""COMPUTED_VALUE"""),3369.0)</f>
        <v>3369</v>
      </c>
      <c r="F2074" s="3">
        <f>IFERROR(__xludf.DUMMYFUNCTION("""COMPUTED_VALUE"""),63490.0)</f>
        <v>63490</v>
      </c>
      <c r="G2074" s="2" t="str">
        <f>IFERROR(__xludf.DUMMYFUNCTION("""COMPUTED_VALUE"""),"Kalika Construction Pvt. Ltd.")</f>
        <v>Kalika Construction Pvt. Ltd.</v>
      </c>
      <c r="H2074" s="2" t="str">
        <f>IFERROR(__xludf.DUMMYFUNCTION("""COMPUTED_VALUE"""),"Baluwatar, Kathmandu, Ph No. 4439152")</f>
        <v>Baluwatar, Kathmandu, Ph No. 4439152</v>
      </c>
      <c r="I2074" s="2" t="str">
        <f>IFERROR(__xludf.DUMMYFUNCTION("""COMPUTED_VALUE"""),"28o 37' 30""")</f>
        <v>28o 37' 30"</v>
      </c>
      <c r="J2074" s="2" t="str">
        <f>IFERROR(__xludf.DUMMYFUNCTION("""COMPUTED_VALUE"""),"28o 39' 00""")</f>
        <v>28o 39' 00"</v>
      </c>
      <c r="K2074" s="2" t="str">
        <f>IFERROR(__xludf.DUMMYFUNCTION("""COMPUTED_VALUE"""),"82o 31' 05""")</f>
        <v>82o 31' 05"</v>
      </c>
      <c r="L2074" s="2" t="str">
        <f>IFERROR(__xludf.DUMMYFUNCTION("""COMPUTED_VALUE"""),"82o 38' 23""")</f>
        <v>82o 38' 23"</v>
      </c>
      <c r="M2074" s="2"/>
    </row>
    <row r="2075">
      <c r="A2075" s="2">
        <f>IFERROR(__xludf.DUMMYFUNCTION("""COMPUTED_VALUE"""),2074.0)</f>
        <v>2074</v>
      </c>
      <c r="B2075" s="2" t="str">
        <f>IFERROR(__xludf.DUMMYFUNCTION("""COMPUTED_VALUE"""),"Upper Madi-0 Hydropower Project")</f>
        <v>Upper Madi-0 Hydropower Project</v>
      </c>
      <c r="C2075" s="2">
        <f>IFERROR(__xludf.DUMMYFUNCTION("""COMPUTED_VALUE"""),38.0)</f>
        <v>38</v>
      </c>
      <c r="D2075" s="2" t="str">
        <f>IFERROR(__xludf.DUMMYFUNCTION("""COMPUTED_VALUE"""),"Madi Khola")</f>
        <v>Madi Khola</v>
      </c>
      <c r="E2075" s="2">
        <f>IFERROR(__xludf.DUMMYFUNCTION("""COMPUTED_VALUE"""),3394.0)</f>
        <v>3394</v>
      </c>
      <c r="F2075" s="3">
        <f>IFERROR(__xludf.DUMMYFUNCTION("""COMPUTED_VALUE"""),63494.0)</f>
        <v>63494</v>
      </c>
      <c r="G2075" s="2" t="str">
        <f>IFERROR(__xludf.DUMMYFUNCTION("""COMPUTED_VALUE"""),"Annapurna Power Company Pvt. Ltd.")</f>
        <v>Annapurna Power Company Pvt. Ltd.</v>
      </c>
      <c r="H2075" s="2" t="str">
        <f>IFERROR(__xludf.DUMMYFUNCTION("""COMPUTED_VALUE"""),"Lalitpur-03, Ph. 9851210100 (Sabu Koirala)")</f>
        <v>Lalitpur-03, Ph. 9851210100 (Sabu Koirala)</v>
      </c>
      <c r="I2075" s="2" t="str">
        <f>IFERROR(__xludf.DUMMYFUNCTION("""COMPUTED_VALUE"""),"28o 22' 00""")</f>
        <v>28o 22' 00"</v>
      </c>
      <c r="J2075" s="2" t="str">
        <f>IFERROR(__xludf.DUMMYFUNCTION("""COMPUTED_VALUE"""),"28o 25' 30""")</f>
        <v>28o 25' 30"</v>
      </c>
      <c r="K2075" s="2" t="str">
        <f>IFERROR(__xludf.DUMMYFUNCTION("""COMPUTED_VALUE"""),"84o 05' 30""")</f>
        <v>84o 05' 30"</v>
      </c>
      <c r="L2075" s="2" t="str">
        <f>IFERROR(__xludf.DUMMYFUNCTION("""COMPUTED_VALUE"""),"84o 07' 30""")</f>
        <v>84o 07' 30"</v>
      </c>
      <c r="M2075" s="2" t="str">
        <f>IFERROR(__xludf.DUMMYFUNCTION("""COMPUTED_VALUE"""),"Parche,Namarjung (Kaski)")</f>
        <v>Parche,Namarjung (Kaski)</v>
      </c>
    </row>
    <row r="2076">
      <c r="A2076" s="2">
        <f>IFERROR(__xludf.DUMMYFUNCTION("""COMPUTED_VALUE"""),2075.0)</f>
        <v>2075</v>
      </c>
      <c r="B2076" s="2" t="str">
        <f>IFERROR(__xludf.DUMMYFUNCTION("""COMPUTED_VALUE"""),"Suligad Hydropower Project")</f>
        <v>Suligad Hydropower Project</v>
      </c>
      <c r="C2076" s="2">
        <f>IFERROR(__xludf.DUMMYFUNCTION("""COMPUTED_VALUE"""),4.6)</f>
        <v>4.6</v>
      </c>
      <c r="D2076" s="2" t="str">
        <f>IFERROR(__xludf.DUMMYFUNCTION("""COMPUTED_VALUE"""),"Suli Gad")</f>
        <v>Suli Gad</v>
      </c>
      <c r="E2076" s="2">
        <f>IFERROR(__xludf.DUMMYFUNCTION("""COMPUTED_VALUE"""),3564.0)</f>
        <v>3564</v>
      </c>
      <c r="F2076" s="3">
        <f>IFERROR(__xludf.DUMMYFUNCTION("""COMPUTED_VALUE"""),63502.0)</f>
        <v>63502</v>
      </c>
      <c r="G2076" s="2" t="str">
        <f>IFERROR(__xludf.DUMMYFUNCTION("""COMPUTED_VALUE"""),"Shila Neupane Koirala, Sushila Parajuli Baral")</f>
        <v>Shila Neupane Koirala, Sushila Parajuli Baral</v>
      </c>
      <c r="H2076" s="2" t="str">
        <f>IFERROR(__xludf.DUMMYFUNCTION("""COMPUTED_VALUE"""),"Bharatpur-04 Chitwan, Pokhara-04, Kaski ,Mo. 9851210100, 9851124516 
Respectively")</f>
        <v>Bharatpur-04 Chitwan, Pokhara-04, Kaski ,Mo. 9851210100, 9851124516 
Respectively</v>
      </c>
      <c r="I2076" s="2" t="str">
        <f>IFERROR(__xludf.DUMMYFUNCTION("""COMPUTED_VALUE"""),"28o 59' 30""")</f>
        <v>28o 59' 30"</v>
      </c>
      <c r="J2076" s="2" t="str">
        <f>IFERROR(__xludf.DUMMYFUNCTION("""COMPUTED_VALUE"""),"29o 02' 30""")</f>
        <v>29o 02' 30"</v>
      </c>
      <c r="K2076" s="2" t="str">
        <f>IFERROR(__xludf.DUMMYFUNCTION("""COMPUTED_VALUE"""),"82o 52' 15""")</f>
        <v>82o 52' 15"</v>
      </c>
      <c r="L2076" s="2" t="str">
        <f>IFERROR(__xludf.DUMMYFUNCTION("""COMPUTED_VALUE"""),"82o 55' 00""")</f>
        <v>82o 55' 00"</v>
      </c>
      <c r="M2076" s="2" t="str">
        <f>IFERROR(__xludf.DUMMYFUNCTION("""COMPUTED_VALUE"""),"Raha,Tripurakot (Dolpa)")</f>
        <v>Raha,Tripurakot (Dolpa)</v>
      </c>
    </row>
    <row r="2077">
      <c r="A2077" s="2">
        <f>IFERROR(__xludf.DUMMYFUNCTION("""COMPUTED_VALUE"""),2076.0)</f>
        <v>2076</v>
      </c>
      <c r="B2077" s="2" t="str">
        <f>IFERROR(__xludf.DUMMYFUNCTION("""COMPUTED_VALUE"""),"Lower Seti Storage Project")</f>
        <v>Lower Seti Storage Project</v>
      </c>
      <c r="C2077" s="2">
        <f>IFERROR(__xludf.DUMMYFUNCTION("""COMPUTED_VALUE"""),128.0)</f>
        <v>128</v>
      </c>
      <c r="D2077" s="2" t="str">
        <f>IFERROR(__xludf.DUMMYFUNCTION("""COMPUTED_VALUE"""),"Seti Khola")</f>
        <v>Seti Khola</v>
      </c>
      <c r="E2077" s="2">
        <f>IFERROR(__xludf.DUMMYFUNCTION("""COMPUTED_VALUE"""),3628.0)</f>
        <v>3628</v>
      </c>
      <c r="F2077" s="3">
        <f>IFERROR(__xludf.DUMMYFUNCTION("""COMPUTED_VALUE"""),63505.0)</f>
        <v>63505</v>
      </c>
      <c r="G2077" s="2" t="str">
        <f>IFERROR(__xludf.DUMMYFUNCTION("""COMPUTED_VALUE"""),"Pushpa Joyti Dhugana")</f>
        <v>Pushpa Joyti Dhugana</v>
      </c>
      <c r="H2077" s="2" t="str">
        <f>IFERROR(__xludf.DUMMYFUNCTION("""COMPUTED_VALUE"""),"Rakhi VDC-4, Kaski")</f>
        <v>Rakhi VDC-4, Kaski</v>
      </c>
      <c r="I2077" s="2" t="str">
        <f>IFERROR(__xludf.DUMMYFUNCTION("""COMPUTED_VALUE"""),"27o 49' 03""")</f>
        <v>27o 49' 03"</v>
      </c>
      <c r="J2077" s="2" t="str">
        <f>IFERROR(__xludf.DUMMYFUNCTION("""COMPUTED_VALUE"""),"27o 55' 00""")</f>
        <v>27o 55' 00"</v>
      </c>
      <c r="K2077" s="2" t="str">
        <f>IFERROR(__xludf.DUMMYFUNCTION("""COMPUTED_VALUE"""),"84o 17' 30""")</f>
        <v>84o 17' 30"</v>
      </c>
      <c r="L2077" s="2" t="str">
        <f>IFERROR(__xludf.DUMMYFUNCTION("""COMPUTED_VALUE"""),"84o 27' 40""")</f>
        <v>84o 27' 40"</v>
      </c>
      <c r="M2077" s="2" t="str">
        <f>IFERROR(__xludf.DUMMYFUNCTION("""COMPUTED_VALUE"""),"Dharampani,Baidi,Deurali,Chhipchhipe (Tanahu)")</f>
        <v>Dharampani,Baidi,Deurali,Chhipchhipe (Tanahu)</v>
      </c>
    </row>
    <row r="2078">
      <c r="A2078" s="2">
        <f>IFERROR(__xludf.DUMMYFUNCTION("""COMPUTED_VALUE"""),2077.0)</f>
        <v>2077</v>
      </c>
      <c r="B2078" s="2" t="str">
        <f>IFERROR(__xludf.DUMMYFUNCTION("""COMPUTED_VALUE"""),"Upper Lung Khola HEP")</f>
        <v>Upper Lung Khola HEP</v>
      </c>
      <c r="C2078" s="2">
        <f>IFERROR(__xludf.DUMMYFUNCTION("""COMPUTED_VALUE"""),0.92)</f>
        <v>0.92</v>
      </c>
      <c r="D2078" s="2" t="str">
        <f>IFERROR(__xludf.DUMMYFUNCTION("""COMPUTED_VALUE"""),"Lung Khola")</f>
        <v>Lung Khola</v>
      </c>
      <c r="E2078" s="2">
        <f>IFERROR(__xludf.DUMMYFUNCTION("""COMPUTED_VALUE"""),3692.0)</f>
        <v>3692</v>
      </c>
      <c r="F2078" s="3">
        <f>IFERROR(__xludf.DUMMYFUNCTION("""COMPUTED_VALUE"""),63510.0)</f>
        <v>63510</v>
      </c>
      <c r="G2078" s="2" t="str">
        <f>IFERROR(__xludf.DUMMYFUNCTION("""COMPUTED_VALUE"""),"Gaumukhi Naubaini Hydro Pvt. Ltd.")</f>
        <v>Gaumukhi Naubaini Hydro Pvt. Ltd.</v>
      </c>
      <c r="H2078" s="6">
        <f>IFERROR(__xludf.DUMMYFUNCTION("""COMPUTED_VALUE"""),9.85111558198478E19)</f>
        <v>9.85112E+19</v>
      </c>
      <c r="I2078" s="2" t="str">
        <f>IFERROR(__xludf.DUMMYFUNCTION("""COMPUTED_VALUE"""),"28o 13' 06""")</f>
        <v>28o 13' 06"</v>
      </c>
      <c r="J2078" s="2" t="str">
        <f>IFERROR(__xludf.DUMMYFUNCTION("""COMPUTED_VALUE"""),"28o 15' 00""")</f>
        <v>28o 15' 00"</v>
      </c>
      <c r="K2078" s="2" t="str">
        <f>IFERROR(__xludf.DUMMYFUNCTION("""COMPUTED_VALUE"""),"82o 55' 11""")</f>
        <v>82o 55' 11"</v>
      </c>
      <c r="L2078" s="2" t="str">
        <f>IFERROR(__xludf.DUMMYFUNCTION("""COMPUTED_VALUE"""),"82o 56' 08""")</f>
        <v>82o 56' 08"</v>
      </c>
      <c r="M2078" s="2" t="str">
        <f>IFERROR(__xludf.DUMMYFUNCTION("""COMPUTED_VALUE"""),"Damri,Khawang,Ligha (Pyuthan)")</f>
        <v>Damri,Khawang,Ligha (Pyuthan)</v>
      </c>
    </row>
    <row r="2079">
      <c r="A2079" s="2">
        <f>IFERROR(__xludf.DUMMYFUNCTION("""COMPUTED_VALUE"""),2078.0)</f>
        <v>2078</v>
      </c>
      <c r="B2079" s="2" t="str">
        <f>IFERROR(__xludf.DUMMYFUNCTION("""COMPUTED_VALUE"""),"Madi Bhagwati Hydropower Project")</f>
        <v>Madi Bhagwati Hydropower Project</v>
      </c>
      <c r="C2079" s="2">
        <f>IFERROR(__xludf.DUMMYFUNCTION("""COMPUTED_VALUE"""),23.85)</f>
        <v>23.85</v>
      </c>
      <c r="D2079" s="2" t="str">
        <f>IFERROR(__xludf.DUMMYFUNCTION("""COMPUTED_VALUE"""),"Madi Khola")</f>
        <v>Madi Khola</v>
      </c>
      <c r="E2079" s="2">
        <f>IFERROR(__xludf.DUMMYFUNCTION("""COMPUTED_VALUE"""),3706.0)</f>
        <v>3706</v>
      </c>
      <c r="F2079" s="3">
        <f>IFERROR(__xludf.DUMMYFUNCTION("""COMPUTED_VALUE"""),63510.0)</f>
        <v>63510</v>
      </c>
      <c r="G2079" s="2" t="str">
        <f>IFERROR(__xludf.DUMMYFUNCTION("""COMPUTED_VALUE"""),"Subhash Pradhan, Radhika Bartaula, Dipesh Thapa")</f>
        <v>Subhash Pradhan, Radhika Bartaula, Dipesh Thapa</v>
      </c>
      <c r="H2079" s="2" t="str">
        <f>IFERROR(__xludf.DUMMYFUNCTION("""COMPUTED_VALUE"""),"Kathmandu 5 (9851092614), Hetauda 27 Makwanpur , Siddharth Nagar 13, 
Rupandehi (9851140453) Respectively")</f>
        <v>Kathmandu 5 (9851092614), Hetauda 27 Makwanpur , Siddharth Nagar 13, 
Rupandehi (9851140453) Respectively</v>
      </c>
      <c r="I2079" s="2" t="str">
        <f>IFERROR(__xludf.DUMMYFUNCTION("""COMPUTED_VALUE"""),"28o 11' 53""")</f>
        <v>28o 11' 53"</v>
      </c>
      <c r="J2079" s="2" t="str">
        <f>IFERROR(__xludf.DUMMYFUNCTION("""COMPUTED_VALUE"""),"28o 13' 21""")</f>
        <v>28o 13' 21"</v>
      </c>
      <c r="K2079" s="2" t="str">
        <f>IFERROR(__xludf.DUMMYFUNCTION("""COMPUTED_VALUE"""),"84o 07' 40""")</f>
        <v>84o 07' 40"</v>
      </c>
      <c r="L2079" s="2" t="str">
        <f>IFERROR(__xludf.DUMMYFUNCTION("""COMPUTED_VALUE"""),"84o 12' 13""")</f>
        <v>84o 12' 13"</v>
      </c>
      <c r="M2079" s="2" t="str">
        <f>IFERROR(__xludf.DUMMYFUNCTION("""COMPUTED_VALUE"""),"Mijuredada,Namarjung,Hansapur,Thumki (Kaski)")</f>
        <v>Mijuredada,Namarjung,Hansapur,Thumki (Kaski)</v>
      </c>
    </row>
    <row r="2080">
      <c r="A2080" s="2">
        <f>IFERROR(__xludf.DUMMYFUNCTION("""COMPUTED_VALUE"""),2079.0)</f>
        <v>2079</v>
      </c>
      <c r="B2080" s="2" t="str">
        <f>IFERROR(__xludf.DUMMYFUNCTION("""COMPUTED_VALUE"""),"Super Chameliya Khola HEP")</f>
        <v>Super Chameliya Khola HEP</v>
      </c>
      <c r="C2080" s="2">
        <f>IFERROR(__xludf.DUMMYFUNCTION("""COMPUTED_VALUE"""),9.2)</f>
        <v>9.2</v>
      </c>
      <c r="D2080" s="2" t="str">
        <f>IFERROR(__xludf.DUMMYFUNCTION("""COMPUTED_VALUE"""),"Chameliya Khola")</f>
        <v>Chameliya Khola</v>
      </c>
      <c r="E2080" s="2">
        <f>IFERROR(__xludf.DUMMYFUNCTION("""COMPUTED_VALUE"""),3707.0)</f>
        <v>3707</v>
      </c>
      <c r="F2080" s="3">
        <f>IFERROR(__xludf.DUMMYFUNCTION("""COMPUTED_VALUE"""),63510.0)</f>
        <v>63510</v>
      </c>
      <c r="G2080" s="2" t="str">
        <f>IFERROR(__xludf.DUMMYFUNCTION("""COMPUTED_VALUE"""),"Tek Prasad Chaulagain, Ramhari Bajgain")</f>
        <v>Tek Prasad Chaulagain, Ramhari Bajgain</v>
      </c>
      <c r="H2080" s="6">
        <f>IFERROR(__xludf.DUMMYFUNCTION("""COMPUTED_VALUE"""),9.8510232709851E19)</f>
        <v>9.85102E+19</v>
      </c>
      <c r="I2080" s="2" t="str">
        <f>IFERROR(__xludf.DUMMYFUNCTION("""COMPUTED_VALUE"""),"29o 49' 27""")</f>
        <v>29o 49' 27"</v>
      </c>
      <c r="J2080" s="2" t="str">
        <f>IFERROR(__xludf.DUMMYFUNCTION("""COMPUTED_VALUE"""),"29o 51' 37""")</f>
        <v>29o 51' 37"</v>
      </c>
      <c r="K2080" s="2" t="str">
        <f>IFERROR(__xludf.DUMMYFUNCTION("""COMPUTED_VALUE"""),"80o 53' 03""")</f>
        <v>80o 53' 03"</v>
      </c>
      <c r="L2080" s="2" t="str">
        <f>IFERROR(__xludf.DUMMYFUNCTION("""COMPUTED_VALUE"""),"80o 54' 24""")</f>
        <v>80o 54' 24"</v>
      </c>
      <c r="M2080" s="2"/>
    </row>
    <row r="2081">
      <c r="A2081" s="2">
        <f>IFERROR(__xludf.DUMMYFUNCTION("""COMPUTED_VALUE"""),2080.0)</f>
        <v>2080</v>
      </c>
      <c r="B2081" s="2" t="str">
        <f>IFERROR(__xludf.DUMMYFUNCTION("""COMPUTED_VALUE"""),"Nisi Khola Small HEP")</f>
        <v>Nisi Khola Small HEP</v>
      </c>
      <c r="C2081" s="2">
        <f>IFERROR(__xludf.DUMMYFUNCTION("""COMPUTED_VALUE"""),0.99)</f>
        <v>0.99</v>
      </c>
      <c r="D2081" s="2" t="str">
        <f>IFERROR(__xludf.DUMMYFUNCTION("""COMPUTED_VALUE"""),"Nisi")</f>
        <v>Nisi</v>
      </c>
      <c r="E2081" s="2">
        <f>IFERROR(__xludf.DUMMYFUNCTION("""COMPUTED_VALUE"""),3959.0)</f>
        <v>3959</v>
      </c>
      <c r="F2081" s="3">
        <f>IFERROR(__xludf.DUMMYFUNCTION("""COMPUTED_VALUE"""),63525.0)</f>
        <v>63525</v>
      </c>
      <c r="G2081" s="2" t="str">
        <f>IFERROR(__xludf.DUMMYFUNCTION("""COMPUTED_VALUE"""),"Ujyalo Burtibang Jalabidhyut Aayojana")</f>
        <v>Ujyalo Burtibang Jalabidhyut Aayojana</v>
      </c>
      <c r="H2081" s="2" t="str">
        <f>IFERROR(__xludf.DUMMYFUNCTION("""COMPUTED_VALUE"""),"Burtibang, Baglung")</f>
        <v>Burtibang, Baglung</v>
      </c>
      <c r="I2081" s="2" t="str">
        <f>IFERROR(__xludf.DUMMYFUNCTION("""COMPUTED_VALUE"""),"28o 19' 17""")</f>
        <v>28o 19' 17"</v>
      </c>
      <c r="J2081" s="2" t="str">
        <f>IFERROR(__xludf.DUMMYFUNCTION("""COMPUTED_VALUE"""),"28o 19' 53""")</f>
        <v>28o 19' 53"</v>
      </c>
      <c r="K2081" s="2" t="str">
        <f>IFERROR(__xludf.DUMMYFUNCTION("""COMPUTED_VALUE"""),"83o 07' 51""")</f>
        <v>83o 07' 51"</v>
      </c>
      <c r="L2081" s="2" t="str">
        <f>IFERROR(__xludf.DUMMYFUNCTION("""COMPUTED_VALUE"""),"83o 09' 05""")</f>
        <v>83o 09' 05"</v>
      </c>
      <c r="M2081" s="2" t="str">
        <f>IFERROR(__xludf.DUMMYFUNCTION("""COMPUTED_VALUE"""),"Devisthan (Baglung)")</f>
        <v>Devisthan (Baglung)</v>
      </c>
    </row>
    <row r="2082">
      <c r="A2082" s="2">
        <f>IFERROR(__xludf.DUMMYFUNCTION("""COMPUTED_VALUE"""),2081.0)</f>
        <v>2081</v>
      </c>
      <c r="B2082" s="2" t="str">
        <f>IFERROR(__xludf.DUMMYFUNCTION("""COMPUTED_VALUE"""),"Salleri Solu HEP")</f>
        <v>Salleri Solu HEP</v>
      </c>
      <c r="C2082" s="2">
        <f>IFERROR(__xludf.DUMMYFUNCTION("""COMPUTED_VALUE"""),9.87)</f>
        <v>9.87</v>
      </c>
      <c r="D2082" s="2" t="str">
        <f>IFERROR(__xludf.DUMMYFUNCTION("""COMPUTED_VALUE"""),"Solu Khola")</f>
        <v>Solu Khola</v>
      </c>
      <c r="E2082" s="2">
        <f>IFERROR(__xludf.DUMMYFUNCTION("""COMPUTED_VALUE"""),32988.0)</f>
        <v>32988</v>
      </c>
      <c r="F2082" s="3">
        <f>IFERROR(__xludf.DUMMYFUNCTION("""COMPUTED_VALUE"""),63527.0)</f>
        <v>63527</v>
      </c>
      <c r="G2082" s="2" t="str">
        <f>IFERROR(__xludf.DUMMYFUNCTION("""COMPUTED_VALUE"""),"Salleri Chialsa Electricity Company Ltd. (SCECO)")</f>
        <v>Salleri Chialsa Electricity Company Ltd. (SCECO)</v>
      </c>
      <c r="H2082" s="2" t="str">
        <f>IFERROR(__xludf.DUMMYFUNCTION("""COMPUTED_VALUE"""),"Dudhkunda Municipality-5, Solukhumbu 038-520210, 9841457586")</f>
        <v>Dudhkunda Municipality-5, Solukhumbu 038-520210, 9841457586</v>
      </c>
      <c r="I2082" s="2" t="str">
        <f>IFERROR(__xludf.DUMMYFUNCTION("""COMPUTED_VALUE"""),"27o 29' 15""")</f>
        <v>27o 29' 15"</v>
      </c>
      <c r="J2082" s="2" t="str">
        <f>IFERROR(__xludf.DUMMYFUNCTION("""COMPUTED_VALUE"""),"27o 31' 17""")</f>
        <v>27o 31' 17"</v>
      </c>
      <c r="K2082" s="2" t="str">
        <f>IFERROR(__xludf.DUMMYFUNCTION("""COMPUTED_VALUE"""),"86o 34' 33""")</f>
        <v>86o 34' 33"</v>
      </c>
      <c r="L2082" s="2" t="str">
        <f>IFERROR(__xludf.DUMMYFUNCTION("""COMPUTED_VALUE"""),"86o 35' 27""")</f>
        <v>86o 35' 27"</v>
      </c>
      <c r="M2082" s="2" t="str">
        <f>IFERROR(__xludf.DUMMYFUNCTION("""COMPUTED_VALUE"""),"Salleri (Solukhumbu)")</f>
        <v>Salleri (Solukhumbu)</v>
      </c>
    </row>
    <row r="2083">
      <c r="A2083" s="2">
        <f>IFERROR(__xludf.DUMMYFUNCTION("""COMPUTED_VALUE"""),2082.0)</f>
        <v>2082</v>
      </c>
      <c r="B2083" s="2" t="str">
        <f>IFERROR(__xludf.DUMMYFUNCTION("""COMPUTED_VALUE"""),"Chumli Jilli HEP")</f>
        <v>Chumli Jilli HEP</v>
      </c>
      <c r="C2083" s="2">
        <f>IFERROR(__xludf.DUMMYFUNCTION("""COMPUTED_VALUE"""),4.86)</f>
        <v>4.86</v>
      </c>
      <c r="D2083" s="2" t="str">
        <f>IFERROR(__xludf.DUMMYFUNCTION("""COMPUTED_VALUE"""),"Chumli Jilli")</f>
        <v>Chumli Jilli</v>
      </c>
      <c r="E2083" s="2">
        <f>IFERROR(__xludf.DUMMYFUNCTION("""COMPUTED_VALUE"""),4022.0)</f>
        <v>4022</v>
      </c>
      <c r="F2083" s="3">
        <f>IFERROR(__xludf.DUMMYFUNCTION("""COMPUTED_VALUE"""),63530.0)</f>
        <v>63530</v>
      </c>
      <c r="G2083" s="2" t="str">
        <f>IFERROR(__xludf.DUMMYFUNCTION("""COMPUTED_VALUE"""),"Nabin Kandel")</f>
        <v>Nabin Kandel</v>
      </c>
      <c r="H2083" s="2" t="str">
        <f>IFERROR(__xludf.DUMMYFUNCTION("""COMPUTED_VALUE"""),"Kalanki- 14, Kathmandu, Nepal")</f>
        <v>Kalanki- 14, Kathmandu, Nepal</v>
      </c>
      <c r="I2083" s="2" t="str">
        <f>IFERROR(__xludf.DUMMYFUNCTION("""COMPUTED_VALUE"""),"29o 01' 38""")</f>
        <v>29o 01' 38"</v>
      </c>
      <c r="J2083" s="2" t="str">
        <f>IFERROR(__xludf.DUMMYFUNCTION("""COMPUTED_VALUE"""),"29o 05' 28""")</f>
        <v>29o 05' 28"</v>
      </c>
      <c r="K2083" s="2" t="str">
        <f>IFERROR(__xludf.DUMMYFUNCTION("""COMPUTED_VALUE"""),"81o 45' 00""")</f>
        <v>81o 45' 00"</v>
      </c>
      <c r="L2083" s="2" t="str">
        <f>IFERROR(__xludf.DUMMYFUNCTION("""COMPUTED_VALUE"""),"81o 49' 34""")</f>
        <v>81o 49' 34"</v>
      </c>
      <c r="M2083" s="2" t="str">
        <f>IFERROR(__xludf.DUMMYFUNCTION("""COMPUTED_VALUE"""),"Odanku (Kalikot)")</f>
        <v>Odanku (Kalikot)</v>
      </c>
    </row>
    <row r="2084">
      <c r="A2084" s="2">
        <f>IFERROR(__xludf.DUMMYFUNCTION("""COMPUTED_VALUE"""),2083.0)</f>
        <v>2083</v>
      </c>
      <c r="B2084" s="2" t="str">
        <f>IFERROR(__xludf.DUMMYFUNCTION("""COMPUTED_VALUE"""),"Lower Khani HEP")</f>
        <v>Lower Khani HEP</v>
      </c>
      <c r="C2084" s="2">
        <f>IFERROR(__xludf.DUMMYFUNCTION("""COMPUTED_VALUE"""),3.0)</f>
        <v>3</v>
      </c>
      <c r="D2084" s="2" t="str">
        <f>IFERROR(__xludf.DUMMYFUNCTION("""COMPUTED_VALUE"""),"Khani Khola")</f>
        <v>Khani Khola</v>
      </c>
      <c r="E2084" s="2">
        <f>IFERROR(__xludf.DUMMYFUNCTION("""COMPUTED_VALUE"""),4035.0)</f>
        <v>4035</v>
      </c>
      <c r="F2084" s="3">
        <f>IFERROR(__xludf.DUMMYFUNCTION("""COMPUTED_VALUE"""),63530.0)</f>
        <v>63530</v>
      </c>
      <c r="G2084" s="2" t="str">
        <f>IFERROR(__xludf.DUMMYFUNCTION("""COMPUTED_VALUE"""),"Khoplang Energy Hydropower Pvt. Ltd.")</f>
        <v>Khoplang Energy Hydropower Pvt. Ltd.</v>
      </c>
      <c r="H2084" s="2">
        <f>IFERROR(__xludf.DUMMYFUNCTION("""COMPUTED_VALUE"""),9.8510224E9)</f>
        <v>9851022400</v>
      </c>
      <c r="I2084" s="2" t="str">
        <f>IFERROR(__xludf.DUMMYFUNCTION("""COMPUTED_VALUE"""),"27o 47' 48""")</f>
        <v>27o 47' 48"</v>
      </c>
      <c r="J2084" s="2" t="str">
        <f>IFERROR(__xludf.DUMMYFUNCTION("""COMPUTED_VALUE"""),"27o 50' 00""")</f>
        <v>27o 50' 00"</v>
      </c>
      <c r="K2084" s="2" t="str">
        <f>IFERROR(__xludf.DUMMYFUNCTION("""COMPUTED_VALUE"""),"86o 19' 30""")</f>
        <v>86o 19' 30"</v>
      </c>
      <c r="L2084" s="2" t="str">
        <f>IFERROR(__xludf.DUMMYFUNCTION("""COMPUTED_VALUE"""),"86o 20' 00""")</f>
        <v>86o 20' 00"</v>
      </c>
      <c r="M2084" s="2" t="str">
        <f>IFERROR(__xludf.DUMMYFUNCTION("""COMPUTED_VALUE"""),"Marbu (Dolakha)")</f>
        <v>Marbu (Dolakha)</v>
      </c>
    </row>
    <row r="2085">
      <c r="A2085" s="2">
        <f>IFERROR(__xludf.DUMMYFUNCTION("""COMPUTED_VALUE"""),2084.0)</f>
        <v>2084</v>
      </c>
      <c r="B2085" s="2" t="str">
        <f>IFERROR(__xludf.DUMMYFUNCTION("""COMPUTED_VALUE"""),"Upper Piluwa KHola HEP")</f>
        <v>Upper Piluwa KHola HEP</v>
      </c>
      <c r="C2085" s="2">
        <f>IFERROR(__xludf.DUMMYFUNCTION("""COMPUTED_VALUE"""),9.53)</f>
        <v>9.53</v>
      </c>
      <c r="D2085" s="2" t="str">
        <f>IFERROR(__xludf.DUMMYFUNCTION("""COMPUTED_VALUE"""),"Piluwa Khola")</f>
        <v>Piluwa Khola</v>
      </c>
      <c r="E2085" s="2">
        <f>IFERROR(__xludf.DUMMYFUNCTION("""COMPUTED_VALUE"""),4046.0)</f>
        <v>4046</v>
      </c>
      <c r="F2085" s="3">
        <f>IFERROR(__xludf.DUMMYFUNCTION("""COMPUTED_VALUE"""),63530.0)</f>
        <v>63530</v>
      </c>
      <c r="G2085" s="2" t="str">
        <f>IFERROR(__xludf.DUMMYFUNCTION("""COMPUTED_VALUE"""),"Arun Valley Hydropower Development Company Limited")</f>
        <v>Arun Valley Hydropower Development Company Limited</v>
      </c>
      <c r="H2085" s="2" t="str">
        <f>IFERROR(__xludf.DUMMYFUNCTION("""COMPUTED_VALUE"""),"Ram Prasad Neupane Thapathali-")</f>
        <v>Ram Prasad Neupane Thapathali-</v>
      </c>
      <c r="I2085" s="2" t="str">
        <f>IFERROR(__xludf.DUMMYFUNCTION("""COMPUTED_VALUE"""),"27o 17' 00""")</f>
        <v>27o 17' 00"</v>
      </c>
      <c r="J2085" s="2" t="str">
        <f>IFERROR(__xludf.DUMMYFUNCTION("""COMPUTED_VALUE"""),"27o 17' 58""")</f>
        <v>27o 17' 58"</v>
      </c>
      <c r="K2085" s="2" t="str">
        <f>IFERROR(__xludf.DUMMYFUNCTION("""COMPUTED_VALUE"""),"87o 20' 55""")</f>
        <v>87o 20' 55"</v>
      </c>
      <c r="L2085" s="2" t="str">
        <f>IFERROR(__xludf.DUMMYFUNCTION("""COMPUTED_VALUE"""),"87o 23' 45""")</f>
        <v>87o 23' 45"</v>
      </c>
      <c r="M2085" s="2" t="str">
        <f>IFERROR(__xludf.DUMMYFUNCTION("""COMPUTED_VALUE"""),"Siddhakali,Mawadin (Sankhuwasabha)")</f>
        <v>Siddhakali,Mawadin (Sankhuwasabha)</v>
      </c>
    </row>
    <row r="2086">
      <c r="A2086" s="2">
        <f>IFERROR(__xludf.DUMMYFUNCTION("""COMPUTED_VALUE"""),2085.0)</f>
        <v>2085</v>
      </c>
      <c r="B2086" s="2" t="str">
        <f>IFERROR(__xludf.DUMMYFUNCTION("""COMPUTED_VALUE"""),"Upper Bhalaudi Khola HEP")</f>
        <v>Upper Bhalaudi Khola HEP</v>
      </c>
      <c r="C2086" s="2">
        <f>IFERROR(__xludf.DUMMYFUNCTION("""COMPUTED_VALUE"""),0.99)</f>
        <v>0.99</v>
      </c>
      <c r="D2086" s="2" t="str">
        <f>IFERROR(__xludf.DUMMYFUNCTION("""COMPUTED_VALUE"""),"Bhalaudi Khola")</f>
        <v>Bhalaudi Khola</v>
      </c>
      <c r="E2086" s="2">
        <f>IFERROR(__xludf.DUMMYFUNCTION("""COMPUTED_VALUE"""),4358.0)</f>
        <v>4358</v>
      </c>
      <c r="F2086" s="3">
        <f>IFERROR(__xludf.DUMMYFUNCTION("""COMPUTED_VALUE"""),63544.0)</f>
        <v>63544</v>
      </c>
      <c r="G2086" s="2" t="str">
        <f>IFERROR(__xludf.DUMMYFUNCTION("""COMPUTED_VALUE"""),"Bhalaudi Khola Hydropower Pvt. Ltd.")</f>
        <v>Bhalaudi Khola Hydropower Pvt. Ltd.</v>
      </c>
      <c r="H2086" s="2" t="str">
        <f>IFERROR(__xludf.DUMMYFUNCTION("""COMPUTED_VALUE"""),"Kathmandu-16")</f>
        <v>Kathmandu-16</v>
      </c>
      <c r="I2086" s="2" t="str">
        <f>IFERROR(__xludf.DUMMYFUNCTION("""COMPUTED_VALUE"""),"28o 22' 50""")</f>
        <v>28o 22' 50"</v>
      </c>
      <c r="J2086" s="2" t="str">
        <f>IFERROR(__xludf.DUMMYFUNCTION("""COMPUTED_VALUE"""),"28o 23' 30""")</f>
        <v>28o 23' 30"</v>
      </c>
      <c r="K2086" s="2" t="str">
        <f>IFERROR(__xludf.DUMMYFUNCTION("""COMPUTED_VALUE"""),"83o 57' 30""")</f>
        <v>83o 57' 30"</v>
      </c>
      <c r="L2086" s="2" t="str">
        <f>IFERROR(__xludf.DUMMYFUNCTION("""COMPUTED_VALUE"""),"83o 58' 30""")</f>
        <v>83o 58' 30"</v>
      </c>
      <c r="M2086" s="2" t="str">
        <f>IFERROR(__xludf.DUMMYFUNCTION("""COMPUTED_VALUE"""),"Machhapuchchhre (Kaski)")</f>
        <v>Machhapuchchhre (Kaski)</v>
      </c>
    </row>
    <row r="2087">
      <c r="A2087" s="2">
        <f>IFERROR(__xludf.DUMMYFUNCTION("""COMPUTED_VALUE"""),2086.0)</f>
        <v>2086</v>
      </c>
      <c r="B2087" s="2" t="str">
        <f>IFERROR(__xludf.DUMMYFUNCTION("""COMPUTED_VALUE"""),"Nupche HEP")</f>
        <v>Nupche HEP</v>
      </c>
      <c r="C2087" s="2">
        <f>IFERROR(__xludf.DUMMYFUNCTION("""COMPUTED_VALUE"""),5.0)</f>
        <v>5</v>
      </c>
      <c r="D2087" s="2" t="str">
        <f>IFERROR(__xludf.DUMMYFUNCTION("""COMPUTED_VALUE"""),"Nupche")</f>
        <v>Nupche</v>
      </c>
      <c r="E2087" s="2">
        <f>IFERROR(__xludf.DUMMYFUNCTION("""COMPUTED_VALUE"""),4385.0)</f>
        <v>4385</v>
      </c>
      <c r="F2087" s="3">
        <f>IFERROR(__xludf.DUMMYFUNCTION("""COMPUTED_VALUE"""),63545.0)</f>
        <v>63545</v>
      </c>
      <c r="G2087" s="2" t="str">
        <f>IFERROR(__xludf.DUMMYFUNCTION("""COMPUTED_VALUE"""),"Dupcheshwor Hydrosolution Pvt. Ltd.")</f>
        <v>Dupcheshwor Hydrosolution Pvt. Ltd.</v>
      </c>
      <c r="H2087" s="2" t="str">
        <f>IFERROR(__xludf.DUMMYFUNCTION("""COMPUTED_VALUE"""),"Swayambhu Kathmandu, Nima Wangel Lama 9851179289")</f>
        <v>Swayambhu Kathmandu, Nima Wangel Lama 9851179289</v>
      </c>
      <c r="I2087" s="2" t="str">
        <f>IFERROR(__xludf.DUMMYFUNCTION("""COMPUTED_VALUE"""),"26o 40' 13""")</f>
        <v>26o 40' 13"</v>
      </c>
      <c r="J2087" s="2" t="str">
        <f>IFERROR(__xludf.DUMMYFUNCTION("""COMPUTED_VALUE"""),"26o 43' 14""")</f>
        <v>26o 43' 14"</v>
      </c>
      <c r="K2087" s="2" t="str">
        <f>IFERROR(__xludf.DUMMYFUNCTION("""COMPUTED_VALUE"""),"86o 25' 00""")</f>
        <v>86o 25' 00"</v>
      </c>
      <c r="L2087" s="2" t="str">
        <f>IFERROR(__xludf.DUMMYFUNCTION("""COMPUTED_VALUE"""),"86o 28' 25""")</f>
        <v>86o 28' 25"</v>
      </c>
      <c r="M2087" s="2" t="str">
        <f>IFERROR(__xludf.DUMMYFUNCTION("""COMPUTED_VALUE"""),"Gumdel (Ramechhap)")</f>
        <v>Gumdel (Ramechhap)</v>
      </c>
    </row>
    <row r="2088">
      <c r="A2088" s="2">
        <f>IFERROR(__xludf.DUMMYFUNCTION("""COMPUTED_VALUE"""),2087.0)</f>
        <v>2087</v>
      </c>
      <c r="B2088" s="2" t="str">
        <f>IFERROR(__xludf.DUMMYFUNCTION("""COMPUTED_VALUE"""),"Ikhuwa Khola")</f>
        <v>Ikhuwa Khola</v>
      </c>
      <c r="C2088" s="2">
        <f>IFERROR(__xludf.DUMMYFUNCTION("""COMPUTED_VALUE"""),30.0)</f>
        <v>30</v>
      </c>
      <c r="D2088" s="2" t="str">
        <f>IFERROR(__xludf.DUMMYFUNCTION("""COMPUTED_VALUE"""),"Ikhuwa")</f>
        <v>Ikhuwa</v>
      </c>
      <c r="E2088" s="2">
        <f>IFERROR(__xludf.DUMMYFUNCTION("""COMPUTED_VALUE"""),4421.0)</f>
        <v>4421</v>
      </c>
      <c r="F2088" s="3">
        <f>IFERROR(__xludf.DUMMYFUNCTION("""COMPUTED_VALUE"""),63548.0)</f>
        <v>63548</v>
      </c>
      <c r="G2088" s="2" t="str">
        <f>IFERROR(__xludf.DUMMYFUNCTION("""COMPUTED_VALUE"""),"Upper Arun Hydro Electric Limited")</f>
        <v>Upper Arun Hydro Electric Limited</v>
      </c>
      <c r="H2088" s="2" t="str">
        <f>IFERROR(__xludf.DUMMYFUNCTION("""COMPUTED_VALUE"""),"Durbarmarg, Kathmandu, 01-4153039")</f>
        <v>Durbarmarg, Kathmandu, 01-4153039</v>
      </c>
      <c r="I2088" s="2" t="str">
        <f>IFERROR(__xludf.DUMMYFUNCTION("""COMPUTED_VALUE"""),"27o 35' 07""")</f>
        <v>27o 35' 07"</v>
      </c>
      <c r="J2088" s="2" t="str">
        <f>IFERROR(__xludf.DUMMYFUNCTION("""COMPUTED_VALUE"""),"27o 37' 12""")</f>
        <v>27o 37' 12"</v>
      </c>
      <c r="K2088" s="2" t="str">
        <f>IFERROR(__xludf.DUMMYFUNCTION("""COMPUTED_VALUE"""),"87o 21' 16""")</f>
        <v>87o 21' 16"</v>
      </c>
      <c r="L2088" s="2" t="str">
        <f>IFERROR(__xludf.DUMMYFUNCTION("""COMPUTED_VALUE"""),"87o 25' 03""")</f>
        <v>87o 25' 03"</v>
      </c>
      <c r="M2088" s="2" t="str">
        <f>IFERROR(__xludf.DUMMYFUNCTION("""COMPUTED_VALUE"""),"Pathibhara,Pawakhola (Sankhuwasabha)")</f>
        <v>Pathibhara,Pawakhola (Sankhuwasabha)</v>
      </c>
    </row>
    <row r="2089">
      <c r="A2089" s="2">
        <f>IFERROR(__xludf.DUMMYFUNCTION("""COMPUTED_VALUE"""),2088.0)</f>
        <v>2088</v>
      </c>
      <c r="B2089" s="2" t="str">
        <f>IFERROR(__xludf.DUMMYFUNCTION("""COMPUTED_VALUE"""),"Nar 1 HEP")</f>
        <v>Nar 1 HEP</v>
      </c>
      <c r="C2089" s="2">
        <f>IFERROR(__xludf.DUMMYFUNCTION("""COMPUTED_VALUE"""),24.53)</f>
        <v>24.53</v>
      </c>
      <c r="D2089" s="2" t="str">
        <f>IFERROR(__xludf.DUMMYFUNCTION("""COMPUTED_VALUE"""),"Nar Khola")</f>
        <v>Nar Khola</v>
      </c>
      <c r="E2089" s="2">
        <f>IFERROR(__xludf.DUMMYFUNCTION("""COMPUTED_VALUE"""),4425.0)</f>
        <v>4425</v>
      </c>
      <c r="F2089" s="3">
        <f>IFERROR(__xludf.DUMMYFUNCTION("""COMPUTED_VALUE"""),63548.0)</f>
        <v>63548</v>
      </c>
      <c r="G2089" s="2" t="str">
        <f>IFERROR(__xludf.DUMMYFUNCTION("""COMPUTED_VALUE"""),"Morang Energy Limited")</f>
        <v>Morang Energy Limited</v>
      </c>
      <c r="H2089" s="2" t="str">
        <f>IFERROR(__xludf.DUMMYFUNCTION("""COMPUTED_VALUE"""),"Bluestar Complex Tripureshwor, Kathmandu, Dhurba Raj Mishra 98412596410")</f>
        <v>Bluestar Complex Tripureshwor, Kathmandu, Dhurba Raj Mishra 98412596410</v>
      </c>
      <c r="I2089" s="2" t="str">
        <f>IFERROR(__xludf.DUMMYFUNCTION("""COMPUTED_VALUE"""),"28o 38' 02""")</f>
        <v>28o 38' 02"</v>
      </c>
      <c r="J2089" s="2" t="str">
        <f>IFERROR(__xludf.DUMMYFUNCTION("""COMPUTED_VALUE"""),"28o 40' 27""")</f>
        <v>28o 40' 27"</v>
      </c>
      <c r="K2089" s="2" t="str">
        <f>IFERROR(__xludf.DUMMYFUNCTION("""COMPUTED_VALUE"""),"84o 13' 10""")</f>
        <v>84o 13' 10"</v>
      </c>
      <c r="L2089" s="2" t="str">
        <f>IFERROR(__xludf.DUMMYFUNCTION("""COMPUTED_VALUE"""),"84o 15' 00""")</f>
        <v>84o 15' 00"</v>
      </c>
      <c r="M2089" s="2" t="str">
        <f>IFERROR(__xludf.DUMMYFUNCTION("""COMPUTED_VALUE"""),"Nar (Manang)")</f>
        <v>Nar (Manang)</v>
      </c>
    </row>
    <row r="2090">
      <c r="A2090" s="2">
        <f>IFERROR(__xludf.DUMMYFUNCTION("""COMPUTED_VALUE"""),2089.0)</f>
        <v>2089</v>
      </c>
      <c r="B2090" s="2" t="str">
        <f>IFERROR(__xludf.DUMMYFUNCTION("""COMPUTED_VALUE"""),"Madi Siti HPP")</f>
        <v>Madi Siti HPP</v>
      </c>
      <c r="C2090" s="2">
        <f>IFERROR(__xludf.DUMMYFUNCTION("""COMPUTED_VALUE"""),86.0)</f>
        <v>86</v>
      </c>
      <c r="D2090" s="2" t="str">
        <f>IFERROR(__xludf.DUMMYFUNCTION("""COMPUTED_VALUE"""),"Madi Khola")</f>
        <v>Madi Khola</v>
      </c>
      <c r="E2090" s="2">
        <f>IFERROR(__xludf.DUMMYFUNCTION("""COMPUTED_VALUE"""),4484.0)</f>
        <v>4484</v>
      </c>
      <c r="F2090" s="3">
        <f>IFERROR(__xludf.DUMMYFUNCTION("""COMPUTED_VALUE"""),63551.0)</f>
        <v>63551</v>
      </c>
      <c r="G2090" s="2" t="str">
        <f>IFERROR(__xludf.DUMMYFUNCTION("""COMPUTED_VALUE"""),"Everest Energy and Infrastructure Fund Pvt. Ltd.")</f>
        <v>Everest Energy and Infrastructure Fund Pvt. Ltd.</v>
      </c>
      <c r="H2090" s="2" t="str">
        <f>IFERROR(__xludf.DUMMYFUNCTION("""COMPUTED_VALUE"""),"Charkhal rtoad Dillibazaar-33, Kathmandu")</f>
        <v>Charkhal rtoad Dillibazaar-33, Kathmandu</v>
      </c>
      <c r="I2090" s="2" t="str">
        <f>IFERROR(__xludf.DUMMYFUNCTION("""COMPUTED_VALUE"""),"28o 09' 00""")</f>
        <v>28o 09' 00"</v>
      </c>
      <c r="J2090" s="2" t="str">
        <f>IFERROR(__xludf.DUMMYFUNCTION("""COMPUTED_VALUE"""),"28o 13' 45""")</f>
        <v>28o 13' 45"</v>
      </c>
      <c r="K2090" s="2" t="str">
        <f>IFERROR(__xludf.DUMMYFUNCTION("""COMPUTED_VALUE"""),"84o 09' 00""")</f>
        <v>84o 09' 00"</v>
      </c>
      <c r="L2090" s="2" t="str">
        <f>IFERROR(__xludf.DUMMYFUNCTION("""COMPUTED_VALUE"""),"84o 14' 30""")</f>
        <v>84o 14' 30"</v>
      </c>
      <c r="M2090" s="2" t="str">
        <f>IFERROR(__xludf.DUMMYFUNCTION("""COMPUTED_VALUE"""),"Karapu (Lamjung)")</f>
        <v>Karapu (Lamjung)</v>
      </c>
    </row>
    <row r="2091">
      <c r="A2091" s="2">
        <f>IFERROR(__xludf.DUMMYFUNCTION("""COMPUTED_VALUE"""),2090.0)</f>
        <v>2090</v>
      </c>
      <c r="B2091" s="2" t="str">
        <f>IFERROR(__xludf.DUMMYFUNCTION("""COMPUTED_VALUE"""),"Hugdi Khola HPP")</f>
        <v>Hugdi Khola HPP</v>
      </c>
      <c r="C2091" s="2">
        <f>IFERROR(__xludf.DUMMYFUNCTION("""COMPUTED_VALUE"""),3.6)</f>
        <v>3.6</v>
      </c>
      <c r="D2091" s="2" t="str">
        <f>IFERROR(__xludf.DUMMYFUNCTION("""COMPUTED_VALUE"""),"Hugdi")</f>
        <v>Hugdi</v>
      </c>
      <c r="E2091" s="2">
        <f>IFERROR(__xludf.DUMMYFUNCTION("""COMPUTED_VALUE"""),4526.0)</f>
        <v>4526</v>
      </c>
      <c r="F2091" s="3">
        <f>IFERROR(__xludf.DUMMYFUNCTION("""COMPUTED_VALUE"""),63553.0)</f>
        <v>63553</v>
      </c>
      <c r="G2091" s="2" t="str">
        <f>IFERROR(__xludf.DUMMYFUNCTION("""COMPUTED_VALUE"""),"DEM Group Pvt. Ltd.")</f>
        <v>DEM Group Pvt. Ltd.</v>
      </c>
      <c r="H2091" s="2" t="str">
        <f>IFERROR(__xludf.DUMMYFUNCTION("""COMPUTED_VALUE"""),"Anamnagar Kathmandu, 9851213896, 9846057963")</f>
        <v>Anamnagar Kathmandu, 9851213896, 9846057963</v>
      </c>
      <c r="I2091" s="2" t="str">
        <f>IFERROR(__xludf.DUMMYFUNCTION("""COMPUTED_VALUE"""),"28o 03' 16""")</f>
        <v>28o 03' 16"</v>
      </c>
      <c r="J2091" s="2" t="str">
        <f>IFERROR(__xludf.DUMMYFUNCTION("""COMPUTED_VALUE"""),"28o 05' 00""")</f>
        <v>28o 05' 00"</v>
      </c>
      <c r="K2091" s="2" t="str">
        <f>IFERROR(__xludf.DUMMYFUNCTION("""COMPUTED_VALUE"""),"83o 20' 16""")</f>
        <v>83o 20' 16"</v>
      </c>
      <c r="L2091" s="2" t="str">
        <f>IFERROR(__xludf.DUMMYFUNCTION("""COMPUTED_VALUE"""),"83o 23' 21""")</f>
        <v>83o 23' 21"</v>
      </c>
      <c r="M2091" s="2" t="str">
        <f>IFERROR(__xludf.DUMMYFUNCTION("""COMPUTED_VALUE"""),"Harewa,Turang (Gulmi)")</f>
        <v>Harewa,Turang (Gulmi)</v>
      </c>
    </row>
    <row r="2092">
      <c r="A2092" s="2">
        <f>IFERROR(__xludf.DUMMYFUNCTION("""COMPUTED_VALUE"""),2091.0)</f>
        <v>2091</v>
      </c>
      <c r="B2092" s="2" t="str">
        <f>IFERROR(__xludf.DUMMYFUNCTION("""COMPUTED_VALUE"""),"Upper Piluwa Khola-1 HEP")</f>
        <v>Upper Piluwa Khola-1 HEP</v>
      </c>
      <c r="C2092" s="2">
        <f>IFERROR(__xludf.DUMMYFUNCTION("""COMPUTED_VALUE"""),8.51)</f>
        <v>8.51</v>
      </c>
      <c r="D2092" s="2" t="str">
        <f>IFERROR(__xludf.DUMMYFUNCTION("""COMPUTED_VALUE"""),"Piluwa Khola")</f>
        <v>Piluwa Khola</v>
      </c>
      <c r="E2092" s="2">
        <f>IFERROR(__xludf.DUMMYFUNCTION("""COMPUTED_VALUE"""),4559.0)</f>
        <v>4559</v>
      </c>
      <c r="F2092" s="3">
        <f>IFERROR(__xludf.DUMMYFUNCTION("""COMPUTED_VALUE"""),63557.0)</f>
        <v>63557</v>
      </c>
      <c r="G2092" s="2" t="str">
        <f>IFERROR(__xludf.DUMMYFUNCTION("""COMPUTED_VALUE"""),"Menchhiyam Hydropower Pvt. Ltd.")</f>
        <v>Menchhiyam Hydropower Pvt. Ltd.</v>
      </c>
      <c r="H2092" s="2" t="str">
        <f>IFERROR(__xludf.DUMMYFUNCTION("""COMPUTED_VALUE"""),"Lainchaur Kathmandu, Dilip Kumar Dhungana 9851027179")</f>
        <v>Lainchaur Kathmandu, Dilip Kumar Dhungana 9851027179</v>
      </c>
      <c r="I2092" s="2" t="str">
        <f>IFERROR(__xludf.DUMMYFUNCTION("""COMPUTED_VALUE"""),"27o 17' 00""")</f>
        <v>27o 17' 00"</v>
      </c>
      <c r="J2092" s="2" t="str">
        <f>IFERROR(__xludf.DUMMYFUNCTION("""COMPUTED_VALUE"""),"27o 17' 58""")</f>
        <v>27o 17' 58"</v>
      </c>
      <c r="K2092" s="2" t="str">
        <f>IFERROR(__xludf.DUMMYFUNCTION("""COMPUTED_VALUE"""),"87o 20' 55""")</f>
        <v>87o 20' 55"</v>
      </c>
      <c r="L2092" s="2" t="str">
        <f>IFERROR(__xludf.DUMMYFUNCTION("""COMPUTED_VALUE"""),"87o 23' 18""")</f>
        <v>87o 23' 18"</v>
      </c>
      <c r="M2092" s="2" t="str">
        <f>IFERROR(__xludf.DUMMYFUNCTION("""COMPUTED_VALUE"""),"Chainpur (Sankhuwasabha)")</f>
        <v>Chainpur (Sankhuwasabha)</v>
      </c>
    </row>
    <row r="2093">
      <c r="A2093" s="2">
        <f>IFERROR(__xludf.DUMMYFUNCTION("""COMPUTED_VALUE"""),2092.0)</f>
        <v>2092</v>
      </c>
      <c r="B2093" s="2" t="str">
        <f>IFERROR(__xludf.DUMMYFUNCTION("""COMPUTED_VALUE"""),"Myardi KHola HEP")</f>
        <v>Myardi KHola HEP</v>
      </c>
      <c r="C2093" s="2">
        <f>IFERROR(__xludf.DUMMYFUNCTION("""COMPUTED_VALUE"""),4.85)</f>
        <v>4.85</v>
      </c>
      <c r="D2093" s="2" t="str">
        <f>IFERROR(__xludf.DUMMYFUNCTION("""COMPUTED_VALUE"""),"Myardi Khola")</f>
        <v>Myardi Khola</v>
      </c>
      <c r="E2093" s="2">
        <f>IFERROR(__xludf.DUMMYFUNCTION("""COMPUTED_VALUE"""),4733.0)</f>
        <v>4733</v>
      </c>
      <c r="F2093" s="3">
        <f>IFERROR(__xludf.DUMMYFUNCTION("""COMPUTED_VALUE"""),63565.0)</f>
        <v>63565</v>
      </c>
      <c r="G2093" s="2" t="str">
        <f>IFERROR(__xludf.DUMMYFUNCTION("""COMPUTED_VALUE"""),"Bagmati Power Development Pvt. Ltd.")</f>
        <v>Bagmati Power Development Pvt. Ltd.</v>
      </c>
      <c r="H2093" s="2" t="str">
        <f>IFERROR(__xludf.DUMMYFUNCTION("""COMPUTED_VALUE"""),"Anarmani Jhapa, 9842696593 Roshan Regmi")</f>
        <v>Anarmani Jhapa, 9842696593 Roshan Regmi</v>
      </c>
      <c r="I2093" s="2" t="str">
        <f>IFERROR(__xludf.DUMMYFUNCTION("""COMPUTED_VALUE"""),"28o 26' 41""")</f>
        <v>28o 26' 41"</v>
      </c>
      <c r="J2093" s="2" t="str">
        <f>IFERROR(__xludf.DUMMYFUNCTION("""COMPUTED_VALUE"""),"28o 27' 26""")</f>
        <v>28o 27' 26"</v>
      </c>
      <c r="K2093" s="2" t="str">
        <f>IFERROR(__xludf.DUMMYFUNCTION("""COMPUTED_VALUE"""),"84o 21' 02""")</f>
        <v>84o 21' 02"</v>
      </c>
      <c r="L2093" s="2" t="str">
        <f>IFERROR(__xludf.DUMMYFUNCTION("""COMPUTED_VALUE"""),"84o 22' 37""")</f>
        <v>84o 22' 37"</v>
      </c>
      <c r="M2093" s="2" t="str">
        <f>IFERROR(__xludf.DUMMYFUNCTION("""COMPUTED_VALUE"""),"Dharapani (Manang)")</f>
        <v>Dharapani (Manang)</v>
      </c>
    </row>
    <row r="2094">
      <c r="A2094" s="2">
        <f>IFERROR(__xludf.DUMMYFUNCTION("""COMPUTED_VALUE"""),2093.0)</f>
        <v>2093</v>
      </c>
      <c r="B2094" s="2" t="str">
        <f>IFERROR(__xludf.DUMMYFUNCTION("""COMPUTED_VALUE"""),"Mayum Khola Mini HEP")</f>
        <v>Mayum Khola Mini HEP</v>
      </c>
      <c r="C2094" s="2">
        <f>IFERROR(__xludf.DUMMYFUNCTION("""COMPUTED_VALUE"""),0.92)</f>
        <v>0.92</v>
      </c>
      <c r="D2094" s="2" t="str">
        <f>IFERROR(__xludf.DUMMYFUNCTION("""COMPUTED_VALUE"""),"Jogmai Khola")</f>
        <v>Jogmai Khola</v>
      </c>
      <c r="E2094" s="2">
        <f>IFERROR(__xludf.DUMMYFUNCTION("""COMPUTED_VALUE"""),4746.0)</f>
        <v>4746</v>
      </c>
      <c r="F2094" s="3">
        <f>IFERROR(__xludf.DUMMYFUNCTION("""COMPUTED_VALUE"""),63566.0)</f>
        <v>63566</v>
      </c>
      <c r="G2094" s="2" t="str">
        <f>IFERROR(__xludf.DUMMYFUNCTION("""COMPUTED_VALUE"""),"Mayal Lyang Power Pvt. Ltd.")</f>
        <v>Mayal Lyang Power Pvt. Ltd.</v>
      </c>
      <c r="H2094" s="2" t="str">
        <f>IFERROR(__xludf.DUMMYFUNCTION("""COMPUTED_VALUE"""),"suryadaya- 4, Illam 984994.481, 9840052744")</f>
        <v>suryadaya- 4, Illam 984994.481, 9840052744</v>
      </c>
      <c r="I2094" s="2" t="str">
        <f>IFERROR(__xludf.DUMMYFUNCTION("""COMPUTED_VALUE"""),"26o 36' 13""")</f>
        <v>26o 36' 13"</v>
      </c>
      <c r="J2094" s="2" t="str">
        <f>IFERROR(__xludf.DUMMYFUNCTION("""COMPUTED_VALUE"""),"26o 55' 23""")</f>
        <v>26o 55' 23"</v>
      </c>
      <c r="K2094" s="2" t="str">
        <f>IFERROR(__xludf.DUMMYFUNCTION("""COMPUTED_VALUE"""),"88o 03' 28""")</f>
        <v>88o 03' 28"</v>
      </c>
      <c r="L2094" s="2" t="str">
        <f>IFERROR(__xludf.DUMMYFUNCTION("""COMPUTED_VALUE"""),"88o 03' 45""")</f>
        <v>88o 03' 45"</v>
      </c>
      <c r="M2094" s="2"/>
    </row>
    <row r="2095">
      <c r="A2095" s="2">
        <f>IFERROR(__xludf.DUMMYFUNCTION("""COMPUTED_VALUE"""),2094.0)</f>
        <v>2094</v>
      </c>
      <c r="B2095" s="2" t="str">
        <f>IFERROR(__xludf.DUMMYFUNCTION("""COMPUTED_VALUE"""),"Upper Jogmai Khola Mini HEP")</f>
        <v>Upper Jogmai Khola Mini HEP</v>
      </c>
      <c r="C2095" s="2">
        <f>IFERROR(__xludf.DUMMYFUNCTION("""COMPUTED_VALUE"""),0.9)</f>
        <v>0.9</v>
      </c>
      <c r="D2095" s="2" t="str">
        <f>IFERROR(__xludf.DUMMYFUNCTION("""COMPUTED_VALUE"""),"Mayum Khola")</f>
        <v>Mayum Khola</v>
      </c>
      <c r="E2095" s="2">
        <f>IFERROR(__xludf.DUMMYFUNCTION("""COMPUTED_VALUE"""),4747.0)</f>
        <v>4747</v>
      </c>
      <c r="F2095" s="3">
        <f>IFERROR(__xludf.DUMMYFUNCTION("""COMPUTED_VALUE"""),63566.0)</f>
        <v>63566</v>
      </c>
      <c r="G2095" s="2" t="str">
        <f>IFERROR(__xludf.DUMMYFUNCTION("""COMPUTED_VALUE"""),"Mayal Lyang Power Pvt. Ltd.")</f>
        <v>Mayal Lyang Power Pvt. Ltd.</v>
      </c>
      <c r="H2095" s="2" t="str">
        <f>IFERROR(__xludf.DUMMYFUNCTION("""COMPUTED_VALUE"""),"suryadaya- 4, Illam 984994.481, 9840052744")</f>
        <v>suryadaya- 4, Illam 984994.481, 9840052744</v>
      </c>
      <c r="I2095" s="2" t="str">
        <f>IFERROR(__xludf.DUMMYFUNCTION("""COMPUTED_VALUE"""),"26o 36' 13""")</f>
        <v>26o 36' 13"</v>
      </c>
      <c r="J2095" s="2" t="str">
        <f>IFERROR(__xludf.DUMMYFUNCTION("""COMPUTED_VALUE"""),"26o 55' 34""")</f>
        <v>26o 55' 34"</v>
      </c>
      <c r="K2095" s="2" t="str">
        <f>IFERROR(__xludf.DUMMYFUNCTION("""COMPUTED_VALUE"""),"88o 03' 42""")</f>
        <v>88o 03' 42"</v>
      </c>
      <c r="L2095" s="2" t="str">
        <f>IFERROR(__xludf.DUMMYFUNCTION("""COMPUTED_VALUE"""),"88o 04' 09""")</f>
        <v>88o 04' 09"</v>
      </c>
      <c r="M2095" s="2"/>
    </row>
    <row r="2096">
      <c r="A2096" s="2">
        <f>IFERROR(__xludf.DUMMYFUNCTION("""COMPUTED_VALUE"""),2095.0)</f>
        <v>2095</v>
      </c>
      <c r="B2096" s="2" t="str">
        <f>IFERROR(__xludf.DUMMYFUNCTION("""COMPUTED_VALUE"""),"Kansani Gad")</f>
        <v>Kansani Gad</v>
      </c>
      <c r="C2096" s="2">
        <f>IFERROR(__xludf.DUMMYFUNCTION("""COMPUTED_VALUE"""),0.99)</f>
        <v>0.99</v>
      </c>
      <c r="D2096" s="2" t="str">
        <f>IFERROR(__xludf.DUMMYFUNCTION("""COMPUTED_VALUE"""),"Kansani gad")</f>
        <v>Kansani gad</v>
      </c>
      <c r="E2096" s="2">
        <f>IFERROR(__xludf.DUMMYFUNCTION("""COMPUTED_VALUE"""),4779.0)</f>
        <v>4779</v>
      </c>
      <c r="F2096" s="3">
        <f>IFERROR(__xludf.DUMMYFUNCTION("""COMPUTED_VALUE"""),63567.0)</f>
        <v>63567</v>
      </c>
      <c r="G2096" s="2" t="str">
        <f>IFERROR(__xludf.DUMMYFUNCTION("""COMPUTED_VALUE"""),"Kamala Chand")</f>
        <v>Kamala Chand</v>
      </c>
      <c r="H2096" s="2" t="str">
        <f>IFERROR(__xludf.DUMMYFUNCTION("""COMPUTED_VALUE"""),"Baitadi, 095-520185, 9851139352")</f>
        <v>Baitadi, 095-520185, 9851139352</v>
      </c>
      <c r="I2096" s="2" t="str">
        <f>IFERROR(__xludf.DUMMYFUNCTION("""COMPUTED_VALUE"""),"29o 34' 15""")</f>
        <v>29o 34' 15"</v>
      </c>
      <c r="J2096" s="2" t="str">
        <f>IFERROR(__xludf.DUMMYFUNCTION("""COMPUTED_VALUE"""),"29o 35' 00""")</f>
        <v>29o 35' 00"</v>
      </c>
      <c r="K2096" s="2" t="str">
        <f>IFERROR(__xludf.DUMMYFUNCTION("""COMPUTED_VALUE"""),"80o 26' 07""")</f>
        <v>80o 26' 07"</v>
      </c>
      <c r="L2096" s="2" t="str">
        <f>IFERROR(__xludf.DUMMYFUNCTION("""COMPUTED_VALUE"""),"80o 27' 30""")</f>
        <v>80o 27' 30"</v>
      </c>
      <c r="M2096" s="2" t="str">
        <f>IFERROR(__xludf.DUMMYFUNCTION("""COMPUTED_VALUE"""),"Dasharathchanda,Sree Kedar (Baitadi)")</f>
        <v>Dasharathchanda,Sree Kedar (Baitadi)</v>
      </c>
    </row>
    <row r="2097">
      <c r="A2097" s="2">
        <f>IFERROR(__xludf.DUMMYFUNCTION("""COMPUTED_VALUE"""),2096.0)</f>
        <v>2096</v>
      </c>
      <c r="B2097" s="2" t="str">
        <f>IFERROR(__xludf.DUMMYFUNCTION("""COMPUTED_VALUE"""),"Sani Bheri HEP")</f>
        <v>Sani Bheri HEP</v>
      </c>
      <c r="C2097" s="2">
        <f>IFERROR(__xludf.DUMMYFUNCTION("""COMPUTED_VALUE"""),40.3)</f>
        <v>40.3</v>
      </c>
      <c r="D2097" s="2" t="str">
        <f>IFERROR(__xludf.DUMMYFUNCTION("""COMPUTED_VALUE"""),"Sani Bheri")</f>
        <v>Sani Bheri</v>
      </c>
      <c r="E2097" s="2">
        <f>IFERROR(__xludf.DUMMYFUNCTION("""COMPUTED_VALUE"""),4717.0)</f>
        <v>4717</v>
      </c>
      <c r="F2097" s="3">
        <f>IFERROR(__xludf.DUMMYFUNCTION("""COMPUTED_VALUE"""),63568.0)</f>
        <v>63568</v>
      </c>
      <c r="G2097" s="2" t="str">
        <f>IFERROR(__xludf.DUMMYFUNCTION("""COMPUTED_VALUE"""),"Motilal Dugar")</f>
        <v>Motilal Dugar</v>
      </c>
      <c r="H2097" s="2" t="str">
        <f>IFERROR(__xludf.DUMMYFUNCTION("""COMPUTED_VALUE"""),"Naxal, Kathmandu, 9801012504")</f>
        <v>Naxal, Kathmandu, 9801012504</v>
      </c>
      <c r="I2097" s="2" t="str">
        <f>IFERROR(__xludf.DUMMYFUNCTION("""COMPUTED_VALUE"""),"28o 37' 30""")</f>
        <v>28o 37' 30"</v>
      </c>
      <c r="J2097" s="2" t="str">
        <f>IFERROR(__xludf.DUMMYFUNCTION("""COMPUTED_VALUE"""),"28o 41' 24""")</f>
        <v>28o 41' 24"</v>
      </c>
      <c r="K2097" s="2" t="str">
        <f>IFERROR(__xludf.DUMMYFUNCTION("""COMPUTED_VALUE"""),"82o 25' 36""")</f>
        <v>82o 25' 36"</v>
      </c>
      <c r="L2097" s="2" t="str">
        <f>IFERROR(__xludf.DUMMYFUNCTION("""COMPUTED_VALUE"""),"82o 30' 39""")</f>
        <v>82o 30' 39"</v>
      </c>
      <c r="M2097" s="2" t="str">
        <f>IFERROR(__xludf.DUMMYFUNCTION("""COMPUTED_VALUE"""),"Bapsekot,Musikot Khalanga (Rukum)")</f>
        <v>Bapsekot,Musikot Khalanga (Rukum)</v>
      </c>
    </row>
    <row r="2098">
      <c r="A2098" s="2">
        <f>IFERROR(__xludf.DUMMYFUNCTION("""COMPUTED_VALUE"""),2097.0)</f>
        <v>2097</v>
      </c>
      <c r="B2098" s="2" t="str">
        <f>IFERROR(__xludf.DUMMYFUNCTION("""COMPUTED_VALUE"""),"Chera-29 Peaking RoR HEP")</f>
        <v>Chera-29 Peaking RoR HEP</v>
      </c>
      <c r="C2098" s="2">
        <f>IFERROR(__xludf.DUMMYFUNCTION("""COMPUTED_VALUE"""),29.0)</f>
        <v>29</v>
      </c>
      <c r="D2098" s="2" t="str">
        <f>IFERROR(__xludf.DUMMYFUNCTION("""COMPUTED_VALUE"""),"Chera Khola")</f>
        <v>Chera Khola</v>
      </c>
      <c r="E2098" s="2">
        <f>IFERROR(__xludf.DUMMYFUNCTION("""COMPUTED_VALUE"""),4847.0)</f>
        <v>4847</v>
      </c>
      <c r="F2098" s="3">
        <f>IFERROR(__xludf.DUMMYFUNCTION("""COMPUTED_VALUE"""),63571.0)</f>
        <v>63571</v>
      </c>
      <c r="G2098" s="2" t="str">
        <f>IFERROR(__xludf.DUMMYFUNCTION("""COMPUTED_VALUE"""),"Shailung Power Company Pvt. Ltd.")</f>
        <v>Shailung Power Company Pvt. Ltd.</v>
      </c>
      <c r="H2098" s="2" t="str">
        <f>IFERROR(__xludf.DUMMYFUNCTION("""COMPUTED_VALUE"""),"Dolahity, Sunakothi 8, Lalitpur, 9851035269, 9801083519")</f>
        <v>Dolahity, Sunakothi 8, Lalitpur, 9851035269, 9801083519</v>
      </c>
      <c r="I2098" s="2" t="str">
        <f>IFERROR(__xludf.DUMMYFUNCTION("""COMPUTED_VALUE"""),"28o 40' 00""")</f>
        <v>28o 40' 00"</v>
      </c>
      <c r="J2098" s="2" t="str">
        <f>IFERROR(__xludf.DUMMYFUNCTION("""COMPUTED_VALUE"""),"28o 45' 00""")</f>
        <v>28o 45' 00"</v>
      </c>
      <c r="K2098" s="2" t="str">
        <f>IFERROR(__xludf.DUMMYFUNCTION("""COMPUTED_VALUE"""),"81o 57' 30""")</f>
        <v>81o 57' 30"</v>
      </c>
      <c r="L2098" s="2" t="str">
        <f>IFERROR(__xludf.DUMMYFUNCTION("""COMPUTED_VALUE"""),"82o 02' 30""")</f>
        <v>82o 02' 30"</v>
      </c>
      <c r="M2098" s="2" t="str">
        <f>IFERROR(__xludf.DUMMYFUNCTION("""COMPUTED_VALUE"""),"Dasera,Karkigaun,Salma (Jajarkot)")</f>
        <v>Dasera,Karkigaun,Salma (Jajarkot)</v>
      </c>
    </row>
    <row r="2099">
      <c r="A2099" s="2">
        <f>IFERROR(__xludf.DUMMYFUNCTION("""COMPUTED_VALUE"""),2098.0)</f>
        <v>2098</v>
      </c>
      <c r="B2099" s="2" t="str">
        <f>IFERROR(__xludf.DUMMYFUNCTION("""COMPUTED_VALUE"""),"Upper Thulokhola A HEP")</f>
        <v>Upper Thulokhola A HEP</v>
      </c>
      <c r="C2099" s="2">
        <f>IFERROR(__xludf.DUMMYFUNCTION("""COMPUTED_VALUE"""),4.99)</f>
        <v>4.99</v>
      </c>
      <c r="D2099" s="2" t="str">
        <f>IFERROR(__xludf.DUMMYFUNCTION("""COMPUTED_VALUE"""),"Thulo")</f>
        <v>Thulo</v>
      </c>
      <c r="E2099" s="2">
        <f>IFERROR(__xludf.DUMMYFUNCTION("""COMPUTED_VALUE"""),4886.0)</f>
        <v>4886</v>
      </c>
      <c r="F2099" s="3">
        <f>IFERROR(__xludf.DUMMYFUNCTION("""COMPUTED_VALUE"""),63574.0)</f>
        <v>63574</v>
      </c>
      <c r="G2099" s="2" t="str">
        <f>IFERROR(__xludf.DUMMYFUNCTION("""COMPUTED_VALUE"""),"Thulo Khola Hydropower Pvt. Ltd")</f>
        <v>Thulo Khola Hydropower Pvt. Ltd</v>
      </c>
      <c r="H2099" s="2" t="str">
        <f>IFERROR(__xludf.DUMMYFUNCTION("""COMPUTED_VALUE"""),"Kathmandu-10, Devkota sadak Mid Baneshwor")</f>
        <v>Kathmandu-10, Devkota sadak Mid Baneshwor</v>
      </c>
      <c r="I2099" s="2" t="str">
        <f>IFERROR(__xludf.DUMMYFUNCTION("""COMPUTED_VALUE"""),"28o 35' 00""")</f>
        <v>28o 35' 00"</v>
      </c>
      <c r="J2099" s="2" t="str">
        <f>IFERROR(__xludf.DUMMYFUNCTION("""COMPUTED_VALUE"""),"28o 36' 18""")</f>
        <v>28o 36' 18"</v>
      </c>
      <c r="K2099" s="2" t="str">
        <f>IFERROR(__xludf.DUMMYFUNCTION("""COMPUTED_VALUE"""),"83o 31' 10""")</f>
        <v>83o 31' 10"</v>
      </c>
      <c r="L2099" s="2" t="str">
        <f>IFERROR(__xludf.DUMMYFUNCTION("""COMPUTED_VALUE"""),"83o 32' 23""")</f>
        <v>83o 32' 23"</v>
      </c>
      <c r="M2099" s="2" t="str">
        <f>IFERROR(__xludf.DUMMYFUNCTION("""COMPUTED_VALUE"""),"Kuinemangale (Myagdi)")</f>
        <v>Kuinemangale (Myagdi)</v>
      </c>
    </row>
    <row r="2100">
      <c r="A2100" s="2">
        <f>IFERROR(__xludf.DUMMYFUNCTION("""COMPUTED_VALUE"""),2099.0)</f>
        <v>2099</v>
      </c>
      <c r="B2100" s="2" t="str">
        <f>IFERROR(__xludf.DUMMYFUNCTION("""COMPUTED_VALUE"""),"Naugarh Gad Cascade Small HEP")</f>
        <v>Naugarh Gad Cascade Small HEP</v>
      </c>
      <c r="C2100" s="2">
        <f>IFERROR(__xludf.DUMMYFUNCTION("""COMPUTED_VALUE"""),0.996)</f>
        <v>0.996</v>
      </c>
      <c r="D2100" s="2" t="str">
        <f>IFERROR(__xludf.DUMMYFUNCTION("""COMPUTED_VALUE"""),"Naugarh gad")</f>
        <v>Naugarh gad</v>
      </c>
      <c r="E2100" s="2">
        <f>IFERROR(__xludf.DUMMYFUNCTION("""COMPUTED_VALUE"""),4921.0)</f>
        <v>4921</v>
      </c>
      <c r="F2100" s="3">
        <f>IFERROR(__xludf.DUMMYFUNCTION("""COMPUTED_VALUE"""),63575.0)</f>
        <v>63575</v>
      </c>
      <c r="G2100" s="2" t="str">
        <f>IFERROR(__xludf.DUMMYFUNCTION("""COMPUTED_VALUE"""),"Api Power Company ltd.")</f>
        <v>Api Power Company ltd.</v>
      </c>
      <c r="H2100" s="2" t="str">
        <f>IFERROR(__xludf.DUMMYFUNCTION("""COMPUTED_VALUE"""),"Trade Tower 4ht floor, info@apipower.com.np")</f>
        <v>Trade Tower 4ht floor, info@apipower.com.np</v>
      </c>
      <c r="I2100" s="2" t="str">
        <f>IFERROR(__xludf.DUMMYFUNCTION("""COMPUTED_VALUE"""),"29o 41' 22""")</f>
        <v>29o 41' 22"</v>
      </c>
      <c r="J2100" s="2" t="str">
        <f>IFERROR(__xludf.DUMMYFUNCTION("""COMPUTED_VALUE"""),"29o 41' 37""")</f>
        <v>29o 41' 37"</v>
      </c>
      <c r="K2100" s="2" t="str">
        <f>IFERROR(__xludf.DUMMYFUNCTION("""COMPUTED_VALUE"""),"80o 35' 44""")</f>
        <v>80o 35' 44"</v>
      </c>
      <c r="L2100" s="2" t="str">
        <f>IFERROR(__xludf.DUMMYFUNCTION("""COMPUTED_VALUE"""),"80o 36' 33""")</f>
        <v>80o 36' 33"</v>
      </c>
      <c r="M2100" s="2" t="str">
        <f>IFERROR(__xludf.DUMMYFUNCTION("""COMPUTED_VALUE"""),"Dethala (Darchula)")</f>
        <v>Dethala (Darchula)</v>
      </c>
    </row>
    <row r="2101">
      <c r="A2101" s="2">
        <f>IFERROR(__xludf.DUMMYFUNCTION("""COMPUTED_VALUE"""),2100.0)</f>
        <v>2100</v>
      </c>
      <c r="B2101" s="2" t="str">
        <f>IFERROR(__xludf.DUMMYFUNCTION("""COMPUTED_VALUE"""),"Daram Khola Small HEP")</f>
        <v>Daram Khola Small HEP</v>
      </c>
      <c r="C2101" s="2">
        <f>IFERROR(__xludf.DUMMYFUNCTION("""COMPUTED_VALUE"""),0.98)</f>
        <v>0.98</v>
      </c>
      <c r="D2101" s="2" t="str">
        <f>IFERROR(__xludf.DUMMYFUNCTION("""COMPUTED_VALUE"""),"Daram")</f>
        <v>Daram</v>
      </c>
      <c r="E2101" s="2">
        <f>IFERROR(__xludf.DUMMYFUNCTION("""COMPUTED_VALUE"""),4968.0)</f>
        <v>4968</v>
      </c>
      <c r="F2101" s="3">
        <f>IFERROR(__xludf.DUMMYFUNCTION("""COMPUTED_VALUE"""),63578.0)</f>
        <v>63578</v>
      </c>
      <c r="G2101" s="2" t="str">
        <f>IFERROR(__xludf.DUMMYFUNCTION("""COMPUTED_VALUE"""),"Rudra Geda Hydropower Pvt. Ltd., Darmendra Kumar Malla")</f>
        <v>Rudra Geda Hydropower Pvt. Ltd., Darmendra Kumar Malla</v>
      </c>
      <c r="H2101" s="2" t="str">
        <f>IFERROR(__xludf.DUMMYFUNCTION("""COMPUTED_VALUE"""),"Gulmi, 9860301259, 9867285025")</f>
        <v>Gulmi, 9860301259, 9867285025</v>
      </c>
      <c r="I2101" s="2" t="str">
        <f>IFERROR(__xludf.DUMMYFUNCTION("""COMPUTED_VALUE"""),"28o 10' 52""")</f>
        <v>28o 10' 52"</v>
      </c>
      <c r="J2101" s="2" t="str">
        <f>IFERROR(__xludf.DUMMYFUNCTION("""COMPUTED_VALUE"""),"28o 11' 40""")</f>
        <v>28o 11' 40"</v>
      </c>
      <c r="K2101" s="2" t="str">
        <f>IFERROR(__xludf.DUMMYFUNCTION("""COMPUTED_VALUE"""),"83o 16' 27""")</f>
        <v>83o 16' 27"</v>
      </c>
      <c r="L2101" s="2" t="str">
        <f>IFERROR(__xludf.DUMMYFUNCTION("""COMPUTED_VALUE"""),"83o 17' 38""")</f>
        <v>83o 17' 38"</v>
      </c>
      <c r="M2101" s="2"/>
    </row>
    <row r="2102">
      <c r="A2102" s="2">
        <f>IFERROR(__xludf.DUMMYFUNCTION("""COMPUTED_VALUE"""),2101.0)</f>
        <v>2101</v>
      </c>
      <c r="B2102" s="2" t="str">
        <f>IFERROR(__xludf.DUMMYFUNCTION("""COMPUTED_VALUE"""),"Kabeli- 3 HEP")</f>
        <v>Kabeli- 3 HEP</v>
      </c>
      <c r="C2102" s="2">
        <f>IFERROR(__xludf.DUMMYFUNCTION("""COMPUTED_VALUE"""),21.93)</f>
        <v>21.93</v>
      </c>
      <c r="D2102" s="2" t="str">
        <f>IFERROR(__xludf.DUMMYFUNCTION("""COMPUTED_VALUE"""),"Kabeli Khola")</f>
        <v>Kabeli Khola</v>
      </c>
      <c r="E2102" s="2">
        <f>IFERROR(__xludf.DUMMYFUNCTION("""COMPUTED_VALUE"""),5040.0)</f>
        <v>5040</v>
      </c>
      <c r="F2102" s="3">
        <f>IFERROR(__xludf.DUMMYFUNCTION("""COMPUTED_VALUE"""),63580.0)</f>
        <v>63580</v>
      </c>
      <c r="G2102" s="2" t="str">
        <f>IFERROR(__xludf.DUMMYFUNCTION("""COMPUTED_VALUE"""),"IDS Energy Pvt. Ltd")</f>
        <v>IDS Energy Pvt. Ltd</v>
      </c>
      <c r="H2102" s="2" t="str">
        <f>IFERROR(__xludf.DUMMYFUNCTION("""COMPUTED_VALUE"""),"Heritage Plaza Block C &amp; D, Kamaladi, 01-4169116, 4169117 , P.O.Box 516")</f>
        <v>Heritage Plaza Block C &amp; D, Kamaladi, 01-4169116, 4169117 , P.O.Box 516</v>
      </c>
      <c r="I2102" s="2" t="str">
        <f>IFERROR(__xludf.DUMMYFUNCTION("""COMPUTED_VALUE"""),"27o 21' 41""")</f>
        <v>27o 21' 41"</v>
      </c>
      <c r="J2102" s="2" t="str">
        <f>IFERROR(__xludf.DUMMYFUNCTION("""COMPUTED_VALUE"""),"27o 25' 08""")</f>
        <v>27o 25' 08"</v>
      </c>
      <c r="K2102" s="2" t="str">
        <f>IFERROR(__xludf.DUMMYFUNCTION("""COMPUTED_VALUE"""),"87o 50' 58""")</f>
        <v>87o 50' 58"</v>
      </c>
      <c r="L2102" s="2" t="str">
        <f>IFERROR(__xludf.DUMMYFUNCTION("""COMPUTED_VALUE"""),"87o 53' 24""")</f>
        <v>87o 53' 24"</v>
      </c>
      <c r="M2102" s="2" t="str">
        <f>IFERROR(__xludf.DUMMYFUNCTION("""COMPUTED_VALUE"""),"Khewang,Mamangkhe,Paidang (Taplejung)")</f>
        <v>Khewang,Mamangkhe,Paidang (Taplejung)</v>
      </c>
    </row>
    <row r="2103">
      <c r="A2103" s="2">
        <f>IFERROR(__xludf.DUMMYFUNCTION("""COMPUTED_VALUE"""),2102.0)</f>
        <v>2102</v>
      </c>
      <c r="B2103" s="2" t="str">
        <f>IFERROR(__xludf.DUMMYFUNCTION("""COMPUTED_VALUE"""),"Gumdal Khola Small HEP")</f>
        <v>Gumdal Khola Small HEP</v>
      </c>
      <c r="C2103" s="2">
        <f>IFERROR(__xludf.DUMMYFUNCTION("""COMPUTED_VALUE"""),0.735)</f>
        <v>0.735</v>
      </c>
      <c r="D2103" s="2" t="str">
        <f>IFERROR(__xludf.DUMMYFUNCTION("""COMPUTED_VALUE"""),"Gumdal")</f>
        <v>Gumdal</v>
      </c>
      <c r="E2103" s="2">
        <f>IFERROR(__xludf.DUMMYFUNCTION("""COMPUTED_VALUE"""),5056.0)</f>
        <v>5056</v>
      </c>
      <c r="F2103" s="3">
        <f>IFERROR(__xludf.DUMMYFUNCTION("""COMPUTED_VALUE"""),63580.0)</f>
        <v>63580</v>
      </c>
      <c r="G2103" s="2" t="str">
        <f>IFERROR(__xludf.DUMMYFUNCTION("""COMPUTED_VALUE"""),"Yumuna Engineering Pvt. Ltd.")</f>
        <v>Yumuna Engineering Pvt. Ltd.</v>
      </c>
      <c r="H2103" s="2" t="str">
        <f>IFERROR(__xludf.DUMMYFUNCTION("""COMPUTED_VALUE"""),"Kathmandu, 9851232050")</f>
        <v>Kathmandu, 9851232050</v>
      </c>
      <c r="I2103" s="2" t="str">
        <f>IFERROR(__xludf.DUMMYFUNCTION("""COMPUTED_VALUE"""),"27o 51' 35""")</f>
        <v>27o 51' 35"</v>
      </c>
      <c r="J2103" s="2" t="str">
        <f>IFERROR(__xludf.DUMMYFUNCTION("""COMPUTED_VALUE"""),"27o 52' 30""")</f>
        <v>27o 52' 30"</v>
      </c>
      <c r="K2103" s="2" t="str">
        <f>IFERROR(__xludf.DUMMYFUNCTION("""COMPUTED_VALUE"""),"85o 48' 03""")</f>
        <v>85o 48' 03"</v>
      </c>
      <c r="L2103" s="2" t="str">
        <f>IFERROR(__xludf.DUMMYFUNCTION("""COMPUTED_VALUE"""),"85o 49' 07""")</f>
        <v>85o 49' 07"</v>
      </c>
      <c r="M2103" s="2" t="str">
        <f>IFERROR(__xludf.DUMMYFUNCTION("""COMPUTED_VALUE"""),"Hagam (Sindhupalchok)")</f>
        <v>Hagam (Sindhupalchok)</v>
      </c>
    </row>
    <row r="2104">
      <c r="A2104" s="2">
        <f>IFERROR(__xludf.DUMMYFUNCTION("""COMPUTED_VALUE"""),2103.0)</f>
        <v>2103</v>
      </c>
      <c r="B2104" s="2" t="str">
        <f>IFERROR(__xludf.DUMMYFUNCTION("""COMPUTED_VALUE"""),"Jagdulla HEP")</f>
        <v>Jagdulla HEP</v>
      </c>
      <c r="C2104" s="2">
        <f>IFERROR(__xludf.DUMMYFUNCTION("""COMPUTED_VALUE"""),44.77)</f>
        <v>44.77</v>
      </c>
      <c r="D2104" s="2" t="str">
        <f>IFERROR(__xludf.DUMMYFUNCTION("""COMPUTED_VALUE"""),"Bheri")</f>
        <v>Bheri</v>
      </c>
      <c r="E2104" s="2">
        <f>IFERROR(__xludf.DUMMYFUNCTION("""COMPUTED_VALUE"""),5082.0)</f>
        <v>5082</v>
      </c>
      <c r="F2104" s="3">
        <f>IFERROR(__xludf.DUMMYFUNCTION("""COMPUTED_VALUE"""),63582.0)</f>
        <v>63582</v>
      </c>
      <c r="G2104" s="2" t="str">
        <f>IFERROR(__xludf.DUMMYFUNCTION("""COMPUTED_VALUE"""),"Kalika Construction Pvt. Ltd")</f>
        <v>Kalika Construction Pvt. Ltd</v>
      </c>
      <c r="H2104" s="2" t="str">
        <f>IFERROR(__xludf.DUMMYFUNCTION("""COMPUTED_VALUE"""),"Kathmandu")</f>
        <v>Kathmandu</v>
      </c>
      <c r="I2104" s="2" t="str">
        <f>IFERROR(__xludf.DUMMYFUNCTION("""COMPUTED_VALUE"""),"29o 00' 00""")</f>
        <v>29o 00' 00"</v>
      </c>
      <c r="J2104" s="2" t="str">
        <f>IFERROR(__xludf.DUMMYFUNCTION("""COMPUTED_VALUE"""),"29o 03' 22""")</f>
        <v>29o 03' 22"</v>
      </c>
      <c r="K2104" s="2" t="str">
        <f>IFERROR(__xludf.DUMMYFUNCTION("""COMPUTED_VALUE"""),"82o 33' 10""")</f>
        <v>82o 33' 10"</v>
      </c>
      <c r="L2104" s="2" t="str">
        <f>IFERROR(__xludf.DUMMYFUNCTION("""COMPUTED_VALUE"""),"82o 35' 30""")</f>
        <v>82o 35' 30"</v>
      </c>
      <c r="M2104" s="2" t="str">
        <f>IFERROR(__xludf.DUMMYFUNCTION("""COMPUTED_VALUE"""),"Narku,Kalika (Dolpa)")</f>
        <v>Narku,Kalika (Dolpa)</v>
      </c>
    </row>
    <row r="2105">
      <c r="A2105" s="2">
        <f>IFERROR(__xludf.DUMMYFUNCTION("""COMPUTED_VALUE"""),2104.0)</f>
        <v>2104</v>
      </c>
      <c r="B2105" s="2" t="str">
        <f>IFERROR(__xludf.DUMMYFUNCTION("""COMPUTED_VALUE"""),"Bharbun Reservoir HEP")</f>
        <v>Bharbun Reservoir HEP</v>
      </c>
      <c r="C2105" s="2">
        <f>IFERROR(__xludf.DUMMYFUNCTION("""COMPUTED_VALUE"""),396.0)</f>
        <v>396</v>
      </c>
      <c r="D2105" s="2" t="str">
        <f>IFERROR(__xludf.DUMMYFUNCTION("""COMPUTED_VALUE"""),"Bharbun")</f>
        <v>Bharbun</v>
      </c>
      <c r="E2105" s="2">
        <f>IFERROR(__xludf.DUMMYFUNCTION("""COMPUTED_VALUE"""),5083.0)</f>
        <v>5083</v>
      </c>
      <c r="F2105" s="3">
        <f>IFERROR(__xludf.DUMMYFUNCTION("""COMPUTED_VALUE"""),63582.0)</f>
        <v>63582</v>
      </c>
      <c r="G2105" s="2" t="str">
        <f>IFERROR(__xludf.DUMMYFUNCTION("""COMPUTED_VALUE"""),"IMS Energy Pvt. Ltd")</f>
        <v>IMS Energy Pvt. Ltd</v>
      </c>
      <c r="H2105" s="2" t="str">
        <f>IFERROR(__xludf.DUMMYFUNCTION("""COMPUTED_VALUE"""),"Kathmandu, Hari Kishor Singh 9802002732")</f>
        <v>Kathmandu, Hari Kishor Singh 9802002732</v>
      </c>
      <c r="I2105" s="2" t="str">
        <f>IFERROR(__xludf.DUMMYFUNCTION("""COMPUTED_VALUE"""),"28o 48' 04""")</f>
        <v>28o 48' 04"</v>
      </c>
      <c r="J2105" s="2" t="str">
        <f>IFERROR(__xludf.DUMMYFUNCTION("""COMPUTED_VALUE"""),"28o 55' 11""")</f>
        <v>28o 55' 11"</v>
      </c>
      <c r="K2105" s="2" t="str">
        <f>IFERROR(__xludf.DUMMYFUNCTION("""COMPUTED_VALUE"""),"83o 04' 04""")</f>
        <v>83o 04' 04"</v>
      </c>
      <c r="L2105" s="2" t="str">
        <f>IFERROR(__xludf.DUMMYFUNCTION("""COMPUTED_VALUE"""),"83o 20' 39""")</f>
        <v>83o 20' 39"</v>
      </c>
      <c r="M2105" s="2" t="str">
        <f>IFERROR(__xludf.DUMMYFUNCTION("""COMPUTED_VALUE"""),"Mukot (Dolpa)")</f>
        <v>Mukot (Dolpa)</v>
      </c>
    </row>
    <row r="2106">
      <c r="A2106" s="2">
        <f>IFERROR(__xludf.DUMMYFUNCTION("""COMPUTED_VALUE"""),2105.0)</f>
        <v>2105</v>
      </c>
      <c r="B2106" s="2" t="str">
        <f>IFERROR(__xludf.DUMMYFUNCTION("""COMPUTED_VALUE"""),"Budhi Gandaki Syar Khola HEP")</f>
        <v>Budhi Gandaki Syar Khola HEP</v>
      </c>
      <c r="C2106" s="2">
        <f>IFERROR(__xludf.DUMMYFUNCTION("""COMPUTED_VALUE"""),270.0)</f>
        <v>270</v>
      </c>
      <c r="D2106" s="2" t="str">
        <f>IFERROR(__xludf.DUMMYFUNCTION("""COMPUTED_VALUE"""),"Budhi Gandaki")</f>
        <v>Budhi Gandaki</v>
      </c>
      <c r="E2106" s="2">
        <f>IFERROR(__xludf.DUMMYFUNCTION("""COMPUTED_VALUE"""),5092.0)</f>
        <v>5092</v>
      </c>
      <c r="F2106" s="3">
        <f>IFERROR(__xludf.DUMMYFUNCTION("""COMPUTED_VALUE"""),63583.0)</f>
        <v>63583</v>
      </c>
      <c r="G2106" s="2" t="str">
        <f>IFERROR(__xludf.DUMMYFUNCTION("""COMPUTED_VALUE"""),"Chilime Hydropower Company Limited")</f>
        <v>Chilime Hydropower Company Limited</v>
      </c>
      <c r="H2106" s="2" t="str">
        <f>IFERROR(__xludf.DUMMYFUNCTION("""COMPUTED_VALUE"""),"Dumbarahi Kathmandu")</f>
        <v>Dumbarahi Kathmandu</v>
      </c>
      <c r="I2106" s="2" t="str">
        <f>IFERROR(__xludf.DUMMYFUNCTION("""COMPUTED_VALUE"""),"28o 26' 25""")</f>
        <v>28o 26' 25"</v>
      </c>
      <c r="J2106" s="2" t="str">
        <f>IFERROR(__xludf.DUMMYFUNCTION("""COMPUTED_VALUE"""),"28o 30' 38""")</f>
        <v>28o 30' 38"</v>
      </c>
      <c r="K2106" s="2" t="str">
        <f>IFERROR(__xludf.DUMMYFUNCTION("""COMPUTED_VALUE"""),"84o 50' 55""")</f>
        <v>84o 50' 55"</v>
      </c>
      <c r="L2106" s="2" t="str">
        <f>IFERROR(__xludf.DUMMYFUNCTION("""COMPUTED_VALUE"""),"84o 57' 00""")</f>
        <v>84o 57' 00"</v>
      </c>
      <c r="M2106" s="2"/>
    </row>
    <row r="2107">
      <c r="A2107" s="2">
        <f>IFERROR(__xludf.DUMMYFUNCTION("""COMPUTED_VALUE"""),2106.0)</f>
        <v>2106</v>
      </c>
      <c r="B2107" s="2" t="str">
        <f>IFERROR(__xludf.DUMMYFUNCTION("""COMPUTED_VALUE"""),"Super Myagdi HEP")</f>
        <v>Super Myagdi HEP</v>
      </c>
      <c r="C2107" s="2">
        <f>IFERROR(__xludf.DUMMYFUNCTION("""COMPUTED_VALUE"""),24.07)</f>
        <v>24.07</v>
      </c>
      <c r="D2107" s="2" t="str">
        <f>IFERROR(__xludf.DUMMYFUNCTION("""COMPUTED_VALUE"""),"Myagdi Khola")</f>
        <v>Myagdi Khola</v>
      </c>
      <c r="E2107" s="2">
        <f>IFERROR(__xludf.DUMMYFUNCTION("""COMPUTED_VALUE"""),5094.0)</f>
        <v>5094</v>
      </c>
      <c r="F2107" s="3">
        <f>IFERROR(__xludf.DUMMYFUNCTION("""COMPUTED_VALUE"""),63583.0)</f>
        <v>63583</v>
      </c>
      <c r="G2107" s="2" t="str">
        <f>IFERROR(__xludf.DUMMYFUNCTION("""COMPUTED_VALUE"""),"Universal Power Company P. Ltd")</f>
        <v>Universal Power Company P. Ltd</v>
      </c>
      <c r="H2107" s="2" t="str">
        <f>IFERROR(__xludf.DUMMYFUNCTION("""COMPUTED_VALUE"""),"Bluestar Complex Tripureshwor, 01-4251463")</f>
        <v>Bluestar Complex Tripureshwor, 01-4251463</v>
      </c>
      <c r="I2107" s="2" t="str">
        <f>IFERROR(__xludf.DUMMYFUNCTION("""COMPUTED_VALUE"""),"28o 38' 04""")</f>
        <v>28o 38' 04"</v>
      </c>
      <c r="J2107" s="2" t="str">
        <f>IFERROR(__xludf.DUMMYFUNCTION("""COMPUTED_VALUE"""),"28o 41' 08""")</f>
        <v>28o 41' 08"</v>
      </c>
      <c r="K2107" s="2" t="str">
        <f>IFERROR(__xludf.DUMMYFUNCTION("""COMPUTED_VALUE"""),"83o 24' 00""")</f>
        <v>83o 24' 00"</v>
      </c>
      <c r="L2107" s="2" t="str">
        <f>IFERROR(__xludf.DUMMYFUNCTION("""COMPUTED_VALUE"""),"83o 26' 13""")</f>
        <v>83o 26' 13"</v>
      </c>
      <c r="M2107" s="2"/>
    </row>
    <row r="2108">
      <c r="A2108" s="2">
        <f>IFERROR(__xludf.DUMMYFUNCTION("""COMPUTED_VALUE"""),2107.0)</f>
        <v>2107</v>
      </c>
      <c r="B2108" s="2" t="str">
        <f>IFERROR(__xludf.DUMMYFUNCTION("""COMPUTED_VALUE"""),"Upper Dar KHola HEP")</f>
        <v>Upper Dar KHola HEP</v>
      </c>
      <c r="C2108" s="2">
        <f>IFERROR(__xludf.DUMMYFUNCTION("""COMPUTED_VALUE"""),3.0)</f>
        <v>3</v>
      </c>
      <c r="D2108" s="2" t="str">
        <f>IFERROR(__xludf.DUMMYFUNCTION("""COMPUTED_VALUE"""),"Dar Khola")</f>
        <v>Dar Khola</v>
      </c>
      <c r="E2108" s="2">
        <f>IFERROR(__xludf.DUMMYFUNCTION("""COMPUTED_VALUE"""),6000.0)</f>
        <v>6000</v>
      </c>
      <c r="F2108" s="3">
        <f>IFERROR(__xludf.DUMMYFUNCTION("""COMPUTED_VALUE"""),63583.0)</f>
        <v>63583</v>
      </c>
      <c r="G2108" s="2" t="str">
        <f>IFERROR(__xludf.DUMMYFUNCTION("""COMPUTED_VALUE"""),"Chakra Bahadur Thapa")</f>
        <v>Chakra Bahadur Thapa</v>
      </c>
      <c r="H2108" s="2" t="str">
        <f>IFERROR(__xludf.DUMMYFUNCTION("""COMPUTED_VALUE"""),"Takam- 1, Dharpani Myagdi, 9818043865")</f>
        <v>Takam- 1, Dharpani Myagdi, 9818043865</v>
      </c>
      <c r="I2108" s="2" t="str">
        <f>IFERROR(__xludf.DUMMYFUNCTION("""COMPUTED_VALUE"""),"28o 30' 00""")</f>
        <v>28o 30' 00"</v>
      </c>
      <c r="J2108" s="2" t="str">
        <f>IFERROR(__xludf.DUMMYFUNCTION("""COMPUTED_VALUE"""),"28o 31' 22""")</f>
        <v>28o 31' 22"</v>
      </c>
      <c r="K2108" s="2" t="str">
        <f>IFERROR(__xludf.DUMMYFUNCTION("""COMPUTED_VALUE"""),"83o 16' 55""")</f>
        <v>83o 16' 55"</v>
      </c>
      <c r="L2108" s="2" t="str">
        <f>IFERROR(__xludf.DUMMYFUNCTION("""COMPUTED_VALUE"""),"83o 18' 46""")</f>
        <v>83o 18' 46"</v>
      </c>
      <c r="M2108" s="2" t="str">
        <f>IFERROR(__xludf.DUMMYFUNCTION("""COMPUTED_VALUE"""),"Muna (Myagdi)")</f>
        <v>Muna (Myagdi)</v>
      </c>
    </row>
    <row r="2109">
      <c r="A2109" s="2">
        <f>IFERROR(__xludf.DUMMYFUNCTION("""COMPUTED_VALUE"""),2108.0)</f>
        <v>2108</v>
      </c>
      <c r="B2109" s="2" t="str">
        <f>IFERROR(__xludf.DUMMYFUNCTION("""COMPUTED_VALUE"""),"Midim Khola HEP")</f>
        <v>Midim Khola HEP</v>
      </c>
      <c r="C2109" s="2">
        <f>IFERROR(__xludf.DUMMYFUNCTION("""COMPUTED_VALUE"""),3.85)</f>
        <v>3.85</v>
      </c>
      <c r="D2109" s="2" t="str">
        <f>IFERROR(__xludf.DUMMYFUNCTION("""COMPUTED_VALUE"""),"Midim Khola")</f>
        <v>Midim Khola</v>
      </c>
      <c r="E2109" s="2">
        <f>IFERROR(__xludf.DUMMYFUNCTION("""COMPUTED_VALUE"""),6074.0)</f>
        <v>6074</v>
      </c>
      <c r="F2109" s="3">
        <f>IFERROR(__xludf.DUMMYFUNCTION("""COMPUTED_VALUE"""),63588.0)</f>
        <v>63588</v>
      </c>
      <c r="G2109" s="2" t="str">
        <f>IFERROR(__xludf.DUMMYFUNCTION("""COMPUTED_VALUE"""),"Trio Energy Pvt. Ltd.")</f>
        <v>Trio Energy Pvt. Ltd.</v>
      </c>
      <c r="H2109" s="2" t="str">
        <f>IFERROR(__xludf.DUMMYFUNCTION("""COMPUTED_VALUE"""),"Baneshwor Kathmandu, 9851032696")</f>
        <v>Baneshwor Kathmandu, 9851032696</v>
      </c>
      <c r="I2109" s="2" t="str">
        <f>IFERROR(__xludf.DUMMYFUNCTION("""COMPUTED_VALUE"""),"28o 17' 55""")</f>
        <v>28o 17' 55"</v>
      </c>
      <c r="J2109" s="2" t="str">
        <f>IFERROR(__xludf.DUMMYFUNCTION("""COMPUTED_VALUE"""),"28o 19' 00""")</f>
        <v>28o 19' 00"</v>
      </c>
      <c r="K2109" s="2" t="str">
        <f>IFERROR(__xludf.DUMMYFUNCTION("""COMPUTED_VALUE"""),"84o 15' 00""")</f>
        <v>84o 15' 00"</v>
      </c>
      <c r="L2109" s="2" t="str">
        <f>IFERROR(__xludf.DUMMYFUNCTION("""COMPUTED_VALUE"""),"84o 15' 55""")</f>
        <v>84o 15' 55"</v>
      </c>
      <c r="M2109" s="2" t="str">
        <f>IFERROR(__xludf.DUMMYFUNCTION("""COMPUTED_VALUE"""),"Bhujung (Lamjung)")</f>
        <v>Bhujung (Lamjung)</v>
      </c>
    </row>
    <row r="2110">
      <c r="A2110" s="2">
        <f>IFERROR(__xludf.DUMMYFUNCTION("""COMPUTED_VALUE"""),2109.0)</f>
        <v>2109</v>
      </c>
      <c r="B2110" s="2" t="str">
        <f>IFERROR(__xludf.DUMMYFUNCTION("""COMPUTED_VALUE"""),"Lower Arun HEP")</f>
        <v>Lower Arun HEP</v>
      </c>
      <c r="C2110" s="2">
        <f>IFERROR(__xludf.DUMMYFUNCTION("""COMPUTED_VALUE"""),627.0)</f>
        <v>627</v>
      </c>
      <c r="D2110" s="2" t="str">
        <f>IFERROR(__xludf.DUMMYFUNCTION("""COMPUTED_VALUE"""),"Arun")</f>
        <v>Arun</v>
      </c>
      <c r="E2110" s="2">
        <f>IFERROR(__xludf.DUMMYFUNCTION("""COMPUTED_VALUE"""),6138.0)</f>
        <v>6138</v>
      </c>
      <c r="F2110" s="3">
        <f>IFERROR(__xludf.DUMMYFUNCTION("""COMPUTED_VALUE"""),63590.0)</f>
        <v>63590</v>
      </c>
      <c r="G2110" s="2" t="str">
        <f>IFERROR(__xludf.DUMMYFUNCTION("""COMPUTED_VALUE"""),"Vidhyut Utpadan Company Limited")</f>
        <v>Vidhyut Utpadan Company Limited</v>
      </c>
      <c r="H2110" s="2" t="str">
        <f>IFERROR(__xludf.DUMMYFUNCTION("""COMPUTED_VALUE"""),"Thapagaun, Kathmandu")</f>
        <v>Thapagaun, Kathmandu</v>
      </c>
      <c r="I2110" s="2" t="str">
        <f>IFERROR(__xludf.DUMMYFUNCTION("""COMPUTED_VALUE"""),"27o 22' 30""")</f>
        <v>27o 22' 30"</v>
      </c>
      <c r="J2110" s="2" t="str">
        <f>IFERROR(__xludf.DUMMYFUNCTION("""COMPUTED_VALUE"""),"27o 30' 00""")</f>
        <v>27o 30' 00"</v>
      </c>
      <c r="K2110" s="2" t="str">
        <f>IFERROR(__xludf.DUMMYFUNCTION("""COMPUTED_VALUE"""),"87o 07' 30""")</f>
        <v>87o 07' 30"</v>
      </c>
      <c r="L2110" s="2" t="str">
        <f>IFERROR(__xludf.DUMMYFUNCTION("""COMPUTED_VALUE"""),"87o 12' 30""")</f>
        <v>87o 12' 30"</v>
      </c>
      <c r="M2110" s="2" t="str">
        <f>IFERROR(__xludf.DUMMYFUNCTION("""COMPUTED_VALUE"""),"Mangtewa,Sitalpati (Sankhuwasabha)")</f>
        <v>Mangtewa,Sitalpati (Sankhuwasabha)</v>
      </c>
    </row>
    <row r="2111">
      <c r="A2111" s="2">
        <f>IFERROR(__xludf.DUMMYFUNCTION("""COMPUTED_VALUE"""),2110.0)</f>
        <v>2110</v>
      </c>
      <c r="B2111" s="2" t="str">
        <f>IFERROR(__xludf.DUMMYFUNCTION("""COMPUTED_VALUE"""),"Hekpa Khola HEP")</f>
        <v>Hekpa Khola HEP</v>
      </c>
      <c r="C2111" s="2">
        <f>IFERROR(__xludf.DUMMYFUNCTION("""COMPUTED_VALUE"""),0.96)</f>
        <v>0.96</v>
      </c>
      <c r="D2111" s="2" t="str">
        <f>IFERROR(__xludf.DUMMYFUNCTION("""COMPUTED_VALUE"""),"Hekpa")</f>
        <v>Hekpa</v>
      </c>
      <c r="E2111" s="2">
        <f>IFERROR(__xludf.DUMMYFUNCTION("""COMPUTED_VALUE"""),6205.0)</f>
        <v>6205</v>
      </c>
      <c r="F2111" s="3">
        <f>IFERROR(__xludf.DUMMYFUNCTION("""COMPUTED_VALUE"""),63594.0)</f>
        <v>63594</v>
      </c>
      <c r="G2111" s="2" t="str">
        <f>IFERROR(__xludf.DUMMYFUNCTION("""COMPUTED_VALUE"""),"Moti Urja Pvt. Ltd.")</f>
        <v>Moti Urja Pvt. Ltd.</v>
      </c>
      <c r="H2111" s="2" t="str">
        <f>IFERROR(__xludf.DUMMYFUNCTION("""COMPUTED_VALUE"""),"Pulchok, Lalitpur")</f>
        <v>Pulchok, Lalitpur</v>
      </c>
      <c r="I2111" s="2" t="str">
        <f>IFERROR(__xludf.DUMMYFUNCTION("""COMPUTED_VALUE"""),"30o 01' 35""")</f>
        <v>30o 01' 35"</v>
      </c>
      <c r="J2111" s="2" t="str">
        <f>IFERROR(__xludf.DUMMYFUNCTION("""COMPUTED_VALUE"""),"30o 02' 40""")</f>
        <v>30o 02' 40"</v>
      </c>
      <c r="K2111" s="2" t="str">
        <f>IFERROR(__xludf.DUMMYFUNCTION("""COMPUTED_VALUE"""),"81o 47' 17""")</f>
        <v>81o 47' 17"</v>
      </c>
      <c r="L2111" s="2" t="str">
        <f>IFERROR(__xludf.DUMMYFUNCTION("""COMPUTED_VALUE"""),"81o 49' 10""")</f>
        <v>81o 49' 10"</v>
      </c>
      <c r="M2111" s="2" t="str">
        <f>IFERROR(__xludf.DUMMYFUNCTION("""COMPUTED_VALUE"""),"Dandafaya,Hepka (Humla)")</f>
        <v>Dandafaya,Hepka (Humla)</v>
      </c>
    </row>
    <row r="2112">
      <c r="A2112" s="2">
        <f>IFERROR(__xludf.DUMMYFUNCTION("""COMPUTED_VALUE"""),2111.0)</f>
        <v>2111</v>
      </c>
      <c r="B2112" s="2" t="str">
        <f>IFERROR(__xludf.DUMMYFUNCTION("""COMPUTED_VALUE"""),"Himganga Likhu HEP")</f>
        <v>Himganga Likhu HEP</v>
      </c>
      <c r="C2112" s="2">
        <f>IFERROR(__xludf.DUMMYFUNCTION("""COMPUTED_VALUE"""),23.8)</f>
        <v>23.8</v>
      </c>
      <c r="D2112" s="2" t="str">
        <f>IFERROR(__xludf.DUMMYFUNCTION("""COMPUTED_VALUE"""),"Likhu Khola")</f>
        <v>Likhu Khola</v>
      </c>
      <c r="E2112" s="2">
        <f>IFERROR(__xludf.DUMMYFUNCTION("""COMPUTED_VALUE"""),6229.0)</f>
        <v>6229</v>
      </c>
      <c r="F2112" s="3">
        <f>IFERROR(__xludf.DUMMYFUNCTION("""COMPUTED_VALUE"""),63595.0)</f>
        <v>63595</v>
      </c>
      <c r="G2112" s="2" t="str">
        <f>IFERROR(__xludf.DUMMYFUNCTION("""COMPUTED_VALUE"""),"Indira Pant, Bijay Bista")</f>
        <v>Indira Pant, Bijay Bista</v>
      </c>
      <c r="H2112" s="2" t="str">
        <f>IFERROR(__xludf.DUMMYFUNCTION("""COMPUTED_VALUE"""),"Kathmandu, Indira Pant: 9851099659, Bijay Bist: 9841150187")</f>
        <v>Kathmandu, Indira Pant: 9851099659, Bijay Bist: 9841150187</v>
      </c>
      <c r="I2112" s="2" t="str">
        <f>IFERROR(__xludf.DUMMYFUNCTION("""COMPUTED_VALUE"""),"27o 15' 00""")</f>
        <v>27o 15' 00"</v>
      </c>
      <c r="J2112" s="2" t="str">
        <f>IFERROR(__xludf.DUMMYFUNCTION("""COMPUTED_VALUE"""),"27o 18' 30""")</f>
        <v>27o 18' 30"</v>
      </c>
      <c r="K2112" s="2" t="str">
        <f>IFERROR(__xludf.DUMMYFUNCTION("""COMPUTED_VALUE"""),"86o 13' 54""")</f>
        <v>86o 13' 54"</v>
      </c>
      <c r="L2112" s="2" t="str">
        <f>IFERROR(__xludf.DUMMYFUNCTION("""COMPUTED_VALUE"""),"86o 16' 24""")</f>
        <v>86o 16' 24"</v>
      </c>
      <c r="M2112" s="2" t="str">
        <f>IFERROR(__xludf.DUMMYFUNCTION("""COMPUTED_VALUE"""),"Kalikadevi,Palapu,Singhadevi (Okhaldhunga) Himganga (Ramechhap)")</f>
        <v>Kalikadevi,Palapu,Singhadevi (Okhaldhunga) Himganga (Ramechhap)</v>
      </c>
    </row>
    <row r="2113">
      <c r="A2113" s="2">
        <f>IFERROR(__xludf.DUMMYFUNCTION("""COMPUTED_VALUE"""),2112.0)</f>
        <v>2112</v>
      </c>
      <c r="B2113" s="2" t="str">
        <f>IFERROR(__xludf.DUMMYFUNCTION("""COMPUTED_VALUE"""),"Dudhkoshi V HEP")</f>
        <v>Dudhkoshi V HEP</v>
      </c>
      <c r="C2113" s="2">
        <f>IFERROR(__xludf.DUMMYFUNCTION("""COMPUTED_VALUE"""),48.0)</f>
        <v>48</v>
      </c>
      <c r="D2113" s="2" t="str">
        <f>IFERROR(__xludf.DUMMYFUNCTION("""COMPUTED_VALUE"""),"Dudhkoshi")</f>
        <v>Dudhkoshi</v>
      </c>
      <c r="E2113" s="2">
        <f>IFERROR(__xludf.DUMMYFUNCTION("""COMPUTED_VALUE"""),6255.0)</f>
        <v>6255</v>
      </c>
      <c r="F2113" s="3">
        <f>IFERROR(__xludf.DUMMYFUNCTION("""COMPUTED_VALUE"""),63595.0)</f>
        <v>63595</v>
      </c>
      <c r="G2113" s="2" t="str">
        <f>IFERROR(__xludf.DUMMYFUNCTION("""COMPUTED_VALUE"""),"Chilime Hydropower Company Limited")</f>
        <v>Chilime Hydropower Company Limited</v>
      </c>
      <c r="H2113" s="2" t="str">
        <f>IFERROR(__xludf.DUMMYFUNCTION("""COMPUTED_VALUE"""),"Dhumbarahi, Kathmandu, 01-4370720")</f>
        <v>Dhumbarahi, Kathmandu, 01-4370720</v>
      </c>
      <c r="I2113" s="2" t="str">
        <f>IFERROR(__xludf.DUMMYFUNCTION("""COMPUTED_VALUE"""),"27o 29' 30""")</f>
        <v>27o 29' 30"</v>
      </c>
      <c r="J2113" s="2" t="str">
        <f>IFERROR(__xludf.DUMMYFUNCTION("""COMPUTED_VALUE"""),"27o 33' 30""")</f>
        <v>27o 33' 30"</v>
      </c>
      <c r="K2113" s="2" t="str">
        <f>IFERROR(__xludf.DUMMYFUNCTION("""COMPUTED_VALUE"""),"86o 40' 00""")</f>
        <v>86o 40' 00"</v>
      </c>
      <c r="L2113" s="2" t="str">
        <f>IFERROR(__xludf.DUMMYFUNCTION("""COMPUTED_VALUE"""),"86o 45' 00""")</f>
        <v>86o 45' 00"</v>
      </c>
      <c r="M2113" s="2" t="str">
        <f>IFERROR(__xludf.DUMMYFUNCTION("""COMPUTED_VALUE"""),"Baku,Basa,Kaku (Solukhumbu)")</f>
        <v>Baku,Basa,Kaku (Solukhumbu)</v>
      </c>
    </row>
    <row r="2114">
      <c r="A2114" s="2">
        <f>IFERROR(__xludf.DUMMYFUNCTION("""COMPUTED_VALUE"""),2113.0)</f>
        <v>2113</v>
      </c>
      <c r="B2114" s="2" t="str">
        <f>IFERROR(__xludf.DUMMYFUNCTION("""COMPUTED_VALUE"""),"Dudhkoshi IV")</f>
        <v>Dudhkoshi IV</v>
      </c>
      <c r="C2114" s="2">
        <f>IFERROR(__xludf.DUMMYFUNCTION("""COMPUTED_VALUE"""),46.0)</f>
        <v>46</v>
      </c>
      <c r="D2114" s="2" t="str">
        <f>IFERROR(__xludf.DUMMYFUNCTION("""COMPUTED_VALUE"""),"Dudhkoshi")</f>
        <v>Dudhkoshi</v>
      </c>
      <c r="E2114" s="2">
        <f>IFERROR(__xludf.DUMMYFUNCTION("""COMPUTED_VALUE"""),6256.0)</f>
        <v>6256</v>
      </c>
      <c r="F2114" s="3">
        <f>IFERROR(__xludf.DUMMYFUNCTION("""COMPUTED_VALUE"""),63595.0)</f>
        <v>63595</v>
      </c>
      <c r="G2114" s="2" t="str">
        <f>IFERROR(__xludf.DUMMYFUNCTION("""COMPUTED_VALUE"""),"Chilime Hydropower Company Limited")</f>
        <v>Chilime Hydropower Company Limited</v>
      </c>
      <c r="H2114" s="2" t="str">
        <f>IFERROR(__xludf.DUMMYFUNCTION("""COMPUTED_VALUE"""),"Dhumbarahi, Kathmandu, 01-4370720")</f>
        <v>Dhumbarahi, Kathmandu, 01-4370720</v>
      </c>
      <c r="I2114" s="2" t="str">
        <f>IFERROR(__xludf.DUMMYFUNCTION("""COMPUTED_VALUE"""),"27o 27' 00""")</f>
        <v>27o 27' 00"</v>
      </c>
      <c r="J2114" s="2" t="str">
        <f>IFERROR(__xludf.DUMMYFUNCTION("""COMPUTED_VALUE"""),"27o 29' 30""")</f>
        <v>27o 29' 30"</v>
      </c>
      <c r="K2114" s="2" t="str">
        <f>IFERROR(__xludf.DUMMYFUNCTION("""COMPUTED_VALUE"""),"86o 40' 00""")</f>
        <v>86o 40' 00"</v>
      </c>
      <c r="L2114" s="2" t="str">
        <f>IFERROR(__xludf.DUMMYFUNCTION("""COMPUTED_VALUE"""),"86o 45' 00""")</f>
        <v>86o 45' 00"</v>
      </c>
      <c r="M2114" s="2" t="str">
        <f>IFERROR(__xludf.DUMMYFUNCTION("""COMPUTED_VALUE"""),"Baku,Deusa,Lokhim,Mabe(Pawai) (Solukhumbu)")</f>
        <v>Baku,Deusa,Lokhim,Mabe(Pawai) (Solukhumbu)</v>
      </c>
    </row>
    <row r="2115">
      <c r="A2115" s="2">
        <f>IFERROR(__xludf.DUMMYFUNCTION("""COMPUTED_VALUE"""),2114.0)</f>
        <v>2114</v>
      </c>
      <c r="B2115" s="2" t="str">
        <f>IFERROR(__xludf.DUMMYFUNCTION("""COMPUTED_VALUE"""),"Bauligad HEP")</f>
        <v>Bauligad HEP</v>
      </c>
      <c r="C2115" s="2">
        <f>IFERROR(__xludf.DUMMYFUNCTION("""COMPUTED_VALUE"""),6.9)</f>
        <v>6.9</v>
      </c>
      <c r="D2115" s="2" t="str">
        <f>IFERROR(__xludf.DUMMYFUNCTION("""COMPUTED_VALUE"""),"Bauli Gad")</f>
        <v>Bauli Gad</v>
      </c>
      <c r="E2115" s="2">
        <f>IFERROR(__xludf.DUMMYFUNCTION("""COMPUTED_VALUE"""),6313.0)</f>
        <v>6313</v>
      </c>
      <c r="F2115" s="3">
        <f>IFERROR(__xludf.DUMMYFUNCTION("""COMPUTED_VALUE"""),63599.0)</f>
        <v>63599</v>
      </c>
      <c r="G2115" s="2" t="str">
        <f>IFERROR(__xludf.DUMMYFUNCTION("""COMPUTED_VALUE"""),"Omega EnergyDeveloper Pvt. Ltd")</f>
        <v>Omega EnergyDeveloper Pvt. Ltd</v>
      </c>
      <c r="H2115" s="2" t="str">
        <f>IFERROR(__xludf.DUMMYFUNCTION("""COMPUTED_VALUE"""),"Kathmandu-4, 9858757757, 01-4436184")</f>
        <v>Kathmandu-4, 9858757757, 01-4436184</v>
      </c>
      <c r="I2115" s="2" t="str">
        <f>IFERROR(__xludf.DUMMYFUNCTION("""COMPUTED_VALUE"""),"29o 32' 42""")</f>
        <v>29o 32' 42"</v>
      </c>
      <c r="J2115" s="2" t="str">
        <f>IFERROR(__xludf.DUMMYFUNCTION("""COMPUTED_VALUE"""),"29o 35' 11""")</f>
        <v>29o 35' 11"</v>
      </c>
      <c r="K2115" s="2" t="str">
        <f>IFERROR(__xludf.DUMMYFUNCTION("""COMPUTED_VALUE"""),"81o 09' 27""")</f>
        <v>81o 09' 27"</v>
      </c>
      <c r="L2115" s="2" t="str">
        <f>IFERROR(__xludf.DUMMYFUNCTION("""COMPUTED_VALUE"""),"81o 12' 01""")</f>
        <v>81o 12' 01"</v>
      </c>
      <c r="M2115" s="2" t="str">
        <f>IFERROR(__xludf.DUMMYFUNCTION("""COMPUTED_VALUE"""),"Rithapata (Bajhang)")</f>
        <v>Rithapata (Bajhang)</v>
      </c>
    </row>
    <row r="2116">
      <c r="A2116" s="2">
        <f>IFERROR(__xludf.DUMMYFUNCTION("""COMPUTED_VALUE"""),2115.0)</f>
        <v>2115</v>
      </c>
      <c r="B2116" s="2" t="str">
        <f>IFERROR(__xludf.DUMMYFUNCTION("""COMPUTED_VALUE"""),"Manang- Chame Storage HEP")</f>
        <v>Manang- Chame Storage HEP</v>
      </c>
      <c r="C2116" s="2">
        <f>IFERROR(__xludf.DUMMYFUNCTION("""COMPUTED_VALUE"""),1772.0)</f>
        <v>1772</v>
      </c>
      <c r="D2116" s="2" t="str">
        <f>IFERROR(__xludf.DUMMYFUNCTION("""COMPUTED_VALUE"""),"Marsyangdi")</f>
        <v>Marsyangdi</v>
      </c>
      <c r="E2116" s="2">
        <f>IFERROR(__xludf.DUMMYFUNCTION("""COMPUTED_VALUE"""),6371.0)</f>
        <v>6371</v>
      </c>
      <c r="F2116" s="3">
        <f>IFERROR(__xludf.DUMMYFUNCTION("""COMPUTED_VALUE"""),63602.0)</f>
        <v>63602</v>
      </c>
      <c r="G2116" s="2" t="str">
        <f>IFERROR(__xludf.DUMMYFUNCTION("""COMPUTED_VALUE"""),"Nepal Electricity Authority")</f>
        <v>Nepal Electricity Authority</v>
      </c>
      <c r="H2116" s="2" t="str">
        <f>IFERROR(__xludf.DUMMYFUNCTION("""COMPUTED_VALUE"""),"Durbarmarg, Kathmandu")</f>
        <v>Durbarmarg, Kathmandu</v>
      </c>
      <c r="I2116" s="2" t="str">
        <f>IFERROR(__xludf.DUMMYFUNCTION("""COMPUTED_VALUE"""),"28o 32' 33""")</f>
        <v>28o 32' 33"</v>
      </c>
      <c r="J2116" s="2" t="str">
        <f>IFERROR(__xludf.DUMMYFUNCTION("""COMPUTED_VALUE"""),"28o 40' 40""")</f>
        <v>28o 40' 40"</v>
      </c>
      <c r="K2116" s="2" t="str">
        <f>IFERROR(__xludf.DUMMYFUNCTION("""COMPUTED_VALUE"""),"84o 03' 40""")</f>
        <v>84o 03' 40"</v>
      </c>
      <c r="L2116" s="2" t="str">
        <f>IFERROR(__xludf.DUMMYFUNCTION("""COMPUTED_VALUE"""),"84o 16' 00""")</f>
        <v>84o 16' 00"</v>
      </c>
      <c r="M2116" s="2" t="str">
        <f>IFERROR(__xludf.DUMMYFUNCTION("""COMPUTED_VALUE"""),"Dhyaru,Chame,Manang,Nar,Pisng,Bhakra (Manang)")</f>
        <v>Dhyaru,Chame,Manang,Nar,Pisng,Bhakra (Manang)</v>
      </c>
    </row>
    <row r="2117">
      <c r="A2117" s="2">
        <f>IFERROR(__xludf.DUMMYFUNCTION("""COMPUTED_VALUE"""),2116.0)</f>
        <v>2116</v>
      </c>
      <c r="B2117" s="2" t="str">
        <f>IFERROR(__xludf.DUMMYFUNCTION("""COMPUTED_VALUE"""),"Middle Chameliya HEP")</f>
        <v>Middle Chameliya HEP</v>
      </c>
      <c r="C2117" s="2">
        <f>IFERROR(__xludf.DUMMYFUNCTION("""COMPUTED_VALUE"""),9.86)</f>
        <v>9.86</v>
      </c>
      <c r="D2117" s="2" t="str">
        <f>IFERROR(__xludf.DUMMYFUNCTION("""COMPUTED_VALUE"""),"Chameliya Khola")</f>
        <v>Chameliya Khola</v>
      </c>
      <c r="E2117" s="2">
        <f>IFERROR(__xludf.DUMMYFUNCTION("""COMPUTED_VALUE"""),6396.0)</f>
        <v>6396</v>
      </c>
      <c r="F2117" s="3">
        <f>IFERROR(__xludf.DUMMYFUNCTION("""COMPUTED_VALUE"""),63603.0)</f>
        <v>63603</v>
      </c>
      <c r="G2117" s="2" t="str">
        <f>IFERROR(__xludf.DUMMYFUNCTION("""COMPUTED_VALUE"""),"Darchula Power Pvt. Ltd")</f>
        <v>Darchula Power Pvt. Ltd</v>
      </c>
      <c r="H2117" s="2" t="str">
        <f>IFERROR(__xludf.DUMMYFUNCTION("""COMPUTED_VALUE"""),"Kathmandu")</f>
        <v>Kathmandu</v>
      </c>
      <c r="I2117" s="2" t="str">
        <f>IFERROR(__xludf.DUMMYFUNCTION("""COMPUTED_VALUE"""),"29o 44' 26""")</f>
        <v>29o 44' 26"</v>
      </c>
      <c r="J2117" s="2" t="str">
        <f>IFERROR(__xludf.DUMMYFUNCTION("""COMPUTED_VALUE"""),"29o 45' 39""")</f>
        <v>29o 45' 39"</v>
      </c>
      <c r="K2117" s="2" t="str">
        <f>IFERROR(__xludf.DUMMYFUNCTION("""COMPUTED_VALUE"""),"80o 43' 52""")</f>
        <v>80o 43' 52"</v>
      </c>
      <c r="L2117" s="2" t="str">
        <f>IFERROR(__xludf.DUMMYFUNCTION("""COMPUTED_VALUE"""),"80o 46' 46""")</f>
        <v>80o 46' 46"</v>
      </c>
      <c r="M2117" s="2" t="str">
        <f>IFERROR(__xludf.DUMMYFUNCTION("""COMPUTED_VALUE"""),"Latinath,Sikhar,Khandeswori (Darchula)")</f>
        <v>Latinath,Sikhar,Khandeswori (Darchula)</v>
      </c>
    </row>
    <row r="2118">
      <c r="A2118" s="2">
        <f>IFERROR(__xludf.DUMMYFUNCTION("""COMPUTED_VALUE"""),2117.0)</f>
        <v>2117</v>
      </c>
      <c r="B2118" s="2" t="str">
        <f>IFERROR(__xludf.DUMMYFUNCTION("""COMPUTED_VALUE"""),"Ghustung HEP")</f>
        <v>Ghustung HEP</v>
      </c>
      <c r="C2118" s="2">
        <f>IFERROR(__xludf.DUMMYFUNCTION("""COMPUTED_VALUE"""),18.57)</f>
        <v>18.57</v>
      </c>
      <c r="D2118" s="2" t="str">
        <f>IFERROR(__xludf.DUMMYFUNCTION("""COMPUTED_VALUE"""),"Ghustung")</f>
        <v>Ghustung</v>
      </c>
      <c r="E2118" s="2">
        <f>IFERROR(__xludf.DUMMYFUNCTION("""COMPUTED_VALUE"""),6397.0)</f>
        <v>6397</v>
      </c>
      <c r="F2118" s="3">
        <f>IFERROR(__xludf.DUMMYFUNCTION("""COMPUTED_VALUE"""),63603.0)</f>
        <v>63603</v>
      </c>
      <c r="G2118" s="2" t="str">
        <f>IFERROR(__xludf.DUMMYFUNCTION("""COMPUTED_VALUE"""),"Dordi Khola Jalvidyut Company Limited")</f>
        <v>Dordi Khola Jalvidyut Company Limited</v>
      </c>
      <c r="H2118" s="2" t="str">
        <f>IFERROR(__xludf.DUMMYFUNCTION("""COMPUTED_VALUE"""),"Blue Star Complex, Tripureshwar, Kathmandu, Ph. No. 01-4232748")</f>
        <v>Blue Star Complex, Tripureshwar, Kathmandu, Ph. No. 01-4232748</v>
      </c>
      <c r="I2118" s="2" t="str">
        <f>IFERROR(__xludf.DUMMYFUNCTION("""COMPUTED_VALUE"""),"28o 36' 00""")</f>
        <v>28o 36' 00"</v>
      </c>
      <c r="J2118" s="2" t="str">
        <f>IFERROR(__xludf.DUMMYFUNCTION("""COMPUTED_VALUE"""),"28o 39' 00""")</f>
        <v>28o 39' 00"</v>
      </c>
      <c r="K2118" s="2" t="str">
        <f>IFERROR(__xludf.DUMMYFUNCTION("""COMPUTED_VALUE"""),"83o 07' 30""")</f>
        <v>83o 07' 30"</v>
      </c>
      <c r="L2118" s="2" t="str">
        <f>IFERROR(__xludf.DUMMYFUNCTION("""COMPUTED_VALUE"""),"83o 13' 00""")</f>
        <v>83o 13' 00"</v>
      </c>
      <c r="M2118" s="2"/>
    </row>
    <row r="2119">
      <c r="A2119" s="2">
        <f>IFERROR(__xludf.DUMMYFUNCTION("""COMPUTED_VALUE"""),2118.0)</f>
        <v>2118</v>
      </c>
      <c r="B2119" s="2" t="str">
        <f>IFERROR(__xludf.DUMMYFUNCTION("""COMPUTED_VALUE"""),"Tarap Khola HEP")</f>
        <v>Tarap Khola HEP</v>
      </c>
      <c r="C2119" s="2">
        <f>IFERROR(__xludf.DUMMYFUNCTION("""COMPUTED_VALUE"""),60.01)</f>
        <v>60.01</v>
      </c>
      <c r="D2119" s="2" t="str">
        <f>IFERROR(__xludf.DUMMYFUNCTION("""COMPUTED_VALUE"""),"Tarap")</f>
        <v>Tarap</v>
      </c>
      <c r="E2119" s="2">
        <f>IFERROR(__xludf.DUMMYFUNCTION("""COMPUTED_VALUE"""),6424.0)</f>
        <v>6424</v>
      </c>
      <c r="F2119" s="3">
        <f>IFERROR(__xludf.DUMMYFUNCTION("""COMPUTED_VALUE"""),63606.0)</f>
        <v>63606</v>
      </c>
      <c r="G2119" s="2" t="str">
        <f>IFERROR(__xludf.DUMMYFUNCTION("""COMPUTED_VALUE"""),"Country Development Company Pvt. Ltd.")</f>
        <v>Country Development Company Pvt. Ltd.</v>
      </c>
      <c r="H2119" s="2" t="str">
        <f>IFERROR(__xludf.DUMMYFUNCTION("""COMPUTED_VALUE"""),"Balaju, Kathmandu Deepak Paudel:9851234339")</f>
        <v>Balaju, Kathmandu Deepak Paudel:9851234339</v>
      </c>
      <c r="I2119" s="2" t="str">
        <f>IFERROR(__xludf.DUMMYFUNCTION("""COMPUTED_VALUE"""),"28o 53' 27""")</f>
        <v>28o 53' 27"</v>
      </c>
      <c r="J2119" s="2" t="str">
        <f>IFERROR(__xludf.DUMMYFUNCTION("""COMPUTED_VALUE"""),"28o 58' 20""")</f>
        <v>28o 58' 20"</v>
      </c>
      <c r="K2119" s="2" t="str">
        <f>IFERROR(__xludf.DUMMYFUNCTION("""COMPUTED_VALUE"""),"83o 00' 53""")</f>
        <v>83o 00' 53"</v>
      </c>
      <c r="L2119" s="2" t="str">
        <f>IFERROR(__xludf.DUMMYFUNCTION("""COMPUTED_VALUE"""),"83o 05' 49""")</f>
        <v>83o 05' 49"</v>
      </c>
      <c r="M2119" s="2" t="str">
        <f>IFERROR(__xludf.DUMMYFUNCTION("""COMPUTED_VALUE"""),"Mukot (Dolpa)")</f>
        <v>Mukot (Dolpa)</v>
      </c>
    </row>
    <row r="2120">
      <c r="A2120" s="2">
        <f>IFERROR(__xludf.DUMMYFUNCTION("""COMPUTED_VALUE"""),2119.0)</f>
        <v>2119</v>
      </c>
      <c r="B2120" s="2" t="str">
        <f>IFERROR(__xludf.DUMMYFUNCTION("""COMPUTED_VALUE"""),"sisuwa")</f>
        <v>sisuwa</v>
      </c>
      <c r="C2120" s="2">
        <f>IFERROR(__xludf.DUMMYFUNCTION("""COMPUTED_VALUE"""),4.75)</f>
        <v>4.75</v>
      </c>
      <c r="D2120" s="2" t="str">
        <f>IFERROR(__xludf.DUMMYFUNCTION("""COMPUTED_VALUE"""),"Sisuwa")</f>
        <v>Sisuwa</v>
      </c>
      <c r="E2120" s="2">
        <f>IFERROR(__xludf.DUMMYFUNCTION("""COMPUTED_VALUE"""),6539.0)</f>
        <v>6539</v>
      </c>
      <c r="F2120" s="3">
        <f>IFERROR(__xludf.DUMMYFUNCTION("""COMPUTED_VALUE"""),63610.0)</f>
        <v>63610</v>
      </c>
      <c r="G2120" s="2" t="str">
        <f>IFERROR(__xludf.DUMMYFUNCTION("""COMPUTED_VALUE"""),"Indra Bahadur Bista")</f>
        <v>Indra Bahadur Bista</v>
      </c>
      <c r="H2120" s="2" t="str">
        <f>IFERROR(__xludf.DUMMYFUNCTION("""COMPUTED_VALUE"""),"Hadhade, Gulmi")</f>
        <v>Hadhade, Gulmi</v>
      </c>
      <c r="I2120" s="2" t="str">
        <f>IFERROR(__xludf.DUMMYFUNCTION("""COMPUTED_VALUE"""),"27o 27' 54""")</f>
        <v>27o 27' 54"</v>
      </c>
      <c r="J2120" s="2" t="str">
        <f>IFERROR(__xludf.DUMMYFUNCTION("""COMPUTED_VALUE"""),"27o 29' 04""")</f>
        <v>27o 29' 04"</v>
      </c>
      <c r="K2120" s="2" t="str">
        <f>IFERROR(__xludf.DUMMYFUNCTION("""COMPUTED_VALUE"""),"87o 02' 29""")</f>
        <v>87o 02' 29"</v>
      </c>
      <c r="L2120" s="2" t="str">
        <f>IFERROR(__xludf.DUMMYFUNCTION("""COMPUTED_VALUE"""),"87o 04' 57""")</f>
        <v>87o 04' 57"</v>
      </c>
      <c r="M2120" s="2" t="str">
        <f>IFERROR(__xludf.DUMMYFUNCTION("""COMPUTED_VALUE"""),"Bala,Sisuwakhola (Sankhuwasabha)")</f>
        <v>Bala,Sisuwakhola (Sankhuwasabha)</v>
      </c>
    </row>
    <row r="2121">
      <c r="A2121" s="2">
        <f>IFERROR(__xludf.DUMMYFUNCTION("""COMPUTED_VALUE"""),2120.0)</f>
        <v>2120</v>
      </c>
      <c r="B2121" s="2" t="str">
        <f>IFERROR(__xludf.DUMMYFUNCTION("""COMPUTED_VALUE"""),"Lawan Saharta Bheri HPP")</f>
        <v>Lawan Saharta Bheri HPP</v>
      </c>
      <c r="C2121" s="2">
        <f>IFERROR(__xludf.DUMMYFUNCTION("""COMPUTED_VALUE"""),85.39)</f>
        <v>85.39</v>
      </c>
      <c r="D2121" s="2" t="str">
        <f>IFERROR(__xludf.DUMMYFUNCTION("""COMPUTED_VALUE"""),"Bheri")</f>
        <v>Bheri</v>
      </c>
      <c r="E2121" s="2">
        <f>IFERROR(__xludf.DUMMYFUNCTION("""COMPUTED_VALUE"""),6543.0)</f>
        <v>6543</v>
      </c>
      <c r="F2121" s="3">
        <f>IFERROR(__xludf.DUMMYFUNCTION("""COMPUTED_VALUE"""),63610.0)</f>
        <v>63610</v>
      </c>
      <c r="G2121" s="2" t="str">
        <f>IFERROR(__xludf.DUMMYFUNCTION("""COMPUTED_VALUE"""),"Dugar Alternative Energy Pvt Ltd")</f>
        <v>Dugar Alternative Energy Pvt Ltd</v>
      </c>
      <c r="H2121" s="2" t="str">
        <f>IFERROR(__xludf.DUMMYFUNCTION("""COMPUTED_VALUE"""),"kathmandu")</f>
        <v>kathmandu</v>
      </c>
      <c r="I2121" s="2" t="str">
        <f>IFERROR(__xludf.DUMMYFUNCTION("""COMPUTED_VALUE"""),"28o 52' 26""")</f>
        <v>28o 52' 26"</v>
      </c>
      <c r="J2121" s="2" t="str">
        <f>IFERROR(__xludf.DUMMYFUNCTION("""COMPUTED_VALUE"""),"28o 55' 07""")</f>
        <v>28o 55' 07"</v>
      </c>
      <c r="K2121" s="2" t="str">
        <f>IFERROR(__xludf.DUMMYFUNCTION("""COMPUTED_VALUE"""),"82o 57' 52""")</f>
        <v>82o 57' 52"</v>
      </c>
      <c r="L2121" s="2" t="str">
        <f>IFERROR(__xludf.DUMMYFUNCTION("""COMPUTED_VALUE"""),"83o 02' 08""")</f>
        <v>83o 02' 08"</v>
      </c>
      <c r="M2121" s="2" t="str">
        <f>IFERROR(__xludf.DUMMYFUNCTION("""COMPUTED_VALUE"""),"Lawan,Dho (Dolpa)")</f>
        <v>Lawan,Dho (Dolpa)</v>
      </c>
    </row>
    <row r="2122">
      <c r="A2122" s="2">
        <f>IFERROR(__xludf.DUMMYFUNCTION("""COMPUTED_VALUE"""),2121.0)</f>
        <v>2121</v>
      </c>
      <c r="B2122" s="2" t="str">
        <f>IFERROR(__xludf.DUMMYFUNCTION("""COMPUTED_VALUE"""),"Risal Khola HEP")</f>
        <v>Risal Khola HEP</v>
      </c>
      <c r="C2122" s="2">
        <f>IFERROR(__xludf.DUMMYFUNCTION("""COMPUTED_VALUE"""),0.996)</f>
        <v>0.996</v>
      </c>
      <c r="D2122" s="2" t="str">
        <f>IFERROR(__xludf.DUMMYFUNCTION("""COMPUTED_VALUE"""),"Risal")</f>
        <v>Risal</v>
      </c>
      <c r="E2122" s="2">
        <f>IFERROR(__xludf.DUMMYFUNCTION("""COMPUTED_VALUE"""),6743.0)</f>
        <v>6743</v>
      </c>
      <c r="F2122" s="3">
        <f>IFERROR(__xludf.DUMMYFUNCTION("""COMPUTED_VALUE"""),63617.0)</f>
        <v>63617</v>
      </c>
      <c r="G2122" s="2" t="str">
        <f>IFERROR(__xludf.DUMMYFUNCTION("""COMPUTED_VALUE"""),"CEDB Hydrofund Limited")</f>
        <v>CEDB Hydrofund Limited</v>
      </c>
      <c r="H2122" s="2" t="str">
        <f>IFERROR(__xludf.DUMMYFUNCTION("""COMPUTED_VALUE"""),"Blue Star Complex Tripureshwor, Dipendra Lal Karn 9841702949")</f>
        <v>Blue Star Complex Tripureshwor, Dipendra Lal Karn 9841702949</v>
      </c>
      <c r="I2122" s="2" t="str">
        <f>IFERROR(__xludf.DUMMYFUNCTION("""COMPUTED_VALUE"""),"28o 36' 22""")</f>
        <v>28o 36' 22"</v>
      </c>
      <c r="J2122" s="2" t="str">
        <f>IFERROR(__xludf.DUMMYFUNCTION("""COMPUTED_VALUE"""),"28o 37' 02""")</f>
        <v>28o 37' 02"</v>
      </c>
      <c r="K2122" s="2" t="str">
        <f>IFERROR(__xludf.DUMMYFUNCTION("""COMPUTED_VALUE"""),"82o 38' 18""")</f>
        <v>82o 38' 18"</v>
      </c>
      <c r="L2122" s="2" t="str">
        <f>IFERROR(__xludf.DUMMYFUNCTION("""COMPUTED_VALUE"""),"82o 39' 12""")</f>
        <v>82o 39' 12"</v>
      </c>
      <c r="M2122" s="2"/>
    </row>
    <row r="2123">
      <c r="A2123" s="2">
        <f>IFERROR(__xludf.DUMMYFUNCTION("""COMPUTED_VALUE"""),2122.0)</f>
        <v>2122</v>
      </c>
      <c r="B2123" s="2" t="str">
        <f>IFERROR(__xludf.DUMMYFUNCTION("""COMPUTED_VALUE"""),"Dhaula Khola HEP")</f>
        <v>Dhaula Khola HEP</v>
      </c>
      <c r="C2123" s="2">
        <f>IFERROR(__xludf.DUMMYFUNCTION("""COMPUTED_VALUE"""),4.99)</f>
        <v>4.99</v>
      </c>
      <c r="D2123" s="2" t="str">
        <f>IFERROR(__xludf.DUMMYFUNCTION("""COMPUTED_VALUE"""),"Dhaula")</f>
        <v>Dhaula</v>
      </c>
      <c r="E2123" s="2">
        <f>IFERROR(__xludf.DUMMYFUNCTION("""COMPUTED_VALUE"""),6754.0)</f>
        <v>6754</v>
      </c>
      <c r="F2123" s="3">
        <f>IFERROR(__xludf.DUMMYFUNCTION("""COMPUTED_VALUE"""),63617.0)</f>
        <v>63617</v>
      </c>
      <c r="G2123" s="2" t="str">
        <f>IFERROR(__xludf.DUMMYFUNCTION("""COMPUTED_VALUE"""),"Dhaula Khola Hydropower Pvt. Ltd")</f>
        <v>Dhaula Khola Hydropower Pvt. Ltd</v>
      </c>
      <c r="H2123" s="2" t="str">
        <f>IFERROR(__xludf.DUMMYFUNCTION("""COMPUTED_VALUE"""),"Kathmandu-10")</f>
        <v>Kathmandu-10</v>
      </c>
      <c r="I2123" s="2" t="str">
        <f>IFERROR(__xludf.DUMMYFUNCTION("""COMPUTED_VALUE"""),"27o 34' 05""")</f>
        <v>27o 34' 05"</v>
      </c>
      <c r="J2123" s="2" t="str">
        <f>IFERROR(__xludf.DUMMYFUNCTION("""COMPUTED_VALUE"""),"28o 35' 25""")</f>
        <v>28o 35' 25"</v>
      </c>
      <c r="K2123" s="2" t="str">
        <f>IFERROR(__xludf.DUMMYFUNCTION("""COMPUTED_VALUE"""),"83o 13' 38""")</f>
        <v>83o 13' 38"</v>
      </c>
      <c r="L2123" s="2" t="str">
        <f>IFERROR(__xludf.DUMMYFUNCTION("""COMPUTED_VALUE"""),"83o 16' 38""")</f>
        <v>83o 16' 38"</v>
      </c>
      <c r="M2123" s="2" t="str">
        <f>IFERROR(__xludf.DUMMYFUNCTION("""COMPUTED_VALUE"""),"Gurja (Myagdi)")</f>
        <v>Gurja (Myagdi)</v>
      </c>
    </row>
    <row r="2124">
      <c r="A2124" s="2">
        <f>IFERROR(__xludf.DUMMYFUNCTION("""COMPUTED_VALUE"""),2123.0)</f>
        <v>2123</v>
      </c>
      <c r="B2124" s="2" t="str">
        <f>IFERROR(__xludf.DUMMYFUNCTION("""COMPUTED_VALUE"""),"Bajhang Upper Seti HEP")</f>
        <v>Bajhang Upper Seti HEP</v>
      </c>
      <c r="C2124" s="2">
        <f>IFERROR(__xludf.DUMMYFUNCTION("""COMPUTED_VALUE"""),10.0)</f>
        <v>10</v>
      </c>
      <c r="D2124" s="2" t="str">
        <f>IFERROR(__xludf.DUMMYFUNCTION("""COMPUTED_VALUE"""),"Seti")</f>
        <v>Seti</v>
      </c>
      <c r="E2124" s="2">
        <f>IFERROR(__xludf.DUMMYFUNCTION("""COMPUTED_VALUE"""),6768.0)</f>
        <v>6768</v>
      </c>
      <c r="F2124" s="3">
        <f>IFERROR(__xludf.DUMMYFUNCTION("""COMPUTED_VALUE"""),63617.0)</f>
        <v>63617</v>
      </c>
      <c r="G2124" s="2" t="str">
        <f>IFERROR(__xludf.DUMMYFUNCTION("""COMPUTED_VALUE"""),"Nepal Power Venture Pvt. Ltd")</f>
        <v>Nepal Power Venture Pvt. Ltd</v>
      </c>
      <c r="H2124" s="2" t="str">
        <f>IFERROR(__xludf.DUMMYFUNCTION("""COMPUTED_VALUE"""),"Thapathali, Kathmandu,Nabin Kumar Singh 9818416849")</f>
        <v>Thapathali, Kathmandu,Nabin Kumar Singh 9818416849</v>
      </c>
      <c r="I2124" s="2" t="str">
        <f>IFERROR(__xludf.DUMMYFUNCTION("""COMPUTED_VALUE"""),"29o 46' 05""")</f>
        <v>29o 46' 05"</v>
      </c>
      <c r="J2124" s="2" t="str">
        <f>IFERROR(__xludf.DUMMYFUNCTION("""COMPUTED_VALUE"""),"29o 48' 50""")</f>
        <v>29o 48' 50"</v>
      </c>
      <c r="K2124" s="2" t="str">
        <f>IFERROR(__xludf.DUMMYFUNCTION("""COMPUTED_VALUE"""),"81o 15' 00""")</f>
        <v>81o 15' 00"</v>
      </c>
      <c r="L2124" s="2" t="str">
        <f>IFERROR(__xludf.DUMMYFUNCTION("""COMPUTED_VALUE"""),"81o 18' 45""")</f>
        <v>81o 18' 45"</v>
      </c>
      <c r="M2124" s="2" t="str">
        <f>IFERROR(__xludf.DUMMYFUNCTION("""COMPUTED_VALUE"""),"Kanda (Bajhang)")</f>
        <v>Kanda (Bajhang)</v>
      </c>
    </row>
    <row r="2125">
      <c r="A2125" s="2">
        <f>IFERROR(__xludf.DUMMYFUNCTION("""COMPUTED_VALUE"""),2124.0)</f>
        <v>2124</v>
      </c>
      <c r="B2125" s="2" t="str">
        <f>IFERROR(__xludf.DUMMYFUNCTION("""COMPUTED_VALUE"""),"Lower Liping Khola Cascade HEP")</f>
        <v>Lower Liping Khola Cascade HEP</v>
      </c>
      <c r="C2125" s="2">
        <f>IFERROR(__xludf.DUMMYFUNCTION("""COMPUTED_VALUE"""),5.0)</f>
        <v>5</v>
      </c>
      <c r="D2125" s="2" t="str">
        <f>IFERROR(__xludf.DUMMYFUNCTION("""COMPUTED_VALUE"""),"Liping")</f>
        <v>Liping</v>
      </c>
      <c r="E2125" s="2">
        <f>IFERROR(__xludf.DUMMYFUNCTION("""COMPUTED_VALUE"""),6821.0)</f>
        <v>6821</v>
      </c>
      <c r="F2125" s="3">
        <f>IFERROR(__xludf.DUMMYFUNCTION("""COMPUTED_VALUE"""),63620.0)</f>
        <v>63620</v>
      </c>
      <c r="G2125" s="2" t="str">
        <f>IFERROR(__xludf.DUMMYFUNCTION("""COMPUTED_VALUE"""),"Him River Power Pvt. Ltd")</f>
        <v>Him River Power Pvt. Ltd</v>
      </c>
      <c r="H2125" s="2" t="str">
        <f>IFERROR(__xludf.DUMMYFUNCTION("""COMPUTED_VALUE"""),"01-4441535, GPO Box: 3797, Fax: 01-4435714")</f>
        <v>01-4441535, GPO Box: 3797, Fax: 01-4435714</v>
      </c>
      <c r="I2125" s="2" t="str">
        <f>IFERROR(__xludf.DUMMYFUNCTION("""COMPUTED_VALUE"""),"27o 58' 11""")</f>
        <v>27o 58' 11"</v>
      </c>
      <c r="J2125" s="2" t="str">
        <f>IFERROR(__xludf.DUMMYFUNCTION("""COMPUTED_VALUE"""),"27o 58' 25""")</f>
        <v>27o 58' 25"</v>
      </c>
      <c r="K2125" s="2" t="str">
        <f>IFERROR(__xludf.DUMMYFUNCTION("""COMPUTED_VALUE"""),"85o 57' 21""")</f>
        <v>85o 57' 21"</v>
      </c>
      <c r="L2125" s="2" t="str">
        <f>IFERROR(__xludf.DUMMYFUNCTION("""COMPUTED_VALUE"""),"85o 57' 44""")</f>
        <v>85o 57' 44"</v>
      </c>
      <c r="M2125" s="2" t="str">
        <f>IFERROR(__xludf.DUMMYFUNCTION("""COMPUTED_VALUE"""),"Tatopani (Sindhupalchok)")</f>
        <v>Tatopani (Sindhupalchok)</v>
      </c>
    </row>
    <row r="2126">
      <c r="A2126" s="2">
        <f>IFERROR(__xludf.DUMMYFUNCTION("""COMPUTED_VALUE"""),2125.0)</f>
        <v>2125</v>
      </c>
      <c r="B2126" s="2" t="str">
        <f>IFERROR(__xludf.DUMMYFUNCTION("""COMPUTED_VALUE"""),"Pelma Sani Bheri HEP")</f>
        <v>Pelma Sani Bheri HEP</v>
      </c>
      <c r="C2126" s="2">
        <f>IFERROR(__xludf.DUMMYFUNCTION("""COMPUTED_VALUE"""),92.0)</f>
        <v>92</v>
      </c>
      <c r="D2126" s="2" t="str">
        <f>IFERROR(__xludf.DUMMYFUNCTION("""COMPUTED_VALUE"""),"Pelma")</f>
        <v>Pelma</v>
      </c>
      <c r="E2126" s="2">
        <f>IFERROR(__xludf.DUMMYFUNCTION("""COMPUTED_VALUE"""),6841.0)</f>
        <v>6841</v>
      </c>
      <c r="F2126" s="3">
        <f>IFERROR(__xludf.DUMMYFUNCTION("""COMPUTED_VALUE"""),63620.0)</f>
        <v>63620</v>
      </c>
      <c r="G2126" s="2" t="str">
        <f>IFERROR(__xludf.DUMMYFUNCTION("""COMPUTED_VALUE"""),"RM Investment Company Pvt. Ltd.")</f>
        <v>RM Investment Company Pvt. Ltd.</v>
      </c>
      <c r="H2126" s="2" t="str">
        <f>IFERROR(__xludf.DUMMYFUNCTION("""COMPUTED_VALUE"""),"New Baneshwor, Kathmandu 01-4781851")</f>
        <v>New Baneshwor, Kathmandu 01-4781851</v>
      </c>
      <c r="I2126" s="2" t="str">
        <f>IFERROR(__xludf.DUMMYFUNCTION("""COMPUTED_VALUE"""),"28o 36' 00""")</f>
        <v>28o 36' 00"</v>
      </c>
      <c r="J2126" s="2" t="str">
        <f>IFERROR(__xludf.DUMMYFUNCTION("""COMPUTED_VALUE"""),"28o 45' 00""")</f>
        <v>28o 45' 00"</v>
      </c>
      <c r="K2126" s="2" t="str">
        <f>IFERROR(__xludf.DUMMYFUNCTION("""COMPUTED_VALUE"""),"82o 45' 00""")</f>
        <v>82o 45' 00"</v>
      </c>
      <c r="L2126" s="2" t="str">
        <f>IFERROR(__xludf.DUMMYFUNCTION("""COMPUTED_VALUE"""),"83o 00' 00""")</f>
        <v>83o 00' 00"</v>
      </c>
      <c r="M2126" s="2"/>
    </row>
    <row r="2127">
      <c r="A2127" s="2">
        <f>IFERROR(__xludf.DUMMYFUNCTION("""COMPUTED_VALUE"""),2126.0)</f>
        <v>2126</v>
      </c>
      <c r="B2127" s="2" t="str">
        <f>IFERROR(__xludf.DUMMYFUNCTION("""COMPUTED_VALUE"""),"Chhahare Khola HEP")</f>
        <v>Chhahare Khola HEP</v>
      </c>
      <c r="C2127" s="2">
        <f>IFERROR(__xludf.DUMMYFUNCTION("""COMPUTED_VALUE"""),13.6)</f>
        <v>13.6</v>
      </c>
      <c r="D2127" s="2" t="str">
        <f>IFERROR(__xludf.DUMMYFUNCTION("""COMPUTED_VALUE"""),"Chhahare")</f>
        <v>Chhahare</v>
      </c>
      <c r="E2127" s="2">
        <f>IFERROR(__xludf.DUMMYFUNCTION("""COMPUTED_VALUE"""),7094.0)</f>
        <v>7094</v>
      </c>
      <c r="F2127" s="3">
        <f>IFERROR(__xludf.DUMMYFUNCTION("""COMPUTED_VALUE"""),63632.0)</f>
        <v>63632</v>
      </c>
      <c r="G2127" s="2" t="str">
        <f>IFERROR(__xludf.DUMMYFUNCTION("""COMPUTED_VALUE"""),"Sayapatri-Nyadi Hydropower pvt. Ltd")</f>
        <v>Sayapatri-Nyadi Hydropower pvt. Ltd</v>
      </c>
      <c r="H2127" s="2" t="str">
        <f>IFERROR(__xludf.DUMMYFUNCTION("""COMPUTED_VALUE"""),"Kathmandu, 9841599452, 014464508")</f>
        <v>Kathmandu, 9841599452, 014464508</v>
      </c>
      <c r="I2127" s="2" t="str">
        <f>IFERROR(__xludf.DUMMYFUNCTION("""COMPUTED_VALUE"""),"28o 25' 00""")</f>
        <v>28o 25' 00"</v>
      </c>
      <c r="J2127" s="2" t="str">
        <f>IFERROR(__xludf.DUMMYFUNCTION("""COMPUTED_VALUE"""),"28o 27' 07""")</f>
        <v>28o 27' 07"</v>
      </c>
      <c r="K2127" s="2" t="str">
        <f>IFERROR(__xludf.DUMMYFUNCTION("""COMPUTED_VALUE"""),"84o 24' 00""")</f>
        <v>84o 24' 00"</v>
      </c>
      <c r="L2127" s="2" t="str">
        <f>IFERROR(__xludf.DUMMYFUNCTION("""COMPUTED_VALUE"""),"84o 26' 20""")</f>
        <v>84o 26' 20"</v>
      </c>
      <c r="M2127" s="2" t="str">
        <f>IFERROR(__xludf.DUMMYFUNCTION("""COMPUTED_VALUE"""),"Ghermu (Lamjung)")</f>
        <v>Ghermu (Lamjung)</v>
      </c>
    </row>
    <row r="2128">
      <c r="A2128" s="2">
        <f>IFERROR(__xludf.DUMMYFUNCTION("""COMPUTED_VALUE"""),2127.0)</f>
        <v>2127</v>
      </c>
      <c r="B2128" s="2" t="str">
        <f>IFERROR(__xludf.DUMMYFUNCTION("""COMPUTED_VALUE"""),"Tom Dogar KHola HEP")</f>
        <v>Tom Dogar KHola HEP</v>
      </c>
      <c r="C2128" s="2">
        <f>IFERROR(__xludf.DUMMYFUNCTION("""COMPUTED_VALUE"""),4.8)</f>
        <v>4.8</v>
      </c>
      <c r="D2128" s="2" t="str">
        <f>IFERROR(__xludf.DUMMYFUNCTION("""COMPUTED_VALUE"""),"Tom khola")</f>
        <v>Tom khola</v>
      </c>
      <c r="E2128" s="2">
        <f>IFERROR(__xludf.DUMMYFUNCTION("""COMPUTED_VALUE"""),7123.0)</f>
        <v>7123</v>
      </c>
      <c r="F2128" s="3">
        <f>IFERROR(__xludf.DUMMYFUNCTION("""COMPUTED_VALUE"""),63632.0)</f>
        <v>63632</v>
      </c>
      <c r="G2128" s="2" t="str">
        <f>IFERROR(__xludf.DUMMYFUNCTION("""COMPUTED_VALUE"""),"Natural Hyro Nepal Pvt. Ltd.")</f>
        <v>Natural Hyro Nepal Pvt. Ltd.</v>
      </c>
      <c r="H2128" s="2" t="str">
        <f>IFERROR(__xludf.DUMMYFUNCTION("""COMPUTED_VALUE"""),"Pulchok lalitpur, 01-5009156")</f>
        <v>Pulchok lalitpur, 01-5009156</v>
      </c>
      <c r="I2128" s="2" t="str">
        <f>IFERROR(__xludf.DUMMYFUNCTION("""COMPUTED_VALUE"""),"28o 31' 54""")</f>
        <v>28o 31' 54"</v>
      </c>
      <c r="J2128" s="2" t="str">
        <f>IFERROR(__xludf.DUMMYFUNCTION("""COMPUTED_VALUE"""),"28o 34' 36""")</f>
        <v>28o 34' 36"</v>
      </c>
      <c r="K2128" s="2" t="str">
        <f>IFERROR(__xludf.DUMMYFUNCTION("""COMPUTED_VALUE"""),"84o 47' 40""")</f>
        <v>84o 47' 40"</v>
      </c>
      <c r="L2128" s="2" t="str">
        <f>IFERROR(__xludf.DUMMYFUNCTION("""COMPUTED_VALUE"""),"84o 49' 25""")</f>
        <v>84o 49' 25"</v>
      </c>
      <c r="M2128" s="2" t="str">
        <f>IFERROR(__xludf.DUMMYFUNCTION("""COMPUTED_VALUE"""),"Prok (Gorkha)")</f>
        <v>Prok (Gorkha)</v>
      </c>
    </row>
    <row r="2129">
      <c r="A2129" s="2">
        <f>IFERROR(__xludf.DUMMYFUNCTION("""COMPUTED_VALUE"""),2128.0)</f>
        <v>2128</v>
      </c>
      <c r="B2129" s="2" t="str">
        <f>IFERROR(__xludf.DUMMYFUNCTION("""COMPUTED_VALUE"""),"Lower Khani HEP")</f>
        <v>Lower Khani HEP</v>
      </c>
      <c r="C2129" s="2">
        <f>IFERROR(__xludf.DUMMYFUNCTION("""COMPUTED_VALUE"""),4.5)</f>
        <v>4.5</v>
      </c>
      <c r="D2129" s="2" t="str">
        <f>IFERROR(__xludf.DUMMYFUNCTION("""COMPUTED_VALUE"""),"Khani")</f>
        <v>Khani</v>
      </c>
      <c r="E2129" s="2">
        <f>IFERROR(__xludf.DUMMYFUNCTION("""COMPUTED_VALUE"""),7300.0)</f>
        <v>7300</v>
      </c>
      <c r="F2129" s="3">
        <f>IFERROR(__xludf.DUMMYFUNCTION("""COMPUTED_VALUE"""),63639.0)</f>
        <v>63639</v>
      </c>
      <c r="G2129" s="2" t="str">
        <f>IFERROR(__xludf.DUMMYFUNCTION("""COMPUTED_VALUE"""),"Green Life Hydropower Ltd.")</f>
        <v>Green Life Hydropower Ltd.</v>
      </c>
      <c r="H2129" s="2" t="str">
        <f>IFERROR(__xludf.DUMMYFUNCTION("""COMPUTED_VALUE"""),"Jawalakhel Lalitpur, 01-5549912, 01-5538603")</f>
        <v>Jawalakhel Lalitpur, 01-5549912, 01-5538603</v>
      </c>
      <c r="I2129" s="2" t="str">
        <f>IFERROR(__xludf.DUMMYFUNCTION("""COMPUTED_VALUE"""),"27o 48' 34""")</f>
        <v>27o 48' 34"</v>
      </c>
      <c r="J2129" s="2" t="str">
        <f>IFERROR(__xludf.DUMMYFUNCTION("""COMPUTED_VALUE"""),"27o 49' 20""")</f>
        <v>27o 49' 20"</v>
      </c>
      <c r="K2129" s="2" t="str">
        <f>IFERROR(__xludf.DUMMYFUNCTION("""COMPUTED_VALUE"""),"86o 19' 30""")</f>
        <v>86o 19' 30"</v>
      </c>
      <c r="L2129" s="2" t="str">
        <f>IFERROR(__xludf.DUMMYFUNCTION("""COMPUTED_VALUE"""),"86o 20' 00""")</f>
        <v>86o 20' 00"</v>
      </c>
      <c r="M2129" s="2" t="str">
        <f>IFERROR(__xludf.DUMMYFUNCTION("""COMPUTED_VALUE"""),"Marbu (Dolakha)")</f>
        <v>Marbu (Dolakha)</v>
      </c>
    </row>
    <row r="2130">
      <c r="A2130" s="2">
        <f>IFERROR(__xludf.DUMMYFUNCTION("""COMPUTED_VALUE"""),2129.0)</f>
        <v>2129</v>
      </c>
      <c r="B2130" s="2" t="str">
        <f>IFERROR(__xludf.DUMMYFUNCTION("""COMPUTED_VALUE"""),"Kashyu Khola HEP")</f>
        <v>Kashyu Khola HEP</v>
      </c>
      <c r="C2130" s="2">
        <f>IFERROR(__xludf.DUMMYFUNCTION("""COMPUTED_VALUE"""),0.99)</f>
        <v>0.99</v>
      </c>
      <c r="D2130" s="2" t="str">
        <f>IFERROR(__xludf.DUMMYFUNCTION("""COMPUTED_VALUE"""),"Kashyu")</f>
        <v>Kashyu</v>
      </c>
      <c r="E2130" s="2">
        <f>IFERROR(__xludf.DUMMYFUNCTION("""COMPUTED_VALUE"""),7326.0)</f>
        <v>7326</v>
      </c>
      <c r="F2130" s="3">
        <f>IFERROR(__xludf.DUMMYFUNCTION("""COMPUTED_VALUE"""),63640.0)</f>
        <v>63640</v>
      </c>
      <c r="G2130" s="2" t="str">
        <f>IFERROR(__xludf.DUMMYFUNCTION("""COMPUTED_VALUE"""),"Ram Bahadur Gurung")</f>
        <v>Ram Bahadur Gurung</v>
      </c>
      <c r="H2130" s="2" t="str">
        <f>IFERROR(__xludf.DUMMYFUNCTION("""COMPUTED_VALUE"""),"Lwangghalel-5, Kaski")</f>
        <v>Lwangghalel-5, Kaski</v>
      </c>
      <c r="I2130" s="2" t="str">
        <f>IFERROR(__xludf.DUMMYFUNCTION("""COMPUTED_VALUE"""),"28o 22' 10""")</f>
        <v>28o 22' 10"</v>
      </c>
      <c r="J2130" s="2" t="str">
        <f>IFERROR(__xludf.DUMMYFUNCTION("""COMPUTED_VALUE"""),"28o 23' 00""")</f>
        <v>28o 23' 00"</v>
      </c>
      <c r="K2130" s="2" t="str">
        <f>IFERROR(__xludf.DUMMYFUNCTION("""COMPUTED_VALUE"""),"83o 51' 50""")</f>
        <v>83o 51' 50"</v>
      </c>
      <c r="L2130" s="2" t="str">
        <f>IFERROR(__xludf.DUMMYFUNCTION("""COMPUTED_VALUE"""),"83o 53' 10""")</f>
        <v>83o 53' 10"</v>
      </c>
      <c r="M2130" s="2" t="str">
        <f>IFERROR(__xludf.DUMMYFUNCTION("""COMPUTED_VALUE"""),"Lwangghale (Kaski)")</f>
        <v>Lwangghale (Kaski)</v>
      </c>
    </row>
    <row r="2131">
      <c r="A2131" s="2">
        <f>IFERROR(__xludf.DUMMYFUNCTION("""COMPUTED_VALUE"""),2130.0)</f>
        <v>2130</v>
      </c>
      <c r="B2131" s="2" t="str">
        <f>IFERROR(__xludf.DUMMYFUNCTION("""COMPUTED_VALUE"""),"Naugarh Gad Cascade HEP")</f>
        <v>Naugarh Gad Cascade HEP</v>
      </c>
      <c r="C2131" s="2">
        <f>IFERROR(__xludf.DUMMYFUNCTION("""COMPUTED_VALUE"""),1.5)</f>
        <v>1.5</v>
      </c>
      <c r="D2131" s="2" t="str">
        <f>IFERROR(__xludf.DUMMYFUNCTION("""COMPUTED_VALUE"""),"Naugarh gad")</f>
        <v>Naugarh gad</v>
      </c>
      <c r="E2131" s="2">
        <f>IFERROR(__xludf.DUMMYFUNCTION("""COMPUTED_VALUE"""),7332.0)</f>
        <v>7332</v>
      </c>
      <c r="F2131" s="3">
        <f>IFERROR(__xludf.DUMMYFUNCTION("""COMPUTED_VALUE"""),63640.0)</f>
        <v>63640</v>
      </c>
      <c r="G2131" s="2" t="str">
        <f>IFERROR(__xludf.DUMMYFUNCTION("""COMPUTED_VALUE"""),"Api Power Company Limited")</f>
        <v>Api Power Company Limited</v>
      </c>
      <c r="H2131" s="2" t="str">
        <f>IFERROR(__xludf.DUMMYFUNCTION("""COMPUTED_VALUE"""),"Trade Tower Thapathali, 01-5111093, info@apihydro.com")</f>
        <v>Trade Tower Thapathali, 01-5111093, info@apihydro.com</v>
      </c>
      <c r="I2131" s="2" t="str">
        <f>IFERROR(__xludf.DUMMYFUNCTION("""COMPUTED_VALUE"""),"29o 41' 17""")</f>
        <v>29o 41' 17"</v>
      </c>
      <c r="J2131" s="2" t="str">
        <f>IFERROR(__xludf.DUMMYFUNCTION("""COMPUTED_VALUE"""),"29o 42' 00""")</f>
        <v>29o 42' 00"</v>
      </c>
      <c r="K2131" s="2" t="str">
        <f>IFERROR(__xludf.DUMMYFUNCTION("""COMPUTED_VALUE"""),"80o 35' 15""")</f>
        <v>80o 35' 15"</v>
      </c>
      <c r="L2131" s="2" t="str">
        <f>IFERROR(__xludf.DUMMYFUNCTION("""COMPUTED_VALUE"""),"80o 36' 25""")</f>
        <v>80o 36' 25"</v>
      </c>
      <c r="M2131" s="2" t="str">
        <f>IFERROR(__xludf.DUMMYFUNCTION("""COMPUTED_VALUE"""),"Dethala (Darchula)")</f>
        <v>Dethala (Darchula)</v>
      </c>
    </row>
    <row r="2132">
      <c r="A2132" s="2">
        <f>IFERROR(__xludf.DUMMYFUNCTION("""COMPUTED_VALUE"""),2131.0)</f>
        <v>2131</v>
      </c>
      <c r="B2132" s="2" t="str">
        <f>IFERROR(__xludf.DUMMYFUNCTION("""COMPUTED_VALUE"""),"Dhunge Khola Small HEP")</f>
        <v>Dhunge Khola Small HEP</v>
      </c>
      <c r="C2132" s="2">
        <f>IFERROR(__xludf.DUMMYFUNCTION("""COMPUTED_VALUE"""),0.703)</f>
        <v>0.703</v>
      </c>
      <c r="D2132" s="2" t="str">
        <f>IFERROR(__xludf.DUMMYFUNCTION("""COMPUTED_VALUE"""),"Dhunge")</f>
        <v>Dhunge</v>
      </c>
      <c r="E2132" s="2">
        <f>IFERROR(__xludf.DUMMYFUNCTION("""COMPUTED_VALUE"""),111.0)</f>
        <v>111</v>
      </c>
      <c r="F2132" s="3">
        <f>IFERROR(__xludf.DUMMYFUNCTION("""COMPUTED_VALUE"""),63648.0)</f>
        <v>63648</v>
      </c>
      <c r="G2132" s="2" t="str">
        <f>IFERROR(__xludf.DUMMYFUNCTION("""COMPUTED_VALUE"""),"Upper Richet Hydropower Pvt. Ltd.")</f>
        <v>Upper Richet Hydropower Pvt. Ltd.</v>
      </c>
      <c r="H2132" s="2" t="str">
        <f>IFERROR(__xludf.DUMMYFUNCTION("""COMPUTED_VALUE"""),"Kupondole Lalitpur, 9818987025")</f>
        <v>Kupondole Lalitpur, 9818987025</v>
      </c>
      <c r="I2132" s="2" t="str">
        <f>IFERROR(__xludf.DUMMYFUNCTION("""COMPUTED_VALUE"""),"27o 38' 51""")</f>
        <v>27o 38' 51"</v>
      </c>
      <c r="J2132" s="2" t="str">
        <f>IFERROR(__xludf.DUMMYFUNCTION("""COMPUTED_VALUE"""),"27o 40' 00""")</f>
        <v>27o 40' 00"</v>
      </c>
      <c r="K2132" s="2" t="str">
        <f>IFERROR(__xludf.DUMMYFUNCTION("""COMPUTED_VALUE"""),"86o 17' 26""")</f>
        <v>86o 17' 26"</v>
      </c>
      <c r="L2132" s="2" t="str">
        <f>IFERROR(__xludf.DUMMYFUNCTION("""COMPUTED_VALUE"""),"86o 18' 09""")</f>
        <v>86o 18' 09"</v>
      </c>
      <c r="M2132" s="2" t="str">
        <f>IFERROR(__xludf.DUMMYFUNCTION("""COMPUTED_VALUE"""),"Jiri (Dolakha)")</f>
        <v>Jiri (Dolakha)</v>
      </c>
    </row>
    <row r="2133">
      <c r="A2133" s="2">
        <f>IFERROR(__xludf.DUMMYFUNCTION("""COMPUTED_VALUE"""),2132.0)</f>
        <v>2132</v>
      </c>
      <c r="B2133" s="2" t="str">
        <f>IFERROR(__xludf.DUMMYFUNCTION("""COMPUTED_VALUE"""),"Dhunge Khola Mini HEP")</f>
        <v>Dhunge Khola Mini HEP</v>
      </c>
      <c r="C2133" s="2">
        <f>IFERROR(__xludf.DUMMYFUNCTION("""COMPUTED_VALUE"""),0.5)</f>
        <v>0.5</v>
      </c>
      <c r="D2133" s="2" t="str">
        <f>IFERROR(__xludf.DUMMYFUNCTION("""COMPUTED_VALUE"""),"Dhunge")</f>
        <v>Dhunge</v>
      </c>
      <c r="E2133" s="2">
        <f>IFERROR(__xludf.DUMMYFUNCTION("""COMPUTED_VALUE"""),242.0)</f>
        <v>242</v>
      </c>
      <c r="F2133" s="3">
        <f>IFERROR(__xludf.DUMMYFUNCTION("""COMPUTED_VALUE"""),63650.0)</f>
        <v>63650</v>
      </c>
      <c r="G2133" s="2" t="str">
        <f>IFERROR(__xludf.DUMMYFUNCTION("""COMPUTED_VALUE"""),"Shyama Jalvidhyut Company pvt. Ltd.")</f>
        <v>Shyama Jalvidhyut Company pvt. Ltd.</v>
      </c>
      <c r="H2133" s="2" t="str">
        <f>IFERROR(__xludf.DUMMYFUNCTION("""COMPUTED_VALUE"""),"Bijulibazar, Thapagaun, Kathmandu, 01-4481377, 9751039242")</f>
        <v>Bijulibazar, Thapagaun, Kathmandu, 01-4481377, 9751039242</v>
      </c>
      <c r="I2133" s="2" t="str">
        <f>IFERROR(__xludf.DUMMYFUNCTION("""COMPUTED_VALUE"""),"27o 38' 50""")</f>
        <v>27o 38' 50"</v>
      </c>
      <c r="J2133" s="2" t="str">
        <f>IFERROR(__xludf.DUMMYFUNCTION("""COMPUTED_VALUE"""),"27o 40' 10""")</f>
        <v>27o 40' 10"</v>
      </c>
      <c r="K2133" s="2" t="str">
        <f>IFERROR(__xludf.DUMMYFUNCTION("""COMPUTED_VALUE"""),"86o 17' 24""")</f>
        <v>86o 17' 24"</v>
      </c>
      <c r="L2133" s="2" t="str">
        <f>IFERROR(__xludf.DUMMYFUNCTION("""COMPUTED_VALUE"""),"86o 18' 38""")</f>
        <v>86o 18' 38"</v>
      </c>
      <c r="M2133" s="2" t="str">
        <f>IFERROR(__xludf.DUMMYFUNCTION("""COMPUTED_VALUE"""),"Syama (Dolakha)")</f>
        <v>Syama (Dolakha)</v>
      </c>
    </row>
    <row r="2134">
      <c r="A2134" s="2">
        <f>IFERROR(__xludf.DUMMYFUNCTION("""COMPUTED_VALUE"""),2133.0)</f>
        <v>2133</v>
      </c>
      <c r="B2134" s="2" t="str">
        <f>IFERROR(__xludf.DUMMYFUNCTION("""COMPUTED_VALUE"""),"Super Dudhkhola HEP")</f>
        <v>Super Dudhkhola HEP</v>
      </c>
      <c r="C2134" s="2">
        <f>IFERROR(__xludf.DUMMYFUNCTION("""COMPUTED_VALUE"""),21.8)</f>
        <v>21.8</v>
      </c>
      <c r="D2134" s="2" t="str">
        <f>IFERROR(__xludf.DUMMYFUNCTION("""COMPUTED_VALUE"""),"Dudh Khola")</f>
        <v>Dudh Khola</v>
      </c>
      <c r="E2134" s="2">
        <f>IFERROR(__xludf.DUMMYFUNCTION("""COMPUTED_VALUE"""),478.0)</f>
        <v>478</v>
      </c>
      <c r="F2134" s="3">
        <f>IFERROR(__xludf.DUMMYFUNCTION("""COMPUTED_VALUE"""),63654.0)</f>
        <v>63654</v>
      </c>
      <c r="G2134" s="2" t="str">
        <f>IFERROR(__xludf.DUMMYFUNCTION("""COMPUTED_VALUE"""),"Gandaki Energy Limited")</f>
        <v>Gandaki Energy Limited</v>
      </c>
      <c r="H2134" s="2" t="str">
        <f>IFERROR(__xludf.DUMMYFUNCTION("""COMPUTED_VALUE"""),"Bluestar Complex, Tripureshwor, Kathmandu 01-4101140,")</f>
        <v>Bluestar Complex, Tripureshwor, Kathmandu 01-4101140,</v>
      </c>
      <c r="I2134" s="2" t="str">
        <f>IFERROR(__xludf.DUMMYFUNCTION("""COMPUTED_VALUE"""),"28o 34' 50""")</f>
        <v>28o 34' 50"</v>
      </c>
      <c r="J2134" s="2" t="str">
        <f>IFERROR(__xludf.DUMMYFUNCTION("""COMPUTED_VALUE"""),"28o 37' 20""")</f>
        <v>28o 37' 20"</v>
      </c>
      <c r="K2134" s="2" t="str">
        <f>IFERROR(__xludf.DUMMYFUNCTION("""COMPUTED_VALUE"""),"84o 25' 40""")</f>
        <v>84o 25' 40"</v>
      </c>
      <c r="L2134" s="2" t="str">
        <f>IFERROR(__xludf.DUMMYFUNCTION("""COMPUTED_VALUE"""),"84o 28' 30""")</f>
        <v>84o 28' 30"</v>
      </c>
      <c r="M2134" s="2"/>
    </row>
    <row r="2135">
      <c r="A2135" s="2">
        <f>IFERROR(__xludf.DUMMYFUNCTION("""COMPUTED_VALUE"""),2134.0)</f>
        <v>2134</v>
      </c>
      <c r="B2135" s="2" t="str">
        <f>IFERROR(__xludf.DUMMYFUNCTION("""COMPUTED_VALUE"""),"Yambaling Khola Cascade HEP")</f>
        <v>Yambaling Khola Cascade HEP</v>
      </c>
      <c r="C2135" s="2">
        <f>IFERROR(__xludf.DUMMYFUNCTION("""COMPUTED_VALUE"""),0.986)</f>
        <v>0.986</v>
      </c>
      <c r="D2135" s="2" t="str">
        <f>IFERROR(__xludf.DUMMYFUNCTION("""COMPUTED_VALUE"""),"Yambaling")</f>
        <v>Yambaling</v>
      </c>
      <c r="E2135" s="2">
        <f>IFERROR(__xludf.DUMMYFUNCTION("""COMPUTED_VALUE"""),506.0)</f>
        <v>506</v>
      </c>
      <c r="F2135" s="3">
        <f>IFERROR(__xludf.DUMMYFUNCTION("""COMPUTED_VALUE"""),63655.0)</f>
        <v>63655</v>
      </c>
      <c r="G2135" s="2" t="str">
        <f>IFERROR(__xludf.DUMMYFUNCTION("""COMPUTED_VALUE"""),"Yambaling Hydropower Company P. Ltd.")</f>
        <v>Yambaling Hydropower Company P. Ltd.</v>
      </c>
      <c r="H2135" s="2" t="str">
        <f>IFERROR(__xludf.DUMMYFUNCTION("""COMPUTED_VALUE"""),"Thamel, Kathmandu")</f>
        <v>Thamel, Kathmandu</v>
      </c>
      <c r="I2135" s="2" t="str">
        <f>IFERROR(__xludf.DUMMYFUNCTION("""COMPUTED_VALUE"""),"27o 56' 13""")</f>
        <v>27o 56' 13"</v>
      </c>
      <c r="J2135" s="2" t="str">
        <f>IFERROR(__xludf.DUMMYFUNCTION("""COMPUTED_VALUE"""),"27o 56' 53""")</f>
        <v>27o 56' 53"</v>
      </c>
      <c r="K2135" s="2" t="str">
        <f>IFERROR(__xludf.DUMMYFUNCTION("""COMPUTED_VALUE"""),"85o 47' 06""")</f>
        <v>85o 47' 06"</v>
      </c>
      <c r="L2135" s="2" t="str">
        <f>IFERROR(__xludf.DUMMYFUNCTION("""COMPUTED_VALUE"""),"85o 47' 25""")</f>
        <v>85o 47' 25"</v>
      </c>
      <c r="M2135" s="2" t="str">
        <f>IFERROR(__xludf.DUMMYFUNCTION("""COMPUTED_VALUE"""),"Gumba (Sindhupalchok)")</f>
        <v>Gumba (Sindhupalchok)</v>
      </c>
    </row>
    <row r="2136">
      <c r="A2136" s="2">
        <f>IFERROR(__xludf.DUMMYFUNCTION("""COMPUTED_VALUE"""),2135.0)</f>
        <v>2135</v>
      </c>
      <c r="B2136" s="2" t="str">
        <f>IFERROR(__xludf.DUMMYFUNCTION("""COMPUTED_VALUE"""),"Upper Myagdi A HEP")</f>
        <v>Upper Myagdi A HEP</v>
      </c>
      <c r="C2136" s="2">
        <f>IFERROR(__xludf.DUMMYFUNCTION("""COMPUTED_VALUE"""),22.87)</f>
        <v>22.87</v>
      </c>
      <c r="D2136" s="2" t="str">
        <f>IFERROR(__xludf.DUMMYFUNCTION("""COMPUTED_VALUE"""),"Myagdi")</f>
        <v>Myagdi</v>
      </c>
      <c r="E2136" s="2">
        <f>IFERROR(__xludf.DUMMYFUNCTION("""COMPUTED_VALUE"""),517.0)</f>
        <v>517</v>
      </c>
      <c r="F2136" s="3">
        <f>IFERROR(__xludf.DUMMYFUNCTION("""COMPUTED_VALUE"""),63656.0)</f>
        <v>63656</v>
      </c>
      <c r="G2136" s="2" t="str">
        <f>IFERROR(__xludf.DUMMYFUNCTION("""COMPUTED_VALUE"""),"Khare Investment Limited")</f>
        <v>Khare Investment Limited</v>
      </c>
      <c r="H2136" s="2" t="str">
        <f>IFERROR(__xludf.DUMMYFUNCTION("""COMPUTED_VALUE"""),"Bluestar Complex, Tripureshwor, Kathmandu 01-4101140,01-4251080")</f>
        <v>Bluestar Complex, Tripureshwor, Kathmandu 01-4101140,01-4251080</v>
      </c>
      <c r="I2136" s="2" t="str">
        <f>IFERROR(__xludf.DUMMYFUNCTION("""COMPUTED_VALUE"""),"28o 38' 04""")</f>
        <v>28o 38' 04"</v>
      </c>
      <c r="J2136" s="2" t="str">
        <f>IFERROR(__xludf.DUMMYFUNCTION("""COMPUTED_VALUE"""),"28o 41' 08""")</f>
        <v>28o 41' 08"</v>
      </c>
      <c r="K2136" s="2" t="str">
        <f>IFERROR(__xludf.DUMMYFUNCTION("""COMPUTED_VALUE"""),"83o 24' 03""")</f>
        <v>83o 24' 03"</v>
      </c>
      <c r="L2136" s="2" t="str">
        <f>IFERROR(__xludf.DUMMYFUNCTION("""COMPUTED_VALUE"""),"83o 26' 13""")</f>
        <v>83o 26' 13"</v>
      </c>
      <c r="M2136" s="2"/>
    </row>
    <row r="2137">
      <c r="A2137" s="2">
        <f>IFERROR(__xludf.DUMMYFUNCTION("""COMPUTED_VALUE"""),2136.0)</f>
        <v>2136</v>
      </c>
      <c r="B2137" s="2" t="str">
        <f>IFERROR(__xludf.DUMMYFUNCTION("""COMPUTED_VALUE"""),"Ghustung-I HEP")</f>
        <v>Ghustung-I HEP</v>
      </c>
      <c r="C2137" s="2">
        <f>IFERROR(__xludf.DUMMYFUNCTION("""COMPUTED_VALUE"""),22.66)</f>
        <v>22.66</v>
      </c>
      <c r="D2137" s="2" t="str">
        <f>IFERROR(__xludf.DUMMYFUNCTION("""COMPUTED_VALUE"""),"Ghustung")</f>
        <v>Ghustung</v>
      </c>
      <c r="E2137" s="2">
        <f>IFERROR(__xludf.DUMMYFUNCTION("""COMPUTED_VALUE"""),556.0)</f>
        <v>556</v>
      </c>
      <c r="F2137" s="3">
        <f>IFERROR(__xludf.DUMMYFUNCTION("""COMPUTED_VALUE"""),63660.0)</f>
        <v>63660</v>
      </c>
      <c r="G2137" s="2" t="str">
        <f>IFERROR(__xludf.DUMMYFUNCTION("""COMPUTED_VALUE"""),"Morang Energy Limited")</f>
        <v>Morang Energy Limited</v>
      </c>
      <c r="H2137" s="2" t="str">
        <f>IFERROR(__xludf.DUMMYFUNCTION("""COMPUTED_VALUE"""),"Bluestar Complex, Tripureshwor, Kathmandu 01-4101140,01-4251080")</f>
        <v>Bluestar Complex, Tripureshwor, Kathmandu 01-4101140,01-4251080</v>
      </c>
      <c r="I2137" s="2" t="str">
        <f>IFERROR(__xludf.DUMMYFUNCTION("""COMPUTED_VALUE"""),"28o 36' 00""")</f>
        <v>28o 36' 00"</v>
      </c>
      <c r="J2137" s="2" t="str">
        <f>IFERROR(__xludf.DUMMYFUNCTION("""COMPUTED_VALUE"""),"28o 38' 50""")</f>
        <v>28o 38' 50"</v>
      </c>
      <c r="K2137" s="2" t="str">
        <f>IFERROR(__xludf.DUMMYFUNCTION("""COMPUTED_VALUE"""),"83o 07' 30""")</f>
        <v>83o 07' 30"</v>
      </c>
      <c r="L2137" s="2" t="str">
        <f>IFERROR(__xludf.DUMMYFUNCTION("""COMPUTED_VALUE"""),"83o 13' 00""")</f>
        <v>83o 13' 00"</v>
      </c>
      <c r="M2137" s="2"/>
    </row>
    <row r="2138">
      <c r="A2138" s="2">
        <f>IFERROR(__xludf.DUMMYFUNCTION("""COMPUTED_VALUE"""),2137.0)</f>
        <v>2137</v>
      </c>
      <c r="B2138" s="2" t="str">
        <f>IFERROR(__xludf.DUMMYFUNCTION("""COMPUTED_VALUE"""),"Upper Bhimdang Khola Hydropower Project")</f>
        <v>Upper Bhimdang Khola Hydropower Project</v>
      </c>
      <c r="C2138" s="2">
        <f>IFERROR(__xludf.DUMMYFUNCTION("""COMPUTED_VALUE"""),4.8)</f>
        <v>4.8</v>
      </c>
      <c r="D2138" s="2" t="str">
        <f>IFERROR(__xludf.DUMMYFUNCTION("""COMPUTED_VALUE"""),"Bhimdang")</f>
        <v>Bhimdang</v>
      </c>
      <c r="E2138" s="2">
        <f>IFERROR(__xludf.DUMMYFUNCTION("""COMPUTED_VALUE"""),791.0)</f>
        <v>791</v>
      </c>
      <c r="F2138" s="3">
        <f>IFERROR(__xludf.DUMMYFUNCTION("""COMPUTED_VALUE"""),63671.0)</f>
        <v>63671</v>
      </c>
      <c r="G2138" s="2" t="str">
        <f>IFERROR(__xludf.DUMMYFUNCTION("""COMPUTED_VALUE"""),"Matribhumi Hydropoer Development Company Pvt. Ltd.")</f>
        <v>Matribhumi Hydropoer Development Company Pvt. Ltd.</v>
      </c>
      <c r="H2138" s="2" t="str">
        <f>IFERROR(__xludf.DUMMYFUNCTION("""COMPUTED_VALUE"""),"Lalitpur-15, Phone no 9856023875")</f>
        <v>Lalitpur-15, Phone no 9856023875</v>
      </c>
      <c r="I2138" s="2" t="str">
        <f>IFERROR(__xludf.DUMMYFUNCTION("""COMPUTED_VALUE"""),"28o 36' 10""")</f>
        <v>28o 36' 10"</v>
      </c>
      <c r="J2138" s="2" t="str">
        <f>IFERROR(__xludf.DUMMYFUNCTION("""COMPUTED_VALUE"""),"28o 38' 00""")</f>
        <v>28o 38' 00"</v>
      </c>
      <c r="K2138" s="2" t="str">
        <f>IFERROR(__xludf.DUMMYFUNCTION("""COMPUTED_VALUE"""),"84o 28' 00""")</f>
        <v>84o 28' 00"</v>
      </c>
      <c r="L2138" s="2" t="str">
        <f>IFERROR(__xludf.DUMMYFUNCTION("""COMPUTED_VALUE"""),"84o 29' 00""")</f>
        <v>84o 29' 00"</v>
      </c>
      <c r="M2138" s="2" t="str">
        <f>IFERROR(__xludf.DUMMYFUNCTION("""COMPUTED_VALUE"""),"Thoche (Manang)")</f>
        <v>Thoche (Manang)</v>
      </c>
    </row>
    <row r="2139">
      <c r="A2139" s="2">
        <f>IFERROR(__xludf.DUMMYFUNCTION("""COMPUTED_VALUE"""),2138.0)</f>
        <v>2138</v>
      </c>
      <c r="B2139" s="2" t="str">
        <f>IFERROR(__xludf.DUMMYFUNCTION("""COMPUTED_VALUE"""),"Piluwa Khola HPP")</f>
        <v>Piluwa Khola HPP</v>
      </c>
      <c r="C2139" s="2">
        <f>IFERROR(__xludf.DUMMYFUNCTION("""COMPUTED_VALUE"""),8.51)</f>
        <v>8.51</v>
      </c>
      <c r="D2139" s="2" t="str">
        <f>IFERROR(__xludf.DUMMYFUNCTION("""COMPUTED_VALUE"""),"Piluwa Khola")</f>
        <v>Piluwa Khola</v>
      </c>
      <c r="E2139" s="2">
        <f>IFERROR(__xludf.DUMMYFUNCTION("""COMPUTED_VALUE"""),896.0)</f>
        <v>896</v>
      </c>
      <c r="F2139" s="3">
        <f>IFERROR(__xludf.DUMMYFUNCTION("""COMPUTED_VALUE"""),63676.0)</f>
        <v>63676</v>
      </c>
      <c r="G2139" s="2" t="str">
        <f>IFERROR(__xludf.DUMMYFUNCTION("""COMPUTED_VALUE"""),"Menchhiyam Hydropower Pvt. Ltd")</f>
        <v>Menchhiyam Hydropower Pvt. Ltd</v>
      </c>
      <c r="H2139" s="2" t="str">
        <f>IFERROR(__xludf.DUMMYFUNCTION("""COMPUTED_VALUE"""),"Lainchaur, Kathmandu")</f>
        <v>Lainchaur, Kathmandu</v>
      </c>
      <c r="I2139" s="2" t="str">
        <f>IFERROR(__xludf.DUMMYFUNCTION("""COMPUTED_VALUE"""),"27o 17' 00""")</f>
        <v>27o 17' 00"</v>
      </c>
      <c r="J2139" s="2" t="str">
        <f>IFERROR(__xludf.DUMMYFUNCTION("""COMPUTED_VALUE"""),"27o 17' 58""")</f>
        <v>27o 17' 58"</v>
      </c>
      <c r="K2139" s="2" t="str">
        <f>IFERROR(__xludf.DUMMYFUNCTION("""COMPUTED_VALUE"""),"87o 20' 55""")</f>
        <v>87o 20' 55"</v>
      </c>
      <c r="L2139" s="2" t="str">
        <f>IFERROR(__xludf.DUMMYFUNCTION("""COMPUTED_VALUE"""),"87o 23' 18""")</f>
        <v>87o 23' 18"</v>
      </c>
      <c r="M2139" s="2" t="str">
        <f>IFERROR(__xludf.DUMMYFUNCTION("""COMPUTED_VALUE"""),"Chainpur (Sankhuwasabha)")</f>
        <v>Chainpur (Sankhuwasabha)</v>
      </c>
    </row>
    <row r="2140">
      <c r="A2140" s="2">
        <f>IFERROR(__xludf.DUMMYFUNCTION("""COMPUTED_VALUE"""),2139.0)</f>
        <v>2139</v>
      </c>
      <c r="B2140" s="2" t="str">
        <f>IFERROR(__xludf.DUMMYFUNCTION("""COMPUTED_VALUE"""),"Gidi Khola HPP")</f>
        <v>Gidi Khola HPP</v>
      </c>
      <c r="C2140" s="2">
        <f>IFERROR(__xludf.DUMMYFUNCTION("""COMPUTED_VALUE"""),4.93)</f>
        <v>4.93</v>
      </c>
      <c r="D2140" s="2" t="str">
        <f>IFERROR(__xludf.DUMMYFUNCTION("""COMPUTED_VALUE"""),"gidi")</f>
        <v>gidi</v>
      </c>
      <c r="E2140" s="2">
        <f>IFERROR(__xludf.DUMMYFUNCTION("""COMPUTED_VALUE"""),1167.0)</f>
        <v>1167</v>
      </c>
      <c r="F2140" s="3">
        <f>IFERROR(__xludf.DUMMYFUNCTION("""COMPUTED_VALUE"""),63689.0)</f>
        <v>63689</v>
      </c>
      <c r="G2140" s="2" t="str">
        <f>IFERROR(__xludf.DUMMYFUNCTION("""COMPUTED_VALUE"""),"Him parbat Hydropower pvt ltd")</f>
        <v>Him parbat Hydropower pvt ltd</v>
      </c>
      <c r="H2140" s="2" t="str">
        <f>IFERROR(__xludf.DUMMYFUNCTION("""COMPUTED_VALUE"""),"UWTC, Tripureshwor, Kathmandu")</f>
        <v>UWTC, Tripureshwor, Kathmandu</v>
      </c>
      <c r="I2140" s="2" t="str">
        <f>IFERROR(__xludf.DUMMYFUNCTION("""COMPUTED_VALUE"""),"29o 10' 57""")</f>
        <v>29o 10' 57"</v>
      </c>
      <c r="J2140" s="2" t="str">
        <f>IFERROR(__xludf.DUMMYFUNCTION("""COMPUTED_VALUE"""),"29o 14' 30""")</f>
        <v>29o 14' 30"</v>
      </c>
      <c r="K2140" s="2" t="str">
        <f>IFERROR(__xludf.DUMMYFUNCTION("""COMPUTED_VALUE"""),"82o 06' 28""")</f>
        <v>82o 06' 28"</v>
      </c>
      <c r="L2140" s="2" t="str">
        <f>IFERROR(__xludf.DUMMYFUNCTION("""COMPUTED_VALUE"""),"82o 10' 57""")</f>
        <v>82o 10' 57"</v>
      </c>
      <c r="M2140" s="2" t="str">
        <f>IFERROR(__xludf.DUMMYFUNCTION("""COMPUTED_VALUE"""),"Haku (Jumla)")</f>
        <v>Haku (Jumla)</v>
      </c>
    </row>
    <row r="2141">
      <c r="A2141" s="2">
        <f>IFERROR(__xludf.DUMMYFUNCTION("""COMPUTED_VALUE"""),2140.0)</f>
        <v>2140</v>
      </c>
      <c r="B2141" s="2" t="str">
        <f>IFERROR(__xludf.DUMMYFUNCTION("""COMPUTED_VALUE"""),"Upper Ruru Banchu Khola HEP")</f>
        <v>Upper Ruru Banchu Khola HEP</v>
      </c>
      <c r="C2141" s="2">
        <f>IFERROR(__xludf.DUMMYFUNCTION("""COMPUTED_VALUE"""),4.8)</f>
        <v>4.8</v>
      </c>
      <c r="D2141" s="2" t="str">
        <f>IFERROR(__xludf.DUMMYFUNCTION("""COMPUTED_VALUE"""),"Rurubanchu Khola")</f>
        <v>Rurubanchu Khola</v>
      </c>
      <c r="E2141" s="2">
        <f>IFERROR(__xludf.DUMMYFUNCTION("""COMPUTED_VALUE"""),1237.0)</f>
        <v>1237</v>
      </c>
      <c r="F2141" s="3">
        <f>IFERROR(__xludf.DUMMYFUNCTION("""COMPUTED_VALUE"""),63693.0)</f>
        <v>63693</v>
      </c>
      <c r="G2141" s="2" t="str">
        <f>IFERROR(__xludf.DUMMYFUNCTION("""COMPUTED_VALUE"""),"Him parbat Hydropower pvt ltd")</f>
        <v>Him parbat Hydropower pvt ltd</v>
      </c>
      <c r="H2141" s="2" t="str">
        <f>IFERROR(__xludf.DUMMYFUNCTION("""COMPUTED_VALUE"""),"UWTC, Tripureshwor, Kathmandu")</f>
        <v>UWTC, Tripureshwor, Kathmandu</v>
      </c>
      <c r="I2141" s="2" t="str">
        <f>IFERROR(__xludf.DUMMYFUNCTION("""COMPUTED_VALUE"""),"29o 05' 30""")</f>
        <v>29o 05' 30"</v>
      </c>
      <c r="J2141" s="2" t="str">
        <f>IFERROR(__xludf.DUMMYFUNCTION("""COMPUTED_VALUE"""),"29o 07' 00""")</f>
        <v>29o 07' 00"</v>
      </c>
      <c r="K2141" s="2" t="str">
        <f>IFERROR(__xludf.DUMMYFUNCTION("""COMPUTED_VALUE"""),"81o 48' 10""")</f>
        <v>81o 48' 10"</v>
      </c>
      <c r="L2141" s="2" t="str">
        <f>IFERROR(__xludf.DUMMYFUNCTION("""COMPUTED_VALUE"""),"81o 53' 35""")</f>
        <v>81o 53' 35"</v>
      </c>
      <c r="M2141" s="2" t="str">
        <f>IFERROR(__xludf.DUMMYFUNCTION("""COMPUTED_VALUE"""),"Chilkhaya (Kalikot)")</f>
        <v>Chilkhaya (Kalikot)</v>
      </c>
    </row>
    <row r="2142">
      <c r="A2142" s="2">
        <f>IFERROR(__xludf.DUMMYFUNCTION("""COMPUTED_VALUE"""),2141.0)</f>
        <v>2141</v>
      </c>
      <c r="B2142" s="2" t="str">
        <f>IFERROR(__xludf.DUMMYFUNCTION("""COMPUTED_VALUE"""),"Yambaling Khola Cascade HEP")</f>
        <v>Yambaling Khola Cascade HEP</v>
      </c>
      <c r="C2142" s="2">
        <f>IFERROR(__xludf.DUMMYFUNCTION("""COMPUTED_VALUE"""),0.975)</f>
        <v>0.975</v>
      </c>
      <c r="D2142" s="2" t="str">
        <f>IFERROR(__xludf.DUMMYFUNCTION("""COMPUTED_VALUE"""),"Yambaling")</f>
        <v>Yambaling</v>
      </c>
      <c r="E2142" s="2">
        <f>IFERROR(__xludf.DUMMYFUNCTION("""COMPUTED_VALUE"""),1686.0)</f>
        <v>1686</v>
      </c>
      <c r="F2142" s="3">
        <f>IFERROR(__xludf.DUMMYFUNCTION("""COMPUTED_VALUE"""),63714.0)</f>
        <v>63714</v>
      </c>
      <c r="G2142" s="2" t="str">
        <f>IFERROR(__xludf.DUMMYFUNCTION("""COMPUTED_VALUE"""),"Yambaling Hydropower Company Pvt.Ltd")</f>
        <v>Yambaling Hydropower Company Pvt.Ltd</v>
      </c>
      <c r="H2142" s="2" t="str">
        <f>IFERROR(__xludf.DUMMYFUNCTION("""COMPUTED_VALUE"""),"Thamel Kathamndu")</f>
        <v>Thamel Kathamndu</v>
      </c>
      <c r="I2142" s="2" t="str">
        <f>IFERROR(__xludf.DUMMYFUNCTION("""COMPUTED_VALUE"""),"27o 56' 08""")</f>
        <v>27o 56' 08"</v>
      </c>
      <c r="J2142" s="2" t="str">
        <f>IFERROR(__xludf.DUMMYFUNCTION("""COMPUTED_VALUE"""),"27o 56' 53""")</f>
        <v>27o 56' 53"</v>
      </c>
      <c r="K2142" s="2" t="str">
        <f>IFERROR(__xludf.DUMMYFUNCTION("""COMPUTED_VALUE"""),"85o 50' 00""")</f>
        <v>85o 50' 00"</v>
      </c>
      <c r="L2142" s="2" t="str">
        <f>IFERROR(__xludf.DUMMYFUNCTION("""COMPUTED_VALUE"""),"86o 47' 06""")</f>
        <v>86o 47' 06"</v>
      </c>
      <c r="M2142" s="2" t="str">
        <f>IFERROR(__xludf.DUMMYFUNCTION("""COMPUTED_VALUE"""),"Gumba (Sindhupalchok)")</f>
        <v>Gumba (Sindhupalchok)</v>
      </c>
    </row>
    <row r="2143">
      <c r="A2143" s="2">
        <f>IFERROR(__xludf.DUMMYFUNCTION("""COMPUTED_VALUE"""),2142.0)</f>
        <v>2142</v>
      </c>
      <c r="B2143" s="2" t="str">
        <f>IFERROR(__xludf.DUMMYFUNCTION("""COMPUTED_VALUE"""),"Dhunchet Khola Small HEP")</f>
        <v>Dhunchet Khola Small HEP</v>
      </c>
      <c r="C2143" s="2">
        <f>IFERROR(__xludf.DUMMYFUNCTION("""COMPUTED_VALUE"""),0.99)</f>
        <v>0.99</v>
      </c>
      <c r="D2143" s="2" t="str">
        <f>IFERROR(__xludf.DUMMYFUNCTION("""COMPUTED_VALUE"""),"Dhunchet Khola")</f>
        <v>Dhunchet Khola</v>
      </c>
      <c r="E2143" s="2">
        <f>IFERROR(__xludf.DUMMYFUNCTION("""COMPUTED_VALUE"""),1760.0)</f>
        <v>1760</v>
      </c>
      <c r="F2143" s="3">
        <f>IFERROR(__xludf.DUMMYFUNCTION("""COMPUTED_VALUE"""),63727.0)</f>
        <v>63727</v>
      </c>
      <c r="G2143" s="2" t="str">
        <f>IFERROR(__xludf.DUMMYFUNCTION("""COMPUTED_VALUE"""),"Manakamana Hydro Pvt. Ltd")</f>
        <v>Manakamana Hydro Pvt. Ltd</v>
      </c>
      <c r="H2143" s="2" t="str">
        <f>IFERROR(__xludf.DUMMYFUNCTION("""COMPUTED_VALUE"""),"Kathmandu- 16, Sorhakhutte")</f>
        <v>Kathmandu- 16, Sorhakhutte</v>
      </c>
      <c r="I2143" s="2" t="str">
        <f>IFERROR(__xludf.DUMMYFUNCTION("""COMPUTED_VALUE"""),"28o 10' 20""")</f>
        <v>28o 10' 20"</v>
      </c>
      <c r="J2143" s="2" t="str">
        <f>IFERROR(__xludf.DUMMYFUNCTION("""COMPUTED_VALUE"""),"28o 10' 38""")</f>
        <v>28o 10' 38"</v>
      </c>
      <c r="K2143" s="2" t="str">
        <f>IFERROR(__xludf.DUMMYFUNCTION("""COMPUTED_VALUE"""),"84o 55' 36""")</f>
        <v>84o 55' 36"</v>
      </c>
      <c r="L2143" s="2" t="str">
        <f>IFERROR(__xludf.DUMMYFUNCTION("""COMPUTED_VALUE"""),"84o 56' 10""")</f>
        <v>84o 56' 10"</v>
      </c>
      <c r="M2143" s="2" t="str">
        <f>IFERROR(__xludf.DUMMYFUNCTION("""COMPUTED_VALUE"""),"Manbu (Gorkha)")</f>
        <v>Manbu (Gorkha)</v>
      </c>
    </row>
    <row r="2144">
      <c r="A2144" s="2">
        <f>IFERROR(__xludf.DUMMYFUNCTION("""COMPUTED_VALUE"""),2143.0)</f>
        <v>2143</v>
      </c>
      <c r="B2144" s="2" t="str">
        <f>IFERROR(__xludf.DUMMYFUNCTION("""COMPUTED_VALUE"""),"Lower Uttar Ganga HEP")</f>
        <v>Lower Uttar Ganga HEP</v>
      </c>
      <c r="C2144" s="2">
        <f>IFERROR(__xludf.DUMMYFUNCTION("""COMPUTED_VALUE"""),0.955)</f>
        <v>0.955</v>
      </c>
      <c r="D2144" s="2" t="str">
        <f>IFERROR(__xludf.DUMMYFUNCTION("""COMPUTED_VALUE"""),"Uttar Ganga")</f>
        <v>Uttar Ganga</v>
      </c>
      <c r="E2144" s="2">
        <f>IFERROR(__xludf.DUMMYFUNCTION("""COMPUTED_VALUE"""),1906.0)</f>
        <v>1906</v>
      </c>
      <c r="F2144" s="3">
        <f>IFERROR(__xludf.DUMMYFUNCTION("""COMPUTED_VALUE"""),63734.0)</f>
        <v>63734</v>
      </c>
      <c r="G2144" s="2" t="str">
        <f>IFERROR(__xludf.DUMMYFUNCTION("""COMPUTED_VALUE"""),"Bishnu Remjali Magar")</f>
        <v>Bishnu Remjali Magar</v>
      </c>
      <c r="H2144" s="2" t="str">
        <f>IFERROR(__xludf.DUMMYFUNCTION("""COMPUTED_VALUE"""),"986020665, 15/20 Satdobato Lalitpur")</f>
        <v>986020665, 15/20 Satdobato Lalitpur</v>
      </c>
      <c r="I2144" s="2" t="str">
        <f>IFERROR(__xludf.DUMMYFUNCTION("""COMPUTED_VALUE"""),"28o 35' 05""")</f>
        <v>28o 35' 05"</v>
      </c>
      <c r="J2144" s="2" t="str">
        <f>IFERROR(__xludf.DUMMYFUNCTION("""COMPUTED_VALUE"""),"28o 35' 39""")</f>
        <v>28o 35' 39"</v>
      </c>
      <c r="K2144" s="2" t="str">
        <f>IFERROR(__xludf.DUMMYFUNCTION("""COMPUTED_VALUE"""),"82o 48' 28""")</f>
        <v>82o 48' 28"</v>
      </c>
      <c r="L2144" s="2" t="str">
        <f>IFERROR(__xludf.DUMMYFUNCTION("""COMPUTED_VALUE"""),"82o 49' 05""")</f>
        <v>82o 49' 05"</v>
      </c>
      <c r="M2144" s="2"/>
    </row>
    <row r="2145">
      <c r="A2145" s="2">
        <f>IFERROR(__xludf.DUMMYFUNCTION("""COMPUTED_VALUE"""),2144.0)</f>
        <v>2144</v>
      </c>
      <c r="B2145" s="2" t="str">
        <f>IFERROR(__xludf.DUMMYFUNCTION("""COMPUTED_VALUE"""),"Sani Bheri 4 HEP")</f>
        <v>Sani Bheri 4 HEP</v>
      </c>
      <c r="C2145" s="2">
        <f>IFERROR(__xludf.DUMMYFUNCTION("""COMPUTED_VALUE"""),40.71)</f>
        <v>40.71</v>
      </c>
      <c r="D2145" s="2" t="str">
        <f>IFERROR(__xludf.DUMMYFUNCTION("""COMPUTED_VALUE"""),"Sani Bheri")</f>
        <v>Sani Bheri</v>
      </c>
      <c r="E2145" s="2">
        <f>IFERROR(__xludf.DUMMYFUNCTION("""COMPUTED_VALUE"""),1917.0)</f>
        <v>1917</v>
      </c>
      <c r="F2145" s="3">
        <f>IFERROR(__xludf.DUMMYFUNCTION("""COMPUTED_VALUE"""),63734.0)</f>
        <v>63734</v>
      </c>
      <c r="G2145" s="2" t="str">
        <f>IFERROR(__xludf.DUMMYFUNCTION("""COMPUTED_VALUE"""),"Vivek Dugar")</f>
        <v>Vivek Dugar</v>
      </c>
      <c r="H2145" s="2" t="str">
        <f>IFERROR(__xludf.DUMMYFUNCTION("""COMPUTED_VALUE"""),"Naxal Kathmandu, 9801012101")</f>
        <v>Naxal Kathmandu, 9801012101</v>
      </c>
      <c r="I2145" s="2" t="str">
        <f>IFERROR(__xludf.DUMMYFUNCTION("""COMPUTED_VALUE"""),"28o 37' 30""")</f>
        <v>28o 37' 30"</v>
      </c>
      <c r="J2145" s="2" t="str">
        <f>IFERROR(__xludf.DUMMYFUNCTION("""COMPUTED_VALUE"""),"28o 41' 15""")</f>
        <v>28o 41' 15"</v>
      </c>
      <c r="K2145" s="2" t="str">
        <f>IFERROR(__xludf.DUMMYFUNCTION("""COMPUTED_VALUE"""),"82o 25' 35""")</f>
        <v>82o 25' 35"</v>
      </c>
      <c r="L2145" s="2" t="str">
        <f>IFERROR(__xludf.DUMMYFUNCTION("""COMPUTED_VALUE"""),"82o 30' 40""")</f>
        <v>82o 30' 40"</v>
      </c>
      <c r="M2145" s="2" t="str">
        <f>IFERROR(__xludf.DUMMYFUNCTION("""COMPUTED_VALUE"""),"Jhula,Musikot Khalanga (Rukum)")</f>
        <v>Jhula,Musikot Khalanga (Rukum)</v>
      </c>
    </row>
    <row r="2146">
      <c r="A2146" s="2">
        <f>IFERROR(__xludf.DUMMYFUNCTION("""COMPUTED_VALUE"""),2145.0)</f>
        <v>2145</v>
      </c>
      <c r="B2146" s="2" t="str">
        <f>IFERROR(__xludf.DUMMYFUNCTION("""COMPUTED_VALUE"""),"Super Dudh Khola")</f>
        <v>Super Dudh Khola</v>
      </c>
      <c r="C2146" s="2">
        <f>IFERROR(__xludf.DUMMYFUNCTION("""COMPUTED_VALUE"""),21.57)</f>
        <v>21.57</v>
      </c>
      <c r="D2146" s="2" t="str">
        <f>IFERROR(__xludf.DUMMYFUNCTION("""COMPUTED_VALUE"""),"Dudh Khola")</f>
        <v>Dudh Khola</v>
      </c>
      <c r="E2146" s="2">
        <f>IFERROR(__xludf.DUMMYFUNCTION("""COMPUTED_VALUE"""),2137.0)</f>
        <v>2137</v>
      </c>
      <c r="F2146" s="3">
        <f>IFERROR(__xludf.DUMMYFUNCTION("""COMPUTED_VALUE"""),63748.0)</f>
        <v>63748</v>
      </c>
      <c r="G2146" s="2" t="str">
        <f>IFERROR(__xludf.DUMMYFUNCTION("""COMPUTED_VALUE"""),"Universal Power Company Limited")</f>
        <v>Universal Power Company Limited</v>
      </c>
      <c r="H2146" s="2" t="str">
        <f>IFERROR(__xludf.DUMMYFUNCTION("""COMPUTED_VALUE"""),"Bluestar Complex Tripureshor, 01-4101097")</f>
        <v>Bluestar Complex Tripureshor, 01-4101097</v>
      </c>
      <c r="I2146" s="2" t="str">
        <f>IFERROR(__xludf.DUMMYFUNCTION("""COMPUTED_VALUE"""),"28o 34' 50""")</f>
        <v>28o 34' 50"</v>
      </c>
      <c r="J2146" s="2" t="str">
        <f>IFERROR(__xludf.DUMMYFUNCTION("""COMPUTED_VALUE"""),"28o 37' 20""")</f>
        <v>28o 37' 20"</v>
      </c>
      <c r="K2146" s="2" t="str">
        <f>IFERROR(__xludf.DUMMYFUNCTION("""COMPUTED_VALUE"""),"84o 25' 46""")</f>
        <v>84o 25' 46"</v>
      </c>
      <c r="L2146" s="2" t="str">
        <f>IFERROR(__xludf.DUMMYFUNCTION("""COMPUTED_VALUE"""),"84o 28' 30""")</f>
        <v>84o 28' 30"</v>
      </c>
      <c r="M2146" s="2"/>
    </row>
    <row r="2147">
      <c r="A2147" s="2">
        <f>IFERROR(__xludf.DUMMYFUNCTION("""COMPUTED_VALUE"""),2146.0)</f>
        <v>2146</v>
      </c>
      <c r="B2147" s="2" t="str">
        <f>IFERROR(__xludf.DUMMYFUNCTION("""COMPUTED_VALUE"""),"Hudi Khola HEP")</f>
        <v>Hudi Khola HEP</v>
      </c>
      <c r="C2147" s="2">
        <f>IFERROR(__xludf.DUMMYFUNCTION("""COMPUTED_VALUE"""),0.96)</f>
        <v>0.96</v>
      </c>
      <c r="D2147" s="2" t="str">
        <f>IFERROR(__xludf.DUMMYFUNCTION("""COMPUTED_VALUE"""),"Hudi")</f>
        <v>Hudi</v>
      </c>
      <c r="E2147" s="2">
        <f>IFERROR(__xludf.DUMMYFUNCTION("""COMPUTED_VALUE"""),2199.0)</f>
        <v>2199</v>
      </c>
      <c r="F2147" s="3">
        <f>IFERROR(__xludf.DUMMYFUNCTION("""COMPUTED_VALUE"""),63750.0)</f>
        <v>63750</v>
      </c>
      <c r="G2147" s="2" t="str">
        <f>IFERROR(__xludf.DUMMYFUNCTION("""COMPUTED_VALUE"""),"Hudi KHola Hydropower Pvt. Ltd")</f>
        <v>Hudi KHola Hydropower Pvt. Ltd</v>
      </c>
      <c r="H2147" s="2" t="str">
        <f>IFERROR(__xludf.DUMMYFUNCTION("""COMPUTED_VALUE"""),"Nayabazar-16, Kathmandu")</f>
        <v>Nayabazar-16, Kathmandu</v>
      </c>
      <c r="I2147" s="2" t="str">
        <f>IFERROR(__xludf.DUMMYFUNCTION("""COMPUTED_VALUE"""),"28o 05' 50""")</f>
        <v>28o 05' 50"</v>
      </c>
      <c r="J2147" s="2" t="str">
        <f>IFERROR(__xludf.DUMMYFUNCTION("""COMPUTED_VALUE"""),"28o 06' 45""")</f>
        <v>28o 06' 45"</v>
      </c>
      <c r="K2147" s="2" t="str">
        <f>IFERROR(__xludf.DUMMYFUNCTION("""COMPUTED_VALUE"""),"84o 40' 30""")</f>
        <v>84o 40' 30"</v>
      </c>
      <c r="L2147" s="2" t="str">
        <f>IFERROR(__xludf.DUMMYFUNCTION("""COMPUTED_VALUE"""),"84o 42' 02""")</f>
        <v>84o 42' 02"</v>
      </c>
      <c r="M2147" s="2"/>
    </row>
    <row r="2148">
      <c r="A2148" s="2">
        <f>IFERROR(__xludf.DUMMYFUNCTION("""COMPUTED_VALUE"""),2147.0)</f>
        <v>2147</v>
      </c>
      <c r="B2148" s="2" t="str">
        <f>IFERROR(__xludf.DUMMYFUNCTION("""COMPUTED_VALUE"""),"Nar 1 HEP")</f>
        <v>Nar 1 HEP</v>
      </c>
      <c r="C2148" s="2">
        <f>IFERROR(__xludf.DUMMYFUNCTION("""COMPUTED_VALUE"""),24.05)</f>
        <v>24.05</v>
      </c>
      <c r="D2148" s="2" t="str">
        <f>IFERROR(__xludf.DUMMYFUNCTION("""COMPUTED_VALUE"""),"Nar")</f>
        <v>Nar</v>
      </c>
      <c r="E2148" s="2">
        <f>IFERROR(__xludf.DUMMYFUNCTION("""COMPUTED_VALUE"""),2245.0)</f>
        <v>2245</v>
      </c>
      <c r="F2148" s="3">
        <f>IFERROR(__xludf.DUMMYFUNCTION("""COMPUTED_VALUE"""),63752.0)</f>
        <v>63752</v>
      </c>
      <c r="G2148" s="2" t="str">
        <f>IFERROR(__xludf.DUMMYFUNCTION("""COMPUTED_VALUE"""),"Dordi Khola Jalvidyut Company Limited")</f>
        <v>Dordi Khola Jalvidyut Company Limited</v>
      </c>
      <c r="H2148" s="2" t="str">
        <f>IFERROR(__xludf.DUMMYFUNCTION("""COMPUTED_VALUE"""),"Bluestar Complex Tripureshwor, 01-423274")</f>
        <v>Bluestar Complex Tripureshwor, 01-423274</v>
      </c>
      <c r="I2148" s="2" t="str">
        <f>IFERROR(__xludf.DUMMYFUNCTION("""COMPUTED_VALUE"""),"28o 38' 04""")</f>
        <v>28o 38' 04"</v>
      </c>
      <c r="J2148" s="2" t="str">
        <f>IFERROR(__xludf.DUMMYFUNCTION("""COMPUTED_VALUE"""),"28o 40' 27""")</f>
        <v>28o 40' 27"</v>
      </c>
      <c r="K2148" s="2" t="str">
        <f>IFERROR(__xludf.DUMMYFUNCTION("""COMPUTED_VALUE"""),"84o 13' 10""")</f>
        <v>84o 13' 10"</v>
      </c>
      <c r="L2148" s="2" t="str">
        <f>IFERROR(__xludf.DUMMYFUNCTION("""COMPUTED_VALUE"""),"84o 15' 00""")</f>
        <v>84o 15' 00"</v>
      </c>
      <c r="M2148" s="2" t="str">
        <f>IFERROR(__xludf.DUMMYFUNCTION("""COMPUTED_VALUE"""),"Nar,Fu (Manang)")</f>
        <v>Nar,Fu (Manang)</v>
      </c>
    </row>
    <row r="2149">
      <c r="A2149" s="2">
        <f>IFERROR(__xludf.DUMMYFUNCTION("""COMPUTED_VALUE"""),2148.0)</f>
        <v>2148</v>
      </c>
      <c r="B2149" s="2" t="str">
        <f>IFERROR(__xludf.DUMMYFUNCTION("""COMPUTED_VALUE"""),"Upper Rukumgad HEP")</f>
        <v>Upper Rukumgad HEP</v>
      </c>
      <c r="C2149" s="2">
        <f>IFERROR(__xludf.DUMMYFUNCTION("""COMPUTED_VALUE"""),5.0)</f>
        <v>5</v>
      </c>
      <c r="D2149" s="2" t="str">
        <f>IFERROR(__xludf.DUMMYFUNCTION("""COMPUTED_VALUE"""),"Rukum Gad")</f>
        <v>Rukum Gad</v>
      </c>
      <c r="E2149" s="2">
        <f>IFERROR(__xludf.DUMMYFUNCTION("""COMPUTED_VALUE"""),2331.0)</f>
        <v>2331</v>
      </c>
      <c r="F2149" s="3">
        <f>IFERROR(__xludf.DUMMYFUNCTION("""COMPUTED_VALUE"""),63757.0)</f>
        <v>63757</v>
      </c>
      <c r="G2149" s="2" t="str">
        <f>IFERROR(__xludf.DUMMYFUNCTION("""COMPUTED_VALUE"""),"Gandaki Energy Limited")</f>
        <v>Gandaki Energy Limited</v>
      </c>
      <c r="H2149" s="2" t="str">
        <f>IFERROR(__xludf.DUMMYFUNCTION("""COMPUTED_VALUE"""),"Bluestar Complex, tripureshwor")</f>
        <v>Bluestar Complex, tripureshwor</v>
      </c>
      <c r="I2149" s="2" t="str">
        <f>IFERROR(__xludf.DUMMYFUNCTION("""COMPUTED_VALUE"""),"28o 36' 50""")</f>
        <v>28o 36' 50"</v>
      </c>
      <c r="J2149" s="2" t="str">
        <f>IFERROR(__xludf.DUMMYFUNCTION("""COMPUTED_VALUE"""),"28o 38' 02""")</f>
        <v>28o 38' 02"</v>
      </c>
      <c r="K2149" s="2" t="str">
        <f>IFERROR(__xludf.DUMMYFUNCTION("""COMPUTED_VALUE"""),"82o 37' 30""")</f>
        <v>82o 37' 30"</v>
      </c>
      <c r="L2149" s="2" t="str">
        <f>IFERROR(__xludf.DUMMYFUNCTION("""COMPUTED_VALUE"""),"82o 39' 01""")</f>
        <v>82o 39' 01"</v>
      </c>
      <c r="M2149" s="2" t="str">
        <f>IFERROR(__xludf.DUMMYFUNCTION("""COMPUTED_VALUE"""),"Sisne (Rukum)")</f>
        <v>Sisne (Rukum)</v>
      </c>
    </row>
    <row r="2150">
      <c r="A2150" s="2">
        <f>IFERROR(__xludf.DUMMYFUNCTION("""COMPUTED_VALUE"""),2149.0)</f>
        <v>2149</v>
      </c>
      <c r="B2150" s="2" t="str">
        <f>IFERROR(__xludf.DUMMYFUNCTION("""COMPUTED_VALUE"""),"Super Tadi Khola A HEP")</f>
        <v>Super Tadi Khola A HEP</v>
      </c>
      <c r="C2150" s="2">
        <f>IFERROR(__xludf.DUMMYFUNCTION("""COMPUTED_VALUE"""),4.8)</f>
        <v>4.8</v>
      </c>
      <c r="D2150" s="2" t="str">
        <f>IFERROR(__xludf.DUMMYFUNCTION("""COMPUTED_VALUE"""),"Tadi Khola")</f>
        <v>Tadi Khola</v>
      </c>
      <c r="E2150" s="2">
        <f>IFERROR(__xludf.DUMMYFUNCTION("""COMPUTED_VALUE"""),2814.0)</f>
        <v>2814</v>
      </c>
      <c r="F2150" s="3">
        <f>IFERROR(__xludf.DUMMYFUNCTION("""COMPUTED_VALUE"""),63784.0)</f>
        <v>63784</v>
      </c>
      <c r="G2150" s="2" t="str">
        <f>IFERROR(__xludf.DUMMYFUNCTION("""COMPUTED_VALUE"""),"Shreekar POwer Pvt. ltd.")</f>
        <v>Shreekar POwer Pvt. ltd.</v>
      </c>
      <c r="H2150" s="2" t="str">
        <f>IFERROR(__xludf.DUMMYFUNCTION("""COMPUTED_VALUE"""),"Ka. Ma. Na. Pa 10, Purano Baneshwor")</f>
        <v>Ka. Ma. Na. Pa 10, Purano Baneshwor</v>
      </c>
      <c r="I2150" s="2" t="str">
        <f>IFERROR(__xludf.DUMMYFUNCTION("""COMPUTED_VALUE"""),"27o 58' 30""")</f>
        <v>27o 58' 30"</v>
      </c>
      <c r="J2150" s="2" t="str">
        <f>IFERROR(__xludf.DUMMYFUNCTION("""COMPUTED_VALUE"""),"27o 59' 03""")</f>
        <v>27o 59' 03"</v>
      </c>
      <c r="K2150" s="2" t="str">
        <f>IFERROR(__xludf.DUMMYFUNCTION("""COMPUTED_VALUE"""),"85o 26' 26""")</f>
        <v>85o 26' 26"</v>
      </c>
      <c r="L2150" s="2" t="str">
        <f>IFERROR(__xludf.DUMMYFUNCTION("""COMPUTED_VALUE"""),"85o 27' 00""")</f>
        <v>85o 27' 00"</v>
      </c>
      <c r="M2150" s="2"/>
    </row>
    <row r="2151">
      <c r="A2151" s="2">
        <f>IFERROR(__xludf.DUMMYFUNCTION("""COMPUTED_VALUE"""),2150.0)</f>
        <v>2150</v>
      </c>
      <c r="B2151" s="2" t="str">
        <f>IFERROR(__xludf.DUMMYFUNCTION("""COMPUTED_VALUE"""),"HUmla Karnali II HEP")</f>
        <v>HUmla Karnali II HEP</v>
      </c>
      <c r="C2151" s="2">
        <f>IFERROR(__xludf.DUMMYFUNCTION("""COMPUTED_VALUE"""),410.0)</f>
        <v>410</v>
      </c>
      <c r="D2151" s="2" t="str">
        <f>IFERROR(__xludf.DUMMYFUNCTION("""COMPUTED_VALUE"""),"Karnali")</f>
        <v>Karnali</v>
      </c>
      <c r="E2151" s="2">
        <f>IFERROR(__xludf.DUMMYFUNCTION("""COMPUTED_VALUE"""),3289.0)</f>
        <v>3289</v>
      </c>
      <c r="F2151" s="3">
        <f>IFERROR(__xludf.DUMMYFUNCTION("""COMPUTED_VALUE"""),63803.0)</f>
        <v>63803</v>
      </c>
      <c r="G2151" s="2" t="str">
        <f>IFERROR(__xludf.DUMMYFUNCTION("""COMPUTED_VALUE"""),"Schichuwan Wangping Energy Science and Technology Pvt. Ltd")</f>
        <v>Schichuwan Wangping Energy Science and Technology Pvt. Ltd</v>
      </c>
      <c r="H2151" s="2" t="str">
        <f>IFERROR(__xludf.DUMMYFUNCTION("""COMPUTED_VALUE"""),"Samakhusi, Kathmandu")</f>
        <v>Samakhusi, Kathmandu</v>
      </c>
      <c r="I2151" s="2" t="str">
        <f>IFERROR(__xludf.DUMMYFUNCTION("""COMPUTED_VALUE"""),"29o 46' 00""")</f>
        <v>29o 46' 00"</v>
      </c>
      <c r="J2151" s="2" t="str">
        <f>IFERROR(__xludf.DUMMYFUNCTION("""COMPUTED_VALUE"""),"29o 57' 00""")</f>
        <v>29o 57' 00"</v>
      </c>
      <c r="K2151" s="2" t="str">
        <f>IFERROR(__xludf.DUMMYFUNCTION("""COMPUTED_VALUE"""),"81o 51' 00""")</f>
        <v>81o 51' 00"</v>
      </c>
      <c r="L2151" s="2" t="str">
        <f>IFERROR(__xludf.DUMMYFUNCTION("""COMPUTED_VALUE"""),"81o 56' 30""")</f>
        <v>81o 56' 30"</v>
      </c>
      <c r="M2151" s="2" t="str">
        <f>IFERROR(__xludf.DUMMYFUNCTION("""COMPUTED_VALUE"""),"Kharpunath (Humla)")</f>
        <v>Kharpunath (Humla)</v>
      </c>
    </row>
    <row r="2152">
      <c r="A2152" s="2">
        <f>IFERROR(__xludf.DUMMYFUNCTION("""COMPUTED_VALUE"""),2151.0)</f>
        <v>2151</v>
      </c>
      <c r="B2152" s="2" t="str">
        <f>IFERROR(__xludf.DUMMYFUNCTION("""COMPUTED_VALUE"""),"Upper Ruru Banchu Khola HEP")</f>
        <v>Upper Ruru Banchu Khola HEP</v>
      </c>
      <c r="C2152" s="2">
        <f>IFERROR(__xludf.DUMMYFUNCTION("""COMPUTED_VALUE"""),4.7)</f>
        <v>4.7</v>
      </c>
      <c r="D2152" s="2" t="str">
        <f>IFERROR(__xludf.DUMMYFUNCTION("""COMPUTED_VALUE"""),"Rurubanchu Khola")</f>
        <v>Rurubanchu Khola</v>
      </c>
      <c r="E2152" s="2">
        <f>IFERROR(__xludf.DUMMYFUNCTION("""COMPUTED_VALUE"""),3713.0)</f>
        <v>3713</v>
      </c>
      <c r="F2152" s="3">
        <f>IFERROR(__xludf.DUMMYFUNCTION("""COMPUTED_VALUE"""),63822.0)</f>
        <v>63822</v>
      </c>
      <c r="G2152" s="2" t="str">
        <f>IFERROR(__xludf.DUMMYFUNCTION("""COMPUTED_VALUE"""),"Himal Urja Pvt. Ltd")</f>
        <v>Himal Urja Pvt. Ltd</v>
      </c>
      <c r="H2152" s="2" t="str">
        <f>IFERROR(__xludf.DUMMYFUNCTION("""COMPUTED_VALUE"""),"United World Trade Center, Tripureshwor, Kathmandu")</f>
        <v>United World Trade Center, Tripureshwor, Kathmandu</v>
      </c>
      <c r="I2152" s="2" t="str">
        <f>IFERROR(__xludf.DUMMYFUNCTION("""COMPUTED_VALUE"""),"29o 05' 25""")</f>
        <v>29o 05' 25"</v>
      </c>
      <c r="J2152" s="2" t="str">
        <f>IFERROR(__xludf.DUMMYFUNCTION("""COMPUTED_VALUE"""),"29o 07' 05""")</f>
        <v>29o 07' 05"</v>
      </c>
      <c r="K2152" s="2" t="str">
        <f>IFERROR(__xludf.DUMMYFUNCTION("""COMPUTED_VALUE"""),"81o 48' 20""")</f>
        <v>81o 48' 20"</v>
      </c>
      <c r="L2152" s="2" t="str">
        <f>IFERROR(__xludf.DUMMYFUNCTION("""COMPUTED_VALUE"""),"81o 53' 25""")</f>
        <v>81o 53' 25"</v>
      </c>
      <c r="M2152" s="2" t="str">
        <f>IFERROR(__xludf.DUMMYFUNCTION("""COMPUTED_VALUE"""),"Chilkhaya (Kalikot)")</f>
        <v>Chilkhaya (Kalikot)</v>
      </c>
    </row>
    <row r="2153">
      <c r="A2153" s="2">
        <f>IFERROR(__xludf.DUMMYFUNCTION("""COMPUTED_VALUE"""),2152.0)</f>
        <v>2152</v>
      </c>
      <c r="B2153" s="2" t="str">
        <f>IFERROR(__xludf.DUMMYFUNCTION("""COMPUTED_VALUE"""),"Bheri Babai Diversion Multipurpose Project")</f>
        <v>Bheri Babai Diversion Multipurpose Project</v>
      </c>
      <c r="C2153" s="2">
        <f>IFERROR(__xludf.DUMMYFUNCTION("""COMPUTED_VALUE"""),48.0)</f>
        <v>48</v>
      </c>
      <c r="D2153" s="2" t="str">
        <f>IFERROR(__xludf.DUMMYFUNCTION("""COMPUTED_VALUE"""),"Bheri")</f>
        <v>Bheri</v>
      </c>
      <c r="E2153" s="2">
        <f>IFERROR(__xludf.DUMMYFUNCTION("""COMPUTED_VALUE"""),3733.0)</f>
        <v>3733</v>
      </c>
      <c r="F2153" s="3">
        <f>IFERROR(__xludf.DUMMYFUNCTION("""COMPUTED_VALUE"""),63823.0)</f>
        <v>63823</v>
      </c>
      <c r="G2153" s="2" t="str">
        <f>IFERROR(__xludf.DUMMYFUNCTION("""COMPUTED_VALUE"""),"Betan Karnali Sanchayakarta Hydropower Company Ltd")</f>
        <v>Betan Karnali Sanchayakarta Hydropower Company Ltd</v>
      </c>
      <c r="H2153" s="2" t="str">
        <f>IFERROR(__xludf.DUMMYFUNCTION("""COMPUTED_VALUE"""),"Pulchok, Lalitpur, 9851087348")</f>
        <v>Pulchok, Lalitpur, 9851087348</v>
      </c>
      <c r="I2153" s="2" t="str">
        <f>IFERROR(__xludf.DUMMYFUNCTION("""COMPUTED_VALUE"""),"28o 20' 10""")</f>
        <v>28o 20' 10"</v>
      </c>
      <c r="J2153" s="2" t="str">
        <f>IFERROR(__xludf.DUMMYFUNCTION("""COMPUTED_VALUE"""),"28o 29' 45""")</f>
        <v>28o 29' 45"</v>
      </c>
      <c r="K2153" s="2" t="str">
        <f>IFERROR(__xludf.DUMMYFUNCTION("""COMPUTED_VALUE"""),"81o 42' 30""")</f>
        <v>81o 42' 30"</v>
      </c>
      <c r="L2153" s="2" t="str">
        <f>IFERROR(__xludf.DUMMYFUNCTION("""COMPUTED_VALUE"""),"81o 52' 26""")</f>
        <v>81o 52' 26"</v>
      </c>
      <c r="M2153" s="2" t="str">
        <f>IFERROR(__xludf.DUMMYFUNCTION("""COMPUTED_VALUE"""),"Chhinchu,Lekhfarsa,Ramghat (Surkhet)")</f>
        <v>Chhinchu,Lekhfarsa,Ramghat (Surkhet)</v>
      </c>
    </row>
    <row r="2154">
      <c r="A2154" s="2">
        <f>IFERROR(__xludf.DUMMYFUNCTION("""COMPUTED_VALUE"""),2153.0)</f>
        <v>2153</v>
      </c>
      <c r="B2154" s="2" t="str">
        <f>IFERROR(__xludf.DUMMYFUNCTION("""COMPUTED_VALUE"""),"Super Tamakoshi A")</f>
        <v>Super Tamakoshi A</v>
      </c>
      <c r="C2154" s="2">
        <f>IFERROR(__xludf.DUMMYFUNCTION("""COMPUTED_VALUE"""),4.6)</f>
        <v>4.6</v>
      </c>
      <c r="D2154" s="2" t="str">
        <f>IFERROR(__xludf.DUMMYFUNCTION("""COMPUTED_VALUE"""),"Tamakoshi")</f>
        <v>Tamakoshi</v>
      </c>
      <c r="E2154" s="2">
        <f>IFERROR(__xludf.DUMMYFUNCTION("""COMPUTED_VALUE"""),4104.0)</f>
        <v>4104</v>
      </c>
      <c r="F2154" s="3">
        <f>IFERROR(__xludf.DUMMYFUNCTION("""COMPUTED_VALUE"""),63837.0)</f>
        <v>63837</v>
      </c>
      <c r="G2154" s="2" t="str">
        <f>IFERROR(__xludf.DUMMYFUNCTION("""COMPUTED_VALUE"""),"Shreekar Power Company Pvt. Ltd")</f>
        <v>Shreekar Power Company Pvt. Ltd</v>
      </c>
      <c r="H2154" s="2" t="str">
        <f>IFERROR(__xludf.DUMMYFUNCTION("""COMPUTED_VALUE"""),"Ka. Ma. Na. Pa-10, Devkota sada, OLd Baneshwor")</f>
        <v>Ka. Ma. Na. Pa-10, Devkota sada, OLd Baneshwor</v>
      </c>
      <c r="I2154" s="2" t="str">
        <f>IFERROR(__xludf.DUMMYFUNCTION("""COMPUTED_VALUE"""),"27o 56' 30""")</f>
        <v>27o 56' 30"</v>
      </c>
      <c r="J2154" s="2" t="str">
        <f>IFERROR(__xludf.DUMMYFUNCTION("""COMPUTED_VALUE"""),"27o 58' 00""")</f>
        <v>27o 58' 00"</v>
      </c>
      <c r="K2154" s="2" t="str">
        <f>IFERROR(__xludf.DUMMYFUNCTION("""COMPUTED_VALUE"""),"86o 12' 25""")</f>
        <v>86o 12' 25"</v>
      </c>
      <c r="L2154" s="2" t="str">
        <f>IFERROR(__xludf.DUMMYFUNCTION("""COMPUTED_VALUE"""),"86o 13' 26""")</f>
        <v>86o 13' 26"</v>
      </c>
      <c r="M2154" s="2" t="str">
        <f>IFERROR(__xludf.DUMMYFUNCTION("""COMPUTED_VALUE"""),"Lamabagar (Dolakha)")</f>
        <v>Lamabagar (Dolakha)</v>
      </c>
    </row>
    <row r="2155">
      <c r="A2155" s="2">
        <f>IFERROR(__xludf.DUMMYFUNCTION("""COMPUTED_VALUE"""),2154.0)</f>
        <v>2154</v>
      </c>
      <c r="B2155" s="2" t="str">
        <f>IFERROR(__xludf.DUMMYFUNCTION("""COMPUTED_VALUE"""),"Upper Trishuli-1 Cascade HEP")</f>
        <v>Upper Trishuli-1 Cascade HEP</v>
      </c>
      <c r="C2155" s="2">
        <f>IFERROR(__xludf.DUMMYFUNCTION("""COMPUTED_VALUE"""),24.5)</f>
        <v>24.5</v>
      </c>
      <c r="D2155" s="2" t="str">
        <f>IFERROR(__xludf.DUMMYFUNCTION("""COMPUTED_VALUE"""),"Trishuli Ganga")</f>
        <v>Trishuli Ganga</v>
      </c>
      <c r="E2155" s="2">
        <f>IFERROR(__xludf.DUMMYFUNCTION("""COMPUTED_VALUE"""),4130.0)</f>
        <v>4130</v>
      </c>
      <c r="F2155" s="3">
        <f>IFERROR(__xludf.DUMMYFUNCTION("""COMPUTED_VALUE"""),63838.0)</f>
        <v>63838</v>
      </c>
      <c r="G2155" s="2" t="str">
        <f>IFERROR(__xludf.DUMMYFUNCTION("""COMPUTED_VALUE"""),"Sahan Engineering Concern Pvt.Ltd")</f>
        <v>Sahan Engineering Concern Pvt.Ltd</v>
      </c>
      <c r="H2155" s="2" t="str">
        <f>IFERROR(__xludf.DUMMYFUNCTION("""COMPUTED_VALUE"""),"Nakhipot, Lalitpur")</f>
        <v>Nakhipot, Lalitpur</v>
      </c>
      <c r="I2155" s="2" t="str">
        <f>IFERROR(__xludf.DUMMYFUNCTION("""COMPUTED_VALUE"""),"28o 03' 30""")</f>
        <v>28o 03' 30"</v>
      </c>
      <c r="J2155" s="2" t="str">
        <f>IFERROR(__xludf.DUMMYFUNCTION("""COMPUTED_VALUE"""),"28o 04' 30""")</f>
        <v>28o 04' 30"</v>
      </c>
      <c r="K2155" s="2" t="str">
        <f>IFERROR(__xludf.DUMMYFUNCTION("""COMPUTED_VALUE"""),"85o 12' 00""")</f>
        <v>85o 12' 00"</v>
      </c>
      <c r="L2155" s="2" t="str">
        <f>IFERROR(__xludf.DUMMYFUNCTION("""COMPUTED_VALUE"""),"85o 13' 00""")</f>
        <v>85o 13' 00"</v>
      </c>
      <c r="M2155" s="2" t="str">
        <f>IFERROR(__xludf.DUMMYFUNCTION("""COMPUTED_VALUE"""),"Haku,Ramche,Thulogoun (Rasuwa)")</f>
        <v>Haku,Ramche,Thulogoun (Rasuwa)</v>
      </c>
    </row>
    <row r="2156">
      <c r="A2156" s="2">
        <f>IFERROR(__xludf.DUMMYFUNCTION("""COMPUTED_VALUE"""),2155.0)</f>
        <v>2155</v>
      </c>
      <c r="B2156" s="2" t="str">
        <f>IFERROR(__xludf.DUMMYFUNCTION("""COMPUTED_VALUE"""),"Humla Karnali II HEP")</f>
        <v>Humla Karnali II HEP</v>
      </c>
      <c r="C2156" s="2">
        <f>IFERROR(__xludf.DUMMYFUNCTION("""COMPUTED_VALUE"""),335.0)</f>
        <v>335</v>
      </c>
      <c r="D2156" s="2" t="str">
        <f>IFERROR(__xludf.DUMMYFUNCTION("""COMPUTED_VALUE"""),"Humla Karnali")</f>
        <v>Humla Karnali</v>
      </c>
      <c r="E2156" s="2">
        <f>IFERROR(__xludf.DUMMYFUNCTION("""COMPUTED_VALUE"""),4158.0)</f>
        <v>4158</v>
      </c>
      <c r="F2156" s="3">
        <f>IFERROR(__xludf.DUMMYFUNCTION("""COMPUTED_VALUE"""),63841.0)</f>
        <v>63841</v>
      </c>
      <c r="G2156" s="2" t="str">
        <f>IFERROR(__xludf.DUMMYFUNCTION("""COMPUTED_VALUE"""),"Sichuan Wangping Energy Science and Technology Pvt. Ltd")</f>
        <v>Sichuan Wangping Energy Science and Technology Pvt. Ltd</v>
      </c>
      <c r="H2156" s="2" t="str">
        <f>IFERROR(__xludf.DUMMYFUNCTION("""COMPUTED_VALUE"""),"Kathmandu, Nepal")</f>
        <v>Kathmandu, Nepal</v>
      </c>
      <c r="I2156" s="2" t="str">
        <f>IFERROR(__xludf.DUMMYFUNCTION("""COMPUTED_VALUE"""),"29o 46' 00""")</f>
        <v>29o 46' 00"</v>
      </c>
      <c r="J2156" s="2" t="str">
        <f>IFERROR(__xludf.DUMMYFUNCTION("""COMPUTED_VALUE"""),"29o 52' 47""")</f>
        <v>29o 52' 47"</v>
      </c>
      <c r="K2156" s="2" t="str">
        <f>IFERROR(__xludf.DUMMYFUNCTION("""COMPUTED_VALUE"""),"81o 51' 00""")</f>
        <v>81o 51' 00"</v>
      </c>
      <c r="L2156" s="2" t="str">
        <f>IFERROR(__xludf.DUMMYFUNCTION("""COMPUTED_VALUE"""),"81o 56' 29""")</f>
        <v>81o 56' 29"</v>
      </c>
      <c r="M2156" s="2" t="str">
        <f>IFERROR(__xludf.DUMMYFUNCTION("""COMPUTED_VALUE"""),"Raya,Saya(Sama) (Humla)")</f>
        <v>Raya,Saya(Sama) (Humla)</v>
      </c>
    </row>
    <row r="2157">
      <c r="A2157" s="2">
        <f>IFERROR(__xludf.DUMMYFUNCTION("""COMPUTED_VALUE"""),2156.0)</f>
        <v>2156</v>
      </c>
      <c r="B2157" s="2" t="str">
        <f>IFERROR(__xludf.DUMMYFUNCTION("""COMPUTED_VALUE"""),"Lower Inkhu Small HEP")</f>
        <v>Lower Inkhu Small HEP</v>
      </c>
      <c r="C2157" s="2">
        <f>IFERROR(__xludf.DUMMYFUNCTION("""COMPUTED_VALUE"""),3.1)</f>
        <v>3.1</v>
      </c>
      <c r="D2157" s="2" t="str">
        <f>IFERROR(__xludf.DUMMYFUNCTION("""COMPUTED_VALUE"""),"Inkhu")</f>
        <v>Inkhu</v>
      </c>
      <c r="E2157" s="2">
        <f>IFERROR(__xludf.DUMMYFUNCTION("""COMPUTED_VALUE"""),4302.0)</f>
        <v>4302</v>
      </c>
      <c r="F2157" s="3">
        <f>IFERROR(__xludf.DUMMYFUNCTION("""COMPUTED_VALUE"""),63849.0)</f>
        <v>63849</v>
      </c>
      <c r="G2157" s="2" t="str">
        <f>IFERROR(__xludf.DUMMYFUNCTION("""COMPUTED_VALUE"""),"Amar Nath Shrestha")</f>
        <v>Amar Nath Shrestha</v>
      </c>
      <c r="H2157" s="2" t="str">
        <f>IFERROR(__xludf.DUMMYFUNCTION("""COMPUTED_VALUE"""),"Kathmandu, 01-4354727")</f>
        <v>Kathmandu, 01-4354727</v>
      </c>
      <c r="I2157" s="2" t="str">
        <f>IFERROR(__xludf.DUMMYFUNCTION("""COMPUTED_VALUE"""),"27o 28' 15""")</f>
        <v>27o 28' 15"</v>
      </c>
      <c r="J2157" s="2" t="str">
        <f>IFERROR(__xludf.DUMMYFUNCTION("""COMPUTED_VALUE"""),"27o 29' 30""")</f>
        <v>27o 29' 30"</v>
      </c>
      <c r="K2157" s="2" t="str">
        <f>IFERROR(__xludf.DUMMYFUNCTION("""COMPUTED_VALUE"""),"86o 43' 30""")</f>
        <v>86o 43' 30"</v>
      </c>
      <c r="L2157" s="2" t="str">
        <f>IFERROR(__xludf.DUMMYFUNCTION("""COMPUTED_VALUE"""),"86o 44' 00""")</f>
        <v>86o 44' 00"</v>
      </c>
      <c r="M2157" s="2" t="str">
        <f>IFERROR(__xludf.DUMMYFUNCTION("""COMPUTED_VALUE"""),"Mabe(Pawai) (Solukhumbu)")</f>
        <v>Mabe(Pawai) (Solukhumbu)</v>
      </c>
    </row>
    <row r="2158">
      <c r="A2158" s="2">
        <f>IFERROR(__xludf.DUMMYFUNCTION("""COMPUTED_VALUE"""),2157.0)</f>
        <v>2157</v>
      </c>
      <c r="B2158" s="2" t="str">
        <f>IFERROR(__xludf.DUMMYFUNCTION("""COMPUTED_VALUE"""),"Hudi KHola Small HEP")</f>
        <v>Hudi KHola Small HEP</v>
      </c>
      <c r="C2158" s="2">
        <f>IFERROR(__xludf.DUMMYFUNCTION("""COMPUTED_VALUE"""),0.96)</f>
        <v>0.96</v>
      </c>
      <c r="D2158" s="2" t="str">
        <f>IFERROR(__xludf.DUMMYFUNCTION("""COMPUTED_VALUE"""),"Hudi")</f>
        <v>Hudi</v>
      </c>
      <c r="E2158" s="2">
        <f>IFERROR(__xludf.DUMMYFUNCTION("""COMPUTED_VALUE"""),4453.0)</f>
        <v>4453</v>
      </c>
      <c r="F2158" s="3">
        <f>IFERROR(__xludf.DUMMYFUNCTION("""COMPUTED_VALUE"""),63855.0)</f>
        <v>63855</v>
      </c>
      <c r="G2158" s="2" t="str">
        <f>IFERROR(__xludf.DUMMYFUNCTION("""COMPUTED_VALUE"""),"Hudi Khola Hydropower Pvt. Ltd.")</f>
        <v>Hudi Khola Hydropower Pvt. Ltd.</v>
      </c>
      <c r="H2158" s="2" t="str">
        <f>IFERROR(__xludf.DUMMYFUNCTION("""COMPUTED_VALUE"""),"Nayabazar, kathmandu")</f>
        <v>Nayabazar, kathmandu</v>
      </c>
      <c r="I2158" s="2" t="str">
        <f>IFERROR(__xludf.DUMMYFUNCTION("""COMPUTED_VALUE"""),"28o 05' 50""")</f>
        <v>28o 05' 50"</v>
      </c>
      <c r="J2158" s="2" t="str">
        <f>IFERROR(__xludf.DUMMYFUNCTION("""COMPUTED_VALUE"""),"28o 06' 45""")</f>
        <v>28o 06' 45"</v>
      </c>
      <c r="K2158" s="2" t="str">
        <f>IFERROR(__xludf.DUMMYFUNCTION("""COMPUTED_VALUE"""),"84o 40' 30""")</f>
        <v>84o 40' 30"</v>
      </c>
      <c r="L2158" s="2" t="str">
        <f>IFERROR(__xludf.DUMMYFUNCTION("""COMPUTED_VALUE"""),"84o 42' 02""")</f>
        <v>84o 42' 02"</v>
      </c>
      <c r="M2158" s="2" t="str">
        <f>IFERROR(__xludf.DUMMYFUNCTION("""COMPUTED_VALUE"""),"Shreenathkot (Gorkha)")</f>
        <v>Shreenathkot (Gorkha)</v>
      </c>
    </row>
    <row r="2159">
      <c r="A2159" s="2">
        <f>IFERROR(__xludf.DUMMYFUNCTION("""COMPUTED_VALUE"""),2158.0)</f>
        <v>2158</v>
      </c>
      <c r="B2159" s="2" t="str">
        <f>IFERROR(__xludf.DUMMYFUNCTION("""COMPUTED_VALUE"""),"Lower Lapche Khola HEP")</f>
        <v>Lower Lapche Khola HEP</v>
      </c>
      <c r="C2159" s="2">
        <f>IFERROR(__xludf.DUMMYFUNCTION("""COMPUTED_VALUE"""),4.6)</f>
        <v>4.6</v>
      </c>
      <c r="D2159" s="2" t="str">
        <f>IFERROR(__xludf.DUMMYFUNCTION("""COMPUTED_VALUE"""),"Lapche")</f>
        <v>Lapche</v>
      </c>
      <c r="E2159" s="2">
        <f>IFERROR(__xludf.DUMMYFUNCTION("""COMPUTED_VALUE"""),4504.0)</f>
        <v>4504</v>
      </c>
      <c r="F2159" s="3">
        <f>IFERROR(__xludf.DUMMYFUNCTION("""COMPUTED_VALUE"""),63860.0)</f>
        <v>63860</v>
      </c>
      <c r="G2159" s="2" t="str">
        <f>IFERROR(__xludf.DUMMYFUNCTION("""COMPUTED_VALUE"""),"Shreekar Power Company Pvt. Ltd")</f>
        <v>Shreekar Power Company Pvt. Ltd</v>
      </c>
      <c r="H2159" s="2" t="str">
        <f>IFERROR(__xludf.DUMMYFUNCTION("""COMPUTED_VALUE"""),"Ka. Ma. Na. Pa 10, Mid Baneshwor")</f>
        <v>Ka. Ma. Na. Pa 10, Mid Baneshwor</v>
      </c>
      <c r="I2159" s="2" t="str">
        <f>IFERROR(__xludf.DUMMYFUNCTION("""COMPUTED_VALUE"""),"27o 58' 00""")</f>
        <v>27o 58' 00"</v>
      </c>
      <c r="J2159" s="2" t="str">
        <f>IFERROR(__xludf.DUMMYFUNCTION("""COMPUTED_VALUE"""),"27o 58' 50""")</f>
        <v>27o 58' 50"</v>
      </c>
      <c r="K2159" s="2" t="str">
        <f>IFERROR(__xludf.DUMMYFUNCTION("""COMPUTED_VALUE"""),"86o 12' 07""")</f>
        <v>86o 12' 07"</v>
      </c>
      <c r="L2159" s="2" t="str">
        <f>IFERROR(__xludf.DUMMYFUNCTION("""COMPUTED_VALUE"""),"86o 13' 30""")</f>
        <v>86o 13' 30"</v>
      </c>
      <c r="M2159" s="2" t="str">
        <f>IFERROR(__xludf.DUMMYFUNCTION("""COMPUTED_VALUE"""),"Lamabagar (Dolakha)")</f>
        <v>Lamabagar (Dolakha)</v>
      </c>
    </row>
    <row r="2160">
      <c r="A2160" s="2">
        <f>IFERROR(__xludf.DUMMYFUNCTION("""COMPUTED_VALUE"""),2159.0)</f>
        <v>2159</v>
      </c>
      <c r="B2160" s="2" t="str">
        <f>IFERROR(__xludf.DUMMYFUNCTION("""COMPUTED_VALUE"""),"Bajhang Upper Seti HEP")</f>
        <v>Bajhang Upper Seti HEP</v>
      </c>
      <c r="C2160" s="2">
        <f>IFERROR(__xludf.DUMMYFUNCTION("""COMPUTED_VALUE"""),140.0)</f>
        <v>140</v>
      </c>
      <c r="D2160" s="2" t="str">
        <f>IFERROR(__xludf.DUMMYFUNCTION("""COMPUTED_VALUE"""),"Seti")</f>
        <v>Seti</v>
      </c>
      <c r="E2160" s="2">
        <f>IFERROR(__xludf.DUMMYFUNCTION("""COMPUTED_VALUE"""),4640.0)</f>
        <v>4640</v>
      </c>
      <c r="F2160" s="3">
        <f>IFERROR(__xludf.DUMMYFUNCTION("""COMPUTED_VALUE"""),63867.0)</f>
        <v>63867</v>
      </c>
      <c r="G2160" s="2" t="str">
        <f>IFERROR(__xludf.DUMMYFUNCTION("""COMPUTED_VALUE"""),"Sambridhi Energy Pvt. Ltd.")</f>
        <v>Sambridhi Energy Pvt. Ltd.</v>
      </c>
      <c r="H2160" s="2" t="str">
        <f>IFERROR(__xludf.DUMMYFUNCTION("""COMPUTED_VALUE"""),"Naxal, Kathmandu")</f>
        <v>Naxal, Kathmandu</v>
      </c>
      <c r="I2160" s="2" t="str">
        <f>IFERROR(__xludf.DUMMYFUNCTION("""COMPUTED_VALUE"""),"29o 44' 50""")</f>
        <v>29o 44' 50"</v>
      </c>
      <c r="J2160" s="2" t="str">
        <f>IFERROR(__xludf.DUMMYFUNCTION("""COMPUTED_VALUE"""),"29o 50' 30""")</f>
        <v>29o 50' 30"</v>
      </c>
      <c r="K2160" s="2" t="str">
        <f>IFERROR(__xludf.DUMMYFUNCTION("""COMPUTED_VALUE"""),"81o 15' 00""")</f>
        <v>81o 15' 00"</v>
      </c>
      <c r="L2160" s="2" t="str">
        <f>IFERROR(__xludf.DUMMYFUNCTION("""COMPUTED_VALUE"""),"81o 18' 45""")</f>
        <v>81o 18' 45"</v>
      </c>
      <c r="M2160" s="2" t="str">
        <f>IFERROR(__xludf.DUMMYFUNCTION("""COMPUTED_VALUE"""),"Kanda (Bajhang)")</f>
        <v>Kanda (Bajhang)</v>
      </c>
    </row>
    <row r="2161">
      <c r="A2161" s="2">
        <f>IFERROR(__xludf.DUMMYFUNCTION("""COMPUTED_VALUE"""),2160.0)</f>
        <v>2160</v>
      </c>
      <c r="B2161" s="2" t="str">
        <f>IFERROR(__xludf.DUMMYFUNCTION("""COMPUTED_VALUE"""),"Tarap Khola HEP")</f>
        <v>Tarap Khola HEP</v>
      </c>
      <c r="C2161" s="2">
        <f>IFERROR(__xludf.DUMMYFUNCTION("""COMPUTED_VALUE"""),24.0)</f>
        <v>24</v>
      </c>
      <c r="D2161" s="2" t="str">
        <f>IFERROR(__xludf.DUMMYFUNCTION("""COMPUTED_VALUE"""),"Bheri")</f>
        <v>Bheri</v>
      </c>
      <c r="E2161" s="2">
        <f>IFERROR(__xludf.DUMMYFUNCTION("""COMPUTED_VALUE"""),4665.0)</f>
        <v>4665</v>
      </c>
      <c r="F2161" s="3">
        <f>IFERROR(__xludf.DUMMYFUNCTION("""COMPUTED_VALUE"""),63868.0)</f>
        <v>63868</v>
      </c>
      <c r="G2161" s="2" t="str">
        <f>IFERROR(__xludf.DUMMYFUNCTION("""COMPUTED_VALUE"""),"Country Development Company Pvt. Ltd.")</f>
        <v>Country Development Company Pvt. Ltd.</v>
      </c>
      <c r="H2161" s="2" t="str">
        <f>IFERROR(__xludf.DUMMYFUNCTION("""COMPUTED_VALUE"""),"Balaju, Kathmandu")</f>
        <v>Balaju, Kathmandu</v>
      </c>
      <c r="I2161" s="2" t="str">
        <f>IFERROR(__xludf.DUMMYFUNCTION("""COMPUTED_VALUE"""),"28o 53' 27""")</f>
        <v>28o 53' 27"</v>
      </c>
      <c r="J2161" s="2" t="str">
        <f>IFERROR(__xludf.DUMMYFUNCTION("""COMPUTED_VALUE"""),"28o 58' 20""")</f>
        <v>28o 58' 20"</v>
      </c>
      <c r="K2161" s="2" t="str">
        <f>IFERROR(__xludf.DUMMYFUNCTION("""COMPUTED_VALUE"""),"83o 00' 53""")</f>
        <v>83o 00' 53"</v>
      </c>
      <c r="L2161" s="2" t="str">
        <f>IFERROR(__xludf.DUMMYFUNCTION("""COMPUTED_VALUE"""),"83o 05' 49""")</f>
        <v>83o 05' 49"</v>
      </c>
      <c r="M2161" s="2" t="str">
        <f>IFERROR(__xludf.DUMMYFUNCTION("""COMPUTED_VALUE"""),"Lawan,Sahartara (Dolpa)")</f>
        <v>Lawan,Sahartara (Dolpa)</v>
      </c>
    </row>
    <row r="2162">
      <c r="A2162" s="2">
        <f>IFERROR(__xludf.DUMMYFUNCTION("""COMPUTED_VALUE"""),2161.0)</f>
        <v>2161</v>
      </c>
      <c r="B2162" s="2" t="str">
        <f>IFERROR(__xludf.DUMMYFUNCTION("""COMPUTED_VALUE"""),"Dhunche Trishuli HEP")</f>
        <v>Dhunche Trishuli HEP</v>
      </c>
      <c r="C2162" s="2">
        <f>IFERROR(__xludf.DUMMYFUNCTION("""COMPUTED_VALUE"""),4.5)</f>
        <v>4.5</v>
      </c>
      <c r="D2162" s="2" t="str">
        <f>IFERROR(__xludf.DUMMYFUNCTION("""COMPUTED_VALUE"""),"Trishuli")</f>
        <v>Trishuli</v>
      </c>
      <c r="E2162" s="2">
        <f>IFERROR(__xludf.DUMMYFUNCTION("""COMPUTED_VALUE"""),4709.0)</f>
        <v>4709</v>
      </c>
      <c r="F2162" s="3">
        <f>IFERROR(__xludf.DUMMYFUNCTION("""COMPUTED_VALUE"""),63871.0)</f>
        <v>63871</v>
      </c>
      <c r="G2162" s="2" t="str">
        <f>IFERROR(__xludf.DUMMYFUNCTION("""COMPUTED_VALUE"""),"Yeti Renewal Energy Pvt. Ltd.")</f>
        <v>Yeti Renewal Energy Pvt. Ltd.</v>
      </c>
      <c r="H2162" s="2" t="str">
        <f>IFERROR(__xludf.DUMMYFUNCTION("""COMPUTED_VALUE"""),"Kathmandu, Nepal")</f>
        <v>Kathmandu, Nepal</v>
      </c>
      <c r="I2162" s="2" t="str">
        <f>IFERROR(__xludf.DUMMYFUNCTION("""COMPUTED_VALUE"""),"28o 05' 45""")</f>
        <v>28o 05' 45"</v>
      </c>
      <c r="J2162" s="2" t="str">
        <f>IFERROR(__xludf.DUMMYFUNCTION("""COMPUTED_VALUE"""),"28o 07' 36""")</f>
        <v>28o 07' 36"</v>
      </c>
      <c r="K2162" s="2" t="str">
        <f>IFERROR(__xludf.DUMMYFUNCTION("""COMPUTED_VALUE"""),"85o 18' 00""")</f>
        <v>85o 18' 00"</v>
      </c>
      <c r="L2162" s="2" t="str">
        <f>IFERROR(__xludf.DUMMYFUNCTION("""COMPUTED_VALUE"""),"85o 19' 32""")</f>
        <v>85o 19' 32"</v>
      </c>
      <c r="M2162" s="2" t="str">
        <f>IFERROR(__xludf.DUMMYFUNCTION("""COMPUTED_VALUE"""),"Dhunche,Haku,Syafru (Rasuwa)")</f>
        <v>Dhunche,Haku,Syafru (Rasuwa)</v>
      </c>
    </row>
    <row r="2163">
      <c r="A2163" s="2">
        <f>IFERROR(__xludf.DUMMYFUNCTION("""COMPUTED_VALUE"""),2162.0)</f>
        <v>2162</v>
      </c>
      <c r="B2163" s="2" t="str">
        <f>IFERROR(__xludf.DUMMYFUNCTION("""COMPUTED_VALUE"""),"Upper Barunkhola HEP")</f>
        <v>Upper Barunkhola HEP</v>
      </c>
      <c r="C2163" s="2">
        <f>IFERROR(__xludf.DUMMYFUNCTION("""COMPUTED_VALUE"""),24.5)</f>
        <v>24.5</v>
      </c>
      <c r="D2163" s="2" t="str">
        <f>IFERROR(__xludf.DUMMYFUNCTION("""COMPUTED_VALUE"""),"Barun")</f>
        <v>Barun</v>
      </c>
      <c r="E2163" s="2">
        <f>IFERROR(__xludf.DUMMYFUNCTION("""COMPUTED_VALUE"""),4896.0)</f>
        <v>4896</v>
      </c>
      <c r="F2163" s="3">
        <f>IFERROR(__xludf.DUMMYFUNCTION("""COMPUTED_VALUE"""),63881.0)</f>
        <v>63881</v>
      </c>
      <c r="G2163" s="2" t="str">
        <f>IFERROR(__xludf.DUMMYFUNCTION("""COMPUTED_VALUE"""),"Great Hydro Pvt. Ltd")</f>
        <v>Great Hydro Pvt. Ltd</v>
      </c>
      <c r="H2163" s="2" t="str">
        <f>IFERROR(__xludf.DUMMYFUNCTION("""COMPUTED_VALUE"""),"Ratopul, Kathmandu")</f>
        <v>Ratopul, Kathmandu</v>
      </c>
      <c r="I2163" s="2" t="str">
        <f>IFERROR(__xludf.DUMMYFUNCTION("""COMPUTED_VALUE"""),"27o 42' 43""")</f>
        <v>27o 42' 43"</v>
      </c>
      <c r="J2163" s="2" t="str">
        <f>IFERROR(__xludf.DUMMYFUNCTION("""COMPUTED_VALUE"""),"27o 44' 25""")</f>
        <v>27o 44' 25"</v>
      </c>
      <c r="K2163" s="2" t="str">
        <f>IFERROR(__xludf.DUMMYFUNCTION("""COMPUTED_VALUE"""),"87o 15' 44""")</f>
        <v>87o 15' 44"</v>
      </c>
      <c r="L2163" s="2" t="str">
        <f>IFERROR(__xludf.DUMMYFUNCTION("""COMPUTED_VALUE"""),"87o 18' 03""")</f>
        <v>87o 18' 03"</v>
      </c>
      <c r="M2163" s="2" t="str">
        <f>IFERROR(__xludf.DUMMYFUNCTION("""COMPUTED_VALUE"""),"Makalu (Sankhuwasabha)")</f>
        <v>Makalu (Sankhuwasabha)</v>
      </c>
    </row>
    <row r="2164">
      <c r="A2164" s="2">
        <f>IFERROR(__xludf.DUMMYFUNCTION("""COMPUTED_VALUE"""),2163.0)</f>
        <v>2163</v>
      </c>
      <c r="B2164" s="2" t="str">
        <f>IFERROR(__xludf.DUMMYFUNCTION("""COMPUTED_VALUE"""),"Lower Mid Rawa Khola HEP")</f>
        <v>Lower Mid Rawa Khola HEP</v>
      </c>
      <c r="C2164" s="2">
        <f>IFERROR(__xludf.DUMMYFUNCTION("""COMPUTED_VALUE"""),3.64)</f>
        <v>3.64</v>
      </c>
      <c r="D2164" s="2" t="str">
        <f>IFERROR(__xludf.DUMMYFUNCTION("""COMPUTED_VALUE"""),"Rawa")</f>
        <v>Rawa</v>
      </c>
      <c r="E2164" s="2">
        <f>IFERROR(__xludf.DUMMYFUNCTION("""COMPUTED_VALUE"""),4929.0)</f>
        <v>4929</v>
      </c>
      <c r="F2164" s="3">
        <f>IFERROR(__xludf.DUMMYFUNCTION("""COMPUTED_VALUE"""),63885.0)</f>
        <v>63885</v>
      </c>
      <c r="G2164" s="2" t="str">
        <f>IFERROR(__xludf.DUMMYFUNCTION("""COMPUTED_VALUE"""),"Shambhu Prasad Ghimire, Satya Narayan Prajapati, Lokraj Sharma")</f>
        <v>Shambhu Prasad Ghimire, Satya Narayan Prajapati, Lokraj Sharma</v>
      </c>
      <c r="H2164" s="2" t="str">
        <f>IFERROR(__xludf.DUMMYFUNCTION("""COMPUTED_VALUE"""),"Aiselukharka RM, Khotang")</f>
        <v>Aiselukharka RM, Khotang</v>
      </c>
      <c r="I2164" s="2" t="str">
        <f>IFERROR(__xludf.DUMMYFUNCTION("""COMPUTED_VALUE"""),"27o 20' 15""")</f>
        <v>27o 20' 15"</v>
      </c>
      <c r="J2164" s="2" t="str">
        <f>IFERROR(__xludf.DUMMYFUNCTION("""COMPUTED_VALUE"""),"27o 20' 24""")</f>
        <v>27o 20' 24"</v>
      </c>
      <c r="K2164" s="2" t="str">
        <f>IFERROR(__xludf.DUMMYFUNCTION("""COMPUTED_VALUE"""),"86o 47' 00""")</f>
        <v>86o 47' 00"</v>
      </c>
      <c r="L2164" s="2" t="str">
        <f>IFERROR(__xludf.DUMMYFUNCTION("""COMPUTED_VALUE"""),"86o 49' 05""")</f>
        <v>86o 49' 05"</v>
      </c>
      <c r="M2164" s="2"/>
    </row>
    <row r="2165">
      <c r="A2165" s="2">
        <f>IFERROR(__xludf.DUMMYFUNCTION("""COMPUTED_VALUE"""),2164.0)</f>
        <v>2164</v>
      </c>
      <c r="B2165" s="2" t="str">
        <f>IFERROR(__xludf.DUMMYFUNCTION("""COMPUTED_VALUE"""),"Upper Arun HEP")</f>
        <v>Upper Arun HEP</v>
      </c>
      <c r="C2165" s="2">
        <f>IFERROR(__xludf.DUMMYFUNCTION("""COMPUTED_VALUE"""),335.0)</f>
        <v>335</v>
      </c>
      <c r="D2165" s="2" t="str">
        <f>IFERROR(__xludf.DUMMYFUNCTION("""COMPUTED_VALUE"""),"Arun")</f>
        <v>Arun</v>
      </c>
      <c r="E2165" s="2">
        <f>IFERROR(__xludf.DUMMYFUNCTION("""COMPUTED_VALUE"""),4955.0)</f>
        <v>4955</v>
      </c>
      <c r="F2165" s="3">
        <f>IFERROR(__xludf.DUMMYFUNCTION("""COMPUTED_VALUE"""),63886.0)</f>
        <v>63886</v>
      </c>
      <c r="G2165" s="2" t="str">
        <f>IFERROR(__xludf.DUMMYFUNCTION("""COMPUTED_VALUE"""),"Nepal Electricity Authority")</f>
        <v>Nepal Electricity Authority</v>
      </c>
      <c r="H2165" s="2" t="str">
        <f>IFERROR(__xludf.DUMMYFUNCTION("""COMPUTED_VALUE"""),"Durbar Marg , Kathmandu")</f>
        <v>Durbar Marg , Kathmandu</v>
      </c>
      <c r="I2165" s="2" t="str">
        <f>IFERROR(__xludf.DUMMYFUNCTION("""COMPUTED_VALUE"""),"27o 38' 23""")</f>
        <v>27o 38' 23"</v>
      </c>
      <c r="J2165" s="2" t="str">
        <f>IFERROR(__xludf.DUMMYFUNCTION("""COMPUTED_VALUE"""),"27o 46' 50""")</f>
        <v>27o 46' 50"</v>
      </c>
      <c r="K2165" s="2" t="str">
        <f>IFERROR(__xludf.DUMMYFUNCTION("""COMPUTED_VALUE"""),"87o 20' 00""")</f>
        <v>87o 20' 00"</v>
      </c>
      <c r="L2165" s="2" t="str">
        <f>IFERROR(__xludf.DUMMYFUNCTION("""COMPUTED_VALUE"""),"87o 30' 00""")</f>
        <v>87o 30' 00"</v>
      </c>
      <c r="M2165" s="2"/>
    </row>
    <row r="2166">
      <c r="A2166" s="2">
        <f>IFERROR(__xludf.DUMMYFUNCTION("""COMPUTED_VALUE"""),2165.0)</f>
        <v>2165</v>
      </c>
      <c r="B2166" s="2" t="str">
        <f>IFERROR(__xludf.DUMMYFUNCTION("""COMPUTED_VALUE"""),"Machhapuchhre Modi HEP")</f>
        <v>Machhapuchhre Modi HEP</v>
      </c>
      <c r="C2166" s="2">
        <f>IFERROR(__xludf.DUMMYFUNCTION("""COMPUTED_VALUE"""),24.6)</f>
        <v>24.6</v>
      </c>
      <c r="D2166" s="2" t="str">
        <f>IFERROR(__xludf.DUMMYFUNCTION("""COMPUTED_VALUE"""),"Modi")</f>
        <v>Modi</v>
      </c>
      <c r="E2166" s="2">
        <f>IFERROR(__xludf.DUMMYFUNCTION("""COMPUTED_VALUE"""),5146.0)</f>
        <v>5146</v>
      </c>
      <c r="F2166" s="3">
        <f>IFERROR(__xludf.DUMMYFUNCTION("""COMPUTED_VALUE"""),63894.0)</f>
        <v>63894</v>
      </c>
      <c r="G2166" s="2" t="str">
        <f>IFERROR(__xludf.DUMMYFUNCTION("""COMPUTED_VALUE"""),"Annapurna Bidhyut Bikas Company")</f>
        <v>Annapurna Bidhyut Bikas Company</v>
      </c>
      <c r="H2166" s="2" t="str">
        <f>IFERROR(__xludf.DUMMYFUNCTION("""COMPUTED_VALUE"""),"Kathmandu")</f>
        <v>Kathmandu</v>
      </c>
      <c r="I2166" s="2" t="str">
        <f>IFERROR(__xludf.DUMMYFUNCTION("""COMPUTED_VALUE"""),"28o 29' 19""")</f>
        <v>28o 29' 19"</v>
      </c>
      <c r="J2166" s="2" t="str">
        <f>IFERROR(__xludf.DUMMYFUNCTION("""COMPUTED_VALUE"""),"28o 31' 26""")</f>
        <v>28o 31' 26"</v>
      </c>
      <c r="K2166" s="2" t="str">
        <f>IFERROR(__xludf.DUMMYFUNCTION("""COMPUTED_VALUE"""),"83o 52' 38""")</f>
        <v>83o 52' 38"</v>
      </c>
      <c r="L2166" s="2" t="str">
        <f>IFERROR(__xludf.DUMMYFUNCTION("""COMPUTED_VALUE"""),"83o 55' 00""")</f>
        <v>83o 55' 00"</v>
      </c>
      <c r="M2166" s="2" t="str">
        <f>IFERROR(__xludf.DUMMYFUNCTION("""COMPUTED_VALUE"""),"Ghandruk,Lwangghale (Kaski)")</f>
        <v>Ghandruk,Lwangghale (Kaski)</v>
      </c>
    </row>
    <row r="2167">
      <c r="A2167" s="2">
        <f>IFERROR(__xludf.DUMMYFUNCTION("""COMPUTED_VALUE"""),2166.0)</f>
        <v>2166</v>
      </c>
      <c r="B2167" s="2" t="str">
        <f>IFERROR(__xludf.DUMMYFUNCTION("""COMPUTED_VALUE"""),"BUdhigandaki Ka HEP")</f>
        <v>BUdhigandaki Ka HEP</v>
      </c>
      <c r="C2167" s="2">
        <f>IFERROR(__xludf.DUMMYFUNCTION("""COMPUTED_VALUE"""),105.0)</f>
        <v>105</v>
      </c>
      <c r="D2167" s="2" t="str">
        <f>IFERROR(__xludf.DUMMYFUNCTION("""COMPUTED_VALUE"""),"Budhigandaki")</f>
        <v>Budhigandaki</v>
      </c>
      <c r="E2167" s="2">
        <f>IFERROR(__xludf.DUMMYFUNCTION("""COMPUTED_VALUE"""),5297.0)</f>
        <v>5297</v>
      </c>
      <c r="F2167" s="3">
        <f>IFERROR(__xludf.DUMMYFUNCTION("""COMPUTED_VALUE"""),63901.0)</f>
        <v>63901</v>
      </c>
      <c r="G2167" s="2" t="str">
        <f>IFERROR(__xludf.DUMMYFUNCTION("""COMPUTED_VALUE"""),"Sanjen Jalvidyut Company")</f>
        <v>Sanjen Jalvidyut Company</v>
      </c>
      <c r="H2167" s="2" t="str">
        <f>IFERROR(__xludf.DUMMYFUNCTION("""COMPUTED_VALUE"""),"Kapanmarga, Maharajgunj, Kathmandu")</f>
        <v>Kapanmarga, Maharajgunj, Kathmandu</v>
      </c>
      <c r="I2167" s="2" t="str">
        <f>IFERROR(__xludf.DUMMYFUNCTION("""COMPUTED_VALUE"""),"28o 13' 50""")</f>
        <v>28o 13' 50"</v>
      </c>
      <c r="J2167" s="2" t="str">
        <f>IFERROR(__xludf.DUMMYFUNCTION("""COMPUTED_VALUE"""),"28o 16' 55""")</f>
        <v>28o 16' 55"</v>
      </c>
      <c r="K2167" s="2" t="str">
        <f>IFERROR(__xludf.DUMMYFUNCTION("""COMPUTED_VALUE"""),"84o 50' 00""")</f>
        <v>84o 50' 00"</v>
      </c>
      <c r="L2167" s="2" t="str">
        <f>IFERROR(__xludf.DUMMYFUNCTION("""COMPUTED_VALUE"""),"84o 56' 00""")</f>
        <v>84o 56' 00"</v>
      </c>
      <c r="M2167" s="2" t="str">
        <f>IFERROR(__xludf.DUMMYFUNCTION("""COMPUTED_VALUE"""),"Gumda,Kerauja,Uiya (Gorkha)")</f>
        <v>Gumda,Kerauja,Uiya (Gorkha)</v>
      </c>
    </row>
    <row r="2168">
      <c r="A2168" s="2">
        <f>IFERROR(__xludf.DUMMYFUNCTION("""COMPUTED_VALUE"""),2167.0)</f>
        <v>2167</v>
      </c>
      <c r="B2168" s="2" t="str">
        <f>IFERROR(__xludf.DUMMYFUNCTION("""COMPUTED_VALUE"""),"Budhigandaki Ka HEP")</f>
        <v>Budhigandaki Ka HEP</v>
      </c>
      <c r="C2168" s="2">
        <f>IFERROR(__xludf.DUMMYFUNCTION("""COMPUTED_VALUE"""),22.5)</f>
        <v>22.5</v>
      </c>
      <c r="D2168" s="2" t="str">
        <f>IFERROR(__xludf.DUMMYFUNCTION("""COMPUTED_VALUE"""),"Budhigandaki")</f>
        <v>Budhigandaki</v>
      </c>
      <c r="E2168" s="2">
        <f>IFERROR(__xludf.DUMMYFUNCTION("""COMPUTED_VALUE"""),5301.0)</f>
        <v>5301</v>
      </c>
      <c r="F2168" s="3">
        <f>IFERROR(__xludf.DUMMYFUNCTION("""COMPUTED_VALUE"""),63901.0)</f>
        <v>63901</v>
      </c>
      <c r="G2168" s="2" t="str">
        <f>IFERROR(__xludf.DUMMYFUNCTION("""COMPUTED_VALUE"""),"Purnima Developers Group Nepal Pvt. Ltd")</f>
        <v>Purnima Developers Group Nepal Pvt. Ltd</v>
      </c>
      <c r="H2168" s="2" t="str">
        <f>IFERROR(__xludf.DUMMYFUNCTION("""COMPUTED_VALUE"""),"Bagdole, Lalitpur")</f>
        <v>Bagdole, Lalitpur</v>
      </c>
      <c r="I2168" s="2" t="str">
        <f>IFERROR(__xludf.DUMMYFUNCTION("""COMPUTED_VALUE"""),"28o 13' 46""")</f>
        <v>28o 13' 46"</v>
      </c>
      <c r="J2168" s="2" t="str">
        <f>IFERROR(__xludf.DUMMYFUNCTION("""COMPUTED_VALUE"""),"28o 16' 55""")</f>
        <v>28o 16' 55"</v>
      </c>
      <c r="K2168" s="2" t="str">
        <f>IFERROR(__xludf.DUMMYFUNCTION("""COMPUTED_VALUE"""),"84o 52' 00""")</f>
        <v>84o 52' 00"</v>
      </c>
      <c r="L2168" s="2" t="str">
        <f>IFERROR(__xludf.DUMMYFUNCTION("""COMPUTED_VALUE"""),"84o 54' 30""")</f>
        <v>84o 54' 30"</v>
      </c>
      <c r="M2168" s="2" t="str">
        <f>IFERROR(__xludf.DUMMYFUNCTION("""COMPUTED_VALUE"""),"Chunchet,Kerauja (Gorkha)")</f>
        <v>Chunchet,Kerauja (Gorkha)</v>
      </c>
    </row>
    <row r="2169">
      <c r="A2169" s="2">
        <f>IFERROR(__xludf.DUMMYFUNCTION("""COMPUTED_VALUE"""),2168.0)</f>
        <v>2168</v>
      </c>
      <c r="B2169" s="2" t="str">
        <f>IFERROR(__xludf.DUMMYFUNCTION("""COMPUTED_VALUE"""),"Yaru Khola HEP")</f>
        <v>Yaru Khola HEP</v>
      </c>
      <c r="C2169" s="2">
        <f>IFERROR(__xludf.DUMMYFUNCTION("""COMPUTED_VALUE"""),4.85)</f>
        <v>4.85</v>
      </c>
      <c r="D2169" s="2" t="str">
        <f>IFERROR(__xludf.DUMMYFUNCTION("""COMPUTED_VALUE"""),"Yaru")</f>
        <v>Yaru</v>
      </c>
      <c r="E2169" s="2">
        <f>IFERROR(__xludf.DUMMYFUNCTION("""COMPUTED_VALUE"""),5312.0)</f>
        <v>5312</v>
      </c>
      <c r="F2169" s="3">
        <f>IFERROR(__xludf.DUMMYFUNCTION("""COMPUTED_VALUE"""),63901.0)</f>
        <v>63901</v>
      </c>
      <c r="G2169" s="2" t="str">
        <f>IFERROR(__xludf.DUMMYFUNCTION("""COMPUTED_VALUE"""),"Shiringi Hydropower Pvt. Ltd.")</f>
        <v>Shiringi Hydropower Pvt. Ltd.</v>
      </c>
      <c r="H2169" s="2" t="str">
        <f>IFERROR(__xludf.DUMMYFUNCTION("""COMPUTED_VALUE"""),"Kaldhara-1, Kathmandu")</f>
        <v>Kaldhara-1, Kathmandu</v>
      </c>
      <c r="I2169" s="2" t="str">
        <f>IFERROR(__xludf.DUMMYFUNCTION("""COMPUTED_VALUE"""),"28o 19' 32""")</f>
        <v>28o 19' 32"</v>
      </c>
      <c r="J2169" s="2" t="str">
        <f>IFERROR(__xludf.DUMMYFUNCTION("""COMPUTED_VALUE"""),"28o 20' 35""")</f>
        <v>28o 20' 35"</v>
      </c>
      <c r="K2169" s="2" t="str">
        <f>IFERROR(__xludf.DUMMYFUNCTION("""COMPUTED_VALUE"""),"84o 54' 30""")</f>
        <v>84o 54' 30"</v>
      </c>
      <c r="L2169" s="2" t="str">
        <f>IFERROR(__xludf.DUMMYFUNCTION("""COMPUTED_VALUE"""),"84o 55' 27""")</f>
        <v>84o 55' 27"</v>
      </c>
      <c r="M2169" s="2"/>
    </row>
    <row r="2170">
      <c r="A2170" s="2">
        <f>IFERROR(__xludf.DUMMYFUNCTION("""COMPUTED_VALUE"""),2169.0)</f>
        <v>2169</v>
      </c>
      <c r="B2170" s="2" t="str">
        <f>IFERROR(__xludf.DUMMYFUNCTION("""COMPUTED_VALUE"""),"Budhigandaki Ka HEP")</f>
        <v>Budhigandaki Ka HEP</v>
      </c>
      <c r="C2170" s="2">
        <f>IFERROR(__xludf.DUMMYFUNCTION("""COMPUTED_VALUE"""),130.0)</f>
        <v>130</v>
      </c>
      <c r="D2170" s="2" t="str">
        <f>IFERROR(__xludf.DUMMYFUNCTION("""COMPUTED_VALUE"""),"Budhigandaki")</f>
        <v>Budhigandaki</v>
      </c>
      <c r="E2170" s="2">
        <f>IFERROR(__xludf.DUMMYFUNCTION("""COMPUTED_VALUE"""),5324.0)</f>
        <v>5324</v>
      </c>
      <c r="F2170" s="3">
        <f>IFERROR(__xludf.DUMMYFUNCTION("""COMPUTED_VALUE"""),63902.0)</f>
        <v>63902</v>
      </c>
      <c r="G2170" s="2" t="str">
        <f>IFERROR(__xludf.DUMMYFUNCTION("""COMPUTED_VALUE"""),"Chilime Hydropower Company Limited")</f>
        <v>Chilime Hydropower Company Limited</v>
      </c>
      <c r="H2170" s="2" t="str">
        <f>IFERROR(__xludf.DUMMYFUNCTION("""COMPUTED_VALUE"""),"Dhumbarahi, Kathmandu 4370773")</f>
        <v>Dhumbarahi, Kathmandu 4370773</v>
      </c>
      <c r="I2170" s="2" t="str">
        <f>IFERROR(__xludf.DUMMYFUNCTION("""COMPUTED_VALUE"""),"28o 13' 48""")</f>
        <v>28o 13' 48"</v>
      </c>
      <c r="J2170" s="2" t="str">
        <f>IFERROR(__xludf.DUMMYFUNCTION("""COMPUTED_VALUE"""),"28o 16' 55""")</f>
        <v>28o 16' 55"</v>
      </c>
      <c r="K2170" s="2" t="str">
        <f>IFERROR(__xludf.DUMMYFUNCTION("""COMPUTED_VALUE"""),"84o 50' 30""")</f>
        <v>84o 50' 30"</v>
      </c>
      <c r="L2170" s="2" t="str">
        <f>IFERROR(__xludf.DUMMYFUNCTION("""COMPUTED_VALUE"""),"84o 54' 30""")</f>
        <v>84o 54' 30"</v>
      </c>
      <c r="M2170" s="2" t="str">
        <f>IFERROR(__xludf.DUMMYFUNCTION("""COMPUTED_VALUE"""),"Uiya (Gorkha)")</f>
        <v>Uiya (Gorkha)</v>
      </c>
    </row>
    <row r="2171">
      <c r="A2171" s="2">
        <f>IFERROR(__xludf.DUMMYFUNCTION("""COMPUTED_VALUE"""),2170.0)</f>
        <v>2170</v>
      </c>
      <c r="B2171" s="2" t="str">
        <f>IFERROR(__xludf.DUMMYFUNCTION("""COMPUTED_VALUE"""),"Super Tamakoshi Nadi A HEP")</f>
        <v>Super Tamakoshi Nadi A HEP</v>
      </c>
      <c r="C2171" s="2">
        <f>IFERROR(__xludf.DUMMYFUNCTION("""COMPUTED_VALUE"""),50.0)</f>
        <v>50</v>
      </c>
      <c r="D2171" s="2" t="str">
        <f>IFERROR(__xludf.DUMMYFUNCTION("""COMPUTED_VALUE"""),"Tamakoshi")</f>
        <v>Tamakoshi</v>
      </c>
      <c r="E2171" s="2">
        <f>IFERROR(__xludf.DUMMYFUNCTION("""COMPUTED_VALUE"""),5343.0)</f>
        <v>5343</v>
      </c>
      <c r="F2171" s="3">
        <f>IFERROR(__xludf.DUMMYFUNCTION("""COMPUTED_VALUE"""),63902.0)</f>
        <v>63902</v>
      </c>
      <c r="G2171" s="2" t="str">
        <f>IFERROR(__xludf.DUMMYFUNCTION("""COMPUTED_VALUE"""),"Sangrila Urja Pvt. Ltd.")</f>
        <v>Sangrila Urja Pvt. Ltd.</v>
      </c>
      <c r="H2171" s="2" t="str">
        <f>IFERROR(__xludf.DUMMYFUNCTION("""COMPUTED_VALUE"""),"Babarmahal-11, Kathmandu, 9857640389, 9851147724")</f>
        <v>Babarmahal-11, Kathmandu, 9857640389, 9851147724</v>
      </c>
      <c r="I2171" s="2" t="str">
        <f>IFERROR(__xludf.DUMMYFUNCTION("""COMPUTED_VALUE"""),"27o 56' 24""")</f>
        <v>27o 56' 24"</v>
      </c>
      <c r="J2171" s="2" t="str">
        <f>IFERROR(__xludf.DUMMYFUNCTION("""COMPUTED_VALUE"""),"27o 58' 12""")</f>
        <v>27o 58' 12"</v>
      </c>
      <c r="K2171" s="2" t="str">
        <f>IFERROR(__xludf.DUMMYFUNCTION("""COMPUTED_VALUE"""),"86o 12' 27""")</f>
        <v>86o 12' 27"</v>
      </c>
      <c r="L2171" s="2" t="str">
        <f>IFERROR(__xludf.DUMMYFUNCTION("""COMPUTED_VALUE"""),"86o 13' 37""")</f>
        <v>86o 13' 37"</v>
      </c>
      <c r="M2171" s="2" t="str">
        <f>IFERROR(__xludf.DUMMYFUNCTION("""COMPUTED_VALUE"""),"Lamabagar (Dolakha)")</f>
        <v>Lamabagar (Dolakha)</v>
      </c>
    </row>
    <row r="2172">
      <c r="A2172" s="2">
        <f>IFERROR(__xludf.DUMMYFUNCTION("""COMPUTED_VALUE"""),2171.0)</f>
        <v>2171</v>
      </c>
      <c r="B2172" s="2" t="str">
        <f>IFERROR(__xludf.DUMMYFUNCTION("""COMPUTED_VALUE"""),"Gapuche Madi Nadi HEP")</f>
        <v>Gapuche Madi Nadi HEP</v>
      </c>
      <c r="C2172" s="2">
        <f>IFERROR(__xludf.DUMMYFUNCTION("""COMPUTED_VALUE"""),4.9)</f>
        <v>4.9</v>
      </c>
      <c r="D2172" s="2" t="str">
        <f>IFERROR(__xludf.DUMMYFUNCTION("""COMPUTED_VALUE"""),"Madi")</f>
        <v>Madi</v>
      </c>
      <c r="E2172" s="2">
        <f>IFERROR(__xludf.DUMMYFUNCTION("""COMPUTED_VALUE"""),5403.0)</f>
        <v>5403</v>
      </c>
      <c r="F2172" s="3">
        <f>IFERROR(__xludf.DUMMYFUNCTION("""COMPUTED_VALUE"""),63904.0)</f>
        <v>63904</v>
      </c>
      <c r="G2172" s="2" t="str">
        <f>IFERROR(__xludf.DUMMYFUNCTION("""COMPUTED_VALUE"""),"Bodh Bahadur Karki")</f>
        <v>Bodh Bahadur Karki</v>
      </c>
      <c r="H2172" s="2" t="str">
        <f>IFERROR(__xludf.DUMMYFUNCTION("""COMPUTED_VALUE"""),"Pokhara Lekhnath-14, Kaski")</f>
        <v>Pokhara Lekhnath-14, Kaski</v>
      </c>
      <c r="I2172" s="2" t="str">
        <f>IFERROR(__xludf.DUMMYFUNCTION("""COMPUTED_VALUE"""),"28o 25' 30""")</f>
        <v>28o 25' 30"</v>
      </c>
      <c r="J2172" s="2" t="str">
        <f>IFERROR(__xludf.DUMMYFUNCTION("""COMPUTED_VALUE"""),"28o 26' 37""")</f>
        <v>28o 26' 37"</v>
      </c>
      <c r="K2172" s="2" t="str">
        <f>IFERROR(__xludf.DUMMYFUNCTION("""COMPUTED_VALUE"""),"84o 06' 36""")</f>
        <v>84o 06' 36"</v>
      </c>
      <c r="L2172" s="2" t="str">
        <f>IFERROR(__xludf.DUMMYFUNCTION("""COMPUTED_VALUE"""),"84o 07' 16""")</f>
        <v>84o 07' 16"</v>
      </c>
      <c r="M2172" s="2" t="str">
        <f>IFERROR(__xludf.DUMMYFUNCTION("""COMPUTED_VALUE"""),"Namarjung,Parche (Kaski)")</f>
        <v>Namarjung,Parche (Kaski)</v>
      </c>
    </row>
    <row r="2173">
      <c r="A2173" s="2">
        <f>IFERROR(__xludf.DUMMYFUNCTION("""COMPUTED_VALUE"""),2172.0)</f>
        <v>2172</v>
      </c>
      <c r="B2173" s="2" t="str">
        <f>IFERROR(__xludf.DUMMYFUNCTION("""COMPUTED_VALUE"""),"Batase Khola Small HEP")</f>
        <v>Batase Khola Small HEP</v>
      </c>
      <c r="C2173" s="2">
        <f>IFERROR(__xludf.DUMMYFUNCTION("""COMPUTED_VALUE"""),4.5)</f>
        <v>4.5</v>
      </c>
      <c r="D2173" s="2" t="str">
        <f>IFERROR(__xludf.DUMMYFUNCTION("""COMPUTED_VALUE"""),"Batase")</f>
        <v>Batase</v>
      </c>
      <c r="E2173" s="2">
        <f>IFERROR(__xludf.DUMMYFUNCTION("""COMPUTED_VALUE"""),5476.0)</f>
        <v>5476</v>
      </c>
      <c r="F2173" s="3">
        <f>IFERROR(__xludf.DUMMYFUNCTION("""COMPUTED_VALUE"""),63908.0)</f>
        <v>63908</v>
      </c>
      <c r="G2173" s="2" t="str">
        <f>IFERROR(__xludf.DUMMYFUNCTION("""COMPUTED_VALUE"""),"Indira Kumari Amatya")</f>
        <v>Indira Kumari Amatya</v>
      </c>
      <c r="H2173" s="2" t="str">
        <f>IFERROR(__xludf.DUMMYFUNCTION("""COMPUTED_VALUE"""),"nagarjun-4, Sitapaila")</f>
        <v>nagarjun-4, Sitapaila</v>
      </c>
      <c r="I2173" s="2" t="str">
        <f>IFERROR(__xludf.DUMMYFUNCTION("""COMPUTED_VALUE"""),"28o 16' 16""")</f>
        <v>28o 16' 16"</v>
      </c>
      <c r="J2173" s="2" t="str">
        <f>IFERROR(__xludf.DUMMYFUNCTION("""COMPUTED_VALUE"""),"28o 27' 25""")</f>
        <v>28o 27' 25"</v>
      </c>
      <c r="K2173" s="2" t="str">
        <f>IFERROR(__xludf.DUMMYFUNCTION("""COMPUTED_VALUE"""),"84o 00' 00""")</f>
        <v>84o 00' 00"</v>
      </c>
      <c r="L2173" s="2" t="str">
        <f>IFERROR(__xludf.DUMMYFUNCTION("""COMPUTED_VALUE"""),"84o 01' 51""")</f>
        <v>84o 01' 51"</v>
      </c>
      <c r="M2173" s="2" t="str">
        <f>IFERROR(__xludf.DUMMYFUNCTION("""COMPUTED_VALUE"""),"Machhapuchchhre (Kaski)")</f>
        <v>Machhapuchchhre (Kaski)</v>
      </c>
    </row>
    <row r="2174">
      <c r="A2174" s="2">
        <f>IFERROR(__xludf.DUMMYFUNCTION("""COMPUTED_VALUE"""),2173.0)</f>
        <v>2173</v>
      </c>
      <c r="B2174" s="2" t="str">
        <f>IFERROR(__xludf.DUMMYFUNCTION("""COMPUTED_VALUE"""),"Upper Gidi Khola HEP")</f>
        <v>Upper Gidi Khola HEP</v>
      </c>
      <c r="C2174" s="2">
        <f>IFERROR(__xludf.DUMMYFUNCTION("""COMPUTED_VALUE"""),3.3)</f>
        <v>3.3</v>
      </c>
      <c r="D2174" s="2" t="str">
        <f>IFERROR(__xludf.DUMMYFUNCTION("""COMPUTED_VALUE"""),"Gidi")</f>
        <v>Gidi</v>
      </c>
      <c r="E2174" s="2">
        <f>IFERROR(__xludf.DUMMYFUNCTION("""COMPUTED_VALUE"""),5647.0)</f>
        <v>5647</v>
      </c>
      <c r="F2174" s="3">
        <f>IFERROR(__xludf.DUMMYFUNCTION("""COMPUTED_VALUE"""),63916.0)</f>
        <v>63916</v>
      </c>
      <c r="G2174" s="2" t="str">
        <f>IFERROR(__xludf.DUMMYFUNCTION("""COMPUTED_VALUE"""),"Gautam Gurung")</f>
        <v>Gautam Gurung</v>
      </c>
      <c r="H2174" s="2" t="str">
        <f>IFERROR(__xludf.DUMMYFUNCTION("""COMPUTED_VALUE"""),"Tripureshwor Kathmandu")</f>
        <v>Tripureshwor Kathmandu</v>
      </c>
      <c r="I2174" s="2" t="str">
        <f>IFERROR(__xludf.DUMMYFUNCTION("""COMPUTED_VALUE"""),"29o 09' 30""")</f>
        <v>29o 09' 30"</v>
      </c>
      <c r="J2174" s="2" t="str">
        <f>IFERROR(__xludf.DUMMYFUNCTION("""COMPUTED_VALUE"""),"29o 10' 59""")</f>
        <v>29o 10' 59"</v>
      </c>
      <c r="K2174" s="2" t="str">
        <f>IFERROR(__xludf.DUMMYFUNCTION("""COMPUTED_VALUE"""),"82o 08' 30""")</f>
        <v>82o 08' 30"</v>
      </c>
      <c r="L2174" s="2" t="str">
        <f>IFERROR(__xludf.DUMMYFUNCTION("""COMPUTED_VALUE"""),"82o 10' 20""")</f>
        <v>82o 10' 20"</v>
      </c>
      <c r="M2174" s="2" t="str">
        <f>IFERROR(__xludf.DUMMYFUNCTION("""COMPUTED_VALUE"""),"Haku (Jumla)")</f>
        <v>Haku (Jumla)</v>
      </c>
    </row>
    <row r="2175">
      <c r="A2175" s="2">
        <f>IFERROR(__xludf.DUMMYFUNCTION("""COMPUTED_VALUE"""),2174.0)</f>
        <v>2174</v>
      </c>
      <c r="B2175" s="2" t="str">
        <f>IFERROR(__xludf.DUMMYFUNCTION("""COMPUTED_VALUE"""),"Upallo Ruru Banchu Khola HEP")</f>
        <v>Upallo Ruru Banchu Khola HEP</v>
      </c>
      <c r="C2175" s="2">
        <f>IFERROR(__xludf.DUMMYFUNCTION("""COMPUTED_VALUE"""),4.5)</f>
        <v>4.5</v>
      </c>
      <c r="D2175" s="2" t="str">
        <f>IFERROR(__xludf.DUMMYFUNCTION("""COMPUTED_VALUE"""),"Rurubanchu Khola")</f>
        <v>Rurubanchu Khola</v>
      </c>
      <c r="E2175" s="2">
        <f>IFERROR(__xludf.DUMMYFUNCTION("""COMPUTED_VALUE"""),5777.0)</f>
        <v>5777</v>
      </c>
      <c r="F2175" s="3">
        <f>IFERROR(__xludf.DUMMYFUNCTION("""COMPUTED_VALUE"""),63923.0)</f>
        <v>63923</v>
      </c>
      <c r="G2175" s="2" t="str">
        <f>IFERROR(__xludf.DUMMYFUNCTION("""COMPUTED_VALUE"""),"Suresh Prasad Duwal")</f>
        <v>Suresh Prasad Duwal</v>
      </c>
      <c r="H2175" s="2" t="str">
        <f>IFERROR(__xludf.DUMMYFUNCTION("""COMPUTED_VALUE"""),"Banepa Kavre")</f>
        <v>Banepa Kavre</v>
      </c>
      <c r="I2175" s="2" t="str">
        <f>IFERROR(__xludf.DUMMYFUNCTION("""COMPUTED_VALUE"""),"29o 05' 45""")</f>
        <v>29o 05' 45"</v>
      </c>
      <c r="J2175" s="2" t="str">
        <f>IFERROR(__xludf.DUMMYFUNCTION("""COMPUTED_VALUE"""),"29o 07' 00""")</f>
        <v>29o 07' 00"</v>
      </c>
      <c r="K2175" s="2" t="str">
        <f>IFERROR(__xludf.DUMMYFUNCTION("""COMPUTED_VALUE"""),"81o 48' 30""")</f>
        <v>81o 48' 30"</v>
      </c>
      <c r="L2175" s="2" t="str">
        <f>IFERROR(__xludf.DUMMYFUNCTION("""COMPUTED_VALUE"""),"81o 52' 00""")</f>
        <v>81o 52' 00"</v>
      </c>
      <c r="M2175" s="2" t="str">
        <f>IFERROR(__xludf.DUMMYFUNCTION("""COMPUTED_VALUE"""),"Chilkhaya (Kalikot)")</f>
        <v>Chilkhaya (Kalikot)</v>
      </c>
    </row>
    <row r="2176">
      <c r="A2176" s="2">
        <f>IFERROR(__xludf.DUMMYFUNCTION("""COMPUTED_VALUE"""),2175.0)</f>
        <v>2175</v>
      </c>
      <c r="B2176" s="2" t="str">
        <f>IFERROR(__xludf.DUMMYFUNCTION("""COMPUTED_VALUE"""),"Bheri Nadi Storage HEP")</f>
        <v>Bheri Nadi Storage HEP</v>
      </c>
      <c r="C2176" s="2">
        <f>IFERROR(__xludf.DUMMYFUNCTION("""COMPUTED_VALUE"""),321.0)</f>
        <v>321</v>
      </c>
      <c r="D2176" s="2" t="str">
        <f>IFERROR(__xludf.DUMMYFUNCTION("""COMPUTED_VALUE"""),"Bheri")</f>
        <v>Bheri</v>
      </c>
      <c r="E2176" s="2">
        <f>IFERROR(__xludf.DUMMYFUNCTION("""COMPUTED_VALUE"""),5958.0)</f>
        <v>5958</v>
      </c>
      <c r="F2176" s="3">
        <f>IFERROR(__xludf.DUMMYFUNCTION("""COMPUTED_VALUE"""),63930.0)</f>
        <v>63930</v>
      </c>
      <c r="G2176" s="2" t="str">
        <f>IFERROR(__xludf.DUMMYFUNCTION("""COMPUTED_VALUE"""),"HIDCL")</f>
        <v>HIDCL</v>
      </c>
      <c r="H2176" s="2" t="str">
        <f>IFERROR(__xludf.DUMMYFUNCTION("""COMPUTED_VALUE"""),"Hattisar, Naxal Kathmandu")</f>
        <v>Hattisar, Naxal Kathmandu</v>
      </c>
      <c r="I2176" s="2" t="str">
        <f>IFERROR(__xludf.DUMMYFUNCTION("""COMPUTED_VALUE"""),"28o 26' 26""")</f>
        <v>28o 26' 26"</v>
      </c>
      <c r="J2176" s="2" t="str">
        <f>IFERROR(__xludf.DUMMYFUNCTION("""COMPUTED_VALUE"""),"28o 31' 48""")</f>
        <v>28o 31' 48"</v>
      </c>
      <c r="K2176" s="2" t="str">
        <f>IFERROR(__xludf.DUMMYFUNCTION("""COMPUTED_VALUE"""),"81o 55' 37""")</f>
        <v>81o 55' 37"</v>
      </c>
      <c r="L2176" s="2" t="str">
        <f>IFERROR(__xludf.DUMMYFUNCTION("""COMPUTED_VALUE"""),"82o 02' 03""")</f>
        <v>82o 02' 03"</v>
      </c>
      <c r="M2176" s="2"/>
    </row>
    <row r="2177">
      <c r="A2177" s="2">
        <f>IFERROR(__xludf.DUMMYFUNCTION("""COMPUTED_VALUE"""),2176.0)</f>
        <v>2176</v>
      </c>
      <c r="B2177" s="2" t="str">
        <f>IFERROR(__xludf.DUMMYFUNCTION("""COMPUTED_VALUE"""),"Lower Arun HEP")</f>
        <v>Lower Arun HEP</v>
      </c>
      <c r="C2177" s="2">
        <f>IFERROR(__xludf.DUMMYFUNCTION("""COMPUTED_VALUE"""),310.0)</f>
        <v>310</v>
      </c>
      <c r="D2177" s="2" t="str">
        <f>IFERROR(__xludf.DUMMYFUNCTION("""COMPUTED_VALUE"""),"Arun")</f>
        <v>Arun</v>
      </c>
      <c r="E2177" s="2">
        <f>IFERROR(__xludf.DUMMYFUNCTION("""COMPUTED_VALUE"""),5959.0)</f>
        <v>5959</v>
      </c>
      <c r="F2177" s="3">
        <f>IFERROR(__xludf.DUMMYFUNCTION("""COMPUTED_VALUE"""),63930.0)</f>
        <v>63930</v>
      </c>
      <c r="G2177" s="2" t="str">
        <f>IFERROR(__xludf.DUMMYFUNCTION("""COMPUTED_VALUE"""),"HIDCL")</f>
        <v>HIDCL</v>
      </c>
      <c r="H2177" s="2" t="str">
        <f>IFERROR(__xludf.DUMMYFUNCTION("""COMPUTED_VALUE"""),"Hattisar, Kathmandu")</f>
        <v>Hattisar, Kathmandu</v>
      </c>
      <c r="I2177" s="2" t="str">
        <f>IFERROR(__xludf.DUMMYFUNCTION("""COMPUTED_VALUE"""),"27o 21' 05""")</f>
        <v>27o 21' 05"</v>
      </c>
      <c r="J2177" s="2" t="str">
        <f>IFERROR(__xludf.DUMMYFUNCTION("""COMPUTED_VALUE"""),"27o 30' 00""")</f>
        <v>27o 30' 00"</v>
      </c>
      <c r="K2177" s="2" t="str">
        <f>IFERROR(__xludf.DUMMYFUNCTION("""COMPUTED_VALUE"""),"87o 07' 30""")</f>
        <v>87o 07' 30"</v>
      </c>
      <c r="L2177" s="2" t="str">
        <f>IFERROR(__xludf.DUMMYFUNCTION("""COMPUTED_VALUE"""),"87o 12' 30""")</f>
        <v>87o 12' 30"</v>
      </c>
      <c r="M2177" s="2"/>
    </row>
    <row r="2178">
      <c r="A2178" s="2">
        <f>IFERROR(__xludf.DUMMYFUNCTION("""COMPUTED_VALUE"""),2177.0)</f>
        <v>2177</v>
      </c>
      <c r="B2178" s="2" t="str">
        <f>IFERROR(__xludf.DUMMYFUNCTION("""COMPUTED_VALUE"""),"Bajhang Upper Seti HEP")</f>
        <v>Bajhang Upper Seti HEP</v>
      </c>
      <c r="C2178" s="2">
        <f>IFERROR(__xludf.DUMMYFUNCTION("""COMPUTED_VALUE"""),140.0)</f>
        <v>140</v>
      </c>
      <c r="D2178" s="2" t="str">
        <f>IFERROR(__xludf.DUMMYFUNCTION("""COMPUTED_VALUE"""),"Seti Nadi")</f>
        <v>Seti Nadi</v>
      </c>
      <c r="E2178" s="2">
        <f>IFERROR(__xludf.DUMMYFUNCTION("""COMPUTED_VALUE"""),5963.0)</f>
        <v>5963</v>
      </c>
      <c r="F2178" s="3">
        <f>IFERROR(__xludf.DUMMYFUNCTION("""COMPUTED_VALUE"""),63931.0)</f>
        <v>63931</v>
      </c>
      <c r="G2178" s="2" t="str">
        <f>IFERROR(__xludf.DUMMYFUNCTION("""COMPUTED_VALUE"""),"Sambridhhi Energy Pvt. Ltd.")</f>
        <v>Sambridhhi Energy Pvt. Ltd.</v>
      </c>
      <c r="H2178" s="2" t="str">
        <f>IFERROR(__xludf.DUMMYFUNCTION("""COMPUTED_VALUE"""),"Naxal, Kathmandu")</f>
        <v>Naxal, Kathmandu</v>
      </c>
      <c r="I2178" s="2" t="str">
        <f>IFERROR(__xludf.DUMMYFUNCTION("""COMPUTED_VALUE"""),"29o 44' 50""")</f>
        <v>29o 44' 50"</v>
      </c>
      <c r="J2178" s="2" t="str">
        <f>IFERROR(__xludf.DUMMYFUNCTION("""COMPUTED_VALUE"""),"29o 50' 30""")</f>
        <v>29o 50' 30"</v>
      </c>
      <c r="K2178" s="2" t="str">
        <f>IFERROR(__xludf.DUMMYFUNCTION("""COMPUTED_VALUE"""),"81o 15' 00""")</f>
        <v>81o 15' 00"</v>
      </c>
      <c r="L2178" s="2" t="str">
        <f>IFERROR(__xludf.DUMMYFUNCTION("""COMPUTED_VALUE"""),"81o 18' 47""")</f>
        <v>81o 18' 47"</v>
      </c>
      <c r="M2178" s="2" t="str">
        <f>IFERROR(__xludf.DUMMYFUNCTION("""COMPUTED_VALUE"""),"Kanda (Bajhang)")</f>
        <v>Kanda (Bajhang)</v>
      </c>
    </row>
    <row r="2179">
      <c r="A2179" s="2">
        <f>IFERROR(__xludf.DUMMYFUNCTION("""COMPUTED_VALUE"""),2178.0)</f>
        <v>2178</v>
      </c>
      <c r="B2179" s="2" t="str">
        <f>IFERROR(__xludf.DUMMYFUNCTION("""COMPUTED_VALUE"""),"Super Sabha Khola A HEP")</f>
        <v>Super Sabha Khola A HEP</v>
      </c>
      <c r="C2179" s="2">
        <f>IFERROR(__xludf.DUMMYFUNCTION("""COMPUTED_VALUE"""),9.55)</f>
        <v>9.55</v>
      </c>
      <c r="D2179" s="2" t="str">
        <f>IFERROR(__xludf.DUMMYFUNCTION("""COMPUTED_VALUE"""),"Sabha")</f>
        <v>Sabha</v>
      </c>
      <c r="E2179" s="2">
        <f>IFERROR(__xludf.DUMMYFUNCTION("""COMPUTED_VALUE"""),6184.0)</f>
        <v>6184</v>
      </c>
      <c r="F2179" s="3">
        <f>IFERROR(__xludf.DUMMYFUNCTION("""COMPUTED_VALUE"""),63943.0)</f>
        <v>63943</v>
      </c>
      <c r="G2179" s="2" t="str">
        <f>IFERROR(__xludf.DUMMYFUNCTION("""COMPUTED_VALUE"""),"Sankhuwasabha Power Development Pvt.Ltd")</f>
        <v>Sankhuwasabha Power Development Pvt.Ltd</v>
      </c>
      <c r="H2179" s="2" t="str">
        <f>IFERROR(__xludf.DUMMYFUNCTION("""COMPUTED_VALUE"""),"Baneshwor, Kathmandu")</f>
        <v>Baneshwor, Kathmandu</v>
      </c>
      <c r="I2179" s="2" t="str">
        <f>IFERROR(__xludf.DUMMYFUNCTION("""COMPUTED_VALUE"""),"27o 25' 37""")</f>
        <v>27o 25' 37"</v>
      </c>
      <c r="J2179" s="2" t="str">
        <f>IFERROR(__xludf.DUMMYFUNCTION("""COMPUTED_VALUE"""),"27o 26' 34""")</f>
        <v>27o 26' 34"</v>
      </c>
      <c r="K2179" s="2" t="str">
        <f>IFERROR(__xludf.DUMMYFUNCTION("""COMPUTED_VALUE"""),"87o 22' 26""")</f>
        <v>87o 22' 26"</v>
      </c>
      <c r="L2179" s="2" t="str">
        <f>IFERROR(__xludf.DUMMYFUNCTION("""COMPUTED_VALUE"""),"87o 23' 51""")</f>
        <v>87o 23' 51"</v>
      </c>
      <c r="M2179" s="2" t="str">
        <f>IFERROR(__xludf.DUMMYFUNCTION("""COMPUTED_VALUE"""),"Sabha Pokhari (Sankhuwasabha)")</f>
        <v>Sabha Pokhari (Sankhuwasabha)</v>
      </c>
    </row>
    <row r="2180">
      <c r="A2180" s="2">
        <f>IFERROR(__xludf.DUMMYFUNCTION("""COMPUTED_VALUE"""),2179.0)</f>
        <v>2179</v>
      </c>
      <c r="B2180" s="2" t="str">
        <f>IFERROR(__xludf.DUMMYFUNCTION("""COMPUTED_VALUE"""),"Leksuwa Khola Small HEP")</f>
        <v>Leksuwa Khola Small HEP</v>
      </c>
      <c r="C2180" s="2">
        <f>IFERROR(__xludf.DUMMYFUNCTION("""COMPUTED_VALUE"""),4.9)</f>
        <v>4.9</v>
      </c>
      <c r="D2180" s="2" t="str">
        <f>IFERROR(__xludf.DUMMYFUNCTION("""COMPUTED_VALUE"""),"Leksuwa")</f>
        <v>Leksuwa</v>
      </c>
      <c r="E2180" s="2">
        <f>IFERROR(__xludf.DUMMYFUNCTION("""COMPUTED_VALUE"""),6265.0)</f>
        <v>6265</v>
      </c>
      <c r="F2180" s="3">
        <f>IFERROR(__xludf.DUMMYFUNCTION("""COMPUTED_VALUE"""),63947.0)</f>
        <v>63947</v>
      </c>
      <c r="G2180" s="2" t="str">
        <f>IFERROR(__xludf.DUMMYFUNCTION("""COMPUTED_VALUE"""),"Khadga Bahadur Karki")</f>
        <v>Khadga Bahadur Karki</v>
      </c>
      <c r="H2180" s="2" t="str">
        <f>IFERROR(__xludf.DUMMYFUNCTION("""COMPUTED_VALUE"""),"Urlabari-7, Morang")</f>
        <v>Urlabari-7, Morang</v>
      </c>
      <c r="I2180" s="2" t="str">
        <f>IFERROR(__xludf.DUMMYFUNCTION("""COMPUTED_VALUE"""),"27o 40' 00""")</f>
        <v>27o 40' 00"</v>
      </c>
      <c r="J2180" s="2" t="str">
        <f>IFERROR(__xludf.DUMMYFUNCTION("""COMPUTED_VALUE"""),"27o 41' 38""")</f>
        <v>27o 41' 38"</v>
      </c>
      <c r="K2180" s="2" t="str">
        <f>IFERROR(__xludf.DUMMYFUNCTION("""COMPUTED_VALUE"""),"87o 21' 58""")</f>
        <v>87o 21' 58"</v>
      </c>
      <c r="L2180" s="2" t="str">
        <f>IFERROR(__xludf.DUMMYFUNCTION("""COMPUTED_VALUE"""),"87o 23' 02""")</f>
        <v>87o 23' 02"</v>
      </c>
      <c r="M2180" s="2"/>
    </row>
    <row r="2181">
      <c r="A2181" s="2">
        <f>IFERROR(__xludf.DUMMYFUNCTION("""COMPUTED_VALUE"""),2180.0)</f>
        <v>2180</v>
      </c>
      <c r="B2181" s="2" t="str">
        <f>IFERROR(__xludf.DUMMYFUNCTION("""COMPUTED_VALUE"""),"Dona Lake HEP")</f>
        <v>Dona Lake HEP</v>
      </c>
      <c r="C2181" s="2">
        <f>IFERROR(__xludf.DUMMYFUNCTION("""COMPUTED_VALUE"""),4.99)</f>
        <v>4.99</v>
      </c>
      <c r="D2181" s="2" t="str">
        <f>IFERROR(__xludf.DUMMYFUNCTION("""COMPUTED_VALUE"""),"Dona Khola")</f>
        <v>Dona Khola</v>
      </c>
      <c r="E2181" s="2">
        <f>IFERROR(__xludf.DUMMYFUNCTION("""COMPUTED_VALUE"""),6386.0)</f>
        <v>6386</v>
      </c>
      <c r="F2181" s="3">
        <f>IFERROR(__xludf.DUMMYFUNCTION("""COMPUTED_VALUE"""),63953.0)</f>
        <v>63953</v>
      </c>
      <c r="G2181" s="2" t="str">
        <f>IFERROR(__xludf.DUMMYFUNCTION("""COMPUTED_VALUE"""),"Nepal Natural Resources Development Company Pvt. Ltd")</f>
        <v>Nepal Natural Resources Development Company Pvt. Ltd</v>
      </c>
      <c r="H2181" s="2" t="str">
        <f>IFERROR(__xludf.DUMMYFUNCTION("""COMPUTED_VALUE"""),"Kirtipur-3, Kathmandu")</f>
        <v>Kirtipur-3, Kathmandu</v>
      </c>
      <c r="I2181" s="2" t="str">
        <f>IFERROR(__xludf.DUMMYFUNCTION("""COMPUTED_VALUE"""),"28o 24' 42""")</f>
        <v>28o 24' 42"</v>
      </c>
      <c r="J2181" s="2" t="str">
        <f>IFERROR(__xludf.DUMMYFUNCTION("""COMPUTED_VALUE"""),"28o 29' 59""")</f>
        <v>28o 29' 59"</v>
      </c>
      <c r="K2181" s="2" t="str">
        <f>IFERROR(__xludf.DUMMYFUNCTION("""COMPUTED_VALUE"""),"84o 24' 29""")</f>
        <v>84o 24' 29"</v>
      </c>
      <c r="L2181" s="2" t="str">
        <f>IFERROR(__xludf.DUMMYFUNCTION("""COMPUTED_VALUE"""),"84o 29' 34""")</f>
        <v>84o 29' 34"</v>
      </c>
      <c r="M2181" s="2"/>
    </row>
    <row r="2182">
      <c r="A2182" s="2">
        <f>IFERROR(__xludf.DUMMYFUNCTION("""COMPUTED_VALUE"""),2181.0)</f>
        <v>2181</v>
      </c>
      <c r="B2182" s="2" t="str">
        <f>IFERROR(__xludf.DUMMYFUNCTION("""COMPUTED_VALUE"""),"Chipli Khola HEP")</f>
        <v>Chipli Khola HEP</v>
      </c>
      <c r="C2182" s="2">
        <f>IFERROR(__xludf.DUMMYFUNCTION("""COMPUTED_VALUE"""),0.98)</f>
        <v>0.98</v>
      </c>
      <c r="D2182" s="2" t="str">
        <f>IFERROR(__xludf.DUMMYFUNCTION("""COMPUTED_VALUE"""),"Chipli")</f>
        <v>Chipli</v>
      </c>
      <c r="E2182" s="2">
        <f>IFERROR(__xludf.DUMMYFUNCTION("""COMPUTED_VALUE"""),6396.0)</f>
        <v>6396</v>
      </c>
      <c r="F2182" s="3">
        <f>IFERROR(__xludf.DUMMYFUNCTION("""COMPUTED_VALUE"""),63954.0)</f>
        <v>63954</v>
      </c>
      <c r="G2182" s="2" t="str">
        <f>IFERROR(__xludf.DUMMYFUNCTION("""COMPUTED_VALUE"""),"Natural Construction Pvt. Ltd.")</f>
        <v>Natural Construction Pvt. Ltd.</v>
      </c>
      <c r="H2182" s="2" t="str">
        <f>IFERROR(__xludf.DUMMYFUNCTION("""COMPUTED_VALUE"""),"Baidam, Pokhara")</f>
        <v>Baidam, Pokhara</v>
      </c>
      <c r="I2182" s="2" t="str">
        <f>IFERROR(__xludf.DUMMYFUNCTION("""COMPUTED_VALUE"""),"28o 18' 57""")</f>
        <v>28o 18' 57"</v>
      </c>
      <c r="J2182" s="2" t="str">
        <f>IFERROR(__xludf.DUMMYFUNCTION("""COMPUTED_VALUE"""),"28o 19' 52""")</f>
        <v>28o 19' 52"</v>
      </c>
      <c r="K2182" s="2" t="str">
        <f>IFERROR(__xludf.DUMMYFUNCTION("""COMPUTED_VALUE"""),"84o 03' 34""")</f>
        <v>84o 03' 34"</v>
      </c>
      <c r="L2182" s="2" t="str">
        <f>IFERROR(__xludf.DUMMYFUNCTION("""COMPUTED_VALUE"""),"84o 05' 35""")</f>
        <v>84o 05' 35"</v>
      </c>
      <c r="M2182" s="2"/>
    </row>
    <row r="2183">
      <c r="A2183" s="2">
        <f>IFERROR(__xludf.DUMMYFUNCTION("""COMPUTED_VALUE"""),2182.0)</f>
        <v>2182</v>
      </c>
      <c r="B2183" s="2" t="str">
        <f>IFERROR(__xludf.DUMMYFUNCTION("""COMPUTED_VALUE"""),"Bhalu-Paban Khola HEP")</f>
        <v>Bhalu-Paban Khola HEP</v>
      </c>
      <c r="C2183" s="2">
        <f>IFERROR(__xludf.DUMMYFUNCTION("""COMPUTED_VALUE"""),8.5)</f>
        <v>8.5</v>
      </c>
      <c r="D2183" s="2" t="str">
        <f>IFERROR(__xludf.DUMMYFUNCTION("""COMPUTED_VALUE"""),"Bhalu n Paban Khola")</f>
        <v>Bhalu n Paban Khola</v>
      </c>
      <c r="E2183" s="2">
        <f>IFERROR(__xludf.DUMMYFUNCTION("""COMPUTED_VALUE"""),6917.0)</f>
        <v>6917</v>
      </c>
      <c r="F2183" s="3">
        <f>IFERROR(__xludf.DUMMYFUNCTION("""COMPUTED_VALUE"""),63975.0)</f>
        <v>63975</v>
      </c>
      <c r="G2183" s="2" t="str">
        <f>IFERROR(__xludf.DUMMYFUNCTION("""COMPUTED_VALUE"""),"Shringi Hydropower Pvt. Ltd")</f>
        <v>Shringi Hydropower Pvt. Ltd</v>
      </c>
      <c r="H2183" s="2" t="str">
        <f>IFERROR(__xludf.DUMMYFUNCTION("""COMPUTED_VALUE"""),"Kaldhara-16, Kathmandu")</f>
        <v>Kaldhara-16, Kathmandu</v>
      </c>
      <c r="I2183" s="2" t="str">
        <f>IFERROR(__xludf.DUMMYFUNCTION("""COMPUTED_VALUE"""),"28o 20' 37""")</f>
        <v>28o 20' 37"</v>
      </c>
      <c r="J2183" s="2" t="str">
        <f>IFERROR(__xludf.DUMMYFUNCTION("""COMPUTED_VALUE"""),"28o 21' 24""")</f>
        <v>28o 21' 24"</v>
      </c>
      <c r="K2183" s="2" t="str">
        <f>IFERROR(__xludf.DUMMYFUNCTION("""COMPUTED_VALUE"""),"84o 53' 02""")</f>
        <v>84o 53' 02"</v>
      </c>
      <c r="L2183" s="2" t="str">
        <f>IFERROR(__xludf.DUMMYFUNCTION("""COMPUTED_VALUE"""),"84o 54' 05""")</f>
        <v>84o 54' 05"</v>
      </c>
      <c r="M2183" s="2"/>
    </row>
    <row r="2184">
      <c r="A2184" s="2">
        <f>IFERROR(__xludf.DUMMYFUNCTION("""COMPUTED_VALUE"""),2183.0)</f>
        <v>2183</v>
      </c>
      <c r="B2184" s="2" t="str">
        <f>IFERROR(__xludf.DUMMYFUNCTION("""COMPUTED_VALUE"""),"Phoksundo HEP")</f>
        <v>Phoksundo HEP</v>
      </c>
      <c r="C2184" s="2">
        <f>IFERROR(__xludf.DUMMYFUNCTION("""COMPUTED_VALUE"""),24.0)</f>
        <v>24</v>
      </c>
      <c r="D2184" s="2" t="str">
        <f>IFERROR(__xludf.DUMMYFUNCTION("""COMPUTED_VALUE"""),"Tarap")</f>
        <v>Tarap</v>
      </c>
      <c r="E2184" s="2">
        <f>IFERROR(__xludf.DUMMYFUNCTION("""COMPUTED_VALUE"""),7045.0)</f>
        <v>7045</v>
      </c>
      <c r="F2184" s="2" t="str">
        <f>IFERROR(__xludf.DUMMYFUNCTION("""COMPUTED_VALUE"""),"2075-02-31")</f>
        <v>2075-02-31</v>
      </c>
      <c r="G2184" s="2" t="str">
        <f>IFERROR(__xludf.DUMMYFUNCTION("""COMPUTED_VALUE"""),"Divya Giri")</f>
        <v>Divya Giri</v>
      </c>
      <c r="H2184" s="2" t="str">
        <f>IFERROR(__xludf.DUMMYFUNCTION("""COMPUTED_VALUE"""),"Kaski Nepal")</f>
        <v>Kaski Nepal</v>
      </c>
      <c r="I2184" s="2" t="str">
        <f>IFERROR(__xludf.DUMMYFUNCTION("""COMPUTED_VALUE"""),"28o 53' 27""")</f>
        <v>28o 53' 27"</v>
      </c>
      <c r="J2184" s="2" t="str">
        <f>IFERROR(__xludf.DUMMYFUNCTION("""COMPUTED_VALUE"""),"28o 58' 20""")</f>
        <v>28o 58' 20"</v>
      </c>
      <c r="K2184" s="2" t="str">
        <f>IFERROR(__xludf.DUMMYFUNCTION("""COMPUTED_VALUE"""),"83o 00' 53""")</f>
        <v>83o 00' 53"</v>
      </c>
      <c r="L2184" s="2" t="str">
        <f>IFERROR(__xludf.DUMMYFUNCTION("""COMPUTED_VALUE"""),"83o 05' 49""")</f>
        <v>83o 05' 49"</v>
      </c>
      <c r="M2184" s="2" t="str">
        <f>IFERROR(__xludf.DUMMYFUNCTION("""COMPUTED_VALUE"""),"Sahartara,Lawan (Dolpa)")</f>
        <v>Sahartara,Lawan (Dolpa)</v>
      </c>
    </row>
    <row r="2185">
      <c r="A2185" s="2">
        <f>IFERROR(__xludf.DUMMYFUNCTION("""COMPUTED_VALUE"""),2184.0)</f>
        <v>2184</v>
      </c>
      <c r="B2185" s="2" t="str">
        <f>IFERROR(__xludf.DUMMYFUNCTION("""COMPUTED_VALUE"""),"Pinguwa Khola HEP")</f>
        <v>Pinguwa Khola HEP</v>
      </c>
      <c r="C2185" s="2">
        <f>IFERROR(__xludf.DUMMYFUNCTION("""COMPUTED_VALUE"""),4.8)</f>
        <v>4.8</v>
      </c>
      <c r="D2185" s="2" t="str">
        <f>IFERROR(__xludf.DUMMYFUNCTION("""COMPUTED_VALUE"""),"Pinguwa")</f>
        <v>Pinguwa</v>
      </c>
      <c r="E2185" s="2">
        <f>IFERROR(__xludf.DUMMYFUNCTION("""COMPUTED_VALUE"""),7242.0)</f>
        <v>7242</v>
      </c>
      <c r="F2185" s="3">
        <f>IFERROR(__xludf.DUMMYFUNCTION("""COMPUTED_VALUE"""),63985.0)</f>
        <v>63985</v>
      </c>
      <c r="G2185" s="2" t="str">
        <f>IFERROR(__xludf.DUMMYFUNCTION("""COMPUTED_VALUE"""),"Sukrapath Investment Pvt. Ltd")</f>
        <v>Sukrapath Investment Pvt. Ltd</v>
      </c>
      <c r="H2185" s="2" t="str">
        <f>IFERROR(__xludf.DUMMYFUNCTION("""COMPUTED_VALUE"""),"Pyukha New Road, Kathmandu")</f>
        <v>Pyukha New Road, Kathmandu</v>
      </c>
      <c r="I2185" s="2" t="str">
        <f>IFERROR(__xludf.DUMMYFUNCTION("""COMPUTED_VALUE"""),"27o 05' 18""")</f>
        <v>27o 05' 18"</v>
      </c>
      <c r="J2185" s="2" t="str">
        <f>IFERROR(__xludf.DUMMYFUNCTION("""COMPUTED_VALUE"""),"27o 07' 50""")</f>
        <v>27o 07' 50"</v>
      </c>
      <c r="K2185" s="2" t="str">
        <f>IFERROR(__xludf.DUMMYFUNCTION("""COMPUTED_VALUE"""),"87o 29' 40""")</f>
        <v>87o 29' 40"</v>
      </c>
      <c r="L2185" s="2" t="str">
        <f>IFERROR(__xludf.DUMMYFUNCTION("""COMPUTED_VALUE"""),"87o 31' 27""")</f>
        <v>87o 31' 27"</v>
      </c>
      <c r="M2185" s="2"/>
    </row>
    <row r="2186">
      <c r="A2186" s="2">
        <f>IFERROR(__xludf.DUMMYFUNCTION("""COMPUTED_VALUE"""),2185.0)</f>
        <v>2185</v>
      </c>
      <c r="B2186" s="2" t="str">
        <f>IFERROR(__xludf.DUMMYFUNCTION("""COMPUTED_VALUE"""),"Duna Lake Hydropower project")</f>
        <v>Duna Lake Hydropower project</v>
      </c>
      <c r="C2186" s="2">
        <f>IFERROR(__xludf.DUMMYFUNCTION("""COMPUTED_VALUE"""),4.95)</f>
        <v>4.95</v>
      </c>
      <c r="D2186" s="2" t="str">
        <f>IFERROR(__xludf.DUMMYFUNCTION("""COMPUTED_VALUE"""),"Dona")</f>
        <v>Dona</v>
      </c>
      <c r="E2186" s="2">
        <f>IFERROR(__xludf.DUMMYFUNCTION("""COMPUTED_VALUE"""),7383.0)</f>
        <v>7383</v>
      </c>
      <c r="F2186" s="3">
        <f>IFERROR(__xludf.DUMMYFUNCTION("""COMPUTED_VALUE"""),63992.0)</f>
        <v>63992</v>
      </c>
      <c r="G2186" s="2" t="str">
        <f>IFERROR(__xludf.DUMMYFUNCTION("""COMPUTED_VALUE"""),"Nepal Natural ResourcesDevelopment CompanyPvt. Ltd")</f>
        <v>Nepal Natural ResourcesDevelopment CompanyPvt. Ltd</v>
      </c>
      <c r="H2186" s="2" t="str">
        <f>IFERROR(__xludf.DUMMYFUNCTION("""COMPUTED_VALUE"""),"Kirtipur, Kathmandu,")</f>
        <v>Kirtipur, Kathmandu,</v>
      </c>
      <c r="I2186" s="2" t="str">
        <f>IFERROR(__xludf.DUMMYFUNCTION("""COMPUTED_VALUE"""),"28o 28' 30""")</f>
        <v>28o 28' 30"</v>
      </c>
      <c r="J2186" s="2" t="str">
        <f>IFERROR(__xludf.DUMMYFUNCTION("""COMPUTED_VALUE"""),"28o 32' 00""")</f>
        <v>28o 32' 00"</v>
      </c>
      <c r="K2186" s="2" t="str">
        <f>IFERROR(__xludf.DUMMYFUNCTION("""COMPUTED_VALUE"""),"84o 25' 04""")</f>
        <v>84o 25' 04"</v>
      </c>
      <c r="L2186" s="2" t="str">
        <f>IFERROR(__xludf.DUMMYFUNCTION("""COMPUTED_VALUE"""),"84o 30' 00""")</f>
        <v>84o 30' 00"</v>
      </c>
      <c r="M2186" s="2" t="str">
        <f>IFERROR(__xludf.DUMMYFUNCTION("""COMPUTED_VALUE"""),"Dharapani (Manang)")</f>
        <v>Dharapani (Manang)</v>
      </c>
    </row>
    <row r="2187">
      <c r="A2187" s="2">
        <f>IFERROR(__xludf.DUMMYFUNCTION("""COMPUTED_VALUE"""),2186.0)</f>
        <v>2186</v>
      </c>
      <c r="B2187" s="2" t="str">
        <f>IFERROR(__xludf.DUMMYFUNCTION("""COMPUTED_VALUE"""),"Upper Ikhuwa Khola HEP")</f>
        <v>Upper Ikhuwa Khola HEP</v>
      </c>
      <c r="C2187" s="2">
        <f>IFERROR(__xludf.DUMMYFUNCTION("""COMPUTED_VALUE"""),4.9)</f>
        <v>4.9</v>
      </c>
      <c r="D2187" s="2" t="str">
        <f>IFERROR(__xludf.DUMMYFUNCTION("""COMPUTED_VALUE"""),"Ikhuwa")</f>
        <v>Ikhuwa</v>
      </c>
      <c r="E2187" s="2">
        <f>IFERROR(__xludf.DUMMYFUNCTION("""COMPUTED_VALUE"""),7485.0)</f>
        <v>7485</v>
      </c>
      <c r="F2187" s="3">
        <f>IFERROR(__xludf.DUMMYFUNCTION("""COMPUTED_VALUE"""),63996.0)</f>
        <v>63996</v>
      </c>
      <c r="G2187" s="2" t="str">
        <f>IFERROR(__xludf.DUMMYFUNCTION("""COMPUTED_VALUE"""),"Khadga Bahadur Karki")</f>
        <v>Khadga Bahadur Karki</v>
      </c>
      <c r="H2187" s="2" t="str">
        <f>IFERROR(__xludf.DUMMYFUNCTION("""COMPUTED_VALUE"""),"Urlabari, Morang")</f>
        <v>Urlabari, Morang</v>
      </c>
      <c r="I2187" s="2" t="str">
        <f>IFERROR(__xludf.DUMMYFUNCTION("""COMPUTED_VALUE"""),"27o 35' 48""")</f>
        <v>27o 35' 48"</v>
      </c>
      <c r="J2187" s="2" t="str">
        <f>IFERROR(__xludf.DUMMYFUNCTION("""COMPUTED_VALUE"""),"27o 37' 26""")</f>
        <v>27o 37' 26"</v>
      </c>
      <c r="K2187" s="2" t="str">
        <f>IFERROR(__xludf.DUMMYFUNCTION("""COMPUTED_VALUE"""),"87o 25' 00""")</f>
        <v>87o 25' 00"</v>
      </c>
      <c r="L2187" s="2" t="str">
        <f>IFERROR(__xludf.DUMMYFUNCTION("""COMPUTED_VALUE"""),"87o 27' 07""")</f>
        <v>87o 27' 07"</v>
      </c>
      <c r="M2187" s="2" t="str">
        <f>IFERROR(__xludf.DUMMYFUNCTION("""COMPUTED_VALUE"""),"Pawakhola (Sankhuwasabha)")</f>
        <v>Pawakhola (Sankhuwasabha)</v>
      </c>
    </row>
    <row r="2188">
      <c r="A2188" s="2">
        <f>IFERROR(__xludf.DUMMYFUNCTION("""COMPUTED_VALUE"""),2187.0)</f>
        <v>2187</v>
      </c>
      <c r="B2188" s="2" t="str">
        <f>IFERROR(__xludf.DUMMYFUNCTION("""COMPUTED_VALUE"""),"Upper Ruru Banchu")</f>
        <v>Upper Ruru Banchu</v>
      </c>
      <c r="C2188" s="2">
        <f>IFERROR(__xludf.DUMMYFUNCTION("""COMPUTED_VALUE"""),4.54)</f>
        <v>4.54</v>
      </c>
      <c r="D2188" s="2" t="str">
        <f>IFERROR(__xludf.DUMMYFUNCTION("""COMPUTED_VALUE"""),"Rurubanchu Khola")</f>
        <v>Rurubanchu Khola</v>
      </c>
      <c r="E2188" s="2">
        <f>IFERROR(__xludf.DUMMYFUNCTION("""COMPUTED_VALUE"""),7631.0)</f>
        <v>7631</v>
      </c>
      <c r="F2188" s="3">
        <f>IFERROR(__xludf.DUMMYFUNCTION("""COMPUTED_VALUE"""),64000.0)</f>
        <v>64000</v>
      </c>
      <c r="G2188" s="2" t="str">
        <f>IFERROR(__xludf.DUMMYFUNCTION("""COMPUTED_VALUE"""),"Kamal Raj Paudel")</f>
        <v>Kamal Raj Paudel</v>
      </c>
      <c r="H2188" s="2" t="str">
        <f>IFERROR(__xludf.DUMMYFUNCTION("""COMPUTED_VALUE"""),"Arukharka, Syangja, 01-4117008")</f>
        <v>Arukharka, Syangja, 01-4117008</v>
      </c>
      <c r="I2188" s="2" t="str">
        <f>IFERROR(__xludf.DUMMYFUNCTION("""COMPUTED_VALUE"""),"29o 05' 45""")</f>
        <v>29o 05' 45"</v>
      </c>
      <c r="J2188" s="2" t="str">
        <f>IFERROR(__xludf.DUMMYFUNCTION("""COMPUTED_VALUE"""),"29o 07' 00""")</f>
        <v>29o 07' 00"</v>
      </c>
      <c r="K2188" s="2" t="str">
        <f>IFERROR(__xludf.DUMMYFUNCTION("""COMPUTED_VALUE"""),"81o 48' 30""")</f>
        <v>81o 48' 30"</v>
      </c>
      <c r="L2188" s="2" t="str">
        <f>IFERROR(__xludf.DUMMYFUNCTION("""COMPUTED_VALUE"""),"81o 52' 00""")</f>
        <v>81o 52' 00"</v>
      </c>
      <c r="M2188" s="2" t="str">
        <f>IFERROR(__xludf.DUMMYFUNCTION("""COMPUTED_VALUE"""),"Chilkhaya (Kalikot)")</f>
        <v>Chilkhaya (Kalikot)</v>
      </c>
    </row>
    <row r="2189">
      <c r="A2189" s="2">
        <f>IFERROR(__xludf.DUMMYFUNCTION("""COMPUTED_VALUE"""),2188.0)</f>
        <v>2188</v>
      </c>
      <c r="B2189" s="2" t="str">
        <f>IFERROR(__xludf.DUMMYFUNCTION("""COMPUTED_VALUE"""),"Rupakot Multipurpose MHP")</f>
        <v>Rupakot Multipurpose MHP</v>
      </c>
      <c r="C2189" s="2">
        <f>IFERROR(__xludf.DUMMYFUNCTION("""COMPUTED_VALUE"""),0.3)</f>
        <v>0.3</v>
      </c>
      <c r="D2189" s="2" t="str">
        <f>IFERROR(__xludf.DUMMYFUNCTION("""COMPUTED_VALUE"""),"Hugdi")</f>
        <v>Hugdi</v>
      </c>
      <c r="E2189" s="2">
        <f>IFERROR(__xludf.DUMMYFUNCTION("""COMPUTED_VALUE"""),7790.0)</f>
        <v>7790</v>
      </c>
      <c r="F2189" s="3">
        <f>IFERROR(__xludf.DUMMYFUNCTION("""COMPUTED_VALUE"""),64006.0)</f>
        <v>64006</v>
      </c>
      <c r="G2189" s="2" t="str">
        <f>IFERROR(__xludf.DUMMYFUNCTION("""COMPUTED_VALUE"""),"Rupakot BIkas Tatha Bidhyut Co. Pvt.")</f>
        <v>Rupakot BIkas Tatha Bidhyut Co. Pvt.</v>
      </c>
      <c r="H2189" s="2" t="str">
        <f>IFERROR(__xludf.DUMMYFUNCTION("""COMPUTED_VALUE"""),"Rupakot, Gulmi")</f>
        <v>Rupakot, Gulmi</v>
      </c>
      <c r="I2189" s="2" t="str">
        <f>IFERROR(__xludf.DUMMYFUNCTION("""COMPUTED_VALUE"""),"28o 03' 56""")</f>
        <v>28o 03' 56"</v>
      </c>
      <c r="J2189" s="2" t="str">
        <f>IFERROR(__xludf.DUMMYFUNCTION("""COMPUTED_VALUE"""),"28o 04' 03""")</f>
        <v>28o 04' 03"</v>
      </c>
      <c r="K2189" s="2" t="str">
        <f>IFERROR(__xludf.DUMMYFUNCTION("""COMPUTED_VALUE"""),"83o 12' 55""")</f>
        <v>83o 12' 55"</v>
      </c>
      <c r="L2189" s="2" t="str">
        <f>IFERROR(__xludf.DUMMYFUNCTION("""COMPUTED_VALUE"""),"83o 28' 29""")</f>
        <v>83o 28' 29"</v>
      </c>
      <c r="M2189" s="2" t="str">
        <f>IFERROR(__xludf.DUMMYFUNCTION("""COMPUTED_VALUE"""),"Rupakot (Gulmi)")</f>
        <v>Rupakot (Gulmi)</v>
      </c>
    </row>
    <row r="2190">
      <c r="A2190" s="2">
        <f>IFERROR(__xludf.DUMMYFUNCTION("""COMPUTED_VALUE"""),2189.0)</f>
        <v>2189</v>
      </c>
      <c r="B2190" s="2" t="str">
        <f>IFERROR(__xludf.DUMMYFUNCTION("""COMPUTED_VALUE"""),"Ladku Khola Small HEP")</f>
        <v>Ladku Khola Small HEP</v>
      </c>
      <c r="C2190" s="2">
        <f>IFERROR(__xludf.DUMMYFUNCTION("""COMPUTED_VALUE"""),0.65)</f>
        <v>0.65</v>
      </c>
      <c r="D2190" s="2" t="str">
        <f>IFERROR(__xludf.DUMMYFUNCTION("""COMPUTED_VALUE"""),"Ladku Khola")</f>
        <v>Ladku Khola</v>
      </c>
      <c r="E2190" s="2">
        <f>IFERROR(__xludf.DUMMYFUNCTION("""COMPUTED_VALUE"""),7814.0)</f>
        <v>7814</v>
      </c>
      <c r="F2190" s="3">
        <f>IFERROR(__xludf.DUMMYFUNCTION("""COMPUTED_VALUE"""),64007.0)</f>
        <v>64007</v>
      </c>
      <c r="G2190" s="2" t="str">
        <f>IFERROR(__xludf.DUMMYFUNCTION("""COMPUTED_VALUE"""),"Azima Hydropower Pvt. Ltd")</f>
        <v>Azima Hydropower Pvt. Ltd</v>
      </c>
      <c r="H2190" s="2" t="str">
        <f>IFERROR(__xludf.DUMMYFUNCTION("""COMPUTED_VALUE"""),"Bhimsen Marga, Banepa-10, Kabhre. Sok Sudhar Bhaila. Ph. no. 011-661898, 
Mob no. 9851060785")</f>
        <v>Bhimsen Marga, Banepa-10, Kabhre. Sok Sudhar Bhaila. Ph. no. 011-661898, 
Mob no. 9851060785</v>
      </c>
      <c r="I2190" s="2" t="str">
        <f>IFERROR(__xludf.DUMMYFUNCTION("""COMPUTED_VALUE"""),"27o 31' 00""")</f>
        <v>27o 31' 00"</v>
      </c>
      <c r="J2190" s="2" t="str">
        <f>IFERROR(__xludf.DUMMYFUNCTION("""COMPUTED_VALUE"""),"27o 31' 50""")</f>
        <v>27o 31' 50"</v>
      </c>
      <c r="K2190" s="2" t="str">
        <f>IFERROR(__xludf.DUMMYFUNCTION("""COMPUTED_VALUE"""),"85o 30' 00""")</f>
        <v>85o 30' 00"</v>
      </c>
      <c r="L2190" s="2" t="str">
        <f>IFERROR(__xludf.DUMMYFUNCTION("""COMPUTED_VALUE"""),"85o 31' 30""")</f>
        <v>85o 31' 30"</v>
      </c>
      <c r="M2190" s="2"/>
    </row>
    <row r="2191">
      <c r="A2191" s="2">
        <f>IFERROR(__xludf.DUMMYFUNCTION("""COMPUTED_VALUE"""),2190.0)</f>
        <v>2190</v>
      </c>
      <c r="B2191" s="2" t="str">
        <f>IFERROR(__xludf.DUMMYFUNCTION("""COMPUTED_VALUE"""),"Tila Mini HEP")</f>
        <v>Tila Mini HEP</v>
      </c>
      <c r="C2191" s="2">
        <f>IFERROR(__xludf.DUMMYFUNCTION("""COMPUTED_VALUE"""),0.3)</f>
        <v>0.3</v>
      </c>
      <c r="D2191" s="2" t="str">
        <f>IFERROR(__xludf.DUMMYFUNCTION("""COMPUTED_VALUE"""),"Goru khola")</f>
        <v>Goru khola</v>
      </c>
      <c r="E2191" s="2">
        <f>IFERROR(__xludf.DUMMYFUNCTION("""COMPUTED_VALUE"""),774.0)</f>
        <v>774</v>
      </c>
      <c r="F2191" s="3">
        <f>IFERROR(__xludf.DUMMYFUNCTION("""COMPUTED_VALUE"""),64042.0)</f>
        <v>64042</v>
      </c>
      <c r="G2191" s="2" t="str">
        <f>IFERROR(__xludf.DUMMYFUNCTION("""COMPUTED_VALUE"""),"Evan Energy Solution Pvt. Ltd")</f>
        <v>Evan Energy Solution Pvt. Ltd</v>
      </c>
      <c r="H2191" s="2" t="str">
        <f>IFERROR(__xludf.DUMMYFUNCTION("""COMPUTED_VALUE"""),"Sanepa-3, Lalitpur")</f>
        <v>Sanepa-3, Lalitpur</v>
      </c>
      <c r="I2191" s="2" t="str">
        <f>IFERROR(__xludf.DUMMYFUNCTION("""COMPUTED_VALUE"""),"29o 12' 24""")</f>
        <v>29o 12' 24"</v>
      </c>
      <c r="J2191" s="2" t="str">
        <f>IFERROR(__xludf.DUMMYFUNCTION("""COMPUTED_VALUE"""),"29o 13' 31""")</f>
        <v>29o 13' 31"</v>
      </c>
      <c r="K2191" s="2" t="str">
        <f>IFERROR(__xludf.DUMMYFUNCTION("""COMPUTED_VALUE"""),"81o 57' 24""")</f>
        <v>81o 57' 24"</v>
      </c>
      <c r="L2191" s="2" t="str">
        <f>IFERROR(__xludf.DUMMYFUNCTION("""COMPUTED_VALUE"""),"81o 58' 01""")</f>
        <v>81o 58' 01"</v>
      </c>
      <c r="M2191" s="2"/>
    </row>
    <row r="2192">
      <c r="A2192" s="2">
        <f>IFERROR(__xludf.DUMMYFUNCTION("""COMPUTED_VALUE"""),2191.0)</f>
        <v>2191</v>
      </c>
      <c r="B2192" s="2" t="str">
        <f>IFERROR(__xludf.DUMMYFUNCTION("""COMPUTED_VALUE"""),"Lowert Badigad HPP")</f>
        <v>Lowert Badigad HPP</v>
      </c>
      <c r="C2192" s="2">
        <f>IFERROR(__xludf.DUMMYFUNCTION("""COMPUTED_VALUE"""),42.0)</f>
        <v>42</v>
      </c>
      <c r="D2192" s="2" t="str">
        <f>IFERROR(__xludf.DUMMYFUNCTION("""COMPUTED_VALUE"""),"Badigad")</f>
        <v>Badigad</v>
      </c>
      <c r="E2192" s="2">
        <f>IFERROR(__xludf.DUMMYFUNCTION("""COMPUTED_VALUE"""),1580.0)</f>
        <v>1580</v>
      </c>
      <c r="F2192" s="3">
        <f>IFERROR(__xludf.DUMMYFUNCTION("""COMPUTED_VALUE"""),64086.0)</f>
        <v>64086</v>
      </c>
      <c r="G2192" s="2" t="str">
        <f>IFERROR(__xludf.DUMMYFUNCTION("""COMPUTED_VALUE"""),"Anak Hydropower Co. Pvt. Ltd")</f>
        <v>Anak Hydropower Co. Pvt. Ltd</v>
      </c>
      <c r="H2192" s="2" t="str">
        <f>IFERROR(__xludf.DUMMYFUNCTION("""COMPUTED_VALUE"""),"Rabibhawan Kathmandu 17, Phone 01-4278130, 9841071689")</f>
        <v>Rabibhawan Kathmandu 17, Phone 01-4278130, 9841071689</v>
      </c>
      <c r="I2192" s="2" t="str">
        <f>IFERROR(__xludf.DUMMYFUNCTION("""COMPUTED_VALUE"""),"27o 58' 30""")</f>
        <v>27o 58' 30"</v>
      </c>
      <c r="J2192" s="2" t="str">
        <f>IFERROR(__xludf.DUMMYFUNCTION("""COMPUTED_VALUE"""),"28o 02' 04""")</f>
        <v>28o 02' 04"</v>
      </c>
      <c r="K2192" s="2" t="str">
        <f>IFERROR(__xludf.DUMMYFUNCTION("""COMPUTED_VALUE"""),"83o 24' 30""")</f>
        <v>83o 24' 30"</v>
      </c>
      <c r="L2192" s="2" t="str">
        <f>IFERROR(__xludf.DUMMYFUNCTION("""COMPUTED_VALUE"""),"83o 28' 27""")</f>
        <v>83o 28' 27"</v>
      </c>
      <c r="M2192" s="2" t="str">
        <f>IFERROR(__xludf.DUMMYFUNCTION("""COMPUTED_VALUE"""),"Baletaksar (Gulmi)")</f>
        <v>Baletaksar (Gulmi)</v>
      </c>
    </row>
    <row r="2193">
      <c r="A2193" s="2">
        <f>IFERROR(__xludf.DUMMYFUNCTION("""COMPUTED_VALUE"""),2192.0)</f>
        <v>2192</v>
      </c>
      <c r="B2193" s="2" t="str">
        <f>IFERROR(__xludf.DUMMYFUNCTION("""COMPUTED_VALUE"""),"LudiKhola Small Hydropower Project")</f>
        <v>LudiKhola Small Hydropower Project</v>
      </c>
      <c r="C2193" s="2">
        <f>IFERROR(__xludf.DUMMYFUNCTION("""COMPUTED_VALUE"""),0.99)</f>
        <v>0.99</v>
      </c>
      <c r="D2193" s="2" t="str">
        <f>IFERROR(__xludf.DUMMYFUNCTION("""COMPUTED_VALUE"""),"Ludi Khola")</f>
        <v>Ludi Khola</v>
      </c>
      <c r="E2193" s="2">
        <f>IFERROR(__xludf.DUMMYFUNCTION("""COMPUTED_VALUE"""),1700.0)</f>
        <v>1700</v>
      </c>
      <c r="F2193" s="3">
        <f>IFERROR(__xludf.DUMMYFUNCTION("""COMPUTED_VALUE"""),64091.0)</f>
        <v>64091</v>
      </c>
      <c r="G2193" s="2" t="str">
        <f>IFERROR(__xludf.DUMMYFUNCTION("""COMPUTED_VALUE"""),"AdvancePower Development Centre, New Baneshor Kathmandu ( Via letter of 
Sahid Lakhan Thapa RM)")</f>
        <v>AdvancePower Development Centre, New Baneshor Kathmandu ( Via letter of 
Sahid Lakhan Thapa RM)</v>
      </c>
      <c r="H2193" s="2" t="str">
        <f>IFERROR(__xludf.DUMMYFUNCTION("""COMPUTED_VALUE"""),"Sankhamul Kathmandu, 9844388071")</f>
        <v>Sankhamul Kathmandu, 9844388071</v>
      </c>
      <c r="I2193" s="2" t="str">
        <f>IFERROR(__xludf.DUMMYFUNCTION("""COMPUTED_VALUE"""),"27o 57' 00""")</f>
        <v>27o 57' 00"</v>
      </c>
      <c r="J2193" s="2" t="str">
        <f>IFERROR(__xludf.DUMMYFUNCTION("""COMPUTED_VALUE"""),"27o 57' 26""")</f>
        <v>27o 57' 26"</v>
      </c>
      <c r="K2193" s="2" t="str">
        <f>IFERROR(__xludf.DUMMYFUNCTION("""COMPUTED_VALUE"""),"84o 35' 47""")</f>
        <v>84o 35' 47"</v>
      </c>
      <c r="L2193" s="2" t="str">
        <f>IFERROR(__xludf.DUMMYFUNCTION("""COMPUTED_VALUE"""),"84o 36' 30""")</f>
        <v>84o 36' 30"</v>
      </c>
      <c r="M2193" s="2"/>
    </row>
    <row r="2194">
      <c r="A2194" s="2">
        <f>IFERROR(__xludf.DUMMYFUNCTION("""COMPUTED_VALUE"""),2193.0)</f>
        <v>2193</v>
      </c>
      <c r="B2194" s="2" t="str">
        <f>IFERROR(__xludf.DUMMYFUNCTION("""COMPUTED_VALUE"""),"ladkhu Khola HPP")</f>
        <v>ladkhu Khola HPP</v>
      </c>
      <c r="C2194" s="2">
        <f>IFERROR(__xludf.DUMMYFUNCTION("""COMPUTED_VALUE"""),0.65)</f>
        <v>0.65</v>
      </c>
      <c r="D2194" s="2" t="str">
        <f>IFERROR(__xludf.DUMMYFUNCTION("""COMPUTED_VALUE"""),"Ladkhu")</f>
        <v>Ladkhu</v>
      </c>
      <c r="E2194" s="2">
        <f>IFERROR(__xludf.DUMMYFUNCTION("""COMPUTED_VALUE"""),1820.0)</f>
        <v>1820</v>
      </c>
      <c r="F2194" s="3">
        <f>IFERROR(__xludf.DUMMYFUNCTION("""COMPUTED_VALUE"""),64098.0)</f>
        <v>64098</v>
      </c>
      <c r="G2194" s="2" t="str">
        <f>IFERROR(__xludf.DUMMYFUNCTION("""COMPUTED_VALUE"""),"Ajima Hydropower Limited ( Via Bethanchowk Rural Municipality)")</f>
        <v>Ajima Hydropower Limited ( Via Bethanchowk Rural Municipality)</v>
      </c>
      <c r="H2194" s="2" t="str">
        <f>IFERROR(__xludf.DUMMYFUNCTION("""COMPUTED_VALUE"""),"Bhisen Marg Banepa; 9851060785")</f>
        <v>Bhisen Marg Banepa; 9851060785</v>
      </c>
      <c r="I2194" s="2" t="str">
        <f>IFERROR(__xludf.DUMMYFUNCTION("""COMPUTED_VALUE"""),"27o 31' 00""")</f>
        <v>27o 31' 00"</v>
      </c>
      <c r="J2194" s="2" t="str">
        <f>IFERROR(__xludf.DUMMYFUNCTION("""COMPUTED_VALUE"""),"27o 31' 50""")</f>
        <v>27o 31' 50"</v>
      </c>
      <c r="K2194" s="2" t="str">
        <f>IFERROR(__xludf.DUMMYFUNCTION("""COMPUTED_VALUE"""),"85o 30' 00""")</f>
        <v>85o 30' 00"</v>
      </c>
      <c r="L2194" s="2" t="str">
        <f>IFERROR(__xludf.DUMMYFUNCTION("""COMPUTED_VALUE"""),"85o 31' 30""")</f>
        <v>85o 31' 30"</v>
      </c>
      <c r="M2194" s="2" t="str">
        <f>IFERROR(__xludf.DUMMYFUNCTION("""COMPUTED_VALUE"""),"Dhunkharka,Chyasing Kharka (Kavrepalanchok)")</f>
        <v>Dhunkharka,Chyasing Kharka (Kavrepalanchok)</v>
      </c>
    </row>
    <row r="2195">
      <c r="A2195" s="2">
        <f>IFERROR(__xludf.DUMMYFUNCTION("""COMPUTED_VALUE"""),2194.0)</f>
        <v>2194</v>
      </c>
      <c r="B2195" s="2" t="str">
        <f>IFERROR(__xludf.DUMMYFUNCTION("""COMPUTED_VALUE"""),"Rawa Chyalabyala Fisur Khola Micro HEP")</f>
        <v>Rawa Chyalabyala Fisur Khola Micro HEP</v>
      </c>
      <c r="C2195" s="2">
        <f>IFERROR(__xludf.DUMMYFUNCTION("""COMPUTED_VALUE"""),0.25)</f>
        <v>0.25</v>
      </c>
      <c r="D2195" s="2" t="str">
        <f>IFERROR(__xludf.DUMMYFUNCTION("""COMPUTED_VALUE"""),"Fisur Khola")</f>
        <v>Fisur Khola</v>
      </c>
      <c r="E2195" s="2">
        <f>IFERROR(__xludf.DUMMYFUNCTION("""COMPUTED_VALUE"""),2587.0)</f>
        <v>2587</v>
      </c>
      <c r="F2195" s="3">
        <f>IFERROR(__xludf.DUMMYFUNCTION("""COMPUTED_VALUE"""),64143.0)</f>
        <v>64143</v>
      </c>
      <c r="G2195" s="2" t="str">
        <f>IFERROR(__xludf.DUMMYFUNCTION("""COMPUTED_VALUE"""),"Stream Power Development Company Limited")</f>
        <v>Stream Power Development Company Limited</v>
      </c>
      <c r="H2195" s="2" t="str">
        <f>IFERROR(__xludf.DUMMYFUNCTION("""COMPUTED_VALUE"""),"Bigu-1, Lamabagar, Dolakha")</f>
        <v>Bigu-1, Lamabagar, Dolakha</v>
      </c>
      <c r="I2195" s="2" t="str">
        <f>IFERROR(__xludf.DUMMYFUNCTION("""COMPUTED_VALUE"""),"27o 49' 50""")</f>
        <v>27o 49' 50"</v>
      </c>
      <c r="J2195" s="2" t="str">
        <f>IFERROR(__xludf.DUMMYFUNCTION("""COMPUTED_VALUE"""),"27o 50' 45""")</f>
        <v>27o 50' 45"</v>
      </c>
      <c r="K2195" s="2" t="str">
        <f>IFERROR(__xludf.DUMMYFUNCTION("""COMPUTED_VALUE"""),"86o 11' 55""")</f>
        <v>86o 11' 55"</v>
      </c>
      <c r="L2195" s="2" t="str">
        <f>IFERROR(__xludf.DUMMYFUNCTION("""COMPUTED_VALUE"""),"86o 13' 19""")</f>
        <v>86o 13' 19"</v>
      </c>
      <c r="M2195" s="2" t="str">
        <f>IFERROR(__xludf.DUMMYFUNCTION("""COMPUTED_VALUE"""),"Lamabagar (Dolakha)")</f>
        <v>Lamabagar (Dolakha)</v>
      </c>
    </row>
    <row r="2196">
      <c r="A2196" s="2">
        <f>IFERROR(__xludf.DUMMYFUNCTION("""COMPUTED_VALUE"""),2195.0)</f>
        <v>2195</v>
      </c>
      <c r="B2196" s="2" t="str">
        <f>IFERROR(__xludf.DUMMYFUNCTION("""COMPUTED_VALUE"""),"Ruru Banchu Fhulbari Mini HEP")</f>
        <v>Ruru Banchu Fhulbari Mini HEP</v>
      </c>
      <c r="C2196" s="2">
        <f>IFERROR(__xludf.DUMMYFUNCTION("""COMPUTED_VALUE"""),0.98)</f>
        <v>0.98</v>
      </c>
      <c r="D2196" s="2" t="str">
        <f>IFERROR(__xludf.DUMMYFUNCTION("""COMPUTED_VALUE"""),"Rurubanchu Khola")</f>
        <v>Rurubanchu Khola</v>
      </c>
      <c r="E2196" s="2">
        <f>IFERROR(__xludf.DUMMYFUNCTION("""COMPUTED_VALUE"""),2957.0)</f>
        <v>2957</v>
      </c>
      <c r="F2196" s="3">
        <f>IFERROR(__xludf.DUMMYFUNCTION("""COMPUTED_VALUE"""),64163.0)</f>
        <v>64163</v>
      </c>
      <c r="G2196" s="2" t="str">
        <f>IFERROR(__xludf.DUMMYFUNCTION("""COMPUTED_VALUE"""),"Tilagugupha Municipality")</f>
        <v>Tilagugupha Municipality</v>
      </c>
      <c r="H2196" s="2" t="str">
        <f>IFERROR(__xludf.DUMMYFUNCTION("""COMPUTED_VALUE"""),"Tilagugupha Municipality, Malja, kalikot")</f>
        <v>Tilagugupha Municipality, Malja, kalikot</v>
      </c>
      <c r="I2196" s="2" t="str">
        <f>IFERROR(__xludf.DUMMYFUNCTION("""COMPUTED_VALUE"""),"29o 06' 08""")</f>
        <v>29o 06' 08"</v>
      </c>
      <c r="J2196" s="2" t="str">
        <f>IFERROR(__xludf.DUMMYFUNCTION("""COMPUTED_VALUE"""),"29o 06' 13""")</f>
        <v>29o 06' 13"</v>
      </c>
      <c r="K2196" s="2" t="str">
        <f>IFERROR(__xludf.DUMMYFUNCTION("""COMPUTED_VALUE"""),"81o 49' 55""")</f>
        <v>81o 49' 55"</v>
      </c>
      <c r="L2196" s="2" t="str">
        <f>IFERROR(__xludf.DUMMYFUNCTION("""COMPUTED_VALUE"""),"81o 51' 33""")</f>
        <v>81o 51' 33"</v>
      </c>
      <c r="M2196" s="2"/>
    </row>
    <row r="2197">
      <c r="A2197" s="2">
        <f>IFERROR(__xludf.DUMMYFUNCTION("""COMPUTED_VALUE"""),2196.0)</f>
        <v>2196</v>
      </c>
      <c r="B2197" s="2" t="str">
        <f>IFERROR(__xludf.DUMMYFUNCTION("""COMPUTED_VALUE"""),"Malon Khola HPP")</f>
        <v>Malon Khola HPP</v>
      </c>
      <c r="C2197" s="2">
        <f>IFERROR(__xludf.DUMMYFUNCTION("""COMPUTED_VALUE"""),0.995)</f>
        <v>0.995</v>
      </c>
      <c r="D2197" s="2" t="str">
        <f>IFERROR(__xludf.DUMMYFUNCTION("""COMPUTED_VALUE"""),"Malon")</f>
        <v>Malon</v>
      </c>
      <c r="E2197" s="2">
        <f>IFERROR(__xludf.DUMMYFUNCTION("""COMPUTED_VALUE"""),2984.0)</f>
        <v>2984</v>
      </c>
      <c r="F2197" s="3">
        <f>IFERROR(__xludf.DUMMYFUNCTION("""COMPUTED_VALUE"""),64164.0)</f>
        <v>64164</v>
      </c>
      <c r="G2197" s="2" t="str">
        <f>IFERROR(__xludf.DUMMYFUNCTION("""COMPUTED_VALUE"""),"Malon Khola HPP pvt Ltd")</f>
        <v>Malon Khola HPP pvt Ltd</v>
      </c>
      <c r="H2197" s="2" t="str">
        <f>IFERROR(__xludf.DUMMYFUNCTION("""COMPUTED_VALUE"""),"Kaldhara, Kathmandu")</f>
        <v>Kaldhara, Kathmandu</v>
      </c>
      <c r="I2197" s="2" t="str">
        <f>IFERROR(__xludf.DUMMYFUNCTION("""COMPUTED_VALUE"""),"26o 00' 00""")</f>
        <v>26o 00' 00"</v>
      </c>
      <c r="J2197" s="2" t="str">
        <f>IFERROR(__xludf.DUMMYFUNCTION("""COMPUTED_VALUE"""),"26o 00' 00""")</f>
        <v>26o 00' 00"</v>
      </c>
      <c r="K2197" s="2" t="str">
        <f>IFERROR(__xludf.DUMMYFUNCTION("""COMPUTED_VALUE"""),"80o 00' 00""")</f>
        <v>80o 00' 00"</v>
      </c>
      <c r="L2197" s="2" t="str">
        <f>IFERROR(__xludf.DUMMYFUNCTION("""COMPUTED_VALUE"""),"80o 00' 00""")</f>
        <v>80o 00' 00"</v>
      </c>
      <c r="M2197" s="2"/>
    </row>
    <row r="2198">
      <c r="A2198" s="2">
        <f>IFERROR(__xludf.DUMMYFUNCTION("""COMPUTED_VALUE"""),2197.0)</f>
        <v>2197</v>
      </c>
      <c r="B2198" s="2" t="str">
        <f>IFERROR(__xludf.DUMMYFUNCTION("""COMPUTED_VALUE"""),"Lower uttarganga HEP")</f>
        <v>Lower uttarganga HEP</v>
      </c>
      <c r="C2198" s="2">
        <f>IFERROR(__xludf.DUMMYFUNCTION("""COMPUTED_VALUE"""),3.9)</f>
        <v>3.9</v>
      </c>
      <c r="D2198" s="2" t="str">
        <f>IFERROR(__xludf.DUMMYFUNCTION("""COMPUTED_VALUE"""),"Uttarganga")</f>
        <v>Uttarganga</v>
      </c>
      <c r="E2198" s="2">
        <f>IFERROR(__xludf.DUMMYFUNCTION("""COMPUTED_VALUE"""),3407.0)</f>
        <v>3407</v>
      </c>
      <c r="F2198" s="3">
        <f>IFERROR(__xludf.DUMMYFUNCTION("""COMPUTED_VALUE"""),64181.0)</f>
        <v>64181</v>
      </c>
      <c r="G2198" s="2" t="str">
        <f>IFERROR(__xludf.DUMMYFUNCTION("""COMPUTED_VALUE"""),"Bishnu Remjali Magar")</f>
        <v>Bishnu Remjali Magar</v>
      </c>
      <c r="H2198" s="2" t="str">
        <f>IFERROR(__xludf.DUMMYFUNCTION("""COMPUTED_VALUE"""),"Lalitpur")</f>
        <v>Lalitpur</v>
      </c>
      <c r="I2198" s="2" t="str">
        <f>IFERROR(__xludf.DUMMYFUNCTION("""COMPUTED_VALUE"""),"28o 34' 45""")</f>
        <v>28o 34' 45"</v>
      </c>
      <c r="J2198" s="2" t="str">
        <f>IFERROR(__xludf.DUMMYFUNCTION("""COMPUTED_VALUE"""),"28o 36' 10""")</f>
        <v>28o 36' 10"</v>
      </c>
      <c r="K2198" s="2" t="str">
        <f>IFERROR(__xludf.DUMMYFUNCTION("""COMPUTED_VALUE"""),"82o 46' 24""")</f>
        <v>82o 46' 24"</v>
      </c>
      <c r="L2198" s="2" t="str">
        <f>IFERROR(__xludf.DUMMYFUNCTION("""COMPUTED_VALUE"""),"82o 49' 11""")</f>
        <v>82o 49' 11"</v>
      </c>
      <c r="M2198" s="2"/>
    </row>
    <row r="2199">
      <c r="A2199" s="2">
        <f>IFERROR(__xludf.DUMMYFUNCTION("""COMPUTED_VALUE"""),2198.0)</f>
        <v>2198</v>
      </c>
      <c r="B2199" s="2" t="str">
        <f>IFERROR(__xludf.DUMMYFUNCTION("""COMPUTED_VALUE"""),"Khimtmi Shivalaya Storage HEP")</f>
        <v>Khimtmi Shivalaya Storage HEP</v>
      </c>
      <c r="C2199" s="2">
        <f>IFERROR(__xludf.DUMMYFUNCTION("""COMPUTED_VALUE"""),200.0)</f>
        <v>200</v>
      </c>
      <c r="D2199" s="2" t="str">
        <f>IFERROR(__xludf.DUMMYFUNCTION("""COMPUTED_VALUE"""),"Khimti Khola")</f>
        <v>Khimti Khola</v>
      </c>
      <c r="E2199" s="2">
        <f>IFERROR(__xludf.DUMMYFUNCTION("""COMPUTED_VALUE"""),3850.0)</f>
        <v>3850</v>
      </c>
      <c r="F2199" s="3">
        <f>IFERROR(__xludf.DUMMYFUNCTION("""COMPUTED_VALUE"""),64199.0)</f>
        <v>64199</v>
      </c>
      <c r="G2199" s="2" t="str">
        <f>IFERROR(__xludf.DUMMYFUNCTION("""COMPUTED_VALUE"""),"Nepal Electricity Authority")</f>
        <v>Nepal Electricity Authority</v>
      </c>
      <c r="H2199" s="2" t="str">
        <f>IFERROR(__xludf.DUMMYFUNCTION("""COMPUTED_VALUE"""),"Durmarga, Kathmandu")</f>
        <v>Durmarga, Kathmandu</v>
      </c>
      <c r="I2199" s="2" t="str">
        <f>IFERROR(__xludf.DUMMYFUNCTION("""COMPUTED_VALUE"""),"27o 35' 00""")</f>
        <v>27o 35' 00"</v>
      </c>
      <c r="J2199" s="2" t="str">
        <f>IFERROR(__xludf.DUMMYFUNCTION("""COMPUTED_VALUE"""),"27o 40' 00""")</f>
        <v>27o 40' 00"</v>
      </c>
      <c r="K2199" s="2" t="str">
        <f>IFERROR(__xludf.DUMMYFUNCTION("""COMPUTED_VALUE"""),"86o 13' 30""")</f>
        <v>86o 13' 30"</v>
      </c>
      <c r="L2199" s="2" t="str">
        <f>IFERROR(__xludf.DUMMYFUNCTION("""COMPUTED_VALUE"""),"86o 20' 15""")</f>
        <v>86o 20' 15"</v>
      </c>
      <c r="M2199" s="2" t="str">
        <f>IFERROR(__xludf.DUMMYFUNCTION("""COMPUTED_VALUE"""),"Those (Ramechhap)")</f>
        <v>Those (Ramechhap)</v>
      </c>
    </row>
    <row r="2200">
      <c r="A2200" s="2">
        <f>IFERROR(__xludf.DUMMYFUNCTION("""COMPUTED_VALUE"""),2199.0)</f>
        <v>2199</v>
      </c>
      <c r="B2200" s="2" t="str">
        <f>IFERROR(__xludf.DUMMYFUNCTION("""COMPUTED_VALUE"""),"Bhalu Khola HEP")</f>
        <v>Bhalu Khola HEP</v>
      </c>
      <c r="C2200" s="2">
        <f>IFERROR(__xludf.DUMMYFUNCTION("""COMPUTED_VALUE"""),17.3)</f>
        <v>17.3</v>
      </c>
      <c r="D2200" s="2" t="str">
        <f>IFERROR(__xludf.DUMMYFUNCTION("""COMPUTED_VALUE"""),"Bhalu")</f>
        <v>Bhalu</v>
      </c>
      <c r="E2200" s="2">
        <f>IFERROR(__xludf.DUMMYFUNCTION("""COMPUTED_VALUE"""),4026.0)</f>
        <v>4026</v>
      </c>
      <c r="F2200" s="3">
        <f>IFERROR(__xludf.DUMMYFUNCTION("""COMPUTED_VALUE"""),64207.0)</f>
        <v>64207</v>
      </c>
      <c r="G2200" s="2" t="str">
        <f>IFERROR(__xludf.DUMMYFUNCTION("""COMPUTED_VALUE"""),"Annapurna Energy Company Pvt. Ltd")</f>
        <v>Annapurna Energy Company Pvt. Ltd</v>
      </c>
      <c r="H2200" s="2" t="str">
        <f>IFERROR(__xludf.DUMMYFUNCTION("""COMPUTED_VALUE"""),"Balkhu, Kathmandu")</f>
        <v>Balkhu, Kathmandu</v>
      </c>
      <c r="I2200" s="2" t="str">
        <f>IFERROR(__xludf.DUMMYFUNCTION("""COMPUTED_VALUE"""),"28o 20' 00""")</f>
        <v>28o 20' 00"</v>
      </c>
      <c r="J2200" s="2" t="str">
        <f>IFERROR(__xludf.DUMMYFUNCTION("""COMPUTED_VALUE"""),"28o 22' 05""")</f>
        <v>28o 22' 05"</v>
      </c>
      <c r="K2200" s="2" t="str">
        <f>IFERROR(__xludf.DUMMYFUNCTION("""COMPUTED_VALUE"""),"84o 51' 36""")</f>
        <v>84o 51' 36"</v>
      </c>
      <c r="L2200" s="2" t="str">
        <f>IFERROR(__xludf.DUMMYFUNCTION("""COMPUTED_VALUE"""),"84o 54' 23""")</f>
        <v>84o 54' 23"</v>
      </c>
      <c r="M2200" s="2" t="str">
        <f>IFERROR(__xludf.DUMMYFUNCTION("""COMPUTED_VALUE"""),"Sirdibas (Gorkha)")</f>
        <v>Sirdibas (Gorkha)</v>
      </c>
    </row>
    <row r="2201">
      <c r="A2201" s="2">
        <f>IFERROR(__xludf.DUMMYFUNCTION("""COMPUTED_VALUE"""),2200.0)</f>
        <v>2200</v>
      </c>
      <c r="B2201" s="2" t="str">
        <f>IFERROR(__xludf.DUMMYFUNCTION("""COMPUTED_VALUE"""),"Balephi Khola- A HEP")</f>
        <v>Balephi Khola- A HEP</v>
      </c>
      <c r="C2201" s="2">
        <f>IFERROR(__xludf.DUMMYFUNCTION("""COMPUTED_VALUE"""),8.4)</f>
        <v>8.4</v>
      </c>
      <c r="D2201" s="2" t="str">
        <f>IFERROR(__xludf.DUMMYFUNCTION("""COMPUTED_VALUE"""),"Nyasim Khola")</f>
        <v>Nyasim Khola</v>
      </c>
      <c r="E2201" s="2">
        <f>IFERROR(__xludf.DUMMYFUNCTION("""COMPUTED_VALUE"""),4035.0)</f>
        <v>4035</v>
      </c>
      <c r="F2201" s="3">
        <f>IFERROR(__xludf.DUMMYFUNCTION("""COMPUTED_VALUE"""),64207.0)</f>
        <v>64207</v>
      </c>
      <c r="G2201" s="2" t="str">
        <f>IFERROR(__xludf.DUMMYFUNCTION("""COMPUTED_VALUE"""),"B.G GroupPvt.Ltd")</f>
        <v>B.G GroupPvt.Ltd</v>
      </c>
      <c r="H2201" s="2" t="str">
        <f>IFERROR(__xludf.DUMMYFUNCTION("""COMPUTED_VALUE"""),"Durbar Marg , Kathmandu")</f>
        <v>Durbar Marg , Kathmandu</v>
      </c>
      <c r="I2201" s="2" t="str">
        <f>IFERROR(__xludf.DUMMYFUNCTION("""COMPUTED_VALUE"""),"27o 56' 24""")</f>
        <v>27o 56' 24"</v>
      </c>
      <c r="J2201" s="2" t="str">
        <f>IFERROR(__xludf.DUMMYFUNCTION("""COMPUTED_VALUE"""),"27o 57' 47""")</f>
        <v>27o 57' 47"</v>
      </c>
      <c r="K2201" s="2" t="str">
        <f>IFERROR(__xludf.DUMMYFUNCTION("""COMPUTED_VALUE"""),"85o 46' 49""")</f>
        <v>85o 46' 49"</v>
      </c>
      <c r="L2201" s="2" t="str">
        <f>IFERROR(__xludf.DUMMYFUNCTION("""COMPUTED_VALUE"""),"85o 48' 02""")</f>
        <v>85o 48' 02"</v>
      </c>
      <c r="M2201" s="2"/>
    </row>
    <row r="2202">
      <c r="A2202" s="2">
        <f>IFERROR(__xludf.DUMMYFUNCTION("""COMPUTED_VALUE"""),2201.0)</f>
        <v>2201</v>
      </c>
      <c r="B2202" s="2" t="str">
        <f>IFERROR(__xludf.DUMMYFUNCTION("""COMPUTED_VALUE"""),"Ladku Mahankalthan HEP")</f>
        <v>Ladku Mahankalthan HEP</v>
      </c>
      <c r="C2202" s="2">
        <f>IFERROR(__xludf.DUMMYFUNCTION("""COMPUTED_VALUE"""),0.85)</f>
        <v>0.85</v>
      </c>
      <c r="D2202" s="2" t="str">
        <f>IFERROR(__xludf.DUMMYFUNCTION("""COMPUTED_VALUE"""),"Ladku Khola")</f>
        <v>Ladku Khola</v>
      </c>
      <c r="E2202" s="2">
        <f>IFERROR(__xludf.DUMMYFUNCTION("""COMPUTED_VALUE"""),5017.0)</f>
        <v>5017</v>
      </c>
      <c r="F2202" s="3">
        <f>IFERROR(__xludf.DUMMYFUNCTION("""COMPUTED_VALUE"""),64212.0)</f>
        <v>64212</v>
      </c>
      <c r="G2202" s="2" t="str">
        <f>IFERROR(__xludf.DUMMYFUNCTION("""COMPUTED_VALUE"""),"Azima Hydropower Pvt. Ltd")</f>
        <v>Azima Hydropower Pvt. Ltd</v>
      </c>
      <c r="H2202" s="2" t="str">
        <f>IFERROR(__xludf.DUMMYFUNCTION("""COMPUTED_VALUE"""),"Banepa Kavre")</f>
        <v>Banepa Kavre</v>
      </c>
      <c r="I2202" s="2" t="str">
        <f>IFERROR(__xludf.DUMMYFUNCTION("""COMPUTED_VALUE"""),"27o 31' 10""")</f>
        <v>27o 31' 10"</v>
      </c>
      <c r="J2202" s="2" t="str">
        <f>IFERROR(__xludf.DUMMYFUNCTION("""COMPUTED_VALUE"""),"27o 31' 50""")</f>
        <v>27o 31' 50"</v>
      </c>
      <c r="K2202" s="2" t="str">
        <f>IFERROR(__xludf.DUMMYFUNCTION("""COMPUTED_VALUE"""),"85o 30' 00""")</f>
        <v>85o 30' 00"</v>
      </c>
      <c r="L2202" s="2" t="str">
        <f>IFERROR(__xludf.DUMMYFUNCTION("""COMPUTED_VALUE"""),"85o 31' 20""")</f>
        <v>85o 31' 20"</v>
      </c>
      <c r="M2202" s="2"/>
    </row>
    <row r="2203">
      <c r="A2203" s="2">
        <f>IFERROR(__xludf.DUMMYFUNCTION("""COMPUTED_VALUE"""),2202.0)</f>
        <v>2202</v>
      </c>
      <c r="B2203" s="2" t="str">
        <f>IFERROR(__xludf.DUMMYFUNCTION("""COMPUTED_VALUE"""),"Duna Lake HEP")</f>
        <v>Duna Lake HEP</v>
      </c>
      <c r="C2203" s="2">
        <f>IFERROR(__xludf.DUMMYFUNCTION("""COMPUTED_VALUE"""),4.95)</f>
        <v>4.95</v>
      </c>
      <c r="D2203" s="2" t="str">
        <f>IFERROR(__xludf.DUMMYFUNCTION("""COMPUTED_VALUE"""),"Dona")</f>
        <v>Dona</v>
      </c>
      <c r="E2203" s="2">
        <f>IFERROR(__xludf.DUMMYFUNCTION("""COMPUTED_VALUE"""),5055.0)</f>
        <v>5055</v>
      </c>
      <c r="F2203" s="3">
        <f>IFERROR(__xludf.DUMMYFUNCTION("""COMPUTED_VALUE"""),64213.0)</f>
        <v>64213</v>
      </c>
      <c r="G2203" s="2" t="str">
        <f>IFERROR(__xludf.DUMMYFUNCTION("""COMPUTED_VALUE"""),"Nepal Natural Resources Development Company Pvt. Ltd")</f>
        <v>Nepal Natural Resources Development Company Pvt. Ltd</v>
      </c>
      <c r="H2203" s="2" t="str">
        <f>IFERROR(__xludf.DUMMYFUNCTION("""COMPUTED_VALUE"""),"Lainchaur, Kathmandu., 01-4412441, 4441358")</f>
        <v>Lainchaur, Kathmandu., 01-4412441, 4441358</v>
      </c>
      <c r="I2203" s="2" t="str">
        <f>IFERROR(__xludf.DUMMYFUNCTION("""COMPUTED_VALUE"""),"28o 28' 30""")</f>
        <v>28o 28' 30"</v>
      </c>
      <c r="J2203" s="2" t="str">
        <f>IFERROR(__xludf.DUMMYFUNCTION("""COMPUTED_VALUE"""),"28o 32' 00""")</f>
        <v>28o 32' 00"</v>
      </c>
      <c r="K2203" s="2" t="str">
        <f>IFERROR(__xludf.DUMMYFUNCTION("""COMPUTED_VALUE"""),"84o 25' 04""")</f>
        <v>84o 25' 04"</v>
      </c>
      <c r="L2203" s="2" t="str">
        <f>IFERROR(__xludf.DUMMYFUNCTION("""COMPUTED_VALUE"""),"84o 30' 00""")</f>
        <v>84o 30' 00"</v>
      </c>
      <c r="M2203" s="2"/>
    </row>
    <row r="2204">
      <c r="A2204" s="2">
        <f>IFERROR(__xludf.DUMMYFUNCTION("""COMPUTED_VALUE"""),2203.0)</f>
        <v>2203</v>
      </c>
      <c r="B2204" s="2" t="str">
        <f>IFERROR(__xludf.DUMMYFUNCTION("""COMPUTED_VALUE"""),"Naumure Storage HEP")</f>
        <v>Naumure Storage HEP</v>
      </c>
      <c r="C2204" s="2">
        <f>IFERROR(__xludf.DUMMYFUNCTION("""COMPUTED_VALUE"""),216.0)</f>
        <v>216</v>
      </c>
      <c r="D2204" s="2" t="str">
        <f>IFERROR(__xludf.DUMMYFUNCTION("""COMPUTED_VALUE"""),"Rapti")</f>
        <v>Rapti</v>
      </c>
      <c r="E2204" s="2">
        <f>IFERROR(__xludf.DUMMYFUNCTION("""COMPUTED_VALUE"""),5772.0)</f>
        <v>5772</v>
      </c>
      <c r="F2204" s="3">
        <f>IFERROR(__xludf.DUMMYFUNCTION("""COMPUTED_VALUE"""),64249.0)</f>
        <v>64249</v>
      </c>
      <c r="G2204" s="2" t="str">
        <f>IFERROR(__xludf.DUMMYFUNCTION("""COMPUTED_VALUE"""),"Hydroelectricity Investment and Development Company Limited")</f>
        <v>Hydroelectricity Investment and Development Company Limited</v>
      </c>
      <c r="H2204" s="2" t="str">
        <f>IFERROR(__xludf.DUMMYFUNCTION("""COMPUTED_VALUE"""),"Kathmandu-1, Hatisar")</f>
        <v>Kathmandu-1, Hatisar</v>
      </c>
      <c r="I2204" s="2" t="str">
        <f>IFERROR(__xludf.DUMMYFUNCTION("""COMPUTED_VALUE"""),"27o 54' 28""")</f>
        <v>27o 54' 28"</v>
      </c>
      <c r="J2204" s="2" t="str">
        <f>IFERROR(__xludf.DUMMYFUNCTION("""COMPUTED_VALUE"""),"28o 01' 26""")</f>
        <v>28o 01' 26"</v>
      </c>
      <c r="K2204" s="2" t="str">
        <f>IFERROR(__xludf.DUMMYFUNCTION("""COMPUTED_VALUE"""),"82o 47' 00""")</f>
        <v>82o 47' 00"</v>
      </c>
      <c r="L2204" s="2" t="str">
        <f>IFERROR(__xludf.DUMMYFUNCTION("""COMPUTED_VALUE"""),"83o 01' 50""")</f>
        <v>83o 01' 50"</v>
      </c>
      <c r="M2204" s="2" t="str">
        <f>IFERROR(__xludf.DUMMYFUNCTION("""COMPUTED_VALUE"""),"Juluke (Arghakhanchi)")</f>
        <v>Juluke (Arghakhanchi)</v>
      </c>
    </row>
    <row r="2205">
      <c r="A2205" s="2">
        <f>IFERROR(__xludf.DUMMYFUNCTION("""COMPUTED_VALUE"""),2204.0)</f>
        <v>2204</v>
      </c>
      <c r="B2205" s="2" t="str">
        <f>IFERROR(__xludf.DUMMYFUNCTION("""COMPUTED_VALUE"""),"Lower Arun HEP")</f>
        <v>Lower Arun HEP</v>
      </c>
      <c r="C2205" s="2">
        <f>IFERROR(__xludf.DUMMYFUNCTION("""COMPUTED_VALUE"""),679.0)</f>
        <v>679</v>
      </c>
      <c r="D2205" s="2" t="str">
        <f>IFERROR(__xludf.DUMMYFUNCTION("""COMPUTED_VALUE"""),"Arun")</f>
        <v>Arun</v>
      </c>
      <c r="E2205" s="2">
        <f>IFERROR(__xludf.DUMMYFUNCTION("""COMPUTED_VALUE"""),5900.0)</f>
        <v>5900</v>
      </c>
      <c r="F2205" s="3">
        <f>IFERROR(__xludf.DUMMYFUNCTION("""COMPUTED_VALUE"""),64252.0)</f>
        <v>64252</v>
      </c>
      <c r="G2205" s="2" t="str">
        <f>IFERROR(__xludf.DUMMYFUNCTION("""COMPUTED_VALUE"""),"Hydroelectricity Investment and Development Company Limited")</f>
        <v>Hydroelectricity Investment and Development Company Limited</v>
      </c>
      <c r="H2205" s="2" t="str">
        <f>IFERROR(__xludf.DUMMYFUNCTION("""COMPUTED_VALUE"""),"Kathmandu-1, Hattisar")</f>
        <v>Kathmandu-1, Hattisar</v>
      </c>
      <c r="I2205" s="2" t="str">
        <f>IFERROR(__xludf.DUMMYFUNCTION("""COMPUTED_VALUE"""),"27o 22' 00""")</f>
        <v>27o 22' 00"</v>
      </c>
      <c r="J2205" s="2" t="str">
        <f>IFERROR(__xludf.DUMMYFUNCTION("""COMPUTED_VALUE"""),"27o 30' 00""")</f>
        <v>27o 30' 00"</v>
      </c>
      <c r="K2205" s="2" t="str">
        <f>IFERROR(__xludf.DUMMYFUNCTION("""COMPUTED_VALUE"""),"87o 07' 30""")</f>
        <v>87o 07' 30"</v>
      </c>
      <c r="L2205" s="2" t="str">
        <f>IFERROR(__xludf.DUMMYFUNCTION("""COMPUTED_VALUE"""),"87o 12' 30""")</f>
        <v>87o 12' 30"</v>
      </c>
      <c r="M2205" s="2" t="str">
        <f>IFERROR(__xludf.DUMMYFUNCTION("""COMPUTED_VALUE"""),"Diding,Sitalpati (Sankhuwasabha)")</f>
        <v>Diding,Sitalpati (Sankhuwasabha)</v>
      </c>
    </row>
    <row r="2206">
      <c r="A2206" s="2">
        <f>IFERROR(__xludf.DUMMYFUNCTION("""COMPUTED_VALUE"""),2205.0)</f>
        <v>2205</v>
      </c>
      <c r="B2206" s="2" t="str">
        <f>IFERROR(__xludf.DUMMYFUNCTION("""COMPUTED_VALUE"""),"Jagdulla-A HEP")</f>
        <v>Jagdulla-A HEP</v>
      </c>
      <c r="C2206" s="2">
        <f>IFERROR(__xludf.DUMMYFUNCTION("""COMPUTED_VALUE"""),82.3)</f>
        <v>82.3</v>
      </c>
      <c r="D2206" s="2" t="str">
        <f>IFERROR(__xludf.DUMMYFUNCTION("""COMPUTED_VALUE"""),"Bheri")</f>
        <v>Bheri</v>
      </c>
      <c r="E2206" s="2">
        <f>IFERROR(__xludf.DUMMYFUNCTION("""COMPUTED_VALUE"""),5901.0)</f>
        <v>5901</v>
      </c>
      <c r="F2206" s="3">
        <f>IFERROR(__xludf.DUMMYFUNCTION("""COMPUTED_VALUE"""),64252.0)</f>
        <v>64252</v>
      </c>
      <c r="G2206" s="2" t="str">
        <f>IFERROR(__xludf.DUMMYFUNCTION("""COMPUTED_VALUE"""),"Jagdulla Hydropower Company Limited")</f>
        <v>Jagdulla Hydropower Company Limited</v>
      </c>
      <c r="H2206" s="2" t="str">
        <f>IFERROR(__xludf.DUMMYFUNCTION("""COMPUTED_VALUE"""),"Buddhanagar-10, Kathmandu, 014788680")</f>
        <v>Buddhanagar-10, Kathmandu, 014788680</v>
      </c>
      <c r="I2206" s="2" t="str">
        <f>IFERROR(__xludf.DUMMYFUNCTION("""COMPUTED_VALUE"""),"29o 00' 00""")</f>
        <v>29o 00' 00"</v>
      </c>
      <c r="J2206" s="2" t="str">
        <f>IFERROR(__xludf.DUMMYFUNCTION("""COMPUTED_VALUE"""),"29o 03' 16""")</f>
        <v>29o 03' 16"</v>
      </c>
      <c r="K2206" s="2" t="str">
        <f>IFERROR(__xludf.DUMMYFUNCTION("""COMPUTED_VALUE"""),"82o 32' 30""")</f>
        <v>82o 32' 30"</v>
      </c>
      <c r="L2206" s="2" t="str">
        <f>IFERROR(__xludf.DUMMYFUNCTION("""COMPUTED_VALUE"""),"82o 35' 43""")</f>
        <v>82o 35' 43"</v>
      </c>
      <c r="M2206" s="2" t="str">
        <f>IFERROR(__xludf.DUMMYFUNCTION("""COMPUTED_VALUE"""),"Kalika,Narku (Dolpa) Bhagawati Tol (Jajarkot)")</f>
        <v>Kalika,Narku (Dolpa) Bhagawati Tol (Jajarkot)</v>
      </c>
    </row>
    <row r="2207">
      <c r="A2207" s="2">
        <f>IFERROR(__xludf.DUMMYFUNCTION("""COMPUTED_VALUE"""),2206.0)</f>
        <v>2206</v>
      </c>
      <c r="B2207" s="2" t="str">
        <f>IFERROR(__xludf.DUMMYFUNCTION("""COMPUTED_VALUE"""),"Thaligad Small HEP")</f>
        <v>Thaligad Small HEP</v>
      </c>
      <c r="C2207" s="2">
        <f>IFERROR(__xludf.DUMMYFUNCTION("""COMPUTED_VALUE"""),0.7)</f>
        <v>0.7</v>
      </c>
      <c r="D2207" s="2" t="str">
        <f>IFERROR(__xludf.DUMMYFUNCTION("""COMPUTED_VALUE"""),"Thali gad")</f>
        <v>Thali gad</v>
      </c>
      <c r="E2207" s="2">
        <f>IFERROR(__xludf.DUMMYFUNCTION("""COMPUTED_VALUE"""),5932.0)</f>
        <v>5932</v>
      </c>
      <c r="F2207" s="3">
        <f>IFERROR(__xludf.DUMMYFUNCTION("""COMPUTED_VALUE"""),64253.0)</f>
        <v>64253</v>
      </c>
      <c r="G2207" s="2" t="str">
        <f>IFERROR(__xludf.DUMMYFUNCTION("""COMPUTED_VALUE"""),"Trikal Power Company Pvt. Ltd")</f>
        <v>Trikal Power Company Pvt. Ltd</v>
      </c>
      <c r="H2207" s="2" t="str">
        <f>IFERROR(__xludf.DUMMYFUNCTION("""COMPUTED_VALUE"""),"Kathmandu-10, Buddhanagar")</f>
        <v>Kathmandu-10, Buddhanagar</v>
      </c>
      <c r="I2207" s="2" t="str">
        <f>IFERROR(__xludf.DUMMYFUNCTION("""COMPUTED_VALUE"""),"29o 46' 08""")</f>
        <v>29o 46' 08"</v>
      </c>
      <c r="J2207" s="2" t="str">
        <f>IFERROR(__xludf.DUMMYFUNCTION("""COMPUTED_VALUE"""),"29o 47' 46""")</f>
        <v>29o 47' 46"</v>
      </c>
      <c r="K2207" s="2" t="str">
        <f>IFERROR(__xludf.DUMMYFUNCTION("""COMPUTED_VALUE"""),"80o 30' 00""")</f>
        <v>80o 30' 00"</v>
      </c>
      <c r="L2207" s="2" t="str">
        <f>IFERROR(__xludf.DUMMYFUNCTION("""COMPUTED_VALUE"""),"80o 32' 23""")</f>
        <v>80o 32' 23"</v>
      </c>
      <c r="M2207" s="2" t="str">
        <f>IFERROR(__xludf.DUMMYFUNCTION("""COMPUTED_VALUE"""),"Dhap (Darchula)")</f>
        <v>Dhap (Darchula)</v>
      </c>
    </row>
    <row r="2208">
      <c r="A2208" s="2">
        <f>IFERROR(__xludf.DUMMYFUNCTION("""COMPUTED_VALUE"""),2207.0)</f>
        <v>2207</v>
      </c>
      <c r="B2208" s="2" t="str">
        <f>IFERROR(__xludf.DUMMYFUNCTION("""COMPUTED_VALUE"""),"Arun 4 HEP")</f>
        <v>Arun 4 HEP</v>
      </c>
      <c r="C2208" s="2">
        <f>IFERROR(__xludf.DUMMYFUNCTION("""COMPUTED_VALUE"""),264.0)</f>
        <v>264</v>
      </c>
      <c r="D2208" s="2" t="str">
        <f>IFERROR(__xludf.DUMMYFUNCTION("""COMPUTED_VALUE"""),"Arun")</f>
        <v>Arun</v>
      </c>
      <c r="E2208" s="2">
        <f>IFERROR(__xludf.DUMMYFUNCTION("""COMPUTED_VALUE"""),6212.0)</f>
        <v>6212</v>
      </c>
      <c r="F2208" s="3">
        <f>IFERROR(__xludf.DUMMYFUNCTION("""COMPUTED_VALUE"""),64265.0)</f>
        <v>64265</v>
      </c>
      <c r="G2208" s="2" t="str">
        <f>IFERROR(__xludf.DUMMYFUNCTION("""COMPUTED_VALUE"""),"Nepal Electricity Authority")</f>
        <v>Nepal Electricity Authority</v>
      </c>
      <c r="H2208" s="2" t="str">
        <f>IFERROR(__xludf.DUMMYFUNCTION("""COMPUTED_VALUE"""),"Durbar Marg , Kathmandu")</f>
        <v>Durbar Marg , Kathmandu</v>
      </c>
      <c r="I2208" s="2" t="str">
        <f>IFERROR(__xludf.DUMMYFUNCTION("""COMPUTED_VALUE"""),"27o 35' 00""")</f>
        <v>27o 35' 00"</v>
      </c>
      <c r="J2208" s="2" t="str">
        <f>IFERROR(__xludf.DUMMYFUNCTION("""COMPUTED_VALUE"""),"27o 38' 23""")</f>
        <v>27o 38' 23"</v>
      </c>
      <c r="K2208" s="2" t="str">
        <f>IFERROR(__xludf.DUMMYFUNCTION("""COMPUTED_VALUE"""),"87o 19' 30""")</f>
        <v>87o 19' 30"</v>
      </c>
      <c r="L2208" s="2" t="str">
        <f>IFERROR(__xludf.DUMMYFUNCTION("""COMPUTED_VALUE"""),"87o 21' 50""")</f>
        <v>87o 21' 50"</v>
      </c>
      <c r="M2208" s="2" t="str">
        <f>IFERROR(__xludf.DUMMYFUNCTION("""COMPUTED_VALUE"""),"Num,Pathibhara,Hatiya (Sankhuwasabha)")</f>
        <v>Num,Pathibhara,Hatiya (Sankhuwasabha)</v>
      </c>
    </row>
    <row r="2209">
      <c r="A2209" s="2">
        <f>IFERROR(__xludf.DUMMYFUNCTION("""COMPUTED_VALUE"""),2208.0)</f>
        <v>2208</v>
      </c>
      <c r="B2209" s="2" t="str">
        <f>IFERROR(__xludf.DUMMYFUNCTION("""COMPUTED_VALUE"""),"Dona Lake HPP")</f>
        <v>Dona Lake HPP</v>
      </c>
      <c r="C2209" s="2">
        <f>IFERROR(__xludf.DUMMYFUNCTION("""COMPUTED_VALUE"""),4.9)</f>
        <v>4.9</v>
      </c>
      <c r="D2209" s="2" t="str">
        <f>IFERROR(__xludf.DUMMYFUNCTION("""COMPUTED_VALUE"""),"Dona Khola")</f>
        <v>Dona Khola</v>
      </c>
      <c r="E2209" s="2">
        <f>IFERROR(__xludf.DUMMYFUNCTION("""COMPUTED_VALUE"""),6313.0)</f>
        <v>6313</v>
      </c>
      <c r="F2209" s="3">
        <f>IFERROR(__xludf.DUMMYFUNCTION("""COMPUTED_VALUE"""),64271.0)</f>
        <v>64271</v>
      </c>
      <c r="G2209" s="2" t="str">
        <f>IFERROR(__xludf.DUMMYFUNCTION("""COMPUTED_VALUE"""),"Road Nepal Pvt Ltd,")</f>
        <v>Road Nepal Pvt Ltd,</v>
      </c>
      <c r="H2209" s="2" t="str">
        <f>IFERROR(__xludf.DUMMYFUNCTION("""COMPUTED_VALUE"""),"Kathmandu, 9810089900")</f>
        <v>Kathmandu, 9810089900</v>
      </c>
      <c r="I2209" s="2" t="str">
        <f>IFERROR(__xludf.DUMMYFUNCTION("""COMPUTED_VALUE"""),"28o 27' 30""")</f>
        <v>28o 27' 30"</v>
      </c>
      <c r="J2209" s="2" t="str">
        <f>IFERROR(__xludf.DUMMYFUNCTION("""COMPUTED_VALUE"""),"28o 32' 00""")</f>
        <v>28o 32' 00"</v>
      </c>
      <c r="K2209" s="2" t="str">
        <f>IFERROR(__xludf.DUMMYFUNCTION("""COMPUTED_VALUE"""),"84o 23' 45""")</f>
        <v>84o 23' 45"</v>
      </c>
      <c r="L2209" s="2" t="str">
        <f>IFERROR(__xludf.DUMMYFUNCTION("""COMPUTED_VALUE"""),"84o 30' 00""")</f>
        <v>84o 30' 00"</v>
      </c>
      <c r="M2209" s="2" t="str">
        <f>IFERROR(__xludf.DUMMYFUNCTION("""COMPUTED_VALUE"""),"Bhakra (Manang)")</f>
        <v>Bhakra (Manang)</v>
      </c>
    </row>
    <row r="2210">
      <c r="A2210" s="2">
        <f>IFERROR(__xludf.DUMMYFUNCTION("""COMPUTED_VALUE"""),2209.0)</f>
        <v>2209</v>
      </c>
      <c r="B2210" s="2" t="str">
        <f>IFERROR(__xludf.DUMMYFUNCTION("""COMPUTED_VALUE"""),"Dorpa Sapsup Khola HEP")</f>
        <v>Dorpa Sapsup Khola HEP</v>
      </c>
      <c r="C2210" s="2">
        <f>IFERROR(__xludf.DUMMYFUNCTION("""COMPUTED_VALUE"""),0.95)</f>
        <v>0.95</v>
      </c>
      <c r="D2210" s="2" t="str">
        <f>IFERROR(__xludf.DUMMYFUNCTION("""COMPUTED_VALUE"""),"Sapsup")</f>
        <v>Sapsup</v>
      </c>
      <c r="E2210" s="2">
        <f>IFERROR(__xludf.DUMMYFUNCTION("""COMPUTED_VALUE"""),6995.0)</f>
        <v>6995</v>
      </c>
      <c r="F2210" s="3">
        <f>IFERROR(__xludf.DUMMYFUNCTION("""COMPUTED_VALUE"""),64300.0)</f>
        <v>64300</v>
      </c>
      <c r="G2210" s="2" t="str">
        <f>IFERROR(__xludf.DUMMYFUNCTION("""COMPUTED_VALUE"""),"Dil raj Rai (Diktel Rupakot Majhuwagadi Municipality)")</f>
        <v>Dil raj Rai (Diktel Rupakot Majhuwagadi Municipality)</v>
      </c>
      <c r="H2210" s="2" t="str">
        <f>IFERROR(__xludf.DUMMYFUNCTION("""COMPUTED_VALUE"""),"Khotang")</f>
        <v>Khotang</v>
      </c>
      <c r="I2210" s="2" t="str">
        <f>IFERROR(__xludf.DUMMYFUNCTION("""COMPUTED_VALUE"""),"27o 10' 24""")</f>
        <v>27o 10' 24"</v>
      </c>
      <c r="J2210" s="2" t="str">
        <f>IFERROR(__xludf.DUMMYFUNCTION("""COMPUTED_VALUE"""),"27o 10' 59""")</f>
        <v>27o 10' 59"</v>
      </c>
      <c r="K2210" s="2" t="str">
        <f>IFERROR(__xludf.DUMMYFUNCTION("""COMPUTED_VALUE"""),"86o 49' 14""")</f>
        <v>86o 49' 14"</v>
      </c>
      <c r="L2210" s="2" t="str">
        <f>IFERROR(__xludf.DUMMYFUNCTION("""COMPUTED_VALUE"""),"86o 50' 16""")</f>
        <v>86o 50' 16"</v>
      </c>
      <c r="M2210" s="2" t="str">
        <f>IFERROR(__xludf.DUMMYFUNCTION("""COMPUTED_VALUE"""),"Diktel (Khotang)")</f>
        <v>Diktel (Khotang)</v>
      </c>
    </row>
    <row r="2211">
      <c r="A2211" s="2">
        <f>IFERROR(__xludf.DUMMYFUNCTION("""COMPUTED_VALUE"""),2210.0)</f>
        <v>2210</v>
      </c>
      <c r="B2211" s="2" t="str">
        <f>IFERROR(__xludf.DUMMYFUNCTION("""COMPUTED_VALUE"""),"Mugu Karnali HEP")</f>
        <v>Mugu Karnali HEP</v>
      </c>
      <c r="C2211" s="2">
        <f>IFERROR(__xludf.DUMMYFUNCTION("""COMPUTED_VALUE"""),4.8)</f>
        <v>4.8</v>
      </c>
      <c r="D2211" s="2" t="str">
        <f>IFERROR(__xludf.DUMMYFUNCTION("""COMPUTED_VALUE"""),"Mugu Karnali")</f>
        <v>Mugu Karnali</v>
      </c>
      <c r="E2211" s="2">
        <f>IFERROR(__xludf.DUMMYFUNCTION("""COMPUTED_VALUE"""),7764.0)</f>
        <v>7764</v>
      </c>
      <c r="F2211" s="3">
        <f>IFERROR(__xludf.DUMMYFUNCTION("""COMPUTED_VALUE"""),64330.0)</f>
        <v>64330</v>
      </c>
      <c r="G2211" s="2" t="str">
        <f>IFERROR(__xludf.DUMMYFUNCTION("""COMPUTED_VALUE"""),"Ram Prasad Khanal")</f>
        <v>Ram Prasad Khanal</v>
      </c>
      <c r="H2211" s="2" t="str">
        <f>IFERROR(__xludf.DUMMYFUNCTION("""COMPUTED_VALUE"""),"Budhanilkantha-2, Kathmandu")</f>
        <v>Budhanilkantha-2, Kathmandu</v>
      </c>
      <c r="I2211" s="2" t="str">
        <f>IFERROR(__xludf.DUMMYFUNCTION("""COMPUTED_VALUE"""),"29o 33' 21""")</f>
        <v>29o 33' 21"</v>
      </c>
      <c r="J2211" s="2" t="str">
        <f>IFERROR(__xludf.DUMMYFUNCTION("""COMPUTED_VALUE"""),"29o 35' 51""")</f>
        <v>29o 35' 51"</v>
      </c>
      <c r="K2211" s="2" t="str">
        <f>IFERROR(__xludf.DUMMYFUNCTION("""COMPUTED_VALUE"""),"82o 05' 00""")</f>
        <v>82o 05' 00"</v>
      </c>
      <c r="L2211" s="2" t="str">
        <f>IFERROR(__xludf.DUMMYFUNCTION("""COMPUTED_VALUE"""),"82o 10' 00""")</f>
        <v>82o 10' 00"</v>
      </c>
      <c r="M2211" s="2"/>
    </row>
    <row r="2212">
      <c r="A2212" s="2">
        <f>IFERROR(__xludf.DUMMYFUNCTION("""COMPUTED_VALUE"""),2211.0)</f>
        <v>2211</v>
      </c>
      <c r="B2212" s="2" t="str">
        <f>IFERROR(__xludf.DUMMYFUNCTION("""COMPUTED_VALUE"""),"Thaligad Small HEP")</f>
        <v>Thaligad Small HEP</v>
      </c>
      <c r="C2212" s="2">
        <f>IFERROR(__xludf.DUMMYFUNCTION("""COMPUTED_VALUE"""),0.9)</f>
        <v>0.9</v>
      </c>
      <c r="D2212" s="2" t="str">
        <f>IFERROR(__xludf.DUMMYFUNCTION("""COMPUTED_VALUE"""),"Thali gad")</f>
        <v>Thali gad</v>
      </c>
      <c r="E2212" s="2">
        <f>IFERROR(__xludf.DUMMYFUNCTION("""COMPUTED_VALUE"""),7775.0)</f>
        <v>7775</v>
      </c>
      <c r="F2212" s="3">
        <f>IFERROR(__xludf.DUMMYFUNCTION("""COMPUTED_VALUE"""),64331.0)</f>
        <v>64331</v>
      </c>
      <c r="G2212" s="2" t="str">
        <f>IFERROR(__xludf.DUMMYFUNCTION("""COMPUTED_VALUE"""),"Mahakali Municipality")</f>
        <v>Mahakali Municipality</v>
      </c>
      <c r="H2212" s="2" t="str">
        <f>IFERROR(__xludf.DUMMYFUNCTION("""COMPUTED_VALUE"""),"Darchula")</f>
        <v>Darchula</v>
      </c>
      <c r="I2212" s="2" t="str">
        <f>IFERROR(__xludf.DUMMYFUNCTION("""COMPUTED_VALUE"""),"29o 46' 36""")</f>
        <v>29o 46' 36"</v>
      </c>
      <c r="J2212" s="2" t="str">
        <f>IFERROR(__xludf.DUMMYFUNCTION("""COMPUTED_VALUE"""),"29o 47' 43""")</f>
        <v>29o 47' 43"</v>
      </c>
      <c r="K2212" s="2" t="str">
        <f>IFERROR(__xludf.DUMMYFUNCTION("""COMPUTED_VALUE"""),"80o 30' 24""")</f>
        <v>80o 30' 24"</v>
      </c>
      <c r="L2212" s="2" t="str">
        <f>IFERROR(__xludf.DUMMYFUNCTION("""COMPUTED_VALUE"""),"80o 31' 18""")</f>
        <v>80o 31' 18"</v>
      </c>
      <c r="M2212" s="2"/>
    </row>
    <row r="2213">
      <c r="A2213" s="2">
        <f>IFERROR(__xludf.DUMMYFUNCTION("""COMPUTED_VALUE"""),2212.0)</f>
        <v>2212</v>
      </c>
      <c r="B2213" s="2" t="str">
        <f>IFERROR(__xludf.DUMMYFUNCTION("""COMPUTED_VALUE"""),"Upper Chuwa Lurupya Khola HEP")</f>
        <v>Upper Chuwa Lurupya Khola HEP</v>
      </c>
      <c r="C2213" s="2">
        <f>IFERROR(__xludf.DUMMYFUNCTION("""COMPUTED_VALUE"""),4.9)</f>
        <v>4.9</v>
      </c>
      <c r="D2213" s="2" t="str">
        <f>IFERROR(__xludf.DUMMYFUNCTION("""COMPUTED_VALUE"""),"Chuwa Khola, Lurupya Khola")</f>
        <v>Chuwa Khola, Lurupya Khola</v>
      </c>
      <c r="E2213" s="2">
        <f>IFERROR(__xludf.DUMMYFUNCTION("""COMPUTED_VALUE"""),8538.0)</f>
        <v>8538</v>
      </c>
      <c r="F2213" s="3">
        <f>IFERROR(__xludf.DUMMYFUNCTION("""COMPUTED_VALUE"""),64355.0)</f>
        <v>64355</v>
      </c>
      <c r="G2213" s="2" t="str">
        <f>IFERROR(__xludf.DUMMYFUNCTION("""COMPUTED_VALUE"""),"Shanta Acharya")</f>
        <v>Shanta Acharya</v>
      </c>
      <c r="H2213" s="2" t="str">
        <f>IFERROR(__xludf.DUMMYFUNCTION("""COMPUTED_VALUE"""),"Chhatradev RM-7, Arghakhanchi")</f>
        <v>Chhatradev RM-7, Arghakhanchi</v>
      </c>
      <c r="I2213" s="2" t="str">
        <f>IFERROR(__xludf.DUMMYFUNCTION("""COMPUTED_VALUE"""),"29o 55' 00""")</f>
        <v>29o 55' 00"</v>
      </c>
      <c r="J2213" s="2" t="str">
        <f>IFERROR(__xludf.DUMMYFUNCTION("""COMPUTED_VALUE"""),"31o 49' 00""")</f>
        <v>31o 49' 00"</v>
      </c>
      <c r="K2213" s="2" t="str">
        <f>IFERROR(__xludf.DUMMYFUNCTION("""COMPUTED_VALUE"""),"81o 56' 05""")</f>
        <v>81o 56' 05"</v>
      </c>
      <c r="L2213" s="2" t="str">
        <f>IFERROR(__xludf.DUMMYFUNCTION("""COMPUTED_VALUE"""),"83o 30' 00""")</f>
        <v>83o 30' 00"</v>
      </c>
      <c r="M2213" s="2" t="str">
        <f>IFERROR(__xludf.DUMMYFUNCTION("""COMPUTED_VALUE"""),"Kharpunath (Humla)")</f>
        <v>Kharpunath (Humla)</v>
      </c>
    </row>
    <row r="2214">
      <c r="A2214" s="2">
        <f>IFERROR(__xludf.DUMMYFUNCTION("""COMPUTED_VALUE"""),2213.0)</f>
        <v>2213</v>
      </c>
      <c r="B2214" s="2" t="str">
        <f>IFERROR(__xludf.DUMMYFUNCTION("""COMPUTED_VALUE"""),"Muglin Trishuli HEP")</f>
        <v>Muglin Trishuli HEP</v>
      </c>
      <c r="C2214" s="2">
        <f>IFERROR(__xludf.DUMMYFUNCTION("""COMPUTED_VALUE"""),47.79)</f>
        <v>47.79</v>
      </c>
      <c r="D2214" s="2" t="str">
        <f>IFERROR(__xludf.DUMMYFUNCTION("""COMPUTED_VALUE"""),"Trishuli")</f>
        <v>Trishuli</v>
      </c>
      <c r="E2214" s="2">
        <f>IFERROR(__xludf.DUMMYFUNCTION("""COMPUTED_VALUE"""),8582.0)</f>
        <v>8582</v>
      </c>
      <c r="F2214" s="3">
        <f>IFERROR(__xludf.DUMMYFUNCTION("""COMPUTED_VALUE"""),64357.0)</f>
        <v>64357</v>
      </c>
      <c r="G2214" s="2" t="str">
        <f>IFERROR(__xludf.DUMMYFUNCTION("""COMPUTED_VALUE"""),"Marshyangdi Power Company Pvt. Ltd.")</f>
        <v>Marshyangdi Power Company Pvt. Ltd.</v>
      </c>
      <c r="H2214" s="2" t="str">
        <f>IFERROR(__xludf.DUMMYFUNCTION("""COMPUTED_VALUE"""),"01-4650511")</f>
        <v>01-4650511</v>
      </c>
      <c r="I2214" s="2" t="str">
        <f>IFERROR(__xludf.DUMMYFUNCTION("""COMPUTED_VALUE"""),"27o 51' 30""")</f>
        <v>27o 51' 30"</v>
      </c>
      <c r="J2214" s="2" t="str">
        <f>IFERROR(__xludf.DUMMYFUNCTION("""COMPUTED_VALUE"""),"27o 53' 00""")</f>
        <v>27o 53' 00"</v>
      </c>
      <c r="K2214" s="2" t="str">
        <f>IFERROR(__xludf.DUMMYFUNCTION("""COMPUTED_VALUE"""),"84o 33' 30""")</f>
        <v>84o 33' 30"</v>
      </c>
      <c r="L2214" s="2" t="str">
        <f>IFERROR(__xludf.DUMMYFUNCTION("""COMPUTED_VALUE"""),"84o 38' 30""")</f>
        <v>84o 38' 30"</v>
      </c>
      <c r="M2214" s="2"/>
    </row>
    <row r="2215">
      <c r="A2215" s="2">
        <f>IFERROR(__xludf.DUMMYFUNCTION("""COMPUTED_VALUE"""),2214.0)</f>
        <v>2214</v>
      </c>
      <c r="B2215" s="2" t="str">
        <f>IFERROR(__xludf.DUMMYFUNCTION("""COMPUTED_VALUE"""),"Marshyangdi Cascade HEP")</f>
        <v>Marshyangdi Cascade HEP</v>
      </c>
      <c r="C2215" s="2">
        <f>IFERROR(__xludf.DUMMYFUNCTION("""COMPUTED_VALUE"""),5.0)</f>
        <v>5</v>
      </c>
      <c r="D2215" s="2" t="str">
        <f>IFERROR(__xludf.DUMMYFUNCTION("""COMPUTED_VALUE"""),"Marsyangdi")</f>
        <v>Marsyangdi</v>
      </c>
      <c r="E2215" s="2">
        <f>IFERROR(__xludf.DUMMYFUNCTION("""COMPUTED_VALUE"""),513.0)</f>
        <v>513</v>
      </c>
      <c r="F2215" s="3">
        <f>IFERROR(__xludf.DUMMYFUNCTION("""COMPUTED_VALUE"""),64384.0)</f>
        <v>64384</v>
      </c>
      <c r="G2215" s="2" t="str">
        <f>IFERROR(__xludf.DUMMYFUNCTION("""COMPUTED_VALUE"""),"Ram Prasad Khanal")</f>
        <v>Ram Prasad Khanal</v>
      </c>
      <c r="H2215" s="2" t="str">
        <f>IFERROR(__xludf.DUMMYFUNCTION("""COMPUTED_VALUE"""),"Budhanilkantha Na. Pa- 3, chapali, 9851029813")</f>
        <v>Budhanilkantha Na. Pa- 3, chapali, 9851029813</v>
      </c>
      <c r="I2215" s="2" t="str">
        <f>IFERROR(__xludf.DUMMYFUNCTION("""COMPUTED_VALUE"""),"27o 49' 52""")</f>
        <v>27o 49' 52"</v>
      </c>
      <c r="J2215" s="2" t="str">
        <f>IFERROR(__xludf.DUMMYFUNCTION("""COMPUTED_VALUE"""),"27o 52' 32""")</f>
        <v>27o 52' 32"</v>
      </c>
      <c r="K2215" s="2" t="str">
        <f>IFERROR(__xludf.DUMMYFUNCTION("""COMPUTED_VALUE"""),"84o 31' 20""")</f>
        <v>84o 31' 20"</v>
      </c>
      <c r="L2215" s="2" t="str">
        <f>IFERROR(__xludf.DUMMYFUNCTION("""COMPUTED_VALUE"""),"84o 32' 34""")</f>
        <v>84o 32' 34"</v>
      </c>
      <c r="M2215" s="2" t="str">
        <f>IFERROR(__xludf.DUMMYFUNCTION("""COMPUTED_VALUE"""),"Ambukhaireni (Tanahu)")</f>
        <v>Ambukhaireni (Tanahu)</v>
      </c>
    </row>
    <row r="2216">
      <c r="A2216" s="2">
        <f>IFERROR(__xludf.DUMMYFUNCTION("""COMPUTED_VALUE"""),2215.0)</f>
        <v>2215</v>
      </c>
      <c r="B2216" s="2" t="str">
        <f>IFERROR(__xludf.DUMMYFUNCTION("""COMPUTED_VALUE"""),"Kinja Khola Small HEP")</f>
        <v>Kinja Khola Small HEP</v>
      </c>
      <c r="C2216" s="2">
        <f>IFERROR(__xludf.DUMMYFUNCTION("""COMPUTED_VALUE"""),0.61)</f>
        <v>0.61</v>
      </c>
      <c r="D2216" s="2" t="str">
        <f>IFERROR(__xludf.DUMMYFUNCTION("""COMPUTED_VALUE"""),"Kinja")</f>
        <v>Kinja</v>
      </c>
      <c r="E2216" s="2">
        <f>IFERROR(__xludf.DUMMYFUNCTION("""COMPUTED_VALUE"""),2065.0)</f>
        <v>2065</v>
      </c>
      <c r="F2216" s="3">
        <f>IFERROR(__xludf.DUMMYFUNCTION("""COMPUTED_VALUE"""),64445.0)</f>
        <v>64445</v>
      </c>
      <c r="G2216" s="2" t="str">
        <f>IFERROR(__xludf.DUMMYFUNCTION("""COMPUTED_VALUE"""),"Likhu P.K. Energy Power Pvt. Ltd.( Likhu Pike Rural Municipality)")</f>
        <v>Likhu P.K. Energy Power Pvt. Ltd.( Likhu Pike Rural Municipality)</v>
      </c>
      <c r="H2216" s="2" t="str">
        <f>IFERROR(__xludf.DUMMYFUNCTION("""COMPUTED_VALUE"""),"Chabahil, Kathmandu")</f>
        <v>Chabahil, Kathmandu</v>
      </c>
      <c r="I2216" s="2" t="str">
        <f>IFERROR(__xludf.DUMMYFUNCTION("""COMPUTED_VALUE"""),"27o 34' 14""")</f>
        <v>27o 34' 14"</v>
      </c>
      <c r="J2216" s="2" t="str">
        <f>IFERROR(__xludf.DUMMYFUNCTION("""COMPUTED_VALUE"""),"27o 35' 06""")</f>
        <v>27o 35' 06"</v>
      </c>
      <c r="K2216" s="2" t="str">
        <f>IFERROR(__xludf.DUMMYFUNCTION("""COMPUTED_VALUE"""),"86o 24' 42""")</f>
        <v>86o 24' 42"</v>
      </c>
      <c r="L2216" s="2" t="str">
        <f>IFERROR(__xludf.DUMMYFUNCTION("""COMPUTED_VALUE"""),"86o 25' 47""")</f>
        <v>86o 25' 47"</v>
      </c>
      <c r="M2216" s="2" t="str">
        <f>IFERROR(__xludf.DUMMYFUNCTION("""COMPUTED_VALUE"""),"Bhakanje,Chaulakharka(Waula),Goli (Solukhumbu)")</f>
        <v>Bhakanje,Chaulakharka(Waula),Goli (Solukhumbu)</v>
      </c>
    </row>
    <row r="2217">
      <c r="A2217" s="2">
        <f>IFERROR(__xludf.DUMMYFUNCTION("""COMPUTED_VALUE"""),2216.0)</f>
        <v>2216</v>
      </c>
      <c r="B2217" s="2" t="str">
        <f>IFERROR(__xludf.DUMMYFUNCTION("""COMPUTED_VALUE"""),"Kaligandaki-1 HEP")</f>
        <v>Kaligandaki-1 HEP</v>
      </c>
      <c r="C2217" s="2">
        <f>IFERROR(__xludf.DUMMYFUNCTION("""COMPUTED_VALUE"""),167.0)</f>
        <v>167</v>
      </c>
      <c r="D2217" s="2" t="str">
        <f>IFERROR(__xludf.DUMMYFUNCTION("""COMPUTED_VALUE"""),"Kaligandaki")</f>
        <v>Kaligandaki</v>
      </c>
      <c r="E2217" s="2">
        <f>IFERROR(__xludf.DUMMYFUNCTION("""COMPUTED_VALUE"""),2075.0)</f>
        <v>2075</v>
      </c>
      <c r="F2217" s="3">
        <f>IFERROR(__xludf.DUMMYFUNCTION("""COMPUTED_VALUE"""),64445.0)</f>
        <v>64445</v>
      </c>
      <c r="G2217" s="2" t="str">
        <f>IFERROR(__xludf.DUMMYFUNCTION("""COMPUTED_VALUE"""),"Mizu Construction Pvt. Ltd")</f>
        <v>Mizu Construction Pvt. Ltd</v>
      </c>
      <c r="H2217" s="2" t="str">
        <f>IFERROR(__xludf.DUMMYFUNCTION("""COMPUTED_VALUE"""),"Bagdol, Lalitpur")</f>
        <v>Bagdol, Lalitpur</v>
      </c>
      <c r="I2217" s="2" t="str">
        <f>IFERROR(__xludf.DUMMYFUNCTION("""COMPUTED_VALUE"""),"28o 36' 15""")</f>
        <v>28o 36' 15"</v>
      </c>
      <c r="J2217" s="2" t="str">
        <f>IFERROR(__xludf.DUMMYFUNCTION("""COMPUTED_VALUE"""),"28o 42' 00""")</f>
        <v>28o 42' 00"</v>
      </c>
      <c r="K2217" s="2" t="str">
        <f>IFERROR(__xludf.DUMMYFUNCTION("""COMPUTED_VALUE"""),"83o 35' 00""")</f>
        <v>83o 35' 00"</v>
      </c>
      <c r="L2217" s="2" t="str">
        <f>IFERROR(__xludf.DUMMYFUNCTION("""COMPUTED_VALUE"""),"83o 40' 21""")</f>
        <v>83o 40' 21"</v>
      </c>
      <c r="M2217" s="2" t="str">
        <f>IFERROR(__xludf.DUMMYFUNCTION("""COMPUTED_VALUE"""),"Kowang,Kunjo,Lete (Mustang)")</f>
        <v>Kowang,Kunjo,Lete (Mustang)</v>
      </c>
    </row>
    <row r="2218">
      <c r="A2218" s="2">
        <f>IFERROR(__xludf.DUMMYFUNCTION("""COMPUTED_VALUE"""),2217.0)</f>
        <v>2217</v>
      </c>
      <c r="B2218" s="2" t="str">
        <f>IFERROR(__xludf.DUMMYFUNCTION("""COMPUTED_VALUE"""),"Gorken Khola Small HEP")</f>
        <v>Gorken Khola Small HEP</v>
      </c>
      <c r="C2218" s="2">
        <f>IFERROR(__xludf.DUMMYFUNCTION("""COMPUTED_VALUE"""),0.978)</f>
        <v>0.978</v>
      </c>
      <c r="D2218" s="2" t="str">
        <f>IFERROR(__xludf.DUMMYFUNCTION("""COMPUTED_VALUE"""),"Gorken")</f>
        <v>Gorken</v>
      </c>
      <c r="E2218" s="2">
        <f>IFERROR(__xludf.DUMMYFUNCTION("""COMPUTED_VALUE"""),2177.0)</f>
        <v>2177</v>
      </c>
      <c r="F2218" s="3">
        <f>IFERROR(__xludf.DUMMYFUNCTION("""COMPUTED_VALUE"""),64450.0)</f>
        <v>64450</v>
      </c>
      <c r="G2218" s="2" t="str">
        <f>IFERROR(__xludf.DUMMYFUNCTION("""COMPUTED_VALUE"""),"Tipling Hydropower Pvt. Ltd (Ruby Valley Rural Municipality)")</f>
        <v>Tipling Hydropower Pvt. Ltd (Ruby Valley Rural Municipality)</v>
      </c>
      <c r="H2218" s="2" t="str">
        <f>IFERROR(__xludf.DUMMYFUNCTION("""COMPUTED_VALUE"""),"Tipling Dhading")</f>
        <v>Tipling Dhading</v>
      </c>
      <c r="I2218" s="2" t="str">
        <f>IFERROR(__xludf.DUMMYFUNCTION("""COMPUTED_VALUE"""),"28o 10' 06""")</f>
        <v>28o 10' 06"</v>
      </c>
      <c r="J2218" s="2" t="str">
        <f>IFERROR(__xludf.DUMMYFUNCTION("""COMPUTED_VALUE"""),"28o 11' 11""")</f>
        <v>28o 11' 11"</v>
      </c>
      <c r="K2218" s="2" t="str">
        <f>IFERROR(__xludf.DUMMYFUNCTION("""COMPUTED_VALUE"""),"85o 05' 34""")</f>
        <v>85o 05' 34"</v>
      </c>
      <c r="L2218" s="2" t="str">
        <f>IFERROR(__xludf.DUMMYFUNCTION("""COMPUTED_VALUE"""),"85o 07' 29""")</f>
        <v>85o 07' 29"</v>
      </c>
      <c r="M2218" s="2" t="str">
        <f>IFERROR(__xludf.DUMMYFUNCTION("""COMPUTED_VALUE"""),"Tipling (Dhading)")</f>
        <v>Tipling (Dhading)</v>
      </c>
    </row>
    <row r="2219">
      <c r="A2219" s="2">
        <f>IFERROR(__xludf.DUMMYFUNCTION("""COMPUTED_VALUE"""),2218.0)</f>
        <v>2218</v>
      </c>
      <c r="B2219" s="2" t="str">
        <f>IFERROR(__xludf.DUMMYFUNCTION("""COMPUTED_VALUE"""),"Jagdulla A HEP")</f>
        <v>Jagdulla A HEP</v>
      </c>
      <c r="C2219" s="2">
        <f>IFERROR(__xludf.DUMMYFUNCTION("""COMPUTED_VALUE"""),82.3)</f>
        <v>82.3</v>
      </c>
      <c r="D2219" s="2" t="str">
        <f>IFERROR(__xludf.DUMMYFUNCTION("""COMPUTED_VALUE"""),"Bheri")</f>
        <v>Bheri</v>
      </c>
      <c r="E2219" s="2">
        <f>IFERROR(__xludf.DUMMYFUNCTION("""COMPUTED_VALUE"""),2269.0)</f>
        <v>2269</v>
      </c>
      <c r="F2219" s="3">
        <f>IFERROR(__xludf.DUMMYFUNCTION("""COMPUTED_VALUE"""),64459.0)</f>
        <v>64459</v>
      </c>
      <c r="G2219" s="2" t="str">
        <f>IFERROR(__xludf.DUMMYFUNCTION("""COMPUTED_VALUE"""),"Jagdulla Hydropower Company Limited")</f>
        <v>Jagdulla Hydropower Company Limited</v>
      </c>
      <c r="H2219" s="2" t="str">
        <f>IFERROR(__xludf.DUMMYFUNCTION("""COMPUTED_VALUE"""),"BPC Building, Rudramati Marga BUddhanagar, Kathmandu 01-4788680")</f>
        <v>BPC Building, Rudramati Marga BUddhanagar, Kathmandu 01-4788680</v>
      </c>
      <c r="I2219" s="2" t="str">
        <f>IFERROR(__xludf.DUMMYFUNCTION("""COMPUTED_VALUE"""),"28o 59' 21""")</f>
        <v>28o 59' 21"</v>
      </c>
      <c r="J2219" s="2" t="str">
        <f>IFERROR(__xludf.DUMMYFUNCTION("""COMPUTED_VALUE"""),"29o 03' 16""")</f>
        <v>29o 03' 16"</v>
      </c>
      <c r="K2219" s="2" t="str">
        <f>IFERROR(__xludf.DUMMYFUNCTION("""COMPUTED_VALUE"""),"82o 33' 07""")</f>
        <v>82o 33' 07"</v>
      </c>
      <c r="L2219" s="2" t="str">
        <f>IFERROR(__xludf.DUMMYFUNCTION("""COMPUTED_VALUE"""),"82o 35' 37""")</f>
        <v>82o 35' 37"</v>
      </c>
      <c r="M2219" s="2" t="str">
        <f>IFERROR(__xludf.DUMMYFUNCTION("""COMPUTED_VALUE"""),"Kalika,Narku (Dolpa) Bhagawati Tol (Jajarkot)")</f>
        <v>Kalika,Narku (Dolpa) Bhagawati Tol (Jajarkot)</v>
      </c>
    </row>
    <row r="2220">
      <c r="A2220" s="2">
        <f>IFERROR(__xludf.DUMMYFUNCTION("""COMPUTED_VALUE"""),2219.0)</f>
        <v>2219</v>
      </c>
      <c r="B2220" s="2" t="str">
        <f>IFERROR(__xludf.DUMMYFUNCTION("""COMPUTED_VALUE"""),"Manjo Khola Mini HEP")</f>
        <v>Manjo Khola Mini HEP</v>
      </c>
      <c r="C2220" s="2">
        <f>IFERROR(__xludf.DUMMYFUNCTION("""COMPUTED_VALUE"""),0.945)</f>
        <v>0.945</v>
      </c>
      <c r="D2220" s="2" t="str">
        <f>IFERROR(__xludf.DUMMYFUNCTION("""COMPUTED_VALUE"""),"Manjo")</f>
        <v>Manjo</v>
      </c>
      <c r="E2220" s="2">
        <f>IFERROR(__xludf.DUMMYFUNCTION("""COMPUTED_VALUE"""),2932.0)</f>
        <v>2932</v>
      </c>
      <c r="F2220" s="3">
        <f>IFERROR(__xludf.DUMMYFUNCTION("""COMPUTED_VALUE"""),64487.0)</f>
        <v>64487</v>
      </c>
      <c r="G2220" s="2" t="str">
        <f>IFERROR(__xludf.DUMMYFUNCTION("""COMPUTED_VALUE"""),"Khumbu Pasanglhamu Rural Municipality")</f>
        <v>Khumbu Pasanglhamu Rural Municipality</v>
      </c>
      <c r="H2220" s="2" t="str">
        <f>IFERROR(__xludf.DUMMYFUNCTION("""COMPUTED_VALUE"""),"Khumbu Pasanglhamu Rural Municipality, Solukhumbu")</f>
        <v>Khumbu Pasanglhamu Rural Municipality, Solukhumbu</v>
      </c>
      <c r="I2220" s="2" t="str">
        <f>IFERROR(__xludf.DUMMYFUNCTION("""COMPUTED_VALUE"""),"27o 46' 00""")</f>
        <v>27o 46' 00"</v>
      </c>
      <c r="J2220" s="2" t="str">
        <f>IFERROR(__xludf.DUMMYFUNCTION("""COMPUTED_VALUE"""),"27o 46' 30""")</f>
        <v>27o 46' 30"</v>
      </c>
      <c r="K2220" s="2" t="str">
        <f>IFERROR(__xludf.DUMMYFUNCTION("""COMPUTED_VALUE"""),"86o 43' 20""")</f>
        <v>86o 43' 20"</v>
      </c>
      <c r="L2220" s="2" t="str">
        <f>IFERROR(__xludf.DUMMYFUNCTION("""COMPUTED_VALUE"""),"86o 44' 30""")</f>
        <v>86o 44' 30"</v>
      </c>
      <c r="M2220" s="2"/>
    </row>
    <row r="2221">
      <c r="A2221" s="2">
        <f>IFERROR(__xludf.DUMMYFUNCTION("""COMPUTED_VALUE"""),2220.0)</f>
        <v>2220</v>
      </c>
      <c r="B2221" s="2" t="str">
        <f>IFERROR(__xludf.DUMMYFUNCTION("""COMPUTED_VALUE"""),"Aamadablam Mini HEP")</f>
        <v>Aamadablam Mini HEP</v>
      </c>
      <c r="C2221" s="2">
        <f>IFERROR(__xludf.DUMMYFUNCTION("""COMPUTED_VALUE"""),0.94)</f>
        <v>0.94</v>
      </c>
      <c r="D2221" s="2" t="str">
        <f>IFERROR(__xludf.DUMMYFUNCTION("""COMPUTED_VALUE"""),"Nare")</f>
        <v>Nare</v>
      </c>
      <c r="E2221" s="2">
        <f>IFERROR(__xludf.DUMMYFUNCTION("""COMPUTED_VALUE"""),2934.0)</f>
        <v>2934</v>
      </c>
      <c r="F2221" s="3">
        <f>IFERROR(__xludf.DUMMYFUNCTION("""COMPUTED_VALUE"""),64487.0)</f>
        <v>64487</v>
      </c>
      <c r="G2221" s="2" t="str">
        <f>IFERROR(__xludf.DUMMYFUNCTION("""COMPUTED_VALUE"""),"Khumbu Pasanglhamu Rural Municipality")</f>
        <v>Khumbu Pasanglhamu Rural Municipality</v>
      </c>
      <c r="H2221" s="2" t="str">
        <f>IFERROR(__xludf.DUMMYFUNCTION("""COMPUTED_VALUE"""),"Khumbu Pasanglhamu Rural Municipality, Solukhumbu")</f>
        <v>Khumbu Pasanglhamu Rural Municipality, Solukhumbu</v>
      </c>
      <c r="I2221" s="2" t="str">
        <f>IFERROR(__xludf.DUMMYFUNCTION("""COMPUTED_VALUE"""),"27o 46' 00""")</f>
        <v>27o 46' 00"</v>
      </c>
      <c r="J2221" s="2" t="str">
        <f>IFERROR(__xludf.DUMMYFUNCTION("""COMPUTED_VALUE"""),"27o 46' 30""")</f>
        <v>27o 46' 30"</v>
      </c>
      <c r="K2221" s="2" t="str">
        <f>IFERROR(__xludf.DUMMYFUNCTION("""COMPUTED_VALUE"""),"86o 43' 20""")</f>
        <v>86o 43' 20"</v>
      </c>
      <c r="L2221" s="2" t="str">
        <f>IFERROR(__xludf.DUMMYFUNCTION("""COMPUTED_VALUE"""),"86o 44' 30""")</f>
        <v>86o 44' 30"</v>
      </c>
      <c r="M2221" s="2"/>
    </row>
    <row r="2222">
      <c r="A2222" s="2">
        <f>IFERROR(__xludf.DUMMYFUNCTION("""COMPUTED_VALUE"""),2221.0)</f>
        <v>2221</v>
      </c>
      <c r="B2222" s="2" t="str">
        <f>IFERROR(__xludf.DUMMYFUNCTION("""COMPUTED_VALUE"""),"Dona Lake HEP")</f>
        <v>Dona Lake HEP</v>
      </c>
      <c r="C2222" s="2">
        <f>IFERROR(__xludf.DUMMYFUNCTION("""COMPUTED_VALUE"""),40.0)</f>
        <v>40</v>
      </c>
      <c r="D2222" s="2" t="str">
        <f>IFERROR(__xludf.DUMMYFUNCTION("""COMPUTED_VALUE"""),"Dona Lake")</f>
        <v>Dona Lake</v>
      </c>
      <c r="E2222" s="2">
        <f>IFERROR(__xludf.DUMMYFUNCTION("""COMPUTED_VALUE"""),4538.0)</f>
        <v>4538</v>
      </c>
      <c r="F2222" s="3">
        <f>IFERROR(__xludf.DUMMYFUNCTION("""COMPUTED_VALUE"""),64514.0)</f>
        <v>64514</v>
      </c>
      <c r="G2222" s="2" t="str">
        <f>IFERROR(__xludf.DUMMYFUNCTION("""COMPUTED_VALUE"""),"Road Nepal Pvt. Ltd")</f>
        <v>Road Nepal Pvt. Ltd</v>
      </c>
      <c r="H2222" s="2" t="str">
        <f>IFERROR(__xludf.DUMMYFUNCTION("""COMPUTED_VALUE"""),"Kathmandu-16,")</f>
        <v>Kathmandu-16,</v>
      </c>
      <c r="I2222" s="2" t="str">
        <f>IFERROR(__xludf.DUMMYFUNCTION("""COMPUTED_VALUE"""),"28o 24' 00""")</f>
        <v>28o 24' 00"</v>
      </c>
      <c r="J2222" s="2" t="str">
        <f>IFERROR(__xludf.DUMMYFUNCTION("""COMPUTED_VALUE"""),"28o 32' 00""")</f>
        <v>28o 32' 00"</v>
      </c>
      <c r="K2222" s="2" t="str">
        <f>IFERROR(__xludf.DUMMYFUNCTION("""COMPUTED_VALUE"""),"84o 24' 00""")</f>
        <v>84o 24' 00"</v>
      </c>
      <c r="L2222" s="2" t="str">
        <f>IFERROR(__xludf.DUMMYFUNCTION("""COMPUTED_VALUE"""),"84o 30' 00""")</f>
        <v>84o 30' 00"</v>
      </c>
      <c r="M2222" s="2"/>
    </row>
    <row r="2223">
      <c r="A2223" s="2">
        <f>IFERROR(__xludf.DUMMYFUNCTION("""COMPUTED_VALUE"""),2222.0)</f>
        <v>2222</v>
      </c>
      <c r="B2223" s="2" t="str">
        <f>IFERROR(__xludf.DUMMYFUNCTION("""COMPUTED_VALUE"""),"Chhahare Khola HEP")</f>
        <v>Chhahare Khola HEP</v>
      </c>
      <c r="C2223" s="2">
        <f>IFERROR(__xludf.DUMMYFUNCTION("""COMPUTED_VALUE"""),17.5)</f>
        <v>17.5</v>
      </c>
      <c r="D2223" s="2" t="str">
        <f>IFERROR(__xludf.DUMMYFUNCTION("""COMPUTED_VALUE"""),"Chhahare")</f>
        <v>Chhahare</v>
      </c>
      <c r="E2223" s="2">
        <f>IFERROR(__xludf.DUMMYFUNCTION("""COMPUTED_VALUE"""),4690.0)</f>
        <v>4690</v>
      </c>
      <c r="F2223" s="3">
        <f>IFERROR(__xludf.DUMMYFUNCTION("""COMPUTED_VALUE"""),64519.0)</f>
        <v>64519</v>
      </c>
      <c r="G2223" s="2" t="str">
        <f>IFERROR(__xludf.DUMMYFUNCTION("""COMPUTED_VALUE"""),"Shiva Prasad Ghimire")</f>
        <v>Shiva Prasad Ghimire</v>
      </c>
      <c r="H2223" s="2" t="str">
        <f>IFERROR(__xludf.DUMMYFUNCTION("""COMPUTED_VALUE"""),"Aambhnajyang-1, Makwanpur")</f>
        <v>Aambhnajyang-1, Makwanpur</v>
      </c>
      <c r="I2223" s="2" t="str">
        <f>IFERROR(__xludf.DUMMYFUNCTION("""COMPUTED_VALUE"""),"28o 25' 00""")</f>
        <v>28o 25' 00"</v>
      </c>
      <c r="J2223" s="2" t="str">
        <f>IFERROR(__xludf.DUMMYFUNCTION("""COMPUTED_VALUE"""),"28o 27' 06""")</f>
        <v>28o 27' 06"</v>
      </c>
      <c r="K2223" s="2" t="str">
        <f>IFERROR(__xludf.DUMMYFUNCTION("""COMPUTED_VALUE"""),"84o 23' 46""")</f>
        <v>84o 23' 46"</v>
      </c>
      <c r="L2223" s="2" t="str">
        <f>IFERROR(__xludf.DUMMYFUNCTION("""COMPUTED_VALUE"""),"84o 25' 15""")</f>
        <v>84o 25' 15"</v>
      </c>
      <c r="M2223" s="2" t="str">
        <f>IFERROR(__xludf.DUMMYFUNCTION("""COMPUTED_VALUE"""),"Ghermu,Taghring (Lamjung)")</f>
        <v>Ghermu,Taghring (Lamjung)</v>
      </c>
    </row>
    <row r="2224">
      <c r="A2224" s="2">
        <f>IFERROR(__xludf.DUMMYFUNCTION("""COMPUTED_VALUE"""),2223.0)</f>
        <v>2223</v>
      </c>
      <c r="B2224" s="2" t="str">
        <f>IFERROR(__xludf.DUMMYFUNCTION("""COMPUTED_VALUE"""),"Rara Mugu Karnali HEP")</f>
        <v>Rara Mugu Karnali HEP</v>
      </c>
      <c r="C2224" s="2">
        <f>IFERROR(__xludf.DUMMYFUNCTION("""COMPUTED_VALUE"""),5.0)</f>
        <v>5</v>
      </c>
      <c r="D2224" s="2" t="str">
        <f>IFERROR(__xludf.DUMMYFUNCTION("""COMPUTED_VALUE"""),"Mugu Karnali")</f>
        <v>Mugu Karnali</v>
      </c>
      <c r="E2224" s="2">
        <f>IFERROR(__xludf.DUMMYFUNCTION("""COMPUTED_VALUE"""),5216.0)</f>
        <v>5216</v>
      </c>
      <c r="F2224" s="3">
        <f>IFERROR(__xludf.DUMMYFUNCTION("""COMPUTED_VALUE"""),64541.0)</f>
        <v>64541</v>
      </c>
      <c r="G2224" s="2" t="str">
        <f>IFERROR(__xludf.DUMMYFUNCTION("""COMPUTED_VALUE"""),"Rara Karnali Hydropower Pvt. Ltd")</f>
        <v>Rara Karnali Hydropower Pvt. Ltd</v>
      </c>
      <c r="H2224" s="2" t="str">
        <f>IFERROR(__xludf.DUMMYFUNCTION("""COMPUTED_VALUE"""),"Lazimpat, Kathmandu P.O.Box No. 8265 kathmandu, 01-4438382, 9851029813")</f>
        <v>Lazimpat, Kathmandu P.O.Box No. 8265 kathmandu, 01-4438382, 9851029813</v>
      </c>
      <c r="I2224" s="2" t="str">
        <f>IFERROR(__xludf.DUMMYFUNCTION("""COMPUTED_VALUE"""),"29o 32' 45""")</f>
        <v>29o 32' 45"</v>
      </c>
      <c r="J2224" s="2" t="str">
        <f>IFERROR(__xludf.DUMMYFUNCTION("""COMPUTED_VALUE"""),"29o 35' 50""")</f>
        <v>29o 35' 50"</v>
      </c>
      <c r="K2224" s="2" t="str">
        <f>IFERROR(__xludf.DUMMYFUNCTION("""COMPUTED_VALUE"""),"82o 06' 50""")</f>
        <v>82o 06' 50"</v>
      </c>
      <c r="L2224" s="2" t="str">
        <f>IFERROR(__xludf.DUMMYFUNCTION("""COMPUTED_VALUE"""),"82o 13' 40""")</f>
        <v>82o 13' 40"</v>
      </c>
      <c r="M2224" s="2" t="str">
        <f>IFERROR(__xludf.DUMMYFUNCTION("""COMPUTED_VALUE"""),"Rowa,Ruga,Shree Nagar (Mugu)")</f>
        <v>Rowa,Ruga,Shree Nagar (Mugu)</v>
      </c>
    </row>
    <row r="2225">
      <c r="A2225" s="2">
        <f>IFERROR(__xludf.DUMMYFUNCTION("""COMPUTED_VALUE"""),2224.0)</f>
        <v>2224</v>
      </c>
      <c r="B2225" s="2" t="str">
        <f>IFERROR(__xludf.DUMMYFUNCTION("""COMPUTED_VALUE"""),"Chhahare Khola HEP")</f>
        <v>Chhahare Khola HEP</v>
      </c>
      <c r="C2225" s="2">
        <f>IFERROR(__xludf.DUMMYFUNCTION("""COMPUTED_VALUE"""),17.0)</f>
        <v>17</v>
      </c>
      <c r="D2225" s="2" t="str">
        <f>IFERROR(__xludf.DUMMYFUNCTION("""COMPUTED_VALUE"""),"Chhahare")</f>
        <v>Chhahare</v>
      </c>
      <c r="E2225" s="2">
        <f>IFERROR(__xludf.DUMMYFUNCTION("""COMPUTED_VALUE"""),5450.0)</f>
        <v>5450</v>
      </c>
      <c r="F2225" s="3">
        <f>IFERROR(__xludf.DUMMYFUNCTION("""COMPUTED_VALUE"""),64549.0)</f>
        <v>64549</v>
      </c>
      <c r="G2225" s="2" t="str">
        <f>IFERROR(__xludf.DUMMYFUNCTION("""COMPUTED_VALUE"""),"Shiva Prasad Ghimire")</f>
        <v>Shiva Prasad Ghimire</v>
      </c>
      <c r="H2225" s="2" t="str">
        <f>IFERROR(__xludf.DUMMYFUNCTION("""COMPUTED_VALUE"""),"Kathmandu-14")</f>
        <v>Kathmandu-14</v>
      </c>
      <c r="I2225" s="2" t="str">
        <f>IFERROR(__xludf.DUMMYFUNCTION("""COMPUTED_VALUE"""),"28o 25' 00""")</f>
        <v>28o 25' 00"</v>
      </c>
      <c r="J2225" s="2" t="str">
        <f>IFERROR(__xludf.DUMMYFUNCTION("""COMPUTED_VALUE"""),"28o 27' 06""")</f>
        <v>28o 27' 06"</v>
      </c>
      <c r="K2225" s="2" t="str">
        <f>IFERROR(__xludf.DUMMYFUNCTION("""COMPUTED_VALUE"""),"84o 23' 43""")</f>
        <v>84o 23' 43"</v>
      </c>
      <c r="L2225" s="2" t="str">
        <f>IFERROR(__xludf.DUMMYFUNCTION("""COMPUTED_VALUE"""),"84o 25' 15""")</f>
        <v>84o 25' 15"</v>
      </c>
      <c r="M2225" s="2" t="str">
        <f>IFERROR(__xludf.DUMMYFUNCTION("""COMPUTED_VALUE"""),"Ghermu,Taghring (Lamjung)")</f>
        <v>Ghermu,Taghring (Lamjung)</v>
      </c>
    </row>
    <row r="2226">
      <c r="A2226" s="2">
        <f>IFERROR(__xludf.DUMMYFUNCTION("""COMPUTED_VALUE"""),2225.0)</f>
        <v>2225</v>
      </c>
      <c r="B2226" s="2" t="str">
        <f>IFERROR(__xludf.DUMMYFUNCTION("""COMPUTED_VALUE"""),"Tallo Likhu Cascade HEP")</f>
        <v>Tallo Likhu Cascade HEP</v>
      </c>
      <c r="C2226" s="2">
        <f>IFERROR(__xludf.DUMMYFUNCTION("""COMPUTED_VALUE"""),9.5)</f>
        <v>9.5</v>
      </c>
      <c r="D2226" s="2" t="str">
        <f>IFERROR(__xludf.DUMMYFUNCTION("""COMPUTED_VALUE"""),"Likhu")</f>
        <v>Likhu</v>
      </c>
      <c r="E2226" s="2">
        <f>IFERROR(__xludf.DUMMYFUNCTION("""COMPUTED_VALUE"""),6261.0)</f>
        <v>6261</v>
      </c>
      <c r="F2226" s="3">
        <f>IFERROR(__xludf.DUMMYFUNCTION("""COMPUTED_VALUE"""),64578.0)</f>
        <v>64578</v>
      </c>
      <c r="G2226" s="2" t="str">
        <f>IFERROR(__xludf.DUMMYFUNCTION("""COMPUTED_VALUE"""),"Swet Ganga Hydropower &amp; Construction Limited")</f>
        <v>Swet Ganga Hydropower &amp; Construction Limited</v>
      </c>
      <c r="H2226" s="2" t="str">
        <f>IFERROR(__xludf.DUMMYFUNCTION("""COMPUTED_VALUE"""),"Dhumbarahi, Kathmandu, P.O.Box 19737, Tel no. 01-4373030 
sanima@sanimahydro.com")</f>
        <v>Dhumbarahi, Kathmandu, P.O.Box 19737, Tel no. 01-4373030 
sanima@sanimahydro.com</v>
      </c>
      <c r="I2226" s="2" t="str">
        <f>IFERROR(__xludf.DUMMYFUNCTION("""COMPUTED_VALUE"""),"27o 22' 00""")</f>
        <v>27o 22' 00"</v>
      </c>
      <c r="J2226" s="2" t="str">
        <f>IFERROR(__xludf.DUMMYFUNCTION("""COMPUTED_VALUE"""),"27o 23' 23""")</f>
        <v>27o 23' 23"</v>
      </c>
      <c r="K2226" s="2" t="str">
        <f>IFERROR(__xludf.DUMMYFUNCTION("""COMPUTED_VALUE"""),"86o 13' 10""")</f>
        <v>86o 13' 10"</v>
      </c>
      <c r="L2226" s="2" t="str">
        <f>IFERROR(__xludf.DUMMYFUNCTION("""COMPUTED_VALUE"""),"86o 14' 02""")</f>
        <v>86o 14' 02"</v>
      </c>
      <c r="M2226" s="2"/>
    </row>
    <row r="2227">
      <c r="A2227" s="2">
        <f>IFERROR(__xludf.DUMMYFUNCTION("""COMPUTED_VALUE"""),2226.0)</f>
        <v>2226</v>
      </c>
      <c r="B2227" s="2" t="str">
        <f>IFERROR(__xludf.DUMMYFUNCTION("""COMPUTED_VALUE"""),"Dudhkoshi V HEP")</f>
        <v>Dudhkoshi V HEP</v>
      </c>
      <c r="C2227" s="2">
        <f>IFERROR(__xludf.DUMMYFUNCTION("""COMPUTED_VALUE"""),110.0)</f>
        <v>110</v>
      </c>
      <c r="D2227" s="2" t="str">
        <f>IFERROR(__xludf.DUMMYFUNCTION("""COMPUTED_VALUE"""),"Dudhkoshi")</f>
        <v>Dudhkoshi</v>
      </c>
      <c r="E2227" s="2">
        <f>IFERROR(__xludf.DUMMYFUNCTION("""COMPUTED_VALUE"""),6534.0)</f>
        <v>6534</v>
      </c>
      <c r="F2227" s="3">
        <f>IFERROR(__xludf.DUMMYFUNCTION("""COMPUTED_VALUE"""),64587.0)</f>
        <v>64587</v>
      </c>
      <c r="G2227" s="2" t="str">
        <f>IFERROR(__xludf.DUMMYFUNCTION("""COMPUTED_VALUE"""),"Independent Power Company Nepal Pvt. Ltd")</f>
        <v>Independent Power Company Nepal Pvt. Ltd</v>
      </c>
      <c r="H2227" s="2" t="str">
        <f>IFERROR(__xludf.DUMMYFUNCTION("""COMPUTED_VALUE"""),"Rabivaban, Kathmandu")</f>
        <v>Rabivaban, Kathmandu</v>
      </c>
      <c r="I2227" s="2" t="str">
        <f>IFERROR(__xludf.DUMMYFUNCTION("""COMPUTED_VALUE"""),"27o 29' 46""")</f>
        <v>27o 29' 46"</v>
      </c>
      <c r="J2227" s="2" t="str">
        <f>IFERROR(__xludf.DUMMYFUNCTION("""COMPUTED_VALUE"""),"27o 33' 30""")</f>
        <v>27o 33' 30"</v>
      </c>
      <c r="K2227" s="2" t="str">
        <f>IFERROR(__xludf.DUMMYFUNCTION("""COMPUTED_VALUE"""),"86o 40' 00""")</f>
        <v>86o 40' 00"</v>
      </c>
      <c r="L2227" s="2" t="str">
        <f>IFERROR(__xludf.DUMMYFUNCTION("""COMPUTED_VALUE"""),"86o 43' 37""")</f>
        <v>86o 43' 37"</v>
      </c>
      <c r="M2227" s="2"/>
    </row>
    <row r="2228">
      <c r="A2228" s="2">
        <f>IFERROR(__xludf.DUMMYFUNCTION("""COMPUTED_VALUE"""),2227.0)</f>
        <v>2227</v>
      </c>
      <c r="B2228" s="2" t="str">
        <f>IFERROR(__xludf.DUMMYFUNCTION("""COMPUTED_VALUE"""),"Marshyangdi Cascade Hydropower Project")</f>
        <v>Marshyangdi Cascade Hydropower Project</v>
      </c>
      <c r="C2228" s="2">
        <f>IFERROR(__xludf.DUMMYFUNCTION("""COMPUTED_VALUE"""),5.0)</f>
        <v>5</v>
      </c>
      <c r="D2228" s="2" t="str">
        <f>IFERROR(__xludf.DUMMYFUNCTION("""COMPUTED_VALUE"""),"Marsyangdi")</f>
        <v>Marsyangdi</v>
      </c>
      <c r="E2228" s="2">
        <f>IFERROR(__xludf.DUMMYFUNCTION("""COMPUTED_VALUE"""),6761.0)</f>
        <v>6761</v>
      </c>
      <c r="F2228" s="3">
        <f>IFERROR(__xludf.DUMMYFUNCTION("""COMPUTED_VALUE"""),64596.0)</f>
        <v>64596</v>
      </c>
      <c r="G2228" s="2" t="str">
        <f>IFERROR(__xludf.DUMMYFUNCTION("""COMPUTED_VALUE"""),"Ujyalo Energy Solution Pvt. Ltd")</f>
        <v>Ujyalo Energy Solution Pvt. Ltd</v>
      </c>
      <c r="H2228" s="2" t="str">
        <f>IFERROR(__xludf.DUMMYFUNCTION("""COMPUTED_VALUE"""),"Gauridhara, Kathmandu")</f>
        <v>Gauridhara, Kathmandu</v>
      </c>
      <c r="I2228" s="2" t="str">
        <f>IFERROR(__xludf.DUMMYFUNCTION("""COMPUTED_VALUE"""),"27o 49' 52""")</f>
        <v>27o 49' 52"</v>
      </c>
      <c r="J2228" s="2" t="str">
        <f>IFERROR(__xludf.DUMMYFUNCTION("""COMPUTED_VALUE"""),"27o 52' 32""")</f>
        <v>27o 52' 32"</v>
      </c>
      <c r="K2228" s="2" t="str">
        <f>IFERROR(__xludf.DUMMYFUNCTION("""COMPUTED_VALUE"""),"84o 31' 20""")</f>
        <v>84o 31' 20"</v>
      </c>
      <c r="L2228" s="2" t="str">
        <f>IFERROR(__xludf.DUMMYFUNCTION("""COMPUTED_VALUE"""),"84o 32' 34""")</f>
        <v>84o 32' 34"</v>
      </c>
      <c r="M2228" s="2" t="str">
        <f>IFERROR(__xludf.DUMMYFUNCTION("""COMPUTED_VALUE"""),"Ambukhaireni (Tanahu)")</f>
        <v>Ambukhaireni (Tanahu)</v>
      </c>
    </row>
    <row r="2229">
      <c r="A2229" s="2">
        <f>IFERROR(__xludf.DUMMYFUNCTION("""COMPUTED_VALUE"""),2228.0)</f>
        <v>2228</v>
      </c>
      <c r="B2229" s="2" t="str">
        <f>IFERROR(__xludf.DUMMYFUNCTION("""COMPUTED_VALUE"""),"Dadagaun Khalanga Bheri Storage HEP")</f>
        <v>Dadagaun Khalanga Bheri Storage HEP</v>
      </c>
      <c r="C2229" s="2">
        <f>IFERROR(__xludf.DUMMYFUNCTION("""COMPUTED_VALUE"""),133.0)</f>
        <v>133</v>
      </c>
      <c r="D2229" s="2" t="str">
        <f>IFERROR(__xludf.DUMMYFUNCTION("""COMPUTED_VALUE"""),"Bheri")</f>
        <v>Bheri</v>
      </c>
      <c r="E2229" s="2">
        <f>IFERROR(__xludf.DUMMYFUNCTION("""COMPUTED_VALUE"""),7278.0)</f>
        <v>7278</v>
      </c>
      <c r="F2229" s="3">
        <f>IFERROR(__xludf.DUMMYFUNCTION("""COMPUTED_VALUE"""),64622.0)</f>
        <v>64622</v>
      </c>
      <c r="G2229" s="2" t="str">
        <f>IFERROR(__xludf.DUMMYFUNCTION("""COMPUTED_VALUE"""),"Nepal Electricity Authority")</f>
        <v>Nepal Electricity Authority</v>
      </c>
      <c r="H2229" s="2" t="str">
        <f>IFERROR(__xludf.DUMMYFUNCTION("""COMPUTED_VALUE"""),"Durbarmarga, Kathmandu")</f>
        <v>Durbarmarga, Kathmandu</v>
      </c>
      <c r="I2229" s="2" t="str">
        <f>IFERROR(__xludf.DUMMYFUNCTION("""COMPUTED_VALUE"""),"28o 42' 00""")</f>
        <v>28o 42' 00"</v>
      </c>
      <c r="J2229" s="2" t="str">
        <f>IFERROR(__xludf.DUMMYFUNCTION("""COMPUTED_VALUE"""),"28o 47' 15""")</f>
        <v>28o 47' 15"</v>
      </c>
      <c r="K2229" s="2" t="str">
        <f>IFERROR(__xludf.DUMMYFUNCTION("""COMPUTED_VALUE"""),"82o 15' 00""")</f>
        <v>82o 15' 00"</v>
      </c>
      <c r="L2229" s="2" t="str">
        <f>IFERROR(__xludf.DUMMYFUNCTION("""COMPUTED_VALUE"""),"82o 19' 45""")</f>
        <v>82o 19' 45"</v>
      </c>
      <c r="M2229" s="2"/>
    </row>
    <row r="2230">
      <c r="A2230" s="2">
        <f>IFERROR(__xludf.DUMMYFUNCTION("""COMPUTED_VALUE"""),2229.0)</f>
        <v>2229</v>
      </c>
      <c r="B2230" s="2" t="str">
        <f>IFERROR(__xludf.DUMMYFUNCTION("""COMPUTED_VALUE"""),"Kaligandaki-2 Storage HEP")</f>
        <v>Kaligandaki-2 Storage HEP</v>
      </c>
      <c r="C2230" s="2">
        <f>IFERROR(__xludf.DUMMYFUNCTION("""COMPUTED_VALUE"""),310.0)</f>
        <v>310</v>
      </c>
      <c r="D2230" s="2" t="str">
        <f>IFERROR(__xludf.DUMMYFUNCTION("""COMPUTED_VALUE"""),"Kaligandaki")</f>
        <v>Kaligandaki</v>
      </c>
      <c r="E2230" s="2">
        <f>IFERROR(__xludf.DUMMYFUNCTION("""COMPUTED_VALUE"""),7279.0)</f>
        <v>7279</v>
      </c>
      <c r="F2230" s="3">
        <f>IFERROR(__xludf.DUMMYFUNCTION("""COMPUTED_VALUE"""),64622.0)</f>
        <v>64622</v>
      </c>
      <c r="G2230" s="2" t="str">
        <f>IFERROR(__xludf.DUMMYFUNCTION("""COMPUTED_VALUE"""),"Nepal Electricity Authority")</f>
        <v>Nepal Electricity Authority</v>
      </c>
      <c r="H2230" s="2" t="str">
        <f>IFERROR(__xludf.DUMMYFUNCTION("""COMPUTED_VALUE"""),"Durbarmarga, Kathmandu")</f>
        <v>Durbarmarga, Kathmandu</v>
      </c>
      <c r="I2230" s="2" t="str">
        <f>IFERROR(__xludf.DUMMYFUNCTION("""COMPUTED_VALUE"""),"27o 47' 00""")</f>
        <v>27o 47' 00"</v>
      </c>
      <c r="J2230" s="2" t="str">
        <f>IFERROR(__xludf.DUMMYFUNCTION("""COMPUTED_VALUE"""),"27o 55' 00""")</f>
        <v>27o 55' 00"</v>
      </c>
      <c r="K2230" s="2" t="str">
        <f>IFERROR(__xludf.DUMMYFUNCTION("""COMPUTED_VALUE"""),"83o 40' 00""")</f>
        <v>83o 40' 00"</v>
      </c>
      <c r="L2230" s="2" t="str">
        <f>IFERROR(__xludf.DUMMYFUNCTION("""COMPUTED_VALUE"""),"84o 20' 00""")</f>
        <v>84o 20' 00"</v>
      </c>
      <c r="M2230" s="2"/>
    </row>
    <row r="2231">
      <c r="A2231" s="2">
        <f>IFERROR(__xludf.DUMMYFUNCTION("""COMPUTED_VALUE"""),2230.0)</f>
        <v>2230</v>
      </c>
      <c r="B2231" s="2" t="str">
        <f>IFERROR(__xludf.DUMMYFUNCTION("""COMPUTED_VALUE"""),"Dudhkoshi 5 HEP")</f>
        <v>Dudhkoshi 5 HEP</v>
      </c>
      <c r="C2231" s="2">
        <f>IFERROR(__xludf.DUMMYFUNCTION("""COMPUTED_VALUE"""),110.0)</f>
        <v>110</v>
      </c>
      <c r="D2231" s="2" t="str">
        <f>IFERROR(__xludf.DUMMYFUNCTION("""COMPUTED_VALUE"""),"Dudhkoshi")</f>
        <v>Dudhkoshi</v>
      </c>
      <c r="E2231" s="2">
        <f>IFERROR(__xludf.DUMMYFUNCTION("""COMPUTED_VALUE"""),7899.0)</f>
        <v>7899</v>
      </c>
      <c r="F2231" s="3">
        <f>IFERROR(__xludf.DUMMYFUNCTION("""COMPUTED_VALUE"""),64704.0)</f>
        <v>64704</v>
      </c>
      <c r="G2231" s="2" t="str">
        <f>IFERROR(__xludf.DUMMYFUNCTION("""COMPUTED_VALUE"""),"Independent Power Company ( Nepal) Pvt. Ltd.")</f>
        <v>Independent Power Company ( Nepal) Pvt. Ltd.</v>
      </c>
      <c r="H2231" s="2" t="str">
        <f>IFERROR(__xludf.DUMMYFUNCTION("""COMPUTED_VALUE"""),"Chaudhary House Sanepa Lalitpur")</f>
        <v>Chaudhary House Sanepa Lalitpur</v>
      </c>
      <c r="I2231" s="2" t="str">
        <f>IFERROR(__xludf.DUMMYFUNCTION("""COMPUTED_VALUE"""),"27o 29' 46""")</f>
        <v>27o 29' 46"</v>
      </c>
      <c r="J2231" s="2" t="str">
        <f>IFERROR(__xludf.DUMMYFUNCTION("""COMPUTED_VALUE"""),"27o 33' 30""")</f>
        <v>27o 33' 30"</v>
      </c>
      <c r="K2231" s="2" t="str">
        <f>IFERROR(__xludf.DUMMYFUNCTION("""COMPUTED_VALUE"""),"86o 40' 00""")</f>
        <v>86o 40' 00"</v>
      </c>
      <c r="L2231" s="2" t="str">
        <f>IFERROR(__xludf.DUMMYFUNCTION("""COMPUTED_VALUE"""),"86o 43' 37""")</f>
        <v>86o 43' 37"</v>
      </c>
      <c r="M2231" s="2"/>
    </row>
    <row r="2232">
      <c r="A2232" s="2">
        <f>IFERROR(__xludf.DUMMYFUNCTION("""COMPUTED_VALUE"""),2231.0)</f>
        <v>2231</v>
      </c>
      <c r="B2232" s="2" t="str">
        <f>IFERROR(__xludf.DUMMYFUNCTION("""COMPUTED_VALUE"""),"Gopi Khola HEP")</f>
        <v>Gopi Khola HEP</v>
      </c>
      <c r="C2232" s="2">
        <f>IFERROR(__xludf.DUMMYFUNCTION("""COMPUTED_VALUE"""),0.968)</f>
        <v>0.968</v>
      </c>
      <c r="D2232" s="2" t="str">
        <f>IFERROR(__xludf.DUMMYFUNCTION("""COMPUTED_VALUE"""),"Gopi Khola")</f>
        <v>Gopi Khola</v>
      </c>
      <c r="E2232" s="2">
        <f>IFERROR(__xludf.DUMMYFUNCTION("""COMPUTED_VALUE"""),8814.0)</f>
        <v>8814</v>
      </c>
      <c r="F2232" s="3">
        <f>IFERROR(__xludf.DUMMYFUNCTION("""COMPUTED_VALUE"""),64737.0)</f>
        <v>64737</v>
      </c>
      <c r="G2232" s="2" t="str">
        <f>IFERROR(__xludf.DUMMYFUNCTION("""COMPUTED_VALUE"""),"Bidur Raj Gautam Devraj Khatri via Baiteshwor Rural Municipality")</f>
        <v>Bidur Raj Gautam Devraj Khatri via Baiteshwor Rural Municipality</v>
      </c>
      <c r="H2232" s="2" t="str">
        <f>IFERROR(__xludf.DUMMYFUNCTION("""COMPUTED_VALUE"""),"Dolakha")</f>
        <v>Dolakha</v>
      </c>
      <c r="I2232" s="2" t="str">
        <f>IFERROR(__xludf.DUMMYFUNCTION("""COMPUTED_VALUE"""),"27o 36' 45""")</f>
        <v>27o 36' 45"</v>
      </c>
      <c r="J2232" s="2" t="str">
        <f>IFERROR(__xludf.DUMMYFUNCTION("""COMPUTED_VALUE"""),"27o 37' 14""")</f>
        <v>27o 37' 14"</v>
      </c>
      <c r="K2232" s="2" t="str">
        <f>IFERROR(__xludf.DUMMYFUNCTION("""COMPUTED_VALUE"""),"86o 04' 42""")</f>
        <v>86o 04' 42"</v>
      </c>
      <c r="L2232" s="2" t="str">
        <f>IFERROR(__xludf.DUMMYFUNCTION("""COMPUTED_VALUE"""),"86o 05' 33""")</f>
        <v>86o 05' 33"</v>
      </c>
      <c r="M2232" s="2" t="str">
        <f>IFERROR(__xludf.DUMMYFUNCTION("""COMPUTED_VALUE"""),"Gairimudi,Namdu (Dolakha)")</f>
        <v>Gairimudi,Namdu (Dolakha)</v>
      </c>
    </row>
    <row r="2233">
      <c r="A2233" s="2">
        <f>IFERROR(__xludf.DUMMYFUNCTION("""COMPUTED_VALUE"""),2232.0)</f>
        <v>2232</v>
      </c>
      <c r="B2233" s="2" t="str">
        <f>IFERROR(__xludf.DUMMYFUNCTION("""COMPUTED_VALUE"""),"Marshyangdi Cascade HEP")</f>
        <v>Marshyangdi Cascade HEP</v>
      </c>
      <c r="C2233" s="2">
        <f>IFERROR(__xludf.DUMMYFUNCTION("""COMPUTED_VALUE"""),5.0)</f>
        <v>5</v>
      </c>
      <c r="D2233" s="2" t="str">
        <f>IFERROR(__xludf.DUMMYFUNCTION("""COMPUTED_VALUE"""),"Marshyangdi")</f>
        <v>Marshyangdi</v>
      </c>
      <c r="E2233" s="2">
        <f>IFERROR(__xludf.DUMMYFUNCTION("""COMPUTED_VALUE"""),865.0)</f>
        <v>865</v>
      </c>
      <c r="F2233" s="3">
        <f>IFERROR(__xludf.DUMMYFUNCTION("""COMPUTED_VALUE"""),64769.0)</f>
        <v>64769</v>
      </c>
      <c r="G2233" s="2" t="str">
        <f>IFERROR(__xludf.DUMMYFUNCTION("""COMPUTED_VALUE"""),"Ujjyalo Energy Solution Pvt. Ltd")</f>
        <v>Ujjyalo Energy Solution Pvt. Ltd</v>
      </c>
      <c r="H2233" s="2" t="str">
        <f>IFERROR(__xludf.DUMMYFUNCTION("""COMPUTED_VALUE"""),"Ka.MA.Pa.-2, GAirdidhara Kathmandu. Contact no. 9851029813 (Ram Prasad 
Khanal)")</f>
        <v>Ka.MA.Pa.-2, GAirdidhara Kathmandu. Contact no. 9851029813 (Ram Prasad 
Khanal)</v>
      </c>
      <c r="I2233" s="2" t="str">
        <f>IFERROR(__xludf.DUMMYFUNCTION("""COMPUTED_VALUE"""),"27o 49' 52""")</f>
        <v>27o 49' 52"</v>
      </c>
      <c r="J2233" s="2" t="str">
        <f>IFERROR(__xludf.DUMMYFUNCTION("""COMPUTED_VALUE"""),"27o 52' 32""")</f>
        <v>27o 52' 32"</v>
      </c>
      <c r="K2233" s="2" t="str">
        <f>IFERROR(__xludf.DUMMYFUNCTION("""COMPUTED_VALUE"""),"84o 31' 20""")</f>
        <v>84o 31' 20"</v>
      </c>
      <c r="L2233" s="2" t="str">
        <f>IFERROR(__xludf.DUMMYFUNCTION("""COMPUTED_VALUE"""),"84o 32' 34""")</f>
        <v>84o 32' 34"</v>
      </c>
      <c r="M2233" s="2" t="str">
        <f>IFERROR(__xludf.DUMMYFUNCTION("""COMPUTED_VALUE"""),"Ambukhaireni (Tanahu)")</f>
        <v>Ambukhaireni (Tanahu)</v>
      </c>
    </row>
    <row r="2234">
      <c r="A2234" s="2">
        <f>IFERROR(__xludf.DUMMYFUNCTION("""COMPUTED_VALUE"""),2233.0)</f>
        <v>2233</v>
      </c>
      <c r="B2234" s="2" t="str">
        <f>IFERROR(__xludf.DUMMYFUNCTION("""COMPUTED_VALUE"""),"Dudh Khola HEP")</f>
        <v>Dudh Khola HEP</v>
      </c>
      <c r="C2234" s="2">
        <f>IFERROR(__xludf.DUMMYFUNCTION("""COMPUTED_VALUE"""),65.0)</f>
        <v>65</v>
      </c>
      <c r="D2234" s="2" t="str">
        <f>IFERROR(__xludf.DUMMYFUNCTION("""COMPUTED_VALUE"""),"Dudh Khola")</f>
        <v>Dudh Khola</v>
      </c>
      <c r="E2234" s="2">
        <f>IFERROR(__xludf.DUMMYFUNCTION("""COMPUTED_VALUE"""),1076.0)</f>
        <v>1076</v>
      </c>
      <c r="F2234" s="3">
        <f>IFERROR(__xludf.DUMMYFUNCTION("""COMPUTED_VALUE"""),64785.0)</f>
        <v>64785</v>
      </c>
      <c r="G2234" s="2" t="str">
        <f>IFERROR(__xludf.DUMMYFUNCTION("""COMPUTED_VALUE"""),"Sita Hydropower Company Pvt. Ltd.")</f>
        <v>Sita Hydropower Company Pvt. Ltd.</v>
      </c>
      <c r="H2234" s="2" t="str">
        <f>IFERROR(__xludf.DUMMYFUNCTION("""COMPUTED_VALUE"""),"Ka.Ma.Pa-13, Kalimati")</f>
        <v>Ka.Ma.Pa-13, Kalimati</v>
      </c>
      <c r="I2234" s="2" t="str">
        <f>IFERROR(__xludf.DUMMYFUNCTION("""COMPUTED_VALUE"""),"28o 31' 27""")</f>
        <v>28o 31' 27"</v>
      </c>
      <c r="J2234" s="2" t="str">
        <f>IFERROR(__xludf.DUMMYFUNCTION("""COMPUTED_VALUE"""),"28o 33' 17""")</f>
        <v>28o 33' 17"</v>
      </c>
      <c r="K2234" s="2" t="str">
        <f>IFERROR(__xludf.DUMMYFUNCTION("""COMPUTED_VALUE"""),"84o 21' 20""")</f>
        <v>84o 21' 20"</v>
      </c>
      <c r="L2234" s="2" t="str">
        <f>IFERROR(__xludf.DUMMYFUNCTION("""COMPUTED_VALUE"""),"84o 23' 55""")</f>
        <v>84o 23' 55"</v>
      </c>
      <c r="M2234" s="2"/>
    </row>
    <row r="2235">
      <c r="A2235" s="2">
        <f>IFERROR(__xludf.DUMMYFUNCTION("""COMPUTED_VALUE"""),2234.0)</f>
        <v>2234</v>
      </c>
      <c r="B2235" s="2" t="str">
        <f>IFERROR(__xludf.DUMMYFUNCTION("""COMPUTED_VALUE"""),"Dudh Khola Manaslu HEP")</f>
        <v>Dudh Khola Manaslu HEP</v>
      </c>
      <c r="C2235" s="2">
        <f>IFERROR(__xludf.DUMMYFUNCTION("""COMPUTED_VALUE"""),19.0)</f>
        <v>19</v>
      </c>
      <c r="D2235" s="2" t="str">
        <f>IFERROR(__xludf.DUMMYFUNCTION("""COMPUTED_VALUE"""),"Dudh Khola")</f>
        <v>Dudh Khola</v>
      </c>
      <c r="E2235" s="2">
        <f>IFERROR(__xludf.DUMMYFUNCTION("""COMPUTED_VALUE"""),175.0)</f>
        <v>175</v>
      </c>
      <c r="F2235" s="3">
        <f>IFERROR(__xludf.DUMMYFUNCTION("""COMPUTED_VALUE"""),64801.0)</f>
        <v>64801</v>
      </c>
      <c r="G2235" s="2" t="str">
        <f>IFERROR(__xludf.DUMMYFUNCTION("""COMPUTED_VALUE"""),"Sabitri Adhikari")</f>
        <v>Sabitri Adhikari</v>
      </c>
      <c r="H2235" s="2" t="str">
        <f>IFERROR(__xludf.DUMMYFUNCTION("""COMPUTED_VALUE"""),"Kathmandu, Contact No. 9810089900")</f>
        <v>Kathmandu, Contact No. 9810089900</v>
      </c>
      <c r="I2235" s="2" t="str">
        <f>IFERROR(__xludf.DUMMYFUNCTION("""COMPUTED_VALUE"""),"28o 35' 30""")</f>
        <v>28o 35' 30"</v>
      </c>
      <c r="J2235" s="2" t="str">
        <f>IFERROR(__xludf.DUMMYFUNCTION("""COMPUTED_VALUE"""),"28o 36' 36""")</f>
        <v>28o 36' 36"</v>
      </c>
      <c r="K2235" s="2" t="str">
        <f>IFERROR(__xludf.DUMMYFUNCTION("""COMPUTED_VALUE"""),"84o 25' 20""")</f>
        <v>84o 25' 20"</v>
      </c>
      <c r="L2235" s="2" t="str">
        <f>IFERROR(__xludf.DUMMYFUNCTION("""COMPUTED_VALUE"""),"84o 28' 00""")</f>
        <v>84o 28' 00"</v>
      </c>
      <c r="M2235" s="2" t="str">
        <f>IFERROR(__xludf.DUMMYFUNCTION("""COMPUTED_VALUE"""),"Thoche (Manang)")</f>
        <v>Thoche (Manang)</v>
      </c>
    </row>
    <row r="2236">
      <c r="A2236" s="2">
        <f>IFERROR(__xludf.DUMMYFUNCTION("""COMPUTED_VALUE"""),2235.0)</f>
        <v>2235</v>
      </c>
      <c r="B2236" s="2" t="str">
        <f>IFERROR(__xludf.DUMMYFUNCTION("""COMPUTED_VALUE"""),"Manaslu HEP")</f>
        <v>Manaslu HEP</v>
      </c>
      <c r="C2236" s="2">
        <f>IFERROR(__xludf.DUMMYFUNCTION("""COMPUTED_VALUE"""),19.0)</f>
        <v>19</v>
      </c>
      <c r="D2236" s="2" t="str">
        <f>IFERROR(__xludf.DUMMYFUNCTION("""COMPUTED_VALUE"""),"Dudh Khola")</f>
        <v>Dudh Khola</v>
      </c>
      <c r="E2236" s="2">
        <f>IFERROR(__xludf.DUMMYFUNCTION("""COMPUTED_VALUE"""),2163.0)</f>
        <v>2163</v>
      </c>
      <c r="F2236" s="3">
        <f>IFERROR(__xludf.DUMMYFUNCTION("""COMPUTED_VALUE"""),64835.0)</f>
        <v>64835</v>
      </c>
      <c r="G2236" s="2" t="str">
        <f>IFERROR(__xludf.DUMMYFUNCTION("""COMPUTED_VALUE"""),"Road Nepal Pvt. Ltd")</f>
        <v>Road Nepal Pvt. Ltd</v>
      </c>
      <c r="H2236" s="2" t="str">
        <f>IFERROR(__xludf.DUMMYFUNCTION("""COMPUTED_VALUE"""),"Kathmandu-16, Kathmandu")</f>
        <v>Kathmandu-16, Kathmandu</v>
      </c>
      <c r="I2236" s="2" t="str">
        <f>IFERROR(__xludf.DUMMYFUNCTION("""COMPUTED_VALUE"""),"28o 35' 30""")</f>
        <v>28o 35' 30"</v>
      </c>
      <c r="J2236" s="2" t="str">
        <f>IFERROR(__xludf.DUMMYFUNCTION("""COMPUTED_VALUE"""),"28o 36' 36""")</f>
        <v>28o 36' 36"</v>
      </c>
      <c r="K2236" s="2" t="str">
        <f>IFERROR(__xludf.DUMMYFUNCTION("""COMPUTED_VALUE"""),"84o 25' 20""")</f>
        <v>84o 25' 20"</v>
      </c>
      <c r="L2236" s="2" t="str">
        <f>IFERROR(__xludf.DUMMYFUNCTION("""COMPUTED_VALUE"""),"84o 28' 00""")</f>
        <v>84o 28' 00"</v>
      </c>
      <c r="M2236" s="2" t="str">
        <f>IFERROR(__xludf.DUMMYFUNCTION("""COMPUTED_VALUE"""),"Thoche (Manang)")</f>
        <v>Thoche (Manang)</v>
      </c>
    </row>
    <row r="2237">
      <c r="A2237" s="2">
        <f>IFERROR(__xludf.DUMMYFUNCTION("""COMPUTED_VALUE"""),2236.0)</f>
        <v>2236</v>
      </c>
      <c r="B2237" s="2" t="str">
        <f>IFERROR(__xludf.DUMMYFUNCTION("""COMPUTED_VALUE"""),"Marshyangdi Cascade HEP")</f>
        <v>Marshyangdi Cascade HEP</v>
      </c>
      <c r="C2237" s="2">
        <f>IFERROR(__xludf.DUMMYFUNCTION("""COMPUTED_VALUE"""),10.0)</f>
        <v>10</v>
      </c>
      <c r="D2237" s="2" t="str">
        <f>IFERROR(__xludf.DUMMYFUNCTION("""COMPUTED_VALUE"""),"Marsyangdi")</f>
        <v>Marsyangdi</v>
      </c>
      <c r="E2237" s="2">
        <f>IFERROR(__xludf.DUMMYFUNCTION("""COMPUTED_VALUE"""),2327.0)</f>
        <v>2327</v>
      </c>
      <c r="F2237" s="3">
        <f>IFERROR(__xludf.DUMMYFUNCTION("""COMPUTED_VALUE"""),64850.0)</f>
        <v>64850</v>
      </c>
      <c r="G2237" s="2" t="str">
        <f>IFERROR(__xludf.DUMMYFUNCTION("""COMPUTED_VALUE"""),"Ujyalo Energy Solution Pvt. Ltd.")</f>
        <v>Ujyalo Energy Solution Pvt. Ltd.</v>
      </c>
      <c r="H2237" s="2" t="str">
        <f>IFERROR(__xludf.DUMMYFUNCTION("""COMPUTED_VALUE"""),"Ka.Ma.Pa-2, Lazimpat, Contact No. 01-4438382, 9851029813")</f>
        <v>Ka.Ma.Pa-2, Lazimpat, Contact No. 01-4438382, 9851029813</v>
      </c>
      <c r="I2237" s="2" t="str">
        <f>IFERROR(__xludf.DUMMYFUNCTION("""COMPUTED_VALUE"""),"27o 49' 52""")</f>
        <v>27o 49' 52"</v>
      </c>
      <c r="J2237" s="2" t="str">
        <f>IFERROR(__xludf.DUMMYFUNCTION("""COMPUTED_VALUE"""),"27o 52' 32""")</f>
        <v>27o 52' 32"</v>
      </c>
      <c r="K2237" s="2" t="str">
        <f>IFERROR(__xludf.DUMMYFUNCTION("""COMPUTED_VALUE"""),"84o 31' 20""")</f>
        <v>84o 31' 20"</v>
      </c>
      <c r="L2237" s="2" t="str">
        <f>IFERROR(__xludf.DUMMYFUNCTION("""COMPUTED_VALUE"""),"84o 32' 35""")</f>
        <v>84o 32' 35"</v>
      </c>
      <c r="M2237" s="2" t="str">
        <f>IFERROR(__xludf.DUMMYFUNCTION("""COMPUTED_VALUE"""),"Ambukhaireni (Tanahu)")</f>
        <v>Ambukhaireni (Tanahu)</v>
      </c>
    </row>
    <row r="2238">
      <c r="A2238" s="2">
        <f>IFERROR(__xludf.DUMMYFUNCTION("""COMPUTED_VALUE"""),2237.0)</f>
        <v>2237</v>
      </c>
      <c r="B2238" s="2" t="str">
        <f>IFERROR(__xludf.DUMMYFUNCTION("""COMPUTED_VALUE"""),"Lower Marshyangdi HEP")</f>
        <v>Lower Marshyangdi HEP</v>
      </c>
      <c r="C2238" s="2">
        <f>IFERROR(__xludf.DUMMYFUNCTION("""COMPUTED_VALUE"""),5.0)</f>
        <v>5</v>
      </c>
      <c r="D2238" s="2" t="str">
        <f>IFERROR(__xludf.DUMMYFUNCTION("""COMPUTED_VALUE"""),"Marshyangdi")</f>
        <v>Marshyangdi</v>
      </c>
      <c r="E2238" s="2">
        <f>IFERROR(__xludf.DUMMYFUNCTION("""COMPUTED_VALUE"""),3106.0)</f>
        <v>3106</v>
      </c>
      <c r="F2238" s="3">
        <f>IFERROR(__xludf.DUMMYFUNCTION("""COMPUTED_VALUE"""),64892.0)</f>
        <v>64892</v>
      </c>
      <c r="G2238" s="2" t="str">
        <f>IFERROR(__xludf.DUMMYFUNCTION("""COMPUTED_VALUE"""),"Ujyalo Energy Solution Pvt. Ltd.")</f>
        <v>Ujyalo Energy Solution Pvt. Ltd.</v>
      </c>
      <c r="H2238" s="2" t="str">
        <f>IFERROR(__xludf.DUMMYFUNCTION("""COMPUTED_VALUE"""),"Ka. Ma. Pa.- 2, Gairidhara Kathmandu")</f>
        <v>Ka. Ma. Pa.- 2, Gairidhara Kathmandu</v>
      </c>
      <c r="I2238" s="2" t="str">
        <f>IFERROR(__xludf.DUMMYFUNCTION("""COMPUTED_VALUE"""),"27o 49' 52""")</f>
        <v>27o 49' 52"</v>
      </c>
      <c r="J2238" s="2" t="str">
        <f>IFERROR(__xludf.DUMMYFUNCTION("""COMPUTED_VALUE"""),"27o 52' 32""")</f>
        <v>27o 52' 32"</v>
      </c>
      <c r="K2238" s="2" t="str">
        <f>IFERROR(__xludf.DUMMYFUNCTION("""COMPUTED_VALUE"""),"84o 31' 20""")</f>
        <v>84o 31' 20"</v>
      </c>
      <c r="L2238" s="2" t="str">
        <f>IFERROR(__xludf.DUMMYFUNCTION("""COMPUTED_VALUE"""),"84o 32' 35""")</f>
        <v>84o 32' 35"</v>
      </c>
      <c r="M2238" s="2" t="str">
        <f>IFERROR(__xludf.DUMMYFUNCTION("""COMPUTED_VALUE"""),"Ambukhaireni (Tanahu)")</f>
        <v>Ambukhaireni (Tanahu)</v>
      </c>
    </row>
    <row r="2239">
      <c r="A2239" s="2">
        <f>IFERROR(__xludf.DUMMYFUNCTION("""COMPUTED_VALUE"""),2238.0)</f>
        <v>2238</v>
      </c>
      <c r="B2239" s="2" t="str">
        <f>IFERROR(__xludf.DUMMYFUNCTION("""COMPUTED_VALUE"""),"Medok Cheje HEP")</f>
        <v>Medok Cheje HEP</v>
      </c>
      <c r="C2239" s="2">
        <f>IFERROR(__xludf.DUMMYFUNCTION("""COMPUTED_VALUE"""),4.9)</f>
        <v>4.9</v>
      </c>
      <c r="D2239" s="2" t="str">
        <f>IFERROR(__xludf.DUMMYFUNCTION("""COMPUTED_VALUE"""),"Medok Cheje")</f>
        <v>Medok Cheje</v>
      </c>
      <c r="E2239" s="2">
        <f>IFERROR(__xludf.DUMMYFUNCTION("""COMPUTED_VALUE"""),3199.0)</f>
        <v>3199</v>
      </c>
      <c r="F2239" s="3">
        <f>IFERROR(__xludf.DUMMYFUNCTION("""COMPUTED_VALUE"""),64898.0)</f>
        <v>64898</v>
      </c>
      <c r="G2239" s="2" t="str">
        <f>IFERROR(__xludf.DUMMYFUNCTION("""COMPUTED_VALUE"""),"Ujyalo Energy Solution Pvt. Ltd.")</f>
        <v>Ujyalo Energy Solution Pvt. Ltd.</v>
      </c>
      <c r="H2239" s="2" t="str">
        <f>IFERROR(__xludf.DUMMYFUNCTION("""COMPUTED_VALUE"""),"Ka. Ma. Pa -2, Gairidhara, Kathmandu")</f>
        <v>Ka. Ma. Pa -2, Gairidhara, Kathmandu</v>
      </c>
      <c r="I2239" s="2" t="str">
        <f>IFERROR(__xludf.DUMMYFUNCTION("""COMPUTED_VALUE"""),"27o 44' 22""")</f>
        <v>27o 44' 22"</v>
      </c>
      <c r="J2239" s="2" t="str">
        <f>IFERROR(__xludf.DUMMYFUNCTION("""COMPUTED_VALUE"""),"27o 46' 30""")</f>
        <v>27o 46' 30"</v>
      </c>
      <c r="K2239" s="2" t="str">
        <f>IFERROR(__xludf.DUMMYFUNCTION("""COMPUTED_VALUE"""),"87o 30' 09""")</f>
        <v>87o 30' 09"</v>
      </c>
      <c r="L2239" s="2" t="str">
        <f>IFERROR(__xludf.DUMMYFUNCTION("""COMPUTED_VALUE"""),"87o 33' 10""")</f>
        <v>87o 33' 10"</v>
      </c>
      <c r="M2239" s="2" t="str">
        <f>IFERROR(__xludf.DUMMYFUNCTION("""COMPUTED_VALUE"""),"Chepuwa (Sankhuwasabha)")</f>
        <v>Chepuwa (Sankhuwasabha)</v>
      </c>
    </row>
    <row r="2240">
      <c r="A2240" s="2">
        <f>IFERROR(__xludf.DUMMYFUNCTION("""COMPUTED_VALUE"""),2239.0)</f>
        <v>2239</v>
      </c>
      <c r="B2240" s="2" t="str">
        <f>IFERROR(__xludf.DUMMYFUNCTION("""COMPUTED_VALUE"""),"Mathillo Simbuwa 2 HPP")</f>
        <v>Mathillo Simbuwa 2 HPP</v>
      </c>
      <c r="C2240" s="2">
        <f>IFERROR(__xludf.DUMMYFUNCTION("""COMPUTED_VALUE"""),4.5)</f>
        <v>4.5</v>
      </c>
      <c r="D2240" s="2" t="str">
        <f>IFERROR(__xludf.DUMMYFUNCTION("""COMPUTED_VALUE"""),"Simbuwa Khola")</f>
        <v>Simbuwa Khola</v>
      </c>
      <c r="E2240" s="2">
        <f>IFERROR(__xludf.DUMMYFUNCTION("""COMPUTED_VALUE"""),5036.0)</f>
        <v>5036</v>
      </c>
      <c r="F2240" s="3">
        <f>IFERROR(__xludf.DUMMYFUNCTION("""COMPUTED_VALUE"""),64936.0)</f>
        <v>64936</v>
      </c>
      <c r="G2240" s="2" t="str">
        <f>IFERROR(__xludf.DUMMYFUNCTION("""COMPUTED_VALUE"""),"White Flower Energy Company Pvt. Ltd")</f>
        <v>White Flower Energy Company Pvt. Ltd</v>
      </c>
      <c r="H2240" s="2" t="str">
        <f>IFERROR(__xludf.DUMMYFUNCTION("""COMPUTED_VALUE"""),"New Baneshwor, Kathmandu, Contact: 9851168389, 9841790611")</f>
        <v>New Baneshwor, Kathmandu, Contact: 9851168389, 9841790611</v>
      </c>
      <c r="I2240" s="2" t="str">
        <f>IFERROR(__xludf.DUMMYFUNCTION("""COMPUTED_VALUE"""),"27o 31' 00""")</f>
        <v>27o 31' 00"</v>
      </c>
      <c r="J2240" s="2" t="str">
        <f>IFERROR(__xludf.DUMMYFUNCTION("""COMPUTED_VALUE"""),"27o 32' 30""")</f>
        <v>27o 32' 30"</v>
      </c>
      <c r="K2240" s="2" t="str">
        <f>IFERROR(__xludf.DUMMYFUNCTION("""COMPUTED_VALUE"""),"87o 54' 00""")</f>
        <v>87o 54' 00"</v>
      </c>
      <c r="L2240" s="2" t="str">
        <f>IFERROR(__xludf.DUMMYFUNCTION("""COMPUTED_VALUE"""),"87o 56' 00""")</f>
        <v>87o 56' 00"</v>
      </c>
      <c r="M2240" s="2" t="str">
        <f>IFERROR(__xludf.DUMMYFUNCTION("""COMPUTED_VALUE"""),"Tapethok (Taplejung)")</f>
        <v>Tapethok (Taplejung)</v>
      </c>
    </row>
    <row r="2241">
      <c r="A2241" s="2">
        <f>IFERROR(__xludf.DUMMYFUNCTION("""COMPUTED_VALUE"""),2240.0)</f>
        <v>2240</v>
      </c>
      <c r="B2241" s="2" t="str">
        <f>IFERROR(__xludf.DUMMYFUNCTION("""COMPUTED_VALUE"""),"Likhu Khola-10 PROR HEP")</f>
        <v>Likhu Khola-10 PROR HEP</v>
      </c>
      <c r="C2241" s="2">
        <f>IFERROR(__xludf.DUMMYFUNCTION("""COMPUTED_VALUE"""),40.0)</f>
        <v>40</v>
      </c>
      <c r="D2241" s="2" t="str">
        <f>IFERROR(__xludf.DUMMYFUNCTION("""COMPUTED_VALUE"""),"Likhu")</f>
        <v>Likhu</v>
      </c>
      <c r="E2241" s="2">
        <f>IFERROR(__xludf.DUMMYFUNCTION("""COMPUTED_VALUE"""),5725.0)</f>
        <v>5725</v>
      </c>
      <c r="F2241" s="3">
        <f>IFERROR(__xludf.DUMMYFUNCTION("""COMPUTED_VALUE"""),64966.0)</f>
        <v>64966</v>
      </c>
      <c r="G2241" s="2" t="str">
        <f>IFERROR(__xludf.DUMMYFUNCTION("""COMPUTED_VALUE"""),"Newton Hydro Energy Pvt. Ltd")</f>
        <v>Newton Hydro Energy Pvt. Ltd</v>
      </c>
      <c r="H2241" s="2" t="str">
        <f>IFERROR(__xludf.DUMMYFUNCTION("""COMPUTED_VALUE"""),"Lazimpat-2, kathmandu Contact No.: 016911637, 9810371890")</f>
        <v>Lazimpat-2, kathmandu Contact No.: 016911637, 9810371890</v>
      </c>
      <c r="I2241" s="2" t="str">
        <f>IFERROR(__xludf.DUMMYFUNCTION("""COMPUTED_VALUE"""),"27o 15' 00""")</f>
        <v>27o 15' 00"</v>
      </c>
      <c r="J2241" s="2" t="str">
        <f>IFERROR(__xludf.DUMMYFUNCTION("""COMPUTED_VALUE"""),"27o 19' 30""")</f>
        <v>27o 19' 30"</v>
      </c>
      <c r="K2241" s="2" t="str">
        <f>IFERROR(__xludf.DUMMYFUNCTION("""COMPUTED_VALUE"""),"86o 12' 30""")</f>
        <v>86o 12' 30"</v>
      </c>
      <c r="L2241" s="2" t="str">
        <f>IFERROR(__xludf.DUMMYFUNCTION("""COMPUTED_VALUE"""),"86o 17' 30""")</f>
        <v>86o 17' 30"</v>
      </c>
      <c r="M2241" s="2" t="str">
        <f>IFERROR(__xludf.DUMMYFUNCTION("""COMPUTED_VALUE"""),"Singhadevi,Palapu (Okhaldhunga) Himganga (Ramechhap)")</f>
        <v>Singhadevi,Palapu (Okhaldhunga) Himganga (Ramechhap)</v>
      </c>
    </row>
    <row r="2242">
      <c r="A2242" s="2">
        <f>IFERROR(__xludf.DUMMYFUNCTION("""COMPUTED_VALUE"""),2241.0)</f>
        <v>2241</v>
      </c>
      <c r="B2242" s="2" t="str">
        <f>IFERROR(__xludf.DUMMYFUNCTION("""COMPUTED_VALUE"""),"Lower Marsyangdi HEP")</f>
        <v>Lower Marsyangdi HEP</v>
      </c>
      <c r="C2242" s="2">
        <f>IFERROR(__xludf.DUMMYFUNCTION("""COMPUTED_VALUE"""),5.0)</f>
        <v>5</v>
      </c>
      <c r="D2242" s="2" t="str">
        <f>IFERROR(__xludf.DUMMYFUNCTION("""COMPUTED_VALUE"""),"Marsyangdi")</f>
        <v>Marsyangdi</v>
      </c>
      <c r="E2242" s="2">
        <f>IFERROR(__xludf.DUMMYFUNCTION("""COMPUTED_VALUE"""),6012.0)</f>
        <v>6012</v>
      </c>
      <c r="F2242" s="3">
        <f>IFERROR(__xludf.DUMMYFUNCTION("""COMPUTED_VALUE"""),64974.0)</f>
        <v>64974</v>
      </c>
      <c r="G2242" s="2" t="str">
        <f>IFERROR(__xludf.DUMMYFUNCTION("""COMPUTED_VALUE"""),"Ujyalo Energy Solution P.Ltd.")</f>
        <v>Ujyalo Energy Solution P.Ltd.</v>
      </c>
      <c r="H2242" s="2" t="str">
        <f>IFERROR(__xludf.DUMMYFUNCTION("""COMPUTED_VALUE"""),"Gauridhara, Kathmandu")</f>
        <v>Gauridhara, Kathmandu</v>
      </c>
      <c r="I2242" s="2" t="str">
        <f>IFERROR(__xludf.DUMMYFUNCTION("""COMPUTED_VALUE"""),"27o 49' 52""")</f>
        <v>27o 49' 52"</v>
      </c>
      <c r="J2242" s="2" t="str">
        <f>IFERROR(__xludf.DUMMYFUNCTION("""COMPUTED_VALUE"""),"27o 52' 32""")</f>
        <v>27o 52' 32"</v>
      </c>
      <c r="K2242" s="2" t="str">
        <f>IFERROR(__xludf.DUMMYFUNCTION("""COMPUTED_VALUE"""),"84o 31' 20""")</f>
        <v>84o 31' 20"</v>
      </c>
      <c r="L2242" s="2" t="str">
        <f>IFERROR(__xludf.DUMMYFUNCTION("""COMPUTED_VALUE"""),"84o 32' 34""")</f>
        <v>84o 32' 34"</v>
      </c>
      <c r="M2242" s="2" t="str">
        <f>IFERROR(__xludf.DUMMYFUNCTION("""COMPUTED_VALUE"""),"Ambukhaireni (Tanahu)")</f>
        <v>Ambukhaireni (Tanahu)</v>
      </c>
    </row>
    <row r="2243">
      <c r="A2243" s="2">
        <f>IFERROR(__xludf.DUMMYFUNCTION("""COMPUTED_VALUE"""),2242.0)</f>
        <v>2242</v>
      </c>
      <c r="B2243" s="2" t="str">
        <f>IFERROR(__xludf.DUMMYFUNCTION("""COMPUTED_VALUE"""),"Rudrawati- Badigad HEP")</f>
        <v>Rudrawati- Badigad HEP</v>
      </c>
      <c r="C2243" s="2">
        <f>IFERROR(__xludf.DUMMYFUNCTION("""COMPUTED_VALUE"""),9.9)</f>
        <v>9.9</v>
      </c>
      <c r="D2243" s="2" t="str">
        <f>IFERROR(__xludf.DUMMYFUNCTION("""COMPUTED_VALUE"""),"Badigad")</f>
        <v>Badigad</v>
      </c>
      <c r="E2243" s="2">
        <f>IFERROR(__xludf.DUMMYFUNCTION("""COMPUTED_VALUE"""),6499.0)</f>
        <v>6499</v>
      </c>
      <c r="F2243" s="3">
        <f>IFERROR(__xludf.DUMMYFUNCTION("""COMPUTED_VALUE"""),64986.0)</f>
        <v>64986</v>
      </c>
      <c r="G2243" s="2" t="str">
        <f>IFERROR(__xludf.DUMMYFUNCTION("""COMPUTED_VALUE"""),"Hanumante Power &amp; Energy Pvt. Ltd")</f>
        <v>Hanumante Power &amp; Energy Pvt. Ltd</v>
      </c>
      <c r="H2243" s="2" t="str">
        <f>IFERROR(__xludf.DUMMYFUNCTION("""COMPUTED_VALUE"""),"Pepsicola, Kathmandu Contact No.: 9851035943")</f>
        <v>Pepsicola, Kathmandu Contact No.: 9851035943</v>
      </c>
      <c r="I2243" s="2" t="str">
        <f>IFERROR(__xludf.DUMMYFUNCTION("""COMPUTED_VALUE"""),"28o 12' 00""")</f>
        <v>28o 12' 00"</v>
      </c>
      <c r="J2243" s="2" t="str">
        <f>IFERROR(__xludf.DUMMYFUNCTION("""COMPUTED_VALUE"""),"28o 13' 15""")</f>
        <v>28o 13' 15"</v>
      </c>
      <c r="K2243" s="2" t="str">
        <f>IFERROR(__xludf.DUMMYFUNCTION("""COMPUTED_VALUE"""),"83o 14' 15""")</f>
        <v>83o 14' 15"</v>
      </c>
      <c r="L2243" s="2" t="str">
        <f>IFERROR(__xludf.DUMMYFUNCTION("""COMPUTED_VALUE"""),"83o 15' 40""")</f>
        <v>83o 15' 40"</v>
      </c>
      <c r="M2243" s="2" t="str">
        <f>IFERROR(__xludf.DUMMYFUNCTION("""COMPUTED_VALUE"""),"Dagatundada (Baglung)")</f>
        <v>Dagatundada (Baglung)</v>
      </c>
    </row>
    <row r="2244">
      <c r="A2244" s="2">
        <f>IFERROR(__xludf.DUMMYFUNCTION("""COMPUTED_VALUE"""),2243.0)</f>
        <v>2243</v>
      </c>
      <c r="B2244" s="2" t="str">
        <f>IFERROR(__xludf.DUMMYFUNCTION("""COMPUTED_VALUE"""),"Madhya Dana HEP")</f>
        <v>Madhya Dana HEP</v>
      </c>
      <c r="C2244" s="2">
        <f>IFERROR(__xludf.DUMMYFUNCTION("""COMPUTED_VALUE"""),4.9)</f>
        <v>4.9</v>
      </c>
      <c r="D2244" s="2" t="str">
        <f>IFERROR(__xludf.DUMMYFUNCTION("""COMPUTED_VALUE"""),"Dana Khola")</f>
        <v>Dana Khola</v>
      </c>
      <c r="E2244" s="2">
        <f>IFERROR(__xludf.DUMMYFUNCTION("""COMPUTED_VALUE"""),6807.0)</f>
        <v>6807</v>
      </c>
      <c r="F2244" s="3">
        <f>IFERROR(__xludf.DUMMYFUNCTION("""COMPUTED_VALUE"""),65000.0)</f>
        <v>65000</v>
      </c>
      <c r="G2244" s="2" t="str">
        <f>IFERROR(__xludf.DUMMYFUNCTION("""COMPUTED_VALUE"""),"Mohan Kumar Dangi")</f>
        <v>Mohan Kumar Dangi</v>
      </c>
      <c r="H2244" s="2" t="str">
        <f>IFERROR(__xludf.DUMMYFUNCTION("""COMPUTED_VALUE"""),"Ghattekulo Kathmandu")</f>
        <v>Ghattekulo Kathmandu</v>
      </c>
      <c r="I2244" s="2" t="str">
        <f>IFERROR(__xludf.DUMMYFUNCTION("""COMPUTED_VALUE"""),"28o 30' 55""")</f>
        <v>28o 30' 55"</v>
      </c>
      <c r="J2244" s="2" t="str">
        <f>IFERROR(__xludf.DUMMYFUNCTION("""COMPUTED_VALUE"""),"28o 31' 25""")</f>
        <v>28o 31' 25"</v>
      </c>
      <c r="K2244" s="2" t="str">
        <f>IFERROR(__xludf.DUMMYFUNCTION("""COMPUTED_VALUE"""),"84o 23' 42""")</f>
        <v>84o 23' 42"</v>
      </c>
      <c r="L2244" s="2" t="str">
        <f>IFERROR(__xludf.DUMMYFUNCTION("""COMPUTED_VALUE"""),"84o 24' 20""")</f>
        <v>84o 24' 20"</v>
      </c>
      <c r="M2244" s="2" t="str">
        <f>IFERROR(__xludf.DUMMYFUNCTION("""COMPUTED_VALUE"""),"Thoche (Manang)")</f>
        <v>Thoche (Manang)</v>
      </c>
    </row>
    <row r="2245">
      <c r="A2245" s="2">
        <f>IFERROR(__xludf.DUMMYFUNCTION("""COMPUTED_VALUE"""),2244.0)</f>
        <v>2244</v>
      </c>
      <c r="B2245" s="2" t="str">
        <f>IFERROR(__xludf.DUMMYFUNCTION("""COMPUTED_VALUE"""),"Upper Kabeli-2 HEP")</f>
        <v>Upper Kabeli-2 HEP</v>
      </c>
      <c r="C2245" s="2">
        <f>IFERROR(__xludf.DUMMYFUNCTION("""COMPUTED_VALUE"""),15.0)</f>
        <v>15</v>
      </c>
      <c r="D2245" s="2" t="str">
        <f>IFERROR(__xludf.DUMMYFUNCTION("""COMPUTED_VALUE"""),"Kabeli")</f>
        <v>Kabeli</v>
      </c>
      <c r="E2245" s="2">
        <f>IFERROR(__xludf.DUMMYFUNCTION("""COMPUTED_VALUE"""),7053.0)</f>
        <v>7053</v>
      </c>
      <c r="F2245" s="3">
        <f>IFERROR(__xludf.DUMMYFUNCTION("""COMPUTED_VALUE"""),65009.0)</f>
        <v>65009</v>
      </c>
      <c r="G2245" s="2" t="str">
        <f>IFERROR(__xludf.DUMMYFUNCTION("""COMPUTED_VALUE"""),"Arun Valley Hydropower development Company limited")</f>
        <v>Arun Valley Hydropower development Company limited</v>
      </c>
      <c r="H2245" s="2" t="str">
        <f>IFERROR(__xludf.DUMMYFUNCTION("""COMPUTED_VALUE"""),"Trade Tower Building, Thapathali ,Katmandu Tel no 01 5111086, email: 
info@arunhydro.com.np")</f>
        <v>Trade Tower Building, Thapathali ,Katmandu Tel no 01 5111086, email: 
info@arunhydro.com.np</v>
      </c>
      <c r="I2245" s="2" t="str">
        <f>IFERROR(__xludf.DUMMYFUNCTION("""COMPUTED_VALUE"""),"27o 17' 00""")</f>
        <v>27o 17' 00"</v>
      </c>
      <c r="J2245" s="2" t="str">
        <f>IFERROR(__xludf.DUMMYFUNCTION("""COMPUTED_VALUE"""),"27o 18' 45""")</f>
        <v>27o 18' 45"</v>
      </c>
      <c r="K2245" s="2" t="str">
        <f>IFERROR(__xludf.DUMMYFUNCTION("""COMPUTED_VALUE"""),"87o 49' 55""")</f>
        <v>87o 49' 55"</v>
      </c>
      <c r="L2245" s="2" t="str">
        <f>IFERROR(__xludf.DUMMYFUNCTION("""COMPUTED_VALUE"""),"87o 51' 05""")</f>
        <v>87o 51' 05"</v>
      </c>
      <c r="M2245" s="2" t="str">
        <f>IFERROR(__xludf.DUMMYFUNCTION("""COMPUTED_VALUE"""),"Sawalakhu,Sinam,Thumbedin (Taplejung)")</f>
        <v>Sawalakhu,Sinam,Thumbedin (Taplejung)</v>
      </c>
    </row>
    <row r="2246">
      <c r="A2246" s="2">
        <f>IFERROR(__xludf.DUMMYFUNCTION("""COMPUTED_VALUE"""),2245.0)</f>
        <v>2245</v>
      </c>
      <c r="B2246" s="2" t="str">
        <f>IFERROR(__xludf.DUMMYFUNCTION("""COMPUTED_VALUE"""),"Dadagaun Khalanga Bheri Storage HEP")</f>
        <v>Dadagaun Khalanga Bheri Storage HEP</v>
      </c>
      <c r="C2246" s="2">
        <f>IFERROR(__xludf.DUMMYFUNCTION("""COMPUTED_VALUE"""),135.0)</f>
        <v>135</v>
      </c>
      <c r="D2246" s="2" t="str">
        <f>IFERROR(__xludf.DUMMYFUNCTION("""COMPUTED_VALUE"""),"Bheri")</f>
        <v>Bheri</v>
      </c>
      <c r="E2246" s="2">
        <f>IFERROR(__xludf.DUMMYFUNCTION("""COMPUTED_VALUE"""),7346.0)</f>
        <v>7346</v>
      </c>
      <c r="F2246" s="3">
        <f>IFERROR(__xludf.DUMMYFUNCTION("""COMPUTED_VALUE"""),65022.0)</f>
        <v>65022</v>
      </c>
      <c r="G2246" s="2" t="str">
        <f>IFERROR(__xludf.DUMMYFUNCTION("""COMPUTED_VALUE"""),"Nepal Electricity Authority")</f>
        <v>Nepal Electricity Authority</v>
      </c>
      <c r="H2246" s="2" t="str">
        <f>IFERROR(__xludf.DUMMYFUNCTION("""COMPUTED_VALUE"""),"Durbar Marg Kathmandu, Tel: 4228816, Fax : 977-1-4223570")</f>
        <v>Durbar Marg Kathmandu, Tel: 4228816, Fax : 977-1-4223570</v>
      </c>
      <c r="I2246" s="2" t="str">
        <f>IFERROR(__xludf.DUMMYFUNCTION("""COMPUTED_VALUE"""),"28o 42' 15""")</f>
        <v>28o 42' 15"</v>
      </c>
      <c r="J2246" s="2" t="str">
        <f>IFERROR(__xludf.DUMMYFUNCTION("""COMPUTED_VALUE"""),"28o 47' 27""")</f>
        <v>28o 47' 27"</v>
      </c>
      <c r="K2246" s="2" t="str">
        <f>IFERROR(__xludf.DUMMYFUNCTION("""COMPUTED_VALUE"""),"82o 15' 00""")</f>
        <v>82o 15' 00"</v>
      </c>
      <c r="L2246" s="2" t="str">
        <f>IFERROR(__xludf.DUMMYFUNCTION("""COMPUTED_VALUE"""),"82o 21' 00""")</f>
        <v>82o 21' 00"</v>
      </c>
      <c r="M2246" s="2" t="str">
        <f>IFERROR(__xludf.DUMMYFUNCTION("""COMPUTED_VALUE"""),"Khalanga,Dandagaun (Jajarkot) Aathbis Kot,Ghetma (Rukum)")</f>
        <v>Khalanga,Dandagaun (Jajarkot) Aathbis Kot,Ghetma (Rukum)</v>
      </c>
    </row>
    <row r="2247">
      <c r="A2247" s="2">
        <f>IFERROR(__xludf.DUMMYFUNCTION("""COMPUTED_VALUE"""),2246.0)</f>
        <v>2246</v>
      </c>
      <c r="B2247" s="2" t="str">
        <f>IFERROR(__xludf.DUMMYFUNCTION("""COMPUTED_VALUE"""),"Khaksewa HEP")</f>
        <v>Khaksewa HEP</v>
      </c>
      <c r="C2247" s="2">
        <f>IFERROR(__xludf.DUMMYFUNCTION("""COMPUTED_VALUE"""),3.8)</f>
        <v>3.8</v>
      </c>
      <c r="D2247" s="2" t="str">
        <f>IFERROR(__xludf.DUMMYFUNCTION("""COMPUTED_VALUE"""),"Khaksewa")</f>
        <v>Khaksewa</v>
      </c>
      <c r="E2247" s="2">
        <f>IFERROR(__xludf.DUMMYFUNCTION("""COMPUTED_VALUE"""),7433.0)</f>
        <v>7433</v>
      </c>
      <c r="F2247" s="3">
        <f>IFERROR(__xludf.DUMMYFUNCTION("""COMPUTED_VALUE"""),65025.0)</f>
        <v>65025</v>
      </c>
      <c r="G2247" s="2" t="str">
        <f>IFERROR(__xludf.DUMMYFUNCTION("""COMPUTED_VALUE"""),"Narayan Prasad Aryal")</f>
        <v>Narayan Prasad Aryal</v>
      </c>
      <c r="H2247" s="2" t="str">
        <f>IFERROR(__xludf.DUMMYFUNCTION("""COMPUTED_VALUE"""),"sainamaina-4, Rupandehi, Contact No. Mohan Kumar Dangi: 9851030667")</f>
        <v>sainamaina-4, Rupandehi, Contact No. Mohan Kumar Dangi: 9851030667</v>
      </c>
      <c r="I2247" s="2" t="str">
        <f>IFERROR(__xludf.DUMMYFUNCTION("""COMPUTED_VALUE"""),"27o 24' 35""")</f>
        <v>27o 24' 35"</v>
      </c>
      <c r="J2247" s="2" t="str">
        <f>IFERROR(__xludf.DUMMYFUNCTION("""COMPUTED_VALUE"""),"27o 25' 30""")</f>
        <v>27o 25' 30"</v>
      </c>
      <c r="K2247" s="2" t="str">
        <f>IFERROR(__xludf.DUMMYFUNCTION("""COMPUTED_VALUE"""),"87o 50' 20""")</f>
        <v>87o 50' 20"</v>
      </c>
      <c r="L2247" s="2" t="str">
        <f>IFERROR(__xludf.DUMMYFUNCTION("""COMPUTED_VALUE"""),"87o 52' 20""")</f>
        <v>87o 52' 20"</v>
      </c>
      <c r="M2247" s="2" t="str">
        <f>IFERROR(__xludf.DUMMYFUNCTION("""COMPUTED_VALUE"""),"Mamangkhe (Taplejung)")</f>
        <v>Mamangkhe (Taplejung)</v>
      </c>
    </row>
    <row r="2248">
      <c r="A2248" s="2">
        <f>IFERROR(__xludf.DUMMYFUNCTION("""COMPUTED_VALUE"""),2247.0)</f>
        <v>2247</v>
      </c>
      <c r="B2248" s="2" t="str">
        <f>IFERROR(__xludf.DUMMYFUNCTION("""COMPUTED_VALUE"""),"Thali Gad Small HEP")</f>
        <v>Thali Gad Small HEP</v>
      </c>
      <c r="C2248" s="2">
        <f>IFERROR(__xludf.DUMMYFUNCTION("""COMPUTED_VALUE"""),2.0)</f>
        <v>2</v>
      </c>
      <c r="D2248" s="2" t="str">
        <f>IFERROR(__xludf.DUMMYFUNCTION("""COMPUTED_VALUE"""),"Thali gad")</f>
        <v>Thali gad</v>
      </c>
      <c r="E2248" s="2">
        <f>IFERROR(__xludf.DUMMYFUNCTION("""COMPUTED_VALUE"""),7699.0)</f>
        <v>7699</v>
      </c>
      <c r="F2248" s="3">
        <f>IFERROR(__xludf.DUMMYFUNCTION("""COMPUTED_VALUE"""),65037.0)</f>
        <v>65037</v>
      </c>
      <c r="G2248" s="2" t="str">
        <f>IFERROR(__xludf.DUMMYFUNCTION("""COMPUTED_VALUE"""),"Trikal Power Company Pvt. Ltd")</f>
        <v>Trikal Power Company Pvt. Ltd</v>
      </c>
      <c r="H2248" s="2" t="str">
        <f>IFERROR(__xludf.DUMMYFUNCTION("""COMPUTED_VALUE"""),"Kathmandu-10, Buddhanagar, Contact No. 9843116449")</f>
        <v>Kathmandu-10, Buddhanagar, Contact No. 9843116449</v>
      </c>
      <c r="I2248" s="2" t="str">
        <f>IFERROR(__xludf.DUMMYFUNCTION("""COMPUTED_VALUE"""),"29o 46' 53""")</f>
        <v>29o 46' 53"</v>
      </c>
      <c r="J2248" s="2" t="str">
        <f>IFERROR(__xludf.DUMMYFUNCTION("""COMPUTED_VALUE"""),"29o 47' 20""")</f>
        <v>29o 47' 20"</v>
      </c>
      <c r="K2248" s="2" t="str">
        <f>IFERROR(__xludf.DUMMYFUNCTION("""COMPUTED_VALUE"""),"80o 30' 00""")</f>
        <v>80o 30' 00"</v>
      </c>
      <c r="L2248" s="2" t="str">
        <f>IFERROR(__xludf.DUMMYFUNCTION("""COMPUTED_VALUE"""),"80o 32' 04""")</f>
        <v>80o 32' 04"</v>
      </c>
      <c r="M2248" s="2" t="str">
        <f>IFERROR(__xludf.DUMMYFUNCTION("""COMPUTED_VALUE"""),"Dhap,Malikarjun (Darchula)")</f>
        <v>Dhap,Malikarjun (Darchula)</v>
      </c>
    </row>
    <row r="2249">
      <c r="A2249" s="2">
        <f>IFERROR(__xludf.DUMMYFUNCTION("""COMPUTED_VALUE"""),2248.0)</f>
        <v>2248</v>
      </c>
      <c r="B2249" s="2" t="str">
        <f>IFERROR(__xludf.DUMMYFUNCTION("""COMPUTED_VALUE"""),"Suligad HEP")</f>
        <v>Suligad HEP</v>
      </c>
      <c r="C2249" s="2">
        <f>IFERROR(__xludf.DUMMYFUNCTION("""COMPUTED_VALUE"""),66.0)</f>
        <v>66</v>
      </c>
      <c r="D2249" s="2" t="str">
        <f>IFERROR(__xludf.DUMMYFUNCTION("""COMPUTED_VALUE"""),"Suligad")</f>
        <v>Suligad</v>
      </c>
      <c r="E2249" s="2">
        <f>IFERROR(__xludf.DUMMYFUNCTION("""COMPUTED_VALUE"""),8186.0)</f>
        <v>8186</v>
      </c>
      <c r="F2249" s="3">
        <f>IFERROR(__xludf.DUMMYFUNCTION("""COMPUTED_VALUE"""),65070.0)</f>
        <v>65070</v>
      </c>
      <c r="G2249" s="2" t="str">
        <f>IFERROR(__xludf.DUMMYFUNCTION("""COMPUTED_VALUE"""),"Sabitri Adhikari")</f>
        <v>Sabitri Adhikari</v>
      </c>
      <c r="H2249" s="2" t="str">
        <f>IFERROR(__xludf.DUMMYFUNCTION("""COMPUTED_VALUE"""),"Kathmandu, Contact No.: 9801904071( Roshan Khanal)")</f>
        <v>Kathmandu, Contact No.: 9801904071( Roshan Khanal)</v>
      </c>
      <c r="I2249" s="2" t="str">
        <f>IFERROR(__xludf.DUMMYFUNCTION("""COMPUTED_VALUE"""),"29o 00' 00""")</f>
        <v>29o 00' 00"</v>
      </c>
      <c r="J2249" s="2" t="str">
        <f>IFERROR(__xludf.DUMMYFUNCTION("""COMPUTED_VALUE"""),"29o 07' 30""")</f>
        <v>29o 07' 30"</v>
      </c>
      <c r="K2249" s="2" t="str">
        <f>IFERROR(__xludf.DUMMYFUNCTION("""COMPUTED_VALUE"""),"82o 52' 00""")</f>
        <v>82o 52' 00"</v>
      </c>
      <c r="L2249" s="2" t="str">
        <f>IFERROR(__xludf.DUMMYFUNCTION("""COMPUTED_VALUE"""),"82o 55' 00""")</f>
        <v>82o 55' 00"</v>
      </c>
      <c r="M2249" s="2" t="str">
        <f>IFERROR(__xludf.DUMMYFUNCTION("""COMPUTED_VALUE"""),"Phoksundo (Dolpa)")</f>
        <v>Phoksundo (Dolpa)</v>
      </c>
    </row>
    <row r="2250">
      <c r="A2250" s="2">
        <f>IFERROR(__xludf.DUMMYFUNCTION("""COMPUTED_VALUE"""),2249.0)</f>
        <v>2249</v>
      </c>
      <c r="B2250" s="2" t="str">
        <f>IFERROR(__xludf.DUMMYFUNCTION("""COMPUTED_VALUE"""),"Mathillo Seti Bajhang PRoR HPP")</f>
        <v>Mathillo Seti Bajhang PRoR HPP</v>
      </c>
      <c r="C2250" s="2">
        <f>IFERROR(__xludf.DUMMYFUNCTION("""COMPUTED_VALUE"""),70.4)</f>
        <v>70.4</v>
      </c>
      <c r="D2250" s="2" t="str">
        <f>IFERROR(__xludf.DUMMYFUNCTION("""COMPUTED_VALUE"""),"Seti Nadi")</f>
        <v>Seti Nadi</v>
      </c>
      <c r="E2250" s="2">
        <f>IFERROR(__xludf.DUMMYFUNCTION("""COMPUTED_VALUE"""),9010.0)</f>
        <v>9010</v>
      </c>
      <c r="F2250" s="3">
        <f>IFERROR(__xludf.DUMMYFUNCTION("""COMPUTED_VALUE"""),65092.0)</f>
        <v>65092</v>
      </c>
      <c r="G2250" s="2" t="str">
        <f>IFERROR(__xludf.DUMMYFUNCTION("""COMPUTED_VALUE"""),"Ngadi Group Power Ltd.")</f>
        <v>Ngadi Group Power Ltd.</v>
      </c>
      <c r="H2250" s="2" t="str">
        <f>IFERROR(__xludf.DUMMYFUNCTION("""COMPUTED_VALUE"""),"Hanumasthan Anamanagar, Kathmandu, Contact No. 01-5705159, 5705608. email: 
info@siurihydro.com")</f>
        <v>Hanumasthan Anamanagar, Kathmandu, Contact No. 01-5705159, 5705608. email: 
info@siurihydro.com</v>
      </c>
      <c r="I2250" s="2" t="str">
        <f>IFERROR(__xludf.DUMMYFUNCTION("""COMPUTED_VALUE"""),"29o 33' 15""")</f>
        <v>29o 33' 15"</v>
      </c>
      <c r="J2250" s="2" t="str">
        <f>IFERROR(__xludf.DUMMYFUNCTION("""COMPUTED_VALUE"""),"29o 36' 20""")</f>
        <v>29o 36' 20"</v>
      </c>
      <c r="K2250" s="2" t="str">
        <f>IFERROR(__xludf.DUMMYFUNCTION("""COMPUTED_VALUE"""),"81o 11' 10""")</f>
        <v>81o 11' 10"</v>
      </c>
      <c r="L2250" s="2" t="str">
        <f>IFERROR(__xludf.DUMMYFUNCTION("""COMPUTED_VALUE"""),"81o 17' 22""")</f>
        <v>81o 17' 22"</v>
      </c>
      <c r="M2250" s="2" t="str">
        <f>IFERROR(__xludf.DUMMYFUNCTION("""COMPUTED_VALUE"""),"Bhatekhola,Sunikot,Sainpasela (Bajhang)")</f>
        <v>Bhatekhola,Sunikot,Sainpasela (Bajhang)</v>
      </c>
    </row>
    <row r="2251">
      <c r="A2251" s="2">
        <f>IFERROR(__xludf.DUMMYFUNCTION("""COMPUTED_VALUE"""),2250.0)</f>
        <v>2250</v>
      </c>
      <c r="B2251" s="2" t="str">
        <f>IFERROR(__xludf.DUMMYFUNCTION("""COMPUTED_VALUE"""),"Pelma Khola HEP")</f>
        <v>Pelma Khola HEP</v>
      </c>
      <c r="C2251" s="2">
        <f>IFERROR(__xludf.DUMMYFUNCTION("""COMPUTED_VALUE"""),4.9)</f>
        <v>4.9</v>
      </c>
      <c r="D2251" s="2" t="str">
        <f>IFERROR(__xludf.DUMMYFUNCTION("""COMPUTED_VALUE"""),"Pelma")</f>
        <v>Pelma</v>
      </c>
      <c r="E2251" s="2">
        <f>IFERROR(__xludf.DUMMYFUNCTION("""COMPUTED_VALUE"""),437.0)</f>
        <v>437</v>
      </c>
      <c r="F2251" s="3">
        <f>IFERROR(__xludf.DUMMYFUNCTION("""COMPUTED_VALUE"""),65118.0)</f>
        <v>65118</v>
      </c>
      <c r="G2251" s="2" t="str">
        <f>IFERROR(__xludf.DUMMYFUNCTION("""COMPUTED_VALUE"""),"Rara Karnali Hydropower Pvt. Ltd")</f>
        <v>Rara Karnali Hydropower Pvt. Ltd</v>
      </c>
      <c r="H2251" s="2" t="str">
        <f>IFERROR(__xludf.DUMMYFUNCTION("""COMPUTED_VALUE"""),"Mid Baneshwor, Kathmandu Contac No.: 981029813")</f>
        <v>Mid Baneshwor, Kathmandu Contac No.: 981029813</v>
      </c>
      <c r="I2251" s="2" t="str">
        <f>IFERROR(__xludf.DUMMYFUNCTION("""COMPUTED_VALUE"""),"28o 37' 41""")</f>
        <v>28o 37' 41"</v>
      </c>
      <c r="J2251" s="2" t="str">
        <f>IFERROR(__xludf.DUMMYFUNCTION("""COMPUTED_VALUE"""),"28o 41' 37""")</f>
        <v>28o 41' 37"</v>
      </c>
      <c r="K2251" s="2" t="str">
        <f>IFERROR(__xludf.DUMMYFUNCTION("""COMPUTED_VALUE"""),"82o 45' 00""")</f>
        <v>82o 45' 00"</v>
      </c>
      <c r="L2251" s="2" t="str">
        <f>IFERROR(__xludf.DUMMYFUNCTION("""COMPUTED_VALUE"""),"82o 56' 49""")</f>
        <v>82o 56' 49"</v>
      </c>
      <c r="M2251" s="2" t="str">
        <f>IFERROR(__xludf.DUMMYFUNCTION("""COMPUTED_VALUE"""),"Hukam,Ranmamekot (Rukum)")</f>
        <v>Hukam,Ranmamekot (Rukum)</v>
      </c>
    </row>
    <row r="2252">
      <c r="A2252" s="2">
        <f>IFERROR(__xludf.DUMMYFUNCTION("""COMPUTED_VALUE"""),2251.0)</f>
        <v>2251</v>
      </c>
      <c r="B2252" s="2" t="str">
        <f>IFERROR(__xludf.DUMMYFUNCTION("""COMPUTED_VALUE"""),"Ranma Khola HPP")</f>
        <v>Ranma Khola HPP</v>
      </c>
      <c r="C2252" s="2">
        <f>IFERROR(__xludf.DUMMYFUNCTION("""COMPUTED_VALUE"""),35.0)</f>
        <v>35</v>
      </c>
      <c r="D2252" s="2" t="str">
        <f>IFERROR(__xludf.DUMMYFUNCTION("""COMPUTED_VALUE"""),"Ranma")</f>
        <v>Ranma</v>
      </c>
      <c r="E2252" s="2">
        <f>IFERROR(__xludf.DUMMYFUNCTION("""COMPUTED_VALUE"""),880.0)</f>
        <v>880</v>
      </c>
      <c r="F2252" s="2" t="str">
        <f>IFERROR(__xludf.DUMMYFUNCTION("""COMPUTED_VALUE"""),"2078-04-31")</f>
        <v>2078-04-31</v>
      </c>
      <c r="G2252" s="2" t="str">
        <f>IFERROR(__xludf.DUMMYFUNCTION("""COMPUTED_VALUE"""),"Shuvam Power Limited")</f>
        <v>Shuvam Power Limited</v>
      </c>
      <c r="H2252" s="2" t="str">
        <f>IFERROR(__xludf.DUMMYFUNCTION("""COMPUTED_VALUE"""),"Anamnagar, Kathmandu")</f>
        <v>Anamnagar, Kathmandu</v>
      </c>
      <c r="I2252" s="2" t="str">
        <f>IFERROR(__xludf.DUMMYFUNCTION("""COMPUTED_VALUE"""),"28o 41' 00""")</f>
        <v>28o 41' 00"</v>
      </c>
      <c r="J2252" s="2" t="str">
        <f>IFERROR(__xludf.DUMMYFUNCTION("""COMPUTED_VALUE"""),"28o 45' 00""")</f>
        <v>28o 45' 00"</v>
      </c>
      <c r="K2252" s="2" t="str">
        <f>IFERROR(__xludf.DUMMYFUNCTION("""COMPUTED_VALUE"""),"82o 50' 00""")</f>
        <v>82o 50' 00"</v>
      </c>
      <c r="L2252" s="2" t="str">
        <f>IFERROR(__xludf.DUMMYFUNCTION("""COMPUTED_VALUE"""),"82o 52' 25""")</f>
        <v>82o 52' 25"</v>
      </c>
      <c r="M2252" s="2" t="str">
        <f>IFERROR(__xludf.DUMMYFUNCTION("""COMPUTED_VALUE"""),"Ranmamekot (Rukum)")</f>
        <v>Ranmamekot (Rukum)</v>
      </c>
    </row>
    <row r="2253">
      <c r="A2253" s="2">
        <f>IFERROR(__xludf.DUMMYFUNCTION("""COMPUTED_VALUE"""),2252.0)</f>
        <v>2252</v>
      </c>
      <c r="B2253" s="2" t="str">
        <f>IFERROR(__xludf.DUMMYFUNCTION("""COMPUTED_VALUE"""),"Ghatganga Khola HEP")</f>
        <v>Ghatganga Khola HEP</v>
      </c>
      <c r="C2253" s="2">
        <f>IFERROR(__xludf.DUMMYFUNCTION("""COMPUTED_VALUE"""),47.778)</f>
        <v>47.778</v>
      </c>
      <c r="D2253" s="2" t="str">
        <f>IFERROR(__xludf.DUMMYFUNCTION("""COMPUTED_VALUE"""),"Ghatganga, Dharauni")</f>
        <v>Ghatganga, Dharauni</v>
      </c>
      <c r="E2253" s="2">
        <f>IFERROR(__xludf.DUMMYFUNCTION("""COMPUTED_VALUE"""),1103.0)</f>
        <v>1103</v>
      </c>
      <c r="F2253" s="3">
        <f>IFERROR(__xludf.DUMMYFUNCTION("""COMPUTED_VALUE"""),65143.0)</f>
        <v>65143</v>
      </c>
      <c r="G2253" s="2" t="str">
        <f>IFERROR(__xludf.DUMMYFUNCTION("""COMPUTED_VALUE"""),"Super Madi Hydropower Limited")</f>
        <v>Super Madi Hydropower Limited</v>
      </c>
      <c r="H2253" s="2" t="str">
        <f>IFERROR(__xludf.DUMMYFUNCTION("""COMPUTED_VALUE"""),"Kathmandu-31, Dillibazaar, kathmandu")</f>
        <v>Kathmandu-31, Dillibazaar, kathmandu</v>
      </c>
      <c r="I2253" s="2" t="str">
        <f>IFERROR(__xludf.DUMMYFUNCTION("""COMPUTED_VALUE"""),"29o 43' 00""")</f>
        <v>29o 43' 00"</v>
      </c>
      <c r="J2253" s="2" t="str">
        <f>IFERROR(__xludf.DUMMYFUNCTION("""COMPUTED_VALUE"""),"29o 46' 15""")</f>
        <v>29o 46' 15"</v>
      </c>
      <c r="K2253" s="2" t="str">
        <f>IFERROR(__xludf.DUMMYFUNCTION("""COMPUTED_VALUE"""),"81o 20' 15""")</f>
        <v>81o 20' 15"</v>
      </c>
      <c r="L2253" s="2" t="str">
        <f>IFERROR(__xludf.DUMMYFUNCTION("""COMPUTED_VALUE"""),"81o 24' 45""")</f>
        <v>81o 24' 45"</v>
      </c>
      <c r="M2253" s="2" t="str">
        <f>IFERROR(__xludf.DUMMYFUNCTION("""COMPUTED_VALUE"""),"Kanda (Bajhang)")</f>
        <v>Kanda (Bajhang)</v>
      </c>
    </row>
    <row r="2254">
      <c r="A2254" s="2">
        <f>IFERROR(__xludf.DUMMYFUNCTION("""COMPUTED_VALUE"""),2253.0)</f>
        <v>2253</v>
      </c>
      <c r="B2254" s="2" t="str">
        <f>IFERROR(__xludf.DUMMYFUNCTION("""COMPUTED_VALUE"""),"Rolwaling Khola HEP")</f>
        <v>Rolwaling Khola HEP</v>
      </c>
      <c r="C2254" s="2">
        <f>IFERROR(__xludf.DUMMYFUNCTION("""COMPUTED_VALUE"""),68.5)</f>
        <v>68.5</v>
      </c>
      <c r="D2254" s="2" t="str">
        <f>IFERROR(__xludf.DUMMYFUNCTION("""COMPUTED_VALUE"""),"Rolwaling")</f>
        <v>Rolwaling</v>
      </c>
      <c r="E2254" s="2">
        <f>IFERROR(__xludf.DUMMYFUNCTION("""COMPUTED_VALUE"""),2347.0)</f>
        <v>2347</v>
      </c>
      <c r="F2254" s="3">
        <f>IFERROR(__xludf.DUMMYFUNCTION("""COMPUTED_VALUE"""),65203.0)</f>
        <v>65203</v>
      </c>
      <c r="G2254" s="2" t="str">
        <f>IFERROR(__xludf.DUMMYFUNCTION("""COMPUTED_VALUE"""),"Hydro Support Pvt. Ltd.")</f>
        <v>Hydro Support Pvt. Ltd.</v>
      </c>
      <c r="H2254" s="2" t="str">
        <f>IFERROR(__xludf.DUMMYFUNCTION("""COMPUTED_VALUE"""),"IME Complex, Panipokhari, Kathmandu. PO Box: 12538, Kathmand; 
middlekaligandakihpp@gmail.comu. Phone: 014002676")</f>
        <v>IME Complex, Panipokhari, Kathmandu. PO Box: 12538, Kathmand; 
middlekaligandakihpp@gmail.comu. Phone: 014002676</v>
      </c>
      <c r="I2254" s="2" t="str">
        <f>IFERROR(__xludf.DUMMYFUNCTION("""COMPUTED_VALUE"""),"27o 52' 55""")</f>
        <v>27o 52' 55"</v>
      </c>
      <c r="J2254" s="2" t="str">
        <f>IFERROR(__xludf.DUMMYFUNCTION("""COMPUTED_VALUE"""),"27o 55' 20""")</f>
        <v>27o 55' 20"</v>
      </c>
      <c r="K2254" s="2" t="str">
        <f>IFERROR(__xludf.DUMMYFUNCTION("""COMPUTED_VALUE"""),"86o 16' 00""")</f>
        <v>86o 16' 00"</v>
      </c>
      <c r="L2254" s="2" t="str">
        <f>IFERROR(__xludf.DUMMYFUNCTION("""COMPUTED_VALUE"""),"86o 20' 55""")</f>
        <v>86o 20' 55"</v>
      </c>
      <c r="M2254" s="2" t="str">
        <f>IFERROR(__xludf.DUMMYFUNCTION("""COMPUTED_VALUE"""),"Lamabagar,Gauri Sankar (Dolakha)")</f>
        <v>Lamabagar,Gauri Sankar (Dolakha)</v>
      </c>
    </row>
    <row r="2255">
      <c r="A2255" s="2">
        <f>IFERROR(__xludf.DUMMYFUNCTION("""COMPUTED_VALUE"""),2254.0)</f>
        <v>2254</v>
      </c>
      <c r="B2255" s="2" t="str">
        <f>IFERROR(__xludf.DUMMYFUNCTION("""COMPUTED_VALUE"""),"Barpak Mini HEP")</f>
        <v>Barpak Mini HEP</v>
      </c>
      <c r="C2255" s="2">
        <f>IFERROR(__xludf.DUMMYFUNCTION("""COMPUTED_VALUE"""),0.905)</f>
        <v>0.905</v>
      </c>
      <c r="D2255" s="2" t="str">
        <f>IFERROR(__xludf.DUMMYFUNCTION("""COMPUTED_VALUE"""),"Ghatte Khola")</f>
        <v>Ghatte Khola</v>
      </c>
      <c r="E2255" s="2">
        <f>IFERROR(__xludf.DUMMYFUNCTION("""COMPUTED_VALUE"""),3194.0)</f>
        <v>3194</v>
      </c>
      <c r="F2255" s="3">
        <f>IFERROR(__xludf.DUMMYFUNCTION("""COMPUTED_VALUE"""),65243.0)</f>
        <v>65243</v>
      </c>
      <c r="G2255" s="2" t="str">
        <f>IFERROR(__xludf.DUMMYFUNCTION("""COMPUTED_VALUE"""),"Barpak Mini Hydropower Pvt. Ltd. Through Barpak Sulikot RM")</f>
        <v>Barpak Mini Hydropower Pvt. Ltd. Through Barpak Sulikot RM</v>
      </c>
      <c r="H2255" s="2" t="str">
        <f>IFERROR(__xludf.DUMMYFUNCTION("""COMPUTED_VALUE"""),"Ka.Ma.Pa-2, Chandole")</f>
        <v>Ka.Ma.Pa-2, Chandole</v>
      </c>
      <c r="I2255" s="2" t="str">
        <f>IFERROR(__xludf.DUMMYFUNCTION("""COMPUTED_VALUE"""),"28o 11' 20""")</f>
        <v>28o 11' 20"</v>
      </c>
      <c r="J2255" s="2" t="str">
        <f>IFERROR(__xludf.DUMMYFUNCTION("""COMPUTED_VALUE"""),"28o 11' 40""")</f>
        <v>28o 11' 40"</v>
      </c>
      <c r="K2255" s="2" t="str">
        <f>IFERROR(__xludf.DUMMYFUNCTION("""COMPUTED_VALUE"""),"84o 44' 00""")</f>
        <v>84o 44' 00"</v>
      </c>
      <c r="L2255" s="2" t="str">
        <f>IFERROR(__xludf.DUMMYFUNCTION("""COMPUTED_VALUE"""),"84o 45' 30""")</f>
        <v>84o 45' 30"</v>
      </c>
      <c r="M2255" s="2" t="str">
        <f>IFERROR(__xludf.DUMMYFUNCTION("""COMPUTED_VALUE"""),"Warpak (Gorkha)")</f>
        <v>Warpak (Gorkha)</v>
      </c>
    </row>
    <row r="2256">
      <c r="A2256" s="2">
        <f>IFERROR(__xludf.DUMMYFUNCTION("""COMPUTED_VALUE"""),2255.0)</f>
        <v>2255</v>
      </c>
      <c r="B2256" s="2" t="str">
        <f>IFERROR(__xludf.DUMMYFUNCTION("""COMPUTED_VALUE"""),"Tallo Rudi Khola HEP")</f>
        <v>Tallo Rudi Khola HEP</v>
      </c>
      <c r="C2256" s="2">
        <f>IFERROR(__xludf.DUMMYFUNCTION("""COMPUTED_VALUE"""),4.69)</f>
        <v>4.69</v>
      </c>
      <c r="D2256" s="2" t="str">
        <f>IFERROR(__xludf.DUMMYFUNCTION("""COMPUTED_VALUE"""),"Rudi")</f>
        <v>Rudi</v>
      </c>
      <c r="E2256" s="2">
        <f>IFERROR(__xludf.DUMMYFUNCTION("""COMPUTED_VALUE"""),2379.0)</f>
        <v>2379</v>
      </c>
      <c r="F2256" s="3">
        <f>IFERROR(__xludf.DUMMYFUNCTION("""COMPUTED_VALUE"""),65250.0)</f>
        <v>65250</v>
      </c>
      <c r="G2256" s="2" t="str">
        <f>IFERROR(__xludf.DUMMYFUNCTION("""COMPUTED_VALUE"""),"Artec Energy Pvt. Ltd.")</f>
        <v>Artec Energy Pvt. Ltd.</v>
      </c>
      <c r="H2256" s="2" t="str">
        <f>IFERROR(__xludf.DUMMYFUNCTION("""COMPUTED_VALUE"""),"Lamachaur-16, Pokhara")</f>
        <v>Lamachaur-16, Pokhara</v>
      </c>
      <c r="I2256" s="2" t="str">
        <f>IFERROR(__xludf.DUMMYFUNCTION("""COMPUTED_VALUE"""),"28o 11' 45""")</f>
        <v>28o 11' 45"</v>
      </c>
      <c r="J2256" s="2" t="str">
        <f>IFERROR(__xludf.DUMMYFUNCTION("""COMPUTED_VALUE"""),"28o 12' 50""")</f>
        <v>28o 12' 50"</v>
      </c>
      <c r="K2256" s="2" t="str">
        <f>IFERROR(__xludf.DUMMYFUNCTION("""COMPUTED_VALUE"""),"84o 11' 31""")</f>
        <v>84o 11' 31"</v>
      </c>
      <c r="L2256" s="2" t="str">
        <f>IFERROR(__xludf.DUMMYFUNCTION("""COMPUTED_VALUE"""),"84o 12' 50""")</f>
        <v>84o 12' 50"</v>
      </c>
      <c r="M2256" s="2" t="str">
        <f>IFERROR(__xludf.DUMMYFUNCTION("""COMPUTED_VALUE"""),"Mijuredada (Kaski)")</f>
        <v>Mijuredada (Kaski)</v>
      </c>
    </row>
    <row r="2257">
      <c r="A2257" s="2">
        <f>IFERROR(__xludf.DUMMYFUNCTION("""COMPUTED_VALUE"""),2256.0)</f>
        <v>2256</v>
      </c>
      <c r="B2257" s="2" t="str">
        <f>IFERROR(__xludf.DUMMYFUNCTION("""COMPUTED_VALUE"""),"Pelma Khola Hydropower Project")</f>
        <v>Pelma Khola Hydropower Project</v>
      </c>
      <c r="C2257" s="2">
        <f>IFERROR(__xludf.DUMMYFUNCTION("""COMPUTED_VALUE"""),9.5)</f>
        <v>9.5</v>
      </c>
      <c r="D2257" s="2" t="str">
        <f>IFERROR(__xludf.DUMMYFUNCTION("""COMPUTED_VALUE"""),"Pelma Khola")</f>
        <v>Pelma Khola</v>
      </c>
      <c r="E2257" s="2">
        <f>IFERROR(__xludf.DUMMYFUNCTION("""COMPUTED_VALUE"""),3669.0)</f>
        <v>3669</v>
      </c>
      <c r="F2257" s="3">
        <f>IFERROR(__xludf.DUMMYFUNCTION("""COMPUTED_VALUE"""),65266.0)</f>
        <v>65266</v>
      </c>
      <c r="G2257" s="2" t="str">
        <f>IFERROR(__xludf.DUMMYFUNCTION("""COMPUTED_VALUE"""),"Pelma Hydropower Project Pvt. Ltd.")</f>
        <v>Pelma Hydropower Project Pvt. Ltd.</v>
      </c>
      <c r="H2257" s="2" t="str">
        <f>IFERROR(__xludf.DUMMYFUNCTION("""COMPUTED_VALUE"""),"Ghattekulo, Kathmandu, Nepal")</f>
        <v>Ghattekulo, Kathmandu, Nepal</v>
      </c>
      <c r="I2257" s="2" t="str">
        <f>IFERROR(__xludf.DUMMYFUNCTION("""COMPUTED_VALUE"""),"28o 37' 41""")</f>
        <v>28o 37' 41"</v>
      </c>
      <c r="J2257" s="2" t="str">
        <f>IFERROR(__xludf.DUMMYFUNCTION("""COMPUTED_VALUE"""),"28o 41' 37""")</f>
        <v>28o 41' 37"</v>
      </c>
      <c r="K2257" s="2" t="str">
        <f>IFERROR(__xludf.DUMMYFUNCTION("""COMPUTED_VALUE"""),"82o 45' 00""")</f>
        <v>82o 45' 00"</v>
      </c>
      <c r="L2257" s="2" t="str">
        <f>IFERROR(__xludf.DUMMYFUNCTION("""COMPUTED_VALUE"""),"82o 56' 49""")</f>
        <v>82o 56' 49"</v>
      </c>
      <c r="M2257" s="2" t="str">
        <f>IFERROR(__xludf.DUMMYFUNCTION("""COMPUTED_VALUE"""),"Ranmamekot,Hukam,Jang (Rukum)")</f>
        <v>Ranmamekot,Hukam,Jang (Rukum)</v>
      </c>
    </row>
    <row r="2258">
      <c r="A2258" s="2">
        <f>IFERROR(__xludf.DUMMYFUNCTION("""COMPUTED_VALUE"""),2257.0)</f>
        <v>2257</v>
      </c>
      <c r="B2258" s="2" t="str">
        <f>IFERROR(__xludf.DUMMYFUNCTION("""COMPUTED_VALUE"""),"Tila Hima Nadi HEP")</f>
        <v>Tila Hima Nadi HEP</v>
      </c>
      <c r="C2258" s="2">
        <f>IFERROR(__xludf.DUMMYFUNCTION("""COMPUTED_VALUE"""),5.0)</f>
        <v>5</v>
      </c>
      <c r="D2258" s="2" t="str">
        <f>IFERROR(__xludf.DUMMYFUNCTION("""COMPUTED_VALUE"""),"Tila, Hima")</f>
        <v>Tila, Hima</v>
      </c>
      <c r="E2258" s="2">
        <f>IFERROR(__xludf.DUMMYFUNCTION("""COMPUTED_VALUE"""),4377.0)</f>
        <v>4377</v>
      </c>
      <c r="F2258" s="3">
        <f>IFERROR(__xludf.DUMMYFUNCTION("""COMPUTED_VALUE"""),65297.0)</f>
        <v>65297</v>
      </c>
      <c r="G2258" s="2" t="str">
        <f>IFERROR(__xludf.DUMMYFUNCTION("""COMPUTED_VALUE"""),"Sakchyam Hydropower Pvt. Ltd.")</f>
        <v>Sakchyam Hydropower Pvt. Ltd.</v>
      </c>
      <c r="H2258" s="2" t="str">
        <f>IFERROR(__xludf.DUMMYFUNCTION("""COMPUTED_VALUE"""),"Ka.Ma.Pa-2, Kathmandu. Contact No. 9842930470")</f>
        <v>Ka.Ma.Pa-2, Kathmandu. Contact No. 9842930470</v>
      </c>
      <c r="I2258" s="2" t="str">
        <f>IFERROR(__xludf.DUMMYFUNCTION("""COMPUTED_VALUE"""),"29o 09' 15""")</f>
        <v>29o 09' 15"</v>
      </c>
      <c r="J2258" s="2" t="str">
        <f>IFERROR(__xludf.DUMMYFUNCTION("""COMPUTED_VALUE"""),"29o 17' 00""")</f>
        <v>29o 17' 00"</v>
      </c>
      <c r="K2258" s="2" t="str">
        <f>IFERROR(__xludf.DUMMYFUNCTION("""COMPUTED_VALUE"""),"81o 52' 00""")</f>
        <v>81o 52' 00"</v>
      </c>
      <c r="L2258" s="2" t="str">
        <f>IFERROR(__xludf.DUMMYFUNCTION("""COMPUTED_VALUE"""),"82o 00' 00""")</f>
        <v>82o 00' 00"</v>
      </c>
      <c r="M2258" s="2" t="str">
        <f>IFERROR(__xludf.DUMMYFUNCTION("""COMPUTED_VALUE"""),"Kudari,Kalikakhetu ? (Jumla) Phoi Mahadev (Kalikot)")</f>
        <v>Kudari,Kalikakhetu ? (Jumla) Phoi Mahadev (Kalikot)</v>
      </c>
    </row>
    <row r="2259">
      <c r="A2259" s="2">
        <f>IFERROR(__xludf.DUMMYFUNCTION("""COMPUTED_VALUE"""),2258.0)</f>
        <v>2258</v>
      </c>
      <c r="B2259" s="2" t="str">
        <f>IFERROR(__xludf.DUMMYFUNCTION("""COMPUTED_VALUE"""),"Ranma Khola HPP")</f>
        <v>Ranma Khola HPP</v>
      </c>
      <c r="C2259" s="2">
        <f>IFERROR(__xludf.DUMMYFUNCTION("""COMPUTED_VALUE"""),9.48)</f>
        <v>9.48</v>
      </c>
      <c r="D2259" s="2" t="str">
        <f>IFERROR(__xludf.DUMMYFUNCTION("""COMPUTED_VALUE"""),"Ranma")</f>
        <v>Ranma</v>
      </c>
      <c r="E2259" s="2">
        <f>IFERROR(__xludf.DUMMYFUNCTION("""COMPUTED_VALUE"""),4390.0)</f>
        <v>4390</v>
      </c>
      <c r="F2259" s="3">
        <f>IFERROR(__xludf.DUMMYFUNCTION("""COMPUTED_VALUE"""),65297.0)</f>
        <v>65297</v>
      </c>
      <c r="G2259" s="2" t="str">
        <f>IFERROR(__xludf.DUMMYFUNCTION("""COMPUTED_VALUE"""),"Units Energy Pvt. Ltd")</f>
        <v>Units Energy Pvt. Ltd</v>
      </c>
      <c r="H2259" s="2" t="str">
        <f>IFERROR(__xludf.DUMMYFUNCTION("""COMPUTED_VALUE"""),"Kupondole, Lalitpur, Contact No.: 9841300881")</f>
        <v>Kupondole, Lalitpur, Contact No.: 9841300881</v>
      </c>
      <c r="I2259" s="2" t="str">
        <f>IFERROR(__xludf.DUMMYFUNCTION("""COMPUTED_VALUE"""),"28o 41' 23""")</f>
        <v>28o 41' 23"</v>
      </c>
      <c r="J2259" s="2" t="str">
        <f>IFERROR(__xludf.DUMMYFUNCTION("""COMPUTED_VALUE"""),"28o 43' 00""")</f>
        <v>28o 43' 00"</v>
      </c>
      <c r="K2259" s="2" t="str">
        <f>IFERROR(__xludf.DUMMYFUNCTION("""COMPUTED_VALUE"""),"82o 51' 49""")</f>
        <v>82o 51' 49"</v>
      </c>
      <c r="L2259" s="2" t="str">
        <f>IFERROR(__xludf.DUMMYFUNCTION("""COMPUTED_VALUE"""),"82o 52' 46""")</f>
        <v>82o 52' 46"</v>
      </c>
      <c r="M2259" s="2" t="str">
        <f>IFERROR(__xludf.DUMMYFUNCTION("""COMPUTED_VALUE"""),"Ranmamekot (Rukum)")</f>
        <v>Ranmamekot (Rukum)</v>
      </c>
    </row>
    <row r="2260">
      <c r="A2260" s="2">
        <f>IFERROR(__xludf.DUMMYFUNCTION("""COMPUTED_VALUE"""),2259.0)</f>
        <v>2259</v>
      </c>
      <c r="B2260" s="2" t="str">
        <f>IFERROR(__xludf.DUMMYFUNCTION("""COMPUTED_VALUE"""),"Lower Uttarganga Nadi HEP")</f>
        <v>Lower Uttarganga Nadi HEP</v>
      </c>
      <c r="C2260" s="2">
        <f>IFERROR(__xludf.DUMMYFUNCTION("""COMPUTED_VALUE"""),4.8)</f>
        <v>4.8</v>
      </c>
      <c r="D2260" s="2" t="str">
        <f>IFERROR(__xludf.DUMMYFUNCTION("""COMPUTED_VALUE"""),"Uttarganga")</f>
        <v>Uttarganga</v>
      </c>
      <c r="E2260" s="2">
        <f>IFERROR(__xludf.DUMMYFUNCTION("""COMPUTED_VALUE"""),5358.0)</f>
        <v>5358</v>
      </c>
      <c r="F2260" s="3">
        <f>IFERROR(__xludf.DUMMYFUNCTION("""COMPUTED_VALUE"""),65344.0)</f>
        <v>65344</v>
      </c>
      <c r="G2260" s="2" t="str">
        <f>IFERROR(__xludf.DUMMYFUNCTION("""COMPUTED_VALUE"""),"Sashi Power Investment Pvt. Ltd.")</f>
        <v>Sashi Power Investment Pvt. Ltd.</v>
      </c>
      <c r="H2260" s="2" t="str">
        <f>IFERROR(__xludf.DUMMYFUNCTION("""COMPUTED_VALUE"""),"Sunakothi, Lalitpur")</f>
        <v>Sunakothi, Lalitpur</v>
      </c>
      <c r="I2260" s="2" t="str">
        <f>IFERROR(__xludf.DUMMYFUNCTION("""COMPUTED_VALUE"""),"28o 35' 00""")</f>
        <v>28o 35' 00"</v>
      </c>
      <c r="J2260" s="2" t="str">
        <f>IFERROR(__xludf.DUMMYFUNCTION("""COMPUTED_VALUE"""),"28o 37' 10""")</f>
        <v>28o 37' 10"</v>
      </c>
      <c r="K2260" s="2" t="str">
        <f>IFERROR(__xludf.DUMMYFUNCTION("""COMPUTED_VALUE"""),"82o 45' 54""")</f>
        <v>82o 45' 54"</v>
      </c>
      <c r="L2260" s="2" t="str">
        <f>IFERROR(__xludf.DUMMYFUNCTION("""COMPUTED_VALUE"""),"82o 49' 14""")</f>
        <v>82o 49' 14"</v>
      </c>
      <c r="M2260" s="2" t="str">
        <f>IFERROR(__xludf.DUMMYFUNCTION("""COMPUTED_VALUE"""),"Taksera (Rukum)")</f>
        <v>Taksera (Rukum)</v>
      </c>
    </row>
    <row r="2261">
      <c r="A2261" s="2">
        <f>IFERROR(__xludf.DUMMYFUNCTION("""COMPUTED_VALUE"""),2260.0)</f>
        <v>2260</v>
      </c>
      <c r="B2261" s="2" t="str">
        <f>IFERROR(__xludf.DUMMYFUNCTION("""COMPUTED_VALUE"""),"Ghatganga Khola HEP")</f>
        <v>Ghatganga Khola HEP</v>
      </c>
      <c r="C2261" s="2">
        <f>IFERROR(__xludf.DUMMYFUNCTION("""COMPUTED_VALUE"""),18.0)</f>
        <v>18</v>
      </c>
      <c r="D2261" s="2" t="str">
        <f>IFERROR(__xludf.DUMMYFUNCTION("""COMPUTED_VALUE"""),"Ghatganga, Dharauni Khola")</f>
        <v>Ghatganga, Dharauni Khola</v>
      </c>
      <c r="E2261" s="2">
        <f>IFERROR(__xludf.DUMMYFUNCTION("""COMPUTED_VALUE"""),5575.0)</f>
        <v>5575</v>
      </c>
      <c r="F2261" s="3">
        <f>IFERROR(__xludf.DUMMYFUNCTION("""COMPUTED_VALUE"""),65355.0)</f>
        <v>65355</v>
      </c>
      <c r="G2261" s="2" t="str">
        <f>IFERROR(__xludf.DUMMYFUNCTION("""COMPUTED_VALUE"""),"Rajendra Prasad Tiwari")</f>
        <v>Rajendra Prasad Tiwari</v>
      </c>
      <c r="H2261" s="2" t="str">
        <f>IFERROR(__xludf.DUMMYFUNCTION("""COMPUTED_VALUE"""),"Kathmandu")</f>
        <v>Kathmandu</v>
      </c>
      <c r="I2261" s="2" t="str">
        <f>IFERROR(__xludf.DUMMYFUNCTION("""COMPUTED_VALUE"""),"29o 43' 00""")</f>
        <v>29o 43' 00"</v>
      </c>
      <c r="J2261" s="2" t="str">
        <f>IFERROR(__xludf.DUMMYFUNCTION("""COMPUTED_VALUE"""),"29o 46' 15""")</f>
        <v>29o 46' 15"</v>
      </c>
      <c r="K2261" s="2" t="str">
        <f>IFERROR(__xludf.DUMMYFUNCTION("""COMPUTED_VALUE"""),"81o 20' 15""")</f>
        <v>81o 20' 15"</v>
      </c>
      <c r="L2261" s="2" t="str">
        <f>IFERROR(__xludf.DUMMYFUNCTION("""COMPUTED_VALUE"""),"81o 24' 45""")</f>
        <v>81o 24' 45"</v>
      </c>
      <c r="M2261" s="2" t="str">
        <f>IFERROR(__xludf.DUMMYFUNCTION("""COMPUTED_VALUE"""),"Kanda (Bajhang)")</f>
        <v>Kanda (Bajhang)</v>
      </c>
    </row>
    <row r="2262">
      <c r="A2262" s="2">
        <f>IFERROR(__xludf.DUMMYFUNCTION("""COMPUTED_VALUE"""),2261.0)</f>
        <v>2261</v>
      </c>
      <c r="B2262" s="2" t="str">
        <f>IFERROR(__xludf.DUMMYFUNCTION("""COMPUTED_VALUE"""),"Bheri 4 Storage Hydropower Project")</f>
        <v>Bheri 4 Storage Hydropower Project</v>
      </c>
      <c r="C2262" s="2">
        <f>IFERROR(__xludf.DUMMYFUNCTION("""COMPUTED_VALUE"""),300.0)</f>
        <v>300</v>
      </c>
      <c r="D2262" s="2" t="str">
        <f>IFERROR(__xludf.DUMMYFUNCTION("""COMPUTED_VALUE"""),"Bheri")</f>
        <v>Bheri</v>
      </c>
      <c r="E2262" s="2">
        <f>IFERROR(__xludf.DUMMYFUNCTION("""COMPUTED_VALUE"""),8114.0)</f>
        <v>8114</v>
      </c>
      <c r="F2262" s="3">
        <f>IFERROR(__xludf.DUMMYFUNCTION("""COMPUTED_VALUE"""),65424.0)</f>
        <v>65424</v>
      </c>
      <c r="G2262" s="2" t="str">
        <f>IFERROR(__xludf.DUMMYFUNCTION("""COMPUTED_VALUE"""),"Bheri Chheda Hydropower Pvt. Ltd.")</f>
        <v>Bheri Chheda Hydropower Pvt. Ltd.</v>
      </c>
      <c r="H2262" s="2" t="str">
        <f>IFERROR(__xludf.DUMMYFUNCTION("""COMPUTED_VALUE"""),"Jaycees Marg, Kathmandu - 11, Phone no: 01-4100575")</f>
        <v>Jaycees Marg, Kathmandu - 11, Phone no: 01-4100575</v>
      </c>
      <c r="I2262" s="2" t="str">
        <f>IFERROR(__xludf.DUMMYFUNCTION("""COMPUTED_VALUE"""),"28o 33' 30""")</f>
        <v>28o 33' 30"</v>
      </c>
      <c r="J2262" s="2" t="str">
        <f>IFERROR(__xludf.DUMMYFUNCTION("""COMPUTED_VALUE"""),"28o 43' 15""")</f>
        <v>28o 43' 15"</v>
      </c>
      <c r="K2262" s="2" t="str">
        <f>IFERROR(__xludf.DUMMYFUNCTION("""COMPUTED_VALUE"""),"81o 59' 30""")</f>
        <v>81o 59' 30"</v>
      </c>
      <c r="L2262" s="2" t="str">
        <f>IFERROR(__xludf.DUMMYFUNCTION("""COMPUTED_VALUE"""),"82o 15' 00""")</f>
        <v>82o 15' 00"</v>
      </c>
      <c r="M2262" s="2" t="str">
        <f>IFERROR(__xludf.DUMMYFUNCTION("""COMPUTED_VALUE"""),"Neta (Surkhet)")</f>
        <v>Neta (Surkhet)</v>
      </c>
    </row>
    <row r="2263">
      <c r="A2263" s="2">
        <f>IFERROR(__xludf.DUMMYFUNCTION("""COMPUTED_VALUE"""),2262.0)</f>
        <v>2262</v>
      </c>
      <c r="B2263" s="2" t="str">
        <f>IFERROR(__xludf.DUMMYFUNCTION("""COMPUTED_VALUE"""),"Gidi Storage Hydropower Project")</f>
        <v>Gidi Storage Hydropower Project</v>
      </c>
      <c r="C2263" s="2">
        <f>IFERROR(__xludf.DUMMYFUNCTION("""COMPUTED_VALUE"""),95.141)</f>
        <v>95.141</v>
      </c>
      <c r="D2263" s="2" t="str">
        <f>IFERROR(__xludf.DUMMYFUNCTION("""COMPUTED_VALUE"""),"Gidi Khola")</f>
        <v>Gidi Khola</v>
      </c>
      <c r="E2263" s="2">
        <f>IFERROR(__xludf.DUMMYFUNCTION("""COMPUTED_VALUE"""),9203.0)</f>
        <v>9203</v>
      </c>
      <c r="F2263" s="3">
        <f>IFERROR(__xludf.DUMMYFUNCTION("""COMPUTED_VALUE"""),65460.0)</f>
        <v>65460</v>
      </c>
      <c r="G2263" s="2" t="str">
        <f>IFERROR(__xludf.DUMMYFUNCTION("""COMPUTED_VALUE"""),"Annapurna Energy Company Pvt. Ltd.")</f>
        <v>Annapurna Energy Company Pvt. Ltd.</v>
      </c>
      <c r="H2263" s="2" t="str">
        <f>IFERROR(__xludf.DUMMYFUNCTION("""COMPUTED_VALUE"""),"Kathmandu - 32, Phulbari Marg, Koteshower")</f>
        <v>Kathmandu - 32, Phulbari Marg, Koteshower</v>
      </c>
      <c r="I2263" s="2" t="str">
        <f>IFERROR(__xludf.DUMMYFUNCTION("""COMPUTED_VALUE"""),"29o 08' 38""")</f>
        <v>29o 08' 38"</v>
      </c>
      <c r="J2263" s="2" t="str">
        <f>IFERROR(__xludf.DUMMYFUNCTION("""COMPUTED_VALUE"""),"29o 14' 17""")</f>
        <v>29o 14' 17"</v>
      </c>
      <c r="K2263" s="2" t="str">
        <f>IFERROR(__xludf.DUMMYFUNCTION("""COMPUTED_VALUE"""),"82o 07' 01""")</f>
        <v>82o 07' 01"</v>
      </c>
      <c r="L2263" s="2" t="str">
        <f>IFERROR(__xludf.DUMMYFUNCTION("""COMPUTED_VALUE"""),"82o 12' 49""")</f>
        <v>82o 12' 49"</v>
      </c>
      <c r="M2263" s="2" t="str">
        <f>IFERROR(__xludf.DUMMYFUNCTION("""COMPUTED_VALUE"""),"Tatopani (Jumla)")</f>
        <v>Tatopani (Jumla)</v>
      </c>
    </row>
    <row r="2264">
      <c r="A2264" s="2">
        <f>IFERROR(__xludf.DUMMYFUNCTION("""COMPUTED_VALUE"""),2263.0)</f>
        <v>2263</v>
      </c>
      <c r="B2264" s="2" t="str">
        <f>IFERROR(__xludf.DUMMYFUNCTION("""COMPUTED_VALUE"""),"Lower Uttar ganga khola HPP")</f>
        <v>Lower Uttar ganga khola HPP</v>
      </c>
      <c r="C2264" s="2">
        <f>IFERROR(__xludf.DUMMYFUNCTION("""COMPUTED_VALUE"""),30.2)</f>
        <v>30.2</v>
      </c>
      <c r="D2264" s="2" t="str">
        <f>IFERROR(__xludf.DUMMYFUNCTION("""COMPUTED_VALUE"""),"Uttar ganga khola")</f>
        <v>Uttar ganga khola</v>
      </c>
      <c r="E2264" s="2">
        <f>IFERROR(__xludf.DUMMYFUNCTION("""COMPUTED_VALUE"""),458.0)</f>
        <v>458</v>
      </c>
      <c r="F2264" s="3">
        <f>IFERROR(__xludf.DUMMYFUNCTION("""COMPUTED_VALUE"""),65483.0)</f>
        <v>65483</v>
      </c>
      <c r="G2264" s="2" t="str">
        <f>IFERROR(__xludf.DUMMYFUNCTION("""COMPUTED_VALUE"""),"Sashi Power Investment Pvt. Ltd.")</f>
        <v>Sashi Power Investment Pvt. Ltd.</v>
      </c>
      <c r="H2264" s="2" t="str">
        <f>IFERROR(__xludf.DUMMYFUNCTION("""COMPUTED_VALUE"""),"Sunakothi-27, Lalitpur")</f>
        <v>Sunakothi-27, Lalitpur</v>
      </c>
      <c r="I2264" s="2" t="str">
        <f>IFERROR(__xludf.DUMMYFUNCTION("""COMPUTED_VALUE"""),"28o 35' 00""")</f>
        <v>28o 35' 00"</v>
      </c>
      <c r="J2264" s="2" t="str">
        <f>IFERROR(__xludf.DUMMYFUNCTION("""COMPUTED_VALUE"""),"28o 37' 30""")</f>
        <v>28o 37' 30"</v>
      </c>
      <c r="K2264" s="2" t="str">
        <f>IFERROR(__xludf.DUMMYFUNCTION("""COMPUTED_VALUE"""),"82o 45' 14""")</f>
        <v>82o 45' 14"</v>
      </c>
      <c r="L2264" s="2" t="str">
        <f>IFERROR(__xludf.DUMMYFUNCTION("""COMPUTED_VALUE"""),"82o 49' 14""")</f>
        <v>82o 49' 14"</v>
      </c>
      <c r="M2264" s="2"/>
    </row>
    <row r="2265">
      <c r="A2265" s="2">
        <f>IFERROR(__xludf.DUMMYFUNCTION("""COMPUTED_VALUE"""),2264.0)</f>
        <v>2264</v>
      </c>
      <c r="B2265" s="2" t="str">
        <f>IFERROR(__xludf.DUMMYFUNCTION("""COMPUTED_VALUE"""),"Kaligandaki Kowan Hydroelectric Project")</f>
        <v>Kaligandaki Kowan Hydroelectric Project</v>
      </c>
      <c r="C2265" s="2">
        <f>IFERROR(__xludf.DUMMYFUNCTION("""COMPUTED_VALUE"""),403.7)</f>
        <v>403.7</v>
      </c>
      <c r="D2265" s="2" t="str">
        <f>IFERROR(__xludf.DUMMYFUNCTION("""COMPUTED_VALUE"""),"Kaligandaki Nadi")</f>
        <v>Kaligandaki Nadi</v>
      </c>
      <c r="E2265" s="2">
        <f>IFERROR(__xludf.DUMMYFUNCTION("""COMPUTED_VALUE"""),1487.0)</f>
        <v>1487</v>
      </c>
      <c r="F2265" s="3">
        <f>IFERROR(__xludf.DUMMYFUNCTION("""COMPUTED_VALUE"""),65523.0)</f>
        <v>65523</v>
      </c>
      <c r="G2265" s="2" t="str">
        <f>IFERROR(__xludf.DUMMYFUNCTION("""COMPUTED_VALUE"""),"Nepal Electricity Authority")</f>
        <v>Nepal Electricity Authority</v>
      </c>
      <c r="H2265" s="2" t="str">
        <f>IFERROR(__xludf.DUMMYFUNCTION("""COMPUTED_VALUE"""),"Durbarmarga, Kathmandu")</f>
        <v>Durbarmarga, Kathmandu</v>
      </c>
      <c r="I2265" s="2" t="str">
        <f>IFERROR(__xludf.DUMMYFUNCTION("""COMPUTED_VALUE"""),"28o 36' 15""")</f>
        <v>28o 36' 15"</v>
      </c>
      <c r="J2265" s="2" t="str">
        <f>IFERROR(__xludf.DUMMYFUNCTION("""COMPUTED_VALUE"""),"28o 42' 00""")</f>
        <v>28o 42' 00"</v>
      </c>
      <c r="K2265" s="2" t="str">
        <f>IFERROR(__xludf.DUMMYFUNCTION("""COMPUTED_VALUE"""),"83o 35' 00""")</f>
        <v>83o 35' 00"</v>
      </c>
      <c r="L2265" s="2" t="str">
        <f>IFERROR(__xludf.DUMMYFUNCTION("""COMPUTED_VALUE"""),"83o 40' 21""")</f>
        <v>83o 40' 21"</v>
      </c>
      <c r="M2265" s="2" t="str">
        <f>IFERROR(__xludf.DUMMYFUNCTION("""COMPUTED_VALUE"""),"Kunjo,Lete,Kowang (Mustang)")</f>
        <v>Kunjo,Lete,Kowang (Mustang)</v>
      </c>
    </row>
    <row r="2266">
      <c r="A2266" s="2">
        <f>IFERROR(__xludf.DUMMYFUNCTION("""COMPUTED_VALUE"""),2265.0)</f>
        <v>2265</v>
      </c>
      <c r="B2266" s="2" t="str">
        <f>IFERROR(__xludf.DUMMYFUNCTION("""COMPUTED_VALUE"""),"Lapa Khola Hydropower Project")</f>
        <v>Lapa Khola Hydropower Project</v>
      </c>
      <c r="C2266" s="2">
        <f>IFERROR(__xludf.DUMMYFUNCTION("""COMPUTED_VALUE"""),5.0)</f>
        <v>5</v>
      </c>
      <c r="D2266" s="2" t="str">
        <f>IFERROR(__xludf.DUMMYFUNCTION("""COMPUTED_VALUE"""),"Lapa Khola")</f>
        <v>Lapa Khola</v>
      </c>
      <c r="E2266" s="2">
        <f>IFERROR(__xludf.DUMMYFUNCTION("""COMPUTED_VALUE"""),1669.0)</f>
        <v>1669</v>
      </c>
      <c r="F2266" s="3">
        <f>IFERROR(__xludf.DUMMYFUNCTION("""COMPUTED_VALUE"""),65530.0)</f>
        <v>65530</v>
      </c>
      <c r="G2266" s="2" t="str">
        <f>IFERROR(__xludf.DUMMYFUNCTION("""COMPUTED_VALUE"""),"Lapa Khola Hydropower Pvt. Ltd.")</f>
        <v>Lapa Khola Hydropower Pvt. Ltd.</v>
      </c>
      <c r="H2266" s="2" t="str">
        <f>IFERROR(__xludf.DUMMYFUNCTION("""COMPUTED_VALUE"""),"KMC-1, Hattisar, Kathmandu, Nepal")</f>
        <v>KMC-1, Hattisar, Kathmandu, Nepal</v>
      </c>
      <c r="I2266" s="2" t="str">
        <f>IFERROR(__xludf.DUMMYFUNCTION("""COMPUTED_VALUE"""),"28o 09' 55""")</f>
        <v>28o 09' 55"</v>
      </c>
      <c r="J2266" s="2" t="str">
        <f>IFERROR(__xludf.DUMMYFUNCTION("""COMPUTED_VALUE"""),"28o 11' 28""")</f>
        <v>28o 11' 28"</v>
      </c>
      <c r="K2266" s="2" t="str">
        <f>IFERROR(__xludf.DUMMYFUNCTION("""COMPUTED_VALUE"""),"85o 01' 05""")</f>
        <v>85o 01' 05"</v>
      </c>
      <c r="L2266" s="2" t="str">
        <f>IFERROR(__xludf.DUMMYFUNCTION("""COMPUTED_VALUE"""),"85o 03' 06""")</f>
        <v>85o 03' 06"</v>
      </c>
      <c r="M2266" s="2" t="str">
        <f>IFERROR(__xludf.DUMMYFUNCTION("""COMPUTED_VALUE"""),"Lapa (Dhading)")</f>
        <v>Lapa (Dhading)</v>
      </c>
    </row>
    <row r="2267">
      <c r="A2267" s="2">
        <f>IFERROR(__xludf.DUMMYFUNCTION("""COMPUTED_VALUE"""),2266.0)</f>
        <v>2266</v>
      </c>
      <c r="B2267" s="2" t="str">
        <f>IFERROR(__xludf.DUMMYFUNCTION("""COMPUTED_VALUE"""),"Chepe Khola PRoR Hydropower Project")</f>
        <v>Chepe Khola PRoR Hydropower Project</v>
      </c>
      <c r="C2267" s="2">
        <f>IFERROR(__xludf.DUMMYFUNCTION("""COMPUTED_VALUE"""),9.0)</f>
        <v>9</v>
      </c>
      <c r="D2267" s="2" t="str">
        <f>IFERROR(__xludf.DUMMYFUNCTION("""COMPUTED_VALUE"""),"Chepe Khola")</f>
        <v>Chepe Khola</v>
      </c>
      <c r="E2267" s="2">
        <f>IFERROR(__xludf.DUMMYFUNCTION("""COMPUTED_VALUE"""),1911.0)</f>
        <v>1911</v>
      </c>
      <c r="F2267" s="3">
        <f>IFERROR(__xludf.DUMMYFUNCTION("""COMPUTED_VALUE"""),65540.0)</f>
        <v>65540</v>
      </c>
      <c r="G2267" s="2" t="str">
        <f>IFERROR(__xludf.DUMMYFUNCTION("""COMPUTED_VALUE"""),"M.A. Power Pvt. Ltd.")</f>
        <v>M.A. Power Pvt. Ltd.</v>
      </c>
      <c r="H2267" s="2" t="str">
        <f>IFERROR(__xludf.DUMMYFUNCTION("""COMPUTED_VALUE"""),"Kantipath, Kathmandu, 01-4232229")</f>
        <v>Kantipath, Kathmandu, 01-4232229</v>
      </c>
      <c r="I2267" s="2" t="str">
        <f>IFERROR(__xludf.DUMMYFUNCTION("""COMPUTED_VALUE"""),"28o 03' 17""")</f>
        <v>28o 03' 17"</v>
      </c>
      <c r="J2267" s="2" t="str">
        <f>IFERROR(__xludf.DUMMYFUNCTION("""COMPUTED_VALUE"""),"28o 05' 45""")</f>
        <v>28o 05' 45"</v>
      </c>
      <c r="K2267" s="2" t="str">
        <f>IFERROR(__xludf.DUMMYFUNCTION("""COMPUTED_VALUE"""),"84o 29' 00""")</f>
        <v>84o 29' 00"</v>
      </c>
      <c r="L2267" s="2" t="str">
        <f>IFERROR(__xludf.DUMMYFUNCTION("""COMPUTED_VALUE"""),"84o 31' 05""")</f>
        <v>84o 31' 05"</v>
      </c>
      <c r="M2267" s="2" t="str">
        <f>IFERROR(__xludf.DUMMYFUNCTION("""COMPUTED_VALUE"""),"Aanppipal,Palungtar (Gorkha) Dhamilikuwa,Chakratirtha (Lamjung)")</f>
        <v>Aanppipal,Palungtar (Gorkha) Dhamilikuwa,Chakratirtha (Lamjung)</v>
      </c>
    </row>
    <row r="2268">
      <c r="A2268" s="2">
        <f>IFERROR(__xludf.DUMMYFUNCTION("""COMPUTED_VALUE"""),2267.0)</f>
        <v>2267</v>
      </c>
      <c r="B2268" s="2" t="str">
        <f>IFERROR(__xludf.DUMMYFUNCTION("""COMPUTED_VALUE"""),"Lower Uttar Ganga Nadi Hydropower Project")</f>
        <v>Lower Uttar Ganga Nadi Hydropower Project</v>
      </c>
      <c r="C2268" s="2">
        <f>IFERROR(__xludf.DUMMYFUNCTION("""COMPUTED_VALUE"""),4.8)</f>
        <v>4.8</v>
      </c>
      <c r="D2268" s="2" t="str">
        <f>IFERROR(__xludf.DUMMYFUNCTION("""COMPUTED_VALUE"""),"Uttar Ganga Nadi")</f>
        <v>Uttar Ganga Nadi</v>
      </c>
      <c r="E2268" s="2">
        <f>IFERROR(__xludf.DUMMYFUNCTION("""COMPUTED_VALUE"""),2202.0)</f>
        <v>2202</v>
      </c>
      <c r="F2268" s="3">
        <f>IFERROR(__xludf.DUMMYFUNCTION("""COMPUTED_VALUE"""),65561.0)</f>
        <v>65561</v>
      </c>
      <c r="G2268" s="2" t="str">
        <f>IFERROR(__xludf.DUMMYFUNCTION("""COMPUTED_VALUE"""),"Samriddhi Tallo Uttarganga Hydropower Private Limited")</f>
        <v>Samriddhi Tallo Uttarganga Hydropower Private Limited</v>
      </c>
      <c r="H2268" s="2" t="str">
        <f>IFERROR(__xludf.DUMMYFUNCTION("""COMPUTED_VALUE"""),"Chapali -2, Budhanilkantha,")</f>
        <v>Chapali -2, Budhanilkantha,</v>
      </c>
      <c r="I2268" s="2" t="str">
        <f>IFERROR(__xludf.DUMMYFUNCTION("""COMPUTED_VALUE"""),"28o 35' 00""")</f>
        <v>28o 35' 00"</v>
      </c>
      <c r="J2268" s="2" t="str">
        <f>IFERROR(__xludf.DUMMYFUNCTION("""COMPUTED_VALUE"""),"28o 38' 07""")</f>
        <v>28o 38' 07"</v>
      </c>
      <c r="K2268" s="2" t="str">
        <f>IFERROR(__xludf.DUMMYFUNCTION("""COMPUTED_VALUE"""),"82o 45' 15""")</f>
        <v>82o 45' 15"</v>
      </c>
      <c r="L2268" s="2" t="str">
        <f>IFERROR(__xludf.DUMMYFUNCTION("""COMPUTED_VALUE"""),"82o 48' 50""")</f>
        <v>82o 48' 50"</v>
      </c>
      <c r="M2268" s="2" t="str">
        <f>IFERROR(__xludf.DUMMYFUNCTION("""COMPUTED_VALUE"""),"Kol,Taksera (Rukum)")</f>
        <v>Kol,Taksera (Rukum)</v>
      </c>
    </row>
    <row r="2269">
      <c r="A2269" s="2">
        <f>IFERROR(__xludf.DUMMYFUNCTION("""COMPUTED_VALUE"""),2268.0)</f>
        <v>2268</v>
      </c>
      <c r="B2269" s="2" t="str">
        <f>IFERROR(__xludf.DUMMYFUNCTION("""COMPUTED_VALUE"""),"BHERI 4 STORAGE HYDROPOWER PROJECT")</f>
        <v>BHERI 4 STORAGE HYDROPOWER PROJECT</v>
      </c>
      <c r="C2269" s="2">
        <f>IFERROR(__xludf.DUMMYFUNCTION("""COMPUTED_VALUE"""),300.0)</f>
        <v>300</v>
      </c>
      <c r="D2269" s="2" t="str">
        <f>IFERROR(__xludf.DUMMYFUNCTION("""COMPUTED_VALUE"""),"Bheri Nadi")</f>
        <v>Bheri Nadi</v>
      </c>
      <c r="E2269" s="2">
        <f>IFERROR(__xludf.DUMMYFUNCTION("""COMPUTED_VALUE"""),2257.0)</f>
        <v>2257</v>
      </c>
      <c r="F2269" s="3">
        <f>IFERROR(__xludf.DUMMYFUNCTION("""COMPUTED_VALUE"""),65563.0)</f>
        <v>65563</v>
      </c>
      <c r="G2269" s="2" t="str">
        <f>IFERROR(__xludf.DUMMYFUNCTION("""COMPUTED_VALUE"""),"Spring Hydro Energy Pvt. Ltd.")</f>
        <v>Spring Hydro Energy Pvt. Ltd.</v>
      </c>
      <c r="H2269" s="2" t="str">
        <f>IFERROR(__xludf.DUMMYFUNCTION("""COMPUTED_VALUE"""),"Lalitpur - 25, Contact No: 9857835203")</f>
        <v>Lalitpur - 25, Contact No: 9857835203</v>
      </c>
      <c r="I2269" s="2" t="str">
        <f>IFERROR(__xludf.DUMMYFUNCTION("""COMPUTED_VALUE"""),"28o 33' 30""")</f>
        <v>28o 33' 30"</v>
      </c>
      <c r="J2269" s="2" t="str">
        <f>IFERROR(__xludf.DUMMYFUNCTION("""COMPUTED_VALUE"""),"28o 43' 15""")</f>
        <v>28o 43' 15"</v>
      </c>
      <c r="K2269" s="2" t="str">
        <f>IFERROR(__xludf.DUMMYFUNCTION("""COMPUTED_VALUE"""),"81o 59' 30""")</f>
        <v>81o 59' 30"</v>
      </c>
      <c r="L2269" s="2" t="str">
        <f>IFERROR(__xludf.DUMMYFUNCTION("""COMPUTED_VALUE"""),"82o 15' 00""")</f>
        <v>82o 15' 00"</v>
      </c>
      <c r="M2269" s="2"/>
    </row>
    <row r="2270">
      <c r="A2270" s="2">
        <f>IFERROR(__xludf.DUMMYFUNCTION("""COMPUTED_VALUE"""),2269.0)</f>
        <v>2269</v>
      </c>
      <c r="B2270" s="2" t="str">
        <f>IFERROR(__xludf.DUMMYFUNCTION("""COMPUTED_VALUE"""),"Kaprichaur Bheri Nadi PRoR Hydropower Project")</f>
        <v>Kaprichaur Bheri Nadi PRoR Hydropower Project</v>
      </c>
      <c r="C2270" s="2">
        <f>IFERROR(__xludf.DUMMYFUNCTION("""COMPUTED_VALUE"""),4.9)</f>
        <v>4.9</v>
      </c>
      <c r="D2270" s="2" t="str">
        <f>IFERROR(__xludf.DUMMYFUNCTION("""COMPUTED_VALUE"""),"Bheri Nadi")</f>
        <v>Bheri Nadi</v>
      </c>
      <c r="E2270" s="2">
        <f>IFERROR(__xludf.DUMMYFUNCTION("""COMPUTED_VALUE"""),2703.0)</f>
        <v>2703</v>
      </c>
      <c r="F2270" s="3">
        <f>IFERROR(__xludf.DUMMYFUNCTION("""COMPUTED_VALUE"""),65588.0)</f>
        <v>65588</v>
      </c>
      <c r="G2270" s="2" t="str">
        <f>IFERROR(__xludf.DUMMYFUNCTION("""COMPUTED_VALUE"""),"Ramatech Bheri Hydropower Pvt. Ltd.")</f>
        <v>Ramatech Bheri Hydropower Pvt. Ltd.</v>
      </c>
      <c r="H2270" s="2" t="str">
        <f>IFERROR(__xludf.DUMMYFUNCTION("""COMPUTED_VALUE"""),"Budhanilkantha - 2, Kathmandu")</f>
        <v>Budhanilkantha - 2, Kathmandu</v>
      </c>
      <c r="I2270" s="2" t="str">
        <f>IFERROR(__xludf.DUMMYFUNCTION("""COMPUTED_VALUE"""),"28o 25' 00""")</f>
        <v>28o 25' 00"</v>
      </c>
      <c r="J2270" s="2" t="str">
        <f>IFERROR(__xludf.DUMMYFUNCTION("""COMPUTED_VALUE"""),"28o 32' 30""")</f>
        <v>28o 32' 30"</v>
      </c>
      <c r="K2270" s="2" t="str">
        <f>IFERROR(__xludf.DUMMYFUNCTION("""COMPUTED_VALUE"""),"81o 50' 00""")</f>
        <v>81o 50' 00"</v>
      </c>
      <c r="L2270" s="2" t="str">
        <f>IFERROR(__xludf.DUMMYFUNCTION("""COMPUTED_VALUE"""),"82o 02' 30""")</f>
        <v>82o 02' 30"</v>
      </c>
      <c r="M2270" s="2" t="str">
        <f>IFERROR(__xludf.DUMMYFUNCTION("""COMPUTED_VALUE"""),"Devsthal (Salyan) Dahachaur (Surkhet)")</f>
        <v>Devsthal (Salyan) Dahachaur (Surkhet)</v>
      </c>
    </row>
    <row r="2271">
      <c r="A2271" s="2">
        <f>IFERROR(__xludf.DUMMYFUNCTION("""COMPUTED_VALUE"""),2270.0)</f>
        <v>2270</v>
      </c>
      <c r="B2271" s="2" t="str">
        <f>IFERROR(__xludf.DUMMYFUNCTION("""COMPUTED_VALUE"""),"Jhumsa Khola Storage Hydropower Project")</f>
        <v>Jhumsa Khola Storage Hydropower Project</v>
      </c>
      <c r="C2271" s="2">
        <f>IFERROR(__xludf.DUMMYFUNCTION("""COMPUTED_VALUE"""),5.0)</f>
        <v>5</v>
      </c>
      <c r="D2271" s="2" t="str">
        <f>IFERROR(__xludf.DUMMYFUNCTION("""COMPUTED_VALUE"""),"Jhumsa Khola")</f>
        <v>Jhumsa Khola</v>
      </c>
      <c r="E2271" s="2">
        <f>IFERROR(__xludf.DUMMYFUNCTION("""COMPUTED_VALUE"""),2772.0)</f>
        <v>2772</v>
      </c>
      <c r="F2271" s="3">
        <f>IFERROR(__xludf.DUMMYFUNCTION("""COMPUTED_VALUE"""),65588.0)</f>
        <v>65588</v>
      </c>
      <c r="G2271" s="2" t="str">
        <f>IFERROR(__xludf.DUMMYFUNCTION("""COMPUTED_VALUE"""),"Mathadave Ventures Pvt. Ltd.")</f>
        <v>Mathadave Ventures Pvt. Ltd.</v>
      </c>
      <c r="H2271" s="2" t="str">
        <f>IFERROR(__xludf.DUMMYFUNCTION("""COMPUTED_VALUE"""),"Budhanilkantha - 2, Kathmandu")</f>
        <v>Budhanilkantha - 2, Kathmandu</v>
      </c>
      <c r="I2271" s="2" t="str">
        <f>IFERROR(__xludf.DUMMYFUNCTION("""COMPUTED_VALUE"""),"27o 40' 47""")</f>
        <v>27o 40' 47"</v>
      </c>
      <c r="J2271" s="2" t="str">
        <f>IFERROR(__xludf.DUMMYFUNCTION("""COMPUTED_VALUE"""),"27o 44' 20""")</f>
        <v>27o 44' 20"</v>
      </c>
      <c r="K2271" s="2" t="str">
        <f>IFERROR(__xludf.DUMMYFUNCTION("""COMPUTED_VALUE"""),"83o 34' 36""")</f>
        <v>83o 34' 36"</v>
      </c>
      <c r="L2271" s="2" t="str">
        <f>IFERROR(__xludf.DUMMYFUNCTION("""COMPUTED_VALUE"""),"83o 37' 17""")</f>
        <v>83o 37' 17"</v>
      </c>
      <c r="M2271" s="2" t="str">
        <f>IFERROR(__xludf.DUMMYFUNCTION("""COMPUTED_VALUE"""),"Gothadi (Palpa) Devadaha (Rupandehi)")</f>
        <v>Gothadi (Palpa) Devadaha (Rupandehi)</v>
      </c>
    </row>
    <row r="2272">
      <c r="A2272" s="2">
        <f>IFERROR(__xludf.DUMMYFUNCTION("""COMPUTED_VALUE"""),2271.0)</f>
        <v>2271</v>
      </c>
      <c r="B2272" s="2" t="str">
        <f>IFERROR(__xludf.DUMMYFUNCTION("""COMPUTED_VALUE"""),"Balephi Sunkoshi Hydropower Project")</f>
        <v>Balephi Sunkoshi Hydropower Project</v>
      </c>
      <c r="C2272" s="2">
        <f>IFERROR(__xludf.DUMMYFUNCTION("""COMPUTED_VALUE"""),9.9)</f>
        <v>9.9</v>
      </c>
      <c r="D2272" s="2" t="str">
        <f>IFERROR(__xludf.DUMMYFUNCTION("""COMPUTED_VALUE"""),"Balephi Khola")</f>
        <v>Balephi Khola</v>
      </c>
      <c r="E2272" s="2">
        <f>IFERROR(__xludf.DUMMYFUNCTION("""COMPUTED_VALUE"""),3167.0)</f>
        <v>3167</v>
      </c>
      <c r="F2272" s="3">
        <f>IFERROR(__xludf.DUMMYFUNCTION("""COMPUTED_VALUE"""),65608.0)</f>
        <v>65608</v>
      </c>
      <c r="G2272" s="2" t="str">
        <f>IFERROR(__xludf.DUMMYFUNCTION("""COMPUTED_VALUE"""),"Ridi Power Company Limited")</f>
        <v>Ridi Power Company Limited</v>
      </c>
      <c r="H2272" s="2" t="str">
        <f>IFERROR(__xludf.DUMMYFUNCTION("""COMPUTED_VALUE"""),"Trade Tower (5th floor), Thapathali, Contact: 01-5111015, 5111016")</f>
        <v>Trade Tower (5th floor), Thapathali, Contact: 01-5111015, 5111016</v>
      </c>
      <c r="I2272" s="2" t="str">
        <f>IFERROR(__xludf.DUMMYFUNCTION("""COMPUTED_VALUE"""),"27o 42' 06""")</f>
        <v>27o 42' 06"</v>
      </c>
      <c r="J2272" s="2" t="str">
        <f>IFERROR(__xludf.DUMMYFUNCTION("""COMPUTED_VALUE"""),"27o 45' 38""")</f>
        <v>27o 45' 38"</v>
      </c>
      <c r="K2272" s="2" t="str">
        <f>IFERROR(__xludf.DUMMYFUNCTION("""COMPUTED_VALUE"""),"85o 45' 00""")</f>
        <v>85o 45' 00"</v>
      </c>
      <c r="L2272" s="2" t="str">
        <f>IFERROR(__xludf.DUMMYFUNCTION("""COMPUTED_VALUE"""),"85o 46' 48""")</f>
        <v>85o 46' 48"</v>
      </c>
      <c r="M2272" s="2" t="str">
        <f>IFERROR(__xludf.DUMMYFUNCTION("""COMPUTED_VALUE"""),"Ikhu,Kadambas,Yamanadanda,Kalika,Fupingdandagau (Sindhupalchok)")</f>
        <v>Ikhu,Kadambas,Yamanadanda,Kalika,Fupingdandagau (Sindhupalchok)</v>
      </c>
    </row>
    <row r="2273">
      <c r="A2273" s="2">
        <f>IFERROR(__xludf.DUMMYFUNCTION("""COMPUTED_VALUE"""),2272.0)</f>
        <v>2272</v>
      </c>
      <c r="B2273" s="2" t="str">
        <f>IFERROR(__xludf.DUMMYFUNCTION("""COMPUTED_VALUE"""),"Upper Budhi Gandaki Hydropower Project")</f>
        <v>Upper Budhi Gandaki Hydropower Project</v>
      </c>
      <c r="C2273" s="2">
        <f>IFERROR(__xludf.DUMMYFUNCTION("""COMPUTED_VALUE"""),200.26)</f>
        <v>200.26</v>
      </c>
      <c r="D2273" s="2" t="str">
        <f>IFERROR(__xludf.DUMMYFUNCTION("""COMPUTED_VALUE"""),"Budhi Gandaki")</f>
        <v>Budhi Gandaki</v>
      </c>
      <c r="E2273" s="2">
        <f>IFERROR(__xludf.DUMMYFUNCTION("""COMPUTED_VALUE"""),4682.0)</f>
        <v>4682</v>
      </c>
      <c r="F2273" s="3">
        <f>IFERROR(__xludf.DUMMYFUNCTION("""COMPUTED_VALUE"""),65676.0)</f>
        <v>65676</v>
      </c>
      <c r="G2273" s="2" t="str">
        <f>IFERROR(__xludf.DUMMYFUNCTION("""COMPUTED_VALUE"""),"Road Nepal Pvt. Ltd")</f>
        <v>Road Nepal Pvt. Ltd</v>
      </c>
      <c r="H2273" s="2" t="str">
        <f>IFERROR(__xludf.DUMMYFUNCTION("""COMPUTED_VALUE"""),"KMC-16, Balaju, Kathmandu")</f>
        <v>KMC-16, Balaju, Kathmandu</v>
      </c>
      <c r="I2273" s="2" t="str">
        <f>IFERROR(__xludf.DUMMYFUNCTION("""COMPUTED_VALUE"""),"28o 22' 01""")</f>
        <v>28o 22' 01"</v>
      </c>
      <c r="J2273" s="2" t="str">
        <f>IFERROR(__xludf.DUMMYFUNCTION("""COMPUTED_VALUE"""),"28o 26' 24""")</f>
        <v>28o 26' 24"</v>
      </c>
      <c r="K2273" s="2" t="str">
        <f>IFERROR(__xludf.DUMMYFUNCTION("""COMPUTED_VALUE"""),"84o 52' 40""")</f>
        <v>84o 52' 40"</v>
      </c>
      <c r="L2273" s="2" t="str">
        <f>IFERROR(__xludf.DUMMYFUNCTION("""COMPUTED_VALUE"""),"84o 54' 30""")</f>
        <v>84o 54' 30"</v>
      </c>
      <c r="M2273" s="2" t="str">
        <f>IFERROR(__xludf.DUMMYFUNCTION("""COMPUTED_VALUE"""),"Sirdibas (Gorkha)")</f>
        <v>Sirdibas (Gorkha)</v>
      </c>
    </row>
    <row r="2274">
      <c r="A2274" s="2">
        <f>IFERROR(__xludf.DUMMYFUNCTION("""COMPUTED_VALUE"""),2273.0)</f>
        <v>2273</v>
      </c>
      <c r="B2274" s="2" t="str">
        <f>IFERROR(__xludf.DUMMYFUNCTION("""COMPUTED_VALUE"""),"Tarap &amp; Tatu Khola Storage Hydropower Project")</f>
        <v>Tarap &amp; Tatu Khola Storage Hydropower Project</v>
      </c>
      <c r="C2274" s="2">
        <f>IFERROR(__xludf.DUMMYFUNCTION("""COMPUTED_VALUE"""),4.8)</f>
        <v>4.8</v>
      </c>
      <c r="D2274" s="2" t="str">
        <f>IFERROR(__xludf.DUMMYFUNCTION("""COMPUTED_VALUE"""),"Tarap &amp; Tatu")</f>
        <v>Tarap &amp; Tatu</v>
      </c>
      <c r="E2274" s="2">
        <f>IFERROR(__xludf.DUMMYFUNCTION("""COMPUTED_VALUE"""),4912.0)</f>
        <v>4912</v>
      </c>
      <c r="F2274" s="3">
        <f>IFERROR(__xludf.DUMMYFUNCTION("""COMPUTED_VALUE"""),65687.0)</f>
        <v>65687</v>
      </c>
      <c r="G2274" s="2" t="str">
        <f>IFERROR(__xludf.DUMMYFUNCTION("""COMPUTED_VALUE"""),"Ramatec Bheri Hydropower Private Limited")</f>
        <v>Ramatec Bheri Hydropower Private Limited</v>
      </c>
      <c r="H2274" s="2" t="str">
        <f>IFERROR(__xludf.DUMMYFUNCTION("""COMPUTED_VALUE"""),"Budhanilkantha - 2, Kathmandu")</f>
        <v>Budhanilkantha - 2, Kathmandu</v>
      </c>
      <c r="I2274" s="2" t="str">
        <f>IFERROR(__xludf.DUMMYFUNCTION("""COMPUTED_VALUE"""),"28o 53' 48""")</f>
        <v>28o 53' 48"</v>
      </c>
      <c r="J2274" s="2" t="str">
        <f>IFERROR(__xludf.DUMMYFUNCTION("""COMPUTED_VALUE"""),"29o 00' 00""")</f>
        <v>29o 00' 00"</v>
      </c>
      <c r="K2274" s="2" t="str">
        <f>IFERROR(__xludf.DUMMYFUNCTION("""COMPUTED_VALUE"""),"83o 01' 30""")</f>
        <v>83o 01' 30"</v>
      </c>
      <c r="L2274" s="2" t="str">
        <f>IFERROR(__xludf.DUMMYFUNCTION("""COMPUTED_VALUE"""),"83o 07' 25""")</f>
        <v>83o 07' 25"</v>
      </c>
      <c r="M2274" s="2" t="str">
        <f>IFERROR(__xludf.DUMMYFUNCTION("""COMPUTED_VALUE"""),"Lawan,Mukot (Dolpa)")</f>
        <v>Lawan,Mukot (Dolpa)</v>
      </c>
    </row>
    <row r="2275">
      <c r="A2275" s="2">
        <f>IFERROR(__xludf.DUMMYFUNCTION("""COMPUTED_VALUE"""),2274.0)</f>
        <v>2274</v>
      </c>
      <c r="B2275" s="2" t="str">
        <f>IFERROR(__xludf.DUMMYFUNCTION("""COMPUTED_VALUE"""),"Mimiban Khola Storage Hydropower Project")</f>
        <v>Mimiban Khola Storage Hydropower Project</v>
      </c>
      <c r="C2275" s="2">
        <f>IFERROR(__xludf.DUMMYFUNCTION("""COMPUTED_VALUE"""),4.99)</f>
        <v>4.99</v>
      </c>
      <c r="D2275" s="2" t="str">
        <f>IFERROR(__xludf.DUMMYFUNCTION("""COMPUTED_VALUE"""),"Mimiban Khola")</f>
        <v>Mimiban Khola</v>
      </c>
      <c r="E2275" s="2">
        <f>IFERROR(__xludf.DUMMYFUNCTION("""COMPUTED_VALUE"""),4923.0)</f>
        <v>4923</v>
      </c>
      <c r="F2275" s="3">
        <f>IFERROR(__xludf.DUMMYFUNCTION("""COMPUTED_VALUE"""),65687.0)</f>
        <v>65687</v>
      </c>
      <c r="G2275" s="2" t="str">
        <f>IFERROR(__xludf.DUMMYFUNCTION("""COMPUTED_VALUE"""),"Jalasya Hydropower Private Limited")</f>
        <v>Jalasya Hydropower Private Limited</v>
      </c>
      <c r="H2275" s="2" t="str">
        <f>IFERROR(__xludf.DUMMYFUNCTION("""COMPUTED_VALUE"""),"Budhanilkantha Municipality 2 , Kathmandu")</f>
        <v>Budhanilkantha Municipality 2 , Kathmandu</v>
      </c>
      <c r="I2275" s="2" t="str">
        <f>IFERROR(__xludf.DUMMYFUNCTION("""COMPUTED_VALUE"""),"29o 42' 42""")</f>
        <v>29o 42' 42"</v>
      </c>
      <c r="J2275" s="2" t="str">
        <f>IFERROR(__xludf.DUMMYFUNCTION("""COMPUTED_VALUE"""),"29o 46' 37""")</f>
        <v>29o 46' 37"</v>
      </c>
      <c r="K2275" s="2" t="str">
        <f>IFERROR(__xludf.DUMMYFUNCTION("""COMPUTED_VALUE"""),"82o 05' 00""")</f>
        <v>82o 05' 00"</v>
      </c>
      <c r="L2275" s="2" t="str">
        <f>IFERROR(__xludf.DUMMYFUNCTION("""COMPUTED_VALUE"""),"82o 15' 00""")</f>
        <v>82o 15' 00"</v>
      </c>
      <c r="M2275" s="2" t="str">
        <f>IFERROR(__xludf.DUMMYFUNCTION("""COMPUTED_VALUE"""),"Mimi (Humla)")</f>
        <v>Mimi (Humla)</v>
      </c>
    </row>
    <row r="2276">
      <c r="A2276" s="2">
        <f>IFERROR(__xludf.DUMMYFUNCTION("""COMPUTED_VALUE"""),2275.0)</f>
        <v>2275</v>
      </c>
      <c r="B2276" s="2" t="str">
        <f>IFERROR(__xludf.DUMMYFUNCTION("""COMPUTED_VALUE"""),"Upper Loti Karnlai Nadi Storage Hydropower Project")</f>
        <v>Upper Loti Karnlai Nadi Storage Hydropower Project</v>
      </c>
      <c r="C2276" s="2">
        <f>IFERROR(__xludf.DUMMYFUNCTION("""COMPUTED_VALUE"""),4.99)</f>
        <v>4.99</v>
      </c>
      <c r="D2276" s="2" t="str">
        <f>IFERROR(__xludf.DUMMYFUNCTION("""COMPUTED_VALUE"""),"Loti Karnali Nadi")</f>
        <v>Loti Karnali Nadi</v>
      </c>
      <c r="E2276" s="2">
        <f>IFERROR(__xludf.DUMMYFUNCTION("""COMPUTED_VALUE"""),4939.0)</f>
        <v>4939</v>
      </c>
      <c r="F2276" s="3">
        <f>IFERROR(__xludf.DUMMYFUNCTION("""COMPUTED_VALUE"""),65688.0)</f>
        <v>65688</v>
      </c>
      <c r="G2276" s="2" t="str">
        <f>IFERROR(__xludf.DUMMYFUNCTION("""COMPUTED_VALUE"""),"Janamaitri Hydropower Private Limited")</f>
        <v>Janamaitri Hydropower Private Limited</v>
      </c>
      <c r="H2276" s="2" t="str">
        <f>IFERROR(__xludf.DUMMYFUNCTION("""COMPUTED_VALUE"""),"Budhanilkantha Municipality 2 , Kathmandu")</f>
        <v>Budhanilkantha Municipality 2 , Kathmandu</v>
      </c>
      <c r="I2276" s="2" t="str">
        <f>IFERROR(__xludf.DUMMYFUNCTION("""COMPUTED_VALUE"""),"29o 48' 48""")</f>
        <v>29o 48' 48"</v>
      </c>
      <c r="J2276" s="2" t="str">
        <f>IFERROR(__xludf.DUMMYFUNCTION("""COMPUTED_VALUE"""),"29o 52' 41""")</f>
        <v>29o 52' 41"</v>
      </c>
      <c r="K2276" s="2" t="str">
        <f>IFERROR(__xludf.DUMMYFUNCTION("""COMPUTED_VALUE"""),"82o 05' 36""")</f>
        <v>82o 05' 36"</v>
      </c>
      <c r="L2276" s="2" t="str">
        <f>IFERROR(__xludf.DUMMYFUNCTION("""COMPUTED_VALUE"""),"82o 15' 00""")</f>
        <v>82o 15' 00"</v>
      </c>
      <c r="M2276" s="2" t="str">
        <f>IFERROR(__xludf.DUMMYFUNCTION("""COMPUTED_VALUE"""),"Mimi (Humla)")</f>
        <v>Mimi (Humla)</v>
      </c>
    </row>
    <row r="2277">
      <c r="A2277" s="2">
        <f>IFERROR(__xludf.DUMMYFUNCTION("""COMPUTED_VALUE"""),2276.0)</f>
        <v>2276</v>
      </c>
      <c r="B2277" s="2" t="str">
        <f>IFERROR(__xludf.DUMMYFUNCTION("""COMPUTED_VALUE"""),"Upper Tamore Nadi Hydropower Project")</f>
        <v>Upper Tamore Nadi Hydropower Project</v>
      </c>
      <c r="C2277" s="2">
        <f>IFERROR(__xludf.DUMMYFUNCTION("""COMPUTED_VALUE"""),5.0)</f>
        <v>5</v>
      </c>
      <c r="D2277" s="2" t="str">
        <f>IFERROR(__xludf.DUMMYFUNCTION("""COMPUTED_VALUE"""),"Tamor")</f>
        <v>Tamor</v>
      </c>
      <c r="E2277" s="2">
        <f>IFERROR(__xludf.DUMMYFUNCTION("""COMPUTED_VALUE"""),4989.0)</f>
        <v>4989</v>
      </c>
      <c r="F2277" s="3">
        <f>IFERROR(__xludf.DUMMYFUNCTION("""COMPUTED_VALUE"""),65689.0)</f>
        <v>65689</v>
      </c>
      <c r="G2277" s="2" t="str">
        <f>IFERROR(__xludf.DUMMYFUNCTION("""COMPUTED_VALUE"""),"Stibha Hydropower Private Limited")</f>
        <v>Stibha Hydropower Private Limited</v>
      </c>
      <c r="H2277" s="2" t="str">
        <f>IFERROR(__xludf.DUMMYFUNCTION("""COMPUTED_VALUE"""),"Budhanilkantha Municipality - 2 , Kathmandu")</f>
        <v>Budhanilkantha Municipality - 2 , Kathmandu</v>
      </c>
      <c r="I2277" s="2" t="str">
        <f>IFERROR(__xludf.DUMMYFUNCTION("""COMPUTED_VALUE"""),"27o 33' 31""")</f>
        <v>27o 33' 31"</v>
      </c>
      <c r="J2277" s="2" t="str">
        <f>IFERROR(__xludf.DUMMYFUNCTION("""COMPUTED_VALUE"""),"27o 34' 06""")</f>
        <v>27o 34' 06"</v>
      </c>
      <c r="K2277" s="2" t="str">
        <f>IFERROR(__xludf.DUMMYFUNCTION("""COMPUTED_VALUE"""),"87o 47' 30""")</f>
        <v>87o 47' 30"</v>
      </c>
      <c r="L2277" s="2" t="str">
        <f>IFERROR(__xludf.DUMMYFUNCTION("""COMPUTED_VALUE"""),"87o 48' 19""")</f>
        <v>87o 48' 19"</v>
      </c>
      <c r="M2277" s="2" t="str">
        <f>IFERROR(__xludf.DUMMYFUNCTION("""COMPUTED_VALUE"""),"Lelep (Taplejung)")</f>
        <v>Lelep (Taplejung)</v>
      </c>
    </row>
    <row r="2278">
      <c r="A2278" s="2">
        <f>IFERROR(__xludf.DUMMYFUNCTION("""COMPUTED_VALUE"""),2277.0)</f>
        <v>2277</v>
      </c>
      <c r="B2278" s="2" t="str">
        <f>IFERROR(__xludf.DUMMYFUNCTION("""COMPUTED_VALUE"""),"Super Bajhang Seti &amp; Syanban Khola Storage Hydropower Projec")</f>
        <v>Super Bajhang Seti &amp; Syanban Khola Storage Hydropower Projec</v>
      </c>
      <c r="C2278" s="2">
        <f>IFERROR(__xludf.DUMMYFUNCTION("""COMPUTED_VALUE"""),5.0)</f>
        <v>5</v>
      </c>
      <c r="D2278" s="2" t="str">
        <f>IFERROR(__xludf.DUMMYFUNCTION("""COMPUTED_VALUE"""),"seti nadi &amp; syanban khola")</f>
        <v>seti nadi &amp; syanban khola</v>
      </c>
      <c r="E2278" s="2">
        <f>IFERROR(__xludf.DUMMYFUNCTION("""COMPUTED_VALUE"""),5535.0)</f>
        <v>5535</v>
      </c>
      <c r="F2278" s="3">
        <f>IFERROR(__xludf.DUMMYFUNCTION("""COMPUTED_VALUE"""),65714.0)</f>
        <v>65714</v>
      </c>
      <c r="G2278" s="2" t="str">
        <f>IFERROR(__xludf.DUMMYFUNCTION("""COMPUTED_VALUE"""),"Shanta Jethibahurani Hydropower Private Limited")</f>
        <v>Shanta Jethibahurani Hydropower Private Limited</v>
      </c>
      <c r="H2278" s="2" t="str">
        <f>IFERROR(__xludf.DUMMYFUNCTION("""COMPUTED_VALUE"""),"Budhanilkantha - 04, Kathmandu")</f>
        <v>Budhanilkantha - 04, Kathmandu</v>
      </c>
      <c r="I2278" s="2" t="str">
        <f>IFERROR(__xludf.DUMMYFUNCTION("""COMPUTED_VALUE"""),"29o 50' 30""")</f>
        <v>29o 50' 30"</v>
      </c>
      <c r="J2278" s="2" t="str">
        <f>IFERROR(__xludf.DUMMYFUNCTION("""COMPUTED_VALUE"""),"29o 55' 50""")</f>
        <v>29o 55' 50"</v>
      </c>
      <c r="K2278" s="2" t="str">
        <f>IFERROR(__xludf.DUMMYFUNCTION("""COMPUTED_VALUE"""),"81o 08' 40""")</f>
        <v>81o 08' 40"</v>
      </c>
      <c r="L2278" s="2" t="str">
        <f>IFERROR(__xludf.DUMMYFUNCTION("""COMPUTED_VALUE"""),"81o 18' 30""")</f>
        <v>81o 18' 30"</v>
      </c>
      <c r="M2278" s="2" t="str">
        <f>IFERROR(__xludf.DUMMYFUNCTION("""COMPUTED_VALUE"""),"Kanda (Bajhang)")</f>
        <v>Kanda (Bajhang)</v>
      </c>
    </row>
    <row r="2279">
      <c r="A2279" s="2">
        <f>IFERROR(__xludf.DUMMYFUNCTION("""COMPUTED_VALUE"""),2278.0)</f>
        <v>2278</v>
      </c>
      <c r="B2279" s="2" t="str">
        <f>IFERROR(__xludf.DUMMYFUNCTION("""COMPUTED_VALUE"""),"Jhumsa Khola Storage Hydropower Project")</f>
        <v>Jhumsa Khola Storage Hydropower Project</v>
      </c>
      <c r="C2279" s="2">
        <f>IFERROR(__xludf.DUMMYFUNCTION("""COMPUTED_VALUE"""),5.0)</f>
        <v>5</v>
      </c>
      <c r="D2279" s="2" t="str">
        <f>IFERROR(__xludf.DUMMYFUNCTION("""COMPUTED_VALUE"""),"Jhumsa Khola")</f>
        <v>Jhumsa Khola</v>
      </c>
      <c r="E2279" s="2">
        <f>IFERROR(__xludf.DUMMYFUNCTION("""COMPUTED_VALUE"""),5547.0)</f>
        <v>5547</v>
      </c>
      <c r="F2279" s="3">
        <f>IFERROR(__xludf.DUMMYFUNCTION("""COMPUTED_VALUE"""),65715.0)</f>
        <v>65715</v>
      </c>
      <c r="G2279" s="2" t="str">
        <f>IFERROR(__xludf.DUMMYFUNCTION("""COMPUTED_VALUE"""),"Quntoum Hydropower Private Limited")</f>
        <v>Quntoum Hydropower Private Limited</v>
      </c>
      <c r="H2279" s="2" t="str">
        <f>IFERROR(__xludf.DUMMYFUNCTION("""COMPUTED_VALUE"""),"Budhanilkantha - 2, Kathmandu")</f>
        <v>Budhanilkantha - 2, Kathmandu</v>
      </c>
      <c r="I2279" s="2" t="str">
        <f>IFERROR(__xludf.DUMMYFUNCTION("""COMPUTED_VALUE"""),"27o 40' 47""")</f>
        <v>27o 40' 47"</v>
      </c>
      <c r="J2279" s="2" t="str">
        <f>IFERROR(__xludf.DUMMYFUNCTION("""COMPUTED_VALUE"""),"27o 44' 20""")</f>
        <v>27o 44' 20"</v>
      </c>
      <c r="K2279" s="2" t="str">
        <f>IFERROR(__xludf.DUMMYFUNCTION("""COMPUTED_VALUE"""),"83o 34' 36""")</f>
        <v>83o 34' 36"</v>
      </c>
      <c r="L2279" s="2" t="str">
        <f>IFERROR(__xludf.DUMMYFUNCTION("""COMPUTED_VALUE"""),"83o 37' 17""")</f>
        <v>83o 37' 17"</v>
      </c>
      <c r="M2279" s="2" t="str">
        <f>IFERROR(__xludf.DUMMYFUNCTION("""COMPUTED_VALUE"""),"Gothadi (Palpa) Devadaha (Rupandehi)")</f>
        <v>Gothadi (Palpa) Devadaha (Rupandehi)</v>
      </c>
    </row>
    <row r="2280">
      <c r="A2280" s="2">
        <f>IFERROR(__xludf.DUMMYFUNCTION("""COMPUTED_VALUE"""),2279.0)</f>
        <v>2279</v>
      </c>
      <c r="B2280" s="2" t="str">
        <f>IFERROR(__xludf.DUMMYFUNCTION("""COMPUTED_VALUE"""),"Bhurundi Khola Cascade PRoR Hydropower Project")</f>
        <v>Bhurundi Khola Cascade PRoR Hydropower Project</v>
      </c>
      <c r="C2280" s="2">
        <f>IFERROR(__xludf.DUMMYFUNCTION("""COMPUTED_VALUE"""),4.73)</f>
        <v>4.73</v>
      </c>
      <c r="D2280" s="2" t="str">
        <f>IFERROR(__xludf.DUMMYFUNCTION("""COMPUTED_VALUE"""),"Bhurundi Khola")</f>
        <v>Bhurundi Khola</v>
      </c>
      <c r="E2280" s="2">
        <f>IFERROR(__xludf.DUMMYFUNCTION("""COMPUTED_VALUE"""),5732.0)</f>
        <v>5732</v>
      </c>
      <c r="F2280" s="3">
        <f>IFERROR(__xludf.DUMMYFUNCTION("""COMPUTED_VALUE"""),65723.0)</f>
        <v>65723</v>
      </c>
      <c r="G2280" s="2" t="str">
        <f>IFERROR(__xludf.DUMMYFUNCTION("""COMPUTED_VALUE"""),"Amarawati Hydropower Company Private Limited")</f>
        <v>Amarawati Hydropower Company Private Limited</v>
      </c>
      <c r="H2280" s="2" t="str">
        <f>IFERROR(__xludf.DUMMYFUNCTION("""COMPUTED_VALUE"""),"Koteshower, Kathmandu")</f>
        <v>Koteshower, Kathmandu</v>
      </c>
      <c r="I2280" s="2" t="str">
        <f>IFERROR(__xludf.DUMMYFUNCTION("""COMPUTED_VALUE"""),"28o 18' 30""")</f>
        <v>28o 18' 30"</v>
      </c>
      <c r="J2280" s="2" t="str">
        <f>IFERROR(__xludf.DUMMYFUNCTION("""COMPUTED_VALUE"""),"28o 19' 37""")</f>
        <v>28o 19' 37"</v>
      </c>
      <c r="K2280" s="2" t="str">
        <f>IFERROR(__xludf.DUMMYFUNCTION("""COMPUTED_VALUE"""),"83o 45' 01""")</f>
        <v>83o 45' 01"</v>
      </c>
      <c r="L2280" s="2" t="str">
        <f>IFERROR(__xludf.DUMMYFUNCTION("""COMPUTED_VALUE"""),"83o 46' 35""")</f>
        <v>83o 46' 35"</v>
      </c>
      <c r="M2280" s="2"/>
    </row>
    <row r="2281">
      <c r="A2281" s="2">
        <f>IFERROR(__xludf.DUMMYFUNCTION("""COMPUTED_VALUE"""),2280.0)</f>
        <v>2280</v>
      </c>
      <c r="B2281" s="2" t="str">
        <f>IFERROR(__xludf.DUMMYFUNCTION("""COMPUTED_VALUE"""),"Mathillo Budigandaki PRoR Hydropower Project")</f>
        <v>Mathillo Budigandaki PRoR Hydropower Project</v>
      </c>
      <c r="C2281" s="2">
        <f>IFERROR(__xludf.DUMMYFUNCTION("""COMPUTED_VALUE"""),203.0)</f>
        <v>203</v>
      </c>
      <c r="D2281" s="2" t="str">
        <f>IFERROR(__xludf.DUMMYFUNCTION("""COMPUTED_VALUE"""),"Budhi Gandaki")</f>
        <v>Budhi Gandaki</v>
      </c>
      <c r="E2281" s="2">
        <f>IFERROR(__xludf.DUMMYFUNCTION("""COMPUTED_VALUE"""),5940.0)</f>
        <v>5940</v>
      </c>
      <c r="F2281" s="3">
        <f>IFERROR(__xludf.DUMMYFUNCTION("""COMPUTED_VALUE"""),65731.0)</f>
        <v>65731</v>
      </c>
      <c r="G2281" s="2" t="str">
        <f>IFERROR(__xludf.DUMMYFUNCTION("""COMPUTED_VALUE"""),"Nabil Developers Private Limited")</f>
        <v>Nabil Developers Private Limited</v>
      </c>
      <c r="H2281" s="2" t="str">
        <f>IFERROR(__xludf.DUMMYFUNCTION("""COMPUTED_VALUE"""),"Nagarjun Municipality -10, Syuchatar, Kathmandu")</f>
        <v>Nagarjun Municipality -10, Syuchatar, Kathmandu</v>
      </c>
      <c r="I2281" s="2" t="str">
        <f>IFERROR(__xludf.DUMMYFUNCTION("""COMPUTED_VALUE"""),"28o 22' 01""")</f>
        <v>28o 22' 01"</v>
      </c>
      <c r="J2281" s="2" t="str">
        <f>IFERROR(__xludf.DUMMYFUNCTION("""COMPUTED_VALUE"""),"28o 26' 24""")</f>
        <v>28o 26' 24"</v>
      </c>
      <c r="K2281" s="2" t="str">
        <f>IFERROR(__xludf.DUMMYFUNCTION("""COMPUTED_VALUE"""),"84o 52' 40""")</f>
        <v>84o 52' 40"</v>
      </c>
      <c r="L2281" s="2" t="str">
        <f>IFERROR(__xludf.DUMMYFUNCTION("""COMPUTED_VALUE"""),"84o 54' 30""")</f>
        <v>84o 54' 30"</v>
      </c>
      <c r="M2281" s="2"/>
    </row>
    <row r="2282">
      <c r="A2282" s="2">
        <f>IFERROR(__xludf.DUMMYFUNCTION("""COMPUTED_VALUE"""),2281.0)</f>
        <v>2281</v>
      </c>
      <c r="B2282" s="2" t="str">
        <f>IFERROR(__xludf.DUMMYFUNCTION("""COMPUTED_VALUE"""),"Sanlo Khola Hydropower Project")</f>
        <v>Sanlo Khola Hydropower Project</v>
      </c>
      <c r="C2282" s="2">
        <f>IFERROR(__xludf.DUMMYFUNCTION("""COMPUTED_VALUE"""),5.0)</f>
        <v>5</v>
      </c>
      <c r="D2282" s="2" t="str">
        <f>IFERROR(__xludf.DUMMYFUNCTION("""COMPUTED_VALUE"""),"Sanlo Khola")</f>
        <v>Sanlo Khola</v>
      </c>
      <c r="E2282" s="2">
        <f>IFERROR(__xludf.DUMMYFUNCTION("""COMPUTED_VALUE"""),8154.0)</f>
        <v>8154</v>
      </c>
      <c r="F2282" s="3">
        <f>IFERROR(__xludf.DUMMYFUNCTION("""COMPUTED_VALUE"""),65751.0)</f>
        <v>65751</v>
      </c>
      <c r="G2282" s="2" t="str">
        <f>IFERROR(__xludf.DUMMYFUNCTION("""COMPUTED_VALUE"""),"Durga Laxmi Energy Private Limited")</f>
        <v>Durga Laxmi Energy Private Limited</v>
      </c>
      <c r="H2282" s="2" t="str">
        <f>IFERROR(__xludf.DUMMYFUNCTION("""COMPUTED_VALUE"""),"Tokha, Kathmandu")</f>
        <v>Tokha, Kathmandu</v>
      </c>
      <c r="I2282" s="2" t="str">
        <f>IFERROR(__xludf.DUMMYFUNCTION("""COMPUTED_VALUE"""),"28o 20' 33""")</f>
        <v>28o 20' 33"</v>
      </c>
      <c r="J2282" s="2" t="str">
        <f>IFERROR(__xludf.DUMMYFUNCTION("""COMPUTED_VALUE"""),"28o 21' 01""")</f>
        <v>28o 21' 01"</v>
      </c>
      <c r="K2282" s="2" t="str">
        <f>IFERROR(__xludf.DUMMYFUNCTION("""COMPUTED_VALUE"""),"84o 53' 58""")</f>
        <v>84o 53' 58"</v>
      </c>
      <c r="L2282" s="2" t="str">
        <f>IFERROR(__xludf.DUMMYFUNCTION("""COMPUTED_VALUE"""),"84o 54' 35""")</f>
        <v>84o 54' 35"</v>
      </c>
      <c r="M2282" s="2" t="str">
        <f>IFERROR(__xludf.DUMMYFUNCTION("""COMPUTED_VALUE"""),"Sirdibas (Gorkha)")</f>
        <v>Sirdibas (Gorkha)</v>
      </c>
    </row>
    <row r="2283">
      <c r="A2283" s="2">
        <f>IFERROR(__xludf.DUMMYFUNCTION("""COMPUTED_VALUE"""),2282.0)</f>
        <v>2282</v>
      </c>
      <c r="B2283" s="2" t="str">
        <f>IFERROR(__xludf.DUMMYFUNCTION("""COMPUTED_VALUE"""),"Budhigandaki Nyauli HEP")</f>
        <v>Budhigandaki Nyauli HEP</v>
      </c>
      <c r="C2283" s="2">
        <f>IFERROR(__xludf.DUMMYFUNCTION("""COMPUTED_VALUE"""),175.0)</f>
        <v>175</v>
      </c>
      <c r="D2283" s="2" t="str">
        <f>IFERROR(__xludf.DUMMYFUNCTION("""COMPUTED_VALUE"""),"Budhignadaki")</f>
        <v>Budhignadaki</v>
      </c>
      <c r="E2283" s="2">
        <f>IFERROR(__xludf.DUMMYFUNCTION("""COMPUTED_VALUE"""),8461.0)</f>
        <v>8461</v>
      </c>
      <c r="F2283" s="3">
        <f>IFERROR(__xludf.DUMMYFUNCTION("""COMPUTED_VALUE"""),65769.0)</f>
        <v>65769</v>
      </c>
      <c r="G2283" s="2" t="str">
        <f>IFERROR(__xludf.DUMMYFUNCTION("""COMPUTED_VALUE"""),"RM Investment Company Pvt. Ltd.")</f>
        <v>RM Investment Company Pvt. Ltd.</v>
      </c>
      <c r="H2283" s="2" t="str">
        <f>IFERROR(__xludf.DUMMYFUNCTION("""COMPUTED_VALUE"""),"Shree Krishna Sadan-6th floor, New Baneshore, KMC-10")</f>
        <v>Shree Krishna Sadan-6th floor, New Baneshore, KMC-10</v>
      </c>
      <c r="I2283" s="2" t="str">
        <f>IFERROR(__xludf.DUMMYFUNCTION("""COMPUTED_VALUE"""),"28o 07' 30""")</f>
        <v>28o 07' 30"</v>
      </c>
      <c r="J2283" s="2" t="str">
        <f>IFERROR(__xludf.DUMMYFUNCTION("""COMPUTED_VALUE"""),"28o 13' 45""")</f>
        <v>28o 13' 45"</v>
      </c>
      <c r="K2283" s="2" t="str">
        <f>IFERROR(__xludf.DUMMYFUNCTION("""COMPUTED_VALUE"""),"84o 51' 15""")</f>
        <v>84o 51' 15"</v>
      </c>
      <c r="L2283" s="2" t="str">
        <f>IFERROR(__xludf.DUMMYFUNCTION("""COMPUTED_VALUE"""),"84o 53' 40""")</f>
        <v>84o 53' 40"</v>
      </c>
      <c r="M2283" s="2"/>
    </row>
    <row r="2284">
      <c r="A2284" s="2">
        <f>IFERROR(__xludf.DUMMYFUNCTION("""COMPUTED_VALUE"""),2283.0)</f>
        <v>2283</v>
      </c>
      <c r="B2284" s="2" t="str">
        <f>IFERROR(__xludf.DUMMYFUNCTION("""COMPUTED_VALUE"""),"Sisa Khola A HEP")</f>
        <v>Sisa Khola A HEP</v>
      </c>
      <c r="C2284" s="2">
        <f>IFERROR(__xludf.DUMMYFUNCTION("""COMPUTED_VALUE"""),2.0)</f>
        <v>2</v>
      </c>
      <c r="D2284" s="2" t="str">
        <f>IFERROR(__xludf.DUMMYFUNCTION("""COMPUTED_VALUE"""),"Sisa")</f>
        <v>Sisa</v>
      </c>
      <c r="E2284" s="2">
        <f>IFERROR(__xludf.DUMMYFUNCTION("""COMPUTED_VALUE"""),8622.0)</f>
        <v>8622</v>
      </c>
      <c r="F2284" s="3">
        <f>IFERROR(__xludf.DUMMYFUNCTION("""COMPUTED_VALUE"""),65774.0)</f>
        <v>65774</v>
      </c>
      <c r="G2284" s="2" t="str">
        <f>IFERROR(__xludf.DUMMYFUNCTION("""COMPUTED_VALUE"""),"Sisa Power Limited")</f>
        <v>Sisa Power Limited</v>
      </c>
      <c r="H2284" s="2" t="str">
        <f>IFERROR(__xludf.DUMMYFUNCTION("""COMPUTED_VALUE"""),"K.M.C.-10, Thapagaun")</f>
        <v>K.M.C.-10, Thapagaun</v>
      </c>
      <c r="I2284" s="2" t="str">
        <f>IFERROR(__xludf.DUMMYFUNCTION("""COMPUTED_VALUE"""),"27o 26' 00""")</f>
        <v>27o 26' 00"</v>
      </c>
      <c r="J2284" s="2" t="str">
        <f>IFERROR(__xludf.DUMMYFUNCTION("""COMPUTED_VALUE"""),"27o 27' 00""")</f>
        <v>27o 27' 00"</v>
      </c>
      <c r="K2284" s="2" t="str">
        <f>IFERROR(__xludf.DUMMYFUNCTION("""COMPUTED_VALUE"""),"86o 33' 35""")</f>
        <v>86o 33' 35"</v>
      </c>
      <c r="L2284" s="2" t="str">
        <f>IFERROR(__xludf.DUMMYFUNCTION("""COMPUTED_VALUE"""),"86o 34' 27""")</f>
        <v>86o 34' 27"</v>
      </c>
      <c r="M2284" s="2"/>
    </row>
    <row r="2285">
      <c r="A2285" s="2">
        <f>IFERROR(__xludf.DUMMYFUNCTION("""COMPUTED_VALUE"""),2284.0)</f>
        <v>2284</v>
      </c>
      <c r="B2285" s="2" t="str">
        <f>IFERROR(__xludf.DUMMYFUNCTION("""COMPUTED_VALUE"""),"Bhurundi Khola Peaking Hydropower Project")</f>
        <v>Bhurundi Khola Peaking Hydropower Project</v>
      </c>
      <c r="C2285" s="2">
        <f>IFERROR(__xludf.DUMMYFUNCTION("""COMPUTED_VALUE"""),5.0)</f>
        <v>5</v>
      </c>
      <c r="D2285" s="2" t="str">
        <f>IFERROR(__xludf.DUMMYFUNCTION("""COMPUTED_VALUE"""),"Bhurundi")</f>
        <v>Bhurundi</v>
      </c>
      <c r="E2285" s="2">
        <f>IFERROR(__xludf.DUMMYFUNCTION("""COMPUTED_VALUE"""),8815.0)</f>
        <v>8815</v>
      </c>
      <c r="F2285" s="3">
        <f>IFERROR(__xludf.DUMMYFUNCTION("""COMPUTED_VALUE"""),65783.0)</f>
        <v>65783</v>
      </c>
      <c r="G2285" s="2" t="str">
        <f>IFERROR(__xludf.DUMMYFUNCTION("""COMPUTED_VALUE"""),"Aarati Hydropower Co. Pvt. Ltd.")</f>
        <v>Aarati Hydropower Co. Pvt. Ltd.</v>
      </c>
      <c r="H2285" s="2" t="str">
        <f>IFERROR(__xludf.DUMMYFUNCTION("""COMPUTED_VALUE"""),"Koteswor-32, Kathmandu, 9851134726")</f>
        <v>Koteswor-32, Kathmandu, 9851134726</v>
      </c>
      <c r="I2285" s="2" t="str">
        <f>IFERROR(__xludf.DUMMYFUNCTION("""COMPUTED_VALUE"""),"28o 18' 30""")</f>
        <v>28o 18' 30"</v>
      </c>
      <c r="J2285" s="2" t="str">
        <f>IFERROR(__xludf.DUMMYFUNCTION("""COMPUTED_VALUE"""),"28o 19' 37""")</f>
        <v>28o 19' 37"</v>
      </c>
      <c r="K2285" s="2" t="str">
        <f>IFERROR(__xludf.DUMMYFUNCTION("""COMPUTED_VALUE"""),"83o 45' 01""")</f>
        <v>83o 45' 01"</v>
      </c>
      <c r="L2285" s="2" t="str">
        <f>IFERROR(__xludf.DUMMYFUNCTION("""COMPUTED_VALUE"""),"83o 46' 35""")</f>
        <v>83o 46' 35"</v>
      </c>
      <c r="M2285" s="2"/>
    </row>
    <row r="2286">
      <c r="A2286" s="2">
        <f>IFERROR(__xludf.DUMMYFUNCTION("""COMPUTED_VALUE"""),2285.0)</f>
        <v>2285</v>
      </c>
      <c r="B2286" s="2" t="str">
        <f>IFERROR(__xludf.DUMMYFUNCTION("""COMPUTED_VALUE"""),"Super Kawadi Khola Storage Hydropower Project")</f>
        <v>Super Kawadi Khola Storage Hydropower Project</v>
      </c>
      <c r="C2286" s="2">
        <f>IFERROR(__xludf.DUMMYFUNCTION("""COMPUTED_VALUE"""),5.0)</f>
        <v>5</v>
      </c>
      <c r="D2286" s="2" t="str">
        <f>IFERROR(__xludf.DUMMYFUNCTION("""COMPUTED_VALUE"""),"Kawadi Khola")</f>
        <v>Kawadi Khola</v>
      </c>
      <c r="E2286" s="2">
        <f>IFERROR(__xludf.DUMMYFUNCTION("""COMPUTED_VALUE"""),9208.0)</f>
        <v>9208</v>
      </c>
      <c r="F2286" s="3">
        <f>IFERROR(__xludf.DUMMYFUNCTION("""COMPUTED_VALUE"""),65799.0)</f>
        <v>65799</v>
      </c>
      <c r="G2286" s="2" t="str">
        <f>IFERROR(__xludf.DUMMYFUNCTION("""COMPUTED_VALUE"""),"Shanta Himalya Hydropower Private Limited")</f>
        <v>Shanta Himalya Hydropower Private Limited</v>
      </c>
      <c r="H2286" s="2" t="str">
        <f>IFERROR(__xludf.DUMMYFUNCTION("""COMPUTED_VALUE"""),"Ward No:4, Pasikot, Kathmandu")</f>
        <v>Ward No:4, Pasikot, Kathmandu</v>
      </c>
      <c r="I2286" s="2" t="str">
        <f>IFERROR(__xludf.DUMMYFUNCTION("""COMPUTED_VALUE"""),"29o 48' 18""")</f>
        <v>29o 48' 18"</v>
      </c>
      <c r="J2286" s="2" t="str">
        <f>IFERROR(__xludf.DUMMYFUNCTION("""COMPUTED_VALUE"""),"29o 54' 00""")</f>
        <v>29o 54' 00"</v>
      </c>
      <c r="K2286" s="2" t="str">
        <f>IFERROR(__xludf.DUMMYFUNCTION("""COMPUTED_VALUE"""),"81o 35' 00""")</f>
        <v>81o 35' 00"</v>
      </c>
      <c r="L2286" s="2" t="str">
        <f>IFERROR(__xludf.DUMMYFUNCTION("""COMPUTED_VALUE"""),"81o 45' 54""")</f>
        <v>81o 45' 54"</v>
      </c>
      <c r="M2286" s="2" t="str">
        <f>IFERROR(__xludf.DUMMYFUNCTION("""COMPUTED_VALUE"""),"Bichhiya (Bajura)")</f>
        <v>Bichhiya (Bajura)</v>
      </c>
    </row>
    <row r="2287">
      <c r="A2287" s="2">
        <f>IFERROR(__xludf.DUMMYFUNCTION("""COMPUTED_VALUE"""),2286.0)</f>
        <v>2286</v>
      </c>
      <c r="B2287" s="2" t="str">
        <f>IFERROR(__xludf.DUMMYFUNCTION("""COMPUTED_VALUE"""),"Phak Phok Khola PRoR Hydropower Project")</f>
        <v>Phak Phok Khola PRoR Hydropower Project</v>
      </c>
      <c r="C2287" s="2">
        <f>IFERROR(__xludf.DUMMYFUNCTION("""COMPUTED_VALUE"""),3.7)</f>
        <v>3.7</v>
      </c>
      <c r="D2287" s="2" t="str">
        <f>IFERROR(__xludf.DUMMYFUNCTION("""COMPUTED_VALUE"""),"Phak Phok Khola")</f>
        <v>Phak Phok Khola</v>
      </c>
      <c r="E2287" s="2">
        <f>IFERROR(__xludf.DUMMYFUNCTION("""COMPUTED_VALUE"""),9492.0)</f>
        <v>9492</v>
      </c>
      <c r="F2287" s="3">
        <f>IFERROR(__xludf.DUMMYFUNCTION("""COMPUTED_VALUE"""),65809.0)</f>
        <v>65809</v>
      </c>
      <c r="G2287" s="2" t="str">
        <f>IFERROR(__xludf.DUMMYFUNCTION("""COMPUTED_VALUE"""),"Artec Energy Private Limited")</f>
        <v>Artec Energy Private Limited</v>
      </c>
      <c r="H2287" s="2" t="str">
        <f>IFERROR(__xludf.DUMMYFUNCTION("""COMPUTED_VALUE"""),"Lamachaur - 16, Pokhara, Kaski")</f>
        <v>Lamachaur - 16, Pokhara, Kaski</v>
      </c>
      <c r="I2287" s="2" t="str">
        <f>IFERROR(__xludf.DUMMYFUNCTION("""COMPUTED_VALUE"""),"26o 54' 45""")</f>
        <v>26o 54' 45"</v>
      </c>
      <c r="J2287" s="2" t="str">
        <f>IFERROR(__xludf.DUMMYFUNCTION("""COMPUTED_VALUE"""),"26o 56' 44""")</f>
        <v>26o 56' 44"</v>
      </c>
      <c r="K2287" s="2" t="str">
        <f>IFERROR(__xludf.DUMMYFUNCTION("""COMPUTED_VALUE"""),"87o 45' 38""")</f>
        <v>87o 45' 38"</v>
      </c>
      <c r="L2287" s="2" t="str">
        <f>IFERROR(__xludf.DUMMYFUNCTION("""COMPUTED_VALUE"""),"87o 46' 30""")</f>
        <v>87o 46' 30"</v>
      </c>
      <c r="M2287" s="2" t="str">
        <f>IFERROR(__xludf.DUMMYFUNCTION("""COMPUTED_VALUE"""),"Phuyatappa,Ektappa,Gajurmukhi,Amchok,Ghuseni (Ilam)")</f>
        <v>Phuyatappa,Ektappa,Gajurmukhi,Amchok,Ghuseni (Ilam)</v>
      </c>
    </row>
    <row r="2288">
      <c r="A2288" s="2">
        <f>IFERROR(__xludf.DUMMYFUNCTION("""COMPUTED_VALUE"""),2287.0)</f>
        <v>2287</v>
      </c>
      <c r="B2288" s="2" t="str">
        <f>IFERROR(__xludf.DUMMYFUNCTION("""COMPUTED_VALUE"""),"Super Dudh Khola Hydropower Project")</f>
        <v>Super Dudh Khola Hydropower Project</v>
      </c>
      <c r="C2288" s="2">
        <f>IFERROR(__xludf.DUMMYFUNCTION("""COMPUTED_VALUE"""),24.86)</f>
        <v>24.86</v>
      </c>
      <c r="D2288" s="2" t="str">
        <f>IFERROR(__xludf.DUMMYFUNCTION("""COMPUTED_VALUE"""),"Dudh Khola")</f>
        <v>Dudh Khola</v>
      </c>
      <c r="E2288" s="2">
        <f>IFERROR(__xludf.DUMMYFUNCTION("""COMPUTED_VALUE"""),9496.0)</f>
        <v>9496</v>
      </c>
      <c r="F2288" s="3">
        <f>IFERROR(__xludf.DUMMYFUNCTION("""COMPUTED_VALUE"""),65809.0)</f>
        <v>65809</v>
      </c>
      <c r="G2288" s="2" t="str">
        <f>IFERROR(__xludf.DUMMYFUNCTION("""COMPUTED_VALUE"""),"Mount Himlung Power Development Private Limited")</f>
        <v>Mount Himlung Power Development Private Limited</v>
      </c>
      <c r="H2288" s="2" t="str">
        <f>IFERROR(__xludf.DUMMYFUNCTION("""COMPUTED_VALUE"""),"Lalitpur Metropolitan City - 15, Mahalaxmisthan, 01-5527469")</f>
        <v>Lalitpur Metropolitan City - 15, Mahalaxmisthan, 01-5527469</v>
      </c>
      <c r="I2288" s="2" t="str">
        <f>IFERROR(__xludf.DUMMYFUNCTION("""COMPUTED_VALUE"""),"28o 35' 31""")</f>
        <v>28o 35' 31"</v>
      </c>
      <c r="J2288" s="2" t="str">
        <f>IFERROR(__xludf.DUMMYFUNCTION("""COMPUTED_VALUE"""),"28o 36' 52""")</f>
        <v>28o 36' 52"</v>
      </c>
      <c r="K2288" s="2" t="str">
        <f>IFERROR(__xludf.DUMMYFUNCTION("""COMPUTED_VALUE"""),"84o 25' 40""")</f>
        <v>84o 25' 40"</v>
      </c>
      <c r="L2288" s="2" t="str">
        <f>IFERROR(__xludf.DUMMYFUNCTION("""COMPUTED_VALUE"""),"84o 28' 50""")</f>
        <v>84o 28' 50"</v>
      </c>
      <c r="M2288" s="2" t="str">
        <f>IFERROR(__xludf.DUMMYFUNCTION("""COMPUTED_VALUE"""),"Thoche (Manang)")</f>
        <v>Thoche (Manang)</v>
      </c>
    </row>
    <row r="2289">
      <c r="A2289" s="2">
        <f>IFERROR(__xludf.DUMMYFUNCTION("""COMPUTED_VALUE"""),2288.0)</f>
        <v>2288</v>
      </c>
      <c r="B2289" s="2" t="str">
        <f>IFERROR(__xludf.DUMMYFUNCTION("""COMPUTED_VALUE"""),"Lower Karnali Hydropower Project")</f>
        <v>Lower Karnali Hydropower Project</v>
      </c>
      <c r="C2289" s="2">
        <f>IFERROR(__xludf.DUMMYFUNCTION("""COMPUTED_VALUE"""),400.0)</f>
        <v>400</v>
      </c>
      <c r="D2289" s="2" t="str">
        <f>IFERROR(__xludf.DUMMYFUNCTION("""COMPUTED_VALUE"""),"Karnali")</f>
        <v>Karnali</v>
      </c>
      <c r="E2289" s="2">
        <f>IFERROR(__xludf.DUMMYFUNCTION("""COMPUTED_VALUE"""),9518.0)</f>
        <v>9518</v>
      </c>
      <c r="F2289" s="3">
        <f>IFERROR(__xludf.DUMMYFUNCTION("""COMPUTED_VALUE"""),65810.0)</f>
        <v>65810</v>
      </c>
      <c r="G2289" s="2" t="str">
        <f>IFERROR(__xludf.DUMMYFUNCTION("""COMPUTED_VALUE"""),"Saipal Energy Private Limited")</f>
        <v>Saipal Energy Private Limited</v>
      </c>
      <c r="H2289" s="2" t="str">
        <f>IFERROR(__xludf.DUMMYFUNCTION("""COMPUTED_VALUE"""),"Madhyapur Thimi, Ward No-02, Bhaktapur")</f>
        <v>Madhyapur Thimi, Ward No-02, Bhaktapur</v>
      </c>
      <c r="I2289" s="2" t="str">
        <f>IFERROR(__xludf.DUMMYFUNCTION("""COMPUTED_VALUE"""),"28o 50' 57""")</f>
        <v>28o 50' 57"</v>
      </c>
      <c r="J2289" s="2" t="str">
        <f>IFERROR(__xludf.DUMMYFUNCTION("""COMPUTED_VALUE"""),"28o 57' 40""")</f>
        <v>28o 57' 40"</v>
      </c>
      <c r="K2289" s="2" t="str">
        <f>IFERROR(__xludf.DUMMYFUNCTION("""COMPUTED_VALUE"""),"81o 07' 30""")</f>
        <v>81o 07' 30"</v>
      </c>
      <c r="L2289" s="2" t="str">
        <f>IFERROR(__xludf.DUMMYFUNCTION("""COMPUTED_VALUE"""),"81o 14' 40""")</f>
        <v>81o 14' 40"</v>
      </c>
      <c r="M2289" s="2" t="str">
        <f>IFERROR(__xludf.DUMMYFUNCTION("""COMPUTED_VALUE"""),"Dhungachalna (Achham) Bijaura,Betan,Lagaam (Surkhet)")</f>
        <v>Dhungachalna (Achham) Bijaura,Betan,Lagaam (Surkhet)</v>
      </c>
    </row>
    <row r="2290">
      <c r="A2290" s="2">
        <f>IFERROR(__xludf.DUMMYFUNCTION("""COMPUTED_VALUE"""),2289.0)</f>
        <v>2289</v>
      </c>
      <c r="B2290" s="2" t="str">
        <f>IFERROR(__xludf.DUMMYFUNCTION("""COMPUTED_VALUE"""),"Tarap Khola Storage Hydropower Project")</f>
        <v>Tarap Khola Storage Hydropower Project</v>
      </c>
      <c r="C2290" s="2">
        <f>IFERROR(__xludf.DUMMYFUNCTION("""COMPUTED_VALUE"""),5.0)</f>
        <v>5</v>
      </c>
      <c r="D2290" s="2" t="str">
        <f>IFERROR(__xludf.DUMMYFUNCTION("""COMPUTED_VALUE"""),"Tarap")</f>
        <v>Tarap</v>
      </c>
      <c r="E2290" s="2">
        <f>IFERROR(__xludf.DUMMYFUNCTION("""COMPUTED_VALUE"""),9566.0)</f>
        <v>9566</v>
      </c>
      <c r="F2290" s="3">
        <f>IFERROR(__xludf.DUMMYFUNCTION("""COMPUTED_VALUE"""),65812.0)</f>
        <v>65812</v>
      </c>
      <c r="G2290" s="2" t="str">
        <f>IFERROR(__xludf.DUMMYFUNCTION("""COMPUTED_VALUE"""),"Ramatec Bheri Hydropower Private Limited")</f>
        <v>Ramatec Bheri Hydropower Private Limited</v>
      </c>
      <c r="H2290" s="2" t="str">
        <f>IFERROR(__xludf.DUMMYFUNCTION("""COMPUTED_VALUE"""),"Ward No 2, Budhanilkantha, Kathmandu")</f>
        <v>Ward No 2, Budhanilkantha, Kathmandu</v>
      </c>
      <c r="I2290" s="2" t="str">
        <f>IFERROR(__xludf.DUMMYFUNCTION("""COMPUTED_VALUE"""),"28o 53' 39""")</f>
        <v>28o 53' 39"</v>
      </c>
      <c r="J2290" s="2" t="str">
        <f>IFERROR(__xludf.DUMMYFUNCTION("""COMPUTED_VALUE"""),"29o 00' 00""")</f>
        <v>29o 00' 00"</v>
      </c>
      <c r="K2290" s="2" t="str">
        <f>IFERROR(__xludf.DUMMYFUNCTION("""COMPUTED_VALUE"""),"83o 01' 49""")</f>
        <v>83o 01' 49"</v>
      </c>
      <c r="L2290" s="2" t="str">
        <f>IFERROR(__xludf.DUMMYFUNCTION("""COMPUTED_VALUE"""),"83o 05' 36""")</f>
        <v>83o 05' 36"</v>
      </c>
      <c r="M2290" s="2" t="str">
        <f>IFERROR(__xludf.DUMMYFUNCTION("""COMPUTED_VALUE"""),"Mukot,Lawan,Sahartara (Dolpa)")</f>
        <v>Mukot,Lawan,Sahartara (Dolpa)</v>
      </c>
    </row>
    <row r="2291">
      <c r="A2291" s="2">
        <f>IFERROR(__xludf.DUMMYFUNCTION("""COMPUTED_VALUE"""),2290.0)</f>
        <v>2290</v>
      </c>
      <c r="B2291" s="2" t="str">
        <f>IFERROR(__xludf.DUMMYFUNCTION("""COMPUTED_VALUE"""),"Tallo Chameliya Hydropower Project")</f>
        <v>Tallo Chameliya Hydropower Project</v>
      </c>
      <c r="C2291" s="2">
        <f>IFERROR(__xludf.DUMMYFUNCTION("""COMPUTED_VALUE"""),20.0)</f>
        <v>20</v>
      </c>
      <c r="D2291" s="2"/>
      <c r="E2291" s="2">
        <f>IFERROR(__xludf.DUMMYFUNCTION("""COMPUTED_VALUE"""),9666.0)</f>
        <v>9666</v>
      </c>
      <c r="F2291" s="3">
        <f>IFERROR(__xludf.DUMMYFUNCTION("""COMPUTED_VALUE"""),65815.0)</f>
        <v>65815</v>
      </c>
      <c r="G2291" s="2" t="str">
        <f>IFERROR(__xludf.DUMMYFUNCTION("""COMPUTED_VALUE"""),"Khaptad Power Company Private Limited")</f>
        <v>Khaptad Power Company Private Limited</v>
      </c>
      <c r="H2291" s="2" t="str">
        <f>IFERROR(__xludf.DUMMYFUNCTION("""COMPUTED_VALUE"""),"Budhhanagar-10, Kathmandu, 9851162841")</f>
        <v>Budhhanagar-10, Kathmandu, 9851162841</v>
      </c>
      <c r="I2291" s="2" t="str">
        <f>IFERROR(__xludf.DUMMYFUNCTION("""COMPUTED_VALUE"""),"29o 40' 00""")</f>
        <v>29o 40' 00"</v>
      </c>
      <c r="J2291" s="2" t="str">
        <f>IFERROR(__xludf.DUMMYFUNCTION("""COMPUTED_VALUE"""),"29o 41' 40""")</f>
        <v>29o 41' 40"</v>
      </c>
      <c r="K2291" s="2" t="str">
        <f>IFERROR(__xludf.DUMMYFUNCTION("""COMPUTED_VALUE"""),"80o 34' 41""")</f>
        <v>80o 34' 41"</v>
      </c>
      <c r="L2291" s="2" t="str">
        <f>IFERROR(__xludf.DUMMYFUNCTION("""COMPUTED_VALUE"""),"80o 37' 59""")</f>
        <v>80o 37' 59"</v>
      </c>
      <c r="M2291" s="2" t="str">
        <f>IFERROR(__xludf.DUMMYFUNCTION("""COMPUTED_VALUE"""),"Dilasaini (Baitadi)")</f>
        <v>Dilasaini (Baitadi)</v>
      </c>
    </row>
    <row r="2292">
      <c r="A2292" s="2">
        <f>IFERROR(__xludf.DUMMYFUNCTION("""COMPUTED_VALUE"""),2291.0)</f>
        <v>2291</v>
      </c>
      <c r="B2292" s="2" t="str">
        <f>IFERROR(__xludf.DUMMYFUNCTION("""COMPUTED_VALUE"""),"Bheri Jairi PRoR Hydroelectric Project")</f>
        <v>Bheri Jairi PRoR Hydroelectric Project</v>
      </c>
      <c r="C2292" s="2">
        <f>IFERROR(__xludf.DUMMYFUNCTION("""COMPUTED_VALUE"""),97.0)</f>
        <v>97</v>
      </c>
      <c r="D2292" s="2" t="str">
        <f>IFERROR(__xludf.DUMMYFUNCTION("""COMPUTED_VALUE"""),"Thuli Bheri")</f>
        <v>Thuli Bheri</v>
      </c>
      <c r="E2292" s="2">
        <f>IFERROR(__xludf.DUMMYFUNCTION("""COMPUTED_VALUE"""),9770.0)</f>
        <v>9770</v>
      </c>
      <c r="F2292" s="3">
        <f>IFERROR(__xludf.DUMMYFUNCTION("""COMPUTED_VALUE"""),65818.0)</f>
        <v>65818</v>
      </c>
      <c r="G2292" s="2" t="str">
        <f>IFERROR(__xludf.DUMMYFUNCTION("""COMPUTED_VALUE"""),"Newton Hydro Energy Private Limited")</f>
        <v>Newton Hydro Energy Private Limited</v>
      </c>
      <c r="H2292" s="2" t="str">
        <f>IFERROR(__xludf.DUMMYFUNCTION("""COMPUTED_VALUE"""),"Lazimpat - 2, Kathmandu, Nepal, 01-6911637")</f>
        <v>Lazimpat - 2, Kathmandu, Nepal, 01-6911637</v>
      </c>
      <c r="I2292" s="2" t="str">
        <f>IFERROR(__xludf.DUMMYFUNCTION("""COMPUTED_VALUE"""),"28o 52' 25""")</f>
        <v>28o 52' 25"</v>
      </c>
      <c r="J2292" s="2" t="str">
        <f>IFERROR(__xludf.DUMMYFUNCTION("""COMPUTED_VALUE"""),"28o 57' 12""")</f>
        <v>28o 57' 12"</v>
      </c>
      <c r="K2292" s="2" t="str">
        <f>IFERROR(__xludf.DUMMYFUNCTION("""COMPUTED_VALUE"""),"82o 54' 00""")</f>
        <v>82o 54' 00"</v>
      </c>
      <c r="L2292" s="2" t="str">
        <f>IFERROR(__xludf.DUMMYFUNCTION("""COMPUTED_VALUE"""),"83o 02' 08""")</f>
        <v>83o 02' 08"</v>
      </c>
      <c r="M2292" s="2" t="str">
        <f>IFERROR(__xludf.DUMMYFUNCTION("""COMPUTED_VALUE"""),"Lawan,Dunai,Sahartara,Mukot (Dolpa)")</f>
        <v>Lawan,Dunai,Sahartara,Mukot (Dolpa)</v>
      </c>
    </row>
    <row r="2293">
      <c r="A2293" s="2">
        <f>IFERROR(__xludf.DUMMYFUNCTION("""COMPUTED_VALUE"""),2292.0)</f>
        <v>2292</v>
      </c>
      <c r="B2293" s="2" t="str">
        <f>IFERROR(__xludf.DUMMYFUNCTION("""COMPUTED_VALUE"""),"Tarap Khola Storage Hydropower Project1")</f>
        <v>Tarap Khola Storage Hydropower Project1</v>
      </c>
      <c r="C2293" s="2">
        <f>IFERROR(__xludf.DUMMYFUNCTION("""COMPUTED_VALUE"""),5.0)</f>
        <v>5</v>
      </c>
      <c r="D2293" s="2" t="str">
        <f>IFERROR(__xludf.DUMMYFUNCTION("""COMPUTED_VALUE"""),"Tarap")</f>
        <v>Tarap</v>
      </c>
      <c r="E2293" s="2">
        <f>IFERROR(__xludf.DUMMYFUNCTION("""COMPUTED_VALUE"""),9942.0)</f>
        <v>9942</v>
      </c>
      <c r="F2293" s="3">
        <f>IFERROR(__xludf.DUMMYFUNCTION("""COMPUTED_VALUE"""),65825.0)</f>
        <v>65825</v>
      </c>
      <c r="G2293" s="2" t="str">
        <f>IFERROR(__xludf.DUMMYFUNCTION("""COMPUTED_VALUE"""),"Ramatec Bheri Hydropower Private Limited")</f>
        <v>Ramatec Bheri Hydropower Private Limited</v>
      </c>
      <c r="H2293" s="2" t="str">
        <f>IFERROR(__xludf.DUMMYFUNCTION("""COMPUTED_VALUE"""),"Budhanilkantha Municipality - 2 , Kathmandu")</f>
        <v>Budhanilkantha Municipality - 2 , Kathmandu</v>
      </c>
      <c r="I2293" s="2" t="str">
        <f>IFERROR(__xludf.DUMMYFUNCTION("""COMPUTED_VALUE"""),"28o 53' 39""")</f>
        <v>28o 53' 39"</v>
      </c>
      <c r="J2293" s="2" t="str">
        <f>IFERROR(__xludf.DUMMYFUNCTION("""COMPUTED_VALUE"""),"29o 00' 00""")</f>
        <v>29o 00' 00"</v>
      </c>
      <c r="K2293" s="2" t="str">
        <f>IFERROR(__xludf.DUMMYFUNCTION("""COMPUTED_VALUE"""),"83o 01' 49""")</f>
        <v>83o 01' 49"</v>
      </c>
      <c r="L2293" s="2" t="str">
        <f>IFERROR(__xludf.DUMMYFUNCTION("""COMPUTED_VALUE"""),"83o 05' 36""")</f>
        <v>83o 05' 36"</v>
      </c>
      <c r="M2293" s="2" t="str">
        <f>IFERROR(__xludf.DUMMYFUNCTION("""COMPUTED_VALUE"""),"Mukot,Lawan (Dolpa)")</f>
        <v>Mukot,Lawan (Dolpa)</v>
      </c>
    </row>
    <row r="2294">
      <c r="A2294" s="2">
        <f>IFERROR(__xludf.DUMMYFUNCTION("""COMPUTED_VALUE"""),2293.0)</f>
        <v>2293</v>
      </c>
      <c r="B2294" s="2" t="str">
        <f>IFERROR(__xludf.DUMMYFUNCTION("""COMPUTED_VALUE"""),"NAR-PHU Hydropower Project")</f>
        <v>NAR-PHU Hydropower Project</v>
      </c>
      <c r="C2294" s="2">
        <f>IFERROR(__xludf.DUMMYFUNCTION("""COMPUTED_VALUE"""),70.0)</f>
        <v>70</v>
      </c>
      <c r="D2294" s="2" t="str">
        <f>IFERROR(__xludf.DUMMYFUNCTION("""COMPUTED_VALUE"""),"Nar Khola, Phu Khola")</f>
        <v>Nar Khola, Phu Khola</v>
      </c>
      <c r="E2294" s="2">
        <f>IFERROR(__xludf.DUMMYFUNCTION("""COMPUTED_VALUE"""),9964.0)</f>
        <v>9964</v>
      </c>
      <c r="F2294" s="3">
        <f>IFERROR(__xludf.DUMMYFUNCTION("""COMPUTED_VALUE"""),65826.0)</f>
        <v>65826</v>
      </c>
      <c r="G2294" s="2" t="str">
        <f>IFERROR(__xludf.DUMMYFUNCTION("""COMPUTED_VALUE"""),"Amrit Dhara Urja Private Limited")</f>
        <v>Amrit Dhara Urja Private Limited</v>
      </c>
      <c r="H2294" s="2" t="str">
        <f>IFERROR(__xludf.DUMMYFUNCTION("""COMPUTED_VALUE"""),"Buddhanagar, Bhawana Marg, Kathmandu")</f>
        <v>Buddhanagar, Bhawana Marg, Kathmandu</v>
      </c>
      <c r="I2294" s="2" t="str">
        <f>IFERROR(__xludf.DUMMYFUNCTION("""COMPUTED_VALUE"""),"28o 38' 04""")</f>
        <v>28o 38' 04"</v>
      </c>
      <c r="J2294" s="2" t="str">
        <f>IFERROR(__xludf.DUMMYFUNCTION("""COMPUTED_VALUE"""),"28o 42' 56""")</f>
        <v>28o 42' 56"</v>
      </c>
      <c r="K2294" s="2" t="str">
        <f>IFERROR(__xludf.DUMMYFUNCTION("""COMPUTED_VALUE"""),"84o 12' 43""")</f>
        <v>84o 12' 43"</v>
      </c>
      <c r="L2294" s="2" t="str">
        <f>IFERROR(__xludf.DUMMYFUNCTION("""COMPUTED_VALUE"""),"84o 15' 46""")</f>
        <v>84o 15' 46"</v>
      </c>
      <c r="M2294" s="2" t="str">
        <f>IFERROR(__xludf.DUMMYFUNCTION("""COMPUTED_VALUE"""),"Fu,Nar (Manang)")</f>
        <v>Fu,Nar (Manang)</v>
      </c>
    </row>
    <row r="2295">
      <c r="A2295" s="2">
        <f>IFERROR(__xludf.DUMMYFUNCTION("""COMPUTED_VALUE"""),2294.0)</f>
        <v>2294</v>
      </c>
      <c r="B2295" s="2" t="str">
        <f>IFERROR(__xludf.DUMMYFUNCTION("""COMPUTED_VALUE"""),"Dudhkoshi - 3A Hydroelectric Project")</f>
        <v>Dudhkoshi - 3A Hydroelectric Project</v>
      </c>
      <c r="C2295" s="2">
        <f>IFERROR(__xludf.DUMMYFUNCTION("""COMPUTED_VALUE"""),87.0)</f>
        <v>87</v>
      </c>
      <c r="D2295" s="2" t="str">
        <f>IFERROR(__xludf.DUMMYFUNCTION("""COMPUTED_VALUE"""),"Dudhkoshi")</f>
        <v>Dudhkoshi</v>
      </c>
      <c r="E2295" s="2">
        <f>IFERROR(__xludf.DUMMYFUNCTION("""COMPUTED_VALUE"""),10052.0)</f>
        <v>10052</v>
      </c>
      <c r="F2295" s="3">
        <f>IFERROR(__xludf.DUMMYFUNCTION("""COMPUTED_VALUE"""),65829.0)</f>
        <v>65829</v>
      </c>
      <c r="G2295" s="2" t="str">
        <f>IFERROR(__xludf.DUMMYFUNCTION("""COMPUTED_VALUE"""),"RM Investment Company Pvt. Ltd.")</f>
        <v>RM Investment Company Pvt. Ltd.</v>
      </c>
      <c r="H2295" s="2" t="str">
        <f>IFERROR(__xludf.DUMMYFUNCTION("""COMPUTED_VALUE"""),"New Baneswor, Kathamandu 10")</f>
        <v>New Baneswor, Kathamandu 10</v>
      </c>
      <c r="I2295" s="2" t="str">
        <f>IFERROR(__xludf.DUMMYFUNCTION("""COMPUTED_VALUE"""),"27o 26' 30""")</f>
        <v>27o 26' 30"</v>
      </c>
      <c r="J2295" s="2" t="str">
        <f>IFERROR(__xludf.DUMMYFUNCTION("""COMPUTED_VALUE"""),"27o 29' 46""")</f>
        <v>27o 29' 46"</v>
      </c>
      <c r="K2295" s="2" t="str">
        <f>IFERROR(__xludf.DUMMYFUNCTION("""COMPUTED_VALUE"""),"86o 41' 00""")</f>
        <v>86o 41' 00"</v>
      </c>
      <c r="L2295" s="2" t="str">
        <f>IFERROR(__xludf.DUMMYFUNCTION("""COMPUTED_VALUE"""),"86o 44' 20""")</f>
        <v>86o 44' 20"</v>
      </c>
      <c r="M2295" s="2" t="str">
        <f>IFERROR(__xludf.DUMMYFUNCTION("""COMPUTED_VALUE"""),"Deusa (Solukhumbu)")</f>
        <v>Deusa (Solukhumbu)</v>
      </c>
    </row>
    <row r="2296">
      <c r="A2296" s="2">
        <f>IFERROR(__xludf.DUMMYFUNCTION("""COMPUTED_VALUE"""),2295.0)</f>
        <v>2295</v>
      </c>
      <c r="B2296" s="2" t="str">
        <f>IFERROR(__xludf.DUMMYFUNCTION("""COMPUTED_VALUE"""),"Super Bheri PRoR Hydropower Project")</f>
        <v>Super Bheri PRoR Hydropower Project</v>
      </c>
      <c r="C2296" s="2">
        <f>IFERROR(__xludf.DUMMYFUNCTION("""COMPUTED_VALUE"""),77.87)</f>
        <v>77.87</v>
      </c>
      <c r="D2296" s="2" t="str">
        <f>IFERROR(__xludf.DUMMYFUNCTION("""COMPUTED_VALUE"""),"Bheri")</f>
        <v>Bheri</v>
      </c>
      <c r="E2296" s="2">
        <f>IFERROR(__xludf.DUMMYFUNCTION("""COMPUTED_VALUE"""),454.0)</f>
        <v>454</v>
      </c>
      <c r="F2296" s="3">
        <f>IFERROR(__xludf.DUMMYFUNCTION("""COMPUTED_VALUE"""),65851.0)</f>
        <v>65851</v>
      </c>
      <c r="G2296" s="2" t="str">
        <f>IFERROR(__xludf.DUMMYFUNCTION("""COMPUTED_VALUE"""),"White Lotus Power Limited")</f>
        <v>White Lotus Power Limited</v>
      </c>
      <c r="H2296" s="2" t="str">
        <f>IFERROR(__xludf.DUMMYFUNCTION("""COMPUTED_VALUE"""),"New Baneswor - 10 Kathmandu, Phone 01-4795660")</f>
        <v>New Baneswor - 10 Kathmandu, Phone 01-4795660</v>
      </c>
      <c r="I2296" s="2" t="str">
        <f>IFERROR(__xludf.DUMMYFUNCTION("""COMPUTED_VALUE"""),"28o 57' 32""")</f>
        <v>28o 57' 32"</v>
      </c>
      <c r="J2296" s="2" t="str">
        <f>IFERROR(__xludf.DUMMYFUNCTION("""COMPUTED_VALUE"""),"28o 59' 36""")</f>
        <v>28o 59' 36"</v>
      </c>
      <c r="K2296" s="2" t="str">
        <f>IFERROR(__xludf.DUMMYFUNCTION("""COMPUTED_VALUE"""),"82o 31' 21""")</f>
        <v>82o 31' 21"</v>
      </c>
      <c r="L2296" s="2" t="str">
        <f>IFERROR(__xludf.DUMMYFUNCTION("""COMPUTED_VALUE"""),"82o 35' 00""")</f>
        <v>82o 35' 00"</v>
      </c>
      <c r="M2296" s="2" t="str">
        <f>IFERROR(__xludf.DUMMYFUNCTION("""COMPUTED_VALUE"""),"Kalika (Dolpa) Bhagawati Tol (Jajarkot) Gautamkot (Rukum)")</f>
        <v>Kalika (Dolpa) Bhagawati Tol (Jajarkot) Gautamkot (Rukum)</v>
      </c>
    </row>
    <row r="2297">
      <c r="A2297" s="2">
        <f>IFERROR(__xludf.DUMMYFUNCTION("""COMPUTED_VALUE"""),2296.0)</f>
        <v>2296</v>
      </c>
      <c r="B2297" s="2" t="str">
        <f>IFERROR(__xludf.DUMMYFUNCTION("""COMPUTED_VALUE"""),"Budiganga1 Hydropower Project")</f>
        <v>Budiganga1 Hydropower Project</v>
      </c>
      <c r="C2297" s="2">
        <f>IFERROR(__xludf.DUMMYFUNCTION("""COMPUTED_VALUE"""),9.59)</f>
        <v>9.59</v>
      </c>
      <c r="D2297" s="2" t="str">
        <f>IFERROR(__xludf.DUMMYFUNCTION("""COMPUTED_VALUE"""),"Budhi Ganga")</f>
        <v>Budhi Ganga</v>
      </c>
      <c r="E2297" s="2">
        <f>IFERROR(__xludf.DUMMYFUNCTION("""COMPUTED_VALUE"""),486.0)</f>
        <v>486</v>
      </c>
      <c r="F2297" s="3">
        <f>IFERROR(__xludf.DUMMYFUNCTION("""COMPUTED_VALUE"""),65851.0)</f>
        <v>65851</v>
      </c>
      <c r="G2297" s="2" t="str">
        <f>IFERROR(__xludf.DUMMYFUNCTION("""COMPUTED_VALUE"""),"Satwik Energy Private Limited")</f>
        <v>Satwik Energy Private Limited</v>
      </c>
      <c r="H2297" s="2" t="str">
        <f>IFERROR(__xludf.DUMMYFUNCTION("""COMPUTED_VALUE"""),"Nagarjun Municipality, Kathmandu")</f>
        <v>Nagarjun Municipality, Kathmandu</v>
      </c>
      <c r="I2297" s="2" t="str">
        <f>IFERROR(__xludf.DUMMYFUNCTION("""COMPUTED_VALUE"""),"29o 04' 19""")</f>
        <v>29o 04' 19"</v>
      </c>
      <c r="J2297" s="2" t="str">
        <f>IFERROR(__xludf.DUMMYFUNCTION("""COMPUTED_VALUE"""),"29o 11' 11""")</f>
        <v>29o 11' 11"</v>
      </c>
      <c r="K2297" s="2" t="str">
        <f>IFERROR(__xludf.DUMMYFUNCTION("""COMPUTED_VALUE"""),"81o 07' 30""")</f>
        <v>81o 07' 30"</v>
      </c>
      <c r="L2297" s="2" t="str">
        <f>IFERROR(__xludf.DUMMYFUNCTION("""COMPUTED_VALUE"""),"81o 14' 07""")</f>
        <v>81o 14' 07"</v>
      </c>
      <c r="M2297" s="2" t="str">
        <f>IFERROR(__xludf.DUMMYFUNCTION("""COMPUTED_VALUE"""),"Payal,Siudi,Mangalsen,Lungra,Baijinath,Chandika(Bayalpata),Kuntibandali 
(Achham)")</f>
        <v>Payal,Siudi,Mangalsen,Lungra,Baijinath,Chandika(Bayalpata),Kuntibandali 
(Achham)</v>
      </c>
    </row>
    <row r="2298">
      <c r="A2298" s="2">
        <f>IFERROR(__xludf.DUMMYFUNCTION("""COMPUTED_VALUE"""),2297.0)</f>
        <v>2297</v>
      </c>
      <c r="B2298" s="2" t="str">
        <f>IFERROR(__xludf.DUMMYFUNCTION("""COMPUTED_VALUE"""),"Suli Gad PRoR Hydropower Project")</f>
        <v>Suli Gad PRoR Hydropower Project</v>
      </c>
      <c r="C2298" s="2">
        <f>IFERROR(__xludf.DUMMYFUNCTION("""COMPUTED_VALUE"""),5.0)</f>
        <v>5</v>
      </c>
      <c r="D2298" s="2" t="str">
        <f>IFERROR(__xludf.DUMMYFUNCTION("""COMPUTED_VALUE"""),"Suligad")</f>
        <v>Suligad</v>
      </c>
      <c r="E2298" s="2">
        <f>IFERROR(__xludf.DUMMYFUNCTION("""COMPUTED_VALUE"""),629.0)</f>
        <v>629</v>
      </c>
      <c r="F2298" s="3">
        <f>IFERROR(__xludf.DUMMYFUNCTION("""COMPUTED_VALUE"""),65859.0)</f>
        <v>65859</v>
      </c>
      <c r="G2298" s="2" t="str">
        <f>IFERROR(__xludf.DUMMYFUNCTION("""COMPUTED_VALUE"""),"Shanta Jethi Bahurani Hydropower Private Limited")</f>
        <v>Shanta Jethi Bahurani Hydropower Private Limited</v>
      </c>
      <c r="H2298" s="2" t="str">
        <f>IFERROR(__xludf.DUMMYFUNCTION("""COMPUTED_VALUE"""),"Budhanilkantha - 2, Kathmandu, 9843727374")</f>
        <v>Budhanilkantha - 2, Kathmandu, 9843727374</v>
      </c>
      <c r="I2298" s="2" t="str">
        <f>IFERROR(__xludf.DUMMYFUNCTION("""COMPUTED_VALUE"""),"28o 58' 15""")</f>
        <v>28o 58' 15"</v>
      </c>
      <c r="J2298" s="2" t="str">
        <f>IFERROR(__xludf.DUMMYFUNCTION("""COMPUTED_VALUE"""),"29o 02' 26""")</f>
        <v>29o 02' 26"</v>
      </c>
      <c r="K2298" s="2" t="str">
        <f>IFERROR(__xludf.DUMMYFUNCTION("""COMPUTED_VALUE"""),"82o 52' 25""")</f>
        <v>82o 52' 25"</v>
      </c>
      <c r="L2298" s="2" t="str">
        <f>IFERROR(__xludf.DUMMYFUNCTION("""COMPUTED_VALUE"""),"82o 55' 00""")</f>
        <v>82o 55' 00"</v>
      </c>
      <c r="M2298" s="2" t="str">
        <f>IFERROR(__xludf.DUMMYFUNCTION("""COMPUTED_VALUE"""),"Raha,Tripurakot,Dunai,Phoksundo (Dolpa)")</f>
        <v>Raha,Tripurakot,Dunai,Phoksundo (Dolpa)</v>
      </c>
    </row>
    <row r="2299">
      <c r="A2299" s="2">
        <f>IFERROR(__xludf.DUMMYFUNCTION("""COMPUTED_VALUE"""),2298.0)</f>
        <v>2298</v>
      </c>
      <c r="B2299" s="2" t="str">
        <f>IFERROR(__xludf.DUMMYFUNCTION("""COMPUTED_VALUE"""),"Upper Loti Karnali Nadi PRoR Hydropower Project")</f>
        <v>Upper Loti Karnali Nadi PRoR Hydropower Project</v>
      </c>
      <c r="C2299" s="2">
        <f>IFERROR(__xludf.DUMMYFUNCTION("""COMPUTED_VALUE"""),95.0)</f>
        <v>95</v>
      </c>
      <c r="D2299" s="2" t="str">
        <f>IFERROR(__xludf.DUMMYFUNCTION("""COMPUTED_VALUE"""),"Loti Karnali Nadi")</f>
        <v>Loti Karnali Nadi</v>
      </c>
      <c r="E2299" s="2">
        <f>IFERROR(__xludf.DUMMYFUNCTION("""COMPUTED_VALUE"""),847.0)</f>
        <v>847</v>
      </c>
      <c r="F2299" s="3">
        <f>IFERROR(__xludf.DUMMYFUNCTION("""COMPUTED_VALUE"""),65867.0)</f>
        <v>65867</v>
      </c>
      <c r="G2299" s="2" t="str">
        <f>IFERROR(__xludf.DUMMYFUNCTION("""COMPUTED_VALUE"""),"Janamaitri Hydropower Private Limited")</f>
        <v>Janamaitri Hydropower Private Limited</v>
      </c>
      <c r="H2299" s="2" t="str">
        <f>IFERROR(__xludf.DUMMYFUNCTION("""COMPUTED_VALUE"""),"Budhanilkantha - 3, Kathmandu")</f>
        <v>Budhanilkantha - 3, Kathmandu</v>
      </c>
      <c r="I2299" s="2" t="str">
        <f>IFERROR(__xludf.DUMMYFUNCTION("""COMPUTED_VALUE"""),"29o 49' 00""")</f>
        <v>29o 49' 00"</v>
      </c>
      <c r="J2299" s="2" t="str">
        <f>IFERROR(__xludf.DUMMYFUNCTION("""COMPUTED_VALUE"""),"29o 51' 00""")</f>
        <v>29o 51' 00"</v>
      </c>
      <c r="K2299" s="2" t="str">
        <f>IFERROR(__xludf.DUMMYFUNCTION("""COMPUTED_VALUE"""),"82o 06' 30""")</f>
        <v>82o 06' 30"</v>
      </c>
      <c r="L2299" s="2" t="str">
        <f>IFERROR(__xludf.DUMMYFUNCTION("""COMPUTED_VALUE"""),"82o 15' 00""")</f>
        <v>82o 15' 00"</v>
      </c>
      <c r="M2299" s="2" t="str">
        <f>IFERROR(__xludf.DUMMYFUNCTION("""COMPUTED_VALUE"""),"Mimi (Humla)")</f>
        <v>Mimi (Humla)</v>
      </c>
    </row>
    <row r="2300">
      <c r="A2300" s="2">
        <f>IFERROR(__xludf.DUMMYFUNCTION("""COMPUTED_VALUE"""),2299.0)</f>
        <v>2299</v>
      </c>
      <c r="B2300" s="2" t="str">
        <f>IFERROR(__xludf.DUMMYFUNCTION("""COMPUTED_VALUE"""),"Upper Phukot Karnali Hydropower Project")</f>
        <v>Upper Phukot Karnali Hydropower Project</v>
      </c>
      <c r="C2300" s="2">
        <f>IFERROR(__xludf.DUMMYFUNCTION("""COMPUTED_VALUE"""),5.0)</f>
        <v>5</v>
      </c>
      <c r="D2300" s="2" t="str">
        <f>IFERROR(__xludf.DUMMYFUNCTION("""COMPUTED_VALUE"""),"Karnali")</f>
        <v>Karnali</v>
      </c>
      <c r="E2300" s="2">
        <f>IFERROR(__xludf.DUMMYFUNCTION("""COMPUTED_VALUE"""),1053.0)</f>
        <v>1053</v>
      </c>
      <c r="F2300" s="3">
        <f>IFERROR(__xludf.DUMMYFUNCTION("""COMPUTED_VALUE"""),65877.0)</f>
        <v>65877</v>
      </c>
      <c r="G2300" s="2" t="str">
        <f>IFERROR(__xludf.DUMMYFUNCTION("""COMPUTED_VALUE"""),"Quntoum Hydropower Private Limited")</f>
        <v>Quntoum Hydropower Private Limited</v>
      </c>
      <c r="H2300" s="2" t="str">
        <f>IFERROR(__xludf.DUMMYFUNCTION("""COMPUTED_VALUE"""),"Pasikot, Budhanilkantha, Kathmandu")</f>
        <v>Pasikot, Budhanilkantha, Kathmandu</v>
      </c>
      <c r="I2300" s="2" t="str">
        <f>IFERROR(__xludf.DUMMYFUNCTION("""COMPUTED_VALUE"""),"29o 16' 00""")</f>
        <v>29o 16' 00"</v>
      </c>
      <c r="J2300" s="2" t="str">
        <f>IFERROR(__xludf.DUMMYFUNCTION("""COMPUTED_VALUE"""),"29o 23' 43""")</f>
        <v>29o 23' 43"</v>
      </c>
      <c r="K2300" s="2" t="str">
        <f>IFERROR(__xludf.DUMMYFUNCTION("""COMPUTED_VALUE"""),"81o 41' 30""")</f>
        <v>81o 41' 30"</v>
      </c>
      <c r="L2300" s="2" t="str">
        <f>IFERROR(__xludf.DUMMYFUNCTION("""COMPUTED_VALUE"""),"81o 45' 30""")</f>
        <v>81o 45' 30"</v>
      </c>
      <c r="M2300" s="2"/>
    </row>
    <row r="2301">
      <c r="A2301" s="2">
        <f>IFERROR(__xludf.DUMMYFUNCTION("""COMPUTED_VALUE"""),2300.0)</f>
        <v>2300</v>
      </c>
      <c r="B2301" s="2" t="str">
        <f>IFERROR(__xludf.DUMMYFUNCTION("""COMPUTED_VALUE"""),"Nupche Likhu Cascade Hydropower Project")</f>
        <v>Nupche Likhu Cascade Hydropower Project</v>
      </c>
      <c r="C2301" s="2">
        <f>IFERROR(__xludf.DUMMYFUNCTION("""COMPUTED_VALUE"""),3.3)</f>
        <v>3.3</v>
      </c>
      <c r="D2301" s="2" t="str">
        <f>IFERROR(__xludf.DUMMYFUNCTION("""COMPUTED_VALUE"""),"Nupche , Likhu")</f>
        <v>Nupche , Likhu</v>
      </c>
      <c r="E2301" s="2">
        <f>IFERROR(__xludf.DUMMYFUNCTION("""COMPUTED_VALUE"""),1114.0)</f>
        <v>1114</v>
      </c>
      <c r="F2301" s="3">
        <f>IFERROR(__xludf.DUMMYFUNCTION("""COMPUTED_VALUE"""),65879.0)</f>
        <v>65879</v>
      </c>
      <c r="G2301" s="2" t="str">
        <f>IFERROR(__xludf.DUMMYFUNCTION("""COMPUTED_VALUE"""),"High Vision Energy Private Limited")</f>
        <v>High Vision Energy Private Limited</v>
      </c>
      <c r="H2301" s="2" t="str">
        <f>IFERROR(__xludf.DUMMYFUNCTION("""COMPUTED_VALUE"""),"New Baneshower, Kathhmandu, 01-4785528")</f>
        <v>New Baneshower, Kathhmandu, 01-4785528</v>
      </c>
      <c r="I2301" s="2" t="str">
        <f>IFERROR(__xludf.DUMMYFUNCTION("""COMPUTED_VALUE"""),"27o 40' 23""")</f>
        <v>27o 40' 23"</v>
      </c>
      <c r="J2301" s="2" t="str">
        <f>IFERROR(__xludf.DUMMYFUNCTION("""COMPUTED_VALUE"""),"27o 40' 43""")</f>
        <v>27o 40' 43"</v>
      </c>
      <c r="K2301" s="2" t="str">
        <f>IFERROR(__xludf.DUMMYFUNCTION("""COMPUTED_VALUE"""),"86o 27' 46""")</f>
        <v>86o 27' 46"</v>
      </c>
      <c r="L2301" s="2" t="str">
        <f>IFERROR(__xludf.DUMMYFUNCTION("""COMPUTED_VALUE"""),"86o 28' 11""")</f>
        <v>86o 28' 11"</v>
      </c>
      <c r="M2301" s="2" t="str">
        <f>IFERROR(__xludf.DUMMYFUNCTION("""COMPUTED_VALUE"""),"Gumdel (Ramechhap)")</f>
        <v>Gumdel (Ramechhap)</v>
      </c>
    </row>
    <row r="2302">
      <c r="A2302" s="2">
        <f>IFERROR(__xludf.DUMMYFUNCTION("""COMPUTED_VALUE"""),2301.0)</f>
        <v>2301</v>
      </c>
      <c r="B2302" s="2" t="str">
        <f>IFERROR(__xludf.DUMMYFUNCTION("""COMPUTED_VALUE"""),"Taksar Pikhuwa Cascade Hydropower Project")</f>
        <v>Taksar Pikhuwa Cascade Hydropower Project</v>
      </c>
      <c r="C2302" s="2">
        <f>IFERROR(__xludf.DUMMYFUNCTION("""COMPUTED_VALUE"""),9.5)</f>
        <v>9.5</v>
      </c>
      <c r="D2302" s="2" t="str">
        <f>IFERROR(__xludf.DUMMYFUNCTION("""COMPUTED_VALUE"""),"Pikhuwa, Behere &amp; Akhuwa")</f>
        <v>Pikhuwa, Behere &amp; Akhuwa</v>
      </c>
      <c r="E2302" s="2">
        <f>IFERROR(__xludf.DUMMYFUNCTION("""COMPUTED_VALUE"""),1119.0)</f>
        <v>1119</v>
      </c>
      <c r="F2302" s="3">
        <f>IFERROR(__xludf.DUMMYFUNCTION("""COMPUTED_VALUE"""),65879.0)</f>
        <v>65879</v>
      </c>
      <c r="G2302" s="2" t="str">
        <f>IFERROR(__xludf.DUMMYFUNCTION("""COMPUTED_VALUE"""),"Taksar Cascade Power Private Limited")</f>
        <v>Taksar Cascade Power Private Limited</v>
      </c>
      <c r="H2302" s="2" t="str">
        <f>IFERROR(__xludf.DUMMYFUNCTION("""COMPUTED_VALUE"""),"Khichapokhari - 22, Kathmandu")</f>
        <v>Khichapokhari - 22, Kathmandu</v>
      </c>
      <c r="I2302" s="2" t="str">
        <f>IFERROR(__xludf.DUMMYFUNCTION("""COMPUTED_VALUE"""),"27o 05' 30""")</f>
        <v>27o 05' 30"</v>
      </c>
      <c r="J2302" s="2" t="str">
        <f>IFERROR(__xludf.DUMMYFUNCTION("""COMPUTED_VALUE"""),"27o 07' 30""")</f>
        <v>27o 07' 30"</v>
      </c>
      <c r="K2302" s="2" t="str">
        <f>IFERROR(__xludf.DUMMYFUNCTION("""COMPUTED_VALUE"""),"87o 04' 15""")</f>
        <v>87o 04' 15"</v>
      </c>
      <c r="L2302" s="2" t="str">
        <f>IFERROR(__xludf.DUMMYFUNCTION("""COMPUTED_VALUE"""),"87o 06' 30""")</f>
        <v>87o 06' 30"</v>
      </c>
      <c r="M2302" s="2" t="str">
        <f>IFERROR(__xludf.DUMMYFUNCTION("""COMPUTED_VALUE"""),"Basteem,Taksar,Baikuntha (Bhojpur)")</f>
        <v>Basteem,Taksar,Baikuntha (Bhojpur)</v>
      </c>
    </row>
    <row r="2303">
      <c r="A2303" s="2">
        <f>IFERROR(__xludf.DUMMYFUNCTION("""COMPUTED_VALUE"""),2302.0)</f>
        <v>2302</v>
      </c>
      <c r="B2303" s="2" t="str">
        <f>IFERROR(__xludf.DUMMYFUNCTION("""COMPUTED_VALUE"""),"Mathillo Ghatganga PRoR Hydropower Project")</f>
        <v>Mathillo Ghatganga PRoR Hydropower Project</v>
      </c>
      <c r="C2303" s="2">
        <f>IFERROR(__xludf.DUMMYFUNCTION("""COMPUTED_VALUE"""),24.76)</f>
        <v>24.76</v>
      </c>
      <c r="D2303" s="2" t="str">
        <f>IFERROR(__xludf.DUMMYFUNCTION("""COMPUTED_VALUE"""),"Ghatganga Khola")</f>
        <v>Ghatganga Khola</v>
      </c>
      <c r="E2303" s="2">
        <f>IFERROR(__xludf.DUMMYFUNCTION("""COMPUTED_VALUE"""),1222.0)</f>
        <v>1222</v>
      </c>
      <c r="F2303" s="3">
        <f>IFERROR(__xludf.DUMMYFUNCTION("""COMPUTED_VALUE"""),65885.0)</f>
        <v>65885</v>
      </c>
      <c r="G2303" s="2" t="str">
        <f>IFERROR(__xludf.DUMMYFUNCTION("""COMPUTED_VALUE"""),"Happy Power Private Limited")</f>
        <v>Happy Power Private Limited</v>
      </c>
      <c r="H2303" s="2" t="str">
        <f>IFERROR(__xludf.DUMMYFUNCTION("""COMPUTED_VALUE"""),"Naxal, Kathmandu")</f>
        <v>Naxal, Kathmandu</v>
      </c>
      <c r="I2303" s="2" t="str">
        <f>IFERROR(__xludf.DUMMYFUNCTION("""COMPUTED_VALUE"""),"29o 45' 36""")</f>
        <v>29o 45' 36"</v>
      </c>
      <c r="J2303" s="2" t="str">
        <f>IFERROR(__xludf.DUMMYFUNCTION("""COMPUTED_VALUE"""),"29o 48' 42""")</f>
        <v>29o 48' 42"</v>
      </c>
      <c r="K2303" s="2" t="str">
        <f>IFERROR(__xludf.DUMMYFUNCTION("""COMPUTED_VALUE"""),"81o 23' 52""")</f>
        <v>81o 23' 52"</v>
      </c>
      <c r="L2303" s="2" t="str">
        <f>IFERROR(__xludf.DUMMYFUNCTION("""COMPUTED_VALUE"""),"81o 28' 03""")</f>
        <v>81o 28' 03"</v>
      </c>
      <c r="M2303" s="2" t="str">
        <f>IFERROR(__xludf.DUMMYFUNCTION("""COMPUTED_VALUE"""),"Kanda (Bajhang)")</f>
        <v>Kanda (Bajhang)</v>
      </c>
    </row>
    <row r="2304">
      <c r="A2304" s="2">
        <f>IFERROR(__xludf.DUMMYFUNCTION("""COMPUTED_VALUE"""),2303.0)</f>
        <v>2303</v>
      </c>
      <c r="B2304" s="2" t="str">
        <f>IFERROR(__xludf.DUMMYFUNCTION("""COMPUTED_VALUE"""),"Gustung Khola Hydropower Project")</f>
        <v>Gustung Khola Hydropower Project</v>
      </c>
      <c r="C2304" s="2">
        <f>IFERROR(__xludf.DUMMYFUNCTION("""COMPUTED_VALUE"""),21.4)</f>
        <v>21.4</v>
      </c>
      <c r="D2304" s="2" t="str">
        <f>IFERROR(__xludf.DUMMYFUNCTION("""COMPUTED_VALUE"""),"Gustung Khola")</f>
        <v>Gustung Khola</v>
      </c>
      <c r="E2304" s="2">
        <f>IFERROR(__xludf.DUMMYFUNCTION("""COMPUTED_VALUE"""),1566.0)</f>
        <v>1566</v>
      </c>
      <c r="F2304" s="3">
        <f>IFERROR(__xludf.DUMMYFUNCTION("""COMPUTED_VALUE"""),65904.0)</f>
        <v>65904</v>
      </c>
      <c r="G2304" s="2" t="str">
        <f>IFERROR(__xludf.DUMMYFUNCTION("""COMPUTED_VALUE"""),"Shwet Pushpa Urja Private Limited")</f>
        <v>Shwet Pushpa Urja Private Limited</v>
      </c>
      <c r="H2304" s="2" t="str">
        <f>IFERROR(__xludf.DUMMYFUNCTION("""COMPUTED_VALUE"""),"Koteshwor 32, Kathmandu")</f>
        <v>Koteshwor 32, Kathmandu</v>
      </c>
      <c r="I2304" s="2" t="str">
        <f>IFERROR(__xludf.DUMMYFUNCTION("""COMPUTED_VALUE"""),"28o 37' 00""")</f>
        <v>28o 37' 00"</v>
      </c>
      <c r="J2304" s="2" t="str">
        <f>IFERROR(__xludf.DUMMYFUNCTION("""COMPUTED_VALUE"""),"28o 39' 30""")</f>
        <v>28o 39' 30"</v>
      </c>
      <c r="K2304" s="2" t="str">
        <f>IFERROR(__xludf.DUMMYFUNCTION("""COMPUTED_VALUE"""),"82o 56' 59""")</f>
        <v>82o 56' 59"</v>
      </c>
      <c r="L2304" s="2" t="str">
        <f>IFERROR(__xludf.DUMMYFUNCTION("""COMPUTED_VALUE"""),"83o 01' 00""")</f>
        <v>83o 01' 00"</v>
      </c>
      <c r="M2304" s="2" t="str">
        <f>IFERROR(__xludf.DUMMYFUNCTION("""COMPUTED_VALUE"""),"Ranmamekot,Hukam (Rukum)")</f>
        <v>Ranmamekot,Hukam (Rukum)</v>
      </c>
    </row>
    <row r="2305">
      <c r="A2305" s="2">
        <f>IFERROR(__xludf.DUMMYFUNCTION("""COMPUTED_VALUE"""),2304.0)</f>
        <v>2304</v>
      </c>
      <c r="B2305" s="2" t="str">
        <f>IFERROR(__xludf.DUMMYFUNCTION("""COMPUTED_VALUE"""),"Mewa Tamor Hydropower Project")</f>
        <v>Mewa Tamor Hydropower Project</v>
      </c>
      <c r="C2305" s="2">
        <f>IFERROR(__xludf.DUMMYFUNCTION("""COMPUTED_VALUE"""),8.47)</f>
        <v>8.47</v>
      </c>
      <c r="D2305" s="2" t="str">
        <f>IFERROR(__xludf.DUMMYFUNCTION("""COMPUTED_VALUE"""),"Mewa Khola")</f>
        <v>Mewa Khola</v>
      </c>
      <c r="E2305" s="2">
        <f>IFERROR(__xludf.DUMMYFUNCTION("""COMPUTED_VALUE"""),1682.0)</f>
        <v>1682</v>
      </c>
      <c r="F2305" s="3">
        <f>IFERROR(__xludf.DUMMYFUNCTION("""COMPUTED_VALUE"""),65907.0)</f>
        <v>65907</v>
      </c>
      <c r="G2305" s="2" t="str">
        <f>IFERROR(__xludf.DUMMYFUNCTION("""COMPUTED_VALUE"""),"Shiwalik Power Private Limited")</f>
        <v>Shiwalik Power Private Limited</v>
      </c>
      <c r="H2305" s="2" t="str">
        <f>IFERROR(__xludf.DUMMYFUNCTION("""COMPUTED_VALUE"""),"Lalitpur - 1, Lalitpur")</f>
        <v>Lalitpur - 1, Lalitpur</v>
      </c>
      <c r="I2305" s="2" t="str">
        <f>IFERROR(__xludf.DUMMYFUNCTION("""COMPUTED_VALUE"""),"27o 22' 40""")</f>
        <v>27o 22' 40"</v>
      </c>
      <c r="J2305" s="2" t="str">
        <f>IFERROR(__xludf.DUMMYFUNCTION("""COMPUTED_VALUE"""),"27o 24' 08""")</f>
        <v>27o 24' 08"</v>
      </c>
      <c r="K2305" s="2" t="str">
        <f>IFERROR(__xludf.DUMMYFUNCTION("""COMPUTED_VALUE"""),"87o 37' 15""")</f>
        <v>87o 37' 15"</v>
      </c>
      <c r="L2305" s="2" t="str">
        <f>IFERROR(__xludf.DUMMYFUNCTION("""COMPUTED_VALUE"""),"87o 39' 10""")</f>
        <v>87o 39' 10"</v>
      </c>
      <c r="M2305" s="2" t="str">
        <f>IFERROR(__xludf.DUMMYFUNCTION("""COMPUTED_VALUE"""),"Khamlung,Phungling (Taplejung)")</f>
        <v>Khamlung,Phungling (Taplejung)</v>
      </c>
    </row>
    <row r="2306">
      <c r="A2306" s="2">
        <f>IFERROR(__xludf.DUMMYFUNCTION("""COMPUTED_VALUE"""),2305.0)</f>
        <v>2305</v>
      </c>
      <c r="B2306" s="2" t="str">
        <f>IFERROR(__xludf.DUMMYFUNCTION("""COMPUTED_VALUE"""),"Ghatte Khola Hydroelectric Project")</f>
        <v>Ghatte Khola Hydroelectric Project</v>
      </c>
      <c r="C2306" s="2">
        <f>IFERROR(__xludf.DUMMYFUNCTION("""COMPUTED_VALUE"""),9.54)</f>
        <v>9.54</v>
      </c>
      <c r="D2306" s="2" t="str">
        <f>IFERROR(__xludf.DUMMYFUNCTION("""COMPUTED_VALUE"""),"Ghatte Khola, Deaute Khola")</f>
        <v>Ghatte Khola, Deaute Khola</v>
      </c>
      <c r="E2306" s="2">
        <f>IFERROR(__xludf.DUMMYFUNCTION("""COMPUTED_VALUE"""),1728.0)</f>
        <v>1728</v>
      </c>
      <c r="F2306" s="3">
        <f>IFERROR(__xludf.DUMMYFUNCTION("""COMPUTED_VALUE"""),65911.0)</f>
        <v>65911</v>
      </c>
      <c r="G2306" s="2" t="str">
        <f>IFERROR(__xludf.DUMMYFUNCTION("""COMPUTED_VALUE"""),"Sai Kumari Hydropower Private Limited")</f>
        <v>Sai Kumari Hydropower Private Limited</v>
      </c>
      <c r="H2306" s="2" t="str">
        <f>IFERROR(__xludf.DUMMYFUNCTION("""COMPUTED_VALUE"""),"Satdobato, Lalitpur, 01-5520295")</f>
        <v>Satdobato, Lalitpur, 01-5520295</v>
      </c>
      <c r="I2306" s="2" t="str">
        <f>IFERROR(__xludf.DUMMYFUNCTION("""COMPUTED_VALUE"""),"28o 47' 05""")</f>
        <v>28o 47' 05"</v>
      </c>
      <c r="J2306" s="2" t="str">
        <f>IFERROR(__xludf.DUMMYFUNCTION("""COMPUTED_VALUE"""),"28o 48' 50""")</f>
        <v>28o 48' 50"</v>
      </c>
      <c r="K2306" s="2" t="str">
        <f>IFERROR(__xludf.DUMMYFUNCTION("""COMPUTED_VALUE"""),"82o 31' 48""")</f>
        <v>82o 31' 48"</v>
      </c>
      <c r="L2306" s="2" t="str">
        <f>IFERROR(__xludf.DUMMYFUNCTION("""COMPUTED_VALUE"""),"82o 48' 57""")</f>
        <v>82o 48' 57"</v>
      </c>
      <c r="M2306" s="2" t="str">
        <f>IFERROR(__xludf.DUMMYFUNCTION("""COMPUTED_VALUE"""),"Syalakhadi (Rukum)")</f>
        <v>Syalakhadi (Rukum)</v>
      </c>
    </row>
    <row r="2307">
      <c r="A2307" s="2">
        <f>IFERROR(__xludf.DUMMYFUNCTION("""COMPUTED_VALUE"""),2306.0)</f>
        <v>2306</v>
      </c>
      <c r="B2307" s="2" t="str">
        <f>IFERROR(__xludf.DUMMYFUNCTION("""COMPUTED_VALUE"""),"Tarap Khola Storage Hydropower Project")</f>
        <v>Tarap Khola Storage Hydropower Project</v>
      </c>
      <c r="C2307" s="2">
        <f>IFERROR(__xludf.DUMMYFUNCTION("""COMPUTED_VALUE"""),5.0)</f>
        <v>5</v>
      </c>
      <c r="D2307" s="2" t="str">
        <f>IFERROR(__xludf.DUMMYFUNCTION("""COMPUTED_VALUE"""),"Tara Khola")</f>
        <v>Tara Khola</v>
      </c>
      <c r="E2307" s="2">
        <f>IFERROR(__xludf.DUMMYFUNCTION("""COMPUTED_VALUE"""),1813.0)</f>
        <v>1813</v>
      </c>
      <c r="F2307" s="3">
        <f>IFERROR(__xludf.DUMMYFUNCTION("""COMPUTED_VALUE"""),65914.0)</f>
        <v>65914</v>
      </c>
      <c r="G2307" s="2" t="str">
        <f>IFERROR(__xludf.DUMMYFUNCTION("""COMPUTED_VALUE"""),"Ramatech Bheri Hydropower Private Limited")</f>
        <v>Ramatech Bheri Hydropower Private Limited</v>
      </c>
      <c r="H2307" s="2" t="str">
        <f>IFERROR(__xludf.DUMMYFUNCTION("""COMPUTED_VALUE"""),"Ward No-2, Budhanilkantha Nagarpalika, Kathmandu")</f>
        <v>Ward No-2, Budhanilkantha Nagarpalika, Kathmandu</v>
      </c>
      <c r="I2307" s="2" t="str">
        <f>IFERROR(__xludf.DUMMYFUNCTION("""COMPUTED_VALUE"""),"28o 53' 39""")</f>
        <v>28o 53' 39"</v>
      </c>
      <c r="J2307" s="2" t="str">
        <f>IFERROR(__xludf.DUMMYFUNCTION("""COMPUTED_VALUE"""),"29o 00' 00""")</f>
        <v>29o 00' 00"</v>
      </c>
      <c r="K2307" s="2" t="str">
        <f>IFERROR(__xludf.DUMMYFUNCTION("""COMPUTED_VALUE"""),"83o 01' 49""")</f>
        <v>83o 01' 49"</v>
      </c>
      <c r="L2307" s="2" t="str">
        <f>IFERROR(__xludf.DUMMYFUNCTION("""COMPUTED_VALUE"""),"83o 05' 36""")</f>
        <v>83o 05' 36"</v>
      </c>
      <c r="M2307" s="2" t="str">
        <f>IFERROR(__xludf.DUMMYFUNCTION("""COMPUTED_VALUE"""),"Lawan,Sahartara (Dolpa)")</f>
        <v>Lawan,Sahartara (Dolpa)</v>
      </c>
    </row>
    <row r="2308">
      <c r="A2308" s="2">
        <f>IFERROR(__xludf.DUMMYFUNCTION("""COMPUTED_VALUE"""),2307.0)</f>
        <v>2307</v>
      </c>
      <c r="B2308" s="2" t="str">
        <f>IFERROR(__xludf.DUMMYFUNCTION("""COMPUTED_VALUE"""),"Phoksundo Khola Hydropower Project")</f>
        <v>Phoksundo Khola Hydropower Project</v>
      </c>
      <c r="C2308" s="2">
        <f>IFERROR(__xludf.DUMMYFUNCTION("""COMPUTED_VALUE"""),4.9)</f>
        <v>4.9</v>
      </c>
      <c r="D2308" s="2" t="str">
        <f>IFERROR(__xludf.DUMMYFUNCTION("""COMPUTED_VALUE"""),"Phoksundo Khola")</f>
        <v>Phoksundo Khola</v>
      </c>
      <c r="E2308" s="2">
        <f>IFERROR(__xludf.DUMMYFUNCTION("""COMPUTED_VALUE"""),1927.0)</f>
        <v>1927</v>
      </c>
      <c r="F2308" s="3">
        <f>IFERROR(__xludf.DUMMYFUNCTION("""COMPUTED_VALUE"""),65919.0)</f>
        <v>65919</v>
      </c>
      <c r="G2308" s="2" t="str">
        <f>IFERROR(__xludf.DUMMYFUNCTION("""COMPUTED_VALUE"""),"Aviyan Renewable Energy Private Limited")</f>
        <v>Aviyan Renewable Energy Private Limited</v>
      </c>
      <c r="H2308" s="2" t="str">
        <f>IFERROR(__xludf.DUMMYFUNCTION("""COMPUTED_VALUE"""),"KMC-9, Kathmandu, 9851332233")</f>
        <v>KMC-9, Kathmandu, 9851332233</v>
      </c>
      <c r="I2308" s="2" t="str">
        <f>IFERROR(__xludf.DUMMYFUNCTION("""COMPUTED_VALUE"""),"29o 02' 26""")</f>
        <v>29o 02' 26"</v>
      </c>
      <c r="J2308" s="2" t="str">
        <f>IFERROR(__xludf.DUMMYFUNCTION("""COMPUTED_VALUE"""),"29o 08' 40""")</f>
        <v>29o 08' 40"</v>
      </c>
      <c r="K2308" s="2" t="str">
        <f>IFERROR(__xludf.DUMMYFUNCTION("""COMPUTED_VALUE"""),"82o 52' 07""")</f>
        <v>82o 52' 07"</v>
      </c>
      <c r="L2308" s="2" t="str">
        <f>IFERROR(__xludf.DUMMYFUNCTION("""COMPUTED_VALUE"""),"82o 55' 20""")</f>
        <v>82o 55' 20"</v>
      </c>
      <c r="M2308" s="2" t="str">
        <f>IFERROR(__xludf.DUMMYFUNCTION("""COMPUTED_VALUE"""),"Phoksundo (Dolpa)")</f>
        <v>Phoksundo (Dolpa)</v>
      </c>
    </row>
    <row r="2309">
      <c r="A2309" s="2">
        <f>IFERROR(__xludf.DUMMYFUNCTION("""COMPUTED_VALUE"""),2308.0)</f>
        <v>2308</v>
      </c>
      <c r="B2309" s="2" t="str">
        <f>IFERROR(__xludf.DUMMYFUNCTION("""COMPUTED_VALUE"""),"Sani Bheri - 1 Cascade Hydropower Project")</f>
        <v>Sani Bheri - 1 Cascade Hydropower Project</v>
      </c>
      <c r="C2309" s="2">
        <f>IFERROR(__xludf.DUMMYFUNCTION("""COMPUTED_VALUE"""),20.0)</f>
        <v>20</v>
      </c>
      <c r="D2309" s="2" t="str">
        <f>IFERROR(__xludf.DUMMYFUNCTION("""COMPUTED_VALUE"""),"Sani Bheri")</f>
        <v>Sani Bheri</v>
      </c>
      <c r="E2309" s="2">
        <f>IFERROR(__xludf.DUMMYFUNCTION("""COMPUTED_VALUE"""),1933.0)</f>
        <v>1933</v>
      </c>
      <c r="F2309" s="3">
        <f>IFERROR(__xludf.DUMMYFUNCTION("""COMPUTED_VALUE"""),65919.0)</f>
        <v>65919</v>
      </c>
      <c r="G2309" s="2" t="str">
        <f>IFERROR(__xludf.DUMMYFUNCTION("""COMPUTED_VALUE"""),"Syarpu Power Company Limited")</f>
        <v>Syarpu Power Company Limited</v>
      </c>
      <c r="H2309" s="2" t="str">
        <f>IFERROR(__xludf.DUMMYFUNCTION("""COMPUTED_VALUE"""),"Musikot, Rukum East, Nepal, 01-5906950")</f>
        <v>Musikot, Rukum East, Nepal, 01-5906950</v>
      </c>
      <c r="I2309" s="2" t="str">
        <f>IFERROR(__xludf.DUMMYFUNCTION("""COMPUTED_VALUE"""),"28o 37' 58""")</f>
        <v>28o 37' 58"</v>
      </c>
      <c r="J2309" s="2" t="str">
        <f>IFERROR(__xludf.DUMMYFUNCTION("""COMPUTED_VALUE"""),"28o 39' 43""")</f>
        <v>28o 39' 43"</v>
      </c>
      <c r="K2309" s="2" t="str">
        <f>IFERROR(__xludf.DUMMYFUNCTION("""COMPUTED_VALUE"""),"82o 38' 06""")</f>
        <v>82o 38' 06"</v>
      </c>
      <c r="L2309" s="2" t="str">
        <f>IFERROR(__xludf.DUMMYFUNCTION("""COMPUTED_VALUE"""),"82o 39' 23""")</f>
        <v>82o 39' 23"</v>
      </c>
      <c r="M2309" s="2" t="str">
        <f>IFERROR(__xludf.DUMMYFUNCTION("""COMPUTED_VALUE"""),"Kanda,Pwang,Rangsi (Rukum)")</f>
        <v>Kanda,Pwang,Rangsi (Rukum)</v>
      </c>
    </row>
    <row r="2310">
      <c r="A2310" s="2">
        <f>IFERROR(__xludf.DUMMYFUNCTION("""COMPUTED_VALUE"""),2309.0)</f>
        <v>2309</v>
      </c>
      <c r="B2310" s="2" t="str">
        <f>IFERROR(__xludf.DUMMYFUNCTION("""COMPUTED_VALUE"""),"Lower Sisne Khola Hydropower Project")</f>
        <v>Lower Sisne Khola Hydropower Project</v>
      </c>
      <c r="C2310" s="2">
        <f>IFERROR(__xludf.DUMMYFUNCTION("""COMPUTED_VALUE"""),4.6)</f>
        <v>4.6</v>
      </c>
      <c r="D2310" s="2" t="str">
        <f>IFERROR(__xludf.DUMMYFUNCTION("""COMPUTED_VALUE"""),"Sisne Khola")</f>
        <v>Sisne Khola</v>
      </c>
      <c r="E2310" s="2">
        <f>IFERROR(__xludf.DUMMYFUNCTION("""COMPUTED_VALUE"""),2157.0)</f>
        <v>2157</v>
      </c>
      <c r="F2310" s="3">
        <f>IFERROR(__xludf.DUMMYFUNCTION("""COMPUTED_VALUE"""),65930.0)</f>
        <v>65930</v>
      </c>
      <c r="G2310" s="2" t="str">
        <f>IFERROR(__xludf.DUMMYFUNCTION("""COMPUTED_VALUE"""),"Karmanya Company Private Limited")</f>
        <v>Karmanya Company Private Limited</v>
      </c>
      <c r="H2310" s="2" t="str">
        <f>IFERROR(__xludf.DUMMYFUNCTION("""COMPUTED_VALUE"""),"Kupandole, Lalitpur")</f>
        <v>Kupandole, Lalitpur</v>
      </c>
      <c r="I2310" s="2" t="str">
        <f>IFERROR(__xludf.DUMMYFUNCTION("""COMPUTED_VALUE"""),"28o 40' 30""")</f>
        <v>28o 40' 30"</v>
      </c>
      <c r="J2310" s="2" t="str">
        <f>IFERROR(__xludf.DUMMYFUNCTION("""COMPUTED_VALUE"""),"28o 41' 02""")</f>
        <v>28o 41' 02"</v>
      </c>
      <c r="K2310" s="2" t="str">
        <f>IFERROR(__xludf.DUMMYFUNCTION("""COMPUTED_VALUE"""),"82o 40' 43""")</f>
        <v>82o 40' 43"</v>
      </c>
      <c r="L2310" s="2" t="str">
        <f>IFERROR(__xludf.DUMMYFUNCTION("""COMPUTED_VALUE"""),"82o 42' 16""")</f>
        <v>82o 42' 16"</v>
      </c>
      <c r="M2310" s="2" t="str">
        <f>IFERROR(__xludf.DUMMYFUNCTION("""COMPUTED_VALUE"""),"Jang,Pwang,Rangsi (Rukum)")</f>
        <v>Jang,Pwang,Rangsi (Rukum)</v>
      </c>
    </row>
    <row r="2311">
      <c r="A2311" s="2">
        <f>IFERROR(__xludf.DUMMYFUNCTION("""COMPUTED_VALUE"""),2310.0)</f>
        <v>2310</v>
      </c>
      <c r="B2311" s="2" t="str">
        <f>IFERROR(__xludf.DUMMYFUNCTION("""COMPUTED_VALUE"""),"Madhya Sankhuwa Khola Hydropower Project")</f>
        <v>Madhya Sankhuwa Khola Hydropower Project</v>
      </c>
      <c r="C2311" s="2">
        <f>IFERROR(__xludf.DUMMYFUNCTION("""COMPUTED_VALUE"""),4.83)</f>
        <v>4.83</v>
      </c>
      <c r="D2311" s="2" t="str">
        <f>IFERROR(__xludf.DUMMYFUNCTION("""COMPUTED_VALUE"""),"Sankhuwa Khola")</f>
        <v>Sankhuwa Khola</v>
      </c>
      <c r="E2311" s="2">
        <f>IFERROR(__xludf.DUMMYFUNCTION("""COMPUTED_VALUE"""),2164.0)</f>
        <v>2164</v>
      </c>
      <c r="F2311" s="3">
        <f>IFERROR(__xludf.DUMMYFUNCTION("""COMPUTED_VALUE"""),65930.0)</f>
        <v>65930</v>
      </c>
      <c r="G2311" s="2" t="str">
        <f>IFERROR(__xludf.DUMMYFUNCTION("""COMPUTED_VALUE"""),"White Lotus Power Limited")</f>
        <v>White Lotus Power Limited</v>
      </c>
      <c r="H2311" s="2" t="str">
        <f>IFERROR(__xludf.DUMMYFUNCTION("""COMPUTED_VALUE"""),"Ward No. 10, KMC")</f>
        <v>Ward No. 10, KMC</v>
      </c>
      <c r="I2311" s="2" t="str">
        <f>IFERROR(__xludf.DUMMYFUNCTION("""COMPUTED_VALUE"""),"27o 31' 58""")</f>
        <v>27o 31' 58"</v>
      </c>
      <c r="J2311" s="2" t="str">
        <f>IFERROR(__xludf.DUMMYFUNCTION("""COMPUTED_VALUE"""),"27o 33' 15""")</f>
        <v>27o 33' 15"</v>
      </c>
      <c r="K2311" s="2" t="str">
        <f>IFERROR(__xludf.DUMMYFUNCTION("""COMPUTED_VALUE"""),"87o 03' 58""")</f>
        <v>87o 03' 58"</v>
      </c>
      <c r="L2311" s="2" t="str">
        <f>IFERROR(__xludf.DUMMYFUNCTION("""COMPUTED_VALUE"""),"87o 05' 00""")</f>
        <v>87o 05' 00"</v>
      </c>
      <c r="M2311" s="2" t="str">
        <f>IFERROR(__xludf.DUMMYFUNCTION("""COMPUTED_VALUE"""),"Bala,Tamfok (Sankhuwasabha)")</f>
        <v>Bala,Tamfok (Sankhuwasabha)</v>
      </c>
    </row>
    <row r="2312">
      <c r="A2312" s="2">
        <f>IFERROR(__xludf.DUMMYFUNCTION("""COMPUTED_VALUE"""),2311.0)</f>
        <v>2311</v>
      </c>
      <c r="B2312" s="2" t="str">
        <f>IFERROR(__xludf.DUMMYFUNCTION("""COMPUTED_VALUE"""),"Gidi Khola Hydropower Project")</f>
        <v>Gidi Khola Hydropower Project</v>
      </c>
      <c r="C2312" s="2">
        <f>IFERROR(__xludf.DUMMYFUNCTION("""COMPUTED_VALUE"""),5.0)</f>
        <v>5</v>
      </c>
      <c r="D2312" s="2" t="str">
        <f>IFERROR(__xludf.DUMMYFUNCTION("""COMPUTED_VALUE"""),"Gidi Khola")</f>
        <v>Gidi Khola</v>
      </c>
      <c r="E2312" s="2">
        <f>IFERROR(__xludf.DUMMYFUNCTION("""COMPUTED_VALUE"""),2284.0)</f>
        <v>2284</v>
      </c>
      <c r="F2312" s="3">
        <f>IFERROR(__xludf.DUMMYFUNCTION("""COMPUTED_VALUE"""),65942.0)</f>
        <v>65942</v>
      </c>
      <c r="G2312" s="2" t="str">
        <f>IFERROR(__xludf.DUMMYFUNCTION("""COMPUTED_VALUE"""),"Quntoum Hydropower Private Limited")</f>
        <v>Quntoum Hydropower Private Limited</v>
      </c>
      <c r="H2312" s="2" t="str">
        <f>IFERROR(__xludf.DUMMYFUNCTION("""COMPUTED_VALUE"""),"Pasikot, Budhanilkantha, Kathmandu")</f>
        <v>Pasikot, Budhanilkantha, Kathmandu</v>
      </c>
      <c r="I2312" s="2" t="str">
        <f>IFERROR(__xludf.DUMMYFUNCTION("""COMPUTED_VALUE"""),"29o 08' 06""")</f>
        <v>29o 08' 06"</v>
      </c>
      <c r="J2312" s="2" t="str">
        <f>IFERROR(__xludf.DUMMYFUNCTION("""COMPUTED_VALUE"""),"29o 14' 20""")</f>
        <v>29o 14' 20"</v>
      </c>
      <c r="K2312" s="2" t="str">
        <f>IFERROR(__xludf.DUMMYFUNCTION("""COMPUTED_VALUE"""),"82o 07' 08""")</f>
        <v>82o 07' 08"</v>
      </c>
      <c r="L2312" s="2" t="str">
        <f>IFERROR(__xludf.DUMMYFUNCTION("""COMPUTED_VALUE"""),"82o 12' 25""")</f>
        <v>82o 12' 25"</v>
      </c>
      <c r="M2312" s="2" t="str">
        <f>IFERROR(__xludf.DUMMYFUNCTION("""COMPUTED_VALUE"""),"Haku,Tamti (Jumla)")</f>
        <v>Haku,Tamti (Jumla)</v>
      </c>
    </row>
    <row r="2313">
      <c r="A2313" s="2">
        <f>IFERROR(__xludf.DUMMYFUNCTION("""COMPUTED_VALUE"""),2312.0)</f>
        <v>2312</v>
      </c>
      <c r="B2313" s="2" t="str">
        <f>IFERROR(__xludf.DUMMYFUNCTION("""COMPUTED_VALUE"""),"Hilsa Karnali Hydropower Project")</f>
        <v>Hilsa Karnali Hydropower Project</v>
      </c>
      <c r="C2313" s="2">
        <f>IFERROR(__xludf.DUMMYFUNCTION("""COMPUTED_VALUE"""),4.92)</f>
        <v>4.92</v>
      </c>
      <c r="D2313" s="2" t="str">
        <f>IFERROR(__xludf.DUMMYFUNCTION("""COMPUTED_VALUE"""),"Humla Karnali")</f>
        <v>Humla Karnali</v>
      </c>
      <c r="E2313" s="2">
        <f>IFERROR(__xludf.DUMMYFUNCTION("""COMPUTED_VALUE"""),2457.0)</f>
        <v>2457</v>
      </c>
      <c r="F2313" s="3">
        <f>IFERROR(__xludf.DUMMYFUNCTION("""COMPUTED_VALUE"""),65950.0)</f>
        <v>65950</v>
      </c>
      <c r="G2313" s="2" t="str">
        <f>IFERROR(__xludf.DUMMYFUNCTION("""COMPUTED_VALUE"""),"Manasarovar Energy Private Limited")</f>
        <v>Manasarovar Energy Private Limited</v>
      </c>
      <c r="H2313" s="2" t="str">
        <f>IFERROR(__xludf.DUMMYFUNCTION("""COMPUTED_VALUE"""),"KMC-14, Ravibhawan, Kathmandu")</f>
        <v>KMC-14, Ravibhawan, Kathmandu</v>
      </c>
      <c r="I2313" s="2" t="str">
        <f>IFERROR(__xludf.DUMMYFUNCTION("""COMPUTED_VALUE"""),"30o 08' 19""")</f>
        <v>30o 08' 19"</v>
      </c>
      <c r="J2313" s="2" t="str">
        <f>IFERROR(__xludf.DUMMYFUNCTION("""COMPUTED_VALUE"""),"30o 10' 11""")</f>
        <v>30o 10' 11"</v>
      </c>
      <c r="K2313" s="2" t="str">
        <f>IFERROR(__xludf.DUMMYFUNCTION("""COMPUTED_VALUE"""),"81o 20' 35""")</f>
        <v>81o 20' 35"</v>
      </c>
      <c r="L2313" s="2" t="str">
        <f>IFERROR(__xludf.DUMMYFUNCTION("""COMPUTED_VALUE"""),"81o 25' 30""")</f>
        <v>81o 25' 30"</v>
      </c>
      <c r="M2313" s="2" t="str">
        <f>IFERROR(__xludf.DUMMYFUNCTION("""COMPUTED_VALUE"""),"Limi,Muchu (Humla)")</f>
        <v>Limi,Muchu (Humla)</v>
      </c>
    </row>
    <row r="2314">
      <c r="A2314" s="2">
        <f>IFERROR(__xludf.DUMMYFUNCTION("""COMPUTED_VALUE"""),2313.0)</f>
        <v>2313</v>
      </c>
      <c r="B2314" s="2" t="str">
        <f>IFERROR(__xludf.DUMMYFUNCTION("""COMPUTED_VALUE"""),"Kwalunwa Khola Hydropower Project")</f>
        <v>Kwalunwa Khola Hydropower Project</v>
      </c>
      <c r="C2314" s="2">
        <f>IFERROR(__xludf.DUMMYFUNCTION("""COMPUTED_VALUE"""),4.8)</f>
        <v>4.8</v>
      </c>
      <c r="D2314" s="2" t="str">
        <f>IFERROR(__xludf.DUMMYFUNCTION("""COMPUTED_VALUE"""),"Kwalunwa Khola")</f>
        <v>Kwalunwa Khola</v>
      </c>
      <c r="E2314" s="2">
        <f>IFERROR(__xludf.DUMMYFUNCTION("""COMPUTED_VALUE"""),2495.0)</f>
        <v>2495</v>
      </c>
      <c r="F2314" s="3">
        <f>IFERROR(__xludf.DUMMYFUNCTION("""COMPUTED_VALUE"""),65959.0)</f>
        <v>65959</v>
      </c>
      <c r="G2314" s="2" t="str">
        <f>IFERROR(__xludf.DUMMYFUNCTION("""COMPUTED_VALUE"""),"Sunaulo Aviyan Hydropower Private Limited")</f>
        <v>Sunaulo Aviyan Hydropower Private Limited</v>
      </c>
      <c r="H2314" s="2" t="str">
        <f>IFERROR(__xludf.DUMMYFUNCTION("""COMPUTED_VALUE"""),"KMC-09, Kathmandu")</f>
        <v>KMC-09, Kathmandu</v>
      </c>
      <c r="I2314" s="2" t="str">
        <f>IFERROR(__xludf.DUMMYFUNCTION("""COMPUTED_VALUE"""),"29o 58' 31""")</f>
        <v>29o 58' 31"</v>
      </c>
      <c r="J2314" s="2" t="str">
        <f>IFERROR(__xludf.DUMMYFUNCTION("""COMPUTED_VALUE"""),"30o 03' 00""")</f>
        <v>30o 03' 00"</v>
      </c>
      <c r="K2314" s="2" t="str">
        <f>IFERROR(__xludf.DUMMYFUNCTION("""COMPUTED_VALUE"""),"81o 35' 00""")</f>
        <v>81o 35' 00"</v>
      </c>
      <c r="L2314" s="2" t="str">
        <f>IFERROR(__xludf.DUMMYFUNCTION("""COMPUTED_VALUE"""),"81o 45' 00""")</f>
        <v>81o 45' 00"</v>
      </c>
      <c r="M2314" s="2" t="str">
        <f>IFERROR(__xludf.DUMMYFUNCTION("""COMPUTED_VALUE"""),"Khagalgaun,Syada,Muchu (Humla)")</f>
        <v>Khagalgaun,Syada,Muchu (Humla)</v>
      </c>
    </row>
    <row r="2315">
      <c r="A2315" s="2">
        <f>IFERROR(__xludf.DUMMYFUNCTION("""COMPUTED_VALUE"""),2314.0)</f>
        <v>2314</v>
      </c>
      <c r="B2315" s="2" t="str">
        <f>IFERROR(__xludf.DUMMYFUNCTION("""COMPUTED_VALUE"""),"Middle Rolwaling Hydropower Project")</f>
        <v>Middle Rolwaling Hydropower Project</v>
      </c>
      <c r="C2315" s="2">
        <f>IFERROR(__xludf.DUMMYFUNCTION("""COMPUTED_VALUE"""),9.85)</f>
        <v>9.85</v>
      </c>
      <c r="D2315" s="2" t="str">
        <f>IFERROR(__xludf.DUMMYFUNCTION("""COMPUTED_VALUE"""),"Rolwaling")</f>
        <v>Rolwaling</v>
      </c>
      <c r="E2315" s="2">
        <f>IFERROR(__xludf.DUMMYFUNCTION("""COMPUTED_VALUE"""),3014.0)</f>
        <v>3014</v>
      </c>
      <c r="F2315" s="3">
        <f>IFERROR(__xludf.DUMMYFUNCTION("""COMPUTED_VALUE"""),65986.0)</f>
        <v>65986</v>
      </c>
      <c r="G2315" s="2" t="str">
        <f>IFERROR(__xludf.DUMMYFUNCTION("""COMPUTED_VALUE"""),"Reliant Energy Private Limited")</f>
        <v>Reliant Energy Private Limited</v>
      </c>
      <c r="H2315" s="2" t="str">
        <f>IFERROR(__xludf.DUMMYFUNCTION("""COMPUTED_VALUE"""),"Sanepa, Lalitpur")</f>
        <v>Sanepa, Lalitpur</v>
      </c>
      <c r="I2315" s="2" t="str">
        <f>IFERROR(__xludf.DUMMYFUNCTION("""COMPUTED_VALUE"""),"27o 52' 55""")</f>
        <v>27o 52' 55"</v>
      </c>
      <c r="J2315" s="2" t="str">
        <f>IFERROR(__xludf.DUMMYFUNCTION("""COMPUTED_VALUE"""),"27o 55' 00""")</f>
        <v>27o 55' 00"</v>
      </c>
      <c r="K2315" s="2" t="str">
        <f>IFERROR(__xludf.DUMMYFUNCTION("""COMPUTED_VALUE"""),"86o 15' 35""")</f>
        <v>86o 15' 35"</v>
      </c>
      <c r="L2315" s="2" t="str">
        <f>IFERROR(__xludf.DUMMYFUNCTION("""COMPUTED_VALUE"""),"86o 16' 00""")</f>
        <v>86o 16' 00"</v>
      </c>
      <c r="M2315" s="2" t="str">
        <f>IFERROR(__xludf.DUMMYFUNCTION("""COMPUTED_VALUE"""),"Lamabagar,Gauri Sankar (Dolakha)")</f>
        <v>Lamabagar,Gauri Sankar (Dolakha)</v>
      </c>
    </row>
    <row r="2316">
      <c r="A2316" s="2">
        <f>IFERROR(__xludf.DUMMYFUNCTION("""COMPUTED_VALUE"""),2315.0)</f>
        <v>2315</v>
      </c>
      <c r="B2316" s="2" t="str">
        <f>IFERROR(__xludf.DUMMYFUNCTION("""COMPUTED_VALUE"""),"Chhimdi Khola PRoR Hydropower Project")</f>
        <v>Chhimdi Khola PRoR Hydropower Project</v>
      </c>
      <c r="C2316" s="2">
        <f>IFERROR(__xludf.DUMMYFUNCTION("""COMPUTED_VALUE"""),5.0)</f>
        <v>5</v>
      </c>
      <c r="D2316" s="2" t="str">
        <f>IFERROR(__xludf.DUMMYFUNCTION("""COMPUTED_VALUE"""),"Chhimdi Khola")</f>
        <v>Chhimdi Khola</v>
      </c>
      <c r="E2316" s="2">
        <f>IFERROR(__xludf.DUMMYFUNCTION("""COMPUTED_VALUE"""),3105.0)</f>
        <v>3105</v>
      </c>
      <c r="F2316" s="3">
        <f>IFERROR(__xludf.DUMMYFUNCTION("""COMPUTED_VALUE"""),65991.0)</f>
        <v>65991</v>
      </c>
      <c r="G2316" s="2" t="str">
        <f>IFERROR(__xludf.DUMMYFUNCTION("""COMPUTED_VALUE"""),"Best Hydropower Company Private Limited")</f>
        <v>Best Hydropower Company Private Limited</v>
      </c>
      <c r="H2316" s="2" t="str">
        <f>IFERROR(__xludf.DUMMYFUNCTION("""COMPUTED_VALUE"""),"KMC-32, Koteshwor, Kathmandu")</f>
        <v>KMC-32, Koteshwor, Kathmandu</v>
      </c>
      <c r="I2316" s="2" t="str">
        <f>IFERROR(__xludf.DUMMYFUNCTION("""COMPUTED_VALUE"""),"29o 47' 30""")</f>
        <v>29o 47' 30"</v>
      </c>
      <c r="J2316" s="2" t="str">
        <f>IFERROR(__xludf.DUMMYFUNCTION("""COMPUTED_VALUE"""),"29o 50' 00""")</f>
        <v>29o 50' 00"</v>
      </c>
      <c r="K2316" s="2" t="str">
        <f>IFERROR(__xludf.DUMMYFUNCTION("""COMPUTED_VALUE"""),"81o 39' 00""")</f>
        <v>81o 39' 00"</v>
      </c>
      <c r="L2316" s="2" t="str">
        <f>IFERROR(__xludf.DUMMYFUNCTION("""COMPUTED_VALUE"""),"81o 44' 40""")</f>
        <v>81o 44' 40"</v>
      </c>
      <c r="M2316" s="2" t="str">
        <f>IFERROR(__xludf.DUMMYFUNCTION("""COMPUTED_VALUE"""),"Bichhiya (Bajura)")</f>
        <v>Bichhiya (Bajura)</v>
      </c>
    </row>
    <row r="2317">
      <c r="A2317" s="2">
        <f>IFERROR(__xludf.DUMMYFUNCTION("""COMPUTED_VALUE"""),2316.0)</f>
        <v>2316</v>
      </c>
      <c r="B2317" s="2" t="str">
        <f>IFERROR(__xludf.DUMMYFUNCTION("""COMPUTED_VALUE"""),"Upper Yaru Hydropower Project")</f>
        <v>Upper Yaru Hydropower Project</v>
      </c>
      <c r="C2317" s="2">
        <f>IFERROR(__xludf.DUMMYFUNCTION("""COMPUTED_VALUE"""),4.9)</f>
        <v>4.9</v>
      </c>
      <c r="D2317" s="2" t="str">
        <f>IFERROR(__xludf.DUMMYFUNCTION("""COMPUTED_VALUE"""),"Yaru")</f>
        <v>Yaru</v>
      </c>
      <c r="E2317" s="2">
        <f>IFERROR(__xludf.DUMMYFUNCTION("""COMPUTED_VALUE"""),3181.0)</f>
        <v>3181</v>
      </c>
      <c r="F2317" s="3">
        <f>IFERROR(__xludf.DUMMYFUNCTION("""COMPUTED_VALUE"""),65994.0)</f>
        <v>65994</v>
      </c>
      <c r="G2317" s="2" t="str">
        <f>IFERROR(__xludf.DUMMYFUNCTION("""COMPUTED_VALUE"""),"Pelton Hydro Energy Private Limited")</f>
        <v>Pelton Hydro Energy Private Limited</v>
      </c>
      <c r="H2317" s="2" t="str">
        <f>IFERROR(__xludf.DUMMYFUNCTION("""COMPUTED_VALUE"""),"Lazimpat - 2, Kathmandu, Nepal, 01-6911637")</f>
        <v>Lazimpat - 2, Kathmandu, Nepal, 01-6911637</v>
      </c>
      <c r="I2317" s="2" t="str">
        <f>IFERROR(__xludf.DUMMYFUNCTION("""COMPUTED_VALUE"""),"28o 19' 30""")</f>
        <v>28o 19' 30"</v>
      </c>
      <c r="J2317" s="2" t="str">
        <f>IFERROR(__xludf.DUMMYFUNCTION("""COMPUTED_VALUE"""),"28o 20' 59""")</f>
        <v>28o 20' 59"</v>
      </c>
      <c r="K2317" s="2" t="str">
        <f>IFERROR(__xludf.DUMMYFUNCTION("""COMPUTED_VALUE"""),"84o 57' 00""")</f>
        <v>84o 57' 00"</v>
      </c>
      <c r="L2317" s="2" t="str">
        <f>IFERROR(__xludf.DUMMYFUNCTION("""COMPUTED_VALUE"""),"84o 59' 00""")</f>
        <v>84o 59' 00"</v>
      </c>
      <c r="M2317" s="2" t="str">
        <f>IFERROR(__xludf.DUMMYFUNCTION("""COMPUTED_VALUE"""),"Kerauja (Gorkha)")</f>
        <v>Kerauja (Gorkha)</v>
      </c>
    </row>
    <row r="2318">
      <c r="A2318" s="2">
        <f>IFERROR(__xludf.DUMMYFUNCTION("""COMPUTED_VALUE"""),2317.0)</f>
        <v>2317</v>
      </c>
      <c r="B2318" s="2" t="str">
        <f>IFERROR(__xludf.DUMMYFUNCTION("""COMPUTED_VALUE"""),"Upper Mimiban Khola Storage Hydropower Project")</f>
        <v>Upper Mimiban Khola Storage Hydropower Project</v>
      </c>
      <c r="C2318" s="2">
        <f>IFERROR(__xludf.DUMMYFUNCTION("""COMPUTED_VALUE"""),5.0)</f>
        <v>5</v>
      </c>
      <c r="D2318" s="2" t="str">
        <f>IFERROR(__xludf.DUMMYFUNCTION("""COMPUTED_VALUE"""),"Mimiban Khola")</f>
        <v>Mimiban Khola</v>
      </c>
      <c r="E2318" s="2">
        <f>IFERROR(__xludf.DUMMYFUNCTION("""COMPUTED_VALUE"""),3252.0)</f>
        <v>3252</v>
      </c>
      <c r="F2318" s="3">
        <f>IFERROR(__xludf.DUMMYFUNCTION("""COMPUTED_VALUE"""),65997.0)</f>
        <v>65997</v>
      </c>
      <c r="G2318" s="2" t="str">
        <f>IFERROR(__xludf.DUMMYFUNCTION("""COMPUTED_VALUE"""),"Mathadave Ventures Private Limited")</f>
        <v>Mathadave Ventures Private Limited</v>
      </c>
      <c r="H2318" s="2" t="str">
        <f>IFERROR(__xludf.DUMMYFUNCTION("""COMPUTED_VALUE"""),"Budhanikantha - 2, Kathmandu")</f>
        <v>Budhanikantha - 2, Kathmandu</v>
      </c>
      <c r="I2318" s="2" t="str">
        <f>IFERROR(__xludf.DUMMYFUNCTION("""COMPUTED_VALUE"""),"29o 42' 42""")</f>
        <v>29o 42' 42"</v>
      </c>
      <c r="J2318" s="2" t="str">
        <f>IFERROR(__xludf.DUMMYFUNCTION("""COMPUTED_VALUE"""),"29o 46' 37""")</f>
        <v>29o 46' 37"</v>
      </c>
      <c r="K2318" s="2" t="str">
        <f>IFERROR(__xludf.DUMMYFUNCTION("""COMPUTED_VALUE"""),"82o 10' 00""")</f>
        <v>82o 10' 00"</v>
      </c>
      <c r="L2318" s="2" t="str">
        <f>IFERROR(__xludf.DUMMYFUNCTION("""COMPUTED_VALUE"""),"82o 15' 00""")</f>
        <v>82o 15' 00"</v>
      </c>
      <c r="M2318" s="2" t="str">
        <f>IFERROR(__xludf.DUMMYFUNCTION("""COMPUTED_VALUE"""),"Mimi (Humla)")</f>
        <v>Mimi (Humla)</v>
      </c>
    </row>
    <row r="2319">
      <c r="A2319" s="2">
        <f>IFERROR(__xludf.DUMMYFUNCTION("""COMPUTED_VALUE"""),2318.0)</f>
        <v>2318</v>
      </c>
      <c r="B2319" s="2" t="str">
        <f>IFERROR(__xludf.DUMMYFUNCTION("""COMPUTED_VALUE"""),"Mathillo Phukot Karnali PRoR Hydropower Project")</f>
        <v>Mathillo Phukot Karnali PRoR Hydropower Project</v>
      </c>
      <c r="C2319" s="2">
        <f>IFERROR(__xludf.DUMMYFUNCTION("""COMPUTED_VALUE"""),5.0)</f>
        <v>5</v>
      </c>
      <c r="D2319" s="2" t="str">
        <f>IFERROR(__xludf.DUMMYFUNCTION("""COMPUTED_VALUE"""),"Karnali")</f>
        <v>Karnali</v>
      </c>
      <c r="E2319" s="2">
        <f>IFERROR(__xludf.DUMMYFUNCTION("""COMPUTED_VALUE"""),3254.0)</f>
        <v>3254</v>
      </c>
      <c r="F2319" s="3">
        <f>IFERROR(__xludf.DUMMYFUNCTION("""COMPUTED_VALUE"""),65997.0)</f>
        <v>65997</v>
      </c>
      <c r="G2319" s="2" t="str">
        <f>IFERROR(__xludf.DUMMYFUNCTION("""COMPUTED_VALUE"""),"Sambriddhi Tallo Uttarganga Hydropower Private Limited")</f>
        <v>Sambriddhi Tallo Uttarganga Hydropower Private Limited</v>
      </c>
      <c r="H2319" s="2" t="str">
        <f>IFERROR(__xludf.DUMMYFUNCTION("""COMPUTED_VALUE"""),"Chapali -2, Budhanilkantha,")</f>
        <v>Chapali -2, Budhanilkantha,</v>
      </c>
      <c r="I2319" s="2" t="str">
        <f>IFERROR(__xludf.DUMMYFUNCTION("""COMPUTED_VALUE"""),"29o 16' 00""")</f>
        <v>29o 16' 00"</v>
      </c>
      <c r="J2319" s="2" t="str">
        <f>IFERROR(__xludf.DUMMYFUNCTION("""COMPUTED_VALUE"""),"29o 23' 43""")</f>
        <v>29o 23' 43"</v>
      </c>
      <c r="K2319" s="2" t="str">
        <f>IFERROR(__xludf.DUMMYFUNCTION("""COMPUTED_VALUE"""),"81o 41' 30""")</f>
        <v>81o 41' 30"</v>
      </c>
      <c r="L2319" s="2" t="str">
        <f>IFERROR(__xludf.DUMMYFUNCTION("""COMPUTED_VALUE"""),"81o 45' 30""")</f>
        <v>81o 45' 30"</v>
      </c>
      <c r="M2319" s="2"/>
    </row>
    <row r="2320">
      <c r="A2320" s="2">
        <f>IFERROR(__xludf.DUMMYFUNCTION("""COMPUTED_VALUE"""),2319.0)</f>
        <v>2319</v>
      </c>
      <c r="B2320" s="2" t="str">
        <f>IFERROR(__xludf.DUMMYFUNCTION("""COMPUTED_VALUE"""),"Likhu Khola Cascade Hydropower Project")</f>
        <v>Likhu Khola Cascade Hydropower Project</v>
      </c>
      <c r="C2320" s="2">
        <f>IFERROR(__xludf.DUMMYFUNCTION("""COMPUTED_VALUE"""),9.0)</f>
        <v>9</v>
      </c>
      <c r="D2320" s="2" t="str">
        <f>IFERROR(__xludf.DUMMYFUNCTION("""COMPUTED_VALUE"""),"Likhu")</f>
        <v>Likhu</v>
      </c>
      <c r="E2320" s="2">
        <f>IFERROR(__xludf.DUMMYFUNCTION("""COMPUTED_VALUE"""),3353.0)</f>
        <v>3353</v>
      </c>
      <c r="F2320" s="3">
        <f>IFERROR(__xludf.DUMMYFUNCTION("""COMPUTED_VALUE"""),66002.0)</f>
        <v>66002</v>
      </c>
      <c r="G2320" s="2" t="str">
        <f>IFERROR(__xludf.DUMMYFUNCTION("""COMPUTED_VALUE"""),"Arun Valley Hydropower Development Company Limited")</f>
        <v>Arun Valley Hydropower Development Company Limited</v>
      </c>
      <c r="H2320" s="2" t="str">
        <f>IFERROR(__xludf.DUMMYFUNCTION("""COMPUTED_VALUE"""),"Trade Tower Building, Thapathali ,Kathmandu")</f>
        <v>Trade Tower Building, Thapathali ,Kathmandu</v>
      </c>
      <c r="I2320" s="2" t="str">
        <f>IFERROR(__xludf.DUMMYFUNCTION("""COMPUTED_VALUE"""),"27o 28' 30""")</f>
        <v>27o 28' 30"</v>
      </c>
      <c r="J2320" s="2" t="str">
        <f>IFERROR(__xludf.DUMMYFUNCTION("""COMPUTED_VALUE"""),"27o 29' 05""")</f>
        <v>27o 29' 05"</v>
      </c>
      <c r="K2320" s="2" t="str">
        <f>IFERROR(__xludf.DUMMYFUNCTION("""COMPUTED_VALUE"""),"86o 17' 00""")</f>
        <v>86o 17' 00"</v>
      </c>
      <c r="L2320" s="2" t="str">
        <f>IFERROR(__xludf.DUMMYFUNCTION("""COMPUTED_VALUE"""),"86o 19' 00""")</f>
        <v>86o 19' 00"</v>
      </c>
      <c r="M2320" s="2" t="str">
        <f>IFERROR(__xludf.DUMMYFUNCTION("""COMPUTED_VALUE"""),"Khijichandeshwari (Okhaldhunga) Bhujee,Guptesqor (Ramechhap)")</f>
        <v>Khijichandeshwari (Okhaldhunga) Bhujee,Guptesqor (Ramechhap)</v>
      </c>
    </row>
    <row r="2321">
      <c r="A2321" s="2">
        <f>IFERROR(__xludf.DUMMYFUNCTION("""COMPUTED_VALUE"""),2320.0)</f>
        <v>2320</v>
      </c>
      <c r="B2321" s="2" t="str">
        <f>IFERROR(__xludf.DUMMYFUNCTION("""COMPUTED_VALUE"""),"Saru Khola Hydropower Project")</f>
        <v>Saru Khola Hydropower Project</v>
      </c>
      <c r="C2321" s="2">
        <f>IFERROR(__xludf.DUMMYFUNCTION("""COMPUTED_VALUE"""),4.96)</f>
        <v>4.96</v>
      </c>
      <c r="D2321" s="2" t="str">
        <f>IFERROR(__xludf.DUMMYFUNCTION("""COMPUTED_VALUE"""),"Saru Khola")</f>
        <v>Saru Khola</v>
      </c>
      <c r="E2321" s="2">
        <f>IFERROR(__xludf.DUMMYFUNCTION("""COMPUTED_VALUE"""),3473.0)</f>
        <v>3473</v>
      </c>
      <c r="F2321" s="3">
        <f>IFERROR(__xludf.DUMMYFUNCTION("""COMPUTED_VALUE"""),66008.0)</f>
        <v>66008</v>
      </c>
      <c r="G2321" s="2" t="str">
        <f>IFERROR(__xludf.DUMMYFUNCTION("""COMPUTED_VALUE"""),"Subharambha Energy Private Limited")</f>
        <v>Subharambha Energy Private Limited</v>
      </c>
      <c r="H2321" s="2" t="str">
        <f>IFERROR(__xludf.DUMMYFUNCTION("""COMPUTED_VALUE"""),"Lalitpur Metropolitan City - 11, Manidol")</f>
        <v>Lalitpur Metropolitan City - 11, Manidol</v>
      </c>
      <c r="I2321" s="2" t="str">
        <f>IFERROR(__xludf.DUMMYFUNCTION("""COMPUTED_VALUE"""),"28o 45' 35""")</f>
        <v>28o 45' 35"</v>
      </c>
      <c r="J2321" s="2" t="str">
        <f>IFERROR(__xludf.DUMMYFUNCTION("""COMPUTED_VALUE"""),"28o 48' 00""")</f>
        <v>28o 48' 00"</v>
      </c>
      <c r="K2321" s="2" t="str">
        <f>IFERROR(__xludf.DUMMYFUNCTION("""COMPUTED_VALUE"""),"82o 03' 48""")</f>
        <v>82o 03' 48"</v>
      </c>
      <c r="L2321" s="2" t="str">
        <f>IFERROR(__xludf.DUMMYFUNCTION("""COMPUTED_VALUE"""),"82o 08' 00""")</f>
        <v>82o 08' 00"</v>
      </c>
      <c r="M2321" s="2" t="str">
        <f>IFERROR(__xludf.DUMMYFUNCTION("""COMPUTED_VALUE"""),"Jhapra (Jajarkot)")</f>
        <v>Jhapra (Jajarkot)</v>
      </c>
    </row>
    <row r="2322">
      <c r="A2322" s="2">
        <f>IFERROR(__xludf.DUMMYFUNCTION("""COMPUTED_VALUE"""),2321.0)</f>
        <v>2321</v>
      </c>
      <c r="B2322" s="2" t="str">
        <f>IFERROR(__xludf.DUMMYFUNCTION("""COMPUTED_VALUE"""),"Upper Chuwa Khola 1 Hydropower Project")</f>
        <v>Upper Chuwa Khola 1 Hydropower Project</v>
      </c>
      <c r="C2322" s="2">
        <f>IFERROR(__xludf.DUMMYFUNCTION("""COMPUTED_VALUE"""),5.0)</f>
        <v>5</v>
      </c>
      <c r="D2322" s="2" t="str">
        <f>IFERROR(__xludf.DUMMYFUNCTION("""COMPUTED_VALUE"""),"Chuwa Khola")</f>
        <v>Chuwa Khola</v>
      </c>
      <c r="E2322" s="2">
        <f>IFERROR(__xludf.DUMMYFUNCTION("""COMPUTED_VALUE"""),3512.0)</f>
        <v>3512</v>
      </c>
      <c r="F2322" s="3">
        <f>IFERROR(__xludf.DUMMYFUNCTION("""COMPUTED_VALUE"""),66011.0)</f>
        <v>66011</v>
      </c>
      <c r="G2322" s="2" t="str">
        <f>IFERROR(__xludf.DUMMYFUNCTION("""COMPUTED_VALUE"""),"Everest Hydropower Private Limited")</f>
        <v>Everest Hydropower Private Limited</v>
      </c>
      <c r="H2322" s="2" t="str">
        <f>IFERROR(__xludf.DUMMYFUNCTION("""COMPUTED_VALUE"""),"KMC- 32, Jadibuti")</f>
        <v>KMC- 32, Jadibuti</v>
      </c>
      <c r="I2322" s="2" t="str">
        <f>IFERROR(__xludf.DUMMYFUNCTION("""COMPUTED_VALUE"""),"30o 02' 16""")</f>
        <v>30o 02' 16"</v>
      </c>
      <c r="J2322" s="2" t="str">
        <f>IFERROR(__xludf.DUMMYFUNCTION("""COMPUTED_VALUE"""),"30o 08' 00""")</f>
        <v>30o 08' 00"</v>
      </c>
      <c r="K2322" s="2" t="str">
        <f>IFERROR(__xludf.DUMMYFUNCTION("""COMPUTED_VALUE"""),"82o 00' 00""")</f>
        <v>82o 00' 00"</v>
      </c>
      <c r="L2322" s="2" t="str">
        <f>IFERROR(__xludf.DUMMYFUNCTION("""COMPUTED_VALUE"""),"82o 03' 30""")</f>
        <v>82o 03' 30"</v>
      </c>
      <c r="M2322" s="2" t="str">
        <f>IFERROR(__xludf.DUMMYFUNCTION("""COMPUTED_VALUE"""),"Kharpunath (Humla)")</f>
        <v>Kharpunath (Humla)</v>
      </c>
    </row>
    <row r="2323">
      <c r="A2323" s="2">
        <f>IFERROR(__xludf.DUMMYFUNCTION("""COMPUTED_VALUE"""),2322.0)</f>
        <v>2322</v>
      </c>
      <c r="B2323" s="2" t="str">
        <f>IFERROR(__xludf.DUMMYFUNCTION("""COMPUTED_VALUE"""),"Mathillo Siwa Khola Hydropower Project")</f>
        <v>Mathillo Siwa Khola Hydropower Project</v>
      </c>
      <c r="C2323" s="2">
        <f>IFERROR(__xludf.DUMMYFUNCTION("""COMPUTED_VALUE"""),8.18)</f>
        <v>8.18</v>
      </c>
      <c r="D2323" s="2" t="str">
        <f>IFERROR(__xludf.DUMMYFUNCTION("""COMPUTED_VALUE"""),"Siwa Khola")</f>
        <v>Siwa Khola</v>
      </c>
      <c r="E2323" s="2">
        <f>IFERROR(__xludf.DUMMYFUNCTION("""COMPUTED_VALUE"""),3595.0)</f>
        <v>3595</v>
      </c>
      <c r="F2323" s="3">
        <f>IFERROR(__xludf.DUMMYFUNCTION("""COMPUTED_VALUE"""),66013.0)</f>
        <v>66013</v>
      </c>
      <c r="G2323" s="2" t="str">
        <f>IFERROR(__xludf.DUMMYFUNCTION("""COMPUTED_VALUE"""),"Nepal Environment and Development Consultant Private Limited")</f>
        <v>Nepal Environment and Development Consultant Private Limited</v>
      </c>
      <c r="H2323" s="2" t="str">
        <f>IFERROR(__xludf.DUMMYFUNCTION("""COMPUTED_VALUE"""),"Babarmahal, Kathmandu")</f>
        <v>Babarmahal, Kathmandu</v>
      </c>
      <c r="I2323" s="2" t="str">
        <f>IFERROR(__xludf.DUMMYFUNCTION("""COMPUTED_VALUE"""),"27o 30' 30""")</f>
        <v>27o 30' 30"</v>
      </c>
      <c r="J2323" s="2" t="str">
        <f>IFERROR(__xludf.DUMMYFUNCTION("""COMPUTED_VALUE"""),"27o 32' 18""")</f>
        <v>27o 32' 18"</v>
      </c>
      <c r="K2323" s="2" t="str">
        <f>IFERROR(__xludf.DUMMYFUNCTION("""COMPUTED_VALUE"""),"87o 32' 01""")</f>
        <v>87o 32' 01"</v>
      </c>
      <c r="L2323" s="2" t="str">
        <f>IFERROR(__xludf.DUMMYFUNCTION("""COMPUTED_VALUE"""),"87o 35' 06""")</f>
        <v>87o 35' 06"</v>
      </c>
      <c r="M2323" s="2"/>
    </row>
    <row r="2324">
      <c r="A2324" s="2">
        <f>IFERROR(__xludf.DUMMYFUNCTION("""COMPUTED_VALUE"""),2323.0)</f>
        <v>2323</v>
      </c>
      <c r="B2324" s="2" t="str">
        <f>IFERROR(__xludf.DUMMYFUNCTION("""COMPUTED_VALUE"""),"Landan Khola PRoR Hydropower Project")</f>
        <v>Landan Khola PRoR Hydropower Project</v>
      </c>
      <c r="C2324" s="2">
        <f>IFERROR(__xludf.DUMMYFUNCTION("""COMPUTED_VALUE"""),5.0)</f>
        <v>5</v>
      </c>
      <c r="D2324" s="2" t="str">
        <f>IFERROR(__xludf.DUMMYFUNCTION("""COMPUTED_VALUE"""),"Landan Khola")</f>
        <v>Landan Khola</v>
      </c>
      <c r="E2324" s="2">
        <f>IFERROR(__xludf.DUMMYFUNCTION("""COMPUTED_VALUE"""),3599.0)</f>
        <v>3599</v>
      </c>
      <c r="F2324" s="3">
        <f>IFERROR(__xludf.DUMMYFUNCTION("""COMPUTED_VALUE"""),66013.0)</f>
        <v>66013</v>
      </c>
      <c r="G2324" s="2" t="str">
        <f>IFERROR(__xludf.DUMMYFUNCTION("""COMPUTED_VALUE"""),"Best Hydropower Company Private Limited")</f>
        <v>Best Hydropower Company Private Limited</v>
      </c>
      <c r="H2324" s="2" t="str">
        <f>IFERROR(__xludf.DUMMYFUNCTION("""COMPUTED_VALUE"""),"KMC -32, koteshwor")</f>
        <v>KMC -32, koteshwor</v>
      </c>
      <c r="I2324" s="2" t="str">
        <f>IFERROR(__xludf.DUMMYFUNCTION("""COMPUTED_VALUE"""),"28o 26' 54""")</f>
        <v>28o 26' 54"</v>
      </c>
      <c r="J2324" s="2" t="str">
        <f>IFERROR(__xludf.DUMMYFUNCTION("""COMPUTED_VALUE"""),"28o 28' 31""")</f>
        <v>28o 28' 31"</v>
      </c>
      <c r="K2324" s="2" t="str">
        <f>IFERROR(__xludf.DUMMYFUNCTION("""COMPUTED_VALUE"""),"85o 00' 00""")</f>
        <v>85o 00' 00"</v>
      </c>
      <c r="L2324" s="2" t="str">
        <f>IFERROR(__xludf.DUMMYFUNCTION("""COMPUTED_VALUE"""),"85o 03' 39""")</f>
        <v>85o 03' 39"</v>
      </c>
      <c r="M2324" s="2" t="str">
        <f>IFERROR(__xludf.DUMMYFUNCTION("""COMPUTED_VALUE"""),"Chhaikampar,Kerauja (Gorkha)")</f>
        <v>Chhaikampar,Kerauja (Gorkha)</v>
      </c>
    </row>
    <row r="2325">
      <c r="A2325" s="2">
        <f>IFERROR(__xludf.DUMMYFUNCTION("""COMPUTED_VALUE"""),2324.0)</f>
        <v>2324</v>
      </c>
      <c r="B2325" s="2" t="str">
        <f>IFERROR(__xludf.DUMMYFUNCTION("""COMPUTED_VALUE"""),"Chaldi Khola Storage Hydropower Project")</f>
        <v>Chaldi Khola Storage Hydropower Project</v>
      </c>
      <c r="C2325" s="2">
        <f>IFERROR(__xludf.DUMMYFUNCTION("""COMPUTED_VALUE"""),19.37)</f>
        <v>19.37</v>
      </c>
      <c r="D2325" s="2" t="str">
        <f>IFERROR(__xludf.DUMMYFUNCTION("""COMPUTED_VALUE"""),"chaldi khola")</f>
        <v>chaldi khola</v>
      </c>
      <c r="E2325" s="2">
        <f>IFERROR(__xludf.DUMMYFUNCTION("""COMPUTED_VALUE"""),3634.0)</f>
        <v>3634</v>
      </c>
      <c r="F2325" s="3">
        <f>IFERROR(__xludf.DUMMYFUNCTION("""COMPUTED_VALUE"""),66014.0)</f>
        <v>66014</v>
      </c>
      <c r="G2325" s="2" t="str">
        <f>IFERROR(__xludf.DUMMYFUNCTION("""COMPUTED_VALUE"""),"Resunga Energy Private Limited")</f>
        <v>Resunga Energy Private Limited</v>
      </c>
      <c r="H2325" s="2" t="str">
        <f>IFERROR(__xludf.DUMMYFUNCTION("""COMPUTED_VALUE"""),"KMC-6, Boudhha")</f>
        <v>KMC-6, Boudhha</v>
      </c>
      <c r="I2325" s="2" t="str">
        <f>IFERROR(__xludf.DUMMYFUNCTION("""COMPUTED_VALUE"""),"28o 06' 10""")</f>
        <v>28o 06' 10"</v>
      </c>
      <c r="J2325" s="2" t="str">
        <f>IFERROR(__xludf.DUMMYFUNCTION("""COMPUTED_VALUE"""),"28o 08' 09""")</f>
        <v>28o 08' 09"</v>
      </c>
      <c r="K2325" s="2" t="str">
        <f>IFERROR(__xludf.DUMMYFUNCTION("""COMPUTED_VALUE"""),"83o 15' 05""")</f>
        <v>83o 15' 05"</v>
      </c>
      <c r="L2325" s="2" t="str">
        <f>IFERROR(__xludf.DUMMYFUNCTION("""COMPUTED_VALUE"""),"83o 20' 04""")</f>
        <v>83o 20' 04"</v>
      </c>
      <c r="M2325" s="2" t="str">
        <f>IFERROR(__xludf.DUMMYFUNCTION("""COMPUTED_VALUE"""),"Apchaur,Badagaun,Hastichaur,Arkhale,Paralmi,Balithum (Gulmi)")</f>
        <v>Apchaur,Badagaun,Hastichaur,Arkhale,Paralmi,Balithum (Gulmi)</v>
      </c>
    </row>
    <row r="2326">
      <c r="A2326" s="2">
        <f>IFERROR(__xludf.DUMMYFUNCTION("""COMPUTED_VALUE"""),2325.0)</f>
        <v>2325</v>
      </c>
      <c r="B2326" s="2" t="str">
        <f>IFERROR(__xludf.DUMMYFUNCTION("""COMPUTED_VALUE"""),"Bhalu Khola Hydropower Project")</f>
        <v>Bhalu Khola Hydropower Project</v>
      </c>
      <c r="C2326" s="2">
        <f>IFERROR(__xludf.DUMMYFUNCTION("""COMPUTED_VALUE"""),4.96)</f>
        <v>4.96</v>
      </c>
      <c r="D2326" s="2" t="str">
        <f>IFERROR(__xludf.DUMMYFUNCTION("""COMPUTED_VALUE"""),"Bhalu n Paban Khola")</f>
        <v>Bhalu n Paban Khola</v>
      </c>
      <c r="E2326" s="2">
        <f>IFERROR(__xludf.DUMMYFUNCTION("""COMPUTED_VALUE"""),3751.0)</f>
        <v>3751</v>
      </c>
      <c r="F2326" s="3">
        <f>IFERROR(__xludf.DUMMYFUNCTION("""COMPUTED_VALUE"""),66021.0)</f>
        <v>66021</v>
      </c>
      <c r="G2326" s="2" t="str">
        <f>IFERROR(__xludf.DUMMYFUNCTION("""COMPUTED_VALUE"""),"Sisters Group For Energy Private Limited")</f>
        <v>Sisters Group For Energy Private Limited</v>
      </c>
      <c r="H2326" s="2" t="str">
        <f>IFERROR(__xludf.DUMMYFUNCTION("""COMPUTED_VALUE"""),"Tokha - 7, Kathmandu, Nepal")</f>
        <v>Tokha - 7, Kathmandu, Nepal</v>
      </c>
      <c r="I2326" s="2" t="str">
        <f>IFERROR(__xludf.DUMMYFUNCTION("""COMPUTED_VALUE"""),"28o 20' 46""")</f>
        <v>28o 20' 46"</v>
      </c>
      <c r="J2326" s="2" t="str">
        <f>IFERROR(__xludf.DUMMYFUNCTION("""COMPUTED_VALUE"""),"28o 21' 13""")</f>
        <v>28o 21' 13"</v>
      </c>
      <c r="K2326" s="2" t="str">
        <f>IFERROR(__xludf.DUMMYFUNCTION("""COMPUTED_VALUE"""),"84o 52' 54""")</f>
        <v>84o 52' 54"</v>
      </c>
      <c r="L2326" s="2" t="str">
        <f>IFERROR(__xludf.DUMMYFUNCTION("""COMPUTED_VALUE"""),"84o 53' 47""")</f>
        <v>84o 53' 47"</v>
      </c>
      <c r="M2326" s="2" t="str">
        <f>IFERROR(__xludf.DUMMYFUNCTION("""COMPUTED_VALUE"""),"Uiya,Sirdibas (Gorkha)")</f>
        <v>Uiya,Sirdibas (Gorkha)</v>
      </c>
    </row>
    <row r="2327">
      <c r="A2327" s="2">
        <f>IFERROR(__xludf.DUMMYFUNCTION("""COMPUTED_VALUE"""),2326.0)</f>
        <v>2326</v>
      </c>
      <c r="B2327" s="2" t="str">
        <f>IFERROR(__xludf.DUMMYFUNCTION("""COMPUTED_VALUE"""),"Mid Karnali PRoR Hydropower Project")</f>
        <v>Mid Karnali PRoR Hydropower Project</v>
      </c>
      <c r="C2327" s="2">
        <f>IFERROR(__xludf.DUMMYFUNCTION("""COMPUTED_VALUE"""),9.5)</f>
        <v>9.5</v>
      </c>
      <c r="D2327" s="2" t="str">
        <f>IFERROR(__xludf.DUMMYFUNCTION("""COMPUTED_VALUE"""),"Karnali")</f>
        <v>Karnali</v>
      </c>
      <c r="E2327" s="2">
        <f>IFERROR(__xludf.DUMMYFUNCTION("""COMPUTED_VALUE"""),3845.0)</f>
        <v>3845</v>
      </c>
      <c r="F2327" s="3">
        <f>IFERROR(__xludf.DUMMYFUNCTION("""COMPUTED_VALUE"""),66024.0)</f>
        <v>66024</v>
      </c>
      <c r="G2327" s="2" t="str">
        <f>IFERROR(__xludf.DUMMYFUNCTION("""COMPUTED_VALUE"""),"Golden Karnali Hydropower Private Limited")</f>
        <v>Golden Karnali Hydropower Private Limited</v>
      </c>
      <c r="H2327" s="2" t="str">
        <f>IFERROR(__xludf.DUMMYFUNCTION("""COMPUTED_VALUE"""),"KMC-14, Kathmandu")</f>
        <v>KMC-14, Kathmandu</v>
      </c>
      <c r="I2327" s="2" t="str">
        <f>IFERROR(__xludf.DUMMYFUNCTION("""COMPUTED_VALUE"""),"29o 16' 03""")</f>
        <v>29o 16' 03"</v>
      </c>
      <c r="J2327" s="2" t="str">
        <f>IFERROR(__xludf.DUMMYFUNCTION("""COMPUTED_VALUE"""),"29o 23' 43""")</f>
        <v>29o 23' 43"</v>
      </c>
      <c r="K2327" s="2" t="str">
        <f>IFERROR(__xludf.DUMMYFUNCTION("""COMPUTED_VALUE"""),"81o 41' 44""")</f>
        <v>81o 41' 44"</v>
      </c>
      <c r="L2327" s="2" t="str">
        <f>IFERROR(__xludf.DUMMYFUNCTION("""COMPUTED_VALUE"""),"81o 46' 37""")</f>
        <v>81o 46' 37"</v>
      </c>
      <c r="M2327" s="2" t="str">
        <f>IFERROR(__xludf.DUMMYFUNCTION("""COMPUTED_VALUE"""),"Sappata,Gotree (Bajura) Dholagohe,Nanikot,Ramanakot,Thirpu (Kalikot)")</f>
        <v>Sappata,Gotree (Bajura) Dholagohe,Nanikot,Ramanakot,Thirpu (Kalikot)</v>
      </c>
    </row>
    <row r="2328">
      <c r="A2328" s="2">
        <f>IFERROR(__xludf.DUMMYFUNCTION("""COMPUTED_VALUE"""),2327.0)</f>
        <v>2327</v>
      </c>
      <c r="B2328" s="2" t="str">
        <f>IFERROR(__xludf.DUMMYFUNCTION("""COMPUTED_VALUE"""),"Kuntun Khola PRoR Hydropower Project")</f>
        <v>Kuntun Khola PRoR Hydropower Project</v>
      </c>
      <c r="C2328" s="2">
        <f>IFERROR(__xludf.DUMMYFUNCTION("""COMPUTED_VALUE"""),2.3)</f>
        <v>2.3</v>
      </c>
      <c r="D2328" s="2" t="str">
        <f>IFERROR(__xludf.DUMMYFUNCTION("""COMPUTED_VALUE"""),"Kuntun Khola")</f>
        <v>Kuntun Khola</v>
      </c>
      <c r="E2328" s="2">
        <f>IFERROR(__xludf.DUMMYFUNCTION("""COMPUTED_VALUE"""),4110.0)</f>
        <v>4110</v>
      </c>
      <c r="F2328" s="3">
        <f>IFERROR(__xludf.DUMMYFUNCTION("""COMPUTED_VALUE"""),66034.0)</f>
        <v>66034</v>
      </c>
      <c r="G2328" s="2" t="str">
        <f>IFERROR(__xludf.DUMMYFUNCTION("""COMPUTED_VALUE"""),"Happy Power Private Limited")</f>
        <v>Happy Power Private Limited</v>
      </c>
      <c r="H2328" s="2" t="str">
        <f>IFERROR(__xludf.DUMMYFUNCTION("""COMPUTED_VALUE"""),"Naxal, Kathmandu")</f>
        <v>Naxal, Kathmandu</v>
      </c>
      <c r="I2328" s="2" t="str">
        <f>IFERROR(__xludf.DUMMYFUNCTION("""COMPUTED_VALUE"""),"27o 57' 37""")</f>
        <v>27o 57' 37"</v>
      </c>
      <c r="J2328" s="2" t="str">
        <f>IFERROR(__xludf.DUMMYFUNCTION("""COMPUTED_VALUE"""),"27o 58' 55""")</f>
        <v>27o 58' 55"</v>
      </c>
      <c r="K2328" s="2" t="str">
        <f>IFERROR(__xludf.DUMMYFUNCTION("""COMPUTED_VALUE"""),"85o 24' 00""")</f>
        <v>85o 24' 00"</v>
      </c>
      <c r="L2328" s="2" t="str">
        <f>IFERROR(__xludf.DUMMYFUNCTION("""COMPUTED_VALUE"""),"85o 24' 45""")</f>
        <v>85o 24' 45"</v>
      </c>
      <c r="M2328" s="2" t="str">
        <f>IFERROR(__xludf.DUMMYFUNCTION("""COMPUTED_VALUE"""),"Shikharbesi,Rautbesi,Dhyangphedi (Nuwakot)")</f>
        <v>Shikharbesi,Rautbesi,Dhyangphedi (Nuwakot)</v>
      </c>
    </row>
    <row r="2329">
      <c r="A2329" s="2">
        <f>IFERROR(__xludf.DUMMYFUNCTION("""COMPUTED_VALUE"""),2328.0)</f>
        <v>2328</v>
      </c>
      <c r="B2329" s="2" t="str">
        <f>IFERROR(__xludf.DUMMYFUNCTION("""COMPUTED_VALUE"""),"Super Khadam Khola Small Hydropower Project")</f>
        <v>Super Khadam Khola Small Hydropower Project</v>
      </c>
      <c r="C2329" s="2">
        <f>IFERROR(__xludf.DUMMYFUNCTION("""COMPUTED_VALUE"""),0.95)</f>
        <v>0.95</v>
      </c>
      <c r="D2329" s="2" t="str">
        <f>IFERROR(__xludf.DUMMYFUNCTION("""COMPUTED_VALUE"""),"Khadam")</f>
        <v>Khadam</v>
      </c>
      <c r="E2329" s="2">
        <f>IFERROR(__xludf.DUMMYFUNCTION("""COMPUTED_VALUE"""),4185.0)</f>
        <v>4185</v>
      </c>
      <c r="F2329" s="3">
        <f>IFERROR(__xludf.DUMMYFUNCTION("""COMPUTED_VALUE"""),66037.0)</f>
        <v>66037</v>
      </c>
      <c r="G2329" s="2" t="str">
        <f>IFERROR(__xludf.DUMMYFUNCTION("""COMPUTED_VALUE"""),"Abiral Hydropower Company Pvt. Ltd.")</f>
        <v>Abiral Hydropower Company Pvt. Ltd.</v>
      </c>
      <c r="H2329" s="2" t="str">
        <f>IFERROR(__xludf.DUMMYFUNCTION("""COMPUTED_VALUE"""),"Urlabari, Morang")</f>
        <v>Urlabari, Morang</v>
      </c>
      <c r="I2329" s="2" t="str">
        <f>IFERROR(__xludf.DUMMYFUNCTION("""COMPUTED_VALUE"""),"26o 50' 21""")</f>
        <v>26o 50' 21"</v>
      </c>
      <c r="J2329" s="2" t="str">
        <f>IFERROR(__xludf.DUMMYFUNCTION("""COMPUTED_VALUE"""),"26o 51' 32""")</f>
        <v>26o 51' 32"</v>
      </c>
      <c r="K2329" s="2" t="str">
        <f>IFERROR(__xludf.DUMMYFUNCTION("""COMPUTED_VALUE"""),"87o 25' 46""")</f>
        <v>87o 25' 46"</v>
      </c>
      <c r="L2329" s="2" t="str">
        <f>IFERROR(__xludf.DUMMYFUNCTION("""COMPUTED_VALUE"""),"87o 27' 00""")</f>
        <v>87o 27' 00"</v>
      </c>
      <c r="M2329" s="2" t="str">
        <f>IFERROR(__xludf.DUMMYFUNCTION("""COMPUTED_VALUE"""),"Sinhadevi (Morang)")</f>
        <v>Sinhadevi (Morang)</v>
      </c>
    </row>
    <row r="2330">
      <c r="A2330" s="2">
        <f>IFERROR(__xludf.DUMMYFUNCTION("""COMPUTED_VALUE"""),2329.0)</f>
        <v>2329</v>
      </c>
      <c r="B2330" s="2" t="str">
        <f>IFERROR(__xludf.DUMMYFUNCTION("""COMPUTED_VALUE"""),"Upper Jagdulla Hydropower Project")</f>
        <v>Upper Jagdulla Hydropower Project</v>
      </c>
      <c r="C2330" s="2">
        <f>IFERROR(__xludf.DUMMYFUNCTION("""COMPUTED_VALUE"""),62.75)</f>
        <v>62.75</v>
      </c>
      <c r="D2330" s="2" t="str">
        <f>IFERROR(__xludf.DUMMYFUNCTION("""COMPUTED_VALUE"""),"Jagadulla")</f>
        <v>Jagadulla</v>
      </c>
      <c r="E2330" s="2">
        <f>IFERROR(__xludf.DUMMYFUNCTION("""COMPUTED_VALUE"""),4211.0)</f>
        <v>4211</v>
      </c>
      <c r="F2330" s="3">
        <f>IFERROR(__xludf.DUMMYFUNCTION("""COMPUTED_VALUE"""),66038.0)</f>
        <v>66038</v>
      </c>
      <c r="G2330" s="2" t="str">
        <f>IFERROR(__xludf.DUMMYFUNCTION("""COMPUTED_VALUE"""),"Mandal Urja Private Limited")</f>
        <v>Mandal Urja Private Limited</v>
      </c>
      <c r="H2330" s="2" t="str">
        <f>IFERROR(__xludf.DUMMYFUNCTION("""COMPUTED_VALUE"""),"KMC-32, Subidhanagar, Kathmandu")</f>
        <v>KMC-32, Subidhanagar, Kathmandu</v>
      </c>
      <c r="I2330" s="2" t="str">
        <f>IFERROR(__xludf.DUMMYFUNCTION("""COMPUTED_VALUE"""),"29o 08' 00""")</f>
        <v>29o 08' 00"</v>
      </c>
      <c r="J2330" s="2" t="str">
        <f>IFERROR(__xludf.DUMMYFUNCTION("""COMPUTED_VALUE"""),"29o 16' 12""")</f>
        <v>29o 16' 12"</v>
      </c>
      <c r="K2330" s="2" t="str">
        <f>IFERROR(__xludf.DUMMYFUNCTION("""COMPUTED_VALUE"""),"82o 35' 08""")</f>
        <v>82o 35' 08"</v>
      </c>
      <c r="L2330" s="2" t="str">
        <f>IFERROR(__xludf.DUMMYFUNCTION("""COMPUTED_VALUE"""),"82o 43' 25""")</f>
        <v>82o 43' 25"</v>
      </c>
      <c r="M2330" s="2" t="str">
        <f>IFERROR(__xludf.DUMMYFUNCTION("""COMPUTED_VALUE"""),"Phoksundo (Dolpa)")</f>
        <v>Phoksundo (Dolpa)</v>
      </c>
    </row>
    <row r="2331">
      <c r="A2331" s="2">
        <f>IFERROR(__xludf.DUMMYFUNCTION("""COMPUTED_VALUE"""),2330.0)</f>
        <v>2330</v>
      </c>
      <c r="B2331" s="2" t="str">
        <f>IFERROR(__xludf.DUMMYFUNCTION("""COMPUTED_VALUE"""),"Super Kawadi Khola PRoR Hydropower Project")</f>
        <v>Super Kawadi Khola PRoR Hydropower Project</v>
      </c>
      <c r="C2331" s="2">
        <f>IFERROR(__xludf.DUMMYFUNCTION("""COMPUTED_VALUE"""),5.0)</f>
        <v>5</v>
      </c>
      <c r="D2331" s="2" t="str">
        <f>IFERROR(__xludf.DUMMYFUNCTION("""COMPUTED_VALUE"""),"Kawadi Khola")</f>
        <v>Kawadi Khola</v>
      </c>
      <c r="E2331" s="2">
        <f>IFERROR(__xludf.DUMMYFUNCTION("""COMPUTED_VALUE"""),4256.0)</f>
        <v>4256</v>
      </c>
      <c r="F2331" s="3">
        <f>IFERROR(__xludf.DUMMYFUNCTION("""COMPUTED_VALUE"""),66041.0)</f>
        <v>66041</v>
      </c>
      <c r="G2331" s="2" t="str">
        <f>IFERROR(__xludf.DUMMYFUNCTION("""COMPUTED_VALUE"""),"Shanta Himalaya Hydropower Private Limited")</f>
        <v>Shanta Himalaya Hydropower Private Limited</v>
      </c>
      <c r="H2331" s="2" t="str">
        <f>IFERROR(__xludf.DUMMYFUNCTION("""COMPUTED_VALUE"""),"Pasikot, Budhanilkantha, Kathmandu")</f>
        <v>Pasikot, Budhanilkantha, Kathmandu</v>
      </c>
      <c r="I2331" s="2" t="str">
        <f>IFERROR(__xludf.DUMMYFUNCTION("""COMPUTED_VALUE"""),"29o 48' 18""")</f>
        <v>29o 48' 18"</v>
      </c>
      <c r="J2331" s="2" t="str">
        <f>IFERROR(__xludf.DUMMYFUNCTION("""COMPUTED_VALUE"""),"29o 54' 00""")</f>
        <v>29o 54' 00"</v>
      </c>
      <c r="K2331" s="2" t="str">
        <f>IFERROR(__xludf.DUMMYFUNCTION("""COMPUTED_VALUE"""),"81o 35' 00""")</f>
        <v>81o 35' 00"</v>
      </c>
      <c r="L2331" s="2" t="str">
        <f>IFERROR(__xludf.DUMMYFUNCTION("""COMPUTED_VALUE"""),"81o 45' 54""")</f>
        <v>81o 45' 54"</v>
      </c>
      <c r="M2331" s="2"/>
    </row>
    <row r="2332">
      <c r="A2332" s="2">
        <f>IFERROR(__xludf.DUMMYFUNCTION("""COMPUTED_VALUE"""),2331.0)</f>
        <v>2331</v>
      </c>
      <c r="B2332" s="2" t="str">
        <f>IFERROR(__xludf.DUMMYFUNCTION("""COMPUTED_VALUE"""),"Leksuwa Khola PRoR Hydropower Project")</f>
        <v>Leksuwa Khola PRoR Hydropower Project</v>
      </c>
      <c r="C2332" s="2">
        <f>IFERROR(__xludf.DUMMYFUNCTION("""COMPUTED_VALUE"""),4.7)</f>
        <v>4.7</v>
      </c>
      <c r="D2332" s="2" t="str">
        <f>IFERROR(__xludf.DUMMYFUNCTION("""COMPUTED_VALUE"""),"Leksuwa")</f>
        <v>Leksuwa</v>
      </c>
      <c r="E2332" s="2">
        <f>IFERROR(__xludf.DUMMYFUNCTION("""COMPUTED_VALUE"""),4294.0)</f>
        <v>4294</v>
      </c>
      <c r="F2332" s="3">
        <f>IFERROR(__xludf.DUMMYFUNCTION("""COMPUTED_VALUE"""),66042.0)</f>
        <v>66042</v>
      </c>
      <c r="G2332" s="2" t="str">
        <f>IFERROR(__xludf.DUMMYFUNCTION("""COMPUTED_VALUE"""),"Leksuwa Energy Private Limited")</f>
        <v>Leksuwa Energy Private Limited</v>
      </c>
      <c r="H2332" s="2" t="str">
        <f>IFERROR(__xludf.DUMMYFUNCTION("""COMPUTED_VALUE"""),"KMC, Ward No 4")</f>
        <v>KMC, Ward No 4</v>
      </c>
      <c r="I2332" s="2" t="str">
        <f>IFERROR(__xludf.DUMMYFUNCTION("""COMPUTED_VALUE"""),"27o 40' 01""")</f>
        <v>27o 40' 01"</v>
      </c>
      <c r="J2332" s="2" t="str">
        <f>IFERROR(__xludf.DUMMYFUNCTION("""COMPUTED_VALUE"""),"27o 42' 00""")</f>
        <v>27o 42' 00"</v>
      </c>
      <c r="K2332" s="2" t="str">
        <f>IFERROR(__xludf.DUMMYFUNCTION("""COMPUTED_VALUE"""),"87o 21' 40""")</f>
        <v>87o 21' 40"</v>
      </c>
      <c r="L2332" s="2" t="str">
        <f>IFERROR(__xludf.DUMMYFUNCTION("""COMPUTED_VALUE"""),"87o 25' 58""")</f>
        <v>87o 25' 58"</v>
      </c>
      <c r="M2332" s="2" t="str">
        <f>IFERROR(__xludf.DUMMYFUNCTION("""COMPUTED_VALUE"""),"Hatiya,Pawakhola (Sankhuwasabha)")</f>
        <v>Hatiya,Pawakhola (Sankhuwasabha)</v>
      </c>
    </row>
    <row r="2333">
      <c r="A2333" s="2">
        <f>IFERROR(__xludf.DUMMYFUNCTION("""COMPUTED_VALUE"""),2332.0)</f>
        <v>2332</v>
      </c>
      <c r="B2333" s="2" t="str">
        <f>IFERROR(__xludf.DUMMYFUNCTION("""COMPUTED_VALUE"""),"Upper Jagdulla Hydropower Project")</f>
        <v>Upper Jagdulla Hydropower Project</v>
      </c>
      <c r="C2333" s="2">
        <f>IFERROR(__xludf.DUMMYFUNCTION("""COMPUTED_VALUE"""),9.42)</f>
        <v>9.42</v>
      </c>
      <c r="D2333" s="2" t="str">
        <f>IFERROR(__xludf.DUMMYFUNCTION("""COMPUTED_VALUE"""),"Bheri Khola")</f>
        <v>Bheri Khola</v>
      </c>
      <c r="E2333" s="2">
        <f>IFERROR(__xludf.DUMMYFUNCTION("""COMPUTED_VALUE"""),4372.0)</f>
        <v>4372</v>
      </c>
      <c r="F2333" s="3">
        <f>IFERROR(__xludf.DUMMYFUNCTION("""COMPUTED_VALUE"""),66045.0)</f>
        <v>66045</v>
      </c>
      <c r="G2333" s="2" t="str">
        <f>IFERROR(__xludf.DUMMYFUNCTION("""COMPUTED_VALUE"""),"Pai Investment Private Limited")</f>
        <v>Pai Investment Private Limited</v>
      </c>
      <c r="H2333" s="2" t="str">
        <f>IFERROR(__xludf.DUMMYFUNCTION("""COMPUTED_VALUE"""),"Lalitpur - 18, Lalitpur")</f>
        <v>Lalitpur - 18, Lalitpur</v>
      </c>
      <c r="I2333" s="2" t="str">
        <f>IFERROR(__xludf.DUMMYFUNCTION("""COMPUTED_VALUE"""),"29o 07' 53""")</f>
        <v>29o 07' 53"</v>
      </c>
      <c r="J2333" s="2" t="str">
        <f>IFERROR(__xludf.DUMMYFUNCTION("""COMPUTED_VALUE"""),"29o 12' 00""")</f>
        <v>29o 12' 00"</v>
      </c>
      <c r="K2333" s="2" t="str">
        <f>IFERROR(__xludf.DUMMYFUNCTION("""COMPUTED_VALUE"""),"82o 36' 00""")</f>
        <v>82o 36' 00"</v>
      </c>
      <c r="L2333" s="2" t="str">
        <f>IFERROR(__xludf.DUMMYFUNCTION("""COMPUTED_VALUE"""),"82o 41' 00""")</f>
        <v>82o 41' 00"</v>
      </c>
      <c r="M2333" s="2" t="str">
        <f>IFERROR(__xludf.DUMMYFUNCTION("""COMPUTED_VALUE"""),"Kaigaun,Phoksundo,Rimi (Dolpa)")</f>
        <v>Kaigaun,Phoksundo,Rimi (Dolpa)</v>
      </c>
    </row>
    <row r="2334">
      <c r="A2334" s="2">
        <f>IFERROR(__xludf.DUMMYFUNCTION("""COMPUTED_VALUE"""),2333.0)</f>
        <v>2333</v>
      </c>
      <c r="B2334" s="2" t="str">
        <f>IFERROR(__xludf.DUMMYFUNCTION("""COMPUTED_VALUE"""),"Sankhuwa and Sanlaha Khola PRoR Hydropower Project")</f>
        <v>Sankhuwa and Sanlaha Khola PRoR Hydropower Project</v>
      </c>
      <c r="C2334" s="2">
        <f>IFERROR(__xludf.DUMMYFUNCTION("""COMPUTED_VALUE"""),5.0)</f>
        <v>5</v>
      </c>
      <c r="D2334" s="2" t="str">
        <f>IFERROR(__xludf.DUMMYFUNCTION("""COMPUTED_VALUE"""),"Sankhuwa Khola and sanlaha kho")</f>
        <v>Sankhuwa Khola and sanlaha kho</v>
      </c>
      <c r="E2334" s="2">
        <f>IFERROR(__xludf.DUMMYFUNCTION("""COMPUTED_VALUE"""),4496.0)</f>
        <v>4496</v>
      </c>
      <c r="F2334" s="3">
        <f>IFERROR(__xludf.DUMMYFUNCTION("""COMPUTED_VALUE"""),66053.0)</f>
        <v>66053</v>
      </c>
      <c r="G2334" s="2" t="str">
        <f>IFERROR(__xludf.DUMMYFUNCTION("""COMPUTED_VALUE"""),"Best Hydropower Company Private Limited")</f>
        <v>Best Hydropower Company Private Limited</v>
      </c>
      <c r="H2334" s="2" t="str">
        <f>IFERROR(__xludf.DUMMYFUNCTION("""COMPUTED_VALUE"""),"KMC - 32, Koteshower, Kathmandu")</f>
        <v>KMC - 32, Koteshower, Kathmandu</v>
      </c>
      <c r="I2334" s="2" t="str">
        <f>IFERROR(__xludf.DUMMYFUNCTION("""COMPUTED_VALUE"""),"27o 33' 10""")</f>
        <v>27o 33' 10"</v>
      </c>
      <c r="J2334" s="2" t="str">
        <f>IFERROR(__xludf.DUMMYFUNCTION("""COMPUTED_VALUE"""),"27o 35' 20""")</f>
        <v>27o 35' 20"</v>
      </c>
      <c r="K2334" s="2" t="str">
        <f>IFERROR(__xludf.DUMMYFUNCTION("""COMPUTED_VALUE"""),"87o 00' 00""")</f>
        <v>87o 00' 00"</v>
      </c>
      <c r="L2334" s="2" t="str">
        <f>IFERROR(__xludf.DUMMYFUNCTION("""COMPUTED_VALUE"""),"87o 02' 00""")</f>
        <v>87o 02' 00"</v>
      </c>
      <c r="M2334" s="2" t="str">
        <f>IFERROR(__xludf.DUMMYFUNCTION("""COMPUTED_VALUE"""),"Bala,Tamku (Sankhuwasabha)")</f>
        <v>Bala,Tamku (Sankhuwasabha)</v>
      </c>
    </row>
    <row r="2335">
      <c r="A2335" s="2">
        <f>IFERROR(__xludf.DUMMYFUNCTION("""COMPUTED_VALUE"""),2334.0)</f>
        <v>2334</v>
      </c>
      <c r="B2335" s="2" t="str">
        <f>IFERROR(__xludf.DUMMYFUNCTION("""COMPUTED_VALUE"""),"Phurkum Khola Hydropower Project")</f>
        <v>Phurkum Khola Hydropower Project</v>
      </c>
      <c r="C2335" s="2">
        <f>IFERROR(__xludf.DUMMYFUNCTION("""COMPUTED_VALUE"""),4.8)</f>
        <v>4.8</v>
      </c>
      <c r="D2335" s="2" t="str">
        <f>IFERROR(__xludf.DUMMYFUNCTION("""COMPUTED_VALUE"""),"Phurkum Khola")</f>
        <v>Phurkum Khola</v>
      </c>
      <c r="E2335" s="2">
        <f>IFERROR(__xludf.DUMMYFUNCTION("""COMPUTED_VALUE"""),4617.0)</f>
        <v>4617</v>
      </c>
      <c r="F2335" s="3">
        <f>IFERROR(__xludf.DUMMYFUNCTION("""COMPUTED_VALUE"""),66059.0)</f>
        <v>66059</v>
      </c>
      <c r="G2335" s="2" t="str">
        <f>IFERROR(__xludf.DUMMYFUNCTION("""COMPUTED_VALUE"""),"Power Hub Innovation Private Limited")</f>
        <v>Power Hub Innovation Private Limited</v>
      </c>
      <c r="H2335" s="2" t="str">
        <f>IFERROR(__xludf.DUMMYFUNCTION("""COMPUTED_VALUE"""),"Kathmandu, Nepal")</f>
        <v>Kathmandu, Nepal</v>
      </c>
      <c r="I2335" s="2" t="str">
        <f>IFERROR(__xludf.DUMMYFUNCTION("""COMPUTED_VALUE"""),"28o 02' 25""")</f>
        <v>28o 02' 25"</v>
      </c>
      <c r="J2335" s="2" t="str">
        <f>IFERROR(__xludf.DUMMYFUNCTION("""COMPUTED_VALUE"""),"28o 03' 31""")</f>
        <v>28o 03' 31"</v>
      </c>
      <c r="K2335" s="2" t="str">
        <f>IFERROR(__xludf.DUMMYFUNCTION("""COMPUTED_VALUE"""),"86o 08' 09""")</f>
        <v>86o 08' 09"</v>
      </c>
      <c r="L2335" s="2" t="str">
        <f>IFERROR(__xludf.DUMMYFUNCTION("""COMPUTED_VALUE"""),"86o 10' 10""")</f>
        <v>86o 10' 10"</v>
      </c>
      <c r="M2335" s="2" t="str">
        <f>IFERROR(__xludf.DUMMYFUNCTION("""COMPUTED_VALUE"""),"Lamabagar (Dolakha)")</f>
        <v>Lamabagar (Dolakha)</v>
      </c>
    </row>
    <row r="2336">
      <c r="A2336" s="2">
        <f>IFERROR(__xludf.DUMMYFUNCTION("""COMPUTED_VALUE"""),2335.0)</f>
        <v>2335</v>
      </c>
      <c r="B2336" s="2" t="str">
        <f>IFERROR(__xludf.DUMMYFUNCTION("""COMPUTED_VALUE"""),"Higher Sankhuwa Khola Hydropower Project")</f>
        <v>Higher Sankhuwa Khola Hydropower Project</v>
      </c>
      <c r="C2336" s="2">
        <f>IFERROR(__xludf.DUMMYFUNCTION("""COMPUTED_VALUE"""),24.0)</f>
        <v>24</v>
      </c>
      <c r="D2336" s="2" t="str">
        <f>IFERROR(__xludf.DUMMYFUNCTION("""COMPUTED_VALUE"""),"Sankhuwa Khola")</f>
        <v>Sankhuwa Khola</v>
      </c>
      <c r="E2336" s="2">
        <f>IFERROR(__xludf.DUMMYFUNCTION("""COMPUTED_VALUE"""),4659.0)</f>
        <v>4659</v>
      </c>
      <c r="F2336" s="3">
        <f>IFERROR(__xludf.DUMMYFUNCTION("""COMPUTED_VALUE"""),66060.0)</f>
        <v>66060</v>
      </c>
      <c r="G2336" s="2" t="str">
        <f>IFERROR(__xludf.DUMMYFUNCTION("""COMPUTED_VALUE"""),"Sirjanshil Urja Company Private Limited")</f>
        <v>Sirjanshil Urja Company Private Limited</v>
      </c>
      <c r="H2336" s="2" t="str">
        <f>IFERROR(__xludf.DUMMYFUNCTION("""COMPUTED_VALUE"""),"Radhakrishnamarg, Babarmahal, Kathmandu (01-4225281)")</f>
        <v>Radhakrishnamarg, Babarmahal, Kathmandu (01-4225281)</v>
      </c>
      <c r="I2336" s="2" t="str">
        <f>IFERROR(__xludf.DUMMYFUNCTION("""COMPUTED_VALUE"""),"27o 33' 33""")</f>
        <v>27o 33' 33"</v>
      </c>
      <c r="J2336" s="2" t="str">
        <f>IFERROR(__xludf.DUMMYFUNCTION("""COMPUTED_VALUE"""),"27o 36' 42""")</f>
        <v>27o 36' 42"</v>
      </c>
      <c r="K2336" s="2" t="str">
        <f>IFERROR(__xludf.DUMMYFUNCTION("""COMPUTED_VALUE"""),"87o 00' 00""")</f>
        <v>87o 00' 00"</v>
      </c>
      <c r="L2336" s="2" t="str">
        <f>IFERROR(__xludf.DUMMYFUNCTION("""COMPUTED_VALUE"""),"87o 03' 40""")</f>
        <v>87o 03' 40"</v>
      </c>
      <c r="M2336" s="2" t="str">
        <f>IFERROR(__xludf.DUMMYFUNCTION("""COMPUTED_VALUE"""),"Bala,Tamku (Sankhuwasabha)")</f>
        <v>Bala,Tamku (Sankhuwasabha)</v>
      </c>
    </row>
    <row r="2337">
      <c r="A2337" s="2">
        <f>IFERROR(__xludf.DUMMYFUNCTION("""COMPUTED_VALUE"""),2336.0)</f>
        <v>2336</v>
      </c>
      <c r="B2337" s="2" t="str">
        <f>IFERROR(__xludf.DUMMYFUNCTION("""COMPUTED_VALUE"""),"Upper Baddi Gad Hydropower Project")</f>
        <v>Upper Baddi Gad Hydropower Project</v>
      </c>
      <c r="C2337" s="2">
        <f>IFERROR(__xludf.DUMMYFUNCTION("""COMPUTED_VALUE"""),4.995)</f>
        <v>4.995</v>
      </c>
      <c r="D2337" s="2" t="str">
        <f>IFERROR(__xludf.DUMMYFUNCTION("""COMPUTED_VALUE"""),"Baddi Gad Khola")</f>
        <v>Baddi Gad Khola</v>
      </c>
      <c r="E2337" s="2">
        <f>IFERROR(__xludf.DUMMYFUNCTION("""COMPUTED_VALUE"""),4765.0)</f>
        <v>4765</v>
      </c>
      <c r="F2337" s="3">
        <f>IFERROR(__xludf.DUMMYFUNCTION("""COMPUTED_VALUE"""),66065.0)</f>
        <v>66065</v>
      </c>
      <c r="G2337" s="2" t="str">
        <f>IFERROR(__xludf.DUMMYFUNCTION("""COMPUTED_VALUE"""),"Himkunda Eco Power Private Limited")</f>
        <v>Himkunda Eco Power Private Limited</v>
      </c>
      <c r="H2337" s="2" t="str">
        <f>IFERROR(__xludf.DUMMYFUNCTION("""COMPUTED_VALUE"""),"Sukedhara, Kathmandu")</f>
        <v>Sukedhara, Kathmandu</v>
      </c>
      <c r="I2337" s="2" t="str">
        <f>IFERROR(__xludf.DUMMYFUNCTION("""COMPUTED_VALUE"""),"29o 31' 36""")</f>
        <v>29o 31' 36"</v>
      </c>
      <c r="J2337" s="2" t="str">
        <f>IFERROR(__xludf.DUMMYFUNCTION("""COMPUTED_VALUE"""),"29o 33' 40""")</f>
        <v>29o 33' 40"</v>
      </c>
      <c r="K2337" s="2" t="str">
        <f>IFERROR(__xludf.DUMMYFUNCTION("""COMPUTED_VALUE"""),"81o 36' 30""")</f>
        <v>81o 36' 30"</v>
      </c>
      <c r="L2337" s="2" t="str">
        <f>IFERROR(__xludf.DUMMYFUNCTION("""COMPUTED_VALUE"""),"81o 37' 44""")</f>
        <v>81o 37' 44"</v>
      </c>
      <c r="M2337" s="2" t="str">
        <f>IFERROR(__xludf.DUMMYFUNCTION("""COMPUTED_VALUE"""),"Kolti (Bajura)")</f>
        <v>Kolti (Bajura)</v>
      </c>
    </row>
    <row r="2338">
      <c r="A2338" s="2">
        <f>IFERROR(__xludf.DUMMYFUNCTION("""COMPUTED_VALUE"""),2337.0)</f>
        <v>2337</v>
      </c>
      <c r="B2338" s="2" t="str">
        <f>IFERROR(__xludf.DUMMYFUNCTION("""COMPUTED_VALUE"""),"Koluwa Khola Hydropower Project")</f>
        <v>Koluwa Khola Hydropower Project</v>
      </c>
      <c r="C2338" s="2">
        <f>IFERROR(__xludf.DUMMYFUNCTION("""COMPUTED_VALUE"""),4.26)</f>
        <v>4.26</v>
      </c>
      <c r="D2338" s="2" t="str">
        <f>IFERROR(__xludf.DUMMYFUNCTION("""COMPUTED_VALUE"""),"Koluwa Khola")</f>
        <v>Koluwa Khola</v>
      </c>
      <c r="E2338" s="2">
        <f>IFERROR(__xludf.DUMMYFUNCTION("""COMPUTED_VALUE"""),4887.0)</f>
        <v>4887</v>
      </c>
      <c r="F2338" s="3">
        <f>IFERROR(__xludf.DUMMYFUNCTION("""COMPUTED_VALUE"""),66072.0)</f>
        <v>66072</v>
      </c>
      <c r="G2338" s="2" t="str">
        <f>IFERROR(__xludf.DUMMYFUNCTION("""COMPUTED_VALUE"""),"Happy Power Private Limited")</f>
        <v>Happy Power Private Limited</v>
      </c>
      <c r="H2338" s="2" t="str">
        <f>IFERROR(__xludf.DUMMYFUNCTION("""COMPUTED_VALUE"""),"Naxal, Kathmandu, 014426248")</f>
        <v>Naxal, Kathmandu, 014426248</v>
      </c>
      <c r="I2338" s="2" t="str">
        <f>IFERROR(__xludf.DUMMYFUNCTION("""COMPUTED_VALUE"""),"27o 32' 21""")</f>
        <v>27o 32' 21"</v>
      </c>
      <c r="J2338" s="2" t="str">
        <f>IFERROR(__xludf.DUMMYFUNCTION("""COMPUTED_VALUE"""),"27o 33' 44""")</f>
        <v>27o 33' 44"</v>
      </c>
      <c r="K2338" s="2" t="str">
        <f>IFERROR(__xludf.DUMMYFUNCTION("""COMPUTED_VALUE"""),"87o 03' 59""")</f>
        <v>87o 03' 59"</v>
      </c>
      <c r="L2338" s="2" t="str">
        <f>IFERROR(__xludf.DUMMYFUNCTION("""COMPUTED_VALUE"""),"87o 04' 34""")</f>
        <v>87o 04' 34"</v>
      </c>
      <c r="M2338" s="2" t="str">
        <f>IFERROR(__xludf.DUMMYFUNCTION("""COMPUTED_VALUE"""),"Bala,Tamku (Sankhuwasabha)")</f>
        <v>Bala,Tamku (Sankhuwasabha)</v>
      </c>
    </row>
    <row r="2339">
      <c r="A2339" s="2">
        <f>IFERROR(__xludf.DUMMYFUNCTION("""COMPUTED_VALUE"""),2338.0)</f>
        <v>2338</v>
      </c>
      <c r="B2339" s="2" t="str">
        <f>IFERROR(__xludf.DUMMYFUNCTION("""COMPUTED_VALUE"""),"Bamdan Khola Small Hydropower Project")</f>
        <v>Bamdan Khola Small Hydropower Project</v>
      </c>
      <c r="C2339" s="2">
        <f>IFERROR(__xludf.DUMMYFUNCTION("""COMPUTED_VALUE"""),4.23)</f>
        <v>4.23</v>
      </c>
      <c r="D2339" s="2" t="str">
        <f>IFERROR(__xludf.DUMMYFUNCTION("""COMPUTED_VALUE"""),"Bamdan Khola")</f>
        <v>Bamdan Khola</v>
      </c>
      <c r="E2339" s="2">
        <f>IFERROR(__xludf.DUMMYFUNCTION("""COMPUTED_VALUE"""),4896.0)</f>
        <v>4896</v>
      </c>
      <c r="F2339" s="3">
        <f>IFERROR(__xludf.DUMMYFUNCTION("""COMPUTED_VALUE"""),66072.0)</f>
        <v>66072</v>
      </c>
      <c r="G2339" s="2" t="str">
        <f>IFERROR(__xludf.DUMMYFUNCTION("""COMPUTED_VALUE"""),"Mechi Kali Hydropower Private Limited")</f>
        <v>Mechi Kali Hydropower Private Limited</v>
      </c>
      <c r="H2339" s="2" t="str">
        <f>IFERROR(__xludf.DUMMYFUNCTION("""COMPUTED_VALUE"""),"Battishputali Kathmandu")</f>
        <v>Battishputali Kathmandu</v>
      </c>
      <c r="I2339" s="2" t="str">
        <f>IFERROR(__xludf.DUMMYFUNCTION("""COMPUTED_VALUE"""),"28o 09' 16""")</f>
        <v>28o 09' 16"</v>
      </c>
      <c r="J2339" s="2" t="str">
        <f>IFERROR(__xludf.DUMMYFUNCTION("""COMPUTED_VALUE"""),"28o 10' 55""")</f>
        <v>28o 10' 55"</v>
      </c>
      <c r="K2339" s="2" t="str">
        <f>IFERROR(__xludf.DUMMYFUNCTION("""COMPUTED_VALUE"""),"85o 15' 26""")</f>
        <v>85o 15' 26"</v>
      </c>
      <c r="L2339" s="2" t="str">
        <f>IFERROR(__xludf.DUMMYFUNCTION("""COMPUTED_VALUE"""),"85o 17' 52""")</f>
        <v>85o 17' 52"</v>
      </c>
      <c r="M2339" s="2" t="str">
        <f>IFERROR(__xludf.DUMMYFUNCTION("""COMPUTED_VALUE"""),"Chilime,Gatlang,Goljung (Rasuwa)")</f>
        <v>Chilime,Gatlang,Goljung (Rasuwa)</v>
      </c>
    </row>
    <row r="2340">
      <c r="A2340" s="2">
        <f>IFERROR(__xludf.DUMMYFUNCTION("""COMPUTED_VALUE"""),2339.0)</f>
        <v>2339</v>
      </c>
      <c r="B2340" s="2" t="str">
        <f>IFERROR(__xludf.DUMMYFUNCTION("""COMPUTED_VALUE"""),"Hepka Khola Mini Hydropower Project")</f>
        <v>Hepka Khola Mini Hydropower Project</v>
      </c>
      <c r="C2340" s="2">
        <f>IFERROR(__xludf.DUMMYFUNCTION("""COMPUTED_VALUE"""),0.985)</f>
        <v>0.985</v>
      </c>
      <c r="D2340" s="2" t="str">
        <f>IFERROR(__xludf.DUMMYFUNCTION("""COMPUTED_VALUE"""),"Hepka khola")</f>
        <v>Hepka khola</v>
      </c>
      <c r="E2340" s="2">
        <f>IFERROR(__xludf.DUMMYFUNCTION("""COMPUTED_VALUE"""),4962.0)</f>
        <v>4962</v>
      </c>
      <c r="F2340" s="3">
        <f>IFERROR(__xludf.DUMMYFUNCTION("""COMPUTED_VALUE"""),66074.0)</f>
        <v>66074</v>
      </c>
      <c r="G2340" s="2" t="str">
        <f>IFERROR(__xludf.DUMMYFUNCTION("""COMPUTED_VALUE"""),"Simkot RM (Applicant: Bizbell Renewables Private Limited)")</f>
        <v>Simkot RM (Applicant: Bizbell Renewables Private Limited)</v>
      </c>
      <c r="H2340" s="2" t="str">
        <f>IFERROR(__xludf.DUMMYFUNCTION("""COMPUTED_VALUE"""),"Simkot, Humla (Subidhanagar - 32, Kathmandu)")</f>
        <v>Simkot, Humla (Subidhanagar - 32, Kathmandu)</v>
      </c>
      <c r="I2340" s="2" t="str">
        <f>IFERROR(__xludf.DUMMYFUNCTION("""COMPUTED_VALUE"""),"30o 00' 18""")</f>
        <v>30o 00' 18"</v>
      </c>
      <c r="J2340" s="2" t="str">
        <f>IFERROR(__xludf.DUMMYFUNCTION("""COMPUTED_VALUE"""),"30o 01' 12""")</f>
        <v>30o 01' 12"</v>
      </c>
      <c r="K2340" s="2" t="str">
        <f>IFERROR(__xludf.DUMMYFUNCTION("""COMPUTED_VALUE"""),"81o 46' 09""")</f>
        <v>81o 46' 09"</v>
      </c>
      <c r="L2340" s="2" t="str">
        <f>IFERROR(__xludf.DUMMYFUNCTION("""COMPUTED_VALUE"""),"81o 47' 09""")</f>
        <v>81o 47' 09"</v>
      </c>
      <c r="M2340" s="2" t="str">
        <f>IFERROR(__xludf.DUMMYFUNCTION("""COMPUTED_VALUE"""),"Dandafaya,Hepka (Humla)")</f>
        <v>Dandafaya,Hepka (Humla)</v>
      </c>
    </row>
    <row r="2341">
      <c r="A2341" s="2">
        <f>IFERROR(__xludf.DUMMYFUNCTION("""COMPUTED_VALUE"""),2340.0)</f>
        <v>2340</v>
      </c>
      <c r="B2341" s="2" t="str">
        <f>IFERROR(__xludf.DUMMYFUNCTION("""COMPUTED_VALUE"""),"Syabal Khola Hydropower Project")</f>
        <v>Syabal Khola Hydropower Project</v>
      </c>
      <c r="C2341" s="2">
        <f>IFERROR(__xludf.DUMMYFUNCTION("""COMPUTED_VALUE"""),4.4)</f>
        <v>4.4</v>
      </c>
      <c r="D2341" s="2" t="str">
        <f>IFERROR(__xludf.DUMMYFUNCTION("""COMPUTED_VALUE"""),"Syabal")</f>
        <v>Syabal</v>
      </c>
      <c r="E2341" s="2">
        <f>IFERROR(__xludf.DUMMYFUNCTION("""COMPUTED_VALUE"""),5015.0)</f>
        <v>5015</v>
      </c>
      <c r="F2341" s="3">
        <f>IFERROR(__xludf.DUMMYFUNCTION("""COMPUTED_VALUE"""),66077.0)</f>
        <v>66077</v>
      </c>
      <c r="G2341" s="2" t="str">
        <f>IFERROR(__xludf.DUMMYFUNCTION("""COMPUTED_VALUE"""),"Sindhu Jugal Energy Private Limited")</f>
        <v>Sindhu Jugal Energy Private Limited</v>
      </c>
      <c r="H2341" s="2" t="str">
        <f>IFERROR(__xludf.DUMMYFUNCTION("""COMPUTED_VALUE"""),"Gokarneshwor-8, Kathmandu")</f>
        <v>Gokarneshwor-8, Kathmandu</v>
      </c>
      <c r="I2341" s="2" t="str">
        <f>IFERROR(__xludf.DUMMYFUNCTION("""COMPUTED_VALUE"""),"28o 01' 51""")</f>
        <v>28o 01' 51"</v>
      </c>
      <c r="J2341" s="2" t="str">
        <f>IFERROR(__xludf.DUMMYFUNCTION("""COMPUTED_VALUE"""),"28o 02' 59""")</f>
        <v>28o 02' 59"</v>
      </c>
      <c r="K2341" s="2" t="str">
        <f>IFERROR(__xludf.DUMMYFUNCTION("""COMPUTED_VALUE"""),"85o 46' 52""")</f>
        <v>85o 46' 52"</v>
      </c>
      <c r="L2341" s="2" t="str">
        <f>IFERROR(__xludf.DUMMYFUNCTION("""COMPUTED_VALUE"""),"85o 48' 08""")</f>
        <v>85o 48' 08"</v>
      </c>
      <c r="M2341" s="2"/>
    </row>
    <row r="2342">
      <c r="A2342" s="2">
        <f>IFERROR(__xludf.DUMMYFUNCTION("""COMPUTED_VALUE"""),2341.0)</f>
        <v>2341</v>
      </c>
      <c r="B2342" s="2" t="str">
        <f>IFERROR(__xludf.DUMMYFUNCTION("""COMPUTED_VALUE"""),"Lower Chujung Hydropwer Project")</f>
        <v>Lower Chujung Hydropwer Project</v>
      </c>
      <c r="C2342" s="2">
        <f>IFERROR(__xludf.DUMMYFUNCTION("""COMPUTED_VALUE"""),5.0)</f>
        <v>5</v>
      </c>
      <c r="D2342" s="2" t="str">
        <f>IFERROR(__xludf.DUMMYFUNCTION("""COMPUTED_VALUE"""),"Chujung")</f>
        <v>Chujung</v>
      </c>
      <c r="E2342" s="2">
        <f>IFERROR(__xludf.DUMMYFUNCTION("""COMPUTED_VALUE"""),5034.0)</f>
        <v>5034</v>
      </c>
      <c r="F2342" s="3">
        <f>IFERROR(__xludf.DUMMYFUNCTION("""COMPUTED_VALUE"""),66079.0)</f>
        <v>66079</v>
      </c>
      <c r="G2342" s="2" t="str">
        <f>IFERROR(__xludf.DUMMYFUNCTION("""COMPUTED_VALUE"""),"Adhant Business Group Private Limited")</f>
        <v>Adhant Business Group Private Limited</v>
      </c>
      <c r="H2342" s="2" t="str">
        <f>IFERROR(__xludf.DUMMYFUNCTION("""COMPUTED_VALUE"""),"KMC - 31, New Baneshower, Kathmandu")</f>
        <v>KMC - 31, New Baneshower, Kathmandu</v>
      </c>
      <c r="I2342" s="2" t="str">
        <f>IFERROR(__xludf.DUMMYFUNCTION("""COMPUTED_VALUE"""),"27o 45' 36""")</f>
        <v>27o 45' 36"</v>
      </c>
      <c r="J2342" s="2" t="str">
        <f>IFERROR(__xludf.DUMMYFUNCTION("""COMPUTED_VALUE"""),"27o 45' 57""")</f>
        <v>27o 45' 57"</v>
      </c>
      <c r="K2342" s="2" t="str">
        <f>IFERROR(__xludf.DUMMYFUNCTION("""COMPUTED_VALUE"""),"87o 26' 38""")</f>
        <v>87o 26' 38"</v>
      </c>
      <c r="L2342" s="2" t="str">
        <f>IFERROR(__xludf.DUMMYFUNCTION("""COMPUTED_VALUE"""),"87o 27' 11""")</f>
        <v>87o 27' 11"</v>
      </c>
      <c r="M2342" s="2"/>
    </row>
    <row r="2343">
      <c r="A2343" s="2">
        <f>IFERROR(__xludf.DUMMYFUNCTION("""COMPUTED_VALUE"""),2342.0)</f>
        <v>2342</v>
      </c>
      <c r="B2343" s="2" t="str">
        <f>IFERROR(__xludf.DUMMYFUNCTION("""COMPUTED_VALUE"""),"Lower Nyasem Cascade Hydroelectric Project")</f>
        <v>Lower Nyasem Cascade Hydroelectric Project</v>
      </c>
      <c r="C2343" s="2">
        <f>IFERROR(__xludf.DUMMYFUNCTION("""COMPUTED_VALUE"""),10.0)</f>
        <v>10</v>
      </c>
      <c r="D2343" s="2" t="str">
        <f>IFERROR(__xludf.DUMMYFUNCTION("""COMPUTED_VALUE"""),"Balephi Khola")</f>
        <v>Balephi Khola</v>
      </c>
      <c r="E2343" s="2">
        <f>IFERROR(__xludf.DUMMYFUNCTION("""COMPUTED_VALUE"""),5035.0)</f>
        <v>5035</v>
      </c>
      <c r="F2343" s="3">
        <f>IFERROR(__xludf.DUMMYFUNCTION("""COMPUTED_VALUE"""),66079.0)</f>
        <v>66079</v>
      </c>
      <c r="G2343" s="2" t="str">
        <f>IFERROR(__xludf.DUMMYFUNCTION("""COMPUTED_VALUE"""),"Jugal Nesham Jalbidhyut Private Limited")</f>
        <v>Jugal Nesham Jalbidhyut Private Limited</v>
      </c>
      <c r="H2343" s="2" t="str">
        <f>IFERROR(__xludf.DUMMYFUNCTION("""COMPUTED_VALUE"""),"Sindhupalchowk, Chautara")</f>
        <v>Sindhupalchowk, Chautara</v>
      </c>
      <c r="I2343" s="2" t="str">
        <f>IFERROR(__xludf.DUMMYFUNCTION("""COMPUTED_VALUE"""),"27o 56' 13""")</f>
        <v>27o 56' 13"</v>
      </c>
      <c r="J2343" s="2" t="str">
        <f>IFERROR(__xludf.DUMMYFUNCTION("""COMPUTED_VALUE"""),"27o 57' 50""")</f>
        <v>27o 57' 50"</v>
      </c>
      <c r="K2343" s="2" t="str">
        <f>IFERROR(__xludf.DUMMYFUNCTION("""COMPUTED_VALUE"""),"85o 46' 12""")</f>
        <v>85o 46' 12"</v>
      </c>
      <c r="L2343" s="2" t="str">
        <f>IFERROR(__xludf.DUMMYFUNCTION("""COMPUTED_VALUE"""),"85o 48' 20""")</f>
        <v>85o 48' 20"</v>
      </c>
      <c r="M2343" s="2" t="str">
        <f>IFERROR(__xludf.DUMMYFUNCTION("""COMPUTED_VALUE"""),"Golche,Gumba (Sindhupalchok)")</f>
        <v>Golche,Gumba (Sindhupalchok)</v>
      </c>
    </row>
    <row r="2344">
      <c r="A2344" s="2">
        <f>IFERROR(__xludf.DUMMYFUNCTION("""COMPUTED_VALUE"""),2343.0)</f>
        <v>2343</v>
      </c>
      <c r="B2344" s="2" t="str">
        <f>IFERROR(__xludf.DUMMYFUNCTION("""COMPUTED_VALUE"""),"Kiche Khola Small Hydropower Project")</f>
        <v>Kiche Khola Small Hydropower Project</v>
      </c>
      <c r="C2344" s="2">
        <f>IFERROR(__xludf.DUMMYFUNCTION("""COMPUTED_VALUE"""),3.0)</f>
        <v>3</v>
      </c>
      <c r="D2344" s="2" t="str">
        <f>IFERROR(__xludf.DUMMYFUNCTION("""COMPUTED_VALUE"""),"Kiche Khola")</f>
        <v>Kiche Khola</v>
      </c>
      <c r="E2344" s="2">
        <f>IFERROR(__xludf.DUMMYFUNCTION("""COMPUTED_VALUE"""),5052.0)</f>
        <v>5052</v>
      </c>
      <c r="F2344" s="3">
        <f>IFERROR(__xludf.DUMMYFUNCTION("""COMPUTED_VALUE"""),66079.0)</f>
        <v>66079</v>
      </c>
      <c r="G2344" s="2" t="str">
        <f>IFERROR(__xludf.DUMMYFUNCTION("""COMPUTED_VALUE"""),"Marsyangdi Bidhut Company Limited")</f>
        <v>Marsyangdi Bidhut Company Limited</v>
      </c>
      <c r="H2344" s="2" t="str">
        <f>IFERROR(__xludf.DUMMYFUNCTION("""COMPUTED_VALUE"""),"Marsyangdi - 8, Lamjung")</f>
        <v>Marsyangdi - 8, Lamjung</v>
      </c>
      <c r="I2344" s="2" t="str">
        <f>IFERROR(__xludf.DUMMYFUNCTION("""COMPUTED_VALUE"""),"28o 18' 40""")</f>
        <v>28o 18' 40"</v>
      </c>
      <c r="J2344" s="2" t="str">
        <f>IFERROR(__xludf.DUMMYFUNCTION("""COMPUTED_VALUE"""),"28o 19' 40""")</f>
        <v>28o 19' 40"</v>
      </c>
      <c r="K2344" s="2" t="str">
        <f>IFERROR(__xludf.DUMMYFUNCTION("""COMPUTED_VALUE"""),"84o 18' 30""")</f>
        <v>84o 18' 30"</v>
      </c>
      <c r="L2344" s="2" t="str">
        <f>IFERROR(__xludf.DUMMYFUNCTION("""COMPUTED_VALUE"""),"84o 20' 20""")</f>
        <v>84o 20' 20"</v>
      </c>
      <c r="M2344" s="2" t="str">
        <f>IFERROR(__xludf.DUMMYFUNCTION("""COMPUTED_VALUE"""),"Ghanpokhara,Khudi (Lamjung)")</f>
        <v>Ghanpokhara,Khudi (Lamjung)</v>
      </c>
    </row>
    <row r="2345">
      <c r="A2345" s="2">
        <f>IFERROR(__xludf.DUMMYFUNCTION("""COMPUTED_VALUE"""),2344.0)</f>
        <v>2344</v>
      </c>
      <c r="B2345" s="2" t="str">
        <f>IFERROR(__xludf.DUMMYFUNCTION("""COMPUTED_VALUE"""),"Upper Kasuwa Hydropower Project")</f>
        <v>Upper Kasuwa Hydropower Project</v>
      </c>
      <c r="C2345" s="2">
        <f>IFERROR(__xludf.DUMMYFUNCTION("""COMPUTED_VALUE"""),4.5)</f>
        <v>4.5</v>
      </c>
      <c r="D2345" s="2" t="str">
        <f>IFERROR(__xludf.DUMMYFUNCTION("""COMPUTED_VALUE"""),"Kasuwa Khola")</f>
        <v>Kasuwa Khola</v>
      </c>
      <c r="E2345" s="2">
        <f>IFERROR(__xludf.DUMMYFUNCTION("""COMPUTED_VALUE"""),5054.0)</f>
        <v>5054</v>
      </c>
      <c r="F2345" s="3">
        <f>IFERROR(__xludf.DUMMYFUNCTION("""COMPUTED_VALUE"""),66079.0)</f>
        <v>66079</v>
      </c>
      <c r="G2345" s="2" t="str">
        <f>IFERROR(__xludf.DUMMYFUNCTION("""COMPUTED_VALUE"""),"Aashrita Energy Private Limited")</f>
        <v>Aashrita Energy Private Limited</v>
      </c>
      <c r="H2345" s="2" t="str">
        <f>IFERROR(__xludf.DUMMYFUNCTION("""COMPUTED_VALUE"""),"KMC - 11, Kathmandu")</f>
        <v>KMC - 11, Kathmandu</v>
      </c>
      <c r="I2345" s="2" t="str">
        <f>IFERROR(__xludf.DUMMYFUNCTION("""COMPUTED_VALUE"""),"27o 37' 30""")</f>
        <v>27o 37' 30"</v>
      </c>
      <c r="J2345" s="2" t="str">
        <f>IFERROR(__xludf.DUMMYFUNCTION("""COMPUTED_VALUE"""),"27o 38' 42""")</f>
        <v>27o 38' 42"</v>
      </c>
      <c r="K2345" s="2" t="str">
        <f>IFERROR(__xludf.DUMMYFUNCTION("""COMPUTED_VALUE"""),"87o 15' 00""")</f>
        <v>87o 15' 00"</v>
      </c>
      <c r="L2345" s="2" t="str">
        <f>IFERROR(__xludf.DUMMYFUNCTION("""COMPUTED_VALUE"""),"87o 15' 54""")</f>
        <v>87o 15' 54"</v>
      </c>
      <c r="M2345" s="2" t="str">
        <f>IFERROR(__xludf.DUMMYFUNCTION("""COMPUTED_VALUE"""),"Makalu,Pathibhara (Sankhuwasabha)")</f>
        <v>Makalu,Pathibhara (Sankhuwasabha)</v>
      </c>
    </row>
    <row r="2346">
      <c r="A2346" s="2">
        <f>IFERROR(__xludf.DUMMYFUNCTION("""COMPUTED_VALUE"""),2345.0)</f>
        <v>2345</v>
      </c>
      <c r="B2346" s="2" t="str">
        <f>IFERROR(__xludf.DUMMYFUNCTION("""COMPUTED_VALUE"""),"Lower Thulo Khola Hydropower Project")</f>
        <v>Lower Thulo Khola Hydropower Project</v>
      </c>
      <c r="C2346" s="2">
        <f>IFERROR(__xludf.DUMMYFUNCTION("""COMPUTED_VALUE"""),9.0)</f>
        <v>9</v>
      </c>
      <c r="D2346" s="2" t="str">
        <f>IFERROR(__xludf.DUMMYFUNCTION("""COMPUTED_VALUE"""),"Thulo Khola")</f>
        <v>Thulo Khola</v>
      </c>
      <c r="E2346" s="2">
        <f>IFERROR(__xludf.DUMMYFUNCTION("""COMPUTED_VALUE"""),5080.0)</f>
        <v>5080</v>
      </c>
      <c r="F2346" s="3">
        <f>IFERROR(__xludf.DUMMYFUNCTION("""COMPUTED_VALUE"""),66080.0)</f>
        <v>66080</v>
      </c>
      <c r="G2346" s="2" t="str">
        <f>IFERROR(__xludf.DUMMYFUNCTION("""COMPUTED_VALUE"""),"Front Power Private Limited")</f>
        <v>Front Power Private Limited</v>
      </c>
      <c r="H2346" s="2" t="str">
        <f>IFERROR(__xludf.DUMMYFUNCTION("""COMPUTED_VALUE"""),"KMC - 31, Kathmandu")</f>
        <v>KMC - 31, Kathmandu</v>
      </c>
      <c r="I2346" s="2" t="str">
        <f>IFERROR(__xludf.DUMMYFUNCTION("""COMPUTED_VALUE"""),"28o 31' 36""")</f>
        <v>28o 31' 36"</v>
      </c>
      <c r="J2346" s="2" t="str">
        <f>IFERROR(__xludf.DUMMYFUNCTION("""COMPUTED_VALUE"""),"28o 33' 10""")</f>
        <v>28o 33' 10"</v>
      </c>
      <c r="K2346" s="2" t="str">
        <f>IFERROR(__xludf.DUMMYFUNCTION("""COMPUTED_VALUE"""),"83o 30' 35""")</f>
        <v>83o 30' 35"</v>
      </c>
      <c r="L2346" s="2" t="str">
        <f>IFERROR(__xludf.DUMMYFUNCTION("""COMPUTED_VALUE"""),"83o 31' 45""")</f>
        <v>83o 31' 45"</v>
      </c>
      <c r="M2346" s="2"/>
    </row>
    <row r="2347">
      <c r="A2347" s="2">
        <f>IFERROR(__xludf.DUMMYFUNCTION("""COMPUTED_VALUE"""),2346.0)</f>
        <v>2346</v>
      </c>
      <c r="B2347" s="2" t="str">
        <f>IFERROR(__xludf.DUMMYFUNCTION("""COMPUTED_VALUE"""),"Bagmati Cascade Hydropower Project")</f>
        <v>Bagmati Cascade Hydropower Project</v>
      </c>
      <c r="C2347" s="2">
        <f>IFERROR(__xludf.DUMMYFUNCTION("""COMPUTED_VALUE"""),4.98)</f>
        <v>4.98</v>
      </c>
      <c r="D2347" s="2" t="str">
        <f>IFERROR(__xludf.DUMMYFUNCTION("""COMPUTED_VALUE"""),"Bagmati")</f>
        <v>Bagmati</v>
      </c>
      <c r="E2347" s="2">
        <f>IFERROR(__xludf.DUMMYFUNCTION("""COMPUTED_VALUE"""),5121.0)</f>
        <v>5121</v>
      </c>
      <c r="F2347" s="3">
        <f>IFERROR(__xludf.DUMMYFUNCTION("""COMPUTED_VALUE"""),66082.0)</f>
        <v>66082</v>
      </c>
      <c r="G2347" s="2" t="str">
        <f>IFERROR(__xludf.DUMMYFUNCTION("""COMPUTED_VALUE"""),"Bagmati Cascade Power Private Limited")</f>
        <v>Bagmati Cascade Power Private Limited</v>
      </c>
      <c r="H2347" s="2" t="str">
        <f>IFERROR(__xludf.DUMMYFUNCTION("""COMPUTED_VALUE"""),"Kirtipur Municipality - 4, Bhatkeko Pati, Kathmandu")</f>
        <v>Kirtipur Municipality - 4, Bhatkeko Pati, Kathmandu</v>
      </c>
      <c r="I2347" s="2" t="str">
        <f>IFERROR(__xludf.DUMMYFUNCTION("""COMPUTED_VALUE"""),"27o 29' 35""")</f>
        <v>27o 29' 35"</v>
      </c>
      <c r="J2347" s="2" t="str">
        <f>IFERROR(__xludf.DUMMYFUNCTION("""COMPUTED_VALUE"""),"27o 30' 37""")</f>
        <v>27o 30' 37"</v>
      </c>
      <c r="K2347" s="2" t="str">
        <f>IFERROR(__xludf.DUMMYFUNCTION("""COMPUTED_VALUE"""),"85o 13' 43""")</f>
        <v>85o 13' 43"</v>
      </c>
      <c r="L2347" s="2" t="str">
        <f>IFERROR(__xludf.DUMMYFUNCTION("""COMPUTED_VALUE"""),"85o 15' 20""")</f>
        <v>85o 15' 20"</v>
      </c>
      <c r="M2347" s="2" t="str">
        <f>IFERROR(__xludf.DUMMYFUNCTION("""COMPUTED_VALUE"""),"Malta (Lalitpur) Ipa Panchakanya (Makawanpur)")</f>
        <v>Malta (Lalitpur) Ipa Panchakanya (Makawanpur)</v>
      </c>
    </row>
    <row r="2348">
      <c r="A2348" s="2">
        <f>IFERROR(__xludf.DUMMYFUNCTION("""COMPUTED_VALUE"""),2347.0)</f>
        <v>2347</v>
      </c>
      <c r="B2348" s="2" t="str">
        <f>IFERROR(__xludf.DUMMYFUNCTION("""COMPUTED_VALUE"""),"Dudh Marsyangdi Hydropower Project")</f>
        <v>Dudh Marsyangdi Hydropower Project</v>
      </c>
      <c r="C2348" s="2">
        <f>IFERROR(__xludf.DUMMYFUNCTION("""COMPUTED_VALUE"""),5.0)</f>
        <v>5</v>
      </c>
      <c r="D2348" s="2" t="str">
        <f>IFERROR(__xludf.DUMMYFUNCTION("""COMPUTED_VALUE"""),"Dudh Khola")</f>
        <v>Dudh Khola</v>
      </c>
      <c r="E2348" s="2">
        <f>IFERROR(__xludf.DUMMYFUNCTION("""COMPUTED_VALUE"""),5128.0)</f>
        <v>5128</v>
      </c>
      <c r="F2348" s="3">
        <f>IFERROR(__xludf.DUMMYFUNCTION("""COMPUTED_VALUE"""),66084.0)</f>
        <v>66084</v>
      </c>
      <c r="G2348" s="2" t="str">
        <f>IFERROR(__xludf.DUMMYFUNCTION("""COMPUTED_VALUE"""),"Ecogen Consult Private Limited")</f>
        <v>Ecogen Consult Private Limited</v>
      </c>
      <c r="H2348" s="2" t="str">
        <f>IFERROR(__xludf.DUMMYFUNCTION("""COMPUTED_VALUE"""),"Sanepa, Lalitpur")</f>
        <v>Sanepa, Lalitpur</v>
      </c>
      <c r="I2348" s="2" t="str">
        <f>IFERROR(__xludf.DUMMYFUNCTION("""COMPUTED_VALUE"""),"28o 29' 35""")</f>
        <v>28o 29' 35"</v>
      </c>
      <c r="J2348" s="2" t="str">
        <f>IFERROR(__xludf.DUMMYFUNCTION("""COMPUTED_VALUE"""),"28o 31' 27""")</f>
        <v>28o 31' 27"</v>
      </c>
      <c r="K2348" s="2" t="str">
        <f>IFERROR(__xludf.DUMMYFUNCTION("""COMPUTED_VALUE"""),"84o 20' 58""")</f>
        <v>84o 20' 58"</v>
      </c>
      <c r="L2348" s="2" t="str">
        <f>IFERROR(__xludf.DUMMYFUNCTION("""COMPUTED_VALUE"""),"84o 22' 15""")</f>
        <v>84o 22' 15"</v>
      </c>
      <c r="M2348" s="2" t="str">
        <f>IFERROR(__xludf.DUMMYFUNCTION("""COMPUTED_VALUE"""),"Thoche,Dharapani (Manang)")</f>
        <v>Thoche,Dharapani (Manang)</v>
      </c>
    </row>
    <row r="2349">
      <c r="A2349" s="2">
        <f>IFERROR(__xludf.DUMMYFUNCTION("""COMPUTED_VALUE"""),2348.0)</f>
        <v>2348</v>
      </c>
      <c r="B2349" s="2" t="str">
        <f>IFERROR(__xludf.DUMMYFUNCTION("""COMPUTED_VALUE"""),"Bheri Hydropower Project (PRoR)")</f>
        <v>Bheri Hydropower Project (PRoR)</v>
      </c>
      <c r="C2349" s="2">
        <f>IFERROR(__xludf.DUMMYFUNCTION("""COMPUTED_VALUE"""),200.0)</f>
        <v>200</v>
      </c>
      <c r="D2349" s="2" t="str">
        <f>IFERROR(__xludf.DUMMYFUNCTION("""COMPUTED_VALUE"""),"Bheri")</f>
        <v>Bheri</v>
      </c>
      <c r="E2349" s="2">
        <f>IFERROR(__xludf.DUMMYFUNCTION("""COMPUTED_VALUE"""),5148.0)</f>
        <v>5148</v>
      </c>
      <c r="F2349" s="3">
        <f>IFERROR(__xludf.DUMMYFUNCTION("""COMPUTED_VALUE"""),66084.0)</f>
        <v>66084</v>
      </c>
      <c r="G2349" s="2" t="str">
        <f>IFERROR(__xludf.DUMMYFUNCTION("""COMPUTED_VALUE"""),"Bishnu Raj Adhikari")</f>
        <v>Bishnu Raj Adhikari</v>
      </c>
      <c r="H2349" s="2" t="str">
        <f>IFERROR(__xludf.DUMMYFUNCTION("""COMPUTED_VALUE"""),"Naxal, Kathmandu")</f>
        <v>Naxal, Kathmandu</v>
      </c>
      <c r="I2349" s="2" t="str">
        <f>IFERROR(__xludf.DUMMYFUNCTION("""COMPUTED_VALUE"""),"28o 46' 40""")</f>
        <v>28o 46' 40"</v>
      </c>
      <c r="J2349" s="2" t="str">
        <f>IFERROR(__xludf.DUMMYFUNCTION("""COMPUTED_VALUE"""),"28o 53' 30""")</f>
        <v>28o 53' 30"</v>
      </c>
      <c r="K2349" s="2" t="str">
        <f>IFERROR(__xludf.DUMMYFUNCTION("""COMPUTED_VALUE"""),"82o 18' 41""")</f>
        <v>82o 18' 41"</v>
      </c>
      <c r="L2349" s="2" t="str">
        <f>IFERROR(__xludf.DUMMYFUNCTION("""COMPUTED_VALUE"""),"82o 27' 00""")</f>
        <v>82o 27' 00"</v>
      </c>
      <c r="M2349" s="2" t="str">
        <f>IFERROR(__xludf.DUMMYFUNCTION("""COMPUTED_VALUE"""),"Aathbis Kot (Rukum)")</f>
        <v>Aathbis Kot (Rukum)</v>
      </c>
    </row>
    <row r="2350">
      <c r="A2350" s="2">
        <f>IFERROR(__xludf.DUMMYFUNCTION("""COMPUTED_VALUE"""),2349.0)</f>
        <v>2349</v>
      </c>
      <c r="B2350" s="2" t="str">
        <f>IFERROR(__xludf.DUMMYFUNCTION("""COMPUTED_VALUE"""),"Ghatte Khola HEP")</f>
        <v>Ghatte Khola HEP</v>
      </c>
      <c r="C2350" s="2">
        <f>IFERROR(__xludf.DUMMYFUNCTION("""COMPUTED_VALUE"""),2.72)</f>
        <v>2.72</v>
      </c>
      <c r="D2350" s="2" t="str">
        <f>IFERROR(__xludf.DUMMYFUNCTION("""COMPUTED_VALUE"""),"Ghatte Khola")</f>
        <v>Ghatte Khola</v>
      </c>
      <c r="E2350" s="2">
        <f>IFERROR(__xludf.DUMMYFUNCTION("""COMPUTED_VALUE"""),5257.0)</f>
        <v>5257</v>
      </c>
      <c r="F2350" s="3">
        <f>IFERROR(__xludf.DUMMYFUNCTION("""COMPUTED_VALUE"""),66088.0)</f>
        <v>66088</v>
      </c>
      <c r="G2350" s="2" t="str">
        <f>IFERROR(__xludf.DUMMYFUNCTION("""COMPUTED_VALUE"""),"Rasuwagadhi Hydropower Company Ltd.")</f>
        <v>Rasuwagadhi Hydropower Company Ltd.</v>
      </c>
      <c r="H2350" s="2" t="str">
        <f>IFERROR(__xludf.DUMMYFUNCTION("""COMPUTED_VALUE"""),"Maharajgunj, Kapanmarga, Kathmandu")</f>
        <v>Maharajgunj, Kapanmarga, Kathmandu</v>
      </c>
      <c r="I2350" s="2" t="str">
        <f>IFERROR(__xludf.DUMMYFUNCTION("""COMPUTED_VALUE"""),"28o 15' 00""")</f>
        <v>28o 15' 00"</v>
      </c>
      <c r="J2350" s="2" t="str">
        <f>IFERROR(__xludf.DUMMYFUNCTION("""COMPUTED_VALUE"""),"28o 16' 30""")</f>
        <v>28o 16' 30"</v>
      </c>
      <c r="K2350" s="2" t="str">
        <f>IFERROR(__xludf.DUMMYFUNCTION("""COMPUTED_VALUE"""),"85o 22' 30""")</f>
        <v>85o 22' 30"</v>
      </c>
      <c r="L2350" s="2" t="str">
        <f>IFERROR(__xludf.DUMMYFUNCTION("""COMPUTED_VALUE"""),"85o 25' 00""")</f>
        <v>85o 25' 00"</v>
      </c>
      <c r="M2350" s="2"/>
    </row>
    <row r="2351">
      <c r="A2351" s="2">
        <f>IFERROR(__xludf.DUMMYFUNCTION("""COMPUTED_VALUE"""),2350.0)</f>
        <v>2350</v>
      </c>
      <c r="B2351" s="2" t="str">
        <f>IFERROR(__xludf.DUMMYFUNCTION("""COMPUTED_VALUE"""),"Thuli Bheri PRoR HEP")</f>
        <v>Thuli Bheri PRoR HEP</v>
      </c>
      <c r="C2351" s="2">
        <f>IFERROR(__xludf.DUMMYFUNCTION("""COMPUTED_VALUE"""),5.0)</f>
        <v>5</v>
      </c>
      <c r="D2351" s="2" t="str">
        <f>IFERROR(__xludf.DUMMYFUNCTION("""COMPUTED_VALUE"""),"Thuli Bheri")</f>
        <v>Thuli Bheri</v>
      </c>
      <c r="E2351" s="2">
        <f>IFERROR(__xludf.DUMMYFUNCTION("""COMPUTED_VALUE"""),5307.0)</f>
        <v>5307</v>
      </c>
      <c r="F2351" s="3">
        <f>IFERROR(__xludf.DUMMYFUNCTION("""COMPUTED_VALUE"""),66092.0)</f>
        <v>66092</v>
      </c>
      <c r="G2351" s="2" t="str">
        <f>IFERROR(__xludf.DUMMYFUNCTION("""COMPUTED_VALUE"""),"Jalasaya Hydropower Pvt. Ltd.")</f>
        <v>Jalasaya Hydropower Pvt. Ltd.</v>
      </c>
      <c r="H2351" s="2" t="str">
        <f>IFERROR(__xludf.DUMMYFUNCTION("""COMPUTED_VALUE"""),"Budhanilkantha-2, Kathmandu")</f>
        <v>Budhanilkantha-2, Kathmandu</v>
      </c>
      <c r="I2351" s="2" t="str">
        <f>IFERROR(__xludf.DUMMYFUNCTION("""COMPUTED_VALUE"""),"28o 49' 20""")</f>
        <v>28o 49' 20"</v>
      </c>
      <c r="J2351" s="2" t="str">
        <f>IFERROR(__xludf.DUMMYFUNCTION("""COMPUTED_VALUE"""),"28o 56' 36""")</f>
        <v>28o 56' 36"</v>
      </c>
      <c r="K2351" s="2" t="str">
        <f>IFERROR(__xludf.DUMMYFUNCTION("""COMPUTED_VALUE"""),"82o 47' 58""")</f>
        <v>82o 47' 58"</v>
      </c>
      <c r="L2351" s="2" t="str">
        <f>IFERROR(__xludf.DUMMYFUNCTION("""COMPUTED_VALUE"""),"82o 57' 25""")</f>
        <v>82o 57' 25"</v>
      </c>
      <c r="M2351" s="2"/>
    </row>
    <row r="2352">
      <c r="A2352" s="2">
        <f>IFERROR(__xludf.DUMMYFUNCTION("""COMPUTED_VALUE"""),2351.0)</f>
        <v>2351</v>
      </c>
      <c r="B2352" s="2" t="str">
        <f>IFERROR(__xludf.DUMMYFUNCTION("""COMPUTED_VALUE"""),"Nupche Khola Hydropower Project")</f>
        <v>Nupche Khola Hydropower Project</v>
      </c>
      <c r="C2352" s="2">
        <f>IFERROR(__xludf.DUMMYFUNCTION("""COMPUTED_VALUE"""),5.0)</f>
        <v>5</v>
      </c>
      <c r="D2352" s="2" t="str">
        <f>IFERROR(__xludf.DUMMYFUNCTION("""COMPUTED_VALUE"""),"Nupche")</f>
        <v>Nupche</v>
      </c>
      <c r="E2352" s="2">
        <f>IFERROR(__xludf.DUMMYFUNCTION("""COMPUTED_VALUE"""),5406.0)</f>
        <v>5406</v>
      </c>
      <c r="F2352" s="3">
        <f>IFERROR(__xludf.DUMMYFUNCTION("""COMPUTED_VALUE"""),66096.0)</f>
        <v>66096</v>
      </c>
      <c r="G2352" s="2" t="str">
        <f>IFERROR(__xludf.DUMMYFUNCTION("""COMPUTED_VALUE"""),"Numbur Nupche Hydropower Pvt. Ltd.")</f>
        <v>Numbur Nupche Hydropower Pvt. Ltd.</v>
      </c>
      <c r="H2352" s="2" t="str">
        <f>IFERROR(__xludf.DUMMYFUNCTION("""COMPUTED_VALUE"""),"New Baneshwor, Kathmandu-10, 9851216871,9841224470")</f>
        <v>New Baneshwor, Kathmandu-10, 9851216871,9841224470</v>
      </c>
      <c r="I2352" s="2" t="str">
        <f>IFERROR(__xludf.DUMMYFUNCTION("""COMPUTED_VALUE"""),"27o 43' 44""")</f>
        <v>27o 43' 44"</v>
      </c>
      <c r="J2352" s="2" t="str">
        <f>IFERROR(__xludf.DUMMYFUNCTION("""COMPUTED_VALUE"""),"27o 46' 10""")</f>
        <v>27o 46' 10"</v>
      </c>
      <c r="K2352" s="2" t="str">
        <f>IFERROR(__xludf.DUMMYFUNCTION("""COMPUTED_VALUE"""),"86o 26' 49""")</f>
        <v>86o 26' 49"</v>
      </c>
      <c r="L2352" s="2" t="str">
        <f>IFERROR(__xludf.DUMMYFUNCTION("""COMPUTED_VALUE"""),"86o 28' 40""")</f>
        <v>86o 28' 40"</v>
      </c>
      <c r="M2352" s="2"/>
    </row>
    <row r="2353">
      <c r="A2353" s="2">
        <f>IFERROR(__xludf.DUMMYFUNCTION("""COMPUTED_VALUE"""),2352.0)</f>
        <v>2352</v>
      </c>
      <c r="B2353" s="2" t="str">
        <f>IFERROR(__xludf.DUMMYFUNCTION("""COMPUTED_VALUE"""),"Manggala Myagdi Cascade Hydroelectric Project")</f>
        <v>Manggala Myagdi Cascade Hydroelectric Project</v>
      </c>
      <c r="C2353" s="2">
        <f>IFERROR(__xludf.DUMMYFUNCTION("""COMPUTED_VALUE"""),4.81)</f>
        <v>4.81</v>
      </c>
      <c r="D2353" s="2" t="str">
        <f>IFERROR(__xludf.DUMMYFUNCTION("""COMPUTED_VALUE"""),"Myagdi Khola")</f>
        <v>Myagdi Khola</v>
      </c>
      <c r="E2353" s="2">
        <f>IFERROR(__xludf.DUMMYFUNCTION("""COMPUTED_VALUE"""),5521.0)</f>
        <v>5521</v>
      </c>
      <c r="F2353" s="3">
        <f>IFERROR(__xludf.DUMMYFUNCTION("""COMPUTED_VALUE"""),66101.0)</f>
        <v>66101</v>
      </c>
      <c r="G2353" s="2" t="str">
        <f>IFERROR(__xludf.DUMMYFUNCTION("""COMPUTED_VALUE"""),"Harkaman Magar")</f>
        <v>Harkaman Magar</v>
      </c>
      <c r="H2353" s="2" t="str">
        <f>IFERROR(__xludf.DUMMYFUNCTION("""COMPUTED_VALUE"""),"Mangala RM - 4, Myagdi")</f>
        <v>Mangala RM - 4, Myagdi</v>
      </c>
      <c r="I2353" s="2" t="str">
        <f>IFERROR(__xludf.DUMMYFUNCTION("""COMPUTED_VALUE"""),"28o 23' 15""")</f>
        <v>28o 23' 15"</v>
      </c>
      <c r="J2353" s="2" t="str">
        <f>IFERROR(__xludf.DUMMYFUNCTION("""COMPUTED_VALUE"""),"28o 24' 30""")</f>
        <v>28o 24' 30"</v>
      </c>
      <c r="K2353" s="2" t="str">
        <f>IFERROR(__xludf.DUMMYFUNCTION("""COMPUTED_VALUE"""),"83o 26' 20""")</f>
        <v>83o 26' 20"</v>
      </c>
      <c r="L2353" s="2" t="str">
        <f>IFERROR(__xludf.DUMMYFUNCTION("""COMPUTED_VALUE"""),"84o 24' 30""")</f>
        <v>84o 24' 30"</v>
      </c>
      <c r="M2353" s="2" t="str">
        <f>IFERROR(__xludf.DUMMYFUNCTION("""COMPUTED_VALUE"""),"Arman,Babiyachaur,Darwang (Myagdi)")</f>
        <v>Arman,Babiyachaur,Darwang (Myagdi)</v>
      </c>
    </row>
    <row r="2354">
      <c r="A2354" s="2">
        <f>IFERROR(__xludf.DUMMYFUNCTION("""COMPUTED_VALUE"""),2353.0)</f>
        <v>2353</v>
      </c>
      <c r="B2354" s="2" t="str">
        <f>IFERROR(__xludf.DUMMYFUNCTION("""COMPUTED_VALUE"""),"Lower Magic Karnali PRoR Hydropower Project")</f>
        <v>Lower Magic Karnali PRoR Hydropower Project</v>
      </c>
      <c r="C2354" s="2">
        <f>IFERROR(__xludf.DUMMYFUNCTION("""COMPUTED_VALUE"""),76.5)</f>
        <v>76.5</v>
      </c>
      <c r="D2354" s="2" t="str">
        <f>IFERROR(__xludf.DUMMYFUNCTION("""COMPUTED_VALUE"""),"Karnali")</f>
        <v>Karnali</v>
      </c>
      <c r="E2354" s="2">
        <f>IFERROR(__xludf.DUMMYFUNCTION("""COMPUTED_VALUE"""),5621.0)</f>
        <v>5621</v>
      </c>
      <c r="F2354" s="3">
        <f>IFERROR(__xludf.DUMMYFUNCTION("""COMPUTED_VALUE"""),66107.0)</f>
        <v>66107</v>
      </c>
      <c r="G2354" s="2" t="str">
        <f>IFERROR(__xludf.DUMMYFUNCTION("""COMPUTED_VALUE"""),"Kailash Power Private Limited")</f>
        <v>Kailash Power Private Limited</v>
      </c>
      <c r="H2354" s="2" t="str">
        <f>IFERROR(__xludf.DUMMYFUNCTION("""COMPUTED_VALUE"""),"KMC, Kathmandu")</f>
        <v>KMC, Kathmandu</v>
      </c>
      <c r="I2354" s="2" t="str">
        <f>IFERROR(__xludf.DUMMYFUNCTION("""COMPUTED_VALUE"""),"29o 19' 05""")</f>
        <v>29o 19' 05"</v>
      </c>
      <c r="J2354" s="2" t="str">
        <f>IFERROR(__xludf.DUMMYFUNCTION("""COMPUTED_VALUE"""),"29o 23' 41""")</f>
        <v>29o 23' 41"</v>
      </c>
      <c r="K2354" s="2" t="str">
        <f>IFERROR(__xludf.DUMMYFUNCTION("""COMPUTED_VALUE"""),"81o 41' 44""")</f>
        <v>81o 41' 44"</v>
      </c>
      <c r="L2354" s="2" t="str">
        <f>IFERROR(__xludf.DUMMYFUNCTION("""COMPUTED_VALUE"""),"81o 46' 37""")</f>
        <v>81o 46' 37"</v>
      </c>
      <c r="M2354" s="2"/>
    </row>
    <row r="2355">
      <c r="A2355" s="2">
        <f>IFERROR(__xludf.DUMMYFUNCTION("""COMPUTED_VALUE"""),2354.0)</f>
        <v>2354</v>
      </c>
      <c r="B2355" s="2" t="str">
        <f>IFERROR(__xludf.DUMMYFUNCTION("""COMPUTED_VALUE"""),"Lowa Hydropower Project")</f>
        <v>Lowa Hydropower Project</v>
      </c>
      <c r="C2355" s="2">
        <f>IFERROR(__xludf.DUMMYFUNCTION("""COMPUTED_VALUE"""),3.84)</f>
        <v>3.84</v>
      </c>
      <c r="D2355" s="2" t="str">
        <f>IFERROR(__xludf.DUMMYFUNCTION("""COMPUTED_VALUE"""),"Lowa")</f>
        <v>Lowa</v>
      </c>
      <c r="E2355" s="2">
        <f>IFERROR(__xludf.DUMMYFUNCTION("""COMPUTED_VALUE"""),5709.0)</f>
        <v>5709</v>
      </c>
      <c r="F2355" s="3">
        <f>IFERROR(__xludf.DUMMYFUNCTION("""COMPUTED_VALUE"""),66113.0)</f>
        <v>66113</v>
      </c>
      <c r="G2355" s="2" t="str">
        <f>IFERROR(__xludf.DUMMYFUNCTION("""COMPUTED_VALUE"""),"Hang Hydropower Company Private Limited")</f>
        <v>Hang Hydropower Company Private Limited</v>
      </c>
      <c r="H2355" s="2" t="str">
        <f>IFERROR(__xludf.DUMMYFUNCTION("""COMPUTED_VALUE"""),"Kathmandu, Nepal")</f>
        <v>Kathmandu, Nepal</v>
      </c>
      <c r="I2355" s="2" t="str">
        <f>IFERROR(__xludf.DUMMYFUNCTION("""COMPUTED_VALUE"""),"27o 26' 40""")</f>
        <v>27o 26' 40"</v>
      </c>
      <c r="J2355" s="2" t="str">
        <f>IFERROR(__xludf.DUMMYFUNCTION("""COMPUTED_VALUE"""),"27o 28' 00""")</f>
        <v>27o 28' 00"</v>
      </c>
      <c r="K2355" s="2" t="str">
        <f>IFERROR(__xludf.DUMMYFUNCTION("""COMPUTED_VALUE"""),"87o 34' 38""")</f>
        <v>87o 34' 38"</v>
      </c>
      <c r="L2355" s="2" t="str">
        <f>IFERROR(__xludf.DUMMYFUNCTION("""COMPUTED_VALUE"""),"87o 36' 29""")</f>
        <v>87o 36' 29"</v>
      </c>
      <c r="M2355" s="2" t="str">
        <f>IFERROR(__xludf.DUMMYFUNCTION("""COMPUTED_VALUE"""),"Nalbu,Thukima (Taplejung)")</f>
        <v>Nalbu,Thukima (Taplejung)</v>
      </c>
    </row>
    <row r="2356">
      <c r="A2356" s="2">
        <f>IFERROR(__xludf.DUMMYFUNCTION("""COMPUTED_VALUE"""),2355.0)</f>
        <v>2355</v>
      </c>
      <c r="B2356" s="2" t="str">
        <f>IFERROR(__xludf.DUMMYFUNCTION("""COMPUTED_VALUE"""),"Dogaria Gad Hydropower Project")</f>
        <v>Dogaria Gad Hydropower Project</v>
      </c>
      <c r="C2356" s="2">
        <f>IFERROR(__xludf.DUMMYFUNCTION("""COMPUTED_VALUE"""),4.5)</f>
        <v>4.5</v>
      </c>
      <c r="D2356" s="2" t="str">
        <f>IFERROR(__xludf.DUMMYFUNCTION("""COMPUTED_VALUE"""),"Dogaria Gad")</f>
        <v>Dogaria Gad</v>
      </c>
      <c r="E2356" s="2">
        <f>IFERROR(__xludf.DUMMYFUNCTION("""COMPUTED_VALUE"""),5759.0)</f>
        <v>5759</v>
      </c>
      <c r="F2356" s="3">
        <f>IFERROR(__xludf.DUMMYFUNCTION("""COMPUTED_VALUE"""),66115.0)</f>
        <v>66115</v>
      </c>
      <c r="G2356" s="2" t="str">
        <f>IFERROR(__xludf.DUMMYFUNCTION("""COMPUTED_VALUE"""),"God Gift Energy Private Limited")</f>
        <v>God Gift Energy Private Limited</v>
      </c>
      <c r="H2356" s="2" t="str">
        <f>IFERROR(__xludf.DUMMYFUNCTION("""COMPUTED_VALUE"""),"Kathmandu - 5, House No. 47, Hadigaun, Mahadev Galli (Tel: 01-4410160)")</f>
        <v>Kathmandu - 5, House No. 47, Hadigaun, Mahadev Galli (Tel: 01-4410160)</v>
      </c>
      <c r="I2356" s="2" t="str">
        <f>IFERROR(__xludf.DUMMYFUNCTION("""COMPUTED_VALUE"""),"29o 40' 12""")</f>
        <v>29o 40' 12"</v>
      </c>
      <c r="J2356" s="2" t="str">
        <f>IFERROR(__xludf.DUMMYFUNCTION("""COMPUTED_VALUE"""),"29o 40' 48""")</f>
        <v>29o 40' 48"</v>
      </c>
      <c r="K2356" s="2" t="str">
        <f>IFERROR(__xludf.DUMMYFUNCTION("""COMPUTED_VALUE"""),"81o 19' 48""")</f>
        <v>81o 19' 48"</v>
      </c>
      <c r="L2356" s="2" t="str">
        <f>IFERROR(__xludf.DUMMYFUNCTION("""COMPUTED_VALUE"""),"81o 27' 00""")</f>
        <v>81o 27' 00"</v>
      </c>
      <c r="M2356" s="2" t="str">
        <f>IFERROR(__xludf.DUMMYFUNCTION("""COMPUTED_VALUE"""),"Kanda,Dantola,Melbisauni (Bajhang)")</f>
        <v>Kanda,Dantola,Melbisauni (Bajhang)</v>
      </c>
    </row>
    <row r="2357">
      <c r="A2357" s="2">
        <f>IFERROR(__xludf.DUMMYFUNCTION("""COMPUTED_VALUE"""),2356.0)</f>
        <v>2356</v>
      </c>
      <c r="B2357" s="2" t="str">
        <f>IFERROR(__xludf.DUMMYFUNCTION("""COMPUTED_VALUE"""),"Liping Cascade Small Hydropower Project")</f>
        <v>Liping Cascade Small Hydropower Project</v>
      </c>
      <c r="C2357" s="2">
        <f>IFERROR(__xludf.DUMMYFUNCTION("""COMPUTED_VALUE"""),1.55)</f>
        <v>1.55</v>
      </c>
      <c r="D2357" s="2" t="str">
        <f>IFERROR(__xludf.DUMMYFUNCTION("""COMPUTED_VALUE"""),"Liping")</f>
        <v>Liping</v>
      </c>
      <c r="E2357" s="2">
        <f>IFERROR(__xludf.DUMMYFUNCTION("""COMPUTED_VALUE"""),5760.0)</f>
        <v>5760</v>
      </c>
      <c r="F2357" s="3">
        <f>IFERROR(__xludf.DUMMYFUNCTION("""COMPUTED_VALUE"""),66115.0)</f>
        <v>66115</v>
      </c>
      <c r="G2357" s="2" t="str">
        <f>IFERROR(__xludf.DUMMYFUNCTION("""COMPUTED_VALUE"""),"Miteri Urja Private Limited")</f>
        <v>Miteri Urja Private Limited</v>
      </c>
      <c r="H2357" s="2" t="str">
        <f>IFERROR(__xludf.DUMMYFUNCTION("""COMPUTED_VALUE"""),"Kupandole, Lalitpur Municipality - 10")</f>
        <v>Kupandole, Lalitpur Municipality - 10</v>
      </c>
      <c r="I2357" s="2" t="str">
        <f>IFERROR(__xludf.DUMMYFUNCTION("""COMPUTED_VALUE"""),"27o 58' 05""")</f>
        <v>27o 58' 05"</v>
      </c>
      <c r="J2357" s="2" t="str">
        <f>IFERROR(__xludf.DUMMYFUNCTION("""COMPUTED_VALUE"""),"27o 58' 17""")</f>
        <v>27o 58' 17"</v>
      </c>
      <c r="K2357" s="2" t="str">
        <f>IFERROR(__xludf.DUMMYFUNCTION("""COMPUTED_VALUE"""),"85o 57' 35""")</f>
        <v>85o 57' 35"</v>
      </c>
      <c r="L2357" s="2" t="str">
        <f>IFERROR(__xludf.DUMMYFUNCTION("""COMPUTED_VALUE"""),"85o 57' 43""")</f>
        <v>85o 57' 43"</v>
      </c>
      <c r="M2357" s="2" t="str">
        <f>IFERROR(__xludf.DUMMYFUNCTION("""COMPUTED_VALUE"""),"Tatopani (Sindhupalchok)")</f>
        <v>Tatopani (Sindhupalchok)</v>
      </c>
    </row>
    <row r="2358">
      <c r="A2358" s="2">
        <f>IFERROR(__xludf.DUMMYFUNCTION("""COMPUTED_VALUE"""),2357.0)</f>
        <v>2357</v>
      </c>
      <c r="B2358" s="2" t="str">
        <f>IFERROR(__xludf.DUMMYFUNCTION("""COMPUTED_VALUE"""),"Salli Khola Hydropower Project")</f>
        <v>Salli Khola Hydropower Project</v>
      </c>
      <c r="C2358" s="2">
        <f>IFERROR(__xludf.DUMMYFUNCTION("""COMPUTED_VALUE"""),4.9)</f>
        <v>4.9</v>
      </c>
      <c r="D2358" s="2" t="str">
        <f>IFERROR(__xludf.DUMMYFUNCTION("""COMPUTED_VALUE"""),"Salli Khola")</f>
        <v>Salli Khola</v>
      </c>
      <c r="E2358" s="2">
        <f>IFERROR(__xludf.DUMMYFUNCTION("""COMPUTED_VALUE"""),6052.0)</f>
        <v>6052</v>
      </c>
      <c r="F2358" s="3">
        <f>IFERROR(__xludf.DUMMYFUNCTION("""COMPUTED_VALUE"""),66128.0)</f>
        <v>66128</v>
      </c>
      <c r="G2358" s="2" t="str">
        <f>IFERROR(__xludf.DUMMYFUNCTION("""COMPUTED_VALUE"""),"Shwet Pushpa Urja Private Limited")</f>
        <v>Shwet Pushpa Urja Private Limited</v>
      </c>
      <c r="H2358" s="2" t="str">
        <f>IFERROR(__xludf.DUMMYFUNCTION("""COMPUTED_VALUE"""),"Koteshwor - 32, Kathmandu")</f>
        <v>Koteshwor - 32, Kathmandu</v>
      </c>
      <c r="I2358" s="2" t="str">
        <f>IFERROR(__xludf.DUMMYFUNCTION("""COMPUTED_VALUE"""),"30o 02' 00""")</f>
        <v>30o 02' 00"</v>
      </c>
      <c r="J2358" s="2" t="str">
        <f>IFERROR(__xludf.DUMMYFUNCTION("""COMPUTED_VALUE"""),"30o 05' 00""")</f>
        <v>30o 05' 00"</v>
      </c>
      <c r="K2358" s="2" t="str">
        <f>IFERROR(__xludf.DUMMYFUNCTION("""COMPUTED_VALUE"""),"81o 38' 30""")</f>
        <v>81o 38' 30"</v>
      </c>
      <c r="L2358" s="2" t="str">
        <f>IFERROR(__xludf.DUMMYFUNCTION("""COMPUTED_VALUE"""),"81o 42' 30""")</f>
        <v>81o 42' 30"</v>
      </c>
      <c r="M2358" s="2" t="str">
        <f>IFERROR(__xludf.DUMMYFUNCTION("""COMPUTED_VALUE"""),"Khagalgaun,Muchu (Humla)")</f>
        <v>Khagalgaun,Muchu (Humla)</v>
      </c>
    </row>
    <row r="2359">
      <c r="A2359" s="2">
        <f>IFERROR(__xludf.DUMMYFUNCTION("""COMPUTED_VALUE"""),2358.0)</f>
        <v>2358</v>
      </c>
      <c r="B2359" s="2" t="str">
        <f>IFERROR(__xludf.DUMMYFUNCTION("""COMPUTED_VALUE"""),"Mugu Nadi Hydropower Project")</f>
        <v>Mugu Nadi Hydropower Project</v>
      </c>
      <c r="C2359" s="2">
        <f>IFERROR(__xludf.DUMMYFUNCTION("""COMPUTED_VALUE"""),48.76)</f>
        <v>48.76</v>
      </c>
      <c r="D2359" s="2" t="str">
        <f>IFERROR(__xludf.DUMMYFUNCTION("""COMPUTED_VALUE"""),"Mugu Nadi")</f>
        <v>Mugu Nadi</v>
      </c>
      <c r="E2359" s="2">
        <f>IFERROR(__xludf.DUMMYFUNCTION("""COMPUTED_VALUE"""),6077.0)</f>
        <v>6077</v>
      </c>
      <c r="F2359" s="3">
        <f>IFERROR(__xludf.DUMMYFUNCTION("""COMPUTED_VALUE"""),66129.0)</f>
        <v>66129</v>
      </c>
      <c r="G2359" s="2" t="str">
        <f>IFERROR(__xludf.DUMMYFUNCTION("""COMPUTED_VALUE"""),"Dolphin Power Private Limited")</f>
        <v>Dolphin Power Private Limited</v>
      </c>
      <c r="H2359" s="2" t="str">
        <f>IFERROR(__xludf.DUMMYFUNCTION("""COMPUTED_VALUE"""),"KMC -09, Sinamangal, Kathmandu")</f>
        <v>KMC -09, Sinamangal, Kathmandu</v>
      </c>
      <c r="I2359" s="2" t="str">
        <f>IFERROR(__xludf.DUMMYFUNCTION("""COMPUTED_VALUE"""),"29o 38' 48""")</f>
        <v>29o 38' 48"</v>
      </c>
      <c r="J2359" s="2" t="str">
        <f>IFERROR(__xludf.DUMMYFUNCTION("""COMPUTED_VALUE"""),"29o 46' 30""")</f>
        <v>29o 46' 30"</v>
      </c>
      <c r="K2359" s="2" t="str">
        <f>IFERROR(__xludf.DUMMYFUNCTION("""COMPUTED_VALUE"""),"82o 29' 00""")</f>
        <v>82o 29' 00"</v>
      </c>
      <c r="L2359" s="2" t="str">
        <f>IFERROR(__xludf.DUMMYFUNCTION("""COMPUTED_VALUE"""),"82o 33' 00""")</f>
        <v>82o 33' 00"</v>
      </c>
      <c r="M2359" s="2" t="str">
        <f>IFERROR(__xludf.DUMMYFUNCTION("""COMPUTED_VALUE"""),"Dolphu,Mugu (Mugu)")</f>
        <v>Dolphu,Mugu (Mugu)</v>
      </c>
    </row>
    <row r="2360">
      <c r="A2360" s="2">
        <f>IFERROR(__xludf.DUMMYFUNCTION("""COMPUTED_VALUE"""),2359.0)</f>
        <v>2359</v>
      </c>
      <c r="B2360" s="2" t="str">
        <f>IFERROR(__xludf.DUMMYFUNCTION("""COMPUTED_VALUE"""),"Upper Sisuwa Khola Hydropower Project")</f>
        <v>Upper Sisuwa Khola Hydropower Project</v>
      </c>
      <c r="C2360" s="2">
        <f>IFERROR(__xludf.DUMMYFUNCTION("""COMPUTED_VALUE"""),4.77)</f>
        <v>4.77</v>
      </c>
      <c r="D2360" s="2" t="str">
        <f>IFERROR(__xludf.DUMMYFUNCTION("""COMPUTED_VALUE"""),"Sisuwa")</f>
        <v>Sisuwa</v>
      </c>
      <c r="E2360" s="2">
        <f>IFERROR(__xludf.DUMMYFUNCTION("""COMPUTED_VALUE"""),6168.0)</f>
        <v>6168</v>
      </c>
      <c r="F2360" s="3">
        <f>IFERROR(__xludf.DUMMYFUNCTION("""COMPUTED_VALUE"""),66134.0)</f>
        <v>66134</v>
      </c>
      <c r="G2360" s="2" t="str">
        <f>IFERROR(__xludf.DUMMYFUNCTION("""COMPUTED_VALUE"""),"Matsya Tatha Urja Company Private Limited")</f>
        <v>Matsya Tatha Urja Company Private Limited</v>
      </c>
      <c r="H2360" s="2" t="str">
        <f>IFERROR(__xludf.DUMMYFUNCTION("""COMPUTED_VALUE"""),"Tokha - 7 , Kathmandu")</f>
        <v>Tokha - 7 , Kathmandu</v>
      </c>
      <c r="I2360" s="2" t="str">
        <f>IFERROR(__xludf.DUMMYFUNCTION("""COMPUTED_VALUE"""),"27o 30' 01""")</f>
        <v>27o 30' 01"</v>
      </c>
      <c r="J2360" s="2" t="str">
        <f>IFERROR(__xludf.DUMMYFUNCTION("""COMPUTED_VALUE"""),"27o 31' 00""")</f>
        <v>27o 31' 00"</v>
      </c>
      <c r="K2360" s="2" t="str">
        <f>IFERROR(__xludf.DUMMYFUNCTION("""COMPUTED_VALUE"""),"86o 59' 24""")</f>
        <v>86o 59' 24"</v>
      </c>
      <c r="L2360" s="2" t="str">
        <f>IFERROR(__xludf.DUMMYFUNCTION("""COMPUTED_VALUE"""),"87o 01' 49""")</f>
        <v>87o 01' 49"</v>
      </c>
      <c r="M2360" s="2" t="str">
        <f>IFERROR(__xludf.DUMMYFUNCTION("""COMPUTED_VALUE"""),"Bala,Sisuwakhola (Sankhuwasabha)")</f>
        <v>Bala,Sisuwakhola (Sankhuwasabha)</v>
      </c>
    </row>
    <row r="2361">
      <c r="A2361" s="2">
        <f>IFERROR(__xludf.DUMMYFUNCTION("""COMPUTED_VALUE"""),2360.0)</f>
        <v>2360</v>
      </c>
      <c r="B2361" s="2" t="str">
        <f>IFERROR(__xludf.DUMMYFUNCTION("""COMPUTED_VALUE"""),"Lower Hongu Khola Small Hydropower Project")</f>
        <v>Lower Hongu Khola Small Hydropower Project</v>
      </c>
      <c r="C2361" s="2">
        <f>IFERROR(__xludf.DUMMYFUNCTION("""COMPUTED_VALUE"""),30.2)</f>
        <v>30.2</v>
      </c>
      <c r="D2361" s="2" t="str">
        <f>IFERROR(__xludf.DUMMYFUNCTION("""COMPUTED_VALUE"""),"Hongu Khola")</f>
        <v>Hongu Khola</v>
      </c>
      <c r="E2361" s="2">
        <f>IFERROR(__xludf.DUMMYFUNCTION("""COMPUTED_VALUE"""),6227.0)</f>
        <v>6227</v>
      </c>
      <c r="F2361" s="3">
        <f>IFERROR(__xludf.DUMMYFUNCTION("""COMPUTED_VALUE"""),66136.0)</f>
        <v>66136</v>
      </c>
      <c r="G2361" s="2" t="str">
        <f>IFERROR(__xludf.DUMMYFUNCTION("""COMPUTED_VALUE"""),"Hongue General Power Private Limited")</f>
        <v>Hongue General Power Private Limited</v>
      </c>
      <c r="H2361" s="2" t="str">
        <f>IFERROR(__xludf.DUMMYFUNCTION("""COMPUTED_VALUE"""),"Naxal, Kathmandu")</f>
        <v>Naxal, Kathmandu</v>
      </c>
      <c r="I2361" s="2" t="str">
        <f>IFERROR(__xludf.DUMMYFUNCTION("""COMPUTED_VALUE"""),"27o 27' 00""")</f>
        <v>27o 27' 00"</v>
      </c>
      <c r="J2361" s="2" t="str">
        <f>IFERROR(__xludf.DUMMYFUNCTION("""COMPUTED_VALUE"""),"27o 28' 30""")</f>
        <v>27o 28' 30"</v>
      </c>
      <c r="K2361" s="2" t="str">
        <f>IFERROR(__xludf.DUMMYFUNCTION("""COMPUTED_VALUE"""),"86o 43' 45""")</f>
        <v>86o 43' 45"</v>
      </c>
      <c r="L2361" s="2" t="str">
        <f>IFERROR(__xludf.DUMMYFUNCTION("""COMPUTED_VALUE"""),"86o 46' 00""")</f>
        <v>86o 46' 00"</v>
      </c>
      <c r="M2361" s="2" t="str">
        <f>IFERROR(__xludf.DUMMYFUNCTION("""COMPUTED_VALUE"""),"Lokhim,Mabe(Pawai),Sautang (Solukhumbu)")</f>
        <v>Lokhim,Mabe(Pawai),Sautang (Solukhumbu)</v>
      </c>
    </row>
    <row r="2362">
      <c r="A2362" s="2">
        <f>IFERROR(__xludf.DUMMYFUNCTION("""COMPUTED_VALUE"""),2361.0)</f>
        <v>2361</v>
      </c>
      <c r="B2362" s="2" t="str">
        <f>IFERROR(__xludf.DUMMYFUNCTION("""COMPUTED_VALUE"""),"Upper Kasuwa Khola Hydropower Project")</f>
        <v>Upper Kasuwa Khola Hydropower Project</v>
      </c>
      <c r="C2362" s="2">
        <f>IFERROR(__xludf.DUMMYFUNCTION("""COMPUTED_VALUE"""),4.44)</f>
        <v>4.44</v>
      </c>
      <c r="D2362" s="2" t="str">
        <f>IFERROR(__xludf.DUMMYFUNCTION("""COMPUTED_VALUE"""),"Kasuwa Khola")</f>
        <v>Kasuwa Khola</v>
      </c>
      <c r="E2362" s="2">
        <f>IFERROR(__xludf.DUMMYFUNCTION("""COMPUTED_VALUE"""),6244.0)</f>
        <v>6244</v>
      </c>
      <c r="F2362" s="3">
        <f>IFERROR(__xludf.DUMMYFUNCTION("""COMPUTED_VALUE"""),66136.0)</f>
        <v>66136</v>
      </c>
      <c r="G2362" s="2" t="str">
        <f>IFERROR(__xludf.DUMMYFUNCTION("""COMPUTED_VALUE"""),"Jalpa Devi Energy Private Limited")</f>
        <v>Jalpa Devi Energy Private Limited</v>
      </c>
      <c r="H2362" s="2" t="str">
        <f>IFERROR(__xludf.DUMMYFUNCTION("""COMPUTED_VALUE"""),"Tokha - 7, Kathmandu")</f>
        <v>Tokha - 7, Kathmandu</v>
      </c>
      <c r="I2362" s="2" t="str">
        <f>IFERROR(__xludf.DUMMYFUNCTION("""COMPUTED_VALUE"""),"27o 37' 19""")</f>
        <v>27o 37' 19"</v>
      </c>
      <c r="J2362" s="2" t="str">
        <f>IFERROR(__xludf.DUMMYFUNCTION("""COMPUTED_VALUE"""),"27o 38' 04""")</f>
        <v>27o 38' 04"</v>
      </c>
      <c r="K2362" s="2" t="str">
        <f>IFERROR(__xludf.DUMMYFUNCTION("""COMPUTED_VALUE"""),"87o 14' 55""")</f>
        <v>87o 14' 55"</v>
      </c>
      <c r="L2362" s="2" t="str">
        <f>IFERROR(__xludf.DUMMYFUNCTION("""COMPUTED_VALUE"""),"87o 16' 18""")</f>
        <v>87o 16' 18"</v>
      </c>
      <c r="M2362" s="2" t="str">
        <f>IFERROR(__xludf.DUMMYFUNCTION("""COMPUTED_VALUE"""),"Makalu,Pathibhara (Sankhuwasabha)")</f>
        <v>Makalu,Pathibhara (Sankhuwasabha)</v>
      </c>
    </row>
    <row r="2363">
      <c r="A2363" s="2">
        <f>IFERROR(__xludf.DUMMYFUNCTION("""COMPUTED_VALUE"""),2362.0)</f>
        <v>2362</v>
      </c>
      <c r="B2363" s="2" t="str">
        <f>IFERROR(__xludf.DUMMYFUNCTION("""COMPUTED_VALUE"""),"Lower Rang Gad Hydropower Project")</f>
        <v>Lower Rang Gad Hydropower Project</v>
      </c>
      <c r="C2363" s="2">
        <f>IFERROR(__xludf.DUMMYFUNCTION("""COMPUTED_VALUE"""),5.0)</f>
        <v>5</v>
      </c>
      <c r="D2363" s="2" t="str">
        <f>IFERROR(__xludf.DUMMYFUNCTION("""COMPUTED_VALUE"""),"Rang Gad")</f>
        <v>Rang Gad</v>
      </c>
      <c r="E2363" s="2">
        <f>IFERROR(__xludf.DUMMYFUNCTION("""COMPUTED_VALUE"""),6340.0)</f>
        <v>6340</v>
      </c>
      <c r="F2363" s="3">
        <f>IFERROR(__xludf.DUMMYFUNCTION("""COMPUTED_VALUE"""),66141.0)</f>
        <v>66141</v>
      </c>
      <c r="G2363" s="2" t="str">
        <f>IFERROR(__xludf.DUMMYFUNCTION("""COMPUTED_VALUE"""),"Venture Trading &amp; Investment Private Limited")</f>
        <v>Venture Trading &amp; Investment Private Limited</v>
      </c>
      <c r="H2363" s="2" t="str">
        <f>IFERROR(__xludf.DUMMYFUNCTION("""COMPUTED_VALUE"""),"Budhanilkantha, Ward No - 10, Kathmandu")</f>
        <v>Budhanilkantha, Ward No - 10, Kathmandu</v>
      </c>
      <c r="I2363" s="2" t="str">
        <f>IFERROR(__xludf.DUMMYFUNCTION("""COMPUTED_VALUE"""),"28o 55' 47""")</f>
        <v>28o 55' 47"</v>
      </c>
      <c r="J2363" s="2" t="str">
        <f>IFERROR(__xludf.DUMMYFUNCTION("""COMPUTED_VALUE"""),"28o 58' 10""")</f>
        <v>28o 58' 10"</v>
      </c>
      <c r="K2363" s="2" t="str">
        <f>IFERROR(__xludf.DUMMYFUNCTION("""COMPUTED_VALUE"""),"82o 18' 15""")</f>
        <v>82o 18' 15"</v>
      </c>
      <c r="L2363" s="2" t="str">
        <f>IFERROR(__xludf.DUMMYFUNCTION("""COMPUTED_VALUE"""),"82o 20' 11""")</f>
        <v>82o 20' 11"</v>
      </c>
      <c r="M2363" s="2" t="str">
        <f>IFERROR(__xludf.DUMMYFUNCTION("""COMPUTED_VALUE"""),"Sakala,Nayakwada (Jajarkot)")</f>
        <v>Sakala,Nayakwada (Jajarkot)</v>
      </c>
    </row>
    <row r="2364">
      <c r="A2364" s="2">
        <f>IFERROR(__xludf.DUMMYFUNCTION("""COMPUTED_VALUE"""),2363.0)</f>
        <v>2363</v>
      </c>
      <c r="B2364" s="2" t="str">
        <f>IFERROR(__xludf.DUMMYFUNCTION("""COMPUTED_VALUE"""),"Nar Phu Khola Hydropower Project")</f>
        <v>Nar Phu Khola Hydropower Project</v>
      </c>
      <c r="C2364" s="2">
        <f>IFERROR(__xludf.DUMMYFUNCTION("""COMPUTED_VALUE"""),5.0)</f>
        <v>5</v>
      </c>
      <c r="D2364" s="2" t="str">
        <f>IFERROR(__xludf.DUMMYFUNCTION("""COMPUTED_VALUE"""),"Nar Khola, Phu Khola")</f>
        <v>Nar Khola, Phu Khola</v>
      </c>
      <c r="E2364" s="2">
        <f>IFERROR(__xludf.DUMMYFUNCTION("""COMPUTED_VALUE"""),6355.0)</f>
        <v>6355</v>
      </c>
      <c r="F2364" s="3">
        <f>IFERROR(__xludf.DUMMYFUNCTION("""COMPUTED_VALUE"""),66141.0)</f>
        <v>66141</v>
      </c>
      <c r="G2364" s="2" t="str">
        <f>IFERROR(__xludf.DUMMYFUNCTION("""COMPUTED_VALUE"""),"Venture Power Private Limited")</f>
        <v>Venture Power Private Limited</v>
      </c>
      <c r="H2364" s="2" t="str">
        <f>IFERROR(__xludf.DUMMYFUNCTION("""COMPUTED_VALUE"""),"Budhanilkantha - 10, Kathmandu")</f>
        <v>Budhanilkantha - 10, Kathmandu</v>
      </c>
      <c r="I2364" s="2" t="str">
        <f>IFERROR(__xludf.DUMMYFUNCTION("""COMPUTED_VALUE"""),"28o 38' 04""")</f>
        <v>28o 38' 04"</v>
      </c>
      <c r="J2364" s="2" t="str">
        <f>IFERROR(__xludf.DUMMYFUNCTION("""COMPUTED_VALUE"""),"28o 42' 56""")</f>
        <v>28o 42' 56"</v>
      </c>
      <c r="K2364" s="2" t="str">
        <f>IFERROR(__xludf.DUMMYFUNCTION("""COMPUTED_VALUE"""),"84o 12' 43""")</f>
        <v>84o 12' 43"</v>
      </c>
      <c r="L2364" s="2" t="str">
        <f>IFERROR(__xludf.DUMMYFUNCTION("""COMPUTED_VALUE"""),"84o 15' 46""")</f>
        <v>84o 15' 46"</v>
      </c>
      <c r="M2364" s="2" t="str">
        <f>IFERROR(__xludf.DUMMYFUNCTION("""COMPUTED_VALUE"""),"Fu,Nar (Manang)")</f>
        <v>Fu,Nar (Manang)</v>
      </c>
    </row>
    <row r="2365">
      <c r="A2365" s="2">
        <f>IFERROR(__xludf.DUMMYFUNCTION("""COMPUTED_VALUE"""),2364.0)</f>
        <v>2364</v>
      </c>
      <c r="B2365" s="2" t="str">
        <f>IFERROR(__xludf.DUMMYFUNCTION("""COMPUTED_VALUE"""),"Super Sankhuwa Hydropower Project")</f>
        <v>Super Sankhuwa Hydropower Project</v>
      </c>
      <c r="C2365" s="2">
        <f>IFERROR(__xludf.DUMMYFUNCTION("""COMPUTED_VALUE"""),9.62)</f>
        <v>9.62</v>
      </c>
      <c r="D2365" s="2" t="str">
        <f>IFERROR(__xludf.DUMMYFUNCTION("""COMPUTED_VALUE"""),"Sankhuwa Khola")</f>
        <v>Sankhuwa Khola</v>
      </c>
      <c r="E2365" s="2">
        <f>IFERROR(__xludf.DUMMYFUNCTION("""COMPUTED_VALUE"""),6367.0)</f>
        <v>6367</v>
      </c>
      <c r="F2365" s="3">
        <f>IFERROR(__xludf.DUMMYFUNCTION("""COMPUTED_VALUE"""),66142.0)</f>
        <v>66142</v>
      </c>
      <c r="G2365" s="2" t="str">
        <f>IFERROR(__xludf.DUMMYFUNCTION("""COMPUTED_VALUE"""),"Mridul Hydropower Private Limited")</f>
        <v>Mridul Hydropower Private Limited</v>
      </c>
      <c r="H2365" s="2" t="str">
        <f>IFERROR(__xludf.DUMMYFUNCTION("""COMPUTED_VALUE"""),"Mahalaxmi Municipality, Ward No. 4, Imadole, Lalitpur")</f>
        <v>Mahalaxmi Municipality, Ward No. 4, Imadole, Lalitpur</v>
      </c>
      <c r="I2365" s="2" t="str">
        <f>IFERROR(__xludf.DUMMYFUNCTION("""COMPUTED_VALUE"""),"27o 33' 21""")</f>
        <v>27o 33' 21"</v>
      </c>
      <c r="J2365" s="2" t="str">
        <f>IFERROR(__xludf.DUMMYFUNCTION("""COMPUTED_VALUE"""),"27o 34' 43""")</f>
        <v>27o 34' 43"</v>
      </c>
      <c r="K2365" s="2" t="str">
        <f>IFERROR(__xludf.DUMMYFUNCTION("""COMPUTED_VALUE"""),"87o 00' 21""")</f>
        <v>87o 00' 21"</v>
      </c>
      <c r="L2365" s="2" t="str">
        <f>IFERROR(__xludf.DUMMYFUNCTION("""COMPUTED_VALUE"""),"87o 01' 39""")</f>
        <v>87o 01' 39"</v>
      </c>
      <c r="M2365" s="2" t="str">
        <f>IFERROR(__xludf.DUMMYFUNCTION("""COMPUTED_VALUE"""),"Bala,Tamku (Sankhuwasabha)")</f>
        <v>Bala,Tamku (Sankhuwasabha)</v>
      </c>
    </row>
    <row r="2366">
      <c r="A2366" s="2">
        <f>IFERROR(__xludf.DUMMYFUNCTION("""COMPUTED_VALUE"""),2365.0)</f>
        <v>2365</v>
      </c>
      <c r="B2366" s="2" t="str">
        <f>IFERROR(__xludf.DUMMYFUNCTION("""COMPUTED_VALUE"""),"Chameliya Khola Hydropower Project")</f>
        <v>Chameliya Khola Hydropower Project</v>
      </c>
      <c r="C2366" s="2">
        <f>IFERROR(__xludf.DUMMYFUNCTION("""COMPUTED_VALUE"""),4.94)</f>
        <v>4.94</v>
      </c>
      <c r="D2366" s="2" t="str">
        <f>IFERROR(__xludf.DUMMYFUNCTION("""COMPUTED_VALUE"""),"Chameliya Nadi")</f>
        <v>Chameliya Nadi</v>
      </c>
      <c r="E2366" s="2">
        <f>IFERROR(__xludf.DUMMYFUNCTION("""COMPUTED_VALUE"""),6437.0)</f>
        <v>6437</v>
      </c>
      <c r="F2366" s="3">
        <f>IFERROR(__xludf.DUMMYFUNCTION("""COMPUTED_VALUE"""),66144.0)</f>
        <v>66144</v>
      </c>
      <c r="G2366" s="2" t="str">
        <f>IFERROR(__xludf.DUMMYFUNCTION("""COMPUTED_VALUE"""),"Ugratara Energy Private Limited")</f>
        <v>Ugratara Energy Private Limited</v>
      </c>
      <c r="H2366" s="2" t="str">
        <f>IFERROR(__xludf.DUMMYFUNCTION("""COMPUTED_VALUE"""),"Baneshwor, Kathmandu")</f>
        <v>Baneshwor, Kathmandu</v>
      </c>
      <c r="I2366" s="2" t="str">
        <f>IFERROR(__xludf.DUMMYFUNCTION("""COMPUTED_VALUE"""),"29o 49' 36""")</f>
        <v>29o 49' 36"</v>
      </c>
      <c r="J2366" s="2" t="str">
        <f>IFERROR(__xludf.DUMMYFUNCTION("""COMPUTED_VALUE"""),"29o 51' 16""")</f>
        <v>29o 51' 16"</v>
      </c>
      <c r="K2366" s="2" t="str">
        <f>IFERROR(__xludf.DUMMYFUNCTION("""COMPUTED_VALUE"""),"80o 53' 00""")</f>
        <v>80o 53' 00"</v>
      </c>
      <c r="L2366" s="2" t="str">
        <f>IFERROR(__xludf.DUMMYFUNCTION("""COMPUTED_VALUE"""),"80o 54' 10""")</f>
        <v>80o 54' 10"</v>
      </c>
      <c r="M2366" s="2" t="str">
        <f>IFERROR(__xludf.DUMMYFUNCTION("""COMPUTED_VALUE"""),"Ghusa (Darchula)")</f>
        <v>Ghusa (Darchula)</v>
      </c>
    </row>
    <row r="2367">
      <c r="A2367" s="2">
        <f>IFERROR(__xludf.DUMMYFUNCTION("""COMPUTED_VALUE"""),2366.0)</f>
        <v>2366</v>
      </c>
      <c r="B2367" s="2" t="str">
        <f>IFERROR(__xludf.DUMMYFUNCTION("""COMPUTED_VALUE"""),"Sisuwa Khola - A Hydropower Project")</f>
        <v>Sisuwa Khola - A Hydropower Project</v>
      </c>
      <c r="C2367" s="2">
        <f>IFERROR(__xludf.DUMMYFUNCTION("""COMPUTED_VALUE"""),4.95)</f>
        <v>4.95</v>
      </c>
      <c r="D2367" s="2" t="str">
        <f>IFERROR(__xludf.DUMMYFUNCTION("""COMPUTED_VALUE"""),"sisuwa, Danguwa")</f>
        <v>sisuwa, Danguwa</v>
      </c>
      <c r="E2367" s="2">
        <f>IFERROR(__xludf.DUMMYFUNCTION("""COMPUTED_VALUE"""),6448.0)</f>
        <v>6448</v>
      </c>
      <c r="F2367" s="3">
        <f>IFERROR(__xludf.DUMMYFUNCTION("""COMPUTED_VALUE"""),66145.0)</f>
        <v>66145</v>
      </c>
      <c r="G2367" s="2" t="str">
        <f>IFERROR(__xludf.DUMMYFUNCTION("""COMPUTED_VALUE"""),"Matribhumi Hydropower Development Company Pvt. Ltd")</f>
        <v>Matribhumi Hydropower Development Company Pvt. Ltd</v>
      </c>
      <c r="H2367" s="2" t="str">
        <f>IFERROR(__xludf.DUMMYFUNCTION("""COMPUTED_VALUE"""),"Lalitpur Sub-Metropolitan City-15 , Lalitpur (01-4111945, 4111673)")</f>
        <v>Lalitpur Sub-Metropolitan City-15 , Lalitpur (01-4111945, 4111673)</v>
      </c>
      <c r="I2367" s="2" t="str">
        <f>IFERROR(__xludf.DUMMYFUNCTION("""COMPUTED_VALUE"""),"27o 29' 12""")</f>
        <v>27o 29' 12"</v>
      </c>
      <c r="J2367" s="2" t="str">
        <f>IFERROR(__xludf.DUMMYFUNCTION("""COMPUTED_VALUE"""),"27o 30' 01""")</f>
        <v>27o 30' 01"</v>
      </c>
      <c r="K2367" s="2" t="str">
        <f>IFERROR(__xludf.DUMMYFUNCTION("""COMPUTED_VALUE"""),"87o 01' 13""")</f>
        <v>87o 01' 13"</v>
      </c>
      <c r="L2367" s="2" t="str">
        <f>IFERROR(__xludf.DUMMYFUNCTION("""COMPUTED_VALUE"""),"87o 01' 56""")</f>
        <v>87o 01' 56"</v>
      </c>
      <c r="M2367" s="2" t="str">
        <f>IFERROR(__xludf.DUMMYFUNCTION("""COMPUTED_VALUE"""),"Bala,Sisuwakhola (Sankhuwasabha)")</f>
        <v>Bala,Sisuwakhola (Sankhuwasabha)</v>
      </c>
    </row>
    <row r="2368">
      <c r="A2368" s="2">
        <f>IFERROR(__xludf.DUMMYFUNCTION("""COMPUTED_VALUE"""),2367.0)</f>
        <v>2367</v>
      </c>
      <c r="B2368" s="2" t="str">
        <f>IFERROR(__xludf.DUMMYFUNCTION("""COMPUTED_VALUE"""),"Upper Tamor - B Hydropower Project")</f>
        <v>Upper Tamor - B Hydropower Project</v>
      </c>
      <c r="C2368" s="2">
        <f>IFERROR(__xludf.DUMMYFUNCTION("""COMPUTED_VALUE"""),38.5)</f>
        <v>38.5</v>
      </c>
      <c r="D2368" s="2" t="str">
        <f>IFERROR(__xludf.DUMMYFUNCTION("""COMPUTED_VALUE"""),"Tamor Khola")</f>
        <v>Tamor Khola</v>
      </c>
      <c r="E2368" s="2">
        <f>IFERROR(__xludf.DUMMYFUNCTION("""COMPUTED_VALUE"""),6560.0)</f>
        <v>6560</v>
      </c>
      <c r="F2368" s="3">
        <f>IFERROR(__xludf.DUMMYFUNCTION("""COMPUTED_VALUE"""),66149.0)</f>
        <v>66149</v>
      </c>
      <c r="G2368" s="2" t="str">
        <f>IFERROR(__xludf.DUMMYFUNCTION("""COMPUTED_VALUE"""),"Sabita Godar Thapa")</f>
        <v>Sabita Godar Thapa</v>
      </c>
      <c r="H2368" s="2" t="str">
        <f>IFERROR(__xludf.DUMMYFUNCTION("""COMPUTED_VALUE"""),"KMC - 26, Samakhusi, Kathmandu")</f>
        <v>KMC - 26, Samakhusi, Kathmandu</v>
      </c>
      <c r="I2368" s="2" t="str">
        <f>IFERROR(__xludf.DUMMYFUNCTION("""COMPUTED_VALUE"""),"27o 32' 17""")</f>
        <v>27o 32' 17"</v>
      </c>
      <c r="J2368" s="2" t="str">
        <f>IFERROR(__xludf.DUMMYFUNCTION("""COMPUTED_VALUE"""),"27o 34' 05""")</f>
        <v>27o 34' 05"</v>
      </c>
      <c r="K2368" s="2" t="str">
        <f>IFERROR(__xludf.DUMMYFUNCTION("""COMPUTED_VALUE"""),"87o 47' 30""")</f>
        <v>87o 47' 30"</v>
      </c>
      <c r="L2368" s="2" t="str">
        <f>IFERROR(__xludf.DUMMYFUNCTION("""COMPUTED_VALUE"""),"87o 48' 19""")</f>
        <v>87o 48' 19"</v>
      </c>
      <c r="M2368" s="2" t="str">
        <f>IFERROR(__xludf.DUMMYFUNCTION("""COMPUTED_VALUE"""),"Lelep (Taplejung)")</f>
        <v>Lelep (Taplejung)</v>
      </c>
    </row>
    <row r="2369">
      <c r="A2369" s="2">
        <f>IFERROR(__xludf.DUMMYFUNCTION("""COMPUTED_VALUE"""),2368.0)</f>
        <v>2368</v>
      </c>
      <c r="B2369" s="2" t="str">
        <f>IFERROR(__xludf.DUMMYFUNCTION("""COMPUTED_VALUE"""),"Upper Kaligandaki Hydropower Project")</f>
        <v>Upper Kaligandaki Hydropower Project</v>
      </c>
      <c r="C2369" s="2">
        <f>IFERROR(__xludf.DUMMYFUNCTION("""COMPUTED_VALUE"""),65.0)</f>
        <v>65</v>
      </c>
      <c r="D2369" s="2" t="str">
        <f>IFERROR(__xludf.DUMMYFUNCTION("""COMPUTED_VALUE"""),"Kali Gandaki")</f>
        <v>Kali Gandaki</v>
      </c>
      <c r="E2369" s="2">
        <f>IFERROR(__xludf.DUMMYFUNCTION("""COMPUTED_VALUE"""),6727.0)</f>
        <v>6727</v>
      </c>
      <c r="F2369" s="3">
        <f>IFERROR(__xludf.DUMMYFUNCTION("""COMPUTED_VALUE"""),66155.0)</f>
        <v>66155</v>
      </c>
      <c r="G2369" s="2" t="str">
        <f>IFERROR(__xludf.DUMMYFUNCTION("""COMPUTED_VALUE"""),"Tara Energy Private Limited")</f>
        <v>Tara Energy Private Limited</v>
      </c>
      <c r="H2369" s="2" t="str">
        <f>IFERROR(__xludf.DUMMYFUNCTION("""COMPUTED_VALUE"""),"KMS, ard No. 13")</f>
        <v>KMS, ard No. 13</v>
      </c>
      <c r="I2369" s="2" t="str">
        <f>IFERROR(__xludf.DUMMYFUNCTION("""COMPUTED_VALUE"""),"28o 22' 31""")</f>
        <v>28o 22' 31"</v>
      </c>
      <c r="J2369" s="2" t="str">
        <f>IFERROR(__xludf.DUMMYFUNCTION("""COMPUTED_VALUE"""),"28o 26' 03""")</f>
        <v>28o 26' 03"</v>
      </c>
      <c r="K2369" s="2" t="str">
        <f>IFERROR(__xludf.DUMMYFUNCTION("""COMPUTED_VALUE"""),"83o 34' 36""")</f>
        <v>83o 34' 36"</v>
      </c>
      <c r="L2369" s="2" t="str">
        <f>IFERROR(__xludf.DUMMYFUNCTION("""COMPUTED_VALUE"""),"83o 36' 23""")</f>
        <v>83o 36' 23"</v>
      </c>
      <c r="M2369" s="2" t="str">
        <f>IFERROR(__xludf.DUMMYFUNCTION("""COMPUTED_VALUE"""),"Ranche,Histan Mandali,Rakhu Bhagawati (Myagdi) Baskharka (Parbat)")</f>
        <v>Ranche,Histan Mandali,Rakhu Bhagawati (Myagdi) Baskharka (Parbat)</v>
      </c>
    </row>
    <row r="2370">
      <c r="A2370" s="2">
        <f>IFERROR(__xludf.DUMMYFUNCTION("""COMPUTED_VALUE"""),2369.0)</f>
        <v>2369</v>
      </c>
      <c r="B2370" s="2" t="str">
        <f>IFERROR(__xludf.DUMMYFUNCTION("""COMPUTED_VALUE"""),"Super Nilgiri Khola Peakng Hydropower Project")</f>
        <v>Super Nilgiri Khola Peakng Hydropower Project</v>
      </c>
      <c r="C2370" s="2">
        <f>IFERROR(__xludf.DUMMYFUNCTION("""COMPUTED_VALUE"""),49.0)</f>
        <v>49</v>
      </c>
      <c r="D2370" s="2" t="str">
        <f>IFERROR(__xludf.DUMMYFUNCTION("""COMPUTED_VALUE"""),"Nilgiri")</f>
        <v>Nilgiri</v>
      </c>
      <c r="E2370" s="2">
        <f>IFERROR(__xludf.DUMMYFUNCTION("""COMPUTED_VALUE"""),7026.0)</f>
        <v>7026</v>
      </c>
      <c r="F2370" s="3">
        <f>IFERROR(__xludf.DUMMYFUNCTION("""COMPUTED_VALUE"""),66169.0)</f>
        <v>66169</v>
      </c>
      <c r="G2370" s="2" t="str">
        <f>IFERROR(__xludf.DUMMYFUNCTION("""COMPUTED_VALUE"""),"B.G. Modi Hydro Energy Private Limited")</f>
        <v>B.G. Modi Hydro Energy Private Limited</v>
      </c>
      <c r="H2370" s="2" t="str">
        <f>IFERROR(__xludf.DUMMYFUNCTION("""COMPUTED_VALUE"""),"KMC - 5, Kathmandu, Nepal")</f>
        <v>KMC - 5, Kathmandu, Nepal</v>
      </c>
      <c r="I2370" s="2" t="str">
        <f>IFERROR(__xludf.DUMMYFUNCTION("""COMPUTED_VALUE"""),"28o 35' 41""")</f>
        <v>28o 35' 41"</v>
      </c>
      <c r="J2370" s="2" t="str">
        <f>IFERROR(__xludf.DUMMYFUNCTION("""COMPUTED_VALUE"""),"28o 36' 43""")</f>
        <v>28o 36' 43"</v>
      </c>
      <c r="K2370" s="2" t="str">
        <f>IFERROR(__xludf.DUMMYFUNCTION("""COMPUTED_VALUE"""),"83o 42' 37""")</f>
        <v>83o 42' 37"</v>
      </c>
      <c r="L2370" s="2" t="str">
        <f>IFERROR(__xludf.DUMMYFUNCTION("""COMPUTED_VALUE"""),"83o 45' 17""")</f>
        <v>83o 45' 17"</v>
      </c>
      <c r="M2370" s="2"/>
    </row>
    <row r="2371">
      <c r="A2371" s="2">
        <f>IFERROR(__xludf.DUMMYFUNCTION("""COMPUTED_VALUE"""),2370.0)</f>
        <v>2370</v>
      </c>
      <c r="B2371" s="2" t="str">
        <f>IFERROR(__xludf.DUMMYFUNCTION("""COMPUTED_VALUE"""),"Kiche Khola Small Hydropower Project")</f>
        <v>Kiche Khola Small Hydropower Project</v>
      </c>
      <c r="C2371" s="2">
        <f>IFERROR(__xludf.DUMMYFUNCTION("""COMPUTED_VALUE"""),2.5)</f>
        <v>2.5</v>
      </c>
      <c r="D2371" s="2" t="str">
        <f>IFERROR(__xludf.DUMMYFUNCTION("""COMPUTED_VALUE"""),"Kiche Khola")</f>
        <v>Kiche Khola</v>
      </c>
      <c r="E2371" s="2">
        <f>IFERROR(__xludf.DUMMYFUNCTION("""COMPUTED_VALUE"""),7263.0)</f>
        <v>7263</v>
      </c>
      <c r="F2371" s="3">
        <f>IFERROR(__xludf.DUMMYFUNCTION("""COMPUTED_VALUE"""),66175.0)</f>
        <v>66175</v>
      </c>
      <c r="G2371" s="2" t="str">
        <f>IFERROR(__xludf.DUMMYFUNCTION("""COMPUTED_VALUE"""),"Marsyangdi Bidhut Company Limited")</f>
        <v>Marsyangdi Bidhut Company Limited</v>
      </c>
      <c r="H2371" s="2" t="str">
        <f>IFERROR(__xludf.DUMMYFUNCTION("""COMPUTED_VALUE"""),"Kathmandu, Nepal (9856028646)")</f>
        <v>Kathmandu, Nepal (9856028646)</v>
      </c>
      <c r="I2371" s="2" t="str">
        <f>IFERROR(__xludf.DUMMYFUNCTION("""COMPUTED_VALUE"""),"28o 18' 40""")</f>
        <v>28o 18' 40"</v>
      </c>
      <c r="J2371" s="2" t="str">
        <f>IFERROR(__xludf.DUMMYFUNCTION("""COMPUTED_VALUE"""),"28o 19' 40""")</f>
        <v>28o 19' 40"</v>
      </c>
      <c r="K2371" s="2" t="str">
        <f>IFERROR(__xludf.DUMMYFUNCTION("""COMPUTED_VALUE"""),"84o 18' 30""")</f>
        <v>84o 18' 30"</v>
      </c>
      <c r="L2371" s="2" t="str">
        <f>IFERROR(__xludf.DUMMYFUNCTION("""COMPUTED_VALUE"""),"84o 20' 20""")</f>
        <v>84o 20' 20"</v>
      </c>
      <c r="M2371" s="2" t="str">
        <f>IFERROR(__xludf.DUMMYFUNCTION("""COMPUTED_VALUE"""),"Ghanpokhara,Khudi (Lamjung)")</f>
        <v>Ghanpokhara,Khudi (Lamjung)</v>
      </c>
    </row>
    <row r="2372">
      <c r="A2372" s="2">
        <f>IFERROR(__xludf.DUMMYFUNCTION("""COMPUTED_VALUE"""),2371.0)</f>
        <v>2371</v>
      </c>
      <c r="B2372" s="2" t="str">
        <f>IFERROR(__xludf.DUMMYFUNCTION("""COMPUTED_VALUE"""),"Tallo Theule Khola Hydropower Project")</f>
        <v>Tallo Theule Khola Hydropower Project</v>
      </c>
      <c r="C2372" s="2">
        <f>IFERROR(__xludf.DUMMYFUNCTION("""COMPUTED_VALUE"""),0.51)</f>
        <v>0.51</v>
      </c>
      <c r="D2372" s="2" t="str">
        <f>IFERROR(__xludf.DUMMYFUNCTION("""COMPUTED_VALUE"""),"Theule")</f>
        <v>Theule</v>
      </c>
      <c r="E2372" s="2">
        <f>IFERROR(__xludf.DUMMYFUNCTION("""COMPUTED_VALUE"""),7271.0)</f>
        <v>7271</v>
      </c>
      <c r="F2372" s="3">
        <f>IFERROR(__xludf.DUMMYFUNCTION("""COMPUTED_VALUE"""),66175.0)</f>
        <v>66175</v>
      </c>
      <c r="G2372" s="2" t="str">
        <f>IFERROR(__xludf.DUMMYFUNCTION("""COMPUTED_VALUE"""),"Jaimini RM (Applicant: Barahi Hydropower Public Limited)")</f>
        <v>Jaimini RM (Applicant: Barahi Hydropower Public Limited)</v>
      </c>
      <c r="H2372" s="2" t="str">
        <f>IFERROR(__xludf.DUMMYFUNCTION("""COMPUTED_VALUE"""),"Kushmisera, Baglung (Bakhundole, Lalitpur)")</f>
        <v>Kushmisera, Baglung (Bakhundole, Lalitpur)</v>
      </c>
      <c r="I2372" s="2" t="str">
        <f>IFERROR(__xludf.DUMMYFUNCTION("""COMPUTED_VALUE"""),"28o 10' 20""")</f>
        <v>28o 10' 20"</v>
      </c>
      <c r="J2372" s="2" t="str">
        <f>IFERROR(__xludf.DUMMYFUNCTION("""COMPUTED_VALUE"""),"28o 11' 10""")</f>
        <v>28o 11' 10"</v>
      </c>
      <c r="K2372" s="2" t="str">
        <f>IFERROR(__xludf.DUMMYFUNCTION("""COMPUTED_VALUE"""),"83o 38' 15""")</f>
        <v>83o 38' 15"</v>
      </c>
      <c r="L2372" s="2" t="str">
        <f>IFERROR(__xludf.DUMMYFUNCTION("""COMPUTED_VALUE"""),"83o 38' 30""")</f>
        <v>83o 38' 30"</v>
      </c>
      <c r="M2372" s="2" t="str">
        <f>IFERROR(__xludf.DUMMYFUNCTION("""COMPUTED_VALUE"""),"Binamare,Kusmi (Baglung)")</f>
        <v>Binamare,Kusmi (Baglung)</v>
      </c>
    </row>
    <row r="2373">
      <c r="A2373" s="2">
        <f>IFERROR(__xludf.DUMMYFUNCTION("""COMPUTED_VALUE"""),2372.0)</f>
        <v>2372</v>
      </c>
      <c r="B2373" s="2" t="str">
        <f>IFERROR(__xludf.DUMMYFUNCTION("""COMPUTED_VALUE"""),"Bheri Jairi PRoR Hydropower Project")</f>
        <v>Bheri Jairi PRoR Hydropower Project</v>
      </c>
      <c r="C2373" s="2">
        <f>IFERROR(__xludf.DUMMYFUNCTION("""COMPUTED_VALUE"""),150.0)</f>
        <v>150</v>
      </c>
      <c r="D2373" s="2" t="str">
        <f>IFERROR(__xludf.DUMMYFUNCTION("""COMPUTED_VALUE"""),"Thulo bheri, Jairi")</f>
        <v>Thulo bheri, Jairi</v>
      </c>
      <c r="E2373" s="2">
        <f>IFERROR(__xludf.DUMMYFUNCTION("""COMPUTED_VALUE"""),7333.0)</f>
        <v>7333</v>
      </c>
      <c r="F2373" s="3">
        <f>IFERROR(__xludf.DUMMYFUNCTION("""COMPUTED_VALUE"""),66179.0)</f>
        <v>66179</v>
      </c>
      <c r="G2373" s="2" t="str">
        <f>IFERROR(__xludf.DUMMYFUNCTION("""COMPUTED_VALUE"""),"Newton Hydro Energy Private Limited")</f>
        <v>Newton Hydro Energy Private Limited</v>
      </c>
      <c r="H2373" s="2" t="str">
        <f>IFERROR(__xludf.DUMMYFUNCTION("""COMPUTED_VALUE"""),"KMC-2, Lazimpat, Kathmandu")</f>
        <v>KMC-2, Lazimpat, Kathmandu</v>
      </c>
      <c r="I2373" s="2" t="str">
        <f>IFERROR(__xludf.DUMMYFUNCTION("""COMPUTED_VALUE"""),"28o 52' 25""")</f>
        <v>28o 52' 25"</v>
      </c>
      <c r="J2373" s="2" t="str">
        <f>IFERROR(__xludf.DUMMYFUNCTION("""COMPUTED_VALUE"""),"28o 57' 12""")</f>
        <v>28o 57' 12"</v>
      </c>
      <c r="K2373" s="2" t="str">
        <f>IFERROR(__xludf.DUMMYFUNCTION("""COMPUTED_VALUE"""),"82o 54' 00""")</f>
        <v>82o 54' 00"</v>
      </c>
      <c r="L2373" s="2" t="str">
        <f>IFERROR(__xludf.DUMMYFUNCTION("""COMPUTED_VALUE"""),"83o 02' 08""")</f>
        <v>83o 02' 08"</v>
      </c>
      <c r="M2373" s="2" t="str">
        <f>IFERROR(__xludf.DUMMYFUNCTION("""COMPUTED_VALUE"""),"Lawan,Dunai,Sahartara (Dolpa)")</f>
        <v>Lawan,Dunai,Sahartara (Dolpa)</v>
      </c>
    </row>
    <row r="2374">
      <c r="A2374" s="2">
        <f>IFERROR(__xludf.DUMMYFUNCTION("""COMPUTED_VALUE"""),2373.0)</f>
        <v>2373</v>
      </c>
      <c r="B2374" s="2" t="str">
        <f>IFERROR(__xludf.DUMMYFUNCTION("""COMPUTED_VALUE"""),"Khorunga - Tangmaya Khola Hydropower Project")</f>
        <v>Khorunga - Tangmaya Khola Hydropower Project</v>
      </c>
      <c r="C2374" s="2">
        <f>IFERROR(__xludf.DUMMYFUNCTION("""COMPUTED_VALUE"""),2.0)</f>
        <v>2</v>
      </c>
      <c r="D2374" s="2" t="str">
        <f>IFERROR(__xludf.DUMMYFUNCTION("""COMPUTED_VALUE"""),"Khoranga, Tangmaya")</f>
        <v>Khoranga, Tangmaya</v>
      </c>
      <c r="E2374" s="2">
        <f>IFERROR(__xludf.DUMMYFUNCTION("""COMPUTED_VALUE"""),7719.0)</f>
        <v>7719</v>
      </c>
      <c r="F2374" s="3">
        <f>IFERROR(__xludf.DUMMYFUNCTION("""COMPUTED_VALUE"""),66190.0)</f>
        <v>66190</v>
      </c>
      <c r="G2374" s="2" t="str">
        <f>IFERROR(__xludf.DUMMYFUNCTION("""COMPUTED_VALUE"""),"Terhathum Power Company Limited")</f>
        <v>Terhathum Power Company Limited</v>
      </c>
      <c r="H2374" s="2" t="str">
        <f>IFERROR(__xludf.DUMMYFUNCTION("""COMPUTED_VALUE"""),"KMC-9, Rammandir MARG, Battisputali, Kathmandu")</f>
        <v>KMC-9, Rammandir MARG, Battisputali, Kathmandu</v>
      </c>
      <c r="I2374" s="2" t="str">
        <f>IFERROR(__xludf.DUMMYFUNCTION("""COMPUTED_VALUE"""),"27o 11' 09""")</f>
        <v>27o 11' 09"</v>
      </c>
      <c r="J2374" s="2" t="str">
        <f>IFERROR(__xludf.DUMMYFUNCTION("""COMPUTED_VALUE"""),"27o 11' 48""")</f>
        <v>27o 11' 48"</v>
      </c>
      <c r="K2374" s="2" t="str">
        <f>IFERROR(__xludf.DUMMYFUNCTION("""COMPUTED_VALUE"""),"87o 31' 20""")</f>
        <v>87o 31' 20"</v>
      </c>
      <c r="L2374" s="2" t="str">
        <f>IFERROR(__xludf.DUMMYFUNCTION("""COMPUTED_VALUE"""),"87o 32' 30""")</f>
        <v>87o 32' 30"</v>
      </c>
      <c r="M2374" s="2" t="str">
        <f>IFERROR(__xludf.DUMMYFUNCTION("""COMPUTED_VALUE"""),"Ambung,Morahang,Oyabjung (Terhathum)")</f>
        <v>Ambung,Morahang,Oyabjung (Terhathum)</v>
      </c>
    </row>
    <row r="2375">
      <c r="A2375" s="2">
        <f>IFERROR(__xludf.DUMMYFUNCTION("""COMPUTED_VALUE"""),2374.0)</f>
        <v>2374</v>
      </c>
      <c r="B2375" s="2" t="str">
        <f>IFERROR(__xludf.DUMMYFUNCTION("""COMPUTED_VALUE"""),"Tom Dogar Hydropower Project")</f>
        <v>Tom Dogar Hydropower Project</v>
      </c>
      <c r="C2375" s="2">
        <f>IFERROR(__xludf.DUMMYFUNCTION("""COMPUTED_VALUE"""),107.0)</f>
        <v>107</v>
      </c>
      <c r="D2375" s="2" t="str">
        <f>IFERROR(__xludf.DUMMYFUNCTION("""COMPUTED_VALUE"""),"Tom Dogar Khola")</f>
        <v>Tom Dogar Khola</v>
      </c>
      <c r="E2375" s="2">
        <f>IFERROR(__xludf.DUMMYFUNCTION("""COMPUTED_VALUE"""),7874.0)</f>
        <v>7874</v>
      </c>
      <c r="F2375" s="3">
        <f>IFERROR(__xludf.DUMMYFUNCTION("""COMPUTED_VALUE"""),66198.0)</f>
        <v>66198</v>
      </c>
      <c r="G2375" s="2" t="str">
        <f>IFERROR(__xludf.DUMMYFUNCTION("""COMPUTED_VALUE"""),"Power Bank Private Limited")</f>
        <v>Power Bank Private Limited</v>
      </c>
      <c r="H2375" s="2" t="str">
        <f>IFERROR(__xludf.DUMMYFUNCTION("""COMPUTED_VALUE"""),"Balaju - 16, Kathmandu, 9860136640, 9803163441")</f>
        <v>Balaju - 16, Kathmandu, 9860136640, 9803163441</v>
      </c>
      <c r="I2375" s="2" t="str">
        <f>IFERROR(__xludf.DUMMYFUNCTION("""COMPUTED_VALUE"""),"28o 32' 04""")</f>
        <v>28o 32' 04"</v>
      </c>
      <c r="J2375" s="2" t="str">
        <f>IFERROR(__xludf.DUMMYFUNCTION("""COMPUTED_VALUE"""),"28o 35' 00""")</f>
        <v>28o 35' 00"</v>
      </c>
      <c r="K2375" s="2" t="str">
        <f>IFERROR(__xludf.DUMMYFUNCTION("""COMPUTED_VALUE"""),"84o 47' 33""")</f>
        <v>84o 47' 33"</v>
      </c>
      <c r="L2375" s="2" t="str">
        <f>IFERROR(__xludf.DUMMYFUNCTION("""COMPUTED_VALUE"""),"84o 49' 56""")</f>
        <v>84o 49' 56"</v>
      </c>
      <c r="M2375" s="2" t="str">
        <f>IFERROR(__xludf.DUMMYFUNCTION("""COMPUTED_VALUE"""),"Prok (Gorkha)")</f>
        <v>Prok (Gorkha)</v>
      </c>
    </row>
    <row r="2376">
      <c r="A2376" s="2">
        <f>IFERROR(__xludf.DUMMYFUNCTION("""COMPUTED_VALUE"""),2375.0)</f>
        <v>2375</v>
      </c>
      <c r="B2376" s="2" t="str">
        <f>IFERROR(__xludf.DUMMYFUNCTION("""COMPUTED_VALUE"""),"Mid Dudhkoshi Khola Hydropower Project")</f>
        <v>Mid Dudhkoshi Khola Hydropower Project</v>
      </c>
      <c r="C2376" s="2">
        <f>IFERROR(__xludf.DUMMYFUNCTION("""COMPUTED_VALUE"""),4.98)</f>
        <v>4.98</v>
      </c>
      <c r="D2376" s="2" t="str">
        <f>IFERROR(__xludf.DUMMYFUNCTION("""COMPUTED_VALUE"""),"Dudhkoshi Khola")</f>
        <v>Dudhkoshi Khola</v>
      </c>
      <c r="E2376" s="2">
        <f>IFERROR(__xludf.DUMMYFUNCTION("""COMPUTED_VALUE"""),307.0)</f>
        <v>307</v>
      </c>
      <c r="F2376" s="3">
        <f>IFERROR(__xludf.DUMMYFUNCTION("""COMPUTED_VALUE"""),66211.0)</f>
        <v>66211</v>
      </c>
      <c r="G2376" s="2" t="str">
        <f>IFERROR(__xludf.DUMMYFUNCTION("""COMPUTED_VALUE"""),"Kalpabrikshya Engineering Solutions Private Limited")</f>
        <v>Kalpabrikshya Engineering Solutions Private Limited</v>
      </c>
      <c r="H2376" s="2" t="str">
        <f>IFERROR(__xludf.DUMMYFUNCTION("""COMPUTED_VALUE"""),"Kathmandu")</f>
        <v>Kathmandu</v>
      </c>
      <c r="I2376" s="2" t="str">
        <f>IFERROR(__xludf.DUMMYFUNCTION("""COMPUTED_VALUE"""),"27o 29' 32""")</f>
        <v>27o 29' 32"</v>
      </c>
      <c r="J2376" s="2" t="str">
        <f>IFERROR(__xludf.DUMMYFUNCTION("""COMPUTED_VALUE"""),"27o 29' 44""")</f>
        <v>27o 29' 44"</v>
      </c>
      <c r="K2376" s="2" t="str">
        <f>IFERROR(__xludf.DUMMYFUNCTION("""COMPUTED_VALUE"""),"86o 41' 11""")</f>
        <v>86o 41' 11"</v>
      </c>
      <c r="L2376" s="2" t="str">
        <f>IFERROR(__xludf.DUMMYFUNCTION("""COMPUTED_VALUE"""),"86o 42' 02""")</f>
        <v>86o 42' 02"</v>
      </c>
      <c r="M2376" s="2"/>
    </row>
    <row r="2377">
      <c r="A2377" s="2">
        <f>IFERROR(__xludf.DUMMYFUNCTION("""COMPUTED_VALUE"""),2376.0)</f>
        <v>2376</v>
      </c>
      <c r="B2377" s="2" t="str">
        <f>IFERROR(__xludf.DUMMYFUNCTION("""COMPUTED_VALUE"""),"Upper Tila Karnali Hydropower Project")</f>
        <v>Upper Tila Karnali Hydropower Project</v>
      </c>
      <c r="C2377" s="2">
        <f>IFERROR(__xludf.DUMMYFUNCTION("""COMPUTED_VALUE"""),4.5)</f>
        <v>4.5</v>
      </c>
      <c r="D2377" s="2" t="str">
        <f>IFERROR(__xludf.DUMMYFUNCTION("""COMPUTED_VALUE"""),"Tila Karnali")</f>
        <v>Tila Karnali</v>
      </c>
      <c r="E2377" s="2">
        <f>IFERROR(__xludf.DUMMYFUNCTION("""COMPUTED_VALUE"""),397.0)</f>
        <v>397</v>
      </c>
      <c r="F2377" s="3">
        <f>IFERROR(__xludf.DUMMYFUNCTION("""COMPUTED_VALUE"""),66215.0)</f>
        <v>66215</v>
      </c>
      <c r="G2377" s="2" t="str">
        <f>IFERROR(__xludf.DUMMYFUNCTION("""COMPUTED_VALUE"""),"Akshita Energy Private Limited")</f>
        <v>Akshita Energy Private Limited</v>
      </c>
      <c r="H2377" s="2" t="str">
        <f>IFERROR(__xludf.DUMMYFUNCTION("""COMPUTED_VALUE"""),"KMC - 11, Kathmandu")</f>
        <v>KMC - 11, Kathmandu</v>
      </c>
      <c r="I2377" s="2" t="str">
        <f>IFERROR(__xludf.DUMMYFUNCTION("""COMPUTED_VALUE"""),"29o 12' 00""")</f>
        <v>29o 12' 00"</v>
      </c>
      <c r="J2377" s="2" t="str">
        <f>IFERROR(__xludf.DUMMYFUNCTION("""COMPUTED_VALUE"""),"29o 16' 00""")</f>
        <v>29o 16' 00"</v>
      </c>
      <c r="K2377" s="2" t="str">
        <f>IFERROR(__xludf.DUMMYFUNCTION("""COMPUTED_VALUE"""),"82o 16' 00""")</f>
        <v>82o 16' 00"</v>
      </c>
      <c r="L2377" s="2" t="str">
        <f>IFERROR(__xludf.DUMMYFUNCTION("""COMPUTED_VALUE"""),"82o 23' 00""")</f>
        <v>82o 23' 00"</v>
      </c>
      <c r="M2377" s="2" t="str">
        <f>IFERROR(__xludf.DUMMYFUNCTION("""COMPUTED_VALUE"""),"Depalgaun,Garjyangkot,Gothichaur (Jumla)")</f>
        <v>Depalgaun,Garjyangkot,Gothichaur (Jumla)</v>
      </c>
    </row>
    <row r="2378">
      <c r="A2378" s="2">
        <f>IFERROR(__xludf.DUMMYFUNCTION("""COMPUTED_VALUE"""),2377.0)</f>
        <v>2377</v>
      </c>
      <c r="B2378" s="2" t="str">
        <f>IFERROR(__xludf.DUMMYFUNCTION("""COMPUTED_VALUE"""),"Juli Chotra Hydropower Project")</f>
        <v>Juli Chotra Hydropower Project</v>
      </c>
      <c r="C2378" s="2">
        <f>IFERROR(__xludf.DUMMYFUNCTION("""COMPUTED_VALUE"""),20.0)</f>
        <v>20</v>
      </c>
      <c r="D2378" s="2" t="str">
        <f>IFERROR(__xludf.DUMMYFUNCTION("""COMPUTED_VALUE"""),"Juli Odar Khola and Chotra Kho")</f>
        <v>Juli Odar Khola and Chotra Kho</v>
      </c>
      <c r="E2378" s="2">
        <f>IFERROR(__xludf.DUMMYFUNCTION("""COMPUTED_VALUE"""),438.0)</f>
        <v>438</v>
      </c>
      <c r="F2378" s="3">
        <f>IFERROR(__xludf.DUMMYFUNCTION("""COMPUTED_VALUE"""),66217.0)</f>
        <v>66217</v>
      </c>
      <c r="G2378" s="2" t="str">
        <f>IFERROR(__xludf.DUMMYFUNCTION("""COMPUTED_VALUE"""),"Galaxy Hydro Power Private Limited")</f>
        <v>Galaxy Hydro Power Private Limited</v>
      </c>
      <c r="H2378" s="2" t="str">
        <f>IFERROR(__xludf.DUMMYFUNCTION("""COMPUTED_VALUE"""),"Mahalaxmi- 9, lalitpur")</f>
        <v>Mahalaxmi- 9, lalitpur</v>
      </c>
      <c r="I2378" s="2" t="str">
        <f>IFERROR(__xludf.DUMMYFUNCTION("""COMPUTED_VALUE"""),"29o 11' 30""")</f>
        <v>29o 11' 30"</v>
      </c>
      <c r="J2378" s="2" t="str">
        <f>IFERROR(__xludf.DUMMYFUNCTION("""COMPUTED_VALUE"""),"29o 13' 59""")</f>
        <v>29o 13' 59"</v>
      </c>
      <c r="K2378" s="2" t="str">
        <f>IFERROR(__xludf.DUMMYFUNCTION("""COMPUTED_VALUE"""),"82o 20' 00""")</f>
        <v>82o 20' 00"</v>
      </c>
      <c r="L2378" s="2" t="str">
        <f>IFERROR(__xludf.DUMMYFUNCTION("""COMPUTED_VALUE"""),"82o 26' 59""")</f>
        <v>82o 26' 59"</v>
      </c>
      <c r="M2378" s="2" t="str">
        <f>IFERROR(__xludf.DUMMYFUNCTION("""COMPUTED_VALUE"""),"Gothichaur,Patarasi (Jumla)")</f>
        <v>Gothichaur,Patarasi (Jumla)</v>
      </c>
    </row>
    <row r="2379">
      <c r="A2379" s="2">
        <f>IFERROR(__xludf.DUMMYFUNCTION("""COMPUTED_VALUE"""),2378.0)</f>
        <v>2378</v>
      </c>
      <c r="B2379" s="2" t="str">
        <f>IFERROR(__xludf.DUMMYFUNCTION("""COMPUTED_VALUE"""),"Supreme Kabeli Khola Hydropower Project")</f>
        <v>Supreme Kabeli Khola Hydropower Project</v>
      </c>
      <c r="C2379" s="2">
        <f>IFERROR(__xludf.DUMMYFUNCTION("""COMPUTED_VALUE"""),4.85)</f>
        <v>4.85</v>
      </c>
      <c r="D2379" s="2" t="str">
        <f>IFERROR(__xludf.DUMMYFUNCTION("""COMPUTED_VALUE"""),"Kabeli Khola")</f>
        <v>Kabeli Khola</v>
      </c>
      <c r="E2379" s="2">
        <f>IFERROR(__xludf.DUMMYFUNCTION("""COMPUTED_VALUE"""),563.0)</f>
        <v>563</v>
      </c>
      <c r="F2379" s="3">
        <f>IFERROR(__xludf.DUMMYFUNCTION("""COMPUTED_VALUE"""),66223.0)</f>
        <v>66223</v>
      </c>
      <c r="G2379" s="2" t="str">
        <f>IFERROR(__xludf.DUMMYFUNCTION("""COMPUTED_VALUE"""),"Best Hydropower Company Private Limited")</f>
        <v>Best Hydropower Company Private Limited</v>
      </c>
      <c r="H2379" s="2" t="str">
        <f>IFERROR(__xludf.DUMMYFUNCTION("""COMPUTED_VALUE"""),"KMC - 32, Koteshwor, 9851215578")</f>
        <v>KMC - 32, Koteshwor, 9851215578</v>
      </c>
      <c r="I2379" s="2" t="str">
        <f>IFERROR(__xludf.DUMMYFUNCTION("""COMPUTED_VALUE"""),"27o 27' 00""")</f>
        <v>27o 27' 00"</v>
      </c>
      <c r="J2379" s="2" t="str">
        <f>IFERROR(__xludf.DUMMYFUNCTION("""COMPUTED_VALUE"""),"27o 28' 30""")</f>
        <v>27o 28' 30"</v>
      </c>
      <c r="K2379" s="2" t="str">
        <f>IFERROR(__xludf.DUMMYFUNCTION("""COMPUTED_VALUE"""),"87o 55' 40""")</f>
        <v>87o 55' 40"</v>
      </c>
      <c r="L2379" s="2" t="str">
        <f>IFERROR(__xludf.DUMMYFUNCTION("""COMPUTED_VALUE"""),"87o 57' 45""")</f>
        <v>87o 57' 45"</v>
      </c>
      <c r="M2379" s="2" t="str">
        <f>IFERROR(__xludf.DUMMYFUNCTION("""COMPUTED_VALUE"""),"Khewang (Taplejung)")</f>
        <v>Khewang (Taplejung)</v>
      </c>
    </row>
    <row r="2380">
      <c r="A2380" s="2">
        <f>IFERROR(__xludf.DUMMYFUNCTION("""COMPUTED_VALUE"""),2379.0)</f>
        <v>2379</v>
      </c>
      <c r="B2380" s="2" t="str">
        <f>IFERROR(__xludf.DUMMYFUNCTION("""COMPUTED_VALUE"""),"Yanwa Khola Hydroelectric Project")</f>
        <v>Yanwa Khola Hydroelectric Project</v>
      </c>
      <c r="C2380" s="2">
        <f>IFERROR(__xludf.DUMMYFUNCTION("""COMPUTED_VALUE"""),4.99)</f>
        <v>4.99</v>
      </c>
      <c r="D2380" s="2" t="str">
        <f>IFERROR(__xludf.DUMMYFUNCTION("""COMPUTED_VALUE"""),"Yanwa Khola")</f>
        <v>Yanwa Khola</v>
      </c>
      <c r="E2380" s="2">
        <f>IFERROR(__xludf.DUMMYFUNCTION("""COMPUTED_VALUE"""),642.0)</f>
        <v>642</v>
      </c>
      <c r="F2380" s="3">
        <f>IFERROR(__xludf.DUMMYFUNCTION("""COMPUTED_VALUE"""),66226.0)</f>
        <v>66226</v>
      </c>
      <c r="G2380" s="2" t="str">
        <f>IFERROR(__xludf.DUMMYFUNCTION("""COMPUTED_VALUE"""),"Wonders Hydro Private Limited")</f>
        <v>Wonders Hydro Private Limited</v>
      </c>
      <c r="H2380" s="2" t="str">
        <f>IFERROR(__xludf.DUMMYFUNCTION("""COMPUTED_VALUE"""),"KMC-5, Hadigaun, Kathmandu")</f>
        <v>KMC-5, Hadigaun, Kathmandu</v>
      </c>
      <c r="I2380" s="2" t="str">
        <f>IFERROR(__xludf.DUMMYFUNCTION("""COMPUTED_VALUE"""),"27o 29' 17""")</f>
        <v>27o 29' 17"</v>
      </c>
      <c r="J2380" s="2" t="str">
        <f>IFERROR(__xludf.DUMMYFUNCTION("""COMPUTED_VALUE"""),"27o 30' 29""")</f>
        <v>27o 30' 29"</v>
      </c>
      <c r="K2380" s="2" t="str">
        <f>IFERROR(__xludf.DUMMYFUNCTION("""COMPUTED_VALUE"""),"87o 32' 57""")</f>
        <v>87o 32' 57"</v>
      </c>
      <c r="L2380" s="2" t="str">
        <f>IFERROR(__xludf.DUMMYFUNCTION("""COMPUTED_VALUE"""),"87o 34' 49""")</f>
        <v>87o 34' 49"</v>
      </c>
      <c r="M2380" s="2"/>
    </row>
    <row r="2381">
      <c r="A2381" s="2">
        <f>IFERROR(__xludf.DUMMYFUNCTION("""COMPUTED_VALUE"""),2380.0)</f>
        <v>2380</v>
      </c>
      <c r="B2381" s="2" t="str">
        <f>IFERROR(__xludf.DUMMYFUNCTION("""COMPUTED_VALUE"""),"Maiwa Khola Hydropower Project")</f>
        <v>Maiwa Khola Hydropower Project</v>
      </c>
      <c r="C2381" s="2">
        <f>IFERROR(__xludf.DUMMYFUNCTION("""COMPUTED_VALUE"""),12.504)</f>
        <v>12.504</v>
      </c>
      <c r="D2381" s="2" t="str">
        <f>IFERROR(__xludf.DUMMYFUNCTION("""COMPUTED_VALUE"""),"Maiwa khola")</f>
        <v>Maiwa khola</v>
      </c>
      <c r="E2381" s="2">
        <f>IFERROR(__xludf.DUMMYFUNCTION("""COMPUTED_VALUE"""),743.0)</f>
        <v>743</v>
      </c>
      <c r="F2381" s="3">
        <f>IFERROR(__xludf.DUMMYFUNCTION("""COMPUTED_VALUE"""),66230.0)</f>
        <v>66230</v>
      </c>
      <c r="G2381" s="2" t="str">
        <f>IFERROR(__xludf.DUMMYFUNCTION("""COMPUTED_VALUE"""),"Mount Kailash Energy Company Limited")</f>
        <v>Mount Kailash Energy Company Limited</v>
      </c>
      <c r="H2381" s="2" t="str">
        <f>IFERROR(__xludf.DUMMYFUNCTION("""COMPUTED_VALUE"""),"KMC-15, Sanobharyang, Kathmandu")</f>
        <v>KMC-15, Sanobharyang, Kathmandu</v>
      </c>
      <c r="I2381" s="2" t="str">
        <f>IFERROR(__xludf.DUMMYFUNCTION("""COMPUTED_VALUE"""),"27o 21' 00""")</f>
        <v>27o 21' 00"</v>
      </c>
      <c r="J2381" s="2" t="str">
        <f>IFERROR(__xludf.DUMMYFUNCTION("""COMPUTED_VALUE"""),"27o 22' 37""")</f>
        <v>27o 22' 37"</v>
      </c>
      <c r="K2381" s="2" t="str">
        <f>IFERROR(__xludf.DUMMYFUNCTION("""COMPUTED_VALUE"""),"87o 33' 58""")</f>
        <v>87o 33' 58"</v>
      </c>
      <c r="L2381" s="2" t="str">
        <f>IFERROR(__xludf.DUMMYFUNCTION("""COMPUTED_VALUE"""),"87o 37' 37""")</f>
        <v>87o 37' 37"</v>
      </c>
      <c r="M2381" s="2"/>
    </row>
    <row r="2382">
      <c r="A2382" s="2">
        <f>IFERROR(__xludf.DUMMYFUNCTION("""COMPUTED_VALUE"""),2381.0)</f>
        <v>2381</v>
      </c>
      <c r="B2382" s="2" t="str">
        <f>IFERROR(__xludf.DUMMYFUNCTION("""COMPUTED_VALUE"""),"Mathillo Yaru Khola PRoR Hydropower Project")</f>
        <v>Mathillo Yaru Khola PRoR Hydropower Project</v>
      </c>
      <c r="C2382" s="2">
        <f>IFERROR(__xludf.DUMMYFUNCTION("""COMPUTED_VALUE"""),13.0)</f>
        <v>13</v>
      </c>
      <c r="D2382" s="2" t="str">
        <f>IFERROR(__xludf.DUMMYFUNCTION("""COMPUTED_VALUE"""),"Yaru khola")</f>
        <v>Yaru khola</v>
      </c>
      <c r="E2382" s="2">
        <f>IFERROR(__xludf.DUMMYFUNCTION("""COMPUTED_VALUE"""),876.0)</f>
        <v>876</v>
      </c>
      <c r="F2382" s="3">
        <f>IFERROR(__xludf.DUMMYFUNCTION("""COMPUTED_VALUE"""),66236.0)</f>
        <v>66236</v>
      </c>
      <c r="G2382" s="2" t="str">
        <f>IFERROR(__xludf.DUMMYFUNCTION("""COMPUTED_VALUE"""),"Pelton Hydro Energy Private Limited")</f>
        <v>Pelton Hydro Energy Private Limited</v>
      </c>
      <c r="H2382" s="2" t="str">
        <f>IFERROR(__xludf.DUMMYFUNCTION("""COMPUTED_VALUE"""),"Lazimpat, KMC-2, 01-6911637")</f>
        <v>Lazimpat, KMC-2, 01-6911637</v>
      </c>
      <c r="I2382" s="2" t="str">
        <f>IFERROR(__xludf.DUMMYFUNCTION("""COMPUTED_VALUE"""),"28o 19' 29""")</f>
        <v>28o 19' 29"</v>
      </c>
      <c r="J2382" s="2" t="str">
        <f>IFERROR(__xludf.DUMMYFUNCTION("""COMPUTED_VALUE"""),"28o 20' 52""")</f>
        <v>28o 20' 52"</v>
      </c>
      <c r="K2382" s="2" t="str">
        <f>IFERROR(__xludf.DUMMYFUNCTION("""COMPUTED_VALUE"""),"84o 57' 00""")</f>
        <v>84o 57' 00"</v>
      </c>
      <c r="L2382" s="2" t="str">
        <f>IFERROR(__xludf.DUMMYFUNCTION("""COMPUTED_VALUE"""),"84o 58' 52""")</f>
        <v>84o 58' 52"</v>
      </c>
      <c r="M2382" s="2" t="str">
        <f>IFERROR(__xludf.DUMMYFUNCTION("""COMPUTED_VALUE"""),"Kerauja (Gorkha)")</f>
        <v>Kerauja (Gorkha)</v>
      </c>
    </row>
    <row r="2383">
      <c r="A2383" s="2">
        <f>IFERROR(__xludf.DUMMYFUNCTION("""COMPUTED_VALUE"""),2382.0)</f>
        <v>2382</v>
      </c>
      <c r="B2383" s="2" t="str">
        <f>IFERROR(__xludf.DUMMYFUNCTION("""COMPUTED_VALUE"""),"Lower Bajhang Seti Hydropower Project")</f>
        <v>Lower Bajhang Seti Hydropower Project</v>
      </c>
      <c r="C2383" s="2">
        <f>IFERROR(__xludf.DUMMYFUNCTION("""COMPUTED_VALUE"""),4.5)</f>
        <v>4.5</v>
      </c>
      <c r="D2383" s="2" t="str">
        <f>IFERROR(__xludf.DUMMYFUNCTION("""COMPUTED_VALUE"""),"Seti Nadi")</f>
        <v>Seti Nadi</v>
      </c>
      <c r="E2383" s="2">
        <f>IFERROR(__xludf.DUMMYFUNCTION("""COMPUTED_VALUE"""),913.0)</f>
        <v>913</v>
      </c>
      <c r="F2383" s="3">
        <f>IFERROR(__xludf.DUMMYFUNCTION("""COMPUTED_VALUE"""),66237.0)</f>
        <v>66237</v>
      </c>
      <c r="G2383" s="2" t="str">
        <f>IFERROR(__xludf.DUMMYFUNCTION("""COMPUTED_VALUE"""),"Front Power Private Limited")</f>
        <v>Front Power Private Limited</v>
      </c>
      <c r="H2383" s="2" t="str">
        <f>IFERROR(__xludf.DUMMYFUNCTION("""COMPUTED_VALUE"""),"KMC-10, Kathmandu")</f>
        <v>KMC-10, Kathmandu</v>
      </c>
      <c r="I2383" s="2" t="str">
        <f>IFERROR(__xludf.DUMMYFUNCTION("""COMPUTED_VALUE"""),"29o 44' 05""")</f>
        <v>29o 44' 05"</v>
      </c>
      <c r="J2383" s="2" t="str">
        <f>IFERROR(__xludf.DUMMYFUNCTION("""COMPUTED_VALUE"""),"29o 44' 50""")</f>
        <v>29o 44' 50"</v>
      </c>
      <c r="K2383" s="2" t="str">
        <f>IFERROR(__xludf.DUMMYFUNCTION("""COMPUTED_VALUE"""),"81o 17' 06""")</f>
        <v>81o 17' 06"</v>
      </c>
      <c r="L2383" s="2" t="str">
        <f>IFERROR(__xludf.DUMMYFUNCTION("""COMPUTED_VALUE"""),"81o 18' 45""")</f>
        <v>81o 18' 45"</v>
      </c>
      <c r="M2383" s="2" t="str">
        <f>IFERROR(__xludf.DUMMYFUNCTION("""COMPUTED_VALUE"""),"Kanda,Dhamena (Bajhang)")</f>
        <v>Kanda,Dhamena (Bajhang)</v>
      </c>
    </row>
    <row r="2384">
      <c r="A2384" s="2">
        <f>IFERROR(__xludf.DUMMYFUNCTION("""COMPUTED_VALUE"""),2383.0)</f>
        <v>2383</v>
      </c>
      <c r="B2384" s="2" t="str">
        <f>IFERROR(__xludf.DUMMYFUNCTION("""COMPUTED_VALUE"""),"Alle Khola Hydropower Project")</f>
        <v>Alle Khola Hydropower Project</v>
      </c>
      <c r="C2384" s="2">
        <f>IFERROR(__xludf.DUMMYFUNCTION("""COMPUTED_VALUE"""),4.5)</f>
        <v>4.5</v>
      </c>
      <c r="D2384" s="2" t="str">
        <f>IFERROR(__xludf.DUMMYFUNCTION("""COMPUTED_VALUE"""),"Alle khola and Hathar Khola")</f>
        <v>Alle khola and Hathar Khola</v>
      </c>
      <c r="E2384" s="2">
        <f>IFERROR(__xludf.DUMMYFUNCTION("""COMPUTED_VALUE"""),918.0)</f>
        <v>918</v>
      </c>
      <c r="F2384" s="3">
        <f>IFERROR(__xludf.DUMMYFUNCTION("""COMPUTED_VALUE"""),66237.0)</f>
        <v>66237</v>
      </c>
      <c r="G2384" s="2" t="str">
        <f>IFERROR(__xludf.DUMMYFUNCTION("""COMPUTED_VALUE"""),"Bi.Pra.Bi. Energy Provate Limited")</f>
        <v>Bi.Pra.Bi. Energy Provate Limited</v>
      </c>
      <c r="H2384" s="2" t="str">
        <f>IFERROR(__xludf.DUMMYFUNCTION("""COMPUTED_VALUE"""),"Kathmandu, Nepal")</f>
        <v>Kathmandu, Nepal</v>
      </c>
      <c r="I2384" s="2" t="str">
        <f>IFERROR(__xludf.DUMMYFUNCTION("""COMPUTED_VALUE"""),"28o 54' 00""")</f>
        <v>28o 54' 00"</v>
      </c>
      <c r="J2384" s="2" t="str">
        <f>IFERROR(__xludf.DUMMYFUNCTION("""COMPUTED_VALUE"""),"28o 59' 22""")</f>
        <v>28o 59' 22"</v>
      </c>
      <c r="K2384" s="2" t="str">
        <f>IFERROR(__xludf.DUMMYFUNCTION("""COMPUTED_VALUE"""),"82o 35' 00""")</f>
        <v>82o 35' 00"</v>
      </c>
      <c r="L2384" s="2" t="str">
        <f>IFERROR(__xludf.DUMMYFUNCTION("""COMPUTED_VALUE"""),"82o 42' 00""")</f>
        <v>82o 42' 00"</v>
      </c>
      <c r="M2384" s="2" t="str">
        <f>IFERROR(__xludf.DUMMYFUNCTION("""COMPUTED_VALUE"""),"Gautamkot (Rukum)")</f>
        <v>Gautamkot (Rukum)</v>
      </c>
    </row>
    <row r="2385">
      <c r="A2385" s="2">
        <f>IFERROR(__xludf.DUMMYFUNCTION("""COMPUTED_VALUE"""),2384.0)</f>
        <v>2384</v>
      </c>
      <c r="B2385" s="2" t="str">
        <f>IFERROR(__xludf.DUMMYFUNCTION("""COMPUTED_VALUE"""),"Upper Larcha Khola Hydropower Project")</f>
        <v>Upper Larcha Khola Hydropower Project</v>
      </c>
      <c r="C2385" s="2">
        <f>IFERROR(__xludf.DUMMYFUNCTION("""COMPUTED_VALUE"""),3.7)</f>
        <v>3.7</v>
      </c>
      <c r="D2385" s="2" t="str">
        <f>IFERROR(__xludf.DUMMYFUNCTION("""COMPUTED_VALUE"""),"Bhairab Kunda Khola")</f>
        <v>Bhairab Kunda Khola</v>
      </c>
      <c r="E2385" s="2">
        <f>IFERROR(__xludf.DUMMYFUNCTION("""COMPUTED_VALUE"""),930.0)</f>
        <v>930</v>
      </c>
      <c r="F2385" s="3">
        <f>IFERROR(__xludf.DUMMYFUNCTION("""COMPUTED_VALUE"""),66238.0)</f>
        <v>66238</v>
      </c>
      <c r="G2385" s="2" t="str">
        <f>IFERROR(__xludf.DUMMYFUNCTION("""COMPUTED_VALUE"""),"Bright Power Company Private Limited")</f>
        <v>Bright Power Company Private Limited</v>
      </c>
      <c r="H2385" s="2" t="str">
        <f>IFERROR(__xludf.DUMMYFUNCTION("""COMPUTED_VALUE"""),"Kathmandu")</f>
        <v>Kathmandu</v>
      </c>
      <c r="I2385" s="2" t="str">
        <f>IFERROR(__xludf.DUMMYFUNCTION("""COMPUTED_VALUE"""),"27o 56' 18""")</f>
        <v>27o 56' 18"</v>
      </c>
      <c r="J2385" s="2" t="str">
        <f>IFERROR(__xludf.DUMMYFUNCTION("""COMPUTED_VALUE"""),"27o 57' 13""")</f>
        <v>27o 57' 13"</v>
      </c>
      <c r="K2385" s="2" t="str">
        <f>IFERROR(__xludf.DUMMYFUNCTION("""COMPUTED_VALUE"""),"85o 54' 52""")</f>
        <v>85o 54' 52"</v>
      </c>
      <c r="L2385" s="2" t="str">
        <f>IFERROR(__xludf.DUMMYFUNCTION("""COMPUTED_VALUE"""),"85o 55' 53""")</f>
        <v>85o 55' 53"</v>
      </c>
      <c r="M2385" s="2" t="str">
        <f>IFERROR(__xludf.DUMMYFUNCTION("""COMPUTED_VALUE"""),"Tatopani (Sindhupalchok)")</f>
        <v>Tatopani (Sindhupalchok)</v>
      </c>
    </row>
    <row r="2386">
      <c r="A2386" s="2">
        <f>IFERROR(__xludf.DUMMYFUNCTION("""COMPUTED_VALUE"""),2385.0)</f>
        <v>2385</v>
      </c>
      <c r="B2386" s="2" t="str">
        <f>IFERROR(__xludf.DUMMYFUNCTION("""COMPUTED_VALUE"""),"Juliodar Khola Hydropower Project")</f>
        <v>Juliodar Khola Hydropower Project</v>
      </c>
      <c r="C2386" s="2">
        <f>IFERROR(__xludf.DUMMYFUNCTION("""COMPUTED_VALUE"""),5.0)</f>
        <v>5</v>
      </c>
      <c r="D2386" s="2" t="str">
        <f>IFERROR(__xludf.DUMMYFUNCTION("""COMPUTED_VALUE"""),"Juliodar Khola")</f>
        <v>Juliodar Khola</v>
      </c>
      <c r="E2386" s="2">
        <f>IFERROR(__xludf.DUMMYFUNCTION("""COMPUTED_VALUE"""),938.0)</f>
        <v>938</v>
      </c>
      <c r="F2386" s="3">
        <f>IFERROR(__xludf.DUMMYFUNCTION("""COMPUTED_VALUE"""),66238.0)</f>
        <v>66238</v>
      </c>
      <c r="G2386" s="2" t="str">
        <f>IFERROR(__xludf.DUMMYFUNCTION("""COMPUTED_VALUE"""),"Smart Hydro Private Limited")</f>
        <v>Smart Hydro Private Limited</v>
      </c>
      <c r="H2386" s="2" t="str">
        <f>IFERROR(__xludf.DUMMYFUNCTION("""COMPUTED_VALUE"""),"Jwagal, Lalitpur - 10, Tel: 9862296252")</f>
        <v>Jwagal, Lalitpur - 10, Tel: 9862296252</v>
      </c>
      <c r="I2386" s="2" t="str">
        <f>IFERROR(__xludf.DUMMYFUNCTION("""COMPUTED_VALUE"""),"29o 11' 37""")</f>
        <v>29o 11' 37"</v>
      </c>
      <c r="J2386" s="2" t="str">
        <f>IFERROR(__xludf.DUMMYFUNCTION("""COMPUTED_VALUE"""),"29o 13' 48""")</f>
        <v>29o 13' 48"</v>
      </c>
      <c r="K2386" s="2" t="str">
        <f>IFERROR(__xludf.DUMMYFUNCTION("""COMPUTED_VALUE"""),"82o 20' 00""")</f>
        <v>82o 20' 00"</v>
      </c>
      <c r="L2386" s="2" t="str">
        <f>IFERROR(__xludf.DUMMYFUNCTION("""COMPUTED_VALUE"""),"82o 25' 54""")</f>
        <v>82o 25' 54"</v>
      </c>
      <c r="M2386" s="2" t="str">
        <f>IFERROR(__xludf.DUMMYFUNCTION("""COMPUTED_VALUE"""),"Gothichaur,Patarasi (Jumla)")</f>
        <v>Gothichaur,Patarasi (Jumla)</v>
      </c>
    </row>
    <row r="2387">
      <c r="A2387" s="2">
        <f>IFERROR(__xludf.DUMMYFUNCTION("""COMPUTED_VALUE"""),2386.0)</f>
        <v>2386</v>
      </c>
      <c r="B2387" s="2" t="str">
        <f>IFERROR(__xludf.DUMMYFUNCTION("""COMPUTED_VALUE"""),"Dudhkoshi - 9 Hydropower Project")</f>
        <v>Dudhkoshi - 9 Hydropower Project</v>
      </c>
      <c r="C2387" s="2">
        <f>IFERROR(__xludf.DUMMYFUNCTION("""COMPUTED_VALUE"""),166.0)</f>
        <v>166</v>
      </c>
      <c r="D2387" s="2" t="str">
        <f>IFERROR(__xludf.DUMMYFUNCTION("""COMPUTED_VALUE"""),"Dudh Koshi")</f>
        <v>Dudh Koshi</v>
      </c>
      <c r="E2387" s="2">
        <f>IFERROR(__xludf.DUMMYFUNCTION("""COMPUTED_VALUE"""),1423.0)</f>
        <v>1423</v>
      </c>
      <c r="F2387" s="3">
        <f>IFERROR(__xludf.DUMMYFUNCTION("""COMPUTED_VALUE"""),66255.0)</f>
        <v>66255</v>
      </c>
      <c r="G2387" s="2" t="str">
        <f>IFERROR(__xludf.DUMMYFUNCTION("""COMPUTED_VALUE"""),"Dudhkoshi Power Company Private Limited")</f>
        <v>Dudhkoshi Power Company Private Limited</v>
      </c>
      <c r="H2387" s="2" t="str">
        <f>IFERROR(__xludf.DUMMYFUNCTION("""COMPUTED_VALUE"""),"Krishnagalli - 3, Lalitpur")</f>
        <v>Krishnagalli - 3, Lalitpur</v>
      </c>
      <c r="I2387" s="2" t="str">
        <f>IFERROR(__xludf.DUMMYFUNCTION("""COMPUTED_VALUE"""),"27o 41' 56""")</f>
        <v>27o 41' 56"</v>
      </c>
      <c r="J2387" s="2" t="str">
        <f>IFERROR(__xludf.DUMMYFUNCTION("""COMPUTED_VALUE"""),"27o 46' 30""")</f>
        <v>27o 46' 30"</v>
      </c>
      <c r="K2387" s="2" t="str">
        <f>IFERROR(__xludf.DUMMYFUNCTION("""COMPUTED_VALUE"""),"86o 41' 54""")</f>
        <v>86o 41' 54"</v>
      </c>
      <c r="L2387" s="2" t="str">
        <f>IFERROR(__xludf.DUMMYFUNCTION("""COMPUTED_VALUE"""),"86o 44' 00""")</f>
        <v>86o 44' 00"</v>
      </c>
      <c r="M2387" s="2" t="str">
        <f>IFERROR(__xludf.DUMMYFUNCTION("""COMPUTED_VALUE"""),"Chaulakharka(Waula) (Solukhumbu)")</f>
        <v>Chaulakharka(Waula) (Solukhumbu)</v>
      </c>
    </row>
    <row r="2388">
      <c r="A2388" s="2">
        <f>IFERROR(__xludf.DUMMYFUNCTION("""COMPUTED_VALUE"""),2387.0)</f>
        <v>2387</v>
      </c>
      <c r="B2388" s="2" t="str">
        <f>IFERROR(__xludf.DUMMYFUNCTION("""COMPUTED_VALUE"""),"Suligad PRoR Hydropower Project")</f>
        <v>Suligad PRoR Hydropower Project</v>
      </c>
      <c r="C2388" s="2">
        <f>IFERROR(__xludf.DUMMYFUNCTION("""COMPUTED_VALUE"""),5.0)</f>
        <v>5</v>
      </c>
      <c r="D2388" s="2" t="str">
        <f>IFERROR(__xludf.DUMMYFUNCTION("""COMPUTED_VALUE"""),"Suligad")</f>
        <v>Suligad</v>
      </c>
      <c r="E2388" s="2">
        <f>IFERROR(__xludf.DUMMYFUNCTION("""COMPUTED_VALUE"""),1576.0)</f>
        <v>1576</v>
      </c>
      <c r="F2388" s="3">
        <f>IFERROR(__xludf.DUMMYFUNCTION("""COMPUTED_VALUE"""),66261.0)</f>
        <v>66261</v>
      </c>
      <c r="G2388" s="2" t="str">
        <f>IFERROR(__xludf.DUMMYFUNCTION("""COMPUTED_VALUE"""),"Samriddhi Nilgiri Bijuli Udhyog Private Limited")</f>
        <v>Samriddhi Nilgiri Bijuli Udhyog Private Limited</v>
      </c>
      <c r="H2388" s="2" t="str">
        <f>IFERROR(__xludf.DUMMYFUNCTION("""COMPUTED_VALUE"""),"Budhanilkantha - 3, Kathmandu")</f>
        <v>Budhanilkantha - 3, Kathmandu</v>
      </c>
      <c r="I2388" s="2" t="str">
        <f>IFERROR(__xludf.DUMMYFUNCTION("""COMPUTED_VALUE"""),"28o 58' 15""")</f>
        <v>28o 58' 15"</v>
      </c>
      <c r="J2388" s="2" t="str">
        <f>IFERROR(__xludf.DUMMYFUNCTION("""COMPUTED_VALUE"""),"29o 02' 26""")</f>
        <v>29o 02' 26"</v>
      </c>
      <c r="K2388" s="2" t="str">
        <f>IFERROR(__xludf.DUMMYFUNCTION("""COMPUTED_VALUE"""),"82o 52' 25""")</f>
        <v>82o 52' 25"</v>
      </c>
      <c r="L2388" s="2" t="str">
        <f>IFERROR(__xludf.DUMMYFUNCTION("""COMPUTED_VALUE"""),"82o 55' 00""")</f>
        <v>82o 55' 00"</v>
      </c>
      <c r="M2388" s="2"/>
    </row>
    <row r="2389">
      <c r="A2389" s="2">
        <f>IFERROR(__xludf.DUMMYFUNCTION("""COMPUTED_VALUE"""),2388.0)</f>
        <v>2388</v>
      </c>
      <c r="B2389" s="2" t="str">
        <f>IFERROR(__xludf.DUMMYFUNCTION("""COMPUTED_VALUE"""),"Sadhu Khola Hydropower Project")</f>
        <v>Sadhu Khola Hydropower Project</v>
      </c>
      <c r="C2389" s="2">
        <f>IFERROR(__xludf.DUMMYFUNCTION("""COMPUTED_VALUE"""),8.3)</f>
        <v>8.3</v>
      </c>
      <c r="D2389" s="2" t="str">
        <f>IFERROR(__xludf.DUMMYFUNCTION("""COMPUTED_VALUE"""),"Sadhu Khola")</f>
        <v>Sadhu Khola</v>
      </c>
      <c r="E2389" s="2">
        <f>IFERROR(__xludf.DUMMYFUNCTION("""COMPUTED_VALUE"""),1595.0)</f>
        <v>1595</v>
      </c>
      <c r="F2389" s="3">
        <f>IFERROR(__xludf.DUMMYFUNCTION("""COMPUTED_VALUE"""),66261.0)</f>
        <v>66261</v>
      </c>
      <c r="G2389" s="2" t="str">
        <f>IFERROR(__xludf.DUMMYFUNCTION("""COMPUTED_VALUE"""),"Shuvankit Hydropower Private Limited")</f>
        <v>Shuvankit Hydropower Private Limited</v>
      </c>
      <c r="H2389" s="2" t="str">
        <f>IFERROR(__xludf.DUMMYFUNCTION("""COMPUTED_VALUE"""),"Pokhara Municipality-7, Mustangchowk, 01-5420254, 5907254")</f>
        <v>Pokhara Municipality-7, Mustangchowk, 01-5420254, 5907254</v>
      </c>
      <c r="I2389" s="2" t="str">
        <f>IFERROR(__xludf.DUMMYFUNCTION("""COMPUTED_VALUE"""),"28o 25' 57""")</f>
        <v>28o 25' 57"</v>
      </c>
      <c r="J2389" s="2" t="str">
        <f>IFERROR(__xludf.DUMMYFUNCTION("""COMPUTED_VALUE"""),"28o 26' 23""")</f>
        <v>28o 26' 23"</v>
      </c>
      <c r="K2389" s="2" t="str">
        <f>IFERROR(__xludf.DUMMYFUNCTION("""COMPUTED_VALUE"""),"83o 58' 37""")</f>
        <v>83o 58' 37"</v>
      </c>
      <c r="L2389" s="2" t="str">
        <f>IFERROR(__xludf.DUMMYFUNCTION("""COMPUTED_VALUE"""),"83o 59' 45""")</f>
        <v>83o 59' 45"</v>
      </c>
      <c r="M2389" s="2" t="str">
        <f>IFERROR(__xludf.DUMMYFUNCTION("""COMPUTED_VALUE"""),"Machhapuchchhre (Kaski)")</f>
        <v>Machhapuchchhre (Kaski)</v>
      </c>
    </row>
    <row r="2390">
      <c r="A2390" s="2">
        <f>IFERROR(__xludf.DUMMYFUNCTION("""COMPUTED_VALUE"""),2389.0)</f>
        <v>2389</v>
      </c>
      <c r="B2390" s="2" t="str">
        <f>IFERROR(__xludf.DUMMYFUNCTION("""COMPUTED_VALUE"""),"Suli Gad Hydropower Project")</f>
        <v>Suli Gad Hydropower Project</v>
      </c>
      <c r="C2390" s="2">
        <f>IFERROR(__xludf.DUMMYFUNCTION("""COMPUTED_VALUE"""),120.0)</f>
        <v>120</v>
      </c>
      <c r="D2390" s="2" t="str">
        <f>IFERROR(__xludf.DUMMYFUNCTION("""COMPUTED_VALUE"""),"Suli Gad")</f>
        <v>Suli Gad</v>
      </c>
      <c r="E2390" s="2">
        <f>IFERROR(__xludf.DUMMYFUNCTION("""COMPUTED_VALUE"""),1598.0)</f>
        <v>1598</v>
      </c>
      <c r="F2390" s="3">
        <f>IFERROR(__xludf.DUMMYFUNCTION("""COMPUTED_VALUE"""),66262.0)</f>
        <v>66262</v>
      </c>
      <c r="G2390" s="2" t="str">
        <f>IFERROR(__xludf.DUMMYFUNCTION("""COMPUTED_VALUE"""),"Sangrila Urja Limited")</f>
        <v>Sangrila Urja Limited</v>
      </c>
      <c r="H2390" s="2" t="str">
        <f>IFERROR(__xludf.DUMMYFUNCTION("""COMPUTED_VALUE"""),"KMC-29, KATHMANDU")</f>
        <v>KMC-29, KATHMANDU</v>
      </c>
      <c r="I2390" s="2" t="str">
        <f>IFERROR(__xludf.DUMMYFUNCTION("""COMPUTED_VALUE"""),"28o 58' 15""")</f>
        <v>28o 58' 15"</v>
      </c>
      <c r="J2390" s="2" t="str">
        <f>IFERROR(__xludf.DUMMYFUNCTION("""COMPUTED_VALUE"""),"29o 02' 26""")</f>
        <v>29o 02' 26"</v>
      </c>
      <c r="K2390" s="2" t="str">
        <f>IFERROR(__xludf.DUMMYFUNCTION("""COMPUTED_VALUE"""),"82o 52' 25""")</f>
        <v>82o 52' 25"</v>
      </c>
      <c r="L2390" s="2" t="str">
        <f>IFERROR(__xludf.DUMMYFUNCTION("""COMPUTED_VALUE"""),"82o 55' 00""")</f>
        <v>82o 55' 00"</v>
      </c>
      <c r="M2390" s="2" t="str">
        <f>IFERROR(__xludf.DUMMYFUNCTION("""COMPUTED_VALUE"""),"Raha,Tripurakot,Dunai (Dolpa)")</f>
        <v>Raha,Tripurakot,Dunai (Dolpa)</v>
      </c>
    </row>
    <row r="2391">
      <c r="A2391" s="2">
        <f>IFERROR(__xludf.DUMMYFUNCTION("""COMPUTED_VALUE"""),2390.0)</f>
        <v>2390</v>
      </c>
      <c r="B2391" s="2" t="str">
        <f>IFERROR(__xludf.DUMMYFUNCTION("""COMPUTED_VALUE"""),"Tarap Khola Hydropower Project")</f>
        <v>Tarap Khola Hydropower Project</v>
      </c>
      <c r="C2391" s="2">
        <f>IFERROR(__xludf.DUMMYFUNCTION("""COMPUTED_VALUE"""),80.0)</f>
        <v>80</v>
      </c>
      <c r="D2391" s="2" t="str">
        <f>IFERROR(__xludf.DUMMYFUNCTION("""COMPUTED_VALUE"""),"Tarap")</f>
        <v>Tarap</v>
      </c>
      <c r="E2391" s="2">
        <f>IFERROR(__xludf.DUMMYFUNCTION("""COMPUTED_VALUE"""),1607.0)</f>
        <v>1607</v>
      </c>
      <c r="F2391" s="3">
        <f>IFERROR(__xludf.DUMMYFUNCTION("""COMPUTED_VALUE"""),66262.0)</f>
        <v>66262</v>
      </c>
      <c r="G2391" s="2" t="str">
        <f>IFERROR(__xludf.DUMMYFUNCTION("""COMPUTED_VALUE"""),"Dynamic Hydro Energy Pvt. Ltd")</f>
        <v>Dynamic Hydro Energy Pvt. Ltd</v>
      </c>
      <c r="H2391" s="2" t="str">
        <f>IFERROR(__xludf.DUMMYFUNCTION("""COMPUTED_VALUE"""),"Kathmandu - 2, Lazimpat")</f>
        <v>Kathmandu - 2, Lazimpat</v>
      </c>
      <c r="I2391" s="2" t="str">
        <f>IFERROR(__xludf.DUMMYFUNCTION("""COMPUTED_VALUE"""),"28o 53' 39""")</f>
        <v>28o 53' 39"</v>
      </c>
      <c r="J2391" s="2" t="str">
        <f>IFERROR(__xludf.DUMMYFUNCTION("""COMPUTED_VALUE"""),"29o 00' 00""")</f>
        <v>29o 00' 00"</v>
      </c>
      <c r="K2391" s="2" t="str">
        <f>IFERROR(__xludf.DUMMYFUNCTION("""COMPUTED_VALUE"""),"83o 01' 49""")</f>
        <v>83o 01' 49"</v>
      </c>
      <c r="L2391" s="2" t="str">
        <f>IFERROR(__xludf.DUMMYFUNCTION("""COMPUTED_VALUE"""),"83o 05' 36""")</f>
        <v>83o 05' 36"</v>
      </c>
      <c r="M2391" s="2" t="str">
        <f>IFERROR(__xludf.DUMMYFUNCTION("""COMPUTED_VALUE"""),"Mukot,Lawan,Sahartara (Dolpa)")</f>
        <v>Mukot,Lawan,Sahartara (Dolpa)</v>
      </c>
    </row>
    <row r="2392">
      <c r="A2392" s="2">
        <f>IFERROR(__xludf.DUMMYFUNCTION("""COMPUTED_VALUE"""),2391.0)</f>
        <v>2391</v>
      </c>
      <c r="B2392" s="2" t="str">
        <f>IFERROR(__xludf.DUMMYFUNCTION("""COMPUTED_VALUE"""),"Juli Tila Hydropower Project")</f>
        <v>Juli Tila Hydropower Project</v>
      </c>
      <c r="C2392" s="2">
        <f>IFERROR(__xludf.DUMMYFUNCTION("""COMPUTED_VALUE"""),5.0)</f>
        <v>5</v>
      </c>
      <c r="D2392" s="2" t="str">
        <f>IFERROR(__xludf.DUMMYFUNCTION("""COMPUTED_VALUE"""),"Juli Odar Khola and Tila")</f>
        <v>Juli Odar Khola and Tila</v>
      </c>
      <c r="E2392" s="2">
        <f>IFERROR(__xludf.DUMMYFUNCTION("""COMPUTED_VALUE"""),1621.0)</f>
        <v>1621</v>
      </c>
      <c r="F2392" s="3">
        <f>IFERROR(__xludf.DUMMYFUNCTION("""COMPUTED_VALUE"""),66262.0)</f>
        <v>66262</v>
      </c>
      <c r="G2392" s="2" t="str">
        <f>IFERROR(__xludf.DUMMYFUNCTION("""COMPUTED_VALUE"""),"Galaxy Hydropower Private Limited")</f>
        <v>Galaxy Hydropower Private Limited</v>
      </c>
      <c r="H2392" s="2" t="str">
        <f>IFERROR(__xludf.DUMMYFUNCTION("""COMPUTED_VALUE"""),"Mahalaxmi Municipality - 9, Lalitpur")</f>
        <v>Mahalaxmi Municipality - 9, Lalitpur</v>
      </c>
      <c r="I2392" s="2" t="str">
        <f>IFERROR(__xludf.DUMMYFUNCTION("""COMPUTED_VALUE"""),"29o 13' 00""")</f>
        <v>29o 13' 00"</v>
      </c>
      <c r="J2392" s="2" t="str">
        <f>IFERROR(__xludf.DUMMYFUNCTION("""COMPUTED_VALUE"""),"29o 16' 30""")</f>
        <v>29o 16' 30"</v>
      </c>
      <c r="K2392" s="2" t="str">
        <f>IFERROR(__xludf.DUMMYFUNCTION("""COMPUTED_VALUE"""),"82o 13' 15""")</f>
        <v>82o 13' 15"</v>
      </c>
      <c r="L2392" s="2" t="str">
        <f>IFERROR(__xludf.DUMMYFUNCTION("""COMPUTED_VALUE"""),"82o 21' 30""")</f>
        <v>82o 21' 30"</v>
      </c>
      <c r="M2392" s="2"/>
    </row>
    <row r="2393">
      <c r="A2393" s="2">
        <f>IFERROR(__xludf.DUMMYFUNCTION("""COMPUTED_VALUE"""),2392.0)</f>
        <v>2392</v>
      </c>
      <c r="B2393" s="2" t="str">
        <f>IFERROR(__xludf.DUMMYFUNCTION("""COMPUTED_VALUE"""),"Lower Ranggad Hydropower Project")</f>
        <v>Lower Ranggad Hydropower Project</v>
      </c>
      <c r="C2393" s="2">
        <f>IFERROR(__xludf.DUMMYFUNCTION("""COMPUTED_VALUE"""),4.99)</f>
        <v>4.99</v>
      </c>
      <c r="D2393" s="2" t="str">
        <f>IFERROR(__xludf.DUMMYFUNCTION("""COMPUTED_VALUE"""),"Rang Gad")</f>
        <v>Rang Gad</v>
      </c>
      <c r="E2393" s="2">
        <f>IFERROR(__xludf.DUMMYFUNCTION("""COMPUTED_VALUE"""),1690.0)</f>
        <v>1690</v>
      </c>
      <c r="F2393" s="3">
        <f>IFERROR(__xludf.DUMMYFUNCTION("""COMPUTED_VALUE"""),66264.0)</f>
        <v>66264</v>
      </c>
      <c r="G2393" s="2" t="str">
        <f>IFERROR(__xludf.DUMMYFUNCTION("""COMPUTED_VALUE"""),"Venture Power Private Limited")</f>
        <v>Venture Power Private Limited</v>
      </c>
      <c r="H2393" s="2" t="str">
        <f>IFERROR(__xludf.DUMMYFUNCTION("""COMPUTED_VALUE"""),"Budhanilkantha - 10, Kathmandu")</f>
        <v>Budhanilkantha - 10, Kathmandu</v>
      </c>
      <c r="I2393" s="2" t="str">
        <f>IFERROR(__xludf.DUMMYFUNCTION("""COMPUTED_VALUE"""),"28o 56' 07""")</f>
        <v>28o 56' 07"</v>
      </c>
      <c r="J2393" s="2" t="str">
        <f>IFERROR(__xludf.DUMMYFUNCTION("""COMPUTED_VALUE"""),"28o 58' 10""")</f>
        <v>28o 58' 10"</v>
      </c>
      <c r="K2393" s="2" t="str">
        <f>IFERROR(__xludf.DUMMYFUNCTION("""COMPUTED_VALUE"""),"82o 18' 15""")</f>
        <v>82o 18' 15"</v>
      </c>
      <c r="L2393" s="2" t="str">
        <f>IFERROR(__xludf.DUMMYFUNCTION("""COMPUTED_VALUE"""),"82o 20' 11""")</f>
        <v>82o 20' 11"</v>
      </c>
      <c r="M2393" s="2"/>
    </row>
    <row r="2394">
      <c r="A2394" s="2">
        <f>IFERROR(__xludf.DUMMYFUNCTION("""COMPUTED_VALUE"""),2393.0)</f>
        <v>2393</v>
      </c>
      <c r="B2394" s="2" t="str">
        <f>IFERROR(__xludf.DUMMYFUNCTION("""COMPUTED_VALUE"""),"Tarap Khola Hydropower Project")</f>
        <v>Tarap Khola Hydropower Project</v>
      </c>
      <c r="C2394" s="2">
        <f>IFERROR(__xludf.DUMMYFUNCTION("""COMPUTED_VALUE"""),72.0)</f>
        <v>72</v>
      </c>
      <c r="D2394" s="2" t="str">
        <f>IFERROR(__xludf.DUMMYFUNCTION("""COMPUTED_VALUE"""),"Tarap")</f>
        <v>Tarap</v>
      </c>
      <c r="E2394" s="2">
        <f>IFERROR(__xludf.DUMMYFUNCTION("""COMPUTED_VALUE"""),1723.0)</f>
        <v>1723</v>
      </c>
      <c r="F2394" s="3">
        <f>IFERROR(__xludf.DUMMYFUNCTION("""COMPUTED_VALUE"""),66266.0)</f>
        <v>66266</v>
      </c>
      <c r="G2394" s="2" t="str">
        <f>IFERROR(__xludf.DUMMYFUNCTION("""COMPUTED_VALUE"""),"Vision Energy &amp; Power Limited")</f>
        <v>Vision Energy &amp; Power Limited</v>
      </c>
      <c r="H2394" s="2" t="str">
        <f>IFERROR(__xludf.DUMMYFUNCTION("""COMPUTED_VALUE"""),"New Baneshwor, Kathmandu")</f>
        <v>New Baneshwor, Kathmandu</v>
      </c>
      <c r="I2394" s="2" t="str">
        <f>IFERROR(__xludf.DUMMYFUNCTION("""COMPUTED_VALUE"""),"28o 53' 38""")</f>
        <v>28o 53' 38"</v>
      </c>
      <c r="J2394" s="2" t="str">
        <f>IFERROR(__xludf.DUMMYFUNCTION("""COMPUTED_VALUE"""),"28o 57' 00""")</f>
        <v>28o 57' 00"</v>
      </c>
      <c r="K2394" s="2" t="str">
        <f>IFERROR(__xludf.DUMMYFUNCTION("""COMPUTED_VALUE"""),"83o 00' 56""")</f>
        <v>83o 00' 56"</v>
      </c>
      <c r="L2394" s="2" t="str">
        <f>IFERROR(__xludf.DUMMYFUNCTION("""COMPUTED_VALUE"""),"83o 04' 25""")</f>
        <v>83o 04' 25"</v>
      </c>
      <c r="M2394" s="2"/>
    </row>
    <row r="2395">
      <c r="A2395" s="2">
        <f>IFERROR(__xludf.DUMMYFUNCTION("""COMPUTED_VALUE"""),2394.0)</f>
        <v>2394</v>
      </c>
      <c r="B2395" s="2" t="str">
        <f>IFERROR(__xludf.DUMMYFUNCTION("""COMPUTED_VALUE"""),"Chhimdi - Kawadi Khola Hydroelectric Project")</f>
        <v>Chhimdi - Kawadi Khola Hydroelectric Project</v>
      </c>
      <c r="C2395" s="2">
        <f>IFERROR(__xludf.DUMMYFUNCTION("""COMPUTED_VALUE"""),54.0)</f>
        <v>54</v>
      </c>
      <c r="D2395" s="2" t="str">
        <f>IFERROR(__xludf.DUMMYFUNCTION("""COMPUTED_VALUE"""),"Chhimdi Khola &amp; Kawadi Khola")</f>
        <v>Chhimdi Khola &amp; Kawadi Khola</v>
      </c>
      <c r="E2395" s="2">
        <f>IFERROR(__xludf.DUMMYFUNCTION("""COMPUTED_VALUE"""),1753.0)</f>
        <v>1753</v>
      </c>
      <c r="F2395" s="3">
        <f>IFERROR(__xludf.DUMMYFUNCTION("""COMPUTED_VALUE"""),66268.0)</f>
        <v>66268</v>
      </c>
      <c r="G2395" s="2" t="str">
        <f>IFERROR(__xludf.DUMMYFUNCTION("""COMPUTED_VALUE"""),"Sangrila Urja Limited")</f>
        <v>Sangrila Urja Limited</v>
      </c>
      <c r="H2395" s="2" t="str">
        <f>IFERROR(__xludf.DUMMYFUNCTION("""COMPUTED_VALUE"""),"KMC-29, Kathmandu")</f>
        <v>KMC-29, Kathmandu</v>
      </c>
      <c r="I2395" s="2" t="str">
        <f>IFERROR(__xludf.DUMMYFUNCTION("""COMPUTED_VALUE"""),"29o 47' 43""")</f>
        <v>29o 47' 43"</v>
      </c>
      <c r="J2395" s="2" t="str">
        <f>IFERROR(__xludf.DUMMYFUNCTION("""COMPUTED_VALUE"""),"29o 52' 39""")</f>
        <v>29o 52' 39"</v>
      </c>
      <c r="K2395" s="2" t="str">
        <f>IFERROR(__xludf.DUMMYFUNCTION("""COMPUTED_VALUE"""),"81o 37' 49""")</f>
        <v>81o 37' 49"</v>
      </c>
      <c r="L2395" s="2" t="str">
        <f>IFERROR(__xludf.DUMMYFUNCTION("""COMPUTED_VALUE"""),"81o 45' 52""")</f>
        <v>81o 45' 52"</v>
      </c>
      <c r="M2395" s="2" t="str">
        <f>IFERROR(__xludf.DUMMYFUNCTION("""COMPUTED_VALUE"""),"Bichhiya (Bajura)")</f>
        <v>Bichhiya (Bajura)</v>
      </c>
    </row>
    <row r="2396">
      <c r="A2396" s="2">
        <f>IFERROR(__xludf.DUMMYFUNCTION("""COMPUTED_VALUE"""),2395.0)</f>
        <v>2395</v>
      </c>
      <c r="B2396" s="2" t="str">
        <f>IFERROR(__xludf.DUMMYFUNCTION("""COMPUTED_VALUE"""),"Lower Pelma Khola &amp; Uttar Ganga Nadi Hydropower Project")</f>
        <v>Lower Pelma Khola &amp; Uttar Ganga Nadi Hydropower Project</v>
      </c>
      <c r="C2396" s="2">
        <f>IFERROR(__xludf.DUMMYFUNCTION("""COMPUTED_VALUE"""),4.8)</f>
        <v>4.8</v>
      </c>
      <c r="D2396" s="2" t="str">
        <f>IFERROR(__xludf.DUMMYFUNCTION("""COMPUTED_VALUE"""),"Pelma Khola &amp; Uttar Ganga")</f>
        <v>Pelma Khola &amp; Uttar Ganga</v>
      </c>
      <c r="E2396" s="2">
        <f>IFERROR(__xludf.DUMMYFUNCTION("""COMPUTED_VALUE"""),1754.0)</f>
        <v>1754</v>
      </c>
      <c r="F2396" s="3">
        <f>IFERROR(__xludf.DUMMYFUNCTION("""COMPUTED_VALUE"""),66268.0)</f>
        <v>66268</v>
      </c>
      <c r="G2396" s="2" t="str">
        <f>IFERROR(__xludf.DUMMYFUNCTION("""COMPUTED_VALUE"""),"Shanta Jethi Bahurani Hydropower Private Limited")</f>
        <v>Shanta Jethi Bahurani Hydropower Private Limited</v>
      </c>
      <c r="H2396" s="2" t="str">
        <f>IFERROR(__xludf.DUMMYFUNCTION("""COMPUTED_VALUE"""),"Pasikot, Budhanilkantha - 4, Kathmandu")</f>
        <v>Pasikot, Budhanilkantha - 4, Kathmandu</v>
      </c>
      <c r="I2396" s="2" t="str">
        <f>IFERROR(__xludf.DUMMYFUNCTION("""COMPUTED_VALUE"""),"28o 37' 40""")</f>
        <v>28o 37' 40"</v>
      </c>
      <c r="J2396" s="2" t="str">
        <f>IFERROR(__xludf.DUMMYFUNCTION("""COMPUTED_VALUE"""),"28o 39' 30""")</f>
        <v>28o 39' 30"</v>
      </c>
      <c r="K2396" s="2" t="str">
        <f>IFERROR(__xludf.DUMMYFUNCTION("""COMPUTED_VALUE"""),"82o 42' 30""")</f>
        <v>82o 42' 30"</v>
      </c>
      <c r="L2396" s="2" t="str">
        <f>IFERROR(__xludf.DUMMYFUNCTION("""COMPUTED_VALUE"""),"82o 45' 15""")</f>
        <v>82o 45' 15"</v>
      </c>
      <c r="M2396" s="2"/>
    </row>
    <row r="2397">
      <c r="A2397" s="2">
        <f>IFERROR(__xludf.DUMMYFUNCTION("""COMPUTED_VALUE"""),2396.0)</f>
        <v>2396</v>
      </c>
      <c r="B2397" s="2" t="str">
        <f>IFERROR(__xludf.DUMMYFUNCTION("""COMPUTED_VALUE"""),"Sani Bheri - 2 Hydropower Project")</f>
        <v>Sani Bheri - 2 Hydropower Project</v>
      </c>
      <c r="C2397" s="2">
        <f>IFERROR(__xludf.DUMMYFUNCTION("""COMPUTED_VALUE"""),23.37)</f>
        <v>23.37</v>
      </c>
      <c r="D2397" s="2" t="str">
        <f>IFERROR(__xludf.DUMMYFUNCTION("""COMPUTED_VALUE"""),"Sani Bheri")</f>
        <v>Sani Bheri</v>
      </c>
      <c r="E2397" s="2">
        <f>IFERROR(__xludf.DUMMYFUNCTION("""COMPUTED_VALUE"""),1814.0)</f>
        <v>1814</v>
      </c>
      <c r="F2397" s="3">
        <f>IFERROR(__xludf.DUMMYFUNCTION("""COMPUTED_VALUE"""),66269.0)</f>
        <v>66269</v>
      </c>
      <c r="G2397" s="2" t="str">
        <f>IFERROR(__xludf.DUMMYFUNCTION("""COMPUTED_VALUE"""),"Gurkhas Himalayan Hydro Limited")</f>
        <v>Gurkhas Himalayan Hydro Limited</v>
      </c>
      <c r="H2397" s="2" t="str">
        <f>IFERROR(__xludf.DUMMYFUNCTION("""COMPUTED_VALUE"""),"KMC-31, Kathmandu")</f>
        <v>KMC-31, Kathmandu</v>
      </c>
      <c r="I2397" s="2" t="str">
        <f>IFERROR(__xludf.DUMMYFUNCTION("""COMPUTED_VALUE"""),"28o 37' 30""")</f>
        <v>28o 37' 30"</v>
      </c>
      <c r="J2397" s="2" t="str">
        <f>IFERROR(__xludf.DUMMYFUNCTION("""COMPUTED_VALUE"""),"28o 38' 52""")</f>
        <v>28o 38' 52"</v>
      </c>
      <c r="K2397" s="2" t="str">
        <f>IFERROR(__xludf.DUMMYFUNCTION("""COMPUTED_VALUE"""),"82o 37' 02""")</f>
        <v>82o 37' 02"</v>
      </c>
      <c r="L2397" s="2" t="str">
        <f>IFERROR(__xludf.DUMMYFUNCTION("""COMPUTED_VALUE"""),"82o 38' 50""")</f>
        <v>82o 38' 50"</v>
      </c>
      <c r="M2397" s="2" t="str">
        <f>IFERROR(__xludf.DUMMYFUNCTION("""COMPUTED_VALUE"""),"Kanda,Pokhara (Rukum)")</f>
        <v>Kanda,Pokhara (Rukum)</v>
      </c>
    </row>
    <row r="2398">
      <c r="A2398" s="2">
        <f>IFERROR(__xludf.DUMMYFUNCTION("""COMPUTED_VALUE"""),2397.0)</f>
        <v>2397</v>
      </c>
      <c r="B2398" s="2" t="str">
        <f>IFERROR(__xludf.DUMMYFUNCTION("""COMPUTED_VALUE"""),"Kimron Khola Hydropower Project")</f>
        <v>Kimron Khola Hydropower Project</v>
      </c>
      <c r="C2398" s="2">
        <f>IFERROR(__xludf.DUMMYFUNCTION("""COMPUTED_VALUE"""),9.4)</f>
        <v>9.4</v>
      </c>
      <c r="D2398" s="2" t="str">
        <f>IFERROR(__xludf.DUMMYFUNCTION("""COMPUTED_VALUE"""),"Kimron Khola")</f>
        <v>Kimron Khola</v>
      </c>
      <c r="E2398" s="2">
        <f>IFERROR(__xludf.DUMMYFUNCTION("""COMPUTED_VALUE"""),1859.0)</f>
        <v>1859</v>
      </c>
      <c r="F2398" s="3">
        <f>IFERROR(__xludf.DUMMYFUNCTION("""COMPUTED_VALUE"""),66270.0)</f>
        <v>66270</v>
      </c>
      <c r="G2398" s="2" t="str">
        <f>IFERROR(__xludf.DUMMYFUNCTION("""COMPUTED_VALUE"""),"Himalaya Jal Urja Private Limited")</f>
        <v>Himalaya Jal Urja Private Limited</v>
      </c>
      <c r="H2398" s="2" t="str">
        <f>IFERROR(__xludf.DUMMYFUNCTION("""COMPUTED_VALUE"""),"KMC-16, Banasthali, Kathmandu")</f>
        <v>KMC-16, Banasthali, Kathmandu</v>
      </c>
      <c r="I2398" s="2" t="str">
        <f>IFERROR(__xludf.DUMMYFUNCTION("""COMPUTED_VALUE"""),"28o 24' 00""")</f>
        <v>28o 24' 00"</v>
      </c>
      <c r="J2398" s="2" t="str">
        <f>IFERROR(__xludf.DUMMYFUNCTION("""COMPUTED_VALUE"""),"28o 25' 00""")</f>
        <v>28o 25' 00"</v>
      </c>
      <c r="K2398" s="2" t="str">
        <f>IFERROR(__xludf.DUMMYFUNCTION("""COMPUTED_VALUE"""),"83o 46' 13""")</f>
        <v>83o 46' 13"</v>
      </c>
      <c r="L2398" s="2" t="str">
        <f>IFERROR(__xludf.DUMMYFUNCTION("""COMPUTED_VALUE"""),"83o 49' 33""")</f>
        <v>83o 49' 33"</v>
      </c>
      <c r="M2398" s="2" t="str">
        <f>IFERROR(__xludf.DUMMYFUNCTION("""COMPUTED_VALUE"""),"Ghandruk (Kaski)")</f>
        <v>Ghandruk (Kaski)</v>
      </c>
    </row>
    <row r="2399">
      <c r="A2399" s="2">
        <f>IFERROR(__xludf.DUMMYFUNCTION("""COMPUTED_VALUE"""),2398.0)</f>
        <v>2398</v>
      </c>
      <c r="B2399" s="2" t="str">
        <f>IFERROR(__xludf.DUMMYFUNCTION("""COMPUTED_VALUE"""),"Kuntun Khola Peaking RoR Hydropower Project")</f>
        <v>Kuntun Khola Peaking RoR Hydropower Project</v>
      </c>
      <c r="C2399" s="2">
        <f>IFERROR(__xludf.DUMMYFUNCTION("""COMPUTED_VALUE"""),2.3)</f>
        <v>2.3</v>
      </c>
      <c r="D2399" s="2" t="str">
        <f>IFERROR(__xludf.DUMMYFUNCTION("""COMPUTED_VALUE"""),"Kuntun Khola")</f>
        <v>Kuntun Khola</v>
      </c>
      <c r="E2399" s="2">
        <f>IFERROR(__xludf.DUMMYFUNCTION("""COMPUTED_VALUE"""),2061.0)</f>
        <v>2061</v>
      </c>
      <c r="F2399" s="3">
        <f>IFERROR(__xludf.DUMMYFUNCTION("""COMPUTED_VALUE"""),66276.0)</f>
        <v>66276</v>
      </c>
      <c r="G2399" s="2" t="str">
        <f>IFERROR(__xludf.DUMMYFUNCTION("""COMPUTED_VALUE"""),"Happy Power Private Limited")</f>
        <v>Happy Power Private Limited</v>
      </c>
      <c r="H2399" s="2" t="str">
        <f>IFERROR(__xludf.DUMMYFUNCTION("""COMPUTED_VALUE"""),"Hadigaun Kathmandu")</f>
        <v>Hadigaun Kathmandu</v>
      </c>
      <c r="I2399" s="2" t="str">
        <f>IFERROR(__xludf.DUMMYFUNCTION("""COMPUTED_VALUE"""),"27o 57' 37""")</f>
        <v>27o 57' 37"</v>
      </c>
      <c r="J2399" s="2" t="str">
        <f>IFERROR(__xludf.DUMMYFUNCTION("""COMPUTED_VALUE"""),"27o 58' 55""")</f>
        <v>27o 58' 55"</v>
      </c>
      <c r="K2399" s="2" t="str">
        <f>IFERROR(__xludf.DUMMYFUNCTION("""COMPUTED_VALUE"""),"85o 24' 00""")</f>
        <v>85o 24' 00"</v>
      </c>
      <c r="L2399" s="2" t="str">
        <f>IFERROR(__xludf.DUMMYFUNCTION("""COMPUTED_VALUE"""),"85o 24' 45""")</f>
        <v>85o 24' 45"</v>
      </c>
      <c r="M2399" s="2" t="str">
        <f>IFERROR(__xludf.DUMMYFUNCTION("""COMPUTED_VALUE"""),"Dhyangphedi,Shikharbesi,Rautbesi (Nuwakot)")</f>
        <v>Dhyangphedi,Shikharbesi,Rautbesi (Nuwakot)</v>
      </c>
    </row>
    <row r="2400">
      <c r="A2400" s="2">
        <f>IFERROR(__xludf.DUMMYFUNCTION("""COMPUTED_VALUE"""),2399.0)</f>
        <v>2399</v>
      </c>
      <c r="B2400" s="2" t="str">
        <f>IFERROR(__xludf.DUMMYFUNCTION("""COMPUTED_VALUE"""),"Bhalu Khola Hydropower Project")</f>
        <v>Bhalu Khola Hydropower Project</v>
      </c>
      <c r="C2400" s="2">
        <f>IFERROR(__xludf.DUMMYFUNCTION("""COMPUTED_VALUE"""),4.99)</f>
        <v>4.99</v>
      </c>
      <c r="D2400" s="2" t="str">
        <f>IFERROR(__xludf.DUMMYFUNCTION("""COMPUTED_VALUE"""),"Bhalu &amp; Paban Khola")</f>
        <v>Bhalu &amp; Paban Khola</v>
      </c>
      <c r="E2400" s="2">
        <f>IFERROR(__xludf.DUMMYFUNCTION("""COMPUTED_VALUE"""),2129.0)</f>
        <v>2129</v>
      </c>
      <c r="F2400" s="3">
        <f>IFERROR(__xludf.DUMMYFUNCTION("""COMPUTED_VALUE"""),66278.0)</f>
        <v>66278</v>
      </c>
      <c r="G2400" s="2" t="str">
        <f>IFERROR(__xludf.DUMMYFUNCTION("""COMPUTED_VALUE"""),"Sisters Group For Energy Private Limited")</f>
        <v>Sisters Group For Energy Private Limited</v>
      </c>
      <c r="H2400" s="2" t="str">
        <f>IFERROR(__xludf.DUMMYFUNCTION("""COMPUTED_VALUE"""),"Tokha, Kathmandu")</f>
        <v>Tokha, Kathmandu</v>
      </c>
      <c r="I2400" s="2" t="str">
        <f>IFERROR(__xludf.DUMMYFUNCTION("""COMPUTED_VALUE"""),"28o 20' 32""")</f>
        <v>28o 20' 32"</v>
      </c>
      <c r="J2400" s="2" t="str">
        <f>IFERROR(__xludf.DUMMYFUNCTION("""COMPUTED_VALUE"""),"28o 21' 11""")</f>
        <v>28o 21' 11"</v>
      </c>
      <c r="K2400" s="2" t="str">
        <f>IFERROR(__xludf.DUMMYFUNCTION("""COMPUTED_VALUE"""),"84o 52' 46""")</f>
        <v>84o 52' 46"</v>
      </c>
      <c r="L2400" s="2" t="str">
        <f>IFERROR(__xludf.DUMMYFUNCTION("""COMPUTED_VALUE"""),"84o 53' 36""")</f>
        <v>84o 53' 36"</v>
      </c>
      <c r="M2400" s="2" t="str">
        <f>IFERROR(__xludf.DUMMYFUNCTION("""COMPUTED_VALUE"""),"Uiya,Sirdibas (Gorkha)")</f>
        <v>Uiya,Sirdibas (Gorkha)</v>
      </c>
    </row>
    <row r="2401">
      <c r="A2401" s="2">
        <f>IFERROR(__xludf.DUMMYFUNCTION("""COMPUTED_VALUE"""),2400.0)</f>
        <v>2400</v>
      </c>
      <c r="B2401" s="2" t="str">
        <f>IFERROR(__xludf.DUMMYFUNCTION("""COMPUTED_VALUE"""),"Bhalu Khola Hydroelectric Project")</f>
        <v>Bhalu Khola Hydroelectric Project</v>
      </c>
      <c r="C2401" s="2">
        <f>IFERROR(__xludf.DUMMYFUNCTION("""COMPUTED_VALUE"""),5.0)</f>
        <v>5</v>
      </c>
      <c r="D2401" s="2" t="str">
        <f>IFERROR(__xludf.DUMMYFUNCTION("""COMPUTED_VALUE"""),"Bhalu khola")</f>
        <v>Bhalu khola</v>
      </c>
      <c r="E2401" s="2">
        <f>IFERROR(__xludf.DUMMYFUNCTION("""COMPUTED_VALUE"""),2157.0)</f>
        <v>2157</v>
      </c>
      <c r="F2401" s="3">
        <f>IFERROR(__xludf.DUMMYFUNCTION("""COMPUTED_VALUE"""),66278.0)</f>
        <v>66278</v>
      </c>
      <c r="G2401" s="2" t="str">
        <f>IFERROR(__xludf.DUMMYFUNCTION("""COMPUTED_VALUE"""),"Himalayan Solar Ventures Private Limited")</f>
        <v>Himalayan Solar Ventures Private Limited</v>
      </c>
      <c r="H2401" s="2" t="str">
        <f>IFERROR(__xludf.DUMMYFUNCTION("""COMPUTED_VALUE"""),"Balaju-16, Kathmandu (9860136640, 9862043307)")</f>
        <v>Balaju-16, Kathmandu (9860136640, 9862043307)</v>
      </c>
      <c r="I2401" s="2" t="str">
        <f>IFERROR(__xludf.DUMMYFUNCTION("""COMPUTED_VALUE"""),"28o 20' 46""")</f>
        <v>28o 20' 46"</v>
      </c>
      <c r="J2401" s="2" t="str">
        <f>IFERROR(__xludf.DUMMYFUNCTION("""COMPUTED_VALUE"""),"28o 21' 13""")</f>
        <v>28o 21' 13"</v>
      </c>
      <c r="K2401" s="2" t="str">
        <f>IFERROR(__xludf.DUMMYFUNCTION("""COMPUTED_VALUE"""),"84o 52' 54""")</f>
        <v>84o 52' 54"</v>
      </c>
      <c r="L2401" s="2" t="str">
        <f>IFERROR(__xludf.DUMMYFUNCTION("""COMPUTED_VALUE"""),"84o 53' 47""")</f>
        <v>84o 53' 47"</v>
      </c>
      <c r="M2401" s="2"/>
    </row>
    <row r="2402">
      <c r="A2402" s="2">
        <f>IFERROR(__xludf.DUMMYFUNCTION("""COMPUTED_VALUE"""),2401.0)</f>
        <v>2401</v>
      </c>
      <c r="B2402" s="2" t="str">
        <f>IFERROR(__xludf.DUMMYFUNCTION("""COMPUTED_VALUE"""),"Lower Pelma Khola PRoR Hydropower Project")</f>
        <v>Lower Pelma Khola PRoR Hydropower Project</v>
      </c>
      <c r="C2402" s="2">
        <f>IFERROR(__xludf.DUMMYFUNCTION("""COMPUTED_VALUE"""),23.75)</f>
        <v>23.75</v>
      </c>
      <c r="D2402" s="2" t="str">
        <f>IFERROR(__xludf.DUMMYFUNCTION("""COMPUTED_VALUE"""),"Pelma Khola")</f>
        <v>Pelma Khola</v>
      </c>
      <c r="E2402" s="2">
        <f>IFERROR(__xludf.DUMMYFUNCTION("""COMPUTED_VALUE"""),2188.0)</f>
        <v>2188</v>
      </c>
      <c r="F2402" s="3">
        <f>IFERROR(__xludf.DUMMYFUNCTION("""COMPUTED_VALUE"""),66280.0)</f>
        <v>66280</v>
      </c>
      <c r="G2402" s="2" t="str">
        <f>IFERROR(__xludf.DUMMYFUNCTION("""COMPUTED_VALUE"""),"Pelma Hydropower Project Private Limited")</f>
        <v>Pelma Hydropower Project Private Limited</v>
      </c>
      <c r="H2402" s="2" t="str">
        <f>IFERROR(__xludf.DUMMYFUNCTION("""COMPUTED_VALUE"""),"Ghattekulo, Kathmandu")</f>
        <v>Ghattekulo, Kathmandu</v>
      </c>
      <c r="I2402" s="2" t="str">
        <f>IFERROR(__xludf.DUMMYFUNCTION("""COMPUTED_VALUE"""),"28o 40' 20""")</f>
        <v>28o 40' 20"</v>
      </c>
      <c r="J2402" s="2" t="str">
        <f>IFERROR(__xludf.DUMMYFUNCTION("""COMPUTED_VALUE"""),"28o 41' 37""")</f>
        <v>28o 41' 37"</v>
      </c>
      <c r="K2402" s="2" t="str">
        <f>IFERROR(__xludf.DUMMYFUNCTION("""COMPUTED_VALUE"""),"82o 50' 15""")</f>
        <v>82o 50' 15"</v>
      </c>
      <c r="L2402" s="2" t="str">
        <f>IFERROR(__xludf.DUMMYFUNCTION("""COMPUTED_VALUE"""),"82o 52' 09""")</f>
        <v>82o 52' 09"</v>
      </c>
      <c r="M2402" s="2" t="str">
        <f>IFERROR(__xludf.DUMMYFUNCTION("""COMPUTED_VALUE"""),"Hukam,Ranmamekot (Rukum)")</f>
        <v>Hukam,Ranmamekot (Rukum)</v>
      </c>
    </row>
    <row r="2403">
      <c r="A2403" s="2">
        <f>IFERROR(__xludf.DUMMYFUNCTION("""COMPUTED_VALUE"""),2402.0)</f>
        <v>2402</v>
      </c>
      <c r="B2403" s="2" t="str">
        <f>IFERROR(__xludf.DUMMYFUNCTION("""COMPUTED_VALUE"""),"Upper Tila Karnali Hydropower Project")</f>
        <v>Upper Tila Karnali Hydropower Project</v>
      </c>
      <c r="C2403" s="2">
        <f>IFERROR(__xludf.DUMMYFUNCTION("""COMPUTED_VALUE"""),24.5)</f>
        <v>24.5</v>
      </c>
      <c r="D2403" s="2" t="str">
        <f>IFERROR(__xludf.DUMMYFUNCTION("""COMPUTED_VALUE"""),"Tila Karnali")</f>
        <v>Tila Karnali</v>
      </c>
      <c r="E2403" s="2">
        <f>IFERROR(__xludf.DUMMYFUNCTION("""COMPUTED_VALUE"""),2211.0)</f>
        <v>2211</v>
      </c>
      <c r="F2403" s="3">
        <f>IFERROR(__xludf.DUMMYFUNCTION("""COMPUTED_VALUE"""),66280.0)</f>
        <v>66280</v>
      </c>
      <c r="G2403" s="2" t="str">
        <f>IFERROR(__xludf.DUMMYFUNCTION("""COMPUTED_VALUE"""),"Akshita Energy Private Limited")</f>
        <v>Akshita Energy Private Limited</v>
      </c>
      <c r="H2403" s="2" t="str">
        <f>IFERROR(__xludf.DUMMYFUNCTION("""COMPUTED_VALUE"""),"KMC-11, Kathmandu")</f>
        <v>KMC-11, Kathmandu</v>
      </c>
      <c r="I2403" s="2" t="str">
        <f>IFERROR(__xludf.DUMMYFUNCTION("""COMPUTED_VALUE"""),"29o 11' 24""")</f>
        <v>29o 11' 24"</v>
      </c>
      <c r="J2403" s="2" t="str">
        <f>IFERROR(__xludf.DUMMYFUNCTION("""COMPUTED_VALUE"""),"29o 16' 00""")</f>
        <v>29o 16' 00"</v>
      </c>
      <c r="K2403" s="2" t="str">
        <f>IFERROR(__xludf.DUMMYFUNCTION("""COMPUTED_VALUE"""),"82o 16' 00""")</f>
        <v>82o 16' 00"</v>
      </c>
      <c r="L2403" s="2" t="str">
        <f>IFERROR(__xludf.DUMMYFUNCTION("""COMPUTED_VALUE"""),"82o 23' 00""")</f>
        <v>82o 23' 00"</v>
      </c>
      <c r="M2403" s="2" t="str">
        <f>IFERROR(__xludf.DUMMYFUNCTION("""COMPUTED_VALUE"""),"Depalgaun,Garjyangkot,Gothichaur,Patarasi,Dillichaur (Jumla)")</f>
        <v>Depalgaun,Garjyangkot,Gothichaur,Patarasi,Dillichaur (Jumla)</v>
      </c>
    </row>
    <row r="2404">
      <c r="A2404" s="2">
        <f>IFERROR(__xludf.DUMMYFUNCTION("""COMPUTED_VALUE"""),2403.0)</f>
        <v>2403</v>
      </c>
      <c r="B2404" s="2" t="str">
        <f>IFERROR(__xludf.DUMMYFUNCTION("""COMPUTED_VALUE"""),"Super Likhu Small Hydropower Project")</f>
        <v>Super Likhu Small Hydropower Project</v>
      </c>
      <c r="C2404" s="2">
        <f>IFERROR(__xludf.DUMMYFUNCTION("""COMPUTED_VALUE"""),4.6)</f>
        <v>4.6</v>
      </c>
      <c r="D2404" s="2" t="str">
        <f>IFERROR(__xludf.DUMMYFUNCTION("""COMPUTED_VALUE"""),"Likhu Khola")</f>
        <v>Likhu Khola</v>
      </c>
      <c r="E2404" s="2">
        <f>IFERROR(__xludf.DUMMYFUNCTION("""COMPUTED_VALUE"""),2247.0)</f>
        <v>2247</v>
      </c>
      <c r="F2404" s="3">
        <f>IFERROR(__xludf.DUMMYFUNCTION("""COMPUTED_VALUE"""),66282.0)</f>
        <v>66282</v>
      </c>
      <c r="G2404" s="2" t="str">
        <f>IFERROR(__xludf.DUMMYFUNCTION("""COMPUTED_VALUE"""),"Skyline Energy Private Limited")</f>
        <v>Skyline Energy Private Limited</v>
      </c>
      <c r="H2404" s="2" t="str">
        <f>IFERROR(__xludf.DUMMYFUNCTION("""COMPUTED_VALUE"""),"KMC-32,Kathmandu (01-5921006)")</f>
        <v>KMC-32,Kathmandu (01-5921006)</v>
      </c>
      <c r="I2404" s="2" t="str">
        <f>IFERROR(__xludf.DUMMYFUNCTION("""COMPUTED_VALUE"""),"27o 43' 26""")</f>
        <v>27o 43' 26"</v>
      </c>
      <c r="J2404" s="2" t="str">
        <f>IFERROR(__xludf.DUMMYFUNCTION("""COMPUTED_VALUE"""),"27o 44' 10""")</f>
        <v>27o 44' 10"</v>
      </c>
      <c r="K2404" s="2" t="str">
        <f>IFERROR(__xludf.DUMMYFUNCTION("""COMPUTED_VALUE"""),"86o 29' 44""")</f>
        <v>86o 29' 44"</v>
      </c>
      <c r="L2404" s="2" t="str">
        <f>IFERROR(__xludf.DUMMYFUNCTION("""COMPUTED_VALUE"""),"86o 31' 04""")</f>
        <v>86o 31' 04"</v>
      </c>
      <c r="M2404" s="2" t="str">
        <f>IFERROR(__xludf.DUMMYFUNCTION("""COMPUTED_VALUE"""),"Gumdel (Ramechhap)")</f>
        <v>Gumdel (Ramechhap)</v>
      </c>
    </row>
    <row r="2405">
      <c r="A2405" s="2">
        <f>IFERROR(__xludf.DUMMYFUNCTION("""COMPUTED_VALUE"""),2404.0)</f>
        <v>2404</v>
      </c>
      <c r="B2405" s="2" t="str">
        <f>IFERROR(__xludf.DUMMYFUNCTION("""COMPUTED_VALUE"""),"Koluwa Khola Hydroelectric Project")</f>
        <v>Koluwa Khola Hydroelectric Project</v>
      </c>
      <c r="C2405" s="2">
        <f>IFERROR(__xludf.DUMMYFUNCTION("""COMPUTED_VALUE"""),4.55)</f>
        <v>4.55</v>
      </c>
      <c r="D2405" s="2" t="str">
        <f>IFERROR(__xludf.DUMMYFUNCTION("""COMPUTED_VALUE"""),"Koluwa Khola")</f>
        <v>Koluwa Khola</v>
      </c>
      <c r="E2405" s="2">
        <f>IFERROR(__xludf.DUMMYFUNCTION("""COMPUTED_VALUE"""),2275.0)</f>
        <v>2275</v>
      </c>
      <c r="F2405" s="3">
        <f>IFERROR(__xludf.DUMMYFUNCTION("""COMPUTED_VALUE"""),66283.0)</f>
        <v>66283</v>
      </c>
      <c r="G2405" s="2" t="str">
        <f>IFERROR(__xludf.DUMMYFUNCTION("""COMPUTED_VALUE"""),"Happy Power Private Limited")</f>
        <v>Happy Power Private Limited</v>
      </c>
      <c r="H2405" s="2" t="str">
        <f>IFERROR(__xludf.DUMMYFUNCTION("""COMPUTED_VALUE"""),"Hadigaun, Kathmandu")</f>
        <v>Hadigaun, Kathmandu</v>
      </c>
      <c r="I2405" s="2" t="str">
        <f>IFERROR(__xludf.DUMMYFUNCTION("""COMPUTED_VALUE"""),"27o 32' 35""")</f>
        <v>27o 32' 35"</v>
      </c>
      <c r="J2405" s="2" t="str">
        <f>IFERROR(__xludf.DUMMYFUNCTION("""COMPUTED_VALUE"""),"27o 33' 44""")</f>
        <v>27o 33' 44"</v>
      </c>
      <c r="K2405" s="2" t="str">
        <f>IFERROR(__xludf.DUMMYFUNCTION("""COMPUTED_VALUE"""),"87o 03' 59""")</f>
        <v>87o 03' 59"</v>
      </c>
      <c r="L2405" s="2" t="str">
        <f>IFERROR(__xludf.DUMMYFUNCTION("""COMPUTED_VALUE"""),"87o 04' 34""")</f>
        <v>87o 04' 34"</v>
      </c>
      <c r="M2405" s="2" t="str">
        <f>IFERROR(__xludf.DUMMYFUNCTION("""COMPUTED_VALUE"""),"Tamfok (Sankhuwasabha)")</f>
        <v>Tamfok (Sankhuwasabha)</v>
      </c>
    </row>
    <row r="2406">
      <c r="A2406" s="2">
        <f>IFERROR(__xludf.DUMMYFUNCTION("""COMPUTED_VALUE"""),2405.0)</f>
        <v>2405</v>
      </c>
      <c r="B2406" s="2" t="str">
        <f>IFERROR(__xludf.DUMMYFUNCTION("""COMPUTED_VALUE"""),"Middle Rolwaling Hydropower Project")</f>
        <v>Middle Rolwaling Hydropower Project</v>
      </c>
      <c r="C2406" s="2">
        <f>IFERROR(__xludf.DUMMYFUNCTION("""COMPUTED_VALUE"""),21.485)</f>
        <v>21.485</v>
      </c>
      <c r="D2406" s="2" t="str">
        <f>IFERROR(__xludf.DUMMYFUNCTION("""COMPUTED_VALUE"""),"Rolwaling khola")</f>
        <v>Rolwaling khola</v>
      </c>
      <c r="E2406" s="2">
        <f>IFERROR(__xludf.DUMMYFUNCTION("""COMPUTED_VALUE"""),2334.0)</f>
        <v>2334</v>
      </c>
      <c r="F2406" s="3">
        <f>IFERROR(__xludf.DUMMYFUNCTION("""COMPUTED_VALUE"""),66284.0)</f>
        <v>66284</v>
      </c>
      <c r="G2406" s="2" t="str">
        <f>IFERROR(__xludf.DUMMYFUNCTION("""COMPUTED_VALUE"""),"Reliant Energy Private Limited")</f>
        <v>Reliant Energy Private Limited</v>
      </c>
      <c r="H2406" s="2" t="str">
        <f>IFERROR(__xludf.DUMMYFUNCTION("""COMPUTED_VALUE"""),"Sanepa, Lalitpur (9841187825)")</f>
        <v>Sanepa, Lalitpur (9841187825)</v>
      </c>
      <c r="I2406" s="2" t="str">
        <f>IFERROR(__xludf.DUMMYFUNCTION("""COMPUTED_VALUE"""),"27o 53' 05""")</f>
        <v>27o 53' 05"</v>
      </c>
      <c r="J2406" s="2" t="str">
        <f>IFERROR(__xludf.DUMMYFUNCTION("""COMPUTED_VALUE"""),"27o 54' 00""")</f>
        <v>27o 54' 00"</v>
      </c>
      <c r="K2406" s="2" t="str">
        <f>IFERROR(__xludf.DUMMYFUNCTION("""COMPUTED_VALUE"""),"86o 15' 30""")</f>
        <v>86o 15' 30"</v>
      </c>
      <c r="L2406" s="2" t="str">
        <f>IFERROR(__xludf.DUMMYFUNCTION("""COMPUTED_VALUE"""),"86o 15' 35""")</f>
        <v>86o 15' 35"</v>
      </c>
      <c r="M2406" s="2"/>
    </row>
    <row r="2407">
      <c r="A2407" s="2">
        <f>IFERROR(__xludf.DUMMYFUNCTION("""COMPUTED_VALUE"""),2406.0)</f>
        <v>2406</v>
      </c>
      <c r="B2407" s="2" t="str">
        <f>IFERROR(__xludf.DUMMYFUNCTION("""COMPUTED_VALUE"""),"Bhurundi Khola Cascade Hydropower Project")</f>
        <v>Bhurundi Khola Cascade Hydropower Project</v>
      </c>
      <c r="C2407" s="2">
        <f>IFERROR(__xludf.DUMMYFUNCTION("""COMPUTED_VALUE"""),5.0)</f>
        <v>5</v>
      </c>
      <c r="D2407" s="2" t="str">
        <f>IFERROR(__xludf.DUMMYFUNCTION("""COMPUTED_VALUE"""),"Bhurundi Khola")</f>
        <v>Bhurundi Khola</v>
      </c>
      <c r="E2407" s="2">
        <f>IFERROR(__xludf.DUMMYFUNCTION("""COMPUTED_VALUE"""),2421.0)</f>
        <v>2421</v>
      </c>
      <c r="F2407" s="3">
        <f>IFERROR(__xludf.DUMMYFUNCTION("""COMPUTED_VALUE"""),66294.0)</f>
        <v>66294</v>
      </c>
      <c r="G2407" s="2" t="str">
        <f>IFERROR(__xludf.DUMMYFUNCTION("""COMPUTED_VALUE"""),"Aarati Hydropower Private Limited")</f>
        <v>Aarati Hydropower Private Limited</v>
      </c>
      <c r="H2407" s="2" t="str">
        <f>IFERROR(__xludf.DUMMYFUNCTION("""COMPUTED_VALUE"""),"KMC-32, Koteshwor, Kathmandu")</f>
        <v>KMC-32, Koteshwor, Kathmandu</v>
      </c>
      <c r="I2407" s="2" t="str">
        <f>IFERROR(__xludf.DUMMYFUNCTION("""COMPUTED_VALUE"""),"28o 18' 30""")</f>
        <v>28o 18' 30"</v>
      </c>
      <c r="J2407" s="2" t="str">
        <f>IFERROR(__xludf.DUMMYFUNCTION("""COMPUTED_VALUE"""),"28o 19' 37""")</f>
        <v>28o 19' 37"</v>
      </c>
      <c r="K2407" s="2" t="str">
        <f>IFERROR(__xludf.DUMMYFUNCTION("""COMPUTED_VALUE"""),"83o 45' 01""")</f>
        <v>83o 45' 01"</v>
      </c>
      <c r="L2407" s="2" t="str">
        <f>IFERROR(__xludf.DUMMYFUNCTION("""COMPUTED_VALUE"""),"83o 46' 35""")</f>
        <v>83o 46' 35"</v>
      </c>
      <c r="M2407" s="2" t="str">
        <f>IFERROR(__xludf.DUMMYFUNCTION("""COMPUTED_VALUE"""),"Dangsing,Dhampus (Kaski)")</f>
        <v>Dangsing,Dhampus (Kaski)</v>
      </c>
    </row>
    <row r="2408">
      <c r="A2408" s="2">
        <f>IFERROR(__xludf.DUMMYFUNCTION("""COMPUTED_VALUE"""),2407.0)</f>
        <v>2407</v>
      </c>
      <c r="B2408" s="2" t="str">
        <f>IFERROR(__xludf.DUMMYFUNCTION("""COMPUTED_VALUE"""),"Phoksundo Khola Hydropower Project")</f>
        <v>Phoksundo Khola Hydropower Project</v>
      </c>
      <c r="C2408" s="2">
        <f>IFERROR(__xludf.DUMMYFUNCTION("""COMPUTED_VALUE"""),92.1)</f>
        <v>92.1</v>
      </c>
      <c r="D2408" s="2" t="str">
        <f>IFERROR(__xludf.DUMMYFUNCTION("""COMPUTED_VALUE"""),"Phoksundo Khola")</f>
        <v>Phoksundo Khola</v>
      </c>
      <c r="E2408" s="2">
        <f>IFERROR(__xludf.DUMMYFUNCTION("""COMPUTED_VALUE"""),2482.0)</f>
        <v>2482</v>
      </c>
      <c r="F2408" s="3">
        <f>IFERROR(__xludf.DUMMYFUNCTION("""COMPUTED_VALUE"""),66297.0)</f>
        <v>66297</v>
      </c>
      <c r="G2408" s="2" t="str">
        <f>IFERROR(__xludf.DUMMYFUNCTION("""COMPUTED_VALUE"""),"Sunaulo Aviyan Hydropower Private Limited")</f>
        <v>Sunaulo Aviyan Hydropower Private Limited</v>
      </c>
      <c r="H2408" s="2" t="str">
        <f>IFERROR(__xludf.DUMMYFUNCTION("""COMPUTED_VALUE"""),"KMC-9, Kathmandu")</f>
        <v>KMC-9, Kathmandu</v>
      </c>
      <c r="I2408" s="2" t="str">
        <f>IFERROR(__xludf.DUMMYFUNCTION("""COMPUTED_VALUE"""),"29o 02' 26""")</f>
        <v>29o 02' 26"</v>
      </c>
      <c r="J2408" s="2" t="str">
        <f>IFERROR(__xludf.DUMMYFUNCTION("""COMPUTED_VALUE"""),"29o 08' 40""")</f>
        <v>29o 08' 40"</v>
      </c>
      <c r="K2408" s="2" t="str">
        <f>IFERROR(__xludf.DUMMYFUNCTION("""COMPUTED_VALUE"""),"82o 52' 07""")</f>
        <v>82o 52' 07"</v>
      </c>
      <c r="L2408" s="2" t="str">
        <f>IFERROR(__xludf.DUMMYFUNCTION("""COMPUTED_VALUE"""),"82o 55' 20""")</f>
        <v>82o 55' 20"</v>
      </c>
      <c r="M2408" s="2" t="str">
        <f>IFERROR(__xludf.DUMMYFUNCTION("""COMPUTED_VALUE"""),"Tripurakot,Lawan,Phoksundo (Dolpa)")</f>
        <v>Tripurakot,Lawan,Phoksundo (Dolpa)</v>
      </c>
    </row>
    <row r="2409">
      <c r="A2409" s="2">
        <f>IFERROR(__xludf.DUMMYFUNCTION("""COMPUTED_VALUE"""),2408.0)</f>
        <v>2408</v>
      </c>
      <c r="B2409" s="2" t="str">
        <f>IFERROR(__xludf.DUMMYFUNCTION("""COMPUTED_VALUE"""),"Tarap Khola HEP")</f>
        <v>Tarap Khola HEP</v>
      </c>
      <c r="C2409" s="2">
        <f>IFERROR(__xludf.DUMMYFUNCTION("""COMPUTED_VALUE"""),72.0)</f>
        <v>72</v>
      </c>
      <c r="D2409" s="2" t="str">
        <f>IFERROR(__xludf.DUMMYFUNCTION("""COMPUTED_VALUE"""),"Tarap")</f>
        <v>Tarap</v>
      </c>
      <c r="E2409" s="2">
        <f>IFERROR(__xludf.DUMMYFUNCTION("""COMPUTED_VALUE"""),2661.0)</f>
        <v>2661</v>
      </c>
      <c r="F2409" s="3">
        <f>IFERROR(__xludf.DUMMYFUNCTION("""COMPUTED_VALUE"""),66301.0)</f>
        <v>66301</v>
      </c>
      <c r="G2409" s="2" t="str">
        <f>IFERROR(__xludf.DUMMYFUNCTION("""COMPUTED_VALUE"""),"Vision Energy and Power Ltd.")</f>
        <v>Vision Energy and Power Ltd.</v>
      </c>
      <c r="H2409" s="2" t="str">
        <f>IFERROR(__xludf.DUMMYFUNCTION("""COMPUTED_VALUE"""),"New Baneshwor, Kathmandu, Nepal")</f>
        <v>New Baneshwor, Kathmandu, Nepal</v>
      </c>
      <c r="I2409" s="2" t="str">
        <f>IFERROR(__xludf.DUMMYFUNCTION("""COMPUTED_VALUE"""),"28o 53' 38""")</f>
        <v>28o 53' 38"</v>
      </c>
      <c r="J2409" s="2" t="str">
        <f>IFERROR(__xludf.DUMMYFUNCTION("""COMPUTED_VALUE"""),"28o 57' 00""")</f>
        <v>28o 57' 00"</v>
      </c>
      <c r="K2409" s="2" t="str">
        <f>IFERROR(__xludf.DUMMYFUNCTION("""COMPUTED_VALUE"""),"83o 00' 56""")</f>
        <v>83o 00' 56"</v>
      </c>
      <c r="L2409" s="2" t="str">
        <f>IFERROR(__xludf.DUMMYFUNCTION("""COMPUTED_VALUE"""),"83o 04' 25""")</f>
        <v>83o 04' 25"</v>
      </c>
      <c r="M2409" s="2" t="str">
        <f>IFERROR(__xludf.DUMMYFUNCTION("""COMPUTED_VALUE"""),"Lawan,Sahartara (Dolpa)")</f>
        <v>Lawan,Sahartara (Dolpa)</v>
      </c>
    </row>
    <row r="2410">
      <c r="A2410" s="2">
        <f>IFERROR(__xludf.DUMMYFUNCTION("""COMPUTED_VALUE"""),2409.0)</f>
        <v>2409</v>
      </c>
      <c r="B2410" s="2" t="str">
        <f>IFERROR(__xludf.DUMMYFUNCTION("""COMPUTED_VALUE"""),"Lower Seti (Bajhang) Hydropower Project")</f>
        <v>Lower Seti (Bajhang) Hydropower Project</v>
      </c>
      <c r="C2410" s="2">
        <f>IFERROR(__xludf.DUMMYFUNCTION("""COMPUTED_VALUE"""),9.6)</f>
        <v>9.6</v>
      </c>
      <c r="D2410" s="2" t="str">
        <f>IFERROR(__xludf.DUMMYFUNCTION("""COMPUTED_VALUE"""),"Seti Nadi")</f>
        <v>Seti Nadi</v>
      </c>
      <c r="E2410" s="2">
        <f>IFERROR(__xludf.DUMMYFUNCTION("""COMPUTED_VALUE"""),2695.0)</f>
        <v>2695</v>
      </c>
      <c r="F2410" s="3">
        <f>IFERROR(__xludf.DUMMYFUNCTION("""COMPUTED_VALUE"""),66304.0)</f>
        <v>66304</v>
      </c>
      <c r="G2410" s="2" t="str">
        <f>IFERROR(__xludf.DUMMYFUNCTION("""COMPUTED_VALUE"""),"Surma Shakti Private Limited")</f>
        <v>Surma Shakti Private Limited</v>
      </c>
      <c r="H2410" s="2" t="str">
        <f>IFERROR(__xludf.DUMMYFUNCTION("""COMPUTED_VALUE"""),"KMC-16, Kathmandu")</f>
        <v>KMC-16, Kathmandu</v>
      </c>
      <c r="I2410" s="2" t="str">
        <f>IFERROR(__xludf.DUMMYFUNCTION("""COMPUTED_VALUE"""),"29o 43' 32""")</f>
        <v>29o 43' 32"</v>
      </c>
      <c r="J2410" s="2" t="str">
        <f>IFERROR(__xludf.DUMMYFUNCTION("""COMPUTED_VALUE"""),"29o 44' 50""")</f>
        <v>29o 44' 50"</v>
      </c>
      <c r="K2410" s="2" t="str">
        <f>IFERROR(__xludf.DUMMYFUNCTION("""COMPUTED_VALUE"""),"81o 17' 42""")</f>
        <v>81o 17' 42"</v>
      </c>
      <c r="L2410" s="2" t="str">
        <f>IFERROR(__xludf.DUMMYFUNCTION("""COMPUTED_VALUE"""),"81o 19' 22""")</f>
        <v>81o 19' 22"</v>
      </c>
      <c r="M2410" s="2" t="str">
        <f>IFERROR(__xludf.DUMMYFUNCTION("""COMPUTED_VALUE"""),"Dhamena,Kanda (Bajhang)")</f>
        <v>Dhamena,Kanda (Bajhang)</v>
      </c>
    </row>
    <row r="2411">
      <c r="A2411" s="2">
        <f>IFERROR(__xludf.DUMMYFUNCTION("""COMPUTED_VALUE"""),2410.0)</f>
        <v>2410</v>
      </c>
      <c r="B2411" s="2" t="str">
        <f>IFERROR(__xludf.DUMMYFUNCTION("""COMPUTED_VALUE"""),"Lower Ghatganga Khola Hydropower Project")</f>
        <v>Lower Ghatganga Khola Hydropower Project</v>
      </c>
      <c r="C2411" s="2">
        <f>IFERROR(__xludf.DUMMYFUNCTION("""COMPUTED_VALUE"""),4.2)</f>
        <v>4.2</v>
      </c>
      <c r="D2411" s="2" t="str">
        <f>IFERROR(__xludf.DUMMYFUNCTION("""COMPUTED_VALUE"""),"Ghatganga Khola")</f>
        <v>Ghatganga Khola</v>
      </c>
      <c r="E2411" s="2">
        <f>IFERROR(__xludf.DUMMYFUNCTION("""COMPUTED_VALUE"""),2705.0)</f>
        <v>2705</v>
      </c>
      <c r="F2411" s="3">
        <f>IFERROR(__xludf.DUMMYFUNCTION("""COMPUTED_VALUE"""),66304.0)</f>
        <v>66304</v>
      </c>
      <c r="G2411" s="2" t="str">
        <f>IFERROR(__xludf.DUMMYFUNCTION("""COMPUTED_VALUE"""),"Surma Shakti Private Limited")</f>
        <v>Surma Shakti Private Limited</v>
      </c>
      <c r="H2411" s="2" t="str">
        <f>IFERROR(__xludf.DUMMYFUNCTION("""COMPUTED_VALUE"""),"KMC-16, Kathmandu")</f>
        <v>KMC-16, Kathmandu</v>
      </c>
      <c r="I2411" s="2" t="str">
        <f>IFERROR(__xludf.DUMMYFUNCTION("""COMPUTED_VALUE"""),"29o 42' 42""")</f>
        <v>29o 42' 42"</v>
      </c>
      <c r="J2411" s="2" t="str">
        <f>IFERROR(__xludf.DUMMYFUNCTION("""COMPUTED_VALUE"""),"29o 44' 05""")</f>
        <v>29o 44' 05"</v>
      </c>
      <c r="K2411" s="2" t="str">
        <f>IFERROR(__xludf.DUMMYFUNCTION("""COMPUTED_VALUE"""),"81o 19' 15""")</f>
        <v>81o 19' 15"</v>
      </c>
      <c r="L2411" s="2" t="str">
        <f>IFERROR(__xludf.DUMMYFUNCTION("""COMPUTED_VALUE"""),"81o 20' 28""")</f>
        <v>81o 20' 28"</v>
      </c>
      <c r="M2411" s="2" t="str">
        <f>IFERROR(__xludf.DUMMYFUNCTION("""COMPUTED_VALUE"""),"Kanda (Bajhang)")</f>
        <v>Kanda (Bajhang)</v>
      </c>
    </row>
    <row r="2412">
      <c r="A2412" s="2">
        <f>IFERROR(__xludf.DUMMYFUNCTION("""COMPUTED_VALUE"""),2411.0)</f>
        <v>2411</v>
      </c>
      <c r="B2412" s="2" t="str">
        <f>IFERROR(__xludf.DUMMYFUNCTION("""COMPUTED_VALUE"""),"Nwagad Hydropower Project")</f>
        <v>Nwagad Hydropower Project</v>
      </c>
      <c r="C2412" s="2">
        <f>IFERROR(__xludf.DUMMYFUNCTION("""COMPUTED_VALUE"""),9.68)</f>
        <v>9.68</v>
      </c>
      <c r="D2412" s="2" t="str">
        <f>IFERROR(__xludf.DUMMYFUNCTION("""COMPUTED_VALUE"""),"Nwa Gad Khola")</f>
        <v>Nwa Gad Khola</v>
      </c>
      <c r="E2412" s="2">
        <f>IFERROR(__xludf.DUMMYFUNCTION("""COMPUTED_VALUE"""),2728.0)</f>
        <v>2728</v>
      </c>
      <c r="F2412" s="3">
        <f>IFERROR(__xludf.DUMMYFUNCTION("""COMPUTED_VALUE"""),66304.0)</f>
        <v>66304</v>
      </c>
      <c r="G2412" s="2" t="str">
        <f>IFERROR(__xludf.DUMMYFUNCTION("""COMPUTED_VALUE"""),"Latinath Power Company Limited")</f>
        <v>Latinath Power Company Limited</v>
      </c>
      <c r="H2412" s="2" t="str">
        <f>IFERROR(__xludf.DUMMYFUNCTION("""COMPUTED_VALUE"""),"Trade Tower Nepal, Thapathali - 11, Kathmandu")</f>
        <v>Trade Tower Nepal, Thapathali - 11, Kathmandu</v>
      </c>
      <c r="I2412" s="2" t="str">
        <f>IFERROR(__xludf.DUMMYFUNCTION("""COMPUTED_VALUE"""),"29o 44' 44""")</f>
        <v>29o 44' 44"</v>
      </c>
      <c r="J2412" s="2" t="str">
        <f>IFERROR(__xludf.DUMMYFUNCTION("""COMPUTED_VALUE"""),"29o 45' 04""")</f>
        <v>29o 45' 04"</v>
      </c>
      <c r="K2412" s="2" t="str">
        <f>IFERROR(__xludf.DUMMYFUNCTION("""COMPUTED_VALUE"""),"80o 47' 43""")</f>
        <v>80o 47' 43"</v>
      </c>
      <c r="L2412" s="2" t="str">
        <f>IFERROR(__xludf.DUMMYFUNCTION("""COMPUTED_VALUE"""),"80o 49' 40""")</f>
        <v>80o 49' 40"</v>
      </c>
      <c r="M2412" s="2"/>
    </row>
    <row r="2413">
      <c r="A2413" s="2">
        <f>IFERROR(__xludf.DUMMYFUNCTION("""COMPUTED_VALUE"""),2412.0)</f>
        <v>2412</v>
      </c>
      <c r="B2413" s="2" t="str">
        <f>IFERROR(__xludf.DUMMYFUNCTION("""COMPUTED_VALUE"""),"Kauley Khola Hydropower Project")</f>
        <v>Kauley Khola Hydropower Project</v>
      </c>
      <c r="C2413" s="2">
        <f>IFERROR(__xludf.DUMMYFUNCTION("""COMPUTED_VALUE"""),4.96)</f>
        <v>4.96</v>
      </c>
      <c r="D2413" s="2" t="str">
        <f>IFERROR(__xludf.DUMMYFUNCTION("""COMPUTED_VALUE"""),"Kauley")</f>
        <v>Kauley</v>
      </c>
      <c r="E2413" s="2">
        <f>IFERROR(__xludf.DUMMYFUNCTION("""COMPUTED_VALUE"""),2958.0)</f>
        <v>2958</v>
      </c>
      <c r="F2413" s="3">
        <f>IFERROR(__xludf.DUMMYFUNCTION("""COMPUTED_VALUE"""),66319.0)</f>
        <v>66319</v>
      </c>
      <c r="G2413" s="2" t="str">
        <f>IFERROR(__xludf.DUMMYFUNCTION("""COMPUTED_VALUE"""),"Prabhu Jalabiddhut Bikash (P) Ltd.")</f>
        <v>Prabhu Jalabiddhut Bikash (P) Ltd.</v>
      </c>
      <c r="H2413" s="2" t="str">
        <f>IFERROR(__xludf.DUMMYFUNCTION("""COMPUTED_VALUE"""),"KMC-32, Tinkune, Kathmandu")</f>
        <v>KMC-32, Tinkune, Kathmandu</v>
      </c>
      <c r="I2413" s="2" t="str">
        <f>IFERROR(__xludf.DUMMYFUNCTION("""COMPUTED_VALUE"""),"27o 51' 50""")</f>
        <v>27o 51' 50"</v>
      </c>
      <c r="J2413" s="2" t="str">
        <f>IFERROR(__xludf.DUMMYFUNCTION("""COMPUTED_VALUE"""),"27o 53' 55""")</f>
        <v>27o 53' 55"</v>
      </c>
      <c r="K2413" s="2" t="str">
        <f>IFERROR(__xludf.DUMMYFUNCTION("""COMPUTED_VALUE"""),"85o 50' 50""")</f>
        <v>85o 50' 50"</v>
      </c>
      <c r="L2413" s="2" t="str">
        <f>IFERROR(__xludf.DUMMYFUNCTION("""COMPUTED_VALUE"""),"85o 53' 00""")</f>
        <v>85o 53' 00"</v>
      </c>
      <c r="M2413" s="2" t="str">
        <f>IFERROR(__xludf.DUMMYFUNCTION("""COMPUTED_VALUE"""),"Listi,Marbin (Sindhupalchok)")</f>
        <v>Listi,Marbin (Sindhupalchok)</v>
      </c>
    </row>
    <row r="2414">
      <c r="A2414" s="2">
        <f>IFERROR(__xludf.DUMMYFUNCTION("""COMPUTED_VALUE"""),2413.0)</f>
        <v>2413</v>
      </c>
      <c r="B2414" s="2" t="str">
        <f>IFERROR(__xludf.DUMMYFUNCTION("""COMPUTED_VALUE"""),"Sailun Khola Hydropower Project")</f>
        <v>Sailun Khola Hydropower Project</v>
      </c>
      <c r="C2414" s="2">
        <f>IFERROR(__xludf.DUMMYFUNCTION("""COMPUTED_VALUE"""),1.74)</f>
        <v>1.74</v>
      </c>
      <c r="D2414" s="2" t="str">
        <f>IFERROR(__xludf.DUMMYFUNCTION("""COMPUTED_VALUE"""),"Sailun Khola")</f>
        <v>Sailun Khola</v>
      </c>
      <c r="E2414" s="2">
        <f>IFERROR(__xludf.DUMMYFUNCTION("""COMPUTED_VALUE"""),3020.0)</f>
        <v>3020</v>
      </c>
      <c r="F2414" s="3">
        <f>IFERROR(__xludf.DUMMYFUNCTION("""COMPUTED_VALUE"""),66320.0)</f>
        <v>66320</v>
      </c>
      <c r="G2414" s="2" t="str">
        <f>IFERROR(__xludf.DUMMYFUNCTION("""COMPUTED_VALUE"""),"Credible Hydropower Company Pvt. Ltd")</f>
        <v>Credible Hydropower Company Pvt. Ltd</v>
      </c>
      <c r="H2414" s="2" t="str">
        <f>IFERROR(__xludf.DUMMYFUNCTION("""COMPUTED_VALUE"""),"New Baneshwor, Kathmandu")</f>
        <v>New Baneshwor, Kathmandu</v>
      </c>
      <c r="I2414" s="2" t="str">
        <f>IFERROR(__xludf.DUMMYFUNCTION("""COMPUTED_VALUE"""),"27o 40' 37""")</f>
        <v>27o 40' 37"</v>
      </c>
      <c r="J2414" s="2" t="str">
        <f>IFERROR(__xludf.DUMMYFUNCTION("""COMPUTED_VALUE"""),"27o 42' 14""")</f>
        <v>27o 42' 14"</v>
      </c>
      <c r="K2414" s="2" t="str">
        <f>IFERROR(__xludf.DUMMYFUNCTION("""COMPUTED_VALUE"""),"86o 27' 52""")</f>
        <v>86o 27' 52"</v>
      </c>
      <c r="L2414" s="2" t="str">
        <f>IFERROR(__xludf.DUMMYFUNCTION("""COMPUTED_VALUE"""),"86o 29' 41""")</f>
        <v>86o 29' 41"</v>
      </c>
      <c r="M2414" s="2" t="str">
        <f>IFERROR(__xludf.DUMMYFUNCTION("""COMPUTED_VALUE"""),"Gumdel (Ramechhap)")</f>
        <v>Gumdel (Ramechhap)</v>
      </c>
    </row>
    <row r="2415">
      <c r="A2415" s="2">
        <f>IFERROR(__xludf.DUMMYFUNCTION("""COMPUTED_VALUE"""),2414.0)</f>
        <v>2414</v>
      </c>
      <c r="B2415" s="2" t="str">
        <f>IFERROR(__xludf.DUMMYFUNCTION("""COMPUTED_VALUE"""),"Dudh Pokhari Bhalu Khola Hydropower Project")</f>
        <v>Dudh Pokhari Bhalu Khola Hydropower Project</v>
      </c>
      <c r="C2415" s="2">
        <f>IFERROR(__xludf.DUMMYFUNCTION("""COMPUTED_VALUE"""),10.0)</f>
        <v>10</v>
      </c>
      <c r="D2415" s="2" t="str">
        <f>IFERROR(__xludf.DUMMYFUNCTION("""COMPUTED_VALUE"""),"Bhalu khola")</f>
        <v>Bhalu khola</v>
      </c>
      <c r="E2415" s="2">
        <f>IFERROR(__xludf.DUMMYFUNCTION("""COMPUTED_VALUE"""),3182.0)</f>
        <v>3182</v>
      </c>
      <c r="F2415" s="3">
        <f>IFERROR(__xludf.DUMMYFUNCTION("""COMPUTED_VALUE"""),66327.0)</f>
        <v>66327</v>
      </c>
      <c r="G2415" s="2" t="str">
        <f>IFERROR(__xludf.DUMMYFUNCTION("""COMPUTED_VALUE"""),"Sachita Karki")</f>
        <v>Sachita Karki</v>
      </c>
      <c r="H2415" s="2" t="str">
        <f>IFERROR(__xludf.DUMMYFUNCTION("""COMPUTED_VALUE"""),"Dillibazar, K.M.C-29, Kathmandu")</f>
        <v>Dillibazar, K.M.C-29, Kathmandu</v>
      </c>
      <c r="I2415" s="2" t="str">
        <f>IFERROR(__xludf.DUMMYFUNCTION("""COMPUTED_VALUE"""),"28o 21' 00""")</f>
        <v>28o 21' 00"</v>
      </c>
      <c r="J2415" s="2" t="str">
        <f>IFERROR(__xludf.DUMMYFUNCTION("""COMPUTED_VALUE"""),"28o 22' 05""")</f>
        <v>28o 22' 05"</v>
      </c>
      <c r="K2415" s="2" t="str">
        <f>IFERROR(__xludf.DUMMYFUNCTION("""COMPUTED_VALUE"""),"84o 50' 49""")</f>
        <v>84o 50' 49"</v>
      </c>
      <c r="L2415" s="2" t="str">
        <f>IFERROR(__xludf.DUMMYFUNCTION("""COMPUTED_VALUE"""),"84o 52' 53""")</f>
        <v>84o 52' 53"</v>
      </c>
      <c r="M2415" s="2" t="str">
        <f>IFERROR(__xludf.DUMMYFUNCTION("""COMPUTED_VALUE"""),"Sirdibas (Gorkha)")</f>
        <v>Sirdibas (Gorkha)</v>
      </c>
    </row>
    <row r="2416">
      <c r="A2416" s="2">
        <f>IFERROR(__xludf.DUMMYFUNCTION("""COMPUTED_VALUE"""),2415.0)</f>
        <v>2415</v>
      </c>
      <c r="B2416" s="2" t="str">
        <f>IFERROR(__xludf.DUMMYFUNCTION("""COMPUTED_VALUE"""),"Super Sisne Khola HEP")</f>
        <v>Super Sisne Khola HEP</v>
      </c>
      <c r="C2416" s="2">
        <f>IFERROR(__xludf.DUMMYFUNCTION("""COMPUTED_VALUE"""),5.0)</f>
        <v>5</v>
      </c>
      <c r="D2416" s="2" t="str">
        <f>IFERROR(__xludf.DUMMYFUNCTION("""COMPUTED_VALUE"""),"Sisne Khola")</f>
        <v>Sisne Khola</v>
      </c>
      <c r="E2416" s="2">
        <f>IFERROR(__xludf.DUMMYFUNCTION("""COMPUTED_VALUE"""),3194.0)</f>
        <v>3194</v>
      </c>
      <c r="F2416" s="3">
        <f>IFERROR(__xludf.DUMMYFUNCTION("""COMPUTED_VALUE"""),66328.0)</f>
        <v>66328</v>
      </c>
      <c r="G2416" s="2" t="str">
        <f>IFERROR(__xludf.DUMMYFUNCTION("""COMPUTED_VALUE"""),"Mathadeve Ventures Pvt. Ltd.")</f>
        <v>Mathadeve Ventures Pvt. Ltd.</v>
      </c>
      <c r="H2416" s="2" t="str">
        <f>IFERROR(__xludf.DUMMYFUNCTION("""COMPUTED_VALUE"""),"Budhanilkantha-2, Kathmandu")</f>
        <v>Budhanilkantha-2, Kathmandu</v>
      </c>
      <c r="I2416" s="2" t="str">
        <f>IFERROR(__xludf.DUMMYFUNCTION("""COMPUTED_VALUE"""),"28o 44' 22""")</f>
        <v>28o 44' 22"</v>
      </c>
      <c r="J2416" s="2" t="str">
        <f>IFERROR(__xludf.DUMMYFUNCTION("""COMPUTED_VALUE"""),"28o 47' 44""")</f>
        <v>28o 47' 44"</v>
      </c>
      <c r="K2416" s="2" t="str">
        <f>IFERROR(__xludf.DUMMYFUNCTION("""COMPUTED_VALUE"""),"82o 38' 17""")</f>
        <v>82o 38' 17"</v>
      </c>
      <c r="L2416" s="2" t="str">
        <f>IFERROR(__xludf.DUMMYFUNCTION("""COMPUTED_VALUE"""),"82o 42' 23""")</f>
        <v>82o 42' 23"</v>
      </c>
      <c r="M2416" s="2" t="str">
        <f>IFERROR(__xludf.DUMMYFUNCTION("""COMPUTED_VALUE"""),"Sisne (Rukum)")</f>
        <v>Sisne (Rukum)</v>
      </c>
    </row>
    <row r="2417">
      <c r="A2417" s="2">
        <f>IFERROR(__xludf.DUMMYFUNCTION("""COMPUTED_VALUE"""),2416.0)</f>
        <v>2416</v>
      </c>
      <c r="B2417" s="2" t="str">
        <f>IFERROR(__xludf.DUMMYFUNCTION("""COMPUTED_VALUE"""),"Super Juli Odar Khola HEP")</f>
        <v>Super Juli Odar Khola HEP</v>
      </c>
      <c r="C2417" s="2">
        <f>IFERROR(__xludf.DUMMYFUNCTION("""COMPUTED_VALUE"""),5.0)</f>
        <v>5</v>
      </c>
      <c r="D2417" s="2" t="str">
        <f>IFERROR(__xludf.DUMMYFUNCTION("""COMPUTED_VALUE"""),"Juliodar Khola")</f>
        <v>Juliodar Khola</v>
      </c>
      <c r="E2417" s="2">
        <f>IFERROR(__xludf.DUMMYFUNCTION("""COMPUTED_VALUE"""),3195.0)</f>
        <v>3195</v>
      </c>
      <c r="F2417" s="3">
        <f>IFERROR(__xludf.DUMMYFUNCTION("""COMPUTED_VALUE"""),66328.0)</f>
        <v>66328</v>
      </c>
      <c r="G2417" s="2" t="str">
        <f>IFERROR(__xludf.DUMMYFUNCTION("""COMPUTED_VALUE"""),"Jalashaya Hydropower Pvt. Ltd.")</f>
        <v>Jalashaya Hydropower Pvt. Ltd.</v>
      </c>
      <c r="H2417" s="2" t="str">
        <f>IFERROR(__xludf.DUMMYFUNCTION("""COMPUTED_VALUE"""),"Budhanilkantha-2, Kathmandu")</f>
        <v>Budhanilkantha-2, Kathmandu</v>
      </c>
      <c r="I2417" s="2" t="str">
        <f>IFERROR(__xludf.DUMMYFUNCTION("""COMPUTED_VALUE"""),"29o 10' 17""")</f>
        <v>29o 10' 17"</v>
      </c>
      <c r="J2417" s="2" t="str">
        <f>IFERROR(__xludf.DUMMYFUNCTION("""COMPUTED_VALUE"""),"29o 14' 27""")</f>
        <v>29o 14' 27"</v>
      </c>
      <c r="K2417" s="2" t="str">
        <f>IFERROR(__xludf.DUMMYFUNCTION("""COMPUTED_VALUE"""),"82o 19' 02""")</f>
        <v>82o 19' 02"</v>
      </c>
      <c r="L2417" s="2" t="str">
        <f>IFERROR(__xludf.DUMMYFUNCTION("""COMPUTED_VALUE"""),"82o 26' 47""")</f>
        <v>82o 26' 47"</v>
      </c>
      <c r="M2417" s="2" t="str">
        <f>IFERROR(__xludf.DUMMYFUNCTION("""COMPUTED_VALUE"""),"Gothichaur (Jumla)")</f>
        <v>Gothichaur (Jumla)</v>
      </c>
    </row>
    <row r="2418">
      <c r="A2418" s="2">
        <f>IFERROR(__xludf.DUMMYFUNCTION("""COMPUTED_VALUE"""),2417.0)</f>
        <v>2417</v>
      </c>
      <c r="B2418" s="2" t="str">
        <f>IFERROR(__xludf.DUMMYFUNCTION("""COMPUTED_VALUE"""),"Ghustung Khola HEP")</f>
        <v>Ghustung Khola HEP</v>
      </c>
      <c r="C2418" s="2">
        <f>IFERROR(__xludf.DUMMYFUNCTION("""COMPUTED_VALUE"""),5.0)</f>
        <v>5</v>
      </c>
      <c r="D2418" s="2" t="str">
        <f>IFERROR(__xludf.DUMMYFUNCTION("""COMPUTED_VALUE"""),"Ghustung")</f>
        <v>Ghustung</v>
      </c>
      <c r="E2418" s="2">
        <f>IFERROR(__xludf.DUMMYFUNCTION("""COMPUTED_VALUE"""),3196.0)</f>
        <v>3196</v>
      </c>
      <c r="F2418" s="3">
        <f>IFERROR(__xludf.DUMMYFUNCTION("""COMPUTED_VALUE"""),66328.0)</f>
        <v>66328</v>
      </c>
      <c r="G2418" s="2" t="str">
        <f>IFERROR(__xludf.DUMMYFUNCTION("""COMPUTED_VALUE"""),"Shanta Himalaya Hydropower Pvt. Ltd.")</f>
        <v>Shanta Himalaya Hydropower Pvt. Ltd.</v>
      </c>
      <c r="H2418" s="2" t="str">
        <f>IFERROR(__xludf.DUMMYFUNCTION("""COMPUTED_VALUE"""),"Budhanilkantha-2, Kathmandu")</f>
        <v>Budhanilkantha-2, Kathmandu</v>
      </c>
      <c r="I2418" s="2" t="str">
        <f>IFERROR(__xludf.DUMMYFUNCTION("""COMPUTED_VALUE"""),"28o 37' 00""")</f>
        <v>28o 37' 00"</v>
      </c>
      <c r="J2418" s="2" t="str">
        <f>IFERROR(__xludf.DUMMYFUNCTION("""COMPUTED_VALUE"""),"28o 39' 30""")</f>
        <v>28o 39' 30"</v>
      </c>
      <c r="K2418" s="2" t="str">
        <f>IFERROR(__xludf.DUMMYFUNCTION("""COMPUTED_VALUE"""),"82o 56' 04""")</f>
        <v>82o 56' 04"</v>
      </c>
      <c r="L2418" s="2" t="str">
        <f>IFERROR(__xludf.DUMMYFUNCTION("""COMPUTED_VALUE"""),"83o 01' 00""")</f>
        <v>83o 01' 00"</v>
      </c>
      <c r="M2418" s="2" t="str">
        <f>IFERROR(__xludf.DUMMYFUNCTION("""COMPUTED_VALUE"""),"Sisne (Rukum)")</f>
        <v>Sisne (Rukum)</v>
      </c>
    </row>
    <row r="2419">
      <c r="A2419" s="2">
        <f>IFERROR(__xludf.DUMMYFUNCTION("""COMPUTED_VALUE"""),2418.0)</f>
        <v>2418</v>
      </c>
      <c r="B2419" s="2" t="str">
        <f>IFERROR(__xludf.DUMMYFUNCTION("""COMPUTED_VALUE"""),"Landan Khola HEP")</f>
        <v>Landan Khola HEP</v>
      </c>
      <c r="C2419" s="2">
        <f>IFERROR(__xludf.DUMMYFUNCTION("""COMPUTED_VALUE"""),4.99)</f>
        <v>4.99</v>
      </c>
      <c r="D2419" s="2" t="str">
        <f>IFERROR(__xludf.DUMMYFUNCTION("""COMPUTED_VALUE"""),"Landan Khola")</f>
        <v>Landan Khola</v>
      </c>
      <c r="E2419" s="2">
        <f>IFERROR(__xludf.DUMMYFUNCTION("""COMPUTED_VALUE"""),3197.0)</f>
        <v>3197</v>
      </c>
      <c r="F2419" s="3">
        <f>IFERROR(__xludf.DUMMYFUNCTION("""COMPUTED_VALUE"""),66328.0)</f>
        <v>66328</v>
      </c>
      <c r="G2419" s="2" t="str">
        <f>IFERROR(__xludf.DUMMYFUNCTION("""COMPUTED_VALUE"""),"Quntoum Hydropower Pvt. Ltd.")</f>
        <v>Quntoum Hydropower Pvt. Ltd.</v>
      </c>
      <c r="H2419" s="2" t="str">
        <f>IFERROR(__xludf.DUMMYFUNCTION("""COMPUTED_VALUE"""),"Budhanilkantha-5, Pasikot, Kathmandu")</f>
        <v>Budhanilkantha-5, Pasikot, Kathmandu</v>
      </c>
      <c r="I2419" s="2" t="str">
        <f>IFERROR(__xludf.DUMMYFUNCTION("""COMPUTED_VALUE"""),"28o 26' 54""")</f>
        <v>28o 26' 54"</v>
      </c>
      <c r="J2419" s="2" t="str">
        <f>IFERROR(__xludf.DUMMYFUNCTION("""COMPUTED_VALUE"""),"28o 28' 31""")</f>
        <v>28o 28' 31"</v>
      </c>
      <c r="K2419" s="2" t="str">
        <f>IFERROR(__xludf.DUMMYFUNCTION("""COMPUTED_VALUE"""),"85o 00' 00""")</f>
        <v>85o 00' 00"</v>
      </c>
      <c r="L2419" s="2" t="str">
        <f>IFERROR(__xludf.DUMMYFUNCTION("""COMPUTED_VALUE"""),"85o 03' 39""")</f>
        <v>85o 03' 39"</v>
      </c>
      <c r="M2419" s="2" t="str">
        <f>IFERROR(__xludf.DUMMYFUNCTION("""COMPUTED_VALUE"""),"Kerabari (Gorkha)")</f>
        <v>Kerabari (Gorkha)</v>
      </c>
    </row>
    <row r="2420">
      <c r="A2420" s="2">
        <f>IFERROR(__xludf.DUMMYFUNCTION("""COMPUTED_VALUE"""),2419.0)</f>
        <v>2419</v>
      </c>
      <c r="B2420" s="2" t="str">
        <f>IFERROR(__xludf.DUMMYFUNCTION("""COMPUTED_VALUE"""),"Dudh Khola 1 HPP")</f>
        <v>Dudh Khola 1 HPP</v>
      </c>
      <c r="C2420" s="2">
        <f>IFERROR(__xludf.DUMMYFUNCTION("""COMPUTED_VALUE"""),4.9)</f>
        <v>4.9</v>
      </c>
      <c r="D2420" s="2" t="str">
        <f>IFERROR(__xludf.DUMMYFUNCTION("""COMPUTED_VALUE"""),"Dudh Khola")</f>
        <v>Dudh Khola</v>
      </c>
      <c r="E2420" s="2">
        <f>IFERROR(__xludf.DUMMYFUNCTION("""COMPUTED_VALUE"""),3225.0)</f>
        <v>3225</v>
      </c>
      <c r="F2420" s="3">
        <f>IFERROR(__xludf.DUMMYFUNCTION("""COMPUTED_VALUE"""),66328.0)</f>
        <v>66328</v>
      </c>
      <c r="G2420" s="2" t="str">
        <f>IFERROR(__xludf.DUMMYFUNCTION("""COMPUTED_VALUE"""),"Nilganga Hydropower Company Pvt. Ltd")</f>
        <v>Nilganga Hydropower Company Pvt. Ltd</v>
      </c>
      <c r="H2420" s="2" t="str">
        <f>IFERROR(__xludf.DUMMYFUNCTION("""COMPUTED_VALUE"""),"KMC-32, Tinkune, Kathmandu, 9856023875")</f>
        <v>KMC-32, Tinkune, Kathmandu, 9856023875</v>
      </c>
      <c r="I2420" s="2" t="str">
        <f>IFERROR(__xludf.DUMMYFUNCTION("""COMPUTED_VALUE"""),"28o 35' 31""")</f>
        <v>28o 35' 31"</v>
      </c>
      <c r="J2420" s="2" t="str">
        <f>IFERROR(__xludf.DUMMYFUNCTION("""COMPUTED_VALUE"""),"28o 35' 48""")</f>
        <v>28o 35' 48"</v>
      </c>
      <c r="K2420" s="2" t="str">
        <f>IFERROR(__xludf.DUMMYFUNCTION("""COMPUTED_VALUE"""),"84o 25' 00""")</f>
        <v>84o 25' 00"</v>
      </c>
      <c r="L2420" s="2" t="str">
        <f>IFERROR(__xludf.DUMMYFUNCTION("""COMPUTED_VALUE"""),"84o 25' 39""")</f>
        <v>84o 25' 39"</v>
      </c>
      <c r="M2420" s="2" t="str">
        <f>IFERROR(__xludf.DUMMYFUNCTION("""COMPUTED_VALUE"""),"Thoche (Manang)")</f>
        <v>Thoche (Manang)</v>
      </c>
    </row>
    <row r="2421">
      <c r="A2421" s="2">
        <f>IFERROR(__xludf.DUMMYFUNCTION("""COMPUTED_VALUE"""),2420.0)</f>
        <v>2420</v>
      </c>
      <c r="B2421" s="2" t="str">
        <f>IFERROR(__xludf.DUMMYFUNCTION("""COMPUTED_VALUE"""),"Super Budhi Gandaki HEP")</f>
        <v>Super Budhi Gandaki HEP</v>
      </c>
      <c r="C2421" s="2">
        <f>IFERROR(__xludf.DUMMYFUNCTION("""COMPUTED_VALUE"""),40.4)</f>
        <v>40.4</v>
      </c>
      <c r="D2421" s="2" t="str">
        <f>IFERROR(__xludf.DUMMYFUNCTION("""COMPUTED_VALUE"""),"Budhi Gandaki")</f>
        <v>Budhi Gandaki</v>
      </c>
      <c r="E2421" s="2">
        <f>IFERROR(__xludf.DUMMYFUNCTION("""COMPUTED_VALUE"""),3316.0)</f>
        <v>3316</v>
      </c>
      <c r="F2421" s="3">
        <f>IFERROR(__xludf.DUMMYFUNCTION("""COMPUTED_VALUE"""),66332.0)</f>
        <v>66332</v>
      </c>
      <c r="G2421" s="2" t="str">
        <f>IFERROR(__xludf.DUMMYFUNCTION("""COMPUTED_VALUE"""),"Gandaki Water Power Pvt. Ltd.")</f>
        <v>Gandaki Water Power Pvt. Ltd.</v>
      </c>
      <c r="H2421" s="2" t="str">
        <f>IFERROR(__xludf.DUMMYFUNCTION("""COMPUTED_VALUE"""),"KMC-3, Kathmandu")</f>
        <v>KMC-3, Kathmandu</v>
      </c>
      <c r="I2421" s="2" t="str">
        <f>IFERROR(__xludf.DUMMYFUNCTION("""COMPUTED_VALUE"""),"28o 34' 05""")</f>
        <v>28o 34' 05"</v>
      </c>
      <c r="J2421" s="2" t="str">
        <f>IFERROR(__xludf.DUMMYFUNCTION("""COMPUTED_VALUE"""),"28o 36' 05""")</f>
        <v>28o 36' 05"</v>
      </c>
      <c r="K2421" s="2" t="str">
        <f>IFERROR(__xludf.DUMMYFUNCTION("""COMPUTED_VALUE"""),"84o 38' 15""")</f>
        <v>84o 38' 15"</v>
      </c>
      <c r="L2421" s="2" t="str">
        <f>IFERROR(__xludf.DUMMYFUNCTION("""COMPUTED_VALUE"""),"84o 41' 42""")</f>
        <v>84o 41' 42"</v>
      </c>
      <c r="M2421" s="2" t="str">
        <f>IFERROR(__xludf.DUMMYFUNCTION("""COMPUTED_VALUE"""),"Samagaun (Gorkha)")</f>
        <v>Samagaun (Gorkha)</v>
      </c>
    </row>
    <row r="2422">
      <c r="A2422" s="2">
        <f>IFERROR(__xludf.DUMMYFUNCTION("""COMPUTED_VALUE"""),2421.0)</f>
        <v>2421</v>
      </c>
      <c r="B2422" s="2" t="str">
        <f>IFERROR(__xludf.DUMMYFUNCTION("""COMPUTED_VALUE"""),"Kalangagad A Hydropower Project")</f>
        <v>Kalangagad A Hydropower Project</v>
      </c>
      <c r="C2422" s="2">
        <f>IFERROR(__xludf.DUMMYFUNCTION("""COMPUTED_VALUE"""),9.81)</f>
        <v>9.81</v>
      </c>
      <c r="D2422" s="2" t="str">
        <f>IFERROR(__xludf.DUMMYFUNCTION("""COMPUTED_VALUE"""),"Kalanga Gad")</f>
        <v>Kalanga Gad</v>
      </c>
      <c r="E2422" s="2">
        <f>IFERROR(__xludf.DUMMYFUNCTION("""COMPUTED_VALUE"""),3387.0)</f>
        <v>3387</v>
      </c>
      <c r="F2422" s="3">
        <f>IFERROR(__xludf.DUMMYFUNCTION("""COMPUTED_VALUE"""),66335.0)</f>
        <v>66335</v>
      </c>
      <c r="G2422" s="2" t="str">
        <f>IFERROR(__xludf.DUMMYFUNCTION("""COMPUTED_VALUE"""),"Ecostream Power Company Pvt. Ltd.")</f>
        <v>Ecostream Power Company Pvt. Ltd.</v>
      </c>
      <c r="H2422" s="2" t="str">
        <f>IFERROR(__xludf.DUMMYFUNCTION("""COMPUTED_VALUE"""),"KMC-3, Maharajgunj, Kathmandu")</f>
        <v>KMC-3, Maharajgunj, Kathmandu</v>
      </c>
      <c r="I2422" s="2" t="str">
        <f>IFERROR(__xludf.DUMMYFUNCTION("""COMPUTED_VALUE"""),"29o 41' 01""")</f>
        <v>29o 41' 01"</v>
      </c>
      <c r="J2422" s="2" t="str">
        <f>IFERROR(__xludf.DUMMYFUNCTION("""COMPUTED_VALUE"""),"29o 42' 25""")</f>
        <v>29o 42' 25"</v>
      </c>
      <c r="K2422" s="2" t="str">
        <f>IFERROR(__xludf.DUMMYFUNCTION("""COMPUTED_VALUE"""),"81o 00' 15""")</f>
        <v>81o 00' 15"</v>
      </c>
      <c r="L2422" s="2" t="str">
        <f>IFERROR(__xludf.DUMMYFUNCTION("""COMPUTED_VALUE"""),"81o 01' 30""")</f>
        <v>81o 01' 30"</v>
      </c>
      <c r="M2422" s="2" t="str">
        <f>IFERROR(__xludf.DUMMYFUNCTION("""COMPUTED_VALUE"""),"Dahabagar (Bajhang)")</f>
        <v>Dahabagar (Bajhang)</v>
      </c>
    </row>
    <row r="2423">
      <c r="A2423" s="2">
        <f>IFERROR(__xludf.DUMMYFUNCTION("""COMPUTED_VALUE"""),2422.0)</f>
        <v>2422</v>
      </c>
      <c r="B2423" s="2" t="str">
        <f>IFERROR(__xludf.DUMMYFUNCTION("""COMPUTED_VALUE"""),"Tallo Rukumgad Hydropower Project")</f>
        <v>Tallo Rukumgad Hydropower Project</v>
      </c>
      <c r="C2423" s="2">
        <f>IFERROR(__xludf.DUMMYFUNCTION("""COMPUTED_VALUE"""),9.144)</f>
        <v>9.144</v>
      </c>
      <c r="D2423" s="2" t="str">
        <f>IFERROR(__xludf.DUMMYFUNCTION("""COMPUTED_VALUE"""),"Rukum Gad")</f>
        <v>Rukum Gad</v>
      </c>
      <c r="E2423" s="2">
        <f>IFERROR(__xludf.DUMMYFUNCTION("""COMPUTED_VALUE"""),3505.0)</f>
        <v>3505</v>
      </c>
      <c r="F2423" s="3">
        <f>IFERROR(__xludf.DUMMYFUNCTION("""COMPUTED_VALUE"""),66340.0)</f>
        <v>66340</v>
      </c>
      <c r="G2423" s="2" t="str">
        <f>IFERROR(__xludf.DUMMYFUNCTION("""COMPUTED_VALUE"""),"Bagmati Cascade Power Private Ltd.")</f>
        <v>Bagmati Cascade Power Private Ltd.</v>
      </c>
      <c r="H2423" s="2" t="str">
        <f>IFERROR(__xludf.DUMMYFUNCTION("""COMPUTED_VALUE"""),"Kirtipur-4, Kathmandu, Nepal")</f>
        <v>Kirtipur-4, Kathmandu, Nepal</v>
      </c>
      <c r="I2423" s="2" t="str">
        <f>IFERROR(__xludf.DUMMYFUNCTION("""COMPUTED_VALUE"""),"28o 36' 59""")</f>
        <v>28o 36' 59"</v>
      </c>
      <c r="J2423" s="2" t="str">
        <f>IFERROR(__xludf.DUMMYFUNCTION("""COMPUTED_VALUE"""),"28o 37' 52""")</f>
        <v>28o 37' 52"</v>
      </c>
      <c r="K2423" s="2" t="str">
        <f>IFERROR(__xludf.DUMMYFUNCTION("""COMPUTED_VALUE"""),"82o 36' 55""")</f>
        <v>82o 36' 55"</v>
      </c>
      <c r="L2423" s="2" t="str">
        <f>IFERROR(__xludf.DUMMYFUNCTION("""COMPUTED_VALUE"""),"82o 38' 20""")</f>
        <v>82o 38' 20"</v>
      </c>
      <c r="M2423" s="2" t="str">
        <f>IFERROR(__xludf.DUMMYFUNCTION("""COMPUTED_VALUE"""),"Pokhara (Rukum)")</f>
        <v>Pokhara (Rukum)</v>
      </c>
    </row>
    <row r="2424">
      <c r="A2424" s="2">
        <f>IFERROR(__xludf.DUMMYFUNCTION("""COMPUTED_VALUE"""),2423.0)</f>
        <v>2423</v>
      </c>
      <c r="B2424" s="2" t="str">
        <f>IFERROR(__xludf.DUMMYFUNCTION("""COMPUTED_VALUE"""),"Madhya Madi Hydropower Project")</f>
        <v>Madhya Madi Hydropower Project</v>
      </c>
      <c r="C2424" s="2">
        <f>IFERROR(__xludf.DUMMYFUNCTION("""COMPUTED_VALUE"""),9.5)</f>
        <v>9.5</v>
      </c>
      <c r="D2424" s="2" t="str">
        <f>IFERROR(__xludf.DUMMYFUNCTION("""COMPUTED_VALUE"""),"Madi Khola")</f>
        <v>Madi Khola</v>
      </c>
      <c r="E2424" s="2">
        <f>IFERROR(__xludf.DUMMYFUNCTION("""COMPUTED_VALUE"""),3517.0)</f>
        <v>3517</v>
      </c>
      <c r="F2424" s="3">
        <f>IFERROR(__xludf.DUMMYFUNCTION("""COMPUTED_VALUE"""),66340.0)</f>
        <v>66340</v>
      </c>
      <c r="G2424" s="2" t="str">
        <f>IFERROR(__xludf.DUMMYFUNCTION("""COMPUTED_VALUE"""),"Braja Energy and Developers Pvt. Ltd.")</f>
        <v>Braja Energy and Developers Pvt. Ltd.</v>
      </c>
      <c r="H2424" s="2" t="str">
        <f>IFERROR(__xludf.DUMMYFUNCTION("""COMPUTED_VALUE"""),"Pokhara-26, Kaski")</f>
        <v>Pokhara-26, Kaski</v>
      </c>
      <c r="I2424" s="2" t="str">
        <f>IFERROR(__xludf.DUMMYFUNCTION("""COMPUTED_VALUE"""),"28o 21' 40""")</f>
        <v>28o 21' 40"</v>
      </c>
      <c r="J2424" s="2" t="str">
        <f>IFERROR(__xludf.DUMMYFUNCTION("""COMPUTED_VALUE"""),"28o 22' 31""")</f>
        <v>28o 22' 31"</v>
      </c>
      <c r="K2424" s="2" t="str">
        <f>IFERROR(__xludf.DUMMYFUNCTION("""COMPUTED_VALUE"""),"84o 06' 05""")</f>
        <v>84o 06' 05"</v>
      </c>
      <c r="L2424" s="2" t="str">
        <f>IFERROR(__xludf.DUMMYFUNCTION("""COMPUTED_VALUE"""),"84o 07' 50""")</f>
        <v>84o 07' 50"</v>
      </c>
      <c r="M2424" s="2" t="str">
        <f>IFERROR(__xludf.DUMMYFUNCTION("""COMPUTED_VALUE"""),"Sardikhola,Parche,Namarjung (Kaski)")</f>
        <v>Sardikhola,Parche,Namarjung (Kaski)</v>
      </c>
    </row>
    <row r="2425">
      <c r="A2425" s="2">
        <f>IFERROR(__xludf.DUMMYFUNCTION("""COMPUTED_VALUE"""),2424.0)</f>
        <v>2424</v>
      </c>
      <c r="B2425" s="2" t="str">
        <f>IFERROR(__xludf.DUMMYFUNCTION("""COMPUTED_VALUE"""),"Super Machha Khola A HEP")</f>
        <v>Super Machha Khola A HEP</v>
      </c>
      <c r="C2425" s="2">
        <f>IFERROR(__xludf.DUMMYFUNCTION("""COMPUTED_VALUE"""),8.0)</f>
        <v>8</v>
      </c>
      <c r="D2425" s="2" t="str">
        <f>IFERROR(__xludf.DUMMYFUNCTION("""COMPUTED_VALUE"""),"Machha Khola")</f>
        <v>Machha Khola</v>
      </c>
      <c r="E2425" s="2">
        <f>IFERROR(__xludf.DUMMYFUNCTION("""COMPUTED_VALUE"""),3537.0)</f>
        <v>3537</v>
      </c>
      <c r="F2425" s="3">
        <f>IFERROR(__xludf.DUMMYFUNCTION("""COMPUTED_VALUE"""),66341.0)</f>
        <v>66341</v>
      </c>
      <c r="G2425" s="2" t="str">
        <f>IFERROR(__xludf.DUMMYFUNCTION("""COMPUTED_VALUE"""),"Machha Khola Bijuli Udhyog Pvt. Ltd.")</f>
        <v>Machha Khola Bijuli Udhyog Pvt. Ltd.</v>
      </c>
      <c r="H2425" s="2" t="str">
        <f>IFERROR(__xludf.DUMMYFUNCTION("""COMPUTED_VALUE"""),"Budhailkantha-3, Kathmandu, 9851029813")</f>
        <v>Budhailkantha-3, Kathmandu, 9851029813</v>
      </c>
      <c r="I2425" s="2" t="str">
        <f>IFERROR(__xludf.DUMMYFUNCTION("""COMPUTED_VALUE"""),"28o 14' 00""")</f>
        <v>28o 14' 00"</v>
      </c>
      <c r="J2425" s="2" t="str">
        <f>IFERROR(__xludf.DUMMYFUNCTION("""COMPUTED_VALUE"""),"28o 17' 00""")</f>
        <v>28o 17' 00"</v>
      </c>
      <c r="K2425" s="2" t="str">
        <f>IFERROR(__xludf.DUMMYFUNCTION("""COMPUTED_VALUE"""),"84o 46' 05""")</f>
        <v>84o 46' 05"</v>
      </c>
      <c r="L2425" s="2" t="str">
        <f>IFERROR(__xludf.DUMMYFUNCTION("""COMPUTED_VALUE"""),"84o 48' 10""")</f>
        <v>84o 48' 10"</v>
      </c>
      <c r="M2425" s="2" t="str">
        <f>IFERROR(__xludf.DUMMYFUNCTION("""COMPUTED_VALUE"""),"Swara (Gorkha)")</f>
        <v>Swara (Gorkha)</v>
      </c>
    </row>
    <row r="2426">
      <c r="A2426" s="2">
        <f>IFERROR(__xludf.DUMMYFUNCTION("""COMPUTED_VALUE"""),2425.0)</f>
        <v>2425</v>
      </c>
      <c r="B2426" s="2" t="str">
        <f>IFERROR(__xludf.DUMMYFUNCTION("""COMPUTED_VALUE"""),"Dudhkoshi - 10 Hydropower Project")</f>
        <v>Dudhkoshi - 10 Hydropower Project</v>
      </c>
      <c r="C2426" s="2">
        <f>IFERROR(__xludf.DUMMYFUNCTION("""COMPUTED_VALUE"""),20.0)</f>
        <v>20</v>
      </c>
      <c r="D2426" s="2" t="str">
        <f>IFERROR(__xludf.DUMMYFUNCTION("""COMPUTED_VALUE"""),"Dudh Koshi")</f>
        <v>Dudh Koshi</v>
      </c>
      <c r="E2426" s="2">
        <f>IFERROR(__xludf.DUMMYFUNCTION("""COMPUTED_VALUE"""),3628.0)</f>
        <v>3628</v>
      </c>
      <c r="F2426" s="3">
        <f>IFERROR(__xludf.DUMMYFUNCTION("""COMPUTED_VALUE"""),66343.0)</f>
        <v>66343</v>
      </c>
      <c r="G2426" s="2" t="str">
        <f>IFERROR(__xludf.DUMMYFUNCTION("""COMPUTED_VALUE"""),"Anam Energy Private Limited")</f>
        <v>Anam Energy Private Limited</v>
      </c>
      <c r="H2426" s="2" t="str">
        <f>IFERROR(__xludf.DUMMYFUNCTION("""COMPUTED_VALUE"""),"Sundhara, Kathmandu")</f>
        <v>Sundhara, Kathmandu</v>
      </c>
      <c r="I2426" s="2" t="str">
        <f>IFERROR(__xludf.DUMMYFUNCTION("""COMPUTED_VALUE"""),"27o 46' 30""")</f>
        <v>27o 46' 30"</v>
      </c>
      <c r="J2426" s="2" t="str">
        <f>IFERROR(__xludf.DUMMYFUNCTION("""COMPUTED_VALUE"""),"27o 48' 10""")</f>
        <v>27o 48' 10"</v>
      </c>
      <c r="K2426" s="2" t="str">
        <f>IFERROR(__xludf.DUMMYFUNCTION("""COMPUTED_VALUE"""),"86o 42' 20""")</f>
        <v>86o 42' 20"</v>
      </c>
      <c r="L2426" s="2" t="str">
        <f>IFERROR(__xludf.DUMMYFUNCTION("""COMPUTED_VALUE"""),"86o 44' 00""")</f>
        <v>86o 44' 00"</v>
      </c>
      <c r="M2426" s="2" t="str">
        <f>IFERROR(__xludf.DUMMYFUNCTION("""COMPUTED_VALUE"""),"Chaurikharka,Khumjung (Solukhumbu)")</f>
        <v>Chaurikharka,Khumjung (Solukhumbu)</v>
      </c>
    </row>
    <row r="2427">
      <c r="A2427" s="2">
        <f>IFERROR(__xludf.DUMMYFUNCTION("""COMPUTED_VALUE"""),2426.0)</f>
        <v>2426</v>
      </c>
      <c r="B2427" s="2" t="str">
        <f>IFERROR(__xludf.DUMMYFUNCTION("""COMPUTED_VALUE"""),"Upper Jagdulla Hydropower Project")</f>
        <v>Upper Jagdulla Hydropower Project</v>
      </c>
      <c r="C2427" s="2">
        <f>IFERROR(__xludf.DUMMYFUNCTION("""COMPUTED_VALUE"""),65.0)</f>
        <v>65</v>
      </c>
      <c r="D2427" s="2" t="str">
        <f>IFERROR(__xludf.DUMMYFUNCTION("""COMPUTED_VALUE"""),"Jagadulla")</f>
        <v>Jagadulla</v>
      </c>
      <c r="E2427" s="2">
        <f>IFERROR(__xludf.DUMMYFUNCTION("""COMPUTED_VALUE"""),3639.0)</f>
        <v>3639</v>
      </c>
      <c r="F2427" s="3">
        <f>IFERROR(__xludf.DUMMYFUNCTION("""COMPUTED_VALUE"""),66344.0)</f>
        <v>66344</v>
      </c>
      <c r="G2427" s="2" t="str">
        <f>IFERROR(__xludf.DUMMYFUNCTION("""COMPUTED_VALUE"""),"Arun Kumar K.C.")</f>
        <v>Arun Kumar K.C.</v>
      </c>
      <c r="H2427" s="2" t="str">
        <f>IFERROR(__xludf.DUMMYFUNCTION("""COMPUTED_VALUE"""),"Budhanilkantha-4")</f>
        <v>Budhanilkantha-4</v>
      </c>
      <c r="I2427" s="2" t="str">
        <f>IFERROR(__xludf.DUMMYFUNCTION("""COMPUTED_VALUE"""),"29o 07' 54""")</f>
        <v>29o 07' 54"</v>
      </c>
      <c r="J2427" s="2" t="str">
        <f>IFERROR(__xludf.DUMMYFUNCTION("""COMPUTED_VALUE"""),"29o 16' 15""")</f>
        <v>29o 16' 15"</v>
      </c>
      <c r="K2427" s="2" t="str">
        <f>IFERROR(__xludf.DUMMYFUNCTION("""COMPUTED_VALUE"""),"82o 35' 01""")</f>
        <v>82o 35' 01"</v>
      </c>
      <c r="L2427" s="2" t="str">
        <f>IFERROR(__xludf.DUMMYFUNCTION("""COMPUTED_VALUE"""),"82o 43' 26""")</f>
        <v>82o 43' 26"</v>
      </c>
      <c r="M2427" s="2"/>
    </row>
    <row r="2428">
      <c r="A2428" s="2">
        <f>IFERROR(__xludf.DUMMYFUNCTION("""COMPUTED_VALUE"""),2427.0)</f>
        <v>2427</v>
      </c>
      <c r="B2428" s="2" t="str">
        <f>IFERROR(__xludf.DUMMYFUNCTION("""COMPUTED_VALUE"""),"Upper Jagdulla Hydroelectric Project")</f>
        <v>Upper Jagdulla Hydroelectric Project</v>
      </c>
      <c r="C2428" s="2">
        <f>IFERROR(__xludf.DUMMYFUNCTION("""COMPUTED_VALUE"""),62.75)</f>
        <v>62.75</v>
      </c>
      <c r="D2428" s="2" t="str">
        <f>IFERROR(__xludf.DUMMYFUNCTION("""COMPUTED_VALUE"""),"Jagadulla")</f>
        <v>Jagadulla</v>
      </c>
      <c r="E2428" s="2">
        <f>IFERROR(__xludf.DUMMYFUNCTION("""COMPUTED_VALUE"""),3672.0)</f>
        <v>3672</v>
      </c>
      <c r="F2428" s="3">
        <f>IFERROR(__xludf.DUMMYFUNCTION("""COMPUTED_VALUE"""),66346.0)</f>
        <v>66346</v>
      </c>
      <c r="G2428" s="2" t="str">
        <f>IFERROR(__xludf.DUMMYFUNCTION("""COMPUTED_VALUE"""),"Mandal Urja Private Limited")</f>
        <v>Mandal Urja Private Limited</v>
      </c>
      <c r="H2428" s="2" t="str">
        <f>IFERROR(__xludf.DUMMYFUNCTION("""COMPUTED_VALUE"""),"KMC-32, Subidhanagar, Kathmandu")</f>
        <v>KMC-32, Subidhanagar, Kathmandu</v>
      </c>
      <c r="I2428" s="2" t="str">
        <f>IFERROR(__xludf.DUMMYFUNCTION("""COMPUTED_VALUE"""),"29o 08' 00""")</f>
        <v>29o 08' 00"</v>
      </c>
      <c r="J2428" s="2" t="str">
        <f>IFERROR(__xludf.DUMMYFUNCTION("""COMPUTED_VALUE"""),"29o 16' 12""")</f>
        <v>29o 16' 12"</v>
      </c>
      <c r="K2428" s="2" t="str">
        <f>IFERROR(__xludf.DUMMYFUNCTION("""COMPUTED_VALUE"""),"82o 35' 08""")</f>
        <v>82o 35' 08"</v>
      </c>
      <c r="L2428" s="2" t="str">
        <f>IFERROR(__xludf.DUMMYFUNCTION("""COMPUTED_VALUE"""),"82o 43' 25""")</f>
        <v>82o 43' 25"</v>
      </c>
      <c r="M2428" s="2" t="str">
        <f>IFERROR(__xludf.DUMMYFUNCTION("""COMPUTED_VALUE"""),"Kaigaun (Dolpa)")</f>
        <v>Kaigaun (Dolpa)</v>
      </c>
    </row>
    <row r="2429">
      <c r="A2429" s="2">
        <f>IFERROR(__xludf.DUMMYFUNCTION("""COMPUTED_VALUE"""),2428.0)</f>
        <v>2428</v>
      </c>
      <c r="B2429" s="2" t="str">
        <f>IFERROR(__xludf.DUMMYFUNCTION("""COMPUTED_VALUE"""),"Madhya Madi Hydropower Project")</f>
        <v>Madhya Madi Hydropower Project</v>
      </c>
      <c r="C2429" s="2">
        <f>IFERROR(__xludf.DUMMYFUNCTION("""COMPUTED_VALUE"""),9.6)</f>
        <v>9.6</v>
      </c>
      <c r="D2429" s="2" t="str">
        <f>IFERROR(__xludf.DUMMYFUNCTION("""COMPUTED_VALUE"""),"Madi Khola")</f>
        <v>Madi Khola</v>
      </c>
      <c r="E2429" s="2">
        <f>IFERROR(__xludf.DUMMYFUNCTION("""COMPUTED_VALUE"""),3693.0)</f>
        <v>3693</v>
      </c>
      <c r="F2429" s="3">
        <f>IFERROR(__xludf.DUMMYFUNCTION("""COMPUTED_VALUE"""),66347.0)</f>
        <v>66347</v>
      </c>
      <c r="G2429" s="2" t="str">
        <f>IFERROR(__xludf.DUMMYFUNCTION("""COMPUTED_VALUE"""),"Smart Hydro Private Limited")</f>
        <v>Smart Hydro Private Limited</v>
      </c>
      <c r="H2429" s="2" t="str">
        <f>IFERROR(__xludf.DUMMYFUNCTION("""COMPUTED_VALUE"""),"Lalitpur Municipality-10, Jwagal, Lalitpur")</f>
        <v>Lalitpur Municipality-10, Jwagal, Lalitpur</v>
      </c>
      <c r="I2429" s="2" t="str">
        <f>IFERROR(__xludf.DUMMYFUNCTION("""COMPUTED_VALUE"""),"28o 21' 39""")</f>
        <v>28o 21' 39"</v>
      </c>
      <c r="J2429" s="2" t="str">
        <f>IFERROR(__xludf.DUMMYFUNCTION("""COMPUTED_VALUE"""),"28o 22' 30""")</f>
        <v>28o 22' 30"</v>
      </c>
      <c r="K2429" s="2" t="str">
        <f>IFERROR(__xludf.DUMMYFUNCTION("""COMPUTED_VALUE"""),"84o 06' 50""")</f>
        <v>84o 06' 50"</v>
      </c>
      <c r="L2429" s="2" t="str">
        <f>IFERROR(__xludf.DUMMYFUNCTION("""COMPUTED_VALUE"""),"84o 07' 50""")</f>
        <v>84o 07' 50"</v>
      </c>
      <c r="M2429" s="2"/>
    </row>
    <row r="2430">
      <c r="A2430" s="2">
        <f>IFERROR(__xludf.DUMMYFUNCTION("""COMPUTED_VALUE"""),2429.0)</f>
        <v>2429</v>
      </c>
      <c r="B2430" s="2" t="str">
        <f>IFERROR(__xludf.DUMMYFUNCTION("""COMPUTED_VALUE"""),"Sani Bheri (Syarpu) Hydropower Project")</f>
        <v>Sani Bheri (Syarpu) Hydropower Project</v>
      </c>
      <c r="C2430" s="2">
        <f>IFERROR(__xludf.DUMMYFUNCTION("""COMPUTED_VALUE"""),23.25)</f>
        <v>23.25</v>
      </c>
      <c r="D2430" s="2" t="str">
        <f>IFERROR(__xludf.DUMMYFUNCTION("""COMPUTED_VALUE"""),"Sani Bheri")</f>
        <v>Sani Bheri</v>
      </c>
      <c r="E2430" s="2">
        <f>IFERROR(__xludf.DUMMYFUNCTION("""COMPUTED_VALUE"""),3713.0)</f>
        <v>3713</v>
      </c>
      <c r="F2430" s="3">
        <f>IFERROR(__xludf.DUMMYFUNCTION("""COMPUTED_VALUE"""),66347.0)</f>
        <v>66347</v>
      </c>
      <c r="G2430" s="2" t="str">
        <f>IFERROR(__xludf.DUMMYFUNCTION("""COMPUTED_VALUE"""),"Syarpu Power Company Limited")</f>
        <v>Syarpu Power Company Limited</v>
      </c>
      <c r="H2430" s="2" t="str">
        <f>IFERROR(__xludf.DUMMYFUNCTION("""COMPUTED_VALUE"""),"Musikot, Rukum East")</f>
        <v>Musikot, Rukum East</v>
      </c>
      <c r="I2430" s="2" t="str">
        <f>IFERROR(__xludf.DUMMYFUNCTION("""COMPUTED_VALUE"""),"28o 37' 56""")</f>
        <v>28o 37' 56"</v>
      </c>
      <c r="J2430" s="2" t="str">
        <f>IFERROR(__xludf.DUMMYFUNCTION("""COMPUTED_VALUE"""),"28o 39' 44""")</f>
        <v>28o 39' 44"</v>
      </c>
      <c r="K2430" s="2" t="str">
        <f>IFERROR(__xludf.DUMMYFUNCTION("""COMPUTED_VALUE"""),"82o 37' 46""")</f>
        <v>82o 37' 46"</v>
      </c>
      <c r="L2430" s="2" t="str">
        <f>IFERROR(__xludf.DUMMYFUNCTION("""COMPUTED_VALUE"""),"82o 39' 36""")</f>
        <v>82o 39' 36"</v>
      </c>
      <c r="M2430" s="2"/>
    </row>
    <row r="2431">
      <c r="A2431" s="2">
        <f>IFERROR(__xludf.DUMMYFUNCTION("""COMPUTED_VALUE"""),2430.0)</f>
        <v>2430</v>
      </c>
      <c r="B2431" s="2" t="str">
        <f>IFERROR(__xludf.DUMMYFUNCTION("""COMPUTED_VALUE"""),"Lower Rukumgad Hydropower Project")</f>
        <v>Lower Rukumgad Hydropower Project</v>
      </c>
      <c r="C2431" s="2">
        <f>IFERROR(__xludf.DUMMYFUNCTION("""COMPUTED_VALUE"""),5.25)</f>
        <v>5.25</v>
      </c>
      <c r="D2431" s="2" t="str">
        <f>IFERROR(__xludf.DUMMYFUNCTION("""COMPUTED_VALUE"""),"Rukum Gad, Risal Khola")</f>
        <v>Rukum Gad, Risal Khola</v>
      </c>
      <c r="E2431" s="2">
        <f>IFERROR(__xludf.DUMMYFUNCTION("""COMPUTED_VALUE"""),3898.0)</f>
        <v>3898</v>
      </c>
      <c r="F2431" s="3">
        <f>IFERROR(__xludf.DUMMYFUNCTION("""COMPUTED_VALUE"""),66356.0)</f>
        <v>66356</v>
      </c>
      <c r="G2431" s="2" t="str">
        <f>IFERROR(__xludf.DUMMYFUNCTION("""COMPUTED_VALUE"""),"Ajambari Hydropower Private Limited")</f>
        <v>Ajambari Hydropower Private Limited</v>
      </c>
      <c r="H2431" s="2" t="str">
        <f>IFERROR(__xludf.DUMMYFUNCTION("""COMPUTED_VALUE"""),"KMC-10, New Baneshwor, Kathmandu")</f>
        <v>KMC-10, New Baneshwor, Kathmandu</v>
      </c>
      <c r="I2431" s="2" t="str">
        <f>IFERROR(__xludf.DUMMYFUNCTION("""COMPUTED_VALUE"""),"28o 36' 50""")</f>
        <v>28o 36' 50"</v>
      </c>
      <c r="J2431" s="2" t="str">
        <f>IFERROR(__xludf.DUMMYFUNCTION("""COMPUTED_VALUE"""),"28o 38' 02""")</f>
        <v>28o 38' 02"</v>
      </c>
      <c r="K2431" s="2" t="str">
        <f>IFERROR(__xludf.DUMMYFUNCTION("""COMPUTED_VALUE"""),"82o 37' 08""")</f>
        <v>82o 37' 08"</v>
      </c>
      <c r="L2431" s="2" t="str">
        <f>IFERROR(__xludf.DUMMYFUNCTION("""COMPUTED_VALUE"""),"82o 39' 01""")</f>
        <v>82o 39' 01"</v>
      </c>
      <c r="M2431" s="2" t="str">
        <f>IFERROR(__xludf.DUMMYFUNCTION("""COMPUTED_VALUE"""),"Sobha,Pokhara,Kanda (Rukum)")</f>
        <v>Sobha,Pokhara,Kanda (Rukum)</v>
      </c>
    </row>
    <row r="2432">
      <c r="A2432" s="2">
        <f>IFERROR(__xludf.DUMMYFUNCTION("""COMPUTED_VALUE"""),2431.0)</f>
        <v>2431</v>
      </c>
      <c r="B2432" s="2" t="str">
        <f>IFERROR(__xludf.DUMMYFUNCTION("""COMPUTED_VALUE"""),"Trishuli Khola Small Hydropower Project")</f>
        <v>Trishuli Khola Small Hydropower Project</v>
      </c>
      <c r="C2432" s="2">
        <f>IFERROR(__xludf.DUMMYFUNCTION("""COMPUTED_VALUE"""),8.0)</f>
        <v>8</v>
      </c>
      <c r="D2432" s="2" t="str">
        <f>IFERROR(__xludf.DUMMYFUNCTION("""COMPUTED_VALUE"""),"Trishuli")</f>
        <v>Trishuli</v>
      </c>
      <c r="E2432" s="2">
        <f>IFERROR(__xludf.DUMMYFUNCTION("""COMPUTED_VALUE"""),3946.0)</f>
        <v>3946</v>
      </c>
      <c r="F2432" s="3">
        <f>IFERROR(__xludf.DUMMYFUNCTION("""COMPUTED_VALUE"""),66358.0)</f>
        <v>66358</v>
      </c>
      <c r="G2432" s="2" t="str">
        <f>IFERROR(__xludf.DUMMYFUNCTION("""COMPUTED_VALUE"""),"Hemjung Gurung")</f>
        <v>Hemjung Gurung</v>
      </c>
      <c r="H2432" s="2" t="str">
        <f>IFERROR(__xludf.DUMMYFUNCTION("""COMPUTED_VALUE"""),"Tokha -07, Kathmandu")</f>
        <v>Tokha -07, Kathmandu</v>
      </c>
      <c r="I2432" s="2" t="str">
        <f>IFERROR(__xludf.DUMMYFUNCTION("""COMPUTED_VALUE"""),"28o 05' 50""")</f>
        <v>28o 05' 50"</v>
      </c>
      <c r="J2432" s="2" t="str">
        <f>IFERROR(__xludf.DUMMYFUNCTION("""COMPUTED_VALUE"""),"28o 07' 41""")</f>
        <v>28o 07' 41"</v>
      </c>
      <c r="K2432" s="2" t="str">
        <f>IFERROR(__xludf.DUMMYFUNCTION("""COMPUTED_VALUE"""),"85o 17' 58""")</f>
        <v>85o 17' 58"</v>
      </c>
      <c r="L2432" s="2" t="str">
        <f>IFERROR(__xludf.DUMMYFUNCTION("""COMPUTED_VALUE"""),"85o 19' 20""")</f>
        <v>85o 19' 20"</v>
      </c>
      <c r="M2432" s="2" t="str">
        <f>IFERROR(__xludf.DUMMYFUNCTION("""COMPUTED_VALUE"""),"Haku,Dhunche,Gatlang (Rasuwa)")</f>
        <v>Haku,Dhunche,Gatlang (Rasuwa)</v>
      </c>
    </row>
    <row r="2433">
      <c r="A2433" s="2">
        <f>IFERROR(__xludf.DUMMYFUNCTION("""COMPUTED_VALUE"""),2432.0)</f>
        <v>2432</v>
      </c>
      <c r="B2433" s="2" t="str">
        <f>IFERROR(__xludf.DUMMYFUNCTION("""COMPUTED_VALUE"""),"Trishuli Khola Small HydroelectricProject")</f>
        <v>Trishuli Khola Small HydroelectricProject</v>
      </c>
      <c r="C2433" s="2">
        <f>IFERROR(__xludf.DUMMYFUNCTION("""COMPUTED_VALUE"""),9.5)</f>
        <v>9.5</v>
      </c>
      <c r="D2433" s="2" t="str">
        <f>IFERROR(__xludf.DUMMYFUNCTION("""COMPUTED_VALUE"""),"Trishuli")</f>
        <v>Trishuli</v>
      </c>
      <c r="E2433" s="2">
        <f>IFERROR(__xludf.DUMMYFUNCTION("""COMPUTED_VALUE"""),3949.0)</f>
        <v>3949</v>
      </c>
      <c r="F2433" s="3">
        <f>IFERROR(__xludf.DUMMYFUNCTION("""COMPUTED_VALUE"""),66358.0)</f>
        <v>66358</v>
      </c>
      <c r="G2433" s="2" t="str">
        <f>IFERROR(__xludf.DUMMYFUNCTION("""COMPUTED_VALUE"""),"Dynamic Power Private Limited")</f>
        <v>Dynamic Power Private Limited</v>
      </c>
      <c r="H2433" s="2" t="str">
        <f>IFERROR(__xludf.DUMMYFUNCTION("""COMPUTED_VALUE"""),"Kamalpokhari, Kathmandu, 9851027992")</f>
        <v>Kamalpokhari, Kathmandu, 9851027992</v>
      </c>
      <c r="I2433" s="2" t="str">
        <f>IFERROR(__xludf.DUMMYFUNCTION("""COMPUTED_VALUE"""),"28o 05' 50""")</f>
        <v>28o 05' 50"</v>
      </c>
      <c r="J2433" s="2" t="str">
        <f>IFERROR(__xludf.DUMMYFUNCTION("""COMPUTED_VALUE"""),"28o 07' 41""")</f>
        <v>28o 07' 41"</v>
      </c>
      <c r="K2433" s="2" t="str">
        <f>IFERROR(__xludf.DUMMYFUNCTION("""COMPUTED_VALUE"""),"85o 17' 58""")</f>
        <v>85o 17' 58"</v>
      </c>
      <c r="L2433" s="2" t="str">
        <f>IFERROR(__xludf.DUMMYFUNCTION("""COMPUTED_VALUE"""),"85o 19' 20""")</f>
        <v>85o 19' 20"</v>
      </c>
      <c r="M2433" s="2" t="str">
        <f>IFERROR(__xludf.DUMMYFUNCTION("""COMPUTED_VALUE"""),"Dhunche,Gatlang,Haku (Rasuwa)")</f>
        <v>Dhunche,Gatlang,Haku (Rasuwa)</v>
      </c>
    </row>
    <row r="2434">
      <c r="A2434" s="2">
        <f>IFERROR(__xludf.DUMMYFUNCTION("""COMPUTED_VALUE"""),2433.0)</f>
        <v>2433</v>
      </c>
      <c r="B2434" s="2" t="str">
        <f>IFERROR(__xludf.DUMMYFUNCTION("""COMPUTED_VALUE"""),"Super Sunigad Hydropower Project")</f>
        <v>Super Sunigad Hydropower Project</v>
      </c>
      <c r="C2434" s="2">
        <f>IFERROR(__xludf.DUMMYFUNCTION("""COMPUTED_VALUE"""),4.8)</f>
        <v>4.8</v>
      </c>
      <c r="D2434" s="2" t="str">
        <f>IFERROR(__xludf.DUMMYFUNCTION("""COMPUTED_VALUE"""),"Sunigad")</f>
        <v>Sunigad</v>
      </c>
      <c r="E2434" s="2">
        <f>IFERROR(__xludf.DUMMYFUNCTION("""COMPUTED_VALUE"""),4103.0)</f>
        <v>4103</v>
      </c>
      <c r="F2434" s="3">
        <f>IFERROR(__xludf.DUMMYFUNCTION("""COMPUTED_VALUE"""),66363.0)</f>
        <v>66363</v>
      </c>
      <c r="G2434" s="2" t="str">
        <f>IFERROR(__xludf.DUMMYFUNCTION("""COMPUTED_VALUE"""),"Hydro Hills Pvt. Ltd")</f>
        <v>Hydro Hills Pvt. Ltd</v>
      </c>
      <c r="H2434" s="2" t="str">
        <f>IFERROR(__xludf.DUMMYFUNCTION("""COMPUTED_VALUE"""),"Ward No 4 , Imadol, Mahalaxmi Municipality, Lalitpur")</f>
        <v>Ward No 4 , Imadol, Mahalaxmi Municipality, Lalitpur</v>
      </c>
      <c r="I2434" s="2" t="str">
        <f>IFERROR(__xludf.DUMMYFUNCTION("""COMPUTED_VALUE"""),"29o 41' 17""")</f>
        <v>29o 41' 17"</v>
      </c>
      <c r="J2434" s="2" t="str">
        <f>IFERROR(__xludf.DUMMYFUNCTION("""COMPUTED_VALUE"""),"29o 42' 48""")</f>
        <v>29o 42' 48"</v>
      </c>
      <c r="K2434" s="2" t="str">
        <f>IFERROR(__xludf.DUMMYFUNCTION("""COMPUTED_VALUE"""),"81o 11' 30""")</f>
        <v>81o 11' 30"</v>
      </c>
      <c r="L2434" s="2" t="str">
        <f>IFERROR(__xludf.DUMMYFUNCTION("""COMPUTED_VALUE"""),"81o 13' 03""")</f>
        <v>81o 13' 03"</v>
      </c>
      <c r="M2434" s="2" t="str">
        <f>IFERROR(__xludf.DUMMYFUNCTION("""COMPUTED_VALUE"""),"Surma (Bajhang)")</f>
        <v>Surma (Bajhang)</v>
      </c>
    </row>
    <row r="2435">
      <c r="A2435" s="2">
        <f>IFERROR(__xludf.DUMMYFUNCTION("""COMPUTED_VALUE"""),2434.0)</f>
        <v>2434</v>
      </c>
      <c r="B2435" s="2" t="str">
        <f>IFERROR(__xludf.DUMMYFUNCTION("""COMPUTED_VALUE"""),"Taman Khola Hydropower Project")</f>
        <v>Taman Khola Hydropower Project</v>
      </c>
      <c r="C2435" s="2">
        <f>IFERROR(__xludf.DUMMYFUNCTION("""COMPUTED_VALUE"""),4.13)</f>
        <v>4.13</v>
      </c>
      <c r="D2435" s="2" t="str">
        <f>IFERROR(__xludf.DUMMYFUNCTION("""COMPUTED_VALUE"""),"Taman")</f>
        <v>Taman</v>
      </c>
      <c r="E2435" s="2">
        <f>IFERROR(__xludf.DUMMYFUNCTION("""COMPUTED_VALUE"""),4112.0)</f>
        <v>4112</v>
      </c>
      <c r="F2435" s="3">
        <f>IFERROR(__xludf.DUMMYFUNCTION("""COMPUTED_VALUE"""),66365.0)</f>
        <v>66365</v>
      </c>
      <c r="G2435" s="2" t="str">
        <f>IFERROR(__xludf.DUMMYFUNCTION("""COMPUTED_VALUE"""),"Jal Saurya Urja Private Limited")</f>
        <v>Jal Saurya Urja Private Limited</v>
      </c>
      <c r="H2435" s="2" t="str">
        <f>IFERROR(__xludf.DUMMYFUNCTION("""COMPUTED_VALUE"""),"Lalitpur")</f>
        <v>Lalitpur</v>
      </c>
      <c r="I2435" s="2" t="str">
        <f>IFERROR(__xludf.DUMMYFUNCTION("""COMPUTED_VALUE"""),"28o 21' 35""")</f>
        <v>28o 21' 35"</v>
      </c>
      <c r="J2435" s="2" t="str">
        <f>IFERROR(__xludf.DUMMYFUNCTION("""COMPUTED_VALUE"""),"28o 23' 50""")</f>
        <v>28o 23' 50"</v>
      </c>
      <c r="K2435" s="2" t="str">
        <f>IFERROR(__xludf.DUMMYFUNCTION("""COMPUTED_VALUE"""),"83o 11' 01""")</f>
        <v>83o 11' 01"</v>
      </c>
      <c r="L2435" s="2" t="str">
        <f>IFERROR(__xludf.DUMMYFUNCTION("""COMPUTED_VALUE"""),"83o 12' 30""")</f>
        <v>83o 12' 30"</v>
      </c>
      <c r="M2435" s="2" t="str">
        <f>IFERROR(__xludf.DUMMYFUNCTION("""COMPUTED_VALUE"""),"Bungadovan,Burtiwang,Khunga (Baglung)")</f>
        <v>Bungadovan,Burtiwang,Khunga (Baglung)</v>
      </c>
    </row>
    <row r="2436">
      <c r="A2436" s="2">
        <f>IFERROR(__xludf.DUMMYFUNCTION("""COMPUTED_VALUE"""),2435.0)</f>
        <v>2435</v>
      </c>
      <c r="B2436" s="2" t="str">
        <f>IFERROR(__xludf.DUMMYFUNCTION("""COMPUTED_VALUE"""),"Rahagad Hydropower Project")</f>
        <v>Rahagad Hydropower Project</v>
      </c>
      <c r="C2436" s="2">
        <f>IFERROR(__xludf.DUMMYFUNCTION("""COMPUTED_VALUE"""),7.07)</f>
        <v>7.07</v>
      </c>
      <c r="D2436" s="2" t="str">
        <f>IFERROR(__xludf.DUMMYFUNCTION("""COMPUTED_VALUE"""),"Rahagad")</f>
        <v>Rahagad</v>
      </c>
      <c r="E2436" s="2">
        <f>IFERROR(__xludf.DUMMYFUNCTION("""COMPUTED_VALUE"""),4225.0)</f>
        <v>4225</v>
      </c>
      <c r="F2436" s="3">
        <f>IFERROR(__xludf.DUMMYFUNCTION("""COMPUTED_VALUE"""),66370.0)</f>
        <v>66370</v>
      </c>
      <c r="G2436" s="2" t="str">
        <f>IFERROR(__xludf.DUMMYFUNCTION("""COMPUTED_VALUE"""),"Abdhi Urja Private Limited")</f>
        <v>Abdhi Urja Private Limited</v>
      </c>
      <c r="H2436" s="2" t="str">
        <f>IFERROR(__xludf.DUMMYFUNCTION("""COMPUTED_VALUE"""),"Kathmandu - 05, Nepal")</f>
        <v>Kathmandu - 05, Nepal</v>
      </c>
      <c r="I2436" s="2" t="str">
        <f>IFERROR(__xludf.DUMMYFUNCTION("""COMPUTED_VALUE"""),"29o 07' 51""")</f>
        <v>29o 07' 51"</v>
      </c>
      <c r="J2436" s="2" t="str">
        <f>IFERROR(__xludf.DUMMYFUNCTION("""COMPUTED_VALUE"""),"29o 10' 15""")</f>
        <v>29o 10' 15"</v>
      </c>
      <c r="K2436" s="2" t="str">
        <f>IFERROR(__xludf.DUMMYFUNCTION("""COMPUTED_VALUE"""),"81o 33' 15""")</f>
        <v>81o 33' 15"</v>
      </c>
      <c r="L2436" s="2" t="str">
        <f>IFERROR(__xludf.DUMMYFUNCTION("""COMPUTED_VALUE"""),"81o 34' 17""")</f>
        <v>81o 34' 17"</v>
      </c>
      <c r="M2436" s="2" t="str">
        <f>IFERROR(__xludf.DUMMYFUNCTION("""COMPUTED_VALUE"""),"Kotbada,Lalutantikot (Kalikot)")</f>
        <v>Kotbada,Lalutantikot (Kalikot)</v>
      </c>
    </row>
    <row r="2437">
      <c r="A2437" s="2">
        <f>IFERROR(__xludf.DUMMYFUNCTION("""COMPUTED_VALUE"""),2436.0)</f>
        <v>2436</v>
      </c>
      <c r="B2437" s="2" t="str">
        <f>IFERROR(__xludf.DUMMYFUNCTION("""COMPUTED_VALUE"""),"Nwagad Hydroelectric Project")</f>
        <v>Nwagad Hydroelectric Project</v>
      </c>
      <c r="C2437" s="2">
        <f>IFERROR(__xludf.DUMMYFUNCTION("""COMPUTED_VALUE"""),9.68)</f>
        <v>9.68</v>
      </c>
      <c r="D2437" s="2" t="str">
        <f>IFERROR(__xludf.DUMMYFUNCTION("""COMPUTED_VALUE"""),"Nwa Gad Khola")</f>
        <v>Nwa Gad Khola</v>
      </c>
      <c r="E2437" s="2">
        <f>IFERROR(__xludf.DUMMYFUNCTION("""COMPUTED_VALUE"""),4228.0)</f>
        <v>4228</v>
      </c>
      <c r="F2437" s="3">
        <f>IFERROR(__xludf.DUMMYFUNCTION("""COMPUTED_VALUE"""),66370.0)</f>
        <v>66370</v>
      </c>
      <c r="G2437" s="2" t="str">
        <f>IFERROR(__xludf.DUMMYFUNCTION("""COMPUTED_VALUE"""),"Latinath Power Company Limited")</f>
        <v>Latinath Power Company Limited</v>
      </c>
      <c r="H2437" s="2" t="str">
        <f>IFERROR(__xludf.DUMMYFUNCTION("""COMPUTED_VALUE"""),"Tarde Tower Nepal, Kathmandu - 11, Thapathali")</f>
        <v>Tarde Tower Nepal, Kathmandu - 11, Thapathali</v>
      </c>
      <c r="I2437" s="2" t="str">
        <f>IFERROR(__xludf.DUMMYFUNCTION("""COMPUTED_VALUE"""),"29o 43' 49""")</f>
        <v>29o 43' 49"</v>
      </c>
      <c r="J2437" s="2" t="str">
        <f>IFERROR(__xludf.DUMMYFUNCTION("""COMPUTED_VALUE"""),"29o 45' 05""")</f>
        <v>29o 45' 05"</v>
      </c>
      <c r="K2437" s="2" t="str">
        <f>IFERROR(__xludf.DUMMYFUNCTION("""COMPUTED_VALUE"""),"80o 47' 03""")</f>
        <v>80o 47' 03"</v>
      </c>
      <c r="L2437" s="2" t="str">
        <f>IFERROR(__xludf.DUMMYFUNCTION("""COMPUTED_VALUE"""),"80o 49' 40""")</f>
        <v>80o 49' 40"</v>
      </c>
      <c r="M2437" s="2" t="str">
        <f>IFERROR(__xludf.DUMMYFUNCTION("""COMPUTED_VALUE"""),"Guljar,Tapoban,Latinath (Darchula)")</f>
        <v>Guljar,Tapoban,Latinath (Darchula)</v>
      </c>
    </row>
    <row r="2438">
      <c r="A2438" s="2">
        <f>IFERROR(__xludf.DUMMYFUNCTION("""COMPUTED_VALUE"""),2437.0)</f>
        <v>2437</v>
      </c>
      <c r="B2438" s="2" t="str">
        <f>IFERROR(__xludf.DUMMYFUNCTION("""COMPUTED_VALUE"""),"Super Manang Small Hydropower Project")</f>
        <v>Super Manang Small Hydropower Project</v>
      </c>
      <c r="C2438" s="2">
        <f>IFERROR(__xludf.DUMMYFUNCTION("""COMPUTED_VALUE"""),8.0)</f>
        <v>8</v>
      </c>
      <c r="D2438" s="2" t="str">
        <f>IFERROR(__xludf.DUMMYFUNCTION("""COMPUTED_VALUE"""),"Marsyangdi")</f>
        <v>Marsyangdi</v>
      </c>
      <c r="E2438" s="2">
        <f>IFERROR(__xludf.DUMMYFUNCTION("""COMPUTED_VALUE"""),4319.0)</f>
        <v>4319</v>
      </c>
      <c r="F2438" s="3">
        <f>IFERROR(__xludf.DUMMYFUNCTION("""COMPUTED_VALUE"""),66373.0)</f>
        <v>66373</v>
      </c>
      <c r="G2438" s="2" t="str">
        <f>IFERROR(__xludf.DUMMYFUNCTION("""COMPUTED_VALUE"""),"G. And G. Infra Private Limited")</f>
        <v>G. And G. Infra Private Limited</v>
      </c>
      <c r="H2438" s="2" t="str">
        <f>IFERROR(__xludf.DUMMYFUNCTION("""COMPUTED_VALUE"""),"KMC-1, Gyaneshwor")</f>
        <v>KMC-1, Gyaneshwor</v>
      </c>
      <c r="I2438" s="2" t="str">
        <f>IFERROR(__xludf.DUMMYFUNCTION("""COMPUTED_VALUE"""),"28o 38' 23""")</f>
        <v>28o 38' 23"</v>
      </c>
      <c r="J2438" s="2" t="str">
        <f>IFERROR(__xludf.DUMMYFUNCTION("""COMPUTED_VALUE"""),"28o 39' 48""")</f>
        <v>28o 39' 48"</v>
      </c>
      <c r="K2438" s="2" t="str">
        <f>IFERROR(__xludf.DUMMYFUNCTION("""COMPUTED_VALUE"""),"84o 01' 37""")</f>
        <v>84o 01' 37"</v>
      </c>
      <c r="L2438" s="2" t="str">
        <f>IFERROR(__xludf.DUMMYFUNCTION("""COMPUTED_VALUE"""),"84o 04' 40""")</f>
        <v>84o 04' 40"</v>
      </c>
      <c r="M2438" s="2" t="str">
        <f>IFERROR(__xludf.DUMMYFUNCTION("""COMPUTED_VALUE"""),"Bhakra,Manang (Manang)")</f>
        <v>Bhakra,Manang (Manang)</v>
      </c>
    </row>
    <row r="2439">
      <c r="A2439" s="2">
        <f>IFERROR(__xludf.DUMMYFUNCTION("""COMPUTED_VALUE"""),2438.0)</f>
        <v>2438</v>
      </c>
      <c r="B2439" s="2" t="str">
        <f>IFERROR(__xludf.DUMMYFUNCTION("""COMPUTED_VALUE"""),"Tamakoshi Khimti Hydropower Project")</f>
        <v>Tamakoshi Khimti Hydropower Project</v>
      </c>
      <c r="C2439" s="2">
        <f>IFERROR(__xludf.DUMMYFUNCTION("""COMPUTED_VALUE"""),4.95)</f>
        <v>4.95</v>
      </c>
      <c r="D2439" s="2" t="str">
        <f>IFERROR(__xludf.DUMMYFUNCTION("""COMPUTED_VALUE"""),"Tamakoshi")</f>
        <v>Tamakoshi</v>
      </c>
      <c r="E2439" s="2">
        <f>IFERROR(__xludf.DUMMYFUNCTION("""COMPUTED_VALUE"""),4348.0)</f>
        <v>4348</v>
      </c>
      <c r="F2439" s="3">
        <f>IFERROR(__xludf.DUMMYFUNCTION("""COMPUTED_VALUE"""),66375.0)</f>
        <v>66375</v>
      </c>
      <c r="G2439" s="2" t="str">
        <f>IFERROR(__xludf.DUMMYFUNCTION("""COMPUTED_VALUE"""),"Sujan Kumar Kafle")</f>
        <v>Sujan Kumar Kafle</v>
      </c>
      <c r="H2439" s="2" t="str">
        <f>IFERROR(__xludf.DUMMYFUNCTION("""COMPUTED_VALUE"""),"Ramechhap")</f>
        <v>Ramechhap</v>
      </c>
      <c r="I2439" s="2" t="str">
        <f>IFERROR(__xludf.DUMMYFUNCTION("""COMPUTED_VALUE"""),"27o 27' 40""")</f>
        <v>27o 27' 40"</v>
      </c>
      <c r="J2439" s="2" t="str">
        <f>IFERROR(__xludf.DUMMYFUNCTION("""COMPUTED_VALUE"""),"27o 29' 34""")</f>
        <v>27o 29' 34"</v>
      </c>
      <c r="K2439" s="2" t="str">
        <f>IFERROR(__xludf.DUMMYFUNCTION("""COMPUTED_VALUE"""),"86o 06' 00""")</f>
        <v>86o 06' 00"</v>
      </c>
      <c r="L2439" s="2" t="str">
        <f>IFERROR(__xludf.DUMMYFUNCTION("""COMPUTED_VALUE"""),"86o 07' 30""")</f>
        <v>86o 07' 30"</v>
      </c>
      <c r="M2439" s="2"/>
    </row>
    <row r="2440">
      <c r="A2440" s="2">
        <f>IFERROR(__xludf.DUMMYFUNCTION("""COMPUTED_VALUE"""),2439.0)</f>
        <v>2439</v>
      </c>
      <c r="B2440" s="2" t="str">
        <f>IFERROR(__xludf.DUMMYFUNCTION("""COMPUTED_VALUE"""),"Syar Khola Hydropower Project")</f>
        <v>Syar Khola Hydropower Project</v>
      </c>
      <c r="C2440" s="2">
        <f>IFERROR(__xludf.DUMMYFUNCTION("""COMPUTED_VALUE"""),21.0)</f>
        <v>21</v>
      </c>
      <c r="D2440" s="2" t="str">
        <f>IFERROR(__xludf.DUMMYFUNCTION("""COMPUTED_VALUE"""),"Syar")</f>
        <v>Syar</v>
      </c>
      <c r="E2440" s="2">
        <f>IFERROR(__xludf.DUMMYFUNCTION("""COMPUTED_VALUE"""),4409.0)</f>
        <v>4409</v>
      </c>
      <c r="F2440" s="3">
        <f>IFERROR(__xludf.DUMMYFUNCTION("""COMPUTED_VALUE"""),66376.0)</f>
        <v>66376</v>
      </c>
      <c r="G2440" s="2" t="str">
        <f>IFERROR(__xludf.DUMMYFUNCTION("""COMPUTED_VALUE"""),"Power Bank Private Limited")</f>
        <v>Power Bank Private Limited</v>
      </c>
      <c r="H2440" s="2" t="str">
        <f>IFERROR(__xludf.DUMMYFUNCTION("""COMPUTED_VALUE"""),"Balaju - 16, Kathmandu, 9860136640, 9803163441")</f>
        <v>Balaju - 16, Kathmandu, 9860136640, 9803163441</v>
      </c>
      <c r="I2440" s="2" t="str">
        <f>IFERROR(__xludf.DUMMYFUNCTION("""COMPUTED_VALUE"""),"28o 28' 40""")</f>
        <v>28o 28' 40"</v>
      </c>
      <c r="J2440" s="2" t="str">
        <f>IFERROR(__xludf.DUMMYFUNCTION("""COMPUTED_VALUE"""),"28o 31' 14""")</f>
        <v>28o 31' 14"</v>
      </c>
      <c r="K2440" s="2" t="str">
        <f>IFERROR(__xludf.DUMMYFUNCTION("""COMPUTED_VALUE"""),"85o 02' 50""")</f>
        <v>85o 02' 50"</v>
      </c>
      <c r="L2440" s="2" t="str">
        <f>IFERROR(__xludf.DUMMYFUNCTION("""COMPUTED_VALUE"""),"85o 05' 38""")</f>
        <v>85o 05' 38"</v>
      </c>
      <c r="M2440" s="2" t="str">
        <f>IFERROR(__xludf.DUMMYFUNCTION("""COMPUTED_VALUE"""),"Chhaikampar (Gorkha)")</f>
        <v>Chhaikampar (Gorkha)</v>
      </c>
    </row>
    <row r="2441">
      <c r="A2441" s="2">
        <f>IFERROR(__xludf.DUMMYFUNCTION("""COMPUTED_VALUE"""),2440.0)</f>
        <v>2440</v>
      </c>
      <c r="B2441" s="2" t="str">
        <f>IFERROR(__xludf.DUMMYFUNCTION("""COMPUTED_VALUE"""),"Hima Nadi Hydroelectric Project")</f>
        <v>Hima Nadi Hydroelectric Project</v>
      </c>
      <c r="C2441" s="2">
        <f>IFERROR(__xludf.DUMMYFUNCTION("""COMPUTED_VALUE"""),23.5)</f>
        <v>23.5</v>
      </c>
      <c r="D2441" s="2" t="str">
        <f>IFERROR(__xludf.DUMMYFUNCTION("""COMPUTED_VALUE"""),"Hima Nadi")</f>
        <v>Hima Nadi</v>
      </c>
      <c r="E2441" s="2">
        <f>IFERROR(__xludf.DUMMYFUNCTION("""COMPUTED_VALUE"""),4471.0)</f>
        <v>4471</v>
      </c>
      <c r="F2441" s="3">
        <f>IFERROR(__xludf.DUMMYFUNCTION("""COMPUTED_VALUE"""),66378.0)</f>
        <v>66378</v>
      </c>
      <c r="G2441" s="2" t="str">
        <f>IFERROR(__xludf.DUMMYFUNCTION("""COMPUTED_VALUE"""),"Hima Power Private Limited")</f>
        <v>Hima Power Private Limited</v>
      </c>
      <c r="H2441" s="2" t="str">
        <f>IFERROR(__xludf.DUMMYFUNCTION("""COMPUTED_VALUE"""),"Tokha - 6, Kathmandu")</f>
        <v>Tokha - 6, Kathmandu</v>
      </c>
      <c r="I2441" s="2" t="str">
        <f>IFERROR(__xludf.DUMMYFUNCTION("""COMPUTED_VALUE"""),"29o 11' 50""")</f>
        <v>29o 11' 50"</v>
      </c>
      <c r="J2441" s="2" t="str">
        <f>IFERROR(__xludf.DUMMYFUNCTION("""COMPUTED_VALUE"""),"29o 16' 00""")</f>
        <v>29o 16' 00"</v>
      </c>
      <c r="K2441" s="2" t="str">
        <f>IFERROR(__xludf.DUMMYFUNCTION("""COMPUTED_VALUE"""),"81o 53' 30""")</f>
        <v>81o 53' 30"</v>
      </c>
      <c r="L2441" s="2" t="str">
        <f>IFERROR(__xludf.DUMMYFUNCTION("""COMPUTED_VALUE"""),"81o 58' 28""")</f>
        <v>81o 58' 28"</v>
      </c>
      <c r="M2441" s="2" t="str">
        <f>IFERROR(__xludf.DUMMYFUNCTION("""COMPUTED_VALUE"""),"Ghode Mahadev,Kudari,Lihi,Kalikakhetu ?,Mahabe PattharKhola (Jumla)")</f>
        <v>Ghode Mahadev,Kudari,Lihi,Kalikakhetu ?,Mahabe PattharKhola (Jumla)</v>
      </c>
    </row>
    <row r="2442">
      <c r="A2442" s="2">
        <f>IFERROR(__xludf.DUMMYFUNCTION("""COMPUTED_VALUE"""),2441.0)</f>
        <v>2441</v>
      </c>
      <c r="B2442" s="2" t="str">
        <f>IFERROR(__xludf.DUMMYFUNCTION("""COMPUTED_VALUE"""),"Mathillo Lankhuwa Khola Hydropower Project")</f>
        <v>Mathillo Lankhuwa Khola Hydropower Project</v>
      </c>
      <c r="C2442" s="2">
        <f>IFERROR(__xludf.DUMMYFUNCTION("""COMPUTED_VALUE"""),4.8)</f>
        <v>4.8</v>
      </c>
      <c r="D2442" s="2" t="str">
        <f>IFERROR(__xludf.DUMMYFUNCTION("""COMPUTED_VALUE"""),"Lankhuwa")</f>
        <v>Lankhuwa</v>
      </c>
      <c r="E2442" s="2">
        <f>IFERROR(__xludf.DUMMYFUNCTION("""COMPUTED_VALUE"""),4668.0)</f>
        <v>4668</v>
      </c>
      <c r="F2442" s="3">
        <f>IFERROR(__xludf.DUMMYFUNCTION("""COMPUTED_VALUE"""),66387.0)</f>
        <v>66387</v>
      </c>
      <c r="G2442" s="2" t="str">
        <f>IFERROR(__xludf.DUMMYFUNCTION("""COMPUTED_VALUE"""),"Krishna Prasad Khanal")</f>
        <v>Krishna Prasad Khanal</v>
      </c>
      <c r="H2442" s="2" t="str">
        <f>IFERROR(__xludf.DUMMYFUNCTION("""COMPUTED_VALUE"""),"Chitwan, Ratnanagar Municipality")</f>
        <v>Chitwan, Ratnanagar Municipality</v>
      </c>
      <c r="I2442" s="2" t="str">
        <f>IFERROR(__xludf.DUMMYFUNCTION("""COMPUTED_VALUE"""),"27o 26' 50""")</f>
        <v>27o 26' 50"</v>
      </c>
      <c r="J2442" s="2" t="str">
        <f>IFERROR(__xludf.DUMMYFUNCTION("""COMPUTED_VALUE"""),"27o 29' 20""")</f>
        <v>27o 29' 20"</v>
      </c>
      <c r="K2442" s="2" t="str">
        <f>IFERROR(__xludf.DUMMYFUNCTION("""COMPUTED_VALUE"""),"87o 15' 30""")</f>
        <v>87o 15' 30"</v>
      </c>
      <c r="L2442" s="2" t="str">
        <f>IFERROR(__xludf.DUMMYFUNCTION("""COMPUTED_VALUE"""),"87o 19' 00""")</f>
        <v>87o 19' 00"</v>
      </c>
      <c r="M2442" s="2"/>
    </row>
    <row r="2443">
      <c r="A2443" s="2">
        <f>IFERROR(__xludf.DUMMYFUNCTION("""COMPUTED_VALUE"""),2442.0)</f>
        <v>2442</v>
      </c>
      <c r="B2443" s="2" t="str">
        <f>IFERROR(__xludf.DUMMYFUNCTION("""COMPUTED_VALUE"""),"Super Sunigad Hydropower Project")</f>
        <v>Super Sunigad Hydropower Project</v>
      </c>
      <c r="C2443" s="2">
        <f>IFERROR(__xludf.DUMMYFUNCTION("""COMPUTED_VALUE"""),12.0)</f>
        <v>12</v>
      </c>
      <c r="D2443" s="2" t="str">
        <f>IFERROR(__xludf.DUMMYFUNCTION("""COMPUTED_VALUE"""),"Sunigad")</f>
        <v>Sunigad</v>
      </c>
      <c r="E2443" s="2">
        <f>IFERROR(__xludf.DUMMYFUNCTION("""COMPUTED_VALUE"""),4854.0)</f>
        <v>4854</v>
      </c>
      <c r="F2443" s="3">
        <f>IFERROR(__xludf.DUMMYFUNCTION("""COMPUTED_VALUE"""),66392.0)</f>
        <v>66392</v>
      </c>
      <c r="G2443" s="2" t="str">
        <f>IFERROR(__xludf.DUMMYFUNCTION("""COMPUTED_VALUE"""),"Hydro Hills Pvt. Ltd")</f>
        <v>Hydro Hills Pvt. Ltd</v>
      </c>
      <c r="H2443" s="2" t="str">
        <f>IFERROR(__xludf.DUMMYFUNCTION("""COMPUTED_VALUE"""),"Ward No 4, Imadole, Mahalaxmi Municipality, Lalitpur")</f>
        <v>Ward No 4, Imadole, Mahalaxmi Municipality, Lalitpur</v>
      </c>
      <c r="I2443" s="2" t="str">
        <f>IFERROR(__xludf.DUMMYFUNCTION("""COMPUTED_VALUE"""),"29o 41' 17""")</f>
        <v>29o 41' 17"</v>
      </c>
      <c r="J2443" s="2" t="str">
        <f>IFERROR(__xludf.DUMMYFUNCTION("""COMPUTED_VALUE"""),"29o 42' 48""")</f>
        <v>29o 42' 48"</v>
      </c>
      <c r="K2443" s="2" t="str">
        <f>IFERROR(__xludf.DUMMYFUNCTION("""COMPUTED_VALUE"""),"81o 11' 30""")</f>
        <v>81o 11' 30"</v>
      </c>
      <c r="L2443" s="2" t="str">
        <f>IFERROR(__xludf.DUMMYFUNCTION("""COMPUTED_VALUE"""),"81o 13' 03""")</f>
        <v>81o 13' 03"</v>
      </c>
      <c r="M2443" s="2"/>
    </row>
    <row r="2444">
      <c r="A2444" s="2">
        <f>IFERROR(__xludf.DUMMYFUNCTION("""COMPUTED_VALUE"""),2443.0)</f>
        <v>2443</v>
      </c>
      <c r="B2444" s="2" t="str">
        <f>IFERROR(__xludf.DUMMYFUNCTION("""COMPUTED_VALUE"""),"Ghustung Khola Hydropower Project")</f>
        <v>Ghustung Khola Hydropower Project</v>
      </c>
      <c r="C2444" s="2">
        <f>IFERROR(__xludf.DUMMYFUNCTION("""COMPUTED_VALUE"""),75.0)</f>
        <v>75</v>
      </c>
      <c r="D2444" s="2" t="str">
        <f>IFERROR(__xludf.DUMMYFUNCTION("""COMPUTED_VALUE"""),"Ghustung Khola")</f>
        <v>Ghustung Khola</v>
      </c>
      <c r="E2444" s="2">
        <f>IFERROR(__xludf.DUMMYFUNCTION("""COMPUTED_VALUE"""),4864.0)</f>
        <v>4864</v>
      </c>
      <c r="F2444" s="3">
        <f>IFERROR(__xludf.DUMMYFUNCTION("""COMPUTED_VALUE"""),66392.0)</f>
        <v>66392</v>
      </c>
      <c r="G2444" s="2" t="str">
        <f>IFERROR(__xludf.DUMMYFUNCTION("""COMPUTED_VALUE"""),"Shanta Himalaya Hydropower Private Limited")</f>
        <v>Shanta Himalaya Hydropower Private Limited</v>
      </c>
      <c r="H2444" s="2" t="str">
        <f>IFERROR(__xludf.DUMMYFUNCTION("""COMPUTED_VALUE"""),"Budhanilkantha Municipality 2 , Kathmandu")</f>
        <v>Budhanilkantha Municipality 2 , Kathmandu</v>
      </c>
      <c r="I2444" s="2" t="str">
        <f>IFERROR(__xludf.DUMMYFUNCTION("""COMPUTED_VALUE"""),"28o 36' 10""")</f>
        <v>28o 36' 10"</v>
      </c>
      <c r="J2444" s="2" t="str">
        <f>IFERROR(__xludf.DUMMYFUNCTION("""COMPUTED_VALUE"""),"28o 39' 20""")</f>
        <v>28o 39' 20"</v>
      </c>
      <c r="K2444" s="2" t="str">
        <f>IFERROR(__xludf.DUMMYFUNCTION("""COMPUTED_VALUE"""),"82o 56' 49""")</f>
        <v>82o 56' 49"</v>
      </c>
      <c r="L2444" s="2" t="str">
        <f>IFERROR(__xludf.DUMMYFUNCTION("""COMPUTED_VALUE"""),"83o 03' 00""")</f>
        <v>83o 03' 00"</v>
      </c>
      <c r="M2444" s="2" t="str">
        <f>IFERROR(__xludf.DUMMYFUNCTION("""COMPUTED_VALUE"""),"Bowang (Baglung) Ranmamekot (Rukum)")</f>
        <v>Bowang (Baglung) Ranmamekot (Rukum)</v>
      </c>
    </row>
    <row r="2445">
      <c r="A2445" s="2">
        <f>IFERROR(__xludf.DUMMYFUNCTION("""COMPUTED_VALUE"""),2444.0)</f>
        <v>2444</v>
      </c>
      <c r="B2445" s="2" t="str">
        <f>IFERROR(__xludf.DUMMYFUNCTION("""COMPUTED_VALUE"""),"Thuli Bheri - A Hydropower Project")</f>
        <v>Thuli Bheri - A Hydropower Project</v>
      </c>
      <c r="C2445" s="2">
        <f>IFERROR(__xludf.DUMMYFUNCTION("""COMPUTED_VALUE"""),21.881)</f>
        <v>21.881</v>
      </c>
      <c r="D2445" s="2" t="str">
        <f>IFERROR(__xludf.DUMMYFUNCTION("""COMPUTED_VALUE"""),"Thuli Bheri")</f>
        <v>Thuli Bheri</v>
      </c>
      <c r="E2445" s="2">
        <f>IFERROR(__xludf.DUMMYFUNCTION("""COMPUTED_VALUE"""),4897.0)</f>
        <v>4897</v>
      </c>
      <c r="F2445" s="3">
        <f>IFERROR(__xludf.DUMMYFUNCTION("""COMPUTED_VALUE"""),66393.0)</f>
        <v>66393</v>
      </c>
      <c r="G2445" s="2" t="str">
        <f>IFERROR(__xludf.DUMMYFUNCTION("""COMPUTED_VALUE"""),"Hima Power Private Limited")</f>
        <v>Hima Power Private Limited</v>
      </c>
      <c r="H2445" s="2" t="str">
        <f>IFERROR(__xludf.DUMMYFUNCTION("""COMPUTED_VALUE"""),"KMC-05, Kathmandu")</f>
        <v>KMC-05, Kathmandu</v>
      </c>
      <c r="I2445" s="2" t="str">
        <f>IFERROR(__xludf.DUMMYFUNCTION("""COMPUTED_VALUE"""),"28o 54' 58""")</f>
        <v>28o 54' 58"</v>
      </c>
      <c r="J2445" s="2" t="str">
        <f>IFERROR(__xludf.DUMMYFUNCTION("""COMPUTED_VALUE"""),"28o 57' 45""")</f>
        <v>28o 57' 45"</v>
      </c>
      <c r="K2445" s="2" t="str">
        <f>IFERROR(__xludf.DUMMYFUNCTION("""COMPUTED_VALUE"""),"82o 53' 50""")</f>
        <v>82o 53' 50"</v>
      </c>
      <c r="L2445" s="2" t="str">
        <f>IFERROR(__xludf.DUMMYFUNCTION("""COMPUTED_VALUE"""),"82o 57' 15""")</f>
        <v>82o 57' 15"</v>
      </c>
      <c r="M2445" s="2"/>
    </row>
    <row r="2446">
      <c r="A2446" s="2">
        <f>IFERROR(__xludf.DUMMYFUNCTION("""COMPUTED_VALUE"""),2445.0)</f>
        <v>2445</v>
      </c>
      <c r="B2446" s="2" t="str">
        <f>IFERROR(__xludf.DUMMYFUNCTION("""COMPUTED_VALUE"""),"Landan Khola Hydropower Project")</f>
        <v>Landan Khola Hydropower Project</v>
      </c>
      <c r="C2446" s="2">
        <f>IFERROR(__xludf.DUMMYFUNCTION("""COMPUTED_VALUE"""),5.0)</f>
        <v>5</v>
      </c>
      <c r="D2446" s="2" t="str">
        <f>IFERROR(__xludf.DUMMYFUNCTION("""COMPUTED_VALUE"""),"Landan Khola")</f>
        <v>Landan Khola</v>
      </c>
      <c r="E2446" s="2">
        <f>IFERROR(__xludf.DUMMYFUNCTION("""COMPUTED_VALUE"""),4910.0)</f>
        <v>4910</v>
      </c>
      <c r="F2446" s="3">
        <f>IFERROR(__xludf.DUMMYFUNCTION("""COMPUTED_VALUE"""),66394.0)</f>
        <v>66394</v>
      </c>
      <c r="G2446" s="2" t="str">
        <f>IFERROR(__xludf.DUMMYFUNCTION("""COMPUTED_VALUE"""),"Quntoum Hydropower Private Limited")</f>
        <v>Quntoum Hydropower Private Limited</v>
      </c>
      <c r="H2446" s="2" t="str">
        <f>IFERROR(__xludf.DUMMYFUNCTION("""COMPUTED_VALUE"""),"Budhanilkantha Municipality 5 , Pasikot, Kathmandu")</f>
        <v>Budhanilkantha Municipality 5 , Pasikot, Kathmandu</v>
      </c>
      <c r="I2446" s="2" t="str">
        <f>IFERROR(__xludf.DUMMYFUNCTION("""COMPUTED_VALUE"""),"28o 27' 18""")</f>
        <v>28o 27' 18"</v>
      </c>
      <c r="J2446" s="2" t="str">
        <f>IFERROR(__xludf.DUMMYFUNCTION("""COMPUTED_VALUE"""),"28o 28' 23""")</f>
        <v>28o 28' 23"</v>
      </c>
      <c r="K2446" s="2" t="str">
        <f>IFERROR(__xludf.DUMMYFUNCTION("""COMPUTED_VALUE"""),"85o 00' 20""")</f>
        <v>85o 00' 20"</v>
      </c>
      <c r="L2446" s="2" t="str">
        <f>IFERROR(__xludf.DUMMYFUNCTION("""COMPUTED_VALUE"""),"85o 02' 16""")</f>
        <v>85o 02' 16"</v>
      </c>
      <c r="M2446" s="2" t="str">
        <f>IFERROR(__xludf.DUMMYFUNCTION("""COMPUTED_VALUE"""),"Chhaikampar,Kerauja (Gorkha)")</f>
        <v>Chhaikampar,Kerauja (Gorkha)</v>
      </c>
    </row>
    <row r="2447">
      <c r="A2447" s="2">
        <f>IFERROR(__xludf.DUMMYFUNCTION("""COMPUTED_VALUE"""),2446.0)</f>
        <v>2446</v>
      </c>
      <c r="B2447" s="2" t="str">
        <f>IFERROR(__xludf.DUMMYFUNCTION("""COMPUTED_VALUE"""),"Siwa and Saju Khola Hydropower Project")</f>
        <v>Siwa and Saju Khola Hydropower Project</v>
      </c>
      <c r="C2447" s="2">
        <f>IFERROR(__xludf.DUMMYFUNCTION("""COMPUTED_VALUE"""),10.0)</f>
        <v>10</v>
      </c>
      <c r="D2447" s="2" t="str">
        <f>IFERROR(__xludf.DUMMYFUNCTION("""COMPUTED_VALUE"""),"Siwa and Saju Khola")</f>
        <v>Siwa and Saju Khola</v>
      </c>
      <c r="E2447" s="2">
        <f>IFERROR(__xludf.DUMMYFUNCTION("""COMPUTED_VALUE"""),5039.0)</f>
        <v>5039</v>
      </c>
      <c r="F2447" s="3">
        <f>IFERROR(__xludf.DUMMYFUNCTION("""COMPUTED_VALUE"""),66399.0)</f>
        <v>66399</v>
      </c>
      <c r="G2447" s="2" t="str">
        <f>IFERROR(__xludf.DUMMYFUNCTION("""COMPUTED_VALUE"""),"Dhaulagiri Energy Consult Private Limited")</f>
        <v>Dhaulagiri Energy Consult Private Limited</v>
      </c>
      <c r="H2447" s="2" t="str">
        <f>IFERROR(__xludf.DUMMYFUNCTION("""COMPUTED_VALUE"""),"KMC-2, Lazimpat, Kathmandu")</f>
        <v>KMC-2, Lazimpat, Kathmandu</v>
      </c>
      <c r="I2447" s="2" t="str">
        <f>IFERROR(__xludf.DUMMYFUNCTION("""COMPUTED_VALUE"""),"27o 31' 00""")</f>
        <v>27o 31' 00"</v>
      </c>
      <c r="J2447" s="2" t="str">
        <f>IFERROR(__xludf.DUMMYFUNCTION("""COMPUTED_VALUE"""),"27o 32' 40""")</f>
        <v>27o 32' 40"</v>
      </c>
      <c r="K2447" s="2" t="str">
        <f>IFERROR(__xludf.DUMMYFUNCTION("""COMPUTED_VALUE"""),"87o 31' 45""")</f>
        <v>87o 31' 45"</v>
      </c>
      <c r="L2447" s="2" t="str">
        <f>IFERROR(__xludf.DUMMYFUNCTION("""COMPUTED_VALUE"""),"87o 33' 57""")</f>
        <v>87o 33' 57"</v>
      </c>
      <c r="M2447" s="2" t="str">
        <f>IFERROR(__xludf.DUMMYFUNCTION("""COMPUTED_VALUE"""),"Papung,Nalbu (Taplejung)")</f>
        <v>Papung,Nalbu (Taplejung)</v>
      </c>
    </row>
    <row r="2448">
      <c r="A2448" s="2">
        <f>IFERROR(__xludf.DUMMYFUNCTION("""COMPUTED_VALUE"""),2447.0)</f>
        <v>2447</v>
      </c>
      <c r="B2448" s="2" t="str">
        <f>IFERROR(__xludf.DUMMYFUNCTION("""COMPUTED_VALUE"""),"Supreme Sisne Khola Hydroelectric Project")</f>
        <v>Supreme Sisne Khola Hydroelectric Project</v>
      </c>
      <c r="C2448" s="2">
        <f>IFERROR(__xludf.DUMMYFUNCTION("""COMPUTED_VALUE"""),8.2)</f>
        <v>8.2</v>
      </c>
      <c r="D2448" s="2" t="str">
        <f>IFERROR(__xludf.DUMMYFUNCTION("""COMPUTED_VALUE"""),"Sisne Khola")</f>
        <v>Sisne Khola</v>
      </c>
      <c r="E2448" s="2">
        <f>IFERROR(__xludf.DUMMYFUNCTION("""COMPUTED_VALUE"""),5044.0)</f>
        <v>5044</v>
      </c>
      <c r="F2448" s="3">
        <f>IFERROR(__xludf.DUMMYFUNCTION("""COMPUTED_VALUE"""),66399.0)</f>
        <v>66399</v>
      </c>
      <c r="G2448" s="2" t="str">
        <f>IFERROR(__xludf.DUMMYFUNCTION("""COMPUTED_VALUE"""),"Shwet Pushpa Urja Private Limited")</f>
        <v>Shwet Pushpa Urja Private Limited</v>
      </c>
      <c r="H2448" s="2" t="str">
        <f>IFERROR(__xludf.DUMMYFUNCTION("""COMPUTED_VALUE"""),"KMC-32, Kathmandu")</f>
        <v>KMC-32, Kathmandu</v>
      </c>
      <c r="I2448" s="2" t="str">
        <f>IFERROR(__xludf.DUMMYFUNCTION("""COMPUTED_VALUE"""),"28o 43' 56""")</f>
        <v>28o 43' 56"</v>
      </c>
      <c r="J2448" s="2" t="str">
        <f>IFERROR(__xludf.DUMMYFUNCTION("""COMPUTED_VALUE"""),"28o 46' 26""")</f>
        <v>28o 46' 26"</v>
      </c>
      <c r="K2448" s="2" t="str">
        <f>IFERROR(__xludf.DUMMYFUNCTION("""COMPUTED_VALUE"""),"82o 40' 00""")</f>
        <v>82o 40' 00"</v>
      </c>
      <c r="L2448" s="2" t="str">
        <f>IFERROR(__xludf.DUMMYFUNCTION("""COMPUTED_VALUE"""),"82o 41' 36""")</f>
        <v>82o 41' 36"</v>
      </c>
      <c r="M2448" s="2" t="str">
        <f>IFERROR(__xludf.DUMMYFUNCTION("""COMPUTED_VALUE"""),"Sisne,Jang (Rukum)")</f>
        <v>Sisne,Jang (Rukum)</v>
      </c>
    </row>
    <row r="2449">
      <c r="A2449" s="2">
        <f>IFERROR(__xludf.DUMMYFUNCTION("""COMPUTED_VALUE"""),2448.0)</f>
        <v>2448</v>
      </c>
      <c r="B2449" s="2" t="str">
        <f>IFERROR(__xludf.DUMMYFUNCTION("""COMPUTED_VALUE"""),"Super Khimti Hydropower Project")</f>
        <v>Super Khimti Hydropower Project</v>
      </c>
      <c r="C2449" s="2">
        <f>IFERROR(__xludf.DUMMYFUNCTION("""COMPUTED_VALUE"""),4.9)</f>
        <v>4.9</v>
      </c>
      <c r="D2449" s="2" t="str">
        <f>IFERROR(__xludf.DUMMYFUNCTION("""COMPUTED_VALUE"""),"Khimti Khola")</f>
        <v>Khimti Khola</v>
      </c>
      <c r="E2449" s="2">
        <f>IFERROR(__xludf.DUMMYFUNCTION("""COMPUTED_VALUE"""),5148.0)</f>
        <v>5148</v>
      </c>
      <c r="F2449" s="3">
        <f>IFERROR(__xludf.DUMMYFUNCTION("""COMPUTED_VALUE"""),66404.0)</f>
        <v>66404</v>
      </c>
      <c r="G2449" s="2" t="str">
        <f>IFERROR(__xludf.DUMMYFUNCTION("""COMPUTED_VALUE"""),"Gorkha Flow Energy Private Limited")</f>
        <v>Gorkha Flow Energy Private Limited</v>
      </c>
      <c r="H2449" s="2" t="str">
        <f>IFERROR(__xludf.DUMMYFUNCTION("""COMPUTED_VALUE"""),"Buddhanagr, Kathmandu")</f>
        <v>Buddhanagr, Kathmandu</v>
      </c>
      <c r="I2449" s="2" t="str">
        <f>IFERROR(__xludf.DUMMYFUNCTION("""COMPUTED_VALUE"""),"27o 41' 46""")</f>
        <v>27o 41' 46"</v>
      </c>
      <c r="J2449" s="2" t="str">
        <f>IFERROR(__xludf.DUMMYFUNCTION("""COMPUTED_VALUE"""),"27o 43' 36""")</f>
        <v>27o 43' 36"</v>
      </c>
      <c r="K2449" s="2" t="str">
        <f>IFERROR(__xludf.DUMMYFUNCTION("""COMPUTED_VALUE"""),"86o 21' 00""")</f>
        <v>86o 21' 00"</v>
      </c>
      <c r="L2449" s="2" t="str">
        <f>IFERROR(__xludf.DUMMYFUNCTION("""COMPUTED_VALUE"""),"86o 22' 27""")</f>
        <v>86o 22' 27"</v>
      </c>
      <c r="M2449" s="2"/>
    </row>
    <row r="2450">
      <c r="A2450" s="2">
        <f>IFERROR(__xludf.DUMMYFUNCTION("""COMPUTED_VALUE"""),2449.0)</f>
        <v>2449</v>
      </c>
      <c r="B2450" s="2" t="str">
        <f>IFERROR(__xludf.DUMMYFUNCTION("""COMPUTED_VALUE"""),"Tila Karnali Hydropower Project")</f>
        <v>Tila Karnali Hydropower Project</v>
      </c>
      <c r="C2450" s="2">
        <f>IFERROR(__xludf.DUMMYFUNCTION("""COMPUTED_VALUE"""),9.5)</f>
        <v>9.5</v>
      </c>
      <c r="D2450" s="2" t="str">
        <f>IFERROR(__xludf.DUMMYFUNCTION("""COMPUTED_VALUE"""),"Tila Karnali")</f>
        <v>Tila Karnali</v>
      </c>
      <c r="E2450" s="2">
        <f>IFERROR(__xludf.DUMMYFUNCTION("""COMPUTED_VALUE"""),5221.0)</f>
        <v>5221</v>
      </c>
      <c r="F2450" s="3">
        <f>IFERROR(__xludf.DUMMYFUNCTION("""COMPUTED_VALUE"""),66406.0)</f>
        <v>66406</v>
      </c>
      <c r="G2450" s="2" t="str">
        <f>IFERROR(__xludf.DUMMYFUNCTION("""COMPUTED_VALUE"""),"Icon Energy Nepal Private Limited")</f>
        <v>Icon Energy Nepal Private Limited</v>
      </c>
      <c r="H2450" s="2" t="str">
        <f>IFERROR(__xludf.DUMMYFUNCTION("""COMPUTED_VALUE"""),"KMC-11, Kathmandu")</f>
        <v>KMC-11, Kathmandu</v>
      </c>
      <c r="I2450" s="2" t="str">
        <f>IFERROR(__xludf.DUMMYFUNCTION("""COMPUTED_VALUE"""),"29o 11' 24""")</f>
        <v>29o 11' 24"</v>
      </c>
      <c r="J2450" s="2" t="str">
        <f>IFERROR(__xludf.DUMMYFUNCTION("""COMPUTED_VALUE"""),"29o 16' 00""")</f>
        <v>29o 16' 00"</v>
      </c>
      <c r="K2450" s="2" t="str">
        <f>IFERROR(__xludf.DUMMYFUNCTION("""COMPUTED_VALUE"""),"82o 16' 00""")</f>
        <v>82o 16' 00"</v>
      </c>
      <c r="L2450" s="2" t="str">
        <f>IFERROR(__xludf.DUMMYFUNCTION("""COMPUTED_VALUE"""),"82o 23' 00""")</f>
        <v>82o 23' 00"</v>
      </c>
      <c r="M2450" s="2" t="str">
        <f>IFERROR(__xludf.DUMMYFUNCTION("""COMPUTED_VALUE"""),"Garjyangkot,Gothichaur (Jumla)")</f>
        <v>Garjyangkot,Gothichaur (Jumla)</v>
      </c>
    </row>
    <row r="2451">
      <c r="A2451" s="2">
        <f>IFERROR(__xludf.DUMMYFUNCTION("""COMPUTED_VALUE"""),2450.0)</f>
        <v>2450</v>
      </c>
      <c r="B2451" s="2" t="str">
        <f>IFERROR(__xludf.DUMMYFUNCTION("""COMPUTED_VALUE"""),"Nwagad Hydroelectric Project")</f>
        <v>Nwagad Hydroelectric Project</v>
      </c>
      <c r="C2451" s="2">
        <f>IFERROR(__xludf.DUMMYFUNCTION("""COMPUTED_VALUE"""),9.68)</f>
        <v>9.68</v>
      </c>
      <c r="D2451" s="2" t="str">
        <f>IFERROR(__xludf.DUMMYFUNCTION("""COMPUTED_VALUE"""),"Nwa Gad Khola")</f>
        <v>Nwa Gad Khola</v>
      </c>
      <c r="E2451" s="2">
        <f>IFERROR(__xludf.DUMMYFUNCTION("""COMPUTED_VALUE"""),5267.0)</f>
        <v>5267</v>
      </c>
      <c r="F2451" s="3">
        <f>IFERROR(__xludf.DUMMYFUNCTION("""COMPUTED_VALUE"""),66407.0)</f>
        <v>66407</v>
      </c>
      <c r="G2451" s="2" t="str">
        <f>IFERROR(__xludf.DUMMYFUNCTION("""COMPUTED_VALUE"""),"Latinath Power Company Limited")</f>
        <v>Latinath Power Company Limited</v>
      </c>
      <c r="H2451" s="2" t="str">
        <f>IFERROR(__xludf.DUMMYFUNCTION("""COMPUTED_VALUE"""),"Trade Tower Nepal, Thapathali - 11, Kathmandu")</f>
        <v>Trade Tower Nepal, Thapathali - 11, Kathmandu</v>
      </c>
      <c r="I2451" s="2" t="str">
        <f>IFERROR(__xludf.DUMMYFUNCTION("""COMPUTED_VALUE"""),"29o 43' 49""")</f>
        <v>29o 43' 49"</v>
      </c>
      <c r="J2451" s="2" t="str">
        <f>IFERROR(__xludf.DUMMYFUNCTION("""COMPUTED_VALUE"""),"29o 45' 05""")</f>
        <v>29o 45' 05"</v>
      </c>
      <c r="K2451" s="2" t="str">
        <f>IFERROR(__xludf.DUMMYFUNCTION("""COMPUTED_VALUE"""),"80o 47' 03""")</f>
        <v>80o 47' 03"</v>
      </c>
      <c r="L2451" s="2" t="str">
        <f>IFERROR(__xludf.DUMMYFUNCTION("""COMPUTED_VALUE"""),"80o 49' 40""")</f>
        <v>80o 49' 40"</v>
      </c>
      <c r="M2451" s="2" t="str">
        <f>IFERROR(__xludf.DUMMYFUNCTION("""COMPUTED_VALUE"""),"Tapoban,Guljar,Latinath (Darchula)")</f>
        <v>Tapoban,Guljar,Latinath (Darchula)</v>
      </c>
    </row>
    <row r="2452">
      <c r="A2452" s="2">
        <f>IFERROR(__xludf.DUMMYFUNCTION("""COMPUTED_VALUE"""),2451.0)</f>
        <v>2451</v>
      </c>
      <c r="B2452" s="2" t="str">
        <f>IFERROR(__xludf.DUMMYFUNCTION("""COMPUTED_VALUE"""),"Syano &amp; Panthe Khola Hydropower Project")</f>
        <v>Syano &amp; Panthe Khola Hydropower Project</v>
      </c>
      <c r="C2452" s="2">
        <f>IFERROR(__xludf.DUMMYFUNCTION("""COMPUTED_VALUE"""),8.0)</f>
        <v>8</v>
      </c>
      <c r="D2452" s="2" t="str">
        <f>IFERROR(__xludf.DUMMYFUNCTION("""COMPUTED_VALUE"""),"Syano Khola, Panthe Khola")</f>
        <v>Syano Khola, Panthe Khola</v>
      </c>
      <c r="E2452" s="2">
        <f>IFERROR(__xludf.DUMMYFUNCTION("""COMPUTED_VALUE"""),5425.0)</f>
        <v>5425</v>
      </c>
      <c r="F2452" s="3">
        <f>IFERROR(__xludf.DUMMYFUNCTION("""COMPUTED_VALUE"""),66412.0)</f>
        <v>66412</v>
      </c>
      <c r="G2452" s="2" t="str">
        <f>IFERROR(__xludf.DUMMYFUNCTION("""COMPUTED_VALUE"""),"Sakshyam Syano Hydropower Private Limited")</f>
        <v>Sakshyam Syano Hydropower Private Limited</v>
      </c>
      <c r="H2452" s="2" t="str">
        <f>IFERROR(__xludf.DUMMYFUNCTION("""COMPUTED_VALUE"""),"Budhanilkantha - 3, Kathmandu")</f>
        <v>Budhanilkantha - 3, Kathmandu</v>
      </c>
      <c r="I2452" s="2" t="str">
        <f>IFERROR(__xludf.DUMMYFUNCTION("""COMPUTED_VALUE"""),"28o 33' 15""")</f>
        <v>28o 33' 15"</v>
      </c>
      <c r="J2452" s="2" t="str">
        <f>IFERROR(__xludf.DUMMYFUNCTION("""COMPUTED_VALUE"""),"28o 34' 00""")</f>
        <v>28o 34' 00"</v>
      </c>
      <c r="K2452" s="2" t="str">
        <f>IFERROR(__xludf.DUMMYFUNCTION("""COMPUTED_VALUE"""),"83o 29' 00""")</f>
        <v>83o 29' 00"</v>
      </c>
      <c r="L2452" s="2" t="str">
        <f>IFERROR(__xludf.DUMMYFUNCTION("""COMPUTED_VALUE"""),"83o 30' 15""")</f>
        <v>83o 30' 15"</v>
      </c>
      <c r="M2452" s="2" t="str">
        <f>IFERROR(__xludf.DUMMYFUNCTION("""COMPUTED_VALUE"""),"Kuinemangale (Myagdi)")</f>
        <v>Kuinemangale (Myagdi)</v>
      </c>
    </row>
    <row r="2453">
      <c r="A2453" s="2">
        <f>IFERROR(__xludf.DUMMYFUNCTION("""COMPUTED_VALUE"""),2452.0)</f>
        <v>2452</v>
      </c>
      <c r="B2453" s="2" t="str">
        <f>IFERROR(__xludf.DUMMYFUNCTION("""COMPUTED_VALUE"""),"Handak Khola Hydropower Project")</f>
        <v>Handak Khola Hydropower Project</v>
      </c>
      <c r="C2453" s="2">
        <f>IFERROR(__xludf.DUMMYFUNCTION("""COMPUTED_VALUE"""),4.86)</f>
        <v>4.86</v>
      </c>
      <c r="D2453" s="2" t="str">
        <f>IFERROR(__xludf.DUMMYFUNCTION("""COMPUTED_VALUE"""),"Handak Khola")</f>
        <v>Handak Khola</v>
      </c>
      <c r="E2453" s="2">
        <f>IFERROR(__xludf.DUMMYFUNCTION("""COMPUTED_VALUE"""),5477.0)</f>
        <v>5477</v>
      </c>
      <c r="F2453" s="3">
        <f>IFERROR(__xludf.DUMMYFUNCTION("""COMPUTED_VALUE"""),66413.0)</f>
        <v>66413</v>
      </c>
      <c r="G2453" s="2" t="str">
        <f>IFERROR(__xludf.DUMMYFUNCTION("""COMPUTED_VALUE"""),"Star Engineering and Power Private Limited")</f>
        <v>Star Engineering and Power Private Limited</v>
      </c>
      <c r="H2453" s="2" t="str">
        <f>IFERROR(__xludf.DUMMYFUNCTION("""COMPUTED_VALUE"""),"Kathmandu - 16, Nepal")</f>
        <v>Kathmandu - 16, Nepal</v>
      </c>
      <c r="I2453" s="2" t="str">
        <f>IFERROR(__xludf.DUMMYFUNCTION("""COMPUTED_VALUE"""),"27o 44' 14""")</f>
        <v>27o 44' 14"</v>
      </c>
      <c r="J2453" s="2" t="str">
        <f>IFERROR(__xludf.DUMMYFUNCTION("""COMPUTED_VALUE"""),"27o 46' 35""")</f>
        <v>27o 46' 35"</v>
      </c>
      <c r="K2453" s="2" t="str">
        <f>IFERROR(__xludf.DUMMYFUNCTION("""COMPUTED_VALUE"""),"87o 20' 45""")</f>
        <v>87o 20' 45"</v>
      </c>
      <c r="L2453" s="2" t="str">
        <f>IFERROR(__xludf.DUMMYFUNCTION("""COMPUTED_VALUE"""),"87o 22' 50""")</f>
        <v>87o 22' 50"</v>
      </c>
      <c r="M2453" s="2" t="str">
        <f>IFERROR(__xludf.DUMMYFUNCTION("""COMPUTED_VALUE"""),"Chepuwa,Hatiya (Sankhuwasabha)")</f>
        <v>Chepuwa,Hatiya (Sankhuwasabha)</v>
      </c>
    </row>
    <row r="2454">
      <c r="A2454" s="2">
        <f>IFERROR(__xludf.DUMMYFUNCTION("""COMPUTED_VALUE"""),2453.0)</f>
        <v>2453</v>
      </c>
      <c r="B2454" s="2" t="str">
        <f>IFERROR(__xludf.DUMMYFUNCTION("""COMPUTED_VALUE"""),"Lumdin Khola Hydropower Project")</f>
        <v>Lumdin Khola Hydropower Project</v>
      </c>
      <c r="C2454" s="2">
        <f>IFERROR(__xludf.DUMMYFUNCTION("""COMPUTED_VALUE"""),4.5)</f>
        <v>4.5</v>
      </c>
      <c r="D2454" s="2" t="str">
        <f>IFERROR(__xludf.DUMMYFUNCTION("""COMPUTED_VALUE"""),"Lumdin Khola")</f>
        <v>Lumdin Khola</v>
      </c>
      <c r="E2454" s="2">
        <f>IFERROR(__xludf.DUMMYFUNCTION("""COMPUTED_VALUE"""),5560.0)</f>
        <v>5560</v>
      </c>
      <c r="F2454" s="3">
        <f>IFERROR(__xludf.DUMMYFUNCTION("""COMPUTED_VALUE"""),66417.0)</f>
        <v>66417</v>
      </c>
      <c r="G2454" s="2" t="str">
        <f>IFERROR(__xludf.DUMMYFUNCTION("""COMPUTED_VALUE"""),"Beta Energy Private Limited")</f>
        <v>Beta Energy Private Limited</v>
      </c>
      <c r="H2454" s="2" t="str">
        <f>IFERROR(__xludf.DUMMYFUNCTION("""COMPUTED_VALUE"""),"Kathmandu - 10 (9840050741)")</f>
        <v>Kathmandu - 10 (9840050741)</v>
      </c>
      <c r="I2454" s="2" t="str">
        <f>IFERROR(__xludf.DUMMYFUNCTION("""COMPUTED_VALUE"""),"27o 41' 00""")</f>
        <v>27o 41' 00"</v>
      </c>
      <c r="J2454" s="2" t="str">
        <f>IFERROR(__xludf.DUMMYFUNCTION("""COMPUTED_VALUE"""),"27o 42' 28""")</f>
        <v>27o 42' 28"</v>
      </c>
      <c r="K2454" s="2" t="str">
        <f>IFERROR(__xludf.DUMMYFUNCTION("""COMPUTED_VALUE"""),"86o 40' 00""")</f>
        <v>86o 40' 00"</v>
      </c>
      <c r="L2454" s="2" t="str">
        <f>IFERROR(__xludf.DUMMYFUNCTION("""COMPUTED_VALUE"""),"86o 40' 40""")</f>
        <v>86o 40' 40"</v>
      </c>
      <c r="M2454" s="2" t="str">
        <f>IFERROR(__xludf.DUMMYFUNCTION("""COMPUTED_VALUE"""),"Chaurikharka,Takasindu (Solukhumbu)")</f>
        <v>Chaurikharka,Takasindu (Solukhumbu)</v>
      </c>
    </row>
    <row r="2455">
      <c r="A2455" s="2">
        <f>IFERROR(__xludf.DUMMYFUNCTION("""COMPUTED_VALUE"""),2454.0)</f>
        <v>2454</v>
      </c>
      <c r="B2455" s="2" t="str">
        <f>IFERROR(__xludf.DUMMYFUNCTION("""COMPUTED_VALUE"""),"Siyar Khola Hydropower Project 1")</f>
        <v>Siyar Khola Hydropower Project 1</v>
      </c>
      <c r="C2455" s="2">
        <f>IFERROR(__xludf.DUMMYFUNCTION("""COMPUTED_VALUE"""),9.52)</f>
        <v>9.52</v>
      </c>
      <c r="D2455" s="2" t="str">
        <f>IFERROR(__xludf.DUMMYFUNCTION("""COMPUTED_VALUE"""),"Syar Khola")</f>
        <v>Syar Khola</v>
      </c>
      <c r="E2455" s="2">
        <f>IFERROR(__xludf.DUMMYFUNCTION("""COMPUTED_VALUE"""),5652.0)</f>
        <v>5652</v>
      </c>
      <c r="F2455" s="3">
        <f>IFERROR(__xludf.DUMMYFUNCTION("""COMPUTED_VALUE"""),66420.0)</f>
        <v>66420</v>
      </c>
      <c r="G2455" s="2" t="str">
        <f>IFERROR(__xludf.DUMMYFUNCTION("""COMPUTED_VALUE"""),"J.V. Power Private Limited")</f>
        <v>J.V. Power Private Limited</v>
      </c>
      <c r="H2455" s="2" t="str">
        <f>IFERROR(__xludf.DUMMYFUNCTION("""COMPUTED_VALUE"""),"KMC-10, Kathmandu")</f>
        <v>KMC-10, Kathmandu</v>
      </c>
      <c r="I2455" s="2" t="str">
        <f>IFERROR(__xludf.DUMMYFUNCTION("""COMPUTED_VALUE"""),"28o 29' 30""")</f>
        <v>28o 29' 30"</v>
      </c>
      <c r="J2455" s="2" t="str">
        <f>IFERROR(__xludf.DUMMYFUNCTION("""COMPUTED_VALUE"""),"28o 30' 27""")</f>
        <v>28o 30' 27"</v>
      </c>
      <c r="K2455" s="2" t="str">
        <f>IFERROR(__xludf.DUMMYFUNCTION("""COMPUTED_VALUE"""),"85o 02' 52""")</f>
        <v>85o 02' 52"</v>
      </c>
      <c r="L2455" s="2" t="str">
        <f>IFERROR(__xludf.DUMMYFUNCTION("""COMPUTED_VALUE"""),"85o 05' 22""")</f>
        <v>85o 05' 22"</v>
      </c>
      <c r="M2455" s="2" t="str">
        <f>IFERROR(__xludf.DUMMYFUNCTION("""COMPUTED_VALUE"""),"Chhaikampar,Chunchet (Gorkha)")</f>
        <v>Chhaikampar,Chunchet (Gorkha)</v>
      </c>
    </row>
    <row r="2456">
      <c r="A2456" s="2">
        <f>IFERROR(__xludf.DUMMYFUNCTION("""COMPUTED_VALUE"""),2455.0)</f>
        <v>2455</v>
      </c>
      <c r="B2456" s="2" t="str">
        <f>IFERROR(__xludf.DUMMYFUNCTION("""COMPUTED_VALUE"""),"Baglung Kali Gandaki Hydropower Project")</f>
        <v>Baglung Kali Gandaki Hydropower Project</v>
      </c>
      <c r="C2456" s="2">
        <f>IFERROR(__xludf.DUMMYFUNCTION("""COMPUTED_VALUE"""),10.0)</f>
        <v>10</v>
      </c>
      <c r="D2456" s="2" t="str">
        <f>IFERROR(__xludf.DUMMYFUNCTION("""COMPUTED_VALUE"""),"Kali Gandaki")</f>
        <v>Kali Gandaki</v>
      </c>
      <c r="E2456" s="2">
        <f>IFERROR(__xludf.DUMMYFUNCTION("""COMPUTED_VALUE"""),5671.0)</f>
        <v>5671</v>
      </c>
      <c r="F2456" s="3">
        <f>IFERROR(__xludf.DUMMYFUNCTION("""COMPUTED_VALUE"""),66420.0)</f>
        <v>66420</v>
      </c>
      <c r="G2456" s="2" t="str">
        <f>IFERROR(__xludf.DUMMYFUNCTION("""COMPUTED_VALUE"""),"Tara Energy Private Limited")</f>
        <v>Tara Energy Private Limited</v>
      </c>
      <c r="H2456" s="2" t="str">
        <f>IFERROR(__xludf.DUMMYFUNCTION("""COMPUTED_VALUE"""),"KMC-13, Kathmandu")</f>
        <v>KMC-13, Kathmandu</v>
      </c>
      <c r="I2456" s="2" t="str">
        <f>IFERROR(__xludf.DUMMYFUNCTION("""COMPUTED_VALUE"""),"28o 17' 00""")</f>
        <v>28o 17' 00"</v>
      </c>
      <c r="J2456" s="2" t="str">
        <f>IFERROR(__xludf.DUMMYFUNCTION("""COMPUTED_VALUE"""),"28o 19' 42""")</f>
        <v>28o 19' 42"</v>
      </c>
      <c r="K2456" s="2" t="str">
        <f>IFERROR(__xludf.DUMMYFUNCTION("""COMPUTED_VALUE"""),"83o 34' 50""")</f>
        <v>83o 34' 50"</v>
      </c>
      <c r="L2456" s="2" t="str">
        <f>IFERROR(__xludf.DUMMYFUNCTION("""COMPUTED_VALUE"""),"83o 37' 10""")</f>
        <v>83o 37' 10"</v>
      </c>
      <c r="M2456" s="2" t="str">
        <f>IFERROR(__xludf.DUMMYFUNCTION("""COMPUTED_VALUE"""),"Ratnechaur (Myagdi) Nagliwang,Dhairing (Parbat)")</f>
        <v>Ratnechaur (Myagdi) Nagliwang,Dhairing (Parbat)</v>
      </c>
    </row>
    <row r="2457">
      <c r="A2457" s="2">
        <f>IFERROR(__xludf.DUMMYFUNCTION("""COMPUTED_VALUE"""),2456.0)</f>
        <v>2456</v>
      </c>
      <c r="B2457" s="2" t="str">
        <f>IFERROR(__xludf.DUMMYFUNCTION("""COMPUTED_VALUE"""),"Yankhuwa Khola Hydropower Project")</f>
        <v>Yankhuwa Khola Hydropower Project</v>
      </c>
      <c r="C2457" s="2">
        <f>IFERROR(__xludf.DUMMYFUNCTION("""COMPUTED_VALUE"""),4.9)</f>
        <v>4.9</v>
      </c>
      <c r="D2457" s="2" t="str">
        <f>IFERROR(__xludf.DUMMYFUNCTION("""COMPUTED_VALUE"""),"Yankhuwa Khola")</f>
        <v>Yankhuwa Khola</v>
      </c>
      <c r="E2457" s="2">
        <f>IFERROR(__xludf.DUMMYFUNCTION("""COMPUTED_VALUE"""),5744.0)</f>
        <v>5744</v>
      </c>
      <c r="F2457" s="3">
        <f>IFERROR(__xludf.DUMMYFUNCTION("""COMPUTED_VALUE"""),66423.0)</f>
        <v>66423</v>
      </c>
      <c r="G2457" s="2" t="str">
        <f>IFERROR(__xludf.DUMMYFUNCTION("""COMPUTED_VALUE"""),"Gorkha Hills Energy Private Limited")</f>
        <v>Gorkha Hills Energy Private Limited</v>
      </c>
      <c r="H2457" s="2" t="str">
        <f>IFERROR(__xludf.DUMMYFUNCTION("""COMPUTED_VALUE"""),"Buddha Nagar Kathmandu")</f>
        <v>Buddha Nagar Kathmandu</v>
      </c>
      <c r="I2457" s="2" t="str">
        <f>IFERROR(__xludf.DUMMYFUNCTION("""COMPUTED_VALUE"""),"27o 15' 11""")</f>
        <v>27o 15' 11"</v>
      </c>
      <c r="J2457" s="2" t="str">
        <f>IFERROR(__xludf.DUMMYFUNCTION("""COMPUTED_VALUE"""),"27o 16' 06""")</f>
        <v>27o 16' 06"</v>
      </c>
      <c r="K2457" s="2" t="str">
        <f>IFERROR(__xludf.DUMMYFUNCTION("""COMPUTED_VALUE"""),"87o 09' 28""")</f>
        <v>87o 09' 28"</v>
      </c>
      <c r="L2457" s="2" t="str">
        <f>IFERROR(__xludf.DUMMYFUNCTION("""COMPUTED_VALUE"""),"87o 12' 24""")</f>
        <v>87o 12' 24"</v>
      </c>
      <c r="M2457" s="2" t="str">
        <f>IFERROR(__xludf.DUMMYFUNCTION("""COMPUTED_VALUE"""),"Boya,Yangpang,Deurali,Khairang (Bhojpur)")</f>
        <v>Boya,Yangpang,Deurali,Khairang (Bhojpur)</v>
      </c>
    </row>
    <row r="2458">
      <c r="A2458" s="2">
        <f>IFERROR(__xludf.DUMMYFUNCTION("""COMPUTED_VALUE"""),2457.0)</f>
        <v>2457</v>
      </c>
      <c r="B2458" s="2" t="str">
        <f>IFERROR(__xludf.DUMMYFUNCTION("""COMPUTED_VALUE"""),"Phungling Phawa Hydropower Project")</f>
        <v>Phungling Phawa Hydropower Project</v>
      </c>
      <c r="C2458" s="2">
        <f>IFERROR(__xludf.DUMMYFUNCTION("""COMPUTED_VALUE"""),4.3)</f>
        <v>4.3</v>
      </c>
      <c r="D2458" s="2" t="str">
        <f>IFERROR(__xludf.DUMMYFUNCTION("""COMPUTED_VALUE"""),"Phawa Khola")</f>
        <v>Phawa Khola</v>
      </c>
      <c r="E2458" s="2">
        <f>IFERROR(__xludf.DUMMYFUNCTION("""COMPUTED_VALUE"""),5798.0)</f>
        <v>5798</v>
      </c>
      <c r="F2458" s="3">
        <f>IFERROR(__xludf.DUMMYFUNCTION("""COMPUTED_VALUE"""),66424.0)</f>
        <v>66424</v>
      </c>
      <c r="G2458" s="2" t="str">
        <f>IFERROR(__xludf.DUMMYFUNCTION("""COMPUTED_VALUE"""),"Manoj Malla")</f>
        <v>Manoj Malla</v>
      </c>
      <c r="H2458" s="2" t="str">
        <f>IFERROR(__xludf.DUMMYFUNCTION("""COMPUTED_VALUE"""),"Butwal - 10, Rupandehi")</f>
        <v>Butwal - 10, Rupandehi</v>
      </c>
      <c r="I2458" s="2" t="str">
        <f>IFERROR(__xludf.DUMMYFUNCTION("""COMPUTED_VALUE"""),"27o 21' 03""")</f>
        <v>27o 21' 03"</v>
      </c>
      <c r="J2458" s="2" t="str">
        <f>IFERROR(__xludf.DUMMYFUNCTION("""COMPUTED_VALUE"""),"27o 24' 03""")</f>
        <v>27o 24' 03"</v>
      </c>
      <c r="K2458" s="2" t="str">
        <f>IFERROR(__xludf.DUMMYFUNCTION("""COMPUTED_VALUE"""),"87o 46' 42""")</f>
        <v>87o 46' 42"</v>
      </c>
      <c r="L2458" s="2" t="str">
        <f>IFERROR(__xludf.DUMMYFUNCTION("""COMPUTED_VALUE"""),"87o 47' 54""")</f>
        <v>87o 47' 54"</v>
      </c>
      <c r="M2458" s="2" t="str">
        <f>IFERROR(__xludf.DUMMYFUNCTION("""COMPUTED_VALUE"""),"Sikaicha,Tiringe (Taplejung)")</f>
        <v>Sikaicha,Tiringe (Taplejung)</v>
      </c>
    </row>
    <row r="2459">
      <c r="A2459" s="2">
        <f>IFERROR(__xludf.DUMMYFUNCTION("""COMPUTED_VALUE"""),2458.0)</f>
        <v>2458</v>
      </c>
      <c r="B2459" s="2" t="str">
        <f>IFERROR(__xludf.DUMMYFUNCTION("""COMPUTED_VALUE"""),"Ghusban Khola Hydropower Project")</f>
        <v>Ghusban Khola Hydropower Project</v>
      </c>
      <c r="C2459" s="2">
        <f>IFERROR(__xludf.DUMMYFUNCTION("""COMPUTED_VALUE"""),4.9)</f>
        <v>4.9</v>
      </c>
      <c r="D2459" s="2" t="str">
        <f>IFERROR(__xludf.DUMMYFUNCTION("""COMPUTED_VALUE"""),"Ghusbang Khola")</f>
        <v>Ghusbang Khola</v>
      </c>
      <c r="E2459" s="2">
        <f>IFERROR(__xludf.DUMMYFUNCTION("""COMPUTED_VALUE"""),5824.0)</f>
        <v>5824</v>
      </c>
      <c r="F2459" s="3">
        <f>IFERROR(__xludf.DUMMYFUNCTION("""COMPUTED_VALUE"""),66424.0)</f>
        <v>66424</v>
      </c>
      <c r="G2459" s="2" t="str">
        <f>IFERROR(__xludf.DUMMYFUNCTION("""COMPUTED_VALUE"""),"Pratikshya Raj Bakhati")</f>
        <v>Pratikshya Raj Bakhati</v>
      </c>
      <c r="H2459" s="2" t="str">
        <f>IFERROR(__xludf.DUMMYFUNCTION("""COMPUTED_VALUE"""),"Kathmandu")</f>
        <v>Kathmandu</v>
      </c>
      <c r="I2459" s="2" t="str">
        <f>IFERROR(__xludf.DUMMYFUNCTION("""COMPUTED_VALUE"""),"28o 22' 09""")</f>
        <v>28o 22' 09"</v>
      </c>
      <c r="J2459" s="2" t="str">
        <f>IFERROR(__xludf.DUMMYFUNCTION("""COMPUTED_VALUE"""),"28o 24' 05""")</f>
        <v>28o 24' 05"</v>
      </c>
      <c r="K2459" s="2" t="str">
        <f>IFERROR(__xludf.DUMMYFUNCTION("""COMPUTED_VALUE"""),"82o 47' 60""")</f>
        <v>82o 47' 60"</v>
      </c>
      <c r="L2459" s="2" t="str">
        <f>IFERROR(__xludf.DUMMYFUNCTION("""COMPUTED_VALUE"""),"82o 49' 18""")</f>
        <v>82o 49' 18"</v>
      </c>
      <c r="M2459" s="2" t="str">
        <f>IFERROR(__xludf.DUMMYFUNCTION("""COMPUTED_VALUE"""),"Uwa,Seram,Jaimakasala,Siuri (Rolpa)")</f>
        <v>Uwa,Seram,Jaimakasala,Siuri (Rolpa)</v>
      </c>
    </row>
    <row r="2460">
      <c r="A2460" s="2">
        <f>IFERROR(__xludf.DUMMYFUNCTION("""COMPUTED_VALUE"""),2459.0)</f>
        <v>2459</v>
      </c>
      <c r="B2460" s="2" t="str">
        <f>IFERROR(__xludf.DUMMYFUNCTION("""COMPUTED_VALUE"""),"Sajha - Balephi Hydropower Project")</f>
        <v>Sajha - Balephi Hydropower Project</v>
      </c>
      <c r="C2460" s="2">
        <f>IFERROR(__xludf.DUMMYFUNCTION("""COMPUTED_VALUE"""),9.7)</f>
        <v>9.7</v>
      </c>
      <c r="D2460" s="2" t="str">
        <f>IFERROR(__xludf.DUMMYFUNCTION("""COMPUTED_VALUE"""),"Balephi")</f>
        <v>Balephi</v>
      </c>
      <c r="E2460" s="2">
        <f>IFERROR(__xludf.DUMMYFUNCTION("""COMPUTED_VALUE"""),5864.0)</f>
        <v>5864</v>
      </c>
      <c r="F2460" s="3">
        <f>IFERROR(__xludf.DUMMYFUNCTION("""COMPUTED_VALUE"""),66426.0)</f>
        <v>66426</v>
      </c>
      <c r="G2460" s="2" t="str">
        <f>IFERROR(__xludf.DUMMYFUNCTION("""COMPUTED_VALUE"""),"Sajha Power Company Limited")</f>
        <v>Sajha Power Company Limited</v>
      </c>
      <c r="H2460" s="2" t="str">
        <f>IFERROR(__xludf.DUMMYFUNCTION("""COMPUTED_VALUE"""),"5th Floor, Trade Tower, Thapathali - 11, Kathmandu")</f>
        <v>5th Floor, Trade Tower, Thapathali - 11, Kathmandu</v>
      </c>
      <c r="I2460" s="2" t="str">
        <f>IFERROR(__xludf.DUMMYFUNCTION("""COMPUTED_VALUE"""),"27o 48' 33""")</f>
        <v>27o 48' 33"</v>
      </c>
      <c r="J2460" s="2" t="str">
        <f>IFERROR(__xludf.DUMMYFUNCTION("""COMPUTED_VALUE"""),"27o 49' 44""")</f>
        <v>27o 49' 44"</v>
      </c>
      <c r="K2460" s="2" t="str">
        <f>IFERROR(__xludf.DUMMYFUNCTION("""COMPUTED_VALUE"""),"85o 45' 33""")</f>
        <v>85o 45' 33"</v>
      </c>
      <c r="L2460" s="2" t="str">
        <f>IFERROR(__xludf.DUMMYFUNCTION("""COMPUTED_VALUE"""),"85o 46' 30""")</f>
        <v>85o 46' 30"</v>
      </c>
      <c r="M2460" s="2" t="str">
        <f>IFERROR(__xludf.DUMMYFUNCTION("""COMPUTED_VALUE"""),"Sangachok,Choutara (Sindhupalchok)")</f>
        <v>Sangachok,Choutara (Sindhupalchok)</v>
      </c>
    </row>
    <row r="2461">
      <c r="A2461" s="2">
        <f>IFERROR(__xludf.DUMMYFUNCTION("""COMPUTED_VALUE"""),2460.0)</f>
        <v>2460</v>
      </c>
      <c r="B2461" s="2" t="str">
        <f>IFERROR(__xludf.DUMMYFUNCTION("""COMPUTED_VALUE"""),"Lower Rahagad Hydropower Project")</f>
        <v>Lower Rahagad Hydropower Project</v>
      </c>
      <c r="C2461" s="2">
        <f>IFERROR(__xludf.DUMMYFUNCTION("""COMPUTED_VALUE"""),8.0)</f>
        <v>8</v>
      </c>
      <c r="D2461" s="2" t="str">
        <f>IFERROR(__xludf.DUMMYFUNCTION("""COMPUTED_VALUE"""),"Rahagad")</f>
        <v>Rahagad</v>
      </c>
      <c r="E2461" s="2">
        <f>IFERROR(__xludf.DUMMYFUNCTION("""COMPUTED_VALUE"""),5986.0)</f>
        <v>5986</v>
      </c>
      <c r="F2461" s="3">
        <f>IFERROR(__xludf.DUMMYFUNCTION("""COMPUTED_VALUE"""),66430.0)</f>
        <v>66430</v>
      </c>
      <c r="G2461" s="2" t="str">
        <f>IFERROR(__xludf.DUMMYFUNCTION("""COMPUTED_VALUE"""),"Mayur Energy Development Group Private Limited")</f>
        <v>Mayur Energy Development Group Private Limited</v>
      </c>
      <c r="H2461" s="2" t="str">
        <f>IFERROR(__xludf.DUMMYFUNCTION("""COMPUTED_VALUE"""),"Kathmandu - 10")</f>
        <v>Kathmandu - 10</v>
      </c>
      <c r="I2461" s="2" t="str">
        <f>IFERROR(__xludf.DUMMYFUNCTION("""COMPUTED_VALUE"""),"29o 07' 35""")</f>
        <v>29o 07' 35"</v>
      </c>
      <c r="J2461" s="2" t="str">
        <f>IFERROR(__xludf.DUMMYFUNCTION("""COMPUTED_VALUE"""),"29o 09' 37""")</f>
        <v>29o 09' 37"</v>
      </c>
      <c r="K2461" s="2" t="str">
        <f>IFERROR(__xludf.DUMMYFUNCTION("""COMPUTED_VALUE"""),"81o 33' 00""")</f>
        <v>81o 33' 00"</v>
      </c>
      <c r="L2461" s="2" t="str">
        <f>IFERROR(__xludf.DUMMYFUNCTION("""COMPUTED_VALUE"""),"81o 35' 04""")</f>
        <v>81o 35' 04"</v>
      </c>
      <c r="M2461" s="2" t="str">
        <f>IFERROR(__xludf.DUMMYFUNCTION("""COMPUTED_VALUE"""),"Kotbada,Manma (Kalikot)")</f>
        <v>Kotbada,Manma (Kalikot)</v>
      </c>
    </row>
    <row r="2462">
      <c r="A2462" s="2">
        <f>IFERROR(__xludf.DUMMYFUNCTION("""COMPUTED_VALUE"""),2461.0)</f>
        <v>2461</v>
      </c>
      <c r="B2462" s="2" t="str">
        <f>IFERROR(__xludf.DUMMYFUNCTION("""COMPUTED_VALUE"""),"Super Lungri Khola Hydropower Project")</f>
        <v>Super Lungri Khola Hydropower Project</v>
      </c>
      <c r="C2462" s="2">
        <f>IFERROR(__xludf.DUMMYFUNCTION("""COMPUTED_VALUE"""),4.94)</f>
        <v>4.94</v>
      </c>
      <c r="D2462" s="2" t="str">
        <f>IFERROR(__xludf.DUMMYFUNCTION("""COMPUTED_VALUE"""),"Lungri Khola")</f>
        <v>Lungri Khola</v>
      </c>
      <c r="E2462" s="2">
        <f>IFERROR(__xludf.DUMMYFUNCTION("""COMPUTED_VALUE"""),6037.0)</f>
        <v>6037</v>
      </c>
      <c r="F2462" s="3">
        <f>IFERROR(__xludf.DUMMYFUNCTION("""COMPUTED_VALUE"""),66430.0)</f>
        <v>66430</v>
      </c>
      <c r="G2462" s="2" t="str">
        <f>IFERROR(__xludf.DUMMYFUNCTION("""COMPUTED_VALUE"""),"Alpine Energy Private Limited")</f>
        <v>Alpine Energy Private Limited</v>
      </c>
      <c r="H2462" s="2" t="str">
        <f>IFERROR(__xludf.DUMMYFUNCTION("""COMPUTED_VALUE"""),"Hadigaun - 05, Gahanapokhari, Kathmandu")</f>
        <v>Hadigaun - 05, Gahanapokhari, Kathmandu</v>
      </c>
      <c r="I2462" s="2" t="str">
        <f>IFERROR(__xludf.DUMMYFUNCTION("""COMPUTED_VALUE"""),"28o 21' 23""")</f>
        <v>28o 21' 23"</v>
      </c>
      <c r="J2462" s="2" t="str">
        <f>IFERROR(__xludf.DUMMYFUNCTION("""COMPUTED_VALUE"""),"28o 22' 30""")</f>
        <v>28o 22' 30"</v>
      </c>
      <c r="K2462" s="2" t="str">
        <f>IFERROR(__xludf.DUMMYFUNCTION("""COMPUTED_VALUE"""),"82o 48' 43""")</f>
        <v>82o 48' 43"</v>
      </c>
      <c r="L2462" s="2" t="str">
        <f>IFERROR(__xludf.DUMMYFUNCTION("""COMPUTED_VALUE"""),"82o 51' 05""")</f>
        <v>82o 51' 05"</v>
      </c>
      <c r="M2462" s="2" t="str">
        <f>IFERROR(__xludf.DUMMYFUNCTION("""COMPUTED_VALUE"""),"Siuri,Gaam,Seram (Rolpa)")</f>
        <v>Siuri,Gaam,Seram (Rolpa)</v>
      </c>
    </row>
    <row r="2463">
      <c r="A2463" s="2">
        <f>IFERROR(__xludf.DUMMYFUNCTION("""COMPUTED_VALUE"""),2462.0)</f>
        <v>2462</v>
      </c>
      <c r="B2463" s="2" t="str">
        <f>IFERROR(__xludf.DUMMYFUNCTION("""COMPUTED_VALUE"""),"Tuban Khola Hydropower Project")</f>
        <v>Tuban Khola Hydropower Project</v>
      </c>
      <c r="C2463" s="2">
        <f>IFERROR(__xludf.DUMMYFUNCTION("""COMPUTED_VALUE"""),4.42)</f>
        <v>4.42</v>
      </c>
      <c r="D2463" s="2" t="str">
        <f>IFERROR(__xludf.DUMMYFUNCTION("""COMPUTED_VALUE"""),"Tuban Khola")</f>
        <v>Tuban Khola</v>
      </c>
      <c r="E2463" s="2">
        <f>IFERROR(__xludf.DUMMYFUNCTION("""COMPUTED_VALUE"""),6071.0)</f>
        <v>6071</v>
      </c>
      <c r="F2463" s="3">
        <f>IFERROR(__xludf.DUMMYFUNCTION("""COMPUTED_VALUE"""),66433.0)</f>
        <v>66433</v>
      </c>
      <c r="G2463" s="2" t="str">
        <f>IFERROR(__xludf.DUMMYFUNCTION("""COMPUTED_VALUE"""),"Star Engineering and Power Private Limited")</f>
        <v>Star Engineering and Power Private Limited</v>
      </c>
      <c r="H2463" s="2" t="str">
        <f>IFERROR(__xludf.DUMMYFUNCTION("""COMPUTED_VALUE"""),"Kathmandu - 16")</f>
        <v>Kathmandu - 16</v>
      </c>
      <c r="I2463" s="2" t="str">
        <f>IFERROR(__xludf.DUMMYFUNCTION("""COMPUTED_VALUE"""),"28o 40' 41""")</f>
        <v>28o 40' 41"</v>
      </c>
      <c r="J2463" s="2" t="str">
        <f>IFERROR(__xludf.DUMMYFUNCTION("""COMPUTED_VALUE"""),"28o 42' 06""")</f>
        <v>28o 42' 06"</v>
      </c>
      <c r="K2463" s="2" t="str">
        <f>IFERROR(__xludf.DUMMYFUNCTION("""COMPUTED_VALUE"""),"82o 38' 22""")</f>
        <v>82o 38' 22"</v>
      </c>
      <c r="L2463" s="2" t="str">
        <f>IFERROR(__xludf.DUMMYFUNCTION("""COMPUTED_VALUE"""),"82o 40' 51""")</f>
        <v>82o 40' 51"</v>
      </c>
      <c r="M2463" s="2" t="str">
        <f>IFERROR(__xludf.DUMMYFUNCTION("""COMPUTED_VALUE"""),"Pwang (Rukum)")</f>
        <v>Pwang (Rukum)</v>
      </c>
    </row>
    <row r="2464">
      <c r="A2464" s="2">
        <f>IFERROR(__xludf.DUMMYFUNCTION("""COMPUTED_VALUE"""),2463.0)</f>
        <v>2463</v>
      </c>
      <c r="B2464" s="2" t="str">
        <f>IFERROR(__xludf.DUMMYFUNCTION("""COMPUTED_VALUE"""),"Kintang Khola Hydropower Project")</f>
        <v>Kintang Khola Hydropower Project</v>
      </c>
      <c r="C2464" s="2">
        <f>IFERROR(__xludf.DUMMYFUNCTION("""COMPUTED_VALUE"""),6.15)</f>
        <v>6.15</v>
      </c>
      <c r="D2464" s="2" t="str">
        <f>IFERROR(__xludf.DUMMYFUNCTION("""COMPUTED_VALUE"""),"Kintang Khola")</f>
        <v>Kintang Khola</v>
      </c>
      <c r="E2464" s="2">
        <f>IFERROR(__xludf.DUMMYFUNCTION("""COMPUTED_VALUE"""),6141.0)</f>
        <v>6141</v>
      </c>
      <c r="F2464" s="3">
        <f>IFERROR(__xludf.DUMMYFUNCTION("""COMPUTED_VALUE"""),66435.0)</f>
        <v>66435</v>
      </c>
      <c r="G2464" s="2" t="str">
        <f>IFERROR(__xludf.DUMMYFUNCTION("""COMPUTED_VALUE"""),"Eco Energy Power Private Limited")</f>
        <v>Eco Energy Power Private Limited</v>
      </c>
      <c r="H2464" s="2" t="str">
        <f>IFERROR(__xludf.DUMMYFUNCTION("""COMPUTED_VALUE"""),"KMC-11, Tripureshwor, Kathmandu")</f>
        <v>KMC-11, Tripureshwor, Kathmandu</v>
      </c>
      <c r="I2464" s="2" t="str">
        <f>IFERROR(__xludf.DUMMYFUNCTION("""COMPUTED_VALUE"""),"28o 01' 14""")</f>
        <v>28o 01' 14"</v>
      </c>
      <c r="J2464" s="2" t="str">
        <f>IFERROR(__xludf.DUMMYFUNCTION("""COMPUTED_VALUE"""),"28o 01' 50""")</f>
        <v>28o 01' 50"</v>
      </c>
      <c r="K2464" s="2" t="str">
        <f>IFERROR(__xludf.DUMMYFUNCTION("""COMPUTED_VALUE"""),"84o 58' 23""")</f>
        <v>84o 58' 23"</v>
      </c>
      <c r="L2464" s="2" t="str">
        <f>IFERROR(__xludf.DUMMYFUNCTION("""COMPUTED_VALUE"""),"85o 01' 30""")</f>
        <v>85o 01' 30"</v>
      </c>
      <c r="M2464" s="2" t="str">
        <f>IFERROR(__xludf.DUMMYFUNCTION("""COMPUTED_VALUE"""),"Marpak,Satyadevi,Darkha (Dhading)")</f>
        <v>Marpak,Satyadevi,Darkha (Dhading)</v>
      </c>
    </row>
    <row r="2465">
      <c r="A2465" s="2">
        <f>IFERROR(__xludf.DUMMYFUNCTION("""COMPUTED_VALUE"""),2464.0)</f>
        <v>2464</v>
      </c>
      <c r="B2465" s="2" t="str">
        <f>IFERROR(__xludf.DUMMYFUNCTION("""COMPUTED_VALUE"""),"Kankhu Khola Hydropower Project")</f>
        <v>Kankhu Khola Hydropower Project</v>
      </c>
      <c r="C2465" s="2">
        <f>IFERROR(__xludf.DUMMYFUNCTION("""COMPUTED_VALUE"""),8.0)</f>
        <v>8</v>
      </c>
      <c r="D2465" s="2" t="str">
        <f>IFERROR(__xludf.DUMMYFUNCTION("""COMPUTED_VALUE"""),"Kankhu Khola")</f>
        <v>Kankhu Khola</v>
      </c>
      <c r="E2465" s="2">
        <f>IFERROR(__xludf.DUMMYFUNCTION("""COMPUTED_VALUE"""),6203.0)</f>
        <v>6203</v>
      </c>
      <c r="F2465" s="3">
        <f>IFERROR(__xludf.DUMMYFUNCTION("""COMPUTED_VALUE"""),66436.0)</f>
        <v>66436</v>
      </c>
      <c r="G2465" s="2" t="str">
        <f>IFERROR(__xludf.DUMMYFUNCTION("""COMPUTED_VALUE"""),"Kankhukhola Hydropower Private Limited")</f>
        <v>Kankhukhola Hydropower Private Limited</v>
      </c>
      <c r="H2465" s="2" t="str">
        <f>IFERROR(__xludf.DUMMYFUNCTION("""COMPUTED_VALUE"""),"Budhanilkantha - 3, Kathmandu")</f>
        <v>Budhanilkantha - 3, Kathmandu</v>
      </c>
      <c r="I2465" s="2" t="str">
        <f>IFERROR(__xludf.DUMMYFUNCTION("""COMPUTED_VALUE"""),"27o 29' 00""")</f>
        <v>27o 29' 00"</v>
      </c>
      <c r="J2465" s="2" t="str">
        <f>IFERROR(__xludf.DUMMYFUNCTION("""COMPUTED_VALUE"""),"27o 31' 30""")</f>
        <v>27o 31' 30"</v>
      </c>
      <c r="K2465" s="2" t="str">
        <f>IFERROR(__xludf.DUMMYFUNCTION("""COMPUTED_VALUE"""),"86o 46' 05""")</f>
        <v>86o 46' 05"</v>
      </c>
      <c r="L2465" s="2" t="str">
        <f>IFERROR(__xludf.DUMMYFUNCTION("""COMPUTED_VALUE"""),"86o 52' 30""")</f>
        <v>86o 52' 30"</v>
      </c>
      <c r="M2465" s="2" t="str">
        <f>IFERROR(__xludf.DUMMYFUNCTION("""COMPUTED_VALUE"""),"Gudel,Chheskam (Solukhumbu)")</f>
        <v>Gudel,Chheskam (Solukhumbu)</v>
      </c>
    </row>
    <row r="2466">
      <c r="A2466" s="2">
        <f>IFERROR(__xludf.DUMMYFUNCTION("""COMPUTED_VALUE"""),2465.0)</f>
        <v>2465</v>
      </c>
      <c r="B2466" s="2" t="str">
        <f>IFERROR(__xludf.DUMMYFUNCTION("""COMPUTED_VALUE"""),"Balephi Khola Hydropower Project")</f>
        <v>Balephi Khola Hydropower Project</v>
      </c>
      <c r="C2466" s="2">
        <f>IFERROR(__xludf.DUMMYFUNCTION("""COMPUTED_VALUE"""),23.5)</f>
        <v>23.5</v>
      </c>
      <c r="D2466" s="2" t="str">
        <f>IFERROR(__xludf.DUMMYFUNCTION("""COMPUTED_VALUE"""),"Balephi Khola")</f>
        <v>Balephi Khola</v>
      </c>
      <c r="E2466" s="2">
        <f>IFERROR(__xludf.DUMMYFUNCTION("""COMPUTED_VALUE"""),6214.0)</f>
        <v>6214</v>
      </c>
      <c r="F2466" s="3">
        <f>IFERROR(__xludf.DUMMYFUNCTION("""COMPUTED_VALUE"""),66436.0)</f>
        <v>66436</v>
      </c>
      <c r="G2466" s="2" t="str">
        <f>IFERROR(__xludf.DUMMYFUNCTION("""COMPUTED_VALUE"""),"Bakaiya Thakur Hydropower Private Limited")</f>
        <v>Bakaiya Thakur Hydropower Private Limited</v>
      </c>
      <c r="H2466" s="2" t="str">
        <f>IFERROR(__xludf.DUMMYFUNCTION("""COMPUTED_VALUE"""),"Dhumbarahi - 4, Kathmandu, Nepal")</f>
        <v>Dhumbarahi - 4, Kathmandu, Nepal</v>
      </c>
      <c r="I2466" s="2" t="str">
        <f>IFERROR(__xludf.DUMMYFUNCTION("""COMPUTED_VALUE"""),"27o 51' 42""")</f>
        <v>27o 51' 42"</v>
      </c>
      <c r="J2466" s="2" t="str">
        <f>IFERROR(__xludf.DUMMYFUNCTION("""COMPUTED_VALUE"""),"27o 53' 42""")</f>
        <v>27o 53' 42"</v>
      </c>
      <c r="K2466" s="2" t="str">
        <f>IFERROR(__xludf.DUMMYFUNCTION("""COMPUTED_VALUE"""),"85o 45' 00""")</f>
        <v>85o 45' 00"</v>
      </c>
      <c r="L2466" s="2" t="str">
        <f>IFERROR(__xludf.DUMMYFUNCTION("""COMPUTED_VALUE"""),"85o 46' 00""")</f>
        <v>85o 46' 00"</v>
      </c>
      <c r="M2466" s="2"/>
    </row>
    <row r="2467">
      <c r="A2467" s="2">
        <f>IFERROR(__xludf.DUMMYFUNCTION("""COMPUTED_VALUE"""),2466.0)</f>
        <v>2466</v>
      </c>
      <c r="B2467" s="2" t="str">
        <f>IFERROR(__xludf.DUMMYFUNCTION("""COMPUTED_VALUE"""),"Sisa Khola A Hydropower Project")</f>
        <v>Sisa Khola A Hydropower Project</v>
      </c>
      <c r="C2467" s="2">
        <f>IFERROR(__xludf.DUMMYFUNCTION("""COMPUTED_VALUE"""),3.2)</f>
        <v>3.2</v>
      </c>
      <c r="D2467" s="2" t="str">
        <f>IFERROR(__xludf.DUMMYFUNCTION("""COMPUTED_VALUE"""),"Sisa Khola")</f>
        <v>Sisa Khola</v>
      </c>
      <c r="E2467" s="2">
        <f>IFERROR(__xludf.DUMMYFUNCTION("""COMPUTED_VALUE"""),6243.0)</f>
        <v>6243</v>
      </c>
      <c r="F2467" s="3">
        <f>IFERROR(__xludf.DUMMYFUNCTION("""COMPUTED_VALUE"""),66437.0)</f>
        <v>66437</v>
      </c>
      <c r="G2467" s="2" t="str">
        <f>IFERROR(__xludf.DUMMYFUNCTION("""COMPUTED_VALUE"""),"Glaciers Energy Private Limited")</f>
        <v>Glaciers Energy Private Limited</v>
      </c>
      <c r="H2467" s="2" t="str">
        <f>IFERROR(__xludf.DUMMYFUNCTION("""COMPUTED_VALUE"""),"Tarkeshwor - 8, Kathmandu, Nepal")</f>
        <v>Tarkeshwor - 8, Kathmandu, Nepal</v>
      </c>
      <c r="I2467" s="2" t="str">
        <f>IFERROR(__xludf.DUMMYFUNCTION("""COMPUTED_VALUE"""),"27o 26' 33""")</f>
        <v>27o 26' 33"</v>
      </c>
      <c r="J2467" s="2" t="str">
        <f>IFERROR(__xludf.DUMMYFUNCTION("""COMPUTED_VALUE"""),"27o 26' 58""")</f>
        <v>27o 26' 58"</v>
      </c>
      <c r="K2467" s="2" t="str">
        <f>IFERROR(__xludf.DUMMYFUNCTION("""COMPUTED_VALUE"""),"86o 33' 25""")</f>
        <v>86o 33' 25"</v>
      </c>
      <c r="L2467" s="2" t="str">
        <f>IFERROR(__xludf.DUMMYFUNCTION("""COMPUTED_VALUE"""),"86o 34' 30""")</f>
        <v>86o 34' 30"</v>
      </c>
      <c r="M2467" s="2" t="str">
        <f>IFERROR(__xludf.DUMMYFUNCTION("""COMPUTED_VALUE"""),"Garma,Kerung,Gora Khami,Tingla (Solukhumbu)")</f>
        <v>Garma,Kerung,Gora Khami,Tingla (Solukhumbu)</v>
      </c>
    </row>
    <row r="2468">
      <c r="A2468" s="2">
        <f>IFERROR(__xludf.DUMMYFUNCTION("""COMPUTED_VALUE"""),2467.0)</f>
        <v>2467</v>
      </c>
      <c r="B2468" s="2" t="str">
        <f>IFERROR(__xludf.DUMMYFUNCTION("""COMPUTED_VALUE"""),"Trishuli Khola Small Hydroelectric Project")</f>
        <v>Trishuli Khola Small Hydroelectric Project</v>
      </c>
      <c r="C2468" s="2">
        <f>IFERROR(__xludf.DUMMYFUNCTION("""COMPUTED_VALUE"""),9.5)</f>
        <v>9.5</v>
      </c>
      <c r="D2468" s="2" t="str">
        <f>IFERROR(__xludf.DUMMYFUNCTION("""COMPUTED_VALUE"""),"Trishuli Khola")</f>
        <v>Trishuli Khola</v>
      </c>
      <c r="E2468" s="2">
        <f>IFERROR(__xludf.DUMMYFUNCTION("""COMPUTED_VALUE"""),6253.0)</f>
        <v>6253</v>
      </c>
      <c r="F2468" s="3">
        <f>IFERROR(__xludf.DUMMYFUNCTION("""COMPUTED_VALUE"""),66437.0)</f>
        <v>66437</v>
      </c>
      <c r="G2468" s="2" t="str">
        <f>IFERROR(__xludf.DUMMYFUNCTION("""COMPUTED_VALUE"""),"Dynamic Power Private Limited")</f>
        <v>Dynamic Power Private Limited</v>
      </c>
      <c r="H2468" s="2" t="str">
        <f>IFERROR(__xludf.DUMMYFUNCTION("""COMPUTED_VALUE"""),"Kamalpokhari, Kathmandu")</f>
        <v>Kamalpokhari, Kathmandu</v>
      </c>
      <c r="I2468" s="2" t="str">
        <f>IFERROR(__xludf.DUMMYFUNCTION("""COMPUTED_VALUE"""),"28o 05' 50""")</f>
        <v>28o 05' 50"</v>
      </c>
      <c r="J2468" s="2" t="str">
        <f>IFERROR(__xludf.DUMMYFUNCTION("""COMPUTED_VALUE"""),"28o 07' 41""")</f>
        <v>28o 07' 41"</v>
      </c>
      <c r="K2468" s="2" t="str">
        <f>IFERROR(__xludf.DUMMYFUNCTION("""COMPUTED_VALUE"""),"85o 17' 58""")</f>
        <v>85o 17' 58"</v>
      </c>
      <c r="L2468" s="2" t="str">
        <f>IFERROR(__xludf.DUMMYFUNCTION("""COMPUTED_VALUE"""),"85o 19' 20""")</f>
        <v>85o 19' 20"</v>
      </c>
      <c r="M2468" s="2"/>
    </row>
    <row r="2469">
      <c r="A2469" s="2">
        <f>IFERROR(__xludf.DUMMYFUNCTION("""COMPUTED_VALUE"""),2468.0)</f>
        <v>2468</v>
      </c>
      <c r="B2469" s="2" t="str">
        <f>IFERROR(__xludf.DUMMYFUNCTION("""COMPUTED_VALUE"""),"Upper Sisuwa Khola Hydropower Project")</f>
        <v>Upper Sisuwa Khola Hydropower Project</v>
      </c>
      <c r="C2469" s="2">
        <f>IFERROR(__xludf.DUMMYFUNCTION("""COMPUTED_VALUE"""),4.77)</f>
        <v>4.77</v>
      </c>
      <c r="D2469" s="2" t="str">
        <f>IFERROR(__xludf.DUMMYFUNCTION("""COMPUTED_VALUE"""),"Sisuwa")</f>
        <v>Sisuwa</v>
      </c>
      <c r="E2469" s="2">
        <f>IFERROR(__xludf.DUMMYFUNCTION("""COMPUTED_VALUE"""),6261.0)</f>
        <v>6261</v>
      </c>
      <c r="F2469" s="3">
        <f>IFERROR(__xludf.DUMMYFUNCTION("""COMPUTED_VALUE"""),66438.0)</f>
        <v>66438</v>
      </c>
      <c r="G2469" s="2" t="str">
        <f>IFERROR(__xludf.DUMMYFUNCTION("""COMPUTED_VALUE"""),"Jalpa Devi Energy Private Limited")</f>
        <v>Jalpa Devi Energy Private Limited</v>
      </c>
      <c r="H2469" s="2" t="str">
        <f>IFERROR(__xludf.DUMMYFUNCTION("""COMPUTED_VALUE"""),"Tokha - 7, Tilingatar, Kathmandu")</f>
        <v>Tokha - 7, Tilingatar, Kathmandu</v>
      </c>
      <c r="I2469" s="2" t="str">
        <f>IFERROR(__xludf.DUMMYFUNCTION("""COMPUTED_VALUE"""),"27o 30' 01""")</f>
        <v>27o 30' 01"</v>
      </c>
      <c r="J2469" s="2" t="str">
        <f>IFERROR(__xludf.DUMMYFUNCTION("""COMPUTED_VALUE"""),"27o 31' 00""")</f>
        <v>27o 31' 00"</v>
      </c>
      <c r="K2469" s="2" t="str">
        <f>IFERROR(__xludf.DUMMYFUNCTION("""COMPUTED_VALUE"""),"86o 59' 51""")</f>
        <v>86o 59' 51"</v>
      </c>
      <c r="L2469" s="2" t="str">
        <f>IFERROR(__xludf.DUMMYFUNCTION("""COMPUTED_VALUE"""),"87o 01' 49""")</f>
        <v>87o 01' 49"</v>
      </c>
      <c r="M2469" s="2" t="str">
        <f>IFERROR(__xludf.DUMMYFUNCTION("""COMPUTED_VALUE"""),"Bala,Sisuwakhola (Sankhuwasabha)")</f>
        <v>Bala,Sisuwakhola (Sankhuwasabha)</v>
      </c>
    </row>
    <row r="2470">
      <c r="A2470" s="2">
        <f>IFERROR(__xludf.DUMMYFUNCTION("""COMPUTED_VALUE"""),2469.0)</f>
        <v>2469</v>
      </c>
      <c r="B2470" s="2" t="str">
        <f>IFERROR(__xludf.DUMMYFUNCTION("""COMPUTED_VALUE"""),"Super Sankhuwa Khola Hydroelectric Project")</f>
        <v>Super Sankhuwa Khola Hydroelectric Project</v>
      </c>
      <c r="C2470" s="2">
        <f>IFERROR(__xludf.DUMMYFUNCTION("""COMPUTED_VALUE"""),9.4)</f>
        <v>9.4</v>
      </c>
      <c r="D2470" s="2" t="str">
        <f>IFERROR(__xludf.DUMMYFUNCTION("""COMPUTED_VALUE"""),"Sankhuwa Khola")</f>
        <v>Sankhuwa Khola</v>
      </c>
      <c r="E2470" s="2">
        <f>IFERROR(__xludf.DUMMYFUNCTION("""COMPUTED_VALUE"""),6386.0)</f>
        <v>6386</v>
      </c>
      <c r="F2470" s="3">
        <f>IFERROR(__xludf.DUMMYFUNCTION("""COMPUTED_VALUE"""),66442.0)</f>
        <v>66442</v>
      </c>
      <c r="G2470" s="2" t="str">
        <f>IFERROR(__xludf.DUMMYFUNCTION("""COMPUTED_VALUE"""),"Hydro Hills Private Limited")</f>
        <v>Hydro Hills Private Limited</v>
      </c>
      <c r="H2470" s="2" t="str">
        <f>IFERROR(__xludf.DUMMYFUNCTION("""COMPUTED_VALUE"""),"Ward No. 4, Imadole, Mahalaxmi Municipality, Lalitpur")</f>
        <v>Ward No. 4, Imadole, Mahalaxmi Municipality, Lalitpur</v>
      </c>
      <c r="I2470" s="2" t="str">
        <f>IFERROR(__xludf.DUMMYFUNCTION("""COMPUTED_VALUE"""),"27o 33' 23""")</f>
        <v>27o 33' 23"</v>
      </c>
      <c r="J2470" s="2" t="str">
        <f>IFERROR(__xludf.DUMMYFUNCTION("""COMPUTED_VALUE"""),"27o 34' 17""")</f>
        <v>27o 34' 17"</v>
      </c>
      <c r="K2470" s="2" t="str">
        <f>IFERROR(__xludf.DUMMYFUNCTION("""COMPUTED_VALUE"""),"87o 00' 55""")</f>
        <v>87o 00' 55"</v>
      </c>
      <c r="L2470" s="2" t="str">
        <f>IFERROR(__xludf.DUMMYFUNCTION("""COMPUTED_VALUE"""),"87o 01' 44""")</f>
        <v>87o 01' 44"</v>
      </c>
      <c r="M2470" s="2" t="str">
        <f>IFERROR(__xludf.DUMMYFUNCTION("""COMPUTED_VALUE"""),"Bala,Tamfok (Sankhuwasabha)")</f>
        <v>Bala,Tamfok (Sankhuwasabha)</v>
      </c>
    </row>
    <row r="2471">
      <c r="A2471" s="2">
        <f>IFERROR(__xludf.DUMMYFUNCTION("""COMPUTED_VALUE"""),2470.0)</f>
        <v>2470</v>
      </c>
      <c r="B2471" s="2" t="str">
        <f>IFERROR(__xludf.DUMMYFUNCTION("""COMPUTED_VALUE"""),"Upper Tap Khola Hydropower Project")</f>
        <v>Upper Tap Khola Hydropower Project</v>
      </c>
      <c r="C2471" s="2">
        <f>IFERROR(__xludf.DUMMYFUNCTION("""COMPUTED_VALUE"""),4.5)</f>
        <v>4.5</v>
      </c>
      <c r="D2471" s="2" t="str">
        <f>IFERROR(__xludf.DUMMYFUNCTION("""COMPUTED_VALUE"""),"Tap Khola")</f>
        <v>Tap Khola</v>
      </c>
      <c r="E2471" s="2">
        <f>IFERROR(__xludf.DUMMYFUNCTION("""COMPUTED_VALUE"""),6403.0)</f>
        <v>6403</v>
      </c>
      <c r="F2471" s="3">
        <f>IFERROR(__xludf.DUMMYFUNCTION("""COMPUTED_VALUE"""),66443.0)</f>
        <v>66443</v>
      </c>
      <c r="G2471" s="2" t="str">
        <f>IFERROR(__xludf.DUMMYFUNCTION("""COMPUTED_VALUE"""),"Mercury Energy Private Limited")</f>
        <v>Mercury Energy Private Limited</v>
      </c>
      <c r="H2471" s="2" t="str">
        <f>IFERROR(__xludf.DUMMYFUNCTION("""COMPUTED_VALUE"""),"KMC-4, Kathmandu")</f>
        <v>KMC-4, Kathmandu</v>
      </c>
      <c r="I2471" s="2" t="str">
        <f>IFERROR(__xludf.DUMMYFUNCTION("""COMPUTED_VALUE"""),"27o 18' 01""")</f>
        <v>27o 18' 01"</v>
      </c>
      <c r="J2471" s="2" t="str">
        <f>IFERROR(__xludf.DUMMYFUNCTION("""COMPUTED_VALUE"""),"27o 18' 36""")</f>
        <v>27o 18' 36"</v>
      </c>
      <c r="K2471" s="2" t="str">
        <f>IFERROR(__xludf.DUMMYFUNCTION("""COMPUTED_VALUE"""),"86o 52' 20""")</f>
        <v>86o 52' 20"</v>
      </c>
      <c r="L2471" s="2" t="str">
        <f>IFERROR(__xludf.DUMMYFUNCTION("""COMPUTED_VALUE"""),"86o 54' 07""")</f>
        <v>86o 54' 07"</v>
      </c>
      <c r="M2471" s="2" t="str">
        <f>IFERROR(__xludf.DUMMYFUNCTION("""COMPUTED_VALUE"""),"Phedi,Patheka,Khartamchha (Khotang)")</f>
        <v>Phedi,Patheka,Khartamchha (Khotang)</v>
      </c>
    </row>
    <row r="2472">
      <c r="A2472" s="2">
        <f>IFERROR(__xludf.DUMMYFUNCTION("""COMPUTED_VALUE"""),2471.0)</f>
        <v>2471</v>
      </c>
      <c r="B2472" s="2" t="str">
        <f>IFERROR(__xludf.DUMMYFUNCTION("""COMPUTED_VALUE"""),"Super Daram Hydropower Project")</f>
        <v>Super Daram Hydropower Project</v>
      </c>
      <c r="C2472" s="2">
        <f>IFERROR(__xludf.DUMMYFUNCTION("""COMPUTED_VALUE"""),4.75)</f>
        <v>4.75</v>
      </c>
      <c r="D2472" s="2" t="str">
        <f>IFERROR(__xludf.DUMMYFUNCTION("""COMPUTED_VALUE"""),"Daram Khola")</f>
        <v>Daram Khola</v>
      </c>
      <c r="E2472" s="2">
        <f>IFERROR(__xludf.DUMMYFUNCTION("""COMPUTED_VALUE"""),6423.0)</f>
        <v>6423</v>
      </c>
      <c r="F2472" s="3">
        <f>IFERROR(__xludf.DUMMYFUNCTION("""COMPUTED_VALUE"""),66443.0)</f>
        <v>66443</v>
      </c>
      <c r="G2472" s="2" t="str">
        <f>IFERROR(__xludf.DUMMYFUNCTION("""COMPUTED_VALUE"""),"Ram Prasad Kandel")</f>
        <v>Ram Prasad Kandel</v>
      </c>
      <c r="H2472" s="2" t="str">
        <f>IFERROR(__xludf.DUMMYFUNCTION("""COMPUTED_VALUE"""),"Galkot Municipality, Ward No. 8, Baglung")</f>
        <v>Galkot Municipality, Ward No. 8, Baglung</v>
      </c>
      <c r="I2472" s="2" t="str">
        <f>IFERROR(__xludf.DUMMYFUNCTION("""COMPUTED_VALUE"""),"28o 11' 34""")</f>
        <v>28o 11' 34"</v>
      </c>
      <c r="J2472" s="2" t="str">
        <f>IFERROR(__xludf.DUMMYFUNCTION("""COMPUTED_VALUE"""),"28o 12' 30""")</f>
        <v>28o 12' 30"</v>
      </c>
      <c r="K2472" s="2" t="str">
        <f>IFERROR(__xludf.DUMMYFUNCTION("""COMPUTED_VALUE"""),"83o 21' 39""")</f>
        <v>83o 21' 39"</v>
      </c>
      <c r="L2472" s="2" t="str">
        <f>IFERROR(__xludf.DUMMYFUNCTION("""COMPUTED_VALUE"""),"83o 23' 20""")</f>
        <v>83o 23' 20"</v>
      </c>
      <c r="M2472" s="2" t="str">
        <f>IFERROR(__xludf.DUMMYFUNCTION("""COMPUTED_VALUE"""),"Kandebas,Malm (Baglung)")</f>
        <v>Kandebas,Malm (Baglung)</v>
      </c>
    </row>
    <row r="2473">
      <c r="A2473" s="2">
        <f>IFERROR(__xludf.DUMMYFUNCTION("""COMPUTED_VALUE"""),2472.0)</f>
        <v>2472</v>
      </c>
      <c r="B2473" s="2" t="str">
        <f>IFERROR(__xludf.DUMMYFUNCTION("""COMPUTED_VALUE"""),"Super Nilgiri Khola PRoR Hydropower Project")</f>
        <v>Super Nilgiri Khola PRoR Hydropower Project</v>
      </c>
      <c r="C2473" s="2">
        <f>IFERROR(__xludf.DUMMYFUNCTION("""COMPUTED_VALUE"""),32.0)</f>
        <v>32</v>
      </c>
      <c r="D2473" s="2" t="str">
        <f>IFERROR(__xludf.DUMMYFUNCTION("""COMPUTED_VALUE"""),"Nilgiri")</f>
        <v>Nilgiri</v>
      </c>
      <c r="E2473" s="2">
        <f>IFERROR(__xludf.DUMMYFUNCTION("""COMPUTED_VALUE"""),6428.0)</f>
        <v>6428</v>
      </c>
      <c r="F2473" s="3">
        <f>IFERROR(__xludf.DUMMYFUNCTION("""COMPUTED_VALUE"""),66443.0)</f>
        <v>66443</v>
      </c>
      <c r="G2473" s="2" t="str">
        <f>IFERROR(__xludf.DUMMYFUNCTION("""COMPUTED_VALUE"""),"Sarvashree Equity &amp; Investment Private Limited")</f>
        <v>Sarvashree Equity &amp; Investment Private Limited</v>
      </c>
      <c r="H2473" s="2" t="str">
        <f>IFERROR(__xludf.DUMMYFUNCTION("""COMPUTED_VALUE"""),"KMC - 5, Kathmandu, Nepal")</f>
        <v>KMC - 5, Kathmandu, Nepal</v>
      </c>
      <c r="I2473" s="2" t="str">
        <f>IFERROR(__xludf.DUMMYFUNCTION("""COMPUTED_VALUE"""),"28o 35' 41""")</f>
        <v>28o 35' 41"</v>
      </c>
      <c r="J2473" s="2" t="str">
        <f>IFERROR(__xludf.DUMMYFUNCTION("""COMPUTED_VALUE"""),"28o 36' 43""")</f>
        <v>28o 36' 43"</v>
      </c>
      <c r="K2473" s="2" t="str">
        <f>IFERROR(__xludf.DUMMYFUNCTION("""COMPUTED_VALUE"""),"83o 42' 37""")</f>
        <v>83o 42' 37"</v>
      </c>
      <c r="L2473" s="2" t="str">
        <f>IFERROR(__xludf.DUMMYFUNCTION("""COMPUTED_VALUE"""),"83o 45' 17""")</f>
        <v>83o 45' 17"</v>
      </c>
      <c r="M2473" s="2" t="str">
        <f>IFERROR(__xludf.DUMMYFUNCTION("""COMPUTED_VALUE"""),"Narchyang (Myagdi)")</f>
        <v>Narchyang (Myagdi)</v>
      </c>
    </row>
    <row r="2474">
      <c r="A2474" s="2">
        <f>IFERROR(__xludf.DUMMYFUNCTION("""COMPUTED_VALUE"""),2473.0)</f>
        <v>2473</v>
      </c>
      <c r="B2474" s="2" t="str">
        <f>IFERROR(__xludf.DUMMYFUNCTION("""COMPUTED_VALUE"""),"Sisa Khola Hydropower Project")</f>
        <v>Sisa Khola Hydropower Project</v>
      </c>
      <c r="C2474" s="2">
        <f>IFERROR(__xludf.DUMMYFUNCTION("""COMPUTED_VALUE"""),4.55)</f>
        <v>4.55</v>
      </c>
      <c r="D2474" s="2" t="str">
        <f>IFERROR(__xludf.DUMMYFUNCTION("""COMPUTED_VALUE"""),"Sisa Khola")</f>
        <v>Sisa Khola</v>
      </c>
      <c r="E2474" s="2">
        <f>IFERROR(__xludf.DUMMYFUNCTION("""COMPUTED_VALUE"""),6436.0)</f>
        <v>6436</v>
      </c>
      <c r="F2474" s="3">
        <f>IFERROR(__xludf.DUMMYFUNCTION("""COMPUTED_VALUE"""),66443.0)</f>
        <v>66443</v>
      </c>
      <c r="G2474" s="2" t="str">
        <f>IFERROR(__xludf.DUMMYFUNCTION("""COMPUTED_VALUE"""),"Gham Kheti Guru Limited")</f>
        <v>Gham Kheti Guru Limited</v>
      </c>
      <c r="H2474" s="2" t="str">
        <f>IFERROR(__xludf.DUMMYFUNCTION("""COMPUTED_VALUE"""),"2nd Floor, Trade Tower, Thapathali, Kathmandu")</f>
        <v>2nd Floor, Trade Tower, Thapathali, Kathmandu</v>
      </c>
      <c r="I2474" s="2" t="str">
        <f>IFERROR(__xludf.DUMMYFUNCTION("""COMPUTED_VALUE"""),"27o 26' 09""")</f>
        <v>27o 26' 09"</v>
      </c>
      <c r="J2474" s="2" t="str">
        <f>IFERROR(__xludf.DUMMYFUNCTION("""COMPUTED_VALUE"""),"27o 27' 47""")</f>
        <v>27o 27' 47"</v>
      </c>
      <c r="K2474" s="2" t="str">
        <f>IFERROR(__xludf.DUMMYFUNCTION("""COMPUTED_VALUE"""),"86o 29' 33""")</f>
        <v>86o 29' 33"</v>
      </c>
      <c r="L2474" s="2" t="str">
        <f>IFERROR(__xludf.DUMMYFUNCTION("""COMPUTED_VALUE"""),"86o 31' 13""")</f>
        <v>86o 31' 13"</v>
      </c>
      <c r="M2474" s="2" t="str">
        <f>IFERROR(__xludf.DUMMYFUNCTION("""COMPUTED_VALUE"""),"Gora Khami,Tapting,Kerung (Solukhumbu)")</f>
        <v>Gora Khami,Tapting,Kerung (Solukhumbu)</v>
      </c>
    </row>
    <row r="2475">
      <c r="A2475" s="2">
        <f>IFERROR(__xludf.DUMMYFUNCTION("""COMPUTED_VALUE"""),2474.0)</f>
        <v>2474</v>
      </c>
      <c r="B2475" s="2" t="str">
        <f>IFERROR(__xludf.DUMMYFUNCTION("""COMPUTED_VALUE"""),"Sarpu Khola Hydropower Project")</f>
        <v>Sarpu Khola Hydropower Project</v>
      </c>
      <c r="C2475" s="2">
        <f>IFERROR(__xludf.DUMMYFUNCTION("""COMPUTED_VALUE"""),9.1)</f>
        <v>9.1</v>
      </c>
      <c r="D2475" s="2" t="str">
        <f>IFERROR(__xludf.DUMMYFUNCTION("""COMPUTED_VALUE"""),"Sarpu Khola")</f>
        <v>Sarpu Khola</v>
      </c>
      <c r="E2475" s="2">
        <f>IFERROR(__xludf.DUMMYFUNCTION("""COMPUTED_VALUE"""),6440.0)</f>
        <v>6440</v>
      </c>
      <c r="F2475" s="3">
        <f>IFERROR(__xludf.DUMMYFUNCTION("""COMPUTED_VALUE"""),66443.0)</f>
        <v>66443</v>
      </c>
      <c r="G2475" s="2" t="str">
        <f>IFERROR(__xludf.DUMMYFUNCTION("""COMPUTED_VALUE"""),"J.V. Power Private Limited")</f>
        <v>J.V. Power Private Limited</v>
      </c>
      <c r="H2475" s="2" t="str">
        <f>IFERROR(__xludf.DUMMYFUNCTION("""COMPUTED_VALUE"""),"KMC-10, Kathmandu")</f>
        <v>KMC-10, Kathmandu</v>
      </c>
      <c r="I2475" s="2" t="str">
        <f>IFERROR(__xludf.DUMMYFUNCTION("""COMPUTED_VALUE"""),"28o 28' 27""")</f>
        <v>28o 28' 27"</v>
      </c>
      <c r="J2475" s="2" t="str">
        <f>IFERROR(__xludf.DUMMYFUNCTION("""COMPUTED_VALUE"""),"28o 31' 00""")</f>
        <v>28o 31' 00"</v>
      </c>
      <c r="K2475" s="2" t="str">
        <f>IFERROR(__xludf.DUMMYFUNCTION("""COMPUTED_VALUE"""),"85o 00' 00""")</f>
        <v>85o 00' 00"</v>
      </c>
      <c r="L2475" s="2" t="str">
        <f>IFERROR(__xludf.DUMMYFUNCTION("""COMPUTED_VALUE"""),"85o 02' 29""")</f>
        <v>85o 02' 29"</v>
      </c>
      <c r="M2475" s="2" t="str">
        <f>IFERROR(__xludf.DUMMYFUNCTION("""COMPUTED_VALUE"""),"Chunchet (Gorkha)")</f>
        <v>Chunchet (Gorkha)</v>
      </c>
    </row>
    <row r="2476">
      <c r="A2476" s="2">
        <f>IFERROR(__xludf.DUMMYFUNCTION("""COMPUTED_VALUE"""),2475.0)</f>
        <v>2475</v>
      </c>
      <c r="B2476" s="2" t="str">
        <f>IFERROR(__xludf.DUMMYFUNCTION("""COMPUTED_VALUE"""),"Tom Dogar Hydropower Project")</f>
        <v>Tom Dogar Hydropower Project</v>
      </c>
      <c r="C2476" s="2">
        <f>IFERROR(__xludf.DUMMYFUNCTION("""COMPUTED_VALUE"""),107.0)</f>
        <v>107</v>
      </c>
      <c r="D2476" s="2" t="str">
        <f>IFERROR(__xludf.DUMMYFUNCTION("""COMPUTED_VALUE"""),"Tom Dogar Khola")</f>
        <v>Tom Dogar Khola</v>
      </c>
      <c r="E2476" s="2">
        <f>IFERROR(__xludf.DUMMYFUNCTION("""COMPUTED_VALUE"""),6571.0)</f>
        <v>6571</v>
      </c>
      <c r="F2476" s="3">
        <f>IFERROR(__xludf.DUMMYFUNCTION("""COMPUTED_VALUE"""),66450.0)</f>
        <v>66450</v>
      </c>
      <c r="G2476" s="2" t="str">
        <f>IFERROR(__xludf.DUMMYFUNCTION("""COMPUTED_VALUE"""),"Himalayan Solar Ventures Private Limited")</f>
        <v>Himalayan Solar Ventures Private Limited</v>
      </c>
      <c r="H2476" s="2" t="str">
        <f>IFERROR(__xludf.DUMMYFUNCTION("""COMPUTED_VALUE"""),"Balaju - 16, Kathmandu")</f>
        <v>Balaju - 16, Kathmandu</v>
      </c>
      <c r="I2476" s="2" t="str">
        <f>IFERROR(__xludf.DUMMYFUNCTION("""COMPUTED_VALUE"""),"28o 32' 04""")</f>
        <v>28o 32' 04"</v>
      </c>
      <c r="J2476" s="2" t="str">
        <f>IFERROR(__xludf.DUMMYFUNCTION("""COMPUTED_VALUE"""),"28o 35' 00""")</f>
        <v>28o 35' 00"</v>
      </c>
      <c r="K2476" s="2" t="str">
        <f>IFERROR(__xludf.DUMMYFUNCTION("""COMPUTED_VALUE"""),"84o 47' 33""")</f>
        <v>84o 47' 33"</v>
      </c>
      <c r="L2476" s="2" t="str">
        <f>IFERROR(__xludf.DUMMYFUNCTION("""COMPUTED_VALUE"""),"84o 49' 56""")</f>
        <v>84o 49' 56"</v>
      </c>
      <c r="M2476" s="2" t="str">
        <f>IFERROR(__xludf.DUMMYFUNCTION("""COMPUTED_VALUE"""),"Prok (Gorkha)")</f>
        <v>Prok (Gorkha)</v>
      </c>
    </row>
    <row r="2477">
      <c r="A2477" s="2">
        <f>IFERROR(__xludf.DUMMYFUNCTION("""COMPUTED_VALUE"""),2476.0)</f>
        <v>2476</v>
      </c>
      <c r="B2477" s="2" t="str">
        <f>IFERROR(__xludf.DUMMYFUNCTION("""COMPUTED_VALUE"""),"Syano &amp; Panthe Khola Hydropower Project")</f>
        <v>Syano &amp; Panthe Khola Hydropower Project</v>
      </c>
      <c r="C2477" s="2">
        <f>IFERROR(__xludf.DUMMYFUNCTION("""COMPUTED_VALUE"""),5.0)</f>
        <v>5</v>
      </c>
      <c r="D2477" s="2" t="str">
        <f>IFERROR(__xludf.DUMMYFUNCTION("""COMPUTED_VALUE"""),"Syano Khola, Panthe Khola")</f>
        <v>Syano Khola, Panthe Khola</v>
      </c>
      <c r="E2477" s="2">
        <f>IFERROR(__xludf.DUMMYFUNCTION("""COMPUTED_VALUE"""),6629.0)</f>
        <v>6629</v>
      </c>
      <c r="F2477" s="3">
        <f>IFERROR(__xludf.DUMMYFUNCTION("""COMPUTED_VALUE"""),66451.0)</f>
        <v>66451</v>
      </c>
      <c r="G2477" s="2" t="str">
        <f>IFERROR(__xludf.DUMMYFUNCTION("""COMPUTED_VALUE"""),"Sakshyam Syano Hydropower Private Limited")</f>
        <v>Sakshyam Syano Hydropower Private Limited</v>
      </c>
      <c r="H2477" s="2" t="str">
        <f>IFERROR(__xludf.DUMMYFUNCTION("""COMPUTED_VALUE"""),"Budhanilkantha - 3, Kathmandu")</f>
        <v>Budhanilkantha - 3, Kathmandu</v>
      </c>
      <c r="I2477" s="2" t="str">
        <f>IFERROR(__xludf.DUMMYFUNCTION("""COMPUTED_VALUE"""),"28o 33' 15""")</f>
        <v>28o 33' 15"</v>
      </c>
      <c r="J2477" s="2" t="str">
        <f>IFERROR(__xludf.DUMMYFUNCTION("""COMPUTED_VALUE"""),"28o 34' 00""")</f>
        <v>28o 34' 00"</v>
      </c>
      <c r="K2477" s="2" t="str">
        <f>IFERROR(__xludf.DUMMYFUNCTION("""COMPUTED_VALUE"""),"83o 29' 00""")</f>
        <v>83o 29' 00"</v>
      </c>
      <c r="L2477" s="2" t="str">
        <f>IFERROR(__xludf.DUMMYFUNCTION("""COMPUTED_VALUE"""),"83o 30' 15""")</f>
        <v>83o 30' 15"</v>
      </c>
      <c r="M2477" s="2" t="str">
        <f>IFERROR(__xludf.DUMMYFUNCTION("""COMPUTED_VALUE"""),"Kuinemangale (Myagdi)")</f>
        <v>Kuinemangale (Myagdi)</v>
      </c>
    </row>
    <row r="2478">
      <c r="A2478" s="2">
        <f>IFERROR(__xludf.DUMMYFUNCTION("""COMPUTED_VALUE"""),2477.0)</f>
        <v>2477</v>
      </c>
      <c r="B2478" s="2" t="str">
        <f>IFERROR(__xludf.DUMMYFUNCTION("""COMPUTED_VALUE"""),"Upper Rahagad Hydropower Project")</f>
        <v>Upper Rahagad Hydropower Project</v>
      </c>
      <c r="C2478" s="2">
        <f>IFERROR(__xludf.DUMMYFUNCTION("""COMPUTED_VALUE"""),4.1)</f>
        <v>4.1</v>
      </c>
      <c r="D2478" s="2" t="str">
        <f>IFERROR(__xludf.DUMMYFUNCTION("""COMPUTED_VALUE"""),"Rahagad")</f>
        <v>Rahagad</v>
      </c>
      <c r="E2478" s="2">
        <f>IFERROR(__xludf.DUMMYFUNCTION("""COMPUTED_VALUE"""),6639.0)</f>
        <v>6639</v>
      </c>
      <c r="F2478" s="3">
        <f>IFERROR(__xludf.DUMMYFUNCTION("""COMPUTED_VALUE"""),66451.0)</f>
        <v>66451</v>
      </c>
      <c r="G2478" s="2" t="str">
        <f>IFERROR(__xludf.DUMMYFUNCTION("""COMPUTED_VALUE"""),"Monal Energy Development Private Limited")</f>
        <v>Monal Energy Development Private Limited</v>
      </c>
      <c r="H2478" s="2" t="str">
        <f>IFERROR(__xludf.DUMMYFUNCTION("""COMPUTED_VALUE"""),"Kathmandu - 10, 9841466783")</f>
        <v>Kathmandu - 10, 9841466783</v>
      </c>
      <c r="I2478" s="2" t="str">
        <f>IFERROR(__xludf.DUMMYFUNCTION("""COMPUTED_VALUE"""),"29o 10' 44""")</f>
        <v>29o 10' 44"</v>
      </c>
      <c r="J2478" s="2" t="str">
        <f>IFERROR(__xludf.DUMMYFUNCTION("""COMPUTED_VALUE"""),"29o 11' 50""")</f>
        <v>29o 11' 50"</v>
      </c>
      <c r="K2478" s="2" t="str">
        <f>IFERROR(__xludf.DUMMYFUNCTION("""COMPUTED_VALUE"""),"81o 32' 20""")</f>
        <v>81o 32' 20"</v>
      </c>
      <c r="L2478" s="2" t="str">
        <f>IFERROR(__xludf.DUMMYFUNCTION("""COMPUTED_VALUE"""),"81o 33' 40""")</f>
        <v>81o 33' 40"</v>
      </c>
      <c r="M2478" s="2" t="str">
        <f>IFERROR(__xludf.DUMMYFUNCTION("""COMPUTED_VALUE"""),"Kotbada,Kumalgaun,Rupsa (Kalikot)")</f>
        <v>Kotbada,Kumalgaun,Rupsa (Kalikot)</v>
      </c>
    </row>
    <row r="2479">
      <c r="A2479" s="2">
        <f>IFERROR(__xludf.DUMMYFUNCTION("""COMPUTED_VALUE"""),2478.0)</f>
        <v>2478</v>
      </c>
      <c r="B2479" s="2" t="str">
        <f>IFERROR(__xludf.DUMMYFUNCTION("""COMPUTED_VALUE"""),"Kharta Khola Hydropower Project")</f>
        <v>Kharta Khola Hydropower Project</v>
      </c>
      <c r="C2479" s="2">
        <f>IFERROR(__xludf.DUMMYFUNCTION("""COMPUTED_VALUE"""),4.91)</f>
        <v>4.91</v>
      </c>
      <c r="D2479" s="2" t="str">
        <f>IFERROR(__xludf.DUMMYFUNCTION("""COMPUTED_VALUE"""),"Kharta Khola")</f>
        <v>Kharta Khola</v>
      </c>
      <c r="E2479" s="2">
        <f>IFERROR(__xludf.DUMMYFUNCTION("""COMPUTED_VALUE"""),6692.0)</f>
        <v>6692</v>
      </c>
      <c r="F2479" s="3">
        <f>IFERROR(__xludf.DUMMYFUNCTION("""COMPUTED_VALUE"""),66452.0)</f>
        <v>66452</v>
      </c>
      <c r="G2479" s="2" t="str">
        <f>IFERROR(__xludf.DUMMYFUNCTION("""COMPUTED_VALUE"""),"Muhan Hydropower Private Limited")</f>
        <v>Muhan Hydropower Private Limited</v>
      </c>
      <c r="H2479" s="2" t="str">
        <f>IFERROR(__xludf.DUMMYFUNCTION("""COMPUTED_VALUE"""),"Bhaktapur")</f>
        <v>Bhaktapur</v>
      </c>
      <c r="I2479" s="2" t="str">
        <f>IFERROR(__xludf.DUMMYFUNCTION("""COMPUTED_VALUE"""),"27o 52' 44""")</f>
        <v>27o 52' 44"</v>
      </c>
      <c r="J2479" s="2" t="str">
        <f>IFERROR(__xludf.DUMMYFUNCTION("""COMPUTED_VALUE"""),"27o 54' 30""")</f>
        <v>27o 54' 30"</v>
      </c>
      <c r="K2479" s="2" t="str">
        <f>IFERROR(__xludf.DUMMYFUNCTION("""COMPUTED_VALUE"""),"86o 05' 59""")</f>
        <v>86o 05' 59"</v>
      </c>
      <c r="L2479" s="2" t="str">
        <f>IFERROR(__xludf.DUMMYFUNCTION("""COMPUTED_VALUE"""),"86o 07' 41""")</f>
        <v>86o 07' 41"</v>
      </c>
      <c r="M2479" s="2" t="str">
        <f>IFERROR(__xludf.DUMMYFUNCTION("""COMPUTED_VALUE"""),"Alampu (Dolakha)")</f>
        <v>Alampu (Dolakha)</v>
      </c>
    </row>
    <row r="2480">
      <c r="A2480" s="2">
        <f>IFERROR(__xludf.DUMMYFUNCTION("""COMPUTED_VALUE"""),2479.0)</f>
        <v>2479</v>
      </c>
      <c r="B2480" s="2" t="str">
        <f>IFERROR(__xludf.DUMMYFUNCTION("""COMPUTED_VALUE"""),"Sisuwa Small Hydropower Project")</f>
        <v>Sisuwa Small Hydropower Project</v>
      </c>
      <c r="C2480" s="2">
        <f>IFERROR(__xludf.DUMMYFUNCTION("""COMPUTED_VALUE"""),8.78)</f>
        <v>8.78</v>
      </c>
      <c r="D2480" s="2" t="str">
        <f>IFERROR(__xludf.DUMMYFUNCTION("""COMPUTED_VALUE"""),"Sisuwa khola, Newa Khola")</f>
        <v>Sisuwa khola, Newa Khola</v>
      </c>
      <c r="E2480" s="2">
        <f>IFERROR(__xludf.DUMMYFUNCTION("""COMPUTED_VALUE"""),6717.0)</f>
        <v>6717</v>
      </c>
      <c r="F2480" s="3">
        <f>IFERROR(__xludf.DUMMYFUNCTION("""COMPUTED_VALUE"""),66453.0)</f>
        <v>66453</v>
      </c>
      <c r="G2480" s="2" t="str">
        <f>IFERROR(__xludf.DUMMYFUNCTION("""COMPUTED_VALUE"""),"Hydro Hills Private Limited")</f>
        <v>Hydro Hills Private Limited</v>
      </c>
      <c r="H2480" s="2" t="str">
        <f>IFERROR(__xludf.DUMMYFUNCTION("""COMPUTED_VALUE"""),"Ward No. 4, Imadole, Mahalaxmi Municipality, Lalitpur")</f>
        <v>Ward No. 4, Imadole, Mahalaxmi Municipality, Lalitpur</v>
      </c>
      <c r="I2480" s="2" t="str">
        <f>IFERROR(__xludf.DUMMYFUNCTION("""COMPUTED_VALUE"""),"27o 27' 53""")</f>
        <v>27o 27' 53"</v>
      </c>
      <c r="J2480" s="2" t="str">
        <f>IFERROR(__xludf.DUMMYFUNCTION("""COMPUTED_VALUE"""),"27o 30' 14""")</f>
        <v>27o 30' 14"</v>
      </c>
      <c r="K2480" s="2" t="str">
        <f>IFERROR(__xludf.DUMMYFUNCTION("""COMPUTED_VALUE"""),"87o 01' 08""")</f>
        <v>87o 01' 08"</v>
      </c>
      <c r="L2480" s="2" t="str">
        <f>IFERROR(__xludf.DUMMYFUNCTION("""COMPUTED_VALUE"""),"87o 02' 26""")</f>
        <v>87o 02' 26"</v>
      </c>
      <c r="M2480" s="2" t="str">
        <f>IFERROR(__xludf.DUMMYFUNCTION("""COMPUTED_VALUE"""),"Bala,Sisuwakhola (Sankhuwasabha)")</f>
        <v>Bala,Sisuwakhola (Sankhuwasabha)</v>
      </c>
    </row>
    <row r="2481">
      <c r="A2481" s="2">
        <f>IFERROR(__xludf.DUMMYFUNCTION("""COMPUTED_VALUE"""),2480.0)</f>
        <v>2480</v>
      </c>
      <c r="B2481" s="2" t="str">
        <f>IFERROR(__xludf.DUMMYFUNCTION("""COMPUTED_VALUE"""),"Mathillo Bhairabkunda Khola Hydropower Project")</f>
        <v>Mathillo Bhairabkunda Khola Hydropower Project</v>
      </c>
      <c r="C2481" s="2">
        <f>IFERROR(__xludf.DUMMYFUNCTION("""COMPUTED_VALUE"""),4.175)</f>
        <v>4.175</v>
      </c>
      <c r="D2481" s="2" t="str">
        <f>IFERROR(__xludf.DUMMYFUNCTION("""COMPUTED_VALUE"""),"Bhairab Kund")</f>
        <v>Bhairab Kund</v>
      </c>
      <c r="E2481" s="2">
        <f>IFERROR(__xludf.DUMMYFUNCTION("""COMPUTED_VALUE"""),6797.0)</f>
        <v>6797</v>
      </c>
      <c r="F2481" s="3">
        <f>IFERROR(__xludf.DUMMYFUNCTION("""COMPUTED_VALUE"""),66455.0)</f>
        <v>66455</v>
      </c>
      <c r="G2481" s="2" t="str">
        <f>IFERROR(__xludf.DUMMYFUNCTION("""COMPUTED_VALUE"""),"Bright Power Company Private Limited")</f>
        <v>Bright Power Company Private Limited</v>
      </c>
      <c r="H2481" s="2" t="str">
        <f>IFERROR(__xludf.DUMMYFUNCTION("""COMPUTED_VALUE"""),"KMC-1, Naxal")</f>
        <v>KMC-1, Naxal</v>
      </c>
      <c r="I2481" s="2" t="str">
        <f>IFERROR(__xludf.DUMMYFUNCTION("""COMPUTED_VALUE"""),"27o 56' 18""")</f>
        <v>27o 56' 18"</v>
      </c>
      <c r="J2481" s="2" t="str">
        <f>IFERROR(__xludf.DUMMYFUNCTION("""COMPUTED_VALUE"""),"27o 57' 13""")</f>
        <v>27o 57' 13"</v>
      </c>
      <c r="K2481" s="2" t="str">
        <f>IFERROR(__xludf.DUMMYFUNCTION("""COMPUTED_VALUE"""),"85o 54' 52""")</f>
        <v>85o 54' 52"</v>
      </c>
      <c r="L2481" s="2" t="str">
        <f>IFERROR(__xludf.DUMMYFUNCTION("""COMPUTED_VALUE"""),"85o 55' 53""")</f>
        <v>85o 55' 53"</v>
      </c>
      <c r="M2481" s="2" t="str">
        <f>IFERROR(__xludf.DUMMYFUNCTION("""COMPUTED_VALUE"""),"Tatopani (Sindhupalchok)")</f>
        <v>Tatopani (Sindhupalchok)</v>
      </c>
    </row>
    <row r="2482">
      <c r="A2482" s="2">
        <f>IFERROR(__xludf.DUMMYFUNCTION("""COMPUTED_VALUE"""),2481.0)</f>
        <v>2481</v>
      </c>
      <c r="B2482" s="2" t="str">
        <f>IFERROR(__xludf.DUMMYFUNCTION("""COMPUTED_VALUE"""),"Sisuwa Khola - A Hydropower Project")</f>
        <v>Sisuwa Khola - A Hydropower Project</v>
      </c>
      <c r="C2482" s="2">
        <f>IFERROR(__xludf.DUMMYFUNCTION("""COMPUTED_VALUE"""),9.8)</f>
        <v>9.8</v>
      </c>
      <c r="D2482" s="2" t="str">
        <f>IFERROR(__xludf.DUMMYFUNCTION("""COMPUTED_VALUE"""),"Sisuwa")</f>
        <v>Sisuwa</v>
      </c>
      <c r="E2482" s="2">
        <f>IFERROR(__xludf.DUMMYFUNCTION("""COMPUTED_VALUE"""),6809.0)</f>
        <v>6809</v>
      </c>
      <c r="F2482" s="3">
        <f>IFERROR(__xludf.DUMMYFUNCTION("""COMPUTED_VALUE"""),66456.0)</f>
        <v>66456</v>
      </c>
      <c r="G2482" s="2" t="str">
        <f>IFERROR(__xludf.DUMMYFUNCTION("""COMPUTED_VALUE"""),"Matribhumi Hydropower Development Company Pvt. Ltd")</f>
        <v>Matribhumi Hydropower Development Company Pvt. Ltd</v>
      </c>
      <c r="H2482" s="2" t="str">
        <f>IFERROR(__xludf.DUMMYFUNCTION("""COMPUTED_VALUE"""),"Lalipur Sub Metropolitan City, Ward No. 15, Lalitpur")</f>
        <v>Lalipur Sub Metropolitan City, Ward No. 15, Lalitpur</v>
      </c>
      <c r="I2482" s="2" t="str">
        <f>IFERROR(__xludf.DUMMYFUNCTION("""COMPUTED_VALUE"""),"27o 28' 00""")</f>
        <v>27o 28' 00"</v>
      </c>
      <c r="J2482" s="2" t="str">
        <f>IFERROR(__xludf.DUMMYFUNCTION("""COMPUTED_VALUE"""),"27o 30' 01""")</f>
        <v>27o 30' 01"</v>
      </c>
      <c r="K2482" s="2" t="str">
        <f>IFERROR(__xludf.DUMMYFUNCTION("""COMPUTED_VALUE"""),"87o 01' 13""")</f>
        <v>87o 01' 13"</v>
      </c>
      <c r="L2482" s="2" t="str">
        <f>IFERROR(__xludf.DUMMYFUNCTION("""COMPUTED_VALUE"""),"87o 02' 15""")</f>
        <v>87o 02' 15"</v>
      </c>
      <c r="M2482" s="2" t="str">
        <f>IFERROR(__xludf.DUMMYFUNCTION("""COMPUTED_VALUE"""),"Sisuwakhola,Bala (Sankhuwasabha)")</f>
        <v>Sisuwakhola,Bala (Sankhuwasabha)</v>
      </c>
    </row>
    <row r="2483">
      <c r="A2483" s="2">
        <f>IFERROR(__xludf.DUMMYFUNCTION("""COMPUTED_VALUE"""),2482.0)</f>
        <v>2482</v>
      </c>
      <c r="B2483" s="2" t="str">
        <f>IFERROR(__xludf.DUMMYFUNCTION("""COMPUTED_VALUE"""),"Lower Tipgad Khola Hydropower Project")</f>
        <v>Lower Tipgad Khola Hydropower Project</v>
      </c>
      <c r="C2483" s="2">
        <f>IFERROR(__xludf.DUMMYFUNCTION("""COMPUTED_VALUE"""),4.97)</f>
        <v>4.97</v>
      </c>
      <c r="D2483" s="2" t="str">
        <f>IFERROR(__xludf.DUMMYFUNCTION("""COMPUTED_VALUE"""),"Tipgad Khola")</f>
        <v>Tipgad Khola</v>
      </c>
      <c r="E2483" s="2">
        <f>IFERROR(__xludf.DUMMYFUNCTION("""COMPUTED_VALUE"""),6814.0)</f>
        <v>6814</v>
      </c>
      <c r="F2483" s="3">
        <f>IFERROR(__xludf.DUMMYFUNCTION("""COMPUTED_VALUE"""),66456.0)</f>
        <v>66456</v>
      </c>
      <c r="G2483" s="2" t="str">
        <f>IFERROR(__xludf.DUMMYFUNCTION("""COMPUTED_VALUE"""),"Tinjure Hydropower Private Limited")</f>
        <v>Tinjure Hydropower Private Limited</v>
      </c>
      <c r="H2483" s="2" t="str">
        <f>IFERROR(__xludf.DUMMYFUNCTION("""COMPUTED_VALUE"""),"KMC-31, Kathmandu")</f>
        <v>KMC-31, Kathmandu</v>
      </c>
      <c r="I2483" s="2" t="str">
        <f>IFERROR(__xludf.DUMMYFUNCTION("""COMPUTED_VALUE"""),"29o 18' 19""")</f>
        <v>29o 18' 19"</v>
      </c>
      <c r="J2483" s="2" t="str">
        <f>IFERROR(__xludf.DUMMYFUNCTION("""COMPUTED_VALUE"""),"29o 21' 17""")</f>
        <v>29o 21' 17"</v>
      </c>
      <c r="K2483" s="2" t="str">
        <f>IFERROR(__xludf.DUMMYFUNCTION("""COMPUTED_VALUE"""),"81o 45' 05""")</f>
        <v>81o 45' 05"</v>
      </c>
      <c r="L2483" s="2" t="str">
        <f>IFERROR(__xludf.DUMMYFUNCTION("""COMPUTED_VALUE"""),"81o 48' 48""")</f>
        <v>81o 48' 48"</v>
      </c>
      <c r="M2483" s="2" t="str">
        <f>IFERROR(__xludf.DUMMYFUNCTION("""COMPUTED_VALUE"""),"Kheen,Thirpu (Kalikot)")</f>
        <v>Kheen,Thirpu (Kalikot)</v>
      </c>
    </row>
    <row r="2484">
      <c r="A2484" s="2">
        <f>IFERROR(__xludf.DUMMYFUNCTION("""COMPUTED_VALUE"""),2483.0)</f>
        <v>2483</v>
      </c>
      <c r="B2484" s="2" t="str">
        <f>IFERROR(__xludf.DUMMYFUNCTION("""COMPUTED_VALUE"""),"Upper Luja Khola Hydropower Project")</f>
        <v>Upper Luja Khola Hydropower Project</v>
      </c>
      <c r="C2484" s="2">
        <f>IFERROR(__xludf.DUMMYFUNCTION("""COMPUTED_VALUE"""),9.8)</f>
        <v>9.8</v>
      </c>
      <c r="D2484" s="2" t="str">
        <f>IFERROR(__xludf.DUMMYFUNCTION("""COMPUTED_VALUE"""),"Luja Khola")</f>
        <v>Luja Khola</v>
      </c>
      <c r="E2484" s="2">
        <f>IFERROR(__xludf.DUMMYFUNCTION("""COMPUTED_VALUE"""),6831.0)</f>
        <v>6831</v>
      </c>
      <c r="F2484" s="3">
        <f>IFERROR(__xludf.DUMMYFUNCTION("""COMPUTED_VALUE"""),66456.0)</f>
        <v>66456</v>
      </c>
      <c r="G2484" s="2" t="str">
        <f>IFERROR(__xludf.DUMMYFUNCTION("""COMPUTED_VALUE"""),"Lumding Power Private Limited")</f>
        <v>Lumding Power Private Limited</v>
      </c>
      <c r="H2484" s="2" t="str">
        <f>IFERROR(__xludf.DUMMYFUNCTION("""COMPUTED_VALUE"""),"Madhyapur Thimi - 3, Kausaltar, Bhaktapur")</f>
        <v>Madhyapur Thimi - 3, Kausaltar, Bhaktapur</v>
      </c>
      <c r="I2484" s="2" t="str">
        <f>IFERROR(__xludf.DUMMYFUNCTION("""COMPUTED_VALUE"""),"27o 41' 25""")</f>
        <v>27o 41' 25"</v>
      </c>
      <c r="J2484" s="2" t="str">
        <f>IFERROR(__xludf.DUMMYFUNCTION("""COMPUTED_VALUE"""),"27o 42' 23""")</f>
        <v>27o 42' 23"</v>
      </c>
      <c r="K2484" s="2" t="str">
        <f>IFERROR(__xludf.DUMMYFUNCTION("""COMPUTED_VALUE"""),"86o 40' 00""")</f>
        <v>86o 40' 00"</v>
      </c>
      <c r="L2484" s="2" t="str">
        <f>IFERROR(__xludf.DUMMYFUNCTION("""COMPUTED_VALUE"""),"86o 40' 39""")</f>
        <v>86o 40' 39"</v>
      </c>
      <c r="M2484" s="2" t="str">
        <f>IFERROR(__xludf.DUMMYFUNCTION("""COMPUTED_VALUE"""),"Chaurikharka,Takasindu (Solukhumbu)")</f>
        <v>Chaurikharka,Takasindu (Solukhumbu)</v>
      </c>
    </row>
    <row r="2485">
      <c r="A2485" s="2">
        <f>IFERROR(__xludf.DUMMYFUNCTION("""COMPUTED_VALUE"""),2484.0)</f>
        <v>2484</v>
      </c>
      <c r="B2485" s="2" t="str">
        <f>IFERROR(__xludf.DUMMYFUNCTION("""COMPUTED_VALUE"""),"Kankhu Khola Hydropower Project")</f>
        <v>Kankhu Khola Hydropower Project</v>
      </c>
      <c r="C2485" s="2">
        <f>IFERROR(__xludf.DUMMYFUNCTION("""COMPUTED_VALUE"""),6.5)</f>
        <v>6.5</v>
      </c>
      <c r="D2485" s="2" t="str">
        <f>IFERROR(__xludf.DUMMYFUNCTION("""COMPUTED_VALUE"""),"Kankhu")</f>
        <v>Kankhu</v>
      </c>
      <c r="E2485" s="2">
        <f>IFERROR(__xludf.DUMMYFUNCTION("""COMPUTED_VALUE"""),6886.0)</f>
        <v>6886</v>
      </c>
      <c r="F2485" s="3">
        <f>IFERROR(__xludf.DUMMYFUNCTION("""COMPUTED_VALUE"""),66458.0)</f>
        <v>66458</v>
      </c>
      <c r="G2485" s="2" t="str">
        <f>IFERROR(__xludf.DUMMYFUNCTION("""COMPUTED_VALUE"""),"Blue Sky Energy Private Limited")</f>
        <v>Blue Sky Energy Private Limited</v>
      </c>
      <c r="H2485" s="2" t="str">
        <f>IFERROR(__xludf.DUMMYFUNCTION("""COMPUTED_VALUE"""),"9th Floor, Salesberry Building, Maharajgunj, Kathmandu, Nepal")</f>
        <v>9th Floor, Salesberry Building, Maharajgunj, Kathmandu, Nepal</v>
      </c>
      <c r="I2485" s="2" t="str">
        <f>IFERROR(__xludf.DUMMYFUNCTION("""COMPUTED_VALUE"""),"27o 30' 11""")</f>
        <v>27o 30' 11"</v>
      </c>
      <c r="J2485" s="2" t="str">
        <f>IFERROR(__xludf.DUMMYFUNCTION("""COMPUTED_VALUE"""),"27o 30' 51""")</f>
        <v>27o 30' 51"</v>
      </c>
      <c r="K2485" s="2" t="str">
        <f>IFERROR(__xludf.DUMMYFUNCTION("""COMPUTED_VALUE"""),"86o 52' 35""")</f>
        <v>86o 52' 35"</v>
      </c>
      <c r="L2485" s="2" t="str">
        <f>IFERROR(__xludf.DUMMYFUNCTION("""COMPUTED_VALUE"""),"86o 53' 56""")</f>
        <v>86o 53' 56"</v>
      </c>
      <c r="M2485" s="2" t="str">
        <f>IFERROR(__xludf.DUMMYFUNCTION("""COMPUTED_VALUE"""),"Chheskam,Gudel (Solukhumbu)")</f>
        <v>Chheskam,Gudel (Solukhumbu)</v>
      </c>
    </row>
    <row r="2486">
      <c r="A2486" s="2">
        <f>IFERROR(__xludf.DUMMYFUNCTION("""COMPUTED_VALUE"""),2485.0)</f>
        <v>2485</v>
      </c>
      <c r="B2486" s="2" t="str">
        <f>IFERROR(__xludf.DUMMYFUNCTION("""COMPUTED_VALUE"""),"Golden Arun PRoR Hydroelectric Project")</f>
        <v>Golden Arun PRoR Hydroelectric Project</v>
      </c>
      <c r="C2486" s="2">
        <f>IFERROR(__xludf.DUMMYFUNCTION("""COMPUTED_VALUE"""),37.3)</f>
        <v>37.3</v>
      </c>
      <c r="D2486" s="2" t="str">
        <f>IFERROR(__xludf.DUMMYFUNCTION("""COMPUTED_VALUE"""),"Arun")</f>
        <v>Arun</v>
      </c>
      <c r="E2486" s="2">
        <f>IFERROR(__xludf.DUMMYFUNCTION("""COMPUTED_VALUE"""),6984.0)</f>
        <v>6984</v>
      </c>
      <c r="F2486" s="3">
        <f>IFERROR(__xludf.DUMMYFUNCTION("""COMPUTED_VALUE"""),66460.0)</f>
        <v>66460</v>
      </c>
      <c r="G2486" s="2" t="str">
        <f>IFERROR(__xludf.DUMMYFUNCTION("""COMPUTED_VALUE"""),"Golden Arun Hydropower Private Limited")</f>
        <v>Golden Arun Hydropower Private Limited</v>
      </c>
      <c r="H2486" s="2" t="str">
        <f>IFERROR(__xludf.DUMMYFUNCTION("""COMPUTED_VALUE"""),"KMC-5, Kathmandu")</f>
        <v>KMC-5, Kathmandu</v>
      </c>
      <c r="I2486" s="2" t="str">
        <f>IFERROR(__xludf.DUMMYFUNCTION("""COMPUTED_VALUE"""),"27o 25' 46""")</f>
        <v>27o 25' 46"</v>
      </c>
      <c r="J2486" s="2" t="str">
        <f>IFERROR(__xludf.DUMMYFUNCTION("""COMPUTED_VALUE"""),"27o 28' 46""")</f>
        <v>27o 28' 46"</v>
      </c>
      <c r="K2486" s="2" t="str">
        <f>IFERROR(__xludf.DUMMYFUNCTION("""COMPUTED_VALUE"""),"87o 07' 30""")</f>
        <v>87o 07' 30"</v>
      </c>
      <c r="L2486" s="2" t="str">
        <f>IFERROR(__xludf.DUMMYFUNCTION("""COMPUTED_VALUE"""),"87o 09' 48""")</f>
        <v>87o 09' 48"</v>
      </c>
      <c r="M2486" s="2" t="str">
        <f>IFERROR(__xludf.DUMMYFUNCTION("""COMPUTED_VALUE"""),"Kulunga (Bhojpur) Sitalpati,Mangtewa (Sankhuwasabha)")</f>
        <v>Kulunga (Bhojpur) Sitalpati,Mangtewa (Sankhuwasabha)</v>
      </c>
    </row>
    <row r="2487">
      <c r="A2487" s="2">
        <f>IFERROR(__xludf.DUMMYFUNCTION("""COMPUTED_VALUE"""),2486.0)</f>
        <v>2486</v>
      </c>
      <c r="B2487" s="2" t="str">
        <f>IFERROR(__xludf.DUMMYFUNCTION("""COMPUTED_VALUE"""),"Tom Dogar Hydroelectric Project")</f>
        <v>Tom Dogar Hydroelectric Project</v>
      </c>
      <c r="C2487" s="2">
        <f>IFERROR(__xludf.DUMMYFUNCTION("""COMPUTED_VALUE"""),107.0)</f>
        <v>107</v>
      </c>
      <c r="D2487" s="2" t="str">
        <f>IFERROR(__xludf.DUMMYFUNCTION("""COMPUTED_VALUE"""),"Tom Dogar Khola")</f>
        <v>Tom Dogar Khola</v>
      </c>
      <c r="E2487" s="2">
        <f>IFERROR(__xludf.DUMMYFUNCTION("""COMPUTED_VALUE"""),7117.0)</f>
        <v>7117</v>
      </c>
      <c r="F2487" s="3">
        <f>IFERROR(__xludf.DUMMYFUNCTION("""COMPUTED_VALUE"""),66465.0)</f>
        <v>66465</v>
      </c>
      <c r="G2487" s="2" t="str">
        <f>IFERROR(__xludf.DUMMYFUNCTION("""COMPUTED_VALUE"""),"Himalayan Solar Ventures Private Limited")</f>
        <v>Himalayan Solar Ventures Private Limited</v>
      </c>
      <c r="H2487" s="2" t="str">
        <f>IFERROR(__xludf.DUMMYFUNCTION("""COMPUTED_VALUE"""),"Balaju-16, Kathmandu (9860136640, 9862043307)")</f>
        <v>Balaju-16, Kathmandu (9860136640, 9862043307)</v>
      </c>
      <c r="I2487" s="2" t="str">
        <f>IFERROR(__xludf.DUMMYFUNCTION("""COMPUTED_VALUE"""),"28o 32' 04""")</f>
        <v>28o 32' 04"</v>
      </c>
      <c r="J2487" s="2" t="str">
        <f>IFERROR(__xludf.DUMMYFUNCTION("""COMPUTED_VALUE"""),"28o 35' 00""")</f>
        <v>28o 35' 00"</v>
      </c>
      <c r="K2487" s="2" t="str">
        <f>IFERROR(__xludf.DUMMYFUNCTION("""COMPUTED_VALUE"""),"84o 47' 33""")</f>
        <v>84o 47' 33"</v>
      </c>
      <c r="L2487" s="2" t="str">
        <f>IFERROR(__xludf.DUMMYFUNCTION("""COMPUTED_VALUE"""),"84o 49' 56""")</f>
        <v>84o 49' 56"</v>
      </c>
      <c r="M2487" s="2" t="str">
        <f>IFERROR(__xludf.DUMMYFUNCTION("""COMPUTED_VALUE"""),"Prok (Gorkha)")</f>
        <v>Prok (Gorkha)</v>
      </c>
    </row>
    <row r="2488">
      <c r="A2488" s="2">
        <f>IFERROR(__xludf.DUMMYFUNCTION("""COMPUTED_VALUE"""),2487.0)</f>
        <v>2487</v>
      </c>
      <c r="B2488" s="2" t="str">
        <f>IFERROR(__xludf.DUMMYFUNCTION("""COMPUTED_VALUE"""),"Sankhuwa Khola A Hydropower Project")</f>
        <v>Sankhuwa Khola A Hydropower Project</v>
      </c>
      <c r="C2488" s="2">
        <f>IFERROR(__xludf.DUMMYFUNCTION("""COMPUTED_VALUE"""),9.8)</f>
        <v>9.8</v>
      </c>
      <c r="D2488" s="2" t="str">
        <f>IFERROR(__xludf.DUMMYFUNCTION("""COMPUTED_VALUE"""),"Sankhuwa")</f>
        <v>Sankhuwa</v>
      </c>
      <c r="E2488" s="2">
        <f>IFERROR(__xludf.DUMMYFUNCTION("""COMPUTED_VALUE"""),7248.0)</f>
        <v>7248</v>
      </c>
      <c r="F2488" s="3">
        <f>IFERROR(__xludf.DUMMYFUNCTION("""COMPUTED_VALUE"""),66470.0)</f>
        <v>66470</v>
      </c>
      <c r="G2488" s="2" t="str">
        <f>IFERROR(__xludf.DUMMYFUNCTION("""COMPUTED_VALUE"""),"Four Leaf Investment Company Private Limited")</f>
        <v>Four Leaf Investment Company Private Limited</v>
      </c>
      <c r="H2488" s="2" t="str">
        <f>IFERROR(__xludf.DUMMYFUNCTION("""COMPUTED_VALUE"""),"Budhanilkantha-7, Hattigauda")</f>
        <v>Budhanilkantha-7, Hattigauda</v>
      </c>
      <c r="I2488" s="2" t="str">
        <f>IFERROR(__xludf.DUMMYFUNCTION("""COMPUTED_VALUE"""),"27o 28' 27""")</f>
        <v>27o 28' 27"</v>
      </c>
      <c r="J2488" s="2" t="str">
        <f>IFERROR(__xludf.DUMMYFUNCTION("""COMPUTED_VALUE"""),"27o 29' 30""")</f>
        <v>27o 29' 30"</v>
      </c>
      <c r="K2488" s="2" t="str">
        <f>IFERROR(__xludf.DUMMYFUNCTION("""COMPUTED_VALUE"""),"87o 04' 55""")</f>
        <v>87o 04' 55"</v>
      </c>
      <c r="L2488" s="2" t="str">
        <f>IFERROR(__xludf.DUMMYFUNCTION("""COMPUTED_VALUE"""),"87o 05' 19""")</f>
        <v>87o 05' 19"</v>
      </c>
      <c r="M2488" s="2" t="str">
        <f>IFERROR(__xludf.DUMMYFUNCTION("""COMPUTED_VALUE"""),"Bala,Sisuwakhola,Tamku (Sankhuwasabha)")</f>
        <v>Bala,Sisuwakhola,Tamku (Sankhuwasabha)</v>
      </c>
    </row>
    <row r="2489">
      <c r="A2489" s="2">
        <f>IFERROR(__xludf.DUMMYFUNCTION("""COMPUTED_VALUE"""),2488.0)</f>
        <v>2488</v>
      </c>
      <c r="B2489" s="2" t="str">
        <f>IFERROR(__xludf.DUMMYFUNCTION("""COMPUTED_VALUE"""),"Tipgad Khola Hydropower Project")</f>
        <v>Tipgad Khola Hydropower Project</v>
      </c>
      <c r="C2489" s="2">
        <f>IFERROR(__xludf.DUMMYFUNCTION("""COMPUTED_VALUE"""),4.48)</f>
        <v>4.48</v>
      </c>
      <c r="D2489" s="2" t="str">
        <f>IFERROR(__xludf.DUMMYFUNCTION("""COMPUTED_VALUE"""),"Tipgad Khola")</f>
        <v>Tipgad Khola</v>
      </c>
      <c r="E2489" s="2">
        <f>IFERROR(__xludf.DUMMYFUNCTION("""COMPUTED_VALUE"""),7267.0)</f>
        <v>7267</v>
      </c>
      <c r="F2489" s="3">
        <f>IFERROR(__xludf.DUMMYFUNCTION("""COMPUTED_VALUE"""),66471.0)</f>
        <v>66471</v>
      </c>
      <c r="G2489" s="2" t="str">
        <f>IFERROR(__xludf.DUMMYFUNCTION("""COMPUTED_VALUE"""),"White Peak Ventures Private Limited")</f>
        <v>White Peak Ventures Private Limited</v>
      </c>
      <c r="H2489" s="2" t="str">
        <f>IFERROR(__xludf.DUMMYFUNCTION("""COMPUTED_VALUE"""),"KMC-10, Kathmandu")</f>
        <v>KMC-10, Kathmandu</v>
      </c>
      <c r="I2489" s="2" t="str">
        <f>IFERROR(__xludf.DUMMYFUNCTION("""COMPUTED_VALUE"""),"29o 18' 25""")</f>
        <v>29o 18' 25"</v>
      </c>
      <c r="J2489" s="2" t="str">
        <f>IFERROR(__xludf.DUMMYFUNCTION("""COMPUTED_VALUE"""),"29o 19' 41""")</f>
        <v>29o 19' 41"</v>
      </c>
      <c r="K2489" s="2" t="str">
        <f>IFERROR(__xludf.DUMMYFUNCTION("""COMPUTED_VALUE"""),"81o 45' 34""")</f>
        <v>81o 45' 34"</v>
      </c>
      <c r="L2489" s="2" t="str">
        <f>IFERROR(__xludf.DUMMYFUNCTION("""COMPUTED_VALUE"""),"81o 47' 05""")</f>
        <v>81o 47' 05"</v>
      </c>
      <c r="M2489" s="2" t="str">
        <f>IFERROR(__xludf.DUMMYFUNCTION("""COMPUTED_VALUE"""),"Dholagohe,Thirpu (Kalikot)")</f>
        <v>Dholagohe,Thirpu (Kalikot)</v>
      </c>
    </row>
    <row r="2490">
      <c r="A2490" s="2">
        <f>IFERROR(__xludf.DUMMYFUNCTION("""COMPUTED_VALUE"""),2489.0)</f>
        <v>2489</v>
      </c>
      <c r="B2490" s="2" t="str">
        <f>IFERROR(__xludf.DUMMYFUNCTION("""COMPUTED_VALUE"""),"Upper Tipgad Khola Hydropower Project")</f>
        <v>Upper Tipgad Khola Hydropower Project</v>
      </c>
      <c r="C2490" s="2">
        <f>IFERROR(__xludf.DUMMYFUNCTION("""COMPUTED_VALUE"""),4.41)</f>
        <v>4.41</v>
      </c>
      <c r="D2490" s="2" t="str">
        <f>IFERROR(__xludf.DUMMYFUNCTION("""COMPUTED_VALUE"""),"Tipgad")</f>
        <v>Tipgad</v>
      </c>
      <c r="E2490" s="2">
        <f>IFERROR(__xludf.DUMMYFUNCTION("""COMPUTED_VALUE"""),7381.0)</f>
        <v>7381</v>
      </c>
      <c r="F2490" s="3">
        <f>IFERROR(__xludf.DUMMYFUNCTION("""COMPUTED_VALUE"""),66473.0)</f>
        <v>66473</v>
      </c>
      <c r="G2490" s="2" t="str">
        <f>IFERROR(__xludf.DUMMYFUNCTION("""COMPUTED_VALUE"""),"White Peak Ventures Private Limited")</f>
        <v>White Peak Ventures Private Limited</v>
      </c>
      <c r="H2490" s="2" t="str">
        <f>IFERROR(__xludf.DUMMYFUNCTION("""COMPUTED_VALUE"""),"KMC-10, Kathmandu")</f>
        <v>KMC-10, Kathmandu</v>
      </c>
      <c r="I2490" s="2" t="str">
        <f>IFERROR(__xludf.DUMMYFUNCTION("""COMPUTED_VALUE"""),"29o 19' 20""")</f>
        <v>29o 19' 20"</v>
      </c>
      <c r="J2490" s="2" t="str">
        <f>IFERROR(__xludf.DUMMYFUNCTION("""COMPUTED_VALUE"""),"29o 20' 36""")</f>
        <v>29o 20' 36"</v>
      </c>
      <c r="K2490" s="2" t="str">
        <f>IFERROR(__xludf.DUMMYFUNCTION("""COMPUTED_VALUE"""),"81o 47' 44""")</f>
        <v>81o 47' 44"</v>
      </c>
      <c r="L2490" s="2" t="str">
        <f>IFERROR(__xludf.DUMMYFUNCTION("""COMPUTED_VALUE"""),"81o 49' 52""")</f>
        <v>81o 49' 52"</v>
      </c>
      <c r="M2490" s="2" t="str">
        <f>IFERROR(__xludf.DUMMYFUNCTION("""COMPUTED_VALUE"""),"Kheen,Thirpu (Kalikot)")</f>
        <v>Kheen,Thirpu (Kalikot)</v>
      </c>
    </row>
    <row r="2491">
      <c r="A2491" s="2">
        <f>IFERROR(__xludf.DUMMYFUNCTION("""COMPUTED_VALUE"""),2490.0)</f>
        <v>2490</v>
      </c>
      <c r="B2491" s="2" t="str">
        <f>IFERROR(__xludf.DUMMYFUNCTION("""COMPUTED_VALUE"""),"Bheri PRoR Hydropower Project")</f>
        <v>Bheri PRoR Hydropower Project</v>
      </c>
      <c r="C2491" s="2">
        <f>IFERROR(__xludf.DUMMYFUNCTION("""COMPUTED_VALUE"""),250.0)</f>
        <v>250</v>
      </c>
      <c r="D2491" s="2" t="str">
        <f>IFERROR(__xludf.DUMMYFUNCTION("""COMPUTED_VALUE"""),"Bheri Nadi")</f>
        <v>Bheri Nadi</v>
      </c>
      <c r="E2491" s="2">
        <f>IFERROR(__xludf.DUMMYFUNCTION("""COMPUTED_VALUE"""),7432.0)</f>
        <v>7432</v>
      </c>
      <c r="F2491" s="3">
        <f>IFERROR(__xludf.DUMMYFUNCTION("""COMPUTED_VALUE"""),66478.0)</f>
        <v>66478</v>
      </c>
      <c r="G2491" s="2" t="str">
        <f>IFERROR(__xludf.DUMMYFUNCTION("""COMPUTED_VALUE"""),"B.G. Modi Hydro Energy Private Limited")</f>
        <v>B.G. Modi Hydro Energy Private Limited</v>
      </c>
      <c r="H2491" s="2" t="str">
        <f>IFERROR(__xludf.DUMMYFUNCTION("""COMPUTED_VALUE"""),"Kathmandu, Nepal")</f>
        <v>Kathmandu, Nepal</v>
      </c>
      <c r="I2491" s="2" t="str">
        <f>IFERROR(__xludf.DUMMYFUNCTION("""COMPUTED_VALUE"""),"28o 46' 45""")</f>
        <v>28o 46' 45"</v>
      </c>
      <c r="J2491" s="2" t="str">
        <f>IFERROR(__xludf.DUMMYFUNCTION("""COMPUTED_VALUE"""),"28o 52' 00""")</f>
        <v>28o 52' 00"</v>
      </c>
      <c r="K2491" s="2" t="str">
        <f>IFERROR(__xludf.DUMMYFUNCTION("""COMPUTED_VALUE"""),"82o 18' 45""")</f>
        <v>82o 18' 45"</v>
      </c>
      <c r="L2491" s="2" t="str">
        <f>IFERROR(__xludf.DUMMYFUNCTION("""COMPUTED_VALUE"""),"82o 26' 40""")</f>
        <v>82o 26' 40"</v>
      </c>
      <c r="M2491" s="2" t="str">
        <f>IFERROR(__xludf.DUMMYFUNCTION("""COMPUTED_VALUE"""),"Ragda,Khagenakot,Sakala (Jajarkot) Gautamkot,Syalakhadi,Aathbis Kot,Aathbis 
Danda (Rukum)")</f>
        <v>Ragda,Khagenakot,Sakala (Jajarkot) Gautamkot,Syalakhadi,Aathbis Kot,Aathbis 
Danda (Rukum)</v>
      </c>
    </row>
    <row r="2492">
      <c r="A2492" s="2">
        <f>IFERROR(__xludf.DUMMYFUNCTION("""COMPUTED_VALUE"""),2491.0)</f>
        <v>2491</v>
      </c>
      <c r="B2492" s="2" t="str">
        <f>IFERROR(__xludf.DUMMYFUNCTION("""COMPUTED_VALUE"""),"Lower Dudhkoshi Hydroelectric Project")</f>
        <v>Lower Dudhkoshi Hydroelectric Project</v>
      </c>
      <c r="C2492" s="2">
        <f>IFERROR(__xludf.DUMMYFUNCTION("""COMPUTED_VALUE"""),23.81)</f>
        <v>23.81</v>
      </c>
      <c r="D2492" s="2" t="str">
        <f>IFERROR(__xludf.DUMMYFUNCTION("""COMPUTED_VALUE"""),"Dudhkoshi Khola")</f>
        <v>Dudhkoshi Khola</v>
      </c>
      <c r="E2492" s="2">
        <f>IFERROR(__xludf.DUMMYFUNCTION("""COMPUTED_VALUE"""),7502.0)</f>
        <v>7502</v>
      </c>
      <c r="F2492" s="3">
        <f>IFERROR(__xludf.DUMMYFUNCTION("""COMPUTED_VALUE"""),66479.0)</f>
        <v>66479</v>
      </c>
      <c r="G2492" s="2" t="str">
        <f>IFERROR(__xludf.DUMMYFUNCTION("""COMPUTED_VALUE"""),"S.I.Energy Private Limited")</f>
        <v>S.I.Energy Private Limited</v>
      </c>
      <c r="H2492" s="2" t="str">
        <f>IFERROR(__xludf.DUMMYFUNCTION("""COMPUTED_VALUE"""),"Butwal Submetropolitan City - 8 , Sukhhanagar, Rupandehi")</f>
        <v>Butwal Submetropolitan City - 8 , Sukhhanagar, Rupandehi</v>
      </c>
      <c r="I2492" s="2" t="str">
        <f>IFERROR(__xludf.DUMMYFUNCTION("""COMPUTED_VALUE"""),"27o 26' 30""")</f>
        <v>27o 26' 30"</v>
      </c>
      <c r="J2492" s="2" t="str">
        <f>IFERROR(__xludf.DUMMYFUNCTION("""COMPUTED_VALUE"""),"27o 27' 00""")</f>
        <v>27o 27' 00"</v>
      </c>
      <c r="K2492" s="2" t="str">
        <f>IFERROR(__xludf.DUMMYFUNCTION("""COMPUTED_VALUE"""),"86o 42' 18""")</f>
        <v>86o 42' 18"</v>
      </c>
      <c r="L2492" s="2" t="str">
        <f>IFERROR(__xludf.DUMMYFUNCTION("""COMPUTED_VALUE"""),"86o 43' 50""")</f>
        <v>86o 43' 50"</v>
      </c>
      <c r="M2492" s="2" t="str">
        <f>IFERROR(__xludf.DUMMYFUNCTION("""COMPUTED_VALUE"""),"Deusa,Lokhim (Solukhumbu)")</f>
        <v>Deusa,Lokhim (Solukhumbu)</v>
      </c>
    </row>
    <row r="2493">
      <c r="A2493" s="2">
        <f>IFERROR(__xludf.DUMMYFUNCTION("""COMPUTED_VALUE"""),2492.0)</f>
        <v>2492</v>
      </c>
      <c r="B2493" s="2" t="str">
        <f>IFERROR(__xludf.DUMMYFUNCTION("""COMPUTED_VALUE"""),"Tipgad Khola Hydroelectric Project")</f>
        <v>Tipgad Khola Hydroelectric Project</v>
      </c>
      <c r="C2493" s="2">
        <f>IFERROR(__xludf.DUMMYFUNCTION("""COMPUTED_VALUE"""),8.8)</f>
        <v>8.8</v>
      </c>
      <c r="D2493" s="2" t="str">
        <f>IFERROR(__xludf.DUMMYFUNCTION("""COMPUTED_VALUE"""),"Tipgad Khola")</f>
        <v>Tipgad Khola</v>
      </c>
      <c r="E2493" s="2">
        <f>IFERROR(__xludf.DUMMYFUNCTION("""COMPUTED_VALUE"""),7515.0)</f>
        <v>7515</v>
      </c>
      <c r="F2493" s="3">
        <f>IFERROR(__xludf.DUMMYFUNCTION("""COMPUTED_VALUE"""),66479.0)</f>
        <v>66479</v>
      </c>
      <c r="G2493" s="2" t="str">
        <f>IFERROR(__xludf.DUMMYFUNCTION("""COMPUTED_VALUE"""),"Solar Ventures Private Limited")</f>
        <v>Solar Ventures Private Limited</v>
      </c>
      <c r="H2493" s="2" t="str">
        <f>IFERROR(__xludf.DUMMYFUNCTION("""COMPUTED_VALUE"""),"KMC-10, Kathmandu")</f>
        <v>KMC-10, Kathmandu</v>
      </c>
      <c r="I2493" s="2" t="str">
        <f>IFERROR(__xludf.DUMMYFUNCTION("""COMPUTED_VALUE"""),"29o 19' 31""")</f>
        <v>29o 19' 31"</v>
      </c>
      <c r="J2493" s="2" t="str">
        <f>IFERROR(__xludf.DUMMYFUNCTION("""COMPUTED_VALUE"""),"29o 21' 11""")</f>
        <v>29o 21' 11"</v>
      </c>
      <c r="K2493" s="2" t="str">
        <f>IFERROR(__xludf.DUMMYFUNCTION("""COMPUTED_VALUE"""),"81o 48' 48""")</f>
        <v>81o 48' 48"</v>
      </c>
      <c r="L2493" s="2" t="str">
        <f>IFERROR(__xludf.DUMMYFUNCTION("""COMPUTED_VALUE"""),"81o 50' 47""")</f>
        <v>81o 50' 47"</v>
      </c>
      <c r="M2493" s="2" t="str">
        <f>IFERROR(__xludf.DUMMYFUNCTION("""COMPUTED_VALUE"""),"Kheen,Thirpu (Kalikot)")</f>
        <v>Kheen,Thirpu (Kalikot)</v>
      </c>
    </row>
    <row r="2494">
      <c r="A2494" s="2">
        <f>IFERROR(__xludf.DUMMYFUNCTION("""COMPUTED_VALUE"""),2493.0)</f>
        <v>2493</v>
      </c>
      <c r="B2494" s="2" t="str">
        <f>IFERROR(__xludf.DUMMYFUNCTION("""COMPUTED_VALUE"""),"Loti Karnali (Take Khola) Hydroelectric Project")</f>
        <v>Loti Karnali (Take Khola) Hydroelectric Project</v>
      </c>
      <c r="C2494" s="2">
        <f>IFERROR(__xludf.DUMMYFUNCTION("""COMPUTED_VALUE"""),42.62)</f>
        <v>42.62</v>
      </c>
      <c r="D2494" s="2" t="str">
        <f>IFERROR(__xludf.DUMMYFUNCTION("""COMPUTED_VALUE"""),"Loti Karnali (Take Khola)")</f>
        <v>Loti Karnali (Take Khola)</v>
      </c>
      <c r="E2494" s="2">
        <f>IFERROR(__xludf.DUMMYFUNCTION("""COMPUTED_VALUE"""),7531.0)</f>
        <v>7531</v>
      </c>
      <c r="F2494" s="3">
        <f>IFERROR(__xludf.DUMMYFUNCTION("""COMPUTED_VALUE"""),66479.0)</f>
        <v>66479</v>
      </c>
      <c r="G2494" s="2" t="str">
        <f>IFERROR(__xludf.DUMMYFUNCTION("""COMPUTED_VALUE"""),"Hongue General Power Private Limited")</f>
        <v>Hongue General Power Private Limited</v>
      </c>
      <c r="H2494" s="2" t="str">
        <f>IFERROR(__xludf.DUMMYFUNCTION("""COMPUTED_VALUE"""),"Naxal - 5, Kathmandu")</f>
        <v>Naxal - 5, Kathmandu</v>
      </c>
      <c r="I2494" s="2" t="str">
        <f>IFERROR(__xludf.DUMMYFUNCTION("""COMPUTED_VALUE"""),"29o 44' 14""")</f>
        <v>29o 44' 14"</v>
      </c>
      <c r="J2494" s="2" t="str">
        <f>IFERROR(__xludf.DUMMYFUNCTION("""COMPUTED_VALUE"""),"29o 46' 24""")</f>
        <v>29o 46' 24"</v>
      </c>
      <c r="K2494" s="2" t="str">
        <f>IFERROR(__xludf.DUMMYFUNCTION("""COMPUTED_VALUE"""),"82o 10' 30""")</f>
        <v>82o 10' 30"</v>
      </c>
      <c r="L2494" s="2" t="str">
        <f>IFERROR(__xludf.DUMMYFUNCTION("""COMPUTED_VALUE"""),"82o 15' 46""")</f>
        <v>82o 15' 46"</v>
      </c>
      <c r="M2494" s="2" t="str">
        <f>IFERROR(__xludf.DUMMYFUNCTION("""COMPUTED_VALUE"""),"Mimi (Humla)")</f>
        <v>Mimi (Humla)</v>
      </c>
    </row>
    <row r="2495">
      <c r="A2495" s="2">
        <f>IFERROR(__xludf.DUMMYFUNCTION("""COMPUTED_VALUE"""),2494.0)</f>
        <v>2494</v>
      </c>
      <c r="B2495" s="2" t="str">
        <f>IFERROR(__xludf.DUMMYFUNCTION("""COMPUTED_VALUE"""),"Hewa Khola RoR Hydropower Project")</f>
        <v>Hewa Khola RoR Hydropower Project</v>
      </c>
      <c r="C2495" s="2">
        <f>IFERROR(__xludf.DUMMYFUNCTION("""COMPUTED_VALUE"""),4.9)</f>
        <v>4.9</v>
      </c>
      <c r="D2495" s="2" t="str">
        <f>IFERROR(__xludf.DUMMYFUNCTION("""COMPUTED_VALUE"""),"Hewa Khola")</f>
        <v>Hewa Khola</v>
      </c>
      <c r="E2495" s="2">
        <f>IFERROR(__xludf.DUMMYFUNCTION("""COMPUTED_VALUE"""),7575.0)</f>
        <v>7575</v>
      </c>
      <c r="F2495" s="3">
        <f>IFERROR(__xludf.DUMMYFUNCTION("""COMPUTED_VALUE"""),66480.0)</f>
        <v>66480</v>
      </c>
      <c r="G2495" s="2" t="str">
        <f>IFERROR(__xludf.DUMMYFUNCTION("""COMPUTED_VALUE"""),"Phalelung Hydropower Private Limited")</f>
        <v>Phalelung Hydropower Private Limited</v>
      </c>
      <c r="H2495" s="2" t="str">
        <f>IFERROR(__xludf.DUMMYFUNCTION("""COMPUTED_VALUE"""),"Suryabinayak, Bhaktapur")</f>
        <v>Suryabinayak, Bhaktapur</v>
      </c>
      <c r="I2495" s="2" t="str">
        <f>IFERROR(__xludf.DUMMYFUNCTION("""COMPUTED_VALUE"""),"27o 10' 50""")</f>
        <v>27o 10' 50"</v>
      </c>
      <c r="J2495" s="2" t="str">
        <f>IFERROR(__xludf.DUMMYFUNCTION("""COMPUTED_VALUE"""),"27o 11' 30""")</f>
        <v>27o 11' 30"</v>
      </c>
      <c r="K2495" s="2" t="str">
        <f>IFERROR(__xludf.DUMMYFUNCTION("""COMPUTED_VALUE"""),"87o 53' 15""")</f>
        <v>87o 53' 15"</v>
      </c>
      <c r="L2495" s="2" t="str">
        <f>IFERROR(__xludf.DUMMYFUNCTION("""COMPUTED_VALUE"""),"87o 55' 22""")</f>
        <v>87o 55' 22"</v>
      </c>
      <c r="M2495" s="2" t="str">
        <f>IFERROR(__xludf.DUMMYFUNCTION("""COMPUTED_VALUE"""),"Ekteen,Memeng,Prangbung,Sidin (Panchthar)")</f>
        <v>Ekteen,Memeng,Prangbung,Sidin (Panchthar)</v>
      </c>
    </row>
    <row r="2496">
      <c r="A2496" s="2">
        <f>IFERROR(__xludf.DUMMYFUNCTION("""COMPUTED_VALUE"""),2495.0)</f>
        <v>2495</v>
      </c>
      <c r="B2496" s="2" t="str">
        <f>IFERROR(__xludf.DUMMYFUNCTION("""COMPUTED_VALUE"""),"Super Uwa Khola Hydropower Project")</f>
        <v>Super Uwa Khola Hydropower Project</v>
      </c>
      <c r="C2496" s="2">
        <f>IFERROR(__xludf.DUMMYFUNCTION("""COMPUTED_VALUE"""),4.92)</f>
        <v>4.92</v>
      </c>
      <c r="D2496" s="2" t="str">
        <f>IFERROR(__xludf.DUMMYFUNCTION("""COMPUTED_VALUE"""),"Uwa Khola")</f>
        <v>Uwa Khola</v>
      </c>
      <c r="E2496" s="2">
        <f>IFERROR(__xludf.DUMMYFUNCTION("""COMPUTED_VALUE"""),7618.0)</f>
        <v>7618</v>
      </c>
      <c r="F2496" s="3">
        <f>IFERROR(__xludf.DUMMYFUNCTION("""COMPUTED_VALUE"""),66484.0)</f>
        <v>66484</v>
      </c>
      <c r="G2496" s="2" t="str">
        <f>IFERROR(__xludf.DUMMYFUNCTION("""COMPUTED_VALUE"""),"Jaljala Energy Private Limited")</f>
        <v>Jaljala Energy Private Limited</v>
      </c>
      <c r="H2496" s="2" t="str">
        <f>IFERROR(__xludf.DUMMYFUNCTION("""COMPUTED_VALUE"""),"Gahanapokhari, Ward No 5, Kathmandu")</f>
        <v>Gahanapokhari, Ward No 5, Kathmandu</v>
      </c>
      <c r="I2496" s="2" t="str">
        <f>IFERROR(__xludf.DUMMYFUNCTION("""COMPUTED_VALUE"""),"28o 24' 45""")</f>
        <v>28o 24' 45"</v>
      </c>
      <c r="J2496" s="2" t="str">
        <f>IFERROR(__xludf.DUMMYFUNCTION("""COMPUTED_VALUE"""),"28o 25' 47""")</f>
        <v>28o 25' 47"</v>
      </c>
      <c r="K2496" s="2" t="str">
        <f>IFERROR(__xludf.DUMMYFUNCTION("""COMPUTED_VALUE"""),"82o 47' 43""")</f>
        <v>82o 47' 43"</v>
      </c>
      <c r="L2496" s="2" t="str">
        <f>IFERROR(__xludf.DUMMYFUNCTION("""COMPUTED_VALUE"""),"82o 48' 51""")</f>
        <v>82o 48' 51"</v>
      </c>
      <c r="M2496" s="2" t="str">
        <f>IFERROR(__xludf.DUMMYFUNCTION("""COMPUTED_VALUE"""),"Uwa (Rolpa)")</f>
        <v>Uwa (Rolpa)</v>
      </c>
    </row>
    <row r="2497">
      <c r="A2497" s="2">
        <f>IFERROR(__xludf.DUMMYFUNCTION("""COMPUTED_VALUE"""),2496.0)</f>
        <v>2496</v>
      </c>
      <c r="B2497" s="2" t="str">
        <f>IFERROR(__xludf.DUMMYFUNCTION("""COMPUTED_VALUE"""),"Lower Sanidogad Hydropower Project")</f>
        <v>Lower Sanidogad Hydropower Project</v>
      </c>
      <c r="C2497" s="2">
        <f>IFERROR(__xludf.DUMMYFUNCTION("""COMPUTED_VALUE"""),4.9)</f>
        <v>4.9</v>
      </c>
      <c r="D2497" s="2" t="str">
        <f>IFERROR(__xludf.DUMMYFUNCTION("""COMPUTED_VALUE"""),"Sanidogad Khola")</f>
        <v>Sanidogad Khola</v>
      </c>
      <c r="E2497" s="2">
        <f>IFERROR(__xludf.DUMMYFUNCTION("""COMPUTED_VALUE"""),7693.0)</f>
        <v>7693</v>
      </c>
      <c r="F2497" s="3">
        <f>IFERROR(__xludf.DUMMYFUNCTION("""COMPUTED_VALUE"""),66485.0)</f>
        <v>66485</v>
      </c>
      <c r="G2497" s="2" t="str">
        <f>IFERROR(__xludf.DUMMYFUNCTION("""COMPUTED_VALUE"""),"Saipal Venture Private Limited")</f>
        <v>Saipal Venture Private Limited</v>
      </c>
      <c r="H2497" s="2" t="str">
        <f>IFERROR(__xludf.DUMMYFUNCTION("""COMPUTED_VALUE"""),"Kathmandu-11, Kathmandu")</f>
        <v>Kathmandu-11, Kathmandu</v>
      </c>
      <c r="I2497" s="2" t="str">
        <f>IFERROR(__xludf.DUMMYFUNCTION("""COMPUTED_VALUE"""),"29o 13' 20""")</f>
        <v>29o 13' 20"</v>
      </c>
      <c r="J2497" s="2" t="str">
        <f>IFERROR(__xludf.DUMMYFUNCTION("""COMPUTED_VALUE"""),"29o 14' 27""")</f>
        <v>29o 14' 27"</v>
      </c>
      <c r="K2497" s="2" t="str">
        <f>IFERROR(__xludf.DUMMYFUNCTION("""COMPUTED_VALUE"""),"81o 36' 50""")</f>
        <v>81o 36' 50"</v>
      </c>
      <c r="L2497" s="2" t="str">
        <f>IFERROR(__xludf.DUMMYFUNCTION("""COMPUTED_VALUE"""),"81o 38' 15""")</f>
        <v>81o 38' 15"</v>
      </c>
      <c r="M2497" s="2"/>
    </row>
    <row r="2498">
      <c r="A2498" s="2">
        <f>IFERROR(__xludf.DUMMYFUNCTION("""COMPUTED_VALUE"""),2497.0)</f>
        <v>2497</v>
      </c>
      <c r="B2498" s="2" t="str">
        <f>IFERROR(__xludf.DUMMYFUNCTION("""COMPUTED_VALUE"""),"Tallo Tamor Hydropower Project")</f>
        <v>Tallo Tamor Hydropower Project</v>
      </c>
      <c r="C2498" s="2">
        <f>IFERROR(__xludf.DUMMYFUNCTION("""COMPUTED_VALUE"""),79.0)</f>
        <v>79</v>
      </c>
      <c r="D2498" s="2" t="str">
        <f>IFERROR(__xludf.DUMMYFUNCTION("""COMPUTED_VALUE"""),"Tamor")</f>
        <v>Tamor</v>
      </c>
      <c r="E2498" s="2">
        <f>IFERROR(__xludf.DUMMYFUNCTION("""COMPUTED_VALUE"""),7769.0)</f>
        <v>7769</v>
      </c>
      <c r="F2498" s="3">
        <f>IFERROR(__xludf.DUMMYFUNCTION("""COMPUTED_VALUE"""),66487.0)</f>
        <v>66487</v>
      </c>
      <c r="G2498" s="2" t="str">
        <f>IFERROR(__xludf.DUMMYFUNCTION("""COMPUTED_VALUE"""),"Panas Hydropower Private Limited")</f>
        <v>Panas Hydropower Private Limited</v>
      </c>
      <c r="H2498" s="2" t="str">
        <f>IFERROR(__xludf.DUMMYFUNCTION("""COMPUTED_VALUE"""),"Kamaladi, Kathmandu")</f>
        <v>Kamaladi, Kathmandu</v>
      </c>
      <c r="I2498" s="2" t="str">
        <f>IFERROR(__xludf.DUMMYFUNCTION("""COMPUTED_VALUE"""),"27o 15' 30""")</f>
        <v>27o 15' 30"</v>
      </c>
      <c r="J2498" s="2" t="str">
        <f>IFERROR(__xludf.DUMMYFUNCTION("""COMPUTED_VALUE"""),"27o 20' 00""")</f>
        <v>27o 20' 00"</v>
      </c>
      <c r="K2498" s="2" t="str">
        <f>IFERROR(__xludf.DUMMYFUNCTION("""COMPUTED_VALUE"""),"87o 39' 00""")</f>
        <v>87o 39' 00"</v>
      </c>
      <c r="L2498" s="2" t="str">
        <f>IFERROR(__xludf.DUMMYFUNCTION("""COMPUTED_VALUE"""),"87o 42' 00""")</f>
        <v>87o 42' 00"</v>
      </c>
      <c r="M2498" s="2"/>
    </row>
    <row r="2499">
      <c r="A2499" s="2">
        <f>IFERROR(__xludf.DUMMYFUNCTION("""COMPUTED_VALUE"""),2498.0)</f>
        <v>2498</v>
      </c>
      <c r="B2499" s="2" t="str">
        <f>IFERROR(__xludf.DUMMYFUNCTION("""COMPUTED_VALUE"""),"Upper Tawa Khola Hydropower Project")</f>
        <v>Upper Tawa Khola Hydropower Project</v>
      </c>
      <c r="C2499" s="2">
        <f>IFERROR(__xludf.DUMMYFUNCTION("""COMPUTED_VALUE"""),6.5)</f>
        <v>6.5</v>
      </c>
      <c r="D2499" s="2" t="str">
        <f>IFERROR(__xludf.DUMMYFUNCTION("""COMPUTED_VALUE"""),"Tawa Khola")</f>
        <v>Tawa Khola</v>
      </c>
      <c r="E2499" s="2">
        <f>IFERROR(__xludf.DUMMYFUNCTION("""COMPUTED_VALUE"""),7897.0)</f>
        <v>7897</v>
      </c>
      <c r="F2499" s="3">
        <f>IFERROR(__xludf.DUMMYFUNCTION("""COMPUTED_VALUE"""),66491.0)</f>
        <v>66491</v>
      </c>
      <c r="G2499" s="2" t="str">
        <f>IFERROR(__xludf.DUMMYFUNCTION("""COMPUTED_VALUE"""),"Radiant Hydropower Private Limited")</f>
        <v>Radiant Hydropower Private Limited</v>
      </c>
      <c r="H2499" s="2" t="str">
        <f>IFERROR(__xludf.DUMMYFUNCTION("""COMPUTED_VALUE"""),"KMC-5, Kathmandu")</f>
        <v>KMC-5, Kathmandu</v>
      </c>
      <c r="I2499" s="2" t="str">
        <f>IFERROR(__xludf.DUMMYFUNCTION("""COMPUTED_VALUE"""),"27o 21' 50""")</f>
        <v>27o 21' 50"</v>
      </c>
      <c r="J2499" s="2" t="str">
        <f>IFERROR(__xludf.DUMMYFUNCTION("""COMPUTED_VALUE"""),"27o 23' 36""")</f>
        <v>27o 23' 36"</v>
      </c>
      <c r="K2499" s="2" t="str">
        <f>IFERROR(__xludf.DUMMYFUNCTION("""COMPUTED_VALUE"""),"87o 53' 24""")</f>
        <v>87o 53' 24"</v>
      </c>
      <c r="L2499" s="2" t="str">
        <f>IFERROR(__xludf.DUMMYFUNCTION("""COMPUTED_VALUE"""),"87o 56' 26""")</f>
        <v>87o 56' 26"</v>
      </c>
      <c r="M2499" s="2" t="str">
        <f>IFERROR(__xludf.DUMMYFUNCTION("""COMPUTED_VALUE"""),"Khewang,Mehele,Surunkhim (Taplejung)")</f>
        <v>Khewang,Mehele,Surunkhim (Taplejung)</v>
      </c>
    </row>
    <row r="2500">
      <c r="A2500" s="2">
        <f>IFERROR(__xludf.DUMMYFUNCTION("""COMPUTED_VALUE"""),2499.0)</f>
        <v>2499</v>
      </c>
      <c r="B2500" s="2" t="str">
        <f>IFERROR(__xludf.DUMMYFUNCTION("""COMPUTED_VALUE"""),"Chyadu Khola A Hydropower Project")</f>
        <v>Chyadu Khola A Hydropower Project</v>
      </c>
      <c r="C2500" s="2">
        <f>IFERROR(__xludf.DUMMYFUNCTION("""COMPUTED_VALUE"""),9.92)</f>
        <v>9.92</v>
      </c>
      <c r="D2500" s="2" t="str">
        <f>IFERROR(__xludf.DUMMYFUNCTION("""COMPUTED_VALUE"""),"Chyadu Khola")</f>
        <v>Chyadu Khola</v>
      </c>
      <c r="E2500" s="2">
        <f>IFERROR(__xludf.DUMMYFUNCTION("""COMPUTED_VALUE"""),7922.0)</f>
        <v>7922</v>
      </c>
      <c r="F2500" s="3">
        <f>IFERROR(__xludf.DUMMYFUNCTION("""COMPUTED_VALUE"""),66492.0)</f>
        <v>66492</v>
      </c>
      <c r="G2500" s="2" t="str">
        <f>IFERROR(__xludf.DUMMYFUNCTION("""COMPUTED_VALUE"""),"M.B.K. Hydro Energy Private Limited")</f>
        <v>M.B.K. Hydro Energy Private Limited</v>
      </c>
      <c r="H2500" s="2" t="str">
        <f>IFERROR(__xludf.DUMMYFUNCTION("""COMPUTED_VALUE"""),"KMC-30, Gyaneshwor, Kathmandu")</f>
        <v>KMC-30, Gyaneshwor, Kathmandu</v>
      </c>
      <c r="I2500" s="2" t="str">
        <f>IFERROR(__xludf.DUMMYFUNCTION("""COMPUTED_VALUE"""),"27o 56' 40""")</f>
        <v>27o 56' 40"</v>
      </c>
      <c r="J2500" s="2" t="str">
        <f>IFERROR(__xludf.DUMMYFUNCTION("""COMPUTED_VALUE"""),"27o 57' 30""")</f>
        <v>27o 57' 30"</v>
      </c>
      <c r="K2500" s="2" t="str">
        <f>IFERROR(__xludf.DUMMYFUNCTION("""COMPUTED_VALUE"""),"86o 11' 10""")</f>
        <v>86o 11' 10"</v>
      </c>
      <c r="L2500" s="2" t="str">
        <f>IFERROR(__xludf.DUMMYFUNCTION("""COMPUTED_VALUE"""),"86o 12' 00""")</f>
        <v>86o 12' 00"</v>
      </c>
      <c r="M2500" s="2" t="str">
        <f>IFERROR(__xludf.DUMMYFUNCTION("""COMPUTED_VALUE"""),"Lamabagar (Dolakha)")</f>
        <v>Lamabagar (Dolakha)</v>
      </c>
    </row>
    <row r="2501">
      <c r="A2501" s="2">
        <f>IFERROR(__xludf.DUMMYFUNCTION("""COMPUTED_VALUE"""),2500.0)</f>
        <v>2500</v>
      </c>
      <c r="B2501" s="2" t="str">
        <f>IFERROR(__xludf.DUMMYFUNCTION("""COMPUTED_VALUE"""),"Super Sagu Khola Small Hydropower Project")</f>
        <v>Super Sagu Khola Small Hydropower Project</v>
      </c>
      <c r="C2501" s="2">
        <f>IFERROR(__xludf.DUMMYFUNCTION("""COMPUTED_VALUE"""),3.0)</f>
        <v>3</v>
      </c>
      <c r="D2501" s="2" t="str">
        <f>IFERROR(__xludf.DUMMYFUNCTION("""COMPUTED_VALUE"""),"Sagu")</f>
        <v>Sagu</v>
      </c>
      <c r="E2501" s="2">
        <f>IFERROR(__xludf.DUMMYFUNCTION("""COMPUTED_VALUE"""),7931.0)</f>
        <v>7931</v>
      </c>
      <c r="F2501" s="3">
        <f>IFERROR(__xludf.DUMMYFUNCTION("""COMPUTED_VALUE"""),66492.0)</f>
        <v>66492</v>
      </c>
      <c r="G2501" s="2" t="str">
        <f>IFERROR(__xludf.DUMMYFUNCTION("""COMPUTED_VALUE"""),"Alampu Jalabidhyut Bikas Company Private Limited")</f>
        <v>Alampu Jalabidhyut Bikas Company Private Limited</v>
      </c>
      <c r="H2501" s="2" t="str">
        <f>IFERROR(__xludf.DUMMYFUNCTION("""COMPUTED_VALUE"""),"KMC-9, Kathmandu")</f>
        <v>KMC-9, Kathmandu</v>
      </c>
      <c r="I2501" s="2" t="str">
        <f>IFERROR(__xludf.DUMMYFUNCTION("""COMPUTED_VALUE"""),"27o 52' 32""")</f>
        <v>27o 52' 32"</v>
      </c>
      <c r="J2501" s="2" t="str">
        <f>IFERROR(__xludf.DUMMYFUNCTION("""COMPUTED_VALUE"""),"27o 53' 00""")</f>
        <v>27o 53' 00"</v>
      </c>
      <c r="K2501" s="2" t="str">
        <f>IFERROR(__xludf.DUMMYFUNCTION("""COMPUTED_VALUE"""),"86o 05' 00""")</f>
        <v>86o 05' 00"</v>
      </c>
      <c r="L2501" s="2" t="str">
        <f>IFERROR(__xludf.DUMMYFUNCTION("""COMPUTED_VALUE"""),"86o 06' 56""")</f>
        <v>86o 06' 56"</v>
      </c>
      <c r="M2501" s="2" t="str">
        <f>IFERROR(__xludf.DUMMYFUNCTION("""COMPUTED_VALUE"""),"Alampu (Dolakha)")</f>
        <v>Alampu (Dolakha)</v>
      </c>
    </row>
    <row r="2502">
      <c r="A2502" s="2">
        <f>IFERROR(__xludf.DUMMYFUNCTION("""COMPUTED_VALUE"""),2501.0)</f>
        <v>2501</v>
      </c>
      <c r="B2502" s="2" t="str">
        <f>IFERROR(__xludf.DUMMYFUNCTION("""COMPUTED_VALUE"""),"Limi Khola Hydropower Project")</f>
        <v>Limi Khola Hydropower Project</v>
      </c>
      <c r="C2502" s="2">
        <f>IFERROR(__xludf.DUMMYFUNCTION("""COMPUTED_VALUE"""),4.93)</f>
        <v>4.93</v>
      </c>
      <c r="D2502" s="2" t="str">
        <f>IFERROR(__xludf.DUMMYFUNCTION("""COMPUTED_VALUE"""),"Limi Khola")</f>
        <v>Limi Khola</v>
      </c>
      <c r="E2502" s="2">
        <f>IFERROR(__xludf.DUMMYFUNCTION("""COMPUTED_VALUE"""),7972.0)</f>
        <v>7972</v>
      </c>
      <c r="F2502" s="3">
        <f>IFERROR(__xludf.DUMMYFUNCTION("""COMPUTED_VALUE"""),66493.0)</f>
        <v>66493</v>
      </c>
      <c r="G2502" s="2" t="str">
        <f>IFERROR(__xludf.DUMMYFUNCTION("""COMPUTED_VALUE"""),"Gurkhas Himalayan Hydro Pvt. Ltd.")</f>
        <v>Gurkhas Himalayan Hydro Pvt. Ltd.</v>
      </c>
      <c r="H2502" s="2" t="str">
        <f>IFERROR(__xludf.DUMMYFUNCTION("""COMPUTED_VALUE"""),"Kathmandu-28, Putalisadak, Nepal")</f>
        <v>Kathmandu-28, Putalisadak, Nepal</v>
      </c>
      <c r="I2502" s="2" t="str">
        <f>IFERROR(__xludf.DUMMYFUNCTION("""COMPUTED_VALUE"""),"30o 10' 30""")</f>
        <v>30o 10' 30"</v>
      </c>
      <c r="J2502" s="2" t="str">
        <f>IFERROR(__xludf.DUMMYFUNCTION("""COMPUTED_VALUE"""),"30o 12' 30""")</f>
        <v>30o 12' 30"</v>
      </c>
      <c r="K2502" s="2" t="str">
        <f>IFERROR(__xludf.DUMMYFUNCTION("""COMPUTED_VALUE"""),"81o 26' 20""")</f>
        <v>81o 26' 20"</v>
      </c>
      <c r="L2502" s="2" t="str">
        <f>IFERROR(__xludf.DUMMYFUNCTION("""COMPUTED_VALUE"""),"81o 29' 29""")</f>
        <v>81o 29' 29"</v>
      </c>
      <c r="M2502" s="2" t="str">
        <f>IFERROR(__xludf.DUMMYFUNCTION("""COMPUTED_VALUE"""),"Limi (Humla)")</f>
        <v>Limi (Humla)</v>
      </c>
    </row>
    <row r="2503">
      <c r="A2503" s="2">
        <f>IFERROR(__xludf.DUMMYFUNCTION("""COMPUTED_VALUE"""),2502.0)</f>
        <v>2502</v>
      </c>
      <c r="B2503" s="2" t="str">
        <f>IFERROR(__xludf.DUMMYFUNCTION("""COMPUTED_VALUE"""),"Middle Loti Karnali Hydropower Project")</f>
        <v>Middle Loti Karnali Hydropower Project</v>
      </c>
      <c r="C2503" s="2">
        <f>IFERROR(__xludf.DUMMYFUNCTION("""COMPUTED_VALUE"""),19.0)</f>
        <v>19</v>
      </c>
      <c r="D2503" s="2" t="str">
        <f>IFERROR(__xludf.DUMMYFUNCTION("""COMPUTED_VALUE"""),"Loti Karnali")</f>
        <v>Loti Karnali</v>
      </c>
      <c r="E2503" s="2">
        <f>IFERROR(__xludf.DUMMYFUNCTION("""COMPUTED_VALUE"""),8039.0)</f>
        <v>8039</v>
      </c>
      <c r="F2503" s="3">
        <f>IFERROR(__xludf.DUMMYFUNCTION("""COMPUTED_VALUE"""),66497.0)</f>
        <v>66497</v>
      </c>
      <c r="G2503" s="2" t="str">
        <f>IFERROR(__xludf.DUMMYFUNCTION("""COMPUTED_VALUE"""),"Ruby Energy Provate Limited")</f>
        <v>Ruby Energy Provate Limited</v>
      </c>
      <c r="H2503" s="2" t="str">
        <f>IFERROR(__xludf.DUMMYFUNCTION("""COMPUTED_VALUE"""),"Kathmandu-15, Kathmandu")</f>
        <v>Kathmandu-15, Kathmandu</v>
      </c>
      <c r="I2503" s="2" t="str">
        <f>IFERROR(__xludf.DUMMYFUNCTION("""COMPUTED_VALUE"""),"29o 49' 06""")</f>
        <v>29o 49' 06"</v>
      </c>
      <c r="J2503" s="2" t="str">
        <f>IFERROR(__xludf.DUMMYFUNCTION("""COMPUTED_VALUE"""),"29o 49' 36""")</f>
        <v>29o 49' 36"</v>
      </c>
      <c r="K2503" s="2" t="str">
        <f>IFERROR(__xludf.DUMMYFUNCTION("""COMPUTED_VALUE"""),"82o 05' 32""")</f>
        <v>82o 05' 32"</v>
      </c>
      <c r="L2503" s="2" t="str">
        <f>IFERROR(__xludf.DUMMYFUNCTION("""COMPUTED_VALUE"""),"82o 06' 21""")</f>
        <v>82o 06' 21"</v>
      </c>
      <c r="M2503" s="2"/>
    </row>
    <row r="2504">
      <c r="A2504" s="2">
        <f>IFERROR(__xludf.DUMMYFUNCTION("""COMPUTED_VALUE"""),2503.0)</f>
        <v>2503</v>
      </c>
      <c r="B2504" s="2" t="str">
        <f>IFERROR(__xludf.DUMMYFUNCTION("""COMPUTED_VALUE"""),"Kuntun Khola PRoR HydroelectricProject")</f>
        <v>Kuntun Khola PRoR HydroelectricProject</v>
      </c>
      <c r="C2504" s="2">
        <f>IFERROR(__xludf.DUMMYFUNCTION("""COMPUTED_VALUE"""),2.3)</f>
        <v>2.3</v>
      </c>
      <c r="D2504" s="2" t="str">
        <f>IFERROR(__xludf.DUMMYFUNCTION("""COMPUTED_VALUE"""),"Kuntun")</f>
        <v>Kuntun</v>
      </c>
      <c r="E2504" s="2">
        <f>IFERROR(__xludf.DUMMYFUNCTION("""COMPUTED_VALUE"""),8044.0)</f>
        <v>8044</v>
      </c>
      <c r="F2504" s="3">
        <f>IFERROR(__xludf.DUMMYFUNCTION("""COMPUTED_VALUE"""),66497.0)</f>
        <v>66497</v>
      </c>
      <c r="G2504" s="2" t="str">
        <f>IFERROR(__xludf.DUMMYFUNCTION("""COMPUTED_VALUE"""),"Happy Power Private Limited")</f>
        <v>Happy Power Private Limited</v>
      </c>
      <c r="H2504" s="2" t="str">
        <f>IFERROR(__xludf.DUMMYFUNCTION("""COMPUTED_VALUE"""),"Hadigaun, Kathmandu")</f>
        <v>Hadigaun, Kathmandu</v>
      </c>
      <c r="I2504" s="2" t="str">
        <f>IFERROR(__xludf.DUMMYFUNCTION("""COMPUTED_VALUE"""),"27o 57' 37""")</f>
        <v>27o 57' 37"</v>
      </c>
      <c r="J2504" s="2" t="str">
        <f>IFERROR(__xludf.DUMMYFUNCTION("""COMPUTED_VALUE"""),"27o 58' 55""")</f>
        <v>27o 58' 55"</v>
      </c>
      <c r="K2504" s="2" t="str">
        <f>IFERROR(__xludf.DUMMYFUNCTION("""COMPUTED_VALUE"""),"85o 24' 00""")</f>
        <v>85o 24' 00"</v>
      </c>
      <c r="L2504" s="2" t="str">
        <f>IFERROR(__xludf.DUMMYFUNCTION("""COMPUTED_VALUE"""),"85o 24' 45""")</f>
        <v>85o 24' 45"</v>
      </c>
      <c r="M2504" s="2" t="str">
        <f>IFERROR(__xludf.DUMMYFUNCTION("""COMPUTED_VALUE"""),"Dhyangphedi,Rautbesi,Shikharbesi (Nuwakot)")</f>
        <v>Dhyangphedi,Rautbesi,Shikharbesi (Nuwakot)</v>
      </c>
    </row>
    <row r="2505">
      <c r="A2505" s="2">
        <f>IFERROR(__xludf.DUMMYFUNCTION("""COMPUTED_VALUE"""),2504.0)</f>
        <v>2504</v>
      </c>
      <c r="B2505" s="2" t="str">
        <f>IFERROR(__xludf.DUMMYFUNCTION("""COMPUTED_VALUE"""),"Ghatta Khola Hydropower Project")</f>
        <v>Ghatta Khola Hydropower Project</v>
      </c>
      <c r="C2505" s="2">
        <f>IFERROR(__xludf.DUMMYFUNCTION("""COMPUTED_VALUE"""),4.05)</f>
        <v>4.05</v>
      </c>
      <c r="D2505" s="2" t="str">
        <f>IFERROR(__xludf.DUMMYFUNCTION("""COMPUTED_VALUE"""),"Ghatta Khola")</f>
        <v>Ghatta Khola</v>
      </c>
      <c r="E2505" s="2">
        <f>IFERROR(__xludf.DUMMYFUNCTION("""COMPUTED_VALUE"""),8140.0)</f>
        <v>8140</v>
      </c>
      <c r="F2505" s="3">
        <f>IFERROR(__xludf.DUMMYFUNCTION("""COMPUTED_VALUE"""),66499.0)</f>
        <v>66499</v>
      </c>
      <c r="G2505" s="2" t="str">
        <f>IFERROR(__xludf.DUMMYFUNCTION("""COMPUTED_VALUE"""),"Sitadevi Hydropower Private Limited")</f>
        <v>Sitadevi Hydropower Private Limited</v>
      </c>
      <c r="H2505" s="2" t="str">
        <f>IFERROR(__xludf.DUMMYFUNCTION("""COMPUTED_VALUE"""),"KMC-26, Thamel")</f>
        <v>KMC-26, Thamel</v>
      </c>
      <c r="I2505" s="2" t="str">
        <f>IFERROR(__xludf.DUMMYFUNCTION("""COMPUTED_VALUE"""),"28o 22' 40""")</f>
        <v>28o 22' 40"</v>
      </c>
      <c r="J2505" s="2" t="str">
        <f>IFERROR(__xludf.DUMMYFUNCTION("""COMPUTED_VALUE"""),"28o 23' 30""")</f>
        <v>28o 23' 30"</v>
      </c>
      <c r="K2505" s="2" t="str">
        <f>IFERROR(__xludf.DUMMYFUNCTION("""COMPUTED_VALUE"""),"84o 52' 25""")</f>
        <v>84o 52' 25"</v>
      </c>
      <c r="L2505" s="2" t="str">
        <f>IFERROR(__xludf.DUMMYFUNCTION("""COMPUTED_VALUE"""),"84o 53' 36""")</f>
        <v>84o 53' 36"</v>
      </c>
      <c r="M2505" s="2" t="str">
        <f>IFERROR(__xludf.DUMMYFUNCTION("""COMPUTED_VALUE"""),"Sirdibas (Gorkha)")</f>
        <v>Sirdibas (Gorkha)</v>
      </c>
    </row>
    <row r="2506">
      <c r="A2506" s="2">
        <f>IFERROR(__xludf.DUMMYFUNCTION("""COMPUTED_VALUE"""),2505.0)</f>
        <v>2505</v>
      </c>
      <c r="B2506" s="2" t="str">
        <f>IFERROR(__xludf.DUMMYFUNCTION("""COMPUTED_VALUE"""),"Supreme Kabeli Khola Hydroelectric Project")</f>
        <v>Supreme Kabeli Khola Hydroelectric Project</v>
      </c>
      <c r="C2506" s="2">
        <f>IFERROR(__xludf.DUMMYFUNCTION("""COMPUTED_VALUE"""),9.9)</f>
        <v>9.9</v>
      </c>
      <c r="D2506" s="2" t="str">
        <f>IFERROR(__xludf.DUMMYFUNCTION("""COMPUTED_VALUE"""),"Kabeli Khola")</f>
        <v>Kabeli Khola</v>
      </c>
      <c r="E2506" s="2">
        <f>IFERROR(__xludf.DUMMYFUNCTION("""COMPUTED_VALUE"""),8205.0)</f>
        <v>8205</v>
      </c>
      <c r="F2506" s="3">
        <f>IFERROR(__xludf.DUMMYFUNCTION("""COMPUTED_VALUE"""),66501.0)</f>
        <v>66501</v>
      </c>
      <c r="G2506" s="2" t="str">
        <f>IFERROR(__xludf.DUMMYFUNCTION("""COMPUTED_VALUE"""),"Best Hydropower Company Private Limited")</f>
        <v>Best Hydropower Company Private Limited</v>
      </c>
      <c r="H2506" s="2" t="str">
        <f>IFERROR(__xludf.DUMMYFUNCTION("""COMPUTED_VALUE"""),"KMC-32, Koteshwor, Kathmandu")</f>
        <v>KMC-32, Koteshwor, Kathmandu</v>
      </c>
      <c r="I2506" s="2" t="str">
        <f>IFERROR(__xludf.DUMMYFUNCTION("""COMPUTED_VALUE"""),"27o 27' 00""")</f>
        <v>27o 27' 00"</v>
      </c>
      <c r="J2506" s="2" t="str">
        <f>IFERROR(__xludf.DUMMYFUNCTION("""COMPUTED_VALUE"""),"27o 28' 30""")</f>
        <v>27o 28' 30"</v>
      </c>
      <c r="K2506" s="2" t="str">
        <f>IFERROR(__xludf.DUMMYFUNCTION("""COMPUTED_VALUE"""),"87o 55' 40""")</f>
        <v>87o 55' 40"</v>
      </c>
      <c r="L2506" s="2" t="str">
        <f>IFERROR(__xludf.DUMMYFUNCTION("""COMPUTED_VALUE"""),"87o 58' 10""")</f>
        <v>87o 58' 10"</v>
      </c>
      <c r="M2506" s="2" t="str">
        <f>IFERROR(__xludf.DUMMYFUNCTION("""COMPUTED_VALUE"""),"Yamfudin (Taplejung)")</f>
        <v>Yamfudin (Taplejung)</v>
      </c>
    </row>
    <row r="2507">
      <c r="A2507" s="2">
        <f>IFERROR(__xludf.DUMMYFUNCTION("""COMPUTED_VALUE"""),2506.0)</f>
        <v>2506</v>
      </c>
      <c r="B2507" s="2" t="str">
        <f>IFERROR(__xludf.DUMMYFUNCTION("""COMPUTED_VALUE"""),"Sarpu Khola Hydropower Project")</f>
        <v>Sarpu Khola Hydropower Project</v>
      </c>
      <c r="C2507" s="2">
        <f>IFERROR(__xludf.DUMMYFUNCTION("""COMPUTED_VALUE"""),10.0)</f>
        <v>10</v>
      </c>
      <c r="D2507" s="2" t="str">
        <f>IFERROR(__xludf.DUMMYFUNCTION("""COMPUTED_VALUE"""),"Sarpu Khola")</f>
        <v>Sarpu Khola</v>
      </c>
      <c r="E2507" s="2">
        <f>IFERROR(__xludf.DUMMYFUNCTION("""COMPUTED_VALUE"""),8238.0)</f>
        <v>8238</v>
      </c>
      <c r="F2507" s="3">
        <f>IFERROR(__xludf.DUMMYFUNCTION("""COMPUTED_VALUE"""),66502.0)</f>
        <v>66502</v>
      </c>
      <c r="G2507" s="2" t="str">
        <f>IFERROR(__xludf.DUMMYFUNCTION("""COMPUTED_VALUE"""),"Sereen Holdings Group Private Limited")</f>
        <v>Sereen Holdings Group Private Limited</v>
      </c>
      <c r="H2507" s="2" t="str">
        <f>IFERROR(__xludf.DUMMYFUNCTION("""COMPUTED_VALUE"""),"Satdobato, Lalitpur-15")</f>
        <v>Satdobato, Lalitpur-15</v>
      </c>
      <c r="I2507" s="2" t="str">
        <f>IFERROR(__xludf.DUMMYFUNCTION("""COMPUTED_VALUE"""),"28o 28' 10""")</f>
        <v>28o 28' 10"</v>
      </c>
      <c r="J2507" s="2" t="str">
        <f>IFERROR(__xludf.DUMMYFUNCTION("""COMPUTED_VALUE"""),"28o 36' 30""")</f>
        <v>28o 36' 30"</v>
      </c>
      <c r="K2507" s="2" t="str">
        <f>IFERROR(__xludf.DUMMYFUNCTION("""COMPUTED_VALUE"""),"84o 56' 45""")</f>
        <v>84o 56' 45"</v>
      </c>
      <c r="L2507" s="2" t="str">
        <f>IFERROR(__xludf.DUMMYFUNCTION("""COMPUTED_VALUE"""),"85o 03' 45""")</f>
        <v>85o 03' 45"</v>
      </c>
      <c r="M2507" s="2" t="str">
        <f>IFERROR(__xludf.DUMMYFUNCTION("""COMPUTED_VALUE"""),"Bihi,Chunchet,Chhaikampar (Gorkha)")</f>
        <v>Bihi,Chunchet,Chhaikampar (Gorkha)</v>
      </c>
    </row>
    <row r="2508">
      <c r="A2508" s="2">
        <f>IFERROR(__xludf.DUMMYFUNCTION("""COMPUTED_VALUE"""),2507.0)</f>
        <v>2507</v>
      </c>
      <c r="B2508" s="2" t="str">
        <f>IFERROR(__xludf.DUMMYFUNCTION("""COMPUTED_VALUE"""),"Tallo Richet Khola Hydropower Project")</f>
        <v>Tallo Richet Khola Hydropower Project</v>
      </c>
      <c r="C2508" s="2">
        <f>IFERROR(__xludf.DUMMYFUNCTION("""COMPUTED_VALUE"""),2.8)</f>
        <v>2.8</v>
      </c>
      <c r="D2508" s="2" t="str">
        <f>IFERROR(__xludf.DUMMYFUNCTION("""COMPUTED_VALUE"""),"Richet")</f>
        <v>Richet</v>
      </c>
      <c r="E2508" s="2">
        <f>IFERROR(__xludf.DUMMYFUNCTION("""COMPUTED_VALUE"""),8283.0)</f>
        <v>8283</v>
      </c>
      <c r="F2508" s="3">
        <f>IFERROR(__xludf.DUMMYFUNCTION("""COMPUTED_VALUE"""),66504.0)</f>
        <v>66504</v>
      </c>
      <c r="G2508" s="2" t="str">
        <f>IFERROR(__xludf.DUMMYFUNCTION("""COMPUTED_VALUE"""),"Power Bank Private Limited")</f>
        <v>Power Bank Private Limited</v>
      </c>
      <c r="H2508" s="2" t="str">
        <f>IFERROR(__xludf.DUMMYFUNCTION("""COMPUTED_VALUE"""),"Balaju, Kathmandu-16")</f>
        <v>Balaju, Kathmandu-16</v>
      </c>
      <c r="I2508" s="2" t="str">
        <f>IFERROR(__xludf.DUMMYFUNCTION("""COMPUTED_VALUE"""),"28o 10' 00""")</f>
        <v>28o 10' 00"</v>
      </c>
      <c r="J2508" s="2" t="str">
        <f>IFERROR(__xludf.DUMMYFUNCTION("""COMPUTED_VALUE"""),"28o 10' 42""")</f>
        <v>28o 10' 42"</v>
      </c>
      <c r="K2508" s="2" t="str">
        <f>IFERROR(__xludf.DUMMYFUNCTION("""COMPUTED_VALUE"""),"84o 53' 16""")</f>
        <v>84o 53' 16"</v>
      </c>
      <c r="L2508" s="2" t="str">
        <f>IFERROR(__xludf.DUMMYFUNCTION("""COMPUTED_VALUE"""),"84o 54' 57""")</f>
        <v>84o 54' 57"</v>
      </c>
      <c r="M2508" s="2" t="str">
        <f>IFERROR(__xludf.DUMMYFUNCTION("""COMPUTED_VALUE"""),"Kashigaun,Manbu (Gorkha)")</f>
        <v>Kashigaun,Manbu (Gorkha)</v>
      </c>
    </row>
    <row r="2509">
      <c r="A2509" s="2">
        <f>IFERROR(__xludf.DUMMYFUNCTION("""COMPUTED_VALUE"""),2508.0)</f>
        <v>2508</v>
      </c>
      <c r="B2509" s="2" t="str">
        <f>IFERROR(__xludf.DUMMYFUNCTION("""COMPUTED_VALUE"""),"Kauley Khola Hydropower Project")</f>
        <v>Kauley Khola Hydropower Project</v>
      </c>
      <c r="C2509" s="2">
        <f>IFERROR(__xludf.DUMMYFUNCTION("""COMPUTED_VALUE"""),6.08)</f>
        <v>6.08</v>
      </c>
      <c r="D2509" s="2" t="str">
        <f>IFERROR(__xludf.DUMMYFUNCTION("""COMPUTED_VALUE"""),"Kauley Khola")</f>
        <v>Kauley Khola</v>
      </c>
      <c r="E2509" s="2">
        <f>IFERROR(__xludf.DUMMYFUNCTION("""COMPUTED_VALUE"""),8401.0)</f>
        <v>8401</v>
      </c>
      <c r="F2509" s="3">
        <f>IFERROR(__xludf.DUMMYFUNCTION("""COMPUTED_VALUE"""),66508.0)</f>
        <v>66508</v>
      </c>
      <c r="G2509" s="2" t="str">
        <f>IFERROR(__xludf.DUMMYFUNCTION("""COMPUTED_VALUE"""),"Prabhu Hydro Development Fund Private Limited")</f>
        <v>Prabhu Hydro Development Fund Private Limited</v>
      </c>
      <c r="H2509" s="2" t="str">
        <f>IFERROR(__xludf.DUMMYFUNCTION("""COMPUTED_VALUE"""),"Tinkune, Kathmandu")</f>
        <v>Tinkune, Kathmandu</v>
      </c>
      <c r="I2509" s="2" t="str">
        <f>IFERROR(__xludf.DUMMYFUNCTION("""COMPUTED_VALUE"""),"27o 51' 50""")</f>
        <v>27o 51' 50"</v>
      </c>
      <c r="J2509" s="2" t="str">
        <f>IFERROR(__xludf.DUMMYFUNCTION("""COMPUTED_VALUE"""),"27o 53' 55""")</f>
        <v>27o 53' 55"</v>
      </c>
      <c r="K2509" s="2" t="str">
        <f>IFERROR(__xludf.DUMMYFUNCTION("""COMPUTED_VALUE"""),"85o 50' 50""")</f>
        <v>85o 50' 50"</v>
      </c>
      <c r="L2509" s="2" t="str">
        <f>IFERROR(__xludf.DUMMYFUNCTION("""COMPUTED_VALUE"""),"85o 53' 00""")</f>
        <v>85o 53' 00"</v>
      </c>
      <c r="M2509" s="2" t="str">
        <f>IFERROR(__xludf.DUMMYFUNCTION("""COMPUTED_VALUE"""),"Listi,Marbin (Sindhupalchok)")</f>
        <v>Listi,Marbin (Sindhupalchok)</v>
      </c>
    </row>
    <row r="2510">
      <c r="A2510" s="2">
        <f>IFERROR(__xludf.DUMMYFUNCTION("""COMPUTED_VALUE"""),2509.0)</f>
        <v>2509</v>
      </c>
      <c r="B2510" s="2" t="str">
        <f>IFERROR(__xludf.DUMMYFUNCTION("""COMPUTED_VALUE"""),"Kimron Khola Hydroelectric Project")</f>
        <v>Kimron Khola Hydroelectric Project</v>
      </c>
      <c r="C2510" s="2">
        <f>IFERROR(__xludf.DUMMYFUNCTION("""COMPUTED_VALUE"""),9.4)</f>
        <v>9.4</v>
      </c>
      <c r="D2510" s="2" t="str">
        <f>IFERROR(__xludf.DUMMYFUNCTION("""COMPUTED_VALUE"""),"Kimron Khola")</f>
        <v>Kimron Khola</v>
      </c>
      <c r="E2510" s="2">
        <f>IFERROR(__xludf.DUMMYFUNCTION("""COMPUTED_VALUE"""),8423.0)</f>
        <v>8423</v>
      </c>
      <c r="F2510" s="3">
        <f>IFERROR(__xludf.DUMMYFUNCTION("""COMPUTED_VALUE"""),66509.0)</f>
        <v>66509</v>
      </c>
      <c r="G2510" s="2" t="str">
        <f>IFERROR(__xludf.DUMMYFUNCTION("""COMPUTED_VALUE"""),"Himalaya Jal Urja Private Limited")</f>
        <v>Himalaya Jal Urja Private Limited</v>
      </c>
      <c r="H2510" s="2" t="str">
        <f>IFERROR(__xludf.DUMMYFUNCTION("""COMPUTED_VALUE"""),"KMC-16, Banasthali, Kathmandu")</f>
        <v>KMC-16, Banasthali, Kathmandu</v>
      </c>
      <c r="I2510" s="2" t="str">
        <f>IFERROR(__xludf.DUMMYFUNCTION("""COMPUTED_VALUE"""),"28o 24' 00""")</f>
        <v>28o 24' 00"</v>
      </c>
      <c r="J2510" s="2" t="str">
        <f>IFERROR(__xludf.DUMMYFUNCTION("""COMPUTED_VALUE"""),"28o 25' 00""")</f>
        <v>28o 25' 00"</v>
      </c>
      <c r="K2510" s="2" t="str">
        <f>IFERROR(__xludf.DUMMYFUNCTION("""COMPUTED_VALUE"""),"83o 46' 13""")</f>
        <v>83o 46' 13"</v>
      </c>
      <c r="L2510" s="2" t="str">
        <f>IFERROR(__xludf.DUMMYFUNCTION("""COMPUTED_VALUE"""),"83o 49' 33""")</f>
        <v>83o 49' 33"</v>
      </c>
      <c r="M2510" s="2" t="str">
        <f>IFERROR(__xludf.DUMMYFUNCTION("""COMPUTED_VALUE"""),"Ghandruk (Kaski)")</f>
        <v>Ghandruk (Kaski)</v>
      </c>
    </row>
    <row r="2511">
      <c r="A2511" s="2">
        <f>IFERROR(__xludf.DUMMYFUNCTION("""COMPUTED_VALUE"""),2510.0)</f>
        <v>2510</v>
      </c>
      <c r="B2511" s="2" t="str">
        <f>IFERROR(__xludf.DUMMYFUNCTION("""COMPUTED_VALUE"""),"Tallo Pelma Khola &amp; Uttar Ganga Nadi Hydropower Project")</f>
        <v>Tallo Pelma Khola &amp; Uttar Ganga Nadi Hydropower Project</v>
      </c>
      <c r="C2511" s="2">
        <f>IFERROR(__xludf.DUMMYFUNCTION("""COMPUTED_VALUE"""),14.45)</f>
        <v>14.45</v>
      </c>
      <c r="D2511" s="2" t="str">
        <f>IFERROR(__xludf.DUMMYFUNCTION("""COMPUTED_VALUE"""),"Pelma Khola &amp; Uttar Ganga")</f>
        <v>Pelma Khola &amp; Uttar Ganga</v>
      </c>
      <c r="E2511" s="2">
        <f>IFERROR(__xludf.DUMMYFUNCTION("""COMPUTED_VALUE"""),8493.0)</f>
        <v>8493</v>
      </c>
      <c r="F2511" s="3">
        <f>IFERROR(__xludf.DUMMYFUNCTION("""COMPUTED_VALUE"""),66511.0)</f>
        <v>66511</v>
      </c>
      <c r="G2511" s="2" t="str">
        <f>IFERROR(__xludf.DUMMYFUNCTION("""COMPUTED_VALUE"""),"Ganga Energy Private Limited")</f>
        <v>Ganga Energy Private Limited</v>
      </c>
      <c r="H2511" s="2" t="str">
        <f>IFERROR(__xludf.DUMMYFUNCTION("""COMPUTED_VALUE"""),"Lalitpur -10, Jwagal")</f>
        <v>Lalitpur -10, Jwagal</v>
      </c>
      <c r="I2511" s="2" t="str">
        <f>IFERROR(__xludf.DUMMYFUNCTION("""COMPUTED_VALUE"""),"28o 29' 30""")</f>
        <v>28o 29' 30"</v>
      </c>
      <c r="J2511" s="2" t="str">
        <f>IFERROR(__xludf.DUMMYFUNCTION("""COMPUTED_VALUE"""),"28o 37' 40""")</f>
        <v>28o 37' 40"</v>
      </c>
      <c r="K2511" s="2" t="str">
        <f>IFERROR(__xludf.DUMMYFUNCTION("""COMPUTED_VALUE"""),"82o 42' 30""")</f>
        <v>82o 42' 30"</v>
      </c>
      <c r="L2511" s="2" t="str">
        <f>IFERROR(__xludf.DUMMYFUNCTION("""COMPUTED_VALUE"""),"82o 44' 53""")</f>
        <v>82o 44' 53"</v>
      </c>
      <c r="M2511" s="2" t="str">
        <f>IFERROR(__xludf.DUMMYFUNCTION("""COMPUTED_VALUE"""),"Morawang,Kankri,Rangsi,Mahat (Rukum)")</f>
        <v>Morawang,Kankri,Rangsi,Mahat (Rukum)</v>
      </c>
    </row>
    <row r="2512">
      <c r="A2512" s="2">
        <f>IFERROR(__xludf.DUMMYFUNCTION("""COMPUTED_VALUE"""),2511.0)</f>
        <v>2511</v>
      </c>
      <c r="B2512" s="2" t="str">
        <f>IFERROR(__xludf.DUMMYFUNCTION("""COMPUTED_VALUE"""),"Loti Karnali (Take Khola) Hydroelectric Project")</f>
        <v>Loti Karnali (Take Khola) Hydroelectric Project</v>
      </c>
      <c r="C2512" s="2">
        <f>IFERROR(__xludf.DUMMYFUNCTION("""COMPUTED_VALUE"""),42.62)</f>
        <v>42.62</v>
      </c>
      <c r="D2512" s="2" t="str">
        <f>IFERROR(__xludf.DUMMYFUNCTION("""COMPUTED_VALUE"""),"Loti Karnali (Take Khola)")</f>
        <v>Loti Karnali (Take Khola)</v>
      </c>
      <c r="E2512" s="2">
        <f>IFERROR(__xludf.DUMMYFUNCTION("""COMPUTED_VALUE"""),8595.0)</f>
        <v>8595</v>
      </c>
      <c r="F2512" s="3">
        <f>IFERROR(__xludf.DUMMYFUNCTION("""COMPUTED_VALUE"""),66513.0)</f>
        <v>66513</v>
      </c>
      <c r="G2512" s="2" t="str">
        <f>IFERROR(__xludf.DUMMYFUNCTION("""COMPUTED_VALUE"""),"Hongue General Power Pvt. Ltd")</f>
        <v>Hongue General Power Pvt. Ltd</v>
      </c>
      <c r="H2512" s="2" t="str">
        <f>IFERROR(__xludf.DUMMYFUNCTION("""COMPUTED_VALUE"""),"Naxal, Kathmandu")</f>
        <v>Naxal, Kathmandu</v>
      </c>
      <c r="I2512" s="2" t="str">
        <f>IFERROR(__xludf.DUMMYFUNCTION("""COMPUTED_VALUE"""),"29o 49' 15""")</f>
        <v>29o 49' 15"</v>
      </c>
      <c r="J2512" s="2" t="str">
        <f>IFERROR(__xludf.DUMMYFUNCTION("""COMPUTED_VALUE"""),"29o 52' 20""")</f>
        <v>29o 52' 20"</v>
      </c>
      <c r="K2512" s="2" t="str">
        <f>IFERROR(__xludf.DUMMYFUNCTION("""COMPUTED_VALUE"""),"82o 11' 22""")</f>
        <v>82o 11' 22"</v>
      </c>
      <c r="L2512" s="2" t="str">
        <f>IFERROR(__xludf.DUMMYFUNCTION("""COMPUTED_VALUE"""),"82o 15' 46""")</f>
        <v>82o 15' 46"</v>
      </c>
      <c r="M2512" s="2"/>
    </row>
    <row r="2513">
      <c r="A2513" s="2">
        <f>IFERROR(__xludf.DUMMYFUNCTION("""COMPUTED_VALUE"""),2512.0)</f>
        <v>2512</v>
      </c>
      <c r="B2513" s="2" t="str">
        <f>IFERROR(__xludf.DUMMYFUNCTION("""COMPUTED_VALUE"""),"Dobhan Khola Hydropower Project")</f>
        <v>Dobhan Khola Hydropower Project</v>
      </c>
      <c r="C2513" s="2">
        <f>IFERROR(__xludf.DUMMYFUNCTION("""COMPUTED_VALUE"""),2.67)</f>
        <v>2.67</v>
      </c>
      <c r="D2513" s="2" t="str">
        <f>IFERROR(__xludf.DUMMYFUNCTION("""COMPUTED_VALUE"""),"Dobhan Khola")</f>
        <v>Dobhan Khola</v>
      </c>
      <c r="E2513" s="2">
        <f>IFERROR(__xludf.DUMMYFUNCTION("""COMPUTED_VALUE"""),8694.0)</f>
        <v>8694</v>
      </c>
      <c r="F2513" s="3">
        <f>IFERROR(__xludf.DUMMYFUNCTION("""COMPUTED_VALUE"""),66515.0)</f>
        <v>66515</v>
      </c>
      <c r="G2513" s="2" t="str">
        <f>IFERROR(__xludf.DUMMYFUNCTION("""COMPUTED_VALUE"""),"Prabhu Jalabiddhut Bikash (P) Ltd.")</f>
        <v>Prabhu Jalabiddhut Bikash (P) Ltd.</v>
      </c>
      <c r="H2513" s="2" t="str">
        <f>IFERROR(__xludf.DUMMYFUNCTION("""COMPUTED_VALUE"""),"KMC-32, Tinkune, Kathmandu")</f>
        <v>KMC-32, Tinkune, Kathmandu</v>
      </c>
      <c r="I2513" s="2" t="str">
        <f>IFERROR(__xludf.DUMMYFUNCTION("""COMPUTED_VALUE"""),"27o 26' 54""")</f>
        <v>27o 26' 54"</v>
      </c>
      <c r="J2513" s="2" t="str">
        <f>IFERROR(__xludf.DUMMYFUNCTION("""COMPUTED_VALUE"""),"27o 28' 20""")</f>
        <v>27o 28' 20"</v>
      </c>
      <c r="K2513" s="2" t="str">
        <f>IFERROR(__xludf.DUMMYFUNCTION("""COMPUTED_VALUE"""),"86o 45' 38""")</f>
        <v>86o 45' 38"</v>
      </c>
      <c r="L2513" s="2" t="str">
        <f>IFERROR(__xludf.DUMMYFUNCTION("""COMPUTED_VALUE"""),"86o 47' 04""")</f>
        <v>86o 47' 04"</v>
      </c>
      <c r="M2513" s="2" t="str">
        <f>IFERROR(__xludf.DUMMYFUNCTION("""COMPUTED_VALUE"""),"Lokhim,Mabe(Pawai),Sautang (Solukhumbu)")</f>
        <v>Lokhim,Mabe(Pawai),Sautang (Solukhumbu)</v>
      </c>
    </row>
    <row r="2514">
      <c r="A2514" s="2">
        <f>IFERROR(__xludf.DUMMYFUNCTION("""COMPUTED_VALUE"""),2513.0)</f>
        <v>2513</v>
      </c>
      <c r="B2514" s="2" t="str">
        <f>IFERROR(__xludf.DUMMYFUNCTION("""COMPUTED_VALUE"""),"Chyadu Khola A HydroelectricProject")</f>
        <v>Chyadu Khola A HydroelectricProject</v>
      </c>
      <c r="C2514" s="2">
        <f>IFERROR(__xludf.DUMMYFUNCTION("""COMPUTED_VALUE"""),9.92)</f>
        <v>9.92</v>
      </c>
      <c r="D2514" s="2" t="str">
        <f>IFERROR(__xludf.DUMMYFUNCTION("""COMPUTED_VALUE"""),"Chyadu Khola")</f>
        <v>Chyadu Khola</v>
      </c>
      <c r="E2514" s="2">
        <f>IFERROR(__xludf.DUMMYFUNCTION("""COMPUTED_VALUE"""),8718.0)</f>
        <v>8718</v>
      </c>
      <c r="F2514" s="3">
        <f>IFERROR(__xludf.DUMMYFUNCTION("""COMPUTED_VALUE"""),66515.0)</f>
        <v>66515</v>
      </c>
      <c r="G2514" s="2" t="str">
        <f>IFERROR(__xludf.DUMMYFUNCTION("""COMPUTED_VALUE"""),"M.B.K. Hydro Energy Private Limited")</f>
        <v>M.B.K. Hydro Energy Private Limited</v>
      </c>
      <c r="H2514" s="2" t="str">
        <f>IFERROR(__xludf.DUMMYFUNCTION("""COMPUTED_VALUE"""),"KMC-30, Gyaneshwor, Kathmandu")</f>
        <v>KMC-30, Gyaneshwor, Kathmandu</v>
      </c>
      <c r="I2514" s="2" t="str">
        <f>IFERROR(__xludf.DUMMYFUNCTION("""COMPUTED_VALUE"""),"27o 56' 40""")</f>
        <v>27o 56' 40"</v>
      </c>
      <c r="J2514" s="2" t="str">
        <f>IFERROR(__xludf.DUMMYFUNCTION("""COMPUTED_VALUE"""),"27o 57' 30""")</f>
        <v>27o 57' 30"</v>
      </c>
      <c r="K2514" s="2" t="str">
        <f>IFERROR(__xludf.DUMMYFUNCTION("""COMPUTED_VALUE"""),"86o 11' 10""")</f>
        <v>86o 11' 10"</v>
      </c>
      <c r="L2514" s="2" t="str">
        <f>IFERROR(__xludf.DUMMYFUNCTION("""COMPUTED_VALUE"""),"86o 12' 00""")</f>
        <v>86o 12' 00"</v>
      </c>
      <c r="M2514" s="2" t="str">
        <f>IFERROR(__xludf.DUMMYFUNCTION("""COMPUTED_VALUE"""),"Lamabagar (Dolakha)")</f>
        <v>Lamabagar (Dolakha)</v>
      </c>
    </row>
    <row r="2515">
      <c r="A2515" s="2">
        <f>IFERROR(__xludf.DUMMYFUNCTION("""COMPUTED_VALUE"""),2514.0)</f>
        <v>2514</v>
      </c>
      <c r="B2515" s="2" t="str">
        <f>IFERROR(__xludf.DUMMYFUNCTION("""COMPUTED_VALUE"""),"Tallo Sisne Khola Hydropower Project")</f>
        <v>Tallo Sisne Khola Hydropower Project</v>
      </c>
      <c r="C2515" s="2">
        <f>IFERROR(__xludf.DUMMYFUNCTION("""COMPUTED_VALUE"""),9.45)</f>
        <v>9.45</v>
      </c>
      <c r="D2515" s="2" t="str">
        <f>IFERROR(__xludf.DUMMYFUNCTION("""COMPUTED_VALUE"""),"Sisne Khola")</f>
        <v>Sisne Khola</v>
      </c>
      <c r="E2515" s="2">
        <f>IFERROR(__xludf.DUMMYFUNCTION("""COMPUTED_VALUE"""),8751.0)</f>
        <v>8751</v>
      </c>
      <c r="F2515" s="3">
        <f>IFERROR(__xludf.DUMMYFUNCTION("""COMPUTED_VALUE"""),66516.0)</f>
        <v>66516</v>
      </c>
      <c r="G2515" s="2" t="str">
        <f>IFERROR(__xludf.DUMMYFUNCTION("""COMPUTED_VALUE"""),"Naari Urja Limited")</f>
        <v>Naari Urja Limited</v>
      </c>
      <c r="H2515" s="2" t="str">
        <f>IFERROR(__xludf.DUMMYFUNCTION("""COMPUTED_VALUE"""),"KMC-1, Kathmandu")</f>
        <v>KMC-1, Kathmandu</v>
      </c>
      <c r="I2515" s="2" t="str">
        <f>IFERROR(__xludf.DUMMYFUNCTION("""COMPUTED_VALUE"""),"28o 40' 16""")</f>
        <v>28o 40' 16"</v>
      </c>
      <c r="J2515" s="2" t="str">
        <f>IFERROR(__xludf.DUMMYFUNCTION("""COMPUTED_VALUE"""),"28o 41' 02""")</f>
        <v>28o 41' 02"</v>
      </c>
      <c r="K2515" s="2" t="str">
        <f>IFERROR(__xludf.DUMMYFUNCTION("""COMPUTED_VALUE"""),"82o 41' 08""")</f>
        <v>82o 41' 08"</v>
      </c>
      <c r="L2515" s="2" t="str">
        <f>IFERROR(__xludf.DUMMYFUNCTION("""COMPUTED_VALUE"""),"82o 42' 06""")</f>
        <v>82o 42' 06"</v>
      </c>
      <c r="M2515" s="2" t="str">
        <f>IFERROR(__xludf.DUMMYFUNCTION("""COMPUTED_VALUE"""),"Jang,Pwang,Rangsi (Rukum)")</f>
        <v>Jang,Pwang,Rangsi (Rukum)</v>
      </c>
    </row>
    <row r="2516">
      <c r="A2516" s="2">
        <f>IFERROR(__xludf.DUMMYFUNCTION("""COMPUTED_VALUE"""),2515.0)</f>
        <v>2515</v>
      </c>
      <c r="B2516" s="2" t="str">
        <f>IFERROR(__xludf.DUMMYFUNCTION("""COMPUTED_VALUE"""),"Durlan Kaligandaki Peaking Hydropower Project")</f>
        <v>Durlan Kaligandaki Peaking Hydropower Project</v>
      </c>
      <c r="C2516" s="2">
        <f>IFERROR(__xludf.DUMMYFUNCTION("""COMPUTED_VALUE"""),81.8)</f>
        <v>81.8</v>
      </c>
      <c r="D2516" s="2" t="str">
        <f>IFERROR(__xludf.DUMMYFUNCTION("""COMPUTED_VALUE"""),"Kaligandaki Nadi")</f>
        <v>Kaligandaki Nadi</v>
      </c>
      <c r="E2516" s="2">
        <f>IFERROR(__xludf.DUMMYFUNCTION("""COMPUTED_VALUE"""),8756.0)</f>
        <v>8756</v>
      </c>
      <c r="F2516" s="3">
        <f>IFERROR(__xludf.DUMMYFUNCTION("""COMPUTED_VALUE"""),66516.0)</f>
        <v>66516</v>
      </c>
      <c r="G2516" s="2" t="str">
        <f>IFERROR(__xludf.DUMMYFUNCTION("""COMPUTED_VALUE"""),"Aqua Force Energy Private Limited")</f>
        <v>Aqua Force Energy Private Limited</v>
      </c>
      <c r="H2516" s="2" t="str">
        <f>IFERROR(__xludf.DUMMYFUNCTION("""COMPUTED_VALUE"""),"New Baneshwor, Kathmandu")</f>
        <v>New Baneshwor, Kathmandu</v>
      </c>
      <c r="I2516" s="2" t="str">
        <f>IFERROR(__xludf.DUMMYFUNCTION("""COMPUTED_VALUE"""),"28o 00' 34""")</f>
        <v>28o 00' 34"</v>
      </c>
      <c r="J2516" s="2" t="str">
        <f>IFERROR(__xludf.DUMMYFUNCTION("""COMPUTED_VALUE"""),"28o 07' 30""")</f>
        <v>28o 07' 30"</v>
      </c>
      <c r="K2516" s="2" t="str">
        <f>IFERROR(__xludf.DUMMYFUNCTION("""COMPUTED_VALUE"""),"83o 33' 28""")</f>
        <v>83o 33' 28"</v>
      </c>
      <c r="L2516" s="2" t="str">
        <f>IFERROR(__xludf.DUMMYFUNCTION("""COMPUTED_VALUE"""),"83o 37' 30""")</f>
        <v>83o 37' 30"</v>
      </c>
      <c r="M2516" s="2" t="str">
        <f>IFERROR(__xludf.DUMMYFUNCTION("""COMPUTED_VALUE"""),"Chhisti (Baglung) Jaikhani,Arbani (Gulmi) Taklak,Bihadi Ranipani (Parbat)")</f>
        <v>Chhisti (Baglung) Jaikhani,Arbani (Gulmi) Taklak,Bihadi Ranipani (Parbat)</v>
      </c>
    </row>
    <row r="2517">
      <c r="A2517" s="2">
        <f>IFERROR(__xludf.DUMMYFUNCTION("""COMPUTED_VALUE"""),2516.0)</f>
        <v>2516</v>
      </c>
      <c r="B2517" s="2" t="str">
        <f>IFERROR(__xludf.DUMMYFUNCTION("""COMPUTED_VALUE"""),"Ghatganga Seti Hydropower Project")</f>
        <v>Ghatganga Seti Hydropower Project</v>
      </c>
      <c r="C2517" s="2">
        <f>IFERROR(__xludf.DUMMYFUNCTION("""COMPUTED_VALUE"""),29.3)</f>
        <v>29.3</v>
      </c>
      <c r="D2517" s="2" t="str">
        <f>IFERROR(__xludf.DUMMYFUNCTION("""COMPUTED_VALUE"""),"Ghatganga")</f>
        <v>Ghatganga</v>
      </c>
      <c r="E2517" s="2">
        <f>IFERROR(__xludf.DUMMYFUNCTION("""COMPUTED_VALUE"""),8758.0)</f>
        <v>8758</v>
      </c>
      <c r="F2517" s="3">
        <f>IFERROR(__xludf.DUMMYFUNCTION("""COMPUTED_VALUE"""),66516.0)</f>
        <v>66516</v>
      </c>
      <c r="G2517" s="2" t="str">
        <f>IFERROR(__xludf.DUMMYFUNCTION("""COMPUTED_VALUE"""),"Taleju Power (P) Ltd")</f>
        <v>Taleju Power (P) Ltd</v>
      </c>
      <c r="H2517" s="2" t="str">
        <f>IFERROR(__xludf.DUMMYFUNCTION("""COMPUTED_VALUE"""),"K.M.C.-16, Banasthali, Kathmandu")</f>
        <v>K.M.C.-16, Banasthali, Kathmandu</v>
      </c>
      <c r="I2517" s="2" t="str">
        <f>IFERROR(__xludf.DUMMYFUNCTION("""COMPUTED_VALUE"""),"29o 41' 11""")</f>
        <v>29o 41' 11"</v>
      </c>
      <c r="J2517" s="2" t="str">
        <f>IFERROR(__xludf.DUMMYFUNCTION("""COMPUTED_VALUE"""),"29o 43' 38""")</f>
        <v>29o 43' 38"</v>
      </c>
      <c r="K2517" s="2" t="str">
        <f>IFERROR(__xludf.DUMMYFUNCTION("""COMPUTED_VALUE"""),"81o 19' 35""")</f>
        <v>81o 19' 35"</v>
      </c>
      <c r="L2517" s="2" t="str">
        <f>IFERROR(__xludf.DUMMYFUNCTION("""COMPUTED_VALUE"""),"81o 20' 27""")</f>
        <v>81o 20' 27"</v>
      </c>
      <c r="M2517" s="2" t="str">
        <f>IFERROR(__xludf.DUMMYFUNCTION("""COMPUTED_VALUE"""),"Kanda (Bajhang)")</f>
        <v>Kanda (Bajhang)</v>
      </c>
    </row>
    <row r="2518">
      <c r="A2518" s="2">
        <f>IFERROR(__xludf.DUMMYFUNCTION("""COMPUTED_VALUE"""),2517.0)</f>
        <v>2517</v>
      </c>
      <c r="B2518" s="2" t="str">
        <f>IFERROR(__xludf.DUMMYFUNCTION("""COMPUTED_VALUE"""),"Muwa Khola Hydropower Project")</f>
        <v>Muwa Khola Hydropower Project</v>
      </c>
      <c r="C2518" s="2">
        <f>IFERROR(__xludf.DUMMYFUNCTION("""COMPUTED_VALUE"""),4.89)</f>
        <v>4.89</v>
      </c>
      <c r="D2518" s="2" t="str">
        <f>IFERROR(__xludf.DUMMYFUNCTION("""COMPUTED_VALUE"""),"Muwa Khola")</f>
        <v>Muwa Khola</v>
      </c>
      <c r="E2518" s="2">
        <f>IFERROR(__xludf.DUMMYFUNCTION("""COMPUTED_VALUE"""),8798.0)</f>
        <v>8798</v>
      </c>
      <c r="F2518" s="3">
        <f>IFERROR(__xludf.DUMMYFUNCTION("""COMPUTED_VALUE"""),66518.0)</f>
        <v>66518</v>
      </c>
      <c r="G2518" s="2" t="str">
        <f>IFERROR(__xludf.DUMMYFUNCTION("""COMPUTED_VALUE"""),"Zambala Energy Private Limited")</f>
        <v>Zambala Energy Private Limited</v>
      </c>
      <c r="H2518" s="2" t="str">
        <f>IFERROR(__xludf.DUMMYFUNCTION("""COMPUTED_VALUE"""),"KMC-6, Kathmandu")</f>
        <v>KMC-6, Kathmandu</v>
      </c>
      <c r="I2518" s="2" t="str">
        <f>IFERROR(__xludf.DUMMYFUNCTION("""COMPUTED_VALUE"""),"27o 09' 15""")</f>
        <v>27o 09' 15"</v>
      </c>
      <c r="J2518" s="2" t="str">
        <f>IFERROR(__xludf.DUMMYFUNCTION("""COMPUTED_VALUE"""),"27o 11' 00""")</f>
        <v>27o 11' 00"</v>
      </c>
      <c r="K2518" s="2" t="str">
        <f>IFERROR(__xludf.DUMMYFUNCTION("""COMPUTED_VALUE"""),"85o 53' 40""")</f>
        <v>85o 53' 40"</v>
      </c>
      <c r="L2518" s="2" t="str">
        <f>IFERROR(__xludf.DUMMYFUNCTION("""COMPUTED_VALUE"""),"85o 55' 00""")</f>
        <v>85o 55' 00"</v>
      </c>
      <c r="M2518" s="2" t="str">
        <f>IFERROR(__xludf.DUMMYFUNCTION("""COMPUTED_VALUE"""),"Prangbung,Sidin (Panchthar)")</f>
        <v>Prangbung,Sidin (Panchthar)</v>
      </c>
    </row>
    <row r="2519">
      <c r="A2519" s="2">
        <f>IFERROR(__xludf.DUMMYFUNCTION("""COMPUTED_VALUE"""),2518.0)</f>
        <v>2518</v>
      </c>
      <c r="B2519" s="2" t="str">
        <f>IFERROR(__xludf.DUMMYFUNCTION("""COMPUTED_VALUE"""),"Siwa Khola Hydropower Project")</f>
        <v>Siwa Khola Hydropower Project</v>
      </c>
      <c r="C2519" s="2">
        <f>IFERROR(__xludf.DUMMYFUNCTION("""COMPUTED_VALUE"""),4.5)</f>
        <v>4.5</v>
      </c>
      <c r="D2519" s="2" t="str">
        <f>IFERROR(__xludf.DUMMYFUNCTION("""COMPUTED_VALUE"""),"Siwa Khola")</f>
        <v>Siwa Khola</v>
      </c>
      <c r="E2519" s="2">
        <f>IFERROR(__xludf.DUMMYFUNCTION("""COMPUTED_VALUE"""),8902.0)</f>
        <v>8902</v>
      </c>
      <c r="F2519" s="3">
        <f>IFERROR(__xludf.DUMMYFUNCTION("""COMPUTED_VALUE"""),66520.0)</f>
        <v>66520</v>
      </c>
      <c r="G2519" s="2" t="str">
        <f>IFERROR(__xludf.DUMMYFUNCTION("""COMPUTED_VALUE"""),"Best Hydropower Company Private Limited")</f>
        <v>Best Hydropower Company Private Limited</v>
      </c>
      <c r="H2519" s="2" t="str">
        <f>IFERROR(__xludf.DUMMYFUNCTION("""COMPUTED_VALUE"""),"Ward No. 32, Koteshwor, Kathmandu")</f>
        <v>Ward No. 32, Koteshwor, Kathmandu</v>
      </c>
      <c r="I2519" s="2" t="str">
        <f>IFERROR(__xludf.DUMMYFUNCTION("""COMPUTED_VALUE"""),"27o 23' 36""")</f>
        <v>27o 23' 36"</v>
      </c>
      <c r="J2519" s="2" t="str">
        <f>IFERROR(__xludf.DUMMYFUNCTION("""COMPUTED_VALUE"""),"27o 24' 37""")</f>
        <v>27o 24' 37"</v>
      </c>
      <c r="K2519" s="2" t="str">
        <f>IFERROR(__xludf.DUMMYFUNCTION("""COMPUTED_VALUE"""),"87o 55' 00""")</f>
        <v>87o 55' 00"</v>
      </c>
      <c r="L2519" s="2" t="str">
        <f>IFERROR(__xludf.DUMMYFUNCTION("""COMPUTED_VALUE"""),"87o 57' 05""")</f>
        <v>87o 57' 05"</v>
      </c>
      <c r="M2519" s="2" t="str">
        <f>IFERROR(__xludf.DUMMYFUNCTION("""COMPUTED_VALUE"""),"Khewang,Surunkhim (Taplejung)")</f>
        <v>Khewang,Surunkhim (Taplejung)</v>
      </c>
    </row>
    <row r="2520">
      <c r="A2520" s="2">
        <f>IFERROR(__xludf.DUMMYFUNCTION("""COMPUTED_VALUE"""),2519.0)</f>
        <v>2519</v>
      </c>
      <c r="B2520" s="2" t="str">
        <f>IFERROR(__xludf.DUMMYFUNCTION("""COMPUTED_VALUE"""),"Koluwa Khola Hydro Power Project")</f>
        <v>Koluwa Khola Hydro Power Project</v>
      </c>
      <c r="C2520" s="2">
        <f>IFERROR(__xludf.DUMMYFUNCTION("""COMPUTED_VALUE"""),4.26)</f>
        <v>4.26</v>
      </c>
      <c r="D2520" s="2" t="str">
        <f>IFERROR(__xludf.DUMMYFUNCTION("""COMPUTED_VALUE"""),"Koluwa Khola")</f>
        <v>Koluwa Khola</v>
      </c>
      <c r="E2520" s="2">
        <f>IFERROR(__xludf.DUMMYFUNCTION("""COMPUTED_VALUE"""),8950.0)</f>
        <v>8950</v>
      </c>
      <c r="F2520" s="3">
        <f>IFERROR(__xludf.DUMMYFUNCTION("""COMPUTED_VALUE"""),66521.0)</f>
        <v>66521</v>
      </c>
      <c r="G2520" s="2" t="str">
        <f>IFERROR(__xludf.DUMMYFUNCTION("""COMPUTED_VALUE"""),"Happy Power Private Limited")</f>
        <v>Happy Power Private Limited</v>
      </c>
      <c r="H2520" s="2" t="str">
        <f>IFERROR(__xludf.DUMMYFUNCTION("""COMPUTED_VALUE"""),"KMC-5, Kathmandu")</f>
        <v>KMC-5, Kathmandu</v>
      </c>
      <c r="I2520" s="2" t="str">
        <f>IFERROR(__xludf.DUMMYFUNCTION("""COMPUTED_VALUE"""),"27o 32' 35""")</f>
        <v>27o 32' 35"</v>
      </c>
      <c r="J2520" s="2" t="str">
        <f>IFERROR(__xludf.DUMMYFUNCTION("""COMPUTED_VALUE"""),"27o 33' 44""")</f>
        <v>27o 33' 44"</v>
      </c>
      <c r="K2520" s="2" t="str">
        <f>IFERROR(__xludf.DUMMYFUNCTION("""COMPUTED_VALUE"""),"87o 03' 59""")</f>
        <v>87o 03' 59"</v>
      </c>
      <c r="L2520" s="2" t="str">
        <f>IFERROR(__xludf.DUMMYFUNCTION("""COMPUTED_VALUE"""),"87o 04' 34""")</f>
        <v>87o 04' 34"</v>
      </c>
      <c r="M2520" s="2" t="str">
        <f>IFERROR(__xludf.DUMMYFUNCTION("""COMPUTED_VALUE"""),"Tamfok (Sankhuwasabha)")</f>
        <v>Tamfok (Sankhuwasabha)</v>
      </c>
    </row>
    <row r="2521">
      <c r="A2521" s="2">
        <f>IFERROR(__xludf.DUMMYFUNCTION("""COMPUTED_VALUE"""),2520.0)</f>
        <v>2520</v>
      </c>
      <c r="B2521" s="2" t="str">
        <f>IFERROR(__xludf.DUMMYFUNCTION("""COMPUTED_VALUE"""),"Yanwa Khola Hydropower Project")</f>
        <v>Yanwa Khola Hydropower Project</v>
      </c>
      <c r="C2521" s="2">
        <f>IFERROR(__xludf.DUMMYFUNCTION("""COMPUTED_VALUE"""),4.98)</f>
        <v>4.98</v>
      </c>
      <c r="D2521" s="2" t="str">
        <f>IFERROR(__xludf.DUMMYFUNCTION("""COMPUTED_VALUE"""),"Yanwa Khola")</f>
        <v>Yanwa Khola</v>
      </c>
      <c r="E2521" s="2">
        <f>IFERROR(__xludf.DUMMYFUNCTION("""COMPUTED_VALUE"""),8956.0)</f>
        <v>8956</v>
      </c>
      <c r="F2521" s="3">
        <f>IFERROR(__xludf.DUMMYFUNCTION("""COMPUTED_VALUE"""),66521.0)</f>
        <v>66521</v>
      </c>
      <c r="G2521" s="2" t="str">
        <f>IFERROR(__xludf.DUMMYFUNCTION("""COMPUTED_VALUE"""),"Subas Pradhan")</f>
        <v>Subas Pradhan</v>
      </c>
      <c r="H2521" s="2" t="str">
        <f>IFERROR(__xludf.DUMMYFUNCTION("""COMPUTED_VALUE"""),"KMC-5, Hadigaun, Kathmandu")</f>
        <v>KMC-5, Hadigaun, Kathmandu</v>
      </c>
      <c r="I2521" s="2" t="str">
        <f>IFERROR(__xludf.DUMMYFUNCTION("""COMPUTED_VALUE"""),"27o 29' 22""")</f>
        <v>27o 29' 22"</v>
      </c>
      <c r="J2521" s="2" t="str">
        <f>IFERROR(__xludf.DUMMYFUNCTION("""COMPUTED_VALUE"""),"27o 30' 29""")</f>
        <v>27o 30' 29"</v>
      </c>
      <c r="K2521" s="2" t="str">
        <f>IFERROR(__xludf.DUMMYFUNCTION("""COMPUTED_VALUE"""),"87o 33' 59""")</f>
        <v>87o 33' 59"</v>
      </c>
      <c r="L2521" s="2" t="str">
        <f>IFERROR(__xludf.DUMMYFUNCTION("""COMPUTED_VALUE"""),"87o 34' 59""")</f>
        <v>87o 34' 59"</v>
      </c>
      <c r="M2521" s="2" t="str">
        <f>IFERROR(__xludf.DUMMYFUNCTION("""COMPUTED_VALUE"""),"Nalbu,Papung (Taplejung)")</f>
        <v>Nalbu,Papung (Taplejung)</v>
      </c>
    </row>
    <row r="2522">
      <c r="A2522" s="2">
        <f>IFERROR(__xludf.DUMMYFUNCTION("""COMPUTED_VALUE"""),2521.0)</f>
        <v>2521</v>
      </c>
      <c r="B2522" s="2" t="str">
        <f>IFERROR(__xludf.DUMMYFUNCTION("""COMPUTED_VALUE"""),"Muwa Khola Hydroelectric Project")</f>
        <v>Muwa Khola Hydroelectric Project</v>
      </c>
      <c r="C2522" s="2">
        <f>IFERROR(__xludf.DUMMYFUNCTION("""COMPUTED_VALUE"""),4.89)</f>
        <v>4.89</v>
      </c>
      <c r="D2522" s="2" t="str">
        <f>IFERROR(__xludf.DUMMYFUNCTION("""COMPUTED_VALUE"""),"Muwa Khola")</f>
        <v>Muwa Khola</v>
      </c>
      <c r="E2522" s="2">
        <f>IFERROR(__xludf.DUMMYFUNCTION("""COMPUTED_VALUE"""),9050.0)</f>
        <v>9050</v>
      </c>
      <c r="F2522" s="3">
        <f>IFERROR(__xludf.DUMMYFUNCTION("""COMPUTED_VALUE"""),66526.0)</f>
        <v>66526</v>
      </c>
      <c r="G2522" s="2" t="str">
        <f>IFERROR(__xludf.DUMMYFUNCTION("""COMPUTED_VALUE"""),"Zambala Energy Private Limited")</f>
        <v>Zambala Energy Private Limited</v>
      </c>
      <c r="H2522" s="2" t="str">
        <f>IFERROR(__xludf.DUMMYFUNCTION("""COMPUTED_VALUE"""),"Boudha-6, Kathmandu")</f>
        <v>Boudha-6, Kathmandu</v>
      </c>
      <c r="I2522" s="2" t="str">
        <f>IFERROR(__xludf.DUMMYFUNCTION("""COMPUTED_VALUE"""),"27o 09' 15""")</f>
        <v>27o 09' 15"</v>
      </c>
      <c r="J2522" s="2" t="str">
        <f>IFERROR(__xludf.DUMMYFUNCTION("""COMPUTED_VALUE"""),"27o 11' 00""")</f>
        <v>27o 11' 00"</v>
      </c>
      <c r="K2522" s="2" t="str">
        <f>IFERROR(__xludf.DUMMYFUNCTION("""COMPUTED_VALUE"""),"87o 53' 40""")</f>
        <v>87o 53' 40"</v>
      </c>
      <c r="L2522" s="2" t="str">
        <f>IFERROR(__xludf.DUMMYFUNCTION("""COMPUTED_VALUE"""),"87o 55' 00""")</f>
        <v>87o 55' 00"</v>
      </c>
      <c r="M2522" s="2" t="str">
        <f>IFERROR(__xludf.DUMMYFUNCTION("""COMPUTED_VALUE"""),"Sidin,Prangbung,Memeng (Panchthar)")</f>
        <v>Sidin,Prangbung,Memeng (Panchthar)</v>
      </c>
    </row>
    <row r="2523">
      <c r="A2523" s="2">
        <f>IFERROR(__xludf.DUMMYFUNCTION("""COMPUTED_VALUE"""),2522.0)</f>
        <v>2522</v>
      </c>
      <c r="B2523" s="2" t="str">
        <f>IFERROR(__xludf.DUMMYFUNCTION("""COMPUTED_VALUE"""),"Salli Khola Hydropower Project (PRoR)")</f>
        <v>Salli Khola Hydropower Project (PRoR)</v>
      </c>
      <c r="C2523" s="2">
        <f>IFERROR(__xludf.DUMMYFUNCTION("""COMPUTED_VALUE"""),9.96)</f>
        <v>9.96</v>
      </c>
      <c r="D2523" s="2" t="str">
        <f>IFERROR(__xludf.DUMMYFUNCTION("""COMPUTED_VALUE"""),"Salli Khola")</f>
        <v>Salli Khola</v>
      </c>
      <c r="E2523" s="2">
        <f>IFERROR(__xludf.DUMMYFUNCTION("""COMPUTED_VALUE"""),9119.0)</f>
        <v>9119</v>
      </c>
      <c r="F2523" s="3">
        <f>IFERROR(__xludf.DUMMYFUNCTION("""COMPUTED_VALUE"""),66527.0)</f>
        <v>66527</v>
      </c>
      <c r="G2523" s="2" t="str">
        <f>IFERROR(__xludf.DUMMYFUNCTION("""COMPUTED_VALUE"""),"Hydro Hills Private Limited")</f>
        <v>Hydro Hills Private Limited</v>
      </c>
      <c r="H2523" s="2" t="str">
        <f>IFERROR(__xludf.DUMMYFUNCTION("""COMPUTED_VALUE"""),"Mahalaxmi- 4, lalitpur, 9851215578")</f>
        <v>Mahalaxmi- 4, lalitpur, 9851215578</v>
      </c>
      <c r="I2523" s="2" t="str">
        <f>IFERROR(__xludf.DUMMYFUNCTION("""COMPUTED_VALUE"""),"30o 03' 12""")</f>
        <v>30o 03' 12"</v>
      </c>
      <c r="J2523" s="2" t="str">
        <f>IFERROR(__xludf.DUMMYFUNCTION("""COMPUTED_VALUE"""),"30o 04' 20""")</f>
        <v>30o 04' 20"</v>
      </c>
      <c r="K2523" s="2" t="str">
        <f>IFERROR(__xludf.DUMMYFUNCTION("""COMPUTED_VALUE"""),"81o 38' 55""")</f>
        <v>81o 38' 55"</v>
      </c>
      <c r="L2523" s="2" t="str">
        <f>IFERROR(__xludf.DUMMYFUNCTION("""COMPUTED_VALUE"""),"81o 39' 49""")</f>
        <v>81o 39' 49"</v>
      </c>
      <c r="M2523" s="2" t="str">
        <f>IFERROR(__xludf.DUMMYFUNCTION("""COMPUTED_VALUE"""),"Khagalgaun (Humla)")</f>
        <v>Khagalgaun (Humla)</v>
      </c>
    </row>
    <row r="2524">
      <c r="A2524" s="2">
        <f>IFERROR(__xludf.DUMMYFUNCTION("""COMPUTED_VALUE"""),2523.0)</f>
        <v>2523</v>
      </c>
      <c r="B2524" s="2" t="str">
        <f>IFERROR(__xludf.DUMMYFUNCTION("""COMPUTED_VALUE"""),"Khimti - Tamakoshi Hydroelectric Project")</f>
        <v>Khimti - Tamakoshi Hydroelectric Project</v>
      </c>
      <c r="C2524" s="2">
        <f>IFERROR(__xludf.DUMMYFUNCTION("""COMPUTED_VALUE"""),90.5)</f>
        <v>90.5</v>
      </c>
      <c r="D2524" s="2" t="str">
        <f>IFERROR(__xludf.DUMMYFUNCTION("""COMPUTED_VALUE"""),"Khimti Khola, Tamakoshi")</f>
        <v>Khimti Khola, Tamakoshi</v>
      </c>
      <c r="E2524" s="2">
        <f>IFERROR(__xludf.DUMMYFUNCTION("""COMPUTED_VALUE"""),9147.0)</f>
        <v>9147</v>
      </c>
      <c r="F2524" s="3">
        <f>IFERROR(__xludf.DUMMYFUNCTION("""COMPUTED_VALUE"""),66527.0)</f>
        <v>66527</v>
      </c>
      <c r="G2524" s="2" t="str">
        <f>IFERROR(__xludf.DUMMYFUNCTION("""COMPUTED_VALUE"""),"R.M. Investment Company Private Limited")</f>
        <v>R.M. Investment Company Private Limited</v>
      </c>
      <c r="H2524" s="2" t="str">
        <f>IFERROR(__xludf.DUMMYFUNCTION("""COMPUTED_VALUE"""),"New Baneswor, Kathmandu")</f>
        <v>New Baneswor, Kathmandu</v>
      </c>
      <c r="I2524" s="2" t="str">
        <f>IFERROR(__xludf.DUMMYFUNCTION("""COMPUTED_VALUE"""),"27o 25' 00""")</f>
        <v>27o 25' 00"</v>
      </c>
      <c r="J2524" s="2" t="str">
        <f>IFERROR(__xludf.DUMMYFUNCTION("""COMPUTED_VALUE"""),"27o 28' 59""")</f>
        <v>27o 28' 59"</v>
      </c>
      <c r="K2524" s="2" t="str">
        <f>IFERROR(__xludf.DUMMYFUNCTION("""COMPUTED_VALUE"""),"86o 04' 45""")</f>
        <v>86o 04' 45"</v>
      </c>
      <c r="L2524" s="2" t="str">
        <f>IFERROR(__xludf.DUMMYFUNCTION("""COMPUTED_VALUE"""),"86o 07' 30""")</f>
        <v>86o 07' 30"</v>
      </c>
      <c r="M2524" s="2" t="str">
        <f>IFERROR(__xludf.DUMMYFUNCTION("""COMPUTED_VALUE"""),"Chisapani,Phulasi,Tilpung,Gailu (Ramechhap)")</f>
        <v>Chisapani,Phulasi,Tilpung,Gailu (Ramechhap)</v>
      </c>
    </row>
    <row r="2525">
      <c r="A2525" s="2">
        <f>IFERROR(__xludf.DUMMYFUNCTION("""COMPUTED_VALUE"""),2524.0)</f>
        <v>2524</v>
      </c>
      <c r="B2525" s="2" t="str">
        <f>IFERROR(__xludf.DUMMYFUNCTION("""COMPUTED_VALUE"""),"Super Mewa Khola Hydroelectric Project")</f>
        <v>Super Mewa Khola Hydroelectric Project</v>
      </c>
      <c r="C2525" s="2">
        <f>IFERROR(__xludf.DUMMYFUNCTION("""COMPUTED_VALUE"""),5.0)</f>
        <v>5</v>
      </c>
      <c r="D2525" s="2" t="str">
        <f>IFERROR(__xludf.DUMMYFUNCTION("""COMPUTED_VALUE"""),"Mewa Khola")</f>
        <v>Mewa Khola</v>
      </c>
      <c r="E2525" s="2">
        <f>IFERROR(__xludf.DUMMYFUNCTION("""COMPUTED_VALUE"""),9268.0)</f>
        <v>9268</v>
      </c>
      <c r="F2525" s="3">
        <f>IFERROR(__xludf.DUMMYFUNCTION("""COMPUTED_VALUE"""),66530.0)</f>
        <v>66530</v>
      </c>
      <c r="G2525" s="2" t="str">
        <f>IFERROR(__xludf.DUMMYFUNCTION("""COMPUTED_VALUE"""),"Topkegola Hydropower Private Limited")</f>
        <v>Topkegola Hydropower Private Limited</v>
      </c>
      <c r="H2525" s="2" t="str">
        <f>IFERROR(__xludf.DUMMYFUNCTION("""COMPUTED_VALUE"""),"Madhyapur Thimi - 9, Radhe Radhe, Bhaktapur")</f>
        <v>Madhyapur Thimi - 9, Radhe Radhe, Bhaktapur</v>
      </c>
      <c r="I2525" s="2" t="str">
        <f>IFERROR(__xludf.DUMMYFUNCTION("""COMPUTED_VALUE"""),"27o 35' 33""")</f>
        <v>27o 35' 33"</v>
      </c>
      <c r="J2525" s="2" t="str">
        <f>IFERROR(__xludf.DUMMYFUNCTION("""COMPUTED_VALUE"""),"27o 37' 02""")</f>
        <v>27o 37' 02"</v>
      </c>
      <c r="K2525" s="2" t="str">
        <f>IFERROR(__xludf.DUMMYFUNCTION("""COMPUTED_VALUE"""),"87o 35' 19""")</f>
        <v>87o 35' 19"</v>
      </c>
      <c r="L2525" s="2" t="str">
        <f>IFERROR(__xludf.DUMMYFUNCTION("""COMPUTED_VALUE"""),"87o 36' 21""")</f>
        <v>87o 36' 21"</v>
      </c>
      <c r="M2525" s="2" t="str">
        <f>IFERROR(__xludf.DUMMYFUNCTION("""COMPUTED_VALUE"""),"Papung (Taplejung)")</f>
        <v>Papung (Taplejung)</v>
      </c>
    </row>
    <row r="2526">
      <c r="A2526" s="2">
        <f>IFERROR(__xludf.DUMMYFUNCTION("""COMPUTED_VALUE"""),2525.0)</f>
        <v>2525</v>
      </c>
      <c r="B2526" s="2" t="str">
        <f>IFERROR(__xludf.DUMMYFUNCTION("""COMPUTED_VALUE"""),"Madhya Baddi Gad Hydropower Project")</f>
        <v>Madhya Baddi Gad Hydropower Project</v>
      </c>
      <c r="C2526" s="2">
        <f>IFERROR(__xludf.DUMMYFUNCTION("""COMPUTED_VALUE"""),9.85)</f>
        <v>9.85</v>
      </c>
      <c r="D2526" s="2" t="str">
        <f>IFERROR(__xludf.DUMMYFUNCTION("""COMPUTED_VALUE"""),"Badigad Khola")</f>
        <v>Badigad Khola</v>
      </c>
      <c r="E2526" s="2">
        <f>IFERROR(__xludf.DUMMYFUNCTION("""COMPUTED_VALUE"""),9395.0)</f>
        <v>9395</v>
      </c>
      <c r="F2526" s="3">
        <f>IFERROR(__xludf.DUMMYFUNCTION("""COMPUTED_VALUE"""),66533.0)</f>
        <v>66533</v>
      </c>
      <c r="G2526" s="2" t="str">
        <f>IFERROR(__xludf.DUMMYFUNCTION("""COMPUTED_VALUE"""),"Prabhu Jalabiddhut Bikash (P) Ltd.")</f>
        <v>Prabhu Jalabiddhut Bikash (P) Ltd.</v>
      </c>
      <c r="H2526" s="2" t="str">
        <f>IFERROR(__xludf.DUMMYFUNCTION("""COMPUTED_VALUE"""),"Kathmandu-10")</f>
        <v>Kathmandu-10</v>
      </c>
      <c r="I2526" s="2" t="str">
        <f>IFERROR(__xludf.DUMMYFUNCTION("""COMPUTED_VALUE"""),"29o 30' 04""")</f>
        <v>29o 30' 04"</v>
      </c>
      <c r="J2526" s="2" t="str">
        <f>IFERROR(__xludf.DUMMYFUNCTION("""COMPUTED_VALUE"""),"29o 31' 35""")</f>
        <v>29o 31' 35"</v>
      </c>
      <c r="K2526" s="2" t="str">
        <f>IFERROR(__xludf.DUMMYFUNCTION("""COMPUTED_VALUE"""),"81o 36' 44""")</f>
        <v>81o 36' 44"</v>
      </c>
      <c r="L2526" s="2" t="str">
        <f>IFERROR(__xludf.DUMMYFUNCTION("""COMPUTED_VALUE"""),"81o 39' 13""")</f>
        <v>81o 39' 13"</v>
      </c>
      <c r="M2526" s="2" t="str">
        <f>IFERROR(__xludf.DUMMYFUNCTION("""COMPUTED_VALUE"""),"Kolti,Kotila,Pandusain,Jagannath,Baddhu (Bajura)")</f>
        <v>Kolti,Kotila,Pandusain,Jagannath,Baddhu (Bajura)</v>
      </c>
    </row>
    <row r="2527">
      <c r="A2527" s="2">
        <f>IFERROR(__xludf.DUMMYFUNCTION("""COMPUTED_VALUE"""),2526.0)</f>
        <v>2526</v>
      </c>
      <c r="B2527" s="2" t="str">
        <f>IFERROR(__xludf.DUMMYFUNCTION("""COMPUTED_VALUE"""),"Kunda Khola hydropower Project")</f>
        <v>Kunda Khola hydropower Project</v>
      </c>
      <c r="C2527" s="2">
        <f>IFERROR(__xludf.DUMMYFUNCTION("""COMPUTED_VALUE"""),18.0)</f>
        <v>18</v>
      </c>
      <c r="D2527" s="2" t="str">
        <f>IFERROR(__xludf.DUMMYFUNCTION("""COMPUTED_VALUE"""),"Kunda Khola")</f>
        <v>Kunda Khola</v>
      </c>
      <c r="E2527" s="2">
        <f>IFERROR(__xludf.DUMMYFUNCTION("""COMPUTED_VALUE"""),9480.0)</f>
        <v>9480</v>
      </c>
      <c r="F2527" s="3">
        <f>IFERROR(__xludf.DUMMYFUNCTION("""COMPUTED_VALUE"""),66535.0)</f>
        <v>66535</v>
      </c>
      <c r="G2527" s="2" t="str">
        <f>IFERROR(__xludf.DUMMYFUNCTION("""COMPUTED_VALUE"""),"Himal Investment Fund Private Limited")</f>
        <v>Himal Investment Fund Private Limited</v>
      </c>
      <c r="H2527" s="2" t="str">
        <f>IFERROR(__xludf.DUMMYFUNCTION("""COMPUTED_VALUE"""),"Naksal-1, Kathmandu")</f>
        <v>Naksal-1, Kathmandu</v>
      </c>
      <c r="I2527" s="2" t="str">
        <f>IFERROR(__xludf.DUMMYFUNCTION("""COMPUTED_VALUE"""),"29o 28' 30""")</f>
        <v>29o 28' 30"</v>
      </c>
      <c r="J2527" s="2" t="str">
        <f>IFERROR(__xludf.DUMMYFUNCTION("""COMPUTED_VALUE"""),"29o 31' 35""")</f>
        <v>29o 31' 35"</v>
      </c>
      <c r="K2527" s="2" t="str">
        <f>IFERROR(__xludf.DUMMYFUNCTION("""COMPUTED_VALUE"""),"81o 36' 30""")</f>
        <v>81o 36' 30"</v>
      </c>
      <c r="L2527" s="2" t="str">
        <f>IFERROR(__xludf.DUMMYFUNCTION("""COMPUTED_VALUE"""),"81o 42' 00""")</f>
        <v>81o 42' 00"</v>
      </c>
      <c r="M2527" s="2" t="str">
        <f>IFERROR(__xludf.DUMMYFUNCTION("""COMPUTED_VALUE"""),"Kolti,Kotila,Pandusain,Baddhu,Jagannath (Bajura)")</f>
        <v>Kolti,Kotila,Pandusain,Baddhu,Jagannath (Bajura)</v>
      </c>
    </row>
    <row r="2528">
      <c r="A2528" s="2">
        <f>IFERROR(__xludf.DUMMYFUNCTION("""COMPUTED_VALUE"""),2527.0)</f>
        <v>2527</v>
      </c>
      <c r="B2528" s="2" t="str">
        <f>IFERROR(__xludf.DUMMYFUNCTION("""COMPUTED_VALUE"""),"Phoksundo Khola Hydropower Project")</f>
        <v>Phoksundo Khola Hydropower Project</v>
      </c>
      <c r="C2528" s="2">
        <f>IFERROR(__xludf.DUMMYFUNCTION("""COMPUTED_VALUE"""),92.1)</f>
        <v>92.1</v>
      </c>
      <c r="D2528" s="2" t="str">
        <f>IFERROR(__xludf.DUMMYFUNCTION("""COMPUTED_VALUE"""),"Phoksundo Khola")</f>
        <v>Phoksundo Khola</v>
      </c>
      <c r="E2528" s="2">
        <f>IFERROR(__xludf.DUMMYFUNCTION("""COMPUTED_VALUE"""),9489.0)</f>
        <v>9489</v>
      </c>
      <c r="F2528" s="2" t="str">
        <f>IFERROR(__xludf.DUMMYFUNCTION("""COMPUTED_VALUE"""),"2082-02-29")</f>
        <v>2082-02-29</v>
      </c>
      <c r="G2528" s="2" t="str">
        <f>IFERROR(__xludf.DUMMYFUNCTION("""COMPUTED_VALUE"""),"Aviyan Renewable Energy Pvt. Ltd")</f>
        <v>Aviyan Renewable Energy Pvt. Ltd</v>
      </c>
      <c r="H2528" s="2" t="str">
        <f>IFERROR(__xludf.DUMMYFUNCTION("""COMPUTED_VALUE"""),"Kathmandu-9")</f>
        <v>Kathmandu-9</v>
      </c>
      <c r="I2528" s="2" t="str">
        <f>IFERROR(__xludf.DUMMYFUNCTION("""COMPUTED_VALUE"""),"29o 02' 26""")</f>
        <v>29o 02' 26"</v>
      </c>
      <c r="J2528" s="2" t="str">
        <f>IFERROR(__xludf.DUMMYFUNCTION("""COMPUTED_VALUE"""),"29o 08' 40""")</f>
        <v>29o 08' 40"</v>
      </c>
      <c r="K2528" s="2" t="str">
        <f>IFERROR(__xludf.DUMMYFUNCTION("""COMPUTED_VALUE"""),"82o 52' 07""")</f>
        <v>82o 52' 07"</v>
      </c>
      <c r="L2528" s="2" t="str">
        <f>IFERROR(__xludf.DUMMYFUNCTION("""COMPUTED_VALUE"""),"82o 55' 20""")</f>
        <v>82o 55' 20"</v>
      </c>
      <c r="M2528" s="2" t="str">
        <f>IFERROR(__xludf.DUMMYFUNCTION("""COMPUTED_VALUE"""),"Phoksundo,Saldang,Bhijer (Dolpa)")</f>
        <v>Phoksundo,Saldang,Bhijer (Dolpa)</v>
      </c>
    </row>
    <row r="2529">
      <c r="A2529" s="2">
        <f>IFERROR(__xludf.DUMMYFUNCTION("""COMPUTED_VALUE"""),2528.0)</f>
        <v>2528</v>
      </c>
      <c r="B2529" s="2" t="str">
        <f>IFERROR(__xludf.DUMMYFUNCTION("""COMPUTED_VALUE"""),"Mugu Khola Hydro-Electric Project")</f>
        <v>Mugu Khola Hydro-Electric Project</v>
      </c>
      <c r="C2529" s="2">
        <f>IFERROR(__xludf.DUMMYFUNCTION("""COMPUTED_VALUE"""),24.42)</f>
        <v>24.42</v>
      </c>
      <c r="D2529" s="2" t="str">
        <f>IFERROR(__xludf.DUMMYFUNCTION("""COMPUTED_VALUE"""),"Mugu Khola, Talak Khola")</f>
        <v>Mugu Khola, Talak Khola</v>
      </c>
      <c r="E2529" s="2">
        <f>IFERROR(__xludf.DUMMYFUNCTION("""COMPUTED_VALUE"""),9531.0)</f>
        <v>9531</v>
      </c>
      <c r="F2529" s="2" t="str">
        <f>IFERROR(__xludf.DUMMYFUNCTION("""COMPUTED_VALUE"""),"2082-02-30")</f>
        <v>2082-02-30</v>
      </c>
      <c r="G2529" s="2" t="str">
        <f>IFERROR(__xludf.DUMMYFUNCTION("""COMPUTED_VALUE"""),"Ugratara Energy Private Limited")</f>
        <v>Ugratara Energy Private Limited</v>
      </c>
      <c r="H2529" s="2" t="str">
        <f>IFERROR(__xludf.DUMMYFUNCTION("""COMPUTED_VALUE"""),"K.M.C-10, Buddhanagar")</f>
        <v>K.M.C-10, Buddhanagar</v>
      </c>
      <c r="I2529" s="2" t="str">
        <f>IFERROR(__xludf.DUMMYFUNCTION("""COMPUTED_VALUE"""),"29o 38' 08""")</f>
        <v>29o 38' 08"</v>
      </c>
      <c r="J2529" s="2" t="str">
        <f>IFERROR(__xludf.DUMMYFUNCTION("""COMPUTED_VALUE"""),"29o 45' 00""")</f>
        <v>29o 45' 00"</v>
      </c>
      <c r="K2529" s="2" t="str">
        <f>IFERROR(__xludf.DUMMYFUNCTION("""COMPUTED_VALUE"""),"82o 27' 22""")</f>
        <v>82o 27' 22"</v>
      </c>
      <c r="L2529" s="2" t="str">
        <f>IFERROR(__xludf.DUMMYFUNCTION("""COMPUTED_VALUE"""),"82o 31' 59""")</f>
        <v>82o 31' 59"</v>
      </c>
      <c r="M2529" s="2" t="str">
        <f>IFERROR(__xludf.DUMMYFUNCTION("""COMPUTED_VALUE"""),"Dolphu,Mugu,Mangri,Pulu,Kimari (Mugu)")</f>
        <v>Dolphu,Mugu,Mangri,Pulu,Kimari (Mugu)</v>
      </c>
    </row>
    <row r="2530">
      <c r="A2530" s="2">
        <f>IFERROR(__xludf.DUMMYFUNCTION("""COMPUTED_VALUE"""),2529.0)</f>
        <v>2529</v>
      </c>
      <c r="B2530" s="2" t="str">
        <f>IFERROR(__xludf.DUMMYFUNCTION("""COMPUTED_VALUE"""),"Chainpur Bauligad Hydropower Project")</f>
        <v>Chainpur Bauligad Hydropower Project</v>
      </c>
      <c r="C2530" s="2">
        <f>IFERROR(__xludf.DUMMYFUNCTION("""COMPUTED_VALUE"""),8.31)</f>
        <v>8.31</v>
      </c>
      <c r="D2530" s="2" t="str">
        <f>IFERROR(__xludf.DUMMYFUNCTION("""COMPUTED_VALUE"""),"Bauligad Chainpur")</f>
        <v>Bauligad Chainpur</v>
      </c>
      <c r="E2530" s="2">
        <f>IFERROR(__xludf.DUMMYFUNCTION("""COMPUTED_VALUE"""),9594.0)</f>
        <v>9594</v>
      </c>
      <c r="F2530" s="3">
        <f>IFERROR(__xludf.DUMMYFUNCTION("""COMPUTED_VALUE"""),66536.0)</f>
        <v>66536</v>
      </c>
      <c r="G2530" s="2" t="str">
        <f>IFERROR(__xludf.DUMMYFUNCTION("""COMPUTED_VALUE"""),"Dolphin Power Private Limited")</f>
        <v>Dolphin Power Private Limited</v>
      </c>
      <c r="H2530" s="2" t="str">
        <f>IFERROR(__xludf.DUMMYFUNCTION("""COMPUTED_VALUE"""),"Kathmandu-9, Phone : 015916289")</f>
        <v>Kathmandu-9, Phone : 015916289</v>
      </c>
      <c r="I2530" s="2" t="str">
        <f>IFERROR(__xludf.DUMMYFUNCTION("""COMPUTED_VALUE"""),"29o 33' 20""")</f>
        <v>29o 33' 20"</v>
      </c>
      <c r="J2530" s="2" t="str">
        <f>IFERROR(__xludf.DUMMYFUNCTION("""COMPUTED_VALUE"""),"29o 34' 49""")</f>
        <v>29o 34' 49"</v>
      </c>
      <c r="K2530" s="2" t="str">
        <f>IFERROR(__xludf.DUMMYFUNCTION("""COMPUTED_VALUE"""),"81o 09' 45""")</f>
        <v>81o 09' 45"</v>
      </c>
      <c r="L2530" s="2" t="str">
        <f>IFERROR(__xludf.DUMMYFUNCTION("""COMPUTED_VALUE"""),"81o 11' 40""")</f>
        <v>81o 11' 40"</v>
      </c>
      <c r="M2530" s="2" t="str">
        <f>IFERROR(__xludf.DUMMYFUNCTION("""COMPUTED_VALUE"""),"Rithapata (Bajhang)")</f>
        <v>Rithapata (Bajhang)</v>
      </c>
    </row>
    <row r="2531">
      <c r="A2531" s="2">
        <f>IFERROR(__xludf.DUMMYFUNCTION("""COMPUTED_VALUE"""),2530.0)</f>
        <v>2530</v>
      </c>
      <c r="B2531" s="2" t="str">
        <f>IFERROR(__xludf.DUMMYFUNCTION("""COMPUTED_VALUE"""),"Tamor - Nawa Pumped Storage Hydropower Project")</f>
        <v>Tamor - Nawa Pumped Storage Hydropower Project</v>
      </c>
      <c r="C2531" s="2">
        <f>IFERROR(__xludf.DUMMYFUNCTION("""COMPUTED_VALUE"""),99.0)</f>
        <v>99</v>
      </c>
      <c r="D2531" s="2" t="str">
        <f>IFERROR(__xludf.DUMMYFUNCTION("""COMPUTED_VALUE"""),"Tamor, Nawa")</f>
        <v>Tamor, Nawa</v>
      </c>
      <c r="E2531" s="2">
        <f>IFERROR(__xludf.DUMMYFUNCTION("""COMPUTED_VALUE"""),9602.0)</f>
        <v>9602</v>
      </c>
      <c r="F2531" s="3">
        <f>IFERROR(__xludf.DUMMYFUNCTION("""COMPUTED_VALUE"""),66536.0)</f>
        <v>66536</v>
      </c>
      <c r="G2531" s="2" t="str">
        <f>IFERROR(__xludf.DUMMYFUNCTION("""COMPUTED_VALUE"""),"Nepa Petroleum Trade Links Private Limited")</f>
        <v>Nepa Petroleum Trade Links Private Limited</v>
      </c>
      <c r="H2531" s="2" t="str">
        <f>IFERROR(__xludf.DUMMYFUNCTION("""COMPUTED_VALUE"""),"Itahari - 16, Pakali, Sunsari")</f>
        <v>Itahari - 16, Pakali, Sunsari</v>
      </c>
      <c r="I2531" s="2" t="str">
        <f>IFERROR(__xludf.DUMMYFUNCTION("""COMPUTED_VALUE"""),"26o 56' 30""")</f>
        <v>26o 56' 30"</v>
      </c>
      <c r="J2531" s="2" t="str">
        <f>IFERROR(__xludf.DUMMYFUNCTION("""COMPUTED_VALUE"""),"27o 01' 24""")</f>
        <v>27o 01' 24"</v>
      </c>
      <c r="K2531" s="2" t="str">
        <f>IFERROR(__xludf.DUMMYFUNCTION("""COMPUTED_VALUE"""),"87o 26' 30""")</f>
        <v>87o 26' 30"</v>
      </c>
      <c r="L2531" s="2" t="str">
        <f>IFERROR(__xludf.DUMMYFUNCTION("""COMPUTED_VALUE"""),"87o 32' 55""")</f>
        <v>87o 32' 55"</v>
      </c>
      <c r="M2531" s="2"/>
    </row>
    <row r="2532">
      <c r="A2532" s="2">
        <f>IFERROR(__xludf.DUMMYFUNCTION("""COMPUTED_VALUE"""),2531.0)</f>
        <v>2531</v>
      </c>
      <c r="B2532" s="2" t="str">
        <f>IFERROR(__xludf.DUMMYFUNCTION("""COMPUTED_VALUE"""),"Suligad Peaking Hydropower Project")</f>
        <v>Suligad Peaking Hydropower Project</v>
      </c>
      <c r="C2532" s="2">
        <f>IFERROR(__xludf.DUMMYFUNCTION("""COMPUTED_VALUE"""),5.0)</f>
        <v>5</v>
      </c>
      <c r="D2532" s="2" t="str">
        <f>IFERROR(__xludf.DUMMYFUNCTION("""COMPUTED_VALUE"""),"Suli Gad")</f>
        <v>Suli Gad</v>
      </c>
      <c r="E2532" s="2">
        <f>IFERROR(__xludf.DUMMYFUNCTION("""COMPUTED_VALUE"""),9669.0)</f>
        <v>9669</v>
      </c>
      <c r="F2532" s="3">
        <f>IFERROR(__xludf.DUMMYFUNCTION("""COMPUTED_VALUE"""),66538.0)</f>
        <v>66538</v>
      </c>
      <c r="G2532" s="2" t="str">
        <f>IFERROR(__xludf.DUMMYFUNCTION("""COMPUTED_VALUE"""),"Samriddhi Nilgiri Bijuli Udhyog Pvt. Ltd")</f>
        <v>Samriddhi Nilgiri Bijuli Udhyog Pvt. Ltd</v>
      </c>
      <c r="H2532" s="2" t="str">
        <f>IFERROR(__xludf.DUMMYFUNCTION("""COMPUTED_VALUE"""),"Budhanilkantha-9, Kathmandu")</f>
        <v>Budhanilkantha-9, Kathmandu</v>
      </c>
      <c r="I2532" s="2" t="str">
        <f>IFERROR(__xludf.DUMMYFUNCTION("""COMPUTED_VALUE"""),"28o 58' 15""")</f>
        <v>28o 58' 15"</v>
      </c>
      <c r="J2532" s="2" t="str">
        <f>IFERROR(__xludf.DUMMYFUNCTION("""COMPUTED_VALUE"""),"29o 02' 26""")</f>
        <v>29o 02' 26"</v>
      </c>
      <c r="K2532" s="2" t="str">
        <f>IFERROR(__xludf.DUMMYFUNCTION("""COMPUTED_VALUE"""),"82o 52' 25""")</f>
        <v>82o 52' 25"</v>
      </c>
      <c r="L2532" s="2" t="str">
        <f>IFERROR(__xludf.DUMMYFUNCTION("""COMPUTED_VALUE"""),"82o 55' 00""")</f>
        <v>82o 55' 00"</v>
      </c>
      <c r="M2532" s="2" t="str">
        <f>IFERROR(__xludf.DUMMYFUNCTION("""COMPUTED_VALUE"""),"Dunai,Jufal,Raha,Majhfal,Sunhoo,Tripurakot,Pahada,Likhu,Lawan (Dolpa)")</f>
        <v>Dunai,Jufal,Raha,Majhfal,Sunhoo,Tripurakot,Pahada,Likhu,Lawan (Dolpa)</v>
      </c>
    </row>
    <row r="2533">
      <c r="A2533" s="2">
        <f>IFERROR(__xludf.DUMMYFUNCTION("""COMPUTED_VALUE"""),2532.0)</f>
        <v>2532</v>
      </c>
      <c r="B2533" s="2" t="str">
        <f>IFERROR(__xludf.DUMMYFUNCTION("""COMPUTED_VALUE"""),"Sankhuwa - Sanlaha Khola Hydropower Project")</f>
        <v>Sankhuwa - Sanlaha Khola Hydropower Project</v>
      </c>
      <c r="C2533" s="2">
        <f>IFERROR(__xludf.DUMMYFUNCTION("""COMPUTED_VALUE"""),9.99)</f>
        <v>9.99</v>
      </c>
      <c r="D2533" s="2" t="str">
        <f>IFERROR(__xludf.DUMMYFUNCTION("""COMPUTED_VALUE"""),"Sankhuwa Khola and sanlaha kho")</f>
        <v>Sankhuwa Khola and sanlaha kho</v>
      </c>
      <c r="E2533" s="2">
        <f>IFERROR(__xludf.DUMMYFUNCTION("""COMPUTED_VALUE"""),9690.0)</f>
        <v>9690</v>
      </c>
      <c r="F2533" s="3">
        <f>IFERROR(__xludf.DUMMYFUNCTION("""COMPUTED_VALUE"""),66538.0)</f>
        <v>66538</v>
      </c>
      <c r="G2533" s="2" t="str">
        <f>IFERROR(__xludf.DUMMYFUNCTION("""COMPUTED_VALUE"""),"S.I. Energy Private Limited")</f>
        <v>S.I. Energy Private Limited</v>
      </c>
      <c r="H2533" s="2" t="str">
        <f>IFERROR(__xludf.DUMMYFUNCTION("""COMPUTED_VALUE"""),"Butwal-8, Sukhhanagar, Rupandehi")</f>
        <v>Butwal-8, Sukhhanagar, Rupandehi</v>
      </c>
      <c r="I2533" s="2" t="str">
        <f>IFERROR(__xludf.DUMMYFUNCTION("""COMPUTED_VALUE"""),"27o 34' 17""")</f>
        <v>27o 34' 17"</v>
      </c>
      <c r="J2533" s="2" t="str">
        <f>IFERROR(__xludf.DUMMYFUNCTION("""COMPUTED_VALUE"""),"27o 35' 33""")</f>
        <v>27o 35' 33"</v>
      </c>
      <c r="K2533" s="2" t="str">
        <f>IFERROR(__xludf.DUMMYFUNCTION("""COMPUTED_VALUE"""),"87o 00' 00""")</f>
        <v>87o 00' 00"</v>
      </c>
      <c r="L2533" s="2" t="str">
        <f>IFERROR(__xludf.DUMMYFUNCTION("""COMPUTED_VALUE"""),"87o 02' 05""")</f>
        <v>87o 02' 05"</v>
      </c>
      <c r="M2533" s="2" t="str">
        <f>IFERROR(__xludf.DUMMYFUNCTION("""COMPUTED_VALUE"""),"Bala,Tamku (Sankhuwasabha)")</f>
        <v>Bala,Tamku (Sankhuwasabha)</v>
      </c>
    </row>
    <row r="2534">
      <c r="A2534" s="2">
        <f>IFERROR(__xludf.DUMMYFUNCTION("""COMPUTED_VALUE"""),2533.0)</f>
        <v>2533</v>
      </c>
      <c r="B2534" s="2" t="str">
        <f>IFERROR(__xludf.DUMMYFUNCTION("""COMPUTED_VALUE"""),"Lower Chhujung Hydropower Project")</f>
        <v>Lower Chhujung Hydropower Project</v>
      </c>
      <c r="C2534" s="2">
        <f>IFERROR(__xludf.DUMMYFUNCTION("""COMPUTED_VALUE"""),4.38)</f>
        <v>4.38</v>
      </c>
      <c r="D2534" s="2" t="str">
        <f>IFERROR(__xludf.DUMMYFUNCTION("""COMPUTED_VALUE"""),"Chhujung")</f>
        <v>Chhujung</v>
      </c>
      <c r="E2534" s="2">
        <f>IFERROR(__xludf.DUMMYFUNCTION("""COMPUTED_VALUE"""),9691.0)</f>
        <v>9691</v>
      </c>
      <c r="F2534" s="3">
        <f>IFERROR(__xludf.DUMMYFUNCTION("""COMPUTED_VALUE"""),66538.0)</f>
        <v>66538</v>
      </c>
      <c r="G2534" s="2" t="str">
        <f>IFERROR(__xludf.DUMMYFUNCTION("""COMPUTED_VALUE"""),"Adyanta Business Group Private Limited")</f>
        <v>Adyanta Business Group Private Limited</v>
      </c>
      <c r="H2534" s="2" t="str">
        <f>IFERROR(__xludf.DUMMYFUNCTION("""COMPUTED_VALUE"""),"New Baneshower, Kathmandu-10")</f>
        <v>New Baneshower, Kathmandu-10</v>
      </c>
      <c r="I2534" s="2" t="str">
        <f>IFERROR(__xludf.DUMMYFUNCTION("""COMPUTED_VALUE"""),"27o 45' 36""")</f>
        <v>27o 45' 36"</v>
      </c>
      <c r="J2534" s="2" t="str">
        <f>IFERROR(__xludf.DUMMYFUNCTION("""COMPUTED_VALUE"""),"27o 45' 57""")</f>
        <v>27o 45' 57"</v>
      </c>
      <c r="K2534" s="2" t="str">
        <f>IFERROR(__xludf.DUMMYFUNCTION("""COMPUTED_VALUE"""),"87o 26' 38""")</f>
        <v>87o 26' 38"</v>
      </c>
      <c r="L2534" s="2" t="str">
        <f>IFERROR(__xludf.DUMMYFUNCTION("""COMPUTED_VALUE"""),"87o 27' 11""")</f>
        <v>87o 27' 11"</v>
      </c>
      <c r="M2534" s="2" t="str">
        <f>IFERROR(__xludf.DUMMYFUNCTION("""COMPUTED_VALUE"""),"Chepuwa (Sankhuwasabha)")</f>
        <v>Chepuwa (Sankhuwasabha)</v>
      </c>
    </row>
    <row r="2535">
      <c r="A2535" s="2">
        <f>IFERROR(__xludf.DUMMYFUNCTION("""COMPUTED_VALUE"""),2534.0)</f>
        <v>2534</v>
      </c>
      <c r="B2535" s="2" t="str">
        <f>IFERROR(__xludf.DUMMYFUNCTION("""COMPUTED_VALUE"""),"Sani Bheri Rimna Peaking Hydroelectric Project")</f>
        <v>Sani Bheri Rimna Peaking Hydroelectric Project</v>
      </c>
      <c r="C2535" s="2">
        <f>IFERROR(__xludf.DUMMYFUNCTION("""COMPUTED_VALUE"""),64.0)</f>
        <v>64</v>
      </c>
      <c r="D2535" s="2" t="str">
        <f>IFERROR(__xludf.DUMMYFUNCTION("""COMPUTED_VALUE"""),"Sani Bheri")</f>
        <v>Sani Bheri</v>
      </c>
      <c r="E2535" s="2">
        <f>IFERROR(__xludf.DUMMYFUNCTION("""COMPUTED_VALUE"""),9831.0)</f>
        <v>9831</v>
      </c>
      <c r="F2535" s="3">
        <f>IFERROR(__xludf.DUMMYFUNCTION("""COMPUTED_VALUE"""),66540.0)</f>
        <v>66540</v>
      </c>
      <c r="G2535" s="2" t="str">
        <f>IFERROR(__xludf.DUMMYFUNCTION("""COMPUTED_VALUE"""),"J.V. Power Private Limited")</f>
        <v>J.V. Power Private Limited</v>
      </c>
      <c r="H2535" s="2" t="str">
        <f>IFERROR(__xludf.DUMMYFUNCTION("""COMPUTED_VALUE"""),"KMC-30, Kathmandu")</f>
        <v>KMC-30, Kathmandu</v>
      </c>
      <c r="I2535" s="2" t="str">
        <f>IFERROR(__xludf.DUMMYFUNCTION("""COMPUTED_VALUE"""),"28o 38' 11""")</f>
        <v>28o 38' 11"</v>
      </c>
      <c r="J2535" s="2" t="str">
        <f>IFERROR(__xludf.DUMMYFUNCTION("""COMPUTED_VALUE"""),"28o 42' 30""")</f>
        <v>28o 42' 30"</v>
      </c>
      <c r="K2535" s="2" t="str">
        <f>IFERROR(__xludf.DUMMYFUNCTION("""COMPUTED_VALUE"""),"82o 15' 31""")</f>
        <v>82o 15' 31"</v>
      </c>
      <c r="L2535" s="2" t="str">
        <f>IFERROR(__xludf.DUMMYFUNCTION("""COMPUTED_VALUE"""),"82o 26' 08""")</f>
        <v>82o 26' 08"</v>
      </c>
      <c r="M2535" s="2" t="str">
        <f>IFERROR(__xludf.DUMMYFUNCTION("""COMPUTED_VALUE"""),"Garayala,Duli,Jhula,Chhiwang,Simli,Arma,Bijeswori,Kotjahari,Purtim 
Kanda,Kholagaun,Ghetma (Rukum)")</f>
        <v>Garayala,Duli,Jhula,Chhiwang,Simli,Arma,Bijeswori,Kotjahari,Purtim 
Kanda,Kholagaun,Ghetma (Rukum)</v>
      </c>
    </row>
    <row r="2536">
      <c r="A2536" s="2">
        <f>IFERROR(__xludf.DUMMYFUNCTION("""COMPUTED_VALUE"""),2535.0)</f>
        <v>2535</v>
      </c>
      <c r="B2536" s="2" t="str">
        <f>IFERROR(__xludf.DUMMYFUNCTION("""COMPUTED_VALUE"""),"Madhya Budhiganga Hydropower Project")</f>
        <v>Madhya Budhiganga Hydropower Project</v>
      </c>
      <c r="C2536" s="2">
        <f>IFERROR(__xludf.DUMMYFUNCTION("""COMPUTED_VALUE"""),14.44)</f>
        <v>14.44</v>
      </c>
      <c r="D2536" s="2" t="str">
        <f>IFERROR(__xludf.DUMMYFUNCTION("""COMPUTED_VALUE"""),"Budhiganga")</f>
        <v>Budhiganga</v>
      </c>
      <c r="E2536" s="2">
        <f>IFERROR(__xludf.DUMMYFUNCTION("""COMPUTED_VALUE"""),9872.0)</f>
        <v>9872</v>
      </c>
      <c r="F2536" s="3">
        <f>IFERROR(__xludf.DUMMYFUNCTION("""COMPUTED_VALUE"""),66541.0)</f>
        <v>66541</v>
      </c>
      <c r="G2536" s="2" t="str">
        <f>IFERROR(__xludf.DUMMYFUNCTION("""COMPUTED_VALUE"""),"Independent Power Company (Nepal) Pvt. Ltd.")</f>
        <v>Independent Power Company (Nepal) Pvt. Ltd.</v>
      </c>
      <c r="H2536" s="2" t="str">
        <f>IFERROR(__xludf.DUMMYFUNCTION("""COMPUTED_VALUE"""),"Lalitpur-3, Dhobighat, Phone no. 9704584323")</f>
        <v>Lalitpur-3, Dhobighat, Phone no. 9704584323</v>
      </c>
      <c r="I2536" s="2" t="str">
        <f>IFERROR(__xludf.DUMMYFUNCTION("""COMPUTED_VALUE"""),"29o 18' 35""")</f>
        <v>29o 18' 35"</v>
      </c>
      <c r="J2536" s="2" t="str">
        <f>IFERROR(__xludf.DUMMYFUNCTION("""COMPUTED_VALUE"""),"29o 20' 27""")</f>
        <v>29o 20' 27"</v>
      </c>
      <c r="K2536" s="2" t="str">
        <f>IFERROR(__xludf.DUMMYFUNCTION("""COMPUTED_VALUE"""),"81o 17' 20""")</f>
        <v>81o 17' 20"</v>
      </c>
      <c r="L2536" s="2" t="str">
        <f>IFERROR(__xludf.DUMMYFUNCTION("""COMPUTED_VALUE"""),"81o 19' 17""")</f>
        <v>81o 19' 17"</v>
      </c>
      <c r="M2536" s="2" t="str">
        <f>IFERROR(__xludf.DUMMYFUNCTION("""COMPUTED_VALUE"""),"Bindhyawasini (Achham) 
Chhatara,Kailashmandau,Tolodewal,Bichhiya,Kuldeumadau,Barhabise (Bajura)")</f>
        <v>Bindhyawasini (Achham) 
Chhatara,Kailashmandau,Tolodewal,Bichhiya,Kuldeumadau,Barhabise (Bajura)</v>
      </c>
    </row>
    <row r="2537">
      <c r="A2537" s="2">
        <f>IFERROR(__xludf.DUMMYFUNCTION("""COMPUTED_VALUE"""),2536.0)</f>
        <v>2536</v>
      </c>
      <c r="B2537" s="2" t="str">
        <f>IFERROR(__xludf.DUMMYFUNCTION("""COMPUTED_VALUE"""),"Bhuji Khola Hydropower Project")</f>
        <v>Bhuji Khola Hydropower Project</v>
      </c>
      <c r="C2537" s="2">
        <f>IFERROR(__xludf.DUMMYFUNCTION("""COMPUTED_VALUE"""),5.0)</f>
        <v>5</v>
      </c>
      <c r="D2537" s="2" t="str">
        <f>IFERROR(__xludf.DUMMYFUNCTION("""COMPUTED_VALUE"""),"Bhuji Khola")</f>
        <v>Bhuji Khola</v>
      </c>
      <c r="E2537" s="2">
        <f>IFERROR(__xludf.DUMMYFUNCTION("""COMPUTED_VALUE"""),9921.0)</f>
        <v>9921</v>
      </c>
      <c r="F2537" s="3">
        <f>IFERROR(__xludf.DUMMYFUNCTION("""COMPUTED_VALUE"""),66543.0)</f>
        <v>66543</v>
      </c>
      <c r="G2537" s="2" t="str">
        <f>IFERROR(__xludf.DUMMYFUNCTION("""COMPUTED_VALUE"""),"Topkegola Hydropower Private Limited")</f>
        <v>Topkegola Hydropower Private Limited</v>
      </c>
      <c r="H2537" s="2" t="str">
        <f>IFERROR(__xludf.DUMMYFUNCTION("""COMPUTED_VALUE"""),"Madhyapur Thimi - 9, Radhe Radhe, Bhaktapur")</f>
        <v>Madhyapur Thimi - 9, Radhe Radhe, Bhaktapur</v>
      </c>
      <c r="I2537" s="2" t="str">
        <f>IFERROR(__xludf.DUMMYFUNCTION("""COMPUTED_VALUE"""),"28o 21' 34""")</f>
        <v>28o 21' 34"</v>
      </c>
      <c r="J2537" s="2" t="str">
        <f>IFERROR(__xludf.DUMMYFUNCTION("""COMPUTED_VALUE"""),"28o 23' 06""")</f>
        <v>28o 23' 06"</v>
      </c>
      <c r="K2537" s="2" t="str">
        <f>IFERROR(__xludf.DUMMYFUNCTION("""COMPUTED_VALUE"""),"83o 06' 39""")</f>
        <v>83o 06' 39"</v>
      </c>
      <c r="L2537" s="2" t="str">
        <f>IFERROR(__xludf.DUMMYFUNCTION("""COMPUTED_VALUE"""),"83o 08' 13""")</f>
        <v>83o 08' 13"</v>
      </c>
      <c r="M2537" s="2" t="str">
        <f>IFERROR(__xludf.DUMMYFUNCTION("""COMPUTED_VALUE"""),"Adhikarichaur,Bowang (Baglung)")</f>
        <v>Adhikarichaur,Bowang (Baglung)</v>
      </c>
    </row>
    <row r="2538">
      <c r="A2538" s="2">
        <f>IFERROR(__xludf.DUMMYFUNCTION("""COMPUTED_VALUE"""),2537.0)</f>
        <v>2537</v>
      </c>
      <c r="B2538" s="2" t="str">
        <f>IFERROR(__xludf.DUMMYFUNCTION("""COMPUTED_VALUE"""),"Super Simbuwa Hydropower Project")</f>
        <v>Super Simbuwa Hydropower Project</v>
      </c>
      <c r="C2538" s="2">
        <f>IFERROR(__xludf.DUMMYFUNCTION("""COMPUTED_VALUE"""),24.75)</f>
        <v>24.75</v>
      </c>
      <c r="D2538" s="2" t="str">
        <f>IFERROR(__xludf.DUMMYFUNCTION("""COMPUTED_VALUE"""),"Simbuwa Khola")</f>
        <v>Simbuwa Khola</v>
      </c>
      <c r="E2538" s="2">
        <f>IFERROR(__xludf.DUMMYFUNCTION("""COMPUTED_VALUE"""),10035.0)</f>
        <v>10035</v>
      </c>
      <c r="F2538" s="3">
        <f>IFERROR(__xludf.DUMMYFUNCTION("""COMPUTED_VALUE"""),66545.0)</f>
        <v>66545</v>
      </c>
      <c r="G2538" s="2" t="str">
        <f>IFERROR(__xludf.DUMMYFUNCTION("""COMPUTED_VALUE"""),"Sisa Power Limited")</f>
        <v>Sisa Power Limited</v>
      </c>
      <c r="H2538" s="2" t="str">
        <f>IFERROR(__xludf.DUMMYFUNCTION("""COMPUTED_VALUE"""),"KMC-10, Thapagaun")</f>
        <v>KMC-10, Thapagaun</v>
      </c>
      <c r="I2538" s="2" t="str">
        <f>IFERROR(__xludf.DUMMYFUNCTION("""COMPUTED_VALUE"""),"27o 31' 30""")</f>
        <v>27o 31' 30"</v>
      </c>
      <c r="J2538" s="2" t="str">
        <f>IFERROR(__xludf.DUMMYFUNCTION("""COMPUTED_VALUE"""),"27o 34' 00""")</f>
        <v>27o 34' 00"</v>
      </c>
      <c r="K2538" s="2" t="str">
        <f>IFERROR(__xludf.DUMMYFUNCTION("""COMPUTED_VALUE"""),"87o 55' 04""")</f>
        <v>87o 55' 04"</v>
      </c>
      <c r="L2538" s="2" t="str">
        <f>IFERROR(__xludf.DUMMYFUNCTION("""COMPUTED_VALUE"""),"87o 58' 30""")</f>
        <v>87o 58' 30"</v>
      </c>
      <c r="M2538" s="2" t="str">
        <f>IFERROR(__xludf.DUMMYFUNCTION("""COMPUTED_VALUE"""),"Yamfudin,Tapethok (Taplejung)")</f>
        <v>Yamfudin,Tapethok (Taplejung)</v>
      </c>
    </row>
    <row r="2539">
      <c r="A2539" s="2">
        <f>IFERROR(__xludf.DUMMYFUNCTION("""COMPUTED_VALUE"""),2538.0)</f>
        <v>2538</v>
      </c>
      <c r="B2539" s="2" t="str">
        <f>IFERROR(__xludf.DUMMYFUNCTION("""COMPUTED_VALUE"""),"Lidurchhidur Khola Hydropower Project")</f>
        <v>Lidurchhidur Khola Hydropower Project</v>
      </c>
      <c r="C2539" s="2">
        <f>IFERROR(__xludf.DUMMYFUNCTION("""COMPUTED_VALUE"""),9.5)</f>
        <v>9.5</v>
      </c>
      <c r="D2539" s="2" t="str">
        <f>IFERROR(__xludf.DUMMYFUNCTION("""COMPUTED_VALUE"""),"Lidurchiddur Khola")</f>
        <v>Lidurchiddur Khola</v>
      </c>
      <c r="E2539" s="2">
        <f>IFERROR(__xludf.DUMMYFUNCTION("""COMPUTED_VALUE"""),10095.0)</f>
        <v>10095</v>
      </c>
      <c r="F2539" s="3">
        <f>IFERROR(__xludf.DUMMYFUNCTION("""COMPUTED_VALUE"""),66546.0)</f>
        <v>66546</v>
      </c>
      <c r="G2539" s="2" t="str">
        <f>IFERROR(__xludf.DUMMYFUNCTION("""COMPUTED_VALUE"""),"Justice Power Private Limited")</f>
        <v>Justice Power Private Limited</v>
      </c>
      <c r="H2539" s="2" t="str">
        <f>IFERROR(__xludf.DUMMYFUNCTION("""COMPUTED_VALUE"""),"Banasthali-16, Kathmandu")</f>
        <v>Banasthali-16, Kathmandu</v>
      </c>
      <c r="I2539" s="2" t="str">
        <f>IFERROR(__xludf.DUMMYFUNCTION("""COMPUTED_VALUE"""),"28o 24' 48""")</f>
        <v>28o 24' 48"</v>
      </c>
      <c r="J2539" s="2" t="str">
        <f>IFERROR(__xludf.DUMMYFUNCTION("""COMPUTED_VALUE"""),"28o 26' 20""")</f>
        <v>28o 26' 20"</v>
      </c>
      <c r="K2539" s="2" t="str">
        <f>IFERROR(__xludf.DUMMYFUNCTION("""COMPUTED_VALUE"""),"83o 45' 32""")</f>
        <v>83o 45' 32"</v>
      </c>
      <c r="L2539" s="2" t="str">
        <f>IFERROR(__xludf.DUMMYFUNCTION("""COMPUTED_VALUE"""),"83o 46' 46""")</f>
        <v>83o 46' 46"</v>
      </c>
      <c r="M2539" s="2" t="str">
        <f>IFERROR(__xludf.DUMMYFUNCTION("""COMPUTED_VALUE"""),"Ghandruk (Kaski)")</f>
        <v>Ghandruk (Kaski)</v>
      </c>
    </row>
    <row r="2540">
      <c r="A2540" s="2">
        <f>IFERROR(__xludf.DUMMYFUNCTION("""COMPUTED_VALUE"""),2539.0)</f>
        <v>2539</v>
      </c>
      <c r="B2540" s="2" t="str">
        <f>IFERROR(__xludf.DUMMYFUNCTION("""COMPUTED_VALUE"""),"Bhuji Khola Cascade Hydropower Project")</f>
        <v>Bhuji Khola Cascade Hydropower Project</v>
      </c>
      <c r="C2540" s="2">
        <f>IFERROR(__xludf.DUMMYFUNCTION("""COMPUTED_VALUE"""),4.2)</f>
        <v>4.2</v>
      </c>
      <c r="D2540" s="2" t="str">
        <f>IFERROR(__xludf.DUMMYFUNCTION("""COMPUTED_VALUE"""),"Bhuji Khola")</f>
        <v>Bhuji Khola</v>
      </c>
      <c r="E2540" s="2">
        <f>IFERROR(__xludf.DUMMYFUNCTION("""COMPUTED_VALUE"""),10180.0)</f>
        <v>10180</v>
      </c>
      <c r="F2540" s="3">
        <f>IFERROR(__xludf.DUMMYFUNCTION("""COMPUTED_VALUE"""),66548.0)</f>
        <v>66548</v>
      </c>
      <c r="G2540" s="2" t="str">
        <f>IFERROR(__xludf.DUMMYFUNCTION("""COMPUTED_VALUE"""),"Topkegola Hydropower Private Limited")</f>
        <v>Topkegola Hydropower Private Limited</v>
      </c>
      <c r="H2540" s="2" t="str">
        <f>IFERROR(__xludf.DUMMYFUNCTION("""COMPUTED_VALUE"""),"Madhyapur Thimi - 9, Radhe Radhe, Bhaktapur")</f>
        <v>Madhyapur Thimi - 9, Radhe Radhe, Bhaktapur</v>
      </c>
      <c r="I2540" s="2" t="str">
        <f>IFERROR(__xludf.DUMMYFUNCTION("""COMPUTED_VALUE"""),"28o 20' 15""")</f>
        <v>28o 20' 15"</v>
      </c>
      <c r="J2540" s="2" t="str">
        <f>IFERROR(__xludf.DUMMYFUNCTION("""COMPUTED_VALUE"""),"28o 21' 34""")</f>
        <v>28o 21' 34"</v>
      </c>
      <c r="K2540" s="2" t="str">
        <f>IFERROR(__xludf.DUMMYFUNCTION("""COMPUTED_VALUE"""),"83o 07' 58""")</f>
        <v>83o 07' 58"</v>
      </c>
      <c r="L2540" s="2" t="str">
        <f>IFERROR(__xludf.DUMMYFUNCTION("""COMPUTED_VALUE"""),"83o 10' 00""")</f>
        <v>83o 10' 00"</v>
      </c>
      <c r="M2540" s="2" t="str">
        <f>IFERROR(__xludf.DUMMYFUNCTION("""COMPUTED_VALUE"""),"Adhikarichaur,Burtiwang (Baglung)")</f>
        <v>Adhikarichaur,Burtiwang (Baglung)</v>
      </c>
    </row>
    <row r="2541">
      <c r="A2541" s="2">
        <f>IFERROR(__xludf.DUMMYFUNCTION("""COMPUTED_VALUE"""),2540.0)</f>
        <v>2540</v>
      </c>
      <c r="B2541" s="2" t="str">
        <f>IFERROR(__xludf.DUMMYFUNCTION("""COMPUTED_VALUE"""),"Humla Karnali 3 Hydropower Project")</f>
        <v>Humla Karnali 3 Hydropower Project</v>
      </c>
      <c r="C2541" s="2">
        <f>IFERROR(__xludf.DUMMYFUNCTION("""COMPUTED_VALUE"""),57.18)</f>
        <v>57.18</v>
      </c>
      <c r="D2541" s="2" t="str">
        <f>IFERROR(__xludf.DUMMYFUNCTION("""COMPUTED_VALUE"""),"Humla Karnali")</f>
        <v>Humla Karnali</v>
      </c>
      <c r="E2541" s="2">
        <f>IFERROR(__xludf.DUMMYFUNCTION("""COMPUTED_VALUE"""),10221.0)</f>
        <v>10221</v>
      </c>
      <c r="F2541" s="3">
        <f>IFERROR(__xludf.DUMMYFUNCTION("""COMPUTED_VALUE"""),66550.0)</f>
        <v>66550</v>
      </c>
      <c r="G2541" s="2" t="str">
        <f>IFERROR(__xludf.DUMMYFUNCTION("""COMPUTED_VALUE"""),"Independent Power Company (Nepal) Pvt. Ltd.")</f>
        <v>Independent Power Company (Nepal) Pvt. Ltd.</v>
      </c>
      <c r="H2541" s="2" t="str">
        <f>IFERROR(__xludf.DUMMYFUNCTION("""COMPUTED_VALUE"""),"Lalitpur-3, Dhobighat")</f>
        <v>Lalitpur-3, Dhobighat</v>
      </c>
      <c r="I2541" s="2" t="str">
        <f>IFERROR(__xludf.DUMMYFUNCTION("""COMPUTED_VALUE"""),"29o 52' 44""")</f>
        <v>29o 52' 44"</v>
      </c>
      <c r="J2541" s="2" t="str">
        <f>IFERROR(__xludf.DUMMYFUNCTION("""COMPUTED_VALUE"""),"29o 56' 13""")</f>
        <v>29o 56' 13"</v>
      </c>
      <c r="K2541" s="2" t="str">
        <f>IFERROR(__xludf.DUMMYFUNCTION("""COMPUTED_VALUE"""),"81o 51' 43""")</f>
        <v>81o 51' 43"</v>
      </c>
      <c r="L2541" s="2" t="str">
        <f>IFERROR(__xludf.DUMMYFUNCTION("""COMPUTED_VALUE"""),"81o 53' 24""")</f>
        <v>81o 53' 24"</v>
      </c>
      <c r="M2541" s="2" t="str">
        <f>IFERROR(__xludf.DUMMYFUNCTION("""COMPUTED_VALUE"""),"Kharpunath (Humla)")</f>
        <v>Kharpunath (Humla)</v>
      </c>
    </row>
    <row r="2542">
      <c r="A2542" s="2">
        <f>IFERROR(__xludf.DUMMYFUNCTION("""COMPUTED_VALUE"""),2541.0)</f>
        <v>2541</v>
      </c>
      <c r="B2542" s="2" t="str">
        <f>IFERROR(__xludf.DUMMYFUNCTION("""COMPUTED_VALUE"""),"Jagdulla Phoksundo Hydropower Project")</f>
        <v>Jagdulla Phoksundo Hydropower Project</v>
      </c>
      <c r="C2542" s="2">
        <f>IFERROR(__xludf.DUMMYFUNCTION("""COMPUTED_VALUE"""),65.0)</f>
        <v>65</v>
      </c>
      <c r="D2542" s="2" t="str">
        <f>IFERROR(__xludf.DUMMYFUNCTION("""COMPUTED_VALUE"""),"Jagdulla")</f>
        <v>Jagdulla</v>
      </c>
      <c r="E2542" s="2">
        <f>IFERROR(__xludf.DUMMYFUNCTION("""COMPUTED_VALUE"""),10328.0)</f>
        <v>10328</v>
      </c>
      <c r="F2542" s="3">
        <f>IFERROR(__xludf.DUMMYFUNCTION("""COMPUTED_VALUE"""),66553.0)</f>
        <v>66553</v>
      </c>
      <c r="G2542" s="2" t="str">
        <f>IFERROR(__xludf.DUMMYFUNCTION("""COMPUTED_VALUE"""),"Arun Kumar K.C.")</f>
        <v>Arun Kumar K.C.</v>
      </c>
      <c r="H2542" s="2" t="str">
        <f>IFERROR(__xludf.DUMMYFUNCTION("""COMPUTED_VALUE"""),"Kathmandu-4, Budhanilkantha")</f>
        <v>Kathmandu-4, Budhanilkantha</v>
      </c>
      <c r="I2542" s="2" t="str">
        <f>IFERROR(__xludf.DUMMYFUNCTION("""COMPUTED_VALUE"""),"29o 07' 54""")</f>
        <v>29o 07' 54"</v>
      </c>
      <c r="J2542" s="2" t="str">
        <f>IFERROR(__xludf.DUMMYFUNCTION("""COMPUTED_VALUE"""),"29o 16' 15""")</f>
        <v>29o 16' 15"</v>
      </c>
      <c r="K2542" s="2" t="str">
        <f>IFERROR(__xludf.DUMMYFUNCTION("""COMPUTED_VALUE"""),"82o 35' 01""")</f>
        <v>82o 35' 01"</v>
      </c>
      <c r="L2542" s="2" t="str">
        <f>IFERROR(__xludf.DUMMYFUNCTION("""COMPUTED_VALUE"""),"82o 43' 26""")</f>
        <v>82o 43' 26"</v>
      </c>
      <c r="M2542" s="2"/>
    </row>
    <row r="2543">
      <c r="A2543" s="2">
        <f>IFERROR(__xludf.DUMMYFUNCTION("""COMPUTED_VALUE"""),2542.0)</f>
        <v>2542</v>
      </c>
      <c r="B2543" s="2" t="str">
        <f>IFERROR(__xludf.DUMMYFUNCTION("""COMPUTED_VALUE"""),"kwalunwa khola storage hydropower Project")</f>
        <v>kwalunwa khola storage hydropower Project</v>
      </c>
      <c r="C2543" s="2">
        <f>IFERROR(__xludf.DUMMYFUNCTION("""COMPUTED_VALUE"""),75.0)</f>
        <v>75</v>
      </c>
      <c r="D2543" s="2" t="str">
        <f>IFERROR(__xludf.DUMMYFUNCTION("""COMPUTED_VALUE"""),"Kwalunwa Khola")</f>
        <v>Kwalunwa Khola</v>
      </c>
      <c r="E2543" s="2">
        <f>IFERROR(__xludf.DUMMYFUNCTION("""COMPUTED_VALUE"""),10342.0)</f>
        <v>10342</v>
      </c>
      <c r="F2543" s="3">
        <f>IFERROR(__xludf.DUMMYFUNCTION("""COMPUTED_VALUE"""),66553.0)</f>
        <v>66553</v>
      </c>
      <c r="G2543" s="2" t="str">
        <f>IFERROR(__xludf.DUMMYFUNCTION("""COMPUTED_VALUE"""),"Liberty Energy Company Ltd")</f>
        <v>Liberty Energy Company Ltd</v>
      </c>
      <c r="H2543" s="2" t="str">
        <f>IFERROR(__xludf.DUMMYFUNCTION("""COMPUTED_VALUE"""),"Kathmandu, Nepal")</f>
        <v>Kathmandu, Nepal</v>
      </c>
      <c r="I2543" s="2" t="str">
        <f>IFERROR(__xludf.DUMMYFUNCTION("""COMPUTED_VALUE"""),"29o 59' 42""")</f>
        <v>29o 59' 42"</v>
      </c>
      <c r="J2543" s="2" t="str">
        <f>IFERROR(__xludf.DUMMYFUNCTION("""COMPUTED_VALUE"""),"30o 02' 44""")</f>
        <v>30o 02' 44"</v>
      </c>
      <c r="K2543" s="2" t="str">
        <f>IFERROR(__xludf.DUMMYFUNCTION("""COMPUTED_VALUE"""),"81o 37' 09""")</f>
        <v>81o 37' 09"</v>
      </c>
      <c r="L2543" s="2" t="str">
        <f>IFERROR(__xludf.DUMMYFUNCTION("""COMPUTED_VALUE"""),"81o 41' 15""")</f>
        <v>81o 41' 15"</v>
      </c>
      <c r="M2543" s="2" t="str">
        <f>IFERROR(__xludf.DUMMYFUNCTION("""COMPUTED_VALUE"""),"Hepka,Khagalgaun,Limi,Muchu (Humla)")</f>
        <v>Hepka,Khagalgaun,Limi,Muchu (Humla)</v>
      </c>
    </row>
    <row r="2544">
      <c r="A2544" s="2">
        <f>IFERROR(__xludf.DUMMYFUNCTION("""COMPUTED_VALUE"""),2543.0)</f>
        <v>2543</v>
      </c>
      <c r="B2544" s="2" t="str">
        <f>IFERROR(__xludf.DUMMYFUNCTION("""COMPUTED_VALUE"""),"Kwalunwa Khola Hydroelectric Project")</f>
        <v>Kwalunwa Khola Hydroelectric Project</v>
      </c>
      <c r="C2544" s="2">
        <f>IFERROR(__xludf.DUMMYFUNCTION("""COMPUTED_VALUE"""),6.1)</f>
        <v>6.1</v>
      </c>
      <c r="D2544" s="2" t="str">
        <f>IFERROR(__xludf.DUMMYFUNCTION("""COMPUTED_VALUE"""),"Kwalunwa Khola")</f>
        <v>Kwalunwa Khola</v>
      </c>
      <c r="E2544" s="2">
        <f>IFERROR(__xludf.DUMMYFUNCTION("""COMPUTED_VALUE"""),10351.0)</f>
        <v>10351</v>
      </c>
      <c r="F2544" s="3">
        <f>IFERROR(__xludf.DUMMYFUNCTION("""COMPUTED_VALUE"""),66553.0)</f>
        <v>66553</v>
      </c>
      <c r="G2544" s="2" t="str">
        <f>IFERROR(__xludf.DUMMYFUNCTION("""COMPUTED_VALUE"""),"Ugratara Energy Private Limited")</f>
        <v>Ugratara Energy Private Limited</v>
      </c>
      <c r="H2544" s="2" t="str">
        <f>IFERROR(__xludf.DUMMYFUNCTION("""COMPUTED_VALUE"""),"Kathmandu-10, Buddhanagar")</f>
        <v>Kathmandu-10, Buddhanagar</v>
      </c>
      <c r="I2544" s="2" t="str">
        <f>IFERROR(__xludf.DUMMYFUNCTION("""COMPUTED_VALUE"""),"29o 58' 33""")</f>
        <v>29o 58' 33"</v>
      </c>
      <c r="J2544" s="2" t="str">
        <f>IFERROR(__xludf.DUMMYFUNCTION("""COMPUTED_VALUE"""),"30o 02' 54""")</f>
        <v>30o 02' 54"</v>
      </c>
      <c r="K2544" s="2" t="str">
        <f>IFERROR(__xludf.DUMMYFUNCTION("""COMPUTED_VALUE"""),"81o 37' 18""")</f>
        <v>81o 37' 18"</v>
      </c>
      <c r="L2544" s="2" t="str">
        <f>IFERROR(__xludf.DUMMYFUNCTION("""COMPUTED_VALUE"""),"81o 40' 00""")</f>
        <v>81o 40' 00"</v>
      </c>
      <c r="M2544" s="2" t="str">
        <f>IFERROR(__xludf.DUMMYFUNCTION("""COMPUTED_VALUE"""),"Hepka,Khagalgaun,Limi,Muchu (Humla)")</f>
        <v>Hepka,Khagalgaun,Limi,Muchu (Humla)</v>
      </c>
    </row>
    <row r="2545">
      <c r="A2545" s="2">
        <f>IFERROR(__xludf.DUMMYFUNCTION("""COMPUTED_VALUE"""),2544.0)</f>
        <v>2544</v>
      </c>
      <c r="B2545" s="2" t="str">
        <f>IFERROR(__xludf.DUMMYFUNCTION("""COMPUTED_VALUE"""),"Obregad Hydropower Project")</f>
        <v>Obregad Hydropower Project</v>
      </c>
      <c r="C2545" s="2">
        <f>IFERROR(__xludf.DUMMYFUNCTION("""COMPUTED_VALUE"""),9.1)</f>
        <v>9.1</v>
      </c>
      <c r="D2545" s="2" t="str">
        <f>IFERROR(__xludf.DUMMYFUNCTION("""COMPUTED_VALUE"""),"Obregad Khola")</f>
        <v>Obregad Khola</v>
      </c>
      <c r="E2545" s="2">
        <f>IFERROR(__xludf.DUMMYFUNCTION("""COMPUTED_VALUE"""),10411.0)</f>
        <v>10411</v>
      </c>
      <c r="F2545" s="3">
        <f>IFERROR(__xludf.DUMMYFUNCTION("""COMPUTED_VALUE"""),66554.0)</f>
        <v>66554</v>
      </c>
      <c r="G2545" s="2" t="str">
        <f>IFERROR(__xludf.DUMMYFUNCTION("""COMPUTED_VALUE"""),"Ruby Energy Private Limited")</f>
        <v>Ruby Energy Private Limited</v>
      </c>
      <c r="H2545" s="2" t="str">
        <f>IFERROR(__xludf.DUMMYFUNCTION("""COMPUTED_VALUE"""),"Kathmandu-15, Nepal")</f>
        <v>Kathmandu-15, Nepal</v>
      </c>
      <c r="I2545" s="2" t="str">
        <f>IFERROR(__xludf.DUMMYFUNCTION("""COMPUTED_VALUE"""),"29o 17' 43""")</f>
        <v>29o 17' 43"</v>
      </c>
      <c r="J2545" s="2" t="str">
        <f>IFERROR(__xludf.DUMMYFUNCTION("""COMPUTED_VALUE"""),"29o 18' 36""")</f>
        <v>29o 18' 36"</v>
      </c>
      <c r="K2545" s="2" t="str">
        <f>IFERROR(__xludf.DUMMYFUNCTION("""COMPUTED_VALUE"""),"82o 17' 13""")</f>
        <v>82o 17' 13"</v>
      </c>
      <c r="L2545" s="2" t="str">
        <f>IFERROR(__xludf.DUMMYFUNCTION("""COMPUTED_VALUE"""),"82o 20' 15""")</f>
        <v>82o 20' 15"</v>
      </c>
      <c r="M2545" s="2" t="str">
        <f>IFERROR(__xludf.DUMMYFUNCTION("""COMPUTED_VALUE"""),"Chhumchaur,Dillichaur,Patmara (Jumla)")</f>
        <v>Chhumchaur,Dillichaur,Patmara (Jumla)</v>
      </c>
    </row>
    <row r="2546">
      <c r="A2546" s="2">
        <f>IFERROR(__xludf.DUMMYFUNCTION("""COMPUTED_VALUE"""),2545.0)</f>
        <v>2545</v>
      </c>
      <c r="B2546" s="2" t="str">
        <f>IFERROR(__xludf.DUMMYFUNCTION("""COMPUTED_VALUE"""),"Madhya Indrawati Hydropower Project")</f>
        <v>Madhya Indrawati Hydropower Project</v>
      </c>
      <c r="C2546" s="2">
        <f>IFERROR(__xludf.DUMMYFUNCTION("""COMPUTED_VALUE"""),6.65)</f>
        <v>6.65</v>
      </c>
      <c r="D2546" s="2" t="str">
        <f>IFERROR(__xludf.DUMMYFUNCTION("""COMPUTED_VALUE"""),"Indrawati")</f>
        <v>Indrawati</v>
      </c>
      <c r="E2546" s="2">
        <f>IFERROR(__xludf.DUMMYFUNCTION("""COMPUTED_VALUE"""),10540.0)</f>
        <v>10540</v>
      </c>
      <c r="F2546" s="3">
        <f>IFERROR(__xludf.DUMMYFUNCTION("""COMPUTED_VALUE"""),66557.0)</f>
        <v>66557</v>
      </c>
      <c r="G2546" s="2" t="str">
        <f>IFERROR(__xludf.DUMMYFUNCTION("""COMPUTED_VALUE"""),"Prabhu Steels And Hydro Investment Company Limited")</f>
        <v>Prabhu Steels And Hydro Investment Company Limited</v>
      </c>
      <c r="H2546" s="2" t="str">
        <f>IFERROR(__xludf.DUMMYFUNCTION("""COMPUTED_VALUE"""),"Tinkune, Kathmandu")</f>
        <v>Tinkune, Kathmandu</v>
      </c>
      <c r="I2546" s="2" t="str">
        <f>IFERROR(__xludf.DUMMYFUNCTION("""COMPUTED_VALUE"""),"27o 54' 35""")</f>
        <v>27o 54' 35"</v>
      </c>
      <c r="J2546" s="2" t="str">
        <f>IFERROR(__xludf.DUMMYFUNCTION("""COMPUTED_VALUE"""),"27o 55' 30""")</f>
        <v>27o 55' 30"</v>
      </c>
      <c r="K2546" s="2" t="str">
        <f>IFERROR(__xludf.DUMMYFUNCTION("""COMPUTED_VALUE"""),"85o 37' 15""")</f>
        <v>85o 37' 15"</v>
      </c>
      <c r="L2546" s="2" t="str">
        <f>IFERROR(__xludf.DUMMYFUNCTION("""COMPUTED_VALUE"""),"85o 38' 55""")</f>
        <v>85o 38' 55"</v>
      </c>
      <c r="M2546" s="2" t="str">
        <f>IFERROR(__xludf.DUMMYFUNCTION("""COMPUTED_VALUE"""),"Baruwa,Banskharka,Thampal Dhap (Sindhupalchok)")</f>
        <v>Baruwa,Banskharka,Thampal Dhap (Sindhupalchok)</v>
      </c>
    </row>
    <row r="2547">
      <c r="A2547" s="2">
        <f>IFERROR(__xludf.DUMMYFUNCTION("""COMPUTED_VALUE"""),2546.0)</f>
        <v>2546</v>
      </c>
      <c r="B2547" s="2" t="str">
        <f>IFERROR(__xludf.DUMMYFUNCTION("""COMPUTED_VALUE"""),"Dudhkoshi - 9 Hydroelectric Project")</f>
        <v>Dudhkoshi - 9 Hydroelectric Project</v>
      </c>
      <c r="C2547" s="2">
        <f>IFERROR(__xludf.DUMMYFUNCTION("""COMPUTED_VALUE"""),166.0)</f>
        <v>166</v>
      </c>
      <c r="D2547" s="2" t="str">
        <f>IFERROR(__xludf.DUMMYFUNCTION("""COMPUTED_VALUE"""),"Dudhkoshi")</f>
        <v>Dudhkoshi</v>
      </c>
      <c r="E2547" s="2">
        <f>IFERROR(__xludf.DUMMYFUNCTION("""COMPUTED_VALUE"""),10541.0)</f>
        <v>10541</v>
      </c>
      <c r="F2547" s="3">
        <f>IFERROR(__xludf.DUMMYFUNCTION("""COMPUTED_VALUE"""),66557.0)</f>
        <v>66557</v>
      </c>
      <c r="G2547" s="2" t="str">
        <f>IFERROR(__xludf.DUMMYFUNCTION("""COMPUTED_VALUE"""),"Dudhkoshi Power Company Private Limited")</f>
        <v>Dudhkoshi Power Company Private Limited</v>
      </c>
      <c r="H2547" s="2" t="str">
        <f>IFERROR(__xludf.DUMMYFUNCTION("""COMPUTED_VALUE"""),"Lalitpur-3, Lalitpur")</f>
        <v>Lalitpur-3, Lalitpur</v>
      </c>
      <c r="I2547" s="2" t="str">
        <f>IFERROR(__xludf.DUMMYFUNCTION("""COMPUTED_VALUE"""),"27o 41' 56""")</f>
        <v>27o 41' 56"</v>
      </c>
      <c r="J2547" s="2" t="str">
        <f>IFERROR(__xludf.DUMMYFUNCTION("""COMPUTED_VALUE"""),"27o 46' 30""")</f>
        <v>27o 46' 30"</v>
      </c>
      <c r="K2547" s="2" t="str">
        <f>IFERROR(__xludf.DUMMYFUNCTION("""COMPUTED_VALUE"""),"86o 41' 58""")</f>
        <v>86o 41' 58"</v>
      </c>
      <c r="L2547" s="2" t="str">
        <f>IFERROR(__xludf.DUMMYFUNCTION("""COMPUTED_VALUE"""),"86o 44' 00""")</f>
        <v>86o 44' 00"</v>
      </c>
      <c r="M2547" s="2" t="str">
        <f>IFERROR(__xludf.DUMMYFUNCTION("""COMPUTED_VALUE"""),"Chaurikharka (Solukhumbu)")</f>
        <v>Chaurikharka (Solukhumbu)</v>
      </c>
    </row>
    <row r="2548">
      <c r="A2548" s="2">
        <f>IFERROR(__xludf.DUMMYFUNCTION("""COMPUTED_VALUE"""),2547.0)</f>
        <v>2547</v>
      </c>
      <c r="B2548" s="2" t="str">
        <f>IFERROR(__xludf.DUMMYFUNCTION("""COMPUTED_VALUE"""),"Sadhu Khola Hydroelectric Project")</f>
        <v>Sadhu Khola Hydroelectric Project</v>
      </c>
      <c r="C2548" s="2">
        <f>IFERROR(__xludf.DUMMYFUNCTION("""COMPUTED_VALUE"""),8.5)</f>
        <v>8.5</v>
      </c>
      <c r="D2548" s="2" t="str">
        <f>IFERROR(__xludf.DUMMYFUNCTION("""COMPUTED_VALUE"""),"Sadhu Khola")</f>
        <v>Sadhu Khola</v>
      </c>
      <c r="E2548" s="2">
        <f>IFERROR(__xludf.DUMMYFUNCTION("""COMPUTED_VALUE"""),10616.0)</f>
        <v>10616</v>
      </c>
      <c r="F2548" s="3">
        <f>IFERROR(__xludf.DUMMYFUNCTION("""COMPUTED_VALUE"""),66559.0)</f>
        <v>66559</v>
      </c>
      <c r="G2548" s="2" t="str">
        <f>IFERROR(__xludf.DUMMYFUNCTION("""COMPUTED_VALUE"""),"Shuvankit Hydropower Private Limited")</f>
        <v>Shuvankit Hydropower Private Limited</v>
      </c>
      <c r="H2548" s="2" t="str">
        <f>IFERROR(__xludf.DUMMYFUNCTION("""COMPUTED_VALUE"""),"Pokhara Municipality-7, Mustangchowk, 01-5420254, 5907254")</f>
        <v>Pokhara Municipality-7, Mustangchowk, 01-5420254, 5907254</v>
      </c>
      <c r="I2548" s="2" t="str">
        <f>IFERROR(__xludf.DUMMYFUNCTION("""COMPUTED_VALUE"""),"28o 25' 57""")</f>
        <v>28o 25' 57"</v>
      </c>
      <c r="J2548" s="2" t="str">
        <f>IFERROR(__xludf.DUMMYFUNCTION("""COMPUTED_VALUE"""),"28o 26' 23""")</f>
        <v>28o 26' 23"</v>
      </c>
      <c r="K2548" s="2" t="str">
        <f>IFERROR(__xludf.DUMMYFUNCTION("""COMPUTED_VALUE"""),"83o 58' 37""")</f>
        <v>83o 58' 37"</v>
      </c>
      <c r="L2548" s="2" t="str">
        <f>IFERROR(__xludf.DUMMYFUNCTION("""COMPUTED_VALUE"""),"83o 59' 45""")</f>
        <v>83o 59' 45"</v>
      </c>
      <c r="M2548" s="2" t="str">
        <f>IFERROR(__xludf.DUMMYFUNCTION("""COMPUTED_VALUE"""),"Machhapuchchhre (Kaski)")</f>
        <v>Machhapuchchhre (Kaski)</v>
      </c>
    </row>
    <row r="2549">
      <c r="A2549" s="2">
        <f>IFERROR(__xludf.DUMMYFUNCTION("""COMPUTED_VALUE"""),2548.0)</f>
        <v>2548</v>
      </c>
      <c r="B2549" s="2" t="str">
        <f>IFERROR(__xludf.DUMMYFUNCTION("""COMPUTED_VALUE"""),"Nunthala Deku Khola PRoR Hydropower Project")</f>
        <v>Nunthala Deku Khola PRoR Hydropower Project</v>
      </c>
      <c r="C2549" s="2">
        <f>IFERROR(__xludf.DUMMYFUNCTION("""COMPUTED_VALUE"""),3.5)</f>
        <v>3.5</v>
      </c>
      <c r="D2549" s="2" t="str">
        <f>IFERROR(__xludf.DUMMYFUNCTION("""COMPUTED_VALUE"""),"Deku")</f>
        <v>Deku</v>
      </c>
      <c r="E2549" s="2">
        <f>IFERROR(__xludf.DUMMYFUNCTION("""COMPUTED_VALUE"""),10620.0)</f>
        <v>10620</v>
      </c>
      <c r="F2549" s="3">
        <f>IFERROR(__xludf.DUMMYFUNCTION("""COMPUTED_VALUE"""),66559.0)</f>
        <v>66559</v>
      </c>
      <c r="G2549" s="2" t="str">
        <f>IFERROR(__xludf.DUMMYFUNCTION("""COMPUTED_VALUE"""),"Black Hole Energy Private Limited")</f>
        <v>Black Hole Energy Private Limited</v>
      </c>
      <c r="H2549" s="2" t="str">
        <f>IFERROR(__xludf.DUMMYFUNCTION("""COMPUTED_VALUE"""),"KMC - 32, Kathmandu")</f>
        <v>KMC - 32, Kathmandu</v>
      </c>
      <c r="I2549" s="2" t="str">
        <f>IFERROR(__xludf.DUMMYFUNCTION("""COMPUTED_VALUE"""),"27o 34' 45""")</f>
        <v>27o 34' 45"</v>
      </c>
      <c r="J2549" s="2" t="str">
        <f>IFERROR(__xludf.DUMMYFUNCTION("""COMPUTED_VALUE"""),"28o 36' 23""")</f>
        <v>28o 36' 23"</v>
      </c>
      <c r="K2549" s="2" t="str">
        <f>IFERROR(__xludf.DUMMYFUNCTION("""COMPUTED_VALUE"""),"86o 38' 16""")</f>
        <v>86o 38' 16"</v>
      </c>
      <c r="L2549" s="2" t="str">
        <f>IFERROR(__xludf.DUMMYFUNCTION("""COMPUTED_VALUE"""),"86o 40' 57""")</f>
        <v>86o 40' 57"</v>
      </c>
      <c r="M2549" s="2"/>
    </row>
    <row r="2550">
      <c r="A2550" s="2">
        <f>IFERROR(__xludf.DUMMYFUNCTION("""COMPUTED_VALUE"""),2549.0)</f>
        <v>2549</v>
      </c>
      <c r="B2550" s="2" t="str">
        <f>IFERROR(__xludf.DUMMYFUNCTION("""COMPUTED_VALUE"""),"Rahagad-1 PRoR Hydropower Project")</f>
        <v>Rahagad-1 PRoR Hydropower Project</v>
      </c>
      <c r="C2550" s="2">
        <f>IFERROR(__xludf.DUMMYFUNCTION("""COMPUTED_VALUE"""),9.56)</f>
        <v>9.56</v>
      </c>
      <c r="D2550" s="2" t="str">
        <f>IFERROR(__xludf.DUMMYFUNCTION("""COMPUTED_VALUE"""),"Raha Gad")</f>
        <v>Raha Gad</v>
      </c>
      <c r="E2550" s="2">
        <f>IFERROR(__xludf.DUMMYFUNCTION("""COMPUTED_VALUE"""),10628.0)</f>
        <v>10628</v>
      </c>
      <c r="F2550" s="3">
        <f>IFERROR(__xludf.DUMMYFUNCTION("""COMPUTED_VALUE"""),66559.0)</f>
        <v>66559</v>
      </c>
      <c r="G2550" s="2" t="str">
        <f>IFERROR(__xludf.DUMMYFUNCTION("""COMPUTED_VALUE"""),"Monal Energy Development Pvt. Ltd")</f>
        <v>Monal Energy Development Pvt. Ltd</v>
      </c>
      <c r="H2550" s="2" t="str">
        <f>IFERROR(__xludf.DUMMYFUNCTION("""COMPUTED_VALUE"""),"Kathmandu-10")</f>
        <v>Kathmandu-10</v>
      </c>
      <c r="I2550" s="2" t="str">
        <f>IFERROR(__xludf.DUMMYFUNCTION("""COMPUTED_VALUE"""),"29o 07' 59""")</f>
        <v>29o 07' 59"</v>
      </c>
      <c r="J2550" s="2" t="str">
        <f>IFERROR(__xludf.DUMMYFUNCTION("""COMPUTED_VALUE"""),"29o 09' 35""")</f>
        <v>29o 09' 35"</v>
      </c>
      <c r="K2550" s="2" t="str">
        <f>IFERROR(__xludf.DUMMYFUNCTION("""COMPUTED_VALUE"""),"81o 32' 50""")</f>
        <v>81o 32' 50"</v>
      </c>
      <c r="L2550" s="2" t="str">
        <f>IFERROR(__xludf.DUMMYFUNCTION("""COMPUTED_VALUE"""),"81o 35' 10""")</f>
        <v>81o 35' 10"</v>
      </c>
      <c r="M2550" s="2" t="str">
        <f>IFERROR(__xludf.DUMMYFUNCTION("""COMPUTED_VALUE"""),"Kotbada,Kumalgaun,Rupsa (Kalikot)")</f>
        <v>Kotbada,Kumalgaun,Rupsa (Kalikot)</v>
      </c>
    </row>
    <row r="2551">
      <c r="A2551" s="2">
        <f>IFERROR(__xludf.DUMMYFUNCTION("""COMPUTED_VALUE"""),2550.0)</f>
        <v>2550</v>
      </c>
      <c r="B2551" s="2" t="str">
        <f>IFERROR(__xludf.DUMMYFUNCTION("""COMPUTED_VALUE"""),"Bhurundi Khola Cascade Hydroelectric Project")</f>
        <v>Bhurundi Khola Cascade Hydroelectric Project</v>
      </c>
      <c r="C2551" s="2">
        <f>IFERROR(__xludf.DUMMYFUNCTION("""COMPUTED_VALUE"""),5.0)</f>
        <v>5</v>
      </c>
      <c r="D2551" s="2" t="str">
        <f>IFERROR(__xludf.DUMMYFUNCTION("""COMPUTED_VALUE"""),"Bhurundi Khola")</f>
        <v>Bhurundi Khola</v>
      </c>
      <c r="E2551" s="2">
        <f>IFERROR(__xludf.DUMMYFUNCTION("""COMPUTED_VALUE"""),10750.0)</f>
        <v>10750</v>
      </c>
      <c r="F2551" s="3">
        <f>IFERROR(__xludf.DUMMYFUNCTION("""COMPUTED_VALUE"""),66564.0)</f>
        <v>66564</v>
      </c>
      <c r="G2551" s="2" t="str">
        <f>IFERROR(__xludf.DUMMYFUNCTION("""COMPUTED_VALUE"""),"Aarati Hydropower Private Limited")</f>
        <v>Aarati Hydropower Private Limited</v>
      </c>
      <c r="H2551" s="2" t="str">
        <f>IFERROR(__xludf.DUMMYFUNCTION("""COMPUTED_VALUE"""),"KMC-32, Kathmandu")</f>
        <v>KMC-32, Kathmandu</v>
      </c>
      <c r="I2551" s="2" t="str">
        <f>IFERROR(__xludf.DUMMYFUNCTION("""COMPUTED_VALUE"""),"28o 18' 30""")</f>
        <v>28o 18' 30"</v>
      </c>
      <c r="J2551" s="2" t="str">
        <f>IFERROR(__xludf.DUMMYFUNCTION("""COMPUTED_VALUE"""),"28o 19' 37""")</f>
        <v>28o 19' 37"</v>
      </c>
      <c r="K2551" s="2" t="str">
        <f>IFERROR(__xludf.DUMMYFUNCTION("""COMPUTED_VALUE"""),"83o 45' 00""")</f>
        <v>83o 45' 00"</v>
      </c>
      <c r="L2551" s="2" t="str">
        <f>IFERROR(__xludf.DUMMYFUNCTION("""COMPUTED_VALUE"""),"83o 46' 35""")</f>
        <v>83o 46' 35"</v>
      </c>
      <c r="M2551" s="2" t="str">
        <f>IFERROR(__xludf.DUMMYFUNCTION("""COMPUTED_VALUE"""),"Dangsing (Kaski)")</f>
        <v>Dangsing (Kaski)</v>
      </c>
    </row>
    <row r="2552">
      <c r="A2552" s="2">
        <f>IFERROR(__xludf.DUMMYFUNCTION("""COMPUTED_VALUE"""),2551.0)</f>
        <v>2551</v>
      </c>
      <c r="B2552" s="2" t="str">
        <f>IFERROR(__xludf.DUMMYFUNCTION("""COMPUTED_VALUE"""),"Trishuli Kamana Hydropower Project")</f>
        <v>Trishuli Kamana Hydropower Project</v>
      </c>
      <c r="C2552" s="2">
        <f>IFERROR(__xludf.DUMMYFUNCTION("""COMPUTED_VALUE"""),102.0)</f>
        <v>102</v>
      </c>
      <c r="D2552" s="2" t="str">
        <f>IFERROR(__xludf.DUMMYFUNCTION("""COMPUTED_VALUE"""),"Trishuli")</f>
        <v>Trishuli</v>
      </c>
      <c r="E2552" s="2">
        <f>IFERROR(__xludf.DUMMYFUNCTION("""COMPUTED_VALUE"""),10751.0)</f>
        <v>10751</v>
      </c>
      <c r="F2552" s="3">
        <f>IFERROR(__xludf.DUMMYFUNCTION("""COMPUTED_VALUE"""),66564.0)</f>
        <v>66564</v>
      </c>
      <c r="G2552" s="2" t="str">
        <f>IFERROR(__xludf.DUMMYFUNCTION("""COMPUTED_VALUE"""),"Mayur Energy Development Group Private Limited")</f>
        <v>Mayur Energy Development Group Private Limited</v>
      </c>
      <c r="H2552" s="2" t="str">
        <f>IFERROR(__xludf.DUMMYFUNCTION("""COMPUTED_VALUE"""),"KMC-10, Kathmandu")</f>
        <v>KMC-10, Kathmandu</v>
      </c>
      <c r="I2552" s="2" t="str">
        <f>IFERROR(__xludf.DUMMYFUNCTION("""COMPUTED_VALUE"""),"27o 51' 07""")</f>
        <v>27o 51' 07"</v>
      </c>
      <c r="J2552" s="2" t="str">
        <f>IFERROR(__xludf.DUMMYFUNCTION("""COMPUTED_VALUE"""),"27o 52' 57""")</f>
        <v>27o 52' 57"</v>
      </c>
      <c r="K2552" s="2" t="str">
        <f>IFERROR(__xludf.DUMMYFUNCTION("""COMPUTED_VALUE"""),"84o 33' 52""")</f>
        <v>84o 33' 52"</v>
      </c>
      <c r="L2552" s="2" t="str">
        <f>IFERROR(__xludf.DUMMYFUNCTION("""COMPUTED_VALUE"""),"84o 38' 14""")</f>
        <v>84o 38' 14"</v>
      </c>
      <c r="M2552" s="2" t="str">
        <f>IFERROR(__xludf.DUMMYFUNCTION("""COMPUTED_VALUE"""),"Darechauk,Chandi Bhanjyang (Chitawan) Makaising,Taklung,Manakamana (Gorkha)")</f>
        <v>Darechauk,Chandi Bhanjyang (Chitawan) Makaising,Taklung,Manakamana (Gorkha)</v>
      </c>
    </row>
    <row r="2553">
      <c r="A2553" s="2">
        <f>IFERROR(__xludf.DUMMYFUNCTION("""COMPUTED_VALUE"""),2552.0)</f>
        <v>2552</v>
      </c>
      <c r="B2553" s="2" t="str">
        <f>IFERROR(__xludf.DUMMYFUNCTION("""COMPUTED_VALUE"""),"Upper Humla Karnali Hydropower Project")</f>
        <v>Upper Humla Karnali Hydropower Project</v>
      </c>
      <c r="C2553" s="2">
        <f>IFERROR(__xludf.DUMMYFUNCTION("""COMPUTED_VALUE"""),40.85)</f>
        <v>40.85</v>
      </c>
      <c r="D2553" s="2" t="str">
        <f>IFERROR(__xludf.DUMMYFUNCTION("""COMPUTED_VALUE"""),"Humla Karnali")</f>
        <v>Humla Karnali</v>
      </c>
      <c r="E2553" s="2">
        <f>IFERROR(__xludf.DUMMYFUNCTION("""COMPUTED_VALUE"""),10870.0)</f>
        <v>10870</v>
      </c>
      <c r="F2553" s="3">
        <f>IFERROR(__xludf.DUMMYFUNCTION("""COMPUTED_VALUE"""),66566.0)</f>
        <v>66566</v>
      </c>
      <c r="G2553" s="2" t="str">
        <f>IFERROR(__xludf.DUMMYFUNCTION("""COMPUTED_VALUE"""),"Shwet Pushpa Urja Pvt. Ltd")</f>
        <v>Shwet Pushpa Urja Pvt. Ltd</v>
      </c>
      <c r="H2553" s="2" t="str">
        <f>IFERROR(__xludf.DUMMYFUNCTION("""COMPUTED_VALUE"""),"Kathmandu-32, Koteshwor")</f>
        <v>Kathmandu-32, Koteshwor</v>
      </c>
      <c r="I2553" s="2" t="str">
        <f>IFERROR(__xludf.DUMMYFUNCTION("""COMPUTED_VALUE"""),"30o 06' 06""")</f>
        <v>30o 06' 06"</v>
      </c>
      <c r="J2553" s="2" t="str">
        <f>IFERROR(__xludf.DUMMYFUNCTION("""COMPUTED_VALUE"""),"30o 07' 17""")</f>
        <v>30o 07' 17"</v>
      </c>
      <c r="K2553" s="2" t="str">
        <f>IFERROR(__xludf.DUMMYFUNCTION("""COMPUTED_VALUE"""),"81o 30' 00""")</f>
        <v>81o 30' 00"</v>
      </c>
      <c r="L2553" s="2" t="str">
        <f>IFERROR(__xludf.DUMMYFUNCTION("""COMPUTED_VALUE"""),"81o 33' 35""")</f>
        <v>81o 33' 35"</v>
      </c>
      <c r="M2553" s="2" t="str">
        <f>IFERROR(__xludf.DUMMYFUNCTION("""COMPUTED_VALUE"""),"Muchu,Khagalgaun,Hepka,Limi (Humla)")</f>
        <v>Muchu,Khagalgaun,Hepka,Limi (Humla)</v>
      </c>
    </row>
    <row r="2554">
      <c r="A2554" s="2">
        <f>IFERROR(__xludf.DUMMYFUNCTION("""COMPUTED_VALUE"""),2553.0)</f>
        <v>2553</v>
      </c>
      <c r="B2554" s="2" t="str">
        <f>IFERROR(__xludf.DUMMYFUNCTION("""COMPUTED_VALUE"""),"Gaddigad Hydropower Project")</f>
        <v>Gaddigad Hydropower Project</v>
      </c>
      <c r="C2554" s="2">
        <f>IFERROR(__xludf.DUMMYFUNCTION("""COMPUTED_VALUE"""),4.87)</f>
        <v>4.87</v>
      </c>
      <c r="D2554" s="2" t="str">
        <f>IFERROR(__xludf.DUMMYFUNCTION("""COMPUTED_VALUE"""),"Gaddi Gad")</f>
        <v>Gaddi Gad</v>
      </c>
      <c r="E2554" s="2">
        <f>IFERROR(__xludf.DUMMYFUNCTION("""COMPUTED_VALUE"""),154.0)</f>
        <v>154</v>
      </c>
      <c r="F2554" s="3">
        <f>IFERROR(__xludf.DUMMYFUNCTION("""COMPUTED_VALUE"""),66571.0)</f>
        <v>66571</v>
      </c>
      <c r="G2554" s="2" t="str">
        <f>IFERROR(__xludf.DUMMYFUNCTION("""COMPUTED_VALUE"""),"Narayan Bahadur Khatri")</f>
        <v>Narayan Bahadur Khatri</v>
      </c>
      <c r="H2554" s="2" t="str">
        <f>IFERROR(__xludf.DUMMYFUNCTION("""COMPUTED_VALUE"""),"Bu.Na. Pa., Kathmandu,9851045719")</f>
        <v>Bu.Na. Pa., Kathmandu,9851045719</v>
      </c>
      <c r="I2554" s="2" t="str">
        <f>IFERROR(__xludf.DUMMYFUNCTION("""COMPUTED_VALUE"""),"29o 13' 10""")</f>
        <v>29o 13' 10"</v>
      </c>
      <c r="J2554" s="2" t="str">
        <f>IFERROR(__xludf.DUMMYFUNCTION("""COMPUTED_VALUE"""),"29o 15' 20""")</f>
        <v>29o 15' 20"</v>
      </c>
      <c r="K2554" s="2" t="str">
        <f>IFERROR(__xludf.DUMMYFUNCTION("""COMPUTED_VALUE"""),"81o 01' 54""")</f>
        <v>81o 01' 54"</v>
      </c>
      <c r="L2554" s="2" t="str">
        <f>IFERROR(__xludf.DUMMYFUNCTION("""COMPUTED_VALUE"""),"81o 03' 24""")</f>
        <v>81o 03' 24"</v>
      </c>
      <c r="M2554" s="2"/>
    </row>
    <row r="2555">
      <c r="A2555" s="2">
        <f>IFERROR(__xludf.DUMMYFUNCTION("""COMPUTED_VALUE"""),2554.0)</f>
        <v>2554</v>
      </c>
      <c r="B2555" s="2" t="str">
        <f>IFERROR(__xludf.DUMMYFUNCTION("""COMPUTED_VALUE"""),"Nupche Khola PRoR Hydropower Project")</f>
        <v>Nupche Khola PRoR Hydropower Project</v>
      </c>
      <c r="C2555" s="2">
        <f>IFERROR(__xludf.DUMMYFUNCTION("""COMPUTED_VALUE"""),9.8)</f>
        <v>9.8</v>
      </c>
      <c r="D2555" s="2" t="str">
        <f>IFERROR(__xludf.DUMMYFUNCTION("""COMPUTED_VALUE"""),"Nupche Khola")</f>
        <v>Nupche Khola</v>
      </c>
      <c r="E2555" s="2">
        <f>IFERROR(__xludf.DUMMYFUNCTION("""COMPUTED_VALUE"""),379.0)</f>
        <v>379</v>
      </c>
      <c r="F2555" s="3">
        <f>IFERROR(__xludf.DUMMYFUNCTION("""COMPUTED_VALUE"""),66574.0)</f>
        <v>66574</v>
      </c>
      <c r="G2555" s="2" t="str">
        <f>IFERROR(__xludf.DUMMYFUNCTION("""COMPUTED_VALUE"""),"Numbur Nupche Hydropower Private Limited")</f>
        <v>Numbur Nupche Hydropower Private Limited</v>
      </c>
      <c r="H2555" s="2" t="str">
        <f>IFERROR(__xludf.DUMMYFUNCTION("""COMPUTED_VALUE"""),"KMC-10, Kathmandu")</f>
        <v>KMC-10, Kathmandu</v>
      </c>
      <c r="I2555" s="2" t="str">
        <f>IFERROR(__xludf.DUMMYFUNCTION("""COMPUTED_VALUE"""),"27o 43' 38""")</f>
        <v>27o 43' 38"</v>
      </c>
      <c r="J2555" s="2" t="str">
        <f>IFERROR(__xludf.DUMMYFUNCTION("""COMPUTED_VALUE"""),"27o 46' 10""")</f>
        <v>27o 46' 10"</v>
      </c>
      <c r="K2555" s="2" t="str">
        <f>IFERROR(__xludf.DUMMYFUNCTION("""COMPUTED_VALUE"""),"86o 26' 49""")</f>
        <v>86o 26' 49"</v>
      </c>
      <c r="L2555" s="2" t="str">
        <f>IFERROR(__xludf.DUMMYFUNCTION("""COMPUTED_VALUE"""),"86o 28' 40""")</f>
        <v>86o 28' 40"</v>
      </c>
      <c r="M2555" s="2" t="str">
        <f>IFERROR(__xludf.DUMMYFUNCTION("""COMPUTED_VALUE"""),"Gumdel (Ramechhap)")</f>
        <v>Gumdel (Ramechhap)</v>
      </c>
    </row>
    <row r="2556">
      <c r="A2556" s="2">
        <f>IFERROR(__xludf.DUMMYFUNCTION("""COMPUTED_VALUE"""),2555.0)</f>
        <v>2555</v>
      </c>
      <c r="B2556" s="2" t="str">
        <f>IFERROR(__xludf.DUMMYFUNCTION("""COMPUTED_VALUE"""),"Madhya Marsyangdi Khola E Hydropower Project")</f>
        <v>Madhya Marsyangdi Khola E Hydropower Project</v>
      </c>
      <c r="C2556" s="2">
        <f>IFERROR(__xludf.DUMMYFUNCTION("""COMPUTED_VALUE"""),48.0)</f>
        <v>48</v>
      </c>
      <c r="D2556" s="2" t="str">
        <f>IFERROR(__xludf.DUMMYFUNCTION("""COMPUTED_VALUE"""),"Marsyangdi")</f>
        <v>Marsyangdi</v>
      </c>
      <c r="E2556" s="2">
        <f>IFERROR(__xludf.DUMMYFUNCTION("""COMPUTED_VALUE"""),390.0)</f>
        <v>390</v>
      </c>
      <c r="F2556" s="3">
        <f>IFERROR(__xludf.DUMMYFUNCTION("""COMPUTED_VALUE"""),66574.0)</f>
        <v>66574</v>
      </c>
      <c r="G2556" s="2" t="str">
        <f>IFERROR(__xludf.DUMMYFUNCTION("""COMPUTED_VALUE"""),"Vision Lumbini Limited")</f>
        <v>Vision Lumbini Limited</v>
      </c>
      <c r="H2556" s="2" t="str">
        <f>IFERROR(__xludf.DUMMYFUNCTION("""COMPUTED_VALUE"""),"Butwal Submetropolitan City, Rupandehi")</f>
        <v>Butwal Submetropolitan City, Rupandehi</v>
      </c>
      <c r="I2556" s="2" t="str">
        <f>IFERROR(__xludf.DUMMYFUNCTION("""COMPUTED_VALUE"""),"28o 15' 21""")</f>
        <v>28o 15' 21"</v>
      </c>
      <c r="J2556" s="2" t="str">
        <f>IFERROR(__xludf.DUMMYFUNCTION("""COMPUTED_VALUE"""),"28o 17' 38""")</f>
        <v>28o 17' 38"</v>
      </c>
      <c r="K2556" s="2" t="str">
        <f>IFERROR(__xludf.DUMMYFUNCTION("""COMPUTED_VALUE"""),"84o 20' 37""")</f>
        <v>84o 20' 37"</v>
      </c>
      <c r="L2556" s="2" t="str">
        <f>IFERROR(__xludf.DUMMYFUNCTION("""COMPUTED_VALUE"""),"84o 22' 48""")</f>
        <v>84o 22' 48"</v>
      </c>
      <c r="M2556" s="2" t="str">
        <f>IFERROR(__xludf.DUMMYFUNCTION("""COMPUTED_VALUE"""),"Simpani,Khudi,Bhulbhule,Bajhakhet,Chandisthan (Lamjung)")</f>
        <v>Simpani,Khudi,Bhulbhule,Bajhakhet,Chandisthan (Lamjung)</v>
      </c>
    </row>
    <row r="2557">
      <c r="A2557" s="2">
        <f>IFERROR(__xludf.DUMMYFUNCTION("""COMPUTED_VALUE"""),2556.0)</f>
        <v>2556</v>
      </c>
      <c r="B2557" s="2" t="str">
        <f>IFERROR(__xludf.DUMMYFUNCTION("""COMPUTED_VALUE"""),"Ghustung Khola Hydroelectric Project")</f>
        <v>Ghustung Khola Hydroelectric Project</v>
      </c>
      <c r="C2557" s="2">
        <f>IFERROR(__xludf.DUMMYFUNCTION("""COMPUTED_VALUE"""),4.9)</f>
        <v>4.9</v>
      </c>
      <c r="D2557" s="2" t="str">
        <f>IFERROR(__xludf.DUMMYFUNCTION("""COMPUTED_VALUE"""),"Ghustung Khola")</f>
        <v>Ghustung Khola</v>
      </c>
      <c r="E2557" s="2">
        <f>IFERROR(__xludf.DUMMYFUNCTION("""COMPUTED_VALUE"""),500.0)</f>
        <v>500</v>
      </c>
      <c r="F2557" s="3">
        <f>IFERROR(__xludf.DUMMYFUNCTION("""COMPUTED_VALUE"""),66578.0)</f>
        <v>66578</v>
      </c>
      <c r="G2557" s="2" t="str">
        <f>IFERROR(__xludf.DUMMYFUNCTION("""COMPUTED_VALUE"""),"J.V. Power Private Limited")</f>
        <v>J.V. Power Private Limited</v>
      </c>
      <c r="H2557" s="2" t="str">
        <f>IFERROR(__xludf.DUMMYFUNCTION("""COMPUTED_VALUE"""),"KMC-30, Kathmandu")</f>
        <v>KMC-30, Kathmandu</v>
      </c>
      <c r="I2557" s="2" t="str">
        <f>IFERROR(__xludf.DUMMYFUNCTION("""COMPUTED_VALUE"""),"28o 37' 00""")</f>
        <v>28o 37' 00"</v>
      </c>
      <c r="J2557" s="2" t="str">
        <f>IFERROR(__xludf.DUMMYFUNCTION("""COMPUTED_VALUE"""),"28o 39' 30""")</f>
        <v>28o 39' 30"</v>
      </c>
      <c r="K2557" s="2" t="str">
        <f>IFERROR(__xludf.DUMMYFUNCTION("""COMPUTED_VALUE"""),"82o 01' 00""")</f>
        <v>82o 01' 00"</v>
      </c>
      <c r="L2557" s="2" t="str">
        <f>IFERROR(__xludf.DUMMYFUNCTION("""COMPUTED_VALUE"""),"82o 56' 50""")</f>
        <v>82o 56' 50"</v>
      </c>
      <c r="M2557" s="2" t="str">
        <f>IFERROR(__xludf.DUMMYFUNCTION("""COMPUTED_VALUE"""),"Ranmamekot,Hukam (Rukum)")</f>
        <v>Ranmamekot,Hukam (Rukum)</v>
      </c>
    </row>
    <row r="2558">
      <c r="A2558" s="2">
        <f>IFERROR(__xludf.DUMMYFUNCTION("""COMPUTED_VALUE"""),2557.0)</f>
        <v>2557</v>
      </c>
      <c r="B2558" s="2" t="str">
        <f>IFERROR(__xludf.DUMMYFUNCTION("""COMPUTED_VALUE"""),"Marang Khola Hydropower Project")</f>
        <v>Marang Khola Hydropower Project</v>
      </c>
      <c r="C2558" s="2">
        <f>IFERROR(__xludf.DUMMYFUNCTION("""COMPUTED_VALUE"""),3.0)</f>
        <v>3</v>
      </c>
      <c r="D2558" s="2" t="str">
        <f>IFERROR(__xludf.DUMMYFUNCTION("""COMPUTED_VALUE"""),"Marang")</f>
        <v>Marang</v>
      </c>
      <c r="E2558" s="2">
        <f>IFERROR(__xludf.DUMMYFUNCTION("""COMPUTED_VALUE"""),543.0)</f>
        <v>543</v>
      </c>
      <c r="F2558" s="3">
        <f>IFERROR(__xludf.DUMMYFUNCTION("""COMPUTED_VALUE"""),66579.0)</f>
        <v>66579</v>
      </c>
      <c r="G2558" s="2" t="str">
        <f>IFERROR(__xludf.DUMMYFUNCTION("""COMPUTED_VALUE"""),"K.P.C. Energy Private Limited")</f>
        <v>K.P.C. Energy Private Limited</v>
      </c>
      <c r="H2558" s="2" t="str">
        <f>IFERROR(__xludf.DUMMYFUNCTION("""COMPUTED_VALUE"""),"KMC-17, Kathmandu")</f>
        <v>KMC-17, Kathmandu</v>
      </c>
      <c r="I2558" s="2" t="str">
        <f>IFERROR(__xludf.DUMMYFUNCTION("""COMPUTED_VALUE"""),"28o 27' 38""")</f>
        <v>28o 27' 38"</v>
      </c>
      <c r="J2558" s="2" t="str">
        <f>IFERROR(__xludf.DUMMYFUNCTION("""COMPUTED_VALUE"""),"28o 28' 17""")</f>
        <v>28o 28' 17"</v>
      </c>
      <c r="K2558" s="2" t="str">
        <f>IFERROR(__xludf.DUMMYFUNCTION("""COMPUTED_VALUE"""),"83o 23' 05""")</f>
        <v>83o 23' 05"</v>
      </c>
      <c r="L2558" s="2" t="str">
        <f>IFERROR(__xludf.DUMMYFUNCTION("""COMPUTED_VALUE"""),"83o 23' 38""")</f>
        <v>83o 23' 38"</v>
      </c>
      <c r="M2558" s="2" t="str">
        <f>IFERROR(__xludf.DUMMYFUNCTION("""COMPUTED_VALUE"""),"Darwang,Marang (Myagdi)")</f>
        <v>Darwang,Marang (Myagdi)</v>
      </c>
    </row>
    <row r="2559">
      <c r="A2559" s="2">
        <f>IFERROR(__xludf.DUMMYFUNCTION("""COMPUTED_VALUE"""),2558.0)</f>
        <v>2558</v>
      </c>
      <c r="B2559" s="2" t="str">
        <f>IFERROR(__xludf.DUMMYFUNCTION("""COMPUTED_VALUE"""),"Middle Betan Karnali Nadi Storage Hydropower Project")</f>
        <v>Middle Betan Karnali Nadi Storage Hydropower Project</v>
      </c>
      <c r="C2559" s="2">
        <f>IFERROR(__xludf.DUMMYFUNCTION("""COMPUTED_VALUE"""),220.0)</f>
        <v>220</v>
      </c>
      <c r="D2559" s="2" t="str">
        <f>IFERROR(__xludf.DUMMYFUNCTION("""COMPUTED_VALUE"""),"Karnali Nadi")</f>
        <v>Karnali Nadi</v>
      </c>
      <c r="E2559" s="2">
        <f>IFERROR(__xludf.DUMMYFUNCTION("""COMPUTED_VALUE"""),632.0)</f>
        <v>632</v>
      </c>
      <c r="F2559" s="3">
        <f>IFERROR(__xludf.DUMMYFUNCTION("""COMPUTED_VALUE"""),66582.0)</f>
        <v>66582</v>
      </c>
      <c r="G2559" s="2" t="str">
        <f>IFERROR(__xludf.DUMMYFUNCTION("""COMPUTED_VALUE"""),"Samriddhi Betan Karnali Hydropower Pvt. Ltd.")</f>
        <v>Samriddhi Betan Karnali Hydropower Pvt. Ltd.</v>
      </c>
      <c r="H2559" s="2" t="str">
        <f>IFERROR(__xludf.DUMMYFUNCTION("""COMPUTED_VALUE"""),"Budhanilkantha-3, Kathmandu")</f>
        <v>Budhanilkantha-3, Kathmandu</v>
      </c>
      <c r="I2559" s="2" t="str">
        <f>IFERROR(__xludf.DUMMYFUNCTION("""COMPUTED_VALUE"""),"28o 41' 30""")</f>
        <v>28o 41' 30"</v>
      </c>
      <c r="J2559" s="2" t="str">
        <f>IFERROR(__xludf.DUMMYFUNCTION("""COMPUTED_VALUE"""),"28o 55' 50""")</f>
        <v>28o 55' 50"</v>
      </c>
      <c r="K2559" s="2" t="str">
        <f>IFERROR(__xludf.DUMMYFUNCTION("""COMPUTED_VALUE"""),"81o 23' 20""")</f>
        <v>81o 23' 20"</v>
      </c>
      <c r="L2559" s="2" t="str">
        <f>IFERROR(__xludf.DUMMYFUNCTION("""COMPUTED_VALUE"""),"81o 37' 50""")</f>
        <v>81o 37' 50"</v>
      </c>
      <c r="M2559" s="2"/>
    </row>
    <row r="2560">
      <c r="A2560" s="2">
        <f>IFERROR(__xludf.DUMMYFUNCTION("""COMPUTED_VALUE"""),2559.0)</f>
        <v>2559</v>
      </c>
      <c r="B2560" s="2" t="str">
        <f>IFERROR(__xludf.DUMMYFUNCTION("""COMPUTED_VALUE"""),"Uttar Ganga Hydroelectric Project")</f>
        <v>Uttar Ganga Hydroelectric Project</v>
      </c>
      <c r="C2560" s="2">
        <f>IFERROR(__xludf.DUMMYFUNCTION("""COMPUTED_VALUE"""),22.5)</f>
        <v>22.5</v>
      </c>
      <c r="D2560" s="2" t="str">
        <f>IFERROR(__xludf.DUMMYFUNCTION("""COMPUTED_VALUE"""),"Uttar Ganga")</f>
        <v>Uttar Ganga</v>
      </c>
      <c r="E2560" s="2">
        <f>IFERROR(__xludf.DUMMYFUNCTION("""COMPUTED_VALUE"""),726.0)</f>
        <v>726</v>
      </c>
      <c r="F2560" s="3">
        <f>IFERROR(__xludf.DUMMYFUNCTION("""COMPUTED_VALUE"""),66586.0)</f>
        <v>66586</v>
      </c>
      <c r="G2560" s="2" t="str">
        <f>IFERROR(__xludf.DUMMYFUNCTION("""COMPUTED_VALUE"""),"Paani Power Company Private Limited")</f>
        <v>Paani Power Company Private Limited</v>
      </c>
      <c r="H2560" s="2" t="str">
        <f>IFERROR(__xludf.DUMMYFUNCTION("""COMPUTED_VALUE"""),"Pokhara Municipality-17, Birauta, Pokhara")</f>
        <v>Pokhara Municipality-17, Birauta, Pokhara</v>
      </c>
      <c r="I2560" s="2" t="str">
        <f>IFERROR(__xludf.DUMMYFUNCTION("""COMPUTED_VALUE"""),"28o 35' 25""")</f>
        <v>28o 35' 25"</v>
      </c>
      <c r="J2560" s="2" t="str">
        <f>IFERROR(__xludf.DUMMYFUNCTION("""COMPUTED_VALUE"""),"28o 37' 24""")</f>
        <v>28o 37' 24"</v>
      </c>
      <c r="K2560" s="2" t="str">
        <f>IFERROR(__xludf.DUMMYFUNCTION("""COMPUTED_VALUE"""),"82o 46' 05""")</f>
        <v>82o 46' 05"</v>
      </c>
      <c r="L2560" s="2" t="str">
        <f>IFERROR(__xludf.DUMMYFUNCTION("""COMPUTED_VALUE"""),"82o 48' 38""")</f>
        <v>82o 48' 38"</v>
      </c>
      <c r="M2560" s="2" t="str">
        <f>IFERROR(__xludf.DUMMYFUNCTION("""COMPUTED_VALUE"""),"Kol,Taksera (Rukum)")</f>
        <v>Kol,Taksera (Rukum)</v>
      </c>
    </row>
    <row r="2561">
      <c r="A2561" s="2">
        <f>IFERROR(__xludf.DUMMYFUNCTION("""COMPUTED_VALUE"""),2560.0)</f>
        <v>2560</v>
      </c>
      <c r="B2561" s="2" t="str">
        <f>IFERROR(__xludf.DUMMYFUNCTION("""COMPUTED_VALUE"""),"Tallo Bheri Nadi Hydropower Project")</f>
        <v>Tallo Bheri Nadi Hydropower Project</v>
      </c>
      <c r="C2561" s="2">
        <f>IFERROR(__xludf.DUMMYFUNCTION("""COMPUTED_VALUE"""),78.45)</f>
        <v>78.45</v>
      </c>
      <c r="D2561" s="2" t="str">
        <f>IFERROR(__xludf.DUMMYFUNCTION("""COMPUTED_VALUE"""),"Bheri Nadi")</f>
        <v>Bheri Nadi</v>
      </c>
      <c r="E2561" s="2">
        <f>IFERROR(__xludf.DUMMYFUNCTION("""COMPUTED_VALUE"""),999.0)</f>
        <v>999</v>
      </c>
      <c r="F2561" s="3">
        <f>IFERROR(__xludf.DUMMYFUNCTION("""COMPUTED_VALUE"""),66595.0)</f>
        <v>66595</v>
      </c>
      <c r="G2561" s="2" t="str">
        <f>IFERROR(__xludf.DUMMYFUNCTION("""COMPUTED_VALUE"""),"White Lotus Management Pvt. Ltd")</f>
        <v>White Lotus Management Pvt. Ltd</v>
      </c>
      <c r="H2561" s="2" t="str">
        <f>IFERROR(__xludf.DUMMYFUNCTION("""COMPUTED_VALUE"""),"Babarmahal, Kathmandu, Phone No. 01-4483764,9802014177")</f>
        <v>Babarmahal, Kathmandu, Phone No. 01-4483764,9802014177</v>
      </c>
      <c r="I2561" s="2" t="str">
        <f>IFERROR(__xludf.DUMMYFUNCTION("""COMPUTED_VALUE"""),"28o 27' 30""")</f>
        <v>28o 27' 30"</v>
      </c>
      <c r="J2561" s="2" t="str">
        <f>IFERROR(__xludf.DUMMYFUNCTION("""COMPUTED_VALUE"""),"28o 38' 00""")</f>
        <v>28o 38' 00"</v>
      </c>
      <c r="K2561" s="2" t="str">
        <f>IFERROR(__xludf.DUMMYFUNCTION("""COMPUTED_VALUE"""),"81o 29' 30""")</f>
        <v>81o 29' 30"</v>
      </c>
      <c r="L2561" s="2" t="str">
        <f>IFERROR(__xludf.DUMMYFUNCTION("""COMPUTED_VALUE"""),"81o 46' 30""")</f>
        <v>81o 46' 30"</v>
      </c>
      <c r="M2561" s="2"/>
    </row>
    <row r="2562">
      <c r="A2562" s="2">
        <f>IFERROR(__xludf.DUMMYFUNCTION("""COMPUTED_VALUE"""),2561.0)</f>
        <v>2561</v>
      </c>
      <c r="B2562" s="2" t="str">
        <f>IFERROR(__xludf.DUMMYFUNCTION("""COMPUTED_VALUE"""),"Lower Bheri Peaking Hydroelectric Project")</f>
        <v>Lower Bheri Peaking Hydroelectric Project</v>
      </c>
      <c r="C2562" s="2">
        <f>IFERROR(__xludf.DUMMYFUNCTION("""COMPUTED_VALUE"""),77.1)</f>
        <v>77.1</v>
      </c>
      <c r="D2562" s="2" t="str">
        <f>IFERROR(__xludf.DUMMYFUNCTION("""COMPUTED_VALUE"""),"Bheri Khola")</f>
        <v>Bheri Khola</v>
      </c>
      <c r="E2562" s="2">
        <f>IFERROR(__xludf.DUMMYFUNCTION("""COMPUTED_VALUE"""),1025.0)</f>
        <v>1025</v>
      </c>
      <c r="F2562" s="3">
        <f>IFERROR(__xludf.DUMMYFUNCTION("""COMPUTED_VALUE"""),66596.0)</f>
        <v>66596</v>
      </c>
      <c r="G2562" s="2" t="str">
        <f>IFERROR(__xludf.DUMMYFUNCTION("""COMPUTED_VALUE"""),"Annapurna Green Energy Pvt. Ltd")</f>
        <v>Annapurna Green Energy Pvt. Ltd</v>
      </c>
      <c r="H2562" s="2" t="str">
        <f>IFERROR(__xludf.DUMMYFUNCTION("""COMPUTED_VALUE"""),"Gairigaun, Tinkune, Kathmandu, Ward no 32, Rameshwar Thapa")</f>
        <v>Gairigaun, Tinkune, Kathmandu, Ward no 32, Rameshwar Thapa</v>
      </c>
      <c r="I2562" s="2" t="str">
        <f>IFERROR(__xludf.DUMMYFUNCTION("""COMPUTED_VALUE"""),"28o 30' 00""")</f>
        <v>28o 30' 00"</v>
      </c>
      <c r="J2562" s="2" t="str">
        <f>IFERROR(__xludf.DUMMYFUNCTION("""COMPUTED_VALUE"""),"28o 34' 30""")</f>
        <v>28o 34' 30"</v>
      </c>
      <c r="K2562" s="2" t="str">
        <f>IFERROR(__xludf.DUMMYFUNCTION("""COMPUTED_VALUE"""),"81o 32' 30""")</f>
        <v>81o 32' 30"</v>
      </c>
      <c r="L2562" s="2" t="str">
        <f>IFERROR(__xludf.DUMMYFUNCTION("""COMPUTED_VALUE"""),"81o 43' 00""")</f>
        <v>81o 43' 00"</v>
      </c>
      <c r="M2562" s="2" t="str">
        <f>IFERROR(__xludf.DUMMYFUNCTION("""COMPUTED_VALUE"""),"BirendraNagar 
N.P.,Sotokhani,Neta,Lekhfarsa,Maintada,Ramghat,Chhinchu,Pokharikanda,Lekhgaun,Taranga,Kunathari,Hariharpur,Kalyan 
(Surkhet)")</f>
        <v>BirendraNagar 
N.P.,Sotokhani,Neta,Lekhfarsa,Maintada,Ramghat,Chhinchu,Pokharikanda,Lekhgaun,Taranga,Kunathari,Hariharpur,Kalyan 
(Surkhet)</v>
      </c>
    </row>
    <row r="2563">
      <c r="A2563" s="2">
        <f>IFERROR(__xludf.DUMMYFUNCTION("""COMPUTED_VALUE"""),2562.0)</f>
        <v>2562</v>
      </c>
      <c r="B2563" s="2" t="str">
        <f>IFERROR(__xludf.DUMMYFUNCTION("""COMPUTED_VALUE"""),"Jada Gad Hydropower Project")</f>
        <v>Jada Gad Hydropower Project</v>
      </c>
      <c r="C2563" s="2">
        <f>IFERROR(__xludf.DUMMYFUNCTION("""COMPUTED_VALUE"""),9.8)</f>
        <v>9.8</v>
      </c>
      <c r="D2563" s="2" t="str">
        <f>IFERROR(__xludf.DUMMYFUNCTION("""COMPUTED_VALUE"""),"Jada Gad")</f>
        <v>Jada Gad</v>
      </c>
      <c r="E2563" s="2">
        <f>IFERROR(__xludf.DUMMYFUNCTION("""COMPUTED_VALUE"""),1089.0)</f>
        <v>1089</v>
      </c>
      <c r="F2563" s="3">
        <f>IFERROR(__xludf.DUMMYFUNCTION("""COMPUTED_VALUE"""),66598.0)</f>
        <v>66598</v>
      </c>
      <c r="G2563" s="2" t="str">
        <f>IFERROR(__xludf.DUMMYFUNCTION("""COMPUTED_VALUE"""),"Sisha Power Limited")</f>
        <v>Sisha Power Limited</v>
      </c>
      <c r="H2563" s="2" t="str">
        <f>IFERROR(__xludf.DUMMYFUNCTION("""COMPUTED_VALUE"""),"Kathmandu-10, Kathmandu")</f>
        <v>Kathmandu-10, Kathmandu</v>
      </c>
      <c r="I2563" s="2" t="str">
        <f>IFERROR(__xludf.DUMMYFUNCTION("""COMPUTED_VALUE"""),"29o 21' 22""")</f>
        <v>29o 21' 22"</v>
      </c>
      <c r="J2563" s="2" t="str">
        <f>IFERROR(__xludf.DUMMYFUNCTION("""COMPUTED_VALUE"""),"29o 23' 06""")</f>
        <v>29o 23' 06"</v>
      </c>
      <c r="K2563" s="2" t="str">
        <f>IFERROR(__xludf.DUMMYFUNCTION("""COMPUTED_VALUE"""),"81o 49' 15""")</f>
        <v>81o 49' 15"</v>
      </c>
      <c r="L2563" s="2" t="str">
        <f>IFERROR(__xludf.DUMMYFUNCTION("""COMPUTED_VALUE"""),"81o 51' 03""")</f>
        <v>81o 51' 03"</v>
      </c>
      <c r="M2563" s="2" t="str">
        <f>IFERROR(__xludf.DUMMYFUNCTION("""COMPUTED_VALUE"""),"Kheen,Dholagohe,Thirpu (Kalikot)")</f>
        <v>Kheen,Dholagohe,Thirpu (Kalikot)</v>
      </c>
    </row>
    <row r="2564">
      <c r="A2564" s="2">
        <f>IFERROR(__xludf.DUMMYFUNCTION("""COMPUTED_VALUE"""),2563.0)</f>
        <v>2563</v>
      </c>
      <c r="B2564" s="2" t="str">
        <f>IFERROR(__xludf.DUMMYFUNCTION("""COMPUTED_VALUE"""),"Tamakoshi - 1 Hydropower Project")</f>
        <v>Tamakoshi - 1 Hydropower Project</v>
      </c>
      <c r="C2564" s="2">
        <f>IFERROR(__xludf.DUMMYFUNCTION("""COMPUTED_VALUE"""),75.92)</f>
        <v>75.92</v>
      </c>
      <c r="D2564" s="2" t="str">
        <f>IFERROR(__xludf.DUMMYFUNCTION("""COMPUTED_VALUE"""),"Tamakoshi")</f>
        <v>Tamakoshi</v>
      </c>
      <c r="E2564" s="2">
        <f>IFERROR(__xludf.DUMMYFUNCTION("""COMPUTED_VALUE"""),1271.0)</f>
        <v>1271</v>
      </c>
      <c r="F2564" s="3">
        <f>IFERROR(__xludf.DUMMYFUNCTION("""COMPUTED_VALUE"""),66602.0)</f>
        <v>66602</v>
      </c>
      <c r="G2564" s="2" t="str">
        <f>IFERROR(__xludf.DUMMYFUNCTION("""COMPUTED_VALUE"""),"Luminous Energy Solution Private Limited")</f>
        <v>Luminous Energy Solution Private Limited</v>
      </c>
      <c r="H2564" s="2" t="str">
        <f>IFERROR(__xludf.DUMMYFUNCTION("""COMPUTED_VALUE"""),"Kageswari Manohara-9, Kathmandu")</f>
        <v>Kageswari Manohara-9, Kathmandu</v>
      </c>
      <c r="I2564" s="2" t="str">
        <f>IFERROR(__xludf.DUMMYFUNCTION("""COMPUTED_VALUE"""),"27o 25' 00""")</f>
        <v>27o 25' 00"</v>
      </c>
      <c r="J2564" s="2" t="str">
        <f>IFERROR(__xludf.DUMMYFUNCTION("""COMPUTED_VALUE"""),"27o 29' 34""")</f>
        <v>27o 29' 34"</v>
      </c>
      <c r="K2564" s="2" t="str">
        <f>IFERROR(__xludf.DUMMYFUNCTION("""COMPUTED_VALUE"""),"86o 05' 00""")</f>
        <v>86o 05' 00"</v>
      </c>
      <c r="L2564" s="2" t="str">
        <f>IFERROR(__xludf.DUMMYFUNCTION("""COMPUTED_VALUE"""),"86o 07' 10""")</f>
        <v>86o 07' 10"</v>
      </c>
      <c r="M2564" s="2" t="str">
        <f>IFERROR(__xludf.DUMMYFUNCTION("""COMPUTED_VALUE"""),"Sahure (Dolakha) Gailu,Kathjor,Naga Daha,Khimti,Phulasi,Tilpung (Ramechhap)")</f>
        <v>Sahure (Dolakha) Gailu,Kathjor,Naga Daha,Khimti,Phulasi,Tilpung (Ramechhap)</v>
      </c>
    </row>
    <row r="2565">
      <c r="A2565" s="2">
        <f>IFERROR(__xludf.DUMMYFUNCTION("""COMPUTED_VALUE"""),2564.0)</f>
        <v>2564</v>
      </c>
      <c r="B2565" s="2" t="str">
        <f>IFERROR(__xludf.DUMMYFUNCTION("""COMPUTED_VALUE"""),"Chhimkeswori Trishuli Hydropower Project")</f>
        <v>Chhimkeswori Trishuli Hydropower Project</v>
      </c>
      <c r="C2565" s="2">
        <f>IFERROR(__xludf.DUMMYFUNCTION("""COMPUTED_VALUE"""),73.2)</f>
        <v>73.2</v>
      </c>
      <c r="D2565" s="2" t="str">
        <f>IFERROR(__xludf.DUMMYFUNCTION("""COMPUTED_VALUE"""),"Trishuli")</f>
        <v>Trishuli</v>
      </c>
      <c r="E2565" s="2">
        <f>IFERROR(__xludf.DUMMYFUNCTION("""COMPUTED_VALUE"""),1321.0)</f>
        <v>1321</v>
      </c>
      <c r="F2565" s="3">
        <f>IFERROR(__xludf.DUMMYFUNCTION("""COMPUTED_VALUE"""),66605.0)</f>
        <v>66605</v>
      </c>
      <c r="G2565" s="2" t="str">
        <f>IFERROR(__xludf.DUMMYFUNCTION("""COMPUTED_VALUE"""),"N.B.Hydro Private Limited")</f>
        <v>N.B.Hydro Private Limited</v>
      </c>
      <c r="H2565" s="2" t="str">
        <f>IFERROR(__xludf.DUMMYFUNCTION("""COMPUTED_VALUE"""),"Madhyapur Thimi, Bhaktapur")</f>
        <v>Madhyapur Thimi, Bhaktapur</v>
      </c>
      <c r="I2565" s="2" t="str">
        <f>IFERROR(__xludf.DUMMYFUNCTION("""COMPUTED_VALUE"""),"27o 47' 18""")</f>
        <v>27o 47' 18"</v>
      </c>
      <c r="J2565" s="2" t="str">
        <f>IFERROR(__xludf.DUMMYFUNCTION("""COMPUTED_VALUE"""),"27o 49' 60""")</f>
        <v>27o 49' 60"</v>
      </c>
      <c r="K2565" s="2" t="str">
        <f>IFERROR(__xludf.DUMMYFUNCTION("""COMPUTED_VALUE"""),"84o 25' 40""")</f>
        <v>84o 25' 40"</v>
      </c>
      <c r="L2565" s="2" t="str">
        <f>IFERROR(__xludf.DUMMYFUNCTION("""COMPUTED_VALUE"""),"84o 28' 57""")</f>
        <v>84o 28' 57"</v>
      </c>
      <c r="M2565" s="2" t="str">
        <f>IFERROR(__xludf.DUMMYFUNCTION("""COMPUTED_VALUE"""),"Kabilas (Chitawan) Chhimkeswori,Devghat,Deurali (Tanahu)")</f>
        <v>Kabilas (Chitawan) Chhimkeswori,Devghat,Deurali (Tanahu)</v>
      </c>
    </row>
    <row r="2566">
      <c r="A2566" s="2">
        <f>IFERROR(__xludf.DUMMYFUNCTION("""COMPUTED_VALUE"""),2565.0)</f>
        <v>2565</v>
      </c>
      <c r="B2566" s="2" t="str">
        <f>IFERROR(__xludf.DUMMYFUNCTION("""COMPUTED_VALUE"""),"Upper Nar Hydropower Project")</f>
        <v>Upper Nar Hydropower Project</v>
      </c>
      <c r="C2566" s="2">
        <f>IFERROR(__xludf.DUMMYFUNCTION("""COMPUTED_VALUE"""),32.0)</f>
        <v>32</v>
      </c>
      <c r="D2566" s="2" t="str">
        <f>IFERROR(__xludf.DUMMYFUNCTION("""COMPUTED_VALUE"""),"Nar Khola")</f>
        <v>Nar Khola</v>
      </c>
      <c r="E2566" s="2">
        <f>IFERROR(__xludf.DUMMYFUNCTION("""COMPUTED_VALUE"""),1340.0)</f>
        <v>1340</v>
      </c>
      <c r="F2566" s="3">
        <f>IFERROR(__xludf.DUMMYFUNCTION("""COMPUTED_VALUE"""),66605.0)</f>
        <v>66605</v>
      </c>
      <c r="G2566" s="2" t="str">
        <f>IFERROR(__xludf.DUMMYFUNCTION("""COMPUTED_VALUE"""),"Tilicho Energy Private Limited")</f>
        <v>Tilicho Energy Private Limited</v>
      </c>
      <c r="H2566" s="2" t="str">
        <f>IFERROR(__xludf.DUMMYFUNCTION("""COMPUTED_VALUE"""),"KMC-1, Naxal, Kathmandu")</f>
        <v>KMC-1, Naxal, Kathmandu</v>
      </c>
      <c r="I2566" s="2" t="str">
        <f>IFERROR(__xludf.DUMMYFUNCTION("""COMPUTED_VALUE"""),"28o 34' 04""")</f>
        <v>28o 34' 04"</v>
      </c>
      <c r="J2566" s="2" t="str">
        <f>IFERROR(__xludf.DUMMYFUNCTION("""COMPUTED_VALUE"""),"28o 40' 46""")</f>
        <v>28o 40' 46"</v>
      </c>
      <c r="K2566" s="2" t="str">
        <f>IFERROR(__xludf.DUMMYFUNCTION("""COMPUTED_VALUE"""),"84o 13' 10""")</f>
        <v>84o 13' 10"</v>
      </c>
      <c r="L2566" s="2" t="str">
        <f>IFERROR(__xludf.DUMMYFUNCTION("""COMPUTED_VALUE"""),"84o 15' 00""")</f>
        <v>84o 15' 00"</v>
      </c>
      <c r="M2566" s="2" t="str">
        <f>IFERROR(__xludf.DUMMYFUNCTION("""COMPUTED_VALUE"""),"Nar,Tachi Bagarchhap,Pisng (Manang)")</f>
        <v>Nar,Tachi Bagarchhap,Pisng (Manang)</v>
      </c>
    </row>
    <row r="2567">
      <c r="A2567" s="2">
        <f>IFERROR(__xludf.DUMMYFUNCTION("""COMPUTED_VALUE"""),2566.0)</f>
        <v>2566</v>
      </c>
      <c r="B2567" s="2" t="str">
        <f>IFERROR(__xludf.DUMMYFUNCTION("""COMPUTED_VALUE"""),"Mugu-Talak Khola Hydropower Project")</f>
        <v>Mugu-Talak Khola Hydropower Project</v>
      </c>
      <c r="C2567" s="2">
        <f>IFERROR(__xludf.DUMMYFUNCTION("""COMPUTED_VALUE"""),60.0)</f>
        <v>60</v>
      </c>
      <c r="D2567" s="2" t="str">
        <f>IFERROR(__xludf.DUMMYFUNCTION("""COMPUTED_VALUE"""),"Mugu Khola, Talak Khola")</f>
        <v>Mugu Khola, Talak Khola</v>
      </c>
      <c r="E2567" s="2">
        <f>IFERROR(__xludf.DUMMYFUNCTION("""COMPUTED_VALUE"""),1385.0)</f>
        <v>1385</v>
      </c>
      <c r="F2567" s="3">
        <f>IFERROR(__xludf.DUMMYFUNCTION("""COMPUTED_VALUE"""),66607.0)</f>
        <v>66607</v>
      </c>
      <c r="G2567" s="2" t="str">
        <f>IFERROR(__xludf.DUMMYFUNCTION("""COMPUTED_VALUE"""),"Mayahold Energy Pvt. Ltd.")</f>
        <v>Mayahold Energy Pvt. Ltd.</v>
      </c>
      <c r="H2567" s="2" t="str">
        <f>IFERROR(__xludf.DUMMYFUNCTION("""COMPUTED_VALUE"""),"Kathmandu-31, New baneshwar, Dinesh Silwal,9851178014")</f>
        <v>Kathmandu-31, New baneshwar, Dinesh Silwal,9851178014</v>
      </c>
      <c r="I2567" s="2" t="str">
        <f>IFERROR(__xludf.DUMMYFUNCTION("""COMPUTED_VALUE"""),"29o 35' 26""")</f>
        <v>29o 35' 26"</v>
      </c>
      <c r="J2567" s="2" t="str">
        <f>IFERROR(__xludf.DUMMYFUNCTION("""COMPUTED_VALUE"""),"29o 38' 45""")</f>
        <v>29o 38' 45"</v>
      </c>
      <c r="K2567" s="2" t="str">
        <f>IFERROR(__xludf.DUMMYFUNCTION("""COMPUTED_VALUE"""),"82o 25' 55""")</f>
        <v>82o 25' 55"</v>
      </c>
      <c r="L2567" s="2" t="str">
        <f>IFERROR(__xludf.DUMMYFUNCTION("""COMPUTED_VALUE"""),"82o 30' 46""")</f>
        <v>82o 30' 46"</v>
      </c>
      <c r="M2567" s="2" t="str">
        <f>IFERROR(__xludf.DUMMYFUNCTION("""COMPUTED_VALUE"""),"Mugu,Dolphu,Kimari,Pulu,Mangri (Mugu)")</f>
        <v>Mugu,Dolphu,Kimari,Pulu,Mangri (Mugu)</v>
      </c>
    </row>
    <row r="2568">
      <c r="A2568" s="2">
        <f>IFERROR(__xludf.DUMMYFUNCTION("""COMPUTED_VALUE"""),2567.0)</f>
        <v>2567</v>
      </c>
      <c r="B2568" s="2" t="str">
        <f>IFERROR(__xludf.DUMMYFUNCTION("""COMPUTED_VALUE"""),"Dobhan Khola Hydropower Project")</f>
        <v>Dobhan Khola Hydropower Project</v>
      </c>
      <c r="C2568" s="2">
        <f>IFERROR(__xludf.DUMMYFUNCTION("""COMPUTED_VALUE"""),4.2)</f>
        <v>4.2</v>
      </c>
      <c r="D2568" s="2" t="str">
        <f>IFERROR(__xludf.DUMMYFUNCTION("""COMPUTED_VALUE"""),"Dobhan Khola")</f>
        <v>Dobhan Khola</v>
      </c>
      <c r="E2568" s="2">
        <f>IFERROR(__xludf.DUMMYFUNCTION("""COMPUTED_VALUE"""),1409.0)</f>
        <v>1409</v>
      </c>
      <c r="F2568" s="3">
        <f>IFERROR(__xludf.DUMMYFUNCTION("""COMPUTED_VALUE"""),66607.0)</f>
        <v>66607</v>
      </c>
      <c r="G2568" s="2" t="str">
        <f>IFERROR(__xludf.DUMMYFUNCTION("""COMPUTED_VALUE"""),"Prabhu Steels And Hydro Investment Company Limited")</f>
        <v>Prabhu Steels And Hydro Investment Company Limited</v>
      </c>
      <c r="H2568" s="2" t="str">
        <f>IFERROR(__xludf.DUMMYFUNCTION("""COMPUTED_VALUE"""),"Kathmandu - 32, Tinkune, Kathmandu")</f>
        <v>Kathmandu - 32, Tinkune, Kathmandu</v>
      </c>
      <c r="I2568" s="2" t="str">
        <f>IFERROR(__xludf.DUMMYFUNCTION("""COMPUTED_VALUE"""),"27o 27' 10""")</f>
        <v>27o 27' 10"</v>
      </c>
      <c r="J2568" s="2" t="str">
        <f>IFERROR(__xludf.DUMMYFUNCTION("""COMPUTED_VALUE"""),"27o 28' 06""")</f>
        <v>27o 28' 06"</v>
      </c>
      <c r="K2568" s="2" t="str">
        <f>IFERROR(__xludf.DUMMYFUNCTION("""COMPUTED_VALUE"""),"86o 45' 48""")</f>
        <v>86o 45' 48"</v>
      </c>
      <c r="L2568" s="2" t="str">
        <f>IFERROR(__xludf.DUMMYFUNCTION("""COMPUTED_VALUE"""),"86o 46' 57""")</f>
        <v>86o 46' 57"</v>
      </c>
      <c r="M2568" s="2" t="str">
        <f>IFERROR(__xludf.DUMMYFUNCTION("""COMPUTED_VALUE"""),"Sautang,Lokhim,Mabe(Pawai) (Solukhumbu)")</f>
        <v>Sautang,Lokhim,Mabe(Pawai) (Solukhumbu)</v>
      </c>
    </row>
    <row r="2569">
      <c r="A2569" s="2">
        <f>IFERROR(__xludf.DUMMYFUNCTION("""COMPUTED_VALUE"""),2568.0)</f>
        <v>2568</v>
      </c>
      <c r="B2569" s="2" t="str">
        <f>IFERROR(__xludf.DUMMYFUNCTION("""COMPUTED_VALUE"""),"Babai Nadi Hydroelectric Project")</f>
        <v>Babai Nadi Hydroelectric Project</v>
      </c>
      <c r="C2569" s="2">
        <f>IFERROR(__xludf.DUMMYFUNCTION("""COMPUTED_VALUE"""),50.0)</f>
        <v>50</v>
      </c>
      <c r="D2569" s="2" t="str">
        <f>IFERROR(__xludf.DUMMYFUNCTION("""COMPUTED_VALUE"""),"babai river")</f>
        <v>babai river</v>
      </c>
      <c r="E2569" s="2">
        <f>IFERROR(__xludf.DUMMYFUNCTION("""COMPUTED_VALUE"""),1494.0)</f>
        <v>1494</v>
      </c>
      <c r="F2569" s="3">
        <f>IFERROR(__xludf.DUMMYFUNCTION("""COMPUTED_VALUE"""),66609.0)</f>
        <v>66609</v>
      </c>
      <c r="G2569" s="2" t="str">
        <f>IFERROR(__xludf.DUMMYFUNCTION("""COMPUTED_VALUE"""),"Karnali Hydro Private Limited")</f>
        <v>Karnali Hydro Private Limited</v>
      </c>
      <c r="H2569" s="2" t="str">
        <f>IFERROR(__xludf.DUMMYFUNCTION("""COMPUTED_VALUE"""),"KMC-22, Khichapokhari, Kathmandu")</f>
        <v>KMC-22, Khichapokhari, Kathmandu</v>
      </c>
      <c r="I2569" s="2" t="str">
        <f>IFERROR(__xludf.DUMMYFUNCTION("""COMPUTED_VALUE"""),"27o 57' 57""")</f>
        <v>27o 57' 57"</v>
      </c>
      <c r="J2569" s="2" t="str">
        <f>IFERROR(__xludf.DUMMYFUNCTION("""COMPUTED_VALUE"""),"28o 02' 15""")</f>
        <v>28o 02' 15"</v>
      </c>
      <c r="K2569" s="2" t="str">
        <f>IFERROR(__xludf.DUMMYFUNCTION("""COMPUTED_VALUE"""),"82o 11' 37""")</f>
        <v>82o 11' 37"</v>
      </c>
      <c r="L2569" s="2" t="str">
        <f>IFERROR(__xludf.DUMMYFUNCTION("""COMPUTED_VALUE"""),"82o 18' 20""")</f>
        <v>82o 18' 20"</v>
      </c>
      <c r="M2569" s="2" t="str">
        <f>IFERROR(__xludf.DUMMYFUNCTION("""COMPUTED_VALUE"""),"Satbariya,Phulbari (Dang)")</f>
        <v>Satbariya,Phulbari (Dang)</v>
      </c>
    </row>
    <row r="2570">
      <c r="A2570" s="2">
        <f>IFERROR(__xludf.DUMMYFUNCTION("""COMPUTED_VALUE"""),2569.0)</f>
        <v>2569</v>
      </c>
      <c r="B2570" s="2" t="str">
        <f>IFERROR(__xludf.DUMMYFUNCTION("""COMPUTED_VALUE"""),"Kanchen Tamor Hydropower Project")</f>
        <v>Kanchen Tamor Hydropower Project</v>
      </c>
      <c r="C2570" s="2">
        <f>IFERROR(__xludf.DUMMYFUNCTION("""COMPUTED_VALUE"""),45.0)</f>
        <v>45</v>
      </c>
      <c r="D2570" s="2" t="str">
        <f>IFERROR(__xludf.DUMMYFUNCTION("""COMPUTED_VALUE"""),"Tamor")</f>
        <v>Tamor</v>
      </c>
      <c r="E2570" s="2">
        <f>IFERROR(__xludf.DUMMYFUNCTION("""COMPUTED_VALUE"""),1514.0)</f>
        <v>1514</v>
      </c>
      <c r="F2570" s="3">
        <f>IFERROR(__xludf.DUMMYFUNCTION("""COMPUTED_VALUE"""),66611.0)</f>
        <v>66611</v>
      </c>
      <c r="G2570" s="2" t="str">
        <f>IFERROR(__xludf.DUMMYFUNCTION("""COMPUTED_VALUE"""),"A.B. Hydro Private Limited")</f>
        <v>A.B. Hydro Private Limited</v>
      </c>
      <c r="H2570" s="2" t="str">
        <f>IFERROR(__xludf.DUMMYFUNCTION("""COMPUTED_VALUE"""),"Bhaktapur-2, nepal")</f>
        <v>Bhaktapur-2, nepal</v>
      </c>
      <c r="I2570" s="2" t="str">
        <f>IFERROR(__xludf.DUMMYFUNCTION("""COMPUTED_VALUE"""),"27o 15' 30""")</f>
        <v>27o 15' 30"</v>
      </c>
      <c r="J2570" s="2" t="str">
        <f>IFERROR(__xludf.DUMMYFUNCTION("""COMPUTED_VALUE"""),"27o 19' 40""")</f>
        <v>27o 19' 40"</v>
      </c>
      <c r="K2570" s="2" t="str">
        <f>IFERROR(__xludf.DUMMYFUNCTION("""COMPUTED_VALUE"""),"87o 39' 20""")</f>
        <v>87o 39' 20"</v>
      </c>
      <c r="L2570" s="2" t="str">
        <f>IFERROR(__xludf.DUMMYFUNCTION("""COMPUTED_VALUE"""),"87o 42' 00""")</f>
        <v>87o 42' 00"</v>
      </c>
      <c r="M2570" s="2" t="str">
        <f>IFERROR(__xludf.DUMMYFUNCTION("""COMPUTED_VALUE"""),"Ambarpur (Panchthar) Dokhu,Nankholyang,Phulbari,Nidhuradin (Taplejung) 
Ewa,Hawaku (Terhathum)")</f>
        <v>Ambarpur (Panchthar) Dokhu,Nankholyang,Phulbari,Nidhuradin (Taplejung) 
Ewa,Hawaku (Terhathum)</v>
      </c>
    </row>
    <row r="2571">
      <c r="A2571" s="2">
        <f>IFERROR(__xludf.DUMMYFUNCTION("""COMPUTED_VALUE"""),2570.0)</f>
        <v>2570</v>
      </c>
      <c r="B2571" s="2" t="str">
        <f>IFERROR(__xludf.DUMMYFUNCTION("""COMPUTED_VALUE"""),"Middle ghatganga Hydropower Project")</f>
        <v>Middle ghatganga Hydropower Project</v>
      </c>
      <c r="C2571" s="2">
        <f>IFERROR(__xludf.DUMMYFUNCTION("""COMPUTED_VALUE"""),4.6)</f>
        <v>4.6</v>
      </c>
      <c r="D2571" s="2" t="str">
        <f>IFERROR(__xludf.DUMMYFUNCTION("""COMPUTED_VALUE"""),"Ghatganga")</f>
        <v>Ghatganga</v>
      </c>
      <c r="E2571" s="2">
        <f>IFERROR(__xludf.DUMMYFUNCTION("""COMPUTED_VALUE"""),1585.0)</f>
        <v>1585</v>
      </c>
      <c r="F2571" s="3">
        <f>IFERROR(__xludf.DUMMYFUNCTION("""COMPUTED_VALUE"""),66612.0)</f>
        <v>66612</v>
      </c>
      <c r="G2571" s="2" t="str">
        <f>IFERROR(__xludf.DUMMYFUNCTION("""COMPUTED_VALUE"""),"Nicolas Energy Pvt. Ltd")</f>
        <v>Nicolas Energy Pvt. Ltd</v>
      </c>
      <c r="H2571" s="2" t="str">
        <f>IFERROR(__xludf.DUMMYFUNCTION("""COMPUTED_VALUE"""),"Kathmandu-5,Nepal")</f>
        <v>Kathmandu-5,Nepal</v>
      </c>
      <c r="I2571" s="2" t="str">
        <f>IFERROR(__xludf.DUMMYFUNCTION("""COMPUTED_VALUE"""),"29o 43' 05""")</f>
        <v>29o 43' 05"</v>
      </c>
      <c r="J2571" s="2" t="str">
        <f>IFERROR(__xludf.DUMMYFUNCTION("""COMPUTED_VALUE"""),"29o 43' 30""")</f>
        <v>29o 43' 30"</v>
      </c>
      <c r="K2571" s="2" t="str">
        <f>IFERROR(__xludf.DUMMYFUNCTION("""COMPUTED_VALUE"""),"81o 20' 15""")</f>
        <v>81o 20' 15"</v>
      </c>
      <c r="L2571" s="2" t="str">
        <f>IFERROR(__xludf.DUMMYFUNCTION("""COMPUTED_VALUE"""),"81o 20' 28""")</f>
        <v>81o 20' 28"</v>
      </c>
      <c r="M2571" s="2" t="str">
        <f>IFERROR(__xludf.DUMMYFUNCTION("""COMPUTED_VALUE"""),"Kanda (Bajhang)")</f>
        <v>Kanda (Bajhang)</v>
      </c>
    </row>
    <row r="2572">
      <c r="A2572" s="2">
        <f>IFERROR(__xludf.DUMMYFUNCTION("""COMPUTED_VALUE"""),2571.0)</f>
        <v>2571</v>
      </c>
      <c r="B2572" s="2" t="str">
        <f>IFERROR(__xludf.DUMMYFUNCTION("""COMPUTED_VALUE"""),"Taman Khola - A Hydropower Project")</f>
        <v>Taman Khola - A Hydropower Project</v>
      </c>
      <c r="C2572" s="2">
        <f>IFERROR(__xludf.DUMMYFUNCTION("""COMPUTED_VALUE"""),4.95)</f>
        <v>4.95</v>
      </c>
      <c r="D2572" s="2" t="str">
        <f>IFERROR(__xludf.DUMMYFUNCTION("""COMPUTED_VALUE"""),"Taman")</f>
        <v>Taman</v>
      </c>
      <c r="E2572" s="2">
        <f>IFERROR(__xludf.DUMMYFUNCTION("""COMPUTED_VALUE"""),1634.0)</f>
        <v>1634</v>
      </c>
      <c r="F2572" s="3">
        <f>IFERROR(__xludf.DUMMYFUNCTION("""COMPUTED_VALUE"""),66613.0)</f>
        <v>66613</v>
      </c>
      <c r="G2572" s="2" t="str">
        <f>IFERROR(__xludf.DUMMYFUNCTION("""COMPUTED_VALUE"""),"Brothers Engineering Service Private Limited")</f>
        <v>Brothers Engineering Service Private Limited</v>
      </c>
      <c r="H2572" s="2" t="str">
        <f>IFERROR(__xludf.DUMMYFUNCTION("""COMPUTED_VALUE"""),"Nagarjun - 4, Kathmandu")</f>
        <v>Nagarjun - 4, Kathmandu</v>
      </c>
      <c r="I2572" s="2" t="str">
        <f>IFERROR(__xludf.DUMMYFUNCTION("""COMPUTED_VALUE"""),"28o 21' 26""")</f>
        <v>28o 21' 26"</v>
      </c>
      <c r="J2572" s="2" t="str">
        <f>IFERROR(__xludf.DUMMYFUNCTION("""COMPUTED_VALUE"""),"28o 23' 23""")</f>
        <v>28o 23' 23"</v>
      </c>
      <c r="K2572" s="2" t="str">
        <f>IFERROR(__xludf.DUMMYFUNCTION("""COMPUTED_VALUE"""),"83o 10' 52""")</f>
        <v>83o 10' 52"</v>
      </c>
      <c r="L2572" s="2" t="str">
        <f>IFERROR(__xludf.DUMMYFUNCTION("""COMPUTED_VALUE"""),"83o 12' 07""")</f>
        <v>83o 12' 07"</v>
      </c>
      <c r="M2572" s="2" t="str">
        <f>IFERROR(__xludf.DUMMYFUNCTION("""COMPUTED_VALUE"""),"Bungadovan,Burtiwang,Khunga (Baglung)")</f>
        <v>Bungadovan,Burtiwang,Khunga (Baglung)</v>
      </c>
    </row>
    <row r="2573">
      <c r="A2573" s="2">
        <f>IFERROR(__xludf.DUMMYFUNCTION("""COMPUTED_VALUE"""),2572.0)</f>
        <v>2572</v>
      </c>
      <c r="B2573" s="2" t="str">
        <f>IFERROR(__xludf.DUMMYFUNCTION("""COMPUTED_VALUE"""),"Chhera Khola Hydropower Project")</f>
        <v>Chhera Khola Hydropower Project</v>
      </c>
      <c r="C2573" s="2">
        <f>IFERROR(__xludf.DUMMYFUNCTION("""COMPUTED_VALUE"""),14.9)</f>
        <v>14.9</v>
      </c>
      <c r="D2573" s="2" t="str">
        <f>IFERROR(__xludf.DUMMYFUNCTION("""COMPUTED_VALUE"""),"Chera")</f>
        <v>Chera</v>
      </c>
      <c r="E2573" s="2">
        <f>IFERROR(__xludf.DUMMYFUNCTION("""COMPUTED_VALUE"""),1637.0)</f>
        <v>1637</v>
      </c>
      <c r="F2573" s="3">
        <f>IFERROR(__xludf.DUMMYFUNCTION("""COMPUTED_VALUE"""),66614.0)</f>
        <v>66614</v>
      </c>
      <c r="G2573" s="2" t="str">
        <f>IFERROR(__xludf.DUMMYFUNCTION("""COMPUTED_VALUE"""),"Anam Energy Pvt. Ltd")</f>
        <v>Anam Energy Pvt. Ltd</v>
      </c>
      <c r="H2573" s="2" t="str">
        <f>IFERROR(__xludf.DUMMYFUNCTION("""COMPUTED_VALUE"""),"Kathmandu Phone no. 9802960763")</f>
        <v>Kathmandu Phone no. 9802960763</v>
      </c>
      <c r="I2573" s="2" t="str">
        <f>IFERROR(__xludf.DUMMYFUNCTION("""COMPUTED_VALUE"""),"28o 38' 49""")</f>
        <v>28o 38' 49"</v>
      </c>
      <c r="J2573" s="2" t="str">
        <f>IFERROR(__xludf.DUMMYFUNCTION("""COMPUTED_VALUE"""),"28o 43' 21""")</f>
        <v>28o 43' 21"</v>
      </c>
      <c r="K2573" s="2" t="str">
        <f>IFERROR(__xludf.DUMMYFUNCTION("""COMPUTED_VALUE"""),"81o 59' 38""")</f>
        <v>81o 59' 38"</v>
      </c>
      <c r="L2573" s="2" t="str">
        <f>IFERROR(__xludf.DUMMYFUNCTION("""COMPUTED_VALUE"""),"82o 02' 26""")</f>
        <v>82o 02' 26"</v>
      </c>
      <c r="M2573" s="2" t="str">
        <f>IFERROR(__xludf.DUMMYFUNCTION("""COMPUTED_VALUE"""),"Ragda (Jajarkot)")</f>
        <v>Ragda (Jajarkot)</v>
      </c>
    </row>
    <row r="2574">
      <c r="A2574" s="2">
        <f>IFERROR(__xludf.DUMMYFUNCTION("""COMPUTED_VALUE"""),2573.0)</f>
        <v>2573</v>
      </c>
      <c r="B2574" s="2" t="str">
        <f>IFERROR(__xludf.DUMMYFUNCTION("""COMPUTED_VALUE"""),"Phatan Gad Hydropower Project")</f>
        <v>Phatan Gad Hydropower Project</v>
      </c>
      <c r="C2574" s="2">
        <f>IFERROR(__xludf.DUMMYFUNCTION("""COMPUTED_VALUE"""),9.17)</f>
        <v>9.17</v>
      </c>
      <c r="D2574" s="2" t="str">
        <f>IFERROR(__xludf.DUMMYFUNCTION("""COMPUTED_VALUE"""),"Phatan Gad")</f>
        <v>Phatan Gad</v>
      </c>
      <c r="E2574" s="2">
        <f>IFERROR(__xludf.DUMMYFUNCTION("""COMPUTED_VALUE"""),1639.0)</f>
        <v>1639</v>
      </c>
      <c r="F2574" s="3">
        <f>IFERROR(__xludf.DUMMYFUNCTION("""COMPUTED_VALUE"""),66614.0)</f>
        <v>66614</v>
      </c>
      <c r="G2574" s="2" t="str">
        <f>IFERROR(__xludf.DUMMYFUNCTION("""COMPUTED_VALUE"""),"Upendra Prasad Bhatta")</f>
        <v>Upendra Prasad Bhatta</v>
      </c>
      <c r="H2574" s="2" t="str">
        <f>IFERROR(__xludf.DUMMYFUNCTION("""COMPUTED_VALUE"""),"Mahakali, Darchula Phome 9851207411")</f>
        <v>Mahakali, Darchula Phome 9851207411</v>
      </c>
      <c r="I2574" s="2" t="str">
        <f>IFERROR(__xludf.DUMMYFUNCTION("""COMPUTED_VALUE"""),"27o 26' 35""")</f>
        <v>27o 26' 35"</v>
      </c>
      <c r="J2574" s="2" t="str">
        <f>IFERROR(__xludf.DUMMYFUNCTION("""COMPUTED_VALUE"""),"27o 27' 20""")</f>
        <v>27o 27' 20"</v>
      </c>
      <c r="K2574" s="2" t="str">
        <f>IFERROR(__xludf.DUMMYFUNCTION("""COMPUTED_VALUE"""),"80o 40' 55""")</f>
        <v>80o 40' 55"</v>
      </c>
      <c r="L2574" s="2" t="str">
        <f>IFERROR(__xludf.DUMMYFUNCTION("""COMPUTED_VALUE"""),"80o 42' 43""")</f>
        <v>80o 42' 43"</v>
      </c>
      <c r="M2574" s="2" t="str">
        <f>IFERROR(__xludf.DUMMYFUNCTION("""COMPUTED_VALUE"""),"Byash (Darchula)")</f>
        <v>Byash (Darchula)</v>
      </c>
    </row>
    <row r="2575">
      <c r="A2575" s="2">
        <f>IFERROR(__xludf.DUMMYFUNCTION("""COMPUTED_VALUE"""),2574.0)</f>
        <v>2574</v>
      </c>
      <c r="B2575" s="2" t="str">
        <f>IFERROR(__xludf.DUMMYFUNCTION("""COMPUTED_VALUE"""),"Jairi Khola Hydropower Project")</f>
        <v>Jairi Khola Hydropower Project</v>
      </c>
      <c r="C2575" s="2">
        <f>IFERROR(__xludf.DUMMYFUNCTION("""COMPUTED_VALUE"""),4.77)</f>
        <v>4.77</v>
      </c>
      <c r="D2575" s="2" t="str">
        <f>IFERROR(__xludf.DUMMYFUNCTION("""COMPUTED_VALUE"""),"Jairi Khola")</f>
        <v>Jairi Khola</v>
      </c>
      <c r="E2575" s="2">
        <f>IFERROR(__xludf.DUMMYFUNCTION("""COMPUTED_VALUE"""),1641.0)</f>
        <v>1641</v>
      </c>
      <c r="F2575" s="3">
        <f>IFERROR(__xludf.DUMMYFUNCTION("""COMPUTED_VALUE"""),66614.0)</f>
        <v>66614</v>
      </c>
      <c r="G2575" s="2" t="str">
        <f>IFERROR(__xludf.DUMMYFUNCTION("""COMPUTED_VALUE"""),"Nova Power Company Pvt. Ltd")</f>
        <v>Nova Power Company Pvt. Ltd</v>
      </c>
      <c r="H2575" s="2" t="str">
        <f>IFERROR(__xludf.DUMMYFUNCTION("""COMPUTED_VALUE"""),"Kaldhara-16, Kathmandu")</f>
        <v>Kaldhara-16, Kathmandu</v>
      </c>
      <c r="I2575" s="2" t="str">
        <f>IFERROR(__xludf.DUMMYFUNCTION("""COMPUTED_VALUE"""),"28o 53' 34""")</f>
        <v>28o 53' 34"</v>
      </c>
      <c r="J2575" s="2" t="str">
        <f>IFERROR(__xludf.DUMMYFUNCTION("""COMPUTED_VALUE"""),"28o 55' 34""")</f>
        <v>28o 55' 34"</v>
      </c>
      <c r="K2575" s="2" t="str">
        <f>IFERROR(__xludf.DUMMYFUNCTION("""COMPUTED_VALUE"""),"82o 53' 32""")</f>
        <v>82o 53' 32"</v>
      </c>
      <c r="L2575" s="2" t="str">
        <f>IFERROR(__xludf.DUMMYFUNCTION("""COMPUTED_VALUE"""),"82o 55' 32""")</f>
        <v>82o 55' 32"</v>
      </c>
      <c r="M2575" s="2" t="str">
        <f>IFERROR(__xludf.DUMMYFUNCTION("""COMPUTED_VALUE"""),"Dunai (Dolpa)")</f>
        <v>Dunai (Dolpa)</v>
      </c>
    </row>
    <row r="2576">
      <c r="A2576" s="2">
        <f>IFERROR(__xludf.DUMMYFUNCTION("""COMPUTED_VALUE"""),2575.0)</f>
        <v>2575</v>
      </c>
      <c r="B2576" s="2" t="str">
        <f>IFERROR(__xludf.DUMMYFUNCTION("""COMPUTED_VALUE"""),"Jeuli and Bauli Gad Hydropower Project")</f>
        <v>Jeuli and Bauli Gad Hydropower Project</v>
      </c>
      <c r="C2576" s="2">
        <f>IFERROR(__xludf.DUMMYFUNCTION("""COMPUTED_VALUE"""),9.9)</f>
        <v>9.9</v>
      </c>
      <c r="D2576" s="2" t="str">
        <f>IFERROR(__xludf.DUMMYFUNCTION("""COMPUTED_VALUE"""),"Jeuli and Bauli")</f>
        <v>Jeuli and Bauli</v>
      </c>
      <c r="E2576" s="2">
        <f>IFERROR(__xludf.DUMMYFUNCTION("""COMPUTED_VALUE"""),1685.0)</f>
        <v>1685</v>
      </c>
      <c r="F2576" s="3">
        <f>IFERROR(__xludf.DUMMYFUNCTION("""COMPUTED_VALUE"""),66615.0)</f>
        <v>66615</v>
      </c>
      <c r="G2576" s="2" t="str">
        <f>IFERROR(__xludf.DUMMYFUNCTION("""COMPUTED_VALUE"""),"Finvest Energy Pvt. Ltd.")</f>
        <v>Finvest Energy Pvt. Ltd.</v>
      </c>
      <c r="H2576" s="2" t="str">
        <f>IFERROR(__xludf.DUMMYFUNCTION("""COMPUTED_VALUE"""),"Kathmandu 30")</f>
        <v>Kathmandu 30</v>
      </c>
      <c r="I2576" s="2" t="str">
        <f>IFERROR(__xludf.DUMMYFUNCTION("""COMPUTED_VALUE"""),"29o 35' 57""")</f>
        <v>29o 35' 57"</v>
      </c>
      <c r="J2576" s="2" t="str">
        <f>IFERROR(__xludf.DUMMYFUNCTION("""COMPUTED_VALUE"""),"29o 38' 59""")</f>
        <v>29o 38' 59"</v>
      </c>
      <c r="K2576" s="2" t="str">
        <f>IFERROR(__xludf.DUMMYFUNCTION("""COMPUTED_VALUE"""),"81o 05' 52""")</f>
        <v>81o 05' 52"</v>
      </c>
      <c r="L2576" s="2" t="str">
        <f>IFERROR(__xludf.DUMMYFUNCTION("""COMPUTED_VALUE"""),"81o 09' 44""")</f>
        <v>81o 09' 44"</v>
      </c>
      <c r="M2576" s="2" t="str">
        <f>IFERROR(__xludf.DUMMYFUNCTION("""COMPUTED_VALUE"""),"Surma (Bajhang)")</f>
        <v>Surma (Bajhang)</v>
      </c>
    </row>
    <row r="2577">
      <c r="A2577" s="2">
        <f>IFERROR(__xludf.DUMMYFUNCTION("""COMPUTED_VALUE"""),2576.0)</f>
        <v>2576</v>
      </c>
      <c r="B2577" s="2" t="str">
        <f>IFERROR(__xludf.DUMMYFUNCTION("""COMPUTED_VALUE"""),"Juddi Khola Hydropoer Project")</f>
        <v>Juddi Khola Hydropoer Project</v>
      </c>
      <c r="C2577" s="2">
        <f>IFERROR(__xludf.DUMMYFUNCTION("""COMPUTED_VALUE"""),4.6)</f>
        <v>4.6</v>
      </c>
      <c r="D2577" s="2" t="str">
        <f>IFERROR(__xludf.DUMMYFUNCTION("""COMPUTED_VALUE"""),"Juddi Khola")</f>
        <v>Juddi Khola</v>
      </c>
      <c r="E2577" s="2">
        <f>IFERROR(__xludf.DUMMYFUNCTION("""COMPUTED_VALUE"""),1744.0)</f>
        <v>1744</v>
      </c>
      <c r="F2577" s="3">
        <f>IFERROR(__xludf.DUMMYFUNCTION("""COMPUTED_VALUE"""),66616.0)</f>
        <v>66616</v>
      </c>
      <c r="G2577" s="2" t="str">
        <f>IFERROR(__xludf.DUMMYFUNCTION("""COMPUTED_VALUE"""),"Bi. Pra. Bi, Energy Pvt. Ltd.")</f>
        <v>Bi. Pra. Bi, Energy Pvt. Ltd.</v>
      </c>
      <c r="H2577" s="2" t="str">
        <f>IFERROR(__xludf.DUMMYFUNCTION("""COMPUTED_VALUE"""),"Kathmandu -26, Banasthali")</f>
        <v>Kathmandu -26, Banasthali</v>
      </c>
      <c r="I2577" s="2" t="str">
        <f>IFERROR(__xludf.DUMMYFUNCTION("""COMPUTED_VALUE"""),"29o 24' 18""")</f>
        <v>29o 24' 18"</v>
      </c>
      <c r="J2577" s="2" t="str">
        <f>IFERROR(__xludf.DUMMYFUNCTION("""COMPUTED_VALUE"""),"29o 25' 30""")</f>
        <v>29o 25' 30"</v>
      </c>
      <c r="K2577" s="2" t="str">
        <f>IFERROR(__xludf.DUMMYFUNCTION("""COMPUTED_VALUE"""),"81o 39' 30""")</f>
        <v>81o 39' 30"</v>
      </c>
      <c r="L2577" s="2" t="str">
        <f>IFERROR(__xludf.DUMMYFUNCTION("""COMPUTED_VALUE"""),"81o 41' 06""")</f>
        <v>81o 41' 06"</v>
      </c>
      <c r="M2577" s="2" t="str">
        <f>IFERROR(__xludf.DUMMYFUNCTION("""COMPUTED_VALUE"""),"Pandusain (Bajura)")</f>
        <v>Pandusain (Bajura)</v>
      </c>
    </row>
    <row r="2578">
      <c r="A2578" s="2">
        <f>IFERROR(__xludf.DUMMYFUNCTION("""COMPUTED_VALUE"""),2577.0)</f>
        <v>2577</v>
      </c>
      <c r="B2578" s="2" t="str">
        <f>IFERROR(__xludf.DUMMYFUNCTION("""COMPUTED_VALUE"""),"Japhe Khola Hydropower Project")</f>
        <v>Japhe Khola Hydropower Project</v>
      </c>
      <c r="C2578" s="2">
        <f>IFERROR(__xludf.DUMMYFUNCTION("""COMPUTED_VALUE"""),4.6)</f>
        <v>4.6</v>
      </c>
      <c r="D2578" s="2" t="str">
        <f>IFERROR(__xludf.DUMMYFUNCTION("""COMPUTED_VALUE"""),"Japhe Khola and Majh Gad")</f>
        <v>Japhe Khola and Majh Gad</v>
      </c>
      <c r="E2578" s="2">
        <f>IFERROR(__xludf.DUMMYFUNCTION("""COMPUTED_VALUE"""),1745.0)</f>
        <v>1745</v>
      </c>
      <c r="F2578" s="3">
        <f>IFERROR(__xludf.DUMMYFUNCTION("""COMPUTED_VALUE"""),66618.0)</f>
        <v>66618</v>
      </c>
      <c r="G2578" s="2" t="str">
        <f>IFERROR(__xludf.DUMMYFUNCTION("""COMPUTED_VALUE"""),"Hawkins Pvt. Ltd.")</f>
        <v>Hawkins Pvt. Ltd.</v>
      </c>
      <c r="H2578" s="2" t="str">
        <f>IFERROR(__xludf.DUMMYFUNCTION("""COMPUTED_VALUE"""),"KMC-4-Tangal, Kathmandu")</f>
        <v>KMC-4-Tangal, Kathmandu</v>
      </c>
      <c r="I2578" s="2" t="str">
        <f>IFERROR(__xludf.DUMMYFUNCTION("""COMPUTED_VALUE"""),"29o 20' 15""")</f>
        <v>29o 20' 15"</v>
      </c>
      <c r="J2578" s="2" t="str">
        <f>IFERROR(__xludf.DUMMYFUNCTION("""COMPUTED_VALUE"""),"29o 22' 00""")</f>
        <v>29o 22' 00"</v>
      </c>
      <c r="K2578" s="2" t="str">
        <f>IFERROR(__xludf.DUMMYFUNCTION("""COMPUTED_VALUE"""),"81o 50' 00""")</f>
        <v>81o 50' 00"</v>
      </c>
      <c r="L2578" s="2" t="str">
        <f>IFERROR(__xludf.DUMMYFUNCTION("""COMPUTED_VALUE"""),"81o 52' 55""")</f>
        <v>81o 52' 55"</v>
      </c>
      <c r="M2578" s="2"/>
    </row>
    <row r="2579">
      <c r="A2579" s="2">
        <f>IFERROR(__xludf.DUMMYFUNCTION("""COMPUTED_VALUE"""),2578.0)</f>
        <v>2578</v>
      </c>
      <c r="B2579" s="2" t="str">
        <f>IFERROR(__xludf.DUMMYFUNCTION("""COMPUTED_VALUE"""),"Upper Malta Bagmati Hydropower Project")</f>
        <v>Upper Malta Bagmati Hydropower Project</v>
      </c>
      <c r="C2579" s="2">
        <f>IFERROR(__xludf.DUMMYFUNCTION("""COMPUTED_VALUE"""),9.0)</f>
        <v>9</v>
      </c>
      <c r="D2579" s="2" t="str">
        <f>IFERROR(__xludf.DUMMYFUNCTION("""COMPUTED_VALUE"""),"Bagmati")</f>
        <v>Bagmati</v>
      </c>
      <c r="E2579" s="2">
        <f>IFERROR(__xludf.DUMMYFUNCTION("""COMPUTED_VALUE"""),1772.0)</f>
        <v>1772</v>
      </c>
      <c r="F2579" s="3">
        <f>IFERROR(__xludf.DUMMYFUNCTION("""COMPUTED_VALUE"""),66618.0)</f>
        <v>66618</v>
      </c>
      <c r="G2579" s="2" t="str">
        <f>IFERROR(__xludf.DUMMYFUNCTION("""COMPUTED_VALUE"""),"Luminous Energy Solution Private Limited")</f>
        <v>Luminous Energy Solution Private Limited</v>
      </c>
      <c r="H2579" s="2" t="str">
        <f>IFERROR(__xludf.DUMMYFUNCTION("""COMPUTED_VALUE"""),"Kageswari Manohara-9, Kathmandu")</f>
        <v>Kageswari Manohara-9, Kathmandu</v>
      </c>
      <c r="I2579" s="2" t="str">
        <f>IFERROR(__xludf.DUMMYFUNCTION("""COMPUTED_VALUE"""),"27o 29' 36""")</f>
        <v>27o 29' 36"</v>
      </c>
      <c r="J2579" s="2" t="str">
        <f>IFERROR(__xludf.DUMMYFUNCTION("""COMPUTED_VALUE"""),"27o 30' 20""")</f>
        <v>27o 30' 20"</v>
      </c>
      <c r="K2579" s="2" t="str">
        <f>IFERROR(__xludf.DUMMYFUNCTION("""COMPUTED_VALUE"""),"85o 13' 40""")</f>
        <v>85o 13' 40"</v>
      </c>
      <c r="L2579" s="2" t="str">
        <f>IFERROR(__xludf.DUMMYFUNCTION("""COMPUTED_VALUE"""),"85o 15' 40""")</f>
        <v>85o 15' 40"</v>
      </c>
      <c r="M2579" s="2" t="str">
        <f>IFERROR(__xludf.DUMMYFUNCTION("""COMPUTED_VALUE"""),"Malta (Lalitpur) Ipa Panchakanya (Makawanpur)")</f>
        <v>Malta (Lalitpur) Ipa Panchakanya (Makawanpur)</v>
      </c>
    </row>
    <row r="2580">
      <c r="A2580" s="2">
        <f>IFERROR(__xludf.DUMMYFUNCTION("""COMPUTED_VALUE"""),2579.0)</f>
        <v>2579</v>
      </c>
      <c r="B2580" s="2" t="str">
        <f>IFERROR(__xludf.DUMMYFUNCTION("""COMPUTED_VALUE"""),"Saeli-Gaad Hydropower Project")</f>
        <v>Saeli-Gaad Hydropower Project</v>
      </c>
      <c r="C2580" s="2">
        <f>IFERROR(__xludf.DUMMYFUNCTION("""COMPUTED_VALUE"""),8.7)</f>
        <v>8.7</v>
      </c>
      <c r="D2580" s="2" t="str">
        <f>IFERROR(__xludf.DUMMYFUNCTION("""COMPUTED_VALUE"""),"Saeli Gaad")</f>
        <v>Saeli Gaad</v>
      </c>
      <c r="E2580" s="2">
        <f>IFERROR(__xludf.DUMMYFUNCTION("""COMPUTED_VALUE"""),1777.0)</f>
        <v>1777</v>
      </c>
      <c r="F2580" s="3">
        <f>IFERROR(__xludf.DUMMYFUNCTION("""COMPUTED_VALUE"""),66618.0)</f>
        <v>66618</v>
      </c>
      <c r="G2580" s="2" t="str">
        <f>IFERROR(__xludf.DUMMYFUNCTION("""COMPUTED_VALUE"""),"Snow Hills Pvt.Ltd.")</f>
        <v>Snow Hills Pvt.Ltd.</v>
      </c>
      <c r="H2580" s="2" t="str">
        <f>IFERROR(__xludf.DUMMYFUNCTION("""COMPUTED_VALUE"""),"Kathamndu-29")</f>
        <v>Kathamndu-29</v>
      </c>
      <c r="I2580" s="2" t="str">
        <f>IFERROR(__xludf.DUMMYFUNCTION("""COMPUTED_VALUE"""),"29o 21' 55""")</f>
        <v>29o 21' 55"</v>
      </c>
      <c r="J2580" s="2" t="str">
        <f>IFERROR(__xludf.DUMMYFUNCTION("""COMPUTED_VALUE"""),"29o 23' 15""")</f>
        <v>29o 23' 15"</v>
      </c>
      <c r="K2580" s="2" t="str">
        <f>IFERROR(__xludf.DUMMYFUNCTION("""COMPUTED_VALUE"""),"80o 57' 55""")</f>
        <v>80o 57' 55"</v>
      </c>
      <c r="L2580" s="2" t="str">
        <f>IFERROR(__xludf.DUMMYFUNCTION("""COMPUTED_VALUE"""),"81o 01' 07""")</f>
        <v>81o 01' 07"</v>
      </c>
      <c r="M2580" s="2" t="str">
        <f>IFERROR(__xludf.DUMMYFUNCTION("""COMPUTED_VALUE"""),"Sanagau (Doti)")</f>
        <v>Sanagau (Doti)</v>
      </c>
    </row>
    <row r="2581">
      <c r="A2581" s="2">
        <f>IFERROR(__xludf.DUMMYFUNCTION("""COMPUTED_VALUE"""),2580.0)</f>
        <v>2580</v>
      </c>
      <c r="B2581" s="2" t="str">
        <f>IFERROR(__xludf.DUMMYFUNCTION("""COMPUTED_VALUE"""),"Lower Uttarganga Hydropower Project")</f>
        <v>Lower Uttarganga Hydropower Project</v>
      </c>
      <c r="C2581" s="2">
        <f>IFERROR(__xludf.DUMMYFUNCTION("""COMPUTED_VALUE"""),23.0)</f>
        <v>23</v>
      </c>
      <c r="D2581" s="2" t="str">
        <f>IFERROR(__xludf.DUMMYFUNCTION("""COMPUTED_VALUE"""),"Uttar Ganga")</f>
        <v>Uttar Ganga</v>
      </c>
      <c r="E2581" s="2">
        <f>IFERROR(__xludf.DUMMYFUNCTION("""COMPUTED_VALUE"""),1863.0)</f>
        <v>1863</v>
      </c>
      <c r="F2581" s="3">
        <f>IFERROR(__xludf.DUMMYFUNCTION("""COMPUTED_VALUE"""),66626.0)</f>
        <v>66626</v>
      </c>
      <c r="G2581" s="2" t="str">
        <f>IFERROR(__xludf.DUMMYFUNCTION("""COMPUTED_VALUE"""),"Syarpu Power Company Limited")</f>
        <v>Syarpu Power Company Limited</v>
      </c>
      <c r="H2581" s="2" t="str">
        <f>IFERROR(__xludf.DUMMYFUNCTION("""COMPUTED_VALUE"""),"Bakhundole, Lalitpur")</f>
        <v>Bakhundole, Lalitpur</v>
      </c>
      <c r="I2581" s="2" t="str">
        <f>IFERROR(__xludf.DUMMYFUNCTION("""COMPUTED_VALUE"""),"28o 35' 00""")</f>
        <v>28o 35' 00"</v>
      </c>
      <c r="J2581" s="2" t="str">
        <f>IFERROR(__xludf.DUMMYFUNCTION("""COMPUTED_VALUE"""),"28o 37' 40""")</f>
        <v>28o 37' 40"</v>
      </c>
      <c r="K2581" s="2" t="str">
        <f>IFERROR(__xludf.DUMMYFUNCTION("""COMPUTED_VALUE"""),"82o 45' 14""")</f>
        <v>82o 45' 14"</v>
      </c>
      <c r="L2581" s="2" t="str">
        <f>IFERROR(__xludf.DUMMYFUNCTION("""COMPUTED_VALUE"""),"82o 49' 15""")</f>
        <v>82o 49' 15"</v>
      </c>
      <c r="M2581" s="2" t="str">
        <f>IFERROR(__xludf.DUMMYFUNCTION("""COMPUTED_VALUE"""),"Kol,Taksera (Rukum)")</f>
        <v>Kol,Taksera (Rukum)</v>
      </c>
    </row>
    <row r="2582">
      <c r="A2582" s="2">
        <f>IFERROR(__xludf.DUMMYFUNCTION("""COMPUTED_VALUE"""),2581.0)</f>
        <v>2581</v>
      </c>
      <c r="B2582" s="2" t="str">
        <f>IFERROR(__xludf.DUMMYFUNCTION("""COMPUTED_VALUE"""),"Super Budhigandaki Hydropower Project")</f>
        <v>Super Budhigandaki Hydropower Project</v>
      </c>
      <c r="C2582" s="2">
        <f>IFERROR(__xludf.DUMMYFUNCTION("""COMPUTED_VALUE"""),24.5)</f>
        <v>24.5</v>
      </c>
      <c r="D2582" s="2" t="str">
        <f>IFERROR(__xludf.DUMMYFUNCTION("""COMPUTED_VALUE"""),"Budhi Gandaki")</f>
        <v>Budhi Gandaki</v>
      </c>
      <c r="E2582" s="2">
        <f>IFERROR(__xludf.DUMMYFUNCTION("""COMPUTED_VALUE"""),2003.0)</f>
        <v>2003</v>
      </c>
      <c r="F2582" s="3">
        <f>IFERROR(__xludf.DUMMYFUNCTION("""COMPUTED_VALUE"""),66632.0)</f>
        <v>66632</v>
      </c>
      <c r="G2582" s="2" t="str">
        <f>IFERROR(__xludf.DUMMYFUNCTION("""COMPUTED_VALUE"""),"H. And H. Hydropower Private Limited")</f>
        <v>H. And H. Hydropower Private Limited</v>
      </c>
      <c r="H2582" s="2" t="str">
        <f>IFERROR(__xludf.DUMMYFUNCTION("""COMPUTED_VALUE"""),"Sundhara - 11, Kathmandu, Nepal")</f>
        <v>Sundhara - 11, Kathmandu, Nepal</v>
      </c>
      <c r="I2582" s="2" t="str">
        <f>IFERROR(__xludf.DUMMYFUNCTION("""COMPUTED_VALUE"""),"28o 34' 37""")</f>
        <v>28o 34' 37"</v>
      </c>
      <c r="J2582" s="2" t="str">
        <f>IFERROR(__xludf.DUMMYFUNCTION("""COMPUTED_VALUE"""),"28o 36' 16""")</f>
        <v>28o 36' 16"</v>
      </c>
      <c r="K2582" s="2" t="str">
        <f>IFERROR(__xludf.DUMMYFUNCTION("""COMPUTED_VALUE"""),"84o 38' 00""")</f>
        <v>84o 38' 00"</v>
      </c>
      <c r="L2582" s="2" t="str">
        <f>IFERROR(__xludf.DUMMYFUNCTION("""COMPUTED_VALUE"""),"84o 41' 16""")</f>
        <v>84o 41' 16"</v>
      </c>
      <c r="M2582" s="2" t="str">
        <f>IFERROR(__xludf.DUMMYFUNCTION("""COMPUTED_VALUE"""),"Lho,Samagaun (Gorkha)")</f>
        <v>Lho,Samagaun (Gorkha)</v>
      </c>
    </row>
    <row r="2583">
      <c r="A2583" s="2">
        <f>IFERROR(__xludf.DUMMYFUNCTION("""COMPUTED_VALUE"""),2582.0)</f>
        <v>2582</v>
      </c>
      <c r="B2583" s="2" t="str">
        <f>IFERROR(__xludf.DUMMYFUNCTION("""COMPUTED_VALUE"""),"Lower Saeli-Gaad Hydropower Project")</f>
        <v>Lower Saeli-Gaad Hydropower Project</v>
      </c>
      <c r="C2583" s="2">
        <f>IFERROR(__xludf.DUMMYFUNCTION("""COMPUTED_VALUE"""),6.7)</f>
        <v>6.7</v>
      </c>
      <c r="D2583" s="2" t="str">
        <f>IFERROR(__xludf.DUMMYFUNCTION("""COMPUTED_VALUE"""),"Saeli Gaad")</f>
        <v>Saeli Gaad</v>
      </c>
      <c r="E2583" s="2">
        <f>IFERROR(__xludf.DUMMYFUNCTION("""COMPUTED_VALUE"""),2016.0)</f>
        <v>2016</v>
      </c>
      <c r="F2583" s="3">
        <f>IFERROR(__xludf.DUMMYFUNCTION("""COMPUTED_VALUE"""),66632.0)</f>
        <v>66632</v>
      </c>
      <c r="G2583" s="2" t="str">
        <f>IFERROR(__xludf.DUMMYFUNCTION("""COMPUTED_VALUE"""),"Aarambha Urja Pvt. Ltd")</f>
        <v>Aarambha Urja Pvt. Ltd</v>
      </c>
      <c r="H2583" s="2" t="str">
        <f>IFERROR(__xludf.DUMMYFUNCTION("""COMPUTED_VALUE"""),"Kathmandu-29")</f>
        <v>Kathmandu-29</v>
      </c>
      <c r="I2583" s="2" t="str">
        <f>IFERROR(__xludf.DUMMYFUNCTION("""COMPUTED_VALUE"""),"29o 21' 10""")</f>
        <v>29o 21' 10"</v>
      </c>
      <c r="J2583" s="2" t="str">
        <f>IFERROR(__xludf.DUMMYFUNCTION("""COMPUTED_VALUE"""),"29o 22' 30""")</f>
        <v>29o 22' 30"</v>
      </c>
      <c r="K2583" s="2" t="str">
        <f>IFERROR(__xludf.DUMMYFUNCTION("""COMPUTED_VALUE"""),"80o 54' 49""")</f>
        <v>80o 54' 49"</v>
      </c>
      <c r="L2583" s="2" t="str">
        <f>IFERROR(__xludf.DUMMYFUNCTION("""COMPUTED_VALUE"""),"80o 57' 55""")</f>
        <v>80o 57' 55"</v>
      </c>
      <c r="M2583" s="2" t="str">
        <f>IFERROR(__xludf.DUMMYFUNCTION("""COMPUTED_VALUE"""),"Chagara Chautara (Doti)")</f>
        <v>Chagara Chautara (Doti)</v>
      </c>
    </row>
    <row r="2584">
      <c r="A2584" s="2">
        <f>IFERROR(__xludf.DUMMYFUNCTION("""COMPUTED_VALUE"""),2583.0)</f>
        <v>2583</v>
      </c>
      <c r="B2584" s="2" t="str">
        <f>IFERROR(__xludf.DUMMYFUNCTION("""COMPUTED_VALUE"""),"Upper Sisuwa Khola Hydroelectric Project")</f>
        <v>Upper Sisuwa Khola Hydroelectric Project</v>
      </c>
      <c r="C2584" s="2">
        <f>IFERROR(__xludf.DUMMYFUNCTION("""COMPUTED_VALUE"""),4.77)</f>
        <v>4.77</v>
      </c>
      <c r="D2584" s="2" t="str">
        <f>IFERROR(__xludf.DUMMYFUNCTION("""COMPUTED_VALUE"""),"Sisuwa")</f>
        <v>Sisuwa</v>
      </c>
      <c r="E2584" s="2">
        <f>IFERROR(__xludf.DUMMYFUNCTION("""COMPUTED_VALUE"""),2218.0)</f>
        <v>2218</v>
      </c>
      <c r="F2584" s="3">
        <f>IFERROR(__xludf.DUMMYFUNCTION("""COMPUTED_VALUE"""),66639.0)</f>
        <v>66639</v>
      </c>
      <c r="G2584" s="2" t="str">
        <f>IFERROR(__xludf.DUMMYFUNCTION("""COMPUTED_VALUE"""),"Matsya Tatha Urja Company Private Limited")</f>
        <v>Matsya Tatha Urja Company Private Limited</v>
      </c>
      <c r="H2584" s="2" t="str">
        <f>IFERROR(__xludf.DUMMYFUNCTION("""COMPUTED_VALUE"""),"Tokha- 7, Kathmandu")</f>
        <v>Tokha- 7, Kathmandu</v>
      </c>
      <c r="I2584" s="2" t="str">
        <f>IFERROR(__xludf.DUMMYFUNCTION("""COMPUTED_VALUE"""),"27o 30' 01""")</f>
        <v>27o 30' 01"</v>
      </c>
      <c r="J2584" s="2" t="str">
        <f>IFERROR(__xludf.DUMMYFUNCTION("""COMPUTED_VALUE"""),"27o 31' 00""")</f>
        <v>27o 31' 00"</v>
      </c>
      <c r="K2584" s="2" t="str">
        <f>IFERROR(__xludf.DUMMYFUNCTION("""COMPUTED_VALUE"""),"86o 59' 57""")</f>
        <v>86o 59' 57"</v>
      </c>
      <c r="L2584" s="2" t="str">
        <f>IFERROR(__xludf.DUMMYFUNCTION("""COMPUTED_VALUE"""),"87o 01' 49""")</f>
        <v>87o 01' 49"</v>
      </c>
      <c r="M2584" s="2" t="str">
        <f>IFERROR(__xludf.DUMMYFUNCTION("""COMPUTED_VALUE"""),"Bala,Sisuwakhola (Sankhuwasabha)")</f>
        <v>Bala,Sisuwakhola (Sankhuwasabha)</v>
      </c>
    </row>
    <row r="2585">
      <c r="A2585" s="2">
        <f>IFERROR(__xludf.DUMMYFUNCTION("""COMPUTED_VALUE"""),2584.0)</f>
        <v>2584</v>
      </c>
      <c r="B2585" s="2" t="str">
        <f>IFERROR(__xludf.DUMMYFUNCTION("""COMPUTED_VALUE"""),"Upper Bhairabkunda Khola Hydroelectric Project")</f>
        <v>Upper Bhairabkunda Khola Hydroelectric Project</v>
      </c>
      <c r="C2585" s="2">
        <f>IFERROR(__xludf.DUMMYFUNCTION("""COMPUTED_VALUE"""),4.17)</f>
        <v>4.17</v>
      </c>
      <c r="D2585" s="2" t="str">
        <f>IFERROR(__xludf.DUMMYFUNCTION("""COMPUTED_VALUE"""),"Bhairab Kund")</f>
        <v>Bhairab Kund</v>
      </c>
      <c r="E2585" s="2">
        <f>IFERROR(__xludf.DUMMYFUNCTION("""COMPUTED_VALUE"""),2410.0)</f>
        <v>2410</v>
      </c>
      <c r="F2585" s="3">
        <f>IFERROR(__xludf.DUMMYFUNCTION("""COMPUTED_VALUE"""),66655.0)</f>
        <v>66655</v>
      </c>
      <c r="G2585" s="2" t="str">
        <f>IFERROR(__xludf.DUMMYFUNCTION("""COMPUTED_VALUE"""),"Bright Power Company Private Limited")</f>
        <v>Bright Power Company Private Limited</v>
      </c>
      <c r="H2585" s="2" t="str">
        <f>IFERROR(__xludf.DUMMYFUNCTION("""COMPUTED_VALUE"""),"KMC-1, Naxal")</f>
        <v>KMC-1, Naxal</v>
      </c>
      <c r="I2585" s="2" t="str">
        <f>IFERROR(__xludf.DUMMYFUNCTION("""COMPUTED_VALUE"""),"27o 56' 18""")</f>
        <v>27o 56' 18"</v>
      </c>
      <c r="J2585" s="2" t="str">
        <f>IFERROR(__xludf.DUMMYFUNCTION("""COMPUTED_VALUE"""),"27o 57' 13""")</f>
        <v>27o 57' 13"</v>
      </c>
      <c r="K2585" s="2" t="str">
        <f>IFERROR(__xludf.DUMMYFUNCTION("""COMPUTED_VALUE"""),"85o 54' 52""")</f>
        <v>85o 54' 52"</v>
      </c>
      <c r="L2585" s="2" t="str">
        <f>IFERROR(__xludf.DUMMYFUNCTION("""COMPUTED_VALUE"""),"85o 55' 53""")</f>
        <v>85o 55' 53"</v>
      </c>
      <c r="M2585" s="2" t="str">
        <f>IFERROR(__xludf.DUMMYFUNCTION("""COMPUTED_VALUE"""),"Tatopani (Sindhupalchok)")</f>
        <v>Tatopani (Sindhupalchok)</v>
      </c>
    </row>
    <row r="2586">
      <c r="A2586" s="2">
        <f>IFERROR(__xludf.DUMMYFUNCTION("""COMPUTED_VALUE"""),2585.0)</f>
        <v>2585</v>
      </c>
      <c r="B2586" s="2" t="str">
        <f>IFERROR(__xludf.DUMMYFUNCTION("""COMPUTED_VALUE"""),"Hepka Khola Hydropower Project")</f>
        <v>Hepka Khola Hydropower Project</v>
      </c>
      <c r="C2586" s="2">
        <f>IFERROR(__xludf.DUMMYFUNCTION("""COMPUTED_VALUE"""),19.7)</f>
        <v>19.7</v>
      </c>
      <c r="D2586" s="2" t="str">
        <f>IFERROR(__xludf.DUMMYFUNCTION("""COMPUTED_VALUE"""),"Hepka khola")</f>
        <v>Hepka khola</v>
      </c>
      <c r="E2586" s="2">
        <f>IFERROR(__xludf.DUMMYFUNCTION("""COMPUTED_VALUE"""),2464.0)</f>
        <v>2464</v>
      </c>
      <c r="F2586" s="3">
        <f>IFERROR(__xludf.DUMMYFUNCTION("""COMPUTED_VALUE"""),66656.0)</f>
        <v>66656</v>
      </c>
      <c r="G2586" s="2" t="str">
        <f>IFERROR(__xludf.DUMMYFUNCTION("""COMPUTED_VALUE"""),"Aviyan Renewable Energy Pvt. Ltd")</f>
        <v>Aviyan Renewable Energy Pvt. Ltd</v>
      </c>
      <c r="H2586" s="2" t="str">
        <f>IFERROR(__xludf.DUMMYFUNCTION("""COMPUTED_VALUE"""),"Battisputali Kathmandu")</f>
        <v>Battisputali Kathmandu</v>
      </c>
      <c r="I2586" s="2" t="str">
        <f>IFERROR(__xludf.DUMMYFUNCTION("""COMPUTED_VALUE"""),"30o 01' 05""")</f>
        <v>30o 01' 05"</v>
      </c>
      <c r="J2586" s="2" t="str">
        <f>IFERROR(__xludf.DUMMYFUNCTION("""COMPUTED_VALUE"""),"30o 04' 14""")</f>
        <v>30o 04' 14"</v>
      </c>
      <c r="K2586" s="2" t="str">
        <f>IFERROR(__xludf.DUMMYFUNCTION("""COMPUTED_VALUE"""),"81o 47' 28""")</f>
        <v>81o 47' 28"</v>
      </c>
      <c r="L2586" s="2" t="str">
        <f>IFERROR(__xludf.DUMMYFUNCTION("""COMPUTED_VALUE"""),"81o 51' 16""")</f>
        <v>81o 51' 16"</v>
      </c>
      <c r="M2586" s="2" t="str">
        <f>IFERROR(__xludf.DUMMYFUNCTION("""COMPUTED_VALUE"""),"Simikot (Humla)")</f>
        <v>Simikot (Humla)</v>
      </c>
    </row>
    <row r="2587">
      <c r="A2587" s="2">
        <f>IFERROR(__xludf.DUMMYFUNCTION("""COMPUTED_VALUE"""),2586.0)</f>
        <v>2586</v>
      </c>
      <c r="B2587" s="2" t="str">
        <f>IFERROR(__xludf.DUMMYFUNCTION("""COMPUTED_VALUE"""),"Gobre Gad Khola Hydropower Project")</f>
        <v>Gobre Gad Khola Hydropower Project</v>
      </c>
      <c r="C2587" s="2">
        <f>IFERROR(__xludf.DUMMYFUNCTION("""COMPUTED_VALUE"""),4.86)</f>
        <v>4.86</v>
      </c>
      <c r="D2587" s="2" t="str">
        <f>IFERROR(__xludf.DUMMYFUNCTION("""COMPUTED_VALUE"""),"Gobre Gad Khola")</f>
        <v>Gobre Gad Khola</v>
      </c>
      <c r="E2587" s="2">
        <f>IFERROR(__xludf.DUMMYFUNCTION("""COMPUTED_VALUE"""),2546.0)</f>
        <v>2546</v>
      </c>
      <c r="F2587" s="2" t="str">
        <f>IFERROR(__xludf.DUMMYFUNCTION("""COMPUTED_VALUE"""),"2082-06-31")</f>
        <v>2082-06-31</v>
      </c>
      <c r="G2587" s="2" t="str">
        <f>IFERROR(__xludf.DUMMYFUNCTION("""COMPUTED_VALUE"""),"Gopal Prasad Banjara")</f>
        <v>Gopal Prasad Banjara</v>
      </c>
      <c r="H2587" s="2" t="str">
        <f>IFERROR(__xludf.DUMMYFUNCTION("""COMPUTED_VALUE"""),"Kathmandu 15")</f>
        <v>Kathmandu 15</v>
      </c>
      <c r="I2587" s="2" t="str">
        <f>IFERROR(__xludf.DUMMYFUNCTION("""COMPUTED_VALUE"""),"29o 01' 02""")</f>
        <v>29o 01' 02"</v>
      </c>
      <c r="J2587" s="2" t="str">
        <f>IFERROR(__xludf.DUMMYFUNCTION("""COMPUTED_VALUE"""),"29o 03' 33""")</f>
        <v>29o 03' 33"</v>
      </c>
      <c r="K2587" s="2" t="str">
        <f>IFERROR(__xludf.DUMMYFUNCTION("""COMPUTED_VALUE"""),"82o 19' 15""")</f>
        <v>82o 19' 15"</v>
      </c>
      <c r="L2587" s="2" t="str">
        <f>IFERROR(__xludf.DUMMYFUNCTION("""COMPUTED_VALUE"""),"82o 20' 58""")</f>
        <v>82o 20' 58"</v>
      </c>
      <c r="M2587" s="2" t="str">
        <f>IFERROR(__xludf.DUMMYFUNCTION("""COMPUTED_VALUE"""),"Bhagawati Tol (Jajarkot)")</f>
        <v>Bhagawati Tol (Jajarkot)</v>
      </c>
    </row>
    <row r="2588">
      <c r="A2588" s="2">
        <f>IFERROR(__xludf.DUMMYFUNCTION("""COMPUTED_VALUE"""),2587.0)</f>
        <v>2587</v>
      </c>
      <c r="B2588" s="2" t="str">
        <f>IFERROR(__xludf.DUMMYFUNCTION("""COMPUTED_VALUE"""),"Mewa Khola Cascade Hydropower Project")</f>
        <v>Mewa Khola Cascade Hydropower Project</v>
      </c>
      <c r="C2588" s="2">
        <f>IFERROR(__xludf.DUMMYFUNCTION("""COMPUTED_VALUE"""),35.0)</f>
        <v>35</v>
      </c>
      <c r="D2588" s="2" t="str">
        <f>IFERROR(__xludf.DUMMYFUNCTION("""COMPUTED_VALUE"""),"Mewa Khola")</f>
        <v>Mewa Khola</v>
      </c>
      <c r="E2588" s="2">
        <f>IFERROR(__xludf.DUMMYFUNCTION("""COMPUTED_VALUE"""),2550.0)</f>
        <v>2550</v>
      </c>
      <c r="F2588" s="2" t="str">
        <f>IFERROR(__xludf.DUMMYFUNCTION("""COMPUTED_VALUE"""),"2082-06-31")</f>
        <v>2082-06-31</v>
      </c>
      <c r="G2588" s="2" t="str">
        <f>IFERROR(__xludf.DUMMYFUNCTION("""COMPUTED_VALUE"""),"Sahakarya Urja Private Limited")</f>
        <v>Sahakarya Urja Private Limited</v>
      </c>
      <c r="H2588" s="2" t="str">
        <f>IFERROR(__xludf.DUMMYFUNCTION("""COMPUTED_VALUE"""),"KMC-14, Kathmandu, Nepal")</f>
        <v>KMC-14, Kathmandu, Nepal</v>
      </c>
      <c r="I2588" s="2" t="str">
        <f>IFERROR(__xludf.DUMMYFUNCTION("""COMPUTED_VALUE"""),"27o 22' 00""")</f>
        <v>27o 22' 00"</v>
      </c>
      <c r="J2588" s="2" t="str">
        <f>IFERROR(__xludf.DUMMYFUNCTION("""COMPUTED_VALUE"""),"27o 24' 08""")</f>
        <v>27o 24' 08"</v>
      </c>
      <c r="K2588" s="2" t="str">
        <f>IFERROR(__xludf.DUMMYFUNCTION("""COMPUTED_VALUE"""),"87o 37' 15""")</f>
        <v>87o 37' 15"</v>
      </c>
      <c r="L2588" s="2" t="str">
        <f>IFERROR(__xludf.DUMMYFUNCTION("""COMPUTED_VALUE"""),"87o 38' 00""")</f>
        <v>87o 38' 00"</v>
      </c>
      <c r="M2588" s="2" t="str">
        <f>IFERROR(__xludf.DUMMYFUNCTION("""COMPUTED_VALUE"""),"Khokling,Khamlung,Phungling,Santhakra (Taplejung)")</f>
        <v>Khokling,Khamlung,Phungling,Santhakra (Taplejung)</v>
      </c>
    </row>
    <row r="2589">
      <c r="A2589" s="2">
        <f>IFERROR(__xludf.DUMMYFUNCTION("""COMPUTED_VALUE"""),2588.0)</f>
        <v>2588</v>
      </c>
      <c r="B2589" s="2" t="str">
        <f>IFERROR(__xludf.DUMMYFUNCTION("""COMPUTED_VALUE"""),"Sunkoshi - Bagar Hydropower Project")</f>
        <v>Sunkoshi - Bagar Hydropower Project</v>
      </c>
      <c r="C2589" s="2">
        <f>IFERROR(__xludf.DUMMYFUNCTION("""COMPUTED_VALUE"""),4.0)</f>
        <v>4</v>
      </c>
      <c r="D2589" s="2" t="str">
        <f>IFERROR(__xludf.DUMMYFUNCTION("""COMPUTED_VALUE"""),"Sunkoshi")</f>
        <v>Sunkoshi</v>
      </c>
      <c r="E2589" s="2">
        <f>IFERROR(__xludf.DUMMYFUNCTION("""COMPUTED_VALUE"""),2613.0)</f>
        <v>2613</v>
      </c>
      <c r="F2589" s="3">
        <f>IFERROR(__xludf.DUMMYFUNCTION("""COMPUTED_VALUE"""),66666.0)</f>
        <v>66666</v>
      </c>
      <c r="G2589" s="2" t="str">
        <f>IFERROR(__xludf.DUMMYFUNCTION("""COMPUTED_VALUE"""),"Latteshwori Power Company Private Limited")</f>
        <v>Latteshwori Power Company Private Limited</v>
      </c>
      <c r="H2589" s="2" t="str">
        <f>IFERROR(__xludf.DUMMYFUNCTION("""COMPUTED_VALUE"""),"Madhyapur Thimi, Bhaktapur")</f>
        <v>Madhyapur Thimi, Bhaktapur</v>
      </c>
      <c r="I2589" s="2" t="str">
        <f>IFERROR(__xludf.DUMMYFUNCTION("""COMPUTED_VALUE"""),"27o 46' 46""")</f>
        <v>27o 46' 46"</v>
      </c>
      <c r="J2589" s="2" t="str">
        <f>IFERROR(__xludf.DUMMYFUNCTION("""COMPUTED_VALUE"""),"27o 47' 23""")</f>
        <v>27o 47' 23"</v>
      </c>
      <c r="K2589" s="2" t="str">
        <f>IFERROR(__xludf.DUMMYFUNCTION("""COMPUTED_VALUE"""),"85o 56' 02""")</f>
        <v>85o 56' 02"</v>
      </c>
      <c r="L2589" s="2" t="str">
        <f>IFERROR(__xludf.DUMMYFUNCTION("""COMPUTED_VALUE"""),"85o 57' 48""")</f>
        <v>85o 57' 48"</v>
      </c>
      <c r="M2589" s="2" t="str">
        <f>IFERROR(__xludf.DUMMYFUNCTION("""COMPUTED_VALUE"""),"Choukati,Karthali (Sindhupalchok)")</f>
        <v>Choukati,Karthali (Sindhupalchok)</v>
      </c>
    </row>
    <row r="2590">
      <c r="A2590" s="2">
        <f>IFERROR(__xludf.DUMMYFUNCTION("""COMPUTED_VALUE"""),2589.0)</f>
        <v>2589</v>
      </c>
      <c r="B2590" s="2" t="str">
        <f>IFERROR(__xludf.DUMMYFUNCTION("""COMPUTED_VALUE"""),"Lower Thuligad Hydropower Project")</f>
        <v>Lower Thuligad Hydropower Project</v>
      </c>
      <c r="C2590" s="2">
        <f>IFERROR(__xludf.DUMMYFUNCTION("""COMPUTED_VALUE"""),9.95)</f>
        <v>9.95</v>
      </c>
      <c r="D2590" s="2" t="str">
        <f>IFERROR(__xludf.DUMMYFUNCTION("""COMPUTED_VALUE"""),"Thuligad Khola")</f>
        <v>Thuligad Khola</v>
      </c>
      <c r="E2590" s="2">
        <f>IFERROR(__xludf.DUMMYFUNCTION("""COMPUTED_VALUE"""),2767.0)</f>
        <v>2767</v>
      </c>
      <c r="F2590" s="3">
        <f>IFERROR(__xludf.DUMMYFUNCTION("""COMPUTED_VALUE"""),66671.0)</f>
        <v>66671</v>
      </c>
      <c r="G2590" s="2" t="str">
        <f>IFERROR(__xludf.DUMMYFUNCTION("""COMPUTED_VALUE"""),"Arpan Jalvidhyut Private Limited")</f>
        <v>Arpan Jalvidhyut Private Limited</v>
      </c>
      <c r="H2590" s="2" t="str">
        <f>IFERROR(__xludf.DUMMYFUNCTION("""COMPUTED_VALUE"""),"Kathmandu-03, Narayangopal Chowk")</f>
        <v>Kathmandu-03, Narayangopal Chowk</v>
      </c>
      <c r="I2590" s="2" t="str">
        <f>IFERROR(__xludf.DUMMYFUNCTION("""COMPUTED_VALUE"""),"28o 55' 47""")</f>
        <v>28o 55' 47"</v>
      </c>
      <c r="J2590" s="2" t="str">
        <f>IFERROR(__xludf.DUMMYFUNCTION("""COMPUTED_VALUE"""),"28o 58' 47""")</f>
        <v>28o 58' 47"</v>
      </c>
      <c r="K2590" s="2" t="str">
        <f>IFERROR(__xludf.DUMMYFUNCTION("""COMPUTED_VALUE"""),"80o 51' 22""")</f>
        <v>80o 51' 22"</v>
      </c>
      <c r="L2590" s="2" t="str">
        <f>IFERROR(__xludf.DUMMYFUNCTION("""COMPUTED_VALUE"""),"80o 54' 22""")</f>
        <v>80o 54' 22"</v>
      </c>
      <c r="M2590" s="2" t="str">
        <f>IFERROR(__xludf.DUMMYFUNCTION("""COMPUTED_VALUE"""),"Bhdhegau (Doti) Joshipur (Kailali)")</f>
        <v>Bhdhegau (Doti) Joshipur (Kailali)</v>
      </c>
    </row>
    <row r="2591">
      <c r="A2591" s="2">
        <f>IFERROR(__xludf.DUMMYFUNCTION("""COMPUTED_VALUE"""),2590.0)</f>
        <v>2590</v>
      </c>
      <c r="B2591" s="2" t="str">
        <f>IFERROR(__xludf.DUMMYFUNCTION("""COMPUTED_VALUE"""),"Lower Bhuji Khola Small Hydropower Project")</f>
        <v>Lower Bhuji Khola Small Hydropower Project</v>
      </c>
      <c r="C2591" s="2">
        <f>IFERROR(__xludf.DUMMYFUNCTION("""COMPUTED_VALUE"""),5.0)</f>
        <v>5</v>
      </c>
      <c r="D2591" s="2" t="str">
        <f>IFERROR(__xludf.DUMMYFUNCTION("""COMPUTED_VALUE"""),"Bhuji")</f>
        <v>Bhuji</v>
      </c>
      <c r="E2591" s="2">
        <f>IFERROR(__xludf.DUMMYFUNCTION("""COMPUTED_VALUE"""),2881.0)</f>
        <v>2881</v>
      </c>
      <c r="F2591" s="3">
        <f>IFERROR(__xludf.DUMMYFUNCTION("""COMPUTED_VALUE"""),66675.0)</f>
        <v>66675</v>
      </c>
      <c r="G2591" s="2" t="str">
        <f>IFERROR(__xludf.DUMMYFUNCTION("""COMPUTED_VALUE"""),"Aaditya Hydropower Private Limited")</f>
        <v>Aaditya Hydropower Private Limited</v>
      </c>
      <c r="H2591" s="2" t="str">
        <f>IFERROR(__xludf.DUMMYFUNCTION("""COMPUTED_VALUE"""),"Matatirtha - 14, Naya Naikap, Kathmandu, Nepal")</f>
        <v>Matatirtha - 14, Naya Naikap, Kathmandu, Nepal</v>
      </c>
      <c r="I2591" s="2" t="str">
        <f>IFERROR(__xludf.DUMMYFUNCTION("""COMPUTED_VALUE"""),"28o 20' 15""")</f>
        <v>28o 20' 15"</v>
      </c>
      <c r="J2591" s="2" t="str">
        <f>IFERROR(__xludf.DUMMYFUNCTION("""COMPUTED_VALUE"""),"28o 21' 34""")</f>
        <v>28o 21' 34"</v>
      </c>
      <c r="K2591" s="2" t="str">
        <f>IFERROR(__xludf.DUMMYFUNCTION("""COMPUTED_VALUE"""),"83o 07' 58""")</f>
        <v>83o 07' 58"</v>
      </c>
      <c r="L2591" s="2" t="str">
        <f>IFERROR(__xludf.DUMMYFUNCTION("""COMPUTED_VALUE"""),"83o 10' 00""")</f>
        <v>83o 10' 00"</v>
      </c>
      <c r="M2591" s="2" t="str">
        <f>IFERROR(__xludf.DUMMYFUNCTION("""COMPUTED_VALUE"""),"Adhikarichaur,Burtiwang (Baglung)")</f>
        <v>Adhikarichaur,Burtiwang (Baglung)</v>
      </c>
    </row>
    <row r="2592">
      <c r="A2592" s="2">
        <f>IFERROR(__xludf.DUMMYFUNCTION("""COMPUTED_VALUE"""),2591.0)</f>
        <v>2591</v>
      </c>
      <c r="B2592" s="2" t="str">
        <f>IFERROR(__xludf.DUMMYFUNCTION("""COMPUTED_VALUE"""),"Kalidevi Bagmati Hydropower Project")</f>
        <v>Kalidevi Bagmati Hydropower Project</v>
      </c>
      <c r="C2592" s="2">
        <f>IFERROR(__xludf.DUMMYFUNCTION("""COMPUTED_VALUE"""),7.0)</f>
        <v>7</v>
      </c>
      <c r="D2592" s="2" t="str">
        <f>IFERROR(__xludf.DUMMYFUNCTION("""COMPUTED_VALUE"""),"Bagmati")</f>
        <v>Bagmati</v>
      </c>
      <c r="E2592" s="2">
        <f>IFERROR(__xludf.DUMMYFUNCTION("""COMPUTED_VALUE"""),2889.0)</f>
        <v>2889</v>
      </c>
      <c r="F2592" s="3">
        <f>IFERROR(__xludf.DUMMYFUNCTION("""COMPUTED_VALUE"""),66676.0)</f>
        <v>66676</v>
      </c>
      <c r="G2592" s="2" t="str">
        <f>IFERROR(__xludf.DUMMYFUNCTION("""COMPUTED_VALUE"""),"Water N Power Private Limited")</f>
        <v>Water N Power Private Limited</v>
      </c>
      <c r="H2592" s="2" t="str">
        <f>IFERROR(__xludf.DUMMYFUNCTION("""COMPUTED_VALUE"""),"KMC-16, Banasthali, Kathmandu")</f>
        <v>KMC-16, Banasthali, Kathmandu</v>
      </c>
      <c r="I2592" s="2" t="str">
        <f>IFERROR(__xludf.DUMMYFUNCTION("""COMPUTED_VALUE"""),"27o 29' 40""")</f>
        <v>27o 29' 40"</v>
      </c>
      <c r="J2592" s="2" t="str">
        <f>IFERROR(__xludf.DUMMYFUNCTION("""COMPUTED_VALUE"""),"27o 30' 20""")</f>
        <v>27o 30' 20"</v>
      </c>
      <c r="K2592" s="2" t="str">
        <f>IFERROR(__xludf.DUMMYFUNCTION("""COMPUTED_VALUE"""),"85o 13' 45""")</f>
        <v>85o 13' 45"</v>
      </c>
      <c r="L2592" s="2" t="str">
        <f>IFERROR(__xludf.DUMMYFUNCTION("""COMPUTED_VALUE"""),"85o 15' 15""")</f>
        <v>85o 15' 15"</v>
      </c>
      <c r="M2592" s="2" t="str">
        <f>IFERROR(__xludf.DUMMYFUNCTION("""COMPUTED_VALUE"""),"Malta (Lalitpur) Ipa Panchakanya (Makawanpur)")</f>
        <v>Malta (Lalitpur) Ipa Panchakanya (Makawanpur)</v>
      </c>
    </row>
    <row r="2593">
      <c r="A2593" s="2">
        <f>IFERROR(__xludf.DUMMYFUNCTION("""COMPUTED_VALUE"""),2592.0)</f>
        <v>2592</v>
      </c>
      <c r="B2593" s="2" t="str">
        <f>IFERROR(__xludf.DUMMYFUNCTION("""COMPUTED_VALUE"""),"Sankhuwa Small Hydropower Project")</f>
        <v>Sankhuwa Small Hydropower Project</v>
      </c>
      <c r="C2593" s="2">
        <f>IFERROR(__xludf.DUMMYFUNCTION("""COMPUTED_VALUE"""),4.98)</f>
        <v>4.98</v>
      </c>
      <c r="D2593" s="2" t="str">
        <f>IFERROR(__xludf.DUMMYFUNCTION("""COMPUTED_VALUE"""),"Sankhuwa Khola")</f>
        <v>Sankhuwa Khola</v>
      </c>
      <c r="E2593" s="2">
        <f>IFERROR(__xludf.DUMMYFUNCTION("""COMPUTED_VALUE"""),2916.0)</f>
        <v>2916</v>
      </c>
      <c r="F2593" s="3">
        <f>IFERROR(__xludf.DUMMYFUNCTION("""COMPUTED_VALUE"""),66677.0)</f>
        <v>66677</v>
      </c>
      <c r="G2593" s="2" t="str">
        <f>IFERROR(__xludf.DUMMYFUNCTION("""COMPUTED_VALUE"""),"Hydro Hills Private Limited")</f>
        <v>Hydro Hills Private Limited</v>
      </c>
      <c r="H2593" s="2" t="str">
        <f>IFERROR(__xludf.DUMMYFUNCTION("""COMPUTED_VALUE"""),"Ward No. 4, Imadole, Mahalaxmi Municipality, Lalitpur")</f>
        <v>Ward No. 4, Imadole, Mahalaxmi Municipality, Lalitpur</v>
      </c>
      <c r="I2593" s="2" t="str">
        <f>IFERROR(__xludf.DUMMYFUNCTION("""COMPUTED_VALUE"""),"27o 32' 00""")</f>
        <v>27o 32' 00"</v>
      </c>
      <c r="J2593" s="2" t="str">
        <f>IFERROR(__xludf.DUMMYFUNCTION("""COMPUTED_VALUE"""),"27o 32' 30""")</f>
        <v>27o 32' 30"</v>
      </c>
      <c r="K2593" s="2" t="str">
        <f>IFERROR(__xludf.DUMMYFUNCTION("""COMPUTED_VALUE"""),"87o 03' 58""")</f>
        <v>87o 03' 58"</v>
      </c>
      <c r="L2593" s="2" t="str">
        <f>IFERROR(__xludf.DUMMYFUNCTION("""COMPUTED_VALUE"""),"87o 04' 25""")</f>
        <v>87o 04' 25"</v>
      </c>
      <c r="M2593" s="2" t="str">
        <f>IFERROR(__xludf.DUMMYFUNCTION("""COMPUTED_VALUE"""),"Bala,Tamku (Sankhuwasabha)")</f>
        <v>Bala,Tamku (Sankhuwasabha)</v>
      </c>
    </row>
    <row r="2594">
      <c r="A2594" s="2">
        <f>IFERROR(__xludf.DUMMYFUNCTION("""COMPUTED_VALUE"""),2593.0)</f>
        <v>2593</v>
      </c>
      <c r="B2594" s="2" t="str">
        <f>IFERROR(__xludf.DUMMYFUNCTION("""COMPUTED_VALUE"""),"Sankhuwa Khola A Hydroelectric Project")</f>
        <v>Sankhuwa Khola A Hydroelectric Project</v>
      </c>
      <c r="C2594" s="2">
        <f>IFERROR(__xludf.DUMMYFUNCTION("""COMPUTED_VALUE"""),9.8)</f>
        <v>9.8</v>
      </c>
      <c r="D2594" s="2" t="str">
        <f>IFERROR(__xludf.DUMMYFUNCTION("""COMPUTED_VALUE"""),"Sankhuwa Khola")</f>
        <v>Sankhuwa Khola</v>
      </c>
      <c r="E2594" s="2">
        <f>IFERROR(__xludf.DUMMYFUNCTION("""COMPUTED_VALUE"""),2935.0)</f>
        <v>2935</v>
      </c>
      <c r="F2594" s="3">
        <f>IFERROR(__xludf.DUMMYFUNCTION("""COMPUTED_VALUE"""),66677.0)</f>
        <v>66677</v>
      </c>
      <c r="G2594" s="2" t="str">
        <f>IFERROR(__xludf.DUMMYFUNCTION("""COMPUTED_VALUE"""),"Banglamukhi Green Energy Private Limited")</f>
        <v>Banglamukhi Green Energy Private Limited</v>
      </c>
      <c r="H2594" s="2" t="str">
        <f>IFERROR(__xludf.DUMMYFUNCTION("""COMPUTED_VALUE"""),"Budhanilkantha - 7, Kathmandu")</f>
        <v>Budhanilkantha - 7, Kathmandu</v>
      </c>
      <c r="I2594" s="2" t="str">
        <f>IFERROR(__xludf.DUMMYFUNCTION("""COMPUTED_VALUE"""),"27o 28' 27""")</f>
        <v>27o 28' 27"</v>
      </c>
      <c r="J2594" s="2" t="str">
        <f>IFERROR(__xludf.DUMMYFUNCTION("""COMPUTED_VALUE"""),"27o 29' 30""")</f>
        <v>27o 29' 30"</v>
      </c>
      <c r="K2594" s="2" t="str">
        <f>IFERROR(__xludf.DUMMYFUNCTION("""COMPUTED_VALUE"""),"87o 04' 55""")</f>
        <v>87o 04' 55"</v>
      </c>
      <c r="L2594" s="2" t="str">
        <f>IFERROR(__xludf.DUMMYFUNCTION("""COMPUTED_VALUE"""),"87o 05' 19""")</f>
        <v>87o 05' 19"</v>
      </c>
      <c r="M2594" s="2" t="str">
        <f>IFERROR(__xludf.DUMMYFUNCTION("""COMPUTED_VALUE"""),"Bala,Tamku (Sankhuwasabha)")</f>
        <v>Bala,Tamku (Sankhuwasabha)</v>
      </c>
    </row>
    <row r="2595">
      <c r="A2595" s="2">
        <f>IFERROR(__xludf.DUMMYFUNCTION("""COMPUTED_VALUE"""),2594.0)</f>
        <v>2594</v>
      </c>
      <c r="B2595" s="2" t="str">
        <f>IFERROR(__xludf.DUMMYFUNCTION("""COMPUTED_VALUE"""),"Lower Sankhuwa Hydropower Project")</f>
        <v>Lower Sankhuwa Hydropower Project</v>
      </c>
      <c r="C2595" s="2">
        <f>IFERROR(__xludf.DUMMYFUNCTION("""COMPUTED_VALUE"""),4.31)</f>
        <v>4.31</v>
      </c>
      <c r="D2595" s="2" t="str">
        <f>IFERROR(__xludf.DUMMYFUNCTION("""COMPUTED_VALUE"""),"Sankhuwa Khola")</f>
        <v>Sankhuwa Khola</v>
      </c>
      <c r="E2595" s="2">
        <f>IFERROR(__xludf.DUMMYFUNCTION("""COMPUTED_VALUE"""),2950.0)</f>
        <v>2950</v>
      </c>
      <c r="F2595" s="3">
        <f>IFERROR(__xludf.DUMMYFUNCTION("""COMPUTED_VALUE"""),66678.0)</f>
        <v>66678</v>
      </c>
      <c r="G2595" s="2" t="str">
        <f>IFERROR(__xludf.DUMMYFUNCTION("""COMPUTED_VALUE"""),"Hydro Hills Private Limited")</f>
        <v>Hydro Hills Private Limited</v>
      </c>
      <c r="H2595" s="2" t="str">
        <f>IFERROR(__xludf.DUMMYFUNCTION("""COMPUTED_VALUE"""),"Ward No. 4, Imadole, Mahalaxmi Municipality, Lalitpur")</f>
        <v>Ward No. 4, Imadole, Mahalaxmi Municipality, Lalitpur</v>
      </c>
      <c r="I2595" s="2" t="str">
        <f>IFERROR(__xludf.DUMMYFUNCTION("""COMPUTED_VALUE"""),"27o 28' 29""")</f>
        <v>27o 28' 29"</v>
      </c>
      <c r="J2595" s="2" t="str">
        <f>IFERROR(__xludf.DUMMYFUNCTION("""COMPUTED_VALUE"""),"27o 29' 02""")</f>
        <v>27o 29' 02"</v>
      </c>
      <c r="K2595" s="2" t="str">
        <f>IFERROR(__xludf.DUMMYFUNCTION("""COMPUTED_VALUE"""),"87o 04' 55""")</f>
        <v>87o 04' 55"</v>
      </c>
      <c r="L2595" s="2" t="str">
        <f>IFERROR(__xludf.DUMMYFUNCTION("""COMPUTED_VALUE"""),"87o 05' 20""")</f>
        <v>87o 05' 20"</v>
      </c>
      <c r="M2595" s="2" t="str">
        <f>IFERROR(__xludf.DUMMYFUNCTION("""COMPUTED_VALUE"""),"Bala,Tamku (Sankhuwasabha)")</f>
        <v>Bala,Tamku (Sankhuwasabha)</v>
      </c>
    </row>
    <row r="2596">
      <c r="A2596" s="2">
        <f>IFERROR(__xludf.DUMMYFUNCTION("""COMPUTED_VALUE"""),2595.0)</f>
        <v>2595</v>
      </c>
      <c r="B2596" s="2" t="str">
        <f>IFERROR(__xludf.DUMMYFUNCTION("""COMPUTED_VALUE"""),"Limi Nadi Hydropower Project")</f>
        <v>Limi Nadi Hydropower Project</v>
      </c>
      <c r="C2596" s="2">
        <f>IFERROR(__xludf.DUMMYFUNCTION("""COMPUTED_VALUE"""),4.9)</f>
        <v>4.9</v>
      </c>
      <c r="D2596" s="2" t="str">
        <f>IFERROR(__xludf.DUMMYFUNCTION("""COMPUTED_VALUE"""),"Limi Khola")</f>
        <v>Limi Khola</v>
      </c>
      <c r="E2596" s="2">
        <f>IFERROR(__xludf.DUMMYFUNCTION("""COMPUTED_VALUE"""),3182.0)</f>
        <v>3182</v>
      </c>
      <c r="F2596" s="3">
        <f>IFERROR(__xludf.DUMMYFUNCTION("""COMPUTED_VALUE"""),66684.0)</f>
        <v>66684</v>
      </c>
      <c r="G2596" s="2" t="str">
        <f>IFERROR(__xludf.DUMMYFUNCTION("""COMPUTED_VALUE"""),"Khagndra Neupane")</f>
        <v>Khagndra Neupane</v>
      </c>
      <c r="H2596" s="2" t="str">
        <f>IFERROR(__xludf.DUMMYFUNCTION("""COMPUTED_VALUE"""),"Charpane Jhapa")</f>
        <v>Charpane Jhapa</v>
      </c>
      <c r="I2596" s="2" t="str">
        <f>IFERROR(__xludf.DUMMYFUNCTION("""COMPUTED_VALUE"""),"30o 11' 29""")</f>
        <v>30o 11' 29"</v>
      </c>
      <c r="J2596" s="2" t="str">
        <f>IFERROR(__xludf.DUMMYFUNCTION("""COMPUTED_VALUE"""),"30o 13' 28""")</f>
        <v>30o 13' 28"</v>
      </c>
      <c r="K2596" s="2" t="str">
        <f>IFERROR(__xludf.DUMMYFUNCTION("""COMPUTED_VALUE"""),"81o 26' 46""")</f>
        <v>81o 26' 46"</v>
      </c>
      <c r="L2596" s="2" t="str">
        <f>IFERROR(__xludf.DUMMYFUNCTION("""COMPUTED_VALUE"""),"81o 31' 08""")</f>
        <v>81o 31' 08"</v>
      </c>
      <c r="M2596" s="2"/>
    </row>
    <row r="2597">
      <c r="A2597" s="2">
        <f>IFERROR(__xludf.DUMMYFUNCTION("""COMPUTED_VALUE"""),2596.0)</f>
        <v>2596</v>
      </c>
      <c r="B2597" s="2" t="str">
        <f>IFERROR(__xludf.DUMMYFUNCTION("""COMPUTED_VALUE"""),"Sankhuwa Khola - 1 Cascade Hydropower Project")</f>
        <v>Sankhuwa Khola - 1 Cascade Hydropower Project</v>
      </c>
      <c r="C2597" s="2">
        <f>IFERROR(__xludf.DUMMYFUNCTION("""COMPUTED_VALUE"""),3.672)</f>
        <v>3.672</v>
      </c>
      <c r="D2597" s="2" t="str">
        <f>IFERROR(__xludf.DUMMYFUNCTION("""COMPUTED_VALUE"""),"Sankhuwa")</f>
        <v>Sankhuwa</v>
      </c>
      <c r="E2597" s="2">
        <f>IFERROR(__xludf.DUMMYFUNCTION("""COMPUTED_VALUE"""),3409.0)</f>
        <v>3409</v>
      </c>
      <c r="F2597" s="3">
        <f>IFERROR(__xludf.DUMMYFUNCTION("""COMPUTED_VALUE"""),66691.0)</f>
        <v>66691</v>
      </c>
      <c r="G2597" s="2" t="str">
        <f>IFERROR(__xludf.DUMMYFUNCTION("""COMPUTED_VALUE"""),"Nobel Group of Hydro Energy Private Limited")</f>
        <v>Nobel Group of Hydro Energy Private Limited</v>
      </c>
      <c r="H2597" s="2" t="str">
        <f>IFERROR(__xludf.DUMMYFUNCTION("""COMPUTED_VALUE"""),"KMC-9, Sinamangal, Kathmandu")</f>
        <v>KMC-9, Sinamangal, Kathmandu</v>
      </c>
      <c r="I2597" s="2" t="str">
        <f>IFERROR(__xludf.DUMMYFUNCTION("""COMPUTED_VALUE"""),"27o 28' 23""")</f>
        <v>27o 28' 23"</v>
      </c>
      <c r="J2597" s="2" t="str">
        <f>IFERROR(__xludf.DUMMYFUNCTION("""COMPUTED_VALUE"""),"27o 29' 12""")</f>
        <v>27o 29' 12"</v>
      </c>
      <c r="K2597" s="2" t="str">
        <f>IFERROR(__xludf.DUMMYFUNCTION("""COMPUTED_VALUE"""),"87o 05' 01""")</f>
        <v>87o 05' 01"</v>
      </c>
      <c r="L2597" s="2" t="str">
        <f>IFERROR(__xludf.DUMMYFUNCTION("""COMPUTED_VALUE"""),"87o 05' 20""")</f>
        <v>87o 05' 20"</v>
      </c>
      <c r="M2597" s="2" t="str">
        <f>IFERROR(__xludf.DUMMYFUNCTION("""COMPUTED_VALUE"""),"Bala,Sisuwakhola,Tamku (Sankhuwasabha)")</f>
        <v>Bala,Sisuwakhola,Tamku (Sankhuwasabha)</v>
      </c>
    </row>
    <row r="2598">
      <c r="A2598" s="2">
        <f>IFERROR(__xludf.DUMMYFUNCTION("""COMPUTED_VALUE"""),2597.0)</f>
        <v>2597</v>
      </c>
      <c r="B2598" s="2" t="str">
        <f>IFERROR(__xludf.DUMMYFUNCTION("""COMPUTED_VALUE"""),"Gad khola Hydropower Project")</f>
        <v>Gad khola Hydropower Project</v>
      </c>
      <c r="C2598" s="2">
        <f>IFERROR(__xludf.DUMMYFUNCTION("""COMPUTED_VALUE"""),9.0)</f>
        <v>9</v>
      </c>
      <c r="D2598" s="2" t="str">
        <f>IFERROR(__xludf.DUMMYFUNCTION("""COMPUTED_VALUE"""),"Gad Khola")</f>
        <v>Gad Khola</v>
      </c>
      <c r="E2598" s="2">
        <f>IFERROR(__xludf.DUMMYFUNCTION("""COMPUTED_VALUE"""),3218.0)</f>
        <v>3218</v>
      </c>
      <c r="F2598" s="3">
        <f>IFERROR(__xludf.DUMMYFUNCTION("""COMPUTED_VALUE"""),66716.0)</f>
        <v>66716</v>
      </c>
      <c r="G2598" s="2" t="str">
        <f>IFERROR(__xludf.DUMMYFUNCTION("""COMPUTED_VALUE"""),"Satwik Energy Pvt. ltd.")</f>
        <v>Satwik Energy Pvt. ltd.</v>
      </c>
      <c r="H2598" s="2" t="str">
        <f>IFERROR(__xludf.DUMMYFUNCTION("""COMPUTED_VALUE"""),"Kathmandu")</f>
        <v>Kathmandu</v>
      </c>
      <c r="I2598" s="2" t="str">
        <f>IFERROR(__xludf.DUMMYFUNCTION("""COMPUTED_VALUE"""),"28o 50' 35""")</f>
        <v>28o 50' 35"</v>
      </c>
      <c r="J2598" s="2" t="str">
        <f>IFERROR(__xludf.DUMMYFUNCTION("""COMPUTED_VALUE"""),"28o 53' 30""")</f>
        <v>28o 53' 30"</v>
      </c>
      <c r="K2598" s="2" t="str">
        <f>IFERROR(__xludf.DUMMYFUNCTION("""COMPUTED_VALUE"""),"81o 56' 10""")</f>
        <v>81o 56' 10"</v>
      </c>
      <c r="L2598" s="2" t="str">
        <f>IFERROR(__xludf.DUMMYFUNCTION("""COMPUTED_VALUE"""),"81o 57' 30""")</f>
        <v>81o 57' 30"</v>
      </c>
      <c r="M2598" s="2" t="str">
        <f>IFERROR(__xludf.DUMMYFUNCTION("""COMPUTED_VALUE"""),"Dasera (Jajarkot)")</f>
        <v>Dasera (Jajarkot)</v>
      </c>
    </row>
    <row r="2599">
      <c r="A2599" s="2">
        <f>IFERROR(__xludf.DUMMYFUNCTION("""COMPUTED_VALUE"""),2598.0)</f>
        <v>2598</v>
      </c>
      <c r="B2599" s="2" t="str">
        <f>IFERROR(__xludf.DUMMYFUNCTION("""COMPUTED_VALUE"""),"Lower Balephi Cascade Hydropower Project")</f>
        <v>Lower Balephi Cascade Hydropower Project</v>
      </c>
      <c r="C2599" s="2">
        <f>IFERROR(__xludf.DUMMYFUNCTION("""COMPUTED_VALUE"""),9.7)</f>
        <v>9.7</v>
      </c>
      <c r="D2599" s="2" t="str">
        <f>IFERROR(__xludf.DUMMYFUNCTION("""COMPUTED_VALUE"""),"Balephi")</f>
        <v>Balephi</v>
      </c>
      <c r="E2599" s="2">
        <f>IFERROR(__xludf.DUMMYFUNCTION("""COMPUTED_VALUE"""),4378.0)</f>
        <v>4378</v>
      </c>
      <c r="F2599" s="3">
        <f>IFERROR(__xludf.DUMMYFUNCTION("""COMPUTED_VALUE"""),66723.0)</f>
        <v>66723</v>
      </c>
      <c r="G2599" s="2" t="str">
        <f>IFERROR(__xludf.DUMMYFUNCTION("""COMPUTED_VALUE"""),"Ridi Power Company Limited")</f>
        <v>Ridi Power Company Limited</v>
      </c>
      <c r="H2599" s="2" t="str">
        <f>IFERROR(__xludf.DUMMYFUNCTION("""COMPUTED_VALUE"""),"Fifth Floor, Trade Tower, Thapathali, Kathmandu")</f>
        <v>Fifth Floor, Trade Tower, Thapathali, Kathmandu</v>
      </c>
      <c r="I2599" s="2" t="str">
        <f>IFERROR(__xludf.DUMMYFUNCTION("""COMPUTED_VALUE"""),"27o 44' 08""")</f>
        <v>27o 44' 08"</v>
      </c>
      <c r="J2599" s="2" t="str">
        <f>IFERROR(__xludf.DUMMYFUNCTION("""COMPUTED_VALUE"""),"27o 45' 34""")</f>
        <v>27o 45' 34"</v>
      </c>
      <c r="K2599" s="2" t="str">
        <f>IFERROR(__xludf.DUMMYFUNCTION("""COMPUTED_VALUE"""),"85o 45' 45""")</f>
        <v>85o 45' 45"</v>
      </c>
      <c r="L2599" s="2" t="str">
        <f>IFERROR(__xludf.DUMMYFUNCTION("""COMPUTED_VALUE"""),"85o 47' 35""")</f>
        <v>85o 47' 35"</v>
      </c>
      <c r="M2599" s="2" t="str">
        <f>IFERROR(__xludf.DUMMYFUNCTION("""COMPUTED_VALUE"""),"Kadambas,Ikhu,Fupingdandagau,Kubhinde (Sindhupalchok)")</f>
        <v>Kadambas,Ikhu,Fupingdandagau,Kubhinde (Sindhupalchok)</v>
      </c>
    </row>
    <row r="2600">
      <c r="A2600" s="2">
        <f>IFERROR(__xludf.DUMMYFUNCTION("""COMPUTED_VALUE"""),2599.0)</f>
        <v>2599</v>
      </c>
      <c r="B2600" s="2" t="str">
        <f>IFERROR(__xludf.DUMMYFUNCTION("""COMPUTED_VALUE"""),"Sarpu Khola Hydropower Project")</f>
        <v>Sarpu Khola Hydropower Project</v>
      </c>
      <c r="C2600" s="2">
        <f>IFERROR(__xludf.DUMMYFUNCTION("""COMPUTED_VALUE"""),4.91)</f>
        <v>4.91</v>
      </c>
      <c r="D2600" s="2" t="str">
        <f>IFERROR(__xludf.DUMMYFUNCTION("""COMPUTED_VALUE"""),"Sarpu Khola")</f>
        <v>Sarpu Khola</v>
      </c>
      <c r="E2600" s="2">
        <f>IFERROR(__xludf.DUMMYFUNCTION("""COMPUTED_VALUE"""),4547.0)</f>
        <v>4547</v>
      </c>
      <c r="F2600" s="3">
        <f>IFERROR(__xludf.DUMMYFUNCTION("""COMPUTED_VALUE"""),66728.0)</f>
        <v>66728</v>
      </c>
      <c r="G2600" s="2" t="str">
        <f>IFERROR(__xludf.DUMMYFUNCTION("""COMPUTED_VALUE"""),"Skanda Power Private Limited")</f>
        <v>Skanda Power Private Limited</v>
      </c>
      <c r="H2600" s="2" t="str">
        <f>IFERROR(__xludf.DUMMYFUNCTION("""COMPUTED_VALUE"""),"KMC-31, Kathmandu")</f>
        <v>KMC-31, Kathmandu</v>
      </c>
      <c r="I2600" s="2" t="str">
        <f>IFERROR(__xludf.DUMMYFUNCTION("""COMPUTED_VALUE"""),"28o 28' 23""")</f>
        <v>28o 28' 23"</v>
      </c>
      <c r="J2600" s="2" t="str">
        <f>IFERROR(__xludf.DUMMYFUNCTION("""COMPUTED_VALUE"""),"28o 30' 20""")</f>
        <v>28o 30' 20"</v>
      </c>
      <c r="K2600" s="2" t="str">
        <f>IFERROR(__xludf.DUMMYFUNCTION("""COMPUTED_VALUE"""),"85o 00' 14""")</f>
        <v>85o 00' 14"</v>
      </c>
      <c r="L2600" s="2" t="str">
        <f>IFERROR(__xludf.DUMMYFUNCTION("""COMPUTED_VALUE"""),"85o 01' 03""")</f>
        <v>85o 01' 03"</v>
      </c>
      <c r="M2600" s="2" t="str">
        <f>IFERROR(__xludf.DUMMYFUNCTION("""COMPUTED_VALUE"""),"Chunchet (Gorkha)")</f>
        <v>Chunchet (Gorkha)</v>
      </c>
    </row>
    <row r="2601">
      <c r="A2601" s="2">
        <f>IFERROR(__xludf.DUMMYFUNCTION("""COMPUTED_VALUE"""),2600.0)</f>
        <v>2600</v>
      </c>
      <c r="B2601" s="2" t="str">
        <f>IFERROR(__xludf.DUMMYFUNCTION("""COMPUTED_VALUE"""),"Rasuwa Khola Small Hydropower Project")</f>
        <v>Rasuwa Khola Small Hydropower Project</v>
      </c>
      <c r="C2601" s="2">
        <f>IFERROR(__xludf.DUMMYFUNCTION("""COMPUTED_VALUE"""),3.65)</f>
        <v>3.65</v>
      </c>
      <c r="D2601" s="2" t="str">
        <f>IFERROR(__xludf.DUMMYFUNCTION("""COMPUTED_VALUE"""),"Rasuwa Khola")</f>
        <v>Rasuwa Khola</v>
      </c>
      <c r="E2601" s="2">
        <f>IFERROR(__xludf.DUMMYFUNCTION("""COMPUTED_VALUE"""),4574.0)</f>
        <v>4574</v>
      </c>
      <c r="F2601" s="3">
        <f>IFERROR(__xludf.DUMMYFUNCTION("""COMPUTED_VALUE"""),66730.0)</f>
        <v>66730</v>
      </c>
      <c r="G2601" s="2" t="str">
        <f>IFERROR(__xludf.DUMMYFUNCTION("""COMPUTED_VALUE"""),"East Construction &amp; Engineering Consultancy Private Limited")</f>
        <v>East Construction &amp; Engineering Consultancy Private Limited</v>
      </c>
      <c r="H2601" s="2" t="str">
        <f>IFERROR(__xludf.DUMMYFUNCTION("""COMPUTED_VALUE"""),"Kalopul-7, Kathmandu")</f>
        <v>Kalopul-7, Kathmandu</v>
      </c>
      <c r="I2601" s="2" t="str">
        <f>IFERROR(__xludf.DUMMYFUNCTION("""COMPUTED_VALUE"""),"26o 59' 26""")</f>
        <v>26o 59' 26"</v>
      </c>
      <c r="J2601" s="2" t="str">
        <f>IFERROR(__xludf.DUMMYFUNCTION("""COMPUTED_VALUE"""),"27o 01' 02""")</f>
        <v>27o 01' 02"</v>
      </c>
      <c r="K2601" s="2" t="str">
        <f>IFERROR(__xludf.DUMMYFUNCTION("""COMPUTED_VALUE"""),"86o 41' 13""")</f>
        <v>86o 41' 13"</v>
      </c>
      <c r="L2601" s="2" t="str">
        <f>IFERROR(__xludf.DUMMYFUNCTION("""COMPUTED_VALUE"""),"86o 44' 54""")</f>
        <v>86o 44' 54"</v>
      </c>
      <c r="M2601" s="2" t="str">
        <f>IFERROR(__xludf.DUMMYFUNCTION("""COMPUTED_VALUE"""),"Bhuttar,Laphagau,Pokhari (Udayapur)")</f>
        <v>Bhuttar,Laphagau,Pokhari (Udayapur)</v>
      </c>
    </row>
    <row r="2602">
      <c r="A2602" s="2">
        <f>IFERROR(__xludf.DUMMYFUNCTION("""COMPUTED_VALUE"""),2601.0)</f>
        <v>2601</v>
      </c>
      <c r="B2602" s="2" t="str">
        <f>IFERROR(__xludf.DUMMYFUNCTION("""COMPUTED_VALUE"""),"Upper Gad Khola Hydroelectric Project")</f>
        <v>Upper Gad Khola Hydroelectric Project</v>
      </c>
      <c r="C2602" s="2">
        <f>IFERROR(__xludf.DUMMYFUNCTION("""COMPUTED_VALUE"""),8.8)</f>
        <v>8.8</v>
      </c>
      <c r="D2602" s="2" t="str">
        <f>IFERROR(__xludf.DUMMYFUNCTION("""COMPUTED_VALUE"""),"Gad Khola")</f>
        <v>Gad Khola</v>
      </c>
      <c r="E2602" s="2">
        <f>IFERROR(__xludf.DUMMYFUNCTION("""COMPUTED_VALUE"""),4587.0)</f>
        <v>4587</v>
      </c>
      <c r="F2602" s="3">
        <f>IFERROR(__xludf.DUMMYFUNCTION("""COMPUTED_VALUE"""),66732.0)</f>
        <v>66732</v>
      </c>
      <c r="G2602" s="2" t="str">
        <f>IFERROR(__xludf.DUMMYFUNCTION("""COMPUTED_VALUE"""),"Arpan Jalvidhyut Private Limited")</f>
        <v>Arpan Jalvidhyut Private Limited</v>
      </c>
      <c r="H2602" s="2" t="str">
        <f>IFERROR(__xludf.DUMMYFUNCTION("""COMPUTED_VALUE"""),"KMC-3, Kathmandu")</f>
        <v>KMC-3, Kathmandu</v>
      </c>
      <c r="I2602" s="2" t="str">
        <f>IFERROR(__xludf.DUMMYFUNCTION("""COMPUTED_VALUE"""),"28o 53' 30""")</f>
        <v>28o 53' 30"</v>
      </c>
      <c r="J2602" s="2" t="str">
        <f>IFERROR(__xludf.DUMMYFUNCTION("""COMPUTED_VALUE"""),"28o 55' 18""")</f>
        <v>28o 55' 18"</v>
      </c>
      <c r="K2602" s="2" t="str">
        <f>IFERROR(__xludf.DUMMYFUNCTION("""COMPUTED_VALUE"""),"81o 56' 40""")</f>
        <v>81o 56' 40"</v>
      </c>
      <c r="L2602" s="2" t="str">
        <f>IFERROR(__xludf.DUMMYFUNCTION("""COMPUTED_VALUE"""),"81o 58' 25""")</f>
        <v>81o 58' 25"</v>
      </c>
      <c r="M2602" s="2" t="str">
        <f>IFERROR(__xludf.DUMMYFUNCTION("""COMPUTED_VALUE"""),"Daha,Kotrang (Jajarkot)")</f>
        <v>Daha,Kotrang (Jajarkot)</v>
      </c>
    </row>
    <row r="2603">
      <c r="A2603" s="2">
        <f>IFERROR(__xludf.DUMMYFUNCTION("""COMPUTED_VALUE"""),2602.0)</f>
        <v>2602</v>
      </c>
      <c r="B2603" s="2" t="str">
        <f>IFERROR(__xludf.DUMMYFUNCTION("""COMPUTED_VALUE"""),"Nupche Likhu Cascade Hydropower Project")</f>
        <v>Nupche Likhu Cascade Hydropower Project</v>
      </c>
      <c r="C2603" s="2">
        <f>IFERROR(__xludf.DUMMYFUNCTION("""COMPUTED_VALUE"""),7.3)</f>
        <v>7.3</v>
      </c>
      <c r="D2603" s="2" t="str">
        <f>IFERROR(__xludf.DUMMYFUNCTION("""COMPUTED_VALUE"""),"Likhu Khola")</f>
        <v>Likhu Khola</v>
      </c>
      <c r="E2603" s="2">
        <f>IFERROR(__xludf.DUMMYFUNCTION("""COMPUTED_VALUE"""),4923.0)</f>
        <v>4923</v>
      </c>
      <c r="F2603" s="3">
        <f>IFERROR(__xludf.DUMMYFUNCTION("""COMPUTED_VALUE"""),66742.0)</f>
        <v>66742</v>
      </c>
      <c r="G2603" s="2" t="str">
        <f>IFERROR(__xludf.DUMMYFUNCTION("""COMPUTED_VALUE"""),"Credible Hydropower Company Private Limited")</f>
        <v>Credible Hydropower Company Private Limited</v>
      </c>
      <c r="H2603" s="2" t="str">
        <f>IFERROR(__xludf.DUMMYFUNCTION("""COMPUTED_VALUE"""),"New Baneswor Kathmandu")</f>
        <v>New Baneswor Kathmandu</v>
      </c>
      <c r="I2603" s="2" t="str">
        <f>IFERROR(__xludf.DUMMYFUNCTION("""COMPUTED_VALUE"""),"27o 40' 23""")</f>
        <v>27o 40' 23"</v>
      </c>
      <c r="J2603" s="2" t="str">
        <f>IFERROR(__xludf.DUMMYFUNCTION("""COMPUTED_VALUE"""),"27o 40' 36""")</f>
        <v>27o 40' 36"</v>
      </c>
      <c r="K2603" s="2" t="str">
        <f>IFERROR(__xludf.DUMMYFUNCTION("""COMPUTED_VALUE"""),"86o 27' 46""")</f>
        <v>86o 27' 46"</v>
      </c>
      <c r="L2603" s="2" t="str">
        <f>IFERROR(__xludf.DUMMYFUNCTION("""COMPUTED_VALUE"""),"86o 28' 10""")</f>
        <v>86o 28' 10"</v>
      </c>
      <c r="M2603" s="2" t="str">
        <f>IFERROR(__xludf.DUMMYFUNCTION("""COMPUTED_VALUE"""),"Gumdel (Ramechhap)")</f>
        <v>Gumdel (Ramechhap)</v>
      </c>
    </row>
    <row r="2604">
      <c r="A2604" s="2">
        <f>IFERROR(__xludf.DUMMYFUNCTION("""COMPUTED_VALUE"""),2603.0)</f>
        <v>2603</v>
      </c>
      <c r="B2604" s="2" t="str">
        <f>IFERROR(__xludf.DUMMYFUNCTION("""COMPUTED_VALUE"""),"Kwalunwa Khola Storage Hydropower Proejct")</f>
        <v>Kwalunwa Khola Storage Hydropower Proejct</v>
      </c>
      <c r="C2604" s="2">
        <f>IFERROR(__xludf.DUMMYFUNCTION("""COMPUTED_VALUE"""),59.0)</f>
        <v>59</v>
      </c>
      <c r="D2604" s="2" t="str">
        <f>IFERROR(__xludf.DUMMYFUNCTION("""COMPUTED_VALUE"""),"Kwalunwa Khola")</f>
        <v>Kwalunwa Khola</v>
      </c>
      <c r="E2604" s="2">
        <f>IFERROR(__xludf.DUMMYFUNCTION("""COMPUTED_VALUE"""),4946.0)</f>
        <v>4946</v>
      </c>
      <c r="F2604" s="3">
        <f>IFERROR(__xludf.DUMMYFUNCTION("""COMPUTED_VALUE"""),66742.0)</f>
        <v>66742</v>
      </c>
      <c r="G2604" s="2" t="str">
        <f>IFERROR(__xludf.DUMMYFUNCTION("""COMPUTED_VALUE"""),"Himalayan Energy Venture")</f>
        <v>Himalayan Energy Venture</v>
      </c>
      <c r="H2604" s="2" t="str">
        <f>IFERROR(__xludf.DUMMYFUNCTION("""COMPUTED_VALUE"""),"Kathmandu-9")</f>
        <v>Kathmandu-9</v>
      </c>
      <c r="I2604" s="2" t="str">
        <f>IFERROR(__xludf.DUMMYFUNCTION("""COMPUTED_VALUE"""),"29o 58' 30""")</f>
        <v>29o 58' 30"</v>
      </c>
      <c r="J2604" s="2" t="str">
        <f>IFERROR(__xludf.DUMMYFUNCTION("""COMPUTED_VALUE"""),"30o 04' 48""")</f>
        <v>30o 04' 48"</v>
      </c>
      <c r="K2604" s="2" t="str">
        <f>IFERROR(__xludf.DUMMYFUNCTION("""COMPUTED_VALUE"""),"81o 36' 17""")</f>
        <v>81o 36' 17"</v>
      </c>
      <c r="L2604" s="2" t="str">
        <f>IFERROR(__xludf.DUMMYFUNCTION("""COMPUTED_VALUE"""),"81o 41' 24""")</f>
        <v>81o 41' 24"</v>
      </c>
      <c r="M2604" s="2" t="str">
        <f>IFERROR(__xludf.DUMMYFUNCTION("""COMPUTED_VALUE"""),"Hepka (Humla)")</f>
        <v>Hepka (Humla)</v>
      </c>
    </row>
    <row r="2605">
      <c r="A2605" s="2">
        <f>IFERROR(__xludf.DUMMYFUNCTION("""COMPUTED_VALUE"""),2604.0)</f>
        <v>2604</v>
      </c>
      <c r="B2605" s="2" t="str">
        <f>IFERROR(__xludf.DUMMYFUNCTION("""COMPUTED_VALUE"""),"Kwalunwa Khola Hydropower Project")</f>
        <v>Kwalunwa Khola Hydropower Project</v>
      </c>
      <c r="C2605" s="2">
        <f>IFERROR(__xludf.DUMMYFUNCTION("""COMPUTED_VALUE"""),4.96)</f>
        <v>4.96</v>
      </c>
      <c r="D2605" s="2" t="str">
        <f>IFERROR(__xludf.DUMMYFUNCTION("""COMPUTED_VALUE"""),"Kwalunwa Khola")</f>
        <v>Kwalunwa Khola</v>
      </c>
      <c r="E2605" s="2">
        <f>IFERROR(__xludf.DUMMYFUNCTION("""COMPUTED_VALUE"""),5062.0)</f>
        <v>5062</v>
      </c>
      <c r="F2605" s="3">
        <f>IFERROR(__xludf.DUMMYFUNCTION("""COMPUTED_VALUE"""),66748.0)</f>
        <v>66748</v>
      </c>
      <c r="G2605" s="2" t="str">
        <f>IFERROR(__xludf.DUMMYFUNCTION("""COMPUTED_VALUE"""),"Krishna Prasad Ghimire")</f>
        <v>Krishna Prasad Ghimire</v>
      </c>
      <c r="H2605" s="2" t="str">
        <f>IFERROR(__xludf.DUMMYFUNCTION("""COMPUTED_VALUE"""),"Makaising-08, Gorkha")</f>
        <v>Makaising-08, Gorkha</v>
      </c>
      <c r="I2605" s="2" t="str">
        <f>IFERROR(__xludf.DUMMYFUNCTION("""COMPUTED_VALUE"""),"29o 59' 42""")</f>
        <v>29o 59' 42"</v>
      </c>
      <c r="J2605" s="2" t="str">
        <f>IFERROR(__xludf.DUMMYFUNCTION("""COMPUTED_VALUE"""),"30o 02' 44""")</f>
        <v>30o 02' 44"</v>
      </c>
      <c r="K2605" s="2" t="str">
        <f>IFERROR(__xludf.DUMMYFUNCTION("""COMPUTED_VALUE"""),"81o 37' 09""")</f>
        <v>81o 37' 09"</v>
      </c>
      <c r="L2605" s="2" t="str">
        <f>IFERROR(__xludf.DUMMYFUNCTION("""COMPUTED_VALUE"""),"81o 41' 15""")</f>
        <v>81o 41' 15"</v>
      </c>
      <c r="M2605" s="2" t="str">
        <f>IFERROR(__xludf.DUMMYFUNCTION("""COMPUTED_VALUE"""),"Muchu (Humla)")</f>
        <v>Muchu (Humla)</v>
      </c>
    </row>
    <row r="2606">
      <c r="A2606" s="2">
        <f>IFERROR(__xludf.DUMMYFUNCTION("""COMPUTED_VALUE"""),2605.0)</f>
        <v>2605</v>
      </c>
      <c r="B2606" s="2" t="str">
        <f>IFERROR(__xludf.DUMMYFUNCTION("""COMPUTED_VALUE"""),"Lukum Khola Hydropower Project")</f>
        <v>Lukum Khola Hydropower Project</v>
      </c>
      <c r="C2606" s="2">
        <f>IFERROR(__xludf.DUMMYFUNCTION("""COMPUTED_VALUE"""),4.9)</f>
        <v>4.9</v>
      </c>
      <c r="D2606" s="2" t="str">
        <f>IFERROR(__xludf.DUMMYFUNCTION("""COMPUTED_VALUE"""),"Lukum")</f>
        <v>Lukum</v>
      </c>
      <c r="E2606" s="2">
        <f>IFERROR(__xludf.DUMMYFUNCTION("""COMPUTED_VALUE"""),5225.0)</f>
        <v>5225</v>
      </c>
      <c r="F2606" s="3">
        <f>IFERROR(__xludf.DUMMYFUNCTION("""COMPUTED_VALUE"""),66753.0)</f>
        <v>66753</v>
      </c>
      <c r="G2606" s="2" t="str">
        <f>IFERROR(__xludf.DUMMYFUNCTION("""COMPUTED_VALUE"""),"Nova Power Company Pvt. Ltd")</f>
        <v>Nova Power Company Pvt. Ltd</v>
      </c>
      <c r="H2606" s="2" t="str">
        <f>IFERROR(__xludf.DUMMYFUNCTION("""COMPUTED_VALUE"""),"Kaldhara-16, Kathmandu")</f>
        <v>Kaldhara-16, Kathmandu</v>
      </c>
      <c r="I2606" s="2" t="str">
        <f>IFERROR(__xludf.DUMMYFUNCTION("""COMPUTED_VALUE"""),"28o 32' 55""")</f>
        <v>28o 32' 55"</v>
      </c>
      <c r="J2606" s="2" t="str">
        <f>IFERROR(__xludf.DUMMYFUNCTION("""COMPUTED_VALUE"""),"28o 34' 17""")</f>
        <v>28o 34' 17"</v>
      </c>
      <c r="K2606" s="2" t="str">
        <f>IFERROR(__xludf.DUMMYFUNCTION("""COMPUTED_VALUE"""),"82o 38' 50""")</f>
        <v>82o 38' 50"</v>
      </c>
      <c r="L2606" s="2" t="str">
        <f>IFERROR(__xludf.DUMMYFUNCTION("""COMPUTED_VALUE"""),"82o 42' 13""")</f>
        <v>82o 42' 13"</v>
      </c>
      <c r="M2606" s="2" t="str">
        <f>IFERROR(__xludf.DUMMYFUNCTION("""COMPUTED_VALUE"""),"Kankri,Morawang,Mahat (Rukum)")</f>
        <v>Kankri,Morawang,Mahat (Rukum)</v>
      </c>
    </row>
    <row r="2607">
      <c r="A2607" s="2">
        <f>IFERROR(__xludf.DUMMYFUNCTION("""COMPUTED_VALUE"""),2606.0)</f>
        <v>2606</v>
      </c>
      <c r="B2607" s="2" t="str">
        <f>IFERROR(__xludf.DUMMYFUNCTION("""COMPUTED_VALUE"""),"Vision Myagdi Khola Hydropower Project")</f>
        <v>Vision Myagdi Khola Hydropower Project</v>
      </c>
      <c r="C2607" s="2">
        <f>IFERROR(__xludf.DUMMYFUNCTION("""COMPUTED_VALUE"""),9.89)</f>
        <v>9.89</v>
      </c>
      <c r="D2607" s="2" t="str">
        <f>IFERROR(__xludf.DUMMYFUNCTION("""COMPUTED_VALUE"""),"Myagdi Khola")</f>
        <v>Myagdi Khola</v>
      </c>
      <c r="E2607" s="2">
        <f>IFERROR(__xludf.DUMMYFUNCTION("""COMPUTED_VALUE"""),5319.0)</f>
        <v>5319</v>
      </c>
      <c r="F2607" s="3">
        <f>IFERROR(__xludf.DUMMYFUNCTION("""COMPUTED_VALUE"""),66755.0)</f>
        <v>66755</v>
      </c>
      <c r="G2607" s="2" t="str">
        <f>IFERROR(__xludf.DUMMYFUNCTION("""COMPUTED_VALUE"""),"Nama Buddha Hydropower Private Limited")</f>
        <v>Nama Buddha Hydropower Private Limited</v>
      </c>
      <c r="H2607" s="2" t="str">
        <f>IFERROR(__xludf.DUMMYFUNCTION("""COMPUTED_VALUE"""),"Anamnagar, Kathmandu")</f>
        <v>Anamnagar, Kathmandu</v>
      </c>
      <c r="I2607" s="2" t="str">
        <f>IFERROR(__xludf.DUMMYFUNCTION("""COMPUTED_VALUE"""),"28o 40' 10""")</f>
        <v>28o 40' 10"</v>
      </c>
      <c r="J2607" s="2" t="str">
        <f>IFERROR(__xludf.DUMMYFUNCTION("""COMPUTED_VALUE"""),"28o 42' 22""")</f>
        <v>28o 42' 22"</v>
      </c>
      <c r="K2607" s="2" t="str">
        <f>IFERROR(__xludf.DUMMYFUNCTION("""COMPUTED_VALUE"""),"83o 25' 00""")</f>
        <v>83o 25' 00"</v>
      </c>
      <c r="L2607" s="2" t="str">
        <f>IFERROR(__xludf.DUMMYFUNCTION("""COMPUTED_VALUE"""),"83o 26' 35""")</f>
        <v>83o 26' 35"</v>
      </c>
      <c r="M2607" s="2" t="str">
        <f>IFERROR(__xludf.DUMMYFUNCTION("""COMPUTED_VALUE"""),"Mudi (Myagdi)")</f>
        <v>Mudi (Myagdi)</v>
      </c>
    </row>
    <row r="2608">
      <c r="A2608" s="2">
        <f>IFERROR(__xludf.DUMMYFUNCTION("""COMPUTED_VALUE"""),2607.0)</f>
        <v>2607</v>
      </c>
      <c r="B2608" s="2" t="str">
        <f>IFERROR(__xludf.DUMMYFUNCTION("""COMPUTED_VALUE"""),"Upper Nimrum Khola Hydropower Project")</f>
        <v>Upper Nimrum Khola Hydropower Project</v>
      </c>
      <c r="C2608" s="2">
        <f>IFERROR(__xludf.DUMMYFUNCTION("""COMPUTED_VALUE"""),5.0)</f>
        <v>5</v>
      </c>
      <c r="D2608" s="2" t="str">
        <f>IFERROR(__xludf.DUMMYFUNCTION("""COMPUTED_VALUE"""),"Nimrung Khola")</f>
        <v>Nimrung Khola</v>
      </c>
      <c r="E2608" s="2">
        <f>IFERROR(__xludf.DUMMYFUNCTION("""COMPUTED_VALUE"""),5337.0)</f>
        <v>5337</v>
      </c>
      <c r="F2608" s="3">
        <f>IFERROR(__xludf.DUMMYFUNCTION("""COMPUTED_VALUE"""),66755.0)</f>
        <v>66755</v>
      </c>
      <c r="G2608" s="2" t="str">
        <f>IFERROR(__xludf.DUMMYFUNCTION("""COMPUTED_VALUE"""),"Kankukhola Hydropower Private Limited")</f>
        <v>Kankukhola Hydropower Private Limited</v>
      </c>
      <c r="H2608" s="2" t="str">
        <f>IFERROR(__xludf.DUMMYFUNCTION("""COMPUTED_VALUE"""),"Budhanilkantha - 3, Kathmandu")</f>
        <v>Budhanilkantha - 3, Kathmandu</v>
      </c>
      <c r="I2608" s="2" t="str">
        <f>IFERROR(__xludf.DUMMYFUNCTION("""COMPUTED_VALUE"""),"28o 15' 35""")</f>
        <v>28o 15' 35"</v>
      </c>
      <c r="J2608" s="2" t="str">
        <f>IFERROR(__xludf.DUMMYFUNCTION("""COMPUTED_VALUE"""),"28o 17' 33""")</f>
        <v>28o 17' 33"</v>
      </c>
      <c r="K2608" s="2" t="str">
        <f>IFERROR(__xludf.DUMMYFUNCTION("""COMPUTED_VALUE"""),"84o 50' 29""")</f>
        <v>84o 50' 29"</v>
      </c>
      <c r="L2608" s="2" t="str">
        <f>IFERROR(__xludf.DUMMYFUNCTION("""COMPUTED_VALUE"""),"84o 51' 04""")</f>
        <v>84o 51' 04"</v>
      </c>
      <c r="M2608" s="2" t="str">
        <f>IFERROR(__xludf.DUMMYFUNCTION("""COMPUTED_VALUE"""),"Uiya (Gorkha)")</f>
        <v>Uiya (Gorkha)</v>
      </c>
    </row>
    <row r="2609">
      <c r="A2609" s="2">
        <f>IFERROR(__xludf.DUMMYFUNCTION("""COMPUTED_VALUE"""),2608.0)</f>
        <v>2608</v>
      </c>
      <c r="B2609" s="2" t="str">
        <f>IFERROR(__xludf.DUMMYFUNCTION("""COMPUTED_VALUE"""),"Manaslu Machha Hydropower Project")</f>
        <v>Manaslu Machha Hydropower Project</v>
      </c>
      <c r="C2609" s="2">
        <f>IFERROR(__xludf.DUMMYFUNCTION("""COMPUTED_VALUE"""),4.6)</f>
        <v>4.6</v>
      </c>
      <c r="D2609" s="2" t="str">
        <f>IFERROR(__xludf.DUMMYFUNCTION("""COMPUTED_VALUE"""),"Machha Khola")</f>
        <v>Machha Khola</v>
      </c>
      <c r="E2609" s="2">
        <f>IFERROR(__xludf.DUMMYFUNCTION("""COMPUTED_VALUE"""),5518.0)</f>
        <v>5518</v>
      </c>
      <c r="F2609" s="3">
        <f>IFERROR(__xludf.DUMMYFUNCTION("""COMPUTED_VALUE"""),66760.0)</f>
        <v>66760</v>
      </c>
      <c r="G2609" s="2" t="str">
        <f>IFERROR(__xludf.DUMMYFUNCTION("""COMPUTED_VALUE"""),"Water N Power Private Limited")</f>
        <v>Water N Power Private Limited</v>
      </c>
      <c r="H2609" s="2" t="str">
        <f>IFERROR(__xludf.DUMMYFUNCTION("""COMPUTED_VALUE"""),"KMC-16, Banasthali, Kathmandu")</f>
        <v>KMC-16, Banasthali, Kathmandu</v>
      </c>
      <c r="I2609" s="2" t="str">
        <f>IFERROR(__xludf.DUMMYFUNCTION("""COMPUTED_VALUE"""),"28o 16' 32""")</f>
        <v>28o 16' 32"</v>
      </c>
      <c r="J2609" s="2" t="str">
        <f>IFERROR(__xludf.DUMMYFUNCTION("""COMPUTED_VALUE"""),"28o 18' 15""")</f>
        <v>28o 18' 15"</v>
      </c>
      <c r="K2609" s="2" t="str">
        <f>IFERROR(__xludf.DUMMYFUNCTION("""COMPUTED_VALUE"""),"84o 45' 25""")</f>
        <v>84o 45' 25"</v>
      </c>
      <c r="L2609" s="2" t="str">
        <f>IFERROR(__xludf.DUMMYFUNCTION("""COMPUTED_VALUE"""),"84o 46' 60""")</f>
        <v>84o 46' 60"</v>
      </c>
      <c r="M2609" s="2" t="str">
        <f>IFERROR(__xludf.DUMMYFUNCTION("""COMPUTED_VALUE"""),"Warpak,Laprak (Gorkha)")</f>
        <v>Warpak,Laprak (Gorkha)</v>
      </c>
    </row>
    <row r="2610">
      <c r="A2610" s="2">
        <f>IFERROR(__xludf.DUMMYFUNCTION("""COMPUTED_VALUE"""),2609.0)</f>
        <v>2609</v>
      </c>
      <c r="B2610" s="2" t="str">
        <f>IFERROR(__xludf.DUMMYFUNCTION("""COMPUTED_VALUE"""),"Tallo Milti Khola Hydropower Project")</f>
        <v>Tallo Milti Khola Hydropower Project</v>
      </c>
      <c r="C2610" s="2">
        <f>IFERROR(__xludf.DUMMYFUNCTION("""COMPUTED_VALUE"""),2.1)</f>
        <v>2.1</v>
      </c>
      <c r="D2610" s="2" t="str">
        <f>IFERROR(__xludf.DUMMYFUNCTION("""COMPUTED_VALUE"""),"Milti Khola")</f>
        <v>Milti Khola</v>
      </c>
      <c r="E2610" s="2">
        <f>IFERROR(__xludf.DUMMYFUNCTION("""COMPUTED_VALUE"""),5592.0)</f>
        <v>5592</v>
      </c>
      <c r="F2610" s="3">
        <f>IFERROR(__xludf.DUMMYFUNCTION("""COMPUTED_VALUE"""),66762.0)</f>
        <v>66762</v>
      </c>
      <c r="G2610" s="2" t="str">
        <f>IFERROR(__xludf.DUMMYFUNCTION("""COMPUTED_VALUE"""),"Sajilo Urja Private Limited")</f>
        <v>Sajilo Urja Private Limited</v>
      </c>
      <c r="H2610" s="2" t="str">
        <f>IFERROR(__xludf.DUMMYFUNCTION("""COMPUTED_VALUE"""),"Tokha - 7, Kathmandu, Nepal")</f>
        <v>Tokha - 7, Kathmandu, Nepal</v>
      </c>
      <c r="I2610" s="2" t="str">
        <f>IFERROR(__xludf.DUMMYFUNCTION("""COMPUTED_VALUE"""),"27o 29' 35""")</f>
        <v>27o 29' 35"</v>
      </c>
      <c r="J2610" s="2" t="str">
        <f>IFERROR(__xludf.DUMMYFUNCTION("""COMPUTED_VALUE"""),"27o 30' 16""")</f>
        <v>27o 30' 16"</v>
      </c>
      <c r="K2610" s="2" t="str">
        <f>IFERROR(__xludf.DUMMYFUNCTION("""COMPUTED_VALUE"""),"86o 04' 29""")</f>
        <v>86o 04' 29"</v>
      </c>
      <c r="L2610" s="2" t="str">
        <f>IFERROR(__xludf.DUMMYFUNCTION("""COMPUTED_VALUE"""),"86o 05' 37""")</f>
        <v>86o 05' 37"</v>
      </c>
      <c r="M2610" s="2" t="str">
        <f>IFERROR(__xludf.DUMMYFUNCTION("""COMPUTED_VALUE"""),"Melung (Dolakha) Phulasi (Ramechhap)")</f>
        <v>Melung (Dolakha) Phulasi (Ramechhap)</v>
      </c>
    </row>
    <row r="2611">
      <c r="A2611" s="2">
        <f>IFERROR(__xludf.DUMMYFUNCTION("""COMPUTED_VALUE"""),2610.0)</f>
        <v>2610</v>
      </c>
      <c r="B2611" s="2" t="str">
        <f>IFERROR(__xludf.DUMMYFUNCTION("""COMPUTED_VALUE"""),"Lower Rahagad Hydropower Proejct")</f>
        <v>Lower Rahagad Hydropower Proejct</v>
      </c>
      <c r="C2611" s="2">
        <f>IFERROR(__xludf.DUMMYFUNCTION("""COMPUTED_VALUE"""),4.9)</f>
        <v>4.9</v>
      </c>
      <c r="D2611" s="2" t="str">
        <f>IFERROR(__xludf.DUMMYFUNCTION("""COMPUTED_VALUE"""),"Rahagad")</f>
        <v>Rahagad</v>
      </c>
      <c r="E2611" s="2">
        <f>IFERROR(__xludf.DUMMYFUNCTION("""COMPUTED_VALUE"""),5719.0)</f>
        <v>5719</v>
      </c>
      <c r="F2611" s="3">
        <f>IFERROR(__xludf.DUMMYFUNCTION("""COMPUTED_VALUE"""),66767.0)</f>
        <v>66767</v>
      </c>
      <c r="G2611" s="2" t="str">
        <f>IFERROR(__xludf.DUMMYFUNCTION("""COMPUTED_VALUE"""),"Brothers Engineering Services Pvt. Ltd")</f>
        <v>Brothers Engineering Services Pvt. Ltd</v>
      </c>
      <c r="H2611" s="2" t="str">
        <f>IFERROR(__xludf.DUMMYFUNCTION("""COMPUTED_VALUE"""),"Pokhara-6, Kaski")</f>
        <v>Pokhara-6, Kaski</v>
      </c>
      <c r="I2611" s="2" t="str">
        <f>IFERROR(__xludf.DUMMYFUNCTION("""COMPUTED_VALUE"""),"29o 07' 50""")</f>
        <v>29o 07' 50"</v>
      </c>
      <c r="J2611" s="2" t="str">
        <f>IFERROR(__xludf.DUMMYFUNCTION("""COMPUTED_VALUE"""),"29o 09' 37""")</f>
        <v>29o 09' 37"</v>
      </c>
      <c r="K2611" s="2" t="str">
        <f>IFERROR(__xludf.DUMMYFUNCTION("""COMPUTED_VALUE"""),"81o 33' 00""")</f>
        <v>81o 33' 00"</v>
      </c>
      <c r="L2611" s="2" t="str">
        <f>IFERROR(__xludf.DUMMYFUNCTION("""COMPUTED_VALUE"""),"81o 35' 00""")</f>
        <v>81o 35' 00"</v>
      </c>
      <c r="M2611" s="2" t="str">
        <f>IFERROR(__xludf.DUMMYFUNCTION("""COMPUTED_VALUE"""),"Dahafatgaun (Kalikot)")</f>
        <v>Dahafatgaun (Kalikot)</v>
      </c>
    </row>
    <row r="2612">
      <c r="A2612" s="2">
        <f>IFERROR(__xludf.DUMMYFUNCTION("""COMPUTED_VALUE"""),2611.0)</f>
        <v>2611</v>
      </c>
      <c r="B2612" s="2" t="str">
        <f>IFERROR(__xludf.DUMMYFUNCTION("""COMPUTED_VALUE"""),"Upper Bheri Khola Hydropower Project")</f>
        <v>Upper Bheri Khola Hydropower Project</v>
      </c>
      <c r="C2612" s="2">
        <f>IFERROR(__xludf.DUMMYFUNCTION("""COMPUTED_VALUE"""),4.7)</f>
        <v>4.7</v>
      </c>
      <c r="D2612" s="2" t="str">
        <f>IFERROR(__xludf.DUMMYFUNCTION("""COMPUTED_VALUE"""),"Bheri Khola")</f>
        <v>Bheri Khola</v>
      </c>
      <c r="E2612" s="2">
        <f>IFERROR(__xludf.DUMMYFUNCTION("""COMPUTED_VALUE"""),6019.0)</f>
        <v>6019</v>
      </c>
      <c r="F2612" s="3">
        <f>IFERROR(__xludf.DUMMYFUNCTION("""COMPUTED_VALUE"""),66776.0)</f>
        <v>66776</v>
      </c>
      <c r="G2612" s="2" t="str">
        <f>IFERROR(__xludf.DUMMYFUNCTION("""COMPUTED_VALUE"""),"Aaditya Hydropower Pvt. Ltd")</f>
        <v>Aaditya Hydropower Pvt. Ltd</v>
      </c>
      <c r="H2612" s="2" t="str">
        <f>IFERROR(__xludf.DUMMYFUNCTION("""COMPUTED_VALUE"""),"Kathmandu")</f>
        <v>Kathmandu</v>
      </c>
      <c r="I2612" s="2" t="str">
        <f>IFERROR(__xludf.DUMMYFUNCTION("""COMPUTED_VALUE"""),"29o 04' 56""")</f>
        <v>29o 04' 56"</v>
      </c>
      <c r="J2612" s="2" t="str">
        <f>IFERROR(__xludf.DUMMYFUNCTION("""COMPUTED_VALUE"""),"29o 07' 53""")</f>
        <v>29o 07' 53"</v>
      </c>
      <c r="K2612" s="2" t="str">
        <f>IFERROR(__xludf.DUMMYFUNCTION("""COMPUTED_VALUE"""),"82o 04' 17""")</f>
        <v>82o 04' 17"</v>
      </c>
      <c r="L2612" s="2" t="str">
        <f>IFERROR(__xludf.DUMMYFUNCTION("""COMPUTED_VALUE"""),"82o 05' 50""")</f>
        <v>82o 05' 50"</v>
      </c>
      <c r="M2612" s="2" t="str">
        <f>IFERROR(__xludf.DUMMYFUNCTION("""COMPUTED_VALUE"""),"Punama (Jajarkot)")</f>
        <v>Punama (Jajarkot)</v>
      </c>
    </row>
    <row r="2613">
      <c r="A2613" s="2">
        <f>IFERROR(__xludf.DUMMYFUNCTION("""COMPUTED_VALUE"""),2612.0)</f>
        <v>2612</v>
      </c>
      <c r="B2613" s="2" t="str">
        <f>IFERROR(__xludf.DUMMYFUNCTION("""COMPUTED_VALUE"""),"Bagmati Marin Khola Hydropower Project")</f>
        <v>Bagmati Marin Khola Hydropower Project</v>
      </c>
      <c r="C2613" s="2">
        <f>IFERROR(__xludf.DUMMYFUNCTION("""COMPUTED_VALUE"""),5.0)</f>
        <v>5</v>
      </c>
      <c r="D2613" s="2" t="str">
        <f>IFERROR(__xludf.DUMMYFUNCTION("""COMPUTED_VALUE"""),"Bagmati, Marin")</f>
        <v>Bagmati, Marin</v>
      </c>
      <c r="E2613" s="2">
        <f>IFERROR(__xludf.DUMMYFUNCTION("""COMPUTED_VALUE"""),6053.0)</f>
        <v>6053</v>
      </c>
      <c r="F2613" s="3">
        <f>IFERROR(__xludf.DUMMYFUNCTION("""COMPUTED_VALUE"""),66776.0)</f>
        <v>66776</v>
      </c>
      <c r="G2613" s="2" t="str">
        <f>IFERROR(__xludf.DUMMYFUNCTION("""COMPUTED_VALUE"""),"Shanta Himalaya Hydropower Private Limited")</f>
        <v>Shanta Himalaya Hydropower Private Limited</v>
      </c>
      <c r="H2613" s="2" t="str">
        <f>IFERROR(__xludf.DUMMYFUNCTION("""COMPUTED_VALUE"""),"Budhanilkantha - 3, Kathmandu")</f>
        <v>Budhanilkantha - 3, Kathmandu</v>
      </c>
      <c r="I2613" s="2" t="str">
        <f>IFERROR(__xludf.DUMMYFUNCTION("""COMPUTED_VALUE"""),"27o 08' 00""")</f>
        <v>27o 08' 00"</v>
      </c>
      <c r="J2613" s="2" t="str">
        <f>IFERROR(__xludf.DUMMYFUNCTION("""COMPUTED_VALUE"""),"27o 16' 00""")</f>
        <v>27o 16' 00"</v>
      </c>
      <c r="K2613" s="2" t="str">
        <f>IFERROR(__xludf.DUMMYFUNCTION("""COMPUTED_VALUE"""),"85o 28' 00""")</f>
        <v>85o 28' 00"</v>
      </c>
      <c r="L2613" s="2" t="str">
        <f>IFERROR(__xludf.DUMMYFUNCTION("""COMPUTED_VALUE"""),"85o 53' 00""")</f>
        <v>85o 53' 00"</v>
      </c>
      <c r="M2613" s="2" t="str">
        <f>IFERROR(__xludf.DUMMYFUNCTION("""COMPUTED_VALUE"""),"Raigaun (Makawanpur) Siddheswori,Bhiman,Dadiguransh,Pipalmadi (Sindhuli)")</f>
        <v>Raigaun (Makawanpur) Siddheswori,Bhiman,Dadiguransh,Pipalmadi (Sindhuli)</v>
      </c>
    </row>
    <row r="2614">
      <c r="A2614" s="2">
        <f>IFERROR(__xludf.DUMMYFUNCTION("""COMPUTED_VALUE"""),2613.0)</f>
        <v>2613</v>
      </c>
      <c r="B2614" s="2" t="str">
        <f>IFERROR(__xludf.DUMMYFUNCTION("""COMPUTED_VALUE"""),"Goru Khola Hydropower Project")</f>
        <v>Goru Khola Hydropower Project</v>
      </c>
      <c r="C2614" s="2">
        <f>IFERROR(__xludf.DUMMYFUNCTION("""COMPUTED_VALUE"""),4.6)</f>
        <v>4.6</v>
      </c>
      <c r="D2614" s="2" t="str">
        <f>IFERROR(__xludf.DUMMYFUNCTION("""COMPUTED_VALUE"""),"Goru khola")</f>
        <v>Goru khola</v>
      </c>
      <c r="E2614" s="2">
        <f>IFERROR(__xludf.DUMMYFUNCTION("""COMPUTED_VALUE"""),6118.0)</f>
        <v>6118</v>
      </c>
      <c r="F2614" s="3">
        <f>IFERROR(__xludf.DUMMYFUNCTION("""COMPUTED_VALUE"""),66777.0)</f>
        <v>66777</v>
      </c>
      <c r="G2614" s="2" t="str">
        <f>IFERROR(__xludf.DUMMYFUNCTION("""COMPUTED_VALUE"""),"Aaditya Hdyropower Pvt. Ltd")</f>
        <v>Aaditya Hdyropower Pvt. Ltd</v>
      </c>
      <c r="H2614" s="2" t="str">
        <f>IFERROR(__xludf.DUMMYFUNCTION("""COMPUTED_VALUE"""),"Kathmandu")</f>
        <v>Kathmandu</v>
      </c>
      <c r="I2614" s="2" t="str">
        <f>IFERROR(__xludf.DUMMYFUNCTION("""COMPUTED_VALUE"""),"29o 12' 45""")</f>
        <v>29o 12' 45"</v>
      </c>
      <c r="J2614" s="2" t="str">
        <f>IFERROR(__xludf.DUMMYFUNCTION("""COMPUTED_VALUE"""),"29o 13' 29""")</f>
        <v>29o 13' 29"</v>
      </c>
      <c r="K2614" s="2" t="str">
        <f>IFERROR(__xludf.DUMMYFUNCTION("""COMPUTED_VALUE"""),"81o 56' 47""")</f>
        <v>81o 56' 47"</v>
      </c>
      <c r="L2614" s="2" t="str">
        <f>IFERROR(__xludf.DUMMYFUNCTION("""COMPUTED_VALUE"""),"81o 57' 46""")</f>
        <v>81o 57' 46"</v>
      </c>
      <c r="M2614" s="2"/>
    </row>
    <row r="2615">
      <c r="A2615" s="2">
        <f>IFERROR(__xludf.DUMMYFUNCTION("""COMPUTED_VALUE"""),2614.0)</f>
        <v>2614</v>
      </c>
      <c r="B2615" s="2" t="str">
        <f>IFERROR(__xludf.DUMMYFUNCTION("""COMPUTED_VALUE"""),"Madi Kyadusyo Hydropower Project")</f>
        <v>Madi Kyadusyo Hydropower Project</v>
      </c>
      <c r="C2615" s="2">
        <f>IFERROR(__xludf.DUMMYFUNCTION("""COMPUTED_VALUE"""),4.1)</f>
        <v>4.1</v>
      </c>
      <c r="D2615" s="2" t="str">
        <f>IFERROR(__xludf.DUMMYFUNCTION("""COMPUTED_VALUE"""),"Madi Nadi &amp; Kyadusyo Kh")</f>
        <v>Madi Nadi &amp; Kyadusyo Kh</v>
      </c>
      <c r="E2615" s="2">
        <f>IFERROR(__xludf.DUMMYFUNCTION("""COMPUTED_VALUE"""),6300.0)</f>
        <v>6300</v>
      </c>
      <c r="F2615" s="3">
        <f>IFERROR(__xludf.DUMMYFUNCTION("""COMPUTED_VALUE"""),66785.0)</f>
        <v>66785</v>
      </c>
      <c r="G2615" s="2" t="str">
        <f>IFERROR(__xludf.DUMMYFUNCTION("""COMPUTED_VALUE"""),"Smart Hydro Private Limited")</f>
        <v>Smart Hydro Private Limited</v>
      </c>
      <c r="H2615" s="2" t="str">
        <f>IFERROR(__xludf.DUMMYFUNCTION("""COMPUTED_VALUE"""),"Lalitpur-10, Jwagal")</f>
        <v>Lalitpur-10, Jwagal</v>
      </c>
      <c r="I2615" s="2" t="str">
        <f>IFERROR(__xludf.DUMMYFUNCTION("""COMPUTED_VALUE"""),"28o 25' 18""")</f>
        <v>28o 25' 18"</v>
      </c>
      <c r="J2615" s="2" t="str">
        <f>IFERROR(__xludf.DUMMYFUNCTION("""COMPUTED_VALUE"""),"28o 25' 48""")</f>
        <v>28o 25' 48"</v>
      </c>
      <c r="K2615" s="2" t="str">
        <f>IFERROR(__xludf.DUMMYFUNCTION("""COMPUTED_VALUE"""),"84o 06' 30""")</f>
        <v>84o 06' 30"</v>
      </c>
      <c r="L2615" s="2" t="str">
        <f>IFERROR(__xludf.DUMMYFUNCTION("""COMPUTED_VALUE"""),"84o 07' 15""")</f>
        <v>84o 07' 15"</v>
      </c>
      <c r="M2615" s="2" t="str">
        <f>IFERROR(__xludf.DUMMYFUNCTION("""COMPUTED_VALUE"""),"Namarjung,Parche (Kaski)")</f>
        <v>Namarjung,Parche (Kaski)</v>
      </c>
    </row>
    <row r="2616">
      <c r="A2616" s="2">
        <f>IFERROR(__xludf.DUMMYFUNCTION("""COMPUTED_VALUE"""),2615.0)</f>
        <v>2615</v>
      </c>
      <c r="B2616" s="2" t="str">
        <f>IFERROR(__xludf.DUMMYFUNCTION("""COMPUTED_VALUE"""),"Triveni hydropower Project")</f>
        <v>Triveni hydropower Project</v>
      </c>
      <c r="C2616" s="2">
        <f>IFERROR(__xludf.DUMMYFUNCTION("""COMPUTED_VALUE"""),21.99)</f>
        <v>21.99</v>
      </c>
      <c r="D2616" s="2" t="str">
        <f>IFERROR(__xludf.DUMMYFUNCTION("""COMPUTED_VALUE"""),"Thuli Bheri")</f>
        <v>Thuli Bheri</v>
      </c>
      <c r="E2616" s="2">
        <f>IFERROR(__xludf.DUMMYFUNCTION("""COMPUTED_VALUE"""),6497.0)</f>
        <v>6497</v>
      </c>
      <c r="F2616" s="3">
        <f>IFERROR(__xludf.DUMMYFUNCTION("""COMPUTED_VALUE"""),66792.0)</f>
        <v>66792</v>
      </c>
      <c r="G2616" s="2" t="str">
        <f>IFERROR(__xludf.DUMMYFUNCTION("""COMPUTED_VALUE"""),"Trivedni Hydropower Pvt. Ltd")</f>
        <v>Trivedni Hydropower Pvt. Ltd</v>
      </c>
      <c r="H2616" s="2" t="str">
        <f>IFERROR(__xludf.DUMMYFUNCTION("""COMPUTED_VALUE"""),"Kathmandu-14")</f>
        <v>Kathmandu-14</v>
      </c>
      <c r="I2616" s="2" t="str">
        <f>IFERROR(__xludf.DUMMYFUNCTION("""COMPUTED_VALUE"""),"28o 57' 54""")</f>
        <v>28o 57' 54"</v>
      </c>
      <c r="J2616" s="2" t="str">
        <f>IFERROR(__xludf.DUMMYFUNCTION("""COMPUTED_VALUE"""),"28o 58' 36""")</f>
        <v>28o 58' 36"</v>
      </c>
      <c r="K2616" s="2" t="str">
        <f>IFERROR(__xludf.DUMMYFUNCTION("""COMPUTED_VALUE"""),"82o 31' 45""")</f>
        <v>82o 31' 45"</v>
      </c>
      <c r="L2616" s="2" t="str">
        <f>IFERROR(__xludf.DUMMYFUNCTION("""COMPUTED_VALUE"""),"82o 32' 23""")</f>
        <v>82o 32' 23"</v>
      </c>
      <c r="M2616" s="2" t="str">
        <f>IFERROR(__xludf.DUMMYFUNCTION("""COMPUTED_VALUE"""),"Garkhakot (Jajarkot)")</f>
        <v>Garkhakot (Jajarkot)</v>
      </c>
    </row>
    <row r="2617">
      <c r="A2617" s="2">
        <f>IFERROR(__xludf.DUMMYFUNCTION("""COMPUTED_VALUE"""),2616.0)</f>
        <v>2616</v>
      </c>
      <c r="B2617" s="2" t="str">
        <f>IFERROR(__xludf.DUMMYFUNCTION("""COMPUTED_VALUE"""),"Mid Gad Hydropower Project")</f>
        <v>Mid Gad Hydropower Project</v>
      </c>
      <c r="C2617" s="2">
        <f>IFERROR(__xludf.DUMMYFUNCTION("""COMPUTED_VALUE"""),30.0)</f>
        <v>30</v>
      </c>
      <c r="D2617" s="2" t="str">
        <f>IFERROR(__xludf.DUMMYFUNCTION("""COMPUTED_VALUE"""),"Gad Khola")</f>
        <v>Gad Khola</v>
      </c>
      <c r="E2617" s="2">
        <f>IFERROR(__xludf.DUMMYFUNCTION("""COMPUTED_VALUE"""),6611.0)</f>
        <v>6611</v>
      </c>
      <c r="F2617" s="3">
        <f>IFERROR(__xludf.DUMMYFUNCTION("""COMPUTED_VALUE"""),66795.0)</f>
        <v>66795</v>
      </c>
      <c r="G2617" s="2" t="str">
        <f>IFERROR(__xludf.DUMMYFUNCTION("""COMPUTED_VALUE"""),"Epicenter Engineering Solution Pvt. Ltd")</f>
        <v>Epicenter Engineering Solution Pvt. Ltd</v>
      </c>
      <c r="H2617" s="2" t="str">
        <f>IFERROR(__xludf.DUMMYFUNCTION("""COMPUTED_VALUE"""),"Kathmandu")</f>
        <v>Kathmandu</v>
      </c>
      <c r="I2617" s="2" t="str">
        <f>IFERROR(__xludf.DUMMYFUNCTION("""COMPUTED_VALUE"""),"28o 52' 27""")</f>
        <v>28o 52' 27"</v>
      </c>
      <c r="J2617" s="2" t="str">
        <f>IFERROR(__xludf.DUMMYFUNCTION("""COMPUTED_VALUE"""),"28o 53' 24""")</f>
        <v>28o 53' 24"</v>
      </c>
      <c r="K2617" s="2" t="str">
        <f>IFERROR(__xludf.DUMMYFUNCTION("""COMPUTED_VALUE"""),"81o 56' 32""")</f>
        <v>81o 56' 32"</v>
      </c>
      <c r="L2617" s="2" t="str">
        <f>IFERROR(__xludf.DUMMYFUNCTION("""COMPUTED_VALUE"""),"81o 57' 22""")</f>
        <v>81o 57' 22"</v>
      </c>
      <c r="M2617" s="2" t="str">
        <f>IFERROR(__xludf.DUMMYFUNCTION("""COMPUTED_VALUE"""),"Dasera (Jajarkot)")</f>
        <v>Dasera (Jajarkot)</v>
      </c>
    </row>
    <row r="2618">
      <c r="A2618" s="2">
        <f>IFERROR(__xludf.DUMMYFUNCTION("""COMPUTED_VALUE"""),2617.0)</f>
        <v>2617</v>
      </c>
      <c r="B2618" s="2" t="str">
        <f>IFERROR(__xludf.DUMMYFUNCTION("""COMPUTED_VALUE"""),"Golden Arun PRoR Hydroelectric Project")</f>
        <v>Golden Arun PRoR Hydroelectric Project</v>
      </c>
      <c r="C2618" s="2">
        <f>IFERROR(__xludf.DUMMYFUNCTION("""COMPUTED_VALUE"""),40.6)</f>
        <v>40.6</v>
      </c>
      <c r="D2618" s="2" t="str">
        <f>IFERROR(__xludf.DUMMYFUNCTION("""COMPUTED_VALUE"""),"Arun")</f>
        <v>Arun</v>
      </c>
      <c r="E2618" s="2">
        <f>IFERROR(__xludf.DUMMYFUNCTION("""COMPUTED_VALUE"""),6614.0)</f>
        <v>6614</v>
      </c>
      <c r="F2618" s="3">
        <f>IFERROR(__xludf.DUMMYFUNCTION("""COMPUTED_VALUE"""),66795.0)</f>
        <v>66795</v>
      </c>
      <c r="G2618" s="2" t="str">
        <f>IFERROR(__xludf.DUMMYFUNCTION("""COMPUTED_VALUE"""),"Swornim Hydro Private Limited")</f>
        <v>Swornim Hydro Private Limited</v>
      </c>
      <c r="H2618" s="2" t="str">
        <f>IFERROR(__xludf.DUMMYFUNCTION("""COMPUTED_VALUE"""),"Lalitpur-3, Lalitpur")</f>
        <v>Lalitpur-3, Lalitpur</v>
      </c>
      <c r="I2618" s="2" t="str">
        <f>IFERROR(__xludf.DUMMYFUNCTION("""COMPUTED_VALUE"""),"27o 25' 37""")</f>
        <v>27o 25' 37"</v>
      </c>
      <c r="J2618" s="2" t="str">
        <f>IFERROR(__xludf.DUMMYFUNCTION("""COMPUTED_VALUE"""),"27o 28' 46""")</f>
        <v>27o 28' 46"</v>
      </c>
      <c r="K2618" s="2" t="str">
        <f>IFERROR(__xludf.DUMMYFUNCTION("""COMPUTED_VALUE"""),"87o 07' 20""")</f>
        <v>87o 07' 20"</v>
      </c>
      <c r="L2618" s="2" t="str">
        <f>IFERROR(__xludf.DUMMYFUNCTION("""COMPUTED_VALUE"""),"87o 09' 48""")</f>
        <v>87o 09' 48"</v>
      </c>
      <c r="M2618" s="2" t="str">
        <f>IFERROR(__xludf.DUMMYFUNCTION("""COMPUTED_VALUE"""),"Mangtewa,Sitalpati (Sankhuwasabha)")</f>
        <v>Mangtewa,Sitalpati (Sankhuwasabha)</v>
      </c>
    </row>
    <row r="2619">
      <c r="A2619" s="2">
        <f>IFERROR(__xludf.DUMMYFUNCTION("""COMPUTED_VALUE"""),2618.0)</f>
        <v>2618</v>
      </c>
      <c r="B2619" s="2" t="str">
        <f>IFERROR(__xludf.DUMMYFUNCTION("""COMPUTED_VALUE"""),"Kailash Khola Cascade Hydropower Project")</f>
        <v>Kailash Khola Cascade Hydropower Project</v>
      </c>
      <c r="C2619" s="2">
        <f>IFERROR(__xludf.DUMMYFUNCTION("""COMPUTED_VALUE"""),4.68)</f>
        <v>4.68</v>
      </c>
      <c r="D2619" s="2" t="str">
        <f>IFERROR(__xludf.DUMMYFUNCTION("""COMPUTED_VALUE"""),"Kailash Khola")</f>
        <v>Kailash Khola</v>
      </c>
      <c r="E2619" s="2">
        <f>IFERROR(__xludf.DUMMYFUNCTION("""COMPUTED_VALUE"""),6778.0)</f>
        <v>6778</v>
      </c>
      <c r="F2619" s="3">
        <f>IFERROR(__xludf.DUMMYFUNCTION("""COMPUTED_VALUE"""),66807.0)</f>
        <v>66807</v>
      </c>
      <c r="G2619" s="2" t="str">
        <f>IFERROR(__xludf.DUMMYFUNCTION("""COMPUTED_VALUE"""),"N. R. N. Globel Energy (pvt.) Ltd.")</f>
        <v>N. R. N. Globel Energy (pvt.) Ltd.</v>
      </c>
      <c r="H2619" s="2" t="str">
        <f>IFERROR(__xludf.DUMMYFUNCTION("""COMPUTED_VALUE"""),"Kathmandu-3, Lazimpat")</f>
        <v>Kathmandu-3, Lazimpat</v>
      </c>
      <c r="I2619" s="2" t="str">
        <f>IFERROR(__xludf.DUMMYFUNCTION("""COMPUTED_VALUE"""),"29o 09' 34""")</f>
        <v>29o 09' 34"</v>
      </c>
      <c r="J2619" s="2" t="str">
        <f>IFERROR(__xludf.DUMMYFUNCTION("""COMPUTED_VALUE"""),"29o 10' 15""")</f>
        <v>29o 10' 15"</v>
      </c>
      <c r="K2619" s="2" t="str">
        <f>IFERROR(__xludf.DUMMYFUNCTION("""COMPUTED_VALUE"""),"81o 18' 38""")</f>
        <v>81o 18' 38"</v>
      </c>
      <c r="L2619" s="2" t="str">
        <f>IFERROR(__xludf.DUMMYFUNCTION("""COMPUTED_VALUE"""),"81o 20' 40""")</f>
        <v>81o 20' 40"</v>
      </c>
      <c r="M2619" s="2" t="str">
        <f>IFERROR(__xludf.DUMMYFUNCTION("""COMPUTED_VALUE"""),"Bhagyaswori (Achham)")</f>
        <v>Bhagyaswori (Achham)</v>
      </c>
    </row>
    <row r="2620">
      <c r="A2620" s="2">
        <f>IFERROR(__xludf.DUMMYFUNCTION("""COMPUTED_VALUE"""),2619.0)</f>
        <v>2619</v>
      </c>
      <c r="B2620" s="2" t="str">
        <f>IFERROR(__xludf.DUMMYFUNCTION("""COMPUTED_VALUE"""),"Ghatte Limatang Small hydroelectric Project")</f>
        <v>Ghatte Limatang Small hydroelectric Project</v>
      </c>
      <c r="C2620" s="2">
        <f>IFERROR(__xludf.DUMMYFUNCTION("""COMPUTED_VALUE"""),4.8)</f>
        <v>4.8</v>
      </c>
      <c r="D2620" s="2" t="str">
        <f>IFERROR(__xludf.DUMMYFUNCTION("""COMPUTED_VALUE"""),"Ghatte Limtang khola")</f>
        <v>Ghatte Limtang khola</v>
      </c>
      <c r="E2620" s="2">
        <f>IFERROR(__xludf.DUMMYFUNCTION("""COMPUTED_VALUE"""),6810.0)</f>
        <v>6810</v>
      </c>
      <c r="F2620" s="3">
        <f>IFERROR(__xludf.DUMMYFUNCTION("""COMPUTED_VALUE"""),66808.0)</f>
        <v>66808</v>
      </c>
      <c r="G2620" s="2" t="str">
        <f>IFERROR(__xludf.DUMMYFUNCTION("""COMPUTED_VALUE"""),"Infra Holdings Pvt. Ltd")</f>
        <v>Infra Holdings Pvt. Ltd</v>
      </c>
      <c r="H2620" s="2" t="str">
        <f>IFERROR(__xludf.DUMMYFUNCTION("""COMPUTED_VALUE"""),"Minbhawan-10, Kathmandu")</f>
        <v>Minbhawan-10, Kathmandu</v>
      </c>
      <c r="I2620" s="2" t="str">
        <f>IFERROR(__xludf.DUMMYFUNCTION("""COMPUTED_VALUE"""),"29o 57' 09""")</f>
        <v>29o 57' 09"</v>
      </c>
      <c r="J2620" s="2" t="str">
        <f>IFERROR(__xludf.DUMMYFUNCTION("""COMPUTED_VALUE"""),"29o 59' 56""")</f>
        <v>29o 59' 56"</v>
      </c>
      <c r="K2620" s="2" t="str">
        <f>IFERROR(__xludf.DUMMYFUNCTION("""COMPUTED_VALUE"""),"81o 52' 12""")</f>
        <v>81o 52' 12"</v>
      </c>
      <c r="L2620" s="2" t="str">
        <f>IFERROR(__xludf.DUMMYFUNCTION("""COMPUTED_VALUE"""),"81o 54' 11""")</f>
        <v>81o 54' 11"</v>
      </c>
      <c r="M2620" s="2" t="str">
        <f>IFERROR(__xludf.DUMMYFUNCTION("""COMPUTED_VALUE"""),"Kharpunath (Humla)")</f>
        <v>Kharpunath (Humla)</v>
      </c>
    </row>
    <row r="2621">
      <c r="A2621" s="2">
        <f>IFERROR(__xludf.DUMMYFUNCTION("""COMPUTED_VALUE"""),2620.0)</f>
        <v>2620</v>
      </c>
      <c r="B2621" s="2" t="str">
        <f>IFERROR(__xludf.DUMMYFUNCTION("""COMPUTED_VALUE"""),"Gobregad Hydropower Project")</f>
        <v>Gobregad Hydropower Project</v>
      </c>
      <c r="C2621" s="2">
        <f>IFERROR(__xludf.DUMMYFUNCTION("""COMPUTED_VALUE"""),4.98)</f>
        <v>4.98</v>
      </c>
      <c r="D2621" s="2" t="str">
        <f>IFERROR(__xludf.DUMMYFUNCTION("""COMPUTED_VALUE"""),"Gobre Gad, Belaspur Khola")</f>
        <v>Gobre Gad, Belaspur Khola</v>
      </c>
      <c r="E2621" s="2">
        <f>IFERROR(__xludf.DUMMYFUNCTION("""COMPUTED_VALUE"""),7257.0)</f>
        <v>7257</v>
      </c>
      <c r="F2621" s="3">
        <f>IFERROR(__xludf.DUMMYFUNCTION("""COMPUTED_VALUE"""),66820.0)</f>
        <v>66820</v>
      </c>
      <c r="G2621" s="2" t="str">
        <f>IFERROR(__xludf.DUMMYFUNCTION("""COMPUTED_VALUE"""),"Sakshyam Syano Hydropower Proejct")</f>
        <v>Sakshyam Syano Hydropower Proejct</v>
      </c>
      <c r="H2621" s="2" t="str">
        <f>IFERROR(__xludf.DUMMYFUNCTION("""COMPUTED_VALUE"""),"Budhanilkantha, Kathmandu")</f>
        <v>Budhanilkantha, Kathmandu</v>
      </c>
      <c r="I2621" s="2" t="str">
        <f>IFERROR(__xludf.DUMMYFUNCTION("""COMPUTED_VALUE"""),"29o 01' 25""")</f>
        <v>29o 01' 25"</v>
      </c>
      <c r="J2621" s="2" t="str">
        <f>IFERROR(__xludf.DUMMYFUNCTION("""COMPUTED_VALUE"""),"29o 03' 43""")</f>
        <v>29o 03' 43"</v>
      </c>
      <c r="K2621" s="2" t="str">
        <f>IFERROR(__xludf.DUMMYFUNCTION("""COMPUTED_VALUE"""),"82o 19' 27""")</f>
        <v>82o 19' 27"</v>
      </c>
      <c r="L2621" s="2" t="str">
        <f>IFERROR(__xludf.DUMMYFUNCTION("""COMPUTED_VALUE"""),"82o 21' 21""")</f>
        <v>82o 21' 21"</v>
      </c>
      <c r="M2621" s="2" t="str">
        <f>IFERROR(__xludf.DUMMYFUNCTION("""COMPUTED_VALUE"""),"Dhime (Jajarkot)")</f>
        <v>Dhime (Jajarkot)</v>
      </c>
    </row>
    <row r="2622">
      <c r="A2622" s="2">
        <f>IFERROR(__xludf.DUMMYFUNCTION("""COMPUTED_VALUE"""),2621.0)</f>
        <v>2621</v>
      </c>
      <c r="B2622" s="2" t="str">
        <f>IFERROR(__xludf.DUMMYFUNCTION("""COMPUTED_VALUE"""),"Hongu Inkhu Hydropower Project")</f>
        <v>Hongu Inkhu Hydropower Project</v>
      </c>
      <c r="C2622" s="2">
        <f>IFERROR(__xludf.DUMMYFUNCTION("""COMPUTED_VALUE"""),9.4)</f>
        <v>9.4</v>
      </c>
      <c r="D2622" s="2" t="str">
        <f>IFERROR(__xludf.DUMMYFUNCTION("""COMPUTED_VALUE"""),"Hongu Khola &amp; Inkhu Khola")</f>
        <v>Hongu Khola &amp; Inkhu Khola</v>
      </c>
      <c r="E2622" s="2">
        <f>IFERROR(__xludf.DUMMYFUNCTION("""COMPUTED_VALUE"""),7456.0)</f>
        <v>7456</v>
      </c>
      <c r="F2622" s="3">
        <f>IFERROR(__xludf.DUMMYFUNCTION("""COMPUTED_VALUE"""),66826.0)</f>
        <v>66826</v>
      </c>
      <c r="G2622" s="2" t="str">
        <f>IFERROR(__xludf.DUMMYFUNCTION("""COMPUTED_VALUE"""),"Shailung Hill Energy Private Limited")</f>
        <v>Shailung Hill Energy Private Limited</v>
      </c>
      <c r="H2622" s="2" t="str">
        <f>IFERROR(__xludf.DUMMYFUNCTION("""COMPUTED_VALUE"""),"KMC, Ward No. 3, Kathmandu")</f>
        <v>KMC, Ward No. 3, Kathmandu</v>
      </c>
      <c r="I2622" s="2" t="str">
        <f>IFERROR(__xludf.DUMMYFUNCTION("""COMPUTED_VALUE"""),"27o 26' 30""")</f>
        <v>27o 26' 30"</v>
      </c>
      <c r="J2622" s="2" t="str">
        <f>IFERROR(__xludf.DUMMYFUNCTION("""COMPUTED_VALUE"""),"27o 27' 30""")</f>
        <v>27o 27' 30"</v>
      </c>
      <c r="K2622" s="2" t="str">
        <f>IFERROR(__xludf.DUMMYFUNCTION("""COMPUTED_VALUE"""),"86o 42' 25""")</f>
        <v>86o 42' 25"</v>
      </c>
      <c r="L2622" s="2" t="str">
        <f>IFERROR(__xludf.DUMMYFUNCTION("""COMPUTED_VALUE"""),"86o 43' 45""")</f>
        <v>86o 43' 45"</v>
      </c>
      <c r="M2622" s="2" t="str">
        <f>IFERROR(__xludf.DUMMYFUNCTION("""COMPUTED_VALUE"""),"Mabe(Pawai),Jubu,Deusa (Solukhumbu)")</f>
        <v>Mabe(Pawai),Jubu,Deusa (Solukhumbu)</v>
      </c>
    </row>
    <row r="2623">
      <c r="A2623" s="2">
        <f>IFERROR(__xludf.DUMMYFUNCTION("""COMPUTED_VALUE"""),2622.0)</f>
        <v>2622</v>
      </c>
      <c r="B2623" s="2" t="str">
        <f>IFERROR(__xludf.DUMMYFUNCTION("""COMPUTED_VALUE"""),"Super Chhahare Khola Hydroelectric Project")</f>
        <v>Super Chhahare Khola Hydroelectric Project</v>
      </c>
      <c r="C2623" s="2">
        <f>IFERROR(__xludf.DUMMYFUNCTION("""COMPUTED_VALUE"""),4.5)</f>
        <v>4.5</v>
      </c>
      <c r="D2623" s="2" t="str">
        <f>IFERROR(__xludf.DUMMYFUNCTION("""COMPUTED_VALUE"""),"Chhahare")</f>
        <v>Chhahare</v>
      </c>
      <c r="E2623" s="2">
        <f>IFERROR(__xludf.DUMMYFUNCTION("""COMPUTED_VALUE"""),7565.0)</f>
        <v>7565</v>
      </c>
      <c r="F2623" s="3">
        <f>IFERROR(__xludf.DUMMYFUNCTION("""COMPUTED_VALUE"""),66828.0)</f>
        <v>66828</v>
      </c>
      <c r="G2623" s="2" t="str">
        <f>IFERROR(__xludf.DUMMYFUNCTION("""COMPUTED_VALUE"""),"Paradise Urja Private Limited")</f>
        <v>Paradise Urja Private Limited</v>
      </c>
      <c r="H2623" s="2" t="str">
        <f>IFERROR(__xludf.DUMMYFUNCTION("""COMPUTED_VALUE"""),"Bouddha, Kathmandu, Contact No. 9851159282")</f>
        <v>Bouddha, Kathmandu, Contact No. 9851159282</v>
      </c>
      <c r="I2623" s="2" t="str">
        <f>IFERROR(__xludf.DUMMYFUNCTION("""COMPUTED_VALUE"""),"28o 27' 08""")</f>
        <v>28o 27' 08"</v>
      </c>
      <c r="J2623" s="2" t="str">
        <f>IFERROR(__xludf.DUMMYFUNCTION("""COMPUTED_VALUE"""),"28o 28' 02""")</f>
        <v>28o 28' 02"</v>
      </c>
      <c r="K2623" s="2" t="str">
        <f>IFERROR(__xludf.DUMMYFUNCTION("""COMPUTED_VALUE"""),"84o 25' 00""")</f>
        <v>84o 25' 00"</v>
      </c>
      <c r="L2623" s="2" t="str">
        <f>IFERROR(__xludf.DUMMYFUNCTION("""COMPUTED_VALUE"""),"84o 26' 17""")</f>
        <v>84o 26' 17"</v>
      </c>
      <c r="M2623" s="2" t="str">
        <f>IFERROR(__xludf.DUMMYFUNCTION("""COMPUTED_VALUE"""),"Ghermu (Lamjung)")</f>
        <v>Ghermu (Lamjung)</v>
      </c>
    </row>
    <row r="2624">
      <c r="A2624" s="2">
        <f>IFERROR(__xludf.DUMMYFUNCTION("""COMPUTED_VALUE"""),2623.0)</f>
        <v>2623</v>
      </c>
      <c r="B2624" s="2" t="str">
        <f>IFERROR(__xludf.DUMMYFUNCTION("""COMPUTED_VALUE"""),"lower Bauli Gad Hydropower Project")</f>
        <v>lower Bauli Gad Hydropower Project</v>
      </c>
      <c r="C2624" s="2">
        <f>IFERROR(__xludf.DUMMYFUNCTION("""COMPUTED_VALUE"""),9.8)</f>
        <v>9.8</v>
      </c>
      <c r="D2624" s="2" t="str">
        <f>IFERROR(__xludf.DUMMYFUNCTION("""COMPUTED_VALUE"""),"Bauli Gad")</f>
        <v>Bauli Gad</v>
      </c>
      <c r="E2624" s="2">
        <f>IFERROR(__xludf.DUMMYFUNCTION("""COMPUTED_VALUE"""),7619.0)</f>
        <v>7619</v>
      </c>
      <c r="F2624" s="3">
        <f>IFERROR(__xludf.DUMMYFUNCTION("""COMPUTED_VALUE"""),66829.0)</f>
        <v>66829</v>
      </c>
      <c r="G2624" s="2" t="str">
        <f>IFERROR(__xludf.DUMMYFUNCTION("""COMPUTED_VALUE"""),"Green Current Energy Pvt. Ltd.")</f>
        <v>Green Current Energy Pvt. Ltd.</v>
      </c>
      <c r="H2624" s="2" t="str">
        <f>IFERROR(__xludf.DUMMYFUNCTION("""COMPUTED_VALUE"""),"Kathmandu")</f>
        <v>Kathmandu</v>
      </c>
      <c r="I2624" s="2" t="str">
        <f>IFERROR(__xludf.DUMMYFUNCTION("""COMPUTED_VALUE"""),"29o 33' 20""")</f>
        <v>29o 33' 20"</v>
      </c>
      <c r="J2624" s="2" t="str">
        <f>IFERROR(__xludf.DUMMYFUNCTION("""COMPUTED_VALUE"""),"29o 34' 49""")</f>
        <v>29o 34' 49"</v>
      </c>
      <c r="K2624" s="2" t="str">
        <f>IFERROR(__xludf.DUMMYFUNCTION("""COMPUTED_VALUE"""),"81o 09' 45""")</f>
        <v>81o 09' 45"</v>
      </c>
      <c r="L2624" s="2" t="str">
        <f>IFERROR(__xludf.DUMMYFUNCTION("""COMPUTED_VALUE"""),"81o 11' 40""")</f>
        <v>81o 11' 40"</v>
      </c>
      <c r="M2624" s="2" t="str">
        <f>IFERROR(__xludf.DUMMYFUNCTION("""COMPUTED_VALUE"""),"Dahabagar (Bajhang)")</f>
        <v>Dahabagar (Bajhang)</v>
      </c>
    </row>
    <row r="2625">
      <c r="A2625" s="2">
        <f>IFERROR(__xludf.DUMMYFUNCTION("""COMPUTED_VALUE"""),2624.0)</f>
        <v>2624</v>
      </c>
      <c r="B2625" s="2" t="str">
        <f>IFERROR(__xludf.DUMMYFUNCTION("""COMPUTED_VALUE"""),"Chepe Khola Hydropower Project")</f>
        <v>Chepe Khola Hydropower Project</v>
      </c>
      <c r="C2625" s="2">
        <f>IFERROR(__xludf.DUMMYFUNCTION("""COMPUTED_VALUE"""),8.6)</f>
        <v>8.6</v>
      </c>
      <c r="D2625" s="2" t="str">
        <f>IFERROR(__xludf.DUMMYFUNCTION("""COMPUTED_VALUE"""),"Chepe Khola")</f>
        <v>Chepe Khola</v>
      </c>
      <c r="E2625" s="2">
        <f>IFERROR(__xludf.DUMMYFUNCTION("""COMPUTED_VALUE"""),7662.0)</f>
        <v>7662</v>
      </c>
      <c r="F2625" s="3">
        <f>IFERROR(__xludf.DUMMYFUNCTION("""COMPUTED_VALUE"""),66830.0)</f>
        <v>66830</v>
      </c>
      <c r="G2625" s="2" t="str">
        <f>IFERROR(__xludf.DUMMYFUNCTION("""COMPUTED_VALUE"""),"Aqua Fusion Energy Private Limited")</f>
        <v>Aqua Fusion Energy Private Limited</v>
      </c>
      <c r="H2625" s="2" t="str">
        <f>IFERROR(__xludf.DUMMYFUNCTION("""COMPUTED_VALUE"""),"KMC-16, Kathmandu")</f>
        <v>KMC-16, Kathmandu</v>
      </c>
      <c r="I2625" s="2" t="str">
        <f>IFERROR(__xludf.DUMMYFUNCTION("""COMPUTED_VALUE"""),"28o 03' 43""")</f>
        <v>28o 03' 43"</v>
      </c>
      <c r="J2625" s="2" t="str">
        <f>IFERROR(__xludf.DUMMYFUNCTION("""COMPUTED_VALUE"""),"28o 05' 26""")</f>
        <v>28o 05' 26"</v>
      </c>
      <c r="K2625" s="2" t="str">
        <f>IFERROR(__xludf.DUMMYFUNCTION("""COMPUTED_VALUE"""),"84o 29' 00""")</f>
        <v>84o 29' 00"</v>
      </c>
      <c r="L2625" s="2" t="str">
        <f>IFERROR(__xludf.DUMMYFUNCTION("""COMPUTED_VALUE"""),"84o 31' 05""")</f>
        <v>84o 31' 05"</v>
      </c>
      <c r="M2625" s="2" t="str">
        <f>IFERROR(__xludf.DUMMYFUNCTION("""COMPUTED_VALUE"""),"Aanppipal (Gorkha)")</f>
        <v>Aanppipal (Gorkha)</v>
      </c>
    </row>
    <row r="2626">
      <c r="A2626" s="2">
        <f>IFERROR(__xludf.DUMMYFUNCTION("""COMPUTED_VALUE"""),2625.0)</f>
        <v>2625</v>
      </c>
      <c r="B2626" s="2" t="str">
        <f>IFERROR(__xludf.DUMMYFUNCTION("""COMPUTED_VALUE"""),"Hima Nadi Hydropower Project")</f>
        <v>Hima Nadi Hydropower Project</v>
      </c>
      <c r="C2626" s="2">
        <f>IFERROR(__xludf.DUMMYFUNCTION("""COMPUTED_VALUE"""),4.78)</f>
        <v>4.78</v>
      </c>
      <c r="D2626" s="2" t="str">
        <f>IFERROR(__xludf.DUMMYFUNCTION("""COMPUTED_VALUE"""),"Hima Nadi")</f>
        <v>Hima Nadi</v>
      </c>
      <c r="E2626" s="2">
        <f>IFERROR(__xludf.DUMMYFUNCTION("""COMPUTED_VALUE"""),7688.0)</f>
        <v>7688</v>
      </c>
      <c r="F2626" s="3">
        <f>IFERROR(__xludf.DUMMYFUNCTION("""COMPUTED_VALUE"""),66832.0)</f>
        <v>66832</v>
      </c>
      <c r="G2626" s="2" t="str">
        <f>IFERROR(__xludf.DUMMYFUNCTION("""COMPUTED_VALUE"""),"Triveni Hydropower Pvt. Ltd")</f>
        <v>Triveni Hydropower Pvt. Ltd</v>
      </c>
      <c r="H2626" s="2" t="str">
        <f>IFERROR(__xludf.DUMMYFUNCTION("""COMPUTED_VALUE"""),"Kathmanu, 9851220870")</f>
        <v>Kathmanu, 9851220870</v>
      </c>
      <c r="I2626" s="2" t="str">
        <f>IFERROR(__xludf.DUMMYFUNCTION("""COMPUTED_VALUE"""),"29o 16' 11""")</f>
        <v>29o 16' 11"</v>
      </c>
      <c r="J2626" s="2" t="str">
        <f>IFERROR(__xludf.DUMMYFUNCTION("""COMPUTED_VALUE"""),"29o 24' 47""")</f>
        <v>29o 24' 47"</v>
      </c>
      <c r="K2626" s="2" t="str">
        <f>IFERROR(__xludf.DUMMYFUNCTION("""COMPUTED_VALUE"""),"81o 56' 23""")</f>
        <v>81o 56' 23"</v>
      </c>
      <c r="L2626" s="2" t="str">
        <f>IFERROR(__xludf.DUMMYFUNCTION("""COMPUTED_VALUE"""),"82o 00' 58""")</f>
        <v>82o 00' 58"</v>
      </c>
      <c r="M2626" s="2" t="str">
        <f>IFERROR(__xludf.DUMMYFUNCTION("""COMPUTED_VALUE"""),"Dhapa (Jumla)")</f>
        <v>Dhapa (Jumla)</v>
      </c>
    </row>
    <row r="2627">
      <c r="A2627" s="2">
        <f>IFERROR(__xludf.DUMMYFUNCTION("""COMPUTED_VALUE"""),2626.0)</f>
        <v>2626</v>
      </c>
      <c r="B2627" s="2" t="str">
        <f>IFERROR(__xludf.DUMMYFUNCTION("""COMPUTED_VALUE"""),"Saru Khola Hydropower Project")</f>
        <v>Saru Khola Hydropower Project</v>
      </c>
      <c r="C2627" s="2">
        <f>IFERROR(__xludf.DUMMYFUNCTION("""COMPUTED_VALUE"""),4.78)</f>
        <v>4.78</v>
      </c>
      <c r="D2627" s="2" t="str">
        <f>IFERROR(__xludf.DUMMYFUNCTION("""COMPUTED_VALUE"""),"Saru Khola")</f>
        <v>Saru Khola</v>
      </c>
      <c r="E2627" s="2">
        <f>IFERROR(__xludf.DUMMYFUNCTION("""COMPUTED_VALUE"""),7688.0)</f>
        <v>7688</v>
      </c>
      <c r="F2627" s="3">
        <f>IFERROR(__xludf.DUMMYFUNCTION("""COMPUTED_VALUE"""),66832.0)</f>
        <v>66832</v>
      </c>
      <c r="G2627" s="2" t="str">
        <f>IFERROR(__xludf.DUMMYFUNCTION("""COMPUTED_VALUE"""),"Triveni Hydropower Pvt. Ltd")</f>
        <v>Triveni Hydropower Pvt. Ltd</v>
      </c>
      <c r="H2627" s="2" t="str">
        <f>IFERROR(__xludf.DUMMYFUNCTION("""COMPUTED_VALUE"""),"Kathmanu, 9851220870")</f>
        <v>Kathmanu, 9851220870</v>
      </c>
      <c r="I2627" s="2" t="str">
        <f>IFERROR(__xludf.DUMMYFUNCTION("""COMPUTED_VALUE"""),"28o 51' 18""")</f>
        <v>28o 51' 18"</v>
      </c>
      <c r="J2627" s="2" t="str">
        <f>IFERROR(__xludf.DUMMYFUNCTION("""COMPUTED_VALUE"""),"28o 54' 51""")</f>
        <v>28o 54' 51"</v>
      </c>
      <c r="K2627" s="2" t="str">
        <f>IFERROR(__xludf.DUMMYFUNCTION("""COMPUTED_VALUE"""),"82o 08' 40""")</f>
        <v>82o 08' 40"</v>
      </c>
      <c r="L2627" s="2" t="str">
        <f>IFERROR(__xludf.DUMMYFUNCTION("""COMPUTED_VALUE"""),"82o 10' 45""")</f>
        <v>82o 10' 45"</v>
      </c>
      <c r="M2627" s="2" t="str">
        <f>IFERROR(__xludf.DUMMYFUNCTION("""COMPUTED_VALUE"""),"Jagatipur (Jajarkot)")</f>
        <v>Jagatipur (Jajarkot)</v>
      </c>
    </row>
    <row r="2628">
      <c r="A2628" s="2">
        <f>IFERROR(__xludf.DUMMYFUNCTION("""COMPUTED_VALUE"""),2627.0)</f>
        <v>2627</v>
      </c>
      <c r="B2628" s="2" t="str">
        <f>IFERROR(__xludf.DUMMYFUNCTION("""COMPUTED_VALUE"""),"Sapsu Khola Hydropower Project")</f>
        <v>Sapsu Khola Hydropower Project</v>
      </c>
      <c r="C2628" s="2">
        <f>IFERROR(__xludf.DUMMYFUNCTION("""COMPUTED_VALUE"""),4.94)</f>
        <v>4.94</v>
      </c>
      <c r="D2628" s="2" t="str">
        <f>IFERROR(__xludf.DUMMYFUNCTION("""COMPUTED_VALUE"""),"Sapsup khola")</f>
        <v>Sapsup khola</v>
      </c>
      <c r="E2628" s="2">
        <f>IFERROR(__xludf.DUMMYFUNCTION("""COMPUTED_VALUE"""),8047.0)</f>
        <v>8047</v>
      </c>
      <c r="F2628" s="3">
        <f>IFERROR(__xludf.DUMMYFUNCTION("""COMPUTED_VALUE"""),66840.0)</f>
        <v>66840</v>
      </c>
      <c r="G2628" s="2" t="str">
        <f>IFERROR(__xludf.DUMMYFUNCTION("""COMPUTED_VALUE"""),"Sapsu Energy Private Limited")</f>
        <v>Sapsu Energy Private Limited</v>
      </c>
      <c r="H2628" s="2" t="str">
        <f>IFERROR(__xludf.DUMMYFUNCTION("""COMPUTED_VALUE"""),"Kathmandu - 7, Chabahil (9743222007, 9841850031)")</f>
        <v>Kathmandu - 7, Chabahil (9743222007, 9841850031)</v>
      </c>
      <c r="I2628" s="2" t="str">
        <f>IFERROR(__xludf.DUMMYFUNCTION("""COMPUTED_VALUE"""),"27o 05' 25""")</f>
        <v>27o 05' 25"</v>
      </c>
      <c r="J2628" s="2" t="str">
        <f>IFERROR(__xludf.DUMMYFUNCTION("""COMPUTED_VALUE"""),"27o 07' 00""")</f>
        <v>27o 07' 00"</v>
      </c>
      <c r="K2628" s="2" t="str">
        <f>IFERROR(__xludf.DUMMYFUNCTION("""COMPUTED_VALUE"""),"86o 42' 55""")</f>
        <v>86o 42' 55"</v>
      </c>
      <c r="L2628" s="2" t="str">
        <f>IFERROR(__xludf.DUMMYFUNCTION("""COMPUTED_VALUE"""),"86o 44' 20""")</f>
        <v>86o 44' 20"</v>
      </c>
      <c r="M2628" s="2" t="str">
        <f>IFERROR(__xludf.DUMMYFUNCTION("""COMPUTED_VALUE"""),"Batase,Chhorambu,Rajapani (Khotang)")</f>
        <v>Batase,Chhorambu,Rajapani (Khotang)</v>
      </c>
    </row>
    <row r="2629">
      <c r="A2629" s="2">
        <f>IFERROR(__xludf.DUMMYFUNCTION("""COMPUTED_VALUE"""),2628.0)</f>
        <v>2628</v>
      </c>
      <c r="B2629" s="2" t="str">
        <f>IFERROR(__xludf.DUMMYFUNCTION("""COMPUTED_VALUE"""),"Tallo Sapsup Khola Cascade Hydropower Project")</f>
        <v>Tallo Sapsup Khola Cascade Hydropower Project</v>
      </c>
      <c r="C2629" s="2">
        <f>IFERROR(__xludf.DUMMYFUNCTION("""COMPUTED_VALUE"""),3.629)</f>
        <v>3.629</v>
      </c>
      <c r="D2629" s="2" t="str">
        <f>IFERROR(__xludf.DUMMYFUNCTION("""COMPUTED_VALUE"""),"Sapsup Khola")</f>
        <v>Sapsup Khola</v>
      </c>
      <c r="E2629" s="2">
        <f>IFERROR(__xludf.DUMMYFUNCTION("""COMPUTED_VALUE"""),8072.0)</f>
        <v>8072</v>
      </c>
      <c r="F2629" s="3">
        <f>IFERROR(__xludf.DUMMYFUNCTION("""COMPUTED_VALUE"""),66840.0)</f>
        <v>66840</v>
      </c>
      <c r="G2629" s="2" t="str">
        <f>IFERROR(__xludf.DUMMYFUNCTION("""COMPUTED_VALUE"""),"Ujjwal Inc Private Limited")</f>
        <v>Ujjwal Inc Private Limited</v>
      </c>
      <c r="H2629" s="2" t="str">
        <f>IFERROR(__xludf.DUMMYFUNCTION("""COMPUTED_VALUE"""),"Chandragiri Municipality Ward No-10, Satungal, Kathmandu")</f>
        <v>Chandragiri Municipality Ward No-10, Satungal, Kathmandu</v>
      </c>
      <c r="I2629" s="2" t="str">
        <f>IFERROR(__xludf.DUMMYFUNCTION("""COMPUTED_VALUE"""),"27o 05' 34""")</f>
        <v>27o 05' 34"</v>
      </c>
      <c r="J2629" s="2" t="str">
        <f>IFERROR(__xludf.DUMMYFUNCTION("""COMPUTED_VALUE"""),"27o 06' 50""")</f>
        <v>27o 06' 50"</v>
      </c>
      <c r="K2629" s="2" t="str">
        <f>IFERROR(__xludf.DUMMYFUNCTION("""COMPUTED_VALUE"""),"86o 43' 05""")</f>
        <v>86o 43' 05"</v>
      </c>
      <c r="L2629" s="2" t="str">
        <f>IFERROR(__xludf.DUMMYFUNCTION("""COMPUTED_VALUE"""),"86o 44' 08""")</f>
        <v>86o 44' 08"</v>
      </c>
      <c r="M2629" s="2" t="str">
        <f>IFERROR(__xludf.DUMMYFUNCTION("""COMPUTED_VALUE"""),"Batase,Chhorambu,Rajapani (Khotang)")</f>
        <v>Batase,Chhorambu,Rajapani (Khotang)</v>
      </c>
    </row>
    <row r="2630">
      <c r="A2630" s="2">
        <f>IFERROR(__xludf.DUMMYFUNCTION("""COMPUTED_VALUE"""),2629.0)</f>
        <v>2629</v>
      </c>
      <c r="B2630" s="2" t="str">
        <f>IFERROR(__xludf.DUMMYFUNCTION("""COMPUTED_VALUE"""),"Tawa Khola Hydropower Project")</f>
        <v>Tawa Khola Hydropower Project</v>
      </c>
      <c r="C2630" s="2">
        <f>IFERROR(__xludf.DUMMYFUNCTION("""COMPUTED_VALUE"""),4.76)</f>
        <v>4.76</v>
      </c>
      <c r="D2630" s="2" t="str">
        <f>IFERROR(__xludf.DUMMYFUNCTION("""COMPUTED_VALUE"""),"Tawa Khola")</f>
        <v>Tawa Khola</v>
      </c>
      <c r="E2630" s="2">
        <f>IFERROR(__xludf.DUMMYFUNCTION("""COMPUTED_VALUE"""),8137.0)</f>
        <v>8137</v>
      </c>
      <c r="F2630" s="3">
        <f>IFERROR(__xludf.DUMMYFUNCTION("""COMPUTED_VALUE"""),66843.0)</f>
        <v>66843</v>
      </c>
      <c r="G2630" s="2" t="str">
        <f>IFERROR(__xludf.DUMMYFUNCTION("""COMPUTED_VALUE"""),"Lumbini Urja Private Limited")</f>
        <v>Lumbini Urja Private Limited</v>
      </c>
      <c r="H2630" s="2" t="str">
        <f>IFERROR(__xludf.DUMMYFUNCTION("""COMPUTED_VALUE"""),"Chandragiri, Balambu, Kathmandu")</f>
        <v>Chandragiri, Balambu, Kathmandu</v>
      </c>
      <c r="I2630" s="2" t="str">
        <f>IFERROR(__xludf.DUMMYFUNCTION("""COMPUTED_VALUE"""),"27o 08' 23""")</f>
        <v>27o 08' 23"</v>
      </c>
      <c r="J2630" s="2" t="str">
        <f>IFERROR(__xludf.DUMMYFUNCTION("""COMPUTED_VALUE"""),"27o 09' 31""")</f>
        <v>27o 09' 31"</v>
      </c>
      <c r="K2630" s="2" t="str">
        <f>IFERROR(__xludf.DUMMYFUNCTION("""COMPUTED_VALUE"""),"86o 48' 20""")</f>
        <v>86o 48' 20"</v>
      </c>
      <c r="L2630" s="2" t="str">
        <f>IFERROR(__xludf.DUMMYFUNCTION("""COMPUTED_VALUE"""),"86o 50' 13""")</f>
        <v>86o 50' 13"</v>
      </c>
      <c r="M2630" s="2" t="str">
        <f>IFERROR(__xludf.DUMMYFUNCTION("""COMPUTED_VALUE"""),"Matfim Birta,Tempa (Khotang)")</f>
        <v>Matfim Birta,Tempa (Khotang)</v>
      </c>
    </row>
    <row r="2631">
      <c r="A2631" s="2">
        <f>IFERROR(__xludf.DUMMYFUNCTION("""COMPUTED_VALUE"""),2630.0)</f>
        <v>2630</v>
      </c>
      <c r="B2631" s="2" t="str">
        <f>IFERROR(__xludf.DUMMYFUNCTION("""COMPUTED_VALUE"""),"Arkhet Budhi Gandaki Hydropower Project")</f>
        <v>Arkhet Budhi Gandaki Hydropower Project</v>
      </c>
      <c r="C2631" s="2">
        <f>IFERROR(__xludf.DUMMYFUNCTION("""COMPUTED_VALUE"""),41.8)</f>
        <v>41.8</v>
      </c>
      <c r="D2631" s="2" t="str">
        <f>IFERROR(__xludf.DUMMYFUNCTION("""COMPUTED_VALUE"""),"Budhi Gandaki")</f>
        <v>Budhi Gandaki</v>
      </c>
      <c r="E2631" s="2">
        <f>IFERROR(__xludf.DUMMYFUNCTION("""COMPUTED_VALUE"""),8752.0)</f>
        <v>8752</v>
      </c>
      <c r="F2631" s="3">
        <f>IFERROR(__xludf.DUMMYFUNCTION("""COMPUTED_VALUE"""),66856.0)</f>
        <v>66856</v>
      </c>
      <c r="G2631" s="2" t="str">
        <f>IFERROR(__xludf.DUMMYFUNCTION("""COMPUTED_VALUE"""),"Newton Hydro Energy Private Limited")</f>
        <v>Newton Hydro Energy Private Limited</v>
      </c>
      <c r="H2631" s="2" t="str">
        <f>IFERROR(__xludf.DUMMYFUNCTION("""COMPUTED_VALUE"""),"Lazimpat - 2, Kathmandu, Nepal, 01-6911637")</f>
        <v>Lazimpat - 2, Kathmandu, Nepal, 01-6911637</v>
      </c>
      <c r="I2631" s="2" t="str">
        <f>IFERROR(__xludf.DUMMYFUNCTION("""COMPUTED_VALUE"""),"28o 05' 29""")</f>
        <v>28o 05' 29"</v>
      </c>
      <c r="J2631" s="2" t="str">
        <f>IFERROR(__xludf.DUMMYFUNCTION("""COMPUTED_VALUE"""),"28o 07' 30""")</f>
        <v>28o 07' 30"</v>
      </c>
      <c r="K2631" s="2" t="str">
        <f>IFERROR(__xludf.DUMMYFUNCTION("""COMPUTED_VALUE"""),"84o 49' 30""")</f>
        <v>84o 49' 30"</v>
      </c>
      <c r="L2631" s="2" t="str">
        <f>IFERROR(__xludf.DUMMYFUNCTION("""COMPUTED_VALUE"""),"84o 52' 30""")</f>
        <v>84o 52' 30"</v>
      </c>
      <c r="M2631" s="2" t="str">
        <f>IFERROR(__xludf.DUMMYFUNCTION("""COMPUTED_VALUE"""),"Baseri,Budhathum (Dhading) Thumi,Manbu,Aaru Chanuate (Gorkha)")</f>
        <v>Baseri,Budhathum (Dhading) Thumi,Manbu,Aaru Chanuate (Gorkha)</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 t="str">
        <f>IFERROR(__xludf.DUMMYFUNCTION("IMPORTHTML(""https://www.doed.gov.np/pages/appclhydro/"",""table"",1)"),"S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IFERROR(__xludf.DUMMYFUNCTION("""COMPUTED_VALUE"""),"Appn No")</f>
        <v>Appn No</v>
      </c>
      <c r="F1" s="1" t="str">
        <f>IFERROR(__xludf.DUMMYFUNCTION("""COMPUTED_VALUE"""),"Appn Date")</f>
        <v>Appn Date</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c r="O1" s="1"/>
      <c r="P1" s="1"/>
      <c r="Q1" s="1"/>
      <c r="R1" s="1"/>
      <c r="S1" s="1"/>
      <c r="T1" s="1"/>
      <c r="U1" s="1"/>
      <c r="V1" s="1"/>
      <c r="W1" s="1"/>
      <c r="X1" s="1"/>
      <c r="Y1" s="1"/>
      <c r="Z1" s="1"/>
    </row>
    <row r="2">
      <c r="A2" s="2">
        <f>IFERROR(__xludf.DUMMYFUNCTION("""COMPUTED_VALUE"""),1.0)</f>
        <v>1</v>
      </c>
      <c r="B2" s="2" t="str">
        <f>IFERROR(__xludf.DUMMYFUNCTION("""COMPUTED_VALUE"""),"Upper Marsyangdi -2")</f>
        <v>Upper Marsyangdi -2</v>
      </c>
      <c r="C2" s="2">
        <f>IFERROR(__xludf.DUMMYFUNCTION("""COMPUTED_VALUE"""),600.0)</f>
        <v>600</v>
      </c>
      <c r="D2" s="2" t="str">
        <f>IFERROR(__xludf.DUMMYFUNCTION("""COMPUTED_VALUE"""),"Marsyangdi")</f>
        <v>Marsyangdi</v>
      </c>
      <c r="E2" s="2"/>
      <c r="F2" s="3">
        <f>IFERROR(__xludf.DUMMYFUNCTION("""COMPUTED_VALUE"""),61539.0)</f>
        <v>61539</v>
      </c>
      <c r="G2" s="2" t="str">
        <f>IFERROR(__xludf.DUMMYFUNCTION("""COMPUTED_VALUE"""),"Himtal Hydropower Company Pvt. Ltd")</f>
        <v>Himtal Hydropower Company Pvt. Ltd</v>
      </c>
      <c r="H2" s="2" t="str">
        <f>IFERROR(__xludf.DUMMYFUNCTION("""COMPUTED_VALUE"""),"Thapathali, Kathmandu, Nepal. Ph: 4247237")</f>
        <v>Thapathali, Kathmandu, Nepal. Ph: 4247237</v>
      </c>
      <c r="I2" s="2" t="str">
        <f>IFERROR(__xludf.DUMMYFUNCTION("""COMPUTED_VALUE"""),"28o 22' 04""")</f>
        <v>28o 22' 04"</v>
      </c>
      <c r="J2" s="2" t="str">
        <f>IFERROR(__xludf.DUMMYFUNCTION("""COMPUTED_VALUE"""),"28o 30' 00""")</f>
        <v>28o 30' 00"</v>
      </c>
      <c r="K2" s="2" t="str">
        <f>IFERROR(__xludf.DUMMYFUNCTION("""COMPUTED_VALUE"""),"84o 21' 30""")</f>
        <v>84o 21' 30"</v>
      </c>
      <c r="L2" s="2" t="str">
        <f>IFERROR(__xludf.DUMMYFUNCTION("""COMPUTED_VALUE"""),"84o 25' 03""")</f>
        <v>84o 25' 03"</v>
      </c>
      <c r="M2" s="2" t="str">
        <f>IFERROR(__xludf.DUMMYFUNCTION("""COMPUTED_VALUE"""),"Ghermu,Taghring (Lamjung) (Manang)")</f>
        <v>Ghermu,Taghring (Lamjung) (Manang)</v>
      </c>
    </row>
    <row r="3">
      <c r="A3" s="2">
        <f>IFERROR(__xludf.DUMMYFUNCTION("""COMPUTED_VALUE"""),2.0)</f>
        <v>2</v>
      </c>
      <c r="B3" s="2" t="str">
        <f>IFERROR(__xludf.DUMMYFUNCTION("""COMPUTED_VALUE"""),"Selang SHP")</f>
        <v>Selang SHP</v>
      </c>
      <c r="C3" s="2">
        <f>IFERROR(__xludf.DUMMYFUNCTION("""COMPUTED_VALUE"""),0.99)</f>
        <v>0.99</v>
      </c>
      <c r="D3" s="2" t="str">
        <f>IFERROR(__xludf.DUMMYFUNCTION("""COMPUTED_VALUE"""),"Selang")</f>
        <v>Selang</v>
      </c>
      <c r="E3" s="2"/>
      <c r="F3" s="3">
        <f>IFERROR(__xludf.DUMMYFUNCTION("""COMPUTED_VALUE"""),62724.0)</f>
        <v>62724</v>
      </c>
      <c r="G3" s="2" t="str">
        <f>IFERROR(__xludf.DUMMYFUNCTION("""COMPUTED_VALUE"""),"M/S Rising Hydropower Pvt. Ltd.")</f>
        <v>M/S Rising Hydropower Pvt. Ltd.</v>
      </c>
      <c r="H3" s="2" t="str">
        <f>IFERROR(__xludf.DUMMYFUNCTION("""COMPUTED_VALUE"""),"Kamaladi, Kathmandu, Tel: 01-4252166, GPO box no 12756")</f>
        <v>Kamaladi, Kathmandu, Tel: 01-4252166, GPO box no 12756</v>
      </c>
      <c r="I3" s="2" t="str">
        <f>IFERROR(__xludf.DUMMYFUNCTION("""COMPUTED_VALUE"""),"27o 51' 11""")</f>
        <v>27o 51' 11"</v>
      </c>
      <c r="J3" s="2" t="str">
        <f>IFERROR(__xludf.DUMMYFUNCTION("""COMPUTED_VALUE"""),"27o 52' 00""")</f>
        <v>27o 52' 00"</v>
      </c>
      <c r="K3" s="2" t="str">
        <f>IFERROR(__xludf.DUMMYFUNCTION("""COMPUTED_VALUE"""),"85o 42' 58""")</f>
        <v>85o 42' 58"</v>
      </c>
      <c r="L3" s="2" t="str">
        <f>IFERROR(__xludf.DUMMYFUNCTION("""COMPUTED_VALUE"""),"85o 45' 00""")</f>
        <v>85o 45' 00"</v>
      </c>
      <c r="M3" s="2" t="str">
        <f>IFERROR(__xludf.DUMMYFUNCTION("""COMPUTED_VALUE"""),"Selang (Sindhupalchok)")</f>
        <v>Selang (Sindhupalchok)</v>
      </c>
    </row>
    <row r="4">
      <c r="A4" s="2">
        <f>IFERROR(__xludf.DUMMYFUNCTION("""COMPUTED_VALUE"""),3.0)</f>
        <v>3</v>
      </c>
      <c r="B4" s="2" t="str">
        <f>IFERROR(__xludf.DUMMYFUNCTION("""COMPUTED_VALUE"""),"Namlan Khola HEP")</f>
        <v>Namlan Khola HEP</v>
      </c>
      <c r="C4" s="2">
        <f>IFERROR(__xludf.DUMMYFUNCTION("""COMPUTED_VALUE"""),135.0)</f>
        <v>135</v>
      </c>
      <c r="D4" s="2" t="str">
        <f>IFERROR(__xludf.DUMMYFUNCTION("""COMPUTED_VALUE"""),"Namlan")</f>
        <v>Namlan</v>
      </c>
      <c r="E4" s="2">
        <f>IFERROR(__xludf.DUMMYFUNCTION("""COMPUTED_VALUE"""),4178.0)</f>
        <v>4178</v>
      </c>
      <c r="F4" s="3">
        <f>IFERROR(__xludf.DUMMYFUNCTION("""COMPUTED_VALUE"""),64144.0)</f>
        <v>64144</v>
      </c>
      <c r="G4" s="2" t="str">
        <f>IFERROR(__xludf.DUMMYFUNCTION("""COMPUTED_VALUE"""),"Apollo Energy Pvt. Ltd.")</f>
        <v>Apollo Energy Pvt. Ltd.</v>
      </c>
      <c r="H4" s="2" t="str">
        <f>IFERROR(__xludf.DUMMYFUNCTION("""COMPUTED_VALUE"""),"Kathmandu-11, 01-4224308")</f>
        <v>Kathmandu-11, 01-4224308</v>
      </c>
      <c r="I4" s="2" t="str">
        <f>IFERROR(__xludf.DUMMYFUNCTION("""COMPUTED_VALUE"""),"29o 33' 35""")</f>
        <v>29o 33' 35"</v>
      </c>
      <c r="J4" s="2" t="str">
        <f>IFERROR(__xludf.DUMMYFUNCTION("""COMPUTED_VALUE"""),"29o 35' 27""")</f>
        <v>29o 35' 27"</v>
      </c>
      <c r="K4" s="2" t="str">
        <f>IFERROR(__xludf.DUMMYFUNCTION("""COMPUTED_VALUE"""),"82o 25' 55""")</f>
        <v>82o 25' 55"</v>
      </c>
      <c r="L4" s="2" t="str">
        <f>IFERROR(__xludf.DUMMYFUNCTION("""COMPUTED_VALUE"""),"82o 30' 32""")</f>
        <v>82o 30' 32"</v>
      </c>
      <c r="M4" s="2" t="str">
        <f>IFERROR(__xludf.DUMMYFUNCTION("""COMPUTED_VALUE"""),"Dolphu,Kimari,Pulu (Mugu)")</f>
        <v>Dolphu,Kimari,Pulu (Mugu)</v>
      </c>
    </row>
    <row r="5">
      <c r="A5" s="2">
        <f>IFERROR(__xludf.DUMMYFUNCTION("""COMPUTED_VALUE"""),4.0)</f>
        <v>4</v>
      </c>
      <c r="B5" s="2" t="str">
        <f>IFERROR(__xludf.DUMMYFUNCTION("""COMPUTED_VALUE"""),"Uttarganga Storage Hydropower Project")</f>
        <v>Uttarganga Storage Hydropower Project</v>
      </c>
      <c r="C5" s="2">
        <f>IFERROR(__xludf.DUMMYFUNCTION("""COMPUTED_VALUE"""),828.0)</f>
        <v>828</v>
      </c>
      <c r="D5" s="2" t="str">
        <f>IFERROR(__xludf.DUMMYFUNCTION("""COMPUTED_VALUE"""),"Uttar Ganga")</f>
        <v>Uttar Ganga</v>
      </c>
      <c r="E5" s="2">
        <f>IFERROR(__xludf.DUMMYFUNCTION("""COMPUTED_VALUE"""),8704.0)</f>
        <v>8704</v>
      </c>
      <c r="F5" s="3">
        <f>IFERROR(__xludf.DUMMYFUNCTION("""COMPUTED_VALUE"""),64361.0)</f>
        <v>64361</v>
      </c>
      <c r="G5" s="2" t="str">
        <f>IFERROR(__xludf.DUMMYFUNCTION("""COMPUTED_VALUE"""),"Uttarganga Power Co. Ltd.")</f>
        <v>Uttarganga Power Co. Ltd.</v>
      </c>
      <c r="H5" s="2" t="str">
        <f>IFERROR(__xludf.DUMMYFUNCTION("""COMPUTED_VALUE"""),"Durbar Marg , Kathmandu, GPO Box: 10020")</f>
        <v>Durbar Marg , Kathmandu, GPO Box: 10020</v>
      </c>
      <c r="I5" s="2" t="str">
        <f>IFERROR(__xludf.DUMMYFUNCTION("""COMPUTED_VALUE"""),"28o 22' 30""")</f>
        <v>28o 22' 30"</v>
      </c>
      <c r="J5" s="2" t="str">
        <f>IFERROR(__xludf.DUMMYFUNCTION("""COMPUTED_VALUE"""),"28o 31' 13""")</f>
        <v>28o 31' 13"</v>
      </c>
      <c r="K5" s="2" t="str">
        <f>IFERROR(__xludf.DUMMYFUNCTION("""COMPUTED_VALUE"""),"82o 55' 00""")</f>
        <v>82o 55' 00"</v>
      </c>
      <c r="L5" s="2" t="str">
        <f>IFERROR(__xludf.DUMMYFUNCTION("""COMPUTED_VALUE"""),"83o 06' 08""")</f>
        <v>83o 06' 08"</v>
      </c>
      <c r="M5" s="2" t="str">
        <f>IFERROR(__xludf.DUMMYFUNCTION("""COMPUTED_VALUE"""),"Bowang,Boharagaun,Nisi,Adhikarichaur (Baglung)")</f>
        <v>Bowang,Boharagaun,Nisi,Adhikarichaur (Baglung)</v>
      </c>
    </row>
    <row r="6">
      <c r="A6" s="2">
        <f>IFERROR(__xludf.DUMMYFUNCTION("""COMPUTED_VALUE"""),5.0)</f>
        <v>5</v>
      </c>
      <c r="B6" s="2" t="str">
        <f>IFERROR(__xludf.DUMMYFUNCTION("""COMPUTED_VALUE"""),"Adhikhola Storage HEP")</f>
        <v>Adhikhola Storage HEP</v>
      </c>
      <c r="C6" s="2">
        <f>IFERROR(__xludf.DUMMYFUNCTION("""COMPUTED_VALUE"""),180.0)</f>
        <v>180</v>
      </c>
      <c r="D6" s="2" t="str">
        <f>IFERROR(__xludf.DUMMYFUNCTION("""COMPUTED_VALUE"""),"Adhikhola")</f>
        <v>Adhikhola</v>
      </c>
      <c r="E6" s="2">
        <f>IFERROR(__xludf.DUMMYFUNCTION("""COMPUTED_VALUE"""),9000.0)</f>
        <v>9000</v>
      </c>
      <c r="F6" s="3">
        <f>IFERROR(__xludf.DUMMYFUNCTION("""COMPUTED_VALUE"""),64726.0)</f>
        <v>64726</v>
      </c>
      <c r="G6" s="2" t="str">
        <f>IFERROR(__xludf.DUMMYFUNCTION("""COMPUTED_VALUE"""),"Nepal Electricity Authority")</f>
        <v>Nepal Electricity Authority</v>
      </c>
      <c r="H6" s="2" t="str">
        <f>IFERROR(__xludf.DUMMYFUNCTION("""COMPUTED_VALUE"""),"Nepal Electricity Authority, Central Office Durbarmarg, Kathmandu 
4153054,4153055,4153007")</f>
        <v>Nepal Electricity Authority, Central Office Durbarmarg, Kathmandu 
4153054,4153055,4153007</v>
      </c>
      <c r="I6" s="2" t="str">
        <f>IFERROR(__xludf.DUMMYFUNCTION("""COMPUTED_VALUE"""),"27o 55' 00""")</f>
        <v>27o 55' 00"</v>
      </c>
      <c r="J6" s="2" t="str">
        <f>IFERROR(__xludf.DUMMYFUNCTION("""COMPUTED_VALUE"""),"27o 59' 00""")</f>
        <v>27o 59' 00"</v>
      </c>
      <c r="K6" s="2" t="str">
        <f>IFERROR(__xludf.DUMMYFUNCTION("""COMPUTED_VALUE"""),"83o 35' 00""")</f>
        <v>83o 35' 00"</v>
      </c>
      <c r="L6" s="2" t="str">
        <f>IFERROR(__xludf.DUMMYFUNCTION("""COMPUTED_VALUE"""),"83o 45' 00""")</f>
        <v>83o 45' 00"</v>
      </c>
      <c r="M6" s="2" t="str">
        <f>IFERROR(__xludf.DUMMYFUNCTION("""COMPUTED_VALUE"""),"Hungi (Palpa) Waling,Malunga,Tindobote,Shreekrishna 
Gandaki,Nibuwakharka,Jagatradevi,Thumpokhara,TulsiBhanjyang,Pelakot 
(Syangja)")</f>
        <v>Hungi (Palpa) Waling,Malunga,Tindobote,Shreekrishna 
Gandaki,Nibuwakharka,Jagatradevi,Thumpokhara,TulsiBhanjyang,Pelakot 
(Syangja)</v>
      </c>
    </row>
    <row r="7">
      <c r="A7" s="2">
        <f>IFERROR(__xludf.DUMMYFUNCTION("""COMPUTED_VALUE"""),6.0)</f>
        <v>6</v>
      </c>
      <c r="B7" s="2" t="str">
        <f>IFERROR(__xludf.DUMMYFUNCTION("""COMPUTED_VALUE"""),"Dudhkoshi-6 HEP")</f>
        <v>Dudhkoshi-6 HEP</v>
      </c>
      <c r="C7" s="2">
        <f>IFERROR(__xludf.DUMMYFUNCTION("""COMPUTED_VALUE"""),171.0)</f>
        <v>171</v>
      </c>
      <c r="D7" s="2" t="str">
        <f>IFERROR(__xludf.DUMMYFUNCTION("""COMPUTED_VALUE"""),"Dudhkoshi")</f>
        <v>Dudhkoshi</v>
      </c>
      <c r="E7" s="2">
        <f>IFERROR(__xludf.DUMMYFUNCTION("""COMPUTED_VALUE"""),5832.0)</f>
        <v>5832</v>
      </c>
      <c r="F7" s="3">
        <f>IFERROR(__xludf.DUMMYFUNCTION("""COMPUTED_VALUE"""),64968.0)</f>
        <v>64968</v>
      </c>
      <c r="G7" s="2" t="str">
        <f>IFERROR(__xludf.DUMMYFUNCTION("""COMPUTED_VALUE"""),"Sagarmatha Hydropower Pvt. Ltd.")</f>
        <v>Sagarmatha Hydropower Pvt. Ltd.</v>
      </c>
      <c r="H7" s="2" t="str">
        <f>IFERROR(__xludf.DUMMYFUNCTION("""COMPUTED_VALUE"""),"Gongabu-29, Kathmandu.")</f>
        <v>Gongabu-29, Kathmandu.</v>
      </c>
      <c r="I7" s="2" t="str">
        <f>IFERROR(__xludf.DUMMYFUNCTION("""COMPUTED_VALUE"""),"27o 40' 01""")</f>
        <v>27o 40' 01"</v>
      </c>
      <c r="J7" s="2" t="str">
        <f>IFERROR(__xludf.DUMMYFUNCTION("""COMPUTED_VALUE"""),"27o 41' 55""")</f>
        <v>27o 41' 55"</v>
      </c>
      <c r="K7" s="2" t="str">
        <f>IFERROR(__xludf.DUMMYFUNCTION("""COMPUTED_VALUE"""),"86o 42' 00""")</f>
        <v>86o 42' 00"</v>
      </c>
      <c r="L7" s="2" t="str">
        <f>IFERROR(__xludf.DUMMYFUNCTION("""COMPUTED_VALUE"""),"86o 43' 30""")</f>
        <v>86o 43' 30"</v>
      </c>
      <c r="M7" s="2" t="str">
        <f>IFERROR(__xludf.DUMMYFUNCTION("""COMPUTED_VALUE"""),"Chaurikharka (Solukhumbu)")</f>
        <v>Chaurikharka (Solukhumbu)</v>
      </c>
    </row>
    <row r="8">
      <c r="A8" s="2">
        <f>IFERROR(__xludf.DUMMYFUNCTION("""COMPUTED_VALUE"""),7.0)</f>
        <v>7</v>
      </c>
      <c r="B8" s="2" t="str">
        <f>IFERROR(__xludf.DUMMYFUNCTION("""COMPUTED_VALUE"""),"Phukot Karnali HEP")</f>
        <v>Phukot Karnali HEP</v>
      </c>
      <c r="C8" s="2">
        <f>IFERROR(__xludf.DUMMYFUNCTION("""COMPUTED_VALUE"""),480.0)</f>
        <v>480</v>
      </c>
      <c r="D8" s="2" t="str">
        <f>IFERROR(__xludf.DUMMYFUNCTION("""COMPUTED_VALUE"""),"Karnali")</f>
        <v>Karnali</v>
      </c>
      <c r="E8" s="2">
        <f>IFERROR(__xludf.DUMMYFUNCTION("""COMPUTED_VALUE"""),8409.0)</f>
        <v>8409</v>
      </c>
      <c r="F8" s="3">
        <f>IFERROR(__xludf.DUMMYFUNCTION("""COMPUTED_VALUE"""),65436.0)</f>
        <v>65436</v>
      </c>
      <c r="G8" s="2" t="str">
        <f>IFERROR(__xludf.DUMMYFUNCTION("""COMPUTED_VALUE"""),"Vidhyut Utpadan Company Limited")</f>
        <v>Vidhyut Utpadan Company Limited</v>
      </c>
      <c r="H8" s="2" t="str">
        <f>IFERROR(__xludf.DUMMYFUNCTION("""COMPUTED_VALUE"""),"Buddhanagar, Kathmandu Contact No. 01-4788680")</f>
        <v>Buddhanagar, Kathmandu Contact No. 01-4788680</v>
      </c>
      <c r="I8" s="2" t="str">
        <f>IFERROR(__xludf.DUMMYFUNCTION("""COMPUTED_VALUE"""),"29o 09' 32""")</f>
        <v>29o 09' 32"</v>
      </c>
      <c r="J8" s="2" t="str">
        <f>IFERROR(__xludf.DUMMYFUNCTION("""COMPUTED_VALUE"""),"29o 19' 03""")</f>
        <v>29o 19' 03"</v>
      </c>
      <c r="K8" s="2" t="str">
        <f>IFERROR(__xludf.DUMMYFUNCTION("""COMPUTED_VALUE"""),"81o 35' 28""")</f>
        <v>81o 35' 28"</v>
      </c>
      <c r="L8" s="2" t="str">
        <f>IFERROR(__xludf.DUMMYFUNCTION("""COMPUTED_VALUE"""),"81o 45' 00""")</f>
        <v>81o 45' 00"</v>
      </c>
      <c r="M8" s="2" t="str">
        <f>IFERROR(__xludf.DUMMYFUNCTION("""COMPUTED_VALUE"""),"Manma,Mehal 
Mudi,Mumrakot,Sipkhana,Siuna,Phukot,Nanikot,Ramanakot,Badalkot,Pakha,Raku,Dahafatgaun 
(Kalikot)")</f>
        <v>Manma,Mehal 
Mudi,Mumrakot,Sipkhana,Siuna,Phukot,Nanikot,Ramanakot,Badalkot,Pakha,Raku,Dahafatgaun 
(Kalikot)</v>
      </c>
    </row>
    <row r="9">
      <c r="A9" s="2">
        <f>IFERROR(__xludf.DUMMYFUNCTION("""COMPUTED_VALUE"""),8.0)</f>
        <v>8</v>
      </c>
      <c r="B9" s="2" t="str">
        <f>IFERROR(__xludf.DUMMYFUNCTION("""COMPUTED_VALUE"""),"Kimathanka Arun HEP")</f>
        <v>Kimathanka Arun HEP</v>
      </c>
      <c r="C9" s="2">
        <f>IFERROR(__xludf.DUMMYFUNCTION("""COMPUTED_VALUE"""),454.0)</f>
        <v>454</v>
      </c>
      <c r="D9" s="2" t="str">
        <f>IFERROR(__xludf.DUMMYFUNCTION("""COMPUTED_VALUE"""),"Arun")</f>
        <v>Arun</v>
      </c>
      <c r="E9" s="2">
        <f>IFERROR(__xludf.DUMMYFUNCTION("""COMPUTED_VALUE"""),8701.0)</f>
        <v>8701</v>
      </c>
      <c r="F9" s="3">
        <f>IFERROR(__xludf.DUMMYFUNCTION("""COMPUTED_VALUE"""),65445.0)</f>
        <v>65445</v>
      </c>
      <c r="G9" s="2" t="str">
        <f>IFERROR(__xludf.DUMMYFUNCTION("""COMPUTED_VALUE"""),"Vidhyut Utpadan Company Limited")</f>
        <v>Vidhyut Utpadan Company Limited</v>
      </c>
      <c r="H9" s="2" t="str">
        <f>IFERROR(__xludf.DUMMYFUNCTION("""COMPUTED_VALUE"""),"Thapagaun kathmandu")</f>
        <v>Thapagaun kathmandu</v>
      </c>
      <c r="I9" s="2" t="str">
        <f>IFERROR(__xludf.DUMMYFUNCTION("""COMPUTED_VALUE"""),"27o 45' 08""")</f>
        <v>27o 45' 08"</v>
      </c>
      <c r="J9" s="2" t="str">
        <f>IFERROR(__xludf.DUMMYFUNCTION("""COMPUTED_VALUE"""),"27o 50' 00""")</f>
        <v>27o 50' 00"</v>
      </c>
      <c r="K9" s="2" t="str">
        <f>IFERROR(__xludf.DUMMYFUNCTION("""COMPUTED_VALUE"""),"87o 24' 12""")</f>
        <v>87o 24' 12"</v>
      </c>
      <c r="L9" s="2" t="str">
        <f>IFERROR(__xludf.DUMMYFUNCTION("""COMPUTED_VALUE"""),"87o 27' 25""")</f>
        <v>87o 27' 25"</v>
      </c>
      <c r="M9" s="2" t="str">
        <f>IFERROR(__xludf.DUMMYFUNCTION("""COMPUTED_VALUE"""),"Keemathnka,Chepuwa (Sankhuwasabha)")</f>
        <v>Keemathnka,Chepuwa (Sankhuwasabha)</v>
      </c>
    </row>
    <row r="10">
      <c r="A10" s="2">
        <f>IFERROR(__xludf.DUMMYFUNCTION("""COMPUTED_VALUE"""),9.0)</f>
        <v>9</v>
      </c>
      <c r="B10" s="2" t="str">
        <f>IFERROR(__xludf.DUMMYFUNCTION("""COMPUTED_VALUE"""),"Upper Nyasem A HEP")</f>
        <v>Upper Nyasem A HEP</v>
      </c>
      <c r="C10" s="2">
        <f>IFERROR(__xludf.DUMMYFUNCTION("""COMPUTED_VALUE"""),21.0)</f>
        <v>21</v>
      </c>
      <c r="D10" s="2" t="str">
        <f>IFERROR(__xludf.DUMMYFUNCTION("""COMPUTED_VALUE"""),"Nyasem Khola")</f>
        <v>Nyasem Khola</v>
      </c>
      <c r="E10" s="2">
        <f>IFERROR(__xludf.DUMMYFUNCTION("""COMPUTED_VALUE"""),973.0)</f>
        <v>973</v>
      </c>
      <c r="F10" s="3">
        <f>IFERROR(__xludf.DUMMYFUNCTION("""COMPUTED_VALUE"""),65505.0)</f>
        <v>65505</v>
      </c>
      <c r="G10" s="2" t="str">
        <f>IFERROR(__xludf.DUMMYFUNCTION("""COMPUTED_VALUE"""),"Sindhu Jwala Hydropower Pvt. Ltd.")</f>
        <v>Sindhu Jwala Hydropower Pvt. Ltd.</v>
      </c>
      <c r="H10" s="2" t="str">
        <f>IFERROR(__xludf.DUMMYFUNCTION("""COMPUTED_VALUE"""),"Hanumansthan -32, Ktm. Kabita Shrestha 9851010735, 01-4245184")</f>
        <v>Hanumansthan -32, Ktm. Kabita Shrestha 9851010735, 01-4245184</v>
      </c>
      <c r="I10" s="2" t="str">
        <f>IFERROR(__xludf.DUMMYFUNCTION("""COMPUTED_VALUE"""),"28o 00' 58""")</f>
        <v>28o 00' 58"</v>
      </c>
      <c r="J10" s="2" t="str">
        <f>IFERROR(__xludf.DUMMYFUNCTION("""COMPUTED_VALUE"""),"28o 03' 03""")</f>
        <v>28o 03' 03"</v>
      </c>
      <c r="K10" s="2" t="str">
        <f>IFERROR(__xludf.DUMMYFUNCTION("""COMPUTED_VALUE"""),"85o 50' 30""")</f>
        <v>85o 50' 30"</v>
      </c>
      <c r="L10" s="2" t="str">
        <f>IFERROR(__xludf.DUMMYFUNCTION("""COMPUTED_VALUE"""),"85o 52' 03""")</f>
        <v>85o 52' 03"</v>
      </c>
      <c r="M10" s="2" t="str">
        <f>IFERROR(__xludf.DUMMYFUNCTION("""COMPUTED_VALUE"""),"Gumba (Sindhupalchok)")</f>
        <v>Gumba (Sindhupalchok)</v>
      </c>
    </row>
    <row r="11">
      <c r="A11" s="2">
        <f>IFERROR(__xludf.DUMMYFUNCTION("""COMPUTED_VALUE"""),10.0)</f>
        <v>10</v>
      </c>
      <c r="B11" s="2" t="str">
        <f>IFERROR(__xludf.DUMMYFUNCTION("""COMPUTED_VALUE"""),"Lower Seti (Tanahu) HEP")</f>
        <v>Lower Seti (Tanahu) HEP</v>
      </c>
      <c r="C11" s="2">
        <f>IFERROR(__xludf.DUMMYFUNCTION("""COMPUTED_VALUE"""),126.0)</f>
        <v>126</v>
      </c>
      <c r="D11" s="2" t="str">
        <f>IFERROR(__xludf.DUMMYFUNCTION("""COMPUTED_VALUE"""),"Seti Khola (Gandaki)")</f>
        <v>Seti Khola (Gandaki)</v>
      </c>
      <c r="E11" s="2">
        <f>IFERROR(__xludf.DUMMYFUNCTION("""COMPUTED_VALUE"""),2318.0)</f>
        <v>2318</v>
      </c>
      <c r="F11" s="3">
        <f>IFERROR(__xludf.DUMMYFUNCTION("""COMPUTED_VALUE"""),65564.0)</f>
        <v>65564</v>
      </c>
      <c r="G11" s="2" t="str">
        <f>IFERROR(__xludf.DUMMYFUNCTION("""COMPUTED_VALUE"""),"Tanahu Hydropower Limited")</f>
        <v>Tanahu Hydropower Limited</v>
      </c>
      <c r="H11" s="2" t="str">
        <f>IFERROR(__xludf.DUMMYFUNCTION("""COMPUTED_VALUE"""),"Trade Tower 4th Floor,Thapathali, KTM, Ph- 01-5111117/8/9")</f>
        <v>Trade Tower 4th Floor,Thapathali, KTM, Ph- 01-5111117/8/9</v>
      </c>
      <c r="I11" s="2" t="str">
        <f>IFERROR(__xludf.DUMMYFUNCTION("""COMPUTED_VALUE"""),"27o 47' 30""")</f>
        <v>27o 47' 30"</v>
      </c>
      <c r="J11" s="2" t="str">
        <f>IFERROR(__xludf.DUMMYFUNCTION("""COMPUTED_VALUE"""),"27o 55' 00""")</f>
        <v>27o 55' 00"</v>
      </c>
      <c r="K11" s="2" t="str">
        <f>IFERROR(__xludf.DUMMYFUNCTION("""COMPUTED_VALUE"""),"84o 17' 30""")</f>
        <v>84o 17' 30"</v>
      </c>
      <c r="L11" s="2" t="str">
        <f>IFERROR(__xludf.DUMMYFUNCTION("""COMPUTED_VALUE"""),"84o 28' 42""")</f>
        <v>84o 28' 42"</v>
      </c>
      <c r="M11" s="2" t="str">
        <f>IFERROR(__xludf.DUMMYFUNCTION("""COMPUTED_VALUE"""),"Chhipchhipe,Dharampani,Kota (Tanahu)")</f>
        <v>Chhipchhipe,Dharampani,Kota (Tanahu)</v>
      </c>
    </row>
    <row r="12">
      <c r="A12" s="2">
        <f>IFERROR(__xludf.DUMMYFUNCTION("""COMPUTED_VALUE"""),11.0)</f>
        <v>11</v>
      </c>
      <c r="B12" s="2" t="str">
        <f>IFERROR(__xludf.DUMMYFUNCTION("""COMPUTED_VALUE"""),"Nimrung Khola HEP")</f>
        <v>Nimrung Khola HEP</v>
      </c>
      <c r="C12" s="2">
        <f>IFERROR(__xludf.DUMMYFUNCTION("""COMPUTED_VALUE"""),9.8)</f>
        <v>9.8</v>
      </c>
      <c r="D12" s="2" t="str">
        <f>IFERROR(__xludf.DUMMYFUNCTION("""COMPUTED_VALUE"""),"Nimrung")</f>
        <v>Nimrung</v>
      </c>
      <c r="E12" s="2">
        <f>IFERROR(__xludf.DUMMYFUNCTION("""COMPUTED_VALUE"""),2388.0)</f>
        <v>2388</v>
      </c>
      <c r="F12" s="3">
        <f>IFERROR(__xludf.DUMMYFUNCTION("""COMPUTED_VALUE"""),65567.0)</f>
        <v>65567</v>
      </c>
      <c r="G12" s="2" t="str">
        <f>IFERROR(__xludf.DUMMYFUNCTION("""COMPUTED_VALUE"""),"Kiran Power Company Pvt. Ltd.")</f>
        <v>Kiran Power Company Pvt. Ltd.</v>
      </c>
      <c r="H12" s="2" t="str">
        <f>IFERROR(__xludf.DUMMYFUNCTION("""COMPUTED_VALUE"""),"Kaldhara-16, Kathmandu")</f>
        <v>Kaldhara-16, Kathmandu</v>
      </c>
      <c r="I12" s="2" t="str">
        <f>IFERROR(__xludf.DUMMYFUNCTION("""COMPUTED_VALUE"""),"28o 15' 00""")</f>
        <v>28o 15' 00"</v>
      </c>
      <c r="J12" s="2" t="str">
        <f>IFERROR(__xludf.DUMMYFUNCTION("""COMPUTED_VALUE"""),"28o 16' 22""")</f>
        <v>28o 16' 22"</v>
      </c>
      <c r="K12" s="2" t="str">
        <f>IFERROR(__xludf.DUMMYFUNCTION("""COMPUTED_VALUE"""),"84o 51' 04""")</f>
        <v>84o 51' 04"</v>
      </c>
      <c r="L12" s="2" t="str">
        <f>IFERROR(__xludf.DUMMYFUNCTION("""COMPUTED_VALUE"""),"84o 53' 10""")</f>
        <v>84o 53' 10"</v>
      </c>
      <c r="M12" s="2" t="str">
        <f>IFERROR(__xludf.DUMMYFUNCTION("""COMPUTED_VALUE"""),"Uiya (Gorkha)")</f>
        <v>Uiya (Gorkha)</v>
      </c>
    </row>
    <row r="13">
      <c r="A13" s="2">
        <f>IFERROR(__xludf.DUMMYFUNCTION("""COMPUTED_VALUE"""),12.0)</f>
        <v>12</v>
      </c>
      <c r="B13" s="2" t="str">
        <f>IFERROR(__xludf.DUMMYFUNCTION("""COMPUTED_VALUE"""),"Begnas- Rupa Storage HEP")</f>
        <v>Begnas- Rupa Storage HEP</v>
      </c>
      <c r="C13" s="2">
        <f>IFERROR(__xludf.DUMMYFUNCTION("""COMPUTED_VALUE"""),150.0)</f>
        <v>150</v>
      </c>
      <c r="D13" s="2" t="str">
        <f>IFERROR(__xludf.DUMMYFUNCTION("""COMPUTED_VALUE"""),"Begnas - Rupa")</f>
        <v>Begnas - Rupa</v>
      </c>
      <c r="E13" s="2">
        <f>IFERROR(__xludf.DUMMYFUNCTION("""COMPUTED_VALUE"""),2555.0)</f>
        <v>2555</v>
      </c>
      <c r="F13" s="3">
        <f>IFERROR(__xludf.DUMMYFUNCTION("""COMPUTED_VALUE"""),65581.0)</f>
        <v>65581</v>
      </c>
      <c r="G13" s="2" t="str">
        <f>IFERROR(__xludf.DUMMYFUNCTION("""COMPUTED_VALUE"""),"Nepal Electricity Authority")</f>
        <v>Nepal Electricity Authority</v>
      </c>
      <c r="H13" s="2" t="str">
        <f>IFERROR(__xludf.DUMMYFUNCTION("""COMPUTED_VALUE"""),"Durbar Marg , Kathmandu")</f>
        <v>Durbar Marg , Kathmandu</v>
      </c>
      <c r="I13" s="2" t="str">
        <f>IFERROR(__xludf.DUMMYFUNCTION("""COMPUTED_VALUE"""),"28o 08' 15""")</f>
        <v>28o 08' 15"</v>
      </c>
      <c r="J13" s="2" t="str">
        <f>IFERROR(__xludf.DUMMYFUNCTION("""COMPUTED_VALUE"""),"28o 12' 00""")</f>
        <v>28o 12' 00"</v>
      </c>
      <c r="K13" s="2" t="str">
        <f>IFERROR(__xludf.DUMMYFUNCTION("""COMPUTED_VALUE"""),"84o 05' 15""")</f>
        <v>84o 05' 15"</v>
      </c>
      <c r="L13" s="2" t="str">
        <f>IFERROR(__xludf.DUMMYFUNCTION("""COMPUTED_VALUE"""),"84o 08' 30""")</f>
        <v>84o 08' 30"</v>
      </c>
      <c r="M13" s="2" t="str">
        <f>IFERROR(__xludf.DUMMYFUNCTION("""COMPUTED_VALUE"""),"Lekhnath,Rupakot (Kaski)")</f>
        <v>Lekhnath,Rupakot (Kaski)</v>
      </c>
    </row>
    <row r="14">
      <c r="A14" s="2">
        <f>IFERROR(__xludf.DUMMYFUNCTION("""COMPUTED_VALUE"""),13.0)</f>
        <v>13</v>
      </c>
      <c r="B14" s="2" t="str">
        <f>IFERROR(__xludf.DUMMYFUNCTION("""COMPUTED_VALUE"""),"Super Inkhu Khola HEP")</f>
        <v>Super Inkhu Khola HEP</v>
      </c>
      <c r="C14" s="2">
        <f>IFERROR(__xludf.DUMMYFUNCTION("""COMPUTED_VALUE"""),24.41)</f>
        <v>24.41</v>
      </c>
      <c r="D14" s="2" t="str">
        <f>IFERROR(__xludf.DUMMYFUNCTION("""COMPUTED_VALUE"""),"Inkhu")</f>
        <v>Inkhu</v>
      </c>
      <c r="E14" s="2">
        <f>IFERROR(__xludf.DUMMYFUNCTION("""COMPUTED_VALUE"""),2764.0)</f>
        <v>2764</v>
      </c>
      <c r="F14" s="3">
        <f>IFERROR(__xludf.DUMMYFUNCTION("""COMPUTED_VALUE"""),65589.0)</f>
        <v>65589</v>
      </c>
      <c r="G14" s="2" t="str">
        <f>IFERROR(__xludf.DUMMYFUNCTION("""COMPUTED_VALUE"""),"Dordi Khola Jalvidyut Company Limited")</f>
        <v>Dordi Khola Jalvidyut Company Limited</v>
      </c>
      <c r="H14" s="2" t="str">
        <f>IFERROR(__xludf.DUMMYFUNCTION("""COMPUTED_VALUE"""),"Bluestar Complex Tripureshwor, Contact No. 01-4232449")</f>
        <v>Bluestar Complex Tripureshwor, Contact No. 01-4232449</v>
      </c>
      <c r="I14" s="2" t="str">
        <f>IFERROR(__xludf.DUMMYFUNCTION("""COMPUTED_VALUE"""),"27o 36' 13""")</f>
        <v>27o 36' 13"</v>
      </c>
      <c r="J14" s="2" t="str">
        <f>IFERROR(__xludf.DUMMYFUNCTION("""COMPUTED_VALUE"""),"27o 37' 13""")</f>
        <v>27o 37' 13"</v>
      </c>
      <c r="K14" s="2" t="str">
        <f>IFERROR(__xludf.DUMMYFUNCTION("""COMPUTED_VALUE"""),"86o 47' 09""")</f>
        <v>86o 47' 09"</v>
      </c>
      <c r="L14" s="2" t="str">
        <f>IFERROR(__xludf.DUMMYFUNCTION("""COMPUTED_VALUE"""),"86o 48' 19""")</f>
        <v>86o 48' 19"</v>
      </c>
      <c r="M14" s="2" t="str">
        <f>IFERROR(__xludf.DUMMYFUNCTION("""COMPUTED_VALUE"""),"Baku,Bung (Solukhumbu)")</f>
        <v>Baku,Bung (Solukhumbu)</v>
      </c>
    </row>
    <row r="15">
      <c r="A15" s="2">
        <f>IFERROR(__xludf.DUMMYFUNCTION("""COMPUTED_VALUE"""),14.0)</f>
        <v>14</v>
      </c>
      <c r="B15" s="2" t="str">
        <f>IFERROR(__xludf.DUMMYFUNCTION("""COMPUTED_VALUE"""),"Upper Inkhu Khola HEP")</f>
        <v>Upper Inkhu Khola HEP</v>
      </c>
      <c r="C15" s="2">
        <f>IFERROR(__xludf.DUMMYFUNCTION("""COMPUTED_VALUE"""),24.22)</f>
        <v>24.22</v>
      </c>
      <c r="D15" s="2" t="str">
        <f>IFERROR(__xludf.DUMMYFUNCTION("""COMPUTED_VALUE"""),"Inkhu")</f>
        <v>Inkhu</v>
      </c>
      <c r="E15" s="2">
        <f>IFERROR(__xludf.DUMMYFUNCTION("""COMPUTED_VALUE"""),2826.0)</f>
        <v>2826</v>
      </c>
      <c r="F15" s="3">
        <f>IFERROR(__xludf.DUMMYFUNCTION("""COMPUTED_VALUE"""),65593.0)</f>
        <v>65593</v>
      </c>
      <c r="G15" s="2" t="str">
        <f>IFERROR(__xludf.DUMMYFUNCTION("""COMPUTED_VALUE"""),"Universal Power Company P. Ltd")</f>
        <v>Universal Power Company P. Ltd</v>
      </c>
      <c r="H15" s="2" t="str">
        <f>IFERROR(__xludf.DUMMYFUNCTION("""COMPUTED_VALUE"""),"Bluestar Compllex Tripureshor, 01-4101097")</f>
        <v>Bluestar Compllex Tripureshor, 01-4101097</v>
      </c>
      <c r="I15" s="2" t="str">
        <f>IFERROR(__xludf.DUMMYFUNCTION("""COMPUTED_VALUE"""),"27o 34' 03""")</f>
        <v>27o 34' 03"</v>
      </c>
      <c r="J15" s="2" t="str">
        <f>IFERROR(__xludf.DUMMYFUNCTION("""COMPUTED_VALUE"""),"27o 36' 09""")</f>
        <v>27o 36' 09"</v>
      </c>
      <c r="K15" s="2" t="str">
        <f>IFERROR(__xludf.DUMMYFUNCTION("""COMPUTED_VALUE"""),"86o 46' 00""")</f>
        <v>86o 46' 00"</v>
      </c>
      <c r="L15" s="2" t="str">
        <f>IFERROR(__xludf.DUMMYFUNCTION("""COMPUTED_VALUE"""),"86o 47' 38""")</f>
        <v>86o 47' 38"</v>
      </c>
      <c r="M15" s="2" t="str">
        <f>IFERROR(__xludf.DUMMYFUNCTION("""COMPUTED_VALUE"""),"Baku,Bung,Mabe(Pawai) (Solukhumbu)")</f>
        <v>Baku,Bung,Mabe(Pawai) (Solukhumbu)</v>
      </c>
    </row>
    <row r="16">
      <c r="A16" s="2">
        <f>IFERROR(__xludf.DUMMYFUNCTION("""COMPUTED_VALUE"""),15.0)</f>
        <v>15</v>
      </c>
      <c r="B16" s="2" t="str">
        <f>IFERROR(__xludf.DUMMYFUNCTION("""COMPUTED_VALUE"""),"Mugu Karnali HEP")</f>
        <v>Mugu Karnali HEP</v>
      </c>
      <c r="C16" s="2">
        <f>IFERROR(__xludf.DUMMYFUNCTION("""COMPUTED_VALUE"""),159.62)</f>
        <v>159.62</v>
      </c>
      <c r="D16" s="2" t="str">
        <f>IFERROR(__xludf.DUMMYFUNCTION("""COMPUTED_VALUE"""),"Mugu Karnali")</f>
        <v>Mugu Karnali</v>
      </c>
      <c r="E16" s="2">
        <f>IFERROR(__xludf.DUMMYFUNCTION("""COMPUTED_VALUE"""),2854.0)</f>
        <v>2854</v>
      </c>
      <c r="F16" s="3">
        <f>IFERROR(__xludf.DUMMYFUNCTION("""COMPUTED_VALUE"""),65594.0)</f>
        <v>65594</v>
      </c>
      <c r="G16" s="2" t="str">
        <f>IFERROR(__xludf.DUMMYFUNCTION("""COMPUTED_VALUE"""),"Butwal Power Company Limited")</f>
        <v>Butwal Power Company Limited</v>
      </c>
      <c r="H16" s="2" t="str">
        <f>IFERROR(__xludf.DUMMYFUNCTION("""COMPUTED_VALUE"""),"Ganga Devi Marg 313, Buddha Nagar, New Baneshwar, Post Box. 11728 Ktm, 
Nepal, Contact No. 4781776,4784026, Fax. 4780994")</f>
        <v>Ganga Devi Marg 313, Buddha Nagar, New Baneshwar, Post Box. 11728 Ktm, 
Nepal, Contact No. 4781776,4784026, Fax. 4780994</v>
      </c>
      <c r="I16" s="2" t="str">
        <f>IFERROR(__xludf.DUMMYFUNCTION("""COMPUTED_VALUE"""),"29o 34' 37""")</f>
        <v>29o 34' 37"</v>
      </c>
      <c r="J16" s="2" t="str">
        <f>IFERROR(__xludf.DUMMYFUNCTION("""COMPUTED_VALUE"""),"29o 37' 39""")</f>
        <v>29o 37' 39"</v>
      </c>
      <c r="K16" s="2" t="str">
        <f>IFERROR(__xludf.DUMMYFUNCTION("""COMPUTED_VALUE"""),"81o 51' 22""")</f>
        <v>81o 51' 22"</v>
      </c>
      <c r="L16" s="2" t="str">
        <f>IFERROR(__xludf.DUMMYFUNCTION("""COMPUTED_VALUE"""),"82o 06' 46""")</f>
        <v>82o 06' 46"</v>
      </c>
      <c r="M16" s="2" t="str">
        <f>IFERROR(__xludf.DUMMYFUNCTION("""COMPUTED_VALUE"""),"Jima,Natharpu,Shree Nagar (Mugu)")</f>
        <v>Jima,Natharpu,Shree Nagar (Mugu)</v>
      </c>
    </row>
    <row r="17">
      <c r="A17" s="2">
        <f>IFERROR(__xludf.DUMMYFUNCTION("""COMPUTED_VALUE"""),16.0)</f>
        <v>16</v>
      </c>
      <c r="B17" s="2" t="str">
        <f>IFERROR(__xludf.DUMMYFUNCTION("""COMPUTED_VALUE"""),"Nalsyau Gad Storage HEP")</f>
        <v>Nalsyau Gad Storage HEP</v>
      </c>
      <c r="C17" s="2">
        <f>IFERROR(__xludf.DUMMYFUNCTION("""COMPUTED_VALUE"""),417.0)</f>
        <v>417</v>
      </c>
      <c r="D17" s="2" t="str">
        <f>IFERROR(__xludf.DUMMYFUNCTION("""COMPUTED_VALUE"""),"Nalsyau")</f>
        <v>Nalsyau</v>
      </c>
      <c r="E17" s="2">
        <f>IFERROR(__xludf.DUMMYFUNCTION("""COMPUTED_VALUE"""),3176.0)</f>
        <v>3176</v>
      </c>
      <c r="F17" s="3">
        <f>IFERROR(__xludf.DUMMYFUNCTION("""COMPUTED_VALUE"""),65608.0)</f>
        <v>65608</v>
      </c>
      <c r="G17" s="2" t="str">
        <f>IFERROR(__xludf.DUMMYFUNCTION("""COMPUTED_VALUE"""),"Nalgad Hydropower Company Limited")</f>
        <v>Nalgad Hydropower Company Limited</v>
      </c>
      <c r="H17" s="2" t="str">
        <f>IFERROR(__xludf.DUMMYFUNCTION("""COMPUTED_VALUE"""),"Kathmandu-10, New Baneshwor, Thapagaun, 4475221, 4469580")</f>
        <v>Kathmandu-10, New Baneshwor, Thapagaun, 4475221, 4469580</v>
      </c>
      <c r="I17" s="2" t="str">
        <f>IFERROR(__xludf.DUMMYFUNCTION("""COMPUTED_VALUE"""),"28o 47' 21""")</f>
        <v>28o 47' 21"</v>
      </c>
      <c r="J17" s="2" t="str">
        <f>IFERROR(__xludf.DUMMYFUNCTION("""COMPUTED_VALUE"""),"28o 58' 00""")</f>
        <v>28o 58' 00"</v>
      </c>
      <c r="K17" s="2" t="str">
        <f>IFERROR(__xludf.DUMMYFUNCTION("""COMPUTED_VALUE"""),"82o 14' 00""")</f>
        <v>82o 14' 00"</v>
      </c>
      <c r="L17" s="2" t="str">
        <f>IFERROR(__xludf.DUMMYFUNCTION("""COMPUTED_VALUE"""),"82o 20' 00""")</f>
        <v>82o 20' 00"</v>
      </c>
      <c r="M17" s="2" t="str">
        <f>IFERROR(__xludf.DUMMYFUNCTION("""COMPUTED_VALUE"""),"Ramidanda,Sakala,Khagenakot,Lahai,Dandagaun (Jajarkot)")</f>
        <v>Ramidanda,Sakala,Khagenakot,Lahai,Dandagaun (Jajarkot)</v>
      </c>
    </row>
    <row r="18">
      <c r="A18" s="2">
        <f>IFERROR(__xludf.DUMMYFUNCTION("""COMPUTED_VALUE"""),17.0)</f>
        <v>17</v>
      </c>
      <c r="B18" s="2" t="str">
        <f>IFERROR(__xludf.DUMMYFUNCTION("""COMPUTED_VALUE"""),"Apsuwa I HEP")</f>
        <v>Apsuwa I HEP</v>
      </c>
      <c r="C18" s="2">
        <f>IFERROR(__xludf.DUMMYFUNCTION("""COMPUTED_VALUE"""),23.0)</f>
        <v>23</v>
      </c>
      <c r="D18" s="2" t="str">
        <f>IFERROR(__xludf.DUMMYFUNCTION("""COMPUTED_VALUE"""),"Apsuwa")</f>
        <v>Apsuwa</v>
      </c>
      <c r="E18" s="2">
        <f>IFERROR(__xludf.DUMMYFUNCTION("""COMPUTED_VALUE"""),3348.0)</f>
        <v>3348</v>
      </c>
      <c r="F18" s="3">
        <f>IFERROR(__xludf.DUMMYFUNCTION("""COMPUTED_VALUE"""),65618.0)</f>
        <v>65618</v>
      </c>
      <c r="G18" s="2" t="str">
        <f>IFERROR(__xludf.DUMMYFUNCTION("""COMPUTED_VALUE"""),"Ram Janaki Hydropower Pvt. Ltd")</f>
        <v>Ram Janaki Hydropower Pvt. Ltd</v>
      </c>
      <c r="H18" s="2" t="str">
        <f>IFERROR(__xludf.DUMMYFUNCTION("""COMPUTED_VALUE"""),"Trade Tower Thapathali, Kathmandu")</f>
        <v>Trade Tower Thapathali, Kathmandu</v>
      </c>
      <c r="I18" s="2" t="str">
        <f>IFERROR(__xludf.DUMMYFUNCTION("""COMPUTED_VALUE"""),"27o 35' 00""")</f>
        <v>27o 35' 00"</v>
      </c>
      <c r="J18" s="2" t="str">
        <f>IFERROR(__xludf.DUMMYFUNCTION("""COMPUTED_VALUE"""),"27o 37' 00""")</f>
        <v>27o 37' 00"</v>
      </c>
      <c r="K18" s="2" t="str">
        <f>IFERROR(__xludf.DUMMYFUNCTION("""COMPUTED_VALUE"""),"87o 07' 30""")</f>
        <v>87o 07' 30"</v>
      </c>
      <c r="L18" s="2" t="str">
        <f>IFERROR(__xludf.DUMMYFUNCTION("""COMPUTED_VALUE"""),"87o 09' 45""")</f>
        <v>87o 09' 45"</v>
      </c>
      <c r="M18" s="2" t="str">
        <f>IFERROR(__xludf.DUMMYFUNCTION("""COMPUTED_VALUE"""),"Makalu,Yafu (Sankhuwasabha)")</f>
        <v>Makalu,Yafu (Sankhuwasabha)</v>
      </c>
    </row>
    <row r="19">
      <c r="A19" s="2">
        <f>IFERROR(__xludf.DUMMYFUNCTION("""COMPUTED_VALUE"""),18.0)</f>
        <v>18</v>
      </c>
      <c r="B19" s="2" t="str">
        <f>IFERROR(__xludf.DUMMYFUNCTION("""COMPUTED_VALUE"""),"Nisi Khola HEP")</f>
        <v>Nisi Khola HEP</v>
      </c>
      <c r="C19" s="2">
        <f>IFERROR(__xludf.DUMMYFUNCTION("""COMPUTED_VALUE"""),8.8)</f>
        <v>8.8</v>
      </c>
      <c r="D19" s="2" t="str">
        <f>IFERROR(__xludf.DUMMYFUNCTION("""COMPUTED_VALUE"""),"Nisi")</f>
        <v>Nisi</v>
      </c>
      <c r="E19" s="2">
        <f>IFERROR(__xludf.DUMMYFUNCTION("""COMPUTED_VALUE"""),4611.0)</f>
        <v>4611</v>
      </c>
      <c r="F19" s="3">
        <f>IFERROR(__xludf.DUMMYFUNCTION("""COMPUTED_VALUE"""),65672.0)</f>
        <v>65672</v>
      </c>
      <c r="G19" s="2" t="str">
        <f>IFERROR(__xludf.DUMMYFUNCTION("""COMPUTED_VALUE"""),"Nishi Khola Power Pvt. Ltd.")</f>
        <v>Nishi Khola Power Pvt. Ltd.</v>
      </c>
      <c r="H19" s="2"/>
      <c r="I19" s="2" t="str">
        <f>IFERROR(__xludf.DUMMYFUNCTION("""COMPUTED_VALUE"""),"28o 20' 01""")</f>
        <v>28o 20' 01"</v>
      </c>
      <c r="J19" s="2" t="str">
        <f>IFERROR(__xludf.DUMMYFUNCTION("""COMPUTED_VALUE"""),"28o 22' 30""")</f>
        <v>28o 22' 30"</v>
      </c>
      <c r="K19" s="2" t="str">
        <f>IFERROR(__xludf.DUMMYFUNCTION("""COMPUTED_VALUE"""),"83o 03' 40""")</f>
        <v>83o 03' 40"</v>
      </c>
      <c r="L19" s="2" t="str">
        <f>IFERROR(__xludf.DUMMYFUNCTION("""COMPUTED_VALUE"""),"83o 07' 30""")</f>
        <v>83o 07' 30"</v>
      </c>
      <c r="M19" s="2" t="str">
        <f>IFERROR(__xludf.DUMMYFUNCTION("""COMPUTED_VALUE"""),"Burtiwang,Boharagaun,Devisthan,Bowang,Adhikarichaur (Baglung)")</f>
        <v>Burtiwang,Boharagaun,Devisthan,Bowang,Adhikarichaur (Baglung)</v>
      </c>
    </row>
    <row r="20">
      <c r="A20" s="2">
        <f>IFERROR(__xludf.DUMMYFUNCTION("""COMPUTED_VALUE"""),19.0)</f>
        <v>19</v>
      </c>
      <c r="B20" s="2" t="str">
        <f>IFERROR(__xludf.DUMMYFUNCTION("""COMPUTED_VALUE"""),"Mathillo Simbuwa Khola HEP")</f>
        <v>Mathillo Simbuwa Khola HEP</v>
      </c>
      <c r="C20" s="2">
        <f>IFERROR(__xludf.DUMMYFUNCTION("""COMPUTED_VALUE"""),40.03)</f>
        <v>40.03</v>
      </c>
      <c r="D20" s="2" t="str">
        <f>IFERROR(__xludf.DUMMYFUNCTION("""COMPUTED_VALUE"""),"Simbuwa Khola")</f>
        <v>Simbuwa Khola</v>
      </c>
      <c r="E20" s="2">
        <f>IFERROR(__xludf.DUMMYFUNCTION("""COMPUTED_VALUE"""),4760.0)</f>
        <v>4760</v>
      </c>
      <c r="F20" s="3">
        <f>IFERROR(__xludf.DUMMYFUNCTION("""COMPUTED_VALUE"""),65678.0)</f>
        <v>65678</v>
      </c>
      <c r="G20" s="2" t="str">
        <f>IFERROR(__xludf.DUMMYFUNCTION("""COMPUTED_VALUE"""),"Simbuwa Hydropower Pvt. Ltd.")</f>
        <v>Simbuwa Hydropower Pvt. Ltd.</v>
      </c>
      <c r="H20" s="2" t="str">
        <f>IFERROR(__xludf.DUMMYFUNCTION("""COMPUTED_VALUE"""),"Kathmandu, Contact No.: 9851023888, 9851229660")</f>
        <v>Kathmandu, Contact No.: 9851023888, 9851229660</v>
      </c>
      <c r="I20" s="2" t="str">
        <f>IFERROR(__xludf.DUMMYFUNCTION("""COMPUTED_VALUE"""),"27o 30' 25""")</f>
        <v>27o 30' 25"</v>
      </c>
      <c r="J20" s="2" t="str">
        <f>IFERROR(__xludf.DUMMYFUNCTION("""COMPUTED_VALUE"""),"27o 32' 05""")</f>
        <v>27o 32' 05"</v>
      </c>
      <c r="K20" s="2" t="str">
        <f>IFERROR(__xludf.DUMMYFUNCTION("""COMPUTED_VALUE"""),"87o 52' 15""")</f>
        <v>87o 52' 15"</v>
      </c>
      <c r="L20" s="2" t="str">
        <f>IFERROR(__xludf.DUMMYFUNCTION("""COMPUTED_VALUE"""),"87o 55' 04""")</f>
        <v>87o 55' 04"</v>
      </c>
      <c r="M20" s="2" t="str">
        <f>IFERROR(__xludf.DUMMYFUNCTION("""COMPUTED_VALUE"""),"Tapethok (Taplejung)")</f>
        <v>Tapethok (Taplejung)</v>
      </c>
    </row>
    <row r="21">
      <c r="A21" s="2">
        <f>IFERROR(__xludf.DUMMYFUNCTION("""COMPUTED_VALUE"""),20.0)</f>
        <v>20</v>
      </c>
      <c r="B21" s="2" t="str">
        <f>IFERROR(__xludf.DUMMYFUNCTION("""COMPUTED_VALUE"""),"Surke Dudhkoshi HEP")</f>
        <v>Surke Dudhkoshi HEP</v>
      </c>
      <c r="C21" s="2">
        <f>IFERROR(__xludf.DUMMYFUNCTION("""COMPUTED_VALUE"""),188.0)</f>
        <v>188</v>
      </c>
      <c r="D21" s="2" t="str">
        <f>IFERROR(__xludf.DUMMYFUNCTION("""COMPUTED_VALUE"""),"Dudhkoshi")</f>
        <v>Dudhkoshi</v>
      </c>
      <c r="E21" s="2">
        <f>IFERROR(__xludf.DUMMYFUNCTION("""COMPUTED_VALUE"""),5358.0)</f>
        <v>5358</v>
      </c>
      <c r="F21" s="3">
        <f>IFERROR(__xludf.DUMMYFUNCTION("""COMPUTED_VALUE"""),65705.0)</f>
        <v>65705</v>
      </c>
      <c r="G21" s="2" t="str">
        <f>IFERROR(__xludf.DUMMYFUNCTION("""COMPUTED_VALUE"""),"Summit Power Company Private Limited")</f>
        <v>Summit Power Company Private Limited</v>
      </c>
      <c r="H21" s="2" t="str">
        <f>IFERROR(__xludf.DUMMYFUNCTION("""COMPUTED_VALUE"""),"Kathmandu-11, Nepal, 01-4117322, 01-4117324")</f>
        <v>Kathmandu-11, Nepal, 01-4117322, 01-4117324</v>
      </c>
      <c r="I21" s="2" t="str">
        <f>IFERROR(__xludf.DUMMYFUNCTION("""COMPUTED_VALUE"""),"27o 33' 40""")</f>
        <v>27o 33' 40"</v>
      </c>
      <c r="J21" s="2" t="str">
        <f>IFERROR(__xludf.DUMMYFUNCTION("""COMPUTED_VALUE"""),"27o 40' 00""")</f>
        <v>27o 40' 00"</v>
      </c>
      <c r="K21" s="2" t="str">
        <f>IFERROR(__xludf.DUMMYFUNCTION("""COMPUTED_VALUE"""),"86o 40' 00""")</f>
        <v>86o 40' 00"</v>
      </c>
      <c r="L21" s="2" t="str">
        <f>IFERROR(__xludf.DUMMYFUNCTION("""COMPUTED_VALUE"""),"86o 43' 47""")</f>
        <v>86o 43' 47"</v>
      </c>
      <c r="M21" s="2" t="str">
        <f>IFERROR(__xludf.DUMMYFUNCTION("""COMPUTED_VALUE"""),"Jubing,Basa,Takasindu (Solukhumbu)")</f>
        <v>Jubing,Basa,Takasindu (Solukhumbu)</v>
      </c>
    </row>
    <row r="22">
      <c r="A22" s="2">
        <f>IFERROR(__xludf.DUMMYFUNCTION("""COMPUTED_VALUE"""),21.0)</f>
        <v>21</v>
      </c>
      <c r="B22" s="2" t="str">
        <f>IFERROR(__xludf.DUMMYFUNCTION("""COMPUTED_VALUE"""),"Humla Karnali 1 HEP")</f>
        <v>Humla Karnali 1 HEP</v>
      </c>
      <c r="C22" s="2">
        <f>IFERROR(__xludf.DUMMYFUNCTION("""COMPUTED_VALUE"""),235.0)</f>
        <v>235</v>
      </c>
      <c r="D22" s="2" t="str">
        <f>IFERROR(__xludf.DUMMYFUNCTION("""COMPUTED_VALUE"""),"Humla Karnali")</f>
        <v>Humla Karnali</v>
      </c>
      <c r="E22" s="2">
        <f>IFERROR(__xludf.DUMMYFUNCTION("""COMPUTED_VALUE"""),6019.0)</f>
        <v>6019</v>
      </c>
      <c r="F22" s="3">
        <f>IFERROR(__xludf.DUMMYFUNCTION("""COMPUTED_VALUE"""),65740.0)</f>
        <v>65740</v>
      </c>
      <c r="G22" s="2" t="str">
        <f>IFERROR(__xludf.DUMMYFUNCTION("""COMPUTED_VALUE"""),"Ruru Jalbidyut Pariyojana Ltd.")</f>
        <v>Ruru Jalbidyut Pariyojana Ltd.</v>
      </c>
      <c r="H22" s="2" t="str">
        <f>IFERROR(__xludf.DUMMYFUNCTION("""COMPUTED_VALUE"""),"Kathmandu-1, Hattisar, 4519393/4519394")</f>
        <v>Kathmandu-1, Hattisar, 4519393/4519394</v>
      </c>
      <c r="I22" s="2" t="str">
        <f>IFERROR(__xludf.DUMMYFUNCTION("""COMPUTED_VALUE"""),"29o 41' 30""")</f>
        <v>29o 41' 30"</v>
      </c>
      <c r="J22" s="2" t="str">
        <f>IFERROR(__xludf.DUMMYFUNCTION("""COMPUTED_VALUE"""),"29o 47' 00""")</f>
        <v>29o 47' 00"</v>
      </c>
      <c r="K22" s="2" t="str">
        <f>IFERROR(__xludf.DUMMYFUNCTION("""COMPUTED_VALUE"""),"81o 56' 30""")</f>
        <v>81o 56' 30"</v>
      </c>
      <c r="L22" s="2" t="str">
        <f>IFERROR(__xludf.DUMMYFUNCTION("""COMPUTED_VALUE"""),"82o 02' 00""")</f>
        <v>82o 02' 00"</v>
      </c>
      <c r="M22" s="2" t="str">
        <f>IFERROR(__xludf.DUMMYFUNCTION("""COMPUTED_VALUE"""),"Jaur,Gothi,Saya(Sama),Melchham (Humla) Photu (Mugu)")</f>
        <v>Jaur,Gothi,Saya(Sama),Melchham (Humla) Photu (Mugu)</v>
      </c>
    </row>
    <row r="23">
      <c r="A23" s="2">
        <f>IFERROR(__xludf.DUMMYFUNCTION("""COMPUTED_VALUE"""),22.0)</f>
        <v>22</v>
      </c>
      <c r="B23" s="2" t="str">
        <f>IFERROR(__xludf.DUMMYFUNCTION("""COMPUTED_VALUE"""),"Humla Karnali 2 HEP")</f>
        <v>Humla Karnali 2 HEP</v>
      </c>
      <c r="C23" s="2">
        <f>IFERROR(__xludf.DUMMYFUNCTION("""COMPUTED_VALUE"""),335.0)</f>
        <v>335</v>
      </c>
      <c r="D23" s="2" t="str">
        <f>IFERROR(__xludf.DUMMYFUNCTION("""COMPUTED_VALUE"""),"Humla Karnali")</f>
        <v>Humla Karnali</v>
      </c>
      <c r="E23" s="2">
        <f>IFERROR(__xludf.DUMMYFUNCTION("""COMPUTED_VALUE"""),6020.0)</f>
        <v>6020</v>
      </c>
      <c r="F23" s="3">
        <f>IFERROR(__xludf.DUMMYFUNCTION("""COMPUTED_VALUE"""),65740.0)</f>
        <v>65740</v>
      </c>
      <c r="G23" s="2" t="str">
        <f>IFERROR(__xludf.DUMMYFUNCTION("""COMPUTED_VALUE"""),"Ruru Jalbidyut Pariyojana Ltd.")</f>
        <v>Ruru Jalbidyut Pariyojana Ltd.</v>
      </c>
      <c r="H23" s="2" t="str">
        <f>IFERROR(__xludf.DUMMYFUNCTION("""COMPUTED_VALUE"""),"Kathmandu-1, Hattisar, 4519393/4519394")</f>
        <v>Kathmandu-1, Hattisar, 4519393/4519394</v>
      </c>
      <c r="I23" s="2" t="str">
        <f>IFERROR(__xludf.DUMMYFUNCTION("""COMPUTED_VALUE"""),"29o 46' 00""")</f>
        <v>29o 46' 00"</v>
      </c>
      <c r="J23" s="2" t="str">
        <f>IFERROR(__xludf.DUMMYFUNCTION("""COMPUTED_VALUE"""),"29o 52' 47""")</f>
        <v>29o 52' 47"</v>
      </c>
      <c r="K23" s="2" t="str">
        <f>IFERROR(__xludf.DUMMYFUNCTION("""COMPUTED_VALUE"""),"81o 51' 00""")</f>
        <v>81o 51' 00"</v>
      </c>
      <c r="L23" s="2" t="str">
        <f>IFERROR(__xludf.DUMMYFUNCTION("""COMPUTED_VALUE"""),"81o 56' 29""")</f>
        <v>81o 56' 29"</v>
      </c>
      <c r="M23" s="2" t="str">
        <f>IFERROR(__xludf.DUMMYFUNCTION("""COMPUTED_VALUE"""),"Saya(Sama),Raya,Kharpunath,Rodikot,Chhipra,Lali (Humla)")</f>
        <v>Saya(Sama),Raya,Kharpunath,Rodikot,Chhipra,Lali (Humla)</v>
      </c>
    </row>
    <row r="24">
      <c r="A24" s="2">
        <f>IFERROR(__xludf.DUMMYFUNCTION("""COMPUTED_VALUE"""),23.0)</f>
        <v>23</v>
      </c>
      <c r="B24" s="2" t="str">
        <f>IFERROR(__xludf.DUMMYFUNCTION("""COMPUTED_VALUE"""),"Ikhuwa Khola HEP")</f>
        <v>Ikhuwa Khola HEP</v>
      </c>
      <c r="C24" s="2">
        <f>IFERROR(__xludf.DUMMYFUNCTION("""COMPUTED_VALUE"""),40.0)</f>
        <v>40</v>
      </c>
      <c r="D24" s="2" t="str">
        <f>IFERROR(__xludf.DUMMYFUNCTION("""COMPUTED_VALUE"""),"Ikhuwa Khola")</f>
        <v>Ikhuwa Khola</v>
      </c>
      <c r="E24" s="2">
        <f>IFERROR(__xludf.DUMMYFUNCTION("""COMPUTED_VALUE"""),8118.0)</f>
        <v>8118</v>
      </c>
      <c r="F24" s="3">
        <f>IFERROR(__xludf.DUMMYFUNCTION("""COMPUTED_VALUE"""),65750.0)</f>
        <v>65750</v>
      </c>
      <c r="G24" s="2" t="str">
        <f>IFERROR(__xludf.DUMMYFUNCTION("""COMPUTED_VALUE"""),"Upper Arun Hydro Electric Limited")</f>
        <v>Upper Arun Hydro Electric Limited</v>
      </c>
      <c r="H24" s="2" t="str">
        <f>IFERROR(__xludf.DUMMYFUNCTION("""COMPUTED_VALUE"""),"Durbar Marg Kathmandu,9851022252( Bishwo Dhoj Joshi), 
01-4153039,4117154,4117163,4153227")</f>
        <v>Durbar Marg Kathmandu,9851022252( Bishwo Dhoj Joshi), 
01-4153039,4117154,4117163,4153227</v>
      </c>
      <c r="I24" s="2" t="str">
        <f>IFERROR(__xludf.DUMMYFUNCTION("""COMPUTED_VALUE"""),"27o 35' 15""")</f>
        <v>27o 35' 15"</v>
      </c>
      <c r="J24" s="2" t="str">
        <f>IFERROR(__xludf.DUMMYFUNCTION("""COMPUTED_VALUE"""),"27o 36' 45""")</f>
        <v>27o 36' 45"</v>
      </c>
      <c r="K24" s="2" t="str">
        <f>IFERROR(__xludf.DUMMYFUNCTION("""COMPUTED_VALUE"""),"87o 21' 16""")</f>
        <v>87o 21' 16"</v>
      </c>
      <c r="L24" s="2" t="str">
        <f>IFERROR(__xludf.DUMMYFUNCTION("""COMPUTED_VALUE"""),"87o 25' 07""")</f>
        <v>87o 25' 07"</v>
      </c>
      <c r="M24" s="2" t="str">
        <f>IFERROR(__xludf.DUMMYFUNCTION("""COMPUTED_VALUE"""),"Pathibhara,Pawakhola (Sankhuwasabha)")</f>
        <v>Pathibhara,Pawakhola (Sankhuwasabha)</v>
      </c>
    </row>
    <row r="25">
      <c r="A25" s="2">
        <f>IFERROR(__xludf.DUMMYFUNCTION("""COMPUTED_VALUE"""),24.0)</f>
        <v>24</v>
      </c>
      <c r="B25" s="2" t="str">
        <f>IFERROR(__xludf.DUMMYFUNCTION("""COMPUTED_VALUE"""),"Upper Trishuli-I Cascade HEP")</f>
        <v>Upper Trishuli-I Cascade HEP</v>
      </c>
      <c r="C25" s="2">
        <f>IFERROR(__xludf.DUMMYFUNCTION("""COMPUTED_VALUE"""),24.6)</f>
        <v>24.6</v>
      </c>
      <c r="D25" s="2" t="str">
        <f>IFERROR(__xludf.DUMMYFUNCTION("""COMPUTED_VALUE"""),"Trishuli Ganga")</f>
        <v>Trishuli Ganga</v>
      </c>
      <c r="E25" s="2">
        <f>IFERROR(__xludf.DUMMYFUNCTION("""COMPUTED_VALUE"""),8841.0)</f>
        <v>8841</v>
      </c>
      <c r="F25" s="3">
        <f>IFERROR(__xludf.DUMMYFUNCTION("""COMPUTED_VALUE"""),65783.0)</f>
        <v>65783</v>
      </c>
      <c r="G25" s="2" t="str">
        <f>IFERROR(__xludf.DUMMYFUNCTION("""COMPUTED_VALUE"""),"Trishuli Cascade Power Pvt. Ltd")</f>
        <v>Trishuli Cascade Power Pvt. Ltd</v>
      </c>
      <c r="H25" s="2"/>
      <c r="I25" s="2" t="str">
        <f>IFERROR(__xludf.DUMMYFUNCTION("""COMPUTED_VALUE"""),"28o 04' 15""")</f>
        <v>28o 04' 15"</v>
      </c>
      <c r="J25" s="2" t="str">
        <f>IFERROR(__xludf.DUMMYFUNCTION("""COMPUTED_VALUE"""),"28o 04' 27""")</f>
        <v>28o 04' 27"</v>
      </c>
      <c r="K25" s="2" t="str">
        <f>IFERROR(__xludf.DUMMYFUNCTION("""COMPUTED_VALUE"""),"85o 12' 15""")</f>
        <v>85o 12' 15"</v>
      </c>
      <c r="L25" s="2" t="str">
        <f>IFERROR(__xludf.DUMMYFUNCTION("""COMPUTED_VALUE"""),"85o 12' 50""")</f>
        <v>85o 12' 50"</v>
      </c>
      <c r="M25" s="2" t="str">
        <f>IFERROR(__xludf.DUMMYFUNCTION("""COMPUTED_VALUE"""),"Ramche,Haku,Dandagoun (Rasuwa)")</f>
        <v>Ramche,Haku,Dandagoun (Rasuwa)</v>
      </c>
    </row>
    <row r="26">
      <c r="A26" s="2">
        <f>IFERROR(__xludf.DUMMYFUNCTION("""COMPUTED_VALUE"""),25.0)</f>
        <v>25</v>
      </c>
      <c r="B26" s="2" t="str">
        <f>IFERROR(__xludf.DUMMYFUNCTION("""COMPUTED_VALUE"""),"Bheri-1 HEP")</f>
        <v>Bheri-1 HEP</v>
      </c>
      <c r="C26" s="2">
        <f>IFERROR(__xludf.DUMMYFUNCTION("""COMPUTED_VALUE"""),270.0)</f>
        <v>270</v>
      </c>
      <c r="D26" s="2" t="str">
        <f>IFERROR(__xludf.DUMMYFUNCTION("""COMPUTED_VALUE"""),"Bheri")</f>
        <v>Bheri</v>
      </c>
      <c r="E26" s="2">
        <f>IFERROR(__xludf.DUMMYFUNCTION("""COMPUTED_VALUE"""),8997.0)</f>
        <v>8997</v>
      </c>
      <c r="F26" s="3">
        <f>IFERROR(__xludf.DUMMYFUNCTION("""COMPUTED_VALUE"""),65790.0)</f>
        <v>65790</v>
      </c>
      <c r="G26" s="2" t="str">
        <f>IFERROR(__xludf.DUMMYFUNCTION("""COMPUTED_VALUE"""),"Gezhouba Group Power Investment Nepal Pvt. Ltd.")</f>
        <v>Gezhouba Group Power Investment Nepal Pvt. Ltd.</v>
      </c>
      <c r="H26" s="2" t="str">
        <f>IFERROR(__xludf.DUMMYFUNCTION("""COMPUTED_VALUE"""),"Chuchepati Kathmandu")</f>
        <v>Chuchepati Kathmandu</v>
      </c>
      <c r="I26" s="2" t="str">
        <f>IFERROR(__xludf.DUMMYFUNCTION("""COMPUTED_VALUE"""),"28o 52' 00""")</f>
        <v>28o 52' 00"</v>
      </c>
      <c r="J26" s="2" t="str">
        <f>IFERROR(__xludf.DUMMYFUNCTION("""COMPUTED_VALUE"""),"28o 57' 32""")</f>
        <v>28o 57' 32"</v>
      </c>
      <c r="K26" s="2" t="str">
        <f>IFERROR(__xludf.DUMMYFUNCTION("""COMPUTED_VALUE"""),"82o 26' 40""")</f>
        <v>82o 26' 40"</v>
      </c>
      <c r="L26" s="2" t="str">
        <f>IFERROR(__xludf.DUMMYFUNCTION("""COMPUTED_VALUE"""),"82o 31' 28""")</f>
        <v>82o 31' 28"</v>
      </c>
      <c r="M26" s="2" t="str">
        <f>IFERROR(__xludf.DUMMYFUNCTION("""COMPUTED_VALUE"""),"Bhagawati Tol,Ragda (Jajarkot) Gautamkot (Rukum)")</f>
        <v>Bhagawati Tol,Ragda (Jajarkot) Gautamkot (Rukum)</v>
      </c>
    </row>
    <row r="27">
      <c r="A27" s="2">
        <f>IFERROR(__xludf.DUMMYFUNCTION("""COMPUTED_VALUE"""),26.0)</f>
        <v>26</v>
      </c>
      <c r="B27" s="2" t="str">
        <f>IFERROR(__xludf.DUMMYFUNCTION("""COMPUTED_VALUE"""),"Mugu Karnali Storage HEP")</f>
        <v>Mugu Karnali Storage HEP</v>
      </c>
      <c r="C27" s="2">
        <f>IFERROR(__xludf.DUMMYFUNCTION("""COMPUTED_VALUE"""),1902.0)</f>
        <v>1902</v>
      </c>
      <c r="D27" s="2" t="str">
        <f>IFERROR(__xludf.DUMMYFUNCTION("""COMPUTED_VALUE"""),"Karnali")</f>
        <v>Karnali</v>
      </c>
      <c r="E27" s="2">
        <f>IFERROR(__xludf.DUMMYFUNCTION("""COMPUTED_VALUE"""),9771.0)</f>
        <v>9771</v>
      </c>
      <c r="F27" s="3">
        <f>IFERROR(__xludf.DUMMYFUNCTION("""COMPUTED_VALUE"""),65818.0)</f>
        <v>65818</v>
      </c>
      <c r="G27" s="2" t="str">
        <f>IFERROR(__xludf.DUMMYFUNCTION("""COMPUTED_VALUE"""),"Vidhyut Utpadan Company Limited")</f>
        <v>Vidhyut Utpadan Company Limited</v>
      </c>
      <c r="H27" s="2" t="str">
        <f>IFERROR(__xludf.DUMMYFUNCTION("""COMPUTED_VALUE"""),"Buddhanagar, Kathmandu 01-4788680")</f>
        <v>Buddhanagar, Kathmandu 01-4788680</v>
      </c>
      <c r="I27" s="2" t="str">
        <f>IFERROR(__xludf.DUMMYFUNCTION("""COMPUTED_VALUE"""),"29o 23' 43""")</f>
        <v>29o 23' 43"</v>
      </c>
      <c r="J27" s="2" t="str">
        <f>IFERROR(__xludf.DUMMYFUNCTION("""COMPUTED_VALUE"""),"29o 41' 22""")</f>
        <v>29o 41' 22"</v>
      </c>
      <c r="K27" s="2" t="str">
        <f>IFERROR(__xludf.DUMMYFUNCTION("""COMPUTED_VALUE"""),"81o 39' 14""")</f>
        <v>81o 39' 14"</v>
      </c>
      <c r="L27" s="2" t="str">
        <f>IFERROR(__xludf.DUMMYFUNCTION("""COMPUTED_VALUE"""),"81o 57' 13""")</f>
        <v>81o 57' 13"</v>
      </c>
      <c r="M27" s="2" t="str">
        <f>IFERROR(__xludf.DUMMYFUNCTION("""COMPUTED_VALUE"""),"Sappata,Rugin,Kotila,Kolti,Jukot,Jagannath,Baddhu,Bai (Bajura) Shree 
Nagar,Maila,Jaur (Humla) Sukhadhik,Rara Kale,Natharpu,Kot 
Danda,Hyanglung,Ghainakot (Mugu)")</f>
        <v>Sappata,Rugin,Kotila,Kolti,Jukot,Jagannath,Baddhu,Bai (Bajura) Shree 
Nagar,Maila,Jaur (Humla) Sukhadhik,Rara Kale,Natharpu,Kot 
Danda,Hyanglung,Ghainakot (Mugu)</v>
      </c>
    </row>
    <row r="28">
      <c r="A28" s="2">
        <f>IFERROR(__xludf.DUMMYFUNCTION("""COMPUTED_VALUE"""),27.0)</f>
        <v>27</v>
      </c>
      <c r="B28" s="2" t="str">
        <f>IFERROR(__xludf.DUMMYFUNCTION("""COMPUTED_VALUE"""),"Upper Apsuwa HEP")</f>
        <v>Upper Apsuwa HEP</v>
      </c>
      <c r="C28" s="2">
        <f>IFERROR(__xludf.DUMMYFUNCTION("""COMPUTED_VALUE"""),35.15)</f>
        <v>35.15</v>
      </c>
      <c r="D28" s="2" t="str">
        <f>IFERROR(__xludf.DUMMYFUNCTION("""COMPUTED_VALUE"""),"Apsuwa")</f>
        <v>Apsuwa</v>
      </c>
      <c r="E28" s="2">
        <f>IFERROR(__xludf.DUMMYFUNCTION("""COMPUTED_VALUE"""),451.0)</f>
        <v>451</v>
      </c>
      <c r="F28" s="3">
        <f>IFERROR(__xludf.DUMMYFUNCTION("""COMPUTED_VALUE"""),65850.0)</f>
        <v>65850</v>
      </c>
      <c r="G28" s="2" t="str">
        <f>IFERROR(__xludf.DUMMYFUNCTION("""COMPUTED_VALUE"""),"Ram Janaki Hydropower Pvt. Ltd")</f>
        <v>Ram Janaki Hydropower Pvt. Ltd</v>
      </c>
      <c r="H28" s="2" t="str">
        <f>IFERROR(__xludf.DUMMYFUNCTION("""COMPUTED_VALUE"""),"Kathmandu")</f>
        <v>Kathmandu</v>
      </c>
      <c r="I28" s="2" t="str">
        <f>IFERROR(__xludf.DUMMYFUNCTION("""COMPUTED_VALUE"""),"27o 33' 21""")</f>
        <v>27o 33' 21"</v>
      </c>
      <c r="J28" s="2" t="str">
        <f>IFERROR(__xludf.DUMMYFUNCTION("""COMPUTED_VALUE"""),"27o 34' 59""")</f>
        <v>27o 34' 59"</v>
      </c>
      <c r="K28" s="2" t="str">
        <f>IFERROR(__xludf.DUMMYFUNCTION("""COMPUTED_VALUE"""),"87o 09' 15""")</f>
        <v>87o 09' 15"</v>
      </c>
      <c r="L28" s="2" t="str">
        <f>IFERROR(__xludf.DUMMYFUNCTION("""COMPUTED_VALUE"""),"87o 10' 48""")</f>
        <v>87o 10' 48"</v>
      </c>
      <c r="M28" s="2" t="str">
        <f>IFERROR(__xludf.DUMMYFUNCTION("""COMPUTED_VALUE"""),"Makalu,Yafu (Sankhuwasabha)")</f>
        <v>Makalu,Yafu (Sankhuwasabha)</v>
      </c>
    </row>
    <row r="29">
      <c r="A29" s="2">
        <f>IFERROR(__xludf.DUMMYFUNCTION("""COMPUTED_VALUE"""),28.0)</f>
        <v>28</v>
      </c>
      <c r="B29" s="2" t="str">
        <f>IFERROR(__xludf.DUMMYFUNCTION("""COMPUTED_VALUE"""),"Garjan Khola Small HPP")</f>
        <v>Garjan Khola Small HPP</v>
      </c>
      <c r="C29" s="2">
        <f>IFERROR(__xludf.DUMMYFUNCTION("""COMPUTED_VALUE"""),0.9)</f>
        <v>0.9</v>
      </c>
      <c r="D29" s="2" t="str">
        <f>IFERROR(__xludf.DUMMYFUNCTION("""COMPUTED_VALUE"""),"Garjan Khola")</f>
        <v>Garjan Khola</v>
      </c>
      <c r="E29" s="2">
        <f>IFERROR(__xludf.DUMMYFUNCTION("""COMPUTED_VALUE"""),547.0)</f>
        <v>547</v>
      </c>
      <c r="F29" s="3">
        <f>IFERROR(__xludf.DUMMYFUNCTION("""COMPUTED_VALUE"""),65854.0)</f>
        <v>65854</v>
      </c>
      <c r="G29" s="2" t="str">
        <f>IFERROR(__xludf.DUMMYFUNCTION("""COMPUTED_VALUE"""),"Ice Land Power Pvt.ltd.")</f>
        <v>Ice Land Power Pvt.ltd.</v>
      </c>
      <c r="H29" s="2" t="str">
        <f>IFERROR(__xludf.DUMMYFUNCTION("""COMPUTED_VALUE"""),"Kathmandu-35,Jadibuti 4472160. 9843312689")</f>
        <v>Kathmandu-35,Jadibuti 4472160. 9843312689</v>
      </c>
      <c r="I29" s="2" t="str">
        <f>IFERROR(__xludf.DUMMYFUNCTION("""COMPUTED_VALUE"""),"27o 38' 42""")</f>
        <v>27o 38' 42"</v>
      </c>
      <c r="J29" s="2" t="str">
        <f>IFERROR(__xludf.DUMMYFUNCTION("""COMPUTED_VALUE"""),"27o 39' 15""")</f>
        <v>27o 39' 15"</v>
      </c>
      <c r="K29" s="2" t="str">
        <f>IFERROR(__xludf.DUMMYFUNCTION("""COMPUTED_VALUE"""),"86o 19' 27""")</f>
        <v>86o 19' 27"</v>
      </c>
      <c r="L29" s="2" t="str">
        <f>IFERROR(__xludf.DUMMYFUNCTION("""COMPUTED_VALUE"""),"86o 20' 50""")</f>
        <v>86o 20' 50"</v>
      </c>
      <c r="M29" s="2" t="str">
        <f>IFERROR(__xludf.DUMMYFUNCTION("""COMPUTED_VALUE"""),"Chuchure (Ramechhap)")</f>
        <v>Chuchure (Ramechhap)</v>
      </c>
    </row>
    <row r="30">
      <c r="A30" s="2">
        <f>IFERROR(__xludf.DUMMYFUNCTION("""COMPUTED_VALUE"""),29.0)</f>
        <v>29</v>
      </c>
      <c r="B30" s="2" t="str">
        <f>IFERROR(__xludf.DUMMYFUNCTION("""COMPUTED_VALUE"""),"Taksu Khola HEP")</f>
        <v>Taksu Khola HEP</v>
      </c>
      <c r="C30" s="2">
        <f>IFERROR(__xludf.DUMMYFUNCTION("""COMPUTED_VALUE"""),7.1)</f>
        <v>7.1</v>
      </c>
      <c r="D30" s="2" t="str">
        <f>IFERROR(__xludf.DUMMYFUNCTION("""COMPUTED_VALUE"""),"Taksu")</f>
        <v>Taksu</v>
      </c>
      <c r="E30" s="2">
        <f>IFERROR(__xludf.DUMMYFUNCTION("""COMPUTED_VALUE"""),701.0)</f>
        <v>701</v>
      </c>
      <c r="F30" s="3">
        <f>IFERROR(__xludf.DUMMYFUNCTION("""COMPUTED_VALUE"""),65864.0)</f>
        <v>65864</v>
      </c>
      <c r="G30" s="2" t="str">
        <f>IFERROR(__xludf.DUMMYFUNCTION("""COMPUTED_VALUE"""),"Nalgad Hydropower Company Limited")</f>
        <v>Nalgad Hydropower Company Limited</v>
      </c>
      <c r="H30" s="2" t="str">
        <f>IFERROR(__xludf.DUMMYFUNCTION("""COMPUTED_VALUE"""),"New Baneshwor")</f>
        <v>New Baneshwor</v>
      </c>
      <c r="I30" s="2" t="str">
        <f>IFERROR(__xludf.DUMMYFUNCTION("""COMPUTED_VALUE"""),"28o 52' 23""")</f>
        <v>28o 52' 23"</v>
      </c>
      <c r="J30" s="2" t="str">
        <f>IFERROR(__xludf.DUMMYFUNCTION("""COMPUTED_VALUE"""),"28o 53' 53""")</f>
        <v>28o 53' 53"</v>
      </c>
      <c r="K30" s="2" t="str">
        <f>IFERROR(__xludf.DUMMYFUNCTION("""COMPUTED_VALUE"""),"82o 26' 15""")</f>
        <v>82o 26' 15"</v>
      </c>
      <c r="L30" s="2" t="str">
        <f>IFERROR(__xludf.DUMMYFUNCTION("""COMPUTED_VALUE"""),"82o 27' 20""")</f>
        <v>82o 27' 20"</v>
      </c>
      <c r="M30" s="2" t="str">
        <f>IFERROR(__xludf.DUMMYFUNCTION("""COMPUTED_VALUE"""),"Ragda (Jajarkot)")</f>
        <v>Ragda (Jajarkot)</v>
      </c>
    </row>
    <row r="31">
      <c r="A31" s="2">
        <f>IFERROR(__xludf.DUMMYFUNCTION("""COMPUTED_VALUE"""),30.0)</f>
        <v>30</v>
      </c>
      <c r="B31" s="2" t="str">
        <f>IFERROR(__xludf.DUMMYFUNCTION("""COMPUTED_VALUE"""),"Dudhkoshi Storage HEP")</f>
        <v>Dudhkoshi Storage HEP</v>
      </c>
      <c r="C31" s="2">
        <f>IFERROR(__xludf.DUMMYFUNCTION("""COMPUTED_VALUE"""),600.0)</f>
        <v>600</v>
      </c>
      <c r="D31" s="2" t="str">
        <f>IFERROR(__xludf.DUMMYFUNCTION("""COMPUTED_VALUE"""),"Dudhkoshi")</f>
        <v>Dudhkoshi</v>
      </c>
      <c r="E31" s="2">
        <f>IFERROR(__xludf.DUMMYFUNCTION("""COMPUTED_VALUE"""),881.0)</f>
        <v>881</v>
      </c>
      <c r="F31" s="3">
        <f>IFERROR(__xludf.DUMMYFUNCTION("""COMPUTED_VALUE"""),65870.0)</f>
        <v>65870</v>
      </c>
      <c r="G31" s="2" t="str">
        <f>IFERROR(__xludf.DUMMYFUNCTION("""COMPUTED_VALUE"""),"Nepal Electricity Authority")</f>
        <v>Nepal Electricity Authority</v>
      </c>
      <c r="H31" s="2" t="str">
        <f>IFERROR(__xludf.DUMMYFUNCTION("""COMPUTED_VALUE"""),"Durbar Marg , Kathmandu")</f>
        <v>Durbar Marg , Kathmandu</v>
      </c>
      <c r="I31" s="2" t="str">
        <f>IFERROR(__xludf.DUMMYFUNCTION("""COMPUTED_VALUE"""),"27o 08' 00""")</f>
        <v>27o 08' 00"</v>
      </c>
      <c r="J31" s="2" t="str">
        <f>IFERROR(__xludf.DUMMYFUNCTION("""COMPUTED_VALUE"""),"27o 23' 52""")</f>
        <v>27o 23' 52"</v>
      </c>
      <c r="K31" s="2" t="str">
        <f>IFERROR(__xludf.DUMMYFUNCTION("""COMPUTED_VALUE"""),"86o 36' 00""")</f>
        <v>86o 36' 00"</v>
      </c>
      <c r="L31" s="2" t="str">
        <f>IFERROR(__xludf.DUMMYFUNCTION("""COMPUTED_VALUE"""),"86o 45' 00""")</f>
        <v>86o 45' 00"</v>
      </c>
      <c r="M31" s="2" t="str">
        <f>IFERROR(__xludf.DUMMYFUNCTION("""COMPUTED_VALUE"""),"Dumekoldada,Kharpa,Kuvinde,Lamidada,Dharapani,Hauchour (Khotang) 
Kuimir,Pokhare,Serna,Mamkha (Okhaldhunga) Panchan,Jubu (Solukhumbu)")</f>
        <v>Dumekoldada,Kharpa,Kuvinde,Lamidada,Dharapani,Hauchour (Khotang) 
Kuimir,Pokhare,Serna,Mamkha (Okhaldhunga) Panchan,Jubu (Solukhumbu)</v>
      </c>
    </row>
    <row r="32">
      <c r="A32" s="2">
        <f>IFERROR(__xludf.DUMMYFUNCTION("""COMPUTED_VALUE"""),31.0)</f>
        <v>31</v>
      </c>
      <c r="B32" s="2" t="str">
        <f>IFERROR(__xludf.DUMMYFUNCTION("""COMPUTED_VALUE"""),"Upper Bheri PROR HEP")</f>
        <v>Upper Bheri PROR HEP</v>
      </c>
      <c r="C32" s="2">
        <f>IFERROR(__xludf.DUMMYFUNCTION("""COMPUTED_VALUE"""),325.0)</f>
        <v>325</v>
      </c>
      <c r="D32" s="2" t="str">
        <f>IFERROR(__xludf.DUMMYFUNCTION("""COMPUTED_VALUE"""),"Thuli Bheri")</f>
        <v>Thuli Bheri</v>
      </c>
      <c r="E32" s="2">
        <f>IFERROR(__xludf.DUMMYFUNCTION("""COMPUTED_VALUE"""),1802.0)</f>
        <v>1802</v>
      </c>
      <c r="F32" s="2" t="str">
        <f>IFERROR(__xludf.DUMMYFUNCTION("""COMPUTED_VALUE"""),"2080-06-017")</f>
        <v>2080-06-017</v>
      </c>
      <c r="G32" s="2" t="str">
        <f>IFERROR(__xludf.DUMMYFUNCTION("""COMPUTED_VALUE"""),"Integrated Mobility Solutions P Ltd.")</f>
        <v>Integrated Mobility Solutions P Ltd.</v>
      </c>
      <c r="H32" s="2" t="str">
        <f>IFERROR(__xludf.DUMMYFUNCTION("""COMPUTED_VALUE"""),"KB Plaza Bhavan,Bina Marg, Laldarbar Kathmandu; info@ims.np.com, P.O.Box 
2516; Contact No. 01-4251545;")</f>
        <v>KB Plaza Bhavan,Bina Marg, Laldarbar Kathmandu; info@ims.np.com, P.O.Box 
2516; Contact No. 01-4251545;</v>
      </c>
      <c r="I32" s="2" t="str">
        <f>IFERROR(__xludf.DUMMYFUNCTION("""COMPUTED_VALUE"""),"28o 58' 00""")</f>
        <v>28o 58' 00"</v>
      </c>
      <c r="J32" s="2" t="str">
        <f>IFERROR(__xludf.DUMMYFUNCTION("""COMPUTED_VALUE"""),"29o 02' 32""")</f>
        <v>29o 02' 32"</v>
      </c>
      <c r="K32" s="2" t="str">
        <f>IFERROR(__xludf.DUMMYFUNCTION("""COMPUTED_VALUE"""),"82o 35' 00""")</f>
        <v>82o 35' 00"</v>
      </c>
      <c r="L32" s="2" t="str">
        <f>IFERROR(__xludf.DUMMYFUNCTION("""COMPUTED_VALUE"""),"82o 51' 20""")</f>
        <v>82o 51' 20"</v>
      </c>
      <c r="M32" s="2" t="str">
        <f>IFERROR(__xludf.DUMMYFUNCTION("""COMPUTED_VALUE"""),"Tripurakot,Jufal,Sunhoo,Likhu,Lawan,Kalika (Dolpa)")</f>
        <v>Tripurakot,Jufal,Sunhoo,Likhu,Lawan,Kalika (Dolpa)</v>
      </c>
    </row>
    <row r="33">
      <c r="A33" s="2">
        <f>IFERROR(__xludf.DUMMYFUNCTION("""COMPUTED_VALUE"""),32.0)</f>
        <v>32</v>
      </c>
      <c r="B33" s="2" t="str">
        <f>IFERROR(__xludf.DUMMYFUNCTION("""COMPUTED_VALUE"""),"Lower Inkhu HEP")</f>
        <v>Lower Inkhu HEP</v>
      </c>
      <c r="C33" s="2">
        <f>IFERROR(__xludf.DUMMYFUNCTION("""COMPUTED_VALUE"""),9.8)</f>
        <v>9.8</v>
      </c>
      <c r="D33" s="2" t="str">
        <f>IFERROR(__xludf.DUMMYFUNCTION("""COMPUTED_VALUE"""),"Inkhu")</f>
        <v>Inkhu</v>
      </c>
      <c r="E33" s="2">
        <f>IFERROR(__xludf.DUMMYFUNCTION("""COMPUTED_VALUE"""),1681.0)</f>
        <v>1681</v>
      </c>
      <c r="F33" s="3">
        <f>IFERROR(__xludf.DUMMYFUNCTION("""COMPUTED_VALUE"""),65907.0)</f>
        <v>65907</v>
      </c>
      <c r="G33" s="2" t="str">
        <f>IFERROR(__xludf.DUMMYFUNCTION("""COMPUTED_VALUE"""),"Inkhu Khola Hydropower Private Limited")</f>
        <v>Inkhu Khola Hydropower Private Limited</v>
      </c>
      <c r="H33" s="2" t="str">
        <f>IFERROR(__xludf.DUMMYFUNCTION("""COMPUTED_VALUE"""),"Kathmandu, Nepal")</f>
        <v>Kathmandu, Nepal</v>
      </c>
      <c r="I33" s="2" t="str">
        <f>IFERROR(__xludf.DUMMYFUNCTION("""COMPUTED_VALUE"""),"27o 27' 30""")</f>
        <v>27o 27' 30"</v>
      </c>
      <c r="J33" s="2" t="str">
        <f>IFERROR(__xludf.DUMMYFUNCTION("""COMPUTED_VALUE"""),"27o 29' 30""")</f>
        <v>27o 29' 30"</v>
      </c>
      <c r="K33" s="2" t="str">
        <f>IFERROR(__xludf.DUMMYFUNCTION("""COMPUTED_VALUE"""),"86o 43' 30""")</f>
        <v>86o 43' 30"</v>
      </c>
      <c r="L33" s="2" t="str">
        <f>IFERROR(__xludf.DUMMYFUNCTION("""COMPUTED_VALUE"""),"86o 44' 00""")</f>
        <v>86o 44' 00"</v>
      </c>
      <c r="M33" s="2" t="str">
        <f>IFERROR(__xludf.DUMMYFUNCTION("""COMPUTED_VALUE"""),"Sautang (Solukhumbu)")</f>
        <v>Sautang (Solukhumbu)</v>
      </c>
    </row>
    <row r="34">
      <c r="A34" s="2">
        <f>IFERROR(__xludf.DUMMYFUNCTION("""COMPUTED_VALUE"""),33.0)</f>
        <v>33</v>
      </c>
      <c r="B34" s="2" t="str">
        <f>IFERROR(__xludf.DUMMYFUNCTION("""COMPUTED_VALUE"""),"Upper Ruru Banchu Khola HEP")</f>
        <v>Upper Ruru Banchu Khola HEP</v>
      </c>
      <c r="C34" s="2">
        <f>IFERROR(__xludf.DUMMYFUNCTION("""COMPUTED_VALUE"""),23.9)</f>
        <v>23.9</v>
      </c>
      <c r="D34" s="2" t="str">
        <f>IFERROR(__xludf.DUMMYFUNCTION("""COMPUTED_VALUE"""),"Rurubanchu Khola")</f>
        <v>Rurubanchu Khola</v>
      </c>
      <c r="E34" s="2">
        <f>IFERROR(__xludf.DUMMYFUNCTION("""COMPUTED_VALUE"""),3654.0)</f>
        <v>3654</v>
      </c>
      <c r="F34" s="3">
        <f>IFERROR(__xludf.DUMMYFUNCTION("""COMPUTED_VALUE"""),66014.0)</f>
        <v>66014</v>
      </c>
      <c r="G34" s="2" t="str">
        <f>IFERROR(__xludf.DUMMYFUNCTION("""COMPUTED_VALUE"""),"Rurugad Power Company Pvt.Ltd.")</f>
        <v>Rurugad Power Company Pvt.Ltd.</v>
      </c>
      <c r="H34" s="2" t="str">
        <f>IFERROR(__xludf.DUMMYFUNCTION("""COMPUTED_VALUE"""),"Budanilkantha-3, Kathmandu,9851029813")</f>
        <v>Budanilkantha-3, Kathmandu,9851029813</v>
      </c>
      <c r="I34" s="2" t="str">
        <f>IFERROR(__xludf.DUMMYFUNCTION("""COMPUTED_VALUE"""),"29o 05' 37""")</f>
        <v>29o 05' 37"</v>
      </c>
      <c r="J34" s="2" t="str">
        <f>IFERROR(__xludf.DUMMYFUNCTION("""COMPUTED_VALUE"""),"29o 06' 54""")</f>
        <v>29o 06' 54"</v>
      </c>
      <c r="K34" s="2" t="str">
        <f>IFERROR(__xludf.DUMMYFUNCTION("""COMPUTED_VALUE"""),"81o 48' 05""")</f>
        <v>81o 48' 05"</v>
      </c>
      <c r="L34" s="2" t="str">
        <f>IFERROR(__xludf.DUMMYFUNCTION("""COMPUTED_VALUE"""),"81o 53' 00""")</f>
        <v>81o 53' 00"</v>
      </c>
      <c r="M34" s="2" t="str">
        <f>IFERROR(__xludf.DUMMYFUNCTION("""COMPUTED_VALUE"""),"Chilkhaya (Kalikot)")</f>
        <v>Chilkhaya (Kalikot)</v>
      </c>
    </row>
    <row r="35">
      <c r="A35" s="2">
        <f>IFERROR(__xludf.DUMMYFUNCTION("""COMPUTED_VALUE"""),34.0)</f>
        <v>34</v>
      </c>
      <c r="B35" s="2" t="str">
        <f>IFERROR(__xludf.DUMMYFUNCTION("""COMPUTED_VALUE"""),"Chuwa Khola Cascade HPP")</f>
        <v>Chuwa Khola Cascade HPP</v>
      </c>
      <c r="C35" s="2">
        <f>IFERROR(__xludf.DUMMYFUNCTION("""COMPUTED_VALUE"""),98.17)</f>
        <v>98.17</v>
      </c>
      <c r="D35" s="2" t="str">
        <f>IFERROR(__xludf.DUMMYFUNCTION("""COMPUTED_VALUE"""),"Chuwa Khola")</f>
        <v>Chuwa Khola</v>
      </c>
      <c r="E35" s="2">
        <f>IFERROR(__xludf.DUMMYFUNCTION("""COMPUTED_VALUE"""),3787.0)</f>
        <v>3787</v>
      </c>
      <c r="F35" s="3">
        <f>IFERROR(__xludf.DUMMYFUNCTION("""COMPUTED_VALUE"""),66022.0)</f>
        <v>66022</v>
      </c>
      <c r="G35" s="2" t="str">
        <f>IFERROR(__xludf.DUMMYFUNCTION("""COMPUTED_VALUE"""),"Bizbell Energy Private Limited")</f>
        <v>Bizbell Energy Private Limited</v>
      </c>
      <c r="H35" s="2" t="str">
        <f>IFERROR(__xludf.DUMMYFUNCTION("""COMPUTED_VALUE"""),"Kathmandu Metropolitan City-31")</f>
        <v>Kathmandu Metropolitan City-31</v>
      </c>
      <c r="I35" s="2" t="str">
        <f>IFERROR(__xludf.DUMMYFUNCTION("""COMPUTED_VALUE"""),"29o 56' 30""")</f>
        <v>29o 56' 30"</v>
      </c>
      <c r="J35" s="2" t="str">
        <f>IFERROR(__xludf.DUMMYFUNCTION("""COMPUTED_VALUE"""),"29o 57' 45""")</f>
        <v>29o 57' 45"</v>
      </c>
      <c r="K35" s="2" t="str">
        <f>IFERROR(__xludf.DUMMYFUNCTION("""COMPUTED_VALUE"""),"81o 51' 30""")</f>
        <v>81o 51' 30"</v>
      </c>
      <c r="L35" s="2" t="str">
        <f>IFERROR(__xludf.DUMMYFUNCTION("""COMPUTED_VALUE"""),"81o 55' 52""")</f>
        <v>81o 55' 52"</v>
      </c>
      <c r="M35" s="2" t="str">
        <f>IFERROR(__xludf.DUMMYFUNCTION("""COMPUTED_VALUE"""),"Bargaun,Kharpunath,Thechaya (Humla)")</f>
        <v>Bargaun,Kharpunath,Thechaya (Humla)</v>
      </c>
    </row>
    <row r="36">
      <c r="A36" s="2">
        <f>IFERROR(__xludf.DUMMYFUNCTION("""COMPUTED_VALUE"""),35.0)</f>
        <v>35</v>
      </c>
      <c r="B36" s="2" t="str">
        <f>IFERROR(__xludf.DUMMYFUNCTION("""COMPUTED_VALUE"""),"Upper Mugu Karnali HEP")</f>
        <v>Upper Mugu Karnali HEP</v>
      </c>
      <c r="C36" s="2">
        <f>IFERROR(__xludf.DUMMYFUNCTION("""COMPUTED_VALUE"""),306.0)</f>
        <v>306</v>
      </c>
      <c r="D36" s="2" t="str">
        <f>IFERROR(__xludf.DUMMYFUNCTION("""COMPUTED_VALUE"""),"Mugu Karnali")</f>
        <v>Mugu Karnali</v>
      </c>
      <c r="E36" s="2">
        <f>IFERROR(__xludf.DUMMYFUNCTION("""COMPUTED_VALUE"""),4359.0)</f>
        <v>4359</v>
      </c>
      <c r="F36" s="3">
        <f>IFERROR(__xludf.DUMMYFUNCTION("""COMPUTED_VALUE"""),66045.0)</f>
        <v>66045</v>
      </c>
      <c r="G36" s="2" t="str">
        <f>IFERROR(__xludf.DUMMYFUNCTION("""COMPUTED_VALUE"""),"Elevate Energy Pvt. Ltd")</f>
        <v>Elevate Energy Pvt. Ltd</v>
      </c>
      <c r="H36" s="2" t="str">
        <f>IFERROR(__xludf.DUMMYFUNCTION("""COMPUTED_VALUE"""),"Kathmandu 11, email: sushil.utc@gmail.com, Contact No. 01-4224308")</f>
        <v>Kathmandu 11, email: sushil.utc@gmail.com, Contact No. 01-4224308</v>
      </c>
      <c r="I36" s="2" t="str">
        <f>IFERROR(__xludf.DUMMYFUNCTION("""COMPUTED_VALUE"""),"29o 32' 46""")</f>
        <v>29o 32' 46"</v>
      </c>
      <c r="J36" s="2" t="str">
        <f>IFERROR(__xludf.DUMMYFUNCTION("""COMPUTED_VALUE"""),"29o 35' 50""")</f>
        <v>29o 35' 50"</v>
      </c>
      <c r="K36" s="2" t="str">
        <f>IFERROR(__xludf.DUMMYFUNCTION("""COMPUTED_VALUE"""),"82o 13' 45""")</f>
        <v>82o 13' 45"</v>
      </c>
      <c r="L36" s="2" t="str">
        <f>IFERROR(__xludf.DUMMYFUNCTION("""COMPUTED_VALUE"""),"82o 25' 54""")</f>
        <v>82o 25' 54"</v>
      </c>
      <c r="M36" s="2" t="str">
        <f>IFERROR(__xludf.DUMMYFUNCTION("""COMPUTED_VALUE"""),"Mangri,Pulu,Rowa (Mugu)")</f>
        <v>Mangri,Pulu,Rowa (Mugu)</v>
      </c>
    </row>
    <row r="37">
      <c r="A37" s="2">
        <f>IFERROR(__xludf.DUMMYFUNCTION("""COMPUTED_VALUE"""),36.0)</f>
        <v>36</v>
      </c>
      <c r="B37" s="2" t="str">
        <f>IFERROR(__xludf.DUMMYFUNCTION("""COMPUTED_VALUE"""),"Dudhkoshi Storage (with Dam - Toe Powerhouse) Hydropower Pro")</f>
        <v>Dudhkoshi Storage (with Dam - Toe Powerhouse) Hydropower Pro</v>
      </c>
      <c r="C37" s="2">
        <f>IFERROR(__xludf.DUMMYFUNCTION("""COMPUTED_VALUE"""),70.0)</f>
        <v>70</v>
      </c>
      <c r="D37" s="2" t="str">
        <f>IFERROR(__xludf.DUMMYFUNCTION("""COMPUTED_VALUE"""),"Dudhkoshi")</f>
        <v>Dudhkoshi</v>
      </c>
      <c r="E37" s="2">
        <f>IFERROR(__xludf.DUMMYFUNCTION("""COMPUTED_VALUE"""),2779.0)</f>
        <v>2779</v>
      </c>
      <c r="F37" s="3">
        <f>IFERROR(__xludf.DUMMYFUNCTION("""COMPUTED_VALUE"""),66306.0)</f>
        <v>66306</v>
      </c>
      <c r="G37" s="2" t="str">
        <f>IFERROR(__xludf.DUMMYFUNCTION("""COMPUTED_VALUE"""),"Nepal Electricity Authority")</f>
        <v>Nepal Electricity Authority</v>
      </c>
      <c r="H37" s="2" t="str">
        <f>IFERROR(__xludf.DUMMYFUNCTION("""COMPUTED_VALUE"""),"Durbar Marg , Kathmandu")</f>
        <v>Durbar Marg , Kathmandu</v>
      </c>
      <c r="I37" s="2" t="str">
        <f>IFERROR(__xludf.DUMMYFUNCTION("""COMPUTED_VALUE"""),"27o 08' 00""")</f>
        <v>27o 08' 00"</v>
      </c>
      <c r="J37" s="2" t="str">
        <f>IFERROR(__xludf.DUMMYFUNCTION("""COMPUTED_VALUE"""),"27o 23' 52""")</f>
        <v>27o 23' 52"</v>
      </c>
      <c r="K37" s="2" t="str">
        <f>IFERROR(__xludf.DUMMYFUNCTION("""COMPUTED_VALUE"""),"86o 36' 00""")</f>
        <v>86o 36' 00"</v>
      </c>
      <c r="L37" s="2" t="str">
        <f>IFERROR(__xludf.DUMMYFUNCTION("""COMPUTED_VALUE"""),"86o 45' 00""")</f>
        <v>86o 45' 00"</v>
      </c>
      <c r="M37" s="2" t="str">
        <f>IFERROR(__xludf.DUMMYFUNCTION("""COMPUTED_VALUE"""),"Lamidada (Khotang) Diyale (Okhaldhunga) Jubu,Panchan (Solukhumbu)")</f>
        <v>Lamidada (Khotang) Diyale (Okhaldhunga) Jubu,Panchan (Solukhumbu)</v>
      </c>
    </row>
    <row r="38">
      <c r="A38" s="2">
        <f>IFERROR(__xludf.DUMMYFUNCTION("""COMPUTED_VALUE"""),37.0)</f>
        <v>37</v>
      </c>
      <c r="B38" s="2" t="str">
        <f>IFERROR(__xludf.DUMMYFUNCTION("""COMPUTED_VALUE"""),"Upper Chuwa Lurupya Khola PRoR HEP")</f>
        <v>Upper Chuwa Lurupya Khola PRoR HEP</v>
      </c>
      <c r="C38" s="2">
        <f>IFERROR(__xludf.DUMMYFUNCTION("""COMPUTED_VALUE"""),110.2)</f>
        <v>110.2</v>
      </c>
      <c r="D38" s="2" t="str">
        <f>IFERROR(__xludf.DUMMYFUNCTION("""COMPUTED_VALUE"""),"Chuwa, Lurupya")</f>
        <v>Chuwa, Lurupya</v>
      </c>
      <c r="E38" s="2">
        <f>IFERROR(__xludf.DUMMYFUNCTION("""COMPUTED_VALUE"""),3786.0)</f>
        <v>3786</v>
      </c>
      <c r="F38" s="3">
        <f>IFERROR(__xludf.DUMMYFUNCTION("""COMPUTED_VALUE"""),66350.0)</f>
        <v>66350</v>
      </c>
      <c r="G38" s="2" t="str">
        <f>IFERROR(__xludf.DUMMYFUNCTION("""COMPUTED_VALUE"""),"Nepal Portfoliyo Energy Pvt. Ltd")</f>
        <v>Nepal Portfoliyo Energy Pvt. Ltd</v>
      </c>
      <c r="H38" s="2" t="str">
        <f>IFERROR(__xludf.DUMMYFUNCTION("""COMPUTED_VALUE"""),"Ka.Ma.Na.Pa-10, Kathmandu")</f>
        <v>Ka.Ma.Na.Pa-10, Kathmandu</v>
      </c>
      <c r="I38" s="2" t="str">
        <f>IFERROR(__xludf.DUMMYFUNCTION("""COMPUTED_VALUE"""),"29o 55' 50""")</f>
        <v>29o 55' 50"</v>
      </c>
      <c r="J38" s="2" t="str">
        <f>IFERROR(__xludf.DUMMYFUNCTION("""COMPUTED_VALUE"""),"29o 59' 00""")</f>
        <v>29o 59' 00"</v>
      </c>
      <c r="K38" s="2" t="str">
        <f>IFERROR(__xludf.DUMMYFUNCTION("""COMPUTED_VALUE"""),"81o 55' 52""")</f>
        <v>81o 55' 52"</v>
      </c>
      <c r="L38" s="2" t="str">
        <f>IFERROR(__xludf.DUMMYFUNCTION("""COMPUTED_VALUE"""),"81o 58' 50""")</f>
        <v>81o 58' 50"</v>
      </c>
      <c r="M38" s="2" t="str">
        <f>IFERROR(__xludf.DUMMYFUNCTION("""COMPUTED_VALUE"""),"Kharpunath,Thechaya (Humla)")</f>
        <v>Kharpunath,Thechaya (Humla)</v>
      </c>
    </row>
    <row r="39">
      <c r="A39" s="2">
        <f>IFERROR(__xludf.DUMMYFUNCTION("""COMPUTED_VALUE"""),38.0)</f>
        <v>38</v>
      </c>
      <c r="B39" s="2" t="str">
        <f>IFERROR(__xludf.DUMMYFUNCTION("""COMPUTED_VALUE"""),"Api Naugad HEP")</f>
        <v>Api Naugad HEP</v>
      </c>
      <c r="C39" s="2">
        <f>IFERROR(__xludf.DUMMYFUNCTION("""COMPUTED_VALUE"""),4.84)</f>
        <v>4.84</v>
      </c>
      <c r="D39" s="2" t="str">
        <f>IFERROR(__xludf.DUMMYFUNCTION("""COMPUTED_VALUE"""),"Naugad")</f>
        <v>Naugad</v>
      </c>
      <c r="E39" s="2">
        <f>IFERROR(__xludf.DUMMYFUNCTION("""COMPUTED_VALUE"""),4330.0)</f>
        <v>4330</v>
      </c>
      <c r="F39" s="3">
        <f>IFERROR(__xludf.DUMMYFUNCTION("""COMPUTED_VALUE"""),66373.0)</f>
        <v>66373</v>
      </c>
      <c r="G39" s="2" t="str">
        <f>IFERROR(__xludf.DUMMYFUNCTION("""COMPUTED_VALUE"""),"Mid Alpine Hydropower Pvt. Ltd.")</f>
        <v>Mid Alpine Hydropower Pvt. Ltd.</v>
      </c>
      <c r="H39" s="2" t="str">
        <f>IFERROR(__xludf.DUMMYFUNCTION("""COMPUTED_VALUE"""),"Thasikhel, Lalitpur, 01-5193357, malpinehydro@gmail.com")</f>
        <v>Thasikhel, Lalitpur, 01-5193357, malpinehydro@gmail.com</v>
      </c>
      <c r="I39" s="2" t="str">
        <f>IFERROR(__xludf.DUMMYFUNCTION("""COMPUTED_VALUE"""),"29o 48' 40""")</f>
        <v>29o 48' 40"</v>
      </c>
      <c r="J39" s="2" t="str">
        <f>IFERROR(__xludf.DUMMYFUNCTION("""COMPUTED_VALUE"""),"29o 49' 35""")</f>
        <v>29o 49' 35"</v>
      </c>
      <c r="K39" s="2" t="str">
        <f>IFERROR(__xludf.DUMMYFUNCTION("""COMPUTED_VALUE"""),"80o 40' 00""")</f>
        <v>80o 40' 00"</v>
      </c>
      <c r="L39" s="2" t="str">
        <f>IFERROR(__xludf.DUMMYFUNCTION("""COMPUTED_VALUE"""),"80o 41' 03""")</f>
        <v>80o 41' 03"</v>
      </c>
      <c r="M39" s="2" t="str">
        <f>IFERROR(__xludf.DUMMYFUNCTION("""COMPUTED_VALUE"""),"Dhuligada (Darchula)")</f>
        <v>Dhuligada (Darchula)</v>
      </c>
    </row>
    <row r="40">
      <c r="A40" s="2">
        <f>IFERROR(__xludf.DUMMYFUNCTION("""COMPUTED_VALUE"""),39.0)</f>
        <v>39</v>
      </c>
      <c r="B40" s="2" t="str">
        <f>IFERROR(__xludf.DUMMYFUNCTION("""COMPUTED_VALUE"""),"Middle Ghunsa HEP")</f>
        <v>Middle Ghunsa HEP</v>
      </c>
      <c r="C40" s="2">
        <f>IFERROR(__xludf.DUMMYFUNCTION("""COMPUTED_VALUE"""),30.24)</f>
        <v>30.24</v>
      </c>
      <c r="D40" s="2" t="str">
        <f>IFERROR(__xludf.DUMMYFUNCTION("""COMPUTED_VALUE"""),"Ghunsa Khola")</f>
        <v>Ghunsa Khola</v>
      </c>
      <c r="E40" s="2">
        <f>IFERROR(__xludf.DUMMYFUNCTION("""COMPUTED_VALUE"""),6314.0)</f>
        <v>6314</v>
      </c>
      <c r="F40" s="3">
        <f>IFERROR(__xludf.DUMMYFUNCTION("""COMPUTED_VALUE"""),66440.0)</f>
        <v>66440</v>
      </c>
      <c r="G40" s="2" t="str">
        <f>IFERROR(__xludf.DUMMYFUNCTION("""COMPUTED_VALUE"""),"Atlas Energy Pvt. Ltd")</f>
        <v>Atlas Energy Pvt. Ltd</v>
      </c>
      <c r="H40" s="2" t="str">
        <f>IFERROR(__xludf.DUMMYFUNCTION("""COMPUTED_VALUE"""),"Ka.Ma.Pa-3, 01-4003050, 4003060")</f>
        <v>Ka.Ma.Pa-3, 01-4003050, 4003060</v>
      </c>
      <c r="I40" s="2" t="str">
        <f>IFERROR(__xludf.DUMMYFUNCTION("""COMPUTED_VALUE"""),"27o 33' 23""")</f>
        <v>27o 33' 23"</v>
      </c>
      <c r="J40" s="2" t="str">
        <f>IFERROR(__xludf.DUMMYFUNCTION("""COMPUTED_VALUE"""),"27o 34' 00""")</f>
        <v>27o 34' 00"</v>
      </c>
      <c r="K40" s="2" t="str">
        <f>IFERROR(__xludf.DUMMYFUNCTION("""COMPUTED_VALUE"""),"87o 51' 18""")</f>
        <v>87o 51' 18"</v>
      </c>
      <c r="L40" s="2" t="str">
        <f>IFERROR(__xludf.DUMMYFUNCTION("""COMPUTED_VALUE"""),"87o 52' 52""")</f>
        <v>87o 52' 52"</v>
      </c>
      <c r="M40" s="2" t="str">
        <f>IFERROR(__xludf.DUMMYFUNCTION("""COMPUTED_VALUE"""),"Lelep,Tapethok (Taplejung)")</f>
        <v>Lelep,Tapethok (Taplejung)</v>
      </c>
    </row>
    <row r="41">
      <c r="A41" s="2">
        <f>IFERROR(__xludf.DUMMYFUNCTION("""COMPUTED_VALUE"""),40.0)</f>
        <v>40</v>
      </c>
      <c r="B41" s="2" t="str">
        <f>IFERROR(__xludf.DUMMYFUNCTION("""COMPUTED_VALUE"""),"Jagdulla A HEP")</f>
        <v>Jagdulla A HEP</v>
      </c>
      <c r="C41" s="2">
        <f>IFERROR(__xludf.DUMMYFUNCTION("""COMPUTED_VALUE"""),124.35)</f>
        <v>124.35</v>
      </c>
      <c r="D41" s="2" t="str">
        <f>IFERROR(__xludf.DUMMYFUNCTION("""COMPUTED_VALUE"""),"Bheri")</f>
        <v>Bheri</v>
      </c>
      <c r="E41" s="2">
        <f>IFERROR(__xludf.DUMMYFUNCTION("""COMPUTED_VALUE"""),10281.0)</f>
        <v>10281</v>
      </c>
      <c r="F41" s="3">
        <f>IFERROR(__xludf.DUMMYFUNCTION("""COMPUTED_VALUE"""),66552.0)</f>
        <v>66552</v>
      </c>
      <c r="G41" s="2" t="str">
        <f>IFERROR(__xludf.DUMMYFUNCTION("""COMPUTED_VALUE"""),"Jagdulla HydropowerCompany Limited")</f>
        <v>Jagdulla HydropowerCompany Limited</v>
      </c>
      <c r="H41" s="2" t="str">
        <f>IFERROR(__xludf.DUMMYFUNCTION("""COMPUTED_VALUE"""),"BPC Building, Rudramati Marga BUddhanagar, Kathmandu 01-4788680")</f>
        <v>BPC Building, Rudramati Marga BUddhanagar, Kathmandu 01-4788680</v>
      </c>
      <c r="I41" s="2" t="str">
        <f>IFERROR(__xludf.DUMMYFUNCTION("""COMPUTED_VALUE"""),"28o 57' 34""")</f>
        <v>28o 57' 34"</v>
      </c>
      <c r="J41" s="2" t="str">
        <f>IFERROR(__xludf.DUMMYFUNCTION("""COMPUTED_VALUE"""),"29o 04' 22""")</f>
        <v>29o 04' 22"</v>
      </c>
      <c r="K41" s="2" t="str">
        <f>IFERROR(__xludf.DUMMYFUNCTION("""COMPUTED_VALUE"""),"82o 30' 54""")</f>
        <v>82o 30' 54"</v>
      </c>
      <c r="L41" s="2" t="str">
        <f>IFERROR(__xludf.DUMMYFUNCTION("""COMPUTED_VALUE"""),"82o 36' 00""")</f>
        <v>82o 36' 00"</v>
      </c>
      <c r="M41" s="2" t="str">
        <f>IFERROR(__xludf.DUMMYFUNCTION("""COMPUTED_VALUE"""),"Kalika,Narku (Dolpa) Bhagawati Tol (Jajarkot)")</f>
        <v>Kalika,Narku (Dolpa) Bhagawati Tol (Jajarkot)</v>
      </c>
    </row>
    <row r="42">
      <c r="A42" s="2">
        <f>IFERROR(__xludf.DUMMYFUNCTION("""COMPUTED_VALUE"""),41.0)</f>
        <v>41</v>
      </c>
      <c r="B42" s="2" t="str">
        <f>IFERROR(__xludf.DUMMYFUNCTION("""COMPUTED_VALUE"""),"Mathillo Chhumchhum Gad Hydropower Project")</f>
        <v>Mathillo Chhumchhum Gad Hydropower Project</v>
      </c>
      <c r="C42" s="2">
        <f>IFERROR(__xludf.DUMMYFUNCTION("""COMPUTED_VALUE"""),10.0)</f>
        <v>10</v>
      </c>
      <c r="D42" s="2" t="str">
        <f>IFERROR(__xludf.DUMMYFUNCTION("""COMPUTED_VALUE"""),"Chhumchhum gad")</f>
        <v>Chhumchhum gad</v>
      </c>
      <c r="E42" s="2">
        <f>IFERROR(__xludf.DUMMYFUNCTION("""COMPUTED_VALUE"""),10475.0)</f>
        <v>10475</v>
      </c>
      <c r="F42" s="3">
        <f>IFERROR(__xludf.DUMMYFUNCTION("""COMPUTED_VALUE"""),66555.0)</f>
        <v>66555</v>
      </c>
      <c r="G42" s="2" t="str">
        <f>IFERROR(__xludf.DUMMYFUNCTION("""COMPUTED_VALUE"""),"Western Himalayan Power Private Limited")</f>
        <v>Western Himalayan Power Private Limited</v>
      </c>
      <c r="H42" s="2" t="str">
        <f>IFERROR(__xludf.DUMMYFUNCTION("""COMPUTED_VALUE"""),"KMC-05, Kathmandu")</f>
        <v>KMC-05, Kathmandu</v>
      </c>
      <c r="I42" s="2" t="str">
        <f>IFERROR(__xludf.DUMMYFUNCTION("""COMPUTED_VALUE"""),"29o 48' 31""")</f>
        <v>29o 48' 31"</v>
      </c>
      <c r="J42" s="2" t="str">
        <f>IFERROR(__xludf.DUMMYFUNCTION("""COMPUTED_VALUE"""),"29o 49' 47""")</f>
        <v>29o 49' 47"</v>
      </c>
      <c r="K42" s="2" t="str">
        <f>IFERROR(__xludf.DUMMYFUNCTION("""COMPUTED_VALUE"""),"80o 49' 38""")</f>
        <v>80o 49' 38"</v>
      </c>
      <c r="L42" s="2" t="str">
        <f>IFERROR(__xludf.DUMMYFUNCTION("""COMPUTED_VALUE"""),"80o 50' 42""")</f>
        <v>80o 50' 42"</v>
      </c>
      <c r="M42" s="2" t="str">
        <f>IFERROR(__xludf.DUMMYFUNCTION("""COMPUTED_VALUE"""),"Ghusa (Darchula)")</f>
        <v>Ghusa (Darchula)</v>
      </c>
    </row>
    <row r="43">
      <c r="A43" s="2">
        <f>IFERROR(__xludf.DUMMYFUNCTION("""COMPUTED_VALUE"""),42.0)</f>
        <v>42</v>
      </c>
      <c r="B43" s="2" t="str">
        <f>IFERROR(__xludf.DUMMYFUNCTION("""COMPUTED_VALUE"""),"Sirsagad Small HEP")</f>
        <v>Sirsagad Small HEP</v>
      </c>
      <c r="C43" s="2">
        <f>IFERROR(__xludf.DUMMYFUNCTION("""COMPUTED_VALUE"""),2.5)</f>
        <v>2.5</v>
      </c>
      <c r="D43" s="2" t="str">
        <f>IFERROR(__xludf.DUMMYFUNCTION("""COMPUTED_VALUE"""),"Sirsagad")</f>
        <v>Sirsagad</v>
      </c>
      <c r="E43" s="2">
        <f>IFERROR(__xludf.DUMMYFUNCTION("""COMPUTED_VALUE"""),242.0)</f>
        <v>242</v>
      </c>
      <c r="F43" s="3">
        <f>IFERROR(__xludf.DUMMYFUNCTION("""COMPUTED_VALUE"""),66572.0)</f>
        <v>66572</v>
      </c>
      <c r="G43" s="2" t="str">
        <f>IFERROR(__xludf.DUMMYFUNCTION("""COMPUTED_VALUE"""),"Durgathali Power Company Pvt. Ltd")</f>
        <v>Durgathali Power Company Pvt. Ltd</v>
      </c>
      <c r="H43" s="2" t="str">
        <f>IFERROR(__xludf.DUMMYFUNCTION("""COMPUTED_VALUE"""),"Bhimdutta Municipality, Ward no.: 6, Kanchanpur Contact No. 9868429797")</f>
        <v>Bhimdutta Municipality, Ward no.: 6, Kanchanpur Contact No. 9868429797</v>
      </c>
      <c r="I43" s="2" t="str">
        <f>IFERROR(__xludf.DUMMYFUNCTION("""COMPUTED_VALUE"""),"29o 09' 11""")</f>
        <v>29o 09' 11"</v>
      </c>
      <c r="J43" s="2" t="str">
        <f>IFERROR(__xludf.DUMMYFUNCTION("""COMPUTED_VALUE"""),"29o 10' 52""")</f>
        <v>29o 10' 52"</v>
      </c>
      <c r="K43" s="2" t="str">
        <f>IFERROR(__xludf.DUMMYFUNCTION("""COMPUTED_VALUE"""),"80o 20' 35""")</f>
        <v>80o 20' 35"</v>
      </c>
      <c r="L43" s="2" t="str">
        <f>IFERROR(__xludf.DUMMYFUNCTION("""COMPUTED_VALUE"""),"80o 21' 59""")</f>
        <v>80o 21' 59"</v>
      </c>
      <c r="M43" s="2" t="str">
        <f>IFERROR(__xludf.DUMMYFUNCTION("""COMPUTED_VALUE"""),"Sirsha (Dadeldhura)")</f>
        <v>Sirsha (Dadeldhura)</v>
      </c>
    </row>
    <row r="44">
      <c r="A44" s="2">
        <f>IFERROR(__xludf.DUMMYFUNCTION("""COMPUTED_VALUE"""),43.0)</f>
        <v>43</v>
      </c>
      <c r="B44" s="2" t="str">
        <f>IFERROR(__xludf.DUMMYFUNCTION("""COMPUTED_VALUE"""),"Lower Mewa Khola Hydropower Project")</f>
        <v>Lower Mewa Khola Hydropower Project</v>
      </c>
      <c r="C44" s="2">
        <f>IFERROR(__xludf.DUMMYFUNCTION("""COMPUTED_VALUE"""),6.63)</f>
        <v>6.63</v>
      </c>
      <c r="D44" s="2" t="str">
        <f>IFERROR(__xludf.DUMMYFUNCTION("""COMPUTED_VALUE"""),"Mewa Khola")</f>
        <v>Mewa Khola</v>
      </c>
      <c r="E44" s="2">
        <f>IFERROR(__xludf.DUMMYFUNCTION("""COMPUTED_VALUE"""),2543.0)</f>
        <v>2543</v>
      </c>
      <c r="F44" s="2" t="str">
        <f>IFERROR(__xludf.DUMMYFUNCTION("""COMPUTED_VALUE"""),"2082-06-31")</f>
        <v>2082-06-31</v>
      </c>
      <c r="G44" s="2" t="str">
        <f>IFERROR(__xludf.DUMMYFUNCTION("""COMPUTED_VALUE"""),"A Cube Energy Private Limited")</f>
        <v>A Cube Energy Private Limited</v>
      </c>
      <c r="H44" s="2" t="str">
        <f>IFERROR(__xludf.DUMMYFUNCTION("""COMPUTED_VALUE"""),"Lalitpur - 27, Lalitpur")</f>
        <v>Lalitpur - 27, Lalitpur</v>
      </c>
      <c r="I44" s="2" t="str">
        <f>IFERROR(__xludf.DUMMYFUNCTION("""COMPUTED_VALUE"""),"27o 32' 33""")</f>
        <v>27o 32' 33"</v>
      </c>
      <c r="J44" s="2" t="str">
        <f>IFERROR(__xludf.DUMMYFUNCTION("""COMPUTED_VALUE"""),"27o 33' 05""")</f>
        <v>27o 33' 05"</v>
      </c>
      <c r="K44" s="2" t="str">
        <f>IFERROR(__xludf.DUMMYFUNCTION("""COMPUTED_VALUE"""),"87o 36' 30""")</f>
        <v>87o 36' 30"</v>
      </c>
      <c r="L44" s="2" t="str">
        <f>IFERROR(__xludf.DUMMYFUNCTION("""COMPUTED_VALUE"""),"87o 37' 30""")</f>
        <v>87o 37' 30"</v>
      </c>
      <c r="M44" s="2" t="str">
        <f>IFERROR(__xludf.DUMMYFUNCTION("""COMPUTED_VALUE"""),"Papung (Taplejung)")</f>
        <v>Papung (Taplejung)</v>
      </c>
    </row>
    <row r="45">
      <c r="A45" s="2">
        <f>IFERROR(__xludf.DUMMYFUNCTION("""COMPUTED_VALUE"""),44.0)</f>
        <v>44</v>
      </c>
      <c r="B45" s="2" t="str">
        <f>IFERROR(__xludf.DUMMYFUNCTION("""COMPUTED_VALUE"""),"Dudhkoshi V HEP")</f>
        <v>Dudhkoshi V HEP</v>
      </c>
      <c r="C45" s="2">
        <f>IFERROR(__xludf.DUMMYFUNCTION("""COMPUTED_VALUE"""),110.0)</f>
        <v>110</v>
      </c>
      <c r="D45" s="2" t="str">
        <f>IFERROR(__xludf.DUMMYFUNCTION("""COMPUTED_VALUE"""),"Dudhkoshi")</f>
        <v>Dudhkoshi</v>
      </c>
      <c r="E45" s="2">
        <f>IFERROR(__xludf.DUMMYFUNCTION("""COMPUTED_VALUE"""),2611.0)</f>
        <v>2611</v>
      </c>
      <c r="F45" s="3">
        <f>IFERROR(__xludf.DUMMYFUNCTION("""COMPUTED_VALUE"""),66659.0)</f>
        <v>66659</v>
      </c>
      <c r="G45" s="2" t="str">
        <f>IFERROR(__xludf.DUMMYFUNCTION("""COMPUTED_VALUE"""),"Independent Power Company (Nepal) Pvt. Ltd.")</f>
        <v>Independent Power Company (Nepal) Pvt. Ltd.</v>
      </c>
      <c r="H45" s="2" t="str">
        <f>IFERROR(__xludf.DUMMYFUNCTION("""COMPUTED_VALUE"""),"Central Business park 2nd floor, Thapathali , Kathmandu Contact no.: 
01-4264823/01-4264197 email: dudhkoshi5@gmail.com")</f>
        <v>Central Business park 2nd floor, Thapathali , Kathmandu Contact no.: 
01-4264823/01-4264197 email: dudhkoshi5@gmail.com</v>
      </c>
      <c r="I45" s="2" t="str">
        <f>IFERROR(__xludf.DUMMYFUNCTION("""COMPUTED_VALUE"""),"27o 29' 46""")</f>
        <v>27o 29' 46"</v>
      </c>
      <c r="J45" s="2" t="str">
        <f>IFERROR(__xludf.DUMMYFUNCTION("""COMPUTED_VALUE"""),"27o 33' 30""")</f>
        <v>27o 33' 30"</v>
      </c>
      <c r="K45" s="2" t="str">
        <f>IFERROR(__xludf.DUMMYFUNCTION("""COMPUTED_VALUE"""),"86o 40' 00""")</f>
        <v>86o 40' 00"</v>
      </c>
      <c r="L45" s="2" t="str">
        <f>IFERROR(__xludf.DUMMYFUNCTION("""COMPUTED_VALUE"""),"86o 43' 37""")</f>
        <v>86o 43' 37"</v>
      </c>
      <c r="M45" s="2" t="str">
        <f>IFERROR(__xludf.DUMMYFUNCTION("""COMPUTED_VALUE"""),"Basa,Baku (Solukhumbu)")</f>
        <v>Basa,Baku (Solukhumbu)</v>
      </c>
    </row>
    <row r="46">
      <c r="A46" s="2">
        <f>IFERROR(__xludf.DUMMYFUNCTION("""COMPUTED_VALUE"""),45.0)</f>
        <v>45</v>
      </c>
      <c r="B46" s="2" t="str">
        <f>IFERROR(__xludf.DUMMYFUNCTION("""COMPUTED_VALUE"""),"Chadaha Khola HEP")</f>
        <v>Chadaha Khola HEP</v>
      </c>
      <c r="C46" s="2">
        <f>IFERROR(__xludf.DUMMYFUNCTION("""COMPUTED_VALUE"""),4.5)</f>
        <v>4.5</v>
      </c>
      <c r="D46" s="2" t="str">
        <f>IFERROR(__xludf.DUMMYFUNCTION("""COMPUTED_VALUE"""),"Chadaha")</f>
        <v>Chadaha</v>
      </c>
      <c r="E46" s="2">
        <f>IFERROR(__xludf.DUMMYFUNCTION("""COMPUTED_VALUE"""),6192.0)</f>
        <v>6192</v>
      </c>
      <c r="F46" s="3">
        <f>IFERROR(__xludf.DUMMYFUNCTION("""COMPUTED_VALUE"""),66781.0)</f>
        <v>66781</v>
      </c>
      <c r="G46" s="2" t="str">
        <f>IFERROR(__xludf.DUMMYFUNCTION("""COMPUTED_VALUE"""),"Chandaha Hydropower Pvt. Ltd")</f>
        <v>Chandaha Hydropower Pvt. Ltd</v>
      </c>
      <c r="H46" s="2" t="str">
        <f>IFERROR(__xludf.DUMMYFUNCTION("""COMPUTED_VALUE"""),"Kamlamai -10, Kavrepalanchowk, email: chandahahydropower@gmal.com, contact 
No.: 9854041690( Biraj Sharma)")</f>
        <v>Kamlamai -10, Kavrepalanchowk, email: chandahahydropower@gmal.com, contact 
No.: 9854041690( Biraj Sharma)</v>
      </c>
      <c r="I46" s="2" t="str">
        <f>IFERROR(__xludf.DUMMYFUNCTION("""COMPUTED_VALUE"""),"27o 05' 48""")</f>
        <v>27o 05' 48"</v>
      </c>
      <c r="J46" s="2" t="str">
        <f>IFERROR(__xludf.DUMMYFUNCTION("""COMPUTED_VALUE"""),"27o 08' 45""")</f>
        <v>27o 08' 45"</v>
      </c>
      <c r="K46" s="2" t="str">
        <f>IFERROR(__xludf.DUMMYFUNCTION("""COMPUTED_VALUE"""),"86o 00' 48""")</f>
        <v>86o 00' 48"</v>
      </c>
      <c r="L46" s="2" t="str">
        <f>IFERROR(__xludf.DUMMYFUNCTION("""COMPUTED_VALUE"""),"86o 02' 30""")</f>
        <v>86o 02' 30"</v>
      </c>
      <c r="M46" s="2"/>
    </row>
    <row r="47">
      <c r="A47" s="2">
        <f>IFERROR(__xludf.DUMMYFUNCTION("""COMPUTED_VALUE"""),46.0)</f>
        <v>46</v>
      </c>
      <c r="B47" s="2" t="str">
        <f>IFERROR(__xludf.DUMMYFUNCTION("""COMPUTED_VALUE"""),"Isuwa PRoR Cascade -2 Hydropower Project")</f>
        <v>Isuwa PRoR Cascade -2 Hydropower Project</v>
      </c>
      <c r="C47" s="2">
        <f>IFERROR(__xludf.DUMMYFUNCTION("""COMPUTED_VALUE"""),9.95)</f>
        <v>9.95</v>
      </c>
      <c r="D47" s="2" t="str">
        <f>IFERROR(__xludf.DUMMYFUNCTION("""COMPUTED_VALUE"""),"Isuwa Khola")</f>
        <v>Isuwa Khola</v>
      </c>
      <c r="E47" s="2">
        <f>IFERROR(__xludf.DUMMYFUNCTION("""COMPUTED_VALUE"""),6521.0)</f>
        <v>6521</v>
      </c>
      <c r="F47" s="3">
        <f>IFERROR(__xludf.DUMMYFUNCTION("""COMPUTED_VALUE"""),66793.0)</f>
        <v>66793</v>
      </c>
      <c r="G47" s="2" t="str">
        <f>IFERROR(__xludf.DUMMYFUNCTION("""COMPUTED_VALUE"""),"Bista Energy House Private Limited")</f>
        <v>Bista Energy House Private Limited</v>
      </c>
      <c r="H47" s="2" t="str">
        <f>IFERROR(__xludf.DUMMYFUNCTION("""COMPUTED_VALUE"""),"KMC, Ward No 5")</f>
        <v>KMC, Ward No 5</v>
      </c>
      <c r="I47" s="2" t="str">
        <f>IFERROR(__xludf.DUMMYFUNCTION("""COMPUTED_VALUE"""),"27o 30' 56""")</f>
        <v>27o 30' 56"</v>
      </c>
      <c r="J47" s="2" t="str">
        <f>IFERROR(__xludf.DUMMYFUNCTION("""COMPUTED_VALUE"""),"27o 32' 29""")</f>
        <v>27o 32' 29"</v>
      </c>
      <c r="K47" s="2" t="str">
        <f>IFERROR(__xludf.DUMMYFUNCTION("""COMPUTED_VALUE"""),"87o 11' 47""")</f>
        <v>87o 11' 47"</v>
      </c>
      <c r="L47" s="2" t="str">
        <f>IFERROR(__xludf.DUMMYFUNCTION("""COMPUTED_VALUE"""),"87o 14' 09""")</f>
        <v>87o 14' 09"</v>
      </c>
      <c r="M47" s="2" t="str">
        <f>IFERROR(__xludf.DUMMYFUNCTION("""COMPUTED_VALUE"""),"Num,Mangtewa,Makalu (Sankhuwasabha)")</f>
        <v>Num,Mangtewa,Makalu (Sankhuwasabha)</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 t="str">
        <f>IFERROR(__xludf.DUMMYFUNCTION("IMPORTHTML(""https://www.doed.gov.np/pages/appclthermal/"",""table"",1)"),"S No")</f>
        <v>S No</v>
      </c>
      <c r="B1" s="1" t="str">
        <f>IFERROR(__xludf.DUMMYFUNCTION("""COMPUTED_VALUE"""),"Project")</f>
        <v>Project</v>
      </c>
      <c r="C1" s="1" t="str">
        <f>IFERROR(__xludf.DUMMYFUNCTION("""COMPUTED_VALUE"""),"Capacity (MW)")</f>
        <v>Capacity (MW)</v>
      </c>
      <c r="D1" s="1" t="str">
        <f>IFERROR(__xludf.DUMMYFUNCTION("""COMPUTED_VALUE"""),"Appn No")</f>
        <v>Appn No</v>
      </c>
      <c r="E1" s="1" t="str">
        <f>IFERROR(__xludf.DUMMYFUNCTION("""COMPUTED_VALUE"""),"Appn Date")</f>
        <v>Appn Date</v>
      </c>
      <c r="F1" s="1" t="str">
        <f>IFERROR(__xludf.DUMMYFUNCTION("""COMPUTED_VALUE"""),"Promoter")</f>
        <v>Promoter</v>
      </c>
      <c r="G1" s="1" t="str">
        <f>IFERROR(__xludf.DUMMYFUNCTION("""COMPUTED_VALUE"""),"Address")</f>
        <v>Address</v>
      </c>
      <c r="H1" s="1" t="str">
        <f>IFERROR(__xludf.DUMMYFUNCTION("""COMPUTED_VALUE"""),"Latitiude N")</f>
        <v>Latitiude N</v>
      </c>
      <c r="I1" s="1"/>
      <c r="J1" s="1" t="str">
        <f>IFERROR(__xludf.DUMMYFUNCTION("""COMPUTED_VALUE"""),"Longitude E")</f>
        <v>Longitude E</v>
      </c>
      <c r="K1" s="1"/>
      <c r="L1" s="1" t="str">
        <f>IFERROR(__xludf.DUMMYFUNCTION("""COMPUTED_VALUE"""),"VDC/District")</f>
        <v>VDC/District</v>
      </c>
      <c r="M1" s="1"/>
      <c r="N1" s="1"/>
      <c r="O1" s="1"/>
      <c r="P1" s="1"/>
      <c r="Q1" s="1"/>
      <c r="R1" s="1"/>
      <c r="S1" s="1"/>
      <c r="T1" s="1"/>
      <c r="U1" s="1"/>
      <c r="V1" s="1"/>
      <c r="W1" s="1"/>
      <c r="X1" s="1"/>
      <c r="Y1" s="1"/>
      <c r="Z1" s="1"/>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 t="str">
        <f>IFERROR(__xludf.DUMMYFUNCTION("IMPORTHTML(""https://www.doed.gov.np/pages/appclsolar/"",""table"",1)"),"S No")</f>
        <v>S No</v>
      </c>
      <c r="B1" s="1" t="str">
        <f>IFERROR(__xludf.DUMMYFUNCTION("""COMPUTED_VALUE"""),"Project")</f>
        <v>Project</v>
      </c>
      <c r="C1" s="1" t="str">
        <f>IFERROR(__xludf.DUMMYFUNCTION("""COMPUTED_VALUE"""),"Capacity (MW)")</f>
        <v>Capacity (MW)</v>
      </c>
      <c r="D1" s="1" t="str">
        <f>IFERROR(__xludf.DUMMYFUNCTION("""COMPUTED_VALUE"""),"Appn No")</f>
        <v>Appn No</v>
      </c>
      <c r="E1" s="1" t="str">
        <f>IFERROR(__xludf.DUMMYFUNCTION("""COMPUTED_VALUE"""),"Appn Date")</f>
        <v>Appn Date</v>
      </c>
      <c r="F1" s="1" t="str">
        <f>IFERROR(__xludf.DUMMYFUNCTION("""COMPUTED_VALUE"""),"Promoter")</f>
        <v>Promoter</v>
      </c>
      <c r="G1" s="1" t="str">
        <f>IFERROR(__xludf.DUMMYFUNCTION("""COMPUTED_VALUE"""),"Address")</f>
        <v>Address</v>
      </c>
      <c r="H1" s="1" t="str">
        <f>IFERROR(__xludf.DUMMYFUNCTION("""COMPUTED_VALUE"""),"Latitiude N")</f>
        <v>Latitiude N</v>
      </c>
      <c r="I1" s="1"/>
      <c r="J1" s="1" t="str">
        <f>IFERROR(__xludf.DUMMYFUNCTION("""COMPUTED_VALUE"""),"Longitude E")</f>
        <v>Longitude E</v>
      </c>
      <c r="K1" s="1"/>
      <c r="L1" s="1" t="str">
        <f>IFERROR(__xludf.DUMMYFUNCTION("""COMPUTED_VALUE"""),"VDC/District")</f>
        <v>VDC/District</v>
      </c>
      <c r="M1" s="1" t="str">
        <f>IFERROR(__xludf.DUMMYFUNCTION("""COMPUTED_VALUE"""),"Remarks")</f>
        <v>Remarks</v>
      </c>
      <c r="N1" s="1"/>
      <c r="O1" s="1"/>
      <c r="P1" s="1"/>
      <c r="Q1" s="1"/>
      <c r="R1" s="1"/>
      <c r="S1" s="1"/>
      <c r="T1" s="1"/>
      <c r="U1" s="1"/>
      <c r="V1" s="1"/>
      <c r="W1" s="1"/>
      <c r="X1" s="1"/>
      <c r="Y1" s="1"/>
      <c r="Z1" s="1"/>
    </row>
    <row r="2">
      <c r="A2" s="2">
        <f>IFERROR(__xludf.DUMMYFUNCTION("""COMPUTED_VALUE"""),1.0)</f>
        <v>1</v>
      </c>
      <c r="B2" s="2" t="str">
        <f>IFERROR(__xludf.DUMMYFUNCTION("""COMPUTED_VALUE"""),"Grid-Connected Solar Power Project, Lahan , 33 kV S/S")</f>
        <v>Grid-Connected Solar Power Project, Lahan , 33 kV S/S</v>
      </c>
      <c r="C2" s="2">
        <f>IFERROR(__xludf.DUMMYFUNCTION("""COMPUTED_VALUE"""),4.0)</f>
        <v>4</v>
      </c>
      <c r="D2" s="2">
        <f>IFERROR(__xludf.DUMMYFUNCTION("""COMPUTED_VALUE"""),4436.0)</f>
        <v>4436</v>
      </c>
      <c r="E2" s="3">
        <f>IFERROR(__xludf.DUMMYFUNCTION("""COMPUTED_VALUE"""),64509.0)</f>
        <v>64509</v>
      </c>
      <c r="F2" s="2" t="str">
        <f>IFERROR(__xludf.DUMMYFUNCTION("""COMPUTED_VALUE"""),"Asian Tech Corporation Pvt. Ltd.")</f>
        <v>Asian Tech Corporation Pvt. Ltd.</v>
      </c>
      <c r="G2" s="2" t="str">
        <f>IFERROR(__xludf.DUMMYFUNCTION("""COMPUTED_VALUE"""),"Babarmahal, Kathmandu-11, Ph. no.-01-2291943")</f>
        <v>Babarmahal, Kathmandu-11, Ph. no.-01-2291943</v>
      </c>
      <c r="H2" s="2" t="str">
        <f>IFERROR(__xludf.DUMMYFUNCTION("""COMPUTED_VALUE"""),"26o 42' 35""")</f>
        <v>26o 42' 35"</v>
      </c>
      <c r="I2" s="2" t="str">
        <f>IFERROR(__xludf.DUMMYFUNCTION("""COMPUTED_VALUE"""),"26o 43' 35""")</f>
        <v>26o 43' 35"</v>
      </c>
      <c r="J2" s="2" t="str">
        <f>IFERROR(__xludf.DUMMYFUNCTION("""COMPUTED_VALUE"""),"86o 25' 30""")</f>
        <v>86o 25' 30"</v>
      </c>
      <c r="K2" s="2" t="str">
        <f>IFERROR(__xludf.DUMMYFUNCTION("""COMPUTED_VALUE"""),"86o 27' 25""")</f>
        <v>86o 27' 25"</v>
      </c>
      <c r="L2" s="2" t="str">
        <f>IFERROR(__xludf.DUMMYFUNCTION("""COMPUTED_VALUE"""),"Lahan N.P. (Siraha)")</f>
        <v>Lahan N.P. (Siraha)</v>
      </c>
      <c r="M2" s="2" t="str">
        <f>IFERROR(__xludf.DUMMYFUNCTION("""COMPUTED_VALUE"""),"Survey Lic No: 761 Date: 2073-08-14")</f>
        <v>Survey Lic No: 761 Date: 2073-08-14</v>
      </c>
    </row>
    <row r="3">
      <c r="A3" s="2">
        <f>IFERROR(__xludf.DUMMYFUNCTION("""COMPUTED_VALUE"""),2.0)</f>
        <v>2</v>
      </c>
      <c r="B3" s="2" t="str">
        <f>IFERROR(__xludf.DUMMYFUNCTION("""COMPUTED_VALUE"""),"Lamahi Saurya Vidyut Aayojana")</f>
        <v>Lamahi Saurya Vidyut Aayojana</v>
      </c>
      <c r="C3" s="2">
        <f>IFERROR(__xludf.DUMMYFUNCTION("""COMPUTED_VALUE"""),10.0)</f>
        <v>10</v>
      </c>
      <c r="D3" s="2">
        <f>IFERROR(__xludf.DUMMYFUNCTION("""COMPUTED_VALUE"""),2407.0)</f>
        <v>2407</v>
      </c>
      <c r="E3" s="3">
        <f>IFERROR(__xludf.DUMMYFUNCTION("""COMPUTED_VALUE"""),66654.0)</f>
        <v>66654</v>
      </c>
      <c r="F3" s="2" t="str">
        <f>IFERROR(__xludf.DUMMYFUNCTION("""COMPUTED_VALUE"""),"Prime Power Limited")</f>
        <v>Prime Power Limited</v>
      </c>
      <c r="G3" s="2" t="str">
        <f>IFERROR(__xludf.DUMMYFUNCTION("""COMPUTED_VALUE"""),"Sanepa - 2, Lalitpur")</f>
        <v>Sanepa - 2, Lalitpur</v>
      </c>
      <c r="H3" s="2" t="str">
        <f>IFERROR(__xludf.DUMMYFUNCTION("""COMPUTED_VALUE"""),"27o 51' 55""")</f>
        <v>27o 51' 55"</v>
      </c>
      <c r="I3" s="2" t="str">
        <f>IFERROR(__xludf.DUMMYFUNCTION("""COMPUTED_VALUE"""),"27o 52' 05""")</f>
        <v>27o 52' 05"</v>
      </c>
      <c r="J3" s="2" t="str">
        <f>IFERROR(__xludf.DUMMYFUNCTION("""COMPUTED_VALUE"""),"82o 27' 50""")</f>
        <v>82o 27' 50"</v>
      </c>
      <c r="K3" s="2" t="str">
        <f>IFERROR(__xludf.DUMMYFUNCTION("""COMPUTED_VALUE"""),"82o 28' 12""")</f>
        <v>82o 28' 12"</v>
      </c>
      <c r="L3" s="2" t="str">
        <f>IFERROR(__xludf.DUMMYFUNCTION("""COMPUTED_VALUE"""),"Satbariya (Dang)")</f>
        <v>Satbariya (Dang)</v>
      </c>
      <c r="M3" s="2" t="str">
        <f>IFERROR(__xludf.DUMMYFUNCTION("""COMPUTED_VALUE"""),"Survey Lic No: 1247 Date: 2080-05-08")</f>
        <v>Survey Lic No: 1247 Date: 2080-05-08</v>
      </c>
    </row>
    <row r="4">
      <c r="A4" s="2">
        <f>IFERROR(__xludf.DUMMYFUNCTION("""COMPUTED_VALUE"""),3.0)</f>
        <v>3</v>
      </c>
      <c r="B4" s="2" t="str">
        <f>IFERROR(__xludf.DUMMYFUNCTION("""COMPUTED_VALUE"""),"New Nepalgunj Saurya Vidyut Aayojana")</f>
        <v>New Nepalgunj Saurya Vidyut Aayojana</v>
      </c>
      <c r="C4" s="2">
        <f>IFERROR(__xludf.DUMMYFUNCTION("""COMPUTED_VALUE"""),30.0)</f>
        <v>30</v>
      </c>
      <c r="D4" s="2">
        <f>IFERROR(__xludf.DUMMYFUNCTION("""COMPUTED_VALUE"""),7838.0)</f>
        <v>7838</v>
      </c>
      <c r="E4" s="3">
        <f>IFERROR(__xludf.DUMMYFUNCTION("""COMPUTED_VALUE"""),66834.0)</f>
        <v>66834</v>
      </c>
      <c r="F4" s="2" t="str">
        <f>IFERROR(__xludf.DUMMYFUNCTION("""COMPUTED_VALUE"""),"Sol Power Limited")</f>
        <v>Sol Power Limited</v>
      </c>
      <c r="G4" s="2" t="str">
        <f>IFERROR(__xludf.DUMMYFUNCTION("""COMPUTED_VALUE"""),"Baneshwor, Kathmandu - 10")</f>
        <v>Baneshwor, Kathmandu - 10</v>
      </c>
      <c r="H4" s="2" t="str">
        <f>IFERROR(__xludf.DUMMYFUNCTION("""COMPUTED_VALUE"""),"28o 08' 54""")</f>
        <v>28o 08' 54"</v>
      </c>
      <c r="I4" s="2" t="str">
        <f>IFERROR(__xludf.DUMMYFUNCTION("""COMPUTED_VALUE"""),"28o 09' 30""")</f>
        <v>28o 09' 30"</v>
      </c>
      <c r="J4" s="2" t="str">
        <f>IFERROR(__xludf.DUMMYFUNCTION("""COMPUTED_VALUE"""),"81o 36' 15""")</f>
        <v>81o 36' 15"</v>
      </c>
      <c r="K4" s="2" t="str">
        <f>IFERROR(__xludf.DUMMYFUNCTION("""COMPUTED_VALUE"""),"81o 36' 55""")</f>
        <v>81o 36' 55"</v>
      </c>
      <c r="L4" s="2" t="str">
        <f>IFERROR(__xludf.DUMMYFUNCTION("""COMPUTED_VALUE"""),"Bageswari,Raniyapur (Banke)")</f>
        <v>Bageswari,Raniyapur (Banke)</v>
      </c>
      <c r="M4" s="2" t="str">
        <f>IFERROR(__xludf.DUMMYFUNCTION("""COMPUTED_VALUE"""),"Survey Lic No: 1343 Date: 2081-11-18")</f>
        <v>Survey Lic No: 1343 Date: 2081-11-18</v>
      </c>
    </row>
    <row r="5">
      <c r="A5" s="2">
        <f>IFERROR(__xludf.DUMMYFUNCTION("""COMPUTED_VALUE"""),4.0)</f>
        <v>4</v>
      </c>
      <c r="B5" s="2" t="str">
        <f>IFERROR(__xludf.DUMMYFUNCTION("""COMPUTED_VALUE"""),"Aurahi Saurya Vidyut Aayojana")</f>
        <v>Aurahi Saurya Vidyut Aayojana</v>
      </c>
      <c r="C5" s="2">
        <f>IFERROR(__xludf.DUMMYFUNCTION("""COMPUTED_VALUE"""),5.0)</f>
        <v>5</v>
      </c>
      <c r="D5" s="2">
        <f>IFERROR(__xludf.DUMMYFUNCTION("""COMPUTED_VALUE"""),10326.0)</f>
        <v>10326</v>
      </c>
      <c r="E5" s="3">
        <f>IFERROR(__xludf.DUMMYFUNCTION("""COMPUTED_VALUE"""),66897.0)</f>
        <v>66897</v>
      </c>
      <c r="F5" s="2" t="str">
        <f>IFERROR(__xludf.DUMMYFUNCTION("""COMPUTED_VALUE"""),"Sunlight Renewable Energy Private Limited")</f>
        <v>Sunlight Renewable Energy Private Limited</v>
      </c>
      <c r="G5" s="2" t="str">
        <f>IFERROR(__xludf.DUMMYFUNCTION("""COMPUTED_VALUE"""),"Lalitpur - 23, Lalitpur")</f>
        <v>Lalitpur - 23, Lalitpur</v>
      </c>
      <c r="H5" s="2" t="str">
        <f>IFERROR(__xludf.DUMMYFUNCTION("""COMPUTED_VALUE"""),"26o 52' 56""")</f>
        <v>26o 52' 56"</v>
      </c>
      <c r="I5" s="2" t="str">
        <f>IFERROR(__xludf.DUMMYFUNCTION("""COMPUTED_VALUE"""),"26o 53' 09""")</f>
        <v>26o 53' 09"</v>
      </c>
      <c r="J5" s="2" t="str">
        <f>IFERROR(__xludf.DUMMYFUNCTION("""COMPUTED_VALUE"""),"85o 49' 37""")</f>
        <v>85o 49' 37"</v>
      </c>
      <c r="K5" s="2" t="str">
        <f>IFERROR(__xludf.DUMMYFUNCTION("""COMPUTED_VALUE"""),"85o 49' 53""")</f>
        <v>85o 49' 53"</v>
      </c>
      <c r="L5" s="2" t="str">
        <f>IFERROR(__xludf.DUMMYFUNCTION("""COMPUTED_VALUE"""),"Aurahi (Mahottari)")</f>
        <v>Aurahi (Mahottari)</v>
      </c>
      <c r="M5" s="2" t="str">
        <f>IFERROR(__xludf.DUMMYFUNCTION("""COMPUTED_VALUE"""),"Survey Lic No: 1317 Date: 2081-11-13")</f>
        <v>Survey Lic No: 1317 Date: 2081-11-13</v>
      </c>
    </row>
    <row r="6">
      <c r="A6" s="2">
        <f>IFERROR(__xludf.DUMMYFUNCTION("""COMPUTED_VALUE"""),5.0)</f>
        <v>5</v>
      </c>
      <c r="B6" s="2" t="str">
        <f>IFERROR(__xludf.DUMMYFUNCTION("""COMPUTED_VALUE"""),"Garuda Saurya Vidyut Aayojana")</f>
        <v>Garuda Saurya Vidyut Aayojana</v>
      </c>
      <c r="C6" s="2">
        <f>IFERROR(__xludf.DUMMYFUNCTION("""COMPUTED_VALUE"""),5.0)</f>
        <v>5</v>
      </c>
      <c r="D6" s="2">
        <f>IFERROR(__xludf.DUMMYFUNCTION("""COMPUTED_VALUE"""),10641.0)</f>
        <v>10641</v>
      </c>
      <c r="E6" s="3">
        <f>IFERROR(__xludf.DUMMYFUNCTION("""COMPUTED_VALUE"""),66902.0)</f>
        <v>66902</v>
      </c>
      <c r="F6" s="2" t="str">
        <f>IFERROR(__xludf.DUMMYFUNCTION("""COMPUTED_VALUE"""),"Sunlight Renewable Energy Private Limited")</f>
        <v>Sunlight Renewable Energy Private Limited</v>
      </c>
      <c r="G6" s="2" t="str">
        <f>IFERROR(__xludf.DUMMYFUNCTION("""COMPUTED_VALUE"""),"Lalitpur - 32, Lalitpur")</f>
        <v>Lalitpur - 32, Lalitpur</v>
      </c>
      <c r="H6" s="2" t="str">
        <f>IFERROR(__xludf.DUMMYFUNCTION("""COMPUTED_VALUE"""),"26o 56' 20""")</f>
        <v>26o 56' 20"</v>
      </c>
      <c r="I6" s="2" t="str">
        <f>IFERROR(__xludf.DUMMYFUNCTION("""COMPUTED_VALUE"""),"26o 56' 31""")</f>
        <v>26o 56' 31"</v>
      </c>
      <c r="J6" s="2" t="str">
        <f>IFERROR(__xludf.DUMMYFUNCTION("""COMPUTED_VALUE"""),"85o 18' 36""")</f>
        <v>85o 18' 36"</v>
      </c>
      <c r="K6" s="2" t="str">
        <f>IFERROR(__xludf.DUMMYFUNCTION("""COMPUTED_VALUE"""),"85o 18' 50""")</f>
        <v>85o 18' 50"</v>
      </c>
      <c r="L6" s="2" t="str">
        <f>IFERROR(__xludf.DUMMYFUNCTION("""COMPUTED_VALUE"""),"Garuda Bairiya (Rautahat)")</f>
        <v>Garuda Bairiya (Rautahat)</v>
      </c>
      <c r="M6" s="2" t="str">
        <f>IFERROR(__xludf.DUMMYFUNCTION("""COMPUTED_VALUE"""),"Survey Lic No: 1318 Date: 2081-11-13")</f>
        <v>Survey Lic No: 1318 Date: 2081-11-13</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 t="str">
        <f>IFERROR(__xludf.DUMMYFUNCTION("IMPORTHTML(""https://www.doed.gov.np/pages/appclwind/"",""table"",1)"),"S No")</f>
        <v>S No</v>
      </c>
      <c r="B1" s="1" t="str">
        <f>IFERROR(__xludf.DUMMYFUNCTION("""COMPUTED_VALUE"""),"Project")</f>
        <v>Project</v>
      </c>
      <c r="C1" s="1" t="str">
        <f>IFERROR(__xludf.DUMMYFUNCTION("""COMPUTED_VALUE"""),"Capacity (MW)")</f>
        <v>Capacity (MW)</v>
      </c>
      <c r="D1" s="1" t="str">
        <f>IFERROR(__xludf.DUMMYFUNCTION("""COMPUTED_VALUE"""),"Appn No")</f>
        <v>Appn No</v>
      </c>
      <c r="E1" s="1" t="str">
        <f>IFERROR(__xludf.DUMMYFUNCTION("""COMPUTED_VALUE"""),"Appn Date")</f>
        <v>Appn Date</v>
      </c>
      <c r="F1" s="1" t="str">
        <f>IFERROR(__xludf.DUMMYFUNCTION("""COMPUTED_VALUE"""),"Promoter")</f>
        <v>Promoter</v>
      </c>
      <c r="G1" s="1" t="str">
        <f>IFERROR(__xludf.DUMMYFUNCTION("""COMPUTED_VALUE"""),"Address")</f>
        <v>Address</v>
      </c>
      <c r="H1" s="1" t="str">
        <f>IFERROR(__xludf.DUMMYFUNCTION("""COMPUTED_VALUE"""),"Latitiude N")</f>
        <v>Latitiude N</v>
      </c>
      <c r="I1" s="1"/>
      <c r="J1" s="1" t="str">
        <f>IFERROR(__xludf.DUMMYFUNCTION("""COMPUTED_VALUE"""),"Longitude E")</f>
        <v>Longitude E</v>
      </c>
      <c r="K1" s="1"/>
      <c r="L1" s="1" t="str">
        <f>IFERROR(__xludf.DUMMYFUNCTION("""COMPUTED_VALUE"""),"VDC/District")</f>
        <v>VDC/District</v>
      </c>
      <c r="M1" s="1"/>
      <c r="N1" s="1"/>
      <c r="O1" s="1"/>
      <c r="P1" s="1"/>
      <c r="Q1" s="1"/>
      <c r="R1" s="1"/>
      <c r="S1" s="1"/>
      <c r="T1" s="1"/>
      <c r="U1" s="1"/>
      <c r="V1" s="1"/>
      <c r="W1" s="1"/>
      <c r="X1" s="1"/>
      <c r="Y1" s="1"/>
      <c r="Z1" s="1"/>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2" t="str">
        <f>IFERROR(__xludf.DUMMYFUNCTION("IMPORTHTML(""https://www.doed.gov.np/pages/appclbiomass/"",""table"",1)"),"S No")</f>
        <v>S No</v>
      </c>
      <c r="B1" s="2" t="str">
        <f>IFERROR(__xludf.DUMMYFUNCTION("""COMPUTED_VALUE"""),"Project")</f>
        <v>Project</v>
      </c>
      <c r="C1" s="2" t="str">
        <f>IFERROR(__xludf.DUMMYFUNCTION("""COMPUTED_VALUE"""),"Capacity (MW)")</f>
        <v>Capacity (MW)</v>
      </c>
      <c r="D1" s="2" t="str">
        <f>IFERROR(__xludf.DUMMYFUNCTION("""COMPUTED_VALUE"""),"Appn No")</f>
        <v>Appn No</v>
      </c>
      <c r="E1" s="2" t="str">
        <f>IFERROR(__xludf.DUMMYFUNCTION("""COMPUTED_VALUE"""),"Appn Date")</f>
        <v>Appn Date</v>
      </c>
      <c r="F1" s="2" t="str">
        <f>IFERROR(__xludf.DUMMYFUNCTION("""COMPUTED_VALUE"""),"Promoter")</f>
        <v>Promoter</v>
      </c>
      <c r="G1" s="2" t="str">
        <f>IFERROR(__xludf.DUMMYFUNCTION("""COMPUTED_VALUE"""),"Address")</f>
        <v>Address</v>
      </c>
      <c r="H1" s="2" t="str">
        <f>IFERROR(__xludf.DUMMYFUNCTION("""COMPUTED_VALUE"""),"Latitiude N")</f>
        <v>Latitiude N</v>
      </c>
      <c r="I1" s="2"/>
      <c r="J1" s="2" t="str">
        <f>IFERROR(__xludf.DUMMYFUNCTION("""COMPUTED_VALUE"""),"Longitude E")</f>
        <v>Longitude E</v>
      </c>
      <c r="K1" s="2"/>
      <c r="L1" s="2" t="str">
        <f>IFERROR(__xludf.DUMMYFUNCTION("""COMPUTED_VALUE"""),"VDC/District")</f>
        <v>VDC/District</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 t="str">
        <f>IFERROR(__xludf.DUMMYFUNCTION("IMPORTHTML(""https://www.doed.gov.np/pages/appclcogeneration/"",""table"",1)"),"S No")</f>
        <v>S No</v>
      </c>
      <c r="B1" s="1" t="str">
        <f>IFERROR(__xludf.DUMMYFUNCTION("""COMPUTED_VALUE"""),"Project")</f>
        <v>Project</v>
      </c>
      <c r="C1" s="1" t="str">
        <f>IFERROR(__xludf.DUMMYFUNCTION("""COMPUTED_VALUE"""),"Capacity (MW)")</f>
        <v>Capacity (MW)</v>
      </c>
      <c r="D1" s="1" t="str">
        <f>IFERROR(__xludf.DUMMYFUNCTION("""COMPUTED_VALUE"""),"Appn No")</f>
        <v>Appn No</v>
      </c>
      <c r="E1" s="1" t="str">
        <f>IFERROR(__xludf.DUMMYFUNCTION("""COMPUTED_VALUE"""),"Appn Date")</f>
        <v>Appn Date</v>
      </c>
      <c r="F1" s="1" t="str">
        <f>IFERROR(__xludf.DUMMYFUNCTION("""COMPUTED_VALUE"""),"Promoter")</f>
        <v>Promoter</v>
      </c>
      <c r="G1" s="1" t="str">
        <f>IFERROR(__xludf.DUMMYFUNCTION("""COMPUTED_VALUE"""),"Address")</f>
        <v>Address</v>
      </c>
      <c r="H1" s="1" t="str">
        <f>IFERROR(__xludf.DUMMYFUNCTION("""COMPUTED_VALUE"""),"Latitiude N")</f>
        <v>Latitiude N</v>
      </c>
      <c r="I1" s="1"/>
      <c r="J1" s="1" t="str">
        <f>IFERROR(__xludf.DUMMYFUNCTION("""COMPUTED_VALUE"""),"Longitude E")</f>
        <v>Longitude E</v>
      </c>
      <c r="K1" s="1"/>
      <c r="L1" s="1" t="str">
        <f>IFERROR(__xludf.DUMMYFUNCTION("""COMPUTED_VALUE"""),"VDC/District")</f>
        <v>VDC/District</v>
      </c>
      <c r="M1" s="1"/>
      <c r="N1" s="1"/>
      <c r="O1" s="1"/>
      <c r="P1" s="1"/>
      <c r="Q1" s="1"/>
      <c r="R1" s="1"/>
      <c r="S1" s="1"/>
      <c r="T1" s="1"/>
      <c r="U1" s="1"/>
      <c r="V1" s="1"/>
      <c r="W1" s="1"/>
      <c r="X1" s="1"/>
      <c r="Y1" s="1"/>
      <c r="Z1" s="1"/>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ht="18.0" customHeight="1">
      <c r="A1" s="1" t="str">
        <f>IFERROR(__xludf.DUMMYFUNCTION("IMPORTHTML(""https://www.doed.gov.np/pages/appcltransmissionline/"",""table"",1)"),"#N/A")</f>
        <v>#N/A</v>
      </c>
      <c r="B1" s="1"/>
      <c r="C1" s="1"/>
      <c r="D1" s="1"/>
      <c r="E1" s="1"/>
      <c r="F1" s="1"/>
      <c r="G1" s="1"/>
      <c r="H1" s="1"/>
      <c r="I1" s="1"/>
      <c r="J1" s="1"/>
      <c r="K1" s="1"/>
      <c r="L1" s="1"/>
      <c r="M1" s="1"/>
      <c r="N1" s="1"/>
      <c r="O1" s="1"/>
      <c r="P1" s="1"/>
      <c r="Q1" s="1"/>
      <c r="R1" s="1"/>
      <c r="S1" s="1"/>
      <c r="T1" s="1"/>
      <c r="U1" s="1"/>
      <c r="V1" s="1"/>
      <c r="W1" s="1"/>
      <c r="X1" s="1"/>
      <c r="Y1" s="1"/>
      <c r="Z1" s="1"/>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tr">
        <f>IFERROR(__xludf.DUMMYFUNCTION("IMPORTHTML(""https://www.doed.gov.np/pages/powerplantslessthan1/"",""table"",1)"),"S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IFERROR(__xludf.DUMMYFUNCTION("""COMPUTED_VALUE"""),"Lic No")</f>
        <v>Lic No</v>
      </c>
      <c r="F1" s="1" t="str">
        <f>IFERROR(__xludf.DUMMYFUNCTION("""COMPUTED_VALUE"""),"Isuue Date")</f>
        <v>Isuue Date</v>
      </c>
      <c r="G1" s="1" t="str">
        <f>IFERROR(__xludf.DUMMYFUNCTION("""COMPUTED_VALUE"""),"Validity")</f>
        <v>Validity</v>
      </c>
      <c r="H1" s="1" t="str">
        <f>IFERROR(__xludf.DUMMYFUNCTION("""COMPUTED_VALUE"""),"Promoter")</f>
        <v>Promoter</v>
      </c>
      <c r="I1" s="1" t="str">
        <f>IFERROR(__xludf.DUMMYFUNCTION("""COMPUTED_VALUE"""),"Address")</f>
        <v>Address</v>
      </c>
      <c r="J1" s="1" t="str">
        <f>IFERROR(__xludf.DUMMYFUNCTION("""COMPUTED_VALUE"""),"Latitiude N")</f>
        <v>Latitiude N</v>
      </c>
      <c r="K1" s="1"/>
      <c r="L1" s="1" t="str">
        <f>IFERROR(__xludf.DUMMYFUNCTION("""COMPUTED_VALUE"""),"Longitude E")</f>
        <v>Longitude E</v>
      </c>
      <c r="M1" s="1"/>
      <c r="N1" s="1" t="str">
        <f>IFERROR(__xludf.DUMMYFUNCTION("""COMPUTED_VALUE"""),"VDC/District")</f>
        <v>VDC/District</v>
      </c>
      <c r="O1" s="1" t="str">
        <f>IFERROR(__xludf.DUMMYFUNCTION("""COMPUTED_VALUE"""),"C O D")</f>
        <v>C O D</v>
      </c>
      <c r="P1" s="1"/>
      <c r="Q1" s="1"/>
      <c r="R1" s="1"/>
      <c r="S1" s="1"/>
      <c r="T1" s="1"/>
      <c r="U1" s="1"/>
      <c r="V1" s="1"/>
      <c r="W1" s="1"/>
      <c r="X1" s="1"/>
      <c r="Y1" s="1"/>
      <c r="Z1" s="1"/>
    </row>
    <row r="2">
      <c r="A2" s="2">
        <f>IFERROR(__xludf.DUMMYFUNCTION("""COMPUTED_VALUE"""),1.0)</f>
        <v>1</v>
      </c>
      <c r="B2" s="2" t="str">
        <f>IFERROR(__xludf.DUMMYFUNCTION("""COMPUTED_VALUE"""),"Pati Khola")</f>
        <v>Pati Khola</v>
      </c>
      <c r="C2" s="2">
        <f>IFERROR(__xludf.DUMMYFUNCTION("""COMPUTED_VALUE"""),0.996)</f>
        <v>0.996</v>
      </c>
      <c r="D2" s="2" t="str">
        <f>IFERROR(__xludf.DUMMYFUNCTION("""COMPUTED_VALUE"""),"Pati")</f>
        <v>Pati</v>
      </c>
      <c r="E2" s="2"/>
      <c r="F2" s="2" t="str">
        <f>IFERROR(__xludf.DUMMYFUNCTION("""COMPUTED_VALUE"""),"0000-00-00")</f>
        <v>0000-00-00</v>
      </c>
      <c r="G2" s="2" t="str">
        <f>IFERROR(__xludf.DUMMYFUNCTION("""COMPUTED_VALUE"""),"0000-00-00")</f>
        <v>0000-00-00</v>
      </c>
      <c r="H2" s="2" t="str">
        <f>IFERROR(__xludf.DUMMYFUNCTION("""COMPUTED_VALUE"""),"United Hydropower Company Pvt. Ltd.")</f>
        <v>United Hydropower Company Pvt. Ltd.</v>
      </c>
      <c r="I2" s="2" t="str">
        <f>IFERROR(__xludf.DUMMYFUNCTION("""COMPUTED_VALUE"""),"Parbat")</f>
        <v>Parbat</v>
      </c>
      <c r="J2" s="2" t="str">
        <f>IFERROR(__xludf.DUMMYFUNCTION("""COMPUTED_VALUE"""),"00o 00' 00""")</f>
        <v>00o 00' 00"</v>
      </c>
      <c r="K2" s="2" t="str">
        <f>IFERROR(__xludf.DUMMYFUNCTION("""COMPUTED_VALUE"""),"00o 00' 00""")</f>
        <v>00o 00' 00"</v>
      </c>
      <c r="L2" s="2" t="str">
        <f>IFERROR(__xludf.DUMMYFUNCTION("""COMPUTED_VALUE"""),"00o 00' 00""")</f>
        <v>00o 00' 00"</v>
      </c>
      <c r="M2" s="2" t="str">
        <f>IFERROR(__xludf.DUMMYFUNCTION("""COMPUTED_VALUE"""),"00o 00' 00""")</f>
        <v>00o 00' 00"</v>
      </c>
      <c r="N2" s="2"/>
      <c r="O2" s="3">
        <f>IFERROR(__xludf.DUMMYFUNCTION("""COMPUTED_VALUE"""),60567.0)</f>
        <v>60567</v>
      </c>
    </row>
    <row r="3">
      <c r="A3" s="2">
        <f>IFERROR(__xludf.DUMMYFUNCTION("""COMPUTED_VALUE"""),2.0)</f>
        <v>2</v>
      </c>
      <c r="B3" s="2" t="str">
        <f>IFERROR(__xludf.DUMMYFUNCTION("""COMPUTED_VALUE"""),"Syange Khola")</f>
        <v>Syange Khola</v>
      </c>
      <c r="C3" s="2">
        <f>IFERROR(__xludf.DUMMYFUNCTION("""COMPUTED_VALUE"""),0.183)</f>
        <v>0.183</v>
      </c>
      <c r="D3" s="2" t="str">
        <f>IFERROR(__xludf.DUMMYFUNCTION("""COMPUTED_VALUE"""),"Syange")</f>
        <v>Syange</v>
      </c>
      <c r="E3" s="2"/>
      <c r="F3" s="2" t="str">
        <f>IFERROR(__xludf.DUMMYFUNCTION("""COMPUTED_VALUE"""),"0000-00-00")</f>
        <v>0000-00-00</v>
      </c>
      <c r="G3" s="2" t="str">
        <f>IFERROR(__xludf.DUMMYFUNCTION("""COMPUTED_VALUE"""),"0000-00-00")</f>
        <v>0000-00-00</v>
      </c>
      <c r="H3" s="2" t="str">
        <f>IFERROR(__xludf.DUMMYFUNCTION("""COMPUTED_VALUE"""),"Syange Vidyut Co Ltd")</f>
        <v>Syange Vidyut Co Ltd</v>
      </c>
      <c r="I3" s="2" t="str">
        <f>IFERROR(__xludf.DUMMYFUNCTION("""COMPUTED_VALUE"""),"Lamjung")</f>
        <v>Lamjung</v>
      </c>
      <c r="J3" s="2" t="str">
        <f>IFERROR(__xludf.DUMMYFUNCTION("""COMPUTED_VALUE"""),"00o 00' 00""")</f>
        <v>00o 00' 00"</v>
      </c>
      <c r="K3" s="2" t="str">
        <f>IFERROR(__xludf.DUMMYFUNCTION("""COMPUTED_VALUE"""),"00o 00' 00""")</f>
        <v>00o 00' 00"</v>
      </c>
      <c r="L3" s="2" t="str">
        <f>IFERROR(__xludf.DUMMYFUNCTION("""COMPUTED_VALUE"""),"00o 00' 00""")</f>
        <v>00o 00' 00"</v>
      </c>
      <c r="M3" s="2" t="str">
        <f>IFERROR(__xludf.DUMMYFUNCTION("""COMPUTED_VALUE"""),"00o 00' 00""")</f>
        <v>00o 00' 00"</v>
      </c>
      <c r="N3" s="2"/>
      <c r="O3" s="3">
        <f>IFERROR(__xludf.DUMMYFUNCTION("""COMPUTED_VALUE"""),57993.0)</f>
        <v>57993</v>
      </c>
    </row>
    <row r="4">
      <c r="A4" s="2">
        <f>IFERROR(__xludf.DUMMYFUNCTION("""COMPUTED_VALUE"""),3.0)</f>
        <v>3</v>
      </c>
      <c r="B4" s="2" t="str">
        <f>IFERROR(__xludf.DUMMYFUNCTION("""COMPUTED_VALUE"""),"Upper Hadi Khola")</f>
        <v>Upper Hadi Khola</v>
      </c>
      <c r="C4" s="2">
        <f>IFERROR(__xludf.DUMMYFUNCTION("""COMPUTED_VALUE"""),0.99)</f>
        <v>0.99</v>
      </c>
      <c r="D4" s="2" t="str">
        <f>IFERROR(__xludf.DUMMYFUNCTION("""COMPUTED_VALUE"""),"Hadi")</f>
        <v>Hadi</v>
      </c>
      <c r="E4" s="2"/>
      <c r="F4" s="2" t="str">
        <f>IFERROR(__xludf.DUMMYFUNCTION("""COMPUTED_VALUE"""),"0000-00-00")</f>
        <v>0000-00-00</v>
      </c>
      <c r="G4" s="2" t="str">
        <f>IFERROR(__xludf.DUMMYFUNCTION("""COMPUTED_VALUE"""),"0000-00-00")</f>
        <v>0000-00-00</v>
      </c>
      <c r="H4" s="2" t="str">
        <f>IFERROR(__xludf.DUMMYFUNCTION("""COMPUTED_VALUE"""),"Centre for Power Dev &amp; Services Pvt Ltd")</f>
        <v>Centre for Power Dev &amp; Services Pvt Ltd</v>
      </c>
      <c r="I4" s="2" t="str">
        <f>IFERROR(__xludf.DUMMYFUNCTION("""COMPUTED_VALUE"""),"Kathmandu")</f>
        <v>Kathmandu</v>
      </c>
      <c r="J4" s="2" t="str">
        <f>IFERROR(__xludf.DUMMYFUNCTION("""COMPUTED_VALUE"""),"00o 00' 00""")</f>
        <v>00o 00' 00"</v>
      </c>
      <c r="K4" s="2" t="str">
        <f>IFERROR(__xludf.DUMMYFUNCTION("""COMPUTED_VALUE"""),"00o 00' 00""")</f>
        <v>00o 00' 00"</v>
      </c>
      <c r="L4" s="2" t="str">
        <f>IFERROR(__xludf.DUMMYFUNCTION("""COMPUTED_VALUE"""),"00o 00' 00""")</f>
        <v>00o 00' 00"</v>
      </c>
      <c r="M4" s="2" t="str">
        <f>IFERROR(__xludf.DUMMYFUNCTION("""COMPUTED_VALUE"""),"00o 00' 00""")</f>
        <v>00o 00' 00"</v>
      </c>
      <c r="N4" s="2"/>
      <c r="O4" s="3">
        <f>IFERROR(__xludf.DUMMYFUNCTION("""COMPUTED_VALUE"""),60835.0)</f>
        <v>60835</v>
      </c>
    </row>
    <row r="5">
      <c r="A5" s="2">
        <f>IFERROR(__xludf.DUMMYFUNCTION("""COMPUTED_VALUE"""),4.0)</f>
        <v>4</v>
      </c>
      <c r="B5" s="2" t="str">
        <f>IFERROR(__xludf.DUMMYFUNCTION("""COMPUTED_VALUE"""),"Sali Nadi")</f>
        <v>Sali Nadi</v>
      </c>
      <c r="C5" s="2">
        <f>IFERROR(__xludf.DUMMYFUNCTION("""COMPUTED_VALUE"""),0.232)</f>
        <v>0.232</v>
      </c>
      <c r="D5" s="2" t="str">
        <f>IFERROR(__xludf.DUMMYFUNCTION("""COMPUTED_VALUE"""),"Sali Nadi")</f>
        <v>Sali Nadi</v>
      </c>
      <c r="E5" s="2"/>
      <c r="F5" s="2" t="str">
        <f>IFERROR(__xludf.DUMMYFUNCTION("""COMPUTED_VALUE"""),"0000-00-00")</f>
        <v>0000-00-00</v>
      </c>
      <c r="G5" s="2" t="str">
        <f>IFERROR(__xludf.DUMMYFUNCTION("""COMPUTED_VALUE"""),"0000-00-00")</f>
        <v>0000-00-00</v>
      </c>
      <c r="H5" s="2" t="str">
        <f>IFERROR(__xludf.DUMMYFUNCTION("""COMPUTED_VALUE"""),"Kathmandu Small Hydropower Systems Pvt Ltd")</f>
        <v>Kathmandu Small Hydropower Systems Pvt Ltd</v>
      </c>
      <c r="I5" s="2" t="str">
        <f>IFERROR(__xludf.DUMMYFUNCTION("""COMPUTED_VALUE"""),"Kathmandu")</f>
        <v>Kathmandu</v>
      </c>
      <c r="J5" s="2" t="str">
        <f>IFERROR(__xludf.DUMMYFUNCTION("""COMPUTED_VALUE"""),"00o 00' 00""")</f>
        <v>00o 00' 00"</v>
      </c>
      <c r="K5" s="2" t="str">
        <f>IFERROR(__xludf.DUMMYFUNCTION("""COMPUTED_VALUE"""),"00o 00' 00""")</f>
        <v>00o 00' 00"</v>
      </c>
      <c r="L5" s="2" t="str">
        <f>IFERROR(__xludf.DUMMYFUNCTION("""COMPUTED_VALUE"""),"00o 00' 00""")</f>
        <v>00o 00' 00"</v>
      </c>
      <c r="M5" s="2" t="str">
        <f>IFERROR(__xludf.DUMMYFUNCTION("""COMPUTED_VALUE"""),"00o 00' 00""")</f>
        <v>00o 00' 00"</v>
      </c>
      <c r="N5" s="2"/>
      <c r="O5" s="3">
        <f>IFERROR(__xludf.DUMMYFUNCTION("""COMPUTED_VALUE"""),60115.0)</f>
        <v>60115</v>
      </c>
    </row>
    <row r="6">
      <c r="A6" s="2">
        <f>IFERROR(__xludf.DUMMYFUNCTION("""COMPUTED_VALUE"""),5.0)</f>
        <v>5</v>
      </c>
      <c r="B6" s="2" t="str">
        <f>IFERROR(__xludf.DUMMYFUNCTION("""COMPUTED_VALUE"""),"Belkhu Khola")</f>
        <v>Belkhu Khola</v>
      </c>
      <c r="C6" s="2">
        <f>IFERROR(__xludf.DUMMYFUNCTION("""COMPUTED_VALUE"""),0.518)</f>
        <v>0.518</v>
      </c>
      <c r="D6" s="2" t="str">
        <f>IFERROR(__xludf.DUMMYFUNCTION("""COMPUTED_VALUE"""),"Belkhu Khola")</f>
        <v>Belkhu Khola</v>
      </c>
      <c r="E6" s="2"/>
      <c r="F6" s="2" t="str">
        <f>IFERROR(__xludf.DUMMYFUNCTION("""COMPUTED_VALUE"""),"0000-00-00")</f>
        <v>0000-00-00</v>
      </c>
      <c r="G6" s="2" t="str">
        <f>IFERROR(__xludf.DUMMYFUNCTION("""COMPUTED_VALUE"""),"0000-00-00")</f>
        <v>0000-00-00</v>
      </c>
      <c r="H6" s="2" t="str">
        <f>IFERROR(__xludf.DUMMYFUNCTION("""COMPUTED_VALUE"""),"Prime Hydropower Co Pvt Ltd")</f>
        <v>Prime Hydropower Co Pvt Ltd</v>
      </c>
      <c r="I6" s="2" t="str">
        <f>IFERROR(__xludf.DUMMYFUNCTION("""COMPUTED_VALUE"""),"Dhading")</f>
        <v>Dhading</v>
      </c>
      <c r="J6" s="2" t="str">
        <f>IFERROR(__xludf.DUMMYFUNCTION("""COMPUTED_VALUE"""),"00o 00' 00""")</f>
        <v>00o 00' 00"</v>
      </c>
      <c r="K6" s="2" t="str">
        <f>IFERROR(__xludf.DUMMYFUNCTION("""COMPUTED_VALUE"""),"00o 00' 00""")</f>
        <v>00o 00' 00"</v>
      </c>
      <c r="L6" s="2" t="str">
        <f>IFERROR(__xludf.DUMMYFUNCTION("""COMPUTED_VALUE"""),"00o 00' 00""")</f>
        <v>00o 00' 00"</v>
      </c>
      <c r="M6" s="2" t="str">
        <f>IFERROR(__xludf.DUMMYFUNCTION("""COMPUTED_VALUE"""),"00o 00' 00""")</f>
        <v>00o 00' 00"</v>
      </c>
      <c r="N6" s="2"/>
      <c r="O6" s="3">
        <f>IFERROR(__xludf.DUMMYFUNCTION("""COMPUTED_VALUE"""),62822.0)</f>
        <v>62822</v>
      </c>
    </row>
    <row r="7">
      <c r="A7" s="2">
        <f>IFERROR(__xludf.DUMMYFUNCTION("""COMPUTED_VALUE"""),6.0)</f>
        <v>6</v>
      </c>
      <c r="B7" s="2" t="str">
        <f>IFERROR(__xludf.DUMMYFUNCTION("""COMPUTED_VALUE"""),"Phewa")</f>
        <v>Phewa</v>
      </c>
      <c r="C7" s="2">
        <f>IFERROR(__xludf.DUMMYFUNCTION("""COMPUTED_VALUE"""),1.0)</f>
        <v>1</v>
      </c>
      <c r="D7" s="2" t="str">
        <f>IFERROR(__xludf.DUMMYFUNCTION("""COMPUTED_VALUE"""),"Seti Khola (Gandaki)")</f>
        <v>Seti Khola (Gandaki)</v>
      </c>
      <c r="E7" s="2" t="str">
        <f>IFERROR(__xludf.DUMMYFUNCTION("""COMPUTED_VALUE"""),"1_gtd")</f>
        <v>1_gtd</v>
      </c>
      <c r="F7" s="3">
        <f>IFERROR(__xludf.DUMMYFUNCTION("""COMPUTED_VALUE"""),55493.0)</f>
        <v>55493</v>
      </c>
      <c r="G7" s="3">
        <f>IFERROR(__xludf.DUMMYFUNCTION("""COMPUTED_VALUE"""),73749.0)</f>
        <v>73749</v>
      </c>
      <c r="H7" s="2" t="str">
        <f>IFERROR(__xludf.DUMMYFUNCTION("""COMPUTED_VALUE"""),"Nepal Electricity Authority")</f>
        <v>Nepal Electricity Authority</v>
      </c>
      <c r="I7" s="2"/>
      <c r="J7" s="2" t="str">
        <f>IFERROR(__xludf.DUMMYFUNCTION("""COMPUTED_VALUE"""),"28o 10' 35""")</f>
        <v>28o 10' 35"</v>
      </c>
      <c r="K7" s="2" t="str">
        <f>IFERROR(__xludf.DUMMYFUNCTION("""COMPUTED_VALUE"""),"28o 12' 00""")</f>
        <v>28o 12' 00"</v>
      </c>
      <c r="L7" s="2" t="str">
        <f>IFERROR(__xludf.DUMMYFUNCTION("""COMPUTED_VALUE"""),"83o 57' 45""")</f>
        <v>83o 57' 45"</v>
      </c>
      <c r="M7" s="2" t="str">
        <f>IFERROR(__xludf.DUMMYFUNCTION("""COMPUTED_VALUE"""),"83o 59' 30""")</f>
        <v>83o 59' 30"</v>
      </c>
      <c r="N7" s="2" t="str">
        <f>IFERROR(__xludf.DUMMYFUNCTION("""COMPUTED_VALUE"""),"(Kaski)")</f>
        <v>(Kaski)</v>
      </c>
      <c r="O7" s="3">
        <f>IFERROR(__xludf.DUMMYFUNCTION("""COMPUTED_VALUE"""),46023.0)</f>
        <v>46023</v>
      </c>
    </row>
    <row r="8">
      <c r="A8" s="2">
        <f>IFERROR(__xludf.DUMMYFUNCTION("""COMPUTED_VALUE"""),7.0)</f>
        <v>7</v>
      </c>
      <c r="B8" s="2" t="str">
        <f>IFERROR(__xludf.DUMMYFUNCTION("""COMPUTED_VALUE"""),"Seti-II")</f>
        <v>Seti-II</v>
      </c>
      <c r="C8" s="2">
        <f>IFERROR(__xludf.DUMMYFUNCTION("""COMPUTED_VALUE"""),0.78)</f>
        <v>0.78</v>
      </c>
      <c r="D8" s="2" t="str">
        <f>IFERROR(__xludf.DUMMYFUNCTION("""COMPUTED_VALUE"""),"Seti Khola (Gandaki)")</f>
        <v>Seti Khola (Gandaki)</v>
      </c>
      <c r="E8" s="2"/>
      <c r="F8" s="3">
        <f>IFERROR(__xludf.DUMMYFUNCTION("""COMPUTED_VALUE"""),56848.0)</f>
        <v>56848</v>
      </c>
      <c r="G8" s="2" t="str">
        <f>IFERROR(__xludf.DUMMYFUNCTION("""COMPUTED_VALUE"""),"0000-00-00")</f>
        <v>0000-00-00</v>
      </c>
      <c r="H8" s="2" t="str">
        <f>IFERROR(__xludf.DUMMYFUNCTION("""COMPUTED_VALUE"""),"Task Hydropower Co. Pvt. Ltd")</f>
        <v>Task Hydropower Co. Pvt. Ltd</v>
      </c>
      <c r="I8" s="2"/>
      <c r="J8" s="2" t="str">
        <f>IFERROR(__xludf.DUMMYFUNCTION("""COMPUTED_VALUE"""),"28o 12' 34""")</f>
        <v>28o 12' 34"</v>
      </c>
      <c r="K8" s="2" t="str">
        <f>IFERROR(__xludf.DUMMYFUNCTION("""COMPUTED_VALUE"""),"28o 12' 50""")</f>
        <v>28o 12' 50"</v>
      </c>
      <c r="L8" s="2" t="str">
        <f>IFERROR(__xludf.DUMMYFUNCTION("""COMPUTED_VALUE"""),"84o 01' 13""")</f>
        <v>84o 01' 13"</v>
      </c>
      <c r="M8" s="2" t="str">
        <f>IFERROR(__xludf.DUMMYFUNCTION("""COMPUTED_VALUE"""),"84o 01' 49""")</f>
        <v>84o 01' 49"</v>
      </c>
      <c r="N8" s="2" t="str">
        <f>IFERROR(__xludf.DUMMYFUNCTION("""COMPUTED_VALUE"""),"(Kaski)")</f>
        <v>(Kaski)</v>
      </c>
      <c r="O8" s="3">
        <f>IFERROR(__xludf.DUMMYFUNCTION("""COMPUTED_VALUE"""),60575.0)</f>
        <v>60575</v>
      </c>
    </row>
    <row r="9">
      <c r="A9" s="2">
        <f>IFERROR(__xludf.DUMMYFUNCTION("""COMPUTED_VALUE"""),8.0)</f>
        <v>8</v>
      </c>
      <c r="B9" s="2" t="str">
        <f>IFERROR(__xludf.DUMMYFUNCTION("""COMPUTED_VALUE"""),"Rairang")</f>
        <v>Rairang</v>
      </c>
      <c r="C9" s="2">
        <f>IFERROR(__xludf.DUMMYFUNCTION("""COMPUTED_VALUE"""),0.5)</f>
        <v>0.5</v>
      </c>
      <c r="D9" s="2" t="str">
        <f>IFERROR(__xludf.DUMMYFUNCTION("""COMPUTED_VALUE"""),"Rairang")</f>
        <v>Rairang</v>
      </c>
      <c r="E9" s="2"/>
      <c r="F9" s="3">
        <f>IFERROR(__xludf.DUMMYFUNCTION("""COMPUTED_VALUE"""),58219.0)</f>
        <v>58219</v>
      </c>
      <c r="G9" s="2" t="str">
        <f>IFERROR(__xludf.DUMMYFUNCTION("""COMPUTED_VALUE"""),"0000-00-00")</f>
        <v>0000-00-00</v>
      </c>
      <c r="H9" s="2" t="str">
        <f>IFERROR(__xludf.DUMMYFUNCTION("""COMPUTED_VALUE"""),"Rairang Hydropower Development Company Pvt. Ltd")</f>
        <v>Rairang Hydropower Development Company Pvt. Ltd</v>
      </c>
      <c r="I9" s="2"/>
      <c r="J9" s="2" t="str">
        <f>IFERROR(__xludf.DUMMYFUNCTION("""COMPUTED_VALUE"""),"00o 00' 00""")</f>
        <v>00o 00' 00"</v>
      </c>
      <c r="K9" s="2" t="str">
        <f>IFERROR(__xludf.DUMMYFUNCTION("""COMPUTED_VALUE"""),"00o 00' 00""")</f>
        <v>00o 00' 00"</v>
      </c>
      <c r="L9" s="2" t="str">
        <f>IFERROR(__xludf.DUMMYFUNCTION("""COMPUTED_VALUE"""),"00o 00' 00""")</f>
        <v>00o 00' 00"</v>
      </c>
      <c r="M9" s="2" t="str">
        <f>IFERROR(__xludf.DUMMYFUNCTION("""COMPUTED_VALUE"""),"00o 00' 00""")</f>
        <v>00o 00' 00"</v>
      </c>
      <c r="N9" s="2" t="str">
        <f>IFERROR(__xludf.DUMMYFUNCTION("""COMPUTED_VALUE"""),"(Dhading)")</f>
        <v>(Dhading)</v>
      </c>
      <c r="O9" s="3">
        <f>IFERROR(__xludf.DUMMYFUNCTION("""COMPUTED_VALUE"""),61576.0)</f>
        <v>61576</v>
      </c>
    </row>
    <row r="10">
      <c r="A10" s="2">
        <f>IFERROR(__xludf.DUMMYFUNCTION("""COMPUTED_VALUE"""),9.0)</f>
        <v>9</v>
      </c>
      <c r="B10" s="2" t="str">
        <f>IFERROR(__xludf.DUMMYFUNCTION("""COMPUTED_VALUE"""),"Sisne Khola")</f>
        <v>Sisne Khola</v>
      </c>
      <c r="C10" s="2">
        <f>IFERROR(__xludf.DUMMYFUNCTION("""COMPUTED_VALUE"""),0.8)</f>
        <v>0.8</v>
      </c>
      <c r="D10" s="2" t="str">
        <f>IFERROR(__xludf.DUMMYFUNCTION("""COMPUTED_VALUE"""),"Sisne Khola")</f>
        <v>Sisne Khola</v>
      </c>
      <c r="E10" s="2"/>
      <c r="F10" s="3">
        <f>IFERROR(__xludf.DUMMYFUNCTION("""COMPUTED_VALUE"""),58524.0)</f>
        <v>58524</v>
      </c>
      <c r="G10" s="2" t="str">
        <f>IFERROR(__xludf.DUMMYFUNCTION("""COMPUTED_VALUE"""),"0000-00-00")</f>
        <v>0000-00-00</v>
      </c>
      <c r="H10" s="2" t="str">
        <f>IFERROR(__xludf.DUMMYFUNCTION("""COMPUTED_VALUE"""),"Gautam Budha Hydropower Development Company")</f>
        <v>Gautam Budha Hydropower Development Company</v>
      </c>
      <c r="I10" s="2"/>
      <c r="J10" s="2" t="str">
        <f>IFERROR(__xludf.DUMMYFUNCTION("""COMPUTED_VALUE"""),"27o 45' 00""")</f>
        <v>27o 45' 00"</v>
      </c>
      <c r="K10" s="2" t="str">
        <f>IFERROR(__xludf.DUMMYFUNCTION("""COMPUTED_VALUE"""),"27o 46' 45""")</f>
        <v>27o 46' 45"</v>
      </c>
      <c r="L10" s="2" t="str">
        <f>IFERROR(__xludf.DUMMYFUNCTION("""COMPUTED_VALUE"""),"83o 28' 15""")</f>
        <v>83o 28' 15"</v>
      </c>
      <c r="M10" s="2" t="str">
        <f>IFERROR(__xludf.DUMMYFUNCTION("""COMPUTED_VALUE"""),"83o 29' 15""")</f>
        <v>83o 29' 15"</v>
      </c>
      <c r="N10" s="2" t="str">
        <f>IFERROR(__xludf.DUMMYFUNCTION("""COMPUTED_VALUE"""),"(Palpa)")</f>
        <v>(Palpa)</v>
      </c>
      <c r="O10" s="3">
        <f>IFERROR(__xludf.DUMMYFUNCTION("""COMPUTED_VALUE"""),60054.0)</f>
        <v>60054</v>
      </c>
    </row>
    <row r="11">
      <c r="A11" s="2">
        <f>IFERROR(__xludf.DUMMYFUNCTION("""COMPUTED_VALUE"""),10.0)</f>
        <v>10</v>
      </c>
      <c r="B11" s="2" t="str">
        <f>IFERROR(__xludf.DUMMYFUNCTION("""COMPUTED_VALUE"""),"Chhote khola")</f>
        <v>Chhote khola</v>
      </c>
      <c r="C11" s="2">
        <f>IFERROR(__xludf.DUMMYFUNCTION("""COMPUTED_VALUE"""),0.993)</f>
        <v>0.993</v>
      </c>
      <c r="D11" s="2" t="str">
        <f>IFERROR(__xludf.DUMMYFUNCTION("""COMPUTED_VALUE"""),"Chhote")</f>
        <v>Chhote</v>
      </c>
      <c r="E11" s="2"/>
      <c r="F11" s="3">
        <f>IFERROR(__xludf.DUMMYFUNCTION("""COMPUTED_VALUE"""),58626.0)</f>
        <v>58626</v>
      </c>
      <c r="G11" s="2" t="str">
        <f>IFERROR(__xludf.DUMMYFUNCTION("""COMPUTED_VALUE"""),"0000-00-00")</f>
        <v>0000-00-00</v>
      </c>
      <c r="H11" s="2" t="str">
        <f>IFERROR(__xludf.DUMMYFUNCTION("""COMPUTED_VALUE"""),"Pashupati Environmental Engineering Company Pvt. Ltd.")</f>
        <v>Pashupati Environmental Engineering Company Pvt. Ltd.</v>
      </c>
      <c r="I11" s="2" t="str">
        <f>IFERROR(__xludf.DUMMYFUNCTION("""COMPUTED_VALUE"""),"Kaldhara, Kathmandu, P.O. Box: 8975 EPC 5308 Phone : 4361915")</f>
        <v>Kaldhara, Kathmandu, P.O. Box: 8975 EPC 5308 Phone : 4361915</v>
      </c>
      <c r="J11" s="2" t="str">
        <f>IFERROR(__xludf.DUMMYFUNCTION("""COMPUTED_VALUE"""),"28o 10' 00""")</f>
        <v>28o 10' 00"</v>
      </c>
      <c r="K11" s="2" t="str">
        <f>IFERROR(__xludf.DUMMYFUNCTION("""COMPUTED_VALUE"""),"28o 10' 41""")</f>
        <v>28o 10' 41"</v>
      </c>
      <c r="L11" s="2" t="str">
        <f>IFERROR(__xludf.DUMMYFUNCTION("""COMPUTED_VALUE"""),"84o 53' 15""")</f>
        <v>84o 53' 15"</v>
      </c>
      <c r="M11" s="2" t="str">
        <f>IFERROR(__xludf.DUMMYFUNCTION("""COMPUTED_VALUE"""),"84o 54' 03""")</f>
        <v>84o 54' 03"</v>
      </c>
      <c r="N11" s="2" t="str">
        <f>IFERROR(__xludf.DUMMYFUNCTION("""COMPUTED_VALUE"""),"(Gorkha)")</f>
        <v>(Gorkha)</v>
      </c>
      <c r="O11" s="3">
        <f>IFERROR(__xludf.DUMMYFUNCTION("""COMPUTED_VALUE"""),62526.0)</f>
        <v>62526</v>
      </c>
    </row>
    <row r="12">
      <c r="A12" s="2">
        <f>IFERROR(__xludf.DUMMYFUNCTION("""COMPUTED_VALUE"""),11.0)</f>
        <v>11</v>
      </c>
      <c r="B12" s="2" t="str">
        <f>IFERROR(__xludf.DUMMYFUNCTION("""COMPUTED_VALUE"""),"Feme khola")</f>
        <v>Feme khola</v>
      </c>
      <c r="C12" s="2">
        <f>IFERROR(__xludf.DUMMYFUNCTION("""COMPUTED_VALUE"""),0.995)</f>
        <v>0.995</v>
      </c>
      <c r="D12" s="2" t="str">
        <f>IFERROR(__xludf.DUMMYFUNCTION("""COMPUTED_VALUE"""),"Pheme")</f>
        <v>Pheme</v>
      </c>
      <c r="E12" s="2"/>
      <c r="F12" s="3">
        <f>IFERROR(__xludf.DUMMYFUNCTION("""COMPUTED_VALUE"""),59561.0)</f>
        <v>59561</v>
      </c>
      <c r="G12" s="2" t="str">
        <f>IFERROR(__xludf.DUMMYFUNCTION("""COMPUTED_VALUE"""),"0000-00-00")</f>
        <v>0000-00-00</v>
      </c>
      <c r="H12" s="2" t="str">
        <f>IFERROR(__xludf.DUMMYFUNCTION("""COMPUTED_VALUE"""),"Khoranga Khola Hydropower Development Company Pvt. Ltd.")</f>
        <v>Khoranga Khola Hydropower Development Company Pvt. Ltd.</v>
      </c>
      <c r="I12" s="2"/>
      <c r="J12" s="2" t="str">
        <f>IFERROR(__xludf.DUMMYFUNCTION("""COMPUTED_VALUE"""),"27o 08' 07""")</f>
        <v>27o 08' 07"</v>
      </c>
      <c r="K12" s="2" t="str">
        <f>IFERROR(__xludf.DUMMYFUNCTION("""COMPUTED_VALUE"""),"27o 09' 36""")</f>
        <v>27o 09' 36"</v>
      </c>
      <c r="L12" s="2" t="str">
        <f>IFERROR(__xludf.DUMMYFUNCTION("""COMPUTED_VALUE"""),"87o 46' 55""")</f>
        <v>87o 46' 55"</v>
      </c>
      <c r="M12" s="2" t="str">
        <f>IFERROR(__xludf.DUMMYFUNCTION("""COMPUTED_VALUE"""),"87o 48' 13""")</f>
        <v>87o 48' 13"</v>
      </c>
      <c r="N12" s="2" t="str">
        <f>IFERROR(__xludf.DUMMYFUNCTION("""COMPUTED_VALUE"""),"(Panchthar)")</f>
        <v>(Panchthar)</v>
      </c>
      <c r="O12" s="3">
        <f>IFERROR(__xludf.DUMMYFUNCTION("""COMPUTED_VALUE"""),60119.0)</f>
        <v>60119</v>
      </c>
    </row>
    <row r="13">
      <c r="A13" s="2">
        <f>IFERROR(__xludf.DUMMYFUNCTION("""COMPUTED_VALUE"""),12.0)</f>
        <v>12</v>
      </c>
      <c r="B13" s="2" t="str">
        <f>IFERROR(__xludf.DUMMYFUNCTION("""COMPUTED_VALUE"""),"Lower Piluwa")</f>
        <v>Lower Piluwa</v>
      </c>
      <c r="C13" s="2">
        <f>IFERROR(__xludf.DUMMYFUNCTION("""COMPUTED_VALUE"""),0.99)</f>
        <v>0.99</v>
      </c>
      <c r="D13" s="2" t="str">
        <f>IFERROR(__xludf.DUMMYFUNCTION("""COMPUTED_VALUE"""),"Piluwa Khola")</f>
        <v>Piluwa Khola</v>
      </c>
      <c r="E13" s="2"/>
      <c r="F13" s="3">
        <f>IFERROR(__xludf.DUMMYFUNCTION("""COMPUTED_VALUE"""),60270.0)</f>
        <v>60270</v>
      </c>
      <c r="G13" s="2" t="str">
        <f>IFERROR(__xludf.DUMMYFUNCTION("""COMPUTED_VALUE"""),"0000-00-00")</f>
        <v>0000-00-00</v>
      </c>
      <c r="H13" s="2" t="str">
        <f>IFERROR(__xludf.DUMMYFUNCTION("""COMPUTED_VALUE"""),"Baneshwor Hydropower P Ltd.")</f>
        <v>Baneshwor Hydropower P Ltd.</v>
      </c>
      <c r="I13" s="2" t="str">
        <f>IFERROR(__xludf.DUMMYFUNCTION("""COMPUTED_VALUE"""),"Baneswor VDC, Sankhuwasabha, Phone 4230887, Fax:4238059")</f>
        <v>Baneswor VDC, Sankhuwasabha, Phone 4230887, Fax:4238059</v>
      </c>
      <c r="J13" s="2" t="str">
        <f>IFERROR(__xludf.DUMMYFUNCTION("""COMPUTED_VALUE"""),"27o 15' 00""")</f>
        <v>27o 15' 00"</v>
      </c>
      <c r="K13" s="2" t="str">
        <f>IFERROR(__xludf.DUMMYFUNCTION("""COMPUTED_VALUE"""),"27o 16' 45""")</f>
        <v>27o 16' 45"</v>
      </c>
      <c r="L13" s="2" t="str">
        <f>IFERROR(__xludf.DUMMYFUNCTION("""COMPUTED_VALUE"""),"87o 18' 12""")</f>
        <v>87o 18' 12"</v>
      </c>
      <c r="M13" s="2" t="str">
        <f>IFERROR(__xludf.DUMMYFUNCTION("""COMPUTED_VALUE"""),"87o 19' 35""")</f>
        <v>87o 19' 35"</v>
      </c>
      <c r="N13" s="2" t="str">
        <f>IFERROR(__xludf.DUMMYFUNCTION("""COMPUTED_VALUE"""),"(Sankhuwasabha)")</f>
        <v>(Sankhuwasabha)</v>
      </c>
      <c r="O13" s="3">
        <f>IFERROR(__xludf.DUMMYFUNCTION("""COMPUTED_VALUE"""),61454.0)</f>
        <v>61454</v>
      </c>
    </row>
    <row r="14">
      <c r="A14" s="2">
        <f>IFERROR(__xludf.DUMMYFUNCTION("""COMPUTED_VALUE"""),13.0)</f>
        <v>13</v>
      </c>
      <c r="B14" s="2" t="str">
        <f>IFERROR(__xludf.DUMMYFUNCTION("""COMPUTED_VALUE"""),"Miya Khola")</f>
        <v>Miya Khola</v>
      </c>
      <c r="C14" s="2">
        <f>IFERROR(__xludf.DUMMYFUNCTION("""COMPUTED_VALUE"""),0.996)</f>
        <v>0.996</v>
      </c>
      <c r="D14" s="2" t="str">
        <f>IFERROR(__xludf.DUMMYFUNCTION("""COMPUTED_VALUE"""),"Miya")</f>
        <v>Miya</v>
      </c>
      <c r="E14" s="2"/>
      <c r="F14" s="3">
        <f>IFERROR(__xludf.DUMMYFUNCTION("""COMPUTED_VALUE"""),62423.0)</f>
        <v>62423</v>
      </c>
      <c r="G14" s="2" t="str">
        <f>IFERROR(__xludf.DUMMYFUNCTION("""COMPUTED_VALUE"""),"0000-00-00")</f>
        <v>0000-00-00</v>
      </c>
      <c r="H14" s="2" t="str">
        <f>IFERROR(__xludf.DUMMYFUNCTION("""COMPUTED_VALUE"""),"Sapsu Kalika Hydropower Co. Public Ltd.")</f>
        <v>Sapsu Kalika Hydropower Co. Public Ltd.</v>
      </c>
      <c r="I14" s="2" t="str">
        <f>IFERROR(__xludf.DUMMYFUNCTION("""COMPUTED_VALUE"""),"Koteshwor, Kathmandu. 01-5100737, 9851005385")</f>
        <v>Koteshwor, Kathmandu. 01-5100737, 9851005385</v>
      </c>
      <c r="J14" s="2" t="str">
        <f>IFERROR(__xludf.DUMMYFUNCTION("""COMPUTED_VALUE"""),"27o 10' 24""")</f>
        <v>27o 10' 24"</v>
      </c>
      <c r="K14" s="2" t="str">
        <f>IFERROR(__xludf.DUMMYFUNCTION("""COMPUTED_VALUE"""),"27o 11' 30""")</f>
        <v>27o 11' 30"</v>
      </c>
      <c r="L14" s="2" t="str">
        <f>IFERROR(__xludf.DUMMYFUNCTION("""COMPUTED_VALUE"""),"86o 49' 22""")</f>
        <v>86o 49' 22"</v>
      </c>
      <c r="M14" s="2" t="str">
        <f>IFERROR(__xludf.DUMMYFUNCTION("""COMPUTED_VALUE"""),"86o 49' 51""")</f>
        <v>86o 49' 51"</v>
      </c>
      <c r="N14" s="2" t="str">
        <f>IFERROR(__xludf.DUMMYFUNCTION("""COMPUTED_VALUE"""),"(Khotang)")</f>
        <v>(Khotang)</v>
      </c>
      <c r="O14" s="3">
        <f>IFERROR(__xludf.DUMMYFUNCTION("""COMPUTED_VALUE"""),63435.0)</f>
        <v>63435</v>
      </c>
    </row>
    <row r="15">
      <c r="A15" s="2">
        <f>IFERROR(__xludf.DUMMYFUNCTION("""COMPUTED_VALUE"""),14.0)</f>
        <v>14</v>
      </c>
      <c r="B15" s="2" t="str">
        <f>IFERROR(__xludf.DUMMYFUNCTION("""COMPUTED_VALUE"""),"Suspa Bukhari Khola")</f>
        <v>Suspa Bukhari Khola</v>
      </c>
      <c r="C15" s="2">
        <f>IFERROR(__xludf.DUMMYFUNCTION("""COMPUTED_VALUE"""),0.998)</f>
        <v>0.998</v>
      </c>
      <c r="D15" s="2" t="str">
        <f>IFERROR(__xludf.DUMMYFUNCTION("""COMPUTED_VALUE"""),"Suspa Bukhari Khola")</f>
        <v>Suspa Bukhari Khola</v>
      </c>
      <c r="E15" s="2"/>
      <c r="F15" s="3">
        <f>IFERROR(__xludf.DUMMYFUNCTION("""COMPUTED_VALUE"""),62493.0)</f>
        <v>62493</v>
      </c>
      <c r="G15" s="2" t="str">
        <f>IFERROR(__xludf.DUMMYFUNCTION("""COMPUTED_VALUE"""),"0000-00-00")</f>
        <v>0000-00-00</v>
      </c>
      <c r="H15" s="2" t="str">
        <f>IFERROR(__xludf.DUMMYFUNCTION("""COMPUTED_VALUE"""),"Kutheli Bukhari Small Hydropower")</f>
        <v>Kutheli Bukhari Small Hydropower</v>
      </c>
      <c r="I15" s="2" t="str">
        <f>IFERROR(__xludf.DUMMYFUNCTION("""COMPUTED_VALUE"""),"Banepa Kavre")</f>
        <v>Banepa Kavre</v>
      </c>
      <c r="J15" s="2" t="str">
        <f>IFERROR(__xludf.DUMMYFUNCTION("""COMPUTED_VALUE"""),"27o 41' 40""")</f>
        <v>27o 41' 40"</v>
      </c>
      <c r="K15" s="2" t="str">
        <f>IFERROR(__xludf.DUMMYFUNCTION("""COMPUTED_VALUE"""),"27o 42' 40""")</f>
        <v>27o 42' 40"</v>
      </c>
      <c r="L15" s="2" t="str">
        <f>IFERROR(__xludf.DUMMYFUNCTION("""COMPUTED_VALUE"""),"86o 03' 14""")</f>
        <v>86o 03' 14"</v>
      </c>
      <c r="M15" s="2" t="str">
        <f>IFERROR(__xludf.DUMMYFUNCTION("""COMPUTED_VALUE"""),"86o 04' 16""")</f>
        <v>86o 04' 16"</v>
      </c>
      <c r="N15" s="2" t="str">
        <f>IFERROR(__xludf.DUMMYFUNCTION("""COMPUTED_VALUE"""),"Susma Chhemawati,Sundrawati,Bhimeshwar Munic (Dolakha)")</f>
        <v>Susma Chhemawati,Sundrawati,Bhimeshwar Munic (Dolakha)</v>
      </c>
      <c r="O15" s="3">
        <f>IFERROR(__xludf.DUMMYFUNCTION("""COMPUTED_VALUE"""),62962.0)</f>
        <v>62962</v>
      </c>
    </row>
    <row r="16">
      <c r="A16" s="2">
        <f>IFERROR(__xludf.DUMMYFUNCTION("""COMPUTED_VALUE"""),15.0)</f>
        <v>15</v>
      </c>
      <c r="B16" s="2" t="str">
        <f>IFERROR(__xludf.DUMMYFUNCTION("""COMPUTED_VALUE"""),"Jeuli Gad")</f>
        <v>Jeuli Gad</v>
      </c>
      <c r="C16" s="2">
        <f>IFERROR(__xludf.DUMMYFUNCTION("""COMPUTED_VALUE"""),0.996)</f>
        <v>0.996</v>
      </c>
      <c r="D16" s="2" t="str">
        <f>IFERROR(__xludf.DUMMYFUNCTION("""COMPUTED_VALUE"""),"Jeuligad")</f>
        <v>Jeuligad</v>
      </c>
      <c r="E16" s="2"/>
      <c r="F16" s="3">
        <f>IFERROR(__xludf.DUMMYFUNCTION("""COMPUTED_VALUE"""),62905.0)</f>
        <v>62905</v>
      </c>
      <c r="G16" s="2" t="str">
        <f>IFERROR(__xludf.DUMMYFUNCTION("""COMPUTED_VALUE"""),"0000-00-00")</f>
        <v>0000-00-00</v>
      </c>
      <c r="H16" s="2" t="str">
        <f>IFERROR(__xludf.DUMMYFUNCTION("""COMPUTED_VALUE"""),"Rangunkhola Hydropower Pvt.Ltd.")</f>
        <v>Rangunkhola Hydropower Pvt.Ltd.</v>
      </c>
      <c r="I16" s="2" t="str">
        <f>IFERROR(__xludf.DUMMYFUNCTION("""COMPUTED_VALUE"""),"P.O.Box 23330, Kathmandu, Phone 01-4377462")</f>
        <v>P.O.Box 23330, Kathmandu, Phone 01-4377462</v>
      </c>
      <c r="J16" s="2" t="str">
        <f>IFERROR(__xludf.DUMMYFUNCTION("""COMPUTED_VALUE"""),"29o 34' 50""")</f>
        <v>29o 34' 50"</v>
      </c>
      <c r="K16" s="2" t="str">
        <f>IFERROR(__xludf.DUMMYFUNCTION("""COMPUTED_VALUE"""),"29o 36' 25""")</f>
        <v>29o 36' 25"</v>
      </c>
      <c r="L16" s="2" t="str">
        <f>IFERROR(__xludf.DUMMYFUNCTION("""COMPUTED_VALUE"""),"81o 08' 38""")</f>
        <v>81o 08' 38"</v>
      </c>
      <c r="M16" s="2" t="str">
        <f>IFERROR(__xludf.DUMMYFUNCTION("""COMPUTED_VALUE"""),"81o 10' 00""")</f>
        <v>81o 10' 00"</v>
      </c>
      <c r="N16" s="2" t="str">
        <f>IFERROR(__xludf.DUMMYFUNCTION("""COMPUTED_VALUE"""),"Chainpur,Rithapata (Bajhang)")</f>
        <v>Chainpur,Rithapata (Bajhang)</v>
      </c>
      <c r="O16" s="3">
        <f>IFERROR(__xludf.DUMMYFUNCTION("""COMPUTED_VALUE"""),64524.0)</f>
        <v>64524</v>
      </c>
    </row>
    <row r="17">
      <c r="A17" s="2">
        <f>IFERROR(__xludf.DUMMYFUNCTION("""COMPUTED_VALUE"""),16.0)</f>
        <v>16</v>
      </c>
      <c r="B17" s="2" t="str">
        <f>IFERROR(__xludf.DUMMYFUNCTION("""COMPUTED_VALUE"""),"Idi Khola SHP")</f>
        <v>Idi Khola SHP</v>
      </c>
      <c r="C17" s="2">
        <f>IFERROR(__xludf.DUMMYFUNCTION("""COMPUTED_VALUE"""),0.975)</f>
        <v>0.975</v>
      </c>
      <c r="D17" s="2" t="str">
        <f>IFERROR(__xludf.DUMMYFUNCTION("""COMPUTED_VALUE"""),"Idi Khola")</f>
        <v>Idi Khola</v>
      </c>
      <c r="E17" s="2"/>
      <c r="F17" s="3">
        <f>IFERROR(__xludf.DUMMYFUNCTION("""COMPUTED_VALUE"""),63159.0)</f>
        <v>63159</v>
      </c>
      <c r="G17" s="2" t="str">
        <f>IFERROR(__xludf.DUMMYFUNCTION("""COMPUTED_VALUE"""),"0000-00-00")</f>
        <v>0000-00-00</v>
      </c>
      <c r="H17" s="2" t="str">
        <f>IFERROR(__xludf.DUMMYFUNCTION("""COMPUTED_VALUE"""),"Idi Hydropower Co.P. Ltd.")</f>
        <v>Idi Hydropower Co.P. Ltd.</v>
      </c>
      <c r="I17" s="2" t="str">
        <f>IFERROR(__xludf.DUMMYFUNCTION("""COMPUTED_VALUE"""),"P.O.Box: 2838 mobile 9851018118 Email: idihydro@gmail.com")</f>
        <v>P.O.Box: 2838 mobile 9851018118 Email: idihydro@gmail.com</v>
      </c>
      <c r="J17" s="2" t="str">
        <f>IFERROR(__xludf.DUMMYFUNCTION("""COMPUTED_VALUE"""),"28o 13' 15""")</f>
        <v>28o 13' 15"</v>
      </c>
      <c r="K17" s="2" t="str">
        <f>IFERROR(__xludf.DUMMYFUNCTION("""COMPUTED_VALUE"""),"28o 14' 40""")</f>
        <v>28o 14' 40"</v>
      </c>
      <c r="L17" s="2" t="str">
        <f>IFERROR(__xludf.DUMMYFUNCTION("""COMPUTED_VALUE"""),"84o 06' 28""")</f>
        <v>84o 06' 28"</v>
      </c>
      <c r="M17" s="2" t="str">
        <f>IFERROR(__xludf.DUMMYFUNCTION("""COMPUTED_VALUE"""),"84o 07' 30""")</f>
        <v>84o 07' 30"</v>
      </c>
      <c r="N17" s="2" t="str">
        <f>IFERROR(__xludf.DUMMYFUNCTION("""COMPUTED_VALUE"""),"Thumakodada,Saimrang (Kaski)")</f>
        <v>Thumakodada,Saimrang (Kaski)</v>
      </c>
      <c r="O17" s="3">
        <f>IFERROR(__xludf.DUMMYFUNCTION("""COMPUTED_VALUE"""),66484.0)</f>
        <v>66484</v>
      </c>
    </row>
    <row r="18">
      <c r="A18" s="2">
        <f>IFERROR(__xludf.DUMMYFUNCTION("""COMPUTED_VALUE"""),17.0)</f>
        <v>17</v>
      </c>
      <c r="B18" s="2" t="str">
        <f>IFERROR(__xludf.DUMMYFUNCTION("""COMPUTED_VALUE"""),"Thame Small HPP")</f>
        <v>Thame Small HPP</v>
      </c>
      <c r="C18" s="2">
        <f>IFERROR(__xludf.DUMMYFUNCTION("""COMPUTED_VALUE"""),0.63)</f>
        <v>0.63</v>
      </c>
      <c r="D18" s="2" t="str">
        <f>IFERROR(__xludf.DUMMYFUNCTION("""COMPUTED_VALUE"""),"Thame Khola")</f>
        <v>Thame Khola</v>
      </c>
      <c r="E18" s="2"/>
      <c r="F18" s="3">
        <f>IFERROR(__xludf.DUMMYFUNCTION("""COMPUTED_VALUE"""),63764.0)</f>
        <v>63764</v>
      </c>
      <c r="G18" s="2" t="str">
        <f>IFERROR(__xludf.DUMMYFUNCTION("""COMPUTED_VALUE"""),"0000-00-00")</f>
        <v>0000-00-00</v>
      </c>
      <c r="H18" s="2" t="str">
        <f>IFERROR(__xludf.DUMMYFUNCTION("""COMPUTED_VALUE"""),"Khumbu Bijuli Company Pvt. Ltd.")</f>
        <v>Khumbu Bijuli Company Pvt. Ltd.</v>
      </c>
      <c r="I18" s="2" t="str">
        <f>IFERROR(__xludf.DUMMYFUNCTION("""COMPUTED_VALUE"""),"Pasang lamhu VDC, Solukhumbu, Phone no 038540112")</f>
        <v>Pasang lamhu VDC, Solukhumbu, Phone no 038540112</v>
      </c>
      <c r="J18" s="2" t="str">
        <f>IFERROR(__xludf.DUMMYFUNCTION("""COMPUTED_VALUE"""),"27o 49' 15""")</f>
        <v>27o 49' 15"</v>
      </c>
      <c r="K18" s="2" t="str">
        <f>IFERROR(__xludf.DUMMYFUNCTION("""COMPUTED_VALUE"""),"27o 50' 00""")</f>
        <v>27o 50' 00"</v>
      </c>
      <c r="L18" s="2" t="str">
        <f>IFERROR(__xludf.DUMMYFUNCTION("""COMPUTED_VALUE"""),"86o 38' 37""")</f>
        <v>86o 38' 37"</v>
      </c>
      <c r="M18" s="2" t="str">
        <f>IFERROR(__xludf.DUMMYFUNCTION("""COMPUTED_VALUE"""),"86o 40' 40""")</f>
        <v>86o 40' 40"</v>
      </c>
      <c r="N18" s="2" t="str">
        <f>IFERROR(__xludf.DUMMYFUNCTION("""COMPUTED_VALUE"""),"Namche (Solukhumbu)")</f>
        <v>Namche (Solukhumbu)</v>
      </c>
      <c r="O18" s="3">
        <f>IFERROR(__xludf.DUMMYFUNCTION("""COMPUTED_VALUE"""),63764.0)</f>
        <v>63764</v>
      </c>
    </row>
    <row r="19">
      <c r="A19" s="2">
        <f>IFERROR(__xludf.DUMMYFUNCTION("""COMPUTED_VALUE"""),18.0)</f>
        <v>18</v>
      </c>
      <c r="B19" s="2" t="str">
        <f>IFERROR(__xludf.DUMMYFUNCTION("""COMPUTED_VALUE"""),"Jhankre Mini HPP")</f>
        <v>Jhankre Mini HPP</v>
      </c>
      <c r="C19" s="2">
        <f>IFERROR(__xludf.DUMMYFUNCTION("""COMPUTED_VALUE"""),0.635)</f>
        <v>0.635</v>
      </c>
      <c r="D19" s="2" t="str">
        <f>IFERROR(__xludf.DUMMYFUNCTION("""COMPUTED_VALUE"""),"Jhakre Khola")</f>
        <v>Jhakre Khola</v>
      </c>
      <c r="E19" s="2"/>
      <c r="F19" s="3">
        <f>IFERROR(__xludf.DUMMYFUNCTION("""COMPUTED_VALUE"""),63844.0)</f>
        <v>63844</v>
      </c>
      <c r="G19" s="2" t="str">
        <f>IFERROR(__xludf.DUMMYFUNCTION("""COMPUTED_VALUE"""),"0000-00-00")</f>
        <v>0000-00-00</v>
      </c>
      <c r="H19" s="2" t="str">
        <f>IFERROR(__xludf.DUMMYFUNCTION("""COMPUTED_VALUE"""),"Khimti Gramin Bidhyut Sahakari Sanstha Limited")</f>
        <v>Khimti Gramin Bidhyut Sahakari Sanstha Limited</v>
      </c>
      <c r="I19" s="2" t="str">
        <f>IFERROR(__xludf.DUMMYFUNCTION("""COMPUTED_VALUE"""),"Kirne, Dolakha, Phone no 9844196798")</f>
        <v>Kirne, Dolakha, Phone no 9844196798</v>
      </c>
      <c r="J19" s="2" t="str">
        <f>IFERROR(__xludf.DUMMYFUNCTION("""COMPUTED_VALUE"""),"27o 33' 49""")</f>
        <v>27o 33' 49"</v>
      </c>
      <c r="K19" s="2" t="str">
        <f>IFERROR(__xludf.DUMMYFUNCTION("""COMPUTED_VALUE"""),"27o 34' 10""")</f>
        <v>27o 34' 10"</v>
      </c>
      <c r="L19" s="2" t="str">
        <f>IFERROR(__xludf.DUMMYFUNCTION("""COMPUTED_VALUE"""),"86o 10' 57""")</f>
        <v>86o 10' 57"</v>
      </c>
      <c r="M19" s="2" t="str">
        <f>IFERROR(__xludf.DUMMYFUNCTION("""COMPUTED_VALUE"""),"86o 11' 28""")</f>
        <v>86o 11' 28"</v>
      </c>
      <c r="N19" s="2" t="str">
        <f>IFERROR(__xludf.DUMMYFUNCTION("""COMPUTED_VALUE"""),"Thulopatal,Hawa (Dolakha)")</f>
        <v>Thulopatal,Hawa (Dolakha)</v>
      </c>
      <c r="O19" s="3">
        <f>IFERROR(__xludf.DUMMYFUNCTION("""COMPUTED_VALUE"""),63844.0)</f>
        <v>63844</v>
      </c>
    </row>
    <row r="20">
      <c r="A20" s="2">
        <f>IFERROR(__xludf.DUMMYFUNCTION("""COMPUTED_VALUE"""),19.0)</f>
        <v>19</v>
      </c>
      <c r="B20" s="2" t="str">
        <f>IFERROR(__xludf.DUMMYFUNCTION("""COMPUTED_VALUE"""),"Ghatte Khola Small HPP")</f>
        <v>Ghatte Khola Small HPP</v>
      </c>
      <c r="C20" s="2">
        <f>IFERROR(__xludf.DUMMYFUNCTION("""COMPUTED_VALUE"""),0.99)</f>
        <v>0.99</v>
      </c>
      <c r="D20" s="2" t="str">
        <f>IFERROR(__xludf.DUMMYFUNCTION("""COMPUTED_VALUE"""),"Ghatte Khola (Sindhupalchowk)")</f>
        <v>Ghatte Khola (Sindhupalchowk)</v>
      </c>
      <c r="E20" s="2"/>
      <c r="F20" s="3">
        <f>IFERROR(__xludf.DUMMYFUNCTION("""COMPUTED_VALUE"""),64246.0)</f>
        <v>64246</v>
      </c>
      <c r="G20" s="3">
        <f>IFERROR(__xludf.DUMMYFUNCTION("""COMPUTED_VALUE"""),77028.0)</f>
        <v>77028</v>
      </c>
      <c r="H20" s="2" t="str">
        <f>IFERROR(__xludf.DUMMYFUNCTION("""COMPUTED_VALUE"""),"Gaun Ghar Ujjyalo Small Hydropower Co Lt.")</f>
        <v>Gaun Ghar Ujjyalo Small Hydropower Co Lt.</v>
      </c>
      <c r="I20" s="2" t="str">
        <f>IFERROR(__xludf.DUMMYFUNCTION("""COMPUTED_VALUE"""),"Gatthaghar, Bhaktapur, Phone no. 6635391")</f>
        <v>Gatthaghar, Bhaktapur, Phone no. 6635391</v>
      </c>
      <c r="J20" s="2" t="str">
        <f>IFERROR(__xludf.DUMMYFUNCTION("""COMPUTED_VALUE"""),"27o 53' 22""")</f>
        <v>27o 53' 22"</v>
      </c>
      <c r="K20" s="2" t="str">
        <f>IFERROR(__xludf.DUMMYFUNCTION("""COMPUTED_VALUE"""),"27o 53' 40""")</f>
        <v>27o 53' 40"</v>
      </c>
      <c r="L20" s="2" t="str">
        <f>IFERROR(__xludf.DUMMYFUNCTION("""COMPUTED_VALUE"""),"85o 44' 26""")</f>
        <v>85o 44' 26"</v>
      </c>
      <c r="M20" s="2" t="str">
        <f>IFERROR(__xludf.DUMMYFUNCTION("""COMPUTED_VALUE"""),"85o 45' 28""")</f>
        <v>85o 45' 28"</v>
      </c>
      <c r="N20" s="2" t="str">
        <f>IFERROR(__xludf.DUMMYFUNCTION("""COMPUTED_VALUE"""),"Golche (Sindhupalchok)")</f>
        <v>Golche (Sindhupalchok)</v>
      </c>
      <c r="O20" s="3">
        <f>IFERROR(__xludf.DUMMYFUNCTION("""COMPUTED_VALUE"""),65849.0)</f>
        <v>65849</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tr">
        <f>IFERROR(__xludf.DUMMYFUNCTION("IMPORTHTML(""https://www.doed.gov.np/pages/powerplantsmorethan1/"",""table"",1)"),"S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IFERROR(__xludf.DUMMYFUNCTION("""COMPUTED_VALUE"""),"Lic No")</f>
        <v>Lic No</v>
      </c>
      <c r="F1" s="1" t="str">
        <f>IFERROR(__xludf.DUMMYFUNCTION("""COMPUTED_VALUE"""),"Isuue Date")</f>
        <v>Isuue Date</v>
      </c>
      <c r="G1" s="1" t="str">
        <f>IFERROR(__xludf.DUMMYFUNCTION("""COMPUTED_VALUE"""),"Validity")</f>
        <v>Validity</v>
      </c>
      <c r="H1" s="1" t="str">
        <f>IFERROR(__xludf.DUMMYFUNCTION("""COMPUTED_VALUE"""),"Promoter")</f>
        <v>Promoter</v>
      </c>
      <c r="I1" s="1" t="str">
        <f>IFERROR(__xludf.DUMMYFUNCTION("""COMPUTED_VALUE"""),"Address")</f>
        <v>Address</v>
      </c>
      <c r="J1" s="1" t="str">
        <f>IFERROR(__xludf.DUMMYFUNCTION("""COMPUTED_VALUE"""),"Latitiude N")</f>
        <v>Latitiude N</v>
      </c>
      <c r="K1" s="1"/>
      <c r="L1" s="1" t="str">
        <f>IFERROR(__xludf.DUMMYFUNCTION("""COMPUTED_VALUE"""),"Longitude E")</f>
        <v>Longitude E</v>
      </c>
      <c r="M1" s="1"/>
      <c r="N1" s="1" t="str">
        <f>IFERROR(__xludf.DUMMYFUNCTION("""COMPUTED_VALUE"""),"VDC/District")</f>
        <v>VDC/District</v>
      </c>
      <c r="O1" s="1" t="str">
        <f>IFERROR(__xludf.DUMMYFUNCTION("""COMPUTED_VALUE"""),"C O D")</f>
        <v>C O D</v>
      </c>
      <c r="P1" s="1"/>
      <c r="Q1" s="1"/>
      <c r="R1" s="1"/>
      <c r="S1" s="1"/>
      <c r="T1" s="1"/>
      <c r="U1" s="1"/>
      <c r="V1" s="1"/>
      <c r="W1" s="1"/>
      <c r="X1" s="1"/>
      <c r="Y1" s="1"/>
      <c r="Z1" s="1"/>
    </row>
    <row r="2">
      <c r="A2" s="2">
        <f>IFERROR(__xludf.DUMMYFUNCTION("""COMPUTED_VALUE"""),1.0)</f>
        <v>1</v>
      </c>
      <c r="B2" s="2" t="str">
        <f>IFERROR(__xludf.DUMMYFUNCTION("""COMPUTED_VALUE"""),"Khimti -I")</f>
        <v>Khimti -I</v>
      </c>
      <c r="C2" s="2">
        <f>IFERROR(__xludf.DUMMYFUNCTION("""COMPUTED_VALUE"""),60.0)</f>
        <v>60</v>
      </c>
      <c r="D2" s="2" t="str">
        <f>IFERROR(__xludf.DUMMYFUNCTION("""COMPUTED_VALUE"""),"Khimti Khola")</f>
        <v>Khimti Khola</v>
      </c>
      <c r="E2" s="2">
        <f>IFERROR(__xludf.DUMMYFUNCTION("""COMPUTED_VALUE"""),1.0)</f>
        <v>1</v>
      </c>
      <c r="F2" s="3">
        <f>IFERROR(__xludf.DUMMYFUNCTION("""COMPUTED_VALUE"""),55458.0)</f>
        <v>55458</v>
      </c>
      <c r="G2" s="3">
        <f>IFERROR(__xludf.DUMMYFUNCTION("""COMPUTED_VALUE"""),73717.0)</f>
        <v>73717</v>
      </c>
      <c r="H2" s="2" t="str">
        <f>IFERROR(__xludf.DUMMYFUNCTION("""COMPUTED_VALUE"""),"Himal Power Limited")</f>
        <v>Himal Power Limited</v>
      </c>
      <c r="I2" s="2"/>
      <c r="J2" s="2" t="str">
        <f>IFERROR(__xludf.DUMMYFUNCTION("""COMPUTED_VALUE"""),"27o 28' 28""")</f>
        <v>27o 28' 28"</v>
      </c>
      <c r="K2" s="2" t="str">
        <f>IFERROR(__xludf.DUMMYFUNCTION("""COMPUTED_VALUE"""),"27o 33' 07""")</f>
        <v>27o 33' 07"</v>
      </c>
      <c r="L2" s="2" t="str">
        <f>IFERROR(__xludf.DUMMYFUNCTION("""COMPUTED_VALUE"""),"86o 06' 04""")</f>
        <v>86o 06' 04"</v>
      </c>
      <c r="M2" s="2" t="str">
        <f>IFERROR(__xludf.DUMMYFUNCTION("""COMPUTED_VALUE"""),"86o 15' 00""")</f>
        <v>86o 15' 00"</v>
      </c>
      <c r="N2" s="2" t="str">
        <f>IFERROR(__xludf.DUMMYFUNCTION("""COMPUTED_VALUE"""),"Sahure,Hawa (Dolakha) Betali (Ramechhap)")</f>
        <v>Sahure,Hawa (Dolakha) Betali (Ramechhap)</v>
      </c>
      <c r="O2" s="3">
        <f>IFERROR(__xludf.DUMMYFUNCTION("""COMPUTED_VALUE"""),57431.0)</f>
        <v>57431</v>
      </c>
    </row>
    <row r="3">
      <c r="A3" s="2">
        <f>IFERROR(__xludf.DUMMYFUNCTION("""COMPUTED_VALUE"""),2.0)</f>
        <v>2</v>
      </c>
      <c r="B3" s="2" t="str">
        <f>IFERROR(__xludf.DUMMYFUNCTION("""COMPUTED_VALUE"""),"Trishuli")</f>
        <v>Trishuli</v>
      </c>
      <c r="C3" s="2">
        <f>IFERROR(__xludf.DUMMYFUNCTION("""COMPUTED_VALUE"""),24.0)</f>
        <v>24</v>
      </c>
      <c r="D3" s="2" t="str">
        <f>IFERROR(__xludf.DUMMYFUNCTION("""COMPUTED_VALUE"""),"Trishuli")</f>
        <v>Trishuli</v>
      </c>
      <c r="E3" s="2" t="str">
        <f>IFERROR(__xludf.DUMMYFUNCTION("""COMPUTED_VALUE"""),"1_gtd")</f>
        <v>1_gtd</v>
      </c>
      <c r="F3" s="3">
        <f>IFERROR(__xludf.DUMMYFUNCTION("""COMPUTED_VALUE"""),55493.0)</f>
        <v>55493</v>
      </c>
      <c r="G3" s="3">
        <f>IFERROR(__xludf.DUMMYFUNCTION("""COMPUTED_VALUE"""),73749.0)</f>
        <v>73749</v>
      </c>
      <c r="H3" s="2" t="str">
        <f>IFERROR(__xludf.DUMMYFUNCTION("""COMPUTED_VALUE"""),"Nepal Electricity Authority")</f>
        <v>Nepal Electricity Authority</v>
      </c>
      <c r="I3" s="2"/>
      <c r="J3" s="2" t="str">
        <f>IFERROR(__xludf.DUMMYFUNCTION("""COMPUTED_VALUE"""),"27o 55' 09""")</f>
        <v>27o 55' 09"</v>
      </c>
      <c r="K3" s="2" t="str">
        <f>IFERROR(__xludf.DUMMYFUNCTION("""COMPUTED_VALUE"""),"27o 58' 25""")</f>
        <v>27o 58' 25"</v>
      </c>
      <c r="L3" s="2" t="str">
        <f>IFERROR(__xludf.DUMMYFUNCTION("""COMPUTED_VALUE"""),"85o 08' 45""")</f>
        <v>85o 08' 45"</v>
      </c>
      <c r="M3" s="2" t="str">
        <f>IFERROR(__xludf.DUMMYFUNCTION("""COMPUTED_VALUE"""),"85o 11' 11""")</f>
        <v>85o 11' 11"</v>
      </c>
      <c r="N3" s="2" t="str">
        <f>IFERROR(__xludf.DUMMYFUNCTION("""COMPUTED_VALUE"""),"(Nuwakot)")</f>
        <v>(Nuwakot)</v>
      </c>
      <c r="O3" s="3">
        <f>IFERROR(__xludf.DUMMYFUNCTION("""COMPUTED_VALUE"""),45292.0)</f>
        <v>45292</v>
      </c>
    </row>
    <row r="4">
      <c r="A4" s="2">
        <f>IFERROR(__xludf.DUMMYFUNCTION("""COMPUTED_VALUE"""),3.0)</f>
        <v>3</v>
      </c>
      <c r="B4" s="2" t="str">
        <f>IFERROR(__xludf.DUMMYFUNCTION("""COMPUTED_VALUE"""),"Gandak")</f>
        <v>Gandak</v>
      </c>
      <c r="C4" s="2">
        <f>IFERROR(__xludf.DUMMYFUNCTION("""COMPUTED_VALUE"""),15.0)</f>
        <v>15</v>
      </c>
      <c r="D4" s="2" t="str">
        <f>IFERROR(__xludf.DUMMYFUNCTION("""COMPUTED_VALUE"""),"Narayani")</f>
        <v>Narayani</v>
      </c>
      <c r="E4" s="2" t="str">
        <f>IFERROR(__xludf.DUMMYFUNCTION("""COMPUTED_VALUE"""),"1_gtd")</f>
        <v>1_gtd</v>
      </c>
      <c r="F4" s="3">
        <f>IFERROR(__xludf.DUMMYFUNCTION("""COMPUTED_VALUE"""),55493.0)</f>
        <v>55493</v>
      </c>
      <c r="G4" s="3">
        <f>IFERROR(__xludf.DUMMYFUNCTION("""COMPUTED_VALUE"""),73749.0)</f>
        <v>73749</v>
      </c>
      <c r="H4" s="2" t="str">
        <f>IFERROR(__xludf.DUMMYFUNCTION("""COMPUTED_VALUE"""),"Nepal Electricity Authority")</f>
        <v>Nepal Electricity Authority</v>
      </c>
      <c r="I4" s="2"/>
      <c r="J4" s="2" t="str">
        <f>IFERROR(__xludf.DUMMYFUNCTION("""COMPUTED_VALUE"""),"27o 25' 21""")</f>
        <v>27o 25' 21"</v>
      </c>
      <c r="K4" s="2" t="str">
        <f>IFERROR(__xludf.DUMMYFUNCTION("""COMPUTED_VALUE"""),"27o 28' 16""")</f>
        <v>27o 28' 16"</v>
      </c>
      <c r="L4" s="2" t="str">
        <f>IFERROR(__xludf.DUMMYFUNCTION("""COMPUTED_VALUE"""),"83o 47' 08""")</f>
        <v>83o 47' 08"</v>
      </c>
      <c r="M4" s="2" t="str">
        <f>IFERROR(__xludf.DUMMYFUNCTION("""COMPUTED_VALUE"""),"83o 56' 25""")</f>
        <v>83o 56' 25"</v>
      </c>
      <c r="N4" s="2" t="str">
        <f>IFERROR(__xludf.DUMMYFUNCTION("""COMPUTED_VALUE"""),"(Nawalparasi)")</f>
        <v>(Nawalparasi)</v>
      </c>
      <c r="O4" s="3">
        <f>IFERROR(__xludf.DUMMYFUNCTION("""COMPUTED_VALUE"""),49662.0)</f>
        <v>49662</v>
      </c>
    </row>
    <row r="5">
      <c r="A5" s="2">
        <f>IFERROR(__xludf.DUMMYFUNCTION("""COMPUTED_VALUE"""),4.0)</f>
        <v>4</v>
      </c>
      <c r="B5" s="2" t="str">
        <f>IFERROR(__xludf.DUMMYFUNCTION("""COMPUTED_VALUE"""),"Panauti")</f>
        <v>Panauti</v>
      </c>
      <c r="C5" s="2">
        <f>IFERROR(__xludf.DUMMYFUNCTION("""COMPUTED_VALUE"""),2.4)</f>
        <v>2.4</v>
      </c>
      <c r="D5" s="2" t="str">
        <f>IFERROR(__xludf.DUMMYFUNCTION("""COMPUTED_VALUE"""),"Roshi")</f>
        <v>Roshi</v>
      </c>
      <c r="E5" s="2" t="str">
        <f>IFERROR(__xludf.DUMMYFUNCTION("""COMPUTED_VALUE"""),"1_gtd")</f>
        <v>1_gtd</v>
      </c>
      <c r="F5" s="3">
        <f>IFERROR(__xludf.DUMMYFUNCTION("""COMPUTED_VALUE"""),55493.0)</f>
        <v>55493</v>
      </c>
      <c r="G5" s="3">
        <f>IFERROR(__xludf.DUMMYFUNCTION("""COMPUTED_VALUE"""),73749.0)</f>
        <v>73749</v>
      </c>
      <c r="H5" s="2" t="str">
        <f>IFERROR(__xludf.DUMMYFUNCTION("""COMPUTED_VALUE"""),"Nepal Electricity Authority")</f>
        <v>Nepal Electricity Authority</v>
      </c>
      <c r="I5" s="2"/>
      <c r="J5" s="2" t="str">
        <f>IFERROR(__xludf.DUMMYFUNCTION("""COMPUTED_VALUE"""),"27o 33' 00""")</f>
        <v>27o 33' 00"</v>
      </c>
      <c r="K5" s="2" t="str">
        <f>IFERROR(__xludf.DUMMYFUNCTION("""COMPUTED_VALUE"""),"27o 35' 21""")</f>
        <v>27o 35' 21"</v>
      </c>
      <c r="L5" s="2" t="str">
        <f>IFERROR(__xludf.DUMMYFUNCTION("""COMPUTED_VALUE"""),"85o 30' 20""")</f>
        <v>85o 30' 20"</v>
      </c>
      <c r="M5" s="2" t="str">
        <f>IFERROR(__xludf.DUMMYFUNCTION("""COMPUTED_VALUE"""),"85o 32' 35""")</f>
        <v>85o 32' 35"</v>
      </c>
      <c r="N5" s="2" t="str">
        <f>IFERROR(__xludf.DUMMYFUNCTION("""COMPUTED_VALUE"""),"(Kabhrepalanchok)")</f>
        <v>(Kabhrepalanchok)</v>
      </c>
      <c r="O5" s="3">
        <f>IFERROR(__xludf.DUMMYFUNCTION("""COMPUTED_VALUE"""),44562.0)</f>
        <v>44562</v>
      </c>
    </row>
    <row r="6">
      <c r="A6" s="2">
        <f>IFERROR(__xludf.DUMMYFUNCTION("""COMPUTED_VALUE"""),5.0)</f>
        <v>5</v>
      </c>
      <c r="B6" s="2" t="str">
        <f>IFERROR(__xludf.DUMMYFUNCTION("""COMPUTED_VALUE"""),"Seti")</f>
        <v>Seti</v>
      </c>
      <c r="C6" s="2">
        <f>IFERROR(__xludf.DUMMYFUNCTION("""COMPUTED_VALUE"""),1.5)</f>
        <v>1.5</v>
      </c>
      <c r="D6" s="2" t="str">
        <f>IFERROR(__xludf.DUMMYFUNCTION("""COMPUTED_VALUE"""),"Seti Khola (Gandaki)")</f>
        <v>Seti Khola (Gandaki)</v>
      </c>
      <c r="E6" s="2" t="str">
        <f>IFERROR(__xludf.DUMMYFUNCTION("""COMPUTED_VALUE"""),"1_gtd")</f>
        <v>1_gtd</v>
      </c>
      <c r="F6" s="3">
        <f>IFERROR(__xludf.DUMMYFUNCTION("""COMPUTED_VALUE"""),55493.0)</f>
        <v>55493</v>
      </c>
      <c r="G6" s="3">
        <f>IFERROR(__xludf.DUMMYFUNCTION("""COMPUTED_VALUE"""),73749.0)</f>
        <v>73749</v>
      </c>
      <c r="H6" s="2" t="str">
        <f>IFERROR(__xludf.DUMMYFUNCTION("""COMPUTED_VALUE"""),"Nepal Electricity Authority")</f>
        <v>Nepal Electricity Authority</v>
      </c>
      <c r="I6" s="2"/>
      <c r="J6" s="2" t="str">
        <f>IFERROR(__xludf.DUMMYFUNCTION("""COMPUTED_VALUE"""),"28o 13' 50""")</f>
        <v>28o 13' 50"</v>
      </c>
      <c r="K6" s="2" t="str">
        <f>IFERROR(__xludf.DUMMYFUNCTION("""COMPUTED_VALUE"""),"28o 15' 06""")</f>
        <v>28o 15' 06"</v>
      </c>
      <c r="L6" s="2" t="str">
        <f>IFERROR(__xludf.DUMMYFUNCTION("""COMPUTED_VALUE"""),"83o 57' 54""")</f>
        <v>83o 57' 54"</v>
      </c>
      <c r="M6" s="2" t="str">
        <f>IFERROR(__xludf.DUMMYFUNCTION("""COMPUTED_VALUE"""),"83o 59' 34""")</f>
        <v>83o 59' 34"</v>
      </c>
      <c r="N6" s="2" t="str">
        <f>IFERROR(__xludf.DUMMYFUNCTION("""COMPUTED_VALUE"""),"(Kaski)")</f>
        <v>(Kaski)</v>
      </c>
      <c r="O6" s="3">
        <f>IFERROR(__xludf.DUMMYFUNCTION("""COMPUTED_VALUE"""),52063.0)</f>
        <v>52063</v>
      </c>
    </row>
    <row r="7">
      <c r="A7" s="2">
        <f>IFERROR(__xludf.DUMMYFUNCTION("""COMPUTED_VALUE"""),6.0)</f>
        <v>6</v>
      </c>
      <c r="B7" s="2" t="str">
        <f>IFERROR(__xludf.DUMMYFUNCTION("""COMPUTED_VALUE"""),"Marsyangdi")</f>
        <v>Marsyangdi</v>
      </c>
      <c r="C7" s="2">
        <f>IFERROR(__xludf.DUMMYFUNCTION("""COMPUTED_VALUE"""),69.0)</f>
        <v>69</v>
      </c>
      <c r="D7" s="2" t="str">
        <f>IFERROR(__xludf.DUMMYFUNCTION("""COMPUTED_VALUE"""),"Marsyangdi")</f>
        <v>Marsyangdi</v>
      </c>
      <c r="E7" s="2" t="str">
        <f>IFERROR(__xludf.DUMMYFUNCTION("""COMPUTED_VALUE"""),"1_gtd")</f>
        <v>1_gtd</v>
      </c>
      <c r="F7" s="3">
        <f>IFERROR(__xludf.DUMMYFUNCTION("""COMPUTED_VALUE"""),55493.0)</f>
        <v>55493</v>
      </c>
      <c r="G7" s="3">
        <f>IFERROR(__xludf.DUMMYFUNCTION("""COMPUTED_VALUE"""),73749.0)</f>
        <v>73749</v>
      </c>
      <c r="H7" s="2" t="str">
        <f>IFERROR(__xludf.DUMMYFUNCTION("""COMPUTED_VALUE"""),"Nepal Electricity Authority")</f>
        <v>Nepal Electricity Authority</v>
      </c>
      <c r="I7" s="2"/>
      <c r="J7" s="2" t="str">
        <f>IFERROR(__xludf.DUMMYFUNCTION("""COMPUTED_VALUE"""),"27o 52' 25""")</f>
        <v>27o 52' 25"</v>
      </c>
      <c r="K7" s="2" t="str">
        <f>IFERROR(__xludf.DUMMYFUNCTION("""COMPUTED_VALUE"""),"27o 56' 53""")</f>
        <v>27o 56' 53"</v>
      </c>
      <c r="L7" s="2" t="str">
        <f>IFERROR(__xludf.DUMMYFUNCTION("""COMPUTED_VALUE"""),"84o 25' 40""")</f>
        <v>84o 25' 40"</v>
      </c>
      <c r="M7" s="2" t="str">
        <f>IFERROR(__xludf.DUMMYFUNCTION("""COMPUTED_VALUE"""),"84o 32' 42""")</f>
        <v>84o 32' 42"</v>
      </c>
      <c r="N7" s="2" t="str">
        <f>IFERROR(__xludf.DUMMYFUNCTION("""COMPUTED_VALUE"""),"(Tanahu)")</f>
        <v>(Tanahu)</v>
      </c>
      <c r="O7" s="3">
        <f>IFERROR(__xludf.DUMMYFUNCTION("""COMPUTED_VALUE"""),53528.0)</f>
        <v>53528</v>
      </c>
    </row>
    <row r="8">
      <c r="A8" s="2">
        <f>IFERROR(__xludf.DUMMYFUNCTION("""COMPUTED_VALUE"""),7.0)</f>
        <v>7</v>
      </c>
      <c r="B8" s="2" t="str">
        <f>IFERROR(__xludf.DUMMYFUNCTION("""COMPUTED_VALUE"""),"Kulekhani-I")</f>
        <v>Kulekhani-I</v>
      </c>
      <c r="C8" s="2">
        <f>IFERROR(__xludf.DUMMYFUNCTION("""COMPUTED_VALUE"""),60.0)</f>
        <v>60</v>
      </c>
      <c r="D8" s="2" t="str">
        <f>IFERROR(__xludf.DUMMYFUNCTION("""COMPUTED_VALUE"""),"Kulekhani")</f>
        <v>Kulekhani</v>
      </c>
      <c r="E8" s="2" t="str">
        <f>IFERROR(__xludf.DUMMYFUNCTION("""COMPUTED_VALUE"""),"1_gtd")</f>
        <v>1_gtd</v>
      </c>
      <c r="F8" s="3">
        <f>IFERROR(__xludf.DUMMYFUNCTION("""COMPUTED_VALUE"""),55493.0)</f>
        <v>55493</v>
      </c>
      <c r="G8" s="3">
        <f>IFERROR(__xludf.DUMMYFUNCTION("""COMPUTED_VALUE"""),73749.0)</f>
        <v>73749</v>
      </c>
      <c r="H8" s="2" t="str">
        <f>IFERROR(__xludf.DUMMYFUNCTION("""COMPUTED_VALUE"""),"Nepal Electricity Authority")</f>
        <v>Nepal Electricity Authority</v>
      </c>
      <c r="I8" s="2"/>
      <c r="J8" s="2" t="str">
        <f>IFERROR(__xludf.DUMMYFUNCTION("""COMPUTED_VALUE"""),"27o 32' 06""")</f>
        <v>27o 32' 06"</v>
      </c>
      <c r="K8" s="2" t="str">
        <f>IFERROR(__xludf.DUMMYFUNCTION("""COMPUTED_VALUE"""),"27o 37' 48""")</f>
        <v>27o 37' 48"</v>
      </c>
      <c r="L8" s="2" t="str">
        <f>IFERROR(__xludf.DUMMYFUNCTION("""COMPUTED_VALUE"""),"85o 08' 21""")</f>
        <v>85o 08' 21"</v>
      </c>
      <c r="M8" s="2" t="str">
        <f>IFERROR(__xludf.DUMMYFUNCTION("""COMPUTED_VALUE"""),"85o 10' 50""")</f>
        <v>85o 10' 50"</v>
      </c>
      <c r="N8" s="2" t="str">
        <f>IFERROR(__xludf.DUMMYFUNCTION("""COMPUTED_VALUE"""),"(Makawanpur)")</f>
        <v>(Makawanpur)</v>
      </c>
      <c r="O8" s="3">
        <f>IFERROR(__xludf.DUMMYFUNCTION("""COMPUTED_VALUE"""),50791.0)</f>
        <v>50791</v>
      </c>
    </row>
    <row r="9">
      <c r="A9" s="2">
        <f>IFERROR(__xludf.DUMMYFUNCTION("""COMPUTED_VALUE"""),8.0)</f>
        <v>8</v>
      </c>
      <c r="B9" s="2" t="str">
        <f>IFERROR(__xludf.DUMMYFUNCTION("""COMPUTED_VALUE"""),"Devighat")</f>
        <v>Devighat</v>
      </c>
      <c r="C9" s="2">
        <f>IFERROR(__xludf.DUMMYFUNCTION("""COMPUTED_VALUE"""),14.1)</f>
        <v>14.1</v>
      </c>
      <c r="D9" s="2" t="str">
        <f>IFERROR(__xludf.DUMMYFUNCTION("""COMPUTED_VALUE"""),"Trishuli")</f>
        <v>Trishuli</v>
      </c>
      <c r="E9" s="2" t="str">
        <f>IFERROR(__xludf.DUMMYFUNCTION("""COMPUTED_VALUE"""),"1_gtd")</f>
        <v>1_gtd</v>
      </c>
      <c r="F9" s="3">
        <f>IFERROR(__xludf.DUMMYFUNCTION("""COMPUTED_VALUE"""),55493.0)</f>
        <v>55493</v>
      </c>
      <c r="G9" s="3">
        <f>IFERROR(__xludf.DUMMYFUNCTION("""COMPUTED_VALUE"""),73749.0)</f>
        <v>73749</v>
      </c>
      <c r="H9" s="2" t="str">
        <f>IFERROR(__xludf.DUMMYFUNCTION("""COMPUTED_VALUE"""),"Nepal Electricity Authority")</f>
        <v>Nepal Electricity Authority</v>
      </c>
      <c r="I9" s="2"/>
      <c r="J9" s="2" t="str">
        <f>IFERROR(__xludf.DUMMYFUNCTION("""COMPUTED_VALUE"""),"27o 53' 07""")</f>
        <v>27o 53' 07"</v>
      </c>
      <c r="K9" s="2" t="str">
        <f>IFERROR(__xludf.DUMMYFUNCTION("""COMPUTED_VALUE"""),"27o 55' 09""")</f>
        <v>27o 55' 09"</v>
      </c>
      <c r="L9" s="2" t="str">
        <f>IFERROR(__xludf.DUMMYFUNCTION("""COMPUTED_VALUE"""),"85o 07' 55""")</f>
        <v>85o 07' 55"</v>
      </c>
      <c r="M9" s="2" t="str">
        <f>IFERROR(__xludf.DUMMYFUNCTION("""COMPUTED_VALUE"""),"85o 08' 45""")</f>
        <v>85o 08' 45"</v>
      </c>
      <c r="N9" s="2" t="str">
        <f>IFERROR(__xludf.DUMMYFUNCTION("""COMPUTED_VALUE"""),"(Nuwakot)")</f>
        <v>(Nuwakot)</v>
      </c>
      <c r="O9" s="3">
        <f>IFERROR(__xludf.DUMMYFUNCTION("""COMPUTED_VALUE"""),51729.0)</f>
        <v>51729</v>
      </c>
    </row>
    <row r="10">
      <c r="A10" s="2">
        <f>IFERROR(__xludf.DUMMYFUNCTION("""COMPUTED_VALUE"""),9.0)</f>
        <v>9</v>
      </c>
      <c r="B10" s="2" t="str">
        <f>IFERROR(__xludf.DUMMYFUNCTION("""COMPUTED_VALUE"""),"Sun Koshi")</f>
        <v>Sun Koshi</v>
      </c>
      <c r="C10" s="2">
        <f>IFERROR(__xludf.DUMMYFUNCTION("""COMPUTED_VALUE"""),10.05)</f>
        <v>10.05</v>
      </c>
      <c r="D10" s="2" t="str">
        <f>IFERROR(__xludf.DUMMYFUNCTION("""COMPUTED_VALUE"""),"Sun Koshi")</f>
        <v>Sun Koshi</v>
      </c>
      <c r="E10" s="2" t="str">
        <f>IFERROR(__xludf.DUMMYFUNCTION("""COMPUTED_VALUE"""),"1_gtd")</f>
        <v>1_gtd</v>
      </c>
      <c r="F10" s="3">
        <f>IFERROR(__xludf.DUMMYFUNCTION("""COMPUTED_VALUE"""),55493.0)</f>
        <v>55493</v>
      </c>
      <c r="G10" s="3">
        <f>IFERROR(__xludf.DUMMYFUNCTION("""COMPUTED_VALUE"""),73749.0)</f>
        <v>73749</v>
      </c>
      <c r="H10" s="2" t="str">
        <f>IFERROR(__xludf.DUMMYFUNCTION("""COMPUTED_VALUE"""),"Nepal Electricity Authority")</f>
        <v>Nepal Electricity Authority</v>
      </c>
      <c r="I10" s="2"/>
      <c r="J10" s="2" t="str">
        <f>IFERROR(__xludf.DUMMYFUNCTION("""COMPUTED_VALUE"""),"27o 45' 00""")</f>
        <v>27o 45' 00"</v>
      </c>
      <c r="K10" s="2" t="str">
        <f>IFERROR(__xludf.DUMMYFUNCTION("""COMPUTED_VALUE"""),"27o 46' 00""")</f>
        <v>27o 46' 00"</v>
      </c>
      <c r="L10" s="2" t="str">
        <f>IFERROR(__xludf.DUMMYFUNCTION("""COMPUTED_VALUE"""),"85o 50' 10""")</f>
        <v>85o 50' 10"</v>
      </c>
      <c r="M10" s="2" t="str">
        <f>IFERROR(__xludf.DUMMYFUNCTION("""COMPUTED_VALUE"""),"85o 52' 30""")</f>
        <v>85o 52' 30"</v>
      </c>
      <c r="N10" s="2" t="str">
        <f>IFERROR(__xludf.DUMMYFUNCTION("""COMPUTED_VALUE"""),"(Sindhupalchok)")</f>
        <v>(Sindhupalchok)</v>
      </c>
      <c r="O10" s="3">
        <f>IFERROR(__xludf.DUMMYFUNCTION("""COMPUTED_VALUE"""),47119.0)</f>
        <v>47119</v>
      </c>
    </row>
    <row r="11">
      <c r="A11" s="2">
        <f>IFERROR(__xludf.DUMMYFUNCTION("""COMPUTED_VALUE"""),10.0)</f>
        <v>10</v>
      </c>
      <c r="B11" s="2" t="str">
        <f>IFERROR(__xludf.DUMMYFUNCTION("""COMPUTED_VALUE"""),"Tinau")</f>
        <v>Tinau</v>
      </c>
      <c r="C11" s="2">
        <f>IFERROR(__xludf.DUMMYFUNCTION("""COMPUTED_VALUE"""),1.024)</f>
        <v>1.024</v>
      </c>
      <c r="D11" s="2" t="str">
        <f>IFERROR(__xludf.DUMMYFUNCTION("""COMPUTED_VALUE"""),"Tinau")</f>
        <v>Tinau</v>
      </c>
      <c r="E11" s="2" t="str">
        <f>IFERROR(__xludf.DUMMYFUNCTION("""COMPUTED_VALUE"""),"1_gtd")</f>
        <v>1_gtd</v>
      </c>
      <c r="F11" s="3">
        <f>IFERROR(__xludf.DUMMYFUNCTION("""COMPUTED_VALUE"""),55493.0)</f>
        <v>55493</v>
      </c>
      <c r="G11" s="3">
        <f>IFERROR(__xludf.DUMMYFUNCTION("""COMPUTED_VALUE"""),73749.0)</f>
        <v>73749</v>
      </c>
      <c r="H11" s="2" t="str">
        <f>IFERROR(__xludf.DUMMYFUNCTION("""COMPUTED_VALUE"""),"Nepal Electricity Authority")</f>
        <v>Nepal Electricity Authority</v>
      </c>
      <c r="I11" s="2"/>
      <c r="J11" s="2" t="str">
        <f>IFERROR(__xludf.DUMMYFUNCTION("""COMPUTED_VALUE"""),"27o 43' 00""")</f>
        <v>27o 43' 00"</v>
      </c>
      <c r="K11" s="2" t="str">
        <f>IFERROR(__xludf.DUMMYFUNCTION("""COMPUTED_VALUE"""),"27o 44' 20""")</f>
        <v>27o 44' 20"</v>
      </c>
      <c r="L11" s="2" t="str">
        <f>IFERROR(__xludf.DUMMYFUNCTION("""COMPUTED_VALUE"""),"83o 27' 30""")</f>
        <v>83o 27' 30"</v>
      </c>
      <c r="M11" s="2" t="str">
        <f>IFERROR(__xludf.DUMMYFUNCTION("""COMPUTED_VALUE"""),"83o 28' 00""")</f>
        <v>83o 28' 00"</v>
      </c>
      <c r="N11" s="2" t="str">
        <f>IFERROR(__xludf.DUMMYFUNCTION("""COMPUTED_VALUE"""),"(Palpa)")</f>
        <v>(Palpa)</v>
      </c>
      <c r="O11" s="3">
        <f>IFERROR(__xludf.DUMMYFUNCTION("""COMPUTED_VALUE"""),50406.0)</f>
        <v>50406</v>
      </c>
    </row>
    <row r="12">
      <c r="A12" s="2">
        <f>IFERROR(__xludf.DUMMYFUNCTION("""COMPUTED_VALUE"""),11.0)</f>
        <v>11</v>
      </c>
      <c r="B12" s="2" t="str">
        <f>IFERROR(__xludf.DUMMYFUNCTION("""COMPUTED_VALUE"""),"Tatopani")</f>
        <v>Tatopani</v>
      </c>
      <c r="C12" s="2">
        <f>IFERROR(__xludf.DUMMYFUNCTION("""COMPUTED_VALUE"""),2.0)</f>
        <v>2</v>
      </c>
      <c r="D12" s="2" t="str">
        <f>IFERROR(__xludf.DUMMYFUNCTION("""COMPUTED_VALUE"""),"Tatopani")</f>
        <v>Tatopani</v>
      </c>
      <c r="E12" s="2" t="str">
        <f>IFERROR(__xludf.DUMMYFUNCTION("""COMPUTED_VALUE"""),"1_gtd")</f>
        <v>1_gtd</v>
      </c>
      <c r="F12" s="3">
        <f>IFERROR(__xludf.DUMMYFUNCTION("""COMPUTED_VALUE"""),55493.0)</f>
        <v>55493</v>
      </c>
      <c r="G12" s="3">
        <f>IFERROR(__xludf.DUMMYFUNCTION("""COMPUTED_VALUE"""),73749.0)</f>
        <v>73749</v>
      </c>
      <c r="H12" s="2" t="str">
        <f>IFERROR(__xludf.DUMMYFUNCTION("""COMPUTED_VALUE"""),"Nepal Electricity Authority")</f>
        <v>Nepal Electricity Authority</v>
      </c>
      <c r="I12" s="2"/>
      <c r="J12" s="2" t="str">
        <f>IFERROR(__xludf.DUMMYFUNCTION("""COMPUTED_VALUE"""),"28o 31' 31""")</f>
        <v>28o 31' 31"</v>
      </c>
      <c r="K12" s="2" t="str">
        <f>IFERROR(__xludf.DUMMYFUNCTION("""COMPUTED_VALUE"""),"28o 32' 00""")</f>
        <v>28o 32' 00"</v>
      </c>
      <c r="L12" s="2" t="str">
        <f>IFERROR(__xludf.DUMMYFUNCTION("""COMPUTED_VALUE"""),"83o 39' 30""")</f>
        <v>83o 39' 30"</v>
      </c>
      <c r="M12" s="2" t="str">
        <f>IFERROR(__xludf.DUMMYFUNCTION("""COMPUTED_VALUE"""),"83o 40' 07""")</f>
        <v>83o 40' 07"</v>
      </c>
      <c r="N12" s="2" t="str">
        <f>IFERROR(__xludf.DUMMYFUNCTION("""COMPUTED_VALUE"""),"(Myagdi)")</f>
        <v>(Myagdi)</v>
      </c>
      <c r="O12" s="3">
        <f>IFERROR(__xludf.DUMMYFUNCTION("""COMPUTED_VALUE"""),52963.0)</f>
        <v>52963</v>
      </c>
    </row>
    <row r="13">
      <c r="A13" s="2">
        <f>IFERROR(__xludf.DUMMYFUNCTION("""COMPUTED_VALUE"""),12.0)</f>
        <v>12</v>
      </c>
      <c r="B13" s="2" t="str">
        <f>IFERROR(__xludf.DUMMYFUNCTION("""COMPUTED_VALUE"""),"Kulekhani-II")</f>
        <v>Kulekhani-II</v>
      </c>
      <c r="C13" s="2">
        <f>IFERROR(__xludf.DUMMYFUNCTION("""COMPUTED_VALUE"""),32.0)</f>
        <v>32</v>
      </c>
      <c r="D13" s="2" t="str">
        <f>IFERROR(__xludf.DUMMYFUNCTION("""COMPUTED_VALUE"""),"Kulekhani")</f>
        <v>Kulekhani</v>
      </c>
      <c r="E13" s="2" t="str">
        <f>IFERROR(__xludf.DUMMYFUNCTION("""COMPUTED_VALUE"""),"1_gtd")</f>
        <v>1_gtd</v>
      </c>
      <c r="F13" s="3">
        <f>IFERROR(__xludf.DUMMYFUNCTION("""COMPUTED_VALUE"""),55493.0)</f>
        <v>55493</v>
      </c>
      <c r="G13" s="3">
        <f>IFERROR(__xludf.DUMMYFUNCTION("""COMPUTED_VALUE"""),73749.0)</f>
        <v>73749</v>
      </c>
      <c r="H13" s="2" t="str">
        <f>IFERROR(__xludf.DUMMYFUNCTION("""COMPUTED_VALUE"""),"Nepal Electricity Authority")</f>
        <v>Nepal Electricity Authority</v>
      </c>
      <c r="I13" s="2"/>
      <c r="J13" s="2" t="str">
        <f>IFERROR(__xludf.DUMMYFUNCTION("""COMPUTED_VALUE"""),"27o 30' 06""")</f>
        <v>27o 30' 06"</v>
      </c>
      <c r="K13" s="2" t="str">
        <f>IFERROR(__xludf.DUMMYFUNCTION("""COMPUTED_VALUE"""),"27o 32' 06""")</f>
        <v>27o 32' 06"</v>
      </c>
      <c r="L13" s="2" t="str">
        <f>IFERROR(__xludf.DUMMYFUNCTION("""COMPUTED_VALUE"""),"85o 02' 32""")</f>
        <v>85o 02' 32"</v>
      </c>
      <c r="M13" s="2" t="str">
        <f>IFERROR(__xludf.DUMMYFUNCTION("""COMPUTED_VALUE"""),"85o 08' 21""")</f>
        <v>85o 08' 21"</v>
      </c>
      <c r="N13" s="2" t="str">
        <f>IFERROR(__xludf.DUMMYFUNCTION("""COMPUTED_VALUE"""),"(Makawanpur)")</f>
        <v>(Makawanpur)</v>
      </c>
      <c r="O13" s="3">
        <f>IFERROR(__xludf.DUMMYFUNCTION("""COMPUTED_VALUE"""),52427.0)</f>
        <v>52427</v>
      </c>
    </row>
    <row r="14">
      <c r="A14" s="2">
        <f>IFERROR(__xludf.DUMMYFUNCTION("""COMPUTED_VALUE"""),13.0)</f>
        <v>13</v>
      </c>
      <c r="B14" s="2" t="str">
        <f>IFERROR(__xludf.DUMMYFUNCTION("""COMPUTED_VALUE"""),"Andhi Khola")</f>
        <v>Andhi Khola</v>
      </c>
      <c r="C14" s="2">
        <f>IFERROR(__xludf.DUMMYFUNCTION("""COMPUTED_VALUE"""),9.4)</f>
        <v>9.4</v>
      </c>
      <c r="D14" s="2" t="str">
        <f>IFERROR(__xludf.DUMMYFUNCTION("""COMPUTED_VALUE"""),"Andhi Khola")</f>
        <v>Andhi Khola</v>
      </c>
      <c r="E14" s="2" t="str">
        <f>IFERROR(__xludf.DUMMYFUNCTION("""COMPUTED_VALUE"""),"2_gtd")</f>
        <v>2_gtd</v>
      </c>
      <c r="F14" s="3">
        <f>IFERROR(__xludf.DUMMYFUNCTION("""COMPUTED_VALUE"""),55526.0)</f>
        <v>55526</v>
      </c>
      <c r="G14" s="3">
        <f>IFERROR(__xludf.DUMMYFUNCTION("""COMPUTED_VALUE"""),73779.0)</f>
        <v>73779</v>
      </c>
      <c r="H14" s="2" t="str">
        <f>IFERROR(__xludf.DUMMYFUNCTION("""COMPUTED_VALUE"""),"Butwal Power Company")</f>
        <v>Butwal Power Company</v>
      </c>
      <c r="I14" s="2"/>
      <c r="J14" s="2" t="str">
        <f>IFERROR(__xludf.DUMMYFUNCTION("""COMPUTED_VALUE"""),"27o 55' 34""")</f>
        <v>27o 55' 34"</v>
      </c>
      <c r="K14" s="2" t="str">
        <f>IFERROR(__xludf.DUMMYFUNCTION("""COMPUTED_VALUE"""),"27o 57' 02""")</f>
        <v>27o 57' 02"</v>
      </c>
      <c r="L14" s="2" t="str">
        <f>IFERROR(__xludf.DUMMYFUNCTION("""COMPUTED_VALUE"""),"83o 40' 37""")</f>
        <v>83o 40' 37"</v>
      </c>
      <c r="M14" s="2" t="str">
        <f>IFERROR(__xludf.DUMMYFUNCTION("""COMPUTED_VALUE"""),"83o 41' 06""")</f>
        <v>83o 41' 06"</v>
      </c>
      <c r="N14" s="2" t="str">
        <f>IFERROR(__xludf.DUMMYFUNCTION("""COMPUTED_VALUE"""),"(Syangja)")</f>
        <v>(Syangja)</v>
      </c>
      <c r="O14" s="3">
        <f>IFERROR(__xludf.DUMMYFUNCTION("""COMPUTED_VALUE"""),54106.0)</f>
        <v>54106</v>
      </c>
    </row>
    <row r="15">
      <c r="A15" s="2">
        <f>IFERROR(__xludf.DUMMYFUNCTION("""COMPUTED_VALUE"""),14.0)</f>
        <v>14</v>
      </c>
      <c r="B15" s="2" t="str">
        <f>IFERROR(__xludf.DUMMYFUNCTION("""COMPUTED_VALUE"""),"Jhimruk Khola")</f>
        <v>Jhimruk Khola</v>
      </c>
      <c r="C15" s="2">
        <f>IFERROR(__xludf.DUMMYFUNCTION("""COMPUTED_VALUE"""),12.5)</f>
        <v>12.5</v>
      </c>
      <c r="D15" s="2" t="str">
        <f>IFERROR(__xludf.DUMMYFUNCTION("""COMPUTED_VALUE"""),"Jhimruk")</f>
        <v>Jhimruk</v>
      </c>
      <c r="E15" s="2" t="str">
        <f>IFERROR(__xludf.DUMMYFUNCTION("""COMPUTED_VALUE"""),"3_gtd")</f>
        <v>3_gtd</v>
      </c>
      <c r="F15" s="3">
        <f>IFERROR(__xludf.DUMMYFUNCTION("""COMPUTED_VALUE"""),55543.0)</f>
        <v>55543</v>
      </c>
      <c r="G15" s="3">
        <f>IFERROR(__xludf.DUMMYFUNCTION("""COMPUTED_VALUE"""),73779.0)</f>
        <v>73779</v>
      </c>
      <c r="H15" s="2" t="str">
        <f>IFERROR(__xludf.DUMMYFUNCTION("""COMPUTED_VALUE"""),"Butwal Power Company")</f>
        <v>Butwal Power Company</v>
      </c>
      <c r="I15" s="2"/>
      <c r="J15" s="2" t="str">
        <f>IFERROR(__xludf.DUMMYFUNCTION("""COMPUTED_VALUE"""),"28o 04' 02""")</f>
        <v>28o 04' 02"</v>
      </c>
      <c r="K15" s="2" t="str">
        <f>IFERROR(__xludf.DUMMYFUNCTION("""COMPUTED_VALUE"""),"28o 04' 46""")</f>
        <v>28o 04' 46"</v>
      </c>
      <c r="L15" s="2" t="str">
        <f>IFERROR(__xludf.DUMMYFUNCTION("""COMPUTED_VALUE"""),"82o 48' 04""")</f>
        <v>82o 48' 04"</v>
      </c>
      <c r="M15" s="2" t="str">
        <f>IFERROR(__xludf.DUMMYFUNCTION("""COMPUTED_VALUE"""),"82o 49' 07""")</f>
        <v>82o 49' 07"</v>
      </c>
      <c r="N15" s="2" t="str">
        <f>IFERROR(__xludf.DUMMYFUNCTION("""COMPUTED_VALUE"""),"(Pyuthan)")</f>
        <v>(Pyuthan)</v>
      </c>
      <c r="O15" s="3">
        <f>IFERROR(__xludf.DUMMYFUNCTION("""COMPUTED_VALUE"""),51608.0)</f>
        <v>51608</v>
      </c>
    </row>
    <row r="16">
      <c r="A16" s="2">
        <f>IFERROR(__xludf.DUMMYFUNCTION("""COMPUTED_VALUE"""),15.0)</f>
        <v>15</v>
      </c>
      <c r="B16" s="2" t="str">
        <f>IFERROR(__xludf.DUMMYFUNCTION("""COMPUTED_VALUE"""),"Puwa")</f>
        <v>Puwa</v>
      </c>
      <c r="C16" s="2">
        <f>IFERROR(__xludf.DUMMYFUNCTION("""COMPUTED_VALUE"""),6.2)</f>
        <v>6.2</v>
      </c>
      <c r="D16" s="2" t="str">
        <f>IFERROR(__xludf.DUMMYFUNCTION("""COMPUTED_VALUE"""),"Puwa")</f>
        <v>Puwa</v>
      </c>
      <c r="E16" s="2">
        <f>IFERROR(__xludf.DUMMYFUNCTION("""COMPUTED_VALUE"""),2.0)</f>
        <v>2</v>
      </c>
      <c r="F16" s="3">
        <f>IFERROR(__xludf.DUMMYFUNCTION("""COMPUTED_VALUE"""),55666.0)</f>
        <v>55666</v>
      </c>
      <c r="G16" s="3">
        <f>IFERROR(__xludf.DUMMYFUNCTION("""COMPUTED_VALUE"""),73749.0)</f>
        <v>73749</v>
      </c>
      <c r="H16" s="2" t="str">
        <f>IFERROR(__xludf.DUMMYFUNCTION("""COMPUTED_VALUE"""),"Nepal Electricity Authority")</f>
        <v>Nepal Electricity Authority</v>
      </c>
      <c r="I16" s="2"/>
      <c r="J16" s="2" t="str">
        <f>IFERROR(__xludf.DUMMYFUNCTION("""COMPUTED_VALUE"""),"26o 52' 28""")</f>
        <v>26o 52' 28"</v>
      </c>
      <c r="K16" s="2" t="str">
        <f>IFERROR(__xludf.DUMMYFUNCTION("""COMPUTED_VALUE"""),"26o 54' 50""")</f>
        <v>26o 54' 50"</v>
      </c>
      <c r="L16" s="2" t="str">
        <f>IFERROR(__xludf.DUMMYFUNCTION("""COMPUTED_VALUE"""),"87o 54' 04""")</f>
        <v>87o 54' 04"</v>
      </c>
      <c r="M16" s="2" t="str">
        <f>IFERROR(__xludf.DUMMYFUNCTION("""COMPUTED_VALUE"""),"87o 55' 52""")</f>
        <v>87o 55' 52"</v>
      </c>
      <c r="N16" s="2" t="str">
        <f>IFERROR(__xludf.DUMMYFUNCTION("""COMPUTED_VALUE"""),"Ilam N.P. (Ilam)")</f>
        <v>Ilam N.P. (Ilam)</v>
      </c>
      <c r="O16" s="3">
        <f>IFERROR(__xludf.DUMMYFUNCTION("""COMPUTED_VALUE"""),58797.0)</f>
        <v>58797</v>
      </c>
    </row>
    <row r="17">
      <c r="A17" s="2">
        <f>IFERROR(__xludf.DUMMYFUNCTION("""COMPUTED_VALUE"""),16.0)</f>
        <v>16</v>
      </c>
      <c r="B17" s="2" t="str">
        <f>IFERROR(__xludf.DUMMYFUNCTION("""COMPUTED_VALUE"""),"Modi Khola")</f>
        <v>Modi Khola</v>
      </c>
      <c r="C17" s="2">
        <f>IFERROR(__xludf.DUMMYFUNCTION("""COMPUTED_VALUE"""),14.8)</f>
        <v>14.8</v>
      </c>
      <c r="D17" s="2" t="str">
        <f>IFERROR(__xludf.DUMMYFUNCTION("""COMPUTED_VALUE"""),"Modi Khola")</f>
        <v>Modi Khola</v>
      </c>
      <c r="E17" s="2">
        <f>IFERROR(__xludf.DUMMYFUNCTION("""COMPUTED_VALUE"""),3.0)</f>
        <v>3</v>
      </c>
      <c r="F17" s="3">
        <f>IFERROR(__xludf.DUMMYFUNCTION("""COMPUTED_VALUE"""),55816.0)</f>
        <v>55816</v>
      </c>
      <c r="G17" s="3">
        <f>IFERROR(__xludf.DUMMYFUNCTION("""COMPUTED_VALUE"""),73749.0)</f>
        <v>73749</v>
      </c>
      <c r="H17" s="2" t="str">
        <f>IFERROR(__xludf.DUMMYFUNCTION("""COMPUTED_VALUE"""),"Nepal Electricity Authority")</f>
        <v>Nepal Electricity Authority</v>
      </c>
      <c r="I17" s="2"/>
      <c r="J17" s="2" t="str">
        <f>IFERROR(__xludf.DUMMYFUNCTION("""COMPUTED_VALUE"""),"28o 15' 42""")</f>
        <v>28o 15' 42"</v>
      </c>
      <c r="K17" s="2" t="str">
        <f>IFERROR(__xludf.DUMMYFUNCTION("""COMPUTED_VALUE"""),"28o 17' 45""")</f>
        <v>28o 17' 45"</v>
      </c>
      <c r="L17" s="2" t="str">
        <f>IFERROR(__xludf.DUMMYFUNCTION("""COMPUTED_VALUE"""),"83o 43' 47""")</f>
        <v>83o 43' 47"</v>
      </c>
      <c r="M17" s="2" t="str">
        <f>IFERROR(__xludf.DUMMYFUNCTION("""COMPUTED_VALUE"""),"83o 45' 45""")</f>
        <v>83o 45' 45"</v>
      </c>
      <c r="N17" s="2" t="str">
        <f>IFERROR(__xludf.DUMMYFUNCTION("""COMPUTED_VALUE"""),"(Parbat)")</f>
        <v>(Parbat)</v>
      </c>
      <c r="O17" s="3">
        <f>IFERROR(__xludf.DUMMYFUNCTION("""COMPUTED_VALUE"""),57573.0)</f>
        <v>57573</v>
      </c>
    </row>
    <row r="18">
      <c r="A18" s="2">
        <f>IFERROR(__xludf.DUMMYFUNCTION("""COMPUTED_VALUE"""),17.0)</f>
        <v>17</v>
      </c>
      <c r="B18" s="2" t="str">
        <f>IFERROR(__xludf.DUMMYFUNCTION("""COMPUTED_VALUE"""),"Kali Gandaki A")</f>
        <v>Kali Gandaki A</v>
      </c>
      <c r="C18" s="2">
        <f>IFERROR(__xludf.DUMMYFUNCTION("""COMPUTED_VALUE"""),144.0)</f>
        <v>144</v>
      </c>
      <c r="D18" s="2" t="str">
        <f>IFERROR(__xludf.DUMMYFUNCTION("""COMPUTED_VALUE"""),"Kali Gandaki")</f>
        <v>Kali Gandaki</v>
      </c>
      <c r="E18" s="2">
        <f>IFERROR(__xludf.DUMMYFUNCTION("""COMPUTED_VALUE"""),4.0)</f>
        <v>4</v>
      </c>
      <c r="F18" s="3">
        <f>IFERROR(__xludf.DUMMYFUNCTION("""COMPUTED_VALUE"""),56086.0)</f>
        <v>56086</v>
      </c>
      <c r="G18" s="3">
        <f>IFERROR(__xludf.DUMMYFUNCTION("""COMPUTED_VALUE"""),73749.0)</f>
        <v>73749</v>
      </c>
      <c r="H18" s="2" t="str">
        <f>IFERROR(__xludf.DUMMYFUNCTION("""COMPUTED_VALUE"""),"Nepal Electricity Authority")</f>
        <v>Nepal Electricity Authority</v>
      </c>
      <c r="I18" s="2"/>
      <c r="J18" s="2" t="str">
        <f>IFERROR(__xludf.DUMMYFUNCTION("""COMPUTED_VALUE"""),"27o 55' 00""")</f>
        <v>27o 55' 00"</v>
      </c>
      <c r="K18" s="2" t="str">
        <f>IFERROR(__xludf.DUMMYFUNCTION("""COMPUTED_VALUE"""),"28o 00' 52""")</f>
        <v>28o 00' 52"</v>
      </c>
      <c r="L18" s="2" t="str">
        <f>IFERROR(__xludf.DUMMYFUNCTION("""COMPUTED_VALUE"""),"83o 26' 12""")</f>
        <v>83o 26' 12"</v>
      </c>
      <c r="M18" s="2" t="str">
        <f>IFERROR(__xludf.DUMMYFUNCTION("""COMPUTED_VALUE"""),"83o 37' 20""")</f>
        <v>83o 37' 20"</v>
      </c>
      <c r="N18" s="2" t="str">
        <f>IFERROR(__xludf.DUMMYFUNCTION("""COMPUTED_VALUE"""),"Shreekrishna Gandaki (Syangja)")</f>
        <v>Shreekrishna Gandaki (Syangja)</v>
      </c>
      <c r="O18" s="2" t="str">
        <f>IFERROR(__xludf.DUMMYFUNCTION("""COMPUTED_VALUE"""),"2059-04-31")</f>
        <v>2059-04-31</v>
      </c>
    </row>
    <row r="19">
      <c r="A19" s="2">
        <f>IFERROR(__xludf.DUMMYFUNCTION("""COMPUTED_VALUE"""),18.0)</f>
        <v>18</v>
      </c>
      <c r="B19" s="2" t="str">
        <f>IFERROR(__xludf.DUMMYFUNCTION("""COMPUTED_VALUE"""),"Upper Bhotekoshi")</f>
        <v>Upper Bhotekoshi</v>
      </c>
      <c r="C19" s="2">
        <f>IFERROR(__xludf.DUMMYFUNCTION("""COMPUTED_VALUE"""),45.0)</f>
        <v>45</v>
      </c>
      <c r="D19" s="2" t="str">
        <f>IFERROR(__xludf.DUMMYFUNCTION("""COMPUTED_VALUE"""),"Bhotekoshi (Sindhupalchowk)")</f>
        <v>Bhotekoshi (Sindhupalchowk)</v>
      </c>
      <c r="E19" s="2">
        <f>IFERROR(__xludf.DUMMYFUNCTION("""COMPUTED_VALUE"""),5.0)</f>
        <v>5</v>
      </c>
      <c r="F19" s="3">
        <f>IFERROR(__xludf.DUMMYFUNCTION("""COMPUTED_VALUE"""),56109.0)</f>
        <v>56109</v>
      </c>
      <c r="G19" s="3">
        <f>IFERROR(__xludf.DUMMYFUNCTION("""COMPUTED_VALUE"""),70705.0)</f>
        <v>70705</v>
      </c>
      <c r="H19" s="2" t="str">
        <f>IFERROR(__xludf.DUMMYFUNCTION("""COMPUTED_VALUE"""),"Bhotekoshi Power Company")</f>
        <v>Bhotekoshi Power Company</v>
      </c>
      <c r="I19" s="2"/>
      <c r="J19" s="2" t="str">
        <f>IFERROR(__xludf.DUMMYFUNCTION("""COMPUTED_VALUE"""),"27o 54' 40""")</f>
        <v>27o 54' 40"</v>
      </c>
      <c r="K19" s="2" t="str">
        <f>IFERROR(__xludf.DUMMYFUNCTION("""COMPUTED_VALUE"""),"27o 56' 42""")</f>
        <v>27o 56' 42"</v>
      </c>
      <c r="L19" s="2" t="str">
        <f>IFERROR(__xludf.DUMMYFUNCTION("""COMPUTED_VALUE"""),"85o 55' 13""")</f>
        <v>85o 55' 13"</v>
      </c>
      <c r="M19" s="2" t="str">
        <f>IFERROR(__xludf.DUMMYFUNCTION("""COMPUTED_VALUE"""),"85o 56' 55""")</f>
        <v>85o 56' 55"</v>
      </c>
      <c r="N19" s="2" t="str">
        <f>IFERROR(__xludf.DUMMYFUNCTION("""COMPUTED_VALUE"""),"(Sindhupalchok)")</f>
        <v>(Sindhupalchok)</v>
      </c>
      <c r="O19" s="3">
        <f>IFERROR(__xludf.DUMMYFUNCTION("""COMPUTED_VALUE"""),57629.0)</f>
        <v>57629</v>
      </c>
    </row>
    <row r="20">
      <c r="A20" s="2">
        <f>IFERROR(__xludf.DUMMYFUNCTION("""COMPUTED_VALUE"""),19.0)</f>
        <v>19</v>
      </c>
      <c r="B20" s="2" t="str">
        <f>IFERROR(__xludf.DUMMYFUNCTION("""COMPUTED_VALUE"""),"Chilime")</f>
        <v>Chilime</v>
      </c>
      <c r="C20" s="2">
        <f>IFERROR(__xludf.DUMMYFUNCTION("""COMPUTED_VALUE"""),22.0)</f>
        <v>22</v>
      </c>
      <c r="D20" s="2" t="str">
        <f>IFERROR(__xludf.DUMMYFUNCTION("""COMPUTED_VALUE"""),"Chilime")</f>
        <v>Chilime</v>
      </c>
      <c r="E20" s="2">
        <f>IFERROR(__xludf.DUMMYFUNCTION("""COMPUTED_VALUE"""),6.0)</f>
        <v>6</v>
      </c>
      <c r="F20" s="3">
        <f>IFERROR(__xludf.DUMMYFUNCTION("""COMPUTED_VALUE"""),56365.0)</f>
        <v>56365</v>
      </c>
      <c r="G20" s="3">
        <f>IFERROR(__xludf.DUMMYFUNCTION("""COMPUTED_VALUE"""),74845.0)</f>
        <v>74845</v>
      </c>
      <c r="H20" s="2" t="str">
        <f>IFERROR(__xludf.DUMMYFUNCTION("""COMPUTED_VALUE"""),"Chilime Hydropower Company Limited")</f>
        <v>Chilime Hydropower Company Limited</v>
      </c>
      <c r="I20" s="2" t="str">
        <f>IFERROR(__xludf.DUMMYFUNCTION("""COMPUTED_VALUE"""),"KMC-3, Maharajgunj, POBox: 25210, Kathmandu, e-mail: info@chilime.com.np")</f>
        <v>KMC-3, Maharajgunj, POBox: 25210, Kathmandu, e-mail: info@chilime.com.np</v>
      </c>
      <c r="J20" s="2" t="str">
        <f>IFERROR(__xludf.DUMMYFUNCTION("""COMPUTED_VALUE"""),"28o 09' 15""")</f>
        <v>28o 09' 15"</v>
      </c>
      <c r="K20" s="2" t="str">
        <f>IFERROR(__xludf.DUMMYFUNCTION("""COMPUTED_VALUE"""),"28o 11' 07""")</f>
        <v>28o 11' 07"</v>
      </c>
      <c r="L20" s="2" t="str">
        <f>IFERROR(__xludf.DUMMYFUNCTION("""COMPUTED_VALUE"""),"85o 17' 53""")</f>
        <v>85o 17' 53"</v>
      </c>
      <c r="M20" s="2" t="str">
        <f>IFERROR(__xludf.DUMMYFUNCTION("""COMPUTED_VALUE"""),"85o 20' 28""")</f>
        <v>85o 20' 28"</v>
      </c>
      <c r="N20" s="2" t="str">
        <f>IFERROR(__xludf.DUMMYFUNCTION("""COMPUTED_VALUE"""),"Chilime (Rasuwa)")</f>
        <v>Chilime (Rasuwa)</v>
      </c>
      <c r="O20" s="3">
        <f>IFERROR(__xludf.DUMMYFUNCTION("""COMPUTED_VALUE"""),60394.0)</f>
        <v>60394</v>
      </c>
    </row>
    <row r="21">
      <c r="A21" s="2">
        <f>IFERROR(__xludf.DUMMYFUNCTION("""COMPUTED_VALUE"""),20.0)</f>
        <v>20</v>
      </c>
      <c r="B21" s="2" t="str">
        <f>IFERROR(__xludf.DUMMYFUNCTION("""COMPUTED_VALUE"""),"Indrawati -III")</f>
        <v>Indrawati -III</v>
      </c>
      <c r="C21" s="2">
        <f>IFERROR(__xludf.DUMMYFUNCTION("""COMPUTED_VALUE"""),7.5)</f>
        <v>7.5</v>
      </c>
      <c r="D21" s="2" t="str">
        <f>IFERROR(__xludf.DUMMYFUNCTION("""COMPUTED_VALUE"""),"Indrawati")</f>
        <v>Indrawati</v>
      </c>
      <c r="E21" s="2">
        <f>IFERROR(__xludf.DUMMYFUNCTION("""COMPUTED_VALUE"""),7.0)</f>
        <v>7</v>
      </c>
      <c r="F21" s="3">
        <f>IFERROR(__xludf.DUMMYFUNCTION("""COMPUTED_VALUE"""),56567.0)</f>
        <v>56567</v>
      </c>
      <c r="G21" s="3">
        <f>IFERROR(__xludf.DUMMYFUNCTION("""COMPUTED_VALUE"""),74783.0)</f>
        <v>74783</v>
      </c>
      <c r="H21" s="2" t="str">
        <f>IFERROR(__xludf.DUMMYFUNCTION("""COMPUTED_VALUE"""),"National Hydropower Company Pvt. Ltd.")</f>
        <v>National Hydropower Company Pvt. Ltd.</v>
      </c>
      <c r="I21" s="2"/>
      <c r="J21" s="2" t="str">
        <f>IFERROR(__xludf.DUMMYFUNCTION("""COMPUTED_VALUE"""),"27o 51' 38""")</f>
        <v>27o 51' 38"</v>
      </c>
      <c r="K21" s="2" t="str">
        <f>IFERROR(__xludf.DUMMYFUNCTION("""COMPUTED_VALUE"""),"27o 53' 15""")</f>
        <v>27o 53' 15"</v>
      </c>
      <c r="L21" s="2" t="str">
        <f>IFERROR(__xludf.DUMMYFUNCTION("""COMPUTED_VALUE"""),"85o 35' 24""")</f>
        <v>85o 35' 24"</v>
      </c>
      <c r="M21" s="2" t="str">
        <f>IFERROR(__xludf.DUMMYFUNCTION("""COMPUTED_VALUE"""),"85o 37' 12""")</f>
        <v>85o 37' 12"</v>
      </c>
      <c r="N21" s="2" t="str">
        <f>IFERROR(__xludf.DUMMYFUNCTION("""COMPUTED_VALUE"""),"Jyamire,Langarche (Sindhupalchok)")</f>
        <v>Jyamire,Langarche (Sindhupalchok)</v>
      </c>
      <c r="O21" s="3">
        <f>IFERROR(__xludf.DUMMYFUNCTION("""COMPUTED_VALUE"""),58247.0)</f>
        <v>58247</v>
      </c>
    </row>
    <row r="22">
      <c r="A22" s="2">
        <f>IFERROR(__xludf.DUMMYFUNCTION("""COMPUTED_VALUE"""),21.0)</f>
        <v>21</v>
      </c>
      <c r="B22" s="2" t="str">
        <f>IFERROR(__xludf.DUMMYFUNCTION("""COMPUTED_VALUE"""),"Madhya Marsyangdi")</f>
        <v>Madhya Marsyangdi</v>
      </c>
      <c r="C22" s="2">
        <f>IFERROR(__xludf.DUMMYFUNCTION("""COMPUTED_VALUE"""),70.0)</f>
        <v>70</v>
      </c>
      <c r="D22" s="2" t="str">
        <f>IFERROR(__xludf.DUMMYFUNCTION("""COMPUTED_VALUE"""),"Marsyangdi")</f>
        <v>Marsyangdi</v>
      </c>
      <c r="E22" s="2">
        <f>IFERROR(__xludf.DUMMYFUNCTION("""COMPUTED_VALUE"""),8.0)</f>
        <v>8</v>
      </c>
      <c r="F22" s="3">
        <f>IFERROR(__xludf.DUMMYFUNCTION("""COMPUTED_VALUE"""),57416.0)</f>
        <v>57416</v>
      </c>
      <c r="G22" s="3">
        <f>IFERROR(__xludf.DUMMYFUNCTION("""COMPUTED_VALUE"""),75272.0)</f>
        <v>75272</v>
      </c>
      <c r="H22" s="2" t="str">
        <f>IFERROR(__xludf.DUMMYFUNCTION("""COMPUTED_VALUE"""),"Nepal Electricity Authority")</f>
        <v>Nepal Electricity Authority</v>
      </c>
      <c r="I22" s="2"/>
      <c r="J22" s="2" t="str">
        <f>IFERROR(__xludf.DUMMYFUNCTION("""COMPUTED_VALUE"""),"28o 08' 20""")</f>
        <v>28o 08' 20"</v>
      </c>
      <c r="K22" s="2" t="str">
        <f>IFERROR(__xludf.DUMMYFUNCTION("""COMPUTED_VALUE"""),"28o 11' 50""")</f>
        <v>28o 11' 50"</v>
      </c>
      <c r="L22" s="2" t="str">
        <f>IFERROR(__xludf.DUMMYFUNCTION("""COMPUTED_VALUE"""),"84o 24' 18""")</f>
        <v>84o 24' 18"</v>
      </c>
      <c r="M22" s="2" t="str">
        <f>IFERROR(__xludf.DUMMYFUNCTION("""COMPUTED_VALUE"""),"84o 26' 51""")</f>
        <v>84o 26' 51"</v>
      </c>
      <c r="N22" s="2" t="str">
        <f>IFERROR(__xludf.DUMMYFUNCTION("""COMPUTED_VALUE"""),"(Lamjung)")</f>
        <v>(Lamjung)</v>
      </c>
      <c r="O22" s="3">
        <f>IFERROR(__xludf.DUMMYFUNCTION("""COMPUTED_VALUE"""),60464.0)</f>
        <v>60464</v>
      </c>
    </row>
    <row r="23">
      <c r="A23" s="2">
        <f>IFERROR(__xludf.DUMMYFUNCTION("""COMPUTED_VALUE"""),22.0)</f>
        <v>22</v>
      </c>
      <c r="B23" s="2" t="str">
        <f>IFERROR(__xludf.DUMMYFUNCTION("""COMPUTED_VALUE"""),"Piluwa Khola")</f>
        <v>Piluwa Khola</v>
      </c>
      <c r="C23" s="2">
        <f>IFERROR(__xludf.DUMMYFUNCTION("""COMPUTED_VALUE"""),3.0)</f>
        <v>3</v>
      </c>
      <c r="D23" s="2" t="str">
        <f>IFERROR(__xludf.DUMMYFUNCTION("""COMPUTED_VALUE"""),"Piluwa Khola")</f>
        <v>Piluwa Khola</v>
      </c>
      <c r="E23" s="2">
        <f>IFERROR(__xludf.DUMMYFUNCTION("""COMPUTED_VALUE"""),9.0)</f>
        <v>9</v>
      </c>
      <c r="F23" s="3">
        <f>IFERROR(__xludf.DUMMYFUNCTION("""COMPUTED_VALUE"""),57470.0)</f>
        <v>57470</v>
      </c>
      <c r="G23" s="2" t="str">
        <f>IFERROR(__xludf.DUMMYFUNCTION("""COMPUTED_VALUE"""),"2097-04-32")</f>
        <v>2097-04-32</v>
      </c>
      <c r="H23" s="2" t="str">
        <f>IFERROR(__xludf.DUMMYFUNCTION("""COMPUTED_VALUE"""),"Arun Valley Hydropower Development Company Pvt. Ltd.")</f>
        <v>Arun Valley Hydropower Development Company Pvt. Ltd.</v>
      </c>
      <c r="I23" s="2"/>
      <c r="J23" s="2" t="str">
        <f>IFERROR(__xludf.DUMMYFUNCTION("""COMPUTED_VALUE"""),"27o 15' 45""")</f>
        <v>27o 15' 45"</v>
      </c>
      <c r="K23" s="2" t="str">
        <f>IFERROR(__xludf.DUMMYFUNCTION("""COMPUTED_VALUE"""),"27o 17' 05""")</f>
        <v>27o 17' 05"</v>
      </c>
      <c r="L23" s="2" t="str">
        <f>IFERROR(__xludf.DUMMYFUNCTION("""COMPUTED_VALUE"""),"87o 19' 35""")</f>
        <v>87o 19' 35"</v>
      </c>
      <c r="M23" s="2" t="str">
        <f>IFERROR(__xludf.DUMMYFUNCTION("""COMPUTED_VALUE"""),"87o 20' 56""")</f>
        <v>87o 20' 56"</v>
      </c>
      <c r="N23" s="2" t="str">
        <f>IFERROR(__xludf.DUMMYFUNCTION("""COMPUTED_VALUE"""),"(Sankhuwasabha)")</f>
        <v>(Sankhuwasabha)</v>
      </c>
      <c r="O23" s="3">
        <f>IFERROR(__xludf.DUMMYFUNCTION("""COMPUTED_VALUE"""),58593.0)</f>
        <v>58593</v>
      </c>
    </row>
    <row r="24">
      <c r="A24" s="2">
        <f>IFERROR(__xludf.DUMMYFUNCTION("""COMPUTED_VALUE"""),23.0)</f>
        <v>23</v>
      </c>
      <c r="B24" s="2" t="str">
        <f>IFERROR(__xludf.DUMMYFUNCTION("""COMPUTED_VALUE"""),"Sunkoshi Small")</f>
        <v>Sunkoshi Small</v>
      </c>
      <c r="C24" s="2">
        <f>IFERROR(__xludf.DUMMYFUNCTION("""COMPUTED_VALUE"""),2.6)</f>
        <v>2.6</v>
      </c>
      <c r="D24" s="2" t="str">
        <f>IFERROR(__xludf.DUMMYFUNCTION("""COMPUTED_VALUE"""),"Sun Koshi")</f>
        <v>Sun Koshi</v>
      </c>
      <c r="E24" s="2">
        <f>IFERROR(__xludf.DUMMYFUNCTION("""COMPUTED_VALUE"""),12.0)</f>
        <v>12</v>
      </c>
      <c r="F24" s="3">
        <f>IFERROR(__xludf.DUMMYFUNCTION("""COMPUTED_VALUE"""),58248.0)</f>
        <v>58248</v>
      </c>
      <c r="G24" s="3">
        <f>IFERROR(__xludf.DUMMYFUNCTION("""COMPUTED_VALUE"""),70949.0)</f>
        <v>70949</v>
      </c>
      <c r="H24" s="2" t="str">
        <f>IFERROR(__xludf.DUMMYFUNCTION("""COMPUTED_VALUE"""),"Sanima Hydripower Pvt.Ltd")</f>
        <v>Sanima Hydripower Pvt.Ltd</v>
      </c>
      <c r="I24" s="2"/>
      <c r="J24" s="2" t="str">
        <f>IFERROR(__xludf.DUMMYFUNCTION("""COMPUTED_VALUE"""),"27o 46' 00""")</f>
        <v>27o 46' 00"</v>
      </c>
      <c r="K24" s="2" t="str">
        <f>IFERROR(__xludf.DUMMYFUNCTION("""COMPUTED_VALUE"""),"27o 48' 00""")</f>
        <v>27o 48' 00"</v>
      </c>
      <c r="L24" s="2" t="str">
        <f>IFERROR(__xludf.DUMMYFUNCTION("""COMPUTED_VALUE"""),"85o 53' 00""")</f>
        <v>85o 53' 00"</v>
      </c>
      <c r="M24" s="2" t="str">
        <f>IFERROR(__xludf.DUMMYFUNCTION("""COMPUTED_VALUE"""),"85o 56' 00""")</f>
        <v>85o 56' 00"</v>
      </c>
      <c r="N24" s="2" t="str">
        <f>IFERROR(__xludf.DUMMYFUNCTION("""COMPUTED_VALUE"""),"(Sindhupalchok)")</f>
        <v>(Sindhupalchok)</v>
      </c>
      <c r="O24" s="3">
        <f>IFERROR(__xludf.DUMMYFUNCTION("""COMPUTED_VALUE"""),59151.0)</f>
        <v>59151</v>
      </c>
    </row>
    <row r="25">
      <c r="A25" s="2">
        <f>IFERROR(__xludf.DUMMYFUNCTION("""COMPUTED_VALUE"""),24.0)</f>
        <v>24</v>
      </c>
      <c r="B25" s="2" t="str">
        <f>IFERROR(__xludf.DUMMYFUNCTION("""COMPUTED_VALUE"""),"Mailung Khola")</f>
        <v>Mailung Khola</v>
      </c>
      <c r="C25" s="2">
        <f>IFERROR(__xludf.DUMMYFUNCTION("""COMPUTED_VALUE"""),5.0)</f>
        <v>5</v>
      </c>
      <c r="D25" s="2" t="str">
        <f>IFERROR(__xludf.DUMMYFUNCTION("""COMPUTED_VALUE"""),"Mailung Khola")</f>
        <v>Mailung Khola</v>
      </c>
      <c r="E25" s="2">
        <f>IFERROR(__xludf.DUMMYFUNCTION("""COMPUTED_VALUE"""),13.0)</f>
        <v>13</v>
      </c>
      <c r="F25" s="3">
        <f>IFERROR(__xludf.DUMMYFUNCTION("""COMPUTED_VALUE"""),58778.0)</f>
        <v>58778</v>
      </c>
      <c r="G25" s="3">
        <f>IFERROR(__xludf.DUMMYFUNCTION("""COMPUTED_VALUE"""),71223.0)</f>
        <v>71223</v>
      </c>
      <c r="H25" s="2" t="str">
        <f>IFERROR(__xludf.DUMMYFUNCTION("""COMPUTED_VALUE"""),"Mailun Khola Hydropower Company Pvt. Ltd")</f>
        <v>Mailun Khola Hydropower Company Pvt. Ltd</v>
      </c>
      <c r="I25" s="2"/>
      <c r="J25" s="2" t="str">
        <f>IFERROR(__xludf.DUMMYFUNCTION("""COMPUTED_VALUE"""),"28o 04' 03""")</f>
        <v>28o 04' 03"</v>
      </c>
      <c r="K25" s="2" t="str">
        <f>IFERROR(__xludf.DUMMYFUNCTION("""COMPUTED_VALUE"""),"28o 05' 00""")</f>
        <v>28o 05' 00"</v>
      </c>
      <c r="L25" s="2" t="str">
        <f>IFERROR(__xludf.DUMMYFUNCTION("""COMPUTED_VALUE"""),"85o 11' 26""")</f>
        <v>85o 11' 26"</v>
      </c>
      <c r="M25" s="2" t="str">
        <f>IFERROR(__xludf.DUMMYFUNCTION("""COMPUTED_VALUE"""),"85o 13' 07""")</f>
        <v>85o 13' 07"</v>
      </c>
      <c r="N25" s="2" t="str">
        <f>IFERROR(__xludf.DUMMYFUNCTION("""COMPUTED_VALUE"""),"(Rasuwa)")</f>
        <v>(Rasuwa)</v>
      </c>
      <c r="O25" s="3">
        <f>IFERROR(__xludf.DUMMYFUNCTION("""COMPUTED_VALUE"""),62536.0)</f>
        <v>62536</v>
      </c>
    </row>
    <row r="26">
      <c r="A26" s="2">
        <f>IFERROR(__xludf.DUMMYFUNCTION("""COMPUTED_VALUE"""),25.0)</f>
        <v>25</v>
      </c>
      <c r="B26" s="2" t="str">
        <f>IFERROR(__xludf.DUMMYFUNCTION("""COMPUTED_VALUE"""),"Chaku Khola")</f>
        <v>Chaku Khola</v>
      </c>
      <c r="C26" s="2">
        <f>IFERROR(__xludf.DUMMYFUNCTION("""COMPUTED_VALUE"""),3.0)</f>
        <v>3</v>
      </c>
      <c r="D26" s="2" t="str">
        <f>IFERROR(__xludf.DUMMYFUNCTION("""COMPUTED_VALUE"""),"Chaku")</f>
        <v>Chaku</v>
      </c>
      <c r="E26" s="2">
        <f>IFERROR(__xludf.DUMMYFUNCTION("""COMPUTED_VALUE"""),17.0)</f>
        <v>17</v>
      </c>
      <c r="F26" s="3">
        <f>IFERROR(__xludf.DUMMYFUNCTION("""COMPUTED_VALUE"""),59114.0)</f>
        <v>59114</v>
      </c>
      <c r="G26" s="3">
        <f>IFERROR(__xludf.DUMMYFUNCTION("""COMPUTED_VALUE"""),71897.0)</f>
        <v>71897</v>
      </c>
      <c r="H26" s="2" t="str">
        <f>IFERROR(__xludf.DUMMYFUNCTION("""COMPUTED_VALUE"""),"Laughing Buddha Power Nepal Ltd.")</f>
        <v>Laughing Buddha Power Nepal Ltd.</v>
      </c>
      <c r="I26" s="2"/>
      <c r="J26" s="2" t="str">
        <f>IFERROR(__xludf.DUMMYFUNCTION("""COMPUTED_VALUE"""),"27o 52' 00""")</f>
        <v>27o 52' 00"</v>
      </c>
      <c r="K26" s="2" t="str">
        <f>IFERROR(__xludf.DUMMYFUNCTION("""COMPUTED_VALUE"""),"27o 53' 00""")</f>
        <v>27o 53' 00"</v>
      </c>
      <c r="L26" s="2" t="str">
        <f>IFERROR(__xludf.DUMMYFUNCTION("""COMPUTED_VALUE"""),"85o 54' 30""")</f>
        <v>85o 54' 30"</v>
      </c>
      <c r="M26" s="2" t="str">
        <f>IFERROR(__xludf.DUMMYFUNCTION("""COMPUTED_VALUE"""),"85o 56' 00""")</f>
        <v>85o 56' 00"</v>
      </c>
      <c r="N26" s="2" t="str">
        <f>IFERROR(__xludf.DUMMYFUNCTION("""COMPUTED_VALUE"""),"Fulpingkatti,Tatopani (Sindhupalchok)")</f>
        <v>Fulpingkatti,Tatopani (Sindhupalchok)</v>
      </c>
      <c r="O26" s="3">
        <f>IFERROR(__xludf.DUMMYFUNCTION("""COMPUTED_VALUE"""),59231.0)</f>
        <v>59231</v>
      </c>
    </row>
    <row r="27">
      <c r="A27" s="2">
        <f>IFERROR(__xludf.DUMMYFUNCTION("""COMPUTED_VALUE"""),26.0)</f>
        <v>26</v>
      </c>
      <c r="B27" s="2" t="str">
        <f>IFERROR(__xludf.DUMMYFUNCTION("""COMPUTED_VALUE"""),"Khudi Khola")</f>
        <v>Khudi Khola</v>
      </c>
      <c r="C27" s="2">
        <f>IFERROR(__xludf.DUMMYFUNCTION("""COMPUTED_VALUE"""),4.0)</f>
        <v>4</v>
      </c>
      <c r="D27" s="2" t="str">
        <f>IFERROR(__xludf.DUMMYFUNCTION("""COMPUTED_VALUE"""),"Khudi")</f>
        <v>Khudi</v>
      </c>
      <c r="E27" s="2">
        <f>IFERROR(__xludf.DUMMYFUNCTION("""COMPUTED_VALUE"""),16.0)</f>
        <v>16</v>
      </c>
      <c r="F27" s="3">
        <f>IFERROR(__xludf.DUMMYFUNCTION("""COMPUTED_VALUE"""),59123.0)</f>
        <v>59123</v>
      </c>
      <c r="G27" s="3">
        <f>IFERROR(__xludf.DUMMYFUNCTION("""COMPUTED_VALUE"""),71906.0)</f>
        <v>71906</v>
      </c>
      <c r="H27" s="2" t="str">
        <f>IFERROR(__xludf.DUMMYFUNCTION("""COMPUTED_VALUE"""),"Khudi hydropower limited")</f>
        <v>Khudi hydropower limited</v>
      </c>
      <c r="I27" s="2"/>
      <c r="J27" s="2" t="str">
        <f>IFERROR(__xludf.DUMMYFUNCTION("""COMPUTED_VALUE"""),"28o 16' 30""")</f>
        <v>28o 16' 30"</v>
      </c>
      <c r="K27" s="2" t="str">
        <f>IFERROR(__xludf.DUMMYFUNCTION("""COMPUTED_VALUE"""),"28o 18' 30""")</f>
        <v>28o 18' 30"</v>
      </c>
      <c r="L27" s="2" t="str">
        <f>IFERROR(__xludf.DUMMYFUNCTION("""COMPUTED_VALUE"""),"84o 19' 30""")</f>
        <v>84o 19' 30"</v>
      </c>
      <c r="M27" s="2" t="str">
        <f>IFERROR(__xludf.DUMMYFUNCTION("""COMPUTED_VALUE"""),"84o 21' 30""")</f>
        <v>84o 21' 30"</v>
      </c>
      <c r="N27" s="2" t="str">
        <f>IFERROR(__xludf.DUMMYFUNCTION("""COMPUTED_VALUE"""),"Ghanpokhara,Khudi,Simpani (Lamjung)")</f>
        <v>Ghanpokhara,Khudi,Simpani (Lamjung)</v>
      </c>
      <c r="O27" s="3">
        <f>IFERROR(__xludf.DUMMYFUNCTION("""COMPUTED_VALUE"""),59794.0)</f>
        <v>59794</v>
      </c>
    </row>
    <row r="28">
      <c r="A28" s="2">
        <f>IFERROR(__xludf.DUMMYFUNCTION("""COMPUTED_VALUE"""),27.0)</f>
        <v>27</v>
      </c>
      <c r="B28" s="2" t="str">
        <f>IFERROR(__xludf.DUMMYFUNCTION("""COMPUTED_VALUE"""),"Thoppal Khola")</f>
        <v>Thoppal Khola</v>
      </c>
      <c r="C28" s="2">
        <f>IFERROR(__xludf.DUMMYFUNCTION("""COMPUTED_VALUE"""),1.65)</f>
        <v>1.65</v>
      </c>
      <c r="D28" s="2" t="str">
        <f>IFERROR(__xludf.DUMMYFUNCTION("""COMPUTED_VALUE"""),"Thoppal")</f>
        <v>Thoppal</v>
      </c>
      <c r="E28" s="2">
        <f>IFERROR(__xludf.DUMMYFUNCTION("""COMPUTED_VALUE"""),19.0)</f>
        <v>19</v>
      </c>
      <c r="F28" s="3">
        <f>IFERROR(__xludf.DUMMYFUNCTION("""COMPUTED_VALUE"""),59620.0)</f>
        <v>59620</v>
      </c>
      <c r="G28" s="3">
        <f>IFERROR(__xludf.DUMMYFUNCTION("""COMPUTED_VALUE"""),72403.0)</f>
        <v>72403</v>
      </c>
      <c r="H28" s="2" t="str">
        <f>IFERROR(__xludf.DUMMYFUNCTION("""COMPUTED_VALUE"""),"Thoppal Khola Hydropower Company")</f>
        <v>Thoppal Khola Hydropower Company</v>
      </c>
      <c r="I28" s="2"/>
      <c r="J28" s="2" t="str">
        <f>IFERROR(__xludf.DUMMYFUNCTION("""COMPUTED_VALUE"""),"27o 49' 00""")</f>
        <v>27o 49' 00"</v>
      </c>
      <c r="K28" s="2" t="str">
        <f>IFERROR(__xludf.DUMMYFUNCTION("""COMPUTED_VALUE"""),"27o 51' 00""")</f>
        <v>27o 51' 00"</v>
      </c>
      <c r="L28" s="2" t="str">
        <f>IFERROR(__xludf.DUMMYFUNCTION("""COMPUTED_VALUE"""),"84o 50' 30""")</f>
        <v>84o 50' 30"</v>
      </c>
      <c r="M28" s="2" t="str">
        <f>IFERROR(__xludf.DUMMYFUNCTION("""COMPUTED_VALUE"""),"84o 53' 30""")</f>
        <v>84o 53' 30"</v>
      </c>
      <c r="N28" s="2" t="str">
        <f>IFERROR(__xludf.DUMMYFUNCTION("""COMPUTED_VALUE"""),"(Dhading)")</f>
        <v>(Dhading)</v>
      </c>
      <c r="O28" s="3">
        <f>IFERROR(__xludf.DUMMYFUNCTION("""COMPUTED_VALUE"""),60016.0)</f>
        <v>60016</v>
      </c>
    </row>
    <row r="29">
      <c r="A29" s="2">
        <f>IFERROR(__xludf.DUMMYFUNCTION("""COMPUTED_VALUE"""),28.0)</f>
        <v>28</v>
      </c>
      <c r="B29" s="2" t="str">
        <f>IFERROR(__xludf.DUMMYFUNCTION("""COMPUTED_VALUE"""),"Chameliya Khola")</f>
        <v>Chameliya Khola</v>
      </c>
      <c r="C29" s="2">
        <f>IFERROR(__xludf.DUMMYFUNCTION("""COMPUTED_VALUE"""),30.0)</f>
        <v>30</v>
      </c>
      <c r="D29" s="2" t="str">
        <f>IFERROR(__xludf.DUMMYFUNCTION("""COMPUTED_VALUE"""),"Chameliya Khola")</f>
        <v>Chameliya Khola</v>
      </c>
      <c r="E29" s="2">
        <f>IFERROR(__xludf.DUMMYFUNCTION("""COMPUTED_VALUE"""),20.0)</f>
        <v>20</v>
      </c>
      <c r="F29" s="3">
        <f>IFERROR(__xludf.DUMMYFUNCTION("""COMPUTED_VALUE"""),59783.0)</f>
        <v>59783</v>
      </c>
      <c r="G29" s="3">
        <f>IFERROR(__xludf.DUMMYFUNCTION("""COMPUTED_VALUE"""),72566.0)</f>
        <v>72566</v>
      </c>
      <c r="H29" s="2" t="str">
        <f>IFERROR(__xludf.DUMMYFUNCTION("""COMPUTED_VALUE"""),"Nepal Electricity Authority")</f>
        <v>Nepal Electricity Authority</v>
      </c>
      <c r="I29" s="2"/>
      <c r="J29" s="2" t="str">
        <f>IFERROR(__xludf.DUMMYFUNCTION("""COMPUTED_VALUE"""),"29o 41' 00""")</f>
        <v>29o 41' 00"</v>
      </c>
      <c r="K29" s="2" t="str">
        <f>IFERROR(__xludf.DUMMYFUNCTION("""COMPUTED_VALUE"""),"29o 44' 00""")</f>
        <v>29o 44' 00"</v>
      </c>
      <c r="L29" s="2" t="str">
        <f>IFERROR(__xludf.DUMMYFUNCTION("""COMPUTED_VALUE"""),"80o 38' 00""")</f>
        <v>80o 38' 00"</v>
      </c>
      <c r="M29" s="2" t="str">
        <f>IFERROR(__xludf.DUMMYFUNCTION("""COMPUTED_VALUE"""),"80o 42' 38""")</f>
        <v>80o 42' 38"</v>
      </c>
      <c r="N29" s="2" t="str">
        <f>IFERROR(__xludf.DUMMYFUNCTION("""COMPUTED_VALUE"""),"Latinath,Seri,Sikhar (Darchula)")</f>
        <v>Latinath,Seri,Sikhar (Darchula)</v>
      </c>
      <c r="O29" s="3">
        <f>IFERROR(__xludf.DUMMYFUNCTION("""COMPUTED_VALUE"""),63854.0)</f>
        <v>63854</v>
      </c>
    </row>
    <row r="30">
      <c r="A30" s="2">
        <f>IFERROR(__xludf.DUMMYFUNCTION("""COMPUTED_VALUE"""),29.0)</f>
        <v>29</v>
      </c>
      <c r="B30" s="2" t="str">
        <f>IFERROR(__xludf.DUMMYFUNCTION("""COMPUTED_VALUE"""),"Mardi Khola")</f>
        <v>Mardi Khola</v>
      </c>
      <c r="C30" s="2">
        <f>IFERROR(__xludf.DUMMYFUNCTION("""COMPUTED_VALUE"""),4.8)</f>
        <v>4.8</v>
      </c>
      <c r="D30" s="2" t="str">
        <f>IFERROR(__xludf.DUMMYFUNCTION("""COMPUTED_VALUE"""),"Mardi")</f>
        <v>Mardi</v>
      </c>
      <c r="E30" s="2">
        <f>IFERROR(__xludf.DUMMYFUNCTION("""COMPUTED_VALUE"""),21.0)</f>
        <v>21</v>
      </c>
      <c r="F30" s="3">
        <f>IFERROR(__xludf.DUMMYFUNCTION("""COMPUTED_VALUE"""),59817.0)</f>
        <v>59817</v>
      </c>
      <c r="G30" s="3">
        <f>IFERROR(__xludf.DUMMYFUNCTION("""COMPUTED_VALUE"""),72600.0)</f>
        <v>72600</v>
      </c>
      <c r="H30" s="2" t="str">
        <f>IFERROR(__xludf.DUMMYFUNCTION("""COMPUTED_VALUE"""),"Gandaki Hydropower Development Co. P. Ltd")</f>
        <v>Gandaki Hydropower Development Co. P. Ltd</v>
      </c>
      <c r="I30" s="2"/>
      <c r="J30" s="2" t="str">
        <f>IFERROR(__xludf.DUMMYFUNCTION("""COMPUTED_VALUE"""),"28o 19' 10""")</f>
        <v>28o 19' 10"</v>
      </c>
      <c r="K30" s="2" t="str">
        <f>IFERROR(__xludf.DUMMYFUNCTION("""COMPUTED_VALUE"""),"28o 22' 14""")</f>
        <v>28o 22' 14"</v>
      </c>
      <c r="L30" s="2" t="str">
        <f>IFERROR(__xludf.DUMMYFUNCTION("""COMPUTED_VALUE"""),"83o 52' 55""")</f>
        <v>83o 52' 55"</v>
      </c>
      <c r="M30" s="2" t="str">
        <f>IFERROR(__xludf.DUMMYFUNCTION("""COMPUTED_VALUE"""),"83o 53' 30""")</f>
        <v>83o 53' 30"</v>
      </c>
      <c r="N30" s="2" t="str">
        <f>IFERROR(__xludf.DUMMYFUNCTION("""COMPUTED_VALUE"""),"(Kaski)")</f>
        <v>(Kaski)</v>
      </c>
      <c r="O30" s="3">
        <f>IFERROR(__xludf.DUMMYFUNCTION("""COMPUTED_VALUE"""),60913.0)</f>
        <v>60913</v>
      </c>
    </row>
    <row r="31">
      <c r="A31" s="2">
        <f>IFERROR(__xludf.DUMMYFUNCTION("""COMPUTED_VALUE"""),30.0)</f>
        <v>30</v>
      </c>
      <c r="B31" s="2" t="str">
        <f>IFERROR(__xludf.DUMMYFUNCTION("""COMPUTED_VALUE"""),"Ridi Khola")</f>
        <v>Ridi Khola</v>
      </c>
      <c r="C31" s="2">
        <f>IFERROR(__xludf.DUMMYFUNCTION("""COMPUTED_VALUE"""),2.4)</f>
        <v>2.4</v>
      </c>
      <c r="D31" s="2" t="str">
        <f>IFERROR(__xludf.DUMMYFUNCTION("""COMPUTED_VALUE"""),"Ridi")</f>
        <v>Ridi</v>
      </c>
      <c r="E31" s="2">
        <f>IFERROR(__xludf.DUMMYFUNCTION("""COMPUTED_VALUE"""),22.0)</f>
        <v>22</v>
      </c>
      <c r="F31" s="3">
        <f>IFERROR(__xludf.DUMMYFUNCTION("""COMPUTED_VALUE"""),59949.0)</f>
        <v>59949</v>
      </c>
      <c r="G31" s="3">
        <f>IFERROR(__xludf.DUMMYFUNCTION("""COMPUTED_VALUE"""),72732.0)</f>
        <v>72732</v>
      </c>
      <c r="H31" s="2" t="str">
        <f>IFERROR(__xludf.DUMMYFUNCTION("""COMPUTED_VALUE"""),"Ridi Power Co. Ltd.")</f>
        <v>Ridi Power Co. Ltd.</v>
      </c>
      <c r="I31" s="2" t="str">
        <f>IFERROR(__xludf.DUMMYFUNCTION("""COMPUTED_VALUE"""),"P.O. Box: 11039, Baneswor Kathmandu Ph: 4475234, 44474895")</f>
        <v>P.O. Box: 11039, Baneswor Kathmandu Ph: 4475234, 44474895</v>
      </c>
      <c r="J31" s="2" t="str">
        <f>IFERROR(__xludf.DUMMYFUNCTION("""COMPUTED_VALUE"""),"27o 55' 30""")</f>
        <v>27o 55' 30"</v>
      </c>
      <c r="K31" s="2" t="str">
        <f>IFERROR(__xludf.DUMMYFUNCTION("""COMPUTED_VALUE"""),"27o 57' 00""")</f>
        <v>27o 57' 00"</v>
      </c>
      <c r="L31" s="2" t="str">
        <f>IFERROR(__xludf.DUMMYFUNCTION("""COMPUTED_VALUE"""),"83o 23' 30""")</f>
        <v>83o 23' 30"</v>
      </c>
      <c r="M31" s="2" t="str">
        <f>IFERROR(__xludf.DUMMYFUNCTION("""COMPUTED_VALUE"""),"83o 26' 30""")</f>
        <v>83o 26' 30"</v>
      </c>
      <c r="N31" s="2" t="str">
        <f>IFERROR(__xludf.DUMMYFUNCTION("""COMPUTED_VALUE"""),"(Palpa)")</f>
        <v>(Palpa)</v>
      </c>
      <c r="O31" s="3">
        <f>IFERROR(__xludf.DUMMYFUNCTION("""COMPUTED_VALUE"""),60823.0)</f>
        <v>60823</v>
      </c>
    </row>
    <row r="32">
      <c r="A32" s="2">
        <f>IFERROR(__xludf.DUMMYFUNCTION("""COMPUTED_VALUE"""),31.0)</f>
        <v>31</v>
      </c>
      <c r="B32" s="2" t="str">
        <f>IFERROR(__xludf.DUMMYFUNCTION("""COMPUTED_VALUE"""),"Mai Khola")</f>
        <v>Mai Khola</v>
      </c>
      <c r="C32" s="2">
        <f>IFERROR(__xludf.DUMMYFUNCTION("""COMPUTED_VALUE"""),4.5)</f>
        <v>4.5</v>
      </c>
      <c r="D32" s="2" t="str">
        <f>IFERROR(__xludf.DUMMYFUNCTION("""COMPUTED_VALUE"""),"Mai Khola")</f>
        <v>Mai Khola</v>
      </c>
      <c r="E32" s="2">
        <f>IFERROR(__xludf.DUMMYFUNCTION("""COMPUTED_VALUE"""),23.0)</f>
        <v>23</v>
      </c>
      <c r="F32" s="3">
        <f>IFERROR(__xludf.DUMMYFUNCTION("""COMPUTED_VALUE"""),60134.0)</f>
        <v>60134</v>
      </c>
      <c r="G32" s="3">
        <f>IFERROR(__xludf.DUMMYFUNCTION("""COMPUTED_VALUE"""),72916.0)</f>
        <v>72916</v>
      </c>
      <c r="H32" s="2" t="str">
        <f>IFERROR(__xludf.DUMMYFUNCTION("""COMPUTED_VALUE"""),"Himal Dolkha Hydropower Co Ltd")</f>
        <v>Himal Dolkha Hydropower Co Ltd</v>
      </c>
      <c r="I32" s="2"/>
      <c r="J32" s="2" t="str">
        <f>IFERROR(__xludf.DUMMYFUNCTION("""COMPUTED_VALUE"""),"26o 52' 36""")</f>
        <v>26o 52' 36"</v>
      </c>
      <c r="K32" s="2" t="str">
        <f>IFERROR(__xludf.DUMMYFUNCTION("""COMPUTED_VALUE"""),"26o 53' 36""")</f>
        <v>26o 53' 36"</v>
      </c>
      <c r="L32" s="2" t="str">
        <f>IFERROR(__xludf.DUMMYFUNCTION("""COMPUTED_VALUE"""),"87o 55' 47""")</f>
        <v>87o 55' 47"</v>
      </c>
      <c r="M32" s="2" t="str">
        <f>IFERROR(__xludf.DUMMYFUNCTION("""COMPUTED_VALUE"""),"87o 56' 38""")</f>
        <v>87o 56' 38"</v>
      </c>
      <c r="N32" s="2" t="str">
        <f>IFERROR(__xludf.DUMMYFUNCTION("""COMPUTED_VALUE"""),"(Ilam)")</f>
        <v>(Ilam)</v>
      </c>
      <c r="O32" s="3">
        <f>IFERROR(__xludf.DUMMYFUNCTION("""COMPUTED_VALUE"""),60189.0)</f>
        <v>60189</v>
      </c>
    </row>
    <row r="33">
      <c r="A33" s="2">
        <f>IFERROR(__xludf.DUMMYFUNCTION("""COMPUTED_VALUE"""),32.0)</f>
        <v>32</v>
      </c>
      <c r="B33" s="2" t="str">
        <f>IFERROR(__xludf.DUMMYFUNCTION("""COMPUTED_VALUE"""),"Kule Khani Third")</f>
        <v>Kule Khani Third</v>
      </c>
      <c r="C33" s="2">
        <f>IFERROR(__xludf.DUMMYFUNCTION("""COMPUTED_VALUE"""),14.0)</f>
        <v>14</v>
      </c>
      <c r="D33" s="2" t="str">
        <f>IFERROR(__xludf.DUMMYFUNCTION("""COMPUTED_VALUE"""),"Kulekhani")</f>
        <v>Kulekhani</v>
      </c>
      <c r="E33" s="2">
        <f>IFERROR(__xludf.DUMMYFUNCTION("""COMPUTED_VALUE"""),24.0)</f>
        <v>24</v>
      </c>
      <c r="F33" s="3">
        <f>IFERROR(__xludf.DUMMYFUNCTION("""COMPUTED_VALUE"""),60253.0)</f>
        <v>60253</v>
      </c>
      <c r="G33" s="3">
        <f>IFERROR(__xludf.DUMMYFUNCTION("""COMPUTED_VALUE"""),73035.0)</f>
        <v>73035</v>
      </c>
      <c r="H33" s="2" t="str">
        <f>IFERROR(__xludf.DUMMYFUNCTION("""COMPUTED_VALUE"""),"Nepal Electricity Authority")</f>
        <v>Nepal Electricity Authority</v>
      </c>
      <c r="I33" s="2" t="str">
        <f>IFERROR(__xludf.DUMMYFUNCTION("""COMPUTED_VALUE"""),"Durbarmarg, Kathmandu, Fax : 014153009, Phone : 01-4153007, 4153012")</f>
        <v>Durbarmarg, Kathmandu, Fax : 014153009, Phone : 01-4153007, 4153012</v>
      </c>
      <c r="J33" s="2" t="str">
        <f>IFERROR(__xludf.DUMMYFUNCTION("""COMPUTED_VALUE"""),"27o 27' 30""")</f>
        <v>27o 27' 30"</v>
      </c>
      <c r="K33" s="2" t="str">
        <f>IFERROR(__xludf.DUMMYFUNCTION("""COMPUTED_VALUE"""),"27o 31' 00""")</f>
        <v>27o 31' 00"</v>
      </c>
      <c r="L33" s="2" t="str">
        <f>IFERROR(__xludf.DUMMYFUNCTION("""COMPUTED_VALUE"""),"85o 01' 30""")</f>
        <v>85o 01' 30"</v>
      </c>
      <c r="M33" s="2" t="str">
        <f>IFERROR(__xludf.DUMMYFUNCTION("""COMPUTED_VALUE"""),"85o 03' 30""")</f>
        <v>85o 03' 30"</v>
      </c>
      <c r="N33" s="2" t="str">
        <f>IFERROR(__xludf.DUMMYFUNCTION("""COMPUTED_VALUE"""),"Bhaise (Makawanpur)")</f>
        <v>Bhaise (Makawanpur)</v>
      </c>
      <c r="O33" s="3">
        <f>IFERROR(__xludf.DUMMYFUNCTION("""COMPUTED_VALUE"""),64467.0)</f>
        <v>64467</v>
      </c>
    </row>
    <row r="34">
      <c r="A34" s="2">
        <f>IFERROR(__xludf.DUMMYFUNCTION("""COMPUTED_VALUE"""),33.0)</f>
        <v>33</v>
      </c>
      <c r="B34" s="2" t="str">
        <f>IFERROR(__xludf.DUMMYFUNCTION("""COMPUTED_VALUE"""),"Hewa khola")</f>
        <v>Hewa khola</v>
      </c>
      <c r="C34" s="2">
        <f>IFERROR(__xludf.DUMMYFUNCTION("""COMPUTED_VALUE"""),4.455)</f>
        <v>4.455</v>
      </c>
      <c r="D34" s="2" t="str">
        <f>IFERROR(__xludf.DUMMYFUNCTION("""COMPUTED_VALUE"""),"Hewa (Sankhuwasabha)")</f>
        <v>Hewa (Sankhuwasabha)</v>
      </c>
      <c r="E34" s="2">
        <f>IFERROR(__xludf.DUMMYFUNCTION("""COMPUTED_VALUE"""),25.0)</f>
        <v>25</v>
      </c>
      <c r="F34" s="3">
        <f>IFERROR(__xludf.DUMMYFUNCTION("""COMPUTED_VALUE"""),60289.0)</f>
        <v>60289</v>
      </c>
      <c r="G34" s="3">
        <f>IFERROR(__xludf.DUMMYFUNCTION("""COMPUTED_VALUE"""),73071.0)</f>
        <v>73071</v>
      </c>
      <c r="H34" s="2" t="str">
        <f>IFERROR(__xludf.DUMMYFUNCTION("""COMPUTED_VALUE"""),"Barun Hydropower Development Co. Pvt. Ltd")</f>
        <v>Barun Hydropower Development Co. Pvt. Ltd</v>
      </c>
      <c r="I34" s="2"/>
      <c r="J34" s="2" t="str">
        <f>IFERROR(__xludf.DUMMYFUNCTION("""COMPUTED_VALUE"""),"27o 18' 54""")</f>
        <v>27o 18' 54"</v>
      </c>
      <c r="K34" s="2" t="str">
        <f>IFERROR(__xludf.DUMMYFUNCTION("""COMPUTED_VALUE"""),"27o 19' 33""")</f>
        <v>27o 19' 33"</v>
      </c>
      <c r="L34" s="2" t="str">
        <f>IFERROR(__xludf.DUMMYFUNCTION("""COMPUTED_VALUE"""),"87o 19' 00""")</f>
        <v>87o 19' 00"</v>
      </c>
      <c r="M34" s="2" t="str">
        <f>IFERROR(__xludf.DUMMYFUNCTION("""COMPUTED_VALUE"""),"87o 20' 44""")</f>
        <v>87o 20' 44"</v>
      </c>
      <c r="N34" s="2" t="str">
        <f>IFERROR(__xludf.DUMMYFUNCTION("""COMPUTED_VALUE"""),"Jaljala,Siddhapokhari (Sankhuwasabha)")</f>
        <v>Jaljala,Siddhapokhari (Sankhuwasabha)</v>
      </c>
      <c r="O34" s="3">
        <f>IFERROR(__xludf.DUMMYFUNCTION("""COMPUTED_VALUE"""),61104.0)</f>
        <v>61104</v>
      </c>
    </row>
    <row r="35">
      <c r="A35" s="2">
        <f>IFERROR(__xludf.DUMMYFUNCTION("""COMPUTED_VALUE"""),34.0)</f>
        <v>34</v>
      </c>
      <c r="B35" s="2" t="str">
        <f>IFERROR(__xludf.DUMMYFUNCTION("""COMPUTED_VALUE"""),"Lower Chaku Khola")</f>
        <v>Lower Chaku Khola</v>
      </c>
      <c r="C35" s="2">
        <f>IFERROR(__xludf.DUMMYFUNCTION("""COMPUTED_VALUE"""),1.8)</f>
        <v>1.8</v>
      </c>
      <c r="D35" s="2" t="str">
        <f>IFERROR(__xludf.DUMMYFUNCTION("""COMPUTED_VALUE"""),"Chaku")</f>
        <v>Chaku</v>
      </c>
      <c r="E35" s="2">
        <f>IFERROR(__xludf.DUMMYFUNCTION("""COMPUTED_VALUE"""),26.0)</f>
        <v>26</v>
      </c>
      <c r="F35" s="3">
        <f>IFERROR(__xludf.DUMMYFUNCTION("""COMPUTED_VALUE"""),60396.0)</f>
        <v>60396</v>
      </c>
      <c r="G35" s="3">
        <f>IFERROR(__xludf.DUMMYFUNCTION("""COMPUTED_VALUE"""),73178.0)</f>
        <v>73178</v>
      </c>
      <c r="H35" s="2" t="str">
        <f>IFERROR(__xludf.DUMMYFUNCTION("""COMPUTED_VALUE"""),"Laughing Buddha Power Nepal Pvt. Ltd")</f>
        <v>Laughing Buddha Power Nepal Pvt. Ltd</v>
      </c>
      <c r="I35" s="2"/>
      <c r="J35" s="2" t="str">
        <f>IFERROR(__xludf.DUMMYFUNCTION("""COMPUTED_VALUE"""),"27o 52' 33""")</f>
        <v>27o 52' 33"</v>
      </c>
      <c r="K35" s="2" t="str">
        <f>IFERROR(__xludf.DUMMYFUNCTION("""COMPUTED_VALUE"""),"27o 53' 46""")</f>
        <v>27o 53' 46"</v>
      </c>
      <c r="L35" s="2" t="str">
        <f>IFERROR(__xludf.DUMMYFUNCTION("""COMPUTED_VALUE"""),"85o 54' 43""")</f>
        <v>85o 54' 43"</v>
      </c>
      <c r="M35" s="2" t="str">
        <f>IFERROR(__xludf.DUMMYFUNCTION("""COMPUTED_VALUE"""),"85o 55' 29""")</f>
        <v>85o 55' 29"</v>
      </c>
      <c r="N35" s="2" t="str">
        <f>IFERROR(__xludf.DUMMYFUNCTION("""COMPUTED_VALUE"""),"(Sindhupalchok)")</f>
        <v>(Sindhupalchok)</v>
      </c>
      <c r="O35" s="3">
        <f>IFERROR(__xludf.DUMMYFUNCTION("""COMPUTED_VALUE"""),62207.0)</f>
        <v>62207</v>
      </c>
    </row>
    <row r="36">
      <c r="A36" s="2">
        <f>IFERROR(__xludf.DUMMYFUNCTION("""COMPUTED_VALUE"""),35.0)</f>
        <v>35</v>
      </c>
      <c r="B36" s="2" t="str">
        <f>IFERROR(__xludf.DUMMYFUNCTION("""COMPUTED_VALUE"""),"Sipring Khola")</f>
        <v>Sipring Khola</v>
      </c>
      <c r="C36" s="2">
        <f>IFERROR(__xludf.DUMMYFUNCTION("""COMPUTED_VALUE"""),10.0)</f>
        <v>10</v>
      </c>
      <c r="D36" s="2" t="str">
        <f>IFERROR(__xludf.DUMMYFUNCTION("""COMPUTED_VALUE"""),"Sipring")</f>
        <v>Sipring</v>
      </c>
      <c r="E36" s="2">
        <f>IFERROR(__xludf.DUMMYFUNCTION("""COMPUTED_VALUE"""),27.0)</f>
        <v>27</v>
      </c>
      <c r="F36" s="3">
        <f>IFERROR(__xludf.DUMMYFUNCTION("""COMPUTED_VALUE"""),60662.0)</f>
        <v>60662</v>
      </c>
      <c r="G36" s="3">
        <f>IFERROR(__xludf.DUMMYFUNCTION("""COMPUTED_VALUE"""),73444.0)</f>
        <v>73444</v>
      </c>
      <c r="H36" s="2" t="str">
        <f>IFERROR(__xludf.DUMMYFUNCTION("""COMPUTED_VALUE"""),"Synergy Power Development P Ltd")</f>
        <v>Synergy Power Development P Ltd</v>
      </c>
      <c r="I36" s="2" t="str">
        <f>IFERROR(__xludf.DUMMYFUNCTION("""COMPUTED_VALUE"""),"P.O.Box 24600, Kathmandu, Phone 01-4440433")</f>
        <v>P.O.Box 24600, Kathmandu, Phone 01-4440433</v>
      </c>
      <c r="J36" s="2" t="str">
        <f>IFERROR(__xludf.DUMMYFUNCTION("""COMPUTED_VALUE"""),"27o 48' 38""")</f>
        <v>27o 48' 38"</v>
      </c>
      <c r="K36" s="2" t="str">
        <f>IFERROR(__xludf.DUMMYFUNCTION("""COMPUTED_VALUE"""),"27o 49' 39""")</f>
        <v>27o 49' 39"</v>
      </c>
      <c r="L36" s="2" t="str">
        <f>IFERROR(__xludf.DUMMYFUNCTION("""COMPUTED_VALUE"""),"86o 13' 47""")</f>
        <v>86o 13' 47"</v>
      </c>
      <c r="M36" s="2" t="str">
        <f>IFERROR(__xludf.DUMMYFUNCTION("""COMPUTED_VALUE"""),"86o 15' 18""")</f>
        <v>86o 15' 18"</v>
      </c>
      <c r="N36" s="2" t="str">
        <f>IFERROR(__xludf.DUMMYFUNCTION("""COMPUTED_VALUE"""),"Khare,Gauri Sankar (Dolakha)")</f>
        <v>Khare,Gauri Sankar (Dolakha)</v>
      </c>
      <c r="O36" s="3">
        <f>IFERROR(__xludf.DUMMYFUNCTION("""COMPUTED_VALUE"""),62004.0)</f>
        <v>62004</v>
      </c>
    </row>
    <row r="37">
      <c r="A37" s="2">
        <f>IFERROR(__xludf.DUMMYFUNCTION("""COMPUTED_VALUE"""),36.0)</f>
        <v>36</v>
      </c>
      <c r="B37" s="2" t="str">
        <f>IFERROR(__xludf.DUMMYFUNCTION("""COMPUTED_VALUE"""),"Lower Modi -1")</f>
        <v>Lower Modi -1</v>
      </c>
      <c r="C37" s="2">
        <f>IFERROR(__xludf.DUMMYFUNCTION("""COMPUTED_VALUE"""),10.0)</f>
        <v>10</v>
      </c>
      <c r="D37" s="2" t="str">
        <f>IFERROR(__xludf.DUMMYFUNCTION("""COMPUTED_VALUE"""),"Modi Khola")</f>
        <v>Modi Khola</v>
      </c>
      <c r="E37" s="2">
        <f>IFERROR(__xludf.DUMMYFUNCTION("""COMPUTED_VALUE"""),29.0)</f>
        <v>29</v>
      </c>
      <c r="F37" s="3">
        <f>IFERROR(__xludf.DUMMYFUNCTION("""COMPUTED_VALUE"""),60754.0)</f>
        <v>60754</v>
      </c>
      <c r="G37" s="3">
        <f>IFERROR(__xludf.DUMMYFUNCTION("""COMPUTED_VALUE"""),73537.0)</f>
        <v>73537</v>
      </c>
      <c r="H37" s="2" t="str">
        <f>IFERROR(__xludf.DUMMYFUNCTION("""COMPUTED_VALUE"""),"United Modi Hydropower Pvt. Ltd., 1st Floor Heritage Plaza 2; Kamaladi, 
Kathmandu Metropolitan - 31")</f>
        <v>United Modi Hydropower Pvt. Ltd., 1st Floor Heritage Plaza 2; Kamaladi, 
Kathmandu Metropolitan - 31</v>
      </c>
      <c r="I37" s="2" t="str">
        <f>IFERROR(__xludf.DUMMYFUNCTION("""COMPUTED_VALUE"""),"Phone 014169114; Fax : 014169113; email : unitedmodi@ntc.net.np")</f>
        <v>Phone 014169114; Fax : 014169113; email : unitedmodi@ntc.net.np</v>
      </c>
      <c r="J37" s="2" t="str">
        <f>IFERROR(__xludf.DUMMYFUNCTION("""COMPUTED_VALUE"""),"28o 13' 15""")</f>
        <v>28o 13' 15"</v>
      </c>
      <c r="K37" s="2" t="str">
        <f>IFERROR(__xludf.DUMMYFUNCTION("""COMPUTED_VALUE"""),"28o 14' 07""")</f>
        <v>28o 14' 07"</v>
      </c>
      <c r="L37" s="2" t="str">
        <f>IFERROR(__xludf.DUMMYFUNCTION("""COMPUTED_VALUE"""),"83o 42' 05""")</f>
        <v>83o 42' 05"</v>
      </c>
      <c r="M37" s="2" t="str">
        <f>IFERROR(__xludf.DUMMYFUNCTION("""COMPUTED_VALUE"""),"83o 43' 00""")</f>
        <v>83o 43' 00"</v>
      </c>
      <c r="N37" s="2" t="str">
        <f>IFERROR(__xludf.DUMMYFUNCTION("""COMPUTED_VALUE"""),"(Parbat)")</f>
        <v>(Parbat)</v>
      </c>
      <c r="O37" s="3">
        <f>IFERROR(__xludf.DUMMYFUNCTION("""COMPUTED_VALUE"""),61949.0)</f>
        <v>61949</v>
      </c>
    </row>
    <row r="38">
      <c r="A38" s="2">
        <f>IFERROR(__xludf.DUMMYFUNCTION("""COMPUTED_VALUE"""),37.0)</f>
        <v>37</v>
      </c>
      <c r="B38" s="2" t="str">
        <f>IFERROR(__xludf.DUMMYFUNCTION("""COMPUTED_VALUE"""),"Bhairab Kund Khola")</f>
        <v>Bhairab Kund Khola</v>
      </c>
      <c r="C38" s="2">
        <f>IFERROR(__xludf.DUMMYFUNCTION("""COMPUTED_VALUE"""),3.0)</f>
        <v>3</v>
      </c>
      <c r="D38" s="2" t="str">
        <f>IFERROR(__xludf.DUMMYFUNCTION("""COMPUTED_VALUE"""),"Bhairab Kund")</f>
        <v>Bhairab Kund</v>
      </c>
      <c r="E38" s="2">
        <f>IFERROR(__xludf.DUMMYFUNCTION("""COMPUTED_VALUE"""),30.0)</f>
        <v>30</v>
      </c>
      <c r="F38" s="3">
        <f>IFERROR(__xludf.DUMMYFUNCTION("""COMPUTED_VALUE"""),60771.0)</f>
        <v>60771</v>
      </c>
      <c r="G38" s="3">
        <f>IFERROR(__xludf.DUMMYFUNCTION("""COMPUTED_VALUE"""),73553.0)</f>
        <v>73553</v>
      </c>
      <c r="H38" s="2" t="str">
        <f>IFERROR(__xludf.DUMMYFUNCTION("""COMPUTED_VALUE"""),"Bright Power Co. Pvt. Ltd.")</f>
        <v>Bright Power Co. Pvt. Ltd.</v>
      </c>
      <c r="I38" s="2" t="str">
        <f>IFERROR(__xludf.DUMMYFUNCTION("""COMPUTED_VALUE"""),"Naxal, KMC-1, 9851139921, brightpowerltd22@gmail.com")</f>
        <v>Naxal, KMC-1, 9851139921, brightpowerltd22@gmail.com</v>
      </c>
      <c r="J38" s="2" t="str">
        <f>IFERROR(__xludf.DUMMYFUNCTION("""COMPUTED_VALUE"""),"27o 55' 52""")</f>
        <v>27o 55' 52"</v>
      </c>
      <c r="K38" s="2" t="str">
        <f>IFERROR(__xludf.DUMMYFUNCTION("""COMPUTED_VALUE"""),"27o 56' 14""")</f>
        <v>27o 56' 14"</v>
      </c>
      <c r="L38" s="2" t="str">
        <f>IFERROR(__xludf.DUMMYFUNCTION("""COMPUTED_VALUE"""),"85o 55' 53""")</f>
        <v>85o 55' 53"</v>
      </c>
      <c r="M38" s="2" t="str">
        <f>IFERROR(__xludf.DUMMYFUNCTION("""COMPUTED_VALUE"""),"85o 56' 28""")</f>
        <v>85o 56' 28"</v>
      </c>
      <c r="N38" s="2" t="str">
        <f>IFERROR(__xludf.DUMMYFUNCTION("""COMPUTED_VALUE"""),"Tatopani (Sindhupalchok)")</f>
        <v>Tatopani (Sindhupalchok)</v>
      </c>
      <c r="O38" s="3">
        <f>IFERROR(__xludf.DUMMYFUNCTION("""COMPUTED_VALUE"""),62511.0)</f>
        <v>62511</v>
      </c>
    </row>
    <row r="39">
      <c r="A39" s="2">
        <f>IFERROR(__xludf.DUMMYFUNCTION("""COMPUTED_VALUE"""),38.0)</f>
        <v>38</v>
      </c>
      <c r="B39" s="2" t="str">
        <f>IFERROR(__xludf.DUMMYFUNCTION("""COMPUTED_VALUE"""),"Siuri Khola")</f>
        <v>Siuri Khola</v>
      </c>
      <c r="C39" s="2">
        <f>IFERROR(__xludf.DUMMYFUNCTION("""COMPUTED_VALUE"""),5.0)</f>
        <v>5</v>
      </c>
      <c r="D39" s="2" t="str">
        <f>IFERROR(__xludf.DUMMYFUNCTION("""COMPUTED_VALUE"""),"Siuri")</f>
        <v>Siuri</v>
      </c>
      <c r="E39" s="2">
        <f>IFERROR(__xludf.DUMMYFUNCTION("""COMPUTED_VALUE"""),31.0)</f>
        <v>31</v>
      </c>
      <c r="F39" s="3">
        <f>IFERROR(__xludf.DUMMYFUNCTION("""COMPUTED_VALUE"""),60782.0)</f>
        <v>60782</v>
      </c>
      <c r="G39" s="3">
        <f>IFERROR(__xludf.DUMMYFUNCTION("""COMPUTED_VALUE"""),73564.0)</f>
        <v>73564</v>
      </c>
      <c r="H39" s="2" t="str">
        <f>IFERROR(__xludf.DUMMYFUNCTION("""COMPUTED_VALUE"""),"Nyadi Group Pvt Ltd")</f>
        <v>Nyadi Group Pvt Ltd</v>
      </c>
      <c r="I39" s="2" t="str">
        <f>IFERROR(__xludf.DUMMYFUNCTION("""COMPUTED_VALUE"""),"PO Box 14165, Kathmandu, Ph: 6219566")</f>
        <v>PO Box 14165, Kathmandu, Ph: 6219566</v>
      </c>
      <c r="J39" s="2" t="str">
        <f>IFERROR(__xludf.DUMMYFUNCTION("""COMPUTED_VALUE"""),"28o 20' 24""")</f>
        <v>28o 20' 24"</v>
      </c>
      <c r="K39" s="2" t="str">
        <f>IFERROR(__xludf.DUMMYFUNCTION("""COMPUTED_VALUE"""),"28o 21' 00""")</f>
        <v>28o 21' 00"</v>
      </c>
      <c r="L39" s="2" t="str">
        <f>IFERROR(__xludf.DUMMYFUNCTION("""COMPUTED_VALUE"""),"84o 27' 41""")</f>
        <v>84o 27' 41"</v>
      </c>
      <c r="M39" s="2" t="str">
        <f>IFERROR(__xludf.DUMMYFUNCTION("""COMPUTED_VALUE"""),"84o 29' 23""")</f>
        <v>84o 29' 23"</v>
      </c>
      <c r="N39" s="2" t="str">
        <f>IFERROR(__xludf.DUMMYFUNCTION("""COMPUTED_VALUE"""),"(Lamjung)")</f>
        <v>(Lamjung)</v>
      </c>
      <c r="O39" s="3">
        <f>IFERROR(__xludf.DUMMYFUNCTION("""COMPUTED_VALUE"""),61909.0)</f>
        <v>61909</v>
      </c>
    </row>
    <row r="40">
      <c r="A40" s="2">
        <f>IFERROR(__xludf.DUMMYFUNCTION("""COMPUTED_VALUE"""),39.0)</f>
        <v>39</v>
      </c>
      <c r="B40" s="2" t="str">
        <f>IFERROR(__xludf.DUMMYFUNCTION("""COMPUTED_VALUE"""),"Ankhu Khola - 1")</f>
        <v>Ankhu Khola - 1</v>
      </c>
      <c r="C40" s="2">
        <f>IFERROR(__xludf.DUMMYFUNCTION("""COMPUTED_VALUE"""),7.0)</f>
        <v>7</v>
      </c>
      <c r="D40" s="2" t="str">
        <f>IFERROR(__xludf.DUMMYFUNCTION("""COMPUTED_VALUE"""),"Ankhu Khola")</f>
        <v>Ankhu Khola</v>
      </c>
      <c r="E40" s="2">
        <f>IFERROR(__xludf.DUMMYFUNCTION("""COMPUTED_VALUE"""),32.0)</f>
        <v>32</v>
      </c>
      <c r="F40" s="3">
        <f>IFERROR(__xludf.DUMMYFUNCTION("""COMPUTED_VALUE"""),60870.0)</f>
        <v>60870</v>
      </c>
      <c r="G40" s="3">
        <f>IFERROR(__xludf.DUMMYFUNCTION("""COMPUTED_VALUE"""),73652.0)</f>
        <v>73652</v>
      </c>
      <c r="H40" s="2" t="str">
        <f>IFERROR(__xludf.DUMMYFUNCTION("""COMPUTED_VALUE"""),"Ankhu Khola Jalvidut Co. Ltd")</f>
        <v>Ankhu Khola Jalvidut Co. Ltd</v>
      </c>
      <c r="I40" s="2" t="str">
        <f>IFERROR(__xludf.DUMMYFUNCTION("""COMPUTED_VALUE"""),"Kathmandu-32, Anamnagar, Phone 01-4286228,4102595, 9841545350, 9851072170")</f>
        <v>Kathmandu-32, Anamnagar, Phone 01-4286228,4102595, 9841545350, 9851072170</v>
      </c>
      <c r="J40" s="2" t="str">
        <f>IFERROR(__xludf.DUMMYFUNCTION("""COMPUTED_VALUE"""),"28o 00' 00""")</f>
        <v>28o 00' 00"</v>
      </c>
      <c r="K40" s="2" t="str">
        <f>IFERROR(__xludf.DUMMYFUNCTION("""COMPUTED_VALUE"""),"28o 01' 30""")</f>
        <v>28o 01' 30"</v>
      </c>
      <c r="L40" s="2" t="str">
        <f>IFERROR(__xludf.DUMMYFUNCTION("""COMPUTED_VALUE"""),"84o 54' 00""")</f>
        <v>84o 54' 00"</v>
      </c>
      <c r="M40" s="2" t="str">
        <f>IFERROR(__xludf.DUMMYFUNCTION("""COMPUTED_VALUE"""),"84o 55' 55""")</f>
        <v>84o 55' 55"</v>
      </c>
      <c r="N40" s="2" t="str">
        <f>IFERROR(__xludf.DUMMYFUNCTION("""COMPUTED_VALUE"""),"(Dhading)")</f>
        <v>(Dhading)</v>
      </c>
      <c r="O40" s="3">
        <f>IFERROR(__xludf.DUMMYFUNCTION("""COMPUTED_VALUE"""),62221.0)</f>
        <v>62221</v>
      </c>
    </row>
    <row r="41">
      <c r="A41" s="2">
        <f>IFERROR(__xludf.DUMMYFUNCTION("""COMPUTED_VALUE"""),40.0)</f>
        <v>40</v>
      </c>
      <c r="B41" s="2" t="str">
        <f>IFERROR(__xludf.DUMMYFUNCTION("""COMPUTED_VALUE"""),"Baramchi Khola HPP")</f>
        <v>Baramchi Khola HPP</v>
      </c>
      <c r="C41" s="2">
        <f>IFERROR(__xludf.DUMMYFUNCTION("""COMPUTED_VALUE"""),4.2)</f>
        <v>4.2</v>
      </c>
      <c r="D41" s="2" t="str">
        <f>IFERROR(__xludf.DUMMYFUNCTION("""COMPUTED_VALUE"""),"Baramchi")</f>
        <v>Baramchi</v>
      </c>
      <c r="E41" s="2">
        <f>IFERROR(__xludf.DUMMYFUNCTION("""COMPUTED_VALUE"""),33.0)</f>
        <v>33</v>
      </c>
      <c r="F41" s="3">
        <f>IFERROR(__xludf.DUMMYFUNCTION("""COMPUTED_VALUE"""),60931.0)</f>
        <v>60931</v>
      </c>
      <c r="G41" s="3">
        <f>IFERROR(__xludf.DUMMYFUNCTION("""COMPUTED_VALUE"""),73713.0)</f>
        <v>73713</v>
      </c>
      <c r="H41" s="2" t="str">
        <f>IFERROR(__xludf.DUMMYFUNCTION("""COMPUTED_VALUE"""),"Unique Hydel Pvt Ltd")</f>
        <v>Unique Hydel Pvt Ltd</v>
      </c>
      <c r="I41" s="2" t="str">
        <f>IFERROR(__xludf.DUMMYFUNCTION("""COMPUTED_VALUE"""),"Thulo Bharyang, Kathmandu Phone 01-4672598,4672599")</f>
        <v>Thulo Bharyang, Kathmandu Phone 01-4672598,4672599</v>
      </c>
      <c r="J41" s="2" t="str">
        <f>IFERROR(__xludf.DUMMYFUNCTION("""COMPUTED_VALUE"""),"27o 50' 11""")</f>
        <v>27o 50' 11"</v>
      </c>
      <c r="K41" s="2" t="str">
        <f>IFERROR(__xludf.DUMMYFUNCTION("""COMPUTED_VALUE"""),"27o 51' 30""")</f>
        <v>27o 51' 30"</v>
      </c>
      <c r="L41" s="2" t="str">
        <f>IFERROR(__xludf.DUMMYFUNCTION("""COMPUTED_VALUE"""),"85o 46' 38""")</f>
        <v>85o 46' 38"</v>
      </c>
      <c r="M41" s="2" t="str">
        <f>IFERROR(__xludf.DUMMYFUNCTION("""COMPUTED_VALUE"""),"85o 48' 15""")</f>
        <v>85o 48' 15"</v>
      </c>
      <c r="N41" s="2" t="str">
        <f>IFERROR(__xludf.DUMMYFUNCTION("""COMPUTED_VALUE"""),"Baramchi,Hagam (Sindhupalchok)")</f>
        <v>Baramchi,Hagam (Sindhupalchok)</v>
      </c>
      <c r="O41" s="3">
        <f>IFERROR(__xludf.DUMMYFUNCTION("""COMPUTED_VALUE"""),62822.0)</f>
        <v>62822</v>
      </c>
    </row>
    <row r="42">
      <c r="A42" s="2">
        <f>IFERROR(__xludf.DUMMYFUNCTION("""COMPUTED_VALUE"""),41.0)</f>
        <v>41</v>
      </c>
      <c r="B42" s="2" t="str">
        <f>IFERROR(__xludf.DUMMYFUNCTION("""COMPUTED_VALUE"""),"Bijayapur-1")</f>
        <v>Bijayapur-1</v>
      </c>
      <c r="C42" s="2">
        <f>IFERROR(__xludf.DUMMYFUNCTION("""COMPUTED_VALUE"""),4.5)</f>
        <v>4.5</v>
      </c>
      <c r="D42" s="2" t="str">
        <f>IFERROR(__xludf.DUMMYFUNCTION("""COMPUTED_VALUE"""),"Bijayapur")</f>
        <v>Bijayapur</v>
      </c>
      <c r="E42" s="2">
        <f>IFERROR(__xludf.DUMMYFUNCTION("""COMPUTED_VALUE"""),34.0)</f>
        <v>34</v>
      </c>
      <c r="F42" s="3">
        <f>IFERROR(__xludf.DUMMYFUNCTION("""COMPUTED_VALUE"""),60988.0)</f>
        <v>60988</v>
      </c>
      <c r="G42" s="3">
        <f>IFERROR(__xludf.DUMMYFUNCTION("""COMPUTED_VALUE"""),73770.0)</f>
        <v>73770</v>
      </c>
      <c r="H42" s="2" t="str">
        <f>IFERROR(__xludf.DUMMYFUNCTION("""COMPUTED_VALUE"""),"Bhagawati Hydropower Development Company")</f>
        <v>Bhagawati Hydropower Development Company</v>
      </c>
      <c r="I42" s="2"/>
      <c r="J42" s="2" t="str">
        <f>IFERROR(__xludf.DUMMYFUNCTION("""COMPUTED_VALUE"""),"28o 10' 37""")</f>
        <v>28o 10' 37"</v>
      </c>
      <c r="K42" s="2" t="str">
        <f>IFERROR(__xludf.DUMMYFUNCTION("""COMPUTED_VALUE"""),"28o 11' 26""")</f>
        <v>28o 11' 26"</v>
      </c>
      <c r="L42" s="2" t="str">
        <f>IFERROR(__xludf.DUMMYFUNCTION("""COMPUTED_VALUE"""),"84o 01' 31""")</f>
        <v>84o 01' 31"</v>
      </c>
      <c r="M42" s="2" t="str">
        <f>IFERROR(__xludf.DUMMYFUNCTION("""COMPUTED_VALUE"""),"84o 02' 26""")</f>
        <v>84o 02' 26"</v>
      </c>
      <c r="N42" s="2" t="str">
        <f>IFERROR(__xludf.DUMMYFUNCTION("""COMPUTED_VALUE"""),"(Kaski)")</f>
        <v>(Kaski)</v>
      </c>
      <c r="O42" s="3">
        <f>IFERROR(__xludf.DUMMYFUNCTION("""COMPUTED_VALUE"""),61853.0)</f>
        <v>61853</v>
      </c>
    </row>
    <row r="43">
      <c r="A43" s="2">
        <f>IFERROR(__xludf.DUMMYFUNCTION("""COMPUTED_VALUE"""),42.0)</f>
        <v>42</v>
      </c>
      <c r="B43" s="2" t="str">
        <f>IFERROR(__xludf.DUMMYFUNCTION("""COMPUTED_VALUE"""),"Upper Madi")</f>
        <v>Upper Madi</v>
      </c>
      <c r="C43" s="2">
        <f>IFERROR(__xludf.DUMMYFUNCTION("""COMPUTED_VALUE"""),25.0)</f>
        <v>25</v>
      </c>
      <c r="D43" s="2" t="str">
        <f>IFERROR(__xludf.DUMMYFUNCTION("""COMPUTED_VALUE"""),"Madi Khola")</f>
        <v>Madi Khola</v>
      </c>
      <c r="E43" s="2">
        <f>IFERROR(__xludf.DUMMYFUNCTION("""COMPUTED_VALUE"""),35.0)</f>
        <v>35</v>
      </c>
      <c r="F43" s="3">
        <f>IFERROR(__xludf.DUMMYFUNCTION("""COMPUTED_VALUE"""),61024.0)</f>
        <v>61024</v>
      </c>
      <c r="G43" s="3">
        <f>IFERROR(__xludf.DUMMYFUNCTION("""COMPUTED_VALUE"""),73806.0)</f>
        <v>73806</v>
      </c>
      <c r="H43" s="2" t="str">
        <f>IFERROR(__xludf.DUMMYFUNCTION("""COMPUTED_VALUE"""),"Madi Power Pvt Ltd.,")</f>
        <v>Madi Power Pvt Ltd.,</v>
      </c>
      <c r="I43" s="2" t="str">
        <f>IFERROR(__xludf.DUMMYFUNCTION("""COMPUTED_VALUE"""),"GPO Box 2581, Gorakha Complex Minbhawan, Phone 01-4106507, 4106729, 
4106731, Fax 01-4106640")</f>
        <v>GPO Box 2581, Gorakha Complex Minbhawan, Phone 01-4106507, 4106729, 
4106731, Fax 01-4106640</v>
      </c>
      <c r="J43" s="2" t="str">
        <f>IFERROR(__xludf.DUMMYFUNCTION("""COMPUTED_VALUE"""),"28o 15' 37""")</f>
        <v>28o 15' 37"</v>
      </c>
      <c r="K43" s="2" t="str">
        <f>IFERROR(__xludf.DUMMYFUNCTION("""COMPUTED_VALUE"""),"28o 17' 56""")</f>
        <v>28o 17' 56"</v>
      </c>
      <c r="L43" s="2" t="str">
        <f>IFERROR(__xludf.DUMMYFUNCTION("""COMPUTED_VALUE"""),"84o 04' 00""")</f>
        <v>84o 04' 00"</v>
      </c>
      <c r="M43" s="2" t="str">
        <f>IFERROR(__xludf.DUMMYFUNCTION("""COMPUTED_VALUE"""),"84o 06' 30""")</f>
        <v>84o 06' 30"</v>
      </c>
      <c r="N43" s="2" t="str">
        <f>IFERROR(__xludf.DUMMYFUNCTION("""COMPUTED_VALUE"""),"Namarjung,Thumakodada,Sildujure (Kaski)")</f>
        <v>Namarjung,Thumakodada,Sildujure (Kaski)</v>
      </c>
      <c r="O43" s="3">
        <f>IFERROR(__xludf.DUMMYFUNCTION("""COMPUTED_VALUE"""),63457.0)</f>
        <v>63457</v>
      </c>
    </row>
    <row r="44">
      <c r="A44" s="2">
        <f>IFERROR(__xludf.DUMMYFUNCTION("""COMPUTED_VALUE"""),43.0)</f>
        <v>43</v>
      </c>
      <c r="B44" s="2" t="str">
        <f>IFERROR(__xludf.DUMMYFUNCTION("""COMPUTED_VALUE"""),"Upper Mai Hydropower Project (Panchakanya Mai Hydropwer limi")</f>
        <v>Upper Mai Hydropower Project (Panchakanya Mai Hydropwer limi</v>
      </c>
      <c r="C44" s="2">
        <f>IFERROR(__xludf.DUMMYFUNCTION("""COMPUTED_VALUE"""),12.0)</f>
        <v>12</v>
      </c>
      <c r="D44" s="2" t="str">
        <f>IFERROR(__xludf.DUMMYFUNCTION("""COMPUTED_VALUE"""),"Mai Khola")</f>
        <v>Mai Khola</v>
      </c>
      <c r="E44" s="2">
        <f>IFERROR(__xludf.DUMMYFUNCTION("""COMPUTED_VALUE"""),36.0)</f>
        <v>36</v>
      </c>
      <c r="F44" s="3">
        <f>IFERROR(__xludf.DUMMYFUNCTION("""COMPUTED_VALUE"""),61110.0)</f>
        <v>61110</v>
      </c>
      <c r="G44" s="3">
        <f>IFERROR(__xludf.DUMMYFUNCTION("""COMPUTED_VALUE"""),73892.0)</f>
        <v>73892</v>
      </c>
      <c r="H44" s="2" t="str">
        <f>IFERROR(__xludf.DUMMYFUNCTION("""COMPUTED_VALUE"""),"Mai Valley Hydropower P Ltd.")</f>
        <v>Mai Valley Hydropower P Ltd.</v>
      </c>
      <c r="I44" s="2" t="str">
        <f>IFERROR(__xludf.DUMMYFUNCTION("""COMPUTED_VALUE"""),"Lalitpur - 3, Bakhundol , Pulchowk, Lalitpur, POB 24194, Ph 
015010631,5010632")</f>
        <v>Lalitpur - 3, Bakhundol , Pulchowk, Lalitpur, POB 24194, Ph 
015010631,5010632</v>
      </c>
      <c r="J44" s="2" t="str">
        <f>IFERROR(__xludf.DUMMYFUNCTION("""COMPUTED_VALUE"""),"27o 01' 22""")</f>
        <v>27o 01' 22"</v>
      </c>
      <c r="K44" s="2" t="str">
        <f>IFERROR(__xludf.DUMMYFUNCTION("""COMPUTED_VALUE"""),"27o 03' 30""")</f>
        <v>27o 03' 30"</v>
      </c>
      <c r="L44" s="2" t="str">
        <f>IFERROR(__xludf.DUMMYFUNCTION("""COMPUTED_VALUE"""),"87o 56' 30""")</f>
        <v>87o 56' 30"</v>
      </c>
      <c r="M44" s="2" t="str">
        <f>IFERROR(__xludf.DUMMYFUNCTION("""COMPUTED_VALUE"""),"87o 58' 00""")</f>
        <v>87o 58' 00"</v>
      </c>
      <c r="N44" s="2" t="str">
        <f>IFERROR(__xludf.DUMMYFUNCTION("""COMPUTED_VALUE"""),"Mabu,Maimajhuwa (Ilam)")</f>
        <v>Mabu,Maimajhuwa (Ilam)</v>
      </c>
      <c r="O44" s="3">
        <f>IFERROR(__xludf.DUMMYFUNCTION("""COMPUTED_VALUE"""),63257.0)</f>
        <v>63257</v>
      </c>
    </row>
    <row r="45">
      <c r="A45" s="2">
        <f>IFERROR(__xludf.DUMMYFUNCTION("""COMPUTED_VALUE"""),44.0)</f>
        <v>44</v>
      </c>
      <c r="B45" s="2" t="str">
        <f>IFERROR(__xludf.DUMMYFUNCTION("""COMPUTED_VALUE"""),"Mai")</f>
        <v>Mai</v>
      </c>
      <c r="C45" s="2">
        <f>IFERROR(__xludf.DUMMYFUNCTION("""COMPUTED_VALUE"""),22.0)</f>
        <v>22</v>
      </c>
      <c r="D45" s="2" t="str">
        <f>IFERROR(__xludf.DUMMYFUNCTION("""COMPUTED_VALUE"""),"Mai Khola")</f>
        <v>Mai Khola</v>
      </c>
      <c r="E45" s="2">
        <f>IFERROR(__xludf.DUMMYFUNCTION("""COMPUTED_VALUE"""),37.0)</f>
        <v>37</v>
      </c>
      <c r="F45" s="3">
        <f>IFERROR(__xludf.DUMMYFUNCTION("""COMPUTED_VALUE"""),61130.0)</f>
        <v>61130</v>
      </c>
      <c r="G45" s="3">
        <f>IFERROR(__xludf.DUMMYFUNCTION("""COMPUTED_VALUE"""),73912.0)</f>
        <v>73912</v>
      </c>
      <c r="H45" s="2" t="str">
        <f>IFERROR(__xludf.DUMMYFUNCTION("""COMPUTED_VALUE"""),"Sanima Mai Hydropower Limited")</f>
        <v>Sanima Mai Hydropower Limited</v>
      </c>
      <c r="I45" s="2" t="str">
        <f>IFERROR(__xludf.DUMMYFUNCTION("""COMPUTED_VALUE"""),"GPO 19737, Ph: 44445952, 444642 Fax:4425953")</f>
        <v>GPO 19737, Ph: 44445952, 444642 Fax:4425953</v>
      </c>
      <c r="J45" s="2" t="str">
        <f>IFERROR(__xludf.DUMMYFUNCTION("""COMPUTED_VALUE"""),"26o 47' 21""")</f>
        <v>26o 47' 21"</v>
      </c>
      <c r="K45" s="2" t="str">
        <f>IFERROR(__xludf.DUMMYFUNCTION("""COMPUTED_VALUE"""),"26o 50' 00""")</f>
        <v>26o 50' 00"</v>
      </c>
      <c r="L45" s="2" t="str">
        <f>IFERROR(__xludf.DUMMYFUNCTION("""COMPUTED_VALUE"""),"87o 52' 00""")</f>
        <v>87o 52' 00"</v>
      </c>
      <c r="M45" s="2" t="str">
        <f>IFERROR(__xludf.DUMMYFUNCTION("""COMPUTED_VALUE"""),"87o 55' 00""")</f>
        <v>87o 55' 00"</v>
      </c>
      <c r="N45" s="2" t="str">
        <f>IFERROR(__xludf.DUMMYFUNCTION("""COMPUTED_VALUE"""),"(Ilam)")</f>
        <v>(Ilam)</v>
      </c>
      <c r="O45" s="3">
        <f>IFERROR(__xludf.DUMMYFUNCTION("""COMPUTED_VALUE"""),62745.0)</f>
        <v>62745</v>
      </c>
    </row>
    <row r="46">
      <c r="A46" s="2">
        <f>IFERROR(__xludf.DUMMYFUNCTION("""COMPUTED_VALUE"""),45.0)</f>
        <v>45</v>
      </c>
      <c r="B46" s="2" t="str">
        <f>IFERROR(__xludf.DUMMYFUNCTION("""COMPUTED_VALUE"""),"Lower Modi Khola")</f>
        <v>Lower Modi Khola</v>
      </c>
      <c r="C46" s="2">
        <f>IFERROR(__xludf.DUMMYFUNCTION("""COMPUTED_VALUE"""),20.0)</f>
        <v>20</v>
      </c>
      <c r="D46" s="2" t="str">
        <f>IFERROR(__xludf.DUMMYFUNCTION("""COMPUTED_VALUE"""),"Modi Khola")</f>
        <v>Modi Khola</v>
      </c>
      <c r="E46" s="2">
        <f>IFERROR(__xludf.DUMMYFUNCTION("""COMPUTED_VALUE"""),38.0)</f>
        <v>38</v>
      </c>
      <c r="F46" s="3">
        <f>IFERROR(__xludf.DUMMYFUNCTION("""COMPUTED_VALUE"""),61138.0)</f>
        <v>61138</v>
      </c>
      <c r="G46" s="3">
        <f>IFERROR(__xludf.DUMMYFUNCTION("""COMPUTED_VALUE"""),73920.0)</f>
        <v>73920</v>
      </c>
      <c r="H46" s="2" t="str">
        <f>IFERROR(__xludf.DUMMYFUNCTION("""COMPUTED_VALUE"""),"Modi Energy Pvt . Ltd")</f>
        <v>Modi Energy Pvt . Ltd</v>
      </c>
      <c r="I46" s="2" t="str">
        <f>IFERROR(__xludf.DUMMYFUNCTION("""COMPUTED_VALUE"""),"Naxal Sanogaucharan, Tel: 4441131, Fax: 4441973")</f>
        <v>Naxal Sanogaucharan, Tel: 4441131, Fax: 4441973</v>
      </c>
      <c r="J46" s="2" t="str">
        <f>IFERROR(__xludf.DUMMYFUNCTION("""COMPUTED_VALUE"""),"28o 14' 08""")</f>
        <v>28o 14' 08"</v>
      </c>
      <c r="K46" s="2" t="str">
        <f>IFERROR(__xludf.DUMMYFUNCTION("""COMPUTED_VALUE"""),"28o 16' 18""")</f>
        <v>28o 16' 18"</v>
      </c>
      <c r="L46" s="2" t="str">
        <f>IFERROR(__xludf.DUMMYFUNCTION("""COMPUTED_VALUE"""),"83o 42' 30""")</f>
        <v>83o 42' 30"</v>
      </c>
      <c r="M46" s="2" t="str">
        <f>IFERROR(__xludf.DUMMYFUNCTION("""COMPUTED_VALUE"""),"83o 44' 43""")</f>
        <v>83o 44' 43"</v>
      </c>
      <c r="N46" s="2" t="str">
        <f>IFERROR(__xludf.DUMMYFUNCTION("""COMPUTED_VALUE"""),",Durlung,Deurali,Ramja,Tilahar (Parbat)")</f>
        <v>,Durlung,Deurali,Ramja,Tilahar (Parbat)</v>
      </c>
      <c r="O46" s="3">
        <f>IFERROR(__xludf.DUMMYFUNCTION("""COMPUTED_VALUE"""),65180.0)</f>
        <v>65180</v>
      </c>
    </row>
    <row r="47">
      <c r="A47" s="2">
        <f>IFERROR(__xludf.DUMMYFUNCTION("""COMPUTED_VALUE"""),46.0)</f>
        <v>46</v>
      </c>
      <c r="B47" s="2" t="str">
        <f>IFERROR(__xludf.DUMMYFUNCTION("""COMPUTED_VALUE"""),"Phawa khola Hydropower Project")</f>
        <v>Phawa khola Hydropower Project</v>
      </c>
      <c r="C47" s="2">
        <f>IFERROR(__xludf.DUMMYFUNCTION("""COMPUTED_VALUE"""),5.0)</f>
        <v>5</v>
      </c>
      <c r="D47" s="2" t="str">
        <f>IFERROR(__xludf.DUMMYFUNCTION("""COMPUTED_VALUE"""),"Phawa Khola")</f>
        <v>Phawa Khola</v>
      </c>
      <c r="E47" s="2">
        <f>IFERROR(__xludf.DUMMYFUNCTION("""COMPUTED_VALUE"""),39.0)</f>
        <v>39</v>
      </c>
      <c r="F47" s="3">
        <f>IFERROR(__xludf.DUMMYFUNCTION("""COMPUTED_VALUE"""),61167.0)</f>
        <v>61167</v>
      </c>
      <c r="G47" s="3">
        <f>IFERROR(__xludf.DUMMYFUNCTION("""COMPUTED_VALUE"""),73949.0)</f>
        <v>73949</v>
      </c>
      <c r="H47" s="2" t="str">
        <f>IFERROR(__xludf.DUMMYFUNCTION("""COMPUTED_VALUE"""),"Shiwani Hydropower Company")</f>
        <v>Shiwani Hydropower Company</v>
      </c>
      <c r="I47" s="2" t="str">
        <f>IFERROR(__xludf.DUMMYFUNCTION("""COMPUTED_VALUE"""),"Baneshwor, Kathamandu - 10, Ph. 4466405, Fax: 4460137")</f>
        <v>Baneshwor, Kathamandu - 10, Ph. 4466405, Fax: 4460137</v>
      </c>
      <c r="J47" s="2" t="str">
        <f>IFERROR(__xludf.DUMMYFUNCTION("""COMPUTED_VALUE"""),"27o 16' 37""")</f>
        <v>27o 16' 37"</v>
      </c>
      <c r="K47" s="2" t="str">
        <f>IFERROR(__xludf.DUMMYFUNCTION("""COMPUTED_VALUE"""),"27o 19' 03""")</f>
        <v>27o 19' 03"</v>
      </c>
      <c r="L47" s="2" t="str">
        <f>IFERROR(__xludf.DUMMYFUNCTION("""COMPUTED_VALUE"""),"87o 45' 27""")</f>
        <v>87o 45' 27"</v>
      </c>
      <c r="M47" s="2" t="str">
        <f>IFERROR(__xludf.DUMMYFUNCTION("""COMPUTED_VALUE"""),"87o 46' 22""")</f>
        <v>87o 46' 22"</v>
      </c>
      <c r="N47" s="2" t="str">
        <f>IFERROR(__xludf.DUMMYFUNCTION("""COMPUTED_VALUE"""),"Dummrise,Chaksibote,Thechambu (Taplejung)")</f>
        <v>Dummrise,Chaksibote,Thechambu (Taplejung)</v>
      </c>
      <c r="O47" s="2" t="str">
        <f>IFERROR(__xludf.DUMMYFUNCTION("""COMPUTED_VALUE"""),"0000-00-00")</f>
        <v>0000-00-00</v>
      </c>
    </row>
    <row r="48">
      <c r="A48" s="2">
        <f>IFERROR(__xludf.DUMMYFUNCTION("""COMPUTED_VALUE"""),47.0)</f>
        <v>47</v>
      </c>
      <c r="B48" s="2" t="str">
        <f>IFERROR(__xludf.DUMMYFUNCTION("""COMPUTED_VALUE"""),"Charnawati Khola Hydroelectric Project")</f>
        <v>Charnawati Khola Hydroelectric Project</v>
      </c>
      <c r="C48" s="2">
        <f>IFERROR(__xludf.DUMMYFUNCTION("""COMPUTED_VALUE"""),3.52)</f>
        <v>3.52</v>
      </c>
      <c r="D48" s="2" t="str">
        <f>IFERROR(__xludf.DUMMYFUNCTION("""COMPUTED_VALUE"""),"Charnawati")</f>
        <v>Charnawati</v>
      </c>
      <c r="E48" s="2">
        <f>IFERROR(__xludf.DUMMYFUNCTION("""COMPUTED_VALUE"""),40.0)</f>
        <v>40</v>
      </c>
      <c r="F48" s="3">
        <f>IFERROR(__xludf.DUMMYFUNCTION("""COMPUTED_VALUE"""),61226.0)</f>
        <v>61226</v>
      </c>
      <c r="G48" s="3">
        <f>IFERROR(__xludf.DUMMYFUNCTION("""COMPUTED_VALUE"""),74008.0)</f>
        <v>74008</v>
      </c>
      <c r="H48" s="2" t="str">
        <f>IFERROR(__xludf.DUMMYFUNCTION("""COMPUTED_VALUE"""),"Nepal Hydro Developer Pvt Ltd")</f>
        <v>Nepal Hydro Developer Pvt Ltd</v>
      </c>
      <c r="I48" s="2" t="str">
        <f>IFERROR(__xludf.DUMMYFUNCTION("""COMPUTED_VALUE"""),"Baneswar-10, Kathmandu, Tel; 4441131, Fax: 014441973,POB: 26435")</f>
        <v>Baneswar-10, Kathmandu, Tel; 4441131, Fax: 014441973,POB: 26435</v>
      </c>
      <c r="J48" s="2" t="str">
        <f>IFERROR(__xludf.DUMMYFUNCTION("""COMPUTED_VALUE"""),"27o 37' 50""")</f>
        <v>27o 37' 50"</v>
      </c>
      <c r="K48" s="2" t="str">
        <f>IFERROR(__xludf.DUMMYFUNCTION("""COMPUTED_VALUE"""),"27o 39' 20""")</f>
        <v>27o 39' 20"</v>
      </c>
      <c r="L48" s="2" t="str">
        <f>IFERROR(__xludf.DUMMYFUNCTION("""COMPUTED_VALUE"""),"86o 00' 58""")</f>
        <v>86o 00' 58"</v>
      </c>
      <c r="M48" s="2" t="str">
        <f>IFERROR(__xludf.DUMMYFUNCTION("""COMPUTED_VALUE"""),"86o 02' 23""")</f>
        <v>86o 02' 23"</v>
      </c>
      <c r="N48" s="2" t="str">
        <f>IFERROR(__xludf.DUMMYFUNCTION("""COMPUTED_VALUE"""),"Mati (Dolakha)")</f>
        <v>Mati (Dolakha)</v>
      </c>
      <c r="O48" s="3">
        <f>IFERROR(__xludf.DUMMYFUNCTION("""COMPUTED_VALUE"""),62148.0)</f>
        <v>62148</v>
      </c>
    </row>
    <row r="49">
      <c r="A49" s="2">
        <f>IFERROR(__xludf.DUMMYFUNCTION("""COMPUTED_VALUE"""),48.0)</f>
        <v>48</v>
      </c>
      <c r="B49" s="2" t="str">
        <f>IFERROR(__xludf.DUMMYFUNCTION("""COMPUTED_VALUE"""),"Upper Tamakoshi HPP")</f>
        <v>Upper Tamakoshi HPP</v>
      </c>
      <c r="C49" s="2">
        <f>IFERROR(__xludf.DUMMYFUNCTION("""COMPUTED_VALUE"""),456.0)</f>
        <v>456</v>
      </c>
      <c r="D49" s="2" t="str">
        <f>IFERROR(__xludf.DUMMYFUNCTION("""COMPUTED_VALUE"""),"Tama Koshi")</f>
        <v>Tama Koshi</v>
      </c>
      <c r="E49" s="2">
        <f>IFERROR(__xludf.DUMMYFUNCTION("""COMPUTED_VALUE"""),41.0)</f>
        <v>41</v>
      </c>
      <c r="F49" s="3">
        <f>IFERROR(__xludf.DUMMYFUNCTION("""COMPUTED_VALUE"""),61226.0)</f>
        <v>61226</v>
      </c>
      <c r="G49" s="3">
        <f>IFERROR(__xludf.DUMMYFUNCTION("""COMPUTED_VALUE"""),74373.0)</f>
        <v>74373</v>
      </c>
      <c r="H49" s="2" t="str">
        <f>IFERROR(__xludf.DUMMYFUNCTION("""COMPUTED_VALUE"""),"Upper Tamakoshi Hydropower Limited")</f>
        <v>Upper Tamakoshi Hydropower Limited</v>
      </c>
      <c r="I49" s="2" t="str">
        <f>IFERROR(__xludf.DUMMYFUNCTION("""COMPUTED_VALUE"""),"Kathmandu,GPO Box: 26070 , Tel: 4420295, Fax: 4412569")</f>
        <v>Kathmandu,GPO Box: 26070 , Tel: 4420295, Fax: 4412569</v>
      </c>
      <c r="J49" s="2" t="str">
        <f>IFERROR(__xludf.DUMMYFUNCTION("""COMPUTED_VALUE"""),"27o 49' 00""")</f>
        <v>27o 49' 00"</v>
      </c>
      <c r="K49" s="2" t="str">
        <f>IFERROR(__xludf.DUMMYFUNCTION("""COMPUTED_VALUE"""),"27o 56' 40""")</f>
        <v>27o 56' 40"</v>
      </c>
      <c r="L49" s="2" t="str">
        <f>IFERROR(__xludf.DUMMYFUNCTION("""COMPUTED_VALUE"""),"86o 10' 00""")</f>
        <v>86o 10' 00"</v>
      </c>
      <c r="M49" s="2" t="str">
        <f>IFERROR(__xludf.DUMMYFUNCTION("""COMPUTED_VALUE"""),"86o 16' 00""")</f>
        <v>86o 16' 00"</v>
      </c>
      <c r="N49" s="2" t="str">
        <f>IFERROR(__xludf.DUMMYFUNCTION("""COMPUTED_VALUE"""),"Bulung,Gauri Sankar,Khare,Lamabagar,Sunakhani,Sundrawati (Dolakha)")</f>
        <v>Bulung,Gauri Sankar,Khare,Lamabagar,Sunakhani,Sundrawati (Dolakha)</v>
      </c>
      <c r="O49" s="3">
        <f>IFERROR(__xludf.DUMMYFUNCTION("""COMPUTED_VALUE"""),65139.0)</f>
        <v>65139</v>
      </c>
    </row>
    <row r="50">
      <c r="A50" s="2">
        <f>IFERROR(__xludf.DUMMYFUNCTION("""COMPUTED_VALUE"""),49.0)</f>
        <v>49</v>
      </c>
      <c r="B50" s="2" t="str">
        <f>IFERROR(__xludf.DUMMYFUNCTION("""COMPUTED_VALUE"""),"Upper Trishuli 3A")</f>
        <v>Upper Trishuli 3A</v>
      </c>
      <c r="C50" s="2">
        <f>IFERROR(__xludf.DUMMYFUNCTION("""COMPUTED_VALUE"""),60.0)</f>
        <v>60</v>
      </c>
      <c r="D50" s="2" t="str">
        <f>IFERROR(__xludf.DUMMYFUNCTION("""COMPUTED_VALUE"""),"Trishuli")</f>
        <v>Trishuli</v>
      </c>
      <c r="E50" s="2">
        <f>IFERROR(__xludf.DUMMYFUNCTION("""COMPUTED_VALUE"""),43.0)</f>
        <v>43</v>
      </c>
      <c r="F50" s="3">
        <f>IFERROR(__xludf.DUMMYFUNCTION("""COMPUTED_VALUE"""),61316.0)</f>
        <v>61316</v>
      </c>
      <c r="G50" s="3">
        <f>IFERROR(__xludf.DUMMYFUNCTION("""COMPUTED_VALUE"""),74098.0)</f>
        <v>74098</v>
      </c>
      <c r="H50" s="2" t="str">
        <f>IFERROR(__xludf.DUMMYFUNCTION("""COMPUTED_VALUE"""),"Nepal Electricity Authority")</f>
        <v>Nepal Electricity Authority</v>
      </c>
      <c r="I50" s="2" t="str">
        <f>IFERROR(__xludf.DUMMYFUNCTION("""COMPUTED_VALUE"""),"Durbar Marg , Kathmandu")</f>
        <v>Durbar Marg , Kathmandu</v>
      </c>
      <c r="J50" s="2" t="str">
        <f>IFERROR(__xludf.DUMMYFUNCTION("""COMPUTED_VALUE"""),"28o 01' 21""")</f>
        <v>28o 01' 21"</v>
      </c>
      <c r="K50" s="2" t="str">
        <f>IFERROR(__xludf.DUMMYFUNCTION("""COMPUTED_VALUE"""),"28o 04' 14""")</f>
        <v>28o 04' 14"</v>
      </c>
      <c r="L50" s="2" t="str">
        <f>IFERROR(__xludf.DUMMYFUNCTION("""COMPUTED_VALUE"""),"85o 11' 16""")</f>
        <v>85o 11' 16"</v>
      </c>
      <c r="M50" s="2" t="str">
        <f>IFERROR(__xludf.DUMMYFUNCTION("""COMPUTED_VALUE"""),"85o 12' 38""")</f>
        <v>85o 12' 38"</v>
      </c>
      <c r="N50" s="2" t="str">
        <f>IFERROR(__xludf.DUMMYFUNCTION("""COMPUTED_VALUE"""),"Dandagoun,Laharepouwa,Thulogoun,Ramche (Rasuwa)")</f>
        <v>Dandagoun,Laharepouwa,Thulogoun,Ramche (Rasuwa)</v>
      </c>
      <c r="O50" s="3">
        <f>IFERROR(__xludf.DUMMYFUNCTION("""COMPUTED_VALUE"""),64418.0)</f>
        <v>64418</v>
      </c>
    </row>
    <row r="51">
      <c r="A51" s="2">
        <f>IFERROR(__xludf.DUMMYFUNCTION("""COMPUTED_VALUE"""),50.0)</f>
        <v>50</v>
      </c>
      <c r="B51" s="2" t="str">
        <f>IFERROR(__xludf.DUMMYFUNCTION("""COMPUTED_VALUE"""),"Jiri Khola SHP")</f>
        <v>Jiri Khola SHP</v>
      </c>
      <c r="C51" s="2">
        <f>IFERROR(__xludf.DUMMYFUNCTION("""COMPUTED_VALUE"""),2.4)</f>
        <v>2.4</v>
      </c>
      <c r="D51" s="2" t="str">
        <f>IFERROR(__xludf.DUMMYFUNCTION("""COMPUTED_VALUE"""),"Jiri Khola")</f>
        <v>Jiri Khola</v>
      </c>
      <c r="E51" s="2">
        <f>IFERROR(__xludf.DUMMYFUNCTION("""COMPUTED_VALUE"""),42.0)</f>
        <v>42</v>
      </c>
      <c r="F51" s="3">
        <f>IFERROR(__xludf.DUMMYFUNCTION("""COMPUTED_VALUE"""),61318.0)</f>
        <v>61318</v>
      </c>
      <c r="G51" s="3">
        <f>IFERROR(__xludf.DUMMYFUNCTION("""COMPUTED_VALUE"""),74100.0)</f>
        <v>74100</v>
      </c>
      <c r="H51" s="2" t="str">
        <f>IFERROR(__xludf.DUMMYFUNCTION("""COMPUTED_VALUE"""),"Bojini Company (P.) Ltd")</f>
        <v>Bojini Company (P.) Ltd</v>
      </c>
      <c r="I51" s="2" t="str">
        <f>IFERROR(__xludf.DUMMYFUNCTION("""COMPUTED_VALUE"""),"Buddhanagar, Kathmandu. G.P.O Box: 8974, 4783532,4782765")</f>
        <v>Buddhanagar, Kathmandu. G.P.O Box: 8974, 4783532,4782765</v>
      </c>
      <c r="J51" s="2" t="str">
        <f>IFERROR(__xludf.DUMMYFUNCTION("""COMPUTED_VALUE"""),"27o 35' 06""")</f>
        <v>27o 35' 06"</v>
      </c>
      <c r="K51" s="2" t="str">
        <f>IFERROR(__xludf.DUMMYFUNCTION("""COMPUTED_VALUE"""),"27o 36' 45""")</f>
        <v>27o 36' 45"</v>
      </c>
      <c r="L51" s="2" t="str">
        <f>IFERROR(__xludf.DUMMYFUNCTION("""COMPUTED_VALUE"""),"86o 13' 24""")</f>
        <v>86o 13' 24"</v>
      </c>
      <c r="M51" s="2" t="str">
        <f>IFERROR(__xludf.DUMMYFUNCTION("""COMPUTED_VALUE"""),"86o 14' 00""")</f>
        <v>86o 14' 00"</v>
      </c>
      <c r="N51" s="2" t="str">
        <f>IFERROR(__xludf.DUMMYFUNCTION("""COMPUTED_VALUE"""),"(Dolakha)")</f>
        <v>(Dolakha)</v>
      </c>
      <c r="O51" s="3">
        <f>IFERROR(__xludf.DUMMYFUNCTION("""COMPUTED_VALUE"""),62763.0)</f>
        <v>62763</v>
      </c>
    </row>
    <row r="52">
      <c r="A52" s="2">
        <f>IFERROR(__xludf.DUMMYFUNCTION("""COMPUTED_VALUE"""),51.0)</f>
        <v>51</v>
      </c>
      <c r="B52" s="2" t="str">
        <f>IFERROR(__xludf.DUMMYFUNCTION("""COMPUTED_VALUE"""),"Pikhuwa Khola")</f>
        <v>Pikhuwa Khola</v>
      </c>
      <c r="C52" s="2">
        <f>IFERROR(__xludf.DUMMYFUNCTION("""COMPUTED_VALUE"""),5.0)</f>
        <v>5</v>
      </c>
      <c r="D52" s="2" t="str">
        <f>IFERROR(__xludf.DUMMYFUNCTION("""COMPUTED_VALUE"""),"Pikhuwa")</f>
        <v>Pikhuwa</v>
      </c>
      <c r="E52" s="2">
        <f>IFERROR(__xludf.DUMMYFUNCTION("""COMPUTED_VALUE"""),45.0)</f>
        <v>45</v>
      </c>
      <c r="F52" s="3">
        <f>IFERROR(__xludf.DUMMYFUNCTION("""COMPUTED_VALUE"""),61338.0)</f>
        <v>61338</v>
      </c>
      <c r="G52" s="3">
        <f>IFERROR(__xludf.DUMMYFUNCTION("""COMPUTED_VALUE"""),74120.0)</f>
        <v>74120</v>
      </c>
      <c r="H52" s="2" t="str">
        <f>IFERROR(__xludf.DUMMYFUNCTION("""COMPUTED_VALUE"""),"Eastern Hydropower P Ltd")</f>
        <v>Eastern Hydropower P Ltd</v>
      </c>
      <c r="I52" s="2" t="str">
        <f>IFERROR(__xludf.DUMMYFUNCTION("""COMPUTED_VALUE"""),"Kathmandu, Phone 01-4495459")</f>
        <v>Kathmandu, Phone 01-4495459</v>
      </c>
      <c r="J52" s="2" t="str">
        <f>IFERROR(__xludf.DUMMYFUNCTION("""COMPUTED_VALUE"""),"27o 08' 50""")</f>
        <v>27o 08' 50"</v>
      </c>
      <c r="K52" s="2" t="str">
        <f>IFERROR(__xludf.DUMMYFUNCTION("""COMPUTED_VALUE"""),"27o 10' 33""")</f>
        <v>27o 10' 33"</v>
      </c>
      <c r="L52" s="2" t="str">
        <f>IFERROR(__xludf.DUMMYFUNCTION("""COMPUTED_VALUE"""),"87o 00' 41""")</f>
        <v>87o 00' 41"</v>
      </c>
      <c r="M52" s="2" t="str">
        <f>IFERROR(__xludf.DUMMYFUNCTION("""COMPUTED_VALUE"""),"87o 02' 03""")</f>
        <v>87o 02' 03"</v>
      </c>
      <c r="N52" s="2" t="str">
        <f>IFERROR(__xludf.DUMMYFUNCTION("""COMPUTED_VALUE"""),"Kota,Bokhim,Bhojpur (Bhojpur)")</f>
        <v>Kota,Bokhim,Bhojpur (Bhojpur)</v>
      </c>
      <c r="O52" s="3">
        <f>IFERROR(__xludf.DUMMYFUNCTION("""COMPUTED_VALUE"""),64342.0)</f>
        <v>64342</v>
      </c>
    </row>
    <row r="53">
      <c r="A53" s="2">
        <f>IFERROR(__xludf.DUMMYFUNCTION("""COMPUTED_VALUE"""),52.0)</f>
        <v>52</v>
      </c>
      <c r="B53" s="2" t="str">
        <f>IFERROR(__xludf.DUMMYFUNCTION("""COMPUTED_VALUE"""),"Middle Chaku Khola")</f>
        <v>Middle Chaku Khola</v>
      </c>
      <c r="C53" s="2">
        <f>IFERROR(__xludf.DUMMYFUNCTION("""COMPUTED_VALUE"""),1.8)</f>
        <v>1.8</v>
      </c>
      <c r="D53" s="2" t="str">
        <f>IFERROR(__xludf.DUMMYFUNCTION("""COMPUTED_VALUE"""),"Chaku")</f>
        <v>Chaku</v>
      </c>
      <c r="E53" s="2">
        <f>IFERROR(__xludf.DUMMYFUNCTION("""COMPUTED_VALUE"""),44.0)</f>
        <v>44</v>
      </c>
      <c r="F53" s="3">
        <f>IFERROR(__xludf.DUMMYFUNCTION("""COMPUTED_VALUE"""),61338.0)</f>
        <v>61338</v>
      </c>
      <c r="G53" s="3">
        <f>IFERROR(__xludf.DUMMYFUNCTION("""COMPUTED_VALUE"""),74120.0)</f>
        <v>74120</v>
      </c>
      <c r="H53" s="2" t="str">
        <f>IFERROR(__xludf.DUMMYFUNCTION("""COMPUTED_VALUE"""),"Laughing Budha Power Nepal")</f>
        <v>Laughing Budha Power Nepal</v>
      </c>
      <c r="I53" s="2" t="str">
        <f>IFERROR(__xludf.DUMMYFUNCTION("""COMPUTED_VALUE"""),"GPO Box: 4619 , Katmandu")</f>
        <v>GPO Box: 4619 , Katmandu</v>
      </c>
      <c r="J53" s="2" t="str">
        <f>IFERROR(__xludf.DUMMYFUNCTION("""COMPUTED_VALUE"""),"27o 52' 20""")</f>
        <v>27o 52' 20"</v>
      </c>
      <c r="K53" s="2" t="str">
        <f>IFERROR(__xludf.DUMMYFUNCTION("""COMPUTED_VALUE"""),"27o 52' 50""")</f>
        <v>27o 52' 50"</v>
      </c>
      <c r="L53" s="2" t="str">
        <f>IFERROR(__xludf.DUMMYFUNCTION("""COMPUTED_VALUE"""),"85o 55' 45""")</f>
        <v>85o 55' 45"</v>
      </c>
      <c r="M53" s="2" t="str">
        <f>IFERROR(__xludf.DUMMYFUNCTION("""COMPUTED_VALUE"""),"85o 56' 00""")</f>
        <v>85o 56' 00"</v>
      </c>
      <c r="N53" s="2" t="str">
        <f>IFERROR(__xludf.DUMMYFUNCTION("""COMPUTED_VALUE"""),"(Sindhupalchok)")</f>
        <v>(Sindhupalchok)</v>
      </c>
      <c r="O53" s="3">
        <f>IFERROR(__xludf.DUMMYFUNCTION("""COMPUTED_VALUE"""),62047.0)</f>
        <v>62047</v>
      </c>
    </row>
    <row r="54">
      <c r="A54" s="2">
        <f>IFERROR(__xludf.DUMMYFUNCTION("""COMPUTED_VALUE"""),53.0)</f>
        <v>53</v>
      </c>
      <c r="B54" s="2" t="str">
        <f>IFERROR(__xludf.DUMMYFUNCTION("""COMPUTED_VALUE"""),"Radhi Small")</f>
        <v>Radhi Small</v>
      </c>
      <c r="C54" s="2">
        <f>IFERROR(__xludf.DUMMYFUNCTION("""COMPUTED_VALUE"""),4.4)</f>
        <v>4.4</v>
      </c>
      <c r="D54" s="2" t="str">
        <f>IFERROR(__xludf.DUMMYFUNCTION("""COMPUTED_VALUE"""),"Radhi")</f>
        <v>Radhi</v>
      </c>
      <c r="E54" s="2">
        <f>IFERROR(__xludf.DUMMYFUNCTION("""COMPUTED_VALUE"""),47.0)</f>
        <v>47</v>
      </c>
      <c r="F54" s="3">
        <f>IFERROR(__xludf.DUMMYFUNCTION("""COMPUTED_VALUE"""),61390.0)</f>
        <v>61390</v>
      </c>
      <c r="G54" s="3">
        <f>IFERROR(__xludf.DUMMYFUNCTION("""COMPUTED_VALUE"""),74172.0)</f>
        <v>74172</v>
      </c>
      <c r="H54" s="2" t="str">
        <f>IFERROR(__xludf.DUMMYFUNCTION("""COMPUTED_VALUE"""),"Radhi Bidyut Co. Ltd")</f>
        <v>Radhi Bidyut Co. Ltd</v>
      </c>
      <c r="I54" s="2" t="str">
        <f>IFERROR(__xludf.DUMMYFUNCTION("""COMPUTED_VALUE"""),"P.O.Box: 20290, Phone-014232750,4232749 , Fax: 014232748, Blue Star 
Complex, Room No. 523, Tripureshwor, Kathmandu")</f>
        <v>P.O.Box: 20290, Phone-014232750,4232749 , Fax: 014232748, Blue Star 
Complex, Room No. 523, Tripureshwor, Kathmandu</v>
      </c>
      <c r="J54" s="2" t="str">
        <f>IFERROR(__xludf.DUMMYFUNCTION("""COMPUTED_VALUE"""),"28o 23' 48""")</f>
        <v>28o 23' 48"</v>
      </c>
      <c r="K54" s="2" t="str">
        <f>IFERROR(__xludf.DUMMYFUNCTION("""COMPUTED_VALUE"""),"28o 24' 30""")</f>
        <v>28o 24' 30"</v>
      </c>
      <c r="L54" s="2" t="str">
        <f>IFERROR(__xludf.DUMMYFUNCTION("""COMPUTED_VALUE"""),"84o 24' 34""")</f>
        <v>84o 24' 34"</v>
      </c>
      <c r="M54" s="2" t="str">
        <f>IFERROR(__xludf.DUMMYFUNCTION("""COMPUTED_VALUE"""),"84o 25' 45""")</f>
        <v>84o 25' 45"</v>
      </c>
      <c r="N54" s="2" t="str">
        <f>IFERROR(__xludf.DUMMYFUNCTION("""COMPUTED_VALUE"""),"(Lamjung)")</f>
        <v>(Lamjung)</v>
      </c>
      <c r="O54" s="2" t="str">
        <f>IFERROR(__xludf.DUMMYFUNCTION("""COMPUTED_VALUE"""),"2071-02-31")</f>
        <v>2071-02-31</v>
      </c>
    </row>
    <row r="55">
      <c r="A55" s="2">
        <f>IFERROR(__xludf.DUMMYFUNCTION("""COMPUTED_VALUE"""),54.0)</f>
        <v>54</v>
      </c>
      <c r="B55" s="2" t="str">
        <f>IFERROR(__xludf.DUMMYFUNCTION("""COMPUTED_VALUE"""),"Dordi Khola")</f>
        <v>Dordi Khola</v>
      </c>
      <c r="C55" s="2">
        <f>IFERROR(__xludf.DUMMYFUNCTION("""COMPUTED_VALUE"""),27.0)</f>
        <v>27</v>
      </c>
      <c r="D55" s="2" t="str">
        <f>IFERROR(__xludf.DUMMYFUNCTION("""COMPUTED_VALUE"""),"Dordi")</f>
        <v>Dordi</v>
      </c>
      <c r="E55" s="2">
        <f>IFERROR(__xludf.DUMMYFUNCTION("""COMPUTED_VALUE"""),48.0)</f>
        <v>48</v>
      </c>
      <c r="F55" s="3">
        <f>IFERROR(__xludf.DUMMYFUNCTION("""COMPUTED_VALUE"""),61445.0)</f>
        <v>61445</v>
      </c>
      <c r="G55" s="3">
        <f>IFERROR(__xludf.DUMMYFUNCTION("""COMPUTED_VALUE"""),74226.0)</f>
        <v>74226</v>
      </c>
      <c r="H55" s="2" t="str">
        <f>IFERROR(__xludf.DUMMYFUNCTION("""COMPUTED_VALUE"""),"Himalaya Power Partner Pvt. Ltd")</f>
        <v>Himalaya Power Partner Pvt. Ltd</v>
      </c>
      <c r="I55" s="2" t="str">
        <f>IFERROR(__xludf.DUMMYFUNCTION("""COMPUTED_VALUE"""),"POB 8975 EPC 4205 Marajaganj,Kathmandu,nepal Phoneand Fax: 4375874")</f>
        <v>POB 8975 EPC 4205 Marajaganj,Kathmandu,nepal Phoneand Fax: 4375874</v>
      </c>
      <c r="J55" s="2" t="str">
        <f>IFERROR(__xludf.DUMMYFUNCTION("""COMPUTED_VALUE"""),"28o 10' 00""")</f>
        <v>28o 10' 00"</v>
      </c>
      <c r="K55" s="2" t="str">
        <f>IFERROR(__xludf.DUMMYFUNCTION("""COMPUTED_VALUE"""),"28o 13' 32""")</f>
        <v>28o 13' 32"</v>
      </c>
      <c r="L55" s="2" t="str">
        <f>IFERROR(__xludf.DUMMYFUNCTION("""COMPUTED_VALUE"""),"84o 26' 00""")</f>
        <v>84o 26' 00"</v>
      </c>
      <c r="M55" s="2" t="str">
        <f>IFERROR(__xludf.DUMMYFUNCTION("""COMPUTED_VALUE"""),"84o 28' 30""")</f>
        <v>84o 28' 30"</v>
      </c>
      <c r="N55" s="2" t="str">
        <f>IFERROR(__xludf.DUMMYFUNCTION("""COMPUTED_VALUE"""),"Archalbot,Chiti,Dhodeni,Nauthar,Shree Banjyang,Udipur (Lamjung)")</f>
        <v>Archalbot,Chiti,Dhodeni,Nauthar,Shree Banjyang,Udipur (Lamjung)</v>
      </c>
      <c r="O55" s="3">
        <f>IFERROR(__xludf.DUMMYFUNCTION("""COMPUTED_VALUE"""),65545.0)</f>
        <v>65545</v>
      </c>
    </row>
    <row r="56">
      <c r="A56" s="2">
        <f>IFERROR(__xludf.DUMMYFUNCTION("""COMPUTED_VALUE"""),55.0)</f>
        <v>55</v>
      </c>
      <c r="B56" s="2" t="str">
        <f>IFERROR(__xludf.DUMMYFUNCTION("""COMPUTED_VALUE"""),"Mristi Khola")</f>
        <v>Mristi Khola</v>
      </c>
      <c r="C56" s="2">
        <f>IFERROR(__xludf.DUMMYFUNCTION("""COMPUTED_VALUE"""),42.0)</f>
        <v>42</v>
      </c>
      <c r="D56" s="2" t="str">
        <f>IFERROR(__xludf.DUMMYFUNCTION("""COMPUTED_VALUE"""),"Mristi")</f>
        <v>Mristi</v>
      </c>
      <c r="E56" s="2">
        <f>IFERROR(__xludf.DUMMYFUNCTION("""COMPUTED_VALUE"""),53.0)</f>
        <v>53</v>
      </c>
      <c r="F56" s="3">
        <f>IFERROR(__xludf.DUMMYFUNCTION("""COMPUTED_VALUE"""),61564.0)</f>
        <v>61564</v>
      </c>
      <c r="G56" s="3">
        <f>IFERROR(__xludf.DUMMYFUNCTION("""COMPUTED_VALUE"""),74345.0)</f>
        <v>74345</v>
      </c>
      <c r="H56" s="2" t="str">
        <f>IFERROR(__xludf.DUMMYFUNCTION("""COMPUTED_VALUE"""),"Mountain Energy Nepal Limited")</f>
        <v>Mountain Energy Nepal Limited</v>
      </c>
      <c r="I56" s="2" t="str">
        <f>IFERROR(__xludf.DUMMYFUNCTION("""COMPUTED_VALUE"""),"IME Complex 3rd Floor, Panipokhari, Kathmandu")</f>
        <v>IME Complex 3rd Floor, Panipokhari, Kathmandu</v>
      </c>
      <c r="J56" s="2" t="str">
        <f>IFERROR(__xludf.DUMMYFUNCTION("""COMPUTED_VALUE"""),"28o 30' 00""")</f>
        <v>28o 30' 00"</v>
      </c>
      <c r="K56" s="2" t="str">
        <f>IFERROR(__xludf.DUMMYFUNCTION("""COMPUTED_VALUE"""),"28o 32' 17""")</f>
        <v>28o 32' 17"</v>
      </c>
      <c r="L56" s="2" t="str">
        <f>IFERROR(__xludf.DUMMYFUNCTION("""COMPUTED_VALUE"""),"83o 39' 10""")</f>
        <v>83o 39' 10"</v>
      </c>
      <c r="M56" s="2" t="str">
        <f>IFERROR(__xludf.DUMMYFUNCTION("""COMPUTED_VALUE"""),"83o 40' 42""")</f>
        <v>83o 40' 42"</v>
      </c>
      <c r="N56" s="2" t="str">
        <f>IFERROR(__xludf.DUMMYFUNCTION("""COMPUTED_VALUE"""),",Dana,Narchyang (Myagdi)")</f>
        <v>,Dana,Narchyang (Myagdi)</v>
      </c>
      <c r="O56" s="3">
        <f>IFERROR(__xludf.DUMMYFUNCTION("""COMPUTED_VALUE"""),65077.0)</f>
        <v>65077</v>
      </c>
    </row>
    <row r="57">
      <c r="A57" s="2">
        <f>IFERROR(__xludf.DUMMYFUNCTION("""COMPUTED_VALUE"""),56.0)</f>
        <v>56</v>
      </c>
      <c r="B57" s="2" t="str">
        <f>IFERROR(__xludf.DUMMYFUNCTION("""COMPUTED_VALUE"""),"Tadi Khola (thaprek)")</f>
        <v>Tadi Khola (thaprek)</v>
      </c>
      <c r="C57" s="2">
        <f>IFERROR(__xludf.DUMMYFUNCTION("""COMPUTED_VALUE"""),5.0)</f>
        <v>5</v>
      </c>
      <c r="D57" s="2" t="str">
        <f>IFERROR(__xludf.DUMMYFUNCTION("""COMPUTED_VALUE"""),"Tadi Khola")</f>
        <v>Tadi Khola</v>
      </c>
      <c r="E57" s="2">
        <f>IFERROR(__xludf.DUMMYFUNCTION("""COMPUTED_VALUE"""),54.0)</f>
        <v>54</v>
      </c>
      <c r="F57" s="3">
        <f>IFERROR(__xludf.DUMMYFUNCTION("""COMPUTED_VALUE"""),61581.0)</f>
        <v>61581</v>
      </c>
      <c r="G57" s="3">
        <f>IFERROR(__xludf.DUMMYFUNCTION("""COMPUTED_VALUE"""),74362.0)</f>
        <v>74362</v>
      </c>
      <c r="H57" s="2" t="str">
        <f>IFERROR(__xludf.DUMMYFUNCTION("""COMPUTED_VALUE"""),"Aadi Shakti Bidhut Bikash Co. P. Ltd")</f>
        <v>Aadi Shakti Bidhut Bikash Co. P. Ltd</v>
      </c>
      <c r="I57" s="2" t="str">
        <f>IFERROR(__xludf.DUMMYFUNCTION("""COMPUTED_VALUE"""),"P.O. Box: 897, Ph: 01-4219731")</f>
        <v>P.O. Box: 897, Ph: 01-4219731</v>
      </c>
      <c r="J57" s="2" t="str">
        <f>IFERROR(__xludf.DUMMYFUNCTION("""COMPUTED_VALUE"""),"27o 55' 00""")</f>
        <v>27o 55' 00"</v>
      </c>
      <c r="K57" s="2" t="str">
        <f>IFERROR(__xludf.DUMMYFUNCTION("""COMPUTED_VALUE"""),"27o 55' 56""")</f>
        <v>27o 55' 56"</v>
      </c>
      <c r="L57" s="2" t="str">
        <f>IFERROR(__xludf.DUMMYFUNCTION("""COMPUTED_VALUE"""),"85o 19' 15""")</f>
        <v>85o 19' 15"</v>
      </c>
      <c r="M57" s="2" t="str">
        <f>IFERROR(__xludf.DUMMYFUNCTION("""COMPUTED_VALUE"""),"85o 21' 08""")</f>
        <v>85o 21' 08"</v>
      </c>
      <c r="N57" s="2" t="str">
        <f>IFERROR(__xludf.DUMMYFUNCTION("""COMPUTED_VALUE"""),"(Nuwakot)")</f>
        <v>(Nuwakot)</v>
      </c>
      <c r="O57" s="3">
        <f>IFERROR(__xludf.DUMMYFUNCTION("""COMPUTED_VALUE"""),57993.0)</f>
        <v>57993</v>
      </c>
    </row>
    <row r="58">
      <c r="A58" s="2">
        <f>IFERROR(__xludf.DUMMYFUNCTION("""COMPUTED_VALUE"""),57.0)</f>
        <v>57</v>
      </c>
      <c r="B58" s="2" t="str">
        <f>IFERROR(__xludf.DUMMYFUNCTION("""COMPUTED_VALUE"""),"Sanjen")</f>
        <v>Sanjen</v>
      </c>
      <c r="C58" s="2">
        <f>IFERROR(__xludf.DUMMYFUNCTION("""COMPUTED_VALUE"""),42.5)</f>
        <v>42.5</v>
      </c>
      <c r="D58" s="2" t="str">
        <f>IFERROR(__xludf.DUMMYFUNCTION("""COMPUTED_VALUE"""),"Sanjen")</f>
        <v>Sanjen</v>
      </c>
      <c r="E58" s="2">
        <f>IFERROR(__xludf.DUMMYFUNCTION("""COMPUTED_VALUE"""),55.0)</f>
        <v>55</v>
      </c>
      <c r="F58" s="3">
        <f>IFERROR(__xludf.DUMMYFUNCTION("""COMPUTED_VALUE"""),61587.0)</f>
        <v>61587</v>
      </c>
      <c r="G58" s="3">
        <f>IFERROR(__xludf.DUMMYFUNCTION("""COMPUTED_VALUE"""),74734.0)</f>
        <v>74734</v>
      </c>
      <c r="H58" s="2" t="str">
        <f>IFERROR(__xludf.DUMMYFUNCTION("""COMPUTED_VALUE"""),"Sanjen Jalvidyut Co.")</f>
        <v>Sanjen Jalvidyut Co.</v>
      </c>
      <c r="I58" s="2" t="str">
        <f>IFERROR(__xludf.DUMMYFUNCTION("""COMPUTED_VALUE"""),"P.O.Box 25210, Gyaneswor,Kathmandu, Phone 01-4443077, Fax 01- 4443076")</f>
        <v>P.O.Box 25210, Gyaneswor,Kathmandu, Phone 01-4443077, Fax 01- 4443076</v>
      </c>
      <c r="J58" s="2" t="str">
        <f>IFERROR(__xludf.DUMMYFUNCTION("""COMPUTED_VALUE"""),"28o 11' 00""")</f>
        <v>28o 11' 00"</v>
      </c>
      <c r="K58" s="2" t="str">
        <f>IFERROR(__xludf.DUMMYFUNCTION("""COMPUTED_VALUE"""),"28o 13' 00""")</f>
        <v>28o 13' 00"</v>
      </c>
      <c r="L58" s="2" t="str">
        <f>IFERROR(__xludf.DUMMYFUNCTION("""COMPUTED_VALUE"""),"85o 16' 30""")</f>
        <v>85o 16' 30"</v>
      </c>
      <c r="M58" s="2" t="str">
        <f>IFERROR(__xludf.DUMMYFUNCTION("""COMPUTED_VALUE"""),"85o 18' 15""")</f>
        <v>85o 18' 15"</v>
      </c>
      <c r="N58" s="2" t="str">
        <f>IFERROR(__xludf.DUMMYFUNCTION("""COMPUTED_VALUE"""),"Chilime (Rasuwa)")</f>
        <v>Chilime (Rasuwa)</v>
      </c>
      <c r="O58" s="3">
        <f>IFERROR(__xludf.DUMMYFUNCTION("""COMPUTED_VALUE"""),66355.0)</f>
        <v>66355</v>
      </c>
    </row>
    <row r="59">
      <c r="A59" s="2">
        <f>IFERROR(__xludf.DUMMYFUNCTION("""COMPUTED_VALUE"""),58.0)</f>
        <v>58</v>
      </c>
      <c r="B59" s="2" t="str">
        <f>IFERROR(__xludf.DUMMYFUNCTION("""COMPUTED_VALUE"""),"Upper Chaku A")</f>
        <v>Upper Chaku A</v>
      </c>
      <c r="C59" s="2">
        <f>IFERROR(__xludf.DUMMYFUNCTION("""COMPUTED_VALUE"""),22.2)</f>
        <v>22.2</v>
      </c>
      <c r="D59" s="2" t="str">
        <f>IFERROR(__xludf.DUMMYFUNCTION("""COMPUTED_VALUE"""),"Chaku")</f>
        <v>Chaku</v>
      </c>
      <c r="E59" s="2">
        <f>IFERROR(__xludf.DUMMYFUNCTION("""COMPUTED_VALUE"""),58.0)</f>
        <v>58</v>
      </c>
      <c r="F59" s="3">
        <f>IFERROR(__xludf.DUMMYFUNCTION("""COMPUTED_VALUE"""),61679.0)</f>
        <v>61679</v>
      </c>
      <c r="G59" s="3">
        <f>IFERROR(__xludf.DUMMYFUNCTION("""COMPUTED_VALUE"""),74460.0)</f>
        <v>74460</v>
      </c>
      <c r="H59" s="2" t="str">
        <f>IFERROR(__xludf.DUMMYFUNCTION("""COMPUTED_VALUE"""),"Shiva Sri Hydropower Pvt. Ltd")</f>
        <v>Shiva Sri Hydropower Pvt. Ltd</v>
      </c>
      <c r="I59" s="2" t="str">
        <f>IFERROR(__xludf.DUMMYFUNCTION("""COMPUTED_VALUE"""),"P.O.Box 13860 Kathmandu, Phone 01-4466330,")</f>
        <v>P.O.Box 13860 Kathmandu, Phone 01-4466330,</v>
      </c>
      <c r="J59" s="2" t="str">
        <f>IFERROR(__xludf.DUMMYFUNCTION("""COMPUTED_VALUE"""),"27o 51' 31""")</f>
        <v>27o 51' 31"</v>
      </c>
      <c r="K59" s="2" t="str">
        <f>IFERROR(__xludf.DUMMYFUNCTION("""COMPUTED_VALUE"""),"27o 52' 31""")</f>
        <v>27o 52' 31"</v>
      </c>
      <c r="L59" s="2" t="str">
        <f>IFERROR(__xludf.DUMMYFUNCTION("""COMPUTED_VALUE"""),"85o 56' 00""")</f>
        <v>85o 56' 00"</v>
      </c>
      <c r="M59" s="2" t="str">
        <f>IFERROR(__xludf.DUMMYFUNCTION("""COMPUTED_VALUE"""),"85o 58' 06""")</f>
        <v>85o 58' 06"</v>
      </c>
      <c r="N59" s="2" t="str">
        <f>IFERROR(__xludf.DUMMYFUNCTION("""COMPUTED_VALUE"""),"Marbin,Fulpingkatti (Sindhupalchok)")</f>
        <v>Marbin,Fulpingkatti (Sindhupalchok)</v>
      </c>
      <c r="O59" s="3">
        <f>IFERROR(__xludf.DUMMYFUNCTION("""COMPUTED_VALUE"""),65047.0)</f>
        <v>65047</v>
      </c>
    </row>
    <row r="60">
      <c r="A60" s="2">
        <f>IFERROR(__xludf.DUMMYFUNCTION("""COMPUTED_VALUE"""),59.0)</f>
        <v>59</v>
      </c>
      <c r="B60" s="2" t="str">
        <f>IFERROR(__xludf.DUMMYFUNCTION("""COMPUTED_VALUE"""),"Likhu-4")</f>
        <v>Likhu-4</v>
      </c>
      <c r="C60" s="2">
        <f>IFERROR(__xludf.DUMMYFUNCTION("""COMPUTED_VALUE"""),52.4)</f>
        <v>52.4</v>
      </c>
      <c r="D60" s="2" t="str">
        <f>IFERROR(__xludf.DUMMYFUNCTION("""COMPUTED_VALUE"""),"Likhu Khola")</f>
        <v>Likhu Khola</v>
      </c>
      <c r="E60" s="2">
        <f>IFERROR(__xludf.DUMMYFUNCTION("""COMPUTED_VALUE"""),59.0)</f>
        <v>59</v>
      </c>
      <c r="F60" s="3">
        <f>IFERROR(__xludf.DUMMYFUNCTION("""COMPUTED_VALUE"""),61695.0)</f>
        <v>61695</v>
      </c>
      <c r="G60" s="3">
        <f>IFERROR(__xludf.DUMMYFUNCTION("""COMPUTED_VALUE"""),72651.0)</f>
        <v>72651</v>
      </c>
      <c r="H60" s="2" t="str">
        <f>IFERROR(__xludf.DUMMYFUNCTION("""COMPUTED_VALUE"""),"Green Ventures Ltd")</f>
        <v>Green Ventures Ltd</v>
      </c>
      <c r="I60" s="2" t="str">
        <f>IFERROR(__xludf.DUMMYFUNCTION("""COMPUTED_VALUE"""),"P.O.Box 772, Triveni Complex Putalisadak kathmandu, Ph 5544736, 9863029595")</f>
        <v>P.O.Box 772, Triveni Complex Putalisadak kathmandu, Ph 5544736, 9863029595</v>
      </c>
      <c r="J60" s="2" t="str">
        <f>IFERROR(__xludf.DUMMYFUNCTION("""COMPUTED_VALUE"""),"27o 26' 39""")</f>
        <v>27o 26' 39"</v>
      </c>
      <c r="K60" s="2" t="str">
        <f>IFERROR(__xludf.DUMMYFUNCTION("""COMPUTED_VALUE"""),"27o 28' 40""")</f>
        <v>27o 28' 40"</v>
      </c>
      <c r="L60" s="2" t="str">
        <f>IFERROR(__xludf.DUMMYFUNCTION("""COMPUTED_VALUE"""),"86o 15' 00""")</f>
        <v>86o 15' 00"</v>
      </c>
      <c r="M60" s="2" t="str">
        <f>IFERROR(__xludf.DUMMYFUNCTION("""COMPUTED_VALUE"""),"86o 20' 00""")</f>
        <v>86o 20' 00"</v>
      </c>
      <c r="N60" s="2" t="str">
        <f>IFERROR(__xludf.DUMMYFUNCTION("""COMPUTED_VALUE"""),"Ragani,Pokli (Okhaldhunga) Saibu,Bijulikot,Naga Daha,Tilpung (Ramechhap)")</f>
        <v>Ragani,Pokli (Okhaldhunga) Saibu,Bijulikot,Naga Daha,Tilpung (Ramechhap)</v>
      </c>
      <c r="O60" s="3">
        <f>IFERROR(__xludf.DUMMYFUNCTION("""COMPUTED_VALUE"""),65217.0)</f>
        <v>65217</v>
      </c>
    </row>
    <row r="61">
      <c r="A61" s="2">
        <f>IFERROR(__xludf.DUMMYFUNCTION("""COMPUTED_VALUE"""),60.0)</f>
        <v>60</v>
      </c>
      <c r="B61" s="2" t="str">
        <f>IFERROR(__xludf.DUMMYFUNCTION("""COMPUTED_VALUE"""),"Upper Marsyangdi A")</f>
        <v>Upper Marsyangdi A</v>
      </c>
      <c r="C61" s="2">
        <f>IFERROR(__xludf.DUMMYFUNCTION("""COMPUTED_VALUE"""),50.0)</f>
        <v>50</v>
      </c>
      <c r="D61" s="2" t="str">
        <f>IFERROR(__xludf.DUMMYFUNCTION("""COMPUTED_VALUE"""),"Marsyangdi")</f>
        <v>Marsyangdi</v>
      </c>
      <c r="E61" s="2">
        <f>IFERROR(__xludf.DUMMYFUNCTION("""COMPUTED_VALUE"""),60.0)</f>
        <v>60</v>
      </c>
      <c r="F61" s="3">
        <f>IFERROR(__xludf.DUMMYFUNCTION("""COMPUTED_VALUE"""),61714.0)</f>
        <v>61714</v>
      </c>
      <c r="G61" s="3">
        <f>IFERROR(__xludf.DUMMYFUNCTION("""COMPUTED_VALUE"""),74495.0)</f>
        <v>74495</v>
      </c>
      <c r="H61" s="2" t="str">
        <f>IFERROR(__xludf.DUMMYFUNCTION("""COMPUTED_VALUE"""),"Sinohydro-Sagarmatha Power Company Pvt Ltd")</f>
        <v>Sinohydro-Sagarmatha Power Company Pvt Ltd</v>
      </c>
      <c r="I61" s="2" t="str">
        <f>IFERROR(__xludf.DUMMYFUNCTION("""COMPUTED_VALUE"""),"Sanepa , Lalitpur")</f>
        <v>Sanepa , Lalitpur</v>
      </c>
      <c r="J61" s="2" t="str">
        <f>IFERROR(__xludf.DUMMYFUNCTION("""COMPUTED_VALUE"""),"28o 17' 07""")</f>
        <v>28o 17' 07"</v>
      </c>
      <c r="K61" s="2" t="str">
        <f>IFERROR(__xludf.DUMMYFUNCTION("""COMPUTED_VALUE"""),"28o 19' 28""")</f>
        <v>28o 19' 28"</v>
      </c>
      <c r="L61" s="2" t="str">
        <f>IFERROR(__xludf.DUMMYFUNCTION("""COMPUTED_VALUE"""),"84o 21' 55""")</f>
        <v>84o 21' 55"</v>
      </c>
      <c r="M61" s="2" t="str">
        <f>IFERROR(__xludf.DUMMYFUNCTION("""COMPUTED_VALUE"""),"84o 24' 10""")</f>
        <v>84o 24' 10"</v>
      </c>
      <c r="N61" s="2" t="str">
        <f>IFERROR(__xludf.DUMMYFUNCTION("""COMPUTED_VALUE"""),"Bhulbhule,Bahundada,Khudi (Lamjung)")</f>
        <v>Bhulbhule,Bahundada,Khudi (Lamjung)</v>
      </c>
      <c r="O61" s="3">
        <f>IFERROR(__xludf.DUMMYFUNCTION("""COMPUTED_VALUE"""),63400.0)</f>
        <v>63400</v>
      </c>
    </row>
    <row r="62">
      <c r="A62" s="2">
        <f>IFERROR(__xludf.DUMMYFUNCTION("""COMPUTED_VALUE"""),61.0)</f>
        <v>61</v>
      </c>
      <c r="B62" s="2" t="str">
        <f>IFERROR(__xludf.DUMMYFUNCTION("""COMPUTED_VALUE"""),"Thapa Khola")</f>
        <v>Thapa Khola</v>
      </c>
      <c r="C62" s="2">
        <f>IFERROR(__xludf.DUMMYFUNCTION("""COMPUTED_VALUE"""),13.6)</f>
        <v>13.6</v>
      </c>
      <c r="D62" s="2" t="str">
        <f>IFERROR(__xludf.DUMMYFUNCTION("""COMPUTED_VALUE"""),"Thapa Khola")</f>
        <v>Thapa Khola</v>
      </c>
      <c r="E62" s="2">
        <f>IFERROR(__xludf.DUMMYFUNCTION("""COMPUTED_VALUE"""),61.0)</f>
        <v>61</v>
      </c>
      <c r="F62" s="3">
        <f>IFERROR(__xludf.DUMMYFUNCTION("""COMPUTED_VALUE"""),61754.0)</f>
        <v>61754</v>
      </c>
      <c r="G62" s="3">
        <f>IFERROR(__xludf.DUMMYFUNCTION("""COMPUTED_VALUE"""),74535.0)</f>
        <v>74535</v>
      </c>
      <c r="H62" s="2" t="str">
        <f>IFERROR(__xludf.DUMMYFUNCTION("""COMPUTED_VALUE"""),"Mount Kailash Energy Co. Ltd")</f>
        <v>Mount Kailash Energy Co. Ltd</v>
      </c>
      <c r="I62" s="2" t="str">
        <f>IFERROR(__xludf.DUMMYFUNCTION("""COMPUTED_VALUE"""),"Tupche -3, Nuwakot ,Tel: 9841832093")</f>
        <v>Tupche -3, Nuwakot ,Tel: 9841832093</v>
      </c>
      <c r="J62" s="2" t="str">
        <f>IFERROR(__xludf.DUMMYFUNCTION("""COMPUTED_VALUE"""),"28o 42' 32""")</f>
        <v>28o 42' 32"</v>
      </c>
      <c r="K62" s="2" t="str">
        <f>IFERROR(__xludf.DUMMYFUNCTION("""COMPUTED_VALUE"""),"28o 44' 30""")</f>
        <v>28o 44' 30"</v>
      </c>
      <c r="L62" s="2" t="str">
        <f>IFERROR(__xludf.DUMMYFUNCTION("""COMPUTED_VALUE"""),"83o 36' 44""")</f>
        <v>83o 36' 44"</v>
      </c>
      <c r="M62" s="2" t="str">
        <f>IFERROR(__xludf.DUMMYFUNCTION("""COMPUTED_VALUE"""),"83o 38' 52""")</f>
        <v>83o 38' 52"</v>
      </c>
      <c r="N62" s="2" t="str">
        <f>IFERROR(__xludf.DUMMYFUNCTION("""COMPUTED_VALUE"""),"(Mustang)")</f>
        <v>(Mustang)</v>
      </c>
      <c r="O62" s="3">
        <f>IFERROR(__xludf.DUMMYFUNCTION("""COMPUTED_VALUE"""),63788.0)</f>
        <v>63788</v>
      </c>
    </row>
    <row r="63">
      <c r="A63" s="2">
        <f>IFERROR(__xludf.DUMMYFUNCTION("""COMPUTED_VALUE"""),62.0)</f>
        <v>62</v>
      </c>
      <c r="B63" s="2" t="str">
        <f>IFERROR(__xludf.DUMMYFUNCTION("""COMPUTED_VALUE"""),"Daraundi A")</f>
        <v>Daraundi A</v>
      </c>
      <c r="C63" s="2">
        <f>IFERROR(__xludf.DUMMYFUNCTION("""COMPUTED_VALUE"""),6.0)</f>
        <v>6</v>
      </c>
      <c r="D63" s="2" t="str">
        <f>IFERROR(__xludf.DUMMYFUNCTION("""COMPUTED_VALUE"""),"Daraudi")</f>
        <v>Daraudi</v>
      </c>
      <c r="E63" s="2">
        <f>IFERROR(__xludf.DUMMYFUNCTION("""COMPUTED_VALUE"""),62.0)</f>
        <v>62</v>
      </c>
      <c r="F63" s="3">
        <f>IFERROR(__xludf.DUMMYFUNCTION("""COMPUTED_VALUE"""),61775.0)</f>
        <v>61775</v>
      </c>
      <c r="G63" s="3">
        <f>IFERROR(__xludf.DUMMYFUNCTION("""COMPUTED_VALUE"""),74556.0)</f>
        <v>74556</v>
      </c>
      <c r="H63" s="2" t="str">
        <f>IFERROR(__xludf.DUMMYFUNCTION("""COMPUTED_VALUE"""),"Daraundi Kalika Hydro")</f>
        <v>Daraundi Kalika Hydro</v>
      </c>
      <c r="I63" s="2" t="str">
        <f>IFERROR(__xludf.DUMMYFUNCTION("""COMPUTED_VALUE"""),"Samakhusi, Kathmandu, Nepal. Ph: 4360076")</f>
        <v>Samakhusi, Kathmandu, Nepal. Ph: 4360076</v>
      </c>
      <c r="J63" s="2" t="str">
        <f>IFERROR(__xludf.DUMMYFUNCTION("""COMPUTED_VALUE"""),"28o 06' 29""")</f>
        <v>28o 06' 29"</v>
      </c>
      <c r="K63" s="2" t="str">
        <f>IFERROR(__xludf.DUMMYFUNCTION("""COMPUTED_VALUE"""),"28o 08' 13""")</f>
        <v>28o 08' 13"</v>
      </c>
      <c r="L63" s="2" t="str">
        <f>IFERROR(__xludf.DUMMYFUNCTION("""COMPUTED_VALUE"""),"84o 39' 43""")</f>
        <v>84o 39' 43"</v>
      </c>
      <c r="M63" s="2" t="str">
        <f>IFERROR(__xludf.DUMMYFUNCTION("""COMPUTED_VALUE"""),"84o 41' 33""")</f>
        <v>84o 41' 33"</v>
      </c>
      <c r="N63" s="2" t="str">
        <f>IFERROR(__xludf.DUMMYFUNCTION("""COMPUTED_VALUE"""),"(Gorkha)")</f>
        <v>(Gorkha)</v>
      </c>
      <c r="O63" s="3">
        <f>IFERROR(__xludf.DUMMYFUNCTION("""COMPUTED_VALUE"""),63413.0)</f>
        <v>63413</v>
      </c>
    </row>
    <row r="64">
      <c r="A64" s="2">
        <f>IFERROR(__xludf.DUMMYFUNCTION("""COMPUTED_VALUE"""),63.0)</f>
        <v>63</v>
      </c>
      <c r="B64" s="2" t="str">
        <f>IFERROR(__xludf.DUMMYFUNCTION("""COMPUTED_VALUE"""),"Jhyadi Khola")</f>
        <v>Jhyadi Khola</v>
      </c>
      <c r="C64" s="2">
        <f>IFERROR(__xludf.DUMMYFUNCTION("""COMPUTED_VALUE"""),2.0)</f>
        <v>2</v>
      </c>
      <c r="D64" s="2" t="str">
        <f>IFERROR(__xludf.DUMMYFUNCTION("""COMPUTED_VALUE"""),"Jhyari Khola")</f>
        <v>Jhyari Khola</v>
      </c>
      <c r="E64" s="2">
        <f>IFERROR(__xludf.DUMMYFUNCTION("""COMPUTED_VALUE"""),63.0)</f>
        <v>63</v>
      </c>
      <c r="F64" s="2" t="str">
        <f>IFERROR(__xludf.DUMMYFUNCTION("""COMPUTED_VALUE"""),"2069-02-30")</f>
        <v>2069-02-30</v>
      </c>
      <c r="G64" s="3">
        <f>IFERROR(__xludf.DUMMYFUNCTION("""COMPUTED_VALUE"""),74570.0)</f>
        <v>74570</v>
      </c>
      <c r="H64" s="2" t="str">
        <f>IFERROR(__xludf.DUMMYFUNCTION("""COMPUTED_VALUE"""),"Electrocom and Research Centre, 9851003846")</f>
        <v>Electrocom and Research Centre, 9851003846</v>
      </c>
      <c r="I64" s="2" t="str">
        <f>IFERROR(__xludf.DUMMYFUNCTION("""COMPUTED_VALUE"""),"Baneshwor, Kathamandu - 10, Ph. 9851003846,9751000944")</f>
        <v>Baneshwor, Kathamandu - 10, Ph. 9851003846,9751000944</v>
      </c>
      <c r="J64" s="2" t="str">
        <f>IFERROR(__xludf.DUMMYFUNCTION("""COMPUTED_VALUE"""),"27o 44' 30""")</f>
        <v>27o 44' 30"</v>
      </c>
      <c r="K64" s="2" t="str">
        <f>IFERROR(__xludf.DUMMYFUNCTION("""COMPUTED_VALUE"""),"27o 46' 35""")</f>
        <v>27o 46' 35"</v>
      </c>
      <c r="L64" s="2" t="str">
        <f>IFERROR(__xludf.DUMMYFUNCTION("""COMPUTED_VALUE"""),"85o 40' 15""")</f>
        <v>85o 40' 15"</v>
      </c>
      <c r="M64" s="2" t="str">
        <f>IFERROR(__xludf.DUMMYFUNCTION("""COMPUTED_VALUE"""),"85o 41' 02""")</f>
        <v>85o 41' 02"</v>
      </c>
      <c r="N64" s="2" t="str">
        <f>IFERROR(__xludf.DUMMYFUNCTION("""COMPUTED_VALUE"""),"Pipaldanda,Sanusiruwari,Kunchok,Bhotsipa (Sindhupalchok)")</f>
        <v>Pipaldanda,Sanusiruwari,Kunchok,Bhotsipa (Sindhupalchok)</v>
      </c>
      <c r="O64" s="3">
        <f>IFERROR(__xludf.DUMMYFUNCTION("""COMPUTED_VALUE"""),63280.0)</f>
        <v>63280</v>
      </c>
    </row>
    <row r="65">
      <c r="A65" s="2">
        <f>IFERROR(__xludf.DUMMYFUNCTION("""COMPUTED_VALUE"""),64.0)</f>
        <v>64</v>
      </c>
      <c r="B65" s="2" t="str">
        <f>IFERROR(__xludf.DUMMYFUNCTION("""COMPUTED_VALUE"""),"Lower Khare")</f>
        <v>Lower Khare</v>
      </c>
      <c r="C65" s="2">
        <f>IFERROR(__xludf.DUMMYFUNCTION("""COMPUTED_VALUE"""),11.0)</f>
        <v>11</v>
      </c>
      <c r="D65" s="2" t="str">
        <f>IFERROR(__xludf.DUMMYFUNCTION("""COMPUTED_VALUE"""),"Khare")</f>
        <v>Khare</v>
      </c>
      <c r="E65" s="2">
        <f>IFERROR(__xludf.DUMMYFUNCTION("""COMPUTED_VALUE"""),64.0)</f>
        <v>64</v>
      </c>
      <c r="F65" s="3">
        <f>IFERROR(__xludf.DUMMYFUNCTION("""COMPUTED_VALUE"""),61806.0)</f>
        <v>61806</v>
      </c>
      <c r="G65" s="3">
        <f>IFERROR(__xludf.DUMMYFUNCTION("""COMPUTED_VALUE"""),74953.0)</f>
        <v>74953</v>
      </c>
      <c r="H65" s="2" t="str">
        <f>IFERROR(__xludf.DUMMYFUNCTION("""COMPUTED_VALUE"""),"Universal Power Company P. Ltd")</f>
        <v>Universal Power Company P. Ltd</v>
      </c>
      <c r="I65" s="2" t="str">
        <f>IFERROR(__xludf.DUMMYFUNCTION("""COMPUTED_VALUE"""),"Thapathali KTM, POB : 13961, Ph no: 014261827, 4252216")</f>
        <v>Thapathali KTM, POB : 13961, Ph no: 014261827, 4252216</v>
      </c>
      <c r="J65" s="2" t="str">
        <f>IFERROR(__xludf.DUMMYFUNCTION("""COMPUTED_VALUE"""),"27o 45' 00""")</f>
        <v>27o 45' 00"</v>
      </c>
      <c r="K65" s="2" t="str">
        <f>IFERROR(__xludf.DUMMYFUNCTION("""COMPUTED_VALUE"""),"27o 45' 43""")</f>
        <v>27o 45' 43"</v>
      </c>
      <c r="L65" s="2" t="str">
        <f>IFERROR(__xludf.DUMMYFUNCTION("""COMPUTED_VALUE"""),"86o 11' 35""")</f>
        <v>86o 11' 35"</v>
      </c>
      <c r="M65" s="2" t="str">
        <f>IFERROR(__xludf.DUMMYFUNCTION("""COMPUTED_VALUE"""),"86o 13' 52""")</f>
        <v>86o 13' 52"</v>
      </c>
      <c r="N65" s="2" t="str">
        <f>IFERROR(__xludf.DUMMYFUNCTION("""COMPUTED_VALUE"""),"Bulung,Chankhu,Khare,Suriti (Dolakha)")</f>
        <v>Bulung,Chankhu,Khare,Suriti (Dolakha)</v>
      </c>
      <c r="O65" s="3">
        <f>IFERROR(__xludf.DUMMYFUNCTION("""COMPUTED_VALUE"""),65264.0)</f>
        <v>65264</v>
      </c>
    </row>
    <row r="66">
      <c r="A66" s="2">
        <f>IFERROR(__xludf.DUMMYFUNCTION("""COMPUTED_VALUE"""),65.0)</f>
        <v>65</v>
      </c>
      <c r="B66" s="2" t="str">
        <f>IFERROR(__xludf.DUMMYFUNCTION("""COMPUTED_VALUE"""),"Nau Gad Khola")</f>
        <v>Nau Gad Khola</v>
      </c>
      <c r="C66" s="2">
        <f>IFERROR(__xludf.DUMMYFUNCTION("""COMPUTED_VALUE"""),8.5)</f>
        <v>8.5</v>
      </c>
      <c r="D66" s="2" t="str">
        <f>IFERROR(__xludf.DUMMYFUNCTION("""COMPUTED_VALUE"""),"Naugad")</f>
        <v>Naugad</v>
      </c>
      <c r="E66" s="2">
        <f>IFERROR(__xludf.DUMMYFUNCTION("""COMPUTED_VALUE"""),65.0)</f>
        <v>65</v>
      </c>
      <c r="F66" s="3">
        <f>IFERROR(__xludf.DUMMYFUNCTION("""COMPUTED_VALUE"""),61818.0)</f>
        <v>61818</v>
      </c>
      <c r="G66" s="3">
        <f>IFERROR(__xludf.DUMMYFUNCTION("""COMPUTED_VALUE"""),74600.0)</f>
        <v>74600</v>
      </c>
      <c r="H66" s="2" t="str">
        <f>IFERROR(__xludf.DUMMYFUNCTION("""COMPUTED_VALUE"""),"Api Power Company Pvt. Ltd")</f>
        <v>Api Power Company Pvt. Ltd</v>
      </c>
      <c r="I66" s="2" t="str">
        <f>IFERROR(__xludf.DUMMYFUNCTION("""COMPUTED_VALUE"""),"Dillibajar Kathmandu,Phone 4417136,4433252 Fax 4421114")</f>
        <v>Dillibajar Kathmandu,Phone 4417136,4433252 Fax 4421114</v>
      </c>
      <c r="J66" s="2" t="str">
        <f>IFERROR(__xludf.DUMMYFUNCTION("""COMPUTED_VALUE"""),"29o 41' 15""")</f>
        <v>29o 41' 15"</v>
      </c>
      <c r="K66" s="2" t="str">
        <f>IFERROR(__xludf.DUMMYFUNCTION("""COMPUTED_VALUE"""),"29o 43' 08""")</f>
        <v>29o 43' 08"</v>
      </c>
      <c r="L66" s="2" t="str">
        <f>IFERROR(__xludf.DUMMYFUNCTION("""COMPUTED_VALUE"""),"80o 36' 15""")</f>
        <v>80o 36' 15"</v>
      </c>
      <c r="M66" s="2" t="str">
        <f>IFERROR(__xludf.DUMMYFUNCTION("""COMPUTED_VALUE"""),"80o 36' 38""")</f>
        <v>80o 36' 38"</v>
      </c>
      <c r="N66" s="2" t="str">
        <f>IFERROR(__xludf.DUMMYFUNCTION("""COMPUTED_VALUE"""),"(Darchula)")</f>
        <v>(Darchula)</v>
      </c>
      <c r="O66" s="3">
        <f>IFERROR(__xludf.DUMMYFUNCTION("""COMPUTED_VALUE"""),62946.0)</f>
        <v>62946</v>
      </c>
    </row>
    <row r="67">
      <c r="A67" s="2">
        <f>IFERROR(__xludf.DUMMYFUNCTION("""COMPUTED_VALUE"""),66.0)</f>
        <v>66</v>
      </c>
      <c r="B67" s="2" t="str">
        <f>IFERROR(__xludf.DUMMYFUNCTION("""COMPUTED_VALUE"""),"Upper Hugdi")</f>
        <v>Upper Hugdi</v>
      </c>
      <c r="C67" s="2">
        <f>IFERROR(__xludf.DUMMYFUNCTION("""COMPUTED_VALUE"""),5.0)</f>
        <v>5</v>
      </c>
      <c r="D67" s="2" t="str">
        <f>IFERROR(__xludf.DUMMYFUNCTION("""COMPUTED_VALUE"""),"Hugdi")</f>
        <v>Hugdi</v>
      </c>
      <c r="E67" s="2">
        <f>IFERROR(__xludf.DUMMYFUNCTION("""COMPUTED_VALUE"""),67.0)</f>
        <v>67</v>
      </c>
      <c r="F67" s="3">
        <f>IFERROR(__xludf.DUMMYFUNCTION("""COMPUTED_VALUE"""),61848.0)</f>
        <v>61848</v>
      </c>
      <c r="G67" s="3">
        <f>IFERROR(__xludf.DUMMYFUNCTION("""COMPUTED_VALUE"""),74630.0)</f>
        <v>74630</v>
      </c>
      <c r="H67" s="2" t="str">
        <f>IFERROR(__xludf.DUMMYFUNCTION("""COMPUTED_VALUE"""),"Ruru Jalbidyut Pariyojana Pvt. Ltd")</f>
        <v>Ruru Jalbidyut Pariyojana Pvt. Ltd</v>
      </c>
      <c r="I67" s="2" t="str">
        <f>IFERROR(__xludf.DUMMYFUNCTION("""COMPUTED_VALUE"""),"P.O. Box 8416, Samakhusi, Kathmandu-29, Nepal, Phone: 01-4389703, 4357563 
Fax :01-4357563")</f>
        <v>P.O. Box 8416, Samakhusi, Kathmandu-29, Nepal, Phone: 01-4389703, 4357563 
Fax :01-4357563</v>
      </c>
      <c r="J67" s="2" t="str">
        <f>IFERROR(__xludf.DUMMYFUNCTION("""COMPUTED_VALUE"""),"28o 05' 00""")</f>
        <v>28o 05' 00"</v>
      </c>
      <c r="K67" s="2" t="str">
        <f>IFERROR(__xludf.DUMMYFUNCTION("""COMPUTED_VALUE"""),"28o 06' 12""")</f>
        <v>28o 06' 12"</v>
      </c>
      <c r="L67" s="2" t="str">
        <f>IFERROR(__xludf.DUMMYFUNCTION("""COMPUTED_VALUE"""),"83o 23' 17""")</f>
        <v>83o 23' 17"</v>
      </c>
      <c r="M67" s="2" t="str">
        <f>IFERROR(__xludf.DUMMYFUNCTION("""COMPUTED_VALUE"""),"83o 25' 17""")</f>
        <v>83o 25' 17"</v>
      </c>
      <c r="N67" s="2" t="str">
        <f>IFERROR(__xludf.DUMMYFUNCTION("""COMPUTED_VALUE"""),"(Gulmi)")</f>
        <v>(Gulmi)</v>
      </c>
      <c r="O67" s="3">
        <f>IFERROR(__xludf.DUMMYFUNCTION("""COMPUTED_VALUE"""),62801.0)</f>
        <v>62801</v>
      </c>
    </row>
    <row r="68">
      <c r="A68" s="2">
        <f>IFERROR(__xludf.DUMMYFUNCTION("""COMPUTED_VALUE"""),67.0)</f>
        <v>67</v>
      </c>
      <c r="B68" s="2" t="str">
        <f>IFERROR(__xludf.DUMMYFUNCTION("""COMPUTED_VALUE"""),"Midim Khola")</f>
        <v>Midim Khola</v>
      </c>
      <c r="C68" s="2">
        <f>IFERROR(__xludf.DUMMYFUNCTION("""COMPUTED_VALUE"""),3.0)</f>
        <v>3</v>
      </c>
      <c r="D68" s="2" t="str">
        <f>IFERROR(__xludf.DUMMYFUNCTION("""COMPUTED_VALUE"""),"Midim Khola")</f>
        <v>Midim Khola</v>
      </c>
      <c r="E68" s="2">
        <f>IFERROR(__xludf.DUMMYFUNCTION("""COMPUTED_VALUE"""),68.0)</f>
        <v>68</v>
      </c>
      <c r="F68" s="3">
        <f>IFERROR(__xludf.DUMMYFUNCTION("""COMPUTED_VALUE"""),61854.0)</f>
        <v>61854</v>
      </c>
      <c r="G68" s="3">
        <f>IFERROR(__xludf.DUMMYFUNCTION("""COMPUTED_VALUE"""),74636.0)</f>
        <v>74636</v>
      </c>
      <c r="H68" s="2" t="str">
        <f>IFERROR(__xludf.DUMMYFUNCTION("""COMPUTED_VALUE"""),"Union Hydropower P.Ltd")</f>
        <v>Union Hydropower P.Ltd</v>
      </c>
      <c r="I68" s="2" t="str">
        <f>IFERROR(__xludf.DUMMYFUNCTION("""COMPUTED_VALUE"""),"P.O.B. No: 12637, Ph: 01-5543850")</f>
        <v>P.O.B. No: 12637, Ph: 01-5543850</v>
      </c>
      <c r="J68" s="2" t="str">
        <f>IFERROR(__xludf.DUMMYFUNCTION("""COMPUTED_VALUE"""),"28o 10' 53""")</f>
        <v>28o 10' 53"</v>
      </c>
      <c r="K68" s="2" t="str">
        <f>IFERROR(__xludf.DUMMYFUNCTION("""COMPUTED_VALUE"""),"28o 12' 00""")</f>
        <v>28o 12' 00"</v>
      </c>
      <c r="L68" s="2" t="str">
        <f>IFERROR(__xludf.DUMMYFUNCTION("""COMPUTED_VALUE"""),"84o 16' 42""")</f>
        <v>84o 16' 42"</v>
      </c>
      <c r="M68" s="2" t="str">
        <f>IFERROR(__xludf.DUMMYFUNCTION("""COMPUTED_VALUE"""),"84o 17' 30""")</f>
        <v>84o 17' 30"</v>
      </c>
      <c r="N68" s="2" t="str">
        <f>IFERROR(__xludf.DUMMYFUNCTION("""COMPUTED_VALUE"""),"Karapu (Lamjung)")</f>
        <v>Karapu (Lamjung)</v>
      </c>
      <c r="O68" s="3">
        <f>IFERROR(__xludf.DUMMYFUNCTION("""COMPUTED_VALUE"""),63842.0)</f>
        <v>63842</v>
      </c>
    </row>
    <row r="69">
      <c r="A69" s="2">
        <f>IFERROR(__xludf.DUMMYFUNCTION("""COMPUTED_VALUE"""),68.0)</f>
        <v>68</v>
      </c>
      <c r="B69" s="2" t="str">
        <f>IFERROR(__xludf.DUMMYFUNCTION("""COMPUTED_VALUE"""),"Upper Sanjen")</f>
        <v>Upper Sanjen</v>
      </c>
      <c r="C69" s="2">
        <f>IFERROR(__xludf.DUMMYFUNCTION("""COMPUTED_VALUE"""),14.8)</f>
        <v>14.8</v>
      </c>
      <c r="D69" s="2" t="str">
        <f>IFERROR(__xludf.DUMMYFUNCTION("""COMPUTED_VALUE"""),"Sanjen")</f>
        <v>Sanjen</v>
      </c>
      <c r="E69" s="2">
        <f>IFERROR(__xludf.DUMMYFUNCTION("""COMPUTED_VALUE"""),69.0)</f>
        <v>69</v>
      </c>
      <c r="F69" s="3">
        <f>IFERROR(__xludf.DUMMYFUNCTION("""COMPUTED_VALUE"""),61855.0)</f>
        <v>61855</v>
      </c>
      <c r="G69" s="3">
        <f>IFERROR(__xludf.DUMMYFUNCTION("""COMPUTED_VALUE"""),75002.0)</f>
        <v>75002</v>
      </c>
      <c r="H69" s="2" t="str">
        <f>IFERROR(__xludf.DUMMYFUNCTION("""COMPUTED_VALUE"""),"Sanjen Jalvidhyut Co")</f>
        <v>Sanjen Jalvidhyut Co</v>
      </c>
      <c r="I69" s="2" t="str">
        <f>IFERROR(__xludf.DUMMYFUNCTION("""COMPUTED_VALUE"""),"Das Tower Lazimpat, Kathmandu, 01-4002049, Fax 4443077")</f>
        <v>Das Tower Lazimpat, Kathmandu, 01-4002049, Fax 4443077</v>
      </c>
      <c r="J69" s="2" t="str">
        <f>IFERROR(__xludf.DUMMYFUNCTION("""COMPUTED_VALUE"""),"28o 13' 00""")</f>
        <v>28o 13' 00"</v>
      </c>
      <c r="K69" s="2" t="str">
        <f>IFERROR(__xludf.DUMMYFUNCTION("""COMPUTED_VALUE"""),"28o 14' 25""")</f>
        <v>28o 14' 25"</v>
      </c>
      <c r="L69" s="2" t="str">
        <f>IFERROR(__xludf.DUMMYFUNCTION("""COMPUTED_VALUE"""),"85o 16' 30""")</f>
        <v>85o 16' 30"</v>
      </c>
      <c r="M69" s="2" t="str">
        <f>IFERROR(__xludf.DUMMYFUNCTION("""COMPUTED_VALUE"""),"85o 18' 15""")</f>
        <v>85o 18' 15"</v>
      </c>
      <c r="N69" s="2" t="str">
        <f>IFERROR(__xludf.DUMMYFUNCTION("""COMPUTED_VALUE"""),"Chilime (Rasuwa)")</f>
        <v>Chilime (Rasuwa)</v>
      </c>
      <c r="O69" s="3">
        <f>IFERROR(__xludf.DUMMYFUNCTION("""COMPUTED_VALUE"""),65918.0)</f>
        <v>65918</v>
      </c>
    </row>
    <row r="70">
      <c r="A70" s="2">
        <f>IFERROR(__xludf.DUMMYFUNCTION("""COMPUTED_VALUE"""),69.0)</f>
        <v>69</v>
      </c>
      <c r="B70" s="2" t="str">
        <f>IFERROR(__xludf.DUMMYFUNCTION("""COMPUTED_VALUE"""),"Mai Cascade")</f>
        <v>Mai Cascade</v>
      </c>
      <c r="C70" s="2">
        <f>IFERROR(__xludf.DUMMYFUNCTION("""COMPUTED_VALUE"""),7.0)</f>
        <v>7</v>
      </c>
      <c r="D70" s="2" t="str">
        <f>IFERROR(__xludf.DUMMYFUNCTION("""COMPUTED_VALUE"""),"Mai Khola")</f>
        <v>Mai Khola</v>
      </c>
      <c r="E70" s="2">
        <f>IFERROR(__xludf.DUMMYFUNCTION("""COMPUTED_VALUE"""),72.0)</f>
        <v>72</v>
      </c>
      <c r="F70" s="3">
        <f>IFERROR(__xludf.DUMMYFUNCTION("""COMPUTED_VALUE"""),61924.0)</f>
        <v>61924</v>
      </c>
      <c r="G70" s="3">
        <f>IFERROR(__xludf.DUMMYFUNCTION("""COMPUTED_VALUE"""),74706.0)</f>
        <v>74706</v>
      </c>
      <c r="H70" s="2" t="str">
        <f>IFERROR(__xludf.DUMMYFUNCTION("""COMPUTED_VALUE"""),"Sanima Mai Hydropower Limited")</f>
        <v>Sanima Mai Hydropower Limited</v>
      </c>
      <c r="I70" s="2" t="str">
        <f>IFERROR(__xludf.DUMMYFUNCTION("""COMPUTED_VALUE"""),"Narananchaur, Naksal Kathmandu, P. O. Box 19737, Phone 01-4446442, Fax 
01-4441277")</f>
        <v>Narananchaur, Naksal Kathmandu, P. O. Box 19737, Phone 01-4446442, Fax 
01-4441277</v>
      </c>
      <c r="J70" s="2" t="str">
        <f>IFERROR(__xludf.DUMMYFUNCTION("""COMPUTED_VALUE"""),"26o 45' 43""")</f>
        <v>26o 45' 43"</v>
      </c>
      <c r="K70" s="2" t="str">
        <f>IFERROR(__xludf.DUMMYFUNCTION("""COMPUTED_VALUE"""),"26o 47' 21""")</f>
        <v>26o 47' 21"</v>
      </c>
      <c r="L70" s="2" t="str">
        <f>IFERROR(__xludf.DUMMYFUNCTION("""COMPUTED_VALUE"""),"87o 52' 02""")</f>
        <v>87o 52' 02"</v>
      </c>
      <c r="M70" s="2" t="str">
        <f>IFERROR(__xludf.DUMMYFUNCTION("""COMPUTED_VALUE"""),"87o 53' 09""")</f>
        <v>87o 53' 09"</v>
      </c>
      <c r="N70" s="2" t="str">
        <f>IFERROR(__xludf.DUMMYFUNCTION("""COMPUTED_VALUE"""),"(Ilam)")</f>
        <v>(Ilam)</v>
      </c>
      <c r="O70" s="3">
        <f>IFERROR(__xludf.DUMMYFUNCTION("""COMPUTED_VALUE"""),63177.0)</f>
        <v>63177</v>
      </c>
    </row>
    <row r="71">
      <c r="A71" s="2">
        <f>IFERROR(__xludf.DUMMYFUNCTION("""COMPUTED_VALUE"""),70.0)</f>
        <v>70</v>
      </c>
      <c r="B71" s="2" t="str">
        <f>IFERROR(__xludf.DUMMYFUNCTION("""COMPUTED_VALUE"""),"Hewa Khola A")</f>
        <v>Hewa Khola A</v>
      </c>
      <c r="C71" s="2">
        <f>IFERROR(__xludf.DUMMYFUNCTION("""COMPUTED_VALUE"""),14.9)</f>
        <v>14.9</v>
      </c>
      <c r="D71" s="2" t="str">
        <f>IFERROR(__xludf.DUMMYFUNCTION("""COMPUTED_VALUE"""),"Hewa (Panchthar)")</f>
        <v>Hewa (Panchthar)</v>
      </c>
      <c r="E71" s="2">
        <f>IFERROR(__xludf.DUMMYFUNCTION("""COMPUTED_VALUE"""),74.0)</f>
        <v>74</v>
      </c>
      <c r="F71" s="3">
        <f>IFERROR(__xludf.DUMMYFUNCTION("""COMPUTED_VALUE"""),61961.0)</f>
        <v>61961</v>
      </c>
      <c r="G71" s="3">
        <f>IFERROR(__xludf.DUMMYFUNCTION("""COMPUTED_VALUE"""),74743.0)</f>
        <v>74743</v>
      </c>
      <c r="H71" s="2" t="str">
        <f>IFERROR(__xludf.DUMMYFUNCTION("""COMPUTED_VALUE"""),"Panchthar Power Company Pvt. Ltd.")</f>
        <v>Panchthar Power Company Pvt. Ltd.</v>
      </c>
      <c r="I71" s="2" t="str">
        <f>IFERROR(__xludf.DUMMYFUNCTION("""COMPUTED_VALUE"""),"Hativan 15, Lalitpur, Phone 01-5251003 fax 5251004")</f>
        <v>Hativan 15, Lalitpur, Phone 01-5251003 fax 5251004</v>
      </c>
      <c r="J71" s="2" t="str">
        <f>IFERROR(__xludf.DUMMYFUNCTION("""COMPUTED_VALUE"""),"27o 10' 09""")</f>
        <v>27o 10' 09"</v>
      </c>
      <c r="K71" s="2" t="str">
        <f>IFERROR(__xludf.DUMMYFUNCTION("""COMPUTED_VALUE"""),"27o 11' 33""")</f>
        <v>27o 11' 33"</v>
      </c>
      <c r="L71" s="2" t="str">
        <f>IFERROR(__xludf.DUMMYFUNCTION("""COMPUTED_VALUE"""),"87o 47' 30""")</f>
        <v>87o 47' 30"</v>
      </c>
      <c r="M71" s="2" t="str">
        <f>IFERROR(__xludf.DUMMYFUNCTION("""COMPUTED_VALUE"""),"87o 50' 58""")</f>
        <v>87o 50' 58"</v>
      </c>
      <c r="N71" s="2" t="str">
        <f>IFERROR(__xludf.DUMMYFUNCTION("""COMPUTED_VALUE"""),"Bharapa,Nangeen,Yanganam (Panchthar)")</f>
        <v>Bharapa,Nangeen,Yanganam (Panchthar)</v>
      </c>
      <c r="O71" s="3">
        <f>IFERROR(__xludf.DUMMYFUNCTION("""COMPUTED_VALUE"""),63564.0)</f>
        <v>63564</v>
      </c>
    </row>
    <row r="72">
      <c r="A72" s="2">
        <f>IFERROR(__xludf.DUMMYFUNCTION("""COMPUTED_VALUE"""),71.0)</f>
        <v>71</v>
      </c>
      <c r="B72" s="2" t="str">
        <f>IFERROR(__xludf.DUMMYFUNCTION("""COMPUTED_VALUE"""),"Rasuwagadhi")</f>
        <v>Rasuwagadhi</v>
      </c>
      <c r="C72" s="2">
        <f>IFERROR(__xludf.DUMMYFUNCTION("""COMPUTED_VALUE"""),111.0)</f>
        <v>111</v>
      </c>
      <c r="D72" s="2" t="str">
        <f>IFERROR(__xludf.DUMMYFUNCTION("""COMPUTED_VALUE"""),"Bhotekoshi (Rasuwa)")</f>
        <v>Bhotekoshi (Rasuwa)</v>
      </c>
      <c r="E72" s="2">
        <f>IFERROR(__xludf.DUMMYFUNCTION("""COMPUTED_VALUE"""),75.0)</f>
        <v>75</v>
      </c>
      <c r="F72" s="3">
        <f>IFERROR(__xludf.DUMMYFUNCTION("""COMPUTED_VALUE"""),61961.0)</f>
        <v>61961</v>
      </c>
      <c r="G72" s="3">
        <f>IFERROR(__xludf.DUMMYFUNCTION("""COMPUTED_VALUE"""),75108.0)</f>
        <v>75108</v>
      </c>
      <c r="H72" s="2" t="str">
        <f>IFERROR(__xludf.DUMMYFUNCTION("""COMPUTED_VALUE"""),"Rasuwagadhi Hydropower Company Ltd.")</f>
        <v>Rasuwagadhi Hydropower Company Ltd.</v>
      </c>
      <c r="I72" s="2" t="str">
        <f>IFERROR(__xludf.DUMMYFUNCTION("""COMPUTED_VALUE"""),"Gyaneswor Kathmandu, P.O.Box 25210, Phone 014439163, 014439284")</f>
        <v>Gyaneswor Kathmandu, P.O.Box 25210, Phone 014439163, 014439284</v>
      </c>
      <c r="J72" s="2" t="str">
        <f>IFERROR(__xludf.DUMMYFUNCTION("""COMPUTED_VALUE"""),"28o 14' 05""")</f>
        <v>28o 14' 05"</v>
      </c>
      <c r="K72" s="2" t="str">
        <f>IFERROR(__xludf.DUMMYFUNCTION("""COMPUTED_VALUE"""),"28o 16' 39""")</f>
        <v>28o 16' 39"</v>
      </c>
      <c r="L72" s="2" t="str">
        <f>IFERROR(__xludf.DUMMYFUNCTION("""COMPUTED_VALUE"""),"85o 21' 22""")</f>
        <v>85o 21' 22"</v>
      </c>
      <c r="M72" s="2" t="str">
        <f>IFERROR(__xludf.DUMMYFUNCTION("""COMPUTED_VALUE"""),"85o 23' 03""")</f>
        <v>85o 23' 03"</v>
      </c>
      <c r="N72" s="2" t="str">
        <f>IFERROR(__xludf.DUMMYFUNCTION("""COMPUTED_VALUE"""),"Thuman,Timure (Rasuwa)")</f>
        <v>Thuman,Timure (Rasuwa)</v>
      </c>
      <c r="O72" s="3">
        <f>IFERROR(__xludf.DUMMYFUNCTION("""COMPUTED_VALUE"""),66370.0)</f>
        <v>66370</v>
      </c>
    </row>
    <row r="73">
      <c r="A73" s="2">
        <f>IFERROR(__xludf.DUMMYFUNCTION("""COMPUTED_VALUE"""),72.0)</f>
        <v>72</v>
      </c>
      <c r="B73" s="2" t="str">
        <f>IFERROR(__xludf.DUMMYFUNCTION("""COMPUTED_VALUE"""),"Upper Khimti")</f>
        <v>Upper Khimti</v>
      </c>
      <c r="C73" s="2">
        <f>IFERROR(__xludf.DUMMYFUNCTION("""COMPUTED_VALUE"""),12.0)</f>
        <v>12</v>
      </c>
      <c r="D73" s="2" t="str">
        <f>IFERROR(__xludf.DUMMYFUNCTION("""COMPUTED_VALUE"""),"Khimti Khola")</f>
        <v>Khimti Khola</v>
      </c>
      <c r="E73" s="2">
        <f>IFERROR(__xludf.DUMMYFUNCTION("""COMPUTED_VALUE"""),77.0)</f>
        <v>77</v>
      </c>
      <c r="F73" s="3">
        <f>IFERROR(__xludf.DUMMYFUNCTION("""COMPUTED_VALUE"""),61974.0)</f>
        <v>61974</v>
      </c>
      <c r="G73" s="3">
        <f>IFERROR(__xludf.DUMMYFUNCTION("""COMPUTED_VALUE"""),75121.0)</f>
        <v>75121</v>
      </c>
      <c r="H73" s="2" t="str">
        <f>IFERROR(__xludf.DUMMYFUNCTION("""COMPUTED_VALUE"""),"Himalaya Urja Bikas Co. Pvt. Ltd.")</f>
        <v>Himalaya Urja Bikas Co. Pvt. Ltd.</v>
      </c>
      <c r="I73" s="2" t="str">
        <f>IFERROR(__xludf.DUMMYFUNCTION("""COMPUTED_VALUE"""),"Balkot-2 Bhaktapur, Phone 016632822")</f>
        <v>Balkot-2 Bhaktapur, Phone 016632822</v>
      </c>
      <c r="J73" s="2" t="str">
        <f>IFERROR(__xludf.DUMMYFUNCTION("""COMPUTED_VALUE"""),"27o 39' 24""")</f>
        <v>27o 39' 24"</v>
      </c>
      <c r="K73" s="2" t="str">
        <f>IFERROR(__xludf.DUMMYFUNCTION("""COMPUTED_VALUE"""),"27o 41' 54""")</f>
        <v>27o 41' 54"</v>
      </c>
      <c r="L73" s="2" t="str">
        <f>IFERROR(__xludf.DUMMYFUNCTION("""COMPUTED_VALUE"""),"86o 19' 20""")</f>
        <v>86o 19' 20"</v>
      </c>
      <c r="M73" s="2" t="str">
        <f>IFERROR(__xludf.DUMMYFUNCTION("""COMPUTED_VALUE"""),"86o 21' 40""")</f>
        <v>86o 21' 40"</v>
      </c>
      <c r="N73" s="2" t="str">
        <f>IFERROR(__xludf.DUMMYFUNCTION("""COMPUTED_VALUE"""),"Chuchure (Ramechhap)")</f>
        <v>Chuchure (Ramechhap)</v>
      </c>
      <c r="O73" s="3">
        <f>IFERROR(__xludf.DUMMYFUNCTION("""COMPUTED_VALUE"""),65445.0)</f>
        <v>65445</v>
      </c>
    </row>
    <row r="74">
      <c r="A74" s="2">
        <f>IFERROR(__xludf.DUMMYFUNCTION("""COMPUTED_VALUE"""),73.0)</f>
        <v>73</v>
      </c>
      <c r="B74" s="2" t="str">
        <f>IFERROR(__xludf.DUMMYFUNCTION("""COMPUTED_VALUE"""),"Namarjun Madi")</f>
        <v>Namarjun Madi</v>
      </c>
      <c r="C74" s="2">
        <f>IFERROR(__xludf.DUMMYFUNCTION("""COMPUTED_VALUE"""),12.0)</f>
        <v>12</v>
      </c>
      <c r="D74" s="2" t="str">
        <f>IFERROR(__xludf.DUMMYFUNCTION("""COMPUTED_VALUE"""),"Madi Khola")</f>
        <v>Madi Khola</v>
      </c>
      <c r="E74" s="2">
        <f>IFERROR(__xludf.DUMMYFUNCTION("""COMPUTED_VALUE"""),78.0)</f>
        <v>78</v>
      </c>
      <c r="F74" s="3">
        <f>IFERROR(__xludf.DUMMYFUNCTION("""COMPUTED_VALUE"""),61982.0)</f>
        <v>61982</v>
      </c>
      <c r="G74" s="3">
        <f>IFERROR(__xludf.DUMMYFUNCTION("""COMPUTED_VALUE"""),74764.0)</f>
        <v>74764</v>
      </c>
      <c r="H74" s="2" t="str">
        <f>IFERROR(__xludf.DUMMYFUNCTION("""COMPUTED_VALUE"""),"Himalayan Hydropower Pvt.Ltd")</f>
        <v>Himalayan Hydropower Pvt.Ltd</v>
      </c>
      <c r="I74" s="2" t="str">
        <f>IFERROR(__xludf.DUMMYFUNCTION("""COMPUTED_VALUE"""),"P.O. Box No.: 20225, Lazimpat, Kathmandu, Phone: 01-4441216, Fax: 01-4441217")</f>
        <v>P.O. Box No.: 20225, Lazimpat, Kathmandu, Phone: 01-4441216, Fax: 01-4441217</v>
      </c>
      <c r="J74" s="2" t="str">
        <f>IFERROR(__xludf.DUMMYFUNCTION("""COMPUTED_VALUE"""),"28o 17' 56""")</f>
        <v>28o 17' 56"</v>
      </c>
      <c r="K74" s="2" t="str">
        <f>IFERROR(__xludf.DUMMYFUNCTION("""COMPUTED_VALUE"""),"28o 19' 00""")</f>
        <v>28o 19' 00"</v>
      </c>
      <c r="L74" s="2" t="str">
        <f>IFERROR(__xludf.DUMMYFUNCTION("""COMPUTED_VALUE"""),"84o 05' 00""")</f>
        <v>84o 05' 00"</v>
      </c>
      <c r="M74" s="2" t="str">
        <f>IFERROR(__xludf.DUMMYFUNCTION("""COMPUTED_VALUE"""),"84o 06' 08""")</f>
        <v>84o 06' 08"</v>
      </c>
      <c r="N74" s="2" t="str">
        <f>IFERROR(__xludf.DUMMYFUNCTION("""COMPUTED_VALUE"""),"Namarjung,Sildujure (Kaski)")</f>
        <v>Namarjung,Sildujure (Kaski)</v>
      </c>
      <c r="O74" s="3">
        <f>IFERROR(__xludf.DUMMYFUNCTION("""COMPUTED_VALUE"""),64814.0)</f>
        <v>64814</v>
      </c>
    </row>
    <row r="75">
      <c r="A75" s="2">
        <f>IFERROR(__xludf.DUMMYFUNCTION("""COMPUTED_VALUE"""),74.0)</f>
        <v>74</v>
      </c>
      <c r="B75" s="2" t="str">
        <f>IFERROR(__xludf.DUMMYFUNCTION("""COMPUTED_VALUE"""),"Upper Mailun Khola")</f>
        <v>Upper Mailun Khola</v>
      </c>
      <c r="C75" s="2">
        <f>IFERROR(__xludf.DUMMYFUNCTION("""COMPUTED_VALUE"""),14.3)</f>
        <v>14.3</v>
      </c>
      <c r="D75" s="2" t="str">
        <f>IFERROR(__xludf.DUMMYFUNCTION("""COMPUTED_VALUE"""),"Mailung Khola")</f>
        <v>Mailung Khola</v>
      </c>
      <c r="E75" s="2">
        <f>IFERROR(__xludf.DUMMYFUNCTION("""COMPUTED_VALUE"""),79.0)</f>
        <v>79</v>
      </c>
      <c r="F75" s="3">
        <f>IFERROR(__xludf.DUMMYFUNCTION("""COMPUTED_VALUE"""),61991.0)</f>
        <v>61991</v>
      </c>
      <c r="G75" s="3">
        <f>IFERROR(__xludf.DUMMYFUNCTION("""COMPUTED_VALUE"""),75936.0)</f>
        <v>75936</v>
      </c>
      <c r="H75" s="2" t="str">
        <f>IFERROR(__xludf.DUMMYFUNCTION("""COMPUTED_VALUE"""),"Upper Mailung Khola Hydropower Limited.")</f>
        <v>Upper Mailung Khola Hydropower Limited.</v>
      </c>
      <c r="I75" s="2" t="str">
        <f>IFERROR(__xludf.DUMMYFUNCTION("""COMPUTED_VALUE"""),"Baluwatar, Kathmandu, Nepal. Ph: 4436027, Fax: 4419703")</f>
        <v>Baluwatar, Kathmandu, Nepal. Ph: 4436027, Fax: 4419703</v>
      </c>
      <c r="J75" s="2" t="str">
        <f>IFERROR(__xludf.DUMMYFUNCTION("""COMPUTED_VALUE"""),"28o 05' 56""")</f>
        <v>28o 05' 56"</v>
      </c>
      <c r="K75" s="2" t="str">
        <f>IFERROR(__xludf.DUMMYFUNCTION("""COMPUTED_VALUE"""),"28o 07' 13""")</f>
        <v>28o 07' 13"</v>
      </c>
      <c r="L75" s="2" t="str">
        <f>IFERROR(__xludf.DUMMYFUNCTION("""COMPUTED_VALUE"""),"85o 11' 00""")</f>
        <v>85o 11' 00"</v>
      </c>
      <c r="M75" s="2" t="str">
        <f>IFERROR(__xludf.DUMMYFUNCTION("""COMPUTED_VALUE"""),"85o 13' 00""")</f>
        <v>85o 13' 00"</v>
      </c>
      <c r="N75" s="2" t="str">
        <f>IFERROR(__xludf.DUMMYFUNCTION("""COMPUTED_VALUE"""),",Gatlang,Haku,Dandagoun (Rasuwa)")</f>
        <v>,Gatlang,Haku,Dandagoun (Rasuwa)</v>
      </c>
      <c r="O75" s="3">
        <f>IFERROR(__xludf.DUMMYFUNCTION("""COMPUTED_VALUE"""),66047.0)</f>
        <v>66047</v>
      </c>
    </row>
    <row r="76">
      <c r="A76" s="2">
        <f>IFERROR(__xludf.DUMMYFUNCTION("""COMPUTED_VALUE"""),75.0)</f>
        <v>75</v>
      </c>
      <c r="B76" s="2" t="str">
        <f>IFERROR(__xludf.DUMMYFUNCTION("""COMPUTED_VALUE"""),"Sabha Khola")</f>
        <v>Sabha Khola</v>
      </c>
      <c r="C76" s="2">
        <f>IFERROR(__xludf.DUMMYFUNCTION("""COMPUTED_VALUE"""),3.3)</f>
        <v>3.3</v>
      </c>
      <c r="D76" s="2" t="str">
        <f>IFERROR(__xludf.DUMMYFUNCTION("""COMPUTED_VALUE"""),"Sabha Khola")</f>
        <v>Sabha Khola</v>
      </c>
      <c r="E76" s="2">
        <f>IFERROR(__xludf.DUMMYFUNCTION("""COMPUTED_VALUE"""),81.0)</f>
        <v>81</v>
      </c>
      <c r="F76" s="3">
        <f>IFERROR(__xludf.DUMMYFUNCTION("""COMPUTED_VALUE"""),62005.0)</f>
        <v>62005</v>
      </c>
      <c r="G76" s="3">
        <f>IFERROR(__xludf.DUMMYFUNCTION("""COMPUTED_VALUE"""),74787.0)</f>
        <v>74787</v>
      </c>
      <c r="H76" s="2" t="str">
        <f>IFERROR(__xludf.DUMMYFUNCTION("""COMPUTED_VALUE"""),"Dibyaswari Hydropower P Ltd")</f>
        <v>Dibyaswari Hydropower P Ltd</v>
      </c>
      <c r="I76" s="2" t="str">
        <f>IFERROR(__xludf.DUMMYFUNCTION("""COMPUTED_VALUE"""),"Purano Baneswor, Kathmandu, Phone 014461326,")</f>
        <v>Purano Baneswor, Kathmandu, Phone 014461326,</v>
      </c>
      <c r="J76" s="2" t="str">
        <f>IFERROR(__xludf.DUMMYFUNCTION("""COMPUTED_VALUE"""),"27o 23' 19""")</f>
        <v>27o 23' 19"</v>
      </c>
      <c r="K76" s="2" t="str">
        <f>IFERROR(__xludf.DUMMYFUNCTION("""COMPUTED_VALUE"""),"27o 24' 13""")</f>
        <v>27o 24' 13"</v>
      </c>
      <c r="L76" s="2" t="str">
        <f>IFERROR(__xludf.DUMMYFUNCTION("""COMPUTED_VALUE"""),"87o 16' 23""")</f>
        <v>87o 16' 23"</v>
      </c>
      <c r="M76" s="2" t="str">
        <f>IFERROR(__xludf.DUMMYFUNCTION("""COMPUTED_VALUE"""),"87o 17' 35""")</f>
        <v>87o 17' 35"</v>
      </c>
      <c r="N76" s="2" t="str">
        <f>IFERROR(__xludf.DUMMYFUNCTION("""COMPUTED_VALUE"""),"Dhupu (Sankhuwasabha)")</f>
        <v>Dhupu (Sankhuwasabha)</v>
      </c>
      <c r="O76" s="3">
        <f>IFERROR(__xludf.DUMMYFUNCTION("""COMPUTED_VALUE"""),63709.0)</f>
        <v>63709</v>
      </c>
    </row>
    <row r="77">
      <c r="A77" s="2">
        <f>IFERROR(__xludf.DUMMYFUNCTION("""COMPUTED_VALUE"""),76.0)</f>
        <v>76</v>
      </c>
      <c r="B77" s="2" t="str">
        <f>IFERROR(__xludf.DUMMYFUNCTION("""COMPUTED_VALUE"""),"Dordi-1")</f>
        <v>Dordi-1</v>
      </c>
      <c r="C77" s="2">
        <f>IFERROR(__xludf.DUMMYFUNCTION("""COMPUTED_VALUE"""),12.0)</f>
        <v>12</v>
      </c>
      <c r="D77" s="2" t="str">
        <f>IFERROR(__xludf.DUMMYFUNCTION("""COMPUTED_VALUE"""),"Dordi")</f>
        <v>Dordi</v>
      </c>
      <c r="E77" s="2">
        <f>IFERROR(__xludf.DUMMYFUNCTION("""COMPUTED_VALUE"""),82.0)</f>
        <v>82</v>
      </c>
      <c r="F77" s="3">
        <f>IFERROR(__xludf.DUMMYFUNCTION("""COMPUTED_VALUE"""),62013.0)</f>
        <v>62013</v>
      </c>
      <c r="G77" s="3">
        <f>IFERROR(__xludf.DUMMYFUNCTION("""COMPUTED_VALUE"""),75160.0)</f>
        <v>75160</v>
      </c>
      <c r="H77" s="2" t="str">
        <f>IFERROR(__xludf.DUMMYFUNCTION("""COMPUTED_VALUE"""),"Dordi Khola Jalvidyut Company Limited")</f>
        <v>Dordi Khola Jalvidyut Company Limited</v>
      </c>
      <c r="I77" s="2" t="str">
        <f>IFERROR(__xludf.DUMMYFUNCTION("""COMPUTED_VALUE"""),"Tripushwor, Kathmandu, P.O. Box: 20290, Ph:4232748, 4232749, Fax: 4232750")</f>
        <v>Tripushwor, Kathmandu, P.O. Box: 20290, Ph:4232748, 4232749, Fax: 4232750</v>
      </c>
      <c r="J77" s="2" t="str">
        <f>IFERROR(__xludf.DUMMYFUNCTION("""COMPUTED_VALUE"""),"28o 13' 33""")</f>
        <v>28o 13' 33"</v>
      </c>
      <c r="K77" s="2" t="str">
        <f>IFERROR(__xludf.DUMMYFUNCTION("""COMPUTED_VALUE"""),"28o 15' 11""")</f>
        <v>28o 15' 11"</v>
      </c>
      <c r="L77" s="2" t="str">
        <f>IFERROR(__xludf.DUMMYFUNCTION("""COMPUTED_VALUE"""),"84o 26' 55""")</f>
        <v>84o 26' 55"</v>
      </c>
      <c r="M77" s="2" t="str">
        <f>IFERROR(__xludf.DUMMYFUNCTION("""COMPUTED_VALUE"""),"84o 28' 45""")</f>
        <v>84o 28' 45"</v>
      </c>
      <c r="N77" s="2" t="str">
        <f>IFERROR(__xludf.DUMMYFUNCTION("""COMPUTED_VALUE"""),"Chiti,Bansar,Dhodeni,Faleni (Lamjung)")</f>
        <v>Chiti,Bansar,Dhodeni,Faleni (Lamjung)</v>
      </c>
      <c r="O77" s="3">
        <f>IFERROR(__xludf.DUMMYFUNCTION("""COMPUTED_VALUE"""),65545.0)</f>
        <v>65545</v>
      </c>
    </row>
    <row r="78">
      <c r="A78" s="2">
        <f>IFERROR(__xludf.DUMMYFUNCTION("""COMPUTED_VALUE"""),77.0)</f>
        <v>77</v>
      </c>
      <c r="B78" s="2" t="str">
        <f>IFERROR(__xludf.DUMMYFUNCTION("""COMPUTED_VALUE"""),"Nyadi Khola")</f>
        <v>Nyadi Khola</v>
      </c>
      <c r="C78" s="2">
        <f>IFERROR(__xludf.DUMMYFUNCTION("""COMPUTED_VALUE"""),30.0)</f>
        <v>30</v>
      </c>
      <c r="D78" s="2" t="str">
        <f>IFERROR(__xludf.DUMMYFUNCTION("""COMPUTED_VALUE"""),"Nyadi")</f>
        <v>Nyadi</v>
      </c>
      <c r="E78" s="2">
        <f>IFERROR(__xludf.DUMMYFUNCTION("""COMPUTED_VALUE"""),83.0)</f>
        <v>83</v>
      </c>
      <c r="F78" s="3">
        <f>IFERROR(__xludf.DUMMYFUNCTION("""COMPUTED_VALUE"""),62035.0)</f>
        <v>62035</v>
      </c>
      <c r="G78" s="3">
        <f>IFERROR(__xludf.DUMMYFUNCTION("""COMPUTED_VALUE"""),75182.0)</f>
        <v>75182</v>
      </c>
      <c r="H78" s="2" t="str">
        <f>IFERROR(__xludf.DUMMYFUNCTION("""COMPUTED_VALUE"""),"Nyadi Hydropower Limited")</f>
        <v>Nyadi Hydropower Limited</v>
      </c>
      <c r="I78" s="2" t="str">
        <f>IFERROR(__xludf.DUMMYFUNCTION("""COMPUTED_VALUE"""),"P.O.Box. 11728, Kathmandu, Phone 01-4781776, 4784026, Fax 01-4780994")</f>
        <v>P.O.Box. 11728, Kathmandu, Phone 01-4781776, 4784026, Fax 01-4780994</v>
      </c>
      <c r="J78" s="2" t="str">
        <f>IFERROR(__xludf.DUMMYFUNCTION("""COMPUTED_VALUE"""),"28o 19' 20""")</f>
        <v>28o 19' 20"</v>
      </c>
      <c r="K78" s="2" t="str">
        <f>IFERROR(__xludf.DUMMYFUNCTION("""COMPUTED_VALUE"""),"28o 21' 07""")</f>
        <v>28o 21' 07"</v>
      </c>
      <c r="L78" s="2" t="str">
        <f>IFERROR(__xludf.DUMMYFUNCTION("""COMPUTED_VALUE"""),"84o 25' 25""")</f>
        <v>84o 25' 25"</v>
      </c>
      <c r="M78" s="2" t="str">
        <f>IFERROR(__xludf.DUMMYFUNCTION("""COMPUTED_VALUE"""),"84o 28' 00""")</f>
        <v>84o 28' 00"</v>
      </c>
      <c r="N78" s="2" t="str">
        <f>IFERROR(__xludf.DUMMYFUNCTION("""COMPUTED_VALUE"""),"Bahundada,Bhulbhule (Lamjung)")</f>
        <v>Bahundada,Bhulbhule (Lamjung)</v>
      </c>
      <c r="O78" s="3">
        <f>IFERROR(__xludf.DUMMYFUNCTION("""COMPUTED_VALUE"""),65407.0)</f>
        <v>65407</v>
      </c>
    </row>
    <row r="79">
      <c r="A79" s="2">
        <f>IFERROR(__xludf.DUMMYFUNCTION("""COMPUTED_VALUE"""),78.0)</f>
        <v>78</v>
      </c>
      <c r="B79" s="2" t="str">
        <f>IFERROR(__xludf.DUMMYFUNCTION("""COMPUTED_VALUE"""),"Tungun - Thosne Khola")</f>
        <v>Tungun - Thosne Khola</v>
      </c>
      <c r="C79" s="2">
        <f>IFERROR(__xludf.DUMMYFUNCTION("""COMPUTED_VALUE"""),4.36)</f>
        <v>4.36</v>
      </c>
      <c r="D79" s="2" t="str">
        <f>IFERROR(__xludf.DUMMYFUNCTION("""COMPUTED_VALUE"""),"Tugun")</f>
        <v>Tugun</v>
      </c>
      <c r="E79" s="2">
        <f>IFERROR(__xludf.DUMMYFUNCTION("""COMPUTED_VALUE"""),84.0)</f>
        <v>84</v>
      </c>
      <c r="F79" s="3">
        <f>IFERROR(__xludf.DUMMYFUNCTION("""COMPUTED_VALUE"""),62035.0)</f>
        <v>62035</v>
      </c>
      <c r="G79" s="3">
        <f>IFERROR(__xludf.DUMMYFUNCTION("""COMPUTED_VALUE"""),74817.0)</f>
        <v>74817</v>
      </c>
      <c r="H79" s="2" t="str">
        <f>IFERROR(__xludf.DUMMYFUNCTION("""COMPUTED_VALUE"""),"Khani Khola Hydropower Company Ltd")</f>
        <v>Khani Khola Hydropower Company Ltd</v>
      </c>
      <c r="I79" s="2" t="str">
        <f>IFERROR(__xludf.DUMMYFUNCTION("""COMPUTED_VALUE"""),"Baluwatar Kathmandu, P.O.Box 8975,Ph 01-4417219")</f>
        <v>Baluwatar Kathmandu, P.O.Box 8975,Ph 01-4417219</v>
      </c>
      <c r="J79" s="2" t="str">
        <f>IFERROR(__xludf.DUMMYFUNCTION("""COMPUTED_VALUE"""),"27o 29' 15""")</f>
        <v>27o 29' 15"</v>
      </c>
      <c r="K79" s="2" t="str">
        <f>IFERROR(__xludf.DUMMYFUNCTION("""COMPUTED_VALUE"""),"27o 29' 50""")</f>
        <v>27o 29' 50"</v>
      </c>
      <c r="L79" s="2" t="str">
        <f>IFERROR(__xludf.DUMMYFUNCTION("""COMPUTED_VALUE"""),"85o 18' 20""")</f>
        <v>85o 18' 20"</v>
      </c>
      <c r="M79" s="2" t="str">
        <f>IFERROR(__xludf.DUMMYFUNCTION("""COMPUTED_VALUE"""),"85o 19' 53""")</f>
        <v>85o 19' 53"</v>
      </c>
      <c r="N79" s="2" t="str">
        <f>IFERROR(__xludf.DUMMYFUNCTION("""COMPUTED_VALUE"""),"(Lalitpur)")</f>
        <v>(Lalitpur)</v>
      </c>
      <c r="O79" s="3">
        <f>IFERROR(__xludf.DUMMYFUNCTION("""COMPUTED_VALUE"""),63410.0)</f>
        <v>63410</v>
      </c>
    </row>
    <row r="80">
      <c r="A80" s="2">
        <f>IFERROR(__xludf.DUMMYFUNCTION("""COMPUTED_VALUE"""),79.0)</f>
        <v>79</v>
      </c>
      <c r="B80" s="2" t="str">
        <f>IFERROR(__xludf.DUMMYFUNCTION("""COMPUTED_VALUE"""),"Khani Khola")</f>
        <v>Khani Khola</v>
      </c>
      <c r="C80" s="2">
        <f>IFERROR(__xludf.DUMMYFUNCTION("""COMPUTED_VALUE"""),2.0)</f>
        <v>2</v>
      </c>
      <c r="D80" s="2" t="str">
        <f>IFERROR(__xludf.DUMMYFUNCTION("""COMPUTED_VALUE"""),"Khani Khola (Lalitpur)")</f>
        <v>Khani Khola (Lalitpur)</v>
      </c>
      <c r="E80" s="2">
        <f>IFERROR(__xludf.DUMMYFUNCTION("""COMPUTED_VALUE"""),85.0)</f>
        <v>85</v>
      </c>
      <c r="F80" s="3">
        <f>IFERROR(__xludf.DUMMYFUNCTION("""COMPUTED_VALUE"""),62035.0)</f>
        <v>62035</v>
      </c>
      <c r="G80" s="3">
        <f>IFERROR(__xludf.DUMMYFUNCTION("""COMPUTED_VALUE"""),74817.0)</f>
        <v>74817</v>
      </c>
      <c r="H80" s="2" t="str">
        <f>IFERROR(__xludf.DUMMYFUNCTION("""COMPUTED_VALUE"""),"Khani Khola Hydropower Company Ltd")</f>
        <v>Khani Khola Hydropower Company Ltd</v>
      </c>
      <c r="I80" s="2" t="str">
        <f>IFERROR(__xludf.DUMMYFUNCTION("""COMPUTED_VALUE"""),"Baluwatar Kathmandu, P.O.Box 8975,Ph 01-4417220")</f>
        <v>Baluwatar Kathmandu, P.O.Box 8975,Ph 01-4417220</v>
      </c>
      <c r="J80" s="2" t="str">
        <f>IFERROR(__xludf.DUMMYFUNCTION("""COMPUTED_VALUE"""),"27o 29' 10""")</f>
        <v>27o 29' 10"</v>
      </c>
      <c r="K80" s="2" t="str">
        <f>IFERROR(__xludf.DUMMYFUNCTION("""COMPUTED_VALUE"""),"27o 29' 44""")</f>
        <v>27o 29' 44"</v>
      </c>
      <c r="L80" s="2" t="str">
        <f>IFERROR(__xludf.DUMMYFUNCTION("""COMPUTED_VALUE"""),"85o 17' 02""")</f>
        <v>85o 17' 02"</v>
      </c>
      <c r="M80" s="2" t="str">
        <f>IFERROR(__xludf.DUMMYFUNCTION("""COMPUTED_VALUE"""),"85o 18' 20""")</f>
        <v>85o 18' 20"</v>
      </c>
      <c r="N80" s="2" t="str">
        <f>IFERROR(__xludf.DUMMYFUNCTION("""COMPUTED_VALUE"""),"(Lalitpur)")</f>
        <v>(Lalitpur)</v>
      </c>
      <c r="O80" s="3">
        <f>IFERROR(__xludf.DUMMYFUNCTION("""COMPUTED_VALUE"""),63410.0)</f>
        <v>63410</v>
      </c>
    </row>
    <row r="81">
      <c r="A81" s="2">
        <f>IFERROR(__xludf.DUMMYFUNCTION("""COMPUTED_VALUE"""),80.0)</f>
        <v>80</v>
      </c>
      <c r="B81" s="2" t="str">
        <f>IFERROR(__xludf.DUMMYFUNCTION("""COMPUTED_VALUE"""),"Lower Tadi")</f>
        <v>Lower Tadi</v>
      </c>
      <c r="C81" s="2">
        <f>IFERROR(__xludf.DUMMYFUNCTION("""COMPUTED_VALUE"""),4.993)</f>
        <v>4.993</v>
      </c>
      <c r="D81" s="2" t="str">
        <f>IFERROR(__xludf.DUMMYFUNCTION("""COMPUTED_VALUE"""),"Tadi Khola")</f>
        <v>Tadi Khola</v>
      </c>
      <c r="E81" s="2">
        <f>IFERROR(__xludf.DUMMYFUNCTION("""COMPUTED_VALUE"""),88.0)</f>
        <v>88</v>
      </c>
      <c r="F81" s="3">
        <f>IFERROR(__xludf.DUMMYFUNCTION("""COMPUTED_VALUE"""),62089.0)</f>
        <v>62089</v>
      </c>
      <c r="G81" s="3">
        <f>IFERROR(__xludf.DUMMYFUNCTION("""COMPUTED_VALUE"""),74871.0)</f>
        <v>74871</v>
      </c>
      <c r="H81" s="2" t="str">
        <f>IFERROR(__xludf.DUMMYFUNCTION("""COMPUTED_VALUE"""),"Buddha Bhumi Nepal Hydropower Co. Pvt. ltd.")</f>
        <v>Buddha Bhumi Nepal Hydropower Co. Pvt. ltd.</v>
      </c>
      <c r="I81" s="2" t="str">
        <f>IFERROR(__xludf.DUMMYFUNCTION("""COMPUTED_VALUE"""),"Kantipath Kathmandu, Phone 01-4248228, Fax 01-4244474")</f>
        <v>Kantipath Kathmandu, Phone 01-4248228, Fax 01-4244474</v>
      </c>
      <c r="J81" s="2" t="str">
        <f>IFERROR(__xludf.DUMMYFUNCTION("""COMPUTED_VALUE"""),"27o 55' 05""")</f>
        <v>27o 55' 05"</v>
      </c>
      <c r="K81" s="2" t="str">
        <f>IFERROR(__xludf.DUMMYFUNCTION("""COMPUTED_VALUE"""),"27o 55' 40""")</f>
        <v>27o 55' 40"</v>
      </c>
      <c r="L81" s="2" t="str">
        <f>IFERROR(__xludf.DUMMYFUNCTION("""COMPUTED_VALUE"""),"85o 21' 08""")</f>
        <v>85o 21' 08"</v>
      </c>
      <c r="M81" s="2" t="str">
        <f>IFERROR(__xludf.DUMMYFUNCTION("""COMPUTED_VALUE"""),"85o 22' 50""")</f>
        <v>85o 22' 50"</v>
      </c>
      <c r="N81" s="2" t="str">
        <f>IFERROR(__xludf.DUMMYFUNCTION("""COMPUTED_VALUE"""),"Balkumari,Samundratar,Sundaradevi,Thaprek (Nuwakot)")</f>
        <v>Balkumari,Samundratar,Sundaradevi,Thaprek (Nuwakot)</v>
      </c>
      <c r="O81" s="3">
        <f>IFERROR(__xludf.DUMMYFUNCTION("""COMPUTED_VALUE"""),65359.0)</f>
        <v>65359</v>
      </c>
    </row>
    <row r="82">
      <c r="A82" s="2">
        <f>IFERROR(__xludf.DUMMYFUNCTION("""COMPUTED_VALUE"""),81.0)</f>
        <v>81</v>
      </c>
      <c r="B82" s="2" t="str">
        <f>IFERROR(__xludf.DUMMYFUNCTION("""COMPUTED_VALUE"""),"Jogmai Khola")</f>
        <v>Jogmai Khola</v>
      </c>
      <c r="C82" s="2">
        <f>IFERROR(__xludf.DUMMYFUNCTION("""COMPUTED_VALUE"""),7.6)</f>
        <v>7.6</v>
      </c>
      <c r="D82" s="2" t="str">
        <f>IFERROR(__xludf.DUMMYFUNCTION("""COMPUTED_VALUE"""),"Jogmai Khola")</f>
        <v>Jogmai Khola</v>
      </c>
      <c r="E82" s="2">
        <f>IFERROR(__xludf.DUMMYFUNCTION("""COMPUTED_VALUE"""),86.0)</f>
        <v>86</v>
      </c>
      <c r="F82" s="3">
        <f>IFERROR(__xludf.DUMMYFUNCTION("""COMPUTED_VALUE"""),62091.0)</f>
        <v>62091</v>
      </c>
      <c r="G82" s="3">
        <f>IFERROR(__xludf.DUMMYFUNCTION("""COMPUTED_VALUE"""),74873.0)</f>
        <v>74873</v>
      </c>
      <c r="H82" s="2" t="str">
        <f>IFERROR(__xludf.DUMMYFUNCTION("""COMPUTED_VALUE"""),"Sanvi Energy Pvt. Ltd.")</f>
        <v>Sanvi Energy Pvt. Ltd.</v>
      </c>
      <c r="I82" s="2" t="str">
        <f>IFERROR(__xludf.DUMMYFUNCTION("""COMPUTED_VALUE"""),"G.P. O. Box 8975, EPC 1341 KTM , Pulchok Lalitpur, Phone 5532860")</f>
        <v>G.P. O. Box 8975, EPC 1341 KTM , Pulchok Lalitpur, Phone 5532860</v>
      </c>
      <c r="J82" s="2" t="str">
        <f>IFERROR(__xludf.DUMMYFUNCTION("""COMPUTED_VALUE"""),"26o 54' 40""")</f>
        <v>26o 54' 40"</v>
      </c>
      <c r="K82" s="2" t="str">
        <f>IFERROR(__xludf.DUMMYFUNCTION("""COMPUTED_VALUE"""),"26o 55' 24""")</f>
        <v>26o 55' 24"</v>
      </c>
      <c r="L82" s="2" t="str">
        <f>IFERROR(__xludf.DUMMYFUNCTION("""COMPUTED_VALUE"""),"88o 01' 09""")</f>
        <v>88o 01' 09"</v>
      </c>
      <c r="M82" s="2" t="str">
        <f>IFERROR(__xludf.DUMMYFUNCTION("""COMPUTED_VALUE"""),"88o 03' 20""")</f>
        <v>88o 03' 20"</v>
      </c>
      <c r="N82" s="2" t="str">
        <f>IFERROR(__xludf.DUMMYFUNCTION("""COMPUTED_VALUE"""),",Namsaling,Naya Bazar,Panchakanya,Phikal Bazar (Ilam)")</f>
        <v>,Namsaling,Naya Bazar,Panchakanya,Phikal Bazar (Ilam)</v>
      </c>
      <c r="O82" s="3">
        <f>IFERROR(__xludf.DUMMYFUNCTION("""COMPUTED_VALUE"""),63572.0)</f>
        <v>63572</v>
      </c>
    </row>
    <row r="83">
      <c r="A83" s="2">
        <f>IFERROR(__xludf.DUMMYFUNCTION("""COMPUTED_VALUE"""),82.0)</f>
        <v>82</v>
      </c>
      <c r="B83" s="2" t="str">
        <f>IFERROR(__xludf.DUMMYFUNCTION("""COMPUTED_VALUE"""),"Daram Khola-A")</f>
        <v>Daram Khola-A</v>
      </c>
      <c r="C83" s="2">
        <f>IFERROR(__xludf.DUMMYFUNCTION("""COMPUTED_VALUE"""),2.5)</f>
        <v>2.5</v>
      </c>
      <c r="D83" s="2" t="str">
        <f>IFERROR(__xludf.DUMMYFUNCTION("""COMPUTED_VALUE"""),"Daram")</f>
        <v>Daram</v>
      </c>
      <c r="E83" s="2">
        <f>IFERROR(__xludf.DUMMYFUNCTION("""COMPUTED_VALUE"""),89.0)</f>
        <v>89</v>
      </c>
      <c r="F83" s="3">
        <f>IFERROR(__xludf.DUMMYFUNCTION("""COMPUTED_VALUE"""),62126.0)</f>
        <v>62126</v>
      </c>
      <c r="G83" s="3">
        <f>IFERROR(__xludf.DUMMYFUNCTION("""COMPUTED_VALUE"""),74908.0)</f>
        <v>74908</v>
      </c>
      <c r="H83" s="2" t="str">
        <f>IFERROR(__xludf.DUMMYFUNCTION("""COMPUTED_VALUE"""),"Sayapatri Hydropower Pvt. Ltd.")</f>
        <v>Sayapatri Hydropower Pvt. Ltd.</v>
      </c>
      <c r="I83" s="2" t="str">
        <f>IFERROR(__xludf.DUMMYFUNCTION("""COMPUTED_VALUE"""),"Gongabu-29 Kathmandu, Phone 01-4364009")</f>
        <v>Gongabu-29 Kathmandu, Phone 01-4364009</v>
      </c>
      <c r="J83" s="2" t="str">
        <f>IFERROR(__xludf.DUMMYFUNCTION("""COMPUTED_VALUE"""),"28o 16' 45""")</f>
        <v>28o 16' 45"</v>
      </c>
      <c r="K83" s="2" t="str">
        <f>IFERROR(__xludf.DUMMYFUNCTION("""COMPUTED_VALUE"""),"28o 17' 52""")</f>
        <v>28o 17' 52"</v>
      </c>
      <c r="L83" s="2" t="str">
        <f>IFERROR(__xludf.DUMMYFUNCTION("""COMPUTED_VALUE"""),"83o 24' 30""")</f>
        <v>83o 24' 30"</v>
      </c>
      <c r="M83" s="2" t="str">
        <f>IFERROR(__xludf.DUMMYFUNCTION("""COMPUTED_VALUE"""),"83o 25' 27""")</f>
        <v>83o 25' 27"</v>
      </c>
      <c r="N83" s="2" t="str">
        <f>IFERROR(__xludf.DUMMYFUNCTION("""COMPUTED_VALUE"""),"(Baglung)")</f>
        <v>(Baglung)</v>
      </c>
      <c r="O83" s="3">
        <f>IFERROR(__xludf.DUMMYFUNCTION("""COMPUTED_VALUE"""),63260.0)</f>
        <v>63260</v>
      </c>
    </row>
    <row r="84">
      <c r="A84" s="2">
        <f>IFERROR(__xludf.DUMMYFUNCTION("""COMPUTED_VALUE"""),83.0)</f>
        <v>83</v>
      </c>
      <c r="B84" s="2" t="str">
        <f>IFERROR(__xludf.DUMMYFUNCTION("""COMPUTED_VALUE"""),"Upper Puwa-1")</f>
        <v>Upper Puwa-1</v>
      </c>
      <c r="C84" s="2">
        <f>IFERROR(__xludf.DUMMYFUNCTION("""COMPUTED_VALUE"""),3.0)</f>
        <v>3</v>
      </c>
      <c r="D84" s="2" t="str">
        <f>IFERROR(__xludf.DUMMYFUNCTION("""COMPUTED_VALUE"""),"Puwa")</f>
        <v>Puwa</v>
      </c>
      <c r="E84" s="2">
        <f>IFERROR(__xludf.DUMMYFUNCTION("""COMPUTED_VALUE"""),90.0)</f>
        <v>90</v>
      </c>
      <c r="F84" s="3">
        <f>IFERROR(__xludf.DUMMYFUNCTION("""COMPUTED_VALUE"""),62130.0)</f>
        <v>62130</v>
      </c>
      <c r="G84" s="3">
        <f>IFERROR(__xludf.DUMMYFUNCTION("""COMPUTED_VALUE"""),74912.0)</f>
        <v>74912</v>
      </c>
      <c r="H84" s="2" t="str">
        <f>IFERROR(__xludf.DUMMYFUNCTION("""COMPUTED_VALUE"""),"Joshi Hydropower Co. P. Ltd")</f>
        <v>Joshi Hydropower Co. P. Ltd</v>
      </c>
      <c r="I84" s="2" t="str">
        <f>IFERROR(__xludf.DUMMYFUNCTION("""COMPUTED_VALUE"""),"Newbaneswor, KathmanduTel: 01-4115787")</f>
        <v>Newbaneswor, KathmanduTel: 01-4115787</v>
      </c>
      <c r="J84" s="2" t="str">
        <f>IFERROR(__xludf.DUMMYFUNCTION("""COMPUTED_VALUE"""),"26o 59' 47""")</f>
        <v>26o 59' 47"</v>
      </c>
      <c r="K84" s="2" t="str">
        <f>IFERROR(__xludf.DUMMYFUNCTION("""COMPUTED_VALUE"""),"27o 00' 50""")</f>
        <v>27o 00' 50"</v>
      </c>
      <c r="L84" s="2" t="str">
        <f>IFERROR(__xludf.DUMMYFUNCTION("""COMPUTED_VALUE"""),"87o 52' 50""")</f>
        <v>87o 52' 50"</v>
      </c>
      <c r="M84" s="2" t="str">
        <f>IFERROR(__xludf.DUMMYFUNCTION("""COMPUTED_VALUE"""),"87o 54' 10""")</f>
        <v>87o 54' 10"</v>
      </c>
      <c r="N84" s="2" t="str">
        <f>IFERROR(__xludf.DUMMYFUNCTION("""COMPUTED_VALUE"""),"(Ilam)")</f>
        <v>(Ilam)</v>
      </c>
      <c r="O84" s="3">
        <f>IFERROR(__xludf.DUMMYFUNCTION("""COMPUTED_VALUE"""),62732.0)</f>
        <v>62732</v>
      </c>
    </row>
    <row r="85">
      <c r="A85" s="2">
        <f>IFERROR(__xludf.DUMMYFUNCTION("""COMPUTED_VALUE"""),84.0)</f>
        <v>84</v>
      </c>
      <c r="B85" s="2" t="str">
        <f>IFERROR(__xludf.DUMMYFUNCTION("""COMPUTED_VALUE"""),"Gelun Khola HPP")</f>
        <v>Gelun Khola HPP</v>
      </c>
      <c r="C85" s="2">
        <f>IFERROR(__xludf.DUMMYFUNCTION("""COMPUTED_VALUE"""),3.2)</f>
        <v>3.2</v>
      </c>
      <c r="D85" s="2" t="str">
        <f>IFERROR(__xludf.DUMMYFUNCTION("""COMPUTED_VALUE"""),"Gelun")</f>
        <v>Gelun</v>
      </c>
      <c r="E85" s="2">
        <f>IFERROR(__xludf.DUMMYFUNCTION("""COMPUTED_VALUE"""),91.0)</f>
        <v>91</v>
      </c>
      <c r="F85" s="3">
        <f>IFERROR(__xludf.DUMMYFUNCTION("""COMPUTED_VALUE"""),62130.0)</f>
        <v>62130</v>
      </c>
      <c r="G85" s="3">
        <f>IFERROR(__xludf.DUMMYFUNCTION("""COMPUTED_VALUE"""),74912.0)</f>
        <v>74912</v>
      </c>
      <c r="H85" s="2" t="str">
        <f>IFERROR(__xludf.DUMMYFUNCTION("""COMPUTED_VALUE"""),"Gelun Khola Hydropower Company Pvt Ltd")</f>
        <v>Gelun Khola Hydropower Company Pvt Ltd</v>
      </c>
      <c r="I85" s="2" t="str">
        <f>IFERROR(__xludf.DUMMYFUNCTION("""COMPUTED_VALUE"""),"Baneswar, Kathmandu Tel: 4492150")</f>
        <v>Baneswar, Kathmandu Tel: 4492150</v>
      </c>
      <c r="J85" s="2" t="str">
        <f>IFERROR(__xludf.DUMMYFUNCTION("""COMPUTED_VALUE"""),"27o 49' 30""")</f>
        <v>27o 49' 30"</v>
      </c>
      <c r="K85" s="2" t="str">
        <f>IFERROR(__xludf.DUMMYFUNCTION("""COMPUTED_VALUE"""),"27o 50' 40""")</f>
        <v>27o 50' 40"</v>
      </c>
      <c r="L85" s="2" t="str">
        <f>IFERROR(__xludf.DUMMYFUNCTION("""COMPUTED_VALUE"""),"85o 46' 30""")</f>
        <v>85o 46' 30"</v>
      </c>
      <c r="M85" s="2" t="str">
        <f>IFERROR(__xludf.DUMMYFUNCTION("""COMPUTED_VALUE"""),"85o 49' 15""")</f>
        <v>85o 49' 15"</v>
      </c>
      <c r="N85" s="2" t="str">
        <f>IFERROR(__xludf.DUMMYFUNCTION("""COMPUTED_VALUE"""),"Baramchi,Hagam,Jalbire (Sindhupalchok)")</f>
        <v>Baramchi,Hagam,Jalbire (Sindhupalchok)</v>
      </c>
      <c r="O85" s="3">
        <f>IFERROR(__xludf.DUMMYFUNCTION("""COMPUTED_VALUE"""),65973.0)</f>
        <v>65973</v>
      </c>
    </row>
    <row r="86">
      <c r="A86" s="2">
        <f>IFERROR(__xludf.DUMMYFUNCTION("""COMPUTED_VALUE"""),85.0)</f>
        <v>85</v>
      </c>
      <c r="B86" s="2" t="str">
        <f>IFERROR(__xludf.DUMMYFUNCTION("""COMPUTED_VALUE"""),"Middle Modi")</f>
        <v>Middle Modi</v>
      </c>
      <c r="C86" s="2">
        <f>IFERROR(__xludf.DUMMYFUNCTION("""COMPUTED_VALUE"""),18.0)</f>
        <v>18</v>
      </c>
      <c r="D86" s="2" t="str">
        <f>IFERROR(__xludf.DUMMYFUNCTION("""COMPUTED_VALUE"""),"Modi Khola")</f>
        <v>Modi Khola</v>
      </c>
      <c r="E86" s="2">
        <f>IFERROR(__xludf.DUMMYFUNCTION("""COMPUTED_VALUE"""),93.0)</f>
        <v>93</v>
      </c>
      <c r="F86" s="3">
        <f>IFERROR(__xludf.DUMMYFUNCTION("""COMPUTED_VALUE"""),62159.0)</f>
        <v>62159</v>
      </c>
      <c r="G86" s="3">
        <f>IFERROR(__xludf.DUMMYFUNCTION("""COMPUTED_VALUE"""),75306.0)</f>
        <v>75306</v>
      </c>
      <c r="H86" s="2" t="str">
        <f>IFERROR(__xludf.DUMMYFUNCTION("""COMPUTED_VALUE"""),"Middle Modi Hydropower Limited")</f>
        <v>Middle Modi Hydropower Limited</v>
      </c>
      <c r="I86" s="2" t="str">
        <f>IFERROR(__xludf.DUMMYFUNCTION("""COMPUTED_VALUE"""),"P.O.Box: 12268, Nepal. Ph:4038030, Fax:4038026")</f>
        <v>P.O.Box: 12268, Nepal. Ph:4038030, Fax:4038026</v>
      </c>
      <c r="J86" s="2" t="str">
        <f>IFERROR(__xludf.DUMMYFUNCTION("""COMPUTED_VALUE"""),"28o 17' 20""")</f>
        <v>28o 17' 20"</v>
      </c>
      <c r="K86" s="2" t="str">
        <f>IFERROR(__xludf.DUMMYFUNCTION("""COMPUTED_VALUE"""),"28o 18' 29""")</f>
        <v>28o 18' 29"</v>
      </c>
      <c r="L86" s="2" t="str">
        <f>IFERROR(__xludf.DUMMYFUNCTION("""COMPUTED_VALUE"""),"83o 45' 00""")</f>
        <v>83o 45' 00"</v>
      </c>
      <c r="M86" s="2" t="str">
        <f>IFERROR(__xludf.DUMMYFUNCTION("""COMPUTED_VALUE"""),"83o 47' 08""")</f>
        <v>83o 47' 08"</v>
      </c>
      <c r="N86" s="2" t="str">
        <f>IFERROR(__xludf.DUMMYFUNCTION("""COMPUTED_VALUE"""),",Deupurkot,Tilahar (Parbat)")</f>
        <v>,Deupurkot,Tilahar (Parbat)</v>
      </c>
      <c r="O86" s="3">
        <f>IFERROR(__xludf.DUMMYFUNCTION("""COMPUTED_VALUE"""),65631.0)</f>
        <v>65631</v>
      </c>
    </row>
    <row r="87">
      <c r="A87" s="2">
        <f>IFERROR(__xludf.DUMMYFUNCTION("""COMPUTED_VALUE"""),86.0)</f>
        <v>86</v>
      </c>
      <c r="B87" s="2" t="str">
        <f>IFERROR(__xludf.DUMMYFUNCTION("""COMPUTED_VALUE"""),"Sardi Khola")</f>
        <v>Sardi Khola</v>
      </c>
      <c r="C87" s="2">
        <f>IFERROR(__xludf.DUMMYFUNCTION("""COMPUTED_VALUE"""),4.0)</f>
        <v>4</v>
      </c>
      <c r="D87" s="2" t="str">
        <f>IFERROR(__xludf.DUMMYFUNCTION("""COMPUTED_VALUE"""),"Sardi")</f>
        <v>Sardi</v>
      </c>
      <c r="E87" s="2">
        <f>IFERROR(__xludf.DUMMYFUNCTION("""COMPUTED_VALUE"""),94.0)</f>
        <v>94</v>
      </c>
      <c r="F87" s="3">
        <f>IFERROR(__xludf.DUMMYFUNCTION("""COMPUTED_VALUE"""),62165.0)</f>
        <v>62165</v>
      </c>
      <c r="G87" s="3">
        <f>IFERROR(__xludf.DUMMYFUNCTION("""COMPUTED_VALUE"""),74947.0)</f>
        <v>74947</v>
      </c>
      <c r="H87" s="2" t="str">
        <f>IFERROR(__xludf.DUMMYFUNCTION("""COMPUTED_VALUE"""),"Mandakini Hydropower Ltd.")</f>
        <v>Mandakini Hydropower Ltd.</v>
      </c>
      <c r="I87" s="2" t="str">
        <f>IFERROR(__xludf.DUMMYFUNCTION("""COMPUTED_VALUE"""),"Baneswor Kathmandu, P.O.Box 7327, Phone 01-4461574")</f>
        <v>Baneswor Kathmandu, P.O.Box 7327, Phone 01-4461574</v>
      </c>
      <c r="J87" s="2" t="str">
        <f>IFERROR(__xludf.DUMMYFUNCTION("""COMPUTED_VALUE"""),"28o 20' 00""")</f>
        <v>28o 20' 00"</v>
      </c>
      <c r="K87" s="2" t="str">
        <f>IFERROR(__xludf.DUMMYFUNCTION("""COMPUTED_VALUE"""),"28o 21' 07""")</f>
        <v>28o 21' 07"</v>
      </c>
      <c r="L87" s="2" t="str">
        <f>IFERROR(__xludf.DUMMYFUNCTION("""COMPUTED_VALUE"""),"83o 58' 30""")</f>
        <v>83o 58' 30"</v>
      </c>
      <c r="M87" s="2" t="str">
        <f>IFERROR(__xludf.DUMMYFUNCTION("""COMPUTED_VALUE"""),"84o 00' 35""")</f>
        <v>84o 00' 35"</v>
      </c>
      <c r="N87" s="2" t="str">
        <f>IFERROR(__xludf.DUMMYFUNCTION("""COMPUTED_VALUE"""),"(Kaski)")</f>
        <v>(Kaski)</v>
      </c>
      <c r="O87" s="3">
        <f>IFERROR(__xludf.DUMMYFUNCTION("""COMPUTED_VALUE"""),63789.0)</f>
        <v>63789</v>
      </c>
    </row>
    <row r="88">
      <c r="A88" s="2">
        <f>IFERROR(__xludf.DUMMYFUNCTION("""COMPUTED_VALUE"""),87.0)</f>
        <v>87</v>
      </c>
      <c r="B88" s="2" t="str">
        <f>IFERROR(__xludf.DUMMYFUNCTION("""COMPUTED_VALUE"""),"Upper Mai -C")</f>
        <v>Upper Mai -C</v>
      </c>
      <c r="C88" s="2">
        <f>IFERROR(__xludf.DUMMYFUNCTION("""COMPUTED_VALUE"""),6.1)</f>
        <v>6.1</v>
      </c>
      <c r="D88" s="2" t="str">
        <f>IFERROR(__xludf.DUMMYFUNCTION("""COMPUTED_VALUE"""),"Mai Khola")</f>
        <v>Mai Khola</v>
      </c>
      <c r="E88" s="2">
        <f>IFERROR(__xludf.DUMMYFUNCTION("""COMPUTED_VALUE"""),95.0)</f>
        <v>95</v>
      </c>
      <c r="F88" s="3">
        <f>IFERROR(__xludf.DUMMYFUNCTION("""COMPUTED_VALUE"""),62173.0)</f>
        <v>62173</v>
      </c>
      <c r="G88" s="3">
        <f>IFERROR(__xludf.DUMMYFUNCTION("""COMPUTED_VALUE"""),74955.0)</f>
        <v>74955</v>
      </c>
      <c r="H88" s="2" t="str">
        <f>IFERROR(__xludf.DUMMYFUNCTION("""COMPUTED_VALUE"""),"Mai Valley Hydropower P.L.,")</f>
        <v>Mai Valley Hydropower P.L.,</v>
      </c>
      <c r="I88" s="2" t="str">
        <f>IFERROR(__xludf.DUMMYFUNCTION("""COMPUTED_VALUE"""),"P.O.Box 24194, Phone 01-5010631, Lalitpur Kathmandu")</f>
        <v>P.O.Box 24194, Phone 01-5010631, Lalitpur Kathmandu</v>
      </c>
      <c r="J88" s="2" t="str">
        <f>IFERROR(__xludf.DUMMYFUNCTION("""COMPUTED_VALUE"""),"27o 00' 00""")</f>
        <v>27o 00' 00"</v>
      </c>
      <c r="K88" s="2" t="str">
        <f>IFERROR(__xludf.DUMMYFUNCTION("""COMPUTED_VALUE"""),"27o 01' 21""")</f>
        <v>27o 01' 21"</v>
      </c>
      <c r="L88" s="2" t="str">
        <f>IFERROR(__xludf.DUMMYFUNCTION("""COMPUTED_VALUE"""),"87o 57' 37""")</f>
        <v>87o 57' 37"</v>
      </c>
      <c r="M88" s="2" t="str">
        <f>IFERROR(__xludf.DUMMYFUNCTION("""COMPUTED_VALUE"""),"87o 58' 09""")</f>
        <v>87o 58' 09"</v>
      </c>
      <c r="N88" s="2" t="str">
        <f>IFERROR(__xludf.DUMMYFUNCTION("""COMPUTED_VALUE"""),",Mabu,Sulubung (Ilam)")</f>
        <v>,Mabu,Sulubung (Ilam)</v>
      </c>
      <c r="O88" s="3">
        <f>IFERROR(__xludf.DUMMYFUNCTION("""COMPUTED_VALUE"""),63653.0)</f>
        <v>63653</v>
      </c>
    </row>
    <row r="89">
      <c r="A89" s="2">
        <f>IFERROR(__xludf.DUMMYFUNCTION("""COMPUTED_VALUE"""),88.0)</f>
        <v>88</v>
      </c>
      <c r="B89" s="2" t="str">
        <f>IFERROR(__xludf.DUMMYFUNCTION("""COMPUTED_VALUE"""),"Kabeli B - 1")</f>
        <v>Kabeli B - 1</v>
      </c>
      <c r="C89" s="2">
        <f>IFERROR(__xludf.DUMMYFUNCTION("""COMPUTED_VALUE"""),25.0)</f>
        <v>25</v>
      </c>
      <c r="D89" s="2" t="str">
        <f>IFERROR(__xludf.DUMMYFUNCTION("""COMPUTED_VALUE"""),"Kabeli Khola")</f>
        <v>Kabeli Khola</v>
      </c>
      <c r="E89" s="2">
        <f>IFERROR(__xludf.DUMMYFUNCTION("""COMPUTED_VALUE"""),98.0)</f>
        <v>98</v>
      </c>
      <c r="F89" s="3">
        <f>IFERROR(__xludf.DUMMYFUNCTION("""COMPUTED_VALUE"""),62180.0)</f>
        <v>62180</v>
      </c>
      <c r="G89" s="3">
        <f>IFERROR(__xludf.DUMMYFUNCTION("""COMPUTED_VALUE"""),74962.0)</f>
        <v>74962</v>
      </c>
      <c r="H89" s="2" t="str">
        <f>IFERROR(__xludf.DUMMYFUNCTION("""COMPUTED_VALUE"""),"Arun Kabeli Power Limited.")</f>
        <v>Arun Kabeli Power Limited.</v>
      </c>
      <c r="I89" s="2" t="str">
        <f>IFERROR(__xludf.DUMMYFUNCTION("""COMPUTED_VALUE"""),"Baneshwor, Ktm, P.O. Box: 11039, Ph: 01-4109801, 4475234, Fax: 4474895")</f>
        <v>Baneshwor, Ktm, P.O. Box: 11039, Ph: 01-4109801, 4475234, Fax: 4474895</v>
      </c>
      <c r="J89" s="2" t="str">
        <f>IFERROR(__xludf.DUMMYFUNCTION("""COMPUTED_VALUE"""),"27o 16' 23""")</f>
        <v>27o 16' 23"</v>
      </c>
      <c r="K89" s="2" t="str">
        <f>IFERROR(__xludf.DUMMYFUNCTION("""COMPUTED_VALUE"""),"27o 17' 00""")</f>
        <v>27o 17' 00"</v>
      </c>
      <c r="L89" s="2" t="str">
        <f>IFERROR(__xludf.DUMMYFUNCTION("""COMPUTED_VALUE"""),"87o 47' 00""")</f>
        <v>87o 47' 00"</v>
      </c>
      <c r="M89" s="2" t="str">
        <f>IFERROR(__xludf.DUMMYFUNCTION("""COMPUTED_VALUE"""),"87o 50' 10""")</f>
        <v>87o 50' 10"</v>
      </c>
      <c r="N89" s="2" t="str">
        <f>IFERROR(__xludf.DUMMYFUNCTION("""COMPUTED_VALUE"""),"Nagi,Tharpu (Panchthar)")</f>
        <v>Nagi,Tharpu (Panchthar)</v>
      </c>
      <c r="O89" s="3">
        <f>IFERROR(__xludf.DUMMYFUNCTION("""COMPUTED_VALUE"""),64489.0)</f>
        <v>64489</v>
      </c>
    </row>
    <row r="90">
      <c r="A90" s="2">
        <f>IFERROR(__xludf.DUMMYFUNCTION("""COMPUTED_VALUE"""),89.0)</f>
        <v>89</v>
      </c>
      <c r="B90" s="2" t="str">
        <f>IFERROR(__xludf.DUMMYFUNCTION("""COMPUTED_VALUE"""),"Lower Hewa")</f>
        <v>Lower Hewa</v>
      </c>
      <c r="C90" s="2">
        <f>IFERROR(__xludf.DUMMYFUNCTION("""COMPUTED_VALUE"""),22.1)</f>
        <v>22.1</v>
      </c>
      <c r="D90" s="2" t="str">
        <f>IFERROR(__xludf.DUMMYFUNCTION("""COMPUTED_VALUE"""),"Hewa (Panchthar)")</f>
        <v>Hewa (Panchthar)</v>
      </c>
      <c r="E90" s="2">
        <f>IFERROR(__xludf.DUMMYFUNCTION("""COMPUTED_VALUE"""),99.0)</f>
        <v>99</v>
      </c>
      <c r="F90" s="3">
        <f>IFERROR(__xludf.DUMMYFUNCTION("""COMPUTED_VALUE"""),62192.0)</f>
        <v>62192</v>
      </c>
      <c r="G90" s="3">
        <f>IFERROR(__xludf.DUMMYFUNCTION("""COMPUTED_VALUE"""),74974.0)</f>
        <v>74974</v>
      </c>
      <c r="H90" s="2" t="str">
        <f>IFERROR(__xludf.DUMMYFUNCTION("""COMPUTED_VALUE"""),"Mountain Hydro Nepal (P.) Ltd")</f>
        <v>Mountain Hydro Nepal (P.) Ltd</v>
      </c>
      <c r="I90" s="2" t="str">
        <f>IFERROR(__xludf.DUMMYFUNCTION("""COMPUTED_VALUE"""),"P.O. Box: 3970, New Baneshwor, Kathmandu, Nepal. Ph: 015525184, 4299844, 
Fax 01-5525184")</f>
        <v>P.O. Box: 3970, New Baneshwor, Kathmandu, Nepal. Ph: 015525184, 4299844, 
Fax 01-5525184</v>
      </c>
      <c r="J90" s="2" t="str">
        <f>IFERROR(__xludf.DUMMYFUNCTION("""COMPUTED_VALUE"""),"27o 08' 42""")</f>
        <v>27o 08' 42"</v>
      </c>
      <c r="K90" s="2" t="str">
        <f>IFERROR(__xludf.DUMMYFUNCTION("""COMPUTED_VALUE"""),"27o 10' 40""")</f>
        <v>27o 10' 40"</v>
      </c>
      <c r="L90" s="2" t="str">
        <f>IFERROR(__xludf.DUMMYFUNCTION("""COMPUTED_VALUE"""),"87o 43' 20""")</f>
        <v>87o 43' 20"</v>
      </c>
      <c r="M90" s="2" t="str">
        <f>IFERROR(__xludf.DUMMYFUNCTION("""COMPUTED_VALUE"""),"87o 47' 12""")</f>
        <v>87o 47' 12"</v>
      </c>
      <c r="N90" s="2" t="str">
        <f>IFERROR(__xludf.DUMMYFUNCTION("""COMPUTED_VALUE"""),"Bharapa,Nangeen,Phidim (Panchthar)")</f>
        <v>Bharapa,Nangeen,Phidim (Panchthar)</v>
      </c>
      <c r="O90" s="3">
        <f>IFERROR(__xludf.DUMMYFUNCTION("""COMPUTED_VALUE"""),64396.0)</f>
        <v>64396</v>
      </c>
    </row>
    <row r="91">
      <c r="A91" s="2">
        <f>IFERROR(__xludf.DUMMYFUNCTION("""COMPUTED_VALUE"""),90.0)</f>
        <v>90</v>
      </c>
      <c r="B91" s="2" t="str">
        <f>IFERROR(__xludf.DUMMYFUNCTION("""COMPUTED_VALUE"""),"Mai Cascade HPP")</f>
        <v>Mai Cascade HPP</v>
      </c>
      <c r="C91" s="2">
        <f>IFERROR(__xludf.DUMMYFUNCTION("""COMPUTED_VALUE"""),8.0)</f>
        <v>8</v>
      </c>
      <c r="D91" s="2" t="str">
        <f>IFERROR(__xludf.DUMMYFUNCTION("""COMPUTED_VALUE"""),"Mai Khola")</f>
        <v>Mai Khola</v>
      </c>
      <c r="E91" s="2">
        <f>IFERROR(__xludf.DUMMYFUNCTION("""COMPUTED_VALUE"""),101.0)</f>
        <v>101</v>
      </c>
      <c r="F91" s="3">
        <f>IFERROR(__xludf.DUMMYFUNCTION("""COMPUTED_VALUE"""),62198.0)</f>
        <v>62198</v>
      </c>
      <c r="G91" s="3">
        <f>IFERROR(__xludf.DUMMYFUNCTION("""COMPUTED_VALUE"""),74980.0)</f>
        <v>74980</v>
      </c>
      <c r="H91" s="2" t="str">
        <f>IFERROR(__xludf.DUMMYFUNCTION("""COMPUTED_VALUE"""),"Himal Dolkha Hydropower Company Pvt Ltd")</f>
        <v>Himal Dolkha Hydropower Company Pvt Ltd</v>
      </c>
      <c r="I91" s="2" t="str">
        <f>IFERROR(__xludf.DUMMYFUNCTION("""COMPUTED_VALUE"""),"Baneswar, Kathmandu Tel: 9851085922,2043191")</f>
        <v>Baneswar, Kathmandu Tel: 9851085922,2043191</v>
      </c>
      <c r="J91" s="2" t="str">
        <f>IFERROR(__xludf.DUMMYFUNCTION("""COMPUTED_VALUE"""),"26o 50' 50""")</f>
        <v>26o 50' 50"</v>
      </c>
      <c r="K91" s="2" t="str">
        <f>IFERROR(__xludf.DUMMYFUNCTION("""COMPUTED_VALUE"""),"26o 52' 36""")</f>
        <v>26o 52' 36"</v>
      </c>
      <c r="L91" s="2" t="str">
        <f>IFERROR(__xludf.DUMMYFUNCTION("""COMPUTED_VALUE"""),"87o 54' 43""")</f>
        <v>87o 54' 43"</v>
      </c>
      <c r="M91" s="2" t="str">
        <f>IFERROR(__xludf.DUMMYFUNCTION("""COMPUTED_VALUE"""),"87o 56' 11""")</f>
        <v>87o 56' 11"</v>
      </c>
      <c r="N91" s="2" t="str">
        <f>IFERROR(__xludf.DUMMYFUNCTION("""COMPUTED_VALUE"""),"Goduk,Chisapani,Ilam N.P.,Soyak (Ilam)")</f>
        <v>Goduk,Chisapani,Ilam N.P.,Soyak (Ilam)</v>
      </c>
      <c r="O91" s="3">
        <f>IFERROR(__xludf.DUMMYFUNCTION("""COMPUTED_VALUE"""),63914.0)</f>
        <v>63914</v>
      </c>
    </row>
    <row r="92">
      <c r="A92" s="2">
        <f>IFERROR(__xludf.DUMMYFUNCTION("""COMPUTED_VALUE"""),91.0)</f>
        <v>91</v>
      </c>
      <c r="B92" s="2" t="str">
        <f>IFERROR(__xludf.DUMMYFUNCTION("""COMPUTED_VALUE"""),"Chhandi Khola")</f>
        <v>Chhandi Khola</v>
      </c>
      <c r="C92" s="2">
        <f>IFERROR(__xludf.DUMMYFUNCTION("""COMPUTED_VALUE"""),2.0)</f>
        <v>2</v>
      </c>
      <c r="D92" s="2" t="str">
        <f>IFERROR(__xludf.DUMMYFUNCTION("""COMPUTED_VALUE"""),"Chhandi")</f>
        <v>Chhandi</v>
      </c>
      <c r="E92" s="2">
        <f>IFERROR(__xludf.DUMMYFUNCTION("""COMPUTED_VALUE"""),103.0)</f>
        <v>103</v>
      </c>
      <c r="F92" s="3">
        <f>IFERROR(__xludf.DUMMYFUNCTION("""COMPUTED_VALUE"""),62237.0)</f>
        <v>62237</v>
      </c>
      <c r="G92" s="3">
        <f>IFERROR(__xludf.DUMMYFUNCTION("""COMPUTED_VALUE"""),75019.0)</f>
        <v>75019</v>
      </c>
      <c r="H92" s="2" t="str">
        <f>IFERROR(__xludf.DUMMYFUNCTION("""COMPUTED_VALUE"""),"Chhyandi Hydropower Co. P. Ltd")</f>
        <v>Chhyandi Hydropower Co. P. Ltd</v>
      </c>
      <c r="I92" s="2" t="str">
        <f>IFERROR(__xludf.DUMMYFUNCTION("""COMPUTED_VALUE"""),"Ph: 014424925, 9851095497, 014426483")</f>
        <v>Ph: 014424925, 9851095497, 014426483</v>
      </c>
      <c r="J92" s="2" t="str">
        <f>IFERROR(__xludf.DUMMYFUNCTION("""COMPUTED_VALUE"""),"28o 15' 12""")</f>
        <v>28o 15' 12"</v>
      </c>
      <c r="K92" s="2" t="str">
        <f>IFERROR(__xludf.DUMMYFUNCTION("""COMPUTED_VALUE"""),"28o 16' 04""")</f>
        <v>28o 16' 04"</v>
      </c>
      <c r="L92" s="2" t="str">
        <f>IFERROR(__xludf.DUMMYFUNCTION("""COMPUTED_VALUE"""),"84o 28' 08""")</f>
        <v>84o 28' 08"</v>
      </c>
      <c r="M92" s="2" t="str">
        <f>IFERROR(__xludf.DUMMYFUNCTION("""COMPUTED_VALUE"""),"84o 29' 20""")</f>
        <v>84o 29' 20"</v>
      </c>
      <c r="N92" s="2" t="str">
        <f>IFERROR(__xludf.DUMMYFUNCTION("""COMPUTED_VALUE"""),"(Lamjung)")</f>
        <v>(Lamjung)</v>
      </c>
      <c r="O92" s="3">
        <f>IFERROR(__xludf.DUMMYFUNCTION("""COMPUTED_VALUE"""),63171.0)</f>
        <v>63171</v>
      </c>
    </row>
    <row r="93">
      <c r="A93" s="2">
        <f>IFERROR(__xludf.DUMMYFUNCTION("""COMPUTED_VALUE"""),92.0)</f>
        <v>92</v>
      </c>
      <c r="B93" s="2" t="str">
        <f>IFERROR(__xludf.DUMMYFUNCTION("""COMPUTED_VALUE"""),"Puwa Khola-1")</f>
        <v>Puwa Khola-1</v>
      </c>
      <c r="C93" s="2">
        <f>IFERROR(__xludf.DUMMYFUNCTION("""COMPUTED_VALUE"""),4.0)</f>
        <v>4</v>
      </c>
      <c r="D93" s="2" t="str">
        <f>IFERROR(__xludf.DUMMYFUNCTION("""COMPUTED_VALUE"""),"Puwa")</f>
        <v>Puwa</v>
      </c>
      <c r="E93" s="2">
        <f>IFERROR(__xludf.DUMMYFUNCTION("""COMPUTED_VALUE"""),106.0)</f>
        <v>106</v>
      </c>
      <c r="F93" s="3">
        <f>IFERROR(__xludf.DUMMYFUNCTION("""COMPUTED_VALUE"""),62265.0)</f>
        <v>62265</v>
      </c>
      <c r="G93" s="3">
        <f>IFERROR(__xludf.DUMMYFUNCTION("""COMPUTED_VALUE"""),75047.0)</f>
        <v>75047</v>
      </c>
      <c r="H93" s="2" t="str">
        <f>IFERROR(__xludf.DUMMYFUNCTION("""COMPUTED_VALUE"""),"Puwa Khola - 1 Hydropower Pvt. Ltd")</f>
        <v>Puwa Khola - 1 Hydropower Pvt. Ltd</v>
      </c>
      <c r="I93" s="2" t="str">
        <f>IFERROR(__xludf.DUMMYFUNCTION("""COMPUTED_VALUE"""),"PO Bpx 20762 Baluwatar Nepal. Ph: 4410057, 9851129708")</f>
        <v>PO Bpx 20762 Baluwatar Nepal. Ph: 4410057, 9851129708</v>
      </c>
      <c r="J93" s="2" t="str">
        <f>IFERROR(__xludf.DUMMYFUNCTION("""COMPUTED_VALUE"""),"26o 55' 02""")</f>
        <v>26o 55' 02"</v>
      </c>
      <c r="K93" s="2" t="str">
        <f>IFERROR(__xludf.DUMMYFUNCTION("""COMPUTED_VALUE"""),"26o 56' 58""")</f>
        <v>26o 56' 58"</v>
      </c>
      <c r="L93" s="2" t="str">
        <f>IFERROR(__xludf.DUMMYFUNCTION("""COMPUTED_VALUE"""),"87o 53' 46""")</f>
        <v>87o 53' 46"</v>
      </c>
      <c r="M93" s="2" t="str">
        <f>IFERROR(__xludf.DUMMYFUNCTION("""COMPUTED_VALUE"""),"87o 55' 00""")</f>
        <v>87o 55' 00"</v>
      </c>
      <c r="N93" s="2" t="str">
        <f>IFERROR(__xludf.DUMMYFUNCTION("""COMPUTED_VALUE"""),"Shantidanda,Barbote,Ilam N.P. (Ilam)")</f>
        <v>Shantidanda,Barbote,Ilam N.P. (Ilam)</v>
      </c>
      <c r="O93" s="3">
        <f>IFERROR(__xludf.DUMMYFUNCTION("""COMPUTED_VALUE"""),63728.0)</f>
        <v>63728</v>
      </c>
    </row>
    <row r="94">
      <c r="A94" s="2">
        <f>IFERROR(__xludf.DUMMYFUNCTION("""COMPUTED_VALUE"""),93.0)</f>
        <v>93</v>
      </c>
      <c r="B94" s="2" t="str">
        <f>IFERROR(__xludf.DUMMYFUNCTION("""COMPUTED_VALUE"""),"Madhya Bhotekoshi")</f>
        <v>Madhya Bhotekoshi</v>
      </c>
      <c r="C94" s="2">
        <f>IFERROR(__xludf.DUMMYFUNCTION("""COMPUTED_VALUE"""),102.0)</f>
        <v>102</v>
      </c>
      <c r="D94" s="2" t="str">
        <f>IFERROR(__xludf.DUMMYFUNCTION("""COMPUTED_VALUE"""),"Bhotekoshi (Sindhupalchowk)")</f>
        <v>Bhotekoshi (Sindhupalchowk)</v>
      </c>
      <c r="E94" s="2">
        <f>IFERROR(__xludf.DUMMYFUNCTION("""COMPUTED_VALUE"""),108.0)</f>
        <v>108</v>
      </c>
      <c r="F94" s="3">
        <f>IFERROR(__xludf.DUMMYFUNCTION("""COMPUTED_VALUE"""),62323.0)</f>
        <v>62323</v>
      </c>
      <c r="G94" s="3">
        <f>IFERROR(__xludf.DUMMYFUNCTION("""COMPUTED_VALUE"""),75470.0)</f>
        <v>75470</v>
      </c>
      <c r="H94" s="2" t="str">
        <f>IFERROR(__xludf.DUMMYFUNCTION("""COMPUTED_VALUE"""),"Madhya Bhotekoshi Jalbidyut Company Ltd.")</f>
        <v>Madhya Bhotekoshi Jalbidyut Company Ltd.</v>
      </c>
      <c r="I94" s="2" t="str">
        <f>IFERROR(__xludf.DUMMYFUNCTION("""COMPUTED_VALUE"""),"Maharajganj Kathmandu, P.O.Box. 23599, Phone 01-4721641, 4721642, Fax 
01-4721643")</f>
        <v>Maharajganj Kathmandu, P.O.Box. 23599, Phone 01-4721641, 4721642, Fax 
01-4721643</v>
      </c>
      <c r="J94" s="2" t="str">
        <f>IFERROR(__xludf.DUMMYFUNCTION("""COMPUTED_VALUE"""),"27o 49' 08""")</f>
        <v>27o 49' 08"</v>
      </c>
      <c r="K94" s="2" t="str">
        <f>IFERROR(__xludf.DUMMYFUNCTION("""COMPUTED_VALUE"""),"27o 53' 00""")</f>
        <v>27o 53' 00"</v>
      </c>
      <c r="L94" s="2" t="str">
        <f>IFERROR(__xludf.DUMMYFUNCTION("""COMPUTED_VALUE"""),"85o 51' 49""")</f>
        <v>85o 51' 49"</v>
      </c>
      <c r="M94" s="2" t="str">
        <f>IFERROR(__xludf.DUMMYFUNCTION("""COMPUTED_VALUE"""),"85o 54' 43""")</f>
        <v>85o 54' 43"</v>
      </c>
      <c r="N94" s="2" t="str">
        <f>IFERROR(__xludf.DUMMYFUNCTION("""COMPUTED_VALUE"""),"Maneswor,Marbin,Listi (Sindhupalchok)")</f>
        <v>Maneswor,Marbin,Listi (Sindhupalchok)</v>
      </c>
      <c r="O94" s="3">
        <f>IFERROR(__xludf.DUMMYFUNCTION("""COMPUTED_VALUE"""),66647.0)</f>
        <v>66647</v>
      </c>
    </row>
    <row r="95">
      <c r="A95" s="2">
        <f>IFERROR(__xludf.DUMMYFUNCTION("""COMPUTED_VALUE"""),94.0)</f>
        <v>94</v>
      </c>
      <c r="B95" s="2" t="str">
        <f>IFERROR(__xludf.DUMMYFUNCTION("""COMPUTED_VALUE"""),"Rudi A")</f>
        <v>Rudi A</v>
      </c>
      <c r="C95" s="2">
        <f>IFERROR(__xludf.DUMMYFUNCTION("""COMPUTED_VALUE"""),8.8)</f>
        <v>8.8</v>
      </c>
      <c r="D95" s="2" t="str">
        <f>IFERROR(__xludf.DUMMYFUNCTION("""COMPUTED_VALUE"""),"Rudi Khola")</f>
        <v>Rudi Khola</v>
      </c>
      <c r="E95" s="2">
        <f>IFERROR(__xludf.DUMMYFUNCTION("""COMPUTED_VALUE"""),109.0)</f>
        <v>109</v>
      </c>
      <c r="F95" s="3">
        <f>IFERROR(__xludf.DUMMYFUNCTION("""COMPUTED_VALUE"""),62348.0)</f>
        <v>62348</v>
      </c>
      <c r="G95" s="3">
        <f>IFERROR(__xludf.DUMMYFUNCTION("""COMPUTED_VALUE"""),75130.0)</f>
        <v>75130</v>
      </c>
      <c r="H95" s="2" t="str">
        <f>IFERROR(__xludf.DUMMYFUNCTION("""COMPUTED_VALUE"""),"Bindhabasini Hydropower Developmwnt Company Pvt.Ltd")</f>
        <v>Bindhabasini Hydropower Developmwnt Company Pvt.Ltd</v>
      </c>
      <c r="I95" s="2" t="str">
        <f>IFERROR(__xludf.DUMMYFUNCTION("""COMPUTED_VALUE"""),"P.O.Box.10242, Newbaneswor, Kathmandu, phone 4781891, Fax 4785671")</f>
        <v>P.O.Box.10242, Newbaneswor, Kathmandu, phone 4781891, Fax 4785671</v>
      </c>
      <c r="J95" s="2" t="str">
        <f>IFERROR(__xludf.DUMMYFUNCTION("""COMPUTED_VALUE"""),"28o 13' 51""")</f>
        <v>28o 13' 51"</v>
      </c>
      <c r="K95" s="2" t="str">
        <f>IFERROR(__xludf.DUMMYFUNCTION("""COMPUTED_VALUE"""),"28o 16' 39""")</f>
        <v>28o 16' 39"</v>
      </c>
      <c r="L95" s="2" t="str">
        <f>IFERROR(__xludf.DUMMYFUNCTION("""COMPUTED_VALUE"""),"84o 11' 00""")</f>
        <v>84o 11' 00"</v>
      </c>
      <c r="M95" s="2" t="str">
        <f>IFERROR(__xludf.DUMMYFUNCTION("""COMPUTED_VALUE"""),"84o 13' 00""")</f>
        <v>84o 13' 00"</v>
      </c>
      <c r="N95" s="2" t="str">
        <f>IFERROR(__xludf.DUMMYFUNCTION("""COMPUTED_VALUE"""),"Mijuredada (Kaski) Bhoje,Pasagaun (Lamjung)")</f>
        <v>Mijuredada (Kaski) Bhoje,Pasagaun (Lamjung)</v>
      </c>
      <c r="O95" s="3">
        <f>IFERROR(__xludf.DUMMYFUNCTION("""COMPUTED_VALUE"""),64258.0)</f>
        <v>64258</v>
      </c>
    </row>
    <row r="96">
      <c r="A96" s="2">
        <f>IFERROR(__xludf.DUMMYFUNCTION("""COMPUTED_VALUE"""),95.0)</f>
        <v>95</v>
      </c>
      <c r="B96" s="2" t="str">
        <f>IFERROR(__xludf.DUMMYFUNCTION("""COMPUTED_VALUE"""),"Ghalemdi Khola")</f>
        <v>Ghalemdi Khola</v>
      </c>
      <c r="C96" s="2">
        <f>IFERROR(__xludf.DUMMYFUNCTION("""COMPUTED_VALUE"""),5.0)</f>
        <v>5</v>
      </c>
      <c r="D96" s="2" t="str">
        <f>IFERROR(__xludf.DUMMYFUNCTION("""COMPUTED_VALUE"""),"Ghalemdi")</f>
        <v>Ghalemdi</v>
      </c>
      <c r="E96" s="2">
        <f>IFERROR(__xludf.DUMMYFUNCTION("""COMPUTED_VALUE"""),110.0)</f>
        <v>110</v>
      </c>
      <c r="F96" s="3">
        <f>IFERROR(__xludf.DUMMYFUNCTION("""COMPUTED_VALUE"""),62350.0)</f>
        <v>62350</v>
      </c>
      <c r="G96" s="3">
        <f>IFERROR(__xludf.DUMMYFUNCTION("""COMPUTED_VALUE"""),75132.0)</f>
        <v>75132</v>
      </c>
      <c r="H96" s="2" t="str">
        <f>IFERROR(__xludf.DUMMYFUNCTION("""COMPUTED_VALUE"""),"Ghalemdi Hydro Limited")</f>
        <v>Ghalemdi Hydro Limited</v>
      </c>
      <c r="I96" s="2" t="str">
        <f>IFERROR(__xludf.DUMMYFUNCTION("""COMPUTED_VALUE"""),"P.O.Box 9560, Banasthatli, Kathmandu; Tel. 014362520; 69521079; 
ghalemdi@gmail.com")</f>
        <v>P.O.Box 9560, Banasthatli, Kathmandu; Tel. 014362520; 69521079; 
ghalemdi@gmail.com</v>
      </c>
      <c r="J96" s="2" t="str">
        <f>IFERROR(__xludf.DUMMYFUNCTION("""COMPUTED_VALUE"""),"28o 31' 30""")</f>
        <v>28o 31' 30"</v>
      </c>
      <c r="K96" s="2" t="str">
        <f>IFERROR(__xludf.DUMMYFUNCTION("""COMPUTED_VALUE"""),"28o 32' 30""")</f>
        <v>28o 32' 30"</v>
      </c>
      <c r="L96" s="2" t="str">
        <f>IFERROR(__xludf.DUMMYFUNCTION("""COMPUTED_VALUE"""),"83o 40' 30""")</f>
        <v>83o 40' 30"</v>
      </c>
      <c r="M96" s="2" t="str">
        <f>IFERROR(__xludf.DUMMYFUNCTION("""COMPUTED_VALUE"""),"83o 42' 00""")</f>
        <v>83o 42' 00"</v>
      </c>
      <c r="N96" s="2" t="str">
        <f>IFERROR(__xludf.DUMMYFUNCTION("""COMPUTED_VALUE"""),"Narchyang (Myagdi)")</f>
        <v>Narchyang (Myagdi)</v>
      </c>
      <c r="O96" s="3">
        <f>IFERROR(__xludf.DUMMYFUNCTION("""COMPUTED_VALUE"""),64594.0)</f>
        <v>64594</v>
      </c>
    </row>
    <row r="97">
      <c r="A97" s="2">
        <f>IFERROR(__xludf.DUMMYFUNCTION("""COMPUTED_VALUE"""),96.0)</f>
        <v>96</v>
      </c>
      <c r="B97" s="2" t="str">
        <f>IFERROR(__xludf.DUMMYFUNCTION("""COMPUTED_VALUE"""),"Kapadigad")</f>
        <v>Kapadigad</v>
      </c>
      <c r="C97" s="2">
        <f>IFERROR(__xludf.DUMMYFUNCTION("""COMPUTED_VALUE"""),3.33)</f>
        <v>3.33</v>
      </c>
      <c r="D97" s="2" t="str">
        <f>IFERROR(__xludf.DUMMYFUNCTION("""COMPUTED_VALUE"""),"Kapadigad")</f>
        <v>Kapadigad</v>
      </c>
      <c r="E97" s="2">
        <f>IFERROR(__xludf.DUMMYFUNCTION("""COMPUTED_VALUE"""),111.0)</f>
        <v>111</v>
      </c>
      <c r="F97" s="3">
        <f>IFERROR(__xludf.DUMMYFUNCTION("""COMPUTED_VALUE"""),62350.0)</f>
        <v>62350</v>
      </c>
      <c r="G97" s="3">
        <f>IFERROR(__xludf.DUMMYFUNCTION("""COMPUTED_VALUE"""),75132.0)</f>
        <v>75132</v>
      </c>
      <c r="H97" s="2" t="str">
        <f>IFERROR(__xludf.DUMMYFUNCTION("""COMPUTED_VALUE"""),"Salmanidevi Hydropower Pvt Ltd")</f>
        <v>Salmanidevi Hydropower Pvt Ltd</v>
      </c>
      <c r="I97" s="2" t="str">
        <f>IFERROR(__xludf.DUMMYFUNCTION("""COMPUTED_VALUE"""),"Dhunga Adda, Tinthana-7,KTM, 014316325")</f>
        <v>Dhunga Adda, Tinthana-7,KTM, 014316325</v>
      </c>
      <c r="J97" s="2" t="str">
        <f>IFERROR(__xludf.DUMMYFUNCTION("""COMPUTED_VALUE"""),"29o 00' 00""")</f>
        <v>29o 00' 00"</v>
      </c>
      <c r="K97" s="2" t="str">
        <f>IFERROR(__xludf.DUMMYFUNCTION("""COMPUTED_VALUE"""),"29o 01' 15""")</f>
        <v>29o 01' 15"</v>
      </c>
      <c r="L97" s="2" t="str">
        <f>IFERROR(__xludf.DUMMYFUNCTION("""COMPUTED_VALUE"""),"80o 45' 00""")</f>
        <v>80o 45' 00"</v>
      </c>
      <c r="M97" s="2" t="str">
        <f>IFERROR(__xludf.DUMMYFUNCTION("""COMPUTED_VALUE"""),"80o 47' 05""")</f>
        <v>80o 47' 05"</v>
      </c>
      <c r="N97" s="2" t="str">
        <f>IFERROR(__xludf.DUMMYFUNCTION("""COMPUTED_VALUE"""),",Barchhen (Doti)")</f>
        <v>,Barchhen (Doti)</v>
      </c>
      <c r="O97" s="3">
        <f>IFERROR(__xludf.DUMMYFUNCTION("""COMPUTED_VALUE"""),64340.0)</f>
        <v>64340</v>
      </c>
    </row>
    <row r="98">
      <c r="A98" s="2">
        <f>IFERROR(__xludf.DUMMYFUNCTION("""COMPUTED_VALUE"""),97.0)</f>
        <v>97</v>
      </c>
      <c r="B98" s="2" t="str">
        <f>IFERROR(__xludf.DUMMYFUNCTION("""COMPUTED_VALUE"""),"Down Piluwa")</f>
        <v>Down Piluwa</v>
      </c>
      <c r="C98" s="2">
        <f>IFERROR(__xludf.DUMMYFUNCTION("""COMPUTED_VALUE"""),10.3)</f>
        <v>10.3</v>
      </c>
      <c r="D98" s="2" t="str">
        <f>IFERROR(__xludf.DUMMYFUNCTION("""COMPUTED_VALUE"""),"Piluwa Khola")</f>
        <v>Piluwa Khola</v>
      </c>
      <c r="E98" s="2">
        <f>IFERROR(__xludf.DUMMYFUNCTION("""COMPUTED_VALUE"""),113.0)</f>
        <v>113</v>
      </c>
      <c r="F98" s="3">
        <f>IFERROR(__xludf.DUMMYFUNCTION("""COMPUTED_VALUE"""),62401.0)</f>
        <v>62401</v>
      </c>
      <c r="G98" s="3">
        <f>IFERROR(__xludf.DUMMYFUNCTION("""COMPUTED_VALUE"""),75183.0)</f>
        <v>75183</v>
      </c>
      <c r="H98" s="2" t="str">
        <f>IFERROR(__xludf.DUMMYFUNCTION("""COMPUTED_VALUE"""),"River Falls Hydropower Development P. Ltd.")</f>
        <v>River Falls Hydropower Development P. Ltd.</v>
      </c>
      <c r="I98" s="2" t="str">
        <f>IFERROR(__xludf.DUMMYFUNCTION("""COMPUTED_VALUE"""),"P.O.Box, 14165, Anamnagar, Kathmandu, Phone 01-4238159, Fax 01-4102651")</f>
        <v>P.O.Box, 14165, Anamnagar, Kathmandu, Phone 01-4238159, Fax 01-4102651</v>
      </c>
      <c r="J98" s="2" t="str">
        <f>IFERROR(__xludf.DUMMYFUNCTION("""COMPUTED_VALUE"""),"27o 14' 30""")</f>
        <v>27o 14' 30"</v>
      </c>
      <c r="K98" s="2" t="str">
        <f>IFERROR(__xludf.DUMMYFUNCTION("""COMPUTED_VALUE"""),"27o 15' 00""")</f>
        <v>27o 15' 00"</v>
      </c>
      <c r="L98" s="2" t="str">
        <f>IFERROR(__xludf.DUMMYFUNCTION("""COMPUTED_VALUE"""),"87o 16' 00""")</f>
        <v>87o 16' 00"</v>
      </c>
      <c r="M98" s="2" t="str">
        <f>IFERROR(__xludf.DUMMYFUNCTION("""COMPUTED_VALUE"""),"87o 18' 10""")</f>
        <v>87o 18' 10"</v>
      </c>
      <c r="N98" s="2" t="str">
        <f>IFERROR(__xludf.DUMMYFUNCTION("""COMPUTED_VALUE"""),"Baneswor,Ankhibhui,Mamling (Sankhuwasabha)")</f>
        <v>Baneswor,Ankhibhui,Mamling (Sankhuwasabha)</v>
      </c>
      <c r="O98" s="3">
        <f>IFERROR(__xludf.DUMMYFUNCTION("""COMPUTED_VALUE"""),65861.0)</f>
        <v>65861</v>
      </c>
    </row>
    <row r="99">
      <c r="A99" s="2">
        <f>IFERROR(__xludf.DUMMYFUNCTION("""COMPUTED_VALUE"""),98.0)</f>
        <v>98</v>
      </c>
      <c r="B99" s="2" t="str">
        <f>IFERROR(__xludf.DUMMYFUNCTION("""COMPUTED_VALUE"""),"Madkyu Khola")</f>
        <v>Madkyu Khola</v>
      </c>
      <c r="C99" s="2">
        <f>IFERROR(__xludf.DUMMYFUNCTION("""COMPUTED_VALUE"""),13.0)</f>
        <v>13</v>
      </c>
      <c r="D99" s="2" t="str">
        <f>IFERROR(__xludf.DUMMYFUNCTION("""COMPUTED_VALUE"""),"Madkyu")</f>
        <v>Madkyu</v>
      </c>
      <c r="E99" s="2">
        <f>IFERROR(__xludf.DUMMYFUNCTION("""COMPUTED_VALUE"""),116.0)</f>
        <v>116</v>
      </c>
      <c r="F99" s="3">
        <f>IFERROR(__xludf.DUMMYFUNCTION("""COMPUTED_VALUE"""),62418.0)</f>
        <v>62418</v>
      </c>
      <c r="G99" s="3">
        <f>IFERROR(__xludf.DUMMYFUNCTION("""COMPUTED_VALUE"""),75200.0)</f>
        <v>75200</v>
      </c>
      <c r="H99" s="2" t="str">
        <f>IFERROR(__xludf.DUMMYFUNCTION("""COMPUTED_VALUE"""),"Silkes Hydropower Pvt.Ltd")</f>
        <v>Silkes Hydropower Pvt.Ltd</v>
      </c>
      <c r="I99" s="2" t="str">
        <f>IFERROR(__xludf.DUMMYFUNCTION("""COMPUTED_VALUE"""),"P.O.Box. 170, Lekhnath Nagar Palika - 3, Kaski, Phone 061-560236, Fax 
061-532466")</f>
        <v>P.O.Box. 170, Lekhnath Nagar Palika - 3, Kaski, Phone 061-560236, Fax 
061-532466</v>
      </c>
      <c r="J99" s="2" t="str">
        <f>IFERROR(__xludf.DUMMYFUNCTION("""COMPUTED_VALUE"""),"28o 21' 40""")</f>
        <v>28o 21' 40"</v>
      </c>
      <c r="K99" s="2" t="str">
        <f>IFERROR(__xludf.DUMMYFUNCTION("""COMPUTED_VALUE"""),"28o 22' 30""")</f>
        <v>28o 22' 30"</v>
      </c>
      <c r="L99" s="2" t="str">
        <f>IFERROR(__xludf.DUMMYFUNCTION("""COMPUTED_VALUE"""),"84o 07' 31""")</f>
        <v>84o 07' 31"</v>
      </c>
      <c r="M99" s="2" t="str">
        <f>IFERROR(__xludf.DUMMYFUNCTION("""COMPUTED_VALUE"""),"84o 08' 45""")</f>
        <v>84o 08' 45"</v>
      </c>
      <c r="N99" s="2" t="str">
        <f>IFERROR(__xludf.DUMMYFUNCTION("""COMPUTED_VALUE"""),"(Kaski)")</f>
        <v>(Kaski)</v>
      </c>
      <c r="O99" s="3">
        <f>IFERROR(__xludf.DUMMYFUNCTION("""COMPUTED_VALUE"""),63907.0)</f>
        <v>63907</v>
      </c>
    </row>
    <row r="100">
      <c r="A100" s="2">
        <f>IFERROR(__xludf.DUMMYFUNCTION("""COMPUTED_VALUE"""),99.0)</f>
        <v>99</v>
      </c>
      <c r="B100" s="2" t="str">
        <f>IFERROR(__xludf.DUMMYFUNCTION("""COMPUTED_VALUE"""),"Chake Khola")</f>
        <v>Chake Khola</v>
      </c>
      <c r="C100" s="2">
        <f>IFERROR(__xludf.DUMMYFUNCTION("""COMPUTED_VALUE"""),2.83)</f>
        <v>2.83</v>
      </c>
      <c r="D100" s="2" t="str">
        <f>IFERROR(__xludf.DUMMYFUNCTION("""COMPUTED_VALUE"""),"Chake Khola")</f>
        <v>Chake Khola</v>
      </c>
      <c r="E100" s="2">
        <f>IFERROR(__xludf.DUMMYFUNCTION("""COMPUTED_VALUE"""),114.0)</f>
        <v>114</v>
      </c>
      <c r="F100" s="3">
        <f>IFERROR(__xludf.DUMMYFUNCTION("""COMPUTED_VALUE"""),62418.0)</f>
        <v>62418</v>
      </c>
      <c r="G100" s="3">
        <f>IFERROR(__xludf.DUMMYFUNCTION("""COMPUTED_VALUE"""),75200.0)</f>
        <v>75200</v>
      </c>
      <c r="H100" s="2" t="str">
        <f>IFERROR(__xludf.DUMMYFUNCTION("""COMPUTED_VALUE"""),"Garjang Upatyaka HP Company Limited")</f>
        <v>Garjang Upatyaka HP Company Limited</v>
      </c>
      <c r="I100" s="2" t="str">
        <f>IFERROR(__xludf.DUMMYFUNCTION("""COMPUTED_VALUE"""),"Khusibu, Ward No. 17, KTM")</f>
        <v>Khusibu, Ward No. 17, KTM</v>
      </c>
      <c r="J100" s="2" t="str">
        <f>IFERROR(__xludf.DUMMYFUNCTION("""COMPUTED_VALUE"""),"27o 37' 15""")</f>
        <v>27o 37' 15"</v>
      </c>
      <c r="K100" s="2" t="str">
        <f>IFERROR(__xludf.DUMMYFUNCTION("""COMPUTED_VALUE"""),"27o 38' 19""")</f>
        <v>27o 38' 19"</v>
      </c>
      <c r="L100" s="2" t="str">
        <f>IFERROR(__xludf.DUMMYFUNCTION("""COMPUTED_VALUE"""),"86o 18' 45""")</f>
        <v>86o 18' 45"</v>
      </c>
      <c r="M100" s="2" t="str">
        <f>IFERROR(__xludf.DUMMYFUNCTION("""COMPUTED_VALUE"""),"86o 21' 42""")</f>
        <v>86o 21' 42"</v>
      </c>
      <c r="N100" s="2" t="str">
        <f>IFERROR(__xludf.DUMMYFUNCTION("""COMPUTED_VALUE"""),"Chuchure (Ramechhap)")</f>
        <v>Chuchure (Ramechhap)</v>
      </c>
      <c r="O100" s="3">
        <f>IFERROR(__xludf.DUMMYFUNCTION("""COMPUTED_VALUE"""),63794.0)</f>
        <v>63794</v>
      </c>
    </row>
    <row r="101">
      <c r="A101" s="2">
        <f>IFERROR(__xludf.DUMMYFUNCTION("""COMPUTED_VALUE"""),100.0)</f>
        <v>100</v>
      </c>
      <c r="B101" s="2" t="str">
        <f>IFERROR(__xludf.DUMMYFUNCTION("""COMPUTED_VALUE"""),"Super Dordi Kha Hydropower Project")</f>
        <v>Super Dordi Kha Hydropower Project</v>
      </c>
      <c r="C101" s="2">
        <f>IFERROR(__xludf.DUMMYFUNCTION("""COMPUTED_VALUE"""),54.0)</f>
        <v>54</v>
      </c>
      <c r="D101" s="2" t="str">
        <f>IFERROR(__xludf.DUMMYFUNCTION("""COMPUTED_VALUE"""),"Dordi")</f>
        <v>Dordi</v>
      </c>
      <c r="E101" s="2">
        <f>IFERROR(__xludf.DUMMYFUNCTION("""COMPUTED_VALUE"""),115.0)</f>
        <v>115</v>
      </c>
      <c r="F101" s="3">
        <f>IFERROR(__xludf.DUMMYFUNCTION("""COMPUTED_VALUE"""),62418.0)</f>
        <v>62418</v>
      </c>
      <c r="G101" s="3">
        <f>IFERROR(__xludf.DUMMYFUNCTION("""COMPUTED_VALUE"""),75565.0)</f>
        <v>75565</v>
      </c>
      <c r="H101" s="2" t="str">
        <f>IFERROR(__xludf.DUMMYFUNCTION("""COMPUTED_VALUE"""),"Peoples Hydropower Company Pvt.Ltd.")</f>
        <v>Peoples Hydropower Company Pvt.Ltd.</v>
      </c>
      <c r="I101" s="2" t="str">
        <f>IFERROR(__xludf.DUMMYFUNCTION("""COMPUTED_VALUE"""),"G.P.O. Box 14165 Maharajgunj Kathmandu, Phone 016222304 Fax 014720739")</f>
        <v>G.P.O. Box 14165 Maharajgunj Kathmandu, Phone 016222304 Fax 014720739</v>
      </c>
      <c r="J101" s="2" t="str">
        <f>IFERROR(__xludf.DUMMYFUNCTION("""COMPUTED_VALUE"""),"28o 16' 20""")</f>
        <v>28o 16' 20"</v>
      </c>
      <c r="K101" s="2" t="str">
        <f>IFERROR(__xludf.DUMMYFUNCTION("""COMPUTED_VALUE"""),"28o 18' 43""")</f>
        <v>28o 18' 43"</v>
      </c>
      <c r="L101" s="2" t="str">
        <f>IFERROR(__xludf.DUMMYFUNCTION("""COMPUTED_VALUE"""),"84o 31' 00""")</f>
        <v>84o 31' 00"</v>
      </c>
      <c r="M101" s="2" t="str">
        <f>IFERROR(__xludf.DUMMYFUNCTION("""COMPUTED_VALUE"""),"84o 34' 10""")</f>
        <v>84o 34' 10"</v>
      </c>
      <c r="N101" s="2" t="str">
        <f>IFERROR(__xludf.DUMMYFUNCTION("""COMPUTED_VALUE"""),"Dhodeni,Faleni (Lamjung)")</f>
        <v>Dhodeni,Faleni (Lamjung)</v>
      </c>
      <c r="O101" s="3">
        <f>IFERROR(__xludf.DUMMYFUNCTION("""COMPUTED_VALUE"""),65784.0)</f>
        <v>65784</v>
      </c>
    </row>
    <row r="102">
      <c r="A102" s="2">
        <f>IFERROR(__xludf.DUMMYFUNCTION("""COMPUTED_VALUE"""),101.0)</f>
        <v>101</v>
      </c>
      <c r="B102" s="2" t="str">
        <f>IFERROR(__xludf.DUMMYFUNCTION("""COMPUTED_VALUE"""),"Solu Hydropower Project")</f>
        <v>Solu Hydropower Project</v>
      </c>
      <c r="C102" s="2">
        <f>IFERROR(__xludf.DUMMYFUNCTION("""COMPUTED_VALUE"""),23.5)</f>
        <v>23.5</v>
      </c>
      <c r="D102" s="2" t="str">
        <f>IFERROR(__xludf.DUMMYFUNCTION("""COMPUTED_VALUE"""),"Solu Khola")</f>
        <v>Solu Khola</v>
      </c>
      <c r="E102" s="2">
        <f>IFERROR(__xludf.DUMMYFUNCTION("""COMPUTED_VALUE"""),117.0)</f>
        <v>117</v>
      </c>
      <c r="F102" s="3">
        <f>IFERROR(__xludf.DUMMYFUNCTION("""COMPUTED_VALUE"""),62431.0)</f>
        <v>62431</v>
      </c>
      <c r="G102" s="3">
        <f>IFERROR(__xludf.DUMMYFUNCTION("""COMPUTED_VALUE"""),75213.0)</f>
        <v>75213</v>
      </c>
      <c r="H102" s="2" t="str">
        <f>IFERROR(__xludf.DUMMYFUNCTION("""COMPUTED_VALUE"""),"Upper Solu Hydroelectric Company Pvt Ltd")</f>
        <v>Upper Solu Hydroelectric Company Pvt Ltd</v>
      </c>
      <c r="I102" s="2" t="str">
        <f>IFERROR(__xludf.DUMMYFUNCTION("""COMPUTED_VALUE"""),"Hattisar, Kathmandu, Tel: 4434895, Fax: 4434937")</f>
        <v>Hattisar, Kathmandu, Tel: 4434895, Fax: 4434937</v>
      </c>
      <c r="J102" s="2" t="str">
        <f>IFERROR(__xludf.DUMMYFUNCTION("""COMPUTED_VALUE"""),"27o 26' 42""")</f>
        <v>27o 26' 42"</v>
      </c>
      <c r="K102" s="2" t="str">
        <f>IFERROR(__xludf.DUMMYFUNCTION("""COMPUTED_VALUE"""),"27o 28' 48""")</f>
        <v>27o 28' 48"</v>
      </c>
      <c r="L102" s="2" t="str">
        <f>IFERROR(__xludf.DUMMYFUNCTION("""COMPUTED_VALUE"""),"86o 34' 06""")</f>
        <v>86o 34' 06"</v>
      </c>
      <c r="M102" s="2" t="str">
        <f>IFERROR(__xludf.DUMMYFUNCTION("""COMPUTED_VALUE"""),"86o 35' 00""")</f>
        <v>86o 35' 00"</v>
      </c>
      <c r="N102" s="2" t="str">
        <f>IFERROR(__xludf.DUMMYFUNCTION("""COMPUTED_VALUE"""),"Gora Khami,Garma,Salleri (Solukhumbu)")</f>
        <v>Gora Khami,Garma,Salleri (Solukhumbu)</v>
      </c>
      <c r="O102" s="3">
        <f>IFERROR(__xludf.DUMMYFUNCTION("""COMPUTED_VALUE"""),64629.0)</f>
        <v>64629</v>
      </c>
    </row>
    <row r="103">
      <c r="A103" s="2">
        <f>IFERROR(__xludf.DUMMYFUNCTION("""COMPUTED_VALUE"""),102.0)</f>
        <v>102</v>
      </c>
      <c r="B103" s="2" t="str">
        <f>IFERROR(__xludf.DUMMYFUNCTION("""COMPUTED_VALUE"""),"Lower Solu Hydropower Project")</f>
        <v>Lower Solu Hydropower Project</v>
      </c>
      <c r="C103" s="2">
        <f>IFERROR(__xludf.DUMMYFUNCTION("""COMPUTED_VALUE"""),82.0)</f>
        <v>82</v>
      </c>
      <c r="D103" s="2" t="str">
        <f>IFERROR(__xludf.DUMMYFUNCTION("""COMPUTED_VALUE"""),"Solu Khola")</f>
        <v>Solu Khola</v>
      </c>
      <c r="E103" s="2">
        <f>IFERROR(__xludf.DUMMYFUNCTION("""COMPUTED_VALUE"""),118.0)</f>
        <v>118</v>
      </c>
      <c r="F103" s="3">
        <f>IFERROR(__xludf.DUMMYFUNCTION("""COMPUTED_VALUE"""),62432.0)</f>
        <v>62432</v>
      </c>
      <c r="G103" s="3">
        <f>IFERROR(__xludf.DUMMYFUNCTION("""COMPUTED_VALUE"""),75579.0)</f>
        <v>75579</v>
      </c>
      <c r="H103" s="2" t="str">
        <f>IFERROR(__xludf.DUMMYFUNCTION("""COMPUTED_VALUE"""),"Solu Hydropower Ltd")</f>
        <v>Solu Hydropower Ltd</v>
      </c>
      <c r="I103" s="2" t="str">
        <f>IFERROR(__xludf.DUMMYFUNCTION("""COMPUTED_VALUE"""),"Tribeni Complex, Second floor, Putalisadak, Kathmandu-28, Tel; 4261827, 
Fax: 4260266")</f>
        <v>Tribeni Complex, Second floor, Putalisadak, Kathmandu-28, Tel; 4261827, 
Fax: 4260266</v>
      </c>
      <c r="J103" s="2" t="str">
        <f>IFERROR(__xludf.DUMMYFUNCTION("""COMPUTED_VALUE"""),"27o 24' 49""")</f>
        <v>27o 24' 49"</v>
      </c>
      <c r="K103" s="2" t="str">
        <f>IFERROR(__xludf.DUMMYFUNCTION("""COMPUTED_VALUE"""),"27o 26' 41""")</f>
        <v>27o 26' 41"</v>
      </c>
      <c r="L103" s="2" t="str">
        <f>IFERROR(__xludf.DUMMYFUNCTION("""COMPUTED_VALUE"""),"86o 34' 31""")</f>
        <v>86o 34' 31"</v>
      </c>
      <c r="M103" s="2" t="str">
        <f>IFERROR(__xludf.DUMMYFUNCTION("""COMPUTED_VALUE"""),"86o 37' 34""")</f>
        <v>86o 37' 34"</v>
      </c>
      <c r="N103" s="2" t="str">
        <f>IFERROR(__xludf.DUMMYFUNCTION("""COMPUTED_VALUE"""),"Garma,Tingla (Solukhumbu)")</f>
        <v>Garma,Tingla (Solukhumbu)</v>
      </c>
      <c r="O103" s="3">
        <f>IFERROR(__xludf.DUMMYFUNCTION("""COMPUTED_VALUE"""),66590.0)</f>
        <v>66590</v>
      </c>
    </row>
    <row r="104">
      <c r="A104" s="2">
        <f>IFERROR(__xludf.DUMMYFUNCTION("""COMPUTED_VALUE"""),103.0)</f>
        <v>103</v>
      </c>
      <c r="B104" s="2" t="str">
        <f>IFERROR(__xludf.DUMMYFUNCTION("""COMPUTED_VALUE"""),"Upper Dordi A HEP")</f>
        <v>Upper Dordi A HEP</v>
      </c>
      <c r="C104" s="2">
        <f>IFERROR(__xludf.DUMMYFUNCTION("""COMPUTED_VALUE"""),25.0)</f>
        <v>25</v>
      </c>
      <c r="D104" s="2" t="str">
        <f>IFERROR(__xludf.DUMMYFUNCTION("""COMPUTED_VALUE"""),"Dordi")</f>
        <v>Dordi</v>
      </c>
      <c r="E104" s="2">
        <f>IFERROR(__xludf.DUMMYFUNCTION("""COMPUTED_VALUE"""),121.0)</f>
        <v>121</v>
      </c>
      <c r="F104" s="3">
        <f>IFERROR(__xludf.DUMMYFUNCTION("""COMPUTED_VALUE"""),62473.0)</f>
        <v>62473</v>
      </c>
      <c r="G104" s="3">
        <f>IFERROR(__xludf.DUMMYFUNCTION("""COMPUTED_VALUE"""),75620.0)</f>
        <v>75620</v>
      </c>
      <c r="H104" s="2" t="str">
        <f>IFERROR(__xludf.DUMMYFUNCTION("""COMPUTED_VALUE"""),"Liberty Energy Hydropower Pvt. Ltd.")</f>
        <v>Liberty Energy Hydropower Pvt. Ltd.</v>
      </c>
      <c r="I104" s="2" t="str">
        <f>IFERROR(__xludf.DUMMYFUNCTION("""COMPUTED_VALUE"""),"Stock House, Kathmandu Municipality-29, Kalikasthan; PH: 01-4443545/ 4441988")</f>
        <v>Stock House, Kathmandu Municipality-29, Kalikasthan; PH: 01-4443545/ 4441988</v>
      </c>
      <c r="J104" s="2" t="str">
        <f>IFERROR(__xludf.DUMMYFUNCTION("""COMPUTED_VALUE"""),"28o 15' 00""")</f>
        <v>28o 15' 00"</v>
      </c>
      <c r="K104" s="2" t="str">
        <f>IFERROR(__xludf.DUMMYFUNCTION("""COMPUTED_VALUE"""),"28o 16' 20""")</f>
        <v>28o 16' 20"</v>
      </c>
      <c r="L104" s="2" t="str">
        <f>IFERROR(__xludf.DUMMYFUNCTION("""COMPUTED_VALUE"""),"84o 28' 46""")</f>
        <v>84o 28' 46"</v>
      </c>
      <c r="M104" s="2" t="str">
        <f>IFERROR(__xludf.DUMMYFUNCTION("""COMPUTED_VALUE"""),"84o 31' 59""")</f>
        <v>84o 31' 59"</v>
      </c>
      <c r="N104" s="2" t="str">
        <f>IFERROR(__xludf.DUMMYFUNCTION("""COMPUTED_VALUE"""),"Dhodeni,Faleni (Lamjung)")</f>
        <v>Dhodeni,Faleni (Lamjung)</v>
      </c>
      <c r="O104" s="3">
        <f>IFERROR(__xludf.DUMMYFUNCTION("""COMPUTED_VALUE"""),65609.0)</f>
        <v>65609</v>
      </c>
    </row>
    <row r="105">
      <c r="A105" s="2">
        <f>IFERROR(__xludf.DUMMYFUNCTION("""COMPUTED_VALUE"""),104.0)</f>
        <v>104</v>
      </c>
      <c r="B105" s="2" t="str">
        <f>IFERROR(__xludf.DUMMYFUNCTION("""COMPUTED_VALUE"""),"Maya Khola Hydropower Project")</f>
        <v>Maya Khola Hydropower Project</v>
      </c>
      <c r="C105" s="2">
        <f>IFERROR(__xludf.DUMMYFUNCTION("""COMPUTED_VALUE"""),14.9)</f>
        <v>14.9</v>
      </c>
      <c r="D105" s="2" t="str">
        <f>IFERROR(__xludf.DUMMYFUNCTION("""COMPUTED_VALUE"""),"Maya")</f>
        <v>Maya</v>
      </c>
      <c r="E105" s="2">
        <f>IFERROR(__xludf.DUMMYFUNCTION("""COMPUTED_VALUE"""),123.0)</f>
        <v>123</v>
      </c>
      <c r="F105" s="3">
        <f>IFERROR(__xludf.DUMMYFUNCTION("""COMPUTED_VALUE"""),62515.0)</f>
        <v>62515</v>
      </c>
      <c r="G105" s="3">
        <f>IFERROR(__xludf.DUMMYFUNCTION("""COMPUTED_VALUE"""),75297.0)</f>
        <v>75297</v>
      </c>
      <c r="H105" s="2" t="str">
        <f>IFERROR(__xludf.DUMMYFUNCTION("""COMPUTED_VALUE"""),"Maya Khola Hydropower Company Ltd")</f>
        <v>Maya Khola Hydropower Company Ltd</v>
      </c>
      <c r="I105" s="2" t="str">
        <f>IFERROR(__xludf.DUMMYFUNCTION("""COMPUTED_VALUE"""),"126 Milap Marg, Bisalnagar, Kathmandu, Nepal. P.O.Box: 8975, EPC: 5602, 
Tel: 4417947, Fax; 977-1-4433610")</f>
        <v>126 Milap Marg, Bisalnagar, Kathmandu, Nepal. P.O.Box: 8975, EPC: 5602, 
Tel: 4417947, Fax; 977-1-4433610</v>
      </c>
      <c r="J105" s="2" t="str">
        <f>IFERROR(__xludf.DUMMYFUNCTION("""COMPUTED_VALUE"""),"27o 13' 40""")</f>
        <v>27o 13' 40"</v>
      </c>
      <c r="K105" s="2" t="str">
        <f>IFERROR(__xludf.DUMMYFUNCTION("""COMPUTED_VALUE"""),"27o 15' 45""")</f>
        <v>27o 15' 45"</v>
      </c>
      <c r="L105" s="2" t="str">
        <f>IFERROR(__xludf.DUMMYFUNCTION("""COMPUTED_VALUE"""),"87o 18' 33""")</f>
        <v>87o 18' 33"</v>
      </c>
      <c r="M105" s="2" t="str">
        <f>IFERROR(__xludf.DUMMYFUNCTION("""COMPUTED_VALUE"""),"87o 22' 26""")</f>
        <v>87o 22' 26"</v>
      </c>
      <c r="N105" s="2" t="str">
        <f>IFERROR(__xludf.DUMMYFUNCTION("""COMPUTED_VALUE"""),"Mamling,Madi Rambeni,Baneswor (Sankhuwasabha)")</f>
        <v>Mamling,Madi Rambeni,Baneswor (Sankhuwasabha)</v>
      </c>
      <c r="O105" s="3">
        <f>IFERROR(__xludf.DUMMYFUNCTION("""COMPUTED_VALUE"""),65827.0)</f>
        <v>65827</v>
      </c>
    </row>
    <row r="106">
      <c r="A106" s="2">
        <f>IFERROR(__xludf.DUMMYFUNCTION("""COMPUTED_VALUE"""),105.0)</f>
        <v>105</v>
      </c>
      <c r="B106" s="2" t="str">
        <f>IFERROR(__xludf.DUMMYFUNCTION("""COMPUTED_VALUE"""),"Dwari Khola SHP")</f>
        <v>Dwari Khola SHP</v>
      </c>
      <c r="C106" s="2">
        <f>IFERROR(__xludf.DUMMYFUNCTION("""COMPUTED_VALUE"""),3.75)</f>
        <v>3.75</v>
      </c>
      <c r="D106" s="2" t="str">
        <f>IFERROR(__xludf.DUMMYFUNCTION("""COMPUTED_VALUE"""),"Dwari")</f>
        <v>Dwari</v>
      </c>
      <c r="E106" s="2">
        <f>IFERROR(__xludf.DUMMYFUNCTION("""COMPUTED_VALUE"""),124.0)</f>
        <v>124</v>
      </c>
      <c r="F106" s="3">
        <f>IFERROR(__xludf.DUMMYFUNCTION("""COMPUTED_VALUE"""),62515.0)</f>
        <v>62515</v>
      </c>
      <c r="G106" s="3">
        <f>IFERROR(__xludf.DUMMYFUNCTION("""COMPUTED_VALUE"""),75297.0)</f>
        <v>75297</v>
      </c>
      <c r="H106" s="2" t="str">
        <f>IFERROR(__xludf.DUMMYFUNCTION("""COMPUTED_VALUE"""),"Bhugol Energy Development Company Pvt Ltd")</f>
        <v>Bhugol Energy Development Company Pvt Ltd</v>
      </c>
      <c r="I106" s="2" t="str">
        <f>IFERROR(__xludf.DUMMYFUNCTION("""COMPUTED_VALUE"""),"Kupandole, Lalitpur, Tel: 9841488723,9841505699")</f>
        <v>Kupandole, Lalitpur, Tel: 9841488723,9841505699</v>
      </c>
      <c r="J106" s="2" t="str">
        <f>IFERROR(__xludf.DUMMYFUNCTION("""COMPUTED_VALUE"""),"28o 55' 00""")</f>
        <v>28o 55' 00"</v>
      </c>
      <c r="K106" s="2" t="str">
        <f>IFERROR(__xludf.DUMMYFUNCTION("""COMPUTED_VALUE"""),"28o 56' 48""")</f>
        <v>28o 56' 48"</v>
      </c>
      <c r="L106" s="2" t="str">
        <f>IFERROR(__xludf.DUMMYFUNCTION("""COMPUTED_VALUE"""),"81o 48' 56""")</f>
        <v>81o 48' 56"</v>
      </c>
      <c r="M106" s="2" t="str">
        <f>IFERROR(__xludf.DUMMYFUNCTION("""COMPUTED_VALUE"""),"81o 50' 29""")</f>
        <v>81o 50' 29"</v>
      </c>
      <c r="N106" s="2"/>
      <c r="O106" s="3">
        <f>IFERROR(__xludf.DUMMYFUNCTION("""COMPUTED_VALUE"""),63577.0)</f>
        <v>63577</v>
      </c>
    </row>
    <row r="107">
      <c r="A107" s="2">
        <f>IFERROR(__xludf.DUMMYFUNCTION("""COMPUTED_VALUE"""),106.0)</f>
        <v>106</v>
      </c>
      <c r="B107" s="2" t="str">
        <f>IFERROR(__xludf.DUMMYFUNCTION("""COMPUTED_VALUE"""),"Bagmati Nadi")</f>
        <v>Bagmati Nadi</v>
      </c>
      <c r="C107" s="2">
        <f>IFERROR(__xludf.DUMMYFUNCTION("""COMPUTED_VALUE"""),32.0)</f>
        <v>32</v>
      </c>
      <c r="D107" s="2" t="str">
        <f>IFERROR(__xludf.DUMMYFUNCTION("""COMPUTED_VALUE"""),"Bagmati")</f>
        <v>Bagmati</v>
      </c>
      <c r="E107" s="2">
        <f>IFERROR(__xludf.DUMMYFUNCTION("""COMPUTED_VALUE"""),125.0)</f>
        <v>125</v>
      </c>
      <c r="F107" s="3">
        <f>IFERROR(__xludf.DUMMYFUNCTION("""COMPUTED_VALUE"""),62536.0)</f>
        <v>62536</v>
      </c>
      <c r="G107" s="3">
        <f>IFERROR(__xludf.DUMMYFUNCTION("""COMPUTED_VALUE"""),75318.0)</f>
        <v>75318</v>
      </c>
      <c r="H107" s="2" t="str">
        <f>IFERROR(__xludf.DUMMYFUNCTION("""COMPUTED_VALUE"""),"Mandu Hydropower Ltd.")</f>
        <v>Mandu Hydropower Ltd.</v>
      </c>
      <c r="I107" s="2" t="str">
        <f>IFERROR(__xludf.DUMMYFUNCTION("""COMPUTED_VALUE"""),"Kathmandu,Ward No. 2, Tel no. 4169088")</f>
        <v>Kathmandu,Ward No. 2, Tel no. 4169088</v>
      </c>
      <c r="J107" s="2" t="str">
        <f>IFERROR(__xludf.DUMMYFUNCTION("""COMPUTED_VALUE"""),"27o 30' 21""")</f>
        <v>27o 30' 21"</v>
      </c>
      <c r="K107" s="2" t="str">
        <f>IFERROR(__xludf.DUMMYFUNCTION("""COMPUTED_VALUE"""),"27o 32' 30""")</f>
        <v>27o 32' 30"</v>
      </c>
      <c r="L107" s="2" t="str">
        <f>IFERROR(__xludf.DUMMYFUNCTION("""COMPUTED_VALUE"""),"85o 13' 43""")</f>
        <v>85o 13' 43"</v>
      </c>
      <c r="M107" s="2" t="str">
        <f>IFERROR(__xludf.DUMMYFUNCTION("""COMPUTED_VALUE"""),"85o 15' 20""")</f>
        <v>85o 15' 20"</v>
      </c>
      <c r="N107" s="2" t="str">
        <f>IFERROR(__xludf.DUMMYFUNCTION("""COMPUTED_VALUE"""),"Kogate,Ipa Panchakanya,Sisneri Mahadevsthan (Makawanpur)")</f>
        <v>Kogate,Ipa Panchakanya,Sisneri Mahadevsthan (Makawanpur)</v>
      </c>
      <c r="O107" s="3">
        <f>IFERROR(__xludf.DUMMYFUNCTION("""COMPUTED_VALUE"""),64272.0)</f>
        <v>64272</v>
      </c>
    </row>
    <row r="108">
      <c r="A108" s="2">
        <f>IFERROR(__xludf.DUMMYFUNCTION("""COMPUTED_VALUE"""),107.0)</f>
        <v>107</v>
      </c>
      <c r="B108" s="2" t="str">
        <f>IFERROR(__xludf.DUMMYFUNCTION("""COMPUTED_VALUE"""),"Molun Khola SHP")</f>
        <v>Molun Khola SHP</v>
      </c>
      <c r="C108" s="2">
        <f>IFERROR(__xludf.DUMMYFUNCTION("""COMPUTED_VALUE"""),7.0)</f>
        <v>7</v>
      </c>
      <c r="D108" s="2" t="str">
        <f>IFERROR(__xludf.DUMMYFUNCTION("""COMPUTED_VALUE"""),"Molun")</f>
        <v>Molun</v>
      </c>
      <c r="E108" s="2">
        <f>IFERROR(__xludf.DUMMYFUNCTION("""COMPUTED_VALUE"""),127.0)</f>
        <v>127</v>
      </c>
      <c r="F108" s="3">
        <f>IFERROR(__xludf.DUMMYFUNCTION("""COMPUTED_VALUE"""),62611.0)</f>
        <v>62611</v>
      </c>
      <c r="G108" s="3">
        <f>IFERROR(__xludf.DUMMYFUNCTION("""COMPUTED_VALUE"""),75393.0)</f>
        <v>75393</v>
      </c>
      <c r="H108" s="2" t="str">
        <f>IFERROR(__xludf.DUMMYFUNCTION("""COMPUTED_VALUE"""),"Molun Hydropower Co. Pvt. Ltd")</f>
        <v>Molun Hydropower Co. Pvt. Ltd</v>
      </c>
      <c r="I108" s="2" t="str">
        <f>IFERROR(__xludf.DUMMYFUNCTION("""COMPUTED_VALUE"""),"Rabibhawan Kathmandu, P.O.Box 5813, Phone 01-4278130, Fax 01-4280799")</f>
        <v>Rabibhawan Kathmandu, P.O.Box 5813, Phone 01-4278130, Fax 01-4280799</v>
      </c>
      <c r="J108" s="2" t="str">
        <f>IFERROR(__xludf.DUMMYFUNCTION("""COMPUTED_VALUE"""),"27o 20' 00""")</f>
        <v>27o 20' 00"</v>
      </c>
      <c r="K108" s="2" t="str">
        <f>IFERROR(__xludf.DUMMYFUNCTION("""COMPUTED_VALUE"""),"27o 21' 20""")</f>
        <v>27o 21' 20"</v>
      </c>
      <c r="L108" s="2" t="str">
        <f>IFERROR(__xludf.DUMMYFUNCTION("""COMPUTED_VALUE"""),"86o 25' 42""")</f>
        <v>86o 25' 42"</v>
      </c>
      <c r="M108" s="2" t="str">
        <f>IFERROR(__xludf.DUMMYFUNCTION("""COMPUTED_VALUE"""),"86o 26' 19""")</f>
        <v>86o 26' 19"</v>
      </c>
      <c r="N108" s="2" t="str">
        <f>IFERROR(__xludf.DUMMYFUNCTION("""COMPUTED_VALUE"""),"Baraneshwor,Prapchan,Harkapur (Okhaldhunga)")</f>
        <v>Baraneshwor,Prapchan,Harkapur (Okhaldhunga)</v>
      </c>
      <c r="O108" s="3">
        <f>IFERROR(__xludf.DUMMYFUNCTION("""COMPUTED_VALUE"""),63900.0)</f>
        <v>63900</v>
      </c>
    </row>
    <row r="109">
      <c r="A109" s="2">
        <f>IFERROR(__xludf.DUMMYFUNCTION("""COMPUTED_VALUE"""),108.0)</f>
        <v>108</v>
      </c>
      <c r="B109" s="2" t="str">
        <f>IFERROR(__xludf.DUMMYFUNCTION("""COMPUTED_VALUE"""),"Solu Khola (Dudha Koshi)")</f>
        <v>Solu Khola (Dudha Koshi)</v>
      </c>
      <c r="C109" s="2">
        <f>IFERROR(__xludf.DUMMYFUNCTION("""COMPUTED_VALUE"""),86.0)</f>
        <v>86</v>
      </c>
      <c r="D109" s="2" t="str">
        <f>IFERROR(__xludf.DUMMYFUNCTION("""COMPUTED_VALUE"""),"Solu Khola")</f>
        <v>Solu Khola</v>
      </c>
      <c r="E109" s="2">
        <f>IFERROR(__xludf.DUMMYFUNCTION("""COMPUTED_VALUE"""),126.0)</f>
        <v>126</v>
      </c>
      <c r="F109" s="3">
        <f>IFERROR(__xludf.DUMMYFUNCTION("""COMPUTED_VALUE"""),62611.0)</f>
        <v>62611</v>
      </c>
      <c r="G109" s="3">
        <f>IFERROR(__xludf.DUMMYFUNCTION("""COMPUTED_VALUE"""),75758.0)</f>
        <v>75758</v>
      </c>
      <c r="H109" s="2" t="str">
        <f>IFERROR(__xludf.DUMMYFUNCTION("""COMPUTED_VALUE"""),"Sahas Urja Limited")</f>
        <v>Sahas Urja Limited</v>
      </c>
      <c r="I109" s="2" t="str">
        <f>IFERROR(__xludf.DUMMYFUNCTION("""COMPUTED_VALUE"""),"Kathmandu-1, Hatisar Phone 01-4419182")</f>
        <v>Kathmandu-1, Hatisar Phone 01-4419182</v>
      </c>
      <c r="J109" s="2" t="str">
        <f>IFERROR(__xludf.DUMMYFUNCTION("""COMPUTED_VALUE"""),"27o 21' 53""")</f>
        <v>27o 21' 53"</v>
      </c>
      <c r="K109" s="2" t="str">
        <f>IFERROR(__xludf.DUMMYFUNCTION("""COMPUTED_VALUE"""),"27o 25' 15""")</f>
        <v>27o 25' 15"</v>
      </c>
      <c r="L109" s="2" t="str">
        <f>IFERROR(__xludf.DUMMYFUNCTION("""COMPUTED_VALUE"""),"86o 37' 35""")</f>
        <v>86o 37' 35"</v>
      </c>
      <c r="M109" s="2" t="str">
        <f>IFERROR(__xludf.DUMMYFUNCTION("""COMPUTED_VALUE"""),"86o 41' 15""")</f>
        <v>86o 41' 15"</v>
      </c>
      <c r="N109" s="2" t="str">
        <f>IFERROR(__xludf.DUMMYFUNCTION("""COMPUTED_VALUE"""),"Kagel,Tingla,Panchan,Newa Beddhari,Salyan (Solukhumbu)")</f>
        <v>Kagel,Tingla,Panchan,Newa Beddhari,Salyan (Solukhumbu)</v>
      </c>
      <c r="O109" s="3">
        <f>IFERROR(__xludf.DUMMYFUNCTION("""COMPUTED_VALUE"""),65701.0)</f>
        <v>65701</v>
      </c>
    </row>
    <row r="110">
      <c r="A110" s="2">
        <f>IFERROR(__xludf.DUMMYFUNCTION("""COMPUTED_VALUE"""),109.0)</f>
        <v>109</v>
      </c>
      <c r="B110" s="2" t="str">
        <f>IFERROR(__xludf.DUMMYFUNCTION("""COMPUTED_VALUE"""),"Upper Khimti II")</f>
        <v>Upper Khimti II</v>
      </c>
      <c r="C110" s="2">
        <f>IFERROR(__xludf.DUMMYFUNCTION("""COMPUTED_VALUE"""),7.0)</f>
        <v>7</v>
      </c>
      <c r="D110" s="2" t="str">
        <f>IFERROR(__xludf.DUMMYFUNCTION("""COMPUTED_VALUE"""),"Khimti Khola")</f>
        <v>Khimti Khola</v>
      </c>
      <c r="E110" s="2">
        <f>IFERROR(__xludf.DUMMYFUNCTION("""COMPUTED_VALUE"""),131.0)</f>
        <v>131</v>
      </c>
      <c r="F110" s="3">
        <f>IFERROR(__xludf.DUMMYFUNCTION("""COMPUTED_VALUE"""),62805.0)</f>
        <v>62805</v>
      </c>
      <c r="G110" s="3">
        <f>IFERROR(__xludf.DUMMYFUNCTION("""COMPUTED_VALUE"""),75952.0)</f>
        <v>75952</v>
      </c>
      <c r="H110" s="2" t="str">
        <f>IFERROR(__xludf.DUMMYFUNCTION("""COMPUTED_VALUE"""),"Himalaya Urja Bikash Company Limited")</f>
        <v>Himalaya Urja Bikash Company Limited</v>
      </c>
      <c r="I110" s="2" t="str">
        <f>IFERROR(__xludf.DUMMYFUNCTION("""COMPUTED_VALUE"""),"G.P.O. Box: 10429 Ph: 4487794")</f>
        <v>G.P.O. Box: 10429 Ph: 4487794</v>
      </c>
      <c r="J110" s="2" t="str">
        <f>IFERROR(__xludf.DUMMYFUNCTION("""COMPUTED_VALUE"""),"27o 38' 20""")</f>
        <v>27o 38' 20"</v>
      </c>
      <c r="K110" s="2" t="str">
        <f>IFERROR(__xludf.DUMMYFUNCTION("""COMPUTED_VALUE"""),"27o 39' 55""")</f>
        <v>27o 39' 55"</v>
      </c>
      <c r="L110" s="2" t="str">
        <f>IFERROR(__xludf.DUMMYFUNCTION("""COMPUTED_VALUE"""),"86o 18' 10""")</f>
        <v>86o 18' 10"</v>
      </c>
      <c r="M110" s="2" t="str">
        <f>IFERROR(__xludf.DUMMYFUNCTION("""COMPUTED_VALUE"""),"86o 20' 10""")</f>
        <v>86o 20' 10"</v>
      </c>
      <c r="N110" s="2" t="str">
        <f>IFERROR(__xludf.DUMMYFUNCTION("""COMPUTED_VALUE"""),"Chuchure (Ramechhap)")</f>
        <v>Chuchure (Ramechhap)</v>
      </c>
      <c r="O110" s="3">
        <f>IFERROR(__xludf.DUMMYFUNCTION("""COMPUTED_VALUE"""),65428.0)</f>
        <v>65428</v>
      </c>
    </row>
    <row r="111">
      <c r="A111" s="2">
        <f>IFERROR(__xludf.DUMMYFUNCTION("""COMPUTED_VALUE"""),110.0)</f>
        <v>110</v>
      </c>
      <c r="B111" s="2" t="str">
        <f>IFERROR(__xludf.DUMMYFUNCTION("""COMPUTED_VALUE"""),"Upper Hewa HPP")</f>
        <v>Upper Hewa HPP</v>
      </c>
      <c r="C111" s="2">
        <f>IFERROR(__xludf.DUMMYFUNCTION("""COMPUTED_VALUE"""),8.5)</f>
        <v>8.5</v>
      </c>
      <c r="D111" s="2" t="str">
        <f>IFERROR(__xludf.DUMMYFUNCTION("""COMPUTED_VALUE"""),"Hewa (Sankhuwasabha)")</f>
        <v>Hewa (Sankhuwasabha)</v>
      </c>
      <c r="E111" s="2">
        <f>IFERROR(__xludf.DUMMYFUNCTION("""COMPUTED_VALUE"""),133.0)</f>
        <v>133</v>
      </c>
      <c r="F111" s="3">
        <f>IFERROR(__xludf.DUMMYFUNCTION("""COMPUTED_VALUE"""),62838.0)</f>
        <v>62838</v>
      </c>
      <c r="G111" s="3">
        <f>IFERROR(__xludf.DUMMYFUNCTION("""COMPUTED_VALUE"""),75620.0)</f>
        <v>75620</v>
      </c>
      <c r="H111" s="2" t="str">
        <f>IFERROR(__xludf.DUMMYFUNCTION("""COMPUTED_VALUE"""),"Upper Hewa Khola Hydropower Company Pvt Ltd")</f>
        <v>Upper Hewa Khola Hydropower Company Pvt Ltd</v>
      </c>
      <c r="I111" s="2" t="str">
        <f>IFERROR(__xludf.DUMMYFUNCTION("""COMPUTED_VALUE"""),"GPO Box: 14165, Kathmandu Tel: 4102757")</f>
        <v>GPO Box: 14165, Kathmandu Tel: 4102757</v>
      </c>
      <c r="J111" s="2" t="str">
        <f>IFERROR(__xludf.DUMMYFUNCTION("""COMPUTED_VALUE"""),"27o 19' 34""")</f>
        <v>27o 19' 34"</v>
      </c>
      <c r="K111" s="2" t="str">
        <f>IFERROR(__xludf.DUMMYFUNCTION("""COMPUTED_VALUE"""),"27o 20' 55""")</f>
        <v>27o 20' 55"</v>
      </c>
      <c r="L111" s="2" t="str">
        <f>IFERROR(__xludf.DUMMYFUNCTION("""COMPUTED_VALUE"""),"87o 20' 45""")</f>
        <v>87o 20' 45"</v>
      </c>
      <c r="M111" s="2" t="str">
        <f>IFERROR(__xludf.DUMMYFUNCTION("""COMPUTED_VALUE"""),"87o 22' 30""")</f>
        <v>87o 22' 30"</v>
      </c>
      <c r="N111" s="2" t="str">
        <f>IFERROR(__xludf.DUMMYFUNCTION("""COMPUTED_VALUE"""),"Jaljala,Siddhapokhari (Sankhuwasabha)")</f>
        <v>Jaljala,Siddhapokhari (Sankhuwasabha)</v>
      </c>
      <c r="O111" s="3">
        <f>IFERROR(__xludf.DUMMYFUNCTION("""COMPUTED_VALUE"""),65368.0)</f>
        <v>65368</v>
      </c>
    </row>
    <row r="112">
      <c r="A112" s="2">
        <f>IFERROR(__xludf.DUMMYFUNCTION("""COMPUTED_VALUE"""),111.0)</f>
        <v>111</v>
      </c>
      <c r="B112" s="2" t="str">
        <f>IFERROR(__xludf.DUMMYFUNCTION("""COMPUTED_VALUE"""),"Suri Khola")</f>
        <v>Suri Khola</v>
      </c>
      <c r="C112" s="2">
        <f>IFERROR(__xludf.DUMMYFUNCTION("""COMPUTED_VALUE"""),7.0)</f>
        <v>7</v>
      </c>
      <c r="D112" s="2" t="str">
        <f>IFERROR(__xludf.DUMMYFUNCTION("""COMPUTED_VALUE"""),"Suri")</f>
        <v>Suri</v>
      </c>
      <c r="E112" s="2">
        <f>IFERROR(__xludf.DUMMYFUNCTION("""COMPUTED_VALUE"""),134.0)</f>
        <v>134</v>
      </c>
      <c r="F112" s="3">
        <f>IFERROR(__xludf.DUMMYFUNCTION("""COMPUTED_VALUE"""),62878.0)</f>
        <v>62878</v>
      </c>
      <c r="G112" s="3">
        <f>IFERROR(__xludf.DUMMYFUNCTION("""COMPUTED_VALUE"""),76025.0)</f>
        <v>76025</v>
      </c>
      <c r="H112" s="2" t="str">
        <f>IFERROR(__xludf.DUMMYFUNCTION("""COMPUTED_VALUE"""),"Suri Khola Hydropower Pvt Ltd")</f>
        <v>Suri Khola Hydropower Pvt Ltd</v>
      </c>
      <c r="I112" s="2" t="str">
        <f>IFERROR(__xludf.DUMMYFUNCTION("""COMPUTED_VALUE"""),"GPO Box: 8941 , Katmandu. Phone no 4117079")</f>
        <v>GPO Box: 8941 , Katmandu. Phone no 4117079</v>
      </c>
      <c r="J112" s="2" t="str">
        <f>IFERROR(__xludf.DUMMYFUNCTION("""COMPUTED_VALUE"""),"27o 44' 10""")</f>
        <v>27o 44' 10"</v>
      </c>
      <c r="K112" s="2" t="str">
        <f>IFERROR(__xludf.DUMMYFUNCTION("""COMPUTED_VALUE"""),"27o 45' 14""")</f>
        <v>27o 45' 14"</v>
      </c>
      <c r="L112" s="2" t="str">
        <f>IFERROR(__xludf.DUMMYFUNCTION("""COMPUTED_VALUE"""),"86o 12' 50""")</f>
        <v>86o 12' 50"</v>
      </c>
      <c r="M112" s="2" t="str">
        <f>IFERROR(__xludf.DUMMYFUNCTION("""COMPUTED_VALUE"""),"86o 15' 10""")</f>
        <v>86o 15' 10"</v>
      </c>
      <c r="N112" s="2" t="str">
        <f>IFERROR(__xludf.DUMMYFUNCTION("""COMPUTED_VALUE"""),",Chankhu (Dolakha)")</f>
        <v>,Chankhu (Dolakha)</v>
      </c>
      <c r="O112" s="3">
        <f>IFERROR(__xludf.DUMMYFUNCTION("""COMPUTED_VALUE"""),65398.0)</f>
        <v>65398</v>
      </c>
    </row>
    <row r="113">
      <c r="A113" s="2">
        <f>IFERROR(__xludf.DUMMYFUNCTION("""COMPUTED_VALUE"""),112.0)</f>
        <v>112</v>
      </c>
      <c r="B113" s="2" t="str">
        <f>IFERROR(__xludf.DUMMYFUNCTION("""COMPUTED_VALUE"""),"Rukum gad")</f>
        <v>Rukum gad</v>
      </c>
      <c r="C113" s="2">
        <f>IFERROR(__xludf.DUMMYFUNCTION("""COMPUTED_VALUE"""),5.0)</f>
        <v>5</v>
      </c>
      <c r="D113" s="2" t="str">
        <f>IFERROR(__xludf.DUMMYFUNCTION("""COMPUTED_VALUE"""),"Rukum Gad")</f>
        <v>Rukum Gad</v>
      </c>
      <c r="E113" s="2">
        <f>IFERROR(__xludf.DUMMYFUNCTION("""COMPUTED_VALUE"""),136.0)</f>
        <v>136</v>
      </c>
      <c r="F113" s="3">
        <f>IFERROR(__xludf.DUMMYFUNCTION("""COMPUTED_VALUE"""),62892.0)</f>
        <v>62892</v>
      </c>
      <c r="G113" s="3">
        <f>IFERROR(__xludf.DUMMYFUNCTION("""COMPUTED_VALUE"""),76039.0)</f>
        <v>76039</v>
      </c>
      <c r="H113" s="2" t="str">
        <f>IFERROR(__xludf.DUMMYFUNCTION("""COMPUTED_VALUE"""),"Rapti Hydro and General Construction Pvt. Ltd.")</f>
        <v>Rapti Hydro and General Construction Pvt. Ltd.</v>
      </c>
      <c r="I113" s="2" t="str">
        <f>IFERROR(__xludf.DUMMYFUNCTION("""COMPUTED_VALUE"""),"Tripureshwor, Kathmandu, P. O. Box no 13961 Phone 014101140, 014251080")</f>
        <v>Tripureshwor, Kathmandu, P. O. Box no 13961 Phone 014101140, 014251080</v>
      </c>
      <c r="J113" s="2" t="str">
        <f>IFERROR(__xludf.DUMMYFUNCTION("""COMPUTED_VALUE"""),"28o 35' 36""")</f>
        <v>28o 35' 36"</v>
      </c>
      <c r="K113" s="2" t="str">
        <f>IFERROR(__xludf.DUMMYFUNCTION("""COMPUTED_VALUE"""),"28o 36' 50""")</f>
        <v>28o 36' 50"</v>
      </c>
      <c r="L113" s="2" t="str">
        <f>IFERROR(__xludf.DUMMYFUNCTION("""COMPUTED_VALUE"""),"82o 37' 30""")</f>
        <v>82o 37' 30"</v>
      </c>
      <c r="M113" s="2" t="str">
        <f>IFERROR(__xludf.DUMMYFUNCTION("""COMPUTED_VALUE"""),"82o 39' 01""")</f>
        <v>82o 39' 01"</v>
      </c>
      <c r="N113" s="2" t="str">
        <f>IFERROR(__xludf.DUMMYFUNCTION("""COMPUTED_VALUE"""),"Kanda,Sobha (Rukum)")</f>
        <v>Kanda,Sobha (Rukum)</v>
      </c>
      <c r="O113" s="3">
        <f>IFERROR(__xludf.DUMMYFUNCTION("""COMPUTED_VALUE"""),65742.0)</f>
        <v>65742</v>
      </c>
    </row>
    <row r="114">
      <c r="A114" s="2">
        <f>IFERROR(__xludf.DUMMYFUNCTION("""COMPUTED_VALUE"""),113.0)</f>
        <v>113</v>
      </c>
      <c r="B114" s="2" t="str">
        <f>IFERROR(__xludf.DUMMYFUNCTION("""COMPUTED_VALUE"""),"Ghar Khola")</f>
        <v>Ghar Khola</v>
      </c>
      <c r="C114" s="2">
        <f>IFERROR(__xludf.DUMMYFUNCTION("""COMPUTED_VALUE"""),14.0)</f>
        <v>14</v>
      </c>
      <c r="D114" s="2" t="str">
        <f>IFERROR(__xludf.DUMMYFUNCTION("""COMPUTED_VALUE"""),"Ghar")</f>
        <v>Ghar</v>
      </c>
      <c r="E114" s="2">
        <f>IFERROR(__xludf.DUMMYFUNCTION("""COMPUTED_VALUE"""),137.0)</f>
        <v>137</v>
      </c>
      <c r="F114" s="3">
        <f>IFERROR(__xludf.DUMMYFUNCTION("""COMPUTED_VALUE"""),62894.0)</f>
        <v>62894</v>
      </c>
      <c r="G114" s="3">
        <f>IFERROR(__xludf.DUMMYFUNCTION("""COMPUTED_VALUE"""),75675.0)</f>
        <v>75675</v>
      </c>
      <c r="H114" s="2" t="str">
        <f>IFERROR(__xludf.DUMMYFUNCTION("""COMPUTED_VALUE"""),"Myagdi Hydropower Ltd.")</f>
        <v>Myagdi Hydropower Ltd.</v>
      </c>
      <c r="I114" s="2" t="str">
        <f>IFERROR(__xludf.DUMMYFUNCTION("""COMPUTED_VALUE"""),"Pardi Pokhara, Phone 061-463429")</f>
        <v>Pardi Pokhara, Phone 061-463429</v>
      </c>
      <c r="J114" s="2" t="str">
        <f>IFERROR(__xludf.DUMMYFUNCTION("""COMPUTED_VALUE"""),"28o 27' 00""")</f>
        <v>28o 27' 00"</v>
      </c>
      <c r="K114" s="2" t="str">
        <f>IFERROR(__xludf.DUMMYFUNCTION("""COMPUTED_VALUE"""),"28o 29' 05""")</f>
        <v>28o 29' 05"</v>
      </c>
      <c r="L114" s="2" t="str">
        <f>IFERROR(__xludf.DUMMYFUNCTION("""COMPUTED_VALUE"""),"83o 38' 00""")</f>
        <v>83o 38' 00"</v>
      </c>
      <c r="M114" s="2" t="str">
        <f>IFERROR(__xludf.DUMMYFUNCTION("""COMPUTED_VALUE"""),"83o 40' 20""")</f>
        <v>83o 40' 20"</v>
      </c>
      <c r="N114" s="2" t="str">
        <f>IFERROR(__xludf.DUMMYFUNCTION("""COMPUTED_VALUE"""),",Shikha (Myagdi)")</f>
        <v>,Shikha (Myagdi)</v>
      </c>
      <c r="O114" s="3">
        <f>IFERROR(__xludf.DUMMYFUNCTION("""COMPUTED_VALUE"""),65874.0)</f>
        <v>65874</v>
      </c>
    </row>
    <row r="115">
      <c r="A115" s="2">
        <f>IFERROR(__xludf.DUMMYFUNCTION("""COMPUTED_VALUE"""),114.0)</f>
        <v>114</v>
      </c>
      <c r="B115" s="2" t="str">
        <f>IFERROR(__xludf.DUMMYFUNCTION("""COMPUTED_VALUE"""),"Ghatte Khola")</f>
        <v>Ghatte Khola</v>
      </c>
      <c r="C115" s="2">
        <f>IFERROR(__xludf.DUMMYFUNCTION("""COMPUTED_VALUE"""),5.0)</f>
        <v>5</v>
      </c>
      <c r="D115" s="2" t="str">
        <f>IFERROR(__xludf.DUMMYFUNCTION("""COMPUTED_VALUE"""),"Ghatte Khola (Dolakha)")</f>
        <v>Ghatte Khola (Dolakha)</v>
      </c>
      <c r="E115" s="2">
        <f>IFERROR(__xludf.DUMMYFUNCTION("""COMPUTED_VALUE"""),138.0)</f>
        <v>138</v>
      </c>
      <c r="F115" s="3">
        <f>IFERROR(__xludf.DUMMYFUNCTION("""COMPUTED_VALUE"""),62907.0)</f>
        <v>62907</v>
      </c>
      <c r="G115" s="3">
        <f>IFERROR(__xludf.DUMMYFUNCTION("""COMPUTED_VALUE"""),75688.0)</f>
        <v>75688</v>
      </c>
      <c r="H115" s="2" t="str">
        <f>IFERROR(__xludf.DUMMYFUNCTION("""COMPUTED_VALUE"""),"Mankamana Engineering HP")</f>
        <v>Mankamana Engineering HP</v>
      </c>
      <c r="I115" s="2" t="str">
        <f>IFERROR(__xludf.DUMMYFUNCTION("""COMPUTED_VALUE"""),"P.O.Box. 8020, Kathmandu,4785771")</f>
        <v>P.O.Box. 8020, Kathmandu,4785771</v>
      </c>
      <c r="J115" s="2" t="str">
        <f>IFERROR(__xludf.DUMMYFUNCTION("""COMPUTED_VALUE"""),"27o 46' 25""")</f>
        <v>27o 46' 25"</v>
      </c>
      <c r="K115" s="2" t="str">
        <f>IFERROR(__xludf.DUMMYFUNCTION("""COMPUTED_VALUE"""),"27o 47' 14""")</f>
        <v>27o 47' 14"</v>
      </c>
      <c r="L115" s="2" t="str">
        <f>IFERROR(__xludf.DUMMYFUNCTION("""COMPUTED_VALUE"""),"86o 17' 00""")</f>
        <v>86o 17' 00"</v>
      </c>
      <c r="M115" s="2" t="str">
        <f>IFERROR(__xludf.DUMMYFUNCTION("""COMPUTED_VALUE"""),"86o 18' 35""")</f>
        <v>86o 18' 35"</v>
      </c>
      <c r="N115" s="2" t="str">
        <f>IFERROR(__xludf.DUMMYFUNCTION("""COMPUTED_VALUE"""),"Marbu (Dolakha)")</f>
        <v>Marbu (Dolakha)</v>
      </c>
      <c r="O115" s="3">
        <f>IFERROR(__xludf.DUMMYFUNCTION("""COMPUTED_VALUE"""),64977.0)</f>
        <v>64977</v>
      </c>
    </row>
    <row r="116">
      <c r="A116" s="2">
        <f>IFERROR(__xludf.DUMMYFUNCTION("""COMPUTED_VALUE"""),115.0)</f>
        <v>115</v>
      </c>
      <c r="B116" s="2" t="str">
        <f>IFERROR(__xludf.DUMMYFUNCTION("""COMPUTED_VALUE"""),"Iwa Khola")</f>
        <v>Iwa Khola</v>
      </c>
      <c r="C116" s="2">
        <f>IFERROR(__xludf.DUMMYFUNCTION("""COMPUTED_VALUE"""),9.9)</f>
        <v>9.9</v>
      </c>
      <c r="D116" s="2" t="str">
        <f>IFERROR(__xludf.DUMMYFUNCTION("""COMPUTED_VALUE"""),"Iwa Khola")</f>
        <v>Iwa Khola</v>
      </c>
      <c r="E116" s="2">
        <f>IFERROR(__xludf.DUMMYFUNCTION("""COMPUTED_VALUE"""),139.0)</f>
        <v>139</v>
      </c>
      <c r="F116" s="3">
        <f>IFERROR(__xludf.DUMMYFUNCTION("""COMPUTED_VALUE"""),62911.0)</f>
        <v>62911</v>
      </c>
      <c r="G116" s="3">
        <f>IFERROR(__xludf.DUMMYFUNCTION("""COMPUTED_VALUE"""),75692.0)</f>
        <v>75692</v>
      </c>
      <c r="H116" s="2" t="str">
        <f>IFERROR(__xludf.DUMMYFUNCTION("""COMPUTED_VALUE"""),"Ridi Power Company Ltd.")</f>
        <v>Ridi Power Company Ltd.</v>
      </c>
      <c r="I116" s="2" t="str">
        <f>IFERROR(__xludf.DUMMYFUNCTION("""COMPUTED_VALUE"""),"Trade Tower Building, Thapathali ,Katmandu Tel no 01 5111015")</f>
        <v>Trade Tower Building, Thapathali ,Katmandu Tel no 01 5111015</v>
      </c>
      <c r="J116" s="2" t="str">
        <f>IFERROR(__xludf.DUMMYFUNCTION("""COMPUTED_VALUE"""),"27o 16' 30""")</f>
        <v>27o 16' 30"</v>
      </c>
      <c r="K116" s="2" t="str">
        <f>IFERROR(__xludf.DUMMYFUNCTION("""COMPUTED_VALUE"""),"27o 17' 20""")</f>
        <v>27o 17' 20"</v>
      </c>
      <c r="L116" s="2" t="str">
        <f>IFERROR(__xludf.DUMMYFUNCTION("""COMPUTED_VALUE"""),"87o 50' 05""")</f>
        <v>87o 50' 05"</v>
      </c>
      <c r="M116" s="2" t="str">
        <f>IFERROR(__xludf.DUMMYFUNCTION("""COMPUTED_VALUE"""),"87o 51' 52""")</f>
        <v>87o 51' 52"</v>
      </c>
      <c r="N116" s="2" t="str">
        <f>IFERROR(__xludf.DUMMYFUNCTION("""COMPUTED_VALUE"""),"Sawalakhu (Taplejung)")</f>
        <v>Sawalakhu (Taplejung)</v>
      </c>
      <c r="O116" s="3">
        <f>IFERROR(__xludf.DUMMYFUNCTION("""COMPUTED_VALUE"""),64456.0)</f>
        <v>64456</v>
      </c>
    </row>
    <row r="117">
      <c r="A117" s="2">
        <f>IFERROR(__xludf.DUMMYFUNCTION("""COMPUTED_VALUE"""),116.0)</f>
        <v>116</v>
      </c>
      <c r="B117" s="2" t="str">
        <f>IFERROR(__xludf.DUMMYFUNCTION("""COMPUTED_VALUE"""),"Theule Khola HPP")</f>
        <v>Theule Khola HPP</v>
      </c>
      <c r="C117" s="2">
        <f>IFERROR(__xludf.DUMMYFUNCTION("""COMPUTED_VALUE"""),1.5)</f>
        <v>1.5</v>
      </c>
      <c r="D117" s="2" t="str">
        <f>IFERROR(__xludf.DUMMYFUNCTION("""COMPUTED_VALUE"""),"Theule")</f>
        <v>Theule</v>
      </c>
      <c r="E117" s="2">
        <f>IFERROR(__xludf.DUMMYFUNCTION("""COMPUTED_VALUE"""),140.0)</f>
        <v>140</v>
      </c>
      <c r="F117" s="3">
        <f>IFERROR(__xludf.DUMMYFUNCTION("""COMPUTED_VALUE"""),62911.0)</f>
        <v>62911</v>
      </c>
      <c r="G117" s="3">
        <f>IFERROR(__xludf.DUMMYFUNCTION("""COMPUTED_VALUE"""),75692.0)</f>
        <v>75692</v>
      </c>
      <c r="H117" s="2" t="str">
        <f>IFERROR(__xludf.DUMMYFUNCTION("""COMPUTED_VALUE"""),"Barahi Hydropower Pvt Ltd")</f>
        <v>Barahi Hydropower Pvt Ltd</v>
      </c>
      <c r="I117" s="2" t="str">
        <f>IFERROR(__xludf.DUMMYFUNCTION("""COMPUTED_VALUE"""),"Lakeside Pokhra-6, Tel: 061-520872,01-520872")</f>
        <v>Lakeside Pokhra-6, Tel: 061-520872,01-520872</v>
      </c>
      <c r="J117" s="2" t="str">
        <f>IFERROR(__xludf.DUMMYFUNCTION("""COMPUTED_VALUE"""),"28o 10' 20""")</f>
        <v>28o 10' 20"</v>
      </c>
      <c r="K117" s="2" t="str">
        <f>IFERROR(__xludf.DUMMYFUNCTION("""COMPUTED_VALUE"""),"28o 11' 10""")</f>
        <v>28o 11' 10"</v>
      </c>
      <c r="L117" s="2" t="str">
        <f>IFERROR(__xludf.DUMMYFUNCTION("""COMPUTED_VALUE"""),"83o 36' 51""")</f>
        <v>83o 36' 51"</v>
      </c>
      <c r="M117" s="2" t="str">
        <f>IFERROR(__xludf.DUMMYFUNCTION("""COMPUTED_VALUE"""),"83o 38' 25""")</f>
        <v>83o 38' 25"</v>
      </c>
      <c r="N117" s="2" t="str">
        <f>IFERROR(__xludf.DUMMYFUNCTION("""COMPUTED_VALUE"""),"Kusmi,Binamare,Sarkuwa (Baglung)")</f>
        <v>Kusmi,Binamare,Sarkuwa (Baglung)</v>
      </c>
      <c r="O117" s="3">
        <f>IFERROR(__xludf.DUMMYFUNCTION("""COMPUTED_VALUE"""),64002.0)</f>
        <v>64002</v>
      </c>
    </row>
    <row r="118">
      <c r="A118" s="2">
        <f>IFERROR(__xludf.DUMMYFUNCTION("""COMPUTED_VALUE"""),117.0)</f>
        <v>117</v>
      </c>
      <c r="B118" s="2" t="str">
        <f>IFERROR(__xludf.DUMMYFUNCTION("""COMPUTED_VALUE"""),"Siddhi Khola")</f>
        <v>Siddhi Khola</v>
      </c>
      <c r="C118" s="2">
        <f>IFERROR(__xludf.DUMMYFUNCTION("""COMPUTED_VALUE"""),10.0)</f>
        <v>10</v>
      </c>
      <c r="D118" s="2" t="str">
        <f>IFERROR(__xludf.DUMMYFUNCTION("""COMPUTED_VALUE"""),"Siddhi Khola")</f>
        <v>Siddhi Khola</v>
      </c>
      <c r="E118" s="2">
        <f>IFERROR(__xludf.DUMMYFUNCTION("""COMPUTED_VALUE"""),143.0)</f>
        <v>143</v>
      </c>
      <c r="F118" s="3">
        <f>IFERROR(__xludf.DUMMYFUNCTION("""COMPUTED_VALUE"""),62988.0)</f>
        <v>62988</v>
      </c>
      <c r="G118" s="3">
        <f>IFERROR(__xludf.DUMMYFUNCTION("""COMPUTED_VALUE"""),75769.0)</f>
        <v>75769</v>
      </c>
      <c r="H118" s="2" t="str">
        <f>IFERROR(__xludf.DUMMYFUNCTION("""COMPUTED_VALUE"""),"Siddhi Hydropower Co. Ltd.")</f>
        <v>Siddhi Hydropower Co. Ltd.</v>
      </c>
      <c r="I118" s="2" t="str">
        <f>IFERROR(__xludf.DUMMYFUNCTION("""COMPUTED_VALUE"""),"New Baneshwor, Kathmandu, Nepal. Ph: 071 520460, 4464305, Po Box no 10678")</f>
        <v>New Baneshwor, Kathmandu, Nepal. Ph: 071 520460, 4464305, Po Box no 10678</v>
      </c>
      <c r="J118" s="2" t="str">
        <f>IFERROR(__xludf.DUMMYFUNCTION("""COMPUTED_VALUE"""),"26o 49' 39""")</f>
        <v>26o 49' 39"</v>
      </c>
      <c r="K118" s="2" t="str">
        <f>IFERROR(__xludf.DUMMYFUNCTION("""COMPUTED_VALUE"""),"26o 50' 43""")</f>
        <v>26o 50' 43"</v>
      </c>
      <c r="L118" s="2" t="str">
        <f>IFERROR(__xludf.DUMMYFUNCTION("""COMPUTED_VALUE"""),"88o 07' 54""")</f>
        <v>88o 07' 54"</v>
      </c>
      <c r="M118" s="2" t="str">
        <f>IFERROR(__xludf.DUMMYFUNCTION("""COMPUTED_VALUE"""),"88o 09' 50""")</f>
        <v>88o 09' 50"</v>
      </c>
      <c r="N118" s="2" t="str">
        <f>IFERROR(__xludf.DUMMYFUNCTION("""COMPUTED_VALUE"""),"Samalpung,Jirmale (Ilam)")</f>
        <v>Samalpung,Jirmale (Ilam)</v>
      </c>
      <c r="O118" s="3">
        <f>IFERROR(__xludf.DUMMYFUNCTION("""COMPUTED_VALUE"""),66865.0)</f>
        <v>66865</v>
      </c>
    </row>
    <row r="119">
      <c r="A119" s="2">
        <f>IFERROR(__xludf.DUMMYFUNCTION("""COMPUTED_VALUE"""),118.0)</f>
        <v>118</v>
      </c>
      <c r="B119" s="2" t="str">
        <f>IFERROR(__xludf.DUMMYFUNCTION("""COMPUTED_VALUE"""),"Upper Tadi")</f>
        <v>Upper Tadi</v>
      </c>
      <c r="C119" s="2">
        <f>IFERROR(__xludf.DUMMYFUNCTION("""COMPUTED_VALUE"""),11.0)</f>
        <v>11</v>
      </c>
      <c r="D119" s="2" t="str">
        <f>IFERROR(__xludf.DUMMYFUNCTION("""COMPUTED_VALUE"""),"Tadi Khola")</f>
        <v>Tadi Khola</v>
      </c>
      <c r="E119" s="2">
        <f>IFERROR(__xludf.DUMMYFUNCTION("""COMPUTED_VALUE"""),144.0)</f>
        <v>144</v>
      </c>
      <c r="F119" s="3">
        <f>IFERROR(__xludf.DUMMYFUNCTION("""COMPUTED_VALUE"""),62997.0)</f>
        <v>62997</v>
      </c>
      <c r="G119" s="3">
        <f>IFERROR(__xludf.DUMMYFUNCTION("""COMPUTED_VALUE"""),75778.0)</f>
        <v>75778</v>
      </c>
      <c r="H119" s="2" t="str">
        <f>IFERROR(__xludf.DUMMYFUNCTION("""COMPUTED_VALUE"""),"Surya Kund Hydro Electric Pvt. Ltd.")</f>
        <v>Surya Kund Hydro Electric Pvt. Ltd.</v>
      </c>
      <c r="I119" s="2" t="str">
        <f>IFERROR(__xludf.DUMMYFUNCTION("""COMPUTED_VALUE"""),"Anam Nagar Kathmandu, Phone 01-4770245, 01-4771285 Fax 01-4771109")</f>
        <v>Anam Nagar Kathmandu, Phone 01-4770245, 01-4771285 Fax 01-4771109</v>
      </c>
      <c r="J119" s="2" t="str">
        <f>IFERROR(__xludf.DUMMYFUNCTION("""COMPUTED_VALUE"""),"27o 57' 32""")</f>
        <v>27o 57' 32"</v>
      </c>
      <c r="K119" s="2" t="str">
        <f>IFERROR(__xludf.DUMMYFUNCTION("""COMPUTED_VALUE"""),"27o 58' 31""")</f>
        <v>27o 58' 31"</v>
      </c>
      <c r="L119" s="2" t="str">
        <f>IFERROR(__xludf.DUMMYFUNCTION("""COMPUTED_VALUE"""),"85o 25' 01""")</f>
        <v>85o 25' 01"</v>
      </c>
      <c r="M119" s="2" t="str">
        <f>IFERROR(__xludf.DUMMYFUNCTION("""COMPUTED_VALUE"""),"85o 27' 00""")</f>
        <v>85o 27' 00"</v>
      </c>
      <c r="N119" s="2" t="str">
        <f>IFERROR(__xludf.DUMMYFUNCTION("""COMPUTED_VALUE"""),"Rautbesi (Nuwakot)")</f>
        <v>Rautbesi (Nuwakot)</v>
      </c>
      <c r="O119" s="3">
        <f>IFERROR(__xludf.DUMMYFUNCTION("""COMPUTED_VALUE"""),66578.0)</f>
        <v>66578</v>
      </c>
    </row>
    <row r="120">
      <c r="A120" s="2">
        <f>IFERROR(__xludf.DUMMYFUNCTION("""COMPUTED_VALUE"""),119.0)</f>
        <v>119</v>
      </c>
      <c r="B120" s="2" t="str">
        <f>IFERROR(__xludf.DUMMYFUNCTION("""COMPUTED_VALUE"""),"Likhu -1")</f>
        <v>Likhu -1</v>
      </c>
      <c r="C120" s="2">
        <f>IFERROR(__xludf.DUMMYFUNCTION("""COMPUTED_VALUE"""),77.0)</f>
        <v>77</v>
      </c>
      <c r="D120" s="2" t="str">
        <f>IFERROR(__xludf.DUMMYFUNCTION("""COMPUTED_VALUE"""),"Likhu Khola")</f>
        <v>Likhu Khola</v>
      </c>
      <c r="E120" s="2">
        <f>IFERROR(__xludf.DUMMYFUNCTION("""COMPUTED_VALUE"""),145.0)</f>
        <v>145</v>
      </c>
      <c r="F120" s="3">
        <f>IFERROR(__xludf.DUMMYFUNCTION("""COMPUTED_VALUE"""),62997.0)</f>
        <v>62997</v>
      </c>
      <c r="G120" s="3">
        <f>IFERROR(__xludf.DUMMYFUNCTION("""COMPUTED_VALUE"""),76144.0)</f>
        <v>76144</v>
      </c>
      <c r="H120" s="2" t="str">
        <f>IFERROR(__xludf.DUMMYFUNCTION("""COMPUTED_VALUE"""),"Pan Himay Energy Ltd")</f>
        <v>Pan Himay Energy Ltd</v>
      </c>
      <c r="I120" s="2" t="str">
        <f>IFERROR(__xludf.DUMMYFUNCTION("""COMPUTED_VALUE"""),"Ph. 01-4244352, 1815/105 Kantipath, Kathmandu")</f>
        <v>Ph. 01-4244352, 1815/105 Kantipath, Kathmandu</v>
      </c>
      <c r="J120" s="2" t="str">
        <f>IFERROR(__xludf.DUMMYFUNCTION("""COMPUTED_VALUE"""),"27o 36' 00""")</f>
        <v>27o 36' 00"</v>
      </c>
      <c r="K120" s="2" t="str">
        <f>IFERROR(__xludf.DUMMYFUNCTION("""COMPUTED_VALUE"""),"27o 40' 35""")</f>
        <v>27o 40' 35"</v>
      </c>
      <c r="L120" s="2" t="str">
        <f>IFERROR(__xludf.DUMMYFUNCTION("""COMPUTED_VALUE"""),"86o 26' 00""")</f>
        <v>86o 26' 00"</v>
      </c>
      <c r="M120" s="2" t="str">
        <f>IFERROR(__xludf.DUMMYFUNCTION("""COMPUTED_VALUE"""),"86o 27' 45""")</f>
        <v>86o 27' 45"</v>
      </c>
      <c r="N120" s="2" t="str">
        <f>IFERROR(__xludf.DUMMYFUNCTION("""COMPUTED_VALUE"""),"Gumdel (Ramechhap)")</f>
        <v>Gumdel (Ramechhap)</v>
      </c>
      <c r="O120" s="3">
        <f>IFERROR(__xludf.DUMMYFUNCTION("""COMPUTED_VALUE"""),66099.0)</f>
        <v>66099</v>
      </c>
    </row>
    <row r="121">
      <c r="A121" s="2">
        <f>IFERROR(__xludf.DUMMYFUNCTION("""COMPUTED_VALUE"""),120.0)</f>
        <v>120</v>
      </c>
      <c r="B121" s="2" t="str">
        <f>IFERROR(__xludf.DUMMYFUNCTION("""COMPUTED_VALUE"""),"Likhu -2")</f>
        <v>Likhu -2</v>
      </c>
      <c r="C121" s="2">
        <f>IFERROR(__xludf.DUMMYFUNCTION("""COMPUTED_VALUE"""),55.0)</f>
        <v>55</v>
      </c>
      <c r="D121" s="2" t="str">
        <f>IFERROR(__xludf.DUMMYFUNCTION("""COMPUTED_VALUE"""),"Likhu Khola")</f>
        <v>Likhu Khola</v>
      </c>
      <c r="E121" s="2">
        <f>IFERROR(__xludf.DUMMYFUNCTION("""COMPUTED_VALUE"""),146.0)</f>
        <v>146</v>
      </c>
      <c r="F121" s="3">
        <f>IFERROR(__xludf.DUMMYFUNCTION("""COMPUTED_VALUE"""),62997.0)</f>
        <v>62997</v>
      </c>
      <c r="G121" s="3">
        <f>IFERROR(__xludf.DUMMYFUNCTION("""COMPUTED_VALUE"""),76144.0)</f>
        <v>76144</v>
      </c>
      <c r="H121" s="2" t="str">
        <f>IFERROR(__xludf.DUMMYFUNCTION("""COMPUTED_VALUE"""),"Global Hydropower Associate Ltd")</f>
        <v>Global Hydropower Associate Ltd</v>
      </c>
      <c r="I121" s="2" t="str">
        <f>IFERROR(__xludf.DUMMYFUNCTION("""COMPUTED_VALUE"""),"Kantipath, Kathmandu, Phone no 4225009")</f>
        <v>Kantipath, Kathmandu, Phone no 4225009</v>
      </c>
      <c r="J121" s="2" t="str">
        <f>IFERROR(__xludf.DUMMYFUNCTION("""COMPUTED_VALUE"""),"27o 34' 03""")</f>
        <v>27o 34' 03"</v>
      </c>
      <c r="K121" s="2" t="str">
        <f>IFERROR(__xludf.DUMMYFUNCTION("""COMPUTED_VALUE"""),"27o 36' 26""")</f>
        <v>27o 36' 26"</v>
      </c>
      <c r="L121" s="2" t="str">
        <f>IFERROR(__xludf.DUMMYFUNCTION("""COMPUTED_VALUE"""),"86o 22' 43""")</f>
        <v>86o 22' 43"</v>
      </c>
      <c r="M121" s="2" t="str">
        <f>IFERROR(__xludf.DUMMYFUNCTION("""COMPUTED_VALUE"""),"86o 26' 00""")</f>
        <v>86o 26' 00"</v>
      </c>
      <c r="N121" s="2" t="str">
        <f>IFERROR(__xludf.DUMMYFUNCTION("""COMPUTED_VALUE"""),"Gumdel (Ramechhap) Chaulakharka(Waula) (Solukhumbu)")</f>
        <v>Gumdel (Ramechhap) Chaulakharka(Waula) (Solukhumbu)</v>
      </c>
      <c r="O121" s="3">
        <f>IFERROR(__xludf.DUMMYFUNCTION("""COMPUTED_VALUE"""),65851.0)</f>
        <v>65851</v>
      </c>
    </row>
    <row r="122">
      <c r="A122" s="2">
        <f>IFERROR(__xludf.DUMMYFUNCTION("""COMPUTED_VALUE"""),121.0)</f>
        <v>121</v>
      </c>
      <c r="B122" s="2" t="str">
        <f>IFERROR(__xludf.DUMMYFUNCTION("""COMPUTED_VALUE"""),"Likhu Khola 'A'")</f>
        <v>Likhu Khola 'A'</v>
      </c>
      <c r="C122" s="2">
        <f>IFERROR(__xludf.DUMMYFUNCTION("""COMPUTED_VALUE"""),51.0)</f>
        <v>51</v>
      </c>
      <c r="D122" s="2" t="str">
        <f>IFERROR(__xludf.DUMMYFUNCTION("""COMPUTED_VALUE"""),"Likhu Khola")</f>
        <v>Likhu Khola</v>
      </c>
      <c r="E122" s="2">
        <f>IFERROR(__xludf.DUMMYFUNCTION("""COMPUTED_VALUE"""),148.0)</f>
        <v>148</v>
      </c>
      <c r="F122" s="3">
        <f>IFERROR(__xludf.DUMMYFUNCTION("""COMPUTED_VALUE"""),63021.0)</f>
        <v>63021</v>
      </c>
      <c r="G122" s="3">
        <f>IFERROR(__xludf.DUMMYFUNCTION("""COMPUTED_VALUE"""),75802.0)</f>
        <v>75802</v>
      </c>
      <c r="H122" s="2" t="str">
        <f>IFERROR(__xludf.DUMMYFUNCTION("""COMPUTED_VALUE"""),"Numbur Himalaya Hydropower Ltd")</f>
        <v>Numbur Himalaya Hydropower Ltd</v>
      </c>
      <c r="I122" s="2" t="str">
        <f>IFERROR(__xludf.DUMMYFUNCTION("""COMPUTED_VALUE"""),"P.O.Box 4286 Kathmandu, Phone 014478774")</f>
        <v>P.O.Box 4286 Kathmandu, Phone 014478774</v>
      </c>
      <c r="J122" s="2" t="str">
        <f>IFERROR(__xludf.DUMMYFUNCTION("""COMPUTED_VALUE"""),"27o 31' 19""")</f>
        <v>27o 31' 19"</v>
      </c>
      <c r="K122" s="2" t="str">
        <f>IFERROR(__xludf.DUMMYFUNCTION("""COMPUTED_VALUE"""),"27o 34' 02""")</f>
        <v>27o 34' 02"</v>
      </c>
      <c r="L122" s="2" t="str">
        <f>IFERROR(__xludf.DUMMYFUNCTION("""COMPUTED_VALUE"""),"86o 21' 30""")</f>
        <v>86o 21' 30"</v>
      </c>
      <c r="M122" s="2" t="str">
        <f>IFERROR(__xludf.DUMMYFUNCTION("""COMPUTED_VALUE"""),"86o 23' 05""")</f>
        <v>86o 23' 05"</v>
      </c>
      <c r="N122" s="2" t="str">
        <f>IFERROR(__xludf.DUMMYFUNCTION("""COMPUTED_VALUE"""),"Chaulakharka(Waula),Goli (Solukhumbu)")</f>
        <v>Chaulakharka(Waula),Goli (Solukhumbu)</v>
      </c>
      <c r="O122" s="3">
        <f>IFERROR(__xludf.DUMMYFUNCTION("""COMPUTED_VALUE"""),65313.0)</f>
        <v>65313</v>
      </c>
    </row>
    <row r="123">
      <c r="A123" s="2">
        <f>IFERROR(__xludf.DUMMYFUNCTION("""COMPUTED_VALUE"""),122.0)</f>
        <v>122</v>
      </c>
      <c r="B123" s="2" t="str">
        <f>IFERROR(__xludf.DUMMYFUNCTION("""COMPUTED_VALUE"""),"Upper Piluwa Khola-2 SHP")</f>
        <v>Upper Piluwa Khola-2 SHP</v>
      </c>
      <c r="C123" s="2">
        <f>IFERROR(__xludf.DUMMYFUNCTION("""COMPUTED_VALUE"""),4.72)</f>
        <v>4.72</v>
      </c>
      <c r="D123" s="2" t="str">
        <f>IFERROR(__xludf.DUMMYFUNCTION("""COMPUTED_VALUE"""),"Piluwa Khola")</f>
        <v>Piluwa Khola</v>
      </c>
      <c r="E123" s="2">
        <f>IFERROR(__xludf.DUMMYFUNCTION("""COMPUTED_VALUE"""),149.0)</f>
        <v>149</v>
      </c>
      <c r="F123" s="3">
        <f>IFERROR(__xludf.DUMMYFUNCTION("""COMPUTED_VALUE"""),63070.0)</f>
        <v>63070</v>
      </c>
      <c r="G123" s="3">
        <f>IFERROR(__xludf.DUMMYFUNCTION("""COMPUTED_VALUE"""),75851.0)</f>
        <v>75851</v>
      </c>
      <c r="H123" s="2" t="str">
        <f>IFERROR(__xludf.DUMMYFUNCTION("""COMPUTED_VALUE"""),"Menchhiyam Hydropower P Ltd. Itahari,Sunsari,9841521159")</f>
        <v>Menchhiyam Hydropower P Ltd. Itahari,Sunsari,9841521159</v>
      </c>
      <c r="I123" s="2" t="str">
        <f>IFERROR(__xludf.DUMMYFUNCTION("""COMPUTED_VALUE"""),"PO Box no 8975 EPC 1030 Kathmandu, Phone no 4008602, 9843142092")</f>
        <v>PO Box no 8975 EPC 1030 Kathmandu, Phone no 4008602, 9843142092</v>
      </c>
      <c r="J123" s="2" t="str">
        <f>IFERROR(__xludf.DUMMYFUNCTION("""COMPUTED_VALUE"""),"27o 17' 40""")</f>
        <v>27o 17' 40"</v>
      </c>
      <c r="K123" s="2" t="str">
        <f>IFERROR(__xludf.DUMMYFUNCTION("""COMPUTED_VALUE"""),"27o 18' 01""")</f>
        <v>27o 18' 01"</v>
      </c>
      <c r="L123" s="2" t="str">
        <f>IFERROR(__xludf.DUMMYFUNCTION("""COMPUTED_VALUE"""),"87o 23' 18""")</f>
        <v>87o 23' 18"</v>
      </c>
      <c r="M123" s="2" t="str">
        <f>IFERROR(__xludf.DUMMYFUNCTION("""COMPUTED_VALUE"""),"87o 24' 21""")</f>
        <v>87o 24' 21"</v>
      </c>
      <c r="N123" s="2" t="str">
        <f>IFERROR(__xludf.DUMMYFUNCTION("""COMPUTED_VALUE"""),"Mawadin,Siddhakali (Sankhuwasabha)")</f>
        <v>Mawadin,Siddhakali (Sankhuwasabha)</v>
      </c>
      <c r="O123" s="3">
        <f>IFERROR(__xludf.DUMMYFUNCTION("""COMPUTED_VALUE"""),65706.0)</f>
        <v>65706</v>
      </c>
    </row>
    <row r="124">
      <c r="A124" s="2">
        <f>IFERROR(__xludf.DUMMYFUNCTION("""COMPUTED_VALUE"""),123.0)</f>
        <v>123</v>
      </c>
      <c r="B124" s="2" t="str">
        <f>IFERROR(__xludf.DUMMYFUNCTION("""COMPUTED_VALUE"""),"Singati Khola hydropower project")</f>
        <v>Singati Khola hydropower project</v>
      </c>
      <c r="C124" s="2">
        <f>IFERROR(__xludf.DUMMYFUNCTION("""COMPUTED_VALUE"""),25.0)</f>
        <v>25</v>
      </c>
      <c r="D124" s="2" t="str">
        <f>IFERROR(__xludf.DUMMYFUNCTION("""COMPUTED_VALUE"""),"Singati")</f>
        <v>Singati</v>
      </c>
      <c r="E124" s="2">
        <f>IFERROR(__xludf.DUMMYFUNCTION("""COMPUTED_VALUE"""),150.0)</f>
        <v>150</v>
      </c>
      <c r="F124" s="3">
        <f>IFERROR(__xludf.DUMMYFUNCTION("""COMPUTED_VALUE"""),63097.0)</f>
        <v>63097</v>
      </c>
      <c r="G124" s="3">
        <f>IFERROR(__xludf.DUMMYFUNCTION("""COMPUTED_VALUE"""),75878.0)</f>
        <v>75878</v>
      </c>
      <c r="H124" s="2" t="str">
        <f>IFERROR(__xludf.DUMMYFUNCTION("""COMPUTED_VALUE"""),"Singati Hydro Energy Pvt. Ltd.")</f>
        <v>Singati Hydro Energy Pvt. Ltd.</v>
      </c>
      <c r="I124" s="2" t="str">
        <f>IFERROR(__xludf.DUMMYFUNCTION("""COMPUTED_VALUE"""),"Durbar Marg Kathmandu, Tel: 4228816, Fax : 977-1-4223570")</f>
        <v>Durbar Marg Kathmandu, Tel: 4228816, Fax : 977-1-4223570</v>
      </c>
      <c r="J124" s="2" t="str">
        <f>IFERROR(__xludf.DUMMYFUNCTION("""COMPUTED_VALUE"""),"27o 44' 00""")</f>
        <v>27o 44' 00"</v>
      </c>
      <c r="K124" s="2" t="str">
        <f>IFERROR(__xludf.DUMMYFUNCTION("""COMPUTED_VALUE"""),"27o 47' 17""")</f>
        <v>27o 47' 17"</v>
      </c>
      <c r="L124" s="2" t="str">
        <f>IFERROR(__xludf.DUMMYFUNCTION("""COMPUTED_VALUE"""),"86o 07' 05""")</f>
        <v>86o 07' 05"</v>
      </c>
      <c r="M124" s="2" t="str">
        <f>IFERROR(__xludf.DUMMYFUNCTION("""COMPUTED_VALUE"""),"86o 09' 55""")</f>
        <v>86o 09' 55"</v>
      </c>
      <c r="N124" s="2" t="str">
        <f>IFERROR(__xludf.DUMMYFUNCTION("""COMPUTED_VALUE"""),"Babare,Laduk,Lamidada (Dolakha)")</f>
        <v>Babare,Laduk,Lamidada (Dolakha)</v>
      </c>
      <c r="O124" s="3">
        <f>IFERROR(__xludf.DUMMYFUNCTION("""COMPUTED_VALUE"""),65122.0)</f>
        <v>65122</v>
      </c>
    </row>
    <row r="125">
      <c r="A125" s="2">
        <f>IFERROR(__xludf.DUMMYFUNCTION("""COMPUTED_VALUE"""),124.0)</f>
        <v>124</v>
      </c>
      <c r="B125" s="2" t="str">
        <f>IFERROR(__xludf.DUMMYFUNCTION("""COMPUTED_VALUE"""),"Kalanga")</f>
        <v>Kalanga</v>
      </c>
      <c r="C125" s="2">
        <f>IFERROR(__xludf.DUMMYFUNCTION("""COMPUTED_VALUE"""),15.33)</f>
        <v>15.33</v>
      </c>
      <c r="D125" s="2" t="str">
        <f>IFERROR(__xludf.DUMMYFUNCTION("""COMPUTED_VALUE"""),"Kalanga Gad")</f>
        <v>Kalanga Gad</v>
      </c>
      <c r="E125" s="2">
        <f>IFERROR(__xludf.DUMMYFUNCTION("""COMPUTED_VALUE"""),151.0)</f>
        <v>151</v>
      </c>
      <c r="F125" s="3">
        <f>IFERROR(__xludf.DUMMYFUNCTION("""COMPUTED_VALUE"""),63172.0)</f>
        <v>63172</v>
      </c>
      <c r="G125" s="3">
        <f>IFERROR(__xludf.DUMMYFUNCTION("""COMPUTED_VALUE"""),75953.0)</f>
        <v>75953</v>
      </c>
      <c r="H125" s="2" t="str">
        <f>IFERROR(__xludf.DUMMYFUNCTION("""COMPUTED_VALUE"""),"Kalanga Hydropower P Ltd")</f>
        <v>Kalanga Hydropower P Ltd</v>
      </c>
      <c r="I125" s="2" t="str">
        <f>IFERROR(__xludf.DUMMYFUNCTION("""COMPUTED_VALUE"""),"Sukedhara, Kathmandu, Po. Box. No. 21399, Phone No. 01-4116052, 01-4116053, 
Email: info.kghep@gmail.com")</f>
        <v>Sukedhara, Kathmandu, Po. Box. No. 21399, Phone No. 01-4116052, 01-4116053, 
Email: info.kghep@gmail.com</v>
      </c>
      <c r="J125" s="2" t="str">
        <f>IFERROR(__xludf.DUMMYFUNCTION("""COMPUTED_VALUE"""),"29o 30' 41""")</f>
        <v>29o 30' 41"</v>
      </c>
      <c r="K125" s="2" t="str">
        <f>IFERROR(__xludf.DUMMYFUNCTION("""COMPUTED_VALUE"""),"29o 34' 12""")</f>
        <v>29o 34' 12"</v>
      </c>
      <c r="L125" s="2" t="str">
        <f>IFERROR(__xludf.DUMMYFUNCTION("""COMPUTED_VALUE"""),"80o 50' 45""")</f>
        <v>80o 50' 45"</v>
      </c>
      <c r="M125" s="2" t="str">
        <f>IFERROR(__xludf.DUMMYFUNCTION("""COMPUTED_VALUE"""),"80o 54' 45""")</f>
        <v>80o 54' 45"</v>
      </c>
      <c r="N125" s="2" t="str">
        <f>IFERROR(__xludf.DUMMYFUNCTION("""COMPUTED_VALUE"""),",Sunkuda,Khiratadi,Banjh (Bajhang)")</f>
        <v>,Sunkuda,Khiratadi,Banjh (Bajhang)</v>
      </c>
      <c r="O125" s="3">
        <f>IFERROR(__xludf.DUMMYFUNCTION("""COMPUTED_VALUE"""),65680.0)</f>
        <v>65680</v>
      </c>
    </row>
    <row r="126">
      <c r="A126" s="2">
        <f>IFERROR(__xludf.DUMMYFUNCTION("""COMPUTED_VALUE"""),125.0)</f>
        <v>125</v>
      </c>
      <c r="B126" s="2" t="str">
        <f>IFERROR(__xludf.DUMMYFUNCTION("""COMPUTED_VALUE"""),"Upper Kalangad")</f>
        <v>Upper Kalangad</v>
      </c>
      <c r="C126" s="2">
        <f>IFERROR(__xludf.DUMMYFUNCTION("""COMPUTED_VALUE"""),38.46)</f>
        <v>38.46</v>
      </c>
      <c r="D126" s="2" t="str">
        <f>IFERROR(__xludf.DUMMYFUNCTION("""COMPUTED_VALUE"""),"Kalanga Gad")</f>
        <v>Kalanga Gad</v>
      </c>
      <c r="E126" s="2">
        <f>IFERROR(__xludf.DUMMYFUNCTION("""COMPUTED_VALUE"""),152.0)</f>
        <v>152</v>
      </c>
      <c r="F126" s="3">
        <f>IFERROR(__xludf.DUMMYFUNCTION("""COMPUTED_VALUE"""),63172.0)</f>
        <v>63172</v>
      </c>
      <c r="G126" s="3">
        <f>IFERROR(__xludf.DUMMYFUNCTION("""COMPUTED_VALUE"""),75953.0)</f>
        <v>75953</v>
      </c>
      <c r="H126" s="2" t="str">
        <f>IFERROR(__xludf.DUMMYFUNCTION("""COMPUTED_VALUE"""),"Sani Gad Hydro pvt. Ltd")</f>
        <v>Sani Gad Hydro pvt. Ltd</v>
      </c>
      <c r="I126" s="2" t="str">
        <f>IFERROR(__xludf.DUMMYFUNCTION("""COMPUTED_VALUE"""),"Sukedhara, Rara Marg, Kathmandu, Po. Box. No. 13607/21399, Phone no. 
01-4101652, 01-4101653, Email: info.ukhep@gmail.com")</f>
        <v>Sukedhara, Rara Marg, Kathmandu, Po. Box. No. 13607/21399, Phone no. 
01-4101652, 01-4101653, Email: info.ukhep@gmail.com</v>
      </c>
      <c r="J126" s="2" t="str">
        <f>IFERROR(__xludf.DUMMYFUNCTION("""COMPUTED_VALUE"""),"29o 34' 43""")</f>
        <v>29o 34' 43"</v>
      </c>
      <c r="K126" s="2" t="str">
        <f>IFERROR(__xludf.DUMMYFUNCTION("""COMPUTED_VALUE"""),"29o 38' 37""")</f>
        <v>29o 38' 37"</v>
      </c>
      <c r="L126" s="2" t="str">
        <f>IFERROR(__xludf.DUMMYFUNCTION("""COMPUTED_VALUE"""),"80o 52' 30""")</f>
        <v>80o 52' 30"</v>
      </c>
      <c r="M126" s="2" t="str">
        <f>IFERROR(__xludf.DUMMYFUNCTION("""COMPUTED_VALUE"""),"80o 57' 36""")</f>
        <v>80o 57' 36"</v>
      </c>
      <c r="N126" s="2" t="str">
        <f>IFERROR(__xludf.DUMMYFUNCTION("""COMPUTED_VALUE"""),"Dahabagar,Khiratadi (Bajhang)")</f>
        <v>Dahabagar,Khiratadi (Bajhang)</v>
      </c>
      <c r="O126" s="3">
        <f>IFERROR(__xludf.DUMMYFUNCTION("""COMPUTED_VALUE"""),65690.0)</f>
        <v>65690</v>
      </c>
    </row>
    <row r="127">
      <c r="A127" s="2">
        <f>IFERROR(__xludf.DUMMYFUNCTION("""COMPUTED_VALUE"""),126.0)</f>
        <v>126</v>
      </c>
      <c r="B127" s="2" t="str">
        <f>IFERROR(__xludf.DUMMYFUNCTION("""COMPUTED_VALUE"""),"Sanigad")</f>
        <v>Sanigad</v>
      </c>
      <c r="C127" s="2">
        <f>IFERROR(__xludf.DUMMYFUNCTION("""COMPUTED_VALUE"""),10.7)</f>
        <v>10.7</v>
      </c>
      <c r="D127" s="2" t="str">
        <f>IFERROR(__xludf.DUMMYFUNCTION("""COMPUTED_VALUE"""),"Sani Gad")</f>
        <v>Sani Gad</v>
      </c>
      <c r="E127" s="2">
        <f>IFERROR(__xludf.DUMMYFUNCTION("""COMPUTED_VALUE"""),153.0)</f>
        <v>153</v>
      </c>
      <c r="F127" s="3">
        <f>IFERROR(__xludf.DUMMYFUNCTION("""COMPUTED_VALUE"""),63172.0)</f>
        <v>63172</v>
      </c>
      <c r="G127" s="3">
        <f>IFERROR(__xludf.DUMMYFUNCTION("""COMPUTED_VALUE"""),75953.0)</f>
        <v>75953</v>
      </c>
      <c r="H127" s="2" t="str">
        <f>IFERROR(__xludf.DUMMYFUNCTION("""COMPUTED_VALUE"""),"Bungal Hydro Ltd")</f>
        <v>Bungal Hydro Ltd</v>
      </c>
      <c r="I127" s="2" t="str">
        <f>IFERROR(__xludf.DUMMYFUNCTION("""COMPUTED_VALUE"""),"Kalanga Complex, Dobhighat, Lalitpur-3, 5529927, 5524335, kbhep@gmail.com")</f>
        <v>Kalanga Complex, Dobhighat, Lalitpur-3, 5529927, 5524335, kbhep@gmail.com</v>
      </c>
      <c r="J127" s="2" t="str">
        <f>IFERROR(__xludf.DUMMYFUNCTION("""COMPUTED_VALUE"""),"29o 36' 15""")</f>
        <v>29o 36' 15"</v>
      </c>
      <c r="K127" s="2" t="str">
        <f>IFERROR(__xludf.DUMMYFUNCTION("""COMPUTED_VALUE"""),"29o 39' 40""")</f>
        <v>29o 39' 40"</v>
      </c>
      <c r="L127" s="2" t="str">
        <f>IFERROR(__xludf.DUMMYFUNCTION("""COMPUTED_VALUE"""),"80o 49' 25""")</f>
        <v>80o 49' 25"</v>
      </c>
      <c r="M127" s="2" t="str">
        <f>IFERROR(__xludf.DUMMYFUNCTION("""COMPUTED_VALUE"""),"80o 51' 50""")</f>
        <v>80o 51' 50"</v>
      </c>
      <c r="N127" s="2" t="str">
        <f>IFERROR(__xludf.DUMMYFUNCTION("""COMPUTED_VALUE"""),"Kaphalaseri,Pipalkot (Bajhang)")</f>
        <v>Kaphalaseri,Pipalkot (Bajhang)</v>
      </c>
      <c r="O127" s="3">
        <f>IFERROR(__xludf.DUMMYFUNCTION("""COMPUTED_VALUE"""),65868.0)</f>
        <v>65868</v>
      </c>
    </row>
    <row r="128">
      <c r="A128" s="2">
        <f>IFERROR(__xludf.DUMMYFUNCTION("""COMPUTED_VALUE"""),127.0)</f>
        <v>127</v>
      </c>
      <c r="B128" s="2" t="str">
        <f>IFERROR(__xludf.DUMMYFUNCTION("""COMPUTED_VALUE"""),"Lower Likhu")</f>
        <v>Lower Likhu</v>
      </c>
      <c r="C128" s="2">
        <f>IFERROR(__xludf.DUMMYFUNCTION("""COMPUTED_VALUE"""),28.1)</f>
        <v>28.1</v>
      </c>
      <c r="D128" s="2" t="str">
        <f>IFERROR(__xludf.DUMMYFUNCTION("""COMPUTED_VALUE"""),"Likhu Khola")</f>
        <v>Likhu Khola</v>
      </c>
      <c r="E128" s="2">
        <f>IFERROR(__xludf.DUMMYFUNCTION("""COMPUTED_VALUE"""),154.0)</f>
        <v>154</v>
      </c>
      <c r="F128" s="3">
        <f>IFERROR(__xludf.DUMMYFUNCTION("""COMPUTED_VALUE"""),63186.0)</f>
        <v>63186</v>
      </c>
      <c r="G128" s="3">
        <f>IFERROR(__xludf.DUMMYFUNCTION("""COMPUTED_VALUE"""),76333.0)</f>
        <v>76333</v>
      </c>
      <c r="H128" s="2" t="str">
        <f>IFERROR(__xludf.DUMMYFUNCTION("""COMPUTED_VALUE"""),"Swaita Ganga Hydropower and Construction Pvt. Ltd.")</f>
        <v>Swaita Ganga Hydropower and Construction Pvt. Ltd.</v>
      </c>
      <c r="I128" s="2" t="str">
        <f>IFERROR(__xludf.DUMMYFUNCTION("""COMPUTED_VALUE"""),"P.O.Box. 439, Naxal, Kathmandu, Phone 01-4415314, 4446442, Fax 01-44412777")</f>
        <v>P.O.Box. 439, Naxal, Kathmandu, Phone 01-4415314, 4446442, Fax 01-44412777</v>
      </c>
      <c r="J128" s="2" t="str">
        <f>IFERROR(__xludf.DUMMYFUNCTION("""COMPUTED_VALUE"""),"27o 23' 23""")</f>
        <v>27o 23' 23"</v>
      </c>
      <c r="K128" s="2" t="str">
        <f>IFERROR(__xludf.DUMMYFUNCTION("""COMPUTED_VALUE"""),"27o 25' 50""")</f>
        <v>27o 25' 50"</v>
      </c>
      <c r="L128" s="2" t="str">
        <f>IFERROR(__xludf.DUMMYFUNCTION("""COMPUTED_VALUE"""),"86o 13' 17""")</f>
        <v>86o 13' 17"</v>
      </c>
      <c r="M128" s="2" t="str">
        <f>IFERROR(__xludf.DUMMYFUNCTION("""COMPUTED_VALUE"""),"86o 15' 38""")</f>
        <v>86o 15' 38"</v>
      </c>
      <c r="N128" s="2" t="str">
        <f>IFERROR(__xludf.DUMMYFUNCTION("""COMPUTED_VALUE"""),"Tarkerabari,Yasam,Gamanamatar (Okhaldhunga) Bijulikot,Gothgau (Ramechhap)")</f>
        <v>Tarkerabari,Yasam,Gamanamatar (Okhaldhunga) Bijulikot,Gothgau (Ramechhap)</v>
      </c>
      <c r="O128" s="3">
        <f>IFERROR(__xludf.DUMMYFUNCTION("""COMPUTED_VALUE"""),65580.0)</f>
        <v>65580</v>
      </c>
    </row>
    <row r="129">
      <c r="A129" s="2">
        <f>IFERROR(__xludf.DUMMYFUNCTION("""COMPUTED_VALUE"""),128.0)</f>
        <v>128</v>
      </c>
      <c r="B129" s="2" t="str">
        <f>IFERROR(__xludf.DUMMYFUNCTION("""COMPUTED_VALUE"""),"Taksar Pikhuwa")</f>
        <v>Taksar Pikhuwa</v>
      </c>
      <c r="C129" s="2">
        <f>IFERROR(__xludf.DUMMYFUNCTION("""COMPUTED_VALUE"""),8.0)</f>
        <v>8</v>
      </c>
      <c r="D129" s="2" t="str">
        <f>IFERROR(__xludf.DUMMYFUNCTION("""COMPUTED_VALUE"""),"Pikhuwa")</f>
        <v>Pikhuwa</v>
      </c>
      <c r="E129" s="2">
        <f>IFERROR(__xludf.DUMMYFUNCTION("""COMPUTED_VALUE"""),159.0)</f>
        <v>159</v>
      </c>
      <c r="F129" s="3">
        <f>IFERROR(__xludf.DUMMYFUNCTION("""COMPUTED_VALUE"""),63251.0)</f>
        <v>63251</v>
      </c>
      <c r="G129" s="3">
        <f>IFERROR(__xludf.DUMMYFUNCTION("""COMPUTED_VALUE"""),76033.0)</f>
        <v>76033</v>
      </c>
      <c r="H129" s="2" t="str">
        <f>IFERROR(__xludf.DUMMYFUNCTION("""COMPUTED_VALUE"""),"Taksar Pikhuwa Khola Hydropower Ltd.")</f>
        <v>Taksar Pikhuwa Khola Hydropower Ltd.</v>
      </c>
      <c r="I129" s="2" t="str">
        <f>IFERROR(__xludf.DUMMYFUNCTION("""COMPUTED_VALUE"""),"Gairigaun, Tinkune, Kathmandu, Phone no 9851099478, 4495459, Email: 
taksarpikhuwahydropower@gmail.com")</f>
        <v>Gairigaun, Tinkune, Kathmandu, Phone no 9851099478, 4495459, Email: 
taksarpikhuwahydropower@gmail.com</v>
      </c>
      <c r="J129" s="2" t="str">
        <f>IFERROR(__xludf.DUMMYFUNCTION("""COMPUTED_VALUE"""),"27o 07' 00""")</f>
        <v>27o 07' 00"</v>
      </c>
      <c r="K129" s="2" t="str">
        <f>IFERROR(__xludf.DUMMYFUNCTION("""COMPUTED_VALUE"""),"27o 08' 50""")</f>
        <v>27o 08' 50"</v>
      </c>
      <c r="L129" s="2" t="str">
        <f>IFERROR(__xludf.DUMMYFUNCTION("""COMPUTED_VALUE"""),"87o 01' 40""")</f>
        <v>87o 01' 40"</v>
      </c>
      <c r="M129" s="2" t="str">
        <f>IFERROR(__xludf.DUMMYFUNCTION("""COMPUTED_VALUE"""),"87o 04' 15""")</f>
        <v>87o 04' 15"</v>
      </c>
      <c r="N129" s="2" t="str">
        <f>IFERROR(__xludf.DUMMYFUNCTION("""COMPUTED_VALUE"""),"Kota,Mane Bhanjyang,Taksar,Dalgaun (Bhojpur)")</f>
        <v>Kota,Mane Bhanjyang,Taksar,Dalgaun (Bhojpur)</v>
      </c>
      <c r="O129" s="3">
        <f>IFERROR(__xludf.DUMMYFUNCTION("""COMPUTED_VALUE"""),65016.0)</f>
        <v>65016</v>
      </c>
    </row>
    <row r="130">
      <c r="A130" s="2">
        <f>IFERROR(__xludf.DUMMYFUNCTION("""COMPUTED_VALUE"""),129.0)</f>
        <v>129</v>
      </c>
      <c r="B130" s="2" t="str">
        <f>IFERROR(__xludf.DUMMYFUNCTION("""COMPUTED_VALUE"""),"Sanjen Khola")</f>
        <v>Sanjen Khola</v>
      </c>
      <c r="C130" s="2">
        <f>IFERROR(__xludf.DUMMYFUNCTION("""COMPUTED_VALUE"""),78.0)</f>
        <v>78</v>
      </c>
      <c r="D130" s="2" t="str">
        <f>IFERROR(__xludf.DUMMYFUNCTION("""COMPUTED_VALUE"""),"Sanjen")</f>
        <v>Sanjen</v>
      </c>
      <c r="E130" s="2">
        <f>IFERROR(__xludf.DUMMYFUNCTION("""COMPUTED_VALUE"""),160.0)</f>
        <v>160</v>
      </c>
      <c r="F130" s="3">
        <f>IFERROR(__xludf.DUMMYFUNCTION("""COMPUTED_VALUE"""),63257.0)</f>
        <v>63257</v>
      </c>
      <c r="G130" s="3">
        <f>IFERROR(__xludf.DUMMYFUNCTION("""COMPUTED_VALUE"""),76404.0)</f>
        <v>76404</v>
      </c>
      <c r="H130" s="2" t="str">
        <f>IFERROR(__xludf.DUMMYFUNCTION("""COMPUTED_VALUE"""),"Sala Sungi P Ltd")</f>
        <v>Sala Sungi P Ltd</v>
      </c>
      <c r="I130" s="2" t="str">
        <f>IFERROR(__xludf.DUMMYFUNCTION("""COMPUTED_VALUE"""),"Kathmandu-4, Chhapalkarkhana,, 01-4015674, info.salasungi@gmail.com")</f>
        <v>Kathmandu-4, Chhapalkarkhana,, 01-4015674, info.salasungi@gmail.com</v>
      </c>
      <c r="J130" s="2" t="str">
        <f>IFERROR(__xludf.DUMMYFUNCTION("""COMPUTED_VALUE"""),"28o 14' 26""")</f>
        <v>28o 14' 26"</v>
      </c>
      <c r="K130" s="2" t="str">
        <f>IFERROR(__xludf.DUMMYFUNCTION("""COMPUTED_VALUE"""),"28o 17' 11""")</f>
        <v>28o 17' 11"</v>
      </c>
      <c r="L130" s="2" t="str">
        <f>IFERROR(__xludf.DUMMYFUNCTION("""COMPUTED_VALUE"""),"85o 15' 00""")</f>
        <v>85o 15' 00"</v>
      </c>
      <c r="M130" s="2" t="str">
        <f>IFERROR(__xludf.DUMMYFUNCTION("""COMPUTED_VALUE"""),"85o 18' 21""")</f>
        <v>85o 18' 21"</v>
      </c>
      <c r="N130" s="2" t="str">
        <f>IFERROR(__xludf.DUMMYFUNCTION("""COMPUTED_VALUE"""),"Chilime (Rasuwa)")</f>
        <v>Chilime (Rasuwa)</v>
      </c>
      <c r="O130" s="3">
        <f>IFERROR(__xludf.DUMMYFUNCTION("""COMPUTED_VALUE"""),66413.0)</f>
        <v>66413</v>
      </c>
    </row>
    <row r="131">
      <c r="A131" s="2">
        <f>IFERROR(__xludf.DUMMYFUNCTION("""COMPUTED_VALUE"""),130.0)</f>
        <v>130</v>
      </c>
      <c r="B131" s="2" t="str">
        <f>IFERROR(__xludf.DUMMYFUNCTION("""COMPUTED_VALUE"""),"Upper Balephi A")</f>
        <v>Upper Balephi A</v>
      </c>
      <c r="C131" s="2">
        <f>IFERROR(__xludf.DUMMYFUNCTION("""COMPUTED_VALUE"""),36.0)</f>
        <v>36</v>
      </c>
      <c r="D131" s="2" t="str">
        <f>IFERROR(__xludf.DUMMYFUNCTION("""COMPUTED_VALUE"""),"Balephi")</f>
        <v>Balephi</v>
      </c>
      <c r="E131" s="2">
        <f>IFERROR(__xludf.DUMMYFUNCTION("""COMPUTED_VALUE"""),163.0)</f>
        <v>163</v>
      </c>
      <c r="F131" s="3">
        <f>IFERROR(__xludf.DUMMYFUNCTION("""COMPUTED_VALUE"""),63291.0)</f>
        <v>63291</v>
      </c>
      <c r="G131" s="3">
        <f>IFERROR(__xludf.DUMMYFUNCTION("""COMPUTED_VALUE"""),76073.0)</f>
        <v>76073</v>
      </c>
      <c r="H131" s="2" t="str">
        <f>IFERROR(__xludf.DUMMYFUNCTION("""COMPUTED_VALUE"""),"Balephi Hydropower Ltd.")</f>
        <v>Balephi Hydropower Ltd.</v>
      </c>
      <c r="I131" s="2" t="str">
        <f>IFERROR(__xludf.DUMMYFUNCTION("""COMPUTED_VALUE"""),"Koteshwor 35 Kathamndu; P.O.Box 23189 Kathmandu, Phone 9771 4602073")</f>
        <v>Koteshwor 35 Kathamndu; P.O.Box 23189 Kathmandu, Phone 9771 4602073</v>
      </c>
      <c r="J131" s="2" t="str">
        <f>IFERROR(__xludf.DUMMYFUNCTION("""COMPUTED_VALUE"""),"27o 53' 45""")</f>
        <v>27o 53' 45"</v>
      </c>
      <c r="K131" s="2" t="str">
        <f>IFERROR(__xludf.DUMMYFUNCTION("""COMPUTED_VALUE"""),"27o 57' 00""")</f>
        <v>27o 57' 00"</v>
      </c>
      <c r="L131" s="2" t="str">
        <f>IFERROR(__xludf.DUMMYFUNCTION("""COMPUTED_VALUE"""),"85o 45' 30""")</f>
        <v>85o 45' 30"</v>
      </c>
      <c r="M131" s="2" t="str">
        <f>IFERROR(__xludf.DUMMYFUNCTION("""COMPUTED_VALUE"""),"85o 47' 40""")</f>
        <v>85o 47' 40"</v>
      </c>
      <c r="N131" s="2" t="str">
        <f>IFERROR(__xludf.DUMMYFUNCTION("""COMPUTED_VALUE"""),"Golche,Pangtang,Dhumthang (Sindhupalchok)")</f>
        <v>Golche,Pangtang,Dhumthang (Sindhupalchok)</v>
      </c>
      <c r="O131" s="3">
        <f>IFERROR(__xludf.DUMMYFUNCTION("""COMPUTED_VALUE"""),65598.0)</f>
        <v>65598</v>
      </c>
    </row>
    <row r="132">
      <c r="A132" s="2">
        <f>IFERROR(__xludf.DUMMYFUNCTION("""COMPUTED_VALUE"""),131.0)</f>
        <v>131</v>
      </c>
      <c r="B132" s="2" t="str">
        <f>IFERROR(__xludf.DUMMYFUNCTION("""COMPUTED_VALUE"""),"Bijaypur Khola-2 HPP")</f>
        <v>Bijaypur Khola-2 HPP</v>
      </c>
      <c r="C132" s="2">
        <f>IFERROR(__xludf.DUMMYFUNCTION("""COMPUTED_VALUE"""),4.5)</f>
        <v>4.5</v>
      </c>
      <c r="D132" s="2" t="str">
        <f>IFERROR(__xludf.DUMMYFUNCTION("""COMPUTED_VALUE"""),"Bijayapur")</f>
        <v>Bijayapur</v>
      </c>
      <c r="E132" s="2">
        <f>IFERROR(__xludf.DUMMYFUNCTION("""COMPUTED_VALUE"""),166.0)</f>
        <v>166</v>
      </c>
      <c r="F132" s="3">
        <f>IFERROR(__xludf.DUMMYFUNCTION("""COMPUTED_VALUE"""),63304.0)</f>
        <v>63304</v>
      </c>
      <c r="G132" s="3">
        <f>IFERROR(__xludf.DUMMYFUNCTION("""COMPUTED_VALUE"""),76086.0)</f>
        <v>76086</v>
      </c>
      <c r="H132" s="2" t="str">
        <f>IFERROR(__xludf.DUMMYFUNCTION("""COMPUTED_VALUE"""),"Civil hydropower company")</f>
        <v>Civil hydropower company</v>
      </c>
      <c r="I132" s="2" t="str">
        <f>IFERROR(__xludf.DUMMYFUNCTION("""COMPUTED_VALUE"""),"Lekhanath Nagarpalika, Phone no 0610465562, email : 
civilhydropower@gmail.com")</f>
        <v>Lekhanath Nagarpalika, Phone no 0610465562, email : 
civilhydropower@gmail.com</v>
      </c>
      <c r="J132" s="2" t="str">
        <f>IFERROR(__xludf.DUMMYFUNCTION("""COMPUTED_VALUE"""),"28o 09' 10""")</f>
        <v>28o 09' 10"</v>
      </c>
      <c r="K132" s="2" t="str">
        <f>IFERROR(__xludf.DUMMYFUNCTION("""COMPUTED_VALUE"""),"28o 10' 37""")</f>
        <v>28o 10' 37"</v>
      </c>
      <c r="L132" s="2" t="str">
        <f>IFERROR(__xludf.DUMMYFUNCTION("""COMPUTED_VALUE"""),"84o 02' 00""")</f>
        <v>84o 02' 00"</v>
      </c>
      <c r="M132" s="2" t="str">
        <f>IFERROR(__xludf.DUMMYFUNCTION("""COMPUTED_VALUE"""),"84o 02' 36""")</f>
        <v>84o 02' 36"</v>
      </c>
      <c r="N132" s="2" t="str">
        <f>IFERROR(__xludf.DUMMYFUNCTION("""COMPUTED_VALUE"""),"Lekhnath (Kaski)")</f>
        <v>Lekhnath (Kaski)</v>
      </c>
      <c r="O132" s="3">
        <f>IFERROR(__xludf.DUMMYFUNCTION("""COMPUTED_VALUE"""),64972.0)</f>
        <v>64972</v>
      </c>
    </row>
    <row r="133">
      <c r="A133" s="2">
        <f>IFERROR(__xludf.DUMMYFUNCTION("""COMPUTED_VALUE"""),132.0)</f>
        <v>132</v>
      </c>
      <c r="B133" s="2" t="str">
        <f>IFERROR(__xludf.DUMMYFUNCTION("""COMPUTED_VALUE"""),"Upper Khorunga HPP")</f>
        <v>Upper Khorunga HPP</v>
      </c>
      <c r="C133" s="2">
        <f>IFERROR(__xludf.DUMMYFUNCTION("""COMPUTED_VALUE"""),7.5)</f>
        <v>7.5</v>
      </c>
      <c r="D133" s="2" t="str">
        <f>IFERROR(__xludf.DUMMYFUNCTION("""COMPUTED_VALUE"""),"Khoranga Khola")</f>
        <v>Khoranga Khola</v>
      </c>
      <c r="E133" s="2">
        <f>IFERROR(__xludf.DUMMYFUNCTION("""COMPUTED_VALUE"""),168.0)</f>
        <v>168</v>
      </c>
      <c r="F133" s="3">
        <f>IFERROR(__xludf.DUMMYFUNCTION("""COMPUTED_VALUE"""),63317.0)</f>
        <v>63317</v>
      </c>
      <c r="G133" s="3">
        <f>IFERROR(__xludf.DUMMYFUNCTION("""COMPUTED_VALUE"""),75551.0)</f>
        <v>75551</v>
      </c>
      <c r="H133" s="2" t="str">
        <f>IFERROR(__xludf.DUMMYFUNCTION("""COMPUTED_VALUE"""),"Terhathum Power Company Pvt. Ltd.")</f>
        <v>Terhathum Power Company Pvt. Ltd.</v>
      </c>
      <c r="I133" s="2" t="str">
        <f>IFERROR(__xludf.DUMMYFUNCTION("""COMPUTED_VALUE"""),"Bagbajar, Kathmandu, Po. Box. No. 14130, Phone no 4240661")</f>
        <v>Bagbajar, Kathmandu, Po. Box. No. 14130, Phone no 4240661</v>
      </c>
      <c r="J133" s="2" t="str">
        <f>IFERROR(__xludf.DUMMYFUNCTION("""COMPUTED_VALUE"""),"27o 11' 48""")</f>
        <v>27o 11' 48"</v>
      </c>
      <c r="K133" s="2" t="str">
        <f>IFERROR(__xludf.DUMMYFUNCTION("""COMPUTED_VALUE"""),"27o 13' 59""")</f>
        <v>27o 13' 59"</v>
      </c>
      <c r="L133" s="2" t="str">
        <f>IFERROR(__xludf.DUMMYFUNCTION("""COMPUTED_VALUE"""),"87o 31' 20""")</f>
        <v>87o 31' 20"</v>
      </c>
      <c r="M133" s="2" t="str">
        <f>IFERROR(__xludf.DUMMYFUNCTION("""COMPUTED_VALUE"""),"87o 32' 30""")</f>
        <v>87o 32' 30"</v>
      </c>
      <c r="N133" s="2" t="str">
        <f>IFERROR(__xludf.DUMMYFUNCTION("""COMPUTED_VALUE"""),"Morahang,Shree Jung,Oyabjung,Pouthak (Terhathum)")</f>
        <v>Morahang,Shree Jung,Oyabjung,Pouthak (Terhathum)</v>
      </c>
      <c r="O133" s="3">
        <f>IFERROR(__xludf.DUMMYFUNCTION("""COMPUTED_VALUE"""),64606.0)</f>
        <v>64606</v>
      </c>
    </row>
    <row r="134">
      <c r="A134" s="2">
        <f>IFERROR(__xludf.DUMMYFUNCTION("""COMPUTED_VALUE"""),133.0)</f>
        <v>133</v>
      </c>
      <c r="B134" s="2" t="str">
        <f>IFERROR(__xludf.DUMMYFUNCTION("""COMPUTED_VALUE"""),"Upper Solu Khola HPP")</f>
        <v>Upper Solu Khola HPP</v>
      </c>
      <c r="C134" s="2">
        <f>IFERROR(__xludf.DUMMYFUNCTION("""COMPUTED_VALUE"""),19.8)</f>
        <v>19.8</v>
      </c>
      <c r="D134" s="2" t="str">
        <f>IFERROR(__xludf.DUMMYFUNCTION("""COMPUTED_VALUE"""),"Solu Khola")</f>
        <v>Solu Khola</v>
      </c>
      <c r="E134" s="2">
        <f>IFERROR(__xludf.DUMMYFUNCTION("""COMPUTED_VALUE"""),169.0)</f>
        <v>169</v>
      </c>
      <c r="F134" s="3">
        <f>IFERROR(__xludf.DUMMYFUNCTION("""COMPUTED_VALUE"""),63325.0)</f>
        <v>63325</v>
      </c>
      <c r="G134" s="3">
        <f>IFERROR(__xludf.DUMMYFUNCTION("""COMPUTED_VALUE"""),75561.0)</f>
        <v>75561</v>
      </c>
      <c r="H134" s="2" t="str">
        <f>IFERROR(__xludf.DUMMYFUNCTION("""COMPUTED_VALUE"""),"Beni Hydropower Project")</f>
        <v>Beni Hydropower Project</v>
      </c>
      <c r="I134" s="2"/>
      <c r="J134" s="2" t="str">
        <f>IFERROR(__xludf.DUMMYFUNCTION("""COMPUTED_VALUE"""),"27o 31' 15""")</f>
        <v>27o 31' 15"</v>
      </c>
      <c r="K134" s="2" t="str">
        <f>IFERROR(__xludf.DUMMYFUNCTION("""COMPUTED_VALUE"""),"27o 32' 57""")</f>
        <v>27o 32' 57"</v>
      </c>
      <c r="L134" s="2" t="str">
        <f>IFERROR(__xludf.DUMMYFUNCTION("""COMPUTED_VALUE"""),"86o 34' 27""")</f>
        <v>86o 34' 27"</v>
      </c>
      <c r="M134" s="2" t="str">
        <f>IFERROR(__xludf.DUMMYFUNCTION("""COMPUTED_VALUE"""),"86o 35' 19""")</f>
        <v>86o 35' 19"</v>
      </c>
      <c r="N134" s="2" t="str">
        <f>IFERROR(__xludf.DUMMYFUNCTION("""COMPUTED_VALUE"""),"Beni,Salleri (Solukhumbu)")</f>
        <v>Beni,Salleri (Solukhumbu)</v>
      </c>
      <c r="O134" s="3">
        <f>IFERROR(__xludf.DUMMYFUNCTION("""COMPUTED_VALUE"""),65806.0)</f>
        <v>65806</v>
      </c>
    </row>
    <row r="135">
      <c r="A135" s="2">
        <f>IFERROR(__xludf.DUMMYFUNCTION("""COMPUTED_VALUE"""),134.0)</f>
        <v>134</v>
      </c>
      <c r="B135" s="2" t="str">
        <f>IFERROR(__xludf.DUMMYFUNCTION("""COMPUTED_VALUE"""),"Makari gad")</f>
        <v>Makari gad</v>
      </c>
      <c r="C135" s="2">
        <f>IFERROR(__xludf.DUMMYFUNCTION("""COMPUTED_VALUE"""),10.0)</f>
        <v>10</v>
      </c>
      <c r="D135" s="2" t="str">
        <f>IFERROR(__xludf.DUMMYFUNCTION("""COMPUTED_VALUE"""),"Makari gad")</f>
        <v>Makari gad</v>
      </c>
      <c r="E135" s="2">
        <f>IFERROR(__xludf.DUMMYFUNCTION("""COMPUTED_VALUE"""),170.0)</f>
        <v>170</v>
      </c>
      <c r="F135" s="3">
        <f>IFERROR(__xludf.DUMMYFUNCTION("""COMPUTED_VALUE"""),63336.0)</f>
        <v>63336</v>
      </c>
      <c r="G135" s="3">
        <f>IFERROR(__xludf.DUMMYFUNCTION("""COMPUTED_VALUE"""),76483.0)</f>
        <v>76483</v>
      </c>
      <c r="H135" s="2" t="str">
        <f>IFERROR(__xludf.DUMMYFUNCTION("""COMPUTED_VALUE"""),"Makarigad Hydropower Ltd")</f>
        <v>Makarigad Hydropower Ltd</v>
      </c>
      <c r="I135" s="2" t="str">
        <f>IFERROR(__xludf.DUMMYFUNCTION("""COMPUTED_VALUE"""),"Jagrittole Narayangopal Chowk, House No 50, Gorkhali Housei, Kathmandu; 
Phone no 44420530, Mob. 9841412569 (Karan Chand)")</f>
        <v>Jagrittole Narayangopal Chowk, House No 50, Gorkhali Housei, Kathmandu; 
Phone no 44420530, Mob. 9841412569 (Karan Chand)</v>
      </c>
      <c r="J135" s="2" t="str">
        <f>IFERROR(__xludf.DUMMYFUNCTION("""COMPUTED_VALUE"""),"29o 46' 54""")</f>
        <v>29o 46' 54"</v>
      </c>
      <c r="K135" s="2" t="str">
        <f>IFERROR(__xludf.DUMMYFUNCTION("""COMPUTED_VALUE"""),"29o 48' 03""")</f>
        <v>29o 48' 03"</v>
      </c>
      <c r="L135" s="2" t="str">
        <f>IFERROR(__xludf.DUMMYFUNCTION("""COMPUTED_VALUE"""),"80o 50' 33""")</f>
        <v>80o 50' 33"</v>
      </c>
      <c r="M135" s="2" t="str">
        <f>IFERROR(__xludf.DUMMYFUNCTION("""COMPUTED_VALUE"""),"80o 52' 30""")</f>
        <v>80o 52' 30"</v>
      </c>
      <c r="N135" s="2" t="str">
        <f>IFERROR(__xludf.DUMMYFUNCTION("""COMPUTED_VALUE"""),",Guljar,Khandeswori (Darchula)")</f>
        <v>,Guljar,Khandeswori (Darchula)</v>
      </c>
      <c r="O135" s="3">
        <f>IFERROR(__xludf.DUMMYFUNCTION("""COMPUTED_VALUE"""),65711.0)</f>
        <v>65711</v>
      </c>
    </row>
    <row r="136">
      <c r="A136" s="2">
        <f>IFERROR(__xludf.DUMMYFUNCTION("""COMPUTED_VALUE"""),135.0)</f>
        <v>135</v>
      </c>
      <c r="B136" s="2" t="str">
        <f>IFERROR(__xludf.DUMMYFUNCTION("""COMPUTED_VALUE"""),"Yambaling Khola")</f>
        <v>Yambaling Khola</v>
      </c>
      <c r="C136" s="2">
        <f>IFERROR(__xludf.DUMMYFUNCTION("""COMPUTED_VALUE"""),7.271)</f>
        <v>7.271</v>
      </c>
      <c r="D136" s="2" t="str">
        <f>IFERROR(__xludf.DUMMYFUNCTION("""COMPUTED_VALUE"""),"Yambling")</f>
        <v>Yambling</v>
      </c>
      <c r="E136" s="2">
        <f>IFERROR(__xludf.DUMMYFUNCTION("""COMPUTED_VALUE"""),172.0)</f>
        <v>172</v>
      </c>
      <c r="F136" s="3">
        <f>IFERROR(__xludf.DUMMYFUNCTION("""COMPUTED_VALUE"""),63349.0)</f>
        <v>63349</v>
      </c>
      <c r="G136" s="3">
        <f>IFERROR(__xludf.DUMMYFUNCTION("""COMPUTED_VALUE"""),76496.0)</f>
        <v>76496</v>
      </c>
      <c r="H136" s="2" t="str">
        <f>IFERROR(__xludf.DUMMYFUNCTION("""COMPUTED_VALUE"""),"Yambaling Hydropower Ltd.")</f>
        <v>Yambaling Hydropower Ltd.</v>
      </c>
      <c r="I136" s="2" t="str">
        <f>IFERROR(__xludf.DUMMYFUNCTION("""COMPUTED_VALUE"""),"Lalitpur-10, Bagmati Tel: 98511140280,014215238, email: ymlhydro@gmail.com")</f>
        <v>Lalitpur-10, Bagmati Tel: 98511140280,014215238, email: ymlhydro@gmail.com</v>
      </c>
      <c r="J136" s="2" t="str">
        <f>IFERROR(__xludf.DUMMYFUNCTION("""COMPUTED_VALUE"""),"27o 56' 13""")</f>
        <v>27o 56' 13"</v>
      </c>
      <c r="K136" s="2" t="str">
        <f>IFERROR(__xludf.DUMMYFUNCTION("""COMPUTED_VALUE"""),"27o 57' 23""")</f>
        <v>27o 57' 23"</v>
      </c>
      <c r="L136" s="2" t="str">
        <f>IFERROR(__xludf.DUMMYFUNCTION("""COMPUTED_VALUE"""),"85o 47' 25""")</f>
        <v>85o 47' 25"</v>
      </c>
      <c r="M136" s="2" t="str">
        <f>IFERROR(__xludf.DUMMYFUNCTION("""COMPUTED_VALUE"""),"85o 50' 00""")</f>
        <v>85o 50' 00"</v>
      </c>
      <c r="N136" s="2" t="str">
        <f>IFERROR(__xludf.DUMMYFUNCTION("""COMPUTED_VALUE"""),"Gumba,Golche (Sindhupalchok)")</f>
        <v>Gumba,Golche (Sindhupalchok)</v>
      </c>
      <c r="O136" s="3">
        <f>IFERROR(__xludf.DUMMYFUNCTION("""COMPUTED_VALUE"""),66058.0)</f>
        <v>66058</v>
      </c>
    </row>
    <row r="137">
      <c r="A137" s="2">
        <f>IFERROR(__xludf.DUMMYFUNCTION("""COMPUTED_VALUE"""),136.0)</f>
        <v>136</v>
      </c>
      <c r="B137" s="2" t="str">
        <f>IFERROR(__xludf.DUMMYFUNCTION("""COMPUTED_VALUE"""),"Rahughat Mangale")</f>
        <v>Rahughat Mangale</v>
      </c>
      <c r="C137" s="2">
        <f>IFERROR(__xludf.DUMMYFUNCTION("""COMPUTED_VALUE"""),37.0)</f>
        <v>37</v>
      </c>
      <c r="D137" s="2" t="str">
        <f>IFERROR(__xludf.DUMMYFUNCTION("""COMPUTED_VALUE"""),"Rahughat")</f>
        <v>Rahughat</v>
      </c>
      <c r="E137" s="2">
        <f>IFERROR(__xludf.DUMMYFUNCTION("""COMPUTED_VALUE"""),175.0)</f>
        <v>175</v>
      </c>
      <c r="F137" s="3">
        <f>IFERROR(__xludf.DUMMYFUNCTION("""COMPUTED_VALUE"""),63399.0)</f>
        <v>63399</v>
      </c>
      <c r="G137" s="3">
        <f>IFERROR(__xludf.DUMMYFUNCTION("""COMPUTED_VALUE"""),76546.0)</f>
        <v>76546</v>
      </c>
      <c r="H137" s="2" t="str">
        <f>IFERROR(__xludf.DUMMYFUNCTION("""COMPUTED_VALUE"""),"Tundi Power Company P.Ltd.")</f>
        <v>Tundi Power Company P.Ltd.</v>
      </c>
      <c r="I137" s="2" t="str">
        <f>IFERROR(__xludf.DUMMYFUNCTION("""COMPUTED_VALUE"""),"Sanepa Lalitpur, P.O.Box. 6341, Phone 01-5555573, Fax 01-5555574, 9851041573")</f>
        <v>Sanepa Lalitpur, P.O.Box. 6341, Phone 01-5555573, Fax 01-5555574, 9851041573</v>
      </c>
      <c r="J137" s="2" t="str">
        <f>IFERROR(__xludf.DUMMYFUNCTION("""COMPUTED_VALUE"""),"28o 28' 30""")</f>
        <v>28o 28' 30"</v>
      </c>
      <c r="K137" s="2" t="str">
        <f>IFERROR(__xludf.DUMMYFUNCTION("""COMPUTED_VALUE"""),"28o 31' 50""")</f>
        <v>28o 31' 50"</v>
      </c>
      <c r="L137" s="2" t="str">
        <f>IFERROR(__xludf.DUMMYFUNCTION("""COMPUTED_VALUE"""),"83o 30' 00""")</f>
        <v>83o 30' 00"</v>
      </c>
      <c r="M137" s="2" t="str">
        <f>IFERROR(__xludf.DUMMYFUNCTION("""COMPUTED_VALUE"""),"83o 31' 32""")</f>
        <v>83o 31' 32"</v>
      </c>
      <c r="N137" s="2" t="str">
        <f>IFERROR(__xludf.DUMMYFUNCTION("""COMPUTED_VALUE"""),"Pakhapani,Chimkhola,Kuinemangale (Myagdi)")</f>
        <v>Pakhapani,Chimkhola,Kuinemangale (Myagdi)</v>
      </c>
      <c r="O137" s="3">
        <f>IFERROR(__xludf.DUMMYFUNCTION("""COMPUTED_VALUE"""),66586.0)</f>
        <v>66586</v>
      </c>
    </row>
    <row r="138">
      <c r="A138" s="2">
        <f>IFERROR(__xludf.DUMMYFUNCTION("""COMPUTED_VALUE"""),137.0)</f>
        <v>137</v>
      </c>
      <c r="B138" s="2" t="str">
        <f>IFERROR(__xludf.DUMMYFUNCTION("""COMPUTED_VALUE"""),"Upper Naugad Gad Hydropower Project")</f>
        <v>Upper Naugad Gad Hydropower Project</v>
      </c>
      <c r="C138" s="2">
        <f>IFERROR(__xludf.DUMMYFUNCTION("""COMPUTED_VALUE"""),8.0)</f>
        <v>8</v>
      </c>
      <c r="D138" s="2" t="str">
        <f>IFERROR(__xludf.DUMMYFUNCTION("""COMPUTED_VALUE"""),"Naugad")</f>
        <v>Naugad</v>
      </c>
      <c r="E138" s="2">
        <f>IFERROR(__xludf.DUMMYFUNCTION("""COMPUTED_VALUE"""),177.0)</f>
        <v>177</v>
      </c>
      <c r="F138" s="3">
        <f>IFERROR(__xludf.DUMMYFUNCTION("""COMPUTED_VALUE"""),63446.0)</f>
        <v>63446</v>
      </c>
      <c r="G138" s="3">
        <f>IFERROR(__xludf.DUMMYFUNCTION("""COMPUTED_VALUE"""),76229.0)</f>
        <v>76229</v>
      </c>
      <c r="H138" s="2" t="str">
        <f>IFERROR(__xludf.DUMMYFUNCTION("""COMPUTED_VALUE"""),"Api Power Company Ltd.")</f>
        <v>Api Power Company Ltd.</v>
      </c>
      <c r="I138" s="2" t="str">
        <f>IFERROR(__xludf.DUMMYFUNCTION("""COMPUTED_VALUE"""),"Trade Tower, Thapathali, Kathmandu. Phone: 015511033, 015111037, Fax: 
015111035")</f>
        <v>Trade Tower, Thapathali, Kathmandu. Phone: 015511033, 015111037, Fax: 
015111035</v>
      </c>
      <c r="J138" s="2" t="str">
        <f>IFERROR(__xludf.DUMMYFUNCTION("""COMPUTED_VALUE"""),"29o 43' 25""")</f>
        <v>29o 43' 25"</v>
      </c>
      <c r="K138" s="2" t="str">
        <f>IFERROR(__xludf.DUMMYFUNCTION("""COMPUTED_VALUE"""),"29o 44' 18""")</f>
        <v>29o 44' 18"</v>
      </c>
      <c r="L138" s="2" t="str">
        <f>IFERROR(__xludf.DUMMYFUNCTION("""COMPUTED_VALUE"""),"80o 36' 26""")</f>
        <v>80o 36' 26"</v>
      </c>
      <c r="M138" s="2" t="str">
        <f>IFERROR(__xludf.DUMMYFUNCTION("""COMPUTED_VALUE"""),"80o 39' 48""")</f>
        <v>80o 39' 48"</v>
      </c>
      <c r="N138" s="2" t="str">
        <f>IFERROR(__xludf.DUMMYFUNCTION("""COMPUTED_VALUE"""),"Dhuligada,Sikhar (Darchula)")</f>
        <v>Dhuligada,Sikhar (Darchula)</v>
      </c>
      <c r="O138" s="3">
        <f>IFERROR(__xludf.DUMMYFUNCTION("""COMPUTED_VALUE"""),64479.0)</f>
        <v>64479</v>
      </c>
    </row>
    <row r="139">
      <c r="A139" s="2">
        <f>IFERROR(__xludf.DUMMYFUNCTION("""COMPUTED_VALUE"""),138.0)</f>
        <v>138</v>
      </c>
      <c r="B139" s="2" t="str">
        <f>IFERROR(__xludf.DUMMYFUNCTION("""COMPUTED_VALUE"""),"Upper Mardi Hydropower Project")</f>
        <v>Upper Mardi Hydropower Project</v>
      </c>
      <c r="C139" s="2">
        <f>IFERROR(__xludf.DUMMYFUNCTION("""COMPUTED_VALUE"""),7.0)</f>
        <v>7</v>
      </c>
      <c r="D139" s="2" t="str">
        <f>IFERROR(__xludf.DUMMYFUNCTION("""COMPUTED_VALUE"""),"Mardi")</f>
        <v>Mardi</v>
      </c>
      <c r="E139" s="2">
        <f>IFERROR(__xludf.DUMMYFUNCTION("""COMPUTED_VALUE"""),181.0)</f>
        <v>181</v>
      </c>
      <c r="F139" s="3">
        <f>IFERROR(__xludf.DUMMYFUNCTION("""COMPUTED_VALUE"""),63476.0)</f>
        <v>63476</v>
      </c>
      <c r="G139" s="3">
        <f>IFERROR(__xludf.DUMMYFUNCTION("""COMPUTED_VALUE"""),76123.0)</f>
        <v>76123</v>
      </c>
      <c r="H139" s="2" t="str">
        <f>IFERROR(__xludf.DUMMYFUNCTION("""COMPUTED_VALUE"""),"United Idimardi and R.B. Hydropower Pvt Ltd")</f>
        <v>United Idimardi and R.B. Hydropower Pvt Ltd</v>
      </c>
      <c r="I139" s="2" t="str">
        <f>IFERROR(__xludf.DUMMYFUNCTION("""COMPUTED_VALUE"""),"Sanepa , Lalitpur Tel: 01-5520254, 52012027")</f>
        <v>Sanepa , Lalitpur Tel: 01-5520254, 52012027</v>
      </c>
      <c r="J139" s="2" t="str">
        <f>IFERROR(__xludf.DUMMYFUNCTION("""COMPUTED_VALUE"""),"28o 22' 16""")</f>
        <v>28o 22' 16"</v>
      </c>
      <c r="K139" s="2" t="str">
        <f>IFERROR(__xludf.DUMMYFUNCTION("""COMPUTED_VALUE"""),"28o 24' 10""")</f>
        <v>28o 24' 10"</v>
      </c>
      <c r="L139" s="2" t="str">
        <f>IFERROR(__xludf.DUMMYFUNCTION("""COMPUTED_VALUE"""),"83o 52' 03""")</f>
        <v>83o 52' 03"</v>
      </c>
      <c r="M139" s="2" t="str">
        <f>IFERROR(__xludf.DUMMYFUNCTION("""COMPUTED_VALUE"""),"83o 54' 30""")</f>
        <v>83o 54' 30"</v>
      </c>
      <c r="N139" s="2" t="str">
        <f>IFERROR(__xludf.DUMMYFUNCTION("""COMPUTED_VALUE"""),"Lwangghale (Kaski)")</f>
        <v>Lwangghale (Kaski)</v>
      </c>
      <c r="O139" s="3">
        <f>IFERROR(__xludf.DUMMYFUNCTION("""COMPUTED_VALUE"""),64456.0)</f>
        <v>64456</v>
      </c>
    </row>
    <row r="140">
      <c r="A140" s="2">
        <f>IFERROR(__xludf.DUMMYFUNCTION("""COMPUTED_VALUE"""),139.0)</f>
        <v>139</v>
      </c>
      <c r="B140" s="2" t="str">
        <f>IFERROR(__xludf.DUMMYFUNCTION("""COMPUTED_VALUE"""),"Upper Chirkhuwa Khola")</f>
        <v>Upper Chirkhuwa Khola</v>
      </c>
      <c r="C140" s="2">
        <f>IFERROR(__xludf.DUMMYFUNCTION("""COMPUTED_VALUE"""),4.7)</f>
        <v>4.7</v>
      </c>
      <c r="D140" s="2" t="str">
        <f>IFERROR(__xludf.DUMMYFUNCTION("""COMPUTED_VALUE"""),"Chirkhuwa")</f>
        <v>Chirkhuwa</v>
      </c>
      <c r="E140" s="2">
        <f>IFERROR(__xludf.DUMMYFUNCTION("""COMPUTED_VALUE"""),185.0)</f>
        <v>185</v>
      </c>
      <c r="F140" s="3">
        <f>IFERROR(__xludf.DUMMYFUNCTION("""COMPUTED_VALUE"""),63504.0)</f>
        <v>63504</v>
      </c>
      <c r="G140" s="3">
        <f>IFERROR(__xludf.DUMMYFUNCTION("""COMPUTED_VALUE"""),76286.0)</f>
        <v>76286</v>
      </c>
      <c r="H140" s="2" t="str">
        <f>IFERROR(__xludf.DUMMYFUNCTION("""COMPUTED_VALUE"""),"Chirkhuwa Hydropower Company Pvt td")</f>
        <v>Chirkhuwa Hydropower Company Pvt td</v>
      </c>
      <c r="I140" s="2" t="str">
        <f>IFERROR(__xludf.DUMMYFUNCTION("""COMPUTED_VALUE"""),"GPO Box: 19387 , Katmandu, phone no 4770297")</f>
        <v>GPO Box: 19387 , Katmandu, phone no 4770297</v>
      </c>
      <c r="J140" s="2" t="str">
        <f>IFERROR(__xludf.DUMMYFUNCTION("""COMPUTED_VALUE"""),"27o 21' 23""")</f>
        <v>27o 21' 23"</v>
      </c>
      <c r="K140" s="2" t="str">
        <f>IFERROR(__xludf.DUMMYFUNCTION("""COMPUTED_VALUE"""),"27o 22' 30""")</f>
        <v>27o 22' 30"</v>
      </c>
      <c r="L140" s="2" t="str">
        <f>IFERROR(__xludf.DUMMYFUNCTION("""COMPUTED_VALUE"""),"87o 04' 48""")</f>
        <v>87o 04' 48"</v>
      </c>
      <c r="M140" s="2" t="str">
        <f>IFERROR(__xludf.DUMMYFUNCTION("""COMPUTED_VALUE"""),"87o 06' 32""")</f>
        <v>87o 06' 32"</v>
      </c>
      <c r="N140" s="2" t="str">
        <f>IFERROR(__xludf.DUMMYFUNCTION("""COMPUTED_VALUE"""),"Nepaledada,Mulpani,Khartimchcha (Bhojpur)")</f>
        <v>Nepaledada,Mulpani,Khartimchcha (Bhojpur)</v>
      </c>
      <c r="O140" s="3">
        <f>IFERROR(__xludf.DUMMYFUNCTION("""COMPUTED_VALUE"""),66162.0)</f>
        <v>66162</v>
      </c>
    </row>
    <row r="141">
      <c r="A141" s="2">
        <f>IFERROR(__xludf.DUMMYFUNCTION("""COMPUTED_VALUE"""),140.0)</f>
        <v>140</v>
      </c>
      <c r="B141" s="2" t="str">
        <f>IFERROR(__xludf.DUMMYFUNCTION("""COMPUTED_VALUE"""),"Rawa Khola")</f>
        <v>Rawa Khola</v>
      </c>
      <c r="C141" s="2">
        <f>IFERROR(__xludf.DUMMYFUNCTION("""COMPUTED_VALUE"""),3.0)</f>
        <v>3</v>
      </c>
      <c r="D141" s="2" t="str">
        <f>IFERROR(__xludf.DUMMYFUNCTION("""COMPUTED_VALUE"""),"Rawa Khola")</f>
        <v>Rawa Khola</v>
      </c>
      <c r="E141" s="2">
        <f>IFERROR(__xludf.DUMMYFUNCTION("""COMPUTED_VALUE"""),186.0)</f>
        <v>186</v>
      </c>
      <c r="F141" s="3">
        <f>IFERROR(__xludf.DUMMYFUNCTION("""COMPUTED_VALUE"""),63519.0)</f>
        <v>63519</v>
      </c>
      <c r="G141" s="3">
        <f>IFERROR(__xludf.DUMMYFUNCTION("""COMPUTED_VALUE"""),76301.0)</f>
        <v>76301</v>
      </c>
      <c r="H141" s="2" t="str">
        <f>IFERROR(__xludf.DUMMYFUNCTION("""COMPUTED_VALUE"""),"Rawa Energy Development Pvt Ltd")</f>
        <v>Rawa Energy Development Pvt Ltd</v>
      </c>
      <c r="I141" s="2" t="str">
        <f>IFERROR(__xludf.DUMMYFUNCTION("""COMPUTED_VALUE"""),"Ghattekulo, Kathmandu , P.O.Box 20770, Phone 01-4244620")</f>
        <v>Ghattekulo, Kathmandu , P.O.Box 20770, Phone 01-4244620</v>
      </c>
      <c r="J141" s="2" t="str">
        <f>IFERROR(__xludf.DUMMYFUNCTION("""COMPUTED_VALUE"""),"27o 20' 28""")</f>
        <v>27o 20' 28"</v>
      </c>
      <c r="K141" s="2" t="str">
        <f>IFERROR(__xludf.DUMMYFUNCTION("""COMPUTED_VALUE"""),"27o 21' 35""")</f>
        <v>27o 21' 35"</v>
      </c>
      <c r="L141" s="2" t="str">
        <f>IFERROR(__xludf.DUMMYFUNCTION("""COMPUTED_VALUE"""),"86o 50' 38""")</f>
        <v>86o 50' 38"</v>
      </c>
      <c r="M141" s="2" t="str">
        <f>IFERROR(__xludf.DUMMYFUNCTION("""COMPUTED_VALUE"""),"86o 51' 33""")</f>
        <v>86o 51' 33"</v>
      </c>
      <c r="N141" s="2" t="str">
        <f>IFERROR(__xludf.DUMMYFUNCTION("""COMPUTED_VALUE"""),"Sungdel,Diplung (Khotang)")</f>
        <v>Sungdel,Diplung (Khotang)</v>
      </c>
      <c r="O141" s="3">
        <f>IFERROR(__xludf.DUMMYFUNCTION("""COMPUTED_VALUE"""),64805.0)</f>
        <v>64805</v>
      </c>
    </row>
    <row r="142">
      <c r="A142" s="2">
        <f>IFERROR(__xludf.DUMMYFUNCTION("""COMPUTED_VALUE"""),141.0)</f>
        <v>141</v>
      </c>
      <c r="B142" s="2" t="str">
        <f>IFERROR(__xludf.DUMMYFUNCTION("""COMPUTED_VALUE"""),"Super Mai Hydropower Project")</f>
        <v>Super Mai Hydropower Project</v>
      </c>
      <c r="C142" s="2">
        <f>IFERROR(__xludf.DUMMYFUNCTION("""COMPUTED_VALUE"""),7.8)</f>
        <v>7.8</v>
      </c>
      <c r="D142" s="2" t="str">
        <f>IFERROR(__xludf.DUMMYFUNCTION("""COMPUTED_VALUE"""),"Mai Khola")</f>
        <v>Mai Khola</v>
      </c>
      <c r="E142" s="2">
        <f>IFERROR(__xludf.DUMMYFUNCTION("""COMPUTED_VALUE"""),188.0)</f>
        <v>188</v>
      </c>
      <c r="F142" s="3">
        <f>IFERROR(__xludf.DUMMYFUNCTION("""COMPUTED_VALUE"""),63523.0)</f>
        <v>63523</v>
      </c>
      <c r="G142" s="3">
        <f>IFERROR(__xludf.DUMMYFUNCTION("""COMPUTED_VALUE"""),76305.0)</f>
        <v>76305</v>
      </c>
      <c r="H142" s="2" t="str">
        <f>IFERROR(__xludf.DUMMYFUNCTION("""COMPUTED_VALUE"""),"Supermai Hydropower Pvt.Ltd.")</f>
        <v>Supermai Hydropower Pvt.Ltd.</v>
      </c>
      <c r="I142" s="2" t="str">
        <f>IFERROR(__xludf.DUMMYFUNCTION("""COMPUTED_VALUE"""),"Kathmandu -5, Tangal , Phone no 4470887, email: supermaihydropower@gmail.com")</f>
        <v>Kathmandu -5, Tangal , Phone no 4470887, email: supermaihydropower@gmail.com</v>
      </c>
      <c r="J142" s="2" t="str">
        <f>IFERROR(__xludf.DUMMYFUNCTION("""COMPUTED_VALUE"""),"26o 56' 27""")</f>
        <v>26o 56' 27"</v>
      </c>
      <c r="K142" s="2" t="str">
        <f>IFERROR(__xludf.DUMMYFUNCTION("""COMPUTED_VALUE"""),"26o 58' 00""")</f>
        <v>26o 58' 00"</v>
      </c>
      <c r="L142" s="2" t="str">
        <f>IFERROR(__xludf.DUMMYFUNCTION("""COMPUTED_VALUE"""),"87o 56' 30""")</f>
        <v>87o 56' 30"</v>
      </c>
      <c r="M142" s="2" t="str">
        <f>IFERROR(__xludf.DUMMYFUNCTION("""COMPUTED_VALUE"""),"87o 57' 47""")</f>
        <v>87o 57' 47"</v>
      </c>
      <c r="N142" s="2" t="str">
        <f>IFERROR(__xludf.DUMMYFUNCTION("""COMPUTED_VALUE"""),"Barbote,Soyang,Sumbek (Ilam)")</f>
        <v>Barbote,Soyang,Sumbek (Ilam)</v>
      </c>
      <c r="O142" s="3">
        <f>IFERROR(__xludf.DUMMYFUNCTION("""COMPUTED_VALUE"""),64111.0)</f>
        <v>64111</v>
      </c>
    </row>
    <row r="143">
      <c r="A143" s="2">
        <f>IFERROR(__xludf.DUMMYFUNCTION("""COMPUTED_VALUE"""),142.0)</f>
        <v>142</v>
      </c>
      <c r="B143" s="2" t="str">
        <f>IFERROR(__xludf.DUMMYFUNCTION("""COMPUTED_VALUE"""),"Super Madi")</f>
        <v>Super Madi</v>
      </c>
      <c r="C143" s="2">
        <f>IFERROR(__xludf.DUMMYFUNCTION("""COMPUTED_VALUE"""),44.0)</f>
        <v>44</v>
      </c>
      <c r="D143" s="2" t="str">
        <f>IFERROR(__xludf.DUMMYFUNCTION("""COMPUTED_VALUE"""),"Madi Khola")</f>
        <v>Madi Khola</v>
      </c>
      <c r="E143" s="2">
        <f>IFERROR(__xludf.DUMMYFUNCTION("""COMPUTED_VALUE"""),192.0)</f>
        <v>192</v>
      </c>
      <c r="F143" s="3">
        <f>IFERROR(__xludf.DUMMYFUNCTION("""COMPUTED_VALUE"""),63540.0)</f>
        <v>63540</v>
      </c>
      <c r="G143" s="3">
        <f>IFERROR(__xludf.DUMMYFUNCTION("""COMPUTED_VALUE"""),76322.0)</f>
        <v>76322</v>
      </c>
      <c r="H143" s="2" t="str">
        <f>IFERROR(__xludf.DUMMYFUNCTION("""COMPUTED_VALUE"""),"Himal Hydro and General Construction Ltd.")</f>
        <v>Himal Hydro and General Construction Ltd.</v>
      </c>
      <c r="I143" s="2" t="str">
        <f>IFERROR(__xludf.DUMMYFUNCTION("""COMPUTED_VALUE"""),"Kupondole, Lalitpur-10, 01-4527090, 4523971")</f>
        <v>Kupondole, Lalitpur-10, 01-4527090, 4523971</v>
      </c>
      <c r="J143" s="2" t="str">
        <f>IFERROR(__xludf.DUMMYFUNCTION("""COMPUTED_VALUE"""),"28o 19' 02""")</f>
        <v>28o 19' 02"</v>
      </c>
      <c r="K143" s="2" t="str">
        <f>IFERROR(__xludf.DUMMYFUNCTION("""COMPUTED_VALUE"""),"28o 21' 39""")</f>
        <v>28o 21' 39"</v>
      </c>
      <c r="L143" s="2" t="str">
        <f>IFERROR(__xludf.DUMMYFUNCTION("""COMPUTED_VALUE"""),"84o 04' 45""")</f>
        <v>84o 04' 45"</v>
      </c>
      <c r="M143" s="2" t="str">
        <f>IFERROR(__xludf.DUMMYFUNCTION("""COMPUTED_VALUE"""),"84o 08' 34""")</f>
        <v>84o 08' 34"</v>
      </c>
      <c r="N143" s="2" t="str">
        <f>IFERROR(__xludf.DUMMYFUNCTION("""COMPUTED_VALUE"""),",Namarjung,Parche,Saimrang,Kalika (Kaski)")</f>
        <v>,Namarjung,Parche,Saimrang,Kalika (Kaski)</v>
      </c>
      <c r="O143" s="3">
        <f>IFERROR(__xludf.DUMMYFUNCTION("""COMPUTED_VALUE"""),65741.0)</f>
        <v>65741</v>
      </c>
    </row>
    <row r="144">
      <c r="A144" s="2">
        <f>IFERROR(__xludf.DUMMYFUNCTION("""COMPUTED_VALUE"""),143.0)</f>
        <v>143</v>
      </c>
      <c r="B144" s="2" t="str">
        <f>IFERROR(__xludf.DUMMYFUNCTION("""COMPUTED_VALUE"""),"Upper Syange Khola SHP")</f>
        <v>Upper Syange Khola SHP</v>
      </c>
      <c r="C144" s="2">
        <f>IFERROR(__xludf.DUMMYFUNCTION("""COMPUTED_VALUE"""),2.4)</f>
        <v>2.4</v>
      </c>
      <c r="D144" s="2" t="str">
        <f>IFERROR(__xludf.DUMMYFUNCTION("""COMPUTED_VALUE"""),"Syange")</f>
        <v>Syange</v>
      </c>
      <c r="E144" s="2">
        <f>IFERROR(__xludf.DUMMYFUNCTION("""COMPUTED_VALUE"""),197.0)</f>
        <v>197</v>
      </c>
      <c r="F144" s="3">
        <f>IFERROR(__xludf.DUMMYFUNCTION("""COMPUTED_VALUE"""),63607.0)</f>
        <v>63607</v>
      </c>
      <c r="G144" s="3">
        <f>IFERROR(__xludf.DUMMYFUNCTION("""COMPUTED_VALUE"""),76389.0)</f>
        <v>76389</v>
      </c>
      <c r="H144" s="2" t="str">
        <f>IFERROR(__xludf.DUMMYFUNCTION("""COMPUTED_VALUE"""),"Upper Syange Hydropower Pvt. Ltd.")</f>
        <v>Upper Syange Hydropower Pvt. Ltd.</v>
      </c>
      <c r="I144" s="2" t="str">
        <f>IFERROR(__xludf.DUMMYFUNCTION("""COMPUTED_VALUE"""),"Samakhusi, Kathmandu, P. O. Box: 8975, Phone: 4357646, Fax: 4354186")</f>
        <v>Samakhusi, Kathmandu, P. O. Box: 8975, Phone: 4357646, Fax: 4354186</v>
      </c>
      <c r="J144" s="2" t="str">
        <f>IFERROR(__xludf.DUMMYFUNCTION("""COMPUTED_VALUE"""),"28o 23' 05""")</f>
        <v>28o 23' 05"</v>
      </c>
      <c r="K144" s="2" t="str">
        <f>IFERROR(__xludf.DUMMYFUNCTION("""COMPUTED_VALUE"""),"28o 23' 37""")</f>
        <v>28o 23' 37"</v>
      </c>
      <c r="L144" s="2" t="str">
        <f>IFERROR(__xludf.DUMMYFUNCTION("""COMPUTED_VALUE"""),"84o 22' 48""")</f>
        <v>84o 22' 48"</v>
      </c>
      <c r="M144" s="2" t="str">
        <f>IFERROR(__xludf.DUMMYFUNCTION("""COMPUTED_VALUE"""),"84o 23' 54""")</f>
        <v>84o 23' 54"</v>
      </c>
      <c r="N144" s="2" t="str">
        <f>IFERROR(__xludf.DUMMYFUNCTION("""COMPUTED_VALUE"""),"Taghring (Lamjung)")</f>
        <v>Taghring (Lamjung)</v>
      </c>
      <c r="O144" s="3">
        <f>IFERROR(__xludf.DUMMYFUNCTION("""COMPUTED_VALUE"""),65334.0)</f>
        <v>65334</v>
      </c>
    </row>
    <row r="145">
      <c r="A145" s="2">
        <f>IFERROR(__xludf.DUMMYFUNCTION("""COMPUTED_VALUE"""),144.0)</f>
        <v>144</v>
      </c>
      <c r="B145" s="2" t="str">
        <f>IFERROR(__xludf.DUMMYFUNCTION("""COMPUTED_VALUE"""),"Middle Tamor")</f>
        <v>Middle Tamor</v>
      </c>
      <c r="C145" s="2">
        <f>IFERROR(__xludf.DUMMYFUNCTION("""COMPUTED_VALUE"""),73.0)</f>
        <v>73</v>
      </c>
      <c r="D145" s="2" t="str">
        <f>IFERROR(__xludf.DUMMYFUNCTION("""COMPUTED_VALUE"""),"Tamor")</f>
        <v>Tamor</v>
      </c>
      <c r="E145" s="2">
        <f>IFERROR(__xludf.DUMMYFUNCTION("""COMPUTED_VALUE"""),198.0)</f>
        <v>198</v>
      </c>
      <c r="F145" s="3">
        <f>IFERROR(__xludf.DUMMYFUNCTION("""COMPUTED_VALUE"""),63607.0)</f>
        <v>63607</v>
      </c>
      <c r="G145" s="3">
        <f>IFERROR(__xludf.DUMMYFUNCTION("""COMPUTED_VALUE"""),76754.0)</f>
        <v>76754</v>
      </c>
      <c r="H145" s="2" t="str">
        <f>IFERROR(__xludf.DUMMYFUNCTION("""COMPUTED_VALUE"""),"Sanima Middle Tamor Hydropower Ltd")</f>
        <v>Sanima Middle Tamor Hydropower Ltd</v>
      </c>
      <c r="I145" s="2" t="str">
        <f>IFERROR(__xludf.DUMMYFUNCTION("""COMPUTED_VALUE"""),"Dhumbarahi, Kathmandu, Phone no 437228/437030, email: sanima@sanimahydro.com")</f>
        <v>Dhumbarahi, Kathmandu, Phone no 437228/437030, email: sanima@sanimahydro.com</v>
      </c>
      <c r="J145" s="2" t="str">
        <f>IFERROR(__xludf.DUMMYFUNCTION("""COMPUTED_VALUE"""),"27o 23' 29""")</f>
        <v>27o 23' 29"</v>
      </c>
      <c r="K145" s="2" t="str">
        <f>IFERROR(__xludf.DUMMYFUNCTION("""COMPUTED_VALUE"""),"27o 25' 19""")</f>
        <v>27o 25' 19"</v>
      </c>
      <c r="L145" s="2" t="str">
        <f>IFERROR(__xludf.DUMMYFUNCTION("""COMPUTED_VALUE"""),"87o 40' 01""")</f>
        <v>87o 40' 01"</v>
      </c>
      <c r="M145" s="2" t="str">
        <f>IFERROR(__xludf.DUMMYFUNCTION("""COMPUTED_VALUE"""),"87o 42' 40""")</f>
        <v>87o 42' 40"</v>
      </c>
      <c r="N145" s="2" t="str">
        <f>IFERROR(__xludf.DUMMYFUNCTION("""COMPUTED_VALUE"""),"Hangdeva,Khokling,Phurumbu,Sawadin (Taplejung)")</f>
        <v>Hangdeva,Khokling,Phurumbu,Sawadin (Taplejung)</v>
      </c>
      <c r="O145" s="3">
        <f>IFERROR(__xludf.DUMMYFUNCTION("""COMPUTED_VALUE"""),66134.0)</f>
        <v>66134</v>
      </c>
    </row>
    <row r="146">
      <c r="A146" s="2">
        <f>IFERROR(__xludf.DUMMYFUNCTION("""COMPUTED_VALUE"""),145.0)</f>
        <v>145</v>
      </c>
      <c r="B146" s="2" t="str">
        <f>IFERROR(__xludf.DUMMYFUNCTION("""COMPUTED_VALUE"""),"Rudi Khola-B Hydropower Project")</f>
        <v>Rudi Khola-B Hydropower Project</v>
      </c>
      <c r="C146" s="2">
        <f>IFERROR(__xludf.DUMMYFUNCTION("""COMPUTED_VALUE"""),6.6)</f>
        <v>6.6</v>
      </c>
      <c r="D146" s="2" t="str">
        <f>IFERROR(__xludf.DUMMYFUNCTION("""COMPUTED_VALUE"""),"Rudi Khola")</f>
        <v>Rudi Khola</v>
      </c>
      <c r="E146" s="2">
        <f>IFERROR(__xludf.DUMMYFUNCTION("""COMPUTED_VALUE"""),199.0)</f>
        <v>199</v>
      </c>
      <c r="F146" s="3">
        <f>IFERROR(__xludf.DUMMYFUNCTION("""COMPUTED_VALUE"""),63611.0)</f>
        <v>63611</v>
      </c>
      <c r="G146" s="3">
        <f>IFERROR(__xludf.DUMMYFUNCTION("""COMPUTED_VALUE"""),76393.0)</f>
        <v>76393</v>
      </c>
      <c r="H146" s="2" t="str">
        <f>IFERROR(__xludf.DUMMYFUNCTION("""COMPUTED_VALUE"""),"Bindhyabasini Hydropower Development Co. Pvt Ltd")</f>
        <v>Bindhyabasini Hydropower Development Co. Pvt Ltd</v>
      </c>
      <c r="I146" s="2" t="str">
        <f>IFERROR(__xludf.DUMMYFUNCTION("""COMPUTED_VALUE"""),"Naya Baneshwor, Kathmandu, P.O. Box no 10242, Phone no 4781891, Fax no 
4785671, email: rudikhola@gmail.com")</f>
        <v>Naya Baneshwor, Kathmandu, P.O. Box no 10242, Phone no 4781891, Fax no 
4785671, email: rudikhola@gmail.com</v>
      </c>
      <c r="J146" s="2" t="str">
        <f>IFERROR(__xludf.DUMMYFUNCTION("""COMPUTED_VALUE"""),"28o 16' 39""")</f>
        <v>28o 16' 39"</v>
      </c>
      <c r="K146" s="2" t="str">
        <f>IFERROR(__xludf.DUMMYFUNCTION("""COMPUTED_VALUE"""),"28o 17' 50""")</f>
        <v>28o 17' 50"</v>
      </c>
      <c r="L146" s="2" t="str">
        <f>IFERROR(__xludf.DUMMYFUNCTION("""COMPUTED_VALUE"""),"84o 11' 00""")</f>
        <v>84o 11' 00"</v>
      </c>
      <c r="M146" s="2" t="str">
        <f>IFERROR(__xludf.DUMMYFUNCTION("""COMPUTED_VALUE"""),"84o 13' 00""")</f>
        <v>84o 13' 00"</v>
      </c>
      <c r="N146" s="2" t="str">
        <f>IFERROR(__xludf.DUMMYFUNCTION("""COMPUTED_VALUE"""),"Mijuredada (Kaski) Pasagaun (Lamjung)")</f>
        <v>Mijuredada (Kaski) Pasagaun (Lamjung)</v>
      </c>
      <c r="O146" s="3">
        <f>IFERROR(__xludf.DUMMYFUNCTION("""COMPUTED_VALUE"""),64594.0)</f>
        <v>64594</v>
      </c>
    </row>
    <row r="147">
      <c r="A147" s="2">
        <f>IFERROR(__xludf.DUMMYFUNCTION("""COMPUTED_VALUE"""),146.0)</f>
        <v>146</v>
      </c>
      <c r="B147" s="2" t="str">
        <f>IFERROR(__xludf.DUMMYFUNCTION("""COMPUTED_VALUE"""),"Lankhuwa Khola")</f>
        <v>Lankhuwa Khola</v>
      </c>
      <c r="C147" s="2">
        <f>IFERROR(__xludf.DUMMYFUNCTION("""COMPUTED_VALUE"""),5.0)</f>
        <v>5</v>
      </c>
      <c r="D147" s="2" t="str">
        <f>IFERROR(__xludf.DUMMYFUNCTION("""COMPUTED_VALUE"""),"Lankhuwa")</f>
        <v>Lankhuwa</v>
      </c>
      <c r="E147" s="2">
        <f>IFERROR(__xludf.DUMMYFUNCTION("""COMPUTED_VALUE"""),200.0)</f>
        <v>200</v>
      </c>
      <c r="F147" s="3">
        <f>IFERROR(__xludf.DUMMYFUNCTION("""COMPUTED_VALUE"""),63641.0)</f>
        <v>63641</v>
      </c>
      <c r="G147" s="3">
        <f>IFERROR(__xludf.DUMMYFUNCTION("""COMPUTED_VALUE"""),76423.0)</f>
        <v>76423</v>
      </c>
      <c r="H147" s="2" t="str">
        <f>IFERROR(__xludf.DUMMYFUNCTION("""COMPUTED_VALUE"""),"Sabhapokhari Hydropower Ltd.")</f>
        <v>Sabhapokhari Hydropower Ltd.</v>
      </c>
      <c r="I147" s="2" t="str">
        <f>IFERROR(__xludf.DUMMYFUNCTION("""COMPUTED_VALUE"""),"Banasthali, Kathmandu, 01-4390229, 9851092494")</f>
        <v>Banasthali, Kathmandu, 01-4390229, 9851092494</v>
      </c>
      <c r="J147" s="2" t="str">
        <f>IFERROR(__xludf.DUMMYFUNCTION("""COMPUTED_VALUE"""),"27o 25' 25""")</f>
        <v>27o 25' 25"</v>
      </c>
      <c r="K147" s="2" t="str">
        <f>IFERROR(__xludf.DUMMYFUNCTION("""COMPUTED_VALUE"""),"27o 26' 50""")</f>
        <v>27o 26' 50"</v>
      </c>
      <c r="L147" s="2" t="str">
        <f>IFERROR(__xludf.DUMMYFUNCTION("""COMPUTED_VALUE"""),"87o 17' 00""")</f>
        <v>87o 17' 00"</v>
      </c>
      <c r="M147" s="2" t="str">
        <f>IFERROR(__xludf.DUMMYFUNCTION("""COMPUTED_VALUE"""),"87o 18' 30""")</f>
        <v>87o 18' 30"</v>
      </c>
      <c r="N147" s="2" t="str">
        <f>IFERROR(__xludf.DUMMYFUNCTION("""COMPUTED_VALUE"""),"Dhupu (Sankhuwasabha)")</f>
        <v>Dhupu (Sankhuwasabha)</v>
      </c>
      <c r="O147" s="3">
        <f>IFERROR(__xludf.DUMMYFUNCTION("""COMPUTED_VALUE"""),66408.0)</f>
        <v>66408</v>
      </c>
    </row>
    <row r="148">
      <c r="A148" s="2">
        <f>IFERROR(__xludf.DUMMYFUNCTION("""COMPUTED_VALUE"""),147.0)</f>
        <v>147</v>
      </c>
      <c r="B148" s="2" t="str">
        <f>IFERROR(__xludf.DUMMYFUNCTION("""COMPUTED_VALUE"""),"Mewa Khola Hydropower project")</f>
        <v>Mewa Khola Hydropower project</v>
      </c>
      <c r="C148" s="2">
        <f>IFERROR(__xludf.DUMMYFUNCTION("""COMPUTED_VALUE"""),50.0)</f>
        <v>50</v>
      </c>
      <c r="D148" s="2" t="str">
        <f>IFERROR(__xludf.DUMMYFUNCTION("""COMPUTED_VALUE"""),"Mewa Khola")</f>
        <v>Mewa Khola</v>
      </c>
      <c r="E148" s="2">
        <f>IFERROR(__xludf.DUMMYFUNCTION("""COMPUTED_VALUE"""),201.0)</f>
        <v>201</v>
      </c>
      <c r="F148" s="3">
        <f>IFERROR(__xludf.DUMMYFUNCTION("""COMPUTED_VALUE"""),63659.0)</f>
        <v>63659</v>
      </c>
      <c r="G148" s="3">
        <f>IFERROR(__xludf.DUMMYFUNCTION("""COMPUTED_VALUE"""),76441.0)</f>
        <v>76441</v>
      </c>
      <c r="H148" s="2" t="str">
        <f>IFERROR(__xludf.DUMMYFUNCTION("""COMPUTED_VALUE"""),"United Mewa Khola Hydropower Ltd")</f>
        <v>United Mewa Khola Hydropower Ltd</v>
      </c>
      <c r="I148" s="2" t="str">
        <f>IFERROR(__xludf.DUMMYFUNCTION("""COMPUTED_VALUE"""),"Kathmandu W.N-29, Dillibazar, Tel: 01-4425833/4421201")</f>
        <v>Kathmandu W.N-29, Dillibazar, Tel: 01-4425833/4421201</v>
      </c>
      <c r="J148" s="2" t="str">
        <f>IFERROR(__xludf.DUMMYFUNCTION("""COMPUTED_VALUE"""),"27o 24' 08""")</f>
        <v>27o 24' 08"</v>
      </c>
      <c r="K148" s="2" t="str">
        <f>IFERROR(__xludf.DUMMYFUNCTION("""COMPUTED_VALUE"""),"27o 26' 52""")</f>
        <v>27o 26' 52"</v>
      </c>
      <c r="L148" s="2" t="str">
        <f>IFERROR(__xludf.DUMMYFUNCTION("""COMPUTED_VALUE"""),"87o 36' 20""")</f>
        <v>87o 36' 20"</v>
      </c>
      <c r="M148" s="2" t="str">
        <f>IFERROR(__xludf.DUMMYFUNCTION("""COMPUTED_VALUE"""),"87o 37' 15""")</f>
        <v>87o 37' 15"</v>
      </c>
      <c r="N148" s="2" t="str">
        <f>IFERROR(__xludf.DUMMYFUNCTION("""COMPUTED_VALUE"""),"Khamlung,Khokling,Lingtep,Liwang,Thukima (Taplejung)")</f>
        <v>Khamlung,Khokling,Lingtep,Liwang,Thukima (Taplejung)</v>
      </c>
      <c r="O148" s="3">
        <f>IFERROR(__xludf.DUMMYFUNCTION("""COMPUTED_VALUE"""),66900.0)</f>
        <v>66900</v>
      </c>
    </row>
    <row r="149">
      <c r="A149" s="2">
        <f>IFERROR(__xludf.DUMMYFUNCTION("""COMPUTED_VALUE"""),148.0)</f>
        <v>148</v>
      </c>
      <c r="B149" s="2" t="str">
        <f>IFERROR(__xludf.DUMMYFUNCTION("""COMPUTED_VALUE"""),"Nilgiri Khola")</f>
        <v>Nilgiri Khola</v>
      </c>
      <c r="C149" s="2">
        <f>IFERROR(__xludf.DUMMYFUNCTION("""COMPUTED_VALUE"""),38.0)</f>
        <v>38</v>
      </c>
      <c r="D149" s="2" t="str">
        <f>IFERROR(__xludf.DUMMYFUNCTION("""COMPUTED_VALUE"""),"Nilgiri")</f>
        <v>Nilgiri</v>
      </c>
      <c r="E149" s="2">
        <f>IFERROR(__xludf.DUMMYFUNCTION("""COMPUTED_VALUE"""),202.0)</f>
        <v>202</v>
      </c>
      <c r="F149" s="2" t="str">
        <f>IFERROR(__xludf.DUMMYFUNCTION("""COMPUTED_VALUE"""),"2074-04-31")</f>
        <v>2074-04-31</v>
      </c>
      <c r="G149" s="3">
        <f>IFERROR(__xludf.DUMMYFUNCTION("""COMPUTED_VALUE"""),76457.0)</f>
        <v>76457</v>
      </c>
      <c r="H149" s="2" t="str">
        <f>IFERROR(__xludf.DUMMYFUNCTION("""COMPUTED_VALUE"""),"Nilgiri Khola Hydropower Company Pvt. Ltd.")</f>
        <v>Nilgiri Khola Hydropower Company Pvt. Ltd.</v>
      </c>
      <c r="I149" s="2" t="str">
        <f>IFERROR(__xludf.DUMMYFUNCTION("""COMPUTED_VALUE"""),"Panipokhari, Kathmandu, Phone: 4437705, 4441648")</f>
        <v>Panipokhari, Kathmandu, Phone: 4437705, 4441648</v>
      </c>
      <c r="J149" s="2" t="str">
        <f>IFERROR(__xludf.DUMMYFUNCTION("""COMPUTED_VALUE"""),"28o 34' 37""")</f>
        <v>28o 34' 37"</v>
      </c>
      <c r="K149" s="2" t="str">
        <f>IFERROR(__xludf.DUMMYFUNCTION("""COMPUTED_VALUE"""),"28o 36' 00""")</f>
        <v>28o 36' 00"</v>
      </c>
      <c r="L149" s="2" t="str">
        <f>IFERROR(__xludf.DUMMYFUNCTION("""COMPUTED_VALUE"""),"83o 40' 00""")</f>
        <v>83o 40' 00"</v>
      </c>
      <c r="M149" s="2" t="str">
        <f>IFERROR(__xludf.DUMMYFUNCTION("""COMPUTED_VALUE"""),"83o 43' 00""")</f>
        <v>83o 43' 00"</v>
      </c>
      <c r="N149" s="2" t="str">
        <f>IFERROR(__xludf.DUMMYFUNCTION("""COMPUTED_VALUE"""),",Narchyang (Myagdi)")</f>
        <v>,Narchyang (Myagdi)</v>
      </c>
      <c r="O149" s="3">
        <f>IFERROR(__xludf.DUMMYFUNCTION("""COMPUTED_VALUE"""),66222.0)</f>
        <v>66222</v>
      </c>
    </row>
    <row r="150">
      <c r="A150" s="2">
        <f>IFERROR(__xludf.DUMMYFUNCTION("""COMPUTED_VALUE"""),149.0)</f>
        <v>149</v>
      </c>
      <c r="B150" s="2" t="str">
        <f>IFERROR(__xludf.DUMMYFUNCTION("""COMPUTED_VALUE"""),"Buku-Kapati Hydropower Project")</f>
        <v>Buku-Kapati Hydropower Project</v>
      </c>
      <c r="C150" s="2">
        <f>IFERROR(__xludf.DUMMYFUNCTION("""COMPUTED_VALUE"""),5.0)</f>
        <v>5</v>
      </c>
      <c r="D150" s="2" t="str">
        <f>IFERROR(__xludf.DUMMYFUNCTION("""COMPUTED_VALUE"""),"Buku")</f>
        <v>Buku</v>
      </c>
      <c r="E150" s="2">
        <f>IFERROR(__xludf.DUMMYFUNCTION("""COMPUTED_VALUE"""),203.0)</f>
        <v>203</v>
      </c>
      <c r="F150" s="3">
        <f>IFERROR(__xludf.DUMMYFUNCTION("""COMPUTED_VALUE"""),63682.0)</f>
        <v>63682</v>
      </c>
      <c r="G150" s="3">
        <f>IFERROR(__xludf.DUMMYFUNCTION("""COMPUTED_VALUE"""),76464.0)</f>
        <v>76464</v>
      </c>
      <c r="H150" s="2" t="str">
        <f>IFERROR(__xludf.DUMMYFUNCTION("""COMPUTED_VALUE"""),"Him Star Urja Company Ltd.")</f>
        <v>Him Star Urja Company Ltd.</v>
      </c>
      <c r="I150" s="2" t="str">
        <f>IFERROR(__xludf.DUMMYFUNCTION("""COMPUTED_VALUE"""),"Baluwatar-4, Kathmadu. PO Box : 20762, Phone no 4167507, 6911637")</f>
        <v>Baluwatar-4, Kathmadu. PO Box : 20762, Phone no 4167507, 6911637</v>
      </c>
      <c r="J150" s="2" t="str">
        <f>IFERROR(__xludf.DUMMYFUNCTION("""COMPUTED_VALUE"""),"27o 30' 00""")</f>
        <v>27o 30' 00"</v>
      </c>
      <c r="K150" s="2" t="str">
        <f>IFERROR(__xludf.DUMMYFUNCTION("""COMPUTED_VALUE"""),"27o 31' 20""")</f>
        <v>27o 31' 20"</v>
      </c>
      <c r="L150" s="2" t="str">
        <f>IFERROR(__xludf.DUMMYFUNCTION("""COMPUTED_VALUE"""),"86o 22' 34""")</f>
        <v>86o 22' 34"</v>
      </c>
      <c r="M150" s="2" t="str">
        <f>IFERROR(__xludf.DUMMYFUNCTION("""COMPUTED_VALUE"""),"86o 24' 10""")</f>
        <v>86o 24' 10"</v>
      </c>
      <c r="N150" s="2" t="str">
        <f>IFERROR(__xludf.DUMMYFUNCTION("""COMPUTED_VALUE"""),"Bhussinga,Rawadolu (Okhaldhunga) Goli (Solukhumbu)")</f>
        <v>Bhussinga,Rawadolu (Okhaldhunga) Goli (Solukhumbu)</v>
      </c>
      <c r="O150" s="3">
        <f>IFERROR(__xludf.DUMMYFUNCTION("""COMPUTED_VALUE"""),66610.0)</f>
        <v>66610</v>
      </c>
    </row>
    <row r="151">
      <c r="A151" s="2">
        <f>IFERROR(__xludf.DUMMYFUNCTION("""COMPUTED_VALUE"""),150.0)</f>
        <v>150</v>
      </c>
      <c r="B151" s="2" t="str">
        <f>IFERROR(__xludf.DUMMYFUNCTION("""COMPUTED_VALUE"""),"Seti Khola HPP")</f>
        <v>Seti Khola HPP</v>
      </c>
      <c r="C151" s="2">
        <f>IFERROR(__xludf.DUMMYFUNCTION("""COMPUTED_VALUE"""),3.5)</f>
        <v>3.5</v>
      </c>
      <c r="D151" s="2" t="str">
        <f>IFERROR(__xludf.DUMMYFUNCTION("""COMPUTED_VALUE"""),"Seti Khola (Parbat)")</f>
        <v>Seti Khola (Parbat)</v>
      </c>
      <c r="E151" s="2">
        <f>IFERROR(__xludf.DUMMYFUNCTION("""COMPUTED_VALUE"""),205.0)</f>
        <v>205</v>
      </c>
      <c r="F151" s="3">
        <f>IFERROR(__xludf.DUMMYFUNCTION("""COMPUTED_VALUE"""),63700.0)</f>
        <v>63700</v>
      </c>
      <c r="G151" s="3">
        <f>IFERROR(__xludf.DUMMYFUNCTION("""COMPUTED_VALUE"""),76482.0)</f>
        <v>76482</v>
      </c>
      <c r="H151" s="2" t="str">
        <f>IFERROR(__xludf.DUMMYFUNCTION("""COMPUTED_VALUE"""),"Parbat Paiyu Khola Hydropower Company")</f>
        <v>Parbat Paiyu Khola Hydropower Company</v>
      </c>
      <c r="I151" s="2" t="str">
        <f>IFERROR(__xludf.DUMMYFUNCTION("""COMPUTED_VALUE"""),"Head Office ,Kathmandu Tel: 2093013, Fax: 4385668")</f>
        <v>Head Office ,Kathmandu Tel: 2093013, Fax: 4385668</v>
      </c>
      <c r="J151" s="2" t="str">
        <f>IFERROR(__xludf.DUMMYFUNCTION("""COMPUTED_VALUE"""),"28o 00' 37""")</f>
        <v>28o 00' 37"</v>
      </c>
      <c r="K151" s="2" t="str">
        <f>IFERROR(__xludf.DUMMYFUNCTION("""COMPUTED_VALUE"""),"28o 02' 05""")</f>
        <v>28o 02' 05"</v>
      </c>
      <c r="L151" s="2" t="str">
        <f>IFERROR(__xludf.DUMMYFUNCTION("""COMPUTED_VALUE"""),"83o 36' 45""")</f>
        <v>83o 36' 45"</v>
      </c>
      <c r="M151" s="2" t="str">
        <f>IFERROR(__xludf.DUMMYFUNCTION("""COMPUTED_VALUE"""),"83o 37' 30""")</f>
        <v>83o 37' 30"</v>
      </c>
      <c r="N151" s="2" t="str">
        <f>IFERROR(__xludf.DUMMYFUNCTION("""COMPUTED_VALUE"""),"Shivalaya (Parbat)")</f>
        <v>Shivalaya (Parbat)</v>
      </c>
      <c r="O151" s="3">
        <f>IFERROR(__xludf.DUMMYFUNCTION("""COMPUTED_VALUE"""),66177.0)</f>
        <v>66177</v>
      </c>
    </row>
    <row r="152">
      <c r="A152" s="2">
        <f>IFERROR(__xludf.DUMMYFUNCTION("""COMPUTED_VALUE"""),151.0)</f>
        <v>151</v>
      </c>
      <c r="B152" s="2" t="str">
        <f>IFERROR(__xludf.DUMMYFUNCTION("""COMPUTED_VALUE"""),"Padam Khola SHP")</f>
        <v>Padam Khola SHP</v>
      </c>
      <c r="C152" s="2">
        <f>IFERROR(__xludf.DUMMYFUNCTION("""COMPUTED_VALUE"""),4.8)</f>
        <v>4.8</v>
      </c>
      <c r="D152" s="2" t="str">
        <f>IFERROR(__xludf.DUMMYFUNCTION("""COMPUTED_VALUE"""),"Padam Khola")</f>
        <v>Padam Khola</v>
      </c>
      <c r="E152" s="2">
        <f>IFERROR(__xludf.DUMMYFUNCTION("""COMPUTED_VALUE"""),207.0)</f>
        <v>207</v>
      </c>
      <c r="F152" s="3">
        <f>IFERROR(__xludf.DUMMYFUNCTION("""COMPUTED_VALUE"""),63734.0)</f>
        <v>63734</v>
      </c>
      <c r="G152" s="3">
        <f>IFERROR(__xludf.DUMMYFUNCTION("""COMPUTED_VALUE"""),76516.0)</f>
        <v>76516</v>
      </c>
      <c r="H152" s="2" t="str">
        <f>IFERROR(__xludf.DUMMYFUNCTION("""COMPUTED_VALUE"""),"Dolti Power Company P. Ltd")</f>
        <v>Dolti Power Company P. Ltd</v>
      </c>
      <c r="I152" s="2" t="str">
        <f>IFERROR(__xludf.DUMMYFUNCTION("""COMPUTED_VALUE"""),"Baneshwor, Kathmandu, Phone no 4105021, 97510001589, 9851003846, emai: 
info@doltipower.com.np")</f>
        <v>Baneshwor, Kathmandu, Phone no 4105021, 97510001589, 9851003846, emai: 
info@doltipower.com.np</v>
      </c>
      <c r="J152" s="2" t="str">
        <f>IFERROR(__xludf.DUMMYFUNCTION("""COMPUTED_VALUE"""),"28o 54' 02""")</f>
        <v>28o 54' 02"</v>
      </c>
      <c r="K152" s="2" t="str">
        <f>IFERROR(__xludf.DUMMYFUNCTION("""COMPUTED_VALUE"""),"28o 55' 00""")</f>
        <v>28o 55' 00"</v>
      </c>
      <c r="L152" s="2" t="str">
        <f>IFERROR(__xludf.DUMMYFUNCTION("""COMPUTED_VALUE"""),"81o 49' 22""")</f>
        <v>81o 49' 22"</v>
      </c>
      <c r="M152" s="2" t="str">
        <f>IFERROR(__xludf.DUMMYFUNCTION("""COMPUTED_VALUE"""),"81o 51' 19""")</f>
        <v>81o 51' 19"</v>
      </c>
      <c r="N152" s="2" t="str">
        <f>IFERROR(__xludf.DUMMYFUNCTION("""COMPUTED_VALUE"""),"Kalika (Dailekh)")</f>
        <v>Kalika (Dailekh)</v>
      </c>
      <c r="O152" s="3">
        <f>IFERROR(__xludf.DUMMYFUNCTION("""COMPUTED_VALUE"""),64536.0)</f>
        <v>64536</v>
      </c>
    </row>
    <row r="153">
      <c r="A153" s="2">
        <f>IFERROR(__xludf.DUMMYFUNCTION("""COMPUTED_VALUE"""),152.0)</f>
        <v>152</v>
      </c>
      <c r="B153" s="2" t="str">
        <f>IFERROR(__xludf.DUMMYFUNCTION("""COMPUTED_VALUE"""),"Sapsup Khola Small Hydro Electric Project")</f>
        <v>Sapsup Khola Small Hydro Electric Project</v>
      </c>
      <c r="C153" s="2">
        <f>IFERROR(__xludf.DUMMYFUNCTION("""COMPUTED_VALUE"""),7.151)</f>
        <v>7.151</v>
      </c>
      <c r="D153" s="2" t="str">
        <f>IFERROR(__xludf.DUMMYFUNCTION("""COMPUTED_VALUE"""),"Sapsup Khola")</f>
        <v>Sapsup Khola</v>
      </c>
      <c r="E153" s="2">
        <f>IFERROR(__xludf.DUMMYFUNCTION("""COMPUTED_VALUE"""),211.0)</f>
        <v>211</v>
      </c>
      <c r="F153" s="3">
        <f>IFERROR(__xludf.DUMMYFUNCTION("""COMPUTED_VALUE"""),63795.0)</f>
        <v>63795</v>
      </c>
      <c r="G153" s="3">
        <f>IFERROR(__xludf.DUMMYFUNCTION("""COMPUTED_VALUE"""),76577.0)</f>
        <v>76577</v>
      </c>
      <c r="H153" s="2" t="str">
        <f>IFERROR(__xludf.DUMMYFUNCTION("""COMPUTED_VALUE"""),"Three Star Hydro Power Pvt.Ltd.")</f>
        <v>Three Star Hydro Power Pvt.Ltd.</v>
      </c>
      <c r="I153" s="2" t="str">
        <f>IFERROR(__xludf.DUMMYFUNCTION("""COMPUTED_VALUE"""),"593/55 Kha Thapa Gaun, New Banesor-10, Kathmandu.4468423,9851105341")</f>
        <v>593/55 Kha Thapa Gaun, New Banesor-10, Kathmandu.4468423,9851105341</v>
      </c>
      <c r="J153" s="2" t="str">
        <f>IFERROR(__xludf.DUMMYFUNCTION("""COMPUTED_VALUE"""),"27o 06' 31""")</f>
        <v>27o 06' 31"</v>
      </c>
      <c r="K153" s="2" t="str">
        <f>IFERROR(__xludf.DUMMYFUNCTION("""COMPUTED_VALUE"""),"27o 08' 34""")</f>
        <v>27o 08' 34"</v>
      </c>
      <c r="L153" s="2" t="str">
        <f>IFERROR(__xludf.DUMMYFUNCTION("""COMPUTED_VALUE"""),"86o 44' 20""")</f>
        <v>86o 44' 20"</v>
      </c>
      <c r="M153" s="2" t="str">
        <f>IFERROR(__xludf.DUMMYFUNCTION("""COMPUTED_VALUE"""),"86o 45' 23""")</f>
        <v>86o 45' 23"</v>
      </c>
      <c r="N153" s="2" t="str">
        <f>IFERROR(__xludf.DUMMYFUNCTION("""COMPUTED_VALUE"""),"Batase,Chhorambu,Rajapani (Khotang)")</f>
        <v>Batase,Chhorambu,Rajapani (Khotang)</v>
      </c>
      <c r="O153" s="3">
        <f>IFERROR(__xludf.DUMMYFUNCTION("""COMPUTED_VALUE"""),65281.0)</f>
        <v>65281</v>
      </c>
    </row>
    <row r="154">
      <c r="A154" s="2">
        <f>IFERROR(__xludf.DUMMYFUNCTION("""COMPUTED_VALUE"""),153.0)</f>
        <v>153</v>
      </c>
      <c r="B154" s="2" t="str">
        <f>IFERROR(__xludf.DUMMYFUNCTION("""COMPUTED_VALUE"""),"Richet Khola SHP")</f>
        <v>Richet Khola SHP</v>
      </c>
      <c r="C154" s="2">
        <f>IFERROR(__xludf.DUMMYFUNCTION("""COMPUTED_VALUE"""),5.0)</f>
        <v>5</v>
      </c>
      <c r="D154" s="2" t="str">
        <f>IFERROR(__xludf.DUMMYFUNCTION("""COMPUTED_VALUE"""),"Richet")</f>
        <v>Richet</v>
      </c>
      <c r="E154" s="2">
        <f>IFERROR(__xludf.DUMMYFUNCTION("""COMPUTED_VALUE"""),214.0)</f>
        <v>214</v>
      </c>
      <c r="F154" s="3">
        <f>IFERROR(__xludf.DUMMYFUNCTION("""COMPUTED_VALUE"""),63801.0)</f>
        <v>63801</v>
      </c>
      <c r="G154" s="3">
        <f>IFERROR(__xludf.DUMMYFUNCTION("""COMPUTED_VALUE"""),76583.0)</f>
        <v>76583</v>
      </c>
      <c r="H154" s="2" t="str">
        <f>IFERROR(__xludf.DUMMYFUNCTION("""COMPUTED_VALUE"""),"Richet Jalbidhyut Company Pvt. Ltd.")</f>
        <v>Richet Jalbidhyut Company Pvt. Ltd.</v>
      </c>
      <c r="I154" s="2" t="str">
        <f>IFERROR(__xludf.DUMMYFUNCTION("""COMPUTED_VALUE"""),"Lalitpur-15, Mahalaxmisthan, phone no 5527469, 55237849, 9851006013, email: 
richethydro@gmail.com")</f>
        <v>Lalitpur-15, Mahalaxmisthan, phone no 5527469, 55237849, 9851006013, email: 
richethydro@gmail.com</v>
      </c>
      <c r="J154" s="2" t="str">
        <f>IFERROR(__xludf.DUMMYFUNCTION("""COMPUTED_VALUE"""),"28o 10' 10""")</f>
        <v>28o 10' 10"</v>
      </c>
      <c r="K154" s="2" t="str">
        <f>IFERROR(__xludf.DUMMYFUNCTION("""COMPUTED_VALUE"""),"28o 10' 55""")</f>
        <v>28o 10' 55"</v>
      </c>
      <c r="L154" s="2" t="str">
        <f>IFERROR(__xludf.DUMMYFUNCTION("""COMPUTED_VALUE"""),"84o 54' 58""")</f>
        <v>84o 54' 58"</v>
      </c>
      <c r="M154" s="2" t="str">
        <f>IFERROR(__xludf.DUMMYFUNCTION("""COMPUTED_VALUE"""),"84o 55' 51""")</f>
        <v>84o 55' 51"</v>
      </c>
      <c r="N154" s="2" t="str">
        <f>IFERROR(__xludf.DUMMYFUNCTION("""COMPUTED_VALUE"""),"Manbu,Kashigaun (Gorkha)")</f>
        <v>Manbu,Kashigaun (Gorkha)</v>
      </c>
      <c r="O154" s="3">
        <f>IFERROR(__xludf.DUMMYFUNCTION("""COMPUTED_VALUE"""),65133.0)</f>
        <v>65133</v>
      </c>
    </row>
    <row r="155">
      <c r="A155" s="2">
        <f>IFERROR(__xludf.DUMMYFUNCTION("""COMPUTED_VALUE"""),154.0)</f>
        <v>154</v>
      </c>
      <c r="B155" s="2" t="str">
        <f>IFERROR(__xludf.DUMMYFUNCTION("""COMPUTED_VALUE"""),"Buku Khola")</f>
        <v>Buku Khola</v>
      </c>
      <c r="C155" s="2">
        <f>IFERROR(__xludf.DUMMYFUNCTION("""COMPUTED_VALUE"""),6.0)</f>
        <v>6</v>
      </c>
      <c r="D155" s="2" t="str">
        <f>IFERROR(__xludf.DUMMYFUNCTION("""COMPUTED_VALUE"""),"Buku")</f>
        <v>Buku</v>
      </c>
      <c r="E155" s="2">
        <f>IFERROR(__xludf.DUMMYFUNCTION("""COMPUTED_VALUE"""),216.0)</f>
        <v>216</v>
      </c>
      <c r="F155" s="3">
        <f>IFERROR(__xludf.DUMMYFUNCTION("""COMPUTED_VALUE"""),63822.0)</f>
        <v>63822</v>
      </c>
      <c r="G155" s="3">
        <f>IFERROR(__xludf.DUMMYFUNCTION("""COMPUTED_VALUE"""),76604.0)</f>
        <v>76604</v>
      </c>
      <c r="H155" s="2" t="str">
        <f>IFERROR(__xludf.DUMMYFUNCTION("""COMPUTED_VALUE"""),"Apolo Hydropower Pvt.Ltd")</f>
        <v>Apolo Hydropower Pvt.Ltd</v>
      </c>
      <c r="I155" s="2" t="str">
        <f>IFERROR(__xludf.DUMMYFUNCTION("""COMPUTED_VALUE"""),"Lalitpur, phone: 5201375")</f>
        <v>Lalitpur, phone: 5201375</v>
      </c>
      <c r="J155" s="2" t="str">
        <f>IFERROR(__xludf.DUMMYFUNCTION("""COMPUTED_VALUE"""),"27o 30' 47""")</f>
        <v>27o 30' 47"</v>
      </c>
      <c r="K155" s="2" t="str">
        <f>IFERROR(__xludf.DUMMYFUNCTION("""COMPUTED_VALUE"""),"27o 31' 35""")</f>
        <v>27o 31' 35"</v>
      </c>
      <c r="L155" s="2" t="str">
        <f>IFERROR(__xludf.DUMMYFUNCTION("""COMPUTED_VALUE"""),"86o 20' 55""")</f>
        <v>86o 20' 55"</v>
      </c>
      <c r="M155" s="2" t="str">
        <f>IFERROR(__xludf.DUMMYFUNCTION("""COMPUTED_VALUE"""),"86o 22' 34""")</f>
        <v>86o 22' 34"</v>
      </c>
      <c r="N155" s="2" t="str">
        <f>IFERROR(__xludf.DUMMYFUNCTION("""COMPUTED_VALUE"""),"Bhussinga,Rawadolu (Okhaldhunga) Goli (Solukhumbu)")</f>
        <v>Bhussinga,Rawadolu (Okhaldhunga) Goli (Solukhumbu)</v>
      </c>
      <c r="O155" s="3">
        <f>IFERROR(__xludf.DUMMYFUNCTION("""COMPUTED_VALUE"""),66828.0)</f>
        <v>66828</v>
      </c>
    </row>
    <row r="156">
      <c r="A156" s="2">
        <f>IFERROR(__xludf.DUMMYFUNCTION("""COMPUTED_VALUE"""),155.0)</f>
        <v>155</v>
      </c>
      <c r="B156" s="2" t="str">
        <f>IFERROR(__xludf.DUMMYFUNCTION("""COMPUTED_VALUE"""),"Lower Irkhuwa Khola")</f>
        <v>Lower Irkhuwa Khola</v>
      </c>
      <c r="C156" s="2">
        <f>IFERROR(__xludf.DUMMYFUNCTION("""COMPUTED_VALUE"""),14.15)</f>
        <v>14.15</v>
      </c>
      <c r="D156" s="2" t="str">
        <f>IFERROR(__xludf.DUMMYFUNCTION("""COMPUTED_VALUE"""),"Irkhuwa Khola")</f>
        <v>Irkhuwa Khola</v>
      </c>
      <c r="E156" s="2">
        <f>IFERROR(__xludf.DUMMYFUNCTION("""COMPUTED_VALUE"""),219.0)</f>
        <v>219</v>
      </c>
      <c r="F156" s="3">
        <f>IFERROR(__xludf.DUMMYFUNCTION("""COMPUTED_VALUE"""),63850.0)</f>
        <v>63850</v>
      </c>
      <c r="G156" s="3">
        <f>IFERROR(__xludf.DUMMYFUNCTION("""COMPUTED_VALUE"""),76632.0)</f>
        <v>76632</v>
      </c>
      <c r="H156" s="2" t="str">
        <f>IFERROR(__xludf.DUMMYFUNCTION("""COMPUTED_VALUE"""),"Lower Irkhuwa Hydropower Company Ltd.")</f>
        <v>Lower Irkhuwa Hydropower Company Ltd.</v>
      </c>
      <c r="I156" s="2" t="str">
        <f>IFERROR(__xludf.DUMMYFUNCTION("""COMPUTED_VALUE"""),"Binayaknagar, Kathmandu, 01-5172685, 9851165995")</f>
        <v>Binayaknagar, Kathmandu, 01-5172685, 9851165995</v>
      </c>
      <c r="J156" s="2" t="str">
        <f>IFERROR(__xludf.DUMMYFUNCTION("""COMPUTED_VALUE"""),"27o 24' 28""")</f>
        <v>27o 24' 28"</v>
      </c>
      <c r="K156" s="2" t="str">
        <f>IFERROR(__xludf.DUMMYFUNCTION("""COMPUTED_VALUE"""),"27o 25' 24""")</f>
        <v>27o 25' 24"</v>
      </c>
      <c r="L156" s="2" t="str">
        <f>IFERROR(__xludf.DUMMYFUNCTION("""COMPUTED_VALUE"""),"87o 05' 57""")</f>
        <v>87o 05' 57"</v>
      </c>
      <c r="M156" s="2" t="str">
        <f>IFERROR(__xludf.DUMMYFUNCTION("""COMPUTED_VALUE"""),"87o 07' 44""")</f>
        <v>87o 07' 44"</v>
      </c>
      <c r="N156" s="2" t="str">
        <f>IFERROR(__xludf.DUMMYFUNCTION("""COMPUTED_VALUE"""),"Kulunga,Nepaledada (Bhojpur)")</f>
        <v>Kulunga,Nepaledada (Bhojpur)</v>
      </c>
      <c r="O156" s="3">
        <f>IFERROR(__xludf.DUMMYFUNCTION("""COMPUTED_VALUE"""),66837.0)</f>
        <v>66837</v>
      </c>
    </row>
    <row r="157">
      <c r="A157" s="2">
        <f>IFERROR(__xludf.DUMMYFUNCTION("""COMPUTED_VALUE"""),156.0)</f>
        <v>156</v>
      </c>
      <c r="B157" s="2" t="str">
        <f>IFERROR(__xludf.DUMMYFUNCTION("""COMPUTED_VALUE"""),"Rele Khola")</f>
        <v>Rele Khola</v>
      </c>
      <c r="C157" s="2">
        <f>IFERROR(__xludf.DUMMYFUNCTION("""COMPUTED_VALUE"""),6.0)</f>
        <v>6</v>
      </c>
      <c r="D157" s="2" t="str">
        <f>IFERROR(__xludf.DUMMYFUNCTION("""COMPUTED_VALUE"""),"Rele Khola")</f>
        <v>Rele Khola</v>
      </c>
      <c r="E157" s="2">
        <f>IFERROR(__xludf.DUMMYFUNCTION("""COMPUTED_VALUE"""),221.0)</f>
        <v>221</v>
      </c>
      <c r="F157" s="3">
        <f>IFERROR(__xludf.DUMMYFUNCTION("""COMPUTED_VALUE"""),63855.0)</f>
        <v>63855</v>
      </c>
      <c r="G157" s="3">
        <f>IFERROR(__xludf.DUMMYFUNCTION("""COMPUTED_VALUE"""),77002.0)</f>
        <v>77002</v>
      </c>
      <c r="H157" s="2" t="str">
        <f>IFERROR(__xludf.DUMMYFUNCTION("""COMPUTED_VALUE"""),"Hym Consult Ltd.")</f>
        <v>Hym Consult Ltd.</v>
      </c>
      <c r="I157" s="2" t="str">
        <f>IFERROR(__xludf.DUMMYFUNCTION("""COMPUTED_VALUE"""),"SiphalKathmandu, Ph 4489327, 4491271 (Previous) House No. 280, Madan 
Bhandari Path, Babarmahal, Kathmandu, Ward No.11, 9")</f>
        <v>SiphalKathmandu, Ph 4489327, 4491271 (Previous) House No. 280, Madan 
Bhandari Path, Babarmahal, Kathmandu, Ward No.11, 9</v>
      </c>
      <c r="J157" s="2" t="str">
        <f>IFERROR(__xludf.DUMMYFUNCTION("""COMPUTED_VALUE"""),"28o 30' 24""")</f>
        <v>28o 30' 24"</v>
      </c>
      <c r="K157" s="2" t="str">
        <f>IFERROR(__xludf.DUMMYFUNCTION("""COMPUTED_VALUE"""),"28o 32' 00""")</f>
        <v>28o 32' 00"</v>
      </c>
      <c r="L157" s="2" t="str">
        <f>IFERROR(__xludf.DUMMYFUNCTION("""COMPUTED_VALUE"""),"83o 40' 43""")</f>
        <v>83o 40' 43"</v>
      </c>
      <c r="M157" s="2" t="str">
        <f>IFERROR(__xludf.DUMMYFUNCTION("""COMPUTED_VALUE"""),"83o 42' 00""")</f>
        <v>83o 42' 00"</v>
      </c>
      <c r="N157" s="2" t="str">
        <f>IFERROR(__xludf.DUMMYFUNCTION("""COMPUTED_VALUE"""),"Narchyang (Myagdi)")</f>
        <v>Narchyang (Myagdi)</v>
      </c>
      <c r="O157" s="3">
        <f>IFERROR(__xludf.DUMMYFUNCTION("""COMPUTED_VALUE"""),66558.0)</f>
        <v>66558</v>
      </c>
    </row>
    <row r="158">
      <c r="A158" s="2">
        <f>IFERROR(__xludf.DUMMYFUNCTION("""COMPUTED_VALUE"""),157.0)</f>
        <v>157</v>
      </c>
      <c r="B158" s="2" t="str">
        <f>IFERROR(__xludf.DUMMYFUNCTION("""COMPUTED_VALUE"""),"Super Mai-A HPP")</f>
        <v>Super Mai-A HPP</v>
      </c>
      <c r="C158" s="2">
        <f>IFERROR(__xludf.DUMMYFUNCTION("""COMPUTED_VALUE"""),9.6)</f>
        <v>9.6</v>
      </c>
      <c r="D158" s="2" t="str">
        <f>IFERROR(__xludf.DUMMYFUNCTION("""COMPUTED_VALUE"""),"Mai Khola")</f>
        <v>Mai Khola</v>
      </c>
      <c r="E158" s="2">
        <f>IFERROR(__xludf.DUMMYFUNCTION("""COMPUTED_VALUE"""),224.0)</f>
        <v>224</v>
      </c>
      <c r="F158" s="3">
        <f>IFERROR(__xludf.DUMMYFUNCTION("""COMPUTED_VALUE"""),63876.0)</f>
        <v>63876</v>
      </c>
      <c r="G158" s="3">
        <f>IFERROR(__xludf.DUMMYFUNCTION("""COMPUTED_VALUE"""),76740.0)</f>
        <v>76740</v>
      </c>
      <c r="H158" s="2" t="str">
        <f>IFERROR(__xludf.DUMMYFUNCTION("""COMPUTED_VALUE"""),"Sagarmatha Jalbidhyut Company P.Ltd.")</f>
        <v>Sagarmatha Jalbidhyut Company P.Ltd.</v>
      </c>
      <c r="I158" s="2" t="str">
        <f>IFERROR(__xludf.DUMMYFUNCTION("""COMPUTED_VALUE"""),"168/22 Thapa Gaun, New Banesor-10, Kathmandu.42272949, 9851018025,9751000158")</f>
        <v>168/22 Thapa Gaun, New Banesor-10, Kathmandu.42272949, 9851018025,9751000158</v>
      </c>
      <c r="J158" s="2" t="str">
        <f>IFERROR(__xludf.DUMMYFUNCTION("""COMPUTED_VALUE"""),"26o 58' 08""")</f>
        <v>26o 58' 08"</v>
      </c>
      <c r="K158" s="2" t="str">
        <f>IFERROR(__xludf.DUMMYFUNCTION("""COMPUTED_VALUE"""),"26o 59' 59""")</f>
        <v>26o 59' 59"</v>
      </c>
      <c r="L158" s="2" t="str">
        <f>IFERROR(__xludf.DUMMYFUNCTION("""COMPUTED_VALUE"""),"87o 57' 36""")</f>
        <v>87o 57' 36"</v>
      </c>
      <c r="M158" s="2" t="str">
        <f>IFERROR(__xludf.DUMMYFUNCTION("""COMPUTED_VALUE"""),"87o 58' 26""")</f>
        <v>87o 58' 26"</v>
      </c>
      <c r="N158" s="2" t="str">
        <f>IFERROR(__xludf.DUMMYFUNCTION("""COMPUTED_VALUE"""),"Sumbek,Sulubung,Pyang (Ilam)")</f>
        <v>Sumbek,Sulubung,Pyang (Ilam)</v>
      </c>
      <c r="O158" s="2" t="str">
        <f>IFERROR(__xludf.DUMMYFUNCTION("""COMPUTED_VALUE"""),"2077-02-32")</f>
        <v>2077-02-32</v>
      </c>
    </row>
    <row r="159">
      <c r="A159" s="2">
        <f>IFERROR(__xludf.DUMMYFUNCTION("""COMPUTED_VALUE"""),158.0)</f>
        <v>158</v>
      </c>
      <c r="B159" s="2" t="str">
        <f>IFERROR(__xludf.DUMMYFUNCTION("""COMPUTED_VALUE"""),"Upper Gaddi Gad")</f>
        <v>Upper Gaddi Gad</v>
      </c>
      <c r="C159" s="2">
        <f>IFERROR(__xludf.DUMMYFUNCTION("""COMPUTED_VALUE"""),1.55)</f>
        <v>1.55</v>
      </c>
      <c r="D159" s="2" t="str">
        <f>IFERROR(__xludf.DUMMYFUNCTION("""COMPUTED_VALUE"""),"Gaddi Gad")</f>
        <v>Gaddi Gad</v>
      </c>
      <c r="E159" s="2">
        <f>IFERROR(__xludf.DUMMYFUNCTION("""COMPUTED_VALUE"""),225.0)</f>
        <v>225</v>
      </c>
      <c r="F159" s="3">
        <f>IFERROR(__xludf.DUMMYFUNCTION("""COMPUTED_VALUE"""),63888.0)</f>
        <v>63888</v>
      </c>
      <c r="G159" s="3">
        <f>IFERROR(__xludf.DUMMYFUNCTION("""COMPUTED_VALUE"""),76670.0)</f>
        <v>76670</v>
      </c>
      <c r="H159" s="2" t="str">
        <f>IFERROR(__xludf.DUMMYFUNCTION("""COMPUTED_VALUE"""),"Shaileshwari Power Nepal Ltd.")</f>
        <v>Shaileshwari Power Nepal Ltd.</v>
      </c>
      <c r="I159" s="2" t="str">
        <f>IFERROR(__xludf.DUMMYFUNCTION("""COMPUTED_VALUE"""),"Sankhamul,KMC-31, Phone no: 9843116449/9851018901, email: 
saileshwori.power17@gmail.com")</f>
        <v>Sankhamul,KMC-31, Phone no: 9843116449/9851018901, email: 
saileshwori.power17@gmail.com</v>
      </c>
      <c r="J159" s="2" t="str">
        <f>IFERROR(__xludf.DUMMYFUNCTION("""COMPUTED_VALUE"""),"29o 16' 41""")</f>
        <v>29o 16' 41"</v>
      </c>
      <c r="K159" s="2" t="str">
        <f>IFERROR(__xludf.DUMMYFUNCTION("""COMPUTED_VALUE"""),"29o 17' 23""")</f>
        <v>29o 17' 23"</v>
      </c>
      <c r="L159" s="2" t="str">
        <f>IFERROR(__xludf.DUMMYFUNCTION("""COMPUTED_VALUE"""),"81o 03' 25""")</f>
        <v>81o 03' 25"</v>
      </c>
      <c r="M159" s="2" t="str">
        <f>IFERROR(__xludf.DUMMYFUNCTION("""COMPUTED_VALUE"""),"81o 05' 00""")</f>
        <v>81o 05' 00"</v>
      </c>
      <c r="N159" s="2" t="str">
        <f>IFERROR(__xludf.DUMMYFUNCTION("""COMPUTED_VALUE"""),"Gaihragau,Kadamadaun,Sanagau (Doti)")</f>
        <v>Gaihragau,Kadamadaun,Sanagau (Doti)</v>
      </c>
      <c r="O159" s="3">
        <f>IFERROR(__xludf.DUMMYFUNCTION("""COMPUTED_VALUE"""),66666.0)</f>
        <v>66666</v>
      </c>
    </row>
    <row r="160">
      <c r="A160" s="2">
        <f>IFERROR(__xludf.DUMMYFUNCTION("""COMPUTED_VALUE"""),159.0)</f>
        <v>159</v>
      </c>
      <c r="B160" s="2" t="str">
        <f>IFERROR(__xludf.DUMMYFUNCTION("""COMPUTED_VALUE"""),"Mai Beni HPP")</f>
        <v>Mai Beni HPP</v>
      </c>
      <c r="C160" s="2">
        <f>IFERROR(__xludf.DUMMYFUNCTION("""COMPUTED_VALUE"""),9.51)</f>
        <v>9.51</v>
      </c>
      <c r="D160" s="2" t="str">
        <f>IFERROR(__xludf.DUMMYFUNCTION("""COMPUTED_VALUE"""),"Mai Khola")</f>
        <v>Mai Khola</v>
      </c>
      <c r="E160" s="2">
        <f>IFERROR(__xludf.DUMMYFUNCTION("""COMPUTED_VALUE"""),228.0)</f>
        <v>228</v>
      </c>
      <c r="F160" s="3">
        <f>IFERROR(__xludf.DUMMYFUNCTION("""COMPUTED_VALUE"""),63925.0)</f>
        <v>63925</v>
      </c>
      <c r="G160" s="3">
        <f>IFERROR(__xludf.DUMMYFUNCTION("""COMPUTED_VALUE"""),77072.0)</f>
        <v>77072</v>
      </c>
      <c r="H160" s="2" t="str">
        <f>IFERROR(__xludf.DUMMYFUNCTION("""COMPUTED_VALUE"""),"Samling Power company Pvt.Ltd")</f>
        <v>Samling Power company Pvt.Ltd</v>
      </c>
      <c r="I160" s="2" t="str">
        <f>IFERROR(__xludf.DUMMYFUNCTION("""COMPUTED_VALUE"""),"Baneshwor 10, Kathmandu, Phone no 9851018025, 5539135, 5525228")</f>
        <v>Baneshwor 10, Kathmandu, Phone no 9851018025, 5539135, 5525228</v>
      </c>
      <c r="J160" s="2" t="str">
        <f>IFERROR(__xludf.DUMMYFUNCTION("""COMPUTED_VALUE"""),"26o 53' 09""")</f>
        <v>26o 53' 09"</v>
      </c>
      <c r="K160" s="2" t="str">
        <f>IFERROR(__xludf.DUMMYFUNCTION("""COMPUTED_VALUE"""),"26o 55' 41""")</f>
        <v>26o 55' 41"</v>
      </c>
      <c r="L160" s="2" t="str">
        <f>IFERROR(__xludf.DUMMYFUNCTION("""COMPUTED_VALUE"""),"87o 56' 38""")</f>
        <v>87o 56' 38"</v>
      </c>
      <c r="M160" s="2" t="str">
        <f>IFERROR(__xludf.DUMMYFUNCTION("""COMPUTED_VALUE"""),"87o 57' 30""")</f>
        <v>87o 57' 30"</v>
      </c>
      <c r="N160" s="2" t="str">
        <f>IFERROR(__xludf.DUMMYFUNCTION("""COMPUTED_VALUE"""),"Namsaling,Soyang,Goduk (Ilam)")</f>
        <v>Namsaling,Soyang,Goduk (Ilam)</v>
      </c>
      <c r="O160" s="3">
        <f>IFERROR(__xludf.DUMMYFUNCTION("""COMPUTED_VALUE"""),65167.0)</f>
        <v>65167</v>
      </c>
    </row>
    <row r="161">
      <c r="A161" s="2">
        <f>IFERROR(__xludf.DUMMYFUNCTION("""COMPUTED_VALUE"""),160.0)</f>
        <v>160</v>
      </c>
      <c r="B161" s="2" t="str">
        <f>IFERROR(__xludf.DUMMYFUNCTION("""COMPUTED_VALUE"""),"Upper Chhyandi Small HPP")</f>
        <v>Upper Chhyandi Small HPP</v>
      </c>
      <c r="C161" s="2">
        <f>IFERROR(__xludf.DUMMYFUNCTION("""COMPUTED_VALUE"""),4.0)</f>
        <v>4</v>
      </c>
      <c r="D161" s="2" t="str">
        <f>IFERROR(__xludf.DUMMYFUNCTION("""COMPUTED_VALUE"""),"Chhyangdi")</f>
        <v>Chhyangdi</v>
      </c>
      <c r="E161" s="2">
        <f>IFERROR(__xludf.DUMMYFUNCTION("""COMPUTED_VALUE"""),233.0)</f>
        <v>233</v>
      </c>
      <c r="F161" s="3">
        <f>IFERROR(__xludf.DUMMYFUNCTION("""COMPUTED_VALUE"""),63959.0)</f>
        <v>63959</v>
      </c>
      <c r="G161" s="3">
        <f>IFERROR(__xludf.DUMMYFUNCTION("""COMPUTED_VALUE"""),77106.0)</f>
        <v>77106</v>
      </c>
      <c r="H161" s="2" t="str">
        <f>IFERROR(__xludf.DUMMYFUNCTION("""COMPUTED_VALUE"""),"Chhyandi Hysropower LTD")</f>
        <v>Chhyandi Hysropower LTD</v>
      </c>
      <c r="I161" s="2" t="str">
        <f>IFERROR(__xludf.DUMMYFUNCTION("""COMPUTED_VALUE"""),"Gairidhara-2, Kathmandu, 4426483, PO 19380")</f>
        <v>Gairidhara-2, Kathmandu, 4426483, PO 19380</v>
      </c>
      <c r="J161" s="2" t="str">
        <f>IFERROR(__xludf.DUMMYFUNCTION("""COMPUTED_VALUE"""),"28o 16' 05""")</f>
        <v>28o 16' 05"</v>
      </c>
      <c r="K161" s="2" t="str">
        <f>IFERROR(__xludf.DUMMYFUNCTION("""COMPUTED_VALUE"""),"28o 17' 46""")</f>
        <v>28o 17' 46"</v>
      </c>
      <c r="L161" s="2" t="str">
        <f>IFERROR(__xludf.DUMMYFUNCTION("""COMPUTED_VALUE"""),"84o 28' 38""")</f>
        <v>84o 28' 38"</v>
      </c>
      <c r="M161" s="2" t="str">
        <f>IFERROR(__xludf.DUMMYFUNCTION("""COMPUTED_VALUE"""),"84o 29' 57""")</f>
        <v>84o 29' 57"</v>
      </c>
      <c r="N161" s="2" t="str">
        <f>IFERROR(__xludf.DUMMYFUNCTION("""COMPUTED_VALUE"""),"Bansar,Faleni (Lamjung)")</f>
        <v>Bansar,Faleni (Lamjung)</v>
      </c>
      <c r="O161" s="3">
        <f>IFERROR(__xludf.DUMMYFUNCTION("""COMPUTED_VALUE"""),65251.0)</f>
        <v>65251</v>
      </c>
    </row>
    <row r="162">
      <c r="A162" s="2">
        <f>IFERROR(__xludf.DUMMYFUNCTION("""COMPUTED_VALUE"""),161.0)</f>
        <v>161</v>
      </c>
      <c r="B162" s="2" t="str">
        <f>IFERROR(__xludf.DUMMYFUNCTION("""COMPUTED_VALUE"""),"Upper Phawa HPP")</f>
        <v>Upper Phawa HPP</v>
      </c>
      <c r="C162" s="2">
        <f>IFERROR(__xludf.DUMMYFUNCTION("""COMPUTED_VALUE"""),5.8)</f>
        <v>5.8</v>
      </c>
      <c r="D162" s="2" t="str">
        <f>IFERROR(__xludf.DUMMYFUNCTION("""COMPUTED_VALUE"""),"Phawa Khola")</f>
        <v>Phawa Khola</v>
      </c>
      <c r="E162" s="2">
        <f>IFERROR(__xludf.DUMMYFUNCTION("""COMPUTED_VALUE"""),238.0)</f>
        <v>238</v>
      </c>
      <c r="F162" s="3">
        <f>IFERROR(__xludf.DUMMYFUNCTION("""COMPUTED_VALUE"""),64058.0)</f>
        <v>64058</v>
      </c>
      <c r="G162" s="3">
        <f>IFERROR(__xludf.DUMMYFUNCTION("""COMPUTED_VALUE"""),76840.0)</f>
        <v>76840</v>
      </c>
      <c r="H162" s="2" t="str">
        <f>IFERROR(__xludf.DUMMYFUNCTION("""COMPUTED_VALUE"""),"Unitech Hydropower Company Ltd.")</f>
        <v>Unitech Hydropower Company Ltd.</v>
      </c>
      <c r="I162" s="2" t="str">
        <f>IFERROR(__xludf.DUMMYFUNCTION("""COMPUTED_VALUE"""),"Kathmandu-32. 01-4489018,98560 66100")</f>
        <v>Kathmandu-32. 01-4489018,98560 66100</v>
      </c>
      <c r="J162" s="2" t="str">
        <f>IFERROR(__xludf.DUMMYFUNCTION("""COMPUTED_VALUE"""),"27o 19' 04""")</f>
        <v>27o 19' 04"</v>
      </c>
      <c r="K162" s="2" t="str">
        <f>IFERROR(__xludf.DUMMYFUNCTION("""COMPUTED_VALUE"""),"27o 21' 02""")</f>
        <v>27o 21' 02"</v>
      </c>
      <c r="L162" s="2" t="str">
        <f>IFERROR(__xludf.DUMMYFUNCTION("""COMPUTED_VALUE"""),"87o 46' 05""")</f>
        <v>87o 46' 05"</v>
      </c>
      <c r="M162" s="2" t="str">
        <f>IFERROR(__xludf.DUMMYFUNCTION("""COMPUTED_VALUE"""),"87o 48' 12""")</f>
        <v>87o 48' 12"</v>
      </c>
      <c r="N162" s="2" t="str">
        <f>IFERROR(__xludf.DUMMYFUNCTION("""COMPUTED_VALUE"""),"Sikaicha,Tiringe (Taplejung)")</f>
        <v>Sikaicha,Tiringe (Taplejung)</v>
      </c>
      <c r="O162" s="3">
        <f>IFERROR(__xludf.DUMMYFUNCTION("""COMPUTED_VALUE"""),66119.0)</f>
        <v>66119</v>
      </c>
    </row>
    <row r="163">
      <c r="A163" s="2">
        <f>IFERROR(__xludf.DUMMYFUNCTION("""COMPUTED_VALUE"""),162.0)</f>
        <v>162</v>
      </c>
      <c r="B163" s="2" t="str">
        <f>IFERROR(__xludf.DUMMYFUNCTION("""COMPUTED_VALUE"""),"Puwa II hydropower Project")</f>
        <v>Puwa II hydropower Project</v>
      </c>
      <c r="C163" s="2">
        <f>IFERROR(__xludf.DUMMYFUNCTION("""COMPUTED_VALUE"""),4.96)</f>
        <v>4.96</v>
      </c>
      <c r="D163" s="2" t="str">
        <f>IFERROR(__xludf.DUMMYFUNCTION("""COMPUTED_VALUE"""),"Puwa")</f>
        <v>Puwa</v>
      </c>
      <c r="E163" s="2">
        <f>IFERROR(__xludf.DUMMYFUNCTION("""COMPUTED_VALUE"""),240.0)</f>
        <v>240</v>
      </c>
      <c r="F163" s="3">
        <f>IFERROR(__xludf.DUMMYFUNCTION("""COMPUTED_VALUE"""),64093.0)</f>
        <v>64093</v>
      </c>
      <c r="G163" s="3">
        <f>IFERROR(__xludf.DUMMYFUNCTION("""COMPUTED_VALUE"""),76875.0)</f>
        <v>76875</v>
      </c>
      <c r="H163" s="2" t="str">
        <f>IFERROR(__xludf.DUMMYFUNCTION("""COMPUTED_VALUE"""),"Peoples Power Ltd")</f>
        <v>Peoples Power Ltd</v>
      </c>
      <c r="I163" s="2" t="str">
        <f>IFERROR(__xludf.DUMMYFUNCTION("""COMPUTED_VALUE"""),"Kamal Pokhari Kathmandu; PH. -014462844, 01-4437611")</f>
        <v>Kamal Pokhari Kathmandu; PH. -014462844, 01-4437611</v>
      </c>
      <c r="J163" s="2" t="str">
        <f>IFERROR(__xludf.DUMMYFUNCTION("""COMPUTED_VALUE"""),"26o 57' 14""")</f>
        <v>26o 57' 14"</v>
      </c>
      <c r="K163" s="2" t="str">
        <f>IFERROR(__xludf.DUMMYFUNCTION("""COMPUTED_VALUE"""),"26o 59' 24""")</f>
        <v>26o 59' 24"</v>
      </c>
      <c r="L163" s="2" t="str">
        <f>IFERROR(__xludf.DUMMYFUNCTION("""COMPUTED_VALUE"""),"87o 53' 49""")</f>
        <v>87o 53' 49"</v>
      </c>
      <c r="M163" s="2" t="str">
        <f>IFERROR(__xludf.DUMMYFUNCTION("""COMPUTED_VALUE"""),"87o 54' 34""")</f>
        <v>87o 54' 34"</v>
      </c>
      <c r="N163" s="2" t="str">
        <f>IFERROR(__xludf.DUMMYFUNCTION("""COMPUTED_VALUE"""),"Sakhejung,Maipokhari,Barbote (Ilam)")</f>
        <v>Sakhejung,Maipokhari,Barbote (Ilam)</v>
      </c>
      <c r="O163" s="3">
        <f>IFERROR(__xludf.DUMMYFUNCTION("""COMPUTED_VALUE"""),65604.0)</f>
        <v>65604</v>
      </c>
    </row>
    <row r="164">
      <c r="A164" s="2">
        <f>IFERROR(__xludf.DUMMYFUNCTION("""COMPUTED_VALUE"""),163.0)</f>
        <v>163</v>
      </c>
      <c r="B164" s="2" t="str">
        <f>IFERROR(__xludf.DUMMYFUNCTION("""COMPUTED_VALUE"""),"Nilgiri Khola-II cascade Project")</f>
        <v>Nilgiri Khola-II cascade Project</v>
      </c>
      <c r="C164" s="2">
        <f>IFERROR(__xludf.DUMMYFUNCTION("""COMPUTED_VALUE"""),71.0)</f>
        <v>71</v>
      </c>
      <c r="D164" s="2" t="str">
        <f>IFERROR(__xludf.DUMMYFUNCTION("""COMPUTED_VALUE"""),"Nilgiri")</f>
        <v>Nilgiri</v>
      </c>
      <c r="E164" s="2">
        <f>IFERROR(__xludf.DUMMYFUNCTION("""COMPUTED_VALUE"""),241.0)</f>
        <v>241</v>
      </c>
      <c r="F164" s="3">
        <f>IFERROR(__xludf.DUMMYFUNCTION("""COMPUTED_VALUE"""),64107.0)</f>
        <v>64107</v>
      </c>
      <c r="G164" s="3">
        <f>IFERROR(__xludf.DUMMYFUNCTION("""COMPUTED_VALUE"""),76889.0)</f>
        <v>76889</v>
      </c>
      <c r="H164" s="2" t="str">
        <f>IFERROR(__xludf.DUMMYFUNCTION("""COMPUTED_VALUE"""),"Nilgirikhola Hydropower Company Limited")</f>
        <v>Nilgirikhola Hydropower Company Limited</v>
      </c>
      <c r="I164" s="2" t="str">
        <f>IFERROR(__xludf.DUMMYFUNCTION("""COMPUTED_VALUE"""),"Heritage Plaza -1 Kamaladi,Kathmandu -28, GPO Box: 7970, Tel: 01-416908905")</f>
        <v>Heritage Plaza -1 Kamaladi,Kathmandu -28, GPO Box: 7970, Tel: 01-416908905</v>
      </c>
      <c r="J164" s="2" t="str">
        <f>IFERROR(__xludf.DUMMYFUNCTION("""COMPUTED_VALUE"""),"28o 32' 17""")</f>
        <v>28o 32' 17"</v>
      </c>
      <c r="K164" s="2" t="str">
        <f>IFERROR(__xludf.DUMMYFUNCTION("""COMPUTED_VALUE"""),"28o 34' 37""")</f>
        <v>28o 34' 37"</v>
      </c>
      <c r="L164" s="2" t="str">
        <f>IFERROR(__xludf.DUMMYFUNCTION("""COMPUTED_VALUE"""),"83o 40' 00""")</f>
        <v>83o 40' 00"</v>
      </c>
      <c r="M164" s="2" t="str">
        <f>IFERROR(__xludf.DUMMYFUNCTION("""COMPUTED_VALUE"""),"83o 43' 00""")</f>
        <v>83o 43' 00"</v>
      </c>
      <c r="N164" s="2" t="str">
        <f>IFERROR(__xludf.DUMMYFUNCTION("""COMPUTED_VALUE"""),"Narchyang (Myagdi)")</f>
        <v>Narchyang (Myagdi)</v>
      </c>
      <c r="O164" s="3">
        <f>IFERROR(__xludf.DUMMYFUNCTION("""COMPUTED_VALUE"""),66104.0)</f>
        <v>66104</v>
      </c>
    </row>
    <row r="165">
      <c r="A165" s="2">
        <f>IFERROR(__xludf.DUMMYFUNCTION("""COMPUTED_VALUE"""),164.0)</f>
        <v>164</v>
      </c>
      <c r="B165" s="2" t="str">
        <f>IFERROR(__xludf.DUMMYFUNCTION("""COMPUTED_VALUE"""),"Upper Lohore SHP")</f>
        <v>Upper Lohore SHP</v>
      </c>
      <c r="C165" s="2">
        <f>IFERROR(__xludf.DUMMYFUNCTION("""COMPUTED_VALUE"""),4.0)</f>
        <v>4</v>
      </c>
      <c r="D165" s="2" t="str">
        <f>IFERROR(__xludf.DUMMYFUNCTION("""COMPUTED_VALUE"""),"Lohare Khola")</f>
        <v>Lohare Khola</v>
      </c>
      <c r="E165" s="2">
        <f>IFERROR(__xludf.DUMMYFUNCTION("""COMPUTED_VALUE"""),246.0)</f>
        <v>246</v>
      </c>
      <c r="F165" s="3">
        <f>IFERROR(__xludf.DUMMYFUNCTION("""COMPUTED_VALUE"""),64178.0)</f>
        <v>64178</v>
      </c>
      <c r="G165" s="3">
        <f>IFERROR(__xludf.DUMMYFUNCTION("""COMPUTED_VALUE"""),76960.0)</f>
        <v>76960</v>
      </c>
      <c r="H165" s="2" t="str">
        <f>IFERROR(__xludf.DUMMYFUNCTION("""COMPUTED_VALUE"""),"Upper Lohore Khola Hydropower Company. Pvt. Ltd")</f>
        <v>Upper Lohore Khola Hydropower Company. Pvt. Ltd</v>
      </c>
      <c r="I165" s="2" t="str">
        <f>IFERROR(__xludf.DUMMYFUNCTION("""COMPUTED_VALUE"""),"P.Box.No. 4708,Buddhanagar,Newbaneswor,Kathmandu 4783012,9751029016 &amp; 
9841736253")</f>
        <v>P.Box.No. 4708,Buddhanagar,Newbaneswor,Kathmandu 4783012,9751029016 &amp; 
9841736253</v>
      </c>
      <c r="J165" s="2" t="str">
        <f>IFERROR(__xludf.DUMMYFUNCTION("""COMPUTED_VALUE"""),"28o 56' 01""")</f>
        <v>28o 56' 01"</v>
      </c>
      <c r="K165" s="2" t="str">
        <f>IFERROR(__xludf.DUMMYFUNCTION("""COMPUTED_VALUE"""),"28o 57' 21""")</f>
        <v>28o 57' 21"</v>
      </c>
      <c r="L165" s="2" t="str">
        <f>IFERROR(__xludf.DUMMYFUNCTION("""COMPUTED_VALUE"""),"81o 48' 13""")</f>
        <v>81o 48' 13"</v>
      </c>
      <c r="M165" s="2" t="str">
        <f>IFERROR(__xludf.DUMMYFUNCTION("""COMPUTED_VALUE"""),"81o 48' 40""")</f>
        <v>81o 48' 40"</v>
      </c>
      <c r="N165" s="2" t="str">
        <f>IFERROR(__xludf.DUMMYFUNCTION("""COMPUTED_VALUE"""),"Baluwatar (Dailekh)")</f>
        <v>Baluwatar (Dailekh)</v>
      </c>
      <c r="O165" s="3">
        <f>IFERROR(__xludf.DUMMYFUNCTION("""COMPUTED_VALUE"""),66480.0)</f>
        <v>66480</v>
      </c>
    </row>
    <row r="166">
      <c r="A166" s="2">
        <f>IFERROR(__xludf.DUMMYFUNCTION("""COMPUTED_VALUE"""),165.0)</f>
        <v>165</v>
      </c>
      <c r="B166" s="2" t="str">
        <f>IFERROR(__xludf.DUMMYFUNCTION("""COMPUTED_VALUE"""),"Super Mai Khola Cascade HPP")</f>
        <v>Super Mai Khola Cascade HPP</v>
      </c>
      <c r="C166" s="2">
        <f>IFERROR(__xludf.DUMMYFUNCTION("""COMPUTED_VALUE"""),3.0)</f>
        <v>3</v>
      </c>
      <c r="D166" s="2" t="str">
        <f>IFERROR(__xludf.DUMMYFUNCTION("""COMPUTED_VALUE"""),"Mai Khola")</f>
        <v>Mai Khola</v>
      </c>
      <c r="E166" s="2">
        <f>IFERROR(__xludf.DUMMYFUNCTION("""COMPUTED_VALUE"""),250.0)</f>
        <v>250</v>
      </c>
      <c r="F166" s="3">
        <f>IFERROR(__xludf.DUMMYFUNCTION("""COMPUTED_VALUE"""),64228.0)</f>
        <v>64228</v>
      </c>
      <c r="G166" s="3">
        <f>IFERROR(__xludf.DUMMYFUNCTION("""COMPUTED_VALUE"""),77010.0)</f>
        <v>77010</v>
      </c>
      <c r="H166" s="2" t="str">
        <f>IFERROR(__xludf.DUMMYFUNCTION("""COMPUTED_VALUE"""),"Mai Khola Hydropower Pvt.Ltd.")</f>
        <v>Mai Khola Hydropower Pvt.Ltd.</v>
      </c>
      <c r="I166" s="2" t="str">
        <f>IFERROR(__xludf.DUMMYFUNCTION("""COMPUTED_VALUE"""),"Kathmandu-10, Thapagaun; 01-4227294, 4468423, 9851018025")</f>
        <v>Kathmandu-10, Thapagaun; 01-4227294, 4468423, 9851018025</v>
      </c>
      <c r="J166" s="2" t="str">
        <f>IFERROR(__xludf.DUMMYFUNCTION("""COMPUTED_VALUE"""),"26o 55' 41""")</f>
        <v>26o 55' 41"</v>
      </c>
      <c r="K166" s="2" t="str">
        <f>IFERROR(__xludf.DUMMYFUNCTION("""COMPUTED_VALUE"""),"26o 56' 27""")</f>
        <v>26o 56' 27"</v>
      </c>
      <c r="L166" s="2" t="str">
        <f>IFERROR(__xludf.DUMMYFUNCTION("""COMPUTED_VALUE"""),"87o 56' 34""")</f>
        <v>87o 56' 34"</v>
      </c>
      <c r="M166" s="2" t="str">
        <f>IFERROR(__xludf.DUMMYFUNCTION("""COMPUTED_VALUE"""),"87o 57' 13""")</f>
        <v>87o 57' 13"</v>
      </c>
      <c r="N166" s="2" t="str">
        <f>IFERROR(__xludf.DUMMYFUNCTION("""COMPUTED_VALUE"""),"Soyang,Barbote (Ilam)")</f>
        <v>Soyang,Barbote (Ilam)</v>
      </c>
      <c r="O166" s="3">
        <f>IFERROR(__xludf.DUMMYFUNCTION("""COMPUTED_VALUE"""),64740.0)</f>
        <v>64740</v>
      </c>
    </row>
    <row r="167">
      <c r="A167" s="2">
        <f>IFERROR(__xludf.DUMMYFUNCTION("""COMPUTED_VALUE"""),166.0)</f>
        <v>166</v>
      </c>
      <c r="B167" s="2" t="str">
        <f>IFERROR(__xludf.DUMMYFUNCTION("""COMPUTED_VALUE"""),"Upper Rahughat")</f>
        <v>Upper Rahughat</v>
      </c>
      <c r="C167" s="2">
        <f>IFERROR(__xludf.DUMMYFUNCTION("""COMPUTED_VALUE"""),48.5)</f>
        <v>48.5</v>
      </c>
      <c r="D167" s="2" t="str">
        <f>IFERROR(__xludf.DUMMYFUNCTION("""COMPUTED_VALUE"""),"Rahughat")</f>
        <v>Rahughat</v>
      </c>
      <c r="E167" s="2">
        <f>IFERROR(__xludf.DUMMYFUNCTION("""COMPUTED_VALUE"""),253.0)</f>
        <v>253</v>
      </c>
      <c r="F167" s="3">
        <f>IFERROR(__xludf.DUMMYFUNCTION("""COMPUTED_VALUE"""),64264.0)</f>
        <v>64264</v>
      </c>
      <c r="G167" s="3">
        <f>IFERROR(__xludf.DUMMYFUNCTION("""COMPUTED_VALUE"""),77046.0)</f>
        <v>77046</v>
      </c>
      <c r="H167" s="2" t="str">
        <f>IFERROR(__xludf.DUMMYFUNCTION("""COMPUTED_VALUE"""),"Tudi Power Company Pvt.Ltd")</f>
        <v>Tudi Power Company Pvt.Ltd</v>
      </c>
      <c r="I167" s="2" t="str">
        <f>IFERROR(__xludf.DUMMYFUNCTION("""COMPUTED_VALUE"""),"P.O.Box 6341, Sanepa Lalitpur, Phone 01-5555573, 01-5555574; 
tundicons@gmail.com")</f>
        <v>P.O.Box 6341, Sanepa Lalitpur, Phone 01-5555573, 01-5555574; 
tundicons@gmail.com</v>
      </c>
      <c r="J167" s="2" t="str">
        <f>IFERROR(__xludf.DUMMYFUNCTION("""COMPUTED_VALUE"""),"28o 25' 46""")</f>
        <v>28o 25' 46"</v>
      </c>
      <c r="K167" s="2" t="str">
        <f>IFERROR(__xludf.DUMMYFUNCTION("""COMPUTED_VALUE"""),"28o 28' 30""")</f>
        <v>28o 28' 30"</v>
      </c>
      <c r="L167" s="2" t="str">
        <f>IFERROR(__xludf.DUMMYFUNCTION("""COMPUTED_VALUE"""),"83o 30' 00""")</f>
        <v>83o 30' 00"</v>
      </c>
      <c r="M167" s="2" t="str">
        <f>IFERROR(__xludf.DUMMYFUNCTION("""COMPUTED_VALUE"""),"83o 31' 50""")</f>
        <v>83o 31' 50"</v>
      </c>
      <c r="N167" s="2" t="str">
        <f>IFERROR(__xludf.DUMMYFUNCTION("""COMPUTED_VALUE"""),"Chimkhola,Dagnam,Jhin,Pakhapani (Myagdi)")</f>
        <v>Chimkhola,Dagnam,Jhin,Pakhapani (Myagdi)</v>
      </c>
      <c r="O167" s="3">
        <f>IFERROR(__xludf.DUMMYFUNCTION("""COMPUTED_VALUE"""),66664.0)</f>
        <v>66664</v>
      </c>
    </row>
    <row r="168">
      <c r="A168" s="2">
        <f>IFERROR(__xludf.DUMMYFUNCTION("""COMPUTED_VALUE"""),167.0)</f>
        <v>167</v>
      </c>
      <c r="B168" s="2" t="str">
        <f>IFERROR(__xludf.DUMMYFUNCTION("""COMPUTED_VALUE"""),"Super Hewa HPP")</f>
        <v>Super Hewa HPP</v>
      </c>
      <c r="C168" s="2">
        <f>IFERROR(__xludf.DUMMYFUNCTION("""COMPUTED_VALUE"""),6.0)</f>
        <v>6</v>
      </c>
      <c r="D168" s="2" t="str">
        <f>IFERROR(__xludf.DUMMYFUNCTION("""COMPUTED_VALUE"""),"Hewa (Sankhuwasabha)")</f>
        <v>Hewa (Sankhuwasabha)</v>
      </c>
      <c r="E168" s="2">
        <f>IFERROR(__xludf.DUMMYFUNCTION("""COMPUTED_VALUE"""),254.0)</f>
        <v>254</v>
      </c>
      <c r="F168" s="3">
        <f>IFERROR(__xludf.DUMMYFUNCTION("""COMPUTED_VALUE"""),64279.0)</f>
        <v>64279</v>
      </c>
      <c r="G168" s="3">
        <f>IFERROR(__xludf.DUMMYFUNCTION("""COMPUTED_VALUE"""),77061.0)</f>
        <v>77061</v>
      </c>
      <c r="H168" s="2" t="str">
        <f>IFERROR(__xludf.DUMMYFUNCTION("""COMPUTED_VALUE"""),"Super Hewa Power Co. Ltd.")</f>
        <v>Super Hewa Power Co. Ltd.</v>
      </c>
      <c r="I168" s="2" t="str">
        <f>IFERROR(__xludf.DUMMYFUNCTION("""COMPUTED_VALUE"""),"Kathmandu-32, Anamnagar.P O BOX 21363,9851027259; superhewapc@gmail.com")</f>
        <v>Kathmandu-32, Anamnagar.P O BOX 21363,9851027259; superhewapc@gmail.com</v>
      </c>
      <c r="J168" s="2" t="str">
        <f>IFERROR(__xludf.DUMMYFUNCTION("""COMPUTED_VALUE"""),"27o 20' 55""")</f>
        <v>27o 20' 55"</v>
      </c>
      <c r="K168" s="2" t="str">
        <f>IFERROR(__xludf.DUMMYFUNCTION("""COMPUTED_VALUE"""),"27o 22' 15""")</f>
        <v>27o 22' 15"</v>
      </c>
      <c r="L168" s="2" t="str">
        <f>IFERROR(__xludf.DUMMYFUNCTION("""COMPUTED_VALUE"""),"87o 22' 25""")</f>
        <v>87o 22' 25"</v>
      </c>
      <c r="M168" s="2" t="str">
        <f>IFERROR(__xludf.DUMMYFUNCTION("""COMPUTED_VALUE"""),"87o 24' 22""")</f>
        <v>87o 24' 22"</v>
      </c>
      <c r="N168" s="2" t="str">
        <f>IFERROR(__xludf.DUMMYFUNCTION("""COMPUTED_VALUE"""),"Jaljala,Siddhapokhari (Sankhuwasabha)")</f>
        <v>Jaljala,Siddhapokhari (Sankhuwasabha)</v>
      </c>
      <c r="O168" s="3">
        <f>IFERROR(__xludf.DUMMYFUNCTION("""COMPUTED_VALUE"""),66477.0)</f>
        <v>66477</v>
      </c>
    </row>
    <row r="169">
      <c r="A169" s="2">
        <f>IFERROR(__xludf.DUMMYFUNCTION("""COMPUTED_VALUE"""),168.0)</f>
        <v>168</v>
      </c>
      <c r="B169" s="2" t="str">
        <f>IFERROR(__xludf.DUMMYFUNCTION("""COMPUTED_VALUE"""),"Upper Richet Khola SHP")</f>
        <v>Upper Richet Khola SHP</v>
      </c>
      <c r="C169" s="2">
        <f>IFERROR(__xludf.DUMMYFUNCTION("""COMPUTED_VALUE"""),2.0)</f>
        <v>2</v>
      </c>
      <c r="D169" s="2" t="str">
        <f>IFERROR(__xludf.DUMMYFUNCTION("""COMPUTED_VALUE"""),"Richet")</f>
        <v>Richet</v>
      </c>
      <c r="E169" s="2">
        <f>IFERROR(__xludf.DUMMYFUNCTION("""COMPUTED_VALUE"""),258.0)</f>
        <v>258</v>
      </c>
      <c r="F169" s="3">
        <f>IFERROR(__xludf.DUMMYFUNCTION("""COMPUTED_VALUE"""),64322.0)</f>
        <v>64322</v>
      </c>
      <c r="G169" s="3">
        <f>IFERROR(__xludf.DUMMYFUNCTION("""COMPUTED_VALUE"""),77469.0)</f>
        <v>77469</v>
      </c>
      <c r="H169" s="2" t="str">
        <f>IFERROR(__xludf.DUMMYFUNCTION("""COMPUTED_VALUE"""),"Upper Richet Hydropower Pvt. Ltd.")</f>
        <v>Upper Richet Hydropower Pvt. Ltd.</v>
      </c>
      <c r="I169" s="2" t="str">
        <f>IFERROR(__xludf.DUMMYFUNCTION("""COMPUTED_VALUE"""),"Lalitpur-1, Kupondole; tel: 01-4472349; emai: urhppl@gmail.com")</f>
        <v>Lalitpur-1, Kupondole; tel: 01-4472349; emai: urhppl@gmail.com</v>
      </c>
      <c r="J169" s="2" t="str">
        <f>IFERROR(__xludf.DUMMYFUNCTION("""COMPUTED_VALUE"""),"28o 10' 56""")</f>
        <v>28o 10' 56"</v>
      </c>
      <c r="K169" s="2" t="str">
        <f>IFERROR(__xludf.DUMMYFUNCTION("""COMPUTED_VALUE"""),"28o 11' 53""")</f>
        <v>28o 11' 53"</v>
      </c>
      <c r="L169" s="2" t="str">
        <f>IFERROR(__xludf.DUMMYFUNCTION("""COMPUTED_VALUE"""),"84o 55' 52""")</f>
        <v>84o 55' 52"</v>
      </c>
      <c r="M169" s="2" t="str">
        <f>IFERROR(__xludf.DUMMYFUNCTION("""COMPUTED_VALUE"""),"84o 56' 49""")</f>
        <v>84o 56' 49"</v>
      </c>
      <c r="N169" s="2" t="str">
        <f>IFERROR(__xludf.DUMMYFUNCTION("""COMPUTED_VALUE"""),"Kashigaun,Manbu (Gorkha)")</f>
        <v>Kashigaun,Manbu (Gorkha)</v>
      </c>
      <c r="O169" s="3">
        <f>IFERROR(__xludf.DUMMYFUNCTION("""COMPUTED_VALUE"""),66258.0)</f>
        <v>66258</v>
      </c>
    </row>
    <row r="170">
      <c r="A170" s="2">
        <f>IFERROR(__xludf.DUMMYFUNCTION("""COMPUTED_VALUE"""),169.0)</f>
        <v>169</v>
      </c>
      <c r="B170" s="2" t="str">
        <f>IFERROR(__xludf.DUMMYFUNCTION("""COMPUTED_VALUE"""),"Lower Jogmai Khola HPP")</f>
        <v>Lower Jogmai Khola HPP</v>
      </c>
      <c r="C170" s="2">
        <f>IFERROR(__xludf.DUMMYFUNCTION("""COMPUTED_VALUE"""),6.2)</f>
        <v>6.2</v>
      </c>
      <c r="D170" s="2" t="str">
        <f>IFERROR(__xludf.DUMMYFUNCTION("""COMPUTED_VALUE"""),"Jogmai Khola")</f>
        <v>Jogmai Khola</v>
      </c>
      <c r="E170" s="2">
        <f>IFERROR(__xludf.DUMMYFUNCTION("""COMPUTED_VALUE"""),264.0)</f>
        <v>264</v>
      </c>
      <c r="F170" s="3">
        <f>IFERROR(__xludf.DUMMYFUNCTION("""COMPUTED_VALUE"""),64356.0)</f>
        <v>64356</v>
      </c>
      <c r="G170" s="3">
        <f>IFERROR(__xludf.DUMMYFUNCTION("""COMPUTED_VALUE"""),77503.0)</f>
        <v>77503</v>
      </c>
      <c r="H170" s="2" t="str">
        <f>IFERROR(__xludf.DUMMYFUNCTION("""COMPUTED_VALUE"""),"Asian Hydropower Pvt. Ltd")</f>
        <v>Asian Hydropower Pvt. Ltd</v>
      </c>
      <c r="I170" s="2" t="str">
        <f>IFERROR(__xludf.DUMMYFUNCTION("""COMPUTED_VALUE"""),"Kathmandu-10 New Baneshwor, P.O. Box 9879, 4491882,4470887, 9851018025")</f>
        <v>Kathmandu-10 New Baneshwor, P.O. Box 9879, 4491882,4470887, 9851018025</v>
      </c>
      <c r="J170" s="2" t="str">
        <f>IFERROR(__xludf.DUMMYFUNCTION("""COMPUTED_VALUE"""),"26o 53' 00""")</f>
        <v>26o 53' 00"</v>
      </c>
      <c r="K170" s="2" t="str">
        <f>IFERROR(__xludf.DUMMYFUNCTION("""COMPUTED_VALUE"""),"26o 53' 56""")</f>
        <v>26o 53' 56"</v>
      </c>
      <c r="L170" s="2" t="str">
        <f>IFERROR(__xludf.DUMMYFUNCTION("""COMPUTED_VALUE"""),"87o 57' 26""")</f>
        <v>87o 57' 26"</v>
      </c>
      <c r="M170" s="2" t="str">
        <f>IFERROR(__xludf.DUMMYFUNCTION("""COMPUTED_VALUE"""),"87o 59' 50""")</f>
        <v>87o 59' 50"</v>
      </c>
      <c r="N170" s="2" t="str">
        <f>IFERROR(__xludf.DUMMYFUNCTION("""COMPUTED_VALUE"""),"Namsaling,Goduk,Panchakanya (Ilam)")</f>
        <v>Namsaling,Goduk,Panchakanya (Ilam)</v>
      </c>
      <c r="O170" s="3">
        <f>IFERROR(__xludf.DUMMYFUNCTION("""COMPUTED_VALUE"""),65211.0)</f>
        <v>65211</v>
      </c>
    </row>
    <row r="171">
      <c r="A171" s="2">
        <f>IFERROR(__xludf.DUMMYFUNCTION("""COMPUTED_VALUE"""),170.0)</f>
        <v>170</v>
      </c>
      <c r="B171" s="2" t="str">
        <f>IFERROR(__xludf.DUMMYFUNCTION("""COMPUTED_VALUE"""),"Upper Suri Khola HPP")</f>
        <v>Upper Suri Khola HPP</v>
      </c>
      <c r="C171" s="2">
        <f>IFERROR(__xludf.DUMMYFUNCTION("""COMPUTED_VALUE"""),7.0)</f>
        <v>7</v>
      </c>
      <c r="D171" s="2" t="str">
        <f>IFERROR(__xludf.DUMMYFUNCTION("""COMPUTED_VALUE"""),"Hulak,Kolung")</f>
        <v>Hulak,Kolung</v>
      </c>
      <c r="E171" s="2">
        <f>IFERROR(__xludf.DUMMYFUNCTION("""COMPUTED_VALUE"""),268.0)</f>
        <v>268</v>
      </c>
      <c r="F171" s="3">
        <f>IFERROR(__xludf.DUMMYFUNCTION("""COMPUTED_VALUE"""),64390.0)</f>
        <v>64390</v>
      </c>
      <c r="G171" s="3">
        <f>IFERROR(__xludf.DUMMYFUNCTION("""COMPUTED_VALUE"""),77171.0)</f>
        <v>77171</v>
      </c>
      <c r="H171" s="2" t="str">
        <f>IFERROR(__xludf.DUMMYFUNCTION("""COMPUTED_VALUE"""),"Makar Jitumaya Hudropower Pvt.Ltd.")</f>
        <v>Makar Jitumaya Hudropower Pvt.Ltd.</v>
      </c>
      <c r="I171" s="2" t="str">
        <f>IFERROR(__xludf.DUMMYFUNCTION("""COMPUTED_VALUE"""),"Kathmandu-11,Tripureswor,")</f>
        <v>Kathmandu-11,Tripureswor,</v>
      </c>
      <c r="J171" s="2" t="str">
        <f>IFERROR(__xludf.DUMMYFUNCTION("""COMPUTED_VALUE"""),"27o 43' 30""")</f>
        <v>27o 43' 30"</v>
      </c>
      <c r="K171" s="2" t="str">
        <f>IFERROR(__xludf.DUMMYFUNCTION("""COMPUTED_VALUE"""),"27o 44' 30""")</f>
        <v>27o 44' 30"</v>
      </c>
      <c r="L171" s="2" t="str">
        <f>IFERROR(__xludf.DUMMYFUNCTION("""COMPUTED_VALUE"""),"86o 15' 10""")</f>
        <v>86o 15' 10"</v>
      </c>
      <c r="M171" s="2" t="str">
        <f>IFERROR(__xludf.DUMMYFUNCTION("""COMPUTED_VALUE"""),"86o 17' 00""")</f>
        <v>86o 17' 00"</v>
      </c>
      <c r="N171" s="2" t="str">
        <f>IFERROR(__xludf.DUMMYFUNCTION("""COMPUTED_VALUE"""),"Chankhu (Dolakha)")</f>
        <v>Chankhu (Dolakha)</v>
      </c>
      <c r="O171" s="3">
        <f>IFERROR(__xludf.DUMMYFUNCTION("""COMPUTED_VALUE"""),65979.0)</f>
        <v>65979</v>
      </c>
    </row>
    <row r="172">
      <c r="A172" s="2">
        <f>IFERROR(__xludf.DUMMYFUNCTION("""COMPUTED_VALUE"""),171.0)</f>
        <v>171</v>
      </c>
      <c r="B172" s="2" t="str">
        <f>IFERROR(__xludf.DUMMYFUNCTION("""COMPUTED_VALUE"""),"Upper Midim Khola SHP")</f>
        <v>Upper Midim Khola SHP</v>
      </c>
      <c r="C172" s="2">
        <f>IFERROR(__xludf.DUMMYFUNCTION("""COMPUTED_VALUE"""),7.5)</f>
        <v>7.5</v>
      </c>
      <c r="D172" s="2" t="str">
        <f>IFERROR(__xludf.DUMMYFUNCTION("""COMPUTED_VALUE"""),"Midim Khola")</f>
        <v>Midim Khola</v>
      </c>
      <c r="E172" s="2">
        <f>IFERROR(__xludf.DUMMYFUNCTION("""COMPUTED_VALUE"""),272.0)</f>
        <v>272</v>
      </c>
      <c r="F172" s="3">
        <f>IFERROR(__xludf.DUMMYFUNCTION("""COMPUTED_VALUE"""),64431.0)</f>
        <v>64431</v>
      </c>
      <c r="G172" s="3">
        <f>IFERROR(__xludf.DUMMYFUNCTION("""COMPUTED_VALUE"""),77212.0)</f>
        <v>77212</v>
      </c>
      <c r="H172" s="2" t="str">
        <f>IFERROR(__xludf.DUMMYFUNCTION("""COMPUTED_VALUE"""),"Bhujung Hydro Power Ltd.,")</f>
        <v>Bhujung Hydro Power Ltd.,</v>
      </c>
      <c r="I172" s="2" t="str">
        <f>IFERROR(__xludf.DUMMYFUNCTION("""COMPUTED_VALUE"""),"Kathmandu-34, Baneshowr, Kathmandu,4480564,9851026587")</f>
        <v>Kathmandu-34, Baneshowr, Kathmandu,4480564,9851026587</v>
      </c>
      <c r="J172" s="2" t="str">
        <f>IFERROR(__xludf.DUMMYFUNCTION("""COMPUTED_VALUE"""),"28o 19' 01""")</f>
        <v>28o 19' 01"</v>
      </c>
      <c r="K172" s="2" t="str">
        <f>IFERROR(__xludf.DUMMYFUNCTION("""COMPUTED_VALUE"""),"28o 20' 50""")</f>
        <v>28o 20' 50"</v>
      </c>
      <c r="L172" s="2" t="str">
        <f>IFERROR(__xludf.DUMMYFUNCTION("""COMPUTED_VALUE"""),"84o 14' 40""")</f>
        <v>84o 14' 40"</v>
      </c>
      <c r="M172" s="2" t="str">
        <f>IFERROR(__xludf.DUMMYFUNCTION("""COMPUTED_VALUE"""),"84o 15' 54""")</f>
        <v>84o 15' 54"</v>
      </c>
      <c r="N172" s="2" t="str">
        <f>IFERROR(__xludf.DUMMYFUNCTION("""COMPUTED_VALUE"""),"Bhujung (Lamjung)")</f>
        <v>Bhujung (Lamjung)</v>
      </c>
      <c r="O172" s="3">
        <f>IFERROR(__xludf.DUMMYFUNCTION("""COMPUTED_VALUE"""),66117.0)</f>
        <v>66117</v>
      </c>
    </row>
    <row r="173">
      <c r="A173" s="2">
        <f>IFERROR(__xludf.DUMMYFUNCTION("""COMPUTED_VALUE"""),172.0)</f>
        <v>172</v>
      </c>
      <c r="B173" s="2" t="str">
        <f>IFERROR(__xludf.DUMMYFUNCTION("""COMPUTED_VALUE"""),"Upper Chameliya HP")</f>
        <v>Upper Chameliya HP</v>
      </c>
      <c r="C173" s="2">
        <f>IFERROR(__xludf.DUMMYFUNCTION("""COMPUTED_VALUE"""),40.0)</f>
        <v>40</v>
      </c>
      <c r="D173" s="2" t="str">
        <f>IFERROR(__xludf.DUMMYFUNCTION("""COMPUTED_VALUE"""),"Chameliya Khola")</f>
        <v>Chameliya Khola</v>
      </c>
      <c r="E173" s="2">
        <f>IFERROR(__xludf.DUMMYFUNCTION("""COMPUTED_VALUE"""),273.0)</f>
        <v>273</v>
      </c>
      <c r="F173" s="3">
        <f>IFERROR(__xludf.DUMMYFUNCTION("""COMPUTED_VALUE"""),64448.0)</f>
        <v>64448</v>
      </c>
      <c r="G173" s="3">
        <f>IFERROR(__xludf.DUMMYFUNCTION("""COMPUTED_VALUE"""),77229.0)</f>
        <v>77229</v>
      </c>
      <c r="H173" s="2" t="str">
        <f>IFERROR(__xludf.DUMMYFUNCTION("""COMPUTED_VALUE"""),"Api Power Co. Ltd")</f>
        <v>Api Power Co. Ltd</v>
      </c>
      <c r="I173" s="2" t="str">
        <f>IFERROR(__xludf.DUMMYFUNCTION("""COMPUTED_VALUE"""),"Trade Tower Thapathali, Kathmandu 11, ph 01-5111037,9801147087 (sanjib); 
email: info@apihydro.com; Web: www.apihydro.com")</f>
        <v>Trade Tower Thapathali, Kathmandu 11, ph 01-5111037,9801147087 (sanjib); 
email: info@apihydro.com; Web: www.apihydro.com</v>
      </c>
      <c r="J173" s="2" t="str">
        <f>IFERROR(__xludf.DUMMYFUNCTION("""COMPUTED_VALUE"""),"29o 44' 20""")</f>
        <v>29o 44' 20"</v>
      </c>
      <c r="K173" s="2" t="str">
        <f>IFERROR(__xludf.DUMMYFUNCTION("""COMPUTED_VALUE"""),"29o 46' 57""")</f>
        <v>29o 46' 57"</v>
      </c>
      <c r="L173" s="2" t="str">
        <f>IFERROR(__xludf.DUMMYFUNCTION("""COMPUTED_VALUE"""),"80o 46' 50""")</f>
        <v>80o 46' 50"</v>
      </c>
      <c r="M173" s="2" t="str">
        <f>IFERROR(__xludf.DUMMYFUNCTION("""COMPUTED_VALUE"""),"80o 49' 12""")</f>
        <v>80o 49' 12"</v>
      </c>
      <c r="N173" s="2" t="str">
        <f>IFERROR(__xludf.DUMMYFUNCTION("""COMPUTED_VALUE"""),"Tapoban,Latinath,Guljar,Sitaula (Darchula)")</f>
        <v>Tapoban,Latinath,Guljar,Sitaula (Darchula)</v>
      </c>
      <c r="O173" s="3">
        <f>IFERROR(__xludf.DUMMYFUNCTION("""COMPUTED_VALUE"""),65864.0)</f>
        <v>65864</v>
      </c>
    </row>
    <row r="174">
      <c r="A174" s="2">
        <f>IFERROR(__xludf.DUMMYFUNCTION("""COMPUTED_VALUE"""),173.0)</f>
        <v>173</v>
      </c>
      <c r="B174" s="2" t="str">
        <f>IFERROR(__xludf.DUMMYFUNCTION("""COMPUTED_VALUE"""),"Kabeli B1 Cascade HPP")</f>
        <v>Kabeli B1 Cascade HPP</v>
      </c>
      <c r="C174" s="2">
        <f>IFERROR(__xludf.DUMMYFUNCTION("""COMPUTED_VALUE"""),9.94)</f>
        <v>9.94</v>
      </c>
      <c r="D174" s="2" t="str">
        <f>IFERROR(__xludf.DUMMYFUNCTION("""COMPUTED_VALUE"""),"Kabeli Khola")</f>
        <v>Kabeli Khola</v>
      </c>
      <c r="E174" s="2">
        <f>IFERROR(__xludf.DUMMYFUNCTION("""COMPUTED_VALUE"""),277.0)</f>
        <v>277</v>
      </c>
      <c r="F174" s="3">
        <f>IFERROR(__xludf.DUMMYFUNCTION("""COMPUTED_VALUE"""),64492.0)</f>
        <v>64492</v>
      </c>
      <c r="G174" s="3">
        <f>IFERROR(__xludf.DUMMYFUNCTION("""COMPUTED_VALUE"""),77639.0)</f>
        <v>77639</v>
      </c>
      <c r="H174" s="2" t="str">
        <f>IFERROR(__xludf.DUMMYFUNCTION("""COMPUTED_VALUE"""),"Arun Valley Hydropower Development Company Ltd.")</f>
        <v>Arun Valley Hydropower Development Company Ltd.</v>
      </c>
      <c r="I174" s="2" t="str">
        <f>IFERROR(__xludf.DUMMYFUNCTION("""COMPUTED_VALUE"""),"Trade Tower Nepal, 2 nd floor,Thapathali, Kathmandu")</f>
        <v>Trade Tower Nepal, 2 nd floor,Thapathali, Kathmandu</v>
      </c>
      <c r="J174" s="2" t="str">
        <f>IFERROR(__xludf.DUMMYFUNCTION("""COMPUTED_VALUE"""),"27o 16' 02""")</f>
        <v>27o 16' 02"</v>
      </c>
      <c r="K174" s="2" t="str">
        <f>IFERROR(__xludf.DUMMYFUNCTION("""COMPUTED_VALUE"""),"27o 16' 50""")</f>
        <v>27o 16' 50"</v>
      </c>
      <c r="L174" s="2" t="str">
        <f>IFERROR(__xludf.DUMMYFUNCTION("""COMPUTED_VALUE"""),"87o 45' 51""")</f>
        <v>87o 45' 51"</v>
      </c>
      <c r="M174" s="2" t="str">
        <f>IFERROR(__xludf.DUMMYFUNCTION("""COMPUTED_VALUE"""),"87o 47' 00""")</f>
        <v>87o 47' 00"</v>
      </c>
      <c r="N174" s="2" t="str">
        <f>IFERROR(__xludf.DUMMYFUNCTION("""COMPUTED_VALUE"""),"Ambarpur,Nagi (Panchthar)")</f>
        <v>Ambarpur,Nagi (Panchthar)</v>
      </c>
      <c r="O174" s="3">
        <f>IFERROR(__xludf.DUMMYFUNCTION("""COMPUTED_VALUE"""),65361.0)</f>
        <v>65361</v>
      </c>
    </row>
    <row r="175">
      <c r="A175" s="2">
        <f>IFERROR(__xludf.DUMMYFUNCTION("""COMPUTED_VALUE"""),174.0)</f>
        <v>174</v>
      </c>
      <c r="B175" s="2" t="str">
        <f>IFERROR(__xludf.DUMMYFUNCTION("""COMPUTED_VALUE"""),"Sagu Khola HEP")</f>
        <v>Sagu Khola HEP</v>
      </c>
      <c r="C175" s="2">
        <f>IFERROR(__xludf.DUMMYFUNCTION("""COMPUTED_VALUE"""),20.0)</f>
        <v>20</v>
      </c>
      <c r="D175" s="2" t="str">
        <f>IFERROR(__xludf.DUMMYFUNCTION("""COMPUTED_VALUE"""),"Sangu Khola")</f>
        <v>Sangu Khola</v>
      </c>
      <c r="E175" s="2">
        <f>IFERROR(__xludf.DUMMYFUNCTION("""COMPUTED_VALUE"""),278.0)</f>
        <v>278</v>
      </c>
      <c r="F175" s="3">
        <f>IFERROR(__xludf.DUMMYFUNCTION("""COMPUTED_VALUE"""),64509.0)</f>
        <v>64509</v>
      </c>
      <c r="G175" s="3">
        <f>IFERROR(__xludf.DUMMYFUNCTION("""COMPUTED_VALUE"""),77290.0)</f>
        <v>77290</v>
      </c>
      <c r="H175" s="2" t="str">
        <f>IFERROR(__xludf.DUMMYFUNCTION("""COMPUTED_VALUE"""),"Him Parbat Hydropower Pvt. Ltd.")</f>
        <v>Him Parbat Hydropower Pvt. Ltd.</v>
      </c>
      <c r="I175" s="2" t="str">
        <f>IFERROR(__xludf.DUMMYFUNCTION("""COMPUTED_VALUE"""),"World Trade Centre, Tripureshwor 5th floor, Kathmandu, 
01-4117008,01-4117079,himal Gurung 9851053161, P.O Box 8941")</f>
        <v>World Trade Centre, Tripureshwor 5th floor, Kathmandu, 
01-4117008,01-4117079,himal Gurung 9851053161, P.O Box 8941</v>
      </c>
      <c r="J175" s="2" t="str">
        <f>IFERROR(__xludf.DUMMYFUNCTION("""COMPUTED_VALUE"""),"27o 47' 18""")</f>
        <v>27o 47' 18"</v>
      </c>
      <c r="K175" s="2" t="str">
        <f>IFERROR(__xludf.DUMMYFUNCTION("""COMPUTED_VALUE"""),"27o 49' 49""")</f>
        <v>27o 49' 49"</v>
      </c>
      <c r="L175" s="2" t="str">
        <f>IFERROR(__xludf.DUMMYFUNCTION("""COMPUTED_VALUE"""),"86o 05' 35""")</f>
        <v>86o 05' 35"</v>
      </c>
      <c r="M175" s="2" t="str">
        <f>IFERROR(__xludf.DUMMYFUNCTION("""COMPUTED_VALUE"""),"86o 07' 20""")</f>
        <v>86o 07' 20"</v>
      </c>
      <c r="N175" s="2" t="str">
        <f>IFERROR(__xludf.DUMMYFUNCTION("""COMPUTED_VALUE"""),"Alampu,Chilankha,Khupachagu (Dolakha)")</f>
        <v>Alampu,Chilankha,Khupachagu (Dolakha)</v>
      </c>
      <c r="O175" s="3">
        <f>IFERROR(__xludf.DUMMYFUNCTION("""COMPUTED_VALUE"""),66652.0)</f>
        <v>66652</v>
      </c>
    </row>
    <row r="176">
      <c r="A176" s="2">
        <f>IFERROR(__xludf.DUMMYFUNCTION("""COMPUTED_VALUE"""),175.0)</f>
        <v>175</v>
      </c>
      <c r="B176" s="2" t="str">
        <f>IFERROR(__xludf.DUMMYFUNCTION("""COMPUTED_VALUE"""),"Chepe Khola Small HEP")</f>
        <v>Chepe Khola Small HEP</v>
      </c>
      <c r="C176" s="2">
        <f>IFERROR(__xludf.DUMMYFUNCTION("""COMPUTED_VALUE"""),8.63)</f>
        <v>8.63</v>
      </c>
      <c r="D176" s="2" t="str">
        <f>IFERROR(__xludf.DUMMYFUNCTION("""COMPUTED_VALUE"""),"Chepe Khola")</f>
        <v>Chepe Khola</v>
      </c>
      <c r="E176" s="2">
        <f>IFERROR(__xludf.DUMMYFUNCTION("""COMPUTED_VALUE"""),279.0)</f>
        <v>279</v>
      </c>
      <c r="F176" s="3">
        <f>IFERROR(__xludf.DUMMYFUNCTION("""COMPUTED_VALUE"""),64513.0)</f>
        <v>64513</v>
      </c>
      <c r="G176" s="3">
        <f>IFERROR(__xludf.DUMMYFUNCTION("""COMPUTED_VALUE"""),77660.0)</f>
        <v>77660</v>
      </c>
      <c r="H176" s="2" t="str">
        <f>IFERROR(__xludf.DUMMYFUNCTION("""COMPUTED_VALUE"""),"Aashutosh Investment Pvt. Ltd.")</f>
        <v>Aashutosh Investment Pvt. Ltd.</v>
      </c>
      <c r="I176" s="2" t="str">
        <f>IFERROR(__xludf.DUMMYFUNCTION("""COMPUTED_VALUE"""),"KMC-16, Kathmandu, 01-4359237 (Jivraj Kandel)")</f>
        <v>KMC-16, Kathmandu, 01-4359237 (Jivraj Kandel)</v>
      </c>
      <c r="J176" s="2" t="str">
        <f>IFERROR(__xludf.DUMMYFUNCTION("""COMPUTED_VALUE"""),"28o 10' 39""")</f>
        <v>28o 10' 39"</v>
      </c>
      <c r="K176" s="2" t="str">
        <f>IFERROR(__xludf.DUMMYFUNCTION("""COMPUTED_VALUE"""),"28o 12' 55""")</f>
        <v>28o 12' 55"</v>
      </c>
      <c r="L176" s="2" t="str">
        <f>IFERROR(__xludf.DUMMYFUNCTION("""COMPUTED_VALUE"""),"84o 37' 43""")</f>
        <v>84o 37' 43"</v>
      </c>
      <c r="M176" s="2" t="str">
        <f>IFERROR(__xludf.DUMMYFUNCTION("""COMPUTED_VALUE"""),"84o 39' 05""")</f>
        <v>84o 39' 05"</v>
      </c>
      <c r="N176" s="2" t="str">
        <f>IFERROR(__xludf.DUMMYFUNCTION("""COMPUTED_VALUE"""),"Kharibot (Gorkha) Dudhpokhari (Lamjung)")</f>
        <v>Kharibot (Gorkha) Dudhpokhari (Lamjung)</v>
      </c>
      <c r="O176" s="3">
        <f>IFERROR(__xludf.DUMMYFUNCTION("""COMPUTED_VALUE"""),65547.0)</f>
        <v>65547</v>
      </c>
    </row>
    <row r="177">
      <c r="A177" s="2">
        <f>IFERROR(__xludf.DUMMYFUNCTION("""COMPUTED_VALUE"""),176.0)</f>
        <v>176</v>
      </c>
      <c r="B177" s="2" t="str">
        <f>IFERROR(__xludf.DUMMYFUNCTION("""COMPUTED_VALUE"""),"Dudhkunda Khola HEP")</f>
        <v>Dudhkunda Khola HEP</v>
      </c>
      <c r="C177" s="2">
        <f>IFERROR(__xludf.DUMMYFUNCTION("""COMPUTED_VALUE"""),12.0)</f>
        <v>12</v>
      </c>
      <c r="D177" s="2" t="str">
        <f>IFERROR(__xludf.DUMMYFUNCTION("""COMPUTED_VALUE"""),"Solu Khola")</f>
        <v>Solu Khola</v>
      </c>
      <c r="E177" s="2">
        <f>IFERROR(__xludf.DUMMYFUNCTION("""COMPUTED_VALUE"""),280.0)</f>
        <v>280</v>
      </c>
      <c r="F177" s="3">
        <f>IFERROR(__xludf.DUMMYFUNCTION("""COMPUTED_VALUE"""),64515.0)</f>
        <v>64515</v>
      </c>
      <c r="G177" s="3">
        <f>IFERROR(__xludf.DUMMYFUNCTION("""COMPUTED_VALUE"""),77296.0)</f>
        <v>77296</v>
      </c>
      <c r="H177" s="2" t="str">
        <f>IFERROR(__xludf.DUMMYFUNCTION("""COMPUTED_VALUE"""),"Mount Everest Power Development P.Ltd.")</f>
        <v>Mount Everest Power Development P.Ltd.</v>
      </c>
      <c r="I177" s="2" t="str">
        <f>IFERROR(__xludf.DUMMYFUNCTION("""COMPUTED_VALUE"""),"Mahalaxmisthan , Lalitpur-13, Ph. 01-5523784,5527469, 9851039258(Arjun 
Paudel)")</f>
        <v>Mahalaxmisthan , Lalitpur-13, Ph. 01-5523784,5527469, 9851039258(Arjun 
Paudel)</v>
      </c>
      <c r="J177" s="2" t="str">
        <f>IFERROR(__xludf.DUMMYFUNCTION("""COMPUTED_VALUE"""),"27o 35' 10""")</f>
        <v>27o 35' 10"</v>
      </c>
      <c r="K177" s="2" t="str">
        <f>IFERROR(__xludf.DUMMYFUNCTION("""COMPUTED_VALUE"""),"27o 37' 05""")</f>
        <v>27o 37' 05"</v>
      </c>
      <c r="L177" s="2" t="str">
        <f>IFERROR(__xludf.DUMMYFUNCTION("""COMPUTED_VALUE"""),"86o 35' 52""")</f>
        <v>86o 35' 52"</v>
      </c>
      <c r="M177" s="2" t="str">
        <f>IFERROR(__xludf.DUMMYFUNCTION("""COMPUTED_VALUE"""),"86o 36' 48""")</f>
        <v>86o 36' 48"</v>
      </c>
      <c r="N177" s="2" t="str">
        <f>IFERROR(__xludf.DUMMYFUNCTION("""COMPUTED_VALUE"""),"Beni,Takasindu (Solukhumbu)")</f>
        <v>Beni,Takasindu (Solukhumbu)</v>
      </c>
      <c r="O177" s="3">
        <f>IFERROR(__xludf.DUMMYFUNCTION("""COMPUTED_VALUE"""),66217.0)</f>
        <v>66217</v>
      </c>
    </row>
    <row r="178">
      <c r="A178" s="2">
        <f>IFERROR(__xludf.DUMMYFUNCTION("""COMPUTED_VALUE"""),177.0)</f>
        <v>177</v>
      </c>
      <c r="B178" s="2" t="str">
        <f>IFERROR(__xludf.DUMMYFUNCTION("""COMPUTED_VALUE"""),"Upper Machha Khola HEP")</f>
        <v>Upper Machha Khola HEP</v>
      </c>
      <c r="C178" s="2">
        <f>IFERROR(__xludf.DUMMYFUNCTION("""COMPUTED_VALUE"""),4.55)</f>
        <v>4.55</v>
      </c>
      <c r="D178" s="2" t="str">
        <f>IFERROR(__xludf.DUMMYFUNCTION("""COMPUTED_VALUE"""),"Machha Khola")</f>
        <v>Machha Khola</v>
      </c>
      <c r="E178" s="2">
        <f>IFERROR(__xludf.DUMMYFUNCTION("""COMPUTED_VALUE"""),283.0)</f>
        <v>283</v>
      </c>
      <c r="F178" s="3">
        <f>IFERROR(__xludf.DUMMYFUNCTION("""COMPUTED_VALUE"""),64557.0)</f>
        <v>64557</v>
      </c>
      <c r="G178" s="3">
        <f>IFERROR(__xludf.DUMMYFUNCTION("""COMPUTED_VALUE"""),77338.0)</f>
        <v>77338</v>
      </c>
      <c r="H178" s="2" t="str">
        <f>IFERROR(__xludf.DUMMYFUNCTION("""COMPUTED_VALUE"""),"Bikash Hydropower Company Pvt. Ltd.")</f>
        <v>Bikash Hydropower Company Pvt. Ltd.</v>
      </c>
      <c r="I178" s="2" t="str">
        <f>IFERROR(__xludf.DUMMYFUNCTION("""COMPUTED_VALUE"""),"Maharajgunj-3, Kathmandu, 01-4445083, 4445084, 9851073099, Contact no; 
Krishna prasad ghimire")</f>
        <v>Maharajgunj-3, Kathmandu, 01-4445083, 4445084, 9851073099, Contact no; 
Krishna prasad ghimire</v>
      </c>
      <c r="J178" s="2" t="str">
        <f>IFERROR(__xludf.DUMMYFUNCTION("""COMPUTED_VALUE"""),"28o 12' 33""")</f>
        <v>28o 12' 33"</v>
      </c>
      <c r="K178" s="2" t="str">
        <f>IFERROR(__xludf.DUMMYFUNCTION("""COMPUTED_VALUE"""),"28o 13' 20""")</f>
        <v>28o 13' 20"</v>
      </c>
      <c r="L178" s="2" t="str">
        <f>IFERROR(__xludf.DUMMYFUNCTION("""COMPUTED_VALUE"""),"84o 48' 27""")</f>
        <v>84o 48' 27"</v>
      </c>
      <c r="M178" s="2" t="str">
        <f>IFERROR(__xludf.DUMMYFUNCTION("""COMPUTED_VALUE"""),"84o 49' 27""")</f>
        <v>84o 49' 27"</v>
      </c>
      <c r="N178" s="2" t="str">
        <f>IFERROR(__xludf.DUMMYFUNCTION("""COMPUTED_VALUE"""),"Gumda,Laprak (Gorkha)")</f>
        <v>Gumda,Laprak (Gorkha)</v>
      </c>
      <c r="O178" s="3">
        <f>IFERROR(__xludf.DUMMYFUNCTION("""COMPUTED_VALUE"""),65701.0)</f>
        <v>65701</v>
      </c>
    </row>
    <row r="179">
      <c r="A179" s="2">
        <f>IFERROR(__xludf.DUMMYFUNCTION("""COMPUTED_VALUE"""),178.0)</f>
        <v>178</v>
      </c>
      <c r="B179" s="2" t="str">
        <f>IFERROR(__xludf.DUMMYFUNCTION("""COMPUTED_VALUE"""),"Bhim Khola Small HEP")</f>
        <v>Bhim Khola Small HEP</v>
      </c>
      <c r="C179" s="2">
        <f>IFERROR(__xludf.DUMMYFUNCTION("""COMPUTED_VALUE"""),4.96)</f>
        <v>4.96</v>
      </c>
      <c r="D179" s="2" t="str">
        <f>IFERROR(__xludf.DUMMYFUNCTION("""COMPUTED_VALUE"""),"Bhim Khola")</f>
        <v>Bhim Khola</v>
      </c>
      <c r="E179" s="2">
        <f>IFERROR(__xludf.DUMMYFUNCTION("""COMPUTED_VALUE"""),284.0)</f>
        <v>284</v>
      </c>
      <c r="F179" s="3">
        <f>IFERROR(__xludf.DUMMYFUNCTION("""COMPUTED_VALUE"""),64557.0)</f>
        <v>64557</v>
      </c>
      <c r="G179" s="3">
        <f>IFERROR(__xludf.DUMMYFUNCTION("""COMPUTED_VALUE"""),77704.0)</f>
        <v>77704</v>
      </c>
      <c r="H179" s="2" t="str">
        <f>IFERROR(__xludf.DUMMYFUNCTION("""COMPUTED_VALUE"""),"Shikhar Power Development Pvt.Ltd.")</f>
        <v>Shikhar Power Development Pvt.Ltd.</v>
      </c>
      <c r="I179" s="2" t="str">
        <f>IFERROR(__xludf.DUMMYFUNCTION("""COMPUTED_VALUE"""),"Baneshower, Kathmandu 9851133303")</f>
        <v>Baneshower, Kathmandu 9851133303</v>
      </c>
      <c r="J179" s="2" t="str">
        <f>IFERROR(__xludf.DUMMYFUNCTION("""COMPUTED_VALUE"""),"28o 17' 05""")</f>
        <v>28o 17' 05"</v>
      </c>
      <c r="K179" s="2" t="str">
        <f>IFERROR(__xludf.DUMMYFUNCTION("""COMPUTED_VALUE"""),"28o 17' 42""")</f>
        <v>28o 17' 42"</v>
      </c>
      <c r="L179" s="2" t="str">
        <f>IFERROR(__xludf.DUMMYFUNCTION("""COMPUTED_VALUE"""),"83o 12' 54""")</f>
        <v>83o 12' 54"</v>
      </c>
      <c r="M179" s="2" t="str">
        <f>IFERROR(__xludf.DUMMYFUNCTION("""COMPUTED_VALUE"""),"83o 14' 40""")</f>
        <v>83o 14' 40"</v>
      </c>
      <c r="N179" s="2" t="str">
        <f>IFERROR(__xludf.DUMMYFUNCTION("""COMPUTED_VALUE"""),"Gwalichaur,Bhinggithe,Ranasinkiteni (Baglung)")</f>
        <v>Gwalichaur,Bhinggithe,Ranasinkiteni (Baglung)</v>
      </c>
      <c r="O179" s="3">
        <f>IFERROR(__xludf.DUMMYFUNCTION("""COMPUTED_VALUE"""),66440.0)</f>
        <v>66440</v>
      </c>
    </row>
    <row r="180">
      <c r="A180" s="2">
        <f>IFERROR(__xludf.DUMMYFUNCTION("""COMPUTED_VALUE"""),179.0)</f>
        <v>179</v>
      </c>
      <c r="B180" s="2" t="str">
        <f>IFERROR(__xludf.DUMMYFUNCTION("""COMPUTED_VALUE"""),"Jogmai Cascade")</f>
        <v>Jogmai Cascade</v>
      </c>
      <c r="C180" s="2">
        <f>IFERROR(__xludf.DUMMYFUNCTION("""COMPUTED_VALUE"""),5.2)</f>
        <v>5.2</v>
      </c>
      <c r="D180" s="2" t="str">
        <f>IFERROR(__xludf.DUMMYFUNCTION("""COMPUTED_VALUE"""),"Jogmai Khola")</f>
        <v>Jogmai Khola</v>
      </c>
      <c r="E180" s="2">
        <f>IFERROR(__xludf.DUMMYFUNCTION("""COMPUTED_VALUE"""),285.0)</f>
        <v>285</v>
      </c>
      <c r="F180" s="3">
        <f>IFERROR(__xludf.DUMMYFUNCTION("""COMPUTED_VALUE"""),64559.0)</f>
        <v>64559</v>
      </c>
      <c r="G180" s="3">
        <f>IFERROR(__xludf.DUMMYFUNCTION("""COMPUTED_VALUE"""),77706.0)</f>
        <v>77706</v>
      </c>
      <c r="H180" s="2" t="str">
        <f>IFERROR(__xludf.DUMMYFUNCTION("""COMPUTED_VALUE"""),"Sanvi Energy Pvt. Ltd.")</f>
        <v>Sanvi Energy Pvt. Ltd.</v>
      </c>
      <c r="I180" s="2" t="str">
        <f>IFERROR(__xludf.DUMMYFUNCTION("""COMPUTED_VALUE"""),"Kupondole, Lalitpur. PO Box: 9875 EPC 3141")</f>
        <v>Kupondole, Lalitpur. PO Box: 9875 EPC 3141</v>
      </c>
      <c r="J180" s="2" t="str">
        <f>IFERROR(__xludf.DUMMYFUNCTION("""COMPUTED_VALUE"""),"26o 53' 47""")</f>
        <v>26o 53' 47"</v>
      </c>
      <c r="K180" s="2" t="str">
        <f>IFERROR(__xludf.DUMMYFUNCTION("""COMPUTED_VALUE"""),"26o 54' 52""")</f>
        <v>26o 54' 52"</v>
      </c>
      <c r="L180" s="2" t="str">
        <f>IFERROR(__xludf.DUMMYFUNCTION("""COMPUTED_VALUE"""),"87o 59' 50""")</f>
        <v>87o 59' 50"</v>
      </c>
      <c r="M180" s="2" t="str">
        <f>IFERROR(__xludf.DUMMYFUNCTION("""COMPUTED_VALUE"""),"88o 01' 09""")</f>
        <v>88o 01' 09"</v>
      </c>
      <c r="N180" s="2" t="str">
        <f>IFERROR(__xludf.DUMMYFUNCTION("""COMPUTED_VALUE"""),"Namsaling (Ilam)")</f>
        <v>Namsaling (Ilam)</v>
      </c>
      <c r="O180" s="3">
        <f>IFERROR(__xludf.DUMMYFUNCTION("""COMPUTED_VALUE"""),66546.0)</f>
        <v>66546</v>
      </c>
    </row>
    <row r="181">
      <c r="A181" s="2">
        <f>IFERROR(__xludf.DUMMYFUNCTION("""COMPUTED_VALUE"""),180.0)</f>
        <v>180</v>
      </c>
      <c r="B181" s="2" t="str">
        <f>IFERROR(__xludf.DUMMYFUNCTION("""COMPUTED_VALUE"""),"Sagu khola 1 HPP")</f>
        <v>Sagu khola 1 HPP</v>
      </c>
      <c r="C181" s="2">
        <f>IFERROR(__xludf.DUMMYFUNCTION("""COMPUTED_VALUE"""),5.5)</f>
        <v>5.5</v>
      </c>
      <c r="D181" s="2" t="str">
        <f>IFERROR(__xludf.DUMMYFUNCTION("""COMPUTED_VALUE"""),"Sagu")</f>
        <v>Sagu</v>
      </c>
      <c r="E181" s="2">
        <f>IFERROR(__xludf.DUMMYFUNCTION("""COMPUTED_VALUE"""),292.0)</f>
        <v>292</v>
      </c>
      <c r="F181" s="3">
        <f>IFERROR(__xludf.DUMMYFUNCTION("""COMPUTED_VALUE"""),64579.0)</f>
        <v>64579</v>
      </c>
      <c r="G181" s="3">
        <f>IFERROR(__xludf.DUMMYFUNCTION("""COMPUTED_VALUE"""),77360.0)</f>
        <v>77360</v>
      </c>
      <c r="H181" s="2" t="str">
        <f>IFERROR(__xludf.DUMMYFUNCTION("""COMPUTED_VALUE"""),"Him Parbat Hydropower Pvt. Ltd")</f>
        <v>Him Parbat Hydropower Pvt. Ltd</v>
      </c>
      <c r="I181" s="2" t="str">
        <f>IFERROR(__xludf.DUMMYFUNCTION("""COMPUTED_VALUE"""),"Tripureshwor 11 KTM, 4117079, 9851053161")</f>
        <v>Tripureshwor 11 KTM, 4117079, 9851053161</v>
      </c>
      <c r="J181" s="2" t="str">
        <f>IFERROR(__xludf.DUMMYFUNCTION("""COMPUTED_VALUE"""),"27o 49' 49""")</f>
        <v>27o 49' 49"</v>
      </c>
      <c r="K181" s="2" t="str">
        <f>IFERROR(__xludf.DUMMYFUNCTION("""COMPUTED_VALUE"""),"27o 50' 39""")</f>
        <v>27o 50' 39"</v>
      </c>
      <c r="L181" s="2" t="str">
        <f>IFERROR(__xludf.DUMMYFUNCTION("""COMPUTED_VALUE"""),"86o 05' 48""")</f>
        <v>86o 05' 48"</v>
      </c>
      <c r="M181" s="2" t="str">
        <f>IFERROR(__xludf.DUMMYFUNCTION("""COMPUTED_VALUE"""),"86o 06' 40""")</f>
        <v>86o 06' 40"</v>
      </c>
      <c r="N181" s="2" t="str">
        <f>IFERROR(__xludf.DUMMYFUNCTION("""COMPUTED_VALUE"""),"Alampu,Chilankha (Dolakha)")</f>
        <v>Alampu,Chilankha (Dolakha)</v>
      </c>
      <c r="O181" s="3">
        <f>IFERROR(__xludf.DUMMYFUNCTION("""COMPUTED_VALUE"""),66574.0)</f>
        <v>66574</v>
      </c>
    </row>
    <row r="182">
      <c r="A182" s="2">
        <f>IFERROR(__xludf.DUMMYFUNCTION("""COMPUTED_VALUE"""),181.0)</f>
        <v>181</v>
      </c>
      <c r="B182" s="2" t="str">
        <f>IFERROR(__xludf.DUMMYFUNCTION("""COMPUTED_VALUE"""),"Thulo Khola Hydropower Project")</f>
        <v>Thulo Khola Hydropower Project</v>
      </c>
      <c r="C182" s="2">
        <f>IFERROR(__xludf.DUMMYFUNCTION("""COMPUTED_VALUE"""),21.3)</f>
        <v>21.3</v>
      </c>
      <c r="D182" s="2" t="str">
        <f>IFERROR(__xludf.DUMMYFUNCTION("""COMPUTED_VALUE"""),"Thulo Khola")</f>
        <v>Thulo Khola</v>
      </c>
      <c r="E182" s="2">
        <f>IFERROR(__xludf.DUMMYFUNCTION("""COMPUTED_VALUE"""),294.0)</f>
        <v>294</v>
      </c>
      <c r="F182" s="3">
        <f>IFERROR(__xludf.DUMMYFUNCTION("""COMPUTED_VALUE"""),64629.0)</f>
        <v>64629</v>
      </c>
      <c r="G182" s="3">
        <f>IFERROR(__xludf.DUMMYFUNCTION("""COMPUTED_VALUE"""),77410.0)</f>
        <v>77410</v>
      </c>
      <c r="H182" s="2" t="str">
        <f>IFERROR(__xludf.DUMMYFUNCTION("""COMPUTED_VALUE"""),"Samyukta Urja Ltd.")</f>
        <v>Samyukta Urja Ltd.</v>
      </c>
      <c r="I182" s="2" t="str">
        <f>IFERROR(__xludf.DUMMYFUNCTION("""COMPUTED_VALUE"""),"kupondole, Lalitpur, samyuktaurja@gmail.com")</f>
        <v>kupondole, Lalitpur, samyuktaurja@gmail.com</v>
      </c>
      <c r="J182" s="2" t="str">
        <f>IFERROR(__xludf.DUMMYFUNCTION("""COMPUTED_VALUE"""),"28o 32' 46""")</f>
        <v>28o 32' 46"</v>
      </c>
      <c r="K182" s="2" t="str">
        <f>IFERROR(__xludf.DUMMYFUNCTION("""COMPUTED_VALUE"""),"28o 34' 56""")</f>
        <v>28o 34' 56"</v>
      </c>
      <c r="L182" s="2" t="str">
        <f>IFERROR(__xludf.DUMMYFUNCTION("""COMPUTED_VALUE"""),"83o 31' 00""")</f>
        <v>83o 31' 00"</v>
      </c>
      <c r="M182" s="2" t="str">
        <f>IFERROR(__xludf.DUMMYFUNCTION("""COMPUTED_VALUE"""),"83o 33' 00""")</f>
        <v>83o 33' 00"</v>
      </c>
      <c r="N182" s="2" t="str">
        <f>IFERROR(__xludf.DUMMYFUNCTION("""COMPUTED_VALUE"""),"Kuinemangale (Myagdi)")</f>
        <v>Kuinemangale (Myagdi)</v>
      </c>
      <c r="O182" s="3">
        <f>IFERROR(__xludf.DUMMYFUNCTION("""COMPUTED_VALUE"""),66605.0)</f>
        <v>66605</v>
      </c>
    </row>
    <row r="183">
      <c r="A183" s="2">
        <f>IFERROR(__xludf.DUMMYFUNCTION("""COMPUTED_VALUE"""),182.0)</f>
        <v>182</v>
      </c>
      <c r="B183" s="2" t="str">
        <f>IFERROR(__xludf.DUMMYFUNCTION("""COMPUTED_VALUE"""),"Chepe Khola HEP")</f>
        <v>Chepe Khola HEP</v>
      </c>
      <c r="C183" s="2">
        <f>IFERROR(__xludf.DUMMYFUNCTION("""COMPUTED_VALUE"""),7.0)</f>
        <v>7</v>
      </c>
      <c r="D183" s="2" t="str">
        <f>IFERROR(__xludf.DUMMYFUNCTION("""COMPUTED_VALUE"""),"Chepe Khola")</f>
        <v>Chepe Khola</v>
      </c>
      <c r="E183" s="2">
        <f>IFERROR(__xludf.DUMMYFUNCTION("""COMPUTED_VALUE"""),297.0)</f>
        <v>297</v>
      </c>
      <c r="F183" s="3">
        <f>IFERROR(__xludf.DUMMYFUNCTION("""COMPUTED_VALUE"""),64696.0)</f>
        <v>64696</v>
      </c>
      <c r="G183" s="3">
        <f>IFERROR(__xludf.DUMMYFUNCTION("""COMPUTED_VALUE"""),77477.0)</f>
        <v>77477</v>
      </c>
      <c r="H183" s="2" t="str">
        <f>IFERROR(__xludf.DUMMYFUNCTION("""COMPUTED_VALUE"""),"Champawati Hydro Power P.Ltd")</f>
        <v>Champawati Hydro Power P.Ltd</v>
      </c>
      <c r="I183" s="2" t="str">
        <f>IFERROR(__xludf.DUMMYFUNCTION("""COMPUTED_VALUE"""),"Kathmandu -14 Balkhu,4036085,4036086")</f>
        <v>Kathmandu -14 Balkhu,4036085,4036086</v>
      </c>
      <c r="J183" s="2" t="str">
        <f>IFERROR(__xludf.DUMMYFUNCTION("""COMPUTED_VALUE"""),"28o 07' 10""")</f>
        <v>28o 07' 10"</v>
      </c>
      <c r="K183" s="2" t="str">
        <f>IFERROR(__xludf.DUMMYFUNCTION("""COMPUTED_VALUE"""),"28o 08' 23""")</f>
        <v>28o 08' 23"</v>
      </c>
      <c r="L183" s="2" t="str">
        <f>IFERROR(__xludf.DUMMYFUNCTION("""COMPUTED_VALUE"""),"84o 33' 06""")</f>
        <v>84o 33' 06"</v>
      </c>
      <c r="M183" s="2" t="str">
        <f>IFERROR(__xludf.DUMMYFUNCTION("""COMPUTED_VALUE"""),"84o 35' 00""")</f>
        <v>84o 35' 00"</v>
      </c>
      <c r="N183" s="2" t="str">
        <f>IFERROR(__xludf.DUMMYFUNCTION("""COMPUTED_VALUE"""),"Thalajung,Kerabari (Gorkha)")</f>
        <v>Thalajung,Kerabari (Gorkha)</v>
      </c>
      <c r="O183" s="3">
        <f>IFERROR(__xludf.DUMMYFUNCTION("""COMPUTED_VALUE"""),66195.0)</f>
        <v>66195</v>
      </c>
    </row>
    <row r="184">
      <c r="A184" s="2">
        <f>IFERROR(__xludf.DUMMYFUNCTION("""COMPUTED_VALUE"""),183.0)</f>
        <v>183</v>
      </c>
      <c r="B184" s="2" t="str">
        <f>IFERROR(__xludf.DUMMYFUNCTION("""COMPUTED_VALUE"""),"Madme Khola HPP")</f>
        <v>Madme Khola HPP</v>
      </c>
      <c r="C184" s="2">
        <f>IFERROR(__xludf.DUMMYFUNCTION("""COMPUTED_VALUE"""),24.0)</f>
        <v>24</v>
      </c>
      <c r="D184" s="2" t="str">
        <f>IFERROR(__xludf.DUMMYFUNCTION("""COMPUTED_VALUE"""),"Madme Khola")</f>
        <v>Madme Khola</v>
      </c>
      <c r="E184" s="2">
        <f>IFERROR(__xludf.DUMMYFUNCTION("""COMPUTED_VALUE"""),299.0)</f>
        <v>299</v>
      </c>
      <c r="F184" s="3">
        <f>IFERROR(__xludf.DUMMYFUNCTION("""COMPUTED_VALUE"""),64712.0)</f>
        <v>64712</v>
      </c>
      <c r="G184" s="3">
        <f>IFERROR(__xludf.DUMMYFUNCTION("""COMPUTED_VALUE"""),77494.0)</f>
        <v>77494</v>
      </c>
      <c r="H184" s="2" t="str">
        <f>IFERROR(__xludf.DUMMYFUNCTION("""COMPUTED_VALUE"""),"Madme Khola Hydropower Ltd.")</f>
        <v>Madme Khola Hydropower Ltd.</v>
      </c>
      <c r="I184" s="2" t="str">
        <f>IFERROR(__xludf.DUMMYFUNCTION("""COMPUTED_VALUE"""),"Lalitpur-10, Somnath Kandel: 9851201536, madamekhola24@gmail.com, 015450934")</f>
        <v>Lalitpur-10, Somnath Kandel: 9851201536, madamekhola24@gmail.com, 015450934</v>
      </c>
      <c r="J184" s="2" t="str">
        <f>IFERROR(__xludf.DUMMYFUNCTION("""COMPUTED_VALUE"""),"28o 25' 30""")</f>
        <v>28o 25' 30"</v>
      </c>
      <c r="K184" s="2" t="str">
        <f>IFERROR(__xludf.DUMMYFUNCTION("""COMPUTED_VALUE"""),"28o 26' 20""")</f>
        <v>28o 26' 20"</v>
      </c>
      <c r="L184" s="2" t="str">
        <f>IFERROR(__xludf.DUMMYFUNCTION("""COMPUTED_VALUE"""),"84o 07' 04""")</f>
        <v>84o 07' 04"</v>
      </c>
      <c r="M184" s="2" t="str">
        <f>IFERROR(__xludf.DUMMYFUNCTION("""COMPUTED_VALUE"""),"84o 09' 12""")</f>
        <v>84o 09' 12"</v>
      </c>
      <c r="N184" s="2" t="str">
        <f>IFERROR(__xludf.DUMMYFUNCTION("""COMPUTED_VALUE"""),"Namarjung (Kaski)")</f>
        <v>Namarjung (Kaski)</v>
      </c>
      <c r="O184" s="3">
        <f>IFERROR(__xludf.DUMMYFUNCTION("""COMPUTED_VALUE"""),66731.0)</f>
        <v>66731</v>
      </c>
    </row>
    <row r="185">
      <c r="A185" s="2">
        <f>IFERROR(__xludf.DUMMYFUNCTION("""COMPUTED_VALUE"""),184.0)</f>
        <v>184</v>
      </c>
      <c r="B185" s="2" t="str">
        <f>IFERROR(__xludf.DUMMYFUNCTION("""COMPUTED_VALUE"""),"Seti Khola HPP")</f>
        <v>Seti Khola HPP</v>
      </c>
      <c r="C185" s="2">
        <f>IFERROR(__xludf.DUMMYFUNCTION("""COMPUTED_VALUE"""),25.0)</f>
        <v>25</v>
      </c>
      <c r="D185" s="2" t="str">
        <f>IFERROR(__xludf.DUMMYFUNCTION("""COMPUTED_VALUE"""),"Seti Khola (Gandaki)")</f>
        <v>Seti Khola (Gandaki)</v>
      </c>
      <c r="E185" s="2">
        <f>IFERROR(__xludf.DUMMYFUNCTION("""COMPUTED_VALUE"""),304.0)</f>
        <v>304</v>
      </c>
      <c r="F185" s="3">
        <f>IFERROR(__xludf.DUMMYFUNCTION("""COMPUTED_VALUE"""),64724.0)</f>
        <v>64724</v>
      </c>
      <c r="G185" s="3">
        <f>IFERROR(__xludf.DUMMYFUNCTION("""COMPUTED_VALUE"""),77506.0)</f>
        <v>77506</v>
      </c>
      <c r="H185" s="2" t="str">
        <f>IFERROR(__xludf.DUMMYFUNCTION("""COMPUTED_VALUE"""),"Vision Lumbini Urja Company Limited.")</f>
        <v>Vision Lumbini Urja Company Limited.</v>
      </c>
      <c r="I185" s="2" t="str">
        <f>IFERROR(__xludf.DUMMYFUNCTION("""COMPUTED_VALUE"""),"Butwal-8, Rupandehi, 071-549494, 548464,9857025140")</f>
        <v>Butwal-8, Rupandehi, 071-549494, 548464,9857025140</v>
      </c>
      <c r="J185" s="2" t="str">
        <f>IFERROR(__xludf.DUMMYFUNCTION("""COMPUTED_VALUE"""),"28o 18' 40""")</f>
        <v>28o 18' 40"</v>
      </c>
      <c r="K185" s="2" t="str">
        <f>IFERROR(__xludf.DUMMYFUNCTION("""COMPUTED_VALUE"""),"28o 22' 12""")</f>
        <v>28o 22' 12"</v>
      </c>
      <c r="L185" s="2" t="str">
        <f>IFERROR(__xludf.DUMMYFUNCTION("""COMPUTED_VALUE"""),"83o 57' 15""")</f>
        <v>83o 57' 15"</v>
      </c>
      <c r="M185" s="2" t="str">
        <f>IFERROR(__xludf.DUMMYFUNCTION("""COMPUTED_VALUE"""),"83o 58' 30""")</f>
        <v>83o 58' 30"</v>
      </c>
      <c r="N185" s="2" t="str">
        <f>IFERROR(__xludf.DUMMYFUNCTION("""COMPUTED_VALUE"""),"Ghachok,Machhapuchchhre,Purachaur,Sardikhola (Kaski)")</f>
        <v>Ghachok,Machhapuchchhre,Purachaur,Sardikhola (Kaski)</v>
      </c>
      <c r="O185" s="3">
        <f>IFERROR(__xludf.DUMMYFUNCTION("""COMPUTED_VALUE"""),66319.0)</f>
        <v>66319</v>
      </c>
    </row>
    <row r="186">
      <c r="A186" s="2">
        <f>IFERROR(__xludf.DUMMYFUNCTION("""COMPUTED_VALUE"""),185.0)</f>
        <v>185</v>
      </c>
      <c r="B186" s="2" t="str">
        <f>IFERROR(__xludf.DUMMYFUNCTION("""COMPUTED_VALUE"""),"Karuwa Seti HEP")</f>
        <v>Karuwa Seti HEP</v>
      </c>
      <c r="C186" s="2">
        <f>IFERROR(__xludf.DUMMYFUNCTION("""COMPUTED_VALUE"""),32.0)</f>
        <v>32</v>
      </c>
      <c r="D186" s="2" t="str">
        <f>IFERROR(__xludf.DUMMYFUNCTION("""COMPUTED_VALUE"""),"Seti Khola (Gandaki)")</f>
        <v>Seti Khola (Gandaki)</v>
      </c>
      <c r="E186" s="2">
        <f>IFERROR(__xludf.DUMMYFUNCTION("""COMPUTED_VALUE"""),305.0)</f>
        <v>305</v>
      </c>
      <c r="F186" s="3">
        <f>IFERROR(__xludf.DUMMYFUNCTION("""COMPUTED_VALUE"""),64724.0)</f>
        <v>64724</v>
      </c>
      <c r="G186" s="3">
        <f>IFERROR(__xludf.DUMMYFUNCTION("""COMPUTED_VALUE"""),77506.0)</f>
        <v>77506</v>
      </c>
      <c r="H186" s="2" t="str">
        <f>IFERROR(__xludf.DUMMYFUNCTION("""COMPUTED_VALUE"""),"Jhyamolongma Hydropower Development Company Pvt. Ltd.")</f>
        <v>Jhyamolongma Hydropower Development Company Pvt. Ltd.</v>
      </c>
      <c r="I186" s="2" t="str">
        <f>IFERROR(__xludf.DUMMYFUNCTION("""COMPUTED_VALUE"""),"kaski, Pokhara, 9849821564, 01-5520254,5543896,5012027")</f>
        <v>kaski, Pokhara, 9849821564, 01-5520254,5543896,5012027</v>
      </c>
      <c r="J186" s="2" t="str">
        <f>IFERROR(__xludf.DUMMYFUNCTION("""COMPUTED_VALUE"""),"28o 22' 12""")</f>
        <v>28o 22' 12"</v>
      </c>
      <c r="K186" s="2" t="str">
        <f>IFERROR(__xludf.DUMMYFUNCTION("""COMPUTED_VALUE"""),"28o 24' 30""")</f>
        <v>28o 24' 30"</v>
      </c>
      <c r="L186" s="2" t="str">
        <f>IFERROR(__xludf.DUMMYFUNCTION("""COMPUTED_VALUE"""),"83o 57' 50""")</f>
        <v>83o 57' 50"</v>
      </c>
      <c r="M186" s="2" t="str">
        <f>IFERROR(__xludf.DUMMYFUNCTION("""COMPUTED_VALUE"""),"83o 59' 30""")</f>
        <v>83o 59' 30"</v>
      </c>
      <c r="N186" s="2" t="str">
        <f>IFERROR(__xludf.DUMMYFUNCTION("""COMPUTED_VALUE"""),"Machhapuchchhre,Sardikhola (Kaski)")</f>
        <v>Machhapuchchhre,Sardikhola (Kaski)</v>
      </c>
      <c r="O186" s="3">
        <f>IFERROR(__xludf.DUMMYFUNCTION("""COMPUTED_VALUE"""),66495.0)</f>
        <v>66495</v>
      </c>
    </row>
    <row r="187">
      <c r="A187" s="2">
        <f>IFERROR(__xludf.DUMMYFUNCTION("""COMPUTED_VALUE"""),186.0)</f>
        <v>186</v>
      </c>
      <c r="B187" s="2" t="str">
        <f>IFERROR(__xludf.DUMMYFUNCTION("""COMPUTED_VALUE"""),"Upper Piluwa 3 HPP")</f>
        <v>Upper Piluwa 3 HPP</v>
      </c>
      <c r="C187" s="2">
        <f>IFERROR(__xludf.DUMMYFUNCTION("""COMPUTED_VALUE"""),4.95)</f>
        <v>4.95</v>
      </c>
      <c r="D187" s="2" t="str">
        <f>IFERROR(__xludf.DUMMYFUNCTION("""COMPUTED_VALUE"""),"Piluwa Khola")</f>
        <v>Piluwa Khola</v>
      </c>
      <c r="E187" s="2">
        <f>IFERROR(__xludf.DUMMYFUNCTION("""COMPUTED_VALUE"""),306.0)</f>
        <v>306</v>
      </c>
      <c r="F187" s="3">
        <f>IFERROR(__xludf.DUMMYFUNCTION("""COMPUTED_VALUE"""),64749.0)</f>
        <v>64749</v>
      </c>
      <c r="G187" s="3">
        <f>IFERROR(__xludf.DUMMYFUNCTION("""COMPUTED_VALUE"""),77531.0)</f>
        <v>77531</v>
      </c>
      <c r="H187" s="2" t="str">
        <f>IFERROR(__xludf.DUMMYFUNCTION("""COMPUTED_VALUE"""),"Mabilung Energy.Ltd")</f>
        <v>Mabilung Energy.Ltd</v>
      </c>
      <c r="I187" s="2" t="str">
        <f>IFERROR(__xludf.DUMMYFUNCTION("""COMPUTED_VALUE"""),"Kathmandu-34,Sachetanmarg New Baneshower, house no. 
162,016922762,9843142092,9851150167,mabilungenergy@gmail.com")</f>
        <v>Kathmandu-34,Sachetanmarg New Baneshower, house no. 
162,016922762,9843142092,9851150167,mabilungenergy@gmail.com</v>
      </c>
      <c r="J187" s="2" t="str">
        <f>IFERROR(__xludf.DUMMYFUNCTION("""COMPUTED_VALUE"""),"27o 17' 42""")</f>
        <v>27o 17' 42"</v>
      </c>
      <c r="K187" s="2" t="str">
        <f>IFERROR(__xludf.DUMMYFUNCTION("""COMPUTED_VALUE"""),"27o 18' 04""")</f>
        <v>27o 18' 04"</v>
      </c>
      <c r="L187" s="2" t="str">
        <f>IFERROR(__xludf.DUMMYFUNCTION("""COMPUTED_VALUE"""),"87o 24' 22""")</f>
        <v>87o 24' 22"</v>
      </c>
      <c r="M187" s="2" t="str">
        <f>IFERROR(__xludf.DUMMYFUNCTION("""COMPUTED_VALUE"""),"87o 25' 30""")</f>
        <v>87o 25' 30"</v>
      </c>
      <c r="N187" s="2" t="str">
        <f>IFERROR(__xludf.DUMMYFUNCTION("""COMPUTED_VALUE"""),"Mawadin,Siddhakali (Sankhuwasabha)")</f>
        <v>Mawadin,Siddhakali (Sankhuwasabha)</v>
      </c>
      <c r="O187" s="3">
        <f>IFERROR(__xludf.DUMMYFUNCTION("""COMPUTED_VALUE"""),66631.0)</f>
        <v>66631</v>
      </c>
    </row>
    <row r="188">
      <c r="A188" s="2">
        <f>IFERROR(__xludf.DUMMYFUNCTION("""COMPUTED_VALUE"""),187.0)</f>
        <v>187</v>
      </c>
      <c r="B188" s="2" t="str">
        <f>IFERROR(__xludf.DUMMYFUNCTION("""COMPUTED_VALUE"""),"Mid Solu Khola HEP")</f>
        <v>Mid Solu Khola HEP</v>
      </c>
      <c r="C188" s="2">
        <f>IFERROR(__xludf.DUMMYFUNCTION("""COMPUTED_VALUE"""),9.5)</f>
        <v>9.5</v>
      </c>
      <c r="D188" s="2" t="str">
        <f>IFERROR(__xludf.DUMMYFUNCTION("""COMPUTED_VALUE"""),"Solu Khola")</f>
        <v>Solu Khola</v>
      </c>
      <c r="E188" s="2">
        <f>IFERROR(__xludf.DUMMYFUNCTION("""COMPUTED_VALUE"""),308.0)</f>
        <v>308</v>
      </c>
      <c r="F188" s="3">
        <f>IFERROR(__xludf.DUMMYFUNCTION("""COMPUTED_VALUE"""),64762.0)</f>
        <v>64762</v>
      </c>
      <c r="G188" s="3">
        <f>IFERROR(__xludf.DUMMYFUNCTION("""COMPUTED_VALUE"""),77544.0)</f>
        <v>77544</v>
      </c>
      <c r="H188" s="2" t="str">
        <f>IFERROR(__xludf.DUMMYFUNCTION("""COMPUTED_VALUE"""),"Mid Solu Hydropower Ltd.")</f>
        <v>Mid Solu Hydropower Ltd.</v>
      </c>
      <c r="I188" s="2" t="str">
        <f>IFERROR(__xludf.DUMMYFUNCTION("""COMPUTED_VALUE"""),"Baneshwor-10, Baburam Acharaya Sadak 1757/70, Kathmandu Contact No. 
9751000158,01-4470584, 9841560491")</f>
        <v>Baneshwor-10, Baburam Acharaya Sadak 1757/70, Kathmandu Contact No. 
9751000158,01-4470584, 9841560491</v>
      </c>
      <c r="J188" s="2" t="str">
        <f>IFERROR(__xludf.DUMMYFUNCTION("""COMPUTED_VALUE"""),"27o 29' 16""")</f>
        <v>27o 29' 16"</v>
      </c>
      <c r="K188" s="2" t="str">
        <f>IFERROR(__xludf.DUMMYFUNCTION("""COMPUTED_VALUE"""),"27o 31' 15""")</f>
        <v>27o 31' 15"</v>
      </c>
      <c r="L188" s="2" t="str">
        <f>IFERROR(__xludf.DUMMYFUNCTION("""COMPUTED_VALUE"""),"86o 34' 00""")</f>
        <v>86o 34' 00"</v>
      </c>
      <c r="M188" s="2" t="str">
        <f>IFERROR(__xludf.DUMMYFUNCTION("""COMPUTED_VALUE"""),"86o 35' 05""")</f>
        <v>86o 35' 05"</v>
      </c>
      <c r="N188" s="2" t="str">
        <f>IFERROR(__xludf.DUMMYFUNCTION("""COMPUTED_VALUE"""),"Gora Khami,Salleri (Solukhumbu)")</f>
        <v>Gora Khami,Salleri (Solukhumbu)</v>
      </c>
      <c r="O188" s="3">
        <f>IFERROR(__xludf.DUMMYFUNCTION("""COMPUTED_VALUE"""),65638.0)</f>
        <v>65638</v>
      </c>
    </row>
    <row r="189">
      <c r="A189" s="2">
        <f>IFERROR(__xludf.DUMMYFUNCTION("""COMPUTED_VALUE"""),188.0)</f>
        <v>188</v>
      </c>
      <c r="B189" s="2" t="str">
        <f>IFERROR(__xludf.DUMMYFUNCTION("""COMPUTED_VALUE"""),"Sunigad HEP")</f>
        <v>Sunigad HEP</v>
      </c>
      <c r="C189" s="2">
        <f>IFERROR(__xludf.DUMMYFUNCTION("""COMPUTED_VALUE"""),11.05)</f>
        <v>11.05</v>
      </c>
      <c r="D189" s="2" t="str">
        <f>IFERROR(__xludf.DUMMYFUNCTION("""COMPUTED_VALUE"""),"Suni Gad")</f>
        <v>Suni Gad</v>
      </c>
      <c r="E189" s="2">
        <f>IFERROR(__xludf.DUMMYFUNCTION("""COMPUTED_VALUE"""),314.0)</f>
        <v>314</v>
      </c>
      <c r="F189" s="3">
        <f>IFERROR(__xludf.DUMMYFUNCTION("""COMPUTED_VALUE"""),64808.0)</f>
        <v>64808</v>
      </c>
      <c r="G189" s="3">
        <f>IFERROR(__xludf.DUMMYFUNCTION("""COMPUTED_VALUE"""),77590.0)</f>
        <v>77590</v>
      </c>
      <c r="H189" s="2" t="str">
        <f>IFERROR(__xludf.DUMMYFUNCTION("""COMPUTED_VALUE"""),"Omega EnergyDeveloper Pvt. Ltd")</f>
        <v>Omega EnergyDeveloper Pvt. Ltd</v>
      </c>
      <c r="I189" s="2" t="str">
        <f>IFERROR(__xludf.DUMMYFUNCTION("""COMPUTED_VALUE"""),"Chandole -4, Kathmandu, omegaenergy73@gmail.com,01-4436184")</f>
        <v>Chandole -4, Kathmandu, omegaenergy73@gmail.com,01-4436184</v>
      </c>
      <c r="J189" s="2" t="str">
        <f>IFERROR(__xludf.DUMMYFUNCTION("""COMPUTED_VALUE"""),"29o 36' 10""")</f>
        <v>29o 36' 10"</v>
      </c>
      <c r="K189" s="2" t="str">
        <f>IFERROR(__xludf.DUMMYFUNCTION("""COMPUTED_VALUE"""),"29o 40' 00""")</f>
        <v>29o 40' 00"</v>
      </c>
      <c r="L189" s="2" t="str">
        <f>IFERROR(__xludf.DUMMYFUNCTION("""COMPUTED_VALUE"""),"81o 11' 46""")</f>
        <v>81o 11' 46"</v>
      </c>
      <c r="M189" s="2" t="str">
        <f>IFERROR(__xludf.DUMMYFUNCTION("""COMPUTED_VALUE"""),"81o 14' 16""")</f>
        <v>81o 14' 16"</v>
      </c>
      <c r="N189" s="2" t="str">
        <f>IFERROR(__xludf.DUMMYFUNCTION("""COMPUTED_VALUE"""),"Sunikot (Bajhang)")</f>
        <v>Sunikot (Bajhang)</v>
      </c>
      <c r="O189" s="3">
        <f>IFERROR(__xludf.DUMMYFUNCTION("""COMPUTED_VALUE"""),65528.0)</f>
        <v>65528</v>
      </c>
    </row>
    <row r="190">
      <c r="A190" s="2">
        <f>IFERROR(__xludf.DUMMYFUNCTION("""COMPUTED_VALUE"""),189.0)</f>
        <v>189</v>
      </c>
      <c r="B190" s="2" t="str">
        <f>IFERROR(__xludf.DUMMYFUNCTION("""COMPUTED_VALUE"""),"Upper Ingwa Khola")</f>
        <v>Upper Ingwa Khola</v>
      </c>
      <c r="C190" s="2">
        <f>IFERROR(__xludf.DUMMYFUNCTION("""COMPUTED_VALUE"""),9.7)</f>
        <v>9.7</v>
      </c>
      <c r="D190" s="2" t="str">
        <f>IFERROR(__xludf.DUMMYFUNCTION("""COMPUTED_VALUE"""),"Ingwa Khola")</f>
        <v>Ingwa Khola</v>
      </c>
      <c r="E190" s="2">
        <f>IFERROR(__xludf.DUMMYFUNCTION("""COMPUTED_VALUE"""),329.0)</f>
        <v>329</v>
      </c>
      <c r="F190" s="3">
        <f>IFERROR(__xludf.DUMMYFUNCTION("""COMPUTED_VALUE"""),64859.0)</f>
        <v>64859</v>
      </c>
      <c r="G190" s="3">
        <f>IFERROR(__xludf.DUMMYFUNCTION("""COMPUTED_VALUE"""),77641.0)</f>
        <v>77641</v>
      </c>
      <c r="H190" s="2" t="str">
        <f>IFERROR(__xludf.DUMMYFUNCTION("""COMPUTED_VALUE"""),"Ingwa Hydopower Ltd.,")</f>
        <v>Ingwa Hydopower Ltd.,</v>
      </c>
      <c r="I190" s="2" t="str">
        <f>IFERROR(__xludf.DUMMYFUNCTION("""COMPUTED_VALUE"""),"P.O.Box No 24697, Trade Tower, Thapathali,Kathmandu, phone 01-5111015, 
5111016, 9801147131")</f>
        <v>P.O.Box No 24697, Trade Tower, Thapathali,Kathmandu, phone 01-5111015, 
5111016, 9801147131</v>
      </c>
      <c r="J190" s="2" t="str">
        <f>IFERROR(__xludf.DUMMYFUNCTION("""COMPUTED_VALUE"""),"27o 16' 41""")</f>
        <v>27o 16' 41"</v>
      </c>
      <c r="K190" s="2" t="str">
        <f>IFERROR(__xludf.DUMMYFUNCTION("""COMPUTED_VALUE"""),"27o 17' 20""")</f>
        <v>27o 17' 20"</v>
      </c>
      <c r="L190" s="2" t="str">
        <f>IFERROR(__xludf.DUMMYFUNCTION("""COMPUTED_VALUE"""),"87o 53' 03""")</f>
        <v>87o 53' 03"</v>
      </c>
      <c r="M190" s="2" t="str">
        <f>IFERROR(__xludf.DUMMYFUNCTION("""COMPUTED_VALUE"""),"87o 55' 20""")</f>
        <v>87o 55' 20"</v>
      </c>
      <c r="N190" s="2" t="str">
        <f>IFERROR(__xludf.DUMMYFUNCTION("""COMPUTED_VALUE"""),"(Taplejung)")</f>
        <v>(Taplejung)</v>
      </c>
      <c r="O190" s="3">
        <f>IFERROR(__xludf.DUMMYFUNCTION("""COMPUTED_VALUE"""),66108.0)</f>
        <v>66108</v>
      </c>
    </row>
    <row r="191">
      <c r="A191" s="2">
        <f>IFERROR(__xludf.DUMMYFUNCTION("""COMPUTED_VALUE"""),190.0)</f>
        <v>190</v>
      </c>
      <c r="B191" s="2" t="str">
        <f>IFERROR(__xludf.DUMMYFUNCTION("""COMPUTED_VALUE"""),"Super Chepe HEP")</f>
        <v>Super Chepe HEP</v>
      </c>
      <c r="C191" s="2">
        <f>IFERROR(__xludf.DUMMYFUNCTION("""COMPUTED_VALUE"""),9.05)</f>
        <v>9.05</v>
      </c>
      <c r="D191" s="2" t="str">
        <f>IFERROR(__xludf.DUMMYFUNCTION("""COMPUTED_VALUE"""),"Chepe Khola")</f>
        <v>Chepe Khola</v>
      </c>
      <c r="E191" s="2">
        <f>IFERROR(__xludf.DUMMYFUNCTION("""COMPUTED_VALUE"""),341.0)</f>
        <v>341</v>
      </c>
      <c r="F191" s="3">
        <f>IFERROR(__xludf.DUMMYFUNCTION("""COMPUTED_VALUE"""),65053.0)</f>
        <v>65053</v>
      </c>
      <c r="G191" s="3">
        <f>IFERROR(__xludf.DUMMYFUNCTION("""COMPUTED_VALUE"""),77835.0)</f>
        <v>77835</v>
      </c>
      <c r="H191" s="2" t="str">
        <f>IFERROR(__xludf.DUMMYFUNCTION("""COMPUTED_VALUE"""),"Ridge Line Energy Pvt. Ltd")</f>
        <v>Ridge Line Energy Pvt. Ltd</v>
      </c>
      <c r="I191" s="2" t="str">
        <f>IFERROR(__xludf.DUMMYFUNCTION("""COMPUTED_VALUE"""),"Lalitpur 10, 9851198805, 015520465, 01-5181116, email: rienergy18@gmail.com")</f>
        <v>Lalitpur 10, 9851198805, 015520465, 01-5181116, email: rienergy18@gmail.com</v>
      </c>
      <c r="J191" s="2" t="str">
        <f>IFERROR(__xludf.DUMMYFUNCTION("""COMPUTED_VALUE"""),"28o 13' 00""")</f>
        <v>28o 13' 00"</v>
      </c>
      <c r="K191" s="2" t="str">
        <f>IFERROR(__xludf.DUMMYFUNCTION("""COMPUTED_VALUE"""),"28o 15' 00""")</f>
        <v>28o 15' 00"</v>
      </c>
      <c r="L191" s="2" t="str">
        <f>IFERROR(__xludf.DUMMYFUNCTION("""COMPUTED_VALUE"""),"84o 37' 55""")</f>
        <v>84o 37' 55"</v>
      </c>
      <c r="M191" s="2" t="str">
        <f>IFERROR(__xludf.DUMMYFUNCTION("""COMPUTED_VALUE"""),"84o 39' 08""")</f>
        <v>84o 39' 08"</v>
      </c>
      <c r="N191" s="2" t="str">
        <f>IFERROR(__xludf.DUMMYFUNCTION("""COMPUTED_VALUE"""),"Kharibot (Gorkha) Dudhpokhari (Lamjung)")</f>
        <v>Kharibot (Gorkha) Dudhpokhari (Lamjung)</v>
      </c>
      <c r="O191" s="3">
        <f>IFERROR(__xludf.DUMMYFUNCTION("""COMPUTED_VALUE"""),66027.0)</f>
        <v>66027</v>
      </c>
    </row>
    <row r="192">
      <c r="A192" s="2">
        <f>IFERROR(__xludf.DUMMYFUNCTION("""COMPUTED_VALUE"""),191.0)</f>
        <v>191</v>
      </c>
      <c r="B192" s="2" t="str">
        <f>IFERROR(__xludf.DUMMYFUNCTION("""COMPUTED_VALUE"""),"Super Kabeli Khola A HEP")</f>
        <v>Super Kabeli Khola A HEP</v>
      </c>
      <c r="C192" s="2">
        <f>IFERROR(__xludf.DUMMYFUNCTION("""COMPUTED_VALUE"""),13.5)</f>
        <v>13.5</v>
      </c>
      <c r="D192" s="2" t="str">
        <f>IFERROR(__xludf.DUMMYFUNCTION("""COMPUTED_VALUE"""),"Kabeli Khola")</f>
        <v>Kabeli Khola</v>
      </c>
      <c r="E192" s="2">
        <f>IFERROR(__xludf.DUMMYFUNCTION("""COMPUTED_VALUE"""),347.0)</f>
        <v>347</v>
      </c>
      <c r="F192" s="3">
        <f>IFERROR(__xludf.DUMMYFUNCTION("""COMPUTED_VALUE"""),65208.0)</f>
        <v>65208</v>
      </c>
      <c r="G192" s="3">
        <f>IFERROR(__xludf.DUMMYFUNCTION("""COMPUTED_VALUE"""),77990.0)</f>
        <v>77990</v>
      </c>
      <c r="H192" s="2" t="str">
        <f>IFERROR(__xludf.DUMMYFUNCTION("""COMPUTED_VALUE"""),"Snow River Ltd")</f>
        <v>Snow River Ltd</v>
      </c>
      <c r="I192" s="2" t="str">
        <f>IFERROR(__xludf.DUMMYFUNCTION("""COMPUTED_VALUE"""),"Tusalmarga house number 148, Kathmandu-7, Contact No. 01-6911637, 
9860420866 Bikram Bhandari, 9851220305 Pratap Gurung")</f>
        <v>Tusalmarga house number 148, Kathmandu-7, Contact No. 01-6911637, 
9860420866 Bikram Bhandari, 9851220305 Pratap Gurung</v>
      </c>
      <c r="J192" s="2" t="str">
        <f>IFERROR(__xludf.DUMMYFUNCTION("""COMPUTED_VALUE"""),"27o 25' 45""")</f>
        <v>27o 25' 45"</v>
      </c>
      <c r="K192" s="2" t="str">
        <f>IFERROR(__xludf.DUMMYFUNCTION("""COMPUTED_VALUE"""),"27o 27' 45""")</f>
        <v>27o 27' 45"</v>
      </c>
      <c r="L192" s="2" t="str">
        <f>IFERROR(__xludf.DUMMYFUNCTION("""COMPUTED_VALUE"""),"87o 54' 02""")</f>
        <v>87o 54' 02"</v>
      </c>
      <c r="M192" s="2" t="str">
        <f>IFERROR(__xludf.DUMMYFUNCTION("""COMPUTED_VALUE"""),"87o 55' 40""")</f>
        <v>87o 55' 40"</v>
      </c>
      <c r="N192" s="2" t="str">
        <f>IFERROR(__xludf.DUMMYFUNCTION("""COMPUTED_VALUE"""),"Yamfudin (Taplejung)")</f>
        <v>Yamfudin (Taplejung)</v>
      </c>
      <c r="O192" s="3">
        <f>IFERROR(__xludf.DUMMYFUNCTION("""COMPUTED_VALUE"""),66359.0)</f>
        <v>66359</v>
      </c>
    </row>
    <row r="193">
      <c r="A193" s="2">
        <f>IFERROR(__xludf.DUMMYFUNCTION("""COMPUTED_VALUE"""),192.0)</f>
        <v>192</v>
      </c>
      <c r="B193" s="2" t="str">
        <f>IFERROR(__xludf.DUMMYFUNCTION("""COMPUTED_VALUE"""),"Super Kabeli Khola HEP")</f>
        <v>Super Kabeli Khola HEP</v>
      </c>
      <c r="C193" s="2">
        <f>IFERROR(__xludf.DUMMYFUNCTION("""COMPUTED_VALUE"""),12.0)</f>
        <v>12</v>
      </c>
      <c r="D193" s="2" t="str">
        <f>IFERROR(__xludf.DUMMYFUNCTION("""COMPUTED_VALUE"""),"Kabeli Khola")</f>
        <v>Kabeli Khola</v>
      </c>
      <c r="E193" s="2">
        <f>IFERROR(__xludf.DUMMYFUNCTION("""COMPUTED_VALUE"""),348.0)</f>
        <v>348</v>
      </c>
      <c r="F193" s="3">
        <f>IFERROR(__xludf.DUMMYFUNCTION("""COMPUTED_VALUE"""),65208.0)</f>
        <v>65208</v>
      </c>
      <c r="G193" s="3">
        <f>IFERROR(__xludf.DUMMYFUNCTION("""COMPUTED_VALUE"""),77990.0)</f>
        <v>77990</v>
      </c>
      <c r="H193" s="2" t="str">
        <f>IFERROR(__xludf.DUMMYFUNCTION("""COMPUTED_VALUE"""),"Hilton Hydro Energy Pvt. Ltd.")</f>
        <v>Hilton Hydro Energy Pvt. Ltd.</v>
      </c>
      <c r="I193" s="2" t="str">
        <f>IFERROR(__xludf.DUMMYFUNCTION("""COMPUTED_VALUE"""),"Bakuwatar, Kathmandu G.P.O no.20762,")</f>
        <v>Bakuwatar, Kathmandu G.P.O no.20762,</v>
      </c>
      <c r="J193" s="2" t="str">
        <f>IFERROR(__xludf.DUMMYFUNCTION("""COMPUTED_VALUE"""),"27o 25' 09""")</f>
        <v>27o 25' 09"</v>
      </c>
      <c r="K193" s="2" t="str">
        <f>IFERROR(__xludf.DUMMYFUNCTION("""COMPUTED_VALUE"""),"27o 26' 19""")</f>
        <v>27o 26' 19"</v>
      </c>
      <c r="L193" s="2" t="str">
        <f>IFERROR(__xludf.DUMMYFUNCTION("""COMPUTED_VALUE"""),"87o 52' 48""")</f>
        <v>87o 52' 48"</v>
      </c>
      <c r="M193" s="2" t="str">
        <f>IFERROR(__xludf.DUMMYFUNCTION("""COMPUTED_VALUE"""),"87o 54' 17""")</f>
        <v>87o 54' 17"</v>
      </c>
      <c r="N193" s="2" t="str">
        <f>IFERROR(__xludf.DUMMYFUNCTION("""COMPUTED_VALUE"""),"Khewang,Mamangkhe,Yamfudin (Taplejung)")</f>
        <v>Khewang,Mamangkhe,Yamfudin (Taplejung)</v>
      </c>
      <c r="O193" s="3">
        <f>IFERROR(__xludf.DUMMYFUNCTION("""COMPUTED_VALUE"""),66447.0)</f>
        <v>66447</v>
      </c>
    </row>
    <row r="194">
      <c r="A194" s="2">
        <f>IFERROR(__xludf.DUMMYFUNCTION("""COMPUTED_VALUE"""),193.0)</f>
        <v>193</v>
      </c>
      <c r="B194" s="2" t="str">
        <f>IFERROR(__xludf.DUMMYFUNCTION("""COMPUTED_VALUE"""),"Kabeli-3 Cascade HEP")</f>
        <v>Kabeli-3 Cascade HEP</v>
      </c>
      <c r="C194" s="2">
        <f>IFERROR(__xludf.DUMMYFUNCTION("""COMPUTED_VALUE"""),21.93)</f>
        <v>21.93</v>
      </c>
      <c r="D194" s="2" t="str">
        <f>IFERROR(__xludf.DUMMYFUNCTION("""COMPUTED_VALUE"""),"Kabeli Khola")</f>
        <v>Kabeli Khola</v>
      </c>
      <c r="E194" s="2">
        <f>IFERROR(__xludf.DUMMYFUNCTION("""COMPUTED_VALUE"""),350.0)</f>
        <v>350</v>
      </c>
      <c r="F194" s="3">
        <f>IFERROR(__xludf.DUMMYFUNCTION("""COMPUTED_VALUE"""),65229.0)</f>
        <v>65229</v>
      </c>
      <c r="G194" s="3">
        <f>IFERROR(__xludf.DUMMYFUNCTION("""COMPUTED_VALUE"""),78011.0)</f>
        <v>78011</v>
      </c>
      <c r="H194" s="2" t="str">
        <f>IFERROR(__xludf.DUMMYFUNCTION("""COMPUTED_VALUE"""),"Kabeli Hydropower Company Ltd")</f>
        <v>Kabeli Hydropower Company Ltd</v>
      </c>
      <c r="I194" s="2" t="str">
        <f>IFERROR(__xludf.DUMMYFUNCTION("""COMPUTED_VALUE"""),"kathmandu-28, Contact no.: 01-4424457, 9851044200( Bijay Sambahanphe) , PO 
Box 8928, Fax: 01-5906077")</f>
        <v>kathmandu-28, Contact no.: 01-4424457, 9851044200( Bijay Sambahanphe) , PO 
Box 8928, Fax: 01-5906077</v>
      </c>
      <c r="J194" s="2" t="str">
        <f>IFERROR(__xludf.DUMMYFUNCTION("""COMPUTED_VALUE"""),"27o 22' 40""")</f>
        <v>27o 22' 40"</v>
      </c>
      <c r="K194" s="2" t="str">
        <f>IFERROR(__xludf.DUMMYFUNCTION("""COMPUTED_VALUE"""),"27o 25' 16""")</f>
        <v>27o 25' 16"</v>
      </c>
      <c r="L194" s="2" t="str">
        <f>IFERROR(__xludf.DUMMYFUNCTION("""COMPUTED_VALUE"""),"87o 50' 58""")</f>
        <v>87o 50' 58"</v>
      </c>
      <c r="M194" s="2" t="str">
        <f>IFERROR(__xludf.DUMMYFUNCTION("""COMPUTED_VALUE"""),"87o 53' 24""")</f>
        <v>87o 53' 24"</v>
      </c>
      <c r="N194" s="2" t="str">
        <f>IFERROR(__xludf.DUMMYFUNCTION("""COMPUTED_VALUE"""),"Khewang,Mehele,Paidang,Mamangkhe,Tellok (Taplejung)")</f>
        <v>Khewang,Mehele,Paidang,Mamangkhe,Tellok (Taplejung)</v>
      </c>
      <c r="O194" s="3">
        <f>IFERROR(__xludf.DUMMYFUNCTION("""COMPUTED_VALUE"""),66604.0)</f>
        <v>66604</v>
      </c>
    </row>
    <row r="195">
      <c r="A195" s="2">
        <f>IFERROR(__xludf.DUMMYFUNCTION("""COMPUTED_VALUE"""),194.0)</f>
        <v>194</v>
      </c>
      <c r="B195" s="2" t="str">
        <f>IFERROR(__xludf.DUMMYFUNCTION("""COMPUTED_VALUE"""),"Mathillo Thulo Khola A HEP")</f>
        <v>Mathillo Thulo Khola A HEP</v>
      </c>
      <c r="C195" s="2">
        <f>IFERROR(__xludf.DUMMYFUNCTION("""COMPUTED_VALUE"""),22.5)</f>
        <v>22.5</v>
      </c>
      <c r="D195" s="2" t="str">
        <f>IFERROR(__xludf.DUMMYFUNCTION("""COMPUTED_VALUE"""),"Thulo Khola")</f>
        <v>Thulo Khola</v>
      </c>
      <c r="E195" s="2">
        <f>IFERROR(__xludf.DUMMYFUNCTION("""COMPUTED_VALUE"""),371.0)</f>
        <v>371</v>
      </c>
      <c r="F195" s="3">
        <f>IFERROR(__xludf.DUMMYFUNCTION("""COMPUTED_VALUE"""),65420.0)</f>
        <v>65420</v>
      </c>
      <c r="G195" s="3">
        <f>IFERROR(__xludf.DUMMYFUNCTION("""COMPUTED_VALUE"""),78202.0)</f>
        <v>78202</v>
      </c>
      <c r="H195" s="2" t="str">
        <f>IFERROR(__xludf.DUMMYFUNCTION("""COMPUTED_VALUE"""),"Thulo Khola Hydropower Pvt. Ltd")</f>
        <v>Thulo Khola Hydropower Pvt. Ltd</v>
      </c>
      <c r="I195" s="2" t="str">
        <f>IFERROR(__xludf.DUMMYFUNCTION("""COMPUTED_VALUE"""),"Mid Baneshwor, Ka.Ma.Na.Pa-10, Kathmandu")</f>
        <v>Mid Baneshwor, Ka.Ma.Na.Pa-10, Kathmandu</v>
      </c>
      <c r="J195" s="2" t="str">
        <f>IFERROR(__xludf.DUMMYFUNCTION("""COMPUTED_VALUE"""),"28o 34' 56""")</f>
        <v>28o 34' 56"</v>
      </c>
      <c r="K195" s="2" t="str">
        <f>IFERROR(__xludf.DUMMYFUNCTION("""COMPUTED_VALUE"""),"28o 36' 02""")</f>
        <v>28o 36' 02"</v>
      </c>
      <c r="L195" s="2" t="str">
        <f>IFERROR(__xludf.DUMMYFUNCTION("""COMPUTED_VALUE"""),"83o 31' 10""")</f>
        <v>83o 31' 10"</v>
      </c>
      <c r="M195" s="2" t="str">
        <f>IFERROR(__xludf.DUMMYFUNCTION("""COMPUTED_VALUE"""),"83o 32' 40""")</f>
        <v>83o 32' 40"</v>
      </c>
      <c r="N195" s="2" t="str">
        <f>IFERROR(__xludf.DUMMYFUNCTION("""COMPUTED_VALUE"""),"Kuinemangale (Myagdi)")</f>
        <v>Kuinemangale (Myagdi)</v>
      </c>
      <c r="O195" s="3">
        <f>IFERROR(__xludf.DUMMYFUNCTION("""COMPUTED_VALUE"""),66826.0)</f>
        <v>66826</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tr">
        <f>IFERROR(__xludf.DUMMYFUNCTION("IMPORTHTML(""https://www.doed.gov.np/pages/powerplantsthermal/"",""table"",1)"),"S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t="str">
        <f>IFERROR(__xludf.DUMMYFUNCTION("""COMPUTED_VALUE"""),"C O D")</f>
        <v>C O D</v>
      </c>
      <c r="O1" s="1"/>
      <c r="P1" s="1"/>
      <c r="Q1" s="1"/>
      <c r="R1" s="1"/>
      <c r="S1" s="1"/>
      <c r="T1" s="1"/>
      <c r="U1" s="1"/>
      <c r="V1" s="1"/>
      <c r="W1" s="1"/>
      <c r="X1" s="1"/>
      <c r="Y1" s="1"/>
      <c r="Z1" s="1"/>
    </row>
    <row r="2">
      <c r="A2" s="2">
        <f>IFERROR(__xludf.DUMMYFUNCTION("""COMPUTED_VALUE"""),1.0)</f>
        <v>1</v>
      </c>
      <c r="B2" s="2" t="str">
        <f>IFERROR(__xludf.DUMMYFUNCTION("""COMPUTED_VALUE"""),"Duhabi Multifuel Center")</f>
        <v>Duhabi Multifuel Center</v>
      </c>
      <c r="C2" s="2">
        <f>IFERROR(__xludf.DUMMYFUNCTION("""COMPUTED_VALUE"""),39.0)</f>
        <v>39</v>
      </c>
      <c r="D2" s="2" t="str">
        <f>IFERROR(__xludf.DUMMYFUNCTION("""COMPUTED_VALUE"""),"051/52/B.U.P.B. 001")</f>
        <v>051/52/B.U.P.B. 001</v>
      </c>
      <c r="E2" s="3">
        <f>IFERROR(__xludf.DUMMYFUNCTION("""COMPUTED_VALUE"""),55493.0)</f>
        <v>55493</v>
      </c>
      <c r="F2" s="3">
        <f>IFERROR(__xludf.DUMMYFUNCTION("""COMPUTED_VALUE"""),73749.0)</f>
        <v>73749</v>
      </c>
      <c r="G2" s="2" t="str">
        <f>IFERROR(__xludf.DUMMYFUNCTION("""COMPUTED_VALUE"""),"Nepal Electricity Authority")</f>
        <v>Nepal Electricity Authority</v>
      </c>
      <c r="H2" s="2"/>
      <c r="I2" s="2" t="str">
        <f>IFERROR(__xludf.DUMMYFUNCTION("""COMPUTED_VALUE"""),"00o 00' 00""")</f>
        <v>00o 00' 00"</v>
      </c>
      <c r="J2" s="2" t="str">
        <f>IFERROR(__xludf.DUMMYFUNCTION("""COMPUTED_VALUE"""),"00o 00' 00""")</f>
        <v>00o 00' 00"</v>
      </c>
      <c r="K2" s="2" t="str">
        <f>IFERROR(__xludf.DUMMYFUNCTION("""COMPUTED_VALUE"""),"00o 00' 00""")</f>
        <v>00o 00' 00"</v>
      </c>
      <c r="L2" s="2" t="str">
        <f>IFERROR(__xludf.DUMMYFUNCTION("""COMPUTED_VALUE"""),"00o 00' 00""")</f>
        <v>00o 00' 00"</v>
      </c>
      <c r="M2" s="2" t="str">
        <f>IFERROR(__xludf.DUMMYFUNCTION("""COMPUTED_VALUE"""),"(Morang)")</f>
        <v>(Morang)</v>
      </c>
      <c r="N2" s="2"/>
    </row>
    <row r="3">
      <c r="A3" s="2">
        <f>IFERROR(__xludf.DUMMYFUNCTION("""COMPUTED_VALUE"""),2.0)</f>
        <v>2</v>
      </c>
      <c r="B3" s="2" t="str">
        <f>IFERROR(__xludf.DUMMYFUNCTION("""COMPUTED_VALUE"""),"Hetauda Diesel Centre")</f>
        <v>Hetauda Diesel Centre</v>
      </c>
      <c r="C3" s="2">
        <f>IFERROR(__xludf.DUMMYFUNCTION("""COMPUTED_VALUE"""),14.41)</f>
        <v>14.41</v>
      </c>
      <c r="D3" s="2" t="str">
        <f>IFERROR(__xludf.DUMMYFUNCTION("""COMPUTED_VALUE"""),"051/52/B.U.P.B. 001")</f>
        <v>051/52/B.U.P.B. 001</v>
      </c>
      <c r="E3" s="3">
        <f>IFERROR(__xludf.DUMMYFUNCTION("""COMPUTED_VALUE"""),55493.0)</f>
        <v>55493</v>
      </c>
      <c r="F3" s="3">
        <f>IFERROR(__xludf.DUMMYFUNCTION("""COMPUTED_VALUE"""),73749.0)</f>
        <v>73749</v>
      </c>
      <c r="G3" s="2" t="str">
        <f>IFERROR(__xludf.DUMMYFUNCTION("""COMPUTED_VALUE"""),"Nepal Electricity Authority")</f>
        <v>Nepal Electricity Authority</v>
      </c>
      <c r="H3" s="2"/>
      <c r="I3" s="2" t="str">
        <f>IFERROR(__xludf.DUMMYFUNCTION("""COMPUTED_VALUE"""),"00o 00' 00""")</f>
        <v>00o 00' 00"</v>
      </c>
      <c r="J3" s="2" t="str">
        <f>IFERROR(__xludf.DUMMYFUNCTION("""COMPUTED_VALUE"""),"00o 00' 00""")</f>
        <v>00o 00' 00"</v>
      </c>
      <c r="K3" s="2" t="str">
        <f>IFERROR(__xludf.DUMMYFUNCTION("""COMPUTED_VALUE"""),"00o 00' 00""")</f>
        <v>00o 00' 00"</v>
      </c>
      <c r="L3" s="2" t="str">
        <f>IFERROR(__xludf.DUMMYFUNCTION("""COMPUTED_VALUE"""),"00o 00' 00""")</f>
        <v>00o 00' 00"</v>
      </c>
      <c r="M3" s="2" t="str">
        <f>IFERROR(__xludf.DUMMYFUNCTION("""COMPUTED_VALUE"""),"(Makawanpur)")</f>
        <v>(Makawanpur)</v>
      </c>
      <c r="N3" s="2"/>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tr">
        <f>IFERROR(__xludf.DUMMYFUNCTION("IMPORTHTML(""https://www.doed.gov.np/pages/powerplantssolar/"",""table"",1)"),"S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t="str">
        <f>IFERROR(__xludf.DUMMYFUNCTION("""COMPUTED_VALUE"""),"C O D")</f>
        <v>C O D</v>
      </c>
      <c r="O1" s="1"/>
      <c r="P1" s="1"/>
      <c r="Q1" s="1"/>
      <c r="R1" s="1"/>
      <c r="S1" s="1"/>
      <c r="T1" s="1"/>
      <c r="U1" s="1"/>
      <c r="V1" s="1"/>
      <c r="W1" s="1"/>
      <c r="X1" s="1"/>
      <c r="Y1" s="1"/>
      <c r="Z1" s="1"/>
    </row>
    <row r="2">
      <c r="A2" s="2">
        <f>IFERROR(__xludf.DUMMYFUNCTION("""COMPUTED_VALUE"""),1.0)</f>
        <v>1</v>
      </c>
      <c r="B2" s="2" t="str">
        <f>IFERROR(__xludf.DUMMYFUNCTION("""COMPUTED_VALUE"""),"Solar Energy")</f>
        <v>Solar Energy</v>
      </c>
      <c r="C2" s="2">
        <f>IFERROR(__xludf.DUMMYFUNCTION("""COMPUTED_VALUE"""),0.68)</f>
        <v>0.68</v>
      </c>
      <c r="D2" s="2"/>
      <c r="E2" s="3">
        <f>IFERROR(__xludf.DUMMYFUNCTION("""COMPUTED_VALUE"""),61341.0)</f>
        <v>61341</v>
      </c>
      <c r="F2" s="2" t="str">
        <f>IFERROR(__xludf.DUMMYFUNCTION("""COMPUTED_VALUE"""),"0000-00-00")</f>
        <v>0000-00-00</v>
      </c>
      <c r="G2" s="2" t="str">
        <f>IFERROR(__xludf.DUMMYFUNCTION("""COMPUTED_VALUE"""),"Katthmandu Upatyaka Khanepani Byawasthapan Board")</f>
        <v>Katthmandu Upatyaka Khanepani Byawasthapan Board</v>
      </c>
      <c r="H2" s="2" t="str">
        <f>IFERROR(__xludf.DUMMYFUNCTION("""COMPUTED_VALUE"""),"Tripureswor, Kathmandu")</f>
        <v>Tripureswor, Kathmandu</v>
      </c>
      <c r="I2" s="2" t="str">
        <f>IFERROR(__xludf.DUMMYFUNCTION("""COMPUTED_VALUE"""),"00o 00' 00""")</f>
        <v>00o 00' 00"</v>
      </c>
      <c r="J2" s="2" t="str">
        <f>IFERROR(__xludf.DUMMYFUNCTION("""COMPUTED_VALUE"""),"00o 00' 00""")</f>
        <v>00o 00' 00"</v>
      </c>
      <c r="K2" s="2" t="str">
        <f>IFERROR(__xludf.DUMMYFUNCTION("""COMPUTED_VALUE"""),"00o 00' 00""")</f>
        <v>00o 00' 00"</v>
      </c>
      <c r="L2" s="2" t="str">
        <f>IFERROR(__xludf.DUMMYFUNCTION("""COMPUTED_VALUE"""),"00o 00' 00""")</f>
        <v>00o 00' 00"</v>
      </c>
      <c r="M2" s="2" t="str">
        <f>IFERROR(__xludf.DUMMYFUNCTION("""COMPUTED_VALUE"""),"Bungamati (Lalitpur)")</f>
        <v>Bungamati (Lalitpur)</v>
      </c>
      <c r="N2" s="3">
        <f>IFERROR(__xludf.DUMMYFUNCTION("""COMPUTED_VALUE"""),61341.0)</f>
        <v>61341</v>
      </c>
    </row>
    <row r="3">
      <c r="A3" s="2">
        <f>IFERROR(__xludf.DUMMYFUNCTION("""COMPUTED_VALUE"""),2.0)</f>
        <v>2</v>
      </c>
      <c r="B3" s="2" t="str">
        <f>IFERROR(__xludf.DUMMYFUNCTION("""COMPUTED_VALUE"""),"Bishnu Priya Solar Farm Project")</f>
        <v>Bishnu Priya Solar Farm Project</v>
      </c>
      <c r="C3" s="2">
        <f>IFERROR(__xludf.DUMMYFUNCTION("""COMPUTED_VALUE"""),1.0)</f>
        <v>1</v>
      </c>
      <c r="D3" s="2"/>
      <c r="E3" s="3">
        <f>IFERROR(__xludf.DUMMYFUNCTION("""COMPUTED_VALUE"""),63459.0)</f>
        <v>63459</v>
      </c>
      <c r="F3" s="2" t="str">
        <f>IFERROR(__xludf.DUMMYFUNCTION("""COMPUTED_VALUE"""),"0000-00-00")</f>
        <v>0000-00-00</v>
      </c>
      <c r="G3" s="2" t="str">
        <f>IFERROR(__xludf.DUMMYFUNCTION("""COMPUTED_VALUE"""),"Surya Power Company P. Ltd.")</f>
        <v>Surya Power Company P. Ltd.</v>
      </c>
      <c r="H3" s="2" t="str">
        <f>IFERROR(__xludf.DUMMYFUNCTION("""COMPUTED_VALUE"""),"227 Gyanodaya Marg Bafal, PO No. 6836, Kathmandu, 9851176527,4288388")</f>
        <v>227 Gyanodaya Marg Bafal, PO No. 6836, Kathmandu, 9851176527,4288388</v>
      </c>
      <c r="I3" s="2" t="str">
        <f>IFERROR(__xludf.DUMMYFUNCTION("""COMPUTED_VALUE"""),"27o 33' 10""")</f>
        <v>27o 33' 10"</v>
      </c>
      <c r="J3" s="2" t="str">
        <f>IFERROR(__xludf.DUMMYFUNCTION("""COMPUTED_VALUE"""),"27o 33' 20""")</f>
        <v>27o 33' 20"</v>
      </c>
      <c r="K3" s="2" t="str">
        <f>IFERROR(__xludf.DUMMYFUNCTION("""COMPUTED_VALUE"""),"83o 41' 09""")</f>
        <v>83o 41' 09"</v>
      </c>
      <c r="L3" s="2" t="str">
        <f>IFERROR(__xludf.DUMMYFUNCTION("""COMPUTED_VALUE"""),"83o 41' 17""")</f>
        <v>83o 41' 17"</v>
      </c>
      <c r="M3" s="2" t="str">
        <f>IFERROR(__xludf.DUMMYFUNCTION("""COMPUTED_VALUE"""),"Ramnagar (Nawalparasi)")</f>
        <v>Ramnagar (Nawalparasi)</v>
      </c>
      <c r="N3" s="3">
        <f>IFERROR(__xludf.DUMMYFUNCTION("""COMPUTED_VALUE"""),64144.0)</f>
        <v>64144</v>
      </c>
    </row>
    <row r="4">
      <c r="A4" s="2">
        <f>IFERROR(__xludf.DUMMYFUNCTION("""COMPUTED_VALUE"""),3.0)</f>
        <v>3</v>
      </c>
      <c r="B4" s="2" t="str">
        <f>IFERROR(__xludf.DUMMYFUNCTION("""COMPUTED_VALUE"""),"Grid-Connected Solar Power Project, Butwal , 33 kV S/S")</f>
        <v>Grid-Connected Solar Power Project, Butwal , 33 kV S/S</v>
      </c>
      <c r="C4" s="2">
        <f>IFERROR(__xludf.DUMMYFUNCTION("""COMPUTED_VALUE"""),8.5)</f>
        <v>8.5</v>
      </c>
      <c r="D4" s="2">
        <f>IFERROR(__xludf.DUMMYFUNCTION("""COMPUTED_VALUE"""),260.0)</f>
        <v>260</v>
      </c>
      <c r="E4" s="3">
        <f>IFERROR(__xludf.DUMMYFUNCTION("""COMPUTED_VALUE"""),64329.0)</f>
        <v>64329</v>
      </c>
      <c r="F4" s="3">
        <f>IFERROR(__xludf.DUMMYFUNCTION("""COMPUTED_VALUE"""),73459.0)</f>
        <v>73459</v>
      </c>
      <c r="G4" s="2" t="str">
        <f>IFERROR(__xludf.DUMMYFUNCTION("""COMPUTED_VALUE"""),"Ridi Power Company Ltd.")</f>
        <v>Ridi Power Company Ltd.</v>
      </c>
      <c r="H4" s="2" t="str">
        <f>IFERROR(__xludf.DUMMYFUNCTION("""COMPUTED_VALUE"""),"Trade Tower Thapathali, KTM-11, Ph- 01-5111015, Fax-01-511016,Mo-9801147130")</f>
        <v>Trade Tower Thapathali, KTM-11, Ph- 01-5111015, Fax-01-511016,Mo-9801147130</v>
      </c>
      <c r="I4" s="2" t="str">
        <f>IFERROR(__xludf.DUMMYFUNCTION("""COMPUTED_VALUE"""),"27o 37' 42""")</f>
        <v>27o 37' 42"</v>
      </c>
      <c r="J4" s="2" t="str">
        <f>IFERROR(__xludf.DUMMYFUNCTION("""COMPUTED_VALUE"""),"27o 38' 08""")</f>
        <v>27o 38' 08"</v>
      </c>
      <c r="K4" s="2" t="str">
        <f>IFERROR(__xludf.DUMMYFUNCTION("""COMPUTED_VALUE"""),"83o 27' 05""")</f>
        <v>83o 27' 05"</v>
      </c>
      <c r="L4" s="2" t="str">
        <f>IFERROR(__xludf.DUMMYFUNCTION("""COMPUTED_VALUE"""),"83o 27' 23""")</f>
        <v>83o 27' 23"</v>
      </c>
      <c r="M4" s="2" t="str">
        <f>IFERROR(__xludf.DUMMYFUNCTION("""COMPUTED_VALUE"""),"Butawal N.P. (Rupandehi)")</f>
        <v>Butawal N.P. (Rupandehi)</v>
      </c>
      <c r="N4" s="3">
        <f>IFERROR(__xludf.DUMMYFUNCTION("""COMPUTED_VALUE"""),64846.0)</f>
        <v>64846</v>
      </c>
    </row>
    <row r="5">
      <c r="A5" s="2">
        <f>IFERROR(__xludf.DUMMYFUNCTION("""COMPUTED_VALUE"""),4.0)</f>
        <v>4</v>
      </c>
      <c r="B5" s="2" t="str">
        <f>IFERROR(__xludf.DUMMYFUNCTION("""COMPUTED_VALUE"""),"Block No 1 Solar Farms Project")</f>
        <v>Block No 1 Solar Farms Project</v>
      </c>
      <c r="C5" s="2">
        <f>IFERROR(__xludf.DUMMYFUNCTION("""COMPUTED_VALUE"""),5.1)</f>
        <v>5.1</v>
      </c>
      <c r="D5" s="2">
        <f>IFERROR(__xludf.DUMMYFUNCTION("""COMPUTED_VALUE"""),265.0)</f>
        <v>265</v>
      </c>
      <c r="E5" s="3">
        <f>IFERROR(__xludf.DUMMYFUNCTION("""COMPUTED_VALUE"""),64353.0)</f>
        <v>64353</v>
      </c>
      <c r="F5" s="3">
        <f>IFERROR(__xludf.DUMMYFUNCTION("""COMPUTED_VALUE"""),73482.0)</f>
        <v>73482</v>
      </c>
      <c r="G5" s="2" t="str">
        <f>IFERROR(__xludf.DUMMYFUNCTION("""COMPUTED_VALUE"""),"Nepal Electricity Authority")</f>
        <v>Nepal Electricity Authority</v>
      </c>
      <c r="H5" s="2" t="str">
        <f>IFERROR(__xludf.DUMMYFUNCTION("""COMPUTED_VALUE"""),"Kathmandu")</f>
        <v>Kathmandu</v>
      </c>
      <c r="I5" s="2" t="str">
        <f>IFERROR(__xludf.DUMMYFUNCTION("""COMPUTED_VALUE"""),"27o 52' 46""")</f>
        <v>27o 52' 46"</v>
      </c>
      <c r="J5" s="2" t="str">
        <f>IFERROR(__xludf.DUMMYFUNCTION("""COMPUTED_VALUE"""),"27o 53' 17""")</f>
        <v>27o 53' 17"</v>
      </c>
      <c r="K5" s="2" t="str">
        <f>IFERROR(__xludf.DUMMYFUNCTION("""COMPUTED_VALUE"""),"85o 07' 20""")</f>
        <v>85o 07' 20"</v>
      </c>
      <c r="L5" s="2" t="str">
        <f>IFERROR(__xludf.DUMMYFUNCTION("""COMPUTED_VALUE"""),"85o 07' 48""")</f>
        <v>85o 07' 48"</v>
      </c>
      <c r="M5" s="2" t="str">
        <f>IFERROR(__xludf.DUMMYFUNCTION("""COMPUTED_VALUE"""),"Charghare (Nuwakot)")</f>
        <v>Charghare (Nuwakot)</v>
      </c>
      <c r="N5" s="3">
        <f>IFERROR(__xludf.DUMMYFUNCTION("""COMPUTED_VALUE"""),65654.0)</f>
        <v>65654</v>
      </c>
    </row>
    <row r="6">
      <c r="A6" s="2">
        <f>IFERROR(__xludf.DUMMYFUNCTION("""COMPUTED_VALUE"""),5.0)</f>
        <v>5</v>
      </c>
      <c r="B6" s="2" t="str">
        <f>IFERROR(__xludf.DUMMYFUNCTION("""COMPUTED_VALUE"""),"Block No 2 Solar Farms Project")</f>
        <v>Block No 2 Solar Farms Project</v>
      </c>
      <c r="C6" s="2">
        <f>IFERROR(__xludf.DUMMYFUNCTION("""COMPUTED_VALUE"""),8.3)</f>
        <v>8.3</v>
      </c>
      <c r="D6" s="2">
        <f>IFERROR(__xludf.DUMMYFUNCTION("""COMPUTED_VALUE"""),266.0)</f>
        <v>266</v>
      </c>
      <c r="E6" s="3">
        <f>IFERROR(__xludf.DUMMYFUNCTION("""COMPUTED_VALUE"""),64353.0)</f>
        <v>64353</v>
      </c>
      <c r="F6" s="3">
        <f>IFERROR(__xludf.DUMMYFUNCTION("""COMPUTED_VALUE"""),73482.0)</f>
        <v>73482</v>
      </c>
      <c r="G6" s="2" t="str">
        <f>IFERROR(__xludf.DUMMYFUNCTION("""COMPUTED_VALUE"""),"Nepal Electricity Authority")</f>
        <v>Nepal Electricity Authority</v>
      </c>
      <c r="H6" s="2" t="str">
        <f>IFERROR(__xludf.DUMMYFUNCTION("""COMPUTED_VALUE"""),"Kathmandu")</f>
        <v>Kathmandu</v>
      </c>
      <c r="I6" s="2" t="str">
        <f>IFERROR(__xludf.DUMMYFUNCTION("""COMPUTED_VALUE"""),"27o 53' 17""")</f>
        <v>27o 53' 17"</v>
      </c>
      <c r="J6" s="2" t="str">
        <f>IFERROR(__xludf.DUMMYFUNCTION("""COMPUTED_VALUE"""),"27o 53' 51""")</f>
        <v>27o 53' 51"</v>
      </c>
      <c r="K6" s="2" t="str">
        <f>IFERROR(__xludf.DUMMYFUNCTION("""COMPUTED_VALUE"""),"85o 08' 05""")</f>
        <v>85o 08' 05"</v>
      </c>
      <c r="L6" s="2" t="str">
        <f>IFERROR(__xludf.DUMMYFUNCTION("""COMPUTED_VALUE"""),"85o 08' 38""")</f>
        <v>85o 08' 38"</v>
      </c>
      <c r="M6" s="2" t="str">
        <f>IFERROR(__xludf.DUMMYFUNCTION("""COMPUTED_VALUE"""),"Charghare (Nuwakot)")</f>
        <v>Charghare (Nuwakot)</v>
      </c>
      <c r="N6" s="3">
        <f>IFERROR(__xludf.DUMMYFUNCTION("""COMPUTED_VALUE"""),65654.0)</f>
        <v>65654</v>
      </c>
    </row>
    <row r="7">
      <c r="A7" s="2">
        <f>IFERROR(__xludf.DUMMYFUNCTION("""COMPUTED_VALUE"""),6.0)</f>
        <v>6</v>
      </c>
      <c r="B7" s="2" t="str">
        <f>IFERROR(__xludf.DUMMYFUNCTION("""COMPUTED_VALUE"""),"Bel Chautara Solar Farm Project")</f>
        <v>Bel Chautara Solar Farm Project</v>
      </c>
      <c r="C7" s="2">
        <f>IFERROR(__xludf.DUMMYFUNCTION("""COMPUTED_VALUE"""),5.0)</f>
        <v>5</v>
      </c>
      <c r="D7" s="2">
        <f>IFERROR(__xludf.DUMMYFUNCTION("""COMPUTED_VALUE"""),267.0)</f>
        <v>267</v>
      </c>
      <c r="E7" s="3">
        <f>IFERROR(__xludf.DUMMYFUNCTION("""COMPUTED_VALUE"""),64362.0)</f>
        <v>64362</v>
      </c>
      <c r="F7" s="3">
        <f>IFERROR(__xludf.DUMMYFUNCTION("""COMPUTED_VALUE"""),73491.0)</f>
        <v>73491</v>
      </c>
      <c r="G7" s="2" t="str">
        <f>IFERROR(__xludf.DUMMYFUNCTION("""COMPUTED_VALUE"""),"Solar Farm Pvt. Ltd.")</f>
        <v>Solar Farm Pvt. Ltd.</v>
      </c>
      <c r="H7" s="2" t="str">
        <f>IFERROR(__xludf.DUMMYFUNCTION("""COMPUTED_VALUE"""),"Basundhara-3, Ktm. P.O.Box NO. 21498, Aash Bahadur Gurung Mob. NO. 
9851046006")</f>
        <v>Basundhara-3, Ktm. P.O.Box NO. 21498, Aash Bahadur Gurung Mob. NO. 
9851046006</v>
      </c>
      <c r="I7" s="2" t="str">
        <f>IFERROR(__xludf.DUMMYFUNCTION("""COMPUTED_VALUE"""),"28o 01' 50""")</f>
        <v>28o 01' 50"</v>
      </c>
      <c r="J7" s="2" t="str">
        <f>IFERROR(__xludf.DUMMYFUNCTION("""COMPUTED_VALUE"""),"28o 02' 06""")</f>
        <v>28o 02' 06"</v>
      </c>
      <c r="K7" s="2" t="str">
        <f>IFERROR(__xludf.DUMMYFUNCTION("""COMPUTED_VALUE"""),"84o 04' 51""")</f>
        <v>84o 04' 51"</v>
      </c>
      <c r="L7" s="2" t="str">
        <f>IFERROR(__xludf.DUMMYFUNCTION("""COMPUTED_VALUE"""),"84o 05' 05""")</f>
        <v>84o 05' 05"</v>
      </c>
      <c r="M7" s="2" t="str">
        <f>IFERROR(__xludf.DUMMYFUNCTION("""COMPUTED_VALUE"""),"Khairenitar (Tanahu)")</f>
        <v>Khairenitar (Tanahu)</v>
      </c>
      <c r="N7" s="3">
        <f>IFERROR(__xludf.DUMMYFUNCTION("""COMPUTED_VALUE"""),65197.0)</f>
        <v>65197</v>
      </c>
    </row>
    <row r="8">
      <c r="A8" s="2">
        <f>IFERROR(__xludf.DUMMYFUNCTION("""COMPUTED_VALUE"""),7.0)</f>
        <v>7</v>
      </c>
      <c r="B8" s="2" t="str">
        <f>IFERROR(__xludf.DUMMYFUNCTION("""COMPUTED_VALUE"""),"Mithila Solar PV Power Project, Dhanusa")</f>
        <v>Mithila Solar PV Power Project, Dhanusa</v>
      </c>
      <c r="C8" s="2">
        <f>IFERROR(__xludf.DUMMYFUNCTION("""COMPUTED_VALUE"""),10.0)</f>
        <v>10</v>
      </c>
      <c r="D8" s="2">
        <f>IFERROR(__xludf.DUMMYFUNCTION("""COMPUTED_VALUE"""),270.0)</f>
        <v>270</v>
      </c>
      <c r="E8" s="3">
        <f>IFERROR(__xludf.DUMMYFUNCTION("""COMPUTED_VALUE"""),64411.0)</f>
        <v>64411</v>
      </c>
      <c r="F8" s="3">
        <f>IFERROR(__xludf.DUMMYFUNCTION("""COMPUTED_VALUE"""),73540.0)</f>
        <v>73540</v>
      </c>
      <c r="G8" s="2" t="str">
        <f>IFERROR(__xludf.DUMMYFUNCTION("""COMPUTED_VALUE"""),"Eco Power Development Pvt. Ltd")</f>
        <v>Eco Power Development Pvt. Ltd</v>
      </c>
      <c r="H8" s="2" t="str">
        <f>IFERROR(__xludf.DUMMYFUNCTION("""COMPUTED_VALUE"""),"Bakhundole, Lalitpur")</f>
        <v>Bakhundole, Lalitpur</v>
      </c>
      <c r="I8" s="2" t="str">
        <f>IFERROR(__xludf.DUMMYFUNCTION("""COMPUTED_VALUE"""),"26o 56' 05""")</f>
        <v>26o 56' 05"</v>
      </c>
      <c r="J8" s="2" t="str">
        <f>IFERROR(__xludf.DUMMYFUNCTION("""COMPUTED_VALUE"""),"26o 56' 23""")</f>
        <v>26o 56' 23"</v>
      </c>
      <c r="K8" s="2" t="str">
        <f>IFERROR(__xludf.DUMMYFUNCTION("""COMPUTED_VALUE"""),"85o 56' 24""")</f>
        <v>85o 56' 24"</v>
      </c>
      <c r="L8" s="2" t="str">
        <f>IFERROR(__xludf.DUMMYFUNCTION("""COMPUTED_VALUE"""),"85o 56' 46""")</f>
        <v>85o 56' 46"</v>
      </c>
      <c r="M8" s="2" t="str">
        <f>IFERROR(__xludf.DUMMYFUNCTION("""COMPUTED_VALUE"""),"Begadawar (Dhanusha)")</f>
        <v>Begadawar (Dhanusha)</v>
      </c>
      <c r="N8" s="3">
        <f>IFERROR(__xludf.DUMMYFUNCTION("""COMPUTED_VALUE"""),64976.0)</f>
        <v>64976</v>
      </c>
    </row>
    <row r="9">
      <c r="A9" s="2">
        <f>IFERROR(__xludf.DUMMYFUNCTION("""COMPUTED_VALUE"""),8.0)</f>
        <v>8</v>
      </c>
      <c r="B9" s="2" t="str">
        <f>IFERROR(__xludf.DUMMYFUNCTION("""COMPUTED_VALUE"""),"Som Radha Krishna Solar Farm Project (VGF)")</f>
        <v>Som Radha Krishna Solar Farm Project (VGF)</v>
      </c>
      <c r="C9" s="2">
        <f>IFERROR(__xludf.DUMMYFUNCTION("""COMPUTED_VALUE"""),4.4)</f>
        <v>4.4</v>
      </c>
      <c r="D9" s="2">
        <f>IFERROR(__xludf.DUMMYFUNCTION("""COMPUTED_VALUE"""),274.0)</f>
        <v>274</v>
      </c>
      <c r="E9" s="3">
        <f>IFERROR(__xludf.DUMMYFUNCTION("""COMPUTED_VALUE"""),64480.0)</f>
        <v>64480</v>
      </c>
      <c r="F9" s="3">
        <f>IFERROR(__xludf.DUMMYFUNCTION("""COMPUTED_VALUE"""),73609.0)</f>
        <v>73609</v>
      </c>
      <c r="G9" s="2" t="str">
        <f>IFERROR(__xludf.DUMMYFUNCTION("""COMPUTED_VALUE"""),"Nepal Solar Farm Ltd.")</f>
        <v>Nepal Solar Farm Ltd.</v>
      </c>
      <c r="H9" s="2" t="str">
        <f>IFERROR(__xludf.DUMMYFUNCTION("""COMPUTED_VALUE"""),"Bafal, Kathmandu")</f>
        <v>Bafal, Kathmandu</v>
      </c>
      <c r="I9" s="2" t="str">
        <f>IFERROR(__xludf.DUMMYFUNCTION("""COMPUTED_VALUE"""),"28o 08' 55""")</f>
        <v>28o 08' 55"</v>
      </c>
      <c r="J9" s="2" t="str">
        <f>IFERROR(__xludf.DUMMYFUNCTION("""COMPUTED_VALUE"""),"28o 09' 02""")</f>
        <v>28o 09' 02"</v>
      </c>
      <c r="K9" s="2" t="str">
        <f>IFERROR(__xludf.DUMMYFUNCTION("""COMPUTED_VALUE"""),"84o 07' 44""")</f>
        <v>84o 07' 44"</v>
      </c>
      <c r="L9" s="2" t="str">
        <f>IFERROR(__xludf.DUMMYFUNCTION("""COMPUTED_VALUE"""),"84o 07' 50""")</f>
        <v>84o 07' 50"</v>
      </c>
      <c r="M9" s="2" t="str">
        <f>IFERROR(__xludf.DUMMYFUNCTION("""COMPUTED_VALUE"""),"Rupakot (Kaski)")</f>
        <v>Rupakot (Kaski)</v>
      </c>
      <c r="N9" s="3">
        <f>IFERROR(__xludf.DUMMYFUNCTION("""COMPUTED_VALUE"""),65575.0)</f>
        <v>65575</v>
      </c>
    </row>
    <row r="10">
      <c r="A10" s="2">
        <f>IFERROR(__xludf.DUMMYFUNCTION("""COMPUTED_VALUE"""),9.0)</f>
        <v>9</v>
      </c>
      <c r="B10" s="2" t="str">
        <f>IFERROR(__xludf.DUMMYFUNCTION("""COMPUTED_VALUE"""),"Solar PV Pratappur, Grid Connected Solar PV (VGF), Nawalpara")</f>
        <v>Solar PV Pratappur, Grid Connected Solar PV (VGF), Nawalpara</v>
      </c>
      <c r="C10" s="2">
        <f>IFERROR(__xludf.DUMMYFUNCTION("""COMPUTED_VALUE"""),5.0)</f>
        <v>5</v>
      </c>
      <c r="D10" s="2">
        <f>IFERROR(__xludf.DUMMYFUNCTION("""COMPUTED_VALUE"""),281.0)</f>
        <v>281</v>
      </c>
      <c r="E10" s="3">
        <f>IFERROR(__xludf.DUMMYFUNCTION("""COMPUTED_VALUE"""),64539.0)</f>
        <v>64539</v>
      </c>
      <c r="F10" s="3">
        <f>IFERROR(__xludf.DUMMYFUNCTION("""COMPUTED_VALUE"""),73668.0)</f>
        <v>73668</v>
      </c>
      <c r="G10" s="2" t="str">
        <f>IFERROR(__xludf.DUMMYFUNCTION("""COMPUTED_VALUE"""),"National Solar Power Company PVt. Ltd.")</f>
        <v>National Solar Power Company PVt. Ltd.</v>
      </c>
      <c r="H10" s="2" t="str">
        <f>IFERROR(__xludf.DUMMYFUNCTION("""COMPUTED_VALUE"""),"Lalitpur-13; 5275070; nspc@gmail.com")</f>
        <v>Lalitpur-13; 5275070; nspc@gmail.com</v>
      </c>
      <c r="I10" s="2" t="str">
        <f>IFERROR(__xludf.DUMMYFUNCTION("""COMPUTED_VALUE"""),"27o 24' 49""")</f>
        <v>27o 24' 49"</v>
      </c>
      <c r="J10" s="2" t="str">
        <f>IFERROR(__xludf.DUMMYFUNCTION("""COMPUTED_VALUE"""),"27o 24' 55""")</f>
        <v>27o 24' 55"</v>
      </c>
      <c r="K10" s="2" t="str">
        <f>IFERROR(__xludf.DUMMYFUNCTION("""COMPUTED_VALUE"""),"83o 48' 33""")</f>
        <v>83o 48' 33"</v>
      </c>
      <c r="L10" s="2" t="str">
        <f>IFERROR(__xludf.DUMMYFUNCTION("""COMPUTED_VALUE"""),"83o 49' 03""")</f>
        <v>83o 49' 03"</v>
      </c>
      <c r="M10" s="2" t="str">
        <f>IFERROR(__xludf.DUMMYFUNCTION("""COMPUTED_VALUE"""),"Pratappur (Nawalparasi)")</f>
        <v>Pratappur (Nawalparasi)</v>
      </c>
      <c r="N10" s="3">
        <f>IFERROR(__xludf.DUMMYFUNCTION("""COMPUTED_VALUE"""),65527.0)</f>
        <v>65527</v>
      </c>
    </row>
    <row r="11">
      <c r="A11" s="2">
        <f>IFERROR(__xludf.DUMMYFUNCTION("""COMPUTED_VALUE"""),10.0)</f>
        <v>10</v>
      </c>
      <c r="B11" s="2" t="str">
        <f>IFERROR(__xludf.DUMMYFUNCTION("""COMPUTED_VALUE"""),"Chandranigahpur Solar Project")</f>
        <v>Chandranigahpur Solar Project</v>
      </c>
      <c r="C11" s="2">
        <f>IFERROR(__xludf.DUMMYFUNCTION("""COMPUTED_VALUE"""),4.0)</f>
        <v>4</v>
      </c>
      <c r="D11" s="2">
        <f>IFERROR(__xludf.DUMMYFUNCTION("""COMPUTED_VALUE"""),287.0)</f>
        <v>287</v>
      </c>
      <c r="E11" s="3">
        <f>IFERROR(__xludf.DUMMYFUNCTION("""COMPUTED_VALUE"""),64559.0)</f>
        <v>64559</v>
      </c>
      <c r="F11" s="3">
        <f>IFERROR(__xludf.DUMMYFUNCTION("""COMPUTED_VALUE"""),73687.0)</f>
        <v>73687</v>
      </c>
      <c r="G11" s="2" t="str">
        <f>IFERROR(__xludf.DUMMYFUNCTION("""COMPUTED_VALUE"""),"Api Power Company Pvt. Ltd")</f>
        <v>Api Power Company Pvt. Ltd</v>
      </c>
      <c r="H11" s="2" t="str">
        <f>IFERROR(__xludf.DUMMYFUNCTION("""COMPUTED_VALUE"""),"Thapathali 11, Kathmandu. Ph : 9851033646")</f>
        <v>Thapathali 11, Kathmandu. Ph : 9851033646</v>
      </c>
      <c r="I11" s="2" t="str">
        <f>IFERROR(__xludf.DUMMYFUNCTION("""COMPUTED_VALUE"""),"27o 07' 12""")</f>
        <v>27o 07' 12"</v>
      </c>
      <c r="J11" s="2" t="str">
        <f>IFERROR(__xludf.DUMMYFUNCTION("""COMPUTED_VALUE"""),"27o 07' 20""")</f>
        <v>27o 07' 20"</v>
      </c>
      <c r="K11" s="2" t="str">
        <f>IFERROR(__xludf.DUMMYFUNCTION("""COMPUTED_VALUE"""),"85o 22' 17""")</f>
        <v>85o 22' 17"</v>
      </c>
      <c r="L11" s="2" t="str">
        <f>IFERROR(__xludf.DUMMYFUNCTION("""COMPUTED_VALUE"""),"85o 22' 29""")</f>
        <v>85o 22' 29"</v>
      </c>
      <c r="M11" s="2" t="str">
        <f>IFERROR(__xludf.DUMMYFUNCTION("""COMPUTED_VALUE"""),"Chandranigahapur (Rautahat)")</f>
        <v>Chandranigahapur (Rautahat)</v>
      </c>
      <c r="N11" s="3">
        <f>IFERROR(__xludf.DUMMYFUNCTION("""COMPUTED_VALUE"""),65141.0)</f>
        <v>65141</v>
      </c>
    </row>
    <row r="12">
      <c r="A12" s="2">
        <f>IFERROR(__xludf.DUMMYFUNCTION("""COMPUTED_VALUE"""),11.0)</f>
        <v>11</v>
      </c>
      <c r="B12" s="2" t="str">
        <f>IFERROR(__xludf.DUMMYFUNCTION("""COMPUTED_VALUE"""),"Grid Connected Solar Project Block 4, Nuwakot")</f>
        <v>Grid Connected Solar Project Block 4, Nuwakot</v>
      </c>
      <c r="C12" s="2">
        <f>IFERROR(__xludf.DUMMYFUNCTION("""COMPUTED_VALUE"""),1.37)</f>
        <v>1.37</v>
      </c>
      <c r="D12" s="2">
        <f>IFERROR(__xludf.DUMMYFUNCTION("""COMPUTED_VALUE"""),308.0)</f>
        <v>308</v>
      </c>
      <c r="E12" s="3">
        <f>IFERROR(__xludf.DUMMYFUNCTION("""COMPUTED_VALUE"""),64752.0)</f>
        <v>64752</v>
      </c>
      <c r="F12" s="3">
        <f>IFERROR(__xludf.DUMMYFUNCTION("""COMPUTED_VALUE"""),73882.0)</f>
        <v>73882</v>
      </c>
      <c r="G12" s="2" t="str">
        <f>IFERROR(__xludf.DUMMYFUNCTION("""COMPUTED_VALUE"""),"Nepal Electricity Authority")</f>
        <v>Nepal Electricity Authority</v>
      </c>
      <c r="H12" s="2" t="str">
        <f>IFERROR(__xludf.DUMMYFUNCTION("""COMPUTED_VALUE"""),"Durbarmarg, Kathmandu")</f>
        <v>Durbarmarg, Kathmandu</v>
      </c>
      <c r="I12" s="2" t="str">
        <f>IFERROR(__xludf.DUMMYFUNCTION("""COMPUTED_VALUE"""),"27o 54' 30""")</f>
        <v>27o 54' 30"</v>
      </c>
      <c r="J12" s="2" t="str">
        <f>IFERROR(__xludf.DUMMYFUNCTION("""COMPUTED_VALUE"""),"27o 54' 41""")</f>
        <v>27o 54' 41"</v>
      </c>
      <c r="K12" s="2" t="str">
        <f>IFERROR(__xludf.DUMMYFUNCTION("""COMPUTED_VALUE"""),"85o 08' 07""")</f>
        <v>85o 08' 07"</v>
      </c>
      <c r="L12" s="2" t="str">
        <f>IFERROR(__xludf.DUMMYFUNCTION("""COMPUTED_VALUE"""),"85o 08' 21""")</f>
        <v>85o 08' 21"</v>
      </c>
      <c r="M12" s="2" t="str">
        <f>IFERROR(__xludf.DUMMYFUNCTION("""COMPUTED_VALUE"""),"Bidur N.P. (Nuwakot)")</f>
        <v>Bidur N.P. (Nuwakot)</v>
      </c>
      <c r="N12" s="3">
        <f>IFERROR(__xludf.DUMMYFUNCTION("""COMPUTED_VALUE"""),65654.0)</f>
        <v>65654</v>
      </c>
    </row>
    <row r="13">
      <c r="A13" s="2">
        <f>IFERROR(__xludf.DUMMYFUNCTION("""COMPUTED_VALUE"""),12.0)</f>
        <v>12</v>
      </c>
      <c r="B13" s="2" t="str">
        <f>IFERROR(__xludf.DUMMYFUNCTION("""COMPUTED_VALUE"""),"Grid-Connected Solar Power Project, Dhalkebar, 33 kV S/S")</f>
        <v>Grid-Connected Solar Power Project, Dhalkebar, 33 kV S/S</v>
      </c>
      <c r="C13" s="2">
        <f>IFERROR(__xludf.DUMMYFUNCTION("""COMPUTED_VALUE"""),3.0)</f>
        <v>3</v>
      </c>
      <c r="D13" s="2">
        <f>IFERROR(__xludf.DUMMYFUNCTION("""COMPUTED_VALUE"""),309.0)</f>
        <v>309</v>
      </c>
      <c r="E13" s="3">
        <f>IFERROR(__xludf.DUMMYFUNCTION("""COMPUTED_VALUE"""),64765.0)</f>
        <v>64765</v>
      </c>
      <c r="F13" s="3">
        <f>IFERROR(__xludf.DUMMYFUNCTION("""COMPUTED_VALUE"""),73894.0)</f>
        <v>73894</v>
      </c>
      <c r="G13" s="2" t="str">
        <f>IFERROR(__xludf.DUMMYFUNCTION("""COMPUTED_VALUE"""),"Sagarmatha Energy &amp; Construction Pvt. Ltd.")</f>
        <v>Sagarmatha Energy &amp; Construction Pvt. Ltd.</v>
      </c>
      <c r="H13" s="2" t="str">
        <f>IFERROR(__xludf.DUMMYFUNCTION("""COMPUTED_VALUE"""),"Babarmahal, Kathmandu-11, Ph. no.-01-2291943")</f>
        <v>Babarmahal, Kathmandu-11, Ph. no.-01-2291943</v>
      </c>
      <c r="I13" s="2" t="str">
        <f>IFERROR(__xludf.DUMMYFUNCTION("""COMPUTED_VALUE"""),"26o 55' 36""")</f>
        <v>26o 55' 36"</v>
      </c>
      <c r="J13" s="2" t="str">
        <f>IFERROR(__xludf.DUMMYFUNCTION("""COMPUTED_VALUE"""),"26o 56' 21""")</f>
        <v>26o 56' 21"</v>
      </c>
      <c r="K13" s="2" t="str">
        <f>IFERROR(__xludf.DUMMYFUNCTION("""COMPUTED_VALUE"""),"85o 58' 54""")</f>
        <v>85o 58' 54"</v>
      </c>
      <c r="L13" s="2" t="str">
        <f>IFERROR(__xludf.DUMMYFUNCTION("""COMPUTED_VALUE"""),"85o 59' 15""")</f>
        <v>85o 59' 15"</v>
      </c>
      <c r="M13" s="2" t="str">
        <f>IFERROR(__xludf.DUMMYFUNCTION("""COMPUTED_VALUE"""),"Dhalkebar (Dhanusha)")</f>
        <v>Dhalkebar (Dhanusha)</v>
      </c>
      <c r="N13" s="3">
        <f>IFERROR(__xludf.DUMMYFUNCTION("""COMPUTED_VALUE"""),65340.0)</f>
        <v>65340</v>
      </c>
    </row>
    <row r="14">
      <c r="A14" s="2">
        <f>IFERROR(__xludf.DUMMYFUNCTION("""COMPUTED_VALUE"""),13.0)</f>
        <v>13</v>
      </c>
      <c r="B14" s="2" t="str">
        <f>IFERROR(__xludf.DUMMYFUNCTION("""COMPUTED_VALUE"""),"Grid Connected Solar PV Project, Ramgram, Nawalparasi")</f>
        <v>Grid Connected Solar PV Project, Ramgram, Nawalparasi</v>
      </c>
      <c r="C14" s="2">
        <f>IFERROR(__xludf.DUMMYFUNCTION("""COMPUTED_VALUE"""),2.0)</f>
        <v>2</v>
      </c>
      <c r="D14" s="2">
        <f>IFERROR(__xludf.DUMMYFUNCTION("""COMPUTED_VALUE"""),317.0)</f>
        <v>317</v>
      </c>
      <c r="E14" s="3">
        <f>IFERROR(__xludf.DUMMYFUNCTION("""COMPUTED_VALUE"""),64812.0)</f>
        <v>64812</v>
      </c>
      <c r="F14" s="3">
        <f>IFERROR(__xludf.DUMMYFUNCTION("""COMPUTED_VALUE"""),73941.0)</f>
        <v>73941</v>
      </c>
      <c r="G14" s="2" t="str">
        <f>IFERROR(__xludf.DUMMYFUNCTION("""COMPUTED_VALUE"""),"Saurya Bidhyut Power Pvt. Ltd")</f>
        <v>Saurya Bidhyut Power Pvt. Ltd</v>
      </c>
      <c r="H14" s="2" t="str">
        <f>IFERROR(__xludf.DUMMYFUNCTION("""COMPUTED_VALUE"""),"Kathmandu- 1, Narayanchaur Naxal; POB 6633; PN: 4444555, 4432411; 
Email:prabhakhar@himelectronics.com, Fax: 4432406")</f>
        <v>Kathmandu- 1, Narayanchaur Naxal; POB 6633; PN: 4444555, 4432411; 
Email:prabhakhar@himelectronics.com, Fax: 4432406</v>
      </c>
      <c r="I14" s="2" t="str">
        <f>IFERROR(__xludf.DUMMYFUNCTION("""COMPUTED_VALUE"""),"27o 33' 15""")</f>
        <v>27o 33' 15"</v>
      </c>
      <c r="J14" s="2" t="str">
        <f>IFERROR(__xludf.DUMMYFUNCTION("""COMPUTED_VALUE"""),"27o 33' 20""")</f>
        <v>27o 33' 20"</v>
      </c>
      <c r="K14" s="2" t="str">
        <f>IFERROR(__xludf.DUMMYFUNCTION("""COMPUTED_VALUE"""),"83o 41' 24""")</f>
        <v>83o 41' 24"</v>
      </c>
      <c r="L14" s="2" t="str">
        <f>IFERROR(__xludf.DUMMYFUNCTION("""COMPUTED_VALUE"""),"83o 41' 36""")</f>
        <v>83o 41' 36"</v>
      </c>
      <c r="M14" s="2"/>
      <c r="N14" s="3">
        <f>IFERROR(__xludf.DUMMYFUNCTION("""COMPUTED_VALUE"""),65747.0)</f>
        <v>65747</v>
      </c>
    </row>
    <row r="15">
      <c r="A15" s="2">
        <f>IFERROR(__xludf.DUMMYFUNCTION("""COMPUTED_VALUE"""),14.0)</f>
        <v>14</v>
      </c>
      <c r="B15" s="2" t="str">
        <f>IFERROR(__xludf.DUMMYFUNCTION("""COMPUTED_VALUE"""),"Grid-Connected Solar Power Project, Duhabi, 33 kV S/S")</f>
        <v>Grid-Connected Solar Power Project, Duhabi, 33 kV S/S</v>
      </c>
      <c r="C15" s="2">
        <f>IFERROR(__xludf.DUMMYFUNCTION("""COMPUTED_VALUE"""),8.0)</f>
        <v>8</v>
      </c>
      <c r="D15" s="2">
        <f>IFERROR(__xludf.DUMMYFUNCTION("""COMPUTED_VALUE"""),321.0)</f>
        <v>321</v>
      </c>
      <c r="E15" s="3">
        <f>IFERROR(__xludf.DUMMYFUNCTION("""COMPUTED_VALUE"""),64813.0)</f>
        <v>64813</v>
      </c>
      <c r="F15" s="3">
        <f>IFERROR(__xludf.DUMMYFUNCTION("""COMPUTED_VALUE"""),73942.0)</f>
        <v>73942</v>
      </c>
      <c r="G15" s="2" t="str">
        <f>IFERROR(__xludf.DUMMYFUNCTION("""COMPUTED_VALUE"""),"Global Energy &amp; Construction Pvt. Ltd.")</f>
        <v>Global Energy &amp; Construction Pvt. Ltd.</v>
      </c>
      <c r="H15" s="2" t="str">
        <f>IFERROR(__xludf.DUMMYFUNCTION("""COMPUTED_VALUE"""),"Kamalpokhari, Kathmandu-1, 01-4444616")</f>
        <v>Kamalpokhari, Kathmandu-1, 01-4444616</v>
      </c>
      <c r="I15" s="2" t="str">
        <f>IFERROR(__xludf.DUMMYFUNCTION("""COMPUTED_VALUE"""),"26o 36' 05""")</f>
        <v>26o 36' 05"</v>
      </c>
      <c r="J15" s="2" t="str">
        <f>IFERROR(__xludf.DUMMYFUNCTION("""COMPUTED_VALUE"""),"26o 36' 15""")</f>
        <v>26o 36' 15"</v>
      </c>
      <c r="K15" s="2" t="str">
        <f>IFERROR(__xludf.DUMMYFUNCTION("""COMPUTED_VALUE"""),"87o 20' 00""")</f>
        <v>87o 20' 00"</v>
      </c>
      <c r="L15" s="2" t="str">
        <f>IFERROR(__xludf.DUMMYFUNCTION("""COMPUTED_VALUE"""),"87o 20' 15""")</f>
        <v>87o 20' 15"</v>
      </c>
      <c r="M15" s="2" t="str">
        <f>IFERROR(__xludf.DUMMYFUNCTION("""COMPUTED_VALUE"""),"Mrigauliya (Morang)")</f>
        <v>Mrigauliya (Morang)</v>
      </c>
      <c r="N15" s="3">
        <f>IFERROR(__xludf.DUMMYFUNCTION("""COMPUTED_VALUE"""),66777.0)</f>
        <v>66777</v>
      </c>
    </row>
    <row r="16">
      <c r="A16" s="2">
        <f>IFERROR(__xludf.DUMMYFUNCTION("""COMPUTED_VALUE"""),15.0)</f>
        <v>15</v>
      </c>
      <c r="B16" s="2" t="str">
        <f>IFERROR(__xludf.DUMMYFUNCTION("""COMPUTED_VALUE"""),"Utility Scale Solar PV, Grid Connected Solar Project, Morang")</f>
        <v>Utility Scale Solar PV, Grid Connected Solar Project, Morang</v>
      </c>
      <c r="C16" s="2">
        <f>IFERROR(__xludf.DUMMYFUNCTION("""COMPUTED_VALUE"""),6.8)</f>
        <v>6.8</v>
      </c>
      <c r="D16" s="2">
        <f>IFERROR(__xludf.DUMMYFUNCTION("""COMPUTED_VALUE"""),324.0)</f>
        <v>324</v>
      </c>
      <c r="E16" s="3">
        <f>IFERROR(__xludf.DUMMYFUNCTION("""COMPUTED_VALUE"""),64837.0)</f>
        <v>64837</v>
      </c>
      <c r="F16" s="3">
        <f>IFERROR(__xludf.DUMMYFUNCTION("""COMPUTED_VALUE"""),73966.0)</f>
        <v>73966</v>
      </c>
      <c r="G16" s="2" t="str">
        <f>IFERROR(__xludf.DUMMYFUNCTION("""COMPUTED_VALUE"""),"G I Solar Pvt. Ltd,")</f>
        <v>G I Solar Pvt. Ltd,</v>
      </c>
      <c r="H16" s="2" t="str">
        <f>IFERROR(__xludf.DUMMYFUNCTION("""COMPUTED_VALUE"""),"La. Ma. Na. Pa-1,Kopundole, 015522769, 9851023732")</f>
        <v>La. Ma. Na. Pa-1,Kopundole, 015522769, 9851023732</v>
      </c>
      <c r="I16" s="2" t="str">
        <f>IFERROR(__xludf.DUMMYFUNCTION("""COMPUTED_VALUE"""),"26o 33' 04""")</f>
        <v>26o 33' 04"</v>
      </c>
      <c r="J16" s="2" t="str">
        <f>IFERROR(__xludf.DUMMYFUNCTION("""COMPUTED_VALUE"""),"26o 33' 18""")</f>
        <v>26o 33' 18"</v>
      </c>
      <c r="K16" s="2" t="str">
        <f>IFERROR(__xludf.DUMMYFUNCTION("""COMPUTED_VALUE"""),"87o 17' 27""")</f>
        <v>87o 17' 27"</v>
      </c>
      <c r="L16" s="2" t="str">
        <f>IFERROR(__xludf.DUMMYFUNCTION("""COMPUTED_VALUE"""),"87o 17' 40""")</f>
        <v>87o 17' 40"</v>
      </c>
      <c r="M16" s="2" t="str">
        <f>IFERROR(__xludf.DUMMYFUNCTION("""COMPUTED_VALUE"""),"Banigama (Morang)")</f>
        <v>Banigama (Morang)</v>
      </c>
      <c r="N16" s="3">
        <f>IFERROR(__xludf.DUMMYFUNCTION("""COMPUTED_VALUE"""),65744.0)</f>
        <v>65744</v>
      </c>
    </row>
    <row r="17">
      <c r="A17" s="2">
        <f>IFERROR(__xludf.DUMMYFUNCTION("""COMPUTED_VALUE"""),16.0)</f>
        <v>16</v>
      </c>
      <c r="B17" s="2" t="str">
        <f>IFERROR(__xludf.DUMMYFUNCTION("""COMPUTED_VALUE"""),"Solar PV Project Banke, block-2")</f>
        <v>Solar PV Project Banke, block-2</v>
      </c>
      <c r="C17" s="2">
        <f>IFERROR(__xludf.DUMMYFUNCTION("""COMPUTED_VALUE"""),10.0)</f>
        <v>10</v>
      </c>
      <c r="D17" s="2">
        <f>IFERROR(__xludf.DUMMYFUNCTION("""COMPUTED_VALUE"""),332.0)</f>
        <v>332</v>
      </c>
      <c r="E17" s="3">
        <f>IFERROR(__xludf.DUMMYFUNCTION("""COMPUTED_VALUE"""),64891.0)</f>
        <v>64891</v>
      </c>
      <c r="F17" s="3">
        <f>IFERROR(__xludf.DUMMYFUNCTION("""COMPUTED_VALUE"""),74020.0)</f>
        <v>74020</v>
      </c>
      <c r="G17" s="2" t="str">
        <f>IFERROR(__xludf.DUMMYFUNCTION("""COMPUTED_VALUE"""),"Pure Energy Ltd")</f>
        <v>Pure Energy Ltd</v>
      </c>
      <c r="H17" s="2" t="str">
        <f>IFERROR(__xludf.DUMMYFUNCTION("""COMPUTED_VALUE"""),"Redcross Marga, Solteemode, Kathmandu-13, PH 01-4241853, Mob. 9808372189, 
9801011278")</f>
        <v>Redcross Marga, Solteemode, Kathmandu-13, PH 01-4241853, Mob. 9808372189, 
9801011278</v>
      </c>
      <c r="I17" s="2" t="str">
        <f>IFERROR(__xludf.DUMMYFUNCTION("""COMPUTED_VALUE"""),"28o 09' 29""")</f>
        <v>28o 09' 29"</v>
      </c>
      <c r="J17" s="2" t="str">
        <f>IFERROR(__xludf.DUMMYFUNCTION("""COMPUTED_VALUE"""),"28o 10' 01""")</f>
        <v>28o 10' 01"</v>
      </c>
      <c r="K17" s="2" t="str">
        <f>IFERROR(__xludf.DUMMYFUNCTION("""COMPUTED_VALUE"""),"81o 34' 50""")</f>
        <v>81o 34' 50"</v>
      </c>
      <c r="L17" s="2" t="str">
        <f>IFERROR(__xludf.DUMMYFUNCTION("""COMPUTED_VALUE"""),"81o 35' 10""")</f>
        <v>81o 35' 10"</v>
      </c>
      <c r="M17" s="2" t="str">
        <f>IFERROR(__xludf.DUMMYFUNCTION("""COMPUTED_VALUE"""),"Raniyapur (Banke)")</f>
        <v>Raniyapur (Banke)</v>
      </c>
      <c r="N17" s="3">
        <f>IFERROR(__xludf.DUMMYFUNCTION("""COMPUTED_VALUE"""),65763.0)</f>
        <v>65763</v>
      </c>
    </row>
    <row r="18">
      <c r="A18" s="2">
        <f>IFERROR(__xludf.DUMMYFUNCTION("""COMPUTED_VALUE"""),17.0)</f>
        <v>17</v>
      </c>
      <c r="B18" s="2" t="str">
        <f>IFERROR(__xludf.DUMMYFUNCTION("""COMPUTED_VALUE"""),"Solar PV Project, Raniyapur, Block 1")</f>
        <v>Solar PV Project, Raniyapur, Block 1</v>
      </c>
      <c r="C18" s="2">
        <f>IFERROR(__xludf.DUMMYFUNCTION("""COMPUTED_VALUE"""),10.0)</f>
        <v>10</v>
      </c>
      <c r="D18" s="2">
        <f>IFERROR(__xludf.DUMMYFUNCTION("""COMPUTED_VALUE"""),333.0)</f>
        <v>333</v>
      </c>
      <c r="E18" s="3">
        <f>IFERROR(__xludf.DUMMYFUNCTION("""COMPUTED_VALUE"""),64895.0)</f>
        <v>64895</v>
      </c>
      <c r="F18" s="3">
        <f>IFERROR(__xludf.DUMMYFUNCTION("""COMPUTED_VALUE"""),74024.0)</f>
        <v>74024</v>
      </c>
      <c r="G18" s="2" t="str">
        <f>IFERROR(__xludf.DUMMYFUNCTION("""COMPUTED_VALUE"""),"Pure Energy Ltd")</f>
        <v>Pure Energy Ltd</v>
      </c>
      <c r="H18" s="2" t="str">
        <f>IFERROR(__xludf.DUMMYFUNCTION("""COMPUTED_VALUE"""),"Redcross Marga, Solteemode, Kathmandu; PH 01-4241853, Mob. 9801011278, 
9851132321")</f>
        <v>Redcross Marga, Solteemode, Kathmandu; PH 01-4241853, Mob. 9801011278, 
9851132321</v>
      </c>
      <c r="I18" s="2" t="str">
        <f>IFERROR(__xludf.DUMMYFUNCTION("""COMPUTED_VALUE"""),"28o 10' 38""")</f>
        <v>28o 10' 38"</v>
      </c>
      <c r="J18" s="2" t="str">
        <f>IFERROR(__xludf.DUMMYFUNCTION("""COMPUTED_VALUE"""),"28o 10' 57""")</f>
        <v>28o 10' 57"</v>
      </c>
      <c r="K18" s="2" t="str">
        <f>IFERROR(__xludf.DUMMYFUNCTION("""COMPUTED_VALUE"""),"81o 35' 21""")</f>
        <v>81o 35' 21"</v>
      </c>
      <c r="L18" s="2" t="str">
        <f>IFERROR(__xludf.DUMMYFUNCTION("""COMPUTED_VALUE"""),"81o 35' 46""")</f>
        <v>81o 35' 46"</v>
      </c>
      <c r="M18" s="2" t="str">
        <f>IFERROR(__xludf.DUMMYFUNCTION("""COMPUTED_VALUE"""),"Raniyapur (Banke)")</f>
        <v>Raniyapur (Banke)</v>
      </c>
      <c r="N18" s="3">
        <f>IFERROR(__xludf.DUMMYFUNCTION("""COMPUTED_VALUE"""),66014.0)</f>
        <v>66014</v>
      </c>
    </row>
    <row r="19">
      <c r="A19" s="2">
        <f>IFERROR(__xludf.DUMMYFUNCTION("""COMPUTED_VALUE"""),18.0)</f>
        <v>18</v>
      </c>
      <c r="B19" s="2" t="str">
        <f>IFERROR(__xludf.DUMMYFUNCTION("""COMPUTED_VALUE"""),"Solar Power Project, Dhalkebar 11 kV S/S")</f>
        <v>Solar Power Project, Dhalkebar 11 kV S/S</v>
      </c>
      <c r="C19" s="2">
        <f>IFERROR(__xludf.DUMMYFUNCTION("""COMPUTED_VALUE"""),1.0)</f>
        <v>1</v>
      </c>
      <c r="D19" s="2" t="str">
        <f>IFERROR(__xludf.DUMMYFUNCTION("""COMPUTED_VALUE"""),"NA")</f>
        <v>NA</v>
      </c>
      <c r="E19" s="3">
        <f>IFERROR(__xludf.DUMMYFUNCTION("""COMPUTED_VALUE"""),65014.0)</f>
        <v>65014</v>
      </c>
      <c r="F19" s="3">
        <f>IFERROR(__xludf.DUMMYFUNCTION("""COMPUTED_VALUE"""),74144.0)</f>
        <v>74144</v>
      </c>
      <c r="G19" s="2" t="str">
        <f>IFERROR(__xludf.DUMMYFUNCTION("""COMPUTED_VALUE"""),"Api Power Company Ltd.")</f>
        <v>Api Power Company Ltd.</v>
      </c>
      <c r="H19" s="2" t="str">
        <f>IFERROR(__xludf.DUMMYFUNCTION("""COMPUTED_VALUE"""),"Trade Tower 4th Floor,Thapathali, KTM, Ph- 01-5111093, Mo-9801147071")</f>
        <v>Trade Tower 4th Floor,Thapathali, KTM, Ph- 01-5111093, Mo-9801147071</v>
      </c>
      <c r="I19" s="2" t="str">
        <f>IFERROR(__xludf.DUMMYFUNCTION("""COMPUTED_VALUE"""),"26o 55' 12""")</f>
        <v>26o 55' 12"</v>
      </c>
      <c r="J19" s="2" t="str">
        <f>IFERROR(__xludf.DUMMYFUNCTION("""COMPUTED_VALUE"""),"26o 55' 38""")</f>
        <v>26o 55' 38"</v>
      </c>
      <c r="K19" s="2" t="str">
        <f>IFERROR(__xludf.DUMMYFUNCTION("""COMPUTED_VALUE"""),"85o 56' 38""")</f>
        <v>85o 56' 38"</v>
      </c>
      <c r="L19" s="2" t="str">
        <f>IFERROR(__xludf.DUMMYFUNCTION("""COMPUTED_VALUE"""),"85o 56' 56""")</f>
        <v>85o 56' 56"</v>
      </c>
      <c r="M19" s="2" t="str">
        <f>IFERROR(__xludf.DUMMYFUNCTION("""COMPUTED_VALUE"""),"Dhalkebar (Dhanusha)")</f>
        <v>Dhalkebar (Dhanusha)</v>
      </c>
      <c r="N19" s="3">
        <f>IFERROR(__xludf.DUMMYFUNCTION("""COMPUTED_VALUE"""),65290.0)</f>
        <v>65290</v>
      </c>
    </row>
    <row r="20">
      <c r="A20" s="2">
        <f>IFERROR(__xludf.DUMMYFUNCTION("""COMPUTED_VALUE"""),19.0)</f>
        <v>19</v>
      </c>
      <c r="B20" s="2" t="str">
        <f>IFERROR(__xludf.DUMMYFUNCTION("""COMPUTED_VALUE"""),"Solar Power Project, Simara, 11 kV S/S")</f>
        <v>Solar Power Project, Simara, 11 kV S/S</v>
      </c>
      <c r="C20" s="2">
        <f>IFERROR(__xludf.DUMMYFUNCTION("""COMPUTED_VALUE"""),1.0)</f>
        <v>1</v>
      </c>
      <c r="D20" s="2" t="str">
        <f>IFERROR(__xludf.DUMMYFUNCTION("""COMPUTED_VALUE"""),"NA")</f>
        <v>NA</v>
      </c>
      <c r="E20" s="3">
        <f>IFERROR(__xludf.DUMMYFUNCTION("""COMPUTED_VALUE"""),65080.0)</f>
        <v>65080</v>
      </c>
      <c r="F20" s="3">
        <f>IFERROR(__xludf.DUMMYFUNCTION("""COMPUTED_VALUE"""),73845.0)</f>
        <v>73845</v>
      </c>
      <c r="G20" s="2" t="str">
        <f>IFERROR(__xludf.DUMMYFUNCTION("""COMPUTED_VALUE"""),"Api Power Company Ltd.")</f>
        <v>Api Power Company Ltd.</v>
      </c>
      <c r="H20" s="2" t="str">
        <f>IFERROR(__xludf.DUMMYFUNCTION("""COMPUTED_VALUE"""),"Trade Tower 4th Floor,Thapathali, KTM, Ph- 01-5111093, Mo-9801147071")</f>
        <v>Trade Tower 4th Floor,Thapathali, KTM, Ph- 01-5111093, Mo-9801147071</v>
      </c>
      <c r="I20" s="2" t="str">
        <f>IFERROR(__xludf.DUMMYFUNCTION("""COMPUTED_VALUE"""),"27o 08' 47""")</f>
        <v>27o 08' 47"</v>
      </c>
      <c r="J20" s="2" t="str">
        <f>IFERROR(__xludf.DUMMYFUNCTION("""COMPUTED_VALUE"""),"27o 09' 18""")</f>
        <v>27o 09' 18"</v>
      </c>
      <c r="K20" s="2" t="str">
        <f>IFERROR(__xludf.DUMMYFUNCTION("""COMPUTED_VALUE"""),"85o 00' 28""")</f>
        <v>85o 00' 28"</v>
      </c>
      <c r="L20" s="2" t="str">
        <f>IFERROR(__xludf.DUMMYFUNCTION("""COMPUTED_VALUE"""),"85o 01' 04""")</f>
        <v>85o 01' 04"</v>
      </c>
      <c r="M20" s="2"/>
      <c r="N20" s="3">
        <f>IFERROR(__xludf.DUMMYFUNCTION("""COMPUTED_VALUE"""),65478.0)</f>
        <v>65478</v>
      </c>
    </row>
    <row r="21">
      <c r="A21" s="2">
        <f>IFERROR(__xludf.DUMMYFUNCTION("""COMPUTED_VALUE"""),20.0)</f>
        <v>20</v>
      </c>
      <c r="B21" s="2" t="str">
        <f>IFERROR(__xludf.DUMMYFUNCTION("""COMPUTED_VALUE"""),"Dharamnagar Solar Farm Project")</f>
        <v>Dharamnagar Solar Farm Project</v>
      </c>
      <c r="C21" s="2">
        <f>IFERROR(__xludf.DUMMYFUNCTION("""COMPUTED_VALUE"""),10.0)</f>
        <v>10</v>
      </c>
      <c r="D21" s="2">
        <f>IFERROR(__xludf.DUMMYFUNCTION("""COMPUTED_VALUE"""),355.0)</f>
        <v>355</v>
      </c>
      <c r="E21" s="3">
        <f>IFERROR(__xludf.DUMMYFUNCTION("""COMPUTED_VALUE"""),65260.0)</f>
        <v>65260</v>
      </c>
      <c r="F21" s="3">
        <f>IFERROR(__xludf.DUMMYFUNCTION("""COMPUTED_VALUE"""),74389.0)</f>
        <v>74389</v>
      </c>
      <c r="G21" s="2" t="str">
        <f>IFERROR(__xludf.DUMMYFUNCTION("""COMPUTED_VALUE"""),"Pashupati Renewables Ltd.")</f>
        <v>Pashupati Renewables Ltd.</v>
      </c>
      <c r="H21" s="2" t="str">
        <f>IFERROR(__xludf.DUMMYFUNCTION("""COMPUTED_VALUE"""),"Lalitpur-1,Lalitpur. Contact No. 01-5527629")</f>
        <v>Lalitpur-1,Lalitpur. Contact No. 01-5527629</v>
      </c>
      <c r="I21" s="2" t="str">
        <f>IFERROR(__xludf.DUMMYFUNCTION("""COMPUTED_VALUE"""),"27o 37' 09""")</f>
        <v>27o 37' 09"</v>
      </c>
      <c r="J21" s="2" t="str">
        <f>IFERROR(__xludf.DUMMYFUNCTION("""COMPUTED_VALUE"""),"27o 37' 18""")</f>
        <v>27o 37' 18"</v>
      </c>
      <c r="K21" s="2" t="str">
        <f>IFERROR(__xludf.DUMMYFUNCTION("""COMPUTED_VALUE"""),"82o 50' 52""")</f>
        <v>82o 50' 52"</v>
      </c>
      <c r="L21" s="2" t="str">
        <f>IFERROR(__xludf.DUMMYFUNCTION("""COMPUTED_VALUE"""),"82o 51' 09""")</f>
        <v>82o 51' 09"</v>
      </c>
      <c r="M21" s="2" t="str">
        <f>IFERROR(__xludf.DUMMYFUNCTION("""COMPUTED_VALUE"""),"Birpur (Kapilbastu)")</f>
        <v>Birpur (Kapilbastu)</v>
      </c>
      <c r="N21" s="3">
        <f>IFERROR(__xludf.DUMMYFUNCTION("""COMPUTED_VALUE"""),66480.0)</f>
        <v>66480</v>
      </c>
    </row>
    <row r="22">
      <c r="A22" s="2">
        <f>IFERROR(__xludf.DUMMYFUNCTION("""COMPUTED_VALUE"""),21.0)</f>
        <v>21</v>
      </c>
      <c r="B22" s="2" t="str">
        <f>IFERROR(__xludf.DUMMYFUNCTION("""COMPUTED_VALUE"""),"Grid Tied Solar Farm Project")</f>
        <v>Grid Tied Solar Farm Project</v>
      </c>
      <c r="C22" s="2">
        <f>IFERROR(__xludf.DUMMYFUNCTION("""COMPUTED_VALUE"""),3.09)</f>
        <v>3.09</v>
      </c>
      <c r="D22" s="2">
        <f>IFERROR(__xludf.DUMMYFUNCTION("""COMPUTED_VALUE"""),367.0)</f>
        <v>367</v>
      </c>
      <c r="E22" s="3">
        <f>IFERROR(__xludf.DUMMYFUNCTION("""COMPUTED_VALUE"""),65386.0)</f>
        <v>65386</v>
      </c>
      <c r="F22" s="3">
        <f>IFERROR(__xludf.DUMMYFUNCTION("""COMPUTED_VALUE"""),74515.0)</f>
        <v>74515</v>
      </c>
      <c r="G22" s="2" t="str">
        <f>IFERROR(__xludf.DUMMYFUNCTION("""COMPUTED_VALUE"""),"Nepal Electricity Authority")</f>
        <v>Nepal Electricity Authority</v>
      </c>
      <c r="H22" s="2" t="str">
        <f>IFERROR(__xludf.DUMMYFUNCTION("""COMPUTED_VALUE"""),"Durbarmarg, Kathmandu")</f>
        <v>Durbarmarg, Kathmandu</v>
      </c>
      <c r="I22" s="2" t="str">
        <f>IFERROR(__xludf.DUMMYFUNCTION("""COMPUTED_VALUE"""),"27o 53' 06""")</f>
        <v>27o 53' 06"</v>
      </c>
      <c r="J22" s="2" t="str">
        <f>IFERROR(__xludf.DUMMYFUNCTION("""COMPUTED_VALUE"""),"27o 53' 20""")</f>
        <v>27o 53' 20"</v>
      </c>
      <c r="K22" s="2" t="str">
        <f>IFERROR(__xludf.DUMMYFUNCTION("""COMPUTED_VALUE"""),"85o 07' 48""")</f>
        <v>85o 07' 48"</v>
      </c>
      <c r="L22" s="2" t="str">
        <f>IFERROR(__xludf.DUMMYFUNCTION("""COMPUTED_VALUE"""),"85o 08' 11""")</f>
        <v>85o 08' 11"</v>
      </c>
      <c r="M22" s="2" t="str">
        <f>IFERROR(__xludf.DUMMYFUNCTION("""COMPUTED_VALUE"""),"Charghare (Nuwakot)")</f>
        <v>Charghare (Nuwakot)</v>
      </c>
      <c r="N22" s="3">
        <f>IFERROR(__xludf.DUMMYFUNCTION("""COMPUTED_VALUE"""),65654.0)</f>
        <v>65654</v>
      </c>
    </row>
    <row r="23">
      <c r="A23" s="2">
        <f>IFERROR(__xludf.DUMMYFUNCTION("""COMPUTED_VALUE"""),22.0)</f>
        <v>22</v>
      </c>
      <c r="B23" s="2" t="str">
        <f>IFERROR(__xludf.DUMMYFUNCTION("""COMPUTED_VALUE"""),"Grid Tied Solar Farm Project Block n. 5")</f>
        <v>Grid Tied Solar Farm Project Block n. 5</v>
      </c>
      <c r="C23" s="2">
        <f>IFERROR(__xludf.DUMMYFUNCTION("""COMPUTED_VALUE"""),6.5)</f>
        <v>6.5</v>
      </c>
      <c r="D23" s="2">
        <f>IFERROR(__xludf.DUMMYFUNCTION("""COMPUTED_VALUE"""),368.0)</f>
        <v>368</v>
      </c>
      <c r="E23" s="3">
        <f>IFERROR(__xludf.DUMMYFUNCTION("""COMPUTED_VALUE"""),65386.0)</f>
        <v>65386</v>
      </c>
      <c r="F23" s="3">
        <f>IFERROR(__xludf.DUMMYFUNCTION("""COMPUTED_VALUE"""),74515.0)</f>
        <v>74515</v>
      </c>
      <c r="G23" s="2" t="str">
        <f>IFERROR(__xludf.DUMMYFUNCTION("""COMPUTED_VALUE"""),"Nepal Electricity Authority")</f>
        <v>Nepal Electricity Authority</v>
      </c>
      <c r="H23" s="2" t="str">
        <f>IFERROR(__xludf.DUMMYFUNCTION("""COMPUTED_VALUE"""),"Durbarmarga, Kathmandu")</f>
        <v>Durbarmarga, Kathmandu</v>
      </c>
      <c r="I23" s="2" t="str">
        <f>IFERROR(__xludf.DUMMYFUNCTION("""COMPUTED_VALUE"""),"27o 54' 08""")</f>
        <v>27o 54' 08"</v>
      </c>
      <c r="J23" s="2" t="str">
        <f>IFERROR(__xludf.DUMMYFUNCTION("""COMPUTED_VALUE"""),"27o 54' 27""")</f>
        <v>27o 54' 27"</v>
      </c>
      <c r="K23" s="2" t="str">
        <f>IFERROR(__xludf.DUMMYFUNCTION("""COMPUTED_VALUE"""),"85o 08' 12""")</f>
        <v>85o 08' 12"</v>
      </c>
      <c r="L23" s="2" t="str">
        <f>IFERROR(__xludf.DUMMYFUNCTION("""COMPUTED_VALUE"""),"85o 08' 40""")</f>
        <v>85o 08' 40"</v>
      </c>
      <c r="M23" s="2" t="str">
        <f>IFERROR(__xludf.DUMMYFUNCTION("""COMPUTED_VALUE"""),"Bidur N.P. (Nuwakot)")</f>
        <v>Bidur N.P. (Nuwakot)</v>
      </c>
      <c r="N23" s="3">
        <f>IFERROR(__xludf.DUMMYFUNCTION("""COMPUTED_VALUE"""),65654.0)</f>
        <v>65654</v>
      </c>
    </row>
    <row r="24">
      <c r="A24" s="2">
        <f>IFERROR(__xludf.DUMMYFUNCTION("""COMPUTED_VALUE"""),23.0)</f>
        <v>23</v>
      </c>
      <c r="B24" s="2" t="str">
        <f>IFERROR(__xludf.DUMMYFUNCTION("""COMPUTED_VALUE"""),"Grid Connected Solar Project, Shivasatakshi Jhapa")</f>
        <v>Grid Connected Solar Project, Shivasatakshi Jhapa</v>
      </c>
      <c r="C24" s="2">
        <f>IFERROR(__xludf.DUMMYFUNCTION("""COMPUTED_VALUE"""),10.0)</f>
        <v>10</v>
      </c>
      <c r="D24" s="2">
        <f>IFERROR(__xludf.DUMMYFUNCTION("""COMPUTED_VALUE"""),369.0)</f>
        <v>369</v>
      </c>
      <c r="E24" s="3">
        <f>IFERROR(__xludf.DUMMYFUNCTION("""COMPUTED_VALUE"""),65391.0)</f>
        <v>65391</v>
      </c>
      <c r="F24" s="3">
        <f>IFERROR(__xludf.DUMMYFUNCTION("""COMPUTED_VALUE"""),74520.0)</f>
        <v>74520</v>
      </c>
      <c r="G24" s="2" t="str">
        <f>IFERROR(__xludf.DUMMYFUNCTION("""COMPUTED_VALUE"""),"Jhapa Energy Limited")</f>
        <v>Jhapa Energy Limited</v>
      </c>
      <c r="H24" s="2" t="str">
        <f>IFERROR(__xludf.DUMMYFUNCTION("""COMPUTED_VALUE"""),"Birtamod- 4, Jhapa, Contact No. 9851007036")</f>
        <v>Birtamod- 4, Jhapa, Contact No. 9851007036</v>
      </c>
      <c r="I24" s="2" t="str">
        <f>IFERROR(__xludf.DUMMYFUNCTION("""COMPUTED_VALUE"""),"26o 32' 39""")</f>
        <v>26o 32' 39"</v>
      </c>
      <c r="J24" s="2" t="str">
        <f>IFERROR(__xludf.DUMMYFUNCTION("""COMPUTED_VALUE"""),"26o 33' 16""")</f>
        <v>26o 33' 16"</v>
      </c>
      <c r="K24" s="2" t="str">
        <f>IFERROR(__xludf.DUMMYFUNCTION("""COMPUTED_VALUE"""),"87o 47' 45""")</f>
        <v>87o 47' 45"</v>
      </c>
      <c r="L24" s="2" t="str">
        <f>IFERROR(__xludf.DUMMYFUNCTION("""COMPUTED_VALUE"""),"87o 48' 22""")</f>
        <v>87o 48' 22"</v>
      </c>
      <c r="M24" s="2" t="str">
        <f>IFERROR(__xludf.DUMMYFUNCTION("""COMPUTED_VALUE"""),"Panchganchi (Jhapa)")</f>
        <v>Panchganchi (Jhapa)</v>
      </c>
      <c r="N24" s="3">
        <f>IFERROR(__xludf.DUMMYFUNCTION("""COMPUTED_VALUE"""),66029.0)</f>
        <v>66029</v>
      </c>
    </row>
    <row r="25">
      <c r="A25" s="2">
        <f>IFERROR(__xludf.DUMMYFUNCTION("""COMPUTED_VALUE"""),24.0)</f>
        <v>24</v>
      </c>
      <c r="B25" s="2" t="str">
        <f>IFERROR(__xludf.DUMMYFUNCTION("""COMPUTED_VALUE"""),"Jira Bhawani Sedawa PV Project")</f>
        <v>Jira Bhawani Sedawa PV Project</v>
      </c>
      <c r="C25" s="2">
        <f>IFERROR(__xludf.DUMMYFUNCTION("""COMPUTED_VALUE"""),7.7)</f>
        <v>7.7</v>
      </c>
      <c r="D25" s="2">
        <f>IFERROR(__xludf.DUMMYFUNCTION("""COMPUTED_VALUE"""),434.0)</f>
        <v>434</v>
      </c>
      <c r="E25" s="3">
        <f>IFERROR(__xludf.DUMMYFUNCTION("""COMPUTED_VALUE"""),66095.0)</f>
        <v>66095</v>
      </c>
      <c r="F25" s="3">
        <f>IFERROR(__xludf.DUMMYFUNCTION("""COMPUTED_VALUE"""),75224.0)</f>
        <v>75224</v>
      </c>
      <c r="G25" s="2" t="str">
        <f>IFERROR(__xludf.DUMMYFUNCTION("""COMPUTED_VALUE"""),"Tarai Solar Pvt. Ltd.")</f>
        <v>Tarai Solar Pvt. Ltd.</v>
      </c>
      <c r="H25" s="2" t="str">
        <f>IFERROR(__xludf.DUMMYFUNCTION("""COMPUTED_VALUE"""),"Ka.Ma.Pa- 5, Gahanapokhari Kathmandu, Contact no.:9801359318, 9818359318")</f>
        <v>Ka.Ma.Pa- 5, Gahanapokhari Kathmandu, Contact no.:9801359318, 9818359318</v>
      </c>
      <c r="I25" s="2" t="str">
        <f>IFERROR(__xludf.DUMMYFUNCTION("""COMPUTED_VALUE"""),"27o 12' 02""")</f>
        <v>27o 12' 02"</v>
      </c>
      <c r="J25" s="2" t="str">
        <f>IFERROR(__xludf.DUMMYFUNCTION("""COMPUTED_VALUE"""),"27o 12' 16""")</f>
        <v>27o 12' 16"</v>
      </c>
      <c r="K25" s="2" t="str">
        <f>IFERROR(__xludf.DUMMYFUNCTION("""COMPUTED_VALUE"""),"84o 43' 32""")</f>
        <v>84o 43' 32"</v>
      </c>
      <c r="L25" s="2" t="str">
        <f>IFERROR(__xludf.DUMMYFUNCTION("""COMPUTED_VALUE"""),"84o 43' 45""")</f>
        <v>84o 43' 45"</v>
      </c>
      <c r="M25" s="2" t="str">
        <f>IFERROR(__xludf.DUMMYFUNCTION("""COMPUTED_VALUE"""),"Sedhawa (Parsa)")</f>
        <v>Sedhawa (Parsa)</v>
      </c>
      <c r="N25" s="3">
        <f>IFERROR(__xludf.DUMMYFUNCTION("""COMPUTED_VALUE"""),66458.0)</f>
        <v>66458</v>
      </c>
    </row>
    <row r="26">
      <c r="A26" s="2">
        <f>IFERROR(__xludf.DUMMYFUNCTION("""COMPUTED_VALUE"""),25.0)</f>
        <v>25</v>
      </c>
      <c r="B26" s="2" t="str">
        <f>IFERROR(__xludf.DUMMYFUNCTION("""COMPUTED_VALUE"""),"Dharamnagar Solar Farm Project - II Kapilbastu")</f>
        <v>Dharamnagar Solar Farm Project - II Kapilbastu</v>
      </c>
      <c r="C26" s="2">
        <f>IFERROR(__xludf.DUMMYFUNCTION("""COMPUTED_VALUE"""),15.0)</f>
        <v>15</v>
      </c>
      <c r="D26" s="2">
        <f>IFERROR(__xludf.DUMMYFUNCTION("""COMPUTED_VALUE"""),450.0)</f>
        <v>450</v>
      </c>
      <c r="E26" s="3">
        <f>IFERROR(__xludf.DUMMYFUNCTION("""COMPUTED_VALUE"""),66224.0)</f>
        <v>66224</v>
      </c>
      <c r="F26" s="3">
        <f>IFERROR(__xludf.DUMMYFUNCTION("""COMPUTED_VALUE"""),75353.0)</f>
        <v>75353</v>
      </c>
      <c r="G26" s="2" t="str">
        <f>IFERROR(__xludf.DUMMYFUNCTION("""COMPUTED_VALUE"""),"Pashupati Renewables Private Limited")</f>
        <v>Pashupati Renewables Private Limited</v>
      </c>
      <c r="H26" s="2" t="str">
        <f>IFERROR(__xludf.DUMMYFUNCTION("""COMPUTED_VALUE"""),"Gyaneshwar, Kathmandu")</f>
        <v>Gyaneshwar, Kathmandu</v>
      </c>
      <c r="I26" s="2" t="str">
        <f>IFERROR(__xludf.DUMMYFUNCTION("""COMPUTED_VALUE"""),"27o 37' 18""")</f>
        <v>27o 37' 18"</v>
      </c>
      <c r="J26" s="2" t="str">
        <f>IFERROR(__xludf.DUMMYFUNCTION("""COMPUTED_VALUE"""),"27o 37' 29""")</f>
        <v>27o 37' 29"</v>
      </c>
      <c r="K26" s="2" t="str">
        <f>IFERROR(__xludf.DUMMYFUNCTION("""COMPUTED_VALUE"""),"82o 50' 53""")</f>
        <v>82o 50' 53"</v>
      </c>
      <c r="L26" s="2" t="str">
        <f>IFERROR(__xludf.DUMMYFUNCTION("""COMPUTED_VALUE"""),"82o 51' 12""")</f>
        <v>82o 51' 12"</v>
      </c>
      <c r="M26" s="2" t="str">
        <f>IFERROR(__xludf.DUMMYFUNCTION("""COMPUTED_VALUE"""),"Bishnpur,Birpur (Kapilbastu)")</f>
        <v>Bishnpur,Birpur (Kapilbastu)</v>
      </c>
      <c r="N26" s="3">
        <f>IFERROR(__xludf.DUMMYFUNCTION("""COMPUTED_VALUE"""),66535.0)</f>
        <v>66535</v>
      </c>
    </row>
    <row r="27">
      <c r="A27" s="2">
        <f>IFERROR(__xludf.DUMMYFUNCTION("""COMPUTED_VALUE"""),26.0)</f>
        <v>26</v>
      </c>
      <c r="B27" s="2" t="str">
        <f>IFERROR(__xludf.DUMMYFUNCTION("""COMPUTED_VALUE"""),"DDB Saurya Vidyut Aayojana")</f>
        <v>DDB Saurya Vidyut Aayojana</v>
      </c>
      <c r="C27" s="2">
        <f>IFERROR(__xludf.DUMMYFUNCTION("""COMPUTED_VALUE"""),2.3)</f>
        <v>2.3</v>
      </c>
      <c r="D27" s="2">
        <f>IFERROR(__xludf.DUMMYFUNCTION("""COMPUTED_VALUE"""),457.0)</f>
        <v>457</v>
      </c>
      <c r="E27" s="3">
        <f>IFERROR(__xludf.DUMMYFUNCTION("""COMPUTED_VALUE"""),66261.0)</f>
        <v>66261</v>
      </c>
      <c r="F27" s="3">
        <f>IFERROR(__xludf.DUMMYFUNCTION("""COMPUTED_VALUE"""),75390.0)</f>
        <v>75390</v>
      </c>
      <c r="G27" s="2" t="str">
        <f>IFERROR(__xludf.DUMMYFUNCTION("""COMPUTED_VALUE"""),"Tarai Energy Private Limited")</f>
        <v>Tarai Energy Private Limited</v>
      </c>
      <c r="H27" s="2" t="str">
        <f>IFERROR(__xludf.DUMMYFUNCTION("""COMPUTED_VALUE"""),"Gahanapokhari, Ward No 5, Kathmandu")</f>
        <v>Gahanapokhari, Ward No 5, Kathmandu</v>
      </c>
      <c r="I27" s="2" t="str">
        <f>IFERROR(__xludf.DUMMYFUNCTION("""COMPUTED_VALUE"""),"27o 12' 16""")</f>
        <v>27o 12' 16"</v>
      </c>
      <c r="J27" s="2" t="str">
        <f>IFERROR(__xludf.DUMMYFUNCTION("""COMPUTED_VALUE"""),"27o 12' 20""")</f>
        <v>27o 12' 20"</v>
      </c>
      <c r="K27" s="2" t="str">
        <f>IFERROR(__xludf.DUMMYFUNCTION("""COMPUTED_VALUE"""),"84o 43' 32""")</f>
        <v>84o 43' 32"</v>
      </c>
      <c r="L27" s="2" t="str">
        <f>IFERROR(__xludf.DUMMYFUNCTION("""COMPUTED_VALUE"""),"84o 43' 45""")</f>
        <v>84o 43' 45"</v>
      </c>
      <c r="M27" s="2" t="str">
        <f>IFERROR(__xludf.DUMMYFUNCTION("""COMPUTED_VALUE"""),"Sedhawa (Parsa)")</f>
        <v>Sedhawa (Parsa)</v>
      </c>
      <c r="N27" s="3">
        <f>IFERROR(__xludf.DUMMYFUNCTION("""COMPUTED_VALUE"""),66458.0)</f>
        <v>66458</v>
      </c>
    </row>
    <row r="28">
      <c r="A28" s="2">
        <f>IFERROR(__xludf.DUMMYFUNCTION("""COMPUTED_VALUE"""),27.0)</f>
        <v>27</v>
      </c>
      <c r="B28" s="2" t="str">
        <f>IFERROR(__xludf.DUMMYFUNCTION("""COMPUTED_VALUE"""),"Solar PV Project, Dhalkebar")</f>
        <v>Solar PV Project, Dhalkebar</v>
      </c>
      <c r="C28" s="2">
        <f>IFERROR(__xludf.DUMMYFUNCTION("""COMPUTED_VALUE"""),5.0)</f>
        <v>5</v>
      </c>
      <c r="D28" s="2">
        <f>IFERROR(__xludf.DUMMYFUNCTION("""COMPUTED_VALUE"""),467.0)</f>
        <v>467</v>
      </c>
      <c r="E28" s="3">
        <f>IFERROR(__xludf.DUMMYFUNCTION("""COMPUTED_VALUE"""),66430.0)</f>
        <v>66430</v>
      </c>
      <c r="F28" s="3">
        <f>IFERROR(__xludf.DUMMYFUNCTION("""COMPUTED_VALUE"""),75559.0)</f>
        <v>75559</v>
      </c>
      <c r="G28" s="2" t="str">
        <f>IFERROR(__xludf.DUMMYFUNCTION("""COMPUTED_VALUE"""),"Green Infrastructure Private Limited")</f>
        <v>Green Infrastructure Private Limited</v>
      </c>
      <c r="H28" s="2" t="str">
        <f>IFERROR(__xludf.DUMMYFUNCTION("""COMPUTED_VALUE"""),"Ward No. 11, Babarmahal, Kathmandu")</f>
        <v>Ward No. 11, Babarmahal, Kathmandu</v>
      </c>
      <c r="I28" s="2" t="str">
        <f>IFERROR(__xludf.DUMMYFUNCTION("""COMPUTED_VALUE"""),"26o 56' 15""")</f>
        <v>26o 56' 15"</v>
      </c>
      <c r="J28" s="2" t="str">
        <f>IFERROR(__xludf.DUMMYFUNCTION("""COMPUTED_VALUE"""),"26o 56' 30""")</f>
        <v>26o 56' 30"</v>
      </c>
      <c r="K28" s="2" t="str">
        <f>IFERROR(__xludf.DUMMYFUNCTION("""COMPUTED_VALUE"""),"85o 58' 45""")</f>
        <v>85o 58' 45"</v>
      </c>
      <c r="L28" s="2" t="str">
        <f>IFERROR(__xludf.DUMMYFUNCTION("""COMPUTED_VALUE"""),"85o 58' 54""")</f>
        <v>85o 58' 54"</v>
      </c>
      <c r="M28" s="2" t="str">
        <f>IFERROR(__xludf.DUMMYFUNCTION("""COMPUTED_VALUE"""),"Nakatajhijh (Dhanusha)")</f>
        <v>Nakatajhijh (Dhanusha)</v>
      </c>
      <c r="N28" s="3">
        <f>IFERROR(__xludf.DUMMYFUNCTION("""COMPUTED_VALUE"""),66777.0)</f>
        <v>66777</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tr">
        <f>IFERROR(__xludf.DUMMYFUNCTION("IMPORTHTML(""https://www.doed.gov.np/pages/powerplantswind/"",""table"",1)"),"S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t="str">
        <f>IFERROR(__xludf.DUMMYFUNCTION("""COMPUTED_VALUE"""),"C O D")</f>
        <v>C O D</v>
      </c>
      <c r="O1" s="1"/>
      <c r="P1" s="1"/>
      <c r="Q1" s="1"/>
      <c r="R1" s="1"/>
      <c r="S1" s="1"/>
      <c r="T1" s="1"/>
      <c r="U1" s="1"/>
      <c r="V1" s="1"/>
      <c r="W1" s="1"/>
      <c r="X1" s="1"/>
      <c r="Y1" s="1"/>
      <c r="Z1" s="1"/>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t="str">
        <f>IFERROR(__xludf.DUMMYFUNCTION("IMPORTHTML(""https://www.doed.gov.np/pages/powerplantsbiomass/"",""table"",1)"),"S No")</f>
        <v>S No</v>
      </c>
      <c r="B1" s="1" t="str">
        <f>IFERROR(__xludf.DUMMYFUNCTION("""COMPUTED_VALUE"""),"Project")</f>
        <v>Project</v>
      </c>
      <c r="C1" s="1" t="str">
        <f>IFERROR(__xludf.DUMMYFUNCTION("""COMPUTED_VALUE"""),"Capacity (MW)")</f>
        <v>Capacity (MW)</v>
      </c>
      <c r="D1" s="1" t="str">
        <f>IFERROR(__xludf.DUMMYFUNCTION("""COMPUTED_VALUE"""),"Lic No")</f>
        <v>Lic No</v>
      </c>
      <c r="E1" s="1" t="str">
        <f>IFERROR(__xludf.DUMMYFUNCTION("""COMPUTED_VALUE"""),"Isuue Date")</f>
        <v>Isuue Date</v>
      </c>
      <c r="F1" s="1" t="str">
        <f>IFERROR(__xludf.DUMMYFUNCTION("""COMPUTED_VALUE"""),"Validity")</f>
        <v>Validity</v>
      </c>
      <c r="G1" s="1" t="str">
        <f>IFERROR(__xludf.DUMMYFUNCTION("""COMPUTED_VALUE"""),"Promoter")</f>
        <v>Promoter</v>
      </c>
      <c r="H1" s="1" t="str">
        <f>IFERROR(__xludf.DUMMYFUNCTION("""COMPUTED_VALUE"""),"Address")</f>
        <v>Address</v>
      </c>
      <c r="I1" s="1" t="str">
        <f>IFERROR(__xludf.DUMMYFUNCTION("""COMPUTED_VALUE"""),"Latitiude N")</f>
        <v>Latitiude N</v>
      </c>
      <c r="J1" s="1"/>
      <c r="K1" s="1" t="str">
        <f>IFERROR(__xludf.DUMMYFUNCTION("""COMPUTED_VALUE"""),"Longitude E")</f>
        <v>Longitude E</v>
      </c>
      <c r="L1" s="1"/>
      <c r="M1" s="1" t="str">
        <f>IFERROR(__xludf.DUMMYFUNCTION("""COMPUTED_VALUE"""),"VDC/District")</f>
        <v>VDC/District</v>
      </c>
      <c r="N1" s="1" t="str">
        <f>IFERROR(__xludf.DUMMYFUNCTION("""COMPUTED_VALUE"""),"C O D")</f>
        <v>C O D</v>
      </c>
      <c r="O1" s="1"/>
      <c r="P1" s="1"/>
      <c r="Q1" s="1"/>
      <c r="R1" s="1"/>
      <c r="S1" s="1"/>
      <c r="T1" s="1"/>
      <c r="U1" s="1"/>
      <c r="V1" s="1"/>
      <c r="W1" s="1"/>
      <c r="X1" s="1"/>
      <c r="Y1" s="1"/>
      <c r="Z1" s="1"/>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 t="str">
        <f>IFERROR(__xludf.DUMMYFUNCTION("IMPORTHTML(""https://www.doed.gov.np/pages/powerplantscogeneration/"",""table"",1)"),"S No")</f>
        <v>S No</v>
      </c>
      <c r="B1" s="2" t="str">
        <f>IFERROR(__xludf.DUMMYFUNCTION("""COMPUTED_VALUE"""),"Project")</f>
        <v>Project</v>
      </c>
      <c r="C1" s="2" t="str">
        <f>IFERROR(__xludf.DUMMYFUNCTION("""COMPUTED_VALUE"""),"Capacity (MW)")</f>
        <v>Capacity (MW)</v>
      </c>
      <c r="D1" s="2" t="str">
        <f>IFERROR(__xludf.DUMMYFUNCTION("""COMPUTED_VALUE"""),"Lic No")</f>
        <v>Lic No</v>
      </c>
      <c r="E1" s="2" t="str">
        <f>IFERROR(__xludf.DUMMYFUNCTION("""COMPUTED_VALUE"""),"Isuue Date")</f>
        <v>Isuue Date</v>
      </c>
      <c r="F1" s="2" t="str">
        <f>IFERROR(__xludf.DUMMYFUNCTION("""COMPUTED_VALUE"""),"Validity")</f>
        <v>Validity</v>
      </c>
      <c r="G1" s="2" t="str">
        <f>IFERROR(__xludf.DUMMYFUNCTION("""COMPUTED_VALUE"""),"Promoter")</f>
        <v>Promoter</v>
      </c>
      <c r="H1" s="2" t="str">
        <f>IFERROR(__xludf.DUMMYFUNCTION("""COMPUTED_VALUE"""),"Address")</f>
        <v>Address</v>
      </c>
      <c r="I1" s="2" t="str">
        <f>IFERROR(__xludf.DUMMYFUNCTION("""COMPUTED_VALUE"""),"Latitiude N")</f>
        <v>Latitiude N</v>
      </c>
      <c r="J1" s="2"/>
      <c r="K1" s="2" t="str">
        <f>IFERROR(__xludf.DUMMYFUNCTION("""COMPUTED_VALUE"""),"Longitude E")</f>
        <v>Longitude E</v>
      </c>
      <c r="L1" s="2"/>
      <c r="M1" s="2" t="str">
        <f>IFERROR(__xludf.DUMMYFUNCTION("""COMPUTED_VALUE"""),"VDC/District")</f>
        <v>VDC/District</v>
      </c>
      <c r="N1" s="2" t="str">
        <f>IFERROR(__xludf.DUMMYFUNCTION("""COMPUTED_VALUE"""),"C O D")</f>
        <v>C O D</v>
      </c>
    </row>
    <row r="2">
      <c r="A2" s="2">
        <f>IFERROR(__xludf.DUMMYFUNCTION("""COMPUTED_VALUE"""),1.0)</f>
        <v>1</v>
      </c>
      <c r="B2" s="2" t="str">
        <f>IFERROR(__xludf.DUMMYFUNCTION("""COMPUTED_VALUE"""),"Everest Cogeneration Electricity Project")</f>
        <v>Everest Cogeneration Electricity Project</v>
      </c>
      <c r="C2" s="2">
        <f>IFERROR(__xludf.DUMMYFUNCTION("""COMPUTED_VALUE"""),3.0)</f>
        <v>3</v>
      </c>
      <c r="D2" s="2">
        <f>IFERROR(__xludf.DUMMYFUNCTION("""COMPUTED_VALUE"""),335.0)</f>
        <v>335</v>
      </c>
      <c r="E2" s="3">
        <f>IFERROR(__xludf.DUMMYFUNCTION("""COMPUTED_VALUE"""),64901.0)</f>
        <v>64901</v>
      </c>
      <c r="F2" s="3">
        <f>IFERROR(__xludf.DUMMYFUNCTION("""COMPUTED_VALUE"""),75856.0)</f>
        <v>75856</v>
      </c>
      <c r="G2" s="2" t="str">
        <f>IFERROR(__xludf.DUMMYFUNCTION("""COMPUTED_VALUE"""),"Everest Sugar and Chemical Industries ltd")</f>
        <v>Everest Sugar and Chemical Industries ltd</v>
      </c>
      <c r="H2" s="2" t="str">
        <f>IFERROR(__xludf.DUMMYFUNCTION("""COMPUTED_VALUE"""),"Janakpur-4, Dhanusha, State 2")</f>
        <v>Janakpur-4, Dhanusha, State 2</v>
      </c>
      <c r="I2" s="2" t="str">
        <f>IFERROR(__xludf.DUMMYFUNCTION("""COMPUTED_VALUE"""),"26o 56' 50""")</f>
        <v>26o 56' 50"</v>
      </c>
      <c r="J2" s="2" t="str">
        <f>IFERROR(__xludf.DUMMYFUNCTION("""COMPUTED_VALUE"""),"26o 57' 30""")</f>
        <v>26o 57' 30"</v>
      </c>
      <c r="K2" s="2" t="str">
        <f>IFERROR(__xludf.DUMMYFUNCTION("""COMPUTED_VALUE"""),"85o 50' 00""")</f>
        <v>85o 50' 00"</v>
      </c>
      <c r="L2" s="2" t="str">
        <f>IFERROR(__xludf.DUMMYFUNCTION("""COMPUTED_VALUE"""),"85o 50' 40""")</f>
        <v>85o 50' 40"</v>
      </c>
      <c r="M2" s="2"/>
      <c r="N2" s="3">
        <f>IFERROR(__xludf.DUMMYFUNCTION("""COMPUTED_VALUE"""),64949.0)</f>
        <v>64949</v>
      </c>
    </row>
    <row r="3">
      <c r="A3" s="2">
        <f>IFERROR(__xludf.DUMMYFUNCTION("""COMPUTED_VALUE"""),2.0)</f>
        <v>2</v>
      </c>
      <c r="B3" s="2" t="str">
        <f>IFERROR(__xludf.DUMMYFUNCTION("""COMPUTED_VALUE"""),"Indushankar Cogeneration and Transmission Project")</f>
        <v>Indushankar Cogeneration and Transmission Project</v>
      </c>
      <c r="C3" s="2">
        <f>IFERROR(__xludf.DUMMYFUNCTION("""COMPUTED_VALUE"""),3.0)</f>
        <v>3</v>
      </c>
      <c r="D3" s="2">
        <f>IFERROR(__xludf.DUMMYFUNCTION("""COMPUTED_VALUE"""),354.0)</f>
        <v>354</v>
      </c>
      <c r="E3" s="3">
        <f>IFERROR(__xludf.DUMMYFUNCTION("""COMPUTED_VALUE"""),65247.0)</f>
        <v>65247</v>
      </c>
      <c r="F3" s="3">
        <f>IFERROR(__xludf.DUMMYFUNCTION("""COMPUTED_VALUE"""),76203.0)</f>
        <v>76203</v>
      </c>
      <c r="G3" s="2" t="str">
        <f>IFERROR(__xludf.DUMMYFUNCTION("""COMPUTED_VALUE"""),"Indu Shnakar Chini Udyog Ltd.")</f>
        <v>Indu Shnakar Chini Udyog Ltd.</v>
      </c>
      <c r="H3" s="2" t="str">
        <f>IFERROR(__xludf.DUMMYFUNCTION("""COMPUTED_VALUE"""),"Birgunj, Parsa")</f>
        <v>Birgunj, Parsa</v>
      </c>
      <c r="I3" s="2" t="str">
        <f>IFERROR(__xludf.DUMMYFUNCTION("""COMPUTED_VALUE"""),"27o 05' 22""")</f>
        <v>27o 05' 22"</v>
      </c>
      <c r="J3" s="2" t="str">
        <f>IFERROR(__xludf.DUMMYFUNCTION("""COMPUTED_VALUE"""),"27o 05' 50""")</f>
        <v>27o 05' 50"</v>
      </c>
      <c r="K3" s="2" t="str">
        <f>IFERROR(__xludf.DUMMYFUNCTION("""COMPUTED_VALUE"""),"85o 33' 27""")</f>
        <v>85o 33' 27"</v>
      </c>
      <c r="L3" s="2" t="str">
        <f>IFERROR(__xludf.DUMMYFUNCTION("""COMPUTED_VALUE"""),"85o 34' 05""")</f>
        <v>85o 34' 05"</v>
      </c>
      <c r="M3" s="2" t="str">
        <f>IFERROR(__xludf.DUMMYFUNCTION("""COMPUTED_VALUE"""),"Haripur (Sarlahi)")</f>
        <v>Haripur (Sarlahi)</v>
      </c>
      <c r="N3" s="3">
        <f>IFERROR(__xludf.DUMMYFUNCTION("""COMPUTED_VALUE"""),65320.0)</f>
        <v>65320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IFERROR(__xludf.DUMMYFUNCTION("IMPORTHTML(""https://www.doed.gov.np/pages/glc/"",""table"",1)"),"*S No*")</f>
        <v>*S No*</v>
      </c>
      <c r="B1" s="2" t="str">
        <f>IFERROR(__xludf.DUMMYFUNCTION("""COMPUTED_VALUE"""),"*Project*")</f>
        <v>*Project*</v>
      </c>
      <c r="C1" s="2" t="str">
        <f>IFERROR(__xludf.DUMMYFUNCTION("""COMPUTED_VALUE"""),"*Capacity (MW)*")</f>
        <v>*Capacity (MW)*</v>
      </c>
      <c r="D1" s="2" t="str">
        <f>IFERROR(__xludf.DUMMYFUNCTION("""COMPUTED_VALUE"""),"*River*")</f>
        <v>*River*</v>
      </c>
      <c r="E1" s="2" t="str">
        <f>IFERROR(__xludf.DUMMYFUNCTION("""COMPUTED_VALUE"""),"*Decision Date*")</f>
        <v>*Decision Date*</v>
      </c>
      <c r="F1" s="2" t="str">
        <f>IFERROR(__xludf.DUMMYFUNCTION("""COMPUTED_VALUE"""),"*Latitiude N*")</f>
        <v>*Latitiude N*</v>
      </c>
      <c r="G1" s="2"/>
      <c r="H1" s="2" t="str">
        <f>IFERROR(__xludf.DUMMYFUNCTION("""COMPUTED_VALUE"""),"*Longitude E*")</f>
        <v>*Longitude E*</v>
      </c>
      <c r="I1" s="2"/>
      <c r="J1" s="2" t="str">
        <f>IFERROR(__xludf.DUMMYFUNCTION("""COMPUTED_VALUE"""),"*VDC/District*")</f>
        <v>*VDC/District*</v>
      </c>
    </row>
    <row r="2">
      <c r="A2" s="2">
        <f>IFERROR(__xludf.DUMMYFUNCTION("""COMPUTED_VALUE"""),1.0)</f>
        <v>1</v>
      </c>
      <c r="B2" s="2" t="str">
        <f>IFERROR(__xludf.DUMMYFUNCTION("""COMPUTED_VALUE"""),"Badigad HPP (GLC)")</f>
        <v>Badigad HPP (GLC)</v>
      </c>
      <c r="C2" s="2">
        <f>IFERROR(__xludf.DUMMYFUNCTION("""COMPUTED_VALUE"""),6.6)</f>
        <v>6.6</v>
      </c>
      <c r="D2" s="2" t="str">
        <f>IFERROR(__xludf.DUMMYFUNCTION("""COMPUTED_VALUE"""),"Badigad")</f>
        <v>Badigad</v>
      </c>
      <c r="E2" s="2">
        <f>IFERROR(__xludf.DUMMYFUNCTION("""COMPUTED_VALUE"""),66377.0)</f>
        <v>66377</v>
      </c>
      <c r="F2" s="2" t="str">
        <f>IFERROR(__xludf.DUMMYFUNCTION("""COMPUTED_VALUE"""),"28o 19' 13""")</f>
        <v>28o 19' 13"</v>
      </c>
      <c r="G2" s="2" t="str">
        <f>IFERROR(__xludf.DUMMYFUNCTION("""COMPUTED_VALUE"""),"28o 20' 14""")</f>
        <v>28o 20' 14"</v>
      </c>
      <c r="H2" s="2" t="str">
        <f>IFERROR(__xludf.DUMMYFUNCTION("""COMPUTED_VALUE"""),"83o 09' 15""")</f>
        <v>83o 09' 15"</v>
      </c>
      <c r="I2" s="2" t="str">
        <f>IFERROR(__xludf.DUMMYFUNCTION("""COMPUTED_VALUE"""),"83o 11' 30""")</f>
        <v>83o 11' 30"</v>
      </c>
      <c r="J2" s="2" t="str">
        <f>IFERROR(__xludf.DUMMYFUNCTION("""COMPUTED_VALUE"""),"Burtiwang,Bhinggithe,Rajkut (Baglung)")</f>
        <v>Burtiwang,Bhinggithe,Rajkut (Baglung)</v>
      </c>
    </row>
    <row r="3">
      <c r="A3" s="2">
        <f>IFERROR(__xludf.DUMMYFUNCTION("""COMPUTED_VALUE"""),2.0)</f>
        <v>2</v>
      </c>
      <c r="B3" s="2" t="str">
        <f>IFERROR(__xludf.DUMMYFUNCTION("""COMPUTED_VALUE"""),"Badigad Kolti (GLC)")</f>
        <v>Badigad Kolti (GLC)</v>
      </c>
      <c r="C3" s="2">
        <f>IFERROR(__xludf.DUMMYFUNCTION("""COMPUTED_VALUE"""),4.5)</f>
        <v>4.5</v>
      </c>
      <c r="D3" s="2" t="str">
        <f>IFERROR(__xludf.DUMMYFUNCTION("""COMPUTED_VALUE"""),"Baddigad")</f>
        <v>Baddigad</v>
      </c>
      <c r="E3" s="2">
        <f>IFERROR(__xludf.DUMMYFUNCTION("""COMPUTED_VALUE"""),62793.0)</f>
        <v>62793</v>
      </c>
      <c r="F3" s="2" t="str">
        <f>IFERROR(__xludf.DUMMYFUNCTION("""COMPUTED_VALUE"""),"29o 29' 34""")</f>
        <v>29o 29' 34"</v>
      </c>
      <c r="G3" s="2" t="str">
        <f>IFERROR(__xludf.DUMMYFUNCTION("""COMPUTED_VALUE"""),"29o 30' 24""")</f>
        <v>29o 30' 24"</v>
      </c>
      <c r="H3" s="2" t="str">
        <f>IFERROR(__xludf.DUMMYFUNCTION("""COMPUTED_VALUE"""),"81o 39' 14""")</f>
        <v>81o 39' 14"</v>
      </c>
      <c r="I3" s="2" t="str">
        <f>IFERROR(__xludf.DUMMYFUNCTION("""COMPUTED_VALUE"""),"81o 41' 26""")</f>
        <v>81o 41' 26"</v>
      </c>
      <c r="J3" s="2" t="str">
        <f>IFERROR(__xludf.DUMMYFUNCTION("""COMPUTED_VALUE"""),"Kolti,Kotila (Bajura)")</f>
        <v>Kolti,Kotila (Bajura)</v>
      </c>
    </row>
    <row r="4">
      <c r="A4" s="2">
        <f>IFERROR(__xludf.DUMMYFUNCTION("""COMPUTED_VALUE"""),3.0)</f>
        <v>3</v>
      </c>
      <c r="B4" s="2" t="str">
        <f>IFERROR(__xludf.DUMMYFUNCTION("""COMPUTED_VALUE"""),"Balephi (GLC)")</f>
        <v>Balephi (GLC)</v>
      </c>
      <c r="C4" s="2">
        <f>IFERROR(__xludf.DUMMYFUNCTION("""COMPUTED_VALUE"""),23.52)</f>
        <v>23.52</v>
      </c>
      <c r="D4" s="2" t="str">
        <f>IFERROR(__xludf.DUMMYFUNCTION("""COMPUTED_VALUE"""),"Balephi")</f>
        <v>Balephi</v>
      </c>
      <c r="E4" s="2" t="str">
        <f>IFERROR(__xludf.DUMMYFUNCTION("""COMPUTED_VALUE"""),"2081-02-29")</f>
        <v>2081-02-29</v>
      </c>
      <c r="F4" s="2" t="str">
        <f>IFERROR(__xludf.DUMMYFUNCTION("""COMPUTED_VALUE"""),"27o 51' 42""")</f>
        <v>27o 51' 42"</v>
      </c>
      <c r="G4" s="2" t="str">
        <f>IFERROR(__xludf.DUMMYFUNCTION("""COMPUTED_VALUE"""),"27o 53' 42""")</f>
        <v>27o 53' 42"</v>
      </c>
      <c r="H4" s="2" t="str">
        <f>IFERROR(__xludf.DUMMYFUNCTION("""COMPUTED_VALUE"""),"85o 45' 00""")</f>
        <v>85o 45' 00"</v>
      </c>
      <c r="I4" s="2" t="str">
        <f>IFERROR(__xludf.DUMMYFUNCTION("""COMPUTED_VALUE"""),"85o 46' 00""")</f>
        <v>85o 46' 00"</v>
      </c>
      <c r="J4" s="2" t="str">
        <f>IFERROR(__xludf.DUMMYFUNCTION("""COMPUTED_VALUE"""),"Baramchi,Golche,Selang (Sindhupalchok)")</f>
        <v>Baramchi,Golche,Selang (Sindhupalchok)</v>
      </c>
    </row>
    <row r="5">
      <c r="A5" s="2">
        <f>IFERROR(__xludf.DUMMYFUNCTION("""COMPUTED_VALUE"""),4.0)</f>
        <v>4</v>
      </c>
      <c r="B5" s="2" t="str">
        <f>IFERROR(__xludf.DUMMYFUNCTION("""COMPUTED_VALUE"""),"Chisang Khola -A Small HEP (GLC)")</f>
        <v>Chisang Khola -A Small HEP (GLC)</v>
      </c>
      <c r="C5" s="2">
        <f>IFERROR(__xludf.DUMMYFUNCTION("""COMPUTED_VALUE"""),1.8)</f>
        <v>1.8</v>
      </c>
      <c r="D5" s="2" t="str">
        <f>IFERROR(__xludf.DUMMYFUNCTION("""COMPUTED_VALUE"""),"Chisang")</f>
        <v>Chisang</v>
      </c>
      <c r="E5" s="2">
        <f>IFERROR(__xludf.DUMMYFUNCTION("""COMPUTED_VALUE"""),66790.0)</f>
        <v>66790</v>
      </c>
      <c r="F5" s="2" t="str">
        <f>IFERROR(__xludf.DUMMYFUNCTION("""COMPUTED_VALUE"""),"26o 48' 32""")</f>
        <v>26o 48' 32"</v>
      </c>
      <c r="G5" s="2" t="str">
        <f>IFERROR(__xludf.DUMMYFUNCTION("""COMPUTED_VALUE"""),"26o 50' 00""")</f>
        <v>26o 50' 00"</v>
      </c>
      <c r="H5" s="2" t="str">
        <f>IFERROR(__xludf.DUMMYFUNCTION("""COMPUTED_VALUE"""),"87o 28' 45""")</f>
        <v>87o 28' 45"</v>
      </c>
      <c r="I5" s="2" t="str">
        <f>IFERROR(__xludf.DUMMYFUNCTION("""COMPUTED_VALUE"""),"87o 29' 59""")</f>
        <v>87o 29' 59"</v>
      </c>
      <c r="J5" s="2" t="str">
        <f>IFERROR(__xludf.DUMMYFUNCTION("""COMPUTED_VALUE"""),"Warangi (Morang)")</f>
        <v>Warangi (Morang)</v>
      </c>
    </row>
    <row r="6">
      <c r="A6" s="2">
        <f>IFERROR(__xludf.DUMMYFUNCTION("""COMPUTED_VALUE"""),5.0)</f>
        <v>5</v>
      </c>
      <c r="B6" s="2" t="str">
        <f>IFERROR(__xludf.DUMMYFUNCTION("""COMPUTED_VALUE"""),"Daraundi-1 (GLC)")</f>
        <v>Daraundi-1 (GLC)</v>
      </c>
      <c r="C6" s="2">
        <f>IFERROR(__xludf.DUMMYFUNCTION("""COMPUTED_VALUE"""),10.0)</f>
        <v>10</v>
      </c>
      <c r="D6" s="2" t="str">
        <f>IFERROR(__xludf.DUMMYFUNCTION("""COMPUTED_VALUE"""),"Daraudi")</f>
        <v>Daraudi</v>
      </c>
      <c r="E6" s="2">
        <f>IFERROR(__xludf.DUMMYFUNCTION("""COMPUTED_VALUE"""),66029.0)</f>
        <v>66029</v>
      </c>
      <c r="F6" s="2" t="str">
        <f>IFERROR(__xludf.DUMMYFUNCTION("""COMPUTED_VALUE"""),"28o 03' 09""")</f>
        <v>28o 03' 09"</v>
      </c>
      <c r="G6" s="2" t="str">
        <f>IFERROR(__xludf.DUMMYFUNCTION("""COMPUTED_VALUE"""),"28o 06' 10""")</f>
        <v>28o 06' 10"</v>
      </c>
      <c r="H6" s="2" t="str">
        <f>IFERROR(__xludf.DUMMYFUNCTION("""COMPUTED_VALUE"""),"84o 38' 52""")</f>
        <v>84o 38' 52"</v>
      </c>
      <c r="I6" s="2" t="str">
        <f>IFERROR(__xludf.DUMMYFUNCTION("""COMPUTED_VALUE"""),"84o 40' 00""")</f>
        <v>84o 40' 00"</v>
      </c>
      <c r="J6" s="2" t="str">
        <f>IFERROR(__xludf.DUMMYFUNCTION("""COMPUTED_VALUE"""),"Takumajhlakuribot,Takukot,Masel,Jaubari,Gakhu,Shreenathkot (Gorkha)")</f>
        <v>Takumajhlakuribot,Takukot,Masel,Jaubari,Gakhu,Shreenathkot (Gorkha)</v>
      </c>
    </row>
    <row r="7">
      <c r="A7" s="2">
        <f>IFERROR(__xludf.DUMMYFUNCTION("""COMPUTED_VALUE"""),6.0)</f>
        <v>6</v>
      </c>
      <c r="B7" s="2" t="str">
        <f>IFERROR(__xludf.DUMMYFUNCTION("""COMPUTED_VALUE"""),"Istul Khola HPP (GLC)")</f>
        <v>Istul Khola HPP (GLC)</v>
      </c>
      <c r="C7" s="2">
        <f>IFERROR(__xludf.DUMMYFUNCTION("""COMPUTED_VALUE"""),1.506)</f>
        <v>1.506</v>
      </c>
      <c r="D7" s="2" t="str">
        <f>IFERROR(__xludf.DUMMYFUNCTION("""COMPUTED_VALUE"""),"Istul")</f>
        <v>Istul</v>
      </c>
      <c r="E7" s="2">
        <f>IFERROR(__xludf.DUMMYFUNCTION("""COMPUTED_VALUE"""),66159.0)</f>
        <v>66159</v>
      </c>
      <c r="F7" s="2" t="str">
        <f>IFERROR(__xludf.DUMMYFUNCTION("""COMPUTED_VALUE"""),"28o 04' 12""")</f>
        <v>28o 04' 12"</v>
      </c>
      <c r="G7" s="2" t="str">
        <f>IFERROR(__xludf.DUMMYFUNCTION("""COMPUTED_VALUE"""),"28o 05' 59""")</f>
        <v>28o 05' 59"</v>
      </c>
      <c r="H7" s="2" t="str">
        <f>IFERROR(__xludf.DUMMYFUNCTION("""COMPUTED_VALUE"""),"84o 45' 00""")</f>
        <v>84o 45' 00"</v>
      </c>
      <c r="I7" s="2" t="str">
        <f>IFERROR(__xludf.DUMMYFUNCTION("""COMPUTED_VALUE"""),"84o 46' 00""")</f>
        <v>84o 46' 00"</v>
      </c>
      <c r="J7" s="2" t="str">
        <f>IFERROR(__xludf.DUMMYFUNCTION("""COMPUTED_VALUE"""),"Aarupokhari (Gorkha)")</f>
        <v>Aarupokhari (Gorkha)</v>
      </c>
    </row>
    <row r="8">
      <c r="A8" s="2">
        <f>IFERROR(__xludf.DUMMYFUNCTION("""COMPUTED_VALUE"""),7.0)</f>
        <v>7</v>
      </c>
      <c r="B8" s="2" t="str">
        <f>IFERROR(__xludf.DUMMYFUNCTION("""COMPUTED_VALUE"""),"Jhyaku Khola HPP (GLC)")</f>
        <v>Jhyaku Khola HPP (GLC)</v>
      </c>
      <c r="C8" s="2">
        <f>IFERROR(__xludf.DUMMYFUNCTION("""COMPUTED_VALUE"""),5.243)</f>
        <v>5.243</v>
      </c>
      <c r="D8" s="2" t="str">
        <f>IFERROR(__xludf.DUMMYFUNCTION("""COMPUTED_VALUE"""),"Jhyaku")</f>
        <v>Jhyaku</v>
      </c>
      <c r="E8" s="2">
        <f>IFERROR(__xludf.DUMMYFUNCTION("""COMPUTED_VALUE"""),66671.0)</f>
        <v>66671</v>
      </c>
      <c r="F8" s="2" t="str">
        <f>IFERROR(__xludf.DUMMYFUNCTION("""COMPUTED_VALUE"""),"27o 40' 41""")</f>
        <v>27o 40' 41"</v>
      </c>
      <c r="G8" s="2" t="str">
        <f>IFERROR(__xludf.DUMMYFUNCTION("""COMPUTED_VALUE"""),"27o 43' 40""")</f>
        <v>27o 43' 40"</v>
      </c>
      <c r="H8" s="2" t="str">
        <f>IFERROR(__xludf.DUMMYFUNCTION("""COMPUTED_VALUE"""),"86o 09' 46""")</f>
        <v>86o 09' 46"</v>
      </c>
      <c r="I8" s="2" t="str">
        <f>IFERROR(__xludf.DUMMYFUNCTION("""COMPUTED_VALUE"""),"86o 12' 42""")</f>
        <v>86o 12' 42"</v>
      </c>
      <c r="J8" s="2" t="str">
        <f>IFERROR(__xludf.DUMMYFUNCTION("""COMPUTED_VALUE"""),"Jhyaku,Jugu (Dolakha)")</f>
        <v>Jhyaku,Jugu (Dolakha)</v>
      </c>
    </row>
    <row r="9">
      <c r="A9" s="2">
        <f>IFERROR(__xludf.DUMMYFUNCTION("""COMPUTED_VALUE"""),8.0)</f>
        <v>8</v>
      </c>
      <c r="B9" s="2" t="str">
        <f>IFERROR(__xludf.DUMMYFUNCTION("""COMPUTED_VALUE"""),"Jumdi Khola Small (GLC)")</f>
        <v>Jumdi Khola Small (GLC)</v>
      </c>
      <c r="C9" s="2">
        <f>IFERROR(__xludf.DUMMYFUNCTION("""COMPUTED_VALUE"""),1.75)</f>
        <v>1.75</v>
      </c>
      <c r="D9" s="2" t="str">
        <f>IFERROR(__xludf.DUMMYFUNCTION("""COMPUTED_VALUE"""),"Jumdi")</f>
        <v>Jumdi</v>
      </c>
      <c r="E9" s="2">
        <f>IFERROR(__xludf.DUMMYFUNCTION("""COMPUTED_VALUE"""),66139.0)</f>
        <v>66139</v>
      </c>
      <c r="F9" s="2" t="str">
        <f>IFERROR(__xludf.DUMMYFUNCTION("""COMPUTED_VALUE"""),"28o 01' 25""")</f>
        <v>28o 01' 25"</v>
      </c>
      <c r="G9" s="2" t="str">
        <f>IFERROR(__xludf.DUMMYFUNCTION("""COMPUTED_VALUE"""),"28o 02' 44""")</f>
        <v>28o 02' 44"</v>
      </c>
      <c r="H9" s="2" t="str">
        <f>IFERROR(__xludf.DUMMYFUNCTION("""COMPUTED_VALUE"""),"83o 26' 46""")</f>
        <v>83o 26' 46"</v>
      </c>
      <c r="I9" s="2" t="str">
        <f>IFERROR(__xludf.DUMMYFUNCTION("""COMPUTED_VALUE"""),"83o 27' 30""")</f>
        <v>83o 27' 30"</v>
      </c>
      <c r="J9" s="2" t="str">
        <f>IFERROR(__xludf.DUMMYFUNCTION("""COMPUTED_VALUE"""),"Bharse,Hasara,Juhang (Gulmi)")</f>
        <v>Bharse,Hasara,Juhang (Gulmi)</v>
      </c>
    </row>
    <row r="10">
      <c r="A10" s="2">
        <f>IFERROR(__xludf.DUMMYFUNCTION("""COMPUTED_VALUE"""),9.0)</f>
        <v>9</v>
      </c>
      <c r="B10" s="2" t="str">
        <f>IFERROR(__xludf.DUMMYFUNCTION("""COMPUTED_VALUE"""),"Kaligandaki Upper (GLC)")</f>
        <v>Kaligandaki Upper (GLC)</v>
      </c>
      <c r="C10" s="2">
        <f>IFERROR(__xludf.DUMMYFUNCTION("""COMPUTED_VALUE"""),65.0)</f>
        <v>65</v>
      </c>
      <c r="D10" s="2" t="str">
        <f>IFERROR(__xludf.DUMMYFUNCTION("""COMPUTED_VALUE"""),"Kali Gandaki")</f>
        <v>Kali Gandaki</v>
      </c>
      <c r="E10" s="2">
        <f>IFERROR(__xludf.DUMMYFUNCTION("""COMPUTED_VALUE"""),64704.0)</f>
        <v>64704</v>
      </c>
      <c r="F10" s="2" t="str">
        <f>IFERROR(__xludf.DUMMYFUNCTION("""COMPUTED_VALUE"""),"28o 22' 31""")</f>
        <v>28o 22' 31"</v>
      </c>
      <c r="G10" s="2" t="str">
        <f>IFERROR(__xludf.DUMMYFUNCTION("""COMPUTED_VALUE"""),"28o 26' 03""")</f>
        <v>28o 26' 03"</v>
      </c>
      <c r="H10" s="2" t="str">
        <f>IFERROR(__xludf.DUMMYFUNCTION("""COMPUTED_VALUE"""),"83o 34' 49""")</f>
        <v>83o 34' 49"</v>
      </c>
      <c r="I10" s="2" t="str">
        <f>IFERROR(__xludf.DUMMYFUNCTION("""COMPUTED_VALUE"""),"83o 36' 23""")</f>
        <v>83o 36' 23"</v>
      </c>
      <c r="J10" s="2" t="str">
        <f>IFERROR(__xludf.DUMMYFUNCTION("""COMPUTED_VALUE"""),"Histan Mandali,Rakhu Bhagawati (Myagdi)")</f>
        <v>Histan Mandali,Rakhu Bhagawati (Myagdi)</v>
      </c>
    </row>
    <row r="11">
      <c r="A11" s="2">
        <f>IFERROR(__xludf.DUMMYFUNCTION("""COMPUTED_VALUE"""),10.0)</f>
        <v>10</v>
      </c>
      <c r="B11" s="2" t="str">
        <f>IFERROR(__xludf.DUMMYFUNCTION("""COMPUTED_VALUE"""),"Langdi Khola (GLC)")</f>
        <v>Langdi Khola (GLC)</v>
      </c>
      <c r="C11" s="2">
        <f>IFERROR(__xludf.DUMMYFUNCTION("""COMPUTED_VALUE"""),3.26)</f>
        <v>3.26</v>
      </c>
      <c r="D11" s="2" t="str">
        <f>IFERROR(__xludf.DUMMYFUNCTION("""COMPUTED_VALUE"""),"Langdi Khola")</f>
        <v>Langdi Khola</v>
      </c>
      <c r="E11" s="2">
        <f>IFERROR(__xludf.DUMMYFUNCTION("""COMPUTED_VALUE"""),66365.0)</f>
        <v>66365</v>
      </c>
      <c r="F11" s="2" t="str">
        <f>IFERROR(__xludf.DUMMYFUNCTION("""COMPUTED_VALUE"""),"28o 10' 05""")</f>
        <v>28o 10' 05"</v>
      </c>
      <c r="G11" s="2" t="str">
        <f>IFERROR(__xludf.DUMMYFUNCTION("""COMPUTED_VALUE"""),"28o 11' 54""")</f>
        <v>28o 11' 54"</v>
      </c>
      <c r="H11" s="2" t="str">
        <f>IFERROR(__xludf.DUMMYFUNCTION("""COMPUTED_VALUE"""),"84o 35' 00""")</f>
        <v>84o 35' 00"</v>
      </c>
      <c r="I11" s="2" t="str">
        <f>IFERROR(__xludf.DUMMYFUNCTION("""COMPUTED_VALUE"""),"84o 37' 00""")</f>
        <v>84o 37' 00"</v>
      </c>
      <c r="J11" s="2" t="str">
        <f>IFERROR(__xludf.DUMMYFUNCTION("""COMPUTED_VALUE"""),"Hanspur (Gorkha) Ilampokhari,Bichaur (Lamjung)")</f>
        <v>Hanspur (Gorkha) Ilampokhari,Bichaur (Lamjung)</v>
      </c>
    </row>
    <row r="12">
      <c r="A12" s="2">
        <f>IFERROR(__xludf.DUMMYFUNCTION("""COMPUTED_VALUE"""),11.0)</f>
        <v>11</v>
      </c>
      <c r="B12" s="2" t="str">
        <f>IFERROR(__xludf.DUMMYFUNCTION("""COMPUTED_VALUE"""),"Lower Modi-2 (Cascade) (GLC)")</f>
        <v>Lower Modi-2 (Cascade) (GLC)</v>
      </c>
      <c r="C12" s="2">
        <f>IFERROR(__xludf.DUMMYFUNCTION("""COMPUTED_VALUE"""),10.5)</f>
        <v>10.5</v>
      </c>
      <c r="D12" s="2" t="str">
        <f>IFERROR(__xludf.DUMMYFUNCTION("""COMPUTED_VALUE"""),"Modi Khola")</f>
        <v>Modi Khola</v>
      </c>
      <c r="E12" s="2">
        <f>IFERROR(__xludf.DUMMYFUNCTION("""COMPUTED_VALUE"""),64508.0)</f>
        <v>64508</v>
      </c>
      <c r="F12" s="2" t="str">
        <f>IFERROR(__xludf.DUMMYFUNCTION("""COMPUTED_VALUE"""),"28o 12' 00""")</f>
        <v>28o 12' 00"</v>
      </c>
      <c r="G12" s="2" t="str">
        <f>IFERROR(__xludf.DUMMYFUNCTION("""COMPUTED_VALUE"""),"28o 13' 14""")</f>
        <v>28o 13' 14"</v>
      </c>
      <c r="H12" s="2" t="str">
        <f>IFERROR(__xludf.DUMMYFUNCTION("""COMPUTED_VALUE"""),"83o 40' 28""")</f>
        <v>83o 40' 28"</v>
      </c>
      <c r="I12" s="2" t="str">
        <f>IFERROR(__xludf.DUMMYFUNCTION("""COMPUTED_VALUE"""),"83o 42' 05""")</f>
        <v>83o 42' 05"</v>
      </c>
      <c r="J12" s="2" t="str">
        <f>IFERROR(__xludf.DUMMYFUNCTION("""COMPUTED_VALUE"""),"Chuwa,Shivalaya,Katuwa Chaupari (Parbat)")</f>
        <v>Chuwa,Shivalaya,Katuwa Chaupari (Parbat)</v>
      </c>
    </row>
    <row r="13">
      <c r="A13" s="2">
        <f>IFERROR(__xludf.DUMMYFUNCTION("""COMPUTED_VALUE"""),12.0)</f>
        <v>12</v>
      </c>
      <c r="B13" s="2" t="str">
        <f>IFERROR(__xludf.DUMMYFUNCTION("""COMPUTED_VALUE"""),"Lower Tara Khola (GLC)")</f>
        <v>Lower Tara Khola (GLC)</v>
      </c>
      <c r="C13" s="2">
        <f>IFERROR(__xludf.DUMMYFUNCTION("""COMPUTED_VALUE"""),3.5)</f>
        <v>3.5</v>
      </c>
      <c r="D13" s="2" t="str">
        <f>IFERROR(__xludf.DUMMYFUNCTION("""COMPUTED_VALUE"""),"Tara Khola")</f>
        <v>Tara Khola</v>
      </c>
      <c r="E13" s="2">
        <f>IFERROR(__xludf.DUMMYFUNCTION("""COMPUTED_VALUE"""),64059.0)</f>
        <v>64059</v>
      </c>
      <c r="F13" s="2" t="str">
        <f>IFERROR(__xludf.DUMMYFUNCTION("""COMPUTED_VALUE"""),"28o 17' 53""")</f>
        <v>28o 17' 53"</v>
      </c>
      <c r="G13" s="2" t="str">
        <f>IFERROR(__xludf.DUMMYFUNCTION("""COMPUTED_VALUE"""),"28o 19' 29""")</f>
        <v>28o 19' 29"</v>
      </c>
      <c r="H13" s="2" t="str">
        <f>IFERROR(__xludf.DUMMYFUNCTION("""COMPUTED_VALUE"""),"83o 24' 16""")</f>
        <v>83o 24' 16"</v>
      </c>
      <c r="I13" s="2" t="str">
        <f>IFERROR(__xludf.DUMMYFUNCTION("""COMPUTED_VALUE"""),"83o 25' 00""")</f>
        <v>83o 25' 00"</v>
      </c>
      <c r="J13" s="2" t="str">
        <f>IFERROR(__xludf.DUMMYFUNCTION("""COMPUTED_VALUE"""),"Tara (Baglung)")</f>
        <v>Tara (Baglung)</v>
      </c>
    </row>
    <row r="14">
      <c r="A14" s="2">
        <f>IFERROR(__xludf.DUMMYFUNCTION("""COMPUTED_VALUE"""),13.0)</f>
        <v>13</v>
      </c>
      <c r="B14" s="2" t="str">
        <f>IFERROR(__xludf.DUMMYFUNCTION("""COMPUTED_VALUE"""),"Madi-Bhorletar (GLC)")</f>
        <v>Madi-Bhorletar (GLC)</v>
      </c>
      <c r="C14" s="2">
        <f>IFERROR(__xludf.DUMMYFUNCTION("""COMPUTED_VALUE"""),10.0)</f>
        <v>10</v>
      </c>
      <c r="D14" s="2" t="str">
        <f>IFERROR(__xludf.DUMMYFUNCTION("""COMPUTED_VALUE"""),"Madi Khola")</f>
        <v>Madi Khola</v>
      </c>
      <c r="E14" s="2">
        <f>IFERROR(__xludf.DUMMYFUNCTION("""COMPUTED_VALUE"""),64258.0)</f>
        <v>64258</v>
      </c>
      <c r="F14" s="2" t="str">
        <f>IFERROR(__xludf.DUMMYFUNCTION("""COMPUTED_VALUE"""),"28o 07' 30""")</f>
        <v>28o 07' 30"</v>
      </c>
      <c r="G14" s="2" t="str">
        <f>IFERROR(__xludf.DUMMYFUNCTION("""COMPUTED_VALUE"""),"28o 10' 21""")</f>
        <v>28o 10' 21"</v>
      </c>
      <c r="H14" s="2" t="str">
        <f>IFERROR(__xludf.DUMMYFUNCTION("""COMPUTED_VALUE"""),"84o 12' 50""")</f>
        <v>84o 12' 50"</v>
      </c>
      <c r="I14" s="2" t="str">
        <f>IFERROR(__xludf.DUMMYFUNCTION("""COMPUTED_VALUE"""),"84o 13' 52""")</f>
        <v>84o 13' 52"</v>
      </c>
      <c r="J14" s="2" t="str">
        <f>IFERROR(__xludf.DUMMYFUNCTION("""COMPUTED_VALUE"""),"Hansapur,Thumki,Siddha (Kaski)")</f>
        <v>Hansapur,Thumki,Siddha (Kaski)</v>
      </c>
    </row>
    <row r="15">
      <c r="A15" s="2">
        <f>IFERROR(__xludf.DUMMYFUNCTION("""COMPUTED_VALUE"""),14.0)</f>
        <v>14</v>
      </c>
      <c r="B15" s="2" t="str">
        <f>IFERROR(__xludf.DUMMYFUNCTION("""COMPUTED_VALUE"""),"Middle Sunkoshi (GLC)")</f>
        <v>Middle Sunkoshi (GLC)</v>
      </c>
      <c r="C15" s="2">
        <f>IFERROR(__xludf.DUMMYFUNCTION("""COMPUTED_VALUE"""),3.4)</f>
        <v>3.4</v>
      </c>
      <c r="D15" s="2" t="str">
        <f>IFERROR(__xludf.DUMMYFUNCTION("""COMPUTED_VALUE"""),"Sun Koshi")</f>
        <v>Sun Koshi</v>
      </c>
      <c r="E15" s="2">
        <f>IFERROR(__xludf.DUMMYFUNCTION("""COMPUTED_VALUE"""),64513.0)</f>
        <v>64513</v>
      </c>
      <c r="F15" s="2" t="str">
        <f>IFERROR(__xludf.DUMMYFUNCTION("""COMPUTED_VALUE"""),"27o 46' 46""")</f>
        <v>27o 46' 46"</v>
      </c>
      <c r="G15" s="2" t="str">
        <f>IFERROR(__xludf.DUMMYFUNCTION("""COMPUTED_VALUE"""),"27o 47' 23""")</f>
        <v>27o 47' 23"</v>
      </c>
      <c r="H15" s="2" t="str">
        <f>IFERROR(__xludf.DUMMYFUNCTION("""COMPUTED_VALUE"""),"85o 56' 02""")</f>
        <v>85o 56' 02"</v>
      </c>
      <c r="I15" s="2" t="str">
        <f>IFERROR(__xludf.DUMMYFUNCTION("""COMPUTED_VALUE"""),"85o 57' 48""")</f>
        <v>85o 57' 48"</v>
      </c>
      <c r="J15" s="2" t="str">
        <f>IFERROR(__xludf.DUMMYFUNCTION("""COMPUTED_VALUE"""),"Choukati (Sindhupalchok)")</f>
        <v>Choukati (Sindhupalchok)</v>
      </c>
    </row>
    <row r="16">
      <c r="A16" s="2">
        <f>IFERROR(__xludf.DUMMYFUNCTION("""COMPUTED_VALUE"""),15.0)</f>
        <v>15</v>
      </c>
      <c r="B16" s="2" t="str">
        <f>IFERROR(__xludf.DUMMYFUNCTION("""COMPUTED_VALUE"""),"Midim Khola (GLC)")</f>
        <v>Midim Khola (GLC)</v>
      </c>
      <c r="C16" s="2">
        <f>IFERROR(__xludf.DUMMYFUNCTION("""COMPUTED_VALUE"""),3.4)</f>
        <v>3.4</v>
      </c>
      <c r="D16" s="2" t="str">
        <f>IFERROR(__xludf.DUMMYFUNCTION("""COMPUTED_VALUE"""),"Midim Khola")</f>
        <v>Midim Khola</v>
      </c>
      <c r="E16" s="2">
        <f>IFERROR(__xludf.DUMMYFUNCTION("""COMPUTED_VALUE"""),62793.0)</f>
        <v>62793</v>
      </c>
      <c r="F16" s="2" t="str">
        <f>IFERROR(__xludf.DUMMYFUNCTION("""COMPUTED_VALUE"""),"28o 17' 55""")</f>
        <v>28o 17' 55"</v>
      </c>
      <c r="G16" s="2" t="str">
        <f>IFERROR(__xludf.DUMMYFUNCTION("""COMPUTED_VALUE"""),"28o 19' 00""")</f>
        <v>28o 19' 00"</v>
      </c>
      <c r="H16" s="2" t="str">
        <f>IFERROR(__xludf.DUMMYFUNCTION("""COMPUTED_VALUE"""),"84o 15' 00""")</f>
        <v>84o 15' 00"</v>
      </c>
      <c r="I16" s="2" t="str">
        <f>IFERROR(__xludf.DUMMYFUNCTION("""COMPUTED_VALUE"""),"84o 15' 55""")</f>
        <v>84o 15' 55"</v>
      </c>
      <c r="J16" s="2" t="str">
        <f>IFERROR(__xludf.DUMMYFUNCTION("""COMPUTED_VALUE"""),",Bhujung (Lamjung)")</f>
        <v>,Bhujung (Lamjung)</v>
      </c>
    </row>
    <row r="17">
      <c r="A17" s="2">
        <f>IFERROR(__xludf.DUMMYFUNCTION("""COMPUTED_VALUE"""),16.0)</f>
        <v>16</v>
      </c>
      <c r="B17" s="2" t="str">
        <f>IFERROR(__xludf.DUMMYFUNCTION("""COMPUTED_VALUE"""),"Nyam Nyam (GLC)")</f>
        <v>Nyam Nyam (GLC)</v>
      </c>
      <c r="C17" s="2">
        <f>IFERROR(__xludf.DUMMYFUNCTION("""COMPUTED_VALUE"""),6.0)</f>
        <v>6</v>
      </c>
      <c r="D17" s="2" t="str">
        <f>IFERROR(__xludf.DUMMYFUNCTION("""COMPUTED_VALUE"""),"Nyam Nyam Khola")</f>
        <v>Nyam Nyam Khola</v>
      </c>
      <c r="E17" s="2">
        <f>IFERROR(__xludf.DUMMYFUNCTION("""COMPUTED_VALUE"""),66670.0)</f>
        <v>66670</v>
      </c>
      <c r="F17" s="2" t="str">
        <f>IFERROR(__xludf.DUMMYFUNCTION("""COMPUTED_VALUE"""),"28o 04' 15""")</f>
        <v>28o 04' 15"</v>
      </c>
      <c r="G17" s="2" t="str">
        <f>IFERROR(__xludf.DUMMYFUNCTION("""COMPUTED_VALUE"""),"28o 05' 10""")</f>
        <v>28o 05' 10"</v>
      </c>
      <c r="H17" s="2" t="str">
        <f>IFERROR(__xludf.DUMMYFUNCTION("""COMPUTED_VALUE"""),"85o 11' 05""")</f>
        <v>85o 11' 05"</v>
      </c>
      <c r="I17" s="2" t="str">
        <f>IFERROR(__xludf.DUMMYFUNCTION("""COMPUTED_VALUE"""),"85o 12' 40""")</f>
        <v>85o 12' 40"</v>
      </c>
      <c r="J17" s="2" t="str">
        <f>IFERROR(__xludf.DUMMYFUNCTION("""COMPUTED_VALUE"""),"Dandagoun (Rasuwa)")</f>
        <v>Dandagoun (Rasuwa)</v>
      </c>
    </row>
    <row r="18">
      <c r="A18" s="2">
        <f>IFERROR(__xludf.DUMMYFUNCTION("""COMPUTED_VALUE"""),17.0)</f>
        <v>17</v>
      </c>
      <c r="B18" s="2" t="str">
        <f>IFERROR(__xludf.DUMMYFUNCTION("""COMPUTED_VALUE"""),"Sisa Khola A (GLC)")</f>
        <v>Sisa Khola A (GLC)</v>
      </c>
      <c r="C18" s="2">
        <f>IFERROR(__xludf.DUMMYFUNCTION("""COMPUTED_VALUE"""),2.8)</f>
        <v>2.8</v>
      </c>
      <c r="D18" s="2" t="str">
        <f>IFERROR(__xludf.DUMMYFUNCTION("""COMPUTED_VALUE"""),"Sisa")</f>
        <v>Sisa</v>
      </c>
      <c r="E18" s="2">
        <f>IFERROR(__xludf.DUMMYFUNCTION("""COMPUTED_VALUE"""),64593.0)</f>
        <v>64593</v>
      </c>
      <c r="F18" s="2" t="str">
        <f>IFERROR(__xludf.DUMMYFUNCTION("""COMPUTED_VALUE"""),"27o 26' 00""")</f>
        <v>27o 26' 00"</v>
      </c>
      <c r="G18" s="2" t="str">
        <f>IFERROR(__xludf.DUMMYFUNCTION("""COMPUTED_VALUE"""),"27o 27' 00""")</f>
        <v>27o 27' 00"</v>
      </c>
      <c r="H18" s="2" t="str">
        <f>IFERROR(__xludf.DUMMYFUNCTION("""COMPUTED_VALUE"""),"86o 33' 35""")</f>
        <v>86o 33' 35"</v>
      </c>
      <c r="I18" s="2" t="str">
        <f>IFERROR(__xludf.DUMMYFUNCTION("""COMPUTED_VALUE"""),"86o 34' 22""")</f>
        <v>86o 34' 22"</v>
      </c>
      <c r="J18" s="2" t="str">
        <f>IFERROR(__xludf.DUMMYFUNCTION("""COMPUTED_VALUE"""),"Gora Khami,Kerung,Garma (Solukhumbu)")</f>
        <v>Gora Khami,Kerung,Garma (Solukhumbu)</v>
      </c>
    </row>
    <row r="19">
      <c r="A19" s="2">
        <f>IFERROR(__xludf.DUMMYFUNCTION("""COMPUTED_VALUE"""),18.0)</f>
        <v>18</v>
      </c>
      <c r="B19" s="2" t="str">
        <f>IFERROR(__xludf.DUMMYFUNCTION("""COMPUTED_VALUE"""),"Tadi Khola Cascade (GLC)")</f>
        <v>Tadi Khola Cascade (GLC)</v>
      </c>
      <c r="C19" s="2">
        <f>IFERROR(__xludf.DUMMYFUNCTION("""COMPUTED_VALUE"""),3.0)</f>
        <v>3</v>
      </c>
      <c r="D19" s="2" t="str">
        <f>IFERROR(__xludf.DUMMYFUNCTION("""COMPUTED_VALUE"""),"Tadi Khola")</f>
        <v>Tadi Khola</v>
      </c>
      <c r="E19" s="2">
        <f>IFERROR(__xludf.DUMMYFUNCTION("""COMPUTED_VALUE"""),65820.0)</f>
        <v>65820</v>
      </c>
      <c r="F19" s="2" t="str">
        <f>IFERROR(__xludf.DUMMYFUNCTION("""COMPUTED_VALUE"""),"27o 55' 16""")</f>
        <v>27o 55' 16"</v>
      </c>
      <c r="G19" s="2" t="str">
        <f>IFERROR(__xludf.DUMMYFUNCTION("""COMPUTED_VALUE"""),"27o 56' 04""")</f>
        <v>27o 56' 04"</v>
      </c>
      <c r="H19" s="2" t="str">
        <f>IFERROR(__xludf.DUMMYFUNCTION("""COMPUTED_VALUE"""),"85o 22' 53""")</f>
        <v>85o 22' 53"</v>
      </c>
      <c r="I19" s="2" t="str">
        <f>IFERROR(__xludf.DUMMYFUNCTION("""COMPUTED_VALUE"""),"85o 23' 29""")</f>
        <v>85o 23' 29"</v>
      </c>
      <c r="J19" s="2" t="str">
        <f>IFERROR(__xludf.DUMMYFUNCTION("""COMPUTED_VALUE"""),"Samundratar (Nuwakot)")</f>
        <v>Samundratar (Nuwakot)</v>
      </c>
    </row>
    <row r="20">
      <c r="A20" s="2">
        <f>IFERROR(__xludf.DUMMYFUNCTION("""COMPUTED_VALUE"""),19.0)</f>
        <v>19</v>
      </c>
      <c r="B20" s="2" t="str">
        <f>IFERROR(__xludf.DUMMYFUNCTION("""COMPUTED_VALUE"""),"Taman Khola (GLC)")</f>
        <v>Taman Khola (GLC)</v>
      </c>
      <c r="C20" s="2">
        <f>IFERROR(__xludf.DUMMYFUNCTION("""COMPUTED_VALUE"""),4.85)</f>
        <v>4.85</v>
      </c>
      <c r="D20" s="2" t="str">
        <f>IFERROR(__xludf.DUMMYFUNCTION("""COMPUTED_VALUE"""),"Taman")</f>
        <v>Taman</v>
      </c>
      <c r="E20" s="2">
        <f>IFERROR(__xludf.DUMMYFUNCTION("""COMPUTED_VALUE"""),66061.0)</f>
        <v>66061</v>
      </c>
      <c r="F20" s="2" t="str">
        <f>IFERROR(__xludf.DUMMYFUNCTION("""COMPUTED_VALUE"""),"28o 20' 00""")</f>
        <v>28o 20' 00"</v>
      </c>
      <c r="G20" s="2" t="str">
        <f>IFERROR(__xludf.DUMMYFUNCTION("""COMPUTED_VALUE"""),"28o 21' 17""")</f>
        <v>28o 21' 17"</v>
      </c>
      <c r="H20" s="2" t="str">
        <f>IFERROR(__xludf.DUMMYFUNCTION("""COMPUTED_VALUE"""),"83o 10' 00""")</f>
        <v>83o 10' 00"</v>
      </c>
      <c r="I20" s="2" t="str">
        <f>IFERROR(__xludf.DUMMYFUNCTION("""COMPUTED_VALUE"""),"83o 11' 03""")</f>
        <v>83o 11' 03"</v>
      </c>
      <c r="J20" s="2" t="str">
        <f>IFERROR(__xludf.DUMMYFUNCTION("""COMPUTED_VALUE"""),"Burtiwang (Baglung)")</f>
        <v>Burtiwang (Baglung)</v>
      </c>
    </row>
    <row r="21">
      <c r="A21" s="2">
        <f>IFERROR(__xludf.DUMMYFUNCTION("""COMPUTED_VALUE"""),20.0)</f>
        <v>20</v>
      </c>
      <c r="B21" s="2" t="str">
        <f>IFERROR(__xludf.DUMMYFUNCTION("""COMPUTED_VALUE"""),"Tanchhahara (GLC)")</f>
        <v>Tanchhahara (GLC)</v>
      </c>
      <c r="C21" s="2">
        <f>IFERROR(__xludf.DUMMYFUNCTION("""COMPUTED_VALUE"""),2.4)</f>
        <v>2.4</v>
      </c>
      <c r="D21" s="2" t="str">
        <f>IFERROR(__xludf.DUMMYFUNCTION("""COMPUTED_VALUE"""),"Tangchhahara")</f>
        <v>Tangchhahara</v>
      </c>
      <c r="E21" s="2">
        <f>IFERROR(__xludf.DUMMYFUNCTION("""COMPUTED_VALUE"""),66155.0)</f>
        <v>66155</v>
      </c>
      <c r="F21" s="2" t="str">
        <f>IFERROR(__xludf.DUMMYFUNCTION("""COMPUTED_VALUE"""),"28o 39' 51""")</f>
        <v>28o 39' 51"</v>
      </c>
      <c r="G21" s="2" t="str">
        <f>IFERROR(__xludf.DUMMYFUNCTION("""COMPUTED_VALUE"""),"28o 41' 14""")</f>
        <v>28o 41' 14"</v>
      </c>
      <c r="H21" s="2" t="str">
        <f>IFERROR(__xludf.DUMMYFUNCTION("""COMPUTED_VALUE"""),"83o 35' 00""")</f>
        <v>83o 35' 00"</v>
      </c>
      <c r="I21" s="2" t="str">
        <f>IFERROR(__xludf.DUMMYFUNCTION("""COMPUTED_VALUE"""),"83o 35' 59""")</f>
        <v>83o 35' 59"</v>
      </c>
      <c r="J21" s="2" t="str">
        <f>IFERROR(__xludf.DUMMYFUNCTION("""COMPUTED_VALUE"""),"Kowang,Lete (Mustang)")</f>
        <v>Kowang,Lete (Mustang)</v>
      </c>
    </row>
    <row r="22">
      <c r="A22" s="2">
        <f>IFERROR(__xludf.DUMMYFUNCTION("""COMPUTED_VALUE"""),21.0)</f>
        <v>21</v>
      </c>
      <c r="B22" s="2" t="str">
        <f>IFERROR(__xludf.DUMMYFUNCTION("""COMPUTED_VALUE"""),"Third Trishuli Nadi (GLC)")</f>
        <v>Third Trishuli Nadi (GLC)</v>
      </c>
      <c r="C22" s="2">
        <f>IFERROR(__xludf.DUMMYFUNCTION("""COMPUTED_VALUE"""),20.1)</f>
        <v>20.1</v>
      </c>
      <c r="D22" s="2" t="str">
        <f>IFERROR(__xludf.DUMMYFUNCTION("""COMPUTED_VALUE"""),"Trishuli")</f>
        <v>Trishuli</v>
      </c>
      <c r="E22" s="2">
        <f>IFERROR(__xludf.DUMMYFUNCTION("""COMPUTED_VALUE"""),66704.0)</f>
        <v>66704</v>
      </c>
      <c r="F22" s="2" t="str">
        <f>IFERROR(__xludf.DUMMYFUNCTION("""COMPUTED_VALUE"""),"27o 48' 07""")</f>
        <v>27o 48' 07"</v>
      </c>
      <c r="G22" s="2" t="str">
        <f>IFERROR(__xludf.DUMMYFUNCTION("""COMPUTED_VALUE"""),"27o 49' 25""")</f>
        <v>27o 49' 25"</v>
      </c>
      <c r="H22" s="2" t="str">
        <f>IFERROR(__xludf.DUMMYFUNCTION("""COMPUTED_VALUE"""),"84o 47' 12""")</f>
        <v>84o 47' 12"</v>
      </c>
      <c r="I22" s="2" t="str">
        <f>IFERROR(__xludf.DUMMYFUNCTION("""COMPUTED_VALUE"""),"84o 50' 00""")</f>
        <v>84o 50' 00"</v>
      </c>
      <c r="J22" s="2" t="str">
        <f>IFERROR(__xludf.DUMMYFUNCTION("""COMPUTED_VALUE"""),"(Dhading)")</f>
        <v>(Dhading)</v>
      </c>
    </row>
    <row r="23">
      <c r="A23" s="2">
        <f>IFERROR(__xludf.DUMMYFUNCTION("""COMPUTED_VALUE"""),22.0)</f>
        <v>22</v>
      </c>
      <c r="B23" s="2" t="str">
        <f>IFERROR(__xludf.DUMMYFUNCTION("""COMPUTED_VALUE"""),"Upper Charnawati Khola (GLC)")</f>
        <v>Upper Charnawati Khola (GLC)</v>
      </c>
      <c r="C23" s="2">
        <f>IFERROR(__xludf.DUMMYFUNCTION("""COMPUTED_VALUE"""),2.2)</f>
        <v>2.2</v>
      </c>
      <c r="D23" s="2" t="str">
        <f>IFERROR(__xludf.DUMMYFUNCTION("""COMPUTED_VALUE"""),"Charnawati")</f>
        <v>Charnawati</v>
      </c>
      <c r="E23" s="2">
        <f>IFERROR(__xludf.DUMMYFUNCTION("""COMPUTED_VALUE"""),62997.0)</f>
        <v>62997</v>
      </c>
      <c r="F23" s="2" t="str">
        <f>IFERROR(__xludf.DUMMYFUNCTION("""COMPUTED_VALUE"""),"27o 39' 21""")</f>
        <v>27o 39' 21"</v>
      </c>
      <c r="G23" s="2" t="str">
        <f>IFERROR(__xludf.DUMMYFUNCTION("""COMPUTED_VALUE"""),"27o 40' 30""")</f>
        <v>27o 40' 30"</v>
      </c>
      <c r="H23" s="2" t="str">
        <f>IFERROR(__xludf.DUMMYFUNCTION("""COMPUTED_VALUE"""),"85o 59' 15""")</f>
        <v>85o 59' 15"</v>
      </c>
      <c r="I23" s="2" t="str">
        <f>IFERROR(__xludf.DUMMYFUNCTION("""COMPUTED_VALUE"""),"86o 01' 37""")</f>
        <v>86o 01' 37"</v>
      </c>
      <c r="J23" s="2" t="str">
        <f>IFERROR(__xludf.DUMMYFUNCTION("""COMPUTED_VALUE"""),"(Dolakha)")</f>
        <v>(Dolakha)</v>
      </c>
    </row>
    <row r="24">
      <c r="A24" s="2">
        <f>IFERROR(__xludf.DUMMYFUNCTION("""COMPUTED_VALUE"""),23.0)</f>
        <v>23</v>
      </c>
      <c r="B24" s="2" t="str">
        <f>IFERROR(__xludf.DUMMYFUNCTION("""COMPUTED_VALUE"""),"Upper Trishui-2 (GLC)")</f>
        <v>Upper Trishui-2 (GLC)</v>
      </c>
      <c r="C24" s="2">
        <f>IFERROR(__xludf.DUMMYFUNCTION("""COMPUTED_VALUE"""),102.0)</f>
        <v>102</v>
      </c>
      <c r="D24" s="2" t="str">
        <f>IFERROR(__xludf.DUMMYFUNCTION("""COMPUTED_VALUE"""),"Trishuli")</f>
        <v>Trishuli</v>
      </c>
      <c r="E24" s="2">
        <f>IFERROR(__xludf.DUMMYFUNCTION("""COMPUTED_VALUE"""),66833.0)</f>
        <v>66833</v>
      </c>
      <c r="F24" s="2" t="str">
        <f>IFERROR(__xludf.DUMMYFUNCTION("""COMPUTED_VALUE"""),"28o 07' 43""")</f>
        <v>28o 07' 43"</v>
      </c>
      <c r="G24" s="2" t="str">
        <f>IFERROR(__xludf.DUMMYFUNCTION("""COMPUTED_VALUE"""),"28o 10' 00""")</f>
        <v>28o 10' 00"</v>
      </c>
      <c r="H24" s="2" t="str">
        <f>IFERROR(__xludf.DUMMYFUNCTION("""COMPUTED_VALUE"""),"85o 18' 04""")</f>
        <v>85o 18' 04"</v>
      </c>
      <c r="I24" s="2" t="str">
        <f>IFERROR(__xludf.DUMMYFUNCTION("""COMPUTED_VALUE"""),"85o 21' 09""")</f>
        <v>85o 21' 09"</v>
      </c>
      <c r="J24" s="2" t="str">
        <f>IFERROR(__xludf.DUMMYFUNCTION("""COMPUTED_VALUE"""),"Haku (Rasuwa)")</f>
        <v>Haku (Rasuwa)</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IFERROR(__xludf.DUMMYFUNCTION("IMPORTHTML(""https://www.doed.gov.np/pages/slc/"",""table"",1)"),"*S No*")</f>
        <v>*S No*</v>
      </c>
      <c r="B1" s="2" t="str">
        <f>IFERROR(__xludf.DUMMYFUNCTION("""COMPUTED_VALUE"""),"*Project*")</f>
        <v>*Project*</v>
      </c>
      <c r="C1" s="2" t="str">
        <f>IFERROR(__xludf.DUMMYFUNCTION("""COMPUTED_VALUE"""),"*Capacity (MW)*")</f>
        <v>*Capacity (MW)*</v>
      </c>
      <c r="D1" s="2" t="str">
        <f>IFERROR(__xludf.DUMMYFUNCTION("""COMPUTED_VALUE"""),"*River*")</f>
        <v>*River*</v>
      </c>
      <c r="E1" s="2" t="str">
        <f>IFERROR(__xludf.DUMMYFUNCTION("""COMPUTED_VALUE"""),"*Decision Date*")</f>
        <v>*Decision Date*</v>
      </c>
      <c r="F1" s="2" t="str">
        <f>IFERROR(__xludf.DUMMYFUNCTION("""COMPUTED_VALUE"""),"*Latitiude N*")</f>
        <v>*Latitiude N*</v>
      </c>
      <c r="G1" s="2"/>
      <c r="H1" s="2" t="str">
        <f>IFERROR(__xludf.DUMMYFUNCTION("""COMPUTED_VALUE"""),"*Longitude E*")</f>
        <v>*Longitude E*</v>
      </c>
      <c r="I1" s="2"/>
      <c r="J1" s="2" t="str">
        <f>IFERROR(__xludf.DUMMYFUNCTION("""COMPUTED_VALUE"""),"*VDC/District*")</f>
        <v>*VDC/District*</v>
      </c>
    </row>
    <row r="2">
      <c r="A2" s="2">
        <f>IFERROR(__xludf.DUMMYFUNCTION("""COMPUTED_VALUE"""),1.0)</f>
        <v>1</v>
      </c>
      <c r="B2" s="2" t="str">
        <f>IFERROR(__xludf.DUMMYFUNCTION("""COMPUTED_VALUE"""),"Aayu Chhatigad HEP (SLC)")</f>
        <v>Aayu Chhatigad HEP (SLC)</v>
      </c>
      <c r="C2" s="2">
        <f>IFERROR(__xludf.DUMMYFUNCTION("""COMPUTED_VALUE"""),13.942)</f>
        <v>13.942</v>
      </c>
      <c r="D2" s="2" t="str">
        <f>IFERROR(__xludf.DUMMYFUNCTION("""COMPUTED_VALUE"""),"Chatti Gad")</f>
        <v>Chatti Gad</v>
      </c>
      <c r="E2" s="2">
        <f>IFERROR(__xludf.DUMMYFUNCTION("""COMPUTED_VALUE"""),66892.0)</f>
        <v>66892</v>
      </c>
      <c r="F2" s="2" t="str">
        <f>IFERROR(__xludf.DUMMYFUNCTION("""COMPUTED_VALUE"""),"29o 48' 50""")</f>
        <v>29o 48' 50"</v>
      </c>
      <c r="G2" s="2" t="str">
        <f>IFERROR(__xludf.DUMMYFUNCTION("""COMPUTED_VALUE"""),"29o 49' 35""")</f>
        <v>29o 49' 35"</v>
      </c>
      <c r="H2" s="2" t="str">
        <f>IFERROR(__xludf.DUMMYFUNCTION("""COMPUTED_VALUE"""),"80o 52' 37""")</f>
        <v>80o 52' 37"</v>
      </c>
      <c r="I2" s="2" t="str">
        <f>IFERROR(__xludf.DUMMYFUNCTION("""COMPUTED_VALUE"""),"80o 53' 10""")</f>
        <v>80o 53' 10"</v>
      </c>
      <c r="J2" s="2" t="str">
        <f>IFERROR(__xludf.DUMMYFUNCTION("""COMPUTED_VALUE"""),"Khandeswori (Darchula)")</f>
        <v>Khandeswori (Darchula)</v>
      </c>
    </row>
    <row r="3">
      <c r="A3" s="2">
        <f>IFERROR(__xludf.DUMMYFUNCTION("""COMPUTED_VALUE"""),2.0)</f>
        <v>2</v>
      </c>
      <c r="B3" s="2" t="str">
        <f>IFERROR(__xludf.DUMMYFUNCTION("""COMPUTED_VALUE"""),"Arung Khola HEP (SLC)")</f>
        <v>Arung Khola HEP (SLC)</v>
      </c>
      <c r="C3" s="2">
        <f>IFERROR(__xludf.DUMMYFUNCTION("""COMPUTED_VALUE"""),2.3)</f>
        <v>2.3</v>
      </c>
      <c r="D3" s="2" t="str">
        <f>IFERROR(__xludf.DUMMYFUNCTION("""COMPUTED_VALUE"""),"Arung")</f>
        <v>Arung</v>
      </c>
      <c r="E3" s="2">
        <f>IFERROR(__xludf.DUMMYFUNCTION("""COMPUTED_VALUE"""),65756.0)</f>
        <v>65756</v>
      </c>
      <c r="F3" s="2" t="str">
        <f>IFERROR(__xludf.DUMMYFUNCTION("""COMPUTED_VALUE"""),"27o 41' 00""")</f>
        <v>27o 41' 00"</v>
      </c>
      <c r="G3" s="2" t="str">
        <f>IFERROR(__xludf.DUMMYFUNCTION("""COMPUTED_VALUE"""),"27o 43' 00""")</f>
        <v>27o 43' 00"</v>
      </c>
      <c r="H3" s="2" t="str">
        <f>IFERROR(__xludf.DUMMYFUNCTION("""COMPUTED_VALUE"""),"83o 56' 20""")</f>
        <v>83o 56' 20"</v>
      </c>
      <c r="I3" s="2" t="str">
        <f>IFERROR(__xludf.DUMMYFUNCTION("""COMPUTED_VALUE"""),"83o 57' 33""")</f>
        <v>83o 57' 33"</v>
      </c>
      <c r="J3" s="2" t="str">
        <f>IFERROR(__xludf.DUMMYFUNCTION("""COMPUTED_VALUE"""),"Humsekot,Naya Belhani,Mainaghat,Rakachuli (Nawalparasi)")</f>
        <v>Humsekot,Naya Belhani,Mainaghat,Rakachuli (Nawalparasi)</v>
      </c>
    </row>
    <row r="4">
      <c r="A4" s="2">
        <f>IFERROR(__xludf.DUMMYFUNCTION("""COMPUTED_VALUE"""),3.0)</f>
        <v>3</v>
      </c>
      <c r="B4" s="2" t="str">
        <f>IFERROR(__xludf.DUMMYFUNCTION("""COMPUTED_VALUE"""),"Balephi cascade HEP (SLC)")</f>
        <v>Balephi cascade HEP (SLC)</v>
      </c>
      <c r="C4" s="2">
        <f>IFERROR(__xludf.DUMMYFUNCTION("""COMPUTED_VALUE"""),10.33)</f>
        <v>10.33</v>
      </c>
      <c r="D4" s="2" t="str">
        <f>IFERROR(__xludf.DUMMYFUNCTION("""COMPUTED_VALUE"""),"Balephi")</f>
        <v>Balephi</v>
      </c>
      <c r="E4" s="2">
        <f>IFERROR(__xludf.DUMMYFUNCTION("""COMPUTED_VALUE"""),65756.0)</f>
        <v>65756</v>
      </c>
      <c r="F4" s="2" t="str">
        <f>IFERROR(__xludf.DUMMYFUNCTION("""COMPUTED_VALUE"""),"27o 48' 24""")</f>
        <v>27o 48' 24"</v>
      </c>
      <c r="G4" s="2" t="str">
        <f>IFERROR(__xludf.DUMMYFUNCTION("""COMPUTED_VALUE"""),"27o 49' 44""")</f>
        <v>27o 49' 44"</v>
      </c>
      <c r="H4" s="2" t="str">
        <f>IFERROR(__xludf.DUMMYFUNCTION("""COMPUTED_VALUE"""),"85o 45' 40""")</f>
        <v>85o 45' 40"</v>
      </c>
      <c r="I4" s="2" t="str">
        <f>IFERROR(__xludf.DUMMYFUNCTION("""COMPUTED_VALUE"""),"85o 46' 30""")</f>
        <v>85o 46' 30"</v>
      </c>
      <c r="J4" s="2" t="str">
        <f>IFERROR(__xludf.DUMMYFUNCTION("""COMPUTED_VALUE"""),"Baramchi,Selang (Sindhupalchok)")</f>
        <v>Baramchi,Selang (Sindhupalchok)</v>
      </c>
    </row>
    <row r="5">
      <c r="A5" s="2">
        <f>IFERROR(__xludf.DUMMYFUNCTION("""COMPUTED_VALUE"""),4.0)</f>
        <v>4</v>
      </c>
      <c r="B5" s="2" t="str">
        <f>IFERROR(__xludf.DUMMYFUNCTION("""COMPUTED_VALUE"""),"Banganga (SLC)")</f>
        <v>Banganga (SLC)</v>
      </c>
      <c r="C5" s="2">
        <f>IFERROR(__xludf.DUMMYFUNCTION("""COMPUTED_VALUE"""),3.2)</f>
        <v>3.2</v>
      </c>
      <c r="D5" s="2" t="str">
        <f>IFERROR(__xludf.DUMMYFUNCTION("""COMPUTED_VALUE"""),"Banganga")</f>
        <v>Banganga</v>
      </c>
      <c r="E5" s="2">
        <f>IFERROR(__xludf.DUMMYFUNCTION("""COMPUTED_VALUE"""),62793.0)</f>
        <v>62793</v>
      </c>
      <c r="F5" s="2" t="str">
        <f>IFERROR(__xludf.DUMMYFUNCTION("""COMPUTED_VALUE"""),"27o 47' 50""")</f>
        <v>27o 47' 50"</v>
      </c>
      <c r="G5" s="2" t="str">
        <f>IFERROR(__xludf.DUMMYFUNCTION("""COMPUTED_VALUE"""),"27o 50' 15""")</f>
        <v>27o 50' 15"</v>
      </c>
      <c r="H5" s="2" t="str">
        <f>IFERROR(__xludf.DUMMYFUNCTION("""COMPUTED_VALUE"""),"83o 10' 40""")</f>
        <v>83o 10' 40"</v>
      </c>
      <c r="I5" s="2" t="str">
        <f>IFERROR(__xludf.DUMMYFUNCTION("""COMPUTED_VALUE"""),"83o 12' 30""")</f>
        <v>83o 12' 30"</v>
      </c>
      <c r="J5" s="2" t="str">
        <f>IFERROR(__xludf.DUMMYFUNCTION("""COMPUTED_VALUE"""),"(Arghakhanchi)")</f>
        <v>(Arghakhanchi)</v>
      </c>
    </row>
    <row r="6">
      <c r="A6" s="2">
        <f>IFERROR(__xludf.DUMMYFUNCTION("""COMPUTED_VALUE"""),5.0)</f>
        <v>5</v>
      </c>
      <c r="B6" s="2" t="str">
        <f>IFERROR(__xludf.DUMMYFUNCTION("""COMPUTED_VALUE"""),"Bheri 4 HEP (SLC)")</f>
        <v>Bheri 4 HEP (SLC)</v>
      </c>
      <c r="C6" s="2">
        <f>IFERROR(__xludf.DUMMYFUNCTION("""COMPUTED_VALUE"""),300.0)</f>
        <v>300</v>
      </c>
      <c r="D6" s="2" t="str">
        <f>IFERROR(__xludf.DUMMYFUNCTION("""COMPUTED_VALUE"""),"Bheri")</f>
        <v>Bheri</v>
      </c>
      <c r="E6" s="2">
        <f>IFERROR(__xludf.DUMMYFUNCTION("""COMPUTED_VALUE"""),65448.0)</f>
        <v>65448</v>
      </c>
      <c r="F6" s="2" t="str">
        <f>IFERROR(__xludf.DUMMYFUNCTION("""COMPUTED_VALUE"""),"28o 33' 30""")</f>
        <v>28o 33' 30"</v>
      </c>
      <c r="G6" s="2" t="str">
        <f>IFERROR(__xludf.DUMMYFUNCTION("""COMPUTED_VALUE"""),"28o 43' 15""")</f>
        <v>28o 43' 15"</v>
      </c>
      <c r="H6" s="2" t="str">
        <f>IFERROR(__xludf.DUMMYFUNCTION("""COMPUTED_VALUE"""),"81o 59' 30""")</f>
        <v>81o 59' 30"</v>
      </c>
      <c r="I6" s="2" t="str">
        <f>IFERROR(__xludf.DUMMYFUNCTION("""COMPUTED_VALUE"""),"82o 15' 00""")</f>
        <v>82o 15' 00"</v>
      </c>
      <c r="J6" s="2" t="str">
        <f>IFERROR(__xludf.DUMMYFUNCTION("""COMPUTED_VALUE"""),"Khalanga,Punama,Jagatipur,Bhoor,Karkigaun (Jajarkot) 
Bijeswori,Kotjahari,Purtim Kanda (Rukum) Suikot,Bame,Devsthal,Kalagaun 
(Salyan) Rakam,Ghoreta,Agragaun,Bajedichaur (Surkhet)")</f>
        <v>Khalanga,Punama,Jagatipur,Bhoor,Karkigaun (Jajarkot) 
Bijeswori,Kotjahari,Purtim Kanda (Rukum) Suikot,Bame,Devsthal,Kalagaun 
(Salyan) Rakam,Ghoreta,Agragaun,Bajedichaur (Surkhet)</v>
      </c>
    </row>
    <row r="7">
      <c r="A7" s="2">
        <f>IFERROR(__xludf.DUMMYFUNCTION("""COMPUTED_VALUE"""),6.0)</f>
        <v>6</v>
      </c>
      <c r="B7" s="2" t="str">
        <f>IFERROR(__xludf.DUMMYFUNCTION("""COMPUTED_VALUE"""),"Bhotekoshi Khola HEP (SLC)")</f>
        <v>Bhotekoshi Khola HEP (SLC)</v>
      </c>
      <c r="C7" s="2">
        <f>IFERROR(__xludf.DUMMYFUNCTION("""COMPUTED_VALUE"""),33.5)</f>
        <v>33.5</v>
      </c>
      <c r="D7" s="2" t="str">
        <f>IFERROR(__xludf.DUMMYFUNCTION("""COMPUTED_VALUE"""),"Bhotekoshi (Rasuwa)")</f>
        <v>Bhotekoshi (Rasuwa)</v>
      </c>
      <c r="E7" s="2">
        <f>IFERROR(__xludf.DUMMYFUNCTION("""COMPUTED_VALUE"""),65756.0)</f>
        <v>65756</v>
      </c>
      <c r="F7" s="2" t="str">
        <f>IFERROR(__xludf.DUMMYFUNCTION("""COMPUTED_VALUE"""),"28o 10' 01""")</f>
        <v>28o 10' 01"</v>
      </c>
      <c r="G7" s="2" t="str">
        <f>IFERROR(__xludf.DUMMYFUNCTION("""COMPUTED_VALUE"""),"28o 10' 29""")</f>
        <v>28o 10' 29"</v>
      </c>
      <c r="H7" s="2" t="str">
        <f>IFERROR(__xludf.DUMMYFUNCTION("""COMPUTED_VALUE"""),"85o 20' 30""")</f>
        <v>85o 20' 30"</v>
      </c>
      <c r="I7" s="2" t="str">
        <f>IFERROR(__xludf.DUMMYFUNCTION("""COMPUTED_VALUE"""),"85o 21' 00""")</f>
        <v>85o 21' 00"</v>
      </c>
      <c r="J7" s="2" t="str">
        <f>IFERROR(__xludf.DUMMYFUNCTION("""COMPUTED_VALUE"""),"Chilime,Briddhim,Goljung (Rasuwa)")</f>
        <v>Chilime,Briddhim,Goljung (Rasuwa)</v>
      </c>
    </row>
    <row r="8">
      <c r="A8" s="2">
        <f>IFERROR(__xludf.DUMMYFUNCTION("""COMPUTED_VALUE"""),7.0)</f>
        <v>7</v>
      </c>
      <c r="B8" s="2" t="str">
        <f>IFERROR(__xludf.DUMMYFUNCTION("""COMPUTED_VALUE"""),"Bhuji Khola (SLC)")</f>
        <v>Bhuji Khola (SLC)</v>
      </c>
      <c r="C8" s="2">
        <f>IFERROR(__xludf.DUMMYFUNCTION("""COMPUTED_VALUE"""),4.7)</f>
        <v>4.7</v>
      </c>
      <c r="D8" s="2" t="str">
        <f>IFERROR(__xludf.DUMMYFUNCTION("""COMPUTED_VALUE"""),"Bhuji Khola")</f>
        <v>Bhuji Khola</v>
      </c>
      <c r="E8" s="2">
        <f>IFERROR(__xludf.DUMMYFUNCTION("""COMPUTED_VALUE"""),62793.0)</f>
        <v>62793</v>
      </c>
      <c r="F8" s="2" t="str">
        <f>IFERROR(__xludf.DUMMYFUNCTION("""COMPUTED_VALUE"""),"28o 20' 15""")</f>
        <v>28o 20' 15"</v>
      </c>
      <c r="G8" s="2" t="str">
        <f>IFERROR(__xludf.DUMMYFUNCTION("""COMPUTED_VALUE"""),"28o 21' 34""")</f>
        <v>28o 21' 34"</v>
      </c>
      <c r="H8" s="2" t="str">
        <f>IFERROR(__xludf.DUMMYFUNCTION("""COMPUTED_VALUE"""),"83o 07' 58""")</f>
        <v>83o 07' 58"</v>
      </c>
      <c r="I8" s="2" t="str">
        <f>IFERROR(__xludf.DUMMYFUNCTION("""COMPUTED_VALUE"""),"83o 10' 00""")</f>
        <v>83o 10' 00"</v>
      </c>
      <c r="J8" s="2" t="str">
        <f>IFERROR(__xludf.DUMMYFUNCTION("""COMPUTED_VALUE"""),"Adhikarichaur,Burtiwang (Baglung)")</f>
        <v>Adhikarichaur,Burtiwang (Baglung)</v>
      </c>
    </row>
    <row r="9">
      <c r="A9" s="2">
        <f>IFERROR(__xludf.DUMMYFUNCTION("""COMPUTED_VALUE"""),8.0)</f>
        <v>8</v>
      </c>
      <c r="B9" s="2" t="str">
        <f>IFERROR(__xludf.DUMMYFUNCTION("""COMPUTED_VALUE"""),"Bhurundi Khola Small HEP (SLC)")</f>
        <v>Bhurundi Khola Small HEP (SLC)</v>
      </c>
      <c r="C9" s="2">
        <f>IFERROR(__xludf.DUMMYFUNCTION("""COMPUTED_VALUE"""),4.73)</f>
        <v>4.73</v>
      </c>
      <c r="D9" s="2" t="str">
        <f>IFERROR(__xludf.DUMMYFUNCTION("""COMPUTED_VALUE"""),"Bhurundi Khola")</f>
        <v>Bhurundi Khola</v>
      </c>
      <c r="E9" s="2">
        <f>IFERROR(__xludf.DUMMYFUNCTION("""COMPUTED_VALUE"""),65122.0)</f>
        <v>65122</v>
      </c>
      <c r="F9" s="2" t="str">
        <f>IFERROR(__xludf.DUMMYFUNCTION("""COMPUTED_VALUE"""),"28o 18' 30""")</f>
        <v>28o 18' 30"</v>
      </c>
      <c r="G9" s="2" t="str">
        <f>IFERROR(__xludf.DUMMYFUNCTION("""COMPUTED_VALUE"""),"28o 19' 37""")</f>
        <v>28o 19' 37"</v>
      </c>
      <c r="H9" s="2" t="str">
        <f>IFERROR(__xludf.DUMMYFUNCTION("""COMPUTED_VALUE"""),"83o 45' 01""")</f>
        <v>83o 45' 01"</v>
      </c>
      <c r="I9" s="2" t="str">
        <f>IFERROR(__xludf.DUMMYFUNCTION("""COMPUTED_VALUE"""),"83o 46' 35""")</f>
        <v>83o 46' 35"</v>
      </c>
      <c r="J9" s="2" t="str">
        <f>IFERROR(__xludf.DUMMYFUNCTION("""COMPUTED_VALUE"""),"Dangsing (Kaski) Bachchha (Parbat)")</f>
        <v>Dangsing (Kaski) Bachchha (Parbat)</v>
      </c>
    </row>
    <row r="10">
      <c r="A10" s="2">
        <f>IFERROR(__xludf.DUMMYFUNCTION("""COMPUTED_VALUE"""),9.0)</f>
        <v>9</v>
      </c>
      <c r="B10" s="2" t="str">
        <f>IFERROR(__xludf.DUMMYFUNCTION("""COMPUTED_VALUE"""),"Bojyan Khola (SLC)")</f>
        <v>Bojyan Khola (SLC)</v>
      </c>
      <c r="C10" s="2">
        <f>IFERROR(__xludf.DUMMYFUNCTION("""COMPUTED_VALUE"""),2.0)</f>
        <v>2</v>
      </c>
      <c r="D10" s="2" t="str">
        <f>IFERROR(__xludf.DUMMYFUNCTION("""COMPUTED_VALUE"""),"Bojyan")</f>
        <v>Bojyan</v>
      </c>
      <c r="E10" s="2">
        <f>IFERROR(__xludf.DUMMYFUNCTION("""COMPUTED_VALUE"""),62793.0)</f>
        <v>62793</v>
      </c>
      <c r="F10" s="2" t="str">
        <f>IFERROR(__xludf.DUMMYFUNCTION("""COMPUTED_VALUE"""),"28o 15' 00""")</f>
        <v>28o 15' 00"</v>
      </c>
      <c r="G10" s="2" t="str">
        <f>IFERROR(__xludf.DUMMYFUNCTION("""COMPUTED_VALUE"""),"28o 16' 31""")</f>
        <v>28o 16' 31"</v>
      </c>
      <c r="H10" s="2" t="str">
        <f>IFERROR(__xludf.DUMMYFUNCTION("""COMPUTED_VALUE"""),"82o 45' 23""")</f>
        <v>82o 45' 23"</v>
      </c>
      <c r="I10" s="2" t="str">
        <f>IFERROR(__xludf.DUMMYFUNCTION("""COMPUTED_VALUE"""),"82o 48' 08""")</f>
        <v>82o 48' 08"</v>
      </c>
      <c r="J10" s="2" t="str">
        <f>IFERROR(__xludf.DUMMYFUNCTION("""COMPUTED_VALUE"""),"(Rolpa)")</f>
        <v>(Rolpa)</v>
      </c>
    </row>
    <row r="11">
      <c r="A11" s="2">
        <f>IFERROR(__xludf.DUMMYFUNCTION("""COMPUTED_VALUE"""),10.0)</f>
        <v>10</v>
      </c>
      <c r="B11" s="2" t="str">
        <f>IFERROR(__xludf.DUMMYFUNCTION("""COMPUTED_VALUE"""),"Chandravati Khola (SLC)")</f>
        <v>Chandravati Khola (SLC)</v>
      </c>
      <c r="C11" s="2">
        <f>IFERROR(__xludf.DUMMYFUNCTION("""COMPUTED_VALUE"""),4.0)</f>
        <v>4</v>
      </c>
      <c r="D11" s="2" t="str">
        <f>IFERROR(__xludf.DUMMYFUNCTION("""COMPUTED_VALUE"""),"Chandrawati")</f>
        <v>Chandrawati</v>
      </c>
      <c r="E11" s="2">
        <f>IFERROR(__xludf.DUMMYFUNCTION("""COMPUTED_VALUE"""),63786.0)</f>
        <v>63786</v>
      </c>
      <c r="F11" s="2" t="str">
        <f>IFERROR(__xludf.DUMMYFUNCTION("""COMPUTED_VALUE"""),"27o 54' 32""")</f>
        <v>27o 54' 32"</v>
      </c>
      <c r="G11" s="2" t="str">
        <f>IFERROR(__xludf.DUMMYFUNCTION("""COMPUTED_VALUE"""),"27o 55' 50""")</f>
        <v>27o 55' 50"</v>
      </c>
      <c r="H11" s="2" t="str">
        <f>IFERROR(__xludf.DUMMYFUNCTION("""COMPUTED_VALUE"""),"85o 24' 45""")</f>
        <v>85o 24' 45"</v>
      </c>
      <c r="I11" s="2" t="str">
        <f>IFERROR(__xludf.DUMMYFUNCTION("""COMPUTED_VALUE"""),"85o 27' 11""")</f>
        <v>85o 27' 11"</v>
      </c>
      <c r="J11" s="2" t="str">
        <f>IFERROR(__xludf.DUMMYFUNCTION("""COMPUTED_VALUE"""),"Beteni,Rautbesi,Gaunkharka (Nuwakot)")</f>
        <v>Beteni,Rautbesi,Gaunkharka (Nuwakot)</v>
      </c>
    </row>
    <row r="12">
      <c r="A12" s="2">
        <f>IFERROR(__xludf.DUMMYFUNCTION("""COMPUTED_VALUE"""),11.0)</f>
        <v>11</v>
      </c>
      <c r="B12" s="2" t="str">
        <f>IFERROR(__xludf.DUMMYFUNCTION("""COMPUTED_VALUE"""),"Chepe Khola (SLC)")</f>
        <v>Chepe Khola (SLC)</v>
      </c>
      <c r="C12" s="2">
        <f>IFERROR(__xludf.DUMMYFUNCTION("""COMPUTED_VALUE"""),8.6)</f>
        <v>8.6</v>
      </c>
      <c r="D12" s="2" t="str">
        <f>IFERROR(__xludf.DUMMYFUNCTION("""COMPUTED_VALUE"""),"Chepe Khola")</f>
        <v>Chepe Khola</v>
      </c>
      <c r="E12" s="2">
        <f>IFERROR(__xludf.DUMMYFUNCTION("""COMPUTED_VALUE"""),62793.0)</f>
        <v>62793</v>
      </c>
      <c r="F12" s="2" t="str">
        <f>IFERROR(__xludf.DUMMYFUNCTION("""COMPUTED_VALUE"""),"28o 03' 43""")</f>
        <v>28o 03' 43"</v>
      </c>
      <c r="G12" s="2" t="str">
        <f>IFERROR(__xludf.DUMMYFUNCTION("""COMPUTED_VALUE"""),"28o 05' 26""")</f>
        <v>28o 05' 26"</v>
      </c>
      <c r="H12" s="2" t="str">
        <f>IFERROR(__xludf.DUMMYFUNCTION("""COMPUTED_VALUE"""),"84o 29' 00""")</f>
        <v>84o 29' 00"</v>
      </c>
      <c r="I12" s="2" t="str">
        <f>IFERROR(__xludf.DUMMYFUNCTION("""COMPUTED_VALUE"""),"84o 31' 05""")</f>
        <v>84o 31' 05"</v>
      </c>
      <c r="J12" s="2" t="str">
        <f>IFERROR(__xludf.DUMMYFUNCTION("""COMPUTED_VALUE"""),"(Gorkha)")</f>
        <v>(Gorkha)</v>
      </c>
    </row>
    <row r="13">
      <c r="A13" s="2">
        <f>IFERROR(__xludf.DUMMYFUNCTION("""COMPUTED_VALUE"""),12.0)</f>
        <v>12</v>
      </c>
      <c r="B13" s="2" t="str">
        <f>IFERROR(__xludf.DUMMYFUNCTION("""COMPUTED_VALUE"""),"Chhaldi Khola (SLC)")</f>
        <v>Chhaldi Khola (SLC)</v>
      </c>
      <c r="C13" s="2">
        <f>IFERROR(__xludf.DUMMYFUNCTION("""COMPUTED_VALUE"""),4.96)</f>
        <v>4.96</v>
      </c>
      <c r="D13" s="2" t="str">
        <f>IFERROR(__xludf.DUMMYFUNCTION("""COMPUTED_VALUE"""),"Chhaldi")</f>
        <v>Chhaldi</v>
      </c>
      <c r="E13" s="2">
        <f>IFERROR(__xludf.DUMMYFUNCTION("""COMPUTED_VALUE"""),62793.0)</f>
        <v>62793</v>
      </c>
      <c r="F13" s="2" t="str">
        <f>IFERROR(__xludf.DUMMYFUNCTION("""COMPUTED_VALUE"""),"28o 06' 00""")</f>
        <v>28o 06' 00"</v>
      </c>
      <c r="G13" s="2" t="str">
        <f>IFERROR(__xludf.DUMMYFUNCTION("""COMPUTED_VALUE"""),"28o 07' 00""")</f>
        <v>28o 07' 00"</v>
      </c>
      <c r="H13" s="2" t="str">
        <f>IFERROR(__xludf.DUMMYFUNCTION("""COMPUTED_VALUE"""),"83o 14' 11""")</f>
        <v>83o 14' 11"</v>
      </c>
      <c r="I13" s="2" t="str">
        <f>IFERROR(__xludf.DUMMYFUNCTION("""COMPUTED_VALUE"""),"83o 16' 00""")</f>
        <v>83o 16' 00"</v>
      </c>
      <c r="J13" s="2" t="str">
        <f>IFERROR(__xludf.DUMMYFUNCTION("""COMPUTED_VALUE"""),"Hastichaur (Gulmi)")</f>
        <v>Hastichaur (Gulmi)</v>
      </c>
    </row>
    <row r="14">
      <c r="A14" s="2">
        <f>IFERROR(__xludf.DUMMYFUNCTION("""COMPUTED_VALUE"""),13.0)</f>
        <v>13</v>
      </c>
      <c r="B14" s="2" t="str">
        <f>IFERROR(__xludf.DUMMYFUNCTION("""COMPUTED_VALUE"""),"Chingad Khola (SLC)")</f>
        <v>Chingad Khola (SLC)</v>
      </c>
      <c r="C14" s="2">
        <f>IFERROR(__xludf.DUMMYFUNCTION("""COMPUTED_VALUE"""),4.8)</f>
        <v>4.8</v>
      </c>
      <c r="D14" s="2" t="str">
        <f>IFERROR(__xludf.DUMMYFUNCTION("""COMPUTED_VALUE"""),"Chingad")</f>
        <v>Chingad</v>
      </c>
      <c r="E14" s="2"/>
      <c r="F14" s="2" t="str">
        <f>IFERROR(__xludf.DUMMYFUNCTION("""COMPUTED_VALUE"""),"28o 33' 09""")</f>
        <v>28o 33' 09"</v>
      </c>
      <c r="G14" s="2" t="str">
        <f>IFERROR(__xludf.DUMMYFUNCTION("""COMPUTED_VALUE"""),"28o 34' 38""")</f>
        <v>28o 34' 38"</v>
      </c>
      <c r="H14" s="2" t="str">
        <f>IFERROR(__xludf.DUMMYFUNCTION("""COMPUTED_VALUE"""),"81o 44' 07""")</f>
        <v>81o 44' 07"</v>
      </c>
      <c r="I14" s="2" t="str">
        <f>IFERROR(__xludf.DUMMYFUNCTION("""COMPUTED_VALUE"""),"81o 45' 57""")</f>
        <v>81o 45' 57"</v>
      </c>
      <c r="J14" s="2" t="str">
        <f>IFERROR(__xludf.DUMMYFUNCTION("""COMPUTED_VALUE"""),"(Surkhet)")</f>
        <v>(Surkhet)</v>
      </c>
    </row>
    <row r="15">
      <c r="A15" s="2">
        <f>IFERROR(__xludf.DUMMYFUNCTION("""COMPUTED_VALUE"""),14.0)</f>
        <v>14</v>
      </c>
      <c r="B15" s="2" t="str">
        <f>IFERROR(__xludf.DUMMYFUNCTION("""COMPUTED_VALUE"""),"Chiuragad (SLC)")</f>
        <v>Chiuragad (SLC)</v>
      </c>
      <c r="C15" s="2">
        <f>IFERROR(__xludf.DUMMYFUNCTION("""COMPUTED_VALUE"""),2.8)</f>
        <v>2.8</v>
      </c>
      <c r="D15" s="2" t="str">
        <f>IFERROR(__xludf.DUMMYFUNCTION("""COMPUTED_VALUE"""),"Chiura Gad")</f>
        <v>Chiura Gad</v>
      </c>
      <c r="E15" s="2"/>
      <c r="F15" s="2" t="str">
        <f>IFERROR(__xludf.DUMMYFUNCTION("""COMPUTED_VALUE"""),"28o 23' 24""")</f>
        <v>28o 23' 24"</v>
      </c>
      <c r="G15" s="2" t="str">
        <f>IFERROR(__xludf.DUMMYFUNCTION("""COMPUTED_VALUE"""),"28o 24' 28""")</f>
        <v>28o 24' 28"</v>
      </c>
      <c r="H15" s="2" t="str">
        <f>IFERROR(__xludf.DUMMYFUNCTION("""COMPUTED_VALUE"""),"82o 28' 46""")</f>
        <v>82o 28' 46"</v>
      </c>
      <c r="I15" s="2" t="str">
        <f>IFERROR(__xludf.DUMMYFUNCTION("""COMPUTED_VALUE"""),"82o 30' 50""")</f>
        <v>82o 30' 50"</v>
      </c>
      <c r="J15" s="2" t="str">
        <f>IFERROR(__xludf.DUMMYFUNCTION("""COMPUTED_VALUE"""),"(Rolpa)")</f>
        <v>(Rolpa)</v>
      </c>
    </row>
    <row r="16">
      <c r="A16" s="2">
        <f>IFERROR(__xludf.DUMMYFUNCTION("""COMPUTED_VALUE"""),15.0)</f>
        <v>15</v>
      </c>
      <c r="B16" s="2" t="str">
        <f>IFERROR(__xludf.DUMMYFUNCTION("""COMPUTED_VALUE"""),"Chyadu Khola (SLC)")</f>
        <v>Chyadu Khola (SLC)</v>
      </c>
      <c r="C16" s="2">
        <f>IFERROR(__xludf.DUMMYFUNCTION("""COMPUTED_VALUE"""),2.0)</f>
        <v>2</v>
      </c>
      <c r="D16" s="2" t="str">
        <f>IFERROR(__xludf.DUMMYFUNCTION("""COMPUTED_VALUE"""),"Chyadu Khola")</f>
        <v>Chyadu Khola</v>
      </c>
      <c r="E16" s="2">
        <f>IFERROR(__xludf.DUMMYFUNCTION("""COMPUTED_VALUE"""),62793.0)</f>
        <v>62793</v>
      </c>
      <c r="F16" s="2" t="str">
        <f>IFERROR(__xludf.DUMMYFUNCTION("""COMPUTED_VALUE"""),"27o 56' 10""")</f>
        <v>27o 56' 10"</v>
      </c>
      <c r="G16" s="2" t="str">
        <f>IFERROR(__xludf.DUMMYFUNCTION("""COMPUTED_VALUE"""),"27o 57' 47""")</f>
        <v>27o 57' 47"</v>
      </c>
      <c r="H16" s="2" t="str">
        <f>IFERROR(__xludf.DUMMYFUNCTION("""COMPUTED_VALUE"""),"86o 11' 11""")</f>
        <v>86o 11' 11"</v>
      </c>
      <c r="I16" s="2" t="str">
        <f>IFERROR(__xludf.DUMMYFUNCTION("""COMPUTED_VALUE"""),"86o 12' 27""")</f>
        <v>86o 12' 27"</v>
      </c>
      <c r="J16" s="2" t="str">
        <f>IFERROR(__xludf.DUMMYFUNCTION("""COMPUTED_VALUE"""),"(Dolakha)")</f>
        <v>(Dolakha)</v>
      </c>
    </row>
    <row r="17">
      <c r="A17" s="2">
        <f>IFERROR(__xludf.DUMMYFUNCTION("""COMPUTED_VALUE"""),16.0)</f>
        <v>16</v>
      </c>
      <c r="B17" s="2" t="str">
        <f>IFERROR(__xludf.DUMMYFUNCTION("""COMPUTED_VALUE"""),"Daraudi/Marsyangdi PRoR Hydropower Project (SLC)")</f>
        <v>Daraudi/Marsyangdi PRoR Hydropower Project (SLC)</v>
      </c>
      <c r="C17" s="2">
        <f>IFERROR(__xludf.DUMMYFUNCTION("""COMPUTED_VALUE"""),14.9)</f>
        <v>14.9</v>
      </c>
      <c r="D17" s="2" t="str">
        <f>IFERROR(__xludf.DUMMYFUNCTION("""COMPUTED_VALUE"""),"Daraudi")</f>
        <v>Daraudi</v>
      </c>
      <c r="E17" s="2">
        <f>IFERROR(__xludf.DUMMYFUNCTION("""COMPUTED_VALUE"""),66872.0)</f>
        <v>66872</v>
      </c>
      <c r="F17" s="2" t="str">
        <f>IFERROR(__xludf.DUMMYFUNCTION("""COMPUTED_VALUE"""),"27o 51' 21""")</f>
        <v>27o 51' 21"</v>
      </c>
      <c r="G17" s="2" t="str">
        <f>IFERROR(__xludf.DUMMYFUNCTION("""COMPUTED_VALUE"""),"27o 55' 09""")</f>
        <v>27o 55' 09"</v>
      </c>
      <c r="H17" s="2" t="str">
        <f>IFERROR(__xludf.DUMMYFUNCTION("""COMPUTED_VALUE"""),"84o 32' 30""")</f>
        <v>84o 32' 30"</v>
      </c>
      <c r="I17" s="2" t="str">
        <f>IFERROR(__xludf.DUMMYFUNCTION("""COMPUTED_VALUE"""),"84o 35' 00""")</f>
        <v>84o 35' 00"</v>
      </c>
      <c r="J17" s="2" t="str">
        <f>IFERROR(__xludf.DUMMYFUNCTION("""COMPUTED_VALUE"""),"Deurali,Manakamana,Bakrang (Gorkha)")</f>
        <v>Deurali,Manakamana,Bakrang (Gorkha)</v>
      </c>
    </row>
    <row r="18">
      <c r="A18" s="2">
        <f>IFERROR(__xludf.DUMMYFUNCTION("""COMPUTED_VALUE"""),17.0)</f>
        <v>17</v>
      </c>
      <c r="B18" s="2" t="str">
        <f>IFERROR(__xludf.DUMMYFUNCTION("""COMPUTED_VALUE"""),"Dodhare Khola HEP (SLC)")</f>
        <v>Dodhare Khola HEP (SLC)</v>
      </c>
      <c r="C18" s="2">
        <f>IFERROR(__xludf.DUMMYFUNCTION("""COMPUTED_VALUE"""),2.5)</f>
        <v>2.5</v>
      </c>
      <c r="D18" s="2" t="str">
        <f>IFERROR(__xludf.DUMMYFUNCTION("""COMPUTED_VALUE"""),"Dodhare")</f>
        <v>Dodhare</v>
      </c>
      <c r="E18" s="2">
        <f>IFERROR(__xludf.DUMMYFUNCTION("""COMPUTED_VALUE"""),65756.0)</f>
        <v>65756</v>
      </c>
      <c r="F18" s="2" t="str">
        <f>IFERROR(__xludf.DUMMYFUNCTION("""COMPUTED_VALUE"""),"27o 33' 27""")</f>
        <v>27o 33' 27"</v>
      </c>
      <c r="G18" s="2" t="str">
        <f>IFERROR(__xludf.DUMMYFUNCTION("""COMPUTED_VALUE"""),"27o 34' 34""")</f>
        <v>27o 34' 34"</v>
      </c>
      <c r="H18" s="2" t="str">
        <f>IFERROR(__xludf.DUMMYFUNCTION("""COMPUTED_VALUE"""),"85o 12' 48""")</f>
        <v>85o 12' 48"</v>
      </c>
      <c r="I18" s="2" t="str">
        <f>IFERROR(__xludf.DUMMYFUNCTION("""COMPUTED_VALUE"""),"85o 13' 45""")</f>
        <v>85o 13' 45"</v>
      </c>
      <c r="J18" s="2" t="str">
        <f>IFERROR(__xludf.DUMMYFUNCTION("""COMPUTED_VALUE"""),"Sisneri Mahadevsthan (Makawanpur)")</f>
        <v>Sisneri Mahadevsthan (Makawanpur)</v>
      </c>
    </row>
    <row r="19">
      <c r="A19" s="2">
        <f>IFERROR(__xludf.DUMMYFUNCTION("""COMPUTED_VALUE"""),18.0)</f>
        <v>18</v>
      </c>
      <c r="B19" s="2" t="str">
        <f>IFERROR(__xludf.DUMMYFUNCTION("""COMPUTED_VALUE"""),"Dudh Khola Dordi HEP (SLC)")</f>
        <v>Dudh Khola Dordi HEP (SLC)</v>
      </c>
      <c r="C19" s="2">
        <f>IFERROR(__xludf.DUMMYFUNCTION("""COMPUTED_VALUE"""),5.0)</f>
        <v>5</v>
      </c>
      <c r="D19" s="2" t="str">
        <f>IFERROR(__xludf.DUMMYFUNCTION("""COMPUTED_VALUE"""),"Dudhkhola (Dordi)")</f>
        <v>Dudhkhola (Dordi)</v>
      </c>
      <c r="E19" s="2">
        <f>IFERROR(__xludf.DUMMYFUNCTION("""COMPUTED_VALUE"""),64374.0)</f>
        <v>64374</v>
      </c>
      <c r="F19" s="2" t="str">
        <f>IFERROR(__xludf.DUMMYFUNCTION("""COMPUTED_VALUE"""),"28o 22' 01""")</f>
        <v>28o 22' 01"</v>
      </c>
      <c r="G19" s="2" t="str">
        <f>IFERROR(__xludf.DUMMYFUNCTION("""COMPUTED_VALUE"""),"28o 23' 05""")</f>
        <v>28o 23' 05"</v>
      </c>
      <c r="H19" s="2" t="str">
        <f>IFERROR(__xludf.DUMMYFUNCTION("""COMPUTED_VALUE"""),"84o 36' 00""")</f>
        <v>84o 36' 00"</v>
      </c>
      <c r="I19" s="2" t="str">
        <f>IFERROR(__xludf.DUMMYFUNCTION("""COMPUTED_VALUE"""),"84o 36' 46""")</f>
        <v>84o 36' 46"</v>
      </c>
      <c r="J19" s="2" t="str">
        <f>IFERROR(__xludf.DUMMYFUNCTION("""COMPUTED_VALUE"""),"Faleni (Lamjung)")</f>
        <v>Faleni (Lamjung)</v>
      </c>
    </row>
    <row r="20">
      <c r="A20" s="2">
        <f>IFERROR(__xludf.DUMMYFUNCTION("""COMPUTED_VALUE"""),19.0)</f>
        <v>19</v>
      </c>
      <c r="B20" s="2" t="str">
        <f>IFERROR(__xludf.DUMMYFUNCTION("""COMPUTED_VALUE"""),"Dudh Khola Small HPP (SLC)")</f>
        <v>Dudh Khola Small HPP (SLC)</v>
      </c>
      <c r="C20" s="2">
        <f>IFERROR(__xludf.DUMMYFUNCTION("""COMPUTED_VALUE"""),5.0)</f>
        <v>5</v>
      </c>
      <c r="D20" s="2" t="str">
        <f>IFERROR(__xludf.DUMMYFUNCTION("""COMPUTED_VALUE"""),"Dudhkhola (Dordi)")</f>
        <v>Dudhkhola (Dordi)</v>
      </c>
      <c r="E20" s="2">
        <f>IFERROR(__xludf.DUMMYFUNCTION("""COMPUTED_VALUE"""),64532.0)</f>
        <v>64532</v>
      </c>
      <c r="F20" s="2" t="str">
        <f>IFERROR(__xludf.DUMMYFUNCTION("""COMPUTED_VALUE"""),"28o 21' 25""")</f>
        <v>28o 21' 25"</v>
      </c>
      <c r="G20" s="2" t="str">
        <f>IFERROR(__xludf.DUMMYFUNCTION("""COMPUTED_VALUE"""),"28o 22' 22""")</f>
        <v>28o 22' 22"</v>
      </c>
      <c r="H20" s="2" t="str">
        <f>IFERROR(__xludf.DUMMYFUNCTION("""COMPUTED_VALUE"""),"84o 36' 46""")</f>
        <v>84o 36' 46"</v>
      </c>
      <c r="I20" s="2" t="str">
        <f>IFERROR(__xludf.DUMMYFUNCTION("""COMPUTED_VALUE"""),"84o 38' 32""")</f>
        <v>84o 38' 32"</v>
      </c>
      <c r="J20" s="2" t="str">
        <f>IFERROR(__xludf.DUMMYFUNCTION("""COMPUTED_VALUE"""),"Dhodeni (Lamjung)")</f>
        <v>Dhodeni (Lamjung)</v>
      </c>
    </row>
    <row r="21">
      <c r="A21" s="2">
        <f>IFERROR(__xludf.DUMMYFUNCTION("""COMPUTED_VALUE"""),20.0)</f>
        <v>20</v>
      </c>
      <c r="B21" s="2" t="str">
        <f>IFERROR(__xludf.DUMMYFUNCTION("""COMPUTED_VALUE"""),"Gaddi Gad HPP (SLC)")</f>
        <v>Gaddi Gad HPP (SLC)</v>
      </c>
      <c r="C21" s="2">
        <f>IFERROR(__xludf.DUMMYFUNCTION("""COMPUTED_VALUE"""),4.0)</f>
        <v>4</v>
      </c>
      <c r="D21" s="2" t="str">
        <f>IFERROR(__xludf.DUMMYFUNCTION("""COMPUTED_VALUE"""),"Gaddi Gad")</f>
        <v>Gaddi Gad</v>
      </c>
      <c r="E21" s="2">
        <f>IFERROR(__xludf.DUMMYFUNCTION("""COMPUTED_VALUE"""),62793.0)</f>
        <v>62793</v>
      </c>
      <c r="F21" s="2" t="str">
        <f>IFERROR(__xludf.DUMMYFUNCTION("""COMPUTED_VALUE"""),"29o 13' 30""")</f>
        <v>29o 13' 30"</v>
      </c>
      <c r="G21" s="2" t="str">
        <f>IFERROR(__xludf.DUMMYFUNCTION("""COMPUTED_VALUE"""),"29o 15' 20""")</f>
        <v>29o 15' 20"</v>
      </c>
      <c r="H21" s="2" t="str">
        <f>IFERROR(__xludf.DUMMYFUNCTION("""COMPUTED_VALUE"""),"81o 01' 54""")</f>
        <v>81o 01' 54"</v>
      </c>
      <c r="I21" s="2" t="str">
        <f>IFERROR(__xludf.DUMMYFUNCTION("""COMPUTED_VALUE"""),"81o 03' 24""")</f>
        <v>81o 03' 24"</v>
      </c>
      <c r="J21" s="2" t="str">
        <f>IFERROR(__xludf.DUMMYFUNCTION("""COMPUTED_VALUE"""),"Latamadau,Sanagau (Doti)")</f>
        <v>Latamadau,Sanagau (Doti)</v>
      </c>
    </row>
    <row r="22">
      <c r="A22" s="2">
        <f>IFERROR(__xludf.DUMMYFUNCTION("""COMPUTED_VALUE"""),21.0)</f>
        <v>21</v>
      </c>
      <c r="B22" s="2" t="str">
        <f>IFERROR(__xludf.DUMMYFUNCTION("""COMPUTED_VALUE"""),"Galkot Daram HEP (SLC)")</f>
        <v>Galkot Daram HEP (SLC)</v>
      </c>
      <c r="C22" s="2">
        <f>IFERROR(__xludf.DUMMYFUNCTION("""COMPUTED_VALUE"""),5.0)</f>
        <v>5</v>
      </c>
      <c r="D22" s="2" t="str">
        <f>IFERROR(__xludf.DUMMYFUNCTION("""COMPUTED_VALUE"""),"Daram")</f>
        <v>Daram</v>
      </c>
      <c r="E22" s="2">
        <f>IFERROR(__xludf.DUMMYFUNCTION("""COMPUTED_VALUE"""),64088.0)</f>
        <v>64088</v>
      </c>
      <c r="F22" s="2" t="str">
        <f>IFERROR(__xludf.DUMMYFUNCTION("""COMPUTED_VALUE"""),"28o 12' 15""")</f>
        <v>28o 12' 15"</v>
      </c>
      <c r="G22" s="2" t="str">
        <f>IFERROR(__xludf.DUMMYFUNCTION("""COMPUTED_VALUE"""),"28o 13' 15""")</f>
        <v>28o 13' 15"</v>
      </c>
      <c r="H22" s="2" t="str">
        <f>IFERROR(__xludf.DUMMYFUNCTION("""COMPUTED_VALUE"""),"83o 23' 41""")</f>
        <v>83o 23' 41"</v>
      </c>
      <c r="I22" s="2" t="str">
        <f>IFERROR(__xludf.DUMMYFUNCTION("""COMPUTED_VALUE"""),"83o 25' 10""")</f>
        <v>83o 25' 10"</v>
      </c>
      <c r="J22" s="2" t="str">
        <f>IFERROR(__xludf.DUMMYFUNCTION("""COMPUTED_VALUE"""),"Harichaur,Hatiya,Kandebas (Baglung)")</f>
        <v>Harichaur,Hatiya,Kandebas (Baglung)</v>
      </c>
    </row>
    <row r="23">
      <c r="A23" s="2">
        <f>IFERROR(__xludf.DUMMYFUNCTION("""COMPUTED_VALUE"""),22.0)</f>
        <v>22</v>
      </c>
      <c r="B23" s="2" t="str">
        <f>IFERROR(__xludf.DUMMYFUNCTION("""COMPUTED_VALUE"""),"Gamari Gad HEP (SLC)")</f>
        <v>Gamari Gad HEP (SLC)</v>
      </c>
      <c r="C23" s="2">
        <f>IFERROR(__xludf.DUMMYFUNCTION("""COMPUTED_VALUE"""),4.36)</f>
        <v>4.36</v>
      </c>
      <c r="D23" s="2" t="str">
        <f>IFERROR(__xludf.DUMMYFUNCTION("""COMPUTED_VALUE"""),"Gamari Gad")</f>
        <v>Gamari Gad</v>
      </c>
      <c r="E23" s="2">
        <f>IFERROR(__xludf.DUMMYFUNCTION("""COMPUTED_VALUE"""),64360.0)</f>
        <v>64360</v>
      </c>
      <c r="F23" s="2" t="str">
        <f>IFERROR(__xludf.DUMMYFUNCTION("""COMPUTED_VALUE"""),"28o 39' 48""")</f>
        <v>28o 39' 48"</v>
      </c>
      <c r="G23" s="2" t="str">
        <f>IFERROR(__xludf.DUMMYFUNCTION("""COMPUTED_VALUE"""),"28o 41' 33""")</f>
        <v>28o 41' 33"</v>
      </c>
      <c r="H23" s="2" t="str">
        <f>IFERROR(__xludf.DUMMYFUNCTION("""COMPUTED_VALUE"""),"82o 46' 57""")</f>
        <v>82o 46' 57"</v>
      </c>
      <c r="I23" s="2" t="str">
        <f>IFERROR(__xludf.DUMMYFUNCTION("""COMPUTED_VALUE"""),"82o 48' 55""")</f>
        <v>82o 48' 55"</v>
      </c>
      <c r="J23" s="2" t="str">
        <f>IFERROR(__xludf.DUMMYFUNCTION("""COMPUTED_VALUE"""),"Jang,Ranmamekot (Rukum)")</f>
        <v>Jang,Ranmamekot (Rukum)</v>
      </c>
    </row>
    <row r="24">
      <c r="A24" s="2">
        <f>IFERROR(__xludf.DUMMYFUNCTION("""COMPUTED_VALUE"""),23.0)</f>
        <v>23</v>
      </c>
      <c r="B24" s="2" t="str">
        <f>IFERROR(__xludf.DUMMYFUNCTION("""COMPUTED_VALUE"""),"Gapuche Madi Nadi HEP (SLC)")</f>
        <v>Gapuche Madi Nadi HEP (SLC)</v>
      </c>
      <c r="C24" s="2">
        <f>IFERROR(__xludf.DUMMYFUNCTION("""COMPUTED_VALUE"""),24.0)</f>
        <v>24</v>
      </c>
      <c r="D24" s="2" t="str">
        <f>IFERROR(__xludf.DUMMYFUNCTION("""COMPUTED_VALUE"""),"Madi Khola")</f>
        <v>Madi Khola</v>
      </c>
      <c r="E24" s="2">
        <f>IFERROR(__xludf.DUMMYFUNCTION("""COMPUTED_VALUE"""),65776.0)</f>
        <v>65776</v>
      </c>
      <c r="F24" s="2" t="str">
        <f>IFERROR(__xludf.DUMMYFUNCTION("""COMPUTED_VALUE"""),"28o 25' 30""")</f>
        <v>28o 25' 30"</v>
      </c>
      <c r="G24" s="2" t="str">
        <f>IFERROR(__xludf.DUMMYFUNCTION("""COMPUTED_VALUE"""),"28o 26' 40""")</f>
        <v>28o 26' 40"</v>
      </c>
      <c r="H24" s="2" t="str">
        <f>IFERROR(__xludf.DUMMYFUNCTION("""COMPUTED_VALUE"""),"84o 06' 45""")</f>
        <v>84o 06' 45"</v>
      </c>
      <c r="I24" s="2" t="str">
        <f>IFERROR(__xludf.DUMMYFUNCTION("""COMPUTED_VALUE"""),"84o 07' 15""")</f>
        <v>84o 07' 15"</v>
      </c>
      <c r="J24" s="2" t="str">
        <f>IFERROR(__xludf.DUMMYFUNCTION("""COMPUTED_VALUE"""),"Namarjung,Parche (Kaski)")</f>
        <v>Namarjung,Parche (Kaski)</v>
      </c>
    </row>
    <row r="25">
      <c r="A25" s="2">
        <f>IFERROR(__xludf.DUMMYFUNCTION("""COMPUTED_VALUE"""),24.0)</f>
        <v>24</v>
      </c>
      <c r="B25" s="2" t="str">
        <f>IFERROR(__xludf.DUMMYFUNCTION("""COMPUTED_VALUE"""),"Ghatte Khola Small HEP (SLC)")</f>
        <v>Ghatte Khola Small HEP (SLC)</v>
      </c>
      <c r="C25" s="2">
        <f>IFERROR(__xludf.DUMMYFUNCTION("""COMPUTED_VALUE"""),4.8)</f>
        <v>4.8</v>
      </c>
      <c r="D25" s="2" t="str">
        <f>IFERROR(__xludf.DUMMYFUNCTION("""COMPUTED_VALUE"""),"Ghatte Khola (Rasuwa)")</f>
        <v>Ghatte Khola (Rasuwa)</v>
      </c>
      <c r="E25" s="2">
        <f>IFERROR(__xludf.DUMMYFUNCTION("""COMPUTED_VALUE"""),65191.0)</f>
        <v>65191</v>
      </c>
      <c r="F25" s="2" t="str">
        <f>IFERROR(__xludf.DUMMYFUNCTION("""COMPUTED_VALUE"""),"28o 15' 19""")</f>
        <v>28o 15' 19"</v>
      </c>
      <c r="G25" s="2" t="str">
        <f>IFERROR(__xludf.DUMMYFUNCTION("""COMPUTED_VALUE"""),"28o 16' 00""")</f>
        <v>28o 16' 00"</v>
      </c>
      <c r="H25" s="2" t="str">
        <f>IFERROR(__xludf.DUMMYFUNCTION("""COMPUTED_VALUE"""),"85o 22' 39""")</f>
        <v>85o 22' 39"</v>
      </c>
      <c r="I25" s="2" t="str">
        <f>IFERROR(__xludf.DUMMYFUNCTION("""COMPUTED_VALUE"""),"85o 24' 05""")</f>
        <v>85o 24' 05"</v>
      </c>
      <c r="J25" s="2" t="str">
        <f>IFERROR(__xludf.DUMMYFUNCTION("""COMPUTED_VALUE"""),"Timure (Rasuwa)")</f>
        <v>Timure (Rasuwa)</v>
      </c>
    </row>
    <row r="26">
      <c r="A26" s="2">
        <f>IFERROR(__xludf.DUMMYFUNCTION("""COMPUTED_VALUE"""),25.0)</f>
        <v>25</v>
      </c>
      <c r="B26" s="2" t="str">
        <f>IFERROR(__xludf.DUMMYFUNCTION("""COMPUTED_VALUE"""),"Gupche Khola HEP (SLC)")</f>
        <v>Gupche Khola HEP (SLC)</v>
      </c>
      <c r="C26" s="2">
        <f>IFERROR(__xludf.DUMMYFUNCTION("""COMPUTED_VALUE"""),7.5)</f>
        <v>7.5</v>
      </c>
      <c r="D26" s="2" t="str">
        <f>IFERROR(__xludf.DUMMYFUNCTION("""COMPUTED_VALUE"""),"Gupche")</f>
        <v>Gupche</v>
      </c>
      <c r="E26" s="2">
        <f>IFERROR(__xludf.DUMMYFUNCTION("""COMPUTED_VALUE"""),65533.0)</f>
        <v>65533</v>
      </c>
      <c r="F26" s="2" t="str">
        <f>IFERROR(__xludf.DUMMYFUNCTION("""COMPUTED_VALUE"""),"28o 08' 08""")</f>
        <v>28o 08' 08"</v>
      </c>
      <c r="G26" s="2" t="str">
        <f>IFERROR(__xludf.DUMMYFUNCTION("""COMPUTED_VALUE"""),"28o 09' 11""")</f>
        <v>28o 09' 11"</v>
      </c>
      <c r="H26" s="2" t="str">
        <f>IFERROR(__xludf.DUMMYFUNCTION("""COMPUTED_VALUE"""),"85o 21' 58""")</f>
        <v>85o 21' 58"</v>
      </c>
      <c r="I26" s="2" t="str">
        <f>IFERROR(__xludf.DUMMYFUNCTION("""COMPUTED_VALUE"""),"85o 22' 42""")</f>
        <v>85o 22' 42"</v>
      </c>
      <c r="J26" s="2" t="str">
        <f>IFERROR(__xludf.DUMMYFUNCTION("""COMPUTED_VALUE"""),"Briddhim,Syafru (Rasuwa)")</f>
        <v>Briddhim,Syafru (Rasuwa)</v>
      </c>
    </row>
    <row r="27">
      <c r="A27" s="2">
        <f>IFERROR(__xludf.DUMMYFUNCTION("""COMPUTED_VALUE"""),26.0)</f>
        <v>26</v>
      </c>
      <c r="B27" s="2" t="str">
        <f>IFERROR(__xludf.DUMMYFUNCTION("""COMPUTED_VALUE"""),"Hugdi (SLC)")</f>
        <v>Hugdi (SLC)</v>
      </c>
      <c r="C27" s="2">
        <f>IFERROR(__xludf.DUMMYFUNCTION("""COMPUTED_VALUE"""),3.6)</f>
        <v>3.6</v>
      </c>
      <c r="D27" s="2" t="str">
        <f>IFERROR(__xludf.DUMMYFUNCTION("""COMPUTED_VALUE"""),"Hugdi")</f>
        <v>Hugdi</v>
      </c>
      <c r="E27" s="2">
        <f>IFERROR(__xludf.DUMMYFUNCTION("""COMPUTED_VALUE"""),62793.0)</f>
        <v>62793</v>
      </c>
      <c r="F27" s="2" t="str">
        <f>IFERROR(__xludf.DUMMYFUNCTION("""COMPUTED_VALUE"""),"28o 03' 16""")</f>
        <v>28o 03' 16"</v>
      </c>
      <c r="G27" s="2" t="str">
        <f>IFERROR(__xludf.DUMMYFUNCTION("""COMPUTED_VALUE"""),"28o 05' 00""")</f>
        <v>28o 05' 00"</v>
      </c>
      <c r="H27" s="2" t="str">
        <f>IFERROR(__xludf.DUMMYFUNCTION("""COMPUTED_VALUE"""),"83o 20' 55""")</f>
        <v>83o 20' 55"</v>
      </c>
      <c r="I27" s="2" t="str">
        <f>IFERROR(__xludf.DUMMYFUNCTION("""COMPUTED_VALUE"""),"83o 23' 21""")</f>
        <v>83o 23' 21"</v>
      </c>
      <c r="J27" s="2" t="str">
        <f>IFERROR(__xludf.DUMMYFUNCTION("""COMPUTED_VALUE"""),"(Gulmi)")</f>
        <v>(Gulmi)</v>
      </c>
    </row>
    <row r="28">
      <c r="A28" s="2">
        <f>IFERROR(__xludf.DUMMYFUNCTION("""COMPUTED_VALUE"""),27.0)</f>
        <v>27</v>
      </c>
      <c r="B28" s="2" t="str">
        <f>IFERROR(__xludf.DUMMYFUNCTION("""COMPUTED_VALUE"""),"Igdigad (SLC)")</f>
        <v>Igdigad (SLC)</v>
      </c>
      <c r="C28" s="2">
        <f>IFERROR(__xludf.DUMMYFUNCTION("""COMPUTED_VALUE"""),4.61)</f>
        <v>4.61</v>
      </c>
      <c r="D28" s="2" t="str">
        <f>IFERROR(__xludf.DUMMYFUNCTION("""COMPUTED_VALUE"""),"Igdi Gad")</f>
        <v>Igdi Gad</v>
      </c>
      <c r="E28" s="2">
        <f>IFERROR(__xludf.DUMMYFUNCTION("""COMPUTED_VALUE"""),62793.0)</f>
        <v>62793</v>
      </c>
      <c r="F28" s="2" t="str">
        <f>IFERROR(__xludf.DUMMYFUNCTION("""COMPUTED_VALUE"""),"29o 18' 08""")</f>
        <v>29o 18' 08"</v>
      </c>
      <c r="G28" s="2" t="str">
        <f>IFERROR(__xludf.DUMMYFUNCTION("""COMPUTED_VALUE"""),"29o 20' 44""")</f>
        <v>29o 20' 44"</v>
      </c>
      <c r="H28" s="2" t="str">
        <f>IFERROR(__xludf.DUMMYFUNCTION("""COMPUTED_VALUE"""),"81o 15' 00""")</f>
        <v>81o 15' 00"</v>
      </c>
      <c r="I28" s="2" t="str">
        <f>IFERROR(__xludf.DUMMYFUNCTION("""COMPUTED_VALUE"""),"81o 16' 15""")</f>
        <v>81o 16' 15"</v>
      </c>
      <c r="J28" s="2" t="str">
        <f>IFERROR(__xludf.DUMMYFUNCTION("""COMPUTED_VALUE"""),"(Achham)")</f>
        <v>(Achham)</v>
      </c>
    </row>
    <row r="29">
      <c r="A29" s="2">
        <f>IFERROR(__xludf.DUMMYFUNCTION("""COMPUTED_VALUE"""),28.0)</f>
        <v>28</v>
      </c>
      <c r="B29" s="2" t="str">
        <f>IFERROR(__xludf.DUMMYFUNCTION("""COMPUTED_VALUE"""),"Indrawati Melamchi (SLC)")</f>
        <v>Indrawati Melamchi (SLC)</v>
      </c>
      <c r="C29" s="2">
        <f>IFERROR(__xludf.DUMMYFUNCTION("""COMPUTED_VALUE"""),4.9)</f>
        <v>4.9</v>
      </c>
      <c r="D29" s="2" t="str">
        <f>IFERROR(__xludf.DUMMYFUNCTION("""COMPUTED_VALUE"""),"Indrawati")</f>
        <v>Indrawati</v>
      </c>
      <c r="E29" s="2">
        <f>IFERROR(__xludf.DUMMYFUNCTION("""COMPUTED_VALUE"""),62793.0)</f>
        <v>62793</v>
      </c>
      <c r="F29" s="2" t="str">
        <f>IFERROR(__xludf.DUMMYFUNCTION("""COMPUTED_VALUE"""),"27o 47' 50""")</f>
        <v>27o 47' 50"</v>
      </c>
      <c r="G29" s="2" t="str">
        <f>IFERROR(__xludf.DUMMYFUNCTION("""COMPUTED_VALUE"""),"27o 49' 59""")</f>
        <v>27o 49' 59"</v>
      </c>
      <c r="H29" s="2" t="str">
        <f>IFERROR(__xludf.DUMMYFUNCTION("""COMPUTED_VALUE"""),"85o 34' 25""")</f>
        <v>85o 34' 25"</v>
      </c>
      <c r="I29" s="2" t="str">
        <f>IFERROR(__xludf.DUMMYFUNCTION("""COMPUTED_VALUE"""),"85o 35' 10""")</f>
        <v>85o 35' 10"</v>
      </c>
      <c r="J29" s="2" t="str">
        <f>IFERROR(__xludf.DUMMYFUNCTION("""COMPUTED_VALUE"""),"Badegau,Jyamire,Sikharpur (Sindhupalchok)")</f>
        <v>Badegau,Jyamire,Sikharpur (Sindhupalchok)</v>
      </c>
    </row>
    <row r="30">
      <c r="A30" s="2">
        <f>IFERROR(__xludf.DUMMYFUNCTION("""COMPUTED_VALUE"""),29.0)</f>
        <v>29</v>
      </c>
      <c r="B30" s="2" t="str">
        <f>IFERROR(__xludf.DUMMYFUNCTION("""COMPUTED_VALUE"""),"Jeuli-Gad Cascade Hydroelectric Project (SLC)")</f>
        <v>Jeuli-Gad Cascade Hydroelectric Project (SLC)</v>
      </c>
      <c r="C30" s="2">
        <f>IFERROR(__xludf.DUMMYFUNCTION("""COMPUTED_VALUE"""),2.0)</f>
        <v>2</v>
      </c>
      <c r="D30" s="2" t="str">
        <f>IFERROR(__xludf.DUMMYFUNCTION("""COMPUTED_VALUE"""),"Jeuligad")</f>
        <v>Jeuligad</v>
      </c>
      <c r="E30" s="2">
        <f>IFERROR(__xludf.DUMMYFUNCTION("""COMPUTED_VALUE"""),64474.0)</f>
        <v>64474</v>
      </c>
      <c r="F30" s="2" t="str">
        <f>IFERROR(__xludf.DUMMYFUNCTION("""COMPUTED_VALUE"""),"29o 33' 20""")</f>
        <v>29o 33' 20"</v>
      </c>
      <c r="G30" s="2" t="str">
        <f>IFERROR(__xludf.DUMMYFUNCTION("""COMPUTED_VALUE"""),"29o 34' 49""")</f>
        <v>29o 34' 49"</v>
      </c>
      <c r="H30" s="2" t="str">
        <f>IFERROR(__xludf.DUMMYFUNCTION("""COMPUTED_VALUE"""),"81o 09' 45""")</f>
        <v>81o 09' 45"</v>
      </c>
      <c r="I30" s="2" t="str">
        <f>IFERROR(__xludf.DUMMYFUNCTION("""COMPUTED_VALUE"""),"81o 11' 40""")</f>
        <v>81o 11' 40"</v>
      </c>
      <c r="J30" s="2" t="str">
        <f>IFERROR(__xludf.DUMMYFUNCTION("""COMPUTED_VALUE"""),"Chainpur,Rithapata (Bajhang)")</f>
        <v>Chainpur,Rithapata (Bajhang)</v>
      </c>
    </row>
    <row r="31">
      <c r="A31" s="2">
        <f>IFERROR(__xludf.DUMMYFUNCTION("""COMPUTED_VALUE"""),30.0)</f>
        <v>30</v>
      </c>
      <c r="B31" s="2" t="str">
        <f>IFERROR(__xludf.DUMMYFUNCTION("""COMPUTED_VALUE"""),"Jhon Khola HPP (SLC)")</f>
        <v>Jhon Khola HPP (SLC)</v>
      </c>
      <c r="C31" s="2">
        <f>IFERROR(__xludf.DUMMYFUNCTION("""COMPUTED_VALUE"""),2.2)</f>
        <v>2.2</v>
      </c>
      <c r="D31" s="2" t="str">
        <f>IFERROR(__xludf.DUMMYFUNCTION("""COMPUTED_VALUE"""),"Jhon")</f>
        <v>Jhon</v>
      </c>
      <c r="E31" s="2">
        <f>IFERROR(__xludf.DUMMYFUNCTION("""COMPUTED_VALUE"""),62793.0)</f>
        <v>62793</v>
      </c>
      <c r="F31" s="2" t="str">
        <f>IFERROR(__xludf.DUMMYFUNCTION("""COMPUTED_VALUE"""),"28o 49' 20""")</f>
        <v>28o 49' 20"</v>
      </c>
      <c r="G31" s="2" t="str">
        <f>IFERROR(__xludf.DUMMYFUNCTION("""COMPUTED_VALUE"""),"28o 50' 25""")</f>
        <v>28o 50' 25"</v>
      </c>
      <c r="H31" s="2" t="str">
        <f>IFERROR(__xludf.DUMMYFUNCTION("""COMPUTED_VALUE"""),"83o 46' 54""")</f>
        <v>83o 46' 54"</v>
      </c>
      <c r="I31" s="2" t="str">
        <f>IFERROR(__xludf.DUMMYFUNCTION("""COMPUTED_VALUE"""),"83o 50' 00""")</f>
        <v>83o 50' 00"</v>
      </c>
      <c r="J31" s="2" t="str">
        <f>IFERROR(__xludf.DUMMYFUNCTION("""COMPUTED_VALUE"""),"Jhong,Jomosom,Kagbeni,Muktinath (Mustang)")</f>
        <v>Jhong,Jomosom,Kagbeni,Muktinath (Mustang)</v>
      </c>
    </row>
    <row r="32">
      <c r="A32" s="2">
        <f>IFERROR(__xludf.DUMMYFUNCTION("""COMPUTED_VALUE"""),31.0)</f>
        <v>31</v>
      </c>
      <c r="B32" s="2" t="str">
        <f>IFERROR(__xludf.DUMMYFUNCTION("""COMPUTED_VALUE"""),"Kailash Khola HPP (SLC)")</f>
        <v>Kailash Khola HPP (SLC)</v>
      </c>
      <c r="C32" s="2">
        <f>IFERROR(__xludf.DUMMYFUNCTION("""COMPUTED_VALUE"""),3.98)</f>
        <v>3.98</v>
      </c>
      <c r="D32" s="2" t="str">
        <f>IFERROR(__xludf.DUMMYFUNCTION("""COMPUTED_VALUE"""),"Kailash Khola")</f>
        <v>Kailash Khola</v>
      </c>
      <c r="E32" s="2">
        <f>IFERROR(__xludf.DUMMYFUNCTION("""COMPUTED_VALUE"""),62793.0)</f>
        <v>62793</v>
      </c>
      <c r="F32" s="2" t="str">
        <f>IFERROR(__xludf.DUMMYFUNCTION("""COMPUTED_VALUE"""),"29o 09' 53""")</f>
        <v>29o 09' 53"</v>
      </c>
      <c r="G32" s="2" t="str">
        <f>IFERROR(__xludf.DUMMYFUNCTION("""COMPUTED_VALUE"""),"29o 11' 30""")</f>
        <v>29o 11' 30"</v>
      </c>
      <c r="H32" s="2" t="str">
        <f>IFERROR(__xludf.DUMMYFUNCTION("""COMPUTED_VALUE"""),"81o 22' 30""")</f>
        <v>81o 22' 30"</v>
      </c>
      <c r="I32" s="2" t="str">
        <f>IFERROR(__xludf.DUMMYFUNCTION("""COMPUTED_VALUE"""),"81o 24' 40""")</f>
        <v>81o 24' 40"</v>
      </c>
      <c r="J32" s="2" t="str">
        <f>IFERROR(__xludf.DUMMYFUNCTION("""COMPUTED_VALUE"""),"Bhatakatiya,Santada,Sutar (Achham)")</f>
        <v>Bhatakatiya,Santada,Sutar (Achham)</v>
      </c>
    </row>
    <row r="33">
      <c r="A33" s="2">
        <f>IFERROR(__xludf.DUMMYFUNCTION("""COMPUTED_VALUE"""),32.0)</f>
        <v>32</v>
      </c>
      <c r="B33" s="2" t="str">
        <f>IFERROR(__xludf.DUMMYFUNCTION("""COMPUTED_VALUE"""),"Katti Khola (SLC)")</f>
        <v>Katti Khola (SLC)</v>
      </c>
      <c r="C33" s="2">
        <f>IFERROR(__xludf.DUMMYFUNCTION("""COMPUTED_VALUE"""),2.978)</f>
        <v>2.978</v>
      </c>
      <c r="D33" s="2" t="str">
        <f>IFERROR(__xludf.DUMMYFUNCTION("""COMPUTED_VALUE"""),"Katti")</f>
        <v>Katti</v>
      </c>
      <c r="E33" s="2">
        <f>IFERROR(__xludf.DUMMYFUNCTION("""COMPUTED_VALUE"""),62793.0)</f>
        <v>62793</v>
      </c>
      <c r="F33" s="2" t="str">
        <f>IFERROR(__xludf.DUMMYFUNCTION("""COMPUTED_VALUE"""),"28o 47' 00""")</f>
        <v>28o 47' 00"</v>
      </c>
      <c r="G33" s="2" t="str">
        <f>IFERROR(__xludf.DUMMYFUNCTION("""COMPUTED_VALUE"""),"28o 48' 41""")</f>
        <v>28o 48' 41"</v>
      </c>
      <c r="H33" s="2" t="str">
        <f>IFERROR(__xludf.DUMMYFUNCTION("""COMPUTED_VALUE"""),"81o 45' 28""")</f>
        <v>81o 45' 28"</v>
      </c>
      <c r="I33" s="2" t="str">
        <f>IFERROR(__xludf.DUMMYFUNCTION("""COMPUTED_VALUE"""),"81o 48' 06""")</f>
        <v>81o 48' 06"</v>
      </c>
      <c r="J33" s="2" t="str">
        <f>IFERROR(__xludf.DUMMYFUNCTION("""COMPUTED_VALUE"""),"(Dailekh)")</f>
        <v>(Dailekh)</v>
      </c>
    </row>
    <row r="34">
      <c r="A34" s="2">
        <f>IFERROR(__xludf.DUMMYFUNCTION("""COMPUTED_VALUE"""),33.0)</f>
        <v>33</v>
      </c>
      <c r="B34" s="2" t="str">
        <f>IFERROR(__xludf.DUMMYFUNCTION("""COMPUTED_VALUE"""),"Khimrung HPP (SLC)")</f>
        <v>Khimrung HPP (SLC)</v>
      </c>
      <c r="C34" s="2">
        <f>IFERROR(__xludf.DUMMYFUNCTION("""COMPUTED_VALUE"""),9.4)</f>
        <v>9.4</v>
      </c>
      <c r="D34" s="2" t="str">
        <f>IFERROR(__xludf.DUMMYFUNCTION("""COMPUTED_VALUE"""),"Khimrung")</f>
        <v>Khimrung</v>
      </c>
      <c r="E34" s="2">
        <f>IFERROR(__xludf.DUMMYFUNCTION("""COMPUTED_VALUE"""),64548.0)</f>
        <v>64548</v>
      </c>
      <c r="F34" s="2" t="str">
        <f>IFERROR(__xludf.DUMMYFUNCTION("""COMPUTED_VALUE"""),"28o 24' 00""")</f>
        <v>28o 24' 00"</v>
      </c>
      <c r="G34" s="2" t="str">
        <f>IFERROR(__xludf.DUMMYFUNCTION("""COMPUTED_VALUE"""),"28o 25' 00""")</f>
        <v>28o 25' 00"</v>
      </c>
      <c r="H34" s="2" t="str">
        <f>IFERROR(__xludf.DUMMYFUNCTION("""COMPUTED_VALUE"""),"83o 46' 13""")</f>
        <v>83o 46' 13"</v>
      </c>
      <c r="I34" s="2" t="str">
        <f>IFERROR(__xludf.DUMMYFUNCTION("""COMPUTED_VALUE"""),"83o 49' 33""")</f>
        <v>83o 49' 33"</v>
      </c>
      <c r="J34" s="2" t="str">
        <f>IFERROR(__xludf.DUMMYFUNCTION("""COMPUTED_VALUE"""),"Ghandruk (Kaski)")</f>
        <v>Ghandruk (Kaski)</v>
      </c>
    </row>
    <row r="35">
      <c r="A35" s="2">
        <f>IFERROR(__xludf.DUMMYFUNCTION("""COMPUTED_VALUE"""),34.0)</f>
        <v>34</v>
      </c>
      <c r="B35" s="2" t="str">
        <f>IFERROR(__xludf.DUMMYFUNCTION("""COMPUTED_VALUE"""),"Kiche Khola (SLC)")</f>
        <v>Kiche Khola (SLC)</v>
      </c>
      <c r="C35" s="2">
        <f>IFERROR(__xludf.DUMMYFUNCTION("""COMPUTED_VALUE"""),1.2)</f>
        <v>1.2</v>
      </c>
      <c r="D35" s="2" t="str">
        <f>IFERROR(__xludf.DUMMYFUNCTION("""COMPUTED_VALUE"""),"Kichhe")</f>
        <v>Kichhe</v>
      </c>
      <c r="E35" s="2">
        <f>IFERROR(__xludf.DUMMYFUNCTION("""COMPUTED_VALUE"""),62793.0)</f>
        <v>62793</v>
      </c>
      <c r="F35" s="2" t="str">
        <f>IFERROR(__xludf.DUMMYFUNCTION("""COMPUTED_VALUE"""),"28o 18' 50""")</f>
        <v>28o 18' 50"</v>
      </c>
      <c r="G35" s="2" t="str">
        <f>IFERROR(__xludf.DUMMYFUNCTION("""COMPUTED_VALUE"""),"28o 19' 34""")</f>
        <v>28o 19' 34"</v>
      </c>
      <c r="H35" s="2" t="str">
        <f>IFERROR(__xludf.DUMMYFUNCTION("""COMPUTED_VALUE"""),"84o 18' 20""")</f>
        <v>84o 18' 20"</v>
      </c>
      <c r="I35" s="2" t="str">
        <f>IFERROR(__xludf.DUMMYFUNCTION("""COMPUTED_VALUE"""),"84o 20' 11""")</f>
        <v>84o 20' 11"</v>
      </c>
      <c r="J35" s="2" t="str">
        <f>IFERROR(__xludf.DUMMYFUNCTION("""COMPUTED_VALUE"""),"(Lamjung)")</f>
        <v>(Lamjung)</v>
      </c>
    </row>
    <row r="36">
      <c r="A36" s="2">
        <f>IFERROR(__xludf.DUMMYFUNCTION("""COMPUTED_VALUE"""),35.0)</f>
        <v>35</v>
      </c>
      <c r="B36" s="2" t="str">
        <f>IFERROR(__xludf.DUMMYFUNCTION("""COMPUTED_VALUE"""),"Kulekhani Sisneri PSP (SLC)")</f>
        <v>Kulekhani Sisneri PSP (SLC)</v>
      </c>
      <c r="C36" s="2">
        <f>IFERROR(__xludf.DUMMYFUNCTION("""COMPUTED_VALUE"""),100.0)</f>
        <v>100</v>
      </c>
      <c r="D36" s="2" t="str">
        <f>IFERROR(__xludf.DUMMYFUNCTION("""COMPUTED_VALUE"""),"Kulekhani")</f>
        <v>Kulekhani</v>
      </c>
      <c r="E36" s="2">
        <f>IFERROR(__xludf.DUMMYFUNCTION("""COMPUTED_VALUE"""),65840.0)</f>
        <v>65840</v>
      </c>
      <c r="F36" s="2" t="str">
        <f>IFERROR(__xludf.DUMMYFUNCTION("""COMPUTED_VALUE"""),"27o 34' 15""")</f>
        <v>27o 34' 15"</v>
      </c>
      <c r="G36" s="2" t="str">
        <f>IFERROR(__xludf.DUMMYFUNCTION("""COMPUTED_VALUE"""),"27o 35' 58""")</f>
        <v>27o 35' 58"</v>
      </c>
      <c r="H36" s="2" t="str">
        <f>IFERROR(__xludf.DUMMYFUNCTION("""COMPUTED_VALUE"""),"85o 09' 39""")</f>
        <v>85o 09' 39"</v>
      </c>
      <c r="I36" s="2" t="str">
        <f>IFERROR(__xludf.DUMMYFUNCTION("""COMPUTED_VALUE"""),"85o 11' 53""")</f>
        <v>85o 11' 53"</v>
      </c>
      <c r="J36" s="2" t="str">
        <f>IFERROR(__xludf.DUMMYFUNCTION("""COMPUTED_VALUE"""),"Kulekhani (Makawanpur)")</f>
        <v>Kulekhani (Makawanpur)</v>
      </c>
    </row>
    <row r="37">
      <c r="A37" s="2">
        <f>IFERROR(__xludf.DUMMYFUNCTION("""COMPUTED_VALUE"""),36.0)</f>
        <v>36</v>
      </c>
      <c r="B37" s="2" t="str">
        <f>IFERROR(__xludf.DUMMYFUNCTION("""COMPUTED_VALUE"""),"Kwaligau Khola (SLC)")</f>
        <v>Kwaligau Khola (SLC)</v>
      </c>
      <c r="C37" s="2">
        <f>IFERROR(__xludf.DUMMYFUNCTION("""COMPUTED_VALUE"""),2.0)</f>
        <v>2</v>
      </c>
      <c r="D37" s="2" t="str">
        <f>IFERROR(__xludf.DUMMYFUNCTION("""COMPUTED_VALUE"""),"Kwaligau")</f>
        <v>Kwaligau</v>
      </c>
      <c r="E37" s="2">
        <f>IFERROR(__xludf.DUMMYFUNCTION("""COMPUTED_VALUE"""),62793.0)</f>
        <v>62793</v>
      </c>
      <c r="F37" s="2" t="str">
        <f>IFERROR(__xludf.DUMMYFUNCTION("""COMPUTED_VALUE"""),"28o 15' 00""")</f>
        <v>28o 15' 00"</v>
      </c>
      <c r="G37" s="2" t="str">
        <f>IFERROR(__xludf.DUMMYFUNCTION("""COMPUTED_VALUE"""),"28o 17' 30""")</f>
        <v>28o 17' 30"</v>
      </c>
      <c r="H37" s="2" t="str">
        <f>IFERROR(__xludf.DUMMYFUNCTION("""COMPUTED_VALUE"""),"82o 42' 57""")</f>
        <v>82o 42' 57"</v>
      </c>
      <c r="I37" s="2" t="str">
        <f>IFERROR(__xludf.DUMMYFUNCTION("""COMPUTED_VALUE"""),"82o 43' 53""")</f>
        <v>82o 43' 53"</v>
      </c>
      <c r="J37" s="2" t="str">
        <f>IFERROR(__xludf.DUMMYFUNCTION("""COMPUTED_VALUE"""),"(Rolpa)")</f>
        <v>(Rolpa)</v>
      </c>
    </row>
    <row r="38">
      <c r="A38" s="2">
        <f>IFERROR(__xludf.DUMMYFUNCTION("""COMPUTED_VALUE"""),37.0)</f>
        <v>37</v>
      </c>
      <c r="B38" s="2" t="str">
        <f>IFERROR(__xludf.DUMMYFUNCTION("""COMPUTED_VALUE"""),"Kyadusyo Khola Small HEP (SLC)")</f>
        <v>Kyadusyo Khola Small HEP (SLC)</v>
      </c>
      <c r="C38" s="2">
        <f>IFERROR(__xludf.DUMMYFUNCTION("""COMPUTED_VALUE"""),4.5)</f>
        <v>4.5</v>
      </c>
      <c r="D38" s="2" t="str">
        <f>IFERROR(__xludf.DUMMYFUNCTION("""COMPUTED_VALUE"""),"Kyadusyo")</f>
        <v>Kyadusyo</v>
      </c>
      <c r="E38" s="2">
        <f>IFERROR(__xludf.DUMMYFUNCTION("""COMPUTED_VALUE"""),65120.0)</f>
        <v>65120</v>
      </c>
      <c r="F38" s="2" t="str">
        <f>IFERROR(__xludf.DUMMYFUNCTION("""COMPUTED_VALUE"""),"28o 25' 20""")</f>
        <v>28o 25' 20"</v>
      </c>
      <c r="G38" s="2" t="str">
        <f>IFERROR(__xludf.DUMMYFUNCTION("""COMPUTED_VALUE"""),"28o 25' 56""")</f>
        <v>28o 25' 56"</v>
      </c>
      <c r="H38" s="2" t="str">
        <f>IFERROR(__xludf.DUMMYFUNCTION("""COMPUTED_VALUE"""),"84o 05' 50""")</f>
        <v>84o 05' 50"</v>
      </c>
      <c r="I38" s="2" t="str">
        <f>IFERROR(__xludf.DUMMYFUNCTION("""COMPUTED_VALUE"""),"84o 07' 04""")</f>
        <v>84o 07' 04"</v>
      </c>
      <c r="J38" s="2" t="str">
        <f>IFERROR(__xludf.DUMMYFUNCTION("""COMPUTED_VALUE"""),"Parche (Kaski)")</f>
        <v>Parche (Kaski)</v>
      </c>
    </row>
    <row r="39">
      <c r="A39" s="2">
        <f>IFERROR(__xludf.DUMMYFUNCTION("""COMPUTED_VALUE"""),38.0)</f>
        <v>38</v>
      </c>
      <c r="B39" s="2" t="str">
        <f>IFERROR(__xludf.DUMMYFUNCTION("""COMPUTED_VALUE"""),"Ladku Khola Small HPP (SLC)")</f>
        <v>Ladku Khola Small HPP (SLC)</v>
      </c>
      <c r="C39" s="2">
        <f>IFERROR(__xludf.DUMMYFUNCTION("""COMPUTED_VALUE"""),2.4)</f>
        <v>2.4</v>
      </c>
      <c r="D39" s="2" t="str">
        <f>IFERROR(__xludf.DUMMYFUNCTION("""COMPUTED_VALUE"""),"Ladku Khola")</f>
        <v>Ladku Khola</v>
      </c>
      <c r="E39" s="2">
        <f>IFERROR(__xludf.DUMMYFUNCTION("""COMPUTED_VALUE"""),64530.0)</f>
        <v>64530</v>
      </c>
      <c r="F39" s="2" t="str">
        <f>IFERROR(__xludf.DUMMYFUNCTION("""COMPUTED_VALUE"""),"27o 31' 25""")</f>
        <v>27o 31' 25"</v>
      </c>
      <c r="G39" s="2" t="str">
        <f>IFERROR(__xludf.DUMMYFUNCTION("""COMPUTED_VALUE"""),"27o 32' 45""")</f>
        <v>27o 32' 45"</v>
      </c>
      <c r="H39" s="2" t="str">
        <f>IFERROR(__xludf.DUMMYFUNCTION("""COMPUTED_VALUE"""),"85o 31' 15""")</f>
        <v>85o 31' 15"</v>
      </c>
      <c r="I39" s="2" t="str">
        <f>IFERROR(__xludf.DUMMYFUNCTION("""COMPUTED_VALUE"""),"85o 33' 08""")</f>
        <v>85o 33' 08"</v>
      </c>
      <c r="J39" s="2" t="str">
        <f>IFERROR(__xludf.DUMMYFUNCTION("""COMPUTED_VALUE"""),"Balathali,Chyasing Kharka (Kavrepalanchok)")</f>
        <v>Balathali,Chyasing Kharka (Kavrepalanchok)</v>
      </c>
    </row>
    <row r="40">
      <c r="A40" s="2">
        <f>IFERROR(__xludf.DUMMYFUNCTION("""COMPUTED_VALUE"""),39.0)</f>
        <v>39</v>
      </c>
      <c r="B40" s="2" t="str">
        <f>IFERROR(__xludf.DUMMYFUNCTION("""COMPUTED_VALUE"""),"Lagan Khola (Bramhayani - A) HEP (SLC)")</f>
        <v>Lagan Khola (Bramhayani - A) HEP (SLC)</v>
      </c>
      <c r="C40" s="2">
        <f>IFERROR(__xludf.DUMMYFUNCTION("""COMPUTED_VALUE"""),9.7)</f>
        <v>9.7</v>
      </c>
      <c r="D40" s="2" t="str">
        <f>IFERROR(__xludf.DUMMYFUNCTION("""COMPUTED_VALUE"""),"Lagan")</f>
        <v>Lagan</v>
      </c>
      <c r="E40" s="2">
        <f>IFERROR(__xludf.DUMMYFUNCTION("""COMPUTED_VALUE"""),66508.0)</f>
        <v>66508</v>
      </c>
      <c r="F40" s="2" t="str">
        <f>IFERROR(__xludf.DUMMYFUNCTION("""COMPUTED_VALUE"""),"28o 04' 17""")</f>
        <v>28o 04' 17"</v>
      </c>
      <c r="G40" s="2" t="str">
        <f>IFERROR(__xludf.DUMMYFUNCTION("""COMPUTED_VALUE"""),"28o 06' 13""")</f>
        <v>28o 06' 13"</v>
      </c>
      <c r="H40" s="2" t="str">
        <f>IFERROR(__xludf.DUMMYFUNCTION("""COMPUTED_VALUE"""),"85o 44' 22""")</f>
        <v>85o 44' 22"</v>
      </c>
      <c r="I40" s="2" t="str">
        <f>IFERROR(__xludf.DUMMYFUNCTION("""COMPUTED_VALUE"""),"85o 45' 17""")</f>
        <v>85o 45' 17"</v>
      </c>
      <c r="J40" s="2" t="str">
        <f>IFERROR(__xludf.DUMMYFUNCTION("""COMPUTED_VALUE"""),"Golche,Gumba (Sindhupalchok)")</f>
        <v>Golche,Gumba (Sindhupalchok)</v>
      </c>
    </row>
    <row r="41">
      <c r="A41" s="2">
        <f>IFERROR(__xludf.DUMMYFUNCTION("""COMPUTED_VALUE"""),40.0)</f>
        <v>40</v>
      </c>
      <c r="B41" s="2" t="str">
        <f>IFERROR(__xludf.DUMMYFUNCTION("""COMPUTED_VALUE"""),"Lahu Khola (SLC)")</f>
        <v>Lahu Khola (SLC)</v>
      </c>
      <c r="C41" s="2">
        <f>IFERROR(__xludf.DUMMYFUNCTION("""COMPUTED_VALUE"""),4.08)</f>
        <v>4.08</v>
      </c>
      <c r="D41" s="2" t="str">
        <f>IFERROR(__xludf.DUMMYFUNCTION("""COMPUTED_VALUE"""),"Lahu")</f>
        <v>Lahu</v>
      </c>
      <c r="E41" s="2">
        <f>IFERROR(__xludf.DUMMYFUNCTION("""COMPUTED_VALUE"""),62884.0)</f>
        <v>62884</v>
      </c>
      <c r="F41" s="2" t="str">
        <f>IFERROR(__xludf.DUMMYFUNCTION("""COMPUTED_VALUE"""),"28o 34' 36""")</f>
        <v>28o 34' 36"</v>
      </c>
      <c r="G41" s="2" t="str">
        <f>IFERROR(__xludf.DUMMYFUNCTION("""COMPUTED_VALUE"""),"28o 36' 28""")</f>
        <v>28o 36' 28"</v>
      </c>
      <c r="H41" s="2" t="str">
        <f>IFERROR(__xludf.DUMMYFUNCTION("""COMPUTED_VALUE"""),"82o 25' 52""")</f>
        <v>82o 25' 52"</v>
      </c>
      <c r="I41" s="2" t="str">
        <f>IFERROR(__xludf.DUMMYFUNCTION("""COMPUTED_VALUE"""),"82o 26' 51""")</f>
        <v>82o 26' 51"</v>
      </c>
      <c r="J41" s="2" t="str">
        <f>IFERROR(__xludf.DUMMYFUNCTION("""COMPUTED_VALUE"""),"(Rukum)")</f>
        <v>(Rukum)</v>
      </c>
    </row>
    <row r="42">
      <c r="A42" s="2">
        <f>IFERROR(__xludf.DUMMYFUNCTION("""COMPUTED_VALUE"""),41.0)</f>
        <v>41</v>
      </c>
      <c r="B42" s="2" t="str">
        <f>IFERROR(__xludf.DUMMYFUNCTION("""COMPUTED_VALUE"""),"Lawa Khola (SLC)")</f>
        <v>Lawa Khola (SLC)</v>
      </c>
      <c r="C42" s="2">
        <f>IFERROR(__xludf.DUMMYFUNCTION("""COMPUTED_VALUE"""),3.0)</f>
        <v>3</v>
      </c>
      <c r="D42" s="2" t="str">
        <f>IFERROR(__xludf.DUMMYFUNCTION("""COMPUTED_VALUE"""),"Lawa")</f>
        <v>Lawa</v>
      </c>
      <c r="E42" s="2">
        <f>IFERROR(__xludf.DUMMYFUNCTION("""COMPUTED_VALUE"""),62793.0)</f>
        <v>62793</v>
      </c>
      <c r="F42" s="2" t="str">
        <f>IFERROR(__xludf.DUMMYFUNCTION("""COMPUTED_VALUE"""),"26o 47' 00""")</f>
        <v>26o 47' 00"</v>
      </c>
      <c r="G42" s="2" t="str">
        <f>IFERROR(__xludf.DUMMYFUNCTION("""COMPUTED_VALUE"""),"26o 49' 32""")</f>
        <v>26o 49' 32"</v>
      </c>
      <c r="H42" s="2" t="str">
        <f>IFERROR(__xludf.DUMMYFUNCTION("""COMPUTED_VALUE"""),"87o 35' 00""")</f>
        <v>87o 35' 00"</v>
      </c>
      <c r="I42" s="2" t="str">
        <f>IFERROR(__xludf.DUMMYFUNCTION("""COMPUTED_VALUE"""),"87o 37' 30""")</f>
        <v>87o 37' 30"</v>
      </c>
      <c r="J42" s="2" t="str">
        <f>IFERROR(__xludf.DUMMYFUNCTION("""COMPUTED_VALUE"""),"(Morang)")</f>
        <v>(Morang)</v>
      </c>
    </row>
    <row r="43">
      <c r="A43" s="2">
        <f>IFERROR(__xludf.DUMMYFUNCTION("""COMPUTED_VALUE"""),42.0)</f>
        <v>42</v>
      </c>
      <c r="B43" s="2" t="str">
        <f>IFERROR(__xludf.DUMMYFUNCTION("""COMPUTED_VALUE"""),"Likhu A HPP (SLC)")</f>
        <v>Likhu A HPP (SLC)</v>
      </c>
      <c r="C43" s="2">
        <f>IFERROR(__xludf.DUMMYFUNCTION("""COMPUTED_VALUE"""),5.0)</f>
        <v>5</v>
      </c>
      <c r="D43" s="2" t="str">
        <f>IFERROR(__xludf.DUMMYFUNCTION("""COMPUTED_VALUE"""),"Likhu Khola")</f>
        <v>Likhu Khola</v>
      </c>
      <c r="E43" s="2">
        <f>IFERROR(__xludf.DUMMYFUNCTION("""COMPUTED_VALUE"""),62793.0)</f>
        <v>62793</v>
      </c>
      <c r="F43" s="2" t="str">
        <f>IFERROR(__xludf.DUMMYFUNCTION("""COMPUTED_VALUE"""),"27o 20' 58""")</f>
        <v>27o 20' 58"</v>
      </c>
      <c r="G43" s="2" t="str">
        <f>IFERROR(__xludf.DUMMYFUNCTION("""COMPUTED_VALUE"""),"27o 22' 30""")</f>
        <v>27o 22' 30"</v>
      </c>
      <c r="H43" s="2" t="str">
        <f>IFERROR(__xludf.DUMMYFUNCTION("""COMPUTED_VALUE"""),"86o 12' 36""")</f>
        <v>86o 12' 36"</v>
      </c>
      <c r="I43" s="2" t="str">
        <f>IFERROR(__xludf.DUMMYFUNCTION("""COMPUTED_VALUE"""),"86o 13' 54""")</f>
        <v>86o 13' 54"</v>
      </c>
      <c r="J43" s="2" t="str">
        <f>IFERROR(__xludf.DUMMYFUNCTION("""COMPUTED_VALUE"""),"Singhadevi,Narmedeshwor (Okhaldhunga) Gothgau (Ramechhap)")</f>
        <v>Singhadevi,Narmedeshwor (Okhaldhunga) Gothgau (Ramechhap)</v>
      </c>
    </row>
    <row r="44">
      <c r="A44" s="2">
        <f>IFERROR(__xludf.DUMMYFUNCTION("""COMPUTED_VALUE"""),43.0)</f>
        <v>43</v>
      </c>
      <c r="B44" s="2" t="str">
        <f>IFERROR(__xludf.DUMMYFUNCTION("""COMPUTED_VALUE"""),"Lower Balephi-3 (SLC)")</f>
        <v>Lower Balephi-3 (SLC)</v>
      </c>
      <c r="C44" s="2">
        <f>IFERROR(__xludf.DUMMYFUNCTION("""COMPUTED_VALUE"""),4.5)</f>
        <v>4.5</v>
      </c>
      <c r="D44" s="2" t="str">
        <f>IFERROR(__xludf.DUMMYFUNCTION("""COMPUTED_VALUE"""),"Balephi")</f>
        <v>Balephi</v>
      </c>
      <c r="E44" s="2">
        <f>IFERROR(__xludf.DUMMYFUNCTION("""COMPUTED_VALUE"""),63791.0)</f>
        <v>63791</v>
      </c>
      <c r="F44" s="2" t="str">
        <f>IFERROR(__xludf.DUMMYFUNCTION("""COMPUTED_VALUE"""),"27o 43' 10""")</f>
        <v>27o 43' 10"</v>
      </c>
      <c r="G44" s="2" t="str">
        <f>IFERROR(__xludf.DUMMYFUNCTION("""COMPUTED_VALUE"""),"27o 44' 40""")</f>
        <v>27o 44' 40"</v>
      </c>
      <c r="H44" s="2" t="str">
        <f>IFERROR(__xludf.DUMMYFUNCTION("""COMPUTED_VALUE"""),"85o 45' 45""")</f>
        <v>85o 45' 45"</v>
      </c>
      <c r="I44" s="2" t="str">
        <f>IFERROR(__xludf.DUMMYFUNCTION("""COMPUTED_VALUE"""),"85o 47' 15""")</f>
        <v>85o 47' 15"</v>
      </c>
      <c r="J44" s="2" t="str">
        <f>IFERROR(__xludf.DUMMYFUNCTION("""COMPUTED_VALUE"""),"Ikhu,Kadambas,Fupingdandagau (Sindhupalchok)")</f>
        <v>Ikhu,Kadambas,Fupingdandagau (Sindhupalchok)</v>
      </c>
    </row>
    <row r="45">
      <c r="A45" s="2">
        <f>IFERROR(__xludf.DUMMYFUNCTION("""COMPUTED_VALUE"""),44.0)</f>
        <v>44</v>
      </c>
      <c r="B45" s="2" t="str">
        <f>IFERROR(__xludf.DUMMYFUNCTION("""COMPUTED_VALUE"""),"Lower Jhyari Khola Small HPP (SLC)")</f>
        <v>Lower Jhyari Khola Small HPP (SLC)</v>
      </c>
      <c r="C45" s="2">
        <f>IFERROR(__xludf.DUMMYFUNCTION("""COMPUTED_VALUE"""),2.5)</f>
        <v>2.5</v>
      </c>
      <c r="D45" s="2" t="str">
        <f>IFERROR(__xludf.DUMMYFUNCTION("""COMPUTED_VALUE"""),"Jhyari Khola")</f>
        <v>Jhyari Khola</v>
      </c>
      <c r="E45" s="2">
        <f>IFERROR(__xludf.DUMMYFUNCTION("""COMPUTED_VALUE"""),64474.0)</f>
        <v>64474</v>
      </c>
      <c r="F45" s="2" t="str">
        <f>IFERROR(__xludf.DUMMYFUNCTION("""COMPUTED_VALUE"""),"27o 43' 45""")</f>
        <v>27o 43' 45"</v>
      </c>
      <c r="G45" s="2" t="str">
        <f>IFERROR(__xludf.DUMMYFUNCTION("""COMPUTED_VALUE"""),"27o 44' 30""")</f>
        <v>27o 44' 30"</v>
      </c>
      <c r="H45" s="2" t="str">
        <f>IFERROR(__xludf.DUMMYFUNCTION("""COMPUTED_VALUE"""),"85o 40' 33""")</f>
        <v>85o 40' 33"</v>
      </c>
      <c r="I45" s="2" t="str">
        <f>IFERROR(__xludf.DUMMYFUNCTION("""COMPUTED_VALUE"""),"85o 40' 58""")</f>
        <v>85o 40' 58"</v>
      </c>
      <c r="J45" s="2" t="str">
        <f>IFERROR(__xludf.DUMMYFUNCTION("""COMPUTED_VALUE"""),"Bhotsipa,Thulo Sirubari (Sindhupalchok)")</f>
        <v>Bhotsipa,Thulo Sirubari (Sindhupalchok)</v>
      </c>
    </row>
    <row r="46">
      <c r="A46" s="2">
        <f>IFERROR(__xludf.DUMMYFUNCTION("""COMPUTED_VALUE"""),45.0)</f>
        <v>45</v>
      </c>
      <c r="B46" s="2" t="str">
        <f>IFERROR(__xludf.DUMMYFUNCTION("""COMPUTED_VALUE"""),"Lower Nwagad Small (SLC)")</f>
        <v>Lower Nwagad Small (SLC)</v>
      </c>
      <c r="C46" s="2">
        <f>IFERROR(__xludf.DUMMYFUNCTION("""COMPUTED_VALUE"""),2.0)</f>
        <v>2</v>
      </c>
      <c r="D46" s="2" t="str">
        <f>IFERROR(__xludf.DUMMYFUNCTION("""COMPUTED_VALUE"""),"Nwa Gad")</f>
        <v>Nwa Gad</v>
      </c>
      <c r="E46" s="2">
        <f>IFERROR(__xludf.DUMMYFUNCTION("""COMPUTED_VALUE"""),66356.0)</f>
        <v>66356</v>
      </c>
      <c r="F46" s="2" t="str">
        <f>IFERROR(__xludf.DUMMYFUNCTION("""COMPUTED_VALUE"""),"29o 44' 44""")</f>
        <v>29o 44' 44"</v>
      </c>
      <c r="G46" s="2" t="str">
        <f>IFERROR(__xludf.DUMMYFUNCTION("""COMPUTED_VALUE"""),"29o 45' 04""")</f>
        <v>29o 45' 04"</v>
      </c>
      <c r="H46" s="2" t="str">
        <f>IFERROR(__xludf.DUMMYFUNCTION("""COMPUTED_VALUE"""),"80o 47' 43""")</f>
        <v>80o 47' 43"</v>
      </c>
      <c r="I46" s="2" t="str">
        <f>IFERROR(__xludf.DUMMYFUNCTION("""COMPUTED_VALUE"""),"80o 48' 31""")</f>
        <v>80o 48' 31"</v>
      </c>
      <c r="J46" s="2" t="str">
        <f>IFERROR(__xludf.DUMMYFUNCTION("""COMPUTED_VALUE"""),"Guljar,Latinath (Darchula)")</f>
        <v>Guljar,Latinath (Darchula)</v>
      </c>
    </row>
    <row r="47">
      <c r="A47" s="2">
        <f>IFERROR(__xludf.DUMMYFUNCTION("""COMPUTED_VALUE"""),46.0)</f>
        <v>46</v>
      </c>
      <c r="B47" s="2" t="str">
        <f>IFERROR(__xludf.DUMMYFUNCTION("""COMPUTED_VALUE"""),"Lower Phalaku HPP (SLC)")</f>
        <v>Lower Phalaku HPP (SLC)</v>
      </c>
      <c r="C47" s="2">
        <f>IFERROR(__xludf.DUMMYFUNCTION("""COMPUTED_VALUE"""),3.35)</f>
        <v>3.35</v>
      </c>
      <c r="D47" s="2" t="str">
        <f>IFERROR(__xludf.DUMMYFUNCTION("""COMPUTED_VALUE"""),"Phalankhu Khola")</f>
        <v>Phalankhu Khola</v>
      </c>
      <c r="E47" s="2">
        <f>IFERROR(__xludf.DUMMYFUNCTION("""COMPUTED_VALUE"""),63680.0)</f>
        <v>63680</v>
      </c>
      <c r="F47" s="2" t="str">
        <f>IFERROR(__xludf.DUMMYFUNCTION("""COMPUTED_VALUE"""),"27o 58' 07""")</f>
        <v>27o 58' 07"</v>
      </c>
      <c r="G47" s="2" t="str">
        <f>IFERROR(__xludf.DUMMYFUNCTION("""COMPUTED_VALUE"""),"27o 58' 39""")</f>
        <v>27o 58' 39"</v>
      </c>
      <c r="H47" s="2" t="str">
        <f>IFERROR(__xludf.DUMMYFUNCTION("""COMPUTED_VALUE"""),"85o 13' 15""")</f>
        <v>85o 13' 15"</v>
      </c>
      <c r="I47" s="2" t="str">
        <f>IFERROR(__xludf.DUMMYFUNCTION("""COMPUTED_VALUE"""),"85o 15' 00""")</f>
        <v>85o 15' 00"</v>
      </c>
      <c r="J47" s="2" t="str">
        <f>IFERROR(__xludf.DUMMYFUNCTION("""COMPUTED_VALUE"""),"Bageswori (Nuwakot) Bhorle (Rasuwa)")</f>
        <v>Bageswori (Nuwakot) Bhorle (Rasuwa)</v>
      </c>
    </row>
    <row r="48">
      <c r="A48" s="2">
        <f>IFERROR(__xludf.DUMMYFUNCTION("""COMPUTED_VALUE"""),47.0)</f>
        <v>47</v>
      </c>
      <c r="B48" s="2" t="str">
        <f>IFERROR(__xludf.DUMMYFUNCTION("""COMPUTED_VALUE"""),"Lower Roshi Khola Small (SLC)")</f>
        <v>Lower Roshi Khola Small (SLC)</v>
      </c>
      <c r="C48" s="2">
        <f>IFERROR(__xludf.DUMMYFUNCTION("""COMPUTED_VALUE"""),4.7)</f>
        <v>4.7</v>
      </c>
      <c r="D48" s="2" t="str">
        <f>IFERROR(__xludf.DUMMYFUNCTION("""COMPUTED_VALUE"""),"Roshi")</f>
        <v>Roshi</v>
      </c>
      <c r="E48" s="2"/>
      <c r="F48" s="2" t="str">
        <f>IFERROR(__xludf.DUMMYFUNCTION("""COMPUTED_VALUE"""),"27o 26' 10""")</f>
        <v>27o 26' 10"</v>
      </c>
      <c r="G48" s="2" t="str">
        <f>IFERROR(__xludf.DUMMYFUNCTION("""COMPUTED_VALUE"""),"27o 27' 15""")</f>
        <v>27o 27' 15"</v>
      </c>
      <c r="H48" s="2" t="str">
        <f>IFERROR(__xludf.DUMMYFUNCTION("""COMPUTED_VALUE"""),"85o 46' 33""")</f>
        <v>85o 46' 33"</v>
      </c>
      <c r="I48" s="2" t="str">
        <f>IFERROR(__xludf.DUMMYFUNCTION("""COMPUTED_VALUE"""),"85o 48' 39""")</f>
        <v>85o 48' 39"</v>
      </c>
      <c r="J48" s="2" t="str">
        <f>IFERROR(__xludf.DUMMYFUNCTION("""COMPUTED_VALUE"""),"(Kabhrepalanchok)")</f>
        <v>(Kabhrepalanchok)</v>
      </c>
    </row>
    <row r="49">
      <c r="A49" s="2">
        <f>IFERROR(__xludf.DUMMYFUNCTION("""COMPUTED_VALUE"""),48.0)</f>
        <v>48</v>
      </c>
      <c r="B49" s="2" t="str">
        <f>IFERROR(__xludf.DUMMYFUNCTION("""COMPUTED_VALUE"""),"Lower Sunkoshi-3 (SLC)")</f>
        <v>Lower Sunkoshi-3 (SLC)</v>
      </c>
      <c r="C49" s="2">
        <f>IFERROR(__xludf.DUMMYFUNCTION("""COMPUTED_VALUE"""),10.2)</f>
        <v>10.2</v>
      </c>
      <c r="D49" s="2" t="str">
        <f>IFERROR(__xludf.DUMMYFUNCTION("""COMPUTED_VALUE"""),"Sun Koshi")</f>
        <v>Sun Koshi</v>
      </c>
      <c r="E49" s="2">
        <f>IFERROR(__xludf.DUMMYFUNCTION("""COMPUTED_VALUE"""),62793.0)</f>
        <v>62793</v>
      </c>
      <c r="F49" s="2" t="str">
        <f>IFERROR(__xludf.DUMMYFUNCTION("""COMPUTED_VALUE"""),"27o 44' 30""")</f>
        <v>27o 44' 30"</v>
      </c>
      <c r="G49" s="2" t="str">
        <f>IFERROR(__xludf.DUMMYFUNCTION("""COMPUTED_VALUE"""),"27o 45' 15""")</f>
        <v>27o 45' 15"</v>
      </c>
      <c r="H49" s="2" t="str">
        <f>IFERROR(__xludf.DUMMYFUNCTION("""COMPUTED_VALUE"""),"85o 48' 00""")</f>
        <v>85o 48' 00"</v>
      </c>
      <c r="I49" s="2" t="str">
        <f>IFERROR(__xludf.DUMMYFUNCTION("""COMPUTED_VALUE"""),"85o 50' 30""")</f>
        <v>85o 50' 30"</v>
      </c>
      <c r="J49" s="2" t="str">
        <f>IFERROR(__xludf.DUMMYFUNCTION("""COMPUTED_VALUE"""),"(Sindhupalchok)")</f>
        <v>(Sindhupalchok)</v>
      </c>
    </row>
    <row r="50">
      <c r="A50" s="2">
        <f>IFERROR(__xludf.DUMMYFUNCTION("""COMPUTED_VALUE"""),49.0)</f>
        <v>49</v>
      </c>
      <c r="B50" s="2" t="str">
        <f>IFERROR(__xludf.DUMMYFUNCTION("""COMPUTED_VALUE"""),"Lower Surnayagad (SLC)")</f>
        <v>Lower Surnayagad (SLC)</v>
      </c>
      <c r="C50" s="2">
        <f>IFERROR(__xludf.DUMMYFUNCTION("""COMPUTED_VALUE"""),5.0)</f>
        <v>5</v>
      </c>
      <c r="D50" s="2" t="str">
        <f>IFERROR(__xludf.DUMMYFUNCTION("""COMPUTED_VALUE"""),"Surnaya Gad")</f>
        <v>Surnaya Gad</v>
      </c>
      <c r="E50" s="2">
        <f>IFERROR(__xludf.DUMMYFUNCTION("""COMPUTED_VALUE"""),62793.0)</f>
        <v>62793</v>
      </c>
      <c r="F50" s="2" t="str">
        <f>IFERROR(__xludf.DUMMYFUNCTION("""COMPUTED_VALUE"""),"29o 24' 40""")</f>
        <v>29o 24' 40"</v>
      </c>
      <c r="G50" s="2" t="str">
        <f>IFERROR(__xludf.DUMMYFUNCTION("""COMPUTED_VALUE"""),"29o 26' 25""")</f>
        <v>29o 26' 25"</v>
      </c>
      <c r="H50" s="2" t="str">
        <f>IFERROR(__xludf.DUMMYFUNCTION("""COMPUTED_VALUE"""),"80o 28' 00""")</f>
        <v>80o 28' 00"</v>
      </c>
      <c r="I50" s="2" t="str">
        <f>IFERROR(__xludf.DUMMYFUNCTION("""COMPUTED_VALUE"""),"80o 30' 15""")</f>
        <v>80o 30' 15"</v>
      </c>
      <c r="J50" s="2" t="str">
        <f>IFERROR(__xludf.DUMMYFUNCTION("""COMPUTED_VALUE"""),"(Baitadi)")</f>
        <v>(Baitadi)</v>
      </c>
    </row>
    <row r="51">
      <c r="A51" s="2">
        <f>IFERROR(__xludf.DUMMYFUNCTION("""COMPUTED_VALUE"""),50.0)</f>
        <v>50</v>
      </c>
      <c r="B51" s="2" t="str">
        <f>IFERROR(__xludf.DUMMYFUNCTION("""COMPUTED_VALUE"""),"Lower Tamor (SLC)")</f>
        <v>Lower Tamor (SLC)</v>
      </c>
      <c r="C51" s="2">
        <f>IFERROR(__xludf.DUMMYFUNCTION("""COMPUTED_VALUE"""),49.5)</f>
        <v>49.5</v>
      </c>
      <c r="D51" s="2" t="str">
        <f>IFERROR(__xludf.DUMMYFUNCTION("""COMPUTED_VALUE"""),"Tamor")</f>
        <v>Tamor</v>
      </c>
      <c r="E51" s="2">
        <f>IFERROR(__xludf.DUMMYFUNCTION("""COMPUTED_VALUE"""),62721.0)</f>
        <v>62721</v>
      </c>
      <c r="F51" s="2" t="str">
        <f>IFERROR(__xludf.DUMMYFUNCTION("""COMPUTED_VALUE"""),"27o 15' 30""")</f>
        <v>27o 15' 30"</v>
      </c>
      <c r="G51" s="2" t="str">
        <f>IFERROR(__xludf.DUMMYFUNCTION("""COMPUTED_VALUE"""),"27o 19' 40""")</f>
        <v>27o 19' 40"</v>
      </c>
      <c r="H51" s="2" t="str">
        <f>IFERROR(__xludf.DUMMYFUNCTION("""COMPUTED_VALUE"""),"87o 39' 20""")</f>
        <v>87o 39' 20"</v>
      </c>
      <c r="I51" s="2" t="str">
        <f>IFERROR(__xludf.DUMMYFUNCTION("""COMPUTED_VALUE"""),"87o 42' 00""")</f>
        <v>87o 42' 00"</v>
      </c>
      <c r="J51" s="2" t="str">
        <f>IFERROR(__xludf.DUMMYFUNCTION("""COMPUTED_VALUE"""),"Ambarpur (Panchthar) Dokhu,Nankholyang,Nidhuradin,Phulbari (Taplejung)")</f>
        <v>Ambarpur (Panchthar) Dokhu,Nankholyang,Nidhuradin,Phulbari (Taplejung)</v>
      </c>
    </row>
    <row r="52">
      <c r="A52" s="2">
        <f>IFERROR(__xludf.DUMMYFUNCTION("""COMPUTED_VALUE"""),51.0)</f>
        <v>51</v>
      </c>
      <c r="B52" s="2" t="str">
        <f>IFERROR(__xludf.DUMMYFUNCTION("""COMPUTED_VALUE"""),"Lung Khola HEP (SLC)")</f>
        <v>Lung Khola HEP (SLC)</v>
      </c>
      <c r="C52" s="2">
        <f>IFERROR(__xludf.DUMMYFUNCTION("""COMPUTED_VALUE"""),2.42)</f>
        <v>2.42</v>
      </c>
      <c r="D52" s="2" t="str">
        <f>IFERROR(__xludf.DUMMYFUNCTION("""COMPUTED_VALUE"""),"Lung Khola")</f>
        <v>Lung Khola</v>
      </c>
      <c r="E52" s="2">
        <f>IFERROR(__xludf.DUMMYFUNCTION("""COMPUTED_VALUE"""),65488.0)</f>
        <v>65488</v>
      </c>
      <c r="F52" s="2" t="str">
        <f>IFERROR(__xludf.DUMMYFUNCTION("""COMPUTED_VALUE"""),"28o 12' 05""")</f>
        <v>28o 12' 05"</v>
      </c>
      <c r="G52" s="2" t="str">
        <f>IFERROR(__xludf.DUMMYFUNCTION("""COMPUTED_VALUE"""),"28o 13' 08""")</f>
        <v>28o 13' 08"</v>
      </c>
      <c r="H52" s="2" t="str">
        <f>IFERROR(__xludf.DUMMYFUNCTION("""COMPUTED_VALUE"""),"82o 54' 27""")</f>
        <v>82o 54' 27"</v>
      </c>
      <c r="I52" s="2" t="str">
        <f>IFERROR(__xludf.DUMMYFUNCTION("""COMPUTED_VALUE"""),"82o 55' 22""")</f>
        <v>82o 55' 22"</v>
      </c>
      <c r="J52" s="2" t="str">
        <f>IFERROR(__xludf.DUMMYFUNCTION("""COMPUTED_VALUE"""),"Lung,Khawang,Ligha,Damri (Pyuthan)")</f>
        <v>Lung,Khawang,Ligha,Damri (Pyuthan)</v>
      </c>
    </row>
    <row r="53">
      <c r="A53" s="2">
        <f>IFERROR(__xludf.DUMMYFUNCTION("""COMPUTED_VALUE"""),52.0)</f>
        <v>52</v>
      </c>
      <c r="B53" s="2" t="str">
        <f>IFERROR(__xludf.DUMMYFUNCTION("""COMPUTED_VALUE"""),"Madi Storage (SLC)")</f>
        <v>Madi Storage (SLC)</v>
      </c>
      <c r="C53" s="2">
        <f>IFERROR(__xludf.DUMMYFUNCTION("""COMPUTED_VALUE"""),156.0)</f>
        <v>156</v>
      </c>
      <c r="D53" s="2" t="str">
        <f>IFERROR(__xludf.DUMMYFUNCTION("""COMPUTED_VALUE"""),"Madi (West)")</f>
        <v>Madi (West)</v>
      </c>
      <c r="E53" s="2">
        <f>IFERROR(__xludf.DUMMYFUNCTION("""COMPUTED_VALUE"""),65642.0)</f>
        <v>65642</v>
      </c>
      <c r="F53" s="2" t="str">
        <f>IFERROR(__xludf.DUMMYFUNCTION("""COMPUTED_VALUE"""),"28o 13' 30""")</f>
        <v>28o 13' 30"</v>
      </c>
      <c r="G53" s="2" t="str">
        <f>IFERROR(__xludf.DUMMYFUNCTION("""COMPUTED_VALUE"""),"28o 20' 55""")</f>
        <v>28o 20' 55"</v>
      </c>
      <c r="H53" s="2" t="str">
        <f>IFERROR(__xludf.DUMMYFUNCTION("""COMPUTED_VALUE"""),"82o 33' 40""")</f>
        <v>82o 33' 40"</v>
      </c>
      <c r="I53" s="2" t="str">
        <f>IFERROR(__xludf.DUMMYFUNCTION("""COMPUTED_VALUE"""),"82o 39' 15""")</f>
        <v>82o 39' 15"</v>
      </c>
      <c r="J53" s="2" t="str">
        <f>IFERROR(__xludf.DUMMYFUNCTION("""COMPUTED_VALUE"""),"Kareti,Liwang (Rolpa)")</f>
        <v>Kareti,Liwang (Rolpa)</v>
      </c>
    </row>
    <row r="54">
      <c r="A54" s="2">
        <f>IFERROR(__xludf.DUMMYFUNCTION("""COMPUTED_VALUE"""),53.0)</f>
        <v>53</v>
      </c>
      <c r="B54" s="2" t="str">
        <f>IFERROR(__xludf.DUMMYFUNCTION("""COMPUTED_VALUE"""),"Mahesh Khola (SLC)")</f>
        <v>Mahesh Khola (SLC)</v>
      </c>
      <c r="C54" s="2">
        <f>IFERROR(__xludf.DUMMYFUNCTION("""COMPUTED_VALUE"""),2.17)</f>
        <v>2.17</v>
      </c>
      <c r="D54" s="2" t="str">
        <f>IFERROR(__xludf.DUMMYFUNCTION("""COMPUTED_VALUE"""),"Mahesh")</f>
        <v>Mahesh</v>
      </c>
      <c r="E54" s="2">
        <f>IFERROR(__xludf.DUMMYFUNCTION("""COMPUTED_VALUE"""),62793.0)</f>
        <v>62793</v>
      </c>
      <c r="F54" s="2" t="str">
        <f>IFERROR(__xludf.DUMMYFUNCTION("""COMPUTED_VALUE"""),"27o 45' 45""")</f>
        <v>27o 45' 45"</v>
      </c>
      <c r="G54" s="2" t="str">
        <f>IFERROR(__xludf.DUMMYFUNCTION("""COMPUTED_VALUE"""),"27o 48' 05""")</f>
        <v>27o 48' 05"</v>
      </c>
      <c r="H54" s="2" t="str">
        <f>IFERROR(__xludf.DUMMYFUNCTION("""COMPUTED_VALUE"""),"85o 00' 00""")</f>
        <v>85o 00' 00"</v>
      </c>
      <c r="I54" s="2" t="str">
        <f>IFERROR(__xludf.DUMMYFUNCTION("""COMPUTED_VALUE"""),"85o 03' 17""")</f>
        <v>85o 03' 17"</v>
      </c>
      <c r="J54" s="2" t="str">
        <f>IFERROR(__xludf.DUMMYFUNCTION("""COMPUTED_VALUE"""),"(Dhading)")</f>
        <v>(Dhading)</v>
      </c>
    </row>
    <row r="55">
      <c r="A55" s="2">
        <f>IFERROR(__xludf.DUMMYFUNCTION("""COMPUTED_VALUE"""),54.0)</f>
        <v>54</v>
      </c>
      <c r="B55" s="2" t="str">
        <f>IFERROR(__xludf.DUMMYFUNCTION("""COMPUTED_VALUE"""),"Mai Third HEP (SLC)")</f>
        <v>Mai Third HEP (SLC)</v>
      </c>
      <c r="C55" s="2">
        <f>IFERROR(__xludf.DUMMYFUNCTION("""COMPUTED_VALUE"""),4.82)</f>
        <v>4.82</v>
      </c>
      <c r="D55" s="2" t="str">
        <f>IFERROR(__xludf.DUMMYFUNCTION("""COMPUTED_VALUE"""),"Mai Khola")</f>
        <v>Mai Khola</v>
      </c>
      <c r="E55" s="2">
        <f>IFERROR(__xludf.DUMMYFUNCTION("""COMPUTED_VALUE"""),65488.0)</f>
        <v>65488</v>
      </c>
      <c r="F55" s="2" t="str">
        <f>IFERROR(__xludf.DUMMYFUNCTION("""COMPUTED_VALUE"""),"26o 50' 01""")</f>
        <v>26o 50' 01"</v>
      </c>
      <c r="G55" s="2" t="str">
        <f>IFERROR(__xludf.DUMMYFUNCTION("""COMPUTED_VALUE"""),"26o 50' 49""")</f>
        <v>26o 50' 49"</v>
      </c>
      <c r="H55" s="2" t="str">
        <f>IFERROR(__xludf.DUMMYFUNCTION("""COMPUTED_VALUE"""),"87o 53' 55""")</f>
        <v>87o 53' 55"</v>
      </c>
      <c r="I55" s="2" t="str">
        <f>IFERROR(__xludf.DUMMYFUNCTION("""COMPUTED_VALUE"""),"87o 54' 50""")</f>
        <v>87o 54' 50"</v>
      </c>
      <c r="J55" s="2" t="str">
        <f>IFERROR(__xludf.DUMMYFUNCTION("""COMPUTED_VALUE"""),"Soyak,Chisapani (Ilam)")</f>
        <v>Soyak,Chisapani (Ilam)</v>
      </c>
    </row>
    <row r="56">
      <c r="A56" s="2">
        <f>IFERROR(__xludf.DUMMYFUNCTION("""COMPUTED_VALUE"""),55.0)</f>
        <v>55</v>
      </c>
      <c r="B56" s="2" t="str">
        <f>IFERROR(__xludf.DUMMYFUNCTION("""COMPUTED_VALUE"""),"Malagad (SLC)")</f>
        <v>Malagad (SLC)</v>
      </c>
      <c r="C56" s="2">
        <f>IFERROR(__xludf.DUMMYFUNCTION("""COMPUTED_VALUE"""),5.31)</f>
        <v>5.31</v>
      </c>
      <c r="D56" s="2" t="str">
        <f>IFERROR(__xludf.DUMMYFUNCTION("""COMPUTED_VALUE"""),"Malagad")</f>
        <v>Malagad</v>
      </c>
      <c r="E56" s="2">
        <f>IFERROR(__xludf.DUMMYFUNCTION("""COMPUTED_VALUE"""),62793.0)</f>
        <v>62793</v>
      </c>
      <c r="F56" s="2" t="str">
        <f>IFERROR(__xludf.DUMMYFUNCTION("""COMPUTED_VALUE"""),"29o 20' 11""")</f>
        <v>29o 20' 11"</v>
      </c>
      <c r="G56" s="2" t="str">
        <f>IFERROR(__xludf.DUMMYFUNCTION("""COMPUTED_VALUE"""),"29o 20' 58""")</f>
        <v>29o 20' 58"</v>
      </c>
      <c r="H56" s="2" t="str">
        <f>IFERROR(__xludf.DUMMYFUNCTION("""COMPUTED_VALUE"""),"81o 20' 13""")</f>
        <v>81o 20' 13"</v>
      </c>
      <c r="I56" s="2" t="str">
        <f>IFERROR(__xludf.DUMMYFUNCTION("""COMPUTED_VALUE"""),"81o 22' 21""")</f>
        <v>81o 22' 21"</v>
      </c>
      <c r="J56" s="2" t="str">
        <f>IFERROR(__xludf.DUMMYFUNCTION("""COMPUTED_VALUE"""),"(Bajura)")</f>
        <v>(Bajura)</v>
      </c>
    </row>
    <row r="57">
      <c r="A57" s="2">
        <f>IFERROR(__xludf.DUMMYFUNCTION("""COMPUTED_VALUE"""),56.0)</f>
        <v>56</v>
      </c>
      <c r="B57" s="2" t="str">
        <f>IFERROR(__xludf.DUMMYFUNCTION("""COMPUTED_VALUE"""),"Mathillo Pelma Khola Hydroelectric project (SLC)")</f>
        <v>Mathillo Pelma Khola Hydroelectric project (SLC)</v>
      </c>
      <c r="C57" s="2">
        <f>IFERROR(__xludf.DUMMYFUNCTION("""COMPUTED_VALUE"""),24.8)</f>
        <v>24.8</v>
      </c>
      <c r="D57" s="2" t="str">
        <f>IFERROR(__xludf.DUMMYFUNCTION("""COMPUTED_VALUE"""),"Pelma Khola")</f>
        <v>Pelma Khola</v>
      </c>
      <c r="E57" s="2">
        <f>IFERROR(__xludf.DUMMYFUNCTION("""COMPUTED_VALUE"""),66898.0)</f>
        <v>66898</v>
      </c>
      <c r="F57" s="2" t="str">
        <f>IFERROR(__xludf.DUMMYFUNCTION("""COMPUTED_VALUE"""),"28o 40' 08""")</f>
        <v>28o 40' 08"</v>
      </c>
      <c r="G57" s="2" t="str">
        <f>IFERROR(__xludf.DUMMYFUNCTION("""COMPUTED_VALUE"""),"28o 42' 17""")</f>
        <v>28o 42' 17"</v>
      </c>
      <c r="H57" s="2" t="str">
        <f>IFERROR(__xludf.DUMMYFUNCTION("""COMPUTED_VALUE"""),"82o 56' 51""")</f>
        <v>82o 56' 51"</v>
      </c>
      <c r="I57" s="2" t="str">
        <f>IFERROR(__xludf.DUMMYFUNCTION("""COMPUTED_VALUE"""),"82o 58' 00""")</f>
        <v>82o 58' 00"</v>
      </c>
      <c r="J57" s="2"/>
    </row>
    <row r="58">
      <c r="A58" s="2">
        <f>IFERROR(__xludf.DUMMYFUNCTION("""COMPUTED_VALUE"""),57.0)</f>
        <v>57</v>
      </c>
      <c r="B58" s="2" t="str">
        <f>IFERROR(__xludf.DUMMYFUNCTION("""COMPUTED_VALUE"""),"Middle Budhiganga HEP (SLC)")</f>
        <v>Middle Budhiganga HEP (SLC)</v>
      </c>
      <c r="C58" s="2">
        <f>IFERROR(__xludf.DUMMYFUNCTION("""COMPUTED_VALUE"""),5.0)</f>
        <v>5</v>
      </c>
      <c r="D58" s="2" t="str">
        <f>IFERROR(__xludf.DUMMYFUNCTION("""COMPUTED_VALUE"""),"Budhi Ganga")</f>
        <v>Budhi Ganga</v>
      </c>
      <c r="E58" s="2">
        <f>IFERROR(__xludf.DUMMYFUNCTION("""COMPUTED_VALUE"""),65234.0)</f>
        <v>65234</v>
      </c>
      <c r="F58" s="2" t="str">
        <f>IFERROR(__xludf.DUMMYFUNCTION("""COMPUTED_VALUE"""),"29o 18' 36""")</f>
        <v>29o 18' 36"</v>
      </c>
      <c r="G58" s="2" t="str">
        <f>IFERROR(__xludf.DUMMYFUNCTION("""COMPUTED_VALUE"""),"29o 20' 29""")</f>
        <v>29o 20' 29"</v>
      </c>
      <c r="H58" s="2" t="str">
        <f>IFERROR(__xludf.DUMMYFUNCTION("""COMPUTED_VALUE"""),"81o 17' 30""")</f>
        <v>81o 17' 30"</v>
      </c>
      <c r="I58" s="2" t="str">
        <f>IFERROR(__xludf.DUMMYFUNCTION("""COMPUTED_VALUE"""),"81o 19' 15""")</f>
        <v>81o 19' 15"</v>
      </c>
      <c r="J58" s="2" t="str">
        <f>IFERROR(__xludf.DUMMYFUNCTION("""COMPUTED_VALUE"""),"Thanti (Achham) Tolodewal,Barhabise (Bajura)")</f>
        <v>Thanti (Achham) Tolodewal,Barhabise (Bajura)</v>
      </c>
    </row>
    <row r="59">
      <c r="A59" s="2">
        <f>IFERROR(__xludf.DUMMYFUNCTION("""COMPUTED_VALUE"""),58.0)</f>
        <v>58</v>
      </c>
      <c r="B59" s="2" t="str">
        <f>IFERROR(__xludf.DUMMYFUNCTION("""COMPUTED_VALUE"""),"Molung Cascade HEP (SLC)")</f>
        <v>Molung Cascade HEP (SLC)</v>
      </c>
      <c r="C59" s="2">
        <f>IFERROR(__xludf.DUMMYFUNCTION("""COMPUTED_VALUE"""),3.5)</f>
        <v>3.5</v>
      </c>
      <c r="D59" s="2" t="str">
        <f>IFERROR(__xludf.DUMMYFUNCTION("""COMPUTED_VALUE"""),"Molung")</f>
        <v>Molung</v>
      </c>
      <c r="E59" s="2">
        <f>IFERROR(__xludf.DUMMYFUNCTION("""COMPUTED_VALUE"""),65360.0)</f>
        <v>65360</v>
      </c>
      <c r="F59" s="2" t="str">
        <f>IFERROR(__xludf.DUMMYFUNCTION("""COMPUTED_VALUE"""),"27o 19' 08""")</f>
        <v>27o 19' 08"</v>
      </c>
      <c r="G59" s="2" t="str">
        <f>IFERROR(__xludf.DUMMYFUNCTION("""COMPUTED_VALUE"""),"27o 19' 59""")</f>
        <v>27o 19' 59"</v>
      </c>
      <c r="H59" s="2" t="str">
        <f>IFERROR(__xludf.DUMMYFUNCTION("""COMPUTED_VALUE"""),"86o 25' 45""")</f>
        <v>86o 25' 45"</v>
      </c>
      <c r="I59" s="2" t="str">
        <f>IFERROR(__xludf.DUMMYFUNCTION("""COMPUTED_VALUE"""),"86o 26' 27""")</f>
        <v>86o 26' 27"</v>
      </c>
      <c r="J59" s="2" t="str">
        <f>IFERROR(__xludf.DUMMYFUNCTION("""COMPUTED_VALUE"""),"Baraneshwor,Harkapur,Katunje (Okhaldhunga)")</f>
        <v>Baraneshwor,Harkapur,Katunje (Okhaldhunga)</v>
      </c>
    </row>
    <row r="60">
      <c r="A60" s="2">
        <f>IFERROR(__xludf.DUMMYFUNCTION("""COMPUTED_VALUE"""),59.0)</f>
        <v>59</v>
      </c>
      <c r="B60" s="2" t="str">
        <f>IFERROR(__xludf.DUMMYFUNCTION("""COMPUTED_VALUE"""),"Naugad HEP (SLC)")</f>
        <v>Naugad HEP (SLC)</v>
      </c>
      <c r="C60" s="2">
        <f>IFERROR(__xludf.DUMMYFUNCTION("""COMPUTED_VALUE"""),9.5)</f>
        <v>9.5</v>
      </c>
      <c r="D60" s="2" t="str">
        <f>IFERROR(__xludf.DUMMYFUNCTION("""COMPUTED_VALUE"""),"Naugad")</f>
        <v>Naugad</v>
      </c>
      <c r="E60" s="2">
        <f>IFERROR(__xludf.DUMMYFUNCTION("""COMPUTED_VALUE"""),65331.0)</f>
        <v>65331</v>
      </c>
      <c r="F60" s="2" t="str">
        <f>IFERROR(__xludf.DUMMYFUNCTION("""COMPUTED_VALUE"""),"29o 46' 11""")</f>
        <v>29o 46' 11"</v>
      </c>
      <c r="G60" s="2" t="str">
        <f>IFERROR(__xludf.DUMMYFUNCTION("""COMPUTED_VALUE"""),"29o 48' 30""")</f>
        <v>29o 48' 30"</v>
      </c>
      <c r="H60" s="2" t="str">
        <f>IFERROR(__xludf.DUMMYFUNCTION("""COMPUTED_VALUE"""),"80o 39' 00""")</f>
        <v>80o 39' 00"</v>
      </c>
      <c r="I60" s="2" t="str">
        <f>IFERROR(__xludf.DUMMYFUNCTION("""COMPUTED_VALUE"""),"80o 40' 00""")</f>
        <v>80o 40' 00"</v>
      </c>
      <c r="J60" s="2" t="str">
        <f>IFERROR(__xludf.DUMMYFUNCTION("""COMPUTED_VALUE"""),"Eyarkot,Khar (Darchula)")</f>
        <v>Eyarkot,Khar (Darchula)</v>
      </c>
    </row>
    <row r="61">
      <c r="A61" s="2">
        <f>IFERROR(__xludf.DUMMYFUNCTION("""COMPUTED_VALUE"""),60.0)</f>
        <v>60</v>
      </c>
      <c r="B61" s="2" t="str">
        <f>IFERROR(__xludf.DUMMYFUNCTION("""COMPUTED_VALUE"""),"Nisi Khola (SLC)")</f>
        <v>Nisi Khola (SLC)</v>
      </c>
      <c r="C61" s="2">
        <f>IFERROR(__xludf.DUMMYFUNCTION("""COMPUTED_VALUE"""),3.5)</f>
        <v>3.5</v>
      </c>
      <c r="D61" s="2" t="str">
        <f>IFERROR(__xludf.DUMMYFUNCTION("""COMPUTED_VALUE"""),"Nisi")</f>
        <v>Nisi</v>
      </c>
      <c r="E61" s="2">
        <f>IFERROR(__xludf.DUMMYFUNCTION("""COMPUTED_VALUE"""),63844.0)</f>
        <v>63844</v>
      </c>
      <c r="F61" s="2" t="str">
        <f>IFERROR(__xludf.DUMMYFUNCTION("""COMPUTED_VALUE"""),"28o 19' 11""")</f>
        <v>28o 19' 11"</v>
      </c>
      <c r="G61" s="2" t="str">
        <f>IFERROR(__xludf.DUMMYFUNCTION("""COMPUTED_VALUE"""),"28o 20' 00""")</f>
        <v>28o 20' 00"</v>
      </c>
      <c r="H61" s="2" t="str">
        <f>IFERROR(__xludf.DUMMYFUNCTION("""COMPUTED_VALUE"""),"83o 07' 09""")</f>
        <v>83o 07' 09"</v>
      </c>
      <c r="I61" s="2" t="str">
        <f>IFERROR(__xludf.DUMMYFUNCTION("""COMPUTED_VALUE"""),"83o 09' 38""")</f>
        <v>83o 09' 38"</v>
      </c>
      <c r="J61" s="2" t="str">
        <f>IFERROR(__xludf.DUMMYFUNCTION("""COMPUTED_VALUE"""),"(Baglung)")</f>
        <v>(Baglung)</v>
      </c>
    </row>
    <row r="62">
      <c r="A62" s="2">
        <f>IFERROR(__xludf.DUMMYFUNCTION("""COMPUTED_VALUE"""),61.0)</f>
        <v>61</v>
      </c>
      <c r="B62" s="2" t="str">
        <f>IFERROR(__xludf.DUMMYFUNCTION("""COMPUTED_VALUE"""),"Nyache Khola HEP (SLC)")</f>
        <v>Nyache Khola HEP (SLC)</v>
      </c>
      <c r="C62" s="2">
        <f>IFERROR(__xludf.DUMMYFUNCTION("""COMPUTED_VALUE"""),9.33)</f>
        <v>9.33</v>
      </c>
      <c r="D62" s="2" t="str">
        <f>IFERROR(__xludf.DUMMYFUNCTION("""COMPUTED_VALUE"""),"Nyache Khola")</f>
        <v>Nyache Khola</v>
      </c>
      <c r="E62" s="2">
        <f>IFERROR(__xludf.DUMMYFUNCTION("""COMPUTED_VALUE"""),65206.0)</f>
        <v>65206</v>
      </c>
      <c r="F62" s="2" t="str">
        <f>IFERROR(__xludf.DUMMYFUNCTION("""COMPUTED_VALUE"""),"28o 22' 34""")</f>
        <v>28o 22' 34"</v>
      </c>
      <c r="G62" s="2" t="str">
        <f>IFERROR(__xludf.DUMMYFUNCTION("""COMPUTED_VALUE"""),"28o 23' 48""")</f>
        <v>28o 23' 48"</v>
      </c>
      <c r="H62" s="2" t="str">
        <f>IFERROR(__xludf.DUMMYFUNCTION("""COMPUTED_VALUE"""),"84o 08' 32""")</f>
        <v>84o 08' 32"</v>
      </c>
      <c r="I62" s="2" t="str">
        <f>IFERROR(__xludf.DUMMYFUNCTION("""COMPUTED_VALUE"""),"84o 10' 36""")</f>
        <v>84o 10' 36"</v>
      </c>
      <c r="J62" s="2" t="str">
        <f>IFERROR(__xludf.DUMMYFUNCTION("""COMPUTED_VALUE"""),"Namarjung (Kaski)")</f>
        <v>Namarjung (Kaski)</v>
      </c>
    </row>
    <row r="63">
      <c r="A63" s="2">
        <f>IFERROR(__xludf.DUMMYFUNCTION("""COMPUTED_VALUE"""),62.0)</f>
        <v>62</v>
      </c>
      <c r="B63" s="2" t="str">
        <f>IFERROR(__xludf.DUMMYFUNCTION("""COMPUTED_VALUE"""),"Orang Khoa HPP (SLC)")</f>
        <v>Orang Khoa HPP (SLC)</v>
      </c>
      <c r="C63" s="2">
        <f>IFERROR(__xludf.DUMMYFUNCTION("""COMPUTED_VALUE"""),2.1)</f>
        <v>2.1</v>
      </c>
      <c r="D63" s="2" t="str">
        <f>IFERROR(__xludf.DUMMYFUNCTION("""COMPUTED_VALUE"""),"Orang Khola")</f>
        <v>Orang Khola</v>
      </c>
      <c r="E63" s="2">
        <f>IFERROR(__xludf.DUMMYFUNCTION("""COMPUTED_VALUE"""),63070.0)</f>
        <v>63070</v>
      </c>
      <c r="F63" s="2" t="str">
        <f>IFERROR(__xludf.DUMMYFUNCTION("""COMPUTED_VALUE"""),"27o 46' 46""")</f>
        <v>27o 46' 46"</v>
      </c>
      <c r="G63" s="2" t="str">
        <f>IFERROR(__xludf.DUMMYFUNCTION("""COMPUTED_VALUE"""),"27o 47' 39""")</f>
        <v>27o 47' 39"</v>
      </c>
      <c r="H63" s="2" t="str">
        <f>IFERROR(__xludf.DUMMYFUNCTION("""COMPUTED_VALUE"""),"86o 11' 18""")</f>
        <v>86o 11' 18"</v>
      </c>
      <c r="I63" s="2" t="str">
        <f>IFERROR(__xludf.DUMMYFUNCTION("""COMPUTED_VALUE"""),"86o 13' 09""")</f>
        <v>86o 13' 09"</v>
      </c>
      <c r="J63" s="2" t="str">
        <f>IFERROR(__xludf.DUMMYFUNCTION("""COMPUTED_VALUE"""),"Bulung,Orang (Dolakha)")</f>
        <v>Bulung,Orang (Dolakha)</v>
      </c>
    </row>
    <row r="64">
      <c r="A64" s="2">
        <f>IFERROR(__xludf.DUMMYFUNCTION("""COMPUTED_VALUE"""),63.0)</f>
        <v>63</v>
      </c>
      <c r="B64" s="2" t="str">
        <f>IFERROR(__xludf.DUMMYFUNCTION("""COMPUTED_VALUE"""),"Panagad Khola (SLC)")</f>
        <v>Panagad Khola (SLC)</v>
      </c>
      <c r="C64" s="2">
        <f>IFERROR(__xludf.DUMMYFUNCTION("""COMPUTED_VALUE"""),1.2)</f>
        <v>1.2</v>
      </c>
      <c r="D64" s="2" t="str">
        <f>IFERROR(__xludf.DUMMYFUNCTION("""COMPUTED_VALUE"""),"Panagad")</f>
        <v>Panagad</v>
      </c>
      <c r="E64" s="2">
        <f>IFERROR(__xludf.DUMMYFUNCTION("""COMPUTED_VALUE"""),62793.0)</f>
        <v>62793</v>
      </c>
      <c r="F64" s="2" t="str">
        <f>IFERROR(__xludf.DUMMYFUNCTION("""COMPUTED_VALUE"""),"28o 05' 22""")</f>
        <v>28o 05' 22"</v>
      </c>
      <c r="G64" s="2" t="str">
        <f>IFERROR(__xludf.DUMMYFUNCTION("""COMPUTED_VALUE"""),"28o 05' 54""")</f>
        <v>28o 05' 54"</v>
      </c>
      <c r="H64" s="2" t="str">
        <f>IFERROR(__xludf.DUMMYFUNCTION("""COMPUTED_VALUE"""),"83o 09' 54""")</f>
        <v>83o 09' 54"</v>
      </c>
      <c r="I64" s="2" t="str">
        <f>IFERROR(__xludf.DUMMYFUNCTION("""COMPUTED_VALUE"""),"83o 11' 44""")</f>
        <v>83o 11' 44"</v>
      </c>
      <c r="J64" s="2" t="str">
        <f>IFERROR(__xludf.DUMMYFUNCTION("""COMPUTED_VALUE"""),"(Gulmi)")</f>
        <v>(Gulmi)</v>
      </c>
    </row>
    <row r="65">
      <c r="A65" s="2">
        <f>IFERROR(__xludf.DUMMYFUNCTION("""COMPUTED_VALUE"""),64.0)</f>
        <v>64</v>
      </c>
      <c r="B65" s="2" t="str">
        <f>IFERROR(__xludf.DUMMYFUNCTION("""COMPUTED_VALUE"""),"Parajuli Khola (SLC)")</f>
        <v>Parajuli Khola (SLC)</v>
      </c>
      <c r="C65" s="2">
        <f>IFERROR(__xludf.DUMMYFUNCTION("""COMPUTED_VALUE"""),4.2)</f>
        <v>4.2</v>
      </c>
      <c r="D65" s="2" t="str">
        <f>IFERROR(__xludf.DUMMYFUNCTION("""COMPUTED_VALUE"""),"Parajuli Khola")</f>
        <v>Parajuli Khola</v>
      </c>
      <c r="E65" s="2"/>
      <c r="F65" s="2" t="str">
        <f>IFERROR(__xludf.DUMMYFUNCTION("""COMPUTED_VALUE"""),"28o 43' 14""")</f>
        <v>28o 43' 14"</v>
      </c>
      <c r="G65" s="2" t="str">
        <f>IFERROR(__xludf.DUMMYFUNCTION("""COMPUTED_VALUE"""),"28o 45' 28""")</f>
        <v>28o 45' 28"</v>
      </c>
      <c r="H65" s="2" t="str">
        <f>IFERROR(__xludf.DUMMYFUNCTION("""COMPUTED_VALUE"""),"81o 39' 08""")</f>
        <v>81o 39' 08"</v>
      </c>
      <c r="I65" s="2" t="str">
        <f>IFERROR(__xludf.DUMMYFUNCTION("""COMPUTED_VALUE"""),"81o 41' 54""")</f>
        <v>81o 41' 54"</v>
      </c>
      <c r="J65" s="2" t="str">
        <f>IFERROR(__xludf.DUMMYFUNCTION("""COMPUTED_VALUE"""),"(Dailekh)")</f>
        <v>(Dailekh)</v>
      </c>
    </row>
    <row r="66">
      <c r="A66" s="2">
        <f>IFERROR(__xludf.DUMMYFUNCTION("""COMPUTED_VALUE"""),65.0)</f>
        <v>65</v>
      </c>
      <c r="B66" s="2" t="str">
        <f>IFERROR(__xludf.DUMMYFUNCTION("""COMPUTED_VALUE"""),"Phenlun Briddhin Diversion HPP (SLC)")</f>
        <v>Phenlun Briddhin Diversion HPP (SLC)</v>
      </c>
      <c r="C66" s="2">
        <f>IFERROR(__xludf.DUMMYFUNCTION("""COMPUTED_VALUE"""),4.5)</f>
        <v>4.5</v>
      </c>
      <c r="D66" s="2" t="str">
        <f>IFERROR(__xludf.DUMMYFUNCTION("""COMPUTED_VALUE"""),"Phenlun-Briddhin")</f>
        <v>Phenlun-Briddhin</v>
      </c>
      <c r="E66" s="2" t="str">
        <f>IFERROR(__xludf.DUMMYFUNCTION("""COMPUTED_VALUE"""),"Decision Dat")</f>
        <v>Decision Dat</v>
      </c>
      <c r="F66" s="2" t="str">
        <f>IFERROR(__xludf.DUMMYFUNCTION("""COMPUTED_VALUE"""),"28o 11' 34""")</f>
        <v>28o 11' 34"</v>
      </c>
      <c r="G66" s="2" t="str">
        <f>IFERROR(__xludf.DUMMYFUNCTION("""COMPUTED_VALUE"""),"28o 14' 05""")</f>
        <v>28o 14' 05"</v>
      </c>
      <c r="H66" s="2" t="str">
        <f>IFERROR(__xludf.DUMMYFUNCTION("""COMPUTED_VALUE"""),"85o 21' 55""")</f>
        <v>85o 21' 55"</v>
      </c>
      <c r="I66" s="2" t="str">
        <f>IFERROR(__xludf.DUMMYFUNCTION("""COMPUTED_VALUE"""),"85o 24' 03""")</f>
        <v>85o 24' 03"</v>
      </c>
      <c r="J66" s="2" t="str">
        <f>IFERROR(__xludf.DUMMYFUNCTION("""COMPUTED_VALUE"""),"Briddhim (Rasuwa)")</f>
        <v>Briddhim (Rasuwa)</v>
      </c>
    </row>
    <row r="67">
      <c r="A67" s="2">
        <f>IFERROR(__xludf.DUMMYFUNCTION("""COMPUTED_VALUE"""),66.0)</f>
        <v>66</v>
      </c>
      <c r="B67" s="2" t="str">
        <f>IFERROR(__xludf.DUMMYFUNCTION("""COMPUTED_VALUE"""),"Poldumki Khola (SLC)")</f>
        <v>Poldumki Khola (SLC)</v>
      </c>
      <c r="C67" s="2">
        <f>IFERROR(__xludf.DUMMYFUNCTION("""COMPUTED_VALUE"""),1.6)</f>
        <v>1.6</v>
      </c>
      <c r="D67" s="2" t="str">
        <f>IFERROR(__xludf.DUMMYFUNCTION("""COMPUTED_VALUE"""),"Poldumki")</f>
        <v>Poldumki</v>
      </c>
      <c r="E67" s="2">
        <f>IFERROR(__xludf.DUMMYFUNCTION("""COMPUTED_VALUE"""),62793.0)</f>
        <v>62793</v>
      </c>
      <c r="F67" s="2" t="str">
        <f>IFERROR(__xludf.DUMMYFUNCTION("""COMPUTED_VALUE"""),"27o 29' 30""")</f>
        <v>27o 29' 30"</v>
      </c>
      <c r="G67" s="2" t="str">
        <f>IFERROR(__xludf.DUMMYFUNCTION("""COMPUTED_VALUE"""),"27o 30' 33""")</f>
        <v>27o 30' 33"</v>
      </c>
      <c r="H67" s="2" t="str">
        <f>IFERROR(__xludf.DUMMYFUNCTION("""COMPUTED_VALUE"""),"85o 04' 43""")</f>
        <v>85o 04' 43"</v>
      </c>
      <c r="I67" s="2" t="str">
        <f>IFERROR(__xludf.DUMMYFUNCTION("""COMPUTED_VALUE"""),"85o 06' 00""")</f>
        <v>85o 06' 00"</v>
      </c>
      <c r="J67" s="2" t="str">
        <f>IFERROR(__xludf.DUMMYFUNCTION("""COMPUTED_VALUE"""),"(Makawanpur)")</f>
        <v>(Makawanpur)</v>
      </c>
    </row>
    <row r="68">
      <c r="A68" s="2">
        <f>IFERROR(__xludf.DUMMYFUNCTION("""COMPUTED_VALUE"""),67.0)</f>
        <v>67</v>
      </c>
      <c r="B68" s="2" t="str">
        <f>IFERROR(__xludf.DUMMYFUNCTION("""COMPUTED_VALUE"""),"Rapti Khola (SLC)")</f>
        <v>Rapti Khola (SLC)</v>
      </c>
      <c r="C68" s="2">
        <f>IFERROR(__xludf.DUMMYFUNCTION("""COMPUTED_VALUE"""),2.185)</f>
        <v>2.185</v>
      </c>
      <c r="D68" s="2" t="str">
        <f>IFERROR(__xludf.DUMMYFUNCTION("""COMPUTED_VALUE"""),"Rapti")</f>
        <v>Rapti</v>
      </c>
      <c r="E68" s="2" t="str">
        <f>IFERROR(__xludf.DUMMYFUNCTION("""COMPUTED_VALUE"""),"Decision Dat")</f>
        <v>Decision Dat</v>
      </c>
      <c r="F68" s="2" t="str">
        <f>IFERROR(__xludf.DUMMYFUNCTION("""COMPUTED_VALUE"""),"27o 30' 04""")</f>
        <v>27o 30' 04"</v>
      </c>
      <c r="G68" s="2" t="str">
        <f>IFERROR(__xludf.DUMMYFUNCTION("""COMPUTED_VALUE"""),"27o 30' 53""")</f>
        <v>27o 30' 53"</v>
      </c>
      <c r="H68" s="2" t="str">
        <f>IFERROR(__xludf.DUMMYFUNCTION("""COMPUTED_VALUE"""),"85o 03' 09""")</f>
        <v>85o 03' 09"</v>
      </c>
      <c r="I68" s="2" t="str">
        <f>IFERROR(__xludf.DUMMYFUNCTION("""COMPUTED_VALUE"""),"85o 04' 51""")</f>
        <v>85o 04' 51"</v>
      </c>
      <c r="J68" s="2" t="str">
        <f>IFERROR(__xludf.DUMMYFUNCTION("""COMPUTED_VALUE"""),"Bhaise,Nibuwatar (Makawanpur)")</f>
        <v>Bhaise,Nibuwatar (Makawanpur)</v>
      </c>
    </row>
    <row r="69">
      <c r="A69" s="2">
        <f>IFERROR(__xludf.DUMMYFUNCTION("""COMPUTED_VALUE"""),68.0)</f>
        <v>68</v>
      </c>
      <c r="B69" s="2" t="str">
        <f>IFERROR(__xludf.DUMMYFUNCTION("""COMPUTED_VALUE"""),"Rigdi Khola (SLC)")</f>
        <v>Rigdi Khola (SLC)</v>
      </c>
      <c r="C69" s="2">
        <f>IFERROR(__xludf.DUMMYFUNCTION("""COMPUTED_VALUE"""),3.7)</f>
        <v>3.7</v>
      </c>
      <c r="D69" s="2" t="str">
        <f>IFERROR(__xludf.DUMMYFUNCTION("""COMPUTED_VALUE"""),"Rigdi")</f>
        <v>Rigdi</v>
      </c>
      <c r="E69" s="2">
        <f>IFERROR(__xludf.DUMMYFUNCTION("""COMPUTED_VALUE"""),64474.0)</f>
        <v>64474</v>
      </c>
      <c r="F69" s="2" t="str">
        <f>IFERROR(__xludf.DUMMYFUNCTION("""COMPUTED_VALUE"""),"27o 48' 00""")</f>
        <v>27o 48' 00"</v>
      </c>
      <c r="G69" s="2" t="str">
        <f>IFERROR(__xludf.DUMMYFUNCTION("""COMPUTED_VALUE"""),"27o 48' 55""")</f>
        <v>27o 48' 55"</v>
      </c>
      <c r="H69" s="2" t="str">
        <f>IFERROR(__xludf.DUMMYFUNCTION("""COMPUTED_VALUE"""),"84o 30' 30""")</f>
        <v>84o 30' 30"</v>
      </c>
      <c r="I69" s="2" t="str">
        <f>IFERROR(__xludf.DUMMYFUNCTION("""COMPUTED_VALUE"""),"84o 31' 30""")</f>
        <v>84o 31' 30"</v>
      </c>
      <c r="J69" s="2" t="str">
        <f>IFERROR(__xludf.DUMMYFUNCTION("""COMPUTED_VALUE"""),"Dahakhani,Kabilas (Chitawan)")</f>
        <v>Dahakhani,Kabilas (Chitawan)</v>
      </c>
    </row>
    <row r="70">
      <c r="A70" s="2">
        <f>IFERROR(__xludf.DUMMYFUNCTION("""COMPUTED_VALUE"""),69.0)</f>
        <v>69</v>
      </c>
      <c r="B70" s="2" t="str">
        <f>IFERROR(__xludf.DUMMYFUNCTION("""COMPUTED_VALUE"""),"Roshi Khola (SLC)")</f>
        <v>Roshi Khola (SLC)</v>
      </c>
      <c r="C70" s="2">
        <f>IFERROR(__xludf.DUMMYFUNCTION("""COMPUTED_VALUE"""),3.0)</f>
        <v>3</v>
      </c>
      <c r="D70" s="2" t="str">
        <f>IFERROR(__xludf.DUMMYFUNCTION("""COMPUTED_VALUE"""),"Roshi")</f>
        <v>Roshi</v>
      </c>
      <c r="E70" s="2">
        <f>IFERROR(__xludf.DUMMYFUNCTION("""COMPUTED_VALUE"""),62793.0)</f>
        <v>62793</v>
      </c>
      <c r="F70" s="2" t="str">
        <f>IFERROR(__xludf.DUMMYFUNCTION("""COMPUTED_VALUE"""),"27o 32' 45""")</f>
        <v>27o 32' 45"</v>
      </c>
      <c r="G70" s="2" t="str">
        <f>IFERROR(__xludf.DUMMYFUNCTION("""COMPUTED_VALUE"""),"27o 34' 00""")</f>
        <v>27o 34' 00"</v>
      </c>
      <c r="H70" s="2" t="str">
        <f>IFERROR(__xludf.DUMMYFUNCTION("""COMPUTED_VALUE"""),"85o 31' 30""")</f>
        <v>85o 31' 30"</v>
      </c>
      <c r="I70" s="2" t="str">
        <f>IFERROR(__xludf.DUMMYFUNCTION("""COMPUTED_VALUE"""),"85o 34' 00""")</f>
        <v>85o 34' 00"</v>
      </c>
      <c r="J70" s="2" t="str">
        <f>IFERROR(__xludf.DUMMYFUNCTION("""COMPUTED_VALUE"""),"(Kabhrepalanchok)")</f>
        <v>(Kabhrepalanchok)</v>
      </c>
    </row>
    <row r="71">
      <c r="A71" s="2">
        <f>IFERROR(__xludf.DUMMYFUNCTION("""COMPUTED_VALUE"""),70.0)</f>
        <v>70</v>
      </c>
      <c r="B71" s="2" t="str">
        <f>IFERROR(__xludf.DUMMYFUNCTION("""COMPUTED_VALUE"""),"Roshi Khola-1 (SLC)")</f>
        <v>Roshi Khola-1 (SLC)</v>
      </c>
      <c r="C71" s="2">
        <f>IFERROR(__xludf.DUMMYFUNCTION("""COMPUTED_VALUE"""),2.406)</f>
        <v>2.406</v>
      </c>
      <c r="D71" s="2" t="str">
        <f>IFERROR(__xludf.DUMMYFUNCTION("""COMPUTED_VALUE"""),"Roshi")</f>
        <v>Roshi</v>
      </c>
      <c r="E71" s="2">
        <f>IFERROR(__xludf.DUMMYFUNCTION("""COMPUTED_VALUE"""),62838.0)</f>
        <v>62838</v>
      </c>
      <c r="F71" s="2" t="str">
        <f>IFERROR(__xludf.DUMMYFUNCTION("""COMPUTED_VALUE"""),"27o 26' 30""")</f>
        <v>27o 26' 30"</v>
      </c>
      <c r="G71" s="2" t="str">
        <f>IFERROR(__xludf.DUMMYFUNCTION("""COMPUTED_VALUE"""),"27o 28' 40""")</f>
        <v>27o 28' 40"</v>
      </c>
      <c r="H71" s="2" t="str">
        <f>IFERROR(__xludf.DUMMYFUNCTION("""COMPUTED_VALUE"""),"85o 45' 00""")</f>
        <v>85o 45' 00"</v>
      </c>
      <c r="I71" s="2" t="str">
        <f>IFERROR(__xludf.DUMMYFUNCTION("""COMPUTED_VALUE"""),"85o 46' 33""")</f>
        <v>85o 46' 33"</v>
      </c>
      <c r="J71" s="2" t="str">
        <f>IFERROR(__xludf.DUMMYFUNCTION("""COMPUTED_VALUE"""),"Bhimkhori (Kavrepalanchok)")</f>
        <v>Bhimkhori (Kavrepalanchok)</v>
      </c>
    </row>
    <row r="72">
      <c r="A72" s="2">
        <f>IFERROR(__xludf.DUMMYFUNCTION("""COMPUTED_VALUE"""),71.0)</f>
        <v>71</v>
      </c>
      <c r="B72" s="2" t="str">
        <f>IFERROR(__xludf.DUMMYFUNCTION("""COMPUTED_VALUE"""),"Roshi Mangaltar (SLC)")</f>
        <v>Roshi Mangaltar (SLC)</v>
      </c>
      <c r="C72" s="2">
        <f>IFERROR(__xludf.DUMMYFUNCTION("""COMPUTED_VALUE"""),4.5)</f>
        <v>4.5</v>
      </c>
      <c r="D72" s="2" t="str">
        <f>IFERROR(__xludf.DUMMYFUNCTION("""COMPUTED_VALUE"""),"Roshi")</f>
        <v>Roshi</v>
      </c>
      <c r="E72" s="2">
        <f>IFERROR(__xludf.DUMMYFUNCTION("""COMPUTED_VALUE"""),62793.0)</f>
        <v>62793</v>
      </c>
      <c r="F72" s="2" t="str">
        <f>IFERROR(__xludf.DUMMYFUNCTION("""COMPUTED_VALUE"""),"27o 28' 30""")</f>
        <v>27o 28' 30"</v>
      </c>
      <c r="G72" s="2" t="str">
        <f>IFERROR(__xludf.DUMMYFUNCTION("""COMPUTED_VALUE"""),"27o 30' 00""")</f>
        <v>27o 30' 00"</v>
      </c>
      <c r="H72" s="2" t="str">
        <f>IFERROR(__xludf.DUMMYFUNCTION("""COMPUTED_VALUE"""),"85o 43' 29""")</f>
        <v>85o 43' 29"</v>
      </c>
      <c r="I72" s="2" t="str">
        <f>IFERROR(__xludf.DUMMYFUNCTION("""COMPUTED_VALUE"""),"85o 45' 00""")</f>
        <v>85o 45' 00"</v>
      </c>
      <c r="J72" s="2" t="str">
        <f>IFERROR(__xludf.DUMMYFUNCTION("""COMPUTED_VALUE"""),"Mangaltar,Kharpachok (Kavrepalanchok)")</f>
        <v>Mangaltar,Kharpachok (Kavrepalanchok)</v>
      </c>
    </row>
    <row r="73">
      <c r="A73" s="2">
        <f>IFERROR(__xludf.DUMMYFUNCTION("""COMPUTED_VALUE"""),72.0)</f>
        <v>72</v>
      </c>
      <c r="B73" s="2" t="str">
        <f>IFERROR(__xludf.DUMMYFUNCTION("""COMPUTED_VALUE"""),"Rudi Khola HEP (SLC)")</f>
        <v>Rudi Khola HEP (SLC)</v>
      </c>
      <c r="C73" s="2">
        <f>IFERROR(__xludf.DUMMYFUNCTION("""COMPUTED_VALUE"""),1.52)</f>
        <v>1.52</v>
      </c>
      <c r="D73" s="2" t="str">
        <f>IFERROR(__xludf.DUMMYFUNCTION("""COMPUTED_VALUE"""),"Rudi")</f>
        <v>Rudi</v>
      </c>
      <c r="E73" s="2">
        <f>IFERROR(__xludf.DUMMYFUNCTION("""COMPUTED_VALUE"""),66074.0)</f>
        <v>66074</v>
      </c>
      <c r="F73" s="2" t="str">
        <f>IFERROR(__xludf.DUMMYFUNCTION("""COMPUTED_VALUE"""),"28o 13' 06""")</f>
        <v>28o 13' 06"</v>
      </c>
      <c r="G73" s="2" t="str">
        <f>IFERROR(__xludf.DUMMYFUNCTION("""COMPUTED_VALUE"""),"28o 13' 51""")</f>
        <v>28o 13' 51"</v>
      </c>
      <c r="H73" s="2" t="str">
        <f>IFERROR(__xludf.DUMMYFUNCTION("""COMPUTED_VALUE"""),"84o 12' 22""")</f>
        <v>84o 12' 22"</v>
      </c>
      <c r="I73" s="2" t="str">
        <f>IFERROR(__xludf.DUMMYFUNCTION("""COMPUTED_VALUE"""),"84o 13' 14""")</f>
        <v>84o 13' 14"</v>
      </c>
      <c r="J73" s="2" t="str">
        <f>IFERROR(__xludf.DUMMYFUNCTION("""COMPUTED_VALUE"""),"Bhoje,Gilung (Lamjung)")</f>
        <v>Bhoje,Gilung (Lamjung)</v>
      </c>
    </row>
    <row r="74">
      <c r="A74" s="2">
        <f>IFERROR(__xludf.DUMMYFUNCTION("""COMPUTED_VALUE"""),73.0)</f>
        <v>73</v>
      </c>
      <c r="B74" s="2" t="str">
        <f>IFERROR(__xludf.DUMMYFUNCTION("""COMPUTED_VALUE"""),"Rugrugad Small HEP (SLC)")</f>
        <v>Rugrugad Small HEP (SLC)</v>
      </c>
      <c r="C74" s="2">
        <f>IFERROR(__xludf.DUMMYFUNCTION("""COMPUTED_VALUE"""),4.91)</f>
        <v>4.91</v>
      </c>
      <c r="D74" s="2" t="str">
        <f>IFERROR(__xludf.DUMMYFUNCTION("""COMPUTED_VALUE"""),"Rugru gad")</f>
        <v>Rugru gad</v>
      </c>
      <c r="E74" s="2">
        <f>IFERROR(__xludf.DUMMYFUNCTION("""COMPUTED_VALUE"""),64553.0)</f>
        <v>64553</v>
      </c>
      <c r="F74" s="2" t="str">
        <f>IFERROR(__xludf.DUMMYFUNCTION("""COMPUTED_VALUE"""),"29o 46' 58""")</f>
        <v>29o 46' 58"</v>
      </c>
      <c r="G74" s="2" t="str">
        <f>IFERROR(__xludf.DUMMYFUNCTION("""COMPUTED_VALUE"""),"29o 47' 41""")</f>
        <v>29o 47' 41"</v>
      </c>
      <c r="H74" s="2" t="str">
        <f>IFERROR(__xludf.DUMMYFUNCTION("""COMPUTED_VALUE"""),"80o 47' 36""")</f>
        <v>80o 47' 36"</v>
      </c>
      <c r="I74" s="2" t="str">
        <f>IFERROR(__xludf.DUMMYFUNCTION("""COMPUTED_VALUE"""),"80o 48' 47""")</f>
        <v>80o 48' 47"</v>
      </c>
      <c r="J74" s="2" t="str">
        <f>IFERROR(__xludf.DUMMYFUNCTION("""COMPUTED_VALUE"""),"Khandeswori,Latinath,Sikhar (Darchula)")</f>
        <v>Khandeswori,Latinath,Sikhar (Darchula)</v>
      </c>
    </row>
    <row r="75">
      <c r="A75" s="2">
        <f>IFERROR(__xludf.DUMMYFUNCTION("""COMPUTED_VALUE"""),74.0)</f>
        <v>74</v>
      </c>
      <c r="B75" s="2" t="str">
        <f>IFERROR(__xludf.DUMMYFUNCTION("""COMPUTED_VALUE"""),"Sabha Khola (SLC)")</f>
        <v>Sabha Khola (SLC)</v>
      </c>
      <c r="C75" s="2">
        <f>IFERROR(__xludf.DUMMYFUNCTION("""COMPUTED_VALUE"""),2.4)</f>
        <v>2.4</v>
      </c>
      <c r="D75" s="2" t="str">
        <f>IFERROR(__xludf.DUMMYFUNCTION("""COMPUTED_VALUE"""),"Sabha Khola")</f>
        <v>Sabha Khola</v>
      </c>
      <c r="E75" s="2"/>
      <c r="F75" s="2" t="str">
        <f>IFERROR(__xludf.DUMMYFUNCTION("""COMPUTED_VALUE"""),"27o 21' 11""")</f>
        <v>27o 21' 11"</v>
      </c>
      <c r="G75" s="2" t="str">
        <f>IFERROR(__xludf.DUMMYFUNCTION("""COMPUTED_VALUE"""),"27o 21' 35""")</f>
        <v>27o 21' 35"</v>
      </c>
      <c r="H75" s="2" t="str">
        <f>IFERROR(__xludf.DUMMYFUNCTION("""COMPUTED_VALUE"""),"87o 13' 45""")</f>
        <v>87o 13' 45"</v>
      </c>
      <c r="I75" s="2" t="str">
        <f>IFERROR(__xludf.DUMMYFUNCTION("""COMPUTED_VALUE"""),"87o 14' 44""")</f>
        <v>87o 14' 44"</v>
      </c>
      <c r="J75" s="2" t="str">
        <f>IFERROR(__xludf.DUMMYFUNCTION("""COMPUTED_VALUE"""),"Syabun,Dhupu (Sankhuwasabha)")</f>
        <v>Syabun,Dhupu (Sankhuwasabha)</v>
      </c>
    </row>
    <row r="76">
      <c r="A76" s="2">
        <f>IFERROR(__xludf.DUMMYFUNCTION("""COMPUTED_VALUE"""),75.0)</f>
        <v>75</v>
      </c>
      <c r="B76" s="2" t="str">
        <f>IFERROR(__xludf.DUMMYFUNCTION("""COMPUTED_VALUE"""),"Sadhu Khola (SLC)")</f>
        <v>Sadhu Khola (SLC)</v>
      </c>
      <c r="C76" s="2">
        <f>IFERROR(__xludf.DUMMYFUNCTION("""COMPUTED_VALUE"""),8.3)</f>
        <v>8.3</v>
      </c>
      <c r="D76" s="2" t="str">
        <f>IFERROR(__xludf.DUMMYFUNCTION("""COMPUTED_VALUE"""),"Sadhu Khola")</f>
        <v>Sadhu Khola</v>
      </c>
      <c r="E76" s="2">
        <f>IFERROR(__xludf.DUMMYFUNCTION("""COMPUTED_VALUE"""),64531.0)</f>
        <v>64531</v>
      </c>
      <c r="F76" s="2" t="str">
        <f>IFERROR(__xludf.DUMMYFUNCTION("""COMPUTED_VALUE"""),"28o 25' 57""")</f>
        <v>28o 25' 57"</v>
      </c>
      <c r="G76" s="2" t="str">
        <f>IFERROR(__xludf.DUMMYFUNCTION("""COMPUTED_VALUE"""),"28o 26' 23""")</f>
        <v>28o 26' 23"</v>
      </c>
      <c r="H76" s="2" t="str">
        <f>IFERROR(__xludf.DUMMYFUNCTION("""COMPUTED_VALUE"""),"83o 58' 37""")</f>
        <v>83o 58' 37"</v>
      </c>
      <c r="I76" s="2" t="str">
        <f>IFERROR(__xludf.DUMMYFUNCTION("""COMPUTED_VALUE"""),"83o 59' 45""")</f>
        <v>83o 59' 45"</v>
      </c>
      <c r="J76" s="2" t="str">
        <f>IFERROR(__xludf.DUMMYFUNCTION("""COMPUTED_VALUE"""),"Machhapuchchhre (Kaski)")</f>
        <v>Machhapuchchhre (Kaski)</v>
      </c>
    </row>
    <row r="77">
      <c r="A77" s="2">
        <f>IFERROR(__xludf.DUMMYFUNCTION("""COMPUTED_VALUE"""),76.0)</f>
        <v>76</v>
      </c>
      <c r="B77" s="2" t="str">
        <f>IFERROR(__xludf.DUMMYFUNCTION("""COMPUTED_VALUE"""),"Sani Bheri 3 PRoR Cascade HEP (SLC)")</f>
        <v>Sani Bheri 3 PRoR Cascade HEP (SLC)</v>
      </c>
      <c r="C77" s="2">
        <f>IFERROR(__xludf.DUMMYFUNCTION("""COMPUTED_VALUE"""),30.0)</f>
        <v>30</v>
      </c>
      <c r="D77" s="2" t="str">
        <f>IFERROR(__xludf.DUMMYFUNCTION("""COMPUTED_VALUE"""),"Sani Bheri")</f>
        <v>Sani Bheri</v>
      </c>
      <c r="E77" s="2">
        <f>IFERROR(__xludf.DUMMYFUNCTION("""COMPUTED_VALUE"""),66464.0)</f>
        <v>66464</v>
      </c>
      <c r="F77" s="2" t="str">
        <f>IFERROR(__xludf.DUMMYFUNCTION("""COMPUTED_VALUE"""),"28o 39' 09""")</f>
        <v>28o 39' 09"</v>
      </c>
      <c r="G77" s="2" t="str">
        <f>IFERROR(__xludf.DUMMYFUNCTION("""COMPUTED_VALUE"""),"28o 40' 38""")</f>
        <v>28o 40' 38"</v>
      </c>
      <c r="H77" s="2" t="str">
        <f>IFERROR(__xludf.DUMMYFUNCTION("""COMPUTED_VALUE"""),"82o 26' 31""")</f>
        <v>82o 26' 31"</v>
      </c>
      <c r="I77" s="2" t="str">
        <f>IFERROR(__xludf.DUMMYFUNCTION("""COMPUTED_VALUE"""),"82o 29' 48""")</f>
        <v>82o 29' 48"</v>
      </c>
      <c r="J77" s="2" t="str">
        <f>IFERROR(__xludf.DUMMYFUNCTION("""COMPUTED_VALUE"""),"Musikot Khalanga (Rukum)")</f>
        <v>Musikot Khalanga (Rukum)</v>
      </c>
    </row>
    <row r="78">
      <c r="A78" s="2">
        <f>IFERROR(__xludf.DUMMYFUNCTION("""COMPUTED_VALUE"""),77.0)</f>
        <v>77</v>
      </c>
      <c r="B78" s="2" t="str">
        <f>IFERROR(__xludf.DUMMYFUNCTION("""COMPUTED_VALUE"""),"Sapsu Khola (SLC)")</f>
        <v>Sapsu Khola (SLC)</v>
      </c>
      <c r="C78" s="2">
        <f>IFERROR(__xludf.DUMMYFUNCTION("""COMPUTED_VALUE"""),2.78)</f>
        <v>2.78</v>
      </c>
      <c r="D78" s="2" t="str">
        <f>IFERROR(__xludf.DUMMYFUNCTION("""COMPUTED_VALUE"""),"Sapsu")</f>
        <v>Sapsu</v>
      </c>
      <c r="E78" s="2">
        <f>IFERROR(__xludf.DUMMYFUNCTION("""COMPUTED_VALUE"""),62793.0)</f>
        <v>62793</v>
      </c>
      <c r="F78" s="2" t="str">
        <f>IFERROR(__xludf.DUMMYFUNCTION("""COMPUTED_VALUE"""),"27o 08' 35""")</f>
        <v>27o 08' 35"</v>
      </c>
      <c r="G78" s="2" t="str">
        <f>IFERROR(__xludf.DUMMYFUNCTION("""COMPUTED_VALUE"""),"27o 09' 40""")</f>
        <v>27o 09' 40"</v>
      </c>
      <c r="H78" s="2" t="str">
        <f>IFERROR(__xludf.DUMMYFUNCTION("""COMPUTED_VALUE"""),"86o 45' 15""")</f>
        <v>86o 45' 15"</v>
      </c>
      <c r="I78" s="2" t="str">
        <f>IFERROR(__xludf.DUMMYFUNCTION("""COMPUTED_VALUE"""),"86o 48' 20""")</f>
        <v>86o 48' 20"</v>
      </c>
      <c r="J78" s="2" t="str">
        <f>IFERROR(__xludf.DUMMYFUNCTION("""COMPUTED_VALUE"""),"(Khotang)")</f>
        <v>(Khotang)</v>
      </c>
    </row>
    <row r="79">
      <c r="A79" s="2">
        <f>IFERROR(__xludf.DUMMYFUNCTION("""COMPUTED_VALUE"""),78.0)</f>
        <v>78</v>
      </c>
      <c r="B79" s="2" t="str">
        <f>IFERROR(__xludf.DUMMYFUNCTION("""COMPUTED_VALUE"""),"Sisuwa Khola (SLC)")</f>
        <v>Sisuwa Khola (SLC)</v>
      </c>
      <c r="C79" s="2">
        <f>IFERROR(__xludf.DUMMYFUNCTION("""COMPUTED_VALUE"""),2.67)</f>
        <v>2.67</v>
      </c>
      <c r="D79" s="2" t="str">
        <f>IFERROR(__xludf.DUMMYFUNCTION("""COMPUTED_VALUE"""),"Sisuwa")</f>
        <v>Sisuwa</v>
      </c>
      <c r="E79" s="2">
        <f>IFERROR(__xludf.DUMMYFUNCTION("""COMPUTED_VALUE"""),61028.0)</f>
        <v>61028</v>
      </c>
      <c r="F79" s="2" t="str">
        <f>IFERROR(__xludf.DUMMYFUNCTION("""COMPUTED_VALUE"""),"27o 28' 39""")</f>
        <v>27o 28' 39"</v>
      </c>
      <c r="G79" s="2" t="str">
        <f>IFERROR(__xludf.DUMMYFUNCTION("""COMPUTED_VALUE"""),"27o 30' 00""")</f>
        <v>27o 30' 00"</v>
      </c>
      <c r="H79" s="2" t="str">
        <f>IFERROR(__xludf.DUMMYFUNCTION("""COMPUTED_VALUE"""),"87o 01' 13""")</f>
        <v>87o 01' 13"</v>
      </c>
      <c r="I79" s="2" t="str">
        <f>IFERROR(__xludf.DUMMYFUNCTION("""COMPUTED_VALUE"""),"87o 02' 25""")</f>
        <v>87o 02' 25"</v>
      </c>
      <c r="J79" s="2" t="str">
        <f>IFERROR(__xludf.DUMMYFUNCTION("""COMPUTED_VALUE"""),"(Sankhuwasabha)")</f>
        <v>(Sankhuwasabha)</v>
      </c>
    </row>
    <row r="80">
      <c r="A80" s="2">
        <f>IFERROR(__xludf.DUMMYFUNCTION("""COMPUTED_VALUE"""),79.0)</f>
        <v>79</v>
      </c>
      <c r="B80" s="2" t="str">
        <f>IFERROR(__xludf.DUMMYFUNCTION("""COMPUTED_VALUE"""),"Small Likhu Khola (SLC)")</f>
        <v>Small Likhu Khola (SLC)</v>
      </c>
      <c r="C80" s="2">
        <f>IFERROR(__xludf.DUMMYFUNCTION("""COMPUTED_VALUE"""),1.5)</f>
        <v>1.5</v>
      </c>
      <c r="D80" s="2" t="str">
        <f>IFERROR(__xludf.DUMMYFUNCTION("""COMPUTED_VALUE"""),"Likhu Khola")</f>
        <v>Likhu Khola</v>
      </c>
      <c r="E80" s="2"/>
      <c r="F80" s="2" t="str">
        <f>IFERROR(__xludf.DUMMYFUNCTION("""COMPUTED_VALUE"""),"27o 51' 09""")</f>
        <v>27o 51' 09"</v>
      </c>
      <c r="G80" s="2" t="str">
        <f>IFERROR(__xludf.DUMMYFUNCTION("""COMPUTED_VALUE"""),"27o 52' 30""")</f>
        <v>27o 52' 30"</v>
      </c>
      <c r="H80" s="2" t="str">
        <f>IFERROR(__xludf.DUMMYFUNCTION("""COMPUTED_VALUE"""),"85o 16' 47""")</f>
        <v>85o 16' 47"</v>
      </c>
      <c r="I80" s="2" t="str">
        <f>IFERROR(__xludf.DUMMYFUNCTION("""COMPUTED_VALUE"""),"85o 19' 50""")</f>
        <v>85o 19' 50"</v>
      </c>
      <c r="J80" s="2" t="str">
        <f>IFERROR(__xludf.DUMMYFUNCTION("""COMPUTED_VALUE"""),"(Nuwakot)")</f>
        <v>(Nuwakot)</v>
      </c>
    </row>
    <row r="81">
      <c r="A81" s="2">
        <f>IFERROR(__xludf.DUMMYFUNCTION("""COMPUTED_VALUE"""),80.0)</f>
        <v>80</v>
      </c>
      <c r="B81" s="2" t="str">
        <f>IFERROR(__xludf.DUMMYFUNCTION("""COMPUTED_VALUE"""),"Super Lohare Khola (SLC)")</f>
        <v>Super Lohare Khola (SLC)</v>
      </c>
      <c r="C81" s="2">
        <f>IFERROR(__xludf.DUMMYFUNCTION("""COMPUTED_VALUE"""),1.53)</f>
        <v>1.53</v>
      </c>
      <c r="D81" s="2" t="str">
        <f>IFERROR(__xludf.DUMMYFUNCTION("""COMPUTED_VALUE"""),"Lohare Khola")</f>
        <v>Lohare Khola</v>
      </c>
      <c r="E81" s="2">
        <f>IFERROR(__xludf.DUMMYFUNCTION("""COMPUTED_VALUE"""),65756.0)</f>
        <v>65756</v>
      </c>
      <c r="F81" s="2" t="str">
        <f>IFERROR(__xludf.DUMMYFUNCTION("""COMPUTED_VALUE"""),"28o 55' 01""")</f>
        <v>28o 55' 01"</v>
      </c>
      <c r="G81" s="2" t="str">
        <f>IFERROR(__xludf.DUMMYFUNCTION("""COMPUTED_VALUE"""),"28o 55' 45""")</f>
        <v>28o 55' 45"</v>
      </c>
      <c r="H81" s="2" t="str">
        <f>IFERROR(__xludf.DUMMYFUNCTION("""COMPUTED_VALUE"""),"81o 48' 32""")</f>
        <v>81o 48' 32"</v>
      </c>
      <c r="I81" s="2" t="str">
        <f>IFERROR(__xludf.DUMMYFUNCTION("""COMPUTED_VALUE"""),"81o 49' 06""")</f>
        <v>81o 49' 06"</v>
      </c>
      <c r="J81" s="2" t="str">
        <f>IFERROR(__xludf.DUMMYFUNCTION("""COMPUTED_VALUE"""),"Nomule (Dailekh)")</f>
        <v>Nomule (Dailekh)</v>
      </c>
    </row>
    <row r="82">
      <c r="A82" s="2">
        <f>IFERROR(__xludf.DUMMYFUNCTION("""COMPUTED_VALUE"""),81.0)</f>
        <v>81</v>
      </c>
      <c r="B82" s="2" t="str">
        <f>IFERROR(__xludf.DUMMYFUNCTION("""COMPUTED_VALUE"""),"Super Lohare Khola -A (SLC)")</f>
        <v>Super Lohare Khola -A (SLC)</v>
      </c>
      <c r="C82" s="2">
        <f>IFERROR(__xludf.DUMMYFUNCTION("""COMPUTED_VALUE"""),1.3)</f>
        <v>1.3</v>
      </c>
      <c r="D82" s="2" t="str">
        <f>IFERROR(__xludf.DUMMYFUNCTION("""COMPUTED_VALUE"""),"Lohare Khola")</f>
        <v>Lohare Khola</v>
      </c>
      <c r="E82" s="2">
        <f>IFERROR(__xludf.DUMMYFUNCTION("""COMPUTED_VALUE"""),65756.0)</f>
        <v>65756</v>
      </c>
      <c r="F82" s="2" t="str">
        <f>IFERROR(__xludf.DUMMYFUNCTION("""COMPUTED_VALUE"""),"28o 57' 11""")</f>
        <v>28o 57' 11"</v>
      </c>
      <c r="G82" s="2" t="str">
        <f>IFERROR(__xludf.DUMMYFUNCTION("""COMPUTED_VALUE"""),"28o 57' 49""")</f>
        <v>28o 57' 49"</v>
      </c>
      <c r="H82" s="2" t="str">
        <f>IFERROR(__xludf.DUMMYFUNCTION("""COMPUTED_VALUE"""),"81o 47' 09""")</f>
        <v>81o 47' 09"</v>
      </c>
      <c r="I82" s="2" t="str">
        <f>IFERROR(__xludf.DUMMYFUNCTION("""COMPUTED_VALUE"""),"81o 48' 09""")</f>
        <v>81o 48' 09"</v>
      </c>
      <c r="J82" s="2" t="str">
        <f>IFERROR(__xludf.DUMMYFUNCTION("""COMPUTED_VALUE"""),"Nomule (Dailekh)")</f>
        <v>Nomule (Dailekh)</v>
      </c>
    </row>
    <row r="83">
      <c r="A83" s="2">
        <f>IFERROR(__xludf.DUMMYFUNCTION("""COMPUTED_VALUE"""),82.0)</f>
        <v>82</v>
      </c>
      <c r="B83" s="2" t="str">
        <f>IFERROR(__xludf.DUMMYFUNCTION("""COMPUTED_VALUE"""),"Tamakoshi- 9 (SLC)")</f>
        <v>Tamakoshi- 9 (SLC)</v>
      </c>
      <c r="C83" s="2">
        <f>IFERROR(__xludf.DUMMYFUNCTION("""COMPUTED_VALUE"""),10.5)</f>
        <v>10.5</v>
      </c>
      <c r="D83" s="2" t="str">
        <f>IFERROR(__xludf.DUMMYFUNCTION("""COMPUTED_VALUE"""),"Tamakoshi")</f>
        <v>Tamakoshi</v>
      </c>
      <c r="E83" s="2">
        <f>IFERROR(__xludf.DUMMYFUNCTION("""COMPUTED_VALUE"""),65755.0)</f>
        <v>65755</v>
      </c>
      <c r="F83" s="2" t="str">
        <f>IFERROR(__xludf.DUMMYFUNCTION("""COMPUTED_VALUE"""),"27o 56' 41""")</f>
        <v>27o 56' 41"</v>
      </c>
      <c r="G83" s="2" t="str">
        <f>IFERROR(__xludf.DUMMYFUNCTION("""COMPUTED_VALUE"""),"27o 57' 13""")</f>
        <v>27o 57' 13"</v>
      </c>
      <c r="H83" s="2" t="str">
        <f>IFERROR(__xludf.DUMMYFUNCTION("""COMPUTED_VALUE"""),"86o 12' 25""")</f>
        <v>86o 12' 25"</v>
      </c>
      <c r="I83" s="2" t="str">
        <f>IFERROR(__xludf.DUMMYFUNCTION("""COMPUTED_VALUE"""),"86o 13' 30""")</f>
        <v>86o 13' 30"</v>
      </c>
      <c r="J83" s="2" t="str">
        <f>IFERROR(__xludf.DUMMYFUNCTION("""COMPUTED_VALUE"""),"Lamabagar (Dolakha)")</f>
        <v>Lamabagar (Dolakha)</v>
      </c>
    </row>
    <row r="84">
      <c r="A84" s="2">
        <f>IFERROR(__xludf.DUMMYFUNCTION("""COMPUTED_VALUE"""),83.0)</f>
        <v>83</v>
      </c>
      <c r="B84" s="2" t="str">
        <f>IFERROR(__xludf.DUMMYFUNCTION("""COMPUTED_VALUE"""),"Taman Khola HEP-1 (SLC)")</f>
        <v>Taman Khola HEP-1 (SLC)</v>
      </c>
      <c r="C84" s="2">
        <f>IFERROR(__xludf.DUMMYFUNCTION("""COMPUTED_VALUE"""),4.4)</f>
        <v>4.4</v>
      </c>
      <c r="D84" s="2" t="str">
        <f>IFERROR(__xludf.DUMMYFUNCTION("""COMPUTED_VALUE"""),"Taman")</f>
        <v>Taman</v>
      </c>
      <c r="E84" s="2">
        <f>IFERROR(__xludf.DUMMYFUNCTION("""COMPUTED_VALUE"""),62793.0)</f>
        <v>62793</v>
      </c>
      <c r="F84" s="2" t="str">
        <f>IFERROR(__xludf.DUMMYFUNCTION("""COMPUTED_VALUE"""),"28o 21' 18""")</f>
        <v>28o 21' 18"</v>
      </c>
      <c r="G84" s="2" t="str">
        <f>IFERROR(__xludf.DUMMYFUNCTION("""COMPUTED_VALUE"""),"28o 22' 30""")</f>
        <v>28o 22' 30"</v>
      </c>
      <c r="H84" s="2" t="str">
        <f>IFERROR(__xludf.DUMMYFUNCTION("""COMPUTED_VALUE"""),"83o 10' 45""")</f>
        <v>83o 10' 45"</v>
      </c>
      <c r="I84" s="2" t="str">
        <f>IFERROR(__xludf.DUMMYFUNCTION("""COMPUTED_VALUE"""),"83o 12' 20""")</f>
        <v>83o 12' 20"</v>
      </c>
      <c r="J84" s="2" t="str">
        <f>IFERROR(__xludf.DUMMYFUNCTION("""COMPUTED_VALUE"""),"Adhikarichaur,Bungadovan,Khukhani,Khunga,Taman (Baglung)")</f>
        <v>Adhikarichaur,Bungadovan,Khukhani,Khunga,Taman (Baglung)</v>
      </c>
    </row>
    <row r="85">
      <c r="A85" s="2">
        <f>IFERROR(__xludf.DUMMYFUNCTION("""COMPUTED_VALUE"""),84.0)</f>
        <v>84</v>
      </c>
      <c r="B85" s="2" t="str">
        <f>IFERROR(__xludf.DUMMYFUNCTION("""COMPUTED_VALUE"""),"Taman Khola HEP-2 (SLC)")</f>
        <v>Taman Khola HEP-2 (SLC)</v>
      </c>
      <c r="C85" s="2">
        <f>IFERROR(__xludf.DUMMYFUNCTION("""COMPUTED_VALUE"""),4.0)</f>
        <v>4</v>
      </c>
      <c r="D85" s="2" t="str">
        <f>IFERROR(__xludf.DUMMYFUNCTION("""COMPUTED_VALUE"""),"Taman")</f>
        <v>Taman</v>
      </c>
      <c r="E85" s="2">
        <f>IFERROR(__xludf.DUMMYFUNCTION("""COMPUTED_VALUE"""),62793.0)</f>
        <v>62793</v>
      </c>
      <c r="F85" s="2" t="str">
        <f>IFERROR(__xludf.DUMMYFUNCTION("""COMPUTED_VALUE"""),"28o 22' 31""")</f>
        <v>28o 22' 31"</v>
      </c>
      <c r="G85" s="2" t="str">
        <f>IFERROR(__xludf.DUMMYFUNCTION("""COMPUTED_VALUE"""),"28o 24' 00""")</f>
        <v>28o 24' 00"</v>
      </c>
      <c r="H85" s="2" t="str">
        <f>IFERROR(__xludf.DUMMYFUNCTION("""COMPUTED_VALUE"""),"83o 11' 30""")</f>
        <v>83o 11' 30"</v>
      </c>
      <c r="I85" s="2" t="str">
        <f>IFERROR(__xludf.DUMMYFUNCTION("""COMPUTED_VALUE"""),"83o 12' 30""")</f>
        <v>83o 12' 30"</v>
      </c>
      <c r="J85" s="2" t="str">
        <f>IFERROR(__xludf.DUMMYFUNCTION("""COMPUTED_VALUE"""),"Adhikarichaur,Bungadovan,Khukhani,Khunga,Taman (Baglung)")</f>
        <v>Adhikarichaur,Bungadovan,Khukhani,Khunga,Taman (Baglung)</v>
      </c>
    </row>
    <row r="86">
      <c r="A86" s="2">
        <f>IFERROR(__xludf.DUMMYFUNCTION("""COMPUTED_VALUE"""),85.0)</f>
        <v>85</v>
      </c>
      <c r="B86" s="2" t="str">
        <f>IFERROR(__xludf.DUMMYFUNCTION("""COMPUTED_VALUE"""),"Tarap Khola (SLC)")</f>
        <v>Tarap Khola (SLC)</v>
      </c>
      <c r="C86" s="2">
        <f>IFERROR(__xludf.DUMMYFUNCTION("""COMPUTED_VALUE"""),50.0)</f>
        <v>50</v>
      </c>
      <c r="D86" s="2" t="str">
        <f>IFERROR(__xludf.DUMMYFUNCTION("""COMPUTED_VALUE"""),"Tarap")</f>
        <v>Tarap</v>
      </c>
      <c r="E86" s="2">
        <f>IFERROR(__xludf.DUMMYFUNCTION("""COMPUTED_VALUE"""),65316.0)</f>
        <v>65316</v>
      </c>
      <c r="F86" s="2" t="str">
        <f>IFERROR(__xludf.DUMMYFUNCTION("""COMPUTED_VALUE"""),"28o 53' 45""")</f>
        <v>28o 53' 45"</v>
      </c>
      <c r="G86" s="2" t="str">
        <f>IFERROR(__xludf.DUMMYFUNCTION("""COMPUTED_VALUE"""),"28o 57' 00""")</f>
        <v>28o 57' 00"</v>
      </c>
      <c r="H86" s="2" t="str">
        <f>IFERROR(__xludf.DUMMYFUNCTION("""COMPUTED_VALUE"""),"83o 01' 55""")</f>
        <v>83o 01' 55"</v>
      </c>
      <c r="I86" s="2" t="str">
        <f>IFERROR(__xludf.DUMMYFUNCTION("""COMPUTED_VALUE"""),"83o 04' 25""")</f>
        <v>83o 04' 25"</v>
      </c>
      <c r="J86" s="2" t="str">
        <f>IFERROR(__xludf.DUMMYFUNCTION("""COMPUTED_VALUE"""),"Mukot,Lawan (Dolpa)")</f>
        <v>Mukot,Lawan (Dolpa)</v>
      </c>
    </row>
    <row r="87">
      <c r="A87" s="2">
        <f>IFERROR(__xludf.DUMMYFUNCTION("""COMPUTED_VALUE"""),86.0)</f>
        <v>86</v>
      </c>
      <c r="B87" s="2" t="str">
        <f>IFERROR(__xludf.DUMMYFUNCTION("""COMPUTED_VALUE"""),"Thadekhani Khola (SLC)")</f>
        <v>Thadekhani Khola (SLC)</v>
      </c>
      <c r="C87" s="2">
        <f>IFERROR(__xludf.DUMMYFUNCTION("""COMPUTED_VALUE"""),5.0)</f>
        <v>5</v>
      </c>
      <c r="D87" s="2" t="str">
        <f>IFERROR(__xludf.DUMMYFUNCTION("""COMPUTED_VALUE"""),"Thadekhani Khola")</f>
        <v>Thadekhani Khola</v>
      </c>
      <c r="E87" s="2">
        <f>IFERROR(__xludf.DUMMYFUNCTION("""COMPUTED_VALUE"""),62793.0)</f>
        <v>62793</v>
      </c>
      <c r="F87" s="2" t="str">
        <f>IFERROR(__xludf.DUMMYFUNCTION("""COMPUTED_VALUE"""),"28o 26' 26""")</f>
        <v>28o 26' 26"</v>
      </c>
      <c r="G87" s="2" t="str">
        <f>IFERROR(__xludf.DUMMYFUNCTION("""COMPUTED_VALUE"""),"28o 27' 30""")</f>
        <v>28o 27' 30"</v>
      </c>
      <c r="H87" s="2" t="str">
        <f>IFERROR(__xludf.DUMMYFUNCTION("""COMPUTED_VALUE"""),"83o 29' 00""")</f>
        <v>83o 29' 00"</v>
      </c>
      <c r="I87" s="2" t="str">
        <f>IFERROR(__xludf.DUMMYFUNCTION("""COMPUTED_VALUE"""),"83o 31' 16""")</f>
        <v>83o 31' 16"</v>
      </c>
      <c r="J87" s="2" t="str">
        <f>IFERROR(__xludf.DUMMYFUNCTION("""COMPUTED_VALUE"""),"Pakhapani (Myagdi)")</f>
        <v>Pakhapani (Myagdi)</v>
      </c>
    </row>
    <row r="88">
      <c r="A88" s="2">
        <f>IFERROR(__xludf.DUMMYFUNCTION("""COMPUTED_VALUE"""),87.0)</f>
        <v>87</v>
      </c>
      <c r="B88" s="2" t="str">
        <f>IFERROR(__xludf.DUMMYFUNCTION("""COMPUTED_VALUE"""),"Thuli Gad A (SLC)")</f>
        <v>Thuli Gad A (SLC)</v>
      </c>
      <c r="C88" s="2">
        <f>IFERROR(__xludf.DUMMYFUNCTION("""COMPUTED_VALUE"""),3.988)</f>
        <v>3.988</v>
      </c>
      <c r="D88" s="2" t="str">
        <f>IFERROR(__xludf.DUMMYFUNCTION("""COMPUTED_VALUE"""),"Thuli Gad")</f>
        <v>Thuli Gad</v>
      </c>
      <c r="E88" s="2">
        <f>IFERROR(__xludf.DUMMYFUNCTION("""COMPUTED_VALUE"""),62793.0)</f>
        <v>62793</v>
      </c>
      <c r="F88" s="2" t="str">
        <f>IFERROR(__xludf.DUMMYFUNCTION("""COMPUTED_VALUE"""),"29o 19' 45""")</f>
        <v>29o 19' 45"</v>
      </c>
      <c r="G88" s="2" t="str">
        <f>IFERROR(__xludf.DUMMYFUNCTION("""COMPUTED_VALUE"""),"29o 20' 45""")</f>
        <v>29o 20' 45"</v>
      </c>
      <c r="H88" s="2" t="str">
        <f>IFERROR(__xludf.DUMMYFUNCTION("""COMPUTED_VALUE"""),"80o 24' 45""")</f>
        <v>80o 24' 45"</v>
      </c>
      <c r="I88" s="2" t="str">
        <f>IFERROR(__xludf.DUMMYFUNCTION("""COMPUTED_VALUE"""),"80o 27' 10""")</f>
        <v>80o 27' 10"</v>
      </c>
      <c r="J88" s="2" t="str">
        <f>IFERROR(__xludf.DUMMYFUNCTION("""COMPUTED_VALUE"""),"(Dadeldhura)")</f>
        <v>(Dadeldhura)</v>
      </c>
    </row>
    <row r="89">
      <c r="A89" s="2">
        <f>IFERROR(__xludf.DUMMYFUNCTION("""COMPUTED_VALUE"""),88.0)</f>
        <v>88</v>
      </c>
      <c r="B89" s="2" t="str">
        <f>IFERROR(__xludf.DUMMYFUNCTION("""COMPUTED_VALUE"""),"Thuli Gad B (SLC)")</f>
        <v>Thuli Gad B (SLC)</v>
      </c>
      <c r="C89" s="2">
        <f>IFERROR(__xludf.DUMMYFUNCTION("""COMPUTED_VALUE"""),4.8)</f>
        <v>4.8</v>
      </c>
      <c r="D89" s="2" t="str">
        <f>IFERROR(__xludf.DUMMYFUNCTION("""COMPUTED_VALUE"""),"Thuli Gad")</f>
        <v>Thuli Gad</v>
      </c>
      <c r="E89" s="2">
        <f>IFERROR(__xludf.DUMMYFUNCTION("""COMPUTED_VALUE"""),62793.0)</f>
        <v>62793</v>
      </c>
      <c r="F89" s="2" t="str">
        <f>IFERROR(__xludf.DUMMYFUNCTION("""COMPUTED_VALUE"""),"29o 18' 00""")</f>
        <v>29o 18' 00"</v>
      </c>
      <c r="G89" s="2" t="str">
        <f>IFERROR(__xludf.DUMMYFUNCTION("""COMPUTED_VALUE"""),"29o 19' 25""")</f>
        <v>29o 19' 25"</v>
      </c>
      <c r="H89" s="2" t="str">
        <f>IFERROR(__xludf.DUMMYFUNCTION("""COMPUTED_VALUE"""),"80o 26' 50""")</f>
        <v>80o 26' 50"</v>
      </c>
      <c r="I89" s="2" t="str">
        <f>IFERROR(__xludf.DUMMYFUNCTION("""COMPUTED_VALUE"""),"80o 29' 00""")</f>
        <v>80o 29' 00"</v>
      </c>
      <c r="J89" s="2" t="str">
        <f>IFERROR(__xludf.DUMMYFUNCTION("""COMPUTED_VALUE"""),"(Dadeldhura)")</f>
        <v>(Dadeldhura)</v>
      </c>
    </row>
    <row r="90">
      <c r="A90" s="2">
        <f>IFERROR(__xludf.DUMMYFUNCTION("""COMPUTED_VALUE"""),89.0)</f>
        <v>89</v>
      </c>
      <c r="B90" s="2" t="str">
        <f>IFERROR(__xludf.DUMMYFUNCTION("""COMPUTED_VALUE"""),"Tom Dogar A (SLC)")</f>
        <v>Tom Dogar A (SLC)</v>
      </c>
      <c r="C90" s="2">
        <f>IFERROR(__xludf.DUMMYFUNCTION("""COMPUTED_VALUE"""),107.4)</f>
        <v>107.4</v>
      </c>
      <c r="D90" s="2" t="str">
        <f>IFERROR(__xludf.DUMMYFUNCTION("""COMPUTED_VALUE"""),"Tom khola")</f>
        <v>Tom khola</v>
      </c>
      <c r="E90" s="2"/>
      <c r="F90" s="2" t="str">
        <f>IFERROR(__xludf.DUMMYFUNCTION("""COMPUTED_VALUE"""),"28o 32' 04""")</f>
        <v>28o 32' 04"</v>
      </c>
      <c r="G90" s="2" t="str">
        <f>IFERROR(__xludf.DUMMYFUNCTION("""COMPUTED_VALUE"""),"28o 35' 00""")</f>
        <v>28o 35' 00"</v>
      </c>
      <c r="H90" s="2" t="str">
        <f>IFERROR(__xludf.DUMMYFUNCTION("""COMPUTED_VALUE"""),"84o 47' 33""")</f>
        <v>84o 47' 33"</v>
      </c>
      <c r="I90" s="2" t="str">
        <f>IFERROR(__xludf.DUMMYFUNCTION("""COMPUTED_VALUE"""),"84o 49' 56""")</f>
        <v>84o 49' 56"</v>
      </c>
      <c r="J90" s="2" t="str">
        <f>IFERROR(__xludf.DUMMYFUNCTION("""COMPUTED_VALUE"""),"Prok (Gorkha)")</f>
        <v>Prok (Gorkha)</v>
      </c>
    </row>
    <row r="91">
      <c r="A91" s="2">
        <f>IFERROR(__xludf.DUMMYFUNCTION("""COMPUTED_VALUE"""),90.0)</f>
        <v>90</v>
      </c>
      <c r="B91" s="2" t="str">
        <f>IFERROR(__xludf.DUMMYFUNCTION("""COMPUTED_VALUE"""),"Trishuli Khola Small (SLC)")</f>
        <v>Trishuli Khola Small (SLC)</v>
      </c>
      <c r="C91" s="2">
        <f>IFERROR(__xludf.DUMMYFUNCTION("""COMPUTED_VALUE"""),8.0)</f>
        <v>8</v>
      </c>
      <c r="D91" s="2" t="str">
        <f>IFERROR(__xludf.DUMMYFUNCTION("""COMPUTED_VALUE"""),"Trishuli Khola")</f>
        <v>Trishuli Khola</v>
      </c>
      <c r="E91" s="2">
        <f>IFERROR(__xludf.DUMMYFUNCTION("""COMPUTED_VALUE"""),66159.0)</f>
        <v>66159</v>
      </c>
      <c r="F91" s="2" t="str">
        <f>IFERROR(__xludf.DUMMYFUNCTION("""COMPUTED_VALUE"""),"28o 05' 50""")</f>
        <v>28o 05' 50"</v>
      </c>
      <c r="G91" s="2" t="str">
        <f>IFERROR(__xludf.DUMMYFUNCTION("""COMPUTED_VALUE"""),"28o 07' 41""")</f>
        <v>28o 07' 41"</v>
      </c>
      <c r="H91" s="2" t="str">
        <f>IFERROR(__xludf.DUMMYFUNCTION("""COMPUTED_VALUE"""),"85o 17' 58""")</f>
        <v>85o 17' 58"</v>
      </c>
      <c r="I91" s="2" t="str">
        <f>IFERROR(__xludf.DUMMYFUNCTION("""COMPUTED_VALUE"""),"85o 19' 20""")</f>
        <v>85o 19' 20"</v>
      </c>
      <c r="J91" s="2" t="str">
        <f>IFERROR(__xludf.DUMMYFUNCTION("""COMPUTED_VALUE"""),"Dhunche (Rasuwa)")</f>
        <v>Dhunche (Rasuwa)</v>
      </c>
    </row>
    <row r="92">
      <c r="A92" s="2">
        <f>IFERROR(__xludf.DUMMYFUNCTION("""COMPUTED_VALUE"""),91.0)</f>
        <v>91</v>
      </c>
      <c r="B92" s="2" t="str">
        <f>IFERROR(__xludf.DUMMYFUNCTION("""COMPUTED_VALUE"""),"Upper Bhairabkunda (SLC)")</f>
        <v>Upper Bhairabkunda (SLC)</v>
      </c>
      <c r="C92" s="2">
        <f>IFERROR(__xludf.DUMMYFUNCTION("""COMPUTED_VALUE"""),3.7)</f>
        <v>3.7</v>
      </c>
      <c r="D92" s="2" t="str">
        <f>IFERROR(__xludf.DUMMYFUNCTION("""COMPUTED_VALUE"""),"Bhairab Kund")</f>
        <v>Bhairab Kund</v>
      </c>
      <c r="E92" s="2">
        <f>IFERROR(__xludf.DUMMYFUNCTION("""COMPUTED_VALUE"""),66237.0)</f>
        <v>66237</v>
      </c>
      <c r="F92" s="2" t="str">
        <f>IFERROR(__xludf.DUMMYFUNCTION("""COMPUTED_VALUE"""),"27o 56' 18""")</f>
        <v>27o 56' 18"</v>
      </c>
      <c r="G92" s="2" t="str">
        <f>IFERROR(__xludf.DUMMYFUNCTION("""COMPUTED_VALUE"""),"27o 57' 13""")</f>
        <v>27o 57' 13"</v>
      </c>
      <c r="H92" s="2" t="str">
        <f>IFERROR(__xludf.DUMMYFUNCTION("""COMPUTED_VALUE"""),"85o 54' 52""")</f>
        <v>85o 54' 52"</v>
      </c>
      <c r="I92" s="2" t="str">
        <f>IFERROR(__xludf.DUMMYFUNCTION("""COMPUTED_VALUE"""),"85o 55' 53""")</f>
        <v>85o 55' 53"</v>
      </c>
      <c r="J92" s="2" t="str">
        <f>IFERROR(__xludf.DUMMYFUNCTION("""COMPUTED_VALUE"""),"Tatopani (Sindhupalchok)")</f>
        <v>Tatopani (Sindhupalchok)</v>
      </c>
    </row>
    <row r="93">
      <c r="A93" s="2">
        <f>IFERROR(__xludf.DUMMYFUNCTION("""COMPUTED_VALUE"""),92.0)</f>
        <v>92</v>
      </c>
      <c r="B93" s="2" t="str">
        <f>IFERROR(__xludf.DUMMYFUNCTION("""COMPUTED_VALUE"""),"Upper Ghatte Khola Small (SLC)")</f>
        <v>Upper Ghatte Khola Small (SLC)</v>
      </c>
      <c r="C93" s="2">
        <f>IFERROR(__xludf.DUMMYFUNCTION("""COMPUTED_VALUE"""),2.73)</f>
        <v>2.73</v>
      </c>
      <c r="D93" s="2" t="str">
        <f>IFERROR(__xludf.DUMMYFUNCTION("""COMPUTED_VALUE"""),"Ghatte Khola (Dolakha)")</f>
        <v>Ghatte Khola (Dolakha)</v>
      </c>
      <c r="E93" s="2">
        <f>IFERROR(__xludf.DUMMYFUNCTION("""COMPUTED_VALUE"""),64529.0)</f>
        <v>64529</v>
      </c>
      <c r="F93" s="2" t="str">
        <f>IFERROR(__xludf.DUMMYFUNCTION("""COMPUTED_VALUE"""),"27o 45' 31""")</f>
        <v>27o 45' 31"</v>
      </c>
      <c r="G93" s="2" t="str">
        <f>IFERROR(__xludf.DUMMYFUNCTION("""COMPUTED_VALUE"""),"27o 46' 24""")</f>
        <v>27o 46' 24"</v>
      </c>
      <c r="H93" s="2" t="str">
        <f>IFERROR(__xludf.DUMMYFUNCTION("""COMPUTED_VALUE"""),"86o 17' 53""")</f>
        <v>86o 17' 53"</v>
      </c>
      <c r="I93" s="2" t="str">
        <f>IFERROR(__xludf.DUMMYFUNCTION("""COMPUTED_VALUE"""),"86o 19' 34""")</f>
        <v>86o 19' 34"</v>
      </c>
      <c r="J93" s="2" t="str">
        <f>IFERROR(__xludf.DUMMYFUNCTION("""COMPUTED_VALUE"""),"Marbu (Dolakha)")</f>
        <v>Marbu (Dolakha)</v>
      </c>
    </row>
    <row r="94">
      <c r="A94" s="2">
        <f>IFERROR(__xludf.DUMMYFUNCTION("""COMPUTED_VALUE"""),93.0)</f>
        <v>93</v>
      </c>
      <c r="B94" s="2" t="str">
        <f>IFERROR(__xludf.DUMMYFUNCTION("""COMPUTED_VALUE"""),"Upper Indrawati (SLC)")</f>
        <v>Upper Indrawati (SLC)</v>
      </c>
      <c r="C94" s="2">
        <f>IFERROR(__xludf.DUMMYFUNCTION("""COMPUTED_VALUE"""),4.0)</f>
        <v>4</v>
      </c>
      <c r="D94" s="2" t="str">
        <f>IFERROR(__xludf.DUMMYFUNCTION("""COMPUTED_VALUE"""),"Indrawati")</f>
        <v>Indrawati</v>
      </c>
      <c r="E94" s="2">
        <f>IFERROR(__xludf.DUMMYFUNCTION("""COMPUTED_VALUE"""),62793.0)</f>
        <v>62793</v>
      </c>
      <c r="F94" s="2" t="str">
        <f>IFERROR(__xludf.DUMMYFUNCTION("""COMPUTED_VALUE"""),"27o 53' 16""")</f>
        <v>27o 53' 16"</v>
      </c>
      <c r="G94" s="2" t="str">
        <f>IFERROR(__xludf.DUMMYFUNCTION("""COMPUTED_VALUE"""),"27o 54' 32""")</f>
        <v>27o 54' 32"</v>
      </c>
      <c r="H94" s="2" t="str">
        <f>IFERROR(__xludf.DUMMYFUNCTION("""COMPUTED_VALUE"""),"85o 37' 00""")</f>
        <v>85o 37' 00"</v>
      </c>
      <c r="I94" s="2" t="str">
        <f>IFERROR(__xludf.DUMMYFUNCTION("""COMPUTED_VALUE"""),"85o 37' 35""")</f>
        <v>85o 37' 35"</v>
      </c>
      <c r="J94" s="2" t="str">
        <f>IFERROR(__xludf.DUMMYFUNCTION("""COMPUTED_VALUE"""),"Banskharka (Sindhupalchok)")</f>
        <v>Banskharka (Sindhupalchok)</v>
      </c>
    </row>
    <row r="95">
      <c r="A95" s="2">
        <f>IFERROR(__xludf.DUMMYFUNCTION("""COMPUTED_VALUE"""),94.0)</f>
        <v>94</v>
      </c>
      <c r="B95" s="2" t="str">
        <f>IFERROR(__xludf.DUMMYFUNCTION("""COMPUTED_VALUE"""),"Upper Indrawati HEP (SLC)")</f>
        <v>Upper Indrawati HEP (SLC)</v>
      </c>
      <c r="C95" s="2">
        <f>IFERROR(__xludf.DUMMYFUNCTION("""COMPUTED_VALUE"""),4.6)</f>
        <v>4.6</v>
      </c>
      <c r="D95" s="2" t="str">
        <f>IFERROR(__xludf.DUMMYFUNCTION("""COMPUTED_VALUE"""),"Indrawati")</f>
        <v>Indrawati</v>
      </c>
      <c r="E95" s="2">
        <f>IFERROR(__xludf.DUMMYFUNCTION("""COMPUTED_VALUE"""),65537.0)</f>
        <v>65537</v>
      </c>
      <c r="F95" s="2" t="str">
        <f>IFERROR(__xludf.DUMMYFUNCTION("""COMPUTED_VALUE"""),"27o 57' 56""")</f>
        <v>27o 57' 56"</v>
      </c>
      <c r="G95" s="2" t="str">
        <f>IFERROR(__xludf.DUMMYFUNCTION("""COMPUTED_VALUE"""),"27o 59' 24""")</f>
        <v>27o 59' 24"</v>
      </c>
      <c r="H95" s="2" t="str">
        <f>IFERROR(__xludf.DUMMYFUNCTION("""COMPUTED_VALUE"""),"85o 38' 08""")</f>
        <v>85o 38' 08"</v>
      </c>
      <c r="I95" s="2" t="str">
        <f>IFERROR(__xludf.DUMMYFUNCTION("""COMPUTED_VALUE"""),"85o 39' 36""")</f>
        <v>85o 39' 36"</v>
      </c>
      <c r="J95" s="2" t="str">
        <f>IFERROR(__xludf.DUMMYFUNCTION("""COMPUTED_VALUE"""),"Baruwa,Bhotang,Thanpalkot (Sindhupalchok)")</f>
        <v>Baruwa,Bhotang,Thanpalkot (Sindhupalchok)</v>
      </c>
    </row>
    <row r="96">
      <c r="A96" s="2">
        <f>IFERROR(__xludf.DUMMYFUNCTION("""COMPUTED_VALUE"""),95.0)</f>
        <v>95</v>
      </c>
      <c r="B96" s="2" t="str">
        <f>IFERROR(__xludf.DUMMYFUNCTION("""COMPUTED_VALUE"""),"Upper Isuwa (SLC)")</f>
        <v>Upper Isuwa (SLC)</v>
      </c>
      <c r="C96" s="2">
        <f>IFERROR(__xludf.DUMMYFUNCTION("""COMPUTED_VALUE"""),24.3)</f>
        <v>24.3</v>
      </c>
      <c r="D96" s="2" t="str">
        <f>IFERROR(__xludf.DUMMYFUNCTION("""COMPUTED_VALUE"""),"Isuwa Khola")</f>
        <v>Isuwa Khola</v>
      </c>
      <c r="E96" s="2">
        <f>IFERROR(__xludf.DUMMYFUNCTION("""COMPUTED_VALUE"""),65488.0)</f>
        <v>65488</v>
      </c>
      <c r="F96" s="2" t="str">
        <f>IFERROR(__xludf.DUMMYFUNCTION("""COMPUTED_VALUE"""),"27o 37' 08""")</f>
        <v>27o 37' 08"</v>
      </c>
      <c r="G96" s="2" t="str">
        <f>IFERROR(__xludf.DUMMYFUNCTION("""COMPUTED_VALUE"""),"27o 39' 13""")</f>
        <v>27o 39' 13"</v>
      </c>
      <c r="H96" s="2" t="str">
        <f>IFERROR(__xludf.DUMMYFUNCTION("""COMPUTED_VALUE"""),"87o 10' 56""")</f>
        <v>87o 10' 56"</v>
      </c>
      <c r="I96" s="2" t="str">
        <f>IFERROR(__xludf.DUMMYFUNCTION("""COMPUTED_VALUE"""),"87o 12' 10""")</f>
        <v>87o 12' 10"</v>
      </c>
      <c r="J96" s="2" t="str">
        <f>IFERROR(__xludf.DUMMYFUNCTION("""COMPUTED_VALUE"""),"Makalu (Sankhuwasabha)")</f>
        <v>Makalu (Sankhuwasabha)</v>
      </c>
    </row>
    <row r="97">
      <c r="A97" s="2">
        <f>IFERROR(__xludf.DUMMYFUNCTION("""COMPUTED_VALUE"""),96.0)</f>
        <v>96</v>
      </c>
      <c r="B97" s="2" t="str">
        <f>IFERROR(__xludf.DUMMYFUNCTION("""COMPUTED_VALUE"""),"Upper Jogmai (SLC)")</f>
        <v>Upper Jogmai (SLC)</v>
      </c>
      <c r="C97" s="2">
        <f>IFERROR(__xludf.DUMMYFUNCTION("""COMPUTED_VALUE"""),3.3)</f>
        <v>3.3</v>
      </c>
      <c r="D97" s="2" t="str">
        <f>IFERROR(__xludf.DUMMYFUNCTION("""COMPUTED_VALUE"""),"Jogmai Khola")</f>
        <v>Jogmai Khola</v>
      </c>
      <c r="E97" s="2">
        <f>IFERROR(__xludf.DUMMYFUNCTION("""COMPUTED_VALUE"""),62793.0)</f>
        <v>62793</v>
      </c>
      <c r="F97" s="2" t="str">
        <f>IFERROR(__xludf.DUMMYFUNCTION("""COMPUTED_VALUE"""),"26o 56' 17""")</f>
        <v>26o 56' 17"</v>
      </c>
      <c r="G97" s="2" t="str">
        <f>IFERROR(__xludf.DUMMYFUNCTION("""COMPUTED_VALUE"""),"26o 57' 58""")</f>
        <v>26o 57' 58"</v>
      </c>
      <c r="H97" s="2" t="str">
        <f>IFERROR(__xludf.DUMMYFUNCTION("""COMPUTED_VALUE"""),"88o 02' 55""")</f>
        <v>88o 02' 55"</v>
      </c>
      <c r="I97" s="2" t="str">
        <f>IFERROR(__xludf.DUMMYFUNCTION("""COMPUTED_VALUE"""),"88o 05' 30""")</f>
        <v>88o 05' 30"</v>
      </c>
      <c r="J97" s="2" t="str">
        <f>IFERROR(__xludf.DUMMYFUNCTION("""COMPUTED_VALUE"""),"Naya Bazar (Ilam)")</f>
        <v>Naya Bazar (Ilam)</v>
      </c>
    </row>
    <row r="98">
      <c r="A98" s="2">
        <f>IFERROR(__xludf.DUMMYFUNCTION("""COMPUTED_VALUE"""),97.0)</f>
        <v>97</v>
      </c>
      <c r="B98" s="2" t="str">
        <f>IFERROR(__xludf.DUMMYFUNCTION("""COMPUTED_VALUE"""),"Upper Katti Khola (SLC)")</f>
        <v>Upper Katti Khola (SLC)</v>
      </c>
      <c r="C98" s="2">
        <f>IFERROR(__xludf.DUMMYFUNCTION("""COMPUTED_VALUE"""),1.648)</f>
        <v>1.648</v>
      </c>
      <c r="D98" s="2" t="str">
        <f>IFERROR(__xludf.DUMMYFUNCTION("""COMPUTED_VALUE"""),"Katti")</f>
        <v>Katti</v>
      </c>
      <c r="E98" s="2">
        <f>IFERROR(__xludf.DUMMYFUNCTION("""COMPUTED_VALUE"""),62793.0)</f>
        <v>62793</v>
      </c>
      <c r="F98" s="2" t="str">
        <f>IFERROR(__xludf.DUMMYFUNCTION("""COMPUTED_VALUE"""),"28o 46' 50""")</f>
        <v>28o 46' 50"</v>
      </c>
      <c r="G98" s="2" t="str">
        <f>IFERROR(__xludf.DUMMYFUNCTION("""COMPUTED_VALUE"""),"28o 47' 30""")</f>
        <v>28o 47' 30"</v>
      </c>
      <c r="H98" s="2" t="str">
        <f>IFERROR(__xludf.DUMMYFUNCTION("""COMPUTED_VALUE"""),"81o 48' 08""")</f>
        <v>81o 48' 08"</v>
      </c>
      <c r="I98" s="2" t="str">
        <f>IFERROR(__xludf.DUMMYFUNCTION("""COMPUTED_VALUE"""),"81o 50' 23""")</f>
        <v>81o 50' 23"</v>
      </c>
      <c r="J98" s="2" t="str">
        <f>IFERROR(__xludf.DUMMYFUNCTION("""COMPUTED_VALUE"""),"Katti,Pagnath,Room (Dailekh)")</f>
        <v>Katti,Pagnath,Room (Dailekh)</v>
      </c>
    </row>
    <row r="99">
      <c r="A99" s="2">
        <f>IFERROR(__xludf.DUMMYFUNCTION("""COMPUTED_VALUE"""),98.0)</f>
        <v>98</v>
      </c>
      <c r="B99" s="2" t="str">
        <f>IFERROR(__xludf.DUMMYFUNCTION("""COMPUTED_VALUE"""),"Upper Lambu Khola (SLC)")</f>
        <v>Upper Lambu Khola (SLC)</v>
      </c>
      <c r="C99" s="2">
        <f>IFERROR(__xludf.DUMMYFUNCTION("""COMPUTED_VALUE"""),2.1)</f>
        <v>2.1</v>
      </c>
      <c r="D99" s="2" t="str">
        <f>IFERROR(__xludf.DUMMYFUNCTION("""COMPUTED_VALUE"""),"Lambu")</f>
        <v>Lambu</v>
      </c>
      <c r="E99" s="2">
        <f>IFERROR(__xludf.DUMMYFUNCTION("""COMPUTED_VALUE"""),62793.0)</f>
        <v>62793</v>
      </c>
      <c r="F99" s="2" t="str">
        <f>IFERROR(__xludf.DUMMYFUNCTION("""COMPUTED_VALUE"""),"27o 05' 17""")</f>
        <v>27o 05' 17"</v>
      </c>
      <c r="G99" s="2" t="str">
        <f>IFERROR(__xludf.DUMMYFUNCTION("""COMPUTED_VALUE"""),"27o 06' 11""")</f>
        <v>27o 06' 11"</v>
      </c>
      <c r="H99" s="2" t="str">
        <f>IFERROR(__xludf.DUMMYFUNCTION("""COMPUTED_VALUE"""),"87o 27' 50""")</f>
        <v>87o 27' 50"</v>
      </c>
      <c r="I99" s="2" t="str">
        <f>IFERROR(__xludf.DUMMYFUNCTION("""COMPUTED_VALUE"""),"87o 30' 51""")</f>
        <v>87o 30' 51"</v>
      </c>
      <c r="J99" s="2" t="str">
        <f>IFERROR(__xludf.DUMMYFUNCTION("""COMPUTED_VALUE"""),"(Terhathum)")</f>
        <v>(Terhathum)</v>
      </c>
    </row>
    <row r="100">
      <c r="A100" s="2">
        <f>IFERROR(__xludf.DUMMYFUNCTION("""COMPUTED_VALUE"""),99.0)</f>
        <v>99</v>
      </c>
      <c r="B100" s="2" t="str">
        <f>IFERROR(__xludf.DUMMYFUNCTION("""COMPUTED_VALUE"""),"upper Madame (SLC)")</f>
        <v>upper Madame (SLC)</v>
      </c>
      <c r="C100" s="2">
        <f>IFERROR(__xludf.DUMMYFUNCTION("""COMPUTED_VALUE"""),12.3)</f>
        <v>12.3</v>
      </c>
      <c r="D100" s="2" t="str">
        <f>IFERROR(__xludf.DUMMYFUNCTION("""COMPUTED_VALUE"""),"Madame Khola")</f>
        <v>Madame Khola</v>
      </c>
      <c r="E100" s="2">
        <f>IFERROR(__xludf.DUMMYFUNCTION("""COMPUTED_VALUE"""),65122.0)</f>
        <v>65122</v>
      </c>
      <c r="F100" s="2" t="str">
        <f>IFERROR(__xludf.DUMMYFUNCTION("""COMPUTED_VALUE"""),"28o 25' 50""")</f>
        <v>28o 25' 50"</v>
      </c>
      <c r="G100" s="2" t="str">
        <f>IFERROR(__xludf.DUMMYFUNCTION("""COMPUTED_VALUE"""),"28o 26' 40""")</f>
        <v>28o 26' 40"</v>
      </c>
      <c r="H100" s="2" t="str">
        <f>IFERROR(__xludf.DUMMYFUNCTION("""COMPUTED_VALUE"""),"84o 09' 13""")</f>
        <v>84o 09' 13"</v>
      </c>
      <c r="I100" s="2" t="str">
        <f>IFERROR(__xludf.DUMMYFUNCTION("""COMPUTED_VALUE"""),"84o 10' 48""")</f>
        <v>84o 10' 48"</v>
      </c>
      <c r="J100" s="2" t="str">
        <f>IFERROR(__xludf.DUMMYFUNCTION("""COMPUTED_VALUE"""),"Namarjung (Kaski)")</f>
        <v>Namarjung (Kaski)</v>
      </c>
    </row>
    <row r="101">
      <c r="A101" s="2">
        <f>IFERROR(__xludf.DUMMYFUNCTION("""COMPUTED_VALUE"""),100.0)</f>
        <v>100</v>
      </c>
      <c r="B101" s="2" t="str">
        <f>IFERROR(__xludf.DUMMYFUNCTION("""COMPUTED_VALUE"""),"Upper Maya Khola (SLC)")</f>
        <v>Upper Maya Khola (SLC)</v>
      </c>
      <c r="C101" s="2">
        <f>IFERROR(__xludf.DUMMYFUNCTION("""COMPUTED_VALUE"""),3.098)</f>
        <v>3.098</v>
      </c>
      <c r="D101" s="2" t="str">
        <f>IFERROR(__xludf.DUMMYFUNCTION("""COMPUTED_VALUE"""),"Maya")</f>
        <v>Maya</v>
      </c>
      <c r="E101" s="2">
        <f>IFERROR(__xludf.DUMMYFUNCTION("""COMPUTED_VALUE"""),62793.0)</f>
        <v>62793</v>
      </c>
      <c r="F101" s="2" t="str">
        <f>IFERROR(__xludf.DUMMYFUNCTION("""COMPUTED_VALUE"""),"27o 12' 54""")</f>
        <v>27o 12' 54"</v>
      </c>
      <c r="G101" s="2" t="str">
        <f>IFERROR(__xludf.DUMMYFUNCTION("""COMPUTED_VALUE"""),"27o 14' 31""")</f>
        <v>27o 14' 31"</v>
      </c>
      <c r="H101" s="2" t="str">
        <f>IFERROR(__xludf.DUMMYFUNCTION("""COMPUTED_VALUE"""),"87o 22' 26""")</f>
        <v>87o 22' 26"</v>
      </c>
      <c r="I101" s="2" t="str">
        <f>IFERROR(__xludf.DUMMYFUNCTION("""COMPUTED_VALUE"""),"87o 24' 15""")</f>
        <v>87o 24' 15"</v>
      </c>
      <c r="J101" s="2" t="str">
        <f>IFERROR(__xludf.DUMMYFUNCTION("""COMPUTED_VALUE"""),"Madi Mulkharka,Tamfok (Sankhuwasabha)")</f>
        <v>Madi Mulkharka,Tamfok (Sankhuwasabha)</v>
      </c>
    </row>
    <row r="102">
      <c r="A102" s="2">
        <f>IFERROR(__xludf.DUMMYFUNCTION("""COMPUTED_VALUE"""),101.0)</f>
        <v>101</v>
      </c>
      <c r="B102" s="2" t="str">
        <f>IFERROR(__xludf.DUMMYFUNCTION("""COMPUTED_VALUE"""),"Upper Nar (SLC)")</f>
        <v>Upper Nar (SLC)</v>
      </c>
      <c r="C102" s="2">
        <f>IFERROR(__xludf.DUMMYFUNCTION("""COMPUTED_VALUE"""),31.77)</f>
        <v>31.77</v>
      </c>
      <c r="D102" s="2" t="str">
        <f>IFERROR(__xludf.DUMMYFUNCTION("""COMPUTED_VALUE"""),"Nar")</f>
        <v>Nar</v>
      </c>
      <c r="E102" s="2">
        <f>IFERROR(__xludf.DUMMYFUNCTION("""COMPUTED_VALUE"""),64529.0)</f>
        <v>64529</v>
      </c>
      <c r="F102" s="2" t="str">
        <f>IFERROR(__xludf.DUMMYFUNCTION("""COMPUTED_VALUE"""),"28o 38' 04""")</f>
        <v>28o 38' 04"</v>
      </c>
      <c r="G102" s="2" t="str">
        <f>IFERROR(__xludf.DUMMYFUNCTION("""COMPUTED_VALUE"""),"28o 40' 46""")</f>
        <v>28o 40' 46"</v>
      </c>
      <c r="H102" s="2" t="str">
        <f>IFERROR(__xludf.DUMMYFUNCTION("""COMPUTED_VALUE"""),"84o 13' 10""")</f>
        <v>84o 13' 10"</v>
      </c>
      <c r="I102" s="2" t="str">
        <f>IFERROR(__xludf.DUMMYFUNCTION("""COMPUTED_VALUE"""),"84o 15' 00""")</f>
        <v>84o 15' 00"</v>
      </c>
      <c r="J102" s="2" t="str">
        <f>IFERROR(__xludf.DUMMYFUNCTION("""COMPUTED_VALUE"""),"Nar (Manang)")</f>
        <v>Nar (Manang)</v>
      </c>
    </row>
    <row r="103">
      <c r="A103" s="2">
        <f>IFERROR(__xludf.DUMMYFUNCTION("""COMPUTED_VALUE"""),102.0)</f>
        <v>102</v>
      </c>
      <c r="B103" s="2" t="str">
        <f>IFERROR(__xludf.DUMMYFUNCTION("""COMPUTED_VALUE"""),"Upper Naugad (SLC)")</f>
        <v>Upper Naugad (SLC)</v>
      </c>
      <c r="C103" s="2">
        <f>IFERROR(__xludf.DUMMYFUNCTION("""COMPUTED_VALUE"""),5.0)</f>
        <v>5</v>
      </c>
      <c r="D103" s="2" t="str">
        <f>IFERROR(__xludf.DUMMYFUNCTION("""COMPUTED_VALUE"""),"Naugad")</f>
        <v>Naugad</v>
      </c>
      <c r="E103" s="2">
        <f>IFERROR(__xludf.DUMMYFUNCTION("""COMPUTED_VALUE"""),62793.0)</f>
        <v>62793</v>
      </c>
      <c r="F103" s="2" t="str">
        <f>IFERROR(__xludf.DUMMYFUNCTION("""COMPUTED_VALUE"""),"29o 44' 24""")</f>
        <v>29o 44' 24"</v>
      </c>
      <c r="G103" s="2" t="str">
        <f>IFERROR(__xludf.DUMMYFUNCTION("""COMPUTED_VALUE"""),"29o 46' 10""")</f>
        <v>29o 46' 10"</v>
      </c>
      <c r="H103" s="2" t="str">
        <f>IFERROR(__xludf.DUMMYFUNCTION("""COMPUTED_VALUE"""),"80o 39' 33""")</f>
        <v>80o 39' 33"</v>
      </c>
      <c r="I103" s="2" t="str">
        <f>IFERROR(__xludf.DUMMYFUNCTION("""COMPUTED_VALUE"""),"80o 41' 10""")</f>
        <v>80o 41' 10"</v>
      </c>
      <c r="J103" s="2" t="str">
        <f>IFERROR(__xludf.DUMMYFUNCTION("""COMPUTED_VALUE"""),"(Darchula)")</f>
        <v>(Darchula)</v>
      </c>
    </row>
    <row r="104">
      <c r="A104" s="2">
        <f>IFERROR(__xludf.DUMMYFUNCTION("""COMPUTED_VALUE"""),103.0)</f>
        <v>103</v>
      </c>
      <c r="B104" s="2" t="str">
        <f>IFERROR(__xludf.DUMMYFUNCTION("""COMPUTED_VALUE"""),"Upper Panpu khola (SLC)")</f>
        <v>Upper Panpu khola (SLC)</v>
      </c>
      <c r="C104" s="2">
        <f>IFERROR(__xludf.DUMMYFUNCTION("""COMPUTED_VALUE"""),6.75)</f>
        <v>6.75</v>
      </c>
      <c r="D104" s="2" t="str">
        <f>IFERROR(__xludf.DUMMYFUNCTION("""COMPUTED_VALUE"""),"Panpu Khola")</f>
        <v>Panpu Khola</v>
      </c>
      <c r="E104" s="2">
        <f>IFERROR(__xludf.DUMMYFUNCTION("""COMPUTED_VALUE"""),62793.0)</f>
        <v>62793</v>
      </c>
      <c r="F104" s="2" t="str">
        <f>IFERROR(__xludf.DUMMYFUNCTION("""COMPUTED_VALUE"""),"28o 37' 00""")</f>
        <v>28o 37' 00"</v>
      </c>
      <c r="G104" s="2" t="str">
        <f>IFERROR(__xludf.DUMMYFUNCTION("""COMPUTED_VALUE"""),"28o 39' 29""")</f>
        <v>28o 39' 29"</v>
      </c>
      <c r="H104" s="2" t="str">
        <f>IFERROR(__xludf.DUMMYFUNCTION("""COMPUTED_VALUE"""),"83o 36' 45""")</f>
        <v>83o 36' 45"</v>
      </c>
      <c r="I104" s="2" t="str">
        <f>IFERROR(__xludf.DUMMYFUNCTION("""COMPUTED_VALUE"""),"83o 40' 19""")</f>
        <v>83o 40' 19"</v>
      </c>
      <c r="J104" s="2" t="str">
        <f>IFERROR(__xludf.DUMMYFUNCTION("""COMPUTED_VALUE"""),"(Mustang)")</f>
        <v>(Mustang)</v>
      </c>
    </row>
    <row r="105">
      <c r="A105" s="2">
        <f>IFERROR(__xludf.DUMMYFUNCTION("""COMPUTED_VALUE"""),104.0)</f>
        <v>104</v>
      </c>
      <c r="B105" s="2" t="str">
        <f>IFERROR(__xludf.DUMMYFUNCTION("""COMPUTED_VALUE"""),"Upper Pheme Khola (SLC)")</f>
        <v>Upper Pheme Khola (SLC)</v>
      </c>
      <c r="C105" s="2">
        <f>IFERROR(__xludf.DUMMYFUNCTION("""COMPUTED_VALUE"""),2.5)</f>
        <v>2.5</v>
      </c>
      <c r="D105" s="2" t="str">
        <f>IFERROR(__xludf.DUMMYFUNCTION("""COMPUTED_VALUE"""),"Pheme")</f>
        <v>Pheme</v>
      </c>
      <c r="E105" s="2">
        <f>IFERROR(__xludf.DUMMYFUNCTION("""COMPUTED_VALUE"""),62793.0)</f>
        <v>62793</v>
      </c>
      <c r="F105" s="2" t="str">
        <f>IFERROR(__xludf.DUMMYFUNCTION("""COMPUTED_VALUE"""),"27o 07' 30""")</f>
        <v>27o 07' 30"</v>
      </c>
      <c r="G105" s="2" t="str">
        <f>IFERROR(__xludf.DUMMYFUNCTION("""COMPUTED_VALUE"""),"27o 08' 30""")</f>
        <v>27o 08' 30"</v>
      </c>
      <c r="H105" s="2" t="str">
        <f>IFERROR(__xludf.DUMMYFUNCTION("""COMPUTED_VALUE"""),"87o 48' 14""")</f>
        <v>87o 48' 14"</v>
      </c>
      <c r="I105" s="2" t="str">
        <f>IFERROR(__xludf.DUMMYFUNCTION("""COMPUTED_VALUE"""),"87o 50' 00""")</f>
        <v>87o 50' 00"</v>
      </c>
      <c r="J105" s="2" t="str">
        <f>IFERROR(__xludf.DUMMYFUNCTION("""COMPUTED_VALUE"""),"Nangeen,Ranitar (Panchthar)")</f>
        <v>Nangeen,Ranitar (Panchthar)</v>
      </c>
    </row>
    <row r="106">
      <c r="A106" s="2">
        <f>IFERROR(__xludf.DUMMYFUNCTION("""COMPUTED_VALUE"""),105.0)</f>
        <v>105</v>
      </c>
      <c r="B106" s="2" t="str">
        <f>IFERROR(__xludf.DUMMYFUNCTION("""COMPUTED_VALUE"""),"Upper Puwa khola (SLC)")</f>
        <v>Upper Puwa khola (SLC)</v>
      </c>
      <c r="C106" s="2">
        <f>IFERROR(__xludf.DUMMYFUNCTION("""COMPUTED_VALUE"""),2.0)</f>
        <v>2</v>
      </c>
      <c r="D106" s="2" t="str">
        <f>IFERROR(__xludf.DUMMYFUNCTION("""COMPUTED_VALUE"""),"Puwa")</f>
        <v>Puwa</v>
      </c>
      <c r="E106" s="2"/>
      <c r="F106" s="2" t="str">
        <f>IFERROR(__xludf.DUMMYFUNCTION("""COMPUTED_VALUE"""),"26o 58' 47""")</f>
        <v>26o 58' 47"</v>
      </c>
      <c r="G106" s="2" t="str">
        <f>IFERROR(__xludf.DUMMYFUNCTION("""COMPUTED_VALUE"""),"26o 59' 47""")</f>
        <v>26o 59' 47"</v>
      </c>
      <c r="H106" s="2" t="str">
        <f>IFERROR(__xludf.DUMMYFUNCTION("""COMPUTED_VALUE"""),"87o 53' 35""")</f>
        <v>87o 53' 35"</v>
      </c>
      <c r="I106" s="2" t="str">
        <f>IFERROR(__xludf.DUMMYFUNCTION("""COMPUTED_VALUE"""),"87o 54' 34""")</f>
        <v>87o 54' 34"</v>
      </c>
      <c r="J106" s="2" t="str">
        <f>IFERROR(__xludf.DUMMYFUNCTION("""COMPUTED_VALUE"""),"(Ilam)")</f>
        <v>(Ilam)</v>
      </c>
    </row>
    <row r="107">
      <c r="A107" s="2">
        <f>IFERROR(__xludf.DUMMYFUNCTION("""COMPUTED_VALUE"""),106.0)</f>
        <v>106</v>
      </c>
      <c r="B107" s="2" t="str">
        <f>IFERROR(__xludf.DUMMYFUNCTION("""COMPUTED_VALUE"""),"Upper Rigdi Khola (SLC)")</f>
        <v>Upper Rigdi Khola (SLC)</v>
      </c>
      <c r="C107" s="2">
        <f>IFERROR(__xludf.DUMMYFUNCTION("""COMPUTED_VALUE"""),4.0)</f>
        <v>4</v>
      </c>
      <c r="D107" s="2" t="str">
        <f>IFERROR(__xludf.DUMMYFUNCTION("""COMPUTED_VALUE"""),"Rigdi")</f>
        <v>Rigdi</v>
      </c>
      <c r="E107" s="2">
        <f>IFERROR(__xludf.DUMMYFUNCTION("""COMPUTED_VALUE"""),62793.0)</f>
        <v>62793</v>
      </c>
      <c r="F107" s="2" t="str">
        <f>IFERROR(__xludf.DUMMYFUNCTION("""COMPUTED_VALUE"""),"27o 47' 30""")</f>
        <v>27o 47' 30"</v>
      </c>
      <c r="G107" s="2" t="str">
        <f>IFERROR(__xludf.DUMMYFUNCTION("""COMPUTED_VALUE"""),"27o 48' 38""")</f>
        <v>27o 48' 38"</v>
      </c>
      <c r="H107" s="2" t="str">
        <f>IFERROR(__xludf.DUMMYFUNCTION("""COMPUTED_VALUE"""),"84o 31' 33""")</f>
        <v>84o 31' 33"</v>
      </c>
      <c r="I107" s="2" t="str">
        <f>IFERROR(__xludf.DUMMYFUNCTION("""COMPUTED_VALUE"""),"84o 34' 06""")</f>
        <v>84o 34' 06"</v>
      </c>
      <c r="J107" s="2" t="str">
        <f>IFERROR(__xludf.DUMMYFUNCTION("""COMPUTED_VALUE"""),"Dahakhani,Chandi Bhanjyang (Chitawan)")</f>
        <v>Dahakhani,Chandi Bhanjyang (Chitawan)</v>
      </c>
    </row>
    <row r="108">
      <c r="A108" s="2">
        <f>IFERROR(__xludf.DUMMYFUNCTION("""COMPUTED_VALUE"""),107.0)</f>
        <v>107</v>
      </c>
      <c r="B108" s="2" t="str">
        <f>IFERROR(__xludf.DUMMYFUNCTION("""COMPUTED_VALUE"""),"Upper Sawane -A (SLC)")</f>
        <v>Upper Sawane -A (SLC)</v>
      </c>
      <c r="C108" s="2">
        <f>IFERROR(__xludf.DUMMYFUNCTION("""COMPUTED_VALUE"""),1.5)</f>
        <v>1.5</v>
      </c>
      <c r="D108" s="2" t="str">
        <f>IFERROR(__xludf.DUMMYFUNCTION("""COMPUTED_VALUE"""),"Sawane")</f>
        <v>Sawane</v>
      </c>
      <c r="E108" s="2">
        <f>IFERROR(__xludf.DUMMYFUNCTION("""COMPUTED_VALUE"""),62793.0)</f>
        <v>62793</v>
      </c>
      <c r="F108" s="2" t="str">
        <f>IFERROR(__xludf.DUMMYFUNCTION("""COMPUTED_VALUE"""),"28o 11' 15""")</f>
        <v>28o 11' 15"</v>
      </c>
      <c r="G108" s="2" t="str">
        <f>IFERROR(__xludf.DUMMYFUNCTION("""COMPUTED_VALUE"""),"28o 13' 00""")</f>
        <v>28o 13' 00"</v>
      </c>
      <c r="H108" s="2" t="str">
        <f>IFERROR(__xludf.DUMMYFUNCTION("""COMPUTED_VALUE"""),"83o 16' 45""")</f>
        <v>83o 16' 45"</v>
      </c>
      <c r="I108" s="2" t="str">
        <f>IFERROR(__xludf.DUMMYFUNCTION("""COMPUTED_VALUE"""),"83o 18' 15""")</f>
        <v>83o 18' 15"</v>
      </c>
      <c r="J108" s="2" t="str">
        <f>IFERROR(__xludf.DUMMYFUNCTION("""COMPUTED_VALUE"""),"(Baglung)")</f>
        <v>(Baglung)</v>
      </c>
    </row>
    <row r="109">
      <c r="A109" s="2">
        <f>IFERROR(__xludf.DUMMYFUNCTION("""COMPUTED_VALUE"""),108.0)</f>
        <v>108</v>
      </c>
      <c r="B109" s="2" t="str">
        <f>IFERROR(__xludf.DUMMYFUNCTION("""COMPUTED_VALUE"""),"Upper Siddhi khola (SLC)")</f>
        <v>Upper Siddhi khola (SLC)</v>
      </c>
      <c r="C109" s="2">
        <f>IFERROR(__xludf.DUMMYFUNCTION("""COMPUTED_VALUE"""),3.86)</f>
        <v>3.86</v>
      </c>
      <c r="D109" s="2" t="str">
        <f>IFERROR(__xludf.DUMMYFUNCTION("""COMPUTED_VALUE"""),"Siddhi Khola")</f>
        <v>Siddhi Khola</v>
      </c>
      <c r="E109" s="2">
        <f>IFERROR(__xludf.DUMMYFUNCTION("""COMPUTED_VALUE"""),64144.0)</f>
        <v>64144</v>
      </c>
      <c r="F109" s="2" t="str">
        <f>IFERROR(__xludf.DUMMYFUNCTION("""COMPUTED_VALUE"""),"26o 50' 16""")</f>
        <v>26o 50' 16"</v>
      </c>
      <c r="G109" s="2" t="str">
        <f>IFERROR(__xludf.DUMMYFUNCTION("""COMPUTED_VALUE"""),"26o 51' 55""")</f>
        <v>26o 51' 55"</v>
      </c>
      <c r="H109" s="2" t="str">
        <f>IFERROR(__xludf.DUMMYFUNCTION("""COMPUTED_VALUE"""),"88o 06' 33""")</f>
        <v>88o 06' 33"</v>
      </c>
      <c r="I109" s="2" t="str">
        <f>IFERROR(__xludf.DUMMYFUNCTION("""COMPUTED_VALUE"""),"88o 07' 59""")</f>
        <v>88o 07' 59"</v>
      </c>
      <c r="J109" s="2" t="str">
        <f>IFERROR(__xludf.DUMMYFUNCTION("""COMPUTED_VALUE"""),"Kanyam,Jirmale,Samalpung (Ilam)")</f>
        <v>Kanyam,Jirmale,Samalpung (Ilam)</v>
      </c>
    </row>
    <row r="110">
      <c r="A110" s="2">
        <f>IFERROR(__xludf.DUMMYFUNCTION("""COMPUTED_VALUE"""),109.0)</f>
        <v>109</v>
      </c>
      <c r="B110" s="2" t="str">
        <f>IFERROR(__xludf.DUMMYFUNCTION("""COMPUTED_VALUE"""),"Upper Tamor (SLC)")</f>
        <v>Upper Tamor (SLC)</v>
      </c>
      <c r="C110" s="2">
        <f>IFERROR(__xludf.DUMMYFUNCTION("""COMPUTED_VALUE"""),32.5)</f>
        <v>32.5</v>
      </c>
      <c r="D110" s="2" t="str">
        <f>IFERROR(__xludf.DUMMYFUNCTION("""COMPUTED_VALUE"""),"Tamor")</f>
        <v>Tamor</v>
      </c>
      <c r="E110" s="2">
        <f>IFERROR(__xludf.DUMMYFUNCTION("""COMPUTED_VALUE"""),65613.0)</f>
        <v>65613</v>
      </c>
      <c r="F110" s="2" t="str">
        <f>IFERROR(__xludf.DUMMYFUNCTION("""COMPUTED_VALUE"""),"27o 33' 31""")</f>
        <v>27o 33' 31"</v>
      </c>
      <c r="G110" s="2" t="str">
        <f>IFERROR(__xludf.DUMMYFUNCTION("""COMPUTED_VALUE"""),"27o 34' 06""")</f>
        <v>27o 34' 06"</v>
      </c>
      <c r="H110" s="2" t="str">
        <f>IFERROR(__xludf.DUMMYFUNCTION("""COMPUTED_VALUE"""),"87o 47' 30""")</f>
        <v>87o 47' 30"</v>
      </c>
      <c r="I110" s="2" t="str">
        <f>IFERROR(__xludf.DUMMYFUNCTION("""COMPUTED_VALUE"""),"87o 48' 19""")</f>
        <v>87o 48' 19"</v>
      </c>
      <c r="J110" s="2" t="str">
        <f>IFERROR(__xludf.DUMMYFUNCTION("""COMPUTED_VALUE"""),"Lelep (Taplejung)")</f>
        <v>Lelep (Taplejung)</v>
      </c>
    </row>
    <row r="111">
      <c r="A111" s="2">
        <f>IFERROR(__xludf.DUMMYFUNCTION("""COMPUTED_VALUE"""),110.0)</f>
        <v>110</v>
      </c>
      <c r="B111" s="2" t="str">
        <f>IFERROR(__xludf.DUMMYFUNCTION("""COMPUTED_VALUE"""),"Upper Trishuli Khola (SLC)")</f>
        <v>Upper Trishuli Khola (SLC)</v>
      </c>
      <c r="C111" s="2">
        <f>IFERROR(__xludf.DUMMYFUNCTION("""COMPUTED_VALUE"""),4.3)</f>
        <v>4.3</v>
      </c>
      <c r="D111" s="2" t="str">
        <f>IFERROR(__xludf.DUMMYFUNCTION("""COMPUTED_VALUE"""),"Trishuli")</f>
        <v>Trishuli</v>
      </c>
      <c r="E111" s="2">
        <f>IFERROR(__xludf.DUMMYFUNCTION("""COMPUTED_VALUE"""),65335.0)</f>
        <v>65335</v>
      </c>
      <c r="F111" s="2" t="str">
        <f>IFERROR(__xludf.DUMMYFUNCTION("""COMPUTED_VALUE"""),"28o 05' 40""")</f>
        <v>28o 05' 40"</v>
      </c>
      <c r="G111" s="2" t="str">
        <f>IFERROR(__xludf.DUMMYFUNCTION("""COMPUTED_VALUE"""),"28o 06' 13""")</f>
        <v>28o 06' 13"</v>
      </c>
      <c r="H111" s="2" t="str">
        <f>IFERROR(__xludf.DUMMYFUNCTION("""COMPUTED_VALUE"""),"85o 19' 21""")</f>
        <v>85o 19' 21"</v>
      </c>
      <c r="I111" s="2" t="str">
        <f>IFERROR(__xludf.DUMMYFUNCTION("""COMPUTED_VALUE"""),"85o 21' 13""")</f>
        <v>85o 21' 13"</v>
      </c>
      <c r="J111" s="2" t="str">
        <f>IFERROR(__xludf.DUMMYFUNCTION("""COMPUTED_VALUE"""),"Dhunche,Syafru (Rasuwa)")</f>
        <v>Dhunche,Syafru (Rasuwa)</v>
      </c>
    </row>
    <row r="112">
      <c r="A112" s="2">
        <f>IFERROR(__xludf.DUMMYFUNCTION("""COMPUTED_VALUE"""),111.0)</f>
        <v>111</v>
      </c>
      <c r="B112" s="2" t="str">
        <f>IFERROR(__xludf.DUMMYFUNCTION("""COMPUTED_VALUE"""),"Middle Karnali (SAC)")</f>
        <v>Middle Karnali (SAC)</v>
      </c>
      <c r="C112" s="2">
        <f>IFERROR(__xludf.DUMMYFUNCTION("""COMPUTED_VALUE"""),30.0)</f>
        <v>30</v>
      </c>
      <c r="D112" s="2" t="str">
        <f>IFERROR(__xludf.DUMMYFUNCTION("""COMPUTED_VALUE"""),"Karnali")</f>
        <v>Karnali</v>
      </c>
      <c r="E112" s="2"/>
      <c r="F112" s="2" t="str">
        <f>IFERROR(__xludf.DUMMYFUNCTION("""COMPUTED_VALUE"""),"29o 20' 00""")</f>
        <v>29o 20' 00"</v>
      </c>
      <c r="G112" s="2" t="str">
        <f>IFERROR(__xludf.DUMMYFUNCTION("""COMPUTED_VALUE"""),"29o 32' 30""")</f>
        <v>29o 32' 30"</v>
      </c>
      <c r="H112" s="2" t="str">
        <f>IFERROR(__xludf.DUMMYFUNCTION("""COMPUTED_VALUE"""),"81o 40' 00""")</f>
        <v>81o 40' 00"</v>
      </c>
      <c r="I112" s="2" t="str">
        <f>IFERROR(__xludf.DUMMYFUNCTION("""COMPUTED_VALUE"""),"81o 50' 00""")</f>
        <v>81o 50' 00"</v>
      </c>
      <c r="J112" s="2"/>
    </row>
    <row r="113">
      <c r="A113" s="2">
        <f>IFERROR(__xludf.DUMMYFUNCTION("""COMPUTED_VALUE"""),112.0)</f>
        <v>112</v>
      </c>
      <c r="B113" s="2" t="str">
        <f>IFERROR(__xludf.DUMMYFUNCTION("""COMPUTED_VALUE"""),"Guthichaur ( Babila Khola )")</f>
        <v>Guthichaur ( Babila Khola )</v>
      </c>
      <c r="C113" s="2">
        <f>IFERROR(__xludf.DUMMYFUNCTION("""COMPUTED_VALUE"""),3.0)</f>
        <v>3</v>
      </c>
      <c r="D113" s="2" t="str">
        <f>IFERROR(__xludf.DUMMYFUNCTION("""COMPUTED_VALUE"""),"Babila Khola")</f>
        <v>Babila Khola</v>
      </c>
      <c r="E113" s="2"/>
      <c r="F113" s="2" t="str">
        <f>IFERROR(__xludf.DUMMYFUNCTION("""COMPUTED_VALUE"""),"29o 11' 32""")</f>
        <v>29o 11' 32"</v>
      </c>
      <c r="G113" s="2" t="str">
        <f>IFERROR(__xludf.DUMMYFUNCTION("""COMPUTED_VALUE"""),"29o 13' 26""")</f>
        <v>29o 13' 26"</v>
      </c>
      <c r="H113" s="2" t="str">
        <f>IFERROR(__xludf.DUMMYFUNCTION("""COMPUTED_VALUE"""),"82o 18' 23""")</f>
        <v>82o 18' 23"</v>
      </c>
      <c r="I113" s="2" t="str">
        <f>IFERROR(__xludf.DUMMYFUNCTION("""COMPUTED_VALUE"""),"82o 20' 12""")</f>
        <v>82o 20' 12"</v>
      </c>
      <c r="J113" s="2" t="str">
        <f>IFERROR(__xludf.DUMMYFUNCTION("""COMPUTED_VALUE"""),"Gothichaur (Jumla)")</f>
        <v>Gothichaur (Jumla)</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IFERROR(__xludf.DUMMYFUNCTION("IMPORTHTML(""https://www.doed.gov.np/pages/generationcanceled/"",""table"",1)"),"*S No*")</f>
        <v>*S No*</v>
      </c>
      <c r="B1" s="2" t="str">
        <f>IFERROR(__xludf.DUMMYFUNCTION("""COMPUTED_VALUE"""),"*Project*")</f>
        <v>*Project*</v>
      </c>
      <c r="C1" s="2" t="str">
        <f>IFERROR(__xludf.DUMMYFUNCTION("""COMPUTED_VALUE"""),"*Capacity (MW)*")</f>
        <v>*Capacity (MW)*</v>
      </c>
      <c r="D1" s="2" t="str">
        <f>IFERROR(__xludf.DUMMYFUNCTION("""COMPUTED_VALUE"""),"*River*")</f>
        <v>*River*</v>
      </c>
      <c r="E1" s="2" t="str">
        <f>IFERROR(__xludf.DUMMYFUNCTION("""COMPUTED_VALUE"""),"*Decision Date*")</f>
        <v>*Decision Date*</v>
      </c>
      <c r="F1" s="2" t="str">
        <f>IFERROR(__xludf.DUMMYFUNCTION("""COMPUTED_VALUE"""),"*Latitiude N*")</f>
        <v>*Latitiude N*</v>
      </c>
      <c r="G1" s="2"/>
      <c r="H1" s="2" t="str">
        <f>IFERROR(__xludf.DUMMYFUNCTION("""COMPUTED_VALUE"""),"*Longitude E*")</f>
        <v>*Longitude E*</v>
      </c>
      <c r="I1" s="2"/>
      <c r="J1" s="2" t="str">
        <f>IFERROR(__xludf.DUMMYFUNCTION("""COMPUTED_VALUE"""),"*VDC/District*")</f>
        <v>*VDC/District*</v>
      </c>
    </row>
    <row r="2">
      <c r="A2" s="2">
        <f>IFERROR(__xludf.DUMMYFUNCTION("""COMPUTED_VALUE"""),1.0)</f>
        <v>1</v>
      </c>
      <c r="B2" s="2" t="str">
        <f>IFERROR(__xludf.DUMMYFUNCTION("""COMPUTED_VALUE"""),"Dapcha Roshi Small (GAC)")</f>
        <v>Dapcha Roshi Small (GAC)</v>
      </c>
      <c r="C2" s="2">
        <f>IFERROR(__xludf.DUMMYFUNCTION("""COMPUTED_VALUE"""),5.0)</f>
        <v>5</v>
      </c>
      <c r="D2" s="2" t="str">
        <f>IFERROR(__xludf.DUMMYFUNCTION("""COMPUTED_VALUE"""),"Roshi")</f>
        <v>Roshi</v>
      </c>
      <c r="E2" s="2">
        <f>IFERROR(__xludf.DUMMYFUNCTION("""COMPUTED_VALUE"""),62793.0)</f>
        <v>62793</v>
      </c>
      <c r="F2" s="2" t="str">
        <f>IFERROR(__xludf.DUMMYFUNCTION("""COMPUTED_VALUE"""),"27o 30' 00""")</f>
        <v>27o 30' 00"</v>
      </c>
      <c r="G2" s="2" t="str">
        <f>IFERROR(__xludf.DUMMYFUNCTION("""COMPUTED_VALUE"""),"27o 31' 30""")</f>
        <v>27o 31' 30"</v>
      </c>
      <c r="H2" s="2" t="str">
        <f>IFERROR(__xludf.DUMMYFUNCTION("""COMPUTED_VALUE"""),"85o 39' 12""")</f>
        <v>85o 39' 12"</v>
      </c>
      <c r="I2" s="2" t="str">
        <f>IFERROR(__xludf.DUMMYFUNCTION("""COMPUTED_VALUE"""),"85o 43' 27""")</f>
        <v>85o 43' 27"</v>
      </c>
      <c r="J2" s="2" t="str">
        <f>IFERROR(__xludf.DUMMYFUNCTION("""COMPUTED_VALUE"""),"(Kabhrepalanchok)")</f>
        <v>(Kabhrepalanchok)</v>
      </c>
    </row>
    <row r="3">
      <c r="A3" s="2">
        <f>IFERROR(__xludf.DUMMYFUNCTION("""COMPUTED_VALUE"""),2.0)</f>
        <v>2</v>
      </c>
      <c r="B3" s="2" t="str">
        <f>IFERROR(__xludf.DUMMYFUNCTION("""COMPUTED_VALUE"""),"Devighat Cascade HPP (GAC)")</f>
        <v>Devighat Cascade HPP (GAC)</v>
      </c>
      <c r="C3" s="2">
        <f>IFERROR(__xludf.DUMMYFUNCTION("""COMPUTED_VALUE"""),9.6)</f>
        <v>9.6</v>
      </c>
      <c r="D3" s="2" t="str">
        <f>IFERROR(__xludf.DUMMYFUNCTION("""COMPUTED_VALUE"""),"Trishuli")</f>
        <v>Trishuli</v>
      </c>
      <c r="E3" s="2">
        <f>IFERROR(__xludf.DUMMYFUNCTION("""COMPUTED_VALUE"""),63435.0)</f>
        <v>63435</v>
      </c>
      <c r="F3" s="2" t="str">
        <f>IFERROR(__xludf.DUMMYFUNCTION("""COMPUTED_VALUE"""),"27o 51' 08""")</f>
        <v>27o 51' 08"</v>
      </c>
      <c r="G3" s="2" t="str">
        <f>IFERROR(__xludf.DUMMYFUNCTION("""COMPUTED_VALUE"""),"27o 53' 17""")</f>
        <v>27o 53' 17"</v>
      </c>
      <c r="H3" s="2" t="str">
        <f>IFERROR(__xludf.DUMMYFUNCTION("""COMPUTED_VALUE"""),"85o 05' 48""")</f>
        <v>85o 05' 48"</v>
      </c>
      <c r="I3" s="2" t="str">
        <f>IFERROR(__xludf.DUMMYFUNCTION("""COMPUTED_VALUE"""),"85o 08' 16""")</f>
        <v>85o 08' 16"</v>
      </c>
      <c r="J3" s="2" t="str">
        <f>IFERROR(__xludf.DUMMYFUNCTION("""COMPUTED_VALUE"""),"Bidur N.P.,Charghare,Khadag Bhanjyang (Nuwakot)")</f>
        <v>Bidur N.P.,Charghare,Khadag Bhanjyang (Nuwakot)</v>
      </c>
    </row>
    <row r="4">
      <c r="A4" s="2">
        <f>IFERROR(__xludf.DUMMYFUNCTION("""COMPUTED_VALUE"""),3.0)</f>
        <v>3</v>
      </c>
      <c r="B4" s="2" t="str">
        <f>IFERROR(__xludf.DUMMYFUNCTION("""COMPUTED_VALUE"""),"Dhad Khola (GAC)")</f>
        <v>Dhad Khola (GAC)</v>
      </c>
      <c r="C4" s="2">
        <f>IFERROR(__xludf.DUMMYFUNCTION("""COMPUTED_VALUE"""),2.72)</f>
        <v>2.72</v>
      </c>
      <c r="D4" s="2" t="str">
        <f>IFERROR(__xludf.DUMMYFUNCTION("""COMPUTED_VALUE"""),"Dhad")</f>
        <v>Dhad</v>
      </c>
      <c r="E4" s="2">
        <f>IFERROR(__xludf.DUMMYFUNCTION("""COMPUTED_VALUE"""),64328.0)</f>
        <v>64328</v>
      </c>
      <c r="F4" s="2" t="str">
        <f>IFERROR(__xludf.DUMMYFUNCTION("""COMPUTED_VALUE"""),"27o 52' 42""")</f>
        <v>27o 52' 42"</v>
      </c>
      <c r="G4" s="2" t="str">
        <f>IFERROR(__xludf.DUMMYFUNCTION("""COMPUTED_VALUE"""),"27o 54' 05""")</f>
        <v>27o 54' 05"</v>
      </c>
      <c r="H4" s="2" t="str">
        <f>IFERROR(__xludf.DUMMYFUNCTION("""COMPUTED_VALUE"""),"84o 20' 42""")</f>
        <v>84o 20' 42"</v>
      </c>
      <c r="I4" s="2" t="str">
        <f>IFERROR(__xludf.DUMMYFUNCTION("""COMPUTED_VALUE"""),"84o 21' 56""")</f>
        <v>84o 21' 56"</v>
      </c>
      <c r="J4" s="2" t="str">
        <f>IFERROR(__xludf.DUMMYFUNCTION("""COMPUTED_VALUE"""),"Dharampani (Tanahu)")</f>
        <v>Dharampani (Tanahu)</v>
      </c>
    </row>
    <row r="5">
      <c r="A5" s="2">
        <f>IFERROR(__xludf.DUMMYFUNCTION("""COMPUTED_VALUE"""),4.0)</f>
        <v>4</v>
      </c>
      <c r="B5" s="2" t="str">
        <f>IFERROR(__xludf.DUMMYFUNCTION("""COMPUTED_VALUE"""),"Dudhkoshi-9 HEP (GAC)")</f>
        <v>Dudhkoshi-9 HEP (GAC)</v>
      </c>
      <c r="C5" s="2">
        <f>IFERROR(__xludf.DUMMYFUNCTION("""COMPUTED_VALUE"""),166.0)</f>
        <v>166</v>
      </c>
      <c r="D5" s="2" t="str">
        <f>IFERROR(__xludf.DUMMYFUNCTION("""COMPUTED_VALUE"""),"Dudhkoshi")</f>
        <v>Dudhkoshi</v>
      </c>
      <c r="E5" s="2">
        <f>IFERROR(__xludf.DUMMYFUNCTION("""COMPUTED_VALUE"""),66254.0)</f>
        <v>66254</v>
      </c>
      <c r="F5" s="2" t="str">
        <f>IFERROR(__xludf.DUMMYFUNCTION("""COMPUTED_VALUE"""),"27o 41' 56""")</f>
        <v>27o 41' 56"</v>
      </c>
      <c r="G5" s="2" t="str">
        <f>IFERROR(__xludf.DUMMYFUNCTION("""COMPUTED_VALUE"""),"27o 46' 30""")</f>
        <v>27o 46' 30"</v>
      </c>
      <c r="H5" s="2" t="str">
        <f>IFERROR(__xludf.DUMMYFUNCTION("""COMPUTED_VALUE"""),"86o 41' 54""")</f>
        <v>86o 41' 54"</v>
      </c>
      <c r="I5" s="2" t="str">
        <f>IFERROR(__xludf.DUMMYFUNCTION("""COMPUTED_VALUE"""),"86o 44' 00""")</f>
        <v>86o 44' 00"</v>
      </c>
      <c r="J5" s="2" t="str">
        <f>IFERROR(__xludf.DUMMYFUNCTION("""COMPUTED_VALUE"""),"Chaurikharka (Solukhumbu)")</f>
        <v>Chaurikharka (Solukhumbu)</v>
      </c>
    </row>
    <row r="6">
      <c r="A6" s="2">
        <f>IFERROR(__xludf.DUMMYFUNCTION("""COMPUTED_VALUE"""),5.0)</f>
        <v>5</v>
      </c>
      <c r="B6" s="2" t="str">
        <f>IFERROR(__xludf.DUMMYFUNCTION("""COMPUTED_VALUE"""),"Hewa Khola - B (GAC)")</f>
        <v>Hewa Khola - B (GAC)</v>
      </c>
      <c r="C6" s="2">
        <f>IFERROR(__xludf.DUMMYFUNCTION("""COMPUTED_VALUE"""),2.3)</f>
        <v>2.3</v>
      </c>
      <c r="D6" s="2" t="str">
        <f>IFERROR(__xludf.DUMMYFUNCTION("""COMPUTED_VALUE"""),"Hewa (Panchthar)")</f>
        <v>Hewa (Panchthar)</v>
      </c>
      <c r="E6" s="2">
        <f>IFERROR(__xludf.DUMMYFUNCTION("""COMPUTED_VALUE"""),62793.0)</f>
        <v>62793</v>
      </c>
      <c r="F6" s="2" t="str">
        <f>IFERROR(__xludf.DUMMYFUNCTION("""COMPUTED_VALUE"""),"27o 09' 39""")</f>
        <v>27o 09' 39"</v>
      </c>
      <c r="G6" s="2" t="str">
        <f>IFERROR(__xludf.DUMMYFUNCTION("""COMPUTED_VALUE"""),"27o 10' 40""")</f>
        <v>27o 10' 40"</v>
      </c>
      <c r="H6" s="2" t="str">
        <f>IFERROR(__xludf.DUMMYFUNCTION("""COMPUTED_VALUE"""),"87o 46' 32""")</f>
        <v>87o 46' 32"</v>
      </c>
      <c r="I6" s="2" t="str">
        <f>IFERROR(__xludf.DUMMYFUNCTION("""COMPUTED_VALUE"""),"87o 47' 30""")</f>
        <v>87o 47' 30"</v>
      </c>
      <c r="J6" s="2" t="str">
        <f>IFERROR(__xludf.DUMMYFUNCTION("""COMPUTED_VALUE"""),"Bharapa,Nangeen (Panchthar)")</f>
        <v>Bharapa,Nangeen (Panchthar)</v>
      </c>
    </row>
    <row r="7">
      <c r="A7" s="2">
        <f>IFERROR(__xludf.DUMMYFUNCTION("""COMPUTED_VALUE"""),6.0)</f>
        <v>6</v>
      </c>
      <c r="B7" s="2" t="str">
        <f>IFERROR(__xludf.DUMMYFUNCTION("""COMPUTED_VALUE"""),"Lantang Khola Reservior (GAC) (GON Reserved)")</f>
        <v>Lantang Khola Reservior (GAC) (GON Reserved)</v>
      </c>
      <c r="C7" s="2">
        <f>IFERROR(__xludf.DUMMYFUNCTION("""COMPUTED_VALUE"""),310.0)</f>
        <v>310</v>
      </c>
      <c r="D7" s="2" t="str">
        <f>IFERROR(__xludf.DUMMYFUNCTION("""COMPUTED_VALUE"""),"Langtang")</f>
        <v>Langtang</v>
      </c>
      <c r="E7" s="2">
        <f>IFERROR(__xludf.DUMMYFUNCTION("""COMPUTED_VALUE"""),66687.0)</f>
        <v>66687</v>
      </c>
      <c r="F7" s="2" t="str">
        <f>IFERROR(__xludf.DUMMYFUNCTION("""COMPUTED_VALUE"""),"28o 09' 00""")</f>
        <v>28o 09' 00"</v>
      </c>
      <c r="G7" s="2" t="str">
        <f>IFERROR(__xludf.DUMMYFUNCTION("""COMPUTED_VALUE"""),"28o 12' 45""")</f>
        <v>28o 12' 45"</v>
      </c>
      <c r="H7" s="2" t="str">
        <f>IFERROR(__xludf.DUMMYFUNCTION("""COMPUTED_VALUE"""),"85o 22' 31""")</f>
        <v>85o 22' 31"</v>
      </c>
      <c r="I7" s="2" t="str">
        <f>IFERROR(__xludf.DUMMYFUNCTION("""COMPUTED_VALUE"""),"85o 30' 00""")</f>
        <v>85o 30' 00"</v>
      </c>
      <c r="J7" s="2" t="str">
        <f>IFERROR(__xludf.DUMMYFUNCTION("""COMPUTED_VALUE"""),"Syafru,Briddhim,Timure,Langtang (Rasuwa)")</f>
        <v>Syafru,Briddhim,Timure,Langtang (Rasuwa)</v>
      </c>
    </row>
    <row r="8">
      <c r="A8" s="2">
        <f>IFERROR(__xludf.DUMMYFUNCTION("""COMPUTED_VALUE"""),7.0)</f>
        <v>7</v>
      </c>
      <c r="B8" s="2" t="str">
        <f>IFERROR(__xludf.DUMMYFUNCTION("""COMPUTED_VALUE"""),"Lomsa HEP (GAC)")</f>
        <v>Lomsa HEP (GAC)</v>
      </c>
      <c r="C8" s="2">
        <f>IFERROR(__xludf.DUMMYFUNCTION("""COMPUTED_VALUE"""),1.1)</f>
        <v>1.1</v>
      </c>
      <c r="D8" s="2" t="str">
        <f>IFERROR(__xludf.DUMMYFUNCTION("""COMPUTED_VALUE"""),"Dhamile- Ghatte")</f>
        <v>Dhamile- Ghatte</v>
      </c>
      <c r="E8" s="2">
        <f>IFERROR(__xludf.DUMMYFUNCTION("""COMPUTED_VALUE"""),65001.0)</f>
        <v>65001</v>
      </c>
      <c r="F8" s="2" t="str">
        <f>IFERROR(__xludf.DUMMYFUNCTION("""COMPUTED_VALUE"""),"27o 40' 35""")</f>
        <v>27o 40' 35"</v>
      </c>
      <c r="G8" s="2" t="str">
        <f>IFERROR(__xludf.DUMMYFUNCTION("""COMPUTED_VALUE"""),"27o 41' 51""")</f>
        <v>27o 41' 51"</v>
      </c>
      <c r="H8" s="2" t="str">
        <f>IFERROR(__xludf.DUMMYFUNCTION("""COMPUTED_VALUE"""),"86o 18' 57""")</f>
        <v>86o 18' 57"</v>
      </c>
      <c r="I8" s="2" t="str">
        <f>IFERROR(__xludf.DUMMYFUNCTION("""COMPUTED_VALUE"""),"86o 20' 09""")</f>
        <v>86o 20' 09"</v>
      </c>
      <c r="J8" s="2" t="str">
        <f>IFERROR(__xludf.DUMMYFUNCTION("""COMPUTED_VALUE"""),"Syama (Dolakha)")</f>
        <v>Syama (Dolakha)</v>
      </c>
    </row>
    <row r="9">
      <c r="A9" s="2">
        <f>IFERROR(__xludf.DUMMYFUNCTION("""COMPUTED_VALUE"""),8.0)</f>
        <v>8</v>
      </c>
      <c r="B9" s="2" t="str">
        <f>IFERROR(__xludf.DUMMYFUNCTION("""COMPUTED_VALUE"""),"Lower Charnawati HEP (GAC)")</f>
        <v>Lower Charnawati HEP (GAC)</v>
      </c>
      <c r="C9" s="2">
        <f>IFERROR(__xludf.DUMMYFUNCTION("""COMPUTED_VALUE"""),6.4)</f>
        <v>6.4</v>
      </c>
      <c r="D9" s="2" t="str">
        <f>IFERROR(__xludf.DUMMYFUNCTION("""COMPUTED_VALUE"""),"Charnawati")</f>
        <v>Charnawati</v>
      </c>
      <c r="E9" s="2">
        <f>IFERROR(__xludf.DUMMYFUNCTION("""COMPUTED_VALUE"""),65203.0)</f>
        <v>65203</v>
      </c>
      <c r="F9" s="2" t="str">
        <f>IFERROR(__xludf.DUMMYFUNCTION("""COMPUTED_VALUE"""),"27o 36' 37""")</f>
        <v>27o 36' 37"</v>
      </c>
      <c r="G9" s="2" t="str">
        <f>IFERROR(__xludf.DUMMYFUNCTION("""COMPUTED_VALUE"""),"27o 38' 12""")</f>
        <v>27o 38' 12"</v>
      </c>
      <c r="H9" s="2" t="str">
        <f>IFERROR(__xludf.DUMMYFUNCTION("""COMPUTED_VALUE"""),"86o 02' 23""")</f>
        <v>86o 02' 23"</v>
      </c>
      <c r="I9" s="2" t="str">
        <f>IFERROR(__xludf.DUMMYFUNCTION("""COMPUTED_VALUE"""),"86o 04' 33""")</f>
        <v>86o 04' 33"</v>
      </c>
      <c r="J9" s="2" t="str">
        <f>IFERROR(__xludf.DUMMYFUNCTION("""COMPUTED_VALUE"""),"Fasku,Katakuti,Bhimeshwar Munic (Dolakha)")</f>
        <v>Fasku,Katakuti,Bhimeshwar Munic (Dolakha)</v>
      </c>
    </row>
    <row r="10">
      <c r="A10" s="2">
        <f>IFERROR(__xludf.DUMMYFUNCTION("""COMPUTED_VALUE"""),9.0)</f>
        <v>9</v>
      </c>
      <c r="B10" s="2" t="str">
        <f>IFERROR(__xludf.DUMMYFUNCTION("""COMPUTED_VALUE"""),"Middle Gaddi Gad (GAC)")</f>
        <v>Middle Gaddi Gad (GAC)</v>
      </c>
      <c r="C10" s="2">
        <f>IFERROR(__xludf.DUMMYFUNCTION("""COMPUTED_VALUE"""),3.5)</f>
        <v>3.5</v>
      </c>
      <c r="D10" s="2" t="str">
        <f>IFERROR(__xludf.DUMMYFUNCTION("""COMPUTED_VALUE"""),"Gaddi Gad")</f>
        <v>Gaddi Gad</v>
      </c>
      <c r="E10" s="2">
        <f>IFERROR(__xludf.DUMMYFUNCTION("""COMPUTED_VALUE"""),62733.0)</f>
        <v>62733</v>
      </c>
      <c r="F10" s="2" t="str">
        <f>IFERROR(__xludf.DUMMYFUNCTION("""COMPUTED_VALUE"""),"29o 15' 20""")</f>
        <v>29o 15' 20"</v>
      </c>
      <c r="G10" s="2" t="str">
        <f>IFERROR(__xludf.DUMMYFUNCTION("""COMPUTED_VALUE"""),"29o 16' 40""")</f>
        <v>29o 16' 40"</v>
      </c>
      <c r="H10" s="2" t="str">
        <f>IFERROR(__xludf.DUMMYFUNCTION("""COMPUTED_VALUE"""),"81o 03' 00""")</f>
        <v>81o 03' 00"</v>
      </c>
      <c r="I10" s="2" t="str">
        <f>IFERROR(__xludf.DUMMYFUNCTION("""COMPUTED_VALUE"""),"81o 03' 44""")</f>
        <v>81o 03' 44"</v>
      </c>
      <c r="J10" s="2" t="str">
        <f>IFERROR(__xludf.DUMMYFUNCTION("""COMPUTED_VALUE"""),"(Doti)")</f>
        <v>(Doti)</v>
      </c>
    </row>
    <row r="11">
      <c r="A11" s="2">
        <f>IFERROR(__xludf.DUMMYFUNCTION("""COMPUTED_VALUE"""),10.0)</f>
        <v>10</v>
      </c>
      <c r="B11" s="2" t="str">
        <f>IFERROR(__xludf.DUMMYFUNCTION("""COMPUTED_VALUE"""),"Paara Malun PRoR (GAC)")</f>
        <v>Paara Malun PRoR (GAC)</v>
      </c>
      <c r="C11" s="2">
        <f>IFERROR(__xludf.DUMMYFUNCTION("""COMPUTED_VALUE"""),8.53)</f>
        <v>8.53</v>
      </c>
      <c r="D11" s="2" t="str">
        <f>IFERROR(__xludf.DUMMYFUNCTION("""COMPUTED_VALUE"""),"Molung")</f>
        <v>Molung</v>
      </c>
      <c r="E11" s="2">
        <f>IFERROR(__xludf.DUMMYFUNCTION("""COMPUTED_VALUE"""),66408.0)</f>
        <v>66408</v>
      </c>
      <c r="F11" s="2" t="str">
        <f>IFERROR(__xludf.DUMMYFUNCTION("""COMPUTED_VALUE"""),"27o 13' 45""")</f>
        <v>27o 13' 45"</v>
      </c>
      <c r="G11" s="2" t="str">
        <f>IFERROR(__xludf.DUMMYFUNCTION("""COMPUTED_VALUE"""),"27o 16' 39""")</f>
        <v>27o 16' 39"</v>
      </c>
      <c r="H11" s="2" t="str">
        <f>IFERROR(__xludf.DUMMYFUNCTION("""COMPUTED_VALUE"""),"86o 24' 00""")</f>
        <v>86o 24' 00"</v>
      </c>
      <c r="I11" s="2" t="str">
        <f>IFERROR(__xludf.DUMMYFUNCTION("""COMPUTED_VALUE"""),"86o 27' 06""")</f>
        <v>86o 27' 06"</v>
      </c>
      <c r="J11" s="2" t="str">
        <f>IFERROR(__xludf.DUMMYFUNCTION("""COMPUTED_VALUE"""),"Mulkharka,Madhavpur,Betini,Chyanam (Okhaldhunga)")</f>
        <v>Mulkharka,Madhavpur,Betini,Chyanam (Okhaldhunga)</v>
      </c>
    </row>
    <row r="12">
      <c r="A12" s="2">
        <f>IFERROR(__xludf.DUMMYFUNCTION("""COMPUTED_VALUE"""),11.0)</f>
        <v>11</v>
      </c>
      <c r="B12" s="2" t="str">
        <f>IFERROR(__xludf.DUMMYFUNCTION("""COMPUTED_VALUE"""),"Tame Khola (GAC)")</f>
        <v>Tame Khola (GAC)</v>
      </c>
      <c r="C12" s="2">
        <f>IFERROR(__xludf.DUMMYFUNCTION("""COMPUTED_VALUE"""),1.25)</f>
        <v>1.25</v>
      </c>
      <c r="D12" s="2" t="str">
        <f>IFERROR(__xludf.DUMMYFUNCTION("""COMPUTED_VALUE"""),"Tame")</f>
        <v>Tame</v>
      </c>
      <c r="E12" s="2">
        <f>IFERROR(__xludf.DUMMYFUNCTION("""COMPUTED_VALUE"""),63381.0)</f>
        <v>63381</v>
      </c>
      <c r="F12" s="2" t="str">
        <f>IFERROR(__xludf.DUMMYFUNCTION("""COMPUTED_VALUE"""),"28o 52' 00""")</f>
        <v>28o 52' 00"</v>
      </c>
      <c r="G12" s="2" t="str">
        <f>IFERROR(__xludf.DUMMYFUNCTION("""COMPUTED_VALUE"""),"28o 53' 52""")</f>
        <v>28o 53' 52"</v>
      </c>
      <c r="H12" s="2" t="str">
        <f>IFERROR(__xludf.DUMMYFUNCTION("""COMPUTED_VALUE"""),"81o 46' 08""")</f>
        <v>81o 46' 08"</v>
      </c>
      <c r="I12" s="2" t="str">
        <f>IFERROR(__xludf.DUMMYFUNCTION("""COMPUTED_VALUE"""),"81o 46' 36""")</f>
        <v>81o 46' 36"</v>
      </c>
      <c r="J12" s="2" t="str">
        <f>IFERROR(__xludf.DUMMYFUNCTION("""COMPUTED_VALUE"""),"Narayan (Dailekh)")</f>
        <v>Narayan (Dailekh)</v>
      </c>
    </row>
    <row r="13">
      <c r="A13" s="2">
        <f>IFERROR(__xludf.DUMMYFUNCTION("""COMPUTED_VALUE"""),12.0)</f>
        <v>12</v>
      </c>
      <c r="B13" s="2" t="str">
        <f>IFERROR(__xludf.DUMMYFUNCTION("""COMPUTED_VALUE"""),"Upper Budhiganga B (GAC)")</f>
        <v>Upper Budhiganga B (GAC)</v>
      </c>
      <c r="C13" s="2">
        <f>IFERROR(__xludf.DUMMYFUNCTION("""COMPUTED_VALUE"""),8.4)</f>
        <v>8.4</v>
      </c>
      <c r="D13" s="2" t="str">
        <f>IFERROR(__xludf.DUMMYFUNCTION("""COMPUTED_VALUE"""),"Budhi ganga")</f>
        <v>Budhi ganga</v>
      </c>
      <c r="E13" s="2">
        <f>IFERROR(__xludf.DUMMYFUNCTION("""COMPUTED_VALUE"""),64329.0)</f>
        <v>64329</v>
      </c>
      <c r="F13" s="2" t="str">
        <f>IFERROR(__xludf.DUMMYFUNCTION("""COMPUTED_VALUE"""),"29o 28' 31""")</f>
        <v>29o 28' 31"</v>
      </c>
      <c r="G13" s="2" t="str">
        <f>IFERROR(__xludf.DUMMYFUNCTION("""COMPUTED_VALUE"""),"29o 32' 37""")</f>
        <v>29o 32' 37"</v>
      </c>
      <c r="H13" s="2" t="str">
        <f>IFERROR(__xludf.DUMMYFUNCTION("""COMPUTED_VALUE"""),"81o 26' 00""")</f>
        <v>81o 26' 00"</v>
      </c>
      <c r="I13" s="2" t="str">
        <f>IFERROR(__xludf.DUMMYFUNCTION("""COMPUTED_VALUE"""),"81o 28' 28""")</f>
        <v>81o 28' 28"</v>
      </c>
      <c r="J13" s="2" t="str">
        <f>IFERROR(__xludf.DUMMYFUNCTION("""COMPUTED_VALUE"""),"Dahakot,Jugada (Bajura)")</f>
        <v>Dahakot,Jugada (Bajura)</v>
      </c>
    </row>
    <row r="14">
      <c r="A14" s="2">
        <f>IFERROR(__xludf.DUMMYFUNCTION("""COMPUTED_VALUE"""),13.0)</f>
        <v>13</v>
      </c>
      <c r="B14" s="2" t="str">
        <f>IFERROR(__xludf.DUMMYFUNCTION("""COMPUTED_VALUE"""),"Upper Chhujung (GAC)")</f>
        <v>Upper Chhujung (GAC)</v>
      </c>
      <c r="C14" s="2">
        <f>IFERROR(__xludf.DUMMYFUNCTION("""COMPUTED_VALUE"""),50.5)</f>
        <v>50.5</v>
      </c>
      <c r="D14" s="2" t="str">
        <f>IFERROR(__xludf.DUMMYFUNCTION("""COMPUTED_VALUE"""),"Chhujung")</f>
        <v>Chhujung</v>
      </c>
      <c r="E14" s="2">
        <f>IFERROR(__xludf.DUMMYFUNCTION("""COMPUTED_VALUE"""),66781.0)</f>
        <v>66781</v>
      </c>
      <c r="F14" s="2" t="str">
        <f>IFERROR(__xludf.DUMMYFUNCTION("""COMPUTED_VALUE"""),"27o 44' 30""")</f>
        <v>27o 44' 30"</v>
      </c>
      <c r="G14" s="2" t="str">
        <f>IFERROR(__xludf.DUMMYFUNCTION("""COMPUTED_VALUE"""),"27o 46' 00""")</f>
        <v>27o 46' 00"</v>
      </c>
      <c r="H14" s="2" t="str">
        <f>IFERROR(__xludf.DUMMYFUNCTION("""COMPUTED_VALUE"""),"87o 30' 09""")</f>
        <v>87o 30' 09"</v>
      </c>
      <c r="I14" s="2" t="str">
        <f>IFERROR(__xludf.DUMMYFUNCTION("""COMPUTED_VALUE"""),"87o 33' 14""")</f>
        <v>87o 33' 14"</v>
      </c>
      <c r="J14" s="2" t="str">
        <f>IFERROR(__xludf.DUMMYFUNCTION("""COMPUTED_VALUE"""),"Chepuwa (Sankhuwasabha)")</f>
        <v>Chepuwa (Sankhuwasabha)</v>
      </c>
    </row>
    <row r="15">
      <c r="A15" s="2">
        <f>IFERROR(__xludf.DUMMYFUNCTION("""COMPUTED_VALUE"""),14.0)</f>
        <v>14</v>
      </c>
      <c r="B15" s="2" t="str">
        <f>IFERROR(__xludf.DUMMYFUNCTION("""COMPUTED_VALUE"""),"Upper Chingad (GAC)")</f>
        <v>Upper Chingad (GAC)</v>
      </c>
      <c r="C15" s="2">
        <f>IFERROR(__xludf.DUMMYFUNCTION("""COMPUTED_VALUE"""),3.2)</f>
        <v>3.2</v>
      </c>
      <c r="D15" s="2" t="str">
        <f>IFERROR(__xludf.DUMMYFUNCTION("""COMPUTED_VALUE"""),"Chingad")</f>
        <v>Chingad</v>
      </c>
      <c r="E15" s="2">
        <f>IFERROR(__xludf.DUMMYFUNCTION("""COMPUTED_VALUE"""),62793.0)</f>
        <v>62793</v>
      </c>
      <c r="F15" s="2" t="str">
        <f>IFERROR(__xludf.DUMMYFUNCTION("""COMPUTED_VALUE"""),"28o 34' 00""")</f>
        <v>28o 34' 00"</v>
      </c>
      <c r="G15" s="2" t="str">
        <f>IFERROR(__xludf.DUMMYFUNCTION("""COMPUTED_VALUE"""),"28o 35' 00""")</f>
        <v>28o 35' 00"</v>
      </c>
      <c r="H15" s="2" t="str">
        <f>IFERROR(__xludf.DUMMYFUNCTION("""COMPUTED_VALUE"""),"81o 46' 15""")</f>
        <v>81o 46' 15"</v>
      </c>
      <c r="I15" s="2" t="str">
        <f>IFERROR(__xludf.DUMMYFUNCTION("""COMPUTED_VALUE"""),"81o 47' 50""")</f>
        <v>81o 47' 50"</v>
      </c>
      <c r="J15" s="2" t="str">
        <f>IFERROR(__xludf.DUMMYFUNCTION("""COMPUTED_VALUE"""),"(Surkhet)")</f>
        <v>(Surkhet)</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IFERROR(__xludf.DUMMYFUNCTION("IMPORTHTML(""https://www.doed.gov.np/pages/lcpfortym/"",""table"",1)"),"*S No*")</f>
        <v>*S No*</v>
      </c>
      <c r="B1" s="2" t="str">
        <f>IFERROR(__xludf.DUMMYFUNCTION("""COMPUTED_VALUE"""),"*Project*")</f>
        <v>*Project*</v>
      </c>
      <c r="C1" s="2" t="str">
        <f>IFERROR(__xludf.DUMMYFUNCTION("""COMPUTED_VALUE"""),"*Capacity (MW)*")</f>
        <v>*Capacity (MW)*</v>
      </c>
      <c r="D1" s="2" t="str">
        <f>IFERROR(__xludf.DUMMYFUNCTION("""COMPUTED_VALUE"""),"*River*")</f>
        <v>*River*</v>
      </c>
      <c r="E1" s="2" t="str">
        <f>IFERROR(__xludf.DUMMYFUNCTION("""COMPUTED_VALUE"""),"*Decision Date*")</f>
        <v>*Decision Date*</v>
      </c>
      <c r="F1" s="2" t="str">
        <f>IFERROR(__xludf.DUMMYFUNCTION("""COMPUTED_VALUE"""),"*Latitiude N*")</f>
        <v>*Latitiude N*</v>
      </c>
      <c r="G1" s="2"/>
      <c r="H1" s="2" t="str">
        <f>IFERROR(__xludf.DUMMYFUNCTION("""COMPUTED_VALUE"""),"*Longitude E*")</f>
        <v>*Longitude E*</v>
      </c>
      <c r="I1" s="2"/>
      <c r="J1" s="2" t="str">
        <f>IFERROR(__xludf.DUMMYFUNCTION("""COMPUTED_VALUE"""),"*VDC/District*")</f>
        <v>*VDC/District*</v>
      </c>
    </row>
    <row r="2">
      <c r="A2" s="2">
        <f>IFERROR(__xludf.DUMMYFUNCTION("""COMPUTED_VALUE"""),1.0)</f>
        <v>1</v>
      </c>
      <c r="B2" s="2" t="str">
        <f>IFERROR(__xludf.DUMMYFUNCTION("""COMPUTED_VALUE"""),"Gasali East (40 m Criteria)")</f>
        <v>Gasali East (40 m Criteria)</v>
      </c>
      <c r="C2" s="2">
        <f>IFERROR(__xludf.DUMMYFUNCTION("""COMPUTED_VALUE"""),2.56)</f>
        <v>2.56</v>
      </c>
      <c r="D2" s="2" t="str">
        <f>IFERROR(__xludf.DUMMYFUNCTION("""COMPUTED_VALUE"""),"Gasali")</f>
        <v>Gasali</v>
      </c>
      <c r="E2" s="2"/>
      <c r="F2" s="2" t="str">
        <f>IFERROR(__xludf.DUMMYFUNCTION("""COMPUTED_VALUE"""),"28o 04' 28""")</f>
        <v>28o 04' 28"</v>
      </c>
      <c r="G2" s="2" t="str">
        <f>IFERROR(__xludf.DUMMYFUNCTION("""COMPUTED_VALUE"""),"28o 05' 30""")</f>
        <v>28o 05' 30"</v>
      </c>
      <c r="H2" s="2" t="str">
        <f>IFERROR(__xludf.DUMMYFUNCTION("""COMPUTED_VALUE"""),"85o 02' 30""")</f>
        <v>85o 02' 30"</v>
      </c>
      <c r="I2" s="2" t="str">
        <f>IFERROR(__xludf.DUMMYFUNCTION("""COMPUTED_VALUE"""),"85o 03' 38""")</f>
        <v>85o 03' 38"</v>
      </c>
      <c r="J2" s="2" t="str">
        <f>IFERROR(__xludf.DUMMYFUNCTION("""COMPUTED_VALUE"""),"Darkha (Dhading)")</f>
        <v>Darkha (Dhading)</v>
      </c>
    </row>
    <row r="3">
      <c r="A3" s="2">
        <f>IFERROR(__xludf.DUMMYFUNCTION("""COMPUTED_VALUE"""),2.0)</f>
        <v>2</v>
      </c>
      <c r="B3" s="2" t="str">
        <f>IFERROR(__xludf.DUMMYFUNCTION("""COMPUTED_VALUE"""),"Ghunsa Khola (40 m Criteria)")</f>
        <v>Ghunsa Khola (40 m Criteria)</v>
      </c>
      <c r="C3" s="2">
        <f>IFERROR(__xludf.DUMMYFUNCTION("""COMPUTED_VALUE"""),11.0)</f>
        <v>11</v>
      </c>
      <c r="D3" s="2" t="str">
        <f>IFERROR(__xludf.DUMMYFUNCTION("""COMPUTED_VALUE"""),"Ghunsa Khola")</f>
        <v>Ghunsa Khola</v>
      </c>
      <c r="E3" s="2"/>
      <c r="F3" s="2" t="str">
        <f>IFERROR(__xludf.DUMMYFUNCTION("""COMPUTED_VALUE"""),"27o 31' 46""")</f>
        <v>27o 31' 46"</v>
      </c>
      <c r="G3" s="2" t="str">
        <f>IFERROR(__xludf.DUMMYFUNCTION("""COMPUTED_VALUE"""),"27o 34' 00""")</f>
        <v>27o 34' 00"</v>
      </c>
      <c r="H3" s="2" t="str">
        <f>IFERROR(__xludf.DUMMYFUNCTION("""COMPUTED_VALUE"""),"87o 51' 18""")</f>
        <v>87o 51' 18"</v>
      </c>
      <c r="I3" s="2" t="str">
        <f>IFERROR(__xludf.DUMMYFUNCTION("""COMPUTED_VALUE"""),"87o 51' 38""")</f>
        <v>87o 51' 38"</v>
      </c>
      <c r="J3" s="2"/>
    </row>
    <row r="4">
      <c r="A4" s="2">
        <f>IFERROR(__xludf.DUMMYFUNCTION("""COMPUTED_VALUE"""),3.0)</f>
        <v>3</v>
      </c>
      <c r="B4" s="2" t="str">
        <f>IFERROR(__xludf.DUMMYFUNCTION("""COMPUTED_VALUE"""),"Induwa Khola HPP(40 m Criteria)")</f>
        <v>Induwa Khola HPP(40 m Criteria)</v>
      </c>
      <c r="C4" s="2">
        <f>IFERROR(__xludf.DUMMYFUNCTION("""COMPUTED_VALUE"""),2.47)</f>
        <v>2.47</v>
      </c>
      <c r="D4" s="2" t="str">
        <f>IFERROR(__xludf.DUMMYFUNCTION("""COMPUTED_VALUE"""),"Induwa")</f>
        <v>Induwa</v>
      </c>
      <c r="E4" s="2">
        <f>IFERROR(__xludf.DUMMYFUNCTION("""COMPUTED_VALUE"""),66436.0)</f>
        <v>66436</v>
      </c>
      <c r="F4" s="2" t="str">
        <f>IFERROR(__xludf.DUMMYFUNCTION("""COMPUTED_VALUE"""),"27o 30' 46""")</f>
        <v>27o 30' 46"</v>
      </c>
      <c r="G4" s="2" t="str">
        <f>IFERROR(__xludf.DUMMYFUNCTION("""COMPUTED_VALUE"""),"27o 33' 29""")</f>
        <v>27o 33' 29"</v>
      </c>
      <c r="H4" s="2" t="str">
        <f>IFERROR(__xludf.DUMMYFUNCTION("""COMPUTED_VALUE"""),"87o 22' 16""")</f>
        <v>87o 22' 16"</v>
      </c>
      <c r="I4" s="2" t="str">
        <f>IFERROR(__xludf.DUMMYFUNCTION("""COMPUTED_VALUE"""),"87o 23' 05""")</f>
        <v>87o 23' 05"</v>
      </c>
      <c r="J4" s="2"/>
    </row>
    <row r="5">
      <c r="A5" s="2">
        <f>IFERROR(__xludf.DUMMYFUNCTION("""COMPUTED_VALUE"""),4.0)</f>
        <v>4</v>
      </c>
      <c r="B5" s="2" t="str">
        <f>IFERROR(__xludf.DUMMYFUNCTION("""COMPUTED_VALUE"""),"Kuwadi Khola HEP (40 M Criteria)")</f>
        <v>Kuwadi Khola HEP (40 M Criteria)</v>
      </c>
      <c r="C5" s="2">
        <f>IFERROR(__xludf.DUMMYFUNCTION("""COMPUTED_VALUE"""),13.189)</f>
        <v>13.189</v>
      </c>
      <c r="D5" s="2" t="str">
        <f>IFERROR(__xludf.DUMMYFUNCTION("""COMPUTED_VALUE"""),"Kawadi Khola")</f>
        <v>Kawadi Khola</v>
      </c>
      <c r="E5" s="2"/>
      <c r="F5" s="2" t="str">
        <f>IFERROR(__xludf.DUMMYFUNCTION("""COMPUTED_VALUE"""),"29o 36' 42""")</f>
        <v>29o 36' 42"</v>
      </c>
      <c r="G5" s="2" t="str">
        <f>IFERROR(__xludf.DUMMYFUNCTION("""COMPUTED_VALUE"""),"29o 37' 35""")</f>
        <v>29o 37' 35"</v>
      </c>
      <c r="H5" s="2" t="str">
        <f>IFERROR(__xludf.DUMMYFUNCTION("""COMPUTED_VALUE"""),"81o 40' 17""")</f>
        <v>81o 40' 17"</v>
      </c>
      <c r="I5" s="2" t="str">
        <f>IFERROR(__xludf.DUMMYFUNCTION("""COMPUTED_VALUE"""),"81o 43' 55""")</f>
        <v>81o 43' 55"</v>
      </c>
      <c r="J5" s="2"/>
    </row>
    <row r="6">
      <c r="A6" s="2">
        <f>IFERROR(__xludf.DUMMYFUNCTION("""COMPUTED_VALUE"""),5.0)</f>
        <v>5</v>
      </c>
      <c r="B6" s="2" t="str">
        <f>IFERROR(__xludf.DUMMYFUNCTION("""COMPUTED_VALUE"""),"Likhu-1 (40 m Criteria)")</f>
        <v>Likhu-1 (40 m Criteria)</v>
      </c>
      <c r="C6" s="2">
        <f>IFERROR(__xludf.DUMMYFUNCTION("""COMPUTED_VALUE"""),7.3)</f>
        <v>7.3</v>
      </c>
      <c r="D6" s="2" t="str">
        <f>IFERROR(__xludf.DUMMYFUNCTION("""COMPUTED_VALUE"""),"Likhu Khola")</f>
        <v>Likhu Khola</v>
      </c>
      <c r="E6" s="2"/>
      <c r="F6" s="2" t="str">
        <f>IFERROR(__xludf.DUMMYFUNCTION("""COMPUTED_VALUE"""),"27o 40' 23""")</f>
        <v>27o 40' 23"</v>
      </c>
      <c r="G6" s="2" t="str">
        <f>IFERROR(__xludf.DUMMYFUNCTION("""COMPUTED_VALUE"""),"27o 40' 37""")</f>
        <v>27o 40' 37"</v>
      </c>
      <c r="H6" s="2" t="str">
        <f>IFERROR(__xludf.DUMMYFUNCTION("""COMPUTED_VALUE"""),"86o 27' 46""")</f>
        <v>86o 27' 46"</v>
      </c>
      <c r="I6" s="2" t="str">
        <f>IFERROR(__xludf.DUMMYFUNCTION("""COMPUTED_VALUE"""),"86o 28' 11""")</f>
        <v>86o 28' 11"</v>
      </c>
      <c r="J6" s="2" t="str">
        <f>IFERROR(__xludf.DUMMYFUNCTION("""COMPUTED_VALUE"""),"Gumdel (Ramechhap) Bhakanje (Solukhumbu)")</f>
        <v>Gumdel (Ramechhap) Bhakanje (Solukhumbu)</v>
      </c>
    </row>
    <row r="7">
      <c r="A7" s="2">
        <f>IFERROR(__xludf.DUMMYFUNCTION("""COMPUTED_VALUE"""),6.0)</f>
        <v>6</v>
      </c>
      <c r="B7" s="2" t="str">
        <f>IFERROR(__xludf.DUMMYFUNCTION("""COMPUTED_VALUE"""),"Lower Loti Karnali (40 m criteria)")</f>
        <v>Lower Loti Karnali (40 m criteria)</v>
      </c>
      <c r="C7" s="2">
        <f>IFERROR(__xludf.DUMMYFUNCTION("""COMPUTED_VALUE"""),16.49)</f>
        <v>16.49</v>
      </c>
      <c r="D7" s="2" t="str">
        <f>IFERROR(__xludf.DUMMYFUNCTION("""COMPUTED_VALUE"""),"Loti Karnali")</f>
        <v>Loti Karnali</v>
      </c>
      <c r="E7" s="2"/>
      <c r="F7" s="2" t="str">
        <f>IFERROR(__xludf.DUMMYFUNCTION("""COMPUTED_VALUE"""),"29o 40' 34""")</f>
        <v>29o 40' 34"</v>
      </c>
      <c r="G7" s="2" t="str">
        <f>IFERROR(__xludf.DUMMYFUNCTION("""COMPUTED_VALUE"""),"29o 42' 35""")</f>
        <v>29o 42' 35"</v>
      </c>
      <c r="H7" s="2" t="str">
        <f>IFERROR(__xludf.DUMMYFUNCTION("""COMPUTED_VALUE"""),"81o 57' 14""")</f>
        <v>81o 57' 14"</v>
      </c>
      <c r="I7" s="2" t="str">
        <f>IFERROR(__xludf.DUMMYFUNCTION("""COMPUTED_VALUE"""),"82o 00' 00""")</f>
        <v>82o 00' 00"</v>
      </c>
      <c r="J7" s="2" t="str">
        <f>IFERROR(__xludf.DUMMYFUNCTION("""COMPUTED_VALUE"""),"Photu (Mugu)")</f>
        <v>Photu (Mugu)</v>
      </c>
    </row>
    <row r="8">
      <c r="A8" s="2">
        <f>IFERROR(__xludf.DUMMYFUNCTION("""COMPUTED_VALUE"""),7.0)</f>
        <v>7</v>
      </c>
      <c r="B8" s="2" t="str">
        <f>IFERROR(__xludf.DUMMYFUNCTION("""COMPUTED_VALUE"""),"Madi-1 (40 m Criteria)")</f>
        <v>Madi-1 (40 m Criteria)</v>
      </c>
      <c r="C8" s="2">
        <f>IFERROR(__xludf.DUMMYFUNCTION("""COMPUTED_VALUE"""),8.9)</f>
        <v>8.9</v>
      </c>
      <c r="D8" s="2" t="str">
        <f>IFERROR(__xludf.DUMMYFUNCTION("""COMPUTED_VALUE"""),"Madi Khola")</f>
        <v>Madi Khola</v>
      </c>
      <c r="E8" s="2"/>
      <c r="F8" s="2" t="str">
        <f>IFERROR(__xludf.DUMMYFUNCTION("""COMPUTED_VALUE"""),"28o 22' 00""")</f>
        <v>28o 22' 00"</v>
      </c>
      <c r="G8" s="2" t="str">
        <f>IFERROR(__xludf.DUMMYFUNCTION("""COMPUTED_VALUE"""),"28o 22' 31""")</f>
        <v>28o 22' 31"</v>
      </c>
      <c r="H8" s="2" t="str">
        <f>IFERROR(__xludf.DUMMYFUNCTION("""COMPUTED_VALUE"""),"84o 05' 30""")</f>
        <v>84o 05' 30"</v>
      </c>
      <c r="I8" s="2" t="str">
        <f>IFERROR(__xludf.DUMMYFUNCTION("""COMPUTED_VALUE"""),"84o 07' 30""")</f>
        <v>84o 07' 30"</v>
      </c>
      <c r="J8" s="2"/>
    </row>
    <row r="9">
      <c r="A9" s="2">
        <f>IFERROR(__xludf.DUMMYFUNCTION("""COMPUTED_VALUE"""),8.0)</f>
        <v>8</v>
      </c>
      <c r="B9" s="2" t="str">
        <f>IFERROR(__xludf.DUMMYFUNCTION("""COMPUTED_VALUE"""),"Mathillo Sankhuwakhola - 1 (40 m Criteria)")</f>
        <v>Mathillo Sankhuwakhola - 1 (40 m Criteria)</v>
      </c>
      <c r="C9" s="2">
        <f>IFERROR(__xludf.DUMMYFUNCTION("""COMPUTED_VALUE"""),5.349)</f>
        <v>5.349</v>
      </c>
      <c r="D9" s="2" t="str">
        <f>IFERROR(__xludf.DUMMYFUNCTION("""COMPUTED_VALUE"""),"Sankhuwa Khola")</f>
        <v>Sankhuwa Khola</v>
      </c>
      <c r="E9" s="2"/>
      <c r="F9" s="2" t="str">
        <f>IFERROR(__xludf.DUMMYFUNCTION("""COMPUTED_VALUE"""),"27o 33' 33""")</f>
        <v>27o 33' 33"</v>
      </c>
      <c r="G9" s="2" t="str">
        <f>IFERROR(__xludf.DUMMYFUNCTION("""COMPUTED_VALUE"""),"27o 33' 59""")</f>
        <v>27o 33' 59"</v>
      </c>
      <c r="H9" s="2" t="str">
        <f>IFERROR(__xludf.DUMMYFUNCTION("""COMPUTED_VALUE"""),"87o 01' 04""")</f>
        <v>87o 01' 04"</v>
      </c>
      <c r="I9" s="2" t="str">
        <f>IFERROR(__xludf.DUMMYFUNCTION("""COMPUTED_VALUE"""),"87o 03' 58""")</f>
        <v>87o 03' 58"</v>
      </c>
      <c r="J9" s="2" t="str">
        <f>IFERROR(__xludf.DUMMYFUNCTION("""COMPUTED_VALUE"""),"Tamku,Bala (Sankhuwasabha)")</f>
        <v>Tamku,Bala (Sankhuwasabha)</v>
      </c>
    </row>
    <row r="10">
      <c r="A10" s="2">
        <f>IFERROR(__xludf.DUMMYFUNCTION("""COMPUTED_VALUE"""),9.0)</f>
        <v>9</v>
      </c>
      <c r="B10" s="2" t="str">
        <f>IFERROR(__xludf.DUMMYFUNCTION("""COMPUTED_VALUE"""),"Myagdi Khola A-North (40 m Criteria)")</f>
        <v>Myagdi Khola A-North (40 m Criteria)</v>
      </c>
      <c r="C10" s="2">
        <f>IFERROR(__xludf.DUMMYFUNCTION("""COMPUTED_VALUE"""),2.05)</f>
        <v>2.05</v>
      </c>
      <c r="D10" s="2" t="str">
        <f>IFERROR(__xludf.DUMMYFUNCTION("""COMPUTED_VALUE"""),"Myagdi Khola")</f>
        <v>Myagdi Khola</v>
      </c>
      <c r="E10" s="2"/>
      <c r="F10" s="2" t="str">
        <f>IFERROR(__xludf.DUMMYFUNCTION("""COMPUTED_VALUE"""),"28o 40' 42""")</f>
        <v>28o 40' 42"</v>
      </c>
      <c r="G10" s="2" t="str">
        <f>IFERROR(__xludf.DUMMYFUNCTION("""COMPUTED_VALUE"""),"28o 41' 00""")</f>
        <v>28o 41' 00"</v>
      </c>
      <c r="H10" s="2" t="str">
        <f>IFERROR(__xludf.DUMMYFUNCTION("""COMPUTED_VALUE"""),"83o 23' 45""")</f>
        <v>83o 23' 45"</v>
      </c>
      <c r="I10" s="2" t="str">
        <f>IFERROR(__xludf.DUMMYFUNCTION("""COMPUTED_VALUE"""),"83o 25' 40""")</f>
        <v>83o 25' 40"</v>
      </c>
      <c r="J10" s="2" t="str">
        <f>IFERROR(__xludf.DUMMYFUNCTION("""COMPUTED_VALUE"""),"Mudi (Myagdi)")</f>
        <v>Mudi (Myagdi)</v>
      </c>
    </row>
    <row r="11">
      <c r="A11" s="2">
        <f>IFERROR(__xludf.DUMMYFUNCTION("""COMPUTED_VALUE"""),10.0)</f>
        <v>10</v>
      </c>
      <c r="B11" s="2" t="str">
        <f>IFERROR(__xludf.DUMMYFUNCTION("""COMPUTED_VALUE"""),"Myagdi Khola A-South (40 m Criteria)")</f>
        <v>Myagdi Khola A-South (40 m Criteria)</v>
      </c>
      <c r="C11" s="2">
        <f>IFERROR(__xludf.DUMMYFUNCTION("""COMPUTED_VALUE"""),2.28)</f>
        <v>2.28</v>
      </c>
      <c r="D11" s="2" t="str">
        <f>IFERROR(__xludf.DUMMYFUNCTION("""COMPUTED_VALUE"""),"Myagdi Khola")</f>
        <v>Myagdi Khola</v>
      </c>
      <c r="E11" s="2"/>
      <c r="F11" s="2" t="str">
        <f>IFERROR(__xludf.DUMMYFUNCTION("""COMPUTED_VALUE"""),"28o 38' 03""")</f>
        <v>28o 38' 03"</v>
      </c>
      <c r="G11" s="2" t="str">
        <f>IFERROR(__xludf.DUMMYFUNCTION("""COMPUTED_VALUE"""),"28o 38' 13""")</f>
        <v>28o 38' 13"</v>
      </c>
      <c r="H11" s="2" t="str">
        <f>IFERROR(__xludf.DUMMYFUNCTION("""COMPUTED_VALUE"""),"83o 23' 45""")</f>
        <v>83o 23' 45"</v>
      </c>
      <c r="I11" s="2" t="str">
        <f>IFERROR(__xludf.DUMMYFUNCTION("""COMPUTED_VALUE"""),"83o 25' 40""")</f>
        <v>83o 25' 40"</v>
      </c>
      <c r="J11" s="2" t="str">
        <f>IFERROR(__xludf.DUMMYFUNCTION("""COMPUTED_VALUE"""),"Mudi (Myagdi)")</f>
        <v>Mudi (Myagdi)</v>
      </c>
    </row>
    <row r="12">
      <c r="A12" s="2">
        <f>IFERROR(__xludf.DUMMYFUNCTION("""COMPUTED_VALUE"""),11.0)</f>
        <v>11</v>
      </c>
      <c r="B12" s="2" t="str">
        <f>IFERROR(__xludf.DUMMYFUNCTION("""COMPUTED_VALUE"""),"Namlan Khola A (40 m Criteria)")</f>
        <v>Namlan Khola A (40 m Criteria)</v>
      </c>
      <c r="C12" s="2">
        <f>IFERROR(__xludf.DUMMYFUNCTION("""COMPUTED_VALUE"""),29.51)</f>
        <v>29.51</v>
      </c>
      <c r="D12" s="2" t="str">
        <f>IFERROR(__xludf.DUMMYFUNCTION("""COMPUTED_VALUE"""),"Namlan")</f>
        <v>Namlan</v>
      </c>
      <c r="E12" s="2"/>
      <c r="F12" s="2" t="str">
        <f>IFERROR(__xludf.DUMMYFUNCTION("""COMPUTED_VALUE"""),"29o 33' 35""")</f>
        <v>29o 33' 35"</v>
      </c>
      <c r="G12" s="2" t="str">
        <f>IFERROR(__xludf.DUMMYFUNCTION("""COMPUTED_VALUE"""),"29o 35' 27""")</f>
        <v>29o 35' 27"</v>
      </c>
      <c r="H12" s="2" t="str">
        <f>IFERROR(__xludf.DUMMYFUNCTION("""COMPUTED_VALUE"""),"82o 30' 32""")</f>
        <v>82o 30' 32"</v>
      </c>
      <c r="I12" s="2" t="str">
        <f>IFERROR(__xludf.DUMMYFUNCTION("""COMPUTED_VALUE"""),"82o 37' 00""")</f>
        <v>82o 37' 00"</v>
      </c>
      <c r="J12" s="2"/>
    </row>
    <row r="13">
      <c r="A13" s="2">
        <f>IFERROR(__xludf.DUMMYFUNCTION("""COMPUTED_VALUE"""),12.0)</f>
        <v>12</v>
      </c>
      <c r="B13" s="2" t="str">
        <f>IFERROR(__xludf.DUMMYFUNCTION("""COMPUTED_VALUE"""),"Phalakhu Khola (40 m Criteria)")</f>
        <v>Phalakhu Khola (40 m Criteria)</v>
      </c>
      <c r="C13" s="2">
        <f>IFERROR(__xludf.DUMMYFUNCTION("""COMPUTED_VALUE"""),1.5)</f>
        <v>1.5</v>
      </c>
      <c r="D13" s="2" t="str">
        <f>IFERROR(__xludf.DUMMYFUNCTION("""COMPUTED_VALUE"""),"Phalankhu Khola")</f>
        <v>Phalankhu Khola</v>
      </c>
      <c r="E13" s="2"/>
      <c r="F13" s="2" t="str">
        <f>IFERROR(__xludf.DUMMYFUNCTION("""COMPUTED_VALUE"""),"27o 58' 09""")</f>
        <v>27o 58' 09"</v>
      </c>
      <c r="G13" s="2" t="str">
        <f>IFERROR(__xludf.DUMMYFUNCTION("""COMPUTED_VALUE"""),"27o 58' 40""")</f>
        <v>27o 58' 40"</v>
      </c>
      <c r="H13" s="2" t="str">
        <f>IFERROR(__xludf.DUMMYFUNCTION("""COMPUTED_VALUE"""),"85o 15' 17""")</f>
        <v>85o 15' 17"</v>
      </c>
      <c r="I13" s="2" t="str">
        <f>IFERROR(__xludf.DUMMYFUNCTION("""COMPUTED_VALUE"""),"85o 16' 14""")</f>
        <v>85o 16' 14"</v>
      </c>
      <c r="J13" s="2" t="str">
        <f>IFERROR(__xludf.DUMMYFUNCTION("""COMPUTED_VALUE"""),"Saramthali,Bhorle (Rasuwa)")</f>
        <v>Saramthali,Bhorle (Rasuwa)</v>
      </c>
    </row>
    <row r="14">
      <c r="A14" s="2">
        <f>IFERROR(__xludf.DUMMYFUNCTION("""COMPUTED_VALUE"""),13.0)</f>
        <v>13</v>
      </c>
      <c r="B14" s="2" t="str">
        <f>IFERROR(__xludf.DUMMYFUNCTION("""COMPUTED_VALUE"""),"Siwa Khola HPP (40 m Criteria)")</f>
        <v>Siwa Khola HPP (40 m Criteria)</v>
      </c>
      <c r="C14" s="2">
        <f>IFERROR(__xludf.DUMMYFUNCTION("""COMPUTED_VALUE"""),1.37)</f>
        <v>1.37</v>
      </c>
      <c r="D14" s="2" t="str">
        <f>IFERROR(__xludf.DUMMYFUNCTION("""COMPUTED_VALUE"""),"Siwa Khola")</f>
        <v>Siwa Khola</v>
      </c>
      <c r="E14" s="2"/>
      <c r="F14" s="2" t="str">
        <f>IFERROR(__xludf.DUMMYFUNCTION("""COMPUTED_VALUE"""),"27o 23' 15""")</f>
        <v>27o 23' 15"</v>
      </c>
      <c r="G14" s="2" t="str">
        <f>IFERROR(__xludf.DUMMYFUNCTION("""COMPUTED_VALUE"""),"27o 23' 36""")</f>
        <v>27o 23' 36"</v>
      </c>
      <c r="H14" s="2" t="str">
        <f>IFERROR(__xludf.DUMMYFUNCTION("""COMPUTED_VALUE"""),"87o 54' 55""")</f>
        <v>87o 54' 55"</v>
      </c>
      <c r="I14" s="2" t="str">
        <f>IFERROR(__xludf.DUMMYFUNCTION("""COMPUTED_VALUE"""),"87o 56' 26""")</f>
        <v>87o 56' 26"</v>
      </c>
      <c r="J14" s="2" t="str">
        <f>IFERROR(__xludf.DUMMYFUNCTION("""COMPUTED_VALUE"""),"Khewang,Surunkhim (Taplejung)")</f>
        <v>Khewang,Surunkhim (Taplejung)</v>
      </c>
    </row>
    <row r="15">
      <c r="A15" s="2">
        <f>IFERROR(__xludf.DUMMYFUNCTION("""COMPUTED_VALUE"""),14.0)</f>
        <v>14</v>
      </c>
      <c r="B15" s="2" t="str">
        <f>IFERROR(__xludf.DUMMYFUNCTION("""COMPUTED_VALUE"""),"Super Iwa Small HEP (40 m Criteria)")</f>
        <v>Super Iwa Small HEP (40 m Criteria)</v>
      </c>
      <c r="C15" s="2">
        <f>IFERROR(__xludf.DUMMYFUNCTION("""COMPUTED_VALUE"""),1.12)</f>
        <v>1.12</v>
      </c>
      <c r="D15" s="2" t="str">
        <f>IFERROR(__xludf.DUMMYFUNCTION("""COMPUTED_VALUE"""),"Iwa Khola")</f>
        <v>Iwa Khola</v>
      </c>
      <c r="E15" s="2"/>
      <c r="F15" s="2" t="str">
        <f>IFERROR(__xludf.DUMMYFUNCTION("""COMPUTED_VALUE"""),"27o 18' 21""")</f>
        <v>27o 18' 21"</v>
      </c>
      <c r="G15" s="2" t="str">
        <f>IFERROR(__xludf.DUMMYFUNCTION("""COMPUTED_VALUE"""),"27o 18' 26""")</f>
        <v>27o 18' 26"</v>
      </c>
      <c r="H15" s="2" t="str">
        <f>IFERROR(__xludf.DUMMYFUNCTION("""COMPUTED_VALUE"""),"87o 58' 37""")</f>
        <v>87o 58' 37"</v>
      </c>
      <c r="I15" s="2" t="str">
        <f>IFERROR(__xludf.DUMMYFUNCTION("""COMPUTED_VALUE"""),"87o 59' 49""")</f>
        <v>87o 59' 49"</v>
      </c>
      <c r="J15" s="2"/>
    </row>
    <row r="16">
      <c r="A16" s="2">
        <f>IFERROR(__xludf.DUMMYFUNCTION("""COMPUTED_VALUE"""),15.0)</f>
        <v>15</v>
      </c>
      <c r="B16" s="2" t="str">
        <f>IFERROR(__xludf.DUMMYFUNCTION("""COMPUTED_VALUE"""),"Tadi Khola (40 m Criteria, Dupcheswor Mahadev Temple Area)")</f>
        <v>Tadi Khola (40 m Criteria, Dupcheswor Mahadev Temple Area)</v>
      </c>
      <c r="C16" s="2">
        <f>IFERROR(__xludf.DUMMYFUNCTION("""COMPUTED_VALUE"""),2.7)</f>
        <v>2.7</v>
      </c>
      <c r="D16" s="2" t="str">
        <f>IFERROR(__xludf.DUMMYFUNCTION("""COMPUTED_VALUE"""),"Tadi Khola")</f>
        <v>Tadi Khola</v>
      </c>
      <c r="E16" s="2"/>
      <c r="F16" s="2" t="str">
        <f>IFERROR(__xludf.DUMMYFUNCTION("""COMPUTED_VALUE"""),"27o 57' 04""")</f>
        <v>27o 57' 04"</v>
      </c>
      <c r="G16" s="2" t="str">
        <f>IFERROR(__xludf.DUMMYFUNCTION("""COMPUTED_VALUE"""),"27o 57' 30""")</f>
        <v>27o 57' 30"</v>
      </c>
      <c r="H16" s="2" t="str">
        <f>IFERROR(__xludf.DUMMYFUNCTION("""COMPUTED_VALUE"""),"85o 22' 53""")</f>
        <v>85o 22' 53"</v>
      </c>
      <c r="I16" s="2" t="str">
        <f>IFERROR(__xludf.DUMMYFUNCTION("""COMPUTED_VALUE"""),"85o 24' 05""")</f>
        <v>85o 24' 05"</v>
      </c>
      <c r="J16" s="2" t="str">
        <f>IFERROR(__xludf.DUMMYFUNCTION("""COMPUTED_VALUE"""),"Shikharbesi,Samundratar,Rautbesi (Nuwakot)")</f>
        <v>Shikharbesi,Samundratar,Rautbesi (Nuwakot)</v>
      </c>
    </row>
    <row r="17">
      <c r="A17" s="2">
        <f>IFERROR(__xludf.DUMMYFUNCTION("""COMPUTED_VALUE"""),16.0)</f>
        <v>16</v>
      </c>
      <c r="B17" s="2" t="str">
        <f>IFERROR(__xludf.DUMMYFUNCTION("""COMPUTED_VALUE"""),"Trishuli Galchhi HEP(40 m Criteria)")</f>
        <v>Trishuli Galchhi HEP(40 m Criteria)</v>
      </c>
      <c r="C17" s="2">
        <f>IFERROR(__xludf.DUMMYFUNCTION("""COMPUTED_VALUE"""),44.31)</f>
        <v>44.31</v>
      </c>
      <c r="D17" s="2" t="str">
        <f>IFERROR(__xludf.DUMMYFUNCTION("""COMPUTED_VALUE"""),"Trishuli")</f>
        <v>Trishuli</v>
      </c>
      <c r="E17" s="2">
        <f>IFERROR(__xludf.DUMMYFUNCTION("""COMPUTED_VALUE"""),64502.0)</f>
        <v>64502</v>
      </c>
      <c r="F17" s="2" t="str">
        <f>IFERROR(__xludf.DUMMYFUNCTION("""COMPUTED_VALUE"""),"27o 47' 52""")</f>
        <v>27o 47' 52"</v>
      </c>
      <c r="G17" s="2" t="str">
        <f>IFERROR(__xludf.DUMMYFUNCTION("""COMPUTED_VALUE"""),"27o 51' 28""")</f>
        <v>27o 51' 28"</v>
      </c>
      <c r="H17" s="2" t="str">
        <f>IFERROR(__xludf.DUMMYFUNCTION("""COMPUTED_VALUE"""),"84o 58' 20""")</f>
        <v>84o 58' 20"</v>
      </c>
      <c r="I17" s="2" t="str">
        <f>IFERROR(__xludf.DUMMYFUNCTION("""COMPUTED_VALUE"""),"85o 01' 48""")</f>
        <v>85o 01' 48"</v>
      </c>
      <c r="J17" s="2" t="str">
        <f>IFERROR(__xludf.DUMMYFUNCTION("""COMPUTED_VALUE"""),"Duipipal,Ratmate (Nuwakot)")</f>
        <v>Duipipal,Ratmate (Nuwakot)</v>
      </c>
    </row>
    <row r="18">
      <c r="A18" s="2">
        <f>IFERROR(__xludf.DUMMYFUNCTION("""COMPUTED_VALUE"""),17.0)</f>
        <v>17</v>
      </c>
      <c r="B18" s="2" t="str">
        <f>IFERROR(__xludf.DUMMYFUNCTION("""COMPUTED_VALUE"""),"Upper Balephi (40 m Criteria)")</f>
        <v>Upper Balephi (40 m Criteria)</v>
      </c>
      <c r="C18" s="2">
        <f>IFERROR(__xludf.DUMMYFUNCTION("""COMPUTED_VALUE"""),3.987)</f>
        <v>3.987</v>
      </c>
      <c r="D18" s="2" t="str">
        <f>IFERROR(__xludf.DUMMYFUNCTION("""COMPUTED_VALUE"""),"Balephi")</f>
        <v>Balephi</v>
      </c>
      <c r="E18" s="2"/>
      <c r="F18" s="2" t="str">
        <f>IFERROR(__xludf.DUMMYFUNCTION("""COMPUTED_VALUE"""),"28o 01' 11""")</f>
        <v>28o 01' 11"</v>
      </c>
      <c r="G18" s="2" t="str">
        <f>IFERROR(__xludf.DUMMYFUNCTION("""COMPUTED_VALUE"""),"28o 01' 23""")</f>
        <v>28o 01' 23"</v>
      </c>
      <c r="H18" s="2" t="str">
        <f>IFERROR(__xludf.DUMMYFUNCTION("""COMPUTED_VALUE"""),"85o 46' 46""")</f>
        <v>85o 46' 46"</v>
      </c>
      <c r="I18" s="2" t="str">
        <f>IFERROR(__xludf.DUMMYFUNCTION("""COMPUTED_VALUE"""),"85o 48' 03""")</f>
        <v>85o 48' 03"</v>
      </c>
      <c r="J18" s="2"/>
    </row>
    <row r="19">
      <c r="A19" s="2">
        <f>IFERROR(__xludf.DUMMYFUNCTION("""COMPUTED_VALUE"""),18.0)</f>
        <v>18</v>
      </c>
      <c r="B19" s="2" t="str">
        <f>IFERROR(__xludf.DUMMYFUNCTION("""COMPUTED_VALUE"""),"Upper Daraudi C (40 m Criteria)")</f>
        <v>Upper Daraudi C (40 m Criteria)</v>
      </c>
      <c r="C19" s="2">
        <f>IFERROR(__xludf.DUMMYFUNCTION("""COMPUTED_VALUE"""),1.52)</f>
        <v>1.52</v>
      </c>
      <c r="D19" s="2" t="str">
        <f>IFERROR(__xludf.DUMMYFUNCTION("""COMPUTED_VALUE"""),"Daraudi")</f>
        <v>Daraudi</v>
      </c>
      <c r="E19" s="2"/>
      <c r="F19" s="2" t="str">
        <f>IFERROR(__xludf.DUMMYFUNCTION("""COMPUTED_VALUE"""),"28o 16' 21""")</f>
        <v>28o 16' 21"</v>
      </c>
      <c r="G19" s="2" t="str">
        <f>IFERROR(__xludf.DUMMYFUNCTION("""COMPUTED_VALUE"""),"28o 16' 30""")</f>
        <v>28o 16' 30"</v>
      </c>
      <c r="H19" s="2" t="str">
        <f>IFERROR(__xludf.DUMMYFUNCTION("""COMPUTED_VALUE"""),"84o 43' 00""")</f>
        <v>84o 43' 00"</v>
      </c>
      <c r="I19" s="2" t="str">
        <f>IFERROR(__xludf.DUMMYFUNCTION("""COMPUTED_VALUE"""),"84o 44' 30""")</f>
        <v>84o 44' 30"</v>
      </c>
      <c r="J19" s="2" t="str">
        <f>IFERROR(__xludf.DUMMYFUNCTION("""COMPUTED_VALUE"""),"Ghyalchok,Warpak (Gorkha)")</f>
        <v>Ghyalchok,Warpak (Gorkha)</v>
      </c>
    </row>
    <row r="20">
      <c r="A20" s="2">
        <f>IFERROR(__xludf.DUMMYFUNCTION("""COMPUTED_VALUE"""),19.0)</f>
        <v>19</v>
      </c>
      <c r="B20" s="2" t="str">
        <f>IFERROR(__xludf.DUMMYFUNCTION("""COMPUTED_VALUE"""),"Upper Nesam (40 m Criteria)")</f>
        <v>Upper Nesam (40 m Criteria)</v>
      </c>
      <c r="C20" s="2">
        <f>IFERROR(__xludf.DUMMYFUNCTION("""COMPUTED_VALUE"""),3.4)</f>
        <v>3.4</v>
      </c>
      <c r="D20" s="2" t="str">
        <f>IFERROR(__xludf.DUMMYFUNCTION("""COMPUTED_VALUE"""),"Nyasem Khola")</f>
        <v>Nyasem Khola</v>
      </c>
      <c r="E20" s="2"/>
      <c r="F20" s="2" t="str">
        <f>IFERROR(__xludf.DUMMYFUNCTION("""COMPUTED_VALUE"""),"27o 59' 30""")</f>
        <v>27o 59' 30"</v>
      </c>
      <c r="G20" s="2" t="str">
        <f>IFERROR(__xludf.DUMMYFUNCTION("""COMPUTED_VALUE"""),"27o 59' 38""")</f>
        <v>27o 59' 38"</v>
      </c>
      <c r="H20" s="2" t="str">
        <f>IFERROR(__xludf.DUMMYFUNCTION("""COMPUTED_VALUE"""),"85o 48' 50""")</f>
        <v>85o 48' 50"</v>
      </c>
      <c r="I20" s="2" t="str">
        <f>IFERROR(__xludf.DUMMYFUNCTION("""COMPUTED_VALUE"""),"85o 49' 10""")</f>
        <v>85o 49' 10"</v>
      </c>
      <c r="J20" s="2" t="str">
        <f>IFERROR(__xludf.DUMMYFUNCTION("""COMPUTED_VALUE"""),"Gumba (Sindhupalchok)")</f>
        <v>Gumba (Sindhupalchok)</v>
      </c>
    </row>
    <row r="21">
      <c r="A21" s="2">
        <f>IFERROR(__xludf.DUMMYFUNCTION("""COMPUTED_VALUE"""),20.0)</f>
        <v>20</v>
      </c>
      <c r="B21" s="2" t="str">
        <f>IFERROR(__xludf.DUMMYFUNCTION("""COMPUTED_VALUE"""),"Yangdeli (40 m criteria)")</f>
        <v>Yangdeli (40 m criteria)</v>
      </c>
      <c r="C21" s="2">
        <f>IFERROR(__xludf.DUMMYFUNCTION("""COMPUTED_VALUE"""),4.051)</f>
        <v>4.051</v>
      </c>
      <c r="D21" s="2" t="str">
        <f>IFERROR(__xludf.DUMMYFUNCTION("""COMPUTED_VALUE"""),"Yangdeli")</f>
        <v>Yangdeli</v>
      </c>
      <c r="E21" s="2"/>
      <c r="F21" s="2" t="str">
        <f>IFERROR(__xludf.DUMMYFUNCTION("""COMPUTED_VALUE"""),"27o 21' 26""")</f>
        <v>27o 21' 26"</v>
      </c>
      <c r="G21" s="2" t="str">
        <f>IFERROR(__xludf.DUMMYFUNCTION("""COMPUTED_VALUE"""),"27o 22' 23""")</f>
        <v>27o 22' 23"</v>
      </c>
      <c r="H21" s="2" t="str">
        <f>IFERROR(__xludf.DUMMYFUNCTION("""COMPUTED_VALUE"""),"87o 30' 35""")</f>
        <v>87o 30' 35"</v>
      </c>
      <c r="I21" s="2" t="str">
        <f>IFERROR(__xludf.DUMMYFUNCTION("""COMPUTED_VALUE"""),"87o 31' 34""")</f>
        <v>87o 31' 34"</v>
      </c>
      <c r="J21" s="2"/>
    </row>
    <row r="22">
      <c r="A22" s="2">
        <f>IFERROR(__xludf.DUMMYFUNCTION("""COMPUTED_VALUE"""),21.0)</f>
        <v>21</v>
      </c>
      <c r="B22" s="2" t="str">
        <f>IFERROR(__xludf.DUMMYFUNCTION("""COMPUTED_VALUE"""),"Bakan Khola HPP (40m Criteria)")</f>
        <v>Bakan Khola HPP (40m Criteria)</v>
      </c>
      <c r="C22" s="2">
        <f>IFERROR(__xludf.DUMMYFUNCTION("""COMPUTED_VALUE"""),1.172)</f>
        <v>1.172</v>
      </c>
      <c r="D22" s="2" t="str">
        <f>IFERROR(__xludf.DUMMYFUNCTION("""COMPUTED_VALUE"""),"Bakan River")</f>
        <v>Bakan River</v>
      </c>
      <c r="E22" s="2"/>
      <c r="F22" s="2" t="str">
        <f>IFERROR(__xludf.DUMMYFUNCTION("""COMPUTED_VALUE"""),"27o 48' 40""")</f>
        <v>27o 48' 40"</v>
      </c>
      <c r="G22" s="2" t="str">
        <f>IFERROR(__xludf.DUMMYFUNCTION("""COMPUTED_VALUE"""),"27o 49' 29""")</f>
        <v>27o 49' 29"</v>
      </c>
      <c r="H22" s="2" t="str">
        <f>IFERROR(__xludf.DUMMYFUNCTION("""COMPUTED_VALUE"""),"87o 31' 00""")</f>
        <v>87o 31' 00"</v>
      </c>
      <c r="I22" s="2" t="str">
        <f>IFERROR(__xludf.DUMMYFUNCTION("""COMPUTED_VALUE"""),"87o 31' 39""")</f>
        <v>87o 31' 39"</v>
      </c>
      <c r="J22" s="2" t="str">
        <f>IFERROR(__xludf.DUMMYFUNCTION("""COMPUTED_VALUE"""),"Chepuwa (Sankhuwasabha)")</f>
        <v>Chepuwa (Sankhuwasabha)</v>
      </c>
    </row>
    <row r="23">
      <c r="A23" s="2">
        <f>IFERROR(__xludf.DUMMYFUNCTION("""COMPUTED_VALUE"""),22.0)</f>
        <v>22</v>
      </c>
      <c r="B23" s="2" t="str">
        <f>IFERROR(__xludf.DUMMYFUNCTION("""COMPUTED_VALUE"""),"Pilling Khola HPP(40m Criteria)")</f>
        <v>Pilling Khola HPP(40m Criteria)</v>
      </c>
      <c r="C23" s="2">
        <f>IFERROR(__xludf.DUMMYFUNCTION("""COMPUTED_VALUE"""),1.581)</f>
        <v>1.581</v>
      </c>
      <c r="D23" s="2" t="str">
        <f>IFERROR(__xludf.DUMMYFUNCTION("""COMPUTED_VALUE"""),"Pilling")</f>
        <v>Pilling</v>
      </c>
      <c r="E23" s="2"/>
      <c r="F23" s="2" t="str">
        <f>IFERROR(__xludf.DUMMYFUNCTION("""COMPUTED_VALUE"""),"27o 47' 50""")</f>
        <v>27o 47' 50"</v>
      </c>
      <c r="G23" s="2" t="str">
        <f>IFERROR(__xludf.DUMMYFUNCTION("""COMPUTED_VALUE"""),"27o 48' 40""")</f>
        <v>27o 48' 40"</v>
      </c>
      <c r="H23" s="2" t="str">
        <f>IFERROR(__xludf.DUMMYFUNCTION("""COMPUTED_VALUE"""),"87o 31' 00""")</f>
        <v>87o 31' 00"</v>
      </c>
      <c r="I23" s="2" t="str">
        <f>IFERROR(__xludf.DUMMYFUNCTION("""COMPUTED_VALUE"""),"87o 31' 39""")</f>
        <v>87o 31' 39"</v>
      </c>
      <c r="J23" s="2" t="str">
        <f>IFERROR(__xludf.DUMMYFUNCTION("""COMPUTED_VALUE"""),"Chepuwa (Sankhuwasabha)")</f>
        <v>Chepuwa (Sankhuwasabha)</v>
      </c>
    </row>
    <row r="24">
      <c r="A24" s="2">
        <f>IFERROR(__xludf.DUMMYFUNCTION("""COMPUTED_VALUE"""),23.0)</f>
        <v>23</v>
      </c>
      <c r="B24" s="2" t="str">
        <f>IFERROR(__xludf.DUMMYFUNCTION("""COMPUTED_VALUE"""),"Super Machha Khola - A HPP (40m Criteria)")</f>
        <v>Super Machha Khola - A HPP (40m Criteria)</v>
      </c>
      <c r="C24" s="2">
        <f>IFERROR(__xludf.DUMMYFUNCTION("""COMPUTED_VALUE"""),2.138)</f>
        <v>2.138</v>
      </c>
      <c r="D24" s="2" t="str">
        <f>IFERROR(__xludf.DUMMYFUNCTION("""COMPUTED_VALUE"""),"Machha Khola")</f>
        <v>Machha Khola</v>
      </c>
      <c r="E24" s="2"/>
      <c r="F24" s="2" t="str">
        <f>IFERROR(__xludf.DUMMYFUNCTION("""COMPUTED_VALUE"""),"28o 16' 31""")</f>
        <v>28o 16' 31"</v>
      </c>
      <c r="G24" s="2" t="str">
        <f>IFERROR(__xludf.DUMMYFUNCTION("""COMPUTED_VALUE"""),"28o 17' 00""")</f>
        <v>28o 17' 00"</v>
      </c>
      <c r="H24" s="2" t="str">
        <f>IFERROR(__xludf.DUMMYFUNCTION("""COMPUTED_VALUE"""),"84o 46' 22""")</f>
        <v>84o 46' 22"</v>
      </c>
      <c r="I24" s="2" t="str">
        <f>IFERROR(__xludf.DUMMYFUNCTION("""COMPUTED_VALUE"""),"84o 47' 58""")</f>
        <v>84o 47' 58"</v>
      </c>
      <c r="J24" s="2" t="str">
        <f>IFERROR(__xludf.DUMMYFUNCTION("""COMPUTED_VALUE"""),"Laprak (Gorkha)")</f>
        <v>Laprak (Gorkha)</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IFERROR(__xludf.DUMMYFUNCTION("IMPORTHTML(""https://www.doed.gov.np/pages/gonstudied/"",""table"",1)"),"S No")</f>
        <v>S No</v>
      </c>
      <c r="B1" s="2" t="str">
        <f>IFERROR(__xludf.DUMMYFUNCTION("""COMPUTED_VALUE"""),"Project")</f>
        <v>Project</v>
      </c>
      <c r="C1" s="2" t="str">
        <f>IFERROR(__xludf.DUMMYFUNCTION("""COMPUTED_VALUE"""),"Capacity (MW)")</f>
        <v>Capacity (MW)</v>
      </c>
      <c r="D1" s="2" t="str">
        <f>IFERROR(__xludf.DUMMYFUNCTION("""COMPUTED_VALUE"""),"River")</f>
        <v>River</v>
      </c>
      <c r="E1" s="2" t="str">
        <f>IFERROR(__xludf.DUMMYFUNCTION("""COMPUTED_VALUE"""),"Latitiude N")</f>
        <v>Latitiude N</v>
      </c>
      <c r="F1" s="2"/>
      <c r="G1" s="2" t="str">
        <f>IFERROR(__xludf.DUMMYFUNCTION("""COMPUTED_VALUE"""),"Longitude E")</f>
        <v>Longitude E</v>
      </c>
      <c r="H1" s="2"/>
      <c r="I1" s="2" t="str">
        <f>IFERROR(__xludf.DUMMYFUNCTION("""COMPUTED_VALUE"""),"VDC/District")</f>
        <v>VDC/District</v>
      </c>
    </row>
    <row r="2">
      <c r="A2" s="2">
        <f>IFERROR(__xludf.DUMMYFUNCTION("""COMPUTED_VALUE"""),1.0)</f>
        <v>1</v>
      </c>
      <c r="B2" s="2" t="str">
        <f>IFERROR(__xludf.DUMMYFUNCTION("""COMPUTED_VALUE"""),"Beni Kaligandaki")</f>
        <v>Beni Kaligandaki</v>
      </c>
      <c r="C2" s="2">
        <f>IFERROR(__xludf.DUMMYFUNCTION("""COMPUTED_VALUE"""),50.53)</f>
        <v>50.53</v>
      </c>
      <c r="D2" s="2" t="str">
        <f>IFERROR(__xludf.DUMMYFUNCTION("""COMPUTED_VALUE"""),"Kali Gandaki")</f>
        <v>Kali Gandaki</v>
      </c>
      <c r="E2" s="2" t="str">
        <f>IFERROR(__xludf.DUMMYFUNCTION("""COMPUTED_VALUE"""),"28o 18' 15""")</f>
        <v>28o 18' 15"</v>
      </c>
      <c r="F2" s="2" t="str">
        <f>IFERROR(__xludf.DUMMYFUNCTION("""COMPUTED_VALUE"""),"28o 22' 00""")</f>
        <v>28o 22' 00"</v>
      </c>
      <c r="G2" s="2" t="str">
        <f>IFERROR(__xludf.DUMMYFUNCTION("""COMPUTED_VALUE"""),"83o 33' 50""")</f>
        <v>83o 33' 50"</v>
      </c>
      <c r="H2" s="2" t="str">
        <f>IFERROR(__xludf.DUMMYFUNCTION("""COMPUTED_VALUE"""),"83o 36' 30""")</f>
        <v>83o 36' 30"</v>
      </c>
      <c r="I2" s="2" t="str">
        <f>IFERROR(__xludf.DUMMYFUNCTION("""COMPUTED_VALUE"""),"Malika (Baglung) Ratnechaur,Jyamrukot,Dhatan,Arthunge (Myagdi) 
Mallaj,Salija,Dhairing (Parbat)")</f>
        <v>Malika (Baglung) Ratnechaur,Jyamrukot,Dhatan,Arthunge (Myagdi) 
Mallaj,Salija,Dhairing (Parbat)</v>
      </c>
    </row>
    <row r="3">
      <c r="A3" s="2">
        <f>IFERROR(__xludf.DUMMYFUNCTION("""COMPUTED_VALUE"""),2.0)</f>
        <v>2</v>
      </c>
      <c r="B3" s="2" t="str">
        <f>IFERROR(__xludf.DUMMYFUNCTION("""COMPUTED_VALUE"""),"Bheri Khola")</f>
        <v>Bheri Khola</v>
      </c>
      <c r="C3" s="2">
        <f>IFERROR(__xludf.DUMMYFUNCTION("""COMPUTED_VALUE"""),4.1)</f>
        <v>4.1</v>
      </c>
      <c r="D3" s="2" t="str">
        <f>IFERROR(__xludf.DUMMYFUNCTION("""COMPUTED_VALUE"""),"Bheri Khola")</f>
        <v>Bheri Khola</v>
      </c>
      <c r="E3" s="2" t="str">
        <f>IFERROR(__xludf.DUMMYFUNCTION("""COMPUTED_VALUE"""),"29o 07' 53""")</f>
        <v>29o 07' 53"</v>
      </c>
      <c r="F3" s="2" t="str">
        <f>IFERROR(__xludf.DUMMYFUNCTION("""COMPUTED_VALUE"""),"29o 13' 07""")</f>
        <v>29o 13' 07"</v>
      </c>
      <c r="G3" s="2" t="str">
        <f>IFERROR(__xludf.DUMMYFUNCTION("""COMPUTED_VALUE"""),"81o 55' 58""")</f>
        <v>81o 55' 58"</v>
      </c>
      <c r="H3" s="2" t="str">
        <f>IFERROR(__xludf.DUMMYFUNCTION("""COMPUTED_VALUE"""),"82o 05' 18""")</f>
        <v>82o 05' 18"</v>
      </c>
      <c r="I3" s="2" t="str">
        <f>IFERROR(__xludf.DUMMYFUNCTION("""COMPUTED_VALUE"""),"Tamti (Jumla)")</f>
        <v>Tamti (Jumla)</v>
      </c>
    </row>
    <row r="4">
      <c r="A4" s="2">
        <f>IFERROR(__xludf.DUMMYFUNCTION("""COMPUTED_VALUE"""),3.0)</f>
        <v>3</v>
      </c>
      <c r="B4" s="2" t="str">
        <f>IFERROR(__xludf.DUMMYFUNCTION("""COMPUTED_VALUE"""),"Bheri-Babai Diversion (DWRI)")</f>
        <v>Bheri-Babai Diversion (DWRI)</v>
      </c>
      <c r="C4" s="2">
        <f>IFERROR(__xludf.DUMMYFUNCTION("""COMPUTED_VALUE"""),48.0)</f>
        <v>48</v>
      </c>
      <c r="D4" s="2" t="str">
        <f>IFERROR(__xludf.DUMMYFUNCTION("""COMPUTED_VALUE"""),"Bheri")</f>
        <v>Bheri</v>
      </c>
      <c r="E4" s="2" t="str">
        <f>IFERROR(__xludf.DUMMYFUNCTION("""COMPUTED_VALUE"""),"28o 20' 10""")</f>
        <v>28o 20' 10"</v>
      </c>
      <c r="F4" s="2" t="str">
        <f>IFERROR(__xludf.DUMMYFUNCTION("""COMPUTED_VALUE"""),"28o 29' 45""")</f>
        <v>28o 29' 45"</v>
      </c>
      <c r="G4" s="2" t="str">
        <f>IFERROR(__xludf.DUMMYFUNCTION("""COMPUTED_VALUE"""),"81o 18' 50""")</f>
        <v>81o 18' 50"</v>
      </c>
      <c r="H4" s="2" t="str">
        <f>IFERROR(__xludf.DUMMYFUNCTION("""COMPUTED_VALUE"""),"81o 52' 26""")</f>
        <v>81o 52' 26"</v>
      </c>
      <c r="I4" s="2" t="str">
        <f>IFERROR(__xludf.DUMMYFUNCTION("""COMPUTED_VALUE"""),"BirendraNagar N.P. (Surkhet)")</f>
        <v>BirendraNagar N.P. (Surkhet)</v>
      </c>
    </row>
    <row r="5">
      <c r="A5" s="2">
        <f>IFERROR(__xludf.DUMMYFUNCTION("""COMPUTED_VALUE"""),4.0)</f>
        <v>4</v>
      </c>
      <c r="B5" s="2" t="str">
        <f>IFERROR(__xludf.DUMMYFUNCTION("""COMPUTED_VALUE"""),"Budhi Gandaki Storage")</f>
        <v>Budhi Gandaki Storage</v>
      </c>
      <c r="C5" s="2">
        <f>IFERROR(__xludf.DUMMYFUNCTION("""COMPUTED_VALUE"""),1200.0)</f>
        <v>1200</v>
      </c>
      <c r="D5" s="2" t="str">
        <f>IFERROR(__xludf.DUMMYFUNCTION("""COMPUTED_VALUE"""),"Budhi Gandaki")</f>
        <v>Budhi Gandaki</v>
      </c>
      <c r="E5" s="2" t="str">
        <f>IFERROR(__xludf.DUMMYFUNCTION("""COMPUTED_VALUE"""),"27o 48' 30""")</f>
        <v>27o 48' 30"</v>
      </c>
      <c r="F5" s="2" t="str">
        <f>IFERROR(__xludf.DUMMYFUNCTION("""COMPUTED_VALUE"""),"28o 07' 30""")</f>
        <v>28o 07' 30"</v>
      </c>
      <c r="G5" s="2" t="str">
        <f>IFERROR(__xludf.DUMMYFUNCTION("""COMPUTED_VALUE"""),"84o 42' 30""")</f>
        <v>84o 42' 30"</v>
      </c>
      <c r="H5" s="2" t="str">
        <f>IFERROR(__xludf.DUMMYFUNCTION("""COMPUTED_VALUE"""),"84o 56' 00""")</f>
        <v>84o 56' 00"</v>
      </c>
      <c r="I5" s="2" t="str">
        <f>IFERROR(__xludf.DUMMYFUNCTION("""COMPUTED_VALUE"""),"Budhathum,Chainpur,Khari,Maidi,Salyantar,Salang (Dhading) 
Namjung,Dhawa,Darbhung,Borlang,Ghyalchok,Tandrang (Gorkha)")</f>
        <v>Budhathum,Chainpur,Khari,Maidi,Salyantar,Salang (Dhading) 
Namjung,Dhawa,Darbhung,Borlang,Ghyalchok,Tandrang (Gorkha)</v>
      </c>
    </row>
    <row r="6">
      <c r="A6" s="2">
        <f>IFERROR(__xludf.DUMMYFUNCTION("""COMPUTED_VALUE"""),5.0)</f>
        <v>5</v>
      </c>
      <c r="B6" s="2" t="str">
        <f>IFERROR(__xludf.DUMMYFUNCTION("""COMPUTED_VALUE"""),"Budhi Ganga")</f>
        <v>Budhi Ganga</v>
      </c>
      <c r="C6" s="2">
        <f>IFERROR(__xludf.DUMMYFUNCTION("""COMPUTED_VALUE"""),20.0)</f>
        <v>20</v>
      </c>
      <c r="D6" s="2" t="str">
        <f>IFERROR(__xludf.DUMMYFUNCTION("""COMPUTED_VALUE"""),"Budhi Ganga")</f>
        <v>Budhi Ganga</v>
      </c>
      <c r="E6" s="2" t="str">
        <f>IFERROR(__xludf.DUMMYFUNCTION("""COMPUTED_VALUE"""),"29o 15' 30""")</f>
        <v>29o 15' 30"</v>
      </c>
      <c r="F6" s="2" t="str">
        <f>IFERROR(__xludf.DUMMYFUNCTION("""COMPUTED_VALUE"""),"29o 18' 35""")</f>
        <v>29o 18' 35"</v>
      </c>
      <c r="G6" s="2" t="str">
        <f>IFERROR(__xludf.DUMMYFUNCTION("""COMPUTED_VALUE"""),"81o 13' 47""")</f>
        <v>81o 13' 47"</v>
      </c>
      <c r="H6" s="2" t="str">
        <f>IFERROR(__xludf.DUMMYFUNCTION("""COMPUTED_VALUE"""),"81o 17' 50""")</f>
        <v>81o 17' 50"</v>
      </c>
      <c r="I6" s="2" t="str">
        <f>IFERROR(__xludf.DUMMYFUNCTION("""COMPUTED_VALUE"""),"Babala,Hatikot,Kushkot (Achham) Barhabise (Bajura)")</f>
        <v>Babala,Hatikot,Kushkot (Achham) Barhabise (Bajura)</v>
      </c>
    </row>
    <row r="7">
      <c r="A7" s="2">
        <f>IFERROR(__xludf.DUMMYFUNCTION("""COMPUTED_VALUE"""),6.0)</f>
        <v>6</v>
      </c>
      <c r="B7" s="2" t="str">
        <f>IFERROR(__xludf.DUMMYFUNCTION("""COMPUTED_VALUE"""),"Budhi Ganga Small")</f>
        <v>Budhi Ganga Small</v>
      </c>
      <c r="C7" s="2">
        <f>IFERROR(__xludf.DUMMYFUNCTION("""COMPUTED_VALUE"""),10.85)</f>
        <v>10.85</v>
      </c>
      <c r="D7" s="2" t="str">
        <f>IFERROR(__xludf.DUMMYFUNCTION("""COMPUTED_VALUE"""),"Budhi Ganga")</f>
        <v>Budhi Ganga</v>
      </c>
      <c r="E7" s="2" t="str">
        <f>IFERROR(__xludf.DUMMYFUNCTION("""COMPUTED_VALUE"""),"29o 20' 30""")</f>
        <v>29o 20' 30"</v>
      </c>
      <c r="F7" s="2" t="str">
        <f>IFERROR(__xludf.DUMMYFUNCTION("""COMPUTED_VALUE"""),"29o 24' 00""")</f>
        <v>29o 24' 00"</v>
      </c>
      <c r="G7" s="2" t="str">
        <f>IFERROR(__xludf.DUMMYFUNCTION("""COMPUTED_VALUE"""),"81o 19' 15""")</f>
        <v>81o 19' 15"</v>
      </c>
      <c r="H7" s="2" t="str">
        <f>IFERROR(__xludf.DUMMYFUNCTION("""COMPUTED_VALUE"""),"81o 23' 45""")</f>
        <v>81o 23' 45"</v>
      </c>
      <c r="I7" s="2" t="str">
        <f>IFERROR(__xludf.DUMMYFUNCTION("""COMPUTED_VALUE"""),"(Bajura)")</f>
        <v>(Bajura)</v>
      </c>
    </row>
    <row r="8">
      <c r="A8" s="2">
        <f>IFERROR(__xludf.DUMMYFUNCTION("""COMPUTED_VALUE"""),7.0)</f>
        <v>7</v>
      </c>
      <c r="B8" s="2" t="str">
        <f>IFERROR(__xludf.DUMMYFUNCTION("""COMPUTED_VALUE"""),"Dotigad")</f>
        <v>Dotigad</v>
      </c>
      <c r="C8" s="2">
        <f>IFERROR(__xludf.DUMMYFUNCTION("""COMPUTED_VALUE"""),2.52)</f>
        <v>2.52</v>
      </c>
      <c r="D8" s="2" t="str">
        <f>IFERROR(__xludf.DUMMYFUNCTION("""COMPUTED_VALUE"""),"Doti Gad")</f>
        <v>Doti Gad</v>
      </c>
      <c r="E8" s="2" t="str">
        <f>IFERROR(__xludf.DUMMYFUNCTION("""COMPUTED_VALUE"""),"29o 17' 37""")</f>
        <v>29o 17' 37"</v>
      </c>
      <c r="F8" s="2" t="str">
        <f>IFERROR(__xludf.DUMMYFUNCTION("""COMPUTED_VALUE"""),"29o 18' 20""")</f>
        <v>29o 18' 20"</v>
      </c>
      <c r="G8" s="2" t="str">
        <f>IFERROR(__xludf.DUMMYFUNCTION("""COMPUTED_VALUE"""),"80o 29' 06""")</f>
        <v>80o 29' 06"</v>
      </c>
      <c r="H8" s="2" t="str">
        <f>IFERROR(__xludf.DUMMYFUNCTION("""COMPUTED_VALUE"""),"80o 30' 30""")</f>
        <v>80o 30' 30"</v>
      </c>
      <c r="I8" s="2" t="str">
        <f>IFERROR(__xludf.DUMMYFUNCTION("""COMPUTED_VALUE"""),"Bagarkot (Dadeldhura)")</f>
        <v>Bagarkot (Dadeldhura)</v>
      </c>
    </row>
    <row r="9">
      <c r="A9" s="2">
        <f>IFERROR(__xludf.DUMMYFUNCTION("""COMPUTED_VALUE"""),8.0)</f>
        <v>8</v>
      </c>
      <c r="B9" s="2" t="str">
        <f>IFERROR(__xludf.DUMMYFUNCTION("""COMPUTED_VALUE"""),"Humla Karnali Hydropower Project")</f>
        <v>Humla Karnali Hydropower Project</v>
      </c>
      <c r="C9" s="2">
        <f>IFERROR(__xludf.DUMMYFUNCTION("""COMPUTED_VALUE"""),61.02)</f>
        <v>61.02</v>
      </c>
      <c r="D9" s="2" t="str">
        <f>IFERROR(__xludf.DUMMYFUNCTION("""COMPUTED_VALUE"""),"Humla Karnali")</f>
        <v>Humla Karnali</v>
      </c>
      <c r="E9" s="2" t="str">
        <f>IFERROR(__xludf.DUMMYFUNCTION("""COMPUTED_VALUE"""),"30o 03' 12""")</f>
        <v>30o 03' 12"</v>
      </c>
      <c r="F9" s="2" t="str">
        <f>IFERROR(__xludf.DUMMYFUNCTION("""COMPUTED_VALUE"""),"30o 06' 06""")</f>
        <v>30o 06' 06"</v>
      </c>
      <c r="G9" s="2" t="str">
        <f>IFERROR(__xludf.DUMMYFUNCTION("""COMPUTED_VALUE"""),"81o 31' 07""")</f>
        <v>81o 31' 07"</v>
      </c>
      <c r="H9" s="2" t="str">
        <f>IFERROR(__xludf.DUMMYFUNCTION("""COMPUTED_VALUE"""),"81o 36' 05""")</f>
        <v>81o 36' 05"</v>
      </c>
      <c r="I9" s="2" t="str">
        <f>IFERROR(__xludf.DUMMYFUNCTION("""COMPUTED_VALUE"""),"Muchu (Humla)")</f>
        <v>Muchu (Humla)</v>
      </c>
    </row>
    <row r="10">
      <c r="A10" s="2">
        <f>IFERROR(__xludf.DUMMYFUNCTION("""COMPUTED_VALUE"""),9.0)</f>
        <v>9</v>
      </c>
      <c r="B10" s="2" t="str">
        <f>IFERROR(__xludf.DUMMYFUNCTION("""COMPUTED_VALUE"""),"Inkhu")</f>
        <v>Inkhu</v>
      </c>
      <c r="C10" s="2">
        <f>IFERROR(__xludf.DUMMYFUNCTION("""COMPUTED_VALUE"""),21.4)</f>
        <v>21.4</v>
      </c>
      <c r="D10" s="2" t="str">
        <f>IFERROR(__xludf.DUMMYFUNCTION("""COMPUTED_VALUE"""),"Inkhu")</f>
        <v>Inkhu</v>
      </c>
      <c r="E10" s="2" t="str">
        <f>IFERROR(__xludf.DUMMYFUNCTION("""COMPUTED_VALUE"""),"27o 29' 15""")</f>
        <v>27o 29' 15"</v>
      </c>
      <c r="F10" s="2" t="str">
        <f>IFERROR(__xludf.DUMMYFUNCTION("""COMPUTED_VALUE"""),"27o 31' 42""")</f>
        <v>27o 31' 42"</v>
      </c>
      <c r="G10" s="2" t="str">
        <f>IFERROR(__xludf.DUMMYFUNCTION("""COMPUTED_VALUE"""),"86o 44' 00""")</f>
        <v>86o 44' 00"</v>
      </c>
      <c r="H10" s="2" t="str">
        <f>IFERROR(__xludf.DUMMYFUNCTION("""COMPUTED_VALUE"""),"86o 45' 45""")</f>
        <v>86o 45' 45"</v>
      </c>
      <c r="I10" s="2" t="str">
        <f>IFERROR(__xludf.DUMMYFUNCTION("""COMPUTED_VALUE"""),"Baku (Solukhumbu)")</f>
        <v>Baku (Solukhumbu)</v>
      </c>
    </row>
    <row r="11">
      <c r="A11" s="2">
        <f>IFERROR(__xludf.DUMMYFUNCTION("""COMPUTED_VALUE"""),10.0)</f>
        <v>10</v>
      </c>
      <c r="B11" s="2" t="str">
        <f>IFERROR(__xludf.DUMMYFUNCTION("""COMPUTED_VALUE"""),"Jawa Khola")</f>
        <v>Jawa Khola</v>
      </c>
      <c r="C11" s="2">
        <f>IFERROR(__xludf.DUMMYFUNCTION("""COMPUTED_VALUE"""),15.25)</f>
        <v>15.25</v>
      </c>
      <c r="D11" s="2" t="str">
        <f>IFERROR(__xludf.DUMMYFUNCTION("""COMPUTED_VALUE"""),"Jawa Khola")</f>
        <v>Jawa Khola</v>
      </c>
      <c r="E11" s="2" t="str">
        <f>IFERROR(__xludf.DUMMYFUNCTION("""COMPUTED_VALUE"""),"29o 16' 26""")</f>
        <v>29o 16' 26"</v>
      </c>
      <c r="F11" s="2" t="str">
        <f>IFERROR(__xludf.DUMMYFUNCTION("""COMPUTED_VALUE"""),"29o 19' 01""")</f>
        <v>29o 19' 01"</v>
      </c>
      <c r="G11" s="2" t="str">
        <f>IFERROR(__xludf.DUMMYFUNCTION("""COMPUTED_VALUE"""),"82o 12' 21""")</f>
        <v>82o 12' 21"</v>
      </c>
      <c r="H11" s="2" t="str">
        <f>IFERROR(__xludf.DUMMYFUNCTION("""COMPUTED_VALUE"""),"82o 16' 34""")</f>
        <v>82o 16' 34"</v>
      </c>
      <c r="I11" s="2" t="str">
        <f>IFERROR(__xludf.DUMMYFUNCTION("""COMPUTED_VALUE"""),"Chhumchaur,Chandan Nath,Dillichaur,Garjyangkot,Patmara,Patarasi (Jumla)")</f>
        <v>Chhumchaur,Chandan Nath,Dillichaur,Garjyangkot,Patmara,Patarasi (Jumla)</v>
      </c>
    </row>
    <row r="12">
      <c r="A12" s="2">
        <f>IFERROR(__xludf.DUMMYFUNCTION("""COMPUTED_VALUE"""),11.0)</f>
        <v>11</v>
      </c>
      <c r="B12" s="2" t="str">
        <f>IFERROR(__xludf.DUMMYFUNCTION("""COMPUTED_VALUE"""),"Jugada Budhiganga HPP")</f>
        <v>Jugada Budhiganga HPP</v>
      </c>
      <c r="C12" s="2">
        <f>IFERROR(__xludf.DUMMYFUNCTION("""COMPUTED_VALUE"""),15.5)</f>
        <v>15.5</v>
      </c>
      <c r="D12" s="2" t="str">
        <f>IFERROR(__xludf.DUMMYFUNCTION("""COMPUTED_VALUE"""),"Budhi Ganga")</f>
        <v>Budhi Ganga</v>
      </c>
      <c r="E12" s="2" t="str">
        <f>IFERROR(__xludf.DUMMYFUNCTION("""COMPUTED_VALUE"""),"29o 24' 00""")</f>
        <v>29o 24' 00"</v>
      </c>
      <c r="F12" s="2" t="str">
        <f>IFERROR(__xludf.DUMMYFUNCTION("""COMPUTED_VALUE"""),"29o 28' 30""")</f>
        <v>29o 28' 30"</v>
      </c>
      <c r="G12" s="2" t="str">
        <f>IFERROR(__xludf.DUMMYFUNCTION("""COMPUTED_VALUE"""),"81o 23' 45""")</f>
        <v>81o 23' 45"</v>
      </c>
      <c r="H12" s="2" t="str">
        <f>IFERROR(__xludf.DUMMYFUNCTION("""COMPUTED_VALUE"""),"81o 28' 27""")</f>
        <v>81o 28' 27"</v>
      </c>
      <c r="I12" s="2"/>
    </row>
    <row r="13">
      <c r="A13" s="2">
        <f>IFERROR(__xludf.DUMMYFUNCTION("""COMPUTED_VALUE"""),12.0)</f>
        <v>12</v>
      </c>
      <c r="B13" s="2" t="str">
        <f>IFERROR(__xludf.DUMMYFUNCTION("""COMPUTED_VALUE"""),"Kankai Multipurpose Project")</f>
        <v>Kankai Multipurpose Project</v>
      </c>
      <c r="C13" s="2">
        <f>IFERROR(__xludf.DUMMYFUNCTION("""COMPUTED_VALUE"""),60.0)</f>
        <v>60</v>
      </c>
      <c r="D13" s="2" t="str">
        <f>IFERROR(__xludf.DUMMYFUNCTION("""COMPUTED_VALUE"""),"Kankai")</f>
        <v>Kankai</v>
      </c>
      <c r="E13" s="2" t="str">
        <f>IFERROR(__xludf.DUMMYFUNCTION("""COMPUTED_VALUE"""),"26o 40' 30""")</f>
        <v>26o 40' 30"</v>
      </c>
      <c r="F13" s="2" t="str">
        <f>IFERROR(__xludf.DUMMYFUNCTION("""COMPUTED_VALUE"""),"26o 49' 36""")</f>
        <v>26o 49' 36"</v>
      </c>
      <c r="G13" s="2" t="str">
        <f>IFERROR(__xludf.DUMMYFUNCTION("""COMPUTED_VALUE"""),"87o 45' 49""")</f>
        <v>87o 45' 49"</v>
      </c>
      <c r="H13" s="2" t="str">
        <f>IFERROR(__xludf.DUMMYFUNCTION("""COMPUTED_VALUE"""),"87o 55' 42""")</f>
        <v>87o 55' 42"</v>
      </c>
      <c r="I13" s="2"/>
    </row>
    <row r="14">
      <c r="A14" s="2">
        <f>IFERROR(__xludf.DUMMYFUNCTION("""COMPUTED_VALUE"""),13.0)</f>
        <v>13</v>
      </c>
      <c r="B14" s="2" t="str">
        <f>IFERROR(__xludf.DUMMYFUNCTION("""COMPUTED_VALUE"""),"Kawadi Khola")</f>
        <v>Kawadi Khola</v>
      </c>
      <c r="C14" s="2">
        <f>IFERROR(__xludf.DUMMYFUNCTION("""COMPUTED_VALUE"""),30.0)</f>
        <v>30</v>
      </c>
      <c r="D14" s="2" t="str">
        <f>IFERROR(__xludf.DUMMYFUNCTION("""COMPUTED_VALUE"""),"Kawadi Khola")</f>
        <v>Kawadi Khola</v>
      </c>
      <c r="E14" s="2" t="str">
        <f>IFERROR(__xludf.DUMMYFUNCTION("""COMPUTED_VALUE"""),"29o 45' 00""")</f>
        <v>29o 45' 00"</v>
      </c>
      <c r="F14" s="2" t="str">
        <f>IFERROR(__xludf.DUMMYFUNCTION("""COMPUTED_VALUE"""),"29o 48' 18""")</f>
        <v>29o 48' 18"</v>
      </c>
      <c r="G14" s="2" t="str">
        <f>IFERROR(__xludf.DUMMYFUNCTION("""COMPUTED_VALUE"""),"81o 43' 00""")</f>
        <v>81o 43' 00"</v>
      </c>
      <c r="H14" s="2" t="str">
        <f>IFERROR(__xludf.DUMMYFUNCTION("""COMPUTED_VALUE"""),"81o 45' 00""")</f>
        <v>81o 45' 00"</v>
      </c>
      <c r="I14" s="2" t="str">
        <f>IFERROR(__xludf.DUMMYFUNCTION("""COMPUTED_VALUE"""),"Maila (Humla)")</f>
        <v>Maila (Humla)</v>
      </c>
    </row>
    <row r="15">
      <c r="A15" s="2">
        <f>IFERROR(__xludf.DUMMYFUNCTION("""COMPUTED_VALUE"""),14.0)</f>
        <v>14</v>
      </c>
      <c r="B15" s="2" t="str">
        <f>IFERROR(__xludf.DUMMYFUNCTION("""COMPUTED_VALUE"""),"Kawadi Khola 1")</f>
        <v>Kawadi Khola 1</v>
      </c>
      <c r="C15" s="2">
        <f>IFERROR(__xludf.DUMMYFUNCTION("""COMPUTED_VALUE"""),33.3)</f>
        <v>33.3</v>
      </c>
      <c r="D15" s="2" t="str">
        <f>IFERROR(__xludf.DUMMYFUNCTION("""COMPUTED_VALUE"""),"Kawadi Khola")</f>
        <v>Kawadi Khola</v>
      </c>
      <c r="E15" s="2" t="str">
        <f>IFERROR(__xludf.DUMMYFUNCTION("""COMPUTED_VALUE"""),"29o 41' 35""")</f>
        <v>29o 41' 35"</v>
      </c>
      <c r="F15" s="2" t="str">
        <f>IFERROR(__xludf.DUMMYFUNCTION("""COMPUTED_VALUE"""),"29o 44' 59""")</f>
        <v>29o 44' 59"</v>
      </c>
      <c r="G15" s="2" t="str">
        <f>IFERROR(__xludf.DUMMYFUNCTION("""COMPUTED_VALUE"""),"81o 41' 00""")</f>
        <v>81o 41' 00"</v>
      </c>
      <c r="H15" s="2" t="str">
        <f>IFERROR(__xludf.DUMMYFUNCTION("""COMPUTED_VALUE"""),"81o 45' 00""")</f>
        <v>81o 45' 00"</v>
      </c>
      <c r="I15" s="2"/>
    </row>
    <row r="16">
      <c r="A16" s="2">
        <f>IFERROR(__xludf.DUMMYFUNCTION("""COMPUTED_VALUE"""),15.0)</f>
        <v>15</v>
      </c>
      <c r="B16" s="2" t="str">
        <f>IFERROR(__xludf.DUMMYFUNCTION("""COMPUTED_VALUE"""),"Kokhajor Storage HEP")</f>
        <v>Kokhajor Storage HEP</v>
      </c>
      <c r="C16" s="2">
        <f>IFERROR(__xludf.DUMMYFUNCTION("""COMPUTED_VALUE"""),63.0)</f>
        <v>63</v>
      </c>
      <c r="D16" s="2" t="str">
        <f>IFERROR(__xludf.DUMMYFUNCTION("""COMPUTED_VALUE"""),"Kokhajor Khola")</f>
        <v>Kokhajor Khola</v>
      </c>
      <c r="E16" s="2" t="str">
        <f>IFERROR(__xludf.DUMMYFUNCTION("""COMPUTED_VALUE"""),"27o 15' 48""")</f>
        <v>27o 15' 48"</v>
      </c>
      <c r="F16" s="2" t="str">
        <f>IFERROR(__xludf.DUMMYFUNCTION("""COMPUTED_VALUE"""),"27o 22' 05""")</f>
        <v>27o 22' 05"</v>
      </c>
      <c r="G16" s="2" t="str">
        <f>IFERROR(__xludf.DUMMYFUNCTION("""COMPUTED_VALUE"""),"85o 25' 45""")</f>
        <v>85o 25' 45"</v>
      </c>
      <c r="H16" s="2" t="str">
        <f>IFERROR(__xludf.DUMMYFUNCTION("""COMPUTED_VALUE"""),"85o 37' 40""")</f>
        <v>85o 37' 40"</v>
      </c>
      <c r="I16" s="2" t="str">
        <f>IFERROR(__xludf.DUMMYFUNCTION("""COMPUTED_VALUE"""),"Faparbari,Raigaun (Makawanpur) Mahendrajhayadi,Kapilakot (Sindhuli)")</f>
        <v>Faparbari,Raigaun (Makawanpur) Mahendrajhayadi,Kapilakot (Sindhuli)</v>
      </c>
    </row>
    <row r="17">
      <c r="A17" s="2">
        <f>IFERROR(__xludf.DUMMYFUNCTION("""COMPUTED_VALUE"""),16.0)</f>
        <v>16</v>
      </c>
      <c r="B17" s="2" t="str">
        <f>IFERROR(__xludf.DUMMYFUNCTION("""COMPUTED_VALUE"""),"Loti Karnali (Darma)")</f>
        <v>Loti Karnali (Darma)</v>
      </c>
      <c r="C17" s="2">
        <f>IFERROR(__xludf.DUMMYFUNCTION("""COMPUTED_VALUE"""),49.5)</f>
        <v>49.5</v>
      </c>
      <c r="D17" s="2" t="str">
        <f>IFERROR(__xludf.DUMMYFUNCTION("""COMPUTED_VALUE"""),"Darma Khola")</f>
        <v>Darma Khola</v>
      </c>
      <c r="E17" s="2" t="str">
        <f>IFERROR(__xludf.DUMMYFUNCTION("""COMPUTED_VALUE"""),"29o 44' 30""")</f>
        <v>29o 44' 30"</v>
      </c>
      <c r="F17" s="2" t="str">
        <f>IFERROR(__xludf.DUMMYFUNCTION("""COMPUTED_VALUE"""),"29o 49' 13""")</f>
        <v>29o 49' 13"</v>
      </c>
      <c r="G17" s="2" t="str">
        <f>IFERROR(__xludf.DUMMYFUNCTION("""COMPUTED_VALUE"""),"82o 03' 18""")</f>
        <v>82o 03' 18"</v>
      </c>
      <c r="H17" s="2" t="str">
        <f>IFERROR(__xludf.DUMMYFUNCTION("""COMPUTED_VALUE"""),"82o 05' 36""")</f>
        <v>82o 05' 36"</v>
      </c>
      <c r="I17" s="2" t="str">
        <f>IFERROR(__xludf.DUMMYFUNCTION("""COMPUTED_VALUE"""),"Mimi (Humla)")</f>
        <v>Mimi (Humla)</v>
      </c>
    </row>
    <row r="18">
      <c r="A18" s="2">
        <f>IFERROR(__xludf.DUMMYFUNCTION("""COMPUTED_VALUE"""),17.0)</f>
        <v>17</v>
      </c>
      <c r="B18" s="2" t="str">
        <f>IFERROR(__xludf.DUMMYFUNCTION("""COMPUTED_VALUE"""),"Lungri Khola")</f>
        <v>Lungri Khola</v>
      </c>
      <c r="C18" s="2">
        <f>IFERROR(__xludf.DUMMYFUNCTION("""COMPUTED_VALUE"""),6.0)</f>
        <v>6</v>
      </c>
      <c r="D18" s="2" t="str">
        <f>IFERROR(__xludf.DUMMYFUNCTION("""COMPUTED_VALUE"""),"Lungri Khola")</f>
        <v>Lungri Khola</v>
      </c>
      <c r="E18" s="2" t="str">
        <f>IFERROR(__xludf.DUMMYFUNCTION("""COMPUTED_VALUE"""),"28o 14' 52""")</f>
        <v>28o 14' 52"</v>
      </c>
      <c r="F18" s="2" t="str">
        <f>IFERROR(__xludf.DUMMYFUNCTION("""COMPUTED_VALUE"""),"28o 18' 30""")</f>
        <v>28o 18' 30"</v>
      </c>
      <c r="G18" s="2" t="str">
        <f>IFERROR(__xludf.DUMMYFUNCTION("""COMPUTED_VALUE"""),"82o 43' 00""")</f>
        <v>82o 43' 00"</v>
      </c>
      <c r="H18" s="2" t="str">
        <f>IFERROR(__xludf.DUMMYFUNCTION("""COMPUTED_VALUE"""),"82o 47' 45""")</f>
        <v>82o 47' 45"</v>
      </c>
      <c r="I18" s="2" t="str">
        <f>IFERROR(__xludf.DUMMYFUNCTION("""COMPUTED_VALUE"""),"Harjang (Rolpa)")</f>
        <v>Harjang (Rolpa)</v>
      </c>
    </row>
    <row r="19">
      <c r="A19" s="2">
        <f>IFERROR(__xludf.DUMMYFUNCTION("""COMPUTED_VALUE"""),18.0)</f>
        <v>18</v>
      </c>
      <c r="B19" s="2" t="str">
        <f>IFERROR(__xludf.DUMMYFUNCTION("""COMPUTED_VALUE"""),"Middle Inkhu Khola")</f>
        <v>Middle Inkhu Khola</v>
      </c>
      <c r="C19" s="2">
        <f>IFERROR(__xludf.DUMMYFUNCTION("""COMPUTED_VALUE"""),27.9)</f>
        <v>27.9</v>
      </c>
      <c r="D19" s="2" t="str">
        <f>IFERROR(__xludf.DUMMYFUNCTION("""COMPUTED_VALUE"""),"Inkhu")</f>
        <v>Inkhu</v>
      </c>
      <c r="E19" s="2" t="str">
        <f>IFERROR(__xludf.DUMMYFUNCTION("""COMPUTED_VALUE"""),"27o 31' 42""")</f>
        <v>27o 31' 42"</v>
      </c>
      <c r="F19" s="2" t="str">
        <f>IFERROR(__xludf.DUMMYFUNCTION("""COMPUTED_VALUE"""),"27o 34' 00""")</f>
        <v>27o 34' 00"</v>
      </c>
      <c r="G19" s="2" t="str">
        <f>IFERROR(__xludf.DUMMYFUNCTION("""COMPUTED_VALUE"""),"86o 45' 00""")</f>
        <v>86o 45' 00"</v>
      </c>
      <c r="H19" s="2" t="str">
        <f>IFERROR(__xludf.DUMMYFUNCTION("""COMPUTED_VALUE"""),"86o 47' 00""")</f>
        <v>86o 47' 00"</v>
      </c>
      <c r="I19" s="2" t="str">
        <f>IFERROR(__xludf.DUMMYFUNCTION("""COMPUTED_VALUE"""),"(Solukhumbu)")</f>
        <v>(Solukhumbu)</v>
      </c>
    </row>
    <row r="20">
      <c r="A20" s="2">
        <f>IFERROR(__xludf.DUMMYFUNCTION("""COMPUTED_VALUE"""),19.0)</f>
        <v>19</v>
      </c>
      <c r="B20" s="2" t="str">
        <f>IFERROR(__xludf.DUMMYFUNCTION("""COMPUTED_VALUE"""),"Mustang Wind Power")</f>
        <v>Mustang Wind Power</v>
      </c>
      <c r="C20" s="2">
        <f>IFERROR(__xludf.DUMMYFUNCTION("""COMPUTED_VALUE"""),0.45)</f>
        <v>0.45</v>
      </c>
      <c r="D20" s="2"/>
      <c r="E20" s="2" t="str">
        <f>IFERROR(__xludf.DUMMYFUNCTION("""COMPUTED_VALUE"""),"00o 00' 00""")</f>
        <v>00o 00' 00"</v>
      </c>
      <c r="F20" s="2" t="str">
        <f>IFERROR(__xludf.DUMMYFUNCTION("""COMPUTED_VALUE"""),"00o 00' 00""")</f>
        <v>00o 00' 00"</v>
      </c>
      <c r="G20" s="2" t="str">
        <f>IFERROR(__xludf.DUMMYFUNCTION("""COMPUTED_VALUE"""),"00o 00' 00""")</f>
        <v>00o 00' 00"</v>
      </c>
      <c r="H20" s="2" t="str">
        <f>IFERROR(__xludf.DUMMYFUNCTION("""COMPUTED_VALUE"""),"00o 00' 00""")</f>
        <v>00o 00' 00"</v>
      </c>
      <c r="I20" s="2" t="str">
        <f>IFERROR(__xludf.DUMMYFUNCTION("""COMPUTED_VALUE"""),"Jomosom (Mustang)")</f>
        <v>Jomosom (Mustang)</v>
      </c>
    </row>
    <row r="21">
      <c r="A21" s="2">
        <f>IFERROR(__xludf.DUMMYFUNCTION("""COMPUTED_VALUE"""),20.0)</f>
        <v>20</v>
      </c>
      <c r="B21" s="2" t="str">
        <f>IFERROR(__xludf.DUMMYFUNCTION("""COMPUTED_VALUE"""),"Myagdi Khola")</f>
        <v>Myagdi Khola</v>
      </c>
      <c r="C21" s="2">
        <f>IFERROR(__xludf.DUMMYFUNCTION("""COMPUTED_VALUE"""),15.2)</f>
        <v>15.2</v>
      </c>
      <c r="D21" s="2" t="str">
        <f>IFERROR(__xludf.DUMMYFUNCTION("""COMPUTED_VALUE"""),"Myagdi Khola")</f>
        <v>Myagdi Khola</v>
      </c>
      <c r="E21" s="2" t="str">
        <f>IFERROR(__xludf.DUMMYFUNCTION("""COMPUTED_VALUE"""),"28o 18' 45""")</f>
        <v>28o 18' 45"</v>
      </c>
      <c r="F21" s="2" t="str">
        <f>IFERROR(__xludf.DUMMYFUNCTION("""COMPUTED_VALUE"""),"28o 22' 00""")</f>
        <v>28o 22' 00"</v>
      </c>
      <c r="G21" s="2" t="str">
        <f>IFERROR(__xludf.DUMMYFUNCTION("""COMPUTED_VALUE"""),"83o 30' 00""")</f>
        <v>83o 30' 00"</v>
      </c>
      <c r="H21" s="2" t="str">
        <f>IFERROR(__xludf.DUMMYFUNCTION("""COMPUTED_VALUE"""),"83o 35' 30""")</f>
        <v>83o 35' 30"</v>
      </c>
      <c r="I21" s="2" t="str">
        <f>IFERROR(__xludf.DUMMYFUNCTION("""COMPUTED_VALUE"""),"Devisthan (Myagdi)")</f>
        <v>Devisthan (Myagdi)</v>
      </c>
    </row>
    <row r="22">
      <c r="A22" s="2">
        <f>IFERROR(__xludf.DUMMYFUNCTION("""COMPUTED_VALUE"""),21.0)</f>
        <v>21</v>
      </c>
      <c r="B22" s="2" t="str">
        <f>IFERROR(__xludf.DUMMYFUNCTION("""COMPUTED_VALUE"""),"Naumure Storage Project")</f>
        <v>Naumure Storage Project</v>
      </c>
      <c r="C22" s="2">
        <f>IFERROR(__xludf.DUMMYFUNCTION("""COMPUTED_VALUE"""),281.04)</f>
        <v>281.04</v>
      </c>
      <c r="D22" s="2" t="str">
        <f>IFERROR(__xludf.DUMMYFUNCTION("""COMPUTED_VALUE"""),"west rapti")</f>
        <v>west rapti</v>
      </c>
      <c r="E22" s="2" t="str">
        <f>IFERROR(__xludf.DUMMYFUNCTION("""COMPUTED_VALUE"""),"27o 43' 00""")</f>
        <v>27o 43' 00"</v>
      </c>
      <c r="F22" s="2" t="str">
        <f>IFERROR(__xludf.DUMMYFUNCTION("""COMPUTED_VALUE"""),"28o 03' 45""")</f>
        <v>28o 03' 45"</v>
      </c>
      <c r="G22" s="2" t="str">
        <f>IFERROR(__xludf.DUMMYFUNCTION("""COMPUTED_VALUE"""),"82o 45' 00""")</f>
        <v>82o 45' 00"</v>
      </c>
      <c r="H22" s="2" t="str">
        <f>IFERROR(__xludf.DUMMYFUNCTION("""COMPUTED_VALUE"""),"83o 02' 30""")</f>
        <v>83o 02' 30"</v>
      </c>
      <c r="I22" s="2"/>
    </row>
    <row r="23">
      <c r="A23" s="2">
        <f>IFERROR(__xludf.DUMMYFUNCTION("""COMPUTED_VALUE"""),22.0)</f>
        <v>22</v>
      </c>
      <c r="B23" s="2" t="str">
        <f>IFERROR(__xludf.DUMMYFUNCTION("""COMPUTED_VALUE"""),"Nyaurigad")</f>
        <v>Nyaurigad</v>
      </c>
      <c r="C23" s="2">
        <f>IFERROR(__xludf.DUMMYFUNCTION("""COMPUTED_VALUE"""),4.015)</f>
        <v>4.015</v>
      </c>
      <c r="D23" s="2" t="str">
        <f>IFERROR(__xludf.DUMMYFUNCTION("""COMPUTED_VALUE"""),"Nyauri Gad")</f>
        <v>Nyauri Gad</v>
      </c>
      <c r="E23" s="2" t="str">
        <f>IFERROR(__xludf.DUMMYFUNCTION("""COMPUTED_VALUE"""),"29o 23' 00""")</f>
        <v>29o 23' 00"</v>
      </c>
      <c r="F23" s="2" t="str">
        <f>IFERROR(__xludf.DUMMYFUNCTION("""COMPUTED_VALUE"""),"29o 24' 30""")</f>
        <v>29o 24' 30"</v>
      </c>
      <c r="G23" s="2" t="str">
        <f>IFERROR(__xludf.DUMMYFUNCTION("""COMPUTED_VALUE"""),"82o 08' 30""")</f>
        <v>82o 08' 30"</v>
      </c>
      <c r="H23" s="2" t="str">
        <f>IFERROR(__xludf.DUMMYFUNCTION("""COMPUTED_VALUE"""),"82o 11' 00""")</f>
        <v>82o 11' 00"</v>
      </c>
      <c r="I23" s="2" t="str">
        <f>IFERROR(__xludf.DUMMYFUNCTION("""COMPUTED_VALUE"""),"Buvramadichaur (Jumla)")</f>
        <v>Buvramadichaur (Jumla)</v>
      </c>
    </row>
    <row r="24">
      <c r="A24" s="2">
        <f>IFERROR(__xludf.DUMMYFUNCTION("""COMPUTED_VALUE"""),23.0)</f>
        <v>23</v>
      </c>
      <c r="B24" s="2" t="str">
        <f>IFERROR(__xludf.DUMMYFUNCTION("""COMPUTED_VALUE"""),"Rupagad HPP")</f>
        <v>Rupagad HPP</v>
      </c>
      <c r="C24" s="2">
        <f>IFERROR(__xludf.DUMMYFUNCTION("""COMPUTED_VALUE"""),8.625)</f>
        <v>8.625</v>
      </c>
      <c r="D24" s="2" t="str">
        <f>IFERROR(__xludf.DUMMYFUNCTION("""COMPUTED_VALUE"""),"Rup Gad")</f>
        <v>Rup Gad</v>
      </c>
      <c r="E24" s="2" t="str">
        <f>IFERROR(__xludf.DUMMYFUNCTION("""COMPUTED_VALUE"""),"28o 56' 12""")</f>
        <v>28o 56' 12"</v>
      </c>
      <c r="F24" s="2" t="str">
        <f>IFERROR(__xludf.DUMMYFUNCTION("""COMPUTED_VALUE"""),"29o 00' 02""")</f>
        <v>29o 00' 02"</v>
      </c>
      <c r="G24" s="2" t="str">
        <f>IFERROR(__xludf.DUMMYFUNCTION("""COMPUTED_VALUE"""),"82o 49' 10""")</f>
        <v>82o 49' 10"</v>
      </c>
      <c r="H24" s="2" t="str">
        <f>IFERROR(__xludf.DUMMYFUNCTION("""COMPUTED_VALUE"""),"82o 52' 11""")</f>
        <v>82o 52' 11"</v>
      </c>
      <c r="I24" s="2"/>
    </row>
    <row r="25">
      <c r="A25" s="2">
        <f>IFERROR(__xludf.DUMMYFUNCTION("""COMPUTED_VALUE"""),24.0)</f>
        <v>24</v>
      </c>
      <c r="B25" s="2" t="str">
        <f>IFERROR(__xludf.DUMMYFUNCTION("""COMPUTED_VALUE"""),"Saru Khola HPP")</f>
        <v>Saru Khola HPP</v>
      </c>
      <c r="C25" s="2">
        <f>IFERROR(__xludf.DUMMYFUNCTION("""COMPUTED_VALUE"""),12.3)</f>
        <v>12.3</v>
      </c>
      <c r="D25" s="2" t="str">
        <f>IFERROR(__xludf.DUMMYFUNCTION("""COMPUTED_VALUE"""),"Saru Khola")</f>
        <v>Saru Khola</v>
      </c>
      <c r="E25" s="2" t="str">
        <f>IFERROR(__xludf.DUMMYFUNCTION("""COMPUTED_VALUE"""),"28o 45' 20""")</f>
        <v>28o 45' 20"</v>
      </c>
      <c r="F25" s="2" t="str">
        <f>IFERROR(__xludf.DUMMYFUNCTION("""COMPUTED_VALUE"""),"28o 51' 18""")</f>
        <v>28o 51' 18"</v>
      </c>
      <c r="G25" s="2" t="str">
        <f>IFERROR(__xludf.DUMMYFUNCTION("""COMPUTED_VALUE"""),"82o 03' 47""")</f>
        <v>82o 03' 47"</v>
      </c>
      <c r="H25" s="2" t="str">
        <f>IFERROR(__xludf.DUMMYFUNCTION("""COMPUTED_VALUE"""),"82o 10' 00""")</f>
        <v>82o 10' 00"</v>
      </c>
      <c r="I25" s="2"/>
    </row>
    <row r="26">
      <c r="A26" s="2">
        <f>IFERROR(__xludf.DUMMYFUNCTION("""COMPUTED_VALUE"""),25.0)</f>
        <v>25</v>
      </c>
      <c r="B26" s="2" t="str">
        <f>IFERROR(__xludf.DUMMYFUNCTION("""COMPUTED_VALUE"""),"Sharada Babai Storage HPP")</f>
        <v>Sharada Babai Storage HPP</v>
      </c>
      <c r="C26" s="2">
        <f>IFERROR(__xludf.DUMMYFUNCTION("""COMPUTED_VALUE"""),93.0)</f>
        <v>93</v>
      </c>
      <c r="D26" s="2" t="str">
        <f>IFERROR(__xludf.DUMMYFUNCTION("""COMPUTED_VALUE"""),"Sharada")</f>
        <v>Sharada</v>
      </c>
      <c r="E26" s="2" t="str">
        <f>IFERROR(__xludf.DUMMYFUNCTION("""COMPUTED_VALUE"""),"28o 15' 00""")</f>
        <v>28o 15' 00"</v>
      </c>
      <c r="F26" s="2" t="str">
        <f>IFERROR(__xludf.DUMMYFUNCTION("""COMPUTED_VALUE"""),"28o 20' 00""")</f>
        <v>28o 20' 00"</v>
      </c>
      <c r="G26" s="2" t="str">
        <f>IFERROR(__xludf.DUMMYFUNCTION("""COMPUTED_VALUE"""),"82o 00' 00""")</f>
        <v>82o 00' 00"</v>
      </c>
      <c r="H26" s="2" t="str">
        <f>IFERROR(__xludf.DUMMYFUNCTION("""COMPUTED_VALUE"""),"82o 07' 30""")</f>
        <v>82o 07' 30"</v>
      </c>
      <c r="I26" s="2"/>
    </row>
    <row r="27">
      <c r="A27" s="2">
        <f>IFERROR(__xludf.DUMMYFUNCTION("""COMPUTED_VALUE"""),26.0)</f>
        <v>26</v>
      </c>
      <c r="B27" s="2" t="str">
        <f>IFERROR(__xludf.DUMMYFUNCTION("""COMPUTED_VALUE"""),"SR-06 Storage")</f>
        <v>SR-06 Storage</v>
      </c>
      <c r="C27" s="2">
        <f>IFERROR(__xludf.DUMMYFUNCTION("""COMPUTED_VALUE"""),309.0)</f>
        <v>309</v>
      </c>
      <c r="D27" s="2" t="str">
        <f>IFERROR(__xludf.DUMMYFUNCTION("""COMPUTED_VALUE"""),"Seti (Far West)")</f>
        <v>Seti (Far West)</v>
      </c>
      <c r="E27" s="2" t="str">
        <f>IFERROR(__xludf.DUMMYFUNCTION("""COMPUTED_VALUE"""),"28o 58' 00""")</f>
        <v>28o 58' 00"</v>
      </c>
      <c r="F27" s="2" t="str">
        <f>IFERROR(__xludf.DUMMYFUNCTION("""COMPUTED_VALUE"""),"29o 16' 00""")</f>
        <v>29o 16' 00"</v>
      </c>
      <c r="G27" s="2" t="str">
        <f>IFERROR(__xludf.DUMMYFUNCTION("""COMPUTED_VALUE"""),"80o 55' 30""")</f>
        <v>80o 55' 30"</v>
      </c>
      <c r="H27" s="2" t="str">
        <f>IFERROR(__xludf.DUMMYFUNCTION("""COMPUTED_VALUE"""),"81o 12' 30""")</f>
        <v>81o 12' 30"</v>
      </c>
      <c r="I27" s="2"/>
    </row>
    <row r="28">
      <c r="A28" s="2">
        <f>IFERROR(__xludf.DUMMYFUNCTION("""COMPUTED_VALUE"""),27.0)</f>
        <v>27</v>
      </c>
      <c r="B28" s="2" t="str">
        <f>IFERROR(__xludf.DUMMYFUNCTION("""COMPUTED_VALUE"""),"Sunkoshi 2")</f>
        <v>Sunkoshi 2</v>
      </c>
      <c r="C28" s="2">
        <f>IFERROR(__xludf.DUMMYFUNCTION("""COMPUTED_VALUE"""),978.0)</f>
        <v>978</v>
      </c>
      <c r="D28" s="2" t="str">
        <f>IFERROR(__xludf.DUMMYFUNCTION("""COMPUTED_VALUE"""),"Sun Koshi")</f>
        <v>Sun Koshi</v>
      </c>
      <c r="E28" s="2" t="str">
        <f>IFERROR(__xludf.DUMMYFUNCTION("""COMPUTED_VALUE"""),"27o 14' 00""")</f>
        <v>27o 14' 00"</v>
      </c>
      <c r="F28" s="2" t="str">
        <f>IFERROR(__xludf.DUMMYFUNCTION("""COMPUTED_VALUE"""),"27o 29' 30""")</f>
        <v>27o 29' 30"</v>
      </c>
      <c r="G28" s="2" t="str">
        <f>IFERROR(__xludf.DUMMYFUNCTION("""COMPUTED_VALUE"""),"85o 47' 30""")</f>
        <v>85o 47' 30"</v>
      </c>
      <c r="H28" s="2" t="str">
        <f>IFERROR(__xludf.DUMMYFUNCTION("""COMPUTED_VALUE"""),"86o 10' 20""")</f>
        <v>86o 10' 20"</v>
      </c>
      <c r="I28" s="2" t="str">
        <f>IFERROR(__xludf.DUMMYFUNCTION("""COMPUTED_VALUE"""),"Bahun Tilpung (Sindhuli)")</f>
        <v>Bahun Tilpung (Sindhuli)</v>
      </c>
    </row>
    <row r="29">
      <c r="A29" s="2">
        <f>IFERROR(__xludf.DUMMYFUNCTION("""COMPUTED_VALUE"""),28.0)</f>
        <v>28</v>
      </c>
      <c r="B29" s="2" t="str">
        <f>IFERROR(__xludf.DUMMYFUNCTION("""COMPUTED_VALUE"""),"Upper Chameliya")</f>
        <v>Upper Chameliya</v>
      </c>
      <c r="C29" s="2">
        <f>IFERROR(__xludf.DUMMYFUNCTION("""COMPUTED_VALUE"""),53.85)</f>
        <v>53.85</v>
      </c>
      <c r="D29" s="2" t="str">
        <f>IFERROR(__xludf.DUMMYFUNCTION("""COMPUTED_VALUE"""),"Chameliya Khola")</f>
        <v>Chameliya Khola</v>
      </c>
      <c r="E29" s="2" t="str">
        <f>IFERROR(__xludf.DUMMYFUNCTION("""COMPUTED_VALUE"""),"29o 51' 16""")</f>
        <v>29o 51' 16"</v>
      </c>
      <c r="F29" s="2" t="str">
        <f>IFERROR(__xludf.DUMMYFUNCTION("""COMPUTED_VALUE"""),"29o 54' 30""")</f>
        <v>29o 54' 30"</v>
      </c>
      <c r="G29" s="2" t="str">
        <f>IFERROR(__xludf.DUMMYFUNCTION("""COMPUTED_VALUE"""),"80o 53' 43""")</f>
        <v>80o 53' 43"</v>
      </c>
      <c r="H29" s="2" t="str">
        <f>IFERROR(__xludf.DUMMYFUNCTION("""COMPUTED_VALUE"""),"80o 57' 30""")</f>
        <v>80o 57' 30"</v>
      </c>
      <c r="I29" s="2" t="str">
        <f>IFERROR(__xludf.DUMMYFUNCTION("""COMPUTED_VALUE"""),"(Darchula)")</f>
        <v>(Darchula)</v>
      </c>
    </row>
    <row r="30">
      <c r="A30" s="2">
        <f>IFERROR(__xludf.DUMMYFUNCTION("""COMPUTED_VALUE"""),29.0)</f>
        <v>29</v>
      </c>
      <c r="B30" s="2" t="str">
        <f>IFERROR(__xludf.DUMMYFUNCTION("""COMPUTED_VALUE"""),"Upper Jhimruk Storage Project")</f>
        <v>Upper Jhimruk Storage Project</v>
      </c>
      <c r="C30" s="2">
        <f>IFERROR(__xludf.DUMMYFUNCTION("""COMPUTED_VALUE"""),100.0)</f>
        <v>100</v>
      </c>
      <c r="D30" s="2" t="str">
        <f>IFERROR(__xludf.DUMMYFUNCTION("""COMPUTED_VALUE"""),"Jhimruk")</f>
        <v>Jhimruk</v>
      </c>
      <c r="E30" s="2" t="str">
        <f>IFERROR(__xludf.DUMMYFUNCTION("""COMPUTED_VALUE"""),"28o 07' 30""")</f>
        <v>28o 07' 30"</v>
      </c>
      <c r="F30" s="2" t="str">
        <f>IFERROR(__xludf.DUMMYFUNCTION("""COMPUTED_VALUE"""),"28o 12' 30""")</f>
        <v>28o 12' 30"</v>
      </c>
      <c r="G30" s="2" t="str">
        <f>IFERROR(__xludf.DUMMYFUNCTION("""COMPUTED_VALUE"""),"82o 52' 30""")</f>
        <v>82o 52' 30"</v>
      </c>
      <c r="H30" s="2" t="str">
        <f>IFERROR(__xludf.DUMMYFUNCTION("""COMPUTED_VALUE"""),"83o 00' 00""")</f>
        <v>83o 00' 00"</v>
      </c>
      <c r="I30" s="2"/>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IFERROR(__xludf.DUMMYFUNCTION("IMPORTHTML(""https://www.doed.gov.np/pages/gonunderstudy/"",""Table"",2)"),"S No")</f>
        <v>S No</v>
      </c>
      <c r="B1" s="1" t="str">
        <f>IFERROR(__xludf.DUMMYFUNCTION("""COMPUTED_VALUE"""),"Project")</f>
        <v>Project</v>
      </c>
      <c r="C1" s="1" t="str">
        <f>IFERROR(__xludf.DUMMYFUNCTION("""COMPUTED_VALUE"""),"Capacity (MW)")</f>
        <v>Capacity (MW)</v>
      </c>
      <c r="D1" s="1" t="str">
        <f>IFERROR(__xludf.DUMMYFUNCTION("""COMPUTED_VALUE"""),"River")</f>
        <v>River</v>
      </c>
      <c r="E1" s="1" t="str">
        <f>IFERROR(__xludf.DUMMYFUNCTION("""COMPUTED_VALUE"""),"Latitiude N")</f>
        <v>Latitiude N</v>
      </c>
      <c r="F1" s="1"/>
      <c r="G1" s="1" t="str">
        <f>IFERROR(__xludf.DUMMYFUNCTION("""COMPUTED_VALUE"""),"Longitude E")</f>
        <v>Longitude E</v>
      </c>
      <c r="H1" s="1"/>
      <c r="I1" s="1" t="str">
        <f>IFERROR(__xludf.DUMMYFUNCTION("""COMPUTED_VALUE"""),"VDC/District")</f>
        <v>VDC/District</v>
      </c>
      <c r="J1" s="1"/>
      <c r="K1" s="1"/>
      <c r="L1" s="1"/>
      <c r="M1" s="1"/>
      <c r="N1" s="1"/>
      <c r="O1" s="1"/>
      <c r="P1" s="1"/>
      <c r="Q1" s="1"/>
      <c r="R1" s="1"/>
      <c r="S1" s="1"/>
      <c r="T1" s="1"/>
      <c r="U1" s="1"/>
      <c r="V1" s="1"/>
      <c r="W1" s="1"/>
      <c r="X1" s="1"/>
      <c r="Y1" s="1"/>
      <c r="Z1" s="1"/>
    </row>
    <row r="2">
      <c r="A2" s="2">
        <f>IFERROR(__xludf.DUMMYFUNCTION("""COMPUTED_VALUE"""),1.0)</f>
        <v>1</v>
      </c>
      <c r="B2" s="2" t="str">
        <f>IFERROR(__xludf.DUMMYFUNCTION("""COMPUTED_VALUE"""),"Badigad")</f>
        <v>Badigad</v>
      </c>
      <c r="C2" s="2">
        <f>IFERROR(__xludf.DUMMYFUNCTION("""COMPUTED_VALUE"""),7.0)</f>
        <v>7</v>
      </c>
      <c r="D2" s="2" t="str">
        <f>IFERROR(__xludf.DUMMYFUNCTION("""COMPUTED_VALUE"""),"Badigad")</f>
        <v>Badigad</v>
      </c>
      <c r="E2" s="2" t="str">
        <f>IFERROR(__xludf.DUMMYFUNCTION("""COMPUTED_VALUE"""),"28o 11' 48""")</f>
        <v>28o 11' 48"</v>
      </c>
      <c r="F2" s="2" t="str">
        <f>IFERROR(__xludf.DUMMYFUNCTION("""COMPUTED_VALUE"""),"28o 12' 33""")</f>
        <v>28o 12' 33"</v>
      </c>
      <c r="G2" s="2" t="str">
        <f>IFERROR(__xludf.DUMMYFUNCTION("""COMPUTED_VALUE"""),"83o 13' 37""")</f>
        <v>83o 13' 37"</v>
      </c>
      <c r="H2" s="2" t="str">
        <f>IFERROR(__xludf.DUMMYFUNCTION("""COMPUTED_VALUE"""),"83o 17' 01""")</f>
        <v>83o 17' 01"</v>
      </c>
      <c r="I2" s="2"/>
    </row>
    <row r="3">
      <c r="A3" s="2">
        <f>IFERROR(__xludf.DUMMYFUNCTION("""COMPUTED_VALUE"""),2.0)</f>
        <v>2</v>
      </c>
      <c r="B3" s="2" t="str">
        <f>IFERROR(__xludf.DUMMYFUNCTION("""COMPUTED_VALUE"""),"Bharbung HEP")</f>
        <v>Bharbung HEP</v>
      </c>
      <c r="C3" s="2">
        <f>IFERROR(__xludf.DUMMYFUNCTION("""COMPUTED_VALUE"""),337.1)</f>
        <v>337.1</v>
      </c>
      <c r="D3" s="2" t="str">
        <f>IFERROR(__xludf.DUMMYFUNCTION("""COMPUTED_VALUE"""),"Burbang")</f>
        <v>Burbang</v>
      </c>
      <c r="E3" s="2" t="str">
        <f>IFERROR(__xludf.DUMMYFUNCTION("""COMPUTED_VALUE"""),"28o 50' 45""")</f>
        <v>28o 50' 45"</v>
      </c>
      <c r="F3" s="2" t="str">
        <f>IFERROR(__xludf.DUMMYFUNCTION("""COMPUTED_VALUE"""),"28o 55' 45""")</f>
        <v>28o 55' 45"</v>
      </c>
      <c r="G3" s="2" t="str">
        <f>IFERROR(__xludf.DUMMYFUNCTION("""COMPUTED_VALUE"""),"83o 02' 30""")</f>
        <v>83o 02' 30"</v>
      </c>
      <c r="H3" s="2" t="str">
        <f>IFERROR(__xludf.DUMMYFUNCTION("""COMPUTED_VALUE"""),"83o 22' 15""")</f>
        <v>83o 22' 15"</v>
      </c>
      <c r="I3" s="2" t="str">
        <f>IFERROR(__xludf.DUMMYFUNCTION("""COMPUTED_VALUE"""),"(Dolpa)")</f>
        <v>(Dolpa)</v>
      </c>
    </row>
    <row r="4">
      <c r="A4" s="2">
        <f>IFERROR(__xludf.DUMMYFUNCTION("""COMPUTED_VALUE"""),3.0)</f>
        <v>3</v>
      </c>
      <c r="B4" s="2" t="str">
        <f>IFERROR(__xludf.DUMMYFUNCTION("""COMPUTED_VALUE"""),"Bheri-2 HEP")</f>
        <v>Bheri-2 HEP</v>
      </c>
      <c r="C4" s="2">
        <f>IFERROR(__xludf.DUMMYFUNCTION("""COMPUTED_VALUE"""),256.0)</f>
        <v>256</v>
      </c>
      <c r="D4" s="2" t="str">
        <f>IFERROR(__xludf.DUMMYFUNCTION("""COMPUTED_VALUE"""),"Bheri")</f>
        <v>Bheri</v>
      </c>
      <c r="E4" s="2" t="str">
        <f>IFERROR(__xludf.DUMMYFUNCTION("""COMPUTED_VALUE"""),"28o 46' 45""")</f>
        <v>28o 46' 45"</v>
      </c>
      <c r="F4" s="2" t="str">
        <f>IFERROR(__xludf.DUMMYFUNCTION("""COMPUTED_VALUE"""),"28o 52' 00""")</f>
        <v>28o 52' 00"</v>
      </c>
      <c r="G4" s="2" t="str">
        <f>IFERROR(__xludf.DUMMYFUNCTION("""COMPUTED_VALUE"""),"82o 18' 45""")</f>
        <v>82o 18' 45"</v>
      </c>
      <c r="H4" s="2" t="str">
        <f>IFERROR(__xludf.DUMMYFUNCTION("""COMPUTED_VALUE"""),"82o 26' 40""")</f>
        <v>82o 26' 40"</v>
      </c>
      <c r="I4" s="2" t="str">
        <f>IFERROR(__xludf.DUMMYFUNCTION("""COMPUTED_VALUE"""),"Khagenakot (Jajarkot)")</f>
        <v>Khagenakot (Jajarkot)</v>
      </c>
    </row>
    <row r="5">
      <c r="A5" s="2">
        <f>IFERROR(__xludf.DUMMYFUNCTION("""COMPUTED_VALUE"""),4.0)</f>
        <v>4</v>
      </c>
      <c r="B5" s="2" t="str">
        <f>IFERROR(__xludf.DUMMYFUNCTION("""COMPUTED_VALUE"""),"Chera 1 Storage HPP")</f>
        <v>Chera 1 Storage HPP</v>
      </c>
      <c r="C5" s="2">
        <f>IFERROR(__xludf.DUMMYFUNCTION("""COMPUTED_VALUE"""),176.0)</f>
        <v>176</v>
      </c>
      <c r="D5" s="2" t="str">
        <f>IFERROR(__xludf.DUMMYFUNCTION("""COMPUTED_VALUE"""),"Chera")</f>
        <v>Chera</v>
      </c>
      <c r="E5" s="2" t="str">
        <f>IFERROR(__xludf.DUMMYFUNCTION("""COMPUTED_VALUE"""),"28o 43' 30""")</f>
        <v>28o 43' 30"</v>
      </c>
      <c r="F5" s="2" t="str">
        <f>IFERROR(__xludf.DUMMYFUNCTION("""COMPUTED_VALUE"""),"28o 48' 17""")</f>
        <v>28o 48' 17"</v>
      </c>
      <c r="G5" s="2" t="str">
        <f>IFERROR(__xludf.DUMMYFUNCTION("""COMPUTED_VALUE"""),"81o 57' 49""")</f>
        <v>81o 57' 49"</v>
      </c>
      <c r="H5" s="2" t="str">
        <f>IFERROR(__xludf.DUMMYFUNCTION("""COMPUTED_VALUE"""),"82o 07' 25""")</f>
        <v>82o 07' 25"</v>
      </c>
      <c r="I5" s="2"/>
    </row>
    <row r="6">
      <c r="A6" s="2">
        <f>IFERROR(__xludf.DUMMYFUNCTION("""COMPUTED_VALUE"""),5.0)</f>
        <v>5</v>
      </c>
      <c r="B6" s="2" t="str">
        <f>IFERROR(__xludf.DUMMYFUNCTION("""COMPUTED_VALUE"""),"Chhati Gad (Reserved)")</f>
        <v>Chhati Gad (Reserved)</v>
      </c>
      <c r="C6" s="2">
        <f>IFERROR(__xludf.DUMMYFUNCTION("""COMPUTED_VALUE"""),32.0)</f>
        <v>32</v>
      </c>
      <c r="D6" s="2" t="str">
        <f>IFERROR(__xludf.DUMMYFUNCTION("""COMPUTED_VALUE"""),"Chhati Gad")</f>
        <v>Chhati Gad</v>
      </c>
      <c r="E6" s="2" t="str">
        <f>IFERROR(__xludf.DUMMYFUNCTION("""COMPUTED_VALUE"""),"29o 48' 20""")</f>
        <v>29o 48' 20"</v>
      </c>
      <c r="F6" s="2" t="str">
        <f>IFERROR(__xludf.DUMMYFUNCTION("""COMPUTED_VALUE"""),"29o 50' 00""")</f>
        <v>29o 50' 00"</v>
      </c>
      <c r="G6" s="2" t="str">
        <f>IFERROR(__xludf.DUMMYFUNCTION("""COMPUTED_VALUE"""),"80o 53' 10""")</f>
        <v>80o 53' 10"</v>
      </c>
      <c r="H6" s="2" t="str">
        <f>IFERROR(__xludf.DUMMYFUNCTION("""COMPUTED_VALUE"""),"80o 55' 00""")</f>
        <v>80o 55' 00"</v>
      </c>
      <c r="I6" s="2" t="str">
        <f>IFERROR(__xludf.DUMMYFUNCTION("""COMPUTED_VALUE"""),"Khandeswori (Darchula)")</f>
        <v>Khandeswori (Darchula)</v>
      </c>
    </row>
    <row r="7">
      <c r="A7" s="2">
        <f>IFERROR(__xludf.DUMMYFUNCTION("""COMPUTED_VALUE"""),6.0)</f>
        <v>6</v>
      </c>
      <c r="B7" s="2" t="str">
        <f>IFERROR(__xludf.DUMMYFUNCTION("""COMPUTED_VALUE"""),"Dadagau Khalanga Bheri HEP")</f>
        <v>Dadagau Khalanga Bheri HEP</v>
      </c>
      <c r="C7" s="2">
        <f>IFERROR(__xludf.DUMMYFUNCTION("""COMPUTED_VALUE"""),97.43)</f>
        <v>97.43</v>
      </c>
      <c r="D7" s="2" t="str">
        <f>IFERROR(__xludf.DUMMYFUNCTION("""COMPUTED_VALUE"""),"Bheri")</f>
        <v>Bheri</v>
      </c>
      <c r="E7" s="2" t="str">
        <f>IFERROR(__xludf.DUMMYFUNCTION("""COMPUTED_VALUE"""),"28o 41' 25""")</f>
        <v>28o 41' 25"</v>
      </c>
      <c r="F7" s="2" t="str">
        <f>IFERROR(__xludf.DUMMYFUNCTION("""COMPUTED_VALUE"""),"28o 47' 20""")</f>
        <v>28o 47' 20"</v>
      </c>
      <c r="G7" s="2" t="str">
        <f>IFERROR(__xludf.DUMMYFUNCTION("""COMPUTED_VALUE"""),"82o 15' 00""")</f>
        <v>82o 15' 00"</v>
      </c>
      <c r="H7" s="2" t="str">
        <f>IFERROR(__xludf.DUMMYFUNCTION("""COMPUTED_VALUE"""),"82o 18' 44""")</f>
        <v>82o 18' 44"</v>
      </c>
      <c r="I7" s="2" t="str">
        <f>IFERROR(__xludf.DUMMYFUNCTION("""COMPUTED_VALUE"""),"Khalanga,Dandagaun (Jajarkot) Aathbis Danda,Ghetma,Garayala,Purtim Kanda 
(Rukum)")</f>
        <v>Khalanga,Dandagaun (Jajarkot) Aathbis Danda,Ghetma,Garayala,Purtim Kanda 
(Rukum)</v>
      </c>
    </row>
    <row r="8">
      <c r="A8" s="2">
        <f>IFERROR(__xludf.DUMMYFUNCTION("""COMPUTED_VALUE"""),7.0)</f>
        <v>7</v>
      </c>
      <c r="B8" s="2" t="str">
        <f>IFERROR(__xludf.DUMMYFUNCTION("""COMPUTED_VALUE"""),"Ghatganga")</f>
        <v>Ghatganga</v>
      </c>
      <c r="C8" s="2">
        <f>IFERROR(__xludf.DUMMYFUNCTION("""COMPUTED_VALUE"""),43.5)</f>
        <v>43.5</v>
      </c>
      <c r="D8" s="2" t="str">
        <f>IFERROR(__xludf.DUMMYFUNCTION("""COMPUTED_VALUE"""),"Ghat Ganga")</f>
        <v>Ghat Ganga</v>
      </c>
      <c r="E8" s="2" t="str">
        <f>IFERROR(__xludf.DUMMYFUNCTION("""COMPUTED_VALUE"""),"29o 45' 36""")</f>
        <v>29o 45' 36"</v>
      </c>
      <c r="F8" s="2" t="str">
        <f>IFERROR(__xludf.DUMMYFUNCTION("""COMPUTED_VALUE"""),"29o 48' 32""")</f>
        <v>29o 48' 32"</v>
      </c>
      <c r="G8" s="2" t="str">
        <f>IFERROR(__xludf.DUMMYFUNCTION("""COMPUTED_VALUE"""),"81o 23' 52""")</f>
        <v>81o 23' 52"</v>
      </c>
      <c r="H8" s="2" t="str">
        <f>IFERROR(__xludf.DUMMYFUNCTION("""COMPUTED_VALUE"""),"81o 28' 03""")</f>
        <v>81o 28' 03"</v>
      </c>
      <c r="I8" s="2"/>
    </row>
    <row r="9">
      <c r="A9" s="2">
        <f>IFERROR(__xludf.DUMMYFUNCTION("""COMPUTED_VALUE"""),8.0)</f>
        <v>8</v>
      </c>
      <c r="B9" s="2" t="str">
        <f>IFERROR(__xludf.DUMMYFUNCTION("""COMPUTED_VALUE"""),"Ghunsa Khola")</f>
        <v>Ghunsa Khola</v>
      </c>
      <c r="C9" s="2">
        <f>IFERROR(__xludf.DUMMYFUNCTION("""COMPUTED_VALUE"""),78.0)</f>
        <v>78</v>
      </c>
      <c r="D9" s="2" t="str">
        <f>IFERROR(__xludf.DUMMYFUNCTION("""COMPUTED_VALUE"""),"Ghunsa Khola")</f>
        <v>Ghunsa Khola</v>
      </c>
      <c r="E9" s="2" t="str">
        <f>IFERROR(__xludf.DUMMYFUNCTION("""COMPUTED_VALUE"""),"27o 39' 30""")</f>
        <v>27o 39' 30"</v>
      </c>
      <c r="F9" s="2" t="str">
        <f>IFERROR(__xludf.DUMMYFUNCTION("""COMPUTED_VALUE"""),"27o 55' 25""")</f>
        <v>27o 55' 25"</v>
      </c>
      <c r="G9" s="2" t="str">
        <f>IFERROR(__xludf.DUMMYFUNCTION("""COMPUTED_VALUE"""),"87o 48' 20""")</f>
        <v>87o 48' 20"</v>
      </c>
      <c r="H9" s="2" t="str">
        <f>IFERROR(__xludf.DUMMYFUNCTION("""COMPUTED_VALUE"""),"88o 22' 15""")</f>
        <v>88o 22' 15"</v>
      </c>
      <c r="I9" s="2" t="str">
        <f>IFERROR(__xludf.DUMMYFUNCTION("""COMPUTED_VALUE"""),"(Taplejung)")</f>
        <v>(Taplejung)</v>
      </c>
    </row>
    <row r="10">
      <c r="A10" s="2">
        <f>IFERROR(__xludf.DUMMYFUNCTION("""COMPUTED_VALUE"""),9.0)</f>
        <v>9</v>
      </c>
      <c r="B10" s="2" t="str">
        <f>IFERROR(__xludf.DUMMYFUNCTION("""COMPUTED_VALUE"""),"Hadi Khola (Reserved)")</f>
        <v>Hadi Khola (Reserved)</v>
      </c>
      <c r="C10" s="2">
        <f>IFERROR(__xludf.DUMMYFUNCTION("""COMPUTED_VALUE"""),50.0)</f>
        <v>50</v>
      </c>
      <c r="D10" s="2" t="str">
        <f>IFERROR(__xludf.DUMMYFUNCTION("""COMPUTED_VALUE"""),"Hadi Khola")</f>
        <v>Hadi Khola</v>
      </c>
      <c r="E10" s="2" t="str">
        <f>IFERROR(__xludf.DUMMYFUNCTION("""COMPUTED_VALUE"""),"27o 54' 15""")</f>
        <v>27o 54' 15"</v>
      </c>
      <c r="F10" s="2" t="str">
        <f>IFERROR(__xludf.DUMMYFUNCTION("""COMPUTED_VALUE"""),"27o 56' 36""")</f>
        <v>27o 56' 36"</v>
      </c>
      <c r="G10" s="2" t="str">
        <f>IFERROR(__xludf.DUMMYFUNCTION("""COMPUTED_VALUE"""),"85o 37' 30""")</f>
        <v>85o 37' 30"</v>
      </c>
      <c r="H10" s="2" t="str">
        <f>IFERROR(__xludf.DUMMYFUNCTION("""COMPUTED_VALUE"""),"85o 41' 20""")</f>
        <v>85o 41' 20"</v>
      </c>
      <c r="I10" s="2"/>
    </row>
    <row r="11">
      <c r="A11" s="2">
        <f>IFERROR(__xludf.DUMMYFUNCTION("""COMPUTED_VALUE"""),10.0)</f>
        <v>10</v>
      </c>
      <c r="B11" s="2" t="str">
        <f>IFERROR(__xludf.DUMMYFUNCTION("""COMPUTED_VALUE"""),"Hima Nadi")</f>
        <v>Hima Nadi</v>
      </c>
      <c r="C11" s="2">
        <f>IFERROR(__xludf.DUMMYFUNCTION("""COMPUTED_VALUE"""),8.0)</f>
        <v>8</v>
      </c>
      <c r="D11" s="2" t="str">
        <f>IFERROR(__xludf.DUMMYFUNCTION("""COMPUTED_VALUE"""),"Hima Nadi")</f>
        <v>Hima Nadi</v>
      </c>
      <c r="E11" s="2" t="str">
        <f>IFERROR(__xludf.DUMMYFUNCTION("""COMPUTED_VALUE"""),"29o 24' 00""")</f>
        <v>29o 24' 00"</v>
      </c>
      <c r="F11" s="2" t="str">
        <f>IFERROR(__xludf.DUMMYFUNCTION("""COMPUTED_VALUE"""),"29o 25' 50""")</f>
        <v>29o 25' 50"</v>
      </c>
      <c r="G11" s="2" t="str">
        <f>IFERROR(__xludf.DUMMYFUNCTION("""COMPUTED_VALUE"""),"82o 01' 40""")</f>
        <v>82o 01' 40"</v>
      </c>
      <c r="H11" s="2" t="str">
        <f>IFERROR(__xludf.DUMMYFUNCTION("""COMPUTED_VALUE"""),"82o 05' 50""")</f>
        <v>82o 05' 50"</v>
      </c>
      <c r="I11" s="2"/>
    </row>
    <row r="12">
      <c r="A12" s="2">
        <f>IFERROR(__xludf.DUMMYFUNCTION("""COMPUTED_VALUE"""),11.0)</f>
        <v>11</v>
      </c>
      <c r="B12" s="2" t="str">
        <f>IFERROR(__xludf.DUMMYFUNCTION("""COMPUTED_VALUE"""),"Humla Karnali-Cascade")</f>
        <v>Humla Karnali-Cascade</v>
      </c>
      <c r="C12" s="2">
        <f>IFERROR(__xludf.DUMMYFUNCTION("""COMPUTED_VALUE"""),675.0)</f>
        <v>675</v>
      </c>
      <c r="D12" s="2" t="str">
        <f>IFERROR(__xludf.DUMMYFUNCTION("""COMPUTED_VALUE"""),"Karnali")</f>
        <v>Karnali</v>
      </c>
      <c r="E12" s="2" t="str">
        <f>IFERROR(__xludf.DUMMYFUNCTION("""COMPUTED_VALUE"""),"29o 52' 48""")</f>
        <v>29o 52' 48"</v>
      </c>
      <c r="F12" s="2" t="str">
        <f>IFERROR(__xludf.DUMMYFUNCTION("""COMPUTED_VALUE"""),"30o 07' 15""")</f>
        <v>30o 07' 15"</v>
      </c>
      <c r="G12" s="2" t="str">
        <f>IFERROR(__xludf.DUMMYFUNCTION("""COMPUTED_VALUE"""),"81o 30' 00""")</f>
        <v>81o 30' 00"</v>
      </c>
      <c r="H12" s="2" t="str">
        <f>IFERROR(__xludf.DUMMYFUNCTION("""COMPUTED_VALUE"""),"81o 53' 26""")</f>
        <v>81o 53' 26"</v>
      </c>
      <c r="I12" s="2" t="str">
        <f>IFERROR(__xludf.DUMMYFUNCTION("""COMPUTED_VALUE"""),"(Humla)")</f>
        <v>(Humla)</v>
      </c>
    </row>
    <row r="13">
      <c r="A13" s="2">
        <f>IFERROR(__xludf.DUMMYFUNCTION("""COMPUTED_VALUE"""),12.0)</f>
        <v>12</v>
      </c>
      <c r="B13" s="2" t="str">
        <f>IFERROR(__xludf.DUMMYFUNCTION("""COMPUTED_VALUE"""),"Kaligandaki 2 Storage HEP")</f>
        <v>Kaligandaki 2 Storage HEP</v>
      </c>
      <c r="C13" s="2">
        <f>IFERROR(__xludf.DUMMYFUNCTION("""COMPUTED_VALUE"""),650.0)</f>
        <v>650</v>
      </c>
      <c r="D13" s="2" t="str">
        <f>IFERROR(__xludf.DUMMYFUNCTION("""COMPUTED_VALUE"""),"Kaligandaki")</f>
        <v>Kaligandaki</v>
      </c>
      <c r="E13" s="2" t="str">
        <f>IFERROR(__xludf.DUMMYFUNCTION("""COMPUTED_VALUE"""),"27o 47' 04""")</f>
        <v>27o 47' 04"</v>
      </c>
      <c r="F13" s="2" t="str">
        <f>IFERROR(__xludf.DUMMYFUNCTION("""COMPUTED_VALUE"""),"27o 55' 40""")</f>
        <v>27o 55' 40"</v>
      </c>
      <c r="G13" s="2" t="str">
        <f>IFERROR(__xludf.DUMMYFUNCTION("""COMPUTED_VALUE"""),"83o 37' 20""")</f>
        <v>83o 37' 20"</v>
      </c>
      <c r="H13" s="2" t="str">
        <f>IFERROR(__xludf.DUMMYFUNCTION("""COMPUTED_VALUE"""),"84o 19' 24""")</f>
        <v>84o 19' 24"</v>
      </c>
      <c r="I13" s="2"/>
    </row>
    <row r="14">
      <c r="A14" s="2">
        <f>IFERROR(__xludf.DUMMYFUNCTION("""COMPUTED_VALUE"""),13.0)</f>
        <v>13</v>
      </c>
      <c r="B14" s="2" t="str">
        <f>IFERROR(__xludf.DUMMYFUNCTION("""COMPUTED_VALUE"""),"Kaligandaki Storage HEP")</f>
        <v>Kaligandaki Storage HEP</v>
      </c>
      <c r="C14" s="2">
        <f>IFERROR(__xludf.DUMMYFUNCTION("""COMPUTED_VALUE"""),640.0)</f>
        <v>640</v>
      </c>
      <c r="D14" s="2" t="str">
        <f>IFERROR(__xludf.DUMMYFUNCTION("""COMPUTED_VALUE"""),"Kaligandaki")</f>
        <v>Kaligandaki</v>
      </c>
      <c r="E14" s="2" t="str">
        <f>IFERROR(__xludf.DUMMYFUNCTION("""COMPUTED_VALUE"""),"28o 00' 00""")</f>
        <v>28o 00' 00"</v>
      </c>
      <c r="F14" s="2" t="str">
        <f>IFERROR(__xludf.DUMMYFUNCTION("""COMPUTED_VALUE"""),"28o 17' 30""")</f>
        <v>28o 17' 30"</v>
      </c>
      <c r="G14" s="2" t="str">
        <f>IFERROR(__xludf.DUMMYFUNCTION("""COMPUTED_VALUE"""),"83o 32' 00""")</f>
        <v>83o 32' 00"</v>
      </c>
      <c r="H14" s="2" t="str">
        <f>IFERROR(__xludf.DUMMYFUNCTION("""COMPUTED_VALUE"""),"83o 43' 30""")</f>
        <v>83o 43' 30"</v>
      </c>
      <c r="I14" s="2"/>
    </row>
    <row r="15">
      <c r="A15" s="2">
        <f>IFERROR(__xludf.DUMMYFUNCTION("""COMPUTED_VALUE"""),14.0)</f>
        <v>14</v>
      </c>
      <c r="B15" s="2" t="str">
        <f>IFERROR(__xludf.DUMMYFUNCTION("""COMPUTED_VALUE"""),"Karnali St-1 (Reserved)")</f>
        <v>Karnali St-1 (Reserved)</v>
      </c>
      <c r="C15" s="2">
        <f>IFERROR(__xludf.DUMMYFUNCTION("""COMPUTED_VALUE"""),184.0)</f>
        <v>184</v>
      </c>
      <c r="D15" s="2" t="str">
        <f>IFERROR(__xludf.DUMMYFUNCTION("""COMPUTED_VALUE"""),"Karnali")</f>
        <v>Karnali</v>
      </c>
      <c r="E15" s="2" t="str">
        <f>IFERROR(__xludf.DUMMYFUNCTION("""COMPUTED_VALUE"""),"29o 05' 00""")</f>
        <v>29o 05' 00"</v>
      </c>
      <c r="F15" s="2" t="str">
        <f>IFERROR(__xludf.DUMMYFUNCTION("""COMPUTED_VALUE"""),"29o 11' 28""")</f>
        <v>29o 11' 28"</v>
      </c>
      <c r="G15" s="2" t="str">
        <f>IFERROR(__xludf.DUMMYFUNCTION("""COMPUTED_VALUE"""),"81o 30' 00""")</f>
        <v>81o 30' 00"</v>
      </c>
      <c r="H15" s="2" t="str">
        <f>IFERROR(__xludf.DUMMYFUNCTION("""COMPUTED_VALUE"""),"81o 37' 40""")</f>
        <v>81o 37' 40"</v>
      </c>
      <c r="I15" s="2" t="str">
        <f>IFERROR(__xludf.DUMMYFUNCTION("""COMPUTED_VALUE"""),"(Kalikot)")</f>
        <v>(Kalikot)</v>
      </c>
    </row>
    <row r="16">
      <c r="A16" s="2">
        <f>IFERROR(__xludf.DUMMYFUNCTION("""COMPUTED_VALUE"""),15.0)</f>
        <v>15</v>
      </c>
      <c r="B16" s="2" t="str">
        <f>IFERROR(__xludf.DUMMYFUNCTION("""COMPUTED_VALUE"""),"Khimti Shivalaya Storage HPP")</f>
        <v>Khimti Shivalaya Storage HPP</v>
      </c>
      <c r="C16" s="2">
        <f>IFERROR(__xludf.DUMMYFUNCTION("""COMPUTED_VALUE"""),1216.0)</f>
        <v>1216</v>
      </c>
      <c r="D16" s="2" t="str">
        <f>IFERROR(__xludf.DUMMYFUNCTION("""COMPUTED_VALUE"""),"Khimti Khola")</f>
        <v>Khimti Khola</v>
      </c>
      <c r="E16" s="2" t="str">
        <f>IFERROR(__xludf.DUMMYFUNCTION("""COMPUTED_VALUE"""),"27o 28' 28""")</f>
        <v>27o 28' 28"</v>
      </c>
      <c r="F16" s="2" t="str">
        <f>IFERROR(__xludf.DUMMYFUNCTION("""COMPUTED_VALUE"""),"27o 39' 23""")</f>
        <v>27o 39' 23"</v>
      </c>
      <c r="G16" s="2" t="str">
        <f>IFERROR(__xludf.DUMMYFUNCTION("""COMPUTED_VALUE"""),"86o 06' 00""")</f>
        <v>86o 06' 00"</v>
      </c>
      <c r="H16" s="2" t="str">
        <f>IFERROR(__xludf.DUMMYFUNCTION("""COMPUTED_VALUE"""),"86o 20' 15""")</f>
        <v>86o 20' 15"</v>
      </c>
      <c r="I16" s="2"/>
    </row>
    <row r="17">
      <c r="A17" s="2">
        <f>IFERROR(__xludf.DUMMYFUNCTION("""COMPUTED_VALUE"""),16.0)</f>
        <v>16</v>
      </c>
      <c r="B17" s="2" t="str">
        <f>IFERROR(__xludf.DUMMYFUNCTION("""COMPUTED_VALUE"""),"Lohare River-1 Storage Hydropower Project")</f>
        <v>Lohare River-1 Storage Hydropower Project</v>
      </c>
      <c r="C17" s="2">
        <f>IFERROR(__xludf.DUMMYFUNCTION("""COMPUTED_VALUE"""),81.0)</f>
        <v>81</v>
      </c>
      <c r="D17" s="2" t="str">
        <f>IFERROR(__xludf.DUMMYFUNCTION("""COMPUTED_VALUE"""),"Lohare Khola")</f>
        <v>Lohare Khola</v>
      </c>
      <c r="E17" s="2" t="str">
        <f>IFERROR(__xludf.DUMMYFUNCTION("""COMPUTED_VALUE"""),"28o 43' 13""")</f>
        <v>28o 43' 13"</v>
      </c>
      <c r="F17" s="2" t="str">
        <f>IFERROR(__xludf.DUMMYFUNCTION("""COMPUTED_VALUE"""),"28o 53' 41""")</f>
        <v>28o 53' 41"</v>
      </c>
      <c r="G17" s="2" t="str">
        <f>IFERROR(__xludf.DUMMYFUNCTION("""COMPUTED_VALUE"""),"81o 35' 00""")</f>
        <v>81o 35' 00"</v>
      </c>
      <c r="H17" s="2" t="str">
        <f>IFERROR(__xludf.DUMMYFUNCTION("""COMPUTED_VALUE"""),"81o 48' 09""")</f>
        <v>81o 48' 09"</v>
      </c>
      <c r="I17" s="2"/>
    </row>
    <row r="18">
      <c r="A18" s="2">
        <f>IFERROR(__xludf.DUMMYFUNCTION("""COMPUTED_VALUE"""),17.0)</f>
        <v>17</v>
      </c>
      <c r="B18" s="2" t="str">
        <f>IFERROR(__xludf.DUMMYFUNCTION("""COMPUTED_VALUE"""),"Lower Badigad Storage HEP")</f>
        <v>Lower Badigad Storage HEP</v>
      </c>
      <c r="C18" s="2">
        <f>IFERROR(__xludf.DUMMYFUNCTION("""COMPUTED_VALUE"""),350.0)</f>
        <v>350</v>
      </c>
      <c r="D18" s="2" t="str">
        <f>IFERROR(__xludf.DUMMYFUNCTION("""COMPUTED_VALUE"""),"Badigad")</f>
        <v>Badigad</v>
      </c>
      <c r="E18" s="2" t="str">
        <f>IFERROR(__xludf.DUMMYFUNCTION("""COMPUTED_VALUE"""),"27o 57' 00""")</f>
        <v>27o 57' 00"</v>
      </c>
      <c r="F18" s="2" t="str">
        <f>IFERROR(__xludf.DUMMYFUNCTION("""COMPUTED_VALUE"""),"28o 11' 00""")</f>
        <v>28o 11' 00"</v>
      </c>
      <c r="G18" s="2" t="str">
        <f>IFERROR(__xludf.DUMMYFUNCTION("""COMPUTED_VALUE"""),"83o 16' 00""")</f>
        <v>83o 16' 00"</v>
      </c>
      <c r="H18" s="2" t="str">
        <f>IFERROR(__xludf.DUMMYFUNCTION("""COMPUTED_VALUE"""),"83o 29' 25""")</f>
        <v>83o 29' 25"</v>
      </c>
      <c r="I18" s="2"/>
    </row>
    <row r="19">
      <c r="A19" s="2">
        <f>IFERROR(__xludf.DUMMYFUNCTION("""COMPUTED_VALUE"""),18.0)</f>
        <v>18</v>
      </c>
      <c r="B19" s="2" t="str">
        <f>IFERROR(__xludf.DUMMYFUNCTION("""COMPUTED_VALUE"""),"Lower Uttarganga (Reserved)")</f>
        <v>Lower Uttarganga (Reserved)</v>
      </c>
      <c r="C19" s="2">
        <f>IFERROR(__xludf.DUMMYFUNCTION("""COMPUTED_VALUE"""),23.0)</f>
        <v>23</v>
      </c>
      <c r="D19" s="2" t="str">
        <f>IFERROR(__xludf.DUMMYFUNCTION("""COMPUTED_VALUE"""),"Uttar Ganga")</f>
        <v>Uttar Ganga</v>
      </c>
      <c r="E19" s="2" t="str">
        <f>IFERROR(__xludf.DUMMYFUNCTION("""COMPUTED_VALUE"""),"28o 35' 00""")</f>
        <v>28o 35' 00"</v>
      </c>
      <c r="F19" s="2" t="str">
        <f>IFERROR(__xludf.DUMMYFUNCTION("""COMPUTED_VALUE"""),"28o 37' 40""")</f>
        <v>28o 37' 40"</v>
      </c>
      <c r="G19" s="2" t="str">
        <f>IFERROR(__xludf.DUMMYFUNCTION("""COMPUTED_VALUE"""),"82o 45' 14""")</f>
        <v>82o 45' 14"</v>
      </c>
      <c r="H19" s="2" t="str">
        <f>IFERROR(__xludf.DUMMYFUNCTION("""COMPUTED_VALUE"""),"82o 49' 15""")</f>
        <v>82o 49' 15"</v>
      </c>
      <c r="I19" s="2"/>
    </row>
    <row r="20">
      <c r="A20" s="2">
        <f>IFERROR(__xludf.DUMMYFUNCTION("""COMPUTED_VALUE"""),19.0)</f>
        <v>19</v>
      </c>
      <c r="B20" s="2" t="str">
        <f>IFERROR(__xludf.DUMMYFUNCTION("""COMPUTED_VALUE"""),"Machhapuchhre Modi (Reserved)")</f>
        <v>Machhapuchhre Modi (Reserved)</v>
      </c>
      <c r="C20" s="2">
        <f>IFERROR(__xludf.DUMMYFUNCTION("""COMPUTED_VALUE"""),24.6)</f>
        <v>24.6</v>
      </c>
      <c r="D20" s="2" t="str">
        <f>IFERROR(__xludf.DUMMYFUNCTION("""COMPUTED_VALUE"""),"Modi")</f>
        <v>Modi</v>
      </c>
      <c r="E20" s="2" t="str">
        <f>IFERROR(__xludf.DUMMYFUNCTION("""COMPUTED_VALUE"""),"28o 29' 19""")</f>
        <v>28o 29' 19"</v>
      </c>
      <c r="F20" s="2" t="str">
        <f>IFERROR(__xludf.DUMMYFUNCTION("""COMPUTED_VALUE"""),"28o 30' 56""")</f>
        <v>28o 30' 56"</v>
      </c>
      <c r="G20" s="2" t="str">
        <f>IFERROR(__xludf.DUMMYFUNCTION("""COMPUTED_VALUE"""),"83o 53' 15""")</f>
        <v>83o 53' 15"</v>
      </c>
      <c r="H20" s="2" t="str">
        <f>IFERROR(__xludf.DUMMYFUNCTION("""COMPUTED_VALUE"""),"83o 55' 00""")</f>
        <v>83o 55' 00"</v>
      </c>
      <c r="I20" s="2" t="str">
        <f>IFERROR(__xludf.DUMMYFUNCTION("""COMPUTED_VALUE"""),"Ghandruk,Lwangghale (Kaski)")</f>
        <v>Ghandruk,Lwangghale (Kaski)</v>
      </c>
    </row>
    <row r="21">
      <c r="A21" s="2">
        <f>IFERROR(__xludf.DUMMYFUNCTION("""COMPUTED_VALUE"""),20.0)</f>
        <v>20</v>
      </c>
      <c r="B21" s="2" t="str">
        <f>IFERROR(__xludf.DUMMYFUNCTION("""COMPUTED_VALUE"""),"Madi Khola")</f>
        <v>Madi Khola</v>
      </c>
      <c r="C21" s="2">
        <f>IFERROR(__xludf.DUMMYFUNCTION("""COMPUTED_VALUE"""),3.6)</f>
        <v>3.6</v>
      </c>
      <c r="D21" s="2" t="str">
        <f>IFERROR(__xludf.DUMMYFUNCTION("""COMPUTED_VALUE"""),"Madi Khola")</f>
        <v>Madi Khola</v>
      </c>
      <c r="E21" s="2" t="str">
        <f>IFERROR(__xludf.DUMMYFUNCTION("""COMPUTED_VALUE"""),"28o 22' 45""")</f>
        <v>28o 22' 45"</v>
      </c>
      <c r="F21" s="2" t="str">
        <f>IFERROR(__xludf.DUMMYFUNCTION("""COMPUTED_VALUE"""),"28o 23' 50""")</f>
        <v>28o 23' 50"</v>
      </c>
      <c r="G21" s="2" t="str">
        <f>IFERROR(__xludf.DUMMYFUNCTION("""COMPUTED_VALUE"""),"82o 30' 50""")</f>
        <v>82o 30' 50"</v>
      </c>
      <c r="H21" s="2" t="str">
        <f>IFERROR(__xludf.DUMMYFUNCTION("""COMPUTED_VALUE"""),"82o 32' 30""")</f>
        <v>82o 32' 30"</v>
      </c>
      <c r="I21" s="2" t="str">
        <f>IFERROR(__xludf.DUMMYFUNCTION("""COMPUTED_VALUE"""),"(Rolpa)")</f>
        <v>(Rolpa)</v>
      </c>
    </row>
    <row r="22">
      <c r="A22" s="2">
        <f>IFERROR(__xludf.DUMMYFUNCTION("""COMPUTED_VALUE"""),21.0)</f>
        <v>21</v>
      </c>
      <c r="B22" s="2" t="str">
        <f>IFERROR(__xludf.DUMMYFUNCTION("""COMPUTED_VALUE"""),"Madi Siti")</f>
        <v>Madi Siti</v>
      </c>
      <c r="C22" s="2">
        <f>IFERROR(__xludf.DUMMYFUNCTION("""COMPUTED_VALUE"""),128.0)</f>
        <v>128</v>
      </c>
      <c r="D22" s="2" t="str">
        <f>IFERROR(__xludf.DUMMYFUNCTION("""COMPUTED_VALUE"""),"Madi Khola")</f>
        <v>Madi Khola</v>
      </c>
      <c r="E22" s="2" t="str">
        <f>IFERROR(__xludf.DUMMYFUNCTION("""COMPUTED_VALUE"""),"28o 10' 23""")</f>
        <v>28o 10' 23"</v>
      </c>
      <c r="F22" s="2" t="str">
        <f>IFERROR(__xludf.DUMMYFUNCTION("""COMPUTED_VALUE"""),"28o 13' 05""")</f>
        <v>28o 13' 05"</v>
      </c>
      <c r="G22" s="2" t="str">
        <f>IFERROR(__xludf.DUMMYFUNCTION("""COMPUTED_VALUE"""),"84o 08' 35""")</f>
        <v>84o 08' 35"</v>
      </c>
      <c r="H22" s="2" t="str">
        <f>IFERROR(__xludf.DUMMYFUNCTION("""COMPUTED_VALUE"""),"84o 14' 45""")</f>
        <v>84o 14' 45"</v>
      </c>
      <c r="I22" s="2" t="str">
        <f>IFERROR(__xludf.DUMMYFUNCTION("""COMPUTED_VALUE"""),"(Lamjung)")</f>
        <v>(Lamjung)</v>
      </c>
    </row>
    <row r="23">
      <c r="A23" s="2">
        <f>IFERROR(__xludf.DUMMYFUNCTION("""COMPUTED_VALUE"""),22.0)</f>
        <v>22</v>
      </c>
      <c r="B23" s="2" t="str">
        <f>IFERROR(__xludf.DUMMYFUNCTION("""COMPUTED_VALUE"""),"Manahari Khola HPP")</f>
        <v>Manahari Khola HPP</v>
      </c>
      <c r="C23" s="2">
        <f>IFERROR(__xludf.DUMMYFUNCTION("""COMPUTED_VALUE"""),55.0)</f>
        <v>55</v>
      </c>
      <c r="D23" s="2" t="str">
        <f>IFERROR(__xludf.DUMMYFUNCTION("""COMPUTED_VALUE"""),"Manahari")</f>
        <v>Manahari</v>
      </c>
      <c r="E23" s="2" t="str">
        <f>IFERROR(__xludf.DUMMYFUNCTION("""COMPUTED_VALUE"""),"27o 32' 15""")</f>
        <v>27o 32' 15"</v>
      </c>
      <c r="F23" s="2" t="str">
        <f>IFERROR(__xludf.DUMMYFUNCTION("""COMPUTED_VALUE"""),"27o 36' 38""")</f>
        <v>27o 36' 38"</v>
      </c>
      <c r="G23" s="2" t="str">
        <f>IFERROR(__xludf.DUMMYFUNCTION("""COMPUTED_VALUE"""),"84o 51' 13""")</f>
        <v>84o 51' 13"</v>
      </c>
      <c r="H23" s="2" t="str">
        <f>IFERROR(__xludf.DUMMYFUNCTION("""COMPUTED_VALUE"""),"84o 55' 54""")</f>
        <v>84o 55' 54"</v>
      </c>
      <c r="I23" s="2"/>
    </row>
    <row r="24">
      <c r="A24" s="2">
        <f>IFERROR(__xludf.DUMMYFUNCTION("""COMPUTED_VALUE"""),23.0)</f>
        <v>23</v>
      </c>
      <c r="B24" s="2" t="str">
        <f>IFERROR(__xludf.DUMMYFUNCTION("""COMPUTED_VALUE"""),"Marshyangdi 3 HEP")</f>
        <v>Marshyangdi 3 HEP</v>
      </c>
      <c r="C24" s="2">
        <f>IFERROR(__xludf.DUMMYFUNCTION("""COMPUTED_VALUE"""),61.39)</f>
        <v>61.39</v>
      </c>
      <c r="D24" s="2" t="str">
        <f>IFERROR(__xludf.DUMMYFUNCTION("""COMPUTED_VALUE"""),"Marshyangdi")</f>
        <v>Marshyangdi</v>
      </c>
      <c r="E24" s="2" t="str">
        <f>IFERROR(__xludf.DUMMYFUNCTION("""COMPUTED_VALUE"""),"28o 05' 27""")</f>
        <v>28o 05' 27"</v>
      </c>
      <c r="F24" s="2" t="str">
        <f>IFERROR(__xludf.DUMMYFUNCTION("""COMPUTED_VALUE"""),"28o 08' 09""")</f>
        <v>28o 08' 09"</v>
      </c>
      <c r="G24" s="2" t="str">
        <f>IFERROR(__xludf.DUMMYFUNCTION("""COMPUTED_VALUE"""),"84o 25' 39""")</f>
        <v>84o 25' 39"</v>
      </c>
      <c r="H24" s="2" t="str">
        <f>IFERROR(__xludf.DUMMYFUNCTION("""COMPUTED_VALUE"""),"84o 27' 30""")</f>
        <v>84o 27' 30"</v>
      </c>
      <c r="I24" s="2" t="str">
        <f>IFERROR(__xludf.DUMMYFUNCTION("""COMPUTED_VALUE"""),"Nauthar (Lamjung) Rupakot (Tanahu)")</f>
        <v>Nauthar (Lamjung) Rupakot (Tanahu)</v>
      </c>
    </row>
    <row r="25">
      <c r="A25" s="2">
        <f>IFERROR(__xludf.DUMMYFUNCTION("""COMPUTED_VALUE"""),24.0)</f>
        <v>24</v>
      </c>
      <c r="B25" s="2" t="str">
        <f>IFERROR(__xludf.DUMMYFUNCTION("""COMPUTED_VALUE"""),"Mugu Karnali HEP")</f>
        <v>Mugu Karnali HEP</v>
      </c>
      <c r="C25" s="2">
        <f>IFERROR(__xludf.DUMMYFUNCTION("""COMPUTED_VALUE"""),89.35)</f>
        <v>89.35</v>
      </c>
      <c r="D25" s="2" t="str">
        <f>IFERROR(__xludf.DUMMYFUNCTION("""COMPUTED_VALUE"""),"Mugu karnali")</f>
        <v>Mugu karnali</v>
      </c>
      <c r="E25" s="2" t="str">
        <f>IFERROR(__xludf.DUMMYFUNCTION("""COMPUTED_VALUE"""),"29o 32' 53""")</f>
        <v>29o 32' 53"</v>
      </c>
      <c r="F25" s="2" t="str">
        <f>IFERROR(__xludf.DUMMYFUNCTION("""COMPUTED_VALUE"""),"29o 36' 06""")</f>
        <v>29o 36' 06"</v>
      </c>
      <c r="G25" s="2" t="str">
        <f>IFERROR(__xludf.DUMMYFUNCTION("""COMPUTED_VALUE"""),"82o 06' 46""")</f>
        <v>82o 06' 46"</v>
      </c>
      <c r="H25" s="2" t="str">
        <f>IFERROR(__xludf.DUMMYFUNCTION("""COMPUTED_VALUE"""),"82o 13' 45""")</f>
        <v>82o 13' 45"</v>
      </c>
      <c r="I25" s="2"/>
    </row>
    <row r="26">
      <c r="A26" s="2">
        <f>IFERROR(__xludf.DUMMYFUNCTION("""COMPUTED_VALUE"""),25.0)</f>
        <v>25</v>
      </c>
      <c r="B26" s="2" t="str">
        <f>IFERROR(__xludf.DUMMYFUNCTION("""COMPUTED_VALUE"""),"Nagmati Reservoir (DWRI)")</f>
        <v>Nagmati Reservoir (DWRI)</v>
      </c>
      <c r="C26" s="2">
        <f>IFERROR(__xludf.DUMMYFUNCTION("""COMPUTED_VALUE"""),2.12)</f>
        <v>2.12</v>
      </c>
      <c r="D26" s="2" t="str">
        <f>IFERROR(__xludf.DUMMYFUNCTION("""COMPUTED_VALUE"""),"Nagmati")</f>
        <v>Nagmati</v>
      </c>
      <c r="E26" s="2" t="str">
        <f>IFERROR(__xludf.DUMMYFUNCTION("""COMPUTED_VALUE"""),"27o 45' 00""")</f>
        <v>27o 45' 00"</v>
      </c>
      <c r="F26" s="2" t="str">
        <f>IFERROR(__xludf.DUMMYFUNCTION("""COMPUTED_VALUE"""),"27o 47' 30""")</f>
        <v>27o 47' 30"</v>
      </c>
      <c r="G26" s="2" t="str">
        <f>IFERROR(__xludf.DUMMYFUNCTION("""COMPUTED_VALUE"""),"85o 25' 00""")</f>
        <v>85o 25' 00"</v>
      </c>
      <c r="H26" s="2" t="str">
        <f>IFERROR(__xludf.DUMMYFUNCTION("""COMPUTED_VALUE"""),"85o 27' 30""")</f>
        <v>85o 27' 30"</v>
      </c>
      <c r="I26" s="2"/>
    </row>
    <row r="27">
      <c r="A27" s="2">
        <f>IFERROR(__xludf.DUMMYFUNCTION("""COMPUTED_VALUE"""),26.0)</f>
        <v>26</v>
      </c>
      <c r="B27" s="2" t="str">
        <f>IFERROR(__xludf.DUMMYFUNCTION("""COMPUTED_VALUE"""),"Super Budhigandaki HEP")</f>
        <v>Super Budhigandaki HEP</v>
      </c>
      <c r="C27" s="2">
        <f>IFERROR(__xludf.DUMMYFUNCTION("""COMPUTED_VALUE"""),34.39)</f>
        <v>34.39</v>
      </c>
      <c r="D27" s="2" t="str">
        <f>IFERROR(__xludf.DUMMYFUNCTION("""COMPUTED_VALUE"""),"Budhigandaki")</f>
        <v>Budhigandaki</v>
      </c>
      <c r="E27" s="2" t="str">
        <f>IFERROR(__xludf.DUMMYFUNCTION("""COMPUTED_VALUE"""),"28o 33' 30""")</f>
        <v>28o 33' 30"</v>
      </c>
      <c r="F27" s="2" t="str">
        <f>IFERROR(__xludf.DUMMYFUNCTION("""COMPUTED_VALUE"""),"28o 35' 00""")</f>
        <v>28o 35' 00"</v>
      </c>
      <c r="G27" s="2" t="str">
        <f>IFERROR(__xludf.DUMMYFUNCTION("""COMPUTED_VALUE"""),"84o 41' 15""")</f>
        <v>84o 41' 15"</v>
      </c>
      <c r="H27" s="2" t="str">
        <f>IFERROR(__xludf.DUMMYFUNCTION("""COMPUTED_VALUE"""),"84o 45' 00""")</f>
        <v>84o 45' 00"</v>
      </c>
      <c r="I27" s="2" t="str">
        <f>IFERROR(__xludf.DUMMYFUNCTION("""COMPUTED_VALUE"""),"Samagaun (Gorkha)")</f>
        <v>Samagaun (Gorkha)</v>
      </c>
    </row>
    <row r="28">
      <c r="A28" s="2">
        <f>IFERROR(__xludf.DUMMYFUNCTION("""COMPUTED_VALUE"""),27.0)</f>
        <v>27</v>
      </c>
      <c r="B28" s="2" t="str">
        <f>IFERROR(__xludf.DUMMYFUNCTION("""COMPUTED_VALUE"""),"Surnayagad Storage HPP")</f>
        <v>Surnayagad Storage HPP</v>
      </c>
      <c r="C28" s="2">
        <f>IFERROR(__xludf.DUMMYFUNCTION("""COMPUTED_VALUE"""),114.0)</f>
        <v>114</v>
      </c>
      <c r="D28" s="2" t="str">
        <f>IFERROR(__xludf.DUMMYFUNCTION("""COMPUTED_VALUE"""),"Surnaya Gad")</f>
        <v>Surnaya Gad</v>
      </c>
      <c r="E28" s="2" t="str">
        <f>IFERROR(__xludf.DUMMYFUNCTION("""COMPUTED_VALUE"""),"29o 18' 40""")</f>
        <v>29o 18' 40"</v>
      </c>
      <c r="F28" s="2" t="str">
        <f>IFERROR(__xludf.DUMMYFUNCTION("""COMPUTED_VALUE"""),"29o 24' 00""")</f>
        <v>29o 24' 00"</v>
      </c>
      <c r="G28" s="2" t="str">
        <f>IFERROR(__xludf.DUMMYFUNCTION("""COMPUTED_VALUE"""),"80o 19' 10""")</f>
        <v>80o 19' 10"</v>
      </c>
      <c r="H28" s="2" t="str">
        <f>IFERROR(__xludf.DUMMYFUNCTION("""COMPUTED_VALUE"""),"80o 28' 00""")</f>
        <v>80o 28' 00"</v>
      </c>
      <c r="I28" s="2"/>
    </row>
    <row r="29">
      <c r="A29" s="2">
        <f>IFERROR(__xludf.DUMMYFUNCTION("""COMPUTED_VALUE"""),28.0)</f>
        <v>28</v>
      </c>
      <c r="B29" s="2" t="str">
        <f>IFERROR(__xludf.DUMMYFUNCTION("""COMPUTED_VALUE"""),"Syar Khola (Reserved)")</f>
        <v>Syar Khola (Reserved)</v>
      </c>
      <c r="C29" s="2">
        <f>IFERROR(__xludf.DUMMYFUNCTION("""COMPUTED_VALUE"""),59.5)</f>
        <v>59.5</v>
      </c>
      <c r="D29" s="2" t="str">
        <f>IFERROR(__xludf.DUMMYFUNCTION("""COMPUTED_VALUE"""),"Syar")</f>
        <v>Syar</v>
      </c>
      <c r="E29" s="2" t="str">
        <f>IFERROR(__xludf.DUMMYFUNCTION("""COMPUTED_VALUE"""),"28o 27' 40""")</f>
        <v>28o 27' 40"</v>
      </c>
      <c r="F29" s="2" t="str">
        <f>IFERROR(__xludf.DUMMYFUNCTION("""COMPUTED_VALUE"""),"28o 29' 29""")</f>
        <v>28o 29' 29"</v>
      </c>
      <c r="G29" s="2" t="str">
        <f>IFERROR(__xludf.DUMMYFUNCTION("""COMPUTED_VALUE"""),"84o 57' 35""")</f>
        <v>84o 57' 35"</v>
      </c>
      <c r="H29" s="2" t="str">
        <f>IFERROR(__xludf.DUMMYFUNCTION("""COMPUTED_VALUE"""),"85o 02' 50""")</f>
        <v>85o 02' 50"</v>
      </c>
      <c r="I29" s="2" t="str">
        <f>IFERROR(__xludf.DUMMYFUNCTION("""COMPUTED_VALUE"""),"Chhaikampar,Chunchet (Gorkha)")</f>
        <v>Chhaikampar,Chunchet (Gorkha)</v>
      </c>
    </row>
    <row r="30">
      <c r="A30" s="2">
        <f>IFERROR(__xludf.DUMMYFUNCTION("""COMPUTED_VALUE"""),29.0)</f>
        <v>29</v>
      </c>
      <c r="B30" s="2" t="str">
        <f>IFERROR(__xludf.DUMMYFUNCTION("""COMPUTED_VALUE"""),"Tatu Khola HPP")</f>
        <v>Tatu Khola HPP</v>
      </c>
      <c r="C30" s="2">
        <f>IFERROR(__xludf.DUMMYFUNCTION("""COMPUTED_VALUE"""),3.1)</f>
        <v>3.1</v>
      </c>
      <c r="D30" s="2" t="str">
        <f>IFERROR(__xludf.DUMMYFUNCTION("""COMPUTED_VALUE"""),"Tatu Khola")</f>
        <v>Tatu Khola</v>
      </c>
      <c r="E30" s="2" t="str">
        <f>IFERROR(__xludf.DUMMYFUNCTION("""COMPUTED_VALUE"""),"28o 50' 45""")</f>
        <v>28o 50' 45"</v>
      </c>
      <c r="F30" s="2" t="str">
        <f>IFERROR(__xludf.DUMMYFUNCTION("""COMPUTED_VALUE"""),"28o 55' 45""")</f>
        <v>28o 55' 45"</v>
      </c>
      <c r="G30" s="2" t="str">
        <f>IFERROR(__xludf.DUMMYFUNCTION("""COMPUTED_VALUE"""),"83o 02' 30""")</f>
        <v>83o 02' 30"</v>
      </c>
      <c r="H30" s="2" t="str">
        <f>IFERROR(__xludf.DUMMYFUNCTION("""COMPUTED_VALUE"""),"83o 12' 30""")</f>
        <v>83o 12' 30"</v>
      </c>
      <c r="I30" s="2" t="str">
        <f>IFERROR(__xludf.DUMMYFUNCTION("""COMPUTED_VALUE"""),"Mukot,Lawan,Sahartara (Dolpa)")</f>
        <v>Mukot,Lawan,Sahartara (Dolpa)</v>
      </c>
    </row>
    <row r="31">
      <c r="A31" s="2">
        <f>IFERROR(__xludf.DUMMYFUNCTION("""COMPUTED_VALUE"""),30.0)</f>
        <v>30</v>
      </c>
      <c r="B31" s="2" t="str">
        <f>IFERROR(__xludf.DUMMYFUNCTION("""COMPUTED_VALUE"""),"Tila HEP")</f>
        <v>Tila HEP</v>
      </c>
      <c r="C31" s="2">
        <f>IFERROR(__xludf.DUMMYFUNCTION("""COMPUTED_VALUE"""),41.66)</f>
        <v>41.66</v>
      </c>
      <c r="D31" s="2" t="str">
        <f>IFERROR(__xludf.DUMMYFUNCTION("""COMPUTED_VALUE"""),"Tila")</f>
        <v>Tila</v>
      </c>
      <c r="E31" s="2" t="str">
        <f>IFERROR(__xludf.DUMMYFUNCTION("""COMPUTED_VALUE"""),"29o 09' 39""")</f>
        <v>29o 09' 39"</v>
      </c>
      <c r="F31" s="2" t="str">
        <f>IFERROR(__xludf.DUMMYFUNCTION("""COMPUTED_VALUE"""),"29o 12' 07""")</f>
        <v>29o 12' 07"</v>
      </c>
      <c r="G31" s="2" t="str">
        <f>IFERROR(__xludf.DUMMYFUNCTION("""COMPUTED_VALUE"""),"81o 52' 00""")</f>
        <v>81o 52' 00"</v>
      </c>
      <c r="H31" s="2" t="str">
        <f>IFERROR(__xludf.DUMMYFUNCTION("""COMPUTED_VALUE"""),"81o 54' 49""")</f>
        <v>81o 54' 49"</v>
      </c>
      <c r="I31" s="2"/>
    </row>
    <row r="32">
      <c r="A32" s="2">
        <f>IFERROR(__xludf.DUMMYFUNCTION("""COMPUTED_VALUE"""),31.0)</f>
        <v>31</v>
      </c>
      <c r="B32" s="2" t="str">
        <f>IFERROR(__xludf.DUMMYFUNCTION("""COMPUTED_VALUE"""),"Tom Dogar(Budhigandaki)")</f>
        <v>Tom Dogar(Budhigandaki)</v>
      </c>
      <c r="C32" s="2">
        <f>IFERROR(__xludf.DUMMYFUNCTION("""COMPUTED_VALUE"""),40.2)</f>
        <v>40.2</v>
      </c>
      <c r="D32" s="2" t="str">
        <f>IFERROR(__xludf.DUMMYFUNCTION("""COMPUTED_VALUE"""),"Budhigandaki")</f>
        <v>Budhigandaki</v>
      </c>
      <c r="E32" s="2" t="str">
        <f>IFERROR(__xludf.DUMMYFUNCTION("""COMPUTED_VALUE"""),"28o 29' 16""")</f>
        <v>28o 29' 16"</v>
      </c>
      <c r="F32" s="2" t="str">
        <f>IFERROR(__xludf.DUMMYFUNCTION("""COMPUTED_VALUE"""),"28o 30' 37""")</f>
        <v>28o 30' 37"</v>
      </c>
      <c r="G32" s="2" t="str">
        <f>IFERROR(__xludf.DUMMYFUNCTION("""COMPUTED_VALUE"""),"84o 50' 52""")</f>
        <v>84o 50' 52"</v>
      </c>
      <c r="H32" s="2" t="str">
        <f>IFERROR(__xludf.DUMMYFUNCTION("""COMPUTED_VALUE"""),"84o 52' 40""")</f>
        <v>84o 52' 40"</v>
      </c>
      <c r="I32" s="2"/>
    </row>
    <row r="33">
      <c r="A33" s="2">
        <f>IFERROR(__xludf.DUMMYFUNCTION("""COMPUTED_VALUE"""),32.0)</f>
        <v>32</v>
      </c>
      <c r="B33" s="2" t="str">
        <f>IFERROR(__xludf.DUMMYFUNCTION("""COMPUTED_VALUE"""),"Upper Badigad")</f>
        <v>Upper Badigad</v>
      </c>
      <c r="C33" s="2">
        <f>IFERROR(__xludf.DUMMYFUNCTION("""COMPUTED_VALUE"""),5.0)</f>
        <v>5</v>
      </c>
      <c r="D33" s="2" t="str">
        <f>IFERROR(__xludf.DUMMYFUNCTION("""COMPUTED_VALUE"""),"Badigad")</f>
        <v>Badigad</v>
      </c>
      <c r="E33" s="2" t="str">
        <f>IFERROR(__xludf.DUMMYFUNCTION("""COMPUTED_VALUE"""),"28o 07' 00""")</f>
        <v>28o 07' 00"</v>
      </c>
      <c r="F33" s="2" t="str">
        <f>IFERROR(__xludf.DUMMYFUNCTION("""COMPUTED_VALUE"""),"28o 10' 00""")</f>
        <v>28o 10' 00"</v>
      </c>
      <c r="G33" s="2" t="str">
        <f>IFERROR(__xludf.DUMMYFUNCTION("""COMPUTED_VALUE"""),"83o 17' 20""")</f>
        <v>83o 17' 20"</v>
      </c>
      <c r="H33" s="2" t="str">
        <f>IFERROR(__xludf.DUMMYFUNCTION("""COMPUTED_VALUE"""),"83o 19' 40""")</f>
        <v>83o 19' 40"</v>
      </c>
      <c r="I33" s="2" t="str">
        <f>IFERROR(__xludf.DUMMYFUNCTION("""COMPUTED_VALUE"""),"(Gulmi)")</f>
        <v>(Gulmi)</v>
      </c>
    </row>
    <row r="34">
      <c r="A34" s="2">
        <f>IFERROR(__xludf.DUMMYFUNCTION("""COMPUTED_VALUE"""),33.0)</f>
        <v>33</v>
      </c>
      <c r="B34" s="2" t="str">
        <f>IFERROR(__xludf.DUMMYFUNCTION("""COMPUTED_VALUE"""),"Upper Hongu (Reserved)")</f>
        <v>Upper Hongu (Reserved)</v>
      </c>
      <c r="C34" s="2">
        <f>IFERROR(__xludf.DUMMYFUNCTION("""COMPUTED_VALUE"""),38.0)</f>
        <v>38</v>
      </c>
      <c r="D34" s="2" t="str">
        <f>IFERROR(__xludf.DUMMYFUNCTION("""COMPUTED_VALUE"""),"Hongu")</f>
        <v>Hongu</v>
      </c>
      <c r="E34" s="2" t="str">
        <f>IFERROR(__xludf.DUMMYFUNCTION("""COMPUTED_VALUE"""),"27o 34' 40""")</f>
        <v>27o 34' 40"</v>
      </c>
      <c r="F34" s="2" t="str">
        <f>IFERROR(__xludf.DUMMYFUNCTION("""COMPUTED_VALUE"""),"27o 36' 42""")</f>
        <v>27o 36' 42"</v>
      </c>
      <c r="G34" s="2" t="str">
        <f>IFERROR(__xludf.DUMMYFUNCTION("""COMPUTED_VALUE"""),"86o 53' 39""")</f>
        <v>86o 53' 39"</v>
      </c>
      <c r="H34" s="2" t="str">
        <f>IFERROR(__xludf.DUMMYFUNCTION("""COMPUTED_VALUE"""),"86o 55' 22""")</f>
        <v>86o 55' 22"</v>
      </c>
      <c r="I34" s="2"/>
    </row>
    <row r="35">
      <c r="A35" s="2">
        <f>IFERROR(__xludf.DUMMYFUNCTION("""COMPUTED_VALUE"""),34.0)</f>
        <v>34</v>
      </c>
      <c r="B35" s="2" t="str">
        <f>IFERROR(__xludf.DUMMYFUNCTION("""COMPUTED_VALUE"""),"Upper Karnali B")</f>
        <v>Upper Karnali B</v>
      </c>
      <c r="C35" s="2">
        <f>IFERROR(__xludf.DUMMYFUNCTION("""COMPUTED_VALUE"""),113.0)</f>
        <v>113</v>
      </c>
      <c r="D35" s="2" t="str">
        <f>IFERROR(__xludf.DUMMYFUNCTION("""COMPUTED_VALUE"""),"Karnali")</f>
        <v>Karnali</v>
      </c>
      <c r="E35" s="2" t="str">
        <f>IFERROR(__xludf.DUMMYFUNCTION("""COMPUTED_VALUE"""),"28o 58' 20""")</f>
        <v>28o 58' 20"</v>
      </c>
      <c r="F35" s="2" t="str">
        <f>IFERROR(__xludf.DUMMYFUNCTION("""COMPUTED_VALUE"""),"29o 05' 32""")</f>
        <v>29o 05' 32"</v>
      </c>
      <c r="G35" s="2" t="str">
        <f>IFERROR(__xludf.DUMMYFUNCTION("""COMPUTED_VALUE"""),"81o 24' 02""")</f>
        <v>81o 24' 02"</v>
      </c>
      <c r="H35" s="2" t="str">
        <f>IFERROR(__xludf.DUMMYFUNCTION("""COMPUTED_VALUE"""),"81o 30' 00""")</f>
        <v>81o 30' 00"</v>
      </c>
      <c r="I35" s="2"/>
    </row>
    <row r="36">
      <c r="A36" s="2">
        <f>IFERROR(__xludf.DUMMYFUNCTION("""COMPUTED_VALUE"""),35.0)</f>
        <v>35</v>
      </c>
      <c r="B36" s="2" t="str">
        <f>IFERROR(__xludf.DUMMYFUNCTION("""COMPUTED_VALUE"""),"Upper Khudi-A (Reserved)")</f>
        <v>Upper Khudi-A (Reserved)</v>
      </c>
      <c r="C36" s="2">
        <f>IFERROR(__xludf.DUMMYFUNCTION("""COMPUTED_VALUE"""),27.4)</f>
        <v>27.4</v>
      </c>
      <c r="D36" s="2" t="str">
        <f>IFERROR(__xludf.DUMMYFUNCTION("""COMPUTED_VALUE"""),"Khudi")</f>
        <v>Khudi</v>
      </c>
      <c r="E36" s="2" t="str">
        <f>IFERROR(__xludf.DUMMYFUNCTION("""COMPUTED_VALUE"""),"28o 21' 50""")</f>
        <v>28o 21' 50"</v>
      </c>
      <c r="F36" s="2" t="str">
        <f>IFERROR(__xludf.DUMMYFUNCTION("""COMPUTED_VALUE"""),"28o 24' 27""")</f>
        <v>28o 24' 27"</v>
      </c>
      <c r="G36" s="2" t="str">
        <f>IFERROR(__xludf.DUMMYFUNCTION("""COMPUTED_VALUE"""),"84o 16' 43""")</f>
        <v>84o 16' 43"</v>
      </c>
      <c r="H36" s="2" t="str">
        <f>IFERROR(__xludf.DUMMYFUNCTION("""COMPUTED_VALUE"""),"84o 19' 36""")</f>
        <v>84o 19' 36"</v>
      </c>
      <c r="I36" s="2" t="str">
        <f>IFERROR(__xludf.DUMMYFUNCTION("""COMPUTED_VALUE"""),"Ghanpokhara,Khudi (Lamjung)")</f>
        <v>Ghanpokhara,Khudi (Lamjung)</v>
      </c>
    </row>
    <row r="37">
      <c r="A37" s="2">
        <f>IFERROR(__xludf.DUMMYFUNCTION("""COMPUTED_VALUE"""),36.0)</f>
        <v>36</v>
      </c>
      <c r="B37" s="2" t="str">
        <f>IFERROR(__xludf.DUMMYFUNCTION("""COMPUTED_VALUE"""),"Upper Lotikarnali")</f>
        <v>Upper Lotikarnali</v>
      </c>
      <c r="C37" s="2">
        <f>IFERROR(__xludf.DUMMYFUNCTION("""COMPUTED_VALUE"""),73.8)</f>
        <v>73.8</v>
      </c>
      <c r="D37" s="2" t="str">
        <f>IFERROR(__xludf.DUMMYFUNCTION("""COMPUTED_VALUE"""),"Karnali")</f>
        <v>Karnali</v>
      </c>
      <c r="E37" s="2" t="str">
        <f>IFERROR(__xludf.DUMMYFUNCTION("""COMPUTED_VALUE"""),"29o 49' 35""")</f>
        <v>29o 49' 35"</v>
      </c>
      <c r="F37" s="2" t="str">
        <f>IFERROR(__xludf.DUMMYFUNCTION("""COMPUTED_VALUE"""),"29o 50' 52""")</f>
        <v>29o 50' 52"</v>
      </c>
      <c r="G37" s="2" t="str">
        <f>IFERROR(__xludf.DUMMYFUNCTION("""COMPUTED_VALUE"""),"82o 06' 23""")</f>
        <v>82o 06' 23"</v>
      </c>
      <c r="H37" s="2" t="str">
        <f>IFERROR(__xludf.DUMMYFUNCTION("""COMPUTED_VALUE"""),"82o 11' 22""")</f>
        <v>82o 11' 22"</v>
      </c>
      <c r="I37" s="2" t="str">
        <f>IFERROR(__xludf.DUMMYFUNCTION("""COMPUTED_VALUE"""),"Mimi (Humla)")</f>
        <v>Mimi (Humla)</v>
      </c>
    </row>
    <row r="38">
      <c r="A38" s="2">
        <f>IFERROR(__xludf.DUMMYFUNCTION("""COMPUTED_VALUE"""),37.0)</f>
        <v>37</v>
      </c>
      <c r="B38" s="2" t="str">
        <f>IFERROR(__xludf.DUMMYFUNCTION("""COMPUTED_VALUE"""),"Yanma Khola")</f>
        <v>Yanma Khola</v>
      </c>
      <c r="C38" s="2">
        <f>IFERROR(__xludf.DUMMYFUNCTION("""COMPUTED_VALUE"""),65.0)</f>
        <v>65</v>
      </c>
      <c r="D38" s="2" t="str">
        <f>IFERROR(__xludf.DUMMYFUNCTION("""COMPUTED_VALUE"""),"Yangma Khola")</f>
        <v>Yangma Khola</v>
      </c>
      <c r="E38" s="2" t="str">
        <f>IFERROR(__xludf.DUMMYFUNCTION("""COMPUTED_VALUE"""),"27o 39' 00""")</f>
        <v>27o 39' 00"</v>
      </c>
      <c r="F38" s="2" t="str">
        <f>IFERROR(__xludf.DUMMYFUNCTION("""COMPUTED_VALUE"""),"27o 41' 31""")</f>
        <v>27o 41' 31"</v>
      </c>
      <c r="G38" s="2" t="str">
        <f>IFERROR(__xludf.DUMMYFUNCTION("""COMPUTED_VALUE"""),"87o 47' 52""")</f>
        <v>87o 47' 52"</v>
      </c>
      <c r="H38" s="2" t="str">
        <f>IFERROR(__xludf.DUMMYFUNCTION("""COMPUTED_VALUE"""),"87o 50' 00""")</f>
        <v>87o 50' 00"</v>
      </c>
      <c r="I38" s="2" t="str">
        <f>IFERROR(__xludf.DUMMYFUNCTION("""COMPUTED_VALUE"""),"(Taplejung)")</f>
        <v>(Taplejung)</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IFERROR(__xludf.DUMMYFUNCTION("IMPORTHTML(""https://www.doed.gov.np/pages/tchydro/"",""table"",1)"),"*S No*")</f>
        <v>*S No*</v>
      </c>
      <c r="B1" s="2" t="str">
        <f>IFERROR(__xludf.DUMMYFUNCTION("""COMPUTED_VALUE"""),"*Project*")</f>
        <v>*Project*</v>
      </c>
      <c r="C1" s="2" t="str">
        <f>IFERROR(__xludf.DUMMYFUNCTION("""COMPUTED_VALUE"""),"*Capacity (MW)*")</f>
        <v>*Capacity (MW)*</v>
      </c>
      <c r="D1" s="2" t="str">
        <f>IFERROR(__xludf.DUMMYFUNCTION("""COMPUTED_VALUE"""),"*River*")</f>
        <v>*River*</v>
      </c>
      <c r="E1" s="2" t="str">
        <f>IFERROR(__xludf.DUMMYFUNCTION("""COMPUTED_VALUE"""),"*Appn No*")</f>
        <v>*Appn No*</v>
      </c>
      <c r="F1" s="2" t="str">
        <f>IFERROR(__xludf.DUMMYFUNCTION("""COMPUTED_VALUE"""),"*Appn Date*")</f>
        <v>*Appn Date*</v>
      </c>
      <c r="G1" s="2" t="str">
        <f>IFERROR(__xludf.DUMMYFUNCTION("""COMPUTED_VALUE"""),"*Promoter*")</f>
        <v>*Promoter*</v>
      </c>
      <c r="H1" s="2" t="str">
        <f>IFERROR(__xludf.DUMMYFUNCTION("""COMPUTED_VALUE"""),"*Address*")</f>
        <v>*Address*</v>
      </c>
      <c r="I1" s="2" t="str">
        <f>IFERROR(__xludf.DUMMYFUNCTION("""COMPUTED_VALUE"""),"*Latitiude N*")</f>
        <v>*Latitiude N*</v>
      </c>
      <c r="J1" s="2"/>
      <c r="K1" s="2" t="str">
        <f>IFERROR(__xludf.DUMMYFUNCTION("""COMPUTED_VALUE"""),"*Longitude E*")</f>
        <v>*Longitude E*</v>
      </c>
      <c r="L1" s="2"/>
      <c r="M1" s="2" t="str">
        <f>IFERROR(__xludf.DUMMYFUNCTION("""COMPUTED_VALUE"""),"*VDC/District*")</f>
        <v>*VDC/District*</v>
      </c>
    </row>
    <row r="2">
      <c r="A2" s="2">
        <f>IFERROR(__xludf.DUMMYFUNCTION("""COMPUTED_VALUE"""),1.0)</f>
        <v>1</v>
      </c>
      <c r="B2" s="2" t="str">
        <f>IFERROR(__xludf.DUMMYFUNCTION("""COMPUTED_VALUE"""),"Hudi Khola Small HEP")</f>
        <v>Hudi Khola Small HEP</v>
      </c>
      <c r="C2" s="2">
        <f>IFERROR(__xludf.DUMMYFUNCTION("""COMPUTED_VALUE"""),0.66)</f>
        <v>0.66</v>
      </c>
      <c r="D2" s="2" t="str">
        <f>IFERROR(__xludf.DUMMYFUNCTION("""COMPUTED_VALUE"""),"Hudi")</f>
        <v>Hudi</v>
      </c>
      <c r="E2" s="2">
        <f>IFERROR(__xludf.DUMMYFUNCTION("""COMPUTED_VALUE"""),5517.0)</f>
        <v>5517</v>
      </c>
      <c r="F2" s="7">
        <f>IFERROR(__xludf.DUMMYFUNCTION("""COMPUTED_VALUE"""),63910.0)</f>
        <v>63910</v>
      </c>
      <c r="G2" s="2" t="str">
        <f>IFERROR(__xludf.DUMMYFUNCTION("""COMPUTED_VALUE"""),"Hudi Khola Hydropower Pvt. Ltd")</f>
        <v>Hudi Khola Hydropower Pvt. Ltd</v>
      </c>
      <c r="H2" s="2" t="str">
        <f>IFERROR(__xludf.DUMMYFUNCTION("""COMPUTED_VALUE"""),"Kathmandu")</f>
        <v>Kathmandu</v>
      </c>
      <c r="I2" s="2" t="str">
        <f>IFERROR(__xludf.DUMMYFUNCTION("""COMPUTED_VALUE"""),"28o 06' 05""")</f>
        <v>28o 06' 05"</v>
      </c>
      <c r="J2" s="2" t="str">
        <f>IFERROR(__xludf.DUMMYFUNCTION("""COMPUTED_VALUE"""),"28o 06' 45""")</f>
        <v>28o 06' 45"</v>
      </c>
      <c r="K2" s="2" t="str">
        <f>IFERROR(__xludf.DUMMYFUNCTION("""COMPUTED_VALUE"""),"84o 40' 28""")</f>
        <v>84o 40' 28"</v>
      </c>
      <c r="L2" s="2" t="str">
        <f>IFERROR(__xludf.DUMMYFUNCTION("""COMPUTED_VALUE"""),"84o 41' 39""")</f>
        <v>84o 41' 39"</v>
      </c>
      <c r="M2" s="2"/>
    </row>
    <row r="3">
      <c r="A3" s="2">
        <f>IFERROR(__xludf.DUMMYFUNCTION("""COMPUTED_VALUE"""),2.0)</f>
        <v>2</v>
      </c>
      <c r="B3" s="2" t="str">
        <f>IFERROR(__xludf.DUMMYFUNCTION("""COMPUTED_VALUE"""),"Nisi Khola Small HEP")</f>
        <v>Nisi Khola Small HEP</v>
      </c>
      <c r="C3" s="2">
        <f>IFERROR(__xludf.DUMMYFUNCTION("""COMPUTED_VALUE"""),0.95)</f>
        <v>0.95</v>
      </c>
      <c r="D3" s="2" t="str">
        <f>IFERROR(__xludf.DUMMYFUNCTION("""COMPUTED_VALUE"""),"Nisi")</f>
        <v>Nisi</v>
      </c>
      <c r="E3" s="2">
        <f>IFERROR(__xludf.DUMMYFUNCTION("""COMPUTED_VALUE"""),7329.0)</f>
        <v>7329</v>
      </c>
      <c r="F3" s="7">
        <f>IFERROR(__xludf.DUMMYFUNCTION("""COMPUTED_VALUE"""),63989.0)</f>
        <v>63989</v>
      </c>
      <c r="G3" s="2" t="str">
        <f>IFERROR(__xludf.DUMMYFUNCTION("""COMPUTED_VALUE"""),"Ujyalo Burtibang Jalbidhyut Aayojana")</f>
        <v>Ujyalo Burtibang Jalbidhyut Aayojana</v>
      </c>
      <c r="H3" s="2" t="str">
        <f>IFERROR(__xludf.DUMMYFUNCTION("""COMPUTED_VALUE"""),"068-410180")</f>
        <v>068-410180</v>
      </c>
      <c r="I3" s="2" t="str">
        <f>IFERROR(__xludf.DUMMYFUNCTION("""COMPUTED_VALUE"""),"28o 19' 16""")</f>
        <v>28o 19' 16"</v>
      </c>
      <c r="J3" s="2" t="str">
        <f>IFERROR(__xludf.DUMMYFUNCTION("""COMPUTED_VALUE"""),"28o 19' 35""")</f>
        <v>28o 19' 35"</v>
      </c>
      <c r="K3" s="2" t="str">
        <f>IFERROR(__xludf.DUMMYFUNCTION("""COMPUTED_VALUE"""),"83o 08' 46""")</f>
        <v>83o 08' 46"</v>
      </c>
      <c r="L3" s="2" t="str">
        <f>IFERROR(__xludf.DUMMYFUNCTION("""COMPUTED_VALUE"""),"83o 09' 25""")</f>
        <v>83o 09' 25"</v>
      </c>
      <c r="M3" s="2"/>
    </row>
    <row r="4">
      <c r="A4" s="2">
        <f>IFERROR(__xludf.DUMMYFUNCTION("""COMPUTED_VALUE"""),3.0)</f>
        <v>3</v>
      </c>
      <c r="B4" s="2" t="str">
        <f>IFERROR(__xludf.DUMMYFUNCTION("""COMPUTED_VALUE"""),"Taranga Khola Small HEP")</f>
        <v>Taranga Khola Small HEP</v>
      </c>
      <c r="C4" s="2">
        <f>IFERROR(__xludf.DUMMYFUNCTION("""COMPUTED_VALUE"""),0.67)</f>
        <v>0.67</v>
      </c>
      <c r="D4" s="2" t="str">
        <f>IFERROR(__xludf.DUMMYFUNCTION("""COMPUTED_VALUE"""),"Taranga")</f>
        <v>Taranga</v>
      </c>
      <c r="E4" s="2">
        <f>IFERROR(__xludf.DUMMYFUNCTION("""COMPUTED_VALUE"""),170.0)</f>
        <v>170</v>
      </c>
      <c r="F4" s="7">
        <f>IFERROR(__xludf.DUMMYFUNCTION("""COMPUTED_VALUE"""),64015.0)</f>
        <v>64015</v>
      </c>
      <c r="G4" s="2" t="str">
        <f>IFERROR(__xludf.DUMMYFUNCTION("""COMPUTED_VALUE"""),"Taranga Hydro Care Pvt. Ltd")</f>
        <v>Taranga Hydro Care Pvt. Ltd</v>
      </c>
      <c r="H4" s="2" t="str">
        <f>IFERROR(__xludf.DUMMYFUNCTION("""COMPUTED_VALUE"""),"Gaindakot, Nawalparasi")</f>
        <v>Gaindakot, Nawalparasi</v>
      </c>
      <c r="I4" s="2" t="str">
        <f>IFERROR(__xludf.DUMMYFUNCTION("""COMPUTED_VALUE"""),"27o 47' 23""")</f>
        <v>27o 47' 23"</v>
      </c>
      <c r="J4" s="2" t="str">
        <f>IFERROR(__xludf.DUMMYFUNCTION("""COMPUTED_VALUE"""),"27o 48' 09""")</f>
        <v>27o 48' 09"</v>
      </c>
      <c r="K4" s="2" t="str">
        <f>IFERROR(__xludf.DUMMYFUNCTION("""COMPUTED_VALUE"""),"84o 16' 21""")</f>
        <v>84o 16' 21"</v>
      </c>
      <c r="L4" s="2" t="str">
        <f>IFERROR(__xludf.DUMMYFUNCTION("""COMPUTED_VALUE"""),"84o 17' 59""")</f>
        <v>84o 17' 59"</v>
      </c>
      <c r="M4" s="2" t="str">
        <f>IFERROR(__xludf.DUMMYFUNCTION("""COMPUTED_VALUE"""),"Kotathar,Ratnapur (Nawalparasi)")</f>
        <v>Kotathar,Ratnapur (Nawalparasi)</v>
      </c>
    </row>
    <row r="5">
      <c r="A5" s="2">
        <f>IFERROR(__xludf.DUMMYFUNCTION("""COMPUTED_VALUE"""),4.0)</f>
        <v>4</v>
      </c>
      <c r="B5" s="2" t="str">
        <f>IFERROR(__xludf.DUMMYFUNCTION("""COMPUTED_VALUE"""),"Babiyodada Manthali Khola Micro HPP")</f>
        <v>Babiyodada Manthali Khola Micro HPP</v>
      </c>
      <c r="C5" s="2">
        <f>IFERROR(__xludf.DUMMYFUNCTION("""COMPUTED_VALUE"""),0.47)</f>
        <v>0.47</v>
      </c>
      <c r="D5" s="2" t="str">
        <f>IFERROR(__xludf.DUMMYFUNCTION("""COMPUTED_VALUE"""),"Manthali Khola")</f>
        <v>Manthali Khola</v>
      </c>
      <c r="E5" s="2">
        <f>IFERROR(__xludf.DUMMYFUNCTION("""COMPUTED_VALUE"""),546.0)</f>
        <v>546</v>
      </c>
      <c r="F5" s="7">
        <f>IFERROR(__xludf.DUMMYFUNCTION("""COMPUTED_VALUE"""),64071.0)</f>
        <v>64071</v>
      </c>
      <c r="G5" s="2" t="str">
        <f>IFERROR(__xludf.DUMMYFUNCTION("""COMPUTED_VALUE"""),"Gauurisankar Gaupalika")</f>
        <v>Gauurisankar Gaupalika</v>
      </c>
      <c r="H5" s="2" t="str">
        <f>IFERROR(__xludf.DUMMYFUNCTION("""COMPUTED_VALUE"""),"Suri Dolakha")</f>
        <v>Suri Dolakha</v>
      </c>
      <c r="I5" s="2" t="str">
        <f>IFERROR(__xludf.DUMMYFUNCTION("""COMPUTED_VALUE"""),"27o 48' 27""")</f>
        <v>27o 48' 27"</v>
      </c>
      <c r="J5" s="2" t="str">
        <f>IFERROR(__xludf.DUMMYFUNCTION("""COMPUTED_VALUE"""),"27o 49' 03""")</f>
        <v>27o 49' 03"</v>
      </c>
      <c r="K5" s="2" t="str">
        <f>IFERROR(__xludf.DUMMYFUNCTION("""COMPUTED_VALUE"""),"86o 13' 42""")</f>
        <v>86o 13' 42"</v>
      </c>
      <c r="L5" s="2" t="str">
        <f>IFERROR(__xludf.DUMMYFUNCTION("""COMPUTED_VALUE"""),"86o 14' 15""")</f>
        <v>86o 14' 15"</v>
      </c>
      <c r="M5" s="2" t="str">
        <f>IFERROR(__xludf.DUMMYFUNCTION("""COMPUTED_VALUE"""),"Lamabagar (Dolakha)")</f>
        <v>Lamabagar (Dolakha)</v>
      </c>
    </row>
    <row r="6">
      <c r="A6" s="2">
        <f>IFERROR(__xludf.DUMMYFUNCTION("""COMPUTED_VALUE"""),5.0)</f>
        <v>5</v>
      </c>
      <c r="B6" s="2" t="str">
        <f>IFERROR(__xludf.DUMMYFUNCTION("""COMPUTED_VALUE"""),"Thosne Khola Small HPP")</f>
        <v>Thosne Khola Small HPP</v>
      </c>
      <c r="C6" s="2">
        <f>IFERROR(__xludf.DUMMYFUNCTION("""COMPUTED_VALUE"""),0.7)</f>
        <v>0.7</v>
      </c>
      <c r="D6" s="2" t="str">
        <f>IFERROR(__xludf.DUMMYFUNCTION("""COMPUTED_VALUE"""),"Thosne Khola")</f>
        <v>Thosne Khola</v>
      </c>
      <c r="E6" s="2">
        <f>IFERROR(__xludf.DUMMYFUNCTION("""COMPUTED_VALUE"""),1719.0)</f>
        <v>1719</v>
      </c>
      <c r="F6" s="7">
        <f>IFERROR(__xludf.DUMMYFUNCTION("""COMPUTED_VALUE"""),64092.0)</f>
        <v>64092</v>
      </c>
      <c r="G6" s="2" t="str">
        <f>IFERROR(__xludf.DUMMYFUNCTION("""COMPUTED_VALUE"""),"Mahakal Multipurpose Production Group via Konjyosom RM Office, Lalitpur")</f>
        <v>Mahakal Multipurpose Production Group via Konjyosom RM Office, Lalitpur</v>
      </c>
      <c r="H6" s="2" t="str">
        <f>IFERROR(__xludf.DUMMYFUNCTION("""COMPUTED_VALUE"""),"Gotikhel Lalitpur")</f>
        <v>Gotikhel Lalitpur</v>
      </c>
      <c r="I6" s="2" t="str">
        <f>IFERROR(__xludf.DUMMYFUNCTION("""COMPUTED_VALUE"""),"27o 30' 52""")</f>
        <v>27o 30' 52"</v>
      </c>
      <c r="J6" s="2" t="str">
        <f>IFERROR(__xludf.DUMMYFUNCTION("""COMPUTED_VALUE"""),"27o 31' 22""")</f>
        <v>27o 31' 22"</v>
      </c>
      <c r="K6" s="2" t="str">
        <f>IFERROR(__xludf.DUMMYFUNCTION("""COMPUTED_VALUE"""),"85o 18' 58""")</f>
        <v>85o 18' 58"</v>
      </c>
      <c r="L6" s="2" t="str">
        <f>IFERROR(__xludf.DUMMYFUNCTION("""COMPUTED_VALUE"""),"85o 19' 40""")</f>
        <v>85o 19' 40"</v>
      </c>
      <c r="M6" s="2" t="str">
        <f>IFERROR(__xludf.DUMMYFUNCTION("""COMPUTED_VALUE"""),"Bhattedanda,Dalchoki,Sankhu (Lalitpur)")</f>
        <v>Bhattedanda,Dalchoki,Sankhu (Lalitpur)</v>
      </c>
    </row>
    <row r="7">
      <c r="A7" s="2">
        <f>IFERROR(__xludf.DUMMYFUNCTION("""COMPUTED_VALUE"""),6.0)</f>
        <v>6</v>
      </c>
      <c r="B7" s="2" t="str">
        <f>IFERROR(__xludf.DUMMYFUNCTION("""COMPUTED_VALUE"""),"Sota Damuka Multipurpose Micro HEP")</f>
        <v>Sota Damuka Multipurpose Micro HEP</v>
      </c>
      <c r="C7" s="2">
        <f>IFERROR(__xludf.DUMMYFUNCTION("""COMPUTED_VALUE"""),0.3)</f>
        <v>0.3</v>
      </c>
      <c r="D7" s="2" t="str">
        <f>IFERROR(__xludf.DUMMYFUNCTION("""COMPUTED_VALUE"""),"Hugdi")</f>
        <v>Hugdi</v>
      </c>
      <c r="E7" s="2">
        <f>IFERROR(__xludf.DUMMYFUNCTION("""COMPUTED_VALUE"""),2479.0)</f>
        <v>2479</v>
      </c>
      <c r="F7" s="7">
        <f>IFERROR(__xludf.DUMMYFUNCTION("""COMPUTED_VALUE"""),64140.0)</f>
        <v>64140</v>
      </c>
      <c r="G7" s="2" t="str">
        <f>IFERROR(__xludf.DUMMYFUNCTION("""COMPUTED_VALUE"""),"Rupakot Bikash Tatha Bidhyut Company Pvt. Ltd")</f>
        <v>Rupakot Bikash Tatha Bidhyut Company Pvt. Ltd</v>
      </c>
      <c r="H7" s="2" t="str">
        <f>IFERROR(__xludf.DUMMYFUNCTION("""COMPUTED_VALUE"""),"Rupakot-5, Damuka Gulmi, 9841204550")</f>
        <v>Rupakot-5, Damuka Gulmi, 9841204550</v>
      </c>
      <c r="I7" s="2" t="str">
        <f>IFERROR(__xludf.DUMMYFUNCTION("""COMPUTED_VALUE"""),"28o 03' 55""")</f>
        <v>28o 03' 55"</v>
      </c>
      <c r="J7" s="2" t="str">
        <f>IFERROR(__xludf.DUMMYFUNCTION("""COMPUTED_VALUE"""),"28o 04' 29""")</f>
        <v>28o 04' 29"</v>
      </c>
      <c r="K7" s="2" t="str">
        <f>IFERROR(__xludf.DUMMYFUNCTION("""COMPUTED_VALUE"""),"83o 21' 35""")</f>
        <v>83o 21' 35"</v>
      </c>
      <c r="L7" s="2" t="str">
        <f>IFERROR(__xludf.DUMMYFUNCTION("""COMPUTED_VALUE"""),"83o 22' 06""")</f>
        <v>83o 22' 06"</v>
      </c>
      <c r="M7" s="2"/>
    </row>
    <row r="8">
      <c r="A8" s="2">
        <f>IFERROR(__xludf.DUMMYFUNCTION("""COMPUTED_VALUE"""),7.0)</f>
        <v>7</v>
      </c>
      <c r="B8" s="2" t="str">
        <f>IFERROR(__xludf.DUMMYFUNCTION("""COMPUTED_VALUE"""),"Ludee Khola Small HEP")</f>
        <v>Ludee Khola Small HEP</v>
      </c>
      <c r="C8" s="2">
        <f>IFERROR(__xludf.DUMMYFUNCTION("""COMPUTED_VALUE"""),0.99)</f>
        <v>0.99</v>
      </c>
      <c r="D8" s="2" t="str">
        <f>IFERROR(__xludf.DUMMYFUNCTION("""COMPUTED_VALUE"""),"Ludi")</f>
        <v>Ludi</v>
      </c>
      <c r="E8" s="2">
        <f>IFERROR(__xludf.DUMMYFUNCTION("""COMPUTED_VALUE"""),2648.0)</f>
        <v>2648</v>
      </c>
      <c r="F8" s="7">
        <f>IFERROR(__xludf.DUMMYFUNCTION("""COMPUTED_VALUE"""),64145.0)</f>
        <v>64145</v>
      </c>
      <c r="G8" s="2" t="str">
        <f>IFERROR(__xludf.DUMMYFUNCTION("""COMPUTED_VALUE"""),"Advance Power Development Centre Pvt. Ltd( Sahid Lakhan Gaupalika)")</f>
        <v>Advance Power Development Centre Pvt. Ltd( Sahid Lakhan Gaupalika)</v>
      </c>
      <c r="H8" s="2" t="str">
        <f>IFERROR(__xludf.DUMMYFUNCTION("""COMPUTED_VALUE"""),"Shankhamul Marga, New Baneshwor, 01-4780505")</f>
        <v>Shankhamul Marga, New Baneshwor, 01-4780505</v>
      </c>
      <c r="I8" s="2" t="str">
        <f>IFERROR(__xludf.DUMMYFUNCTION("""COMPUTED_VALUE"""),"27o 57' 00""")</f>
        <v>27o 57' 00"</v>
      </c>
      <c r="J8" s="2" t="str">
        <f>IFERROR(__xludf.DUMMYFUNCTION("""COMPUTED_VALUE"""),"27o 57' 26""")</f>
        <v>27o 57' 26"</v>
      </c>
      <c r="K8" s="2" t="str">
        <f>IFERROR(__xludf.DUMMYFUNCTION("""COMPUTED_VALUE"""),"84o 35' 47""")</f>
        <v>84o 35' 47"</v>
      </c>
      <c r="L8" s="2" t="str">
        <f>IFERROR(__xludf.DUMMYFUNCTION("""COMPUTED_VALUE"""),"84o 36' 30""")</f>
        <v>84o 36' 30"</v>
      </c>
      <c r="M8" s="2"/>
    </row>
    <row r="9">
      <c r="A9" s="2">
        <f>IFERROR(__xludf.DUMMYFUNCTION("""COMPUTED_VALUE"""),8.0)</f>
        <v>8</v>
      </c>
      <c r="B9" s="2" t="str">
        <f>IFERROR(__xludf.DUMMYFUNCTION("""COMPUTED_VALUE"""),"Ribal Khola Small HEP")</f>
        <v>Ribal Khola Small HEP</v>
      </c>
      <c r="C9" s="2">
        <f>IFERROR(__xludf.DUMMYFUNCTION("""COMPUTED_VALUE"""),0.998)</f>
        <v>0.998</v>
      </c>
      <c r="D9" s="2" t="str">
        <f>IFERROR(__xludf.DUMMYFUNCTION("""COMPUTED_VALUE"""),"Ribal")</f>
        <v>Ribal</v>
      </c>
      <c r="E9" s="2">
        <f>IFERROR(__xludf.DUMMYFUNCTION("""COMPUTED_VALUE"""),3916.0)</f>
        <v>3916</v>
      </c>
      <c r="F9" s="7">
        <f>IFERROR(__xludf.DUMMYFUNCTION("""COMPUTED_VALUE"""),64201.0)</f>
        <v>64201</v>
      </c>
      <c r="G9" s="2" t="str">
        <f>IFERROR(__xludf.DUMMYFUNCTION("""COMPUTED_VALUE"""),"Melamchi Hydro Pvt. Ltd")</f>
        <v>Melamchi Hydro Pvt. Ltd</v>
      </c>
      <c r="H9" s="2" t="str">
        <f>IFERROR(__xludf.DUMMYFUNCTION("""COMPUTED_VALUE"""),"Kathmandu-6, Baudha")</f>
        <v>Kathmandu-6, Baudha</v>
      </c>
      <c r="I9" s="2" t="str">
        <f>IFERROR(__xludf.DUMMYFUNCTION("""COMPUTED_VALUE"""),"27o 58' 56""")</f>
        <v>27o 58' 56"</v>
      </c>
      <c r="J9" s="2" t="str">
        <f>IFERROR(__xludf.DUMMYFUNCTION("""COMPUTED_VALUE"""),"27o 59' 22""")</f>
        <v>27o 59' 22"</v>
      </c>
      <c r="K9" s="2" t="str">
        <f>IFERROR(__xludf.DUMMYFUNCTION("""COMPUTED_VALUE"""),"85o 30' 51""")</f>
        <v>85o 30' 51"</v>
      </c>
      <c r="L9" s="2" t="str">
        <f>IFERROR(__xludf.DUMMYFUNCTION("""COMPUTED_VALUE"""),"85o 32' 03""")</f>
        <v>85o 32' 03"</v>
      </c>
      <c r="M9" s="2" t="str">
        <f>IFERROR(__xludf.DUMMYFUNCTION("""COMPUTED_VALUE"""),"Kiwool (Sindhupalchok)")</f>
        <v>Kiwool (Sindhupalchok)</v>
      </c>
    </row>
    <row r="10">
      <c r="A10" s="2">
        <f>IFERROR(__xludf.DUMMYFUNCTION("""COMPUTED_VALUE"""),9.0)</f>
        <v>9</v>
      </c>
      <c r="B10" s="2" t="str">
        <f>IFERROR(__xludf.DUMMYFUNCTION("""COMPUTED_VALUE"""),"Sani Bheri Uttar Ganga Mini HEP")</f>
        <v>Sani Bheri Uttar Ganga Mini HEP</v>
      </c>
      <c r="C10" s="2">
        <f>IFERROR(__xludf.DUMMYFUNCTION("""COMPUTED_VALUE"""),0.998)</f>
        <v>0.998</v>
      </c>
      <c r="D10" s="2" t="str">
        <f>IFERROR(__xludf.DUMMYFUNCTION("""COMPUTED_VALUE"""),"Uttar Ganga")</f>
        <v>Uttar Ganga</v>
      </c>
      <c r="E10" s="2">
        <f>IFERROR(__xludf.DUMMYFUNCTION("""COMPUTED_VALUE"""),4096.0)</f>
        <v>4096</v>
      </c>
      <c r="F10" s="7">
        <f>IFERROR(__xludf.DUMMYFUNCTION("""COMPUTED_VALUE"""),64209.0)</f>
        <v>64209</v>
      </c>
      <c r="G10" s="2" t="str">
        <f>IFERROR(__xludf.DUMMYFUNCTION("""COMPUTED_VALUE"""),"Rukumeli Sahid Smriti Gramin Jalbidhyut Sahakari Sanstha Limited")</f>
        <v>Rukumeli Sahid Smriti Gramin Jalbidhyut Sahakari Sanstha Limited</v>
      </c>
      <c r="H10" s="2" t="str">
        <f>IFERROR(__xludf.DUMMYFUNCTION("""COMPUTED_VALUE"""),"Rukum")</f>
        <v>Rukum</v>
      </c>
      <c r="I10" s="2" t="str">
        <f>IFERROR(__xludf.DUMMYFUNCTION("""COMPUTED_VALUE"""),"28o 34' 30""")</f>
        <v>28o 34' 30"</v>
      </c>
      <c r="J10" s="2" t="str">
        <f>IFERROR(__xludf.DUMMYFUNCTION("""COMPUTED_VALUE"""),"28o 35' 10""")</f>
        <v>28o 35' 10"</v>
      </c>
      <c r="K10" s="2" t="str">
        <f>IFERROR(__xludf.DUMMYFUNCTION("""COMPUTED_VALUE"""),"82o 48' 50""")</f>
        <v>82o 48' 50"</v>
      </c>
      <c r="L10" s="2" t="str">
        <f>IFERROR(__xludf.DUMMYFUNCTION("""COMPUTED_VALUE"""),"82o 49' 20""")</f>
        <v>82o 49' 20"</v>
      </c>
      <c r="M10" s="2" t="str">
        <f>IFERROR(__xludf.DUMMYFUNCTION("""COMPUTED_VALUE"""),"Taksera (Rukum)")</f>
        <v>Taksera (Rukum)</v>
      </c>
    </row>
    <row r="11">
      <c r="A11" s="2">
        <f>IFERROR(__xludf.DUMMYFUNCTION("""COMPUTED_VALUE"""),10.0)</f>
        <v>10</v>
      </c>
      <c r="B11" s="2" t="str">
        <f>IFERROR(__xludf.DUMMYFUNCTION("""COMPUTED_VALUE"""),"Chipli Khola Small HEP")</f>
        <v>Chipli Khola Small HEP</v>
      </c>
      <c r="C11" s="2">
        <f>IFERROR(__xludf.DUMMYFUNCTION("""COMPUTED_VALUE"""),0.595)</f>
        <v>0.595</v>
      </c>
      <c r="D11" s="2" t="str">
        <f>IFERROR(__xludf.DUMMYFUNCTION("""COMPUTED_VALUE"""),"Chipli Khola")</f>
        <v>Chipli Khola</v>
      </c>
      <c r="E11" s="2">
        <f>IFERROR(__xludf.DUMMYFUNCTION("""COMPUTED_VALUE"""),8861.0)</f>
        <v>8861</v>
      </c>
      <c r="F11" s="7">
        <f>IFERROR(__xludf.DUMMYFUNCTION("""COMPUTED_VALUE"""),64366.0)</f>
        <v>64366</v>
      </c>
      <c r="G11" s="2" t="str">
        <f>IFERROR(__xludf.DUMMYFUNCTION("""COMPUTED_VALUE"""),"Natural Construction Pvt. Ltd")</f>
        <v>Natural Construction Pvt. Ltd</v>
      </c>
      <c r="H11" s="2" t="str">
        <f>IFERROR(__xludf.DUMMYFUNCTION("""COMPUTED_VALUE"""),"Pokhara-6, Baidam")</f>
        <v>Pokhara-6, Baidam</v>
      </c>
      <c r="I11" s="2" t="str">
        <f>IFERROR(__xludf.DUMMYFUNCTION("""COMPUTED_VALUE"""),"28o 19' 06""")</f>
        <v>28o 19' 06"</v>
      </c>
      <c r="J11" s="2" t="str">
        <f>IFERROR(__xludf.DUMMYFUNCTION("""COMPUTED_VALUE"""),"28o 19' 34""")</f>
        <v>28o 19' 34"</v>
      </c>
      <c r="K11" s="2" t="str">
        <f>IFERROR(__xludf.DUMMYFUNCTION("""COMPUTED_VALUE"""),"84o 04' 50""")</f>
        <v>84o 04' 50"</v>
      </c>
      <c r="L11" s="2" t="str">
        <f>IFERROR(__xludf.DUMMYFUNCTION("""COMPUTED_VALUE"""),"84o 05' 24""")</f>
        <v>84o 05' 24"</v>
      </c>
      <c r="M11" s="2"/>
    </row>
    <row r="12">
      <c r="A12" s="2">
        <f>IFERROR(__xludf.DUMMYFUNCTION("""COMPUTED_VALUE"""),11.0)</f>
        <v>11</v>
      </c>
      <c r="B12" s="2" t="str">
        <f>IFERROR(__xludf.DUMMYFUNCTION("""COMPUTED_VALUE"""),"Kisedi Khola Hydropower Project")</f>
        <v>Kisedi Khola Hydropower Project</v>
      </c>
      <c r="C12" s="2">
        <f>IFERROR(__xludf.DUMMYFUNCTION("""COMPUTED_VALUE"""),0.998)</f>
        <v>0.998</v>
      </c>
      <c r="D12" s="2" t="str">
        <f>IFERROR(__xludf.DUMMYFUNCTION("""COMPUTED_VALUE"""),"Kisedi Khola")</f>
        <v>Kisedi Khola</v>
      </c>
      <c r="E12" s="2">
        <f>IFERROR(__xludf.DUMMYFUNCTION("""COMPUTED_VALUE"""),1894.0)</f>
        <v>1894</v>
      </c>
      <c r="F12" s="7">
        <f>IFERROR(__xludf.DUMMYFUNCTION("""COMPUTED_VALUE"""),64438.0)</f>
        <v>64438</v>
      </c>
      <c r="G12" s="2" t="str">
        <f>IFERROR(__xludf.DUMMYFUNCTION("""COMPUTED_VALUE"""),"CEDB Hydropower Development Company Limited ( Dordi Rural Municipality)")</f>
        <v>CEDB Hydropower Development Company Limited ( Dordi Rural Municipality)</v>
      </c>
      <c r="H12" s="2" t="str">
        <f>IFERROR(__xludf.DUMMYFUNCTION("""COMPUTED_VALUE"""),"Bluestar Complex, Tripureshwor Kathmandu")</f>
        <v>Bluestar Complex, Tripureshwor Kathmandu</v>
      </c>
      <c r="I12" s="2" t="str">
        <f>IFERROR(__xludf.DUMMYFUNCTION("""COMPUTED_VALUE"""),"28o 11' 47""")</f>
        <v>28o 11' 47"</v>
      </c>
      <c r="J12" s="2" t="str">
        <f>IFERROR(__xludf.DUMMYFUNCTION("""COMPUTED_VALUE"""),"28o 12' 34""")</f>
        <v>28o 12' 34"</v>
      </c>
      <c r="K12" s="2" t="str">
        <f>IFERROR(__xludf.DUMMYFUNCTION("""COMPUTED_VALUE"""),"84o 30' 52""")</f>
        <v>84o 30' 52"</v>
      </c>
      <c r="L12" s="2" t="str">
        <f>IFERROR(__xludf.DUMMYFUNCTION("""COMPUTED_VALUE"""),"84o 31' 28""")</f>
        <v>84o 31' 28"</v>
      </c>
      <c r="M12" s="2" t="str">
        <f>IFERROR(__xludf.DUMMYFUNCTION("""COMPUTED_VALUE"""),"Pachok (Lamjung)")</f>
        <v>Pachok (Lamjung)</v>
      </c>
    </row>
    <row r="13">
      <c r="A13" s="2">
        <f>IFERROR(__xludf.DUMMYFUNCTION("""COMPUTED_VALUE"""),12.0)</f>
        <v>12</v>
      </c>
      <c r="B13" s="2" t="str">
        <f>IFERROR(__xludf.DUMMYFUNCTION("""COMPUTED_VALUE"""),"Monjo Khola Mini HEP")</f>
        <v>Monjo Khola Mini HEP</v>
      </c>
      <c r="C13" s="2">
        <f>IFERROR(__xludf.DUMMYFUNCTION("""COMPUTED_VALUE"""),0.593)</f>
        <v>0.593</v>
      </c>
      <c r="D13" s="2" t="str">
        <f>IFERROR(__xludf.DUMMYFUNCTION("""COMPUTED_VALUE"""),"Monjo")</f>
        <v>Monjo</v>
      </c>
      <c r="E13" s="2">
        <f>IFERROR(__xludf.DUMMYFUNCTION("""COMPUTED_VALUE"""),4626.0)</f>
        <v>4626</v>
      </c>
      <c r="F13" s="7">
        <f>IFERROR(__xludf.DUMMYFUNCTION("""COMPUTED_VALUE"""),64516.0)</f>
        <v>64516</v>
      </c>
      <c r="G13" s="2" t="str">
        <f>IFERROR(__xludf.DUMMYFUNCTION("""COMPUTED_VALUE"""),"Khumbu Pasanglhamu Rural Municipality ( Monjo Khola Mini Hydro Pvt. Ltd)")</f>
        <v>Khumbu Pasanglhamu Rural Municipality ( Monjo Khola Mini Hydro Pvt. Ltd)</v>
      </c>
      <c r="H13" s="2" t="str">
        <f>IFERROR(__xludf.DUMMYFUNCTION("""COMPUTED_VALUE"""),"Solukhumbu")</f>
        <v>Solukhumbu</v>
      </c>
      <c r="I13" s="2" t="str">
        <f>IFERROR(__xludf.DUMMYFUNCTION("""COMPUTED_VALUE"""),"27o 46' 00""")</f>
        <v>27o 46' 00"</v>
      </c>
      <c r="J13" s="2" t="str">
        <f>IFERROR(__xludf.DUMMYFUNCTION("""COMPUTED_VALUE"""),"27o 46' 30""")</f>
        <v>27o 46' 30"</v>
      </c>
      <c r="K13" s="2" t="str">
        <f>IFERROR(__xludf.DUMMYFUNCTION("""COMPUTED_VALUE"""),"86o 43' 20""")</f>
        <v>86o 43' 20"</v>
      </c>
      <c r="L13" s="2" t="str">
        <f>IFERROR(__xludf.DUMMYFUNCTION("""COMPUTED_VALUE"""),"86o 44' 30""")</f>
        <v>86o 44' 30"</v>
      </c>
      <c r="M13" s="2"/>
    </row>
    <row r="14">
      <c r="A14" s="2">
        <f>IFERROR(__xludf.DUMMYFUNCTION("""COMPUTED_VALUE"""),13.0)</f>
        <v>13</v>
      </c>
      <c r="B14" s="2" t="str">
        <f>IFERROR(__xludf.DUMMYFUNCTION("""COMPUTED_VALUE"""),"Aankhe Khola Small HEP")</f>
        <v>Aankhe Khola Small HEP</v>
      </c>
      <c r="C14" s="2">
        <f>IFERROR(__xludf.DUMMYFUNCTION("""COMPUTED_VALUE"""),0.75)</f>
        <v>0.75</v>
      </c>
      <c r="D14" s="2" t="str">
        <f>IFERROR(__xludf.DUMMYFUNCTION("""COMPUTED_VALUE"""),"Aankhe Khla")</f>
        <v>Aankhe Khla</v>
      </c>
      <c r="E14" s="2">
        <f>IFERROR(__xludf.DUMMYFUNCTION("""COMPUTED_VALUE"""),2759.0)</f>
        <v>2759</v>
      </c>
      <c r="F14" s="7">
        <f>IFERROR(__xludf.DUMMYFUNCTION("""COMPUTED_VALUE"""),64877.0)</f>
        <v>64877</v>
      </c>
      <c r="G14" s="2" t="str">
        <f>IFERROR(__xludf.DUMMYFUNCTION("""COMPUTED_VALUE"""),"Thuli Bher Municipality (Aankhe Khola Mini Hydro User Committee)")</f>
        <v>Thuli Bher Municipality (Aankhe Khola Mini Hydro User Committee)</v>
      </c>
      <c r="H14" s="2" t="str">
        <f>IFERROR(__xludf.DUMMYFUNCTION("""COMPUTED_VALUE"""),"Juphal Dolpa")</f>
        <v>Juphal Dolpa</v>
      </c>
      <c r="I14" s="2" t="str">
        <f>IFERROR(__xludf.DUMMYFUNCTION("""COMPUTED_VALUE"""),"29o 02' 29""")</f>
        <v>29o 02' 29"</v>
      </c>
      <c r="J14" s="2" t="str">
        <f>IFERROR(__xludf.DUMMYFUNCTION("""COMPUTED_VALUE"""),"29o 02' 36""")</f>
        <v>29o 02' 36"</v>
      </c>
      <c r="K14" s="2" t="str">
        <f>IFERROR(__xludf.DUMMYFUNCTION("""COMPUTED_VALUE"""),"82o 54' 12""")</f>
        <v>82o 54' 12"</v>
      </c>
      <c r="L14" s="2" t="str">
        <f>IFERROR(__xludf.DUMMYFUNCTION("""COMPUTED_VALUE"""),"82o 54' 40""")</f>
        <v>82o 54' 40"</v>
      </c>
      <c r="M14" s="2" t="str">
        <f>IFERROR(__xludf.DUMMYFUNCTION("""COMPUTED_VALUE"""),"Tripurakot,Lawan (Dolpa)")</f>
        <v>Tripurakot,Lawan (Dolpa)</v>
      </c>
    </row>
    <row r="15">
      <c r="A15" s="2">
        <f>IFERROR(__xludf.DUMMYFUNCTION("""COMPUTED_VALUE"""),14.0)</f>
        <v>14</v>
      </c>
      <c r="B15" s="2" t="str">
        <f>IFERROR(__xludf.DUMMYFUNCTION("""COMPUTED_VALUE"""),"Dhachunkot Khola HEP")</f>
        <v>Dhachunkot Khola HEP</v>
      </c>
      <c r="C15" s="2">
        <f>IFERROR(__xludf.DUMMYFUNCTION("""COMPUTED_VALUE"""),0.424)</f>
        <v>0.424</v>
      </c>
      <c r="D15" s="2" t="str">
        <f>IFERROR(__xludf.DUMMYFUNCTION("""COMPUTED_VALUE"""),"Dhanchukot")</f>
        <v>Dhanchukot</v>
      </c>
      <c r="E15" s="2">
        <f>IFERROR(__xludf.DUMMYFUNCTION("""COMPUTED_VALUE"""),3258.0)</f>
        <v>3258</v>
      </c>
      <c r="F15" s="7">
        <f>IFERROR(__xludf.DUMMYFUNCTION("""COMPUTED_VALUE"""),64899.0)</f>
        <v>64899</v>
      </c>
      <c r="G15" s="2" t="str">
        <f>IFERROR(__xludf.DUMMYFUNCTION("""COMPUTED_VALUE"""),"Naraharinath Rural Municipality")</f>
        <v>Naraharinath Rural Municipality</v>
      </c>
      <c r="H15" s="2" t="str">
        <f>IFERROR(__xludf.DUMMYFUNCTION("""COMPUTED_VALUE"""),"Kumalgaun, Kalikot")</f>
        <v>Kumalgaun, Kalikot</v>
      </c>
      <c r="I15" s="2" t="str">
        <f>IFERROR(__xludf.DUMMYFUNCTION("""COMPUTED_VALUE"""),"29o 11' 33""")</f>
        <v>29o 11' 33"</v>
      </c>
      <c r="J15" s="2" t="str">
        <f>IFERROR(__xludf.DUMMYFUNCTION("""COMPUTED_VALUE"""),"29o 11' 45""")</f>
        <v>29o 11' 45"</v>
      </c>
      <c r="K15" s="2" t="str">
        <f>IFERROR(__xludf.DUMMYFUNCTION("""COMPUTED_VALUE"""),"81o 32' 16""")</f>
        <v>81o 32' 16"</v>
      </c>
      <c r="L15" s="2" t="str">
        <f>IFERROR(__xludf.DUMMYFUNCTION("""COMPUTED_VALUE"""),"81o 32' 52""")</f>
        <v>81o 32' 52"</v>
      </c>
      <c r="M15" s="2"/>
    </row>
    <row r="16">
      <c r="A16" s="2">
        <f>IFERROR(__xludf.DUMMYFUNCTION("""COMPUTED_VALUE"""),15.0)</f>
        <v>15</v>
      </c>
      <c r="B16" s="2" t="str">
        <f>IFERROR(__xludf.DUMMYFUNCTION("""COMPUTED_VALUE"""),"Tila Mini HEP")</f>
        <v>Tila Mini HEP</v>
      </c>
      <c r="C16" s="2">
        <f>IFERROR(__xludf.DUMMYFUNCTION("""COMPUTED_VALUE"""),0.951)</f>
        <v>0.951</v>
      </c>
      <c r="D16" s="2" t="str">
        <f>IFERROR(__xludf.DUMMYFUNCTION("""COMPUTED_VALUE"""),"Tila")</f>
        <v>Tila</v>
      </c>
      <c r="E16" s="2">
        <f>IFERROR(__xludf.DUMMYFUNCTION("""COMPUTED_VALUE"""),5000.0)</f>
        <v>5000</v>
      </c>
      <c r="F16" s="7">
        <f>IFERROR(__xludf.DUMMYFUNCTION("""COMPUTED_VALUE"""),64935.0)</f>
        <v>64935</v>
      </c>
      <c r="G16" s="2" t="str">
        <f>IFERROR(__xludf.DUMMYFUNCTION("""COMPUTED_VALUE"""),"Tila Rural Municipality")</f>
        <v>Tila Rural Municipality</v>
      </c>
      <c r="H16" s="2" t="str">
        <f>IFERROR(__xludf.DUMMYFUNCTION("""COMPUTED_VALUE"""),"Karnali Province, Jumla")</f>
        <v>Karnali Province, Jumla</v>
      </c>
      <c r="I16" s="2" t="str">
        <f>IFERROR(__xludf.DUMMYFUNCTION("""COMPUTED_VALUE"""),"29o 12' 27""")</f>
        <v>29o 12' 27"</v>
      </c>
      <c r="J16" s="2" t="str">
        <f>IFERROR(__xludf.DUMMYFUNCTION("""COMPUTED_VALUE"""),"29o 12' 57""")</f>
        <v>29o 12' 57"</v>
      </c>
      <c r="K16" s="2" t="str">
        <f>IFERROR(__xludf.DUMMYFUNCTION("""COMPUTED_VALUE"""),"81o 55' 44""")</f>
        <v>81o 55' 44"</v>
      </c>
      <c r="L16" s="2" t="str">
        <f>IFERROR(__xludf.DUMMYFUNCTION("""COMPUTED_VALUE"""),"81o 56' 13""")</f>
        <v>81o 56' 13"</v>
      </c>
      <c r="M16" s="2"/>
    </row>
    <row r="17">
      <c r="A17" s="2">
        <f>IFERROR(__xludf.DUMMYFUNCTION("""COMPUTED_VALUE"""),16.0)</f>
        <v>16</v>
      </c>
      <c r="B17" s="2" t="str">
        <f>IFERROR(__xludf.DUMMYFUNCTION("""COMPUTED_VALUE"""),"Darim Gad HEP")</f>
        <v>Darim Gad HEP</v>
      </c>
      <c r="C17" s="2">
        <f>IFERROR(__xludf.DUMMYFUNCTION("""COMPUTED_VALUE"""),0.4)</f>
        <v>0.4</v>
      </c>
      <c r="D17" s="2" t="str">
        <f>IFERROR(__xludf.DUMMYFUNCTION("""COMPUTED_VALUE"""),"Darim Gad")</f>
        <v>Darim Gad</v>
      </c>
      <c r="E17" s="2">
        <f>IFERROR(__xludf.DUMMYFUNCTION("""COMPUTED_VALUE"""),2102.0)</f>
        <v>2102</v>
      </c>
      <c r="F17" s="7">
        <f>IFERROR(__xludf.DUMMYFUNCTION("""COMPUTED_VALUE"""),65186.0)</f>
        <v>65186</v>
      </c>
      <c r="G17" s="2" t="str">
        <f>IFERROR(__xludf.DUMMYFUNCTION("""COMPUTED_VALUE"""),"Sanigad Hydro Pvt. Ltd. Via Bungal Municipality Bajhang")</f>
        <v>Sanigad Hydro Pvt. Ltd. Via Bungal Municipality Bajhang</v>
      </c>
      <c r="H17" s="2" t="str">
        <f>IFERROR(__xludf.DUMMYFUNCTION("""COMPUTED_VALUE"""),"Kalanga Complex, Dhobighat, Lalitpur")</f>
        <v>Kalanga Complex, Dhobighat, Lalitpur</v>
      </c>
      <c r="I17" s="2" t="str">
        <f>IFERROR(__xludf.DUMMYFUNCTION("""COMPUTED_VALUE"""),"29o 37' 57""")</f>
        <v>29o 37' 57"</v>
      </c>
      <c r="J17" s="2" t="str">
        <f>IFERROR(__xludf.DUMMYFUNCTION("""COMPUTED_VALUE"""),"29o 38' 20""")</f>
        <v>29o 38' 20"</v>
      </c>
      <c r="K17" s="2" t="str">
        <f>IFERROR(__xludf.DUMMYFUNCTION("""COMPUTED_VALUE"""),"80o 54' 33""")</f>
        <v>80o 54' 33"</v>
      </c>
      <c r="L17" s="2" t="str">
        <f>IFERROR(__xludf.DUMMYFUNCTION("""COMPUTED_VALUE"""),"80o 54' 44""")</f>
        <v>80o 54' 44"</v>
      </c>
      <c r="M17" s="2" t="str">
        <f>IFERROR(__xludf.DUMMYFUNCTION("""COMPUTED_VALUE"""),"Dahabagar (Bajhang)")</f>
        <v>Dahabagar (Bajhang)</v>
      </c>
    </row>
    <row r="18">
      <c r="A18" s="2">
        <f>IFERROR(__xludf.DUMMYFUNCTION("""COMPUTED_VALUE"""),17.0)</f>
        <v>17</v>
      </c>
      <c r="B18" s="2" t="str">
        <f>IFERROR(__xludf.DUMMYFUNCTION("""COMPUTED_VALUE"""),"Ghatte Khola Hydroelectric Project")</f>
        <v>Ghatte Khola Hydroelectric Project</v>
      </c>
      <c r="C18" s="2">
        <f>IFERROR(__xludf.DUMMYFUNCTION("""COMPUTED_VALUE"""),0.905)</f>
        <v>0.905</v>
      </c>
      <c r="D18" s="2" t="str">
        <f>IFERROR(__xludf.DUMMYFUNCTION("""COMPUTED_VALUE"""),"Ghatte Khola (Daraudi)")</f>
        <v>Ghatte Khola (Daraudi)</v>
      </c>
      <c r="E18" s="2">
        <f>IFERROR(__xludf.DUMMYFUNCTION("""COMPUTED_VALUE"""),8774.0)</f>
        <v>8774</v>
      </c>
      <c r="F18" s="7">
        <f>IFERROR(__xludf.DUMMYFUNCTION("""COMPUTED_VALUE"""),65447.0)</f>
        <v>65447</v>
      </c>
      <c r="G18" s="2" t="str">
        <f>IFERROR(__xludf.DUMMYFUNCTION("""COMPUTED_VALUE"""),"Barpak Mini Hydropower Pvt. Ltd.")</f>
        <v>Barpak Mini Hydropower Pvt. Ltd.</v>
      </c>
      <c r="H18" s="2" t="str">
        <f>IFERROR(__xludf.DUMMYFUNCTION("""COMPUTED_VALUE"""),"Chandole - 4, Kathmandu, Nepal")</f>
        <v>Chandole - 4, Kathmandu, Nepal</v>
      </c>
      <c r="I18" s="2" t="str">
        <f>IFERROR(__xludf.DUMMYFUNCTION("""COMPUTED_VALUE"""),"28o 11' 20""")</f>
        <v>28o 11' 20"</v>
      </c>
      <c r="J18" s="2" t="str">
        <f>IFERROR(__xludf.DUMMYFUNCTION("""COMPUTED_VALUE"""),"28o 11' 45""")</f>
        <v>28o 11' 45"</v>
      </c>
      <c r="K18" s="2" t="str">
        <f>IFERROR(__xludf.DUMMYFUNCTION("""COMPUTED_VALUE"""),"84o 44' 20""")</f>
        <v>84o 44' 20"</v>
      </c>
      <c r="L18" s="2" t="str">
        <f>IFERROR(__xludf.DUMMYFUNCTION("""COMPUTED_VALUE"""),"84o 44' 51""")</f>
        <v>84o 44' 51"</v>
      </c>
      <c r="M18" s="2"/>
    </row>
    <row r="19">
      <c r="A19" s="2">
        <f>IFERROR(__xludf.DUMMYFUNCTION("""COMPUTED_VALUE"""),18.0)</f>
        <v>18</v>
      </c>
      <c r="B19" s="2" t="str">
        <f>IFERROR(__xludf.DUMMYFUNCTION("""COMPUTED_VALUE"""),"Lower Gamgad Mini Hydropower Project")</f>
        <v>Lower Gamgad Mini Hydropower Project</v>
      </c>
      <c r="C19" s="2">
        <f>IFERROR(__xludf.DUMMYFUNCTION("""COMPUTED_VALUE"""),0.941)</f>
        <v>0.941</v>
      </c>
      <c r="D19" s="2" t="str">
        <f>IFERROR(__xludf.DUMMYFUNCTION("""COMPUTED_VALUE"""),"Gamgad")</f>
        <v>Gamgad</v>
      </c>
      <c r="E19" s="2">
        <f>IFERROR(__xludf.DUMMYFUNCTION("""COMPUTED_VALUE"""),9188.0)</f>
        <v>9188</v>
      </c>
      <c r="F19" s="7">
        <f>IFERROR(__xludf.DUMMYFUNCTION("""COMPUTED_VALUE"""),65460.0)</f>
        <v>65460</v>
      </c>
      <c r="G19" s="2" t="str">
        <f>IFERROR(__xludf.DUMMYFUNCTION("""COMPUTED_VALUE"""),"Gaheldev Bidhyut Sakari Sanstha Limited")</f>
        <v>Gaheldev Bidhyut Sakari Sanstha Limited</v>
      </c>
      <c r="H19" s="2" t="str">
        <f>IFERROR(__xludf.DUMMYFUNCTION("""COMPUTED_VALUE"""),"Chhayanath Rara Municipality - 1 , Mugu")</f>
        <v>Chhayanath Rara Municipality - 1 , Mugu</v>
      </c>
      <c r="I19" s="2" t="str">
        <f>IFERROR(__xludf.DUMMYFUNCTION("""COMPUTED_VALUE"""),"29o 31' 38""")</f>
        <v>29o 31' 38"</v>
      </c>
      <c r="J19" s="2" t="str">
        <f>IFERROR(__xludf.DUMMYFUNCTION("""COMPUTED_VALUE"""),"29o 33' 00""")</f>
        <v>29o 33' 00"</v>
      </c>
      <c r="K19" s="2" t="str">
        <f>IFERROR(__xludf.DUMMYFUNCTION("""COMPUTED_VALUE"""),"82o 09' 34""")</f>
        <v>82o 09' 34"</v>
      </c>
      <c r="L19" s="2" t="str">
        <f>IFERROR(__xludf.DUMMYFUNCTION("""COMPUTED_VALUE"""),"82o 10' 14""")</f>
        <v>82o 10' 14"</v>
      </c>
      <c r="M19" s="2"/>
    </row>
    <row r="20">
      <c r="A20" s="2">
        <f>IFERROR(__xludf.DUMMYFUNCTION("""COMPUTED_VALUE"""),19.0)</f>
        <v>19</v>
      </c>
      <c r="B20" s="2" t="str">
        <f>IFERROR(__xludf.DUMMYFUNCTION("""COMPUTED_VALUE"""),"Nwagad Small Hydropower Project")</f>
        <v>Nwagad Small Hydropower Project</v>
      </c>
      <c r="C20" s="2">
        <f>IFERROR(__xludf.DUMMYFUNCTION("""COMPUTED_VALUE"""),0.999)</f>
        <v>0.999</v>
      </c>
      <c r="D20" s="2" t="str">
        <f>IFERROR(__xludf.DUMMYFUNCTION("""COMPUTED_VALUE"""),"Nwa Gad")</f>
        <v>Nwa Gad</v>
      </c>
      <c r="E20" s="2">
        <f>IFERROR(__xludf.DUMMYFUNCTION("""COMPUTED_VALUE"""),4573.0)</f>
        <v>4573</v>
      </c>
      <c r="F20" s="7">
        <f>IFERROR(__xludf.DUMMYFUNCTION("""COMPUTED_VALUE"""),65671.0)</f>
        <v>65671</v>
      </c>
      <c r="G20" s="2" t="str">
        <f>IFERROR(__xludf.DUMMYFUNCTION("""COMPUTED_VALUE"""),"Marma Power Company Pvt. Ltd.")</f>
        <v>Marma Power Company Pvt. Ltd.</v>
      </c>
      <c r="H20" s="2" t="str">
        <f>IFERROR(__xludf.DUMMYFUNCTION("""COMPUTED_VALUE"""),"Kathmandu Metropolitan City - 10, Kathmandu")</f>
        <v>Kathmandu Metropolitan City - 10, Kathmandu</v>
      </c>
      <c r="I20" s="2" t="str">
        <f>IFERROR(__xludf.DUMMYFUNCTION("""COMPUTED_VALUE"""),"29o 44' 00""")</f>
        <v>29o 44' 00"</v>
      </c>
      <c r="J20" s="2" t="str">
        <f>IFERROR(__xludf.DUMMYFUNCTION("""COMPUTED_VALUE"""),"29o 44' 42""")</f>
        <v>29o 44' 42"</v>
      </c>
      <c r="K20" s="2" t="str">
        <f>IFERROR(__xludf.DUMMYFUNCTION("""COMPUTED_VALUE"""),"80o 48' 15""")</f>
        <v>80o 48' 15"</v>
      </c>
      <c r="L20" s="2" t="str">
        <f>IFERROR(__xludf.DUMMYFUNCTION("""COMPUTED_VALUE"""),"80o 49' 00""")</f>
        <v>80o 49' 00"</v>
      </c>
      <c r="M20" s="2" t="str">
        <f>IFERROR(__xludf.DUMMYFUNCTION("""COMPUTED_VALUE"""),"Latinath (Darchula)")</f>
        <v>Latinath (Darchula)</v>
      </c>
    </row>
    <row r="21">
      <c r="A21" s="2">
        <f>IFERROR(__xludf.DUMMYFUNCTION("""COMPUTED_VALUE"""),20.0)</f>
        <v>20</v>
      </c>
      <c r="B21" s="2" t="str">
        <f>IFERROR(__xludf.DUMMYFUNCTION("""COMPUTED_VALUE"""),"Jhakre Khola - 2 Hydropower Project")</f>
        <v>Jhakre Khola - 2 Hydropower Project</v>
      </c>
      <c r="C21" s="2">
        <f>IFERROR(__xludf.DUMMYFUNCTION("""COMPUTED_VALUE"""),0.995)</f>
        <v>0.995</v>
      </c>
      <c r="D21" s="2" t="str">
        <f>IFERROR(__xludf.DUMMYFUNCTION("""COMPUTED_VALUE"""),"Jhakre Khola")</f>
        <v>Jhakre Khola</v>
      </c>
      <c r="E21" s="2">
        <f>IFERROR(__xludf.DUMMYFUNCTION("""COMPUTED_VALUE"""),3400.0)</f>
        <v>3400</v>
      </c>
      <c r="F21" s="7">
        <f>IFERROR(__xludf.DUMMYFUNCTION("""COMPUTED_VALUE"""),66006.0)</f>
        <v>66006</v>
      </c>
      <c r="G21" s="2" t="str">
        <f>IFERROR(__xludf.DUMMYFUNCTION("""COMPUTED_VALUE"""),"Tamakoshi RM (Khimti Rural Electric Co-Operative Limited)")</f>
        <v>Tamakoshi RM (Khimti Rural Electric Co-Operative Limited)</v>
      </c>
      <c r="H21" s="2" t="str">
        <f>IFERROR(__xludf.DUMMYFUNCTION("""COMPUTED_VALUE"""),"Tamakoshi - 5, Kirnetar, Dolakha")</f>
        <v>Tamakoshi - 5, Kirnetar, Dolakha</v>
      </c>
      <c r="I21" s="2" t="str">
        <f>IFERROR(__xludf.DUMMYFUNCTION("""COMPUTED_VALUE"""),"27o 33' 57""")</f>
        <v>27o 33' 57"</v>
      </c>
      <c r="J21" s="2" t="str">
        <f>IFERROR(__xludf.DUMMYFUNCTION("""COMPUTED_VALUE"""),"27o 34' 34""")</f>
        <v>27o 34' 34"</v>
      </c>
      <c r="K21" s="2" t="str">
        <f>IFERROR(__xludf.DUMMYFUNCTION("""COMPUTED_VALUE"""),"86o 09' 47""")</f>
        <v>86o 09' 47"</v>
      </c>
      <c r="L21" s="2" t="str">
        <f>IFERROR(__xludf.DUMMYFUNCTION("""COMPUTED_VALUE"""),"86o 10' 57""")</f>
        <v>86o 10' 57"</v>
      </c>
      <c r="M21" s="2" t="str">
        <f>IFERROR(__xludf.DUMMYFUNCTION("""COMPUTED_VALUE"""),"Thulopatal,Hawa (Dolakha)")</f>
        <v>Thulopatal,Hawa (Dolakha)</v>
      </c>
    </row>
    <row r="22">
      <c r="A22" s="2">
        <f>IFERROR(__xludf.DUMMYFUNCTION("""COMPUTED_VALUE"""),21.0)</f>
        <v>21</v>
      </c>
      <c r="B22" s="2" t="str">
        <f>IFERROR(__xludf.DUMMYFUNCTION("""COMPUTED_VALUE"""),"Gyagru Khola Mini Hydropower Project")</f>
        <v>Gyagru Khola Mini Hydropower Project</v>
      </c>
      <c r="C22" s="2">
        <f>IFERROR(__xludf.DUMMYFUNCTION("""COMPUTED_VALUE"""),0.283)</f>
        <v>0.283</v>
      </c>
      <c r="D22" s="2" t="str">
        <f>IFERROR(__xludf.DUMMYFUNCTION("""COMPUTED_VALUE"""),"Gyagru Khola")</f>
        <v>Gyagru Khola</v>
      </c>
      <c r="E22" s="2">
        <f>IFERROR(__xludf.DUMMYFUNCTION("""COMPUTED_VALUE"""),4963.0)</f>
        <v>4963</v>
      </c>
      <c r="F22" s="7">
        <f>IFERROR(__xludf.DUMMYFUNCTION("""COMPUTED_VALUE"""),66074.0)</f>
        <v>66074</v>
      </c>
      <c r="G22" s="2" t="str">
        <f>IFERROR(__xludf.DUMMYFUNCTION("""COMPUTED_VALUE"""),"Simkot RM (Applicant: Bizbell Renewables Private Limited)")</f>
        <v>Simkot RM (Applicant: Bizbell Renewables Private Limited)</v>
      </c>
      <c r="H22" s="2" t="str">
        <f>IFERROR(__xludf.DUMMYFUNCTION("""COMPUTED_VALUE"""),"Simkot, Humla (Subidhanagar - 32, Kathmandu)")</f>
        <v>Simkot, Humla (Subidhanagar - 32, Kathmandu)</v>
      </c>
      <c r="I22" s="2" t="str">
        <f>IFERROR(__xludf.DUMMYFUNCTION("""COMPUTED_VALUE"""),"29o 57' 25""")</f>
        <v>29o 57' 25"</v>
      </c>
      <c r="J22" s="2" t="str">
        <f>IFERROR(__xludf.DUMMYFUNCTION("""COMPUTED_VALUE"""),"29o 58' 00""")</f>
        <v>29o 58' 00"</v>
      </c>
      <c r="K22" s="2" t="str">
        <f>IFERROR(__xludf.DUMMYFUNCTION("""COMPUTED_VALUE"""),"81o 53' 20""")</f>
        <v>81o 53' 20"</v>
      </c>
      <c r="L22" s="2" t="str">
        <f>IFERROR(__xludf.DUMMYFUNCTION("""COMPUTED_VALUE"""),"81o 53' 50""")</f>
        <v>81o 53' 50"</v>
      </c>
      <c r="M22" s="2" t="str">
        <f>IFERROR(__xludf.DUMMYFUNCTION("""COMPUTED_VALUE"""),"Kharpunath,Thechaya (Humla)")</f>
        <v>Kharpunath,Thechaya (Humla)</v>
      </c>
    </row>
    <row r="23">
      <c r="A23" s="2">
        <f>IFERROR(__xludf.DUMMYFUNCTION("""COMPUTED_VALUE"""),22.0)</f>
        <v>22</v>
      </c>
      <c r="B23" s="2" t="str">
        <f>IFERROR(__xludf.DUMMYFUNCTION("""COMPUTED_VALUE"""),"Super Sardi Khola Hydropower Project")</f>
        <v>Super Sardi Khola Hydropower Project</v>
      </c>
      <c r="C23" s="2">
        <f>IFERROR(__xludf.DUMMYFUNCTION("""COMPUTED_VALUE"""),0.856)</f>
        <v>0.856</v>
      </c>
      <c r="D23" s="2" t="str">
        <f>IFERROR(__xludf.DUMMYFUNCTION("""COMPUTED_VALUE"""),"Sardi Khola")</f>
        <v>Sardi Khola</v>
      </c>
      <c r="E23" s="2">
        <f>IFERROR(__xludf.DUMMYFUNCTION("""COMPUTED_VALUE"""),5340.0)</f>
        <v>5340</v>
      </c>
      <c r="F23" s="7">
        <f>IFERROR(__xludf.DUMMYFUNCTION("""COMPUTED_VALUE"""),66092.0)</f>
        <v>66092</v>
      </c>
      <c r="G23" s="2" t="str">
        <f>IFERROR(__xludf.DUMMYFUNCTION("""COMPUTED_VALUE"""),"Machhapuchchhre Rural Municipality (Promoter: Tara Energy and Water 
Resources Company Private Limited)")</f>
        <v>Machhapuchchhre Rural Municipality (Promoter: Tara Energy and Water 
Resources Company Private Limited)</v>
      </c>
      <c r="H23" s="2" t="str">
        <f>IFERROR(__xludf.DUMMYFUNCTION("""COMPUTED_VALUE"""),"Lahachowk, Kaski (KMC-29, Kathamandu)")</f>
        <v>Lahachowk, Kaski (KMC-29, Kathamandu)</v>
      </c>
      <c r="I23" s="2" t="str">
        <f>IFERROR(__xludf.DUMMYFUNCTION("""COMPUTED_VALUE"""),"28o 22' 09""")</f>
        <v>28o 22' 09"</v>
      </c>
      <c r="J23" s="2" t="str">
        <f>IFERROR(__xludf.DUMMYFUNCTION("""COMPUTED_VALUE"""),"28o 22' 30""")</f>
        <v>28o 22' 30"</v>
      </c>
      <c r="K23" s="2" t="str">
        <f>IFERROR(__xludf.DUMMYFUNCTION("""COMPUTED_VALUE"""),"84o 02' 14""")</f>
        <v>84o 02' 14"</v>
      </c>
      <c r="L23" s="2" t="str">
        <f>IFERROR(__xludf.DUMMYFUNCTION("""COMPUTED_VALUE"""),"84o 02' 44""")</f>
        <v>84o 02' 44"</v>
      </c>
      <c r="M23" s="2" t="str">
        <f>IFERROR(__xludf.DUMMYFUNCTION("""COMPUTED_VALUE"""),"Sardikhola (Kaski)")</f>
        <v>Sardikhola (Kaski)</v>
      </c>
    </row>
    <row r="24">
      <c r="A24" s="2">
        <f>IFERROR(__xludf.DUMMYFUNCTION("""COMPUTED_VALUE"""),23.0)</f>
        <v>23</v>
      </c>
      <c r="B24" s="2" t="str">
        <f>IFERROR(__xludf.DUMMYFUNCTION("""COMPUTED_VALUE"""),"Super Khadam Khola Small Hydropower Project")</f>
        <v>Super Khadam Khola Small Hydropower Project</v>
      </c>
      <c r="C24" s="2">
        <f>IFERROR(__xludf.DUMMYFUNCTION("""COMPUTED_VALUE"""),0.95)</f>
        <v>0.95</v>
      </c>
      <c r="D24" s="2" t="str">
        <f>IFERROR(__xludf.DUMMYFUNCTION("""COMPUTED_VALUE"""),"Khadam")</f>
        <v>Khadam</v>
      </c>
      <c r="E24" s="2">
        <f>IFERROR(__xludf.DUMMYFUNCTION("""COMPUTED_VALUE"""),5482.0)</f>
        <v>5482</v>
      </c>
      <c r="F24" s="7">
        <f>IFERROR(__xludf.DUMMYFUNCTION("""COMPUTED_VALUE"""),66099.0)</f>
        <v>66099</v>
      </c>
      <c r="G24" s="2" t="str">
        <f>IFERROR(__xludf.DUMMYFUNCTION("""COMPUTED_VALUE"""),"Kerabari Gaunpalika, Gaunpalikako Karyalaya (Applicant: Abiral Hydropower 
Company Private Limited)")</f>
        <v>Kerabari Gaunpalika, Gaunpalikako Karyalaya (Applicant: Abiral Hydropower 
Company Private Limited)</v>
      </c>
      <c r="H24" s="2" t="str">
        <f>IFERROR(__xludf.DUMMYFUNCTION("""COMPUTED_VALUE"""),"Kerabari, Morang")</f>
        <v>Kerabari, Morang</v>
      </c>
      <c r="I24" s="2" t="str">
        <f>IFERROR(__xludf.DUMMYFUNCTION("""COMPUTED_VALUE"""),"26o 50' 21""")</f>
        <v>26o 50' 21"</v>
      </c>
      <c r="J24" s="2" t="str">
        <f>IFERROR(__xludf.DUMMYFUNCTION("""COMPUTED_VALUE"""),"26o 51' 32""")</f>
        <v>26o 51' 32"</v>
      </c>
      <c r="K24" s="2" t="str">
        <f>IFERROR(__xludf.DUMMYFUNCTION("""COMPUTED_VALUE"""),"87o 25' 46""")</f>
        <v>87o 25' 46"</v>
      </c>
      <c r="L24" s="2" t="str">
        <f>IFERROR(__xludf.DUMMYFUNCTION("""COMPUTED_VALUE"""),"87o 27' 00""")</f>
        <v>87o 27' 00"</v>
      </c>
      <c r="M24" s="2" t="str">
        <f>IFERROR(__xludf.DUMMYFUNCTION("""COMPUTED_VALUE"""),"Patigaun,Sinhadevi (Morang)")</f>
        <v>Patigaun,Sinhadevi (Morang)</v>
      </c>
    </row>
    <row r="25">
      <c r="A25" s="2">
        <f>IFERROR(__xludf.DUMMYFUNCTION("""COMPUTED_VALUE"""),24.0)</f>
        <v>24</v>
      </c>
      <c r="B25" s="2" t="str">
        <f>IFERROR(__xludf.DUMMYFUNCTION("""COMPUTED_VALUE"""),"Hepka Khola Mini Hydropower Project")</f>
        <v>Hepka Khola Mini Hydropower Project</v>
      </c>
      <c r="C25" s="2">
        <f>IFERROR(__xludf.DUMMYFUNCTION("""COMPUTED_VALUE"""),0.909)</f>
        <v>0.909</v>
      </c>
      <c r="D25" s="2" t="str">
        <f>IFERROR(__xludf.DUMMYFUNCTION("""COMPUTED_VALUE"""),"Hepka khola")</f>
        <v>Hepka khola</v>
      </c>
      <c r="E25" s="2">
        <f>IFERROR(__xludf.DUMMYFUNCTION("""COMPUTED_VALUE"""),6996.0)</f>
        <v>6996</v>
      </c>
      <c r="F25" s="7">
        <f>IFERROR(__xludf.DUMMYFUNCTION("""COMPUTED_VALUE"""),66169.0)</f>
        <v>66169</v>
      </c>
      <c r="G25" s="2" t="str">
        <f>IFERROR(__xludf.DUMMYFUNCTION("""COMPUTED_VALUE"""),"Simkot RM (Applicant: Bizbell Renewables Private Limited)")</f>
        <v>Simkot RM (Applicant: Bizbell Renewables Private Limited)</v>
      </c>
      <c r="H25" s="2" t="str">
        <f>IFERROR(__xludf.DUMMYFUNCTION("""COMPUTED_VALUE"""),"Simkot, Humla (Subidhanagar - 32, Kathmandu)")</f>
        <v>Simkot, Humla (Subidhanagar - 32, Kathmandu)</v>
      </c>
      <c r="I25" s="2" t="str">
        <f>IFERROR(__xludf.DUMMYFUNCTION("""COMPUTED_VALUE"""),"30o 00' 58""")</f>
        <v>30o 00' 58"</v>
      </c>
      <c r="J25" s="2" t="str">
        <f>IFERROR(__xludf.DUMMYFUNCTION("""COMPUTED_VALUE"""),"30o 01' 29""")</f>
        <v>30o 01' 29"</v>
      </c>
      <c r="K25" s="2" t="str">
        <f>IFERROR(__xludf.DUMMYFUNCTION("""COMPUTED_VALUE"""),"81o 46' 44""")</f>
        <v>81o 46' 44"</v>
      </c>
      <c r="L25" s="2" t="str">
        <f>IFERROR(__xludf.DUMMYFUNCTION("""COMPUTED_VALUE"""),"81o 47' 28""")</f>
        <v>81o 47' 28"</v>
      </c>
      <c r="M25" s="2" t="str">
        <f>IFERROR(__xludf.DUMMYFUNCTION("""COMPUTED_VALUE"""),"Dandafaya,Hepka (Humla)")</f>
        <v>Dandafaya,Hepka (Humla)</v>
      </c>
    </row>
    <row r="26">
      <c r="A26" s="2">
        <f>IFERROR(__xludf.DUMMYFUNCTION("""COMPUTED_VALUE"""),25.0)</f>
        <v>25</v>
      </c>
      <c r="B26" s="2" t="str">
        <f>IFERROR(__xludf.DUMMYFUNCTION("""COMPUTED_VALUE"""),"Thado Khola Sana Jalavidyut Aayojana")</f>
        <v>Thado Khola Sana Jalavidyut Aayojana</v>
      </c>
      <c r="C26" s="2">
        <f>IFERROR(__xludf.DUMMYFUNCTION("""COMPUTED_VALUE"""),0.86)</f>
        <v>0.86</v>
      </c>
      <c r="D26" s="2" t="str">
        <f>IFERROR(__xludf.DUMMYFUNCTION("""COMPUTED_VALUE"""),"Thado Khola")</f>
        <v>Thado Khola</v>
      </c>
      <c r="E26" s="2">
        <f>IFERROR(__xludf.DUMMYFUNCTION("""COMPUTED_VALUE"""),1431.0)</f>
        <v>1431</v>
      </c>
      <c r="F26" s="7">
        <f>IFERROR(__xludf.DUMMYFUNCTION("""COMPUTED_VALUE"""),66255.0)</f>
        <v>66255</v>
      </c>
      <c r="G26" s="2" t="str">
        <f>IFERROR(__xludf.DUMMYFUNCTION("""COMPUTED_VALUE"""),"Chame Rural Municipality, Gaun Karyapalikako Karyala")</f>
        <v>Chame Rural Municipality, Gaun Karyapalikako Karyala</v>
      </c>
      <c r="H26" s="2" t="str">
        <f>IFERROR(__xludf.DUMMYFUNCTION("""COMPUTED_VALUE"""),"Chame, Manang")</f>
        <v>Chame, Manang</v>
      </c>
      <c r="I26" s="2" t="str">
        <f>IFERROR(__xludf.DUMMYFUNCTION("""COMPUTED_VALUE"""),"28o 32' 26""")</f>
        <v>28o 32' 26"</v>
      </c>
      <c r="J26" s="2" t="str">
        <f>IFERROR(__xludf.DUMMYFUNCTION("""COMPUTED_VALUE"""),"28o 32' 54""")</f>
        <v>28o 32' 54"</v>
      </c>
      <c r="K26" s="2" t="str">
        <f>IFERROR(__xludf.DUMMYFUNCTION("""COMPUTED_VALUE"""),"84o 13' 10""")</f>
        <v>84o 13' 10"</v>
      </c>
      <c r="L26" s="2" t="str">
        <f>IFERROR(__xludf.DUMMYFUNCTION("""COMPUTED_VALUE"""),"84o 13' 54""")</f>
        <v>84o 13' 54"</v>
      </c>
      <c r="M26" s="2" t="str">
        <f>IFERROR(__xludf.DUMMYFUNCTION("""COMPUTED_VALUE"""),"Chame (Manang)")</f>
        <v>Chame (Manang)</v>
      </c>
    </row>
    <row r="27">
      <c r="A27" s="2">
        <f>IFERROR(__xludf.DUMMYFUNCTION("""COMPUTED_VALUE"""),27.0)</f>
        <v>27</v>
      </c>
      <c r="B27" s="2" t="str">
        <f>IFERROR(__xludf.DUMMYFUNCTION("""COMPUTED_VALUE"""),"Kusuwa Khola Small Hydropower Project")</f>
        <v>Kusuwa Khola Small Hydropower Project</v>
      </c>
      <c r="C27" s="2">
        <f>IFERROR(__xludf.DUMMYFUNCTION("""COMPUTED_VALUE"""),0.941)</f>
        <v>0.941</v>
      </c>
      <c r="D27" s="2" t="str">
        <f>IFERROR(__xludf.DUMMYFUNCTION("""COMPUTED_VALUE"""),"Kusuwa Khola")</f>
        <v>Kusuwa Khola</v>
      </c>
      <c r="E27" s="2">
        <f>IFERROR(__xludf.DUMMYFUNCTION("""COMPUTED_VALUE"""),8671.0)</f>
        <v>8671</v>
      </c>
      <c r="F27" s="7">
        <f>IFERROR(__xludf.DUMMYFUNCTION("""COMPUTED_VALUE"""),66515.0)</f>
        <v>66515</v>
      </c>
      <c r="G27" s="2" t="str">
        <f>IFERROR(__xludf.DUMMYFUNCTION("""COMPUTED_VALUE"""),"Panchkhapan Municipality (Promoter:Nageshwor Small Hydropower Private 
Limited)")</f>
        <v>Panchkhapan Municipality (Promoter:Nageshwor Small Hydropower Private 
Limited)</v>
      </c>
      <c r="H27" s="2" t="str">
        <f>IFERROR(__xludf.DUMMYFUNCTION("""COMPUTED_VALUE"""),"Wana, Sankhuwasabha, Koshi Province(Address of Applicant: KMC-4, 
Bhatbhateni Chowk)")</f>
        <v>Wana, Sankhuwasabha, Koshi Province(Address of Applicant: KMC-4, 
Bhatbhateni Chowk)</v>
      </c>
      <c r="I27" s="2" t="str">
        <f>IFERROR(__xludf.DUMMYFUNCTION("""COMPUTED_VALUE"""),"27o 22' 30""")</f>
        <v>27o 22' 30"</v>
      </c>
      <c r="J27" s="2" t="str">
        <f>IFERROR(__xludf.DUMMYFUNCTION("""COMPUTED_VALUE"""),"27o 23' 16""")</f>
        <v>27o 23' 16"</v>
      </c>
      <c r="K27" s="2" t="str">
        <f>IFERROR(__xludf.DUMMYFUNCTION("""COMPUTED_VALUE"""),"87o 17' 30""")</f>
        <v>87o 17' 30"</v>
      </c>
      <c r="L27" s="2" t="str">
        <f>IFERROR(__xludf.DUMMYFUNCTION("""COMPUTED_VALUE"""),"87o 19' 03""")</f>
        <v>87o 19' 03"</v>
      </c>
      <c r="M27" s="2"/>
    </row>
    <row r="28">
      <c r="A28" s="2">
        <f>IFERROR(__xludf.DUMMYFUNCTION("""COMPUTED_VALUE"""),28.0)</f>
        <v>28</v>
      </c>
      <c r="B28" s="2" t="str">
        <f>IFERROR(__xludf.DUMMYFUNCTION("""COMPUTED_VALUE"""),"Super Langdi A Micro hydropower Project")</f>
        <v>Super Langdi A Micro hydropower Project</v>
      </c>
      <c r="C28" s="2">
        <f>IFERROR(__xludf.DUMMYFUNCTION("""COMPUTED_VALUE"""),0.935)</f>
        <v>0.935</v>
      </c>
      <c r="D28" s="2" t="str">
        <f>IFERROR(__xludf.DUMMYFUNCTION("""COMPUTED_VALUE"""),"Langdi Khola")</f>
        <v>Langdi Khola</v>
      </c>
      <c r="E28" s="2">
        <f>IFERROR(__xludf.DUMMYFUNCTION("""COMPUTED_VALUE"""),9600.0)</f>
        <v>9600</v>
      </c>
      <c r="F28" s="7">
        <f>IFERROR(__xludf.DUMMYFUNCTION("""COMPUTED_VALUE"""),66536.0)</f>
        <v>66536</v>
      </c>
      <c r="G28" s="2" t="str">
        <f>IFERROR(__xludf.DUMMYFUNCTION("""COMPUTED_VALUE"""),"Doodhpokhari Rural Municipality (Promoter: Dudhpokhari Hydropower Private 
Limited)")</f>
        <v>Doodhpokhari Rural Municipality (Promoter: Dudhpokhari Hydropower Private 
Limited)</v>
      </c>
      <c r="H28" s="2" t="str">
        <f>IFERROR(__xludf.DUMMYFUNCTION("""COMPUTED_VALUE"""),"Jorne, Lamjung")</f>
        <v>Jorne, Lamjung</v>
      </c>
      <c r="I28" s="2" t="str">
        <f>IFERROR(__xludf.DUMMYFUNCTION("""COMPUTED_VALUE"""),"28o 12' 24""")</f>
        <v>28o 12' 24"</v>
      </c>
      <c r="J28" s="2" t="str">
        <f>IFERROR(__xludf.DUMMYFUNCTION("""COMPUTED_VALUE"""),"28o 12' 57""")</f>
        <v>28o 12' 57"</v>
      </c>
      <c r="K28" s="2" t="str">
        <f>IFERROR(__xludf.DUMMYFUNCTION("""COMPUTED_VALUE"""),"84o 34' 31""")</f>
        <v>84o 34' 31"</v>
      </c>
      <c r="L28" s="2" t="str">
        <f>IFERROR(__xludf.DUMMYFUNCTION("""COMPUTED_VALUE"""),"84o 35' 03""")</f>
        <v>84o 35' 03"</v>
      </c>
      <c r="M28" s="2" t="str">
        <f>IFERROR(__xludf.DUMMYFUNCTION("""COMPUTED_VALUE"""),"Bichaur,Ilampokhari (Lamjung)")</f>
        <v>Bichaur,Ilampokhari (Lamjung)</v>
      </c>
    </row>
    <row r="29">
      <c r="A29" s="2">
        <f>IFERROR(__xludf.DUMMYFUNCTION("""COMPUTED_VALUE"""),29.0)</f>
        <v>29</v>
      </c>
      <c r="B29" s="2" t="str">
        <f>IFERROR(__xludf.DUMMYFUNCTION("""COMPUTED_VALUE"""),"Ultimate Khadam Khola Small Hydropower Project")</f>
        <v>Ultimate Khadam Khola Small Hydropower Project</v>
      </c>
      <c r="C29" s="2">
        <f>IFERROR(__xludf.DUMMYFUNCTION("""COMPUTED_VALUE"""),0.996)</f>
        <v>0.996</v>
      </c>
      <c r="D29" s="2" t="str">
        <f>IFERROR(__xludf.DUMMYFUNCTION("""COMPUTED_VALUE"""),"Khadam")</f>
        <v>Khadam</v>
      </c>
      <c r="E29" s="2">
        <f>IFERROR(__xludf.DUMMYFUNCTION("""COMPUTED_VALUE"""),9811.0)</f>
        <v>9811</v>
      </c>
      <c r="F29" s="7">
        <f>IFERROR(__xludf.DUMMYFUNCTION("""COMPUTED_VALUE"""),66540.0)</f>
        <v>66540</v>
      </c>
      <c r="G29" s="2" t="str">
        <f>IFERROR(__xludf.DUMMYFUNCTION("""COMPUTED_VALUE"""),"Kerabari Gaunpalika, Gaunpalikako Karyalaya (Applicant: Ultimate Hydropower 
Company Private Limited)")</f>
        <v>Kerabari Gaunpalika, Gaunpalikako Karyalaya (Applicant: Ultimate Hydropower 
Company Private Limited)</v>
      </c>
      <c r="H29" s="2" t="str">
        <f>IFERROR(__xludf.DUMMYFUNCTION("""COMPUTED_VALUE"""),"Kerabari, Morang")</f>
        <v>Kerabari, Morang</v>
      </c>
      <c r="I29" s="2" t="str">
        <f>IFERROR(__xludf.DUMMYFUNCTION("""COMPUTED_VALUE"""),"26o 48' 55""")</f>
        <v>26o 48' 55"</v>
      </c>
      <c r="J29" s="2" t="str">
        <f>IFERROR(__xludf.DUMMYFUNCTION("""COMPUTED_VALUE"""),"26o 49' 26""")</f>
        <v>26o 49' 26"</v>
      </c>
      <c r="K29" s="2" t="str">
        <f>IFERROR(__xludf.DUMMYFUNCTION("""COMPUTED_VALUE"""),"87o 25' 00""")</f>
        <v>87o 25' 00"</v>
      </c>
      <c r="L29" s="2" t="str">
        <f>IFERROR(__xludf.DUMMYFUNCTION("""COMPUTED_VALUE"""),"87o 26' 05""")</f>
        <v>87o 26' 05"</v>
      </c>
      <c r="M29" s="2" t="str">
        <f>IFERROR(__xludf.DUMMYFUNCTION("""COMPUTED_VALUE"""),"Bhogateni,Patigaun (Morang)")</f>
        <v>Bhogateni,Patigaun (Morang)</v>
      </c>
    </row>
    <row r="30">
      <c r="A30" s="2">
        <f>IFERROR(__xludf.DUMMYFUNCTION("""COMPUTED_VALUE"""),30.0)</f>
        <v>30</v>
      </c>
      <c r="B30" s="2" t="str">
        <f>IFERROR(__xludf.DUMMYFUNCTION("""COMPUTED_VALUE"""),"Lower Khadam Khola Small Hydropower Project")</f>
        <v>Lower Khadam Khola Small Hydropower Project</v>
      </c>
      <c r="C30" s="2">
        <f>IFERROR(__xludf.DUMMYFUNCTION("""COMPUTED_VALUE"""),0.937)</f>
        <v>0.937</v>
      </c>
      <c r="D30" s="2" t="str">
        <f>IFERROR(__xludf.DUMMYFUNCTION("""COMPUTED_VALUE"""),"Khadam")</f>
        <v>Khadam</v>
      </c>
      <c r="E30" s="2">
        <f>IFERROR(__xludf.DUMMYFUNCTION("""COMPUTED_VALUE"""),9952.0)</f>
        <v>9952</v>
      </c>
      <c r="F30" s="7">
        <f>IFERROR(__xludf.DUMMYFUNCTION("""COMPUTED_VALUE"""),66543.0)</f>
        <v>66543</v>
      </c>
      <c r="G30" s="2" t="str">
        <f>IFERROR(__xludf.DUMMYFUNCTION("""COMPUTED_VALUE"""),"Kerabari Gaunpalika, Gaunpalikako Karyalaya (Applicant: Unit Power Plus 
Private Limited)")</f>
        <v>Kerabari Gaunpalika, Gaunpalikako Karyalaya (Applicant: Unit Power Plus 
Private Limited)</v>
      </c>
      <c r="H30" s="2" t="str">
        <f>IFERROR(__xludf.DUMMYFUNCTION("""COMPUTED_VALUE"""),"Kerabari, Morang")</f>
        <v>Kerabari, Morang</v>
      </c>
      <c r="I30" s="2" t="str">
        <f>IFERROR(__xludf.DUMMYFUNCTION("""COMPUTED_VALUE"""),"26o 49' 27""")</f>
        <v>26o 49' 27"</v>
      </c>
      <c r="J30" s="2" t="str">
        <f>IFERROR(__xludf.DUMMYFUNCTION("""COMPUTED_VALUE"""),"26o 50' 06""")</f>
        <v>26o 50' 06"</v>
      </c>
      <c r="K30" s="2" t="str">
        <f>IFERROR(__xludf.DUMMYFUNCTION("""COMPUTED_VALUE"""),"87o 25' 30""")</f>
        <v>87o 25' 30"</v>
      </c>
      <c r="L30" s="2" t="str">
        <f>IFERROR(__xludf.DUMMYFUNCTION("""COMPUTED_VALUE"""),"87o 26' 19""")</f>
        <v>87o 26' 19"</v>
      </c>
      <c r="M30" s="2" t="str">
        <f>IFERROR(__xludf.DUMMYFUNCTION("""COMPUTED_VALUE"""),"Bhogateni,Patigaun,Sinhadevi (Morang)")</f>
        <v>Bhogateni,Patigaun,Sinhadevi (Morang)</v>
      </c>
    </row>
    <row r="31">
      <c r="A31" s="2">
        <f>IFERROR(__xludf.DUMMYFUNCTION("""COMPUTED_VALUE"""),31.0)</f>
        <v>31</v>
      </c>
      <c r="B31" s="2" t="str">
        <f>IFERROR(__xludf.DUMMYFUNCTION("""COMPUTED_VALUE"""),"Dune Khola Hydropower Project")</f>
        <v>Dune Khola Hydropower Project</v>
      </c>
      <c r="C31" s="2">
        <f>IFERROR(__xludf.DUMMYFUNCTION("""COMPUTED_VALUE"""),0.8)</f>
        <v>0.8</v>
      </c>
      <c r="D31" s="2" t="str">
        <f>IFERROR(__xludf.DUMMYFUNCTION("""COMPUTED_VALUE"""),"Dune Khola")</f>
        <v>Dune Khola</v>
      </c>
      <c r="E31" s="2">
        <f>IFERROR(__xludf.DUMMYFUNCTION("""COMPUTED_VALUE"""),10563.0)</f>
        <v>10563</v>
      </c>
      <c r="F31" s="7">
        <f>IFERROR(__xludf.DUMMYFUNCTION("""COMPUTED_VALUE"""),66558.0)</f>
        <v>66558</v>
      </c>
      <c r="G31" s="2" t="str">
        <f>IFERROR(__xludf.DUMMYFUNCTION("""COMPUTED_VALUE"""),"Jugal Rural Municipality (Promoter: Sindhu Jugal Energy Private Limited)")</f>
        <v>Jugal Rural Municipality (Promoter: Sindhu Jugal Energy Private Limited)</v>
      </c>
      <c r="H31" s="2" t="str">
        <f>IFERROR(__xludf.DUMMYFUNCTION("""COMPUTED_VALUE"""),"Baramchi, Sindhupalchowk (Gokarneshower - 8 , Kathmandu)")</f>
        <v>Baramchi, Sindhupalchowk (Gokarneshower - 8 , Kathmandu)</v>
      </c>
      <c r="I31" s="2" t="str">
        <f>IFERROR(__xludf.DUMMYFUNCTION("""COMPUTED_VALUE"""),"27o 54' 37""")</f>
        <v>27o 54' 37"</v>
      </c>
      <c r="J31" s="2" t="str">
        <f>IFERROR(__xludf.DUMMYFUNCTION("""COMPUTED_VALUE"""),"27o 54' 55""")</f>
        <v>27o 54' 55"</v>
      </c>
      <c r="K31" s="2" t="str">
        <f>IFERROR(__xludf.DUMMYFUNCTION("""COMPUTED_VALUE"""),"85o 46' 09""")</f>
        <v>85o 46' 09"</v>
      </c>
      <c r="L31" s="2" t="str">
        <f>IFERROR(__xludf.DUMMYFUNCTION("""COMPUTED_VALUE"""),"85o 46' 53""")</f>
        <v>85o 46' 53"</v>
      </c>
      <c r="M31" s="2" t="str">
        <f>IFERROR(__xludf.DUMMYFUNCTION("""COMPUTED_VALUE"""),"Gumba,Golche,Pangtang (Sindhupalchok)")</f>
        <v>Gumba,Golche,Pangtang (Sindhupalchok)</v>
      </c>
    </row>
    <row r="32">
      <c r="A32" s="2">
        <f>IFERROR(__xludf.DUMMYFUNCTION("""COMPUTED_VALUE"""),32.0)</f>
        <v>32</v>
      </c>
      <c r="B32" s="2" t="str">
        <f>IFERROR(__xludf.DUMMYFUNCTION("""COMPUTED_VALUE"""),"Junbesi Khola Cascade Hydropower Project")</f>
        <v>Junbesi Khola Cascade Hydropower Project</v>
      </c>
      <c r="C32" s="2">
        <f>IFERROR(__xludf.DUMMYFUNCTION("""COMPUTED_VALUE"""),0.99)</f>
        <v>0.99</v>
      </c>
      <c r="D32" s="2" t="str">
        <f>IFERROR(__xludf.DUMMYFUNCTION("""COMPUTED_VALUE"""),"Junbeshi")</f>
        <v>Junbeshi</v>
      </c>
      <c r="E32" s="2">
        <f>IFERROR(__xludf.DUMMYFUNCTION("""COMPUTED_VALUE"""),10798.0)</f>
        <v>10798</v>
      </c>
      <c r="F32" s="7">
        <f>IFERROR(__xludf.DUMMYFUNCTION("""COMPUTED_VALUE"""),66565.0)</f>
        <v>66565</v>
      </c>
      <c r="G32" s="2" t="str">
        <f>IFERROR(__xludf.DUMMYFUNCTION("""COMPUTED_VALUE"""),"Solududhkunda Municipality(Promoter: Dovan Hydro Power Limited)")</f>
        <v>Solududhkunda Municipality(Promoter: Dovan Hydro Power Limited)</v>
      </c>
      <c r="H32" s="2" t="str">
        <f>IFERROR(__xludf.DUMMYFUNCTION("""COMPUTED_VALUE"""),"Salleri, Solukhumbu, Tel: 038-520264")</f>
        <v>Salleri, Solukhumbu, Tel: 038-520264</v>
      </c>
      <c r="I32" s="2" t="str">
        <f>IFERROR(__xludf.DUMMYFUNCTION("""COMPUTED_VALUE"""),"27o 33' 06""")</f>
        <v>27o 33' 06"</v>
      </c>
      <c r="J32" s="2" t="str">
        <f>IFERROR(__xludf.DUMMYFUNCTION("""COMPUTED_VALUE"""),"27o 33' 30""")</f>
        <v>27o 33' 30"</v>
      </c>
      <c r="K32" s="2" t="str">
        <f>IFERROR(__xludf.DUMMYFUNCTION("""COMPUTED_VALUE"""),"86o 33' 46""")</f>
        <v>86o 33' 46"</v>
      </c>
      <c r="L32" s="2" t="str">
        <f>IFERROR(__xludf.DUMMYFUNCTION("""COMPUTED_VALUE"""),"86o 34' 29""")</f>
        <v>86o 34' 29"</v>
      </c>
      <c r="M32" s="2" t="str">
        <f>IFERROR(__xludf.DUMMYFUNCTION("""COMPUTED_VALUE"""),"Salleri,Lauding(Tamakhani) (Solukhumbu)")</f>
        <v>Salleri,Lauding(Tamakhani) (Solukhumbu)</v>
      </c>
    </row>
    <row r="33">
      <c r="A33" s="2">
        <f>IFERROR(__xludf.DUMMYFUNCTION("""COMPUTED_VALUE"""),33.0)</f>
        <v>33</v>
      </c>
      <c r="B33" s="2" t="str">
        <f>IFERROR(__xludf.DUMMYFUNCTION("""COMPUTED_VALUE"""),"Kewa Khola Small Hydropower Project")</f>
        <v>Kewa Khola Small Hydropower Project</v>
      </c>
      <c r="C33" s="2">
        <f>IFERROR(__xludf.DUMMYFUNCTION("""COMPUTED_VALUE"""),0.99)</f>
        <v>0.99</v>
      </c>
      <c r="D33" s="2" t="str">
        <f>IFERROR(__xludf.DUMMYFUNCTION("""COMPUTED_VALUE"""),"Kewa Khola")</f>
        <v>Kewa Khola</v>
      </c>
      <c r="E33" s="2">
        <f>IFERROR(__xludf.DUMMYFUNCTION("""COMPUTED_VALUE"""),175.0)</f>
        <v>175</v>
      </c>
      <c r="F33" s="7">
        <f>IFERROR(__xludf.DUMMYFUNCTION("""COMPUTED_VALUE"""),66571.0)</f>
        <v>66571</v>
      </c>
      <c r="G33" s="2" t="str">
        <f>IFERROR(__xludf.DUMMYFUNCTION("""COMPUTED_VALUE"""),"Dharmadevi Municipality (Promoter:International Energy Group Nepal Private 
Limited)")</f>
        <v>Dharmadevi Municipality (Promoter:International Energy Group Nepal Private 
Limited)</v>
      </c>
      <c r="H33" s="2" t="str">
        <f>IFERROR(__xludf.DUMMYFUNCTION("""COMPUTED_VALUE"""),"Mudhesanischare, Sankhuwasabha(Putalisadak, Ward No. 31)")</f>
        <v>Mudhesanischare, Sankhuwasabha(Putalisadak, Ward No. 31)</v>
      </c>
      <c r="I33" s="2" t="str">
        <f>IFERROR(__xludf.DUMMYFUNCTION("""COMPUTED_VALUE"""),"27o 10' 58""")</f>
        <v>27o 10' 58"</v>
      </c>
      <c r="J33" s="2" t="str">
        <f>IFERROR(__xludf.DUMMYFUNCTION("""COMPUTED_VALUE"""),"27o 11' 30""")</f>
        <v>27o 11' 30"</v>
      </c>
      <c r="K33" s="2" t="str">
        <f>IFERROR(__xludf.DUMMYFUNCTION("""COMPUTED_VALUE"""),"87o 16' 33""")</f>
        <v>87o 16' 33"</v>
      </c>
      <c r="L33" s="2" t="str">
        <f>IFERROR(__xludf.DUMMYFUNCTION("""COMPUTED_VALUE"""),"87o 17' 20""")</f>
        <v>87o 17' 20"</v>
      </c>
      <c r="M33" s="2" t="str">
        <f>IFERROR(__xludf.DUMMYFUNCTION("""COMPUTED_VALUE"""),"Ankhibhui (Sankhuwasabha)")</f>
        <v>Ankhibhui (Sankhuwasabha)</v>
      </c>
    </row>
    <row r="34">
      <c r="A34" s="2">
        <f>IFERROR(__xludf.DUMMYFUNCTION("""COMPUTED_VALUE"""),34.0)</f>
        <v>34</v>
      </c>
      <c r="B34" s="2" t="str">
        <f>IFERROR(__xludf.DUMMYFUNCTION("""COMPUTED_VALUE"""),"Super Langdi Khola Micro Hydropower Project")</f>
        <v>Super Langdi Khola Micro Hydropower Project</v>
      </c>
      <c r="C34" s="2">
        <f>IFERROR(__xludf.DUMMYFUNCTION("""COMPUTED_VALUE"""),0.9)</f>
        <v>0.9</v>
      </c>
      <c r="D34" s="2" t="str">
        <f>IFERROR(__xludf.DUMMYFUNCTION("""COMPUTED_VALUE"""),"Langdi Khola")</f>
        <v>Langdi Khola</v>
      </c>
      <c r="E34" s="2">
        <f>IFERROR(__xludf.DUMMYFUNCTION("""COMPUTED_VALUE"""),848.0)</f>
        <v>848</v>
      </c>
      <c r="F34" s="7">
        <f>IFERROR(__xludf.DUMMYFUNCTION("""COMPUTED_VALUE"""),66592.0)</f>
        <v>66592</v>
      </c>
      <c r="G34" s="2" t="str">
        <f>IFERROR(__xludf.DUMMYFUNCTION("""COMPUTED_VALUE"""),"Doodhpokhari Rural Municipality (Promoter: Ilampokhari Hydropower Private 
Limited)")</f>
        <v>Doodhpokhari Rural Municipality (Promoter: Ilampokhari Hydropower Private 
Limited)</v>
      </c>
      <c r="H34" s="2" t="str">
        <f>IFERROR(__xludf.DUMMYFUNCTION("""COMPUTED_VALUE"""),"Jorne, Lamjung")</f>
        <v>Jorne, Lamjung</v>
      </c>
      <c r="I34" s="2" t="str">
        <f>IFERROR(__xludf.DUMMYFUNCTION("""COMPUTED_VALUE"""),"28o 11' 55""")</f>
        <v>28o 11' 55"</v>
      </c>
      <c r="J34" s="2" t="str">
        <f>IFERROR(__xludf.DUMMYFUNCTION("""COMPUTED_VALUE"""),"28o 12' 24""")</f>
        <v>28o 12' 24"</v>
      </c>
      <c r="K34" s="2" t="str">
        <f>IFERROR(__xludf.DUMMYFUNCTION("""COMPUTED_VALUE"""),"84o 35' 02""")</f>
        <v>84o 35' 02"</v>
      </c>
      <c r="L34" s="2" t="str">
        <f>IFERROR(__xludf.DUMMYFUNCTION("""COMPUTED_VALUE"""),"84o 35' 27""")</f>
        <v>84o 35' 27"</v>
      </c>
      <c r="M34" s="2" t="str">
        <f>IFERROR(__xludf.DUMMYFUNCTION("""COMPUTED_VALUE"""),"Bichaur,Ilampokhari (Lamjung)")</f>
        <v>Bichaur,Ilampokhari (Lamjung)</v>
      </c>
    </row>
    <row r="35">
      <c r="A35" s="2">
        <f>IFERROR(__xludf.DUMMYFUNCTION("""COMPUTED_VALUE"""),35.0)</f>
        <v>35</v>
      </c>
      <c r="B35" s="2" t="str">
        <f>IFERROR(__xludf.DUMMYFUNCTION("""COMPUTED_VALUE"""),"Selang - Dhovan Hydropower Project")</f>
        <v>Selang - Dhovan Hydropower Project</v>
      </c>
      <c r="C35" s="2">
        <f>IFERROR(__xludf.DUMMYFUNCTION("""COMPUTED_VALUE"""),0.95)</f>
        <v>0.95</v>
      </c>
      <c r="D35" s="2" t="str">
        <f>IFERROR(__xludf.DUMMYFUNCTION("""COMPUTED_VALUE"""),"Selang")</f>
        <v>Selang</v>
      </c>
      <c r="E35" s="2">
        <f>IFERROR(__xludf.DUMMYFUNCTION("""COMPUTED_VALUE"""),1690.0)</f>
        <v>1690</v>
      </c>
      <c r="F35" s="7">
        <f>IFERROR(__xludf.DUMMYFUNCTION("""COMPUTED_VALUE"""),66615.0)</f>
        <v>66615</v>
      </c>
      <c r="G35" s="2" t="str">
        <f>IFERROR(__xludf.DUMMYFUNCTION("""COMPUTED_VALUE"""),"Jugal Rural Municipality")</f>
        <v>Jugal Rural Municipality</v>
      </c>
      <c r="H35" s="2" t="str">
        <f>IFERROR(__xludf.DUMMYFUNCTION("""COMPUTED_VALUE"""),"Baramchi, Sindhupalchowk")</f>
        <v>Baramchi, Sindhupalchowk</v>
      </c>
      <c r="I35" s="2" t="str">
        <f>IFERROR(__xludf.DUMMYFUNCTION("""COMPUTED_VALUE"""),"27o 51' 37""")</f>
        <v>27o 51' 37"</v>
      </c>
      <c r="J35" s="2" t="str">
        <f>IFERROR(__xludf.DUMMYFUNCTION("""COMPUTED_VALUE"""),"27o 51' 49""")</f>
        <v>27o 51' 49"</v>
      </c>
      <c r="K35" s="2" t="str">
        <f>IFERROR(__xludf.DUMMYFUNCTION("""COMPUTED_VALUE"""),"85o 44' 49""")</f>
        <v>85o 44' 49"</v>
      </c>
      <c r="L35" s="2" t="str">
        <f>IFERROR(__xludf.DUMMYFUNCTION("""COMPUTED_VALUE"""),"85o 45' 25""")</f>
        <v>85o 45' 25"</v>
      </c>
      <c r="M35" s="2" t="str">
        <f>IFERROR(__xludf.DUMMYFUNCTION("""COMPUTED_VALUE"""),"Golche,Selang (Sindhupalchok)")</f>
        <v>Golche,Selang (Sindhupalchok)</v>
      </c>
    </row>
    <row r="36">
      <c r="A36" s="2">
        <f>IFERROR(__xludf.DUMMYFUNCTION("""COMPUTED_VALUE"""),36.0)</f>
        <v>36</v>
      </c>
      <c r="B36" s="2" t="str">
        <f>IFERROR(__xludf.DUMMYFUNCTION("""COMPUTED_VALUE"""),"Upper Kalinchok Mini Hydropower Project")</f>
        <v>Upper Kalinchok Mini Hydropower Project</v>
      </c>
      <c r="C36" s="2">
        <f>IFERROR(__xludf.DUMMYFUNCTION("""COMPUTED_VALUE"""),0.998)</f>
        <v>0.998</v>
      </c>
      <c r="D36" s="2" t="str">
        <f>IFERROR(__xludf.DUMMYFUNCTION("""COMPUTED_VALUE"""),"Budekhani Khola")</f>
        <v>Budekhani Khola</v>
      </c>
      <c r="E36" s="2">
        <f>IFERROR(__xludf.DUMMYFUNCTION("""COMPUTED_VALUE"""),2214.0)</f>
        <v>2214</v>
      </c>
      <c r="F36" s="7">
        <f>IFERROR(__xludf.DUMMYFUNCTION("""COMPUTED_VALUE"""),66639.0)</f>
        <v>66639</v>
      </c>
      <c r="G36" s="2" t="str">
        <f>IFERROR(__xludf.DUMMYFUNCTION("""COMPUTED_VALUE"""),"Kalinchok Rural Municipality (Promoter: Upper Kalinchok Energy Private 
Limited)")</f>
        <v>Kalinchok Rural Municipality (Promoter: Upper Kalinchok Energy Private 
Limited)</v>
      </c>
      <c r="H36" s="2" t="str">
        <f>IFERROR(__xludf.DUMMYFUNCTION("""COMPUTED_VALUE"""),"Sunakhani, Dolakha")</f>
        <v>Sunakhani, Dolakha</v>
      </c>
      <c r="I36" s="2" t="str">
        <f>IFERROR(__xludf.DUMMYFUNCTION("""COMPUTED_VALUE"""),"27o 47' 10""")</f>
        <v>27o 47' 10"</v>
      </c>
      <c r="J36" s="2" t="str">
        <f>IFERROR(__xludf.DUMMYFUNCTION("""COMPUTED_VALUE"""),"27o 47' 35""")</f>
        <v>27o 47' 35"</v>
      </c>
      <c r="K36" s="2" t="str">
        <f>IFERROR(__xludf.DUMMYFUNCTION("""COMPUTED_VALUE"""),"86o 02' 55""")</f>
        <v>86o 02' 55"</v>
      </c>
      <c r="L36" s="2" t="str">
        <f>IFERROR(__xludf.DUMMYFUNCTION("""COMPUTED_VALUE"""),"86o 03' 31""")</f>
        <v>86o 03' 31"</v>
      </c>
      <c r="M36" s="2" t="str">
        <f>IFERROR(__xludf.DUMMYFUNCTION("""COMPUTED_VALUE"""),"Kalingchok (Dolakha)")</f>
        <v>Kalingchok (Dolakha)</v>
      </c>
    </row>
    <row r="37">
      <c r="A37" s="2">
        <f>IFERROR(__xludf.DUMMYFUNCTION("""COMPUTED_VALUE"""),39.0)</f>
        <v>39</v>
      </c>
      <c r="B37" s="2" t="str">
        <f>IFERROR(__xludf.DUMMYFUNCTION("""COMPUTED_VALUE"""),"Upper Buku Khola Small Hydropower Project")</f>
        <v>Upper Buku Khola Small Hydropower Project</v>
      </c>
      <c r="C37" s="2">
        <f>IFERROR(__xludf.DUMMYFUNCTION("""COMPUTED_VALUE"""),0.985)</f>
        <v>0.985</v>
      </c>
      <c r="D37" s="2" t="str">
        <f>IFERROR(__xludf.DUMMYFUNCTION("""COMPUTED_VALUE"""),"Buku")</f>
        <v>Buku</v>
      </c>
      <c r="E37" s="2">
        <f>IFERROR(__xludf.DUMMYFUNCTION("""COMPUTED_VALUE"""),5360.0)</f>
        <v>5360</v>
      </c>
      <c r="F37" s="7">
        <f>IFERROR(__xludf.DUMMYFUNCTION("""COMPUTED_VALUE"""),66756.0)</f>
        <v>66756</v>
      </c>
      <c r="G37" s="2" t="str">
        <f>IFERROR(__xludf.DUMMYFUNCTION("""COMPUTED_VALUE"""),"Likhu Pike Rural Municipality ( Promoter: Gaganchumbi Energy Limited)")</f>
        <v>Likhu Pike Rural Municipality ( Promoter: Gaganchumbi Energy Limited)</v>
      </c>
      <c r="H37" s="2" t="str">
        <f>IFERROR(__xludf.DUMMYFUNCTION("""COMPUTED_VALUE"""),"Chaulakharka, Solukhumbu (Kathmandu, Nepal)")</f>
        <v>Chaulakharka, Solukhumbu (Kathmandu, Nepal)</v>
      </c>
      <c r="I37" s="2" t="str">
        <f>IFERROR(__xludf.DUMMYFUNCTION("""COMPUTED_VALUE"""),"27o 31' 20""")</f>
        <v>27o 31' 20"</v>
      </c>
      <c r="J37" s="2" t="str">
        <f>IFERROR(__xludf.DUMMYFUNCTION("""COMPUTED_VALUE"""),"27o 31' 41""")</f>
        <v>27o 31' 41"</v>
      </c>
      <c r="K37" s="2" t="str">
        <f>IFERROR(__xludf.DUMMYFUNCTION("""COMPUTED_VALUE"""),"86o 24' 11""")</f>
        <v>86o 24' 11"</v>
      </c>
      <c r="L37" s="2" t="str">
        <f>IFERROR(__xludf.DUMMYFUNCTION("""COMPUTED_VALUE"""),"86o 24' 46""")</f>
        <v>86o 24' 46"</v>
      </c>
      <c r="M37" s="2" t="str">
        <f>IFERROR(__xludf.DUMMYFUNCTION("""COMPUTED_VALUE"""),"Goli (Solukhumbu)")</f>
        <v>Goli (Solukhumbu)</v>
      </c>
    </row>
    <row r="38">
      <c r="A38" s="2">
        <f>IFERROR(__xludf.DUMMYFUNCTION("""COMPUTED_VALUE"""),40.0)</f>
        <v>40</v>
      </c>
      <c r="B38" s="2" t="str">
        <f>IFERROR(__xludf.DUMMYFUNCTION("""COMPUTED_VALUE"""),"Dorkhu Khola Small Hydropower Project")</f>
        <v>Dorkhu Khola Small Hydropower Project</v>
      </c>
      <c r="C38" s="2">
        <f>IFERROR(__xludf.DUMMYFUNCTION("""COMPUTED_VALUE"""),0.862)</f>
        <v>0.862</v>
      </c>
      <c r="D38" s="2" t="str">
        <f>IFERROR(__xludf.DUMMYFUNCTION("""COMPUTED_VALUE"""),"Dorkhu")</f>
        <v>Dorkhu</v>
      </c>
      <c r="E38" s="2">
        <f>IFERROR(__xludf.DUMMYFUNCTION("""COMPUTED_VALUE"""),5806.0)</f>
        <v>5806</v>
      </c>
      <c r="F38" s="7">
        <f>IFERROR(__xludf.DUMMYFUNCTION("""COMPUTED_VALUE"""),66769.0)</f>
        <v>66769</v>
      </c>
      <c r="G38" s="2" t="str">
        <f>IFERROR(__xludf.DUMMYFUNCTION("""COMPUTED_VALUE"""),"Tandi Rural Municipality (Promoter:Dupcheswor Urja Private Limited)")</f>
        <v>Tandi Rural Municipality (Promoter:Dupcheswor Urja Private Limited)</v>
      </c>
      <c r="H38" s="2" t="str">
        <f>IFERROR(__xludf.DUMMYFUNCTION("""COMPUTED_VALUE"""),"Kharanitar, Nuwakot(Budhanilkantha - 7, Kathmandu)")</f>
        <v>Kharanitar, Nuwakot(Budhanilkantha - 7, Kathmandu)</v>
      </c>
      <c r="I38" s="2" t="str">
        <f>IFERROR(__xludf.DUMMYFUNCTION("""COMPUTED_VALUE"""),"27o 57' 41""")</f>
        <v>27o 57' 41"</v>
      </c>
      <c r="J38" s="2" t="str">
        <f>IFERROR(__xludf.DUMMYFUNCTION("""COMPUTED_VALUE"""),"27o 57' 56""")</f>
        <v>27o 57' 56"</v>
      </c>
      <c r="K38" s="2" t="str">
        <f>IFERROR(__xludf.DUMMYFUNCTION("""COMPUTED_VALUE"""),"85o 20' 26""")</f>
        <v>85o 20' 26"</v>
      </c>
      <c r="L38" s="2" t="str">
        <f>IFERROR(__xludf.DUMMYFUNCTION("""COMPUTED_VALUE"""),"85o 20' 56""")</f>
        <v>85o 20' 56"</v>
      </c>
      <c r="M38" s="2" t="str">
        <f>IFERROR(__xludf.DUMMYFUNCTION("""COMPUTED_VALUE"""),"Ralukadevi,Urleni (Nuwakot)")</f>
        <v>Ralukadevi,Urleni (Nuwakot)</v>
      </c>
    </row>
    <row r="39">
      <c r="A39" s="2">
        <f>IFERROR(__xludf.DUMMYFUNCTION("""COMPUTED_VALUE"""),41.0)</f>
        <v>41</v>
      </c>
      <c r="B39" s="2" t="str">
        <f>IFERROR(__xludf.DUMMYFUNCTION("""COMPUTED_VALUE"""),"Dhap Small Hydropower Project")</f>
        <v>Dhap Small Hydropower Project</v>
      </c>
      <c r="C39" s="2">
        <f>IFERROR(__xludf.DUMMYFUNCTION("""COMPUTED_VALUE"""),0.65)</f>
        <v>0.65</v>
      </c>
      <c r="D39" s="2" t="str">
        <f>IFERROR(__xludf.DUMMYFUNCTION("""COMPUTED_VALUE"""),"Thaligad Khola")</f>
        <v>Thaligad Khola</v>
      </c>
      <c r="E39" s="2">
        <f>IFERROR(__xludf.DUMMYFUNCTION("""COMPUTED_VALUE"""),6187.0)</f>
        <v>6187</v>
      </c>
      <c r="F39" s="7">
        <f>IFERROR(__xludf.DUMMYFUNCTION("""COMPUTED_VALUE"""),66781.0)</f>
        <v>66781</v>
      </c>
      <c r="G39" s="2" t="str">
        <f>IFERROR(__xludf.DUMMYFUNCTION("""COMPUTED_VALUE"""),"Asian Infra and Energy company Pvt. Ltd")</f>
        <v>Asian Infra and Energy company Pvt. Ltd</v>
      </c>
      <c r="H39" s="2" t="str">
        <f>IFERROR(__xludf.DUMMYFUNCTION("""COMPUTED_VALUE"""),"Nagarjun-4, Kathmandu")</f>
        <v>Nagarjun-4, Kathmandu</v>
      </c>
      <c r="I39" s="2" t="str">
        <f>IFERROR(__xludf.DUMMYFUNCTION("""COMPUTED_VALUE"""),"29o 47' 09""")</f>
        <v>29o 47' 09"</v>
      </c>
      <c r="J39" s="2" t="str">
        <f>IFERROR(__xludf.DUMMYFUNCTION("""COMPUTED_VALUE"""),"29o 47' 31""")</f>
        <v>29o 47' 31"</v>
      </c>
      <c r="K39" s="2" t="str">
        <f>IFERROR(__xludf.DUMMYFUNCTION("""COMPUTED_VALUE"""),"80o 29' 40""")</f>
        <v>80o 29' 40"</v>
      </c>
      <c r="L39" s="2" t="str">
        <f>IFERROR(__xludf.DUMMYFUNCTION("""COMPUTED_VALUE"""),"80o 30' 29""")</f>
        <v>80o 30' 29"</v>
      </c>
      <c r="M39" s="2" t="str">
        <f>IFERROR(__xludf.DUMMYFUNCTION("""COMPUTED_VALUE"""),"Datu,Chhapari (Darchula)")</f>
        <v>Datu,Chhapari (Darchula)</v>
      </c>
    </row>
    <row r="40">
      <c r="A40" s="2">
        <f>IFERROR(__xludf.DUMMYFUNCTION("""COMPUTED_VALUE"""),42.0)</f>
        <v>42</v>
      </c>
      <c r="B40" s="2" t="str">
        <f>IFERROR(__xludf.DUMMYFUNCTION("""COMPUTED_VALUE"""),"Bhandar Khola Hydropower Project")</f>
        <v>Bhandar Khola Hydropower Project</v>
      </c>
      <c r="C40" s="2">
        <f>IFERROR(__xludf.DUMMYFUNCTION("""COMPUTED_VALUE"""),0.999)</f>
        <v>0.999</v>
      </c>
      <c r="D40" s="2" t="str">
        <f>IFERROR(__xludf.DUMMYFUNCTION("""COMPUTED_VALUE"""),"bhandar khola")</f>
        <v>bhandar khola</v>
      </c>
      <c r="E40" s="2">
        <f>IFERROR(__xludf.DUMMYFUNCTION("""COMPUTED_VALUE"""),7389.0)</f>
        <v>7389</v>
      </c>
      <c r="F40" s="7">
        <f>IFERROR(__xludf.DUMMYFUNCTION("""COMPUTED_VALUE"""),66825.0)</f>
        <v>66825</v>
      </c>
      <c r="G40" s="2" t="str">
        <f>IFERROR(__xludf.DUMMYFUNCTION("""COMPUTED_VALUE"""),"Umakunda Rural Municipality (Promoter: Watt and Volt Private Limited)")</f>
        <v>Umakunda Rural Municipality (Promoter: Watt and Volt Private Limited)</v>
      </c>
      <c r="H40" s="2" t="str">
        <f>IFERROR(__xludf.DUMMYFUNCTION("""COMPUTED_VALUE"""),"Pritee, ramechhap (Madhyapur Thimi)")</f>
        <v>Pritee, ramechhap (Madhyapur Thimi)</v>
      </c>
      <c r="I40" s="2" t="str">
        <f>IFERROR(__xludf.DUMMYFUNCTION("""COMPUTED_VALUE"""),"27o 34' 20""")</f>
        <v>27o 34' 20"</v>
      </c>
      <c r="J40" s="2" t="str">
        <f>IFERROR(__xludf.DUMMYFUNCTION("""COMPUTED_VALUE"""),"27o 34' 29""")</f>
        <v>27o 34' 29"</v>
      </c>
      <c r="K40" s="2" t="str">
        <f>IFERROR(__xludf.DUMMYFUNCTION("""COMPUTED_VALUE"""),"86o 22' 21""")</f>
        <v>86o 22' 21"</v>
      </c>
      <c r="L40" s="2" t="str">
        <f>IFERROR(__xludf.DUMMYFUNCTION("""COMPUTED_VALUE"""),"86o 22' 37""")</f>
        <v>86o 22' 37"</v>
      </c>
      <c r="M40" s="2" t="str">
        <f>IFERROR(__xludf.DUMMYFUNCTION("""COMPUTED_VALUE"""),"Gumdel (Ramechhap)")</f>
        <v>Gumdel (Ramechhap)</v>
      </c>
    </row>
    <row r="41">
      <c r="A41" s="2">
        <f>IFERROR(__xludf.DUMMYFUNCTION("""COMPUTED_VALUE"""),43.0)</f>
        <v>43</v>
      </c>
      <c r="B41" s="2" t="str">
        <f>IFERROR(__xludf.DUMMYFUNCTION("""COMPUTED_VALUE"""),"Chhomrong Cascade Hydropower Project")</f>
        <v>Chhomrong Cascade Hydropower Project</v>
      </c>
      <c r="C41" s="2">
        <f>IFERROR(__xludf.DUMMYFUNCTION("""COMPUTED_VALUE"""),0.976)</f>
        <v>0.976</v>
      </c>
      <c r="D41" s="2" t="str">
        <f>IFERROR(__xludf.DUMMYFUNCTION("""COMPUTED_VALUE"""),"Chhomron Khola")</f>
        <v>Chhomron Khola</v>
      </c>
      <c r="E41" s="2">
        <f>IFERROR(__xludf.DUMMYFUNCTION("""COMPUTED_VALUE"""),7840.0)</f>
        <v>7840</v>
      </c>
      <c r="F41" s="7">
        <f>IFERROR(__xludf.DUMMYFUNCTION("""COMPUTED_VALUE"""),66835.0)</f>
        <v>66835</v>
      </c>
      <c r="G41" s="2" t="str">
        <f>IFERROR(__xludf.DUMMYFUNCTION("""COMPUTED_VALUE"""),"Annapurna Rural Municipality (Promoter: Tauji Baraha Hydropower Private 
Limited)")</f>
        <v>Annapurna Rural Municipality (Promoter: Tauji Baraha Hydropower Private 
Limited)</v>
      </c>
      <c r="H41" s="2" t="str">
        <f>IFERROR(__xludf.DUMMYFUNCTION("""COMPUTED_VALUE"""),"Machhapokhari, Kaski (Lalitpur - 10, Lalitpur)")</f>
        <v>Machhapokhari, Kaski (Lalitpur - 10, Lalitpur)</v>
      </c>
      <c r="I41" s="2" t="str">
        <f>IFERROR(__xludf.DUMMYFUNCTION("""COMPUTED_VALUE"""),"28o 25' 03""")</f>
        <v>28o 25' 03"</v>
      </c>
      <c r="J41" s="2" t="str">
        <f>IFERROR(__xludf.DUMMYFUNCTION("""COMPUTED_VALUE"""),"28o 25' 14""")</f>
        <v>28o 25' 14"</v>
      </c>
      <c r="K41" s="2" t="str">
        <f>IFERROR(__xludf.DUMMYFUNCTION("""COMPUTED_VALUE"""),"83o 49' 45""")</f>
        <v>83o 49' 45"</v>
      </c>
      <c r="L41" s="2" t="str">
        <f>IFERROR(__xludf.DUMMYFUNCTION("""COMPUTED_VALUE"""),"83o 50' 00""")</f>
        <v>83o 50' 00"</v>
      </c>
      <c r="M41" s="2"/>
    </row>
    <row r="42">
      <c r="A42" s="2">
        <f>IFERROR(__xludf.DUMMYFUNCTION("""COMPUTED_VALUE"""),44.0)</f>
        <v>44</v>
      </c>
      <c r="B42" s="2" t="str">
        <f>IFERROR(__xludf.DUMMYFUNCTION("""COMPUTED_VALUE"""),"Perun 1 Hydropower Project")</f>
        <v>Perun 1 Hydropower Project</v>
      </c>
      <c r="C42" s="2">
        <f>IFERROR(__xludf.DUMMYFUNCTION("""COMPUTED_VALUE"""),0.995)</f>
        <v>0.995</v>
      </c>
      <c r="D42" s="2" t="str">
        <f>IFERROR(__xludf.DUMMYFUNCTION("""COMPUTED_VALUE"""),"Perung Khola")</f>
        <v>Perung Khola</v>
      </c>
      <c r="E42" s="2">
        <f>IFERROR(__xludf.DUMMYFUNCTION("""COMPUTED_VALUE"""),7960.0)</f>
        <v>7960</v>
      </c>
      <c r="F42" s="7">
        <f>IFERROR(__xludf.DUMMYFUNCTION("""COMPUTED_VALUE"""),66837.0)</f>
        <v>66837</v>
      </c>
      <c r="G42" s="2" t="str">
        <f>IFERROR(__xludf.DUMMYFUNCTION("""COMPUTED_VALUE"""),"Umakunda Rural Municipality (Promoter: Numbur Nupche Hydropower Private 
Limited)")</f>
        <v>Umakunda Rural Municipality (Promoter: Numbur Nupche Hydropower Private 
Limited)</v>
      </c>
      <c r="H42" s="2" t="str">
        <f>IFERROR(__xludf.DUMMYFUNCTION("""COMPUTED_VALUE"""),"Priti, Ramechhap (New Baneshower, Kathmandu)")</f>
        <v>Priti, Ramechhap (New Baneshower, Kathmandu)</v>
      </c>
      <c r="I42" s="2" t="str">
        <f>IFERROR(__xludf.DUMMYFUNCTION("""COMPUTED_VALUE"""),"27o 37' 28""")</f>
        <v>27o 37' 28"</v>
      </c>
      <c r="J42" s="2" t="str">
        <f>IFERROR(__xludf.DUMMYFUNCTION("""COMPUTED_VALUE"""),"27o 37' 46""")</f>
        <v>27o 37' 46"</v>
      </c>
      <c r="K42" s="2" t="str">
        <f>IFERROR(__xludf.DUMMYFUNCTION("""COMPUTED_VALUE"""),"86o 25' 21""")</f>
        <v>86o 25' 21"</v>
      </c>
      <c r="L42" s="2" t="str">
        <f>IFERROR(__xludf.DUMMYFUNCTION("""COMPUTED_VALUE"""),"86o 25' 41""")</f>
        <v>86o 25' 41"</v>
      </c>
      <c r="M42" s="2" t="str">
        <f>IFERROR(__xludf.DUMMYFUNCTION("""COMPUTED_VALUE"""),"Gumdel (Ramechhap)")</f>
        <v>Gumdel (Ramechhap)</v>
      </c>
    </row>
    <row r="43">
      <c r="A43" s="2">
        <f>IFERROR(__xludf.DUMMYFUNCTION("""COMPUTED_VALUE"""),46.0)</f>
        <v>46</v>
      </c>
      <c r="B43" s="2" t="str">
        <f>IFERROR(__xludf.DUMMYFUNCTION("""COMPUTED_VALUE"""),"Tallo Milti Khola Hydropower Project")</f>
        <v>Tallo Milti Khola Hydropower Project</v>
      </c>
      <c r="C43" s="2">
        <f>IFERROR(__xludf.DUMMYFUNCTION("""COMPUTED_VALUE"""),0.958)</f>
        <v>0.958</v>
      </c>
      <c r="D43" s="2" t="str">
        <f>IFERROR(__xludf.DUMMYFUNCTION("""COMPUTED_VALUE"""),"Milti Khola")</f>
        <v>Milti Khola</v>
      </c>
      <c r="E43" s="2">
        <f>IFERROR(__xludf.DUMMYFUNCTION("""COMPUTED_VALUE"""),8634.0)</f>
        <v>8634</v>
      </c>
      <c r="F43" s="7">
        <f>IFERROR(__xludf.DUMMYFUNCTION("""COMPUTED_VALUE"""),66855.0)</f>
        <v>66855</v>
      </c>
      <c r="G43" s="2" t="str">
        <f>IFERROR(__xludf.DUMMYFUNCTION("""COMPUTED_VALUE"""),"Melung Rural Municipality (Promoter: Sajilo Urja Private Limited)")</f>
        <v>Melung Rural Municipality (Promoter: Sajilo Urja Private Limited)</v>
      </c>
      <c r="H43" s="2" t="str">
        <f>IFERROR(__xludf.DUMMYFUNCTION("""COMPUTED_VALUE"""),"Tokha - 7, Kathmandu")</f>
        <v>Tokha - 7, Kathmandu</v>
      </c>
      <c r="I43" s="2" t="str">
        <f>IFERROR(__xludf.DUMMYFUNCTION("""COMPUTED_VALUE"""),"27o 29' 44""")</f>
        <v>27o 29' 44"</v>
      </c>
      <c r="J43" s="2" t="str">
        <f>IFERROR(__xludf.DUMMYFUNCTION("""COMPUTED_VALUE"""),"27o 30' 10""")</f>
        <v>27o 30' 10"</v>
      </c>
      <c r="K43" s="2" t="str">
        <f>IFERROR(__xludf.DUMMYFUNCTION("""COMPUTED_VALUE"""),"86o 04' 33""")</f>
        <v>86o 04' 33"</v>
      </c>
      <c r="L43" s="2" t="str">
        <f>IFERROR(__xludf.DUMMYFUNCTION("""COMPUTED_VALUE"""),"86o 05' 01""")</f>
        <v>86o 05' 01"</v>
      </c>
      <c r="M43" s="2" t="str">
        <f>IFERROR(__xludf.DUMMYFUNCTION("""COMPUTED_VALUE"""),"Melung (Dolakha)")</f>
        <v>Melung (Dolakha)</v>
      </c>
    </row>
    <row r="44">
      <c r="A44" s="2">
        <f>IFERROR(__xludf.DUMMYFUNCTION("""COMPUTED_VALUE"""),47.0)</f>
        <v>47</v>
      </c>
      <c r="B44" s="2" t="str">
        <f>IFERROR(__xludf.DUMMYFUNCTION("""COMPUTED_VALUE"""),"Dharche Khola Hydropower Project")</f>
        <v>Dharche Khola Hydropower Project</v>
      </c>
      <c r="C44" s="2">
        <f>IFERROR(__xludf.DUMMYFUNCTION("""COMPUTED_VALUE"""),0.95)</f>
        <v>0.95</v>
      </c>
      <c r="D44" s="2" t="str">
        <f>IFERROR(__xludf.DUMMYFUNCTION("""COMPUTED_VALUE"""),"Dharche Khola")</f>
        <v>Dharche Khola</v>
      </c>
      <c r="E44" s="2">
        <f>IFERROR(__xludf.DUMMYFUNCTION("""COMPUTED_VALUE"""),8736.0)</f>
        <v>8736</v>
      </c>
      <c r="F44" s="7">
        <f>IFERROR(__xludf.DUMMYFUNCTION("""COMPUTED_VALUE"""),66856.0)</f>
        <v>66856</v>
      </c>
      <c r="G44" s="2" t="str">
        <f>IFERROR(__xludf.DUMMYFUNCTION("""COMPUTED_VALUE"""),"Dharche Rural Municipality (Promotor: Dharche Khola Jalavidhyut Private 
Limited)")</f>
        <v>Dharche Rural Municipality (Promotor: Dharche Khola Jalavidhyut Private 
Limited)</v>
      </c>
      <c r="H44" s="2" t="str">
        <f>IFERROR(__xludf.DUMMYFUNCTION("""COMPUTED_VALUE"""),"Machhikhola, Gorkha (Lapu, Ward No. 7, Gorkha)")</f>
        <v>Machhikhola, Gorkha (Lapu, Ward No. 7, Gorkha)</v>
      </c>
      <c r="I44" s="2" t="str">
        <f>IFERROR(__xludf.DUMMYFUNCTION("""COMPUTED_VALUE"""),"28o 11' 11""")</f>
        <v>28o 11' 11"</v>
      </c>
      <c r="J44" s="2" t="str">
        <f>IFERROR(__xludf.DUMMYFUNCTION("""COMPUTED_VALUE"""),"28o 11' 25""")</f>
        <v>28o 11' 25"</v>
      </c>
      <c r="K44" s="2" t="str">
        <f>IFERROR(__xludf.DUMMYFUNCTION("""COMPUTED_VALUE"""),"84o 52' 08""")</f>
        <v>84o 52' 08"</v>
      </c>
      <c r="L44" s="2" t="str">
        <f>IFERROR(__xludf.DUMMYFUNCTION("""COMPUTED_VALUE"""),"84o 52' 13""")</f>
        <v>84o 52' 13"</v>
      </c>
      <c r="M44" s="2" t="str">
        <f>IFERROR(__xludf.DUMMYFUNCTION("""COMPUTED_VALUE"""),"Lapu (Gorkha)")</f>
        <v>Lapu (Gorkha)</v>
      </c>
    </row>
    <row r="45">
      <c r="A45" s="2">
        <f>IFERROR(__xludf.DUMMYFUNCTION("""COMPUTED_VALUE"""),48.0)</f>
        <v>48</v>
      </c>
      <c r="B45" s="2" t="str">
        <f>IFERROR(__xludf.DUMMYFUNCTION("""COMPUTED_VALUE"""),"Chino Khola Micro Hydropower Project")</f>
        <v>Chino Khola Micro Hydropower Project</v>
      </c>
      <c r="C45" s="2">
        <f>IFERROR(__xludf.DUMMYFUNCTION("""COMPUTED_VALUE"""),0.294)</f>
        <v>0.294</v>
      </c>
      <c r="D45" s="2" t="str">
        <f>IFERROR(__xludf.DUMMYFUNCTION("""COMPUTED_VALUE"""),"Chino")</f>
        <v>Chino</v>
      </c>
      <c r="E45" s="2">
        <f>IFERROR(__xludf.DUMMYFUNCTION("""COMPUTED_VALUE"""),8855.0)</f>
        <v>8855</v>
      </c>
      <c r="F45" s="7">
        <f>IFERROR(__xludf.DUMMYFUNCTION("""COMPUTED_VALUE"""),66858.0)</f>
        <v>66858</v>
      </c>
      <c r="G45" s="2" t="str">
        <f>IFERROR(__xludf.DUMMYFUNCTION("""COMPUTED_VALUE"""),"Nason Rural Municipality (Promoter: Chino Hydropower Limited)")</f>
        <v>Nason Rural Municipality (Promoter: Chino Hydropower Limited)</v>
      </c>
      <c r="H45" s="2" t="str">
        <f>IFERROR(__xludf.DUMMYFUNCTION("""COMPUTED_VALUE"""),"Dharapani, Manang (Budhhanagar, Kathmandu)")</f>
        <v>Dharapani, Manang (Budhhanagar, Kathmandu)</v>
      </c>
      <c r="I45" s="2" t="str">
        <f>IFERROR(__xludf.DUMMYFUNCTION("""COMPUTED_VALUE"""),"28o 32' 00""")</f>
        <v>28o 32' 00"</v>
      </c>
      <c r="J45" s="2" t="str">
        <f>IFERROR(__xludf.DUMMYFUNCTION("""COMPUTED_VALUE"""),"28o 32' 08""")</f>
        <v>28o 32' 08"</v>
      </c>
      <c r="K45" s="2" t="str">
        <f>IFERROR(__xludf.DUMMYFUNCTION("""COMPUTED_VALUE"""),"84o 19' 21""")</f>
        <v>84o 19' 21"</v>
      </c>
      <c r="L45" s="2" t="str">
        <f>IFERROR(__xludf.DUMMYFUNCTION("""COMPUTED_VALUE"""),"84o 20' 22""")</f>
        <v>84o 20' 22"</v>
      </c>
      <c r="M45" s="2"/>
    </row>
    <row r="46">
      <c r="A46" s="2">
        <f>IFERROR(__xludf.DUMMYFUNCTION("""COMPUTED_VALUE"""),49.0)</f>
        <v>49</v>
      </c>
      <c r="B46" s="2" t="str">
        <f>IFERROR(__xludf.DUMMYFUNCTION("""COMPUTED_VALUE"""),"Giddhe Khola Small Hydropower Project")</f>
        <v>Giddhe Khola Small Hydropower Project</v>
      </c>
      <c r="C46" s="2">
        <f>IFERROR(__xludf.DUMMYFUNCTION("""COMPUTED_VALUE"""),0.83)</f>
        <v>0.83</v>
      </c>
      <c r="D46" s="2" t="str">
        <f>IFERROR(__xludf.DUMMYFUNCTION("""COMPUTED_VALUE"""),"Giddhe Khola")</f>
        <v>Giddhe Khola</v>
      </c>
      <c r="E46" s="2">
        <f>IFERROR(__xludf.DUMMYFUNCTION("""COMPUTED_VALUE"""),9290.0)</f>
        <v>9290</v>
      </c>
      <c r="F46" s="7">
        <f>IFERROR(__xludf.DUMMYFUNCTION("""COMPUTED_VALUE"""),66870.0)</f>
        <v>66870</v>
      </c>
      <c r="G46" s="2" t="str">
        <f>IFERROR(__xludf.DUMMYFUNCTION("""COMPUTED_VALUE"""),"Sabhapokhari Rural Municipality (Promoter: Sowa Hydropower Private Limited)")</f>
        <v>Sabhapokhari Rural Municipality (Promoter: Sowa Hydropower Private Limited)</v>
      </c>
      <c r="H46" s="2" t="str">
        <f>IFERROR(__xludf.DUMMYFUNCTION("""COMPUTED_VALUE"""),"Bahrabise, Sankhuwasabha (Mahalaxmi Municipality - 5, Lalitpur, Nepal)")</f>
        <v>Bahrabise, Sankhuwasabha (Mahalaxmi Municipality - 5, Lalitpur, Nepal)</v>
      </c>
      <c r="I46" s="2" t="str">
        <f>IFERROR(__xludf.DUMMYFUNCTION("""COMPUTED_VALUE"""),"27o 25' 50""")</f>
        <v>27o 25' 50"</v>
      </c>
      <c r="J46" s="2" t="str">
        <f>IFERROR(__xludf.DUMMYFUNCTION("""COMPUTED_VALUE"""),"27o 26' 12""")</f>
        <v>27o 26' 12"</v>
      </c>
      <c r="K46" s="2" t="str">
        <f>IFERROR(__xludf.DUMMYFUNCTION("""COMPUTED_VALUE"""),"87o 24' 41""")</f>
        <v>87o 24' 41"</v>
      </c>
      <c r="L46" s="2" t="str">
        <f>IFERROR(__xludf.DUMMYFUNCTION("""COMPUTED_VALUE"""),"87o 25' 38""")</f>
        <v>87o 25' 38"</v>
      </c>
      <c r="M46" s="2" t="str">
        <f>IFERROR(__xludf.DUMMYFUNCTION("""COMPUTED_VALUE"""),"Sabha Pokhari (Sankhuwasabha)")</f>
        <v>Sabha Pokhari (Sankhuwasabha)</v>
      </c>
    </row>
    <row r="47">
      <c r="A47" s="2">
        <f>IFERROR(__xludf.DUMMYFUNCTION("""COMPUTED_VALUE"""),53.0)</f>
        <v>53</v>
      </c>
      <c r="B47" s="2" t="str">
        <f>IFERROR(__xludf.DUMMYFUNCTION("""COMPUTED_VALUE"""),"Dhunge Khola Hydropower Project")</f>
        <v>Dhunge Khola Hydropower Project</v>
      </c>
      <c r="C47" s="2">
        <f>IFERROR(__xludf.DUMMYFUNCTION("""COMPUTED_VALUE"""),0.939)</f>
        <v>0.939</v>
      </c>
      <c r="D47" s="2" t="str">
        <f>IFERROR(__xludf.DUMMYFUNCTION("""COMPUTED_VALUE"""),"Dhunge Khola")</f>
        <v>Dhunge Khola</v>
      </c>
      <c r="E47" s="2">
        <f>IFERROR(__xludf.DUMMYFUNCTION("""COMPUTED_VALUE"""),10201.0)</f>
        <v>10201</v>
      </c>
      <c r="F47" s="7">
        <f>IFERROR(__xludf.DUMMYFUNCTION("""COMPUTED_VALUE"""),66893.0)</f>
        <v>66893</v>
      </c>
      <c r="G47" s="2" t="str">
        <f>IFERROR(__xludf.DUMMYFUNCTION("""COMPUTED_VALUE"""),"Jiri Municipality (Promoter:Green Power Private Limited)")</f>
        <v>Jiri Municipality (Promoter:Green Power Private Limited)</v>
      </c>
      <c r="H47" s="2" t="str">
        <f>IFERROR(__xludf.DUMMYFUNCTION("""COMPUTED_VALUE"""),"Jiri, Dolakha (Madhyapur Thimi - 3, Bhaktapur)")</f>
        <v>Jiri, Dolakha (Madhyapur Thimi - 3, Bhaktapur)</v>
      </c>
      <c r="I47" s="2" t="str">
        <f>IFERROR(__xludf.DUMMYFUNCTION("""COMPUTED_VALUE"""),"27o 38' 50""")</f>
        <v>27o 38' 50"</v>
      </c>
      <c r="J47" s="2" t="str">
        <f>IFERROR(__xludf.DUMMYFUNCTION("""COMPUTED_VALUE"""),"27o 39' 25""")</f>
        <v>27o 39' 25"</v>
      </c>
      <c r="K47" s="2" t="str">
        <f>IFERROR(__xludf.DUMMYFUNCTION("""COMPUTED_VALUE"""),"86o 17' 28""")</f>
        <v>86o 17' 28"</v>
      </c>
      <c r="L47" s="2" t="str">
        <f>IFERROR(__xludf.DUMMYFUNCTION("""COMPUTED_VALUE"""),"86o 18' 04""")</f>
        <v>86o 18' 04"</v>
      </c>
      <c r="M47" s="2" t="str">
        <f>IFERROR(__xludf.DUMMYFUNCTION("""COMPUTED_VALUE"""),"Syama (Dolakha)")</f>
        <v>Syama (Dolakha)</v>
      </c>
    </row>
    <row r="48">
      <c r="A48" s="2">
        <f>IFERROR(__xludf.DUMMYFUNCTION("""COMPUTED_VALUE"""),56.0)</f>
        <v>56</v>
      </c>
      <c r="B48" s="2" t="str">
        <f>IFERROR(__xludf.DUMMYFUNCTION("""COMPUTED_VALUE"""),"Yaksuwa Khola Small Hydropower Project")</f>
        <v>Yaksuwa Khola Small Hydropower Project</v>
      </c>
      <c r="C48" s="2">
        <f>IFERROR(__xludf.DUMMYFUNCTION("""COMPUTED_VALUE"""),0.837)</f>
        <v>0.837</v>
      </c>
      <c r="D48" s="2" t="str">
        <f>IFERROR(__xludf.DUMMYFUNCTION("""COMPUTED_VALUE"""),"Yaksuwa")</f>
        <v>Yaksuwa</v>
      </c>
      <c r="E48" s="2">
        <f>IFERROR(__xludf.DUMMYFUNCTION("""COMPUTED_VALUE"""),10544.0)</f>
        <v>10544</v>
      </c>
      <c r="F48" s="7">
        <f>IFERROR(__xludf.DUMMYFUNCTION("""COMPUTED_VALUE"""),66901.0)</f>
        <v>66901</v>
      </c>
      <c r="G48" s="2" t="str">
        <f>IFERROR(__xludf.DUMMYFUNCTION("""COMPUTED_VALUE"""),"Sabhapokhari Rural Municipality (Promoter: Sowa Hydropower Private Limited)")</f>
        <v>Sabhapokhari Rural Municipality (Promoter: Sowa Hydropower Private Limited)</v>
      </c>
      <c r="H48" s="2" t="str">
        <f>IFERROR(__xludf.DUMMYFUNCTION("""COMPUTED_VALUE"""),"Bahrabise, Sankhuwasabha (Mahalaxmi Municipality - 5, Lalitpur, Nepal)")</f>
        <v>Bahrabise, Sankhuwasabha (Mahalaxmi Municipality - 5, Lalitpur, Nepal)</v>
      </c>
      <c r="I48" s="2" t="str">
        <f>IFERROR(__xludf.DUMMYFUNCTION("""COMPUTED_VALUE"""),"27o 27' 25""")</f>
        <v>27o 27' 25"</v>
      </c>
      <c r="J48" s="2" t="str">
        <f>IFERROR(__xludf.DUMMYFUNCTION("""COMPUTED_VALUE"""),"27o 27' 56""")</f>
        <v>27o 27' 56"</v>
      </c>
      <c r="K48" s="2" t="str">
        <f>IFERROR(__xludf.DUMMYFUNCTION("""COMPUTED_VALUE"""),"87o 21' 00""")</f>
        <v>87o 21' 00"</v>
      </c>
      <c r="L48" s="2" t="str">
        <f>IFERROR(__xludf.DUMMYFUNCTION("""COMPUTED_VALUE"""),"87o 21' 39""")</f>
        <v>87o 21' 39"</v>
      </c>
      <c r="M48" s="2" t="str">
        <f>IFERROR(__xludf.DUMMYFUNCTION("""COMPUTED_VALUE"""),"Bahrabise Bazar (Sankhuwasabha)")</f>
        <v>Bahrabise Bazar (Sankhuwasabha)</v>
      </c>
    </row>
    <row r="49">
      <c r="A49" s="2" t="str">
        <f>IFERROR(__xludf.DUMMYFUNCTION("""COMPUTED_VALUE"""),"Total capacity for 56 projects")</f>
        <v>Total capacity for 56 projects</v>
      </c>
      <c r="B49" s="2"/>
      <c r="C49" s="2"/>
      <c r="D49" s="2"/>
      <c r="E49" s="2"/>
      <c r="F49" s="2"/>
      <c r="G49" s="2"/>
      <c r="H49" s="2"/>
      <c r="I49" s="2"/>
      <c r="J49" s="2"/>
      <c r="K49" s="2"/>
      <c r="L49" s="2"/>
      <c r="M49" s="2"/>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IFERROR(__xludf.DUMMYFUNCTION("IMPORTHTML(""https://www.doed.gov.np/pages/tcsolar/"",""table"",1)"),"S No")</f>
        <v>S No</v>
      </c>
      <c r="B1" s="2" t="str">
        <f>IFERROR(__xludf.DUMMYFUNCTION("""COMPUTED_VALUE"""),"Project")</f>
        <v>Project</v>
      </c>
      <c r="C1" s="2" t="str">
        <f>IFERROR(__xludf.DUMMYFUNCTION("""COMPUTED_VALUE"""),"Capacity (MW)")</f>
        <v>Capacity (MW)</v>
      </c>
      <c r="D1" s="2" t="str">
        <f>IFERROR(__xludf.DUMMYFUNCTION("""COMPUTED_VALUE"""),"Appn No")</f>
        <v>Appn No</v>
      </c>
      <c r="E1" s="2" t="str">
        <f>IFERROR(__xludf.DUMMYFUNCTION("""COMPUTED_VALUE"""),"Appn Date")</f>
        <v>Appn Date</v>
      </c>
      <c r="F1" s="2" t="str">
        <f>IFERROR(__xludf.DUMMYFUNCTION("""COMPUTED_VALUE"""),"Promoter")</f>
        <v>Promoter</v>
      </c>
      <c r="G1" s="2" t="str">
        <f>IFERROR(__xludf.DUMMYFUNCTION("""COMPUTED_VALUE"""),"Address")</f>
        <v>Address</v>
      </c>
      <c r="H1" s="2" t="str">
        <f>IFERROR(__xludf.DUMMYFUNCTION("""COMPUTED_VALUE"""),"Latitiude N")</f>
        <v>Latitiude N</v>
      </c>
      <c r="I1" s="2"/>
      <c r="J1" s="2" t="str">
        <f>IFERROR(__xludf.DUMMYFUNCTION("""COMPUTED_VALUE"""),"Longitude E")</f>
        <v>Longitude E</v>
      </c>
      <c r="K1" s="2"/>
      <c r="L1" s="2" t="str">
        <f>IFERROR(__xludf.DUMMYFUNCTION("""COMPUTED_VALUE"""),"VDC/District")</f>
        <v>VDC/District</v>
      </c>
    </row>
    <row r="2">
      <c r="A2" s="2">
        <f>IFERROR(__xludf.DUMMYFUNCTION("""COMPUTED_VALUE"""),1.0)</f>
        <v>1</v>
      </c>
      <c r="B2" s="2" t="str">
        <f>IFERROR(__xludf.DUMMYFUNCTION("""COMPUTED_VALUE"""),"Gwaldubba Solar Energy Project")</f>
        <v>Gwaldubba Solar Energy Project</v>
      </c>
      <c r="C2" s="2">
        <f>IFERROR(__xludf.DUMMYFUNCTION("""COMPUTED_VALUE"""),1.0)</f>
        <v>1</v>
      </c>
      <c r="D2" s="2">
        <f>IFERROR(__xludf.DUMMYFUNCTION("""COMPUTED_VALUE"""),758.0)</f>
        <v>758</v>
      </c>
      <c r="E2" s="3">
        <f>IFERROR(__xludf.DUMMYFUNCTION("""COMPUTED_VALUE"""),66231.0)</f>
        <v>66231</v>
      </c>
      <c r="F2" s="2" t="str">
        <f>IFERROR(__xludf.DUMMYFUNCTION("""COMPUTED_VALUE"""),"Kankai Energy Private Limited (Applicant: Gauradaha Municipality)")</f>
        <v>Kankai Energy Private Limited (Applicant: Gauradaha Municipality)</v>
      </c>
      <c r="G2" s="2" t="str">
        <f>IFERROR(__xludf.DUMMYFUNCTION("""COMPUTED_VALUE"""),"Lzxmi Marg, Damak Municipality, Jhapa")</f>
        <v>Lzxmi Marg, Damak Municipality, Jhapa</v>
      </c>
      <c r="H2" s="2" t="str">
        <f>IFERROR(__xludf.DUMMYFUNCTION("""COMPUTED_VALUE"""),"26o 31' 05""")</f>
        <v>26o 31' 05"</v>
      </c>
      <c r="I2" s="2" t="str">
        <f>IFERROR(__xludf.DUMMYFUNCTION("""COMPUTED_VALUE"""),"26o 31' 10""")</f>
        <v>26o 31' 10"</v>
      </c>
      <c r="J2" s="2" t="str">
        <f>IFERROR(__xludf.DUMMYFUNCTION("""COMPUTED_VALUE"""),"87o 43' 31""")</f>
        <v>87o 43' 31"</v>
      </c>
      <c r="K2" s="2" t="str">
        <f>IFERROR(__xludf.DUMMYFUNCTION("""COMPUTED_VALUE"""),"87o 43' 40""")</f>
        <v>87o 43' 40"</v>
      </c>
      <c r="L2" s="2" t="str">
        <f>IFERROR(__xludf.DUMMYFUNCTION("""COMPUTED_VALUE"""),"Juropani (Jhapa)")</f>
        <v>Juropani (Jhapa)</v>
      </c>
    </row>
    <row r="3">
      <c r="A3" s="2">
        <f>IFERROR(__xludf.DUMMYFUNCTION("""COMPUTED_VALUE"""),2.0)</f>
        <v>2</v>
      </c>
      <c r="B3" s="2" t="str">
        <f>IFERROR(__xludf.DUMMYFUNCTION("""COMPUTED_VALUE"""),"Gadhawa Solar PV Project")</f>
        <v>Gadhawa Solar PV Project</v>
      </c>
      <c r="C3" s="2">
        <f>IFERROR(__xludf.DUMMYFUNCTION("""COMPUTED_VALUE"""),1.0)</f>
        <v>1</v>
      </c>
      <c r="D3" s="2">
        <f>IFERROR(__xludf.DUMMYFUNCTION("""COMPUTED_VALUE"""),4851.0)</f>
        <v>4851</v>
      </c>
      <c r="E3" s="3">
        <f>IFERROR(__xludf.DUMMYFUNCTION("""COMPUTED_VALUE"""),66392.0)</f>
        <v>66392</v>
      </c>
      <c r="F3" s="2" t="str">
        <f>IFERROR(__xludf.DUMMYFUNCTION("""COMPUTED_VALUE"""),"Gadhawa Rural Municipality (Applicant: J.B.N. Surya Urja Private Limited)")</f>
        <v>Gadhawa Rural Municipality (Applicant: J.B.N. Surya Urja Private Limited)</v>
      </c>
      <c r="G3" s="2" t="str">
        <f>IFERROR(__xludf.DUMMYFUNCTION("""COMPUTED_VALUE"""),"Lumbini Province (Applicant Address: Tarkeshower -6, Kathmandu)")</f>
        <v>Lumbini Province (Applicant Address: Tarkeshower -6, Kathmandu)</v>
      </c>
      <c r="H3" s="2" t="str">
        <f>IFERROR(__xludf.DUMMYFUNCTION("""COMPUTED_VALUE"""),"27o 48' 08""")</f>
        <v>27o 48' 08"</v>
      </c>
      <c r="I3" s="2" t="str">
        <f>IFERROR(__xludf.DUMMYFUNCTION("""COMPUTED_VALUE"""),"27o 48' 15""")</f>
        <v>27o 48' 15"</v>
      </c>
      <c r="J3" s="2" t="str">
        <f>IFERROR(__xludf.DUMMYFUNCTION("""COMPUTED_VALUE"""),"82o 33' 00""")</f>
        <v>82o 33' 00"</v>
      </c>
      <c r="K3" s="2" t="str">
        <f>IFERROR(__xludf.DUMMYFUNCTION("""COMPUTED_VALUE"""),"82o 33' 11""")</f>
        <v>82o 33' 11"</v>
      </c>
      <c r="L3" s="2" t="str">
        <f>IFERROR(__xludf.DUMMYFUNCTION("""COMPUTED_VALUE"""),"Gadhawa (Dang)")</f>
        <v>Gadhawa (Dang)</v>
      </c>
    </row>
    <row r="4">
      <c r="A4" s="2">
        <f>IFERROR(__xludf.DUMMYFUNCTION("""COMPUTED_VALUE"""),3.0)</f>
        <v>3</v>
      </c>
      <c r="B4" s="2" t="str">
        <f>IFERROR(__xludf.DUMMYFUNCTION("""COMPUTED_VALUE"""),"Solar PV Project in area of Tadi Khola (5MW) Hydropower Proj")</f>
        <v>Solar PV Project in area of Tadi Khola (5MW) Hydropower Proj</v>
      </c>
      <c r="C4" s="2">
        <f>IFERROR(__xludf.DUMMYFUNCTION("""COMPUTED_VALUE"""),0.768)</f>
        <v>0.768</v>
      </c>
      <c r="D4" s="2">
        <f>IFERROR(__xludf.DUMMYFUNCTION("""COMPUTED_VALUE"""),6234.0)</f>
        <v>6234</v>
      </c>
      <c r="E4" s="3">
        <f>IFERROR(__xludf.DUMMYFUNCTION("""COMPUTED_VALUE"""),66784.0)</f>
        <v>66784</v>
      </c>
      <c r="F4" s="2" t="str">
        <f>IFERROR(__xludf.DUMMYFUNCTION("""COMPUTED_VALUE"""),"Tandi Rural Municipality (Promoter:Mountain Energy Nepal Limited)")</f>
        <v>Tandi Rural Municipality (Promoter:Mountain Energy Nepal Limited)</v>
      </c>
      <c r="G4" s="2" t="str">
        <f>IFERROR(__xludf.DUMMYFUNCTION("""COMPUTED_VALUE"""),"Kharanitar, Nuwakot (Sunrise Bizz Park, 3rd Floor, Dillibazar, Kathmandu)")</f>
        <v>Kharanitar, Nuwakot (Sunrise Bizz Park, 3rd Floor, Dillibazar, Kathmandu)</v>
      </c>
      <c r="H4" s="2" t="str">
        <f>IFERROR(__xludf.DUMMYFUNCTION("""COMPUTED_VALUE"""),"27o 55' 19""")</f>
        <v>27o 55' 19"</v>
      </c>
      <c r="I4" s="2" t="str">
        <f>IFERROR(__xludf.DUMMYFUNCTION("""COMPUTED_VALUE"""),"27o 55' 21""")</f>
        <v>27o 55' 21"</v>
      </c>
      <c r="J4" s="2" t="str">
        <f>IFERROR(__xludf.DUMMYFUNCTION("""COMPUTED_VALUE"""),"85o 19' 36""")</f>
        <v>85o 19' 36"</v>
      </c>
      <c r="K4" s="2" t="str">
        <f>IFERROR(__xludf.DUMMYFUNCTION("""COMPUTED_VALUE"""),"85o 19' 38""")</f>
        <v>85o 19' 38"</v>
      </c>
      <c r="L4" s="2" t="str">
        <f>IFERROR(__xludf.DUMMYFUNCTION("""COMPUTED_VALUE"""),"Kharanitar (Nuwakot)")</f>
        <v>Kharanitar (Nuwakot)</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IFERROR(__xludf.DUMMYFUNCTION("IMPORTHTML(""https://www.doed.gov.np/pages/tcwind/"",""table"",1)"),"S No")</f>
        <v>S No</v>
      </c>
      <c r="B1" s="2" t="str">
        <f>IFERROR(__xludf.DUMMYFUNCTION("""COMPUTED_VALUE"""),"Project")</f>
        <v>Project</v>
      </c>
      <c r="C1" s="2" t="str">
        <f>IFERROR(__xludf.DUMMYFUNCTION("""COMPUTED_VALUE"""),"Capacity (MW)")</f>
        <v>Capacity (MW)</v>
      </c>
      <c r="D1" s="2" t="str">
        <f>IFERROR(__xludf.DUMMYFUNCTION("""COMPUTED_VALUE"""),"Appn No")</f>
        <v>Appn No</v>
      </c>
      <c r="E1" s="2" t="str">
        <f>IFERROR(__xludf.DUMMYFUNCTION("""COMPUTED_VALUE"""),"Appn Date")</f>
        <v>Appn Date</v>
      </c>
      <c r="F1" s="2" t="str">
        <f>IFERROR(__xludf.DUMMYFUNCTION("""COMPUTED_VALUE"""),"Promoter")</f>
        <v>Promoter</v>
      </c>
      <c r="G1" s="2" t="str">
        <f>IFERROR(__xludf.DUMMYFUNCTION("""COMPUTED_VALUE"""),"Address")</f>
        <v>Address</v>
      </c>
      <c r="H1" s="2" t="str">
        <f>IFERROR(__xludf.DUMMYFUNCTION("""COMPUTED_VALUE"""),"Latitiude N")</f>
        <v>Latitiude N</v>
      </c>
      <c r="I1" s="2"/>
      <c r="J1" s="2" t="str">
        <f>IFERROR(__xludf.DUMMYFUNCTION("""COMPUTED_VALUE"""),"Longitude E")</f>
        <v>Longitude E</v>
      </c>
      <c r="K1" s="2"/>
      <c r="L1" s="2" t="str">
        <f>IFERROR(__xludf.DUMMYFUNCTION("""COMPUTED_VALUE"""),"VDC/District")</f>
        <v>VDC/District</v>
      </c>
    </row>
    <row r="2">
      <c r="A2" s="2">
        <f>IFERROR(__xludf.DUMMYFUNCTION("""COMPUTED_VALUE"""),1.0)</f>
        <v>1</v>
      </c>
      <c r="B2" s="2" t="str">
        <f>IFERROR(__xludf.DUMMYFUNCTION("""COMPUTED_VALUE"""),"1 MW Wind Energy Mini Grid System")</f>
        <v>1 MW Wind Energy Mini Grid System</v>
      </c>
      <c r="C2" s="2">
        <f>IFERROR(__xludf.DUMMYFUNCTION("""COMPUTED_VALUE"""),1.0)</f>
        <v>1</v>
      </c>
      <c r="D2" s="2">
        <f>IFERROR(__xludf.DUMMYFUNCTION("""COMPUTED_VALUE"""),567.0)</f>
        <v>567</v>
      </c>
      <c r="E2" s="3">
        <f>IFERROR(__xludf.DUMMYFUNCTION("""COMPUTED_VALUE"""),64089.0)</f>
        <v>64089</v>
      </c>
      <c r="F2" s="2" t="str">
        <f>IFERROR(__xludf.DUMMYFUNCTION("""COMPUTED_VALUE"""),"Amarjyoti Bayu Urja Users' Committee via Tatopani RM")</f>
        <v>Amarjyoti Bayu Urja Users' Committee via Tatopani RM</v>
      </c>
      <c r="G2" s="2" t="str">
        <f>IFERROR(__xludf.DUMMYFUNCTION("""COMPUTED_VALUE"""),"Tatopani-2, Jumla")</f>
        <v>Tatopani-2, Jumla</v>
      </c>
      <c r="H2" s="2" t="str">
        <f>IFERROR(__xludf.DUMMYFUNCTION("""COMPUTED_VALUE"""),"29o 14' 02""")</f>
        <v>29o 14' 02"</v>
      </c>
      <c r="I2" s="2" t="str">
        <f>IFERROR(__xludf.DUMMYFUNCTION("""COMPUTED_VALUE"""),"29o 14' 09""")</f>
        <v>29o 14' 09"</v>
      </c>
      <c r="J2" s="2" t="str">
        <f>IFERROR(__xludf.DUMMYFUNCTION("""COMPUTED_VALUE"""),"82o 04' 03""")</f>
        <v>82o 04' 03"</v>
      </c>
      <c r="K2" s="2" t="str">
        <f>IFERROR(__xludf.DUMMYFUNCTION("""COMPUTED_VALUE"""),"82o 04' 04""")</f>
        <v>82o 04' 04"</v>
      </c>
      <c r="L2" s="2" t="str">
        <f>IFERROR(__xludf.DUMMYFUNCTION("""COMPUTED_VALUE"""),"Tatopani (Jumla)")</f>
        <v>Tatopani (Jumla)</v>
      </c>
    </row>
  </sheetData>
  <drawing r:id="rId1"/>
</worksheet>
</file>